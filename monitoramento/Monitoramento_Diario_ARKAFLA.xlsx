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Parâmetros" sheetId="2" state="visible" r:id="rId4"/>
    <sheet name="Dados" sheetId="3" state="visible" r:id="rId5"/>
    <sheet name="Notas" sheetId="4" state="visible" r:id="rId6"/>
  </sheets>
  <definedNames>
    <definedName function="false" hidden="true" localSheetId="2" name="_xlnm._FilterDatabase" vbProcedure="false">Dados!$A$1:$AG$3971</definedName>
    <definedName function="false" hidden="false" localSheetId="0" name="_xlnm.Print_Titles" vbProcedure="false">Monitoramento!$4:$4</definedName>
    <definedName function="false" hidden="false" name="DATAS" vbProcedure="false">Parâmetros!$B$11:$B$11</definedName>
    <definedName function="false" hidden="false" name="P_DEL_NG" vbProcedure="false">Parâmetros!$B$5</definedName>
    <definedName function="false" hidden="false" name="P_DEL_SEM_IA" vbProcedure="false">Parâmetros!$B$6</definedName>
    <definedName function="false" hidden="false" name="P_IDADE_15M" vbProcedure="false">Parâmetros!$B$8</definedName>
    <definedName function="false" hidden="false" name="P_IDADE_3M" vbProcedure="false">Parâmetros!$B$7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<sst xmlns="http://schemas.openxmlformats.org/spreadsheetml/2006/main" count="8137" uniqueCount="1717">
  <si>
    <t xml:space="preserve">ARKAFLA – Monitoramento diário do rebanho</t>
  </si>
  <si>
    <t xml:space="preserve">Relatório zootécnico diário · 1 dias mais recentes (14/10/2026 a 14/10/2026) · definições na aba Notas</t>
  </si>
  <si>
    <t xml:space="preserve">Indicador</t>
  </si>
  <si>
    <t xml:space="preserve">Unidade</t>
  </si>
  <si>
    <t xml:space="preserve">Média
1 dia</t>
  </si>
  <si>
    <t xml:space="preserve">Variação
(último − anterior)</t>
  </si>
  <si>
    <t xml:space="preserve">Animais adultos (fêmeas, LACT &gt; 0)</t>
  </si>
  <si>
    <t xml:space="preserve">Vacas adultas</t>
  </si>
  <si>
    <t xml:space="preserve">cab</t>
  </si>
  <si>
    <t xml:space="preserve">Vacas em lactação (lotes 1 a 6 e 10)</t>
  </si>
  <si>
    <t xml:space="preserve">   Em lactação no tanque (lotes 1 a 6)</t>
  </si>
  <si>
    <t xml:space="preserve">   Animais em tratamento (lote 10)</t>
  </si>
  <si>
    <t xml:space="preserve">Vacas secas (adultas fora da lactação)</t>
  </si>
  <si>
    <t xml:space="preserve">Vacas paridas há até 21 dias (DEL ≤ 21)</t>
  </si>
  <si>
    <t xml:space="preserve">Vacas que começaram a lactação</t>
  </si>
  <si>
    <t xml:space="preserve">Saída de animais adultos</t>
  </si>
  <si>
    <t xml:space="preserve">   Lote 10 – entradas</t>
  </si>
  <si>
    <t xml:space="preserve">   Lote 10 – saídas</t>
  </si>
  <si>
    <t xml:space="preserve">   Lote 10 – saldo (entradas − saídas)</t>
  </si>
  <si>
    <t xml:space="preserve">DEL médio da lactação</t>
  </si>
  <si>
    <t xml:space="preserve">dias</t>
  </si>
  <si>
    <t xml:space="preserve">DEL médio (lotes 1 a 6)</t>
  </si>
  <si>
    <t xml:space="preserve">Produção média nas últimas 24 h (DP)</t>
  </si>
  <si>
    <t xml:space="preserve">kg/vaca</t>
  </si>
  <si>
    <t xml:space="preserve">   Produção média do lote 1 (DP)</t>
  </si>
  <si>
    <t xml:space="preserve">   Produção média do lote 2 (DP)</t>
  </si>
  <si>
    <t xml:space="preserve">   Produção média do lote 3 (DP)</t>
  </si>
  <si>
    <t xml:space="preserve">   Produção média do lote 4 (DP)</t>
  </si>
  <si>
    <t xml:space="preserve">   Produção média do lote 5 (DP)</t>
  </si>
  <si>
    <t xml:space="preserve">   Produção média do lote 6 (DP)</t>
  </si>
  <si>
    <t xml:space="preserve">Média de leite por vaca (tanque)</t>
  </si>
  <si>
    <t xml:space="preserve">Média primíparas (LACT 1, tanque)</t>
  </si>
  <si>
    <t xml:space="preserve">Média multíparas (LACT ≥ 2, tanque)</t>
  </si>
  <si>
    <t xml:space="preserve">Vacas com leite &lt; 20 kg (tanque)</t>
  </si>
  <si>
    <t xml:space="preserve">Vacas com pesagem de leite (tanque)</t>
  </si>
  <si>
    <t xml:space="preserve">% vacas com leitura de leite (tanque)</t>
  </si>
  <si>
    <t xml:space="preserve">%</t>
  </si>
  <si>
    <t xml:space="preserve">Leite Total dia DairyPlan</t>
  </si>
  <si>
    <t xml:space="preserve">kg</t>
  </si>
  <si>
    <t xml:space="preserve">Leite vendido no dia (coletas do laticínio)</t>
  </si>
  <si>
    <t xml:space="preserve">L</t>
  </si>
  <si>
    <t xml:space="preserve">Diferença DairyPlan × vendido</t>
  </si>
  <si>
    <t xml:space="preserve">Leite descartado – lote 10</t>
  </si>
  <si>
    <t xml:space="preserve">% do leite produzido que foi descartado</t>
  </si>
  <si>
    <t xml:space="preserve">Gordura média (tanque)</t>
  </si>
  <si>
    <t xml:space="preserve">Proteína média (tanque)</t>
  </si>
  <si>
    <t xml:space="preserve">Vacas gestantes (DDP ≥ 1, sem DNB)</t>
  </si>
  <si>
    <t xml:space="preserve">% gestantes ÷ (adultas − DNB)</t>
  </si>
  <si>
    <t xml:space="preserve">DEL &gt; 150 não gestantes (sem DNB)</t>
  </si>
  <si>
    <t xml:space="preserve">% DEL &gt; 150 não gestantes ÷ em lactação</t>
  </si>
  <si>
    <t xml:space="preserve">Vacas a descartar (DNB)</t>
  </si>
  <si>
    <t xml:space="preserve">DEL &gt; 70 sem IA (NumIAs = 0, sem DNB)</t>
  </si>
  <si>
    <t xml:space="preserve">Animais jovens (fêmeas, LACT = 0)</t>
  </si>
  <si>
    <t xml:space="preserve">Animais jovens totais</t>
  </si>
  <si>
    <t xml:space="preserve">Animais com &lt; 3 meses</t>
  </si>
  <si>
    <t xml:space="preserve">Nascidas há até 7 dias</t>
  </si>
  <si>
    <t xml:space="preserve">Novilhas gestantes (DDP ≥ 1, sem DNB)</t>
  </si>
  <si>
    <t xml:space="preserve">Novilhas &gt; 15 meses não gestantes</t>
  </si>
  <si>
    <t xml:space="preserve">Parâmetros dos indicadores</t>
  </si>
  <si>
    <t xml:space="preserve">Células amarelas podem ser alteradas; o Monitoramento recalcula.</t>
  </si>
  <si>
    <t xml:space="preserve">Parâmetro</t>
  </si>
  <si>
    <t xml:space="preserve">Valor</t>
  </si>
  <si>
    <t xml:space="preserve">Nome</t>
  </si>
  <si>
    <t xml:space="preserve">Vacas não gestantes: DEL acima de (dias)</t>
  </si>
  <si>
    <t xml:space="preserve">P_DEL_NG</t>
  </si>
  <si>
    <t xml:space="preserve">Vacas sem inseminação: DEL acima de (dias)</t>
  </si>
  <si>
    <t xml:space="preserve">P_DEL_SEM_IA</t>
  </si>
  <si>
    <t xml:space="preserve">Animais jovens &lt; 3 meses: idade abaixo de (dias)</t>
  </si>
  <si>
    <t xml:space="preserve">P_IDADE_3M</t>
  </si>
  <si>
    <t xml:space="preserve">Novilhas atrasadas: idade acima de (dias) – 15 meses</t>
  </si>
  <si>
    <t xml:space="preserve">P_IDADE_15M</t>
  </si>
  <si>
    <t xml:space="preserve">Datas dos relatórios na aba Dados (nº do dia)</t>
  </si>
  <si>
    <t xml:space="preserve">Zootecnico_2026-10-14.xlsx</t>
  </si>
  <si>
    <t xml:space="preserve">Data</t>
  </si>
  <si>
    <t xml:space="preserve">Lote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</si>
  <si>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</si>
  <si>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</si>
  <si>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</si>
  <si>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</si>
  <si>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</si>
  <si>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</si>
  <si>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</si>
  <si>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</si>
  <si>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</si>
  <si>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</si>
  <si>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</si>
  <si>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</si>
  <si>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</si>
  <si>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</si>
  <si>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</si>
  <si>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</si>
  <si>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</si>
  <si>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</si>
  <si>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</si>
  <si>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</si>
  <si>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Fêmea</t>
  </si>
  <si>
    <t xml:space="preserve">DNB</t>
  </si>
  <si>
    <t xml:space="preserve">DiaNº</t>
  </si>
  <si>
    <t xml:space="preserve">Lactação</t>
  </si>
  <si>
    <t xml:space="preserve">Lote10</t>
  </si>
  <si>
    <t xml:space="preserve">Lactação ant.</t>
  </si>
  <si>
    <t xml:space="preserve">Lote10 ant.</t>
  </si>
  <si>
    <t xml:space="preserve">Iniciou lactação</t>
  </si>
  <si>
    <t xml:space="preserve">Entrou lote 10</t>
  </si>
  <si>
    <t xml:space="preserve">Saída adulto em</t>
  </si>
  <si>
    <t xml:space="preserve">Saída lote 10 em</t>
  </si>
  <si>
    <t xml:space="preserve">2026-10-11</t>
  </si>
  <si>
    <t xml:space="preserve">Male</t>
  </si>
  <si>
    <t xml:space="preserve">2023-10-29</t>
  </si>
  <si>
    <t xml:space="preserve">Prenha</t>
  </si>
  <si>
    <t xml:space="preserve">2024-06-02</t>
  </si>
  <si>
    <t xml:space="preserve">2024-09-18</t>
  </si>
  <si>
    <t xml:space="preserve">2025-01-24</t>
  </si>
  <si>
    <t xml:space="preserve">2020-09-03</t>
  </si>
  <si>
    <t xml:space="preserve">Dry</t>
  </si>
  <si>
    <t xml:space="preserve">2022-02-06</t>
  </si>
  <si>
    <t xml:space="preserve">2022-02-15</t>
  </si>
  <si>
    <t xml:space="preserve">2016-05-24</t>
  </si>
  <si>
    <t xml:space="preserve">Fresca</t>
  </si>
  <si>
    <t xml:space="preserve">2018-10-22</t>
  </si>
  <si>
    <t xml:space="preserve">2019-09-08</t>
  </si>
  <si>
    <t xml:space="preserve">2019-12-21</t>
  </si>
  <si>
    <t xml:space="preserve">2020-10-23</t>
  </si>
  <si>
    <t xml:space="preserve">2020-10-22</t>
  </si>
  <si>
    <t xml:space="preserve">2020-06-27</t>
  </si>
  <si>
    <t xml:space="preserve">2020-10-26</t>
  </si>
  <si>
    <t xml:space="preserve">2023-03-12</t>
  </si>
  <si>
    <t xml:space="preserve">2017-11-26</t>
  </si>
  <si>
    <t xml:space="preserve">2018-07-19</t>
  </si>
  <si>
    <t xml:space="preserve">2018-09-07</t>
  </si>
  <si>
    <t xml:space="preserve">2018-09-08</t>
  </si>
  <si>
    <t xml:space="preserve">2018-09-15</t>
  </si>
  <si>
    <t xml:space="preserve">2018-11-08</t>
  </si>
  <si>
    <t xml:space="preserve">2018-11-23</t>
  </si>
  <si>
    <t xml:space="preserve">2019-01-23</t>
  </si>
  <si>
    <t xml:space="preserve">2026-03-09</t>
  </si>
  <si>
    <t xml:space="preserve">Youngstock</t>
  </si>
  <si>
    <t xml:space="preserve">2019-04-09</t>
  </si>
  <si>
    <t xml:space="preserve">Bred</t>
  </si>
  <si>
    <t xml:space="preserve">2019-05-14</t>
  </si>
  <si>
    <t xml:space="preserve">2019-05-30</t>
  </si>
  <si>
    <t xml:space="preserve">2019-06-08</t>
  </si>
  <si>
    <t xml:space="preserve">2019-06-17</t>
  </si>
  <si>
    <t xml:space="preserve">2019-07-14</t>
  </si>
  <si>
    <t xml:space="preserve">2019-10-01</t>
  </si>
  <si>
    <t xml:space="preserve">2019-10-31</t>
  </si>
  <si>
    <t xml:space="preserve">Vazia</t>
  </si>
  <si>
    <t xml:space="preserve">2019-11-05</t>
  </si>
  <si>
    <t xml:space="preserve">2019-11-17</t>
  </si>
  <si>
    <t xml:space="preserve">2019-12-12</t>
  </si>
  <si>
    <t xml:space="preserve">2020-01-15</t>
  </si>
  <si>
    <t xml:space="preserve">2020-01-16</t>
  </si>
  <si>
    <t xml:space="preserve">2020-01-17</t>
  </si>
  <si>
    <t xml:space="preserve">2020-02-06</t>
  </si>
  <si>
    <t xml:space="preserve">2020-02-10</t>
  </si>
  <si>
    <t xml:space="preserve">2020-02-19</t>
  </si>
  <si>
    <t xml:space="preserve">2020-02-21</t>
  </si>
  <si>
    <t xml:space="preserve">2020-03-07</t>
  </si>
  <si>
    <t xml:space="preserve">2020-04-01</t>
  </si>
  <si>
    <t xml:space="preserve">2020-04-05</t>
  </si>
  <si>
    <t xml:space="preserve">2020-04-10</t>
  </si>
  <si>
    <t xml:space="preserve">2020-04-19</t>
  </si>
  <si>
    <t xml:space="preserve">2020-04-24</t>
  </si>
  <si>
    <t xml:space="preserve">2020-04-28</t>
  </si>
  <si>
    <t xml:space="preserve">2020-05-15</t>
  </si>
  <si>
    <t xml:space="preserve">2020-05-18</t>
  </si>
  <si>
    <t xml:space="preserve">2020-05-25</t>
  </si>
  <si>
    <t xml:space="preserve">2020-05-29</t>
  </si>
  <si>
    <t xml:space="preserve">2020-06-03</t>
  </si>
  <si>
    <t xml:space="preserve">2020-06-04</t>
  </si>
  <si>
    <t xml:space="preserve">2020-06-21</t>
  </si>
  <si>
    <t xml:space="preserve">2020-07-01</t>
  </si>
  <si>
    <t xml:space="preserve">2020-07-06</t>
  </si>
  <si>
    <t xml:space="preserve">2020-07-13</t>
  </si>
  <si>
    <t xml:space="preserve">2020-07-20</t>
  </si>
  <si>
    <t xml:space="preserve">2020-07-21</t>
  </si>
  <si>
    <t xml:space="preserve">2020-08-08</t>
  </si>
  <si>
    <t xml:space="preserve">2020-08-22</t>
  </si>
  <si>
    <t xml:space="preserve">2020-08-23</t>
  </si>
  <si>
    <t xml:space="preserve">2020-09-06</t>
  </si>
  <si>
    <t xml:space="preserve">2020-09-13</t>
  </si>
  <si>
    <t xml:space="preserve">2020-09-17</t>
  </si>
  <si>
    <t xml:space="preserve">2020-09-20</t>
  </si>
  <si>
    <t xml:space="preserve">2020-09-23</t>
  </si>
  <si>
    <t xml:space="preserve">2020-09-25</t>
  </si>
  <si>
    <t xml:space="preserve">2020-09-27</t>
  </si>
  <si>
    <t xml:space="preserve">2020-10-05</t>
  </si>
  <si>
    <t xml:space="preserve">2020-10-14</t>
  </si>
  <si>
    <t xml:space="preserve">2020-10-16</t>
  </si>
  <si>
    <t xml:space="preserve">2020-10-18</t>
  </si>
  <si>
    <t xml:space="preserve">2020-10-24</t>
  </si>
  <si>
    <t xml:space="preserve">2020-11-13</t>
  </si>
  <si>
    <t xml:space="preserve">2020-11-14</t>
  </si>
  <si>
    <t xml:space="preserve">2020-11-16</t>
  </si>
  <si>
    <t xml:space="preserve">2020-11-17</t>
  </si>
  <si>
    <t xml:space="preserve">2020-11-21</t>
  </si>
  <si>
    <t xml:space="preserve">2020-11-22</t>
  </si>
  <si>
    <t xml:space="preserve">2020-11-27</t>
  </si>
  <si>
    <t xml:space="preserve">2020-11-28</t>
  </si>
  <si>
    <t xml:space="preserve">2020-11-30</t>
  </si>
  <si>
    <t xml:space="preserve">2020-12-03</t>
  </si>
  <si>
    <t xml:space="preserve">2020-12-12</t>
  </si>
  <si>
    <t xml:space="preserve">2020-12-11</t>
  </si>
  <si>
    <t xml:space="preserve">2020-12-15</t>
  </si>
  <si>
    <t xml:space="preserve">2020-12-17</t>
  </si>
  <si>
    <t xml:space="preserve">2020-12-19</t>
  </si>
  <si>
    <t xml:space="preserve">2021-01-03</t>
  </si>
  <si>
    <t xml:space="preserve">2021-01-04</t>
  </si>
  <si>
    <t xml:space="preserve">2021-01-11</t>
  </si>
  <si>
    <t xml:space="preserve">2021-01-12</t>
  </si>
  <si>
    <t xml:space="preserve">2021-01-21</t>
  </si>
  <si>
    <t xml:space="preserve">2021-01-23</t>
  </si>
  <si>
    <t xml:space="preserve">2021-02-01</t>
  </si>
  <si>
    <t xml:space="preserve">2021-02-03</t>
  </si>
  <si>
    <t xml:space="preserve">2021-02-04</t>
  </si>
  <si>
    <t xml:space="preserve">2021-02-11</t>
  </si>
  <si>
    <t xml:space="preserve">2021-02-17</t>
  </si>
  <si>
    <t xml:space="preserve">2021-03-03</t>
  </si>
  <si>
    <t xml:space="preserve">2021-03-04</t>
  </si>
  <si>
    <t xml:space="preserve">2021-03-06</t>
  </si>
  <si>
    <t xml:space="preserve">2021-03-16</t>
  </si>
  <si>
    <t xml:space="preserve">2021-03-18</t>
  </si>
  <si>
    <t xml:space="preserve">2021-03-19</t>
  </si>
  <si>
    <t xml:space="preserve">2021-03-23</t>
  </si>
  <si>
    <t xml:space="preserve">2021-03-27</t>
  </si>
  <si>
    <t xml:space="preserve">2021-04-01</t>
  </si>
  <si>
    <t xml:space="preserve">2021-04-03</t>
  </si>
  <si>
    <t xml:space="preserve">2021-04-05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</si>
  <si>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</si>
  <si>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</si>
  <si>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</si>
  <si>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</si>
  <si>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</si>
  <si>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2021-04-15</t>
  </si>
  <si>
    <t xml:space="preserve">2021-04-23</t>
  </si>
  <si>
    <t xml:space="preserve">2021-04-26</t>
  </si>
  <si>
    <t xml:space="preserve">2021-04-27</t>
  </si>
  <si>
    <t xml:space="preserve">2021-04-29</t>
  </si>
  <si>
    <t xml:space="preserve">2021-05-01</t>
  </si>
  <si>
    <t xml:space="preserve">2021-05-02</t>
  </si>
  <si>
    <t xml:space="preserve">2021-05-03</t>
  </si>
  <si>
    <t xml:space="preserve">2021-05-11</t>
  </si>
  <si>
    <t xml:space="preserve">2021-05-13</t>
  </si>
  <si>
    <t xml:space="preserve">2021-05-17</t>
  </si>
  <si>
    <t xml:space="preserve">2021-05-19</t>
  </si>
  <si>
    <t xml:space="preserve">2021-05-28</t>
  </si>
  <si>
    <t xml:space="preserve">2021-05-29</t>
  </si>
  <si>
    <t xml:space="preserve">2021-05-30</t>
  </si>
  <si>
    <t xml:space="preserve">2021-06-11</t>
  </si>
  <si>
    <t xml:space="preserve">2021-06-13</t>
  </si>
  <si>
    <t xml:space="preserve">2021-06-16</t>
  </si>
  <si>
    <t xml:space="preserve">2021-06-18</t>
  </si>
  <si>
    <t xml:space="preserve">2021-06-19</t>
  </si>
  <si>
    <t xml:space="preserve">2021-06-20</t>
  </si>
  <si>
    <t xml:space="preserve">2021-06-22</t>
  </si>
  <si>
    <t xml:space="preserve">2021-06-24</t>
  </si>
  <si>
    <t xml:space="preserve">2021-07-02</t>
  </si>
  <si>
    <t xml:space="preserve">2021-07-03</t>
  </si>
  <si>
    <t xml:space="preserve">2021-07-05</t>
  </si>
  <si>
    <t xml:space="preserve">2021-07-07</t>
  </si>
  <si>
    <t xml:space="preserve">2021-07-08</t>
  </si>
  <si>
    <t xml:space="preserve">2021-07-12</t>
  </si>
  <si>
    <t xml:space="preserve">2021-07-14</t>
  </si>
  <si>
    <t xml:space="preserve">2021-07-18</t>
  </si>
  <si>
    <t xml:space="preserve">2021-07-19</t>
  </si>
  <si>
    <t xml:space="preserve">2021-07-29</t>
  </si>
  <si>
    <t xml:space="preserve">2021-08-02</t>
  </si>
  <si>
    <t xml:space="preserve">2021-08-03</t>
  </si>
  <si>
    <t xml:space="preserve">2021-08-06</t>
  </si>
  <si>
    <t xml:space="preserve">2021-08-10</t>
  </si>
  <si>
    <t xml:space="preserve">2021-08-12</t>
  </si>
  <si>
    <t xml:space="preserve">2021-08-13</t>
  </si>
  <si>
    <t xml:space="preserve">2021-08-15</t>
  </si>
  <si>
    <t xml:space="preserve">2021-08-17</t>
  </si>
  <si>
    <t xml:space="preserve">2021-08-18</t>
  </si>
  <si>
    <t xml:space="preserve">2021-08-19</t>
  </si>
  <si>
    <t xml:space="preserve">2021-08-21</t>
  </si>
  <si>
    <t xml:space="preserve">2021-08-22</t>
  </si>
  <si>
    <t xml:space="preserve">2021-08-25</t>
  </si>
  <si>
    <t xml:space="preserve">2021-08-26</t>
  </si>
  <si>
    <t xml:space="preserve">2021-08-27</t>
  </si>
  <si>
    <t xml:space="preserve">2021-08-29</t>
  </si>
  <si>
    <t xml:space="preserve">2021-08-30</t>
  </si>
  <si>
    <t xml:space="preserve">2021-09-01</t>
  </si>
  <si>
    <t xml:space="preserve">2021-09-03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</si>
  <si>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</si>
  <si>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</si>
  <si>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</si>
  <si>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</si>
  <si>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2021-09-21</t>
  </si>
  <si>
    <t xml:space="preserve">2021-09-24</t>
  </si>
  <si>
    <t xml:space="preserve">2021-09-30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</si>
  <si>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</si>
  <si>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</si>
  <si>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</si>
  <si>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</si>
  <si>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</si>
  <si>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2021-10-12</t>
  </si>
  <si>
    <t xml:space="preserve">2021-10-15</t>
  </si>
  <si>
    <t xml:space="preserve">2021-10-16</t>
  </si>
  <si>
    <t xml:space="preserve">2021-10-18</t>
  </si>
  <si>
    <t xml:space="preserve">2021-10-23</t>
  </si>
  <si>
    <t xml:space="preserve">2021-10-26</t>
  </si>
  <si>
    <t xml:space="preserve">2021-10-28</t>
  </si>
  <si>
    <t xml:space="preserve">2021-10-30</t>
  </si>
  <si>
    <t xml:space="preserve">2021-11-01</t>
  </si>
  <si>
    <t xml:space="preserve">2021-11-02</t>
  </si>
  <si>
    <t xml:space="preserve">2021-11-03</t>
  </si>
  <si>
    <t xml:space="preserve">2021-11-05</t>
  </si>
  <si>
    <t xml:space="preserve">2021-11-06</t>
  </si>
  <si>
    <t xml:space="preserve">Dry DNB</t>
  </si>
  <si>
    <t xml:space="preserve">2021-11-11</t>
  </si>
  <si>
    <t xml:space="preserve">2021-11-13</t>
  </si>
  <si>
    <t xml:space="preserve">2021-11-14</t>
  </si>
  <si>
    <t xml:space="preserve">2021-11-16</t>
  </si>
  <si>
    <t xml:space="preserve">2021-11-26</t>
  </si>
  <si>
    <t xml:space="preserve">2021-11-27</t>
  </si>
  <si>
    <t xml:space="preserve">2021-11-29</t>
  </si>
  <si>
    <t xml:space="preserve">2021-12-01</t>
  </si>
  <si>
    <t xml:space="preserve">2021-12-03</t>
  </si>
  <si>
    <t xml:space="preserve">2021-12-07</t>
  </si>
  <si>
    <t xml:space="preserve">2021-12-11</t>
  </si>
  <si>
    <t xml:space="preserve">2021-12-14</t>
  </si>
  <si>
    <t xml:space="preserve">2021-12-21</t>
  </si>
  <si>
    <t xml:space="preserve">2021-12-29</t>
  </si>
  <si>
    <t xml:space="preserve">2021-12-30</t>
  </si>
  <si>
    <t xml:space="preserve">2021-12-31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</si>
  <si>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</si>
  <si>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</si>
  <si>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</si>
  <si>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</si>
  <si>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</si>
  <si>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2022-01-08</t>
  </si>
  <si>
    <t xml:space="preserve">2022-01-11</t>
  </si>
  <si>
    <t xml:space="preserve">2022-01-19</t>
  </si>
  <si>
    <t xml:space="preserve">2022-01-20</t>
  </si>
  <si>
    <t xml:space="preserve">2022-01-22</t>
  </si>
  <si>
    <t xml:space="preserve">2022-01-23</t>
  </si>
  <si>
    <t xml:space="preserve">2022-01-28</t>
  </si>
  <si>
    <t xml:space="preserve">2022-02-03</t>
  </si>
  <si>
    <t xml:space="preserve">2022-02-05</t>
  </si>
  <si>
    <t xml:space="preserve">2022-02-07</t>
  </si>
  <si>
    <t xml:space="preserve">2022-02-08</t>
  </si>
  <si>
    <t xml:space="preserve">2022-02-10</t>
  </si>
  <si>
    <t xml:space="preserve">2022-02-14</t>
  </si>
  <si>
    <t xml:space="preserve">2022-02-18</t>
  </si>
  <si>
    <t xml:space="preserve">2022-02-19</t>
  </si>
  <si>
    <t xml:space="preserve">2022-02-20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</si>
  <si>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</si>
  <si>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</si>
  <si>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</si>
  <si>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</si>
  <si>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</si>
  <si>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</si>
  <si>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</si>
  <si>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</si>
  <si>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2022-03-07</t>
  </si>
  <si>
    <t xml:space="preserve">2022-03-11</t>
  </si>
  <si>
    <t xml:space="preserve">2022-03-13</t>
  </si>
  <si>
    <t xml:space="preserve">2022-03-14</t>
  </si>
  <si>
    <t xml:space="preserve">2022-03-16</t>
  </si>
  <si>
    <t xml:space="preserve">2022-03-19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</si>
  <si>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</si>
  <si>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</si>
  <si>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</si>
  <si>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</si>
  <si>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</si>
  <si>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</si>
  <si>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</si>
  <si>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2022-03-30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</si>
  <si>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</si>
  <si>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</si>
  <si>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</si>
  <si>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</si>
  <si>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</si>
  <si>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</si>
  <si>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</si>
  <si>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</si>
  <si>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</si>
  <si>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</si>
  <si>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2022-04-15</t>
  </si>
  <si>
    <t xml:space="preserve">2022-04-16</t>
  </si>
  <si>
    <t xml:space="preserve">2022-04-18</t>
  </si>
  <si>
    <t xml:space="preserve">2022-04-21</t>
  </si>
  <si>
    <t xml:space="preserve">2022-04-25</t>
  </si>
  <si>
    <t xml:space="preserve">2022-04-29</t>
  </si>
  <si>
    <t xml:space="preserve">2022-05-02</t>
  </si>
  <si>
    <t xml:space="preserve">2022-05-07</t>
  </si>
  <si>
    <t xml:space="preserve">2022-05-11</t>
  </si>
  <si>
    <t xml:space="preserve">2022-05-12</t>
  </si>
  <si>
    <t xml:space="preserve">2022-05-14</t>
  </si>
  <si>
    <t xml:space="preserve">2022-05-16</t>
  </si>
  <si>
    <t xml:space="preserve">2022-05-17</t>
  </si>
  <si>
    <t xml:space="preserve">2022-05-18</t>
  </si>
  <si>
    <t xml:space="preserve">2022-05-20</t>
  </si>
  <si>
    <t xml:space="preserve">2022-05-24</t>
  </si>
  <si>
    <t xml:space="preserve">2022-05-25</t>
  </si>
  <si>
    <t xml:space="preserve">2022-05-26</t>
  </si>
  <si>
    <t xml:space="preserve">2022-05-31</t>
  </si>
  <si>
    <t xml:space="preserve">2022-06-02</t>
  </si>
  <si>
    <t xml:space="preserve">2022-06-03</t>
  </si>
  <si>
    <t xml:space="preserve">2022-06-09</t>
  </si>
  <si>
    <t xml:space="preserve">2022-06-15</t>
  </si>
  <si>
    <t xml:space="preserve">2022-06-17</t>
  </si>
  <si>
    <t xml:space="preserve">2022-06-16</t>
  </si>
  <si>
    <t xml:space="preserve">2022-06-20</t>
  </si>
  <si>
    <t xml:space="preserve">2022-06-23</t>
  </si>
  <si>
    <t xml:space="preserve">2022-06-25</t>
  </si>
  <si>
    <t xml:space="preserve">2022-06-26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</si>
  <si>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</si>
  <si>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</si>
  <si>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</si>
  <si>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</si>
  <si>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2022-07-03</t>
  </si>
  <si>
    <t xml:space="preserve">2022-07-05</t>
  </si>
  <si>
    <t xml:space="preserve">2022-07-06</t>
  </si>
  <si>
    <t xml:space="preserve">2022-07-07</t>
  </si>
  <si>
    <t xml:space="preserve">2022-07-11</t>
  </si>
  <si>
    <t xml:space="preserve">2022-07-13</t>
  </si>
  <si>
    <t xml:space="preserve">2022-07-14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</si>
  <si>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</si>
  <si>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</si>
  <si>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</si>
  <si>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</si>
  <si>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</si>
  <si>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</si>
  <si>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</si>
  <si>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</si>
  <si>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</si>
  <si>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</si>
  <si>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</si>
  <si>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</si>
  <si>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</si>
  <si>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</si>
  <si>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2022-08-03</t>
  </si>
  <si>
    <t xml:space="preserve">2022-08-04</t>
  </si>
  <si>
    <t xml:space="preserve">2022-08-06</t>
  </si>
  <si>
    <t xml:space="preserve">2022-08-08</t>
  </si>
  <si>
    <t xml:space="preserve">2022-08-11</t>
  </si>
  <si>
    <t xml:space="preserve">2022-08-12</t>
  </si>
  <si>
    <t xml:space="preserve">2022-08-14</t>
  </si>
  <si>
    <t xml:space="preserve">2022-08-16</t>
  </si>
  <si>
    <t xml:space="preserve">2022-08-17</t>
  </si>
  <si>
    <t xml:space="preserve">2022-08-19</t>
  </si>
  <si>
    <t xml:space="preserve">2022-08-20</t>
  </si>
  <si>
    <t xml:space="preserve">2022-08-23</t>
  </si>
  <si>
    <t xml:space="preserve">2022-08-25</t>
  </si>
  <si>
    <t xml:space="preserve">Dry Bred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</si>
  <si>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</si>
  <si>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</si>
  <si>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</si>
  <si>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</si>
  <si>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</si>
  <si>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</si>
  <si>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</si>
  <si>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</si>
  <si>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2022-09-05</t>
  </si>
  <si>
    <t xml:space="preserve">2022-09-06</t>
  </si>
  <si>
    <t xml:space="preserve">2022-09-08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</si>
  <si>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</si>
  <si>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</si>
  <si>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</si>
  <si>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</si>
  <si>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</si>
  <si>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</si>
  <si>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</si>
  <si>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2022-09-19</t>
  </si>
  <si>
    <t xml:space="preserve">2022-09-20</t>
  </si>
  <si>
    <t xml:space="preserve">2022-09-24</t>
  </si>
  <si>
    <t xml:space="preserve">2022-09-30</t>
  </si>
  <si>
    <t xml:space="preserve">2022-10-01</t>
  </si>
  <si>
    <t xml:space="preserve">2022-10-02</t>
  </si>
  <si>
    <t xml:space="preserve">2022-10-04</t>
  </si>
  <si>
    <t xml:space="preserve">2022-10-05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</si>
  <si>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</si>
  <si>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</si>
  <si>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</si>
  <si>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</si>
  <si>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2022-10-15</t>
  </si>
  <si>
    <t xml:space="preserve">2022-10-16</t>
  </si>
  <si>
    <t xml:space="preserve">2022-10-18</t>
  </si>
  <si>
    <t xml:space="preserve">2022-10-19</t>
  </si>
  <si>
    <t xml:space="preserve">2022-10-20</t>
  </si>
  <si>
    <t xml:space="preserve">2022-10-26</t>
  </si>
  <si>
    <t xml:space="preserve">2022-10-27</t>
  </si>
  <si>
    <t xml:space="preserve">2022-10-28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</si>
  <si>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</si>
  <si>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</si>
  <si>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</si>
  <si>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</si>
  <si>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</si>
  <si>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</si>
  <si>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</si>
  <si>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</si>
  <si>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</si>
  <si>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</si>
  <si>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</si>
  <si>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</si>
  <si>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</si>
  <si>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2022-11-19</t>
  </si>
  <si>
    <t xml:space="preserve">2022-11-21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</si>
  <si>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</si>
  <si>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</si>
  <si>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</si>
  <si>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</si>
  <si>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2022-12-01</t>
  </si>
  <si>
    <t xml:space="preserve">2022-12-02</t>
  </si>
  <si>
    <t xml:space="preserve">2022-12-03</t>
  </si>
  <si>
    <t xml:space="preserve">2022-12-05</t>
  </si>
  <si>
    <t xml:space="preserve">2022-12-06</t>
  </si>
  <si>
    <t xml:space="preserve">2022-12-11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</si>
  <si>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</si>
  <si>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</si>
  <si>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</si>
  <si>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</si>
  <si>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</si>
  <si>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</si>
  <si>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</si>
  <si>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</si>
  <si>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</si>
  <si>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</si>
  <si>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</si>
  <si>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</si>
  <si>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2022-12-29</t>
  </si>
  <si>
    <t xml:space="preserve">2022-12-30</t>
  </si>
  <si>
    <t xml:space="preserve">2022-12-31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</si>
  <si>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</si>
  <si>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</si>
  <si>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</si>
  <si>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</si>
  <si>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</si>
  <si>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2023-01-09</t>
  </si>
  <si>
    <t xml:space="preserve">2023-01-12</t>
  </si>
  <si>
    <t xml:space="preserve">2023-01-13</t>
  </si>
  <si>
    <t xml:space="preserve">2023-01-15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</si>
  <si>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</si>
  <si>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</si>
  <si>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</si>
  <si>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</si>
  <si>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</si>
  <si>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</si>
  <si>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</si>
  <si>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</si>
  <si>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</si>
  <si>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2023-02-01</t>
  </si>
  <si>
    <t xml:space="preserve">2023-02-03</t>
  </si>
  <si>
    <t xml:space="preserve">2023-02-04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</si>
  <si>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</si>
  <si>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</si>
  <si>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</si>
  <si>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</si>
  <si>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</si>
  <si>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</si>
  <si>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2023-02-15</t>
  </si>
  <si>
    <t xml:space="preserve">2023-02-16</t>
  </si>
  <si>
    <t xml:space="preserve">2023-02-19</t>
  </si>
  <si>
    <t xml:space="preserve">2023-02-17</t>
  </si>
  <si>
    <t xml:space="preserve">2023-02-18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</si>
  <si>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</si>
  <si>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</si>
  <si>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</si>
  <si>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</si>
  <si>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</si>
  <si>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</si>
  <si>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2023-02-27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</si>
  <si>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</si>
  <si>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</si>
  <si>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</si>
  <si>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</si>
  <si>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</si>
  <si>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</si>
  <si>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2023-03-09</t>
  </si>
  <si>
    <t xml:space="preserve">2023-03-10</t>
  </si>
  <si>
    <t xml:space="preserve">2023-03-11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</si>
  <si>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</si>
  <si>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</si>
  <si>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</si>
  <si>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</si>
  <si>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</si>
  <si>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</si>
  <si>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2023-03-20</t>
  </si>
  <si>
    <t xml:space="preserve">2023-03-21</t>
  </si>
  <si>
    <t xml:space="preserve">2023-03-23</t>
  </si>
  <si>
    <t xml:space="preserve">2023-03-24</t>
  </si>
  <si>
    <t xml:space="preserve">2023-03-30</t>
  </si>
  <si>
    <t xml:space="preserve">2023-03-31</t>
  </si>
  <si>
    <t xml:space="preserve">2023-04-04</t>
  </si>
  <si>
    <t xml:space="preserve">2023-04-03</t>
  </si>
  <si>
    <t xml:space="preserve">2023-04-05</t>
  </si>
  <si>
    <t xml:space="preserve">2023-04-06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</si>
  <si>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</si>
  <si>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</si>
  <si>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</si>
  <si>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</si>
  <si>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</si>
  <si>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</si>
  <si>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</si>
  <si>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2023-04-18</t>
  </si>
  <si>
    <t xml:space="preserve">2023-04-19</t>
  </si>
  <si>
    <t xml:space="preserve">2023-04-21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</si>
  <si>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</si>
  <si>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</si>
  <si>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</si>
  <si>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</si>
  <si>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2023-04-28</t>
  </si>
  <si>
    <t xml:space="preserve">2023-04-29</t>
  </si>
  <si>
    <t xml:space="preserve">2023-05-01</t>
  </si>
  <si>
    <t xml:space="preserve">2023-05-03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</si>
  <si>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</si>
  <si>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</si>
  <si>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</si>
  <si>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</si>
  <si>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</si>
  <si>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</si>
  <si>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</si>
  <si>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</si>
  <si>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</si>
  <si>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</si>
  <si>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</si>
  <si>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</si>
  <si>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</si>
  <si>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</si>
  <si>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</si>
  <si>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</si>
  <si>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2023-05-26</t>
  </si>
  <si>
    <t xml:space="preserve">2023-05-28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</si>
  <si>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</si>
  <si>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</si>
  <si>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</si>
  <si>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</si>
  <si>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</si>
  <si>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</si>
  <si>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</si>
  <si>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</si>
  <si>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2023-06-08</t>
  </si>
  <si>
    <t xml:space="preserve">2023-06-09</t>
  </si>
  <si>
    <t xml:space="preserve">2023-06-10</t>
  </si>
  <si>
    <t xml:space="preserve">2023-06-12</t>
  </si>
  <si>
    <t xml:space="preserve">2023-06-14</t>
  </si>
  <si>
    <t xml:space="preserve">2023-06-18</t>
  </si>
  <si>
    <t xml:space="preserve">2023-06-15</t>
  </si>
  <si>
    <t xml:space="preserve">2023-06-16</t>
  </si>
  <si>
    <t xml:space="preserve">2023-06-17</t>
  </si>
  <si>
    <t xml:space="preserve">2023-06-20</t>
  </si>
  <si>
    <t xml:space="preserve">2023-06-22</t>
  </si>
  <si>
    <t xml:space="preserve">2023-06-23</t>
  </si>
  <si>
    <t xml:space="preserve">2023-06-24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</si>
  <si>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</si>
  <si>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</si>
  <si>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</si>
  <si>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</si>
  <si>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2023-07-01</t>
  </si>
  <si>
    <t xml:space="preserve">2023-07-04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</si>
  <si>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</si>
  <si>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</si>
  <si>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</si>
  <si>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</si>
  <si>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</si>
  <si>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</si>
  <si>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</si>
  <si>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</si>
  <si>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</si>
  <si>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</si>
  <si>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</si>
  <si>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</si>
  <si>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</si>
  <si>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</si>
  <si>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2023-07-20</t>
  </si>
  <si>
    <t xml:space="preserve">2023-07-21</t>
  </si>
  <si>
    <t xml:space="preserve">2023-07-23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</si>
  <si>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</si>
  <si>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</si>
  <si>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</si>
  <si>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</si>
  <si>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</si>
  <si>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</si>
  <si>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</si>
  <si>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</si>
  <si>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</si>
  <si>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</si>
  <si>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</si>
  <si>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</si>
  <si>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</si>
  <si>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2023-08-09</t>
  </si>
  <si>
    <t xml:space="preserve">2023-08-10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</si>
  <si>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</si>
  <si>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</si>
  <si>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</si>
  <si>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</si>
  <si>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</si>
  <si>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</si>
  <si>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</si>
  <si>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</si>
  <si>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</si>
  <si>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</si>
  <si>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</si>
  <si>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</si>
  <si>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</si>
  <si>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</si>
  <si>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</si>
  <si>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</si>
  <si>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2023-08-30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</si>
  <si>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</si>
  <si>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</si>
  <si>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</si>
  <si>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</si>
  <si>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</si>
  <si>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</si>
  <si>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</si>
  <si>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</si>
  <si>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</si>
  <si>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</si>
  <si>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</si>
  <si>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</si>
  <si>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</si>
  <si>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</si>
  <si>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</si>
  <si>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</si>
  <si>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</si>
  <si>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</si>
  <si>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</si>
  <si>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</si>
  <si>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</si>
  <si>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</si>
  <si>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</si>
  <si>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</si>
  <si>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2023-10-01</t>
  </si>
  <si>
    <t xml:space="preserve">2023-10-05</t>
  </si>
  <si>
    <t xml:space="preserve">2023-10-11</t>
  </si>
  <si>
    <t xml:space="preserve">2023-10-12</t>
  </si>
  <si>
    <t xml:space="preserve">2023-10-15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</si>
  <si>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</si>
  <si>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</si>
  <si>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</si>
  <si>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</si>
  <si>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</si>
  <si>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</si>
  <si>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</si>
  <si>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</si>
  <si>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2023-10-31</t>
  </si>
  <si>
    <t xml:space="preserve">2023-11-01</t>
  </si>
  <si>
    <t xml:space="preserve">2023-11-02</t>
  </si>
  <si>
    <t xml:space="preserve">2023-11-04</t>
  </si>
  <si>
    <t xml:space="preserve">2023-11-05</t>
  </si>
  <si>
    <t xml:space="preserve">2023-11-07</t>
  </si>
  <si>
    <t xml:space="preserve">2023-11-08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</si>
  <si>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</si>
  <si>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</si>
  <si>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</si>
  <si>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</si>
  <si>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</si>
  <si>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</si>
  <si>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</si>
  <si>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</si>
  <si>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</si>
  <si>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</si>
  <si>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</si>
  <si>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</si>
  <si>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</si>
  <si>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</si>
  <si>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</si>
  <si>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</si>
  <si>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</si>
  <si>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</si>
  <si>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</si>
  <si>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</si>
  <si>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2023-12-01</t>
  </si>
  <si>
    <t xml:space="preserve">2023-12-02</t>
  </si>
  <si>
    <t xml:space="preserve">2023-12-03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</si>
  <si>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</si>
  <si>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</si>
  <si>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</si>
  <si>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</si>
  <si>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</si>
  <si>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</si>
  <si>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</si>
  <si>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</si>
  <si>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</si>
  <si>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</si>
  <si>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2023-12-17</t>
  </si>
  <si>
    <t xml:space="preserve">2023-12-18</t>
  </si>
  <si>
    <t xml:space="preserve">2023-12-20</t>
  </si>
  <si>
    <t xml:space="preserve">2023-12-22</t>
  </si>
  <si>
    <t xml:space="preserve">2023-12-23</t>
  </si>
  <si>
    <t xml:space="preserve">2023-12-24</t>
  </si>
  <si>
    <t xml:space="preserve">2023-12-26</t>
  </si>
  <si>
    <t xml:space="preserve">2023-12-28</t>
  </si>
  <si>
    <t xml:space="preserve">2024-01-01</t>
  </si>
  <si>
    <t xml:space="preserve">2024-01-02</t>
  </si>
  <si>
    <t xml:space="preserve">2024-01-04</t>
  </si>
  <si>
    <t xml:space="preserve">2024-01-05</t>
  </si>
  <si>
    <t xml:space="preserve">2024-01-06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</si>
  <si>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</si>
  <si>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</si>
  <si>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</si>
  <si>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</si>
  <si>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</si>
  <si>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</si>
  <si>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</si>
  <si>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</si>
  <si>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2024-01-17</t>
  </si>
  <si>
    <t xml:space="preserve">2024-01-19</t>
  </si>
  <si>
    <t xml:space="preserve">2024-01-21</t>
  </si>
  <si>
    <t xml:space="preserve">2024-01-20</t>
  </si>
  <si>
    <t xml:space="preserve">2024-01-22</t>
  </si>
  <si>
    <t xml:space="preserve">2024-01-25</t>
  </si>
  <si>
    <t xml:space="preserve">2024-01-26</t>
  </si>
  <si>
    <t xml:space="preserve">2024-01-28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</si>
  <si>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</si>
  <si>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</si>
  <si>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</si>
  <si>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</si>
  <si>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</si>
  <si>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</si>
  <si>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</si>
  <si>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</si>
  <si>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</si>
  <si>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2024-02-10</t>
  </si>
  <si>
    <t xml:space="preserve">2024-02-11</t>
  </si>
  <si>
    <t xml:space="preserve">2024-02-13</t>
  </si>
  <si>
    <t xml:space="preserve">2024-02-12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</si>
  <si>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</si>
  <si>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</si>
  <si>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</si>
  <si>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</si>
  <si>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2024-02-20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</si>
  <si>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</si>
  <si>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</si>
  <si>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</si>
  <si>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</si>
  <si>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</si>
  <si>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</si>
  <si>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</si>
  <si>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</si>
  <si>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</si>
  <si>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</si>
  <si>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</si>
  <si>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</si>
  <si>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</si>
  <si>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</si>
  <si>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</si>
  <si>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2024-03-11</t>
  </si>
  <si>
    <t xml:space="preserve">2024-03-10</t>
  </si>
  <si>
    <t xml:space="preserve">2024-03-12</t>
  </si>
  <si>
    <t xml:space="preserve">2024-03-14</t>
  </si>
  <si>
    <t xml:space="preserve">2024-03-15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</si>
  <si>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</si>
  <si>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</si>
  <si>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</si>
  <si>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</si>
  <si>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</si>
  <si>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</si>
  <si>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</si>
  <si>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</si>
  <si>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</si>
  <si>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</si>
  <si>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</si>
  <si>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</si>
  <si>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</si>
  <si>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</si>
  <si>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</si>
  <si>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</si>
  <si>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</si>
  <si>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</si>
  <si>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</si>
  <si>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</si>
  <si>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2024-04-07</t>
  </si>
  <si>
    <t xml:space="preserve">2024-04-08</t>
  </si>
  <si>
    <t xml:space="preserve">2024-04-10</t>
  </si>
  <si>
    <t xml:space="preserve">2024-04-11</t>
  </si>
  <si>
    <t xml:space="preserve">2024-04-12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</si>
  <si>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</si>
  <si>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</si>
  <si>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</si>
  <si>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</si>
  <si>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</si>
  <si>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</si>
  <si>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</si>
  <si>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</si>
  <si>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</si>
  <si>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</si>
  <si>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</si>
  <si>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</si>
  <si>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</si>
  <si>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</si>
  <si>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2024-05-01</t>
  </si>
  <si>
    <t xml:space="preserve">2024-04-30</t>
  </si>
  <si>
    <t xml:space="preserve">2024-05-02</t>
  </si>
  <si>
    <t xml:space="preserve">2024-05-06</t>
  </si>
  <si>
    <t xml:space="preserve">2024-05-03</t>
  </si>
  <si>
    <t xml:space="preserve">2024-05-04</t>
  </si>
  <si>
    <t xml:space="preserve">2024-05-05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</si>
  <si>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</si>
  <si>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</si>
  <si>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</si>
  <si>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</si>
  <si>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</si>
  <si>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</si>
  <si>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</si>
  <si>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</si>
  <si>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</si>
  <si>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2024-05-19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</si>
  <si>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</si>
  <si>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</si>
  <si>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</si>
  <si>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</si>
  <si>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</si>
  <si>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</si>
  <si>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</si>
  <si>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</si>
  <si>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2024-05-30</t>
  </si>
  <si>
    <t xml:space="preserve">2024-05-31</t>
  </si>
  <si>
    <t xml:space="preserve">2024-06-01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</si>
  <si>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</si>
  <si>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</si>
  <si>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</si>
  <si>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</si>
  <si>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</si>
  <si>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</si>
  <si>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</si>
  <si>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</si>
  <si>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</si>
  <si>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</si>
  <si>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</si>
  <si>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</si>
  <si>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</si>
  <si>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</si>
  <si>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</si>
  <si>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</si>
  <si>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</si>
  <si>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</si>
  <si>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</si>
  <si>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</si>
  <si>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</si>
  <si>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</si>
  <si>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</si>
  <si>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</si>
  <si>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</si>
  <si>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</si>
  <si>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</si>
  <si>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</si>
  <si>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</si>
  <si>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</si>
  <si>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</si>
  <si>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</si>
  <si>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</si>
  <si>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</si>
  <si>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2024-07-11</t>
  </si>
  <si>
    <t xml:space="preserve">2024-07-13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</si>
  <si>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</si>
  <si>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</si>
  <si>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</si>
  <si>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</si>
  <si>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</si>
  <si>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</si>
  <si>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</si>
  <si>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</si>
  <si>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</si>
  <si>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</si>
  <si>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</si>
  <si>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</si>
  <si>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</si>
  <si>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</si>
  <si>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</si>
  <si>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2024-08-03</t>
  </si>
  <si>
    <t xml:space="preserve">2024-08-05</t>
  </si>
  <si>
    <t xml:space="preserve">2024-08-06</t>
  </si>
  <si>
    <t xml:space="preserve">2024-08-08</t>
  </si>
  <si>
    <t xml:space="preserve">2024-08-09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</si>
  <si>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</si>
  <si>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</si>
  <si>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</si>
  <si>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</si>
  <si>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</si>
  <si>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</si>
  <si>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</si>
  <si>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</si>
  <si>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2024-08-22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</si>
  <si>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</si>
  <si>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</si>
  <si>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</si>
  <si>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</si>
  <si>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</si>
  <si>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</si>
  <si>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</si>
  <si>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</si>
  <si>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2024-09-02</t>
  </si>
  <si>
    <t xml:space="preserve">2024-09-03</t>
  </si>
  <si>
    <t xml:space="preserve">2024-09-04</t>
  </si>
  <si>
    <t xml:space="preserve">2024-09-06</t>
  </si>
  <si>
    <t xml:space="preserve">2024-09-07</t>
  </si>
  <si>
    <t xml:space="preserve">2024-09-09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</si>
  <si>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</si>
  <si>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</si>
  <si>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</si>
  <si>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</si>
  <si>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2024-09-16</t>
  </si>
  <si>
    <t xml:space="preserve">2024-09-17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</si>
  <si>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</si>
  <si>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</si>
  <si>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</si>
  <si>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</si>
  <si>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</si>
  <si>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2024-09-25</t>
  </si>
  <si>
    <t xml:space="preserve">2024-09-27</t>
  </si>
  <si>
    <t xml:space="preserve">2024-09-28</t>
  </si>
  <si>
    <t xml:space="preserve">2024-09-29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</si>
  <si>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</si>
  <si>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</si>
  <si>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</si>
  <si>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</si>
  <si>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</si>
  <si>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2024-10-09</t>
  </si>
  <si>
    <t xml:space="preserve">2024-10-06</t>
  </si>
  <si>
    <t xml:space="preserve">2024-10-07</t>
  </si>
  <si>
    <t xml:space="preserve">2024-10-08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</si>
  <si>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</si>
  <si>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</si>
  <si>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</si>
  <si>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</si>
  <si>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</si>
  <si>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</si>
  <si>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</si>
  <si>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</si>
  <si>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</si>
  <si>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</si>
  <si>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</si>
  <si>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</si>
  <si>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2024-10-23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</si>
  <si>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</si>
  <si>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</si>
  <si>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</si>
  <si>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</si>
  <si>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</si>
  <si>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</si>
  <si>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</si>
  <si>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</si>
  <si>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</si>
  <si>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</si>
  <si>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</si>
  <si>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</si>
  <si>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</si>
  <si>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</si>
  <si>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</si>
  <si>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</si>
  <si>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</si>
  <si>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</si>
  <si>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</si>
  <si>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</si>
  <si>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</si>
  <si>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</si>
  <si>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</si>
  <si>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</si>
  <si>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</si>
  <si>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</si>
  <si>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</si>
  <si>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</si>
  <si>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</si>
  <si>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</si>
  <si>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</si>
  <si>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</si>
  <si>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</si>
  <si>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</si>
  <si>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</si>
  <si>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</si>
  <si>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</si>
  <si>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</si>
  <si>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</si>
  <si>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</si>
  <si>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</si>
  <si>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</si>
  <si>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</si>
  <si>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</si>
  <si>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</si>
  <si>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</si>
  <si>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</si>
  <si>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</si>
  <si>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</si>
  <si>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2024-12-24</t>
  </si>
  <si>
    <t xml:space="preserve">2025-11-24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</si>
  <si>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</si>
  <si>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</si>
  <si>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</si>
  <si>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</si>
  <si>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</si>
  <si>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</si>
  <si>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</si>
  <si>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</si>
  <si>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</si>
  <si>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2025-01-04</t>
  </si>
  <si>
    <t xml:space="preserve">2025-01-06</t>
  </si>
  <si>
    <t xml:space="preserve">2025-01-07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</si>
  <si>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</si>
  <si>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</si>
  <si>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</si>
  <si>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</si>
  <si>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</si>
  <si>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</si>
  <si>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</si>
  <si>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</si>
  <si>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</si>
  <si>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</si>
  <si>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2025-01-20</t>
  </si>
  <si>
    <t xml:space="preserve">2025-01-21</t>
  </si>
  <si>
    <t xml:space="preserve">2025-01-23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</si>
  <si>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</si>
  <si>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</si>
  <si>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</si>
  <si>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</si>
  <si>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</si>
  <si>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</si>
  <si>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</si>
  <si>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</si>
  <si>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</si>
  <si>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</si>
  <si>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</si>
  <si>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</si>
  <si>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</si>
  <si>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</si>
  <si>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</si>
  <si>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</si>
  <si>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</si>
  <si>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</si>
  <si>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</si>
  <si>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</si>
  <si>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</si>
  <si>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</si>
  <si>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</si>
  <si>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</si>
  <si>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</si>
  <si>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</si>
  <si>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</si>
  <si>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</si>
  <si>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</si>
  <si>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</si>
  <si>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</si>
  <si>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</si>
  <si>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</si>
  <si>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</si>
  <si>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</si>
  <si>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</si>
  <si>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</si>
  <si>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</si>
  <si>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</si>
  <si>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</si>
  <si>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</si>
  <si>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</si>
  <si>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2025-03-16</t>
  </si>
  <si>
    <t xml:space="preserve">2025-03-18</t>
  </si>
  <si>
    <t xml:space="preserve">2025-03-19</t>
  </si>
  <si>
    <t xml:space="preserve">2025-03-21</t>
  </si>
  <si>
    <t xml:space="preserve">2025-03-24</t>
  </si>
  <si>
    <t xml:space="preserve">2025-03-26</t>
  </si>
  <si>
    <t xml:space="preserve">2025-03-27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</si>
  <si>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</si>
  <si>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</si>
  <si>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</si>
  <si>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</si>
  <si>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</si>
  <si>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</si>
  <si>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2025-04-06</t>
  </si>
  <si>
    <t xml:space="preserve">2025-04-08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</si>
  <si>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</si>
  <si>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</si>
  <si>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</si>
  <si>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</si>
  <si>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</si>
  <si>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</si>
  <si>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</si>
  <si>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2025-04-16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</si>
  <si>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</si>
  <si>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</si>
  <si>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</si>
  <si>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</si>
  <si>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</si>
  <si>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</si>
  <si>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</si>
  <si>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</si>
  <si>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</si>
  <si>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</si>
  <si>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</si>
  <si>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</si>
  <si>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</si>
  <si>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</si>
  <si>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</si>
  <si>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</si>
  <si>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2025-05-14</t>
  </si>
  <si>
    <t xml:space="preserve">2025-05-11</t>
  </si>
  <si>
    <t xml:space="preserve">2025-05-12</t>
  </si>
  <si>
    <t xml:space="preserve">2025-05-13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</si>
  <si>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</si>
  <si>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</si>
  <si>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</si>
  <si>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</si>
  <si>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</si>
  <si>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</si>
  <si>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</si>
  <si>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</si>
  <si>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</si>
  <si>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</si>
  <si>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</si>
  <si>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</si>
  <si>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</si>
  <si>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</si>
  <si>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</si>
  <si>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</si>
  <si>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</si>
  <si>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</si>
  <si>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</si>
  <si>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</si>
  <si>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</si>
  <si>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</si>
  <si>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</si>
  <si>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</si>
  <si>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</si>
  <si>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</si>
  <si>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</si>
  <si>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</si>
  <si>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</si>
  <si>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2025-06-21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</si>
  <si>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</si>
  <si>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</si>
  <si>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</si>
  <si>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</si>
  <si>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</si>
  <si>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</si>
  <si>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</si>
  <si>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</si>
  <si>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</si>
  <si>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</si>
  <si>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2025-07-05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</si>
  <si>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</si>
  <si>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</si>
  <si>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</si>
  <si>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</si>
  <si>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</si>
  <si>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</si>
  <si>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2025-07-16</t>
  </si>
  <si>
    <t xml:space="preserve">2025-07-14</t>
  </si>
  <si>
    <t xml:space="preserve">2025-07-15</t>
  </si>
  <si>
    <t xml:space="preserve">2025-07-17</t>
  </si>
  <si>
    <t xml:space="preserve">2025-07-18</t>
  </si>
  <si>
    <t xml:space="preserve">2025-07-20</t>
  </si>
  <si>
    <t xml:space="preserve">2025-07-22</t>
  </si>
  <si>
    <t xml:space="preserve">2025-07-24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</si>
  <si>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</si>
  <si>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</si>
  <si>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</si>
  <si>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</si>
  <si>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</si>
  <si>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</si>
  <si>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</si>
  <si>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</si>
  <si>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</si>
  <si>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2025-08-08</t>
  </si>
  <si>
    <t xml:space="preserve">2025-08-06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</si>
  <si>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</si>
  <si>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</si>
  <si>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</si>
  <si>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</si>
  <si>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</si>
  <si>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2025-06-15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</si>
  <si>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</si>
  <si>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</si>
  <si>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</si>
  <si>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</si>
  <si>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2025-09-15</t>
  </si>
  <si>
    <t xml:space="preserve">2025-08-04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</si>
  <si>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</si>
  <si>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</si>
  <si>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</si>
  <si>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</si>
  <si>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</si>
  <si>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</si>
  <si>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</si>
  <si>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</si>
  <si>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</si>
  <si>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</si>
  <si>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</si>
  <si>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</si>
  <si>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</si>
  <si>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</si>
  <si>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</si>
  <si>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</si>
  <si>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2025-09-04</t>
  </si>
  <si>
    <t xml:space="preserve">2025-09-05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</si>
  <si>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</si>
  <si>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</si>
  <si>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</si>
  <si>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</si>
  <si>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</si>
  <si>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</si>
  <si>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</si>
  <si>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</si>
  <si>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</si>
  <si>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</si>
  <si>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</si>
  <si>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</si>
  <si>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</si>
  <si>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</si>
  <si>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</si>
  <si>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</si>
  <si>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</si>
  <si>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</si>
  <si>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</si>
  <si>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</si>
  <si>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</si>
  <si>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</si>
  <si>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2025-10-06</t>
  </si>
  <si>
    <t xml:space="preserve">2025-10-07</t>
  </si>
  <si>
    <t xml:space="preserve">2025-10-09</t>
  </si>
  <si>
    <t xml:space="preserve">2025-10-08</t>
  </si>
  <si>
    <t xml:space="preserve">2025-10-10</t>
  </si>
  <si>
    <t xml:space="preserve">2025-10-11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</si>
  <si>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</si>
  <si>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</si>
  <si>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</si>
  <si>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</si>
  <si>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2025-10-18</t>
  </si>
  <si>
    <t xml:space="preserve">2025-10-17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</si>
  <si>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</si>
  <si>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</si>
  <si>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</si>
  <si>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</si>
  <si>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</si>
  <si>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</si>
  <si>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</si>
  <si>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</si>
  <si>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</si>
  <si>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</si>
  <si>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</si>
  <si>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</si>
  <si>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</si>
  <si>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</si>
  <si>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</si>
  <si>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</si>
  <si>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</si>
  <si>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</si>
  <si>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</si>
  <si>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</si>
  <si>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</si>
  <si>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</si>
  <si>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</si>
  <si>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</si>
  <si>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2025-11-13</t>
  </si>
  <si>
    <t xml:space="preserve">2025-11-14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</si>
  <si>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</si>
  <si>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</si>
  <si>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</si>
  <si>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</si>
  <si>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</si>
  <si>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</si>
  <si>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</si>
  <si>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</si>
  <si>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2025-11-25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</si>
  <si>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</si>
  <si>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</si>
  <si>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</si>
  <si>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</si>
  <si>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</si>
  <si>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</si>
  <si>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</si>
  <si>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</si>
  <si>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</si>
  <si>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</si>
  <si>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</si>
  <si>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</si>
  <si>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</si>
  <si>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</si>
  <si>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</si>
  <si>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</si>
  <si>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</si>
  <si>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</si>
  <si>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</si>
  <si>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</si>
  <si>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</si>
  <si>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</si>
  <si>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</si>
  <si>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</si>
  <si>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</si>
  <si>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</si>
  <si>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</si>
  <si>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</si>
  <si>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</si>
  <si>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</si>
  <si>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</si>
  <si>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2025-12-31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</si>
  <si>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</si>
  <si>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</si>
  <si>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</si>
  <si>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</si>
  <si>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</si>
  <si>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</si>
  <si>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</si>
  <si>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</si>
  <si>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</si>
  <si>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</si>
  <si>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</si>
  <si>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</si>
  <si>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</si>
  <si>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</si>
  <si>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</si>
  <si>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</si>
  <si>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</si>
  <si>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</si>
  <si>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2026-01-20</t>
  </si>
  <si>
    <t xml:space="preserve">2026-01-21</t>
  </si>
  <si>
    <t xml:space="preserve">2026-01-22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</si>
  <si>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</si>
  <si>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</si>
  <si>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</si>
  <si>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</si>
  <si>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</si>
  <si>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</si>
  <si>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</si>
  <si>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</si>
  <si>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</si>
  <si>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</si>
  <si>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</si>
  <si>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</si>
  <si>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</si>
  <si>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</si>
  <si>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</si>
  <si>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</si>
  <si>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</si>
  <si>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</si>
  <si>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</si>
  <si>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</si>
  <si>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</si>
  <si>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</si>
  <si>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</si>
  <si>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</si>
  <si>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</si>
  <si>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</si>
  <si>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</si>
  <si>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2026-02-21</t>
  </si>
  <si>
    <t xml:space="preserve">2026-02-22</t>
  </si>
  <si>
    <t xml:space="preserve">2026-02-23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</si>
  <si>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</si>
  <si>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</si>
  <si>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</si>
  <si>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</si>
  <si>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2026-03-01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</si>
  <si>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</si>
  <si>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</si>
  <si>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</si>
  <si>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</si>
  <si>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</si>
  <si>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</si>
  <si>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</si>
  <si>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</si>
  <si>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</si>
  <si>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</si>
  <si>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</si>
  <si>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</si>
  <si>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</si>
  <si>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</si>
  <si>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</si>
  <si>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</si>
  <si>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</si>
  <si>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</si>
  <si>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</si>
  <si>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</si>
  <si>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</si>
  <si>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</si>
  <si>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</si>
  <si>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</si>
  <si>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</si>
  <si>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</si>
  <si>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</si>
  <si>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</si>
  <si>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</si>
  <si>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</si>
  <si>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2026-04-04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</si>
  <si>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</si>
  <si>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</si>
  <si>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</si>
  <si>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</si>
  <si>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</si>
  <si>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</si>
  <si>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</si>
  <si>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</si>
  <si>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</si>
  <si>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</si>
  <si>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</si>
  <si>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</si>
  <si>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</si>
  <si>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</si>
  <si>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</si>
  <si>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</si>
  <si>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</si>
  <si>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</si>
  <si>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</si>
  <si>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</si>
  <si>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2026-04-26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</si>
  <si>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</si>
  <si>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</si>
  <si>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</si>
  <si>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</si>
  <si>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</si>
  <si>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</si>
  <si>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</si>
  <si>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</si>
  <si>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</si>
  <si>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</si>
  <si>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</si>
  <si>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</si>
  <si>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</si>
  <si>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</si>
  <si>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</si>
  <si>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</si>
  <si>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</si>
  <si>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</si>
  <si>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</si>
  <si>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2026-05-16</t>
  </si>
  <si>
    <t xml:space="preserve">2026-05-18</t>
  </si>
  <si>
    <t xml:space="preserve">2026-05-17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</si>
  <si>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</si>
  <si>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</si>
  <si>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</si>
  <si>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</si>
  <si>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2026-05-23</t>
  </si>
  <si>
    <t xml:space="preserve">2026-05-24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</si>
  <si>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</si>
  <si>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</si>
  <si>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</si>
  <si>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</si>
  <si>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2026-05-30</t>
  </si>
  <si>
    <t xml:space="preserve">2026-05-31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</si>
  <si>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</si>
  <si>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</si>
  <si>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</si>
  <si>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</si>
  <si>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</si>
  <si>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2026-06-06</t>
  </si>
  <si>
    <t xml:space="preserve">2026-06-07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</si>
  <si>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</si>
  <si>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</si>
  <si>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</si>
  <si>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</si>
  <si>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</si>
  <si>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2026-06-14</t>
  </si>
  <si>
    <t xml:space="preserve">2026-06-15</t>
  </si>
  <si>
    <t xml:space="preserve">2026-06-16</t>
  </si>
  <si>
    <t xml:space="preserve">2026-06-17</t>
  </si>
  <si>
    <t xml:space="preserve">2026-06-23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</si>
  <si>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</si>
  <si>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</si>
  <si>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</si>
  <si>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</si>
  <si>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</si>
  <si>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</si>
  <si>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</si>
  <si>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</si>
  <si>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</si>
  <si>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</si>
  <si>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2026-07-01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</si>
  <si>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</si>
  <si>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</si>
  <si>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</si>
  <si>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</si>
  <si>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</si>
  <si>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</si>
  <si>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</si>
  <si>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</si>
  <si>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2026-07-11</t>
  </si>
  <si>
    <t xml:space="preserve">2026-07-12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</si>
  <si>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</si>
  <si>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</si>
  <si>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</si>
  <si>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</si>
  <si>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</si>
  <si>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</si>
  <si>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</si>
  <si>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</si>
  <si>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2026-07-21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</si>
  <si>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</si>
  <si>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</si>
  <si>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</si>
  <si>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</si>
  <si>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2026-07-28</t>
  </si>
  <si>
    <t xml:space="preserve">2026-07-29</t>
  </si>
  <si>
    <t xml:space="preserve">2026-07-30</t>
  </si>
  <si>
    <t xml:space="preserve">2026-08-01</t>
  </si>
  <si>
    <t xml:space="preserve">2026-08-02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</si>
  <si>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</si>
  <si>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</si>
  <si>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</si>
  <si>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</si>
  <si>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</si>
  <si>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</si>
  <si>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</si>
  <si>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</si>
  <si>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</si>
  <si>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</si>
  <si>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</si>
  <si>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</si>
  <si>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</si>
  <si>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</si>
  <si>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</si>
  <si>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</si>
  <si>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</si>
  <si>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</si>
  <si>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</si>
  <si>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</si>
  <si>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</si>
  <si>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</si>
  <si>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</si>
  <si>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</si>
  <si>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</si>
  <si>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</si>
  <si>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2026-08-30</t>
  </si>
  <si>
    <t xml:space="preserve">2026-09-01</t>
  </si>
  <si>
    <t xml:space="preserve">2026-08-31</t>
  </si>
  <si>
    <t xml:space="preserve">2026-09-02</t>
  </si>
  <si>
    <t xml:space="preserve">2026-09-03</t>
  </si>
  <si>
    <t xml:space="preserve">2026-09-04</t>
  </si>
  <si>
    <t xml:space="preserve">2026-09-05</t>
  </si>
  <si>
    <t xml:space="preserve">2026-09-06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</si>
  <si>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</si>
  <si>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</si>
  <si>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</si>
  <si>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</si>
  <si>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</si>
  <si>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</si>
  <si>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</si>
  <si>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</si>
  <si>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</si>
  <si>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</si>
  <si>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</si>
  <si>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2026-09-19</t>
  </si>
  <si>
    <t xml:space="preserve">2026-09-20</t>
  </si>
  <si>
    <t xml:space="preserve">2026-09-21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</si>
  <si>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</si>
  <si>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</si>
  <si>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</si>
  <si>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</si>
  <si>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</si>
  <si>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</si>
  <si>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</si>
  <si>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</si>
  <si>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</si>
  <si>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2026-10-03</t>
  </si>
  <si>
    <t xml:space="preserve">2026-10-04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</si>
  <si>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</si>
  <si>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</si>
  <si>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</si>
  <si>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</si>
  <si>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</si>
  <si>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</si>
  <si>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2026-10-12</t>
  </si>
  <si>
    <t xml:space="preserve">2026-10-13</t>
  </si>
  <si>
    <t xml:space="preserve">2026-10-14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</si>
  <si>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</si>
  <si>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</si>
  <si>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</si>
  <si>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</si>
  <si>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</si>
  <si>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</si>
  <si>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</si>
  <si>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2026-05-29</t>
  </si>
  <si>
    <t xml:space="preserve">2026-06-13</t>
  </si>
  <si>
    <t xml:space="preserve">2026-06-22</t>
  </si>
  <si>
    <t xml:space="preserve">2026-07-02</t>
  </si>
  <si>
    <t xml:space="preserve">2026-07-22</t>
  </si>
  <si>
    <t xml:space="preserve">2026-09-22</t>
  </si>
  <si>
    <t xml:space="preserve">2026-09-29</t>
  </si>
  <si>
    <t xml:space="preserve">Notas e definições</t>
  </si>
  <si>
    <t xml:space="preserve">Fonte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</si>
  <si>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</si>
  <si>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</si>
  <si>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 A aba Dados traz também o dia anterior ao primeiro exibido, para as comparações.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</si>
  <si>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</si>
  <si>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</si>
  <si>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Machos</t>
  </si>
  <si>
    <t xml:space="preserve">Fora de todos os números (StatRepro = Male). Tudo é calculado só sobre fêmeas.</t>
  </si>
  <si>
    <t xml:space="preserve">Adultos / jovens</t>
  </si>
  <si>
    <t xml:space="preserve">Adultas: LACT &gt; 0. Jovens: LACT = 0.</t>
  </si>
  <si>
    <t xml:space="preserve">Vacas em lactação</t>
  </si>
  <si>
    <t xml:space="preserve">Adultas (LACT &gt; 0) nos lotes 1, 2, 3, 4, 5, 6 e 10. O lote 10 são vacas em tratamento com leite descartado.</t>
  </si>
  <si>
    <t xml:space="preserve">DEL médio</t>
  </si>
  <si>
    <t xml:space="preserve">Média de DEL das vacas em lactação.</t>
  </si>
  <si>
    <t xml:space="preserve">Produção 24 h</t>
  </si>
  <si>
    <t xml:space="preserve">Média da coluna Leite das vacas em lactação com Leite &gt; 0 (lotes 1 a 6 e 10). Por lote: adultas do lote com Leite &gt; 0.</t>
  </si>
  <si>
    <t xml:space="preserve">Leite vendido</t>
  </si>
  <si>
    <t xml:space="preserve">Valor de entrada (azul/amarelo), em litros, lido de dados/leite_vendido.json. Vem do "Demonstrativo das Coletas de Leite" (scripts/le_leite_vendido.py): soma do Volume de todas as coletas com a mesma Data Coleta.</t>
  </si>
  <si>
    <t xml:space="preserve">(Leite Total dia DairyPlan − leite vendido) ÷ leite vendido. Negativo = DairyPlan abaixo do vendido. O DairyPlan está em kg e o laticínio em litros; não há conversão.</t>
  </si>
  <si>
    <t xml:space="preserve">StatRepro = DNB ou Dry DNB. Ficam fora de todos os indicadores de reprodução (só aparecem na própria contagem de DNB).</t>
  </si>
  <si>
    <t xml:space="preserve">Gestantes</t>
  </si>
  <si>
    <t xml:space="preserve">DDP (dias de prenhez) ≥ 1, sem DNB; inclui secas. % = gestantes ÷ (adultas − DNB).</t>
  </si>
  <si>
    <t xml:space="preserve">DEL &gt; 150 não gestantes</t>
  </si>
  <si>
    <t xml:space="preserve">Vacas em lactação, sem DNB, com DEL acima do parâmetro e DDP vazio. % = esse número ÷ todas as vacas em lactação.</t>
  </si>
  <si>
    <t xml:space="preserve">DEL &gt; 70 sem IA</t>
  </si>
  <si>
    <t xml:space="preserve">Vacas em lactação, sem DNB, com DEL acima do parâmetro e NumIAs = 0.</t>
  </si>
  <si>
    <t xml:space="preserve">Começaram a lactação</t>
  </si>
  <si>
    <t xml:space="preserve">Vacas em lactação no dia que não estavam em lactação (ou não estavam no relatório) no dia anterior. Comparação por brinco.</t>
  </si>
  <si>
    <t xml:space="preserve">Saída de adultos</t>
  </si>
  <si>
    <t xml:space="preserve">Adultos que estavam no relatório do dia anterior e não estão no do dia.</t>
  </si>
  <si>
    <t xml:space="preserve">Lote 10</t>
  </si>
  <si>
    <t xml:space="preserve">Entradas: adultas no lote 10 no dia que não estavam no lote 10 no dia anterior. Saídas: estavam no lote 10 no dia anterior e no dia estão em outro lote ou saíram do relatório. Saldo = entradas − saídas.</t>
  </si>
  <si>
    <t xml:space="preserve">Comparações</t>
  </si>
  <si>
    <t xml:space="preserve">"Dia anterior" é o relatório anterior guardado. Sem ele, a célula fica vazia. Se faltar um dia, a comparação é com o último relatório que existe.</t>
  </si>
  <si>
    <t xml:space="preserve">Média (DP)</t>
  </si>
  <si>
    <t xml:space="preserve">Linhas de produção média: a célula traz a média e, entre parênteses, o desvio padrão amostral (n − 1) do Leite. A variação compara só as médias.</t>
  </si>
  <si>
    <t xml:space="preserve">Tanque</t>
  </si>
  <si>
    <t xml:space="preserve">Leite do tanque = lotes 1 a 6; o lote 10 aparece como leite descartado. Secas = adultas fora dos lotes 1 a 6 e 10.</t>
  </si>
  <si>
    <t xml:space="preserve">Jovens &lt; 3 meses</t>
  </si>
  <si>
    <t xml:space="preserve">IdadeDias abaixo do parâmetro (90 dias).</t>
  </si>
  <si>
    <t xml:space="preserve">Novilhas</t>
  </si>
  <si>
    <t xml:space="preserve">Em reprodução = jovens que não são Youngstock. Atrasadas: sem DNB, IdadeDias acima do parâmetro (456 dias ≈ 15 meses) e DDP vazio.</t>
  </si>
  <si>
    <t xml:space="preserve">Média 10 dias</t>
  </si>
  <si>
    <t xml:space="preserve">Média de cada indicador nos dias exibidos (até 10), ignorando dias sem valor. Nas linhas média (DP): média das médias diárias.</t>
  </si>
  <si>
    <t xml:space="preserve">% leitura de leite</t>
  </si>
  <si>
    <t xml:space="preserve">Vacas do tanque (lotes 1 a 6) com Leite &gt; 0 ÷ vacas em lactação nos lotes 1 a 6.</t>
  </si>
  <si>
    <t xml:space="preserve">Soma da coluna Leite das vacas dos lotes 1 a 6 no relatório do DairyPlan.</t>
  </si>
  <si>
    <t xml:space="preserve">Variação</t>
  </si>
  <si>
    <t xml:space="preserve">Último dia menos o dia anterior exibido. Verde = subiu, vermelho = caiu (a cor não indica se é bom ou ruim).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</si>
</sst>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"/>
    <numFmt numFmtId="167" formatCode="0.0"/>
    <numFmt numFmtId="168" formatCode="0.0%"/>
    <numFmt numFmtId="169" formatCode="#,##0"/>
    <numFmt numFmtId="170" formatCode="\+0.0%;\-0.0%;0.0%"/>
    <numFmt numFmtId="171" formatCode="0.00"/>
  </numFmts>
  <fonts count="1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6ECE8"/>
        <bgColor rgb="FFEEF3F7"/>
      </patternFill>
    </fill>
    <fill>
      <patternFill patternType="solid">
        <fgColor rgb="FF1F5F8B"/>
        <bgColor rgb="FF008080"/>
      </patternFill>
    </fill>
    <fill>
      <patternFill patternType="solid">
        <fgColor rgb="FFEEF3F7"/>
        <bgColor rgb="FFF5F8F6"/>
      </patternFill>
    </fill>
    <fill>
      <patternFill patternType="solid">
        <fgColor rgb="FFF5F8F6"/>
        <bgColor rgb="FFEEF3F7"/>
      </patternFill>
    </fill>
    <fill>
      <patternFill patternType="solid">
        <fgColor rgb="FFFFF6D6"/>
        <bgColor rgb="FFF5F8F6"/>
      </patternFill>
    </fill>
    <fill>
      <patternFill patternType="solid">
        <fgColor rgb="FFD5E3EC"/>
        <bgColor rgb="FFE6EC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7B45"/>
      </font>
    </dxf>
    <dxf>
      <font>
        <name val="Arial"/>
        <charset val="1"/>
        <family val="0"/>
        <b val="1"/>
        <color rgb="FFB03A2E"/>
      </font>
    </dxf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3E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5"/>
      <rgbColor rgb="FFC9D1CB"/>
      <rgbColor rgb="FF808080"/>
      <rgbColor rgb="FF9999FF"/>
      <rgbColor rgb="FF993366"/>
      <rgbColor rgb="FFFFF6D6"/>
      <rgbColor rgb="FFEEF3F7"/>
      <rgbColor rgb="FF660066"/>
      <rgbColor rgb="FFFF8080"/>
      <rgbColor rgb="FF1F5F8B"/>
      <rgbColor rgb="FFD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CE8"/>
      <rgbColor rgb="FFF5F8F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3" min="3" style="0" width="11.5"/>
    <col collapsed="false" customWidth="true" hidden="false" outlineLevel="0" max="4" min="4" style="0" width="11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3" t="s">
        <v>4</v>
      </c>
      <c r="E4" s="3" t="s">
        <v>5</v>
      </c>
    </row>
    <row r="5" customFormat="false" ht="15" hidden="false" customHeight="false" outlineLevel="0" collapsed="false">
      <c r="A5" s="5" t="s">
        <v>6</v>
      </c>
      <c r="B5" s="6"/>
      <c r="C5" s="6"/>
      <c r="D5" s="6"/>
      <c r="E5" s="6"/>
    </row>
    <row r="6" customFormat="false" ht="15" hidden="false" customHeight="false" outlineLevel="0" collapsed="false">
      <c r="A6" s="7" t="s">
        <v>7</v>
      </c>
      <c r="B6" s="8" t="s">
        <v>8</v>
      </c>
      <c r="C6" s="9" t="n">
        <f aca="false">COUNTIFS(Dados!$A$2:$A$3971,C$4,Dados!$W$2:$W$3971,1,Dados!$E$2:$E$3971,"&gt;0")</f>
        <v>1856</v>
      </c>
      <c r="D6" s="10" t="n">
        <f aca="false">IFERROR(AVERAGE(C6:C6),"")</f>
        <v>1856</v>
      </c>
      <c r="E6" s="11"/>
    </row>
    <row r="7" customFormat="false" ht="15" hidden="false" customHeight="false" outlineLevel="0" collapsed="false">
      <c r="A7" s="12" t="s">
        <v>9</v>
      </c>
      <c r="B7" s="13" t="s">
        <v>8</v>
      </c>
      <c r="C7" s="14" t="n">
        <f aca="false">COUNTIFS(Dados!$A$2:$A$3971,C$4,Dados!$W$2:$W$3971,1,Dados!$Z$2:$Z$3971,1)</f>
        <v>1652</v>
      </c>
      <c r="D7" s="15" t="n">
        <f aca="false">IFERROR(AVERAGE(C7:C7),"")</f>
        <v>1652</v>
      </c>
      <c r="E7" s="16"/>
    </row>
    <row r="8" customFormat="false" ht="15" hidden="false" customHeight="false" outlineLevel="0" collapsed="false">
      <c r="A8" s="7" t="s">
        <v>10</v>
      </c>
      <c r="B8" s="8" t="s">
        <v>8</v>
      </c>
      <c r="C8" s="9" t="n">
        <f aca="false">COUNTIFS(Dados!$A$2:$A$3971,C$4,Dados!$W$2:$W$3971,1,Dados!$Z$2:$Z$3971,1,Dados!$B$2:$B$3971,"&lt;=6")</f>
        <v>1595</v>
      </c>
      <c r="D8" s="10" t="n">
        <f aca="false">IFERROR(AVERAGE(C8:C8),"")</f>
        <v>1595</v>
      </c>
      <c r="E8" s="11"/>
    </row>
    <row r="9" customFormat="false" ht="15" hidden="false" customHeight="false" outlineLevel="0" collapsed="false">
      <c r="A9" s="12" t="s">
        <v>11</v>
      </c>
      <c r="B9" s="13" t="s">
        <v>8</v>
      </c>
      <c r="C9" s="14" t="n">
        <f aca="false">COUNTIFS(Dados!$A$2:$A$3971,C$4,Dados!$W$2:$W$3971,1,Dados!$E$2:$E$3971,"&gt;0",Dados!$B$2:$B$3971,10)</f>
        <v>57</v>
      </c>
      <c r="D9" s="15" t="n">
        <f aca="false">IFERROR(AVERAGE(C9:C9),"")</f>
        <v>57</v>
      </c>
      <c r="E9" s="16"/>
    </row>
    <row r="10" customFormat="false" ht="15" hidden="false" customHeight="false" outlineLevel="0" collapsed="false">
      <c r="A10" s="7" t="s">
        <v>12</v>
      </c>
      <c r="B10" s="8" t="s">
        <v>8</v>
      </c>
      <c r="C10" s="9" t="n">
        <f aca="false">COUNTIFS(Dados!$A$2:$A$3971,C$4,Dados!$W$2:$W$3971,1,Dados!$E$2:$E$3971,"&gt;0",Dados!$Z$2:$Z$3971,0)</f>
        <v>204</v>
      </c>
      <c r="D10" s="10" t="n">
        <f aca="false">IFERROR(AVERAGE(C10:C10),"")</f>
        <v>204</v>
      </c>
      <c r="E10" s="11"/>
    </row>
    <row r="11" customFormat="false" ht="15" hidden="false" customHeight="false" outlineLevel="0" collapsed="false">
      <c r="A11" s="12" t="s">
        <v>13</v>
      </c>
      <c r="B11" s="13" t="s">
        <v>8</v>
      </c>
      <c r="C11" s="14" t="n">
        <f aca="false">COUNTIFS(Dados!$A$2:$A$3971,C$4,Dados!$W$2:$W$3971,1,Dados!$Z$2:$Z$3971,1,Dados!$D$2:$D$3971,"&lt;=21")</f>
        <v>94</v>
      </c>
      <c r="D11" s="15" t="n">
        <f aca="false">IFERROR(AVERAGE(C11:C11),"")</f>
        <v>94</v>
      </c>
      <c r="E11" s="16"/>
    </row>
    <row r="12" customFormat="false" ht="15" hidden="false" customHeight="false" outlineLevel="0" collapsed="false">
      <c r="A12" s="7" t="s">
        <v>14</v>
      </c>
      <c r="B12" s="8" t="s">
        <v>8</v>
      </c>
      <c r="C12" s="9" t="str">
        <f aca="false">IF(MATCH(C$4,DATAS,0)=1,"",COUNTIFS(Dados!$A$2:$A$3971,C$4,Dados!$W$2:$W$3971,1,Dados!$AD$2:$AD$3971,1))</f>
        <v/>
      </c>
      <c r="D12" s="10" t="str">
        <f aca="false">IFERROR(AVERAGE(C12:C12),"")</f>
        <v/>
      </c>
      <c r="E12" s="11"/>
    </row>
    <row r="13" customFormat="false" ht="15" hidden="false" customHeight="false" outlineLevel="0" collapsed="false">
      <c r="A13" s="12" t="s">
        <v>15</v>
      </c>
      <c r="B13" s="13" t="s">
        <v>8</v>
      </c>
      <c r="C13" s="14" t="str">
        <f aca="false">IF(MATCH(C$4,DATAS,0)=1,"",COUNTIFS(Dados!$AF$2:$AF$3971,C$4))</f>
        <v/>
      </c>
      <c r="D13" s="15" t="str">
        <f aca="false">IFERROR(AVERAGE(C13:C13),"")</f>
        <v/>
      </c>
      <c r="E13" s="16"/>
    </row>
    <row r="14" customFormat="false" ht="15" hidden="false" customHeight="false" outlineLevel="0" collapsed="false">
      <c r="A14" s="7" t="s">
        <v>16</v>
      </c>
      <c r="B14" s="8" t="s">
        <v>8</v>
      </c>
      <c r="C14" s="9" t="str">
        <f aca="false">IF(MATCH(C$4,DATAS,0)=1,"",COUNTIFS(Dados!$A$2:$A$3971,C$4,Dados!$W$2:$W$3971,1,Dados!$AE$2:$AE$3971,1))</f>
        <v/>
      </c>
      <c r="D14" s="10" t="str">
        <f aca="false">IFERROR(AVERAGE(C14:C14),"")</f>
        <v/>
      </c>
      <c r="E14" s="11"/>
    </row>
    <row r="15" customFormat="false" ht="15" hidden="false" customHeight="false" outlineLevel="0" collapsed="false">
      <c r="A15" s="12" t="s">
        <v>17</v>
      </c>
      <c r="B15" s="13" t="s">
        <v>8</v>
      </c>
      <c r="C15" s="14" t="str">
        <f aca="false">IF(MATCH(C$4,DATAS,0)=1,"",COUNTIFS(Dados!$AG$2:$AG$3971,C$4))</f>
        <v/>
      </c>
      <c r="D15" s="15" t="str">
        <f aca="false">IFERROR(AVERAGE(C15:C15),"")</f>
        <v/>
      </c>
      <c r="E15" s="16"/>
    </row>
    <row r="16" customFormat="false" ht="15" hidden="false" customHeight="false" outlineLevel="0" collapsed="false">
      <c r="A16" s="7" t="s">
        <v>18</v>
      </c>
      <c r="B16" s="8" t="s">
        <v>8</v>
      </c>
      <c r="C16" s="9" t="str">
        <f aca="false">IF(MATCH(C$4,DATAS,0)=1,"",(COUNTIFS(Dados!$A$2:$A$3971,C$4,Dados!$W$2:$W$3971,1,Dados!$AE$2:$AE$3971,1)-COUNTIFS(Dados!$AG$2:$AG$3971,C$4)))</f>
        <v/>
      </c>
      <c r="D16" s="10" t="str">
        <f aca="false">IFERROR(AVERAGE(C16:C16),"")</f>
        <v/>
      </c>
      <c r="E16" s="11"/>
    </row>
    <row r="17" customFormat="false" ht="15" hidden="false" customHeight="false" outlineLevel="0" collapsed="false">
      <c r="A17" s="12" t="s">
        <v>19</v>
      </c>
      <c r="B17" s="13" t="s">
        <v>20</v>
      </c>
      <c r="C17" s="14" t="n">
        <f aca="false">IFERROR(AVERAGEIFS(Dados!$D$2:$D$3971,Dados!$A$2:$A$3971,C$4,Dados!$W$2:$W$3971,1,Dados!$Z$2:$Z$3971,1),"")</f>
        <v>187.771791767554</v>
      </c>
      <c r="D17" s="15" t="n">
        <f aca="false">IFERROR(AVERAGE(C17:C17),"")</f>
        <v>187.771791767554</v>
      </c>
      <c r="E17" s="16"/>
    </row>
    <row r="18" customFormat="false" ht="15" hidden="false" customHeight="false" outlineLevel="0" collapsed="false">
      <c r="A18" s="7" t="s">
        <v>21</v>
      </c>
      <c r="B18" s="8" t="s">
        <v>20</v>
      </c>
      <c r="C18" s="9" t="n">
        <f aca="false">IFERROR(AVERAGEIFS(Dados!$D$2:$D$3971,Dados!$A$2:$A$3971,C$4,Dados!$W$2:$W$3971,1,Dados!$Z$2:$Z$3971,1,Dados!$B$2:$B$3971,"&lt;=6"),"")</f>
        <v>188.575548589342</v>
      </c>
      <c r="D18" s="10" t="n">
        <f aca="false">IFERROR(AVERAGE(C18:C18),"")</f>
        <v>188.575548589342</v>
      </c>
      <c r="E18" s="11"/>
    </row>
    <row r="19" customFormat="false" ht="15" hidden="false" customHeight="false" outlineLevel="0" collapsed="false">
      <c r="A19" s="12" t="s">
        <v>22</v>
      </c>
      <c r="B19" s="13" t="s">
        <v>23</v>
      </c>
      <c r="C19" s="17" t="str">
        <f aca="false">IF(SUMPRODUCT((Dados!$A$2:$A$3971=C$4)*(Dados!$W$2:$W$3971=1)*(Dados!$Z$2:$Z$3971=1)*(Dados!$G$2:$G$3971&gt;0))=0,"",IF(SUMPRODUCT((Dados!$A$2:$A$3971=C$4)*(Dados!$W$2:$W$3971=1)*(Dados!$Z$2:$Z$3971=1)*(Dados!$G$2:$G$3971&gt;0))&lt;2,FIXED(SUMPRODUCT((Dados!$A$2:$A$3971=C$4)*(Dados!$W$2:$W$3971=1)*(Dados!$Z$2:$Z$3971=1)*(Dados!$G$2:$G$3971&gt;0),Dados!$G$2:$G$3971)/SUMPRODUCT((Dados!$A$2:$A$3971=C$4)*(Dados!$W$2:$W$3971=1)*(Dados!$Z$2:$Z$3971=1)*(Dados!$G$2:$G$3971&gt;0)),1,TRUE()),FIXED(SUMPRODUCT((Dados!$A$2:$A$3971=C$4)*(Dados!$W$2:$W$3971=1)*(Dados!$Z$2:$Z$3971=1)*(Dados!$G$2:$G$3971&gt;0),Dados!$G$2:$G$3971)/SUMPRODUCT((Dados!$A$2:$A$3971=C$4)*(Dados!$W$2:$W$3971=1)*(Dados!$Z$2:$Z$3971=1)*(Dados!$G$2:$G$3971&gt;0)),1,TRUE())&amp;" ("&amp;FIXED(SQRT(MAX(0,(SUMPRODUCT((Dados!$A$2:$A$3971=C$4)*(Dados!$W$2:$W$3971=1)*(Dados!$Z$2:$Z$3971=1)*(Dados!$G$2:$G$3971&gt;0),Dados!$G$2:$G$3971,Dados!$G$2:$G$3971)-SUMPRODUCT((Dados!$A$2:$A$3971=C$4)*(Dados!$W$2:$W$3971=1)*(Dados!$Z$2:$Z$3971=1)*(Dados!$G$2:$G$3971&gt;0),Dados!$G$2:$G$3971)^2/SUMPRODUCT((Dados!$A$2:$A$3971=C$4)*(Dados!$W$2:$W$3971=1)*(Dados!$Z$2:$Z$3971=1)*(Dados!$G$2:$G$3971&gt;0)))/(SUMPRODUCT((Dados!$A$2:$A$3971=C$4)*(Dados!$W$2:$W$3971=1)*(Dados!$Z$2:$Z$3971=1)*(Dados!$G$2:$G$3971&gt;0))-1))),1,TRUE())&amp;")"))</f>
        <v>43.3 (12.4)</v>
      </c>
      <c r="D19" s="18" t="n">
        <f aca="false">IF((IF(ISERROR(AVERAGEIFS(Dados!$G$2:$G$3971,Dados!$A$2:$A$3971,C$4,Dados!$W$2:$W$3971,1,Dados!$Z$2:$Z$3971,1,Dados!$G$2:$G$3971,"&gt;0")),0,1))=0,"",(IFERROR(AVERAGEIFS(Dados!$G$2:$G$3971,Dados!$A$2:$A$3971,C$4,Dados!$W$2:$W$3971,1,Dados!$Z$2:$Z$3971,1,Dados!$G$2:$G$3971,"&gt;0"),0))/(IF(ISERROR(AVERAGEIFS(Dados!$G$2:$G$3971,Dados!$A$2:$A$3971,C$4,Dados!$W$2:$W$3971,1,Dados!$Z$2:$Z$3971,1,Dados!$G$2:$G$3971,"&gt;0")),0,1)))</f>
        <v>43.2982278481013</v>
      </c>
      <c r="E19" s="16"/>
    </row>
    <row r="20" customFormat="false" ht="15" hidden="false" customHeight="false" outlineLevel="0" collapsed="false">
      <c r="A20" s="7" t="s">
        <v>24</v>
      </c>
      <c r="B20" s="8" t="s">
        <v>23</v>
      </c>
      <c r="C20" s="19" t="str">
        <f aca="false">IF(SUMPRODUCT((Dados!$A$2:$A$3971=C$4)*(Dados!$W$2:$W$3971=1)*(Dados!$E$2:$E$3971&gt;0)*(Dados!$B$2:$B$3971=1)*(Dados!$G$2:$G$3971&gt;0))=0,"",IF(SUMPRODUCT((Dados!$A$2:$A$3971=C$4)*(Dados!$W$2:$W$3971=1)*(Dados!$E$2:$E$3971&gt;0)*(Dados!$B$2:$B$3971=1)*(Dados!$G$2:$G$3971&gt;0))&lt;2,FIXED(SUMPRODUCT((Dados!$A$2:$A$3971=C$4)*(Dados!$W$2:$W$3971=1)*(Dados!$E$2:$E$3971&gt;0)*(Dados!$B$2:$B$3971=1)*(Dados!$G$2:$G$3971&gt;0),Dados!$G$2:$G$3971)/SUMPRODUCT((Dados!$A$2:$A$3971=C$4)*(Dados!$W$2:$W$3971=1)*(Dados!$E$2:$E$3971&gt;0)*(Dados!$B$2:$B$3971=1)*(Dados!$G$2:$G$3971&gt;0)),1,TRUE()),FIXED(SUMPRODUCT((Dados!$A$2:$A$3971=C$4)*(Dados!$W$2:$W$3971=1)*(Dados!$E$2:$E$3971&gt;0)*(Dados!$B$2:$B$3971=1)*(Dados!$G$2:$G$3971&gt;0),Dados!$G$2:$G$3971)/SUMPRODUCT((Dados!$A$2:$A$3971=C$4)*(Dados!$W$2:$W$3971=1)*(Dados!$E$2:$E$3971&gt;0)*(Dados!$B$2:$B$3971=1)*(Dados!$G$2:$G$3971&gt;0)),1,TRUE())&amp;" ("&amp;FIXED(SQRT(MAX(0,(SUMPRODUCT((Dados!$A$2:$A$3971=C$4)*(Dados!$W$2:$W$3971=1)*(Dados!$E$2:$E$3971&gt;0)*(Dados!$B$2:$B$3971=1)*(Dados!$G$2:$G$3971&gt;0),Dados!$G$2:$G$3971,Dados!$G$2:$G$3971)-SUMPRODUCT((Dados!$A$2:$A$3971=C$4)*(Dados!$W$2:$W$3971=1)*(Dados!$E$2:$E$3971&gt;0)*(Dados!$B$2:$B$3971=1)*(Dados!$G$2:$G$3971&gt;0),Dados!$G$2:$G$3971)^2/SUMPRODUCT((Dados!$A$2:$A$3971=C$4)*(Dados!$W$2:$W$3971=1)*(Dados!$E$2:$E$3971&gt;0)*(Dados!$B$2:$B$3971=1)*(Dados!$G$2:$G$3971&gt;0)))/(SUMPRODUCT((Dados!$A$2:$A$3971=C$4)*(Dados!$W$2:$W$3971=1)*(Dados!$E$2:$E$3971&gt;0)*(Dados!$B$2:$B$3971=1)*(Dados!$G$2:$G$3971&gt;0))-1))),1,TRUE())&amp;")"))</f>
        <v>43.6 (10.1)</v>
      </c>
      <c r="D20" s="20" t="n">
        <f aca="false">IF((IF(ISERROR(AVERAGEIFS(Dados!$G$2:$G$3971,Dados!$A$2:$A$3971,C$4,Dados!$W$2:$W$3971,1,Dados!$E$2:$E$3971,"&gt;0",Dados!$B$2:$B$3971,1,Dados!$G$2:$G$3971,"&gt;0")),0,1))=0,"",(IFERROR(AVERAGEIFS(Dados!$G$2:$G$3971,Dados!$A$2:$A$3971,C$4,Dados!$W$2:$W$3971,1,Dados!$E$2:$E$3971,"&gt;0",Dados!$B$2:$B$3971,1,Dados!$G$2:$G$3971,"&gt;0"),0))/(IF(ISERROR(AVERAGEIFS(Dados!$G$2:$G$3971,Dados!$A$2:$A$3971,C$4,Dados!$W$2:$W$3971,1,Dados!$E$2:$E$3971,"&gt;0",Dados!$B$2:$B$3971,1,Dados!$G$2:$G$3971,"&gt;0")),0,1)))</f>
        <v>43.5710784313726</v>
      </c>
      <c r="E20" s="11"/>
    </row>
    <row r="21" customFormat="false" ht="15" hidden="false" customHeight="false" outlineLevel="0" collapsed="false">
      <c r="A21" s="12" t="s">
        <v>25</v>
      </c>
      <c r="B21" s="13" t="s">
        <v>23</v>
      </c>
      <c r="C21" s="17" t="str">
        <f aca="false">IF(SUMPRODUCT((Dados!$A$2:$A$3971=C$4)*(Dados!$W$2:$W$3971=1)*(Dados!$E$2:$E$3971&gt;0)*(Dados!$B$2:$B$3971=2)*(Dados!$G$2:$G$3971&gt;0))=0,"",IF(SUMPRODUCT((Dados!$A$2:$A$3971=C$4)*(Dados!$W$2:$W$3971=1)*(Dados!$E$2:$E$3971&gt;0)*(Dados!$B$2:$B$3971=2)*(Dados!$G$2:$G$3971&gt;0))&lt;2,FIXED(SUMPRODUCT((Dados!$A$2:$A$3971=C$4)*(Dados!$W$2:$W$3971=1)*(Dados!$E$2:$E$3971&gt;0)*(Dados!$B$2:$B$3971=2)*(Dados!$G$2:$G$3971&gt;0),Dados!$G$2:$G$3971)/SUMPRODUCT((Dados!$A$2:$A$3971=C$4)*(Dados!$W$2:$W$3971=1)*(Dados!$E$2:$E$3971&gt;0)*(Dados!$B$2:$B$3971=2)*(Dados!$G$2:$G$3971&gt;0)),1,TRUE()),FIXED(SUMPRODUCT((Dados!$A$2:$A$3971=C$4)*(Dados!$W$2:$W$3971=1)*(Dados!$E$2:$E$3971&gt;0)*(Dados!$B$2:$B$3971=2)*(Dados!$G$2:$G$3971&gt;0),Dados!$G$2:$G$3971)/SUMPRODUCT((Dados!$A$2:$A$3971=C$4)*(Dados!$W$2:$W$3971=1)*(Dados!$E$2:$E$3971&gt;0)*(Dados!$B$2:$B$3971=2)*(Dados!$G$2:$G$3971&gt;0)),1,TRUE())&amp;" ("&amp;FIXED(SQRT(MAX(0,(SUMPRODUCT((Dados!$A$2:$A$3971=C$4)*(Dados!$W$2:$W$3971=1)*(Dados!$E$2:$E$3971&gt;0)*(Dados!$B$2:$B$3971=2)*(Dados!$G$2:$G$3971&gt;0),Dados!$G$2:$G$3971,Dados!$G$2:$G$3971)-SUMPRODUCT((Dados!$A$2:$A$3971=C$4)*(Dados!$W$2:$W$3971=1)*(Dados!$E$2:$E$3971&gt;0)*(Dados!$B$2:$B$3971=2)*(Dados!$G$2:$G$3971&gt;0),Dados!$G$2:$G$3971)^2/SUMPRODUCT((Dados!$A$2:$A$3971=C$4)*(Dados!$W$2:$W$3971=1)*(Dados!$E$2:$E$3971&gt;0)*(Dados!$B$2:$B$3971=2)*(Dados!$G$2:$G$3971&gt;0)))/(SUMPRODUCT((Dados!$A$2:$A$3971=C$4)*(Dados!$W$2:$W$3971=1)*(Dados!$E$2:$E$3971&gt;0)*(Dados!$B$2:$B$3971=2)*(Dados!$G$2:$G$3971&gt;0))-1))),1,TRUE())&amp;")"))</f>
        <v>53.4 (9.4)</v>
      </c>
      <c r="D21" s="18" t="n">
        <f aca="false">IF((IF(ISERROR(AVERAGEIFS(Dados!$G$2:$G$3971,Dados!$A$2:$A$3971,C$4,Dados!$W$2:$W$3971,1,Dados!$E$2:$E$3971,"&gt;0",Dados!$B$2:$B$3971,2,Dados!$G$2:$G$3971,"&gt;0")),0,1))=0,"",(IFERROR(AVERAGEIFS(Dados!$G$2:$G$3971,Dados!$A$2:$A$3971,C$4,Dados!$W$2:$W$3971,1,Dados!$E$2:$E$3971,"&gt;0",Dados!$B$2:$B$3971,2,Dados!$G$2:$G$3971,"&gt;0"),0))/(IF(ISERROR(AVERAGEIFS(Dados!$G$2:$G$3971,Dados!$A$2:$A$3971,C$4,Dados!$W$2:$W$3971,1,Dados!$E$2:$E$3971,"&gt;0",Dados!$B$2:$B$3971,2,Dados!$G$2:$G$3971,"&gt;0")),0,1)))</f>
        <v>53.3717703349282</v>
      </c>
      <c r="E21" s="16"/>
    </row>
    <row r="22" customFormat="false" ht="15" hidden="false" customHeight="false" outlineLevel="0" collapsed="false">
      <c r="A22" s="7" t="s">
        <v>26</v>
      </c>
      <c r="B22" s="8" t="s">
        <v>23</v>
      </c>
      <c r="C22" s="19" t="str">
        <f aca="false">IF(SUMPRODUCT((Dados!$A$2:$A$3971=C$4)*(Dados!$W$2:$W$3971=1)*(Dados!$E$2:$E$3971&gt;0)*(Dados!$B$2:$B$3971=3)*(Dados!$G$2:$G$3971&gt;0))=0,"",IF(SUMPRODUCT((Dados!$A$2:$A$3971=C$4)*(Dados!$W$2:$W$3971=1)*(Dados!$E$2:$E$3971&gt;0)*(Dados!$B$2:$B$3971=3)*(Dados!$G$2:$G$3971&gt;0))&lt;2,FIXED(SUMPRODUCT((Dados!$A$2:$A$3971=C$4)*(Dados!$W$2:$W$3971=1)*(Dados!$E$2:$E$3971&gt;0)*(Dados!$B$2:$B$3971=3)*(Dados!$G$2:$G$3971&gt;0),Dados!$G$2:$G$3971)/SUMPRODUCT((Dados!$A$2:$A$3971=C$4)*(Dados!$W$2:$W$3971=1)*(Dados!$E$2:$E$3971&gt;0)*(Dados!$B$2:$B$3971=3)*(Dados!$G$2:$G$3971&gt;0)),1,TRUE()),FIXED(SUMPRODUCT((Dados!$A$2:$A$3971=C$4)*(Dados!$W$2:$W$3971=1)*(Dados!$E$2:$E$3971&gt;0)*(Dados!$B$2:$B$3971=3)*(Dados!$G$2:$G$3971&gt;0),Dados!$G$2:$G$3971)/SUMPRODUCT((Dados!$A$2:$A$3971=C$4)*(Dados!$W$2:$W$3971=1)*(Dados!$E$2:$E$3971&gt;0)*(Dados!$B$2:$B$3971=3)*(Dados!$G$2:$G$3971&gt;0)),1,TRUE())&amp;" ("&amp;FIXED(SQRT(MAX(0,(SUMPRODUCT((Dados!$A$2:$A$3971=C$4)*(Dados!$W$2:$W$3971=1)*(Dados!$E$2:$E$3971&gt;0)*(Dados!$B$2:$B$3971=3)*(Dados!$G$2:$G$3971&gt;0),Dados!$G$2:$G$3971,Dados!$G$2:$G$3971)-SUMPRODUCT((Dados!$A$2:$A$3971=C$4)*(Dados!$W$2:$W$3971=1)*(Dados!$E$2:$E$3971&gt;0)*(Dados!$B$2:$B$3971=3)*(Dados!$G$2:$G$3971&gt;0),Dados!$G$2:$G$3971)^2/SUMPRODUCT((Dados!$A$2:$A$3971=C$4)*(Dados!$W$2:$W$3971=1)*(Dados!$E$2:$E$3971&gt;0)*(Dados!$B$2:$B$3971=3)*(Dados!$G$2:$G$3971&gt;0)))/(SUMPRODUCT((Dados!$A$2:$A$3971=C$4)*(Dados!$W$2:$W$3971=1)*(Dados!$E$2:$E$3971&gt;0)*(Dados!$B$2:$B$3971=3)*(Dados!$G$2:$G$3971&gt;0))-1))),1,TRUE())&amp;")"))</f>
        <v>54.7 (10.7)</v>
      </c>
      <c r="D22" s="20" t="n">
        <f aca="false">IF((IF(ISERROR(AVERAGEIFS(Dados!$G$2:$G$3971,Dados!$A$2:$A$3971,C$4,Dados!$W$2:$W$3971,1,Dados!$E$2:$E$3971,"&gt;0",Dados!$B$2:$B$3971,3,Dados!$G$2:$G$3971,"&gt;0")),0,1))=0,"",(IFERROR(AVERAGEIFS(Dados!$G$2:$G$3971,Dados!$A$2:$A$3971,C$4,Dados!$W$2:$W$3971,1,Dados!$E$2:$E$3971,"&gt;0",Dados!$B$2:$B$3971,3,Dados!$G$2:$G$3971,"&gt;0"),0))/(IF(ISERROR(AVERAGEIFS(Dados!$G$2:$G$3971,Dados!$A$2:$A$3971,C$4,Dados!$W$2:$W$3971,1,Dados!$E$2:$E$3971,"&gt;0",Dados!$B$2:$B$3971,3,Dados!$G$2:$G$3971,"&gt;0")),0,1)))</f>
        <v>54.7116504854369</v>
      </c>
      <c r="E22" s="11"/>
    </row>
    <row r="23" customFormat="false" ht="15" hidden="false" customHeight="false" outlineLevel="0" collapsed="false">
      <c r="A23" s="12" t="s">
        <v>27</v>
      </c>
      <c r="B23" s="13" t="s">
        <v>23</v>
      </c>
      <c r="C23" s="17" t="str">
        <f aca="false">IF(SUMPRODUCT((Dados!$A$2:$A$3971=C$4)*(Dados!$W$2:$W$3971=1)*(Dados!$E$2:$E$3971&gt;0)*(Dados!$B$2:$B$3971=4)*(Dados!$G$2:$G$3971&gt;0))=0,"",IF(SUMPRODUCT((Dados!$A$2:$A$3971=C$4)*(Dados!$W$2:$W$3971=1)*(Dados!$E$2:$E$3971&gt;0)*(Dados!$B$2:$B$3971=4)*(Dados!$G$2:$G$3971&gt;0))&lt;2,FIXED(SUMPRODUCT((Dados!$A$2:$A$3971=C$4)*(Dados!$W$2:$W$3971=1)*(Dados!$E$2:$E$3971&gt;0)*(Dados!$B$2:$B$3971=4)*(Dados!$G$2:$G$3971&gt;0),Dados!$G$2:$G$3971)/SUMPRODUCT((Dados!$A$2:$A$3971=C$4)*(Dados!$W$2:$W$3971=1)*(Dados!$E$2:$E$3971&gt;0)*(Dados!$B$2:$B$3971=4)*(Dados!$G$2:$G$3971&gt;0)),1,TRUE()),FIXED(SUMPRODUCT((Dados!$A$2:$A$3971=C$4)*(Dados!$W$2:$W$3971=1)*(Dados!$E$2:$E$3971&gt;0)*(Dados!$B$2:$B$3971=4)*(Dados!$G$2:$G$3971&gt;0),Dados!$G$2:$G$3971)/SUMPRODUCT((Dados!$A$2:$A$3971=C$4)*(Dados!$W$2:$W$3971=1)*(Dados!$E$2:$E$3971&gt;0)*(Dados!$B$2:$B$3971=4)*(Dados!$G$2:$G$3971&gt;0)),1,TRUE())&amp;" ("&amp;FIXED(SQRT(MAX(0,(SUMPRODUCT((Dados!$A$2:$A$3971=C$4)*(Dados!$W$2:$W$3971=1)*(Dados!$E$2:$E$3971&gt;0)*(Dados!$B$2:$B$3971=4)*(Dados!$G$2:$G$3971&gt;0),Dados!$G$2:$G$3971,Dados!$G$2:$G$3971)-SUMPRODUCT((Dados!$A$2:$A$3971=C$4)*(Dados!$W$2:$W$3971=1)*(Dados!$E$2:$E$3971&gt;0)*(Dados!$B$2:$B$3971=4)*(Dados!$G$2:$G$3971&gt;0),Dados!$G$2:$G$3971)^2/SUMPRODUCT((Dados!$A$2:$A$3971=C$4)*(Dados!$W$2:$W$3971=1)*(Dados!$E$2:$E$3971&gt;0)*(Dados!$B$2:$B$3971=4)*(Dados!$G$2:$G$3971&gt;0)))/(SUMPRODUCT((Dados!$A$2:$A$3971=C$4)*(Dados!$W$2:$W$3971=1)*(Dados!$E$2:$E$3971&gt;0)*(Dados!$B$2:$B$3971=4)*(Dados!$G$2:$G$3971&gt;0))-1))),1,TRUE())&amp;")"))</f>
        <v>45.2 (8.6)</v>
      </c>
      <c r="D23" s="18" t="n">
        <f aca="false">IF((IF(ISERROR(AVERAGEIFS(Dados!$G$2:$G$3971,Dados!$A$2:$A$3971,C$4,Dados!$W$2:$W$3971,1,Dados!$E$2:$E$3971,"&gt;0",Dados!$B$2:$B$3971,4,Dados!$G$2:$G$3971,"&gt;0")),0,1))=0,"",(IFERROR(AVERAGEIFS(Dados!$G$2:$G$3971,Dados!$A$2:$A$3971,C$4,Dados!$W$2:$W$3971,1,Dados!$E$2:$E$3971,"&gt;0",Dados!$B$2:$B$3971,4,Dados!$G$2:$G$3971,"&gt;0"),0))/(IF(ISERROR(AVERAGEIFS(Dados!$G$2:$G$3971,Dados!$A$2:$A$3971,C$4,Dados!$W$2:$W$3971,1,Dados!$E$2:$E$3971,"&gt;0",Dados!$B$2:$B$3971,4,Dados!$G$2:$G$3971,"&gt;0")),0,1)))</f>
        <v>45.1829145728643</v>
      </c>
      <c r="E23" s="16"/>
    </row>
    <row r="24" customFormat="false" ht="15" hidden="false" customHeight="false" outlineLevel="0" collapsed="false">
      <c r="A24" s="7" t="s">
        <v>28</v>
      </c>
      <c r="B24" s="8" t="s">
        <v>23</v>
      </c>
      <c r="C24" s="19" t="str">
        <f aca="false">IF(SUMPRODUCT((Dados!$A$2:$A$3971=C$4)*(Dados!$W$2:$W$3971=1)*(Dados!$E$2:$E$3971&gt;0)*(Dados!$B$2:$B$3971=5)*(Dados!$G$2:$G$3971&gt;0))=0,"",IF(SUMPRODUCT((Dados!$A$2:$A$3971=C$4)*(Dados!$W$2:$W$3971=1)*(Dados!$E$2:$E$3971&gt;0)*(Dados!$B$2:$B$3971=5)*(Dados!$G$2:$G$3971&gt;0))&lt;2,FIXED(SUMPRODUCT((Dados!$A$2:$A$3971=C$4)*(Dados!$W$2:$W$3971=1)*(Dados!$E$2:$E$3971&gt;0)*(Dados!$B$2:$B$3971=5)*(Dados!$G$2:$G$3971&gt;0),Dados!$G$2:$G$3971)/SUMPRODUCT((Dados!$A$2:$A$3971=C$4)*(Dados!$W$2:$W$3971=1)*(Dados!$E$2:$E$3971&gt;0)*(Dados!$B$2:$B$3971=5)*(Dados!$G$2:$G$3971&gt;0)),1,TRUE()),FIXED(SUMPRODUCT((Dados!$A$2:$A$3971=C$4)*(Dados!$W$2:$W$3971=1)*(Dados!$E$2:$E$3971&gt;0)*(Dados!$B$2:$B$3971=5)*(Dados!$G$2:$G$3971&gt;0),Dados!$G$2:$G$3971)/SUMPRODUCT((Dados!$A$2:$A$3971=C$4)*(Dados!$W$2:$W$3971=1)*(Dados!$E$2:$E$3971&gt;0)*(Dados!$B$2:$B$3971=5)*(Dados!$G$2:$G$3971&gt;0)),1,TRUE())&amp;" ("&amp;FIXED(SQRT(MAX(0,(SUMPRODUCT((Dados!$A$2:$A$3971=C$4)*(Dados!$W$2:$W$3971=1)*(Dados!$E$2:$E$3971&gt;0)*(Dados!$B$2:$B$3971=5)*(Dados!$G$2:$G$3971&gt;0),Dados!$G$2:$G$3971,Dados!$G$2:$G$3971)-SUMPRODUCT((Dados!$A$2:$A$3971=C$4)*(Dados!$W$2:$W$3971=1)*(Dados!$E$2:$E$3971&gt;0)*(Dados!$B$2:$B$3971=5)*(Dados!$G$2:$G$3971&gt;0),Dados!$G$2:$G$3971)^2/SUMPRODUCT((Dados!$A$2:$A$3971=C$4)*(Dados!$W$2:$W$3971=1)*(Dados!$E$2:$E$3971&gt;0)*(Dados!$B$2:$B$3971=5)*(Dados!$G$2:$G$3971&gt;0)))/(SUMPRODUCT((Dados!$A$2:$A$3971=C$4)*(Dados!$W$2:$W$3971=1)*(Dados!$E$2:$E$3971&gt;0)*(Dados!$B$2:$B$3971=5)*(Dados!$G$2:$G$3971&gt;0))-1))),1,TRUE())&amp;")"))</f>
        <v>38.0 (7.7)</v>
      </c>
      <c r="D24" s="20" t="n">
        <f aca="false">IF((IF(ISERROR(AVERAGEIFS(Dados!$G$2:$G$3971,Dados!$A$2:$A$3971,C$4,Dados!$W$2:$W$3971,1,Dados!$E$2:$E$3971,"&gt;0",Dados!$B$2:$B$3971,5,Dados!$G$2:$G$3971,"&gt;0")),0,1))=0,"",(IFERROR(AVERAGEIFS(Dados!$G$2:$G$3971,Dados!$A$2:$A$3971,C$4,Dados!$W$2:$W$3971,1,Dados!$E$2:$E$3971,"&gt;0",Dados!$B$2:$B$3971,5,Dados!$G$2:$G$3971,"&gt;0"),0))/(IF(ISERROR(AVERAGEIFS(Dados!$G$2:$G$3971,Dados!$A$2:$A$3971,C$4,Dados!$W$2:$W$3971,1,Dados!$E$2:$E$3971,"&gt;0",Dados!$B$2:$B$3971,5,Dados!$G$2:$G$3971,"&gt;0")),0,1)))</f>
        <v>37.9517766497462</v>
      </c>
      <c r="E24" s="11"/>
    </row>
    <row r="25" customFormat="false" ht="15" hidden="false" customHeight="false" outlineLevel="0" collapsed="false">
      <c r="A25" s="12" t="s">
        <v>29</v>
      </c>
      <c r="B25" s="13" t="s">
        <v>23</v>
      </c>
      <c r="C25" s="17" t="str">
        <f aca="false">IF(SUMPRODUCT((Dados!$A$2:$A$3971=C$4)*(Dados!$W$2:$W$3971=1)*(Dados!$E$2:$E$3971&gt;0)*(Dados!$B$2:$B$3971=6)*(Dados!$G$2:$G$3971&gt;0))=0,"",IF(SUMPRODUCT((Dados!$A$2:$A$3971=C$4)*(Dados!$W$2:$W$3971=1)*(Dados!$E$2:$E$3971&gt;0)*(Dados!$B$2:$B$3971=6)*(Dados!$G$2:$G$3971&gt;0))&lt;2,FIXED(SUMPRODUCT((Dados!$A$2:$A$3971=C$4)*(Dados!$W$2:$W$3971=1)*(Dados!$E$2:$E$3971&gt;0)*(Dados!$B$2:$B$3971=6)*(Dados!$G$2:$G$3971&gt;0),Dados!$G$2:$G$3971)/SUMPRODUCT((Dados!$A$2:$A$3971=C$4)*(Dados!$W$2:$W$3971=1)*(Dados!$E$2:$E$3971&gt;0)*(Dados!$B$2:$B$3971=6)*(Dados!$G$2:$G$3971&gt;0)),1,TRUE()),FIXED(SUMPRODUCT((Dados!$A$2:$A$3971=C$4)*(Dados!$W$2:$W$3971=1)*(Dados!$E$2:$E$3971&gt;0)*(Dados!$B$2:$B$3971=6)*(Dados!$G$2:$G$3971&gt;0),Dados!$G$2:$G$3971)/SUMPRODUCT((Dados!$A$2:$A$3971=C$4)*(Dados!$W$2:$W$3971=1)*(Dados!$E$2:$E$3971&gt;0)*(Dados!$B$2:$B$3971=6)*(Dados!$G$2:$G$3971&gt;0)),1,TRUE())&amp;" ("&amp;FIXED(SQRT(MAX(0,(SUMPRODUCT((Dados!$A$2:$A$3971=C$4)*(Dados!$W$2:$W$3971=1)*(Dados!$E$2:$E$3971&gt;0)*(Dados!$B$2:$B$3971=6)*(Dados!$G$2:$G$3971&gt;0),Dados!$G$2:$G$3971,Dados!$G$2:$G$3971)-SUMPRODUCT((Dados!$A$2:$A$3971=C$4)*(Dados!$W$2:$W$3971=1)*(Dados!$E$2:$E$3971&gt;0)*(Dados!$B$2:$B$3971=6)*(Dados!$G$2:$G$3971&gt;0),Dados!$G$2:$G$3971)^2/SUMPRODUCT((Dados!$A$2:$A$3971=C$4)*(Dados!$W$2:$W$3971=1)*(Dados!$E$2:$E$3971&gt;0)*(Dados!$B$2:$B$3971=6)*(Dados!$G$2:$G$3971&gt;0)))/(SUMPRODUCT((Dados!$A$2:$A$3971=C$4)*(Dados!$W$2:$W$3971=1)*(Dados!$E$2:$E$3971&gt;0)*(Dados!$B$2:$B$3971=6)*(Dados!$G$2:$G$3971&gt;0))-1))),1,TRUE())&amp;")"))</f>
        <v>25.0 (6.4)</v>
      </c>
      <c r="D25" s="18" t="n">
        <f aca="false">IF((IF(ISERROR(AVERAGEIFS(Dados!$G$2:$G$3971,Dados!$A$2:$A$3971,C$4,Dados!$W$2:$W$3971,1,Dados!$E$2:$E$3971,"&gt;0",Dados!$B$2:$B$3971,6,Dados!$G$2:$G$3971,"&gt;0")),0,1))=0,"",(IFERROR(AVERAGEIFS(Dados!$G$2:$G$3971,Dados!$A$2:$A$3971,C$4,Dados!$W$2:$W$3971,1,Dados!$E$2:$E$3971,"&gt;0",Dados!$B$2:$B$3971,6,Dados!$G$2:$G$3971,"&gt;0"),0))/(IF(ISERROR(AVERAGEIFS(Dados!$G$2:$G$3971,Dados!$A$2:$A$3971,C$4,Dados!$W$2:$W$3971,1,Dados!$E$2:$E$3971,"&gt;0",Dados!$B$2:$B$3971,6,Dados!$G$2:$G$3971,"&gt;0")),0,1)))</f>
        <v>24.9544117647059</v>
      </c>
      <c r="E25" s="16"/>
    </row>
    <row r="26" customFormat="false" ht="15" hidden="false" customHeight="false" outlineLevel="0" collapsed="false">
      <c r="A26" s="7" t="s">
        <v>30</v>
      </c>
      <c r="B26" s="8" t="s">
        <v>23</v>
      </c>
      <c r="C26" s="21" t="n">
        <f aca="false">IFERROR(AVERAGEIFS(Dados!$G$2:$G$3971,Dados!$A$2:$A$3971,C$4,Dados!$W$2:$W$3971,1,Dados!$Z$2:$Z$3971,1,Dados!$B$2:$B$3971,"&lt;=6",Dados!$G$2:$G$3971,"&gt;0"),"")</f>
        <v>43.7255332902392</v>
      </c>
      <c r="D26" s="20" t="n">
        <f aca="false">IFERROR(AVERAGE(C26:C26),"")</f>
        <v>43.7255332902392</v>
      </c>
      <c r="E26" s="11"/>
    </row>
    <row r="27" customFormat="false" ht="15" hidden="false" customHeight="false" outlineLevel="0" collapsed="false">
      <c r="A27" s="12" t="s">
        <v>31</v>
      </c>
      <c r="B27" s="13" t="s">
        <v>23</v>
      </c>
      <c r="C27" s="22" t="n">
        <f aca="false">IFERROR(AVERAGEIFS(Dados!$G$2:$G$3971,Dados!$A$2:$A$3971,C$4,Dados!$W$2:$W$3971,1,Dados!$Z$2:$Z$3971,1,Dados!$B$2:$B$3971,"&lt;=6",Dados!$G$2:$G$3971,"&gt;0",Dados!$E$2:$E$3971,1),"")</f>
        <v>43.1134670487106</v>
      </c>
      <c r="D27" s="18" t="n">
        <f aca="false">IFERROR(AVERAGE(C27:C27),"")</f>
        <v>43.1134670487106</v>
      </c>
      <c r="E27" s="16"/>
    </row>
    <row r="28" customFormat="false" ht="15" hidden="false" customHeight="false" outlineLevel="0" collapsed="false">
      <c r="A28" s="7" t="s">
        <v>32</v>
      </c>
      <c r="B28" s="8" t="s">
        <v>23</v>
      </c>
      <c r="C28" s="21" t="n">
        <f aca="false">IFERROR(AVERAGEIFS(Dados!$G$2:$G$3971,Dados!$A$2:$A$3971,C$4,Dados!$W$2:$W$3971,1,Dados!$Z$2:$Z$3971,1,Dados!$B$2:$B$3971,"&lt;=6",Dados!$G$2:$G$3971,"&gt;0",Dados!$E$2:$E$3971,"&gt;=2"),"")</f>
        <v>44.2287396937574</v>
      </c>
      <c r="D28" s="20" t="n">
        <f aca="false">IFERROR(AVERAGE(C28:C28),"")</f>
        <v>44.2287396937574</v>
      </c>
      <c r="E28" s="11"/>
    </row>
    <row r="29" customFormat="false" ht="15" hidden="false" customHeight="false" outlineLevel="0" collapsed="false">
      <c r="A29" s="12" t="s">
        <v>33</v>
      </c>
      <c r="B29" s="13" t="s">
        <v>8</v>
      </c>
      <c r="C29" s="14" t="n">
        <f aca="false">COUNTIFS(Dados!$A$2:$A$3971,C$4,Dados!$W$2:$W$3971,1,Dados!$Z$2:$Z$3971,1,Dados!$B$2:$B$3971,"&lt;=6",Dados!$G$2:$G$3971,"&gt;0",Dados!$G$2:$G$3971,"&lt;20")</f>
        <v>45</v>
      </c>
      <c r="D29" s="15" t="n">
        <f aca="false">IFERROR(AVERAGE(C29:C29),"")</f>
        <v>45</v>
      </c>
      <c r="E29" s="16"/>
    </row>
    <row r="30" customFormat="false" ht="15" hidden="false" customHeight="false" outlineLevel="0" collapsed="false">
      <c r="A30" s="7" t="s">
        <v>34</v>
      </c>
      <c r="B30" s="8" t="s">
        <v>8</v>
      </c>
      <c r="C30" s="9" t="n">
        <f aca="false">COUNTIFS(Dados!$A$2:$A$3971,C$4,Dados!$W$2:$W$3971,1,Dados!$Z$2:$Z$3971,1,Dados!$B$2:$B$3971,"&lt;=6",Dados!$G$2:$G$3971,"&gt;0")</f>
        <v>1547</v>
      </c>
      <c r="D30" s="10" t="n">
        <f aca="false">IFERROR(AVERAGE(C30:C30),"")</f>
        <v>1547</v>
      </c>
      <c r="E30" s="11"/>
    </row>
    <row r="31" customFormat="false" ht="15" hidden="false" customHeight="false" outlineLevel="0" collapsed="false">
      <c r="A31" s="12" t="s">
        <v>35</v>
      </c>
      <c r="B31" s="13" t="s">
        <v>36</v>
      </c>
      <c r="C31" s="23" t="n">
        <f aca="false">IFERROR(COUNTIFS(Dados!$A$2:$A$3971,C$4,Dados!$W$2:$W$3971,1,Dados!$Z$2:$Z$3971,1,Dados!$B$2:$B$3971,"&lt;=6",Dados!$G$2:$G$3971,"&gt;0")/COUNTIFS(Dados!$A$2:$A$3971,C$4,Dados!$W$2:$W$3971,1,Dados!$Z$2:$Z$3971,1,Dados!$B$2:$B$3971,"&lt;=6"),"")</f>
        <v>0.969905956112853</v>
      </c>
      <c r="D31" s="24" t="n">
        <f aca="false">IFERROR(AVERAGE(C31:C31),"")</f>
        <v>0.969905956112853</v>
      </c>
      <c r="E31" s="16"/>
    </row>
    <row r="32" customFormat="false" ht="15" hidden="false" customHeight="false" outlineLevel="0" collapsed="false">
      <c r="A32" s="7" t="s">
        <v>37</v>
      </c>
      <c r="B32" s="8" t="s">
        <v>38</v>
      </c>
      <c r="C32" s="25" t="n">
        <f aca="false">SUMIFS(Dados!$G$2:$G$3971,Dados!$A$2:$A$3971,C$4,Dados!$W$2:$W$3971,1,Dados!$Z$2:$Z$3971,1,Dados!$B$2:$B$3971,"&lt;=6",Dados!$G$2:$G$3971,"&gt;0")</f>
        <v>67643.4</v>
      </c>
      <c r="D32" s="26" t="n">
        <f aca="false">IFERROR(AVERAGE(C32:C32),"")</f>
        <v>67643.4</v>
      </c>
      <c r="E32" s="11"/>
    </row>
    <row r="33" customFormat="false" ht="15" hidden="false" customHeight="false" outlineLevel="0" collapsed="false">
      <c r="A33" s="7" t="s">
        <v>39</v>
      </c>
      <c r="B33" s="8" t="s">
        <v>40</v>
      </c>
      <c r="C33" s="27" t="n">
        <v>70310</v>
      </c>
      <c r="D33" s="26" t="n">
        <f aca="false">IFERROR(AVERAGE(C33:C33),"")</f>
        <v>70310</v>
      </c>
      <c r="E33" s="11"/>
    </row>
    <row r="34" customFormat="false" ht="15" hidden="false" customHeight="false" outlineLevel="0" collapsed="false">
      <c r="A34" s="7" t="s">
        <v>41</v>
      </c>
      <c r="B34" s="8" t="s">
        <v>36</v>
      </c>
      <c r="C34" s="28" t="n">
        <f aca="false">IF(OR(C32="",C33="",C33=0),"",(C32-C33)/C33)</f>
        <v>-0.0379263262693786</v>
      </c>
      <c r="D34" s="29" t="n">
        <f aca="false">IFERROR(AVERAGE(C34:C34),"")</f>
        <v>-0.0379263262693786</v>
      </c>
      <c r="E34" s="11"/>
    </row>
    <row r="35" customFormat="false" ht="15" hidden="false" customHeight="false" outlineLevel="0" collapsed="false">
      <c r="A35" s="12" t="s">
        <v>42</v>
      </c>
      <c r="B35" s="13" t="s">
        <v>38</v>
      </c>
      <c r="C35" s="30" t="n">
        <f aca="false">SUMIFS(Dados!$G$2:$G$3971,Dados!$A$2:$A$3971,C$4,Dados!$W$2:$W$3971,1,Dados!$Z$2:$Z$3971,1,Dados!$B$2:$B$3971,10,Dados!$G$2:$G$3971,"&gt;0")</f>
        <v>767.8</v>
      </c>
      <c r="D35" s="31" t="n">
        <f aca="false">IFERROR(AVERAGE(C35:C35),"")</f>
        <v>767.8</v>
      </c>
      <c r="E35" s="16"/>
    </row>
    <row r="36" customFormat="false" ht="15" hidden="false" customHeight="false" outlineLevel="0" collapsed="false">
      <c r="A36" s="7" t="s">
        <v>43</v>
      </c>
      <c r="B36" s="8" t="s">
        <v>36</v>
      </c>
      <c r="C36" s="32" t="n">
        <f aca="false">IFERROR(SUMIFS(Dados!$G$2:$G$3971,Dados!$A$2:$A$3971,C$4,Dados!$W$2:$W$3971,1,Dados!$Z$2:$Z$3971,1,Dados!$B$2:$B$3971,10,Dados!$G$2:$G$3971,"&gt;0")/(SUMIFS(Dados!$G$2:$G$3971,Dados!$A$2:$A$3971,C$4,Dados!$W$2:$W$3971,1,Dados!$Z$2:$Z$3971,1,Dados!$B$2:$B$3971,"&lt;=6",Dados!$G$2:$G$3971,"&gt;0")+SUMIFS(Dados!$G$2:$G$3971,Dados!$A$2:$A$3971,C$4,Dados!$W$2:$W$3971,1,Dados!$Z$2:$Z$3971,1,Dados!$B$2:$B$3971,10,Dados!$G$2:$G$3971,"&gt;0")),"")</f>
        <v>0.0112233084641111</v>
      </c>
      <c r="D36" s="33" t="n">
        <f aca="false">IFERROR(AVERAGE(C36:C36),"")</f>
        <v>0.0112233084641111</v>
      </c>
      <c r="E36" s="11"/>
    </row>
    <row r="37" customFormat="false" ht="15" hidden="false" customHeight="false" outlineLevel="0" collapsed="false">
      <c r="A37" s="12" t="s">
        <v>44</v>
      </c>
      <c r="B37" s="13" t="s">
        <v>36</v>
      </c>
      <c r="C37" s="34" t="n">
        <f aca="false">IFERROR(AVERAGEIFS(Dados!$P$2:$P$3971,Dados!$A$2:$A$3971,C$4,Dados!$W$2:$W$3971,1,Dados!$Z$2:$Z$3971,1,Dados!$B$2:$B$3971,"&lt;=6",Dados!$P$2:$P$3971,"&gt;0"),"")</f>
        <v>4.0107718579235</v>
      </c>
      <c r="D37" s="35" t="n">
        <f aca="false">IFERROR(AVERAGE(C37:C37),"")</f>
        <v>4.0107718579235</v>
      </c>
      <c r="E37" s="16"/>
    </row>
    <row r="38" customFormat="false" ht="15" hidden="false" customHeight="false" outlineLevel="0" collapsed="false">
      <c r="A38" s="7" t="s">
        <v>45</v>
      </c>
      <c r="B38" s="8" t="s">
        <v>36</v>
      </c>
      <c r="C38" s="36" t="n">
        <f aca="false">IFERROR(AVERAGEIFS(Dados!$Q$2:$Q$3971,Dados!$A$2:$A$3971,C$4,Dados!$W$2:$W$3971,1,Dados!$Z$2:$Z$3971,1,Dados!$B$2:$B$3971,"&lt;=6",Dados!$Q$2:$Q$3971,"&gt;0"),"")</f>
        <v>3.53262295081967</v>
      </c>
      <c r="D38" s="37" t="n">
        <f aca="false">IFERROR(AVERAGE(C38:C38),"")</f>
        <v>3.53262295081967</v>
      </c>
      <c r="E38" s="11"/>
    </row>
    <row r="39" customFormat="false" ht="15" hidden="false" customHeight="false" outlineLevel="0" collapsed="false">
      <c r="A39" s="12" t="s">
        <v>46</v>
      </c>
      <c r="B39" s="13" t="s">
        <v>8</v>
      </c>
      <c r="C39" s="14" t="n">
        <f aca="false">COUNTIFS(Dados!$A$2:$A$3971,C$4,Dados!$W$2:$W$3971,1,Dados!$E$2:$E$3971,"&gt;0",Dados!$X$2:$X$3971,0,Dados!$L$2:$L$3971,"&gt;=1")</f>
        <v>988</v>
      </c>
      <c r="D39" s="15" t="n">
        <f aca="false">IFERROR(AVERAGE(C39:C39),"")</f>
        <v>988</v>
      </c>
      <c r="E39" s="16"/>
    </row>
    <row r="40" customFormat="false" ht="15" hidden="false" customHeight="false" outlineLevel="0" collapsed="false">
      <c r="A40" s="7" t="s">
        <v>47</v>
      </c>
      <c r="B40" s="8" t="s">
        <v>36</v>
      </c>
      <c r="C40" s="32" t="n">
        <f aca="false">IFERROR(COUNTIFS(Dados!$A$2:$A$3971,C$4,Dados!$W$2:$W$3971,1,Dados!$E$2:$E$3971,"&gt;0",Dados!$X$2:$X$3971,0,Dados!$L$2:$L$3971,"&gt;=1")/COUNTIFS(Dados!$A$2:$A$3971,C$4,Dados!$W$2:$W$3971,1,Dados!$E$2:$E$3971,"&gt;0",Dados!$X$2:$X$3971,0),"")</f>
        <v>0.549805230940456</v>
      </c>
      <c r="D40" s="33" t="n">
        <f aca="false">IFERROR(AVERAGE(C40:C40),"")</f>
        <v>0.549805230940456</v>
      </c>
      <c r="E40" s="11"/>
    </row>
    <row r="41" customFormat="false" ht="15" hidden="false" customHeight="false" outlineLevel="0" collapsed="false">
      <c r="A41" s="12" t="s">
        <v>48</v>
      </c>
      <c r="B41" s="13" t="s">
        <v>8</v>
      </c>
      <c r="C41" s="14" t="n">
        <f aca="false">(COUNTIFS(Dados!$A$2:$A$3971,C$4,Dados!$W$2:$W$3971,1,Dados!$Z$2:$Z$3971,1,Dados!$X$2:$X$3971,0,Dados!$D$2:$D$3971,"&gt;"&amp;P_DEL_NG&amp;"")-COUNTIFS(Dados!$A$2:$A$3971,C$4,Dados!$W$2:$W$3971,1,Dados!$Z$2:$Z$3971,1,Dados!$X$2:$X$3971,0,Dados!$D$2:$D$3971,"&gt;"&amp;P_DEL_NG&amp;"",Dados!$L$2:$L$3971,"&gt;=1"))</f>
        <v>224</v>
      </c>
      <c r="D41" s="15" t="n">
        <f aca="false">IFERROR(AVERAGE(C41:C41),"")</f>
        <v>224</v>
      </c>
      <c r="E41" s="16"/>
    </row>
    <row r="42" customFormat="false" ht="15" hidden="false" customHeight="false" outlineLevel="0" collapsed="false">
      <c r="A42" s="7" t="s">
        <v>49</v>
      </c>
      <c r="B42" s="8" t="s">
        <v>36</v>
      </c>
      <c r="C42" s="32" t="n">
        <f aca="false">IFERROR((COUNTIFS(Dados!$A$2:$A$3971,C$4,Dados!$W$2:$W$3971,1,Dados!$Z$2:$Z$3971,1,Dados!$X$2:$X$3971,0,Dados!$D$2:$D$3971,"&gt;"&amp;P_DEL_NG&amp;"")-COUNTIFS(Dados!$A$2:$A$3971,C$4,Dados!$W$2:$W$3971,1,Dados!$Z$2:$Z$3971,1,Dados!$X$2:$X$3971,0,Dados!$D$2:$D$3971,"&gt;"&amp;P_DEL_NG&amp;"",Dados!$L$2:$L$3971,"&gt;=1"))/COUNTIFS(Dados!$A$2:$A$3971,C$4,Dados!$W$2:$W$3971,1,Dados!$Z$2:$Z$3971,1),"")</f>
        <v>0.135593220338983</v>
      </c>
      <c r="D42" s="33" t="n">
        <f aca="false">IFERROR(AVERAGE(C42:C42),"")</f>
        <v>0.135593220338983</v>
      </c>
      <c r="E42" s="11"/>
    </row>
    <row r="43" customFormat="false" ht="15" hidden="false" customHeight="false" outlineLevel="0" collapsed="false">
      <c r="A43" s="12" t="s">
        <v>50</v>
      </c>
      <c r="B43" s="13" t="s">
        <v>8</v>
      </c>
      <c r="C43" s="14" t="n">
        <f aca="false">COUNTIFS(Dados!$A$2:$A$3971,C$4,Dados!$W$2:$W$3971,1,Dados!$E$2:$E$3971,"&gt;0",Dados!$X$2:$X$3971,1)</f>
        <v>59</v>
      </c>
      <c r="D43" s="15" t="n">
        <f aca="false">IFERROR(AVERAGE(C43:C43),"")</f>
        <v>59</v>
      </c>
      <c r="E43" s="16"/>
    </row>
    <row r="44" customFormat="false" ht="15" hidden="false" customHeight="false" outlineLevel="0" collapsed="false">
      <c r="A44" s="7" t="s">
        <v>51</v>
      </c>
      <c r="B44" s="8" t="s">
        <v>8</v>
      </c>
      <c r="C44" s="9" t="n">
        <f aca="false">COUNTIFS(Dados!$A$2:$A$3971,C$4,Dados!$W$2:$W$3971,1,Dados!$Z$2:$Z$3971,1,Dados!$X$2:$X$3971,0,Dados!$D$2:$D$3971,"&gt;"&amp;P_DEL_SEM_IA&amp;"",Dados!$V$2:$V$3971,0)</f>
        <v>8</v>
      </c>
      <c r="D44" s="10" t="n">
        <f aca="false">IFERROR(AVERAGE(C44:C44),"")</f>
        <v>8</v>
      </c>
      <c r="E44" s="11"/>
    </row>
    <row r="45" customFormat="false" ht="15" hidden="false" customHeight="false" outlineLevel="0" collapsed="false">
      <c r="A45" s="5" t="s">
        <v>52</v>
      </c>
      <c r="B45" s="6"/>
      <c r="C45" s="6"/>
      <c r="D45" s="6"/>
      <c r="E45" s="6"/>
    </row>
    <row r="46" customFormat="false" ht="15" hidden="false" customHeight="false" outlineLevel="0" collapsed="false">
      <c r="A46" s="7" t="s">
        <v>53</v>
      </c>
      <c r="B46" s="8" t="s">
        <v>8</v>
      </c>
      <c r="C46" s="9" t="n">
        <f aca="false">COUNTIFS(Dados!$A$2:$A$3971,C$4,Dados!$W$2:$W$3971,1,Dados!$E$2:$E$3971,0)</f>
        <v>1905</v>
      </c>
      <c r="D46" s="10" t="n">
        <f aca="false">IFERROR(AVERAGE(C46:C46),"")</f>
        <v>1905</v>
      </c>
      <c r="E46" s="11"/>
    </row>
    <row r="47" customFormat="false" ht="15" hidden="false" customHeight="false" outlineLevel="0" collapsed="false">
      <c r="A47" s="12" t="s">
        <v>54</v>
      </c>
      <c r="B47" s="13" t="s">
        <v>8</v>
      </c>
      <c r="C47" s="14" t="n">
        <f aca="false">COUNTIFS(Dados!$A$2:$A$3971,C$4,Dados!$W$2:$W$3971,1,Dados!$E$2:$E$3971,0,Dados!$U$2:$U$3971,"&lt;"&amp;P_IDADE_3M&amp;"")</f>
        <v>245</v>
      </c>
      <c r="D47" s="15" t="n">
        <f aca="false">IFERROR(AVERAGE(C47:C47),"")</f>
        <v>245</v>
      </c>
      <c r="E47" s="16"/>
    </row>
    <row r="48" customFormat="false" ht="15" hidden="false" customHeight="false" outlineLevel="0" collapsed="false">
      <c r="A48" s="7" t="s">
        <v>55</v>
      </c>
      <c r="B48" s="8" t="s">
        <v>8</v>
      </c>
      <c r="C48" s="9" t="n">
        <f aca="false">COUNTIFS(Dados!$A$2:$A$3971,C$4,Dados!$W$2:$W$3971,1,Dados!$E$2:$E$3971,0,Dados!$U$2:$U$3971,"&lt;=7")</f>
        <v>15</v>
      </c>
      <c r="D48" s="10" t="n">
        <f aca="false">IFERROR(AVERAGE(C48:C48),"")</f>
        <v>15</v>
      </c>
      <c r="E48" s="11"/>
    </row>
    <row r="49" customFormat="false" ht="15" hidden="false" customHeight="false" outlineLevel="0" collapsed="false">
      <c r="A49" s="12" t="s">
        <v>56</v>
      </c>
      <c r="B49" s="13" t="s">
        <v>8</v>
      </c>
      <c r="C49" s="14" t="n">
        <f aca="false">COUNTIFS(Dados!$A$2:$A$3971,C$4,Dados!$W$2:$W$3971,1,Dados!$E$2:$E$3971,0,Dados!$X$2:$X$3971,0,Dados!$L$2:$L$3971,"&gt;=1")</f>
        <v>542</v>
      </c>
      <c r="D49" s="15" t="n">
        <f aca="false">IFERROR(AVERAGE(C49:C49),"")</f>
        <v>542</v>
      </c>
      <c r="E49" s="16"/>
    </row>
    <row r="50" customFormat="false" ht="15" hidden="false" customHeight="false" outlineLevel="0" collapsed="false">
      <c r="A50" s="7" t="s">
        <v>57</v>
      </c>
      <c r="B50" s="8" t="s">
        <v>8</v>
      </c>
      <c r="C50" s="9" t="n">
        <f aca="false">(COUNTIFS(Dados!$A$2:$A$3971,C$4,Dados!$W$2:$W$3971,1,Dados!$E$2:$E$3971,0,Dados!$X$2:$X$3971,0,Dados!$U$2:$U$3971,"&gt;"&amp;P_IDADE_15M&amp;"")-COUNTIFS(Dados!$A$2:$A$3971,C$4,Dados!$W$2:$W$3971,1,Dados!$E$2:$E$3971,0,Dados!$X$2:$X$3971,0,Dados!$U$2:$U$3971,"&gt;"&amp;P_IDADE_15M&amp;"",Dados!$L$2:$L$3971,"&gt;=1"))</f>
        <v>69</v>
      </c>
      <c r="D50" s="10" t="n">
        <f aca="false">IFERROR(AVERAGE(C50:C50),"")</f>
        <v>69</v>
      </c>
      <c r="E50" s="11"/>
    </row>
  </sheetData>
  <conditionalFormatting sqref="E5:E50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59</v>
      </c>
    </row>
    <row r="4" customFormat="false" ht="15" hidden="false" customHeight="false" outlineLevel="0" collapsed="false">
      <c r="A4" s="38" t="s">
        <v>60</v>
      </c>
      <c r="B4" s="38" t="s">
        <v>61</v>
      </c>
      <c r="C4" s="38" t="s">
        <v>62</v>
      </c>
    </row>
    <row r="5" customFormat="false" ht="15" hidden="false" customHeight="false" outlineLevel="0" collapsed="false">
      <c r="A5" s="39" t="s">
        <v>63</v>
      </c>
      <c r="B5" s="40" t="n">
        <v>150</v>
      </c>
      <c r="C5" s="41" t="s">
        <v>64</v>
      </c>
    </row>
    <row r="6" customFormat="false" ht="15" hidden="false" customHeight="false" outlineLevel="0" collapsed="false">
      <c r="A6" s="39" t="s">
        <v>65</v>
      </c>
      <c r="B6" s="40" t="n">
        <v>70</v>
      </c>
      <c r="C6" s="41" t="s">
        <v>66</v>
      </c>
    </row>
    <row r="7" customFormat="false" ht="15" hidden="false" customHeight="false" outlineLevel="0" collapsed="false">
      <c r="A7" s="39" t="s">
        <v>67</v>
      </c>
      <c r="B7" s="40" t="n">
        <v>90</v>
      </c>
      <c r="C7" s="41" t="s">
        <v>68</v>
      </c>
    </row>
    <row r="8" customFormat="false" ht="15" hidden="false" customHeight="false" outlineLevel="0" collapsed="false">
      <c r="A8" s="39" t="s">
        <v>69</v>
      </c>
      <c r="B8" s="40" t="n">
        <v>456</v>
      </c>
      <c r="C8" s="41" t="s">
        <v>70</v>
      </c>
    </row>
    <row r="10" customFormat="false" ht="15" hidden="false" customHeight="false" outlineLevel="0" collapsed="false">
      <c r="A10" s="42" t="s">
        <v>71</v>
      </c>
    </row>
    <row r="11" customFormat="false" ht="15" hidden="false" customHeight="false" outlineLevel="0" collapsed="false">
      <c r="A11" s="39" t="n">
        <v>1</v>
      </c>
      <c r="B11" s="43" t="n">
        <v>46309</v>
      </c>
      <c r="C11" s="41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3" min="23" style="0" width="12"/>
  </cols>
  <sheetData>
    <row r="1" customFormat="false" ht="43.25" hidden="false" customHeight="false" outlineLevel="0" collapsed="false">
      <c r="A1" s="3" t="s">
        <v>73</v>
      </c>
      <c r="B1" s="3" t="s">
        <v>74</v>
      </c>
      <c r="C1" s="3" t="s">
        <v>75</v>
      </c>
      <c r="D1" s="3" t="s">
        <v>76</v>
      </c>
      <c r="E1" s="3" t="s">
        <v>77</v>
      </c>
      <c r="F1" s="3" t="s">
        <v>78</v>
      </c>
      <c r="G1" s="3" t="s">
        <v>79</v>
      </c>
      <c r="H1" s="3" t="s">
        <v>80</v>
      </c>
      <c r="I1" s="3" t="s">
        <v>81</v>
      </c>
      <c r="J1" s="3" t="s">
        <v>82</v>
      </c>
      <c r="K1" s="3" t="s">
        <v>83</v>
      </c>
      <c r="L1" s="3" t="s">
        <v>84</v>
      </c>
      <c r="M1" s="3" t="s">
        <v>85</v>
      </c>
      <c r="N1" s="3" t="s">
        <v>86</v>
      </c>
      <c r="O1" s="3" t="s">
        <v>87</v>
      </c>
      <c r="P1" s="3" t="s">
        <v>88</v>
      </c>
      <c r="Q1" s="3" t="s">
        <v>89</v>
      </c>
      <c r="R1" s="3" t="s">
        <v>90</v>
      </c>
      <c r="S1" s="3" t="s">
        <v>91</v>
      </c>
      <c r="T1" s="3" t="s">
        <v>92</v>
      </c>
      <c r="U1" s="3" t="s">
        <v>93</v>
      </c>
      <c r="V1" s="3" t="s">
        <v>94</v>
      </c>
      <c r="W1" s="44" t="s">
        <v>95</v>
      </c>
      <c r="X1" s="44" t="s">
        <v>96</v>
      </c>
      <c r="Y1" s="44" t="s">
        <v>97</v>
      </c>
      <c r="Z1" s="44" t="s">
        <v>98</v>
      </c>
      <c r="AA1" s="44" t="s">
        <v>99</v>
      </c>
      <c r="AB1" s="44" t="s">
        <v>100</v>
      </c>
      <c r="AC1" s="44" t="s">
        <v>101</v>
      </c>
      <c r="AD1" s="44" t="s">
        <v>102</v>
      </c>
      <c r="AE1" s="44" t="s">
        <v>103</v>
      </c>
      <c r="AF1" s="44" t="s">
        <v>104</v>
      </c>
      <c r="AG1" s="44" t="s">
        <v>105</v>
      </c>
    </row>
    <row r="2" customFormat="false" ht="15" hidden="false" customHeight="false" outlineLevel="0" collapsed="false">
      <c r="A2" s="45" t="n">
        <v>46309</v>
      </c>
      <c r="B2" s="0" t="n">
        <v>15</v>
      </c>
      <c r="C2" s="0" t="n">
        <v>0</v>
      </c>
      <c r="E2" s="0" t="n">
        <v>0</v>
      </c>
      <c r="F2" s="39" t="s">
        <v>106</v>
      </c>
      <c r="I2" s="39" t="s">
        <v>107</v>
      </c>
      <c r="U2" s="0" t="n">
        <v>4</v>
      </c>
      <c r="V2" s="0" t="n">
        <v>0</v>
      </c>
      <c r="W2" s="39" t="n">
        <f aca="false">IF(I2="Male",0,1)</f>
        <v>0</v>
      </c>
      <c r="X2" s="39" t="n">
        <f aca="false">IF(OR(I2="DNB",I2="Dry DNB"),1,0)</f>
        <v>0</v>
      </c>
      <c r="Y2" s="39" t="n">
        <f aca="false">MATCH(A2,DATAS,0)</f>
        <v>1</v>
      </c>
      <c r="Z2" s="39" t="n">
        <f aca="false">IF(AND(E2&gt;0,OR(AND(B2&gt;=1,B2&lt;=6),B2=10)),1,0)</f>
        <v>0</v>
      </c>
      <c r="AA2" s="39" t="n">
        <f aca="false">IF(AND(E2&gt;0,B2=10),1,0)</f>
        <v>0</v>
      </c>
      <c r="AB2" s="0" t="str">
        <f aca="false">IF(FALSE(),Z1,"")</f>
        <v/>
      </c>
      <c r="AC2" s="0" t="str">
        <f aca="false">IF(FALSE(),AA1,"")</f>
        <v/>
      </c>
      <c r="AD2" s="0" t="str">
        <f aca="false">IF(Y2=1,"",IF(AND(Z2=1,AB2&lt;&gt;1),1,0))</f>
        <v/>
      </c>
      <c r="AE2" s="0" t="str">
        <f aca="false">IF(Y2=1,"",IF(AND(AA2=1,AC2&lt;&gt;1),1,0))</f>
        <v/>
      </c>
      <c r="AF2" s="45" t="str">
        <f aca="false">IF(AND(E2&gt;0,Y2&lt;1,NOT(AND(C3=C2,Y3=Y2+1))),INDEX(DATAS,Y2+1),"")</f>
        <v/>
      </c>
      <c r="AG2" s="45" t="str">
        <f aca="false">IF(AND(AA2=1,Y2&lt;1),IF(AND(C3=C2,Y3=Y2+1),IF(AA3=1,"",INDEX(DATAS,Y2+1)),INDEX(DATAS,Y2+1)),"")</f>
        <v/>
      </c>
    </row>
    <row r="3" customFormat="false" ht="15" hidden="false" customHeight="false" outlineLevel="0" collapsed="false">
      <c r="A3" s="45" t="n">
        <v>46309</v>
      </c>
      <c r="B3" s="0" t="n">
        <v>10</v>
      </c>
      <c r="C3" s="0" t="n">
        <v>100</v>
      </c>
      <c r="D3" s="0" t="n">
        <v>294</v>
      </c>
      <c r="E3" s="0" t="n">
        <v>1</v>
      </c>
      <c r="F3" s="39" t="s">
        <v>108</v>
      </c>
      <c r="G3" s="0" t="n">
        <v>29.9</v>
      </c>
      <c r="H3" s="0" t="n">
        <v>42</v>
      </c>
      <c r="I3" s="39" t="s">
        <v>109</v>
      </c>
      <c r="J3" s="0" t="n">
        <v>184</v>
      </c>
      <c r="K3" s="0" t="n">
        <v>70</v>
      </c>
      <c r="L3" s="0" t="n">
        <v>110</v>
      </c>
      <c r="P3" s="0" t="n">
        <v>4.02</v>
      </c>
      <c r="Q3" s="0" t="n">
        <v>3.78</v>
      </c>
      <c r="R3" s="0" t="n">
        <v>4013</v>
      </c>
      <c r="S3" s="0" t="n">
        <v>10979</v>
      </c>
      <c r="T3" s="0" t="n">
        <v>58.85</v>
      </c>
      <c r="U3" s="0" t="n">
        <v>1082</v>
      </c>
      <c r="V3" s="0" t="n">
        <v>4</v>
      </c>
      <c r="W3" s="39" t="n">
        <f aca="false">IF(I3="Male",0,1)</f>
        <v>1</v>
      </c>
      <c r="X3" s="39" t="n">
        <f aca="false">IF(OR(I3="DNB",I3="Dry DNB"),1,0)</f>
        <v>0</v>
      </c>
      <c r="Y3" s="39" t="n">
        <f aca="false">MATCH(A3,DATAS,0)</f>
        <v>1</v>
      </c>
      <c r="Z3" s="39" t="n">
        <f aca="false">IF(AND(E3&gt;0,OR(AND(B3&gt;=1,B3&lt;=6),B3=10)),1,0)</f>
        <v>1</v>
      </c>
      <c r="AA3" s="39" t="n">
        <f aca="false">IF(AND(E3&gt;0,B3=10),1,0)</f>
        <v>1</v>
      </c>
      <c r="AB3" s="0" t="str">
        <f aca="false">IF(AND(C2=C3,Y2=Y3-1),Z2,"")</f>
        <v/>
      </c>
      <c r="AC3" s="0" t="str">
        <f aca="false">IF(AND(C2=C3,Y2=Y3-1),AA2,"")</f>
        <v/>
      </c>
      <c r="AD3" s="0" t="str">
        <f aca="false">IF(Y3=1,"",IF(AND(Z3=1,AB3&lt;&gt;1),1,0))</f>
        <v/>
      </c>
      <c r="AE3" s="0" t="str">
        <f aca="false">IF(Y3=1,"",IF(AND(AA3=1,AC3&lt;&gt;1),1,0))</f>
        <v/>
      </c>
      <c r="AF3" s="45" t="str">
        <f aca="false">IF(AND(E3&gt;0,Y3&lt;1,NOT(AND(C4=C3,Y4=Y3+1))),INDEX(DATAS,Y3+1),"")</f>
        <v/>
      </c>
      <c r="AG3" s="45" t="str">
        <f aca="false">IF(AND(AA3=1,Y3&lt;1),IF(AND(C4=C3,Y4=Y3+1),IF(AA4=1,"",INDEX(DATAS,Y3+1)),INDEX(DATAS,Y3+1)),"")</f>
        <v/>
      </c>
    </row>
    <row r="4" customFormat="false" ht="15" hidden="false" customHeight="false" outlineLevel="0" collapsed="false">
      <c r="A4" s="45" t="n">
        <v>46309</v>
      </c>
      <c r="B4" s="0" t="n">
        <v>10</v>
      </c>
      <c r="C4" s="0" t="n">
        <v>101</v>
      </c>
      <c r="D4" s="0" t="n">
        <v>197</v>
      </c>
      <c r="E4" s="0" t="n">
        <v>1</v>
      </c>
      <c r="F4" s="39" t="s">
        <v>110</v>
      </c>
      <c r="G4" s="0" t="n">
        <v>22.5</v>
      </c>
      <c r="H4" s="0" t="n">
        <v>32</v>
      </c>
      <c r="I4" s="39" t="s">
        <v>109</v>
      </c>
      <c r="J4" s="0" t="n">
        <v>106</v>
      </c>
      <c r="K4" s="0" t="n">
        <v>106</v>
      </c>
      <c r="L4" s="0" t="n">
        <v>91</v>
      </c>
      <c r="P4" s="0" t="n">
        <v>5.18</v>
      </c>
      <c r="Q4" s="0" t="n">
        <v>3.53</v>
      </c>
      <c r="R4" s="0" t="n">
        <v>4966</v>
      </c>
      <c r="S4" s="0" t="n">
        <v>9906</v>
      </c>
      <c r="T4" s="0" t="n">
        <v>58.75</v>
      </c>
      <c r="U4" s="0" t="n">
        <v>865</v>
      </c>
      <c r="V4" s="0" t="n">
        <v>1</v>
      </c>
      <c r="W4" s="39" t="n">
        <f aca="false">IF(I4="Male",0,1)</f>
        <v>1</v>
      </c>
      <c r="X4" s="39" t="n">
        <f aca="false">IF(OR(I4="DNB",I4="Dry DNB"),1,0)</f>
        <v>0</v>
      </c>
      <c r="Y4" s="39" t="n">
        <f aca="false">MATCH(A4,DATAS,0)</f>
        <v>1</v>
      </c>
      <c r="Z4" s="39" t="n">
        <f aca="false">IF(AND(E4&gt;0,OR(AND(B4&gt;=1,B4&lt;=6),B4=10)),1,0)</f>
        <v>1</v>
      </c>
      <c r="AA4" s="39" t="n">
        <f aca="false">IF(AND(E4&gt;0,B4=10),1,0)</f>
        <v>1</v>
      </c>
      <c r="AB4" s="0" t="str">
        <f aca="false">IF(AND(C3=C4,Y3=Y4-1),Z3,"")</f>
        <v/>
      </c>
      <c r="AC4" s="0" t="str">
        <f aca="false">IF(AND(C3=C4,Y3=Y4-1),AA3,"")</f>
        <v/>
      </c>
      <c r="AD4" s="0" t="str">
        <f aca="false">IF(Y4=1,"",IF(AND(Z4=1,AB4&lt;&gt;1),1,0))</f>
        <v/>
      </c>
      <c r="AE4" s="0" t="str">
        <f aca="false">IF(Y4=1,"",IF(AND(AA4=1,AC4&lt;&gt;1),1,0))</f>
        <v/>
      </c>
      <c r="AF4" s="45" t="str">
        <f aca="false">IF(AND(E4&gt;0,Y4&lt;1,NOT(AND(C5=C4,Y5=Y4+1))),INDEX(DATAS,Y4+1),"")</f>
        <v/>
      </c>
      <c r="AG4" s="45" t="str">
        <f aca="false">IF(AND(AA4=1,Y4&lt;1),IF(AND(C5=C4,Y5=Y4+1),IF(AA5=1,"",INDEX(DATAS,Y4+1)),INDEX(DATAS,Y4+1)),"")</f>
        <v/>
      </c>
    </row>
    <row r="5" customFormat="false" ht="15" hidden="false" customHeight="false" outlineLevel="0" collapsed="false">
      <c r="A5" s="45" t="n">
        <v>46309</v>
      </c>
      <c r="B5" s="0" t="n">
        <v>8</v>
      </c>
      <c r="C5" s="0" t="n">
        <v>102</v>
      </c>
      <c r="E5" s="0" t="n">
        <v>0</v>
      </c>
      <c r="F5" s="39" t="s">
        <v>111</v>
      </c>
      <c r="I5" s="39" t="s">
        <v>109</v>
      </c>
      <c r="L5" s="0" t="n">
        <v>132</v>
      </c>
      <c r="U5" s="0" t="n">
        <v>757</v>
      </c>
      <c r="V5" s="0" t="n">
        <v>4</v>
      </c>
      <c r="W5" s="39" t="n">
        <f aca="false">IF(I5="Male",0,1)</f>
        <v>1</v>
      </c>
      <c r="X5" s="39" t="n">
        <f aca="false">IF(OR(I5="DNB",I5="Dry DNB"),1,0)</f>
        <v>0</v>
      </c>
      <c r="Y5" s="39" t="n">
        <f aca="false">MATCH(A5,DATAS,0)</f>
        <v>1</v>
      </c>
      <c r="Z5" s="39" t="n">
        <f aca="false">IF(AND(E5&gt;0,OR(AND(B5&gt;=1,B5&lt;=6),B5=10)),1,0)</f>
        <v>0</v>
      </c>
      <c r="AA5" s="39" t="n">
        <f aca="false">IF(AND(E5&gt;0,B5=10),1,0)</f>
        <v>0</v>
      </c>
      <c r="AB5" s="0" t="str">
        <f aca="false">IF(AND(C4=C5,Y4=Y5-1),Z4,"")</f>
        <v/>
      </c>
      <c r="AC5" s="0" t="str">
        <f aca="false">IF(AND(C4=C5,Y4=Y5-1),AA4,"")</f>
        <v/>
      </c>
      <c r="AD5" s="0" t="str">
        <f aca="false">IF(Y5=1,"",IF(AND(Z5=1,AB5&lt;&gt;1),1,0))</f>
        <v/>
      </c>
      <c r="AE5" s="0" t="str">
        <f aca="false">IF(Y5=1,"",IF(AND(AA5=1,AC5&lt;&gt;1),1,0))</f>
        <v/>
      </c>
      <c r="AF5" s="45" t="str">
        <f aca="false">IF(AND(E5&gt;0,Y5&lt;1,NOT(AND(C6=C5,Y6=Y5+1))),INDEX(DATAS,Y5+1),"")</f>
        <v/>
      </c>
      <c r="AG5" s="45" t="str">
        <f aca="false">IF(AND(AA5=1,Y5&lt;1),IF(AND(C6=C5,Y6=Y5+1),IF(AA6=1,"",INDEX(DATAS,Y5+1)),INDEX(DATAS,Y5+1)),"")</f>
        <v/>
      </c>
    </row>
    <row r="6" customFormat="false" ht="15" hidden="false" customHeight="false" outlineLevel="0" collapsed="false">
      <c r="A6" s="45" t="n">
        <v>46309</v>
      </c>
      <c r="B6" s="0" t="n">
        <v>8</v>
      </c>
      <c r="C6" s="0" t="n">
        <v>103</v>
      </c>
      <c r="E6" s="0" t="n">
        <v>0</v>
      </c>
      <c r="F6" s="39" t="s">
        <v>112</v>
      </c>
      <c r="I6" s="39" t="s">
        <v>109</v>
      </c>
      <c r="L6" s="0" t="n">
        <v>93</v>
      </c>
      <c r="U6" s="0" t="n">
        <v>629</v>
      </c>
      <c r="V6" s="0" t="n">
        <v>1</v>
      </c>
      <c r="W6" s="39" t="n">
        <f aca="false">IF(I6="Male",0,1)</f>
        <v>1</v>
      </c>
      <c r="X6" s="39" t="n">
        <f aca="false">IF(OR(I6="DNB",I6="Dry DNB"),1,0)</f>
        <v>0</v>
      </c>
      <c r="Y6" s="39" t="n">
        <f aca="false">MATCH(A6,DATAS,0)</f>
        <v>1</v>
      </c>
      <c r="Z6" s="39" t="n">
        <f aca="false">IF(AND(E6&gt;0,OR(AND(B6&gt;=1,B6&lt;=6),B6=10)),1,0)</f>
        <v>0</v>
      </c>
      <c r="AA6" s="39" t="n">
        <f aca="false">IF(AND(E6&gt;0,B6=10),1,0)</f>
        <v>0</v>
      </c>
      <c r="AB6" s="0" t="str">
        <f aca="false">IF(AND(C5=C6,Y5=Y6-1),Z5,"")</f>
        <v/>
      </c>
      <c r="AC6" s="0" t="str">
        <f aca="false">IF(AND(C5=C6,Y5=Y6-1),AA5,"")</f>
        <v/>
      </c>
      <c r="AD6" s="0" t="str">
        <f aca="false">IF(Y6=1,"",IF(AND(Z6=1,AB6&lt;&gt;1),1,0))</f>
        <v/>
      </c>
      <c r="AE6" s="0" t="str">
        <f aca="false">IF(Y6=1,"",IF(AND(AA6=1,AC6&lt;&gt;1),1,0))</f>
        <v/>
      </c>
      <c r="AF6" s="45" t="str">
        <f aca="false">IF(AND(E6&gt;0,Y6&lt;1,NOT(AND(C7=C6,Y7=Y6+1))),INDEX(DATAS,Y6+1),"")</f>
        <v/>
      </c>
      <c r="AG6" s="45" t="str">
        <f aca="false">IF(AND(AA6=1,Y6&lt;1),IF(AND(C7=C6,Y7=Y6+1),IF(AA7=1,"",INDEX(DATAS,Y6+1)),INDEX(DATAS,Y6+1)),"")</f>
        <v/>
      </c>
    </row>
    <row r="7" customFormat="false" ht="15" hidden="false" customHeight="false" outlineLevel="0" collapsed="false">
      <c r="A7" s="45" t="n">
        <v>46309</v>
      </c>
      <c r="B7" s="0" t="n">
        <v>7</v>
      </c>
      <c r="C7" s="0" t="n">
        <v>218</v>
      </c>
      <c r="D7" s="0" t="n">
        <v>529</v>
      </c>
      <c r="E7" s="0" t="n">
        <v>3</v>
      </c>
      <c r="F7" s="39" t="s">
        <v>113</v>
      </c>
      <c r="I7" s="39" t="s">
        <v>114</v>
      </c>
      <c r="J7" s="0" t="n">
        <v>425</v>
      </c>
      <c r="K7" s="0" t="n">
        <v>83</v>
      </c>
      <c r="L7" s="0" t="n">
        <v>182</v>
      </c>
      <c r="P7" s="0" t="n">
        <v>5.18</v>
      </c>
      <c r="Q7" s="0" t="n">
        <v>4.18</v>
      </c>
      <c r="R7" s="0" t="n">
        <v>5465</v>
      </c>
      <c r="S7" s="0" t="n">
        <v>9509</v>
      </c>
      <c r="T7" s="0" t="n">
        <v>65.9</v>
      </c>
      <c r="U7" s="0" t="n">
        <v>2233</v>
      </c>
      <c r="V7" s="0" t="n">
        <v>10</v>
      </c>
      <c r="W7" s="39" t="n">
        <f aca="false">IF(I7="Male",0,1)</f>
        <v>1</v>
      </c>
      <c r="X7" s="39" t="n">
        <f aca="false">IF(OR(I7="DNB",I7="Dry DNB"),1,0)</f>
        <v>0</v>
      </c>
      <c r="Y7" s="39" t="n">
        <f aca="false">MATCH(A7,DATAS,0)</f>
        <v>1</v>
      </c>
      <c r="Z7" s="39" t="n">
        <f aca="false">IF(AND(E7&gt;0,OR(AND(B7&gt;=1,B7&lt;=6),B7=10)),1,0)</f>
        <v>0</v>
      </c>
      <c r="AA7" s="39" t="n">
        <f aca="false">IF(AND(E7&gt;0,B7=10),1,0)</f>
        <v>0</v>
      </c>
      <c r="AB7" s="0" t="str">
        <f aca="false">IF(AND(C6=C7,Y6=Y7-1),Z6,"")</f>
        <v/>
      </c>
      <c r="AC7" s="0" t="str">
        <f aca="false">IF(AND(C6=C7,Y6=Y7-1),AA6,"")</f>
        <v/>
      </c>
      <c r="AD7" s="0" t="str">
        <f aca="false">IF(Y7=1,"",IF(AND(Z7=1,AB7&lt;&gt;1),1,0))</f>
        <v/>
      </c>
      <c r="AE7" s="0" t="str">
        <f aca="false">IF(Y7=1,"",IF(AND(AA7=1,AC7&lt;&gt;1),1,0))</f>
        <v/>
      </c>
      <c r="AF7" s="45" t="str">
        <f aca="false">IF(AND(E7&gt;0,Y7&lt;1,NOT(AND(C8=C7,Y8=Y7+1))),INDEX(DATAS,Y7+1),"")</f>
        <v/>
      </c>
      <c r="AG7" s="45" t="str">
        <f aca="false">IF(AND(AA7=1,Y7&lt;1),IF(AND(C8=C7,Y8=Y7+1),IF(AA8=1,"",INDEX(DATAS,Y7+1)),INDEX(DATAS,Y7+1)),"")</f>
        <v/>
      </c>
    </row>
    <row r="8" customFormat="false" ht="15" hidden="false" customHeight="false" outlineLevel="0" collapsed="false">
      <c r="A8" s="45" t="n">
        <v>46309</v>
      </c>
      <c r="B8" s="0" t="n">
        <v>5</v>
      </c>
      <c r="C8" s="0" t="n">
        <v>649</v>
      </c>
      <c r="D8" s="0" t="n">
        <v>280</v>
      </c>
      <c r="E8" s="0" t="n">
        <v>3</v>
      </c>
      <c r="F8" s="39" t="s">
        <v>115</v>
      </c>
      <c r="G8" s="0" t="n">
        <v>51.4</v>
      </c>
      <c r="H8" s="0" t="n">
        <v>41</v>
      </c>
      <c r="I8" s="39" t="s">
        <v>109</v>
      </c>
      <c r="J8" s="0" t="n">
        <v>182</v>
      </c>
      <c r="K8" s="0" t="n">
        <v>63</v>
      </c>
      <c r="L8" s="0" t="n">
        <v>98</v>
      </c>
      <c r="M8" s="0" t="n">
        <v>152.82</v>
      </c>
      <c r="N8" s="0" t="n">
        <v>33.41</v>
      </c>
      <c r="O8" s="0" t="n">
        <v>9.94</v>
      </c>
      <c r="P8" s="0" t="n">
        <v>3.45</v>
      </c>
      <c r="Q8" s="0" t="n">
        <v>3.35</v>
      </c>
      <c r="R8" s="0" t="n">
        <v>6436</v>
      </c>
      <c r="S8" s="0" t="n">
        <v>12617</v>
      </c>
      <c r="T8" s="0" t="n">
        <v>63.75</v>
      </c>
      <c r="U8" s="0" t="n">
        <v>1712</v>
      </c>
      <c r="V8" s="0" t="n">
        <v>4</v>
      </c>
      <c r="W8" s="39" t="n">
        <f aca="false">IF(I8="Male",0,1)</f>
        <v>1</v>
      </c>
      <c r="X8" s="39" t="n">
        <f aca="false">IF(OR(I8="DNB",I8="Dry DNB"),1,0)</f>
        <v>0</v>
      </c>
      <c r="Y8" s="39" t="n">
        <f aca="false">MATCH(A8,DATAS,0)</f>
        <v>1</v>
      </c>
      <c r="Z8" s="39" t="n">
        <f aca="false">IF(AND(E8&gt;0,OR(AND(B8&gt;=1,B8&lt;=6),B8=10)),1,0)</f>
        <v>1</v>
      </c>
      <c r="AA8" s="39" t="n">
        <f aca="false">IF(AND(E8&gt;0,B8=10),1,0)</f>
        <v>0</v>
      </c>
      <c r="AB8" s="0" t="str">
        <f aca="false">IF(AND(C7=C8,Y7=Y8-1),Z7,"")</f>
        <v/>
      </c>
      <c r="AC8" s="0" t="str">
        <f aca="false">IF(AND(C7=C8,Y7=Y8-1),AA7,"")</f>
        <v/>
      </c>
      <c r="AD8" s="0" t="str">
        <f aca="false">IF(Y8=1,"",IF(AND(Z8=1,AB8&lt;&gt;1),1,0))</f>
        <v/>
      </c>
      <c r="AE8" s="0" t="str">
        <f aca="false">IF(Y8=1,"",IF(AND(AA8=1,AC8&lt;&gt;1),1,0))</f>
        <v/>
      </c>
      <c r="AF8" s="45" t="str">
        <f aca="false">IF(AND(E8&gt;0,Y8&lt;1,NOT(AND(C9=C8,Y9=Y8+1))),INDEX(DATAS,Y8+1),"")</f>
        <v/>
      </c>
      <c r="AG8" s="45" t="str">
        <f aca="false">IF(AND(AA8=1,Y8&lt;1),IF(AND(C9=C8,Y9=Y8+1),IF(AA9=1,"",INDEX(DATAS,Y8+1)),INDEX(DATAS,Y8+1)),"")</f>
        <v/>
      </c>
    </row>
    <row r="9" customFormat="false" ht="15" hidden="false" customHeight="false" outlineLevel="0" collapsed="false">
      <c r="A9" s="45" t="n">
        <v>46309</v>
      </c>
      <c r="B9" s="0" t="n">
        <v>7</v>
      </c>
      <c r="C9" s="0" t="n">
        <v>650</v>
      </c>
      <c r="D9" s="0" t="n">
        <v>339</v>
      </c>
      <c r="E9" s="0" t="n">
        <v>2</v>
      </c>
      <c r="F9" s="39" t="s">
        <v>116</v>
      </c>
      <c r="I9" s="39" t="s">
        <v>114</v>
      </c>
      <c r="J9" s="0" t="n">
        <v>235</v>
      </c>
      <c r="K9" s="0" t="n">
        <v>60</v>
      </c>
      <c r="L9" s="0" t="n">
        <v>245</v>
      </c>
      <c r="M9" s="0" t="n">
        <v>540.98</v>
      </c>
      <c r="N9" s="0" t="n">
        <v>29.3</v>
      </c>
      <c r="O9" s="0" t="n">
        <v>26.44</v>
      </c>
      <c r="P9" s="0" t="n">
        <v>4.44</v>
      </c>
      <c r="Q9" s="0" t="n">
        <v>3.4</v>
      </c>
      <c r="R9" s="0" t="n">
        <v>6197</v>
      </c>
      <c r="S9" s="0" t="n">
        <v>10568</v>
      </c>
      <c r="T9" s="0" t="n">
        <v>68</v>
      </c>
      <c r="U9" s="0" t="n">
        <v>1703</v>
      </c>
      <c r="V9" s="0" t="n">
        <v>5</v>
      </c>
      <c r="W9" s="39" t="n">
        <f aca="false">IF(I9="Male",0,1)</f>
        <v>1</v>
      </c>
      <c r="X9" s="39" t="n">
        <f aca="false">IF(OR(I9="DNB",I9="Dry DNB"),1,0)</f>
        <v>0</v>
      </c>
      <c r="Y9" s="39" t="n">
        <f aca="false">MATCH(A9,DATAS,0)</f>
        <v>1</v>
      </c>
      <c r="Z9" s="39" t="n">
        <f aca="false">IF(AND(E9&gt;0,OR(AND(B9&gt;=1,B9&lt;=6),B9=10)),1,0)</f>
        <v>0</v>
      </c>
      <c r="AA9" s="39" t="n">
        <f aca="false">IF(AND(E9&gt;0,B9=10),1,0)</f>
        <v>0</v>
      </c>
      <c r="AB9" s="0" t="str">
        <f aca="false">IF(AND(C8=C9,Y8=Y9-1),Z8,"")</f>
        <v/>
      </c>
      <c r="AC9" s="0" t="str">
        <f aca="false">IF(AND(C8=C9,Y8=Y9-1),AA8,"")</f>
        <v/>
      </c>
      <c r="AD9" s="0" t="str">
        <f aca="false">IF(Y9=1,"",IF(AND(Z9=1,AB9&lt;&gt;1),1,0))</f>
        <v/>
      </c>
      <c r="AE9" s="0" t="str">
        <f aca="false">IF(Y9=1,"",IF(AND(AA9=1,AC9&lt;&gt;1),1,0))</f>
        <v/>
      </c>
      <c r="AF9" s="45" t="str">
        <f aca="false">IF(AND(E9&gt;0,Y9&lt;1,NOT(AND(C10=C9,Y10=Y9+1))),INDEX(DATAS,Y9+1),"")</f>
        <v/>
      </c>
      <c r="AG9" s="45" t="str">
        <f aca="false">IF(AND(AA9=1,Y9&lt;1),IF(AND(C10=C9,Y10=Y9+1),IF(AA10=1,"",INDEX(DATAS,Y9+1)),INDEX(DATAS,Y9+1)),"")</f>
        <v/>
      </c>
    </row>
    <row r="10" customFormat="false" ht="15" hidden="false" customHeight="false" outlineLevel="0" collapsed="false">
      <c r="A10" s="45" t="n">
        <v>46309</v>
      </c>
      <c r="B10" s="0" t="n">
        <v>5</v>
      </c>
      <c r="C10" s="0" t="n">
        <v>892</v>
      </c>
      <c r="D10" s="0" t="n">
        <v>47</v>
      </c>
      <c r="E10" s="0" t="n">
        <v>7</v>
      </c>
      <c r="F10" s="39" t="s">
        <v>117</v>
      </c>
      <c r="G10" s="0" t="n">
        <v>32.8</v>
      </c>
      <c r="H10" s="0" t="n">
        <v>38</v>
      </c>
      <c r="I10" s="39" t="s">
        <v>118</v>
      </c>
      <c r="J10" s="0" t="n">
        <v>47</v>
      </c>
      <c r="P10" s="0" t="n">
        <v>3.26</v>
      </c>
      <c r="Q10" s="0" t="n">
        <v>3.4</v>
      </c>
      <c r="R10" s="0" t="n">
        <v>3183</v>
      </c>
      <c r="S10" s="0" t="n">
        <v>6398</v>
      </c>
      <c r="U10" s="0" t="n">
        <v>3796</v>
      </c>
      <c r="V10" s="0" t="n">
        <v>0</v>
      </c>
      <c r="W10" s="39" t="n">
        <f aca="false">IF(I10="Male",0,1)</f>
        <v>1</v>
      </c>
      <c r="X10" s="39" t="n">
        <f aca="false">IF(OR(I10="DNB",I10="Dry DNB"),1,0)</f>
        <v>0</v>
      </c>
      <c r="Y10" s="39" t="n">
        <f aca="false">MATCH(A10,DATAS,0)</f>
        <v>1</v>
      </c>
      <c r="Z10" s="39" t="n">
        <f aca="false">IF(AND(E10&gt;0,OR(AND(B10&gt;=1,B10&lt;=6),B10=10)),1,0)</f>
        <v>1</v>
      </c>
      <c r="AA10" s="39" t="n">
        <f aca="false">IF(AND(E10&gt;0,B10=10),1,0)</f>
        <v>0</v>
      </c>
      <c r="AB10" s="0" t="str">
        <f aca="false">IF(AND(C9=C10,Y9=Y10-1),Z9,"")</f>
        <v/>
      </c>
      <c r="AC10" s="0" t="str">
        <f aca="false">IF(AND(C9=C10,Y9=Y10-1),AA9,"")</f>
        <v/>
      </c>
      <c r="AD10" s="0" t="str">
        <f aca="false">IF(Y10=1,"",IF(AND(Z10=1,AB10&lt;&gt;1),1,0))</f>
        <v/>
      </c>
      <c r="AE10" s="0" t="str">
        <f aca="false">IF(Y10=1,"",IF(AND(AA10=1,AC10&lt;&gt;1),1,0))</f>
        <v/>
      </c>
      <c r="AF10" s="45" t="str">
        <f aca="false">IF(AND(E10&gt;0,Y10&lt;1,NOT(AND(C11=C10,Y11=Y10+1))),INDEX(DATAS,Y10+1),"")</f>
        <v/>
      </c>
      <c r="AG10" s="45" t="str">
        <f aca="false">IF(AND(AA10=1,Y10&lt;1),IF(AND(C11=C10,Y11=Y10+1),IF(AA11=1,"",INDEX(DATAS,Y10+1)),INDEX(DATAS,Y10+1)),"")</f>
        <v/>
      </c>
    </row>
    <row r="11" customFormat="false" ht="15" hidden="false" customHeight="false" outlineLevel="0" collapsed="false">
      <c r="A11" s="45" t="n">
        <v>46309</v>
      </c>
      <c r="B11" s="0" t="n">
        <v>14</v>
      </c>
      <c r="C11" s="0" t="n">
        <v>1075</v>
      </c>
      <c r="D11" s="0" t="n">
        <v>536</v>
      </c>
      <c r="E11" s="0" t="n">
        <v>4</v>
      </c>
      <c r="F11" s="39" t="s">
        <v>119</v>
      </c>
      <c r="I11" s="39" t="s">
        <v>114</v>
      </c>
      <c r="J11" s="0" t="n">
        <v>467</v>
      </c>
      <c r="K11" s="0" t="n">
        <v>69</v>
      </c>
      <c r="L11" s="0" t="n">
        <v>266</v>
      </c>
      <c r="P11" s="0" t="n">
        <v>4.25</v>
      </c>
      <c r="Q11" s="0" t="n">
        <v>4.7</v>
      </c>
      <c r="R11" s="0" t="n">
        <v>6082</v>
      </c>
      <c r="S11" s="0" t="n">
        <v>11102</v>
      </c>
      <c r="T11" s="0" t="n">
        <v>65</v>
      </c>
      <c r="U11" s="0" t="n">
        <v>2915</v>
      </c>
      <c r="V11" s="0" t="n">
        <v>9</v>
      </c>
      <c r="W11" s="39" t="n">
        <f aca="false">IF(I11="Male",0,1)</f>
        <v>1</v>
      </c>
      <c r="X11" s="39" t="n">
        <f aca="false">IF(OR(I11="DNB",I11="Dry DNB"),1,0)</f>
        <v>0</v>
      </c>
      <c r="Y11" s="39" t="n">
        <f aca="false">MATCH(A11,DATAS,0)</f>
        <v>1</v>
      </c>
      <c r="Z11" s="39" t="n">
        <f aca="false">IF(AND(E11&gt;0,OR(AND(B11&gt;=1,B11&lt;=6),B11=10)),1,0)</f>
        <v>0</v>
      </c>
      <c r="AA11" s="39" t="n">
        <f aca="false">IF(AND(E11&gt;0,B11=10),1,0)</f>
        <v>0</v>
      </c>
      <c r="AB11" s="0" t="str">
        <f aca="false">IF(AND(C10=C11,Y10=Y11-1),Z10,"")</f>
        <v/>
      </c>
      <c r="AC11" s="0" t="str">
        <f aca="false">IF(AND(C10=C11,Y10=Y11-1),AA10,"")</f>
        <v/>
      </c>
      <c r="AD11" s="0" t="str">
        <f aca="false">IF(Y11=1,"",IF(AND(Z11=1,AB11&lt;&gt;1),1,0))</f>
        <v/>
      </c>
      <c r="AE11" s="0" t="str">
        <f aca="false">IF(Y11=1,"",IF(AND(AA11=1,AC11&lt;&gt;1),1,0))</f>
        <v/>
      </c>
      <c r="AF11" s="45" t="str">
        <f aca="false">IF(AND(E11&gt;0,Y11&lt;1,NOT(AND(C12=C11,Y12=Y11+1))),INDEX(DATAS,Y11+1),"")</f>
        <v/>
      </c>
      <c r="AG11" s="45" t="str">
        <f aca="false">IF(AND(AA11=1,Y11&lt;1),IF(AND(C12=C11,Y12=Y11+1),IF(AA12=1,"",INDEX(DATAS,Y11+1)),INDEX(DATAS,Y11+1)),"")</f>
        <v/>
      </c>
    </row>
    <row r="12" customFormat="false" ht="15" hidden="false" customHeight="false" outlineLevel="0" collapsed="false">
      <c r="A12" s="45" t="n">
        <v>46309</v>
      </c>
      <c r="B12" s="0" t="n">
        <v>5</v>
      </c>
      <c r="C12" s="0" t="n">
        <v>1142</v>
      </c>
      <c r="D12" s="0" t="n">
        <v>52</v>
      </c>
      <c r="E12" s="0" t="n">
        <v>6</v>
      </c>
      <c r="F12" s="39" t="s">
        <v>120</v>
      </c>
      <c r="G12" s="0" t="n">
        <v>37.1</v>
      </c>
      <c r="H12" s="0" t="n">
        <v>31</v>
      </c>
      <c r="I12" s="39" t="s">
        <v>118</v>
      </c>
      <c r="J12" s="0" t="n">
        <v>52</v>
      </c>
      <c r="M12" s="0" t="n">
        <v>869.87</v>
      </c>
      <c r="N12" s="0" t="n">
        <v>-1.85</v>
      </c>
      <c r="O12" s="0" t="n">
        <v>17.42</v>
      </c>
      <c r="P12" s="0" t="n">
        <v>2.66</v>
      </c>
      <c r="Q12" s="0" t="n">
        <v>2.72</v>
      </c>
      <c r="R12" s="0" t="n">
        <v>3730</v>
      </c>
      <c r="S12" s="0" t="n">
        <v>7499</v>
      </c>
      <c r="U12" s="0" t="n">
        <v>2594</v>
      </c>
      <c r="V12" s="0" t="n">
        <v>0</v>
      </c>
      <c r="W12" s="39" t="n">
        <f aca="false">IF(I12="Male",0,1)</f>
        <v>1</v>
      </c>
      <c r="X12" s="39" t="n">
        <f aca="false">IF(OR(I12="DNB",I12="Dry DNB"),1,0)</f>
        <v>0</v>
      </c>
      <c r="Y12" s="39" t="n">
        <f aca="false">MATCH(A12,DATAS,0)</f>
        <v>1</v>
      </c>
      <c r="Z12" s="39" t="n">
        <f aca="false">IF(AND(E12&gt;0,OR(AND(B12&gt;=1,B12&lt;=6),B12=10)),1,0)</f>
        <v>1</v>
      </c>
      <c r="AA12" s="39" t="n">
        <f aca="false">IF(AND(E12&gt;0,B12=10),1,0)</f>
        <v>0</v>
      </c>
      <c r="AB12" s="0" t="str">
        <f aca="false">IF(AND(C11=C12,Y11=Y12-1),Z11,"")</f>
        <v/>
      </c>
      <c r="AC12" s="0" t="str">
        <f aca="false">IF(AND(C11=C12,Y11=Y12-1),AA11,"")</f>
        <v/>
      </c>
      <c r="AD12" s="0" t="str">
        <f aca="false">IF(Y12=1,"",IF(AND(Z12=1,AB12&lt;&gt;1),1,0))</f>
        <v/>
      </c>
      <c r="AE12" s="0" t="str">
        <f aca="false">IF(Y12=1,"",IF(AND(AA12=1,AC12&lt;&gt;1),1,0))</f>
        <v/>
      </c>
      <c r="AF12" s="45" t="str">
        <f aca="false">IF(AND(E12&gt;0,Y12&lt;1,NOT(AND(C13=C12,Y13=Y12+1))),INDEX(DATAS,Y12+1),"")</f>
        <v/>
      </c>
      <c r="AG12" s="45" t="str">
        <f aca="false">IF(AND(AA12=1,Y12&lt;1),IF(AND(C13=C12,Y13=Y12+1),IF(AA13=1,"",INDEX(DATAS,Y12+1)),INDEX(DATAS,Y12+1)),"")</f>
        <v/>
      </c>
    </row>
    <row r="13" customFormat="false" ht="15" hidden="false" customHeight="false" outlineLevel="0" collapsed="false">
      <c r="A13" s="45" t="n">
        <v>46309</v>
      </c>
      <c r="B13" s="0" t="n">
        <v>5</v>
      </c>
      <c r="C13" s="0" t="n">
        <v>1160</v>
      </c>
      <c r="D13" s="0" t="n">
        <v>230</v>
      </c>
      <c r="E13" s="0" t="n">
        <v>3</v>
      </c>
      <c r="F13" s="39" t="s">
        <v>121</v>
      </c>
      <c r="G13" s="0" t="n">
        <v>21.1</v>
      </c>
      <c r="H13" s="0" t="n">
        <v>30</v>
      </c>
      <c r="I13" s="39" t="s">
        <v>96</v>
      </c>
      <c r="J13" s="0" t="n">
        <v>230</v>
      </c>
      <c r="K13" s="0" t="n">
        <v>69</v>
      </c>
      <c r="M13" s="0" t="n">
        <v>594.46</v>
      </c>
      <c r="N13" s="0" t="n">
        <v>32.34</v>
      </c>
      <c r="O13" s="0" t="n">
        <v>22.91</v>
      </c>
      <c r="P13" s="0" t="n">
        <v>4.83</v>
      </c>
      <c r="Q13" s="0" t="n">
        <v>3.52</v>
      </c>
      <c r="R13" s="0" t="n">
        <v>4226</v>
      </c>
      <c r="S13" s="0" t="n">
        <v>8219</v>
      </c>
      <c r="T13" s="0" t="n">
        <v>48.45</v>
      </c>
      <c r="U13" s="0" t="n">
        <v>2490</v>
      </c>
      <c r="V13" s="0" t="n">
        <v>3</v>
      </c>
      <c r="W13" s="39" t="n">
        <f aca="false">IF(I13="Male",0,1)</f>
        <v>1</v>
      </c>
      <c r="X13" s="39" t="n">
        <f aca="false">IF(OR(I13="DNB",I13="Dry DNB"),1,0)</f>
        <v>1</v>
      </c>
      <c r="Y13" s="39" t="n">
        <f aca="false">MATCH(A13,DATAS,0)</f>
        <v>1</v>
      </c>
      <c r="Z13" s="39" t="n">
        <f aca="false">IF(AND(E13&gt;0,OR(AND(B13&gt;=1,B13&lt;=6),B13=10)),1,0)</f>
        <v>1</v>
      </c>
      <c r="AA13" s="39" t="n">
        <f aca="false">IF(AND(E13&gt;0,B13=10),1,0)</f>
        <v>0</v>
      </c>
      <c r="AB13" s="0" t="str">
        <f aca="false">IF(AND(C12=C13,Y12=Y13-1),Z12,"")</f>
        <v/>
      </c>
      <c r="AC13" s="0" t="str">
        <f aca="false">IF(AND(C12=C13,Y12=Y13-1),AA12,"")</f>
        <v/>
      </c>
      <c r="AD13" s="0" t="str">
        <f aca="false">IF(Y13=1,"",IF(AND(Z13=1,AB13&lt;&gt;1),1,0))</f>
        <v/>
      </c>
      <c r="AE13" s="0" t="str">
        <f aca="false">IF(Y13=1,"",IF(AND(AA13=1,AC13&lt;&gt;1),1,0))</f>
        <v/>
      </c>
      <c r="AF13" s="45" t="str">
        <f aca="false">IF(AND(E13&gt;0,Y13&lt;1,NOT(AND(C14=C13,Y14=Y13+1))),INDEX(DATAS,Y13+1),"")</f>
        <v/>
      </c>
      <c r="AG13" s="45" t="str">
        <f aca="false">IF(AND(AA13=1,Y13&lt;1),IF(AND(C14=C13,Y14=Y13+1),IF(AA14=1,"",INDEX(DATAS,Y13+1)),INDEX(DATAS,Y13+1)),"")</f>
        <v/>
      </c>
    </row>
    <row r="14" customFormat="false" ht="15" hidden="false" customHeight="false" outlineLevel="0" collapsed="false">
      <c r="A14" s="45" t="n">
        <v>46309</v>
      </c>
      <c r="B14" s="0" t="n">
        <v>5</v>
      </c>
      <c r="C14" s="0" t="n">
        <v>1198</v>
      </c>
      <c r="D14" s="0" t="n">
        <v>198</v>
      </c>
      <c r="E14" s="0" t="n">
        <v>4</v>
      </c>
      <c r="F14" s="39" t="s">
        <v>122</v>
      </c>
      <c r="G14" s="0" t="n">
        <v>33.5</v>
      </c>
      <c r="H14" s="0" t="n">
        <v>35</v>
      </c>
      <c r="I14" s="39" t="s">
        <v>96</v>
      </c>
      <c r="J14" s="0" t="n">
        <v>198</v>
      </c>
      <c r="P14" s="0" t="n">
        <v>3.38</v>
      </c>
      <c r="Q14" s="0" t="n">
        <v>3.05</v>
      </c>
      <c r="R14" s="0" t="n">
        <v>4464</v>
      </c>
      <c r="S14" s="0" t="n">
        <v>8997</v>
      </c>
      <c r="T14" s="0" t="n">
        <v>48.65</v>
      </c>
      <c r="U14" s="0" t="n">
        <v>2183</v>
      </c>
      <c r="V14" s="0" t="n">
        <v>0</v>
      </c>
      <c r="W14" s="39" t="n">
        <f aca="false">IF(I14="Male",0,1)</f>
        <v>1</v>
      </c>
      <c r="X14" s="39" t="n">
        <f aca="false">IF(OR(I14="DNB",I14="Dry DNB"),1,0)</f>
        <v>1</v>
      </c>
      <c r="Y14" s="39" t="n">
        <f aca="false">MATCH(A14,DATAS,0)</f>
        <v>1</v>
      </c>
      <c r="Z14" s="39" t="n">
        <f aca="false">IF(AND(E14&gt;0,OR(AND(B14&gt;=1,B14&lt;=6),B14=10)),1,0)</f>
        <v>1</v>
      </c>
      <c r="AA14" s="39" t="n">
        <f aca="false">IF(AND(E14&gt;0,B14=10),1,0)</f>
        <v>0</v>
      </c>
      <c r="AB14" s="0" t="str">
        <f aca="false">IF(AND(C13=C14,Y13=Y14-1),Z13,"")</f>
        <v/>
      </c>
      <c r="AC14" s="0" t="str">
        <f aca="false">IF(AND(C13=C14,Y13=Y14-1),AA13,"")</f>
        <v/>
      </c>
      <c r="AD14" s="0" t="str">
        <f aca="false">IF(Y14=1,"",IF(AND(Z14=1,AB14&lt;&gt;1),1,0))</f>
        <v/>
      </c>
      <c r="AE14" s="0" t="str">
        <f aca="false">IF(Y14=1,"",IF(AND(AA14=1,AC14&lt;&gt;1),1,0))</f>
        <v/>
      </c>
      <c r="AF14" s="45" t="str">
        <f aca="false">IF(AND(E14&gt;0,Y14&lt;1,NOT(AND(C15=C14,Y15=Y14+1))),INDEX(DATAS,Y14+1),"")</f>
        <v/>
      </c>
      <c r="AG14" s="45" t="str">
        <f aca="false">IF(AND(AA14=1,Y14&lt;1),IF(AND(C15=C14,Y15=Y14+1),IF(AA15=1,"",INDEX(DATAS,Y14+1)),INDEX(DATAS,Y14+1)),"")</f>
        <v/>
      </c>
    </row>
    <row r="15" customFormat="false" ht="15" hidden="false" customHeight="false" outlineLevel="0" collapsed="false">
      <c r="A15" s="45" t="n">
        <v>46309</v>
      </c>
      <c r="B15" s="0" t="n">
        <v>3</v>
      </c>
      <c r="C15" s="0" t="n">
        <v>1200</v>
      </c>
      <c r="D15" s="0" t="n">
        <v>62</v>
      </c>
      <c r="E15" s="0" t="n">
        <v>6</v>
      </c>
      <c r="F15" s="39" t="s">
        <v>123</v>
      </c>
      <c r="G15" s="0" t="n">
        <v>49</v>
      </c>
      <c r="H15" s="0" t="n">
        <v>46</v>
      </c>
      <c r="I15" s="39" t="s">
        <v>118</v>
      </c>
      <c r="J15" s="0" t="n">
        <v>62</v>
      </c>
      <c r="M15" s="0" t="n">
        <v>-76.69</v>
      </c>
      <c r="N15" s="0" t="n">
        <v>25.94</v>
      </c>
      <c r="O15" s="0" t="n">
        <v>5.65</v>
      </c>
      <c r="P15" s="0" t="n">
        <v>3.04</v>
      </c>
      <c r="Q15" s="0" t="n">
        <v>2.9</v>
      </c>
      <c r="R15" s="0" t="n">
        <v>5707</v>
      </c>
      <c r="S15" s="0" t="n">
        <v>11472</v>
      </c>
      <c r="U15" s="0" t="n">
        <v>2184</v>
      </c>
      <c r="V15" s="0" t="n">
        <v>0</v>
      </c>
      <c r="W15" s="39" t="n">
        <f aca="false">IF(I15="Male",0,1)</f>
        <v>1</v>
      </c>
      <c r="X15" s="39" t="n">
        <f aca="false">IF(OR(I15="DNB",I15="Dry DNB"),1,0)</f>
        <v>0</v>
      </c>
      <c r="Y15" s="39" t="n">
        <f aca="false">MATCH(A15,DATAS,0)</f>
        <v>1</v>
      </c>
      <c r="Z15" s="39" t="n">
        <f aca="false">IF(AND(E15&gt;0,OR(AND(B15&gt;=1,B15&lt;=6),B15=10)),1,0)</f>
        <v>1</v>
      </c>
      <c r="AA15" s="39" t="n">
        <f aca="false">IF(AND(E15&gt;0,B15=10),1,0)</f>
        <v>0</v>
      </c>
      <c r="AB15" s="0" t="str">
        <f aca="false">IF(AND(C14=C15,Y14=Y15-1),Z14,"")</f>
        <v/>
      </c>
      <c r="AC15" s="0" t="str">
        <f aca="false">IF(AND(C14=C15,Y14=Y15-1),AA14,"")</f>
        <v/>
      </c>
      <c r="AD15" s="0" t="str">
        <f aca="false">IF(Y15=1,"",IF(AND(Z15=1,AB15&lt;&gt;1),1,0))</f>
        <v/>
      </c>
      <c r="AE15" s="0" t="str">
        <f aca="false">IF(Y15=1,"",IF(AND(AA15=1,AC15&lt;&gt;1),1,0))</f>
        <v/>
      </c>
      <c r="AF15" s="45" t="str">
        <f aca="false">IF(AND(E15&gt;0,Y15&lt;1,NOT(AND(C16=C15,Y16=Y15+1))),INDEX(DATAS,Y15+1),"")</f>
        <v/>
      </c>
      <c r="AG15" s="45" t="str">
        <f aca="false">IF(AND(AA15=1,Y15&lt;1),IF(AND(C16=C15,Y16=Y15+1),IF(AA16=1,"",INDEX(DATAS,Y15+1)),INDEX(DATAS,Y15+1)),"")</f>
        <v/>
      </c>
    </row>
    <row r="16" customFormat="false" ht="15" hidden="false" customHeight="false" outlineLevel="0" collapsed="false">
      <c r="A16" s="45" t="n">
        <v>46309</v>
      </c>
      <c r="B16" s="0" t="n">
        <v>2</v>
      </c>
      <c r="C16" s="0" t="n">
        <v>1202</v>
      </c>
      <c r="D16" s="0" t="n">
        <v>13</v>
      </c>
      <c r="E16" s="0" t="n">
        <v>5</v>
      </c>
      <c r="F16" s="39" t="s">
        <v>124</v>
      </c>
      <c r="G16" s="0" t="n">
        <v>45.5</v>
      </c>
      <c r="H16" s="0" t="n">
        <v>37</v>
      </c>
      <c r="I16" s="39" t="s">
        <v>118</v>
      </c>
      <c r="J16" s="0" t="n">
        <v>13</v>
      </c>
      <c r="M16" s="0" t="n">
        <v>107.54</v>
      </c>
      <c r="N16" s="0" t="n">
        <v>-13.12</v>
      </c>
      <c r="O16" s="0" t="n">
        <v>7.29</v>
      </c>
      <c r="R16" s="0" t="n">
        <v>2908</v>
      </c>
      <c r="S16" s="0" t="n">
        <v>5846</v>
      </c>
      <c r="U16" s="0" t="n">
        <v>2301</v>
      </c>
      <c r="V16" s="0" t="n">
        <v>0</v>
      </c>
      <c r="W16" s="39" t="n">
        <f aca="false">IF(I16="Male",0,1)</f>
        <v>1</v>
      </c>
      <c r="X16" s="39" t="n">
        <f aca="false">IF(OR(I16="DNB",I16="Dry DNB"),1,0)</f>
        <v>0</v>
      </c>
      <c r="Y16" s="39" t="n">
        <f aca="false">MATCH(A16,DATAS,0)</f>
        <v>1</v>
      </c>
      <c r="Z16" s="39" t="n">
        <f aca="false">IF(AND(E16&gt;0,OR(AND(B16&gt;=1,B16&lt;=6),B16=10)),1,0)</f>
        <v>1</v>
      </c>
      <c r="AA16" s="39" t="n">
        <f aca="false">IF(AND(E16&gt;0,B16=10),1,0)</f>
        <v>0</v>
      </c>
      <c r="AB16" s="0" t="str">
        <f aca="false">IF(AND(C15=C16,Y15=Y16-1),Z15,"")</f>
        <v/>
      </c>
      <c r="AC16" s="0" t="str">
        <f aca="false">IF(AND(C15=C16,Y15=Y16-1),AA15,"")</f>
        <v/>
      </c>
      <c r="AD16" s="0" t="str">
        <f aca="false">IF(Y16=1,"",IF(AND(Z16=1,AB16&lt;&gt;1),1,0))</f>
        <v/>
      </c>
      <c r="AE16" s="0" t="str">
        <f aca="false">IF(Y16=1,"",IF(AND(AA16=1,AC16&lt;&gt;1),1,0))</f>
        <v/>
      </c>
      <c r="AF16" s="45" t="str">
        <f aca="false">IF(AND(E16&gt;0,Y16&lt;1,NOT(AND(C17=C16,Y17=Y16+1))),INDEX(DATAS,Y16+1),"")</f>
        <v/>
      </c>
      <c r="AG16" s="45" t="str">
        <f aca="false">IF(AND(AA16=1,Y16&lt;1),IF(AND(C17=C16,Y17=Y16+1),IF(AA17=1,"",INDEX(DATAS,Y16+1)),INDEX(DATAS,Y16+1)),"")</f>
        <v/>
      </c>
    </row>
    <row r="17" customFormat="false" ht="15" hidden="false" customHeight="false" outlineLevel="0" collapsed="false">
      <c r="A17" s="45" t="n">
        <v>46309</v>
      </c>
      <c r="B17" s="0" t="n">
        <v>3</v>
      </c>
      <c r="C17" s="0" t="n">
        <v>1204</v>
      </c>
      <c r="D17" s="0" t="n">
        <v>46</v>
      </c>
      <c r="E17" s="0" t="n">
        <v>4</v>
      </c>
      <c r="F17" s="39" t="s">
        <v>122</v>
      </c>
      <c r="G17" s="0" t="n">
        <v>55</v>
      </c>
      <c r="H17" s="0" t="n">
        <v>51</v>
      </c>
      <c r="I17" s="39" t="s">
        <v>118</v>
      </c>
      <c r="J17" s="0" t="n">
        <v>46</v>
      </c>
      <c r="M17" s="0" t="n">
        <v>517.38</v>
      </c>
      <c r="N17" s="0" t="n">
        <v>22.36</v>
      </c>
      <c r="O17" s="0" t="n">
        <v>17.25</v>
      </c>
      <c r="P17" s="0" t="n">
        <v>3.86</v>
      </c>
      <c r="Q17" s="0" t="n">
        <v>3.57</v>
      </c>
      <c r="R17" s="0" t="n">
        <v>4139</v>
      </c>
      <c r="S17" s="0" t="n">
        <v>8320</v>
      </c>
      <c r="U17" s="0" t="n">
        <v>2183</v>
      </c>
      <c r="V17" s="0" t="n">
        <v>0</v>
      </c>
      <c r="W17" s="39" t="n">
        <f aca="false">IF(I17="Male",0,1)</f>
        <v>1</v>
      </c>
      <c r="X17" s="39" t="n">
        <f aca="false">IF(OR(I17="DNB",I17="Dry DNB"),1,0)</f>
        <v>0</v>
      </c>
      <c r="Y17" s="39" t="n">
        <f aca="false">MATCH(A17,DATAS,0)</f>
        <v>1</v>
      </c>
      <c r="Z17" s="39" t="n">
        <f aca="false">IF(AND(E17&gt;0,OR(AND(B17&gt;=1,B17&lt;=6),B17=10)),1,0)</f>
        <v>1</v>
      </c>
      <c r="AA17" s="39" t="n">
        <f aca="false">IF(AND(E17&gt;0,B17=10),1,0)</f>
        <v>0</v>
      </c>
      <c r="AB17" s="0" t="str">
        <f aca="false">IF(AND(C16=C17,Y16=Y17-1),Z16,"")</f>
        <v/>
      </c>
      <c r="AC17" s="0" t="str">
        <f aca="false">IF(AND(C16=C17,Y16=Y17-1),AA16,"")</f>
        <v/>
      </c>
      <c r="AD17" s="0" t="str">
        <f aca="false">IF(Y17=1,"",IF(AND(Z17=1,AB17&lt;&gt;1),1,0))</f>
        <v/>
      </c>
      <c r="AE17" s="0" t="str">
        <f aca="false">IF(Y17=1,"",IF(AND(AA17=1,AC17&lt;&gt;1),1,0))</f>
        <v/>
      </c>
      <c r="AF17" s="45" t="str">
        <f aca="false">IF(AND(E17&gt;0,Y17&lt;1,NOT(AND(C18=C17,Y18=Y17+1))),INDEX(DATAS,Y17+1),"")</f>
        <v/>
      </c>
      <c r="AG17" s="45" t="str">
        <f aca="false">IF(AND(AA17=1,Y17&lt;1),IF(AND(C18=C17,Y18=Y17+1),IF(AA18=1,"",INDEX(DATAS,Y17+1)),INDEX(DATAS,Y17+1)),"")</f>
        <v/>
      </c>
    </row>
    <row r="18" customFormat="false" ht="15" hidden="false" customHeight="false" outlineLevel="0" collapsed="false">
      <c r="A18" s="45" t="n">
        <v>46309</v>
      </c>
      <c r="B18" s="0" t="n">
        <v>5</v>
      </c>
      <c r="C18" s="0" t="n">
        <v>1216</v>
      </c>
      <c r="D18" s="0" t="n">
        <v>175</v>
      </c>
      <c r="E18" s="0" t="n">
        <v>5</v>
      </c>
      <c r="F18" s="39" t="s">
        <v>123</v>
      </c>
      <c r="G18" s="0" t="n">
        <v>38.4</v>
      </c>
      <c r="H18" s="0" t="n">
        <v>34</v>
      </c>
      <c r="I18" s="39" t="s">
        <v>109</v>
      </c>
      <c r="J18" s="0" t="n">
        <v>105</v>
      </c>
      <c r="K18" s="0" t="n">
        <v>71</v>
      </c>
      <c r="L18" s="0" t="n">
        <v>70</v>
      </c>
      <c r="M18" s="0" t="n">
        <v>657.09</v>
      </c>
      <c r="N18" s="0" t="n">
        <v>23.81</v>
      </c>
      <c r="O18" s="0" t="n">
        <v>24</v>
      </c>
      <c r="P18" s="0" t="n">
        <v>3.79</v>
      </c>
      <c r="Q18" s="0" t="n">
        <v>3.77</v>
      </c>
      <c r="R18" s="0" t="n">
        <v>4406</v>
      </c>
      <c r="S18" s="0" t="n">
        <v>8526</v>
      </c>
      <c r="T18" s="0" t="n">
        <v>50.4</v>
      </c>
      <c r="U18" s="0" t="n">
        <v>2184</v>
      </c>
      <c r="V18" s="0" t="n">
        <v>2</v>
      </c>
      <c r="W18" s="39" t="n">
        <f aca="false">IF(I18="Male",0,1)</f>
        <v>1</v>
      </c>
      <c r="X18" s="39" t="n">
        <f aca="false">IF(OR(I18="DNB",I18="Dry DNB"),1,0)</f>
        <v>0</v>
      </c>
      <c r="Y18" s="39" t="n">
        <f aca="false">MATCH(A18,DATAS,0)</f>
        <v>1</v>
      </c>
      <c r="Z18" s="39" t="n">
        <f aca="false">IF(AND(E18&gt;0,OR(AND(B18&gt;=1,B18&lt;=6),B18=10)),1,0)</f>
        <v>1</v>
      </c>
      <c r="AA18" s="39" t="n">
        <f aca="false">IF(AND(E18&gt;0,B18=10),1,0)</f>
        <v>0</v>
      </c>
      <c r="AB18" s="0" t="str">
        <f aca="false">IF(AND(C17=C18,Y17=Y18-1),Z17,"")</f>
        <v/>
      </c>
      <c r="AC18" s="0" t="str">
        <f aca="false">IF(AND(C17=C18,Y17=Y18-1),AA17,"")</f>
        <v/>
      </c>
      <c r="AD18" s="0" t="str">
        <f aca="false">IF(Y18=1,"",IF(AND(Z18=1,AB18&lt;&gt;1),1,0))</f>
        <v/>
      </c>
      <c r="AE18" s="0" t="str">
        <f aca="false">IF(Y18=1,"",IF(AND(AA18=1,AC18&lt;&gt;1),1,0))</f>
        <v/>
      </c>
      <c r="AF18" s="45" t="str">
        <f aca="false">IF(AND(E18&gt;0,Y18&lt;1,NOT(AND(C19=C18,Y19=Y18+1))),INDEX(DATAS,Y18+1),"")</f>
        <v/>
      </c>
      <c r="AG18" s="45" t="str">
        <f aca="false">IF(AND(AA18=1,Y18&lt;1),IF(AND(C19=C18,Y19=Y18+1),IF(AA19=1,"",INDEX(DATAS,Y18+1)),INDEX(DATAS,Y18+1)),"")</f>
        <v/>
      </c>
    </row>
    <row r="19" customFormat="false" ht="15" hidden="false" customHeight="false" outlineLevel="0" collapsed="false">
      <c r="A19" s="45" t="n">
        <v>46309</v>
      </c>
      <c r="B19" s="0" t="n">
        <v>6</v>
      </c>
      <c r="C19" s="0" t="n">
        <v>1226</v>
      </c>
      <c r="D19" s="0" t="n">
        <v>487</v>
      </c>
      <c r="E19" s="0" t="n">
        <v>3</v>
      </c>
      <c r="F19" s="39" t="s">
        <v>125</v>
      </c>
      <c r="G19" s="0" t="n">
        <v>17.6</v>
      </c>
      <c r="H19" s="0" t="n">
        <v>17</v>
      </c>
      <c r="I19" s="39" t="s">
        <v>96</v>
      </c>
      <c r="J19" s="0" t="n">
        <v>487</v>
      </c>
      <c r="K19" s="0" t="n">
        <v>60</v>
      </c>
      <c r="M19" s="0" t="n">
        <v>209.37</v>
      </c>
      <c r="N19" s="0" t="n">
        <v>33.48</v>
      </c>
      <c r="O19" s="0" t="n">
        <v>13.95</v>
      </c>
      <c r="P19" s="0" t="n">
        <v>6.28</v>
      </c>
      <c r="Q19" s="0" t="n">
        <v>4.47</v>
      </c>
      <c r="R19" s="0" t="n">
        <v>4540</v>
      </c>
      <c r="S19" s="0" t="n">
        <v>8840</v>
      </c>
      <c r="T19" s="0" t="n">
        <v>47.3</v>
      </c>
      <c r="U19" s="0" t="n">
        <v>2180</v>
      </c>
      <c r="V19" s="0" t="n">
        <v>7</v>
      </c>
      <c r="W19" s="39" t="n">
        <f aca="false">IF(I19="Male",0,1)</f>
        <v>1</v>
      </c>
      <c r="X19" s="39" t="n">
        <f aca="false">IF(OR(I19="DNB",I19="Dry DNB"),1,0)</f>
        <v>1</v>
      </c>
      <c r="Y19" s="39" t="n">
        <f aca="false">MATCH(A19,DATAS,0)</f>
        <v>1</v>
      </c>
      <c r="Z19" s="39" t="n">
        <f aca="false">IF(AND(E19&gt;0,OR(AND(B19&gt;=1,B19&lt;=6),B19=10)),1,0)</f>
        <v>1</v>
      </c>
      <c r="AA19" s="39" t="n">
        <f aca="false">IF(AND(E19&gt;0,B19=10),1,0)</f>
        <v>0</v>
      </c>
      <c r="AB19" s="0" t="str">
        <f aca="false">IF(AND(C18=C19,Y18=Y19-1),Z18,"")</f>
        <v/>
      </c>
      <c r="AC19" s="0" t="str">
        <f aca="false">IF(AND(C18=C19,Y18=Y19-1),AA18,"")</f>
        <v/>
      </c>
      <c r="AD19" s="0" t="str">
        <f aca="false">IF(Y19=1,"",IF(AND(Z19=1,AB19&lt;&gt;1),1,0))</f>
        <v/>
      </c>
      <c r="AE19" s="0" t="str">
        <f aca="false">IF(Y19=1,"",IF(AND(AA19=1,AC19&lt;&gt;1),1,0))</f>
        <v/>
      </c>
      <c r="AF19" s="45" t="str">
        <f aca="false">IF(AND(E19&gt;0,Y19&lt;1,NOT(AND(C20=C19,Y20=Y19+1))),INDEX(DATAS,Y19+1),"")</f>
        <v/>
      </c>
      <c r="AG19" s="45" t="str">
        <f aca="false">IF(AND(AA19=1,Y19&lt;1),IF(AND(C20=C19,Y20=Y19+1),IF(AA20=1,"",INDEX(DATAS,Y19+1)),INDEX(DATAS,Y19+1)),"")</f>
        <v/>
      </c>
    </row>
    <row r="20" customFormat="false" ht="15" hidden="false" customHeight="false" outlineLevel="0" collapsed="false">
      <c r="A20" s="45" t="n">
        <v>46309</v>
      </c>
      <c r="B20" s="0" t="n">
        <v>10</v>
      </c>
      <c r="C20" s="0" t="n">
        <v>1571</v>
      </c>
      <c r="D20" s="0" t="n">
        <v>213</v>
      </c>
      <c r="E20" s="0" t="n">
        <v>2</v>
      </c>
      <c r="F20" s="39" t="s">
        <v>126</v>
      </c>
      <c r="G20" s="0" t="n">
        <v>13.1</v>
      </c>
      <c r="H20" s="0" t="n">
        <v>30</v>
      </c>
      <c r="I20" s="39" t="s">
        <v>109</v>
      </c>
      <c r="J20" s="0" t="n">
        <v>73</v>
      </c>
      <c r="K20" s="0" t="n">
        <v>73</v>
      </c>
      <c r="L20" s="0" t="n">
        <v>140</v>
      </c>
      <c r="P20" s="0" t="n">
        <v>2.01</v>
      </c>
      <c r="Q20" s="0" t="n">
        <v>3.92</v>
      </c>
      <c r="R20" s="0" t="n">
        <v>6013</v>
      </c>
      <c r="S20" s="0" t="n">
        <v>11418</v>
      </c>
      <c r="T20" s="0" t="n">
        <v>57.05</v>
      </c>
      <c r="U20" s="0" t="n">
        <v>1313</v>
      </c>
      <c r="V20" s="0" t="n">
        <v>1</v>
      </c>
      <c r="W20" s="39" t="n">
        <f aca="false">IF(I20="Male",0,1)</f>
        <v>1</v>
      </c>
      <c r="X20" s="39" t="n">
        <f aca="false">IF(OR(I20="DNB",I20="Dry DNB"),1,0)</f>
        <v>0</v>
      </c>
      <c r="Y20" s="39" t="n">
        <f aca="false">MATCH(A20,DATAS,0)</f>
        <v>1</v>
      </c>
      <c r="Z20" s="39" t="n">
        <f aca="false">IF(AND(E20&gt;0,OR(AND(B20&gt;=1,B20&lt;=6),B20=10)),1,0)</f>
        <v>1</v>
      </c>
      <c r="AA20" s="39" t="n">
        <f aca="false">IF(AND(E20&gt;0,B20=10),1,0)</f>
        <v>1</v>
      </c>
      <c r="AB20" s="0" t="str">
        <f aca="false">IF(AND(C19=C20,Y19=Y20-1),Z19,"")</f>
        <v/>
      </c>
      <c r="AC20" s="0" t="str">
        <f aca="false">IF(AND(C19=C20,Y19=Y20-1),AA19,"")</f>
        <v/>
      </c>
      <c r="AD20" s="0" t="str">
        <f aca="false">IF(Y20=1,"",IF(AND(Z20=1,AB20&lt;&gt;1),1,0))</f>
        <v/>
      </c>
      <c r="AE20" s="0" t="str">
        <f aca="false">IF(Y20=1,"",IF(AND(AA20=1,AC20&lt;&gt;1),1,0))</f>
        <v/>
      </c>
      <c r="AF20" s="45" t="str">
        <f aca="false">IF(AND(E20&gt;0,Y20&lt;1,NOT(AND(C21=C20,Y21=Y20+1))),INDEX(DATAS,Y20+1),"")</f>
        <v/>
      </c>
      <c r="AG20" s="45" t="str">
        <f aca="false">IF(AND(AA20=1,Y20&lt;1),IF(AND(C21=C20,Y21=Y20+1),IF(AA21=1,"",INDEX(DATAS,Y20+1)),INDEX(DATAS,Y20+1)),"")</f>
        <v/>
      </c>
    </row>
    <row r="21" customFormat="false" ht="15" hidden="false" customHeight="false" outlineLevel="0" collapsed="false">
      <c r="A21" s="45" t="n">
        <v>46309</v>
      </c>
      <c r="B21" s="0" t="n">
        <v>6</v>
      </c>
      <c r="C21" s="0" t="n">
        <v>1954</v>
      </c>
      <c r="D21" s="0" t="n">
        <v>600</v>
      </c>
      <c r="E21" s="0" t="n">
        <v>6</v>
      </c>
      <c r="F21" s="39" t="s">
        <v>127</v>
      </c>
      <c r="G21" s="0" t="n">
        <v>19.3</v>
      </c>
      <c r="H21" s="0" t="n">
        <v>19</v>
      </c>
      <c r="I21" s="39" t="s">
        <v>96</v>
      </c>
      <c r="J21" s="0" t="n">
        <v>600</v>
      </c>
      <c r="K21" s="0" t="n">
        <v>62</v>
      </c>
      <c r="P21" s="0" t="n">
        <v>4.5</v>
      </c>
      <c r="Q21" s="0" t="n">
        <v>3.99</v>
      </c>
      <c r="R21" s="0" t="n">
        <v>6173</v>
      </c>
      <c r="S21" s="0" t="n">
        <v>11815</v>
      </c>
      <c r="T21" s="0" t="n">
        <v>72.85</v>
      </c>
      <c r="U21" s="0" t="n">
        <v>3245</v>
      </c>
      <c r="V21" s="0" t="n">
        <v>11</v>
      </c>
      <c r="W21" s="39" t="n">
        <f aca="false">IF(I21="Male",0,1)</f>
        <v>1</v>
      </c>
      <c r="X21" s="39" t="n">
        <f aca="false">IF(OR(I21="DNB",I21="Dry DNB"),1,0)</f>
        <v>1</v>
      </c>
      <c r="Y21" s="39" t="n">
        <f aca="false">MATCH(A21,DATAS,0)</f>
        <v>1</v>
      </c>
      <c r="Z21" s="39" t="n">
        <f aca="false">IF(AND(E21&gt;0,OR(AND(B21&gt;=1,B21&lt;=6),B21=10)),1,0)</f>
        <v>1</v>
      </c>
      <c r="AA21" s="39" t="n">
        <f aca="false">IF(AND(E21&gt;0,B21=10),1,0)</f>
        <v>0</v>
      </c>
      <c r="AB21" s="0" t="str">
        <f aca="false">IF(AND(C20=C21,Y20=Y21-1),Z20,"")</f>
        <v/>
      </c>
      <c r="AC21" s="0" t="str">
        <f aca="false">IF(AND(C20=C21,Y20=Y21-1),AA20,"")</f>
        <v/>
      </c>
      <c r="AD21" s="0" t="str">
        <f aca="false">IF(Y21=1,"",IF(AND(Z21=1,AB21&lt;&gt;1),1,0))</f>
        <v/>
      </c>
      <c r="AE21" s="0" t="str">
        <f aca="false">IF(Y21=1,"",IF(AND(AA21=1,AC21&lt;&gt;1),1,0))</f>
        <v/>
      </c>
      <c r="AF21" s="45" t="str">
        <f aca="false">IF(AND(E21&gt;0,Y21&lt;1,NOT(AND(C22=C21,Y22=Y21+1))),INDEX(DATAS,Y21+1),"")</f>
        <v/>
      </c>
      <c r="AG21" s="45" t="str">
        <f aca="false">IF(AND(AA21=1,Y21&lt;1),IF(AND(C22=C21,Y22=Y21+1),IF(AA22=1,"",INDEX(DATAS,Y21+1)),INDEX(DATAS,Y21+1)),"")</f>
        <v/>
      </c>
    </row>
    <row r="22" customFormat="false" ht="15" hidden="false" customHeight="false" outlineLevel="0" collapsed="false">
      <c r="A22" s="45" t="n">
        <v>46309</v>
      </c>
      <c r="B22" s="0" t="n">
        <v>2</v>
      </c>
      <c r="C22" s="0" t="n">
        <v>2183</v>
      </c>
      <c r="D22" s="0" t="n">
        <v>64</v>
      </c>
      <c r="E22" s="0" t="n">
        <v>6</v>
      </c>
      <c r="F22" s="39" t="s">
        <v>128</v>
      </c>
      <c r="G22" s="0" t="n">
        <v>55.3</v>
      </c>
      <c r="H22" s="0" t="n">
        <v>51</v>
      </c>
      <c r="I22" s="39" t="s">
        <v>118</v>
      </c>
      <c r="J22" s="0" t="n">
        <v>64</v>
      </c>
      <c r="P22" s="0" t="n">
        <v>3.58</v>
      </c>
      <c r="Q22" s="0" t="n">
        <v>3.26</v>
      </c>
      <c r="R22" s="0" t="n">
        <v>4943</v>
      </c>
      <c r="S22" s="0" t="n">
        <v>9935</v>
      </c>
      <c r="U22" s="0" t="n">
        <v>3010</v>
      </c>
      <c r="V22" s="0" t="n">
        <v>0</v>
      </c>
      <c r="W22" s="39" t="n">
        <f aca="false">IF(I22="Male",0,1)</f>
        <v>1</v>
      </c>
      <c r="X22" s="39" t="n">
        <f aca="false">IF(OR(I22="DNB",I22="Dry DNB"),1,0)</f>
        <v>0</v>
      </c>
      <c r="Y22" s="39" t="n">
        <f aca="false">MATCH(A22,DATAS,0)</f>
        <v>1</v>
      </c>
      <c r="Z22" s="39" t="n">
        <f aca="false">IF(AND(E22&gt;0,OR(AND(B22&gt;=1,B22&lt;=6),B22=10)),1,0)</f>
        <v>1</v>
      </c>
      <c r="AA22" s="39" t="n">
        <f aca="false">IF(AND(E22&gt;0,B22=10),1,0)</f>
        <v>0</v>
      </c>
      <c r="AB22" s="0" t="str">
        <f aca="false">IF(AND(C21=C22,Y21=Y22-1),Z21,"")</f>
        <v/>
      </c>
      <c r="AC22" s="0" t="str">
        <f aca="false">IF(AND(C21=C22,Y21=Y22-1),AA21,"")</f>
        <v/>
      </c>
      <c r="AD22" s="0" t="str">
        <f aca="false">IF(Y22=1,"",IF(AND(Z22=1,AB22&lt;&gt;1),1,0))</f>
        <v/>
      </c>
      <c r="AE22" s="0" t="str">
        <f aca="false">IF(Y22=1,"",IF(AND(AA22=1,AC22&lt;&gt;1),1,0))</f>
        <v/>
      </c>
      <c r="AF22" s="45" t="str">
        <f aca="false">IF(AND(E22&gt;0,Y22&lt;1,NOT(AND(C23=C22,Y23=Y22+1))),INDEX(DATAS,Y22+1),"")</f>
        <v/>
      </c>
      <c r="AG22" s="45" t="str">
        <f aca="false">IF(AND(AA22=1,Y22&lt;1),IF(AND(C23=C22,Y23=Y22+1),IF(AA23=1,"",INDEX(DATAS,Y22+1)),INDEX(DATAS,Y22+1)),"")</f>
        <v/>
      </c>
    </row>
    <row r="23" customFormat="false" ht="15" hidden="false" customHeight="false" outlineLevel="0" collapsed="false">
      <c r="A23" s="45" t="n">
        <v>46309</v>
      </c>
      <c r="B23" s="0" t="n">
        <v>5</v>
      </c>
      <c r="C23" s="0" t="n">
        <v>2224</v>
      </c>
      <c r="D23" s="0" t="n">
        <v>22</v>
      </c>
      <c r="E23" s="0" t="n">
        <v>7</v>
      </c>
      <c r="F23" s="39" t="s">
        <v>129</v>
      </c>
      <c r="G23" s="0" t="n">
        <v>44.3</v>
      </c>
      <c r="H23" s="0" t="n">
        <v>42</v>
      </c>
      <c r="I23" s="39" t="s">
        <v>118</v>
      </c>
      <c r="J23" s="0" t="n">
        <v>22</v>
      </c>
      <c r="R23" s="0" t="n">
        <v>3169</v>
      </c>
      <c r="S23" s="0" t="n">
        <v>6370</v>
      </c>
      <c r="U23" s="0" t="n">
        <v>2960</v>
      </c>
      <c r="V23" s="0" t="n">
        <v>0</v>
      </c>
      <c r="W23" s="39" t="n">
        <f aca="false">IF(I23="Male",0,1)</f>
        <v>1</v>
      </c>
      <c r="X23" s="39" t="n">
        <f aca="false">IF(OR(I23="DNB",I23="Dry DNB"),1,0)</f>
        <v>0</v>
      </c>
      <c r="Y23" s="39" t="n">
        <f aca="false">MATCH(A23,DATAS,0)</f>
        <v>1</v>
      </c>
      <c r="Z23" s="39" t="n">
        <f aca="false">IF(AND(E23&gt;0,OR(AND(B23&gt;=1,B23&lt;=6),B23=10)),1,0)</f>
        <v>1</v>
      </c>
      <c r="AA23" s="39" t="n">
        <f aca="false">IF(AND(E23&gt;0,B23=10),1,0)</f>
        <v>0</v>
      </c>
      <c r="AB23" s="0" t="str">
        <f aca="false">IF(AND(C22=C23,Y22=Y23-1),Z22,"")</f>
        <v/>
      </c>
      <c r="AC23" s="0" t="str">
        <f aca="false">IF(AND(C22=C23,Y22=Y23-1),AA22,"")</f>
        <v/>
      </c>
      <c r="AD23" s="0" t="str">
        <f aca="false">IF(Y23=1,"",IF(AND(Z23=1,AB23&lt;&gt;1),1,0))</f>
        <v/>
      </c>
      <c r="AE23" s="0" t="str">
        <f aca="false">IF(Y23=1,"",IF(AND(AA23=1,AC23&lt;&gt;1),1,0))</f>
        <v/>
      </c>
      <c r="AF23" s="45" t="str">
        <f aca="false">IF(AND(E23&gt;0,Y23&lt;1,NOT(AND(C24=C23,Y24=Y23+1))),INDEX(DATAS,Y23+1),"")</f>
        <v/>
      </c>
      <c r="AG23" s="45" t="str">
        <f aca="false">IF(AND(AA23=1,Y23&lt;1),IF(AND(C24=C23,Y24=Y23+1),IF(AA24=1,"",INDEX(DATAS,Y23+1)),INDEX(DATAS,Y23+1)),"")</f>
        <v/>
      </c>
    </row>
    <row r="24" customFormat="false" ht="15" hidden="false" customHeight="false" outlineLevel="0" collapsed="false">
      <c r="A24" s="45" t="n">
        <v>46309</v>
      </c>
      <c r="B24" s="0" t="n">
        <v>7</v>
      </c>
      <c r="C24" s="0" t="n">
        <v>2225</v>
      </c>
      <c r="D24" s="0" t="n">
        <v>233</v>
      </c>
      <c r="E24" s="0" t="n">
        <v>7</v>
      </c>
      <c r="F24" s="39" t="s">
        <v>130</v>
      </c>
      <c r="I24" s="39" t="s">
        <v>114</v>
      </c>
      <c r="J24" s="0" t="n">
        <v>128</v>
      </c>
      <c r="K24" s="0" t="n">
        <v>47</v>
      </c>
      <c r="L24" s="0" t="n">
        <v>119</v>
      </c>
      <c r="M24" s="0" t="n">
        <v>208.66</v>
      </c>
      <c r="N24" s="0" t="n">
        <v>-4.7</v>
      </c>
      <c r="O24" s="0" t="n">
        <v>20.26</v>
      </c>
      <c r="P24" s="0" t="n">
        <v>4.31</v>
      </c>
      <c r="Q24" s="0" t="n">
        <v>4.65</v>
      </c>
      <c r="R24" s="0" t="n">
        <v>2306</v>
      </c>
      <c r="S24" s="0" t="n">
        <v>4883</v>
      </c>
      <c r="T24" s="0" t="n">
        <v>26.75</v>
      </c>
      <c r="U24" s="0" t="n">
        <v>2959</v>
      </c>
      <c r="V24" s="0" t="n">
        <v>2</v>
      </c>
      <c r="W24" s="39" t="n">
        <f aca="false">IF(I24="Male",0,1)</f>
        <v>1</v>
      </c>
      <c r="X24" s="39" t="n">
        <f aca="false">IF(OR(I24="DNB",I24="Dry DNB"),1,0)</f>
        <v>0</v>
      </c>
      <c r="Y24" s="39" t="n">
        <f aca="false">MATCH(A24,DATAS,0)</f>
        <v>1</v>
      </c>
      <c r="Z24" s="39" t="n">
        <f aca="false">IF(AND(E24&gt;0,OR(AND(B24&gt;=1,B24&lt;=6),B24=10)),1,0)</f>
        <v>0</v>
      </c>
      <c r="AA24" s="39" t="n">
        <f aca="false">IF(AND(E24&gt;0,B24=10),1,0)</f>
        <v>0</v>
      </c>
      <c r="AB24" s="0" t="str">
        <f aca="false">IF(AND(C23=C24,Y23=Y24-1),Z23,"")</f>
        <v/>
      </c>
      <c r="AC24" s="0" t="str">
        <f aca="false">IF(AND(C23=C24,Y23=Y24-1),AA23,"")</f>
        <v/>
      </c>
      <c r="AD24" s="0" t="str">
        <f aca="false">IF(Y24=1,"",IF(AND(Z24=1,AB24&lt;&gt;1),1,0))</f>
        <v/>
      </c>
      <c r="AE24" s="0" t="str">
        <f aca="false">IF(Y24=1,"",IF(AND(AA24=1,AC24&lt;&gt;1),1,0))</f>
        <v/>
      </c>
      <c r="AF24" s="45" t="str">
        <f aca="false">IF(AND(E24&gt;0,Y24&lt;1,NOT(AND(C25=C24,Y25=Y24+1))),INDEX(DATAS,Y24+1),"")</f>
        <v/>
      </c>
      <c r="AG24" s="45" t="str">
        <f aca="false">IF(AND(AA24=1,Y24&lt;1),IF(AND(C25=C24,Y25=Y24+1),IF(AA25=1,"",INDEX(DATAS,Y24+1)),INDEX(DATAS,Y24+1)),"")</f>
        <v/>
      </c>
    </row>
    <row r="25" customFormat="false" ht="15" hidden="false" customHeight="false" outlineLevel="0" collapsed="false">
      <c r="A25" s="45" t="n">
        <v>46309</v>
      </c>
      <c r="B25" s="0" t="n">
        <v>14</v>
      </c>
      <c r="C25" s="0" t="n">
        <v>2233</v>
      </c>
      <c r="D25" s="0" t="n">
        <v>314</v>
      </c>
      <c r="E25" s="0" t="n">
        <v>6</v>
      </c>
      <c r="F25" s="39" t="s">
        <v>131</v>
      </c>
      <c r="I25" s="39" t="s">
        <v>114</v>
      </c>
      <c r="J25" s="0" t="n">
        <v>175</v>
      </c>
      <c r="K25" s="0" t="n">
        <v>63</v>
      </c>
      <c r="L25" s="0" t="n">
        <v>273</v>
      </c>
      <c r="M25" s="0" t="n">
        <v>770.21</v>
      </c>
      <c r="N25" s="0" t="n">
        <v>6.41</v>
      </c>
      <c r="O25" s="0" t="n">
        <v>23.92</v>
      </c>
      <c r="P25" s="0" t="n">
        <v>4.7</v>
      </c>
      <c r="Q25" s="0" t="n">
        <v>3.5</v>
      </c>
      <c r="R25" s="0" t="n">
        <v>4939</v>
      </c>
      <c r="S25" s="0" t="n">
        <v>8605</v>
      </c>
      <c r="T25" s="0" t="n">
        <v>54.75</v>
      </c>
      <c r="U25" s="0" t="n">
        <v>2952</v>
      </c>
      <c r="V25" s="0" t="n">
        <v>2</v>
      </c>
      <c r="W25" s="39" t="n">
        <f aca="false">IF(I25="Male",0,1)</f>
        <v>1</v>
      </c>
      <c r="X25" s="39" t="n">
        <f aca="false">IF(OR(I25="DNB",I25="Dry DNB"),1,0)</f>
        <v>0</v>
      </c>
      <c r="Y25" s="39" t="n">
        <f aca="false">MATCH(A25,DATAS,0)</f>
        <v>1</v>
      </c>
      <c r="Z25" s="39" t="n">
        <f aca="false">IF(AND(E25&gt;0,OR(AND(B25&gt;=1,B25&lt;=6),B25=10)),1,0)</f>
        <v>0</v>
      </c>
      <c r="AA25" s="39" t="n">
        <f aca="false">IF(AND(E25&gt;0,B25=10),1,0)</f>
        <v>0</v>
      </c>
      <c r="AB25" s="0" t="str">
        <f aca="false">IF(AND(C24=C25,Y24=Y25-1),Z24,"")</f>
        <v/>
      </c>
      <c r="AC25" s="0" t="str">
        <f aca="false">IF(AND(C24=C25,Y24=Y25-1),AA24,"")</f>
        <v/>
      </c>
      <c r="AD25" s="0" t="str">
        <f aca="false">IF(Y25=1,"",IF(AND(Z25=1,AB25&lt;&gt;1),1,0))</f>
        <v/>
      </c>
      <c r="AE25" s="0" t="str">
        <f aca="false">IF(Y25=1,"",IF(AND(AA25=1,AC25&lt;&gt;1),1,0))</f>
        <v/>
      </c>
      <c r="AF25" s="45" t="str">
        <f aca="false">IF(AND(E25&gt;0,Y25&lt;1,NOT(AND(C26=C25,Y26=Y25+1))),INDEX(DATAS,Y25+1),"")</f>
        <v/>
      </c>
      <c r="AG25" s="45" t="str">
        <f aca="false">IF(AND(AA25=1,Y25&lt;1),IF(AND(C26=C25,Y26=Y25+1),IF(AA26=1,"",INDEX(DATAS,Y25+1)),INDEX(DATAS,Y25+1)),"")</f>
        <v/>
      </c>
    </row>
    <row r="26" customFormat="false" ht="15" hidden="false" customHeight="false" outlineLevel="0" collapsed="false">
      <c r="A26" s="45" t="n">
        <v>46309</v>
      </c>
      <c r="B26" s="0" t="n">
        <v>10</v>
      </c>
      <c r="C26" s="0" t="n">
        <v>2279</v>
      </c>
      <c r="D26" s="0" t="n">
        <v>328</v>
      </c>
      <c r="E26" s="0" t="n">
        <v>5</v>
      </c>
      <c r="F26" s="39" t="s">
        <v>132</v>
      </c>
      <c r="G26" s="0" t="n">
        <v>10.3</v>
      </c>
      <c r="H26" s="0" t="n">
        <v>20</v>
      </c>
      <c r="I26" s="39" t="s">
        <v>109</v>
      </c>
      <c r="J26" s="0" t="n">
        <v>265</v>
      </c>
      <c r="K26" s="0" t="n">
        <v>62</v>
      </c>
      <c r="L26" s="0" t="n">
        <v>63</v>
      </c>
      <c r="P26" s="0" t="n">
        <v>3.38</v>
      </c>
      <c r="Q26" s="0" t="n">
        <v>3.34</v>
      </c>
      <c r="R26" s="0" t="n">
        <v>5792</v>
      </c>
      <c r="S26" s="0" t="n">
        <v>10758</v>
      </c>
      <c r="T26" s="0" t="n">
        <v>61.9</v>
      </c>
      <c r="U26" s="0" t="n">
        <v>2898</v>
      </c>
      <c r="V26" s="0" t="n">
        <v>6</v>
      </c>
      <c r="W26" s="39" t="n">
        <f aca="false">IF(I26="Male",0,1)</f>
        <v>1</v>
      </c>
      <c r="X26" s="39" t="n">
        <f aca="false">IF(OR(I26="DNB",I26="Dry DNB"),1,0)</f>
        <v>0</v>
      </c>
      <c r="Y26" s="39" t="n">
        <f aca="false">MATCH(A26,DATAS,0)</f>
        <v>1</v>
      </c>
      <c r="Z26" s="39" t="n">
        <f aca="false">IF(AND(E26&gt;0,OR(AND(B26&gt;=1,B26&lt;=6),B26=10)),1,0)</f>
        <v>1</v>
      </c>
      <c r="AA26" s="39" t="n">
        <f aca="false">IF(AND(E26&gt;0,B26=10),1,0)</f>
        <v>1</v>
      </c>
      <c r="AB26" s="0" t="str">
        <f aca="false">IF(AND(C25=C26,Y25=Y26-1),Z25,"")</f>
        <v/>
      </c>
      <c r="AC26" s="0" t="str">
        <f aca="false">IF(AND(C25=C26,Y25=Y26-1),AA25,"")</f>
        <v/>
      </c>
      <c r="AD26" s="0" t="str">
        <f aca="false">IF(Y26=1,"",IF(AND(Z26=1,AB26&lt;&gt;1),1,0))</f>
        <v/>
      </c>
      <c r="AE26" s="0" t="str">
        <f aca="false">IF(Y26=1,"",IF(AND(AA26=1,AC26&lt;&gt;1),1,0))</f>
        <v/>
      </c>
      <c r="AF26" s="45" t="str">
        <f aca="false">IF(AND(E26&gt;0,Y26&lt;1,NOT(AND(C27=C26,Y27=Y26+1))),INDEX(DATAS,Y26+1),"")</f>
        <v/>
      </c>
      <c r="AG26" s="45" t="str">
        <f aca="false">IF(AND(AA26=1,Y26&lt;1),IF(AND(C27=C26,Y27=Y26+1),IF(AA27=1,"",INDEX(DATAS,Y26+1)),INDEX(DATAS,Y26+1)),"")</f>
        <v/>
      </c>
    </row>
    <row r="27" customFormat="false" ht="15" hidden="false" customHeight="false" outlineLevel="0" collapsed="false">
      <c r="A27" s="45" t="n">
        <v>46309</v>
      </c>
      <c r="B27" s="0" t="n">
        <v>6</v>
      </c>
      <c r="C27" s="0" t="n">
        <v>2303</v>
      </c>
      <c r="D27" s="0" t="n">
        <v>379</v>
      </c>
      <c r="E27" s="0" t="n">
        <v>6</v>
      </c>
      <c r="F27" s="39" t="s">
        <v>133</v>
      </c>
      <c r="G27" s="0" t="n">
        <v>25</v>
      </c>
      <c r="H27" s="0" t="n">
        <v>24</v>
      </c>
      <c r="I27" s="39" t="s">
        <v>109</v>
      </c>
      <c r="J27" s="0" t="n">
        <v>330</v>
      </c>
      <c r="K27" s="0" t="n">
        <v>79</v>
      </c>
      <c r="L27" s="0" t="n">
        <v>49</v>
      </c>
      <c r="M27" s="0" t="n">
        <v>579.21</v>
      </c>
      <c r="N27" s="0" t="n">
        <v>30.92</v>
      </c>
      <c r="O27" s="0" t="n">
        <v>9.05</v>
      </c>
      <c r="P27" s="0" t="n">
        <v>3.01</v>
      </c>
      <c r="Q27" s="0" t="n">
        <v>3.53</v>
      </c>
      <c r="R27" s="0" t="n">
        <v>5602</v>
      </c>
      <c r="S27" s="0" t="n">
        <v>10332</v>
      </c>
      <c r="T27" s="0" t="n">
        <v>65.25</v>
      </c>
      <c r="U27" s="0" t="n">
        <v>2883</v>
      </c>
      <c r="V27" s="0" t="n">
        <v>8</v>
      </c>
      <c r="W27" s="39" t="n">
        <f aca="false">IF(I27="Male",0,1)</f>
        <v>1</v>
      </c>
      <c r="X27" s="39" t="n">
        <f aca="false">IF(OR(I27="DNB",I27="Dry DNB"),1,0)</f>
        <v>0</v>
      </c>
      <c r="Y27" s="39" t="n">
        <f aca="false">MATCH(A27,DATAS,0)</f>
        <v>1</v>
      </c>
      <c r="Z27" s="39" t="n">
        <f aca="false">IF(AND(E27&gt;0,OR(AND(B27&gt;=1,B27&lt;=6),B27=10)),1,0)</f>
        <v>1</v>
      </c>
      <c r="AA27" s="39" t="n">
        <f aca="false">IF(AND(E27&gt;0,B27=10),1,0)</f>
        <v>0</v>
      </c>
      <c r="AB27" s="0" t="str">
        <f aca="false">IF(AND(C26=C27,Y26=Y27-1),Z26,"")</f>
        <v/>
      </c>
      <c r="AC27" s="0" t="str">
        <f aca="false">IF(AND(C26=C27,Y26=Y27-1),AA26,"")</f>
        <v/>
      </c>
      <c r="AD27" s="0" t="str">
        <f aca="false">IF(Y27=1,"",IF(AND(Z27=1,AB27&lt;&gt;1),1,0))</f>
        <v/>
      </c>
      <c r="AE27" s="0" t="str">
        <f aca="false">IF(Y27=1,"",IF(AND(AA27=1,AC27&lt;&gt;1),1,0))</f>
        <v/>
      </c>
      <c r="AF27" s="45" t="str">
        <f aca="false">IF(AND(E27&gt;0,Y27&lt;1,NOT(AND(C28=C27,Y28=Y27+1))),INDEX(DATAS,Y27+1),"")</f>
        <v/>
      </c>
      <c r="AG27" s="45" t="str">
        <f aca="false">IF(AND(AA27=1,Y27&lt;1),IF(AND(C28=C27,Y28=Y27+1),IF(AA28=1,"",INDEX(DATAS,Y27+1)),INDEX(DATAS,Y27+1)),"")</f>
        <v/>
      </c>
    </row>
    <row r="28" customFormat="false" ht="15" hidden="false" customHeight="false" outlineLevel="0" collapsed="false">
      <c r="A28" s="45" t="n">
        <v>46309</v>
      </c>
      <c r="B28" s="0" t="n">
        <v>5</v>
      </c>
      <c r="C28" s="0" t="n">
        <v>2362</v>
      </c>
      <c r="D28" s="0" t="n">
        <v>282</v>
      </c>
      <c r="E28" s="0" t="n">
        <v>6</v>
      </c>
      <c r="F28" s="39" t="s">
        <v>134</v>
      </c>
      <c r="G28" s="0" t="n">
        <v>47.9</v>
      </c>
      <c r="H28" s="0" t="n">
        <v>46</v>
      </c>
      <c r="I28" s="39" t="s">
        <v>109</v>
      </c>
      <c r="J28" s="0" t="n">
        <v>191</v>
      </c>
      <c r="K28" s="0" t="n">
        <v>86</v>
      </c>
      <c r="L28" s="0" t="n">
        <v>91</v>
      </c>
      <c r="M28" s="0" t="n">
        <v>529.34</v>
      </c>
      <c r="N28" s="0" t="n">
        <v>20.94</v>
      </c>
      <c r="O28" s="0" t="n">
        <v>21.13</v>
      </c>
      <c r="P28" s="0" t="n">
        <v>4.63</v>
      </c>
      <c r="Q28" s="0" t="n">
        <v>3.81</v>
      </c>
      <c r="R28" s="0" t="n">
        <v>6194</v>
      </c>
      <c r="S28" s="0" t="n">
        <v>11796</v>
      </c>
      <c r="T28" s="0" t="n">
        <v>63.1</v>
      </c>
      <c r="U28" s="0" t="n">
        <v>2822</v>
      </c>
      <c r="V28" s="0" t="n">
        <v>3</v>
      </c>
      <c r="W28" s="39" t="n">
        <f aca="false">IF(I28="Male",0,1)</f>
        <v>1</v>
      </c>
      <c r="X28" s="39" t="n">
        <f aca="false">IF(OR(I28="DNB",I28="Dry DNB"),1,0)</f>
        <v>0</v>
      </c>
      <c r="Y28" s="39" t="n">
        <f aca="false">MATCH(A28,DATAS,0)</f>
        <v>1</v>
      </c>
      <c r="Z28" s="39" t="n">
        <f aca="false">IF(AND(E28&gt;0,OR(AND(B28&gt;=1,B28&lt;=6),B28=10)),1,0)</f>
        <v>1</v>
      </c>
      <c r="AA28" s="39" t="n">
        <f aca="false">IF(AND(E28&gt;0,B28=10),1,0)</f>
        <v>0</v>
      </c>
      <c r="AB28" s="0" t="str">
        <f aca="false">IF(AND(C27=C28,Y27=Y28-1),Z27,"")</f>
        <v/>
      </c>
      <c r="AC28" s="0" t="str">
        <f aca="false">IF(AND(C27=C28,Y27=Y28-1),AA27,"")</f>
        <v/>
      </c>
      <c r="AD28" s="0" t="str">
        <f aca="false">IF(Y28=1,"",IF(AND(Z28=1,AB28&lt;&gt;1),1,0))</f>
        <v/>
      </c>
      <c r="AE28" s="0" t="str">
        <f aca="false">IF(Y28=1,"",IF(AND(AA28=1,AC28&lt;&gt;1),1,0))</f>
        <v/>
      </c>
      <c r="AF28" s="45" t="str">
        <f aca="false">IF(AND(E28&gt;0,Y28&lt;1,NOT(AND(C29=C28,Y29=Y28+1))),INDEX(DATAS,Y28+1),"")</f>
        <v/>
      </c>
      <c r="AG28" s="45" t="str">
        <f aca="false">IF(AND(AA28=1,Y28&lt;1),IF(AND(C29=C28,Y29=Y28+1),IF(AA29=1,"",INDEX(DATAS,Y28+1)),INDEX(DATAS,Y28+1)),"")</f>
        <v/>
      </c>
    </row>
    <row r="29" customFormat="false" ht="15" hidden="false" customHeight="false" outlineLevel="0" collapsed="false">
      <c r="A29" s="45" t="n">
        <v>46309</v>
      </c>
      <c r="B29" s="0" t="n">
        <v>13</v>
      </c>
      <c r="C29" s="0" t="n">
        <v>2413</v>
      </c>
      <c r="E29" s="0" t="n">
        <v>0</v>
      </c>
      <c r="F29" s="39" t="s">
        <v>135</v>
      </c>
      <c r="I29" s="39" t="s">
        <v>136</v>
      </c>
      <c r="U29" s="0" t="n">
        <v>220</v>
      </c>
      <c r="V29" s="0" t="n">
        <v>0</v>
      </c>
      <c r="W29" s="39" t="n">
        <f aca="false">IF(I29="Male",0,1)</f>
        <v>1</v>
      </c>
      <c r="X29" s="39" t="n">
        <f aca="false">IF(OR(I29="DNB",I29="Dry DNB"),1,0)</f>
        <v>0</v>
      </c>
      <c r="Y29" s="39" t="n">
        <f aca="false">MATCH(A29,DATAS,0)</f>
        <v>1</v>
      </c>
      <c r="Z29" s="39" t="n">
        <f aca="false">IF(AND(E29&gt;0,OR(AND(B29&gt;=1,B29&lt;=6),B29=10)),1,0)</f>
        <v>0</v>
      </c>
      <c r="AA29" s="39" t="n">
        <f aca="false">IF(AND(E29&gt;0,B29=10),1,0)</f>
        <v>0</v>
      </c>
      <c r="AB29" s="0" t="str">
        <f aca="false">IF(AND(C28=C29,Y28=Y29-1),Z28,"")</f>
        <v/>
      </c>
      <c r="AC29" s="0" t="str">
        <f aca="false">IF(AND(C28=C29,Y28=Y29-1),AA28,"")</f>
        <v/>
      </c>
      <c r="AD29" s="0" t="str">
        <f aca="false">IF(Y29=1,"",IF(AND(Z29=1,AB29&lt;&gt;1),1,0))</f>
        <v/>
      </c>
      <c r="AE29" s="0" t="str">
        <f aca="false">IF(Y29=1,"",IF(AND(AA29=1,AC29&lt;&gt;1),1,0))</f>
        <v/>
      </c>
      <c r="AF29" s="45" t="str">
        <f aca="false">IF(AND(E29&gt;0,Y29&lt;1,NOT(AND(C30=C29,Y30=Y29+1))),INDEX(DATAS,Y29+1),"")</f>
        <v/>
      </c>
      <c r="AG29" s="45" t="str">
        <f aca="false">IF(AND(AA29=1,Y29&lt;1),IF(AND(C30=C29,Y30=Y29+1),IF(AA30=1,"",INDEX(DATAS,Y29+1)),INDEX(DATAS,Y29+1)),"")</f>
        <v/>
      </c>
    </row>
    <row r="30" customFormat="false" ht="15" hidden="false" customHeight="false" outlineLevel="0" collapsed="false">
      <c r="A30" s="45" t="n">
        <v>46309</v>
      </c>
      <c r="B30" s="0" t="n">
        <v>6</v>
      </c>
      <c r="C30" s="0" t="n">
        <v>2439</v>
      </c>
      <c r="D30" s="0" t="n">
        <v>417</v>
      </c>
      <c r="E30" s="0" t="n">
        <v>5</v>
      </c>
      <c r="F30" s="39" t="s">
        <v>137</v>
      </c>
      <c r="G30" s="0" t="n">
        <v>20.1</v>
      </c>
      <c r="H30" s="0" t="n">
        <v>18</v>
      </c>
      <c r="I30" s="39" t="s">
        <v>138</v>
      </c>
      <c r="J30" s="0" t="n">
        <v>417</v>
      </c>
      <c r="K30" s="0" t="n">
        <v>60</v>
      </c>
      <c r="M30" s="0" t="n">
        <v>-554.63</v>
      </c>
      <c r="N30" s="0" t="n">
        <v>13.57</v>
      </c>
      <c r="O30" s="0" t="n">
        <v>2.45</v>
      </c>
      <c r="P30" s="0" t="n">
        <v>6.94</v>
      </c>
      <c r="Q30" s="0" t="n">
        <v>4.47</v>
      </c>
      <c r="R30" s="0" t="n">
        <v>4777</v>
      </c>
      <c r="S30" s="0" t="n">
        <v>9031</v>
      </c>
      <c r="T30" s="0" t="n">
        <v>52.15</v>
      </c>
      <c r="U30" s="0" t="n">
        <v>2746</v>
      </c>
      <c r="V30" s="0" t="n">
        <v>8</v>
      </c>
      <c r="W30" s="39" t="n">
        <f aca="false">IF(I30="Male",0,1)</f>
        <v>1</v>
      </c>
      <c r="X30" s="39" t="n">
        <f aca="false">IF(OR(I30="DNB",I30="Dry DNB"),1,0)</f>
        <v>0</v>
      </c>
      <c r="Y30" s="39" t="n">
        <f aca="false">MATCH(A30,DATAS,0)</f>
        <v>1</v>
      </c>
      <c r="Z30" s="39" t="n">
        <f aca="false">IF(AND(E30&gt;0,OR(AND(B30&gt;=1,B30&lt;=6),B30=10)),1,0)</f>
        <v>1</v>
      </c>
      <c r="AA30" s="39" t="n">
        <f aca="false">IF(AND(E30&gt;0,B30=10),1,0)</f>
        <v>0</v>
      </c>
      <c r="AB30" s="0" t="str">
        <f aca="false">IF(AND(C29=C30,Y29=Y30-1),Z29,"")</f>
        <v/>
      </c>
      <c r="AC30" s="0" t="str">
        <f aca="false">IF(AND(C29=C30,Y29=Y30-1),AA29,"")</f>
        <v/>
      </c>
      <c r="AD30" s="0" t="str">
        <f aca="false">IF(Y30=1,"",IF(AND(Z30=1,AB30&lt;&gt;1),1,0))</f>
        <v/>
      </c>
      <c r="AE30" s="0" t="str">
        <f aca="false">IF(Y30=1,"",IF(AND(AA30=1,AC30&lt;&gt;1),1,0))</f>
        <v/>
      </c>
      <c r="AF30" s="45" t="str">
        <f aca="false">IF(AND(E30&gt;0,Y30&lt;1,NOT(AND(C31=C30,Y31=Y30+1))),INDEX(DATAS,Y30+1),"")</f>
        <v/>
      </c>
      <c r="AG30" s="45" t="str">
        <f aca="false">IF(AND(AA30=1,Y30&lt;1),IF(AND(C31=C30,Y31=Y30+1),IF(AA31=1,"",INDEX(DATAS,Y30+1)),INDEX(DATAS,Y30+1)),"")</f>
        <v/>
      </c>
    </row>
    <row r="31" customFormat="false" ht="15" hidden="false" customHeight="false" outlineLevel="0" collapsed="false">
      <c r="A31" s="45" t="n">
        <v>46309</v>
      </c>
      <c r="B31" s="0" t="n">
        <v>6</v>
      </c>
      <c r="C31" s="0" t="n">
        <v>2494</v>
      </c>
      <c r="D31" s="0" t="n">
        <v>429</v>
      </c>
      <c r="E31" s="0" t="n">
        <v>5</v>
      </c>
      <c r="F31" s="39" t="s">
        <v>139</v>
      </c>
      <c r="G31" s="0" t="n">
        <v>21.9</v>
      </c>
      <c r="H31" s="0" t="n">
        <v>22</v>
      </c>
      <c r="I31" s="39" t="s">
        <v>96</v>
      </c>
      <c r="J31" s="0" t="n">
        <v>429</v>
      </c>
      <c r="K31" s="0" t="n">
        <v>65</v>
      </c>
      <c r="M31" s="0" t="n">
        <v>9.94</v>
      </c>
      <c r="N31" s="0" t="n">
        <v>17.72</v>
      </c>
      <c r="O31" s="0" t="n">
        <v>9.62</v>
      </c>
      <c r="P31" s="0" t="n">
        <v>8.43</v>
      </c>
      <c r="Q31" s="0" t="n">
        <v>5.01</v>
      </c>
      <c r="R31" s="0" t="n">
        <v>2891</v>
      </c>
      <c r="S31" s="0" t="n">
        <v>6292</v>
      </c>
      <c r="T31" s="0" t="n">
        <v>29.55</v>
      </c>
      <c r="U31" s="0" t="n">
        <v>2711</v>
      </c>
      <c r="V31" s="0" t="n">
        <v>6</v>
      </c>
      <c r="W31" s="39" t="n">
        <f aca="false">IF(I31="Male",0,1)</f>
        <v>1</v>
      </c>
      <c r="X31" s="39" t="n">
        <f aca="false">IF(OR(I31="DNB",I31="Dry DNB"),1,0)</f>
        <v>1</v>
      </c>
      <c r="Y31" s="39" t="n">
        <f aca="false">MATCH(A31,DATAS,0)</f>
        <v>1</v>
      </c>
      <c r="Z31" s="39" t="n">
        <f aca="false">IF(AND(E31&gt;0,OR(AND(B31&gt;=1,B31&lt;=6),B31=10)),1,0)</f>
        <v>1</v>
      </c>
      <c r="AA31" s="39" t="n">
        <f aca="false">IF(AND(E31&gt;0,B31=10),1,0)</f>
        <v>0</v>
      </c>
      <c r="AB31" s="0" t="str">
        <f aca="false">IF(AND(C30=C31,Y30=Y31-1),Z30,"")</f>
        <v/>
      </c>
      <c r="AC31" s="0" t="str">
        <f aca="false">IF(AND(C30=C31,Y30=Y31-1),AA30,"")</f>
        <v/>
      </c>
      <c r="AD31" s="0" t="str">
        <f aca="false">IF(Y31=1,"",IF(AND(Z31=1,AB31&lt;&gt;1),1,0))</f>
        <v/>
      </c>
      <c r="AE31" s="0" t="str">
        <f aca="false">IF(Y31=1,"",IF(AND(AA31=1,AC31&lt;&gt;1),1,0))</f>
        <v/>
      </c>
      <c r="AF31" s="45" t="str">
        <f aca="false">IF(AND(E31&gt;0,Y31&lt;1,NOT(AND(C32=C31,Y32=Y31+1))),INDEX(DATAS,Y31+1),"")</f>
        <v/>
      </c>
      <c r="AG31" s="45" t="str">
        <f aca="false">IF(AND(AA31=1,Y31&lt;1),IF(AND(C32=C31,Y32=Y31+1),IF(AA32=1,"",INDEX(DATAS,Y31+1)),INDEX(DATAS,Y31+1)),"")</f>
        <v/>
      </c>
    </row>
    <row r="32" customFormat="false" ht="15" hidden="false" customHeight="false" outlineLevel="0" collapsed="false">
      <c r="A32" s="45" t="n">
        <v>46309</v>
      </c>
      <c r="B32" s="0" t="n">
        <v>7</v>
      </c>
      <c r="C32" s="0" t="n">
        <v>2521</v>
      </c>
      <c r="D32" s="0" t="n">
        <v>313</v>
      </c>
      <c r="E32" s="0" t="n">
        <v>4</v>
      </c>
      <c r="F32" s="39" t="s">
        <v>140</v>
      </c>
      <c r="I32" s="39" t="s">
        <v>114</v>
      </c>
      <c r="J32" s="0" t="n">
        <v>188</v>
      </c>
      <c r="K32" s="0" t="n">
        <v>69</v>
      </c>
      <c r="L32" s="0" t="n">
        <v>224</v>
      </c>
      <c r="M32" s="0" t="n">
        <v>-186.08</v>
      </c>
      <c r="N32" s="0" t="n">
        <v>6.94</v>
      </c>
      <c r="O32" s="0" t="n">
        <v>-5.41</v>
      </c>
      <c r="P32" s="0" t="n">
        <v>5.34</v>
      </c>
      <c r="Q32" s="0" t="n">
        <v>3.84</v>
      </c>
      <c r="R32" s="0" t="n">
        <v>3768</v>
      </c>
      <c r="S32" s="0" t="n">
        <v>7508</v>
      </c>
      <c r="T32" s="0" t="n">
        <v>40.95</v>
      </c>
      <c r="U32" s="0" t="n">
        <v>2695</v>
      </c>
      <c r="V32" s="0" t="n">
        <v>4</v>
      </c>
      <c r="W32" s="39" t="n">
        <f aca="false">IF(I32="Male",0,1)</f>
        <v>1</v>
      </c>
      <c r="X32" s="39" t="n">
        <f aca="false">IF(OR(I32="DNB",I32="Dry DNB"),1,0)</f>
        <v>0</v>
      </c>
      <c r="Y32" s="39" t="n">
        <f aca="false">MATCH(A32,DATAS,0)</f>
        <v>1</v>
      </c>
      <c r="Z32" s="39" t="n">
        <f aca="false">IF(AND(E32&gt;0,OR(AND(B32&gt;=1,B32&lt;=6),B32=10)),1,0)</f>
        <v>0</v>
      </c>
      <c r="AA32" s="39" t="n">
        <f aca="false">IF(AND(E32&gt;0,B32=10),1,0)</f>
        <v>0</v>
      </c>
      <c r="AB32" s="0" t="str">
        <f aca="false">IF(AND(C31=C32,Y31=Y32-1),Z31,"")</f>
        <v/>
      </c>
      <c r="AC32" s="0" t="str">
        <f aca="false">IF(AND(C31=C32,Y31=Y32-1),AA31,"")</f>
        <v/>
      </c>
      <c r="AD32" s="0" t="str">
        <f aca="false">IF(Y32=1,"",IF(AND(Z32=1,AB32&lt;&gt;1),1,0))</f>
        <v/>
      </c>
      <c r="AE32" s="0" t="str">
        <f aca="false">IF(Y32=1,"",IF(AND(AA32=1,AC32&lt;&gt;1),1,0))</f>
        <v/>
      </c>
      <c r="AF32" s="45" t="str">
        <f aca="false">IF(AND(E32&gt;0,Y32&lt;1,NOT(AND(C33=C32,Y33=Y32+1))),INDEX(DATAS,Y32+1),"")</f>
        <v/>
      </c>
      <c r="AG32" s="45" t="str">
        <f aca="false">IF(AND(AA32=1,Y32&lt;1),IF(AND(C33=C32,Y33=Y32+1),IF(AA33=1,"",INDEX(DATAS,Y32+1)),INDEX(DATAS,Y32+1)),"")</f>
        <v/>
      </c>
    </row>
    <row r="33" customFormat="false" ht="15" hidden="false" customHeight="false" outlineLevel="0" collapsed="false">
      <c r="A33" s="45" t="n">
        <v>46309</v>
      </c>
      <c r="B33" s="0" t="n">
        <v>3</v>
      </c>
      <c r="C33" s="0" t="n">
        <v>2540</v>
      </c>
      <c r="D33" s="0" t="n">
        <v>17</v>
      </c>
      <c r="E33" s="0" t="n">
        <v>6</v>
      </c>
      <c r="F33" s="39" t="s">
        <v>141</v>
      </c>
      <c r="G33" s="0" t="n">
        <v>34</v>
      </c>
      <c r="H33" s="0" t="n">
        <v>36</v>
      </c>
      <c r="I33" s="39" t="s">
        <v>118</v>
      </c>
      <c r="J33" s="0" t="n">
        <v>17</v>
      </c>
      <c r="M33" s="0" t="n">
        <v>904.75</v>
      </c>
      <c r="N33" s="0" t="n">
        <v>40.83</v>
      </c>
      <c r="O33" s="0" t="n">
        <v>24.84</v>
      </c>
      <c r="R33" s="0" t="n">
        <v>3250</v>
      </c>
      <c r="S33" s="0" t="n">
        <v>6533</v>
      </c>
      <c r="U33" s="0" t="n">
        <v>2686</v>
      </c>
      <c r="V33" s="0" t="n">
        <v>0</v>
      </c>
      <c r="W33" s="39" t="n">
        <f aca="false">IF(I33="Male",0,1)</f>
        <v>1</v>
      </c>
      <c r="X33" s="39" t="n">
        <f aca="false">IF(OR(I33="DNB",I33="Dry DNB"),1,0)</f>
        <v>0</v>
      </c>
      <c r="Y33" s="39" t="n">
        <f aca="false">MATCH(A33,DATAS,0)</f>
        <v>1</v>
      </c>
      <c r="Z33" s="39" t="n">
        <f aca="false">IF(AND(E33&gt;0,OR(AND(B33&gt;=1,B33&lt;=6),B33=10)),1,0)</f>
        <v>1</v>
      </c>
      <c r="AA33" s="39" t="n">
        <f aca="false">IF(AND(E33&gt;0,B33=10),1,0)</f>
        <v>0</v>
      </c>
      <c r="AB33" s="0" t="str">
        <f aca="false">IF(AND(C32=C33,Y32=Y33-1),Z32,"")</f>
        <v/>
      </c>
      <c r="AC33" s="0" t="str">
        <f aca="false">IF(AND(C32=C33,Y32=Y33-1),AA32,"")</f>
        <v/>
      </c>
      <c r="AD33" s="0" t="str">
        <f aca="false">IF(Y33=1,"",IF(AND(Z33=1,AB33&lt;&gt;1),1,0))</f>
        <v/>
      </c>
      <c r="AE33" s="0" t="str">
        <f aca="false">IF(Y33=1,"",IF(AND(AA33=1,AC33&lt;&gt;1),1,0))</f>
        <v/>
      </c>
      <c r="AF33" s="45" t="str">
        <f aca="false">IF(AND(E33&gt;0,Y33&lt;1,NOT(AND(C34=C33,Y34=Y33+1))),INDEX(DATAS,Y33+1),"")</f>
        <v/>
      </c>
      <c r="AG33" s="45" t="str">
        <f aca="false">IF(AND(AA33=1,Y33&lt;1),IF(AND(C34=C33,Y34=Y33+1),IF(AA34=1,"",INDEX(DATAS,Y33+1)),INDEX(DATAS,Y33+1)),"")</f>
        <v/>
      </c>
    </row>
    <row r="34" customFormat="false" ht="15" hidden="false" customHeight="false" outlineLevel="0" collapsed="false">
      <c r="A34" s="45" t="n">
        <v>46309</v>
      </c>
      <c r="B34" s="0" t="n">
        <v>14</v>
      </c>
      <c r="C34" s="0" t="n">
        <v>2548</v>
      </c>
      <c r="D34" s="0" t="n">
        <v>467</v>
      </c>
      <c r="E34" s="0" t="n">
        <v>4</v>
      </c>
      <c r="F34" s="39" t="s">
        <v>142</v>
      </c>
      <c r="I34" s="39" t="s">
        <v>114</v>
      </c>
      <c r="J34" s="0" t="n">
        <v>406</v>
      </c>
      <c r="K34" s="0" t="n">
        <v>64</v>
      </c>
      <c r="L34" s="0" t="n">
        <v>266</v>
      </c>
      <c r="M34" s="0" t="n">
        <v>454.85</v>
      </c>
      <c r="N34" s="0" t="n">
        <v>8</v>
      </c>
      <c r="O34" s="0" t="n">
        <v>12.14</v>
      </c>
      <c r="P34" s="0" t="n">
        <v>5.28</v>
      </c>
      <c r="Q34" s="0" t="n">
        <v>4.17</v>
      </c>
      <c r="R34" s="0" t="n">
        <v>6631</v>
      </c>
      <c r="S34" s="0" t="n">
        <v>12817</v>
      </c>
      <c r="T34" s="0" t="n">
        <v>72.45</v>
      </c>
      <c r="U34" s="0" t="n">
        <v>2677</v>
      </c>
      <c r="V34" s="0" t="n">
        <v>11</v>
      </c>
      <c r="W34" s="39" t="n">
        <f aca="false">IF(I34="Male",0,1)</f>
        <v>1</v>
      </c>
      <c r="X34" s="39" t="n">
        <f aca="false">IF(OR(I34="DNB",I34="Dry DNB"),1,0)</f>
        <v>0</v>
      </c>
      <c r="Y34" s="39" t="n">
        <f aca="false">MATCH(A34,DATAS,0)</f>
        <v>1</v>
      </c>
      <c r="Z34" s="39" t="n">
        <f aca="false">IF(AND(E34&gt;0,OR(AND(B34&gt;=1,B34&lt;=6),B34=10)),1,0)</f>
        <v>0</v>
      </c>
      <c r="AA34" s="39" t="n">
        <f aca="false">IF(AND(E34&gt;0,B34=10),1,0)</f>
        <v>0</v>
      </c>
      <c r="AB34" s="0" t="str">
        <f aca="false">IF(AND(C33=C34,Y33=Y34-1),Z33,"")</f>
        <v/>
      </c>
      <c r="AC34" s="0" t="str">
        <f aca="false">IF(AND(C33=C34,Y33=Y34-1),AA33,"")</f>
        <v/>
      </c>
      <c r="AD34" s="0" t="str">
        <f aca="false">IF(Y34=1,"",IF(AND(Z34=1,AB34&lt;&gt;1),1,0))</f>
        <v/>
      </c>
      <c r="AE34" s="0" t="str">
        <f aca="false">IF(Y34=1,"",IF(AND(AA34=1,AC34&lt;&gt;1),1,0))</f>
        <v/>
      </c>
      <c r="AF34" s="45" t="str">
        <f aca="false">IF(AND(E34&gt;0,Y34&lt;1,NOT(AND(C35=C34,Y35=Y34+1))),INDEX(DATAS,Y34+1),"")</f>
        <v/>
      </c>
      <c r="AG34" s="45" t="str">
        <f aca="false">IF(AND(AA34=1,Y34&lt;1),IF(AND(C35=C34,Y35=Y34+1),IF(AA35=1,"",INDEX(DATAS,Y34+1)),INDEX(DATAS,Y34+1)),"")</f>
        <v/>
      </c>
    </row>
    <row r="35" customFormat="false" ht="15" hidden="false" customHeight="false" outlineLevel="0" collapsed="false">
      <c r="A35" s="45" t="n">
        <v>46309</v>
      </c>
      <c r="B35" s="0" t="n">
        <v>6</v>
      </c>
      <c r="C35" s="0" t="n">
        <v>2575</v>
      </c>
      <c r="D35" s="0" t="n">
        <v>816</v>
      </c>
      <c r="E35" s="0" t="n">
        <v>4</v>
      </c>
      <c r="F35" s="39" t="s">
        <v>143</v>
      </c>
      <c r="G35" s="0" t="n">
        <v>18.5</v>
      </c>
      <c r="H35" s="0" t="n">
        <v>20</v>
      </c>
      <c r="I35" s="39" t="s">
        <v>96</v>
      </c>
      <c r="J35" s="0" t="n">
        <v>816</v>
      </c>
      <c r="K35" s="0" t="n">
        <v>68</v>
      </c>
      <c r="M35" s="0" t="n">
        <v>685.37</v>
      </c>
      <c r="N35" s="0" t="n">
        <v>33.02</v>
      </c>
      <c r="O35" s="0" t="n">
        <v>22.37</v>
      </c>
      <c r="P35" s="0" t="n">
        <v>5.12</v>
      </c>
      <c r="Q35" s="0" t="n">
        <v>3.81</v>
      </c>
      <c r="R35" s="0" t="n">
        <v>6236</v>
      </c>
      <c r="S35" s="0" t="n">
        <v>13568</v>
      </c>
      <c r="T35" s="0" t="n">
        <v>49.3</v>
      </c>
      <c r="U35" s="0" t="n">
        <v>2650</v>
      </c>
      <c r="V35" s="0" t="n">
        <v>14</v>
      </c>
      <c r="W35" s="39" t="n">
        <f aca="false">IF(I35="Male",0,1)</f>
        <v>1</v>
      </c>
      <c r="X35" s="39" t="n">
        <f aca="false">IF(OR(I35="DNB",I35="Dry DNB"),1,0)</f>
        <v>1</v>
      </c>
      <c r="Y35" s="39" t="n">
        <f aca="false">MATCH(A35,DATAS,0)</f>
        <v>1</v>
      </c>
      <c r="Z35" s="39" t="n">
        <f aca="false">IF(AND(E35&gt;0,OR(AND(B35&gt;=1,B35&lt;=6),B35=10)),1,0)</f>
        <v>1</v>
      </c>
      <c r="AA35" s="39" t="n">
        <f aca="false">IF(AND(E35&gt;0,B35=10),1,0)</f>
        <v>0</v>
      </c>
      <c r="AB35" s="0" t="str">
        <f aca="false">IF(AND(C34=C35,Y34=Y35-1),Z34,"")</f>
        <v/>
      </c>
      <c r="AC35" s="0" t="str">
        <f aca="false">IF(AND(C34=C35,Y34=Y35-1),AA34,"")</f>
        <v/>
      </c>
      <c r="AD35" s="0" t="str">
        <f aca="false">IF(Y35=1,"",IF(AND(Z35=1,AB35&lt;&gt;1),1,0))</f>
        <v/>
      </c>
      <c r="AE35" s="0" t="str">
        <f aca="false">IF(Y35=1,"",IF(AND(AA35=1,AC35&lt;&gt;1),1,0))</f>
        <v/>
      </c>
      <c r="AF35" s="45" t="str">
        <f aca="false">IF(AND(E35&gt;0,Y35&lt;1,NOT(AND(C36=C35,Y36=Y35+1))),INDEX(DATAS,Y35+1),"")</f>
        <v/>
      </c>
      <c r="AG35" s="45" t="str">
        <f aca="false">IF(AND(AA35=1,Y35&lt;1),IF(AND(C36=C35,Y36=Y35+1),IF(AA36=1,"",INDEX(DATAS,Y35+1)),INDEX(DATAS,Y35+1)),"")</f>
        <v/>
      </c>
    </row>
    <row r="36" customFormat="false" ht="15" hidden="false" customHeight="false" outlineLevel="0" collapsed="false">
      <c r="A36" s="45" t="n">
        <v>46309</v>
      </c>
      <c r="B36" s="0" t="n">
        <v>7</v>
      </c>
      <c r="C36" s="0" t="n">
        <v>2643</v>
      </c>
      <c r="D36" s="0" t="n">
        <v>385</v>
      </c>
      <c r="E36" s="0" t="n">
        <v>4</v>
      </c>
      <c r="F36" s="39" t="s">
        <v>144</v>
      </c>
      <c r="I36" s="39" t="s">
        <v>114</v>
      </c>
      <c r="J36" s="0" t="n">
        <v>360</v>
      </c>
      <c r="K36" s="0" t="n">
        <v>66</v>
      </c>
      <c r="L36" s="0" t="n">
        <v>42</v>
      </c>
      <c r="M36" s="0" t="n">
        <v>1685.65</v>
      </c>
      <c r="N36" s="0" t="n">
        <v>6.07</v>
      </c>
      <c r="O36" s="0" t="n">
        <v>22.69</v>
      </c>
      <c r="P36" s="0" t="n">
        <v>2.61</v>
      </c>
      <c r="Q36" s="0" t="n">
        <v>3.48</v>
      </c>
      <c r="R36" s="0" t="n">
        <v>5978</v>
      </c>
      <c r="S36" s="0" t="n">
        <v>12284</v>
      </c>
      <c r="T36" s="0" t="n">
        <v>68.35</v>
      </c>
      <c r="U36" s="0" t="n">
        <v>2571</v>
      </c>
      <c r="V36" s="0" t="n">
        <v>8</v>
      </c>
      <c r="W36" s="39" t="n">
        <f aca="false">IF(I36="Male",0,1)</f>
        <v>1</v>
      </c>
      <c r="X36" s="39" t="n">
        <f aca="false">IF(OR(I36="DNB",I36="Dry DNB"),1,0)</f>
        <v>0</v>
      </c>
      <c r="Y36" s="39" t="n">
        <f aca="false">MATCH(A36,DATAS,0)</f>
        <v>1</v>
      </c>
      <c r="Z36" s="39" t="n">
        <f aca="false">IF(AND(E36&gt;0,OR(AND(B36&gt;=1,B36&lt;=6),B36=10)),1,0)</f>
        <v>0</v>
      </c>
      <c r="AA36" s="39" t="n">
        <f aca="false">IF(AND(E36&gt;0,B36=10),1,0)</f>
        <v>0</v>
      </c>
      <c r="AB36" s="0" t="str">
        <f aca="false">IF(AND(C35=C36,Y35=Y36-1),Z35,"")</f>
        <v/>
      </c>
      <c r="AC36" s="0" t="str">
        <f aca="false">IF(AND(C35=C36,Y35=Y36-1),AA35,"")</f>
        <v/>
      </c>
      <c r="AD36" s="0" t="str">
        <f aca="false">IF(Y36=1,"",IF(AND(Z36=1,AB36&lt;&gt;1),1,0))</f>
        <v/>
      </c>
      <c r="AE36" s="0" t="str">
        <f aca="false">IF(Y36=1,"",IF(AND(AA36=1,AC36&lt;&gt;1),1,0))</f>
        <v/>
      </c>
      <c r="AF36" s="45" t="str">
        <f aca="false">IF(AND(E36&gt;0,Y36&lt;1,NOT(AND(C37=C36,Y37=Y36+1))),INDEX(DATAS,Y36+1),"")</f>
        <v/>
      </c>
      <c r="AG36" s="45" t="str">
        <f aca="false">IF(AND(AA36=1,Y36&lt;1),IF(AND(C37=C36,Y37=Y36+1),IF(AA37=1,"",INDEX(DATAS,Y36+1)),INDEX(DATAS,Y36+1)),"")</f>
        <v/>
      </c>
    </row>
    <row r="37" customFormat="false" ht="15" hidden="false" customHeight="false" outlineLevel="0" collapsed="false">
      <c r="A37" s="45" t="n">
        <v>46309</v>
      </c>
      <c r="B37" s="0" t="n">
        <v>5</v>
      </c>
      <c r="C37" s="0" t="n">
        <v>2679</v>
      </c>
      <c r="D37" s="0" t="n">
        <v>178</v>
      </c>
      <c r="E37" s="0" t="n">
        <v>5</v>
      </c>
      <c r="F37" s="39" t="s">
        <v>145</v>
      </c>
      <c r="G37" s="0" t="n">
        <v>38.2</v>
      </c>
      <c r="H37" s="0" t="n">
        <v>37</v>
      </c>
      <c r="I37" s="39" t="s">
        <v>146</v>
      </c>
      <c r="J37" s="0" t="n">
        <v>178</v>
      </c>
      <c r="K37" s="0" t="n">
        <v>94</v>
      </c>
      <c r="M37" s="0" t="n">
        <v>549.41</v>
      </c>
      <c r="N37" s="0" t="n">
        <v>3.75</v>
      </c>
      <c r="O37" s="0" t="n">
        <v>13.5</v>
      </c>
      <c r="P37" s="0" t="n">
        <v>4.61</v>
      </c>
      <c r="Q37" s="0" t="n">
        <v>3.34</v>
      </c>
      <c r="R37" s="0" t="n">
        <v>3892</v>
      </c>
      <c r="S37" s="0" t="n">
        <v>8268</v>
      </c>
      <c r="T37" s="0" t="n">
        <v>43.05</v>
      </c>
      <c r="U37" s="0" t="n">
        <v>2541</v>
      </c>
      <c r="V37" s="0" t="n">
        <v>1</v>
      </c>
      <c r="W37" s="39" t="n">
        <f aca="false">IF(I37="Male",0,1)</f>
        <v>1</v>
      </c>
      <c r="X37" s="39" t="n">
        <f aca="false">IF(OR(I37="DNB",I37="Dry DNB"),1,0)</f>
        <v>0</v>
      </c>
      <c r="Y37" s="39" t="n">
        <f aca="false">MATCH(A37,DATAS,0)</f>
        <v>1</v>
      </c>
      <c r="Z37" s="39" t="n">
        <f aca="false">IF(AND(E37&gt;0,OR(AND(B37&gt;=1,B37&lt;=6),B37=10)),1,0)</f>
        <v>1</v>
      </c>
      <c r="AA37" s="39" t="n">
        <f aca="false">IF(AND(E37&gt;0,B37=10),1,0)</f>
        <v>0</v>
      </c>
      <c r="AB37" s="0" t="str">
        <f aca="false">IF(AND(C36=C37,Y36=Y37-1),Z36,"")</f>
        <v/>
      </c>
      <c r="AC37" s="0" t="str">
        <f aca="false">IF(AND(C36=C37,Y36=Y37-1),AA36,"")</f>
        <v/>
      </c>
      <c r="AD37" s="0" t="str">
        <f aca="false">IF(Y37=1,"",IF(AND(Z37=1,AB37&lt;&gt;1),1,0))</f>
        <v/>
      </c>
      <c r="AE37" s="0" t="str">
        <f aca="false">IF(Y37=1,"",IF(AND(AA37=1,AC37&lt;&gt;1),1,0))</f>
        <v/>
      </c>
      <c r="AF37" s="45" t="str">
        <f aca="false">IF(AND(E37&gt;0,Y37&lt;1,NOT(AND(C38=C37,Y38=Y37+1))),INDEX(DATAS,Y37+1),"")</f>
        <v/>
      </c>
      <c r="AG37" s="45" t="str">
        <f aca="false">IF(AND(AA37=1,Y37&lt;1),IF(AND(C38=C37,Y38=Y37+1),IF(AA38=1,"",INDEX(DATAS,Y37+1)),INDEX(DATAS,Y37+1)),"")</f>
        <v/>
      </c>
    </row>
    <row r="38" customFormat="false" ht="15" hidden="false" customHeight="false" outlineLevel="0" collapsed="false">
      <c r="A38" s="45" t="n">
        <v>46309</v>
      </c>
      <c r="B38" s="0" t="n">
        <v>10</v>
      </c>
      <c r="C38" s="0" t="n">
        <v>2688</v>
      </c>
      <c r="D38" s="0" t="n">
        <v>177</v>
      </c>
      <c r="E38" s="0" t="n">
        <v>5</v>
      </c>
      <c r="F38" s="39" t="s">
        <v>147</v>
      </c>
      <c r="G38" s="0" t="n">
        <v>23.8</v>
      </c>
      <c r="H38" s="0" t="n">
        <v>32</v>
      </c>
      <c r="I38" s="39" t="s">
        <v>109</v>
      </c>
      <c r="J38" s="0" t="n">
        <v>66</v>
      </c>
      <c r="K38" s="0" t="n">
        <v>73</v>
      </c>
      <c r="L38" s="0" t="n">
        <v>111</v>
      </c>
      <c r="M38" s="0" t="n">
        <v>964.16</v>
      </c>
      <c r="N38" s="0" t="n">
        <v>24.95</v>
      </c>
      <c r="O38" s="0" t="n">
        <v>14.39</v>
      </c>
      <c r="P38" s="0" t="n">
        <v>3.17</v>
      </c>
      <c r="Q38" s="0" t="n">
        <v>3.19</v>
      </c>
      <c r="R38" s="0" t="n">
        <v>4822</v>
      </c>
      <c r="S38" s="0" t="n">
        <v>10195</v>
      </c>
      <c r="T38" s="0" t="n">
        <v>55</v>
      </c>
      <c r="U38" s="0" t="n">
        <v>2536</v>
      </c>
      <c r="V38" s="0" t="n">
        <v>1</v>
      </c>
      <c r="W38" s="39" t="n">
        <f aca="false">IF(I38="Male",0,1)</f>
        <v>1</v>
      </c>
      <c r="X38" s="39" t="n">
        <f aca="false">IF(OR(I38="DNB",I38="Dry DNB"),1,0)</f>
        <v>0</v>
      </c>
      <c r="Y38" s="39" t="n">
        <f aca="false">MATCH(A38,DATAS,0)</f>
        <v>1</v>
      </c>
      <c r="Z38" s="39" t="n">
        <f aca="false">IF(AND(E38&gt;0,OR(AND(B38&gt;=1,B38&lt;=6),B38=10)),1,0)</f>
        <v>1</v>
      </c>
      <c r="AA38" s="39" t="n">
        <f aca="false">IF(AND(E38&gt;0,B38=10),1,0)</f>
        <v>1</v>
      </c>
      <c r="AB38" s="0" t="str">
        <f aca="false">IF(AND(C37=C38,Y37=Y38-1),Z37,"")</f>
        <v/>
      </c>
      <c r="AC38" s="0" t="str">
        <f aca="false">IF(AND(C37=C38,Y37=Y38-1),AA37,"")</f>
        <v/>
      </c>
      <c r="AD38" s="0" t="str">
        <f aca="false">IF(Y38=1,"",IF(AND(Z38=1,AB38&lt;&gt;1),1,0))</f>
        <v/>
      </c>
      <c r="AE38" s="0" t="str">
        <f aca="false">IF(Y38=1,"",IF(AND(AA38=1,AC38&lt;&gt;1),1,0))</f>
        <v/>
      </c>
      <c r="AF38" s="45" t="str">
        <f aca="false">IF(AND(E38&gt;0,Y38&lt;1,NOT(AND(C39=C38,Y39=Y38+1))),INDEX(DATAS,Y38+1),"")</f>
        <v/>
      </c>
      <c r="AG38" s="45" t="str">
        <f aca="false">IF(AND(AA38=1,Y38&lt;1),IF(AND(C39=C38,Y39=Y38+1),IF(AA39=1,"",INDEX(DATAS,Y38+1)),INDEX(DATAS,Y38+1)),"")</f>
        <v/>
      </c>
    </row>
    <row r="39" customFormat="false" ht="15" hidden="false" customHeight="false" outlineLevel="0" collapsed="false">
      <c r="A39" s="45" t="n">
        <v>46309</v>
      </c>
      <c r="B39" s="0" t="n">
        <v>2</v>
      </c>
      <c r="C39" s="0" t="n">
        <v>2703</v>
      </c>
      <c r="D39" s="0" t="n">
        <v>173</v>
      </c>
      <c r="E39" s="0" t="n">
        <v>5</v>
      </c>
      <c r="F39" s="39" t="s">
        <v>148</v>
      </c>
      <c r="G39" s="0" t="n">
        <v>50</v>
      </c>
      <c r="H39" s="0" t="n">
        <v>48</v>
      </c>
      <c r="I39" s="39" t="s">
        <v>138</v>
      </c>
      <c r="J39" s="0" t="n">
        <v>173</v>
      </c>
      <c r="K39" s="0" t="n">
        <v>68</v>
      </c>
      <c r="M39" s="0" t="n">
        <v>582.03</v>
      </c>
      <c r="N39" s="0" t="n">
        <v>14.25</v>
      </c>
      <c r="O39" s="0" t="n">
        <v>7.47</v>
      </c>
      <c r="P39" s="0" t="n">
        <v>3.96</v>
      </c>
      <c r="Q39" s="0" t="n">
        <v>2.97</v>
      </c>
      <c r="R39" s="0" t="n">
        <v>6066</v>
      </c>
      <c r="S39" s="0" t="n">
        <v>11184</v>
      </c>
      <c r="T39" s="0" t="n">
        <v>64.8</v>
      </c>
      <c r="U39" s="0" t="n">
        <v>2524</v>
      </c>
      <c r="V39" s="0" t="n">
        <v>3</v>
      </c>
      <c r="W39" s="39" t="n">
        <f aca="false">IF(I39="Male",0,1)</f>
        <v>1</v>
      </c>
      <c r="X39" s="39" t="n">
        <f aca="false">IF(OR(I39="DNB",I39="Dry DNB"),1,0)</f>
        <v>0</v>
      </c>
      <c r="Y39" s="39" t="n">
        <f aca="false">MATCH(A39,DATAS,0)</f>
        <v>1</v>
      </c>
      <c r="Z39" s="39" t="n">
        <f aca="false">IF(AND(E39&gt;0,OR(AND(B39&gt;=1,B39&lt;=6),B39=10)),1,0)</f>
        <v>1</v>
      </c>
      <c r="AA39" s="39" t="n">
        <f aca="false">IF(AND(E39&gt;0,B39=10),1,0)</f>
        <v>0</v>
      </c>
      <c r="AB39" s="0" t="str">
        <f aca="false">IF(AND(C38=C39,Y38=Y39-1),Z38,"")</f>
        <v/>
      </c>
      <c r="AC39" s="0" t="str">
        <f aca="false">IF(AND(C38=C39,Y38=Y39-1),AA38,"")</f>
        <v/>
      </c>
      <c r="AD39" s="0" t="str">
        <f aca="false">IF(Y39=1,"",IF(AND(Z39=1,AB39&lt;&gt;1),1,0))</f>
        <v/>
      </c>
      <c r="AE39" s="0" t="str">
        <f aca="false">IF(Y39=1,"",IF(AND(AA39=1,AC39&lt;&gt;1),1,0))</f>
        <v/>
      </c>
      <c r="AF39" s="45" t="str">
        <f aca="false">IF(AND(E39&gt;0,Y39&lt;1,NOT(AND(C40=C39,Y40=Y39+1))),INDEX(DATAS,Y39+1),"")</f>
        <v/>
      </c>
      <c r="AG39" s="45" t="str">
        <f aca="false">IF(AND(AA39=1,Y39&lt;1),IF(AND(C40=C39,Y40=Y39+1),IF(AA40=1,"",INDEX(DATAS,Y39+1)),INDEX(DATAS,Y39+1)),"")</f>
        <v/>
      </c>
    </row>
    <row r="40" customFormat="false" ht="15" hidden="false" customHeight="false" outlineLevel="0" collapsed="false">
      <c r="A40" s="45" t="n">
        <v>46309</v>
      </c>
      <c r="B40" s="0" t="n">
        <v>2</v>
      </c>
      <c r="C40" s="0" t="n">
        <v>2723</v>
      </c>
      <c r="D40" s="0" t="n">
        <v>60</v>
      </c>
      <c r="E40" s="0" t="n">
        <v>6</v>
      </c>
      <c r="F40" s="39" t="s">
        <v>149</v>
      </c>
      <c r="G40" s="0" t="n">
        <v>65.9</v>
      </c>
      <c r="H40" s="0" t="n">
        <v>67</v>
      </c>
      <c r="I40" s="39" t="s">
        <v>118</v>
      </c>
      <c r="J40" s="0" t="n">
        <v>60</v>
      </c>
      <c r="M40" s="0" t="n">
        <v>-232.48</v>
      </c>
      <c r="N40" s="0" t="n">
        <v>38.69</v>
      </c>
      <c r="O40" s="0" t="n">
        <v>5.62</v>
      </c>
      <c r="P40" s="0" t="n">
        <v>3.3</v>
      </c>
      <c r="Q40" s="0" t="n">
        <v>2.69</v>
      </c>
      <c r="R40" s="0" t="n">
        <v>6124</v>
      </c>
      <c r="S40" s="0" t="n">
        <v>12310</v>
      </c>
      <c r="U40" s="0" t="n">
        <v>2499</v>
      </c>
      <c r="V40" s="0" t="n">
        <v>0</v>
      </c>
      <c r="W40" s="39" t="n">
        <f aca="false">IF(I40="Male",0,1)</f>
        <v>1</v>
      </c>
      <c r="X40" s="39" t="n">
        <f aca="false">IF(OR(I40="DNB",I40="Dry DNB"),1,0)</f>
        <v>0</v>
      </c>
      <c r="Y40" s="39" t="n">
        <f aca="false">MATCH(A40,DATAS,0)</f>
        <v>1</v>
      </c>
      <c r="Z40" s="39" t="n">
        <f aca="false">IF(AND(E40&gt;0,OR(AND(B40&gt;=1,B40&lt;=6),B40=10)),1,0)</f>
        <v>1</v>
      </c>
      <c r="AA40" s="39" t="n">
        <f aca="false">IF(AND(E40&gt;0,B40=10),1,0)</f>
        <v>0</v>
      </c>
      <c r="AB40" s="0" t="str">
        <f aca="false">IF(AND(C39=C40,Y39=Y40-1),Z39,"")</f>
        <v/>
      </c>
      <c r="AC40" s="0" t="str">
        <f aca="false">IF(AND(C39=C40,Y39=Y40-1),AA39,"")</f>
        <v/>
      </c>
      <c r="AD40" s="0" t="str">
        <f aca="false">IF(Y40=1,"",IF(AND(Z40=1,AB40&lt;&gt;1),1,0))</f>
        <v/>
      </c>
      <c r="AE40" s="0" t="str">
        <f aca="false">IF(Y40=1,"",IF(AND(AA40=1,AC40&lt;&gt;1),1,0))</f>
        <v/>
      </c>
      <c r="AF40" s="45" t="str">
        <f aca="false">IF(AND(E40&gt;0,Y40&lt;1,NOT(AND(C41=C40,Y41=Y40+1))),INDEX(DATAS,Y40+1),"")</f>
        <v/>
      </c>
      <c r="AG40" s="45" t="str">
        <f aca="false">IF(AND(AA40=1,Y40&lt;1),IF(AND(C41=C40,Y41=Y40+1),IF(AA41=1,"",INDEX(DATAS,Y40+1)),INDEX(DATAS,Y40+1)),"")</f>
        <v/>
      </c>
    </row>
    <row r="41" customFormat="false" ht="15" hidden="false" customHeight="false" outlineLevel="0" collapsed="false">
      <c r="A41" s="45" t="n">
        <v>46309</v>
      </c>
      <c r="B41" s="0" t="n">
        <v>5</v>
      </c>
      <c r="C41" s="0" t="n">
        <v>2761</v>
      </c>
      <c r="D41" s="0" t="n">
        <v>291</v>
      </c>
      <c r="E41" s="0" t="n">
        <v>5</v>
      </c>
      <c r="F41" s="39" t="s">
        <v>150</v>
      </c>
      <c r="G41" s="0" t="n">
        <v>37.2</v>
      </c>
      <c r="H41" s="0" t="n">
        <v>34</v>
      </c>
      <c r="I41" s="39" t="s">
        <v>138</v>
      </c>
      <c r="J41" s="0" t="n">
        <v>291</v>
      </c>
      <c r="K41" s="0" t="n">
        <v>60</v>
      </c>
      <c r="M41" s="0" t="n">
        <v>782.21</v>
      </c>
      <c r="N41" s="0" t="n">
        <v>23.88</v>
      </c>
      <c r="O41" s="0" t="n">
        <v>18.86</v>
      </c>
      <c r="P41" s="0" t="n">
        <v>3</v>
      </c>
      <c r="Q41" s="0" t="n">
        <v>3.71</v>
      </c>
      <c r="R41" s="0" t="n">
        <v>5478</v>
      </c>
      <c r="S41" s="0" t="n">
        <v>10627</v>
      </c>
      <c r="T41" s="0" t="n">
        <v>59.15</v>
      </c>
      <c r="U41" s="0" t="n">
        <v>2465</v>
      </c>
      <c r="V41" s="0" t="n">
        <v>7</v>
      </c>
      <c r="W41" s="39" t="n">
        <f aca="false">IF(I41="Male",0,1)</f>
        <v>1</v>
      </c>
      <c r="X41" s="39" t="n">
        <f aca="false">IF(OR(I41="DNB",I41="Dry DNB"),1,0)</f>
        <v>0</v>
      </c>
      <c r="Y41" s="39" t="n">
        <f aca="false">MATCH(A41,DATAS,0)</f>
        <v>1</v>
      </c>
      <c r="Z41" s="39" t="n">
        <f aca="false">IF(AND(E41&gt;0,OR(AND(B41&gt;=1,B41&lt;=6),B41=10)),1,0)</f>
        <v>1</v>
      </c>
      <c r="AA41" s="39" t="n">
        <f aca="false">IF(AND(E41&gt;0,B41=10),1,0)</f>
        <v>0</v>
      </c>
      <c r="AB41" s="0" t="str">
        <f aca="false">IF(AND(C40=C41,Y40=Y41-1),Z40,"")</f>
        <v/>
      </c>
      <c r="AC41" s="0" t="str">
        <f aca="false">IF(AND(C40=C41,Y40=Y41-1),AA40,"")</f>
        <v/>
      </c>
      <c r="AD41" s="0" t="str">
        <f aca="false">IF(Y41=1,"",IF(AND(Z41=1,AB41&lt;&gt;1),1,0))</f>
        <v/>
      </c>
      <c r="AE41" s="0" t="str">
        <f aca="false">IF(Y41=1,"",IF(AND(AA41=1,AC41&lt;&gt;1),1,0))</f>
        <v/>
      </c>
      <c r="AF41" s="45" t="str">
        <f aca="false">IF(AND(E41&gt;0,Y41&lt;1,NOT(AND(C42=C41,Y42=Y41+1))),INDEX(DATAS,Y41+1),"")</f>
        <v/>
      </c>
      <c r="AG41" s="45" t="str">
        <f aca="false">IF(AND(AA41=1,Y41&lt;1),IF(AND(C42=C41,Y42=Y41+1),IF(AA42=1,"",INDEX(DATAS,Y41+1)),INDEX(DATAS,Y41+1)),"")</f>
        <v/>
      </c>
    </row>
    <row r="42" customFormat="false" ht="15" hidden="false" customHeight="false" outlineLevel="0" collapsed="false">
      <c r="A42" s="45" t="n">
        <v>46309</v>
      </c>
      <c r="B42" s="0" t="n">
        <v>3</v>
      </c>
      <c r="C42" s="0" t="n">
        <v>2763</v>
      </c>
      <c r="D42" s="0" t="n">
        <v>160</v>
      </c>
      <c r="E42" s="0" t="n">
        <v>5</v>
      </c>
      <c r="F42" s="39" t="s">
        <v>151</v>
      </c>
      <c r="G42" s="0" t="n">
        <v>57.7</v>
      </c>
      <c r="H42" s="0" t="n">
        <v>56</v>
      </c>
      <c r="I42" s="39" t="s">
        <v>138</v>
      </c>
      <c r="J42" s="0" t="n">
        <v>160</v>
      </c>
      <c r="K42" s="0" t="n">
        <v>69</v>
      </c>
      <c r="M42" s="0" t="n">
        <v>898.98</v>
      </c>
      <c r="N42" s="0" t="n">
        <v>2.52</v>
      </c>
      <c r="O42" s="0" t="n">
        <v>16.87</v>
      </c>
      <c r="P42" s="0" t="n">
        <v>2.92</v>
      </c>
      <c r="Q42" s="0" t="n">
        <v>3.1</v>
      </c>
      <c r="R42" s="0" t="n">
        <v>5351</v>
      </c>
      <c r="S42" s="0" t="n">
        <v>10981</v>
      </c>
      <c r="T42" s="0" t="n">
        <v>70.1</v>
      </c>
      <c r="U42" s="0" t="n">
        <v>2464</v>
      </c>
      <c r="V42" s="0" t="n">
        <v>3</v>
      </c>
      <c r="W42" s="39" t="n">
        <f aca="false">IF(I42="Male",0,1)</f>
        <v>1</v>
      </c>
      <c r="X42" s="39" t="n">
        <f aca="false">IF(OR(I42="DNB",I42="Dry DNB"),1,0)</f>
        <v>0</v>
      </c>
      <c r="Y42" s="39" t="n">
        <f aca="false">MATCH(A42,DATAS,0)</f>
        <v>1</v>
      </c>
      <c r="Z42" s="39" t="n">
        <f aca="false">IF(AND(E42&gt;0,OR(AND(B42&gt;=1,B42&lt;=6),B42=10)),1,0)</f>
        <v>1</v>
      </c>
      <c r="AA42" s="39" t="n">
        <f aca="false">IF(AND(E42&gt;0,B42=10),1,0)</f>
        <v>0</v>
      </c>
      <c r="AB42" s="0" t="str">
        <f aca="false">IF(AND(C41=C42,Y41=Y42-1),Z41,"")</f>
        <v/>
      </c>
      <c r="AC42" s="0" t="str">
        <f aca="false">IF(AND(C41=C42,Y41=Y42-1),AA41,"")</f>
        <v/>
      </c>
      <c r="AD42" s="0" t="str">
        <f aca="false">IF(Y42=1,"",IF(AND(Z42=1,AB42&lt;&gt;1),1,0))</f>
        <v/>
      </c>
      <c r="AE42" s="0" t="str">
        <f aca="false">IF(Y42=1,"",IF(AND(AA42=1,AC42&lt;&gt;1),1,0))</f>
        <v/>
      </c>
      <c r="AF42" s="45" t="str">
        <f aca="false">IF(AND(E42&gt;0,Y42&lt;1,NOT(AND(C43=C42,Y43=Y42+1))),INDEX(DATAS,Y42+1),"")</f>
        <v/>
      </c>
      <c r="AG42" s="45" t="str">
        <f aca="false">IF(AND(AA42=1,Y42&lt;1),IF(AND(C43=C42,Y43=Y42+1),IF(AA43=1,"",INDEX(DATAS,Y42+1)),INDEX(DATAS,Y42+1)),"")</f>
        <v/>
      </c>
    </row>
    <row r="43" customFormat="false" ht="15" hidden="false" customHeight="false" outlineLevel="0" collapsed="false">
      <c r="A43" s="45" t="n">
        <v>46309</v>
      </c>
      <c r="B43" s="0" t="n">
        <v>6</v>
      </c>
      <c r="C43" s="0" t="n">
        <v>2765</v>
      </c>
      <c r="D43" s="0" t="n">
        <v>666</v>
      </c>
      <c r="E43" s="0" t="n">
        <v>4</v>
      </c>
      <c r="F43" s="39" t="s">
        <v>152</v>
      </c>
      <c r="G43" s="0" t="n">
        <v>21.6</v>
      </c>
      <c r="H43" s="0" t="n">
        <v>22</v>
      </c>
      <c r="I43" s="39" t="s">
        <v>96</v>
      </c>
      <c r="J43" s="0" t="n">
        <v>666</v>
      </c>
      <c r="K43" s="0" t="n">
        <v>72</v>
      </c>
      <c r="M43" s="0" t="n">
        <v>312.45</v>
      </c>
      <c r="N43" s="0" t="n">
        <v>19.07</v>
      </c>
      <c r="O43" s="0" t="n">
        <v>23.03</v>
      </c>
      <c r="P43" s="0" t="n">
        <v>4.66</v>
      </c>
      <c r="Q43" s="0" t="n">
        <v>3.69</v>
      </c>
      <c r="R43" s="0" t="n">
        <v>6070</v>
      </c>
      <c r="S43" s="0" t="n">
        <v>12080</v>
      </c>
      <c r="T43" s="0" t="n">
        <v>56</v>
      </c>
      <c r="U43" s="0" t="n">
        <v>2463</v>
      </c>
      <c r="V43" s="0" t="n">
        <v>10</v>
      </c>
      <c r="W43" s="39" t="n">
        <f aca="false">IF(I43="Male",0,1)</f>
        <v>1</v>
      </c>
      <c r="X43" s="39" t="n">
        <f aca="false">IF(OR(I43="DNB",I43="Dry DNB"),1,0)</f>
        <v>1</v>
      </c>
      <c r="Y43" s="39" t="n">
        <f aca="false">MATCH(A43,DATAS,0)</f>
        <v>1</v>
      </c>
      <c r="Z43" s="39" t="n">
        <f aca="false">IF(AND(E43&gt;0,OR(AND(B43&gt;=1,B43&lt;=6),B43=10)),1,0)</f>
        <v>1</v>
      </c>
      <c r="AA43" s="39" t="n">
        <f aca="false">IF(AND(E43&gt;0,B43=10),1,0)</f>
        <v>0</v>
      </c>
      <c r="AB43" s="0" t="str">
        <f aca="false">IF(AND(C42=C43,Y42=Y43-1),Z42,"")</f>
        <v/>
      </c>
      <c r="AC43" s="0" t="str">
        <f aca="false">IF(AND(C42=C43,Y42=Y43-1),AA42,"")</f>
        <v/>
      </c>
      <c r="AD43" s="0" t="str">
        <f aca="false">IF(Y43=1,"",IF(AND(Z43=1,AB43&lt;&gt;1),1,0))</f>
        <v/>
      </c>
      <c r="AE43" s="0" t="str">
        <f aca="false">IF(Y43=1,"",IF(AND(AA43=1,AC43&lt;&gt;1),1,0))</f>
        <v/>
      </c>
      <c r="AF43" s="45" t="str">
        <f aca="false">IF(AND(E43&gt;0,Y43&lt;1,NOT(AND(C44=C43,Y44=Y43+1))),INDEX(DATAS,Y43+1),"")</f>
        <v/>
      </c>
      <c r="AG43" s="45" t="str">
        <f aca="false">IF(AND(AA43=1,Y43&lt;1),IF(AND(C44=C43,Y44=Y43+1),IF(AA44=1,"",INDEX(DATAS,Y43+1)),INDEX(DATAS,Y43+1)),"")</f>
        <v/>
      </c>
    </row>
    <row r="44" customFormat="false" ht="15" hidden="false" customHeight="false" outlineLevel="0" collapsed="false">
      <c r="A44" s="45" t="n">
        <v>46309</v>
      </c>
      <c r="B44" s="0" t="n">
        <v>6</v>
      </c>
      <c r="C44" s="0" t="n">
        <v>2791</v>
      </c>
      <c r="D44" s="0" t="n">
        <v>178</v>
      </c>
      <c r="E44" s="0" t="n">
        <v>4</v>
      </c>
      <c r="F44" s="39" t="s">
        <v>153</v>
      </c>
      <c r="G44" s="0" t="n">
        <v>30.3</v>
      </c>
      <c r="H44" s="0" t="n">
        <v>33</v>
      </c>
      <c r="I44" s="39" t="s">
        <v>138</v>
      </c>
      <c r="J44" s="0" t="n">
        <v>178</v>
      </c>
      <c r="K44" s="0" t="n">
        <v>74</v>
      </c>
      <c r="M44" s="0" t="n">
        <v>500.24</v>
      </c>
      <c r="N44" s="0" t="n">
        <v>29.95</v>
      </c>
      <c r="O44" s="0" t="n">
        <v>19.82</v>
      </c>
      <c r="P44" s="0" t="n">
        <v>3.57</v>
      </c>
      <c r="Q44" s="0" t="n">
        <v>2.86</v>
      </c>
      <c r="R44" s="0" t="n">
        <v>5581</v>
      </c>
      <c r="S44" s="0" t="n">
        <v>11695</v>
      </c>
      <c r="T44" s="0" t="n">
        <v>61.55</v>
      </c>
      <c r="U44" s="0" t="n">
        <v>2443</v>
      </c>
      <c r="V44" s="0" t="n">
        <v>3</v>
      </c>
      <c r="W44" s="39" t="n">
        <f aca="false">IF(I44="Male",0,1)</f>
        <v>1</v>
      </c>
      <c r="X44" s="39" t="n">
        <f aca="false">IF(OR(I44="DNB",I44="Dry DNB"),1,0)</f>
        <v>0</v>
      </c>
      <c r="Y44" s="39" t="n">
        <f aca="false">MATCH(A44,DATAS,0)</f>
        <v>1</v>
      </c>
      <c r="Z44" s="39" t="n">
        <f aca="false">IF(AND(E44&gt;0,OR(AND(B44&gt;=1,B44&lt;=6),B44=10)),1,0)</f>
        <v>1</v>
      </c>
      <c r="AA44" s="39" t="n">
        <f aca="false">IF(AND(E44&gt;0,B44=10),1,0)</f>
        <v>0</v>
      </c>
      <c r="AB44" s="0" t="str">
        <f aca="false">IF(AND(C43=C44,Y43=Y44-1),Z43,"")</f>
        <v/>
      </c>
      <c r="AC44" s="0" t="str">
        <f aca="false">IF(AND(C43=C44,Y43=Y44-1),AA43,"")</f>
        <v/>
      </c>
      <c r="AD44" s="0" t="str">
        <f aca="false">IF(Y44=1,"",IF(AND(Z44=1,AB44&lt;&gt;1),1,0))</f>
        <v/>
      </c>
      <c r="AE44" s="0" t="str">
        <f aca="false">IF(Y44=1,"",IF(AND(AA44=1,AC44&lt;&gt;1),1,0))</f>
        <v/>
      </c>
      <c r="AF44" s="45" t="str">
        <f aca="false">IF(AND(E44&gt;0,Y44&lt;1,NOT(AND(C45=C44,Y45=Y44+1))),INDEX(DATAS,Y44+1),"")</f>
        <v/>
      </c>
      <c r="AG44" s="45" t="str">
        <f aca="false">IF(AND(AA44=1,Y44&lt;1),IF(AND(C45=C44,Y45=Y44+1),IF(AA45=1,"",INDEX(DATAS,Y44+1)),INDEX(DATAS,Y44+1)),"")</f>
        <v/>
      </c>
    </row>
    <row r="45" customFormat="false" ht="15" hidden="false" customHeight="false" outlineLevel="0" collapsed="false">
      <c r="A45" s="45" t="n">
        <v>46309</v>
      </c>
      <c r="B45" s="0" t="n">
        <v>7</v>
      </c>
      <c r="C45" s="0" t="n">
        <v>2792</v>
      </c>
      <c r="D45" s="0" t="n">
        <v>313</v>
      </c>
      <c r="E45" s="0" t="n">
        <v>4</v>
      </c>
      <c r="F45" s="39" t="s">
        <v>154</v>
      </c>
      <c r="I45" s="39" t="s">
        <v>114</v>
      </c>
      <c r="J45" s="0" t="n">
        <v>251</v>
      </c>
      <c r="K45" s="0" t="n">
        <v>69</v>
      </c>
      <c r="L45" s="0" t="n">
        <v>154</v>
      </c>
      <c r="M45" s="0" t="n">
        <v>444.69</v>
      </c>
      <c r="N45" s="0" t="n">
        <v>5.43</v>
      </c>
      <c r="O45" s="0" t="n">
        <v>18.43</v>
      </c>
      <c r="P45" s="0" t="n">
        <v>4.59</v>
      </c>
      <c r="Q45" s="0" t="n">
        <v>3.71</v>
      </c>
      <c r="R45" s="0" t="n">
        <v>5538</v>
      </c>
      <c r="S45" s="0" t="n">
        <v>10359</v>
      </c>
      <c r="T45" s="0" t="n">
        <v>65</v>
      </c>
      <c r="U45" s="0" t="n">
        <v>2439</v>
      </c>
      <c r="V45" s="0" t="n">
        <v>5</v>
      </c>
      <c r="W45" s="39" t="n">
        <f aca="false">IF(I45="Male",0,1)</f>
        <v>1</v>
      </c>
      <c r="X45" s="39" t="n">
        <f aca="false">IF(OR(I45="DNB",I45="Dry DNB"),1,0)</f>
        <v>0</v>
      </c>
      <c r="Y45" s="39" t="n">
        <f aca="false">MATCH(A45,DATAS,0)</f>
        <v>1</v>
      </c>
      <c r="Z45" s="39" t="n">
        <f aca="false">IF(AND(E45&gt;0,OR(AND(B45&gt;=1,B45&lt;=6),B45=10)),1,0)</f>
        <v>0</v>
      </c>
      <c r="AA45" s="39" t="n">
        <f aca="false">IF(AND(E45&gt;0,B45=10),1,0)</f>
        <v>0</v>
      </c>
      <c r="AB45" s="0" t="str">
        <f aca="false">IF(AND(C44=C45,Y44=Y45-1),Z44,"")</f>
        <v/>
      </c>
      <c r="AC45" s="0" t="str">
        <f aca="false">IF(AND(C44=C45,Y44=Y45-1),AA44,"")</f>
        <v/>
      </c>
      <c r="AD45" s="0" t="str">
        <f aca="false">IF(Y45=1,"",IF(AND(Z45=1,AB45&lt;&gt;1),1,0))</f>
        <v/>
      </c>
      <c r="AE45" s="0" t="str">
        <f aca="false">IF(Y45=1,"",IF(AND(AA45=1,AC45&lt;&gt;1),1,0))</f>
        <v/>
      </c>
      <c r="AF45" s="45" t="str">
        <f aca="false">IF(AND(E45&gt;0,Y45&lt;1,NOT(AND(C46=C45,Y46=Y45+1))),INDEX(DATAS,Y45+1),"")</f>
        <v/>
      </c>
      <c r="AG45" s="45" t="str">
        <f aca="false">IF(AND(AA45=1,Y45&lt;1),IF(AND(C46=C45,Y46=Y45+1),IF(AA46=1,"",INDEX(DATAS,Y45+1)),INDEX(DATAS,Y45+1)),"")</f>
        <v/>
      </c>
    </row>
    <row r="46" customFormat="false" ht="15" hidden="false" customHeight="false" outlineLevel="0" collapsed="false">
      <c r="A46" s="45" t="n">
        <v>46309</v>
      </c>
      <c r="B46" s="0" t="n">
        <v>6</v>
      </c>
      <c r="C46" s="0" t="n">
        <v>2800</v>
      </c>
      <c r="D46" s="0" t="n">
        <v>565</v>
      </c>
      <c r="E46" s="0" t="n">
        <v>4</v>
      </c>
      <c r="F46" s="39" t="s">
        <v>155</v>
      </c>
      <c r="G46" s="0" t="n">
        <v>25.3</v>
      </c>
      <c r="H46" s="0" t="n">
        <v>24</v>
      </c>
      <c r="I46" s="39" t="s">
        <v>109</v>
      </c>
      <c r="J46" s="0" t="n">
        <v>467</v>
      </c>
      <c r="K46" s="0" t="n">
        <v>62</v>
      </c>
      <c r="L46" s="0" t="n">
        <v>98</v>
      </c>
      <c r="M46" s="0" t="n">
        <v>585.17</v>
      </c>
      <c r="N46" s="0" t="n">
        <v>13.9</v>
      </c>
      <c r="O46" s="0" t="n">
        <v>12.32</v>
      </c>
      <c r="P46" s="0" t="n">
        <v>4.54</v>
      </c>
      <c r="Q46" s="0" t="n">
        <v>3.57</v>
      </c>
      <c r="R46" s="0" t="n">
        <v>6828</v>
      </c>
      <c r="S46" s="0" t="n">
        <v>13188</v>
      </c>
      <c r="T46" s="0" t="n">
        <v>75.45</v>
      </c>
      <c r="U46" s="0" t="n">
        <v>2430</v>
      </c>
      <c r="V46" s="0" t="n">
        <v>10</v>
      </c>
      <c r="W46" s="39" t="n">
        <f aca="false">IF(I46="Male",0,1)</f>
        <v>1</v>
      </c>
      <c r="X46" s="39" t="n">
        <f aca="false">IF(OR(I46="DNB",I46="Dry DNB"),1,0)</f>
        <v>0</v>
      </c>
      <c r="Y46" s="39" t="n">
        <f aca="false">MATCH(A46,DATAS,0)</f>
        <v>1</v>
      </c>
      <c r="Z46" s="39" t="n">
        <f aca="false">IF(AND(E46&gt;0,OR(AND(B46&gt;=1,B46&lt;=6),B46=10)),1,0)</f>
        <v>1</v>
      </c>
      <c r="AA46" s="39" t="n">
        <f aca="false">IF(AND(E46&gt;0,B46=10),1,0)</f>
        <v>0</v>
      </c>
      <c r="AB46" s="0" t="str">
        <f aca="false">IF(AND(C45=C46,Y45=Y46-1),Z45,"")</f>
        <v/>
      </c>
      <c r="AC46" s="0" t="str">
        <f aca="false">IF(AND(C45=C46,Y45=Y46-1),AA45,"")</f>
        <v/>
      </c>
      <c r="AD46" s="0" t="str">
        <f aca="false">IF(Y46=1,"",IF(AND(Z46=1,AB46&lt;&gt;1),1,0))</f>
        <v/>
      </c>
      <c r="AE46" s="0" t="str">
        <f aca="false">IF(Y46=1,"",IF(AND(AA46=1,AC46&lt;&gt;1),1,0))</f>
        <v/>
      </c>
      <c r="AF46" s="45" t="str">
        <f aca="false">IF(AND(E46&gt;0,Y46&lt;1,NOT(AND(C47=C46,Y47=Y46+1))),INDEX(DATAS,Y46+1),"")</f>
        <v/>
      </c>
      <c r="AG46" s="45" t="str">
        <f aca="false">IF(AND(AA46=1,Y46&lt;1),IF(AND(C47=C46,Y47=Y46+1),IF(AA47=1,"",INDEX(DATAS,Y46+1)),INDEX(DATAS,Y46+1)),"")</f>
        <v/>
      </c>
    </row>
    <row r="47" customFormat="false" ht="15" hidden="false" customHeight="false" outlineLevel="0" collapsed="false">
      <c r="A47" s="45" t="n">
        <v>46309</v>
      </c>
      <c r="B47" s="0" t="n">
        <v>6</v>
      </c>
      <c r="C47" s="0" t="n">
        <v>2802</v>
      </c>
      <c r="D47" s="0" t="n">
        <v>338</v>
      </c>
      <c r="E47" s="0" t="n">
        <v>3</v>
      </c>
      <c r="F47" s="39" t="s">
        <v>156</v>
      </c>
      <c r="G47" s="0" t="n">
        <v>17.1</v>
      </c>
      <c r="H47" s="0" t="n">
        <v>27</v>
      </c>
      <c r="I47" s="39" t="s">
        <v>138</v>
      </c>
      <c r="J47" s="0" t="n">
        <v>338</v>
      </c>
      <c r="K47" s="0" t="n">
        <v>65</v>
      </c>
      <c r="M47" s="0" t="n">
        <v>519.35</v>
      </c>
      <c r="N47" s="0" t="n">
        <v>13.05</v>
      </c>
      <c r="O47" s="0" t="n">
        <v>14.72</v>
      </c>
      <c r="P47" s="0" t="n">
        <v>3.73</v>
      </c>
      <c r="Q47" s="0" t="n">
        <v>3.33</v>
      </c>
      <c r="R47" s="0" t="n">
        <v>5502</v>
      </c>
      <c r="S47" s="0" t="n">
        <v>10906</v>
      </c>
      <c r="T47" s="0" t="n">
        <v>62.85</v>
      </c>
      <c r="U47" s="0" t="n">
        <v>2428</v>
      </c>
      <c r="V47" s="0" t="n">
        <v>6</v>
      </c>
      <c r="W47" s="39" t="n">
        <f aca="false">IF(I47="Male",0,1)</f>
        <v>1</v>
      </c>
      <c r="X47" s="39" t="n">
        <f aca="false">IF(OR(I47="DNB",I47="Dry DNB"),1,0)</f>
        <v>0</v>
      </c>
      <c r="Y47" s="39" t="n">
        <f aca="false">MATCH(A47,DATAS,0)</f>
        <v>1</v>
      </c>
      <c r="Z47" s="39" t="n">
        <f aca="false">IF(AND(E47&gt;0,OR(AND(B47&gt;=1,B47&lt;=6),B47=10)),1,0)</f>
        <v>1</v>
      </c>
      <c r="AA47" s="39" t="n">
        <f aca="false">IF(AND(E47&gt;0,B47=10),1,0)</f>
        <v>0</v>
      </c>
      <c r="AB47" s="0" t="str">
        <f aca="false">IF(AND(C46=C47,Y46=Y47-1),Z46,"")</f>
        <v/>
      </c>
      <c r="AC47" s="0" t="str">
        <f aca="false">IF(AND(C46=C47,Y46=Y47-1),AA46,"")</f>
        <v/>
      </c>
      <c r="AD47" s="0" t="str">
        <f aca="false">IF(Y47=1,"",IF(AND(Z47=1,AB47&lt;&gt;1),1,0))</f>
        <v/>
      </c>
      <c r="AE47" s="0" t="str">
        <f aca="false">IF(Y47=1,"",IF(AND(AA47=1,AC47&lt;&gt;1),1,0))</f>
        <v/>
      </c>
      <c r="AF47" s="45" t="str">
        <f aca="false">IF(AND(E47&gt;0,Y47&lt;1,NOT(AND(C48=C47,Y48=Y47+1))),INDEX(DATAS,Y47+1),"")</f>
        <v/>
      </c>
      <c r="AG47" s="45" t="str">
        <f aca="false">IF(AND(AA47=1,Y47&lt;1),IF(AND(C48=C47,Y48=Y47+1),IF(AA48=1,"",INDEX(DATAS,Y47+1)),INDEX(DATAS,Y47+1)),"")</f>
        <v/>
      </c>
    </row>
    <row r="48" customFormat="false" ht="15" hidden="false" customHeight="false" outlineLevel="0" collapsed="false">
      <c r="A48" s="45" t="n">
        <v>46309</v>
      </c>
      <c r="B48" s="0" t="n">
        <v>6</v>
      </c>
      <c r="C48" s="0" t="n">
        <v>2822</v>
      </c>
      <c r="D48" s="0" t="n">
        <v>388</v>
      </c>
      <c r="E48" s="0" t="n">
        <v>4</v>
      </c>
      <c r="F48" s="39" t="s">
        <v>157</v>
      </c>
      <c r="G48" s="0" t="n">
        <v>28.5</v>
      </c>
      <c r="H48" s="0" t="n">
        <v>23</v>
      </c>
      <c r="I48" s="39" t="s">
        <v>109</v>
      </c>
      <c r="J48" s="0" t="n">
        <v>213</v>
      </c>
      <c r="K48" s="0" t="n">
        <v>66</v>
      </c>
      <c r="L48" s="0" t="n">
        <v>175</v>
      </c>
      <c r="M48" s="0" t="n">
        <v>-261</v>
      </c>
      <c r="N48" s="0" t="n">
        <v>9.92</v>
      </c>
      <c r="O48" s="0" t="n">
        <v>2.69</v>
      </c>
      <c r="P48" s="0" t="n">
        <v>4.53</v>
      </c>
      <c r="Q48" s="0" t="n">
        <v>3.41</v>
      </c>
      <c r="R48" s="0" t="n">
        <v>5789</v>
      </c>
      <c r="S48" s="0" t="n">
        <v>11064</v>
      </c>
      <c r="T48" s="0" t="n">
        <v>59.85</v>
      </c>
      <c r="U48" s="0" t="n">
        <v>2413</v>
      </c>
      <c r="V48" s="0" t="n">
        <v>5</v>
      </c>
      <c r="W48" s="39" t="n">
        <f aca="false">IF(I48="Male",0,1)</f>
        <v>1</v>
      </c>
      <c r="X48" s="39" t="n">
        <f aca="false">IF(OR(I48="DNB",I48="Dry DNB"),1,0)</f>
        <v>0</v>
      </c>
      <c r="Y48" s="39" t="n">
        <f aca="false">MATCH(A48,DATAS,0)</f>
        <v>1</v>
      </c>
      <c r="Z48" s="39" t="n">
        <f aca="false">IF(AND(E48&gt;0,OR(AND(B48&gt;=1,B48&lt;=6),B48=10)),1,0)</f>
        <v>1</v>
      </c>
      <c r="AA48" s="39" t="n">
        <f aca="false">IF(AND(E48&gt;0,B48=10),1,0)</f>
        <v>0</v>
      </c>
      <c r="AB48" s="0" t="str">
        <f aca="false">IF(AND(C47=C48,Y47=Y48-1),Z47,"")</f>
        <v/>
      </c>
      <c r="AC48" s="0" t="str">
        <f aca="false">IF(AND(C47=C48,Y47=Y48-1),AA47,"")</f>
        <v/>
      </c>
      <c r="AD48" s="0" t="str">
        <f aca="false">IF(Y48=1,"",IF(AND(Z48=1,AB48&lt;&gt;1),1,0))</f>
        <v/>
      </c>
      <c r="AE48" s="0" t="str">
        <f aca="false">IF(Y48=1,"",IF(AND(AA48=1,AC48&lt;&gt;1),1,0))</f>
        <v/>
      </c>
      <c r="AF48" s="45" t="str">
        <f aca="false">IF(AND(E48&gt;0,Y48&lt;1,NOT(AND(C49=C48,Y49=Y48+1))),INDEX(DATAS,Y48+1),"")</f>
        <v/>
      </c>
      <c r="AG48" s="45" t="str">
        <f aca="false">IF(AND(AA48=1,Y48&lt;1),IF(AND(C49=C48,Y49=Y48+1),IF(AA49=1,"",INDEX(DATAS,Y48+1)),INDEX(DATAS,Y48+1)),"")</f>
        <v/>
      </c>
    </row>
    <row r="49" customFormat="false" ht="15" hidden="false" customHeight="false" outlineLevel="0" collapsed="false">
      <c r="A49" s="45" t="n">
        <v>46309</v>
      </c>
      <c r="B49" s="0" t="n">
        <v>5</v>
      </c>
      <c r="C49" s="0" t="n">
        <v>2856</v>
      </c>
      <c r="D49" s="0" t="n">
        <v>182</v>
      </c>
      <c r="E49" s="0" t="n">
        <v>6</v>
      </c>
      <c r="F49" s="39" t="s">
        <v>158</v>
      </c>
      <c r="G49" s="0" t="n">
        <v>34</v>
      </c>
      <c r="H49" s="0" t="n">
        <v>32</v>
      </c>
      <c r="I49" s="39" t="s">
        <v>138</v>
      </c>
      <c r="J49" s="0" t="n">
        <v>182</v>
      </c>
      <c r="K49" s="0" t="n">
        <v>77</v>
      </c>
      <c r="M49" s="0" t="n">
        <v>921.64</v>
      </c>
      <c r="N49" s="0" t="n">
        <v>22.33</v>
      </c>
      <c r="O49" s="0" t="n">
        <v>27.33</v>
      </c>
      <c r="P49" s="0" t="n">
        <v>3.2</v>
      </c>
      <c r="Q49" s="0" t="n">
        <v>3.32</v>
      </c>
      <c r="R49" s="0" t="n">
        <v>4157</v>
      </c>
      <c r="S49" s="0" t="n">
        <v>7787</v>
      </c>
      <c r="T49" s="0" t="n">
        <v>53.45</v>
      </c>
      <c r="U49" s="0" t="n">
        <v>2388</v>
      </c>
      <c r="V49" s="0" t="n">
        <v>3</v>
      </c>
      <c r="W49" s="39" t="n">
        <f aca="false">IF(I49="Male",0,1)</f>
        <v>1</v>
      </c>
      <c r="X49" s="39" t="n">
        <f aca="false">IF(OR(I49="DNB",I49="Dry DNB"),1,0)</f>
        <v>0</v>
      </c>
      <c r="Y49" s="39" t="n">
        <f aca="false">MATCH(A49,DATAS,0)</f>
        <v>1</v>
      </c>
      <c r="Z49" s="39" t="n">
        <f aca="false">IF(AND(E49&gt;0,OR(AND(B49&gt;=1,B49&lt;=6),B49=10)),1,0)</f>
        <v>1</v>
      </c>
      <c r="AA49" s="39" t="n">
        <f aca="false">IF(AND(E49&gt;0,B49=10),1,0)</f>
        <v>0</v>
      </c>
      <c r="AB49" s="0" t="str">
        <f aca="false">IF(AND(C48=C49,Y48=Y49-1),Z48,"")</f>
        <v/>
      </c>
      <c r="AC49" s="0" t="str">
        <f aca="false">IF(AND(C48=C49,Y48=Y49-1),AA48,"")</f>
        <v/>
      </c>
      <c r="AD49" s="0" t="str">
        <f aca="false">IF(Y49=1,"",IF(AND(Z49=1,AB49&lt;&gt;1),1,0))</f>
        <v/>
      </c>
      <c r="AE49" s="0" t="str">
        <f aca="false">IF(Y49=1,"",IF(AND(AA49=1,AC49&lt;&gt;1),1,0))</f>
        <v/>
      </c>
      <c r="AF49" s="45" t="str">
        <f aca="false">IF(AND(E49&gt;0,Y49&lt;1,NOT(AND(C50=C49,Y50=Y49+1))),INDEX(DATAS,Y49+1),"")</f>
        <v/>
      </c>
      <c r="AG49" s="45" t="str">
        <f aca="false">IF(AND(AA49=1,Y49&lt;1),IF(AND(C50=C49,Y50=Y49+1),IF(AA50=1,"",INDEX(DATAS,Y49+1)),INDEX(DATAS,Y49+1)),"")</f>
        <v/>
      </c>
    </row>
    <row r="50" customFormat="false" ht="15" hidden="false" customHeight="false" outlineLevel="0" collapsed="false">
      <c r="A50" s="45" t="n">
        <v>46309</v>
      </c>
      <c r="B50" s="0" t="n">
        <v>5</v>
      </c>
      <c r="C50" s="0" t="n">
        <v>2862</v>
      </c>
      <c r="D50" s="0" t="n">
        <v>412</v>
      </c>
      <c r="E50" s="0" t="n">
        <v>4</v>
      </c>
      <c r="F50" s="39" t="s">
        <v>159</v>
      </c>
      <c r="G50" s="0" t="n">
        <v>21.2</v>
      </c>
      <c r="H50" s="0" t="n">
        <v>24</v>
      </c>
      <c r="I50" s="39" t="s">
        <v>109</v>
      </c>
      <c r="J50" s="0" t="n">
        <v>230</v>
      </c>
      <c r="K50" s="0" t="n">
        <v>69</v>
      </c>
      <c r="L50" s="0" t="n">
        <v>182</v>
      </c>
      <c r="M50" s="0" t="n">
        <v>-257.4</v>
      </c>
      <c r="N50" s="0" t="n">
        <v>15.38</v>
      </c>
      <c r="O50" s="0" t="n">
        <v>5.44</v>
      </c>
      <c r="P50" s="0" t="n">
        <v>4.26</v>
      </c>
      <c r="Q50" s="0" t="n">
        <v>3.86</v>
      </c>
      <c r="R50" s="0" t="n">
        <v>5896</v>
      </c>
      <c r="S50" s="0" t="n">
        <v>10701</v>
      </c>
      <c r="T50" s="0" t="n">
        <v>70.4</v>
      </c>
      <c r="U50" s="0" t="n">
        <v>2384</v>
      </c>
      <c r="V50" s="0" t="n">
        <v>5</v>
      </c>
      <c r="W50" s="39" t="n">
        <f aca="false">IF(I50="Male",0,1)</f>
        <v>1</v>
      </c>
      <c r="X50" s="39" t="n">
        <f aca="false">IF(OR(I50="DNB",I50="Dry DNB"),1,0)</f>
        <v>0</v>
      </c>
      <c r="Y50" s="39" t="n">
        <f aca="false">MATCH(A50,DATAS,0)</f>
        <v>1</v>
      </c>
      <c r="Z50" s="39" t="n">
        <f aca="false">IF(AND(E50&gt;0,OR(AND(B50&gt;=1,B50&lt;=6),B50=10)),1,0)</f>
        <v>1</v>
      </c>
      <c r="AA50" s="39" t="n">
        <f aca="false">IF(AND(E50&gt;0,B50=10),1,0)</f>
        <v>0</v>
      </c>
      <c r="AB50" s="0" t="str">
        <f aca="false">IF(AND(C49=C50,Y49=Y50-1),Z49,"")</f>
        <v/>
      </c>
      <c r="AC50" s="0" t="str">
        <f aca="false">IF(AND(C49=C50,Y49=Y50-1),AA49,"")</f>
        <v/>
      </c>
      <c r="AD50" s="0" t="str">
        <f aca="false">IF(Y50=1,"",IF(AND(Z50=1,AB50&lt;&gt;1),1,0))</f>
        <v/>
      </c>
      <c r="AE50" s="0" t="str">
        <f aca="false">IF(Y50=1,"",IF(AND(AA50=1,AC50&lt;&gt;1),1,0))</f>
        <v/>
      </c>
      <c r="AF50" s="45" t="str">
        <f aca="false">IF(AND(E50&gt;0,Y50&lt;1,NOT(AND(C51=C50,Y51=Y50+1))),INDEX(DATAS,Y50+1),"")</f>
        <v/>
      </c>
      <c r="AG50" s="45" t="str">
        <f aca="false">IF(AND(AA50=1,Y50&lt;1),IF(AND(C51=C50,Y51=Y50+1),IF(AA51=1,"",INDEX(DATAS,Y50+1)),INDEX(DATAS,Y50+1)),"")</f>
        <v/>
      </c>
    </row>
    <row r="51" customFormat="false" ht="15" hidden="false" customHeight="false" outlineLevel="0" collapsed="false">
      <c r="A51" s="45" t="n">
        <v>46309</v>
      </c>
      <c r="B51" s="0" t="n">
        <v>5</v>
      </c>
      <c r="C51" s="0" t="n">
        <v>2863</v>
      </c>
      <c r="D51" s="0" t="n">
        <v>234</v>
      </c>
      <c r="E51" s="0" t="n">
        <v>5</v>
      </c>
      <c r="F51" s="39" t="s">
        <v>159</v>
      </c>
      <c r="G51" s="0" t="n">
        <v>37.9</v>
      </c>
      <c r="H51" s="0" t="n">
        <v>36</v>
      </c>
      <c r="I51" s="39" t="s">
        <v>109</v>
      </c>
      <c r="J51" s="0" t="n">
        <v>66</v>
      </c>
      <c r="K51" s="0" t="n">
        <v>66</v>
      </c>
      <c r="L51" s="0" t="n">
        <v>168</v>
      </c>
      <c r="M51" s="0" t="n">
        <v>692.66</v>
      </c>
      <c r="N51" s="0" t="n">
        <v>24.75</v>
      </c>
      <c r="O51" s="0" t="n">
        <v>23.6</v>
      </c>
      <c r="P51" s="0" t="n">
        <v>3.54</v>
      </c>
      <c r="Q51" s="0" t="n">
        <v>3.5</v>
      </c>
      <c r="R51" s="0" t="n">
        <v>4085</v>
      </c>
      <c r="S51" s="0" t="n">
        <v>8517</v>
      </c>
      <c r="T51" s="0" t="n">
        <v>46.05</v>
      </c>
      <c r="U51" s="0" t="n">
        <v>2384</v>
      </c>
      <c r="V51" s="0" t="n">
        <v>1</v>
      </c>
      <c r="W51" s="39" t="n">
        <f aca="false">IF(I51="Male",0,1)</f>
        <v>1</v>
      </c>
      <c r="X51" s="39" t="n">
        <f aca="false">IF(OR(I51="DNB",I51="Dry DNB"),1,0)</f>
        <v>0</v>
      </c>
      <c r="Y51" s="39" t="n">
        <f aca="false">MATCH(A51,DATAS,0)</f>
        <v>1</v>
      </c>
      <c r="Z51" s="39" t="n">
        <f aca="false">IF(AND(E51&gt;0,OR(AND(B51&gt;=1,B51&lt;=6),B51=10)),1,0)</f>
        <v>1</v>
      </c>
      <c r="AA51" s="39" t="n">
        <f aca="false">IF(AND(E51&gt;0,B51=10),1,0)</f>
        <v>0</v>
      </c>
      <c r="AB51" s="0" t="str">
        <f aca="false">IF(AND(C50=C51,Y50=Y51-1),Z50,"")</f>
        <v/>
      </c>
      <c r="AC51" s="0" t="str">
        <f aca="false">IF(AND(C50=C51,Y50=Y51-1),AA50,"")</f>
        <v/>
      </c>
      <c r="AD51" s="0" t="str">
        <f aca="false">IF(Y51=1,"",IF(AND(Z51=1,AB51&lt;&gt;1),1,0))</f>
        <v/>
      </c>
      <c r="AE51" s="0" t="str">
        <f aca="false">IF(Y51=1,"",IF(AND(AA51=1,AC51&lt;&gt;1),1,0))</f>
        <v/>
      </c>
      <c r="AF51" s="45" t="str">
        <f aca="false">IF(AND(E51&gt;0,Y51&lt;1,NOT(AND(C52=C51,Y52=Y51+1))),INDEX(DATAS,Y51+1),"")</f>
        <v/>
      </c>
      <c r="AG51" s="45" t="str">
        <f aca="false">IF(AND(AA51=1,Y51&lt;1),IF(AND(C52=C51,Y52=Y51+1),IF(AA52=1,"",INDEX(DATAS,Y51+1)),INDEX(DATAS,Y51+1)),"")</f>
        <v/>
      </c>
    </row>
    <row r="52" customFormat="false" ht="15" hidden="false" customHeight="false" outlineLevel="0" collapsed="false">
      <c r="A52" s="45" t="n">
        <v>46309</v>
      </c>
      <c r="B52" s="0" t="n">
        <v>6</v>
      </c>
      <c r="C52" s="0" t="n">
        <v>2875</v>
      </c>
      <c r="D52" s="0" t="n">
        <v>496</v>
      </c>
      <c r="E52" s="0" t="n">
        <v>4</v>
      </c>
      <c r="F52" s="39" t="s">
        <v>160</v>
      </c>
      <c r="G52" s="0" t="n">
        <v>16</v>
      </c>
      <c r="H52" s="0" t="n">
        <v>11</v>
      </c>
      <c r="I52" s="39" t="s">
        <v>109</v>
      </c>
      <c r="J52" s="0" t="n">
        <v>351</v>
      </c>
      <c r="K52" s="0" t="n">
        <v>62</v>
      </c>
      <c r="L52" s="0" t="n">
        <v>145</v>
      </c>
      <c r="M52" s="0" t="n">
        <v>577.81</v>
      </c>
      <c r="N52" s="0" t="n">
        <v>41.3</v>
      </c>
      <c r="O52" s="0" t="n">
        <v>15.02</v>
      </c>
      <c r="P52" s="0" t="n">
        <v>4.91</v>
      </c>
      <c r="Q52" s="0" t="n">
        <v>3.99</v>
      </c>
      <c r="R52" s="0" t="n">
        <v>6603</v>
      </c>
      <c r="S52" s="0" t="n">
        <v>12720</v>
      </c>
      <c r="T52" s="0" t="n">
        <v>71.95</v>
      </c>
      <c r="U52" s="0" t="n">
        <v>2379</v>
      </c>
      <c r="V52" s="0" t="n">
        <v>7</v>
      </c>
      <c r="W52" s="39" t="n">
        <f aca="false">IF(I52="Male",0,1)</f>
        <v>1</v>
      </c>
      <c r="X52" s="39" t="n">
        <f aca="false">IF(OR(I52="DNB",I52="Dry DNB"),1,0)</f>
        <v>0</v>
      </c>
      <c r="Y52" s="39" t="n">
        <f aca="false">MATCH(A52,DATAS,0)</f>
        <v>1</v>
      </c>
      <c r="Z52" s="39" t="n">
        <f aca="false">IF(AND(E52&gt;0,OR(AND(B52&gt;=1,B52&lt;=6),B52=10)),1,0)</f>
        <v>1</v>
      </c>
      <c r="AA52" s="39" t="n">
        <f aca="false">IF(AND(E52&gt;0,B52=10),1,0)</f>
        <v>0</v>
      </c>
      <c r="AB52" s="0" t="str">
        <f aca="false">IF(AND(C51=C52,Y51=Y52-1),Z51,"")</f>
        <v/>
      </c>
      <c r="AC52" s="0" t="str">
        <f aca="false">IF(AND(C51=C52,Y51=Y52-1),AA51,"")</f>
        <v/>
      </c>
      <c r="AD52" s="0" t="str">
        <f aca="false">IF(Y52=1,"",IF(AND(Z52=1,AB52&lt;&gt;1),1,0))</f>
        <v/>
      </c>
      <c r="AE52" s="0" t="str">
        <f aca="false">IF(Y52=1,"",IF(AND(AA52=1,AC52&lt;&gt;1),1,0))</f>
        <v/>
      </c>
      <c r="AF52" s="45" t="str">
        <f aca="false">IF(AND(E52&gt;0,Y52&lt;1,NOT(AND(C53=C52,Y53=Y52+1))),INDEX(DATAS,Y52+1),"")</f>
        <v/>
      </c>
      <c r="AG52" s="45" t="str">
        <f aca="false">IF(AND(AA52=1,Y52&lt;1),IF(AND(C53=C52,Y53=Y52+1),IF(AA53=1,"",INDEX(DATAS,Y52+1)),INDEX(DATAS,Y52+1)),"")</f>
        <v/>
      </c>
    </row>
    <row r="53" customFormat="false" ht="15" hidden="false" customHeight="false" outlineLevel="0" collapsed="false">
      <c r="A53" s="45" t="n">
        <v>46309</v>
      </c>
      <c r="B53" s="0" t="n">
        <v>6</v>
      </c>
      <c r="C53" s="0" t="n">
        <v>2887</v>
      </c>
      <c r="D53" s="0" t="n">
        <v>225</v>
      </c>
      <c r="E53" s="0" t="n">
        <v>5</v>
      </c>
      <c r="F53" s="39" t="s">
        <v>161</v>
      </c>
      <c r="G53" s="0" t="n">
        <v>30.1</v>
      </c>
      <c r="H53" s="0" t="n">
        <v>27</v>
      </c>
      <c r="I53" s="39" t="s">
        <v>109</v>
      </c>
      <c r="J53" s="0" t="n">
        <v>127</v>
      </c>
      <c r="K53" s="0" t="n">
        <v>64</v>
      </c>
      <c r="L53" s="0" t="n">
        <v>98</v>
      </c>
      <c r="M53" s="0" t="n">
        <v>354.32</v>
      </c>
      <c r="N53" s="0" t="n">
        <v>12.41</v>
      </c>
      <c r="O53" s="0" t="n">
        <v>12.9</v>
      </c>
      <c r="P53" s="0" t="n">
        <v>3.35</v>
      </c>
      <c r="Q53" s="0" t="n">
        <v>3.47</v>
      </c>
      <c r="R53" s="0" t="n">
        <v>3435</v>
      </c>
      <c r="S53" s="0" t="n">
        <v>8415</v>
      </c>
      <c r="T53" s="0" t="n">
        <v>38.1</v>
      </c>
      <c r="U53" s="0" t="n">
        <v>2370</v>
      </c>
      <c r="V53" s="0" t="n">
        <v>3</v>
      </c>
      <c r="W53" s="39" t="n">
        <f aca="false">IF(I53="Male",0,1)</f>
        <v>1</v>
      </c>
      <c r="X53" s="39" t="n">
        <f aca="false">IF(OR(I53="DNB",I53="Dry DNB"),1,0)</f>
        <v>0</v>
      </c>
      <c r="Y53" s="39" t="n">
        <f aca="false">MATCH(A53,DATAS,0)</f>
        <v>1</v>
      </c>
      <c r="Z53" s="39" t="n">
        <f aca="false">IF(AND(E53&gt;0,OR(AND(B53&gt;=1,B53&lt;=6),B53=10)),1,0)</f>
        <v>1</v>
      </c>
      <c r="AA53" s="39" t="n">
        <f aca="false">IF(AND(E53&gt;0,B53=10),1,0)</f>
        <v>0</v>
      </c>
      <c r="AB53" s="0" t="str">
        <f aca="false">IF(AND(C52=C53,Y52=Y53-1),Z52,"")</f>
        <v/>
      </c>
      <c r="AC53" s="0" t="str">
        <f aca="false">IF(AND(C52=C53,Y52=Y53-1),AA52,"")</f>
        <v/>
      </c>
      <c r="AD53" s="0" t="str">
        <f aca="false">IF(Y53=1,"",IF(AND(Z53=1,AB53&lt;&gt;1),1,0))</f>
        <v/>
      </c>
      <c r="AE53" s="0" t="str">
        <f aca="false">IF(Y53=1,"",IF(AND(AA53=1,AC53&lt;&gt;1),1,0))</f>
        <v/>
      </c>
      <c r="AF53" s="45" t="str">
        <f aca="false">IF(AND(E53&gt;0,Y53&lt;1,NOT(AND(C54=C53,Y54=Y53+1))),INDEX(DATAS,Y53+1),"")</f>
        <v/>
      </c>
      <c r="AG53" s="45" t="str">
        <f aca="false">IF(AND(AA53=1,Y53&lt;1),IF(AND(C54=C53,Y54=Y53+1),IF(AA54=1,"",INDEX(DATAS,Y53+1)),INDEX(DATAS,Y53+1)),"")</f>
        <v/>
      </c>
    </row>
    <row r="54" customFormat="false" ht="15" hidden="false" customHeight="false" outlineLevel="0" collapsed="false">
      <c r="A54" s="45" t="n">
        <v>46309</v>
      </c>
      <c r="B54" s="0" t="n">
        <v>5</v>
      </c>
      <c r="C54" s="0" t="n">
        <v>2894</v>
      </c>
      <c r="D54" s="0" t="n">
        <v>244</v>
      </c>
      <c r="E54" s="0" t="n">
        <v>4</v>
      </c>
      <c r="F54" s="39" t="s">
        <v>162</v>
      </c>
      <c r="G54" s="0" t="n">
        <v>41.8</v>
      </c>
      <c r="H54" s="0" t="n">
        <v>37</v>
      </c>
      <c r="I54" s="39" t="s">
        <v>138</v>
      </c>
      <c r="J54" s="0" t="n">
        <v>244</v>
      </c>
      <c r="K54" s="0" t="n">
        <v>111</v>
      </c>
      <c r="M54" s="0" t="n">
        <v>1248.55</v>
      </c>
      <c r="N54" s="0" t="n">
        <v>19.64</v>
      </c>
      <c r="O54" s="0" t="n">
        <v>33.47</v>
      </c>
      <c r="P54" s="0" t="n">
        <v>3.93</v>
      </c>
      <c r="Q54" s="0" t="n">
        <v>3.42</v>
      </c>
      <c r="R54" s="0" t="n">
        <v>4106</v>
      </c>
      <c r="S54" s="0" t="n">
        <v>8249</v>
      </c>
      <c r="T54" s="0" t="n">
        <v>43.9</v>
      </c>
      <c r="U54" s="0" t="n">
        <v>2365</v>
      </c>
      <c r="V54" s="0" t="n">
        <v>3</v>
      </c>
      <c r="W54" s="39" t="n">
        <f aca="false">IF(I54="Male",0,1)</f>
        <v>1</v>
      </c>
      <c r="X54" s="39" t="n">
        <f aca="false">IF(OR(I54="DNB",I54="Dry DNB"),1,0)</f>
        <v>0</v>
      </c>
      <c r="Y54" s="39" t="n">
        <f aca="false">MATCH(A54,DATAS,0)</f>
        <v>1</v>
      </c>
      <c r="Z54" s="39" t="n">
        <f aca="false">IF(AND(E54&gt;0,OR(AND(B54&gt;=1,B54&lt;=6),B54=10)),1,0)</f>
        <v>1</v>
      </c>
      <c r="AA54" s="39" t="n">
        <f aca="false">IF(AND(E54&gt;0,B54=10),1,0)</f>
        <v>0</v>
      </c>
      <c r="AB54" s="0" t="str">
        <f aca="false">IF(AND(C53=C54,Y53=Y54-1),Z53,"")</f>
        <v/>
      </c>
      <c r="AC54" s="0" t="str">
        <f aca="false">IF(AND(C53=C54,Y53=Y54-1),AA53,"")</f>
        <v/>
      </c>
      <c r="AD54" s="0" t="str">
        <f aca="false">IF(Y54=1,"",IF(AND(Z54=1,AB54&lt;&gt;1),1,0))</f>
        <v/>
      </c>
      <c r="AE54" s="0" t="str">
        <f aca="false">IF(Y54=1,"",IF(AND(AA54=1,AC54&lt;&gt;1),1,0))</f>
        <v/>
      </c>
      <c r="AF54" s="45" t="str">
        <f aca="false">IF(AND(E54&gt;0,Y54&lt;1,NOT(AND(C55=C54,Y55=Y54+1))),INDEX(DATAS,Y54+1),"")</f>
        <v/>
      </c>
      <c r="AG54" s="45" t="str">
        <f aca="false">IF(AND(AA54=1,Y54&lt;1),IF(AND(C55=C54,Y55=Y54+1),IF(AA55=1,"",INDEX(DATAS,Y54+1)),INDEX(DATAS,Y54+1)),"")</f>
        <v/>
      </c>
    </row>
    <row r="55" customFormat="false" ht="15" hidden="false" customHeight="false" outlineLevel="0" collapsed="false">
      <c r="A55" s="45" t="n">
        <v>46309</v>
      </c>
      <c r="B55" s="0" t="n">
        <v>6</v>
      </c>
      <c r="C55" s="0" t="n">
        <v>2904</v>
      </c>
      <c r="D55" s="0" t="n">
        <v>203</v>
      </c>
      <c r="E55" s="0" t="n">
        <v>4</v>
      </c>
      <c r="F55" s="39" t="s">
        <v>163</v>
      </c>
      <c r="G55" s="0" t="n">
        <v>17.9</v>
      </c>
      <c r="H55" s="0" t="n">
        <v>18</v>
      </c>
      <c r="I55" s="39" t="s">
        <v>146</v>
      </c>
      <c r="J55" s="0" t="n">
        <v>203</v>
      </c>
      <c r="K55" s="0" t="n">
        <v>92</v>
      </c>
      <c r="M55" s="0" t="n">
        <v>379.48</v>
      </c>
      <c r="N55" s="0" t="n">
        <v>12.53</v>
      </c>
      <c r="O55" s="0" t="n">
        <v>20.18</v>
      </c>
      <c r="P55" s="0" t="n">
        <v>3.82</v>
      </c>
      <c r="Q55" s="0" t="n">
        <v>3.55</v>
      </c>
      <c r="R55" s="0" t="n">
        <v>4110</v>
      </c>
      <c r="S55" s="0" t="n">
        <v>7322</v>
      </c>
      <c r="T55" s="0" t="n">
        <v>47.4</v>
      </c>
      <c r="U55" s="0" t="n">
        <v>2361</v>
      </c>
      <c r="V55" s="0" t="n">
        <v>3</v>
      </c>
      <c r="W55" s="39" t="n">
        <f aca="false">IF(I55="Male",0,1)</f>
        <v>1</v>
      </c>
      <c r="X55" s="39" t="n">
        <f aca="false">IF(OR(I55="DNB",I55="Dry DNB"),1,0)</f>
        <v>0</v>
      </c>
      <c r="Y55" s="39" t="n">
        <f aca="false">MATCH(A55,DATAS,0)</f>
        <v>1</v>
      </c>
      <c r="Z55" s="39" t="n">
        <f aca="false">IF(AND(E55&gt;0,OR(AND(B55&gt;=1,B55&lt;=6),B55=10)),1,0)</f>
        <v>1</v>
      </c>
      <c r="AA55" s="39" t="n">
        <f aca="false">IF(AND(E55&gt;0,B55=10),1,0)</f>
        <v>0</v>
      </c>
      <c r="AB55" s="0" t="str">
        <f aca="false">IF(AND(C54=C55,Y54=Y55-1),Z54,"")</f>
        <v/>
      </c>
      <c r="AC55" s="0" t="str">
        <f aca="false">IF(AND(C54=C55,Y54=Y55-1),AA54,"")</f>
        <v/>
      </c>
      <c r="AD55" s="0" t="str">
        <f aca="false">IF(Y55=1,"",IF(AND(Z55=1,AB55&lt;&gt;1),1,0))</f>
        <v/>
      </c>
      <c r="AE55" s="0" t="str">
        <f aca="false">IF(Y55=1,"",IF(AND(AA55=1,AC55&lt;&gt;1),1,0))</f>
        <v/>
      </c>
      <c r="AF55" s="45" t="str">
        <f aca="false">IF(AND(E55&gt;0,Y55&lt;1,NOT(AND(C56=C55,Y56=Y55+1))),INDEX(DATAS,Y55+1),"")</f>
        <v/>
      </c>
      <c r="AG55" s="45" t="str">
        <f aca="false">IF(AND(AA55=1,Y55&lt;1),IF(AND(C56=C55,Y56=Y55+1),IF(AA56=1,"",INDEX(DATAS,Y55+1)),INDEX(DATAS,Y55+1)),"")</f>
        <v/>
      </c>
    </row>
    <row r="56" customFormat="false" ht="15" hidden="false" customHeight="false" outlineLevel="0" collapsed="false">
      <c r="A56" s="45" t="n">
        <v>46309</v>
      </c>
      <c r="B56" s="0" t="n">
        <v>5</v>
      </c>
      <c r="C56" s="0" t="n">
        <v>2925</v>
      </c>
      <c r="D56" s="0" t="n">
        <v>232</v>
      </c>
      <c r="E56" s="0" t="n">
        <v>5</v>
      </c>
      <c r="F56" s="39" t="s">
        <v>164</v>
      </c>
      <c r="G56" s="0" t="n">
        <v>36</v>
      </c>
      <c r="H56" s="0" t="n">
        <v>35</v>
      </c>
      <c r="I56" s="39" t="s">
        <v>146</v>
      </c>
      <c r="J56" s="0" t="n">
        <v>232</v>
      </c>
      <c r="K56" s="0" t="n">
        <v>64</v>
      </c>
      <c r="M56" s="0" t="n">
        <v>560.63</v>
      </c>
      <c r="N56" s="0" t="n">
        <v>16.58</v>
      </c>
      <c r="O56" s="0" t="n">
        <v>16.85</v>
      </c>
      <c r="P56" s="0" t="n">
        <v>4.3</v>
      </c>
      <c r="Q56" s="0" t="n">
        <v>3.53</v>
      </c>
      <c r="R56" s="0" t="n">
        <v>4941</v>
      </c>
      <c r="S56" s="0" t="n">
        <v>9932</v>
      </c>
      <c r="T56" s="0" t="n">
        <v>56.7</v>
      </c>
      <c r="U56" s="0" t="n">
        <v>2344</v>
      </c>
      <c r="V56" s="0" t="n">
        <v>4</v>
      </c>
      <c r="W56" s="39" t="n">
        <f aca="false">IF(I56="Male",0,1)</f>
        <v>1</v>
      </c>
      <c r="X56" s="39" t="n">
        <f aca="false">IF(OR(I56="DNB",I56="Dry DNB"),1,0)</f>
        <v>0</v>
      </c>
      <c r="Y56" s="39" t="n">
        <f aca="false">MATCH(A56,DATAS,0)</f>
        <v>1</v>
      </c>
      <c r="Z56" s="39" t="n">
        <f aca="false">IF(AND(E56&gt;0,OR(AND(B56&gt;=1,B56&lt;=6),B56=10)),1,0)</f>
        <v>1</v>
      </c>
      <c r="AA56" s="39" t="n">
        <f aca="false">IF(AND(E56&gt;0,B56=10),1,0)</f>
        <v>0</v>
      </c>
      <c r="AB56" s="0" t="str">
        <f aca="false">IF(AND(C55=C56,Y55=Y56-1),Z55,"")</f>
        <v/>
      </c>
      <c r="AC56" s="0" t="str">
        <f aca="false">IF(AND(C55=C56,Y55=Y56-1),AA55,"")</f>
        <v/>
      </c>
      <c r="AD56" s="0" t="str">
        <f aca="false">IF(Y56=1,"",IF(AND(Z56=1,AB56&lt;&gt;1),1,0))</f>
        <v/>
      </c>
      <c r="AE56" s="0" t="str">
        <f aca="false">IF(Y56=1,"",IF(AND(AA56=1,AC56&lt;&gt;1),1,0))</f>
        <v/>
      </c>
      <c r="AF56" s="45" t="str">
        <f aca="false">IF(AND(E56&gt;0,Y56&lt;1,NOT(AND(C57=C56,Y57=Y56+1))),INDEX(DATAS,Y56+1),"")</f>
        <v/>
      </c>
      <c r="AG56" s="45" t="str">
        <f aca="false">IF(AND(AA56=1,Y56&lt;1),IF(AND(C57=C56,Y57=Y56+1),IF(AA57=1,"",INDEX(DATAS,Y56+1)),INDEX(DATAS,Y56+1)),"")</f>
        <v/>
      </c>
    </row>
    <row r="57" customFormat="false" ht="15" hidden="false" customHeight="false" outlineLevel="0" collapsed="false">
      <c r="A57" s="45" t="n">
        <v>46309</v>
      </c>
      <c r="B57" s="0" t="n">
        <v>2</v>
      </c>
      <c r="C57" s="0" t="n">
        <v>2927</v>
      </c>
      <c r="D57" s="0" t="n">
        <v>120</v>
      </c>
      <c r="E57" s="0" t="n">
        <v>4</v>
      </c>
      <c r="F57" s="39" t="s">
        <v>165</v>
      </c>
      <c r="G57" s="0" t="n">
        <v>45.6</v>
      </c>
      <c r="H57" s="0" t="n">
        <v>35</v>
      </c>
      <c r="I57" s="39" t="s">
        <v>138</v>
      </c>
      <c r="J57" s="0" t="n">
        <v>120</v>
      </c>
      <c r="K57" s="0" t="n">
        <v>64</v>
      </c>
      <c r="M57" s="0" t="n">
        <v>1287.7</v>
      </c>
      <c r="N57" s="0" t="n">
        <v>20.4</v>
      </c>
      <c r="O57" s="0" t="n">
        <v>26.92</v>
      </c>
      <c r="P57" s="0" t="n">
        <v>3.32</v>
      </c>
      <c r="Q57" s="0" t="n">
        <v>2.66</v>
      </c>
      <c r="R57" s="0" t="n">
        <v>5305</v>
      </c>
      <c r="S57" s="0" t="n">
        <v>10539</v>
      </c>
      <c r="T57" s="0" t="n">
        <v>58.45</v>
      </c>
      <c r="U57" s="0" t="n">
        <v>2341</v>
      </c>
      <c r="V57" s="0" t="n">
        <v>2</v>
      </c>
      <c r="W57" s="39" t="n">
        <f aca="false">IF(I57="Male",0,1)</f>
        <v>1</v>
      </c>
      <c r="X57" s="39" t="n">
        <f aca="false">IF(OR(I57="DNB",I57="Dry DNB"),1,0)</f>
        <v>0</v>
      </c>
      <c r="Y57" s="39" t="n">
        <f aca="false">MATCH(A57,DATAS,0)</f>
        <v>1</v>
      </c>
      <c r="Z57" s="39" t="n">
        <f aca="false">IF(AND(E57&gt;0,OR(AND(B57&gt;=1,B57&lt;=6),B57=10)),1,0)</f>
        <v>1</v>
      </c>
      <c r="AA57" s="39" t="n">
        <f aca="false">IF(AND(E57&gt;0,B57=10),1,0)</f>
        <v>0</v>
      </c>
      <c r="AB57" s="0" t="str">
        <f aca="false">IF(AND(C56=C57,Y56=Y57-1),Z56,"")</f>
        <v/>
      </c>
      <c r="AC57" s="0" t="str">
        <f aca="false">IF(AND(C56=C57,Y56=Y57-1),AA56,"")</f>
        <v/>
      </c>
      <c r="AD57" s="0" t="str">
        <f aca="false">IF(Y57=1,"",IF(AND(Z57=1,AB57&lt;&gt;1),1,0))</f>
        <v/>
      </c>
      <c r="AE57" s="0" t="str">
        <f aca="false">IF(Y57=1,"",IF(AND(AA57=1,AC57&lt;&gt;1),1,0))</f>
        <v/>
      </c>
      <c r="AF57" s="45" t="str">
        <f aca="false">IF(AND(E57&gt;0,Y57&lt;1,NOT(AND(C58=C57,Y58=Y57+1))),INDEX(DATAS,Y57+1),"")</f>
        <v/>
      </c>
      <c r="AG57" s="45" t="str">
        <f aca="false">IF(AND(AA57=1,Y57&lt;1),IF(AND(C58=C57,Y58=Y57+1),IF(AA58=1,"",INDEX(DATAS,Y57+1)),INDEX(DATAS,Y57+1)),"")</f>
        <v/>
      </c>
    </row>
    <row r="58" customFormat="false" ht="15" hidden="false" customHeight="false" outlineLevel="0" collapsed="false">
      <c r="A58" s="45" t="n">
        <v>46309</v>
      </c>
      <c r="B58" s="0" t="n">
        <v>5</v>
      </c>
      <c r="C58" s="0" t="n">
        <v>2935</v>
      </c>
      <c r="D58" s="0" t="n">
        <v>271</v>
      </c>
      <c r="E58" s="0" t="n">
        <v>5</v>
      </c>
      <c r="F58" s="39" t="s">
        <v>166</v>
      </c>
      <c r="G58" s="0" t="n">
        <v>50.4</v>
      </c>
      <c r="H58" s="0" t="n">
        <v>46</v>
      </c>
      <c r="I58" s="39" t="s">
        <v>109</v>
      </c>
      <c r="J58" s="0" t="n">
        <v>173</v>
      </c>
      <c r="K58" s="0" t="n">
        <v>68</v>
      </c>
      <c r="L58" s="0" t="n">
        <v>98</v>
      </c>
      <c r="M58" s="0" t="n">
        <v>1170.38</v>
      </c>
      <c r="N58" s="0" t="n">
        <v>8.95</v>
      </c>
      <c r="O58" s="0" t="n">
        <v>32.55</v>
      </c>
      <c r="P58" s="0" t="n">
        <v>2.4</v>
      </c>
      <c r="Q58" s="0" t="n">
        <v>3.15</v>
      </c>
      <c r="R58" s="0" t="n">
        <v>6164</v>
      </c>
      <c r="S58" s="0" t="n">
        <v>11235</v>
      </c>
      <c r="T58" s="0" t="n">
        <v>67.15</v>
      </c>
      <c r="U58" s="0" t="n">
        <v>2334</v>
      </c>
      <c r="V58" s="0" t="n">
        <v>3</v>
      </c>
      <c r="W58" s="39" t="n">
        <f aca="false">IF(I58="Male",0,1)</f>
        <v>1</v>
      </c>
      <c r="X58" s="39" t="n">
        <f aca="false">IF(OR(I58="DNB",I58="Dry DNB"),1,0)</f>
        <v>0</v>
      </c>
      <c r="Y58" s="39" t="n">
        <f aca="false">MATCH(A58,DATAS,0)</f>
        <v>1</v>
      </c>
      <c r="Z58" s="39" t="n">
        <f aca="false">IF(AND(E58&gt;0,OR(AND(B58&gt;=1,B58&lt;=6),B58=10)),1,0)</f>
        <v>1</v>
      </c>
      <c r="AA58" s="39" t="n">
        <f aca="false">IF(AND(E58&gt;0,B58=10),1,0)</f>
        <v>0</v>
      </c>
      <c r="AB58" s="0" t="str">
        <f aca="false">IF(AND(C57=C58,Y57=Y58-1),Z57,"")</f>
        <v/>
      </c>
      <c r="AC58" s="0" t="str">
        <f aca="false">IF(AND(C57=C58,Y57=Y58-1),AA57,"")</f>
        <v/>
      </c>
      <c r="AD58" s="0" t="str">
        <f aca="false">IF(Y58=1,"",IF(AND(Z58=1,AB58&lt;&gt;1),1,0))</f>
        <v/>
      </c>
      <c r="AE58" s="0" t="str">
        <f aca="false">IF(Y58=1,"",IF(AND(AA58=1,AC58&lt;&gt;1),1,0))</f>
        <v/>
      </c>
      <c r="AF58" s="45" t="str">
        <f aca="false">IF(AND(E58&gt;0,Y58&lt;1,NOT(AND(C59=C58,Y59=Y58+1))),INDEX(DATAS,Y58+1),"")</f>
        <v/>
      </c>
      <c r="AG58" s="45" t="str">
        <f aca="false">IF(AND(AA58=1,Y58&lt;1),IF(AND(C59=C58,Y59=Y58+1),IF(AA59=1,"",INDEX(DATAS,Y58+1)),INDEX(DATAS,Y58+1)),"")</f>
        <v/>
      </c>
    </row>
    <row r="59" customFormat="false" ht="15" hidden="false" customHeight="false" outlineLevel="0" collapsed="false">
      <c r="A59" s="45" t="n">
        <v>46309</v>
      </c>
      <c r="B59" s="0" t="n">
        <v>2</v>
      </c>
      <c r="C59" s="0" t="n">
        <v>2938</v>
      </c>
      <c r="D59" s="0" t="n">
        <v>146</v>
      </c>
      <c r="E59" s="0" t="n">
        <v>6</v>
      </c>
      <c r="F59" s="39" t="s">
        <v>167</v>
      </c>
      <c r="G59" s="0" t="n">
        <v>53.6</v>
      </c>
      <c r="H59" s="0" t="n">
        <v>52</v>
      </c>
      <c r="I59" s="39" t="s">
        <v>109</v>
      </c>
      <c r="J59" s="0" t="n">
        <v>104</v>
      </c>
      <c r="K59" s="0" t="n">
        <v>69</v>
      </c>
      <c r="L59" s="0" t="n">
        <v>42</v>
      </c>
      <c r="M59" s="0" t="n">
        <v>1139.88</v>
      </c>
      <c r="N59" s="0" t="n">
        <v>36.35</v>
      </c>
      <c r="O59" s="0" t="n">
        <v>34.4</v>
      </c>
      <c r="P59" s="0" t="n">
        <v>4.35</v>
      </c>
      <c r="Q59" s="0" t="n">
        <v>3.13</v>
      </c>
      <c r="R59" s="0" t="n">
        <v>5786</v>
      </c>
      <c r="S59" s="0" t="n">
        <v>11404</v>
      </c>
      <c r="T59" s="0" t="n">
        <v>65.95</v>
      </c>
      <c r="U59" s="0" t="n">
        <v>2330</v>
      </c>
      <c r="V59" s="0" t="n">
        <v>2</v>
      </c>
      <c r="W59" s="39" t="n">
        <f aca="false">IF(I59="Male",0,1)</f>
        <v>1</v>
      </c>
      <c r="X59" s="39" t="n">
        <f aca="false">IF(OR(I59="DNB",I59="Dry DNB"),1,0)</f>
        <v>0</v>
      </c>
      <c r="Y59" s="39" t="n">
        <f aca="false">MATCH(A59,DATAS,0)</f>
        <v>1</v>
      </c>
      <c r="Z59" s="39" t="n">
        <f aca="false">IF(AND(E59&gt;0,OR(AND(B59&gt;=1,B59&lt;=6),B59=10)),1,0)</f>
        <v>1</v>
      </c>
      <c r="AA59" s="39" t="n">
        <f aca="false">IF(AND(E59&gt;0,B59=10),1,0)</f>
        <v>0</v>
      </c>
      <c r="AB59" s="0" t="str">
        <f aca="false">IF(AND(C58=C59,Y58=Y59-1),Z58,"")</f>
        <v/>
      </c>
      <c r="AC59" s="0" t="str">
        <f aca="false">IF(AND(C58=C59,Y58=Y59-1),AA58,"")</f>
        <v/>
      </c>
      <c r="AD59" s="0" t="str">
        <f aca="false">IF(Y59=1,"",IF(AND(Z59=1,AB59&lt;&gt;1),1,0))</f>
        <v/>
      </c>
      <c r="AE59" s="0" t="str">
        <f aca="false">IF(Y59=1,"",IF(AND(AA59=1,AC59&lt;&gt;1),1,0))</f>
        <v/>
      </c>
      <c r="AF59" s="45" t="str">
        <f aca="false">IF(AND(E59&gt;0,Y59&lt;1,NOT(AND(C60=C59,Y60=Y59+1))),INDEX(DATAS,Y59+1),"")</f>
        <v/>
      </c>
      <c r="AG59" s="45" t="str">
        <f aca="false">IF(AND(AA59=1,Y59&lt;1),IF(AND(C60=C59,Y60=Y59+1),IF(AA60=1,"",INDEX(DATAS,Y59+1)),INDEX(DATAS,Y59+1)),"")</f>
        <v/>
      </c>
    </row>
    <row r="60" customFormat="false" ht="15" hidden="false" customHeight="false" outlineLevel="0" collapsed="false">
      <c r="A60" s="45" t="n">
        <v>46309</v>
      </c>
      <c r="B60" s="0" t="n">
        <v>3</v>
      </c>
      <c r="C60" s="0" t="n">
        <v>2943</v>
      </c>
      <c r="D60" s="0" t="n">
        <v>74</v>
      </c>
      <c r="E60" s="0" t="n">
        <v>4</v>
      </c>
      <c r="F60" s="39" t="s">
        <v>168</v>
      </c>
      <c r="G60" s="0" t="n">
        <v>67.7</v>
      </c>
      <c r="H60" s="0" t="n">
        <v>66</v>
      </c>
      <c r="I60" s="39" t="s">
        <v>138</v>
      </c>
      <c r="J60" s="0" t="n">
        <v>74</v>
      </c>
      <c r="K60" s="0" t="n">
        <v>67</v>
      </c>
      <c r="M60" s="0" t="n">
        <v>118.18</v>
      </c>
      <c r="N60" s="0" t="n">
        <v>48.19</v>
      </c>
      <c r="O60" s="0" t="n">
        <v>17.77</v>
      </c>
      <c r="P60" s="0" t="n">
        <v>4.35</v>
      </c>
      <c r="Q60" s="0" t="n">
        <v>3.4</v>
      </c>
      <c r="R60" s="0" t="n">
        <v>5152</v>
      </c>
      <c r="S60" s="0" t="n">
        <v>10357</v>
      </c>
      <c r="U60" s="0" t="n">
        <v>2325</v>
      </c>
      <c r="V60" s="0" t="n">
        <v>1</v>
      </c>
      <c r="W60" s="39" t="n">
        <f aca="false">IF(I60="Male",0,1)</f>
        <v>1</v>
      </c>
      <c r="X60" s="39" t="n">
        <f aca="false">IF(OR(I60="DNB",I60="Dry DNB"),1,0)</f>
        <v>0</v>
      </c>
      <c r="Y60" s="39" t="n">
        <f aca="false">MATCH(A60,DATAS,0)</f>
        <v>1</v>
      </c>
      <c r="Z60" s="39" t="n">
        <f aca="false">IF(AND(E60&gt;0,OR(AND(B60&gt;=1,B60&lt;=6),B60=10)),1,0)</f>
        <v>1</v>
      </c>
      <c r="AA60" s="39" t="n">
        <f aca="false">IF(AND(E60&gt;0,B60=10),1,0)</f>
        <v>0</v>
      </c>
      <c r="AB60" s="0" t="str">
        <f aca="false">IF(AND(C59=C60,Y59=Y60-1),Z59,"")</f>
        <v/>
      </c>
      <c r="AC60" s="0" t="str">
        <f aca="false">IF(AND(C59=C60,Y59=Y60-1),AA59,"")</f>
        <v/>
      </c>
      <c r="AD60" s="0" t="str">
        <f aca="false">IF(Y60=1,"",IF(AND(Z60=1,AB60&lt;&gt;1),1,0))</f>
        <v/>
      </c>
      <c r="AE60" s="0" t="str">
        <f aca="false">IF(Y60=1,"",IF(AND(AA60=1,AC60&lt;&gt;1),1,0))</f>
        <v/>
      </c>
      <c r="AF60" s="45" t="str">
        <f aca="false">IF(AND(E60&gt;0,Y60&lt;1,NOT(AND(C61=C60,Y61=Y60+1))),INDEX(DATAS,Y60+1),"")</f>
        <v/>
      </c>
      <c r="AG60" s="45" t="str">
        <f aca="false">IF(AND(AA60=1,Y60&lt;1),IF(AND(C61=C60,Y61=Y60+1),IF(AA61=1,"",INDEX(DATAS,Y60+1)),INDEX(DATAS,Y60+1)),"")</f>
        <v/>
      </c>
    </row>
    <row r="61" customFormat="false" ht="15" hidden="false" customHeight="false" outlineLevel="0" collapsed="false">
      <c r="A61" s="45" t="n">
        <v>46309</v>
      </c>
      <c r="B61" s="0" t="n">
        <v>14</v>
      </c>
      <c r="C61" s="0" t="n">
        <v>2944</v>
      </c>
      <c r="D61" s="0" t="n">
        <v>208</v>
      </c>
      <c r="E61" s="0" t="n">
        <v>4</v>
      </c>
      <c r="F61" s="39" t="s">
        <v>169</v>
      </c>
      <c r="I61" s="39" t="s">
        <v>114</v>
      </c>
      <c r="J61" s="0" t="n">
        <v>104</v>
      </c>
      <c r="K61" s="0" t="n">
        <v>70</v>
      </c>
      <c r="L61" s="0" t="n">
        <v>259</v>
      </c>
      <c r="M61" s="0" t="n">
        <v>972.29</v>
      </c>
      <c r="N61" s="0" t="n">
        <v>10.82</v>
      </c>
      <c r="O61" s="0" t="n">
        <v>13.93</v>
      </c>
      <c r="P61" s="0" t="n">
        <v>3.8</v>
      </c>
      <c r="Q61" s="0" t="n">
        <v>3.15</v>
      </c>
      <c r="R61" s="0" t="n">
        <v>5482</v>
      </c>
      <c r="S61" s="0" t="n">
        <v>9071</v>
      </c>
      <c r="T61" s="0" t="n">
        <v>61.3</v>
      </c>
      <c r="U61" s="0" t="n">
        <v>2324</v>
      </c>
      <c r="V61" s="0" t="n">
        <v>2</v>
      </c>
      <c r="W61" s="39" t="n">
        <f aca="false">IF(I61="Male",0,1)</f>
        <v>1</v>
      </c>
      <c r="X61" s="39" t="n">
        <f aca="false">IF(OR(I61="DNB",I61="Dry DNB"),1,0)</f>
        <v>0</v>
      </c>
      <c r="Y61" s="39" t="n">
        <f aca="false">MATCH(A61,DATAS,0)</f>
        <v>1</v>
      </c>
      <c r="Z61" s="39" t="n">
        <f aca="false">IF(AND(E61&gt;0,OR(AND(B61&gt;=1,B61&lt;=6),B61=10)),1,0)</f>
        <v>0</v>
      </c>
      <c r="AA61" s="39" t="n">
        <f aca="false">IF(AND(E61&gt;0,B61=10),1,0)</f>
        <v>0</v>
      </c>
      <c r="AB61" s="0" t="str">
        <f aca="false">IF(AND(C60=C61,Y60=Y61-1),Z60,"")</f>
        <v/>
      </c>
      <c r="AC61" s="0" t="str">
        <f aca="false">IF(AND(C60=C61,Y60=Y61-1),AA60,"")</f>
        <v/>
      </c>
      <c r="AD61" s="0" t="str">
        <f aca="false">IF(Y61=1,"",IF(AND(Z61=1,AB61&lt;&gt;1),1,0))</f>
        <v/>
      </c>
      <c r="AE61" s="0" t="str">
        <f aca="false">IF(Y61=1,"",IF(AND(AA61=1,AC61&lt;&gt;1),1,0))</f>
        <v/>
      </c>
      <c r="AF61" s="45" t="str">
        <f aca="false">IF(AND(E61&gt;0,Y61&lt;1,NOT(AND(C62=C61,Y62=Y61+1))),INDEX(DATAS,Y61+1),"")</f>
        <v/>
      </c>
      <c r="AG61" s="45" t="str">
        <f aca="false">IF(AND(AA61=1,Y61&lt;1),IF(AND(C62=C61,Y62=Y61+1),IF(AA62=1,"",INDEX(DATAS,Y61+1)),INDEX(DATAS,Y61+1)),"")</f>
        <v/>
      </c>
    </row>
    <row r="62" customFormat="false" ht="15" hidden="false" customHeight="false" outlineLevel="0" collapsed="false">
      <c r="A62" s="45" t="n">
        <v>46309</v>
      </c>
      <c r="B62" s="0" t="n">
        <v>14</v>
      </c>
      <c r="C62" s="0" t="n">
        <v>2964</v>
      </c>
      <c r="D62" s="0" t="n">
        <v>282</v>
      </c>
      <c r="E62" s="0" t="n">
        <v>4</v>
      </c>
      <c r="F62" s="39" t="s">
        <v>170</v>
      </c>
      <c r="I62" s="39" t="s">
        <v>114</v>
      </c>
      <c r="J62" s="0" t="n">
        <v>66</v>
      </c>
      <c r="K62" s="0" t="n">
        <v>66</v>
      </c>
      <c r="L62" s="0" t="n">
        <v>273</v>
      </c>
      <c r="M62" s="0" t="n">
        <v>403.89</v>
      </c>
      <c r="N62" s="0" t="n">
        <v>10.03</v>
      </c>
      <c r="O62" s="0" t="n">
        <v>25.25</v>
      </c>
      <c r="P62" s="0" t="n">
        <v>4.77</v>
      </c>
      <c r="Q62" s="0" t="n">
        <v>3.58</v>
      </c>
      <c r="R62" s="0" t="n">
        <v>5236</v>
      </c>
      <c r="S62" s="0" t="n">
        <v>8405</v>
      </c>
      <c r="T62" s="0" t="n">
        <v>54.4</v>
      </c>
      <c r="U62" s="0" t="n">
        <v>2307</v>
      </c>
      <c r="V62" s="0" t="n">
        <v>1</v>
      </c>
      <c r="W62" s="39" t="n">
        <f aca="false">IF(I62="Male",0,1)</f>
        <v>1</v>
      </c>
      <c r="X62" s="39" t="n">
        <f aca="false">IF(OR(I62="DNB",I62="Dry DNB"),1,0)</f>
        <v>0</v>
      </c>
      <c r="Y62" s="39" t="n">
        <f aca="false">MATCH(A62,DATAS,0)</f>
        <v>1</v>
      </c>
      <c r="Z62" s="39" t="n">
        <f aca="false">IF(AND(E62&gt;0,OR(AND(B62&gt;=1,B62&lt;=6),B62=10)),1,0)</f>
        <v>0</v>
      </c>
      <c r="AA62" s="39" t="n">
        <f aca="false">IF(AND(E62&gt;0,B62=10),1,0)</f>
        <v>0</v>
      </c>
      <c r="AB62" s="0" t="str">
        <f aca="false">IF(AND(C61=C62,Y61=Y62-1),Z61,"")</f>
        <v/>
      </c>
      <c r="AC62" s="0" t="str">
        <f aca="false">IF(AND(C61=C62,Y61=Y62-1),AA61,"")</f>
        <v/>
      </c>
      <c r="AD62" s="0" t="str">
        <f aca="false">IF(Y62=1,"",IF(AND(Z62=1,AB62&lt;&gt;1),1,0))</f>
        <v/>
      </c>
      <c r="AE62" s="0" t="str">
        <f aca="false">IF(Y62=1,"",IF(AND(AA62=1,AC62&lt;&gt;1),1,0))</f>
        <v/>
      </c>
      <c r="AF62" s="45" t="str">
        <f aca="false">IF(AND(E62&gt;0,Y62&lt;1,NOT(AND(C63=C62,Y63=Y62+1))),INDEX(DATAS,Y62+1),"")</f>
        <v/>
      </c>
      <c r="AG62" s="45" t="str">
        <f aca="false">IF(AND(AA62=1,Y62&lt;1),IF(AND(C63=C62,Y63=Y62+1),IF(AA63=1,"",INDEX(DATAS,Y62+1)),INDEX(DATAS,Y62+1)),"")</f>
        <v/>
      </c>
    </row>
    <row r="63" customFormat="false" ht="15" hidden="false" customHeight="false" outlineLevel="0" collapsed="false">
      <c r="A63" s="45" t="n">
        <v>46309</v>
      </c>
      <c r="B63" s="0" t="n">
        <v>6</v>
      </c>
      <c r="C63" s="0" t="n">
        <v>2971</v>
      </c>
      <c r="D63" s="0" t="n">
        <v>173</v>
      </c>
      <c r="E63" s="0" t="n">
        <v>5</v>
      </c>
      <c r="F63" s="39" t="s">
        <v>171</v>
      </c>
      <c r="G63" s="0" t="n">
        <v>28.7</v>
      </c>
      <c r="H63" s="0" t="n">
        <v>28</v>
      </c>
      <c r="I63" s="39" t="s">
        <v>138</v>
      </c>
      <c r="J63" s="0" t="n">
        <v>173</v>
      </c>
      <c r="K63" s="0" t="n">
        <v>68</v>
      </c>
      <c r="M63" s="0" t="n">
        <v>1174.15</v>
      </c>
      <c r="N63" s="0" t="n">
        <v>-13.59</v>
      </c>
      <c r="O63" s="0" t="n">
        <v>16.41</v>
      </c>
      <c r="P63" s="0" t="n">
        <v>3.3</v>
      </c>
      <c r="Q63" s="0" t="n">
        <v>3.1</v>
      </c>
      <c r="R63" s="0" t="n">
        <v>3606</v>
      </c>
      <c r="S63" s="0" t="n">
        <v>6885</v>
      </c>
      <c r="T63" s="0" t="n">
        <v>46.45</v>
      </c>
      <c r="U63" s="0" t="n">
        <v>2297</v>
      </c>
      <c r="V63" s="0" t="n">
        <v>3</v>
      </c>
      <c r="W63" s="39" t="n">
        <f aca="false">IF(I63="Male",0,1)</f>
        <v>1</v>
      </c>
      <c r="X63" s="39" t="n">
        <f aca="false">IF(OR(I63="DNB",I63="Dry DNB"),1,0)</f>
        <v>0</v>
      </c>
      <c r="Y63" s="39" t="n">
        <f aca="false">MATCH(A63,DATAS,0)</f>
        <v>1</v>
      </c>
      <c r="Z63" s="39" t="n">
        <f aca="false">IF(AND(E63&gt;0,OR(AND(B63&gt;=1,B63&lt;=6),B63=10)),1,0)</f>
        <v>1</v>
      </c>
      <c r="AA63" s="39" t="n">
        <f aca="false">IF(AND(E63&gt;0,B63=10),1,0)</f>
        <v>0</v>
      </c>
      <c r="AB63" s="0" t="str">
        <f aca="false">IF(AND(C62=C63,Y62=Y63-1),Z62,"")</f>
        <v/>
      </c>
      <c r="AC63" s="0" t="str">
        <f aca="false">IF(AND(C62=C63,Y62=Y63-1),AA62,"")</f>
        <v/>
      </c>
      <c r="AD63" s="0" t="str">
        <f aca="false">IF(Y63=1,"",IF(AND(Z63=1,AB63&lt;&gt;1),1,0))</f>
        <v/>
      </c>
      <c r="AE63" s="0" t="str">
        <f aca="false">IF(Y63=1,"",IF(AND(AA63=1,AC63&lt;&gt;1),1,0))</f>
        <v/>
      </c>
      <c r="AF63" s="45" t="str">
        <f aca="false">IF(AND(E63&gt;0,Y63&lt;1,NOT(AND(C64=C63,Y64=Y63+1))),INDEX(DATAS,Y63+1),"")</f>
        <v/>
      </c>
      <c r="AG63" s="45" t="str">
        <f aca="false">IF(AND(AA63=1,Y63&lt;1),IF(AND(C64=C63,Y64=Y63+1),IF(AA64=1,"",INDEX(DATAS,Y63+1)),INDEX(DATAS,Y63+1)),"")</f>
        <v/>
      </c>
    </row>
    <row r="64" customFormat="false" ht="15" hidden="false" customHeight="false" outlineLevel="0" collapsed="false">
      <c r="A64" s="45" t="n">
        <v>46309</v>
      </c>
      <c r="B64" s="0" t="n">
        <v>7</v>
      </c>
      <c r="C64" s="0" t="n">
        <v>2973</v>
      </c>
      <c r="D64" s="0" t="n">
        <v>391</v>
      </c>
      <c r="E64" s="0" t="n">
        <v>4</v>
      </c>
      <c r="F64" s="39" t="s">
        <v>172</v>
      </c>
      <c r="I64" s="39" t="s">
        <v>114</v>
      </c>
      <c r="J64" s="0" t="n">
        <v>224</v>
      </c>
      <c r="K64" s="0" t="n">
        <v>63</v>
      </c>
      <c r="L64" s="0" t="n">
        <v>224</v>
      </c>
      <c r="M64" s="0" t="n">
        <v>-231.73</v>
      </c>
      <c r="N64" s="0" t="n">
        <v>30.52</v>
      </c>
      <c r="O64" s="0" t="n">
        <v>2.04</v>
      </c>
      <c r="P64" s="0" t="n">
        <v>5.7</v>
      </c>
      <c r="Q64" s="0" t="n">
        <v>5.01</v>
      </c>
      <c r="R64" s="0" t="n">
        <v>5453</v>
      </c>
      <c r="S64" s="0" t="n">
        <v>10874</v>
      </c>
      <c r="T64" s="0" t="n">
        <v>58.4</v>
      </c>
      <c r="U64" s="0" t="n">
        <v>2292</v>
      </c>
      <c r="V64" s="0" t="n">
        <v>5</v>
      </c>
      <c r="W64" s="39" t="n">
        <f aca="false">IF(I64="Male",0,1)</f>
        <v>1</v>
      </c>
      <c r="X64" s="39" t="n">
        <f aca="false">IF(OR(I64="DNB",I64="Dry DNB"),1,0)</f>
        <v>0</v>
      </c>
      <c r="Y64" s="39" t="n">
        <f aca="false">MATCH(A64,DATAS,0)</f>
        <v>1</v>
      </c>
      <c r="Z64" s="39" t="n">
        <f aca="false">IF(AND(E64&gt;0,OR(AND(B64&gt;=1,B64&lt;=6),B64=10)),1,0)</f>
        <v>0</v>
      </c>
      <c r="AA64" s="39" t="n">
        <f aca="false">IF(AND(E64&gt;0,B64=10),1,0)</f>
        <v>0</v>
      </c>
      <c r="AB64" s="0" t="str">
        <f aca="false">IF(AND(C63=C64,Y63=Y64-1),Z63,"")</f>
        <v/>
      </c>
      <c r="AC64" s="0" t="str">
        <f aca="false">IF(AND(C63=C64,Y63=Y64-1),AA63,"")</f>
        <v/>
      </c>
      <c r="AD64" s="0" t="str">
        <f aca="false">IF(Y64=1,"",IF(AND(Z64=1,AB64&lt;&gt;1),1,0))</f>
        <v/>
      </c>
      <c r="AE64" s="0" t="str">
        <f aca="false">IF(Y64=1,"",IF(AND(AA64=1,AC64&lt;&gt;1),1,0))</f>
        <v/>
      </c>
      <c r="AF64" s="45" t="str">
        <f aca="false">IF(AND(E64&gt;0,Y64&lt;1,NOT(AND(C65=C64,Y65=Y64+1))),INDEX(DATAS,Y64+1),"")</f>
        <v/>
      </c>
      <c r="AG64" s="45" t="str">
        <f aca="false">IF(AND(AA64=1,Y64&lt;1),IF(AND(C65=C64,Y65=Y64+1),IF(AA65=1,"",INDEX(DATAS,Y64+1)),INDEX(DATAS,Y64+1)),"")</f>
        <v/>
      </c>
    </row>
    <row r="65" customFormat="false" ht="15" hidden="false" customHeight="false" outlineLevel="0" collapsed="false">
      <c r="A65" s="45" t="n">
        <v>46309</v>
      </c>
      <c r="B65" s="0" t="n">
        <v>6</v>
      </c>
      <c r="C65" s="0" t="n">
        <v>2981</v>
      </c>
      <c r="D65" s="0" t="n">
        <v>513</v>
      </c>
      <c r="E65" s="0" t="n">
        <v>4</v>
      </c>
      <c r="F65" s="39" t="s">
        <v>173</v>
      </c>
      <c r="G65" s="0" t="n">
        <v>17.7</v>
      </c>
      <c r="H65" s="0" t="n">
        <v>19</v>
      </c>
      <c r="I65" s="39" t="s">
        <v>96</v>
      </c>
      <c r="J65" s="0" t="n">
        <v>513</v>
      </c>
      <c r="K65" s="0" t="n">
        <v>58</v>
      </c>
      <c r="M65" s="0" t="n">
        <v>-179.04</v>
      </c>
      <c r="N65" s="0" t="n">
        <v>13.85</v>
      </c>
      <c r="O65" s="0" t="n">
        <v>4.28</v>
      </c>
      <c r="P65" s="0" t="n">
        <v>6.7</v>
      </c>
      <c r="Q65" s="0" t="n">
        <v>4.81</v>
      </c>
      <c r="R65" s="0" t="n">
        <v>4960</v>
      </c>
      <c r="S65" s="0" t="n">
        <v>10525</v>
      </c>
      <c r="T65" s="0" t="n">
        <v>57.15</v>
      </c>
      <c r="U65" s="0" t="n">
        <v>2285</v>
      </c>
      <c r="V65" s="0" t="n">
        <v>6</v>
      </c>
      <c r="W65" s="39" t="n">
        <f aca="false">IF(I65="Male",0,1)</f>
        <v>1</v>
      </c>
      <c r="X65" s="39" t="n">
        <f aca="false">IF(OR(I65="DNB",I65="Dry DNB"),1,0)</f>
        <v>1</v>
      </c>
      <c r="Y65" s="39" t="n">
        <f aca="false">MATCH(A65,DATAS,0)</f>
        <v>1</v>
      </c>
      <c r="Z65" s="39" t="n">
        <f aca="false">IF(AND(E65&gt;0,OR(AND(B65&gt;=1,B65&lt;=6),B65=10)),1,0)</f>
        <v>1</v>
      </c>
      <c r="AA65" s="39" t="n">
        <f aca="false">IF(AND(E65&gt;0,B65=10),1,0)</f>
        <v>0</v>
      </c>
      <c r="AB65" s="0" t="str">
        <f aca="false">IF(AND(C64=C65,Y64=Y65-1),Z64,"")</f>
        <v/>
      </c>
      <c r="AC65" s="0" t="str">
        <f aca="false">IF(AND(C64=C65,Y64=Y65-1),AA64,"")</f>
        <v/>
      </c>
      <c r="AD65" s="0" t="str">
        <f aca="false">IF(Y65=1,"",IF(AND(Z65=1,AB65&lt;&gt;1),1,0))</f>
        <v/>
      </c>
      <c r="AE65" s="0" t="str">
        <f aca="false">IF(Y65=1,"",IF(AND(AA65=1,AC65&lt;&gt;1),1,0))</f>
        <v/>
      </c>
      <c r="AF65" s="45" t="str">
        <f aca="false">IF(AND(E65&gt;0,Y65&lt;1,NOT(AND(C66=C65,Y66=Y65+1))),INDEX(DATAS,Y65+1),"")</f>
        <v/>
      </c>
      <c r="AG65" s="45" t="str">
        <f aca="false">IF(AND(AA65=1,Y65&lt;1),IF(AND(C66=C65,Y66=Y65+1),IF(AA66=1,"",INDEX(DATAS,Y65+1)),INDEX(DATAS,Y65+1)),"")</f>
        <v/>
      </c>
    </row>
    <row r="66" customFormat="false" ht="15" hidden="false" customHeight="false" outlineLevel="0" collapsed="false">
      <c r="A66" s="45" t="n">
        <v>46309</v>
      </c>
      <c r="B66" s="0" t="n">
        <v>14</v>
      </c>
      <c r="C66" s="0" t="n">
        <v>2987</v>
      </c>
      <c r="D66" s="0" t="n">
        <v>497</v>
      </c>
      <c r="E66" s="0" t="n">
        <v>3</v>
      </c>
      <c r="F66" s="39" t="s">
        <v>174</v>
      </c>
      <c r="I66" s="39" t="s">
        <v>114</v>
      </c>
      <c r="J66" s="0" t="n">
        <v>274</v>
      </c>
      <c r="K66" s="0" t="n">
        <v>64</v>
      </c>
      <c r="L66" s="0" t="n">
        <v>273</v>
      </c>
      <c r="M66" s="0" t="n">
        <v>915.78</v>
      </c>
      <c r="N66" s="0" t="n">
        <v>39.09</v>
      </c>
      <c r="O66" s="0" t="n">
        <v>16.79</v>
      </c>
      <c r="P66" s="0" t="n">
        <v>4.89</v>
      </c>
      <c r="Q66" s="0" t="n">
        <v>3.95</v>
      </c>
      <c r="R66" s="0" t="n">
        <v>5343</v>
      </c>
      <c r="S66" s="0" t="n">
        <v>10708</v>
      </c>
      <c r="T66" s="0" t="n">
        <v>63.1</v>
      </c>
      <c r="U66" s="0" t="n">
        <v>2278</v>
      </c>
      <c r="V66" s="0" t="n">
        <v>5</v>
      </c>
      <c r="W66" s="39" t="n">
        <f aca="false">IF(I66="Male",0,1)</f>
        <v>1</v>
      </c>
      <c r="X66" s="39" t="n">
        <f aca="false">IF(OR(I66="DNB",I66="Dry DNB"),1,0)</f>
        <v>0</v>
      </c>
      <c r="Y66" s="39" t="n">
        <f aca="false">MATCH(A66,DATAS,0)</f>
        <v>1</v>
      </c>
      <c r="Z66" s="39" t="n">
        <f aca="false">IF(AND(E66&gt;0,OR(AND(B66&gt;=1,B66&lt;=6),B66=10)),1,0)</f>
        <v>0</v>
      </c>
      <c r="AA66" s="39" t="n">
        <f aca="false">IF(AND(E66&gt;0,B66=10),1,0)</f>
        <v>0</v>
      </c>
      <c r="AB66" s="0" t="str">
        <f aca="false">IF(AND(C65=C66,Y65=Y66-1),Z65,"")</f>
        <v/>
      </c>
      <c r="AC66" s="0" t="str">
        <f aca="false">IF(AND(C65=C66,Y65=Y66-1),AA65,"")</f>
        <v/>
      </c>
      <c r="AD66" s="0" t="str">
        <f aca="false">IF(Y66=1,"",IF(AND(Z66=1,AB66&lt;&gt;1),1,0))</f>
        <v/>
      </c>
      <c r="AE66" s="0" t="str">
        <f aca="false">IF(Y66=1,"",IF(AND(AA66=1,AC66&lt;&gt;1),1,0))</f>
        <v/>
      </c>
      <c r="AF66" s="45" t="str">
        <f aca="false">IF(AND(E66&gt;0,Y66&lt;1,NOT(AND(C67=C66,Y67=Y66+1))),INDEX(DATAS,Y66+1),"")</f>
        <v/>
      </c>
      <c r="AG66" s="45" t="str">
        <f aca="false">IF(AND(AA66=1,Y66&lt;1),IF(AND(C67=C66,Y67=Y66+1),IF(AA67=1,"",INDEX(DATAS,Y66+1)),INDEX(DATAS,Y66+1)),"")</f>
        <v/>
      </c>
    </row>
    <row r="67" customFormat="false" ht="15" hidden="false" customHeight="false" outlineLevel="0" collapsed="false">
      <c r="A67" s="45" t="n">
        <v>46309</v>
      </c>
      <c r="B67" s="0" t="n">
        <v>5</v>
      </c>
      <c r="C67" s="0" t="n">
        <v>2988</v>
      </c>
      <c r="D67" s="0" t="n">
        <v>250</v>
      </c>
      <c r="E67" s="0" t="n">
        <v>4</v>
      </c>
      <c r="F67" s="39" t="s">
        <v>175</v>
      </c>
      <c r="G67" s="0" t="n">
        <v>50.9</v>
      </c>
      <c r="H67" s="0" t="n">
        <v>50</v>
      </c>
      <c r="I67" s="39" t="s">
        <v>96</v>
      </c>
      <c r="J67" s="0" t="n">
        <v>250</v>
      </c>
      <c r="K67" s="0" t="n">
        <v>89</v>
      </c>
      <c r="P67" s="0" t="n">
        <v>2.86</v>
      </c>
      <c r="Q67" s="0" t="n">
        <v>2.95</v>
      </c>
      <c r="R67" s="0" t="n">
        <v>5585</v>
      </c>
      <c r="S67" s="0" t="n">
        <v>10898</v>
      </c>
      <c r="T67" s="0" t="n">
        <v>69.35</v>
      </c>
      <c r="U67" s="0" t="n">
        <v>2277</v>
      </c>
      <c r="V67" s="0" t="n">
        <v>3</v>
      </c>
      <c r="W67" s="39" t="n">
        <f aca="false">IF(I67="Male",0,1)</f>
        <v>1</v>
      </c>
      <c r="X67" s="39" t="n">
        <f aca="false">IF(OR(I67="DNB",I67="Dry DNB"),1,0)</f>
        <v>1</v>
      </c>
      <c r="Y67" s="39" t="n">
        <f aca="false">MATCH(A67,DATAS,0)</f>
        <v>1</v>
      </c>
      <c r="Z67" s="39" t="n">
        <f aca="false">IF(AND(E67&gt;0,OR(AND(B67&gt;=1,B67&lt;=6),B67=10)),1,0)</f>
        <v>1</v>
      </c>
      <c r="AA67" s="39" t="n">
        <f aca="false">IF(AND(E67&gt;0,B67=10),1,0)</f>
        <v>0</v>
      </c>
      <c r="AB67" s="0" t="str">
        <f aca="false">IF(AND(C66=C67,Y66=Y67-1),Z66,"")</f>
        <v/>
      </c>
      <c r="AC67" s="0" t="str">
        <f aca="false">IF(AND(C66=C67,Y66=Y67-1),AA66,"")</f>
        <v/>
      </c>
      <c r="AD67" s="0" t="str">
        <f aca="false">IF(Y67=1,"",IF(AND(Z67=1,AB67&lt;&gt;1),1,0))</f>
        <v/>
      </c>
      <c r="AE67" s="0" t="str">
        <f aca="false">IF(Y67=1,"",IF(AND(AA67=1,AC67&lt;&gt;1),1,0))</f>
        <v/>
      </c>
      <c r="AF67" s="45" t="str">
        <f aca="false">IF(AND(E67&gt;0,Y67&lt;1,NOT(AND(C68=C67,Y68=Y67+1))),INDEX(DATAS,Y67+1),"")</f>
        <v/>
      </c>
      <c r="AG67" s="45" t="str">
        <f aca="false">IF(AND(AA67=1,Y67&lt;1),IF(AND(C68=C67,Y68=Y67+1),IF(AA68=1,"",INDEX(DATAS,Y67+1)),INDEX(DATAS,Y67+1)),"")</f>
        <v/>
      </c>
    </row>
    <row r="68" customFormat="false" ht="15" hidden="false" customHeight="false" outlineLevel="0" collapsed="false">
      <c r="A68" s="45" t="n">
        <v>46309</v>
      </c>
      <c r="B68" s="0" t="n">
        <v>14</v>
      </c>
      <c r="C68" s="0" t="n">
        <v>3009</v>
      </c>
      <c r="D68" s="0" t="n">
        <v>342</v>
      </c>
      <c r="E68" s="0" t="n">
        <v>4</v>
      </c>
      <c r="F68" s="39" t="s">
        <v>176</v>
      </c>
      <c r="I68" s="39" t="s">
        <v>114</v>
      </c>
      <c r="J68" s="0" t="n">
        <v>119</v>
      </c>
      <c r="K68" s="0" t="n">
        <v>63</v>
      </c>
      <c r="L68" s="0" t="n">
        <v>266</v>
      </c>
      <c r="M68" s="0" t="n">
        <v>371.76</v>
      </c>
      <c r="N68" s="0" t="n">
        <v>11.3</v>
      </c>
      <c r="O68" s="0" t="n">
        <v>20.13</v>
      </c>
      <c r="P68" s="0" t="n">
        <v>4.88</v>
      </c>
      <c r="Q68" s="0" t="n">
        <v>3.89</v>
      </c>
      <c r="R68" s="0" t="n">
        <v>5552</v>
      </c>
      <c r="S68" s="0" t="n">
        <v>10622</v>
      </c>
      <c r="T68" s="0" t="n">
        <v>58.75</v>
      </c>
      <c r="U68" s="0" t="n">
        <v>2259</v>
      </c>
      <c r="V68" s="0" t="n">
        <v>3</v>
      </c>
      <c r="W68" s="39" t="n">
        <f aca="false">IF(I68="Male",0,1)</f>
        <v>1</v>
      </c>
      <c r="X68" s="39" t="n">
        <f aca="false">IF(OR(I68="DNB",I68="Dry DNB"),1,0)</f>
        <v>0</v>
      </c>
      <c r="Y68" s="39" t="n">
        <f aca="false">MATCH(A68,DATAS,0)</f>
        <v>1</v>
      </c>
      <c r="Z68" s="39" t="n">
        <f aca="false">IF(AND(E68&gt;0,OR(AND(B68&gt;=1,B68&lt;=6),B68=10)),1,0)</f>
        <v>0</v>
      </c>
      <c r="AA68" s="39" t="n">
        <f aca="false">IF(AND(E68&gt;0,B68=10),1,0)</f>
        <v>0</v>
      </c>
      <c r="AB68" s="0" t="str">
        <f aca="false">IF(AND(C67=C68,Y67=Y68-1),Z67,"")</f>
        <v/>
      </c>
      <c r="AC68" s="0" t="str">
        <f aca="false">IF(AND(C67=C68,Y67=Y68-1),AA67,"")</f>
        <v/>
      </c>
      <c r="AD68" s="0" t="str">
        <f aca="false">IF(Y68=1,"",IF(AND(Z68=1,AB68&lt;&gt;1),1,0))</f>
        <v/>
      </c>
      <c r="AE68" s="0" t="str">
        <f aca="false">IF(Y68=1,"",IF(AND(AA68=1,AC68&lt;&gt;1),1,0))</f>
        <v/>
      </c>
      <c r="AF68" s="45" t="str">
        <f aca="false">IF(AND(E68&gt;0,Y68&lt;1,NOT(AND(C69=C68,Y69=Y68+1))),INDEX(DATAS,Y68+1),"")</f>
        <v/>
      </c>
      <c r="AG68" s="45" t="str">
        <f aca="false">IF(AND(AA68=1,Y68&lt;1),IF(AND(C69=C68,Y69=Y68+1),IF(AA69=1,"",INDEX(DATAS,Y68+1)),INDEX(DATAS,Y68+1)),"")</f>
        <v/>
      </c>
    </row>
    <row r="69" customFormat="false" ht="15" hidden="false" customHeight="false" outlineLevel="0" collapsed="false">
      <c r="A69" s="45" t="n">
        <v>46309</v>
      </c>
      <c r="B69" s="0" t="n">
        <v>5</v>
      </c>
      <c r="C69" s="0" t="n">
        <v>3025</v>
      </c>
      <c r="D69" s="0" t="n">
        <v>407</v>
      </c>
      <c r="E69" s="0" t="n">
        <v>3</v>
      </c>
      <c r="F69" s="39" t="s">
        <v>177</v>
      </c>
      <c r="G69" s="0" t="n">
        <v>32.1</v>
      </c>
      <c r="H69" s="0" t="n">
        <v>27</v>
      </c>
      <c r="I69" s="39" t="s">
        <v>138</v>
      </c>
      <c r="J69" s="0" t="n">
        <v>407</v>
      </c>
      <c r="K69" s="0" t="n">
        <v>64</v>
      </c>
      <c r="M69" s="0" t="n">
        <v>1069.94</v>
      </c>
      <c r="N69" s="0" t="n">
        <v>7.2</v>
      </c>
      <c r="O69" s="0" t="n">
        <v>19.91</v>
      </c>
      <c r="P69" s="0" t="n">
        <v>3.91</v>
      </c>
      <c r="Q69" s="0" t="n">
        <v>3.45</v>
      </c>
      <c r="R69" s="0" t="n">
        <v>6310</v>
      </c>
      <c r="S69" s="0" t="n">
        <v>9797</v>
      </c>
      <c r="T69" s="0" t="n">
        <v>74.6</v>
      </c>
      <c r="U69" s="0" t="n">
        <v>2245</v>
      </c>
      <c r="V69" s="0" t="n">
        <v>7</v>
      </c>
      <c r="W69" s="39" t="n">
        <f aca="false">IF(I69="Male",0,1)</f>
        <v>1</v>
      </c>
      <c r="X69" s="39" t="n">
        <f aca="false">IF(OR(I69="DNB",I69="Dry DNB"),1,0)</f>
        <v>0</v>
      </c>
      <c r="Y69" s="39" t="n">
        <f aca="false">MATCH(A69,DATAS,0)</f>
        <v>1</v>
      </c>
      <c r="Z69" s="39" t="n">
        <f aca="false">IF(AND(E69&gt;0,OR(AND(B69&gt;=1,B69&lt;=6),B69=10)),1,0)</f>
        <v>1</v>
      </c>
      <c r="AA69" s="39" t="n">
        <f aca="false">IF(AND(E69&gt;0,B69=10),1,0)</f>
        <v>0</v>
      </c>
      <c r="AB69" s="0" t="str">
        <f aca="false">IF(AND(C68=C69,Y68=Y69-1),Z68,"")</f>
        <v/>
      </c>
      <c r="AC69" s="0" t="str">
        <f aca="false">IF(AND(C68=C69,Y68=Y69-1),AA68,"")</f>
        <v/>
      </c>
      <c r="AD69" s="0" t="str">
        <f aca="false">IF(Y69=1,"",IF(AND(Z69=1,AB69&lt;&gt;1),1,0))</f>
        <v/>
      </c>
      <c r="AE69" s="0" t="str">
        <f aca="false">IF(Y69=1,"",IF(AND(AA69=1,AC69&lt;&gt;1),1,0))</f>
        <v/>
      </c>
      <c r="AF69" s="45" t="str">
        <f aca="false">IF(AND(E69&gt;0,Y69&lt;1,NOT(AND(C70=C69,Y70=Y69+1))),INDEX(DATAS,Y69+1),"")</f>
        <v/>
      </c>
      <c r="AG69" s="45" t="str">
        <f aca="false">IF(AND(AA69=1,Y69&lt;1),IF(AND(C70=C69,Y70=Y69+1),IF(AA70=1,"",INDEX(DATAS,Y69+1)),INDEX(DATAS,Y69+1)),"")</f>
        <v/>
      </c>
    </row>
    <row r="70" customFormat="false" ht="15" hidden="false" customHeight="false" outlineLevel="0" collapsed="false">
      <c r="A70" s="45" t="n">
        <v>46309</v>
      </c>
      <c r="B70" s="0" t="n">
        <v>9</v>
      </c>
      <c r="C70" s="0" t="n">
        <v>3028</v>
      </c>
      <c r="D70" s="0" t="n">
        <v>389</v>
      </c>
      <c r="E70" s="0" t="n">
        <v>3</v>
      </c>
      <c r="F70" s="39" t="s">
        <v>178</v>
      </c>
      <c r="I70" s="39" t="s">
        <v>114</v>
      </c>
      <c r="J70" s="0" t="n">
        <v>166</v>
      </c>
      <c r="K70" s="0" t="n">
        <v>61</v>
      </c>
      <c r="L70" s="0" t="n">
        <v>273</v>
      </c>
      <c r="M70" s="0" t="n">
        <v>636.34</v>
      </c>
      <c r="N70" s="0" t="n">
        <v>9.91</v>
      </c>
      <c r="O70" s="0" t="n">
        <v>15.38</v>
      </c>
      <c r="P70" s="0" t="n">
        <v>4.11</v>
      </c>
      <c r="Q70" s="0" t="n">
        <v>3.56</v>
      </c>
      <c r="R70" s="0" t="n">
        <v>5884</v>
      </c>
      <c r="S70" s="0" t="n">
        <v>12367</v>
      </c>
      <c r="T70" s="0" t="n">
        <v>67.7</v>
      </c>
      <c r="U70" s="0" t="n">
        <v>2244</v>
      </c>
      <c r="V70" s="0" t="n">
        <v>4</v>
      </c>
      <c r="W70" s="39" t="n">
        <f aca="false">IF(I70="Male",0,1)</f>
        <v>1</v>
      </c>
      <c r="X70" s="39" t="n">
        <f aca="false">IF(OR(I70="DNB",I70="Dry DNB"),1,0)</f>
        <v>0</v>
      </c>
      <c r="Y70" s="39" t="n">
        <f aca="false">MATCH(A70,DATAS,0)</f>
        <v>1</v>
      </c>
      <c r="Z70" s="39" t="n">
        <f aca="false">IF(AND(E70&gt;0,OR(AND(B70&gt;=1,B70&lt;=6),B70=10)),1,0)</f>
        <v>0</v>
      </c>
      <c r="AA70" s="39" t="n">
        <f aca="false">IF(AND(E70&gt;0,B70=10),1,0)</f>
        <v>0</v>
      </c>
      <c r="AB70" s="0" t="str">
        <f aca="false">IF(AND(C69=C70,Y69=Y70-1),Z69,"")</f>
        <v/>
      </c>
      <c r="AC70" s="0" t="str">
        <f aca="false">IF(AND(C69=C70,Y69=Y70-1),AA69,"")</f>
        <v/>
      </c>
      <c r="AD70" s="0" t="str">
        <f aca="false">IF(Y70=1,"",IF(AND(Z70=1,AB70&lt;&gt;1),1,0))</f>
        <v/>
      </c>
      <c r="AE70" s="0" t="str">
        <f aca="false">IF(Y70=1,"",IF(AND(AA70=1,AC70&lt;&gt;1),1,0))</f>
        <v/>
      </c>
      <c r="AF70" s="45" t="str">
        <f aca="false">IF(AND(E70&gt;0,Y70&lt;1,NOT(AND(C71=C70,Y71=Y70+1))),INDEX(DATAS,Y70+1),"")</f>
        <v/>
      </c>
      <c r="AG70" s="45" t="str">
        <f aca="false">IF(AND(AA70=1,Y70&lt;1),IF(AND(C71=C70,Y71=Y70+1),IF(AA71=1,"",INDEX(DATAS,Y70+1)),INDEX(DATAS,Y70+1)),"")</f>
        <v/>
      </c>
    </row>
    <row r="71" customFormat="false" ht="15" hidden="false" customHeight="false" outlineLevel="0" collapsed="false">
      <c r="A71" s="45" t="n">
        <v>46309</v>
      </c>
      <c r="B71" s="0" t="n">
        <v>6</v>
      </c>
      <c r="C71" s="0" t="n">
        <v>3039</v>
      </c>
      <c r="D71" s="0" t="n">
        <v>134</v>
      </c>
      <c r="E71" s="0" t="n">
        <v>4</v>
      </c>
      <c r="F71" s="39" t="s">
        <v>179</v>
      </c>
      <c r="G71" s="0" t="n">
        <v>14.6</v>
      </c>
      <c r="H71" s="0" t="n">
        <v>23</v>
      </c>
      <c r="I71" s="39" t="s">
        <v>96</v>
      </c>
      <c r="J71" s="0" t="n">
        <v>134</v>
      </c>
      <c r="K71" s="0" t="n">
        <v>64</v>
      </c>
      <c r="M71" s="0" t="n">
        <v>1581.34</v>
      </c>
      <c r="N71" s="0" t="n">
        <v>24.37</v>
      </c>
      <c r="O71" s="0" t="n">
        <v>29.28</v>
      </c>
      <c r="P71" s="0" t="n">
        <v>4.07</v>
      </c>
      <c r="Q71" s="0" t="n">
        <v>2.88</v>
      </c>
      <c r="R71" s="0" t="n">
        <v>2999</v>
      </c>
      <c r="S71" s="0" t="n">
        <v>5537</v>
      </c>
      <c r="T71" s="0" t="n">
        <v>31.6</v>
      </c>
      <c r="U71" s="0" t="n">
        <v>2230</v>
      </c>
      <c r="V71" s="0" t="n">
        <v>1</v>
      </c>
      <c r="W71" s="39" t="n">
        <f aca="false">IF(I71="Male",0,1)</f>
        <v>1</v>
      </c>
      <c r="X71" s="39" t="n">
        <f aca="false">IF(OR(I71="DNB",I71="Dry DNB"),1,0)</f>
        <v>1</v>
      </c>
      <c r="Y71" s="39" t="n">
        <f aca="false">MATCH(A71,DATAS,0)</f>
        <v>1</v>
      </c>
      <c r="Z71" s="39" t="n">
        <f aca="false">IF(AND(E71&gt;0,OR(AND(B71&gt;=1,B71&lt;=6),B71=10)),1,0)</f>
        <v>1</v>
      </c>
      <c r="AA71" s="39" t="n">
        <f aca="false">IF(AND(E71&gt;0,B71=10),1,0)</f>
        <v>0</v>
      </c>
      <c r="AB71" s="0" t="str">
        <f aca="false">IF(AND(C70=C71,Y70=Y71-1),Z70,"")</f>
        <v/>
      </c>
      <c r="AC71" s="0" t="str">
        <f aca="false">IF(AND(C70=C71,Y70=Y71-1),AA70,"")</f>
        <v/>
      </c>
      <c r="AD71" s="0" t="str">
        <f aca="false">IF(Y71=1,"",IF(AND(Z71=1,AB71&lt;&gt;1),1,0))</f>
        <v/>
      </c>
      <c r="AE71" s="0" t="str">
        <f aca="false">IF(Y71=1,"",IF(AND(AA71=1,AC71&lt;&gt;1),1,0))</f>
        <v/>
      </c>
      <c r="AF71" s="45" t="str">
        <f aca="false">IF(AND(E71&gt;0,Y71&lt;1,NOT(AND(C72=C71,Y72=Y71+1))),INDEX(DATAS,Y71+1),"")</f>
        <v/>
      </c>
      <c r="AG71" s="45" t="str">
        <f aca="false">IF(AND(AA71=1,Y71&lt;1),IF(AND(C72=C71,Y72=Y71+1),IF(AA72=1,"",INDEX(DATAS,Y71+1)),INDEX(DATAS,Y71+1)),"")</f>
        <v/>
      </c>
    </row>
    <row r="72" customFormat="false" ht="15" hidden="false" customHeight="false" outlineLevel="0" collapsed="false">
      <c r="A72" s="45" t="n">
        <v>46309</v>
      </c>
      <c r="B72" s="0" t="n">
        <v>6</v>
      </c>
      <c r="C72" s="0" t="n">
        <v>3050</v>
      </c>
      <c r="D72" s="0" t="n">
        <v>117</v>
      </c>
      <c r="E72" s="0" t="n">
        <v>5</v>
      </c>
      <c r="F72" s="39" t="s">
        <v>180</v>
      </c>
      <c r="G72" s="0" t="n">
        <v>29.1</v>
      </c>
      <c r="H72" s="0" t="n">
        <v>31</v>
      </c>
      <c r="I72" s="39" t="s">
        <v>138</v>
      </c>
      <c r="J72" s="0" t="n">
        <v>117</v>
      </c>
      <c r="K72" s="0" t="n">
        <v>89</v>
      </c>
      <c r="M72" s="0" t="n">
        <v>1204.13</v>
      </c>
      <c r="N72" s="0" t="n">
        <v>11.34</v>
      </c>
      <c r="O72" s="0" t="n">
        <v>29.93</v>
      </c>
      <c r="P72" s="0" t="n">
        <v>4.66</v>
      </c>
      <c r="Q72" s="0" t="n">
        <v>3.33</v>
      </c>
      <c r="R72" s="0" t="n">
        <v>3984</v>
      </c>
      <c r="S72" s="0" t="n">
        <v>7878</v>
      </c>
      <c r="T72" s="0" t="n">
        <v>41.6</v>
      </c>
      <c r="U72" s="0" t="n">
        <v>2223</v>
      </c>
      <c r="V72" s="0" t="n">
        <v>1</v>
      </c>
      <c r="W72" s="39" t="n">
        <f aca="false">IF(I72="Male",0,1)</f>
        <v>1</v>
      </c>
      <c r="X72" s="39" t="n">
        <f aca="false">IF(OR(I72="DNB",I72="Dry DNB"),1,0)</f>
        <v>0</v>
      </c>
      <c r="Y72" s="39" t="n">
        <f aca="false">MATCH(A72,DATAS,0)</f>
        <v>1</v>
      </c>
      <c r="Z72" s="39" t="n">
        <f aca="false">IF(AND(E72&gt;0,OR(AND(B72&gt;=1,B72&lt;=6),B72=10)),1,0)</f>
        <v>1</v>
      </c>
      <c r="AA72" s="39" t="n">
        <f aca="false">IF(AND(E72&gt;0,B72=10),1,0)</f>
        <v>0</v>
      </c>
      <c r="AB72" s="0" t="str">
        <f aca="false">IF(AND(C71=C72,Y71=Y72-1),Z71,"")</f>
        <v/>
      </c>
      <c r="AC72" s="0" t="str">
        <f aca="false">IF(AND(C71=C72,Y71=Y72-1),AA71,"")</f>
        <v/>
      </c>
      <c r="AD72" s="0" t="str">
        <f aca="false">IF(Y72=1,"",IF(AND(Z72=1,AB72&lt;&gt;1),1,0))</f>
        <v/>
      </c>
      <c r="AE72" s="0" t="str">
        <f aca="false">IF(Y72=1,"",IF(AND(AA72=1,AC72&lt;&gt;1),1,0))</f>
        <v/>
      </c>
      <c r="AF72" s="45" t="str">
        <f aca="false">IF(AND(E72&gt;0,Y72&lt;1,NOT(AND(C73=C72,Y73=Y72+1))),INDEX(DATAS,Y72+1),"")</f>
        <v/>
      </c>
      <c r="AG72" s="45" t="str">
        <f aca="false">IF(AND(AA72=1,Y72&lt;1),IF(AND(C73=C72,Y73=Y72+1),IF(AA73=1,"",INDEX(DATAS,Y72+1)),INDEX(DATAS,Y72+1)),"")</f>
        <v/>
      </c>
    </row>
    <row r="73" customFormat="false" ht="15" hidden="false" customHeight="false" outlineLevel="0" collapsed="false">
      <c r="A73" s="45" t="n">
        <v>46309</v>
      </c>
      <c r="B73" s="0" t="n">
        <v>7</v>
      </c>
      <c r="C73" s="0" t="n">
        <v>3053</v>
      </c>
      <c r="D73" s="0" t="n">
        <v>290</v>
      </c>
      <c r="E73" s="0" t="n">
        <v>4</v>
      </c>
      <c r="F73" s="39" t="s">
        <v>181</v>
      </c>
      <c r="I73" s="39" t="s">
        <v>114</v>
      </c>
      <c r="J73" s="0" t="n">
        <v>67</v>
      </c>
      <c r="K73" s="0" t="n">
        <v>67</v>
      </c>
      <c r="L73" s="0" t="n">
        <v>231</v>
      </c>
      <c r="M73" s="0" t="n">
        <v>848.21</v>
      </c>
      <c r="N73" s="0" t="n">
        <v>-3.85</v>
      </c>
      <c r="O73" s="0" t="n">
        <v>15.72</v>
      </c>
      <c r="P73" s="0" t="n">
        <v>3.56</v>
      </c>
      <c r="Q73" s="0" t="n">
        <v>3.12</v>
      </c>
      <c r="R73" s="0" t="n">
        <v>5254</v>
      </c>
      <c r="S73" s="0" t="n">
        <v>10507</v>
      </c>
      <c r="T73" s="0" t="n">
        <v>54.95</v>
      </c>
      <c r="U73" s="0" t="n">
        <v>2219</v>
      </c>
      <c r="V73" s="0" t="n">
        <v>1</v>
      </c>
      <c r="W73" s="39" t="n">
        <f aca="false">IF(I73="Male",0,1)</f>
        <v>1</v>
      </c>
      <c r="X73" s="39" t="n">
        <f aca="false">IF(OR(I73="DNB",I73="Dry DNB"),1,0)</f>
        <v>0</v>
      </c>
      <c r="Y73" s="39" t="n">
        <f aca="false">MATCH(A73,DATAS,0)</f>
        <v>1</v>
      </c>
      <c r="Z73" s="39" t="n">
        <f aca="false">IF(AND(E73&gt;0,OR(AND(B73&gt;=1,B73&lt;=6),B73=10)),1,0)</f>
        <v>0</v>
      </c>
      <c r="AA73" s="39" t="n">
        <f aca="false">IF(AND(E73&gt;0,B73=10),1,0)</f>
        <v>0</v>
      </c>
      <c r="AB73" s="0" t="str">
        <f aca="false">IF(AND(C72=C73,Y72=Y73-1),Z72,"")</f>
        <v/>
      </c>
      <c r="AC73" s="0" t="str">
        <f aca="false">IF(AND(C72=C73,Y72=Y73-1),AA72,"")</f>
        <v/>
      </c>
      <c r="AD73" s="0" t="str">
        <f aca="false">IF(Y73=1,"",IF(AND(Z73=1,AB73&lt;&gt;1),1,0))</f>
        <v/>
      </c>
      <c r="AE73" s="0" t="str">
        <f aca="false">IF(Y73=1,"",IF(AND(AA73=1,AC73&lt;&gt;1),1,0))</f>
        <v/>
      </c>
      <c r="AF73" s="45" t="str">
        <f aca="false">IF(AND(E73&gt;0,Y73&lt;1,NOT(AND(C74=C73,Y74=Y73+1))),INDEX(DATAS,Y73+1),"")</f>
        <v/>
      </c>
      <c r="AG73" s="45" t="str">
        <f aca="false">IF(AND(AA73=1,Y73&lt;1),IF(AND(C74=C73,Y74=Y73+1),IF(AA74=1,"",INDEX(DATAS,Y73+1)),INDEX(DATAS,Y73+1)),"")</f>
        <v/>
      </c>
    </row>
    <row r="74" customFormat="false" ht="15" hidden="false" customHeight="false" outlineLevel="0" collapsed="false">
      <c r="A74" s="45" t="n">
        <v>46309</v>
      </c>
      <c r="B74" s="0" t="n">
        <v>6</v>
      </c>
      <c r="C74" s="0" t="n">
        <v>3060</v>
      </c>
      <c r="D74" s="0" t="n">
        <v>363</v>
      </c>
      <c r="E74" s="0" t="n">
        <v>4</v>
      </c>
      <c r="F74" s="39" t="s">
        <v>182</v>
      </c>
      <c r="H74" s="0" t="n">
        <v>21</v>
      </c>
      <c r="I74" s="39" t="s">
        <v>109</v>
      </c>
      <c r="J74" s="0" t="n">
        <v>230</v>
      </c>
      <c r="K74" s="0" t="n">
        <v>70</v>
      </c>
      <c r="L74" s="0" t="n">
        <v>133</v>
      </c>
      <c r="M74" s="0" t="n">
        <v>311.62</v>
      </c>
      <c r="N74" s="0" t="n">
        <v>30.1</v>
      </c>
      <c r="O74" s="0" t="n">
        <v>17.86</v>
      </c>
      <c r="P74" s="0" t="n">
        <v>3.92</v>
      </c>
      <c r="Q74" s="0" t="n">
        <v>4.02</v>
      </c>
      <c r="R74" s="0" t="n">
        <v>5889</v>
      </c>
      <c r="S74" s="0" t="n">
        <v>11688</v>
      </c>
      <c r="T74" s="0" t="n">
        <v>64.4</v>
      </c>
      <c r="U74" s="0" t="n">
        <v>2216</v>
      </c>
      <c r="V74" s="0" t="n">
        <v>5</v>
      </c>
      <c r="W74" s="39" t="n">
        <f aca="false">IF(I74="Male",0,1)</f>
        <v>1</v>
      </c>
      <c r="X74" s="39" t="n">
        <f aca="false">IF(OR(I74="DNB",I74="Dry DNB"),1,0)</f>
        <v>0</v>
      </c>
      <c r="Y74" s="39" t="n">
        <f aca="false">MATCH(A74,DATAS,0)</f>
        <v>1</v>
      </c>
      <c r="Z74" s="39" t="n">
        <f aca="false">IF(AND(E74&gt;0,OR(AND(B74&gt;=1,B74&lt;=6),B74=10)),1,0)</f>
        <v>1</v>
      </c>
      <c r="AA74" s="39" t="n">
        <f aca="false">IF(AND(E74&gt;0,B74=10),1,0)</f>
        <v>0</v>
      </c>
      <c r="AB74" s="0" t="str">
        <f aca="false">IF(AND(C73=C74,Y73=Y74-1),Z73,"")</f>
        <v/>
      </c>
      <c r="AC74" s="0" t="str">
        <f aca="false">IF(AND(C73=C74,Y73=Y74-1),AA73,"")</f>
        <v/>
      </c>
      <c r="AD74" s="0" t="str">
        <f aca="false">IF(Y74=1,"",IF(AND(Z74=1,AB74&lt;&gt;1),1,0))</f>
        <v/>
      </c>
      <c r="AE74" s="0" t="str">
        <f aca="false">IF(Y74=1,"",IF(AND(AA74=1,AC74&lt;&gt;1),1,0))</f>
        <v/>
      </c>
      <c r="AF74" s="45" t="str">
        <f aca="false">IF(AND(E74&gt;0,Y74&lt;1,NOT(AND(C75=C74,Y75=Y74+1))),INDEX(DATAS,Y74+1),"")</f>
        <v/>
      </c>
      <c r="AG74" s="45" t="str">
        <f aca="false">IF(AND(AA74=1,Y74&lt;1),IF(AND(C75=C74,Y75=Y74+1),IF(AA75=1,"",INDEX(DATAS,Y74+1)),INDEX(DATAS,Y74+1)),"")</f>
        <v/>
      </c>
    </row>
    <row r="75" customFormat="false" ht="15" hidden="false" customHeight="false" outlineLevel="0" collapsed="false">
      <c r="A75" s="45" t="n">
        <v>46309</v>
      </c>
      <c r="B75" s="0" t="n">
        <v>7</v>
      </c>
      <c r="C75" s="0" t="n">
        <v>3066</v>
      </c>
      <c r="D75" s="0" t="n">
        <v>347</v>
      </c>
      <c r="E75" s="0" t="n">
        <v>4</v>
      </c>
      <c r="F75" s="39" t="s">
        <v>183</v>
      </c>
      <c r="I75" s="39" t="s">
        <v>114</v>
      </c>
      <c r="J75" s="0" t="n">
        <v>124</v>
      </c>
      <c r="K75" s="0" t="n">
        <v>69</v>
      </c>
      <c r="L75" s="0" t="n">
        <v>245</v>
      </c>
      <c r="M75" s="0" t="n">
        <v>280.83</v>
      </c>
      <c r="N75" s="0" t="n">
        <v>19.84</v>
      </c>
      <c r="O75" s="0" t="n">
        <v>17.52</v>
      </c>
      <c r="P75" s="0" t="n">
        <v>4.54</v>
      </c>
      <c r="Q75" s="0" t="n">
        <v>3.47</v>
      </c>
      <c r="R75" s="0" t="n">
        <v>5683</v>
      </c>
      <c r="S75" s="0" t="n">
        <v>11535</v>
      </c>
      <c r="T75" s="0" t="n">
        <v>61</v>
      </c>
      <c r="U75" s="0" t="n">
        <v>2213</v>
      </c>
      <c r="V75" s="0" t="n">
        <v>3</v>
      </c>
      <c r="W75" s="39" t="n">
        <f aca="false">IF(I75="Male",0,1)</f>
        <v>1</v>
      </c>
      <c r="X75" s="39" t="n">
        <f aca="false">IF(OR(I75="DNB",I75="Dry DNB"),1,0)</f>
        <v>0</v>
      </c>
      <c r="Y75" s="39" t="n">
        <f aca="false">MATCH(A75,DATAS,0)</f>
        <v>1</v>
      </c>
      <c r="Z75" s="39" t="n">
        <f aca="false">IF(AND(E75&gt;0,OR(AND(B75&gt;=1,B75&lt;=6),B75=10)),1,0)</f>
        <v>0</v>
      </c>
      <c r="AA75" s="39" t="n">
        <f aca="false">IF(AND(E75&gt;0,B75=10),1,0)</f>
        <v>0</v>
      </c>
      <c r="AB75" s="0" t="str">
        <f aca="false">IF(AND(C74=C75,Y74=Y75-1),Z74,"")</f>
        <v/>
      </c>
      <c r="AC75" s="0" t="str">
        <f aca="false">IF(AND(C74=C75,Y74=Y75-1),AA74,"")</f>
        <v/>
      </c>
      <c r="AD75" s="0" t="str">
        <f aca="false">IF(Y75=1,"",IF(AND(Z75=1,AB75&lt;&gt;1),1,0))</f>
        <v/>
      </c>
      <c r="AE75" s="0" t="str">
        <f aca="false">IF(Y75=1,"",IF(AND(AA75=1,AC75&lt;&gt;1),1,0))</f>
        <v/>
      </c>
      <c r="AF75" s="45" t="str">
        <f aca="false">IF(AND(E75&gt;0,Y75&lt;1,NOT(AND(C76=C75,Y76=Y75+1))),INDEX(DATAS,Y75+1),"")</f>
        <v/>
      </c>
      <c r="AG75" s="45" t="str">
        <f aca="false">IF(AND(AA75=1,Y75&lt;1),IF(AND(C76=C75,Y76=Y75+1),IF(AA76=1,"",INDEX(DATAS,Y75+1)),INDEX(DATAS,Y75+1)),"")</f>
        <v/>
      </c>
    </row>
    <row r="76" customFormat="false" ht="15" hidden="false" customHeight="false" outlineLevel="0" collapsed="false">
      <c r="A76" s="45" t="n">
        <v>46309</v>
      </c>
      <c r="B76" s="0" t="n">
        <v>7</v>
      </c>
      <c r="C76" s="0" t="n">
        <v>3070</v>
      </c>
      <c r="D76" s="0" t="n">
        <v>324</v>
      </c>
      <c r="E76" s="0" t="n">
        <v>4</v>
      </c>
      <c r="F76" s="39" t="s">
        <v>184</v>
      </c>
      <c r="I76" s="39" t="s">
        <v>114</v>
      </c>
      <c r="J76" s="0" t="n">
        <v>179</v>
      </c>
      <c r="K76" s="0" t="n">
        <v>73</v>
      </c>
      <c r="L76" s="0" t="n">
        <v>223</v>
      </c>
      <c r="M76" s="0" t="n">
        <v>918.18</v>
      </c>
      <c r="N76" s="0" t="n">
        <v>-7.12</v>
      </c>
      <c r="O76" s="0" t="n">
        <v>18.82</v>
      </c>
      <c r="P76" s="0" t="n">
        <v>3.64</v>
      </c>
      <c r="Q76" s="0" t="n">
        <v>3.71</v>
      </c>
      <c r="R76" s="0" t="n">
        <v>4556</v>
      </c>
      <c r="S76" s="0" t="n">
        <v>8666</v>
      </c>
      <c r="T76" s="0" t="n">
        <v>49.9</v>
      </c>
      <c r="U76" s="0" t="n">
        <v>2211</v>
      </c>
      <c r="V76" s="0" t="n">
        <v>4</v>
      </c>
      <c r="W76" s="39" t="n">
        <f aca="false">IF(I76="Male",0,1)</f>
        <v>1</v>
      </c>
      <c r="X76" s="39" t="n">
        <f aca="false">IF(OR(I76="DNB",I76="Dry DNB"),1,0)</f>
        <v>0</v>
      </c>
      <c r="Y76" s="39" t="n">
        <f aca="false">MATCH(A76,DATAS,0)</f>
        <v>1</v>
      </c>
      <c r="Z76" s="39" t="n">
        <f aca="false">IF(AND(E76&gt;0,OR(AND(B76&gt;=1,B76&lt;=6),B76=10)),1,0)</f>
        <v>0</v>
      </c>
      <c r="AA76" s="39" t="n">
        <f aca="false">IF(AND(E76&gt;0,B76=10),1,0)</f>
        <v>0</v>
      </c>
      <c r="AB76" s="0" t="str">
        <f aca="false">IF(AND(C75=C76,Y75=Y76-1),Z75,"")</f>
        <v/>
      </c>
      <c r="AC76" s="0" t="str">
        <f aca="false">IF(AND(C75=C76,Y75=Y76-1),AA75,"")</f>
        <v/>
      </c>
      <c r="AD76" s="0" t="str">
        <f aca="false">IF(Y76=1,"",IF(AND(Z76=1,AB76&lt;&gt;1),1,0))</f>
        <v/>
      </c>
      <c r="AE76" s="0" t="str">
        <f aca="false">IF(Y76=1,"",IF(AND(AA76=1,AC76&lt;&gt;1),1,0))</f>
        <v/>
      </c>
      <c r="AF76" s="45" t="str">
        <f aca="false">IF(AND(E76&gt;0,Y76&lt;1,NOT(AND(C77=C76,Y77=Y76+1))),INDEX(DATAS,Y76+1),"")</f>
        <v/>
      </c>
      <c r="AG76" s="45" t="str">
        <f aca="false">IF(AND(AA76=1,Y76&lt;1),IF(AND(C77=C76,Y77=Y76+1),IF(AA77=1,"",INDEX(DATAS,Y76+1)),INDEX(DATAS,Y76+1)),"")</f>
        <v/>
      </c>
    </row>
    <row r="77" customFormat="false" ht="15" hidden="false" customHeight="false" outlineLevel="0" collapsed="false">
      <c r="A77" s="45" t="n">
        <v>46309</v>
      </c>
      <c r="B77" s="0" t="n">
        <v>5</v>
      </c>
      <c r="C77" s="0" t="n">
        <v>3072</v>
      </c>
      <c r="D77" s="0" t="n">
        <v>544</v>
      </c>
      <c r="E77" s="0" t="n">
        <v>3</v>
      </c>
      <c r="F77" s="39" t="s">
        <v>184</v>
      </c>
      <c r="G77" s="0" t="n">
        <v>33.8</v>
      </c>
      <c r="H77" s="0" t="n">
        <v>28</v>
      </c>
      <c r="I77" s="39" t="s">
        <v>138</v>
      </c>
      <c r="J77" s="0" t="n">
        <v>544</v>
      </c>
      <c r="K77" s="0" t="n">
        <v>61</v>
      </c>
      <c r="M77" s="0" t="n">
        <v>383.53</v>
      </c>
      <c r="N77" s="0" t="n">
        <v>36.94</v>
      </c>
      <c r="O77" s="0" t="n">
        <v>31.55</v>
      </c>
      <c r="P77" s="0" t="n">
        <v>4.39</v>
      </c>
      <c r="Q77" s="0" t="n">
        <v>4.01</v>
      </c>
      <c r="R77" s="0" t="n">
        <v>6458</v>
      </c>
      <c r="S77" s="0" t="n">
        <v>11988</v>
      </c>
      <c r="T77" s="0" t="n">
        <v>68.95</v>
      </c>
      <c r="U77" s="0" t="n">
        <v>2211</v>
      </c>
      <c r="V77" s="0" t="n">
        <v>10</v>
      </c>
      <c r="W77" s="39" t="n">
        <f aca="false">IF(I77="Male",0,1)</f>
        <v>1</v>
      </c>
      <c r="X77" s="39" t="n">
        <f aca="false">IF(OR(I77="DNB",I77="Dry DNB"),1,0)</f>
        <v>0</v>
      </c>
      <c r="Y77" s="39" t="n">
        <f aca="false">MATCH(A77,DATAS,0)</f>
        <v>1</v>
      </c>
      <c r="Z77" s="39" t="n">
        <f aca="false">IF(AND(E77&gt;0,OR(AND(B77&gt;=1,B77&lt;=6),B77=10)),1,0)</f>
        <v>1</v>
      </c>
      <c r="AA77" s="39" t="n">
        <f aca="false">IF(AND(E77&gt;0,B77=10),1,0)</f>
        <v>0</v>
      </c>
      <c r="AB77" s="0" t="str">
        <f aca="false">IF(AND(C76=C77,Y76=Y77-1),Z76,"")</f>
        <v/>
      </c>
      <c r="AC77" s="0" t="str">
        <f aca="false">IF(AND(C76=C77,Y76=Y77-1),AA76,"")</f>
        <v/>
      </c>
      <c r="AD77" s="0" t="str">
        <f aca="false">IF(Y77=1,"",IF(AND(Z77=1,AB77&lt;&gt;1),1,0))</f>
        <v/>
      </c>
      <c r="AE77" s="0" t="str">
        <f aca="false">IF(Y77=1,"",IF(AND(AA77=1,AC77&lt;&gt;1),1,0))</f>
        <v/>
      </c>
      <c r="AF77" s="45" t="str">
        <f aca="false">IF(AND(E77&gt;0,Y77&lt;1,NOT(AND(C78=C77,Y78=Y77+1))),INDEX(DATAS,Y77+1),"")</f>
        <v/>
      </c>
      <c r="AG77" s="45" t="str">
        <f aca="false">IF(AND(AA77=1,Y77&lt;1),IF(AND(C78=C77,Y78=Y77+1),IF(AA78=1,"",INDEX(DATAS,Y77+1)),INDEX(DATAS,Y77+1)),"")</f>
        <v/>
      </c>
    </row>
    <row r="78" customFormat="false" ht="15" hidden="false" customHeight="false" outlineLevel="0" collapsed="false">
      <c r="A78" s="45" t="n">
        <v>46309</v>
      </c>
      <c r="B78" s="0" t="n">
        <v>6</v>
      </c>
      <c r="C78" s="0" t="n">
        <v>3075</v>
      </c>
      <c r="D78" s="0" t="n">
        <v>401</v>
      </c>
      <c r="E78" s="0" t="n">
        <v>4</v>
      </c>
      <c r="F78" s="39" t="s">
        <v>185</v>
      </c>
      <c r="G78" s="0" t="n">
        <v>23.3</v>
      </c>
      <c r="H78" s="0" t="n">
        <v>21</v>
      </c>
      <c r="I78" s="39" t="s">
        <v>138</v>
      </c>
      <c r="J78" s="0" t="n">
        <v>401</v>
      </c>
      <c r="K78" s="0" t="n">
        <v>65</v>
      </c>
      <c r="M78" s="0" t="n">
        <v>-55.5</v>
      </c>
      <c r="N78" s="0" t="n">
        <v>13.75</v>
      </c>
      <c r="O78" s="0" t="n">
        <v>20.06</v>
      </c>
      <c r="P78" s="0" t="n">
        <v>6.32</v>
      </c>
      <c r="Q78" s="0" t="n">
        <v>4.3</v>
      </c>
      <c r="R78" s="0" t="n">
        <v>4281</v>
      </c>
      <c r="S78" s="0" t="n">
        <v>8336</v>
      </c>
      <c r="T78" s="0" t="n">
        <v>41.6</v>
      </c>
      <c r="U78" s="0" t="n">
        <v>2209</v>
      </c>
      <c r="V78" s="0" t="n">
        <v>6</v>
      </c>
      <c r="W78" s="39" t="n">
        <f aca="false">IF(I78="Male",0,1)</f>
        <v>1</v>
      </c>
      <c r="X78" s="39" t="n">
        <f aca="false">IF(OR(I78="DNB",I78="Dry DNB"),1,0)</f>
        <v>0</v>
      </c>
      <c r="Y78" s="39" t="n">
        <f aca="false">MATCH(A78,DATAS,0)</f>
        <v>1</v>
      </c>
      <c r="Z78" s="39" t="n">
        <f aca="false">IF(AND(E78&gt;0,OR(AND(B78&gt;=1,B78&lt;=6),B78=10)),1,0)</f>
        <v>1</v>
      </c>
      <c r="AA78" s="39" t="n">
        <f aca="false">IF(AND(E78&gt;0,B78=10),1,0)</f>
        <v>0</v>
      </c>
      <c r="AB78" s="0" t="str">
        <f aca="false">IF(AND(C77=C78,Y77=Y78-1),Z77,"")</f>
        <v/>
      </c>
      <c r="AC78" s="0" t="str">
        <f aca="false">IF(AND(C77=C78,Y77=Y78-1),AA77,"")</f>
        <v/>
      </c>
      <c r="AD78" s="0" t="str">
        <f aca="false">IF(Y78=1,"",IF(AND(Z78=1,AB78&lt;&gt;1),1,0))</f>
        <v/>
      </c>
      <c r="AE78" s="0" t="str">
        <f aca="false">IF(Y78=1,"",IF(AND(AA78=1,AC78&lt;&gt;1),1,0))</f>
        <v/>
      </c>
      <c r="AF78" s="45" t="str">
        <f aca="false">IF(AND(E78&gt;0,Y78&lt;1,NOT(AND(C79=C78,Y79=Y78+1))),INDEX(DATAS,Y78+1),"")</f>
        <v/>
      </c>
      <c r="AG78" s="45" t="str">
        <f aca="false">IF(AND(AA78=1,Y78&lt;1),IF(AND(C79=C78,Y79=Y78+1),IF(AA79=1,"",INDEX(DATAS,Y78+1)),INDEX(DATAS,Y78+1)),"")</f>
        <v/>
      </c>
    </row>
    <row r="79" customFormat="false" ht="15" hidden="false" customHeight="false" outlineLevel="0" collapsed="false">
      <c r="A79" s="45" t="n">
        <v>46309</v>
      </c>
      <c r="B79" s="0" t="n">
        <v>7</v>
      </c>
      <c r="C79" s="0" t="n">
        <v>3095</v>
      </c>
      <c r="D79" s="0" t="n">
        <v>373</v>
      </c>
      <c r="E79" s="0" t="n">
        <v>4</v>
      </c>
      <c r="F79" s="39" t="s">
        <v>186</v>
      </c>
      <c r="G79" s="0" t="n">
        <v>2.3</v>
      </c>
      <c r="H79" s="0" t="n">
        <v>6</v>
      </c>
      <c r="I79" s="39" t="s">
        <v>114</v>
      </c>
      <c r="J79" s="0" t="n">
        <v>241</v>
      </c>
      <c r="K79" s="0" t="n">
        <v>66</v>
      </c>
      <c r="L79" s="0" t="n">
        <v>133</v>
      </c>
      <c r="M79" s="0" t="n">
        <v>974.84</v>
      </c>
      <c r="N79" s="0" t="n">
        <v>25.32</v>
      </c>
      <c r="O79" s="0" t="n">
        <v>35.86</v>
      </c>
      <c r="P79" s="0" t="n">
        <v>4.2</v>
      </c>
      <c r="Q79" s="0" t="n">
        <v>4.04</v>
      </c>
      <c r="R79" s="0" t="n">
        <v>5573</v>
      </c>
      <c r="S79" s="0" t="n">
        <v>10190</v>
      </c>
      <c r="T79" s="0" t="n">
        <v>59</v>
      </c>
      <c r="U79" s="0" t="n">
        <v>2201</v>
      </c>
      <c r="V79" s="0" t="n">
        <v>6</v>
      </c>
      <c r="W79" s="39" t="n">
        <f aca="false">IF(I79="Male",0,1)</f>
        <v>1</v>
      </c>
      <c r="X79" s="39" t="n">
        <f aca="false">IF(OR(I79="DNB",I79="Dry DNB"),1,0)</f>
        <v>0</v>
      </c>
      <c r="Y79" s="39" t="n">
        <f aca="false">MATCH(A79,DATAS,0)</f>
        <v>1</v>
      </c>
      <c r="Z79" s="39" t="n">
        <f aca="false">IF(AND(E79&gt;0,OR(AND(B79&gt;=1,B79&lt;=6),B79=10)),1,0)</f>
        <v>0</v>
      </c>
      <c r="AA79" s="39" t="n">
        <f aca="false">IF(AND(E79&gt;0,B79=10),1,0)</f>
        <v>0</v>
      </c>
      <c r="AB79" s="0" t="str">
        <f aca="false">IF(AND(C78=C79,Y78=Y79-1),Z78,"")</f>
        <v/>
      </c>
      <c r="AC79" s="0" t="str">
        <f aca="false">IF(AND(C78=C79,Y78=Y79-1),AA78,"")</f>
        <v/>
      </c>
      <c r="AD79" s="0" t="str">
        <f aca="false">IF(Y79=1,"",IF(AND(Z79=1,AB79&lt;&gt;1),1,0))</f>
        <v/>
      </c>
      <c r="AE79" s="0" t="str">
        <f aca="false">IF(Y79=1,"",IF(AND(AA79=1,AC79&lt;&gt;1),1,0))</f>
        <v/>
      </c>
      <c r="AF79" s="45" t="str">
        <f aca="false">IF(AND(E79&gt;0,Y79&lt;1,NOT(AND(C80=C79,Y80=Y79+1))),INDEX(DATAS,Y79+1),"")</f>
        <v/>
      </c>
      <c r="AG79" s="45" t="str">
        <f aca="false">IF(AND(AA79=1,Y79&lt;1),IF(AND(C80=C79,Y80=Y79+1),IF(AA80=1,"",INDEX(DATAS,Y79+1)),INDEX(DATAS,Y79+1)),"")</f>
        <v/>
      </c>
    </row>
    <row r="80" customFormat="false" ht="15" hidden="false" customHeight="false" outlineLevel="0" collapsed="false">
      <c r="A80" s="45" t="n">
        <v>46309</v>
      </c>
      <c r="B80" s="0" t="n">
        <v>5</v>
      </c>
      <c r="C80" s="0" t="n">
        <v>3105</v>
      </c>
      <c r="D80" s="0" t="n">
        <v>420</v>
      </c>
      <c r="E80" s="0" t="n">
        <v>4</v>
      </c>
      <c r="F80" s="39" t="s">
        <v>187</v>
      </c>
      <c r="G80" s="0" t="n">
        <v>40.2</v>
      </c>
      <c r="H80" s="0" t="n">
        <v>38</v>
      </c>
      <c r="I80" s="39" t="s">
        <v>109</v>
      </c>
      <c r="J80" s="0" t="n">
        <v>382</v>
      </c>
      <c r="K80" s="0" t="n">
        <v>63</v>
      </c>
      <c r="L80" s="0" t="n">
        <v>38</v>
      </c>
      <c r="M80" s="0" t="n">
        <v>76.7</v>
      </c>
      <c r="N80" s="0" t="n">
        <v>35.33</v>
      </c>
      <c r="O80" s="0" t="n">
        <v>13.14</v>
      </c>
      <c r="P80" s="0" t="n">
        <v>4.46</v>
      </c>
      <c r="Q80" s="0" t="n">
        <v>3.62</v>
      </c>
      <c r="R80" s="0" t="n">
        <v>6909</v>
      </c>
      <c r="S80" s="0" t="n">
        <v>13252</v>
      </c>
      <c r="T80" s="0" t="n">
        <v>74</v>
      </c>
      <c r="U80" s="0" t="n">
        <v>2192</v>
      </c>
      <c r="V80" s="0" t="n">
        <v>11</v>
      </c>
      <c r="W80" s="39" t="n">
        <f aca="false">IF(I80="Male",0,1)</f>
        <v>1</v>
      </c>
      <c r="X80" s="39" t="n">
        <f aca="false">IF(OR(I80="DNB",I80="Dry DNB"),1,0)</f>
        <v>0</v>
      </c>
      <c r="Y80" s="39" t="n">
        <f aca="false">MATCH(A80,DATAS,0)</f>
        <v>1</v>
      </c>
      <c r="Z80" s="39" t="n">
        <f aca="false">IF(AND(E80&gt;0,OR(AND(B80&gt;=1,B80&lt;=6),B80=10)),1,0)</f>
        <v>1</v>
      </c>
      <c r="AA80" s="39" t="n">
        <f aca="false">IF(AND(E80&gt;0,B80=10),1,0)</f>
        <v>0</v>
      </c>
      <c r="AB80" s="0" t="str">
        <f aca="false">IF(AND(C79=C80,Y79=Y80-1),Z79,"")</f>
        <v/>
      </c>
      <c r="AC80" s="0" t="str">
        <f aca="false">IF(AND(C79=C80,Y79=Y80-1),AA79,"")</f>
        <v/>
      </c>
      <c r="AD80" s="0" t="str">
        <f aca="false">IF(Y80=1,"",IF(AND(Z80=1,AB80&lt;&gt;1),1,0))</f>
        <v/>
      </c>
      <c r="AE80" s="0" t="str">
        <f aca="false">IF(Y80=1,"",IF(AND(AA80=1,AC80&lt;&gt;1),1,0))</f>
        <v/>
      </c>
      <c r="AF80" s="45" t="str">
        <f aca="false">IF(AND(E80&gt;0,Y80&lt;1,NOT(AND(C81=C80,Y81=Y80+1))),INDEX(DATAS,Y80+1),"")</f>
        <v/>
      </c>
      <c r="AG80" s="45" t="str">
        <f aca="false">IF(AND(AA80=1,Y80&lt;1),IF(AND(C81=C80,Y81=Y80+1),IF(AA81=1,"",INDEX(DATAS,Y80+1)),INDEX(DATAS,Y80+1)),"")</f>
        <v/>
      </c>
    </row>
    <row r="81" customFormat="false" ht="15" hidden="false" customHeight="false" outlineLevel="0" collapsed="false">
      <c r="A81" s="45" t="n">
        <v>46309</v>
      </c>
      <c r="B81" s="0" t="n">
        <v>5</v>
      </c>
      <c r="C81" s="0" t="n">
        <v>3110</v>
      </c>
      <c r="D81" s="0" t="n">
        <v>77</v>
      </c>
      <c r="E81" s="0" t="n">
        <v>5</v>
      </c>
      <c r="F81" s="39" t="s">
        <v>188</v>
      </c>
      <c r="G81" s="0" t="n">
        <v>38.9</v>
      </c>
      <c r="H81" s="0" t="n">
        <v>37</v>
      </c>
      <c r="I81" s="39" t="s">
        <v>146</v>
      </c>
      <c r="J81" s="0" t="n">
        <v>77</v>
      </c>
      <c r="M81" s="0" t="n">
        <v>1088.74</v>
      </c>
      <c r="N81" s="0" t="n">
        <v>17.42</v>
      </c>
      <c r="O81" s="0" t="n">
        <v>29</v>
      </c>
      <c r="P81" s="0" t="n">
        <v>3.12</v>
      </c>
      <c r="Q81" s="0" t="n">
        <v>2.81</v>
      </c>
      <c r="R81" s="0" t="n">
        <v>3893</v>
      </c>
      <c r="S81" s="0" t="n">
        <v>7826</v>
      </c>
      <c r="U81" s="0" t="n">
        <v>2190</v>
      </c>
      <c r="V81" s="0" t="n">
        <v>0</v>
      </c>
      <c r="W81" s="39" t="n">
        <f aca="false">IF(I81="Male",0,1)</f>
        <v>1</v>
      </c>
      <c r="X81" s="39" t="n">
        <f aca="false">IF(OR(I81="DNB",I81="Dry DNB"),1,0)</f>
        <v>0</v>
      </c>
      <c r="Y81" s="39" t="n">
        <f aca="false">MATCH(A81,DATAS,0)</f>
        <v>1</v>
      </c>
      <c r="Z81" s="39" t="n">
        <f aca="false">IF(AND(E81&gt;0,OR(AND(B81&gt;=1,B81&lt;=6),B81=10)),1,0)</f>
        <v>1</v>
      </c>
      <c r="AA81" s="39" t="n">
        <f aca="false">IF(AND(E81&gt;0,B81=10),1,0)</f>
        <v>0</v>
      </c>
      <c r="AB81" s="0" t="str">
        <f aca="false">IF(AND(C80=C81,Y80=Y81-1),Z80,"")</f>
        <v/>
      </c>
      <c r="AC81" s="0" t="str">
        <f aca="false">IF(AND(C80=C81,Y80=Y81-1),AA80,"")</f>
        <v/>
      </c>
      <c r="AD81" s="0" t="str">
        <f aca="false">IF(Y81=1,"",IF(AND(Z81=1,AB81&lt;&gt;1),1,0))</f>
        <v/>
      </c>
      <c r="AE81" s="0" t="str">
        <f aca="false">IF(Y81=1,"",IF(AND(AA81=1,AC81&lt;&gt;1),1,0))</f>
        <v/>
      </c>
      <c r="AF81" s="45" t="str">
        <f aca="false">IF(AND(E81&gt;0,Y81&lt;1,NOT(AND(C82=C81,Y82=Y81+1))),INDEX(DATAS,Y81+1),"")</f>
        <v/>
      </c>
      <c r="AG81" s="45" t="str">
        <f aca="false">IF(AND(AA81=1,Y81&lt;1),IF(AND(C82=C81,Y82=Y81+1),IF(AA82=1,"",INDEX(DATAS,Y81+1)),INDEX(DATAS,Y81+1)),"")</f>
        <v/>
      </c>
    </row>
    <row r="82" customFormat="false" ht="15" hidden="false" customHeight="false" outlineLevel="0" collapsed="false">
      <c r="A82" s="45" t="n">
        <v>46309</v>
      </c>
      <c r="B82" s="0" t="n">
        <v>6</v>
      </c>
      <c r="C82" s="0" t="n">
        <v>3112</v>
      </c>
      <c r="D82" s="0" t="n">
        <v>248</v>
      </c>
      <c r="E82" s="0" t="n">
        <v>4</v>
      </c>
      <c r="F82" s="39" t="s">
        <v>189</v>
      </c>
      <c r="H82" s="0" t="n">
        <v>17</v>
      </c>
      <c r="I82" s="39" t="s">
        <v>96</v>
      </c>
      <c r="J82" s="0" t="n">
        <v>248</v>
      </c>
      <c r="K82" s="0" t="n">
        <v>80</v>
      </c>
      <c r="M82" s="0" t="n">
        <v>908.29</v>
      </c>
      <c r="N82" s="0" t="n">
        <v>13.74</v>
      </c>
      <c r="O82" s="0" t="n">
        <v>24.95</v>
      </c>
      <c r="P82" s="0" t="n">
        <v>4.46</v>
      </c>
      <c r="Q82" s="0" t="n">
        <v>3.54</v>
      </c>
      <c r="R82" s="0" t="n">
        <v>5404</v>
      </c>
      <c r="S82" s="0" t="n">
        <v>10035</v>
      </c>
      <c r="T82" s="0" t="n">
        <v>61.4</v>
      </c>
      <c r="U82" s="0" t="n">
        <v>2188</v>
      </c>
      <c r="V82" s="0" t="n">
        <v>2</v>
      </c>
      <c r="W82" s="39" t="n">
        <f aca="false">IF(I82="Male",0,1)</f>
        <v>1</v>
      </c>
      <c r="X82" s="39" t="n">
        <f aca="false">IF(OR(I82="DNB",I82="Dry DNB"),1,0)</f>
        <v>1</v>
      </c>
      <c r="Y82" s="39" t="n">
        <f aca="false">MATCH(A82,DATAS,0)</f>
        <v>1</v>
      </c>
      <c r="Z82" s="39" t="n">
        <f aca="false">IF(AND(E82&gt;0,OR(AND(B82&gt;=1,B82&lt;=6),B82=10)),1,0)</f>
        <v>1</v>
      </c>
      <c r="AA82" s="39" t="n">
        <f aca="false">IF(AND(E82&gt;0,B82=10),1,0)</f>
        <v>0</v>
      </c>
      <c r="AB82" s="0" t="str">
        <f aca="false">IF(AND(C81=C82,Y81=Y82-1),Z81,"")</f>
        <v/>
      </c>
      <c r="AC82" s="0" t="str">
        <f aca="false">IF(AND(C81=C82,Y81=Y82-1),AA81,"")</f>
        <v/>
      </c>
      <c r="AD82" s="0" t="str">
        <f aca="false">IF(Y82=1,"",IF(AND(Z82=1,AB82&lt;&gt;1),1,0))</f>
        <v/>
      </c>
      <c r="AE82" s="0" t="str">
        <f aca="false">IF(Y82=1,"",IF(AND(AA82=1,AC82&lt;&gt;1),1,0))</f>
        <v/>
      </c>
      <c r="AF82" s="45" t="str">
        <f aca="false">IF(AND(E82&gt;0,Y82&lt;1,NOT(AND(C83=C82,Y83=Y82+1))),INDEX(DATAS,Y82+1),"")</f>
        <v/>
      </c>
      <c r="AG82" s="45" t="str">
        <f aca="false">IF(AND(AA82=1,Y82&lt;1),IF(AND(C83=C82,Y83=Y82+1),IF(AA83=1,"",INDEX(DATAS,Y82+1)),INDEX(DATAS,Y82+1)),"")</f>
        <v/>
      </c>
    </row>
    <row r="83" customFormat="false" ht="15" hidden="false" customHeight="false" outlineLevel="0" collapsed="false">
      <c r="A83" s="45" t="n">
        <v>46309</v>
      </c>
      <c r="B83" s="0" t="n">
        <v>5</v>
      </c>
      <c r="C83" s="0" t="n">
        <v>3122</v>
      </c>
      <c r="D83" s="0" t="n">
        <v>284</v>
      </c>
      <c r="E83" s="0" t="n">
        <v>4</v>
      </c>
      <c r="F83" s="39" t="s">
        <v>122</v>
      </c>
      <c r="G83" s="0" t="n">
        <v>35</v>
      </c>
      <c r="H83" s="0" t="n">
        <v>38</v>
      </c>
      <c r="I83" s="39" t="s">
        <v>109</v>
      </c>
      <c r="J83" s="0" t="n">
        <v>214</v>
      </c>
      <c r="K83" s="0" t="n">
        <v>67</v>
      </c>
      <c r="L83" s="0" t="n">
        <v>70</v>
      </c>
      <c r="M83" s="0" t="n">
        <v>219.23</v>
      </c>
      <c r="N83" s="0" t="n">
        <v>64.76</v>
      </c>
      <c r="O83" s="0" t="n">
        <v>24.75</v>
      </c>
      <c r="P83" s="0" t="n">
        <v>6.13</v>
      </c>
      <c r="Q83" s="0" t="n">
        <v>4.16</v>
      </c>
      <c r="R83" s="0" t="n">
        <v>5551</v>
      </c>
      <c r="S83" s="0" t="n">
        <v>11277</v>
      </c>
      <c r="T83" s="0" t="n">
        <v>61.9</v>
      </c>
      <c r="U83" s="0" t="n">
        <v>2183</v>
      </c>
      <c r="V83" s="0" t="n">
        <v>5</v>
      </c>
      <c r="W83" s="39" t="n">
        <f aca="false">IF(I83="Male",0,1)</f>
        <v>1</v>
      </c>
      <c r="X83" s="39" t="n">
        <f aca="false">IF(OR(I83="DNB",I83="Dry DNB"),1,0)</f>
        <v>0</v>
      </c>
      <c r="Y83" s="39" t="n">
        <f aca="false">MATCH(A83,DATAS,0)</f>
        <v>1</v>
      </c>
      <c r="Z83" s="39" t="n">
        <f aca="false">IF(AND(E83&gt;0,OR(AND(B83&gt;=1,B83&lt;=6),B83=10)),1,0)</f>
        <v>1</v>
      </c>
      <c r="AA83" s="39" t="n">
        <f aca="false">IF(AND(E83&gt;0,B83=10),1,0)</f>
        <v>0</v>
      </c>
      <c r="AB83" s="0" t="str">
        <f aca="false">IF(AND(C82=C83,Y82=Y83-1),Z82,"")</f>
        <v/>
      </c>
      <c r="AC83" s="0" t="str">
        <f aca="false">IF(AND(C82=C83,Y82=Y83-1),AA82,"")</f>
        <v/>
      </c>
      <c r="AD83" s="0" t="str">
        <f aca="false">IF(Y83=1,"",IF(AND(Z83=1,AB83&lt;&gt;1),1,0))</f>
        <v/>
      </c>
      <c r="AE83" s="0" t="str">
        <f aca="false">IF(Y83=1,"",IF(AND(AA83=1,AC83&lt;&gt;1),1,0))</f>
        <v/>
      </c>
      <c r="AF83" s="45" t="str">
        <f aca="false">IF(AND(E83&gt;0,Y83&lt;1,NOT(AND(C84=C83,Y84=Y83+1))),INDEX(DATAS,Y83+1),"")</f>
        <v/>
      </c>
      <c r="AG83" s="45" t="str">
        <f aca="false">IF(AND(AA83=1,Y83&lt;1),IF(AND(C84=C83,Y84=Y83+1),IF(AA84=1,"",INDEX(DATAS,Y83+1)),INDEX(DATAS,Y83+1)),"")</f>
        <v/>
      </c>
    </row>
    <row r="84" customFormat="false" ht="15" hidden="false" customHeight="false" outlineLevel="0" collapsed="false">
      <c r="A84" s="45" t="n">
        <v>46309</v>
      </c>
      <c r="B84" s="0" t="n">
        <v>7</v>
      </c>
      <c r="C84" s="0" t="n">
        <v>3123</v>
      </c>
      <c r="D84" s="0" t="n">
        <v>329</v>
      </c>
      <c r="E84" s="0" t="n">
        <v>4</v>
      </c>
      <c r="F84" s="39" t="s">
        <v>190</v>
      </c>
      <c r="I84" s="39" t="s">
        <v>114</v>
      </c>
      <c r="J84" s="0" t="n">
        <v>107</v>
      </c>
      <c r="K84" s="0" t="n">
        <v>71</v>
      </c>
      <c r="L84" s="0" t="n">
        <v>272</v>
      </c>
      <c r="M84" s="0" t="n">
        <v>612.78</v>
      </c>
      <c r="N84" s="0" t="n">
        <v>11.3</v>
      </c>
      <c r="O84" s="0" t="n">
        <v>27.72</v>
      </c>
      <c r="P84" s="0" t="n">
        <v>3.88</v>
      </c>
      <c r="Q84" s="0" t="n">
        <v>3.27</v>
      </c>
      <c r="R84" s="0" t="n">
        <v>4574</v>
      </c>
      <c r="S84" s="0" t="n">
        <v>8073</v>
      </c>
      <c r="T84" s="0" t="n">
        <v>62.7</v>
      </c>
      <c r="U84" s="0" t="n">
        <v>2182</v>
      </c>
      <c r="V84" s="0" t="n">
        <v>3</v>
      </c>
      <c r="W84" s="39" t="n">
        <f aca="false">IF(I84="Male",0,1)</f>
        <v>1</v>
      </c>
      <c r="X84" s="39" t="n">
        <f aca="false">IF(OR(I84="DNB",I84="Dry DNB"),1,0)</f>
        <v>0</v>
      </c>
      <c r="Y84" s="39" t="n">
        <f aca="false">MATCH(A84,DATAS,0)</f>
        <v>1</v>
      </c>
      <c r="Z84" s="39" t="n">
        <f aca="false">IF(AND(E84&gt;0,OR(AND(B84&gt;=1,B84&lt;=6),B84=10)),1,0)</f>
        <v>0</v>
      </c>
      <c r="AA84" s="39" t="n">
        <f aca="false">IF(AND(E84&gt;0,B84=10),1,0)</f>
        <v>0</v>
      </c>
      <c r="AB84" s="0" t="str">
        <f aca="false">IF(AND(C83=C84,Y83=Y84-1),Z83,"")</f>
        <v/>
      </c>
      <c r="AC84" s="0" t="str">
        <f aca="false">IF(AND(C83=C84,Y83=Y84-1),AA83,"")</f>
        <v/>
      </c>
      <c r="AD84" s="0" t="str">
        <f aca="false">IF(Y84=1,"",IF(AND(Z84=1,AB84&lt;&gt;1),1,0))</f>
        <v/>
      </c>
      <c r="AE84" s="0" t="str">
        <f aca="false">IF(Y84=1,"",IF(AND(AA84=1,AC84&lt;&gt;1),1,0))</f>
        <v/>
      </c>
      <c r="AF84" s="45" t="str">
        <f aca="false">IF(AND(E84&gt;0,Y84&lt;1,NOT(AND(C85=C84,Y85=Y84+1))),INDEX(DATAS,Y84+1),"")</f>
        <v/>
      </c>
      <c r="AG84" s="45" t="str">
        <f aca="false">IF(AND(AA84=1,Y84&lt;1),IF(AND(C85=C84,Y85=Y84+1),IF(AA85=1,"",INDEX(DATAS,Y84+1)),INDEX(DATAS,Y84+1)),"")</f>
        <v/>
      </c>
    </row>
    <row r="85" customFormat="false" ht="15" hidden="false" customHeight="false" outlineLevel="0" collapsed="false">
      <c r="A85" s="45" t="n">
        <v>46309</v>
      </c>
      <c r="B85" s="0" t="n">
        <v>6</v>
      </c>
      <c r="C85" s="0" t="n">
        <v>3149</v>
      </c>
      <c r="D85" s="0" t="n">
        <v>156</v>
      </c>
      <c r="E85" s="0" t="n">
        <v>4</v>
      </c>
      <c r="F85" s="39" t="s">
        <v>191</v>
      </c>
      <c r="G85" s="0" t="n">
        <v>23.9</v>
      </c>
      <c r="H85" s="0" t="n">
        <v>25</v>
      </c>
      <c r="I85" s="39" t="s">
        <v>96</v>
      </c>
      <c r="J85" s="0" t="n">
        <v>156</v>
      </c>
      <c r="K85" s="0" t="n">
        <v>114</v>
      </c>
      <c r="M85" s="0" t="n">
        <v>-62.15</v>
      </c>
      <c r="N85" s="0" t="n">
        <v>9.91</v>
      </c>
      <c r="O85" s="0" t="n">
        <v>-3.32</v>
      </c>
      <c r="P85" s="0" t="n">
        <v>4.34</v>
      </c>
      <c r="Q85" s="0" t="n">
        <v>3.37</v>
      </c>
      <c r="R85" s="0" t="n">
        <v>2534</v>
      </c>
      <c r="S85" s="0" t="n">
        <v>5129</v>
      </c>
      <c r="T85" s="0" t="n">
        <v>25.75</v>
      </c>
      <c r="U85" s="0" t="n">
        <v>2162</v>
      </c>
      <c r="V85" s="0" t="n">
        <v>1</v>
      </c>
      <c r="W85" s="39" t="n">
        <f aca="false">IF(I85="Male",0,1)</f>
        <v>1</v>
      </c>
      <c r="X85" s="39" t="n">
        <f aca="false">IF(OR(I85="DNB",I85="Dry DNB"),1,0)</f>
        <v>1</v>
      </c>
      <c r="Y85" s="39" t="n">
        <f aca="false">MATCH(A85,DATAS,0)</f>
        <v>1</v>
      </c>
      <c r="Z85" s="39" t="n">
        <f aca="false">IF(AND(E85&gt;0,OR(AND(B85&gt;=1,B85&lt;=6),B85=10)),1,0)</f>
        <v>1</v>
      </c>
      <c r="AA85" s="39" t="n">
        <f aca="false">IF(AND(E85&gt;0,B85=10),1,0)</f>
        <v>0</v>
      </c>
      <c r="AB85" s="0" t="str">
        <f aca="false">IF(AND(C84=C85,Y84=Y85-1),Z84,"")</f>
        <v/>
      </c>
      <c r="AC85" s="0" t="str">
        <f aca="false">IF(AND(C84=C85,Y84=Y85-1),AA84,"")</f>
        <v/>
      </c>
      <c r="AD85" s="0" t="str">
        <f aca="false">IF(Y85=1,"",IF(AND(Z85=1,AB85&lt;&gt;1),1,0))</f>
        <v/>
      </c>
      <c r="AE85" s="0" t="str">
        <f aca="false">IF(Y85=1,"",IF(AND(AA85=1,AC85&lt;&gt;1),1,0))</f>
        <v/>
      </c>
      <c r="AF85" s="45" t="str">
        <f aca="false">IF(AND(E85&gt;0,Y85&lt;1,NOT(AND(C86=C85,Y86=Y85+1))),INDEX(DATAS,Y85+1),"")</f>
        <v/>
      </c>
      <c r="AG85" s="45" t="str">
        <f aca="false">IF(AND(AA85=1,Y85&lt;1),IF(AND(C86=C85,Y86=Y85+1),IF(AA86=1,"",INDEX(DATAS,Y85+1)),INDEX(DATAS,Y85+1)),"")</f>
        <v/>
      </c>
    </row>
    <row r="86" customFormat="false" ht="15" hidden="false" customHeight="false" outlineLevel="0" collapsed="false">
      <c r="A86" s="45" t="n">
        <v>46309</v>
      </c>
      <c r="B86" s="0" t="n">
        <v>7</v>
      </c>
      <c r="C86" s="0" t="n">
        <v>3150</v>
      </c>
      <c r="D86" s="0" t="n">
        <v>614</v>
      </c>
      <c r="E86" s="0" t="n">
        <v>3</v>
      </c>
      <c r="F86" s="39" t="s">
        <v>191</v>
      </c>
      <c r="I86" s="39" t="s">
        <v>114</v>
      </c>
      <c r="J86" s="0" t="n">
        <v>468</v>
      </c>
      <c r="K86" s="0" t="n">
        <v>70</v>
      </c>
      <c r="L86" s="0" t="n">
        <v>231</v>
      </c>
      <c r="M86" s="0" t="n">
        <v>861.58</v>
      </c>
      <c r="N86" s="0" t="n">
        <v>44.57</v>
      </c>
      <c r="O86" s="0" t="n">
        <v>27.26</v>
      </c>
      <c r="P86" s="0" t="n">
        <v>5.94</v>
      </c>
      <c r="Q86" s="0" t="n">
        <v>4.63</v>
      </c>
      <c r="R86" s="0" t="n">
        <v>7395</v>
      </c>
      <c r="S86" s="0" t="n">
        <v>14670</v>
      </c>
      <c r="T86" s="0" t="n">
        <v>76.7</v>
      </c>
      <c r="U86" s="0" t="n">
        <v>2162</v>
      </c>
      <c r="V86" s="0" t="n">
        <v>12</v>
      </c>
      <c r="W86" s="39" t="n">
        <f aca="false">IF(I86="Male",0,1)</f>
        <v>1</v>
      </c>
      <c r="X86" s="39" t="n">
        <f aca="false">IF(OR(I86="DNB",I86="Dry DNB"),1,0)</f>
        <v>0</v>
      </c>
      <c r="Y86" s="39" t="n">
        <f aca="false">MATCH(A86,DATAS,0)</f>
        <v>1</v>
      </c>
      <c r="Z86" s="39" t="n">
        <f aca="false">IF(AND(E86&gt;0,OR(AND(B86&gt;=1,B86&lt;=6),B86=10)),1,0)</f>
        <v>0</v>
      </c>
      <c r="AA86" s="39" t="n">
        <f aca="false">IF(AND(E86&gt;0,B86=10),1,0)</f>
        <v>0</v>
      </c>
      <c r="AB86" s="0" t="str">
        <f aca="false">IF(AND(C85=C86,Y85=Y86-1),Z85,"")</f>
        <v/>
      </c>
      <c r="AC86" s="0" t="str">
        <f aca="false">IF(AND(C85=C86,Y85=Y86-1),AA85,"")</f>
        <v/>
      </c>
      <c r="AD86" s="0" t="str">
        <f aca="false">IF(Y86=1,"",IF(AND(Z86=1,AB86&lt;&gt;1),1,0))</f>
        <v/>
      </c>
      <c r="AE86" s="0" t="str">
        <f aca="false">IF(Y86=1,"",IF(AND(AA86=1,AC86&lt;&gt;1),1,0))</f>
        <v/>
      </c>
      <c r="AF86" s="45" t="str">
        <f aca="false">IF(AND(E86&gt;0,Y86&lt;1,NOT(AND(C87=C86,Y87=Y86+1))),INDEX(DATAS,Y86+1),"")</f>
        <v/>
      </c>
      <c r="AG86" s="45" t="str">
        <f aca="false">IF(AND(AA86=1,Y86&lt;1),IF(AND(C87=C86,Y87=Y86+1),IF(AA87=1,"",INDEX(DATAS,Y86+1)),INDEX(DATAS,Y86+1)),"")</f>
        <v/>
      </c>
    </row>
    <row r="87" customFormat="false" ht="15" hidden="false" customHeight="false" outlineLevel="0" collapsed="false">
      <c r="A87" s="45" t="n">
        <v>46309</v>
      </c>
      <c r="B87" s="0" t="n">
        <v>5</v>
      </c>
      <c r="C87" s="0" t="n">
        <v>3153</v>
      </c>
      <c r="D87" s="0" t="n">
        <v>223</v>
      </c>
      <c r="E87" s="0" t="n">
        <v>3</v>
      </c>
      <c r="F87" s="39" t="s">
        <v>192</v>
      </c>
      <c r="G87" s="0" t="n">
        <v>37.7</v>
      </c>
      <c r="H87" s="0" t="n">
        <v>35</v>
      </c>
      <c r="I87" s="39" t="s">
        <v>138</v>
      </c>
      <c r="J87" s="0" t="n">
        <v>223</v>
      </c>
      <c r="K87" s="0" t="n">
        <v>69</v>
      </c>
      <c r="M87" s="0" t="n">
        <v>480.59</v>
      </c>
      <c r="N87" s="0" t="n">
        <v>29.73</v>
      </c>
      <c r="O87" s="0" t="n">
        <v>31.99</v>
      </c>
      <c r="P87" s="0" t="n">
        <v>5.62</v>
      </c>
      <c r="Q87" s="0" t="n">
        <v>4.33</v>
      </c>
      <c r="R87" s="0" t="n">
        <v>4161</v>
      </c>
      <c r="S87" s="0" t="n">
        <v>9120</v>
      </c>
      <c r="T87" s="0" t="n">
        <v>48.2</v>
      </c>
      <c r="U87" s="0" t="n">
        <v>2161</v>
      </c>
      <c r="V87" s="0" t="n">
        <v>4</v>
      </c>
      <c r="W87" s="39" t="n">
        <f aca="false">IF(I87="Male",0,1)</f>
        <v>1</v>
      </c>
      <c r="X87" s="39" t="n">
        <f aca="false">IF(OR(I87="DNB",I87="Dry DNB"),1,0)</f>
        <v>0</v>
      </c>
      <c r="Y87" s="39" t="n">
        <f aca="false">MATCH(A87,DATAS,0)</f>
        <v>1</v>
      </c>
      <c r="Z87" s="39" t="n">
        <f aca="false">IF(AND(E87&gt;0,OR(AND(B87&gt;=1,B87&lt;=6),B87=10)),1,0)</f>
        <v>1</v>
      </c>
      <c r="AA87" s="39" t="n">
        <f aca="false">IF(AND(E87&gt;0,B87=10),1,0)</f>
        <v>0</v>
      </c>
      <c r="AB87" s="0" t="str">
        <f aca="false">IF(AND(C86=C87,Y86=Y87-1),Z86,"")</f>
        <v/>
      </c>
      <c r="AC87" s="0" t="str">
        <f aca="false">IF(AND(C86=C87,Y86=Y87-1),AA86,"")</f>
        <v/>
      </c>
      <c r="AD87" s="0" t="str">
        <f aca="false">IF(Y87=1,"",IF(AND(Z87=1,AB87&lt;&gt;1),1,0))</f>
        <v/>
      </c>
      <c r="AE87" s="0" t="str">
        <f aca="false">IF(Y87=1,"",IF(AND(AA87=1,AC87&lt;&gt;1),1,0))</f>
        <v/>
      </c>
      <c r="AF87" s="45" t="str">
        <f aca="false">IF(AND(E87&gt;0,Y87&lt;1,NOT(AND(C88=C87,Y88=Y87+1))),INDEX(DATAS,Y87+1),"")</f>
        <v/>
      </c>
      <c r="AG87" s="45" t="str">
        <f aca="false">IF(AND(AA87=1,Y87&lt;1),IF(AND(C88=C87,Y88=Y87+1),IF(AA88=1,"",INDEX(DATAS,Y87+1)),INDEX(DATAS,Y87+1)),"")</f>
        <v/>
      </c>
    </row>
    <row r="88" customFormat="false" ht="15" hidden="false" customHeight="false" outlineLevel="0" collapsed="false">
      <c r="A88" s="45" t="n">
        <v>46309</v>
      </c>
      <c r="B88" s="0" t="n">
        <v>6</v>
      </c>
      <c r="C88" s="0" t="n">
        <v>3159</v>
      </c>
      <c r="D88" s="0" t="n">
        <v>503</v>
      </c>
      <c r="E88" s="0" t="n">
        <v>3</v>
      </c>
      <c r="F88" s="39" t="s">
        <v>193</v>
      </c>
      <c r="H88" s="0" t="n">
        <v>19</v>
      </c>
      <c r="I88" s="39" t="s">
        <v>109</v>
      </c>
      <c r="J88" s="0" t="n">
        <v>454</v>
      </c>
      <c r="K88" s="0" t="n">
        <v>62</v>
      </c>
      <c r="L88" s="0" t="n">
        <v>49</v>
      </c>
      <c r="M88" s="0" t="n">
        <v>727.77</v>
      </c>
      <c r="N88" s="0" t="n">
        <v>8.25</v>
      </c>
      <c r="O88" s="0" t="n">
        <v>18.82</v>
      </c>
      <c r="P88" s="0" t="n">
        <v>3.94</v>
      </c>
      <c r="Q88" s="0" t="n">
        <v>3.94</v>
      </c>
      <c r="R88" s="0" t="n">
        <v>6791</v>
      </c>
      <c r="S88" s="0" t="n">
        <v>13465</v>
      </c>
      <c r="T88" s="0" t="n">
        <v>69.75</v>
      </c>
      <c r="U88" s="0" t="n">
        <v>2159</v>
      </c>
      <c r="V88" s="0" t="n">
        <v>8</v>
      </c>
      <c r="W88" s="39" t="n">
        <f aca="false">IF(I88="Male",0,1)</f>
        <v>1</v>
      </c>
      <c r="X88" s="39" t="n">
        <f aca="false">IF(OR(I88="DNB",I88="Dry DNB"),1,0)</f>
        <v>0</v>
      </c>
      <c r="Y88" s="39" t="n">
        <f aca="false">MATCH(A88,DATAS,0)</f>
        <v>1</v>
      </c>
      <c r="Z88" s="39" t="n">
        <f aca="false">IF(AND(E88&gt;0,OR(AND(B88&gt;=1,B88&lt;=6),B88=10)),1,0)</f>
        <v>1</v>
      </c>
      <c r="AA88" s="39" t="n">
        <f aca="false">IF(AND(E88&gt;0,B88=10),1,0)</f>
        <v>0</v>
      </c>
      <c r="AB88" s="0" t="str">
        <f aca="false">IF(AND(C87=C88,Y87=Y88-1),Z87,"")</f>
        <v/>
      </c>
      <c r="AC88" s="0" t="str">
        <f aca="false">IF(AND(C87=C88,Y87=Y88-1),AA87,"")</f>
        <v/>
      </c>
      <c r="AD88" s="0" t="str">
        <f aca="false">IF(Y88=1,"",IF(AND(Z88=1,AB88&lt;&gt;1),1,0))</f>
        <v/>
      </c>
      <c r="AE88" s="0" t="str">
        <f aca="false">IF(Y88=1,"",IF(AND(AA88=1,AC88&lt;&gt;1),1,0))</f>
        <v/>
      </c>
      <c r="AF88" s="45" t="str">
        <f aca="false">IF(AND(E88&gt;0,Y88&lt;1,NOT(AND(C89=C88,Y89=Y88+1))),INDEX(DATAS,Y88+1),"")</f>
        <v/>
      </c>
      <c r="AG88" s="45" t="str">
        <f aca="false">IF(AND(AA88=1,Y88&lt;1),IF(AND(C89=C88,Y89=Y88+1),IF(AA89=1,"",INDEX(DATAS,Y88+1)),INDEX(DATAS,Y88+1)),"")</f>
        <v/>
      </c>
    </row>
    <row r="89" customFormat="false" ht="15" hidden="false" customHeight="false" outlineLevel="0" collapsed="false">
      <c r="A89" s="45" t="n">
        <v>46309</v>
      </c>
      <c r="B89" s="0" t="n">
        <v>3</v>
      </c>
      <c r="C89" s="0" t="n">
        <v>3163</v>
      </c>
      <c r="D89" s="0" t="n">
        <v>3</v>
      </c>
      <c r="E89" s="0" t="n">
        <v>5</v>
      </c>
      <c r="F89" s="39" t="s">
        <v>194</v>
      </c>
      <c r="G89" s="0" t="n">
        <v>17.3</v>
      </c>
      <c r="H89" s="0" t="n">
        <v>13</v>
      </c>
      <c r="I89" s="39" t="s">
        <v>118</v>
      </c>
      <c r="J89" s="0" t="n">
        <v>3</v>
      </c>
      <c r="M89" s="0" t="n">
        <v>-226.65</v>
      </c>
      <c r="N89" s="0" t="n">
        <v>41.25</v>
      </c>
      <c r="O89" s="0" t="n">
        <v>11.62</v>
      </c>
      <c r="R89" s="0" t="n">
        <v>1120</v>
      </c>
      <c r="S89" s="0" t="n">
        <v>2252</v>
      </c>
      <c r="U89" s="0" t="n">
        <v>2158</v>
      </c>
      <c r="V89" s="0" t="n">
        <v>0</v>
      </c>
      <c r="W89" s="39" t="n">
        <f aca="false">IF(I89="Male",0,1)</f>
        <v>1</v>
      </c>
      <c r="X89" s="39" t="n">
        <f aca="false">IF(OR(I89="DNB",I89="Dry DNB"),1,0)</f>
        <v>0</v>
      </c>
      <c r="Y89" s="39" t="n">
        <f aca="false">MATCH(A89,DATAS,0)</f>
        <v>1</v>
      </c>
      <c r="Z89" s="39" t="n">
        <f aca="false">IF(AND(E89&gt;0,OR(AND(B89&gt;=1,B89&lt;=6),B89=10)),1,0)</f>
        <v>1</v>
      </c>
      <c r="AA89" s="39" t="n">
        <f aca="false">IF(AND(E89&gt;0,B89=10),1,0)</f>
        <v>0</v>
      </c>
      <c r="AB89" s="0" t="str">
        <f aca="false">IF(AND(C88=C89,Y88=Y89-1),Z88,"")</f>
        <v/>
      </c>
      <c r="AC89" s="0" t="str">
        <f aca="false">IF(AND(C88=C89,Y88=Y89-1),AA88,"")</f>
        <v/>
      </c>
      <c r="AD89" s="0" t="str">
        <f aca="false">IF(Y89=1,"",IF(AND(Z89=1,AB89&lt;&gt;1),1,0))</f>
        <v/>
      </c>
      <c r="AE89" s="0" t="str">
        <f aca="false">IF(Y89=1,"",IF(AND(AA89=1,AC89&lt;&gt;1),1,0))</f>
        <v/>
      </c>
      <c r="AF89" s="45" t="str">
        <f aca="false">IF(AND(E89&gt;0,Y89&lt;1,NOT(AND(C90=C89,Y90=Y89+1))),INDEX(DATAS,Y89+1),"")</f>
        <v/>
      </c>
      <c r="AG89" s="45" t="str">
        <f aca="false">IF(AND(AA89=1,Y89&lt;1),IF(AND(C90=C89,Y90=Y89+1),IF(AA90=1,"",INDEX(DATAS,Y89+1)),INDEX(DATAS,Y89+1)),"")</f>
        <v/>
      </c>
    </row>
    <row r="90" customFormat="false" ht="15" hidden="false" customHeight="false" outlineLevel="0" collapsed="false">
      <c r="A90" s="45" t="n">
        <v>46309</v>
      </c>
      <c r="B90" s="0" t="n">
        <v>3</v>
      </c>
      <c r="C90" s="0" t="n">
        <v>3164</v>
      </c>
      <c r="D90" s="0" t="n">
        <v>213</v>
      </c>
      <c r="E90" s="0" t="n">
        <v>4</v>
      </c>
      <c r="F90" s="39" t="s">
        <v>194</v>
      </c>
      <c r="G90" s="0" t="n">
        <v>48.4</v>
      </c>
      <c r="H90" s="0" t="n">
        <v>50</v>
      </c>
      <c r="I90" s="39" t="s">
        <v>109</v>
      </c>
      <c r="J90" s="0" t="n">
        <v>164</v>
      </c>
      <c r="K90" s="0" t="n">
        <v>66</v>
      </c>
      <c r="L90" s="0" t="n">
        <v>49</v>
      </c>
      <c r="M90" s="0" t="n">
        <v>917.35</v>
      </c>
      <c r="N90" s="0" t="n">
        <v>30.68</v>
      </c>
      <c r="O90" s="0" t="n">
        <v>41.07</v>
      </c>
      <c r="P90" s="0" t="n">
        <v>2.68</v>
      </c>
      <c r="Q90" s="0" t="n">
        <v>4.1</v>
      </c>
      <c r="R90" s="0" t="n">
        <v>6216</v>
      </c>
      <c r="S90" s="0" t="n">
        <v>11138</v>
      </c>
      <c r="T90" s="0" t="n">
        <v>68.65</v>
      </c>
      <c r="U90" s="0" t="n">
        <v>2158</v>
      </c>
      <c r="V90" s="0" t="n">
        <v>3</v>
      </c>
      <c r="W90" s="39" t="n">
        <f aca="false">IF(I90="Male",0,1)</f>
        <v>1</v>
      </c>
      <c r="X90" s="39" t="n">
        <f aca="false">IF(OR(I90="DNB",I90="Dry DNB"),1,0)</f>
        <v>0</v>
      </c>
      <c r="Y90" s="39" t="n">
        <f aca="false">MATCH(A90,DATAS,0)</f>
        <v>1</v>
      </c>
      <c r="Z90" s="39" t="n">
        <f aca="false">IF(AND(E90&gt;0,OR(AND(B90&gt;=1,B90&lt;=6),B90=10)),1,0)</f>
        <v>1</v>
      </c>
      <c r="AA90" s="39" t="n">
        <f aca="false">IF(AND(E90&gt;0,B90=10),1,0)</f>
        <v>0</v>
      </c>
      <c r="AB90" s="0" t="str">
        <f aca="false">IF(AND(C89=C90,Y89=Y90-1),Z89,"")</f>
        <v/>
      </c>
      <c r="AC90" s="0" t="str">
        <f aca="false">IF(AND(C89=C90,Y89=Y90-1),AA89,"")</f>
        <v/>
      </c>
      <c r="AD90" s="0" t="str">
        <f aca="false">IF(Y90=1,"",IF(AND(Z90=1,AB90&lt;&gt;1),1,0))</f>
        <v/>
      </c>
      <c r="AE90" s="0" t="str">
        <f aca="false">IF(Y90=1,"",IF(AND(AA90=1,AC90&lt;&gt;1),1,0))</f>
        <v/>
      </c>
      <c r="AF90" s="45" t="str">
        <f aca="false">IF(AND(E90&gt;0,Y90&lt;1,NOT(AND(C91=C90,Y91=Y90+1))),INDEX(DATAS,Y90+1),"")</f>
        <v/>
      </c>
      <c r="AG90" s="45" t="str">
        <f aca="false">IF(AND(AA90=1,Y90&lt;1),IF(AND(C91=C90,Y91=Y90+1),IF(AA91=1,"",INDEX(DATAS,Y90+1)),INDEX(DATAS,Y90+1)),"")</f>
        <v/>
      </c>
    </row>
    <row r="91" customFormat="false" ht="15" hidden="false" customHeight="false" outlineLevel="0" collapsed="false">
      <c r="A91" s="45" t="n">
        <v>46309</v>
      </c>
      <c r="B91" s="0" t="n">
        <v>7</v>
      </c>
      <c r="C91" s="0" t="n">
        <v>3174</v>
      </c>
      <c r="D91" s="0" t="n">
        <v>258</v>
      </c>
      <c r="E91" s="0" t="n">
        <v>4</v>
      </c>
      <c r="F91" s="39" t="s">
        <v>195</v>
      </c>
      <c r="I91" s="39" t="s">
        <v>109</v>
      </c>
      <c r="J91" s="0" t="n">
        <v>160</v>
      </c>
      <c r="K91" s="0" t="n">
        <v>76</v>
      </c>
      <c r="L91" s="0" t="n">
        <v>98</v>
      </c>
      <c r="M91" s="0" t="n">
        <v>7.47</v>
      </c>
      <c r="N91" s="0" t="n">
        <v>9.1</v>
      </c>
      <c r="O91" s="0" t="n">
        <v>19.74</v>
      </c>
      <c r="P91" s="0" t="n">
        <v>3.74</v>
      </c>
      <c r="Q91" s="0" t="n">
        <v>3.73</v>
      </c>
      <c r="R91" s="0" t="n">
        <v>4912</v>
      </c>
      <c r="S91" s="0" t="n">
        <v>9878</v>
      </c>
      <c r="T91" s="0" t="n">
        <v>54.95</v>
      </c>
      <c r="U91" s="0" t="n">
        <v>2154</v>
      </c>
      <c r="V91" s="0" t="n">
        <v>3</v>
      </c>
      <c r="W91" s="39" t="n">
        <f aca="false">IF(I91="Male",0,1)</f>
        <v>1</v>
      </c>
      <c r="X91" s="39" t="n">
        <f aca="false">IF(OR(I91="DNB",I91="Dry DNB"),1,0)</f>
        <v>0</v>
      </c>
      <c r="Y91" s="39" t="n">
        <f aca="false">MATCH(A91,DATAS,0)</f>
        <v>1</v>
      </c>
      <c r="Z91" s="39" t="n">
        <f aca="false">IF(AND(E91&gt;0,OR(AND(B91&gt;=1,B91&lt;=6),B91=10)),1,0)</f>
        <v>0</v>
      </c>
      <c r="AA91" s="39" t="n">
        <f aca="false">IF(AND(E91&gt;0,B91=10),1,0)</f>
        <v>0</v>
      </c>
      <c r="AB91" s="0" t="str">
        <f aca="false">IF(AND(C90=C91,Y90=Y91-1),Z90,"")</f>
        <v/>
      </c>
      <c r="AC91" s="0" t="str">
        <f aca="false">IF(AND(C90=C91,Y90=Y91-1),AA90,"")</f>
        <v/>
      </c>
      <c r="AD91" s="0" t="str">
        <f aca="false">IF(Y91=1,"",IF(AND(Z91=1,AB91&lt;&gt;1),1,0))</f>
        <v/>
      </c>
      <c r="AE91" s="0" t="str">
        <f aca="false">IF(Y91=1,"",IF(AND(AA91=1,AC91&lt;&gt;1),1,0))</f>
        <v/>
      </c>
      <c r="AF91" s="45" t="str">
        <f aca="false">IF(AND(E91&gt;0,Y91&lt;1,NOT(AND(C92=C91,Y92=Y91+1))),INDEX(DATAS,Y91+1),"")</f>
        <v/>
      </c>
      <c r="AG91" s="45" t="str">
        <f aca="false">IF(AND(AA91=1,Y91&lt;1),IF(AND(C92=C91,Y92=Y91+1),IF(AA92=1,"",INDEX(DATAS,Y91+1)),INDEX(DATAS,Y91+1)),"")</f>
        <v/>
      </c>
    </row>
    <row r="92" customFormat="false" ht="15" hidden="false" customHeight="false" outlineLevel="0" collapsed="false">
      <c r="A92" s="45" t="n">
        <v>46309</v>
      </c>
      <c r="B92" s="0" t="n">
        <v>6</v>
      </c>
      <c r="C92" s="0" t="n">
        <v>3177</v>
      </c>
      <c r="D92" s="0" t="n">
        <v>245</v>
      </c>
      <c r="E92" s="0" t="n">
        <v>4</v>
      </c>
      <c r="F92" s="39" t="s">
        <v>196</v>
      </c>
      <c r="G92" s="0" t="n">
        <v>21.5</v>
      </c>
      <c r="H92" s="0" t="n">
        <v>23</v>
      </c>
      <c r="I92" s="39" t="s">
        <v>138</v>
      </c>
      <c r="J92" s="0" t="n">
        <v>245</v>
      </c>
      <c r="K92" s="0" t="n">
        <v>63</v>
      </c>
      <c r="M92" s="0" t="n">
        <v>446.3</v>
      </c>
      <c r="N92" s="0" t="n">
        <v>30.49</v>
      </c>
      <c r="O92" s="0" t="n">
        <v>27.48</v>
      </c>
      <c r="P92" s="0" t="n">
        <v>4.32</v>
      </c>
      <c r="Q92" s="0" t="n">
        <v>3.48</v>
      </c>
      <c r="R92" s="0" t="n">
        <v>4417</v>
      </c>
      <c r="S92" s="0" t="n">
        <v>7471</v>
      </c>
      <c r="T92" s="0" t="n">
        <v>58.55</v>
      </c>
      <c r="U92" s="0" t="n">
        <v>2153</v>
      </c>
      <c r="V92" s="0" t="n">
        <v>4</v>
      </c>
      <c r="W92" s="39" t="n">
        <f aca="false">IF(I92="Male",0,1)</f>
        <v>1</v>
      </c>
      <c r="X92" s="39" t="n">
        <f aca="false">IF(OR(I92="DNB",I92="Dry DNB"),1,0)</f>
        <v>0</v>
      </c>
      <c r="Y92" s="39" t="n">
        <f aca="false">MATCH(A92,DATAS,0)</f>
        <v>1</v>
      </c>
      <c r="Z92" s="39" t="n">
        <f aca="false">IF(AND(E92&gt;0,OR(AND(B92&gt;=1,B92&lt;=6),B92=10)),1,0)</f>
        <v>1</v>
      </c>
      <c r="AA92" s="39" t="n">
        <f aca="false">IF(AND(E92&gt;0,B92=10),1,0)</f>
        <v>0</v>
      </c>
      <c r="AB92" s="0" t="str">
        <f aca="false">IF(AND(C91=C92,Y91=Y92-1),Z91,"")</f>
        <v/>
      </c>
      <c r="AC92" s="0" t="str">
        <f aca="false">IF(AND(C91=C92,Y91=Y92-1),AA91,"")</f>
        <v/>
      </c>
      <c r="AD92" s="0" t="str">
        <f aca="false">IF(Y92=1,"",IF(AND(Z92=1,AB92&lt;&gt;1),1,0))</f>
        <v/>
      </c>
      <c r="AE92" s="0" t="str">
        <f aca="false">IF(Y92=1,"",IF(AND(AA92=1,AC92&lt;&gt;1),1,0))</f>
        <v/>
      </c>
      <c r="AF92" s="45" t="str">
        <f aca="false">IF(AND(E92&gt;0,Y92&lt;1,NOT(AND(C93=C92,Y93=Y92+1))),INDEX(DATAS,Y92+1),"")</f>
        <v/>
      </c>
      <c r="AG92" s="45" t="str">
        <f aca="false">IF(AND(AA92=1,Y92&lt;1),IF(AND(C93=C92,Y93=Y92+1),IF(AA93=1,"",INDEX(DATAS,Y92+1)),INDEX(DATAS,Y92+1)),"")</f>
        <v/>
      </c>
    </row>
    <row r="93" customFormat="false" ht="15" hidden="false" customHeight="false" outlineLevel="0" collapsed="false">
      <c r="A93" s="45" t="n">
        <v>46309</v>
      </c>
      <c r="B93" s="0" t="n">
        <v>3</v>
      </c>
      <c r="C93" s="0" t="n">
        <v>3186</v>
      </c>
      <c r="D93" s="0" t="n">
        <v>44</v>
      </c>
      <c r="E93" s="0" t="n">
        <v>5</v>
      </c>
      <c r="F93" s="39" t="s">
        <v>197</v>
      </c>
      <c r="G93" s="0" t="n">
        <v>65.3</v>
      </c>
      <c r="H93" s="0" t="n">
        <v>63</v>
      </c>
      <c r="I93" s="39" t="s">
        <v>118</v>
      </c>
      <c r="J93" s="0" t="n">
        <v>44</v>
      </c>
      <c r="M93" s="0" t="n">
        <v>846.92</v>
      </c>
      <c r="N93" s="0" t="n">
        <v>-0.28</v>
      </c>
      <c r="O93" s="0" t="n">
        <v>24.23</v>
      </c>
      <c r="P93" s="0" t="n">
        <v>3.77</v>
      </c>
      <c r="Q93" s="0" t="n">
        <v>3.23</v>
      </c>
      <c r="R93" s="0" t="n">
        <v>4834</v>
      </c>
      <c r="S93" s="0" t="n">
        <v>9718</v>
      </c>
      <c r="U93" s="0" t="n">
        <v>2148</v>
      </c>
      <c r="V93" s="0" t="n">
        <v>0</v>
      </c>
      <c r="W93" s="39" t="n">
        <f aca="false">IF(I93="Male",0,1)</f>
        <v>1</v>
      </c>
      <c r="X93" s="39" t="n">
        <f aca="false">IF(OR(I93="DNB",I93="Dry DNB"),1,0)</f>
        <v>0</v>
      </c>
      <c r="Y93" s="39" t="n">
        <f aca="false">MATCH(A93,DATAS,0)</f>
        <v>1</v>
      </c>
      <c r="Z93" s="39" t="n">
        <f aca="false">IF(AND(E93&gt;0,OR(AND(B93&gt;=1,B93&lt;=6),B93=10)),1,0)</f>
        <v>1</v>
      </c>
      <c r="AA93" s="39" t="n">
        <f aca="false">IF(AND(E93&gt;0,B93=10),1,0)</f>
        <v>0</v>
      </c>
      <c r="AB93" s="0" t="str">
        <f aca="false">IF(AND(C92=C93,Y92=Y93-1),Z92,"")</f>
        <v/>
      </c>
      <c r="AC93" s="0" t="str">
        <f aca="false">IF(AND(C92=C93,Y92=Y93-1),AA92,"")</f>
        <v/>
      </c>
      <c r="AD93" s="0" t="str">
        <f aca="false">IF(Y93=1,"",IF(AND(Z93=1,AB93&lt;&gt;1),1,0))</f>
        <v/>
      </c>
      <c r="AE93" s="0" t="str">
        <f aca="false">IF(Y93=1,"",IF(AND(AA93=1,AC93&lt;&gt;1),1,0))</f>
        <v/>
      </c>
      <c r="AF93" s="45" t="str">
        <f aca="false">IF(AND(E93&gt;0,Y93&lt;1,NOT(AND(C94=C93,Y94=Y93+1))),INDEX(DATAS,Y93+1),"")</f>
        <v/>
      </c>
      <c r="AG93" s="45" t="str">
        <f aca="false">IF(AND(AA93=1,Y93&lt;1),IF(AND(C94=C93,Y94=Y93+1),IF(AA94=1,"",INDEX(DATAS,Y93+1)),INDEX(DATAS,Y93+1)),"")</f>
        <v/>
      </c>
    </row>
    <row r="94" customFormat="false" ht="15" hidden="false" customHeight="false" outlineLevel="0" collapsed="false">
      <c r="A94" s="45" t="n">
        <v>46309</v>
      </c>
      <c r="B94" s="0" t="n">
        <v>6</v>
      </c>
      <c r="C94" s="0" t="n">
        <v>3188</v>
      </c>
      <c r="D94" s="0" t="n">
        <v>163</v>
      </c>
      <c r="E94" s="0" t="n">
        <v>4</v>
      </c>
      <c r="F94" s="39" t="s">
        <v>198</v>
      </c>
      <c r="G94" s="0" t="n">
        <v>24.1</v>
      </c>
      <c r="H94" s="0" t="n">
        <v>20</v>
      </c>
      <c r="I94" s="39" t="s">
        <v>146</v>
      </c>
      <c r="J94" s="0" t="n">
        <v>163</v>
      </c>
      <c r="K94" s="0" t="n">
        <v>65</v>
      </c>
      <c r="M94" s="0" t="n">
        <v>-141.62</v>
      </c>
      <c r="N94" s="0" t="n">
        <v>48.01</v>
      </c>
      <c r="O94" s="0" t="n">
        <v>22.68</v>
      </c>
      <c r="P94" s="0" t="n">
        <v>6.17</v>
      </c>
      <c r="Q94" s="0" t="n">
        <v>4.35</v>
      </c>
      <c r="R94" s="0" t="n">
        <v>4090</v>
      </c>
      <c r="S94" s="0" t="n">
        <v>6920</v>
      </c>
      <c r="T94" s="0" t="n">
        <v>47.15</v>
      </c>
      <c r="U94" s="0" t="n">
        <v>2147</v>
      </c>
      <c r="V94" s="0" t="n">
        <v>3</v>
      </c>
      <c r="W94" s="39" t="n">
        <f aca="false">IF(I94="Male",0,1)</f>
        <v>1</v>
      </c>
      <c r="X94" s="39" t="n">
        <f aca="false">IF(OR(I94="DNB",I94="Dry DNB"),1,0)</f>
        <v>0</v>
      </c>
      <c r="Y94" s="39" t="n">
        <f aca="false">MATCH(A94,DATAS,0)</f>
        <v>1</v>
      </c>
      <c r="Z94" s="39" t="n">
        <f aca="false">IF(AND(E94&gt;0,OR(AND(B94&gt;=1,B94&lt;=6),B94=10)),1,0)</f>
        <v>1</v>
      </c>
      <c r="AA94" s="39" t="n">
        <f aca="false">IF(AND(E94&gt;0,B94=10),1,0)</f>
        <v>0</v>
      </c>
      <c r="AB94" s="0" t="str">
        <f aca="false">IF(AND(C93=C94,Y93=Y94-1),Z93,"")</f>
        <v/>
      </c>
      <c r="AC94" s="0" t="str">
        <f aca="false">IF(AND(C93=C94,Y93=Y94-1),AA93,"")</f>
        <v/>
      </c>
      <c r="AD94" s="0" t="str">
        <f aca="false">IF(Y94=1,"",IF(AND(Z94=1,AB94&lt;&gt;1),1,0))</f>
        <v/>
      </c>
      <c r="AE94" s="0" t="str">
        <f aca="false">IF(Y94=1,"",IF(AND(AA94=1,AC94&lt;&gt;1),1,0))</f>
        <v/>
      </c>
      <c r="AF94" s="45" t="str">
        <f aca="false">IF(AND(E94&gt;0,Y94&lt;1,NOT(AND(C95=C94,Y95=Y94+1))),INDEX(DATAS,Y94+1),"")</f>
        <v/>
      </c>
      <c r="AG94" s="45" t="str">
        <f aca="false">IF(AND(AA94=1,Y94&lt;1),IF(AND(C95=C94,Y95=Y94+1),IF(AA95=1,"",INDEX(DATAS,Y94+1)),INDEX(DATAS,Y94+1)),"")</f>
        <v/>
      </c>
    </row>
    <row r="95" customFormat="false" ht="15" hidden="false" customHeight="false" outlineLevel="0" collapsed="false">
      <c r="A95" s="45" t="n">
        <v>46309</v>
      </c>
      <c r="B95" s="0" t="n">
        <v>5</v>
      </c>
      <c r="C95" s="0" t="n">
        <v>3190</v>
      </c>
      <c r="D95" s="0" t="n">
        <v>274</v>
      </c>
      <c r="E95" s="0" t="n">
        <v>4</v>
      </c>
      <c r="F95" s="39" t="s">
        <v>198</v>
      </c>
      <c r="G95" s="0" t="n">
        <v>32.3</v>
      </c>
      <c r="H95" s="0" t="n">
        <v>36</v>
      </c>
      <c r="I95" s="39" t="s">
        <v>109</v>
      </c>
      <c r="J95" s="0" t="n">
        <v>99</v>
      </c>
      <c r="K95" s="0" t="n">
        <v>71</v>
      </c>
      <c r="L95" s="0" t="n">
        <v>175</v>
      </c>
      <c r="M95" s="0" t="n">
        <v>938.78</v>
      </c>
      <c r="N95" s="0" t="n">
        <v>30.68</v>
      </c>
      <c r="O95" s="0" t="n">
        <v>39.87</v>
      </c>
      <c r="P95" s="0" t="n">
        <v>3.31</v>
      </c>
      <c r="Q95" s="0" t="n">
        <v>3.5</v>
      </c>
      <c r="R95" s="0" t="n">
        <v>4679</v>
      </c>
      <c r="S95" s="0" t="n">
        <v>9933</v>
      </c>
      <c r="T95" s="0" t="n">
        <v>48.5</v>
      </c>
      <c r="U95" s="0" t="n">
        <v>2147</v>
      </c>
      <c r="V95" s="0" t="n">
        <v>2</v>
      </c>
      <c r="W95" s="39" t="n">
        <f aca="false">IF(I95="Male",0,1)</f>
        <v>1</v>
      </c>
      <c r="X95" s="39" t="n">
        <f aca="false">IF(OR(I95="DNB",I95="Dry DNB"),1,0)</f>
        <v>0</v>
      </c>
      <c r="Y95" s="39" t="n">
        <f aca="false">MATCH(A95,DATAS,0)</f>
        <v>1</v>
      </c>
      <c r="Z95" s="39" t="n">
        <f aca="false">IF(AND(E95&gt;0,OR(AND(B95&gt;=1,B95&lt;=6),B95=10)),1,0)</f>
        <v>1</v>
      </c>
      <c r="AA95" s="39" t="n">
        <f aca="false">IF(AND(E95&gt;0,B95=10),1,0)</f>
        <v>0</v>
      </c>
      <c r="AB95" s="0" t="str">
        <f aca="false">IF(AND(C94=C95,Y94=Y95-1),Z94,"")</f>
        <v/>
      </c>
      <c r="AC95" s="0" t="str">
        <f aca="false">IF(AND(C94=C95,Y94=Y95-1),AA94,"")</f>
        <v/>
      </c>
      <c r="AD95" s="0" t="str">
        <f aca="false">IF(Y95=1,"",IF(AND(Z95=1,AB95&lt;&gt;1),1,0))</f>
        <v/>
      </c>
      <c r="AE95" s="0" t="str">
        <f aca="false">IF(Y95=1,"",IF(AND(AA95=1,AC95&lt;&gt;1),1,0))</f>
        <v/>
      </c>
      <c r="AF95" s="45" t="str">
        <f aca="false">IF(AND(E95&gt;0,Y95&lt;1,NOT(AND(C96=C95,Y96=Y95+1))),INDEX(DATAS,Y95+1),"")</f>
        <v/>
      </c>
      <c r="AG95" s="45" t="str">
        <f aca="false">IF(AND(AA95=1,Y95&lt;1),IF(AND(C96=C95,Y96=Y95+1),IF(AA96=1,"",INDEX(DATAS,Y95+1)),INDEX(DATAS,Y95+1)),"")</f>
        <v/>
      </c>
    </row>
    <row r="96" customFormat="false" ht="15" hidden="false" customHeight="false" outlineLevel="0" collapsed="false">
      <c r="A96" s="45" t="n">
        <v>46309</v>
      </c>
      <c r="B96" s="0" t="n">
        <v>5</v>
      </c>
      <c r="C96" s="0" t="n">
        <v>3193</v>
      </c>
      <c r="D96" s="0" t="n">
        <v>292</v>
      </c>
      <c r="E96" s="0" t="n">
        <v>4</v>
      </c>
      <c r="F96" s="39" t="s">
        <v>199</v>
      </c>
      <c r="G96" s="0" t="n">
        <v>43.2</v>
      </c>
      <c r="H96" s="0" t="n">
        <v>42</v>
      </c>
      <c r="I96" s="39" t="s">
        <v>138</v>
      </c>
      <c r="J96" s="0" t="n">
        <v>292</v>
      </c>
      <c r="K96" s="0" t="n">
        <v>68</v>
      </c>
      <c r="M96" s="0" t="n">
        <v>1323.02</v>
      </c>
      <c r="N96" s="0" t="n">
        <v>12.16</v>
      </c>
      <c r="O96" s="0" t="n">
        <v>31.64</v>
      </c>
      <c r="P96" s="0" t="n">
        <v>4.13</v>
      </c>
      <c r="Q96" s="0" t="n">
        <v>3.6</v>
      </c>
      <c r="R96" s="0" t="n">
        <v>6088</v>
      </c>
      <c r="S96" s="0" t="n">
        <v>11056</v>
      </c>
      <c r="T96" s="0" t="n">
        <v>64.7</v>
      </c>
      <c r="U96" s="0" t="n">
        <v>2145</v>
      </c>
      <c r="V96" s="0" t="n">
        <v>7</v>
      </c>
      <c r="W96" s="39" t="n">
        <f aca="false">IF(I96="Male",0,1)</f>
        <v>1</v>
      </c>
      <c r="X96" s="39" t="n">
        <f aca="false">IF(OR(I96="DNB",I96="Dry DNB"),1,0)</f>
        <v>0</v>
      </c>
      <c r="Y96" s="39" t="n">
        <f aca="false">MATCH(A96,DATAS,0)</f>
        <v>1</v>
      </c>
      <c r="Z96" s="39" t="n">
        <f aca="false">IF(AND(E96&gt;0,OR(AND(B96&gt;=1,B96&lt;=6),B96=10)),1,0)</f>
        <v>1</v>
      </c>
      <c r="AA96" s="39" t="n">
        <f aca="false">IF(AND(E96&gt;0,B96=10),1,0)</f>
        <v>0</v>
      </c>
      <c r="AB96" s="0" t="str">
        <f aca="false">IF(AND(C95=C96,Y95=Y96-1),Z95,"")</f>
        <v/>
      </c>
      <c r="AC96" s="0" t="str">
        <f aca="false">IF(AND(C95=C96,Y95=Y96-1),AA95,"")</f>
        <v/>
      </c>
      <c r="AD96" s="0" t="str">
        <f aca="false">IF(Y96=1,"",IF(AND(Z96=1,AB96&lt;&gt;1),1,0))</f>
        <v/>
      </c>
      <c r="AE96" s="0" t="str">
        <f aca="false">IF(Y96=1,"",IF(AND(AA96=1,AC96&lt;&gt;1),1,0))</f>
        <v/>
      </c>
      <c r="AF96" s="45" t="str">
        <f aca="false">IF(AND(E96&gt;0,Y96&lt;1,NOT(AND(C97=C96,Y97=Y96+1))),INDEX(DATAS,Y96+1),"")</f>
        <v/>
      </c>
      <c r="AG96" s="45" t="str">
        <f aca="false">IF(AND(AA96=1,Y96&lt;1),IF(AND(C97=C96,Y97=Y96+1),IF(AA97=1,"",INDEX(DATAS,Y96+1)),INDEX(DATAS,Y96+1)),"")</f>
        <v/>
      </c>
    </row>
    <row r="97" customFormat="false" ht="15" hidden="false" customHeight="false" outlineLevel="0" collapsed="false">
      <c r="A97" s="45" t="n">
        <v>46309</v>
      </c>
      <c r="B97" s="0" t="n">
        <v>5</v>
      </c>
      <c r="C97" s="0" t="n">
        <v>3199</v>
      </c>
      <c r="D97" s="0" t="n">
        <v>147</v>
      </c>
      <c r="E97" s="0" t="n">
        <v>4</v>
      </c>
      <c r="F97" s="39" t="s">
        <v>200</v>
      </c>
      <c r="G97" s="0" t="n">
        <v>39.8</v>
      </c>
      <c r="H97" s="0" t="n">
        <v>38</v>
      </c>
      <c r="I97" s="39" t="s">
        <v>109</v>
      </c>
      <c r="J97" s="0" t="n">
        <v>63</v>
      </c>
      <c r="K97" s="0" t="n">
        <v>63</v>
      </c>
      <c r="L97" s="0" t="n">
        <v>84</v>
      </c>
      <c r="M97" s="0" t="n">
        <v>244.25</v>
      </c>
      <c r="N97" s="0" t="n">
        <v>56.43</v>
      </c>
      <c r="O97" s="0" t="n">
        <v>11.75</v>
      </c>
      <c r="P97" s="0" t="n">
        <v>4.54</v>
      </c>
      <c r="Q97" s="0" t="n">
        <v>3.1</v>
      </c>
      <c r="R97" s="0" t="n">
        <v>4322</v>
      </c>
      <c r="S97" s="0" t="n">
        <v>8661</v>
      </c>
      <c r="T97" s="0" t="n">
        <v>49.45</v>
      </c>
      <c r="U97" s="0" t="n">
        <v>2142</v>
      </c>
      <c r="V97" s="0" t="n">
        <v>1</v>
      </c>
      <c r="W97" s="39" t="n">
        <f aca="false">IF(I97="Male",0,1)</f>
        <v>1</v>
      </c>
      <c r="X97" s="39" t="n">
        <f aca="false">IF(OR(I97="DNB",I97="Dry DNB"),1,0)</f>
        <v>0</v>
      </c>
      <c r="Y97" s="39" t="n">
        <f aca="false">MATCH(A97,DATAS,0)</f>
        <v>1</v>
      </c>
      <c r="Z97" s="39" t="n">
        <f aca="false">IF(AND(E97&gt;0,OR(AND(B97&gt;=1,B97&lt;=6),B97=10)),1,0)</f>
        <v>1</v>
      </c>
      <c r="AA97" s="39" t="n">
        <f aca="false">IF(AND(E97&gt;0,B97=10),1,0)</f>
        <v>0</v>
      </c>
      <c r="AB97" s="0" t="str">
        <f aca="false">IF(AND(C96=C97,Y96=Y97-1),Z96,"")</f>
        <v/>
      </c>
      <c r="AC97" s="0" t="str">
        <f aca="false">IF(AND(C96=C97,Y96=Y97-1),AA96,"")</f>
        <v/>
      </c>
      <c r="AD97" s="0" t="str">
        <f aca="false">IF(Y97=1,"",IF(AND(Z97=1,AB97&lt;&gt;1),1,0))</f>
        <v/>
      </c>
      <c r="AE97" s="0" t="str">
        <f aca="false">IF(Y97=1,"",IF(AND(AA97=1,AC97&lt;&gt;1),1,0))</f>
        <v/>
      </c>
      <c r="AF97" s="45" t="str">
        <f aca="false">IF(AND(E97&gt;0,Y97&lt;1,NOT(AND(C98=C97,Y98=Y97+1))),INDEX(DATAS,Y97+1),"")</f>
        <v/>
      </c>
      <c r="AG97" s="45" t="str">
        <f aca="false">IF(AND(AA97=1,Y97&lt;1),IF(AND(C98=C97,Y98=Y97+1),IF(AA98=1,"",INDEX(DATAS,Y97+1)),INDEX(DATAS,Y97+1)),"")</f>
        <v/>
      </c>
    </row>
    <row r="98" customFormat="false" ht="15" hidden="false" customHeight="false" outlineLevel="0" collapsed="false">
      <c r="A98" s="45" t="n">
        <v>46309</v>
      </c>
      <c r="B98" s="0" t="n">
        <v>5</v>
      </c>
      <c r="C98" s="0" t="n">
        <v>3208</v>
      </c>
      <c r="D98" s="0" t="n">
        <v>236</v>
      </c>
      <c r="E98" s="0" t="n">
        <v>4</v>
      </c>
      <c r="F98" s="39" t="s">
        <v>201</v>
      </c>
      <c r="G98" s="0" t="n">
        <v>31.9</v>
      </c>
      <c r="H98" s="0" t="n">
        <v>31</v>
      </c>
      <c r="I98" s="39" t="s">
        <v>146</v>
      </c>
      <c r="J98" s="0" t="n">
        <v>236</v>
      </c>
      <c r="K98" s="0" t="n">
        <v>83</v>
      </c>
      <c r="M98" s="0" t="n">
        <v>53.99</v>
      </c>
      <c r="N98" s="0" t="n">
        <v>56.05</v>
      </c>
      <c r="O98" s="0" t="n">
        <v>13.98</v>
      </c>
      <c r="P98" s="0" t="n">
        <v>4.92</v>
      </c>
      <c r="Q98" s="0" t="n">
        <v>3.85</v>
      </c>
      <c r="R98" s="0" t="n">
        <v>3753</v>
      </c>
      <c r="S98" s="0" t="n">
        <v>7577</v>
      </c>
      <c r="T98" s="0" t="n">
        <v>43.5</v>
      </c>
      <c r="U98" s="0" t="n">
        <v>2133</v>
      </c>
      <c r="V98" s="0" t="n">
        <v>4</v>
      </c>
      <c r="W98" s="39" t="n">
        <f aca="false">IF(I98="Male",0,1)</f>
        <v>1</v>
      </c>
      <c r="X98" s="39" t="n">
        <f aca="false">IF(OR(I98="DNB",I98="Dry DNB"),1,0)</f>
        <v>0</v>
      </c>
      <c r="Y98" s="39" t="n">
        <f aca="false">MATCH(A98,DATAS,0)</f>
        <v>1</v>
      </c>
      <c r="Z98" s="39" t="n">
        <f aca="false">IF(AND(E98&gt;0,OR(AND(B98&gt;=1,B98&lt;=6),B98=10)),1,0)</f>
        <v>1</v>
      </c>
      <c r="AA98" s="39" t="n">
        <f aca="false">IF(AND(E98&gt;0,B98=10),1,0)</f>
        <v>0</v>
      </c>
      <c r="AB98" s="0" t="str">
        <f aca="false">IF(AND(C97=C98,Y97=Y98-1),Z97,"")</f>
        <v/>
      </c>
      <c r="AC98" s="0" t="str">
        <f aca="false">IF(AND(C97=C98,Y97=Y98-1),AA97,"")</f>
        <v/>
      </c>
      <c r="AD98" s="0" t="str">
        <f aca="false">IF(Y98=1,"",IF(AND(Z98=1,AB98&lt;&gt;1),1,0))</f>
        <v/>
      </c>
      <c r="AE98" s="0" t="str">
        <f aca="false">IF(Y98=1,"",IF(AND(AA98=1,AC98&lt;&gt;1),1,0))</f>
        <v/>
      </c>
      <c r="AF98" s="45" t="str">
        <f aca="false">IF(AND(E98&gt;0,Y98&lt;1,NOT(AND(C99=C98,Y99=Y98+1))),INDEX(DATAS,Y98+1),"")</f>
        <v/>
      </c>
      <c r="AG98" s="45" t="str">
        <f aca="false">IF(AND(AA98=1,Y98&lt;1),IF(AND(C99=C98,Y99=Y98+1),IF(AA99=1,"",INDEX(DATAS,Y98+1)),INDEX(DATAS,Y98+1)),"")</f>
        <v/>
      </c>
    </row>
    <row r="99" customFormat="false" ht="15" hidden="false" customHeight="false" outlineLevel="0" collapsed="false">
      <c r="A99" s="45" t="n">
        <v>46309</v>
      </c>
      <c r="B99" s="0" t="n">
        <v>5</v>
      </c>
      <c r="C99" s="0" t="n">
        <v>3210</v>
      </c>
      <c r="D99" s="0" t="n">
        <v>172</v>
      </c>
      <c r="E99" s="0" t="n">
        <v>4</v>
      </c>
      <c r="F99" s="39" t="s">
        <v>202</v>
      </c>
      <c r="G99" s="0" t="n">
        <v>54.4</v>
      </c>
      <c r="H99" s="0" t="n">
        <v>48</v>
      </c>
      <c r="I99" s="39" t="s">
        <v>138</v>
      </c>
      <c r="J99" s="0" t="n">
        <v>172</v>
      </c>
      <c r="K99" s="0" t="n">
        <v>67</v>
      </c>
      <c r="M99" s="0" t="n">
        <v>768.21</v>
      </c>
      <c r="N99" s="0" t="n">
        <v>4.95</v>
      </c>
      <c r="O99" s="0" t="n">
        <v>12.24</v>
      </c>
      <c r="P99" s="0" t="n">
        <v>2.99</v>
      </c>
      <c r="Q99" s="0" t="n">
        <v>2.76</v>
      </c>
      <c r="R99" s="0" t="n">
        <v>6024</v>
      </c>
      <c r="S99" s="0" t="n">
        <v>11392</v>
      </c>
      <c r="T99" s="0" t="n">
        <v>68.9</v>
      </c>
      <c r="U99" s="0" t="n">
        <v>2134</v>
      </c>
      <c r="V99" s="0" t="n">
        <v>3</v>
      </c>
      <c r="W99" s="39" t="n">
        <f aca="false">IF(I99="Male",0,1)</f>
        <v>1</v>
      </c>
      <c r="X99" s="39" t="n">
        <f aca="false">IF(OR(I99="DNB",I99="Dry DNB"),1,0)</f>
        <v>0</v>
      </c>
      <c r="Y99" s="39" t="n">
        <f aca="false">MATCH(A99,DATAS,0)</f>
        <v>1</v>
      </c>
      <c r="Z99" s="39" t="n">
        <f aca="false">IF(AND(E99&gt;0,OR(AND(B99&gt;=1,B99&lt;=6),B99=10)),1,0)</f>
        <v>1</v>
      </c>
      <c r="AA99" s="39" t="n">
        <f aca="false">IF(AND(E99&gt;0,B99=10),1,0)</f>
        <v>0</v>
      </c>
      <c r="AB99" s="0" t="str">
        <f aca="false">IF(AND(C98=C99,Y98=Y99-1),Z98,"")</f>
        <v/>
      </c>
      <c r="AC99" s="0" t="str">
        <f aca="false">IF(AND(C98=C99,Y98=Y99-1),AA98,"")</f>
        <v/>
      </c>
      <c r="AD99" s="0" t="str">
        <f aca="false">IF(Y99=1,"",IF(AND(Z99=1,AB99&lt;&gt;1),1,0))</f>
        <v/>
      </c>
      <c r="AE99" s="0" t="str">
        <f aca="false">IF(Y99=1,"",IF(AND(AA99=1,AC99&lt;&gt;1),1,0))</f>
        <v/>
      </c>
      <c r="AF99" s="45" t="str">
        <f aca="false">IF(AND(E99&gt;0,Y99&lt;1,NOT(AND(C100=C99,Y100=Y99+1))),INDEX(DATAS,Y99+1),"")</f>
        <v/>
      </c>
      <c r="AG99" s="45" t="str">
        <f aca="false">IF(AND(AA99=1,Y99&lt;1),IF(AND(C100=C99,Y100=Y99+1),IF(AA100=1,"",INDEX(DATAS,Y99+1)),INDEX(DATAS,Y99+1)),"")</f>
        <v/>
      </c>
    </row>
    <row r="100" customFormat="false" ht="15" hidden="false" customHeight="false" outlineLevel="0" collapsed="false">
      <c r="A100" s="45" t="n">
        <v>46309</v>
      </c>
      <c r="B100" s="0" t="n">
        <v>2</v>
      </c>
      <c r="C100" s="0" t="n">
        <v>3213</v>
      </c>
      <c r="D100" s="0" t="n">
        <v>19</v>
      </c>
      <c r="E100" s="0" t="n">
        <v>5</v>
      </c>
      <c r="F100" s="39" t="s">
        <v>201</v>
      </c>
      <c r="G100" s="0" t="n">
        <v>44.6</v>
      </c>
      <c r="H100" s="0" t="n">
        <v>39</v>
      </c>
      <c r="I100" s="39" t="s">
        <v>118</v>
      </c>
      <c r="J100" s="0" t="n">
        <v>19</v>
      </c>
      <c r="M100" s="0" t="n">
        <v>-48.47</v>
      </c>
      <c r="N100" s="0" t="n">
        <v>41.25</v>
      </c>
      <c r="O100" s="0" t="n">
        <v>24.37</v>
      </c>
      <c r="R100" s="0" t="n">
        <v>3260</v>
      </c>
      <c r="S100" s="0" t="n">
        <v>6554</v>
      </c>
      <c r="U100" s="0" t="n">
        <v>2133</v>
      </c>
      <c r="V100" s="0" t="n">
        <v>0</v>
      </c>
      <c r="W100" s="39" t="n">
        <f aca="false">IF(I100="Male",0,1)</f>
        <v>1</v>
      </c>
      <c r="X100" s="39" t="n">
        <f aca="false">IF(OR(I100="DNB",I100="Dry DNB"),1,0)</f>
        <v>0</v>
      </c>
      <c r="Y100" s="39" t="n">
        <f aca="false">MATCH(A100,DATAS,0)</f>
        <v>1</v>
      </c>
      <c r="Z100" s="39" t="n">
        <f aca="false">IF(AND(E100&gt;0,OR(AND(B100&gt;=1,B100&lt;=6),B100=10)),1,0)</f>
        <v>1</v>
      </c>
      <c r="AA100" s="39" t="n">
        <f aca="false">IF(AND(E100&gt;0,B100=10),1,0)</f>
        <v>0</v>
      </c>
      <c r="AB100" s="0" t="str">
        <f aca="false">IF(AND(C99=C100,Y99=Y100-1),Z99,"")</f>
        <v/>
      </c>
      <c r="AC100" s="0" t="str">
        <f aca="false">IF(AND(C99=C100,Y99=Y100-1),AA99,"")</f>
        <v/>
      </c>
      <c r="AD100" s="0" t="str">
        <f aca="false">IF(Y100=1,"",IF(AND(Z100=1,AB100&lt;&gt;1),1,0))</f>
        <v/>
      </c>
      <c r="AE100" s="0" t="str">
        <f aca="false">IF(Y100=1,"",IF(AND(AA100=1,AC100&lt;&gt;1),1,0))</f>
        <v/>
      </c>
      <c r="AF100" s="45" t="str">
        <f aca="false">IF(AND(E100&gt;0,Y100&lt;1,NOT(AND(C101=C100,Y101=Y100+1))),INDEX(DATAS,Y100+1),"")</f>
        <v/>
      </c>
      <c r="AG100" s="45" t="str">
        <f aca="false">IF(AND(AA100=1,Y100&lt;1),IF(AND(C101=C100,Y101=Y100+1),IF(AA101=1,"",INDEX(DATAS,Y100+1)),INDEX(DATAS,Y100+1)),"")</f>
        <v/>
      </c>
    </row>
    <row r="101" customFormat="false" ht="15" hidden="false" customHeight="false" outlineLevel="0" collapsed="false">
      <c r="A101" s="45" t="n">
        <v>46309</v>
      </c>
      <c r="B101" s="0" t="n">
        <v>2</v>
      </c>
      <c r="C101" s="0" t="n">
        <v>3218</v>
      </c>
      <c r="D101" s="0" t="n">
        <v>57</v>
      </c>
      <c r="E101" s="0" t="n">
        <v>4</v>
      </c>
      <c r="F101" s="39" t="s">
        <v>203</v>
      </c>
      <c r="G101" s="0" t="n">
        <v>63</v>
      </c>
      <c r="H101" s="0" t="n">
        <v>63</v>
      </c>
      <c r="I101" s="39" t="s">
        <v>118</v>
      </c>
      <c r="J101" s="0" t="n">
        <v>57</v>
      </c>
      <c r="M101" s="0" t="n">
        <v>587.18</v>
      </c>
      <c r="N101" s="0" t="n">
        <v>22.27</v>
      </c>
      <c r="O101" s="0" t="n">
        <v>21.37</v>
      </c>
      <c r="P101" s="0" t="n">
        <v>2.19</v>
      </c>
      <c r="Q101" s="0" t="n">
        <v>2.97</v>
      </c>
      <c r="R101" s="0" t="n">
        <v>6516</v>
      </c>
      <c r="S101" s="0" t="n">
        <v>13097</v>
      </c>
      <c r="U101" s="0" t="n">
        <v>2130</v>
      </c>
      <c r="V101" s="0" t="n">
        <v>0</v>
      </c>
      <c r="W101" s="39" t="n">
        <f aca="false">IF(I101="Male",0,1)</f>
        <v>1</v>
      </c>
      <c r="X101" s="39" t="n">
        <f aca="false">IF(OR(I101="DNB",I101="Dry DNB"),1,0)</f>
        <v>0</v>
      </c>
      <c r="Y101" s="39" t="n">
        <f aca="false">MATCH(A101,DATAS,0)</f>
        <v>1</v>
      </c>
      <c r="Z101" s="39" t="n">
        <f aca="false">IF(AND(E101&gt;0,OR(AND(B101&gt;=1,B101&lt;=6),B101=10)),1,0)</f>
        <v>1</v>
      </c>
      <c r="AA101" s="39" t="n">
        <f aca="false">IF(AND(E101&gt;0,B101=10),1,0)</f>
        <v>0</v>
      </c>
      <c r="AB101" s="0" t="str">
        <f aca="false">IF(AND(C100=C101,Y100=Y101-1),Z100,"")</f>
        <v/>
      </c>
      <c r="AC101" s="0" t="str">
        <f aca="false">IF(AND(C100=C101,Y100=Y101-1),AA100,"")</f>
        <v/>
      </c>
      <c r="AD101" s="0" t="str">
        <f aca="false">IF(Y101=1,"",IF(AND(Z101=1,AB101&lt;&gt;1),1,0))</f>
        <v/>
      </c>
      <c r="AE101" s="0" t="str">
        <f aca="false">IF(Y101=1,"",IF(AND(AA101=1,AC101&lt;&gt;1),1,0))</f>
        <v/>
      </c>
      <c r="AF101" s="45" t="str">
        <f aca="false">IF(AND(E101&gt;0,Y101&lt;1,NOT(AND(C102=C101,Y102=Y101+1))),INDEX(DATAS,Y101+1),"")</f>
        <v/>
      </c>
      <c r="AG101" s="45" t="str">
        <f aca="false">IF(AND(AA101=1,Y101&lt;1),IF(AND(C102=C101,Y102=Y101+1),IF(AA102=1,"",INDEX(DATAS,Y101+1)),INDEX(DATAS,Y101+1)),"")</f>
        <v/>
      </c>
    </row>
    <row r="102" customFormat="false" ht="15" hidden="false" customHeight="false" outlineLevel="0" collapsed="false">
      <c r="A102" s="45" t="n">
        <v>46309</v>
      </c>
      <c r="B102" s="0" t="n">
        <v>7</v>
      </c>
      <c r="C102" s="0" t="n">
        <v>3223</v>
      </c>
      <c r="D102" s="0" t="n">
        <v>140</v>
      </c>
      <c r="E102" s="0" t="n">
        <v>4</v>
      </c>
      <c r="F102" s="39" t="s">
        <v>204</v>
      </c>
      <c r="I102" s="39" t="s">
        <v>114</v>
      </c>
      <c r="J102" s="0" t="n">
        <v>64</v>
      </c>
      <c r="K102" s="0" t="n">
        <v>64</v>
      </c>
      <c r="L102" s="0" t="n">
        <v>224</v>
      </c>
      <c r="M102" s="0" t="n">
        <v>1163.19</v>
      </c>
      <c r="N102" s="0" t="n">
        <v>22.78</v>
      </c>
      <c r="O102" s="0" t="n">
        <v>32.52</v>
      </c>
      <c r="P102" s="0" t="n">
        <v>2.32</v>
      </c>
      <c r="Q102" s="0" t="n">
        <v>3.39</v>
      </c>
      <c r="R102" s="0" t="n">
        <v>5447</v>
      </c>
      <c r="S102" s="0" t="n">
        <v>10342</v>
      </c>
      <c r="T102" s="0" t="n">
        <v>62.3</v>
      </c>
      <c r="U102" s="0" t="n">
        <v>2128</v>
      </c>
      <c r="V102" s="0" t="n">
        <v>1</v>
      </c>
      <c r="W102" s="39" t="n">
        <f aca="false">IF(I102="Male",0,1)</f>
        <v>1</v>
      </c>
      <c r="X102" s="39" t="n">
        <f aca="false">IF(OR(I102="DNB",I102="Dry DNB"),1,0)</f>
        <v>0</v>
      </c>
      <c r="Y102" s="39" t="n">
        <f aca="false">MATCH(A102,DATAS,0)</f>
        <v>1</v>
      </c>
      <c r="Z102" s="39" t="n">
        <f aca="false">IF(AND(E102&gt;0,OR(AND(B102&gt;=1,B102&lt;=6),B102=10)),1,0)</f>
        <v>0</v>
      </c>
      <c r="AA102" s="39" t="n">
        <f aca="false">IF(AND(E102&gt;0,B102=10),1,0)</f>
        <v>0</v>
      </c>
      <c r="AB102" s="0" t="str">
        <f aca="false">IF(AND(C101=C102,Y101=Y102-1),Z101,"")</f>
        <v/>
      </c>
      <c r="AC102" s="0" t="str">
        <f aca="false">IF(AND(C101=C102,Y101=Y102-1),AA101,"")</f>
        <v/>
      </c>
      <c r="AD102" s="0" t="str">
        <f aca="false">IF(Y102=1,"",IF(AND(Z102=1,AB102&lt;&gt;1),1,0))</f>
        <v/>
      </c>
      <c r="AE102" s="0" t="str">
        <f aca="false">IF(Y102=1,"",IF(AND(AA102=1,AC102&lt;&gt;1),1,0))</f>
        <v/>
      </c>
      <c r="AF102" s="45" t="str">
        <f aca="false">IF(AND(E102&gt;0,Y102&lt;1,NOT(AND(C103=C102,Y103=Y102+1))),INDEX(DATAS,Y102+1),"")</f>
        <v/>
      </c>
      <c r="AG102" s="45" t="str">
        <f aca="false">IF(AND(AA102=1,Y102&lt;1),IF(AND(C103=C102,Y103=Y102+1),IF(AA103=1,"",INDEX(DATAS,Y102+1)),INDEX(DATAS,Y102+1)),"")</f>
        <v/>
      </c>
    </row>
    <row r="103" customFormat="false" ht="15" hidden="false" customHeight="false" outlineLevel="0" collapsed="false">
      <c r="A103" s="45" t="n">
        <v>46309</v>
      </c>
      <c r="B103" s="0" t="n">
        <v>3</v>
      </c>
      <c r="C103" s="0" t="n">
        <v>3224</v>
      </c>
      <c r="D103" s="0" t="n">
        <v>75</v>
      </c>
      <c r="E103" s="0" t="n">
        <v>4</v>
      </c>
      <c r="F103" s="39" t="s">
        <v>204</v>
      </c>
      <c r="G103" s="0" t="n">
        <v>57.1</v>
      </c>
      <c r="H103" s="0" t="n">
        <v>53</v>
      </c>
      <c r="I103" s="39" t="s">
        <v>146</v>
      </c>
      <c r="J103" s="0" t="n">
        <v>75</v>
      </c>
      <c r="M103" s="0" t="n">
        <v>1397.34</v>
      </c>
      <c r="N103" s="0" t="n">
        <v>35.91</v>
      </c>
      <c r="O103" s="0" t="n">
        <v>38.36</v>
      </c>
      <c r="P103" s="0" t="n">
        <v>2.76</v>
      </c>
      <c r="Q103" s="0" t="n">
        <v>2.96</v>
      </c>
      <c r="R103" s="0" t="n">
        <v>5102</v>
      </c>
      <c r="S103" s="0" t="n">
        <v>10256</v>
      </c>
      <c r="U103" s="0" t="n">
        <v>2128</v>
      </c>
      <c r="V103" s="0" t="n">
        <v>0</v>
      </c>
      <c r="W103" s="39" t="n">
        <f aca="false">IF(I103="Male",0,1)</f>
        <v>1</v>
      </c>
      <c r="X103" s="39" t="n">
        <f aca="false">IF(OR(I103="DNB",I103="Dry DNB"),1,0)</f>
        <v>0</v>
      </c>
      <c r="Y103" s="39" t="n">
        <f aca="false">MATCH(A103,DATAS,0)</f>
        <v>1</v>
      </c>
      <c r="Z103" s="39" t="n">
        <f aca="false">IF(AND(E103&gt;0,OR(AND(B103&gt;=1,B103&lt;=6),B103=10)),1,0)</f>
        <v>1</v>
      </c>
      <c r="AA103" s="39" t="n">
        <f aca="false">IF(AND(E103&gt;0,B103=10),1,0)</f>
        <v>0</v>
      </c>
      <c r="AB103" s="0" t="str">
        <f aca="false">IF(AND(C102=C103,Y102=Y103-1),Z102,"")</f>
        <v/>
      </c>
      <c r="AC103" s="0" t="str">
        <f aca="false">IF(AND(C102=C103,Y102=Y103-1),AA102,"")</f>
        <v/>
      </c>
      <c r="AD103" s="0" t="str">
        <f aca="false">IF(Y103=1,"",IF(AND(Z103=1,AB103&lt;&gt;1),1,0))</f>
        <v/>
      </c>
      <c r="AE103" s="0" t="str">
        <f aca="false">IF(Y103=1,"",IF(AND(AA103=1,AC103&lt;&gt;1),1,0))</f>
        <v/>
      </c>
      <c r="AF103" s="45" t="str">
        <f aca="false">IF(AND(E103&gt;0,Y103&lt;1,NOT(AND(C104=C103,Y104=Y103+1))),INDEX(DATAS,Y103+1),"")</f>
        <v/>
      </c>
      <c r="AG103" s="45" t="str">
        <f aca="false">IF(AND(AA103=1,Y103&lt;1),IF(AND(C104=C103,Y104=Y103+1),IF(AA104=1,"",INDEX(DATAS,Y103+1)),INDEX(DATAS,Y103+1)),"")</f>
        <v/>
      </c>
    </row>
    <row r="104" customFormat="false" ht="15" hidden="false" customHeight="false" outlineLevel="0" collapsed="false">
      <c r="A104" s="45" t="n">
        <v>46309</v>
      </c>
      <c r="B104" s="0" t="n">
        <v>5</v>
      </c>
      <c r="C104" s="0" t="n">
        <v>3226</v>
      </c>
      <c r="D104" s="0" t="n">
        <v>54</v>
      </c>
      <c r="E104" s="0" t="n">
        <v>5</v>
      </c>
      <c r="F104" s="39" t="s">
        <v>205</v>
      </c>
      <c r="G104" s="0" t="n">
        <v>41.7</v>
      </c>
      <c r="H104" s="0" t="n">
        <v>42</v>
      </c>
      <c r="I104" s="39" t="s">
        <v>118</v>
      </c>
      <c r="J104" s="0" t="n">
        <v>54</v>
      </c>
      <c r="M104" s="0" t="n">
        <v>1156.85</v>
      </c>
      <c r="N104" s="0" t="n">
        <v>11.42</v>
      </c>
      <c r="O104" s="0" t="n">
        <v>27.06</v>
      </c>
      <c r="P104" s="0" t="n">
        <v>3.3</v>
      </c>
      <c r="Q104" s="0" t="n">
        <v>3.56</v>
      </c>
      <c r="R104" s="0" t="n">
        <v>2792</v>
      </c>
      <c r="S104" s="0" t="n">
        <v>5613</v>
      </c>
      <c r="U104" s="0" t="n">
        <v>2126</v>
      </c>
      <c r="V104" s="0" t="n">
        <v>0</v>
      </c>
      <c r="W104" s="39" t="n">
        <f aca="false">IF(I104="Male",0,1)</f>
        <v>1</v>
      </c>
      <c r="X104" s="39" t="n">
        <f aca="false">IF(OR(I104="DNB",I104="Dry DNB"),1,0)</f>
        <v>0</v>
      </c>
      <c r="Y104" s="39" t="n">
        <f aca="false">MATCH(A104,DATAS,0)</f>
        <v>1</v>
      </c>
      <c r="Z104" s="39" t="n">
        <f aca="false">IF(AND(E104&gt;0,OR(AND(B104&gt;=1,B104&lt;=6),B104=10)),1,0)</f>
        <v>1</v>
      </c>
      <c r="AA104" s="39" t="n">
        <f aca="false">IF(AND(E104&gt;0,B104=10),1,0)</f>
        <v>0</v>
      </c>
      <c r="AB104" s="0" t="str">
        <f aca="false">IF(AND(C103=C104,Y103=Y104-1),Z103,"")</f>
        <v/>
      </c>
      <c r="AC104" s="0" t="str">
        <f aca="false">IF(AND(C103=C104,Y103=Y104-1),AA103,"")</f>
        <v/>
      </c>
      <c r="AD104" s="0" t="str">
        <f aca="false">IF(Y104=1,"",IF(AND(Z104=1,AB104&lt;&gt;1),1,0))</f>
        <v/>
      </c>
      <c r="AE104" s="0" t="str">
        <f aca="false">IF(Y104=1,"",IF(AND(AA104=1,AC104&lt;&gt;1),1,0))</f>
        <v/>
      </c>
      <c r="AF104" s="45" t="str">
        <f aca="false">IF(AND(E104&gt;0,Y104&lt;1,NOT(AND(C105=C104,Y105=Y104+1))),INDEX(DATAS,Y104+1),"")</f>
        <v/>
      </c>
      <c r="AG104" s="45" t="str">
        <f aca="false">IF(AND(AA104=1,Y104&lt;1),IF(AND(C105=C104,Y105=Y104+1),IF(AA105=1,"",INDEX(DATAS,Y104+1)),INDEX(DATAS,Y104+1)),"")</f>
        <v/>
      </c>
    </row>
    <row r="105" customFormat="false" ht="15" hidden="false" customHeight="false" outlineLevel="0" collapsed="false">
      <c r="A105" s="45" t="n">
        <v>46309</v>
      </c>
      <c r="B105" s="0" t="n">
        <v>6</v>
      </c>
      <c r="C105" s="0" t="n">
        <v>3246</v>
      </c>
      <c r="D105" s="0" t="n">
        <v>135</v>
      </c>
      <c r="E105" s="0" t="n">
        <v>4</v>
      </c>
      <c r="F105" s="39" t="s">
        <v>206</v>
      </c>
      <c r="I105" s="39" t="s">
        <v>109</v>
      </c>
      <c r="J105" s="0" t="n">
        <v>65</v>
      </c>
      <c r="K105" s="0" t="n">
        <v>65</v>
      </c>
      <c r="L105" s="0" t="n">
        <v>70</v>
      </c>
      <c r="M105" s="0" t="n">
        <v>748.55</v>
      </c>
      <c r="N105" s="0" t="n">
        <v>16.07</v>
      </c>
      <c r="O105" s="0" t="n">
        <v>16.98</v>
      </c>
      <c r="P105" s="0" t="n">
        <v>3.5</v>
      </c>
      <c r="Q105" s="0" t="n">
        <v>2.82</v>
      </c>
      <c r="R105" s="0" t="n">
        <v>5999</v>
      </c>
      <c r="S105" s="0" t="n">
        <v>12060</v>
      </c>
      <c r="T105" s="0" t="n">
        <v>59.85</v>
      </c>
      <c r="U105" s="0" t="n">
        <v>2111</v>
      </c>
      <c r="V105" s="0" t="n">
        <v>1</v>
      </c>
      <c r="W105" s="39" t="n">
        <f aca="false">IF(I105="Male",0,1)</f>
        <v>1</v>
      </c>
      <c r="X105" s="39" t="n">
        <f aca="false">IF(OR(I105="DNB",I105="Dry DNB"),1,0)</f>
        <v>0</v>
      </c>
      <c r="Y105" s="39" t="n">
        <f aca="false">MATCH(A105,DATAS,0)</f>
        <v>1</v>
      </c>
      <c r="Z105" s="39" t="n">
        <f aca="false">IF(AND(E105&gt;0,OR(AND(B105&gt;=1,B105&lt;=6),B105=10)),1,0)</f>
        <v>1</v>
      </c>
      <c r="AA105" s="39" t="n">
        <f aca="false">IF(AND(E105&gt;0,B105=10),1,0)</f>
        <v>0</v>
      </c>
      <c r="AB105" s="0" t="str">
        <f aca="false">IF(AND(C104=C105,Y104=Y105-1),Z104,"")</f>
        <v/>
      </c>
      <c r="AC105" s="0" t="str">
        <f aca="false">IF(AND(C104=C105,Y104=Y105-1),AA104,"")</f>
        <v/>
      </c>
      <c r="AD105" s="0" t="str">
        <f aca="false">IF(Y105=1,"",IF(AND(Z105=1,AB105&lt;&gt;1),1,0))</f>
        <v/>
      </c>
      <c r="AE105" s="0" t="str">
        <f aca="false">IF(Y105=1,"",IF(AND(AA105=1,AC105&lt;&gt;1),1,0))</f>
        <v/>
      </c>
      <c r="AF105" s="45" t="str">
        <f aca="false">IF(AND(E105&gt;0,Y105&lt;1,NOT(AND(C106=C105,Y106=Y105+1))),INDEX(DATAS,Y105+1),"")</f>
        <v/>
      </c>
      <c r="AG105" s="45" t="str">
        <f aca="false">IF(AND(AA105=1,Y105&lt;1),IF(AND(C106=C105,Y106=Y105+1),IF(AA106=1,"",INDEX(DATAS,Y105+1)),INDEX(DATAS,Y105+1)),"")</f>
        <v/>
      </c>
    </row>
    <row r="106" customFormat="false" ht="15" hidden="false" customHeight="false" outlineLevel="0" collapsed="false">
      <c r="A106" s="45" t="n">
        <v>46309</v>
      </c>
      <c r="B106" s="0" t="n">
        <v>7</v>
      </c>
      <c r="C106" s="0" t="n">
        <v>3250</v>
      </c>
      <c r="D106" s="0" t="n">
        <v>312</v>
      </c>
      <c r="E106" s="0" t="n">
        <v>4</v>
      </c>
      <c r="F106" s="39" t="s">
        <v>207</v>
      </c>
      <c r="I106" s="39" t="s">
        <v>114</v>
      </c>
      <c r="J106" s="0" t="n">
        <v>146</v>
      </c>
      <c r="K106" s="0" t="n">
        <v>68</v>
      </c>
      <c r="L106" s="0" t="n">
        <v>188</v>
      </c>
      <c r="M106" s="0" t="n">
        <v>838.76</v>
      </c>
      <c r="N106" s="0" t="n">
        <v>13.84</v>
      </c>
      <c r="O106" s="0" t="n">
        <v>37.51</v>
      </c>
      <c r="P106" s="0" t="n">
        <v>4.81</v>
      </c>
      <c r="Q106" s="0" t="n">
        <v>3.93</v>
      </c>
      <c r="R106" s="0" t="n">
        <v>5500</v>
      </c>
      <c r="S106" s="0" t="n">
        <v>11085</v>
      </c>
      <c r="T106" s="0" t="n">
        <v>59.2</v>
      </c>
      <c r="U106" s="0" t="n">
        <v>2110</v>
      </c>
      <c r="V106" s="0" t="n">
        <v>3</v>
      </c>
      <c r="W106" s="39" t="n">
        <f aca="false">IF(I106="Male",0,1)</f>
        <v>1</v>
      </c>
      <c r="X106" s="39" t="n">
        <f aca="false">IF(OR(I106="DNB",I106="Dry DNB"),1,0)</f>
        <v>0</v>
      </c>
      <c r="Y106" s="39" t="n">
        <f aca="false">MATCH(A106,DATAS,0)</f>
        <v>1</v>
      </c>
      <c r="Z106" s="39" t="n">
        <f aca="false">IF(AND(E106&gt;0,OR(AND(B106&gt;=1,B106&lt;=6),B106=10)),1,0)</f>
        <v>0</v>
      </c>
      <c r="AA106" s="39" t="n">
        <f aca="false">IF(AND(E106&gt;0,B106=10),1,0)</f>
        <v>0</v>
      </c>
      <c r="AB106" s="0" t="str">
        <f aca="false">IF(AND(C105=C106,Y105=Y106-1),Z105,"")</f>
        <v/>
      </c>
      <c r="AC106" s="0" t="str">
        <f aca="false">IF(AND(C105=C106,Y105=Y106-1),AA105,"")</f>
        <v/>
      </c>
      <c r="AD106" s="0" t="str">
        <f aca="false">IF(Y106=1,"",IF(AND(Z106=1,AB106&lt;&gt;1),1,0))</f>
        <v/>
      </c>
      <c r="AE106" s="0" t="str">
        <f aca="false">IF(Y106=1,"",IF(AND(AA106=1,AC106&lt;&gt;1),1,0))</f>
        <v/>
      </c>
      <c r="AF106" s="45" t="str">
        <f aca="false">IF(AND(E106&gt;0,Y106&lt;1,NOT(AND(C107=C106,Y107=Y106+1))),INDEX(DATAS,Y106+1),"")</f>
        <v/>
      </c>
      <c r="AG106" s="45" t="str">
        <f aca="false">IF(AND(AA106=1,Y106&lt;1),IF(AND(C107=C106,Y107=Y106+1),IF(AA107=1,"",INDEX(DATAS,Y106+1)),INDEX(DATAS,Y106+1)),"")</f>
        <v/>
      </c>
    </row>
    <row r="107" customFormat="false" ht="15" hidden="false" customHeight="false" outlineLevel="0" collapsed="false">
      <c r="A107" s="45" t="n">
        <v>46309</v>
      </c>
      <c r="B107" s="0" t="n">
        <v>5</v>
      </c>
      <c r="C107" s="0" t="n">
        <v>3251</v>
      </c>
      <c r="D107" s="0" t="n">
        <v>150</v>
      </c>
      <c r="E107" s="0" t="n">
        <v>4</v>
      </c>
      <c r="F107" s="39" t="s">
        <v>207</v>
      </c>
      <c r="G107" s="0" t="n">
        <v>23.6</v>
      </c>
      <c r="H107" s="0" t="n">
        <v>24</v>
      </c>
      <c r="I107" s="39" t="s">
        <v>146</v>
      </c>
      <c r="J107" s="0" t="n">
        <v>150</v>
      </c>
      <c r="K107" s="0" t="n">
        <v>66</v>
      </c>
      <c r="M107" s="0" t="n">
        <v>675.45</v>
      </c>
      <c r="N107" s="0" t="n">
        <v>12.91</v>
      </c>
      <c r="O107" s="0" t="n">
        <v>34.11</v>
      </c>
      <c r="P107" s="0" t="n">
        <v>4.17</v>
      </c>
      <c r="Q107" s="0" t="n">
        <v>3.86</v>
      </c>
      <c r="R107" s="0" t="n">
        <v>2719</v>
      </c>
      <c r="S107" s="0" t="n">
        <v>5662</v>
      </c>
      <c r="T107" s="0" t="n">
        <v>26.9</v>
      </c>
      <c r="U107" s="0" t="n">
        <v>2110</v>
      </c>
      <c r="V107" s="0" t="n">
        <v>2</v>
      </c>
      <c r="W107" s="39" t="n">
        <f aca="false">IF(I107="Male",0,1)</f>
        <v>1</v>
      </c>
      <c r="X107" s="39" t="n">
        <f aca="false">IF(OR(I107="DNB",I107="Dry DNB"),1,0)</f>
        <v>0</v>
      </c>
      <c r="Y107" s="39" t="n">
        <f aca="false">MATCH(A107,DATAS,0)</f>
        <v>1</v>
      </c>
      <c r="Z107" s="39" t="n">
        <f aca="false">IF(AND(E107&gt;0,OR(AND(B107&gt;=1,B107&lt;=6),B107=10)),1,0)</f>
        <v>1</v>
      </c>
      <c r="AA107" s="39" t="n">
        <f aca="false">IF(AND(E107&gt;0,B107=10),1,0)</f>
        <v>0</v>
      </c>
      <c r="AB107" s="0" t="str">
        <f aca="false">IF(AND(C106=C107,Y106=Y107-1),Z106,"")</f>
        <v/>
      </c>
      <c r="AC107" s="0" t="str">
        <f aca="false">IF(AND(C106=C107,Y106=Y107-1),AA106,"")</f>
        <v/>
      </c>
      <c r="AD107" s="0" t="str">
        <f aca="false">IF(Y107=1,"",IF(AND(Z107=1,AB107&lt;&gt;1),1,0))</f>
        <v/>
      </c>
      <c r="AE107" s="0" t="str">
        <f aca="false">IF(Y107=1,"",IF(AND(AA107=1,AC107&lt;&gt;1),1,0))</f>
        <v/>
      </c>
      <c r="AF107" s="45" t="str">
        <f aca="false">IF(AND(E107&gt;0,Y107&lt;1,NOT(AND(C108=C107,Y108=Y107+1))),INDEX(DATAS,Y107+1),"")</f>
        <v/>
      </c>
      <c r="AG107" s="45" t="str">
        <f aca="false">IF(AND(AA107=1,Y107&lt;1),IF(AND(C108=C107,Y108=Y107+1),IF(AA108=1,"",INDEX(DATAS,Y107+1)),INDEX(DATAS,Y107+1)),"")</f>
        <v/>
      </c>
    </row>
    <row r="108" customFormat="false" ht="15" hidden="false" customHeight="false" outlineLevel="0" collapsed="false">
      <c r="A108" s="45" t="n">
        <v>46309</v>
      </c>
      <c r="B108" s="0" t="n">
        <v>2</v>
      </c>
      <c r="C108" s="0" t="n">
        <v>3261</v>
      </c>
      <c r="D108" s="0" t="n">
        <v>25</v>
      </c>
      <c r="E108" s="0" t="n">
        <v>4</v>
      </c>
      <c r="F108" s="39" t="s">
        <v>208</v>
      </c>
      <c r="G108" s="0" t="n">
        <v>51.3</v>
      </c>
      <c r="H108" s="0" t="n">
        <v>50</v>
      </c>
      <c r="I108" s="39" t="s">
        <v>118</v>
      </c>
      <c r="J108" s="0" t="n">
        <v>25</v>
      </c>
      <c r="M108" s="0" t="n">
        <v>110.77</v>
      </c>
      <c r="N108" s="0" t="n">
        <v>-7.8</v>
      </c>
      <c r="O108" s="0" t="n">
        <v>-0.49</v>
      </c>
      <c r="R108" s="0" t="n">
        <v>4849</v>
      </c>
      <c r="S108" s="0" t="n">
        <v>9748</v>
      </c>
      <c r="U108" s="0" t="n">
        <v>2103</v>
      </c>
      <c r="V108" s="0" t="n">
        <v>0</v>
      </c>
      <c r="W108" s="39" t="n">
        <f aca="false">IF(I108="Male",0,1)</f>
        <v>1</v>
      </c>
      <c r="X108" s="39" t="n">
        <f aca="false">IF(OR(I108="DNB",I108="Dry DNB"),1,0)</f>
        <v>0</v>
      </c>
      <c r="Y108" s="39" t="n">
        <f aca="false">MATCH(A108,DATAS,0)</f>
        <v>1</v>
      </c>
      <c r="Z108" s="39" t="n">
        <f aca="false">IF(AND(E108&gt;0,OR(AND(B108&gt;=1,B108&lt;=6),B108=10)),1,0)</f>
        <v>1</v>
      </c>
      <c r="AA108" s="39" t="n">
        <f aca="false">IF(AND(E108&gt;0,B108=10),1,0)</f>
        <v>0</v>
      </c>
      <c r="AB108" s="0" t="str">
        <f aca="false">IF(AND(C107=C108,Y107=Y108-1),Z107,"")</f>
        <v/>
      </c>
      <c r="AC108" s="0" t="str">
        <f aca="false">IF(AND(C107=C108,Y107=Y108-1),AA107,"")</f>
        <v/>
      </c>
      <c r="AD108" s="0" t="str">
        <f aca="false">IF(Y108=1,"",IF(AND(Z108=1,AB108&lt;&gt;1),1,0))</f>
        <v/>
      </c>
      <c r="AE108" s="0" t="str">
        <f aca="false">IF(Y108=1,"",IF(AND(AA108=1,AC108&lt;&gt;1),1,0))</f>
        <v/>
      </c>
      <c r="AF108" s="45" t="str">
        <f aca="false">IF(AND(E108&gt;0,Y108&lt;1,NOT(AND(C109=C108,Y109=Y108+1))),INDEX(DATAS,Y108+1),"")</f>
        <v/>
      </c>
      <c r="AG108" s="45" t="str">
        <f aca="false">IF(AND(AA108=1,Y108&lt;1),IF(AND(C109=C108,Y109=Y108+1),IF(AA109=1,"",INDEX(DATAS,Y108+1)),INDEX(DATAS,Y108+1)),"")</f>
        <v/>
      </c>
    </row>
    <row r="109" customFormat="false" ht="15" hidden="false" customHeight="false" outlineLevel="0" collapsed="false">
      <c r="A109" s="45" t="n">
        <v>46309</v>
      </c>
      <c r="B109" s="0" t="n">
        <v>5</v>
      </c>
      <c r="C109" s="0" t="n">
        <v>3263</v>
      </c>
      <c r="D109" s="0" t="n">
        <v>236</v>
      </c>
      <c r="E109" s="0" t="n">
        <v>3</v>
      </c>
      <c r="F109" s="39" t="s">
        <v>209</v>
      </c>
      <c r="G109" s="0" t="n">
        <v>37.5</v>
      </c>
      <c r="H109" s="0" t="n">
        <v>37</v>
      </c>
      <c r="I109" s="39" t="s">
        <v>96</v>
      </c>
      <c r="J109" s="0" t="n">
        <v>236</v>
      </c>
      <c r="K109" s="0" t="n">
        <v>110</v>
      </c>
      <c r="M109" s="0" t="n">
        <v>684.84</v>
      </c>
      <c r="N109" s="0" t="n">
        <v>15.58</v>
      </c>
      <c r="O109" s="0" t="n">
        <v>24.5</v>
      </c>
      <c r="P109" s="0" t="n">
        <v>4.03</v>
      </c>
      <c r="Q109" s="0" t="n">
        <v>3.72</v>
      </c>
      <c r="R109" s="0" t="n">
        <v>6127</v>
      </c>
      <c r="S109" s="0" t="n">
        <v>10608</v>
      </c>
      <c r="T109" s="0" t="n">
        <v>69.6</v>
      </c>
      <c r="U109" s="0" t="n">
        <v>2102</v>
      </c>
      <c r="V109" s="0" t="n">
        <v>1</v>
      </c>
      <c r="W109" s="39" t="n">
        <f aca="false">IF(I109="Male",0,1)</f>
        <v>1</v>
      </c>
      <c r="X109" s="39" t="n">
        <f aca="false">IF(OR(I109="DNB",I109="Dry DNB"),1,0)</f>
        <v>1</v>
      </c>
      <c r="Y109" s="39" t="n">
        <f aca="false">MATCH(A109,DATAS,0)</f>
        <v>1</v>
      </c>
      <c r="Z109" s="39" t="n">
        <f aca="false">IF(AND(E109&gt;0,OR(AND(B109&gt;=1,B109&lt;=6),B109=10)),1,0)</f>
        <v>1</v>
      </c>
      <c r="AA109" s="39" t="n">
        <f aca="false">IF(AND(E109&gt;0,B109=10),1,0)</f>
        <v>0</v>
      </c>
      <c r="AB109" s="0" t="str">
        <f aca="false">IF(AND(C108=C109,Y108=Y109-1),Z108,"")</f>
        <v/>
      </c>
      <c r="AC109" s="0" t="str">
        <f aca="false">IF(AND(C108=C109,Y108=Y109-1),AA108,"")</f>
        <v/>
      </c>
      <c r="AD109" s="0" t="str">
        <f aca="false">IF(Y109=1,"",IF(AND(Z109=1,AB109&lt;&gt;1),1,0))</f>
        <v/>
      </c>
      <c r="AE109" s="0" t="str">
        <f aca="false">IF(Y109=1,"",IF(AND(AA109=1,AC109&lt;&gt;1),1,0))</f>
        <v/>
      </c>
      <c r="AF109" s="45" t="str">
        <f aca="false">IF(AND(E109&gt;0,Y109&lt;1,NOT(AND(C110=C109,Y110=Y109+1))),INDEX(DATAS,Y109+1),"")</f>
        <v/>
      </c>
      <c r="AG109" s="45" t="str">
        <f aca="false">IF(AND(AA109=1,Y109&lt;1),IF(AND(C110=C109,Y110=Y109+1),IF(AA110=1,"",INDEX(DATAS,Y109+1)),INDEX(DATAS,Y109+1)),"")</f>
        <v/>
      </c>
    </row>
    <row r="110" customFormat="false" ht="15" hidden="false" customHeight="false" outlineLevel="0" collapsed="false">
      <c r="A110" s="45" t="n">
        <v>46309</v>
      </c>
      <c r="B110" s="0" t="n">
        <v>2</v>
      </c>
      <c r="C110" s="0" t="n">
        <v>3278</v>
      </c>
      <c r="D110" s="0" t="n">
        <v>43</v>
      </c>
      <c r="E110" s="0" t="n">
        <v>4</v>
      </c>
      <c r="F110" s="39" t="s">
        <v>210</v>
      </c>
      <c r="G110" s="0" t="n">
        <v>49.2</v>
      </c>
      <c r="H110" s="0" t="n">
        <v>46</v>
      </c>
      <c r="I110" s="39" t="s">
        <v>118</v>
      </c>
      <c r="J110" s="0" t="n">
        <v>43</v>
      </c>
      <c r="M110" s="0" t="n">
        <v>466.98</v>
      </c>
      <c r="N110" s="0" t="n">
        <v>37.49</v>
      </c>
      <c r="O110" s="0" t="n">
        <v>29.41</v>
      </c>
      <c r="P110" s="0" t="n">
        <v>3.61</v>
      </c>
      <c r="Q110" s="0" t="n">
        <v>2.92</v>
      </c>
      <c r="R110" s="0" t="n">
        <v>4817</v>
      </c>
      <c r="S110" s="0" t="n">
        <v>9684</v>
      </c>
      <c r="U110" s="0" t="n">
        <v>2093</v>
      </c>
      <c r="V110" s="0" t="n">
        <v>0</v>
      </c>
      <c r="W110" s="39" t="n">
        <f aca="false">IF(I110="Male",0,1)</f>
        <v>1</v>
      </c>
      <c r="X110" s="39" t="n">
        <f aca="false">IF(OR(I110="DNB",I110="Dry DNB"),1,0)</f>
        <v>0</v>
      </c>
      <c r="Y110" s="39" t="n">
        <f aca="false">MATCH(A110,DATAS,0)</f>
        <v>1</v>
      </c>
      <c r="Z110" s="39" t="n">
        <f aca="false">IF(AND(E110&gt;0,OR(AND(B110&gt;=1,B110&lt;=6),B110=10)),1,0)</f>
        <v>1</v>
      </c>
      <c r="AA110" s="39" t="n">
        <f aca="false">IF(AND(E110&gt;0,B110=10),1,0)</f>
        <v>0</v>
      </c>
      <c r="AB110" s="0" t="str">
        <f aca="false">IF(AND(C109=C110,Y109=Y110-1),Z109,"")</f>
        <v/>
      </c>
      <c r="AC110" s="0" t="str">
        <f aca="false">IF(AND(C109=C110,Y109=Y110-1),AA109,"")</f>
        <v/>
      </c>
      <c r="AD110" s="0" t="str">
        <f aca="false">IF(Y110=1,"",IF(AND(Z110=1,AB110&lt;&gt;1),1,0))</f>
        <v/>
      </c>
      <c r="AE110" s="0" t="str">
        <f aca="false">IF(Y110=1,"",IF(AND(AA110=1,AC110&lt;&gt;1),1,0))</f>
        <v/>
      </c>
      <c r="AF110" s="45" t="str">
        <f aca="false">IF(AND(E110&gt;0,Y110&lt;1,NOT(AND(C111=C110,Y111=Y110+1))),INDEX(DATAS,Y110+1),"")</f>
        <v/>
      </c>
      <c r="AG110" s="45" t="str">
        <f aca="false">IF(AND(AA110=1,Y110&lt;1),IF(AND(C111=C110,Y111=Y110+1),IF(AA111=1,"",INDEX(DATAS,Y110+1)),INDEX(DATAS,Y110+1)),"")</f>
        <v/>
      </c>
    </row>
    <row r="111" customFormat="false" ht="15" hidden="false" customHeight="false" outlineLevel="0" collapsed="false">
      <c r="A111" s="45" t="n">
        <v>46309</v>
      </c>
      <c r="B111" s="0" t="n">
        <v>6</v>
      </c>
      <c r="C111" s="0" t="n">
        <v>3282</v>
      </c>
      <c r="D111" s="0" t="n">
        <v>221</v>
      </c>
      <c r="E111" s="0" t="n">
        <v>4</v>
      </c>
      <c r="F111" s="39" t="s">
        <v>211</v>
      </c>
      <c r="G111" s="0" t="n">
        <v>21.1</v>
      </c>
      <c r="H111" s="0" t="n">
        <v>20</v>
      </c>
      <c r="I111" s="39" t="s">
        <v>138</v>
      </c>
      <c r="J111" s="0" t="n">
        <v>221</v>
      </c>
      <c r="K111" s="0" t="n">
        <v>74</v>
      </c>
      <c r="M111" s="0" t="n">
        <v>274.47</v>
      </c>
      <c r="N111" s="0" t="n">
        <v>11.44</v>
      </c>
      <c r="O111" s="0" t="n">
        <v>16.8</v>
      </c>
      <c r="P111" s="0" t="n">
        <v>3.27</v>
      </c>
      <c r="Q111" s="0" t="n">
        <v>3.02</v>
      </c>
      <c r="R111" s="0" t="n">
        <v>5013</v>
      </c>
      <c r="S111" s="0" t="n">
        <v>9529</v>
      </c>
      <c r="T111" s="0" t="n">
        <v>56.05</v>
      </c>
      <c r="U111" s="0" t="n">
        <v>2091</v>
      </c>
      <c r="V111" s="0" t="n">
        <v>4</v>
      </c>
      <c r="W111" s="39" t="n">
        <f aca="false">IF(I111="Male",0,1)</f>
        <v>1</v>
      </c>
      <c r="X111" s="39" t="n">
        <f aca="false">IF(OR(I111="DNB",I111="Dry DNB"),1,0)</f>
        <v>0</v>
      </c>
      <c r="Y111" s="39" t="n">
        <f aca="false">MATCH(A111,DATAS,0)</f>
        <v>1</v>
      </c>
      <c r="Z111" s="39" t="n">
        <f aca="false">IF(AND(E111&gt;0,OR(AND(B111&gt;=1,B111&lt;=6),B111=10)),1,0)</f>
        <v>1</v>
      </c>
      <c r="AA111" s="39" t="n">
        <f aca="false">IF(AND(E111&gt;0,B111=10),1,0)</f>
        <v>0</v>
      </c>
      <c r="AB111" s="0" t="str">
        <f aca="false">IF(AND(C110=C111,Y110=Y111-1),Z110,"")</f>
        <v/>
      </c>
      <c r="AC111" s="0" t="str">
        <f aca="false">IF(AND(C110=C111,Y110=Y111-1),AA110,"")</f>
        <v/>
      </c>
      <c r="AD111" s="0" t="str">
        <f aca="false">IF(Y111=1,"",IF(AND(Z111=1,AB111&lt;&gt;1),1,0))</f>
        <v/>
      </c>
      <c r="AE111" s="0" t="str">
        <f aca="false">IF(Y111=1,"",IF(AND(AA111=1,AC111&lt;&gt;1),1,0))</f>
        <v/>
      </c>
      <c r="AF111" s="45" t="str">
        <f aca="false">IF(AND(E111&gt;0,Y111&lt;1,NOT(AND(C112=C111,Y112=Y111+1))),INDEX(DATAS,Y111+1),"")</f>
        <v/>
      </c>
      <c r="AG111" s="45" t="str">
        <f aca="false">IF(AND(AA111=1,Y111&lt;1),IF(AND(C112=C111,Y112=Y111+1),IF(AA112=1,"",INDEX(DATAS,Y111+1)),INDEX(DATAS,Y111+1)),"")</f>
        <v/>
      </c>
    </row>
    <row r="112" customFormat="false" ht="15" hidden="false" customHeight="false" outlineLevel="0" collapsed="false">
      <c r="A112" s="45" t="n">
        <v>46309</v>
      </c>
      <c r="B112" s="0" t="n">
        <v>6</v>
      </c>
      <c r="C112" s="0" t="n">
        <v>3288</v>
      </c>
      <c r="D112" s="0" t="n">
        <v>243</v>
      </c>
      <c r="E112" s="0" t="n">
        <v>4</v>
      </c>
      <c r="F112" s="39" t="s">
        <v>212</v>
      </c>
      <c r="G112" s="0" t="n">
        <v>45</v>
      </c>
      <c r="H112" s="0" t="n">
        <v>27</v>
      </c>
      <c r="I112" s="39" t="s">
        <v>146</v>
      </c>
      <c r="J112" s="0" t="n">
        <v>243</v>
      </c>
      <c r="K112" s="0" t="n">
        <v>96</v>
      </c>
      <c r="M112" s="0" t="n">
        <v>1113.22</v>
      </c>
      <c r="N112" s="0" t="n">
        <v>43.88</v>
      </c>
      <c r="O112" s="0" t="n">
        <v>35.83</v>
      </c>
      <c r="P112" s="0" t="n">
        <v>3.23</v>
      </c>
      <c r="Q112" s="0" t="n">
        <v>3.51</v>
      </c>
      <c r="R112" s="0" t="n">
        <v>4759</v>
      </c>
      <c r="S112" s="0" t="n">
        <v>10533</v>
      </c>
      <c r="T112" s="0" t="n">
        <v>52.2</v>
      </c>
      <c r="U112" s="0" t="n">
        <v>2082</v>
      </c>
      <c r="V112" s="0" t="n">
        <v>4</v>
      </c>
      <c r="W112" s="39" t="n">
        <f aca="false">IF(I112="Male",0,1)</f>
        <v>1</v>
      </c>
      <c r="X112" s="39" t="n">
        <f aca="false">IF(OR(I112="DNB",I112="Dry DNB"),1,0)</f>
        <v>0</v>
      </c>
      <c r="Y112" s="39" t="n">
        <f aca="false">MATCH(A112,DATAS,0)</f>
        <v>1</v>
      </c>
      <c r="Z112" s="39" t="n">
        <f aca="false">IF(AND(E112&gt;0,OR(AND(B112&gt;=1,B112&lt;=6),B112=10)),1,0)</f>
        <v>1</v>
      </c>
      <c r="AA112" s="39" t="n">
        <f aca="false">IF(AND(E112&gt;0,B112=10),1,0)</f>
        <v>0</v>
      </c>
      <c r="AB112" s="0" t="str">
        <f aca="false">IF(AND(C111=C112,Y111=Y112-1),Z111,"")</f>
        <v/>
      </c>
      <c r="AC112" s="0" t="str">
        <f aca="false">IF(AND(C111=C112,Y111=Y112-1),AA111,"")</f>
        <v/>
      </c>
      <c r="AD112" s="0" t="str">
        <f aca="false">IF(Y112=1,"",IF(AND(Z112=1,AB112&lt;&gt;1),1,0))</f>
        <v/>
      </c>
      <c r="AE112" s="0" t="str">
        <f aca="false">IF(Y112=1,"",IF(AND(AA112=1,AC112&lt;&gt;1),1,0))</f>
        <v/>
      </c>
      <c r="AF112" s="45" t="str">
        <f aca="false">IF(AND(E112&gt;0,Y112&lt;1,NOT(AND(C113=C112,Y113=Y112+1))),INDEX(DATAS,Y112+1),"")</f>
        <v/>
      </c>
      <c r="AG112" s="45" t="str">
        <f aca="false">IF(AND(AA112=1,Y112&lt;1),IF(AND(C113=C112,Y113=Y112+1),IF(AA113=1,"",INDEX(DATAS,Y112+1)),INDEX(DATAS,Y112+1)),"")</f>
        <v/>
      </c>
    </row>
    <row r="113" customFormat="false" ht="15" hidden="false" customHeight="false" outlineLevel="0" collapsed="false">
      <c r="A113" s="45" t="n">
        <v>46309</v>
      </c>
      <c r="B113" s="0" t="n">
        <v>3</v>
      </c>
      <c r="C113" s="0" t="n">
        <v>3291</v>
      </c>
      <c r="D113" s="0" t="n">
        <v>81</v>
      </c>
      <c r="E113" s="0" t="n">
        <v>4</v>
      </c>
      <c r="F113" s="39" t="s">
        <v>212</v>
      </c>
      <c r="G113" s="0" t="n">
        <v>48.8</v>
      </c>
      <c r="H113" s="0" t="n">
        <v>48</v>
      </c>
      <c r="I113" s="39" t="s">
        <v>138</v>
      </c>
      <c r="J113" s="0" t="n">
        <v>81</v>
      </c>
      <c r="K113" s="0" t="n">
        <v>74</v>
      </c>
      <c r="M113" s="0" t="n">
        <v>-856.64</v>
      </c>
      <c r="N113" s="0" t="n">
        <v>47.71</v>
      </c>
      <c r="O113" s="0" t="n">
        <v>-7.29</v>
      </c>
      <c r="P113" s="0" t="n">
        <v>5.24</v>
      </c>
      <c r="Q113" s="0" t="n">
        <v>3.72</v>
      </c>
      <c r="R113" s="0" t="n">
        <v>4549</v>
      </c>
      <c r="S113" s="0" t="n">
        <v>9144</v>
      </c>
      <c r="U113" s="0" t="n">
        <v>2082</v>
      </c>
      <c r="V113" s="0" t="n">
        <v>1</v>
      </c>
      <c r="W113" s="39" t="n">
        <f aca="false">IF(I113="Male",0,1)</f>
        <v>1</v>
      </c>
      <c r="X113" s="39" t="n">
        <f aca="false">IF(OR(I113="DNB",I113="Dry DNB"),1,0)</f>
        <v>0</v>
      </c>
      <c r="Y113" s="39" t="n">
        <f aca="false">MATCH(A113,DATAS,0)</f>
        <v>1</v>
      </c>
      <c r="Z113" s="39" t="n">
        <f aca="false">IF(AND(E113&gt;0,OR(AND(B113&gt;=1,B113&lt;=6),B113=10)),1,0)</f>
        <v>1</v>
      </c>
      <c r="AA113" s="39" t="n">
        <f aca="false">IF(AND(E113&gt;0,B113=10),1,0)</f>
        <v>0</v>
      </c>
      <c r="AB113" s="0" t="str">
        <f aca="false">IF(AND(C112=C113,Y112=Y113-1),Z112,"")</f>
        <v/>
      </c>
      <c r="AC113" s="0" t="str">
        <f aca="false">IF(AND(C112=C113,Y112=Y113-1),AA112,"")</f>
        <v/>
      </c>
      <c r="AD113" s="0" t="str">
        <f aca="false">IF(Y113=1,"",IF(AND(Z113=1,AB113&lt;&gt;1),1,0))</f>
        <v/>
      </c>
      <c r="AE113" s="0" t="str">
        <f aca="false">IF(Y113=1,"",IF(AND(AA113=1,AC113&lt;&gt;1),1,0))</f>
        <v/>
      </c>
      <c r="AF113" s="45" t="str">
        <f aca="false">IF(AND(E113&gt;0,Y113&lt;1,NOT(AND(C114=C113,Y114=Y113+1))),INDEX(DATAS,Y113+1),"")</f>
        <v/>
      </c>
      <c r="AG113" s="45" t="str">
        <f aca="false">IF(AND(AA113=1,Y113&lt;1),IF(AND(C114=C113,Y114=Y113+1),IF(AA114=1,"",INDEX(DATAS,Y113+1)),INDEX(DATAS,Y113+1)),"")</f>
        <v/>
      </c>
    </row>
    <row r="114" customFormat="false" ht="15" hidden="false" customHeight="false" outlineLevel="0" collapsed="false">
      <c r="A114" s="45" t="n">
        <v>46309</v>
      </c>
      <c r="B114" s="0" t="n">
        <v>6</v>
      </c>
      <c r="C114" s="0" t="n">
        <v>3295</v>
      </c>
      <c r="D114" s="0" t="n">
        <v>397</v>
      </c>
      <c r="E114" s="0" t="n">
        <v>4</v>
      </c>
      <c r="F114" s="39" t="s">
        <v>213</v>
      </c>
      <c r="G114" s="0" t="n">
        <v>18.1</v>
      </c>
      <c r="H114" s="0" t="n">
        <v>17</v>
      </c>
      <c r="I114" s="39" t="s">
        <v>109</v>
      </c>
      <c r="J114" s="0" t="n">
        <v>324</v>
      </c>
      <c r="K114" s="0" t="n">
        <v>68</v>
      </c>
      <c r="L114" s="0" t="n">
        <v>73</v>
      </c>
      <c r="M114" s="0" t="n">
        <v>1190.65</v>
      </c>
      <c r="N114" s="0" t="n">
        <v>10.7</v>
      </c>
      <c r="O114" s="0" t="n">
        <v>38.37</v>
      </c>
      <c r="P114" s="0" t="n">
        <v>4.35</v>
      </c>
      <c r="Q114" s="0" t="n">
        <v>3.75</v>
      </c>
      <c r="R114" s="0" t="n">
        <v>5785</v>
      </c>
      <c r="S114" s="0" t="n">
        <v>10122</v>
      </c>
      <c r="T114" s="0" t="n">
        <v>59.25</v>
      </c>
      <c r="U114" s="0" t="n">
        <v>2080</v>
      </c>
      <c r="V114" s="0" t="n">
        <v>6</v>
      </c>
      <c r="W114" s="39" t="n">
        <f aca="false">IF(I114="Male",0,1)</f>
        <v>1</v>
      </c>
      <c r="X114" s="39" t="n">
        <f aca="false">IF(OR(I114="DNB",I114="Dry DNB"),1,0)</f>
        <v>0</v>
      </c>
      <c r="Y114" s="39" t="n">
        <f aca="false">MATCH(A114,DATAS,0)</f>
        <v>1</v>
      </c>
      <c r="Z114" s="39" t="n">
        <f aca="false">IF(AND(E114&gt;0,OR(AND(B114&gt;=1,B114&lt;=6),B114=10)),1,0)</f>
        <v>1</v>
      </c>
      <c r="AA114" s="39" t="n">
        <f aca="false">IF(AND(E114&gt;0,B114=10),1,0)</f>
        <v>0</v>
      </c>
      <c r="AB114" s="0" t="str">
        <f aca="false">IF(AND(C113=C114,Y113=Y114-1),Z113,"")</f>
        <v/>
      </c>
      <c r="AC114" s="0" t="str">
        <f aca="false">IF(AND(C113=C114,Y113=Y114-1),AA113,"")</f>
        <v/>
      </c>
      <c r="AD114" s="0" t="str">
        <f aca="false">IF(Y114=1,"",IF(AND(Z114=1,AB114&lt;&gt;1),1,0))</f>
        <v/>
      </c>
      <c r="AE114" s="0" t="str">
        <f aca="false">IF(Y114=1,"",IF(AND(AA114=1,AC114&lt;&gt;1),1,0))</f>
        <v/>
      </c>
      <c r="AF114" s="45" t="str">
        <f aca="false">IF(AND(E114&gt;0,Y114&lt;1,NOT(AND(C115=C114,Y115=Y114+1))),INDEX(DATAS,Y114+1),"")</f>
        <v/>
      </c>
      <c r="AG114" s="45" t="str">
        <f aca="false">IF(AND(AA114=1,Y114&lt;1),IF(AND(C115=C114,Y115=Y114+1),IF(AA115=1,"",INDEX(DATAS,Y114+1)),INDEX(DATAS,Y114+1)),"")</f>
        <v/>
      </c>
    </row>
    <row r="115" customFormat="false" ht="15" hidden="false" customHeight="false" outlineLevel="0" collapsed="false">
      <c r="A115" s="45" t="n">
        <v>46309</v>
      </c>
      <c r="B115" s="0" t="n">
        <v>7</v>
      </c>
      <c r="C115" s="0" t="n">
        <v>3297</v>
      </c>
      <c r="D115" s="0" t="n">
        <v>395</v>
      </c>
      <c r="E115" s="0" t="n">
        <v>3</v>
      </c>
      <c r="F115" s="39" t="s">
        <v>214</v>
      </c>
      <c r="I115" s="39" t="s">
        <v>114</v>
      </c>
      <c r="J115" s="0" t="n">
        <v>347</v>
      </c>
      <c r="K115" s="0" t="n">
        <v>60</v>
      </c>
      <c r="L115" s="0" t="n">
        <v>84</v>
      </c>
      <c r="M115" s="0" t="n">
        <v>1016.64</v>
      </c>
      <c r="N115" s="0" t="n">
        <v>27.14</v>
      </c>
      <c r="O115" s="0" t="n">
        <v>33.43</v>
      </c>
      <c r="P115" s="0" t="n">
        <v>3.81</v>
      </c>
      <c r="Q115" s="0" t="n">
        <v>3.62</v>
      </c>
      <c r="R115" s="0" t="n">
        <v>6154</v>
      </c>
      <c r="S115" s="0" t="n">
        <v>12533</v>
      </c>
      <c r="T115" s="0" t="n">
        <v>60.2</v>
      </c>
      <c r="U115" s="0" t="n">
        <v>2079</v>
      </c>
      <c r="V115" s="0" t="n">
        <v>8</v>
      </c>
      <c r="W115" s="39" t="n">
        <f aca="false">IF(I115="Male",0,1)</f>
        <v>1</v>
      </c>
      <c r="X115" s="39" t="n">
        <f aca="false">IF(OR(I115="DNB",I115="Dry DNB"),1,0)</f>
        <v>0</v>
      </c>
      <c r="Y115" s="39" t="n">
        <f aca="false">MATCH(A115,DATAS,0)</f>
        <v>1</v>
      </c>
      <c r="Z115" s="39" t="n">
        <f aca="false">IF(AND(E115&gt;0,OR(AND(B115&gt;=1,B115&lt;=6),B115=10)),1,0)</f>
        <v>0</v>
      </c>
      <c r="AA115" s="39" t="n">
        <f aca="false">IF(AND(E115&gt;0,B115=10),1,0)</f>
        <v>0</v>
      </c>
      <c r="AB115" s="0" t="str">
        <f aca="false">IF(AND(C114=C115,Y114=Y115-1),Z114,"")</f>
        <v/>
      </c>
      <c r="AC115" s="0" t="str">
        <f aca="false">IF(AND(C114=C115,Y114=Y115-1),AA114,"")</f>
        <v/>
      </c>
      <c r="AD115" s="0" t="str">
        <f aca="false">IF(Y115=1,"",IF(AND(Z115=1,AB115&lt;&gt;1),1,0))</f>
        <v/>
      </c>
      <c r="AE115" s="0" t="str">
        <f aca="false">IF(Y115=1,"",IF(AND(AA115=1,AC115&lt;&gt;1),1,0))</f>
        <v/>
      </c>
      <c r="AF115" s="45" t="str">
        <f aca="false">IF(AND(E115&gt;0,Y115&lt;1,NOT(AND(C116=C115,Y116=Y115+1))),INDEX(DATAS,Y115+1),"")</f>
        <v/>
      </c>
      <c r="AG115" s="45" t="str">
        <f aca="false">IF(AND(AA115=1,Y115&lt;1),IF(AND(C116=C115,Y116=Y115+1),IF(AA116=1,"",INDEX(DATAS,Y115+1)),INDEX(DATAS,Y115+1)),"")</f>
        <v/>
      </c>
    </row>
    <row r="116" customFormat="false" ht="15" hidden="false" customHeight="false" outlineLevel="0" collapsed="false">
      <c r="A116" s="45" t="n">
        <v>46309</v>
      </c>
      <c r="B116" s="0" t="n">
        <v>5</v>
      </c>
      <c r="C116" s="0" t="n">
        <v>3306</v>
      </c>
      <c r="D116" s="0" t="n">
        <v>111</v>
      </c>
      <c r="E116" s="0" t="n">
        <v>4</v>
      </c>
      <c r="F116" s="39" t="s">
        <v>215</v>
      </c>
      <c r="G116" s="0" t="n">
        <v>28.3</v>
      </c>
      <c r="H116" s="0" t="n">
        <v>26</v>
      </c>
      <c r="I116" s="39" t="s">
        <v>138</v>
      </c>
      <c r="J116" s="0" t="n">
        <v>111</v>
      </c>
      <c r="K116" s="0" t="n">
        <v>83</v>
      </c>
      <c r="M116" s="0" t="n">
        <v>966.42</v>
      </c>
      <c r="N116" s="0" t="n">
        <v>3.4</v>
      </c>
      <c r="O116" s="0" t="n">
        <v>25.31</v>
      </c>
      <c r="P116" s="0" t="n">
        <v>3.7</v>
      </c>
      <c r="Q116" s="0" t="n">
        <v>2.98</v>
      </c>
      <c r="R116" s="0" t="n">
        <v>3191</v>
      </c>
      <c r="S116" s="0" t="n">
        <v>6351</v>
      </c>
      <c r="T116" s="0" t="n">
        <v>40.35</v>
      </c>
      <c r="U116" s="0" t="n">
        <v>2072</v>
      </c>
      <c r="V116" s="0" t="n">
        <v>1</v>
      </c>
      <c r="W116" s="39" t="n">
        <f aca="false">IF(I116="Male",0,1)</f>
        <v>1</v>
      </c>
      <c r="X116" s="39" t="n">
        <f aca="false">IF(OR(I116="DNB",I116="Dry DNB"),1,0)</f>
        <v>0</v>
      </c>
      <c r="Y116" s="39" t="n">
        <f aca="false">MATCH(A116,DATAS,0)</f>
        <v>1</v>
      </c>
      <c r="Z116" s="39" t="n">
        <f aca="false">IF(AND(E116&gt;0,OR(AND(B116&gt;=1,B116&lt;=6),B116=10)),1,0)</f>
        <v>1</v>
      </c>
      <c r="AA116" s="39" t="n">
        <f aca="false">IF(AND(E116&gt;0,B116=10),1,0)</f>
        <v>0</v>
      </c>
      <c r="AB116" s="0" t="str">
        <f aca="false">IF(AND(C115=C116,Y115=Y116-1),Z115,"")</f>
        <v/>
      </c>
      <c r="AC116" s="0" t="str">
        <f aca="false">IF(AND(C115=C116,Y115=Y116-1),AA115,"")</f>
        <v/>
      </c>
      <c r="AD116" s="0" t="str">
        <f aca="false">IF(Y116=1,"",IF(AND(Z116=1,AB116&lt;&gt;1),1,0))</f>
        <v/>
      </c>
      <c r="AE116" s="0" t="str">
        <f aca="false">IF(Y116=1,"",IF(AND(AA116=1,AC116&lt;&gt;1),1,0))</f>
        <v/>
      </c>
      <c r="AF116" s="45" t="str">
        <f aca="false">IF(AND(E116&gt;0,Y116&lt;1,NOT(AND(C117=C116,Y117=Y116+1))),INDEX(DATAS,Y116+1),"")</f>
        <v/>
      </c>
      <c r="AG116" s="45" t="str">
        <f aca="false">IF(AND(AA116=1,Y116&lt;1),IF(AND(C117=C116,Y117=Y116+1),IF(AA117=1,"",INDEX(DATAS,Y116+1)),INDEX(DATAS,Y116+1)),"")</f>
        <v/>
      </c>
    </row>
    <row r="117" customFormat="false" ht="15" hidden="false" customHeight="false" outlineLevel="0" collapsed="false">
      <c r="A117" s="45" t="n">
        <v>46309</v>
      </c>
      <c r="B117" s="0" t="n">
        <v>5</v>
      </c>
      <c r="C117" s="0" t="n">
        <v>3317</v>
      </c>
      <c r="D117" s="0" t="n">
        <v>124</v>
      </c>
      <c r="E117" s="0" t="n">
        <v>4</v>
      </c>
      <c r="F117" s="39" t="s">
        <v>216</v>
      </c>
      <c r="G117" s="0" t="n">
        <v>32.4</v>
      </c>
      <c r="H117" s="0" t="n">
        <v>29</v>
      </c>
      <c r="I117" s="39" t="s">
        <v>138</v>
      </c>
      <c r="J117" s="0" t="n">
        <v>124</v>
      </c>
      <c r="K117" s="0" t="n">
        <v>68</v>
      </c>
      <c r="M117" s="0" t="n">
        <v>558.74</v>
      </c>
      <c r="N117" s="0" t="n">
        <v>9.86</v>
      </c>
      <c r="O117" s="0" t="n">
        <v>12.59</v>
      </c>
      <c r="P117" s="0" t="n">
        <v>3.35</v>
      </c>
      <c r="Q117" s="0" t="n">
        <v>2.93</v>
      </c>
      <c r="R117" s="0" t="n">
        <v>4719</v>
      </c>
      <c r="S117" s="0" t="n">
        <v>9062</v>
      </c>
      <c r="T117" s="0" t="n">
        <v>50.95</v>
      </c>
      <c r="U117" s="0" t="n">
        <v>2066</v>
      </c>
      <c r="V117" s="0" t="n">
        <v>2</v>
      </c>
      <c r="W117" s="39" t="n">
        <f aca="false">IF(I117="Male",0,1)</f>
        <v>1</v>
      </c>
      <c r="X117" s="39" t="n">
        <f aca="false">IF(OR(I117="DNB",I117="Dry DNB"),1,0)</f>
        <v>0</v>
      </c>
      <c r="Y117" s="39" t="n">
        <f aca="false">MATCH(A117,DATAS,0)</f>
        <v>1</v>
      </c>
      <c r="Z117" s="39" t="n">
        <f aca="false">IF(AND(E117&gt;0,OR(AND(B117&gt;=1,B117&lt;=6),B117=10)),1,0)</f>
        <v>1</v>
      </c>
      <c r="AA117" s="39" t="n">
        <f aca="false">IF(AND(E117&gt;0,B117=10),1,0)</f>
        <v>0</v>
      </c>
      <c r="AB117" s="0" t="str">
        <f aca="false">IF(AND(C116=C117,Y116=Y117-1),Z116,"")</f>
        <v/>
      </c>
      <c r="AC117" s="0" t="str">
        <f aca="false">IF(AND(C116=C117,Y116=Y117-1),AA116,"")</f>
        <v/>
      </c>
      <c r="AD117" s="0" t="str">
        <f aca="false">IF(Y117=1,"",IF(AND(Z117=1,AB117&lt;&gt;1),1,0))</f>
        <v/>
      </c>
      <c r="AE117" s="0" t="str">
        <f aca="false">IF(Y117=1,"",IF(AND(AA117=1,AC117&lt;&gt;1),1,0))</f>
        <v/>
      </c>
      <c r="AF117" s="45" t="str">
        <f aca="false">IF(AND(E117&gt;0,Y117&lt;1,NOT(AND(C118=C117,Y118=Y117+1))),INDEX(DATAS,Y117+1),"")</f>
        <v/>
      </c>
      <c r="AG117" s="45" t="str">
        <f aca="false">IF(AND(AA117=1,Y117&lt;1),IF(AND(C118=C117,Y118=Y117+1),IF(AA118=1,"",INDEX(DATAS,Y117+1)),INDEX(DATAS,Y117+1)),"")</f>
        <v/>
      </c>
    </row>
    <row r="118" customFormat="false" ht="15" hidden="false" customHeight="false" outlineLevel="0" collapsed="false">
      <c r="A118" s="45" t="n">
        <v>46309</v>
      </c>
      <c r="B118" s="0" t="n">
        <v>10</v>
      </c>
      <c r="C118" s="0" t="n">
        <v>3331</v>
      </c>
      <c r="D118" s="0" t="n">
        <v>154</v>
      </c>
      <c r="E118" s="0" t="n">
        <v>4</v>
      </c>
      <c r="F118" s="39" t="s">
        <v>217</v>
      </c>
      <c r="H118" s="0" t="n">
        <v>12</v>
      </c>
      <c r="I118" s="39" t="s">
        <v>138</v>
      </c>
      <c r="J118" s="0" t="n">
        <v>154</v>
      </c>
      <c r="K118" s="0" t="n">
        <v>71</v>
      </c>
      <c r="M118" s="0" t="n">
        <v>-410.96</v>
      </c>
      <c r="N118" s="0" t="n">
        <v>14.39</v>
      </c>
      <c r="O118" s="0" t="n">
        <v>4.3</v>
      </c>
      <c r="P118" s="0" t="n">
        <v>3.84</v>
      </c>
      <c r="Q118" s="0" t="n">
        <v>3.49</v>
      </c>
      <c r="R118" s="0" t="n">
        <v>4374</v>
      </c>
      <c r="S118" s="0" t="n">
        <v>8147</v>
      </c>
      <c r="T118" s="0" t="n">
        <v>48.3</v>
      </c>
      <c r="U118" s="0" t="n">
        <v>2052</v>
      </c>
      <c r="V118" s="0" t="n">
        <v>2</v>
      </c>
      <c r="W118" s="39" t="n">
        <f aca="false">IF(I118="Male",0,1)</f>
        <v>1</v>
      </c>
      <c r="X118" s="39" t="n">
        <f aca="false">IF(OR(I118="DNB",I118="Dry DNB"),1,0)</f>
        <v>0</v>
      </c>
      <c r="Y118" s="39" t="n">
        <f aca="false">MATCH(A118,DATAS,0)</f>
        <v>1</v>
      </c>
      <c r="Z118" s="39" t="n">
        <f aca="false">IF(AND(E118&gt;0,OR(AND(B118&gt;=1,B118&lt;=6),B118=10)),1,0)</f>
        <v>1</v>
      </c>
      <c r="AA118" s="39" t="n">
        <f aca="false">IF(AND(E118&gt;0,B118=10),1,0)</f>
        <v>1</v>
      </c>
      <c r="AB118" s="0" t="str">
        <f aca="false">IF(AND(C117=C118,Y117=Y118-1),Z117,"")</f>
        <v/>
      </c>
      <c r="AC118" s="0" t="str">
        <f aca="false">IF(AND(C117=C118,Y117=Y118-1),AA117,"")</f>
        <v/>
      </c>
      <c r="AD118" s="0" t="str">
        <f aca="false">IF(Y118=1,"",IF(AND(Z118=1,AB118&lt;&gt;1),1,0))</f>
        <v/>
      </c>
      <c r="AE118" s="0" t="str">
        <f aca="false">IF(Y118=1,"",IF(AND(AA118=1,AC118&lt;&gt;1),1,0))</f>
        <v/>
      </c>
      <c r="AF118" s="45" t="str">
        <f aca="false">IF(AND(E118&gt;0,Y118&lt;1,NOT(AND(C119=C118,Y119=Y118+1))),INDEX(DATAS,Y118+1),"")</f>
        <v/>
      </c>
      <c r="AG118" s="45" t="str">
        <f aca="false">IF(AND(AA118=1,Y118&lt;1),IF(AND(C119=C118,Y119=Y118+1),IF(AA119=1,"",INDEX(DATAS,Y118+1)),INDEX(DATAS,Y118+1)),"")</f>
        <v/>
      </c>
    </row>
    <row r="119" customFormat="false" ht="15" hidden="false" customHeight="false" outlineLevel="0" collapsed="false">
      <c r="A119" s="45" t="n">
        <v>46309</v>
      </c>
      <c r="B119" s="0" t="n">
        <v>7</v>
      </c>
      <c r="C119" s="0" t="n">
        <v>3334</v>
      </c>
      <c r="D119" s="0" t="n">
        <v>132</v>
      </c>
      <c r="E119" s="0" t="n">
        <v>5</v>
      </c>
      <c r="F119" s="39" t="s">
        <v>218</v>
      </c>
      <c r="I119" s="39" t="s">
        <v>114</v>
      </c>
      <c r="J119" s="0" t="n">
        <v>72</v>
      </c>
      <c r="K119" s="0" t="n">
        <v>72</v>
      </c>
      <c r="L119" s="0" t="n">
        <v>77</v>
      </c>
      <c r="M119" s="0" t="n">
        <v>38.75</v>
      </c>
      <c r="N119" s="0" t="n">
        <v>20.1</v>
      </c>
      <c r="O119" s="0" t="n">
        <v>7.3</v>
      </c>
      <c r="P119" s="0" t="n">
        <v>5.66</v>
      </c>
      <c r="Q119" s="0" t="n">
        <v>4.23</v>
      </c>
      <c r="R119" s="0" t="n">
        <v>2108</v>
      </c>
      <c r="S119" s="0" t="n">
        <v>4092</v>
      </c>
      <c r="T119" s="0" t="n">
        <v>18.95</v>
      </c>
      <c r="U119" s="0" t="n">
        <v>2051</v>
      </c>
      <c r="V119" s="0" t="n">
        <v>1</v>
      </c>
      <c r="W119" s="39" t="n">
        <f aca="false">IF(I119="Male",0,1)</f>
        <v>1</v>
      </c>
      <c r="X119" s="39" t="n">
        <f aca="false">IF(OR(I119="DNB",I119="Dry DNB"),1,0)</f>
        <v>0</v>
      </c>
      <c r="Y119" s="39" t="n">
        <f aca="false">MATCH(A119,DATAS,0)</f>
        <v>1</v>
      </c>
      <c r="Z119" s="39" t="n">
        <f aca="false">IF(AND(E119&gt;0,OR(AND(B119&gt;=1,B119&lt;=6),B119=10)),1,0)</f>
        <v>0</v>
      </c>
      <c r="AA119" s="39" t="n">
        <f aca="false">IF(AND(E119&gt;0,B119=10),1,0)</f>
        <v>0</v>
      </c>
      <c r="AB119" s="0" t="str">
        <f aca="false">IF(AND(C118=C119,Y118=Y119-1),Z118,"")</f>
        <v/>
      </c>
      <c r="AC119" s="0" t="str">
        <f aca="false">IF(AND(C118=C119,Y118=Y119-1),AA118,"")</f>
        <v/>
      </c>
      <c r="AD119" s="0" t="str">
        <f aca="false">IF(Y119=1,"",IF(AND(Z119=1,AB119&lt;&gt;1),1,0))</f>
        <v/>
      </c>
      <c r="AE119" s="0" t="str">
        <f aca="false">IF(Y119=1,"",IF(AND(AA119=1,AC119&lt;&gt;1),1,0))</f>
        <v/>
      </c>
      <c r="AF119" s="45" t="str">
        <f aca="false">IF(AND(E119&gt;0,Y119&lt;1,NOT(AND(C120=C119,Y120=Y119+1))),INDEX(DATAS,Y119+1),"")</f>
        <v/>
      </c>
      <c r="AG119" s="45" t="str">
        <f aca="false">IF(AND(AA119=1,Y119&lt;1),IF(AND(C120=C119,Y120=Y119+1),IF(AA120=1,"",INDEX(DATAS,Y119+1)),INDEX(DATAS,Y119+1)),"")</f>
        <v/>
      </c>
    </row>
    <row r="120" customFormat="false" ht="15" hidden="false" customHeight="false" outlineLevel="0" collapsed="false">
      <c r="A120" s="45" t="n">
        <v>46309</v>
      </c>
      <c r="B120" s="0" t="n">
        <v>14</v>
      </c>
      <c r="C120" s="0" t="n">
        <v>3338</v>
      </c>
      <c r="D120" s="0" t="n">
        <v>677</v>
      </c>
      <c r="E120" s="0" t="n">
        <v>3</v>
      </c>
      <c r="F120" s="39" t="s">
        <v>219</v>
      </c>
      <c r="I120" s="39" t="s">
        <v>114</v>
      </c>
      <c r="J120" s="0" t="n">
        <v>573</v>
      </c>
      <c r="K120" s="0" t="n">
        <v>70</v>
      </c>
      <c r="L120" s="0" t="n">
        <v>259</v>
      </c>
      <c r="M120" s="0" t="n">
        <v>798.32</v>
      </c>
      <c r="N120" s="0" t="n">
        <v>22.03</v>
      </c>
      <c r="O120" s="0" t="n">
        <v>29.53</v>
      </c>
      <c r="P120" s="0" t="n">
        <v>4.63</v>
      </c>
      <c r="Q120" s="0" t="n">
        <v>3.92</v>
      </c>
      <c r="R120" s="0" t="n">
        <v>5395</v>
      </c>
      <c r="S120" s="0" t="n">
        <v>12285</v>
      </c>
      <c r="T120" s="0" t="n">
        <v>37.2</v>
      </c>
      <c r="U120" s="0" t="n">
        <v>2049</v>
      </c>
      <c r="V120" s="0" t="n">
        <v>14</v>
      </c>
      <c r="W120" s="39" t="n">
        <f aca="false">IF(I120="Male",0,1)</f>
        <v>1</v>
      </c>
      <c r="X120" s="39" t="n">
        <f aca="false">IF(OR(I120="DNB",I120="Dry DNB"),1,0)</f>
        <v>0</v>
      </c>
      <c r="Y120" s="39" t="n">
        <f aca="false">MATCH(A120,DATAS,0)</f>
        <v>1</v>
      </c>
      <c r="Z120" s="39" t="n">
        <f aca="false">IF(AND(E120&gt;0,OR(AND(B120&gt;=1,B120&lt;=6),B120=10)),1,0)</f>
        <v>0</v>
      </c>
      <c r="AA120" s="39" t="n">
        <f aca="false">IF(AND(E120&gt;0,B120=10),1,0)</f>
        <v>0</v>
      </c>
      <c r="AB120" s="0" t="str">
        <f aca="false">IF(AND(C119=C120,Y119=Y120-1),Z119,"")</f>
        <v/>
      </c>
      <c r="AC120" s="0" t="str">
        <f aca="false">IF(AND(C119=C120,Y119=Y120-1),AA119,"")</f>
        <v/>
      </c>
      <c r="AD120" s="0" t="str">
        <f aca="false">IF(Y120=1,"",IF(AND(Z120=1,AB120&lt;&gt;1),1,0))</f>
        <v/>
      </c>
      <c r="AE120" s="0" t="str">
        <f aca="false">IF(Y120=1,"",IF(AND(AA120=1,AC120&lt;&gt;1),1,0))</f>
        <v/>
      </c>
      <c r="AF120" s="45" t="str">
        <f aca="false">IF(AND(E120&gt;0,Y120&lt;1,NOT(AND(C121=C120,Y121=Y120+1))),INDEX(DATAS,Y120+1),"")</f>
        <v/>
      </c>
      <c r="AG120" s="45" t="str">
        <f aca="false">IF(AND(AA120=1,Y120&lt;1),IF(AND(C121=C120,Y121=Y120+1),IF(AA121=1,"",INDEX(DATAS,Y120+1)),INDEX(DATAS,Y120+1)),"")</f>
        <v/>
      </c>
    </row>
    <row r="121" customFormat="false" ht="15" hidden="false" customHeight="false" outlineLevel="0" collapsed="false">
      <c r="A121" s="45" t="n">
        <v>46309</v>
      </c>
      <c r="B121" s="0" t="n">
        <v>3</v>
      </c>
      <c r="C121" s="0" t="n">
        <v>3339</v>
      </c>
      <c r="D121" s="0" t="n">
        <v>174</v>
      </c>
      <c r="E121" s="0" t="n">
        <v>4</v>
      </c>
      <c r="F121" s="39" t="s">
        <v>219</v>
      </c>
      <c r="G121" s="0" t="n">
        <v>51.9</v>
      </c>
      <c r="H121" s="0" t="n">
        <v>48</v>
      </c>
      <c r="I121" s="39" t="s">
        <v>138</v>
      </c>
      <c r="J121" s="0" t="n">
        <v>174</v>
      </c>
      <c r="K121" s="0" t="n">
        <v>69</v>
      </c>
      <c r="M121" s="0" t="n">
        <v>1342.29</v>
      </c>
      <c r="N121" s="0" t="n">
        <v>15.52</v>
      </c>
      <c r="O121" s="0" t="n">
        <v>26.84</v>
      </c>
      <c r="P121" s="0" t="n">
        <v>2.29</v>
      </c>
      <c r="Q121" s="0" t="n">
        <v>3.2</v>
      </c>
      <c r="R121" s="0" t="n">
        <v>7112</v>
      </c>
      <c r="S121" s="0" t="n">
        <v>13606</v>
      </c>
      <c r="T121" s="0" t="n">
        <v>78.85</v>
      </c>
      <c r="U121" s="0" t="n">
        <v>2049</v>
      </c>
      <c r="V121" s="0" t="n">
        <v>3</v>
      </c>
      <c r="W121" s="39" t="n">
        <f aca="false">IF(I121="Male",0,1)</f>
        <v>1</v>
      </c>
      <c r="X121" s="39" t="n">
        <f aca="false">IF(OR(I121="DNB",I121="Dry DNB"),1,0)</f>
        <v>0</v>
      </c>
      <c r="Y121" s="39" t="n">
        <f aca="false">MATCH(A121,DATAS,0)</f>
        <v>1</v>
      </c>
      <c r="Z121" s="39" t="n">
        <f aca="false">IF(AND(E121&gt;0,OR(AND(B121&gt;=1,B121&lt;=6),B121=10)),1,0)</f>
        <v>1</v>
      </c>
      <c r="AA121" s="39" t="n">
        <f aca="false">IF(AND(E121&gt;0,B121=10),1,0)</f>
        <v>0</v>
      </c>
      <c r="AB121" s="0" t="str">
        <f aca="false">IF(AND(C120=C121,Y120=Y121-1),Z120,"")</f>
        <v/>
      </c>
      <c r="AC121" s="0" t="str">
        <f aca="false">IF(AND(C120=C121,Y120=Y121-1),AA120,"")</f>
        <v/>
      </c>
      <c r="AD121" s="0" t="str">
        <f aca="false">IF(Y121=1,"",IF(AND(Z121=1,AB121&lt;&gt;1),1,0))</f>
        <v/>
      </c>
      <c r="AE121" s="0" t="str">
        <f aca="false">IF(Y121=1,"",IF(AND(AA121=1,AC121&lt;&gt;1),1,0))</f>
        <v/>
      </c>
      <c r="AF121" s="45" t="str">
        <f aca="false">IF(AND(E121&gt;0,Y121&lt;1,NOT(AND(C122=C121,Y122=Y121+1))),INDEX(DATAS,Y121+1),"")</f>
        <v/>
      </c>
      <c r="AG121" s="45" t="str">
        <f aca="false">IF(AND(AA121=1,Y121&lt;1),IF(AND(C122=C121,Y122=Y121+1),IF(AA122=1,"",INDEX(DATAS,Y121+1)),INDEX(DATAS,Y121+1)),"")</f>
        <v/>
      </c>
    </row>
    <row r="122" customFormat="false" ht="15" hidden="false" customHeight="false" outlineLevel="0" collapsed="false">
      <c r="A122" s="45" t="n">
        <v>46309</v>
      </c>
      <c r="B122" s="0" t="n">
        <v>2</v>
      </c>
      <c r="C122" s="0" t="n">
        <v>3349</v>
      </c>
      <c r="D122" s="0" t="n">
        <v>90</v>
      </c>
      <c r="E122" s="0" t="n">
        <v>4</v>
      </c>
      <c r="F122" s="39" t="s">
        <v>220</v>
      </c>
      <c r="G122" s="0" t="n">
        <v>55.5</v>
      </c>
      <c r="H122" s="0" t="n">
        <v>55</v>
      </c>
      <c r="I122" s="39" t="s">
        <v>138</v>
      </c>
      <c r="J122" s="0" t="n">
        <v>90</v>
      </c>
      <c r="K122" s="0" t="n">
        <v>69</v>
      </c>
      <c r="M122" s="0" t="n">
        <v>190.37</v>
      </c>
      <c r="N122" s="0" t="n">
        <v>28.87</v>
      </c>
      <c r="O122" s="0" t="n">
        <v>9</v>
      </c>
      <c r="P122" s="0" t="n">
        <v>2.89</v>
      </c>
      <c r="Q122" s="0" t="n">
        <v>3.3</v>
      </c>
      <c r="R122" s="0" t="n">
        <v>5048</v>
      </c>
      <c r="S122" s="0" t="n">
        <v>10147</v>
      </c>
      <c r="U122" s="0" t="n">
        <v>2039</v>
      </c>
      <c r="V122" s="0" t="n">
        <v>1</v>
      </c>
      <c r="W122" s="39" t="n">
        <f aca="false">IF(I122="Male",0,1)</f>
        <v>1</v>
      </c>
      <c r="X122" s="39" t="n">
        <f aca="false">IF(OR(I122="DNB",I122="Dry DNB"),1,0)</f>
        <v>0</v>
      </c>
      <c r="Y122" s="39" t="n">
        <f aca="false">MATCH(A122,DATAS,0)</f>
        <v>1</v>
      </c>
      <c r="Z122" s="39" t="n">
        <f aca="false">IF(AND(E122&gt;0,OR(AND(B122&gt;=1,B122&lt;=6),B122=10)),1,0)</f>
        <v>1</v>
      </c>
      <c r="AA122" s="39" t="n">
        <f aca="false">IF(AND(E122&gt;0,B122=10),1,0)</f>
        <v>0</v>
      </c>
      <c r="AB122" s="0" t="str">
        <f aca="false">IF(AND(C121=C122,Y121=Y122-1),Z121,"")</f>
        <v/>
      </c>
      <c r="AC122" s="0" t="str">
        <f aca="false">IF(AND(C121=C122,Y121=Y122-1),AA121,"")</f>
        <v/>
      </c>
      <c r="AD122" s="0" t="str">
        <f aca="false">IF(Y122=1,"",IF(AND(Z122=1,AB122&lt;&gt;1),1,0))</f>
        <v/>
      </c>
      <c r="AE122" s="0" t="str">
        <f aca="false">IF(Y122=1,"",IF(AND(AA122=1,AC122&lt;&gt;1),1,0))</f>
        <v/>
      </c>
      <c r="AF122" s="45" t="str">
        <f aca="false">IF(AND(E122&gt;0,Y122&lt;1,NOT(AND(C123=C122,Y123=Y122+1))),INDEX(DATAS,Y122+1),"")</f>
        <v/>
      </c>
      <c r="AG122" s="45" t="str">
        <f aca="false">IF(AND(AA122=1,Y122&lt;1),IF(AND(C123=C122,Y123=Y122+1),IF(AA123=1,"",INDEX(DATAS,Y122+1)),INDEX(DATAS,Y122+1)),"")</f>
        <v/>
      </c>
    </row>
    <row r="123" customFormat="false" ht="15" hidden="false" customHeight="false" outlineLevel="0" collapsed="false">
      <c r="A123" s="45" t="n">
        <v>46309</v>
      </c>
      <c r="B123" s="0" t="n">
        <v>7</v>
      </c>
      <c r="C123" s="0" t="n">
        <v>3350</v>
      </c>
      <c r="D123" s="0" t="n">
        <v>396</v>
      </c>
      <c r="E123" s="0" t="n">
        <v>3</v>
      </c>
      <c r="F123" s="39" t="s">
        <v>220</v>
      </c>
      <c r="I123" s="39" t="s">
        <v>114</v>
      </c>
      <c r="J123" s="0" t="n">
        <v>278</v>
      </c>
      <c r="K123" s="0" t="n">
        <v>61</v>
      </c>
      <c r="L123" s="0" t="n">
        <v>161</v>
      </c>
      <c r="M123" s="0" t="n">
        <v>205.59</v>
      </c>
      <c r="N123" s="0" t="n">
        <v>32.71</v>
      </c>
      <c r="O123" s="0" t="n">
        <v>10.97</v>
      </c>
      <c r="P123" s="0" t="n">
        <v>4.61</v>
      </c>
      <c r="Q123" s="0" t="n">
        <v>3.5</v>
      </c>
      <c r="R123" s="0" t="n">
        <v>5632</v>
      </c>
      <c r="S123" s="0" t="n">
        <v>9531</v>
      </c>
      <c r="T123" s="0" t="n">
        <v>55.65</v>
      </c>
      <c r="U123" s="0" t="n">
        <v>2039</v>
      </c>
      <c r="V123" s="0" t="n">
        <v>5</v>
      </c>
      <c r="W123" s="39" t="n">
        <f aca="false">IF(I123="Male",0,1)</f>
        <v>1</v>
      </c>
      <c r="X123" s="39" t="n">
        <f aca="false">IF(OR(I123="DNB",I123="Dry DNB"),1,0)</f>
        <v>0</v>
      </c>
      <c r="Y123" s="39" t="n">
        <f aca="false">MATCH(A123,DATAS,0)</f>
        <v>1</v>
      </c>
      <c r="Z123" s="39" t="n">
        <f aca="false">IF(AND(E123&gt;0,OR(AND(B123&gt;=1,B123&lt;=6),B123=10)),1,0)</f>
        <v>0</v>
      </c>
      <c r="AA123" s="39" t="n">
        <f aca="false">IF(AND(E123&gt;0,B123=10),1,0)</f>
        <v>0</v>
      </c>
      <c r="AB123" s="0" t="str">
        <f aca="false">IF(AND(C122=C123,Y122=Y123-1),Z122,"")</f>
        <v/>
      </c>
      <c r="AC123" s="0" t="str">
        <f aca="false">IF(AND(C122=C123,Y122=Y123-1),AA122,"")</f>
        <v/>
      </c>
      <c r="AD123" s="0" t="str">
        <f aca="false">IF(Y123=1,"",IF(AND(Z123=1,AB123&lt;&gt;1),1,0))</f>
        <v/>
      </c>
      <c r="AE123" s="0" t="str">
        <f aca="false">IF(Y123=1,"",IF(AND(AA123=1,AC123&lt;&gt;1),1,0))</f>
        <v/>
      </c>
      <c r="AF123" s="45" t="str">
        <f aca="false">IF(AND(E123&gt;0,Y123&lt;1,NOT(AND(C124=C123,Y124=Y123+1))),INDEX(DATAS,Y123+1),"")</f>
        <v/>
      </c>
      <c r="AG123" s="45" t="str">
        <f aca="false">IF(AND(AA123=1,Y123&lt;1),IF(AND(C124=C123,Y124=Y123+1),IF(AA124=1,"",INDEX(DATAS,Y123+1)),INDEX(DATAS,Y123+1)),"")</f>
        <v/>
      </c>
    </row>
    <row r="124" customFormat="false" ht="15" hidden="false" customHeight="false" outlineLevel="0" collapsed="false">
      <c r="A124" s="45" t="n">
        <v>46309</v>
      </c>
      <c r="B124" s="0" t="n">
        <v>6</v>
      </c>
      <c r="C124" s="0" t="n">
        <v>3355</v>
      </c>
      <c r="D124" s="0" t="n">
        <v>180</v>
      </c>
      <c r="E124" s="0" t="n">
        <v>4</v>
      </c>
      <c r="F124" s="39" t="s">
        <v>221</v>
      </c>
      <c r="G124" s="0" t="n">
        <v>22</v>
      </c>
      <c r="H124" s="0" t="n">
        <v>24</v>
      </c>
      <c r="I124" s="39" t="s">
        <v>109</v>
      </c>
      <c r="J124" s="0" t="n">
        <v>96</v>
      </c>
      <c r="K124" s="0" t="n">
        <v>68</v>
      </c>
      <c r="L124" s="0" t="n">
        <v>84</v>
      </c>
      <c r="M124" s="0" t="n">
        <v>-66.81</v>
      </c>
      <c r="N124" s="0" t="n">
        <v>60.3</v>
      </c>
      <c r="O124" s="0" t="n">
        <v>12.42</v>
      </c>
      <c r="P124" s="0" t="n">
        <v>6.11</v>
      </c>
      <c r="Q124" s="0" t="n">
        <v>4.37</v>
      </c>
      <c r="R124" s="0" t="n">
        <v>3381</v>
      </c>
      <c r="S124" s="0" t="n">
        <v>6290</v>
      </c>
      <c r="T124" s="0" t="n">
        <v>30.65</v>
      </c>
      <c r="U124" s="0" t="n">
        <v>2037</v>
      </c>
      <c r="V124" s="0" t="n">
        <v>3</v>
      </c>
      <c r="W124" s="39" t="n">
        <f aca="false">IF(I124="Male",0,1)</f>
        <v>1</v>
      </c>
      <c r="X124" s="39" t="n">
        <f aca="false">IF(OR(I124="DNB",I124="Dry DNB"),1,0)</f>
        <v>0</v>
      </c>
      <c r="Y124" s="39" t="n">
        <f aca="false">MATCH(A124,DATAS,0)</f>
        <v>1</v>
      </c>
      <c r="Z124" s="39" t="n">
        <f aca="false">IF(AND(E124&gt;0,OR(AND(B124&gt;=1,B124&lt;=6),B124=10)),1,0)</f>
        <v>1</v>
      </c>
      <c r="AA124" s="39" t="n">
        <f aca="false">IF(AND(E124&gt;0,B124=10),1,0)</f>
        <v>0</v>
      </c>
      <c r="AB124" s="0" t="str">
        <f aca="false">IF(AND(C123=C124,Y123=Y124-1),Z123,"")</f>
        <v/>
      </c>
      <c r="AC124" s="0" t="str">
        <f aca="false">IF(AND(C123=C124,Y123=Y124-1),AA123,"")</f>
        <v/>
      </c>
      <c r="AD124" s="0" t="str">
        <f aca="false">IF(Y124=1,"",IF(AND(Z124=1,AB124&lt;&gt;1),1,0))</f>
        <v/>
      </c>
      <c r="AE124" s="0" t="str">
        <f aca="false">IF(Y124=1,"",IF(AND(AA124=1,AC124&lt;&gt;1),1,0))</f>
        <v/>
      </c>
      <c r="AF124" s="45" t="str">
        <f aca="false">IF(AND(E124&gt;0,Y124&lt;1,NOT(AND(C125=C124,Y125=Y124+1))),INDEX(DATAS,Y124+1),"")</f>
        <v/>
      </c>
      <c r="AG124" s="45" t="str">
        <f aca="false">IF(AND(AA124=1,Y124&lt;1),IF(AND(C125=C124,Y125=Y124+1),IF(AA125=1,"",INDEX(DATAS,Y124+1)),INDEX(DATAS,Y124+1)),"")</f>
        <v/>
      </c>
    </row>
    <row r="125" customFormat="false" ht="15" hidden="false" customHeight="false" outlineLevel="0" collapsed="false">
      <c r="A125" s="45" t="n">
        <v>46309</v>
      </c>
      <c r="B125" s="0" t="n">
        <v>5</v>
      </c>
      <c r="C125" s="0" t="n">
        <v>3357</v>
      </c>
      <c r="D125" s="0" t="n">
        <v>302</v>
      </c>
      <c r="E125" s="0" t="n">
        <v>4</v>
      </c>
      <c r="F125" s="39" t="s">
        <v>222</v>
      </c>
      <c r="G125" s="0" t="n">
        <v>30.1</v>
      </c>
      <c r="H125" s="0" t="n">
        <v>28</v>
      </c>
      <c r="I125" s="39" t="s">
        <v>138</v>
      </c>
      <c r="J125" s="0" t="n">
        <v>302</v>
      </c>
      <c r="K125" s="0" t="n">
        <v>78</v>
      </c>
      <c r="M125" s="0" t="n">
        <v>-289.93</v>
      </c>
      <c r="N125" s="0" t="n">
        <v>40.34</v>
      </c>
      <c r="O125" s="0" t="n">
        <v>14.14</v>
      </c>
      <c r="P125" s="0" t="n">
        <v>5.4</v>
      </c>
      <c r="Q125" s="0" t="n">
        <v>3.64</v>
      </c>
      <c r="R125" s="0" t="n">
        <v>6288</v>
      </c>
      <c r="S125" s="0" t="n">
        <v>12723</v>
      </c>
      <c r="T125" s="0" t="n">
        <v>71.15</v>
      </c>
      <c r="U125" s="0" t="n">
        <v>2036</v>
      </c>
      <c r="V125" s="0" t="n">
        <v>6</v>
      </c>
      <c r="W125" s="39" t="n">
        <f aca="false">IF(I125="Male",0,1)</f>
        <v>1</v>
      </c>
      <c r="X125" s="39" t="n">
        <f aca="false">IF(OR(I125="DNB",I125="Dry DNB"),1,0)</f>
        <v>0</v>
      </c>
      <c r="Y125" s="39" t="n">
        <f aca="false">MATCH(A125,DATAS,0)</f>
        <v>1</v>
      </c>
      <c r="Z125" s="39" t="n">
        <f aca="false">IF(AND(E125&gt;0,OR(AND(B125&gt;=1,B125&lt;=6),B125=10)),1,0)</f>
        <v>1</v>
      </c>
      <c r="AA125" s="39" t="n">
        <f aca="false">IF(AND(E125&gt;0,B125=10),1,0)</f>
        <v>0</v>
      </c>
      <c r="AB125" s="0" t="str">
        <f aca="false">IF(AND(C124=C125,Y124=Y125-1),Z124,"")</f>
        <v/>
      </c>
      <c r="AC125" s="0" t="str">
        <f aca="false">IF(AND(C124=C125,Y124=Y125-1),AA124,"")</f>
        <v/>
      </c>
      <c r="AD125" s="0" t="str">
        <f aca="false">IF(Y125=1,"",IF(AND(Z125=1,AB125&lt;&gt;1),1,0))</f>
        <v/>
      </c>
      <c r="AE125" s="0" t="str">
        <f aca="false">IF(Y125=1,"",IF(AND(AA125=1,AC125&lt;&gt;1),1,0))</f>
        <v/>
      </c>
      <c r="AF125" s="45" t="str">
        <f aca="false">IF(AND(E125&gt;0,Y125&lt;1,NOT(AND(C126=C125,Y126=Y125+1))),INDEX(DATAS,Y125+1),"")</f>
        <v/>
      </c>
      <c r="AG125" s="45" t="str">
        <f aca="false">IF(AND(AA125=1,Y125&lt;1),IF(AND(C126=C125,Y126=Y125+1),IF(AA126=1,"",INDEX(DATAS,Y125+1)),INDEX(DATAS,Y125+1)),"")</f>
        <v/>
      </c>
    </row>
    <row r="126" customFormat="false" ht="15" hidden="false" customHeight="false" outlineLevel="0" collapsed="false">
      <c r="A126" s="45" t="n">
        <v>46309</v>
      </c>
      <c r="B126" s="0" t="n">
        <v>3</v>
      </c>
      <c r="C126" s="0" t="n">
        <v>3366</v>
      </c>
      <c r="D126" s="0" t="n">
        <v>8</v>
      </c>
      <c r="E126" s="0" t="n">
        <v>5</v>
      </c>
      <c r="F126" s="39" t="s">
        <v>223</v>
      </c>
      <c r="G126" s="0" t="n">
        <v>34.9</v>
      </c>
      <c r="H126" s="0" t="n">
        <v>24</v>
      </c>
      <c r="I126" s="39" t="s">
        <v>118</v>
      </c>
      <c r="J126" s="0" t="n">
        <v>8</v>
      </c>
      <c r="M126" s="0" t="n">
        <v>1280.61</v>
      </c>
      <c r="N126" s="0" t="n">
        <v>31.03</v>
      </c>
      <c r="O126" s="0" t="n">
        <v>29.57</v>
      </c>
      <c r="R126" s="0" t="n">
        <v>1627</v>
      </c>
      <c r="S126" s="0" t="n">
        <v>3271</v>
      </c>
      <c r="U126" s="0" t="n">
        <v>2032</v>
      </c>
      <c r="V126" s="0" t="n">
        <v>0</v>
      </c>
      <c r="W126" s="39" t="n">
        <f aca="false">IF(I126="Male",0,1)</f>
        <v>1</v>
      </c>
      <c r="X126" s="39" t="n">
        <f aca="false">IF(OR(I126="DNB",I126="Dry DNB"),1,0)</f>
        <v>0</v>
      </c>
      <c r="Y126" s="39" t="n">
        <f aca="false">MATCH(A126,DATAS,0)</f>
        <v>1</v>
      </c>
      <c r="Z126" s="39" t="n">
        <f aca="false">IF(AND(E126&gt;0,OR(AND(B126&gt;=1,B126&lt;=6),B126=10)),1,0)</f>
        <v>1</v>
      </c>
      <c r="AA126" s="39" t="n">
        <f aca="false">IF(AND(E126&gt;0,B126=10),1,0)</f>
        <v>0</v>
      </c>
      <c r="AB126" s="0" t="str">
        <f aca="false">IF(AND(C125=C126,Y125=Y126-1),Z125,"")</f>
        <v/>
      </c>
      <c r="AC126" s="0" t="str">
        <f aca="false">IF(AND(C125=C126,Y125=Y126-1),AA125,"")</f>
        <v/>
      </c>
      <c r="AD126" s="0" t="str">
        <f aca="false">IF(Y126=1,"",IF(AND(Z126=1,AB126&lt;&gt;1),1,0))</f>
        <v/>
      </c>
      <c r="AE126" s="0" t="str">
        <f aca="false">IF(Y126=1,"",IF(AND(AA126=1,AC126&lt;&gt;1),1,0))</f>
        <v/>
      </c>
      <c r="AF126" s="45" t="str">
        <f aca="false">IF(AND(E126&gt;0,Y126&lt;1,NOT(AND(C127=C126,Y127=Y126+1))),INDEX(DATAS,Y126+1),"")</f>
        <v/>
      </c>
      <c r="AG126" s="45" t="str">
        <f aca="false">IF(AND(AA126=1,Y126&lt;1),IF(AND(C127=C126,Y127=Y126+1),IF(AA127=1,"",INDEX(DATAS,Y126+1)),INDEX(DATAS,Y126+1)),"")</f>
        <v/>
      </c>
    </row>
    <row r="127" customFormat="false" ht="15" hidden="false" customHeight="false" outlineLevel="0" collapsed="false">
      <c r="A127" s="45" t="n">
        <v>46309</v>
      </c>
      <c r="B127" s="0" t="n">
        <v>5</v>
      </c>
      <c r="C127" s="0" t="n">
        <v>3370</v>
      </c>
      <c r="D127" s="0" t="n">
        <v>277</v>
      </c>
      <c r="E127" s="0" t="n">
        <v>4</v>
      </c>
      <c r="F127" s="39" t="s">
        <v>224</v>
      </c>
      <c r="G127" s="0" t="n">
        <v>44.4</v>
      </c>
      <c r="H127" s="0" t="n">
        <v>41</v>
      </c>
      <c r="I127" s="39" t="s">
        <v>109</v>
      </c>
      <c r="J127" s="0" t="n">
        <v>102</v>
      </c>
      <c r="K127" s="0" t="n">
        <v>67</v>
      </c>
      <c r="L127" s="0" t="n">
        <v>175</v>
      </c>
      <c r="M127" s="0" t="n">
        <v>434.53</v>
      </c>
      <c r="N127" s="0" t="n">
        <v>24.38</v>
      </c>
      <c r="O127" s="0" t="n">
        <v>22.76</v>
      </c>
      <c r="P127" s="0" t="n">
        <v>4.98</v>
      </c>
      <c r="Q127" s="0" t="n">
        <v>3.58</v>
      </c>
      <c r="R127" s="0" t="n">
        <v>5025</v>
      </c>
      <c r="S127" s="0" t="n">
        <v>10384</v>
      </c>
      <c r="T127" s="0" t="n">
        <v>58.5</v>
      </c>
      <c r="U127" s="0" t="n">
        <v>2028</v>
      </c>
      <c r="V127" s="0" t="n">
        <v>2</v>
      </c>
      <c r="W127" s="39" t="n">
        <f aca="false">IF(I127="Male",0,1)</f>
        <v>1</v>
      </c>
      <c r="X127" s="39" t="n">
        <f aca="false">IF(OR(I127="DNB",I127="Dry DNB"),1,0)</f>
        <v>0</v>
      </c>
      <c r="Y127" s="39" t="n">
        <f aca="false">MATCH(A127,DATAS,0)</f>
        <v>1</v>
      </c>
      <c r="Z127" s="39" t="n">
        <f aca="false">IF(AND(E127&gt;0,OR(AND(B127&gt;=1,B127&lt;=6),B127=10)),1,0)</f>
        <v>1</v>
      </c>
      <c r="AA127" s="39" t="n">
        <f aca="false">IF(AND(E127&gt;0,B127=10),1,0)</f>
        <v>0</v>
      </c>
      <c r="AB127" s="0" t="str">
        <f aca="false">IF(AND(C126=C127,Y126=Y127-1),Z126,"")</f>
        <v/>
      </c>
      <c r="AC127" s="0" t="str">
        <f aca="false">IF(AND(C126=C127,Y126=Y127-1),AA126,"")</f>
        <v/>
      </c>
      <c r="AD127" s="0" t="str">
        <f aca="false">IF(Y127=1,"",IF(AND(Z127=1,AB127&lt;&gt;1),1,0))</f>
        <v/>
      </c>
      <c r="AE127" s="0" t="str">
        <f aca="false">IF(Y127=1,"",IF(AND(AA127=1,AC127&lt;&gt;1),1,0))</f>
        <v/>
      </c>
      <c r="AF127" s="45" t="str">
        <f aca="false">IF(AND(E127&gt;0,Y127&lt;1,NOT(AND(C128=C127,Y128=Y127+1))),INDEX(DATAS,Y127+1),"")</f>
        <v/>
      </c>
      <c r="AG127" s="45" t="str">
        <f aca="false">IF(AND(AA127=1,Y127&lt;1),IF(AND(C128=C127,Y128=Y127+1),IF(AA128=1,"",INDEX(DATAS,Y127+1)),INDEX(DATAS,Y127+1)),"")</f>
        <v/>
      </c>
    </row>
    <row r="128" customFormat="false" ht="15" hidden="false" customHeight="false" outlineLevel="0" collapsed="false">
      <c r="A128" s="45" t="n">
        <v>46309</v>
      </c>
      <c r="B128" s="0" t="n">
        <v>14</v>
      </c>
      <c r="C128" s="0" t="n">
        <v>3376</v>
      </c>
      <c r="D128" s="0" t="n">
        <v>363</v>
      </c>
      <c r="E128" s="0" t="n">
        <v>4</v>
      </c>
      <c r="F128" s="39" t="s">
        <v>225</v>
      </c>
      <c r="I128" s="39" t="s">
        <v>114</v>
      </c>
      <c r="J128" s="0" t="n">
        <v>140</v>
      </c>
      <c r="K128" s="0" t="n">
        <v>63</v>
      </c>
      <c r="L128" s="0" t="n">
        <v>259</v>
      </c>
      <c r="M128" s="0" t="n">
        <v>1158.26</v>
      </c>
      <c r="N128" s="0" t="n">
        <v>9.2</v>
      </c>
      <c r="O128" s="0" t="n">
        <v>23.68</v>
      </c>
      <c r="P128" s="0" t="n">
        <v>3.06</v>
      </c>
      <c r="Q128" s="0" t="n">
        <v>3.27</v>
      </c>
      <c r="R128" s="0" t="n">
        <v>6626</v>
      </c>
      <c r="S128" s="0" t="n">
        <v>13187</v>
      </c>
      <c r="T128" s="0" t="n">
        <v>71.05</v>
      </c>
      <c r="U128" s="0" t="n">
        <v>2023</v>
      </c>
      <c r="V128" s="0" t="n">
        <v>3</v>
      </c>
      <c r="W128" s="39" t="n">
        <f aca="false">IF(I128="Male",0,1)</f>
        <v>1</v>
      </c>
      <c r="X128" s="39" t="n">
        <f aca="false">IF(OR(I128="DNB",I128="Dry DNB"),1,0)</f>
        <v>0</v>
      </c>
      <c r="Y128" s="39" t="n">
        <f aca="false">MATCH(A128,DATAS,0)</f>
        <v>1</v>
      </c>
      <c r="Z128" s="39" t="n">
        <f aca="false">IF(AND(E128&gt;0,OR(AND(B128&gt;=1,B128&lt;=6),B128=10)),1,0)</f>
        <v>0</v>
      </c>
      <c r="AA128" s="39" t="n">
        <f aca="false">IF(AND(E128&gt;0,B128=10),1,0)</f>
        <v>0</v>
      </c>
      <c r="AB128" s="0" t="str">
        <f aca="false">IF(AND(C127=C128,Y127=Y128-1),Z127,"")</f>
        <v/>
      </c>
      <c r="AC128" s="0" t="str">
        <f aca="false">IF(AND(C127=C128,Y127=Y128-1),AA127,"")</f>
        <v/>
      </c>
      <c r="AD128" s="0" t="str">
        <f aca="false">IF(Y128=1,"",IF(AND(Z128=1,AB128&lt;&gt;1),1,0))</f>
        <v/>
      </c>
      <c r="AE128" s="0" t="str">
        <f aca="false">IF(Y128=1,"",IF(AND(AA128=1,AC128&lt;&gt;1),1,0))</f>
        <v/>
      </c>
      <c r="AF128" s="45" t="str">
        <f aca="false">IF(AND(E128&gt;0,Y128&lt;1,NOT(AND(C129=C128,Y129=Y128+1))),INDEX(DATAS,Y128+1),"")</f>
        <v/>
      </c>
      <c r="AG128" s="45" t="str">
        <f aca="false">IF(AND(AA128=1,Y128&lt;1),IF(AND(C129=C128,Y129=Y128+1),IF(AA129=1,"",INDEX(DATAS,Y128+1)),INDEX(DATAS,Y128+1)),"")</f>
        <v/>
      </c>
    </row>
    <row r="129" customFormat="false" ht="15" hidden="false" customHeight="false" outlineLevel="0" collapsed="false">
      <c r="A129" s="45" t="n">
        <v>46309</v>
      </c>
      <c r="B129" s="0" t="n">
        <v>5</v>
      </c>
      <c r="C129" s="0" t="n">
        <v>3380</v>
      </c>
      <c r="D129" s="0" t="n">
        <v>157</v>
      </c>
      <c r="E129" s="0" t="n">
        <v>5</v>
      </c>
      <c r="F129" s="39" t="s">
        <v>226</v>
      </c>
      <c r="G129" s="0" t="n">
        <v>37.2</v>
      </c>
      <c r="H129" s="0" t="n">
        <v>37</v>
      </c>
      <c r="I129" s="39" t="s">
        <v>138</v>
      </c>
      <c r="J129" s="0" t="n">
        <v>157</v>
      </c>
      <c r="K129" s="0" t="n">
        <v>74</v>
      </c>
      <c r="M129" s="0" t="n">
        <v>432.7</v>
      </c>
      <c r="N129" s="0" t="n">
        <v>20.11</v>
      </c>
      <c r="O129" s="0" t="n">
        <v>19.2</v>
      </c>
      <c r="P129" s="0" t="n">
        <v>4.1</v>
      </c>
      <c r="Q129" s="0" t="n">
        <v>3.38</v>
      </c>
      <c r="R129" s="0" t="n">
        <v>4572</v>
      </c>
      <c r="S129" s="0" t="n">
        <v>8782</v>
      </c>
      <c r="T129" s="0" t="n">
        <v>48.4</v>
      </c>
      <c r="U129" s="0" t="n">
        <v>2021</v>
      </c>
      <c r="V129" s="0" t="n">
        <v>4</v>
      </c>
      <c r="W129" s="39" t="n">
        <f aca="false">IF(I129="Male",0,1)</f>
        <v>1</v>
      </c>
      <c r="X129" s="39" t="n">
        <f aca="false">IF(OR(I129="DNB",I129="Dry DNB"),1,0)</f>
        <v>0</v>
      </c>
      <c r="Y129" s="39" t="n">
        <f aca="false">MATCH(A129,DATAS,0)</f>
        <v>1</v>
      </c>
      <c r="Z129" s="39" t="n">
        <f aca="false">IF(AND(E129&gt;0,OR(AND(B129&gt;=1,B129&lt;=6),B129=10)),1,0)</f>
        <v>1</v>
      </c>
      <c r="AA129" s="39" t="n">
        <f aca="false">IF(AND(E129&gt;0,B129=10),1,0)</f>
        <v>0</v>
      </c>
      <c r="AB129" s="0" t="str">
        <f aca="false">IF(AND(C128=C129,Y128=Y129-1),Z128,"")</f>
        <v/>
      </c>
      <c r="AC129" s="0" t="str">
        <f aca="false">IF(AND(C128=C129,Y128=Y129-1),AA128,"")</f>
        <v/>
      </c>
      <c r="AD129" s="0" t="str">
        <f aca="false">IF(Y129=1,"",IF(AND(Z129=1,AB129&lt;&gt;1),1,0))</f>
        <v/>
      </c>
      <c r="AE129" s="0" t="str">
        <f aca="false">IF(Y129=1,"",IF(AND(AA129=1,AC129&lt;&gt;1),1,0))</f>
        <v/>
      </c>
      <c r="AF129" s="45" t="str">
        <f aca="false">IF(AND(E129&gt;0,Y129&lt;1,NOT(AND(C130=C129,Y130=Y129+1))),INDEX(DATAS,Y129+1),"")</f>
        <v/>
      </c>
      <c r="AG129" s="45" t="str">
        <f aca="false">IF(AND(AA129=1,Y129&lt;1),IF(AND(C130=C129,Y130=Y129+1),IF(AA130=1,"",INDEX(DATAS,Y129+1)),INDEX(DATAS,Y129+1)),"")</f>
        <v/>
      </c>
    </row>
    <row r="130" customFormat="false" ht="15" hidden="false" customHeight="false" outlineLevel="0" collapsed="false">
      <c r="A130" s="45" t="n">
        <v>46309</v>
      </c>
      <c r="B130" s="0" t="n">
        <v>14</v>
      </c>
      <c r="C130" s="0" t="n">
        <v>3386</v>
      </c>
      <c r="D130" s="0" t="n">
        <v>488</v>
      </c>
      <c r="E130" s="0" t="n">
        <v>3</v>
      </c>
      <c r="F130" s="39" t="s">
        <v>227</v>
      </c>
      <c r="I130" s="39" t="s">
        <v>114</v>
      </c>
      <c r="J130" s="0" t="n">
        <v>279</v>
      </c>
      <c r="K130" s="0" t="n">
        <v>62</v>
      </c>
      <c r="L130" s="0" t="n">
        <v>259</v>
      </c>
      <c r="M130" s="0" t="n">
        <v>465.99</v>
      </c>
      <c r="N130" s="0" t="n">
        <v>25.38</v>
      </c>
      <c r="O130" s="0" t="n">
        <v>23.23</v>
      </c>
      <c r="P130" s="0" t="n">
        <v>4.09</v>
      </c>
      <c r="Q130" s="0" t="n">
        <v>4.05</v>
      </c>
      <c r="R130" s="0" t="n">
        <v>6074</v>
      </c>
      <c r="S130" s="0" t="n">
        <v>11143</v>
      </c>
      <c r="T130" s="0" t="n">
        <v>62.45</v>
      </c>
      <c r="U130" s="0" t="n">
        <v>2019</v>
      </c>
      <c r="V130" s="0" t="n">
        <v>8</v>
      </c>
      <c r="W130" s="39" t="n">
        <f aca="false">IF(I130="Male",0,1)</f>
        <v>1</v>
      </c>
      <c r="X130" s="39" t="n">
        <f aca="false">IF(OR(I130="DNB",I130="Dry DNB"),1,0)</f>
        <v>0</v>
      </c>
      <c r="Y130" s="39" t="n">
        <f aca="false">MATCH(A130,DATAS,0)</f>
        <v>1</v>
      </c>
      <c r="Z130" s="39" t="n">
        <f aca="false">IF(AND(E130&gt;0,OR(AND(B130&gt;=1,B130&lt;=6),B130=10)),1,0)</f>
        <v>0</v>
      </c>
      <c r="AA130" s="39" t="n">
        <f aca="false">IF(AND(E130&gt;0,B130=10),1,0)</f>
        <v>0</v>
      </c>
      <c r="AB130" s="0" t="str">
        <f aca="false">IF(AND(C129=C130,Y129=Y130-1),Z129,"")</f>
        <v/>
      </c>
      <c r="AC130" s="0" t="str">
        <f aca="false">IF(AND(C129=C130,Y129=Y130-1),AA129,"")</f>
        <v/>
      </c>
      <c r="AD130" s="0" t="str">
        <f aca="false">IF(Y130=1,"",IF(AND(Z130=1,AB130&lt;&gt;1),1,0))</f>
        <v/>
      </c>
      <c r="AE130" s="0" t="str">
        <f aca="false">IF(Y130=1,"",IF(AND(AA130=1,AC130&lt;&gt;1),1,0))</f>
        <v/>
      </c>
      <c r="AF130" s="45" t="str">
        <f aca="false">IF(AND(E130&gt;0,Y130&lt;1,NOT(AND(C131=C130,Y131=Y130+1))),INDEX(DATAS,Y130+1),"")</f>
        <v/>
      </c>
      <c r="AG130" s="45" t="str">
        <f aca="false">IF(AND(AA130=1,Y130&lt;1),IF(AND(C131=C130,Y131=Y130+1),IF(AA131=1,"",INDEX(DATAS,Y130+1)),INDEX(DATAS,Y130+1)),"")</f>
        <v/>
      </c>
    </row>
    <row r="131" customFormat="false" ht="15" hidden="false" customHeight="false" outlineLevel="0" collapsed="false">
      <c r="A131" s="45" t="n">
        <v>46309</v>
      </c>
      <c r="B131" s="0" t="n">
        <v>3</v>
      </c>
      <c r="C131" s="0" t="n">
        <v>3390</v>
      </c>
      <c r="D131" s="0" t="n">
        <v>6</v>
      </c>
      <c r="E131" s="0" t="n">
        <v>4</v>
      </c>
      <c r="F131" s="39" t="s">
        <v>228</v>
      </c>
      <c r="H131" s="0" t="n">
        <v>10</v>
      </c>
      <c r="I131" s="39" t="s">
        <v>118</v>
      </c>
      <c r="J131" s="0" t="n">
        <v>6</v>
      </c>
      <c r="M131" s="0" t="n">
        <v>845.41</v>
      </c>
      <c r="N131" s="0" t="n">
        <v>30.4</v>
      </c>
      <c r="O131" s="0" t="n">
        <v>33.92</v>
      </c>
      <c r="R131" s="0" t="n">
        <v>875</v>
      </c>
      <c r="S131" s="0" t="n">
        <v>1760</v>
      </c>
      <c r="U131" s="0" t="n">
        <v>2015</v>
      </c>
      <c r="V131" s="0" t="n">
        <v>0</v>
      </c>
      <c r="W131" s="39" t="n">
        <f aca="false">IF(I131="Male",0,1)</f>
        <v>1</v>
      </c>
      <c r="X131" s="39" t="n">
        <f aca="false">IF(OR(I131="DNB",I131="Dry DNB"),1,0)</f>
        <v>0</v>
      </c>
      <c r="Y131" s="39" t="n">
        <f aca="false">MATCH(A131,DATAS,0)</f>
        <v>1</v>
      </c>
      <c r="Z131" s="39" t="n">
        <f aca="false">IF(AND(E131&gt;0,OR(AND(B131&gt;=1,B131&lt;=6),B131=10)),1,0)</f>
        <v>1</v>
      </c>
      <c r="AA131" s="39" t="n">
        <f aca="false">IF(AND(E131&gt;0,B131=10),1,0)</f>
        <v>0</v>
      </c>
      <c r="AB131" s="0" t="str">
        <f aca="false">IF(AND(C130=C131,Y130=Y131-1),Z130,"")</f>
        <v/>
      </c>
      <c r="AC131" s="0" t="str">
        <f aca="false">IF(AND(C130=C131,Y130=Y131-1),AA130,"")</f>
        <v/>
      </c>
      <c r="AD131" s="0" t="str">
        <f aca="false">IF(Y131=1,"",IF(AND(Z131=1,AB131&lt;&gt;1),1,0))</f>
        <v/>
      </c>
      <c r="AE131" s="0" t="str">
        <f aca="false">IF(Y131=1,"",IF(AND(AA131=1,AC131&lt;&gt;1),1,0))</f>
        <v/>
      </c>
      <c r="AF131" s="45" t="str">
        <f aca="false">IF(AND(E131&gt;0,Y131&lt;1,NOT(AND(C132=C131,Y132=Y131+1))),INDEX(DATAS,Y131+1),"")</f>
        <v/>
      </c>
      <c r="AG131" s="45" t="str">
        <f aca="false">IF(AND(AA131=1,Y131&lt;1),IF(AND(C132=C131,Y132=Y131+1),IF(AA132=1,"",INDEX(DATAS,Y131+1)),INDEX(DATAS,Y131+1)),"")</f>
        <v/>
      </c>
    </row>
    <row r="132" customFormat="false" ht="15" hidden="false" customHeight="false" outlineLevel="0" collapsed="false">
      <c r="A132" s="45" t="n">
        <v>46309</v>
      </c>
      <c r="B132" s="0" t="n">
        <v>2</v>
      </c>
      <c r="C132" s="0" t="n">
        <v>3392</v>
      </c>
      <c r="D132" s="0" t="n">
        <v>42</v>
      </c>
      <c r="E132" s="0" t="n">
        <v>4</v>
      </c>
      <c r="F132" s="39" t="s">
        <v>229</v>
      </c>
      <c r="G132" s="0" t="n">
        <v>74.4</v>
      </c>
      <c r="H132" s="0" t="n">
        <v>71</v>
      </c>
      <c r="I132" s="39" t="s">
        <v>118</v>
      </c>
      <c r="J132" s="0" t="n">
        <v>42</v>
      </c>
      <c r="M132" s="0" t="n">
        <v>1126.69</v>
      </c>
      <c r="N132" s="0" t="n">
        <v>17.07</v>
      </c>
      <c r="O132" s="0" t="n">
        <v>25.1</v>
      </c>
      <c r="P132" s="0" t="n">
        <v>4.5</v>
      </c>
      <c r="Q132" s="0" t="n">
        <v>3.04</v>
      </c>
      <c r="R132" s="0" t="n">
        <v>5723</v>
      </c>
      <c r="S132" s="0" t="n">
        <v>11505</v>
      </c>
      <c r="U132" s="0" t="n">
        <v>2014</v>
      </c>
      <c r="V132" s="0" t="n">
        <v>0</v>
      </c>
      <c r="W132" s="39" t="n">
        <f aca="false">IF(I132="Male",0,1)</f>
        <v>1</v>
      </c>
      <c r="X132" s="39" t="n">
        <f aca="false">IF(OR(I132="DNB",I132="Dry DNB"),1,0)</f>
        <v>0</v>
      </c>
      <c r="Y132" s="39" t="n">
        <f aca="false">MATCH(A132,DATAS,0)</f>
        <v>1</v>
      </c>
      <c r="Z132" s="39" t="n">
        <f aca="false">IF(AND(E132&gt;0,OR(AND(B132&gt;=1,B132&lt;=6),B132=10)),1,0)</f>
        <v>1</v>
      </c>
      <c r="AA132" s="39" t="n">
        <f aca="false">IF(AND(E132&gt;0,B132=10),1,0)</f>
        <v>0</v>
      </c>
      <c r="AB132" s="0" t="str">
        <f aca="false">IF(AND(C131=C132,Y131=Y132-1),Z131,"")</f>
        <v/>
      </c>
      <c r="AC132" s="0" t="str">
        <f aca="false">IF(AND(C131=C132,Y131=Y132-1),AA131,"")</f>
        <v/>
      </c>
      <c r="AD132" s="0" t="str">
        <f aca="false">IF(Y132=1,"",IF(AND(Z132=1,AB132&lt;&gt;1),1,0))</f>
        <v/>
      </c>
      <c r="AE132" s="0" t="str">
        <f aca="false">IF(Y132=1,"",IF(AND(AA132=1,AC132&lt;&gt;1),1,0))</f>
        <v/>
      </c>
      <c r="AF132" s="45" t="str">
        <f aca="false">IF(AND(E132&gt;0,Y132&lt;1,NOT(AND(C133=C132,Y133=Y132+1))),INDEX(DATAS,Y132+1),"")</f>
        <v/>
      </c>
      <c r="AG132" s="45" t="str">
        <f aca="false">IF(AND(AA132=1,Y132&lt;1),IF(AND(C133=C132,Y133=Y132+1),IF(AA133=1,"",INDEX(DATAS,Y132+1)),INDEX(DATAS,Y132+1)),"")</f>
        <v/>
      </c>
    </row>
    <row r="133" customFormat="false" ht="15" hidden="false" customHeight="false" outlineLevel="0" collapsed="false">
      <c r="A133" s="45" t="n">
        <v>46309</v>
      </c>
      <c r="B133" s="0" t="n">
        <v>3</v>
      </c>
      <c r="C133" s="0" t="n">
        <v>3393</v>
      </c>
      <c r="D133" s="0" t="n">
        <v>100</v>
      </c>
      <c r="E133" s="0" t="n">
        <v>4</v>
      </c>
      <c r="F133" s="39" t="s">
        <v>230</v>
      </c>
      <c r="G133" s="0" t="n">
        <v>73.3</v>
      </c>
      <c r="H133" s="0" t="n">
        <v>77</v>
      </c>
      <c r="I133" s="39" t="s">
        <v>146</v>
      </c>
      <c r="J133" s="0" t="n">
        <v>100</v>
      </c>
      <c r="K133" s="0" t="n">
        <v>65</v>
      </c>
      <c r="M133" s="0" t="n">
        <v>940.48</v>
      </c>
      <c r="N133" s="0" t="n">
        <v>2.47</v>
      </c>
      <c r="O133" s="0" t="n">
        <v>24.31</v>
      </c>
      <c r="P133" s="0" t="n">
        <v>2.56</v>
      </c>
      <c r="Q133" s="0" t="n">
        <v>2.94</v>
      </c>
      <c r="R133" s="0" t="n">
        <v>7160</v>
      </c>
      <c r="S133" s="0" t="n">
        <v>14393</v>
      </c>
      <c r="T133" s="0" t="n">
        <v>78.55</v>
      </c>
      <c r="U133" s="0" t="n">
        <v>2013</v>
      </c>
      <c r="V133" s="0" t="n">
        <v>1</v>
      </c>
      <c r="W133" s="39" t="n">
        <f aca="false">IF(I133="Male",0,1)</f>
        <v>1</v>
      </c>
      <c r="X133" s="39" t="n">
        <f aca="false">IF(OR(I133="DNB",I133="Dry DNB"),1,0)</f>
        <v>0</v>
      </c>
      <c r="Y133" s="39" t="n">
        <f aca="false">MATCH(A133,DATAS,0)</f>
        <v>1</v>
      </c>
      <c r="Z133" s="39" t="n">
        <f aca="false">IF(AND(E133&gt;0,OR(AND(B133&gt;=1,B133&lt;=6),B133=10)),1,0)</f>
        <v>1</v>
      </c>
      <c r="AA133" s="39" t="n">
        <f aca="false">IF(AND(E133&gt;0,B133=10),1,0)</f>
        <v>0</v>
      </c>
      <c r="AB133" s="0" t="str">
        <f aca="false">IF(AND(C132=C133,Y132=Y133-1),Z132,"")</f>
        <v/>
      </c>
      <c r="AC133" s="0" t="str">
        <f aca="false">IF(AND(C132=C133,Y132=Y133-1),AA132,"")</f>
        <v/>
      </c>
      <c r="AD133" s="0" t="str">
        <f aca="false">IF(Y133=1,"",IF(AND(Z133=1,AB133&lt;&gt;1),1,0))</f>
        <v/>
      </c>
      <c r="AE133" s="0" t="str">
        <f aca="false">IF(Y133=1,"",IF(AND(AA133=1,AC133&lt;&gt;1),1,0))</f>
        <v/>
      </c>
      <c r="AF133" s="45" t="str">
        <f aca="false">IF(AND(E133&gt;0,Y133&lt;1,NOT(AND(C134=C133,Y134=Y133+1))),INDEX(DATAS,Y133+1),"")</f>
        <v/>
      </c>
      <c r="AG133" s="45" t="str">
        <f aca="false">IF(AND(AA133=1,Y133&lt;1),IF(AND(C134=C133,Y134=Y133+1),IF(AA134=1,"",INDEX(DATAS,Y133+1)),INDEX(DATAS,Y133+1)),"")</f>
        <v/>
      </c>
    </row>
    <row r="134" customFormat="false" ht="15" hidden="false" customHeight="false" outlineLevel="0" collapsed="false">
      <c r="A134" s="45" t="n">
        <v>46309</v>
      </c>
      <c r="B134" s="0" t="n">
        <v>5</v>
      </c>
      <c r="C134" s="0" t="n">
        <v>3394</v>
      </c>
      <c r="D134" s="0" t="n">
        <v>314</v>
      </c>
      <c r="E134" s="0" t="n">
        <v>4</v>
      </c>
      <c r="F134" s="39" t="s">
        <v>231</v>
      </c>
      <c r="G134" s="0" t="n">
        <v>44.4</v>
      </c>
      <c r="H134" s="0" t="n">
        <v>45</v>
      </c>
      <c r="I134" s="39" t="s">
        <v>109</v>
      </c>
      <c r="J134" s="0" t="n">
        <v>104</v>
      </c>
      <c r="K134" s="0" t="n">
        <v>69</v>
      </c>
      <c r="L134" s="0" t="n">
        <v>210</v>
      </c>
      <c r="M134" s="0" t="n">
        <v>321.84</v>
      </c>
      <c r="N134" s="0" t="n">
        <v>41.08</v>
      </c>
      <c r="O134" s="0" t="n">
        <v>23.07</v>
      </c>
      <c r="P134" s="0" t="n">
        <v>3.23</v>
      </c>
      <c r="Q134" s="0" t="n">
        <v>3.91</v>
      </c>
      <c r="R134" s="0" t="n">
        <v>6195</v>
      </c>
      <c r="S134" s="0" t="n">
        <v>12370</v>
      </c>
      <c r="T134" s="0" t="n">
        <v>70.05</v>
      </c>
      <c r="U134" s="0" t="n">
        <v>2012</v>
      </c>
      <c r="V134" s="0" t="n">
        <v>2</v>
      </c>
      <c r="W134" s="39" t="n">
        <f aca="false">IF(I134="Male",0,1)</f>
        <v>1</v>
      </c>
      <c r="X134" s="39" t="n">
        <f aca="false">IF(OR(I134="DNB",I134="Dry DNB"),1,0)</f>
        <v>0</v>
      </c>
      <c r="Y134" s="39" t="n">
        <f aca="false">MATCH(A134,DATAS,0)</f>
        <v>1</v>
      </c>
      <c r="Z134" s="39" t="n">
        <f aca="false">IF(AND(E134&gt;0,OR(AND(B134&gt;=1,B134&lt;=6),B134=10)),1,0)</f>
        <v>1</v>
      </c>
      <c r="AA134" s="39" t="n">
        <f aca="false">IF(AND(E134&gt;0,B134=10),1,0)</f>
        <v>0</v>
      </c>
      <c r="AB134" s="0" t="str">
        <f aca="false">IF(AND(C133=C134,Y133=Y134-1),Z133,"")</f>
        <v/>
      </c>
      <c r="AC134" s="0" t="str">
        <f aca="false">IF(AND(C133=C134,Y133=Y134-1),AA133,"")</f>
        <v/>
      </c>
      <c r="AD134" s="0" t="str">
        <f aca="false">IF(Y134=1,"",IF(AND(Z134=1,AB134&lt;&gt;1),1,0))</f>
        <v/>
      </c>
      <c r="AE134" s="0" t="str">
        <f aca="false">IF(Y134=1,"",IF(AND(AA134=1,AC134&lt;&gt;1),1,0))</f>
        <v/>
      </c>
      <c r="AF134" s="45" t="str">
        <f aca="false">IF(AND(E134&gt;0,Y134&lt;1,NOT(AND(C135=C134,Y135=Y134+1))),INDEX(DATAS,Y134+1),"")</f>
        <v/>
      </c>
      <c r="AG134" s="45" t="str">
        <f aca="false">IF(AND(AA134=1,Y134&lt;1),IF(AND(C135=C134,Y135=Y134+1),IF(AA135=1,"",INDEX(DATAS,Y134+1)),INDEX(DATAS,Y134+1)),"")</f>
        <v/>
      </c>
    </row>
    <row r="135" customFormat="false" ht="15" hidden="false" customHeight="false" outlineLevel="0" collapsed="false">
      <c r="A135" s="45" t="n">
        <v>46309</v>
      </c>
      <c r="B135" s="0" t="n">
        <v>3</v>
      </c>
      <c r="C135" s="0" t="n">
        <v>3397</v>
      </c>
      <c r="D135" s="0" t="n">
        <v>9</v>
      </c>
      <c r="E135" s="0" t="n">
        <v>4</v>
      </c>
      <c r="F135" s="39" t="s">
        <v>232</v>
      </c>
      <c r="G135" s="0" t="n">
        <v>53</v>
      </c>
      <c r="H135" s="0" t="n">
        <v>45</v>
      </c>
      <c r="I135" s="39" t="s">
        <v>118</v>
      </c>
      <c r="J135" s="0" t="n">
        <v>9</v>
      </c>
      <c r="M135" s="0" t="n">
        <v>607.48</v>
      </c>
      <c r="N135" s="0" t="n">
        <v>34.9</v>
      </c>
      <c r="O135" s="0" t="n">
        <v>29.04</v>
      </c>
      <c r="R135" s="0" t="n">
        <v>3727</v>
      </c>
      <c r="S135" s="0" t="n">
        <v>7493</v>
      </c>
      <c r="U135" s="0" t="n">
        <v>2011</v>
      </c>
      <c r="V135" s="0" t="n">
        <v>0</v>
      </c>
      <c r="W135" s="39" t="n">
        <f aca="false">IF(I135="Male",0,1)</f>
        <v>1</v>
      </c>
      <c r="X135" s="39" t="n">
        <f aca="false">IF(OR(I135="DNB",I135="Dry DNB"),1,0)</f>
        <v>0</v>
      </c>
      <c r="Y135" s="39" t="n">
        <f aca="false">MATCH(A135,DATAS,0)</f>
        <v>1</v>
      </c>
      <c r="Z135" s="39" t="n">
        <f aca="false">IF(AND(E135&gt;0,OR(AND(B135&gt;=1,B135&lt;=6),B135=10)),1,0)</f>
        <v>1</v>
      </c>
      <c r="AA135" s="39" t="n">
        <f aca="false">IF(AND(E135&gt;0,B135=10),1,0)</f>
        <v>0</v>
      </c>
      <c r="AB135" s="0" t="str">
        <f aca="false">IF(AND(C134=C135,Y134=Y135-1),Z134,"")</f>
        <v/>
      </c>
      <c r="AC135" s="0" t="str">
        <f aca="false">IF(AND(C134=C135,Y134=Y135-1),AA134,"")</f>
        <v/>
      </c>
      <c r="AD135" s="0" t="str">
        <f aca="false">IF(Y135=1,"",IF(AND(Z135=1,AB135&lt;&gt;1),1,0))</f>
        <v/>
      </c>
      <c r="AE135" s="0" t="str">
        <f aca="false">IF(Y135=1,"",IF(AND(AA135=1,AC135&lt;&gt;1),1,0))</f>
        <v/>
      </c>
      <c r="AF135" s="45" t="str">
        <f aca="false">IF(AND(E135&gt;0,Y135&lt;1,NOT(AND(C136=C135,Y136=Y135+1))),INDEX(DATAS,Y135+1),"")</f>
        <v/>
      </c>
      <c r="AG135" s="45" t="str">
        <f aca="false">IF(AND(AA135=1,Y135&lt;1),IF(AND(C136=C135,Y136=Y135+1),IF(AA136=1,"",INDEX(DATAS,Y135+1)),INDEX(DATAS,Y135+1)),"")</f>
        <v/>
      </c>
    </row>
    <row r="136" customFormat="false" ht="15" hidden="false" customHeight="false" outlineLevel="0" collapsed="false">
      <c r="A136" s="45" t="n">
        <v>46309</v>
      </c>
      <c r="B136" s="0" t="n">
        <v>7</v>
      </c>
      <c r="C136" s="0" t="n">
        <v>3401</v>
      </c>
      <c r="D136" s="0" t="n">
        <v>440</v>
      </c>
      <c r="E136" s="0" t="n">
        <v>3</v>
      </c>
      <c r="F136" s="39" t="s">
        <v>233</v>
      </c>
      <c r="I136" s="39" t="s">
        <v>114</v>
      </c>
      <c r="J136" s="0" t="n">
        <v>217</v>
      </c>
      <c r="K136" s="0" t="n">
        <v>63</v>
      </c>
      <c r="L136" s="0" t="n">
        <v>245</v>
      </c>
      <c r="M136" s="0" t="n">
        <v>805.39</v>
      </c>
      <c r="N136" s="0" t="n">
        <v>30.62</v>
      </c>
      <c r="O136" s="0" t="n">
        <v>29.61</v>
      </c>
      <c r="P136" s="0" t="n">
        <v>3.42</v>
      </c>
      <c r="Q136" s="0" t="n">
        <v>3.9</v>
      </c>
      <c r="R136" s="0" t="n">
        <v>5775</v>
      </c>
      <c r="S136" s="0" t="n">
        <v>11664</v>
      </c>
      <c r="T136" s="0" t="n">
        <v>58.55</v>
      </c>
      <c r="U136" s="0" t="n">
        <v>2009</v>
      </c>
      <c r="V136" s="0" t="n">
        <v>5</v>
      </c>
      <c r="W136" s="39" t="n">
        <f aca="false">IF(I136="Male",0,1)</f>
        <v>1</v>
      </c>
      <c r="X136" s="39" t="n">
        <f aca="false">IF(OR(I136="DNB",I136="Dry DNB"),1,0)</f>
        <v>0</v>
      </c>
      <c r="Y136" s="39" t="n">
        <f aca="false">MATCH(A136,DATAS,0)</f>
        <v>1</v>
      </c>
      <c r="Z136" s="39" t="n">
        <f aca="false">IF(AND(E136&gt;0,OR(AND(B136&gt;=1,B136&lt;=6),B136=10)),1,0)</f>
        <v>0</v>
      </c>
      <c r="AA136" s="39" t="n">
        <f aca="false">IF(AND(E136&gt;0,B136=10),1,0)</f>
        <v>0</v>
      </c>
      <c r="AB136" s="0" t="str">
        <f aca="false">IF(AND(C135=C136,Y135=Y136-1),Z135,"")</f>
        <v/>
      </c>
      <c r="AC136" s="0" t="str">
        <f aca="false">IF(AND(C135=C136,Y135=Y136-1),AA135,"")</f>
        <v/>
      </c>
      <c r="AD136" s="0" t="str">
        <f aca="false">IF(Y136=1,"",IF(AND(Z136=1,AB136&lt;&gt;1),1,0))</f>
        <v/>
      </c>
      <c r="AE136" s="0" t="str">
        <f aca="false">IF(Y136=1,"",IF(AND(AA136=1,AC136&lt;&gt;1),1,0))</f>
        <v/>
      </c>
      <c r="AF136" s="45" t="str">
        <f aca="false">IF(AND(E136&gt;0,Y136&lt;1,NOT(AND(C137=C136,Y137=Y136+1))),INDEX(DATAS,Y136+1),"")</f>
        <v/>
      </c>
      <c r="AG136" s="45" t="str">
        <f aca="false">IF(AND(AA136=1,Y136&lt;1),IF(AND(C137=C136,Y137=Y136+1),IF(AA137=1,"",INDEX(DATAS,Y136+1)),INDEX(DATAS,Y136+1)),"")</f>
        <v/>
      </c>
    </row>
    <row r="137" customFormat="false" ht="15" hidden="false" customHeight="false" outlineLevel="0" collapsed="false">
      <c r="A137" s="45" t="n">
        <v>46309</v>
      </c>
      <c r="B137" s="0" t="n">
        <v>3</v>
      </c>
      <c r="C137" s="0" t="n">
        <v>3413</v>
      </c>
      <c r="D137" s="0" t="n">
        <v>80</v>
      </c>
      <c r="E137" s="0" t="n">
        <v>4</v>
      </c>
      <c r="F137" s="39" t="s">
        <v>234</v>
      </c>
      <c r="G137" s="0" t="n">
        <v>64</v>
      </c>
      <c r="H137" s="0" t="n">
        <v>62</v>
      </c>
      <c r="I137" s="39" t="s">
        <v>138</v>
      </c>
      <c r="J137" s="0" t="n">
        <v>80</v>
      </c>
      <c r="K137" s="0" t="n">
        <v>80</v>
      </c>
      <c r="M137" s="0" t="n">
        <v>267.81</v>
      </c>
      <c r="N137" s="0" t="n">
        <v>44.5</v>
      </c>
      <c r="O137" s="0" t="n">
        <v>19.79</v>
      </c>
      <c r="P137" s="0" t="n">
        <v>4.45</v>
      </c>
      <c r="Q137" s="0" t="n">
        <v>3.37</v>
      </c>
      <c r="R137" s="0" t="n">
        <v>5244</v>
      </c>
      <c r="S137" s="0" t="n">
        <v>10541</v>
      </c>
      <c r="U137" s="0" t="n">
        <v>2001</v>
      </c>
      <c r="V137" s="0" t="n">
        <v>1</v>
      </c>
      <c r="W137" s="39" t="n">
        <f aca="false">IF(I137="Male",0,1)</f>
        <v>1</v>
      </c>
      <c r="X137" s="39" t="n">
        <f aca="false">IF(OR(I137="DNB",I137="Dry DNB"),1,0)</f>
        <v>0</v>
      </c>
      <c r="Y137" s="39" t="n">
        <f aca="false">MATCH(A137,DATAS,0)</f>
        <v>1</v>
      </c>
      <c r="Z137" s="39" t="n">
        <f aca="false">IF(AND(E137&gt;0,OR(AND(B137&gt;=1,B137&lt;=6),B137=10)),1,0)</f>
        <v>1</v>
      </c>
      <c r="AA137" s="39" t="n">
        <f aca="false">IF(AND(E137&gt;0,B137=10),1,0)</f>
        <v>0</v>
      </c>
      <c r="AB137" s="0" t="str">
        <f aca="false">IF(AND(C136=C137,Y136=Y137-1),Z136,"")</f>
        <v/>
      </c>
      <c r="AC137" s="0" t="str">
        <f aca="false">IF(AND(C136=C137,Y136=Y137-1),AA136,"")</f>
        <v/>
      </c>
      <c r="AD137" s="0" t="str">
        <f aca="false">IF(Y137=1,"",IF(AND(Z137=1,AB137&lt;&gt;1),1,0))</f>
        <v/>
      </c>
      <c r="AE137" s="0" t="str">
        <f aca="false">IF(Y137=1,"",IF(AND(AA137=1,AC137&lt;&gt;1),1,0))</f>
        <v/>
      </c>
      <c r="AF137" s="45" t="str">
        <f aca="false">IF(AND(E137&gt;0,Y137&lt;1,NOT(AND(C138=C137,Y138=Y137+1))),INDEX(DATAS,Y137+1),"")</f>
        <v/>
      </c>
      <c r="AG137" s="45" t="str">
        <f aca="false">IF(AND(AA137=1,Y137&lt;1),IF(AND(C138=C137,Y138=Y137+1),IF(AA138=1,"",INDEX(DATAS,Y137+1)),INDEX(DATAS,Y137+1)),"")</f>
        <v/>
      </c>
    </row>
    <row r="138" customFormat="false" ht="15" hidden="false" customHeight="false" outlineLevel="0" collapsed="false">
      <c r="A138" s="45" t="n">
        <v>46309</v>
      </c>
      <c r="B138" s="0" t="n">
        <v>5</v>
      </c>
      <c r="C138" s="0" t="n">
        <v>3417</v>
      </c>
      <c r="D138" s="0" t="n">
        <v>419</v>
      </c>
      <c r="E138" s="0" t="n">
        <v>4</v>
      </c>
      <c r="F138" s="39" t="s">
        <v>235</v>
      </c>
      <c r="G138" s="0" t="n">
        <v>32.8</v>
      </c>
      <c r="H138" s="0" t="n">
        <v>33</v>
      </c>
      <c r="I138" s="39" t="s">
        <v>109</v>
      </c>
      <c r="J138" s="0" t="n">
        <v>272</v>
      </c>
      <c r="K138" s="0" t="n">
        <v>69</v>
      </c>
      <c r="L138" s="0" t="n">
        <v>147</v>
      </c>
      <c r="M138" s="0" t="n">
        <v>616.74</v>
      </c>
      <c r="N138" s="0" t="n">
        <v>26.68</v>
      </c>
      <c r="O138" s="0" t="n">
        <v>18.04</v>
      </c>
      <c r="P138" s="0" t="n">
        <v>4.59</v>
      </c>
      <c r="Q138" s="0" t="n">
        <v>3.81</v>
      </c>
      <c r="R138" s="0" t="n">
        <v>4178</v>
      </c>
      <c r="S138" s="0" t="n">
        <v>8981</v>
      </c>
      <c r="T138" s="0" t="n">
        <v>48.6</v>
      </c>
      <c r="U138" s="0" t="n">
        <v>1998</v>
      </c>
      <c r="V138" s="0" t="n">
        <v>4</v>
      </c>
      <c r="W138" s="39" t="n">
        <f aca="false">IF(I138="Male",0,1)</f>
        <v>1</v>
      </c>
      <c r="X138" s="39" t="n">
        <f aca="false">IF(OR(I138="DNB",I138="Dry DNB"),1,0)</f>
        <v>0</v>
      </c>
      <c r="Y138" s="39" t="n">
        <f aca="false">MATCH(A138,DATAS,0)</f>
        <v>1</v>
      </c>
      <c r="Z138" s="39" t="n">
        <f aca="false">IF(AND(E138&gt;0,OR(AND(B138&gt;=1,B138&lt;=6),B138=10)),1,0)</f>
        <v>1</v>
      </c>
      <c r="AA138" s="39" t="n">
        <f aca="false">IF(AND(E138&gt;0,B138=10),1,0)</f>
        <v>0</v>
      </c>
      <c r="AB138" s="0" t="str">
        <f aca="false">IF(AND(C137=C138,Y137=Y138-1),Z137,"")</f>
        <v/>
      </c>
      <c r="AC138" s="0" t="str">
        <f aca="false">IF(AND(C137=C138,Y137=Y138-1),AA137,"")</f>
        <v/>
      </c>
      <c r="AD138" s="0" t="str">
        <f aca="false">IF(Y138=1,"",IF(AND(Z138=1,AB138&lt;&gt;1),1,0))</f>
        <v/>
      </c>
      <c r="AE138" s="0" t="str">
        <f aca="false">IF(Y138=1,"",IF(AND(AA138=1,AC138&lt;&gt;1),1,0))</f>
        <v/>
      </c>
      <c r="AF138" s="45" t="str">
        <f aca="false">IF(AND(E138&gt;0,Y138&lt;1,NOT(AND(C139=C138,Y139=Y138+1))),INDEX(DATAS,Y138+1),"")</f>
        <v/>
      </c>
      <c r="AG138" s="45" t="str">
        <f aca="false">IF(AND(AA138=1,Y138&lt;1),IF(AND(C139=C138,Y139=Y138+1),IF(AA139=1,"",INDEX(DATAS,Y138+1)),INDEX(DATAS,Y138+1)),"")</f>
        <v/>
      </c>
    </row>
    <row r="139" customFormat="false" ht="15" hidden="false" customHeight="false" outlineLevel="0" collapsed="false">
      <c r="A139" s="45" t="n">
        <v>46309</v>
      </c>
      <c r="B139" s="0" t="n">
        <v>5</v>
      </c>
      <c r="C139" s="0" t="n">
        <v>3421</v>
      </c>
      <c r="D139" s="0" t="n">
        <v>219</v>
      </c>
      <c r="E139" s="0" t="n">
        <v>4</v>
      </c>
      <c r="F139" s="39" t="s">
        <v>236</v>
      </c>
      <c r="G139" s="0" t="n">
        <v>38.3</v>
      </c>
      <c r="H139" s="0" t="n">
        <v>36</v>
      </c>
      <c r="I139" s="39" t="s">
        <v>109</v>
      </c>
      <c r="J139" s="0" t="n">
        <v>163</v>
      </c>
      <c r="K139" s="0" t="n">
        <v>65</v>
      </c>
      <c r="L139" s="0" t="n">
        <v>56</v>
      </c>
      <c r="M139" s="0" t="n">
        <v>350.78</v>
      </c>
      <c r="N139" s="0" t="n">
        <v>15.42</v>
      </c>
      <c r="O139" s="0" t="n">
        <v>23.27</v>
      </c>
      <c r="P139" s="0" t="n">
        <v>4.21</v>
      </c>
      <c r="Q139" s="0" t="n">
        <v>3.58</v>
      </c>
      <c r="R139" s="0" t="n">
        <v>4634</v>
      </c>
      <c r="S139" s="0" t="n">
        <v>9310</v>
      </c>
      <c r="T139" s="0" t="n">
        <v>49.1</v>
      </c>
      <c r="U139" s="0" t="n">
        <v>1997</v>
      </c>
      <c r="V139" s="0" t="n">
        <v>3</v>
      </c>
      <c r="W139" s="39" t="n">
        <f aca="false">IF(I139="Male",0,1)</f>
        <v>1</v>
      </c>
      <c r="X139" s="39" t="n">
        <f aca="false">IF(OR(I139="DNB",I139="Dry DNB"),1,0)</f>
        <v>0</v>
      </c>
      <c r="Y139" s="39" t="n">
        <f aca="false">MATCH(A139,DATAS,0)</f>
        <v>1</v>
      </c>
      <c r="Z139" s="39" t="n">
        <f aca="false">IF(AND(E139&gt;0,OR(AND(B139&gt;=1,B139&lt;=6),B139=10)),1,0)</f>
        <v>1</v>
      </c>
      <c r="AA139" s="39" t="n">
        <f aca="false">IF(AND(E139&gt;0,B139=10),1,0)</f>
        <v>0</v>
      </c>
      <c r="AB139" s="0" t="str">
        <f aca="false">IF(AND(C138=C139,Y138=Y139-1),Z138,"")</f>
        <v/>
      </c>
      <c r="AC139" s="0" t="str">
        <f aca="false">IF(AND(C138=C139,Y138=Y139-1),AA138,"")</f>
        <v/>
      </c>
      <c r="AD139" s="0" t="str">
        <f aca="false">IF(Y139=1,"",IF(AND(Z139=1,AB139&lt;&gt;1),1,0))</f>
        <v/>
      </c>
      <c r="AE139" s="0" t="str">
        <f aca="false">IF(Y139=1,"",IF(AND(AA139=1,AC139&lt;&gt;1),1,0))</f>
        <v/>
      </c>
      <c r="AF139" s="45" t="str">
        <f aca="false">IF(AND(E139&gt;0,Y139&lt;1,NOT(AND(C140=C139,Y140=Y139+1))),INDEX(DATAS,Y139+1),"")</f>
        <v/>
      </c>
      <c r="AG139" s="45" t="str">
        <f aca="false">IF(AND(AA139=1,Y139&lt;1),IF(AND(C140=C139,Y140=Y139+1),IF(AA140=1,"",INDEX(DATAS,Y139+1)),INDEX(DATAS,Y139+1)),"")</f>
        <v/>
      </c>
    </row>
    <row r="140" customFormat="false" ht="15" hidden="false" customHeight="false" outlineLevel="0" collapsed="false">
      <c r="A140" s="45" t="n">
        <v>46309</v>
      </c>
      <c r="B140" s="0" t="n">
        <v>3</v>
      </c>
      <c r="C140" s="0" t="n">
        <v>3422</v>
      </c>
      <c r="D140" s="0" t="n">
        <v>22</v>
      </c>
      <c r="E140" s="0" t="n">
        <v>4</v>
      </c>
      <c r="F140" s="39" t="s">
        <v>236</v>
      </c>
      <c r="G140" s="0" t="n">
        <v>61.3</v>
      </c>
      <c r="H140" s="0" t="n">
        <v>57</v>
      </c>
      <c r="I140" s="39" t="s">
        <v>118</v>
      </c>
      <c r="J140" s="0" t="n">
        <v>22</v>
      </c>
      <c r="M140" s="0" t="n">
        <v>291.97</v>
      </c>
      <c r="N140" s="0" t="n">
        <v>32.68</v>
      </c>
      <c r="O140" s="0" t="n">
        <v>13.41</v>
      </c>
      <c r="R140" s="0" t="n">
        <v>4104</v>
      </c>
      <c r="S140" s="0" t="n">
        <v>8250</v>
      </c>
      <c r="U140" s="0" t="n">
        <v>1997</v>
      </c>
      <c r="V140" s="0" t="n">
        <v>0</v>
      </c>
      <c r="W140" s="39" t="n">
        <f aca="false">IF(I140="Male",0,1)</f>
        <v>1</v>
      </c>
      <c r="X140" s="39" t="n">
        <f aca="false">IF(OR(I140="DNB",I140="Dry DNB"),1,0)</f>
        <v>0</v>
      </c>
      <c r="Y140" s="39" t="n">
        <f aca="false">MATCH(A140,DATAS,0)</f>
        <v>1</v>
      </c>
      <c r="Z140" s="39" t="n">
        <f aca="false">IF(AND(E140&gt;0,OR(AND(B140&gt;=1,B140&lt;=6),B140=10)),1,0)</f>
        <v>1</v>
      </c>
      <c r="AA140" s="39" t="n">
        <f aca="false">IF(AND(E140&gt;0,B140=10),1,0)</f>
        <v>0</v>
      </c>
      <c r="AB140" s="0" t="str">
        <f aca="false">IF(AND(C139=C140,Y139=Y140-1),Z139,"")</f>
        <v/>
      </c>
      <c r="AC140" s="0" t="str">
        <f aca="false">IF(AND(C139=C140,Y139=Y140-1),AA139,"")</f>
        <v/>
      </c>
      <c r="AD140" s="0" t="str">
        <f aca="false">IF(Y140=1,"",IF(AND(Z140=1,AB140&lt;&gt;1),1,0))</f>
        <v/>
      </c>
      <c r="AE140" s="0" t="str">
        <f aca="false">IF(Y140=1,"",IF(AND(AA140=1,AC140&lt;&gt;1),1,0))</f>
        <v/>
      </c>
      <c r="AF140" s="45" t="str">
        <f aca="false">IF(AND(E140&gt;0,Y140&lt;1,NOT(AND(C141=C140,Y141=Y140+1))),INDEX(DATAS,Y140+1),"")</f>
        <v/>
      </c>
      <c r="AG140" s="45" t="str">
        <f aca="false">IF(AND(AA140=1,Y140&lt;1),IF(AND(C141=C140,Y141=Y140+1),IF(AA141=1,"",INDEX(DATAS,Y140+1)),INDEX(DATAS,Y140+1)),"")</f>
        <v/>
      </c>
    </row>
    <row r="141" customFormat="false" ht="15" hidden="false" customHeight="false" outlineLevel="0" collapsed="false">
      <c r="A141" s="45" t="n">
        <v>46309</v>
      </c>
      <c r="B141" s="0" t="n">
        <v>6</v>
      </c>
      <c r="C141" s="0" t="n">
        <v>3424</v>
      </c>
      <c r="D141" s="0" t="n">
        <v>85</v>
      </c>
      <c r="E141" s="0" t="n">
        <v>4</v>
      </c>
      <c r="F141" s="39" t="s">
        <v>237</v>
      </c>
      <c r="G141" s="0" t="n">
        <v>28.3</v>
      </c>
      <c r="H141" s="0" t="n">
        <v>28</v>
      </c>
      <c r="I141" s="39" t="s">
        <v>138</v>
      </c>
      <c r="J141" s="0" t="n">
        <v>85</v>
      </c>
      <c r="K141" s="0" t="n">
        <v>64</v>
      </c>
      <c r="P141" s="0" t="n">
        <v>4.54</v>
      </c>
      <c r="Q141" s="0" t="n">
        <v>4.02</v>
      </c>
      <c r="R141" s="0" t="n">
        <v>2767</v>
      </c>
      <c r="S141" s="0" t="n">
        <v>5563</v>
      </c>
      <c r="U141" s="0" t="n">
        <v>1995</v>
      </c>
      <c r="V141" s="0" t="n">
        <v>1</v>
      </c>
      <c r="W141" s="39" t="n">
        <f aca="false">IF(I141="Male",0,1)</f>
        <v>1</v>
      </c>
      <c r="X141" s="39" t="n">
        <f aca="false">IF(OR(I141="DNB",I141="Dry DNB"),1,0)</f>
        <v>0</v>
      </c>
      <c r="Y141" s="39" t="n">
        <f aca="false">MATCH(A141,DATAS,0)</f>
        <v>1</v>
      </c>
      <c r="Z141" s="39" t="n">
        <f aca="false">IF(AND(E141&gt;0,OR(AND(B141&gt;=1,B141&lt;=6),B141=10)),1,0)</f>
        <v>1</v>
      </c>
      <c r="AA141" s="39" t="n">
        <f aca="false">IF(AND(E141&gt;0,B141=10),1,0)</f>
        <v>0</v>
      </c>
      <c r="AB141" s="0" t="str">
        <f aca="false">IF(AND(C140=C141,Y140=Y141-1),Z140,"")</f>
        <v/>
      </c>
      <c r="AC141" s="0" t="str">
        <f aca="false">IF(AND(C140=C141,Y140=Y141-1),AA140,"")</f>
        <v/>
      </c>
      <c r="AD141" s="0" t="str">
        <f aca="false">IF(Y141=1,"",IF(AND(Z141=1,AB141&lt;&gt;1),1,0))</f>
        <v/>
      </c>
      <c r="AE141" s="0" t="str">
        <f aca="false">IF(Y141=1,"",IF(AND(AA141=1,AC141&lt;&gt;1),1,0))</f>
        <v/>
      </c>
      <c r="AF141" s="45" t="str">
        <f aca="false">IF(AND(E141&gt;0,Y141&lt;1,NOT(AND(C142=C141,Y142=Y141+1))),INDEX(DATAS,Y141+1),"")</f>
        <v/>
      </c>
      <c r="AG141" s="45" t="str">
        <f aca="false">IF(AND(AA141=1,Y141&lt;1),IF(AND(C142=C141,Y142=Y141+1),IF(AA142=1,"",INDEX(DATAS,Y141+1)),INDEX(DATAS,Y141+1)),"")</f>
        <v/>
      </c>
    </row>
    <row r="142" customFormat="false" ht="15" hidden="false" customHeight="false" outlineLevel="0" collapsed="false">
      <c r="A142" s="45" t="n">
        <v>46309</v>
      </c>
      <c r="B142" s="0" t="n">
        <v>5</v>
      </c>
      <c r="C142" s="0" t="n">
        <v>3427</v>
      </c>
      <c r="D142" s="0" t="n">
        <v>329</v>
      </c>
      <c r="E142" s="0" t="n">
        <v>4</v>
      </c>
      <c r="F142" s="39" t="s">
        <v>238</v>
      </c>
      <c r="G142" s="0" t="n">
        <v>33</v>
      </c>
      <c r="H142" s="0" t="n">
        <v>31</v>
      </c>
      <c r="I142" s="39" t="s">
        <v>109</v>
      </c>
      <c r="J142" s="0" t="n">
        <v>252</v>
      </c>
      <c r="K142" s="0" t="n">
        <v>70</v>
      </c>
      <c r="L142" s="0" t="n">
        <v>77</v>
      </c>
      <c r="M142" s="0" t="n">
        <v>133.17</v>
      </c>
      <c r="N142" s="0" t="n">
        <v>11.32</v>
      </c>
      <c r="O142" s="0" t="n">
        <v>10.14</v>
      </c>
      <c r="P142" s="0" t="n">
        <v>3.52</v>
      </c>
      <c r="Q142" s="0" t="n">
        <v>3.96</v>
      </c>
      <c r="R142" s="0" t="n">
        <v>5491</v>
      </c>
      <c r="S142" s="0" t="n">
        <v>10309</v>
      </c>
      <c r="T142" s="0" t="n">
        <v>52.75</v>
      </c>
      <c r="U142" s="0" t="n">
        <v>1993</v>
      </c>
      <c r="V142" s="0" t="n">
        <v>6</v>
      </c>
      <c r="W142" s="39" t="n">
        <f aca="false">IF(I142="Male",0,1)</f>
        <v>1</v>
      </c>
      <c r="X142" s="39" t="n">
        <f aca="false">IF(OR(I142="DNB",I142="Dry DNB"),1,0)</f>
        <v>0</v>
      </c>
      <c r="Y142" s="39" t="n">
        <f aca="false">MATCH(A142,DATAS,0)</f>
        <v>1</v>
      </c>
      <c r="Z142" s="39" t="n">
        <f aca="false">IF(AND(E142&gt;0,OR(AND(B142&gt;=1,B142&lt;=6),B142=10)),1,0)</f>
        <v>1</v>
      </c>
      <c r="AA142" s="39" t="n">
        <f aca="false">IF(AND(E142&gt;0,B142=10),1,0)</f>
        <v>0</v>
      </c>
      <c r="AB142" s="0" t="str">
        <f aca="false">IF(AND(C141=C142,Y141=Y142-1),Z141,"")</f>
        <v/>
      </c>
      <c r="AC142" s="0" t="str">
        <f aca="false">IF(AND(C141=C142,Y141=Y142-1),AA141,"")</f>
        <v/>
      </c>
      <c r="AD142" s="0" t="str">
        <f aca="false">IF(Y142=1,"",IF(AND(Z142=1,AB142&lt;&gt;1),1,0))</f>
        <v/>
      </c>
      <c r="AE142" s="0" t="str">
        <f aca="false">IF(Y142=1,"",IF(AND(AA142=1,AC142&lt;&gt;1),1,0))</f>
        <v/>
      </c>
      <c r="AF142" s="45" t="str">
        <f aca="false">IF(AND(E142&gt;0,Y142&lt;1,NOT(AND(C143=C142,Y143=Y142+1))),INDEX(DATAS,Y142+1),"")</f>
        <v/>
      </c>
      <c r="AG142" s="45" t="str">
        <f aca="false">IF(AND(AA142=1,Y142&lt;1),IF(AND(C143=C142,Y143=Y142+1),IF(AA143=1,"",INDEX(DATAS,Y142+1)),INDEX(DATAS,Y142+1)),"")</f>
        <v/>
      </c>
    </row>
    <row r="143" customFormat="false" ht="15" hidden="false" customHeight="false" outlineLevel="0" collapsed="false">
      <c r="A143" s="45" t="n">
        <v>46309</v>
      </c>
      <c r="B143" s="0" t="n">
        <v>7</v>
      </c>
      <c r="C143" s="0" t="n">
        <v>3428</v>
      </c>
      <c r="D143" s="0" t="n">
        <v>341</v>
      </c>
      <c r="E143" s="0" t="n">
        <v>3</v>
      </c>
      <c r="F143" s="39" t="s">
        <v>239</v>
      </c>
      <c r="I143" s="39" t="s">
        <v>114</v>
      </c>
      <c r="J143" s="0" t="n">
        <v>125</v>
      </c>
      <c r="K143" s="0" t="n">
        <v>70</v>
      </c>
      <c r="L143" s="0" t="n">
        <v>231</v>
      </c>
      <c r="M143" s="0" t="n">
        <v>94.04</v>
      </c>
      <c r="N143" s="0" t="n">
        <v>27.03</v>
      </c>
      <c r="O143" s="0" t="n">
        <v>21.76</v>
      </c>
      <c r="P143" s="0" t="n">
        <v>4.05</v>
      </c>
      <c r="Q143" s="0" t="n">
        <v>3.87</v>
      </c>
      <c r="R143" s="0" t="n">
        <v>5183</v>
      </c>
      <c r="S143" s="0" t="n">
        <v>9141</v>
      </c>
      <c r="T143" s="0" t="n">
        <v>55.65</v>
      </c>
      <c r="U143" s="0" t="n">
        <v>1992</v>
      </c>
      <c r="V143" s="0" t="n">
        <v>3</v>
      </c>
      <c r="W143" s="39" t="n">
        <f aca="false">IF(I143="Male",0,1)</f>
        <v>1</v>
      </c>
      <c r="X143" s="39" t="n">
        <f aca="false">IF(OR(I143="DNB",I143="Dry DNB"),1,0)</f>
        <v>0</v>
      </c>
      <c r="Y143" s="39" t="n">
        <f aca="false">MATCH(A143,DATAS,0)</f>
        <v>1</v>
      </c>
      <c r="Z143" s="39" t="n">
        <f aca="false">IF(AND(E143&gt;0,OR(AND(B143&gt;=1,B143&lt;=6),B143=10)),1,0)</f>
        <v>0</v>
      </c>
      <c r="AA143" s="39" t="n">
        <f aca="false">IF(AND(E143&gt;0,B143=10),1,0)</f>
        <v>0</v>
      </c>
      <c r="AB143" s="0" t="str">
        <f aca="false">IF(AND(C142=C143,Y142=Y143-1),Z142,"")</f>
        <v/>
      </c>
      <c r="AC143" s="0" t="str">
        <f aca="false">IF(AND(C142=C143,Y142=Y143-1),AA142,"")</f>
        <v/>
      </c>
      <c r="AD143" s="0" t="str">
        <f aca="false">IF(Y143=1,"",IF(AND(Z143=1,AB143&lt;&gt;1),1,0))</f>
        <v/>
      </c>
      <c r="AE143" s="0" t="str">
        <f aca="false">IF(Y143=1,"",IF(AND(AA143=1,AC143&lt;&gt;1),1,0))</f>
        <v/>
      </c>
      <c r="AF143" s="45" t="str">
        <f aca="false">IF(AND(E143&gt;0,Y143&lt;1,NOT(AND(C144=C143,Y144=Y143+1))),INDEX(DATAS,Y143+1),"")</f>
        <v/>
      </c>
      <c r="AG143" s="45" t="str">
        <f aca="false">IF(AND(AA143=1,Y143&lt;1),IF(AND(C144=C143,Y144=Y143+1),IF(AA144=1,"",INDEX(DATAS,Y143+1)),INDEX(DATAS,Y143+1)),"")</f>
        <v/>
      </c>
    </row>
    <row r="144" customFormat="false" ht="15" hidden="false" customHeight="false" outlineLevel="0" collapsed="false">
      <c r="A144" s="45" t="n">
        <v>46309</v>
      </c>
      <c r="B144" s="0" t="n">
        <v>6</v>
      </c>
      <c r="C144" s="0" t="n">
        <v>3432</v>
      </c>
      <c r="D144" s="0" t="n">
        <v>549</v>
      </c>
      <c r="E144" s="0" t="n">
        <v>2</v>
      </c>
      <c r="F144" s="39" t="s">
        <v>240</v>
      </c>
      <c r="G144" s="0" t="n">
        <v>16.7</v>
      </c>
      <c r="H144" s="0" t="n">
        <v>16</v>
      </c>
      <c r="I144" s="39" t="s">
        <v>96</v>
      </c>
      <c r="J144" s="0" t="n">
        <v>549</v>
      </c>
      <c r="K144" s="0" t="n">
        <v>60</v>
      </c>
      <c r="M144" s="0" t="n">
        <v>893.99</v>
      </c>
      <c r="N144" s="0" t="n">
        <v>19.84</v>
      </c>
      <c r="O144" s="0" t="n">
        <v>21.46</v>
      </c>
      <c r="P144" s="0" t="n">
        <v>2.84</v>
      </c>
      <c r="Q144" s="0" t="n">
        <v>3.53</v>
      </c>
      <c r="R144" s="0" t="n">
        <v>4892</v>
      </c>
      <c r="S144" s="0" t="n">
        <v>10371</v>
      </c>
      <c r="T144" s="0" t="n">
        <v>56.15</v>
      </c>
      <c r="U144" s="0" t="n">
        <v>1991</v>
      </c>
      <c r="V144" s="0" t="n">
        <v>3</v>
      </c>
      <c r="W144" s="39" t="n">
        <f aca="false">IF(I144="Male",0,1)</f>
        <v>1</v>
      </c>
      <c r="X144" s="39" t="n">
        <f aca="false">IF(OR(I144="DNB",I144="Dry DNB"),1,0)</f>
        <v>1</v>
      </c>
      <c r="Y144" s="39" t="n">
        <f aca="false">MATCH(A144,DATAS,0)</f>
        <v>1</v>
      </c>
      <c r="Z144" s="39" t="n">
        <f aca="false">IF(AND(E144&gt;0,OR(AND(B144&gt;=1,B144&lt;=6),B144=10)),1,0)</f>
        <v>1</v>
      </c>
      <c r="AA144" s="39" t="n">
        <f aca="false">IF(AND(E144&gt;0,B144=10),1,0)</f>
        <v>0</v>
      </c>
      <c r="AB144" s="0" t="str">
        <f aca="false">IF(AND(C143=C144,Y143=Y144-1),Z143,"")</f>
        <v/>
      </c>
      <c r="AC144" s="0" t="str">
        <f aca="false">IF(AND(C143=C144,Y143=Y144-1),AA143,"")</f>
        <v/>
      </c>
      <c r="AD144" s="0" t="str">
        <f aca="false">IF(Y144=1,"",IF(AND(Z144=1,AB144&lt;&gt;1),1,0))</f>
        <v/>
      </c>
      <c r="AE144" s="0" t="str">
        <f aca="false">IF(Y144=1,"",IF(AND(AA144=1,AC144&lt;&gt;1),1,0))</f>
        <v/>
      </c>
      <c r="AF144" s="45" t="str">
        <f aca="false">IF(AND(E144&gt;0,Y144&lt;1,NOT(AND(C145=C144,Y145=Y144+1))),INDEX(DATAS,Y144+1),"")</f>
        <v/>
      </c>
      <c r="AG144" s="45" t="str">
        <f aca="false">IF(AND(AA144=1,Y144&lt;1),IF(AND(C145=C144,Y145=Y144+1),IF(AA145=1,"",INDEX(DATAS,Y144+1)),INDEX(DATAS,Y144+1)),"")</f>
        <v/>
      </c>
    </row>
    <row r="145" customFormat="false" ht="15" hidden="false" customHeight="false" outlineLevel="0" collapsed="false">
      <c r="A145" s="45" t="n">
        <v>46309</v>
      </c>
      <c r="B145" s="0" t="n">
        <v>5</v>
      </c>
      <c r="C145" s="0" t="n">
        <v>3437</v>
      </c>
      <c r="D145" s="0" t="n">
        <v>390</v>
      </c>
      <c r="E145" s="0" t="n">
        <v>3</v>
      </c>
      <c r="F145" s="39" t="s">
        <v>241</v>
      </c>
      <c r="G145" s="0" t="n">
        <v>44.5</v>
      </c>
      <c r="H145" s="0" t="n">
        <v>41</v>
      </c>
      <c r="I145" s="39" t="s">
        <v>109</v>
      </c>
      <c r="J145" s="0" t="n">
        <v>341</v>
      </c>
      <c r="K145" s="0" t="n">
        <v>68</v>
      </c>
      <c r="L145" s="0" t="n">
        <v>49</v>
      </c>
      <c r="M145" s="0" t="n">
        <v>473.48</v>
      </c>
      <c r="N145" s="0" t="n">
        <v>35.86</v>
      </c>
      <c r="O145" s="0" t="n">
        <v>25.35</v>
      </c>
      <c r="P145" s="0" t="n">
        <v>4.62</v>
      </c>
      <c r="Q145" s="0" t="n">
        <v>4.16</v>
      </c>
      <c r="R145" s="0" t="n">
        <v>4946</v>
      </c>
      <c r="S145" s="0" t="n">
        <v>9789</v>
      </c>
      <c r="T145" s="0" t="n">
        <v>56</v>
      </c>
      <c r="U145" s="0" t="n">
        <v>1983</v>
      </c>
      <c r="V145" s="0" t="n">
        <v>7</v>
      </c>
      <c r="W145" s="39" t="n">
        <f aca="false">IF(I145="Male",0,1)</f>
        <v>1</v>
      </c>
      <c r="X145" s="39" t="n">
        <f aca="false">IF(OR(I145="DNB",I145="Dry DNB"),1,0)</f>
        <v>0</v>
      </c>
      <c r="Y145" s="39" t="n">
        <f aca="false">MATCH(A145,DATAS,0)</f>
        <v>1</v>
      </c>
      <c r="Z145" s="39" t="n">
        <f aca="false">IF(AND(E145&gt;0,OR(AND(B145&gt;=1,B145&lt;=6),B145=10)),1,0)</f>
        <v>1</v>
      </c>
      <c r="AA145" s="39" t="n">
        <f aca="false">IF(AND(E145&gt;0,B145=10),1,0)</f>
        <v>0</v>
      </c>
      <c r="AB145" s="0" t="str">
        <f aca="false">IF(AND(C144=C145,Y144=Y145-1),Z144,"")</f>
        <v/>
      </c>
      <c r="AC145" s="0" t="str">
        <f aca="false">IF(AND(C144=C145,Y144=Y145-1),AA144,"")</f>
        <v/>
      </c>
      <c r="AD145" s="0" t="str">
        <f aca="false">IF(Y145=1,"",IF(AND(Z145=1,AB145&lt;&gt;1),1,0))</f>
        <v/>
      </c>
      <c r="AE145" s="0" t="str">
        <f aca="false">IF(Y145=1,"",IF(AND(AA145=1,AC145&lt;&gt;1),1,0))</f>
        <v/>
      </c>
      <c r="AF145" s="45" t="str">
        <f aca="false">IF(AND(E145&gt;0,Y145&lt;1,NOT(AND(C146=C145,Y146=Y145+1))),INDEX(DATAS,Y145+1),"")</f>
        <v/>
      </c>
      <c r="AG145" s="45" t="str">
        <f aca="false">IF(AND(AA145=1,Y145&lt;1),IF(AND(C146=C145,Y146=Y145+1),IF(AA146=1,"",INDEX(DATAS,Y145+1)),INDEX(DATAS,Y145+1)),"")</f>
        <v/>
      </c>
    </row>
    <row r="146" customFormat="false" ht="15" hidden="false" customHeight="false" outlineLevel="0" collapsed="false">
      <c r="A146" s="45" t="n">
        <v>46309</v>
      </c>
      <c r="B146" s="0" t="n">
        <v>2</v>
      </c>
      <c r="C146" s="0" t="n">
        <v>3439</v>
      </c>
      <c r="D146" s="0" t="n">
        <v>104</v>
      </c>
      <c r="E146" s="0" t="n">
        <v>4</v>
      </c>
      <c r="F146" s="39" t="s">
        <v>242</v>
      </c>
      <c r="G146" s="0" t="n">
        <v>48.2</v>
      </c>
      <c r="H146" s="0" t="n">
        <v>49</v>
      </c>
      <c r="I146" s="39" t="s">
        <v>138</v>
      </c>
      <c r="J146" s="0" t="n">
        <v>104</v>
      </c>
      <c r="K146" s="0" t="n">
        <v>83</v>
      </c>
      <c r="M146" s="0" t="n">
        <v>882.59</v>
      </c>
      <c r="N146" s="0" t="n">
        <v>44.37</v>
      </c>
      <c r="O146" s="0" t="n">
        <v>34.72</v>
      </c>
      <c r="P146" s="0" t="n">
        <v>3.9</v>
      </c>
      <c r="Q146" s="0" t="n">
        <v>3.09</v>
      </c>
      <c r="R146" s="0" t="n">
        <v>4103</v>
      </c>
      <c r="S146" s="0" t="n">
        <v>8314</v>
      </c>
      <c r="T146" s="0" t="n">
        <v>47.55</v>
      </c>
      <c r="U146" s="0" t="n">
        <v>1981</v>
      </c>
      <c r="V146" s="0" t="n">
        <v>1</v>
      </c>
      <c r="W146" s="39" t="n">
        <f aca="false">IF(I146="Male",0,1)</f>
        <v>1</v>
      </c>
      <c r="X146" s="39" t="n">
        <f aca="false">IF(OR(I146="DNB",I146="Dry DNB"),1,0)</f>
        <v>0</v>
      </c>
      <c r="Y146" s="39" t="n">
        <f aca="false">MATCH(A146,DATAS,0)</f>
        <v>1</v>
      </c>
      <c r="Z146" s="39" t="n">
        <f aca="false">IF(AND(E146&gt;0,OR(AND(B146&gt;=1,B146&lt;=6),B146=10)),1,0)</f>
        <v>1</v>
      </c>
      <c r="AA146" s="39" t="n">
        <f aca="false">IF(AND(E146&gt;0,B146=10),1,0)</f>
        <v>0</v>
      </c>
      <c r="AB146" s="0" t="str">
        <f aca="false">IF(AND(C145=C146,Y145=Y146-1),Z145,"")</f>
        <v/>
      </c>
      <c r="AC146" s="0" t="str">
        <f aca="false">IF(AND(C145=C146,Y145=Y146-1),AA145,"")</f>
        <v/>
      </c>
      <c r="AD146" s="0" t="str">
        <f aca="false">IF(Y146=1,"",IF(AND(Z146=1,AB146&lt;&gt;1),1,0))</f>
        <v/>
      </c>
      <c r="AE146" s="0" t="str">
        <f aca="false">IF(Y146=1,"",IF(AND(AA146=1,AC146&lt;&gt;1),1,0))</f>
        <v/>
      </c>
      <c r="AF146" s="45" t="str">
        <f aca="false">IF(AND(E146&gt;0,Y146&lt;1,NOT(AND(C147=C146,Y147=Y146+1))),INDEX(DATAS,Y146+1),"")</f>
        <v/>
      </c>
      <c r="AG146" s="45" t="str">
        <f aca="false">IF(AND(AA146=1,Y146&lt;1),IF(AND(C147=C146,Y147=Y146+1),IF(AA147=1,"",INDEX(DATAS,Y146+1)),INDEX(DATAS,Y146+1)),"")</f>
        <v/>
      </c>
    </row>
    <row r="147" customFormat="false" ht="15" hidden="false" customHeight="false" outlineLevel="0" collapsed="false">
      <c r="A147" s="45" t="n">
        <v>46309</v>
      </c>
      <c r="B147" s="0" t="n">
        <v>3</v>
      </c>
      <c r="C147" s="0" t="n">
        <v>3443</v>
      </c>
      <c r="D147" s="0" t="n">
        <v>13</v>
      </c>
      <c r="E147" s="0" t="n">
        <v>4</v>
      </c>
      <c r="F147" s="39" t="s">
        <v>243</v>
      </c>
      <c r="G147" s="0" t="n">
        <v>34.6</v>
      </c>
      <c r="H147" s="0" t="n">
        <v>24</v>
      </c>
      <c r="I147" s="39" t="s">
        <v>118</v>
      </c>
      <c r="J147" s="0" t="n">
        <v>13</v>
      </c>
      <c r="M147" s="0" t="n">
        <v>-4.46</v>
      </c>
      <c r="N147" s="0" t="n">
        <v>25.54</v>
      </c>
      <c r="O147" s="0" t="n">
        <v>8.45</v>
      </c>
      <c r="R147" s="0" t="n">
        <v>2923</v>
      </c>
      <c r="S147" s="0" t="n">
        <v>5875</v>
      </c>
      <c r="U147" s="0" t="n">
        <v>1977</v>
      </c>
      <c r="V147" s="0" t="n">
        <v>0</v>
      </c>
      <c r="W147" s="39" t="n">
        <f aca="false">IF(I147="Male",0,1)</f>
        <v>1</v>
      </c>
      <c r="X147" s="39" t="n">
        <f aca="false">IF(OR(I147="DNB",I147="Dry DNB"),1,0)</f>
        <v>0</v>
      </c>
      <c r="Y147" s="39" t="n">
        <f aca="false">MATCH(A147,DATAS,0)</f>
        <v>1</v>
      </c>
      <c r="Z147" s="39" t="n">
        <f aca="false">IF(AND(E147&gt;0,OR(AND(B147&gt;=1,B147&lt;=6),B147=10)),1,0)</f>
        <v>1</v>
      </c>
      <c r="AA147" s="39" t="n">
        <f aca="false">IF(AND(E147&gt;0,B147=10),1,0)</f>
        <v>0</v>
      </c>
      <c r="AB147" s="0" t="str">
        <f aca="false">IF(AND(C146=C147,Y146=Y147-1),Z146,"")</f>
        <v/>
      </c>
      <c r="AC147" s="0" t="str">
        <f aca="false">IF(AND(C146=C147,Y146=Y147-1),AA146,"")</f>
        <v/>
      </c>
      <c r="AD147" s="0" t="str">
        <f aca="false">IF(Y147=1,"",IF(AND(Z147=1,AB147&lt;&gt;1),1,0))</f>
        <v/>
      </c>
      <c r="AE147" s="0" t="str">
        <f aca="false">IF(Y147=1,"",IF(AND(AA147=1,AC147&lt;&gt;1),1,0))</f>
        <v/>
      </c>
      <c r="AF147" s="45" t="str">
        <f aca="false">IF(AND(E147&gt;0,Y147&lt;1,NOT(AND(C148=C147,Y148=Y147+1))),INDEX(DATAS,Y147+1),"")</f>
        <v/>
      </c>
      <c r="AG147" s="45" t="str">
        <f aca="false">IF(AND(AA147=1,Y147&lt;1),IF(AND(C148=C147,Y148=Y147+1),IF(AA148=1,"",INDEX(DATAS,Y147+1)),INDEX(DATAS,Y147+1)),"")</f>
        <v/>
      </c>
    </row>
    <row r="148" customFormat="false" ht="15" hidden="false" customHeight="false" outlineLevel="0" collapsed="false">
      <c r="A148" s="45" t="n">
        <v>46309</v>
      </c>
      <c r="B148" s="0" t="n">
        <v>6</v>
      </c>
      <c r="C148" s="0" t="n">
        <v>3445</v>
      </c>
      <c r="D148" s="0" t="n">
        <v>106</v>
      </c>
      <c r="E148" s="0" t="n">
        <v>4</v>
      </c>
      <c r="F148" s="39" t="s">
        <v>244</v>
      </c>
      <c r="H148" s="0" t="n">
        <v>14</v>
      </c>
      <c r="I148" s="39" t="s">
        <v>146</v>
      </c>
      <c r="J148" s="0" t="n">
        <v>106</v>
      </c>
      <c r="K148" s="0" t="n">
        <v>64</v>
      </c>
      <c r="M148" s="0" t="n">
        <v>653.44</v>
      </c>
      <c r="N148" s="0" t="n">
        <v>41.44</v>
      </c>
      <c r="O148" s="0" t="n">
        <v>26.57</v>
      </c>
      <c r="P148" s="0" t="n">
        <v>4.86</v>
      </c>
      <c r="Q148" s="0" t="n">
        <v>3.69</v>
      </c>
      <c r="R148" s="0" t="n">
        <v>2579</v>
      </c>
      <c r="S148" s="0" t="n">
        <v>5061</v>
      </c>
      <c r="T148" s="0" t="n">
        <v>33.2</v>
      </c>
      <c r="U148" s="0" t="n">
        <v>1975</v>
      </c>
      <c r="V148" s="0" t="n">
        <v>1</v>
      </c>
      <c r="W148" s="39" t="n">
        <f aca="false">IF(I148="Male",0,1)</f>
        <v>1</v>
      </c>
      <c r="X148" s="39" t="n">
        <f aca="false">IF(OR(I148="DNB",I148="Dry DNB"),1,0)</f>
        <v>0</v>
      </c>
      <c r="Y148" s="39" t="n">
        <f aca="false">MATCH(A148,DATAS,0)</f>
        <v>1</v>
      </c>
      <c r="Z148" s="39" t="n">
        <f aca="false">IF(AND(E148&gt;0,OR(AND(B148&gt;=1,B148&lt;=6),B148=10)),1,0)</f>
        <v>1</v>
      </c>
      <c r="AA148" s="39" t="n">
        <f aca="false">IF(AND(E148&gt;0,B148=10),1,0)</f>
        <v>0</v>
      </c>
      <c r="AB148" s="0" t="str">
        <f aca="false">IF(AND(C147=C148,Y147=Y148-1),Z147,"")</f>
        <v/>
      </c>
      <c r="AC148" s="0" t="str">
        <f aca="false">IF(AND(C147=C148,Y147=Y148-1),AA147,"")</f>
        <v/>
      </c>
      <c r="AD148" s="0" t="str">
        <f aca="false">IF(Y148=1,"",IF(AND(Z148=1,AB148&lt;&gt;1),1,0))</f>
        <v/>
      </c>
      <c r="AE148" s="0" t="str">
        <f aca="false">IF(Y148=1,"",IF(AND(AA148=1,AC148&lt;&gt;1),1,0))</f>
        <v/>
      </c>
      <c r="AF148" s="45" t="str">
        <f aca="false">IF(AND(E148&gt;0,Y148&lt;1,NOT(AND(C149=C148,Y149=Y148+1))),INDEX(DATAS,Y148+1),"")</f>
        <v/>
      </c>
      <c r="AG148" s="45" t="str">
        <f aca="false">IF(AND(AA148=1,Y148&lt;1),IF(AND(C149=C148,Y149=Y148+1),IF(AA149=1,"",INDEX(DATAS,Y148+1)),INDEX(DATAS,Y148+1)),"")</f>
        <v/>
      </c>
    </row>
    <row r="149" customFormat="false" ht="15" hidden="false" customHeight="false" outlineLevel="0" collapsed="false">
      <c r="A149" s="45" t="n">
        <v>46309</v>
      </c>
      <c r="B149" s="0" t="n">
        <v>2</v>
      </c>
      <c r="C149" s="0" t="n">
        <v>3456</v>
      </c>
      <c r="D149" s="0" t="n">
        <v>117</v>
      </c>
      <c r="E149" s="0" t="n">
        <v>5</v>
      </c>
      <c r="F149" s="39" t="s">
        <v>245</v>
      </c>
      <c r="G149" s="0" t="n">
        <v>64.5</v>
      </c>
      <c r="H149" s="0" t="n">
        <v>65</v>
      </c>
      <c r="I149" s="39" t="s">
        <v>138</v>
      </c>
      <c r="J149" s="0" t="n">
        <v>117</v>
      </c>
      <c r="K149" s="0" t="n">
        <v>68</v>
      </c>
      <c r="M149" s="0" t="n">
        <v>-32.23</v>
      </c>
      <c r="N149" s="0" t="n">
        <v>15.2</v>
      </c>
      <c r="O149" s="0" t="n">
        <v>12.97</v>
      </c>
      <c r="P149" s="0" t="n">
        <v>3.91</v>
      </c>
      <c r="Q149" s="0" t="n">
        <v>3.12</v>
      </c>
      <c r="R149" s="0" t="n">
        <v>5955</v>
      </c>
      <c r="S149" s="0" t="n">
        <v>12207</v>
      </c>
      <c r="U149" s="0" t="n">
        <v>1966</v>
      </c>
      <c r="V149" s="0" t="n">
        <v>2</v>
      </c>
      <c r="W149" s="39" t="n">
        <f aca="false">IF(I149="Male",0,1)</f>
        <v>1</v>
      </c>
      <c r="X149" s="39" t="n">
        <f aca="false">IF(OR(I149="DNB",I149="Dry DNB"),1,0)</f>
        <v>0</v>
      </c>
      <c r="Y149" s="39" t="n">
        <f aca="false">MATCH(A149,DATAS,0)</f>
        <v>1</v>
      </c>
      <c r="Z149" s="39" t="n">
        <f aca="false">IF(AND(E149&gt;0,OR(AND(B149&gt;=1,B149&lt;=6),B149=10)),1,0)</f>
        <v>1</v>
      </c>
      <c r="AA149" s="39" t="n">
        <f aca="false">IF(AND(E149&gt;0,B149=10),1,0)</f>
        <v>0</v>
      </c>
      <c r="AB149" s="0" t="str">
        <f aca="false">IF(AND(C148=C149,Y148=Y149-1),Z148,"")</f>
        <v/>
      </c>
      <c r="AC149" s="0" t="str">
        <f aca="false">IF(AND(C148=C149,Y148=Y149-1),AA148,"")</f>
        <v/>
      </c>
      <c r="AD149" s="0" t="str">
        <f aca="false">IF(Y149=1,"",IF(AND(Z149=1,AB149&lt;&gt;1),1,0))</f>
        <v/>
      </c>
      <c r="AE149" s="0" t="str">
        <f aca="false">IF(Y149=1,"",IF(AND(AA149=1,AC149&lt;&gt;1),1,0))</f>
        <v/>
      </c>
      <c r="AF149" s="45" t="str">
        <f aca="false">IF(AND(E149&gt;0,Y149&lt;1,NOT(AND(C150=C149,Y150=Y149+1))),INDEX(DATAS,Y149+1),"")</f>
        <v/>
      </c>
      <c r="AG149" s="45" t="str">
        <f aca="false">IF(AND(AA149=1,Y149&lt;1),IF(AND(C150=C149,Y150=Y149+1),IF(AA150=1,"",INDEX(DATAS,Y149+1)),INDEX(DATAS,Y149+1)),"")</f>
        <v/>
      </c>
    </row>
    <row r="150" customFormat="false" ht="15" hidden="false" customHeight="false" outlineLevel="0" collapsed="false">
      <c r="A150" s="45" t="n">
        <v>46309</v>
      </c>
      <c r="B150" s="0" t="n">
        <v>2</v>
      </c>
      <c r="C150" s="0" t="n">
        <v>3458</v>
      </c>
      <c r="D150" s="0" t="n">
        <v>30</v>
      </c>
      <c r="E150" s="0" t="n">
        <v>5</v>
      </c>
      <c r="F150" s="39" t="s">
        <v>246</v>
      </c>
      <c r="G150" s="0" t="n">
        <v>59.3</v>
      </c>
      <c r="H150" s="0" t="n">
        <v>58</v>
      </c>
      <c r="I150" s="39" t="s">
        <v>118</v>
      </c>
      <c r="J150" s="0" t="n">
        <v>30</v>
      </c>
      <c r="M150" s="0" t="n">
        <v>323.94</v>
      </c>
      <c r="N150" s="0" t="n">
        <v>38.73</v>
      </c>
      <c r="O150" s="0" t="n">
        <v>21.42</v>
      </c>
      <c r="P150" s="0" t="n">
        <v>7.95</v>
      </c>
      <c r="Q150" s="0" t="n">
        <v>5.42</v>
      </c>
      <c r="R150" s="0" t="n">
        <v>4207</v>
      </c>
      <c r="S150" s="0" t="n">
        <v>8458</v>
      </c>
      <c r="U150" s="0" t="n">
        <v>1965</v>
      </c>
      <c r="V150" s="0" t="n">
        <v>0</v>
      </c>
      <c r="W150" s="39" t="n">
        <f aca="false">IF(I150="Male",0,1)</f>
        <v>1</v>
      </c>
      <c r="X150" s="39" t="n">
        <f aca="false">IF(OR(I150="DNB",I150="Dry DNB"),1,0)</f>
        <v>0</v>
      </c>
      <c r="Y150" s="39" t="n">
        <f aca="false">MATCH(A150,DATAS,0)</f>
        <v>1</v>
      </c>
      <c r="Z150" s="39" t="n">
        <f aca="false">IF(AND(E150&gt;0,OR(AND(B150&gt;=1,B150&lt;=6),B150=10)),1,0)</f>
        <v>1</v>
      </c>
      <c r="AA150" s="39" t="n">
        <f aca="false">IF(AND(E150&gt;0,B150=10),1,0)</f>
        <v>0</v>
      </c>
      <c r="AB150" s="0" t="str">
        <f aca="false">IF(AND(C149=C150,Y149=Y150-1),Z149,"")</f>
        <v/>
      </c>
      <c r="AC150" s="0" t="str">
        <f aca="false">IF(AND(C149=C150,Y149=Y150-1),AA149,"")</f>
        <v/>
      </c>
      <c r="AD150" s="0" t="str">
        <f aca="false">IF(Y150=1,"",IF(AND(Z150=1,AB150&lt;&gt;1),1,0))</f>
        <v/>
      </c>
      <c r="AE150" s="0" t="str">
        <f aca="false">IF(Y150=1,"",IF(AND(AA150=1,AC150&lt;&gt;1),1,0))</f>
        <v/>
      </c>
      <c r="AF150" s="45" t="str">
        <f aca="false">IF(AND(E150&gt;0,Y150&lt;1,NOT(AND(C151=C150,Y151=Y150+1))),INDEX(DATAS,Y150+1),"")</f>
        <v/>
      </c>
      <c r="AG150" s="45" t="str">
        <f aca="false">IF(AND(AA150=1,Y150&lt;1),IF(AND(C151=C150,Y151=Y150+1),IF(AA151=1,"",INDEX(DATAS,Y150+1)),INDEX(DATAS,Y150+1)),"")</f>
        <v/>
      </c>
    </row>
    <row r="151" customFormat="false" ht="15" hidden="false" customHeight="false" outlineLevel="0" collapsed="false">
      <c r="A151" s="45" t="n">
        <v>46309</v>
      </c>
      <c r="B151" s="0" t="n">
        <v>6</v>
      </c>
      <c r="C151" s="0" t="n">
        <v>3459</v>
      </c>
      <c r="D151" s="0" t="n">
        <v>209</v>
      </c>
      <c r="E151" s="0" t="n">
        <v>4</v>
      </c>
      <c r="F151" s="39" t="s">
        <v>247</v>
      </c>
      <c r="G151" s="0" t="n">
        <v>30.2</v>
      </c>
      <c r="H151" s="0" t="n">
        <v>27</v>
      </c>
      <c r="I151" s="39" t="s">
        <v>109</v>
      </c>
      <c r="J151" s="0" t="n">
        <v>62</v>
      </c>
      <c r="K151" s="0" t="n">
        <v>62</v>
      </c>
      <c r="L151" s="0" t="n">
        <v>147</v>
      </c>
      <c r="M151" s="0" t="n">
        <v>532.05</v>
      </c>
      <c r="N151" s="0" t="n">
        <v>47.33</v>
      </c>
      <c r="O151" s="0" t="n">
        <v>25.67</v>
      </c>
      <c r="P151" s="0" t="n">
        <v>4.9</v>
      </c>
      <c r="Q151" s="0" t="n">
        <v>3.25</v>
      </c>
      <c r="R151" s="0" t="n">
        <v>6648</v>
      </c>
      <c r="S151" s="0" t="n">
        <v>11489</v>
      </c>
      <c r="T151" s="0" t="n">
        <v>73.4</v>
      </c>
      <c r="U151" s="0" t="n">
        <v>1964</v>
      </c>
      <c r="V151" s="0" t="n">
        <v>1</v>
      </c>
      <c r="W151" s="39" t="n">
        <f aca="false">IF(I151="Male",0,1)</f>
        <v>1</v>
      </c>
      <c r="X151" s="39" t="n">
        <f aca="false">IF(OR(I151="DNB",I151="Dry DNB"),1,0)</f>
        <v>0</v>
      </c>
      <c r="Y151" s="39" t="n">
        <f aca="false">MATCH(A151,DATAS,0)</f>
        <v>1</v>
      </c>
      <c r="Z151" s="39" t="n">
        <f aca="false">IF(AND(E151&gt;0,OR(AND(B151&gt;=1,B151&lt;=6),B151=10)),1,0)</f>
        <v>1</v>
      </c>
      <c r="AA151" s="39" t="n">
        <f aca="false">IF(AND(E151&gt;0,B151=10),1,0)</f>
        <v>0</v>
      </c>
      <c r="AB151" s="0" t="str">
        <f aca="false">IF(AND(C150=C151,Y150=Y151-1),Z150,"")</f>
        <v/>
      </c>
      <c r="AC151" s="0" t="str">
        <f aca="false">IF(AND(C150=C151,Y150=Y151-1),AA150,"")</f>
        <v/>
      </c>
      <c r="AD151" s="0" t="str">
        <f aca="false">IF(Y151=1,"",IF(AND(Z151=1,AB151&lt;&gt;1),1,0))</f>
        <v/>
      </c>
      <c r="AE151" s="0" t="str">
        <f aca="false">IF(Y151=1,"",IF(AND(AA151=1,AC151&lt;&gt;1),1,0))</f>
        <v/>
      </c>
      <c r="AF151" s="45" t="str">
        <f aca="false">IF(AND(E151&gt;0,Y151&lt;1,NOT(AND(C152=C151,Y152=Y151+1))),INDEX(DATAS,Y151+1),"")</f>
        <v/>
      </c>
      <c r="AG151" s="45" t="str">
        <f aca="false">IF(AND(AA151=1,Y151&lt;1),IF(AND(C152=C151,Y152=Y151+1),IF(AA152=1,"",INDEX(DATAS,Y151+1)),INDEX(DATAS,Y151+1)),"")</f>
        <v/>
      </c>
    </row>
    <row r="152" customFormat="false" ht="15" hidden="false" customHeight="false" outlineLevel="0" collapsed="false">
      <c r="A152" s="45" t="n">
        <v>46309</v>
      </c>
      <c r="B152" s="0" t="n">
        <v>2</v>
      </c>
      <c r="C152" s="0" t="n">
        <v>3469</v>
      </c>
      <c r="D152" s="0" t="n">
        <v>151</v>
      </c>
      <c r="E152" s="0" t="n">
        <v>5</v>
      </c>
      <c r="F152" s="39" t="s">
        <v>248</v>
      </c>
      <c r="G152" s="0" t="n">
        <v>62</v>
      </c>
      <c r="H152" s="0" t="n">
        <v>64</v>
      </c>
      <c r="I152" s="39" t="s">
        <v>146</v>
      </c>
      <c r="J152" s="0" t="n">
        <v>151</v>
      </c>
      <c r="K152" s="0" t="n">
        <v>81</v>
      </c>
      <c r="M152" s="0" t="n">
        <v>867.89</v>
      </c>
      <c r="N152" s="0" t="n">
        <v>36.97</v>
      </c>
      <c r="O152" s="0" t="n">
        <v>25.59</v>
      </c>
      <c r="P152" s="0" t="n">
        <v>2.8</v>
      </c>
      <c r="Q152" s="0" t="n">
        <v>3.39</v>
      </c>
      <c r="R152" s="0" t="n">
        <v>5939</v>
      </c>
      <c r="S152" s="0" t="n">
        <v>12378</v>
      </c>
      <c r="T152" s="0" t="n">
        <v>59.4</v>
      </c>
      <c r="U152" s="0" t="n">
        <v>1952</v>
      </c>
      <c r="V152" s="0" t="n">
        <v>2</v>
      </c>
      <c r="W152" s="39" t="n">
        <f aca="false">IF(I152="Male",0,1)</f>
        <v>1</v>
      </c>
      <c r="X152" s="39" t="n">
        <f aca="false">IF(OR(I152="DNB",I152="Dry DNB"),1,0)</f>
        <v>0</v>
      </c>
      <c r="Y152" s="39" t="n">
        <f aca="false">MATCH(A152,DATAS,0)</f>
        <v>1</v>
      </c>
      <c r="Z152" s="39" t="n">
        <f aca="false">IF(AND(E152&gt;0,OR(AND(B152&gt;=1,B152&lt;=6),B152=10)),1,0)</f>
        <v>1</v>
      </c>
      <c r="AA152" s="39" t="n">
        <f aca="false">IF(AND(E152&gt;0,B152=10),1,0)</f>
        <v>0</v>
      </c>
      <c r="AB152" s="0" t="str">
        <f aca="false">IF(AND(C151=C152,Y151=Y152-1),Z151,"")</f>
        <v/>
      </c>
      <c r="AC152" s="0" t="str">
        <f aca="false">IF(AND(C151=C152,Y151=Y152-1),AA151,"")</f>
        <v/>
      </c>
      <c r="AD152" s="0" t="str">
        <f aca="false">IF(Y152=1,"",IF(AND(Z152=1,AB152&lt;&gt;1),1,0))</f>
        <v/>
      </c>
      <c r="AE152" s="0" t="str">
        <f aca="false">IF(Y152=1,"",IF(AND(AA152=1,AC152&lt;&gt;1),1,0))</f>
        <v/>
      </c>
      <c r="AF152" s="45" t="str">
        <f aca="false">IF(AND(E152&gt;0,Y152&lt;1,NOT(AND(C153=C152,Y153=Y152+1))),INDEX(DATAS,Y152+1),"")</f>
        <v/>
      </c>
      <c r="AG152" s="45" t="str">
        <f aca="false">IF(AND(AA152=1,Y152&lt;1),IF(AND(C153=C152,Y153=Y152+1),IF(AA153=1,"",INDEX(DATAS,Y152+1)),INDEX(DATAS,Y152+1)),"")</f>
        <v/>
      </c>
    </row>
    <row r="153" customFormat="false" ht="15" hidden="false" customHeight="false" outlineLevel="0" collapsed="false">
      <c r="A153" s="45" t="n">
        <v>46309</v>
      </c>
      <c r="B153" s="0" t="n">
        <v>5</v>
      </c>
      <c r="C153" s="0" t="n">
        <v>3472</v>
      </c>
      <c r="D153" s="0" t="n">
        <v>143</v>
      </c>
      <c r="E153" s="0" t="n">
        <v>4</v>
      </c>
      <c r="F153" s="39" t="s">
        <v>249</v>
      </c>
      <c r="G153" s="0" t="n">
        <v>20.9</v>
      </c>
      <c r="H153" s="0" t="n">
        <v>25</v>
      </c>
      <c r="I153" s="39" t="s">
        <v>96</v>
      </c>
      <c r="J153" s="0" t="n">
        <v>143</v>
      </c>
      <c r="K153" s="0" t="n">
        <v>66</v>
      </c>
      <c r="M153" s="0" t="n">
        <v>418.6</v>
      </c>
      <c r="N153" s="0" t="n">
        <v>46.6</v>
      </c>
      <c r="O153" s="0" t="n">
        <v>25.89</v>
      </c>
      <c r="P153" s="0" t="n">
        <v>3.45</v>
      </c>
      <c r="Q153" s="0" t="n">
        <v>4.01</v>
      </c>
      <c r="R153" s="0" t="n">
        <v>3929</v>
      </c>
      <c r="S153" s="0" t="n">
        <v>7207</v>
      </c>
      <c r="T153" s="0" t="n">
        <v>39.1</v>
      </c>
      <c r="U153" s="0" t="n">
        <v>1950</v>
      </c>
      <c r="V153" s="0" t="n">
        <v>2</v>
      </c>
      <c r="W153" s="39" t="n">
        <f aca="false">IF(I153="Male",0,1)</f>
        <v>1</v>
      </c>
      <c r="X153" s="39" t="n">
        <f aca="false">IF(OR(I153="DNB",I153="Dry DNB"),1,0)</f>
        <v>1</v>
      </c>
      <c r="Y153" s="39" t="n">
        <f aca="false">MATCH(A153,DATAS,0)</f>
        <v>1</v>
      </c>
      <c r="Z153" s="39" t="n">
        <f aca="false">IF(AND(E153&gt;0,OR(AND(B153&gt;=1,B153&lt;=6),B153=10)),1,0)</f>
        <v>1</v>
      </c>
      <c r="AA153" s="39" t="n">
        <f aca="false">IF(AND(E153&gt;0,B153=10),1,0)</f>
        <v>0</v>
      </c>
      <c r="AB153" s="0" t="str">
        <f aca="false">IF(AND(C152=C153,Y152=Y153-1),Z152,"")</f>
        <v/>
      </c>
      <c r="AC153" s="0" t="str">
        <f aca="false">IF(AND(C152=C153,Y152=Y153-1),AA152,"")</f>
        <v/>
      </c>
      <c r="AD153" s="0" t="str">
        <f aca="false">IF(Y153=1,"",IF(AND(Z153=1,AB153&lt;&gt;1),1,0))</f>
        <v/>
      </c>
      <c r="AE153" s="0" t="str">
        <f aca="false">IF(Y153=1,"",IF(AND(AA153=1,AC153&lt;&gt;1),1,0))</f>
        <v/>
      </c>
      <c r="AF153" s="45" t="str">
        <f aca="false">IF(AND(E153&gt;0,Y153&lt;1,NOT(AND(C154=C153,Y154=Y153+1))),INDEX(DATAS,Y153+1),"")</f>
        <v/>
      </c>
      <c r="AG153" s="45" t="str">
        <f aca="false">IF(AND(AA153=1,Y153&lt;1),IF(AND(C154=C153,Y154=Y153+1),IF(AA154=1,"",INDEX(DATAS,Y153+1)),INDEX(DATAS,Y153+1)),"")</f>
        <v/>
      </c>
    </row>
    <row r="154" customFormat="false" ht="15" hidden="false" customHeight="false" outlineLevel="0" collapsed="false">
      <c r="A154" s="45" t="n">
        <v>46309</v>
      </c>
      <c r="B154" s="0" t="n">
        <v>6</v>
      </c>
      <c r="C154" s="0" t="n">
        <v>3478</v>
      </c>
      <c r="D154" s="0" t="n">
        <v>442</v>
      </c>
      <c r="E154" s="0" t="n">
        <v>3</v>
      </c>
      <c r="F154" s="39" t="s">
        <v>250</v>
      </c>
      <c r="G154" s="0" t="n">
        <v>17.8</v>
      </c>
      <c r="H154" s="0" t="n">
        <v>16</v>
      </c>
      <c r="I154" s="39" t="s">
        <v>109</v>
      </c>
      <c r="J154" s="0" t="n">
        <v>326</v>
      </c>
      <c r="K154" s="0" t="n">
        <v>78</v>
      </c>
      <c r="L154" s="0" t="n">
        <v>116</v>
      </c>
      <c r="M154" s="0" t="n">
        <v>223.71</v>
      </c>
      <c r="N154" s="0" t="n">
        <v>30.93</v>
      </c>
      <c r="O154" s="0" t="n">
        <v>14.36</v>
      </c>
      <c r="P154" s="0" t="n">
        <v>4.55</v>
      </c>
      <c r="Q154" s="0" t="n">
        <v>3.92</v>
      </c>
      <c r="R154" s="0" t="n">
        <v>6063</v>
      </c>
      <c r="S154" s="0" t="n">
        <v>11524</v>
      </c>
      <c r="T154" s="0" t="n">
        <v>64</v>
      </c>
      <c r="U154" s="0" t="n">
        <v>1947</v>
      </c>
      <c r="V154" s="0" t="n">
        <v>7</v>
      </c>
      <c r="W154" s="39" t="n">
        <f aca="false">IF(I154="Male",0,1)</f>
        <v>1</v>
      </c>
      <c r="X154" s="39" t="n">
        <f aca="false">IF(OR(I154="DNB",I154="Dry DNB"),1,0)</f>
        <v>0</v>
      </c>
      <c r="Y154" s="39" t="n">
        <f aca="false">MATCH(A154,DATAS,0)</f>
        <v>1</v>
      </c>
      <c r="Z154" s="39" t="n">
        <f aca="false">IF(AND(E154&gt;0,OR(AND(B154&gt;=1,B154&lt;=6),B154=10)),1,0)</f>
        <v>1</v>
      </c>
      <c r="AA154" s="39" t="n">
        <f aca="false">IF(AND(E154&gt;0,B154=10),1,0)</f>
        <v>0</v>
      </c>
      <c r="AB154" s="0" t="str">
        <f aca="false">IF(AND(C153=C154,Y153=Y154-1),Z153,"")</f>
        <v/>
      </c>
      <c r="AC154" s="0" t="str">
        <f aca="false">IF(AND(C153=C154,Y153=Y154-1),AA153,"")</f>
        <v/>
      </c>
      <c r="AD154" s="0" t="str">
        <f aca="false">IF(Y154=1,"",IF(AND(Z154=1,AB154&lt;&gt;1),1,0))</f>
        <v/>
      </c>
      <c r="AE154" s="0" t="str">
        <f aca="false">IF(Y154=1,"",IF(AND(AA154=1,AC154&lt;&gt;1),1,0))</f>
        <v/>
      </c>
      <c r="AF154" s="45" t="str">
        <f aca="false">IF(AND(E154&gt;0,Y154&lt;1,NOT(AND(C155=C154,Y155=Y154+1))),INDEX(DATAS,Y154+1),"")</f>
        <v/>
      </c>
      <c r="AG154" s="45" t="str">
        <f aca="false">IF(AND(AA154=1,Y154&lt;1),IF(AND(C155=C154,Y155=Y154+1),IF(AA155=1,"",INDEX(DATAS,Y154+1)),INDEX(DATAS,Y154+1)),"")</f>
        <v/>
      </c>
    </row>
    <row r="155" customFormat="false" ht="15" hidden="false" customHeight="false" outlineLevel="0" collapsed="false">
      <c r="A155" s="45" t="n">
        <v>46309</v>
      </c>
      <c r="B155" s="0" t="n">
        <v>5</v>
      </c>
      <c r="C155" s="0" t="n">
        <v>3481</v>
      </c>
      <c r="D155" s="0" t="n">
        <v>94</v>
      </c>
      <c r="E155" s="0" t="n">
        <v>4</v>
      </c>
      <c r="F155" s="39" t="s">
        <v>251</v>
      </c>
      <c r="G155" s="0" t="n">
        <v>46.3</v>
      </c>
      <c r="H155" s="0" t="n">
        <v>46</v>
      </c>
      <c r="I155" s="39" t="s">
        <v>138</v>
      </c>
      <c r="J155" s="0" t="n">
        <v>94</v>
      </c>
      <c r="K155" s="0" t="n">
        <v>66</v>
      </c>
      <c r="M155" s="0" t="n">
        <v>290.55</v>
      </c>
      <c r="N155" s="0" t="n">
        <v>60.06</v>
      </c>
      <c r="O155" s="0" t="n">
        <v>28.81</v>
      </c>
      <c r="P155" s="0" t="n">
        <v>5.35</v>
      </c>
      <c r="Q155" s="0" t="n">
        <v>3.49</v>
      </c>
      <c r="R155" s="0" t="n">
        <v>4116</v>
      </c>
      <c r="S155" s="0" t="n">
        <v>8275</v>
      </c>
      <c r="T155" s="0" t="n">
        <v>45.9</v>
      </c>
      <c r="U155" s="0" t="n">
        <v>1945</v>
      </c>
      <c r="V155" s="0" t="n">
        <v>1</v>
      </c>
      <c r="W155" s="39" t="n">
        <f aca="false">IF(I155="Male",0,1)</f>
        <v>1</v>
      </c>
      <c r="X155" s="39" t="n">
        <f aca="false">IF(OR(I155="DNB",I155="Dry DNB"),1,0)</f>
        <v>0</v>
      </c>
      <c r="Y155" s="39" t="n">
        <f aca="false">MATCH(A155,DATAS,0)</f>
        <v>1</v>
      </c>
      <c r="Z155" s="39" t="n">
        <f aca="false">IF(AND(E155&gt;0,OR(AND(B155&gt;=1,B155&lt;=6),B155=10)),1,0)</f>
        <v>1</v>
      </c>
      <c r="AA155" s="39" t="n">
        <f aca="false">IF(AND(E155&gt;0,B155=10),1,0)</f>
        <v>0</v>
      </c>
      <c r="AB155" s="0" t="str">
        <f aca="false">IF(AND(C154=C155,Y154=Y155-1),Z154,"")</f>
        <v/>
      </c>
      <c r="AC155" s="0" t="str">
        <f aca="false">IF(AND(C154=C155,Y154=Y155-1),AA154,"")</f>
        <v/>
      </c>
      <c r="AD155" s="0" t="str">
        <f aca="false">IF(Y155=1,"",IF(AND(Z155=1,AB155&lt;&gt;1),1,0))</f>
        <v/>
      </c>
      <c r="AE155" s="0" t="str">
        <f aca="false">IF(Y155=1,"",IF(AND(AA155=1,AC155&lt;&gt;1),1,0))</f>
        <v/>
      </c>
      <c r="AF155" s="45" t="str">
        <f aca="false">IF(AND(E155&gt;0,Y155&lt;1,NOT(AND(C156=C155,Y156=Y155+1))),INDEX(DATAS,Y155+1),"")</f>
        <v/>
      </c>
      <c r="AG155" s="45" t="str">
        <f aca="false">IF(AND(AA155=1,Y155&lt;1),IF(AND(C156=C155,Y156=Y155+1),IF(AA156=1,"",INDEX(DATAS,Y155+1)),INDEX(DATAS,Y155+1)),"")</f>
        <v/>
      </c>
    </row>
    <row r="156" customFormat="false" ht="15" hidden="false" customHeight="false" outlineLevel="0" collapsed="false">
      <c r="A156" s="45" t="n">
        <v>46309</v>
      </c>
      <c r="B156" s="0" t="n">
        <v>7</v>
      </c>
      <c r="C156" s="0" t="n">
        <v>3483</v>
      </c>
      <c r="D156" s="0" t="n">
        <v>329</v>
      </c>
      <c r="E156" s="0" t="n">
        <v>3</v>
      </c>
      <c r="F156" s="39" t="s">
        <v>252</v>
      </c>
      <c r="I156" s="39" t="s">
        <v>114</v>
      </c>
      <c r="J156" s="0" t="n">
        <v>373</v>
      </c>
      <c r="K156" s="0" t="n">
        <v>57</v>
      </c>
      <c r="L156" s="0" t="n">
        <v>146</v>
      </c>
      <c r="M156" s="0" t="n">
        <v>243.42</v>
      </c>
      <c r="N156" s="0" t="n">
        <v>16.25</v>
      </c>
      <c r="O156" s="0" t="n">
        <v>18.85</v>
      </c>
      <c r="P156" s="0" t="n">
        <v>5.52</v>
      </c>
      <c r="Q156" s="0" t="n">
        <v>4.02</v>
      </c>
      <c r="R156" s="0" t="n">
        <v>4534</v>
      </c>
      <c r="S156" s="0" t="n">
        <v>9710</v>
      </c>
      <c r="T156" s="0" t="n">
        <v>51.9</v>
      </c>
      <c r="U156" s="0" t="n">
        <v>1944</v>
      </c>
      <c r="V156" s="0" t="n">
        <v>7</v>
      </c>
      <c r="W156" s="39" t="n">
        <f aca="false">IF(I156="Male",0,1)</f>
        <v>1</v>
      </c>
      <c r="X156" s="39" t="n">
        <f aca="false">IF(OR(I156="DNB",I156="Dry DNB"),1,0)</f>
        <v>0</v>
      </c>
      <c r="Y156" s="39" t="n">
        <f aca="false">MATCH(A156,DATAS,0)</f>
        <v>1</v>
      </c>
      <c r="Z156" s="39" t="n">
        <f aca="false">IF(AND(E156&gt;0,OR(AND(B156&gt;=1,B156&lt;=6),B156=10)),1,0)</f>
        <v>0</v>
      </c>
      <c r="AA156" s="39" t="n">
        <f aca="false">IF(AND(E156&gt;0,B156=10),1,0)</f>
        <v>0</v>
      </c>
      <c r="AB156" s="0" t="str">
        <f aca="false">IF(AND(C155=C156,Y155=Y156-1),Z155,"")</f>
        <v/>
      </c>
      <c r="AC156" s="0" t="str">
        <f aca="false">IF(AND(C155=C156,Y155=Y156-1),AA155,"")</f>
        <v/>
      </c>
      <c r="AD156" s="0" t="str">
        <f aca="false">IF(Y156=1,"",IF(AND(Z156=1,AB156&lt;&gt;1),1,0))</f>
        <v/>
      </c>
      <c r="AE156" s="0" t="str">
        <f aca="false">IF(Y156=1,"",IF(AND(AA156=1,AC156&lt;&gt;1),1,0))</f>
        <v/>
      </c>
      <c r="AF156" s="45" t="str">
        <f aca="false">IF(AND(E156&gt;0,Y156&lt;1,NOT(AND(C157=C156,Y157=Y156+1))),INDEX(DATAS,Y156+1),"")</f>
        <v/>
      </c>
      <c r="AG156" s="45" t="str">
        <f aca="false">IF(AND(AA156=1,Y156&lt;1),IF(AND(C157=C156,Y157=Y156+1),IF(AA157=1,"",INDEX(DATAS,Y156+1)),INDEX(DATAS,Y156+1)),"")</f>
        <v/>
      </c>
    </row>
    <row r="157" customFormat="false" ht="15" hidden="false" customHeight="false" outlineLevel="0" collapsed="false">
      <c r="A157" s="45" t="n">
        <v>46309</v>
      </c>
      <c r="B157" s="0" t="n">
        <v>5</v>
      </c>
      <c r="C157" s="0" t="n">
        <v>3486</v>
      </c>
      <c r="D157" s="0" t="n">
        <v>541</v>
      </c>
      <c r="E157" s="0" t="n">
        <v>3</v>
      </c>
      <c r="F157" s="39" t="s">
        <v>253</v>
      </c>
      <c r="G157" s="0" t="n">
        <v>26.6</v>
      </c>
      <c r="H157" s="0" t="n">
        <v>26</v>
      </c>
      <c r="I157" s="39" t="s">
        <v>138</v>
      </c>
      <c r="J157" s="0" t="n">
        <v>541</v>
      </c>
      <c r="K157" s="0" t="n">
        <v>65</v>
      </c>
      <c r="M157" s="0" t="n">
        <v>851.06</v>
      </c>
      <c r="N157" s="0" t="n">
        <v>29.89</v>
      </c>
      <c r="O157" s="0" t="n">
        <v>19.52</v>
      </c>
      <c r="P157" s="0" t="n">
        <v>4.19</v>
      </c>
      <c r="Q157" s="0" t="n">
        <v>3.65</v>
      </c>
      <c r="R157" s="0" t="n">
        <v>5656</v>
      </c>
      <c r="S157" s="0" t="n">
        <v>11989</v>
      </c>
      <c r="T157" s="0" t="n">
        <v>68.65</v>
      </c>
      <c r="U157" s="0" t="n">
        <v>1943</v>
      </c>
      <c r="V157" s="0" t="n">
        <v>8</v>
      </c>
      <c r="W157" s="39" t="n">
        <f aca="false">IF(I157="Male",0,1)</f>
        <v>1</v>
      </c>
      <c r="X157" s="39" t="n">
        <f aca="false">IF(OR(I157="DNB",I157="Dry DNB"),1,0)</f>
        <v>0</v>
      </c>
      <c r="Y157" s="39" t="n">
        <f aca="false">MATCH(A157,DATAS,0)</f>
        <v>1</v>
      </c>
      <c r="Z157" s="39" t="n">
        <f aca="false">IF(AND(E157&gt;0,OR(AND(B157&gt;=1,B157&lt;=6),B157=10)),1,0)</f>
        <v>1</v>
      </c>
      <c r="AA157" s="39" t="n">
        <f aca="false">IF(AND(E157&gt;0,B157=10),1,0)</f>
        <v>0</v>
      </c>
      <c r="AB157" s="0" t="str">
        <f aca="false">IF(AND(C156=C157,Y156=Y157-1),Z156,"")</f>
        <v/>
      </c>
      <c r="AC157" s="0" t="str">
        <f aca="false">IF(AND(C156=C157,Y156=Y157-1),AA156,"")</f>
        <v/>
      </c>
      <c r="AD157" s="0" t="str">
        <f aca="false">IF(Y157=1,"",IF(AND(Z157=1,AB157&lt;&gt;1),1,0))</f>
        <v/>
      </c>
      <c r="AE157" s="0" t="str">
        <f aca="false">IF(Y157=1,"",IF(AND(AA157=1,AC157&lt;&gt;1),1,0))</f>
        <v/>
      </c>
      <c r="AF157" s="45" t="str">
        <f aca="false">IF(AND(E157&gt;0,Y157&lt;1,NOT(AND(C158=C157,Y158=Y157+1))),INDEX(DATAS,Y157+1),"")</f>
        <v/>
      </c>
      <c r="AG157" s="45" t="str">
        <f aca="false">IF(AND(AA157=1,Y157&lt;1),IF(AND(C158=C157,Y158=Y157+1),IF(AA158=1,"",INDEX(DATAS,Y157+1)),INDEX(DATAS,Y157+1)),"")</f>
        <v/>
      </c>
    </row>
    <row r="158" customFormat="false" ht="15" hidden="false" customHeight="false" outlineLevel="0" collapsed="false">
      <c r="A158" s="45" t="n">
        <v>46309</v>
      </c>
      <c r="B158" s="0" t="n">
        <v>3</v>
      </c>
      <c r="C158" s="0" t="n">
        <v>3491</v>
      </c>
      <c r="D158" s="0" t="n">
        <v>102</v>
      </c>
      <c r="E158" s="0" t="n">
        <v>5</v>
      </c>
      <c r="F158" s="39" t="s">
        <v>254</v>
      </c>
      <c r="G158" s="0" t="n">
        <v>53.7</v>
      </c>
      <c r="H158" s="0" t="n">
        <v>51</v>
      </c>
      <c r="I158" s="39" t="s">
        <v>146</v>
      </c>
      <c r="J158" s="0" t="n">
        <v>102</v>
      </c>
      <c r="K158" s="0" t="n">
        <v>67</v>
      </c>
      <c r="M158" s="0" t="n">
        <v>305.32</v>
      </c>
      <c r="N158" s="0" t="n">
        <v>17.16</v>
      </c>
      <c r="O158" s="0" t="n">
        <v>15.43</v>
      </c>
      <c r="P158" s="0" t="n">
        <v>3</v>
      </c>
      <c r="Q158" s="0" t="n">
        <v>2.96</v>
      </c>
      <c r="R158" s="0" t="n">
        <v>5603</v>
      </c>
      <c r="S158" s="0" t="n">
        <v>11241</v>
      </c>
      <c r="T158" s="0" t="n">
        <v>61.45</v>
      </c>
      <c r="U158" s="0" t="n">
        <v>1941</v>
      </c>
      <c r="V158" s="0" t="n">
        <v>1</v>
      </c>
      <c r="W158" s="39" t="n">
        <f aca="false">IF(I158="Male",0,1)</f>
        <v>1</v>
      </c>
      <c r="X158" s="39" t="n">
        <f aca="false">IF(OR(I158="DNB",I158="Dry DNB"),1,0)</f>
        <v>0</v>
      </c>
      <c r="Y158" s="39" t="n">
        <f aca="false">MATCH(A158,DATAS,0)</f>
        <v>1</v>
      </c>
      <c r="Z158" s="39" t="n">
        <f aca="false">IF(AND(E158&gt;0,OR(AND(B158&gt;=1,B158&lt;=6),B158=10)),1,0)</f>
        <v>1</v>
      </c>
      <c r="AA158" s="39" t="n">
        <f aca="false">IF(AND(E158&gt;0,B158=10),1,0)</f>
        <v>0</v>
      </c>
      <c r="AB158" s="0" t="str">
        <f aca="false">IF(AND(C157=C158,Y157=Y158-1),Z157,"")</f>
        <v/>
      </c>
      <c r="AC158" s="0" t="str">
        <f aca="false">IF(AND(C157=C158,Y157=Y158-1),AA157,"")</f>
        <v/>
      </c>
      <c r="AD158" s="0" t="str">
        <f aca="false">IF(Y158=1,"",IF(AND(Z158=1,AB158&lt;&gt;1),1,0))</f>
        <v/>
      </c>
      <c r="AE158" s="0" t="str">
        <f aca="false">IF(Y158=1,"",IF(AND(AA158=1,AC158&lt;&gt;1),1,0))</f>
        <v/>
      </c>
      <c r="AF158" s="45" t="str">
        <f aca="false">IF(AND(E158&gt;0,Y158&lt;1,NOT(AND(C159=C158,Y159=Y158+1))),INDEX(DATAS,Y158+1),"")</f>
        <v/>
      </c>
      <c r="AG158" s="45" t="str">
        <f aca="false">IF(AND(AA158=1,Y158&lt;1),IF(AND(C159=C158,Y159=Y158+1),IF(AA159=1,"",INDEX(DATAS,Y158+1)),INDEX(DATAS,Y158+1)),"")</f>
        <v/>
      </c>
    </row>
    <row r="159" customFormat="false" ht="15" hidden="false" customHeight="false" outlineLevel="0" collapsed="false">
      <c r="A159" s="45" t="n">
        <v>46309</v>
      </c>
      <c r="B159" s="0" t="n">
        <v>5</v>
      </c>
      <c r="C159" s="0" t="n">
        <v>3493</v>
      </c>
      <c r="D159" s="0" t="n">
        <v>117</v>
      </c>
      <c r="E159" s="0" t="n">
        <v>4</v>
      </c>
      <c r="F159" s="39" t="s">
        <v>255</v>
      </c>
      <c r="I159" s="39" t="s">
        <v>138</v>
      </c>
      <c r="J159" s="0" t="n">
        <v>117</v>
      </c>
      <c r="K159" s="0" t="n">
        <v>75</v>
      </c>
      <c r="M159" s="0" t="n">
        <v>527.84</v>
      </c>
      <c r="N159" s="0" t="n">
        <v>6.16</v>
      </c>
      <c r="O159" s="0" t="n">
        <v>11.22</v>
      </c>
      <c r="P159" s="0" t="n">
        <v>2.82</v>
      </c>
      <c r="Q159" s="0" t="n">
        <v>2.94</v>
      </c>
      <c r="R159" s="0" t="n">
        <v>4471</v>
      </c>
      <c r="S159" s="0" t="n">
        <v>8967</v>
      </c>
      <c r="T159" s="0" t="n">
        <v>52.45</v>
      </c>
      <c r="U159" s="0" t="n">
        <v>1939</v>
      </c>
      <c r="V159" s="0" t="n">
        <v>3</v>
      </c>
      <c r="W159" s="39" t="n">
        <f aca="false">IF(I159="Male",0,1)</f>
        <v>1</v>
      </c>
      <c r="X159" s="39" t="n">
        <f aca="false">IF(OR(I159="DNB",I159="Dry DNB"),1,0)</f>
        <v>0</v>
      </c>
      <c r="Y159" s="39" t="n">
        <f aca="false">MATCH(A159,DATAS,0)</f>
        <v>1</v>
      </c>
      <c r="Z159" s="39" t="n">
        <f aca="false">IF(AND(E159&gt;0,OR(AND(B159&gt;=1,B159&lt;=6),B159=10)),1,0)</f>
        <v>1</v>
      </c>
      <c r="AA159" s="39" t="n">
        <f aca="false">IF(AND(E159&gt;0,B159=10),1,0)</f>
        <v>0</v>
      </c>
      <c r="AB159" s="0" t="str">
        <f aca="false">IF(AND(C158=C159,Y158=Y159-1),Z158,"")</f>
        <v/>
      </c>
      <c r="AC159" s="0" t="str">
        <f aca="false">IF(AND(C158=C159,Y158=Y159-1),AA158,"")</f>
        <v/>
      </c>
      <c r="AD159" s="0" t="str">
        <f aca="false">IF(Y159=1,"",IF(AND(Z159=1,AB159&lt;&gt;1),1,0))</f>
        <v/>
      </c>
      <c r="AE159" s="0" t="str">
        <f aca="false">IF(Y159=1,"",IF(AND(AA159=1,AC159&lt;&gt;1),1,0))</f>
        <v/>
      </c>
      <c r="AF159" s="45" t="str">
        <f aca="false">IF(AND(E159&gt;0,Y159&lt;1,NOT(AND(C160=C159,Y160=Y159+1))),INDEX(DATAS,Y159+1),"")</f>
        <v/>
      </c>
      <c r="AG159" s="45" t="str">
        <f aca="false">IF(AND(AA159=1,Y159&lt;1),IF(AND(C160=C159,Y160=Y159+1),IF(AA160=1,"",INDEX(DATAS,Y159+1)),INDEX(DATAS,Y159+1)),"")</f>
        <v/>
      </c>
    </row>
    <row r="160" customFormat="false" ht="15" hidden="false" customHeight="false" outlineLevel="0" collapsed="false">
      <c r="A160" s="45" t="n">
        <v>46309</v>
      </c>
      <c r="B160" s="0" t="n">
        <v>2</v>
      </c>
      <c r="C160" s="0" t="n">
        <v>3501</v>
      </c>
      <c r="D160" s="0" t="n">
        <v>159</v>
      </c>
      <c r="E160" s="0" t="n">
        <v>4</v>
      </c>
      <c r="F160" s="39" t="s">
        <v>256</v>
      </c>
      <c r="G160" s="0" t="n">
        <v>56</v>
      </c>
      <c r="H160" s="0" t="n">
        <v>57</v>
      </c>
      <c r="I160" s="39" t="s">
        <v>138</v>
      </c>
      <c r="J160" s="0" t="n">
        <v>159</v>
      </c>
      <c r="K160" s="0" t="n">
        <v>68</v>
      </c>
      <c r="M160" s="0" t="n">
        <v>368.22</v>
      </c>
      <c r="N160" s="0" t="n">
        <v>27.34</v>
      </c>
      <c r="O160" s="0" t="n">
        <v>18.8</v>
      </c>
      <c r="P160" s="0" t="n">
        <v>2.93</v>
      </c>
      <c r="Q160" s="0" t="n">
        <v>3.58</v>
      </c>
      <c r="R160" s="0" t="n">
        <v>5749</v>
      </c>
      <c r="S160" s="0" t="n">
        <v>11788</v>
      </c>
      <c r="T160" s="0" t="n">
        <v>66.95</v>
      </c>
      <c r="U160" s="0" t="n">
        <v>1931</v>
      </c>
      <c r="V160" s="0" t="n">
        <v>3</v>
      </c>
      <c r="W160" s="39" t="n">
        <f aca="false">IF(I160="Male",0,1)</f>
        <v>1</v>
      </c>
      <c r="X160" s="39" t="n">
        <f aca="false">IF(OR(I160="DNB",I160="Dry DNB"),1,0)</f>
        <v>0</v>
      </c>
      <c r="Y160" s="39" t="n">
        <f aca="false">MATCH(A160,DATAS,0)</f>
        <v>1</v>
      </c>
      <c r="Z160" s="39" t="n">
        <f aca="false">IF(AND(E160&gt;0,OR(AND(B160&gt;=1,B160&lt;=6),B160=10)),1,0)</f>
        <v>1</v>
      </c>
      <c r="AA160" s="39" t="n">
        <f aca="false">IF(AND(E160&gt;0,B160=10),1,0)</f>
        <v>0</v>
      </c>
      <c r="AB160" s="0" t="str">
        <f aca="false">IF(AND(C159=C160,Y159=Y160-1),Z159,"")</f>
        <v/>
      </c>
      <c r="AC160" s="0" t="str">
        <f aca="false">IF(AND(C159=C160,Y159=Y160-1),AA159,"")</f>
        <v/>
      </c>
      <c r="AD160" s="0" t="str">
        <f aca="false">IF(Y160=1,"",IF(AND(Z160=1,AB160&lt;&gt;1),1,0))</f>
        <v/>
      </c>
      <c r="AE160" s="0" t="str">
        <f aca="false">IF(Y160=1,"",IF(AND(AA160=1,AC160&lt;&gt;1),1,0))</f>
        <v/>
      </c>
      <c r="AF160" s="45" t="str">
        <f aca="false">IF(AND(E160&gt;0,Y160&lt;1,NOT(AND(C161=C160,Y161=Y160+1))),INDEX(DATAS,Y160+1),"")</f>
        <v/>
      </c>
      <c r="AG160" s="45" t="str">
        <f aca="false">IF(AND(AA160=1,Y160&lt;1),IF(AND(C161=C160,Y161=Y160+1),IF(AA161=1,"",INDEX(DATAS,Y160+1)),INDEX(DATAS,Y160+1)),"")</f>
        <v/>
      </c>
    </row>
    <row r="161" customFormat="false" ht="15" hidden="false" customHeight="false" outlineLevel="0" collapsed="false">
      <c r="A161" s="45" t="n">
        <v>46309</v>
      </c>
      <c r="B161" s="0" t="n">
        <v>5</v>
      </c>
      <c r="C161" s="0" t="n">
        <v>3504</v>
      </c>
      <c r="D161" s="0" t="n">
        <v>119</v>
      </c>
      <c r="E161" s="0" t="n">
        <v>3</v>
      </c>
      <c r="F161" s="39" t="s">
        <v>257</v>
      </c>
      <c r="G161" s="0" t="n">
        <v>28.9</v>
      </c>
      <c r="H161" s="0" t="n">
        <v>33</v>
      </c>
      <c r="I161" s="39" t="s">
        <v>146</v>
      </c>
      <c r="J161" s="0" t="n">
        <v>119</v>
      </c>
      <c r="K161" s="0" t="n">
        <v>63</v>
      </c>
      <c r="M161" s="0" t="n">
        <v>708.59</v>
      </c>
      <c r="N161" s="0" t="n">
        <v>56.71</v>
      </c>
      <c r="O161" s="0" t="n">
        <v>31.54</v>
      </c>
      <c r="P161" s="0" t="n">
        <v>5.24</v>
      </c>
      <c r="Q161" s="0" t="n">
        <v>3.96</v>
      </c>
      <c r="R161" s="0" t="n">
        <v>4175</v>
      </c>
      <c r="S161" s="0" t="n">
        <v>8145</v>
      </c>
      <c r="T161" s="0" t="n">
        <v>41.9</v>
      </c>
      <c r="U161" s="0" t="n">
        <v>1930</v>
      </c>
      <c r="V161" s="0" t="n">
        <v>2</v>
      </c>
      <c r="W161" s="39" t="n">
        <f aca="false">IF(I161="Male",0,1)</f>
        <v>1</v>
      </c>
      <c r="X161" s="39" t="n">
        <f aca="false">IF(OR(I161="DNB",I161="Dry DNB"),1,0)</f>
        <v>0</v>
      </c>
      <c r="Y161" s="39" t="n">
        <f aca="false">MATCH(A161,DATAS,0)</f>
        <v>1</v>
      </c>
      <c r="Z161" s="39" t="n">
        <f aca="false">IF(AND(E161&gt;0,OR(AND(B161&gt;=1,B161&lt;=6),B161=10)),1,0)</f>
        <v>1</v>
      </c>
      <c r="AA161" s="39" t="n">
        <f aca="false">IF(AND(E161&gt;0,B161=10),1,0)</f>
        <v>0</v>
      </c>
      <c r="AB161" s="0" t="str">
        <f aca="false">IF(AND(C160=C161,Y160=Y161-1),Z160,"")</f>
        <v/>
      </c>
      <c r="AC161" s="0" t="str">
        <f aca="false">IF(AND(C160=C161,Y160=Y161-1),AA160,"")</f>
        <v/>
      </c>
      <c r="AD161" s="0" t="str">
        <f aca="false">IF(Y161=1,"",IF(AND(Z161=1,AB161&lt;&gt;1),1,0))</f>
        <v/>
      </c>
      <c r="AE161" s="0" t="str">
        <f aca="false">IF(Y161=1,"",IF(AND(AA161=1,AC161&lt;&gt;1),1,0))</f>
        <v/>
      </c>
      <c r="AF161" s="45" t="str">
        <f aca="false">IF(AND(E161&gt;0,Y161&lt;1,NOT(AND(C162=C161,Y162=Y161+1))),INDEX(DATAS,Y161+1),"")</f>
        <v/>
      </c>
      <c r="AG161" s="45" t="str">
        <f aca="false">IF(AND(AA161=1,Y161&lt;1),IF(AND(C162=C161,Y162=Y161+1),IF(AA162=1,"",INDEX(DATAS,Y161+1)),INDEX(DATAS,Y161+1)),"")</f>
        <v/>
      </c>
    </row>
    <row r="162" customFormat="false" ht="15" hidden="false" customHeight="false" outlineLevel="0" collapsed="false">
      <c r="A162" s="45" t="n">
        <v>46309</v>
      </c>
      <c r="B162" s="0" t="n">
        <v>10</v>
      </c>
      <c r="C162" s="0" t="n">
        <v>3506</v>
      </c>
      <c r="D162" s="0" t="n">
        <v>268</v>
      </c>
      <c r="E162" s="0" t="n">
        <v>2</v>
      </c>
      <c r="F162" s="39" t="s">
        <v>258</v>
      </c>
      <c r="H162" s="0" t="n">
        <v>15</v>
      </c>
      <c r="I162" s="39" t="s">
        <v>96</v>
      </c>
      <c r="J162" s="0" t="n">
        <v>268</v>
      </c>
      <c r="K162" s="0" t="n">
        <v>72</v>
      </c>
      <c r="M162" s="0" t="n">
        <v>1333.7</v>
      </c>
      <c r="N162" s="0" t="n">
        <v>21.81</v>
      </c>
      <c r="O162" s="0" t="n">
        <v>38.31</v>
      </c>
      <c r="P162" s="0" t="n">
        <v>4.83</v>
      </c>
      <c r="Q162" s="0" t="n">
        <v>3.61</v>
      </c>
      <c r="R162" s="0" t="n">
        <v>5646</v>
      </c>
      <c r="S162" s="0" t="n">
        <v>12072</v>
      </c>
      <c r="T162" s="0" t="n">
        <v>63.1</v>
      </c>
      <c r="U162" s="0" t="n">
        <v>1928</v>
      </c>
      <c r="V162" s="0" t="n">
        <v>4</v>
      </c>
      <c r="W162" s="39" t="n">
        <f aca="false">IF(I162="Male",0,1)</f>
        <v>1</v>
      </c>
      <c r="X162" s="39" t="n">
        <f aca="false">IF(OR(I162="DNB",I162="Dry DNB"),1,0)</f>
        <v>1</v>
      </c>
      <c r="Y162" s="39" t="n">
        <f aca="false">MATCH(A162,DATAS,0)</f>
        <v>1</v>
      </c>
      <c r="Z162" s="39" t="n">
        <f aca="false">IF(AND(E162&gt;0,OR(AND(B162&gt;=1,B162&lt;=6),B162=10)),1,0)</f>
        <v>1</v>
      </c>
      <c r="AA162" s="39" t="n">
        <f aca="false">IF(AND(E162&gt;0,B162=10),1,0)</f>
        <v>1</v>
      </c>
      <c r="AB162" s="0" t="str">
        <f aca="false">IF(AND(C161=C162,Y161=Y162-1),Z161,"")</f>
        <v/>
      </c>
      <c r="AC162" s="0" t="str">
        <f aca="false">IF(AND(C161=C162,Y161=Y162-1),AA161,"")</f>
        <v/>
      </c>
      <c r="AD162" s="0" t="str">
        <f aca="false">IF(Y162=1,"",IF(AND(Z162=1,AB162&lt;&gt;1),1,0))</f>
        <v/>
      </c>
      <c r="AE162" s="0" t="str">
        <f aca="false">IF(Y162=1,"",IF(AND(AA162=1,AC162&lt;&gt;1),1,0))</f>
        <v/>
      </c>
      <c r="AF162" s="45" t="str">
        <f aca="false">IF(AND(E162&gt;0,Y162&lt;1,NOT(AND(C163=C162,Y163=Y162+1))),INDEX(DATAS,Y162+1),"")</f>
        <v/>
      </c>
      <c r="AG162" s="45" t="str">
        <f aca="false">IF(AND(AA162=1,Y162&lt;1),IF(AND(C163=C162,Y163=Y162+1),IF(AA163=1,"",INDEX(DATAS,Y162+1)),INDEX(DATAS,Y162+1)),"")</f>
        <v/>
      </c>
    </row>
    <row r="163" customFormat="false" ht="15" hidden="false" customHeight="false" outlineLevel="0" collapsed="false">
      <c r="A163" s="45" t="n">
        <v>46309</v>
      </c>
      <c r="B163" s="0" t="n">
        <v>3</v>
      </c>
      <c r="C163" s="0" t="n">
        <v>3507</v>
      </c>
      <c r="D163" s="0" t="n">
        <v>85</v>
      </c>
      <c r="E163" s="0" t="n">
        <v>4</v>
      </c>
      <c r="F163" s="39" t="s">
        <v>259</v>
      </c>
      <c r="G163" s="0" t="n">
        <v>60.5</v>
      </c>
      <c r="H163" s="0" t="n">
        <v>57</v>
      </c>
      <c r="I163" s="39" t="s">
        <v>138</v>
      </c>
      <c r="J163" s="0" t="n">
        <v>85</v>
      </c>
      <c r="K163" s="0" t="n">
        <v>64</v>
      </c>
      <c r="M163" s="0" t="n">
        <v>366.15</v>
      </c>
      <c r="N163" s="0" t="n">
        <v>31.19</v>
      </c>
      <c r="O163" s="0" t="n">
        <v>22.3</v>
      </c>
      <c r="P163" s="0" t="n">
        <v>3.31</v>
      </c>
      <c r="Q163" s="0" t="n">
        <v>3.1</v>
      </c>
      <c r="R163" s="0" t="n">
        <v>5302</v>
      </c>
      <c r="S163" s="0" t="n">
        <v>10658</v>
      </c>
      <c r="U163" s="0" t="n">
        <v>1926</v>
      </c>
      <c r="V163" s="0" t="n">
        <v>1</v>
      </c>
      <c r="W163" s="39" t="n">
        <f aca="false">IF(I163="Male",0,1)</f>
        <v>1</v>
      </c>
      <c r="X163" s="39" t="n">
        <f aca="false">IF(OR(I163="DNB",I163="Dry DNB"),1,0)</f>
        <v>0</v>
      </c>
      <c r="Y163" s="39" t="n">
        <f aca="false">MATCH(A163,DATAS,0)</f>
        <v>1</v>
      </c>
      <c r="Z163" s="39" t="n">
        <f aca="false">IF(AND(E163&gt;0,OR(AND(B163&gt;=1,B163&lt;=6),B163=10)),1,0)</f>
        <v>1</v>
      </c>
      <c r="AA163" s="39" t="n">
        <f aca="false">IF(AND(E163&gt;0,B163=10),1,0)</f>
        <v>0</v>
      </c>
      <c r="AB163" s="0" t="str">
        <f aca="false">IF(AND(C162=C163,Y162=Y163-1),Z162,"")</f>
        <v/>
      </c>
      <c r="AC163" s="0" t="str">
        <f aca="false">IF(AND(C162=C163,Y162=Y163-1),AA162,"")</f>
        <v/>
      </c>
      <c r="AD163" s="0" t="str">
        <f aca="false">IF(Y163=1,"",IF(AND(Z163=1,AB163&lt;&gt;1),1,0))</f>
        <v/>
      </c>
      <c r="AE163" s="0" t="str">
        <f aca="false">IF(Y163=1,"",IF(AND(AA163=1,AC163&lt;&gt;1),1,0))</f>
        <v/>
      </c>
      <c r="AF163" s="45" t="str">
        <f aca="false">IF(AND(E163&gt;0,Y163&lt;1,NOT(AND(C164=C163,Y164=Y163+1))),INDEX(DATAS,Y163+1),"")</f>
        <v/>
      </c>
      <c r="AG163" s="45" t="str">
        <f aca="false">IF(AND(AA163=1,Y163&lt;1),IF(AND(C164=C163,Y164=Y163+1),IF(AA164=1,"",INDEX(DATAS,Y163+1)),INDEX(DATAS,Y163+1)),"")</f>
        <v/>
      </c>
    </row>
    <row r="164" customFormat="false" ht="15" hidden="false" customHeight="false" outlineLevel="0" collapsed="false">
      <c r="A164" s="45" t="n">
        <v>46309</v>
      </c>
      <c r="B164" s="0" t="n">
        <v>6</v>
      </c>
      <c r="C164" s="0" t="n">
        <v>3509</v>
      </c>
      <c r="D164" s="0" t="n">
        <v>222</v>
      </c>
      <c r="E164" s="0" t="n">
        <v>4</v>
      </c>
      <c r="F164" s="39" t="s">
        <v>259</v>
      </c>
      <c r="G164" s="0" t="n">
        <v>18.2</v>
      </c>
      <c r="H164" s="0" t="n">
        <v>21</v>
      </c>
      <c r="I164" s="39" t="s">
        <v>138</v>
      </c>
      <c r="J164" s="0" t="n">
        <v>222</v>
      </c>
      <c r="K164" s="0" t="n">
        <v>68</v>
      </c>
      <c r="M164" s="0" t="n">
        <v>393.86</v>
      </c>
      <c r="N164" s="0" t="n">
        <v>46.5</v>
      </c>
      <c r="O164" s="0" t="n">
        <v>32.22</v>
      </c>
      <c r="P164" s="0" t="n">
        <v>4.37</v>
      </c>
      <c r="Q164" s="0" t="n">
        <v>4.08</v>
      </c>
      <c r="R164" s="0" t="n">
        <v>4004</v>
      </c>
      <c r="S164" s="0" t="n">
        <v>7167</v>
      </c>
      <c r="T164" s="0" t="n">
        <v>44.2</v>
      </c>
      <c r="U164" s="0" t="n">
        <v>1926</v>
      </c>
      <c r="V164" s="0" t="n">
        <v>4</v>
      </c>
      <c r="W164" s="39" t="n">
        <f aca="false">IF(I164="Male",0,1)</f>
        <v>1</v>
      </c>
      <c r="X164" s="39" t="n">
        <f aca="false">IF(OR(I164="DNB",I164="Dry DNB"),1,0)</f>
        <v>0</v>
      </c>
      <c r="Y164" s="39" t="n">
        <f aca="false">MATCH(A164,DATAS,0)</f>
        <v>1</v>
      </c>
      <c r="Z164" s="39" t="n">
        <f aca="false">IF(AND(E164&gt;0,OR(AND(B164&gt;=1,B164&lt;=6),B164=10)),1,0)</f>
        <v>1</v>
      </c>
      <c r="AA164" s="39" t="n">
        <f aca="false">IF(AND(E164&gt;0,B164=10),1,0)</f>
        <v>0</v>
      </c>
      <c r="AB164" s="0" t="str">
        <f aca="false">IF(AND(C163=C164,Y163=Y164-1),Z163,"")</f>
        <v/>
      </c>
      <c r="AC164" s="0" t="str">
        <f aca="false">IF(AND(C163=C164,Y163=Y164-1),AA163,"")</f>
        <v/>
      </c>
      <c r="AD164" s="0" t="str">
        <f aca="false">IF(Y164=1,"",IF(AND(Z164=1,AB164&lt;&gt;1),1,0))</f>
        <v/>
      </c>
      <c r="AE164" s="0" t="str">
        <f aca="false">IF(Y164=1,"",IF(AND(AA164=1,AC164&lt;&gt;1),1,0))</f>
        <v/>
      </c>
      <c r="AF164" s="45" t="str">
        <f aca="false">IF(AND(E164&gt;0,Y164&lt;1,NOT(AND(C165=C164,Y165=Y164+1))),INDEX(DATAS,Y164+1),"")</f>
        <v/>
      </c>
      <c r="AG164" s="45" t="str">
        <f aca="false">IF(AND(AA164=1,Y164&lt;1),IF(AND(C165=C164,Y165=Y164+1),IF(AA165=1,"",INDEX(DATAS,Y164+1)),INDEX(DATAS,Y164+1)),"")</f>
        <v/>
      </c>
    </row>
    <row r="165" customFormat="false" ht="15" hidden="false" customHeight="false" outlineLevel="0" collapsed="false">
      <c r="A165" s="45" t="n">
        <v>46309</v>
      </c>
      <c r="B165" s="0" t="n">
        <v>5</v>
      </c>
      <c r="C165" s="0" t="n">
        <v>3510</v>
      </c>
      <c r="D165" s="0" t="n">
        <v>56</v>
      </c>
      <c r="E165" s="0" t="n">
        <v>4</v>
      </c>
      <c r="F165" s="39" t="s">
        <v>259</v>
      </c>
      <c r="G165" s="0" t="n">
        <v>46.6</v>
      </c>
      <c r="H165" s="0" t="n">
        <v>43</v>
      </c>
      <c r="I165" s="39" t="s">
        <v>118</v>
      </c>
      <c r="J165" s="0" t="n">
        <v>56</v>
      </c>
      <c r="M165" s="0" t="n">
        <v>264.05</v>
      </c>
      <c r="N165" s="0" t="n">
        <v>23.33</v>
      </c>
      <c r="O165" s="0" t="n">
        <v>18.94</v>
      </c>
      <c r="P165" s="0" t="n">
        <v>4.04</v>
      </c>
      <c r="Q165" s="0" t="n">
        <v>3.55</v>
      </c>
      <c r="R165" s="0" t="n">
        <v>3133</v>
      </c>
      <c r="S165" s="0" t="n">
        <v>6297</v>
      </c>
      <c r="U165" s="0" t="n">
        <v>1926</v>
      </c>
      <c r="V165" s="0" t="n">
        <v>0</v>
      </c>
      <c r="W165" s="39" t="n">
        <f aca="false">IF(I165="Male",0,1)</f>
        <v>1</v>
      </c>
      <c r="X165" s="39" t="n">
        <f aca="false">IF(OR(I165="DNB",I165="Dry DNB"),1,0)</f>
        <v>0</v>
      </c>
      <c r="Y165" s="39" t="n">
        <f aca="false">MATCH(A165,DATAS,0)</f>
        <v>1</v>
      </c>
      <c r="Z165" s="39" t="n">
        <f aca="false">IF(AND(E165&gt;0,OR(AND(B165&gt;=1,B165&lt;=6),B165=10)),1,0)</f>
        <v>1</v>
      </c>
      <c r="AA165" s="39" t="n">
        <f aca="false">IF(AND(E165&gt;0,B165=10),1,0)</f>
        <v>0</v>
      </c>
      <c r="AB165" s="0" t="str">
        <f aca="false">IF(AND(C164=C165,Y164=Y165-1),Z164,"")</f>
        <v/>
      </c>
      <c r="AC165" s="0" t="str">
        <f aca="false">IF(AND(C164=C165,Y164=Y165-1),AA164,"")</f>
        <v/>
      </c>
      <c r="AD165" s="0" t="str">
        <f aca="false">IF(Y165=1,"",IF(AND(Z165=1,AB165&lt;&gt;1),1,0))</f>
        <v/>
      </c>
      <c r="AE165" s="0" t="str">
        <f aca="false">IF(Y165=1,"",IF(AND(AA165=1,AC165&lt;&gt;1),1,0))</f>
        <v/>
      </c>
      <c r="AF165" s="45" t="str">
        <f aca="false">IF(AND(E165&gt;0,Y165&lt;1,NOT(AND(C166=C165,Y166=Y165+1))),INDEX(DATAS,Y165+1),"")</f>
        <v/>
      </c>
      <c r="AG165" s="45" t="str">
        <f aca="false">IF(AND(AA165=1,Y165&lt;1),IF(AND(C166=C165,Y166=Y165+1),IF(AA166=1,"",INDEX(DATAS,Y165+1)),INDEX(DATAS,Y165+1)),"")</f>
        <v/>
      </c>
    </row>
    <row r="166" customFormat="false" ht="15" hidden="false" customHeight="false" outlineLevel="0" collapsed="false">
      <c r="A166" s="45" t="n">
        <v>46309</v>
      </c>
      <c r="B166" s="0" t="n">
        <v>2</v>
      </c>
      <c r="C166" s="0" t="n">
        <v>3511</v>
      </c>
      <c r="D166" s="0" t="n">
        <v>97</v>
      </c>
      <c r="E166" s="0" t="n">
        <v>4</v>
      </c>
      <c r="F166" s="39" t="s">
        <v>260</v>
      </c>
      <c r="G166" s="0" t="n">
        <v>60.5</v>
      </c>
      <c r="H166" s="0" t="n">
        <v>62</v>
      </c>
      <c r="I166" s="39" t="s">
        <v>146</v>
      </c>
      <c r="J166" s="0" t="n">
        <v>97</v>
      </c>
      <c r="K166" s="0" t="n">
        <v>62</v>
      </c>
      <c r="M166" s="0" t="n">
        <v>95.23</v>
      </c>
      <c r="N166" s="0" t="n">
        <v>38.64</v>
      </c>
      <c r="O166" s="0" t="n">
        <v>10.43</v>
      </c>
      <c r="P166" s="0" t="n">
        <v>3.07</v>
      </c>
      <c r="Q166" s="0" t="n">
        <v>3.07</v>
      </c>
      <c r="R166" s="0" t="n">
        <v>6250</v>
      </c>
      <c r="S166" s="0" t="n">
        <v>12563</v>
      </c>
      <c r="U166" s="0" t="n">
        <v>1925</v>
      </c>
      <c r="V166" s="0" t="n">
        <v>1</v>
      </c>
      <c r="W166" s="39" t="n">
        <f aca="false">IF(I166="Male",0,1)</f>
        <v>1</v>
      </c>
      <c r="X166" s="39" t="n">
        <f aca="false">IF(OR(I166="DNB",I166="Dry DNB"),1,0)</f>
        <v>0</v>
      </c>
      <c r="Y166" s="39" t="n">
        <f aca="false">MATCH(A166,DATAS,0)</f>
        <v>1</v>
      </c>
      <c r="Z166" s="39" t="n">
        <f aca="false">IF(AND(E166&gt;0,OR(AND(B166&gt;=1,B166&lt;=6),B166=10)),1,0)</f>
        <v>1</v>
      </c>
      <c r="AA166" s="39" t="n">
        <f aca="false">IF(AND(E166&gt;0,B166=10),1,0)</f>
        <v>0</v>
      </c>
      <c r="AB166" s="0" t="str">
        <f aca="false">IF(AND(C165=C166,Y165=Y166-1),Z165,"")</f>
        <v/>
      </c>
      <c r="AC166" s="0" t="str">
        <f aca="false">IF(AND(C165=C166,Y165=Y166-1),AA165,"")</f>
        <v/>
      </c>
      <c r="AD166" s="0" t="str">
        <f aca="false">IF(Y166=1,"",IF(AND(Z166=1,AB166&lt;&gt;1),1,0))</f>
        <v/>
      </c>
      <c r="AE166" s="0" t="str">
        <f aca="false">IF(Y166=1,"",IF(AND(AA166=1,AC166&lt;&gt;1),1,0))</f>
        <v/>
      </c>
      <c r="AF166" s="45" t="str">
        <f aca="false">IF(AND(E166&gt;0,Y166&lt;1,NOT(AND(C167=C166,Y167=Y166+1))),INDEX(DATAS,Y166+1),"")</f>
        <v/>
      </c>
      <c r="AG166" s="45" t="str">
        <f aca="false">IF(AND(AA166=1,Y166&lt;1),IF(AND(C167=C166,Y167=Y166+1),IF(AA167=1,"",INDEX(DATAS,Y166+1)),INDEX(DATAS,Y166+1)),"")</f>
        <v/>
      </c>
    </row>
    <row r="167" customFormat="false" ht="15" hidden="false" customHeight="false" outlineLevel="0" collapsed="false">
      <c r="A167" s="45" t="n">
        <v>46309</v>
      </c>
      <c r="B167" s="0" t="n">
        <v>5</v>
      </c>
      <c r="C167" s="0" t="n">
        <v>3513</v>
      </c>
      <c r="D167" s="0" t="n">
        <v>315</v>
      </c>
      <c r="E167" s="0" t="n">
        <v>3</v>
      </c>
      <c r="F167" s="39" t="s">
        <v>261</v>
      </c>
      <c r="G167" s="0" t="n">
        <v>46.5</v>
      </c>
      <c r="H167" s="0" t="n">
        <v>46</v>
      </c>
      <c r="I167" s="39" t="s">
        <v>109</v>
      </c>
      <c r="J167" s="0" t="n">
        <v>98</v>
      </c>
      <c r="K167" s="0" t="n">
        <v>63</v>
      </c>
      <c r="L167" s="0" t="n">
        <v>217</v>
      </c>
      <c r="M167" s="0" t="n">
        <v>599.38</v>
      </c>
      <c r="N167" s="0" t="n">
        <v>31.82</v>
      </c>
      <c r="O167" s="0" t="n">
        <v>29.97</v>
      </c>
      <c r="P167" s="0" t="n">
        <v>4.03</v>
      </c>
      <c r="Q167" s="0" t="n">
        <v>3.63</v>
      </c>
      <c r="R167" s="0" t="n">
        <v>5530</v>
      </c>
      <c r="S167" s="0" t="n">
        <v>10993</v>
      </c>
      <c r="T167" s="0" t="n">
        <v>58.7</v>
      </c>
      <c r="U167" s="0" t="n">
        <v>1921</v>
      </c>
      <c r="V167" s="0" t="n">
        <v>2</v>
      </c>
      <c r="W167" s="39" t="n">
        <f aca="false">IF(I167="Male",0,1)</f>
        <v>1</v>
      </c>
      <c r="X167" s="39" t="n">
        <f aca="false">IF(OR(I167="DNB",I167="Dry DNB"),1,0)</f>
        <v>0</v>
      </c>
      <c r="Y167" s="39" t="n">
        <f aca="false">MATCH(A167,DATAS,0)</f>
        <v>1</v>
      </c>
      <c r="Z167" s="39" t="n">
        <f aca="false">IF(AND(E167&gt;0,OR(AND(B167&gt;=1,B167&lt;=6),B167=10)),1,0)</f>
        <v>1</v>
      </c>
      <c r="AA167" s="39" t="n">
        <f aca="false">IF(AND(E167&gt;0,B167=10),1,0)</f>
        <v>0</v>
      </c>
      <c r="AB167" s="0" t="str">
        <f aca="false">IF(AND(C166=C167,Y166=Y167-1),Z166,"")</f>
        <v/>
      </c>
      <c r="AC167" s="0" t="str">
        <f aca="false">IF(AND(C166=C167,Y166=Y167-1),AA166,"")</f>
        <v/>
      </c>
      <c r="AD167" s="0" t="str">
        <f aca="false">IF(Y167=1,"",IF(AND(Z167=1,AB167&lt;&gt;1),1,0))</f>
        <v/>
      </c>
      <c r="AE167" s="0" t="str">
        <f aca="false">IF(Y167=1,"",IF(AND(AA167=1,AC167&lt;&gt;1),1,0))</f>
        <v/>
      </c>
      <c r="AF167" s="45" t="str">
        <f aca="false">IF(AND(E167&gt;0,Y167&lt;1,NOT(AND(C168=C167,Y168=Y167+1))),INDEX(DATAS,Y167+1),"")</f>
        <v/>
      </c>
      <c r="AG167" s="45" t="str">
        <f aca="false">IF(AND(AA167=1,Y167&lt;1),IF(AND(C168=C167,Y168=Y167+1),IF(AA168=1,"",INDEX(DATAS,Y167+1)),INDEX(DATAS,Y167+1)),"")</f>
        <v/>
      </c>
    </row>
    <row r="168" customFormat="false" ht="15" hidden="false" customHeight="false" outlineLevel="0" collapsed="false">
      <c r="A168" s="45" t="n">
        <v>46309</v>
      </c>
      <c r="B168" s="0" t="n">
        <v>2</v>
      </c>
      <c r="C168" s="0" t="n">
        <v>3520</v>
      </c>
      <c r="D168" s="0" t="n">
        <v>167</v>
      </c>
      <c r="E168" s="0" t="n">
        <v>3</v>
      </c>
      <c r="F168" s="39" t="s">
        <v>262</v>
      </c>
      <c r="G168" s="0" t="n">
        <v>53.4</v>
      </c>
      <c r="H168" s="0" t="n">
        <v>51</v>
      </c>
      <c r="I168" s="39" t="s">
        <v>138</v>
      </c>
      <c r="J168" s="0" t="n">
        <v>167</v>
      </c>
      <c r="K168" s="0" t="n">
        <v>83</v>
      </c>
      <c r="M168" s="0" t="n">
        <v>681.44</v>
      </c>
      <c r="N168" s="0" t="n">
        <v>54.67</v>
      </c>
      <c r="O168" s="0" t="n">
        <v>27.26</v>
      </c>
      <c r="P168" s="0" t="n">
        <v>2.8</v>
      </c>
      <c r="Q168" s="0" t="n">
        <v>3.14</v>
      </c>
      <c r="R168" s="0" t="n">
        <v>5032</v>
      </c>
      <c r="S168" s="0" t="n">
        <v>10212</v>
      </c>
      <c r="T168" s="0" t="n">
        <v>54.75</v>
      </c>
      <c r="U168" s="0" t="n">
        <v>1919</v>
      </c>
      <c r="V168" s="0" t="n">
        <v>4</v>
      </c>
      <c r="W168" s="39" t="n">
        <f aca="false">IF(I168="Male",0,1)</f>
        <v>1</v>
      </c>
      <c r="X168" s="39" t="n">
        <f aca="false">IF(OR(I168="DNB",I168="Dry DNB"),1,0)</f>
        <v>0</v>
      </c>
      <c r="Y168" s="39" t="n">
        <f aca="false">MATCH(A168,DATAS,0)</f>
        <v>1</v>
      </c>
      <c r="Z168" s="39" t="n">
        <f aca="false">IF(AND(E168&gt;0,OR(AND(B168&gt;=1,B168&lt;=6),B168=10)),1,0)</f>
        <v>1</v>
      </c>
      <c r="AA168" s="39" t="n">
        <f aca="false">IF(AND(E168&gt;0,B168=10),1,0)</f>
        <v>0</v>
      </c>
      <c r="AB168" s="0" t="str">
        <f aca="false">IF(AND(C167=C168,Y167=Y168-1),Z167,"")</f>
        <v/>
      </c>
      <c r="AC168" s="0" t="str">
        <f aca="false">IF(AND(C167=C168,Y167=Y168-1),AA167,"")</f>
        <v/>
      </c>
      <c r="AD168" s="0" t="str">
        <f aca="false">IF(Y168=1,"",IF(AND(Z168=1,AB168&lt;&gt;1),1,0))</f>
        <v/>
      </c>
      <c r="AE168" s="0" t="str">
        <f aca="false">IF(Y168=1,"",IF(AND(AA168=1,AC168&lt;&gt;1),1,0))</f>
        <v/>
      </c>
      <c r="AF168" s="45" t="str">
        <f aca="false">IF(AND(E168&gt;0,Y168&lt;1,NOT(AND(C169=C168,Y169=Y168+1))),INDEX(DATAS,Y168+1),"")</f>
        <v/>
      </c>
      <c r="AG168" s="45" t="str">
        <f aca="false">IF(AND(AA168=1,Y168&lt;1),IF(AND(C169=C168,Y169=Y168+1),IF(AA169=1,"",INDEX(DATAS,Y168+1)),INDEX(DATAS,Y168+1)),"")</f>
        <v/>
      </c>
    </row>
    <row r="169" customFormat="false" ht="15" hidden="false" customHeight="false" outlineLevel="0" collapsed="false">
      <c r="A169" s="45" t="n">
        <v>46309</v>
      </c>
      <c r="B169" s="0" t="n">
        <v>7</v>
      </c>
      <c r="C169" s="0" t="n">
        <v>3526</v>
      </c>
      <c r="D169" s="0" t="n">
        <v>389</v>
      </c>
      <c r="E169" s="0" t="n">
        <v>3</v>
      </c>
      <c r="F169" s="39" t="s">
        <v>263</v>
      </c>
      <c r="I169" s="39" t="s">
        <v>114</v>
      </c>
      <c r="J169" s="0" t="n">
        <v>278</v>
      </c>
      <c r="K169" s="0" t="n">
        <v>61</v>
      </c>
      <c r="L169" s="0" t="n">
        <v>210</v>
      </c>
      <c r="M169" s="0" t="n">
        <v>643.4</v>
      </c>
      <c r="N169" s="0" t="n">
        <v>53.45</v>
      </c>
      <c r="O169" s="0" t="n">
        <v>33.4</v>
      </c>
      <c r="P169" s="0" t="n">
        <v>6.36</v>
      </c>
      <c r="Q169" s="0" t="n">
        <v>4.73</v>
      </c>
      <c r="R169" s="0" t="n">
        <v>6215</v>
      </c>
      <c r="S169" s="0" t="n">
        <v>12110</v>
      </c>
      <c r="T169" s="0" t="n">
        <v>66.9</v>
      </c>
      <c r="U169" s="0" t="n">
        <v>1915</v>
      </c>
      <c r="V169" s="0" t="n">
        <v>8</v>
      </c>
      <c r="W169" s="39" t="n">
        <f aca="false">IF(I169="Male",0,1)</f>
        <v>1</v>
      </c>
      <c r="X169" s="39" t="n">
        <f aca="false">IF(OR(I169="DNB",I169="Dry DNB"),1,0)</f>
        <v>0</v>
      </c>
      <c r="Y169" s="39" t="n">
        <f aca="false">MATCH(A169,DATAS,0)</f>
        <v>1</v>
      </c>
      <c r="Z169" s="39" t="n">
        <f aca="false">IF(AND(E169&gt;0,OR(AND(B169&gt;=1,B169&lt;=6),B169=10)),1,0)</f>
        <v>0</v>
      </c>
      <c r="AA169" s="39" t="n">
        <f aca="false">IF(AND(E169&gt;0,B169=10),1,0)</f>
        <v>0</v>
      </c>
      <c r="AB169" s="0" t="str">
        <f aca="false">IF(AND(C168=C169,Y168=Y169-1),Z168,"")</f>
        <v/>
      </c>
      <c r="AC169" s="0" t="str">
        <f aca="false">IF(AND(C168=C169,Y168=Y169-1),AA168,"")</f>
        <v/>
      </c>
      <c r="AD169" s="0" t="str">
        <f aca="false">IF(Y169=1,"",IF(AND(Z169=1,AB169&lt;&gt;1),1,0))</f>
        <v/>
      </c>
      <c r="AE169" s="0" t="str">
        <f aca="false">IF(Y169=1,"",IF(AND(AA169=1,AC169&lt;&gt;1),1,0))</f>
        <v/>
      </c>
      <c r="AF169" s="45" t="str">
        <f aca="false">IF(AND(E169&gt;0,Y169&lt;1,NOT(AND(C170=C169,Y170=Y169+1))),INDEX(DATAS,Y169+1),"")</f>
        <v/>
      </c>
      <c r="AG169" s="45" t="str">
        <f aca="false">IF(AND(AA169=1,Y169&lt;1),IF(AND(C170=C169,Y170=Y169+1),IF(AA170=1,"",INDEX(DATAS,Y169+1)),INDEX(DATAS,Y169+1)),"")</f>
        <v/>
      </c>
    </row>
    <row r="170" customFormat="false" ht="15" hidden="false" customHeight="false" outlineLevel="0" collapsed="false">
      <c r="A170" s="45" t="n">
        <v>46309</v>
      </c>
      <c r="B170" s="0" t="n">
        <v>5</v>
      </c>
      <c r="C170" s="0" t="n">
        <v>3528</v>
      </c>
      <c r="D170" s="0" t="n">
        <v>192</v>
      </c>
      <c r="E170" s="0" t="n">
        <v>3</v>
      </c>
      <c r="F170" s="39" t="s">
        <v>264</v>
      </c>
      <c r="G170" s="0" t="n">
        <v>38.4</v>
      </c>
      <c r="H170" s="0" t="n">
        <v>37</v>
      </c>
      <c r="I170" s="39" t="s">
        <v>109</v>
      </c>
      <c r="J170" s="0" t="n">
        <v>108</v>
      </c>
      <c r="K170" s="0" t="n">
        <v>66</v>
      </c>
      <c r="L170" s="0" t="n">
        <v>84</v>
      </c>
      <c r="P170" s="0" t="n">
        <v>3.95</v>
      </c>
      <c r="Q170" s="0" t="n">
        <v>4.32</v>
      </c>
      <c r="R170" s="0" t="n">
        <v>3463</v>
      </c>
      <c r="S170" s="0" t="n">
        <v>7285</v>
      </c>
      <c r="T170" s="0" t="n">
        <v>38.25</v>
      </c>
      <c r="U170" s="0" t="n">
        <v>1914</v>
      </c>
      <c r="V170" s="0" t="n">
        <v>2</v>
      </c>
      <c r="W170" s="39" t="n">
        <f aca="false">IF(I170="Male",0,1)</f>
        <v>1</v>
      </c>
      <c r="X170" s="39" t="n">
        <f aca="false">IF(OR(I170="DNB",I170="Dry DNB"),1,0)</f>
        <v>0</v>
      </c>
      <c r="Y170" s="39" t="n">
        <f aca="false">MATCH(A170,DATAS,0)</f>
        <v>1</v>
      </c>
      <c r="Z170" s="39" t="n">
        <f aca="false">IF(AND(E170&gt;0,OR(AND(B170&gt;=1,B170&lt;=6),B170=10)),1,0)</f>
        <v>1</v>
      </c>
      <c r="AA170" s="39" t="n">
        <f aca="false">IF(AND(E170&gt;0,B170=10),1,0)</f>
        <v>0</v>
      </c>
      <c r="AB170" s="0" t="str">
        <f aca="false">IF(AND(C169=C170,Y169=Y170-1),Z169,"")</f>
        <v/>
      </c>
      <c r="AC170" s="0" t="str">
        <f aca="false">IF(AND(C169=C170,Y169=Y170-1),AA169,"")</f>
        <v/>
      </c>
      <c r="AD170" s="0" t="str">
        <f aca="false">IF(Y170=1,"",IF(AND(Z170=1,AB170&lt;&gt;1),1,0))</f>
        <v/>
      </c>
      <c r="AE170" s="0" t="str">
        <f aca="false">IF(Y170=1,"",IF(AND(AA170=1,AC170&lt;&gt;1),1,0))</f>
        <v/>
      </c>
      <c r="AF170" s="45" t="str">
        <f aca="false">IF(AND(E170&gt;0,Y170&lt;1,NOT(AND(C171=C170,Y171=Y170+1))),INDEX(DATAS,Y170+1),"")</f>
        <v/>
      </c>
      <c r="AG170" s="45" t="str">
        <f aca="false">IF(AND(AA170=1,Y170&lt;1),IF(AND(C171=C170,Y171=Y170+1),IF(AA171=1,"",INDEX(DATAS,Y170+1)),INDEX(DATAS,Y170+1)),"")</f>
        <v/>
      </c>
    </row>
    <row r="171" customFormat="false" ht="15" hidden="false" customHeight="false" outlineLevel="0" collapsed="false">
      <c r="A171" s="45" t="n">
        <v>46309</v>
      </c>
      <c r="B171" s="0" t="n">
        <v>7</v>
      </c>
      <c r="C171" s="0" t="n">
        <v>3543</v>
      </c>
      <c r="D171" s="0" t="n">
        <v>475</v>
      </c>
      <c r="E171" s="0" t="n">
        <v>3</v>
      </c>
      <c r="F171" s="39" t="s">
        <v>265</v>
      </c>
      <c r="G171" s="0" t="n">
        <v>7</v>
      </c>
      <c r="H171" s="0" t="n">
        <v>10</v>
      </c>
      <c r="I171" s="39" t="s">
        <v>114</v>
      </c>
      <c r="J171" s="0" t="n">
        <v>301</v>
      </c>
      <c r="K171" s="0" t="n">
        <v>63</v>
      </c>
      <c r="L171" s="0" t="n">
        <v>175</v>
      </c>
      <c r="M171" s="0" t="n">
        <v>160.8</v>
      </c>
      <c r="N171" s="0" t="n">
        <v>46.01</v>
      </c>
      <c r="O171" s="0" t="n">
        <v>20.49</v>
      </c>
      <c r="P171" s="0" t="n">
        <v>6.94</v>
      </c>
      <c r="Q171" s="0" t="n">
        <v>5.07</v>
      </c>
      <c r="R171" s="0" t="n">
        <v>5919</v>
      </c>
      <c r="S171" s="0" t="n">
        <v>11693</v>
      </c>
      <c r="T171" s="0" t="n">
        <v>63.55</v>
      </c>
      <c r="U171" s="0" t="n">
        <v>1904</v>
      </c>
      <c r="V171" s="0" t="n">
        <v>7</v>
      </c>
      <c r="W171" s="39" t="n">
        <f aca="false">IF(I171="Male",0,1)</f>
        <v>1</v>
      </c>
      <c r="X171" s="39" t="n">
        <f aca="false">IF(OR(I171="DNB",I171="Dry DNB"),1,0)</f>
        <v>0</v>
      </c>
      <c r="Y171" s="39" t="n">
        <f aca="false">MATCH(A171,DATAS,0)</f>
        <v>1</v>
      </c>
      <c r="Z171" s="39" t="n">
        <f aca="false">IF(AND(E171&gt;0,OR(AND(B171&gt;=1,B171&lt;=6),B171=10)),1,0)</f>
        <v>0</v>
      </c>
      <c r="AA171" s="39" t="n">
        <f aca="false">IF(AND(E171&gt;0,B171=10),1,0)</f>
        <v>0</v>
      </c>
      <c r="AB171" s="0" t="str">
        <f aca="false">IF(AND(C170=C171,Y170=Y171-1),Z170,"")</f>
        <v/>
      </c>
      <c r="AC171" s="0" t="str">
        <f aca="false">IF(AND(C170=C171,Y170=Y171-1),AA170,"")</f>
        <v/>
      </c>
      <c r="AD171" s="0" t="str">
        <f aca="false">IF(Y171=1,"",IF(AND(Z171=1,AB171&lt;&gt;1),1,0))</f>
        <v/>
      </c>
      <c r="AE171" s="0" t="str">
        <f aca="false">IF(Y171=1,"",IF(AND(AA171=1,AC171&lt;&gt;1),1,0))</f>
        <v/>
      </c>
      <c r="AF171" s="45" t="str">
        <f aca="false">IF(AND(E171&gt;0,Y171&lt;1,NOT(AND(C172=C171,Y172=Y171+1))),INDEX(DATAS,Y171+1),"")</f>
        <v/>
      </c>
      <c r="AG171" s="45" t="str">
        <f aca="false">IF(AND(AA171=1,Y171&lt;1),IF(AND(C172=C171,Y172=Y171+1),IF(AA172=1,"",INDEX(DATAS,Y171+1)),INDEX(DATAS,Y171+1)),"")</f>
        <v/>
      </c>
    </row>
    <row r="172" customFormat="false" ht="15" hidden="false" customHeight="false" outlineLevel="0" collapsed="false">
      <c r="A172" s="45" t="n">
        <v>46309</v>
      </c>
      <c r="B172" s="0" t="n">
        <v>5</v>
      </c>
      <c r="C172" s="0" t="n">
        <v>3547</v>
      </c>
      <c r="D172" s="0" t="n">
        <v>152</v>
      </c>
      <c r="E172" s="0" t="n">
        <v>3</v>
      </c>
      <c r="F172" s="39" t="s">
        <v>266</v>
      </c>
      <c r="G172" s="0" t="n">
        <v>31.6</v>
      </c>
      <c r="H172" s="0" t="n">
        <v>29</v>
      </c>
      <c r="I172" s="39" t="s">
        <v>138</v>
      </c>
      <c r="J172" s="0" t="n">
        <v>152</v>
      </c>
      <c r="K172" s="0" t="n">
        <v>68</v>
      </c>
      <c r="M172" s="0" t="n">
        <v>-547.39</v>
      </c>
      <c r="N172" s="0" t="n">
        <v>-1.65</v>
      </c>
      <c r="O172" s="0" t="n">
        <v>-0.64</v>
      </c>
      <c r="P172" s="0" t="n">
        <v>3.53</v>
      </c>
      <c r="Q172" s="0" t="n">
        <v>3.53</v>
      </c>
      <c r="R172" s="0" t="n">
        <v>4010</v>
      </c>
      <c r="S172" s="0" t="n">
        <v>8139</v>
      </c>
      <c r="T172" s="0" t="n">
        <v>40.95</v>
      </c>
      <c r="U172" s="0" t="n">
        <v>1900</v>
      </c>
      <c r="V172" s="0" t="n">
        <v>3</v>
      </c>
      <c r="W172" s="39" t="n">
        <f aca="false">IF(I172="Male",0,1)</f>
        <v>1</v>
      </c>
      <c r="X172" s="39" t="n">
        <f aca="false">IF(OR(I172="DNB",I172="Dry DNB"),1,0)</f>
        <v>0</v>
      </c>
      <c r="Y172" s="39" t="n">
        <f aca="false">MATCH(A172,DATAS,0)</f>
        <v>1</v>
      </c>
      <c r="Z172" s="39" t="n">
        <f aca="false">IF(AND(E172&gt;0,OR(AND(B172&gt;=1,B172&lt;=6),B172=10)),1,0)</f>
        <v>1</v>
      </c>
      <c r="AA172" s="39" t="n">
        <f aca="false">IF(AND(E172&gt;0,B172=10),1,0)</f>
        <v>0</v>
      </c>
      <c r="AB172" s="0" t="str">
        <f aca="false">IF(AND(C171=C172,Y171=Y172-1),Z171,"")</f>
        <v/>
      </c>
      <c r="AC172" s="0" t="str">
        <f aca="false">IF(AND(C171=C172,Y171=Y172-1),AA171,"")</f>
        <v/>
      </c>
      <c r="AD172" s="0" t="str">
        <f aca="false">IF(Y172=1,"",IF(AND(Z172=1,AB172&lt;&gt;1),1,0))</f>
        <v/>
      </c>
      <c r="AE172" s="0" t="str">
        <f aca="false">IF(Y172=1,"",IF(AND(AA172=1,AC172&lt;&gt;1),1,0))</f>
        <v/>
      </c>
      <c r="AF172" s="45" t="str">
        <f aca="false">IF(AND(E172&gt;0,Y172&lt;1,NOT(AND(C173=C172,Y173=Y172+1))),INDEX(DATAS,Y172+1),"")</f>
        <v/>
      </c>
      <c r="AG172" s="45" t="str">
        <f aca="false">IF(AND(AA172=1,Y172&lt;1),IF(AND(C173=C172,Y173=Y172+1),IF(AA173=1,"",INDEX(DATAS,Y172+1)),INDEX(DATAS,Y172+1)),"")</f>
        <v/>
      </c>
    </row>
    <row r="173" customFormat="false" ht="15" hidden="false" customHeight="false" outlineLevel="0" collapsed="false">
      <c r="A173" s="45" t="n">
        <v>46309</v>
      </c>
      <c r="B173" s="0" t="n">
        <v>2</v>
      </c>
      <c r="C173" s="0" t="n">
        <v>3549</v>
      </c>
      <c r="D173" s="0" t="n">
        <v>297</v>
      </c>
      <c r="E173" s="0" t="n">
        <v>3</v>
      </c>
      <c r="F173" s="39" t="s">
        <v>267</v>
      </c>
      <c r="G173" s="0" t="n">
        <v>51.4</v>
      </c>
      <c r="H173" s="0" t="n">
        <v>50</v>
      </c>
      <c r="I173" s="39" t="s">
        <v>138</v>
      </c>
      <c r="J173" s="0" t="n">
        <v>297</v>
      </c>
      <c r="K173" s="0" t="n">
        <v>66</v>
      </c>
      <c r="M173" s="0" t="n">
        <v>138.9</v>
      </c>
      <c r="N173" s="0" t="n">
        <v>51.78</v>
      </c>
      <c r="O173" s="0" t="n">
        <v>14.31</v>
      </c>
      <c r="P173" s="0" t="n">
        <v>4.22</v>
      </c>
      <c r="Q173" s="0" t="n">
        <v>3.58</v>
      </c>
      <c r="R173" s="0" t="n">
        <v>5893</v>
      </c>
      <c r="S173" s="0" t="n">
        <v>12398</v>
      </c>
      <c r="T173" s="0" t="n">
        <v>62.95</v>
      </c>
      <c r="U173" s="0" t="n">
        <v>1899</v>
      </c>
      <c r="V173" s="0" t="n">
        <v>5</v>
      </c>
      <c r="W173" s="39" t="n">
        <f aca="false">IF(I173="Male",0,1)</f>
        <v>1</v>
      </c>
      <c r="X173" s="39" t="n">
        <f aca="false">IF(OR(I173="DNB",I173="Dry DNB"),1,0)</f>
        <v>0</v>
      </c>
      <c r="Y173" s="39" t="n">
        <f aca="false">MATCH(A173,DATAS,0)</f>
        <v>1</v>
      </c>
      <c r="Z173" s="39" t="n">
        <f aca="false">IF(AND(E173&gt;0,OR(AND(B173&gt;=1,B173&lt;=6),B173=10)),1,0)</f>
        <v>1</v>
      </c>
      <c r="AA173" s="39" t="n">
        <f aca="false">IF(AND(E173&gt;0,B173=10),1,0)</f>
        <v>0</v>
      </c>
      <c r="AB173" s="0" t="str">
        <f aca="false">IF(AND(C172=C173,Y172=Y173-1),Z172,"")</f>
        <v/>
      </c>
      <c r="AC173" s="0" t="str">
        <f aca="false">IF(AND(C172=C173,Y172=Y173-1),AA172,"")</f>
        <v/>
      </c>
      <c r="AD173" s="0" t="str">
        <f aca="false">IF(Y173=1,"",IF(AND(Z173=1,AB173&lt;&gt;1),1,0))</f>
        <v/>
      </c>
      <c r="AE173" s="0" t="str">
        <f aca="false">IF(Y173=1,"",IF(AND(AA173=1,AC173&lt;&gt;1),1,0))</f>
        <v/>
      </c>
      <c r="AF173" s="45" t="str">
        <f aca="false">IF(AND(E173&gt;0,Y173&lt;1,NOT(AND(C174=C173,Y174=Y173+1))),INDEX(DATAS,Y173+1),"")</f>
        <v/>
      </c>
      <c r="AG173" s="45" t="str">
        <f aca="false">IF(AND(AA173=1,Y173&lt;1),IF(AND(C174=C173,Y174=Y173+1),IF(AA174=1,"",INDEX(DATAS,Y173+1)),INDEX(DATAS,Y173+1)),"")</f>
        <v/>
      </c>
    </row>
    <row r="174" customFormat="false" ht="15" hidden="false" customHeight="false" outlineLevel="0" collapsed="false">
      <c r="A174" s="45" t="n">
        <v>46309</v>
      </c>
      <c r="B174" s="0" t="n">
        <v>3</v>
      </c>
      <c r="C174" s="0" t="n">
        <v>3551</v>
      </c>
      <c r="D174" s="0" t="n">
        <v>158</v>
      </c>
      <c r="E174" s="0" t="n">
        <v>3</v>
      </c>
      <c r="F174" s="39" t="s">
        <v>267</v>
      </c>
      <c r="G174" s="0" t="n">
        <v>56.4</v>
      </c>
      <c r="H174" s="0" t="n">
        <v>55</v>
      </c>
      <c r="I174" s="39" t="s">
        <v>138</v>
      </c>
      <c r="J174" s="0" t="n">
        <v>158</v>
      </c>
      <c r="K174" s="0" t="n">
        <v>47</v>
      </c>
      <c r="M174" s="0" t="n">
        <v>638.22</v>
      </c>
      <c r="N174" s="0" t="n">
        <v>46.68</v>
      </c>
      <c r="O174" s="0" t="n">
        <v>26.24</v>
      </c>
      <c r="P174" s="0" t="n">
        <v>3.24</v>
      </c>
      <c r="Q174" s="0" t="n">
        <v>3.11</v>
      </c>
      <c r="R174" s="0" t="n">
        <v>4561</v>
      </c>
      <c r="S174" s="0" t="n">
        <v>9802</v>
      </c>
      <c r="T174" s="0" t="n">
        <v>54.35</v>
      </c>
      <c r="U174" s="0" t="n">
        <v>1899</v>
      </c>
      <c r="V174" s="0" t="n">
        <v>4</v>
      </c>
      <c r="W174" s="39" t="n">
        <f aca="false">IF(I174="Male",0,1)</f>
        <v>1</v>
      </c>
      <c r="X174" s="39" t="n">
        <f aca="false">IF(OR(I174="DNB",I174="Dry DNB"),1,0)</f>
        <v>0</v>
      </c>
      <c r="Y174" s="39" t="n">
        <f aca="false">MATCH(A174,DATAS,0)</f>
        <v>1</v>
      </c>
      <c r="Z174" s="39" t="n">
        <f aca="false">IF(AND(E174&gt;0,OR(AND(B174&gt;=1,B174&lt;=6),B174=10)),1,0)</f>
        <v>1</v>
      </c>
      <c r="AA174" s="39" t="n">
        <f aca="false">IF(AND(E174&gt;0,B174=10),1,0)</f>
        <v>0</v>
      </c>
      <c r="AB174" s="0" t="str">
        <f aca="false">IF(AND(C173=C174,Y173=Y174-1),Z173,"")</f>
        <v/>
      </c>
      <c r="AC174" s="0" t="str">
        <f aca="false">IF(AND(C173=C174,Y173=Y174-1),AA173,"")</f>
        <v/>
      </c>
      <c r="AD174" s="0" t="str">
        <f aca="false">IF(Y174=1,"",IF(AND(Z174=1,AB174&lt;&gt;1),1,0))</f>
        <v/>
      </c>
      <c r="AE174" s="0" t="str">
        <f aca="false">IF(Y174=1,"",IF(AND(AA174=1,AC174&lt;&gt;1),1,0))</f>
        <v/>
      </c>
      <c r="AF174" s="45" t="str">
        <f aca="false">IF(AND(E174&gt;0,Y174&lt;1,NOT(AND(C175=C174,Y175=Y174+1))),INDEX(DATAS,Y174+1),"")</f>
        <v/>
      </c>
      <c r="AG174" s="45" t="str">
        <f aca="false">IF(AND(AA174=1,Y174&lt;1),IF(AND(C175=C174,Y175=Y174+1),IF(AA175=1,"",INDEX(DATAS,Y174+1)),INDEX(DATAS,Y174+1)),"")</f>
        <v/>
      </c>
    </row>
    <row r="175" customFormat="false" ht="15" hidden="false" customHeight="false" outlineLevel="0" collapsed="false">
      <c r="A175" s="45" t="n">
        <v>46309</v>
      </c>
      <c r="B175" s="0" t="n">
        <v>5</v>
      </c>
      <c r="C175" s="0" t="n">
        <v>3553</v>
      </c>
      <c r="D175" s="0" t="n">
        <v>188</v>
      </c>
      <c r="E175" s="0" t="n">
        <v>4</v>
      </c>
      <c r="F175" s="39" t="s">
        <v>267</v>
      </c>
      <c r="G175" s="0" t="n">
        <v>44.6</v>
      </c>
      <c r="H175" s="0" t="n">
        <v>39</v>
      </c>
      <c r="I175" s="39" t="s">
        <v>109</v>
      </c>
      <c r="J175" s="0" t="n">
        <v>104</v>
      </c>
      <c r="K175" s="0" t="n">
        <v>62</v>
      </c>
      <c r="L175" s="0" t="n">
        <v>84</v>
      </c>
      <c r="M175" s="0" t="n">
        <v>157.79</v>
      </c>
      <c r="N175" s="0" t="n">
        <v>45.15</v>
      </c>
      <c r="O175" s="0" t="n">
        <v>25.16</v>
      </c>
      <c r="P175" s="0" t="n">
        <v>4.89</v>
      </c>
      <c r="Q175" s="0" t="n">
        <v>3.72</v>
      </c>
      <c r="R175" s="0" t="n">
        <v>3434</v>
      </c>
      <c r="S175" s="0" t="n">
        <v>7790</v>
      </c>
      <c r="T175" s="0" t="n">
        <v>40.8</v>
      </c>
      <c r="U175" s="0" t="n">
        <v>1899</v>
      </c>
      <c r="V175" s="0" t="n">
        <v>2</v>
      </c>
      <c r="W175" s="39" t="n">
        <f aca="false">IF(I175="Male",0,1)</f>
        <v>1</v>
      </c>
      <c r="X175" s="39" t="n">
        <f aca="false">IF(OR(I175="DNB",I175="Dry DNB"),1,0)</f>
        <v>0</v>
      </c>
      <c r="Y175" s="39" t="n">
        <f aca="false">MATCH(A175,DATAS,0)</f>
        <v>1</v>
      </c>
      <c r="Z175" s="39" t="n">
        <f aca="false">IF(AND(E175&gt;0,OR(AND(B175&gt;=1,B175&lt;=6),B175=10)),1,0)</f>
        <v>1</v>
      </c>
      <c r="AA175" s="39" t="n">
        <f aca="false">IF(AND(E175&gt;0,B175=10),1,0)</f>
        <v>0</v>
      </c>
      <c r="AB175" s="0" t="str">
        <f aca="false">IF(AND(C174=C175,Y174=Y175-1),Z174,"")</f>
        <v/>
      </c>
      <c r="AC175" s="0" t="str">
        <f aca="false">IF(AND(C174=C175,Y174=Y175-1),AA174,"")</f>
        <v/>
      </c>
      <c r="AD175" s="0" t="str">
        <f aca="false">IF(Y175=1,"",IF(AND(Z175=1,AB175&lt;&gt;1),1,0))</f>
        <v/>
      </c>
      <c r="AE175" s="0" t="str">
        <f aca="false">IF(Y175=1,"",IF(AND(AA175=1,AC175&lt;&gt;1),1,0))</f>
        <v/>
      </c>
      <c r="AF175" s="45" t="str">
        <f aca="false">IF(AND(E175&gt;0,Y175&lt;1,NOT(AND(C176=C175,Y176=Y175+1))),INDEX(DATAS,Y175+1),"")</f>
        <v/>
      </c>
      <c r="AG175" s="45" t="str">
        <f aca="false">IF(AND(AA175=1,Y175&lt;1),IF(AND(C176=C175,Y176=Y175+1),IF(AA176=1,"",INDEX(DATAS,Y175+1)),INDEX(DATAS,Y175+1)),"")</f>
        <v/>
      </c>
    </row>
    <row r="176" customFormat="false" ht="15" hidden="false" customHeight="false" outlineLevel="0" collapsed="false">
      <c r="A176" s="45" t="n">
        <v>46309</v>
      </c>
      <c r="B176" s="0" t="n">
        <v>6</v>
      </c>
      <c r="C176" s="0" t="n">
        <v>3554</v>
      </c>
      <c r="D176" s="0" t="n">
        <v>351</v>
      </c>
      <c r="E176" s="0" t="n">
        <v>3</v>
      </c>
      <c r="F176" s="39" t="s">
        <v>267</v>
      </c>
      <c r="G176" s="0" t="n">
        <v>29.5</v>
      </c>
      <c r="H176" s="0" t="n">
        <v>28</v>
      </c>
      <c r="I176" s="39" t="s">
        <v>96</v>
      </c>
      <c r="J176" s="0" t="n">
        <v>351</v>
      </c>
      <c r="K176" s="0" t="n">
        <v>65</v>
      </c>
      <c r="M176" s="0" t="n">
        <v>1168.16</v>
      </c>
      <c r="N176" s="0" t="n">
        <v>74.28</v>
      </c>
      <c r="O176" s="0" t="n">
        <v>37.62</v>
      </c>
      <c r="P176" s="0" t="n">
        <v>5.27</v>
      </c>
      <c r="Q176" s="0" t="n">
        <v>3.94</v>
      </c>
      <c r="R176" s="0" t="n">
        <v>5187</v>
      </c>
      <c r="S176" s="0" t="n">
        <v>8133</v>
      </c>
      <c r="T176" s="0" t="n">
        <v>65.9</v>
      </c>
      <c r="U176" s="0" t="n">
        <v>1899</v>
      </c>
      <c r="V176" s="0" t="n">
        <v>3</v>
      </c>
      <c r="W176" s="39" t="n">
        <f aca="false">IF(I176="Male",0,1)</f>
        <v>1</v>
      </c>
      <c r="X176" s="39" t="n">
        <f aca="false">IF(OR(I176="DNB",I176="Dry DNB"),1,0)</f>
        <v>1</v>
      </c>
      <c r="Y176" s="39" t="n">
        <f aca="false">MATCH(A176,DATAS,0)</f>
        <v>1</v>
      </c>
      <c r="Z176" s="39" t="n">
        <f aca="false">IF(AND(E176&gt;0,OR(AND(B176&gt;=1,B176&lt;=6),B176=10)),1,0)</f>
        <v>1</v>
      </c>
      <c r="AA176" s="39" t="n">
        <f aca="false">IF(AND(E176&gt;0,B176=10),1,0)</f>
        <v>0</v>
      </c>
      <c r="AB176" s="0" t="str">
        <f aca="false">IF(AND(C175=C176,Y175=Y176-1),Z175,"")</f>
        <v/>
      </c>
      <c r="AC176" s="0" t="str">
        <f aca="false">IF(AND(C175=C176,Y175=Y176-1),AA175,"")</f>
        <v/>
      </c>
      <c r="AD176" s="0" t="str">
        <f aca="false">IF(Y176=1,"",IF(AND(Z176=1,AB176&lt;&gt;1),1,0))</f>
        <v/>
      </c>
      <c r="AE176" s="0" t="str">
        <f aca="false">IF(Y176=1,"",IF(AND(AA176=1,AC176&lt;&gt;1),1,0))</f>
        <v/>
      </c>
      <c r="AF176" s="45" t="str">
        <f aca="false">IF(AND(E176&gt;0,Y176&lt;1,NOT(AND(C177=C176,Y177=Y176+1))),INDEX(DATAS,Y176+1),"")</f>
        <v/>
      </c>
      <c r="AG176" s="45" t="str">
        <f aca="false">IF(AND(AA176=1,Y176&lt;1),IF(AND(C177=C176,Y177=Y176+1),IF(AA177=1,"",INDEX(DATAS,Y176+1)),INDEX(DATAS,Y176+1)),"")</f>
        <v/>
      </c>
    </row>
    <row r="177" customFormat="false" ht="15" hidden="false" customHeight="false" outlineLevel="0" collapsed="false">
      <c r="A177" s="45" t="n">
        <v>46309</v>
      </c>
      <c r="B177" s="0" t="n">
        <v>5</v>
      </c>
      <c r="C177" s="0" t="n">
        <v>3558</v>
      </c>
      <c r="D177" s="0" t="n">
        <v>49</v>
      </c>
      <c r="E177" s="0" t="n">
        <v>4</v>
      </c>
      <c r="F177" s="39" t="s">
        <v>268</v>
      </c>
      <c r="G177" s="0" t="n">
        <v>41.1</v>
      </c>
      <c r="H177" s="0" t="n">
        <v>46</v>
      </c>
      <c r="I177" s="39" t="s">
        <v>118</v>
      </c>
      <c r="J177" s="0" t="n">
        <v>49</v>
      </c>
      <c r="M177" s="0" t="n">
        <v>126.28</v>
      </c>
      <c r="N177" s="0" t="n">
        <v>9.29</v>
      </c>
      <c r="O177" s="0" t="n">
        <v>9.21</v>
      </c>
      <c r="P177" s="0" t="n">
        <v>4.87</v>
      </c>
      <c r="Q177" s="0" t="n">
        <v>3.68</v>
      </c>
      <c r="R177" s="0" t="n">
        <v>3515</v>
      </c>
      <c r="S177" s="0" t="n">
        <v>7066</v>
      </c>
      <c r="U177" s="0" t="n">
        <v>1896</v>
      </c>
      <c r="V177" s="0" t="n">
        <v>0</v>
      </c>
      <c r="W177" s="39" t="n">
        <f aca="false">IF(I177="Male",0,1)</f>
        <v>1</v>
      </c>
      <c r="X177" s="39" t="n">
        <f aca="false">IF(OR(I177="DNB",I177="Dry DNB"),1,0)</f>
        <v>0</v>
      </c>
      <c r="Y177" s="39" t="n">
        <f aca="false">MATCH(A177,DATAS,0)</f>
        <v>1</v>
      </c>
      <c r="Z177" s="39" t="n">
        <f aca="false">IF(AND(E177&gt;0,OR(AND(B177&gt;=1,B177&lt;=6),B177=10)),1,0)</f>
        <v>1</v>
      </c>
      <c r="AA177" s="39" t="n">
        <f aca="false">IF(AND(E177&gt;0,B177=10),1,0)</f>
        <v>0</v>
      </c>
      <c r="AB177" s="0" t="str">
        <f aca="false">IF(AND(C176=C177,Y176=Y177-1),Z176,"")</f>
        <v/>
      </c>
      <c r="AC177" s="0" t="str">
        <f aca="false">IF(AND(C176=C177,Y176=Y177-1),AA176,"")</f>
        <v/>
      </c>
      <c r="AD177" s="0" t="str">
        <f aca="false">IF(Y177=1,"",IF(AND(Z177=1,AB177&lt;&gt;1),1,0))</f>
        <v/>
      </c>
      <c r="AE177" s="0" t="str">
        <f aca="false">IF(Y177=1,"",IF(AND(AA177=1,AC177&lt;&gt;1),1,0))</f>
        <v/>
      </c>
      <c r="AF177" s="45" t="str">
        <f aca="false">IF(AND(E177&gt;0,Y177&lt;1,NOT(AND(C178=C177,Y178=Y177+1))),INDEX(DATAS,Y177+1),"")</f>
        <v/>
      </c>
      <c r="AG177" s="45" t="str">
        <f aca="false">IF(AND(AA177=1,Y177&lt;1),IF(AND(C178=C177,Y178=Y177+1),IF(AA178=1,"",INDEX(DATAS,Y177+1)),INDEX(DATAS,Y177+1)),"")</f>
        <v/>
      </c>
    </row>
    <row r="178" customFormat="false" ht="15" hidden="false" customHeight="false" outlineLevel="0" collapsed="false">
      <c r="A178" s="45" t="n">
        <v>46309</v>
      </c>
      <c r="B178" s="0" t="n">
        <v>6</v>
      </c>
      <c r="C178" s="0" t="n">
        <v>3567</v>
      </c>
      <c r="D178" s="0" t="n">
        <v>159</v>
      </c>
      <c r="E178" s="0" t="n">
        <v>4</v>
      </c>
      <c r="F178" s="39" t="s">
        <v>269</v>
      </c>
      <c r="G178" s="0" t="n">
        <v>33.1</v>
      </c>
      <c r="H178" s="0" t="n">
        <v>32</v>
      </c>
      <c r="I178" s="39" t="s">
        <v>138</v>
      </c>
      <c r="J178" s="0" t="n">
        <v>159</v>
      </c>
      <c r="K178" s="0" t="n">
        <v>68</v>
      </c>
      <c r="M178" s="0" t="n">
        <v>333.81</v>
      </c>
      <c r="N178" s="0" t="n">
        <v>35.07</v>
      </c>
      <c r="O178" s="0" t="n">
        <v>20.03</v>
      </c>
      <c r="P178" s="0" t="n">
        <v>4.38</v>
      </c>
      <c r="Q178" s="0" t="n">
        <v>3.31</v>
      </c>
      <c r="R178" s="0" t="n">
        <v>5015</v>
      </c>
      <c r="S178" s="0" t="n">
        <v>9492</v>
      </c>
      <c r="T178" s="0" t="n">
        <v>58.05</v>
      </c>
      <c r="U178" s="0" t="n">
        <v>1892</v>
      </c>
      <c r="V178" s="0" t="n">
        <v>3</v>
      </c>
      <c r="W178" s="39" t="n">
        <f aca="false">IF(I178="Male",0,1)</f>
        <v>1</v>
      </c>
      <c r="X178" s="39" t="n">
        <f aca="false">IF(OR(I178="DNB",I178="Dry DNB"),1,0)</f>
        <v>0</v>
      </c>
      <c r="Y178" s="39" t="n">
        <f aca="false">MATCH(A178,DATAS,0)</f>
        <v>1</v>
      </c>
      <c r="Z178" s="39" t="n">
        <f aca="false">IF(AND(E178&gt;0,OR(AND(B178&gt;=1,B178&lt;=6),B178=10)),1,0)</f>
        <v>1</v>
      </c>
      <c r="AA178" s="39" t="n">
        <f aca="false">IF(AND(E178&gt;0,B178=10),1,0)</f>
        <v>0</v>
      </c>
      <c r="AB178" s="0" t="str">
        <f aca="false">IF(AND(C177=C178,Y177=Y178-1),Z177,"")</f>
        <v/>
      </c>
      <c r="AC178" s="0" t="str">
        <f aca="false">IF(AND(C177=C178,Y177=Y178-1),AA177,"")</f>
        <v/>
      </c>
      <c r="AD178" s="0" t="str">
        <f aca="false">IF(Y178=1,"",IF(AND(Z178=1,AB178&lt;&gt;1),1,0))</f>
        <v/>
      </c>
      <c r="AE178" s="0" t="str">
        <f aca="false">IF(Y178=1,"",IF(AND(AA178=1,AC178&lt;&gt;1),1,0))</f>
        <v/>
      </c>
      <c r="AF178" s="45" t="str">
        <f aca="false">IF(AND(E178&gt;0,Y178&lt;1,NOT(AND(C179=C178,Y179=Y178+1))),INDEX(DATAS,Y178+1),"")</f>
        <v/>
      </c>
      <c r="AG178" s="45" t="str">
        <f aca="false">IF(AND(AA178=1,Y178&lt;1),IF(AND(C179=C178,Y179=Y178+1),IF(AA179=1,"",INDEX(DATAS,Y178+1)),INDEX(DATAS,Y178+1)),"")</f>
        <v/>
      </c>
    </row>
    <row r="179" customFormat="false" ht="15" hidden="false" customHeight="false" outlineLevel="0" collapsed="false">
      <c r="A179" s="45" t="n">
        <v>46309</v>
      </c>
      <c r="B179" s="0" t="n">
        <v>2</v>
      </c>
      <c r="C179" s="0" t="n">
        <v>3569</v>
      </c>
      <c r="D179" s="0" t="n">
        <v>11</v>
      </c>
      <c r="E179" s="0" t="n">
        <v>3</v>
      </c>
      <c r="F179" s="39" t="s">
        <v>270</v>
      </c>
      <c r="G179" s="0" t="n">
        <v>43.7</v>
      </c>
      <c r="H179" s="0" t="n">
        <v>37</v>
      </c>
      <c r="I179" s="39" t="s">
        <v>118</v>
      </c>
      <c r="J179" s="0" t="n">
        <v>11</v>
      </c>
      <c r="M179" s="0" t="n">
        <v>-44.33</v>
      </c>
      <c r="N179" s="0" t="n">
        <v>33.79</v>
      </c>
      <c r="O179" s="0" t="n">
        <v>7.14</v>
      </c>
      <c r="R179" s="0" t="n">
        <v>2661</v>
      </c>
      <c r="S179" s="0" t="n">
        <v>5350</v>
      </c>
      <c r="U179" s="0" t="n">
        <v>1890</v>
      </c>
      <c r="V179" s="0" t="n">
        <v>0</v>
      </c>
      <c r="W179" s="39" t="n">
        <f aca="false">IF(I179="Male",0,1)</f>
        <v>1</v>
      </c>
      <c r="X179" s="39" t="n">
        <f aca="false">IF(OR(I179="DNB",I179="Dry DNB"),1,0)</f>
        <v>0</v>
      </c>
      <c r="Y179" s="39" t="n">
        <f aca="false">MATCH(A179,DATAS,0)</f>
        <v>1</v>
      </c>
      <c r="Z179" s="39" t="n">
        <f aca="false">IF(AND(E179&gt;0,OR(AND(B179&gt;=1,B179&lt;=6),B179=10)),1,0)</f>
        <v>1</v>
      </c>
      <c r="AA179" s="39" t="n">
        <f aca="false">IF(AND(E179&gt;0,B179=10),1,0)</f>
        <v>0</v>
      </c>
      <c r="AB179" s="0" t="str">
        <f aca="false">IF(AND(C178=C179,Y178=Y179-1),Z178,"")</f>
        <v/>
      </c>
      <c r="AC179" s="0" t="str">
        <f aca="false">IF(AND(C178=C179,Y178=Y179-1),AA178,"")</f>
        <v/>
      </c>
      <c r="AD179" s="0" t="str">
        <f aca="false">IF(Y179=1,"",IF(AND(Z179=1,AB179&lt;&gt;1),1,0))</f>
        <v/>
      </c>
      <c r="AE179" s="0" t="str">
        <f aca="false">IF(Y179=1,"",IF(AND(AA179=1,AC179&lt;&gt;1),1,0))</f>
        <v/>
      </c>
      <c r="AF179" s="45" t="str">
        <f aca="false">IF(AND(E179&gt;0,Y179&lt;1,NOT(AND(C180=C179,Y180=Y179+1))),INDEX(DATAS,Y179+1),"")</f>
        <v/>
      </c>
      <c r="AG179" s="45" t="str">
        <f aca="false">IF(AND(AA179=1,Y179&lt;1),IF(AND(C180=C179,Y180=Y179+1),IF(AA180=1,"",INDEX(DATAS,Y179+1)),INDEX(DATAS,Y179+1)),"")</f>
        <v/>
      </c>
    </row>
    <row r="180" customFormat="false" ht="15" hidden="false" customHeight="false" outlineLevel="0" collapsed="false">
      <c r="A180" s="45" t="n">
        <v>46309</v>
      </c>
      <c r="B180" s="0" t="n">
        <v>5</v>
      </c>
      <c r="C180" s="0" t="n">
        <v>3572</v>
      </c>
      <c r="D180" s="0" t="n">
        <v>271</v>
      </c>
      <c r="E180" s="0" t="n">
        <v>3</v>
      </c>
      <c r="F180" s="39" t="s">
        <v>271</v>
      </c>
      <c r="G180" s="0" t="n">
        <v>51.4</v>
      </c>
      <c r="H180" s="0" t="n">
        <v>42</v>
      </c>
      <c r="I180" s="39" t="s">
        <v>109</v>
      </c>
      <c r="J180" s="0" t="n">
        <v>138</v>
      </c>
      <c r="K180" s="0" t="n">
        <v>75</v>
      </c>
      <c r="L180" s="0" t="n">
        <v>133</v>
      </c>
      <c r="M180" s="0" t="n">
        <v>505.86</v>
      </c>
      <c r="N180" s="0" t="n">
        <v>50.31</v>
      </c>
      <c r="O180" s="0" t="n">
        <v>29.61</v>
      </c>
      <c r="P180" s="0" t="n">
        <v>2.94</v>
      </c>
      <c r="Q180" s="0" t="n">
        <v>3.55</v>
      </c>
      <c r="R180" s="0" t="n">
        <v>5120</v>
      </c>
      <c r="S180" s="0" t="n">
        <v>11441</v>
      </c>
      <c r="T180" s="0" t="n">
        <v>56.7</v>
      </c>
      <c r="U180" s="0" t="n">
        <v>1889</v>
      </c>
      <c r="V180" s="0" t="n">
        <v>3</v>
      </c>
      <c r="W180" s="39" t="n">
        <f aca="false">IF(I180="Male",0,1)</f>
        <v>1</v>
      </c>
      <c r="X180" s="39" t="n">
        <f aca="false">IF(OR(I180="DNB",I180="Dry DNB"),1,0)</f>
        <v>0</v>
      </c>
      <c r="Y180" s="39" t="n">
        <f aca="false">MATCH(A180,DATAS,0)</f>
        <v>1</v>
      </c>
      <c r="Z180" s="39" t="n">
        <f aca="false">IF(AND(E180&gt;0,OR(AND(B180&gt;=1,B180&lt;=6),B180=10)),1,0)</f>
        <v>1</v>
      </c>
      <c r="AA180" s="39" t="n">
        <f aca="false">IF(AND(E180&gt;0,B180=10),1,0)</f>
        <v>0</v>
      </c>
      <c r="AB180" s="0" t="str">
        <f aca="false">IF(AND(C179=C180,Y179=Y180-1),Z179,"")</f>
        <v/>
      </c>
      <c r="AC180" s="0" t="str">
        <f aca="false">IF(AND(C179=C180,Y179=Y180-1),AA179,"")</f>
        <v/>
      </c>
      <c r="AD180" s="0" t="str">
        <f aca="false">IF(Y180=1,"",IF(AND(Z180=1,AB180&lt;&gt;1),1,0))</f>
        <v/>
      </c>
      <c r="AE180" s="0" t="str">
        <f aca="false">IF(Y180=1,"",IF(AND(AA180=1,AC180&lt;&gt;1),1,0))</f>
        <v/>
      </c>
      <c r="AF180" s="45" t="str">
        <f aca="false">IF(AND(E180&gt;0,Y180&lt;1,NOT(AND(C181=C180,Y181=Y180+1))),INDEX(DATAS,Y180+1),"")</f>
        <v/>
      </c>
      <c r="AG180" s="45" t="str">
        <f aca="false">IF(AND(AA180=1,Y180&lt;1),IF(AND(C181=C180,Y181=Y180+1),IF(AA181=1,"",INDEX(DATAS,Y180+1)),INDEX(DATAS,Y180+1)),"")</f>
        <v/>
      </c>
    </row>
    <row r="181" customFormat="false" ht="15" hidden="false" customHeight="false" outlineLevel="0" collapsed="false">
      <c r="A181" s="45" t="n">
        <v>46309</v>
      </c>
      <c r="B181" s="0" t="n">
        <v>2</v>
      </c>
      <c r="C181" s="0" t="n">
        <v>3573</v>
      </c>
      <c r="D181" s="0" t="n">
        <v>211</v>
      </c>
      <c r="E181" s="0" t="n">
        <v>3</v>
      </c>
      <c r="F181" s="39" t="s">
        <v>272</v>
      </c>
      <c r="G181" s="0" t="n">
        <v>47.3</v>
      </c>
      <c r="H181" s="0" t="n">
        <v>53</v>
      </c>
      <c r="I181" s="39" t="s">
        <v>109</v>
      </c>
      <c r="J181" s="0" t="n">
        <v>64</v>
      </c>
      <c r="K181" s="0" t="n">
        <v>64</v>
      </c>
      <c r="L181" s="0" t="n">
        <v>147</v>
      </c>
      <c r="M181" s="0" t="n">
        <v>745.61</v>
      </c>
      <c r="N181" s="0" t="n">
        <v>38.08</v>
      </c>
      <c r="O181" s="0" t="n">
        <v>28.29</v>
      </c>
      <c r="P181" s="0" t="n">
        <v>2.89</v>
      </c>
      <c r="Q181" s="0" t="n">
        <v>3.44</v>
      </c>
      <c r="R181" s="0" t="n">
        <v>6331</v>
      </c>
      <c r="S181" s="0" t="n">
        <v>11908</v>
      </c>
      <c r="T181" s="0" t="n">
        <v>67.65</v>
      </c>
      <c r="U181" s="0" t="n">
        <v>1887</v>
      </c>
      <c r="V181" s="0" t="n">
        <v>1</v>
      </c>
      <c r="W181" s="39" t="n">
        <f aca="false">IF(I181="Male",0,1)</f>
        <v>1</v>
      </c>
      <c r="X181" s="39" t="n">
        <f aca="false">IF(OR(I181="DNB",I181="Dry DNB"),1,0)</f>
        <v>0</v>
      </c>
      <c r="Y181" s="39" t="n">
        <f aca="false">MATCH(A181,DATAS,0)</f>
        <v>1</v>
      </c>
      <c r="Z181" s="39" t="n">
        <f aca="false">IF(AND(E181&gt;0,OR(AND(B181&gt;=1,B181&lt;=6),B181=10)),1,0)</f>
        <v>1</v>
      </c>
      <c r="AA181" s="39" t="n">
        <f aca="false">IF(AND(E181&gt;0,B181=10),1,0)</f>
        <v>0</v>
      </c>
      <c r="AB181" s="0" t="str">
        <f aca="false">IF(AND(C180=C181,Y180=Y181-1),Z180,"")</f>
        <v/>
      </c>
      <c r="AC181" s="0" t="str">
        <f aca="false">IF(AND(C180=C181,Y180=Y181-1),AA180,"")</f>
        <v/>
      </c>
      <c r="AD181" s="0" t="str">
        <f aca="false">IF(Y181=1,"",IF(AND(Z181=1,AB181&lt;&gt;1),1,0))</f>
        <v/>
      </c>
      <c r="AE181" s="0" t="str">
        <f aca="false">IF(Y181=1,"",IF(AND(AA181=1,AC181&lt;&gt;1),1,0))</f>
        <v/>
      </c>
      <c r="AF181" s="45" t="str">
        <f aca="false">IF(AND(E181&gt;0,Y181&lt;1,NOT(AND(C182=C181,Y182=Y181+1))),INDEX(DATAS,Y181+1),"")</f>
        <v/>
      </c>
      <c r="AG181" s="45" t="str">
        <f aca="false">IF(AND(AA181=1,Y181&lt;1),IF(AND(C182=C181,Y182=Y181+1),IF(AA182=1,"",INDEX(DATAS,Y181+1)),INDEX(DATAS,Y181+1)),"")</f>
        <v/>
      </c>
    </row>
    <row r="182" customFormat="false" ht="15" hidden="false" customHeight="false" outlineLevel="0" collapsed="false">
      <c r="A182" s="45" t="n">
        <v>46309</v>
      </c>
      <c r="B182" s="0" t="n">
        <v>7</v>
      </c>
      <c r="C182" s="0" t="n">
        <v>3574</v>
      </c>
      <c r="D182" s="0" t="n">
        <v>471</v>
      </c>
      <c r="E182" s="0" t="n">
        <v>3</v>
      </c>
      <c r="F182" s="39" t="s">
        <v>273</v>
      </c>
      <c r="I182" s="39" t="s">
        <v>114</v>
      </c>
      <c r="J182" s="0" t="n">
        <v>255</v>
      </c>
      <c r="K182" s="0" t="n">
        <v>59</v>
      </c>
      <c r="L182" s="0" t="n">
        <v>245</v>
      </c>
      <c r="M182" s="0" t="n">
        <v>475.83</v>
      </c>
      <c r="N182" s="0" t="n">
        <v>50.24</v>
      </c>
      <c r="O182" s="0" t="n">
        <v>29.46</v>
      </c>
      <c r="P182" s="0" t="n">
        <v>6.09</v>
      </c>
      <c r="Q182" s="0" t="n">
        <v>4.34</v>
      </c>
      <c r="R182" s="0" t="n">
        <v>2825</v>
      </c>
      <c r="S182" s="0" t="n">
        <v>5577</v>
      </c>
      <c r="T182" s="0" t="n">
        <v>28.65</v>
      </c>
      <c r="U182" s="0" t="n">
        <v>1885</v>
      </c>
      <c r="V182" s="0" t="n">
        <v>6</v>
      </c>
      <c r="W182" s="39" t="n">
        <f aca="false">IF(I182="Male",0,1)</f>
        <v>1</v>
      </c>
      <c r="X182" s="39" t="n">
        <f aca="false">IF(OR(I182="DNB",I182="Dry DNB"),1,0)</f>
        <v>0</v>
      </c>
      <c r="Y182" s="39" t="n">
        <f aca="false">MATCH(A182,DATAS,0)</f>
        <v>1</v>
      </c>
      <c r="Z182" s="39" t="n">
        <f aca="false">IF(AND(E182&gt;0,OR(AND(B182&gt;=1,B182&lt;=6),B182=10)),1,0)</f>
        <v>0</v>
      </c>
      <c r="AA182" s="39" t="n">
        <f aca="false">IF(AND(E182&gt;0,B182=10),1,0)</f>
        <v>0</v>
      </c>
      <c r="AB182" s="0" t="str">
        <f aca="false">IF(AND(C181=C182,Y181=Y182-1),Z181,"")</f>
        <v/>
      </c>
      <c r="AC182" s="0" t="str">
        <f aca="false">IF(AND(C181=C182,Y181=Y182-1),AA181,"")</f>
        <v/>
      </c>
      <c r="AD182" s="0" t="str">
        <f aca="false">IF(Y182=1,"",IF(AND(Z182=1,AB182&lt;&gt;1),1,0))</f>
        <v/>
      </c>
      <c r="AE182" s="0" t="str">
        <f aca="false">IF(Y182=1,"",IF(AND(AA182=1,AC182&lt;&gt;1),1,0))</f>
        <v/>
      </c>
      <c r="AF182" s="45" t="str">
        <f aca="false">IF(AND(E182&gt;0,Y182&lt;1,NOT(AND(C183=C182,Y183=Y182+1))),INDEX(DATAS,Y182+1),"")</f>
        <v/>
      </c>
      <c r="AG182" s="45" t="str">
        <f aca="false">IF(AND(AA182=1,Y182&lt;1),IF(AND(C183=C182,Y183=Y182+1),IF(AA183=1,"",INDEX(DATAS,Y182+1)),INDEX(DATAS,Y182+1)),"")</f>
        <v/>
      </c>
    </row>
    <row r="183" customFormat="false" ht="15" hidden="false" customHeight="false" outlineLevel="0" collapsed="false">
      <c r="A183" s="45" t="n">
        <v>46309</v>
      </c>
      <c r="B183" s="0" t="n">
        <v>3</v>
      </c>
      <c r="C183" s="0" t="n">
        <v>3575</v>
      </c>
      <c r="D183" s="0" t="n">
        <v>46</v>
      </c>
      <c r="E183" s="0" t="n">
        <v>4</v>
      </c>
      <c r="F183" s="39" t="s">
        <v>274</v>
      </c>
      <c r="G183" s="0" t="n">
        <v>79.2</v>
      </c>
      <c r="H183" s="0" t="n">
        <v>78</v>
      </c>
      <c r="I183" s="39" t="s">
        <v>118</v>
      </c>
      <c r="J183" s="0" t="n">
        <v>46</v>
      </c>
      <c r="M183" s="0" t="n">
        <v>848.38</v>
      </c>
      <c r="N183" s="0" t="n">
        <v>43.68</v>
      </c>
      <c r="O183" s="0" t="n">
        <v>30.36</v>
      </c>
      <c r="P183" s="0" t="n">
        <v>2.73</v>
      </c>
      <c r="Q183" s="0" t="n">
        <v>3.28</v>
      </c>
      <c r="R183" s="0" t="n">
        <v>6361</v>
      </c>
      <c r="S183" s="0" t="n">
        <v>12786</v>
      </c>
      <c r="U183" s="0" t="n">
        <v>1884</v>
      </c>
      <c r="V183" s="0" t="n">
        <v>0</v>
      </c>
      <c r="W183" s="39" t="n">
        <f aca="false">IF(I183="Male",0,1)</f>
        <v>1</v>
      </c>
      <c r="X183" s="39" t="n">
        <f aca="false">IF(OR(I183="DNB",I183="Dry DNB"),1,0)</f>
        <v>0</v>
      </c>
      <c r="Y183" s="39" t="n">
        <f aca="false">MATCH(A183,DATAS,0)</f>
        <v>1</v>
      </c>
      <c r="Z183" s="39" t="n">
        <f aca="false">IF(AND(E183&gt;0,OR(AND(B183&gt;=1,B183&lt;=6),B183=10)),1,0)</f>
        <v>1</v>
      </c>
      <c r="AA183" s="39" t="n">
        <f aca="false">IF(AND(E183&gt;0,B183=10),1,0)</f>
        <v>0</v>
      </c>
      <c r="AB183" s="0" t="str">
        <f aca="false">IF(AND(C182=C183,Y182=Y183-1),Z182,"")</f>
        <v/>
      </c>
      <c r="AC183" s="0" t="str">
        <f aca="false">IF(AND(C182=C183,Y182=Y183-1),AA182,"")</f>
        <v/>
      </c>
      <c r="AD183" s="0" t="str">
        <f aca="false">IF(Y183=1,"",IF(AND(Z183=1,AB183&lt;&gt;1),1,0))</f>
        <v/>
      </c>
      <c r="AE183" s="0" t="str">
        <f aca="false">IF(Y183=1,"",IF(AND(AA183=1,AC183&lt;&gt;1),1,0))</f>
        <v/>
      </c>
      <c r="AF183" s="45" t="str">
        <f aca="false">IF(AND(E183&gt;0,Y183&lt;1,NOT(AND(C184=C183,Y184=Y183+1))),INDEX(DATAS,Y183+1),"")</f>
        <v/>
      </c>
      <c r="AG183" s="45" t="str">
        <f aca="false">IF(AND(AA183=1,Y183&lt;1),IF(AND(C184=C183,Y184=Y183+1),IF(AA184=1,"",INDEX(DATAS,Y183+1)),INDEX(DATAS,Y183+1)),"")</f>
        <v/>
      </c>
    </row>
    <row r="184" customFormat="false" ht="15" hidden="false" customHeight="false" outlineLevel="0" collapsed="false">
      <c r="A184" s="45" t="n">
        <v>46309</v>
      </c>
      <c r="B184" s="0" t="n">
        <v>2</v>
      </c>
      <c r="C184" s="0" t="n">
        <v>3576</v>
      </c>
      <c r="D184" s="0" t="n">
        <v>32</v>
      </c>
      <c r="E184" s="0" t="n">
        <v>5</v>
      </c>
      <c r="F184" s="39" t="s">
        <v>274</v>
      </c>
      <c r="G184" s="0" t="n">
        <v>64.4</v>
      </c>
      <c r="H184" s="0" t="n">
        <v>65</v>
      </c>
      <c r="I184" s="39" t="s">
        <v>118</v>
      </c>
      <c r="J184" s="0" t="n">
        <v>32</v>
      </c>
      <c r="M184" s="0" t="n">
        <v>467.18</v>
      </c>
      <c r="N184" s="0" t="n">
        <v>38.41</v>
      </c>
      <c r="O184" s="0" t="n">
        <v>19.84</v>
      </c>
      <c r="P184" s="0" t="n">
        <v>5.41</v>
      </c>
      <c r="Q184" s="0" t="n">
        <v>4</v>
      </c>
      <c r="R184" s="0" t="n">
        <v>5345</v>
      </c>
      <c r="S184" s="0" t="n">
        <v>10744</v>
      </c>
      <c r="U184" s="0" t="n">
        <v>1884</v>
      </c>
      <c r="V184" s="0" t="n">
        <v>0</v>
      </c>
      <c r="W184" s="39" t="n">
        <f aca="false">IF(I184="Male",0,1)</f>
        <v>1</v>
      </c>
      <c r="X184" s="39" t="n">
        <f aca="false">IF(OR(I184="DNB",I184="Dry DNB"),1,0)</f>
        <v>0</v>
      </c>
      <c r="Y184" s="39" t="n">
        <f aca="false">MATCH(A184,DATAS,0)</f>
        <v>1</v>
      </c>
      <c r="Z184" s="39" t="n">
        <f aca="false">IF(AND(E184&gt;0,OR(AND(B184&gt;=1,B184&lt;=6),B184=10)),1,0)</f>
        <v>1</v>
      </c>
      <c r="AA184" s="39" t="n">
        <f aca="false">IF(AND(E184&gt;0,B184=10),1,0)</f>
        <v>0</v>
      </c>
      <c r="AB184" s="0" t="str">
        <f aca="false">IF(AND(C183=C184,Y183=Y184-1),Z183,"")</f>
        <v/>
      </c>
      <c r="AC184" s="0" t="str">
        <f aca="false">IF(AND(C183=C184,Y183=Y184-1),AA183,"")</f>
        <v/>
      </c>
      <c r="AD184" s="0" t="str">
        <f aca="false">IF(Y184=1,"",IF(AND(Z184=1,AB184&lt;&gt;1),1,0))</f>
        <v/>
      </c>
      <c r="AE184" s="0" t="str">
        <f aca="false">IF(Y184=1,"",IF(AND(AA184=1,AC184&lt;&gt;1),1,0))</f>
        <v/>
      </c>
      <c r="AF184" s="45" t="str">
        <f aca="false">IF(AND(E184&gt;0,Y184&lt;1,NOT(AND(C185=C184,Y185=Y184+1))),INDEX(DATAS,Y184+1),"")</f>
        <v/>
      </c>
      <c r="AG184" s="45" t="str">
        <f aca="false">IF(AND(AA184=1,Y184&lt;1),IF(AND(C185=C184,Y185=Y184+1),IF(AA185=1,"",INDEX(DATAS,Y184+1)),INDEX(DATAS,Y184+1)),"")</f>
        <v/>
      </c>
    </row>
    <row r="185" customFormat="false" ht="15" hidden="false" customHeight="false" outlineLevel="0" collapsed="false">
      <c r="A185" s="45" t="n">
        <v>46309</v>
      </c>
      <c r="B185" s="0" t="n">
        <v>7</v>
      </c>
      <c r="C185" s="0" t="n">
        <v>3577</v>
      </c>
      <c r="D185" s="0" t="n">
        <v>322</v>
      </c>
      <c r="E185" s="0" t="n">
        <v>3</v>
      </c>
      <c r="F185" s="39" t="s">
        <v>275</v>
      </c>
      <c r="I185" s="39" t="s">
        <v>114</v>
      </c>
      <c r="J185" s="0" t="n">
        <v>134</v>
      </c>
      <c r="K185" s="0" t="n">
        <v>64</v>
      </c>
      <c r="L185" s="0" t="n">
        <v>245</v>
      </c>
      <c r="M185" s="0" t="n">
        <v>367.35</v>
      </c>
      <c r="N185" s="0" t="n">
        <v>46.97</v>
      </c>
      <c r="O185" s="0" t="n">
        <v>24.4</v>
      </c>
      <c r="P185" s="0" t="n">
        <v>6.31</v>
      </c>
      <c r="Q185" s="0" t="n">
        <v>4.48</v>
      </c>
      <c r="R185" s="0" t="n">
        <v>5907</v>
      </c>
      <c r="S185" s="0" t="n">
        <v>10839</v>
      </c>
      <c r="T185" s="0" t="n">
        <v>60.95</v>
      </c>
      <c r="U185" s="0" t="n">
        <v>1883</v>
      </c>
      <c r="V185" s="0" t="n">
        <v>3</v>
      </c>
      <c r="W185" s="39" t="n">
        <f aca="false">IF(I185="Male",0,1)</f>
        <v>1</v>
      </c>
      <c r="X185" s="39" t="n">
        <f aca="false">IF(OR(I185="DNB",I185="Dry DNB"),1,0)</f>
        <v>0</v>
      </c>
      <c r="Y185" s="39" t="n">
        <f aca="false">MATCH(A185,DATAS,0)</f>
        <v>1</v>
      </c>
      <c r="Z185" s="39" t="n">
        <f aca="false">IF(AND(E185&gt;0,OR(AND(B185&gt;=1,B185&lt;=6),B185=10)),1,0)</f>
        <v>0</v>
      </c>
      <c r="AA185" s="39" t="n">
        <f aca="false">IF(AND(E185&gt;0,B185=10),1,0)</f>
        <v>0</v>
      </c>
      <c r="AB185" s="0" t="str">
        <f aca="false">IF(AND(C184=C185,Y184=Y185-1),Z184,"")</f>
        <v/>
      </c>
      <c r="AC185" s="0" t="str">
        <f aca="false">IF(AND(C184=C185,Y184=Y185-1),AA184,"")</f>
        <v/>
      </c>
      <c r="AD185" s="0" t="str">
        <f aca="false">IF(Y185=1,"",IF(AND(Z185=1,AB185&lt;&gt;1),1,0))</f>
        <v/>
      </c>
      <c r="AE185" s="0" t="str">
        <f aca="false">IF(Y185=1,"",IF(AND(AA185=1,AC185&lt;&gt;1),1,0))</f>
        <v/>
      </c>
      <c r="AF185" s="45" t="str">
        <f aca="false">IF(AND(E185&gt;0,Y185&lt;1,NOT(AND(C186=C185,Y186=Y185+1))),INDEX(DATAS,Y185+1),"")</f>
        <v/>
      </c>
      <c r="AG185" s="45" t="str">
        <f aca="false">IF(AND(AA185=1,Y185&lt;1),IF(AND(C186=C185,Y186=Y185+1),IF(AA186=1,"",INDEX(DATAS,Y185+1)),INDEX(DATAS,Y185+1)),"")</f>
        <v/>
      </c>
    </row>
    <row r="186" customFormat="false" ht="15" hidden="false" customHeight="false" outlineLevel="0" collapsed="false">
      <c r="A186" s="45" t="n">
        <v>46309</v>
      </c>
      <c r="B186" s="0" t="n">
        <v>7</v>
      </c>
      <c r="C186" s="0" t="n">
        <v>3579</v>
      </c>
      <c r="D186" s="0" t="n">
        <v>238</v>
      </c>
      <c r="E186" s="0" t="n">
        <v>3</v>
      </c>
      <c r="F186" s="39" t="s">
        <v>276</v>
      </c>
      <c r="I186" s="39" t="s">
        <v>114</v>
      </c>
      <c r="J186" s="0" t="n">
        <v>64</v>
      </c>
      <c r="K186" s="0" t="n">
        <v>64</v>
      </c>
      <c r="L186" s="0" t="n">
        <v>196</v>
      </c>
      <c r="M186" s="0" t="n">
        <v>1053.4</v>
      </c>
      <c r="N186" s="0" t="n">
        <v>34.65</v>
      </c>
      <c r="O186" s="0" t="n">
        <v>33.36</v>
      </c>
      <c r="P186" s="0" t="n">
        <v>5.11</v>
      </c>
      <c r="Q186" s="0" t="n">
        <v>3.68</v>
      </c>
      <c r="R186" s="0" t="n">
        <v>5489</v>
      </c>
      <c r="S186" s="0" t="n">
        <v>10332</v>
      </c>
      <c r="T186" s="0" t="n">
        <v>61.8</v>
      </c>
      <c r="U186" s="0" t="n">
        <v>1881</v>
      </c>
      <c r="V186" s="0" t="n">
        <v>1</v>
      </c>
      <c r="W186" s="39" t="n">
        <f aca="false">IF(I186="Male",0,1)</f>
        <v>1</v>
      </c>
      <c r="X186" s="39" t="n">
        <f aca="false">IF(OR(I186="DNB",I186="Dry DNB"),1,0)</f>
        <v>0</v>
      </c>
      <c r="Y186" s="39" t="n">
        <f aca="false">MATCH(A186,DATAS,0)</f>
        <v>1</v>
      </c>
      <c r="Z186" s="39" t="n">
        <f aca="false">IF(AND(E186&gt;0,OR(AND(B186&gt;=1,B186&lt;=6),B186=10)),1,0)</f>
        <v>0</v>
      </c>
      <c r="AA186" s="39" t="n">
        <f aca="false">IF(AND(E186&gt;0,B186=10),1,0)</f>
        <v>0</v>
      </c>
      <c r="AB186" s="0" t="str">
        <f aca="false">IF(AND(C185=C186,Y185=Y186-1),Z185,"")</f>
        <v/>
      </c>
      <c r="AC186" s="0" t="str">
        <f aca="false">IF(AND(C185=C186,Y185=Y186-1),AA185,"")</f>
        <v/>
      </c>
      <c r="AD186" s="0" t="str">
        <f aca="false">IF(Y186=1,"",IF(AND(Z186=1,AB186&lt;&gt;1),1,0))</f>
        <v/>
      </c>
      <c r="AE186" s="0" t="str">
        <f aca="false">IF(Y186=1,"",IF(AND(AA186=1,AC186&lt;&gt;1),1,0))</f>
        <v/>
      </c>
      <c r="AF186" s="45" t="str">
        <f aca="false">IF(AND(E186&gt;0,Y186&lt;1,NOT(AND(C187=C186,Y187=Y186+1))),INDEX(DATAS,Y186+1),"")</f>
        <v/>
      </c>
      <c r="AG186" s="45" t="str">
        <f aca="false">IF(AND(AA186=1,Y186&lt;1),IF(AND(C187=C186,Y187=Y186+1),IF(AA187=1,"",INDEX(DATAS,Y186+1)),INDEX(DATAS,Y186+1)),"")</f>
        <v/>
      </c>
    </row>
    <row r="187" customFormat="false" ht="15" hidden="false" customHeight="false" outlineLevel="0" collapsed="false">
      <c r="A187" s="45" t="n">
        <v>46309</v>
      </c>
      <c r="B187" s="0" t="n">
        <v>6</v>
      </c>
      <c r="C187" s="0" t="n">
        <v>3583</v>
      </c>
      <c r="D187" s="0" t="n">
        <v>199</v>
      </c>
      <c r="E187" s="0" t="n">
        <v>3</v>
      </c>
      <c r="F187" s="39" t="s">
        <v>277</v>
      </c>
      <c r="G187" s="0" t="n">
        <v>30.7</v>
      </c>
      <c r="H187" s="0" t="n">
        <v>30</v>
      </c>
      <c r="I187" s="39" t="s">
        <v>96</v>
      </c>
      <c r="J187" s="0" t="n">
        <v>199</v>
      </c>
      <c r="M187" s="0" t="n">
        <v>296.15</v>
      </c>
      <c r="N187" s="0" t="n">
        <v>28.63</v>
      </c>
      <c r="O187" s="0" t="n">
        <v>18.54</v>
      </c>
      <c r="P187" s="0" t="n">
        <v>5.39</v>
      </c>
      <c r="Q187" s="0" t="n">
        <v>3.79</v>
      </c>
      <c r="R187" s="0" t="n">
        <v>3669</v>
      </c>
      <c r="S187" s="0" t="n">
        <v>6766</v>
      </c>
      <c r="T187" s="0" t="n">
        <v>40.9</v>
      </c>
      <c r="U187" s="0" t="n">
        <v>1880</v>
      </c>
      <c r="V187" s="0" t="n">
        <v>0</v>
      </c>
      <c r="W187" s="39" t="n">
        <f aca="false">IF(I187="Male",0,1)</f>
        <v>1</v>
      </c>
      <c r="X187" s="39" t="n">
        <f aca="false">IF(OR(I187="DNB",I187="Dry DNB"),1,0)</f>
        <v>1</v>
      </c>
      <c r="Y187" s="39" t="n">
        <f aca="false">MATCH(A187,DATAS,0)</f>
        <v>1</v>
      </c>
      <c r="Z187" s="39" t="n">
        <f aca="false">IF(AND(E187&gt;0,OR(AND(B187&gt;=1,B187&lt;=6),B187=10)),1,0)</f>
        <v>1</v>
      </c>
      <c r="AA187" s="39" t="n">
        <f aca="false">IF(AND(E187&gt;0,B187=10),1,0)</f>
        <v>0</v>
      </c>
      <c r="AB187" s="0" t="str">
        <f aca="false">IF(AND(C186=C187,Y186=Y187-1),Z186,"")</f>
        <v/>
      </c>
      <c r="AC187" s="0" t="str">
        <f aca="false">IF(AND(C186=C187,Y186=Y187-1),AA186,"")</f>
        <v/>
      </c>
      <c r="AD187" s="0" t="str">
        <f aca="false">IF(Y187=1,"",IF(AND(Z187=1,AB187&lt;&gt;1),1,0))</f>
        <v/>
      </c>
      <c r="AE187" s="0" t="str">
        <f aca="false">IF(Y187=1,"",IF(AND(AA187=1,AC187&lt;&gt;1),1,0))</f>
        <v/>
      </c>
      <c r="AF187" s="45" t="str">
        <f aca="false">IF(AND(E187&gt;0,Y187&lt;1,NOT(AND(C188=C187,Y188=Y187+1))),INDEX(DATAS,Y187+1),"")</f>
        <v/>
      </c>
      <c r="AG187" s="45" t="str">
        <f aca="false">IF(AND(AA187=1,Y187&lt;1),IF(AND(C188=C187,Y188=Y187+1),IF(AA188=1,"",INDEX(DATAS,Y187+1)),INDEX(DATAS,Y187+1)),"")</f>
        <v/>
      </c>
    </row>
    <row r="188" customFormat="false" ht="15" hidden="false" customHeight="false" outlineLevel="0" collapsed="false">
      <c r="A188" s="45" t="n">
        <v>46309</v>
      </c>
      <c r="B188" s="0" t="n">
        <v>7</v>
      </c>
      <c r="C188" s="0" t="n">
        <v>3590</v>
      </c>
      <c r="D188" s="0" t="n">
        <v>444</v>
      </c>
      <c r="E188" s="0" t="n">
        <v>3</v>
      </c>
      <c r="F188" s="39" t="s">
        <v>278</v>
      </c>
      <c r="I188" s="39" t="s">
        <v>114</v>
      </c>
      <c r="J188" s="0" t="n">
        <v>263</v>
      </c>
      <c r="K188" s="0" t="n">
        <v>60</v>
      </c>
      <c r="L188" s="0" t="n">
        <v>189</v>
      </c>
      <c r="M188" s="0" t="n">
        <v>336.16</v>
      </c>
      <c r="N188" s="0" t="n">
        <v>42.45</v>
      </c>
      <c r="O188" s="0" t="n">
        <v>31.53</v>
      </c>
      <c r="P188" s="0" t="n">
        <v>5.18</v>
      </c>
      <c r="Q188" s="0" t="n">
        <v>4.25</v>
      </c>
      <c r="R188" s="0" t="n">
        <v>6544</v>
      </c>
      <c r="S188" s="0" t="n">
        <v>12715</v>
      </c>
      <c r="T188" s="0" t="n">
        <v>68.5</v>
      </c>
      <c r="U188" s="0" t="n">
        <v>1877</v>
      </c>
      <c r="V188" s="0" t="n">
        <v>6</v>
      </c>
      <c r="W188" s="39" t="n">
        <f aca="false">IF(I188="Male",0,1)</f>
        <v>1</v>
      </c>
      <c r="X188" s="39" t="n">
        <f aca="false">IF(OR(I188="DNB",I188="Dry DNB"),1,0)</f>
        <v>0</v>
      </c>
      <c r="Y188" s="39" t="n">
        <f aca="false">MATCH(A188,DATAS,0)</f>
        <v>1</v>
      </c>
      <c r="Z188" s="39" t="n">
        <f aca="false">IF(AND(E188&gt;0,OR(AND(B188&gt;=1,B188&lt;=6),B188=10)),1,0)</f>
        <v>0</v>
      </c>
      <c r="AA188" s="39" t="n">
        <f aca="false">IF(AND(E188&gt;0,B188=10),1,0)</f>
        <v>0</v>
      </c>
      <c r="AB188" s="0" t="str">
        <f aca="false">IF(AND(C187=C188,Y187=Y188-1),Z187,"")</f>
        <v/>
      </c>
      <c r="AC188" s="0" t="str">
        <f aca="false">IF(AND(C187=C188,Y187=Y188-1),AA187,"")</f>
        <v/>
      </c>
      <c r="AD188" s="0" t="str">
        <f aca="false">IF(Y188=1,"",IF(AND(Z188=1,AB188&lt;&gt;1),1,0))</f>
        <v/>
      </c>
      <c r="AE188" s="0" t="str">
        <f aca="false">IF(Y188=1,"",IF(AND(AA188=1,AC188&lt;&gt;1),1,0))</f>
        <v/>
      </c>
      <c r="AF188" s="45" t="str">
        <f aca="false">IF(AND(E188&gt;0,Y188&lt;1,NOT(AND(C189=C188,Y189=Y188+1))),INDEX(DATAS,Y188+1),"")</f>
        <v/>
      </c>
      <c r="AG188" s="45" t="str">
        <f aca="false">IF(AND(AA188=1,Y188&lt;1),IF(AND(C189=C188,Y189=Y188+1),IF(AA189=1,"",INDEX(DATAS,Y188+1)),INDEX(DATAS,Y188+1)),"")</f>
        <v/>
      </c>
    </row>
    <row r="189" customFormat="false" ht="15" hidden="false" customHeight="false" outlineLevel="0" collapsed="false">
      <c r="A189" s="45" t="n">
        <v>46309</v>
      </c>
      <c r="B189" s="0" t="n">
        <v>6</v>
      </c>
      <c r="C189" s="0" t="n">
        <v>3591</v>
      </c>
      <c r="D189" s="0" t="n">
        <v>186</v>
      </c>
      <c r="E189" s="0" t="n">
        <v>4</v>
      </c>
      <c r="F189" s="39" t="s">
        <v>279</v>
      </c>
      <c r="G189" s="0" t="n">
        <v>24.5</v>
      </c>
      <c r="H189" s="0" t="n">
        <v>25</v>
      </c>
      <c r="I189" s="39" t="s">
        <v>109</v>
      </c>
      <c r="J189" s="0" t="n">
        <v>116</v>
      </c>
      <c r="K189" s="0" t="n">
        <v>67</v>
      </c>
      <c r="L189" s="0" t="n">
        <v>70</v>
      </c>
      <c r="M189" s="0" t="n">
        <v>382.67</v>
      </c>
      <c r="N189" s="0" t="n">
        <v>46.27</v>
      </c>
      <c r="O189" s="0" t="n">
        <v>30.83</v>
      </c>
      <c r="P189" s="0" t="n">
        <v>6.19</v>
      </c>
      <c r="Q189" s="0" t="n">
        <v>3.69</v>
      </c>
      <c r="R189" s="0" t="n">
        <v>3152</v>
      </c>
      <c r="S189" s="0" t="n">
        <v>6001</v>
      </c>
      <c r="T189" s="0" t="n">
        <v>35.2</v>
      </c>
      <c r="U189" s="0" t="n">
        <v>1876</v>
      </c>
      <c r="V189" s="0" t="n">
        <v>2</v>
      </c>
      <c r="W189" s="39" t="n">
        <f aca="false">IF(I189="Male",0,1)</f>
        <v>1</v>
      </c>
      <c r="X189" s="39" t="n">
        <f aca="false">IF(OR(I189="DNB",I189="Dry DNB"),1,0)</f>
        <v>0</v>
      </c>
      <c r="Y189" s="39" t="n">
        <f aca="false">MATCH(A189,DATAS,0)</f>
        <v>1</v>
      </c>
      <c r="Z189" s="39" t="n">
        <f aca="false">IF(AND(E189&gt;0,OR(AND(B189&gt;=1,B189&lt;=6),B189=10)),1,0)</f>
        <v>1</v>
      </c>
      <c r="AA189" s="39" t="n">
        <f aca="false">IF(AND(E189&gt;0,B189=10),1,0)</f>
        <v>0</v>
      </c>
      <c r="AB189" s="0" t="str">
        <f aca="false">IF(AND(C188=C189,Y188=Y189-1),Z188,"")</f>
        <v/>
      </c>
      <c r="AC189" s="0" t="str">
        <f aca="false">IF(AND(C188=C189,Y188=Y189-1),AA188,"")</f>
        <v/>
      </c>
      <c r="AD189" s="0" t="str">
        <f aca="false">IF(Y189=1,"",IF(AND(Z189=1,AB189&lt;&gt;1),1,0))</f>
        <v/>
      </c>
      <c r="AE189" s="0" t="str">
        <f aca="false">IF(Y189=1,"",IF(AND(AA189=1,AC189&lt;&gt;1),1,0))</f>
        <v/>
      </c>
      <c r="AF189" s="45" t="str">
        <f aca="false">IF(AND(E189&gt;0,Y189&lt;1,NOT(AND(C190=C189,Y190=Y189+1))),INDEX(DATAS,Y189+1),"")</f>
        <v/>
      </c>
      <c r="AG189" s="45" t="str">
        <f aca="false">IF(AND(AA189=1,Y189&lt;1),IF(AND(C190=C189,Y190=Y189+1),IF(AA190=1,"",INDEX(DATAS,Y189+1)),INDEX(DATAS,Y189+1)),"")</f>
        <v/>
      </c>
    </row>
    <row r="190" customFormat="false" ht="15" hidden="false" customHeight="false" outlineLevel="0" collapsed="false">
      <c r="A190" s="45" t="n">
        <v>46309</v>
      </c>
      <c r="B190" s="0" t="n">
        <v>5</v>
      </c>
      <c r="C190" s="0" t="n">
        <v>3594</v>
      </c>
      <c r="D190" s="0" t="n">
        <v>407</v>
      </c>
      <c r="E190" s="0" t="n">
        <v>3</v>
      </c>
      <c r="F190" s="39" t="s">
        <v>280</v>
      </c>
      <c r="G190" s="0" t="n">
        <v>27.6</v>
      </c>
      <c r="H190" s="0" t="n">
        <v>28</v>
      </c>
      <c r="I190" s="39" t="s">
        <v>109</v>
      </c>
      <c r="J190" s="0" t="n">
        <v>197</v>
      </c>
      <c r="K190" s="0" t="n">
        <v>64</v>
      </c>
      <c r="L190" s="0" t="n">
        <v>210</v>
      </c>
      <c r="M190" s="0" t="n">
        <v>379.21</v>
      </c>
      <c r="N190" s="0" t="n">
        <v>21.1</v>
      </c>
      <c r="O190" s="0" t="n">
        <v>27.39</v>
      </c>
      <c r="P190" s="0" t="n">
        <v>3.81</v>
      </c>
      <c r="Q190" s="0" t="n">
        <v>3.85</v>
      </c>
      <c r="R190" s="0" t="n">
        <v>6853</v>
      </c>
      <c r="S190" s="0" t="n">
        <v>12120</v>
      </c>
      <c r="T190" s="0" t="n">
        <v>74.65</v>
      </c>
      <c r="U190" s="0" t="n">
        <v>1875</v>
      </c>
      <c r="V190" s="0" t="n">
        <v>5</v>
      </c>
      <c r="W190" s="39" t="n">
        <f aca="false">IF(I190="Male",0,1)</f>
        <v>1</v>
      </c>
      <c r="X190" s="39" t="n">
        <f aca="false">IF(OR(I190="DNB",I190="Dry DNB"),1,0)</f>
        <v>0</v>
      </c>
      <c r="Y190" s="39" t="n">
        <f aca="false">MATCH(A190,DATAS,0)</f>
        <v>1</v>
      </c>
      <c r="Z190" s="39" t="n">
        <f aca="false">IF(AND(E190&gt;0,OR(AND(B190&gt;=1,B190&lt;=6),B190=10)),1,0)</f>
        <v>1</v>
      </c>
      <c r="AA190" s="39" t="n">
        <f aca="false">IF(AND(E190&gt;0,B190=10),1,0)</f>
        <v>0</v>
      </c>
      <c r="AB190" s="0" t="str">
        <f aca="false">IF(AND(C189=C190,Y189=Y190-1),Z189,"")</f>
        <v/>
      </c>
      <c r="AC190" s="0" t="str">
        <f aca="false">IF(AND(C189=C190,Y189=Y190-1),AA189,"")</f>
        <v/>
      </c>
      <c r="AD190" s="0" t="str">
        <f aca="false">IF(Y190=1,"",IF(AND(Z190=1,AB190&lt;&gt;1),1,0))</f>
        <v/>
      </c>
      <c r="AE190" s="0" t="str">
        <f aca="false">IF(Y190=1,"",IF(AND(AA190=1,AC190&lt;&gt;1),1,0))</f>
        <v/>
      </c>
      <c r="AF190" s="45" t="str">
        <f aca="false">IF(AND(E190&gt;0,Y190&lt;1,NOT(AND(C191=C190,Y191=Y190+1))),INDEX(DATAS,Y190+1),"")</f>
        <v/>
      </c>
      <c r="AG190" s="45" t="str">
        <f aca="false">IF(AND(AA190=1,Y190&lt;1),IF(AND(C191=C190,Y191=Y190+1),IF(AA191=1,"",INDEX(DATAS,Y190+1)),INDEX(DATAS,Y190+1)),"")</f>
        <v/>
      </c>
    </row>
    <row r="191" customFormat="false" ht="15" hidden="false" customHeight="false" outlineLevel="0" collapsed="false">
      <c r="A191" s="45" t="n">
        <v>46309</v>
      </c>
      <c r="B191" s="0" t="n">
        <v>5</v>
      </c>
      <c r="C191" s="0" t="n">
        <v>3597</v>
      </c>
      <c r="D191" s="0" t="n">
        <v>318</v>
      </c>
      <c r="E191" s="0" t="n">
        <v>3</v>
      </c>
      <c r="F191" s="39" t="s">
        <v>281</v>
      </c>
      <c r="G191" s="0" t="n">
        <v>24.6</v>
      </c>
      <c r="H191" s="0" t="n">
        <v>27</v>
      </c>
      <c r="I191" s="39" t="s">
        <v>109</v>
      </c>
      <c r="J191" s="0" t="n">
        <v>122</v>
      </c>
      <c r="K191" s="0" t="n">
        <v>66</v>
      </c>
      <c r="L191" s="0" t="n">
        <v>196</v>
      </c>
      <c r="M191" s="0" t="n">
        <v>305.65</v>
      </c>
      <c r="N191" s="0" t="n">
        <v>50.47</v>
      </c>
      <c r="O191" s="0" t="n">
        <v>19.79</v>
      </c>
      <c r="P191" s="0" t="n">
        <v>4.24</v>
      </c>
      <c r="Q191" s="0" t="n">
        <v>3.89</v>
      </c>
      <c r="R191" s="0" t="n">
        <v>6349</v>
      </c>
      <c r="S191" s="0" t="n">
        <v>10864</v>
      </c>
      <c r="T191" s="0" t="n">
        <v>72.55</v>
      </c>
      <c r="U191" s="0" t="n">
        <v>1873</v>
      </c>
      <c r="V191" s="0" t="n">
        <v>3</v>
      </c>
      <c r="W191" s="39" t="n">
        <f aca="false">IF(I191="Male",0,1)</f>
        <v>1</v>
      </c>
      <c r="X191" s="39" t="n">
        <f aca="false">IF(OR(I191="DNB",I191="Dry DNB"),1,0)</f>
        <v>0</v>
      </c>
      <c r="Y191" s="39" t="n">
        <f aca="false">MATCH(A191,DATAS,0)</f>
        <v>1</v>
      </c>
      <c r="Z191" s="39" t="n">
        <f aca="false">IF(AND(E191&gt;0,OR(AND(B191&gt;=1,B191&lt;=6),B191=10)),1,0)</f>
        <v>1</v>
      </c>
      <c r="AA191" s="39" t="n">
        <f aca="false">IF(AND(E191&gt;0,B191=10),1,0)</f>
        <v>0</v>
      </c>
      <c r="AB191" s="0" t="str">
        <f aca="false">IF(AND(C190=C191,Y190=Y191-1),Z190,"")</f>
        <v/>
      </c>
      <c r="AC191" s="0" t="str">
        <f aca="false">IF(AND(C190=C191,Y190=Y191-1),AA190,"")</f>
        <v/>
      </c>
      <c r="AD191" s="0" t="str">
        <f aca="false">IF(Y191=1,"",IF(AND(Z191=1,AB191&lt;&gt;1),1,0))</f>
        <v/>
      </c>
      <c r="AE191" s="0" t="str">
        <f aca="false">IF(Y191=1,"",IF(AND(AA191=1,AC191&lt;&gt;1),1,0))</f>
        <v/>
      </c>
      <c r="AF191" s="45" t="str">
        <f aca="false">IF(AND(E191&gt;0,Y191&lt;1,NOT(AND(C192=C191,Y192=Y191+1))),INDEX(DATAS,Y191+1),"")</f>
        <v/>
      </c>
      <c r="AG191" s="45" t="str">
        <f aca="false">IF(AND(AA191=1,Y191&lt;1),IF(AND(C192=C191,Y192=Y191+1),IF(AA192=1,"",INDEX(DATAS,Y191+1)),INDEX(DATAS,Y191+1)),"")</f>
        <v/>
      </c>
    </row>
    <row r="192" customFormat="false" ht="15" hidden="false" customHeight="false" outlineLevel="0" collapsed="false">
      <c r="A192" s="45" t="n">
        <v>46309</v>
      </c>
      <c r="B192" s="0" t="n">
        <v>5</v>
      </c>
      <c r="C192" s="0" t="n">
        <v>3599</v>
      </c>
      <c r="D192" s="0" t="n">
        <v>117</v>
      </c>
      <c r="E192" s="0" t="n">
        <v>4</v>
      </c>
      <c r="F192" s="39" t="s">
        <v>281</v>
      </c>
      <c r="G192" s="0" t="n">
        <v>38.4</v>
      </c>
      <c r="H192" s="0" t="n">
        <v>40</v>
      </c>
      <c r="I192" s="39" t="s">
        <v>109</v>
      </c>
      <c r="J192" s="0" t="n">
        <v>82</v>
      </c>
      <c r="K192" s="0" t="n">
        <v>82</v>
      </c>
      <c r="L192" s="0" t="n">
        <v>35</v>
      </c>
      <c r="M192" s="0" t="n">
        <v>103.99</v>
      </c>
      <c r="N192" s="0" t="n">
        <v>30.95</v>
      </c>
      <c r="O192" s="0" t="n">
        <v>23.93</v>
      </c>
      <c r="P192" s="0" t="n">
        <v>4.3</v>
      </c>
      <c r="Q192" s="0" t="n">
        <v>3.78</v>
      </c>
      <c r="R192" s="0" t="n">
        <v>4533</v>
      </c>
      <c r="S192" s="0" t="n">
        <v>9051</v>
      </c>
      <c r="T192" s="0" t="n">
        <v>48.75</v>
      </c>
      <c r="U192" s="0" t="n">
        <v>1873</v>
      </c>
      <c r="V192" s="0" t="n">
        <v>1</v>
      </c>
      <c r="W192" s="39" t="n">
        <f aca="false">IF(I192="Male",0,1)</f>
        <v>1</v>
      </c>
      <c r="X192" s="39" t="n">
        <f aca="false">IF(OR(I192="DNB",I192="Dry DNB"),1,0)</f>
        <v>0</v>
      </c>
      <c r="Y192" s="39" t="n">
        <f aca="false">MATCH(A192,DATAS,0)</f>
        <v>1</v>
      </c>
      <c r="Z192" s="39" t="n">
        <f aca="false">IF(AND(E192&gt;0,OR(AND(B192&gt;=1,B192&lt;=6),B192=10)),1,0)</f>
        <v>1</v>
      </c>
      <c r="AA192" s="39" t="n">
        <f aca="false">IF(AND(E192&gt;0,B192=10),1,0)</f>
        <v>0</v>
      </c>
      <c r="AB192" s="0" t="str">
        <f aca="false">IF(AND(C191=C192,Y191=Y192-1),Z191,"")</f>
        <v/>
      </c>
      <c r="AC192" s="0" t="str">
        <f aca="false">IF(AND(C191=C192,Y191=Y192-1),AA191,"")</f>
        <v/>
      </c>
      <c r="AD192" s="0" t="str">
        <f aca="false">IF(Y192=1,"",IF(AND(Z192=1,AB192&lt;&gt;1),1,0))</f>
        <v/>
      </c>
      <c r="AE192" s="0" t="str">
        <f aca="false">IF(Y192=1,"",IF(AND(AA192=1,AC192&lt;&gt;1),1,0))</f>
        <v/>
      </c>
      <c r="AF192" s="45" t="str">
        <f aca="false">IF(AND(E192&gt;0,Y192&lt;1,NOT(AND(C193=C192,Y193=Y192+1))),INDEX(DATAS,Y192+1),"")</f>
        <v/>
      </c>
      <c r="AG192" s="45" t="str">
        <f aca="false">IF(AND(AA192=1,Y192&lt;1),IF(AND(C193=C192,Y193=Y192+1),IF(AA193=1,"",INDEX(DATAS,Y192+1)),INDEX(DATAS,Y192+1)),"")</f>
        <v/>
      </c>
    </row>
    <row r="193" customFormat="false" ht="15" hidden="false" customHeight="false" outlineLevel="0" collapsed="false">
      <c r="A193" s="45" t="n">
        <v>46309</v>
      </c>
      <c r="B193" s="0" t="n">
        <v>5</v>
      </c>
      <c r="C193" s="0" t="n">
        <v>3604</v>
      </c>
      <c r="D193" s="0" t="n">
        <v>234</v>
      </c>
      <c r="E193" s="0" t="n">
        <v>3</v>
      </c>
      <c r="F193" s="39" t="s">
        <v>282</v>
      </c>
      <c r="G193" s="0" t="n">
        <v>36.1</v>
      </c>
      <c r="H193" s="0" t="n">
        <v>35</v>
      </c>
      <c r="I193" s="39" t="s">
        <v>96</v>
      </c>
      <c r="J193" s="0" t="n">
        <v>234</v>
      </c>
      <c r="M193" s="0" t="n">
        <v>178.08</v>
      </c>
      <c r="N193" s="0" t="n">
        <v>34.09</v>
      </c>
      <c r="O193" s="0" t="n">
        <v>19.54</v>
      </c>
      <c r="P193" s="0" t="n">
        <v>4.51</v>
      </c>
      <c r="Q193" s="0" t="n">
        <v>3.36</v>
      </c>
      <c r="R193" s="0" t="n">
        <v>4292</v>
      </c>
      <c r="S193" s="0" t="n">
        <v>9560</v>
      </c>
      <c r="T193" s="0" t="n">
        <v>51.85</v>
      </c>
      <c r="U193" s="0" t="n">
        <v>1872</v>
      </c>
      <c r="V193" s="0" t="n">
        <v>0</v>
      </c>
      <c r="W193" s="39" t="n">
        <f aca="false">IF(I193="Male",0,1)</f>
        <v>1</v>
      </c>
      <c r="X193" s="39" t="n">
        <f aca="false">IF(OR(I193="DNB",I193="Dry DNB"),1,0)</f>
        <v>1</v>
      </c>
      <c r="Y193" s="39" t="n">
        <f aca="false">MATCH(A193,DATAS,0)</f>
        <v>1</v>
      </c>
      <c r="Z193" s="39" t="n">
        <f aca="false">IF(AND(E193&gt;0,OR(AND(B193&gt;=1,B193&lt;=6),B193=10)),1,0)</f>
        <v>1</v>
      </c>
      <c r="AA193" s="39" t="n">
        <f aca="false">IF(AND(E193&gt;0,B193=10),1,0)</f>
        <v>0</v>
      </c>
      <c r="AB193" s="0" t="str">
        <f aca="false">IF(AND(C192=C193,Y192=Y193-1),Z192,"")</f>
        <v/>
      </c>
      <c r="AC193" s="0" t="str">
        <f aca="false">IF(AND(C192=C193,Y192=Y193-1),AA192,"")</f>
        <v/>
      </c>
      <c r="AD193" s="0" t="str">
        <f aca="false">IF(Y193=1,"",IF(AND(Z193=1,AB193&lt;&gt;1),1,0))</f>
        <v/>
      </c>
      <c r="AE193" s="0" t="str">
        <f aca="false">IF(Y193=1,"",IF(AND(AA193=1,AC193&lt;&gt;1),1,0))</f>
        <v/>
      </c>
      <c r="AF193" s="45" t="str">
        <f aca="false">IF(AND(E193&gt;0,Y193&lt;1,NOT(AND(C194=C193,Y194=Y193+1))),INDEX(DATAS,Y193+1),"")</f>
        <v/>
      </c>
      <c r="AG193" s="45" t="str">
        <f aca="false">IF(AND(AA193=1,Y193&lt;1),IF(AND(C194=C193,Y194=Y193+1),IF(AA194=1,"",INDEX(DATAS,Y193+1)),INDEX(DATAS,Y193+1)),"")</f>
        <v/>
      </c>
    </row>
    <row r="194" customFormat="false" ht="15" hidden="false" customHeight="false" outlineLevel="0" collapsed="false">
      <c r="A194" s="45" t="n">
        <v>46309</v>
      </c>
      <c r="B194" s="0" t="n">
        <v>6</v>
      </c>
      <c r="C194" s="0" t="n">
        <v>3608</v>
      </c>
      <c r="D194" s="0" t="n">
        <v>182</v>
      </c>
      <c r="E194" s="0" t="n">
        <v>3</v>
      </c>
      <c r="F194" s="39" t="s">
        <v>283</v>
      </c>
      <c r="G194" s="0" t="n">
        <v>22</v>
      </c>
      <c r="H194" s="0" t="n">
        <v>21</v>
      </c>
      <c r="I194" s="39" t="s">
        <v>146</v>
      </c>
      <c r="J194" s="0" t="n">
        <v>182</v>
      </c>
      <c r="K194" s="0" t="n">
        <v>84</v>
      </c>
      <c r="M194" s="0" t="n">
        <v>-72.99</v>
      </c>
      <c r="N194" s="0" t="n">
        <v>18.31</v>
      </c>
      <c r="O194" s="0" t="n">
        <v>1.35</v>
      </c>
      <c r="P194" s="0" t="n">
        <v>4.78</v>
      </c>
      <c r="Q194" s="0" t="n">
        <v>3.86</v>
      </c>
      <c r="R194" s="0" t="n">
        <v>4357</v>
      </c>
      <c r="S194" s="0" t="n">
        <v>8343</v>
      </c>
      <c r="T194" s="0" t="n">
        <v>48.9</v>
      </c>
      <c r="U194" s="0" t="n">
        <v>1870</v>
      </c>
      <c r="V194" s="0" t="n">
        <v>3</v>
      </c>
      <c r="W194" s="39" t="n">
        <f aca="false">IF(I194="Male",0,1)</f>
        <v>1</v>
      </c>
      <c r="X194" s="39" t="n">
        <f aca="false">IF(OR(I194="DNB",I194="Dry DNB"),1,0)</f>
        <v>0</v>
      </c>
      <c r="Y194" s="39" t="n">
        <f aca="false">MATCH(A194,DATAS,0)</f>
        <v>1</v>
      </c>
      <c r="Z194" s="39" t="n">
        <f aca="false">IF(AND(E194&gt;0,OR(AND(B194&gt;=1,B194&lt;=6),B194=10)),1,0)</f>
        <v>1</v>
      </c>
      <c r="AA194" s="39" t="n">
        <f aca="false">IF(AND(E194&gt;0,B194=10),1,0)</f>
        <v>0</v>
      </c>
      <c r="AB194" s="0" t="str">
        <f aca="false">IF(AND(C193=C194,Y193=Y194-1),Z193,"")</f>
        <v/>
      </c>
      <c r="AC194" s="0" t="str">
        <f aca="false">IF(AND(C193=C194,Y193=Y194-1),AA193,"")</f>
        <v/>
      </c>
      <c r="AD194" s="0" t="str">
        <f aca="false">IF(Y194=1,"",IF(AND(Z194=1,AB194&lt;&gt;1),1,0))</f>
        <v/>
      </c>
      <c r="AE194" s="0" t="str">
        <f aca="false">IF(Y194=1,"",IF(AND(AA194=1,AC194&lt;&gt;1),1,0))</f>
        <v/>
      </c>
      <c r="AF194" s="45" t="str">
        <f aca="false">IF(AND(E194&gt;0,Y194&lt;1,NOT(AND(C195=C194,Y195=Y194+1))),INDEX(DATAS,Y194+1),"")</f>
        <v/>
      </c>
      <c r="AG194" s="45" t="str">
        <f aca="false">IF(AND(AA194=1,Y194&lt;1),IF(AND(C195=C194,Y195=Y194+1),IF(AA195=1,"",INDEX(DATAS,Y194+1)),INDEX(DATAS,Y194+1)),"")</f>
        <v/>
      </c>
    </row>
    <row r="195" customFormat="false" ht="15" hidden="false" customHeight="false" outlineLevel="0" collapsed="false">
      <c r="A195" s="45" t="n">
        <v>46309</v>
      </c>
      <c r="B195" s="0" t="n">
        <v>3</v>
      </c>
      <c r="C195" s="0" t="n">
        <v>3613</v>
      </c>
      <c r="D195" s="0" t="n">
        <v>245</v>
      </c>
      <c r="E195" s="0" t="n">
        <v>3</v>
      </c>
      <c r="F195" s="39" t="s">
        <v>284</v>
      </c>
      <c r="G195" s="0" t="n">
        <v>48.8</v>
      </c>
      <c r="H195" s="0" t="n">
        <v>49</v>
      </c>
      <c r="I195" s="39" t="s">
        <v>109</v>
      </c>
      <c r="J195" s="0" t="n">
        <v>133</v>
      </c>
      <c r="K195" s="0" t="n">
        <v>91</v>
      </c>
      <c r="L195" s="0" t="n">
        <v>112</v>
      </c>
      <c r="M195" s="0" t="n">
        <v>1083.16</v>
      </c>
      <c r="N195" s="0" t="n">
        <v>51.73</v>
      </c>
      <c r="O195" s="0" t="n">
        <v>42.53</v>
      </c>
      <c r="P195" s="0" t="n">
        <v>2.87</v>
      </c>
      <c r="Q195" s="0" t="n">
        <v>3.57</v>
      </c>
      <c r="R195" s="0" t="n">
        <v>6704</v>
      </c>
      <c r="S195" s="0" t="n">
        <v>12801</v>
      </c>
      <c r="T195" s="0" t="n">
        <v>75</v>
      </c>
      <c r="U195" s="0" t="n">
        <v>1868</v>
      </c>
      <c r="V195" s="0" t="n">
        <v>2</v>
      </c>
      <c r="W195" s="39" t="n">
        <f aca="false">IF(I195="Male",0,1)</f>
        <v>1</v>
      </c>
      <c r="X195" s="39" t="n">
        <f aca="false">IF(OR(I195="DNB",I195="Dry DNB"),1,0)</f>
        <v>0</v>
      </c>
      <c r="Y195" s="39" t="n">
        <f aca="false">MATCH(A195,DATAS,0)</f>
        <v>1</v>
      </c>
      <c r="Z195" s="39" t="n">
        <f aca="false">IF(AND(E195&gt;0,OR(AND(B195&gt;=1,B195&lt;=6),B195=10)),1,0)</f>
        <v>1</v>
      </c>
      <c r="AA195" s="39" t="n">
        <f aca="false">IF(AND(E195&gt;0,B195=10),1,0)</f>
        <v>0</v>
      </c>
      <c r="AB195" s="0" t="str">
        <f aca="false">IF(AND(C194=C195,Y194=Y195-1),Z194,"")</f>
        <v/>
      </c>
      <c r="AC195" s="0" t="str">
        <f aca="false">IF(AND(C194=C195,Y194=Y195-1),AA194,"")</f>
        <v/>
      </c>
      <c r="AD195" s="0" t="str">
        <f aca="false">IF(Y195=1,"",IF(AND(Z195=1,AB195&lt;&gt;1),1,0))</f>
        <v/>
      </c>
      <c r="AE195" s="0" t="str">
        <f aca="false">IF(Y195=1,"",IF(AND(AA195=1,AC195&lt;&gt;1),1,0))</f>
        <v/>
      </c>
      <c r="AF195" s="45" t="str">
        <f aca="false">IF(AND(E195&gt;0,Y195&lt;1,NOT(AND(C196=C195,Y196=Y195+1))),INDEX(DATAS,Y195+1),"")</f>
        <v/>
      </c>
      <c r="AG195" s="45" t="str">
        <f aca="false">IF(AND(AA195=1,Y195&lt;1),IF(AND(C196=C195,Y196=Y195+1),IF(AA196=1,"",INDEX(DATAS,Y195+1)),INDEX(DATAS,Y195+1)),"")</f>
        <v/>
      </c>
    </row>
    <row r="196" customFormat="false" ht="15" hidden="false" customHeight="false" outlineLevel="0" collapsed="false">
      <c r="A196" s="45" t="n">
        <v>46309</v>
      </c>
      <c r="B196" s="0" t="n">
        <v>3</v>
      </c>
      <c r="C196" s="0" t="n">
        <v>3624</v>
      </c>
      <c r="D196" s="0" t="n">
        <v>557</v>
      </c>
      <c r="E196" s="0" t="n">
        <v>2</v>
      </c>
      <c r="F196" s="39" t="s">
        <v>285</v>
      </c>
      <c r="I196" s="39" t="s">
        <v>114</v>
      </c>
      <c r="J196" s="0" t="n">
        <v>467</v>
      </c>
      <c r="K196" s="0" t="n">
        <v>69</v>
      </c>
      <c r="L196" s="0" t="n">
        <v>252</v>
      </c>
      <c r="M196" s="0" t="n">
        <v>762.36</v>
      </c>
      <c r="N196" s="0" t="n">
        <v>83.83</v>
      </c>
      <c r="O196" s="0" t="n">
        <v>40.39</v>
      </c>
      <c r="P196" s="0" t="n">
        <v>3.72</v>
      </c>
      <c r="Q196" s="0" t="n">
        <v>4.07</v>
      </c>
      <c r="R196" s="0" t="n">
        <v>8061</v>
      </c>
      <c r="S196" s="0" t="n">
        <v>13741</v>
      </c>
      <c r="T196" s="0" t="n">
        <v>86.75</v>
      </c>
      <c r="U196" s="0" t="n">
        <v>1859</v>
      </c>
      <c r="V196" s="0" t="n">
        <v>9</v>
      </c>
      <c r="W196" s="39" t="n">
        <f aca="false">IF(I196="Male",0,1)</f>
        <v>1</v>
      </c>
      <c r="X196" s="39" t="n">
        <f aca="false">IF(OR(I196="DNB",I196="Dry DNB"),1,0)</f>
        <v>0</v>
      </c>
      <c r="Y196" s="39" t="n">
        <f aca="false">MATCH(A196,DATAS,0)</f>
        <v>1</v>
      </c>
      <c r="Z196" s="39" t="n">
        <f aca="false">IF(AND(E196&gt;0,OR(AND(B196&gt;=1,B196&lt;=6),B196=10)),1,0)</f>
        <v>1</v>
      </c>
      <c r="AA196" s="39" t="n">
        <f aca="false">IF(AND(E196&gt;0,B196=10),1,0)</f>
        <v>0</v>
      </c>
      <c r="AB196" s="0" t="str">
        <f aca="false">IF(AND(C195=C196,Y195=Y196-1),Z195,"")</f>
        <v/>
      </c>
      <c r="AC196" s="0" t="str">
        <f aca="false">IF(AND(C195=C196,Y195=Y196-1),AA195,"")</f>
        <v/>
      </c>
      <c r="AD196" s="0" t="str">
        <f aca="false">IF(Y196=1,"",IF(AND(Z196=1,AB196&lt;&gt;1),1,0))</f>
        <v/>
      </c>
      <c r="AE196" s="0" t="str">
        <f aca="false">IF(Y196=1,"",IF(AND(AA196=1,AC196&lt;&gt;1),1,0))</f>
        <v/>
      </c>
      <c r="AF196" s="45" t="str">
        <f aca="false">IF(AND(E196&gt;0,Y196&lt;1,NOT(AND(C197=C196,Y197=Y196+1))),INDEX(DATAS,Y196+1),"")</f>
        <v/>
      </c>
      <c r="AG196" s="45" t="str">
        <f aca="false">IF(AND(AA196=1,Y196&lt;1),IF(AND(C197=C196,Y197=Y196+1),IF(AA197=1,"",INDEX(DATAS,Y196+1)),INDEX(DATAS,Y196+1)),"")</f>
        <v/>
      </c>
    </row>
    <row r="197" customFormat="false" ht="15" hidden="false" customHeight="false" outlineLevel="0" collapsed="false">
      <c r="A197" s="45" t="n">
        <v>46309</v>
      </c>
      <c r="B197" s="0" t="n">
        <v>7</v>
      </c>
      <c r="C197" s="0" t="n">
        <v>3626</v>
      </c>
      <c r="D197" s="0" t="n">
        <v>354</v>
      </c>
      <c r="E197" s="0" t="n">
        <v>3</v>
      </c>
      <c r="F197" s="39" t="s">
        <v>285</v>
      </c>
      <c r="I197" s="39" t="s">
        <v>114</v>
      </c>
      <c r="J197" s="0" t="n">
        <v>180</v>
      </c>
      <c r="K197" s="0" t="n">
        <v>68</v>
      </c>
      <c r="L197" s="0" t="n">
        <v>231</v>
      </c>
      <c r="M197" s="0" t="n">
        <v>887.53</v>
      </c>
      <c r="N197" s="0" t="n">
        <v>47.57</v>
      </c>
      <c r="O197" s="0" t="n">
        <v>29.72</v>
      </c>
      <c r="P197" s="0" t="n">
        <v>3.42</v>
      </c>
      <c r="Q197" s="0" t="n">
        <v>3.93</v>
      </c>
      <c r="R197" s="0" t="n">
        <v>5744</v>
      </c>
      <c r="S197" s="0" t="n">
        <v>11336</v>
      </c>
      <c r="T197" s="0" t="n">
        <v>63.85</v>
      </c>
      <c r="U197" s="0" t="n">
        <v>1859</v>
      </c>
      <c r="V197" s="0" t="n">
        <v>3</v>
      </c>
      <c r="W197" s="39" t="n">
        <f aca="false">IF(I197="Male",0,1)</f>
        <v>1</v>
      </c>
      <c r="X197" s="39" t="n">
        <f aca="false">IF(OR(I197="DNB",I197="Dry DNB"),1,0)</f>
        <v>0</v>
      </c>
      <c r="Y197" s="39" t="n">
        <f aca="false">MATCH(A197,DATAS,0)</f>
        <v>1</v>
      </c>
      <c r="Z197" s="39" t="n">
        <f aca="false">IF(AND(E197&gt;0,OR(AND(B197&gt;=1,B197&lt;=6),B197=10)),1,0)</f>
        <v>0</v>
      </c>
      <c r="AA197" s="39" t="n">
        <f aca="false">IF(AND(E197&gt;0,B197=10),1,0)</f>
        <v>0</v>
      </c>
      <c r="AB197" s="0" t="str">
        <f aca="false">IF(AND(C196=C197,Y196=Y197-1),Z196,"")</f>
        <v/>
      </c>
      <c r="AC197" s="0" t="str">
        <f aca="false">IF(AND(C196=C197,Y196=Y197-1),AA196,"")</f>
        <v/>
      </c>
      <c r="AD197" s="0" t="str">
        <f aca="false">IF(Y197=1,"",IF(AND(Z197=1,AB197&lt;&gt;1),1,0))</f>
        <v/>
      </c>
      <c r="AE197" s="0" t="str">
        <f aca="false">IF(Y197=1,"",IF(AND(AA197=1,AC197&lt;&gt;1),1,0))</f>
        <v/>
      </c>
      <c r="AF197" s="45" t="str">
        <f aca="false">IF(AND(E197&gt;0,Y197&lt;1,NOT(AND(C198=C197,Y198=Y197+1))),INDEX(DATAS,Y197+1),"")</f>
        <v/>
      </c>
      <c r="AG197" s="45" t="str">
        <f aca="false">IF(AND(AA197=1,Y197&lt;1),IF(AND(C198=C197,Y198=Y197+1),IF(AA198=1,"",INDEX(DATAS,Y197+1)),INDEX(DATAS,Y197+1)),"")</f>
        <v/>
      </c>
    </row>
    <row r="198" customFormat="false" ht="15" hidden="false" customHeight="false" outlineLevel="0" collapsed="false">
      <c r="A198" s="45" t="n">
        <v>46309</v>
      </c>
      <c r="B198" s="0" t="n">
        <v>10</v>
      </c>
      <c r="C198" s="0" t="n">
        <v>3627</v>
      </c>
      <c r="D198" s="0" t="n">
        <v>75</v>
      </c>
      <c r="E198" s="0" t="n">
        <v>4</v>
      </c>
      <c r="F198" s="39" t="s">
        <v>285</v>
      </c>
      <c r="G198" s="0" t="n">
        <v>28.1</v>
      </c>
      <c r="H198" s="0" t="n">
        <v>36</v>
      </c>
      <c r="I198" s="39" t="s">
        <v>146</v>
      </c>
      <c r="J198" s="0" t="n">
        <v>75</v>
      </c>
      <c r="M198" s="0" t="n">
        <v>359.93</v>
      </c>
      <c r="N198" s="0" t="n">
        <v>29.88</v>
      </c>
      <c r="O198" s="0" t="n">
        <v>25.57</v>
      </c>
      <c r="P198" s="0" t="n">
        <v>4.74</v>
      </c>
      <c r="Q198" s="0" t="n">
        <v>2.72</v>
      </c>
      <c r="R198" s="0" t="n">
        <v>4662</v>
      </c>
      <c r="S198" s="0" t="n">
        <v>9371</v>
      </c>
      <c r="U198" s="0" t="n">
        <v>1859</v>
      </c>
      <c r="V198" s="0" t="n">
        <v>0</v>
      </c>
      <c r="W198" s="39" t="n">
        <f aca="false">IF(I198="Male",0,1)</f>
        <v>1</v>
      </c>
      <c r="X198" s="39" t="n">
        <f aca="false">IF(OR(I198="DNB",I198="Dry DNB"),1,0)</f>
        <v>0</v>
      </c>
      <c r="Y198" s="39" t="n">
        <f aca="false">MATCH(A198,DATAS,0)</f>
        <v>1</v>
      </c>
      <c r="Z198" s="39" t="n">
        <f aca="false">IF(AND(E198&gt;0,OR(AND(B198&gt;=1,B198&lt;=6),B198=10)),1,0)</f>
        <v>1</v>
      </c>
      <c r="AA198" s="39" t="n">
        <f aca="false">IF(AND(E198&gt;0,B198=10),1,0)</f>
        <v>1</v>
      </c>
      <c r="AB198" s="0" t="str">
        <f aca="false">IF(AND(C197=C198,Y197=Y198-1),Z197,"")</f>
        <v/>
      </c>
      <c r="AC198" s="0" t="str">
        <f aca="false">IF(AND(C197=C198,Y197=Y198-1),AA197,"")</f>
        <v/>
      </c>
      <c r="AD198" s="0" t="str">
        <f aca="false">IF(Y198=1,"",IF(AND(Z198=1,AB198&lt;&gt;1),1,0))</f>
        <v/>
      </c>
      <c r="AE198" s="0" t="str">
        <f aca="false">IF(Y198=1,"",IF(AND(AA198=1,AC198&lt;&gt;1),1,0))</f>
        <v/>
      </c>
      <c r="AF198" s="45" t="str">
        <f aca="false">IF(AND(E198&gt;0,Y198&lt;1,NOT(AND(C199=C198,Y199=Y198+1))),INDEX(DATAS,Y198+1),"")</f>
        <v/>
      </c>
      <c r="AG198" s="45" t="str">
        <f aca="false">IF(AND(AA198=1,Y198&lt;1),IF(AND(C199=C198,Y199=Y198+1),IF(AA199=1,"",INDEX(DATAS,Y198+1)),INDEX(DATAS,Y198+1)),"")</f>
        <v/>
      </c>
    </row>
    <row r="199" customFormat="false" ht="15" hidden="false" customHeight="false" outlineLevel="0" collapsed="false">
      <c r="A199" s="45" t="n">
        <v>46309</v>
      </c>
      <c r="B199" s="0" t="n">
        <v>6</v>
      </c>
      <c r="C199" s="0" t="n">
        <v>3630</v>
      </c>
      <c r="D199" s="0" t="n">
        <v>437</v>
      </c>
      <c r="E199" s="0" t="n">
        <v>3</v>
      </c>
      <c r="F199" s="39" t="s">
        <v>286</v>
      </c>
      <c r="G199" s="0" t="n">
        <v>25</v>
      </c>
      <c r="H199" s="0" t="n">
        <v>23</v>
      </c>
      <c r="I199" s="39" t="s">
        <v>109</v>
      </c>
      <c r="J199" s="0" t="n">
        <v>348</v>
      </c>
      <c r="K199" s="0" t="n">
        <v>59</v>
      </c>
      <c r="L199" s="0" t="n">
        <v>89</v>
      </c>
      <c r="M199" s="0" t="n">
        <v>-248.11</v>
      </c>
      <c r="N199" s="0" t="n">
        <v>8.23</v>
      </c>
      <c r="O199" s="0" t="n">
        <v>4.54</v>
      </c>
      <c r="P199" s="0" t="n">
        <v>6.1</v>
      </c>
      <c r="Q199" s="0" t="n">
        <v>5</v>
      </c>
      <c r="R199" s="0" t="n">
        <v>5966</v>
      </c>
      <c r="S199" s="0" t="n">
        <v>11007</v>
      </c>
      <c r="T199" s="0" t="n">
        <v>68.4</v>
      </c>
      <c r="U199" s="0" t="n">
        <v>1858</v>
      </c>
      <c r="V199" s="0" t="n">
        <v>9</v>
      </c>
      <c r="W199" s="39" t="n">
        <f aca="false">IF(I199="Male",0,1)</f>
        <v>1</v>
      </c>
      <c r="X199" s="39" t="n">
        <f aca="false">IF(OR(I199="DNB",I199="Dry DNB"),1,0)</f>
        <v>0</v>
      </c>
      <c r="Y199" s="39" t="n">
        <f aca="false">MATCH(A199,DATAS,0)</f>
        <v>1</v>
      </c>
      <c r="Z199" s="39" t="n">
        <f aca="false">IF(AND(E199&gt;0,OR(AND(B199&gt;=1,B199&lt;=6),B199=10)),1,0)</f>
        <v>1</v>
      </c>
      <c r="AA199" s="39" t="n">
        <f aca="false">IF(AND(E199&gt;0,B199=10),1,0)</f>
        <v>0</v>
      </c>
      <c r="AB199" s="0" t="str">
        <f aca="false">IF(AND(C198=C199,Y198=Y199-1),Z198,"")</f>
        <v/>
      </c>
      <c r="AC199" s="0" t="str">
        <f aca="false">IF(AND(C198=C199,Y198=Y199-1),AA198,"")</f>
        <v/>
      </c>
      <c r="AD199" s="0" t="str">
        <f aca="false">IF(Y199=1,"",IF(AND(Z199=1,AB199&lt;&gt;1),1,0))</f>
        <v/>
      </c>
      <c r="AE199" s="0" t="str">
        <f aca="false">IF(Y199=1,"",IF(AND(AA199=1,AC199&lt;&gt;1),1,0))</f>
        <v/>
      </c>
      <c r="AF199" s="45" t="str">
        <f aca="false">IF(AND(E199&gt;0,Y199&lt;1,NOT(AND(C200=C199,Y200=Y199+1))),INDEX(DATAS,Y199+1),"")</f>
        <v/>
      </c>
      <c r="AG199" s="45" t="str">
        <f aca="false">IF(AND(AA199=1,Y199&lt;1),IF(AND(C200=C199,Y200=Y199+1),IF(AA200=1,"",INDEX(DATAS,Y199+1)),INDEX(DATAS,Y199+1)),"")</f>
        <v/>
      </c>
    </row>
    <row r="200" customFormat="false" ht="15" hidden="false" customHeight="false" outlineLevel="0" collapsed="false">
      <c r="A200" s="45" t="n">
        <v>46309</v>
      </c>
      <c r="B200" s="0" t="n">
        <v>5</v>
      </c>
      <c r="C200" s="0" t="n">
        <v>3631</v>
      </c>
      <c r="D200" s="0" t="n">
        <v>399</v>
      </c>
      <c r="E200" s="0" t="n">
        <v>3</v>
      </c>
      <c r="F200" s="39" t="s">
        <v>287</v>
      </c>
      <c r="G200" s="0" t="n">
        <v>36.6</v>
      </c>
      <c r="H200" s="0" t="n">
        <v>38</v>
      </c>
      <c r="I200" s="39" t="s">
        <v>109</v>
      </c>
      <c r="J200" s="0" t="n">
        <v>211</v>
      </c>
      <c r="K200" s="0" t="n">
        <v>63</v>
      </c>
      <c r="L200" s="0" t="n">
        <v>188</v>
      </c>
      <c r="M200" s="0" t="n">
        <v>655.9</v>
      </c>
      <c r="N200" s="0" t="n">
        <v>36.55</v>
      </c>
      <c r="O200" s="0" t="n">
        <v>23.12</v>
      </c>
      <c r="P200" s="0" t="n">
        <v>0</v>
      </c>
      <c r="Q200" s="0" t="n">
        <v>0</v>
      </c>
      <c r="R200" s="0" t="n">
        <v>6121</v>
      </c>
      <c r="S200" s="0" t="n">
        <v>12726</v>
      </c>
      <c r="T200" s="0" t="n">
        <v>70.8</v>
      </c>
      <c r="U200" s="0" t="n">
        <v>1857</v>
      </c>
      <c r="V200" s="0" t="n">
        <v>5</v>
      </c>
      <c r="W200" s="39" t="n">
        <f aca="false">IF(I200="Male",0,1)</f>
        <v>1</v>
      </c>
      <c r="X200" s="39" t="n">
        <f aca="false">IF(OR(I200="DNB",I200="Dry DNB"),1,0)</f>
        <v>0</v>
      </c>
      <c r="Y200" s="39" t="n">
        <f aca="false">MATCH(A200,DATAS,0)</f>
        <v>1</v>
      </c>
      <c r="Z200" s="39" t="n">
        <f aca="false">IF(AND(E200&gt;0,OR(AND(B200&gt;=1,B200&lt;=6),B200=10)),1,0)</f>
        <v>1</v>
      </c>
      <c r="AA200" s="39" t="n">
        <f aca="false">IF(AND(E200&gt;0,B200=10),1,0)</f>
        <v>0</v>
      </c>
      <c r="AB200" s="0" t="str">
        <f aca="false">IF(AND(C199=C200,Y199=Y200-1),Z199,"")</f>
        <v/>
      </c>
      <c r="AC200" s="0" t="str">
        <f aca="false">IF(AND(C199=C200,Y199=Y200-1),AA199,"")</f>
        <v/>
      </c>
      <c r="AD200" s="0" t="str">
        <f aca="false">IF(Y200=1,"",IF(AND(Z200=1,AB200&lt;&gt;1),1,0))</f>
        <v/>
      </c>
      <c r="AE200" s="0" t="str">
        <f aca="false">IF(Y200=1,"",IF(AND(AA200=1,AC200&lt;&gt;1),1,0))</f>
        <v/>
      </c>
      <c r="AF200" s="45" t="str">
        <f aca="false">IF(AND(E200&gt;0,Y200&lt;1,NOT(AND(C201=C200,Y201=Y200+1))),INDEX(DATAS,Y200+1),"")</f>
        <v/>
      </c>
      <c r="AG200" s="45" t="str">
        <f aca="false">IF(AND(AA200=1,Y200&lt;1),IF(AND(C201=C200,Y201=Y200+1),IF(AA201=1,"",INDEX(DATAS,Y200+1)),INDEX(DATAS,Y200+1)),"")</f>
        <v/>
      </c>
    </row>
    <row r="201" customFormat="false" ht="15" hidden="false" customHeight="false" outlineLevel="0" collapsed="false">
      <c r="A201" s="45" t="n">
        <v>46309</v>
      </c>
      <c r="B201" s="0" t="n">
        <v>5</v>
      </c>
      <c r="C201" s="0" t="n">
        <v>3632</v>
      </c>
      <c r="D201" s="0" t="n">
        <v>164</v>
      </c>
      <c r="E201" s="0" t="n">
        <v>3</v>
      </c>
      <c r="F201" s="39" t="s">
        <v>287</v>
      </c>
      <c r="G201" s="0" t="n">
        <v>38.7</v>
      </c>
      <c r="H201" s="0" t="n">
        <v>42</v>
      </c>
      <c r="I201" s="39" t="s">
        <v>138</v>
      </c>
      <c r="J201" s="0" t="n">
        <v>164</v>
      </c>
      <c r="K201" s="0" t="n">
        <v>66</v>
      </c>
      <c r="M201" s="0" t="n">
        <v>519.75</v>
      </c>
      <c r="N201" s="0" t="n">
        <v>26.83</v>
      </c>
      <c r="O201" s="0" t="n">
        <v>20.01</v>
      </c>
      <c r="P201" s="0" t="n">
        <v>4.25</v>
      </c>
      <c r="Q201" s="0" t="n">
        <v>3.62</v>
      </c>
      <c r="R201" s="0" t="n">
        <v>5059</v>
      </c>
      <c r="S201" s="0" t="n">
        <v>9491</v>
      </c>
      <c r="T201" s="0" t="n">
        <v>60</v>
      </c>
      <c r="U201" s="0" t="n">
        <v>1857</v>
      </c>
      <c r="V201" s="0" t="n">
        <v>3</v>
      </c>
      <c r="W201" s="39" t="n">
        <f aca="false">IF(I201="Male",0,1)</f>
        <v>1</v>
      </c>
      <c r="X201" s="39" t="n">
        <f aca="false">IF(OR(I201="DNB",I201="Dry DNB"),1,0)</f>
        <v>0</v>
      </c>
      <c r="Y201" s="39" t="n">
        <f aca="false">MATCH(A201,DATAS,0)</f>
        <v>1</v>
      </c>
      <c r="Z201" s="39" t="n">
        <f aca="false">IF(AND(E201&gt;0,OR(AND(B201&gt;=1,B201&lt;=6),B201=10)),1,0)</f>
        <v>1</v>
      </c>
      <c r="AA201" s="39" t="n">
        <f aca="false">IF(AND(E201&gt;0,B201=10),1,0)</f>
        <v>0</v>
      </c>
      <c r="AB201" s="0" t="str">
        <f aca="false">IF(AND(C200=C201,Y200=Y201-1),Z200,"")</f>
        <v/>
      </c>
      <c r="AC201" s="0" t="str">
        <f aca="false">IF(AND(C200=C201,Y200=Y201-1),AA200,"")</f>
        <v/>
      </c>
      <c r="AD201" s="0" t="str">
        <f aca="false">IF(Y201=1,"",IF(AND(Z201=1,AB201&lt;&gt;1),1,0))</f>
        <v/>
      </c>
      <c r="AE201" s="0" t="str">
        <f aca="false">IF(Y201=1,"",IF(AND(AA201=1,AC201&lt;&gt;1),1,0))</f>
        <v/>
      </c>
      <c r="AF201" s="45" t="str">
        <f aca="false">IF(AND(E201&gt;0,Y201&lt;1,NOT(AND(C202=C201,Y202=Y201+1))),INDEX(DATAS,Y201+1),"")</f>
        <v/>
      </c>
      <c r="AG201" s="45" t="str">
        <f aca="false">IF(AND(AA201=1,Y201&lt;1),IF(AND(C202=C201,Y202=Y201+1),IF(AA202=1,"",INDEX(DATAS,Y201+1)),INDEX(DATAS,Y201+1)),"")</f>
        <v/>
      </c>
    </row>
    <row r="202" customFormat="false" ht="15" hidden="false" customHeight="false" outlineLevel="0" collapsed="false">
      <c r="A202" s="45" t="n">
        <v>46309</v>
      </c>
      <c r="B202" s="0" t="n">
        <v>6</v>
      </c>
      <c r="C202" s="0" t="n">
        <v>3637</v>
      </c>
      <c r="D202" s="0" t="n">
        <v>327</v>
      </c>
      <c r="E202" s="0" t="n">
        <v>3</v>
      </c>
      <c r="F202" s="39" t="s">
        <v>288</v>
      </c>
      <c r="G202" s="0" t="n">
        <v>18.3</v>
      </c>
      <c r="H202" s="0" t="n">
        <v>19</v>
      </c>
      <c r="I202" s="39" t="s">
        <v>109</v>
      </c>
      <c r="J202" s="0" t="n">
        <v>124</v>
      </c>
      <c r="K202" s="0" t="n">
        <v>65</v>
      </c>
      <c r="L202" s="0" t="n">
        <v>203</v>
      </c>
      <c r="M202" s="0" t="n">
        <v>312.21</v>
      </c>
      <c r="N202" s="0" t="n">
        <v>27.85</v>
      </c>
      <c r="O202" s="0" t="n">
        <v>17.25</v>
      </c>
      <c r="P202" s="0" t="n">
        <v>4.82</v>
      </c>
      <c r="Q202" s="0" t="n">
        <v>3.63</v>
      </c>
      <c r="R202" s="0" t="n">
        <v>5788</v>
      </c>
      <c r="S202" s="0" t="n">
        <v>11044</v>
      </c>
      <c r="T202" s="0" t="n">
        <v>61.4</v>
      </c>
      <c r="U202" s="0" t="n">
        <v>1856</v>
      </c>
      <c r="V202" s="0" t="n">
        <v>2</v>
      </c>
      <c r="W202" s="39" t="n">
        <f aca="false">IF(I202="Male",0,1)</f>
        <v>1</v>
      </c>
      <c r="X202" s="39" t="n">
        <f aca="false">IF(OR(I202="DNB",I202="Dry DNB"),1,0)</f>
        <v>0</v>
      </c>
      <c r="Y202" s="39" t="n">
        <f aca="false">MATCH(A202,DATAS,0)</f>
        <v>1</v>
      </c>
      <c r="Z202" s="39" t="n">
        <f aca="false">IF(AND(E202&gt;0,OR(AND(B202&gt;=1,B202&lt;=6),B202=10)),1,0)</f>
        <v>1</v>
      </c>
      <c r="AA202" s="39" t="n">
        <f aca="false">IF(AND(E202&gt;0,B202=10),1,0)</f>
        <v>0</v>
      </c>
      <c r="AB202" s="0" t="str">
        <f aca="false">IF(AND(C201=C202,Y201=Y202-1),Z201,"")</f>
        <v/>
      </c>
      <c r="AC202" s="0" t="str">
        <f aca="false">IF(AND(C201=C202,Y201=Y202-1),AA201,"")</f>
        <v/>
      </c>
      <c r="AD202" s="0" t="str">
        <f aca="false">IF(Y202=1,"",IF(AND(Z202=1,AB202&lt;&gt;1),1,0))</f>
        <v/>
      </c>
      <c r="AE202" s="0" t="str">
        <f aca="false">IF(Y202=1,"",IF(AND(AA202=1,AC202&lt;&gt;1),1,0))</f>
        <v/>
      </c>
      <c r="AF202" s="45" t="str">
        <f aca="false">IF(AND(E202&gt;0,Y202&lt;1,NOT(AND(C203=C202,Y203=Y202+1))),INDEX(DATAS,Y202+1),"")</f>
        <v/>
      </c>
      <c r="AG202" s="45" t="str">
        <f aca="false">IF(AND(AA202=1,Y202&lt;1),IF(AND(C203=C202,Y203=Y202+1),IF(AA203=1,"",INDEX(DATAS,Y202+1)),INDEX(DATAS,Y202+1)),"")</f>
        <v/>
      </c>
    </row>
    <row r="203" customFormat="false" ht="15" hidden="false" customHeight="false" outlineLevel="0" collapsed="false">
      <c r="A203" s="45" t="n">
        <v>46309</v>
      </c>
      <c r="B203" s="0" t="n">
        <v>2</v>
      </c>
      <c r="C203" s="0" t="n">
        <v>3646</v>
      </c>
      <c r="D203" s="0" t="n">
        <v>143</v>
      </c>
      <c r="E203" s="0" t="n">
        <v>3</v>
      </c>
      <c r="F203" s="39" t="s">
        <v>289</v>
      </c>
      <c r="G203" s="0" t="n">
        <v>60.6</v>
      </c>
      <c r="H203" s="0" t="n">
        <v>58</v>
      </c>
      <c r="I203" s="39" t="s">
        <v>138</v>
      </c>
      <c r="J203" s="0" t="n">
        <v>143</v>
      </c>
      <c r="K203" s="0" t="n">
        <v>66</v>
      </c>
      <c r="M203" s="0" t="n">
        <v>669.28</v>
      </c>
      <c r="N203" s="0" t="n">
        <v>50.04</v>
      </c>
      <c r="O203" s="0" t="n">
        <v>20.29</v>
      </c>
      <c r="P203" s="0" t="n">
        <v>3.75</v>
      </c>
      <c r="Q203" s="0" t="n">
        <v>3.14</v>
      </c>
      <c r="R203" s="0" t="n">
        <v>5868</v>
      </c>
      <c r="S203" s="0" t="n">
        <v>12152</v>
      </c>
      <c r="T203" s="0" t="n">
        <v>69.05</v>
      </c>
      <c r="U203" s="0" t="n">
        <v>1850</v>
      </c>
      <c r="V203" s="0" t="n">
        <v>3</v>
      </c>
      <c r="W203" s="39" t="n">
        <f aca="false">IF(I203="Male",0,1)</f>
        <v>1</v>
      </c>
      <c r="X203" s="39" t="n">
        <f aca="false">IF(OR(I203="DNB",I203="Dry DNB"),1,0)</f>
        <v>0</v>
      </c>
      <c r="Y203" s="39" t="n">
        <f aca="false">MATCH(A203,DATAS,0)</f>
        <v>1</v>
      </c>
      <c r="Z203" s="39" t="n">
        <f aca="false">IF(AND(E203&gt;0,OR(AND(B203&gt;=1,B203&lt;=6),B203=10)),1,0)</f>
        <v>1</v>
      </c>
      <c r="AA203" s="39" t="n">
        <f aca="false">IF(AND(E203&gt;0,B203=10),1,0)</f>
        <v>0</v>
      </c>
      <c r="AB203" s="0" t="str">
        <f aca="false">IF(AND(C202=C203,Y202=Y203-1),Z202,"")</f>
        <v/>
      </c>
      <c r="AC203" s="0" t="str">
        <f aca="false">IF(AND(C202=C203,Y202=Y203-1),AA202,"")</f>
        <v/>
      </c>
      <c r="AD203" s="0" t="str">
        <f aca="false">IF(Y203=1,"",IF(AND(Z203=1,AB203&lt;&gt;1),1,0))</f>
        <v/>
      </c>
      <c r="AE203" s="0" t="str">
        <f aca="false">IF(Y203=1,"",IF(AND(AA203=1,AC203&lt;&gt;1),1,0))</f>
        <v/>
      </c>
      <c r="AF203" s="45" t="str">
        <f aca="false">IF(AND(E203&gt;0,Y203&lt;1,NOT(AND(C204=C203,Y204=Y203+1))),INDEX(DATAS,Y203+1),"")</f>
        <v/>
      </c>
      <c r="AG203" s="45" t="str">
        <f aca="false">IF(AND(AA203=1,Y203&lt;1),IF(AND(C204=C203,Y204=Y203+1),IF(AA204=1,"",INDEX(DATAS,Y203+1)),INDEX(DATAS,Y203+1)),"")</f>
        <v/>
      </c>
    </row>
    <row r="204" customFormat="false" ht="15" hidden="false" customHeight="false" outlineLevel="0" collapsed="false">
      <c r="A204" s="45" t="n">
        <v>46309</v>
      </c>
      <c r="B204" s="0" t="n">
        <v>2</v>
      </c>
      <c r="C204" s="0" t="n">
        <v>3651</v>
      </c>
      <c r="D204" s="0" t="n">
        <v>410</v>
      </c>
      <c r="E204" s="0" t="n">
        <v>3</v>
      </c>
      <c r="F204" s="39" t="s">
        <v>290</v>
      </c>
      <c r="G204" s="0" t="n">
        <v>46.4</v>
      </c>
      <c r="H204" s="0" t="n">
        <v>46</v>
      </c>
      <c r="I204" s="39" t="s">
        <v>109</v>
      </c>
      <c r="J204" s="0" t="n">
        <v>235</v>
      </c>
      <c r="K204" s="0" t="n">
        <v>67</v>
      </c>
      <c r="L204" s="0" t="n">
        <v>175</v>
      </c>
      <c r="M204" s="0" t="n">
        <v>436.42</v>
      </c>
      <c r="N204" s="0" t="n">
        <v>41.54</v>
      </c>
      <c r="O204" s="0" t="n">
        <v>20.52</v>
      </c>
      <c r="P204" s="0" t="n">
        <v>4.24</v>
      </c>
      <c r="Q204" s="0" t="n">
        <v>3.98</v>
      </c>
      <c r="R204" s="0" t="n">
        <v>6305</v>
      </c>
      <c r="S204" s="0" t="n">
        <v>12787</v>
      </c>
      <c r="T204" s="0" t="n">
        <v>65.6</v>
      </c>
      <c r="U204" s="0" t="n">
        <v>1847</v>
      </c>
      <c r="V204" s="0" t="n">
        <v>5</v>
      </c>
      <c r="W204" s="39" t="n">
        <f aca="false">IF(I204="Male",0,1)</f>
        <v>1</v>
      </c>
      <c r="X204" s="39" t="n">
        <f aca="false">IF(OR(I204="DNB",I204="Dry DNB"),1,0)</f>
        <v>0</v>
      </c>
      <c r="Y204" s="39" t="n">
        <f aca="false">MATCH(A204,DATAS,0)</f>
        <v>1</v>
      </c>
      <c r="Z204" s="39" t="n">
        <f aca="false">IF(AND(E204&gt;0,OR(AND(B204&gt;=1,B204&lt;=6),B204=10)),1,0)</f>
        <v>1</v>
      </c>
      <c r="AA204" s="39" t="n">
        <f aca="false">IF(AND(E204&gt;0,B204=10),1,0)</f>
        <v>0</v>
      </c>
      <c r="AB204" s="0" t="str">
        <f aca="false">IF(AND(C203=C204,Y203=Y204-1),Z203,"")</f>
        <v/>
      </c>
      <c r="AC204" s="0" t="str">
        <f aca="false">IF(AND(C203=C204,Y203=Y204-1),AA203,"")</f>
        <v/>
      </c>
      <c r="AD204" s="0" t="str">
        <f aca="false">IF(Y204=1,"",IF(AND(Z204=1,AB204&lt;&gt;1),1,0))</f>
        <v/>
      </c>
      <c r="AE204" s="0" t="str">
        <f aca="false">IF(Y204=1,"",IF(AND(AA204=1,AC204&lt;&gt;1),1,0))</f>
        <v/>
      </c>
      <c r="AF204" s="45" t="str">
        <f aca="false">IF(AND(E204&gt;0,Y204&lt;1,NOT(AND(C205=C204,Y205=Y204+1))),INDEX(DATAS,Y204+1),"")</f>
        <v/>
      </c>
      <c r="AG204" s="45" t="str">
        <f aca="false">IF(AND(AA204=1,Y204&lt;1),IF(AND(C205=C204,Y205=Y204+1),IF(AA205=1,"",INDEX(DATAS,Y204+1)),INDEX(DATAS,Y204+1)),"")</f>
        <v/>
      </c>
    </row>
    <row r="205" customFormat="false" ht="15" hidden="false" customHeight="false" outlineLevel="0" collapsed="false">
      <c r="A205" s="45" t="n">
        <v>46309</v>
      </c>
      <c r="B205" s="0" t="n">
        <v>3</v>
      </c>
      <c r="C205" s="0" t="n">
        <v>3658</v>
      </c>
      <c r="D205" s="0" t="n">
        <v>296</v>
      </c>
      <c r="E205" s="0" t="n">
        <v>3</v>
      </c>
      <c r="F205" s="39" t="s">
        <v>291</v>
      </c>
      <c r="G205" s="0" t="n">
        <v>55.1</v>
      </c>
      <c r="H205" s="0" t="n">
        <v>52</v>
      </c>
      <c r="I205" s="39" t="s">
        <v>138</v>
      </c>
      <c r="J205" s="0" t="n">
        <v>296</v>
      </c>
      <c r="K205" s="0" t="n">
        <v>72</v>
      </c>
      <c r="M205" s="0" t="n">
        <v>627.96</v>
      </c>
      <c r="N205" s="0" t="n">
        <v>47.94</v>
      </c>
      <c r="O205" s="0" t="n">
        <v>36.29</v>
      </c>
      <c r="P205" s="0" t="n">
        <v>2.83</v>
      </c>
      <c r="Q205" s="0" t="n">
        <v>3.33</v>
      </c>
      <c r="R205" s="0" t="n">
        <v>4542</v>
      </c>
      <c r="S205" s="0" t="n">
        <v>10365</v>
      </c>
      <c r="T205" s="0" t="n">
        <v>47.8</v>
      </c>
      <c r="U205" s="0" t="n">
        <v>1841</v>
      </c>
      <c r="V205" s="0" t="n">
        <v>6</v>
      </c>
      <c r="W205" s="39" t="n">
        <f aca="false">IF(I205="Male",0,1)</f>
        <v>1</v>
      </c>
      <c r="X205" s="39" t="n">
        <f aca="false">IF(OR(I205="DNB",I205="Dry DNB"),1,0)</f>
        <v>0</v>
      </c>
      <c r="Y205" s="39" t="n">
        <f aca="false">MATCH(A205,DATAS,0)</f>
        <v>1</v>
      </c>
      <c r="Z205" s="39" t="n">
        <f aca="false">IF(AND(E205&gt;0,OR(AND(B205&gt;=1,B205&lt;=6),B205=10)),1,0)</f>
        <v>1</v>
      </c>
      <c r="AA205" s="39" t="n">
        <f aca="false">IF(AND(E205&gt;0,B205=10),1,0)</f>
        <v>0</v>
      </c>
      <c r="AB205" s="0" t="str">
        <f aca="false">IF(AND(C204=C205,Y204=Y205-1),Z204,"")</f>
        <v/>
      </c>
      <c r="AC205" s="0" t="str">
        <f aca="false">IF(AND(C204=C205,Y204=Y205-1),AA204,"")</f>
        <v/>
      </c>
      <c r="AD205" s="0" t="str">
        <f aca="false">IF(Y205=1,"",IF(AND(Z205=1,AB205&lt;&gt;1),1,0))</f>
        <v/>
      </c>
      <c r="AE205" s="0" t="str">
        <f aca="false">IF(Y205=1,"",IF(AND(AA205=1,AC205&lt;&gt;1),1,0))</f>
        <v/>
      </c>
      <c r="AF205" s="45" t="str">
        <f aca="false">IF(AND(E205&gt;0,Y205&lt;1,NOT(AND(C206=C205,Y206=Y205+1))),INDEX(DATAS,Y205+1),"")</f>
        <v/>
      </c>
      <c r="AG205" s="45" t="str">
        <f aca="false">IF(AND(AA205=1,Y205&lt;1),IF(AND(C206=C205,Y206=Y205+1),IF(AA206=1,"",INDEX(DATAS,Y205+1)),INDEX(DATAS,Y205+1)),"")</f>
        <v/>
      </c>
    </row>
    <row r="206" customFormat="false" ht="15" hidden="false" customHeight="false" outlineLevel="0" collapsed="false">
      <c r="A206" s="45" t="n">
        <v>46309</v>
      </c>
      <c r="B206" s="0" t="n">
        <v>6</v>
      </c>
      <c r="C206" s="0" t="n">
        <v>3660</v>
      </c>
      <c r="D206" s="0" t="n">
        <v>343</v>
      </c>
      <c r="E206" s="0" t="n">
        <v>3</v>
      </c>
      <c r="F206" s="39" t="s">
        <v>291</v>
      </c>
      <c r="G206" s="0" t="n">
        <v>23.6</v>
      </c>
      <c r="H206" s="0" t="n">
        <v>23</v>
      </c>
      <c r="I206" s="39" t="s">
        <v>96</v>
      </c>
      <c r="J206" s="0" t="n">
        <v>343</v>
      </c>
      <c r="K206" s="0" t="n">
        <v>64</v>
      </c>
      <c r="M206" s="0" t="n">
        <v>649.33</v>
      </c>
      <c r="N206" s="0" t="n">
        <v>53.73</v>
      </c>
      <c r="O206" s="0" t="n">
        <v>25.22</v>
      </c>
      <c r="P206" s="0" t="n">
        <v>5.46</v>
      </c>
      <c r="Q206" s="0" t="n">
        <v>4.16</v>
      </c>
      <c r="R206" s="0" t="n">
        <v>5088</v>
      </c>
      <c r="S206" s="0" t="n">
        <v>8551</v>
      </c>
      <c r="T206" s="0" t="n">
        <v>56.4</v>
      </c>
      <c r="U206" s="0" t="n">
        <v>1841</v>
      </c>
      <c r="V206" s="0" t="n">
        <v>4</v>
      </c>
      <c r="W206" s="39" t="n">
        <f aca="false">IF(I206="Male",0,1)</f>
        <v>1</v>
      </c>
      <c r="X206" s="39" t="n">
        <f aca="false">IF(OR(I206="DNB",I206="Dry DNB"),1,0)</f>
        <v>1</v>
      </c>
      <c r="Y206" s="39" t="n">
        <f aca="false">MATCH(A206,DATAS,0)</f>
        <v>1</v>
      </c>
      <c r="Z206" s="39" t="n">
        <f aca="false">IF(AND(E206&gt;0,OR(AND(B206&gt;=1,B206&lt;=6),B206=10)),1,0)</f>
        <v>1</v>
      </c>
      <c r="AA206" s="39" t="n">
        <f aca="false">IF(AND(E206&gt;0,B206=10),1,0)</f>
        <v>0</v>
      </c>
      <c r="AB206" s="0" t="str">
        <f aca="false">IF(AND(C205=C206,Y205=Y206-1),Z205,"")</f>
        <v/>
      </c>
      <c r="AC206" s="0" t="str">
        <f aca="false">IF(AND(C205=C206,Y205=Y206-1),AA205,"")</f>
        <v/>
      </c>
      <c r="AD206" s="0" t="str">
        <f aca="false">IF(Y206=1,"",IF(AND(Z206=1,AB206&lt;&gt;1),1,0))</f>
        <v/>
      </c>
      <c r="AE206" s="0" t="str">
        <f aca="false">IF(Y206=1,"",IF(AND(AA206=1,AC206&lt;&gt;1),1,0))</f>
        <v/>
      </c>
      <c r="AF206" s="45" t="str">
        <f aca="false">IF(AND(E206&gt;0,Y206&lt;1,NOT(AND(C207=C206,Y207=Y206+1))),INDEX(DATAS,Y206+1),"")</f>
        <v/>
      </c>
      <c r="AG206" s="45" t="str">
        <f aca="false">IF(AND(AA206=1,Y206&lt;1),IF(AND(C207=C206,Y207=Y206+1),IF(AA207=1,"",INDEX(DATAS,Y206+1)),INDEX(DATAS,Y206+1)),"")</f>
        <v/>
      </c>
    </row>
    <row r="207" customFormat="false" ht="15" hidden="false" customHeight="false" outlineLevel="0" collapsed="false">
      <c r="A207" s="45" t="n">
        <v>46309</v>
      </c>
      <c r="B207" s="0" t="n">
        <v>5</v>
      </c>
      <c r="C207" s="0" t="n">
        <v>3663</v>
      </c>
      <c r="D207" s="0" t="n">
        <v>445</v>
      </c>
      <c r="E207" s="0" t="n">
        <v>3</v>
      </c>
      <c r="F207" s="39" t="s">
        <v>292</v>
      </c>
      <c r="G207" s="0" t="n">
        <v>26.2</v>
      </c>
      <c r="H207" s="0" t="n">
        <v>26</v>
      </c>
      <c r="I207" s="39" t="s">
        <v>96</v>
      </c>
      <c r="J207" s="0" t="n">
        <v>445</v>
      </c>
      <c r="K207" s="0" t="n">
        <v>60</v>
      </c>
      <c r="M207" s="0" t="n">
        <v>441.38</v>
      </c>
      <c r="N207" s="0" t="n">
        <v>48.58</v>
      </c>
      <c r="O207" s="0" t="n">
        <v>31.95</v>
      </c>
      <c r="P207" s="0" t="n">
        <v>5.26</v>
      </c>
      <c r="Q207" s="0" t="n">
        <v>3.83</v>
      </c>
      <c r="R207" s="0" t="n">
        <v>5005</v>
      </c>
      <c r="S207" s="0" t="n">
        <v>10524</v>
      </c>
      <c r="T207" s="0" t="n">
        <v>51.7</v>
      </c>
      <c r="U207" s="0" t="n">
        <v>1836</v>
      </c>
      <c r="V207" s="0" t="n">
        <v>4</v>
      </c>
      <c r="W207" s="39" t="n">
        <f aca="false">IF(I207="Male",0,1)</f>
        <v>1</v>
      </c>
      <c r="X207" s="39" t="n">
        <f aca="false">IF(OR(I207="DNB",I207="Dry DNB"),1,0)</f>
        <v>1</v>
      </c>
      <c r="Y207" s="39" t="n">
        <f aca="false">MATCH(A207,DATAS,0)</f>
        <v>1</v>
      </c>
      <c r="Z207" s="39" t="n">
        <f aca="false">IF(AND(E207&gt;0,OR(AND(B207&gt;=1,B207&lt;=6),B207=10)),1,0)</f>
        <v>1</v>
      </c>
      <c r="AA207" s="39" t="n">
        <f aca="false">IF(AND(E207&gt;0,B207=10),1,0)</f>
        <v>0</v>
      </c>
      <c r="AB207" s="0" t="str">
        <f aca="false">IF(AND(C206=C207,Y206=Y207-1),Z206,"")</f>
        <v/>
      </c>
      <c r="AC207" s="0" t="str">
        <f aca="false">IF(AND(C206=C207,Y206=Y207-1),AA206,"")</f>
        <v/>
      </c>
      <c r="AD207" s="0" t="str">
        <f aca="false">IF(Y207=1,"",IF(AND(Z207=1,AB207&lt;&gt;1),1,0))</f>
        <v/>
      </c>
      <c r="AE207" s="0" t="str">
        <f aca="false">IF(Y207=1,"",IF(AND(AA207=1,AC207&lt;&gt;1),1,0))</f>
        <v/>
      </c>
      <c r="AF207" s="45" t="str">
        <f aca="false">IF(AND(E207&gt;0,Y207&lt;1,NOT(AND(C208=C207,Y208=Y207+1))),INDEX(DATAS,Y207+1),"")</f>
        <v/>
      </c>
      <c r="AG207" s="45" t="str">
        <f aca="false">IF(AND(AA207=1,Y207&lt;1),IF(AND(C208=C207,Y208=Y207+1),IF(AA208=1,"",INDEX(DATAS,Y207+1)),INDEX(DATAS,Y207+1)),"")</f>
        <v/>
      </c>
    </row>
    <row r="208" customFormat="false" ht="15" hidden="false" customHeight="false" outlineLevel="0" collapsed="false">
      <c r="A208" s="45" t="n">
        <v>46309</v>
      </c>
      <c r="B208" s="0" t="n">
        <v>5</v>
      </c>
      <c r="C208" s="0" t="n">
        <v>3664</v>
      </c>
      <c r="D208" s="0" t="n">
        <v>465</v>
      </c>
      <c r="E208" s="0" t="n">
        <v>3</v>
      </c>
      <c r="F208" s="39" t="s">
        <v>293</v>
      </c>
      <c r="G208" s="0" t="n">
        <v>45.3</v>
      </c>
      <c r="H208" s="0" t="n">
        <v>42</v>
      </c>
      <c r="I208" s="39" t="s">
        <v>109</v>
      </c>
      <c r="J208" s="0" t="n">
        <v>367</v>
      </c>
      <c r="K208" s="0" t="n">
        <v>59</v>
      </c>
      <c r="L208" s="0" t="n">
        <v>98</v>
      </c>
      <c r="M208" s="0" t="n">
        <v>855.47</v>
      </c>
      <c r="N208" s="0" t="n">
        <v>27.7</v>
      </c>
      <c r="O208" s="0" t="n">
        <v>34.54</v>
      </c>
      <c r="P208" s="0" t="n">
        <v>3.9</v>
      </c>
      <c r="Q208" s="0" t="n">
        <v>4.13</v>
      </c>
      <c r="R208" s="0" t="n">
        <v>6706</v>
      </c>
      <c r="S208" s="0" t="n">
        <v>13043</v>
      </c>
      <c r="T208" s="0" t="n">
        <v>75.65</v>
      </c>
      <c r="U208" s="0" t="n">
        <v>1835</v>
      </c>
      <c r="V208" s="0" t="n">
        <v>11</v>
      </c>
      <c r="W208" s="39" t="n">
        <f aca="false">IF(I208="Male",0,1)</f>
        <v>1</v>
      </c>
      <c r="X208" s="39" t="n">
        <f aca="false">IF(OR(I208="DNB",I208="Dry DNB"),1,0)</f>
        <v>0</v>
      </c>
      <c r="Y208" s="39" t="n">
        <f aca="false">MATCH(A208,DATAS,0)</f>
        <v>1</v>
      </c>
      <c r="Z208" s="39" t="n">
        <f aca="false">IF(AND(E208&gt;0,OR(AND(B208&gt;=1,B208&lt;=6),B208=10)),1,0)</f>
        <v>1</v>
      </c>
      <c r="AA208" s="39" t="n">
        <f aca="false">IF(AND(E208&gt;0,B208=10),1,0)</f>
        <v>0</v>
      </c>
      <c r="AB208" s="0" t="str">
        <f aca="false">IF(AND(C207=C208,Y207=Y208-1),Z207,"")</f>
        <v/>
      </c>
      <c r="AC208" s="0" t="str">
        <f aca="false">IF(AND(C207=C208,Y207=Y208-1),AA207,"")</f>
        <v/>
      </c>
      <c r="AD208" s="0" t="str">
        <f aca="false">IF(Y208=1,"",IF(AND(Z208=1,AB208&lt;&gt;1),1,0))</f>
        <v/>
      </c>
      <c r="AE208" s="0" t="str">
        <f aca="false">IF(Y208=1,"",IF(AND(AA208=1,AC208&lt;&gt;1),1,0))</f>
        <v/>
      </c>
      <c r="AF208" s="45" t="str">
        <f aca="false">IF(AND(E208&gt;0,Y208&lt;1,NOT(AND(C209=C208,Y209=Y208+1))),INDEX(DATAS,Y208+1),"")</f>
        <v/>
      </c>
      <c r="AG208" s="45" t="str">
        <f aca="false">IF(AND(AA208=1,Y208&lt;1),IF(AND(C209=C208,Y209=Y208+1),IF(AA209=1,"",INDEX(DATAS,Y208+1)),INDEX(DATAS,Y208+1)),"")</f>
        <v/>
      </c>
    </row>
    <row r="209" customFormat="false" ht="15" hidden="false" customHeight="false" outlineLevel="0" collapsed="false">
      <c r="A209" s="45" t="n">
        <v>46309</v>
      </c>
      <c r="B209" s="0" t="n">
        <v>5</v>
      </c>
      <c r="C209" s="0" t="n">
        <v>3665</v>
      </c>
      <c r="D209" s="0" t="n">
        <v>419</v>
      </c>
      <c r="E209" s="0" t="n">
        <v>3</v>
      </c>
      <c r="F209" s="39" t="s">
        <v>294</v>
      </c>
      <c r="G209" s="0" t="n">
        <v>29</v>
      </c>
      <c r="H209" s="0" t="n">
        <v>28</v>
      </c>
      <c r="I209" s="39" t="s">
        <v>109</v>
      </c>
      <c r="J209" s="0" t="n">
        <v>216</v>
      </c>
      <c r="K209" s="0" t="n">
        <v>69</v>
      </c>
      <c r="L209" s="0" t="n">
        <v>203</v>
      </c>
      <c r="M209" s="0" t="n">
        <v>846.8</v>
      </c>
      <c r="N209" s="0" t="n">
        <v>25.06</v>
      </c>
      <c r="O209" s="0" t="n">
        <v>30.77</v>
      </c>
      <c r="P209" s="0" t="n">
        <v>3.37</v>
      </c>
      <c r="Q209" s="0" t="n">
        <v>3.81</v>
      </c>
      <c r="R209" s="0" t="n">
        <v>5171</v>
      </c>
      <c r="S209" s="0" t="n">
        <v>9568</v>
      </c>
      <c r="T209" s="0" t="n">
        <v>55.35</v>
      </c>
      <c r="U209" s="0" t="n">
        <v>1834</v>
      </c>
      <c r="V209" s="0" t="n">
        <v>6</v>
      </c>
      <c r="W209" s="39" t="n">
        <f aca="false">IF(I209="Male",0,1)</f>
        <v>1</v>
      </c>
      <c r="X209" s="39" t="n">
        <f aca="false">IF(OR(I209="DNB",I209="Dry DNB"),1,0)</f>
        <v>0</v>
      </c>
      <c r="Y209" s="39" t="n">
        <f aca="false">MATCH(A209,DATAS,0)</f>
        <v>1</v>
      </c>
      <c r="Z209" s="39" t="n">
        <f aca="false">IF(AND(E209&gt;0,OR(AND(B209&gt;=1,B209&lt;=6),B209=10)),1,0)</f>
        <v>1</v>
      </c>
      <c r="AA209" s="39" t="n">
        <f aca="false">IF(AND(E209&gt;0,B209=10),1,0)</f>
        <v>0</v>
      </c>
      <c r="AB209" s="0" t="str">
        <f aca="false">IF(AND(C208=C209,Y208=Y209-1),Z208,"")</f>
        <v/>
      </c>
      <c r="AC209" s="0" t="str">
        <f aca="false">IF(AND(C208=C209,Y208=Y209-1),AA208,"")</f>
        <v/>
      </c>
      <c r="AD209" s="0" t="str">
        <f aca="false">IF(Y209=1,"",IF(AND(Z209=1,AB209&lt;&gt;1),1,0))</f>
        <v/>
      </c>
      <c r="AE209" s="0" t="str">
        <f aca="false">IF(Y209=1,"",IF(AND(AA209=1,AC209&lt;&gt;1),1,0))</f>
        <v/>
      </c>
      <c r="AF209" s="45" t="str">
        <f aca="false">IF(AND(E209&gt;0,Y209&lt;1,NOT(AND(C210=C209,Y210=Y209+1))),INDEX(DATAS,Y209+1),"")</f>
        <v/>
      </c>
      <c r="AG209" s="45" t="str">
        <f aca="false">IF(AND(AA209=1,Y209&lt;1),IF(AND(C210=C209,Y210=Y209+1),IF(AA210=1,"",INDEX(DATAS,Y209+1)),INDEX(DATAS,Y209+1)),"")</f>
        <v/>
      </c>
    </row>
    <row r="210" customFormat="false" ht="15" hidden="false" customHeight="false" outlineLevel="0" collapsed="false">
      <c r="A210" s="45" t="n">
        <v>46309</v>
      </c>
      <c r="B210" s="0" t="n">
        <v>5</v>
      </c>
      <c r="C210" s="0" t="n">
        <v>3666</v>
      </c>
      <c r="D210" s="0" t="n">
        <v>228</v>
      </c>
      <c r="E210" s="0" t="n">
        <v>3</v>
      </c>
      <c r="F210" s="39" t="s">
        <v>295</v>
      </c>
      <c r="G210" s="0" t="n">
        <v>42.1</v>
      </c>
      <c r="H210" s="0" t="n">
        <v>43</v>
      </c>
      <c r="I210" s="39" t="s">
        <v>146</v>
      </c>
      <c r="J210" s="0" t="n">
        <v>228</v>
      </c>
      <c r="K210" s="0" t="n">
        <v>74</v>
      </c>
      <c r="M210" s="0" t="n">
        <v>188.54</v>
      </c>
      <c r="N210" s="0" t="n">
        <v>0.77</v>
      </c>
      <c r="O210" s="0" t="n">
        <v>7.82</v>
      </c>
      <c r="P210" s="0" t="n">
        <v>4.28</v>
      </c>
      <c r="Q210" s="0" t="n">
        <v>3.34</v>
      </c>
      <c r="R210" s="0" t="n">
        <v>4873</v>
      </c>
      <c r="S210" s="0" t="n">
        <v>9978</v>
      </c>
      <c r="T210" s="0" t="n">
        <v>53.9</v>
      </c>
      <c r="U210" s="0" t="n">
        <v>1833</v>
      </c>
      <c r="V210" s="0" t="n">
        <v>4</v>
      </c>
      <c r="W210" s="39" t="n">
        <f aca="false">IF(I210="Male",0,1)</f>
        <v>1</v>
      </c>
      <c r="X210" s="39" t="n">
        <f aca="false">IF(OR(I210="DNB",I210="Dry DNB"),1,0)</f>
        <v>0</v>
      </c>
      <c r="Y210" s="39" t="n">
        <f aca="false">MATCH(A210,DATAS,0)</f>
        <v>1</v>
      </c>
      <c r="Z210" s="39" t="n">
        <f aca="false">IF(AND(E210&gt;0,OR(AND(B210&gt;=1,B210&lt;=6),B210=10)),1,0)</f>
        <v>1</v>
      </c>
      <c r="AA210" s="39" t="n">
        <f aca="false">IF(AND(E210&gt;0,B210=10),1,0)</f>
        <v>0</v>
      </c>
      <c r="AB210" s="0" t="str">
        <f aca="false">IF(AND(C209=C210,Y209=Y210-1),Z209,"")</f>
        <v/>
      </c>
      <c r="AC210" s="0" t="str">
        <f aca="false">IF(AND(C209=C210,Y209=Y210-1),AA209,"")</f>
        <v/>
      </c>
      <c r="AD210" s="0" t="str">
        <f aca="false">IF(Y210=1,"",IF(AND(Z210=1,AB210&lt;&gt;1),1,0))</f>
        <v/>
      </c>
      <c r="AE210" s="0" t="str">
        <f aca="false">IF(Y210=1,"",IF(AND(AA210=1,AC210&lt;&gt;1),1,0))</f>
        <v/>
      </c>
      <c r="AF210" s="45" t="str">
        <f aca="false">IF(AND(E210&gt;0,Y210&lt;1,NOT(AND(C211=C210,Y211=Y210+1))),INDEX(DATAS,Y210+1),"")</f>
        <v/>
      </c>
      <c r="AG210" s="45" t="str">
        <f aca="false">IF(AND(AA210=1,Y210&lt;1),IF(AND(C211=C210,Y211=Y210+1),IF(AA211=1,"",INDEX(DATAS,Y210+1)),INDEX(DATAS,Y210+1)),"")</f>
        <v/>
      </c>
    </row>
    <row r="211" customFormat="false" ht="15" hidden="false" customHeight="false" outlineLevel="0" collapsed="false">
      <c r="A211" s="45" t="n">
        <v>46309</v>
      </c>
      <c r="B211" s="0" t="n">
        <v>5</v>
      </c>
      <c r="C211" s="0" t="n">
        <v>3667</v>
      </c>
      <c r="D211" s="0" t="n">
        <v>195</v>
      </c>
      <c r="E211" s="0" t="n">
        <v>3</v>
      </c>
      <c r="F211" s="39" t="s">
        <v>295</v>
      </c>
      <c r="G211" s="0" t="n">
        <v>39.3</v>
      </c>
      <c r="H211" s="0" t="n">
        <v>36</v>
      </c>
      <c r="I211" s="39" t="s">
        <v>109</v>
      </c>
      <c r="J211" s="0" t="n">
        <v>62</v>
      </c>
      <c r="K211" s="0" t="n">
        <v>62</v>
      </c>
      <c r="L211" s="0" t="n">
        <v>133</v>
      </c>
      <c r="M211" s="0" t="n">
        <v>664.45</v>
      </c>
      <c r="N211" s="0" t="n">
        <v>27.79</v>
      </c>
      <c r="O211" s="0" t="n">
        <v>20.39</v>
      </c>
      <c r="P211" s="0" t="n">
        <v>5.43</v>
      </c>
      <c r="Q211" s="0" t="n">
        <v>3.75</v>
      </c>
      <c r="R211" s="0" t="n">
        <v>4216</v>
      </c>
      <c r="S211" s="0" t="n">
        <v>8603</v>
      </c>
      <c r="T211" s="0" t="n">
        <v>49.45</v>
      </c>
      <c r="U211" s="0" t="n">
        <v>1833</v>
      </c>
      <c r="V211" s="0" t="n">
        <v>1</v>
      </c>
      <c r="W211" s="39" t="n">
        <f aca="false">IF(I211="Male",0,1)</f>
        <v>1</v>
      </c>
      <c r="X211" s="39" t="n">
        <f aca="false">IF(OR(I211="DNB",I211="Dry DNB"),1,0)</f>
        <v>0</v>
      </c>
      <c r="Y211" s="39" t="n">
        <f aca="false">MATCH(A211,DATAS,0)</f>
        <v>1</v>
      </c>
      <c r="Z211" s="39" t="n">
        <f aca="false">IF(AND(E211&gt;0,OR(AND(B211&gt;=1,B211&lt;=6),B211=10)),1,0)</f>
        <v>1</v>
      </c>
      <c r="AA211" s="39" t="n">
        <f aca="false">IF(AND(E211&gt;0,B211=10),1,0)</f>
        <v>0</v>
      </c>
      <c r="AB211" s="0" t="str">
        <f aca="false">IF(AND(C210=C211,Y210=Y211-1),Z210,"")</f>
        <v/>
      </c>
      <c r="AC211" s="0" t="str">
        <f aca="false">IF(AND(C210=C211,Y210=Y211-1),AA210,"")</f>
        <v/>
      </c>
      <c r="AD211" s="0" t="str">
        <f aca="false">IF(Y211=1,"",IF(AND(Z211=1,AB211&lt;&gt;1),1,0))</f>
        <v/>
      </c>
      <c r="AE211" s="0" t="str">
        <f aca="false">IF(Y211=1,"",IF(AND(AA211=1,AC211&lt;&gt;1),1,0))</f>
        <v/>
      </c>
      <c r="AF211" s="45" t="str">
        <f aca="false">IF(AND(E211&gt;0,Y211&lt;1,NOT(AND(C212=C211,Y212=Y211+1))),INDEX(DATAS,Y211+1),"")</f>
        <v/>
      </c>
      <c r="AG211" s="45" t="str">
        <f aca="false">IF(AND(AA211=1,Y211&lt;1),IF(AND(C212=C211,Y212=Y211+1),IF(AA212=1,"",INDEX(DATAS,Y211+1)),INDEX(DATAS,Y211+1)),"")</f>
        <v/>
      </c>
    </row>
    <row r="212" customFormat="false" ht="15" hidden="false" customHeight="false" outlineLevel="0" collapsed="false">
      <c r="A212" s="45" t="n">
        <v>46309</v>
      </c>
      <c r="B212" s="0" t="n">
        <v>3</v>
      </c>
      <c r="C212" s="0" t="n">
        <v>3668</v>
      </c>
      <c r="D212" s="0" t="n">
        <v>75</v>
      </c>
      <c r="E212" s="0" t="n">
        <v>3</v>
      </c>
      <c r="F212" s="39" t="s">
        <v>296</v>
      </c>
      <c r="G212" s="0" t="n">
        <v>61.4</v>
      </c>
      <c r="H212" s="0" t="n">
        <v>60</v>
      </c>
      <c r="I212" s="39" t="s">
        <v>138</v>
      </c>
      <c r="J212" s="0" t="n">
        <v>75</v>
      </c>
      <c r="K212" s="0" t="n">
        <v>68</v>
      </c>
      <c r="M212" s="0" t="n">
        <v>150.46</v>
      </c>
      <c r="N212" s="0" t="n">
        <v>49.79</v>
      </c>
      <c r="O212" s="0" t="n">
        <v>18.97</v>
      </c>
      <c r="P212" s="0" t="n">
        <v>1.96</v>
      </c>
      <c r="Q212" s="0" t="n">
        <v>2.91</v>
      </c>
      <c r="R212" s="0" t="n">
        <v>6220</v>
      </c>
      <c r="S212" s="0" t="n">
        <v>12504</v>
      </c>
      <c r="U212" s="0" t="n">
        <v>1832</v>
      </c>
      <c r="V212" s="0" t="n">
        <v>1</v>
      </c>
      <c r="W212" s="39" t="n">
        <f aca="false">IF(I212="Male",0,1)</f>
        <v>1</v>
      </c>
      <c r="X212" s="39" t="n">
        <f aca="false">IF(OR(I212="DNB",I212="Dry DNB"),1,0)</f>
        <v>0</v>
      </c>
      <c r="Y212" s="39" t="n">
        <f aca="false">MATCH(A212,DATAS,0)</f>
        <v>1</v>
      </c>
      <c r="Z212" s="39" t="n">
        <f aca="false">IF(AND(E212&gt;0,OR(AND(B212&gt;=1,B212&lt;=6),B212=10)),1,0)</f>
        <v>1</v>
      </c>
      <c r="AA212" s="39" t="n">
        <f aca="false">IF(AND(E212&gt;0,B212=10),1,0)</f>
        <v>0</v>
      </c>
      <c r="AB212" s="0" t="str">
        <f aca="false">IF(AND(C211=C212,Y211=Y212-1),Z211,"")</f>
        <v/>
      </c>
      <c r="AC212" s="0" t="str">
        <f aca="false">IF(AND(C211=C212,Y211=Y212-1),AA211,"")</f>
        <v/>
      </c>
      <c r="AD212" s="0" t="str">
        <f aca="false">IF(Y212=1,"",IF(AND(Z212=1,AB212&lt;&gt;1),1,0))</f>
        <v/>
      </c>
      <c r="AE212" s="0" t="str">
        <f aca="false">IF(Y212=1,"",IF(AND(AA212=1,AC212&lt;&gt;1),1,0))</f>
        <v/>
      </c>
      <c r="AF212" s="45" t="str">
        <f aca="false">IF(AND(E212&gt;0,Y212&lt;1,NOT(AND(C213=C212,Y213=Y212+1))),INDEX(DATAS,Y212+1),"")</f>
        <v/>
      </c>
      <c r="AG212" s="45" t="str">
        <f aca="false">IF(AND(AA212=1,Y212&lt;1),IF(AND(C213=C212,Y213=Y212+1),IF(AA213=1,"",INDEX(DATAS,Y212+1)),INDEX(DATAS,Y212+1)),"")</f>
        <v/>
      </c>
    </row>
    <row r="213" customFormat="false" ht="15" hidden="false" customHeight="false" outlineLevel="0" collapsed="false">
      <c r="A213" s="45" t="n">
        <v>46309</v>
      </c>
      <c r="B213" s="0" t="n">
        <v>2</v>
      </c>
      <c r="C213" s="0" t="n">
        <v>3670</v>
      </c>
      <c r="D213" s="0" t="n">
        <v>113</v>
      </c>
      <c r="E213" s="0" t="n">
        <v>3</v>
      </c>
      <c r="F213" s="39" t="s">
        <v>296</v>
      </c>
      <c r="G213" s="0" t="n">
        <v>57.1</v>
      </c>
      <c r="H213" s="0" t="n">
        <v>58</v>
      </c>
      <c r="I213" s="39" t="s">
        <v>146</v>
      </c>
      <c r="J213" s="0" t="n">
        <v>113</v>
      </c>
      <c r="K213" s="0" t="n">
        <v>71</v>
      </c>
      <c r="M213" s="0" t="n">
        <v>165.6</v>
      </c>
      <c r="N213" s="0" t="n">
        <v>32.87</v>
      </c>
      <c r="O213" s="0" t="n">
        <v>9.91</v>
      </c>
      <c r="P213" s="0" t="n">
        <v>4.52</v>
      </c>
      <c r="Q213" s="0" t="n">
        <v>3.04</v>
      </c>
      <c r="R213" s="0" t="n">
        <v>5628</v>
      </c>
      <c r="S213" s="0" t="n">
        <v>11378</v>
      </c>
      <c r="T213" s="0" t="n">
        <v>63.05</v>
      </c>
      <c r="U213" s="0" t="n">
        <v>1832</v>
      </c>
      <c r="V213" s="0" t="n">
        <v>1</v>
      </c>
      <c r="W213" s="39" t="n">
        <f aca="false">IF(I213="Male",0,1)</f>
        <v>1</v>
      </c>
      <c r="X213" s="39" t="n">
        <f aca="false">IF(OR(I213="DNB",I213="Dry DNB"),1,0)</f>
        <v>0</v>
      </c>
      <c r="Y213" s="39" t="n">
        <f aca="false">MATCH(A213,DATAS,0)</f>
        <v>1</v>
      </c>
      <c r="Z213" s="39" t="n">
        <f aca="false">IF(AND(E213&gt;0,OR(AND(B213&gt;=1,B213&lt;=6),B213=10)),1,0)</f>
        <v>1</v>
      </c>
      <c r="AA213" s="39" t="n">
        <f aca="false">IF(AND(E213&gt;0,B213=10),1,0)</f>
        <v>0</v>
      </c>
      <c r="AB213" s="0" t="str">
        <f aca="false">IF(AND(C212=C213,Y212=Y213-1),Z212,"")</f>
        <v/>
      </c>
      <c r="AC213" s="0" t="str">
        <f aca="false">IF(AND(C212=C213,Y212=Y213-1),AA212,"")</f>
        <v/>
      </c>
      <c r="AD213" s="0" t="str">
        <f aca="false">IF(Y213=1,"",IF(AND(Z213=1,AB213&lt;&gt;1),1,0))</f>
        <v/>
      </c>
      <c r="AE213" s="0" t="str">
        <f aca="false">IF(Y213=1,"",IF(AND(AA213=1,AC213&lt;&gt;1),1,0))</f>
        <v/>
      </c>
      <c r="AF213" s="45" t="str">
        <f aca="false">IF(AND(E213&gt;0,Y213&lt;1,NOT(AND(C214=C213,Y214=Y213+1))),INDEX(DATAS,Y213+1),"")</f>
        <v/>
      </c>
      <c r="AG213" s="45" t="str">
        <f aca="false">IF(AND(AA213=1,Y213&lt;1),IF(AND(C214=C213,Y214=Y213+1),IF(AA214=1,"",INDEX(DATAS,Y213+1)),INDEX(DATAS,Y213+1)),"")</f>
        <v/>
      </c>
    </row>
    <row r="214" customFormat="false" ht="15" hidden="false" customHeight="false" outlineLevel="0" collapsed="false">
      <c r="A214" s="45" t="n">
        <v>46309</v>
      </c>
      <c r="B214" s="0" t="n">
        <v>5</v>
      </c>
      <c r="C214" s="0" t="n">
        <v>3671</v>
      </c>
      <c r="D214" s="0" t="n">
        <v>126</v>
      </c>
      <c r="E214" s="0" t="n">
        <v>4</v>
      </c>
      <c r="F214" s="39" t="s">
        <v>296</v>
      </c>
      <c r="G214" s="0" t="n">
        <v>45.7</v>
      </c>
      <c r="H214" s="0" t="n">
        <v>45</v>
      </c>
      <c r="I214" s="39" t="s">
        <v>138</v>
      </c>
      <c r="J214" s="0" t="n">
        <v>126</v>
      </c>
      <c r="K214" s="0" t="n">
        <v>72</v>
      </c>
      <c r="M214" s="0" t="n">
        <v>313.39</v>
      </c>
      <c r="N214" s="0" t="n">
        <v>36.02</v>
      </c>
      <c r="O214" s="0" t="n">
        <v>30.07</v>
      </c>
      <c r="P214" s="0" t="n">
        <v>2.38</v>
      </c>
      <c r="Q214" s="0" t="n">
        <v>3.49</v>
      </c>
      <c r="R214" s="0" t="n">
        <v>4588</v>
      </c>
      <c r="S214" s="0" t="n">
        <v>9094</v>
      </c>
      <c r="T214" s="0" t="n">
        <v>51.65</v>
      </c>
      <c r="U214" s="0" t="n">
        <v>1832</v>
      </c>
      <c r="V214" s="0" t="n">
        <v>3</v>
      </c>
      <c r="W214" s="39" t="n">
        <f aca="false">IF(I214="Male",0,1)</f>
        <v>1</v>
      </c>
      <c r="X214" s="39" t="n">
        <f aca="false">IF(OR(I214="DNB",I214="Dry DNB"),1,0)</f>
        <v>0</v>
      </c>
      <c r="Y214" s="39" t="n">
        <f aca="false">MATCH(A214,DATAS,0)</f>
        <v>1</v>
      </c>
      <c r="Z214" s="39" t="n">
        <f aca="false">IF(AND(E214&gt;0,OR(AND(B214&gt;=1,B214&lt;=6),B214=10)),1,0)</f>
        <v>1</v>
      </c>
      <c r="AA214" s="39" t="n">
        <f aca="false">IF(AND(E214&gt;0,B214=10),1,0)</f>
        <v>0</v>
      </c>
      <c r="AB214" s="0" t="str">
        <f aca="false">IF(AND(C213=C214,Y213=Y214-1),Z213,"")</f>
        <v/>
      </c>
      <c r="AC214" s="0" t="str">
        <f aca="false">IF(AND(C213=C214,Y213=Y214-1),AA213,"")</f>
        <v/>
      </c>
      <c r="AD214" s="0" t="str">
        <f aca="false">IF(Y214=1,"",IF(AND(Z214=1,AB214&lt;&gt;1),1,0))</f>
        <v/>
      </c>
      <c r="AE214" s="0" t="str">
        <f aca="false">IF(Y214=1,"",IF(AND(AA214=1,AC214&lt;&gt;1),1,0))</f>
        <v/>
      </c>
      <c r="AF214" s="45" t="str">
        <f aca="false">IF(AND(E214&gt;0,Y214&lt;1,NOT(AND(C215=C214,Y215=Y214+1))),INDEX(DATAS,Y214+1),"")</f>
        <v/>
      </c>
      <c r="AG214" s="45" t="str">
        <f aca="false">IF(AND(AA214=1,Y214&lt;1),IF(AND(C215=C214,Y215=Y214+1),IF(AA215=1,"",INDEX(DATAS,Y214+1)),INDEX(DATAS,Y214+1)),"")</f>
        <v/>
      </c>
    </row>
    <row r="215" customFormat="false" ht="15" hidden="false" customHeight="false" outlineLevel="0" collapsed="false">
      <c r="A215" s="45" t="n">
        <v>46309</v>
      </c>
      <c r="B215" s="0" t="n">
        <v>5</v>
      </c>
      <c r="C215" s="0" t="n">
        <v>3672</v>
      </c>
      <c r="D215" s="0" t="n">
        <v>201</v>
      </c>
      <c r="E215" s="0" t="n">
        <v>3</v>
      </c>
      <c r="F215" s="39" t="s">
        <v>297</v>
      </c>
      <c r="G215" s="0" t="n">
        <v>44.5</v>
      </c>
      <c r="H215" s="0" t="n">
        <v>44</v>
      </c>
      <c r="I215" s="39" t="s">
        <v>109</v>
      </c>
      <c r="J215" s="0" t="n">
        <v>103</v>
      </c>
      <c r="K215" s="0" t="n">
        <v>68</v>
      </c>
      <c r="L215" s="0" t="n">
        <v>98</v>
      </c>
      <c r="M215" s="0" t="n">
        <v>416.11</v>
      </c>
      <c r="N215" s="0" t="n">
        <v>33.16</v>
      </c>
      <c r="O215" s="0" t="n">
        <v>20.48</v>
      </c>
      <c r="P215" s="0" t="n">
        <v>3.9</v>
      </c>
      <c r="Q215" s="0" t="n">
        <v>3.23</v>
      </c>
      <c r="R215" s="0" t="n">
        <v>5816</v>
      </c>
      <c r="S215" s="0" t="n">
        <v>11328</v>
      </c>
      <c r="T215" s="0" t="n">
        <v>58.1</v>
      </c>
      <c r="U215" s="0" t="n">
        <v>1829</v>
      </c>
      <c r="V215" s="0" t="n">
        <v>2</v>
      </c>
      <c r="W215" s="39" t="n">
        <f aca="false">IF(I215="Male",0,1)</f>
        <v>1</v>
      </c>
      <c r="X215" s="39" t="n">
        <f aca="false">IF(OR(I215="DNB",I215="Dry DNB"),1,0)</f>
        <v>0</v>
      </c>
      <c r="Y215" s="39" t="n">
        <f aca="false">MATCH(A215,DATAS,0)</f>
        <v>1</v>
      </c>
      <c r="Z215" s="39" t="n">
        <f aca="false">IF(AND(E215&gt;0,OR(AND(B215&gt;=1,B215&lt;=6),B215=10)),1,0)</f>
        <v>1</v>
      </c>
      <c r="AA215" s="39" t="n">
        <f aca="false">IF(AND(E215&gt;0,B215=10),1,0)</f>
        <v>0</v>
      </c>
      <c r="AB215" s="0" t="str">
        <f aca="false">IF(AND(C214=C215,Y214=Y215-1),Z214,"")</f>
        <v/>
      </c>
      <c r="AC215" s="0" t="str">
        <f aca="false">IF(AND(C214=C215,Y214=Y215-1),AA214,"")</f>
        <v/>
      </c>
      <c r="AD215" s="0" t="str">
        <f aca="false">IF(Y215=1,"",IF(AND(Z215=1,AB215&lt;&gt;1),1,0))</f>
        <v/>
      </c>
      <c r="AE215" s="0" t="str">
        <f aca="false">IF(Y215=1,"",IF(AND(AA215=1,AC215&lt;&gt;1),1,0))</f>
        <v/>
      </c>
      <c r="AF215" s="45" t="str">
        <f aca="false">IF(AND(E215&gt;0,Y215&lt;1,NOT(AND(C216=C215,Y216=Y215+1))),INDEX(DATAS,Y215+1),"")</f>
        <v/>
      </c>
      <c r="AG215" s="45" t="str">
        <f aca="false">IF(AND(AA215=1,Y215&lt;1),IF(AND(C216=C215,Y216=Y215+1),IF(AA216=1,"",INDEX(DATAS,Y215+1)),INDEX(DATAS,Y215+1)),"")</f>
        <v/>
      </c>
    </row>
    <row r="216" customFormat="false" ht="15" hidden="false" customHeight="false" outlineLevel="0" collapsed="false">
      <c r="A216" s="45" t="n">
        <v>46309</v>
      </c>
      <c r="B216" s="0" t="n">
        <v>3</v>
      </c>
      <c r="C216" s="0" t="n">
        <v>3674</v>
      </c>
      <c r="D216" s="0" t="n">
        <v>360</v>
      </c>
      <c r="E216" s="0" t="n">
        <v>3</v>
      </c>
      <c r="F216" s="39" t="s">
        <v>298</v>
      </c>
      <c r="G216" s="0" t="n">
        <v>49.3</v>
      </c>
      <c r="H216" s="0" t="n">
        <v>54</v>
      </c>
      <c r="I216" s="39" t="s">
        <v>109</v>
      </c>
      <c r="J216" s="0" t="n">
        <v>276</v>
      </c>
      <c r="K216" s="0" t="n">
        <v>67</v>
      </c>
      <c r="L216" s="0" t="n">
        <v>84</v>
      </c>
      <c r="M216" s="0" t="n">
        <v>878.8</v>
      </c>
      <c r="N216" s="0" t="n">
        <v>27.14</v>
      </c>
      <c r="O216" s="0" t="n">
        <v>36.75</v>
      </c>
      <c r="P216" s="0" t="n">
        <v>3.44</v>
      </c>
      <c r="Q216" s="0" t="n">
        <v>3.5</v>
      </c>
      <c r="R216" s="0" t="n">
        <v>7095</v>
      </c>
      <c r="S216" s="0" t="n">
        <v>13732</v>
      </c>
      <c r="T216" s="0" t="n">
        <v>80.95</v>
      </c>
      <c r="U216" s="0" t="n">
        <v>1826</v>
      </c>
      <c r="V216" s="0" t="n">
        <v>9</v>
      </c>
      <c r="W216" s="39" t="n">
        <f aca="false">IF(I216="Male",0,1)</f>
        <v>1</v>
      </c>
      <c r="X216" s="39" t="n">
        <f aca="false">IF(OR(I216="DNB",I216="Dry DNB"),1,0)</f>
        <v>0</v>
      </c>
      <c r="Y216" s="39" t="n">
        <f aca="false">MATCH(A216,DATAS,0)</f>
        <v>1</v>
      </c>
      <c r="Z216" s="39" t="n">
        <f aca="false">IF(AND(E216&gt;0,OR(AND(B216&gt;=1,B216&lt;=6),B216=10)),1,0)</f>
        <v>1</v>
      </c>
      <c r="AA216" s="39" t="n">
        <f aca="false">IF(AND(E216&gt;0,B216=10),1,0)</f>
        <v>0</v>
      </c>
      <c r="AB216" s="0" t="str">
        <f aca="false">IF(AND(C215=C216,Y215=Y216-1),Z215,"")</f>
        <v/>
      </c>
      <c r="AC216" s="0" t="str">
        <f aca="false">IF(AND(C215=C216,Y215=Y216-1),AA215,"")</f>
        <v/>
      </c>
      <c r="AD216" s="0" t="str">
        <f aca="false">IF(Y216=1,"",IF(AND(Z216=1,AB216&lt;&gt;1),1,0))</f>
        <v/>
      </c>
      <c r="AE216" s="0" t="str">
        <f aca="false">IF(Y216=1,"",IF(AND(AA216=1,AC216&lt;&gt;1),1,0))</f>
        <v/>
      </c>
      <c r="AF216" s="45" t="str">
        <f aca="false">IF(AND(E216&gt;0,Y216&lt;1,NOT(AND(C217=C216,Y217=Y216+1))),INDEX(DATAS,Y216+1),"")</f>
        <v/>
      </c>
      <c r="AG216" s="45" t="str">
        <f aca="false">IF(AND(AA216=1,Y216&lt;1),IF(AND(C217=C216,Y217=Y216+1),IF(AA217=1,"",INDEX(DATAS,Y216+1)),INDEX(DATAS,Y216+1)),"")</f>
        <v/>
      </c>
    </row>
    <row r="217" customFormat="false" ht="15" hidden="false" customHeight="false" outlineLevel="0" collapsed="false">
      <c r="A217" s="45" t="n">
        <v>46309</v>
      </c>
      <c r="B217" s="0" t="n">
        <v>2</v>
      </c>
      <c r="C217" s="0" t="n">
        <v>3675</v>
      </c>
      <c r="D217" s="0" t="n">
        <v>117</v>
      </c>
      <c r="E217" s="0" t="n">
        <v>3</v>
      </c>
      <c r="F217" s="39" t="s">
        <v>299</v>
      </c>
      <c r="G217" s="0" t="n">
        <v>45</v>
      </c>
      <c r="H217" s="0" t="n">
        <v>46</v>
      </c>
      <c r="I217" s="39" t="s">
        <v>138</v>
      </c>
      <c r="J217" s="0" t="n">
        <v>117</v>
      </c>
      <c r="K217" s="0" t="n">
        <v>68</v>
      </c>
      <c r="M217" s="0" t="n">
        <v>945.21</v>
      </c>
      <c r="N217" s="0" t="n">
        <v>21.05</v>
      </c>
      <c r="O217" s="0" t="n">
        <v>20.9</v>
      </c>
      <c r="P217" s="0" t="n">
        <v>4.99</v>
      </c>
      <c r="Q217" s="0" t="n">
        <v>3.5</v>
      </c>
      <c r="R217" s="0" t="n">
        <v>4383</v>
      </c>
      <c r="S217" s="0" t="n">
        <v>8896</v>
      </c>
      <c r="T217" s="0" t="n">
        <v>46.95</v>
      </c>
      <c r="U217" s="0" t="n">
        <v>1825</v>
      </c>
      <c r="V217" s="0" t="n">
        <v>2</v>
      </c>
      <c r="W217" s="39" t="n">
        <f aca="false">IF(I217="Male",0,1)</f>
        <v>1</v>
      </c>
      <c r="X217" s="39" t="n">
        <f aca="false">IF(OR(I217="DNB",I217="Dry DNB"),1,0)</f>
        <v>0</v>
      </c>
      <c r="Y217" s="39" t="n">
        <f aca="false">MATCH(A217,DATAS,0)</f>
        <v>1</v>
      </c>
      <c r="Z217" s="39" t="n">
        <f aca="false">IF(AND(E217&gt;0,OR(AND(B217&gt;=1,B217&lt;=6),B217=10)),1,0)</f>
        <v>1</v>
      </c>
      <c r="AA217" s="39" t="n">
        <f aca="false">IF(AND(E217&gt;0,B217=10),1,0)</f>
        <v>0</v>
      </c>
      <c r="AB217" s="0" t="str">
        <f aca="false">IF(AND(C216=C217,Y216=Y217-1),Z216,"")</f>
        <v/>
      </c>
      <c r="AC217" s="0" t="str">
        <f aca="false">IF(AND(C216=C217,Y216=Y217-1),AA216,"")</f>
        <v/>
      </c>
      <c r="AD217" s="0" t="str">
        <f aca="false">IF(Y217=1,"",IF(AND(Z217=1,AB217&lt;&gt;1),1,0))</f>
        <v/>
      </c>
      <c r="AE217" s="0" t="str">
        <f aca="false">IF(Y217=1,"",IF(AND(AA217=1,AC217&lt;&gt;1),1,0))</f>
        <v/>
      </c>
      <c r="AF217" s="45" t="str">
        <f aca="false">IF(AND(E217&gt;0,Y217&lt;1,NOT(AND(C218=C217,Y218=Y217+1))),INDEX(DATAS,Y217+1),"")</f>
        <v/>
      </c>
      <c r="AG217" s="45" t="str">
        <f aca="false">IF(AND(AA217=1,Y217&lt;1),IF(AND(C218=C217,Y218=Y217+1),IF(AA218=1,"",INDEX(DATAS,Y217+1)),INDEX(DATAS,Y217+1)),"")</f>
        <v/>
      </c>
    </row>
    <row r="218" customFormat="false" ht="15" hidden="false" customHeight="false" outlineLevel="0" collapsed="false">
      <c r="A218" s="45" t="n">
        <v>46309</v>
      </c>
      <c r="B218" s="0" t="n">
        <v>5</v>
      </c>
      <c r="C218" s="0" t="n">
        <v>3676</v>
      </c>
      <c r="D218" s="0" t="n">
        <v>100</v>
      </c>
      <c r="E218" s="0" t="n">
        <v>4</v>
      </c>
      <c r="F218" s="39" t="s">
        <v>299</v>
      </c>
      <c r="G218" s="0" t="n">
        <v>45.5</v>
      </c>
      <c r="H218" s="0" t="n">
        <v>44</v>
      </c>
      <c r="I218" s="39" t="s">
        <v>138</v>
      </c>
      <c r="J218" s="0" t="n">
        <v>100</v>
      </c>
      <c r="K218" s="0" t="n">
        <v>65</v>
      </c>
      <c r="M218" s="0" t="n">
        <v>633.67</v>
      </c>
      <c r="N218" s="0" t="n">
        <v>22.73</v>
      </c>
      <c r="O218" s="0" t="n">
        <v>16.42</v>
      </c>
      <c r="P218" s="0" t="n">
        <v>3.97</v>
      </c>
      <c r="Q218" s="0" t="n">
        <v>3.05</v>
      </c>
      <c r="R218" s="0" t="n">
        <v>3583</v>
      </c>
      <c r="S218" s="0" t="n">
        <v>7203</v>
      </c>
      <c r="T218" s="0" t="n">
        <v>40.75</v>
      </c>
      <c r="U218" s="0" t="n">
        <v>1825</v>
      </c>
      <c r="V218" s="0" t="n">
        <v>3</v>
      </c>
      <c r="W218" s="39" t="n">
        <f aca="false">IF(I218="Male",0,1)</f>
        <v>1</v>
      </c>
      <c r="X218" s="39" t="n">
        <f aca="false">IF(OR(I218="DNB",I218="Dry DNB"),1,0)</f>
        <v>0</v>
      </c>
      <c r="Y218" s="39" t="n">
        <f aca="false">MATCH(A218,DATAS,0)</f>
        <v>1</v>
      </c>
      <c r="Z218" s="39" t="n">
        <f aca="false">IF(AND(E218&gt;0,OR(AND(B218&gt;=1,B218&lt;=6),B218=10)),1,0)</f>
        <v>1</v>
      </c>
      <c r="AA218" s="39" t="n">
        <f aca="false">IF(AND(E218&gt;0,B218=10),1,0)</f>
        <v>0</v>
      </c>
      <c r="AB218" s="0" t="str">
        <f aca="false">IF(AND(C217=C218,Y217=Y218-1),Z217,"")</f>
        <v/>
      </c>
      <c r="AC218" s="0" t="str">
        <f aca="false">IF(AND(C217=C218,Y217=Y218-1),AA217,"")</f>
        <v/>
      </c>
      <c r="AD218" s="0" t="str">
        <f aca="false">IF(Y218=1,"",IF(AND(Z218=1,AB218&lt;&gt;1),1,0))</f>
        <v/>
      </c>
      <c r="AE218" s="0" t="str">
        <f aca="false">IF(Y218=1,"",IF(AND(AA218=1,AC218&lt;&gt;1),1,0))</f>
        <v/>
      </c>
      <c r="AF218" s="45" t="str">
        <f aca="false">IF(AND(E218&gt;0,Y218&lt;1,NOT(AND(C219=C218,Y219=Y218+1))),INDEX(DATAS,Y218+1),"")</f>
        <v/>
      </c>
      <c r="AG218" s="45" t="str">
        <f aca="false">IF(AND(AA218=1,Y218&lt;1),IF(AND(C219=C218,Y219=Y218+1),IF(AA219=1,"",INDEX(DATAS,Y218+1)),INDEX(DATAS,Y218+1)),"")</f>
        <v/>
      </c>
    </row>
    <row r="219" customFormat="false" ht="15" hidden="false" customHeight="false" outlineLevel="0" collapsed="false">
      <c r="A219" s="45" t="n">
        <v>46309</v>
      </c>
      <c r="B219" s="0" t="n">
        <v>5</v>
      </c>
      <c r="C219" s="0" t="n">
        <v>3677</v>
      </c>
      <c r="D219" s="0" t="n">
        <v>202</v>
      </c>
      <c r="E219" s="0" t="n">
        <v>3</v>
      </c>
      <c r="F219" s="39" t="s">
        <v>300</v>
      </c>
      <c r="G219" s="0" t="n">
        <v>34</v>
      </c>
      <c r="H219" s="0" t="n">
        <v>32</v>
      </c>
      <c r="I219" s="39" t="s">
        <v>109</v>
      </c>
      <c r="J219" s="0" t="n">
        <v>104</v>
      </c>
      <c r="K219" s="0" t="n">
        <v>69</v>
      </c>
      <c r="L219" s="0" t="n">
        <v>98</v>
      </c>
      <c r="M219" s="0" t="n">
        <v>-106.35</v>
      </c>
      <c r="N219" s="0" t="n">
        <v>22.74</v>
      </c>
      <c r="O219" s="0" t="n">
        <v>10.5</v>
      </c>
      <c r="P219" s="0" t="n">
        <v>4.37</v>
      </c>
      <c r="Q219" s="0" t="n">
        <v>3.86</v>
      </c>
      <c r="R219" s="0" t="n">
        <v>3669</v>
      </c>
      <c r="S219" s="0" t="n">
        <v>7300</v>
      </c>
      <c r="T219" s="0" t="n">
        <v>40.5</v>
      </c>
      <c r="U219" s="0" t="n">
        <v>1823</v>
      </c>
      <c r="V219" s="0" t="n">
        <v>2</v>
      </c>
      <c r="W219" s="39" t="n">
        <f aca="false">IF(I219="Male",0,1)</f>
        <v>1</v>
      </c>
      <c r="X219" s="39" t="n">
        <f aca="false">IF(OR(I219="DNB",I219="Dry DNB"),1,0)</f>
        <v>0</v>
      </c>
      <c r="Y219" s="39" t="n">
        <f aca="false">MATCH(A219,DATAS,0)</f>
        <v>1</v>
      </c>
      <c r="Z219" s="39" t="n">
        <f aca="false">IF(AND(E219&gt;0,OR(AND(B219&gt;=1,B219&lt;=6),B219=10)),1,0)</f>
        <v>1</v>
      </c>
      <c r="AA219" s="39" t="n">
        <f aca="false">IF(AND(E219&gt;0,B219=10),1,0)</f>
        <v>0</v>
      </c>
      <c r="AB219" s="0" t="str">
        <f aca="false">IF(AND(C218=C219,Y218=Y219-1),Z218,"")</f>
        <v/>
      </c>
      <c r="AC219" s="0" t="str">
        <f aca="false">IF(AND(C218=C219,Y218=Y219-1),AA218,"")</f>
        <v/>
      </c>
      <c r="AD219" s="0" t="str">
        <f aca="false">IF(Y219=1,"",IF(AND(Z219=1,AB219&lt;&gt;1),1,0))</f>
        <v/>
      </c>
      <c r="AE219" s="0" t="str">
        <f aca="false">IF(Y219=1,"",IF(AND(AA219=1,AC219&lt;&gt;1),1,0))</f>
        <v/>
      </c>
      <c r="AF219" s="45" t="str">
        <f aca="false">IF(AND(E219&gt;0,Y219&lt;1,NOT(AND(C220=C219,Y220=Y219+1))),INDEX(DATAS,Y219+1),"")</f>
        <v/>
      </c>
      <c r="AG219" s="45" t="str">
        <f aca="false">IF(AND(AA219=1,Y219&lt;1),IF(AND(C220=C219,Y220=Y219+1),IF(AA220=1,"",INDEX(DATAS,Y219+1)),INDEX(DATAS,Y219+1)),"")</f>
        <v/>
      </c>
    </row>
    <row r="220" customFormat="false" ht="15" hidden="false" customHeight="false" outlineLevel="0" collapsed="false">
      <c r="A220" s="45" t="n">
        <v>46309</v>
      </c>
      <c r="B220" s="0" t="n">
        <v>6</v>
      </c>
      <c r="C220" s="0" t="n">
        <v>3685</v>
      </c>
      <c r="D220" s="0" t="n">
        <v>229</v>
      </c>
      <c r="E220" s="0" t="n">
        <v>3</v>
      </c>
      <c r="F220" s="39" t="s">
        <v>301</v>
      </c>
      <c r="G220" s="0" t="n">
        <v>23.6</v>
      </c>
      <c r="H220" s="0" t="n">
        <v>20</v>
      </c>
      <c r="I220" s="39" t="s">
        <v>109</v>
      </c>
      <c r="J220" s="0" t="n">
        <v>138</v>
      </c>
      <c r="K220" s="0" t="n">
        <v>96</v>
      </c>
      <c r="L220" s="0" t="n">
        <v>91</v>
      </c>
      <c r="M220" s="0" t="n">
        <v>767.8</v>
      </c>
      <c r="N220" s="0" t="n">
        <v>50.14</v>
      </c>
      <c r="O220" s="0" t="n">
        <v>34.32</v>
      </c>
      <c r="P220" s="0" t="n">
        <v>5.11</v>
      </c>
      <c r="Q220" s="0" t="n">
        <v>3.76</v>
      </c>
      <c r="R220" s="0" t="n">
        <v>2574</v>
      </c>
      <c r="S220" s="0" t="n">
        <v>5097</v>
      </c>
      <c r="T220" s="0" t="n">
        <v>26.35</v>
      </c>
      <c r="U220" s="0" t="n">
        <v>1818</v>
      </c>
      <c r="V220" s="0" t="n">
        <v>2</v>
      </c>
      <c r="W220" s="39" t="n">
        <f aca="false">IF(I220="Male",0,1)</f>
        <v>1</v>
      </c>
      <c r="X220" s="39" t="n">
        <f aca="false">IF(OR(I220="DNB",I220="Dry DNB"),1,0)</f>
        <v>0</v>
      </c>
      <c r="Y220" s="39" t="n">
        <f aca="false">MATCH(A220,DATAS,0)</f>
        <v>1</v>
      </c>
      <c r="Z220" s="39" t="n">
        <f aca="false">IF(AND(E220&gt;0,OR(AND(B220&gt;=1,B220&lt;=6),B220=10)),1,0)</f>
        <v>1</v>
      </c>
      <c r="AA220" s="39" t="n">
        <f aca="false">IF(AND(E220&gt;0,B220=10),1,0)</f>
        <v>0</v>
      </c>
      <c r="AB220" s="0" t="str">
        <f aca="false">IF(AND(C219=C220,Y219=Y220-1),Z219,"")</f>
        <v/>
      </c>
      <c r="AC220" s="0" t="str">
        <f aca="false">IF(AND(C219=C220,Y219=Y220-1),AA219,"")</f>
        <v/>
      </c>
      <c r="AD220" s="0" t="str">
        <f aca="false">IF(Y220=1,"",IF(AND(Z220=1,AB220&lt;&gt;1),1,0))</f>
        <v/>
      </c>
      <c r="AE220" s="0" t="str">
        <f aca="false">IF(Y220=1,"",IF(AND(AA220=1,AC220&lt;&gt;1),1,0))</f>
        <v/>
      </c>
      <c r="AF220" s="45" t="str">
        <f aca="false">IF(AND(E220&gt;0,Y220&lt;1,NOT(AND(C221=C220,Y221=Y220+1))),INDEX(DATAS,Y220+1),"")</f>
        <v/>
      </c>
      <c r="AG220" s="45" t="str">
        <f aca="false">IF(AND(AA220=1,Y220&lt;1),IF(AND(C221=C220,Y221=Y220+1),IF(AA221=1,"",INDEX(DATAS,Y220+1)),INDEX(DATAS,Y220+1)),"")</f>
        <v/>
      </c>
    </row>
    <row r="221" customFormat="false" ht="15" hidden="false" customHeight="false" outlineLevel="0" collapsed="false">
      <c r="A221" s="45" t="n">
        <v>46309</v>
      </c>
      <c r="B221" s="0" t="n">
        <v>5</v>
      </c>
      <c r="C221" s="0" t="n">
        <v>3688</v>
      </c>
      <c r="D221" s="0" t="n">
        <v>203</v>
      </c>
      <c r="E221" s="0" t="n">
        <v>3</v>
      </c>
      <c r="F221" s="39" t="s">
        <v>301</v>
      </c>
      <c r="G221" s="0" t="n">
        <v>35.5</v>
      </c>
      <c r="H221" s="0" t="n">
        <v>31</v>
      </c>
      <c r="I221" s="39" t="s">
        <v>146</v>
      </c>
      <c r="J221" s="0" t="n">
        <v>203</v>
      </c>
      <c r="K221" s="0" t="n">
        <v>70</v>
      </c>
      <c r="M221" s="0" t="n">
        <v>-43.09</v>
      </c>
      <c r="N221" s="0" t="n">
        <v>19.56</v>
      </c>
      <c r="O221" s="0" t="n">
        <v>8.8</v>
      </c>
      <c r="P221" s="0" t="n">
        <v>5.96</v>
      </c>
      <c r="Q221" s="0" t="n">
        <v>3.85</v>
      </c>
      <c r="R221" s="0" t="n">
        <v>4993</v>
      </c>
      <c r="S221" s="0" t="n">
        <v>9257</v>
      </c>
      <c r="T221" s="0" t="n">
        <v>59.35</v>
      </c>
      <c r="U221" s="0" t="n">
        <v>1818</v>
      </c>
      <c r="V221" s="0" t="n">
        <v>3</v>
      </c>
      <c r="W221" s="39" t="n">
        <f aca="false">IF(I221="Male",0,1)</f>
        <v>1</v>
      </c>
      <c r="X221" s="39" t="n">
        <f aca="false">IF(OR(I221="DNB",I221="Dry DNB"),1,0)</f>
        <v>0</v>
      </c>
      <c r="Y221" s="39" t="n">
        <f aca="false">MATCH(A221,DATAS,0)</f>
        <v>1</v>
      </c>
      <c r="Z221" s="39" t="n">
        <f aca="false">IF(AND(E221&gt;0,OR(AND(B221&gt;=1,B221&lt;=6),B221=10)),1,0)</f>
        <v>1</v>
      </c>
      <c r="AA221" s="39" t="n">
        <f aca="false">IF(AND(E221&gt;0,B221=10),1,0)</f>
        <v>0</v>
      </c>
      <c r="AB221" s="0" t="str">
        <f aca="false">IF(AND(C220=C221,Y220=Y221-1),Z220,"")</f>
        <v/>
      </c>
      <c r="AC221" s="0" t="str">
        <f aca="false">IF(AND(C220=C221,Y220=Y221-1),AA220,"")</f>
        <v/>
      </c>
      <c r="AD221" s="0" t="str">
        <f aca="false">IF(Y221=1,"",IF(AND(Z221=1,AB221&lt;&gt;1),1,0))</f>
        <v/>
      </c>
      <c r="AE221" s="0" t="str">
        <f aca="false">IF(Y221=1,"",IF(AND(AA221=1,AC221&lt;&gt;1),1,0))</f>
        <v/>
      </c>
      <c r="AF221" s="45" t="str">
        <f aca="false">IF(AND(E221&gt;0,Y221&lt;1,NOT(AND(C222=C221,Y222=Y221+1))),INDEX(DATAS,Y221+1),"")</f>
        <v/>
      </c>
      <c r="AG221" s="45" t="str">
        <f aca="false">IF(AND(AA221=1,Y221&lt;1),IF(AND(C222=C221,Y222=Y221+1),IF(AA222=1,"",INDEX(DATAS,Y221+1)),INDEX(DATAS,Y221+1)),"")</f>
        <v/>
      </c>
    </row>
    <row r="222" customFormat="false" ht="15" hidden="false" customHeight="false" outlineLevel="0" collapsed="false">
      <c r="A222" s="45" t="n">
        <v>46309</v>
      </c>
      <c r="B222" s="0" t="n">
        <v>5</v>
      </c>
      <c r="C222" s="0" t="n">
        <v>3691</v>
      </c>
      <c r="D222" s="0" t="n">
        <v>145</v>
      </c>
      <c r="E222" s="0" t="n">
        <v>4</v>
      </c>
      <c r="F222" s="39" t="s">
        <v>302</v>
      </c>
      <c r="G222" s="0" t="n">
        <v>27.3</v>
      </c>
      <c r="H222" s="0" t="n">
        <v>28</v>
      </c>
      <c r="I222" s="39" t="s">
        <v>138</v>
      </c>
      <c r="J222" s="0" t="n">
        <v>145</v>
      </c>
      <c r="K222" s="0" t="n">
        <v>68</v>
      </c>
      <c r="M222" s="0" t="n">
        <v>324.23</v>
      </c>
      <c r="N222" s="0" t="n">
        <v>58.57</v>
      </c>
      <c r="O222" s="0" t="n">
        <v>18.24</v>
      </c>
      <c r="P222" s="0" t="n">
        <v>4.58</v>
      </c>
      <c r="Q222" s="0" t="n">
        <v>3.83</v>
      </c>
      <c r="R222" s="0" t="n">
        <v>2835</v>
      </c>
      <c r="S222" s="0" t="n">
        <v>5825</v>
      </c>
      <c r="T222" s="0" t="n">
        <v>31.35</v>
      </c>
      <c r="U222" s="0" t="n">
        <v>1815</v>
      </c>
      <c r="V222" s="0" t="n">
        <v>2</v>
      </c>
      <c r="W222" s="39" t="n">
        <f aca="false">IF(I222="Male",0,1)</f>
        <v>1</v>
      </c>
      <c r="X222" s="39" t="n">
        <f aca="false">IF(OR(I222="DNB",I222="Dry DNB"),1,0)</f>
        <v>0</v>
      </c>
      <c r="Y222" s="39" t="n">
        <f aca="false">MATCH(A222,DATAS,0)</f>
        <v>1</v>
      </c>
      <c r="Z222" s="39" t="n">
        <f aca="false">IF(AND(E222&gt;0,OR(AND(B222&gt;=1,B222&lt;=6),B222=10)),1,0)</f>
        <v>1</v>
      </c>
      <c r="AA222" s="39" t="n">
        <f aca="false">IF(AND(E222&gt;0,B222=10),1,0)</f>
        <v>0</v>
      </c>
      <c r="AB222" s="0" t="str">
        <f aca="false">IF(AND(C221=C222,Y221=Y222-1),Z221,"")</f>
        <v/>
      </c>
      <c r="AC222" s="0" t="str">
        <f aca="false">IF(AND(C221=C222,Y221=Y222-1),AA221,"")</f>
        <v/>
      </c>
      <c r="AD222" s="0" t="str">
        <f aca="false">IF(Y222=1,"",IF(AND(Z222=1,AB222&lt;&gt;1),1,0))</f>
        <v/>
      </c>
      <c r="AE222" s="0" t="str">
        <f aca="false">IF(Y222=1,"",IF(AND(AA222=1,AC222&lt;&gt;1),1,0))</f>
        <v/>
      </c>
      <c r="AF222" s="45" t="str">
        <f aca="false">IF(AND(E222&gt;0,Y222&lt;1,NOT(AND(C223=C222,Y223=Y222+1))),INDEX(DATAS,Y222+1),"")</f>
        <v/>
      </c>
      <c r="AG222" s="45" t="str">
        <f aca="false">IF(AND(AA222=1,Y222&lt;1),IF(AND(C223=C222,Y223=Y222+1),IF(AA223=1,"",INDEX(DATAS,Y222+1)),INDEX(DATAS,Y222+1)),"")</f>
        <v/>
      </c>
    </row>
    <row r="223" customFormat="false" ht="15" hidden="false" customHeight="false" outlineLevel="0" collapsed="false">
      <c r="A223" s="45" t="n">
        <v>46309</v>
      </c>
      <c r="B223" s="0" t="n">
        <v>9</v>
      </c>
      <c r="C223" s="0" t="n">
        <v>3693</v>
      </c>
      <c r="D223" s="0" t="n">
        <v>286</v>
      </c>
      <c r="E223" s="0" t="n">
        <v>3</v>
      </c>
      <c r="F223" s="39" t="s">
        <v>303</v>
      </c>
      <c r="I223" s="39" t="s">
        <v>114</v>
      </c>
      <c r="J223" s="0" t="n">
        <v>63</v>
      </c>
      <c r="K223" s="0" t="n">
        <v>63</v>
      </c>
      <c r="L223" s="0" t="n">
        <v>266</v>
      </c>
      <c r="M223" s="0" t="n">
        <v>865.38</v>
      </c>
      <c r="N223" s="0" t="n">
        <v>54.27</v>
      </c>
      <c r="O223" s="0" t="n">
        <v>36.74</v>
      </c>
      <c r="P223" s="0" t="n">
        <v>4.98</v>
      </c>
      <c r="Q223" s="0" t="n">
        <v>3.39</v>
      </c>
      <c r="R223" s="0" t="n">
        <v>5712</v>
      </c>
      <c r="S223" s="0" t="n">
        <v>11761</v>
      </c>
      <c r="T223" s="0" t="n">
        <v>59.45</v>
      </c>
      <c r="U223" s="0" t="n">
        <v>1813</v>
      </c>
      <c r="V223" s="0" t="n">
        <v>1</v>
      </c>
      <c r="W223" s="39" t="n">
        <f aca="false">IF(I223="Male",0,1)</f>
        <v>1</v>
      </c>
      <c r="X223" s="39" t="n">
        <f aca="false">IF(OR(I223="DNB",I223="Dry DNB"),1,0)</f>
        <v>0</v>
      </c>
      <c r="Y223" s="39" t="n">
        <f aca="false">MATCH(A223,DATAS,0)</f>
        <v>1</v>
      </c>
      <c r="Z223" s="39" t="n">
        <f aca="false">IF(AND(E223&gt;0,OR(AND(B223&gt;=1,B223&lt;=6),B223=10)),1,0)</f>
        <v>0</v>
      </c>
      <c r="AA223" s="39" t="n">
        <f aca="false">IF(AND(E223&gt;0,B223=10),1,0)</f>
        <v>0</v>
      </c>
      <c r="AB223" s="0" t="str">
        <f aca="false">IF(AND(C222=C223,Y222=Y223-1),Z222,"")</f>
        <v/>
      </c>
      <c r="AC223" s="0" t="str">
        <f aca="false">IF(AND(C222=C223,Y222=Y223-1),AA222,"")</f>
        <v/>
      </c>
      <c r="AD223" s="0" t="str">
        <f aca="false">IF(Y223=1,"",IF(AND(Z223=1,AB223&lt;&gt;1),1,0))</f>
        <v/>
      </c>
      <c r="AE223" s="0" t="str">
        <f aca="false">IF(Y223=1,"",IF(AND(AA223=1,AC223&lt;&gt;1),1,0))</f>
        <v/>
      </c>
      <c r="AF223" s="45" t="str">
        <f aca="false">IF(AND(E223&gt;0,Y223&lt;1,NOT(AND(C224=C223,Y224=Y223+1))),INDEX(DATAS,Y223+1),"")</f>
        <v/>
      </c>
      <c r="AG223" s="45" t="str">
        <f aca="false">IF(AND(AA223=1,Y223&lt;1),IF(AND(C224=C223,Y224=Y223+1),IF(AA224=1,"",INDEX(DATAS,Y223+1)),INDEX(DATAS,Y223+1)),"")</f>
        <v/>
      </c>
    </row>
    <row r="224" customFormat="false" ht="15" hidden="false" customHeight="false" outlineLevel="0" collapsed="false">
      <c r="A224" s="45" t="n">
        <v>46309</v>
      </c>
      <c r="B224" s="0" t="n">
        <v>5</v>
      </c>
      <c r="C224" s="0" t="n">
        <v>3696</v>
      </c>
      <c r="D224" s="0" t="n">
        <v>207</v>
      </c>
      <c r="E224" s="0" t="n">
        <v>3</v>
      </c>
      <c r="F224" s="39" t="s">
        <v>304</v>
      </c>
      <c r="G224" s="0" t="n">
        <v>32.2</v>
      </c>
      <c r="H224" s="0" t="n">
        <v>31</v>
      </c>
      <c r="I224" s="39" t="s">
        <v>109</v>
      </c>
      <c r="J224" s="0" t="n">
        <v>91</v>
      </c>
      <c r="K224" s="0" t="n">
        <v>74</v>
      </c>
      <c r="L224" s="0" t="n">
        <v>116</v>
      </c>
      <c r="M224" s="0" t="n">
        <v>143.38</v>
      </c>
      <c r="N224" s="0" t="n">
        <v>5.7</v>
      </c>
      <c r="O224" s="0" t="n">
        <v>3.47</v>
      </c>
      <c r="P224" s="0" t="n">
        <v>4.24</v>
      </c>
      <c r="Q224" s="0" t="n">
        <v>3.66</v>
      </c>
      <c r="R224" s="0" t="n">
        <v>3193</v>
      </c>
      <c r="S224" s="0" t="n">
        <v>7050</v>
      </c>
      <c r="T224" s="0" t="n">
        <v>41.3</v>
      </c>
      <c r="U224" s="0" t="n">
        <v>1811</v>
      </c>
      <c r="V224" s="0" t="n">
        <v>2</v>
      </c>
      <c r="W224" s="39" t="n">
        <f aca="false">IF(I224="Male",0,1)</f>
        <v>1</v>
      </c>
      <c r="X224" s="39" t="n">
        <f aca="false">IF(OR(I224="DNB",I224="Dry DNB"),1,0)</f>
        <v>0</v>
      </c>
      <c r="Y224" s="39" t="n">
        <f aca="false">MATCH(A224,DATAS,0)</f>
        <v>1</v>
      </c>
      <c r="Z224" s="39" t="n">
        <f aca="false">IF(AND(E224&gt;0,OR(AND(B224&gt;=1,B224&lt;=6),B224=10)),1,0)</f>
        <v>1</v>
      </c>
      <c r="AA224" s="39" t="n">
        <f aca="false">IF(AND(E224&gt;0,B224=10),1,0)</f>
        <v>0</v>
      </c>
      <c r="AB224" s="0" t="str">
        <f aca="false">IF(AND(C223=C224,Y223=Y224-1),Z223,"")</f>
        <v/>
      </c>
      <c r="AC224" s="0" t="str">
        <f aca="false">IF(AND(C223=C224,Y223=Y224-1),AA223,"")</f>
        <v/>
      </c>
      <c r="AD224" s="0" t="str">
        <f aca="false">IF(Y224=1,"",IF(AND(Z224=1,AB224&lt;&gt;1),1,0))</f>
        <v/>
      </c>
      <c r="AE224" s="0" t="str">
        <f aca="false">IF(Y224=1,"",IF(AND(AA224=1,AC224&lt;&gt;1),1,0))</f>
        <v/>
      </c>
      <c r="AF224" s="45" t="str">
        <f aca="false">IF(AND(E224&gt;0,Y224&lt;1,NOT(AND(C225=C224,Y225=Y224+1))),INDEX(DATAS,Y224+1),"")</f>
        <v/>
      </c>
      <c r="AG224" s="45" t="str">
        <f aca="false">IF(AND(AA224=1,Y224&lt;1),IF(AND(C225=C224,Y225=Y224+1),IF(AA225=1,"",INDEX(DATAS,Y224+1)),INDEX(DATAS,Y224+1)),"")</f>
        <v/>
      </c>
    </row>
    <row r="225" customFormat="false" ht="15" hidden="false" customHeight="false" outlineLevel="0" collapsed="false">
      <c r="A225" s="45" t="n">
        <v>46309</v>
      </c>
      <c r="B225" s="0" t="n">
        <v>5</v>
      </c>
      <c r="C225" s="0" t="n">
        <v>3697</v>
      </c>
      <c r="D225" s="0" t="n">
        <v>318</v>
      </c>
      <c r="E225" s="0" t="n">
        <v>3</v>
      </c>
      <c r="F225" s="39" t="s">
        <v>304</v>
      </c>
      <c r="G225" s="0" t="n">
        <v>46.3</v>
      </c>
      <c r="H225" s="0" t="n">
        <v>49</v>
      </c>
      <c r="I225" s="39" t="s">
        <v>109</v>
      </c>
      <c r="J225" s="0" t="n">
        <v>220</v>
      </c>
      <c r="K225" s="0" t="n">
        <v>66</v>
      </c>
      <c r="L225" s="0" t="n">
        <v>98</v>
      </c>
      <c r="M225" s="0" t="n">
        <v>540.29</v>
      </c>
      <c r="N225" s="0" t="n">
        <v>50.89</v>
      </c>
      <c r="O225" s="0" t="n">
        <v>22.38</v>
      </c>
      <c r="P225" s="0" t="n">
        <v>4.7</v>
      </c>
      <c r="Q225" s="0" t="n">
        <v>3.99</v>
      </c>
      <c r="R225" s="0" t="n">
        <v>6085</v>
      </c>
      <c r="S225" s="0" t="n">
        <v>12268</v>
      </c>
      <c r="T225" s="0" t="n">
        <v>59.65</v>
      </c>
      <c r="U225" s="0" t="n">
        <v>1811</v>
      </c>
      <c r="V225" s="0" t="n">
        <v>6</v>
      </c>
      <c r="W225" s="39" t="n">
        <f aca="false">IF(I225="Male",0,1)</f>
        <v>1</v>
      </c>
      <c r="X225" s="39" t="n">
        <f aca="false">IF(OR(I225="DNB",I225="Dry DNB"),1,0)</f>
        <v>0</v>
      </c>
      <c r="Y225" s="39" t="n">
        <f aca="false">MATCH(A225,DATAS,0)</f>
        <v>1</v>
      </c>
      <c r="Z225" s="39" t="n">
        <f aca="false">IF(AND(E225&gt;0,OR(AND(B225&gt;=1,B225&lt;=6),B225=10)),1,0)</f>
        <v>1</v>
      </c>
      <c r="AA225" s="39" t="n">
        <f aca="false">IF(AND(E225&gt;0,B225=10),1,0)</f>
        <v>0</v>
      </c>
      <c r="AB225" s="0" t="str">
        <f aca="false">IF(AND(C224=C225,Y224=Y225-1),Z224,"")</f>
        <v/>
      </c>
      <c r="AC225" s="0" t="str">
        <f aca="false">IF(AND(C224=C225,Y224=Y225-1),AA224,"")</f>
        <v/>
      </c>
      <c r="AD225" s="0" t="str">
        <f aca="false">IF(Y225=1,"",IF(AND(Z225=1,AB225&lt;&gt;1),1,0))</f>
        <v/>
      </c>
      <c r="AE225" s="0" t="str">
        <f aca="false">IF(Y225=1,"",IF(AND(AA225=1,AC225&lt;&gt;1),1,0))</f>
        <v/>
      </c>
      <c r="AF225" s="45" t="str">
        <f aca="false">IF(AND(E225&gt;0,Y225&lt;1,NOT(AND(C226=C225,Y226=Y225+1))),INDEX(DATAS,Y225+1),"")</f>
        <v/>
      </c>
      <c r="AG225" s="45" t="str">
        <f aca="false">IF(AND(AA225=1,Y225&lt;1),IF(AND(C226=C225,Y226=Y225+1),IF(AA226=1,"",INDEX(DATAS,Y225+1)),INDEX(DATAS,Y225+1)),"")</f>
        <v/>
      </c>
    </row>
    <row r="226" customFormat="false" ht="15" hidden="false" customHeight="false" outlineLevel="0" collapsed="false">
      <c r="A226" s="45" t="n">
        <v>46309</v>
      </c>
      <c r="B226" s="0" t="n">
        <v>2</v>
      </c>
      <c r="C226" s="0" t="n">
        <v>3698</v>
      </c>
      <c r="D226" s="0" t="n">
        <v>127</v>
      </c>
      <c r="E226" s="0" t="n">
        <v>3</v>
      </c>
      <c r="F226" s="39" t="s">
        <v>305</v>
      </c>
      <c r="G226" s="0" t="n">
        <v>57.5</v>
      </c>
      <c r="H226" s="0" t="n">
        <v>59</v>
      </c>
      <c r="I226" s="39" t="s">
        <v>138</v>
      </c>
      <c r="J226" s="0" t="n">
        <v>127</v>
      </c>
      <c r="K226" s="0" t="n">
        <v>64</v>
      </c>
      <c r="M226" s="0" t="n">
        <v>550.15</v>
      </c>
      <c r="N226" s="0" t="n">
        <v>11.86</v>
      </c>
      <c r="O226" s="0" t="n">
        <v>20.13</v>
      </c>
      <c r="P226" s="0" t="n">
        <v>3.58</v>
      </c>
      <c r="Q226" s="0" t="n">
        <v>3.27</v>
      </c>
      <c r="R226" s="0" t="n">
        <v>5707</v>
      </c>
      <c r="S226" s="0" t="n">
        <v>11691</v>
      </c>
      <c r="T226" s="0" t="n">
        <v>63</v>
      </c>
      <c r="U226" s="0" t="n">
        <v>1809</v>
      </c>
      <c r="V226" s="0" t="n">
        <v>3</v>
      </c>
      <c r="W226" s="39" t="n">
        <f aca="false">IF(I226="Male",0,1)</f>
        <v>1</v>
      </c>
      <c r="X226" s="39" t="n">
        <f aca="false">IF(OR(I226="DNB",I226="Dry DNB"),1,0)</f>
        <v>0</v>
      </c>
      <c r="Y226" s="39" t="n">
        <f aca="false">MATCH(A226,DATAS,0)</f>
        <v>1</v>
      </c>
      <c r="Z226" s="39" t="n">
        <f aca="false">IF(AND(E226&gt;0,OR(AND(B226&gt;=1,B226&lt;=6),B226=10)),1,0)</f>
        <v>1</v>
      </c>
      <c r="AA226" s="39" t="n">
        <f aca="false">IF(AND(E226&gt;0,B226=10),1,0)</f>
        <v>0</v>
      </c>
      <c r="AB226" s="0" t="str">
        <f aca="false">IF(AND(C225=C226,Y225=Y226-1),Z225,"")</f>
        <v/>
      </c>
      <c r="AC226" s="0" t="str">
        <f aca="false">IF(AND(C225=C226,Y225=Y226-1),AA225,"")</f>
        <v/>
      </c>
      <c r="AD226" s="0" t="str">
        <f aca="false">IF(Y226=1,"",IF(AND(Z226=1,AB226&lt;&gt;1),1,0))</f>
        <v/>
      </c>
      <c r="AE226" s="0" t="str">
        <f aca="false">IF(Y226=1,"",IF(AND(AA226=1,AC226&lt;&gt;1),1,0))</f>
        <v/>
      </c>
      <c r="AF226" s="45" t="str">
        <f aca="false">IF(AND(E226&gt;0,Y226&lt;1,NOT(AND(C227=C226,Y227=Y226+1))),INDEX(DATAS,Y226+1),"")</f>
        <v/>
      </c>
      <c r="AG226" s="45" t="str">
        <f aca="false">IF(AND(AA226=1,Y226&lt;1),IF(AND(C227=C226,Y227=Y226+1),IF(AA227=1,"",INDEX(DATAS,Y226+1)),INDEX(DATAS,Y226+1)),"")</f>
        <v/>
      </c>
    </row>
    <row r="227" customFormat="false" ht="15" hidden="false" customHeight="false" outlineLevel="0" collapsed="false">
      <c r="A227" s="45" t="n">
        <v>46309</v>
      </c>
      <c r="B227" s="0" t="n">
        <v>7</v>
      </c>
      <c r="C227" s="0" t="n">
        <v>3700</v>
      </c>
      <c r="D227" s="0" t="n">
        <v>210</v>
      </c>
      <c r="E227" s="0" t="n">
        <v>3</v>
      </c>
      <c r="F227" s="39" t="s">
        <v>305</v>
      </c>
      <c r="G227" s="0" t="n">
        <v>5.3</v>
      </c>
      <c r="H227" s="0" t="n">
        <v>15</v>
      </c>
      <c r="I227" s="39" t="s">
        <v>114</v>
      </c>
      <c r="J227" s="0" t="n">
        <v>64</v>
      </c>
      <c r="K227" s="0" t="n">
        <v>64</v>
      </c>
      <c r="L227" s="0" t="n">
        <v>147</v>
      </c>
      <c r="M227" s="0" t="n">
        <v>269.01</v>
      </c>
      <c r="N227" s="0" t="n">
        <v>58.24</v>
      </c>
      <c r="O227" s="0" t="n">
        <v>28.33</v>
      </c>
      <c r="P227" s="0" t="n">
        <v>5.19</v>
      </c>
      <c r="Q227" s="0" t="n">
        <v>3.26</v>
      </c>
      <c r="R227" s="0" t="n">
        <v>2998</v>
      </c>
      <c r="S227" s="0" t="n">
        <v>6679</v>
      </c>
      <c r="T227" s="0" t="n">
        <v>36.6</v>
      </c>
      <c r="U227" s="0" t="n">
        <v>1809</v>
      </c>
      <c r="V227" s="0" t="n">
        <v>1</v>
      </c>
      <c r="W227" s="39" t="n">
        <f aca="false">IF(I227="Male",0,1)</f>
        <v>1</v>
      </c>
      <c r="X227" s="39" t="n">
        <f aca="false">IF(OR(I227="DNB",I227="Dry DNB"),1,0)</f>
        <v>0</v>
      </c>
      <c r="Y227" s="39" t="n">
        <f aca="false">MATCH(A227,DATAS,0)</f>
        <v>1</v>
      </c>
      <c r="Z227" s="39" t="n">
        <f aca="false">IF(AND(E227&gt;0,OR(AND(B227&gt;=1,B227&lt;=6),B227=10)),1,0)</f>
        <v>0</v>
      </c>
      <c r="AA227" s="39" t="n">
        <f aca="false">IF(AND(E227&gt;0,B227=10),1,0)</f>
        <v>0</v>
      </c>
      <c r="AB227" s="0" t="str">
        <f aca="false">IF(AND(C226=C227,Y226=Y227-1),Z226,"")</f>
        <v/>
      </c>
      <c r="AC227" s="0" t="str">
        <f aca="false">IF(AND(C226=C227,Y226=Y227-1),AA226,"")</f>
        <v/>
      </c>
      <c r="AD227" s="0" t="str">
        <f aca="false">IF(Y227=1,"",IF(AND(Z227=1,AB227&lt;&gt;1),1,0))</f>
        <v/>
      </c>
      <c r="AE227" s="0" t="str">
        <f aca="false">IF(Y227=1,"",IF(AND(AA227=1,AC227&lt;&gt;1),1,0))</f>
        <v/>
      </c>
      <c r="AF227" s="45" t="str">
        <f aca="false">IF(AND(E227&gt;0,Y227&lt;1,NOT(AND(C228=C227,Y228=Y227+1))),INDEX(DATAS,Y227+1),"")</f>
        <v/>
      </c>
      <c r="AG227" s="45" t="str">
        <f aca="false">IF(AND(AA227=1,Y227&lt;1),IF(AND(C228=C227,Y228=Y227+1),IF(AA228=1,"",INDEX(DATAS,Y227+1)),INDEX(DATAS,Y227+1)),"")</f>
        <v/>
      </c>
    </row>
    <row r="228" customFormat="false" ht="15" hidden="false" customHeight="false" outlineLevel="0" collapsed="false">
      <c r="A228" s="45" t="n">
        <v>46309</v>
      </c>
      <c r="B228" s="0" t="n">
        <v>6</v>
      </c>
      <c r="C228" s="0" t="n">
        <v>3701</v>
      </c>
      <c r="D228" s="0" t="n">
        <v>312</v>
      </c>
      <c r="E228" s="0" t="n">
        <v>3</v>
      </c>
      <c r="F228" s="39" t="s">
        <v>306</v>
      </c>
      <c r="H228" s="0" t="n">
        <v>18</v>
      </c>
      <c r="I228" s="39" t="s">
        <v>109</v>
      </c>
      <c r="J228" s="0" t="n">
        <v>221</v>
      </c>
      <c r="K228" s="0" t="n">
        <v>68</v>
      </c>
      <c r="L228" s="0" t="n">
        <v>91</v>
      </c>
      <c r="M228" s="0" t="n">
        <v>492.14</v>
      </c>
      <c r="N228" s="0" t="n">
        <v>50.94</v>
      </c>
      <c r="O228" s="0" t="n">
        <v>25.38</v>
      </c>
      <c r="P228" s="0" t="n">
        <v>5</v>
      </c>
      <c r="Q228" s="0" t="n">
        <v>4.26</v>
      </c>
      <c r="R228" s="0" t="n">
        <v>5426</v>
      </c>
      <c r="S228" s="0" t="n">
        <v>10417</v>
      </c>
      <c r="T228" s="0" t="n">
        <v>57.7</v>
      </c>
      <c r="U228" s="0" t="n">
        <v>1808</v>
      </c>
      <c r="V228" s="0" t="n">
        <v>2</v>
      </c>
      <c r="W228" s="39" t="n">
        <f aca="false">IF(I228="Male",0,1)</f>
        <v>1</v>
      </c>
      <c r="X228" s="39" t="n">
        <f aca="false">IF(OR(I228="DNB",I228="Dry DNB"),1,0)</f>
        <v>0</v>
      </c>
      <c r="Y228" s="39" t="n">
        <f aca="false">MATCH(A228,DATAS,0)</f>
        <v>1</v>
      </c>
      <c r="Z228" s="39" t="n">
        <f aca="false">IF(AND(E228&gt;0,OR(AND(B228&gt;=1,B228&lt;=6),B228=10)),1,0)</f>
        <v>1</v>
      </c>
      <c r="AA228" s="39" t="n">
        <f aca="false">IF(AND(E228&gt;0,B228=10),1,0)</f>
        <v>0</v>
      </c>
      <c r="AB228" s="0" t="str">
        <f aca="false">IF(AND(C227=C228,Y227=Y228-1),Z227,"")</f>
        <v/>
      </c>
      <c r="AC228" s="0" t="str">
        <f aca="false">IF(AND(C227=C228,Y227=Y228-1),AA227,"")</f>
        <v/>
      </c>
      <c r="AD228" s="0" t="str">
        <f aca="false">IF(Y228=1,"",IF(AND(Z228=1,AB228&lt;&gt;1),1,0))</f>
        <v/>
      </c>
      <c r="AE228" s="0" t="str">
        <f aca="false">IF(Y228=1,"",IF(AND(AA228=1,AC228&lt;&gt;1),1,0))</f>
        <v/>
      </c>
      <c r="AF228" s="45" t="str">
        <f aca="false">IF(AND(E228&gt;0,Y228&lt;1,NOT(AND(C229=C228,Y229=Y228+1))),INDEX(DATAS,Y228+1),"")</f>
        <v/>
      </c>
      <c r="AG228" s="45" t="str">
        <f aca="false">IF(AND(AA228=1,Y228&lt;1),IF(AND(C229=C228,Y229=Y228+1),IF(AA229=1,"",INDEX(DATAS,Y228+1)),INDEX(DATAS,Y228+1)),"")</f>
        <v/>
      </c>
    </row>
    <row r="229" customFormat="false" ht="15" hidden="false" customHeight="false" outlineLevel="0" collapsed="false">
      <c r="A229" s="45" t="n">
        <v>46309</v>
      </c>
      <c r="B229" s="0" t="n">
        <v>2</v>
      </c>
      <c r="C229" s="0" t="n">
        <v>3703</v>
      </c>
      <c r="D229" s="0" t="n">
        <v>130</v>
      </c>
      <c r="E229" s="0" t="n">
        <v>4</v>
      </c>
      <c r="F229" s="39" t="s">
        <v>307</v>
      </c>
      <c r="G229" s="0" t="n">
        <v>45.8</v>
      </c>
      <c r="H229" s="0" t="n">
        <v>60</v>
      </c>
      <c r="I229" s="39" t="s">
        <v>138</v>
      </c>
      <c r="J229" s="0" t="n">
        <v>130</v>
      </c>
      <c r="K229" s="0" t="n">
        <v>67</v>
      </c>
      <c r="M229" s="0" t="n">
        <v>355.39</v>
      </c>
      <c r="N229" s="0" t="n">
        <v>40.13</v>
      </c>
      <c r="O229" s="0" t="n">
        <v>16.68</v>
      </c>
      <c r="P229" s="0" t="n">
        <v>3.61</v>
      </c>
      <c r="Q229" s="0" t="n">
        <v>2.88</v>
      </c>
      <c r="R229" s="0" t="n">
        <v>5572</v>
      </c>
      <c r="S229" s="0" t="n">
        <v>11610</v>
      </c>
      <c r="T229" s="0" t="n">
        <v>61.25</v>
      </c>
      <c r="U229" s="0" t="n">
        <v>1807</v>
      </c>
      <c r="V229" s="0" t="n">
        <v>3</v>
      </c>
      <c r="W229" s="39" t="n">
        <f aca="false">IF(I229="Male",0,1)</f>
        <v>1</v>
      </c>
      <c r="X229" s="39" t="n">
        <f aca="false">IF(OR(I229="DNB",I229="Dry DNB"),1,0)</f>
        <v>0</v>
      </c>
      <c r="Y229" s="39" t="n">
        <f aca="false">MATCH(A229,DATAS,0)</f>
        <v>1</v>
      </c>
      <c r="Z229" s="39" t="n">
        <f aca="false">IF(AND(E229&gt;0,OR(AND(B229&gt;=1,B229&lt;=6),B229=10)),1,0)</f>
        <v>1</v>
      </c>
      <c r="AA229" s="39" t="n">
        <f aca="false">IF(AND(E229&gt;0,B229=10),1,0)</f>
        <v>0</v>
      </c>
      <c r="AB229" s="0" t="str">
        <f aca="false">IF(AND(C228=C229,Y228=Y229-1),Z228,"")</f>
        <v/>
      </c>
      <c r="AC229" s="0" t="str">
        <f aca="false">IF(AND(C228=C229,Y228=Y229-1),AA228,"")</f>
        <v/>
      </c>
      <c r="AD229" s="0" t="str">
        <f aca="false">IF(Y229=1,"",IF(AND(Z229=1,AB229&lt;&gt;1),1,0))</f>
        <v/>
      </c>
      <c r="AE229" s="0" t="str">
        <f aca="false">IF(Y229=1,"",IF(AND(AA229=1,AC229&lt;&gt;1),1,0))</f>
        <v/>
      </c>
      <c r="AF229" s="45" t="str">
        <f aca="false">IF(AND(E229&gt;0,Y229&lt;1,NOT(AND(C230=C229,Y230=Y229+1))),INDEX(DATAS,Y229+1),"")</f>
        <v/>
      </c>
      <c r="AG229" s="45" t="str">
        <f aca="false">IF(AND(AA229=1,Y229&lt;1),IF(AND(C230=C229,Y230=Y229+1),IF(AA230=1,"",INDEX(DATAS,Y229+1)),INDEX(DATAS,Y229+1)),"")</f>
        <v/>
      </c>
    </row>
    <row r="230" customFormat="false" ht="15" hidden="false" customHeight="false" outlineLevel="0" collapsed="false">
      <c r="A230" s="45" t="n">
        <v>46309</v>
      </c>
      <c r="B230" s="0" t="n">
        <v>5</v>
      </c>
      <c r="C230" s="0" t="n">
        <v>3710</v>
      </c>
      <c r="D230" s="0" t="n">
        <v>83</v>
      </c>
      <c r="E230" s="0" t="n">
        <v>4</v>
      </c>
      <c r="F230" s="39" t="s">
        <v>308</v>
      </c>
      <c r="G230" s="0" t="n">
        <v>41.2</v>
      </c>
      <c r="H230" s="0" t="n">
        <v>38</v>
      </c>
      <c r="I230" s="39" t="s">
        <v>138</v>
      </c>
      <c r="J230" s="0" t="n">
        <v>83</v>
      </c>
      <c r="K230" s="0" t="n">
        <v>66</v>
      </c>
      <c r="M230" s="0" t="n">
        <v>141.56</v>
      </c>
      <c r="N230" s="0" t="n">
        <v>25.66</v>
      </c>
      <c r="O230" s="0" t="n">
        <v>13.99</v>
      </c>
      <c r="P230" s="0" t="n">
        <v>3.5</v>
      </c>
      <c r="Q230" s="0" t="n">
        <v>3.36</v>
      </c>
      <c r="R230" s="0" t="n">
        <v>4006</v>
      </c>
      <c r="S230" s="0" t="n">
        <v>8052</v>
      </c>
      <c r="U230" s="0" t="n">
        <v>1805</v>
      </c>
      <c r="V230" s="0" t="n">
        <v>1</v>
      </c>
      <c r="W230" s="39" t="n">
        <f aca="false">IF(I230="Male",0,1)</f>
        <v>1</v>
      </c>
      <c r="X230" s="39" t="n">
        <f aca="false">IF(OR(I230="DNB",I230="Dry DNB"),1,0)</f>
        <v>0</v>
      </c>
      <c r="Y230" s="39" t="n">
        <f aca="false">MATCH(A230,DATAS,0)</f>
        <v>1</v>
      </c>
      <c r="Z230" s="39" t="n">
        <f aca="false">IF(AND(E230&gt;0,OR(AND(B230&gt;=1,B230&lt;=6),B230=10)),1,0)</f>
        <v>1</v>
      </c>
      <c r="AA230" s="39" t="n">
        <f aca="false">IF(AND(E230&gt;0,B230=10),1,0)</f>
        <v>0</v>
      </c>
      <c r="AB230" s="0" t="str">
        <f aca="false">IF(AND(C229=C230,Y229=Y230-1),Z229,"")</f>
        <v/>
      </c>
      <c r="AC230" s="0" t="str">
        <f aca="false">IF(AND(C229=C230,Y229=Y230-1),AA229,"")</f>
        <v/>
      </c>
      <c r="AD230" s="0" t="str">
        <f aca="false">IF(Y230=1,"",IF(AND(Z230=1,AB230&lt;&gt;1),1,0))</f>
        <v/>
      </c>
      <c r="AE230" s="0" t="str">
        <f aca="false">IF(Y230=1,"",IF(AND(AA230=1,AC230&lt;&gt;1),1,0))</f>
        <v/>
      </c>
      <c r="AF230" s="45" t="str">
        <f aca="false">IF(AND(E230&gt;0,Y230&lt;1,NOT(AND(C231=C230,Y231=Y230+1))),INDEX(DATAS,Y230+1),"")</f>
        <v/>
      </c>
      <c r="AG230" s="45" t="str">
        <f aca="false">IF(AND(AA230=1,Y230&lt;1),IF(AND(C231=C230,Y231=Y230+1),IF(AA231=1,"",INDEX(DATAS,Y230+1)),INDEX(DATAS,Y230+1)),"")</f>
        <v/>
      </c>
    </row>
    <row r="231" customFormat="false" ht="15" hidden="false" customHeight="false" outlineLevel="0" collapsed="false">
      <c r="A231" s="45" t="n">
        <v>46309</v>
      </c>
      <c r="B231" s="0" t="n">
        <v>10</v>
      </c>
      <c r="C231" s="0" t="n">
        <v>3711</v>
      </c>
      <c r="D231" s="0" t="n">
        <v>364</v>
      </c>
      <c r="E231" s="0" t="n">
        <v>3</v>
      </c>
      <c r="F231" s="39" t="s">
        <v>308</v>
      </c>
      <c r="G231" s="0" t="n">
        <v>28.7</v>
      </c>
      <c r="H231" s="0" t="n">
        <v>30</v>
      </c>
      <c r="I231" s="39" t="s">
        <v>109</v>
      </c>
      <c r="J231" s="0" t="n">
        <v>147</v>
      </c>
      <c r="K231" s="0" t="n">
        <v>71</v>
      </c>
      <c r="L231" s="0" t="n">
        <v>217</v>
      </c>
      <c r="M231" s="0" t="n">
        <v>851.1</v>
      </c>
      <c r="N231" s="0" t="n">
        <v>35.57</v>
      </c>
      <c r="O231" s="0" t="n">
        <v>30.14</v>
      </c>
      <c r="P231" s="0" t="n">
        <v>4.91</v>
      </c>
      <c r="Q231" s="0" t="n">
        <v>3.68</v>
      </c>
      <c r="R231" s="0" t="n">
        <v>6099</v>
      </c>
      <c r="S231" s="0" t="n">
        <v>11836</v>
      </c>
      <c r="T231" s="0" t="n">
        <v>70.4</v>
      </c>
      <c r="U231" s="0" t="n">
        <v>1805</v>
      </c>
      <c r="V231" s="0" t="n">
        <v>2</v>
      </c>
      <c r="W231" s="39" t="n">
        <f aca="false">IF(I231="Male",0,1)</f>
        <v>1</v>
      </c>
      <c r="X231" s="39" t="n">
        <f aca="false">IF(OR(I231="DNB",I231="Dry DNB"),1,0)</f>
        <v>0</v>
      </c>
      <c r="Y231" s="39" t="n">
        <f aca="false">MATCH(A231,DATAS,0)</f>
        <v>1</v>
      </c>
      <c r="Z231" s="39" t="n">
        <f aca="false">IF(AND(E231&gt;0,OR(AND(B231&gt;=1,B231&lt;=6),B231=10)),1,0)</f>
        <v>1</v>
      </c>
      <c r="AA231" s="39" t="n">
        <f aca="false">IF(AND(E231&gt;0,B231=10),1,0)</f>
        <v>1</v>
      </c>
      <c r="AB231" s="0" t="str">
        <f aca="false">IF(AND(C230=C231,Y230=Y231-1),Z230,"")</f>
        <v/>
      </c>
      <c r="AC231" s="0" t="str">
        <f aca="false">IF(AND(C230=C231,Y230=Y231-1),AA230,"")</f>
        <v/>
      </c>
      <c r="AD231" s="0" t="str">
        <f aca="false">IF(Y231=1,"",IF(AND(Z231=1,AB231&lt;&gt;1),1,0))</f>
        <v/>
      </c>
      <c r="AE231" s="0" t="str">
        <f aca="false">IF(Y231=1,"",IF(AND(AA231=1,AC231&lt;&gt;1),1,0))</f>
        <v/>
      </c>
      <c r="AF231" s="45" t="str">
        <f aca="false">IF(AND(E231&gt;0,Y231&lt;1,NOT(AND(C232=C231,Y232=Y231+1))),INDEX(DATAS,Y231+1),"")</f>
        <v/>
      </c>
      <c r="AG231" s="45" t="str">
        <f aca="false">IF(AND(AA231=1,Y231&lt;1),IF(AND(C232=C231,Y232=Y231+1),IF(AA232=1,"",INDEX(DATAS,Y231+1)),INDEX(DATAS,Y231+1)),"")</f>
        <v/>
      </c>
    </row>
    <row r="232" customFormat="false" ht="15" hidden="false" customHeight="false" outlineLevel="0" collapsed="false">
      <c r="A232" s="45" t="n">
        <v>46309</v>
      </c>
      <c r="B232" s="0" t="n">
        <v>7</v>
      </c>
      <c r="C232" s="0" t="n">
        <v>3712</v>
      </c>
      <c r="D232" s="0" t="n">
        <v>641</v>
      </c>
      <c r="E232" s="0" t="n">
        <v>2</v>
      </c>
      <c r="F232" s="39" t="s">
        <v>309</v>
      </c>
      <c r="I232" s="39" t="s">
        <v>310</v>
      </c>
      <c r="J232" s="0" t="n">
        <v>641</v>
      </c>
      <c r="K232" s="0" t="n">
        <v>69</v>
      </c>
      <c r="M232" s="0" t="n">
        <v>789.2</v>
      </c>
      <c r="N232" s="0" t="n">
        <v>31.01</v>
      </c>
      <c r="O232" s="0" t="n">
        <v>22.74</v>
      </c>
      <c r="P232" s="0" t="n">
        <v>6.06</v>
      </c>
      <c r="Q232" s="0" t="n">
        <v>4.6</v>
      </c>
      <c r="R232" s="0" t="n">
        <v>7058</v>
      </c>
      <c r="S232" s="0" t="n">
        <v>13489</v>
      </c>
      <c r="T232" s="0" t="n">
        <v>72.65</v>
      </c>
      <c r="U232" s="0" t="n">
        <v>1804</v>
      </c>
      <c r="V232" s="0" t="n">
        <v>12</v>
      </c>
      <c r="W232" s="39" t="n">
        <f aca="false">IF(I232="Male",0,1)</f>
        <v>1</v>
      </c>
      <c r="X232" s="39" t="n">
        <f aca="false">IF(OR(I232="DNB",I232="Dry DNB"),1,0)</f>
        <v>1</v>
      </c>
      <c r="Y232" s="39" t="n">
        <f aca="false">MATCH(A232,DATAS,0)</f>
        <v>1</v>
      </c>
      <c r="Z232" s="39" t="n">
        <f aca="false">IF(AND(E232&gt;0,OR(AND(B232&gt;=1,B232&lt;=6),B232=10)),1,0)</f>
        <v>0</v>
      </c>
      <c r="AA232" s="39" t="n">
        <f aca="false">IF(AND(E232&gt;0,B232=10),1,0)</f>
        <v>0</v>
      </c>
      <c r="AB232" s="0" t="str">
        <f aca="false">IF(AND(C231=C232,Y231=Y232-1),Z231,"")</f>
        <v/>
      </c>
      <c r="AC232" s="0" t="str">
        <f aca="false">IF(AND(C231=C232,Y231=Y232-1),AA231,"")</f>
        <v/>
      </c>
      <c r="AD232" s="0" t="str">
        <f aca="false">IF(Y232=1,"",IF(AND(Z232=1,AB232&lt;&gt;1),1,0))</f>
        <v/>
      </c>
      <c r="AE232" s="0" t="str">
        <f aca="false">IF(Y232=1,"",IF(AND(AA232=1,AC232&lt;&gt;1),1,0))</f>
        <v/>
      </c>
      <c r="AF232" s="45" t="str">
        <f aca="false">IF(AND(E232&gt;0,Y232&lt;1,NOT(AND(C233=C232,Y233=Y232+1))),INDEX(DATAS,Y232+1),"")</f>
        <v/>
      </c>
      <c r="AG232" s="45" t="str">
        <f aca="false">IF(AND(AA232=1,Y232&lt;1),IF(AND(C233=C232,Y233=Y232+1),IF(AA233=1,"",INDEX(DATAS,Y232+1)),INDEX(DATAS,Y232+1)),"")</f>
        <v/>
      </c>
    </row>
    <row r="233" customFormat="false" ht="15" hidden="false" customHeight="false" outlineLevel="0" collapsed="false">
      <c r="A233" s="45" t="n">
        <v>46309</v>
      </c>
      <c r="B233" s="0" t="n">
        <v>3</v>
      </c>
      <c r="C233" s="0" t="n">
        <v>3717</v>
      </c>
      <c r="D233" s="0" t="n">
        <v>161</v>
      </c>
      <c r="E233" s="0" t="n">
        <v>3</v>
      </c>
      <c r="F233" s="39" t="s">
        <v>311</v>
      </c>
      <c r="G233" s="0" t="n">
        <v>56.1</v>
      </c>
      <c r="H233" s="0" t="n">
        <v>54</v>
      </c>
      <c r="I233" s="39" t="s">
        <v>146</v>
      </c>
      <c r="J233" s="0" t="n">
        <v>161</v>
      </c>
      <c r="K233" s="0" t="n">
        <v>63</v>
      </c>
      <c r="M233" s="0" t="n">
        <v>745.9</v>
      </c>
      <c r="N233" s="0" t="n">
        <v>32.34</v>
      </c>
      <c r="O233" s="0" t="n">
        <v>29.46</v>
      </c>
      <c r="P233" s="0" t="n">
        <v>3.93</v>
      </c>
      <c r="Q233" s="0" t="n">
        <v>3.22</v>
      </c>
      <c r="R233" s="0" t="n">
        <v>6190</v>
      </c>
      <c r="S233" s="0" t="n">
        <v>12080</v>
      </c>
      <c r="T233" s="0" t="n">
        <v>68.9</v>
      </c>
      <c r="U233" s="0" t="n">
        <v>1799</v>
      </c>
      <c r="V233" s="0" t="n">
        <v>2</v>
      </c>
      <c r="W233" s="39" t="n">
        <f aca="false">IF(I233="Male",0,1)</f>
        <v>1</v>
      </c>
      <c r="X233" s="39" t="n">
        <f aca="false">IF(OR(I233="DNB",I233="Dry DNB"),1,0)</f>
        <v>0</v>
      </c>
      <c r="Y233" s="39" t="n">
        <f aca="false">MATCH(A233,DATAS,0)</f>
        <v>1</v>
      </c>
      <c r="Z233" s="39" t="n">
        <f aca="false">IF(AND(E233&gt;0,OR(AND(B233&gt;=1,B233&lt;=6),B233=10)),1,0)</f>
        <v>1</v>
      </c>
      <c r="AA233" s="39" t="n">
        <f aca="false">IF(AND(E233&gt;0,B233=10),1,0)</f>
        <v>0</v>
      </c>
      <c r="AB233" s="0" t="str">
        <f aca="false">IF(AND(C232=C233,Y232=Y233-1),Z232,"")</f>
        <v/>
      </c>
      <c r="AC233" s="0" t="str">
        <f aca="false">IF(AND(C232=C233,Y232=Y233-1),AA232,"")</f>
        <v/>
      </c>
      <c r="AD233" s="0" t="str">
        <f aca="false">IF(Y233=1,"",IF(AND(Z233=1,AB233&lt;&gt;1),1,0))</f>
        <v/>
      </c>
      <c r="AE233" s="0" t="str">
        <f aca="false">IF(Y233=1,"",IF(AND(AA233=1,AC233&lt;&gt;1),1,0))</f>
        <v/>
      </c>
      <c r="AF233" s="45" t="str">
        <f aca="false">IF(AND(E233&gt;0,Y233&lt;1,NOT(AND(C234=C233,Y234=Y233+1))),INDEX(DATAS,Y233+1),"")</f>
        <v/>
      </c>
      <c r="AG233" s="45" t="str">
        <f aca="false">IF(AND(AA233=1,Y233&lt;1),IF(AND(C234=C233,Y234=Y233+1),IF(AA234=1,"",INDEX(DATAS,Y233+1)),INDEX(DATAS,Y233+1)),"")</f>
        <v/>
      </c>
    </row>
    <row r="234" customFormat="false" ht="15" hidden="false" customHeight="false" outlineLevel="0" collapsed="false">
      <c r="A234" s="45" t="n">
        <v>46309</v>
      </c>
      <c r="B234" s="0" t="n">
        <v>5</v>
      </c>
      <c r="C234" s="0" t="n">
        <v>3718</v>
      </c>
      <c r="D234" s="0" t="n">
        <v>132</v>
      </c>
      <c r="E234" s="0" t="n">
        <v>3</v>
      </c>
      <c r="F234" s="39" t="s">
        <v>312</v>
      </c>
      <c r="G234" s="0" t="n">
        <v>43.3</v>
      </c>
      <c r="H234" s="0" t="n">
        <v>43</v>
      </c>
      <c r="I234" s="39" t="s">
        <v>138</v>
      </c>
      <c r="J234" s="0" t="n">
        <v>132</v>
      </c>
      <c r="K234" s="0" t="n">
        <v>69</v>
      </c>
      <c r="M234" s="0" t="n">
        <v>274.08</v>
      </c>
      <c r="N234" s="0" t="n">
        <v>34.01</v>
      </c>
      <c r="O234" s="0" t="n">
        <v>23.43</v>
      </c>
      <c r="P234" s="0" t="n">
        <v>3.4</v>
      </c>
      <c r="Q234" s="0" t="n">
        <v>3.63</v>
      </c>
      <c r="R234" s="0" t="n">
        <v>4638</v>
      </c>
      <c r="S234" s="0" t="n">
        <v>9325</v>
      </c>
      <c r="T234" s="0" t="n">
        <v>54</v>
      </c>
      <c r="U234" s="0" t="n">
        <v>1797</v>
      </c>
      <c r="V234" s="0" t="n">
        <v>2</v>
      </c>
      <c r="W234" s="39" t="n">
        <f aca="false">IF(I234="Male",0,1)</f>
        <v>1</v>
      </c>
      <c r="X234" s="39" t="n">
        <f aca="false">IF(OR(I234="DNB",I234="Dry DNB"),1,0)</f>
        <v>0</v>
      </c>
      <c r="Y234" s="39" t="n">
        <f aca="false">MATCH(A234,DATAS,0)</f>
        <v>1</v>
      </c>
      <c r="Z234" s="39" t="n">
        <f aca="false">IF(AND(E234&gt;0,OR(AND(B234&gt;=1,B234&lt;=6),B234=10)),1,0)</f>
        <v>1</v>
      </c>
      <c r="AA234" s="39" t="n">
        <f aca="false">IF(AND(E234&gt;0,B234=10),1,0)</f>
        <v>0</v>
      </c>
      <c r="AB234" s="0" t="str">
        <f aca="false">IF(AND(C233=C234,Y233=Y234-1),Z233,"")</f>
        <v/>
      </c>
      <c r="AC234" s="0" t="str">
        <f aca="false">IF(AND(C233=C234,Y233=Y234-1),AA233,"")</f>
        <v/>
      </c>
      <c r="AD234" s="0" t="str">
        <f aca="false">IF(Y234=1,"",IF(AND(Z234=1,AB234&lt;&gt;1),1,0))</f>
        <v/>
      </c>
      <c r="AE234" s="0" t="str">
        <f aca="false">IF(Y234=1,"",IF(AND(AA234=1,AC234&lt;&gt;1),1,0))</f>
        <v/>
      </c>
      <c r="AF234" s="45" t="str">
        <f aca="false">IF(AND(E234&gt;0,Y234&lt;1,NOT(AND(C235=C234,Y235=Y234+1))),INDEX(DATAS,Y234+1),"")</f>
        <v/>
      </c>
      <c r="AG234" s="45" t="str">
        <f aca="false">IF(AND(AA234=1,Y234&lt;1),IF(AND(C235=C234,Y235=Y234+1),IF(AA235=1,"",INDEX(DATAS,Y234+1)),INDEX(DATAS,Y234+1)),"")</f>
        <v/>
      </c>
    </row>
    <row r="235" customFormat="false" ht="15" hidden="false" customHeight="false" outlineLevel="0" collapsed="false">
      <c r="A235" s="45" t="n">
        <v>46309</v>
      </c>
      <c r="B235" s="0" t="n">
        <v>10</v>
      </c>
      <c r="C235" s="0" t="n">
        <v>3721</v>
      </c>
      <c r="D235" s="0" t="n">
        <v>118</v>
      </c>
      <c r="E235" s="0" t="n">
        <v>4</v>
      </c>
      <c r="F235" s="39" t="s">
        <v>313</v>
      </c>
      <c r="G235" s="0" t="n">
        <v>21.4</v>
      </c>
      <c r="H235" s="0" t="n">
        <v>33</v>
      </c>
      <c r="I235" s="39" t="s">
        <v>138</v>
      </c>
      <c r="J235" s="0" t="n">
        <v>118</v>
      </c>
      <c r="K235" s="0" t="n">
        <v>70</v>
      </c>
      <c r="M235" s="0" t="n">
        <v>377.02</v>
      </c>
      <c r="N235" s="0" t="n">
        <v>15.76</v>
      </c>
      <c r="O235" s="0" t="n">
        <v>22.3</v>
      </c>
      <c r="P235" s="0" t="n">
        <v>0</v>
      </c>
      <c r="Q235" s="0" t="n">
        <v>0</v>
      </c>
      <c r="R235" s="0" t="n">
        <v>5877</v>
      </c>
      <c r="S235" s="0" t="n">
        <v>11584</v>
      </c>
      <c r="T235" s="0" t="n">
        <v>63.45</v>
      </c>
      <c r="U235" s="0" t="n">
        <v>1796</v>
      </c>
      <c r="V235" s="0" t="n">
        <v>2</v>
      </c>
      <c r="W235" s="39" t="n">
        <f aca="false">IF(I235="Male",0,1)</f>
        <v>1</v>
      </c>
      <c r="X235" s="39" t="n">
        <f aca="false">IF(OR(I235="DNB",I235="Dry DNB"),1,0)</f>
        <v>0</v>
      </c>
      <c r="Y235" s="39" t="n">
        <f aca="false">MATCH(A235,DATAS,0)</f>
        <v>1</v>
      </c>
      <c r="Z235" s="39" t="n">
        <f aca="false">IF(AND(E235&gt;0,OR(AND(B235&gt;=1,B235&lt;=6),B235=10)),1,0)</f>
        <v>1</v>
      </c>
      <c r="AA235" s="39" t="n">
        <f aca="false">IF(AND(E235&gt;0,B235=10),1,0)</f>
        <v>1</v>
      </c>
      <c r="AB235" s="0" t="str">
        <f aca="false">IF(AND(C234=C235,Y234=Y235-1),Z234,"")</f>
        <v/>
      </c>
      <c r="AC235" s="0" t="str">
        <f aca="false">IF(AND(C234=C235,Y234=Y235-1),AA234,"")</f>
        <v/>
      </c>
      <c r="AD235" s="0" t="str">
        <f aca="false">IF(Y235=1,"",IF(AND(Z235=1,AB235&lt;&gt;1),1,0))</f>
        <v/>
      </c>
      <c r="AE235" s="0" t="str">
        <f aca="false">IF(Y235=1,"",IF(AND(AA235=1,AC235&lt;&gt;1),1,0))</f>
        <v/>
      </c>
      <c r="AF235" s="45" t="str">
        <f aca="false">IF(AND(E235&gt;0,Y235&lt;1,NOT(AND(C236=C235,Y236=Y235+1))),INDEX(DATAS,Y235+1),"")</f>
        <v/>
      </c>
      <c r="AG235" s="45" t="str">
        <f aca="false">IF(AND(AA235=1,Y235&lt;1),IF(AND(C236=C235,Y236=Y235+1),IF(AA236=1,"",INDEX(DATAS,Y235+1)),INDEX(DATAS,Y235+1)),"")</f>
        <v/>
      </c>
    </row>
    <row r="236" customFormat="false" ht="15" hidden="false" customHeight="false" outlineLevel="0" collapsed="false">
      <c r="A236" s="45" t="n">
        <v>46309</v>
      </c>
      <c r="B236" s="0" t="n">
        <v>3</v>
      </c>
      <c r="C236" s="0" t="n">
        <v>3722</v>
      </c>
      <c r="D236" s="0" t="n">
        <v>34</v>
      </c>
      <c r="E236" s="0" t="n">
        <v>3</v>
      </c>
      <c r="F236" s="39" t="s">
        <v>313</v>
      </c>
      <c r="G236" s="0" t="n">
        <v>62.2</v>
      </c>
      <c r="H236" s="0" t="n">
        <v>61</v>
      </c>
      <c r="I236" s="39" t="s">
        <v>118</v>
      </c>
      <c r="J236" s="0" t="n">
        <v>34</v>
      </c>
      <c r="M236" s="0" t="n">
        <v>794.8</v>
      </c>
      <c r="N236" s="0" t="n">
        <v>22.98</v>
      </c>
      <c r="O236" s="0" t="n">
        <v>24.63</v>
      </c>
      <c r="P236" s="0" t="n">
        <v>4.82</v>
      </c>
      <c r="Q236" s="0" t="n">
        <v>3.92</v>
      </c>
      <c r="R236" s="0" t="n">
        <v>5009</v>
      </c>
      <c r="S236" s="0" t="n">
        <v>10069</v>
      </c>
      <c r="U236" s="0" t="n">
        <v>1796</v>
      </c>
      <c r="V236" s="0" t="n">
        <v>0</v>
      </c>
      <c r="W236" s="39" t="n">
        <f aca="false">IF(I236="Male",0,1)</f>
        <v>1</v>
      </c>
      <c r="X236" s="39" t="n">
        <f aca="false">IF(OR(I236="DNB",I236="Dry DNB"),1,0)</f>
        <v>0</v>
      </c>
      <c r="Y236" s="39" t="n">
        <f aca="false">MATCH(A236,DATAS,0)</f>
        <v>1</v>
      </c>
      <c r="Z236" s="39" t="n">
        <f aca="false">IF(AND(E236&gt;0,OR(AND(B236&gt;=1,B236&lt;=6),B236=10)),1,0)</f>
        <v>1</v>
      </c>
      <c r="AA236" s="39" t="n">
        <f aca="false">IF(AND(E236&gt;0,B236=10),1,0)</f>
        <v>0</v>
      </c>
      <c r="AB236" s="0" t="str">
        <f aca="false">IF(AND(C235=C236,Y235=Y236-1),Z235,"")</f>
        <v/>
      </c>
      <c r="AC236" s="0" t="str">
        <f aca="false">IF(AND(C235=C236,Y235=Y236-1),AA235,"")</f>
        <v/>
      </c>
      <c r="AD236" s="0" t="str">
        <f aca="false">IF(Y236=1,"",IF(AND(Z236=1,AB236&lt;&gt;1),1,0))</f>
        <v/>
      </c>
      <c r="AE236" s="0" t="str">
        <f aca="false">IF(Y236=1,"",IF(AND(AA236=1,AC236&lt;&gt;1),1,0))</f>
        <v/>
      </c>
      <c r="AF236" s="45" t="str">
        <f aca="false">IF(AND(E236&gt;0,Y236&lt;1,NOT(AND(C237=C236,Y237=Y236+1))),INDEX(DATAS,Y236+1),"")</f>
        <v/>
      </c>
      <c r="AG236" s="45" t="str">
        <f aca="false">IF(AND(AA236=1,Y236&lt;1),IF(AND(C237=C236,Y237=Y236+1),IF(AA237=1,"",INDEX(DATAS,Y236+1)),INDEX(DATAS,Y236+1)),"")</f>
        <v/>
      </c>
    </row>
    <row r="237" customFormat="false" ht="15" hidden="false" customHeight="false" outlineLevel="0" collapsed="false">
      <c r="A237" s="45" t="n">
        <v>46309</v>
      </c>
      <c r="B237" s="0" t="n">
        <v>6</v>
      </c>
      <c r="C237" s="0" t="n">
        <v>3723</v>
      </c>
      <c r="D237" s="0" t="n">
        <v>259</v>
      </c>
      <c r="E237" s="0" t="n">
        <v>3</v>
      </c>
      <c r="F237" s="39" t="s">
        <v>313</v>
      </c>
      <c r="G237" s="0" t="n">
        <v>30.5</v>
      </c>
      <c r="H237" s="0" t="n">
        <v>27</v>
      </c>
      <c r="I237" s="39" t="s">
        <v>138</v>
      </c>
      <c r="J237" s="0" t="n">
        <v>259</v>
      </c>
      <c r="K237" s="0" t="n">
        <v>74</v>
      </c>
      <c r="M237" s="0" t="n">
        <v>533.27</v>
      </c>
      <c r="N237" s="0" t="n">
        <v>18.57</v>
      </c>
      <c r="O237" s="0" t="n">
        <v>23.08</v>
      </c>
      <c r="P237" s="0" t="n">
        <v>4.51</v>
      </c>
      <c r="Q237" s="0" t="n">
        <v>3.89</v>
      </c>
      <c r="R237" s="0" t="n">
        <v>3842</v>
      </c>
      <c r="S237" s="0" t="n">
        <v>7582</v>
      </c>
      <c r="T237" s="0" t="n">
        <v>41</v>
      </c>
      <c r="U237" s="0" t="n">
        <v>1796</v>
      </c>
      <c r="V237" s="0" t="n">
        <v>5</v>
      </c>
      <c r="W237" s="39" t="n">
        <f aca="false">IF(I237="Male",0,1)</f>
        <v>1</v>
      </c>
      <c r="X237" s="39" t="n">
        <f aca="false">IF(OR(I237="DNB",I237="Dry DNB"),1,0)</f>
        <v>0</v>
      </c>
      <c r="Y237" s="39" t="n">
        <f aca="false">MATCH(A237,DATAS,0)</f>
        <v>1</v>
      </c>
      <c r="Z237" s="39" t="n">
        <f aca="false">IF(AND(E237&gt;0,OR(AND(B237&gt;=1,B237&lt;=6),B237=10)),1,0)</f>
        <v>1</v>
      </c>
      <c r="AA237" s="39" t="n">
        <f aca="false">IF(AND(E237&gt;0,B237=10),1,0)</f>
        <v>0</v>
      </c>
      <c r="AB237" s="0" t="str">
        <f aca="false">IF(AND(C236=C237,Y236=Y237-1),Z236,"")</f>
        <v/>
      </c>
      <c r="AC237" s="0" t="str">
        <f aca="false">IF(AND(C236=C237,Y236=Y237-1),AA236,"")</f>
        <v/>
      </c>
      <c r="AD237" s="0" t="str">
        <f aca="false">IF(Y237=1,"",IF(AND(Z237=1,AB237&lt;&gt;1),1,0))</f>
        <v/>
      </c>
      <c r="AE237" s="0" t="str">
        <f aca="false">IF(Y237=1,"",IF(AND(AA237=1,AC237&lt;&gt;1),1,0))</f>
        <v/>
      </c>
      <c r="AF237" s="45" t="str">
        <f aca="false">IF(AND(E237&gt;0,Y237&lt;1,NOT(AND(C238=C237,Y238=Y237+1))),INDEX(DATAS,Y237+1),"")</f>
        <v/>
      </c>
      <c r="AG237" s="45" t="str">
        <f aca="false">IF(AND(AA237=1,Y237&lt;1),IF(AND(C238=C237,Y238=Y237+1),IF(AA238=1,"",INDEX(DATAS,Y237+1)),INDEX(DATAS,Y237+1)),"")</f>
        <v/>
      </c>
    </row>
    <row r="238" customFormat="false" ht="15" hidden="false" customHeight="false" outlineLevel="0" collapsed="false">
      <c r="A238" s="45" t="n">
        <v>46309</v>
      </c>
      <c r="B238" s="0" t="n">
        <v>14</v>
      </c>
      <c r="C238" s="0" t="n">
        <v>3728</v>
      </c>
      <c r="D238" s="0" t="n">
        <v>326</v>
      </c>
      <c r="E238" s="0" t="n">
        <v>3</v>
      </c>
      <c r="F238" s="39" t="s">
        <v>314</v>
      </c>
      <c r="I238" s="39" t="s">
        <v>114</v>
      </c>
      <c r="J238" s="0" t="n">
        <v>103</v>
      </c>
      <c r="K238" s="0" t="n">
        <v>69</v>
      </c>
      <c r="L238" s="0" t="n">
        <v>266</v>
      </c>
      <c r="M238" s="0" t="n">
        <v>560.54</v>
      </c>
      <c r="N238" s="0" t="n">
        <v>46.39</v>
      </c>
      <c r="O238" s="0" t="n">
        <v>31.19</v>
      </c>
      <c r="P238" s="0" t="n">
        <v>4.34</v>
      </c>
      <c r="Q238" s="0" t="n">
        <v>3.66</v>
      </c>
      <c r="R238" s="0" t="n">
        <v>4808</v>
      </c>
      <c r="S238" s="0" t="n">
        <v>10092</v>
      </c>
      <c r="T238" s="0" t="n">
        <v>51.85</v>
      </c>
      <c r="U238" s="0" t="n">
        <v>1794</v>
      </c>
      <c r="V238" s="0" t="n">
        <v>2</v>
      </c>
      <c r="W238" s="39" t="n">
        <f aca="false">IF(I238="Male",0,1)</f>
        <v>1</v>
      </c>
      <c r="X238" s="39" t="n">
        <f aca="false">IF(OR(I238="DNB",I238="Dry DNB"),1,0)</f>
        <v>0</v>
      </c>
      <c r="Y238" s="39" t="n">
        <f aca="false">MATCH(A238,DATAS,0)</f>
        <v>1</v>
      </c>
      <c r="Z238" s="39" t="n">
        <f aca="false">IF(AND(E238&gt;0,OR(AND(B238&gt;=1,B238&lt;=6),B238=10)),1,0)</f>
        <v>0</v>
      </c>
      <c r="AA238" s="39" t="n">
        <f aca="false">IF(AND(E238&gt;0,B238=10),1,0)</f>
        <v>0</v>
      </c>
      <c r="AB238" s="0" t="str">
        <f aca="false">IF(AND(C237=C238,Y237=Y238-1),Z237,"")</f>
        <v/>
      </c>
      <c r="AC238" s="0" t="str">
        <f aca="false">IF(AND(C237=C238,Y237=Y238-1),AA237,"")</f>
        <v/>
      </c>
      <c r="AD238" s="0" t="str">
        <f aca="false">IF(Y238=1,"",IF(AND(Z238=1,AB238&lt;&gt;1),1,0))</f>
        <v/>
      </c>
      <c r="AE238" s="0" t="str">
        <f aca="false">IF(Y238=1,"",IF(AND(AA238=1,AC238&lt;&gt;1),1,0))</f>
        <v/>
      </c>
      <c r="AF238" s="45" t="str">
        <f aca="false">IF(AND(E238&gt;0,Y238&lt;1,NOT(AND(C239=C238,Y239=Y238+1))),INDEX(DATAS,Y238+1),"")</f>
        <v/>
      </c>
      <c r="AG238" s="45" t="str">
        <f aca="false">IF(AND(AA238=1,Y238&lt;1),IF(AND(C239=C238,Y239=Y238+1),IF(AA239=1,"",INDEX(DATAS,Y238+1)),INDEX(DATAS,Y238+1)),"")</f>
        <v/>
      </c>
    </row>
    <row r="239" customFormat="false" ht="15" hidden="false" customHeight="false" outlineLevel="0" collapsed="false">
      <c r="A239" s="45" t="n">
        <v>46309</v>
      </c>
      <c r="B239" s="0" t="n">
        <v>6</v>
      </c>
      <c r="C239" s="0" t="n">
        <v>3736</v>
      </c>
      <c r="D239" s="0" t="n">
        <v>152</v>
      </c>
      <c r="E239" s="0" t="n">
        <v>4</v>
      </c>
      <c r="F239" s="39" t="s">
        <v>315</v>
      </c>
      <c r="G239" s="0" t="n">
        <v>31.7</v>
      </c>
      <c r="H239" s="0" t="n">
        <v>30</v>
      </c>
      <c r="I239" s="39" t="s">
        <v>146</v>
      </c>
      <c r="J239" s="0" t="n">
        <v>152</v>
      </c>
      <c r="K239" s="0" t="n">
        <v>68</v>
      </c>
      <c r="M239" s="0" t="n">
        <v>-51.28</v>
      </c>
      <c r="N239" s="0" t="n">
        <v>44.77</v>
      </c>
      <c r="O239" s="0" t="n">
        <v>14.87</v>
      </c>
      <c r="P239" s="0" t="n">
        <v>4.72</v>
      </c>
      <c r="Q239" s="0" t="n">
        <v>3.54</v>
      </c>
      <c r="R239" s="0" t="n">
        <v>3379</v>
      </c>
      <c r="S239" s="0" t="n">
        <v>6459</v>
      </c>
      <c r="T239" s="0" t="n">
        <v>39</v>
      </c>
      <c r="U239" s="0" t="n">
        <v>1784</v>
      </c>
      <c r="V239" s="0" t="n">
        <v>2</v>
      </c>
      <c r="W239" s="39" t="n">
        <f aca="false">IF(I239="Male",0,1)</f>
        <v>1</v>
      </c>
      <c r="X239" s="39" t="n">
        <f aca="false">IF(OR(I239="DNB",I239="Dry DNB"),1,0)</f>
        <v>0</v>
      </c>
      <c r="Y239" s="39" t="n">
        <f aca="false">MATCH(A239,DATAS,0)</f>
        <v>1</v>
      </c>
      <c r="Z239" s="39" t="n">
        <f aca="false">IF(AND(E239&gt;0,OR(AND(B239&gt;=1,B239&lt;=6),B239=10)),1,0)</f>
        <v>1</v>
      </c>
      <c r="AA239" s="39" t="n">
        <f aca="false">IF(AND(E239&gt;0,B239=10),1,0)</f>
        <v>0</v>
      </c>
      <c r="AB239" s="0" t="str">
        <f aca="false">IF(AND(C238=C239,Y238=Y239-1),Z238,"")</f>
        <v/>
      </c>
      <c r="AC239" s="0" t="str">
        <f aca="false">IF(AND(C238=C239,Y238=Y239-1),AA238,"")</f>
        <v/>
      </c>
      <c r="AD239" s="0" t="str">
        <f aca="false">IF(Y239=1,"",IF(AND(Z239=1,AB239&lt;&gt;1),1,0))</f>
        <v/>
      </c>
      <c r="AE239" s="0" t="str">
        <f aca="false">IF(Y239=1,"",IF(AND(AA239=1,AC239&lt;&gt;1),1,0))</f>
        <v/>
      </c>
      <c r="AF239" s="45" t="str">
        <f aca="false">IF(AND(E239&gt;0,Y239&lt;1,NOT(AND(C240=C239,Y240=Y239+1))),INDEX(DATAS,Y239+1),"")</f>
        <v/>
      </c>
      <c r="AG239" s="45" t="str">
        <f aca="false">IF(AND(AA239=1,Y239&lt;1),IF(AND(C240=C239,Y240=Y239+1),IF(AA240=1,"",INDEX(DATAS,Y239+1)),INDEX(DATAS,Y239+1)),"")</f>
        <v/>
      </c>
    </row>
    <row r="240" customFormat="false" ht="15" hidden="false" customHeight="false" outlineLevel="0" collapsed="false">
      <c r="A240" s="45" t="n">
        <v>46309</v>
      </c>
      <c r="B240" s="0" t="n">
        <v>2</v>
      </c>
      <c r="C240" s="0" t="n">
        <v>3737</v>
      </c>
      <c r="D240" s="0" t="n">
        <v>101</v>
      </c>
      <c r="E240" s="0" t="n">
        <v>4</v>
      </c>
      <c r="F240" s="39" t="s">
        <v>315</v>
      </c>
      <c r="G240" s="0" t="n">
        <v>71.2</v>
      </c>
      <c r="H240" s="0" t="n">
        <v>67</v>
      </c>
      <c r="I240" s="39" t="s">
        <v>138</v>
      </c>
      <c r="J240" s="0" t="n">
        <v>101</v>
      </c>
      <c r="K240" s="0" t="n">
        <v>66</v>
      </c>
      <c r="M240" s="0" t="n">
        <v>172.09</v>
      </c>
      <c r="N240" s="0" t="n">
        <v>44.07</v>
      </c>
      <c r="O240" s="0" t="n">
        <v>26.29</v>
      </c>
      <c r="P240" s="0" t="n">
        <v>3.49</v>
      </c>
      <c r="Q240" s="0" t="n">
        <v>3.09</v>
      </c>
      <c r="R240" s="0" t="n">
        <v>6174</v>
      </c>
      <c r="S240" s="0" t="n">
        <v>12419</v>
      </c>
      <c r="T240" s="0" t="n">
        <v>65.8</v>
      </c>
      <c r="U240" s="0" t="n">
        <v>1784</v>
      </c>
      <c r="V240" s="0" t="n">
        <v>2</v>
      </c>
      <c r="W240" s="39" t="n">
        <f aca="false">IF(I240="Male",0,1)</f>
        <v>1</v>
      </c>
      <c r="X240" s="39" t="n">
        <f aca="false">IF(OR(I240="DNB",I240="Dry DNB"),1,0)</f>
        <v>0</v>
      </c>
      <c r="Y240" s="39" t="n">
        <f aca="false">MATCH(A240,DATAS,0)</f>
        <v>1</v>
      </c>
      <c r="Z240" s="39" t="n">
        <f aca="false">IF(AND(E240&gt;0,OR(AND(B240&gt;=1,B240&lt;=6),B240=10)),1,0)</f>
        <v>1</v>
      </c>
      <c r="AA240" s="39" t="n">
        <f aca="false">IF(AND(E240&gt;0,B240=10),1,0)</f>
        <v>0</v>
      </c>
      <c r="AB240" s="0" t="str">
        <f aca="false">IF(AND(C239=C240,Y239=Y240-1),Z239,"")</f>
        <v/>
      </c>
      <c r="AC240" s="0" t="str">
        <f aca="false">IF(AND(C239=C240,Y239=Y240-1),AA239,"")</f>
        <v/>
      </c>
      <c r="AD240" s="0" t="str">
        <f aca="false">IF(Y240=1,"",IF(AND(Z240=1,AB240&lt;&gt;1),1,0))</f>
        <v/>
      </c>
      <c r="AE240" s="0" t="str">
        <f aca="false">IF(Y240=1,"",IF(AND(AA240=1,AC240&lt;&gt;1),1,0))</f>
        <v/>
      </c>
      <c r="AF240" s="45" t="str">
        <f aca="false">IF(AND(E240&gt;0,Y240&lt;1,NOT(AND(C241=C240,Y241=Y240+1))),INDEX(DATAS,Y240+1),"")</f>
        <v/>
      </c>
      <c r="AG240" s="45" t="str">
        <f aca="false">IF(AND(AA240=1,Y240&lt;1),IF(AND(C241=C240,Y241=Y240+1),IF(AA241=1,"",INDEX(DATAS,Y240+1)),INDEX(DATAS,Y240+1)),"")</f>
        <v/>
      </c>
    </row>
    <row r="241" customFormat="false" ht="15" hidden="false" customHeight="false" outlineLevel="0" collapsed="false">
      <c r="A241" s="45" t="n">
        <v>46309</v>
      </c>
      <c r="B241" s="0" t="n">
        <v>6</v>
      </c>
      <c r="C241" s="0" t="n">
        <v>3739</v>
      </c>
      <c r="D241" s="0" t="n">
        <v>266</v>
      </c>
      <c r="E241" s="0" t="n">
        <v>2</v>
      </c>
      <c r="F241" s="39" t="s">
        <v>316</v>
      </c>
      <c r="H241" s="0" t="n">
        <v>16</v>
      </c>
      <c r="I241" s="39" t="s">
        <v>109</v>
      </c>
      <c r="J241" s="0" t="n">
        <v>133</v>
      </c>
      <c r="K241" s="0" t="n">
        <v>70</v>
      </c>
      <c r="L241" s="0" t="n">
        <v>133</v>
      </c>
      <c r="M241" s="0" t="n">
        <v>664.1</v>
      </c>
      <c r="N241" s="0" t="n">
        <v>36.77</v>
      </c>
      <c r="O241" s="0" t="n">
        <v>30.74</v>
      </c>
      <c r="P241" s="0" t="n">
        <v>4.08</v>
      </c>
      <c r="Q241" s="0" t="n">
        <v>3.94</v>
      </c>
      <c r="R241" s="0" t="n">
        <v>5204</v>
      </c>
      <c r="S241" s="0" t="n">
        <v>10115</v>
      </c>
      <c r="T241" s="0" t="n">
        <v>58.75</v>
      </c>
      <c r="U241" s="0" t="n">
        <v>1783</v>
      </c>
      <c r="V241" s="0" t="n">
        <v>3</v>
      </c>
      <c r="W241" s="39" t="n">
        <f aca="false">IF(I241="Male",0,1)</f>
        <v>1</v>
      </c>
      <c r="X241" s="39" t="n">
        <f aca="false">IF(OR(I241="DNB",I241="Dry DNB"),1,0)</f>
        <v>0</v>
      </c>
      <c r="Y241" s="39" t="n">
        <f aca="false">MATCH(A241,DATAS,0)</f>
        <v>1</v>
      </c>
      <c r="Z241" s="39" t="n">
        <f aca="false">IF(AND(E241&gt;0,OR(AND(B241&gt;=1,B241&lt;=6),B241=10)),1,0)</f>
        <v>1</v>
      </c>
      <c r="AA241" s="39" t="n">
        <f aca="false">IF(AND(E241&gt;0,B241=10),1,0)</f>
        <v>0</v>
      </c>
      <c r="AB241" s="0" t="str">
        <f aca="false">IF(AND(C240=C241,Y240=Y241-1),Z240,"")</f>
        <v/>
      </c>
      <c r="AC241" s="0" t="str">
        <f aca="false">IF(AND(C240=C241,Y240=Y241-1),AA240,"")</f>
        <v/>
      </c>
      <c r="AD241" s="0" t="str">
        <f aca="false">IF(Y241=1,"",IF(AND(Z241=1,AB241&lt;&gt;1),1,0))</f>
        <v/>
      </c>
      <c r="AE241" s="0" t="str">
        <f aca="false">IF(Y241=1,"",IF(AND(AA241=1,AC241&lt;&gt;1),1,0))</f>
        <v/>
      </c>
      <c r="AF241" s="45" t="str">
        <f aca="false">IF(AND(E241&gt;0,Y241&lt;1,NOT(AND(C242=C241,Y242=Y241+1))),INDEX(DATAS,Y241+1),"")</f>
        <v/>
      </c>
      <c r="AG241" s="45" t="str">
        <f aca="false">IF(AND(AA241=1,Y241&lt;1),IF(AND(C242=C241,Y242=Y241+1),IF(AA242=1,"",INDEX(DATAS,Y241+1)),INDEX(DATAS,Y241+1)),"")</f>
        <v/>
      </c>
    </row>
    <row r="242" customFormat="false" ht="15" hidden="false" customHeight="false" outlineLevel="0" collapsed="false">
      <c r="A242" s="45" t="n">
        <v>46309</v>
      </c>
      <c r="B242" s="0" t="n">
        <v>6</v>
      </c>
      <c r="C242" s="0" t="n">
        <v>3740</v>
      </c>
      <c r="D242" s="0" t="n">
        <v>281</v>
      </c>
      <c r="E242" s="0" t="n">
        <v>3</v>
      </c>
      <c r="F242" s="39" t="s">
        <v>317</v>
      </c>
      <c r="G242" s="0" t="n">
        <v>27.7</v>
      </c>
      <c r="H242" s="0" t="n">
        <v>28</v>
      </c>
      <c r="I242" s="39" t="s">
        <v>109</v>
      </c>
      <c r="J242" s="0" t="n">
        <v>134</v>
      </c>
      <c r="K242" s="0" t="n">
        <v>71</v>
      </c>
      <c r="L242" s="0" t="n">
        <v>147</v>
      </c>
      <c r="M242" s="0" t="n">
        <v>709.64</v>
      </c>
      <c r="N242" s="0" t="n">
        <v>66.91</v>
      </c>
      <c r="O242" s="0" t="n">
        <v>29.65</v>
      </c>
      <c r="P242" s="0" t="n">
        <v>5.59</v>
      </c>
      <c r="Q242" s="0" t="n">
        <v>3.44</v>
      </c>
      <c r="R242" s="0" t="n">
        <v>6111</v>
      </c>
      <c r="S242" s="0" t="n">
        <v>11767</v>
      </c>
      <c r="T242" s="0" t="n">
        <v>63.75</v>
      </c>
      <c r="U242" s="0" t="n">
        <v>1781</v>
      </c>
      <c r="V242" s="0" t="n">
        <v>3</v>
      </c>
      <c r="W242" s="39" t="n">
        <f aca="false">IF(I242="Male",0,1)</f>
        <v>1</v>
      </c>
      <c r="X242" s="39" t="n">
        <f aca="false">IF(OR(I242="DNB",I242="Dry DNB"),1,0)</f>
        <v>0</v>
      </c>
      <c r="Y242" s="39" t="n">
        <f aca="false">MATCH(A242,DATAS,0)</f>
        <v>1</v>
      </c>
      <c r="Z242" s="39" t="n">
        <f aca="false">IF(AND(E242&gt;0,OR(AND(B242&gt;=1,B242&lt;=6),B242=10)),1,0)</f>
        <v>1</v>
      </c>
      <c r="AA242" s="39" t="n">
        <f aca="false">IF(AND(E242&gt;0,B242=10),1,0)</f>
        <v>0</v>
      </c>
      <c r="AB242" s="0" t="str">
        <f aca="false">IF(AND(C241=C242,Y241=Y242-1),Z241,"")</f>
        <v/>
      </c>
      <c r="AC242" s="0" t="str">
        <f aca="false">IF(AND(C241=C242,Y241=Y242-1),AA241,"")</f>
        <v/>
      </c>
      <c r="AD242" s="0" t="str">
        <f aca="false">IF(Y242=1,"",IF(AND(Z242=1,AB242&lt;&gt;1),1,0))</f>
        <v/>
      </c>
      <c r="AE242" s="0" t="str">
        <f aca="false">IF(Y242=1,"",IF(AND(AA242=1,AC242&lt;&gt;1),1,0))</f>
        <v/>
      </c>
      <c r="AF242" s="45" t="str">
        <f aca="false">IF(AND(E242&gt;0,Y242&lt;1,NOT(AND(C243=C242,Y243=Y242+1))),INDEX(DATAS,Y242+1),"")</f>
        <v/>
      </c>
      <c r="AG242" s="45" t="str">
        <f aca="false">IF(AND(AA242=1,Y242&lt;1),IF(AND(C243=C242,Y243=Y242+1),IF(AA243=1,"",INDEX(DATAS,Y242+1)),INDEX(DATAS,Y242+1)),"")</f>
        <v/>
      </c>
    </row>
    <row r="243" customFormat="false" ht="15" hidden="false" customHeight="false" outlineLevel="0" collapsed="false">
      <c r="A243" s="45" t="n">
        <v>46309</v>
      </c>
      <c r="B243" s="0" t="n">
        <v>7</v>
      </c>
      <c r="C243" s="0" t="n">
        <v>3742</v>
      </c>
      <c r="D243" s="0" t="n">
        <v>504</v>
      </c>
      <c r="E243" s="0" t="n">
        <v>2</v>
      </c>
      <c r="F243" s="39" t="s">
        <v>318</v>
      </c>
      <c r="I243" s="39" t="s">
        <v>114</v>
      </c>
      <c r="J243" s="0" t="n">
        <v>337</v>
      </c>
      <c r="K243" s="0" t="n">
        <v>65</v>
      </c>
      <c r="L243" s="0" t="n">
        <v>238</v>
      </c>
      <c r="M243" s="0" t="n">
        <v>1533.47</v>
      </c>
      <c r="N243" s="0" t="n">
        <v>58.52</v>
      </c>
      <c r="O243" s="0" t="n">
        <v>33.88</v>
      </c>
      <c r="P243" s="0" t="n">
        <v>4.25</v>
      </c>
      <c r="Q243" s="0" t="n">
        <v>3.7</v>
      </c>
      <c r="R243" s="0" t="n">
        <v>4243</v>
      </c>
      <c r="S243" s="0" t="n">
        <v>8414</v>
      </c>
      <c r="T243" s="0" t="n">
        <v>41.8</v>
      </c>
      <c r="U243" s="0" t="n">
        <v>1779</v>
      </c>
      <c r="V243" s="0" t="n">
        <v>4</v>
      </c>
      <c r="W243" s="39" t="n">
        <f aca="false">IF(I243="Male",0,1)</f>
        <v>1</v>
      </c>
      <c r="X243" s="39" t="n">
        <f aca="false">IF(OR(I243="DNB",I243="Dry DNB"),1,0)</f>
        <v>0</v>
      </c>
      <c r="Y243" s="39" t="n">
        <f aca="false">MATCH(A243,DATAS,0)</f>
        <v>1</v>
      </c>
      <c r="Z243" s="39" t="n">
        <f aca="false">IF(AND(E243&gt;0,OR(AND(B243&gt;=1,B243&lt;=6),B243=10)),1,0)</f>
        <v>0</v>
      </c>
      <c r="AA243" s="39" t="n">
        <f aca="false">IF(AND(E243&gt;0,B243=10),1,0)</f>
        <v>0</v>
      </c>
      <c r="AB243" s="0" t="str">
        <f aca="false">IF(AND(C242=C243,Y242=Y243-1),Z242,"")</f>
        <v/>
      </c>
      <c r="AC243" s="0" t="str">
        <f aca="false">IF(AND(C242=C243,Y242=Y243-1),AA242,"")</f>
        <v/>
      </c>
      <c r="AD243" s="0" t="str">
        <f aca="false">IF(Y243=1,"",IF(AND(Z243=1,AB243&lt;&gt;1),1,0))</f>
        <v/>
      </c>
      <c r="AE243" s="0" t="str">
        <f aca="false">IF(Y243=1,"",IF(AND(AA243=1,AC243&lt;&gt;1),1,0))</f>
        <v/>
      </c>
      <c r="AF243" s="45" t="str">
        <f aca="false">IF(AND(E243&gt;0,Y243&lt;1,NOT(AND(C244=C243,Y244=Y243+1))),INDEX(DATAS,Y243+1),"")</f>
        <v/>
      </c>
      <c r="AG243" s="45" t="str">
        <f aca="false">IF(AND(AA243=1,Y243&lt;1),IF(AND(C244=C243,Y244=Y243+1),IF(AA244=1,"",INDEX(DATAS,Y243+1)),INDEX(DATAS,Y243+1)),"")</f>
        <v/>
      </c>
    </row>
    <row r="244" customFormat="false" ht="15" hidden="false" customHeight="false" outlineLevel="0" collapsed="false">
      <c r="A244" s="45" t="n">
        <v>46309</v>
      </c>
      <c r="B244" s="0" t="n">
        <v>3</v>
      </c>
      <c r="C244" s="0" t="n">
        <v>3743</v>
      </c>
      <c r="D244" s="0" t="n">
        <v>213</v>
      </c>
      <c r="E244" s="0" t="n">
        <v>3</v>
      </c>
      <c r="F244" s="39" t="s">
        <v>318</v>
      </c>
      <c r="G244" s="0" t="n">
        <v>62.2</v>
      </c>
      <c r="H244" s="0" t="n">
        <v>61</v>
      </c>
      <c r="I244" s="39" t="s">
        <v>146</v>
      </c>
      <c r="J244" s="0" t="n">
        <v>213</v>
      </c>
      <c r="K244" s="0" t="n">
        <v>62</v>
      </c>
      <c r="M244" s="0" t="n">
        <v>729.1</v>
      </c>
      <c r="N244" s="0" t="n">
        <v>37.32</v>
      </c>
      <c r="O244" s="0" t="n">
        <v>35.64</v>
      </c>
      <c r="P244" s="0" t="n">
        <v>2.94</v>
      </c>
      <c r="Q244" s="0" t="n">
        <v>3.54</v>
      </c>
      <c r="R244" s="0" t="n">
        <v>5831</v>
      </c>
      <c r="S244" s="0" t="n">
        <v>11646</v>
      </c>
      <c r="T244" s="0" t="n">
        <v>68.6</v>
      </c>
      <c r="U244" s="0" t="n">
        <v>1779</v>
      </c>
      <c r="V244" s="0" t="n">
        <v>2</v>
      </c>
      <c r="W244" s="39" t="n">
        <f aca="false">IF(I244="Male",0,1)</f>
        <v>1</v>
      </c>
      <c r="X244" s="39" t="n">
        <f aca="false">IF(OR(I244="DNB",I244="Dry DNB"),1,0)</f>
        <v>0</v>
      </c>
      <c r="Y244" s="39" t="n">
        <f aca="false">MATCH(A244,DATAS,0)</f>
        <v>1</v>
      </c>
      <c r="Z244" s="39" t="n">
        <f aca="false">IF(AND(E244&gt;0,OR(AND(B244&gt;=1,B244&lt;=6),B244=10)),1,0)</f>
        <v>1</v>
      </c>
      <c r="AA244" s="39" t="n">
        <f aca="false">IF(AND(E244&gt;0,B244=10),1,0)</f>
        <v>0</v>
      </c>
      <c r="AB244" s="0" t="str">
        <f aca="false">IF(AND(C243=C244,Y243=Y244-1),Z243,"")</f>
        <v/>
      </c>
      <c r="AC244" s="0" t="str">
        <f aca="false">IF(AND(C243=C244,Y243=Y244-1),AA243,"")</f>
        <v/>
      </c>
      <c r="AD244" s="0" t="str">
        <f aca="false">IF(Y244=1,"",IF(AND(Z244=1,AB244&lt;&gt;1),1,0))</f>
        <v/>
      </c>
      <c r="AE244" s="0" t="str">
        <f aca="false">IF(Y244=1,"",IF(AND(AA244=1,AC244&lt;&gt;1),1,0))</f>
        <v/>
      </c>
      <c r="AF244" s="45" t="str">
        <f aca="false">IF(AND(E244&gt;0,Y244&lt;1,NOT(AND(C245=C244,Y245=Y244+1))),INDEX(DATAS,Y244+1),"")</f>
        <v/>
      </c>
      <c r="AG244" s="45" t="str">
        <f aca="false">IF(AND(AA244=1,Y244&lt;1),IF(AND(C245=C244,Y245=Y244+1),IF(AA245=1,"",INDEX(DATAS,Y244+1)),INDEX(DATAS,Y244+1)),"")</f>
        <v/>
      </c>
    </row>
    <row r="245" customFormat="false" ht="15" hidden="false" customHeight="false" outlineLevel="0" collapsed="false">
      <c r="A245" s="45" t="n">
        <v>46309</v>
      </c>
      <c r="B245" s="0" t="n">
        <v>7</v>
      </c>
      <c r="C245" s="0" t="n">
        <v>3746</v>
      </c>
      <c r="D245" s="0" t="n">
        <v>191</v>
      </c>
      <c r="E245" s="0" t="n">
        <v>3</v>
      </c>
      <c r="F245" s="39" t="s">
        <v>319</v>
      </c>
      <c r="I245" s="39" t="s">
        <v>114</v>
      </c>
      <c r="J245" s="0" t="n">
        <v>115</v>
      </c>
      <c r="K245" s="0" t="n">
        <v>115</v>
      </c>
      <c r="L245" s="0" t="n">
        <v>224</v>
      </c>
      <c r="M245" s="0" t="n">
        <v>1012.24</v>
      </c>
      <c r="N245" s="0" t="n">
        <v>70.35</v>
      </c>
      <c r="O245" s="0" t="n">
        <v>42.61</v>
      </c>
      <c r="P245" s="0" t="n">
        <v>4.15</v>
      </c>
      <c r="Q245" s="0" t="n">
        <v>3.63</v>
      </c>
      <c r="R245" s="0" t="n">
        <v>2912</v>
      </c>
      <c r="S245" s="0" t="n">
        <v>4610</v>
      </c>
      <c r="T245" s="0" t="n">
        <v>40.4</v>
      </c>
      <c r="U245" s="0" t="n">
        <v>1777</v>
      </c>
      <c r="V245" s="0" t="n">
        <v>1</v>
      </c>
      <c r="W245" s="39" t="n">
        <f aca="false">IF(I245="Male",0,1)</f>
        <v>1</v>
      </c>
      <c r="X245" s="39" t="n">
        <f aca="false">IF(OR(I245="DNB",I245="Dry DNB"),1,0)</f>
        <v>0</v>
      </c>
      <c r="Y245" s="39" t="n">
        <f aca="false">MATCH(A245,DATAS,0)</f>
        <v>1</v>
      </c>
      <c r="Z245" s="39" t="n">
        <f aca="false">IF(AND(E245&gt;0,OR(AND(B245&gt;=1,B245&lt;=6),B245=10)),1,0)</f>
        <v>0</v>
      </c>
      <c r="AA245" s="39" t="n">
        <f aca="false">IF(AND(E245&gt;0,B245=10),1,0)</f>
        <v>0</v>
      </c>
      <c r="AB245" s="0" t="str">
        <f aca="false">IF(AND(C244=C245,Y244=Y245-1),Z244,"")</f>
        <v/>
      </c>
      <c r="AC245" s="0" t="str">
        <f aca="false">IF(AND(C244=C245,Y244=Y245-1),AA244,"")</f>
        <v/>
      </c>
      <c r="AD245" s="0" t="str">
        <f aca="false">IF(Y245=1,"",IF(AND(Z245=1,AB245&lt;&gt;1),1,0))</f>
        <v/>
      </c>
      <c r="AE245" s="0" t="str">
        <f aca="false">IF(Y245=1,"",IF(AND(AA245=1,AC245&lt;&gt;1),1,0))</f>
        <v/>
      </c>
      <c r="AF245" s="45" t="str">
        <f aca="false">IF(AND(E245&gt;0,Y245&lt;1,NOT(AND(C246=C245,Y246=Y245+1))),INDEX(DATAS,Y245+1),"")</f>
        <v/>
      </c>
      <c r="AG245" s="45" t="str">
        <f aca="false">IF(AND(AA245=1,Y245&lt;1),IF(AND(C246=C245,Y246=Y245+1),IF(AA246=1,"",INDEX(DATAS,Y245+1)),INDEX(DATAS,Y245+1)),"")</f>
        <v/>
      </c>
    </row>
    <row r="246" customFormat="false" ht="15" hidden="false" customHeight="false" outlineLevel="0" collapsed="false">
      <c r="A246" s="45" t="n">
        <v>46309</v>
      </c>
      <c r="B246" s="0" t="n">
        <v>3</v>
      </c>
      <c r="C246" s="0" t="n">
        <v>3747</v>
      </c>
      <c r="D246" s="0" t="n">
        <v>186</v>
      </c>
      <c r="E246" s="0" t="n">
        <v>3</v>
      </c>
      <c r="F246" s="39" t="s">
        <v>319</v>
      </c>
      <c r="G246" s="0" t="n">
        <v>63.3</v>
      </c>
      <c r="H246" s="0" t="n">
        <v>61</v>
      </c>
      <c r="I246" s="39" t="s">
        <v>109</v>
      </c>
      <c r="J246" s="0" t="n">
        <v>102</v>
      </c>
      <c r="K246" s="0" t="n">
        <v>67</v>
      </c>
      <c r="L246" s="0" t="n">
        <v>84</v>
      </c>
      <c r="M246" s="0" t="n">
        <v>-645.34</v>
      </c>
      <c r="N246" s="0" t="n">
        <v>16.08</v>
      </c>
      <c r="O246" s="0" t="n">
        <v>-5.04</v>
      </c>
      <c r="P246" s="0" t="n">
        <v>3.71</v>
      </c>
      <c r="Q246" s="0" t="n">
        <v>3.22</v>
      </c>
      <c r="R246" s="0" t="n">
        <v>6287</v>
      </c>
      <c r="S246" s="0" t="n">
        <v>12524</v>
      </c>
      <c r="T246" s="0" t="n">
        <v>63.15</v>
      </c>
      <c r="U246" s="0" t="n">
        <v>1777</v>
      </c>
      <c r="V246" s="0" t="n">
        <v>2</v>
      </c>
      <c r="W246" s="39" t="n">
        <f aca="false">IF(I246="Male",0,1)</f>
        <v>1</v>
      </c>
      <c r="X246" s="39" t="n">
        <f aca="false">IF(OR(I246="DNB",I246="Dry DNB"),1,0)</f>
        <v>0</v>
      </c>
      <c r="Y246" s="39" t="n">
        <f aca="false">MATCH(A246,DATAS,0)</f>
        <v>1</v>
      </c>
      <c r="Z246" s="39" t="n">
        <f aca="false">IF(AND(E246&gt;0,OR(AND(B246&gt;=1,B246&lt;=6),B246=10)),1,0)</f>
        <v>1</v>
      </c>
      <c r="AA246" s="39" t="n">
        <f aca="false">IF(AND(E246&gt;0,B246=10),1,0)</f>
        <v>0</v>
      </c>
      <c r="AB246" s="0" t="str">
        <f aca="false">IF(AND(C245=C246,Y245=Y246-1),Z245,"")</f>
        <v/>
      </c>
      <c r="AC246" s="0" t="str">
        <f aca="false">IF(AND(C245=C246,Y245=Y246-1),AA245,"")</f>
        <v/>
      </c>
      <c r="AD246" s="0" t="str">
        <f aca="false">IF(Y246=1,"",IF(AND(Z246=1,AB246&lt;&gt;1),1,0))</f>
        <v/>
      </c>
      <c r="AE246" s="0" t="str">
        <f aca="false">IF(Y246=1,"",IF(AND(AA246=1,AC246&lt;&gt;1),1,0))</f>
        <v/>
      </c>
      <c r="AF246" s="45" t="str">
        <f aca="false">IF(AND(E246&gt;0,Y246&lt;1,NOT(AND(C247=C246,Y247=Y246+1))),INDEX(DATAS,Y246+1),"")</f>
        <v/>
      </c>
      <c r="AG246" s="45" t="str">
        <f aca="false">IF(AND(AA246=1,Y246&lt;1),IF(AND(C247=C246,Y247=Y246+1),IF(AA247=1,"",INDEX(DATAS,Y246+1)),INDEX(DATAS,Y246+1)),"")</f>
        <v/>
      </c>
    </row>
    <row r="247" customFormat="false" ht="15" hidden="false" customHeight="false" outlineLevel="0" collapsed="false">
      <c r="A247" s="45" t="n">
        <v>46309</v>
      </c>
      <c r="B247" s="0" t="n">
        <v>5</v>
      </c>
      <c r="C247" s="0" t="n">
        <v>3754</v>
      </c>
      <c r="D247" s="0" t="n">
        <v>320</v>
      </c>
      <c r="E247" s="0" t="n">
        <v>3</v>
      </c>
      <c r="F247" s="39" t="s">
        <v>320</v>
      </c>
      <c r="G247" s="0" t="n">
        <v>35.6</v>
      </c>
      <c r="H247" s="0" t="n">
        <v>42</v>
      </c>
      <c r="I247" s="39" t="s">
        <v>138</v>
      </c>
      <c r="J247" s="0" t="n">
        <v>320</v>
      </c>
      <c r="K247" s="0" t="n">
        <v>68</v>
      </c>
      <c r="M247" s="0" t="n">
        <v>1012.8</v>
      </c>
      <c r="N247" s="0" t="n">
        <v>65.22</v>
      </c>
      <c r="O247" s="0" t="n">
        <v>41.46</v>
      </c>
      <c r="P247" s="0" t="n">
        <v>5.72</v>
      </c>
      <c r="Q247" s="0" t="n">
        <v>4.6</v>
      </c>
      <c r="R247" s="0" t="n">
        <v>6382</v>
      </c>
      <c r="S247" s="0" t="n">
        <v>12606</v>
      </c>
      <c r="T247" s="0" t="n">
        <v>72.35</v>
      </c>
      <c r="U247" s="0" t="n">
        <v>1773</v>
      </c>
      <c r="V247" s="0" t="n">
        <v>8</v>
      </c>
      <c r="W247" s="39" t="n">
        <f aca="false">IF(I247="Male",0,1)</f>
        <v>1</v>
      </c>
      <c r="X247" s="39" t="n">
        <f aca="false">IF(OR(I247="DNB",I247="Dry DNB"),1,0)</f>
        <v>0</v>
      </c>
      <c r="Y247" s="39" t="n">
        <f aca="false">MATCH(A247,DATAS,0)</f>
        <v>1</v>
      </c>
      <c r="Z247" s="39" t="n">
        <f aca="false">IF(AND(E247&gt;0,OR(AND(B247&gt;=1,B247&lt;=6),B247=10)),1,0)</f>
        <v>1</v>
      </c>
      <c r="AA247" s="39" t="n">
        <f aca="false">IF(AND(E247&gt;0,B247=10),1,0)</f>
        <v>0</v>
      </c>
      <c r="AB247" s="0" t="str">
        <f aca="false">IF(AND(C246=C247,Y246=Y247-1),Z246,"")</f>
        <v/>
      </c>
      <c r="AC247" s="0" t="str">
        <f aca="false">IF(AND(C246=C247,Y246=Y247-1),AA246,"")</f>
        <v/>
      </c>
      <c r="AD247" s="0" t="str">
        <f aca="false">IF(Y247=1,"",IF(AND(Z247=1,AB247&lt;&gt;1),1,0))</f>
        <v/>
      </c>
      <c r="AE247" s="0" t="str">
        <f aca="false">IF(Y247=1,"",IF(AND(AA247=1,AC247&lt;&gt;1),1,0))</f>
        <v/>
      </c>
      <c r="AF247" s="45" t="str">
        <f aca="false">IF(AND(E247&gt;0,Y247&lt;1,NOT(AND(C248=C247,Y248=Y247+1))),INDEX(DATAS,Y247+1),"")</f>
        <v/>
      </c>
      <c r="AG247" s="45" t="str">
        <f aca="false">IF(AND(AA247=1,Y247&lt;1),IF(AND(C248=C247,Y248=Y247+1),IF(AA248=1,"",INDEX(DATAS,Y247+1)),INDEX(DATAS,Y247+1)),"")</f>
        <v/>
      </c>
    </row>
    <row r="248" customFormat="false" ht="15" hidden="false" customHeight="false" outlineLevel="0" collapsed="false">
      <c r="A248" s="45" t="n">
        <v>46309</v>
      </c>
      <c r="B248" s="0" t="n">
        <v>5</v>
      </c>
      <c r="C248" s="0" t="n">
        <v>3759</v>
      </c>
      <c r="D248" s="0" t="n">
        <v>251</v>
      </c>
      <c r="E248" s="0" t="n">
        <v>3</v>
      </c>
      <c r="F248" s="39" t="s">
        <v>321</v>
      </c>
      <c r="G248" s="0" t="n">
        <v>21.1</v>
      </c>
      <c r="H248" s="0" t="n">
        <v>24</v>
      </c>
      <c r="I248" s="39" t="s">
        <v>138</v>
      </c>
      <c r="J248" s="0" t="n">
        <v>251</v>
      </c>
      <c r="K248" s="0" t="n">
        <v>83</v>
      </c>
      <c r="M248" s="0" t="n">
        <v>916.25</v>
      </c>
      <c r="N248" s="0" t="n">
        <v>28.14</v>
      </c>
      <c r="O248" s="0" t="n">
        <v>31.34</v>
      </c>
      <c r="P248" s="0" t="n">
        <v>4.07</v>
      </c>
      <c r="Q248" s="0" t="n">
        <v>3.76</v>
      </c>
      <c r="R248" s="0" t="n">
        <v>3666</v>
      </c>
      <c r="S248" s="0" t="n">
        <v>6700</v>
      </c>
      <c r="T248" s="0" t="n">
        <v>40.45</v>
      </c>
      <c r="U248" s="0" t="n">
        <v>1769</v>
      </c>
      <c r="V248" s="0" t="n">
        <v>4</v>
      </c>
      <c r="W248" s="39" t="n">
        <f aca="false">IF(I248="Male",0,1)</f>
        <v>1</v>
      </c>
      <c r="X248" s="39" t="n">
        <f aca="false">IF(OR(I248="DNB",I248="Dry DNB"),1,0)</f>
        <v>0</v>
      </c>
      <c r="Y248" s="39" t="n">
        <f aca="false">MATCH(A248,DATAS,0)</f>
        <v>1</v>
      </c>
      <c r="Z248" s="39" t="n">
        <f aca="false">IF(AND(E248&gt;0,OR(AND(B248&gt;=1,B248&lt;=6),B248=10)),1,0)</f>
        <v>1</v>
      </c>
      <c r="AA248" s="39" t="n">
        <f aca="false">IF(AND(E248&gt;0,B248=10),1,0)</f>
        <v>0</v>
      </c>
      <c r="AB248" s="0" t="str">
        <f aca="false">IF(AND(C247=C248,Y247=Y248-1),Z247,"")</f>
        <v/>
      </c>
      <c r="AC248" s="0" t="str">
        <f aca="false">IF(AND(C247=C248,Y247=Y248-1),AA247,"")</f>
        <v/>
      </c>
      <c r="AD248" s="0" t="str">
        <f aca="false">IF(Y248=1,"",IF(AND(Z248=1,AB248&lt;&gt;1),1,0))</f>
        <v/>
      </c>
      <c r="AE248" s="0" t="str">
        <f aca="false">IF(Y248=1,"",IF(AND(AA248=1,AC248&lt;&gt;1),1,0))</f>
        <v/>
      </c>
      <c r="AF248" s="45" t="str">
        <f aca="false">IF(AND(E248&gt;0,Y248&lt;1,NOT(AND(C249=C248,Y249=Y248+1))),INDEX(DATAS,Y248+1),"")</f>
        <v/>
      </c>
      <c r="AG248" s="45" t="str">
        <f aca="false">IF(AND(AA248=1,Y248&lt;1),IF(AND(C249=C248,Y249=Y248+1),IF(AA249=1,"",INDEX(DATAS,Y248+1)),INDEX(DATAS,Y248+1)),"")</f>
        <v/>
      </c>
    </row>
    <row r="249" customFormat="false" ht="15" hidden="false" customHeight="false" outlineLevel="0" collapsed="false">
      <c r="A249" s="45" t="n">
        <v>46309</v>
      </c>
      <c r="B249" s="0" t="n">
        <v>7</v>
      </c>
      <c r="C249" s="0" t="n">
        <v>3763</v>
      </c>
      <c r="D249" s="0" t="n">
        <v>339</v>
      </c>
      <c r="E249" s="0" t="n">
        <v>3</v>
      </c>
      <c r="F249" s="39" t="s">
        <v>321</v>
      </c>
      <c r="I249" s="39" t="s">
        <v>114</v>
      </c>
      <c r="J249" s="0" t="n">
        <v>117</v>
      </c>
      <c r="K249" s="0" t="n">
        <v>68</v>
      </c>
      <c r="L249" s="0" t="n">
        <v>237</v>
      </c>
      <c r="M249" s="0" t="n">
        <v>827.06</v>
      </c>
      <c r="N249" s="0" t="n">
        <v>48.67</v>
      </c>
      <c r="O249" s="0" t="n">
        <v>21.96</v>
      </c>
      <c r="P249" s="0" t="n">
        <v>4.37</v>
      </c>
      <c r="Q249" s="0" t="n">
        <v>3.62</v>
      </c>
      <c r="R249" s="0" t="n">
        <v>4439</v>
      </c>
      <c r="S249" s="0" t="n">
        <v>8751</v>
      </c>
      <c r="T249" s="0" t="n">
        <v>45.85</v>
      </c>
      <c r="U249" s="0" t="n">
        <v>1769</v>
      </c>
      <c r="V249" s="0" t="n">
        <v>3</v>
      </c>
      <c r="W249" s="39" t="n">
        <f aca="false">IF(I249="Male",0,1)</f>
        <v>1</v>
      </c>
      <c r="X249" s="39" t="n">
        <f aca="false">IF(OR(I249="DNB",I249="Dry DNB"),1,0)</f>
        <v>0</v>
      </c>
      <c r="Y249" s="39" t="n">
        <f aca="false">MATCH(A249,DATAS,0)</f>
        <v>1</v>
      </c>
      <c r="Z249" s="39" t="n">
        <f aca="false">IF(AND(E249&gt;0,OR(AND(B249&gt;=1,B249&lt;=6),B249=10)),1,0)</f>
        <v>0</v>
      </c>
      <c r="AA249" s="39" t="n">
        <f aca="false">IF(AND(E249&gt;0,B249=10),1,0)</f>
        <v>0</v>
      </c>
      <c r="AB249" s="0" t="str">
        <f aca="false">IF(AND(C248=C249,Y248=Y249-1),Z248,"")</f>
        <v/>
      </c>
      <c r="AC249" s="0" t="str">
        <f aca="false">IF(AND(C248=C249,Y248=Y249-1),AA248,"")</f>
        <v/>
      </c>
      <c r="AD249" s="0" t="str">
        <f aca="false">IF(Y249=1,"",IF(AND(Z249=1,AB249&lt;&gt;1),1,0))</f>
        <v/>
      </c>
      <c r="AE249" s="0" t="str">
        <f aca="false">IF(Y249=1,"",IF(AND(AA249=1,AC249&lt;&gt;1),1,0))</f>
        <v/>
      </c>
      <c r="AF249" s="45" t="str">
        <f aca="false">IF(AND(E249&gt;0,Y249&lt;1,NOT(AND(C250=C249,Y250=Y249+1))),INDEX(DATAS,Y249+1),"")</f>
        <v/>
      </c>
      <c r="AG249" s="45" t="str">
        <f aca="false">IF(AND(AA249=1,Y249&lt;1),IF(AND(C250=C249,Y250=Y249+1),IF(AA250=1,"",INDEX(DATAS,Y249+1)),INDEX(DATAS,Y249+1)),"")</f>
        <v/>
      </c>
    </row>
    <row r="250" customFormat="false" ht="15" hidden="false" customHeight="false" outlineLevel="0" collapsed="false">
      <c r="A250" s="45" t="n">
        <v>46309</v>
      </c>
      <c r="B250" s="0" t="n">
        <v>3</v>
      </c>
      <c r="C250" s="0" t="n">
        <v>3764</v>
      </c>
      <c r="D250" s="0" t="n">
        <v>24</v>
      </c>
      <c r="E250" s="0" t="n">
        <v>4</v>
      </c>
      <c r="F250" s="39" t="s">
        <v>322</v>
      </c>
      <c r="G250" s="0" t="n">
        <v>43.8</v>
      </c>
      <c r="H250" s="0" t="n">
        <v>42</v>
      </c>
      <c r="I250" s="39" t="s">
        <v>118</v>
      </c>
      <c r="J250" s="0" t="n">
        <v>24</v>
      </c>
      <c r="M250" s="0" t="n">
        <v>606.03</v>
      </c>
      <c r="N250" s="0" t="n">
        <v>17.71</v>
      </c>
      <c r="O250" s="0" t="n">
        <v>14.2</v>
      </c>
      <c r="R250" s="0" t="n">
        <v>3375</v>
      </c>
      <c r="S250" s="0" t="n">
        <v>6785</v>
      </c>
      <c r="U250" s="0" t="n">
        <v>1766</v>
      </c>
      <c r="V250" s="0" t="n">
        <v>0</v>
      </c>
      <c r="W250" s="39" t="n">
        <f aca="false">IF(I250="Male",0,1)</f>
        <v>1</v>
      </c>
      <c r="X250" s="39" t="n">
        <f aca="false">IF(OR(I250="DNB",I250="Dry DNB"),1,0)</f>
        <v>0</v>
      </c>
      <c r="Y250" s="39" t="n">
        <f aca="false">MATCH(A250,DATAS,0)</f>
        <v>1</v>
      </c>
      <c r="Z250" s="39" t="n">
        <f aca="false">IF(AND(E250&gt;0,OR(AND(B250&gt;=1,B250&lt;=6),B250=10)),1,0)</f>
        <v>1</v>
      </c>
      <c r="AA250" s="39" t="n">
        <f aca="false">IF(AND(E250&gt;0,B250=10),1,0)</f>
        <v>0</v>
      </c>
      <c r="AB250" s="0" t="str">
        <f aca="false">IF(AND(C249=C250,Y249=Y250-1),Z249,"")</f>
        <v/>
      </c>
      <c r="AC250" s="0" t="str">
        <f aca="false">IF(AND(C249=C250,Y249=Y250-1),AA249,"")</f>
        <v/>
      </c>
      <c r="AD250" s="0" t="str">
        <f aca="false">IF(Y250=1,"",IF(AND(Z250=1,AB250&lt;&gt;1),1,0))</f>
        <v/>
      </c>
      <c r="AE250" s="0" t="str">
        <f aca="false">IF(Y250=1,"",IF(AND(AA250=1,AC250&lt;&gt;1),1,0))</f>
        <v/>
      </c>
      <c r="AF250" s="45" t="str">
        <f aca="false">IF(AND(E250&gt;0,Y250&lt;1,NOT(AND(C251=C250,Y251=Y250+1))),INDEX(DATAS,Y250+1),"")</f>
        <v/>
      </c>
      <c r="AG250" s="45" t="str">
        <f aca="false">IF(AND(AA250=1,Y250&lt;1),IF(AND(C251=C250,Y251=Y250+1),IF(AA251=1,"",INDEX(DATAS,Y250+1)),INDEX(DATAS,Y250+1)),"")</f>
        <v/>
      </c>
    </row>
    <row r="251" customFormat="false" ht="15" hidden="false" customHeight="false" outlineLevel="0" collapsed="false">
      <c r="A251" s="45" t="n">
        <v>46309</v>
      </c>
      <c r="B251" s="0" t="n">
        <v>2</v>
      </c>
      <c r="C251" s="0" t="n">
        <v>3765</v>
      </c>
      <c r="D251" s="0" t="n">
        <v>292</v>
      </c>
      <c r="E251" s="0" t="n">
        <v>3</v>
      </c>
      <c r="F251" s="39" t="s">
        <v>322</v>
      </c>
      <c r="G251" s="0" t="n">
        <v>48.4</v>
      </c>
      <c r="H251" s="0" t="n">
        <v>46</v>
      </c>
      <c r="I251" s="39" t="s">
        <v>109</v>
      </c>
      <c r="J251" s="0" t="n">
        <v>110</v>
      </c>
      <c r="K251" s="0" t="n">
        <v>61</v>
      </c>
      <c r="L251" s="0" t="n">
        <v>182</v>
      </c>
      <c r="M251" s="0" t="n">
        <v>329.41</v>
      </c>
      <c r="N251" s="0" t="n">
        <v>30.37</v>
      </c>
      <c r="O251" s="0" t="n">
        <v>26.03</v>
      </c>
      <c r="P251" s="0" t="n">
        <v>3.24</v>
      </c>
      <c r="Q251" s="0" t="n">
        <v>3.86</v>
      </c>
      <c r="R251" s="0" t="n">
        <v>6512</v>
      </c>
      <c r="S251" s="0" t="n">
        <v>12822</v>
      </c>
      <c r="T251" s="0" t="n">
        <v>71.4</v>
      </c>
      <c r="U251" s="0" t="n">
        <v>1766</v>
      </c>
      <c r="V251" s="0" t="n">
        <v>3</v>
      </c>
      <c r="W251" s="39" t="n">
        <f aca="false">IF(I251="Male",0,1)</f>
        <v>1</v>
      </c>
      <c r="X251" s="39" t="n">
        <f aca="false">IF(OR(I251="DNB",I251="Dry DNB"),1,0)</f>
        <v>0</v>
      </c>
      <c r="Y251" s="39" t="n">
        <f aca="false">MATCH(A251,DATAS,0)</f>
        <v>1</v>
      </c>
      <c r="Z251" s="39" t="n">
        <f aca="false">IF(AND(E251&gt;0,OR(AND(B251&gt;=1,B251&lt;=6),B251=10)),1,0)</f>
        <v>1</v>
      </c>
      <c r="AA251" s="39" t="n">
        <f aca="false">IF(AND(E251&gt;0,B251=10),1,0)</f>
        <v>0</v>
      </c>
      <c r="AB251" s="0" t="str">
        <f aca="false">IF(AND(C250=C251,Y250=Y251-1),Z250,"")</f>
        <v/>
      </c>
      <c r="AC251" s="0" t="str">
        <f aca="false">IF(AND(C250=C251,Y250=Y251-1),AA250,"")</f>
        <v/>
      </c>
      <c r="AD251" s="0" t="str">
        <f aca="false">IF(Y251=1,"",IF(AND(Z251=1,AB251&lt;&gt;1),1,0))</f>
        <v/>
      </c>
      <c r="AE251" s="0" t="str">
        <f aca="false">IF(Y251=1,"",IF(AND(AA251=1,AC251&lt;&gt;1),1,0))</f>
        <v/>
      </c>
      <c r="AF251" s="45" t="str">
        <f aca="false">IF(AND(E251&gt;0,Y251&lt;1,NOT(AND(C252=C251,Y252=Y251+1))),INDEX(DATAS,Y251+1),"")</f>
        <v/>
      </c>
      <c r="AG251" s="45" t="str">
        <f aca="false">IF(AND(AA251=1,Y251&lt;1),IF(AND(C252=C251,Y252=Y251+1),IF(AA252=1,"",INDEX(DATAS,Y251+1)),INDEX(DATAS,Y251+1)),"")</f>
        <v/>
      </c>
    </row>
    <row r="252" customFormat="false" ht="15" hidden="false" customHeight="false" outlineLevel="0" collapsed="false">
      <c r="A252" s="45" t="n">
        <v>46309</v>
      </c>
      <c r="B252" s="0" t="n">
        <v>6</v>
      </c>
      <c r="C252" s="0" t="n">
        <v>3767</v>
      </c>
      <c r="D252" s="0" t="n">
        <v>329</v>
      </c>
      <c r="E252" s="0" t="n">
        <v>3</v>
      </c>
      <c r="F252" s="39" t="s">
        <v>323</v>
      </c>
      <c r="G252" s="0" t="n">
        <v>20.4</v>
      </c>
      <c r="H252" s="0" t="n">
        <v>20</v>
      </c>
      <c r="I252" s="39" t="s">
        <v>109</v>
      </c>
      <c r="J252" s="0" t="n">
        <v>252</v>
      </c>
      <c r="K252" s="0" t="n">
        <v>70</v>
      </c>
      <c r="L252" s="0" t="n">
        <v>77</v>
      </c>
      <c r="M252" s="0" t="n">
        <v>49.13</v>
      </c>
      <c r="N252" s="0" t="n">
        <v>21.21</v>
      </c>
      <c r="O252" s="0" t="n">
        <v>16.68</v>
      </c>
      <c r="P252" s="0" t="n">
        <v>5.5</v>
      </c>
      <c r="Q252" s="0" t="n">
        <v>3.4</v>
      </c>
      <c r="R252" s="0" t="n">
        <v>5490</v>
      </c>
      <c r="S252" s="0" t="n">
        <v>10637</v>
      </c>
      <c r="T252" s="0" t="n">
        <v>58.5</v>
      </c>
      <c r="U252" s="0" t="n">
        <v>1759</v>
      </c>
      <c r="V252" s="0" t="n">
        <v>6</v>
      </c>
      <c r="W252" s="39" t="n">
        <f aca="false">IF(I252="Male",0,1)</f>
        <v>1</v>
      </c>
      <c r="X252" s="39" t="n">
        <f aca="false">IF(OR(I252="DNB",I252="Dry DNB"),1,0)</f>
        <v>0</v>
      </c>
      <c r="Y252" s="39" t="n">
        <f aca="false">MATCH(A252,DATAS,0)</f>
        <v>1</v>
      </c>
      <c r="Z252" s="39" t="n">
        <f aca="false">IF(AND(E252&gt;0,OR(AND(B252&gt;=1,B252&lt;=6),B252=10)),1,0)</f>
        <v>1</v>
      </c>
      <c r="AA252" s="39" t="n">
        <f aca="false">IF(AND(E252&gt;0,B252=10),1,0)</f>
        <v>0</v>
      </c>
      <c r="AB252" s="0" t="str">
        <f aca="false">IF(AND(C251=C252,Y251=Y252-1),Z251,"")</f>
        <v/>
      </c>
      <c r="AC252" s="0" t="str">
        <f aca="false">IF(AND(C251=C252,Y251=Y252-1),AA251,"")</f>
        <v/>
      </c>
      <c r="AD252" s="0" t="str">
        <f aca="false">IF(Y252=1,"",IF(AND(Z252=1,AB252&lt;&gt;1),1,0))</f>
        <v/>
      </c>
      <c r="AE252" s="0" t="str">
        <f aca="false">IF(Y252=1,"",IF(AND(AA252=1,AC252&lt;&gt;1),1,0))</f>
        <v/>
      </c>
      <c r="AF252" s="45" t="str">
        <f aca="false">IF(AND(E252&gt;0,Y252&lt;1,NOT(AND(C253=C252,Y253=Y252+1))),INDEX(DATAS,Y252+1),"")</f>
        <v/>
      </c>
      <c r="AG252" s="45" t="str">
        <f aca="false">IF(AND(AA252=1,Y252&lt;1),IF(AND(C253=C252,Y253=Y252+1),IF(AA253=1,"",INDEX(DATAS,Y252+1)),INDEX(DATAS,Y252+1)),"")</f>
        <v/>
      </c>
    </row>
    <row r="253" customFormat="false" ht="15" hidden="false" customHeight="false" outlineLevel="0" collapsed="false">
      <c r="A253" s="45" t="n">
        <v>46309</v>
      </c>
      <c r="B253" s="0" t="n">
        <v>6</v>
      </c>
      <c r="C253" s="0" t="n">
        <v>3775</v>
      </c>
      <c r="D253" s="0" t="n">
        <v>404</v>
      </c>
      <c r="E253" s="0" t="n">
        <v>2</v>
      </c>
      <c r="F253" s="39" t="s">
        <v>324</v>
      </c>
      <c r="H253" s="0" t="n">
        <v>22</v>
      </c>
      <c r="I253" s="39" t="s">
        <v>109</v>
      </c>
      <c r="J253" s="0" t="n">
        <v>257</v>
      </c>
      <c r="K253" s="0" t="n">
        <v>68</v>
      </c>
      <c r="L253" s="0" t="n">
        <v>147</v>
      </c>
      <c r="M253" s="0" t="n">
        <v>421.22</v>
      </c>
      <c r="N253" s="0" t="n">
        <v>64.16</v>
      </c>
      <c r="O253" s="0" t="n">
        <v>23.48</v>
      </c>
      <c r="P253" s="0" t="n">
        <v>5.8</v>
      </c>
      <c r="Q253" s="0" t="n">
        <v>4.43</v>
      </c>
      <c r="R253" s="0" t="n">
        <v>3784</v>
      </c>
      <c r="S253" s="0" t="n">
        <v>7758</v>
      </c>
      <c r="T253" s="0" t="n">
        <v>40.75</v>
      </c>
      <c r="U253" s="0" t="n">
        <v>1751</v>
      </c>
      <c r="V253" s="0" t="n">
        <v>3</v>
      </c>
      <c r="W253" s="39" t="n">
        <f aca="false">IF(I253="Male",0,1)</f>
        <v>1</v>
      </c>
      <c r="X253" s="39" t="n">
        <f aca="false">IF(OR(I253="DNB",I253="Dry DNB"),1,0)</f>
        <v>0</v>
      </c>
      <c r="Y253" s="39" t="n">
        <f aca="false">MATCH(A253,DATAS,0)</f>
        <v>1</v>
      </c>
      <c r="Z253" s="39" t="n">
        <f aca="false">IF(AND(E253&gt;0,OR(AND(B253&gt;=1,B253&lt;=6),B253=10)),1,0)</f>
        <v>1</v>
      </c>
      <c r="AA253" s="39" t="n">
        <f aca="false">IF(AND(E253&gt;0,B253=10),1,0)</f>
        <v>0</v>
      </c>
      <c r="AB253" s="0" t="str">
        <f aca="false">IF(AND(C252=C253,Y252=Y253-1),Z252,"")</f>
        <v/>
      </c>
      <c r="AC253" s="0" t="str">
        <f aca="false">IF(AND(C252=C253,Y252=Y253-1),AA252,"")</f>
        <v/>
      </c>
      <c r="AD253" s="0" t="str">
        <f aca="false">IF(Y253=1,"",IF(AND(Z253=1,AB253&lt;&gt;1),1,0))</f>
        <v/>
      </c>
      <c r="AE253" s="0" t="str">
        <f aca="false">IF(Y253=1,"",IF(AND(AA253=1,AC253&lt;&gt;1),1,0))</f>
        <v/>
      </c>
      <c r="AF253" s="45" t="str">
        <f aca="false">IF(AND(E253&gt;0,Y253&lt;1,NOT(AND(C254=C253,Y254=Y253+1))),INDEX(DATAS,Y253+1),"")</f>
        <v/>
      </c>
      <c r="AG253" s="45" t="str">
        <f aca="false">IF(AND(AA253=1,Y253&lt;1),IF(AND(C254=C253,Y254=Y253+1),IF(AA254=1,"",INDEX(DATAS,Y253+1)),INDEX(DATAS,Y253+1)),"")</f>
        <v/>
      </c>
    </row>
    <row r="254" customFormat="false" ht="15" hidden="false" customHeight="false" outlineLevel="0" collapsed="false">
      <c r="A254" s="45" t="n">
        <v>46309</v>
      </c>
      <c r="B254" s="0" t="n">
        <v>7</v>
      </c>
      <c r="C254" s="0" t="n">
        <v>3780</v>
      </c>
      <c r="D254" s="0" t="n">
        <v>300</v>
      </c>
      <c r="E254" s="0" t="n">
        <v>3</v>
      </c>
      <c r="F254" s="39" t="s">
        <v>325</v>
      </c>
      <c r="G254" s="0" t="n">
        <v>9.3</v>
      </c>
      <c r="H254" s="0" t="n">
        <v>8</v>
      </c>
      <c r="I254" s="39" t="s">
        <v>109</v>
      </c>
      <c r="J254" s="0" t="n">
        <v>223</v>
      </c>
      <c r="K254" s="0" t="n">
        <v>76</v>
      </c>
      <c r="L254" s="0" t="n">
        <v>77</v>
      </c>
      <c r="M254" s="0" t="n">
        <v>709.3</v>
      </c>
      <c r="N254" s="0" t="n">
        <v>33.47</v>
      </c>
      <c r="O254" s="0" t="n">
        <v>24.23</v>
      </c>
      <c r="P254" s="0" t="n">
        <v>5.48</v>
      </c>
      <c r="Q254" s="0" t="n">
        <v>4.29</v>
      </c>
      <c r="R254" s="0" t="n">
        <v>4971</v>
      </c>
      <c r="S254" s="0" t="n">
        <v>10112</v>
      </c>
      <c r="T254" s="0" t="n">
        <v>52.85</v>
      </c>
      <c r="U254" s="0" t="n">
        <v>1750</v>
      </c>
      <c r="V254" s="0" t="n">
        <v>5</v>
      </c>
      <c r="W254" s="39" t="n">
        <f aca="false">IF(I254="Male",0,1)</f>
        <v>1</v>
      </c>
      <c r="X254" s="39" t="n">
        <f aca="false">IF(OR(I254="DNB",I254="Dry DNB"),1,0)</f>
        <v>0</v>
      </c>
      <c r="Y254" s="39" t="n">
        <f aca="false">MATCH(A254,DATAS,0)</f>
        <v>1</v>
      </c>
      <c r="Z254" s="39" t="n">
        <f aca="false">IF(AND(E254&gt;0,OR(AND(B254&gt;=1,B254&lt;=6),B254=10)),1,0)</f>
        <v>0</v>
      </c>
      <c r="AA254" s="39" t="n">
        <f aca="false">IF(AND(E254&gt;0,B254=10),1,0)</f>
        <v>0</v>
      </c>
      <c r="AB254" s="0" t="str">
        <f aca="false">IF(AND(C253=C254,Y253=Y254-1),Z253,"")</f>
        <v/>
      </c>
      <c r="AC254" s="0" t="str">
        <f aca="false">IF(AND(C253=C254,Y253=Y254-1),AA253,"")</f>
        <v/>
      </c>
      <c r="AD254" s="0" t="str">
        <f aca="false">IF(Y254=1,"",IF(AND(Z254=1,AB254&lt;&gt;1),1,0))</f>
        <v/>
      </c>
      <c r="AE254" s="0" t="str">
        <f aca="false">IF(Y254=1,"",IF(AND(AA254=1,AC254&lt;&gt;1),1,0))</f>
        <v/>
      </c>
      <c r="AF254" s="45" t="str">
        <f aca="false">IF(AND(E254&gt;0,Y254&lt;1,NOT(AND(C255=C254,Y255=Y254+1))),INDEX(DATAS,Y254+1),"")</f>
        <v/>
      </c>
      <c r="AG254" s="45" t="str">
        <f aca="false">IF(AND(AA254=1,Y254&lt;1),IF(AND(C255=C254,Y255=Y254+1),IF(AA255=1,"",INDEX(DATAS,Y254+1)),INDEX(DATAS,Y254+1)),"")</f>
        <v/>
      </c>
    </row>
    <row r="255" customFormat="false" ht="15" hidden="false" customHeight="false" outlineLevel="0" collapsed="false">
      <c r="A255" s="45" t="n">
        <v>46309</v>
      </c>
      <c r="B255" s="0" t="n">
        <v>5</v>
      </c>
      <c r="C255" s="0" t="n">
        <v>3781</v>
      </c>
      <c r="D255" s="0" t="n">
        <v>125</v>
      </c>
      <c r="E255" s="0" t="n">
        <v>3</v>
      </c>
      <c r="F255" s="39" t="s">
        <v>326</v>
      </c>
      <c r="G255" s="0" t="n">
        <v>44.8</v>
      </c>
      <c r="H255" s="0" t="n">
        <v>44</v>
      </c>
      <c r="I255" s="39" t="s">
        <v>146</v>
      </c>
      <c r="J255" s="0" t="n">
        <v>125</v>
      </c>
      <c r="K255" s="0" t="n">
        <v>69</v>
      </c>
      <c r="M255" s="0" t="n">
        <v>289.94</v>
      </c>
      <c r="N255" s="0" t="n">
        <v>32.29</v>
      </c>
      <c r="O255" s="0" t="n">
        <v>7.43</v>
      </c>
      <c r="P255" s="0" t="n">
        <v>5.19</v>
      </c>
      <c r="Q255" s="0" t="n">
        <v>2.94</v>
      </c>
      <c r="R255" s="0" t="n">
        <v>4882</v>
      </c>
      <c r="S255" s="0" t="n">
        <v>9597</v>
      </c>
      <c r="T255" s="0" t="n">
        <v>52.3</v>
      </c>
      <c r="U255" s="0" t="n">
        <v>1749</v>
      </c>
      <c r="V255" s="0" t="n">
        <v>1</v>
      </c>
      <c r="W255" s="39" t="n">
        <f aca="false">IF(I255="Male",0,1)</f>
        <v>1</v>
      </c>
      <c r="X255" s="39" t="n">
        <f aca="false">IF(OR(I255="DNB",I255="Dry DNB"),1,0)</f>
        <v>0</v>
      </c>
      <c r="Y255" s="39" t="n">
        <f aca="false">MATCH(A255,DATAS,0)</f>
        <v>1</v>
      </c>
      <c r="Z255" s="39" t="n">
        <f aca="false">IF(AND(E255&gt;0,OR(AND(B255&gt;=1,B255&lt;=6),B255=10)),1,0)</f>
        <v>1</v>
      </c>
      <c r="AA255" s="39" t="n">
        <f aca="false">IF(AND(E255&gt;0,B255=10),1,0)</f>
        <v>0</v>
      </c>
      <c r="AB255" s="0" t="str">
        <f aca="false">IF(AND(C254=C255,Y254=Y255-1),Z254,"")</f>
        <v/>
      </c>
      <c r="AC255" s="0" t="str">
        <f aca="false">IF(AND(C254=C255,Y254=Y255-1),AA254,"")</f>
        <v/>
      </c>
      <c r="AD255" s="0" t="str">
        <f aca="false">IF(Y255=1,"",IF(AND(Z255=1,AB255&lt;&gt;1),1,0))</f>
        <v/>
      </c>
      <c r="AE255" s="0" t="str">
        <f aca="false">IF(Y255=1,"",IF(AND(AA255=1,AC255&lt;&gt;1),1,0))</f>
        <v/>
      </c>
      <c r="AF255" s="45" t="str">
        <f aca="false">IF(AND(E255&gt;0,Y255&lt;1,NOT(AND(C256=C255,Y256=Y255+1))),INDEX(DATAS,Y255+1),"")</f>
        <v/>
      </c>
      <c r="AG255" s="45" t="str">
        <f aca="false">IF(AND(AA255=1,Y255&lt;1),IF(AND(C256=C255,Y256=Y255+1),IF(AA256=1,"",INDEX(DATAS,Y255+1)),INDEX(DATAS,Y255+1)),"")</f>
        <v/>
      </c>
    </row>
    <row r="256" customFormat="false" ht="15" hidden="false" customHeight="false" outlineLevel="0" collapsed="false">
      <c r="A256" s="45" t="n">
        <v>46309</v>
      </c>
      <c r="B256" s="0" t="n">
        <v>5</v>
      </c>
      <c r="C256" s="0" t="n">
        <v>3782</v>
      </c>
      <c r="D256" s="0" t="n">
        <v>388</v>
      </c>
      <c r="E256" s="0" t="n">
        <v>3</v>
      </c>
      <c r="F256" s="39" t="s">
        <v>327</v>
      </c>
      <c r="G256" s="0" t="n">
        <v>28.1</v>
      </c>
      <c r="H256" s="0" t="n">
        <v>26</v>
      </c>
      <c r="I256" s="39" t="s">
        <v>109</v>
      </c>
      <c r="J256" s="0" t="n">
        <v>318</v>
      </c>
      <c r="K256" s="0" t="n">
        <v>66</v>
      </c>
      <c r="L256" s="0" t="n">
        <v>70</v>
      </c>
      <c r="M256" s="0" t="n">
        <v>751.23</v>
      </c>
      <c r="N256" s="0" t="n">
        <v>34.42</v>
      </c>
      <c r="O256" s="0" t="n">
        <v>31.92</v>
      </c>
      <c r="P256" s="0" t="n">
        <v>3.98</v>
      </c>
      <c r="Q256" s="0" t="n">
        <v>3.65</v>
      </c>
      <c r="R256" s="0" t="n">
        <v>6128</v>
      </c>
      <c r="S256" s="0" t="n">
        <v>10626</v>
      </c>
      <c r="T256" s="0" t="n">
        <v>69.75</v>
      </c>
      <c r="U256" s="0" t="n">
        <v>1747</v>
      </c>
      <c r="V256" s="0" t="n">
        <v>6</v>
      </c>
      <c r="W256" s="39" t="n">
        <f aca="false">IF(I256="Male",0,1)</f>
        <v>1</v>
      </c>
      <c r="X256" s="39" t="n">
        <f aca="false">IF(OR(I256="DNB",I256="Dry DNB"),1,0)</f>
        <v>0</v>
      </c>
      <c r="Y256" s="39" t="n">
        <f aca="false">MATCH(A256,DATAS,0)</f>
        <v>1</v>
      </c>
      <c r="Z256" s="39" t="n">
        <f aca="false">IF(AND(E256&gt;0,OR(AND(B256&gt;=1,B256&lt;=6),B256=10)),1,0)</f>
        <v>1</v>
      </c>
      <c r="AA256" s="39" t="n">
        <f aca="false">IF(AND(E256&gt;0,B256=10),1,0)</f>
        <v>0</v>
      </c>
      <c r="AB256" s="0" t="str">
        <f aca="false">IF(AND(C255=C256,Y255=Y256-1),Z255,"")</f>
        <v/>
      </c>
      <c r="AC256" s="0" t="str">
        <f aca="false">IF(AND(C255=C256,Y255=Y256-1),AA255,"")</f>
        <v/>
      </c>
      <c r="AD256" s="0" t="str">
        <f aca="false">IF(Y256=1,"",IF(AND(Z256=1,AB256&lt;&gt;1),1,0))</f>
        <v/>
      </c>
      <c r="AE256" s="0" t="str">
        <f aca="false">IF(Y256=1,"",IF(AND(AA256=1,AC256&lt;&gt;1),1,0))</f>
        <v/>
      </c>
      <c r="AF256" s="45" t="str">
        <f aca="false">IF(AND(E256&gt;0,Y256&lt;1,NOT(AND(C257=C256,Y257=Y256+1))),INDEX(DATAS,Y256+1),"")</f>
        <v/>
      </c>
      <c r="AG256" s="45" t="str">
        <f aca="false">IF(AND(AA256=1,Y256&lt;1),IF(AND(C257=C256,Y257=Y256+1),IF(AA257=1,"",INDEX(DATAS,Y256+1)),INDEX(DATAS,Y256+1)),"")</f>
        <v/>
      </c>
    </row>
    <row r="257" customFormat="false" ht="15" hidden="false" customHeight="false" outlineLevel="0" collapsed="false">
      <c r="A257" s="45" t="n">
        <v>46309</v>
      </c>
      <c r="B257" s="0" t="n">
        <v>5</v>
      </c>
      <c r="C257" s="0" t="n">
        <v>3783</v>
      </c>
      <c r="D257" s="0" t="n">
        <v>204</v>
      </c>
      <c r="E257" s="0" t="n">
        <v>3</v>
      </c>
      <c r="F257" s="39" t="s">
        <v>328</v>
      </c>
      <c r="G257" s="0" t="n">
        <v>31.6</v>
      </c>
      <c r="H257" s="0" t="n">
        <v>37</v>
      </c>
      <c r="I257" s="39" t="s">
        <v>109</v>
      </c>
      <c r="J257" s="0" t="n">
        <v>127</v>
      </c>
      <c r="K257" s="0" t="n">
        <v>71</v>
      </c>
      <c r="L257" s="0" t="n">
        <v>77</v>
      </c>
      <c r="M257" s="0" t="n">
        <v>-79.45</v>
      </c>
      <c r="N257" s="0" t="n">
        <v>44.22</v>
      </c>
      <c r="O257" s="0" t="n">
        <v>9.35</v>
      </c>
      <c r="P257" s="0" t="n">
        <v>5.2</v>
      </c>
      <c r="Q257" s="0" t="n">
        <v>3.97</v>
      </c>
      <c r="R257" s="0" t="n">
        <v>4683</v>
      </c>
      <c r="S257" s="0" t="n">
        <v>9093</v>
      </c>
      <c r="T257" s="0" t="n">
        <v>53.4</v>
      </c>
      <c r="U257" s="0" t="n">
        <v>1746</v>
      </c>
      <c r="V257" s="0" t="n">
        <v>3</v>
      </c>
      <c r="W257" s="39" t="n">
        <f aca="false">IF(I257="Male",0,1)</f>
        <v>1</v>
      </c>
      <c r="X257" s="39" t="n">
        <f aca="false">IF(OR(I257="DNB",I257="Dry DNB"),1,0)</f>
        <v>0</v>
      </c>
      <c r="Y257" s="39" t="n">
        <f aca="false">MATCH(A257,DATAS,0)</f>
        <v>1</v>
      </c>
      <c r="Z257" s="39" t="n">
        <f aca="false">IF(AND(E257&gt;0,OR(AND(B257&gt;=1,B257&lt;=6),B257=10)),1,0)</f>
        <v>1</v>
      </c>
      <c r="AA257" s="39" t="n">
        <f aca="false">IF(AND(E257&gt;0,B257=10),1,0)</f>
        <v>0</v>
      </c>
      <c r="AB257" s="0" t="str">
        <f aca="false">IF(AND(C256=C257,Y256=Y257-1),Z256,"")</f>
        <v/>
      </c>
      <c r="AC257" s="0" t="str">
        <f aca="false">IF(AND(C256=C257,Y256=Y257-1),AA256,"")</f>
        <v/>
      </c>
      <c r="AD257" s="0" t="str">
        <f aca="false">IF(Y257=1,"",IF(AND(Z257=1,AB257&lt;&gt;1),1,0))</f>
        <v/>
      </c>
      <c r="AE257" s="0" t="str">
        <f aca="false">IF(Y257=1,"",IF(AND(AA257=1,AC257&lt;&gt;1),1,0))</f>
        <v/>
      </c>
      <c r="AF257" s="45" t="str">
        <f aca="false">IF(AND(E257&gt;0,Y257&lt;1,NOT(AND(C258=C257,Y258=Y257+1))),INDEX(DATAS,Y257+1),"")</f>
        <v/>
      </c>
      <c r="AG257" s="45" t="str">
        <f aca="false">IF(AND(AA257=1,Y257&lt;1),IF(AND(C258=C257,Y258=Y257+1),IF(AA258=1,"",INDEX(DATAS,Y257+1)),INDEX(DATAS,Y257+1)),"")</f>
        <v/>
      </c>
    </row>
    <row r="258" customFormat="false" ht="15" hidden="false" customHeight="false" outlineLevel="0" collapsed="false">
      <c r="A258" s="45" t="n">
        <v>46309</v>
      </c>
      <c r="B258" s="0" t="n">
        <v>7</v>
      </c>
      <c r="C258" s="0" t="n">
        <v>3784</v>
      </c>
      <c r="D258" s="0" t="n">
        <v>346</v>
      </c>
      <c r="E258" s="0" t="n">
        <v>3</v>
      </c>
      <c r="F258" s="39" t="s">
        <v>329</v>
      </c>
      <c r="G258" s="0" t="n">
        <v>5.2</v>
      </c>
      <c r="H258" s="0" t="n">
        <v>16</v>
      </c>
      <c r="I258" s="39" t="s">
        <v>114</v>
      </c>
      <c r="J258" s="0" t="n">
        <v>123</v>
      </c>
      <c r="K258" s="0" t="n">
        <v>68</v>
      </c>
      <c r="L258" s="0" t="n">
        <v>224</v>
      </c>
      <c r="M258" s="0" t="n">
        <v>361.74</v>
      </c>
      <c r="N258" s="0" t="n">
        <v>23.24</v>
      </c>
      <c r="O258" s="0" t="n">
        <v>25.12</v>
      </c>
      <c r="P258" s="0" t="n">
        <v>3.68</v>
      </c>
      <c r="Q258" s="0" t="n">
        <v>3.29</v>
      </c>
      <c r="R258" s="0" t="n">
        <v>4667</v>
      </c>
      <c r="S258" s="0" t="n">
        <v>9821</v>
      </c>
      <c r="T258" s="0" t="n">
        <v>51.1</v>
      </c>
      <c r="U258" s="0" t="n">
        <v>1745</v>
      </c>
      <c r="V258" s="0" t="n">
        <v>3</v>
      </c>
      <c r="W258" s="39" t="n">
        <f aca="false">IF(I258="Male",0,1)</f>
        <v>1</v>
      </c>
      <c r="X258" s="39" t="n">
        <f aca="false">IF(OR(I258="DNB",I258="Dry DNB"),1,0)</f>
        <v>0</v>
      </c>
      <c r="Y258" s="39" t="n">
        <f aca="false">MATCH(A258,DATAS,0)</f>
        <v>1</v>
      </c>
      <c r="Z258" s="39" t="n">
        <f aca="false">IF(AND(E258&gt;0,OR(AND(B258&gt;=1,B258&lt;=6),B258=10)),1,0)</f>
        <v>0</v>
      </c>
      <c r="AA258" s="39" t="n">
        <f aca="false">IF(AND(E258&gt;0,B258=10),1,0)</f>
        <v>0</v>
      </c>
      <c r="AB258" s="0" t="str">
        <f aca="false">IF(AND(C257=C258,Y257=Y258-1),Z257,"")</f>
        <v/>
      </c>
      <c r="AC258" s="0" t="str">
        <f aca="false">IF(AND(C257=C258,Y257=Y258-1),AA257,"")</f>
        <v/>
      </c>
      <c r="AD258" s="0" t="str">
        <f aca="false">IF(Y258=1,"",IF(AND(Z258=1,AB258&lt;&gt;1),1,0))</f>
        <v/>
      </c>
      <c r="AE258" s="0" t="str">
        <f aca="false">IF(Y258=1,"",IF(AND(AA258=1,AC258&lt;&gt;1),1,0))</f>
        <v/>
      </c>
      <c r="AF258" s="45" t="str">
        <f aca="false">IF(AND(E258&gt;0,Y258&lt;1,NOT(AND(C259=C258,Y259=Y258+1))),INDEX(DATAS,Y258+1),"")</f>
        <v/>
      </c>
      <c r="AG258" s="45" t="str">
        <f aca="false">IF(AND(AA258=1,Y258&lt;1),IF(AND(C259=C258,Y259=Y258+1),IF(AA259=1,"",INDEX(DATAS,Y258+1)),INDEX(DATAS,Y258+1)),"")</f>
        <v/>
      </c>
    </row>
    <row r="259" customFormat="false" ht="15" hidden="false" customHeight="false" outlineLevel="0" collapsed="false">
      <c r="A259" s="45" t="n">
        <v>46309</v>
      </c>
      <c r="B259" s="0" t="n">
        <v>3</v>
      </c>
      <c r="C259" s="0" t="n">
        <v>3785</v>
      </c>
      <c r="D259" s="0" t="n">
        <v>87</v>
      </c>
      <c r="E259" s="0" t="n">
        <v>3</v>
      </c>
      <c r="F259" s="39" t="s">
        <v>330</v>
      </c>
      <c r="G259" s="0" t="n">
        <v>53</v>
      </c>
      <c r="H259" s="0" t="n">
        <v>54</v>
      </c>
      <c r="I259" s="39" t="s">
        <v>138</v>
      </c>
      <c r="J259" s="0" t="n">
        <v>87</v>
      </c>
      <c r="K259" s="0" t="n">
        <v>66</v>
      </c>
      <c r="M259" s="0" t="n">
        <v>602.76</v>
      </c>
      <c r="N259" s="0" t="n">
        <v>52.14</v>
      </c>
      <c r="O259" s="0" t="n">
        <v>30.4</v>
      </c>
      <c r="P259" s="0" t="n">
        <v>4.91</v>
      </c>
      <c r="Q259" s="0" t="n">
        <v>2.98</v>
      </c>
      <c r="R259" s="0" t="n">
        <v>5692</v>
      </c>
      <c r="S259" s="0" t="n">
        <v>11442</v>
      </c>
      <c r="U259" s="0" t="n">
        <v>1744</v>
      </c>
      <c r="V259" s="0" t="n">
        <v>1</v>
      </c>
      <c r="W259" s="39" t="n">
        <f aca="false">IF(I259="Male",0,1)</f>
        <v>1</v>
      </c>
      <c r="X259" s="39" t="n">
        <f aca="false">IF(OR(I259="DNB",I259="Dry DNB"),1,0)</f>
        <v>0</v>
      </c>
      <c r="Y259" s="39" t="n">
        <f aca="false">MATCH(A259,DATAS,0)</f>
        <v>1</v>
      </c>
      <c r="Z259" s="39" t="n">
        <f aca="false">IF(AND(E259&gt;0,OR(AND(B259&gt;=1,B259&lt;=6),B259=10)),1,0)</f>
        <v>1</v>
      </c>
      <c r="AA259" s="39" t="n">
        <f aca="false">IF(AND(E259&gt;0,B259=10),1,0)</f>
        <v>0</v>
      </c>
      <c r="AB259" s="0" t="str">
        <f aca="false">IF(AND(C258=C259,Y258=Y259-1),Z258,"")</f>
        <v/>
      </c>
      <c r="AC259" s="0" t="str">
        <f aca="false">IF(AND(C258=C259,Y258=Y259-1),AA258,"")</f>
        <v/>
      </c>
      <c r="AD259" s="0" t="str">
        <f aca="false">IF(Y259=1,"",IF(AND(Z259=1,AB259&lt;&gt;1),1,0))</f>
        <v/>
      </c>
      <c r="AE259" s="0" t="str">
        <f aca="false">IF(Y259=1,"",IF(AND(AA259=1,AC259&lt;&gt;1),1,0))</f>
        <v/>
      </c>
      <c r="AF259" s="45" t="str">
        <f aca="false">IF(AND(E259&gt;0,Y259&lt;1,NOT(AND(C260=C259,Y260=Y259+1))),INDEX(DATAS,Y259+1),"")</f>
        <v/>
      </c>
      <c r="AG259" s="45" t="str">
        <f aca="false">IF(AND(AA259=1,Y259&lt;1),IF(AND(C260=C259,Y260=Y259+1),IF(AA260=1,"",INDEX(DATAS,Y259+1)),INDEX(DATAS,Y259+1)),"")</f>
        <v/>
      </c>
    </row>
    <row r="260" customFormat="false" ht="15" hidden="false" customHeight="false" outlineLevel="0" collapsed="false">
      <c r="A260" s="45" t="n">
        <v>46309</v>
      </c>
      <c r="B260" s="0" t="n">
        <v>6</v>
      </c>
      <c r="C260" s="0" t="n">
        <v>3786</v>
      </c>
      <c r="D260" s="0" t="n">
        <v>315</v>
      </c>
      <c r="E260" s="0" t="n">
        <v>3</v>
      </c>
      <c r="F260" s="39" t="s">
        <v>331</v>
      </c>
      <c r="G260" s="0" t="n">
        <v>30.1</v>
      </c>
      <c r="H260" s="0" t="n">
        <v>30</v>
      </c>
      <c r="I260" s="39" t="s">
        <v>109</v>
      </c>
      <c r="J260" s="0" t="n">
        <v>273</v>
      </c>
      <c r="K260" s="0" t="n">
        <v>63</v>
      </c>
      <c r="L260" s="0" t="n">
        <v>42</v>
      </c>
      <c r="M260" s="0" t="n">
        <v>768.64</v>
      </c>
      <c r="N260" s="0" t="n">
        <v>33.91</v>
      </c>
      <c r="O260" s="0" t="n">
        <v>28.87</v>
      </c>
      <c r="P260" s="0" t="n">
        <v>5.46</v>
      </c>
      <c r="Q260" s="0" t="n">
        <v>3.65</v>
      </c>
      <c r="R260" s="0" t="n">
        <v>6225</v>
      </c>
      <c r="S260" s="0" t="n">
        <v>11997</v>
      </c>
      <c r="T260" s="0" t="n">
        <v>63</v>
      </c>
      <c r="U260" s="0" t="n">
        <v>1743</v>
      </c>
      <c r="V260" s="0" t="n">
        <v>5</v>
      </c>
      <c r="W260" s="39" t="n">
        <f aca="false">IF(I260="Male",0,1)</f>
        <v>1</v>
      </c>
      <c r="X260" s="39" t="n">
        <f aca="false">IF(OR(I260="DNB",I260="Dry DNB"),1,0)</f>
        <v>0</v>
      </c>
      <c r="Y260" s="39" t="n">
        <f aca="false">MATCH(A260,DATAS,0)</f>
        <v>1</v>
      </c>
      <c r="Z260" s="39" t="n">
        <f aca="false">IF(AND(E260&gt;0,OR(AND(B260&gt;=1,B260&lt;=6),B260=10)),1,0)</f>
        <v>1</v>
      </c>
      <c r="AA260" s="39" t="n">
        <f aca="false">IF(AND(E260&gt;0,B260=10),1,0)</f>
        <v>0</v>
      </c>
      <c r="AB260" s="0" t="str">
        <f aca="false">IF(AND(C259=C260,Y259=Y260-1),Z259,"")</f>
        <v/>
      </c>
      <c r="AC260" s="0" t="str">
        <f aca="false">IF(AND(C259=C260,Y259=Y260-1),AA259,"")</f>
        <v/>
      </c>
      <c r="AD260" s="0" t="str">
        <f aca="false">IF(Y260=1,"",IF(AND(Z260=1,AB260&lt;&gt;1),1,0))</f>
        <v/>
      </c>
      <c r="AE260" s="0" t="str">
        <f aca="false">IF(Y260=1,"",IF(AND(AA260=1,AC260&lt;&gt;1),1,0))</f>
        <v/>
      </c>
      <c r="AF260" s="45" t="str">
        <f aca="false">IF(AND(E260&gt;0,Y260&lt;1,NOT(AND(C261=C260,Y261=Y260+1))),INDEX(DATAS,Y260+1),"")</f>
        <v/>
      </c>
      <c r="AG260" s="45" t="str">
        <f aca="false">IF(AND(AA260=1,Y260&lt;1),IF(AND(C261=C260,Y261=Y260+1),IF(AA261=1,"",INDEX(DATAS,Y260+1)),INDEX(DATAS,Y260+1)),"")</f>
        <v/>
      </c>
    </row>
    <row r="261" customFormat="false" ht="15" hidden="false" customHeight="false" outlineLevel="0" collapsed="false">
      <c r="A261" s="45" t="n">
        <v>46309</v>
      </c>
      <c r="B261" s="0" t="n">
        <v>5</v>
      </c>
      <c r="C261" s="0" t="n">
        <v>3789</v>
      </c>
      <c r="D261" s="0" t="n">
        <v>198</v>
      </c>
      <c r="E261" s="0" t="n">
        <v>3</v>
      </c>
      <c r="F261" s="39" t="s">
        <v>331</v>
      </c>
      <c r="G261" s="0" t="n">
        <v>46.6</v>
      </c>
      <c r="H261" s="0" t="n">
        <v>41</v>
      </c>
      <c r="I261" s="39" t="s">
        <v>146</v>
      </c>
      <c r="J261" s="0" t="n">
        <v>198</v>
      </c>
      <c r="K261" s="0" t="n">
        <v>65</v>
      </c>
      <c r="M261" s="0" t="n">
        <v>155.58</v>
      </c>
      <c r="N261" s="0" t="n">
        <v>63.6</v>
      </c>
      <c r="O261" s="0" t="n">
        <v>17.69</v>
      </c>
      <c r="P261" s="0" t="n">
        <v>5.06</v>
      </c>
      <c r="Q261" s="0" t="n">
        <v>3.66</v>
      </c>
      <c r="R261" s="0" t="n">
        <v>4370</v>
      </c>
      <c r="S261" s="0" t="n">
        <v>8567</v>
      </c>
      <c r="T261" s="0" t="n">
        <v>51</v>
      </c>
      <c r="U261" s="0" t="n">
        <v>1743</v>
      </c>
      <c r="V261" s="0" t="n">
        <v>2</v>
      </c>
      <c r="W261" s="39" t="n">
        <f aca="false">IF(I261="Male",0,1)</f>
        <v>1</v>
      </c>
      <c r="X261" s="39" t="n">
        <f aca="false">IF(OR(I261="DNB",I261="Dry DNB"),1,0)</f>
        <v>0</v>
      </c>
      <c r="Y261" s="39" t="n">
        <f aca="false">MATCH(A261,DATAS,0)</f>
        <v>1</v>
      </c>
      <c r="Z261" s="39" t="n">
        <f aca="false">IF(AND(E261&gt;0,OR(AND(B261&gt;=1,B261&lt;=6),B261=10)),1,0)</f>
        <v>1</v>
      </c>
      <c r="AA261" s="39" t="n">
        <f aca="false">IF(AND(E261&gt;0,B261=10),1,0)</f>
        <v>0</v>
      </c>
      <c r="AB261" s="0" t="str">
        <f aca="false">IF(AND(C260=C261,Y260=Y261-1),Z260,"")</f>
        <v/>
      </c>
      <c r="AC261" s="0" t="str">
        <f aca="false">IF(AND(C260=C261,Y260=Y261-1),AA260,"")</f>
        <v/>
      </c>
      <c r="AD261" s="0" t="str">
        <f aca="false">IF(Y261=1,"",IF(AND(Z261=1,AB261&lt;&gt;1),1,0))</f>
        <v/>
      </c>
      <c r="AE261" s="0" t="str">
        <f aca="false">IF(Y261=1,"",IF(AND(AA261=1,AC261&lt;&gt;1),1,0))</f>
        <v/>
      </c>
      <c r="AF261" s="45" t="str">
        <f aca="false">IF(AND(E261&gt;0,Y261&lt;1,NOT(AND(C262=C261,Y262=Y261+1))),INDEX(DATAS,Y261+1),"")</f>
        <v/>
      </c>
      <c r="AG261" s="45" t="str">
        <f aca="false">IF(AND(AA261=1,Y261&lt;1),IF(AND(C262=C261,Y262=Y261+1),IF(AA262=1,"",INDEX(DATAS,Y261+1)),INDEX(DATAS,Y261+1)),"")</f>
        <v/>
      </c>
    </row>
    <row r="262" customFormat="false" ht="15" hidden="false" customHeight="false" outlineLevel="0" collapsed="false">
      <c r="A262" s="45" t="n">
        <v>46309</v>
      </c>
      <c r="B262" s="0" t="n">
        <v>2</v>
      </c>
      <c r="C262" s="0" t="n">
        <v>3792</v>
      </c>
      <c r="D262" s="0" t="n">
        <v>278</v>
      </c>
      <c r="E262" s="0" t="n">
        <v>3</v>
      </c>
      <c r="F262" s="39" t="s">
        <v>332</v>
      </c>
      <c r="G262" s="0" t="n">
        <v>57.5</v>
      </c>
      <c r="H262" s="0" t="n">
        <v>54</v>
      </c>
      <c r="I262" s="39" t="s">
        <v>109</v>
      </c>
      <c r="J262" s="0" t="n">
        <v>138</v>
      </c>
      <c r="K262" s="0" t="n">
        <v>68</v>
      </c>
      <c r="L262" s="0" t="n">
        <v>140</v>
      </c>
      <c r="M262" s="0" t="n">
        <v>452.69</v>
      </c>
      <c r="N262" s="0" t="n">
        <v>54.42</v>
      </c>
      <c r="O262" s="0" t="n">
        <v>16.97</v>
      </c>
      <c r="P262" s="0" t="n">
        <v>3.81</v>
      </c>
      <c r="Q262" s="0" t="n">
        <v>3.37</v>
      </c>
      <c r="R262" s="0" t="n">
        <v>5436</v>
      </c>
      <c r="S262" s="0" t="n">
        <v>11364</v>
      </c>
      <c r="T262" s="0" t="n">
        <v>63.4</v>
      </c>
      <c r="U262" s="0" t="n">
        <v>1741</v>
      </c>
      <c r="V262" s="0" t="n">
        <v>3</v>
      </c>
      <c r="W262" s="39" t="n">
        <f aca="false">IF(I262="Male",0,1)</f>
        <v>1</v>
      </c>
      <c r="X262" s="39" t="n">
        <f aca="false">IF(OR(I262="DNB",I262="Dry DNB"),1,0)</f>
        <v>0</v>
      </c>
      <c r="Y262" s="39" t="n">
        <f aca="false">MATCH(A262,DATAS,0)</f>
        <v>1</v>
      </c>
      <c r="Z262" s="39" t="n">
        <f aca="false">IF(AND(E262&gt;0,OR(AND(B262&gt;=1,B262&lt;=6),B262=10)),1,0)</f>
        <v>1</v>
      </c>
      <c r="AA262" s="39" t="n">
        <f aca="false">IF(AND(E262&gt;0,B262=10),1,0)</f>
        <v>0</v>
      </c>
      <c r="AB262" s="0" t="str">
        <f aca="false">IF(AND(C261=C262,Y261=Y262-1),Z261,"")</f>
        <v/>
      </c>
      <c r="AC262" s="0" t="str">
        <f aca="false">IF(AND(C261=C262,Y261=Y262-1),AA261,"")</f>
        <v/>
      </c>
      <c r="AD262" s="0" t="str">
        <f aca="false">IF(Y262=1,"",IF(AND(Z262=1,AB262&lt;&gt;1),1,0))</f>
        <v/>
      </c>
      <c r="AE262" s="0" t="str">
        <f aca="false">IF(Y262=1,"",IF(AND(AA262=1,AC262&lt;&gt;1),1,0))</f>
        <v/>
      </c>
      <c r="AF262" s="45" t="str">
        <f aca="false">IF(AND(E262&gt;0,Y262&lt;1,NOT(AND(C263=C262,Y263=Y262+1))),INDEX(DATAS,Y262+1),"")</f>
        <v/>
      </c>
      <c r="AG262" s="45" t="str">
        <f aca="false">IF(AND(AA262=1,Y262&lt;1),IF(AND(C263=C262,Y263=Y262+1),IF(AA263=1,"",INDEX(DATAS,Y262+1)),INDEX(DATAS,Y262+1)),"")</f>
        <v/>
      </c>
    </row>
    <row r="263" customFormat="false" ht="15" hidden="false" customHeight="false" outlineLevel="0" collapsed="false">
      <c r="A263" s="45" t="n">
        <v>46309</v>
      </c>
      <c r="B263" s="0" t="n">
        <v>6</v>
      </c>
      <c r="C263" s="0" t="n">
        <v>3796</v>
      </c>
      <c r="D263" s="0" t="n">
        <v>739</v>
      </c>
      <c r="E263" s="0" t="n">
        <v>2</v>
      </c>
      <c r="F263" s="39" t="s">
        <v>333</v>
      </c>
      <c r="G263" s="0" t="n">
        <v>25.2</v>
      </c>
      <c r="H263" s="0" t="n">
        <v>23</v>
      </c>
      <c r="I263" s="39" t="s">
        <v>96</v>
      </c>
      <c r="J263" s="0" t="n">
        <v>739</v>
      </c>
      <c r="K263" s="0" t="n">
        <v>68</v>
      </c>
      <c r="M263" s="0" t="n">
        <v>494.53</v>
      </c>
      <c r="N263" s="0" t="n">
        <v>64.78</v>
      </c>
      <c r="O263" s="0" t="n">
        <v>16.4</v>
      </c>
      <c r="P263" s="0" t="n">
        <v>4.66</v>
      </c>
      <c r="Q263" s="0" t="n">
        <v>3.81</v>
      </c>
      <c r="R263" s="0" t="n">
        <v>5470</v>
      </c>
      <c r="S263" s="0" t="n">
        <v>11733</v>
      </c>
      <c r="T263" s="0" t="n">
        <v>46.85</v>
      </c>
      <c r="U263" s="0" t="n">
        <v>1738</v>
      </c>
      <c r="V263" s="0" t="n">
        <v>15</v>
      </c>
      <c r="W263" s="39" t="n">
        <f aca="false">IF(I263="Male",0,1)</f>
        <v>1</v>
      </c>
      <c r="X263" s="39" t="n">
        <f aca="false">IF(OR(I263="DNB",I263="Dry DNB"),1,0)</f>
        <v>1</v>
      </c>
      <c r="Y263" s="39" t="n">
        <f aca="false">MATCH(A263,DATAS,0)</f>
        <v>1</v>
      </c>
      <c r="Z263" s="39" t="n">
        <f aca="false">IF(AND(E263&gt;0,OR(AND(B263&gt;=1,B263&lt;=6),B263=10)),1,0)</f>
        <v>1</v>
      </c>
      <c r="AA263" s="39" t="n">
        <f aca="false">IF(AND(E263&gt;0,B263=10),1,0)</f>
        <v>0</v>
      </c>
      <c r="AB263" s="0" t="str">
        <f aca="false">IF(AND(C262=C263,Y262=Y263-1),Z262,"")</f>
        <v/>
      </c>
      <c r="AC263" s="0" t="str">
        <f aca="false">IF(AND(C262=C263,Y262=Y263-1),AA262,"")</f>
        <v/>
      </c>
      <c r="AD263" s="0" t="str">
        <f aca="false">IF(Y263=1,"",IF(AND(Z263=1,AB263&lt;&gt;1),1,0))</f>
        <v/>
      </c>
      <c r="AE263" s="0" t="str">
        <f aca="false">IF(Y263=1,"",IF(AND(AA263=1,AC263&lt;&gt;1),1,0))</f>
        <v/>
      </c>
      <c r="AF263" s="45" t="str">
        <f aca="false">IF(AND(E263&gt;0,Y263&lt;1,NOT(AND(C264=C263,Y264=Y263+1))),INDEX(DATAS,Y263+1),"")</f>
        <v/>
      </c>
      <c r="AG263" s="45" t="str">
        <f aca="false">IF(AND(AA263=1,Y263&lt;1),IF(AND(C264=C263,Y264=Y263+1),IF(AA264=1,"",INDEX(DATAS,Y263+1)),INDEX(DATAS,Y263+1)),"")</f>
        <v/>
      </c>
    </row>
    <row r="264" customFormat="false" ht="15" hidden="false" customHeight="false" outlineLevel="0" collapsed="false">
      <c r="A264" s="45" t="n">
        <v>46309</v>
      </c>
      <c r="B264" s="0" t="n">
        <v>5</v>
      </c>
      <c r="C264" s="0" t="n">
        <v>3802</v>
      </c>
      <c r="D264" s="0" t="n">
        <v>146</v>
      </c>
      <c r="E264" s="0" t="n">
        <v>3</v>
      </c>
      <c r="F264" s="39" t="s">
        <v>334</v>
      </c>
      <c r="G264" s="0" t="n">
        <v>47.6</v>
      </c>
      <c r="H264" s="0" t="n">
        <v>46</v>
      </c>
      <c r="I264" s="39" t="s">
        <v>146</v>
      </c>
      <c r="J264" s="0" t="n">
        <v>146</v>
      </c>
      <c r="K264" s="0" t="n">
        <v>104</v>
      </c>
      <c r="M264" s="0" t="n">
        <v>465.33</v>
      </c>
      <c r="N264" s="0" t="n">
        <v>66.6</v>
      </c>
      <c r="O264" s="0" t="n">
        <v>23.42</v>
      </c>
      <c r="P264" s="0" t="n">
        <v>4.42</v>
      </c>
      <c r="Q264" s="0" t="n">
        <v>2.93</v>
      </c>
      <c r="R264" s="0" t="n">
        <v>5020</v>
      </c>
      <c r="S264" s="0" t="n">
        <v>10176</v>
      </c>
      <c r="T264" s="0" t="n">
        <v>57.2</v>
      </c>
      <c r="U264" s="0" t="n">
        <v>1730</v>
      </c>
      <c r="V264" s="0" t="n">
        <v>1</v>
      </c>
      <c r="W264" s="39" t="n">
        <f aca="false">IF(I264="Male",0,1)</f>
        <v>1</v>
      </c>
      <c r="X264" s="39" t="n">
        <f aca="false">IF(OR(I264="DNB",I264="Dry DNB"),1,0)</f>
        <v>0</v>
      </c>
      <c r="Y264" s="39" t="n">
        <f aca="false">MATCH(A264,DATAS,0)</f>
        <v>1</v>
      </c>
      <c r="Z264" s="39" t="n">
        <f aca="false">IF(AND(E264&gt;0,OR(AND(B264&gt;=1,B264&lt;=6),B264=10)),1,0)</f>
        <v>1</v>
      </c>
      <c r="AA264" s="39" t="n">
        <f aca="false">IF(AND(E264&gt;0,B264=10),1,0)</f>
        <v>0</v>
      </c>
      <c r="AB264" s="0" t="str">
        <f aca="false">IF(AND(C263=C264,Y263=Y264-1),Z263,"")</f>
        <v/>
      </c>
      <c r="AC264" s="0" t="str">
        <f aca="false">IF(AND(C263=C264,Y263=Y264-1),AA263,"")</f>
        <v/>
      </c>
      <c r="AD264" s="0" t="str">
        <f aca="false">IF(Y264=1,"",IF(AND(Z264=1,AB264&lt;&gt;1),1,0))</f>
        <v/>
      </c>
      <c r="AE264" s="0" t="str">
        <f aca="false">IF(Y264=1,"",IF(AND(AA264=1,AC264&lt;&gt;1),1,0))</f>
        <v/>
      </c>
      <c r="AF264" s="45" t="str">
        <f aca="false">IF(AND(E264&gt;0,Y264&lt;1,NOT(AND(C265=C264,Y265=Y264+1))),INDEX(DATAS,Y264+1),"")</f>
        <v/>
      </c>
      <c r="AG264" s="45" t="str">
        <f aca="false">IF(AND(AA264=1,Y264&lt;1),IF(AND(C265=C264,Y265=Y264+1),IF(AA265=1,"",INDEX(DATAS,Y264+1)),INDEX(DATAS,Y264+1)),"")</f>
        <v/>
      </c>
    </row>
    <row r="265" customFormat="false" ht="15" hidden="false" customHeight="false" outlineLevel="0" collapsed="false">
      <c r="A265" s="45" t="n">
        <v>46309</v>
      </c>
      <c r="B265" s="0" t="n">
        <v>5</v>
      </c>
      <c r="C265" s="0" t="n">
        <v>3803</v>
      </c>
      <c r="D265" s="0" t="n">
        <v>176</v>
      </c>
      <c r="E265" s="0" t="n">
        <v>3</v>
      </c>
      <c r="F265" s="39" t="s">
        <v>335</v>
      </c>
      <c r="G265" s="0" t="n">
        <v>35.5</v>
      </c>
      <c r="H265" s="0" t="n">
        <v>40</v>
      </c>
      <c r="I265" s="39" t="s">
        <v>109</v>
      </c>
      <c r="J265" s="0" t="n">
        <v>92</v>
      </c>
      <c r="K265" s="0" t="n">
        <v>92</v>
      </c>
      <c r="L265" s="0" t="n">
        <v>84</v>
      </c>
      <c r="M265" s="0" t="n">
        <v>820.88</v>
      </c>
      <c r="N265" s="0" t="n">
        <v>33.74</v>
      </c>
      <c r="O265" s="0" t="n">
        <v>29.85</v>
      </c>
      <c r="P265" s="0" t="n">
        <v>3.82</v>
      </c>
      <c r="Q265" s="0" t="n">
        <v>3.85</v>
      </c>
      <c r="R265" s="0" t="n">
        <v>4874</v>
      </c>
      <c r="S265" s="0" t="n">
        <v>8641</v>
      </c>
      <c r="T265" s="0" t="n">
        <v>69.6</v>
      </c>
      <c r="U265" s="0" t="n">
        <v>1729</v>
      </c>
      <c r="V265" s="0" t="n">
        <v>1</v>
      </c>
      <c r="W265" s="39" t="n">
        <f aca="false">IF(I265="Male",0,1)</f>
        <v>1</v>
      </c>
      <c r="X265" s="39" t="n">
        <f aca="false">IF(OR(I265="DNB",I265="Dry DNB"),1,0)</f>
        <v>0</v>
      </c>
      <c r="Y265" s="39" t="n">
        <f aca="false">MATCH(A265,DATAS,0)</f>
        <v>1</v>
      </c>
      <c r="Z265" s="39" t="n">
        <f aca="false">IF(AND(E265&gt;0,OR(AND(B265&gt;=1,B265&lt;=6),B265=10)),1,0)</f>
        <v>1</v>
      </c>
      <c r="AA265" s="39" t="n">
        <f aca="false">IF(AND(E265&gt;0,B265=10),1,0)</f>
        <v>0</v>
      </c>
      <c r="AB265" s="0" t="str">
        <f aca="false">IF(AND(C264=C265,Y264=Y265-1),Z264,"")</f>
        <v/>
      </c>
      <c r="AC265" s="0" t="str">
        <f aca="false">IF(AND(C264=C265,Y264=Y265-1),AA264,"")</f>
        <v/>
      </c>
      <c r="AD265" s="0" t="str">
        <f aca="false">IF(Y265=1,"",IF(AND(Z265=1,AB265&lt;&gt;1),1,0))</f>
        <v/>
      </c>
      <c r="AE265" s="0" t="str">
        <f aca="false">IF(Y265=1,"",IF(AND(AA265=1,AC265&lt;&gt;1),1,0))</f>
        <v/>
      </c>
      <c r="AF265" s="45" t="str">
        <f aca="false">IF(AND(E265&gt;0,Y265&lt;1,NOT(AND(C266=C265,Y266=Y265+1))),INDEX(DATAS,Y265+1),"")</f>
        <v/>
      </c>
      <c r="AG265" s="45" t="str">
        <f aca="false">IF(AND(AA265=1,Y265&lt;1),IF(AND(C266=C265,Y266=Y265+1),IF(AA266=1,"",INDEX(DATAS,Y265+1)),INDEX(DATAS,Y265+1)),"")</f>
        <v/>
      </c>
    </row>
    <row r="266" customFormat="false" ht="15" hidden="false" customHeight="false" outlineLevel="0" collapsed="false">
      <c r="A266" s="45" t="n">
        <v>46309</v>
      </c>
      <c r="B266" s="0" t="n">
        <v>3</v>
      </c>
      <c r="C266" s="0" t="n">
        <v>3805</v>
      </c>
      <c r="D266" s="0" t="n">
        <v>125</v>
      </c>
      <c r="E266" s="0" t="n">
        <v>3</v>
      </c>
      <c r="F266" s="39" t="s">
        <v>336</v>
      </c>
      <c r="G266" s="0" t="n">
        <v>60.7</v>
      </c>
      <c r="H266" s="0" t="n">
        <v>60</v>
      </c>
      <c r="I266" s="39" t="s">
        <v>138</v>
      </c>
      <c r="J266" s="0" t="n">
        <v>125</v>
      </c>
      <c r="K266" s="0" t="n">
        <v>69</v>
      </c>
      <c r="M266" s="0" t="n">
        <v>572.2</v>
      </c>
      <c r="N266" s="0" t="n">
        <v>68.33</v>
      </c>
      <c r="O266" s="0" t="n">
        <v>31.03</v>
      </c>
      <c r="P266" s="0" t="n">
        <v>4.83</v>
      </c>
      <c r="Q266" s="0" t="n">
        <v>3.06</v>
      </c>
      <c r="R266" s="0" t="n">
        <v>5937</v>
      </c>
      <c r="S266" s="0" t="n">
        <v>11860</v>
      </c>
      <c r="T266" s="0" t="n">
        <v>67.2</v>
      </c>
      <c r="U266" s="0" t="n">
        <v>1727</v>
      </c>
      <c r="V266" s="0" t="n">
        <v>2</v>
      </c>
      <c r="W266" s="39" t="n">
        <f aca="false">IF(I266="Male",0,1)</f>
        <v>1</v>
      </c>
      <c r="X266" s="39" t="n">
        <f aca="false">IF(OR(I266="DNB",I266="Dry DNB"),1,0)</f>
        <v>0</v>
      </c>
      <c r="Y266" s="39" t="n">
        <f aca="false">MATCH(A266,DATAS,0)</f>
        <v>1</v>
      </c>
      <c r="Z266" s="39" t="n">
        <f aca="false">IF(AND(E266&gt;0,OR(AND(B266&gt;=1,B266&lt;=6),B266=10)),1,0)</f>
        <v>1</v>
      </c>
      <c r="AA266" s="39" t="n">
        <f aca="false">IF(AND(E266&gt;0,B266=10),1,0)</f>
        <v>0</v>
      </c>
      <c r="AB266" s="0" t="str">
        <f aca="false">IF(AND(C265=C266,Y265=Y266-1),Z265,"")</f>
        <v/>
      </c>
      <c r="AC266" s="0" t="str">
        <f aca="false">IF(AND(C265=C266,Y265=Y266-1),AA265,"")</f>
        <v/>
      </c>
      <c r="AD266" s="0" t="str">
        <f aca="false">IF(Y266=1,"",IF(AND(Z266=1,AB266&lt;&gt;1),1,0))</f>
        <v/>
      </c>
      <c r="AE266" s="0" t="str">
        <f aca="false">IF(Y266=1,"",IF(AND(AA266=1,AC266&lt;&gt;1),1,0))</f>
        <v/>
      </c>
      <c r="AF266" s="45" t="str">
        <f aca="false">IF(AND(E266&gt;0,Y266&lt;1,NOT(AND(C267=C266,Y267=Y266+1))),INDEX(DATAS,Y266+1),"")</f>
        <v/>
      </c>
      <c r="AG266" s="45" t="str">
        <f aca="false">IF(AND(AA266=1,Y266&lt;1),IF(AND(C267=C266,Y267=Y266+1),IF(AA267=1,"",INDEX(DATAS,Y266+1)),INDEX(DATAS,Y266+1)),"")</f>
        <v/>
      </c>
    </row>
    <row r="267" customFormat="false" ht="15" hidden="false" customHeight="false" outlineLevel="0" collapsed="false">
      <c r="A267" s="45" t="n">
        <v>46309</v>
      </c>
      <c r="B267" s="0" t="n">
        <v>5</v>
      </c>
      <c r="C267" s="0" t="n">
        <v>3806</v>
      </c>
      <c r="D267" s="0" t="n">
        <v>281</v>
      </c>
      <c r="E267" s="0" t="n">
        <v>3</v>
      </c>
      <c r="F267" s="39" t="s">
        <v>337</v>
      </c>
      <c r="G267" s="0" t="n">
        <v>36.9</v>
      </c>
      <c r="H267" s="0" t="n">
        <v>36</v>
      </c>
      <c r="I267" s="39" t="s">
        <v>109</v>
      </c>
      <c r="J267" s="0" t="n">
        <v>215</v>
      </c>
      <c r="K267" s="0" t="n">
        <v>215</v>
      </c>
      <c r="L267" s="0" t="n">
        <v>66</v>
      </c>
      <c r="M267" s="0" t="n">
        <v>689.54</v>
      </c>
      <c r="N267" s="0" t="n">
        <v>49.56</v>
      </c>
      <c r="O267" s="0" t="n">
        <v>26.24</v>
      </c>
      <c r="P267" s="0" t="n">
        <v>4.67</v>
      </c>
      <c r="Q267" s="0" t="n">
        <v>3.4</v>
      </c>
      <c r="R267" s="0" t="n">
        <v>4359</v>
      </c>
      <c r="S267" s="0" t="n">
        <v>8939</v>
      </c>
      <c r="T267" s="0" t="n">
        <v>51.5</v>
      </c>
      <c r="U267" s="0" t="n">
        <v>1726</v>
      </c>
      <c r="V267" s="0" t="n">
        <v>1</v>
      </c>
      <c r="W267" s="39" t="n">
        <f aca="false">IF(I267="Male",0,1)</f>
        <v>1</v>
      </c>
      <c r="X267" s="39" t="n">
        <f aca="false">IF(OR(I267="DNB",I267="Dry DNB"),1,0)</f>
        <v>0</v>
      </c>
      <c r="Y267" s="39" t="n">
        <f aca="false">MATCH(A267,DATAS,0)</f>
        <v>1</v>
      </c>
      <c r="Z267" s="39" t="n">
        <f aca="false">IF(AND(E267&gt;0,OR(AND(B267&gt;=1,B267&lt;=6),B267=10)),1,0)</f>
        <v>1</v>
      </c>
      <c r="AA267" s="39" t="n">
        <f aca="false">IF(AND(E267&gt;0,B267=10),1,0)</f>
        <v>0</v>
      </c>
      <c r="AB267" s="0" t="str">
        <f aca="false">IF(AND(C266=C267,Y266=Y267-1),Z266,"")</f>
        <v/>
      </c>
      <c r="AC267" s="0" t="str">
        <f aca="false">IF(AND(C266=C267,Y266=Y267-1),AA266,"")</f>
        <v/>
      </c>
      <c r="AD267" s="0" t="str">
        <f aca="false">IF(Y267=1,"",IF(AND(Z267=1,AB267&lt;&gt;1),1,0))</f>
        <v/>
      </c>
      <c r="AE267" s="0" t="str">
        <f aca="false">IF(Y267=1,"",IF(AND(AA267=1,AC267&lt;&gt;1),1,0))</f>
        <v/>
      </c>
      <c r="AF267" s="45" t="str">
        <f aca="false">IF(AND(E267&gt;0,Y267&lt;1,NOT(AND(C268=C267,Y268=Y267+1))),INDEX(DATAS,Y267+1),"")</f>
        <v/>
      </c>
      <c r="AG267" s="45" t="str">
        <f aca="false">IF(AND(AA267=1,Y267&lt;1),IF(AND(C268=C267,Y268=Y267+1),IF(AA268=1,"",INDEX(DATAS,Y267+1)),INDEX(DATAS,Y267+1)),"")</f>
        <v/>
      </c>
    </row>
    <row r="268" customFormat="false" ht="15" hidden="false" customHeight="false" outlineLevel="0" collapsed="false">
      <c r="A268" s="45" t="n">
        <v>46309</v>
      </c>
      <c r="B268" s="0" t="n">
        <v>3</v>
      </c>
      <c r="C268" s="0" t="n">
        <v>3812</v>
      </c>
      <c r="D268" s="0" t="n">
        <v>137</v>
      </c>
      <c r="E268" s="0" t="n">
        <v>3</v>
      </c>
      <c r="F268" s="39" t="s">
        <v>338</v>
      </c>
      <c r="G268" s="0" t="n">
        <v>61.4</v>
      </c>
      <c r="H268" s="0" t="n">
        <v>62</v>
      </c>
      <c r="I268" s="39" t="s">
        <v>109</v>
      </c>
      <c r="J268" s="0" t="n">
        <v>67</v>
      </c>
      <c r="K268" s="0" t="n">
        <v>67</v>
      </c>
      <c r="L268" s="0" t="n">
        <v>70</v>
      </c>
      <c r="M268" s="0" t="n">
        <v>641.16</v>
      </c>
      <c r="N268" s="0" t="n">
        <v>46.36</v>
      </c>
      <c r="O268" s="0" t="n">
        <v>21.15</v>
      </c>
      <c r="P268" s="0" t="n">
        <v>4.62</v>
      </c>
      <c r="Q268" s="0" t="n">
        <v>2.99</v>
      </c>
      <c r="R268" s="0" t="n">
        <v>6035</v>
      </c>
      <c r="S268" s="0" t="n">
        <v>12501</v>
      </c>
      <c r="T268" s="0" t="n">
        <v>66.05</v>
      </c>
      <c r="U268" s="0" t="n">
        <v>1721</v>
      </c>
      <c r="V268" s="0" t="n">
        <v>1</v>
      </c>
      <c r="W268" s="39" t="n">
        <f aca="false">IF(I268="Male",0,1)</f>
        <v>1</v>
      </c>
      <c r="X268" s="39" t="n">
        <f aca="false">IF(OR(I268="DNB",I268="Dry DNB"),1,0)</f>
        <v>0</v>
      </c>
      <c r="Y268" s="39" t="n">
        <f aca="false">MATCH(A268,DATAS,0)</f>
        <v>1</v>
      </c>
      <c r="Z268" s="39" t="n">
        <f aca="false">IF(AND(E268&gt;0,OR(AND(B268&gt;=1,B268&lt;=6),B268=10)),1,0)</f>
        <v>1</v>
      </c>
      <c r="AA268" s="39" t="n">
        <f aca="false">IF(AND(E268&gt;0,B268=10),1,0)</f>
        <v>0</v>
      </c>
      <c r="AB268" s="0" t="str">
        <f aca="false">IF(AND(C267=C268,Y267=Y268-1),Z267,"")</f>
        <v/>
      </c>
      <c r="AC268" s="0" t="str">
        <f aca="false">IF(AND(C267=C268,Y267=Y268-1),AA267,"")</f>
        <v/>
      </c>
      <c r="AD268" s="0" t="str">
        <f aca="false">IF(Y268=1,"",IF(AND(Z268=1,AB268&lt;&gt;1),1,0))</f>
        <v/>
      </c>
      <c r="AE268" s="0" t="str">
        <f aca="false">IF(Y268=1,"",IF(AND(AA268=1,AC268&lt;&gt;1),1,0))</f>
        <v/>
      </c>
      <c r="AF268" s="45" t="str">
        <f aca="false">IF(AND(E268&gt;0,Y268&lt;1,NOT(AND(C269=C268,Y269=Y268+1))),INDEX(DATAS,Y268+1),"")</f>
        <v/>
      </c>
      <c r="AG268" s="45" t="str">
        <f aca="false">IF(AND(AA268=1,Y268&lt;1),IF(AND(C269=C268,Y269=Y268+1),IF(AA269=1,"",INDEX(DATAS,Y268+1)),INDEX(DATAS,Y268+1)),"")</f>
        <v/>
      </c>
    </row>
    <row r="269" customFormat="false" ht="15" hidden="false" customHeight="false" outlineLevel="0" collapsed="false">
      <c r="A269" s="45" t="n">
        <v>46309</v>
      </c>
      <c r="B269" s="0" t="n">
        <v>6</v>
      </c>
      <c r="C269" s="0" t="n">
        <v>3816</v>
      </c>
      <c r="D269" s="0" t="n">
        <v>576</v>
      </c>
      <c r="E269" s="0" t="n">
        <v>2</v>
      </c>
      <c r="F269" s="39" t="s">
        <v>339</v>
      </c>
      <c r="G269" s="0" t="n">
        <v>28</v>
      </c>
      <c r="H269" s="0" t="n">
        <v>26</v>
      </c>
      <c r="I269" s="39" t="s">
        <v>96</v>
      </c>
      <c r="J269" s="0" t="n">
        <v>576</v>
      </c>
      <c r="K269" s="0" t="n">
        <v>59</v>
      </c>
      <c r="M269" s="0" t="n">
        <v>298.05</v>
      </c>
      <c r="N269" s="0" t="n">
        <v>33.63</v>
      </c>
      <c r="O269" s="0" t="n">
        <v>10.03</v>
      </c>
      <c r="P269" s="0" t="n">
        <v>4.04</v>
      </c>
      <c r="Q269" s="0" t="n">
        <v>3.46</v>
      </c>
      <c r="R269" s="0" t="n">
        <v>4261</v>
      </c>
      <c r="S269" s="0" t="n">
        <v>8477</v>
      </c>
      <c r="T269" s="0" t="n">
        <v>50.1</v>
      </c>
      <c r="U269" s="0" t="n">
        <v>1715</v>
      </c>
      <c r="V269" s="0" t="n">
        <v>7</v>
      </c>
      <c r="W269" s="39" t="n">
        <f aca="false">IF(I269="Male",0,1)</f>
        <v>1</v>
      </c>
      <c r="X269" s="39" t="n">
        <f aca="false">IF(OR(I269="DNB",I269="Dry DNB"),1,0)</f>
        <v>1</v>
      </c>
      <c r="Y269" s="39" t="n">
        <f aca="false">MATCH(A269,DATAS,0)</f>
        <v>1</v>
      </c>
      <c r="Z269" s="39" t="n">
        <f aca="false">IF(AND(E269&gt;0,OR(AND(B269&gt;=1,B269&lt;=6),B269=10)),1,0)</f>
        <v>1</v>
      </c>
      <c r="AA269" s="39" t="n">
        <f aca="false">IF(AND(E269&gt;0,B269=10),1,0)</f>
        <v>0</v>
      </c>
      <c r="AB269" s="0" t="str">
        <f aca="false">IF(AND(C268=C269,Y268=Y269-1),Z268,"")</f>
        <v/>
      </c>
      <c r="AC269" s="0" t="str">
        <f aca="false">IF(AND(C268=C269,Y268=Y269-1),AA268,"")</f>
        <v/>
      </c>
      <c r="AD269" s="0" t="str">
        <f aca="false">IF(Y269=1,"",IF(AND(Z269=1,AB269&lt;&gt;1),1,0))</f>
        <v/>
      </c>
      <c r="AE269" s="0" t="str">
        <f aca="false">IF(Y269=1,"",IF(AND(AA269=1,AC269&lt;&gt;1),1,0))</f>
        <v/>
      </c>
      <c r="AF269" s="45" t="str">
        <f aca="false">IF(AND(E269&gt;0,Y269&lt;1,NOT(AND(C270=C269,Y270=Y269+1))),INDEX(DATAS,Y269+1),"")</f>
        <v/>
      </c>
      <c r="AG269" s="45" t="str">
        <f aca="false">IF(AND(AA269=1,Y269&lt;1),IF(AND(C270=C269,Y270=Y269+1),IF(AA270=1,"",INDEX(DATAS,Y269+1)),INDEX(DATAS,Y269+1)),"")</f>
        <v/>
      </c>
    </row>
    <row r="270" customFormat="false" ht="15" hidden="false" customHeight="false" outlineLevel="0" collapsed="false">
      <c r="A270" s="45" t="n">
        <v>46309</v>
      </c>
      <c r="B270" s="0" t="n">
        <v>5</v>
      </c>
      <c r="C270" s="0" t="n">
        <v>3818</v>
      </c>
      <c r="D270" s="0" t="n">
        <v>278</v>
      </c>
      <c r="E270" s="0" t="n">
        <v>3</v>
      </c>
      <c r="F270" s="39" t="s">
        <v>340</v>
      </c>
      <c r="G270" s="0" t="n">
        <v>32.1</v>
      </c>
      <c r="H270" s="0" t="n">
        <v>41</v>
      </c>
      <c r="I270" s="39" t="s">
        <v>146</v>
      </c>
      <c r="J270" s="0" t="n">
        <v>278</v>
      </c>
      <c r="K270" s="0" t="n">
        <v>68</v>
      </c>
      <c r="M270" s="0" t="n">
        <v>329.27</v>
      </c>
      <c r="N270" s="0" t="n">
        <v>40.12</v>
      </c>
      <c r="O270" s="0" t="n">
        <v>11.73</v>
      </c>
      <c r="P270" s="0" t="n">
        <v>4.64</v>
      </c>
      <c r="Q270" s="0" t="n">
        <v>3.83</v>
      </c>
      <c r="R270" s="0" t="n">
        <v>3623</v>
      </c>
      <c r="S270" s="0" t="n">
        <v>8734</v>
      </c>
      <c r="T270" s="0" t="n">
        <v>46.2</v>
      </c>
      <c r="U270" s="0" t="n">
        <v>1713</v>
      </c>
      <c r="V270" s="0" t="n">
        <v>5</v>
      </c>
      <c r="W270" s="39" t="n">
        <f aca="false">IF(I270="Male",0,1)</f>
        <v>1</v>
      </c>
      <c r="X270" s="39" t="n">
        <f aca="false">IF(OR(I270="DNB",I270="Dry DNB"),1,0)</f>
        <v>0</v>
      </c>
      <c r="Y270" s="39" t="n">
        <f aca="false">MATCH(A270,DATAS,0)</f>
        <v>1</v>
      </c>
      <c r="Z270" s="39" t="n">
        <f aca="false">IF(AND(E270&gt;0,OR(AND(B270&gt;=1,B270&lt;=6),B270=10)),1,0)</f>
        <v>1</v>
      </c>
      <c r="AA270" s="39" t="n">
        <f aca="false">IF(AND(E270&gt;0,B270=10),1,0)</f>
        <v>0</v>
      </c>
      <c r="AB270" s="0" t="str">
        <f aca="false">IF(AND(C269=C270,Y269=Y270-1),Z269,"")</f>
        <v/>
      </c>
      <c r="AC270" s="0" t="str">
        <f aca="false">IF(AND(C269=C270,Y269=Y270-1),AA269,"")</f>
        <v/>
      </c>
      <c r="AD270" s="0" t="str">
        <f aca="false">IF(Y270=1,"",IF(AND(Z270=1,AB270&lt;&gt;1),1,0))</f>
        <v/>
      </c>
      <c r="AE270" s="0" t="str">
        <f aca="false">IF(Y270=1,"",IF(AND(AA270=1,AC270&lt;&gt;1),1,0))</f>
        <v/>
      </c>
      <c r="AF270" s="45" t="str">
        <f aca="false">IF(AND(E270&gt;0,Y270&lt;1,NOT(AND(C271=C270,Y271=Y270+1))),INDEX(DATAS,Y270+1),"")</f>
        <v/>
      </c>
      <c r="AG270" s="45" t="str">
        <f aca="false">IF(AND(AA270=1,Y270&lt;1),IF(AND(C271=C270,Y271=Y270+1),IF(AA271=1,"",INDEX(DATAS,Y270+1)),INDEX(DATAS,Y270+1)),"")</f>
        <v/>
      </c>
    </row>
    <row r="271" customFormat="false" ht="15" hidden="false" customHeight="false" outlineLevel="0" collapsed="false">
      <c r="A271" s="45" t="n">
        <v>46309</v>
      </c>
      <c r="B271" s="0" t="n">
        <v>5</v>
      </c>
      <c r="C271" s="0" t="n">
        <v>3821</v>
      </c>
      <c r="D271" s="0" t="n">
        <v>231</v>
      </c>
      <c r="E271" s="0" t="n">
        <v>3</v>
      </c>
      <c r="F271" s="39" t="s">
        <v>341</v>
      </c>
      <c r="G271" s="0" t="n">
        <v>43</v>
      </c>
      <c r="H271" s="0" t="n">
        <v>42</v>
      </c>
      <c r="I271" s="39" t="s">
        <v>138</v>
      </c>
      <c r="J271" s="0" t="n">
        <v>231</v>
      </c>
      <c r="K271" s="0" t="n">
        <v>63</v>
      </c>
      <c r="M271" s="0" t="n">
        <v>1051.77</v>
      </c>
      <c r="N271" s="0" t="n">
        <v>24.92</v>
      </c>
      <c r="O271" s="0" t="n">
        <v>34.39</v>
      </c>
      <c r="P271" s="0" t="n">
        <v>4.52</v>
      </c>
      <c r="Q271" s="0" t="n">
        <v>3.61</v>
      </c>
      <c r="R271" s="0" t="n">
        <v>3461</v>
      </c>
      <c r="S271" s="0" t="n">
        <v>8200</v>
      </c>
      <c r="T271" s="0" t="n">
        <v>33.85</v>
      </c>
      <c r="U271" s="0" t="n">
        <v>1711</v>
      </c>
      <c r="V271" s="0" t="n">
        <v>4</v>
      </c>
      <c r="W271" s="39" t="n">
        <f aca="false">IF(I271="Male",0,1)</f>
        <v>1</v>
      </c>
      <c r="X271" s="39" t="n">
        <f aca="false">IF(OR(I271="DNB",I271="Dry DNB"),1,0)</f>
        <v>0</v>
      </c>
      <c r="Y271" s="39" t="n">
        <f aca="false">MATCH(A271,DATAS,0)</f>
        <v>1</v>
      </c>
      <c r="Z271" s="39" t="n">
        <f aca="false">IF(AND(E271&gt;0,OR(AND(B271&gt;=1,B271&lt;=6),B271=10)),1,0)</f>
        <v>1</v>
      </c>
      <c r="AA271" s="39" t="n">
        <f aca="false">IF(AND(E271&gt;0,B271=10),1,0)</f>
        <v>0</v>
      </c>
      <c r="AB271" s="0" t="str">
        <f aca="false">IF(AND(C270=C271,Y270=Y271-1),Z270,"")</f>
        <v/>
      </c>
      <c r="AC271" s="0" t="str">
        <f aca="false">IF(AND(C270=C271,Y270=Y271-1),AA270,"")</f>
        <v/>
      </c>
      <c r="AD271" s="0" t="str">
        <f aca="false">IF(Y271=1,"",IF(AND(Z271=1,AB271&lt;&gt;1),1,0))</f>
        <v/>
      </c>
      <c r="AE271" s="0" t="str">
        <f aca="false">IF(Y271=1,"",IF(AND(AA271=1,AC271&lt;&gt;1),1,0))</f>
        <v/>
      </c>
      <c r="AF271" s="45" t="str">
        <f aca="false">IF(AND(E271&gt;0,Y271&lt;1,NOT(AND(C272=C271,Y272=Y271+1))),INDEX(DATAS,Y271+1),"")</f>
        <v/>
      </c>
      <c r="AG271" s="45" t="str">
        <f aca="false">IF(AND(AA271=1,Y271&lt;1),IF(AND(C272=C271,Y272=Y271+1),IF(AA272=1,"",INDEX(DATAS,Y271+1)),INDEX(DATAS,Y271+1)),"")</f>
        <v/>
      </c>
    </row>
    <row r="272" customFormat="false" ht="15" hidden="false" customHeight="false" outlineLevel="0" collapsed="false">
      <c r="A272" s="45" t="n">
        <v>46309</v>
      </c>
      <c r="B272" s="0" t="n">
        <v>2</v>
      </c>
      <c r="C272" s="0" t="n">
        <v>3822</v>
      </c>
      <c r="D272" s="0" t="n">
        <v>79</v>
      </c>
      <c r="E272" s="0" t="n">
        <v>3</v>
      </c>
      <c r="F272" s="39" t="s">
        <v>342</v>
      </c>
      <c r="G272" s="0" t="n">
        <v>38.8</v>
      </c>
      <c r="H272" s="0" t="n">
        <v>46</v>
      </c>
      <c r="I272" s="39" t="s">
        <v>138</v>
      </c>
      <c r="J272" s="0" t="n">
        <v>79</v>
      </c>
      <c r="K272" s="0" t="n">
        <v>65</v>
      </c>
      <c r="M272" s="0" t="n">
        <v>67.66</v>
      </c>
      <c r="N272" s="0" t="n">
        <v>56.39</v>
      </c>
      <c r="O272" s="0" t="n">
        <v>20.23</v>
      </c>
      <c r="P272" s="0" t="n">
        <v>4.84</v>
      </c>
      <c r="Q272" s="0" t="n">
        <v>3.23</v>
      </c>
      <c r="R272" s="0" t="n">
        <v>3292</v>
      </c>
      <c r="S272" s="0" t="n">
        <v>6618</v>
      </c>
      <c r="U272" s="0" t="n">
        <v>1710</v>
      </c>
      <c r="V272" s="0" t="n">
        <v>1</v>
      </c>
      <c r="W272" s="39" t="n">
        <f aca="false">IF(I272="Male",0,1)</f>
        <v>1</v>
      </c>
      <c r="X272" s="39" t="n">
        <f aca="false">IF(OR(I272="DNB",I272="Dry DNB"),1,0)</f>
        <v>0</v>
      </c>
      <c r="Y272" s="39" t="n">
        <f aca="false">MATCH(A272,DATAS,0)</f>
        <v>1</v>
      </c>
      <c r="Z272" s="39" t="n">
        <f aca="false">IF(AND(E272&gt;0,OR(AND(B272&gt;=1,B272&lt;=6),B272=10)),1,0)</f>
        <v>1</v>
      </c>
      <c r="AA272" s="39" t="n">
        <f aca="false">IF(AND(E272&gt;0,B272=10),1,0)</f>
        <v>0</v>
      </c>
      <c r="AB272" s="0" t="str">
        <f aca="false">IF(AND(C271=C272,Y271=Y272-1),Z271,"")</f>
        <v/>
      </c>
      <c r="AC272" s="0" t="str">
        <f aca="false">IF(AND(C271=C272,Y271=Y272-1),AA271,"")</f>
        <v/>
      </c>
      <c r="AD272" s="0" t="str">
        <f aca="false">IF(Y272=1,"",IF(AND(Z272=1,AB272&lt;&gt;1),1,0))</f>
        <v/>
      </c>
      <c r="AE272" s="0" t="str">
        <f aca="false">IF(Y272=1,"",IF(AND(AA272=1,AC272&lt;&gt;1),1,0))</f>
        <v/>
      </c>
      <c r="AF272" s="45" t="str">
        <f aca="false">IF(AND(E272&gt;0,Y272&lt;1,NOT(AND(C273=C272,Y273=Y272+1))),INDEX(DATAS,Y272+1),"")</f>
        <v/>
      </c>
      <c r="AG272" s="45" t="str">
        <f aca="false">IF(AND(AA272=1,Y272&lt;1),IF(AND(C273=C272,Y273=Y272+1),IF(AA273=1,"",INDEX(DATAS,Y272+1)),INDEX(DATAS,Y272+1)),"")</f>
        <v/>
      </c>
    </row>
    <row r="273" customFormat="false" ht="15" hidden="false" customHeight="false" outlineLevel="0" collapsed="false">
      <c r="A273" s="45" t="n">
        <v>46309</v>
      </c>
      <c r="B273" s="0" t="n">
        <v>5</v>
      </c>
      <c r="C273" s="0" t="n">
        <v>3823</v>
      </c>
      <c r="D273" s="0" t="n">
        <v>216</v>
      </c>
      <c r="E273" s="0" t="n">
        <v>3</v>
      </c>
      <c r="F273" s="39" t="s">
        <v>342</v>
      </c>
      <c r="G273" s="0" t="n">
        <v>50.9</v>
      </c>
      <c r="H273" s="0" t="n">
        <v>46</v>
      </c>
      <c r="I273" s="39" t="s">
        <v>138</v>
      </c>
      <c r="J273" s="0" t="n">
        <v>216</v>
      </c>
      <c r="K273" s="0" t="n">
        <v>62</v>
      </c>
      <c r="M273" s="0" t="n">
        <v>462.72</v>
      </c>
      <c r="N273" s="0" t="n">
        <v>17.25</v>
      </c>
      <c r="O273" s="0" t="n">
        <v>20.96</v>
      </c>
      <c r="P273" s="0" t="n">
        <v>3.82</v>
      </c>
      <c r="Q273" s="0" t="n">
        <v>3.64</v>
      </c>
      <c r="R273" s="0" t="n">
        <v>4954</v>
      </c>
      <c r="S273" s="0" t="n">
        <v>8852</v>
      </c>
      <c r="T273" s="0" t="n">
        <v>48</v>
      </c>
      <c r="U273" s="0" t="n">
        <v>1710</v>
      </c>
      <c r="V273" s="0" t="n">
        <v>4</v>
      </c>
      <c r="W273" s="39" t="n">
        <f aca="false">IF(I273="Male",0,1)</f>
        <v>1</v>
      </c>
      <c r="X273" s="39" t="n">
        <f aca="false">IF(OR(I273="DNB",I273="Dry DNB"),1,0)</f>
        <v>0</v>
      </c>
      <c r="Y273" s="39" t="n">
        <f aca="false">MATCH(A273,DATAS,0)</f>
        <v>1</v>
      </c>
      <c r="Z273" s="39" t="n">
        <f aca="false">IF(AND(E273&gt;0,OR(AND(B273&gt;=1,B273&lt;=6),B273=10)),1,0)</f>
        <v>1</v>
      </c>
      <c r="AA273" s="39" t="n">
        <f aca="false">IF(AND(E273&gt;0,B273=10),1,0)</f>
        <v>0</v>
      </c>
      <c r="AB273" s="0" t="str">
        <f aca="false">IF(AND(C272=C273,Y272=Y273-1),Z272,"")</f>
        <v/>
      </c>
      <c r="AC273" s="0" t="str">
        <f aca="false">IF(AND(C272=C273,Y272=Y273-1),AA272,"")</f>
        <v/>
      </c>
      <c r="AD273" s="0" t="str">
        <f aca="false">IF(Y273=1,"",IF(AND(Z273=1,AB273&lt;&gt;1),1,0))</f>
        <v/>
      </c>
      <c r="AE273" s="0" t="str">
        <f aca="false">IF(Y273=1,"",IF(AND(AA273=1,AC273&lt;&gt;1),1,0))</f>
        <v/>
      </c>
      <c r="AF273" s="45" t="str">
        <f aca="false">IF(AND(E273&gt;0,Y273&lt;1,NOT(AND(C274=C273,Y274=Y273+1))),INDEX(DATAS,Y273+1),"")</f>
        <v/>
      </c>
      <c r="AG273" s="45" t="str">
        <f aca="false">IF(AND(AA273=1,Y273&lt;1),IF(AND(C274=C273,Y274=Y273+1),IF(AA274=1,"",INDEX(DATAS,Y273+1)),INDEX(DATAS,Y273+1)),"")</f>
        <v/>
      </c>
    </row>
    <row r="274" customFormat="false" ht="15" hidden="false" customHeight="false" outlineLevel="0" collapsed="false">
      <c r="A274" s="45" t="n">
        <v>46309</v>
      </c>
      <c r="B274" s="0" t="n">
        <v>10</v>
      </c>
      <c r="C274" s="0" t="n">
        <v>3825</v>
      </c>
      <c r="D274" s="0" t="n">
        <v>226</v>
      </c>
      <c r="E274" s="0" t="n">
        <v>3</v>
      </c>
      <c r="F274" s="39" t="s">
        <v>342</v>
      </c>
      <c r="H274" s="0" t="n">
        <v>14</v>
      </c>
      <c r="I274" s="39" t="s">
        <v>146</v>
      </c>
      <c r="J274" s="0" t="n">
        <v>226</v>
      </c>
      <c r="K274" s="0" t="n">
        <v>72</v>
      </c>
      <c r="M274" s="0" t="n">
        <v>125.1</v>
      </c>
      <c r="N274" s="0" t="n">
        <v>40.96</v>
      </c>
      <c r="O274" s="0" t="n">
        <v>19.72</v>
      </c>
      <c r="P274" s="0" t="n">
        <v>4.04</v>
      </c>
      <c r="Q274" s="0" t="n">
        <v>3.61</v>
      </c>
      <c r="R274" s="0" t="n">
        <v>4983</v>
      </c>
      <c r="S274" s="0" t="n">
        <v>10428</v>
      </c>
      <c r="T274" s="0" t="n">
        <v>59.4</v>
      </c>
      <c r="U274" s="0" t="n">
        <v>1710</v>
      </c>
      <c r="V274" s="0" t="n">
        <v>2</v>
      </c>
      <c r="W274" s="39" t="n">
        <f aca="false">IF(I274="Male",0,1)</f>
        <v>1</v>
      </c>
      <c r="X274" s="39" t="n">
        <f aca="false">IF(OR(I274="DNB",I274="Dry DNB"),1,0)</f>
        <v>0</v>
      </c>
      <c r="Y274" s="39" t="n">
        <f aca="false">MATCH(A274,DATAS,0)</f>
        <v>1</v>
      </c>
      <c r="Z274" s="39" t="n">
        <f aca="false">IF(AND(E274&gt;0,OR(AND(B274&gt;=1,B274&lt;=6),B274=10)),1,0)</f>
        <v>1</v>
      </c>
      <c r="AA274" s="39" t="n">
        <f aca="false">IF(AND(E274&gt;0,B274=10),1,0)</f>
        <v>1</v>
      </c>
      <c r="AB274" s="0" t="str">
        <f aca="false">IF(AND(C273=C274,Y273=Y274-1),Z273,"")</f>
        <v/>
      </c>
      <c r="AC274" s="0" t="str">
        <f aca="false">IF(AND(C273=C274,Y273=Y274-1),AA273,"")</f>
        <v/>
      </c>
      <c r="AD274" s="0" t="str">
        <f aca="false">IF(Y274=1,"",IF(AND(Z274=1,AB274&lt;&gt;1),1,0))</f>
        <v/>
      </c>
      <c r="AE274" s="0" t="str">
        <f aca="false">IF(Y274=1,"",IF(AND(AA274=1,AC274&lt;&gt;1),1,0))</f>
        <v/>
      </c>
      <c r="AF274" s="45" t="str">
        <f aca="false">IF(AND(E274&gt;0,Y274&lt;1,NOT(AND(C275=C274,Y275=Y274+1))),INDEX(DATAS,Y274+1),"")</f>
        <v/>
      </c>
      <c r="AG274" s="45" t="str">
        <f aca="false">IF(AND(AA274=1,Y274&lt;1),IF(AND(C275=C274,Y275=Y274+1),IF(AA275=1,"",INDEX(DATAS,Y274+1)),INDEX(DATAS,Y274+1)),"")</f>
        <v/>
      </c>
    </row>
    <row r="275" customFormat="false" ht="15" hidden="false" customHeight="false" outlineLevel="0" collapsed="false">
      <c r="A275" s="45" t="n">
        <v>46309</v>
      </c>
      <c r="B275" s="0" t="n">
        <v>6</v>
      </c>
      <c r="C275" s="0" t="n">
        <v>3826</v>
      </c>
      <c r="D275" s="0" t="n">
        <v>232</v>
      </c>
      <c r="E275" s="0" t="n">
        <v>3</v>
      </c>
      <c r="F275" s="39" t="s">
        <v>343</v>
      </c>
      <c r="G275" s="0" t="n">
        <v>26.3</v>
      </c>
      <c r="H275" s="0" t="n">
        <v>22</v>
      </c>
      <c r="I275" s="39" t="s">
        <v>109</v>
      </c>
      <c r="J275" s="0" t="n">
        <v>148</v>
      </c>
      <c r="K275" s="0" t="n">
        <v>64</v>
      </c>
      <c r="L275" s="0" t="n">
        <v>84</v>
      </c>
      <c r="M275" s="0" t="n">
        <v>817.64</v>
      </c>
      <c r="N275" s="0" t="n">
        <v>45.59</v>
      </c>
      <c r="O275" s="0" t="n">
        <v>35.55</v>
      </c>
      <c r="P275" s="0" t="n">
        <v>3.88</v>
      </c>
      <c r="Q275" s="0" t="n">
        <v>3.56</v>
      </c>
      <c r="R275" s="0" t="n">
        <v>5205</v>
      </c>
      <c r="S275" s="0" t="n">
        <v>9518</v>
      </c>
      <c r="T275" s="0" t="n">
        <v>61.05</v>
      </c>
      <c r="U275" s="0" t="n">
        <v>1708</v>
      </c>
      <c r="V275" s="0" t="n">
        <v>4</v>
      </c>
      <c r="W275" s="39" t="n">
        <f aca="false">IF(I275="Male",0,1)</f>
        <v>1</v>
      </c>
      <c r="X275" s="39" t="n">
        <f aca="false">IF(OR(I275="DNB",I275="Dry DNB"),1,0)</f>
        <v>0</v>
      </c>
      <c r="Y275" s="39" t="n">
        <f aca="false">MATCH(A275,DATAS,0)</f>
        <v>1</v>
      </c>
      <c r="Z275" s="39" t="n">
        <f aca="false">IF(AND(E275&gt;0,OR(AND(B275&gt;=1,B275&lt;=6),B275=10)),1,0)</f>
        <v>1</v>
      </c>
      <c r="AA275" s="39" t="n">
        <f aca="false">IF(AND(E275&gt;0,B275=10),1,0)</f>
        <v>0</v>
      </c>
      <c r="AB275" s="0" t="str">
        <f aca="false">IF(AND(C274=C275,Y274=Y275-1),Z274,"")</f>
        <v/>
      </c>
      <c r="AC275" s="0" t="str">
        <f aca="false">IF(AND(C274=C275,Y274=Y275-1),AA274,"")</f>
        <v/>
      </c>
      <c r="AD275" s="0" t="str">
        <f aca="false">IF(Y275=1,"",IF(AND(Z275=1,AB275&lt;&gt;1),1,0))</f>
        <v/>
      </c>
      <c r="AE275" s="0" t="str">
        <f aca="false">IF(Y275=1,"",IF(AND(AA275=1,AC275&lt;&gt;1),1,0))</f>
        <v/>
      </c>
      <c r="AF275" s="45" t="str">
        <f aca="false">IF(AND(E275&gt;0,Y275&lt;1,NOT(AND(C276=C275,Y276=Y275+1))),INDEX(DATAS,Y275+1),"")</f>
        <v/>
      </c>
      <c r="AG275" s="45" t="str">
        <f aca="false">IF(AND(AA275=1,Y275&lt;1),IF(AND(C276=C275,Y276=Y275+1),IF(AA276=1,"",INDEX(DATAS,Y275+1)),INDEX(DATAS,Y275+1)),"")</f>
        <v/>
      </c>
    </row>
    <row r="276" customFormat="false" ht="15" hidden="false" customHeight="false" outlineLevel="0" collapsed="false">
      <c r="A276" s="45" t="n">
        <v>46309</v>
      </c>
      <c r="B276" s="0" t="n">
        <v>10</v>
      </c>
      <c r="C276" s="0" t="n">
        <v>3832</v>
      </c>
      <c r="D276" s="0" t="n">
        <v>131</v>
      </c>
      <c r="E276" s="0" t="n">
        <v>3</v>
      </c>
      <c r="F276" s="39" t="s">
        <v>344</v>
      </c>
      <c r="G276" s="0" t="n">
        <v>26.5</v>
      </c>
      <c r="H276" s="0" t="n">
        <v>25</v>
      </c>
      <c r="I276" s="39" t="s">
        <v>138</v>
      </c>
      <c r="J276" s="0" t="n">
        <v>131</v>
      </c>
      <c r="K276" s="0" t="n">
        <v>68</v>
      </c>
      <c r="M276" s="0" t="n">
        <v>663.06</v>
      </c>
      <c r="N276" s="0" t="n">
        <v>61.85</v>
      </c>
      <c r="O276" s="0" t="n">
        <v>24.79</v>
      </c>
      <c r="P276" s="0" t="n">
        <v>5.28</v>
      </c>
      <c r="Q276" s="0" t="n">
        <v>3.08</v>
      </c>
      <c r="R276" s="0" t="n">
        <v>6024</v>
      </c>
      <c r="S276" s="0" t="n">
        <v>11319</v>
      </c>
      <c r="T276" s="0" t="n">
        <v>62</v>
      </c>
      <c r="U276" s="0" t="n">
        <v>1704</v>
      </c>
      <c r="V276" s="0" t="n">
        <v>2</v>
      </c>
      <c r="W276" s="39" t="n">
        <f aca="false">IF(I276="Male",0,1)</f>
        <v>1</v>
      </c>
      <c r="X276" s="39" t="n">
        <f aca="false">IF(OR(I276="DNB",I276="Dry DNB"),1,0)</f>
        <v>0</v>
      </c>
      <c r="Y276" s="39" t="n">
        <f aca="false">MATCH(A276,DATAS,0)</f>
        <v>1</v>
      </c>
      <c r="Z276" s="39" t="n">
        <f aca="false">IF(AND(E276&gt;0,OR(AND(B276&gt;=1,B276&lt;=6),B276=10)),1,0)</f>
        <v>1</v>
      </c>
      <c r="AA276" s="39" t="n">
        <f aca="false">IF(AND(E276&gt;0,B276=10),1,0)</f>
        <v>1</v>
      </c>
      <c r="AB276" s="0" t="str">
        <f aca="false">IF(AND(C275=C276,Y275=Y276-1),Z275,"")</f>
        <v/>
      </c>
      <c r="AC276" s="0" t="str">
        <f aca="false">IF(AND(C275=C276,Y275=Y276-1),AA275,"")</f>
        <v/>
      </c>
      <c r="AD276" s="0" t="str">
        <f aca="false">IF(Y276=1,"",IF(AND(Z276=1,AB276&lt;&gt;1),1,0))</f>
        <v/>
      </c>
      <c r="AE276" s="0" t="str">
        <f aca="false">IF(Y276=1,"",IF(AND(AA276=1,AC276&lt;&gt;1),1,0))</f>
        <v/>
      </c>
      <c r="AF276" s="45" t="str">
        <f aca="false">IF(AND(E276&gt;0,Y276&lt;1,NOT(AND(C277=C276,Y277=Y276+1))),INDEX(DATAS,Y276+1),"")</f>
        <v/>
      </c>
      <c r="AG276" s="45" t="str">
        <f aca="false">IF(AND(AA276=1,Y276&lt;1),IF(AND(C277=C276,Y277=Y276+1),IF(AA277=1,"",INDEX(DATAS,Y276+1)),INDEX(DATAS,Y276+1)),"")</f>
        <v/>
      </c>
    </row>
    <row r="277" customFormat="false" ht="15" hidden="false" customHeight="false" outlineLevel="0" collapsed="false">
      <c r="A277" s="45" t="n">
        <v>46309</v>
      </c>
      <c r="B277" s="0" t="n">
        <v>5</v>
      </c>
      <c r="C277" s="0" t="n">
        <v>3833</v>
      </c>
      <c r="D277" s="0" t="n">
        <v>185</v>
      </c>
      <c r="E277" s="0" t="n">
        <v>3</v>
      </c>
      <c r="F277" s="39" t="s">
        <v>344</v>
      </c>
      <c r="G277" s="0" t="n">
        <v>19.8</v>
      </c>
      <c r="H277" s="0" t="n">
        <v>23</v>
      </c>
      <c r="I277" s="39" t="s">
        <v>146</v>
      </c>
      <c r="J277" s="0" t="n">
        <v>185</v>
      </c>
      <c r="K277" s="0" t="n">
        <v>66</v>
      </c>
      <c r="M277" s="0" t="n">
        <v>746.26</v>
      </c>
      <c r="N277" s="0" t="n">
        <v>49.47</v>
      </c>
      <c r="O277" s="0" t="n">
        <v>27.55</v>
      </c>
      <c r="P277" s="0" t="n">
        <v>0</v>
      </c>
      <c r="Q277" s="0" t="n">
        <v>0</v>
      </c>
      <c r="R277" s="0" t="n">
        <v>4946</v>
      </c>
      <c r="S277" s="0" t="n">
        <v>9847</v>
      </c>
      <c r="T277" s="0" t="n">
        <v>48.55</v>
      </c>
      <c r="U277" s="0" t="n">
        <v>1704</v>
      </c>
      <c r="V277" s="0" t="n">
        <v>3</v>
      </c>
      <c r="W277" s="39" t="n">
        <f aca="false">IF(I277="Male",0,1)</f>
        <v>1</v>
      </c>
      <c r="X277" s="39" t="n">
        <f aca="false">IF(OR(I277="DNB",I277="Dry DNB"),1,0)</f>
        <v>0</v>
      </c>
      <c r="Y277" s="39" t="n">
        <f aca="false">MATCH(A277,DATAS,0)</f>
        <v>1</v>
      </c>
      <c r="Z277" s="39" t="n">
        <f aca="false">IF(AND(E277&gt;0,OR(AND(B277&gt;=1,B277&lt;=6),B277=10)),1,0)</f>
        <v>1</v>
      </c>
      <c r="AA277" s="39" t="n">
        <f aca="false">IF(AND(E277&gt;0,B277=10),1,0)</f>
        <v>0</v>
      </c>
      <c r="AB277" s="0" t="str">
        <f aca="false">IF(AND(C276=C277,Y276=Y277-1),Z276,"")</f>
        <v/>
      </c>
      <c r="AC277" s="0" t="str">
        <f aca="false">IF(AND(C276=C277,Y276=Y277-1),AA276,"")</f>
        <v/>
      </c>
      <c r="AD277" s="0" t="str">
        <f aca="false">IF(Y277=1,"",IF(AND(Z277=1,AB277&lt;&gt;1),1,0))</f>
        <v/>
      </c>
      <c r="AE277" s="0" t="str">
        <f aca="false">IF(Y277=1,"",IF(AND(AA277=1,AC277&lt;&gt;1),1,0))</f>
        <v/>
      </c>
      <c r="AF277" s="45" t="str">
        <f aca="false">IF(AND(E277&gt;0,Y277&lt;1,NOT(AND(C278=C277,Y278=Y277+1))),INDEX(DATAS,Y277+1),"")</f>
        <v/>
      </c>
      <c r="AG277" s="45" t="str">
        <f aca="false">IF(AND(AA277=1,Y277&lt;1),IF(AND(C278=C277,Y278=Y277+1),IF(AA278=1,"",INDEX(DATAS,Y277+1)),INDEX(DATAS,Y277+1)),"")</f>
        <v/>
      </c>
    </row>
    <row r="278" customFormat="false" ht="15" hidden="false" customHeight="false" outlineLevel="0" collapsed="false">
      <c r="A278" s="45" t="n">
        <v>46309</v>
      </c>
      <c r="B278" s="0" t="n">
        <v>5</v>
      </c>
      <c r="C278" s="0" t="n">
        <v>3834</v>
      </c>
      <c r="D278" s="0" t="n">
        <v>343</v>
      </c>
      <c r="E278" s="0" t="n">
        <v>3</v>
      </c>
      <c r="F278" s="39" t="s">
        <v>116</v>
      </c>
      <c r="G278" s="0" t="n">
        <v>30.8</v>
      </c>
      <c r="H278" s="0" t="n">
        <v>31</v>
      </c>
      <c r="I278" s="39" t="s">
        <v>109</v>
      </c>
      <c r="J278" s="0" t="n">
        <v>133</v>
      </c>
      <c r="K278" s="0" t="n">
        <v>84</v>
      </c>
      <c r="L278" s="0" t="n">
        <v>210</v>
      </c>
      <c r="M278" s="0" t="n">
        <v>525.55</v>
      </c>
      <c r="N278" s="0" t="n">
        <v>46.03</v>
      </c>
      <c r="O278" s="0" t="n">
        <v>26.38</v>
      </c>
      <c r="P278" s="0" t="n">
        <v>4.97</v>
      </c>
      <c r="Q278" s="0" t="n">
        <v>4.01</v>
      </c>
      <c r="R278" s="0" t="n">
        <v>4706</v>
      </c>
      <c r="S278" s="0" t="n">
        <v>9863</v>
      </c>
      <c r="T278" s="0" t="n">
        <v>47.3</v>
      </c>
      <c r="U278" s="0" t="n">
        <v>1703</v>
      </c>
      <c r="V278" s="0" t="n">
        <v>2</v>
      </c>
      <c r="W278" s="39" t="n">
        <f aca="false">IF(I278="Male",0,1)</f>
        <v>1</v>
      </c>
      <c r="X278" s="39" t="n">
        <f aca="false">IF(OR(I278="DNB",I278="Dry DNB"),1,0)</f>
        <v>0</v>
      </c>
      <c r="Y278" s="39" t="n">
        <f aca="false">MATCH(A278,DATAS,0)</f>
        <v>1</v>
      </c>
      <c r="Z278" s="39" t="n">
        <f aca="false">IF(AND(E278&gt;0,OR(AND(B278&gt;=1,B278&lt;=6),B278=10)),1,0)</f>
        <v>1</v>
      </c>
      <c r="AA278" s="39" t="n">
        <f aca="false">IF(AND(E278&gt;0,B278=10),1,0)</f>
        <v>0</v>
      </c>
      <c r="AB278" s="0" t="str">
        <f aca="false">IF(AND(C277=C278,Y277=Y278-1),Z277,"")</f>
        <v/>
      </c>
      <c r="AC278" s="0" t="str">
        <f aca="false">IF(AND(C277=C278,Y277=Y278-1),AA277,"")</f>
        <v/>
      </c>
      <c r="AD278" s="0" t="str">
        <f aca="false">IF(Y278=1,"",IF(AND(Z278=1,AB278&lt;&gt;1),1,0))</f>
        <v/>
      </c>
      <c r="AE278" s="0" t="str">
        <f aca="false">IF(Y278=1,"",IF(AND(AA278=1,AC278&lt;&gt;1),1,0))</f>
        <v/>
      </c>
      <c r="AF278" s="45" t="str">
        <f aca="false">IF(AND(E278&gt;0,Y278&lt;1,NOT(AND(C279=C278,Y279=Y278+1))),INDEX(DATAS,Y278+1),"")</f>
        <v/>
      </c>
      <c r="AG278" s="45" t="str">
        <f aca="false">IF(AND(AA278=1,Y278&lt;1),IF(AND(C279=C278,Y279=Y278+1),IF(AA279=1,"",INDEX(DATAS,Y278+1)),INDEX(DATAS,Y278+1)),"")</f>
        <v/>
      </c>
    </row>
    <row r="279" customFormat="false" ht="15" hidden="false" customHeight="false" outlineLevel="0" collapsed="false">
      <c r="A279" s="45" t="n">
        <v>46309</v>
      </c>
      <c r="B279" s="0" t="n">
        <v>5</v>
      </c>
      <c r="C279" s="0" t="n">
        <v>3837</v>
      </c>
      <c r="D279" s="0" t="n">
        <v>292</v>
      </c>
      <c r="E279" s="0" t="n">
        <v>3</v>
      </c>
      <c r="F279" s="39" t="s">
        <v>345</v>
      </c>
      <c r="G279" s="0" t="n">
        <v>31.3</v>
      </c>
      <c r="H279" s="0" t="n">
        <v>30</v>
      </c>
      <c r="I279" s="39" t="s">
        <v>109</v>
      </c>
      <c r="J279" s="0" t="n">
        <v>131</v>
      </c>
      <c r="K279" s="0" t="n">
        <v>89</v>
      </c>
      <c r="L279" s="0" t="n">
        <v>161</v>
      </c>
      <c r="M279" s="0" t="n">
        <v>595.44</v>
      </c>
      <c r="N279" s="0" t="n">
        <v>58.13</v>
      </c>
      <c r="O279" s="0" t="n">
        <v>32.72</v>
      </c>
      <c r="P279" s="0" t="n">
        <v>5.56</v>
      </c>
      <c r="Q279" s="0" t="n">
        <v>4.4</v>
      </c>
      <c r="R279" s="0" t="n">
        <v>3935</v>
      </c>
      <c r="S279" s="0" t="n">
        <v>7929</v>
      </c>
      <c r="T279" s="0" t="n">
        <v>48.4</v>
      </c>
      <c r="U279" s="0" t="n">
        <v>1700</v>
      </c>
      <c r="V279" s="0" t="n">
        <v>2</v>
      </c>
      <c r="W279" s="39" t="n">
        <f aca="false">IF(I279="Male",0,1)</f>
        <v>1</v>
      </c>
      <c r="X279" s="39" t="n">
        <f aca="false">IF(OR(I279="DNB",I279="Dry DNB"),1,0)</f>
        <v>0</v>
      </c>
      <c r="Y279" s="39" t="n">
        <f aca="false">MATCH(A279,DATAS,0)</f>
        <v>1</v>
      </c>
      <c r="Z279" s="39" t="n">
        <f aca="false">IF(AND(E279&gt;0,OR(AND(B279&gt;=1,B279&lt;=6),B279=10)),1,0)</f>
        <v>1</v>
      </c>
      <c r="AA279" s="39" t="n">
        <f aca="false">IF(AND(E279&gt;0,B279=10),1,0)</f>
        <v>0</v>
      </c>
      <c r="AB279" s="0" t="str">
        <f aca="false">IF(AND(C278=C279,Y278=Y279-1),Z278,"")</f>
        <v/>
      </c>
      <c r="AC279" s="0" t="str">
        <f aca="false">IF(AND(C278=C279,Y278=Y279-1),AA278,"")</f>
        <v/>
      </c>
      <c r="AD279" s="0" t="str">
        <f aca="false">IF(Y279=1,"",IF(AND(Z279=1,AB279&lt;&gt;1),1,0))</f>
        <v/>
      </c>
      <c r="AE279" s="0" t="str">
        <f aca="false">IF(Y279=1,"",IF(AND(AA279=1,AC279&lt;&gt;1),1,0))</f>
        <v/>
      </c>
      <c r="AF279" s="45" t="str">
        <f aca="false">IF(AND(E279&gt;0,Y279&lt;1,NOT(AND(C280=C279,Y280=Y279+1))),INDEX(DATAS,Y279+1),"")</f>
        <v/>
      </c>
      <c r="AG279" s="45" t="str">
        <f aca="false">IF(AND(AA279=1,Y279&lt;1),IF(AND(C280=C279,Y280=Y279+1),IF(AA280=1,"",INDEX(DATAS,Y279+1)),INDEX(DATAS,Y279+1)),"")</f>
        <v/>
      </c>
    </row>
    <row r="280" customFormat="false" ht="15" hidden="false" customHeight="false" outlineLevel="0" collapsed="false">
      <c r="A280" s="45" t="n">
        <v>46309</v>
      </c>
      <c r="B280" s="0" t="n">
        <v>3</v>
      </c>
      <c r="C280" s="0" t="n">
        <v>3838</v>
      </c>
      <c r="D280" s="0" t="n">
        <v>7</v>
      </c>
      <c r="E280" s="0" t="n">
        <v>4</v>
      </c>
      <c r="F280" s="39" t="s">
        <v>345</v>
      </c>
      <c r="I280" s="39" t="s">
        <v>118</v>
      </c>
      <c r="J280" s="0" t="n">
        <v>7</v>
      </c>
      <c r="M280" s="0" t="n">
        <v>511.24</v>
      </c>
      <c r="N280" s="0" t="n">
        <v>48</v>
      </c>
      <c r="O280" s="0" t="n">
        <v>19.31</v>
      </c>
      <c r="U280" s="0" t="n">
        <v>1700</v>
      </c>
      <c r="V280" s="0" t="n">
        <v>0</v>
      </c>
      <c r="W280" s="39" t="n">
        <f aca="false">IF(I280="Male",0,1)</f>
        <v>1</v>
      </c>
      <c r="X280" s="39" t="n">
        <f aca="false">IF(OR(I280="DNB",I280="Dry DNB"),1,0)</f>
        <v>0</v>
      </c>
      <c r="Y280" s="39" t="n">
        <f aca="false">MATCH(A280,DATAS,0)</f>
        <v>1</v>
      </c>
      <c r="Z280" s="39" t="n">
        <f aca="false">IF(AND(E280&gt;0,OR(AND(B280&gt;=1,B280&lt;=6),B280=10)),1,0)</f>
        <v>1</v>
      </c>
      <c r="AA280" s="39" t="n">
        <f aca="false">IF(AND(E280&gt;0,B280=10),1,0)</f>
        <v>0</v>
      </c>
      <c r="AB280" s="0" t="str">
        <f aca="false">IF(AND(C279=C280,Y279=Y280-1),Z279,"")</f>
        <v/>
      </c>
      <c r="AC280" s="0" t="str">
        <f aca="false">IF(AND(C279=C280,Y279=Y280-1),AA279,"")</f>
        <v/>
      </c>
      <c r="AD280" s="0" t="str">
        <f aca="false">IF(Y280=1,"",IF(AND(Z280=1,AB280&lt;&gt;1),1,0))</f>
        <v/>
      </c>
      <c r="AE280" s="0" t="str">
        <f aca="false">IF(Y280=1,"",IF(AND(AA280=1,AC280&lt;&gt;1),1,0))</f>
        <v/>
      </c>
      <c r="AF280" s="45" t="str">
        <f aca="false">IF(AND(E280&gt;0,Y280&lt;1,NOT(AND(C281=C280,Y281=Y280+1))),INDEX(DATAS,Y280+1),"")</f>
        <v/>
      </c>
      <c r="AG280" s="45" t="str">
        <f aca="false">IF(AND(AA280=1,Y280&lt;1),IF(AND(C281=C280,Y281=Y280+1),IF(AA281=1,"",INDEX(DATAS,Y280+1)),INDEX(DATAS,Y280+1)),"")</f>
        <v/>
      </c>
    </row>
    <row r="281" customFormat="false" ht="15" hidden="false" customHeight="false" outlineLevel="0" collapsed="false">
      <c r="A281" s="45" t="n">
        <v>46309</v>
      </c>
      <c r="B281" s="0" t="n">
        <v>6</v>
      </c>
      <c r="C281" s="0" t="n">
        <v>3841</v>
      </c>
      <c r="D281" s="0" t="n">
        <v>266</v>
      </c>
      <c r="E281" s="0" t="n">
        <v>3</v>
      </c>
      <c r="F281" s="39" t="s">
        <v>346</v>
      </c>
      <c r="G281" s="0" t="n">
        <v>24.2</v>
      </c>
      <c r="H281" s="0" t="n">
        <v>18</v>
      </c>
      <c r="I281" s="39" t="s">
        <v>109</v>
      </c>
      <c r="J281" s="0" t="n">
        <v>168</v>
      </c>
      <c r="K281" s="0" t="n">
        <v>63</v>
      </c>
      <c r="L281" s="0" t="n">
        <v>98</v>
      </c>
      <c r="M281" s="0" t="n">
        <v>661.92</v>
      </c>
      <c r="N281" s="0" t="n">
        <v>47.87</v>
      </c>
      <c r="O281" s="0" t="n">
        <v>20.98</v>
      </c>
      <c r="P281" s="0" t="n">
        <v>3.96</v>
      </c>
      <c r="Q281" s="0" t="n">
        <v>3.86</v>
      </c>
      <c r="R281" s="0" t="n">
        <v>6222</v>
      </c>
      <c r="S281" s="0" t="n">
        <v>10854</v>
      </c>
      <c r="T281" s="0" t="n">
        <v>64.3</v>
      </c>
      <c r="U281" s="0" t="n">
        <v>1699</v>
      </c>
      <c r="V281" s="0" t="n">
        <v>3</v>
      </c>
      <c r="W281" s="39" t="n">
        <f aca="false">IF(I281="Male",0,1)</f>
        <v>1</v>
      </c>
      <c r="X281" s="39" t="n">
        <f aca="false">IF(OR(I281="DNB",I281="Dry DNB"),1,0)</f>
        <v>0</v>
      </c>
      <c r="Y281" s="39" t="n">
        <f aca="false">MATCH(A281,DATAS,0)</f>
        <v>1</v>
      </c>
      <c r="Z281" s="39" t="n">
        <f aca="false">IF(AND(E281&gt;0,OR(AND(B281&gt;=1,B281&lt;=6),B281=10)),1,0)</f>
        <v>1</v>
      </c>
      <c r="AA281" s="39" t="n">
        <f aca="false">IF(AND(E281&gt;0,B281=10),1,0)</f>
        <v>0</v>
      </c>
      <c r="AB281" s="0" t="str">
        <f aca="false">IF(AND(C280=C281,Y280=Y281-1),Z280,"")</f>
        <v/>
      </c>
      <c r="AC281" s="0" t="str">
        <f aca="false">IF(AND(C280=C281,Y280=Y281-1),AA280,"")</f>
        <v/>
      </c>
      <c r="AD281" s="0" t="str">
        <f aca="false">IF(Y281=1,"",IF(AND(Z281=1,AB281&lt;&gt;1),1,0))</f>
        <v/>
      </c>
      <c r="AE281" s="0" t="str">
        <f aca="false">IF(Y281=1,"",IF(AND(AA281=1,AC281&lt;&gt;1),1,0))</f>
        <v/>
      </c>
      <c r="AF281" s="45" t="str">
        <f aca="false">IF(AND(E281&gt;0,Y281&lt;1,NOT(AND(C282=C281,Y282=Y281+1))),INDEX(DATAS,Y281+1),"")</f>
        <v/>
      </c>
      <c r="AG281" s="45" t="str">
        <f aca="false">IF(AND(AA281=1,Y281&lt;1),IF(AND(C282=C281,Y282=Y281+1),IF(AA282=1,"",INDEX(DATAS,Y281+1)),INDEX(DATAS,Y281+1)),"")</f>
        <v/>
      </c>
    </row>
    <row r="282" customFormat="false" ht="15" hidden="false" customHeight="false" outlineLevel="0" collapsed="false">
      <c r="A282" s="45" t="n">
        <v>46309</v>
      </c>
      <c r="B282" s="0" t="n">
        <v>5</v>
      </c>
      <c r="C282" s="0" t="n">
        <v>3843</v>
      </c>
      <c r="D282" s="0" t="n">
        <v>40</v>
      </c>
      <c r="E282" s="0" t="n">
        <v>3</v>
      </c>
      <c r="F282" s="39" t="s">
        <v>347</v>
      </c>
      <c r="G282" s="0" t="n">
        <v>46.4</v>
      </c>
      <c r="H282" s="0" t="n">
        <v>38</v>
      </c>
      <c r="I282" s="39" t="s">
        <v>118</v>
      </c>
      <c r="J282" s="0" t="n">
        <v>40</v>
      </c>
      <c r="M282" s="0" t="n">
        <v>937.11</v>
      </c>
      <c r="N282" s="0" t="n">
        <v>42.52</v>
      </c>
      <c r="O282" s="0" t="n">
        <v>28.5</v>
      </c>
      <c r="P282" s="0" t="n">
        <v>3.48</v>
      </c>
      <c r="Q282" s="0" t="n">
        <v>4.17</v>
      </c>
      <c r="R282" s="0" t="n">
        <v>3283</v>
      </c>
      <c r="S282" s="0" t="n">
        <v>6600</v>
      </c>
      <c r="U282" s="0" t="n">
        <v>1698</v>
      </c>
      <c r="V282" s="0" t="n">
        <v>0</v>
      </c>
      <c r="W282" s="39" t="n">
        <f aca="false">IF(I282="Male",0,1)</f>
        <v>1</v>
      </c>
      <c r="X282" s="39" t="n">
        <f aca="false">IF(OR(I282="DNB",I282="Dry DNB"),1,0)</f>
        <v>0</v>
      </c>
      <c r="Y282" s="39" t="n">
        <f aca="false">MATCH(A282,DATAS,0)</f>
        <v>1</v>
      </c>
      <c r="Z282" s="39" t="n">
        <f aca="false">IF(AND(E282&gt;0,OR(AND(B282&gt;=1,B282&lt;=6),B282=10)),1,0)</f>
        <v>1</v>
      </c>
      <c r="AA282" s="39" t="n">
        <f aca="false">IF(AND(E282&gt;0,B282=10),1,0)</f>
        <v>0</v>
      </c>
      <c r="AB282" s="0" t="str">
        <f aca="false">IF(AND(C281=C282,Y281=Y282-1),Z281,"")</f>
        <v/>
      </c>
      <c r="AC282" s="0" t="str">
        <f aca="false">IF(AND(C281=C282,Y281=Y282-1),AA281,"")</f>
        <v/>
      </c>
      <c r="AD282" s="0" t="str">
        <f aca="false">IF(Y282=1,"",IF(AND(Z282=1,AB282&lt;&gt;1),1,0))</f>
        <v/>
      </c>
      <c r="AE282" s="0" t="str">
        <f aca="false">IF(Y282=1,"",IF(AND(AA282=1,AC282&lt;&gt;1),1,0))</f>
        <v/>
      </c>
      <c r="AF282" s="45" t="str">
        <f aca="false">IF(AND(E282&gt;0,Y282&lt;1,NOT(AND(C283=C282,Y283=Y282+1))),INDEX(DATAS,Y282+1),"")</f>
        <v/>
      </c>
      <c r="AG282" s="45" t="str">
        <f aca="false">IF(AND(AA282=1,Y282&lt;1),IF(AND(C283=C282,Y283=Y282+1),IF(AA283=1,"",INDEX(DATAS,Y282+1)),INDEX(DATAS,Y282+1)),"")</f>
        <v/>
      </c>
    </row>
    <row r="283" customFormat="false" ht="15" hidden="false" customHeight="false" outlineLevel="0" collapsed="false">
      <c r="A283" s="45" t="n">
        <v>46309</v>
      </c>
      <c r="B283" s="0" t="n">
        <v>5</v>
      </c>
      <c r="C283" s="0" t="n">
        <v>3845</v>
      </c>
      <c r="D283" s="0" t="n">
        <v>191</v>
      </c>
      <c r="E283" s="0" t="n">
        <v>2</v>
      </c>
      <c r="F283" s="39" t="s">
        <v>347</v>
      </c>
      <c r="G283" s="0" t="n">
        <v>38.8</v>
      </c>
      <c r="H283" s="0" t="n">
        <v>38</v>
      </c>
      <c r="I283" s="39" t="s">
        <v>146</v>
      </c>
      <c r="J283" s="0" t="n">
        <v>191</v>
      </c>
      <c r="K283" s="0" t="n">
        <v>72</v>
      </c>
      <c r="M283" s="0" t="n">
        <v>910.8</v>
      </c>
      <c r="N283" s="0" t="n">
        <v>69.61</v>
      </c>
      <c r="O283" s="0" t="n">
        <v>28.15</v>
      </c>
      <c r="P283" s="0" t="n">
        <v>3.85</v>
      </c>
      <c r="Q283" s="0" t="n">
        <v>3.19</v>
      </c>
      <c r="R283" s="0" t="n">
        <v>6346</v>
      </c>
      <c r="S283" s="0" t="n">
        <v>12082</v>
      </c>
      <c r="T283" s="0" t="n">
        <v>64.2</v>
      </c>
      <c r="U283" s="0" t="n">
        <v>1698</v>
      </c>
      <c r="V283" s="0" t="n">
        <v>3</v>
      </c>
      <c r="W283" s="39" t="n">
        <f aca="false">IF(I283="Male",0,1)</f>
        <v>1</v>
      </c>
      <c r="X283" s="39" t="n">
        <f aca="false">IF(OR(I283="DNB",I283="Dry DNB"),1,0)</f>
        <v>0</v>
      </c>
      <c r="Y283" s="39" t="n">
        <f aca="false">MATCH(A283,DATAS,0)</f>
        <v>1</v>
      </c>
      <c r="Z283" s="39" t="n">
        <f aca="false">IF(AND(E283&gt;0,OR(AND(B283&gt;=1,B283&lt;=6),B283=10)),1,0)</f>
        <v>1</v>
      </c>
      <c r="AA283" s="39" t="n">
        <f aca="false">IF(AND(E283&gt;0,B283=10),1,0)</f>
        <v>0</v>
      </c>
      <c r="AB283" s="0" t="str">
        <f aca="false">IF(AND(C282=C283,Y282=Y283-1),Z282,"")</f>
        <v/>
      </c>
      <c r="AC283" s="0" t="str">
        <f aca="false">IF(AND(C282=C283,Y282=Y283-1),AA282,"")</f>
        <v/>
      </c>
      <c r="AD283" s="0" t="str">
        <f aca="false">IF(Y283=1,"",IF(AND(Z283=1,AB283&lt;&gt;1),1,0))</f>
        <v/>
      </c>
      <c r="AE283" s="0" t="str">
        <f aca="false">IF(Y283=1,"",IF(AND(AA283=1,AC283&lt;&gt;1),1,0))</f>
        <v/>
      </c>
      <c r="AF283" s="45" t="str">
        <f aca="false">IF(AND(E283&gt;0,Y283&lt;1,NOT(AND(C284=C283,Y284=Y283+1))),INDEX(DATAS,Y283+1),"")</f>
        <v/>
      </c>
      <c r="AG283" s="45" t="str">
        <f aca="false">IF(AND(AA283=1,Y283&lt;1),IF(AND(C284=C283,Y284=Y283+1),IF(AA284=1,"",INDEX(DATAS,Y283+1)),INDEX(DATAS,Y283+1)),"")</f>
        <v/>
      </c>
    </row>
    <row r="284" customFormat="false" ht="15" hidden="false" customHeight="false" outlineLevel="0" collapsed="false">
      <c r="A284" s="45" t="n">
        <v>46309</v>
      </c>
      <c r="B284" s="0" t="n">
        <v>5</v>
      </c>
      <c r="C284" s="0" t="n">
        <v>3848</v>
      </c>
      <c r="D284" s="0" t="n">
        <v>296</v>
      </c>
      <c r="E284" s="0" t="n">
        <v>2</v>
      </c>
      <c r="F284" s="39" t="s">
        <v>348</v>
      </c>
      <c r="G284" s="0" t="n">
        <v>30.8</v>
      </c>
      <c r="H284" s="0" t="n">
        <v>26</v>
      </c>
      <c r="I284" s="39" t="s">
        <v>109</v>
      </c>
      <c r="J284" s="0" t="n">
        <v>114</v>
      </c>
      <c r="K284" s="0" t="n">
        <v>79</v>
      </c>
      <c r="L284" s="0" t="n">
        <v>182</v>
      </c>
      <c r="M284" s="0" t="n">
        <v>1105.92</v>
      </c>
      <c r="N284" s="0" t="n">
        <v>48.09</v>
      </c>
      <c r="O284" s="0" t="n">
        <v>38.24</v>
      </c>
      <c r="P284" s="0" t="n">
        <v>2.09</v>
      </c>
      <c r="Q284" s="0" t="n">
        <v>3.21</v>
      </c>
      <c r="R284" s="0" t="n">
        <v>6255</v>
      </c>
      <c r="S284" s="0" t="n">
        <v>12124</v>
      </c>
      <c r="T284" s="0" t="n">
        <v>68.6</v>
      </c>
      <c r="U284" s="0" t="n">
        <v>1696</v>
      </c>
      <c r="V284" s="0" t="n">
        <v>2</v>
      </c>
      <c r="W284" s="39" t="n">
        <f aca="false">IF(I284="Male",0,1)</f>
        <v>1</v>
      </c>
      <c r="X284" s="39" t="n">
        <f aca="false">IF(OR(I284="DNB",I284="Dry DNB"),1,0)</f>
        <v>0</v>
      </c>
      <c r="Y284" s="39" t="n">
        <f aca="false">MATCH(A284,DATAS,0)</f>
        <v>1</v>
      </c>
      <c r="Z284" s="39" t="n">
        <f aca="false">IF(AND(E284&gt;0,OR(AND(B284&gt;=1,B284&lt;=6),B284=10)),1,0)</f>
        <v>1</v>
      </c>
      <c r="AA284" s="39" t="n">
        <f aca="false">IF(AND(E284&gt;0,B284=10),1,0)</f>
        <v>0</v>
      </c>
      <c r="AB284" s="0" t="str">
        <f aca="false">IF(AND(C283=C284,Y283=Y284-1),Z283,"")</f>
        <v/>
      </c>
      <c r="AC284" s="0" t="str">
        <f aca="false">IF(AND(C283=C284,Y283=Y284-1),AA283,"")</f>
        <v/>
      </c>
      <c r="AD284" s="0" t="str">
        <f aca="false">IF(Y284=1,"",IF(AND(Z284=1,AB284&lt;&gt;1),1,0))</f>
        <v/>
      </c>
      <c r="AE284" s="0" t="str">
        <f aca="false">IF(Y284=1,"",IF(AND(AA284=1,AC284&lt;&gt;1),1,0))</f>
        <v/>
      </c>
      <c r="AF284" s="45" t="str">
        <f aca="false">IF(AND(E284&gt;0,Y284&lt;1,NOT(AND(C285=C284,Y285=Y284+1))),INDEX(DATAS,Y284+1),"")</f>
        <v/>
      </c>
      <c r="AG284" s="45" t="str">
        <f aca="false">IF(AND(AA284=1,Y284&lt;1),IF(AND(C285=C284,Y285=Y284+1),IF(AA285=1,"",INDEX(DATAS,Y284+1)),INDEX(DATAS,Y284+1)),"")</f>
        <v/>
      </c>
    </row>
    <row r="285" customFormat="false" ht="15" hidden="false" customHeight="false" outlineLevel="0" collapsed="false">
      <c r="A285" s="45" t="n">
        <v>46309</v>
      </c>
      <c r="B285" s="0" t="n">
        <v>5</v>
      </c>
      <c r="C285" s="0" t="n">
        <v>3850</v>
      </c>
      <c r="D285" s="0" t="n">
        <v>231</v>
      </c>
      <c r="E285" s="0" t="n">
        <v>3</v>
      </c>
      <c r="F285" s="39" t="s">
        <v>349</v>
      </c>
      <c r="G285" s="0" t="n">
        <v>29</v>
      </c>
      <c r="H285" s="0" t="n">
        <v>29</v>
      </c>
      <c r="I285" s="39" t="s">
        <v>109</v>
      </c>
      <c r="J285" s="0" t="n">
        <v>63</v>
      </c>
      <c r="K285" s="0" t="n">
        <v>63</v>
      </c>
      <c r="L285" s="0" t="n">
        <v>168</v>
      </c>
      <c r="M285" s="0" t="n">
        <v>218.08</v>
      </c>
      <c r="N285" s="0" t="n">
        <v>24.9</v>
      </c>
      <c r="O285" s="0" t="n">
        <v>12.72</v>
      </c>
      <c r="P285" s="0" t="n">
        <v>4.42</v>
      </c>
      <c r="Q285" s="0" t="n">
        <v>3.66</v>
      </c>
      <c r="R285" s="0" t="n">
        <v>5208</v>
      </c>
      <c r="S285" s="0" t="n">
        <v>10850</v>
      </c>
      <c r="T285" s="0" t="n">
        <v>62.55</v>
      </c>
      <c r="U285" s="0" t="n">
        <v>1695</v>
      </c>
      <c r="V285" s="0" t="n">
        <v>1</v>
      </c>
      <c r="W285" s="39" t="n">
        <f aca="false">IF(I285="Male",0,1)</f>
        <v>1</v>
      </c>
      <c r="X285" s="39" t="n">
        <f aca="false">IF(OR(I285="DNB",I285="Dry DNB"),1,0)</f>
        <v>0</v>
      </c>
      <c r="Y285" s="39" t="n">
        <f aca="false">MATCH(A285,DATAS,0)</f>
        <v>1</v>
      </c>
      <c r="Z285" s="39" t="n">
        <f aca="false">IF(AND(E285&gt;0,OR(AND(B285&gt;=1,B285&lt;=6),B285=10)),1,0)</f>
        <v>1</v>
      </c>
      <c r="AA285" s="39" t="n">
        <f aca="false">IF(AND(E285&gt;0,B285=10),1,0)</f>
        <v>0</v>
      </c>
      <c r="AB285" s="0" t="str">
        <f aca="false">IF(AND(C284=C285,Y284=Y285-1),Z284,"")</f>
        <v/>
      </c>
      <c r="AC285" s="0" t="str">
        <f aca="false">IF(AND(C284=C285,Y284=Y285-1),AA284,"")</f>
        <v/>
      </c>
      <c r="AD285" s="0" t="str">
        <f aca="false">IF(Y285=1,"",IF(AND(Z285=1,AB285&lt;&gt;1),1,0))</f>
        <v/>
      </c>
      <c r="AE285" s="0" t="str">
        <f aca="false">IF(Y285=1,"",IF(AND(AA285=1,AC285&lt;&gt;1),1,0))</f>
        <v/>
      </c>
      <c r="AF285" s="45" t="str">
        <f aca="false">IF(AND(E285&gt;0,Y285&lt;1,NOT(AND(C286=C285,Y286=Y285+1))),INDEX(DATAS,Y285+1),"")</f>
        <v/>
      </c>
      <c r="AG285" s="45" t="str">
        <f aca="false">IF(AND(AA285=1,Y285&lt;1),IF(AND(C286=C285,Y286=Y285+1),IF(AA286=1,"",INDEX(DATAS,Y285+1)),INDEX(DATAS,Y285+1)),"")</f>
        <v/>
      </c>
    </row>
    <row r="286" customFormat="false" ht="15" hidden="false" customHeight="false" outlineLevel="0" collapsed="false">
      <c r="A286" s="45" t="n">
        <v>46309</v>
      </c>
      <c r="B286" s="0" t="n">
        <v>10</v>
      </c>
      <c r="C286" s="0" t="n">
        <v>3851</v>
      </c>
      <c r="D286" s="0" t="n">
        <v>211</v>
      </c>
      <c r="E286" s="0" t="n">
        <v>3</v>
      </c>
      <c r="F286" s="39" t="s">
        <v>350</v>
      </c>
      <c r="H286" s="0" t="n">
        <v>18</v>
      </c>
      <c r="I286" s="39" t="s">
        <v>96</v>
      </c>
      <c r="J286" s="0" t="n">
        <v>211</v>
      </c>
      <c r="K286" s="0" t="n">
        <v>78</v>
      </c>
      <c r="M286" s="0" t="n">
        <v>233.01</v>
      </c>
      <c r="N286" s="0" t="n">
        <v>49.07</v>
      </c>
      <c r="O286" s="0" t="n">
        <v>11.9</v>
      </c>
      <c r="P286" s="0" t="n">
        <v>5.73</v>
      </c>
      <c r="Q286" s="0" t="n">
        <v>3.44</v>
      </c>
      <c r="R286" s="0" t="n">
        <v>3725</v>
      </c>
      <c r="S286" s="0" t="n">
        <v>7274</v>
      </c>
      <c r="T286" s="0" t="n">
        <v>42.9</v>
      </c>
      <c r="U286" s="0" t="n">
        <v>1694</v>
      </c>
      <c r="V286" s="0" t="n">
        <v>2</v>
      </c>
      <c r="W286" s="39" t="n">
        <f aca="false">IF(I286="Male",0,1)</f>
        <v>1</v>
      </c>
      <c r="X286" s="39" t="n">
        <f aca="false">IF(OR(I286="DNB",I286="Dry DNB"),1,0)</f>
        <v>1</v>
      </c>
      <c r="Y286" s="39" t="n">
        <f aca="false">MATCH(A286,DATAS,0)</f>
        <v>1</v>
      </c>
      <c r="Z286" s="39" t="n">
        <f aca="false">IF(AND(E286&gt;0,OR(AND(B286&gt;=1,B286&lt;=6),B286=10)),1,0)</f>
        <v>1</v>
      </c>
      <c r="AA286" s="39" t="n">
        <f aca="false">IF(AND(E286&gt;0,B286=10),1,0)</f>
        <v>1</v>
      </c>
      <c r="AB286" s="0" t="str">
        <f aca="false">IF(AND(C285=C286,Y285=Y286-1),Z285,"")</f>
        <v/>
      </c>
      <c r="AC286" s="0" t="str">
        <f aca="false">IF(AND(C285=C286,Y285=Y286-1),AA285,"")</f>
        <v/>
      </c>
      <c r="AD286" s="0" t="str">
        <f aca="false">IF(Y286=1,"",IF(AND(Z286=1,AB286&lt;&gt;1),1,0))</f>
        <v/>
      </c>
      <c r="AE286" s="0" t="str">
        <f aca="false">IF(Y286=1,"",IF(AND(AA286=1,AC286&lt;&gt;1),1,0))</f>
        <v/>
      </c>
      <c r="AF286" s="45" t="str">
        <f aca="false">IF(AND(E286&gt;0,Y286&lt;1,NOT(AND(C287=C286,Y287=Y286+1))),INDEX(DATAS,Y286+1),"")</f>
        <v/>
      </c>
      <c r="AG286" s="45" t="str">
        <f aca="false">IF(AND(AA286=1,Y286&lt;1),IF(AND(C287=C286,Y287=Y286+1),IF(AA287=1,"",INDEX(DATAS,Y286+1)),INDEX(DATAS,Y286+1)),"")</f>
        <v/>
      </c>
    </row>
    <row r="287" customFormat="false" ht="15" hidden="false" customHeight="false" outlineLevel="0" collapsed="false">
      <c r="A287" s="45" t="n">
        <v>46309</v>
      </c>
      <c r="B287" s="0" t="n">
        <v>6</v>
      </c>
      <c r="C287" s="0" t="n">
        <v>3852</v>
      </c>
      <c r="D287" s="0" t="n">
        <v>324</v>
      </c>
      <c r="E287" s="0" t="n">
        <v>3</v>
      </c>
      <c r="F287" s="39" t="s">
        <v>351</v>
      </c>
      <c r="G287" s="0" t="n">
        <v>31.5</v>
      </c>
      <c r="H287" s="0" t="n">
        <v>26</v>
      </c>
      <c r="I287" s="39" t="s">
        <v>109</v>
      </c>
      <c r="J287" s="0" t="n">
        <v>226</v>
      </c>
      <c r="K287" s="0" t="n">
        <v>65</v>
      </c>
      <c r="L287" s="0" t="n">
        <v>98</v>
      </c>
      <c r="M287" s="0" t="n">
        <v>116.23</v>
      </c>
      <c r="N287" s="0" t="n">
        <v>44.82</v>
      </c>
      <c r="O287" s="0" t="n">
        <v>14.61</v>
      </c>
      <c r="P287" s="0" t="n">
        <v>4.33</v>
      </c>
      <c r="Q287" s="0" t="n">
        <v>3.96</v>
      </c>
      <c r="R287" s="0" t="n">
        <v>6098</v>
      </c>
      <c r="S287" s="0" t="n">
        <v>11632</v>
      </c>
      <c r="T287" s="0" t="n">
        <v>67.6</v>
      </c>
      <c r="U287" s="0" t="n">
        <v>1693</v>
      </c>
      <c r="V287" s="0" t="n">
        <v>5</v>
      </c>
      <c r="W287" s="39" t="n">
        <f aca="false">IF(I287="Male",0,1)</f>
        <v>1</v>
      </c>
      <c r="X287" s="39" t="n">
        <f aca="false">IF(OR(I287="DNB",I287="Dry DNB"),1,0)</f>
        <v>0</v>
      </c>
      <c r="Y287" s="39" t="n">
        <f aca="false">MATCH(A287,DATAS,0)</f>
        <v>1</v>
      </c>
      <c r="Z287" s="39" t="n">
        <f aca="false">IF(AND(E287&gt;0,OR(AND(B287&gt;=1,B287&lt;=6),B287=10)),1,0)</f>
        <v>1</v>
      </c>
      <c r="AA287" s="39" t="n">
        <f aca="false">IF(AND(E287&gt;0,B287=10),1,0)</f>
        <v>0</v>
      </c>
      <c r="AB287" s="0" t="str">
        <f aca="false">IF(AND(C286=C287,Y286=Y287-1),Z286,"")</f>
        <v/>
      </c>
      <c r="AC287" s="0" t="str">
        <f aca="false">IF(AND(C286=C287,Y286=Y287-1),AA286,"")</f>
        <v/>
      </c>
      <c r="AD287" s="0" t="str">
        <f aca="false">IF(Y287=1,"",IF(AND(Z287=1,AB287&lt;&gt;1),1,0))</f>
        <v/>
      </c>
      <c r="AE287" s="0" t="str">
        <f aca="false">IF(Y287=1,"",IF(AND(AA287=1,AC287&lt;&gt;1),1,0))</f>
        <v/>
      </c>
      <c r="AF287" s="45" t="str">
        <f aca="false">IF(AND(E287&gt;0,Y287&lt;1,NOT(AND(C288=C287,Y288=Y287+1))),INDEX(DATAS,Y287+1),"")</f>
        <v/>
      </c>
      <c r="AG287" s="45" t="str">
        <f aca="false">IF(AND(AA287=1,Y287&lt;1),IF(AND(C288=C287,Y288=Y287+1),IF(AA288=1,"",INDEX(DATAS,Y287+1)),INDEX(DATAS,Y287+1)),"")</f>
        <v/>
      </c>
    </row>
    <row r="288" customFormat="false" ht="15" hidden="false" customHeight="false" outlineLevel="0" collapsed="false">
      <c r="A288" s="45" t="n">
        <v>46309</v>
      </c>
      <c r="B288" s="0" t="n">
        <v>3</v>
      </c>
      <c r="C288" s="0" t="n">
        <v>3853</v>
      </c>
      <c r="D288" s="0" t="n">
        <v>179</v>
      </c>
      <c r="E288" s="0" t="n">
        <v>3</v>
      </c>
      <c r="F288" s="39" t="s">
        <v>351</v>
      </c>
      <c r="G288" s="0" t="n">
        <v>53.3</v>
      </c>
      <c r="H288" s="0" t="n">
        <v>52</v>
      </c>
      <c r="I288" s="39" t="s">
        <v>109</v>
      </c>
      <c r="J288" s="0" t="n">
        <v>102</v>
      </c>
      <c r="K288" s="0" t="n">
        <v>67</v>
      </c>
      <c r="L288" s="0" t="n">
        <v>77</v>
      </c>
      <c r="M288" s="0" t="n">
        <v>1624.24</v>
      </c>
      <c r="N288" s="0" t="n">
        <v>23.7</v>
      </c>
      <c r="O288" s="0" t="n">
        <v>44.1</v>
      </c>
      <c r="P288" s="0" t="n">
        <v>3.47</v>
      </c>
      <c r="Q288" s="0" t="n">
        <v>3.56</v>
      </c>
      <c r="R288" s="0" t="n">
        <v>5268</v>
      </c>
      <c r="S288" s="0" t="n">
        <v>10539</v>
      </c>
      <c r="T288" s="0" t="n">
        <v>55.8</v>
      </c>
      <c r="U288" s="0" t="n">
        <v>1693</v>
      </c>
      <c r="V288" s="0" t="n">
        <v>2</v>
      </c>
      <c r="W288" s="39" t="n">
        <f aca="false">IF(I288="Male",0,1)</f>
        <v>1</v>
      </c>
      <c r="X288" s="39" t="n">
        <f aca="false">IF(OR(I288="DNB",I288="Dry DNB"),1,0)</f>
        <v>0</v>
      </c>
      <c r="Y288" s="39" t="n">
        <f aca="false">MATCH(A288,DATAS,0)</f>
        <v>1</v>
      </c>
      <c r="Z288" s="39" t="n">
        <f aca="false">IF(AND(E288&gt;0,OR(AND(B288&gt;=1,B288&lt;=6),B288=10)),1,0)</f>
        <v>1</v>
      </c>
      <c r="AA288" s="39" t="n">
        <f aca="false">IF(AND(E288&gt;0,B288=10),1,0)</f>
        <v>0</v>
      </c>
      <c r="AB288" s="0" t="str">
        <f aca="false">IF(AND(C287=C288,Y287=Y288-1),Z287,"")</f>
        <v/>
      </c>
      <c r="AC288" s="0" t="str">
        <f aca="false">IF(AND(C287=C288,Y287=Y288-1),AA287,"")</f>
        <v/>
      </c>
      <c r="AD288" s="0" t="str">
        <f aca="false">IF(Y288=1,"",IF(AND(Z288=1,AB288&lt;&gt;1),1,0))</f>
        <v/>
      </c>
      <c r="AE288" s="0" t="str">
        <f aca="false">IF(Y288=1,"",IF(AND(AA288=1,AC288&lt;&gt;1),1,0))</f>
        <v/>
      </c>
      <c r="AF288" s="45" t="str">
        <f aca="false">IF(AND(E288&gt;0,Y288&lt;1,NOT(AND(C289=C288,Y289=Y288+1))),INDEX(DATAS,Y288+1),"")</f>
        <v/>
      </c>
      <c r="AG288" s="45" t="str">
        <f aca="false">IF(AND(AA288=1,Y288&lt;1),IF(AND(C289=C288,Y289=Y288+1),IF(AA289=1,"",INDEX(DATAS,Y288+1)),INDEX(DATAS,Y288+1)),"")</f>
        <v/>
      </c>
    </row>
    <row r="289" customFormat="false" ht="15" hidden="false" customHeight="false" outlineLevel="0" collapsed="false">
      <c r="A289" s="45" t="n">
        <v>46309</v>
      </c>
      <c r="B289" s="0" t="n">
        <v>5</v>
      </c>
      <c r="C289" s="0" t="n">
        <v>3855</v>
      </c>
      <c r="D289" s="0" t="n">
        <v>248</v>
      </c>
      <c r="E289" s="0" t="n">
        <v>3</v>
      </c>
      <c r="F289" s="39" t="s">
        <v>352</v>
      </c>
      <c r="G289" s="0" t="n">
        <v>31.1</v>
      </c>
      <c r="H289" s="0" t="n">
        <v>30</v>
      </c>
      <c r="I289" s="39" t="s">
        <v>109</v>
      </c>
      <c r="J289" s="0" t="n">
        <v>66</v>
      </c>
      <c r="K289" s="0" t="n">
        <v>66</v>
      </c>
      <c r="L289" s="0" t="n">
        <v>182</v>
      </c>
      <c r="M289" s="0" t="n">
        <v>919.77</v>
      </c>
      <c r="N289" s="0" t="n">
        <v>44.99</v>
      </c>
      <c r="O289" s="0" t="n">
        <v>34.07</v>
      </c>
      <c r="P289" s="0" t="n">
        <v>4.08</v>
      </c>
      <c r="Q289" s="0" t="n">
        <v>3.91</v>
      </c>
      <c r="R289" s="0" t="n">
        <v>5854</v>
      </c>
      <c r="S289" s="0" t="n">
        <v>11826</v>
      </c>
      <c r="T289" s="0" t="n">
        <v>64.6</v>
      </c>
      <c r="U289" s="0" t="n">
        <v>1690</v>
      </c>
      <c r="V289" s="0" t="n">
        <v>1</v>
      </c>
      <c r="W289" s="39" t="n">
        <f aca="false">IF(I289="Male",0,1)</f>
        <v>1</v>
      </c>
      <c r="X289" s="39" t="n">
        <f aca="false">IF(OR(I289="DNB",I289="Dry DNB"),1,0)</f>
        <v>0</v>
      </c>
      <c r="Y289" s="39" t="n">
        <f aca="false">MATCH(A289,DATAS,0)</f>
        <v>1</v>
      </c>
      <c r="Z289" s="39" t="n">
        <f aca="false">IF(AND(E289&gt;0,OR(AND(B289&gt;=1,B289&lt;=6),B289=10)),1,0)</f>
        <v>1</v>
      </c>
      <c r="AA289" s="39" t="n">
        <f aca="false">IF(AND(E289&gt;0,B289=10),1,0)</f>
        <v>0</v>
      </c>
      <c r="AB289" s="0" t="str">
        <f aca="false">IF(AND(C288=C289,Y288=Y289-1),Z288,"")</f>
        <v/>
      </c>
      <c r="AC289" s="0" t="str">
        <f aca="false">IF(AND(C288=C289,Y288=Y289-1),AA288,"")</f>
        <v/>
      </c>
      <c r="AD289" s="0" t="str">
        <f aca="false">IF(Y289=1,"",IF(AND(Z289=1,AB289&lt;&gt;1),1,0))</f>
        <v/>
      </c>
      <c r="AE289" s="0" t="str">
        <f aca="false">IF(Y289=1,"",IF(AND(AA289=1,AC289&lt;&gt;1),1,0))</f>
        <v/>
      </c>
      <c r="AF289" s="45" t="str">
        <f aca="false">IF(AND(E289&gt;0,Y289&lt;1,NOT(AND(C290=C289,Y290=Y289+1))),INDEX(DATAS,Y289+1),"")</f>
        <v/>
      </c>
      <c r="AG289" s="45" t="str">
        <f aca="false">IF(AND(AA289=1,Y289&lt;1),IF(AND(C290=C289,Y290=Y289+1),IF(AA290=1,"",INDEX(DATAS,Y289+1)),INDEX(DATAS,Y289+1)),"")</f>
        <v/>
      </c>
    </row>
    <row r="290" customFormat="false" ht="15" hidden="false" customHeight="false" outlineLevel="0" collapsed="false">
      <c r="A290" s="45" t="n">
        <v>46309</v>
      </c>
      <c r="B290" s="0" t="n">
        <v>3</v>
      </c>
      <c r="C290" s="0" t="n">
        <v>3856</v>
      </c>
      <c r="D290" s="0" t="n">
        <v>234</v>
      </c>
      <c r="E290" s="0" t="n">
        <v>3</v>
      </c>
      <c r="F290" s="39" t="s">
        <v>352</v>
      </c>
      <c r="G290" s="0" t="n">
        <v>60.3</v>
      </c>
      <c r="H290" s="0" t="n">
        <v>58</v>
      </c>
      <c r="I290" s="39" t="s">
        <v>138</v>
      </c>
      <c r="J290" s="0" t="n">
        <v>234</v>
      </c>
      <c r="K290" s="0" t="n">
        <v>66</v>
      </c>
      <c r="M290" s="0" t="n">
        <v>744.8</v>
      </c>
      <c r="N290" s="0" t="n">
        <v>60.89</v>
      </c>
      <c r="O290" s="0" t="n">
        <v>27.78</v>
      </c>
      <c r="P290" s="0" t="n">
        <v>3.19</v>
      </c>
      <c r="Q290" s="0" t="n">
        <v>3.16</v>
      </c>
      <c r="R290" s="0" t="n">
        <v>5982</v>
      </c>
      <c r="S290" s="0" t="n">
        <v>12606</v>
      </c>
      <c r="T290" s="0" t="n">
        <v>72.15</v>
      </c>
      <c r="U290" s="0" t="n">
        <v>1690</v>
      </c>
      <c r="V290" s="0" t="n">
        <v>5</v>
      </c>
      <c r="W290" s="39" t="n">
        <f aca="false">IF(I290="Male",0,1)</f>
        <v>1</v>
      </c>
      <c r="X290" s="39" t="n">
        <f aca="false">IF(OR(I290="DNB",I290="Dry DNB"),1,0)</f>
        <v>0</v>
      </c>
      <c r="Y290" s="39" t="n">
        <f aca="false">MATCH(A290,DATAS,0)</f>
        <v>1</v>
      </c>
      <c r="Z290" s="39" t="n">
        <f aca="false">IF(AND(E290&gt;0,OR(AND(B290&gt;=1,B290&lt;=6),B290=10)),1,0)</f>
        <v>1</v>
      </c>
      <c r="AA290" s="39" t="n">
        <f aca="false">IF(AND(E290&gt;0,B290=10),1,0)</f>
        <v>0</v>
      </c>
      <c r="AB290" s="0" t="str">
        <f aca="false">IF(AND(C289=C290,Y289=Y290-1),Z289,"")</f>
        <v/>
      </c>
      <c r="AC290" s="0" t="str">
        <f aca="false">IF(AND(C289=C290,Y289=Y290-1),AA289,"")</f>
        <v/>
      </c>
      <c r="AD290" s="0" t="str">
        <f aca="false">IF(Y290=1,"",IF(AND(Z290=1,AB290&lt;&gt;1),1,0))</f>
        <v/>
      </c>
      <c r="AE290" s="0" t="str">
        <f aca="false">IF(Y290=1,"",IF(AND(AA290=1,AC290&lt;&gt;1),1,0))</f>
        <v/>
      </c>
      <c r="AF290" s="45" t="str">
        <f aca="false">IF(AND(E290&gt;0,Y290&lt;1,NOT(AND(C291=C290,Y291=Y290+1))),INDEX(DATAS,Y290+1),"")</f>
        <v/>
      </c>
      <c r="AG290" s="45" t="str">
        <f aca="false">IF(AND(AA290=1,Y290&lt;1),IF(AND(C291=C290,Y291=Y290+1),IF(AA291=1,"",INDEX(DATAS,Y290+1)),INDEX(DATAS,Y290+1)),"")</f>
        <v/>
      </c>
    </row>
    <row r="291" customFormat="false" ht="15" hidden="false" customHeight="false" outlineLevel="0" collapsed="false">
      <c r="A291" s="45" t="n">
        <v>46309</v>
      </c>
      <c r="B291" s="0" t="n">
        <v>2</v>
      </c>
      <c r="C291" s="0" t="n">
        <v>3858</v>
      </c>
      <c r="D291" s="0" t="n">
        <v>125</v>
      </c>
      <c r="E291" s="0" t="n">
        <v>3</v>
      </c>
      <c r="F291" s="39" t="s">
        <v>353</v>
      </c>
      <c r="G291" s="0" t="n">
        <v>50.3</v>
      </c>
      <c r="H291" s="0" t="n">
        <v>52</v>
      </c>
      <c r="I291" s="39" t="s">
        <v>109</v>
      </c>
      <c r="J291" s="0" t="n">
        <v>69</v>
      </c>
      <c r="K291" s="0" t="n">
        <v>69</v>
      </c>
      <c r="L291" s="0" t="n">
        <v>56</v>
      </c>
      <c r="M291" s="0" t="n">
        <v>738.43</v>
      </c>
      <c r="N291" s="0" t="n">
        <v>61.92</v>
      </c>
      <c r="O291" s="0" t="n">
        <v>30.02</v>
      </c>
      <c r="P291" s="0" t="n">
        <v>3.46</v>
      </c>
      <c r="Q291" s="0" t="n">
        <v>3.89</v>
      </c>
      <c r="R291" s="0" t="n">
        <v>5721</v>
      </c>
      <c r="S291" s="0" t="n">
        <v>11157</v>
      </c>
      <c r="T291" s="0" t="n">
        <v>59.4</v>
      </c>
      <c r="U291" s="0" t="n">
        <v>1689</v>
      </c>
      <c r="V291" s="0" t="n">
        <v>1</v>
      </c>
      <c r="W291" s="39" t="n">
        <f aca="false">IF(I291="Male",0,1)</f>
        <v>1</v>
      </c>
      <c r="X291" s="39" t="n">
        <f aca="false">IF(OR(I291="DNB",I291="Dry DNB"),1,0)</f>
        <v>0</v>
      </c>
      <c r="Y291" s="39" t="n">
        <f aca="false">MATCH(A291,DATAS,0)</f>
        <v>1</v>
      </c>
      <c r="Z291" s="39" t="n">
        <f aca="false">IF(AND(E291&gt;0,OR(AND(B291&gt;=1,B291&lt;=6),B291=10)),1,0)</f>
        <v>1</v>
      </c>
      <c r="AA291" s="39" t="n">
        <f aca="false">IF(AND(E291&gt;0,B291=10),1,0)</f>
        <v>0</v>
      </c>
      <c r="AB291" s="0" t="str">
        <f aca="false">IF(AND(C290=C291,Y290=Y291-1),Z290,"")</f>
        <v/>
      </c>
      <c r="AC291" s="0" t="str">
        <f aca="false">IF(AND(C290=C291,Y290=Y291-1),AA290,"")</f>
        <v/>
      </c>
      <c r="AD291" s="0" t="str">
        <f aca="false">IF(Y291=1,"",IF(AND(Z291=1,AB291&lt;&gt;1),1,0))</f>
        <v/>
      </c>
      <c r="AE291" s="0" t="str">
        <f aca="false">IF(Y291=1,"",IF(AND(AA291=1,AC291&lt;&gt;1),1,0))</f>
        <v/>
      </c>
      <c r="AF291" s="45" t="str">
        <f aca="false">IF(AND(E291&gt;0,Y291&lt;1,NOT(AND(C292=C291,Y292=Y291+1))),INDEX(DATAS,Y291+1),"")</f>
        <v/>
      </c>
      <c r="AG291" s="45" t="str">
        <f aca="false">IF(AND(AA291=1,Y291&lt;1),IF(AND(C292=C291,Y292=Y291+1),IF(AA292=1,"",INDEX(DATAS,Y291+1)),INDEX(DATAS,Y291+1)),"")</f>
        <v/>
      </c>
    </row>
    <row r="292" customFormat="false" ht="15" hidden="false" customHeight="false" outlineLevel="0" collapsed="false">
      <c r="A292" s="45" t="n">
        <v>46309</v>
      </c>
      <c r="B292" s="0" t="n">
        <v>14</v>
      </c>
      <c r="C292" s="0" t="n">
        <v>3860</v>
      </c>
      <c r="D292" s="0" t="n">
        <v>463</v>
      </c>
      <c r="E292" s="0" t="n">
        <v>2</v>
      </c>
      <c r="F292" s="39" t="s">
        <v>354</v>
      </c>
      <c r="I292" s="39" t="s">
        <v>114</v>
      </c>
      <c r="J292" s="0" t="n">
        <v>240</v>
      </c>
      <c r="K292" s="0" t="n">
        <v>58</v>
      </c>
      <c r="L292" s="0" t="n">
        <v>259</v>
      </c>
      <c r="M292" s="0" t="n">
        <v>1274</v>
      </c>
      <c r="N292" s="0" t="n">
        <v>59.7</v>
      </c>
      <c r="O292" s="0" t="n">
        <v>45.46</v>
      </c>
      <c r="P292" s="0" t="n">
        <v>5.9</v>
      </c>
      <c r="Q292" s="0" t="n">
        <v>4.21</v>
      </c>
      <c r="R292" s="0" t="n">
        <v>6526</v>
      </c>
      <c r="S292" s="0" t="n">
        <v>13132</v>
      </c>
      <c r="T292" s="0" t="n">
        <v>67.65</v>
      </c>
      <c r="U292" s="0" t="n">
        <v>1688</v>
      </c>
      <c r="V292" s="0" t="n">
        <v>6</v>
      </c>
      <c r="W292" s="39" t="n">
        <f aca="false">IF(I292="Male",0,1)</f>
        <v>1</v>
      </c>
      <c r="X292" s="39" t="n">
        <f aca="false">IF(OR(I292="DNB",I292="Dry DNB"),1,0)</f>
        <v>0</v>
      </c>
      <c r="Y292" s="39" t="n">
        <f aca="false">MATCH(A292,DATAS,0)</f>
        <v>1</v>
      </c>
      <c r="Z292" s="39" t="n">
        <f aca="false">IF(AND(E292&gt;0,OR(AND(B292&gt;=1,B292&lt;=6),B292=10)),1,0)</f>
        <v>0</v>
      </c>
      <c r="AA292" s="39" t="n">
        <f aca="false">IF(AND(E292&gt;0,B292=10),1,0)</f>
        <v>0</v>
      </c>
      <c r="AB292" s="0" t="str">
        <f aca="false">IF(AND(C291=C292,Y291=Y292-1),Z291,"")</f>
        <v/>
      </c>
      <c r="AC292" s="0" t="str">
        <f aca="false">IF(AND(C291=C292,Y291=Y292-1),AA291,"")</f>
        <v/>
      </c>
      <c r="AD292" s="0" t="str">
        <f aca="false">IF(Y292=1,"",IF(AND(Z292=1,AB292&lt;&gt;1),1,0))</f>
        <v/>
      </c>
      <c r="AE292" s="0" t="str">
        <f aca="false">IF(Y292=1,"",IF(AND(AA292=1,AC292&lt;&gt;1),1,0))</f>
        <v/>
      </c>
      <c r="AF292" s="45" t="str">
        <f aca="false">IF(AND(E292&gt;0,Y292&lt;1,NOT(AND(C293=C292,Y293=Y292+1))),INDEX(DATAS,Y292+1),"")</f>
        <v/>
      </c>
      <c r="AG292" s="45" t="str">
        <f aca="false">IF(AND(AA292=1,Y292&lt;1),IF(AND(C293=C292,Y293=Y292+1),IF(AA293=1,"",INDEX(DATAS,Y292+1)),INDEX(DATAS,Y292+1)),"")</f>
        <v/>
      </c>
    </row>
    <row r="293" customFormat="false" ht="15" hidden="false" customHeight="false" outlineLevel="0" collapsed="false">
      <c r="A293" s="45" t="n">
        <v>46309</v>
      </c>
      <c r="B293" s="0" t="n">
        <v>5</v>
      </c>
      <c r="C293" s="0" t="n">
        <v>3864</v>
      </c>
      <c r="D293" s="0" t="n">
        <v>320</v>
      </c>
      <c r="E293" s="0" t="n">
        <v>3</v>
      </c>
      <c r="F293" s="39" t="s">
        <v>355</v>
      </c>
      <c r="G293" s="0" t="n">
        <v>42.2</v>
      </c>
      <c r="H293" s="0" t="n">
        <v>42</v>
      </c>
      <c r="I293" s="39" t="s">
        <v>109</v>
      </c>
      <c r="J293" s="0" t="n">
        <v>201</v>
      </c>
      <c r="K293" s="0" t="n">
        <v>68</v>
      </c>
      <c r="L293" s="0" t="n">
        <v>119</v>
      </c>
      <c r="M293" s="0" t="n">
        <v>545.48</v>
      </c>
      <c r="N293" s="0" t="n">
        <v>42.73</v>
      </c>
      <c r="O293" s="0" t="n">
        <v>22</v>
      </c>
      <c r="P293" s="0" t="n">
        <v>4.62</v>
      </c>
      <c r="Q293" s="0" t="n">
        <v>3.72</v>
      </c>
      <c r="R293" s="0" t="n">
        <v>5583</v>
      </c>
      <c r="S293" s="0" t="n">
        <v>11130</v>
      </c>
      <c r="T293" s="0" t="n">
        <v>60.8</v>
      </c>
      <c r="U293" s="0" t="n">
        <v>1687</v>
      </c>
      <c r="V293" s="0" t="n">
        <v>4</v>
      </c>
      <c r="W293" s="39" t="n">
        <f aca="false">IF(I293="Male",0,1)</f>
        <v>1</v>
      </c>
      <c r="X293" s="39" t="n">
        <f aca="false">IF(OR(I293="DNB",I293="Dry DNB"),1,0)</f>
        <v>0</v>
      </c>
      <c r="Y293" s="39" t="n">
        <f aca="false">MATCH(A293,DATAS,0)</f>
        <v>1</v>
      </c>
      <c r="Z293" s="39" t="n">
        <f aca="false">IF(AND(E293&gt;0,OR(AND(B293&gt;=1,B293&lt;=6),B293=10)),1,0)</f>
        <v>1</v>
      </c>
      <c r="AA293" s="39" t="n">
        <f aca="false">IF(AND(E293&gt;0,B293=10),1,0)</f>
        <v>0</v>
      </c>
      <c r="AB293" s="0" t="str">
        <f aca="false">IF(AND(C292=C293,Y292=Y293-1),Z292,"")</f>
        <v/>
      </c>
      <c r="AC293" s="0" t="str">
        <f aca="false">IF(AND(C292=C293,Y292=Y293-1),AA292,"")</f>
        <v/>
      </c>
      <c r="AD293" s="0" t="str">
        <f aca="false">IF(Y293=1,"",IF(AND(Z293=1,AB293&lt;&gt;1),1,0))</f>
        <v/>
      </c>
      <c r="AE293" s="0" t="str">
        <f aca="false">IF(Y293=1,"",IF(AND(AA293=1,AC293&lt;&gt;1),1,0))</f>
        <v/>
      </c>
      <c r="AF293" s="45" t="str">
        <f aca="false">IF(AND(E293&gt;0,Y293&lt;1,NOT(AND(C294=C293,Y294=Y293+1))),INDEX(DATAS,Y293+1),"")</f>
        <v/>
      </c>
      <c r="AG293" s="45" t="str">
        <f aca="false">IF(AND(AA293=1,Y293&lt;1),IF(AND(C294=C293,Y294=Y293+1),IF(AA294=1,"",INDEX(DATAS,Y293+1)),INDEX(DATAS,Y293+1)),"")</f>
        <v/>
      </c>
    </row>
    <row r="294" customFormat="false" ht="15" hidden="false" customHeight="false" outlineLevel="0" collapsed="false">
      <c r="A294" s="45" t="n">
        <v>46309</v>
      </c>
      <c r="B294" s="0" t="n">
        <v>5</v>
      </c>
      <c r="C294" s="0" t="n">
        <v>3870</v>
      </c>
      <c r="D294" s="0" t="n">
        <v>327</v>
      </c>
      <c r="E294" s="0" t="n">
        <v>3</v>
      </c>
      <c r="F294" s="39" t="s">
        <v>356</v>
      </c>
      <c r="G294" s="0" t="n">
        <v>28.3</v>
      </c>
      <c r="H294" s="0" t="n">
        <v>27</v>
      </c>
      <c r="I294" s="39" t="s">
        <v>109</v>
      </c>
      <c r="J294" s="0" t="n">
        <v>205</v>
      </c>
      <c r="K294" s="0" t="n">
        <v>68</v>
      </c>
      <c r="L294" s="0" t="n">
        <v>122</v>
      </c>
      <c r="M294" s="0" t="n">
        <v>223.45</v>
      </c>
      <c r="N294" s="0" t="n">
        <v>59.03</v>
      </c>
      <c r="O294" s="0" t="n">
        <v>20.19</v>
      </c>
      <c r="P294" s="0" t="n">
        <v>6.13</v>
      </c>
      <c r="Q294" s="0" t="n">
        <v>4.25</v>
      </c>
      <c r="R294" s="0" t="n">
        <v>4934</v>
      </c>
      <c r="S294" s="0" t="n">
        <v>8646</v>
      </c>
      <c r="T294" s="0" t="n">
        <v>48.4</v>
      </c>
      <c r="U294" s="0" t="n">
        <v>1683</v>
      </c>
      <c r="V294" s="0" t="n">
        <v>4</v>
      </c>
      <c r="W294" s="39" t="n">
        <f aca="false">IF(I294="Male",0,1)</f>
        <v>1</v>
      </c>
      <c r="X294" s="39" t="n">
        <f aca="false">IF(OR(I294="DNB",I294="Dry DNB"),1,0)</f>
        <v>0</v>
      </c>
      <c r="Y294" s="39" t="n">
        <f aca="false">MATCH(A294,DATAS,0)</f>
        <v>1</v>
      </c>
      <c r="Z294" s="39" t="n">
        <f aca="false">IF(AND(E294&gt;0,OR(AND(B294&gt;=1,B294&lt;=6),B294=10)),1,0)</f>
        <v>1</v>
      </c>
      <c r="AA294" s="39" t="n">
        <f aca="false">IF(AND(E294&gt;0,B294=10),1,0)</f>
        <v>0</v>
      </c>
      <c r="AB294" s="0" t="str">
        <f aca="false">IF(AND(C293=C294,Y293=Y294-1),Z293,"")</f>
        <v/>
      </c>
      <c r="AC294" s="0" t="str">
        <f aca="false">IF(AND(C293=C294,Y293=Y294-1),AA293,"")</f>
        <v/>
      </c>
      <c r="AD294" s="0" t="str">
        <f aca="false">IF(Y294=1,"",IF(AND(Z294=1,AB294&lt;&gt;1),1,0))</f>
        <v/>
      </c>
      <c r="AE294" s="0" t="str">
        <f aca="false">IF(Y294=1,"",IF(AND(AA294=1,AC294&lt;&gt;1),1,0))</f>
        <v/>
      </c>
      <c r="AF294" s="45" t="str">
        <f aca="false">IF(AND(E294&gt;0,Y294&lt;1,NOT(AND(C295=C294,Y295=Y294+1))),INDEX(DATAS,Y294+1),"")</f>
        <v/>
      </c>
      <c r="AG294" s="45" t="str">
        <f aca="false">IF(AND(AA294=1,Y294&lt;1),IF(AND(C295=C294,Y295=Y294+1),IF(AA295=1,"",INDEX(DATAS,Y294+1)),INDEX(DATAS,Y294+1)),"")</f>
        <v/>
      </c>
    </row>
    <row r="295" customFormat="false" ht="15" hidden="false" customHeight="false" outlineLevel="0" collapsed="false">
      <c r="A295" s="45" t="n">
        <v>46309</v>
      </c>
      <c r="B295" s="0" t="n">
        <v>2</v>
      </c>
      <c r="C295" s="0" t="n">
        <v>3878</v>
      </c>
      <c r="D295" s="0" t="n">
        <v>242</v>
      </c>
      <c r="E295" s="0" t="n">
        <v>3</v>
      </c>
      <c r="F295" s="39" t="s">
        <v>357</v>
      </c>
      <c r="G295" s="0" t="n">
        <v>53.7</v>
      </c>
      <c r="H295" s="0" t="n">
        <v>52</v>
      </c>
      <c r="I295" s="39" t="s">
        <v>109</v>
      </c>
      <c r="J295" s="0" t="n">
        <v>67</v>
      </c>
      <c r="K295" s="0" t="n">
        <v>67</v>
      </c>
      <c r="L295" s="0" t="n">
        <v>175</v>
      </c>
      <c r="M295" s="0" t="n">
        <v>505.11</v>
      </c>
      <c r="N295" s="0" t="n">
        <v>27.51</v>
      </c>
      <c r="O295" s="0" t="n">
        <v>21.07</v>
      </c>
      <c r="P295" s="0" t="n">
        <v>3.17</v>
      </c>
      <c r="Q295" s="0" t="n">
        <v>3.39</v>
      </c>
      <c r="R295" s="0" t="n">
        <v>5400</v>
      </c>
      <c r="S295" s="0" t="n">
        <v>11511</v>
      </c>
      <c r="T295" s="0" t="n">
        <v>60.8</v>
      </c>
      <c r="U295" s="0" t="n">
        <v>1679</v>
      </c>
      <c r="V295" s="0" t="n">
        <v>1</v>
      </c>
      <c r="W295" s="39" t="n">
        <f aca="false">IF(I295="Male",0,1)</f>
        <v>1</v>
      </c>
      <c r="X295" s="39" t="n">
        <f aca="false">IF(OR(I295="DNB",I295="Dry DNB"),1,0)</f>
        <v>0</v>
      </c>
      <c r="Y295" s="39" t="n">
        <f aca="false">MATCH(A295,DATAS,0)</f>
        <v>1</v>
      </c>
      <c r="Z295" s="39" t="n">
        <f aca="false">IF(AND(E295&gt;0,OR(AND(B295&gt;=1,B295&lt;=6),B295=10)),1,0)</f>
        <v>1</v>
      </c>
      <c r="AA295" s="39" t="n">
        <f aca="false">IF(AND(E295&gt;0,B295=10),1,0)</f>
        <v>0</v>
      </c>
      <c r="AB295" s="0" t="str">
        <f aca="false">IF(AND(C294=C295,Y294=Y295-1),Z294,"")</f>
        <v/>
      </c>
      <c r="AC295" s="0" t="str">
        <f aca="false">IF(AND(C294=C295,Y294=Y295-1),AA294,"")</f>
        <v/>
      </c>
      <c r="AD295" s="0" t="str">
        <f aca="false">IF(Y295=1,"",IF(AND(Z295=1,AB295&lt;&gt;1),1,0))</f>
        <v/>
      </c>
      <c r="AE295" s="0" t="str">
        <f aca="false">IF(Y295=1,"",IF(AND(AA295=1,AC295&lt;&gt;1),1,0))</f>
        <v/>
      </c>
      <c r="AF295" s="45" t="str">
        <f aca="false">IF(AND(E295&gt;0,Y295&lt;1,NOT(AND(C296=C295,Y296=Y295+1))),INDEX(DATAS,Y295+1),"")</f>
        <v/>
      </c>
      <c r="AG295" s="45" t="str">
        <f aca="false">IF(AND(AA295=1,Y295&lt;1),IF(AND(C296=C295,Y296=Y295+1),IF(AA296=1,"",INDEX(DATAS,Y295+1)),INDEX(DATAS,Y295+1)),"")</f>
        <v/>
      </c>
    </row>
    <row r="296" customFormat="false" ht="15" hidden="false" customHeight="false" outlineLevel="0" collapsed="false">
      <c r="A296" s="45" t="n">
        <v>46309</v>
      </c>
      <c r="B296" s="0" t="n">
        <v>3</v>
      </c>
      <c r="C296" s="0" t="n">
        <v>3879</v>
      </c>
      <c r="D296" s="0" t="n">
        <v>122</v>
      </c>
      <c r="E296" s="0" t="n">
        <v>3</v>
      </c>
      <c r="F296" s="39" t="s">
        <v>357</v>
      </c>
      <c r="G296" s="0" t="n">
        <v>59.6</v>
      </c>
      <c r="H296" s="0" t="n">
        <v>60</v>
      </c>
      <c r="I296" s="39" t="s">
        <v>138</v>
      </c>
      <c r="J296" s="0" t="n">
        <v>122</v>
      </c>
      <c r="K296" s="0" t="n">
        <v>80</v>
      </c>
      <c r="M296" s="0" t="n">
        <v>830.4</v>
      </c>
      <c r="N296" s="0" t="n">
        <v>26.92</v>
      </c>
      <c r="O296" s="0" t="n">
        <v>30.33</v>
      </c>
      <c r="P296" s="0" t="n">
        <v>2.99</v>
      </c>
      <c r="Q296" s="0" t="n">
        <v>3.25</v>
      </c>
      <c r="R296" s="0" t="n">
        <v>6469</v>
      </c>
      <c r="S296" s="0" t="n">
        <v>12935</v>
      </c>
      <c r="T296" s="0" t="n">
        <v>71.45</v>
      </c>
      <c r="U296" s="0" t="n">
        <v>1679</v>
      </c>
      <c r="V296" s="0" t="n">
        <v>2</v>
      </c>
      <c r="W296" s="39" t="n">
        <f aca="false">IF(I296="Male",0,1)</f>
        <v>1</v>
      </c>
      <c r="X296" s="39" t="n">
        <f aca="false">IF(OR(I296="DNB",I296="Dry DNB"),1,0)</f>
        <v>0</v>
      </c>
      <c r="Y296" s="39" t="n">
        <f aca="false">MATCH(A296,DATAS,0)</f>
        <v>1</v>
      </c>
      <c r="Z296" s="39" t="n">
        <f aca="false">IF(AND(E296&gt;0,OR(AND(B296&gt;=1,B296&lt;=6),B296=10)),1,0)</f>
        <v>1</v>
      </c>
      <c r="AA296" s="39" t="n">
        <f aca="false">IF(AND(E296&gt;0,B296=10),1,0)</f>
        <v>0</v>
      </c>
      <c r="AB296" s="0" t="str">
        <f aca="false">IF(AND(C295=C296,Y295=Y296-1),Z295,"")</f>
        <v/>
      </c>
      <c r="AC296" s="0" t="str">
        <f aca="false">IF(AND(C295=C296,Y295=Y296-1),AA295,"")</f>
        <v/>
      </c>
      <c r="AD296" s="0" t="str">
        <f aca="false">IF(Y296=1,"",IF(AND(Z296=1,AB296&lt;&gt;1),1,0))</f>
        <v/>
      </c>
      <c r="AE296" s="0" t="str">
        <f aca="false">IF(Y296=1,"",IF(AND(AA296=1,AC296&lt;&gt;1),1,0))</f>
        <v/>
      </c>
      <c r="AF296" s="45" t="str">
        <f aca="false">IF(AND(E296&gt;0,Y296&lt;1,NOT(AND(C297=C296,Y297=Y296+1))),INDEX(DATAS,Y296+1),"")</f>
        <v/>
      </c>
      <c r="AG296" s="45" t="str">
        <f aca="false">IF(AND(AA296=1,Y296&lt;1),IF(AND(C297=C296,Y297=Y296+1),IF(AA297=1,"",INDEX(DATAS,Y296+1)),INDEX(DATAS,Y296+1)),"")</f>
        <v/>
      </c>
    </row>
    <row r="297" customFormat="false" ht="15" hidden="false" customHeight="false" outlineLevel="0" collapsed="false">
      <c r="A297" s="45" t="n">
        <v>46309</v>
      </c>
      <c r="B297" s="0" t="n">
        <v>5</v>
      </c>
      <c r="C297" s="0" t="n">
        <v>3882</v>
      </c>
      <c r="D297" s="0" t="n">
        <v>220</v>
      </c>
      <c r="E297" s="0" t="n">
        <v>3</v>
      </c>
      <c r="F297" s="39" t="s">
        <v>358</v>
      </c>
      <c r="G297" s="0" t="n">
        <v>38.2</v>
      </c>
      <c r="H297" s="0" t="n">
        <v>32</v>
      </c>
      <c r="I297" s="39" t="s">
        <v>109</v>
      </c>
      <c r="J297" s="0" t="n">
        <v>66</v>
      </c>
      <c r="K297" s="0" t="n">
        <v>66</v>
      </c>
      <c r="L297" s="0" t="n">
        <v>154</v>
      </c>
      <c r="M297" s="0" t="n">
        <v>320.98</v>
      </c>
      <c r="N297" s="0" t="n">
        <v>40.52</v>
      </c>
      <c r="O297" s="0" t="n">
        <v>18.38</v>
      </c>
      <c r="P297" s="0" t="n">
        <v>4.9</v>
      </c>
      <c r="Q297" s="0" t="n">
        <v>3.65</v>
      </c>
      <c r="R297" s="0" t="n">
        <v>5325</v>
      </c>
      <c r="S297" s="0" t="n">
        <v>9959</v>
      </c>
      <c r="T297" s="0" t="n">
        <v>57.45</v>
      </c>
      <c r="U297" s="0" t="n">
        <v>1677</v>
      </c>
      <c r="V297" s="0" t="n">
        <v>1</v>
      </c>
      <c r="W297" s="39" t="n">
        <f aca="false">IF(I297="Male",0,1)</f>
        <v>1</v>
      </c>
      <c r="X297" s="39" t="n">
        <f aca="false">IF(OR(I297="DNB",I297="Dry DNB"),1,0)</f>
        <v>0</v>
      </c>
      <c r="Y297" s="39" t="n">
        <f aca="false">MATCH(A297,DATAS,0)</f>
        <v>1</v>
      </c>
      <c r="Z297" s="39" t="n">
        <f aca="false">IF(AND(E297&gt;0,OR(AND(B297&gt;=1,B297&lt;=6),B297=10)),1,0)</f>
        <v>1</v>
      </c>
      <c r="AA297" s="39" t="n">
        <f aca="false">IF(AND(E297&gt;0,B297=10),1,0)</f>
        <v>0</v>
      </c>
      <c r="AB297" s="0" t="str">
        <f aca="false">IF(AND(C296=C297,Y296=Y297-1),Z296,"")</f>
        <v/>
      </c>
      <c r="AC297" s="0" t="str">
        <f aca="false">IF(AND(C296=C297,Y296=Y297-1),AA296,"")</f>
        <v/>
      </c>
      <c r="AD297" s="0" t="str">
        <f aca="false">IF(Y297=1,"",IF(AND(Z297=1,AB297&lt;&gt;1),1,0))</f>
        <v/>
      </c>
      <c r="AE297" s="0" t="str">
        <f aca="false">IF(Y297=1,"",IF(AND(AA297=1,AC297&lt;&gt;1),1,0))</f>
        <v/>
      </c>
      <c r="AF297" s="45" t="str">
        <f aca="false">IF(AND(E297&gt;0,Y297&lt;1,NOT(AND(C298=C297,Y298=Y297+1))),INDEX(DATAS,Y297+1),"")</f>
        <v/>
      </c>
      <c r="AG297" s="45" t="str">
        <f aca="false">IF(AND(AA297=1,Y297&lt;1),IF(AND(C298=C297,Y298=Y297+1),IF(AA298=1,"",INDEX(DATAS,Y297+1)),INDEX(DATAS,Y297+1)),"")</f>
        <v/>
      </c>
    </row>
    <row r="298" customFormat="false" ht="15" hidden="false" customHeight="false" outlineLevel="0" collapsed="false">
      <c r="A298" s="45" t="n">
        <v>46309</v>
      </c>
      <c r="B298" s="0" t="n">
        <v>5</v>
      </c>
      <c r="C298" s="0" t="n">
        <v>3883</v>
      </c>
      <c r="D298" s="0" t="n">
        <v>246</v>
      </c>
      <c r="E298" s="0" t="n">
        <v>3</v>
      </c>
      <c r="F298" s="39" t="s">
        <v>358</v>
      </c>
      <c r="G298" s="0" t="n">
        <v>34.7</v>
      </c>
      <c r="H298" s="0" t="n">
        <v>35</v>
      </c>
      <c r="I298" s="39" t="s">
        <v>109</v>
      </c>
      <c r="J298" s="0" t="n">
        <v>64</v>
      </c>
      <c r="K298" s="0" t="n">
        <v>64</v>
      </c>
      <c r="L298" s="0" t="n">
        <v>182</v>
      </c>
      <c r="M298" s="0" t="n">
        <v>16.91</v>
      </c>
      <c r="N298" s="0" t="n">
        <v>37.16</v>
      </c>
      <c r="O298" s="0" t="n">
        <v>17.55</v>
      </c>
      <c r="P298" s="0" t="n">
        <v>6.17</v>
      </c>
      <c r="Q298" s="0" t="n">
        <v>3.91</v>
      </c>
      <c r="R298" s="0" t="n">
        <v>3867</v>
      </c>
      <c r="S298" s="0" t="n">
        <v>8788</v>
      </c>
      <c r="T298" s="0" t="n">
        <v>45.85</v>
      </c>
      <c r="U298" s="0" t="n">
        <v>1677</v>
      </c>
      <c r="V298" s="0" t="n">
        <v>1</v>
      </c>
      <c r="W298" s="39" t="n">
        <f aca="false">IF(I298="Male",0,1)</f>
        <v>1</v>
      </c>
      <c r="X298" s="39" t="n">
        <f aca="false">IF(OR(I298="DNB",I298="Dry DNB"),1,0)</f>
        <v>0</v>
      </c>
      <c r="Y298" s="39" t="n">
        <f aca="false">MATCH(A298,DATAS,0)</f>
        <v>1</v>
      </c>
      <c r="Z298" s="39" t="n">
        <f aca="false">IF(AND(E298&gt;0,OR(AND(B298&gt;=1,B298&lt;=6),B298=10)),1,0)</f>
        <v>1</v>
      </c>
      <c r="AA298" s="39" t="n">
        <f aca="false">IF(AND(E298&gt;0,B298=10),1,0)</f>
        <v>0</v>
      </c>
      <c r="AB298" s="0" t="str">
        <f aca="false">IF(AND(C297=C298,Y297=Y298-1),Z297,"")</f>
        <v/>
      </c>
      <c r="AC298" s="0" t="str">
        <f aca="false">IF(AND(C297=C298,Y297=Y298-1),AA297,"")</f>
        <v/>
      </c>
      <c r="AD298" s="0" t="str">
        <f aca="false">IF(Y298=1,"",IF(AND(Z298=1,AB298&lt;&gt;1),1,0))</f>
        <v/>
      </c>
      <c r="AE298" s="0" t="str">
        <f aca="false">IF(Y298=1,"",IF(AND(AA298=1,AC298&lt;&gt;1),1,0))</f>
        <v/>
      </c>
      <c r="AF298" s="45" t="str">
        <f aca="false">IF(AND(E298&gt;0,Y298&lt;1,NOT(AND(C299=C298,Y299=Y298+1))),INDEX(DATAS,Y298+1),"")</f>
        <v/>
      </c>
      <c r="AG298" s="45" t="str">
        <f aca="false">IF(AND(AA298=1,Y298&lt;1),IF(AND(C299=C298,Y299=Y298+1),IF(AA299=1,"",INDEX(DATAS,Y298+1)),INDEX(DATAS,Y298+1)),"")</f>
        <v/>
      </c>
    </row>
    <row r="299" customFormat="false" ht="15" hidden="false" customHeight="false" outlineLevel="0" collapsed="false">
      <c r="A299" s="45" t="n">
        <v>46309</v>
      </c>
      <c r="B299" s="0" t="n">
        <v>3</v>
      </c>
      <c r="C299" s="0" t="n">
        <v>3885</v>
      </c>
      <c r="D299" s="0" t="n">
        <v>141</v>
      </c>
      <c r="E299" s="0" t="n">
        <v>3</v>
      </c>
      <c r="F299" s="39" t="s">
        <v>358</v>
      </c>
      <c r="G299" s="0" t="n">
        <v>58.4</v>
      </c>
      <c r="H299" s="0" t="n">
        <v>55</v>
      </c>
      <c r="I299" s="39" t="s">
        <v>138</v>
      </c>
      <c r="J299" s="0" t="n">
        <v>141</v>
      </c>
      <c r="K299" s="0" t="n">
        <v>64</v>
      </c>
      <c r="M299" s="0" t="n">
        <v>638.2</v>
      </c>
      <c r="N299" s="0" t="n">
        <v>31.54</v>
      </c>
      <c r="O299" s="0" t="n">
        <v>23.05</v>
      </c>
      <c r="P299" s="0" t="n">
        <v>4.28</v>
      </c>
      <c r="Q299" s="0" t="n">
        <v>3.19</v>
      </c>
      <c r="R299" s="0" t="n">
        <v>6249</v>
      </c>
      <c r="S299" s="0" t="n">
        <v>12346</v>
      </c>
      <c r="T299" s="0" t="n">
        <v>65.35</v>
      </c>
      <c r="U299" s="0" t="n">
        <v>1677</v>
      </c>
      <c r="V299" s="0" t="n">
        <v>3</v>
      </c>
      <c r="W299" s="39" t="n">
        <f aca="false">IF(I299="Male",0,1)</f>
        <v>1</v>
      </c>
      <c r="X299" s="39" t="n">
        <f aca="false">IF(OR(I299="DNB",I299="Dry DNB"),1,0)</f>
        <v>0</v>
      </c>
      <c r="Y299" s="39" t="n">
        <f aca="false">MATCH(A299,DATAS,0)</f>
        <v>1</v>
      </c>
      <c r="Z299" s="39" t="n">
        <f aca="false">IF(AND(E299&gt;0,OR(AND(B299&gt;=1,B299&lt;=6),B299=10)),1,0)</f>
        <v>1</v>
      </c>
      <c r="AA299" s="39" t="n">
        <f aca="false">IF(AND(E299&gt;0,B299=10),1,0)</f>
        <v>0</v>
      </c>
      <c r="AB299" s="0" t="str">
        <f aca="false">IF(AND(C298=C299,Y298=Y299-1),Z298,"")</f>
        <v/>
      </c>
      <c r="AC299" s="0" t="str">
        <f aca="false">IF(AND(C298=C299,Y298=Y299-1),AA298,"")</f>
        <v/>
      </c>
      <c r="AD299" s="0" t="str">
        <f aca="false">IF(Y299=1,"",IF(AND(Z299=1,AB299&lt;&gt;1),1,0))</f>
        <v/>
      </c>
      <c r="AE299" s="0" t="str">
        <f aca="false">IF(Y299=1,"",IF(AND(AA299=1,AC299&lt;&gt;1),1,0))</f>
        <v/>
      </c>
      <c r="AF299" s="45" t="str">
        <f aca="false">IF(AND(E299&gt;0,Y299&lt;1,NOT(AND(C300=C299,Y300=Y299+1))),INDEX(DATAS,Y299+1),"")</f>
        <v/>
      </c>
      <c r="AG299" s="45" t="str">
        <f aca="false">IF(AND(AA299=1,Y299&lt;1),IF(AND(C300=C299,Y300=Y299+1),IF(AA300=1,"",INDEX(DATAS,Y299+1)),INDEX(DATAS,Y299+1)),"")</f>
        <v/>
      </c>
    </row>
    <row r="300" customFormat="false" ht="15" hidden="false" customHeight="false" outlineLevel="0" collapsed="false">
      <c r="A300" s="45" t="n">
        <v>46309</v>
      </c>
      <c r="B300" s="0" t="n">
        <v>5</v>
      </c>
      <c r="C300" s="0" t="n">
        <v>3887</v>
      </c>
      <c r="D300" s="0" t="n">
        <v>251</v>
      </c>
      <c r="E300" s="0" t="n">
        <v>3</v>
      </c>
      <c r="F300" s="39" t="s">
        <v>359</v>
      </c>
      <c r="G300" s="0" t="n">
        <v>40.9</v>
      </c>
      <c r="H300" s="0" t="n">
        <v>44</v>
      </c>
      <c r="I300" s="39" t="s">
        <v>109</v>
      </c>
      <c r="J300" s="0" t="n">
        <v>69</v>
      </c>
      <c r="K300" s="0" t="n">
        <v>69</v>
      </c>
      <c r="L300" s="0" t="n">
        <v>182</v>
      </c>
      <c r="M300" s="0" t="n">
        <v>643.62</v>
      </c>
      <c r="N300" s="0" t="n">
        <v>49.97</v>
      </c>
      <c r="O300" s="0" t="n">
        <v>32.19</v>
      </c>
      <c r="P300" s="0" t="n">
        <v>3.15</v>
      </c>
      <c r="Q300" s="0" t="n">
        <v>3.72</v>
      </c>
      <c r="R300" s="0" t="n">
        <v>6493</v>
      </c>
      <c r="S300" s="0" t="n">
        <v>11347</v>
      </c>
      <c r="T300" s="0" t="n">
        <v>71.9</v>
      </c>
      <c r="U300" s="0" t="n">
        <v>1676</v>
      </c>
      <c r="V300" s="0" t="n">
        <v>1</v>
      </c>
      <c r="W300" s="39" t="n">
        <f aca="false">IF(I300="Male",0,1)</f>
        <v>1</v>
      </c>
      <c r="X300" s="39" t="n">
        <f aca="false">IF(OR(I300="DNB",I300="Dry DNB"),1,0)</f>
        <v>0</v>
      </c>
      <c r="Y300" s="39" t="n">
        <f aca="false">MATCH(A300,DATAS,0)</f>
        <v>1</v>
      </c>
      <c r="Z300" s="39" t="n">
        <f aca="false">IF(AND(E300&gt;0,OR(AND(B300&gt;=1,B300&lt;=6),B300=10)),1,0)</f>
        <v>1</v>
      </c>
      <c r="AA300" s="39" t="n">
        <f aca="false">IF(AND(E300&gt;0,B300=10),1,0)</f>
        <v>0</v>
      </c>
      <c r="AB300" s="0" t="str">
        <f aca="false">IF(AND(C299=C300,Y299=Y300-1),Z299,"")</f>
        <v/>
      </c>
      <c r="AC300" s="0" t="str">
        <f aca="false">IF(AND(C299=C300,Y299=Y300-1),AA299,"")</f>
        <v/>
      </c>
      <c r="AD300" s="0" t="str">
        <f aca="false">IF(Y300=1,"",IF(AND(Z300=1,AB300&lt;&gt;1),1,0))</f>
        <v/>
      </c>
      <c r="AE300" s="0" t="str">
        <f aca="false">IF(Y300=1,"",IF(AND(AA300=1,AC300&lt;&gt;1),1,0))</f>
        <v/>
      </c>
      <c r="AF300" s="45" t="str">
        <f aca="false">IF(AND(E300&gt;0,Y300&lt;1,NOT(AND(C301=C300,Y301=Y300+1))),INDEX(DATAS,Y300+1),"")</f>
        <v/>
      </c>
      <c r="AG300" s="45" t="str">
        <f aca="false">IF(AND(AA300=1,Y300&lt;1),IF(AND(C301=C300,Y301=Y300+1),IF(AA301=1,"",INDEX(DATAS,Y300+1)),INDEX(DATAS,Y300+1)),"")</f>
        <v/>
      </c>
    </row>
    <row r="301" customFormat="false" ht="15" hidden="false" customHeight="false" outlineLevel="0" collapsed="false">
      <c r="A301" s="45" t="n">
        <v>46309</v>
      </c>
      <c r="B301" s="0" t="n">
        <v>2</v>
      </c>
      <c r="C301" s="0" t="n">
        <v>3891</v>
      </c>
      <c r="D301" s="0" t="n">
        <v>131</v>
      </c>
      <c r="E301" s="0" t="n">
        <v>3</v>
      </c>
      <c r="F301" s="39" t="s">
        <v>360</v>
      </c>
      <c r="G301" s="0" t="n">
        <v>55.4</v>
      </c>
      <c r="H301" s="0" t="n">
        <v>56</v>
      </c>
      <c r="I301" s="39" t="s">
        <v>109</v>
      </c>
      <c r="J301" s="0" t="n">
        <v>68</v>
      </c>
      <c r="K301" s="0" t="n">
        <v>68</v>
      </c>
      <c r="L301" s="0" t="n">
        <v>63</v>
      </c>
      <c r="M301" s="0" t="n">
        <v>491.29</v>
      </c>
      <c r="N301" s="0" t="n">
        <v>45.61</v>
      </c>
      <c r="O301" s="0" t="n">
        <v>21.62</v>
      </c>
      <c r="P301" s="0" t="n">
        <v>3.25</v>
      </c>
      <c r="Q301" s="0" t="n">
        <v>3.24</v>
      </c>
      <c r="R301" s="0" t="n">
        <v>5240</v>
      </c>
      <c r="S301" s="0" t="n">
        <v>10695</v>
      </c>
      <c r="T301" s="0" t="n">
        <v>57.65</v>
      </c>
      <c r="U301" s="0" t="n">
        <v>1674</v>
      </c>
      <c r="V301" s="0" t="n">
        <v>1</v>
      </c>
      <c r="W301" s="39" t="n">
        <f aca="false">IF(I301="Male",0,1)</f>
        <v>1</v>
      </c>
      <c r="X301" s="39" t="n">
        <f aca="false">IF(OR(I301="DNB",I301="Dry DNB"),1,0)</f>
        <v>0</v>
      </c>
      <c r="Y301" s="39" t="n">
        <f aca="false">MATCH(A301,DATAS,0)</f>
        <v>1</v>
      </c>
      <c r="Z301" s="39" t="n">
        <f aca="false">IF(AND(E301&gt;0,OR(AND(B301&gt;=1,B301&lt;=6),B301=10)),1,0)</f>
        <v>1</v>
      </c>
      <c r="AA301" s="39" t="n">
        <f aca="false">IF(AND(E301&gt;0,B301=10),1,0)</f>
        <v>0</v>
      </c>
      <c r="AB301" s="0" t="str">
        <f aca="false">IF(AND(C300=C301,Y300=Y301-1),Z300,"")</f>
        <v/>
      </c>
      <c r="AC301" s="0" t="str">
        <f aca="false">IF(AND(C300=C301,Y300=Y301-1),AA300,"")</f>
        <v/>
      </c>
      <c r="AD301" s="0" t="str">
        <f aca="false">IF(Y301=1,"",IF(AND(Z301=1,AB301&lt;&gt;1),1,0))</f>
        <v/>
      </c>
      <c r="AE301" s="0" t="str">
        <f aca="false">IF(Y301=1,"",IF(AND(AA301=1,AC301&lt;&gt;1),1,0))</f>
        <v/>
      </c>
      <c r="AF301" s="45" t="str">
        <f aca="false">IF(AND(E301&gt;0,Y301&lt;1,NOT(AND(C302=C301,Y302=Y301+1))),INDEX(DATAS,Y301+1),"")</f>
        <v/>
      </c>
      <c r="AG301" s="45" t="str">
        <f aca="false">IF(AND(AA301=1,Y301&lt;1),IF(AND(C302=C301,Y302=Y301+1),IF(AA302=1,"",INDEX(DATAS,Y301+1)),INDEX(DATAS,Y301+1)),"")</f>
        <v/>
      </c>
    </row>
    <row r="302" customFormat="false" ht="15" hidden="false" customHeight="false" outlineLevel="0" collapsed="false">
      <c r="A302" s="45" t="n">
        <v>46309</v>
      </c>
      <c r="B302" s="0" t="n">
        <v>3</v>
      </c>
      <c r="C302" s="0" t="n">
        <v>3893</v>
      </c>
      <c r="D302" s="0" t="n">
        <v>203</v>
      </c>
      <c r="E302" s="0" t="n">
        <v>3</v>
      </c>
      <c r="F302" s="39" t="s">
        <v>360</v>
      </c>
      <c r="G302" s="0" t="n">
        <v>50.8</v>
      </c>
      <c r="H302" s="0" t="n">
        <v>48</v>
      </c>
      <c r="I302" s="39" t="s">
        <v>109</v>
      </c>
      <c r="J302" s="0" t="n">
        <v>70</v>
      </c>
      <c r="K302" s="0" t="n">
        <v>70</v>
      </c>
      <c r="L302" s="0" t="n">
        <v>133</v>
      </c>
      <c r="M302" s="0" t="n">
        <v>935.47</v>
      </c>
      <c r="N302" s="0" t="n">
        <v>35.98</v>
      </c>
      <c r="O302" s="0" t="n">
        <v>34.13</v>
      </c>
      <c r="P302" s="0" t="n">
        <v>3.36</v>
      </c>
      <c r="Q302" s="0" t="n">
        <v>3.51</v>
      </c>
      <c r="R302" s="0" t="n">
        <v>6153</v>
      </c>
      <c r="S302" s="0" t="n">
        <v>12716</v>
      </c>
      <c r="T302" s="0" t="n">
        <v>69.7</v>
      </c>
      <c r="U302" s="0" t="n">
        <v>1674</v>
      </c>
      <c r="V302" s="0" t="n">
        <v>1</v>
      </c>
      <c r="W302" s="39" t="n">
        <f aca="false">IF(I302="Male",0,1)</f>
        <v>1</v>
      </c>
      <c r="X302" s="39" t="n">
        <f aca="false">IF(OR(I302="DNB",I302="Dry DNB"),1,0)</f>
        <v>0</v>
      </c>
      <c r="Y302" s="39" t="n">
        <f aca="false">MATCH(A302,DATAS,0)</f>
        <v>1</v>
      </c>
      <c r="Z302" s="39" t="n">
        <f aca="false">IF(AND(E302&gt;0,OR(AND(B302&gt;=1,B302&lt;=6),B302=10)),1,0)</f>
        <v>1</v>
      </c>
      <c r="AA302" s="39" t="n">
        <f aca="false">IF(AND(E302&gt;0,B302=10),1,0)</f>
        <v>0</v>
      </c>
      <c r="AB302" s="0" t="str">
        <f aca="false">IF(AND(C301=C302,Y301=Y302-1),Z301,"")</f>
        <v/>
      </c>
      <c r="AC302" s="0" t="str">
        <f aca="false">IF(AND(C301=C302,Y301=Y302-1),AA301,"")</f>
        <v/>
      </c>
      <c r="AD302" s="0" t="str">
        <f aca="false">IF(Y302=1,"",IF(AND(Z302=1,AB302&lt;&gt;1),1,0))</f>
        <v/>
      </c>
      <c r="AE302" s="0" t="str">
        <f aca="false">IF(Y302=1,"",IF(AND(AA302=1,AC302&lt;&gt;1),1,0))</f>
        <v/>
      </c>
      <c r="AF302" s="45" t="str">
        <f aca="false">IF(AND(E302&gt;0,Y302&lt;1,NOT(AND(C303=C302,Y303=Y302+1))),INDEX(DATAS,Y302+1),"")</f>
        <v/>
      </c>
      <c r="AG302" s="45" t="str">
        <f aca="false">IF(AND(AA302=1,Y302&lt;1),IF(AND(C303=C302,Y303=Y302+1),IF(AA303=1,"",INDEX(DATAS,Y302+1)),INDEX(DATAS,Y302+1)),"")</f>
        <v/>
      </c>
    </row>
    <row r="303" customFormat="false" ht="15" hidden="false" customHeight="false" outlineLevel="0" collapsed="false">
      <c r="A303" s="45" t="n">
        <v>46309</v>
      </c>
      <c r="B303" s="0" t="n">
        <v>5</v>
      </c>
      <c r="C303" s="0" t="n">
        <v>3894</v>
      </c>
      <c r="D303" s="0" t="n">
        <v>205</v>
      </c>
      <c r="E303" s="0" t="n">
        <v>3</v>
      </c>
      <c r="F303" s="39" t="s">
        <v>360</v>
      </c>
      <c r="G303" s="0" t="n">
        <v>43.8</v>
      </c>
      <c r="H303" s="0" t="n">
        <v>38</v>
      </c>
      <c r="I303" s="39" t="s">
        <v>109</v>
      </c>
      <c r="J303" s="0" t="n">
        <v>170</v>
      </c>
      <c r="K303" s="0" t="n">
        <v>72</v>
      </c>
      <c r="L303" s="0" t="n">
        <v>35</v>
      </c>
      <c r="M303" s="0" t="n">
        <v>1170.45</v>
      </c>
      <c r="N303" s="0" t="n">
        <v>38.05</v>
      </c>
      <c r="O303" s="0" t="n">
        <v>41.12</v>
      </c>
      <c r="P303" s="0" t="n">
        <v>4.03</v>
      </c>
      <c r="Q303" s="0" t="n">
        <v>3.56</v>
      </c>
      <c r="R303" s="0" t="n">
        <v>4357</v>
      </c>
      <c r="S303" s="0" t="n">
        <v>8956</v>
      </c>
      <c r="T303" s="0" t="n">
        <v>51.35</v>
      </c>
      <c r="U303" s="0" t="n">
        <v>1674</v>
      </c>
      <c r="V303" s="0" t="n">
        <v>4</v>
      </c>
      <c r="W303" s="39" t="n">
        <f aca="false">IF(I303="Male",0,1)</f>
        <v>1</v>
      </c>
      <c r="X303" s="39" t="n">
        <f aca="false">IF(OR(I303="DNB",I303="Dry DNB"),1,0)</f>
        <v>0</v>
      </c>
      <c r="Y303" s="39" t="n">
        <f aca="false">MATCH(A303,DATAS,0)</f>
        <v>1</v>
      </c>
      <c r="Z303" s="39" t="n">
        <f aca="false">IF(AND(E303&gt;0,OR(AND(B303&gt;=1,B303&lt;=6),B303=10)),1,0)</f>
        <v>1</v>
      </c>
      <c r="AA303" s="39" t="n">
        <f aca="false">IF(AND(E303&gt;0,B303=10),1,0)</f>
        <v>0</v>
      </c>
      <c r="AB303" s="0" t="str">
        <f aca="false">IF(AND(C302=C303,Y302=Y303-1),Z302,"")</f>
        <v/>
      </c>
      <c r="AC303" s="0" t="str">
        <f aca="false">IF(AND(C302=C303,Y302=Y303-1),AA302,"")</f>
        <v/>
      </c>
      <c r="AD303" s="0" t="str">
        <f aca="false">IF(Y303=1,"",IF(AND(Z303=1,AB303&lt;&gt;1),1,0))</f>
        <v/>
      </c>
      <c r="AE303" s="0" t="str">
        <f aca="false">IF(Y303=1,"",IF(AND(AA303=1,AC303&lt;&gt;1),1,0))</f>
        <v/>
      </c>
      <c r="AF303" s="45" t="str">
        <f aca="false">IF(AND(E303&gt;0,Y303&lt;1,NOT(AND(C304=C303,Y304=Y303+1))),INDEX(DATAS,Y303+1),"")</f>
        <v/>
      </c>
      <c r="AG303" s="45" t="str">
        <f aca="false">IF(AND(AA303=1,Y303&lt;1),IF(AND(C304=C303,Y304=Y303+1),IF(AA304=1,"",INDEX(DATAS,Y303+1)),INDEX(DATAS,Y303+1)),"")</f>
        <v/>
      </c>
    </row>
    <row r="304" customFormat="false" ht="15" hidden="false" customHeight="false" outlineLevel="0" collapsed="false">
      <c r="A304" s="45" t="n">
        <v>46309</v>
      </c>
      <c r="B304" s="0" t="n">
        <v>5</v>
      </c>
      <c r="C304" s="0" t="n">
        <v>3896</v>
      </c>
      <c r="D304" s="0" t="n">
        <v>330</v>
      </c>
      <c r="E304" s="0" t="n">
        <v>3</v>
      </c>
      <c r="F304" s="39" t="s">
        <v>361</v>
      </c>
      <c r="G304" s="0" t="n">
        <v>39.6</v>
      </c>
      <c r="H304" s="0" t="n">
        <v>35</v>
      </c>
      <c r="I304" s="39" t="s">
        <v>109</v>
      </c>
      <c r="J304" s="0" t="n">
        <v>155</v>
      </c>
      <c r="K304" s="0" t="n">
        <v>64</v>
      </c>
      <c r="L304" s="0" t="n">
        <v>175</v>
      </c>
      <c r="M304" s="0" t="n">
        <v>431.88</v>
      </c>
      <c r="N304" s="0" t="n">
        <v>36.89</v>
      </c>
      <c r="O304" s="0" t="n">
        <v>27.67</v>
      </c>
      <c r="P304" s="0" t="n">
        <v>3.73</v>
      </c>
      <c r="Q304" s="0" t="n">
        <v>3.99</v>
      </c>
      <c r="R304" s="0" t="n">
        <v>6574</v>
      </c>
      <c r="S304" s="0" t="n">
        <v>12921</v>
      </c>
      <c r="T304" s="0" t="n">
        <v>75.9</v>
      </c>
      <c r="U304" s="0" t="n">
        <v>1671</v>
      </c>
      <c r="V304" s="0" t="n">
        <v>3</v>
      </c>
      <c r="W304" s="39" t="n">
        <f aca="false">IF(I304="Male",0,1)</f>
        <v>1</v>
      </c>
      <c r="X304" s="39" t="n">
        <f aca="false">IF(OR(I304="DNB",I304="Dry DNB"),1,0)</f>
        <v>0</v>
      </c>
      <c r="Y304" s="39" t="n">
        <f aca="false">MATCH(A304,DATAS,0)</f>
        <v>1</v>
      </c>
      <c r="Z304" s="39" t="n">
        <f aca="false">IF(AND(E304&gt;0,OR(AND(B304&gt;=1,B304&lt;=6),B304=10)),1,0)</f>
        <v>1</v>
      </c>
      <c r="AA304" s="39" t="n">
        <f aca="false">IF(AND(E304&gt;0,B304=10),1,0)</f>
        <v>0</v>
      </c>
      <c r="AB304" s="0" t="str">
        <f aca="false">IF(AND(C303=C304,Y303=Y304-1),Z303,"")</f>
        <v/>
      </c>
      <c r="AC304" s="0" t="str">
        <f aca="false">IF(AND(C303=C304,Y303=Y304-1),AA303,"")</f>
        <v/>
      </c>
      <c r="AD304" s="0" t="str">
        <f aca="false">IF(Y304=1,"",IF(AND(Z304=1,AB304&lt;&gt;1),1,0))</f>
        <v/>
      </c>
      <c r="AE304" s="0" t="str">
        <f aca="false">IF(Y304=1,"",IF(AND(AA304=1,AC304&lt;&gt;1),1,0))</f>
        <v/>
      </c>
      <c r="AF304" s="45" t="str">
        <f aca="false">IF(AND(E304&gt;0,Y304&lt;1,NOT(AND(C305=C304,Y305=Y304+1))),INDEX(DATAS,Y304+1),"")</f>
        <v/>
      </c>
      <c r="AG304" s="45" t="str">
        <f aca="false">IF(AND(AA304=1,Y304&lt;1),IF(AND(C305=C304,Y305=Y304+1),IF(AA305=1,"",INDEX(DATAS,Y304+1)),INDEX(DATAS,Y304+1)),"")</f>
        <v/>
      </c>
    </row>
    <row r="305" customFormat="false" ht="15" hidden="false" customHeight="false" outlineLevel="0" collapsed="false">
      <c r="A305" s="45" t="n">
        <v>46309</v>
      </c>
      <c r="B305" s="0" t="n">
        <v>2</v>
      </c>
      <c r="C305" s="0" t="n">
        <v>3897</v>
      </c>
      <c r="D305" s="0" t="n">
        <v>174</v>
      </c>
      <c r="E305" s="0" t="n">
        <v>3</v>
      </c>
      <c r="F305" s="39" t="s">
        <v>361</v>
      </c>
      <c r="G305" s="0" t="n">
        <v>52</v>
      </c>
      <c r="H305" s="0" t="n">
        <v>53</v>
      </c>
      <c r="I305" s="39" t="s">
        <v>109</v>
      </c>
      <c r="J305" s="0" t="n">
        <v>139</v>
      </c>
      <c r="K305" s="0" t="n">
        <v>69</v>
      </c>
      <c r="L305" s="0" t="n">
        <v>35</v>
      </c>
      <c r="M305" s="0" t="n">
        <v>334.77</v>
      </c>
      <c r="N305" s="0" t="n">
        <v>55.7</v>
      </c>
      <c r="O305" s="0" t="n">
        <v>20.93</v>
      </c>
      <c r="P305" s="0" t="n">
        <v>2.71</v>
      </c>
      <c r="Q305" s="0" t="n">
        <v>3.2</v>
      </c>
      <c r="R305" s="0" t="n">
        <v>5943</v>
      </c>
      <c r="S305" s="0" t="n">
        <v>11968</v>
      </c>
      <c r="T305" s="0" t="n">
        <v>66.9</v>
      </c>
      <c r="U305" s="0" t="n">
        <v>1671</v>
      </c>
      <c r="V305" s="0" t="n">
        <v>2</v>
      </c>
      <c r="W305" s="39" t="n">
        <f aca="false">IF(I305="Male",0,1)</f>
        <v>1</v>
      </c>
      <c r="X305" s="39" t="n">
        <f aca="false">IF(OR(I305="DNB",I305="Dry DNB"),1,0)</f>
        <v>0</v>
      </c>
      <c r="Y305" s="39" t="n">
        <f aca="false">MATCH(A305,DATAS,0)</f>
        <v>1</v>
      </c>
      <c r="Z305" s="39" t="n">
        <f aca="false">IF(AND(E305&gt;0,OR(AND(B305&gt;=1,B305&lt;=6),B305=10)),1,0)</f>
        <v>1</v>
      </c>
      <c r="AA305" s="39" t="n">
        <f aca="false">IF(AND(E305&gt;0,B305=10),1,0)</f>
        <v>0</v>
      </c>
      <c r="AB305" s="0" t="str">
        <f aca="false">IF(AND(C304=C305,Y304=Y305-1),Z304,"")</f>
        <v/>
      </c>
      <c r="AC305" s="0" t="str">
        <f aca="false">IF(AND(C304=C305,Y304=Y305-1),AA304,"")</f>
        <v/>
      </c>
      <c r="AD305" s="0" t="str">
        <f aca="false">IF(Y305=1,"",IF(AND(Z305=1,AB305&lt;&gt;1),1,0))</f>
        <v/>
      </c>
      <c r="AE305" s="0" t="str">
        <f aca="false">IF(Y305=1,"",IF(AND(AA305=1,AC305&lt;&gt;1),1,0))</f>
        <v/>
      </c>
      <c r="AF305" s="45" t="str">
        <f aca="false">IF(AND(E305&gt;0,Y305&lt;1,NOT(AND(C306=C305,Y306=Y305+1))),INDEX(DATAS,Y305+1),"")</f>
        <v/>
      </c>
      <c r="AG305" s="45" t="str">
        <f aca="false">IF(AND(AA305=1,Y305&lt;1),IF(AND(C306=C305,Y306=Y305+1),IF(AA306=1,"",INDEX(DATAS,Y305+1)),INDEX(DATAS,Y305+1)),"")</f>
        <v/>
      </c>
    </row>
    <row r="306" customFormat="false" ht="15" hidden="false" customHeight="false" outlineLevel="0" collapsed="false">
      <c r="A306" s="45" t="n">
        <v>46309</v>
      </c>
      <c r="B306" s="0" t="n">
        <v>3</v>
      </c>
      <c r="C306" s="0" t="n">
        <v>3899</v>
      </c>
      <c r="D306" s="0" t="n">
        <v>233</v>
      </c>
      <c r="E306" s="0" t="n">
        <v>3</v>
      </c>
      <c r="F306" s="39" t="s">
        <v>361</v>
      </c>
      <c r="G306" s="0" t="n">
        <v>46.6</v>
      </c>
      <c r="H306" s="0" t="n">
        <v>56</v>
      </c>
      <c r="I306" s="39" t="s">
        <v>109</v>
      </c>
      <c r="J306" s="0" t="n">
        <v>88</v>
      </c>
      <c r="K306" s="0" t="n">
        <v>65</v>
      </c>
      <c r="L306" s="0" t="n">
        <v>145</v>
      </c>
      <c r="M306" s="0" t="n">
        <v>525.15</v>
      </c>
      <c r="N306" s="0" t="n">
        <v>42.17</v>
      </c>
      <c r="O306" s="0" t="n">
        <v>14.7</v>
      </c>
      <c r="P306" s="0" t="n">
        <v>3.76</v>
      </c>
      <c r="Q306" s="0" t="n">
        <v>3.03</v>
      </c>
      <c r="R306" s="0" t="n">
        <v>4219</v>
      </c>
      <c r="S306" s="0" t="n">
        <v>10161</v>
      </c>
      <c r="T306" s="0" t="n">
        <v>53.3</v>
      </c>
      <c r="U306" s="0" t="n">
        <v>1671</v>
      </c>
      <c r="V306" s="0" t="n">
        <v>2</v>
      </c>
      <c r="W306" s="39" t="n">
        <f aca="false">IF(I306="Male",0,1)</f>
        <v>1</v>
      </c>
      <c r="X306" s="39" t="n">
        <f aca="false">IF(OR(I306="DNB",I306="Dry DNB"),1,0)</f>
        <v>0</v>
      </c>
      <c r="Y306" s="39" t="n">
        <f aca="false">MATCH(A306,DATAS,0)</f>
        <v>1</v>
      </c>
      <c r="Z306" s="39" t="n">
        <f aca="false">IF(AND(E306&gt;0,OR(AND(B306&gt;=1,B306&lt;=6),B306=10)),1,0)</f>
        <v>1</v>
      </c>
      <c r="AA306" s="39" t="n">
        <f aca="false">IF(AND(E306&gt;0,B306=10),1,0)</f>
        <v>0</v>
      </c>
      <c r="AB306" s="0" t="str">
        <f aca="false">IF(AND(C305=C306,Y305=Y306-1),Z305,"")</f>
        <v/>
      </c>
      <c r="AC306" s="0" t="str">
        <f aca="false">IF(AND(C305=C306,Y305=Y306-1),AA305,"")</f>
        <v/>
      </c>
      <c r="AD306" s="0" t="str">
        <f aca="false">IF(Y306=1,"",IF(AND(Z306=1,AB306&lt;&gt;1),1,0))</f>
        <v/>
      </c>
      <c r="AE306" s="0" t="str">
        <f aca="false">IF(Y306=1,"",IF(AND(AA306=1,AC306&lt;&gt;1),1,0))</f>
        <v/>
      </c>
      <c r="AF306" s="45" t="str">
        <f aca="false">IF(AND(E306&gt;0,Y306&lt;1,NOT(AND(C307=C306,Y307=Y306+1))),INDEX(DATAS,Y306+1),"")</f>
        <v/>
      </c>
      <c r="AG306" s="45" t="str">
        <f aca="false">IF(AND(AA306=1,Y306&lt;1),IF(AND(C307=C306,Y307=Y306+1),IF(AA307=1,"",INDEX(DATAS,Y306+1)),INDEX(DATAS,Y306+1)),"")</f>
        <v/>
      </c>
    </row>
    <row r="307" customFormat="false" ht="15" hidden="false" customHeight="false" outlineLevel="0" collapsed="false">
      <c r="A307" s="45" t="n">
        <v>46309</v>
      </c>
      <c r="B307" s="0" t="n">
        <v>3</v>
      </c>
      <c r="C307" s="0" t="n">
        <v>3901</v>
      </c>
      <c r="D307" s="0" t="n">
        <v>44</v>
      </c>
      <c r="E307" s="0" t="n">
        <v>3</v>
      </c>
      <c r="F307" s="39" t="s">
        <v>362</v>
      </c>
      <c r="G307" s="0" t="n">
        <v>80.7</v>
      </c>
      <c r="H307" s="0" t="n">
        <v>77</v>
      </c>
      <c r="I307" s="39" t="s">
        <v>118</v>
      </c>
      <c r="J307" s="0" t="n">
        <v>44</v>
      </c>
      <c r="M307" s="0" t="n">
        <v>519.64</v>
      </c>
      <c r="N307" s="0" t="n">
        <v>71.43</v>
      </c>
      <c r="O307" s="0" t="n">
        <v>41.3</v>
      </c>
      <c r="P307" s="0" t="n">
        <v>3.21</v>
      </c>
      <c r="Q307" s="0" t="n">
        <v>3.26</v>
      </c>
      <c r="R307" s="0" t="n">
        <v>6776</v>
      </c>
      <c r="S307" s="0" t="n">
        <v>13620</v>
      </c>
      <c r="U307" s="0" t="n">
        <v>1669</v>
      </c>
      <c r="V307" s="0" t="n">
        <v>0</v>
      </c>
      <c r="W307" s="39" t="n">
        <f aca="false">IF(I307="Male",0,1)</f>
        <v>1</v>
      </c>
      <c r="X307" s="39" t="n">
        <f aca="false">IF(OR(I307="DNB",I307="Dry DNB"),1,0)</f>
        <v>0</v>
      </c>
      <c r="Y307" s="39" t="n">
        <f aca="false">MATCH(A307,DATAS,0)</f>
        <v>1</v>
      </c>
      <c r="Z307" s="39" t="n">
        <f aca="false">IF(AND(E307&gt;0,OR(AND(B307&gt;=1,B307&lt;=6),B307=10)),1,0)</f>
        <v>1</v>
      </c>
      <c r="AA307" s="39" t="n">
        <f aca="false">IF(AND(E307&gt;0,B307=10),1,0)</f>
        <v>0</v>
      </c>
      <c r="AB307" s="0" t="str">
        <f aca="false">IF(AND(C306=C307,Y306=Y307-1),Z306,"")</f>
        <v/>
      </c>
      <c r="AC307" s="0" t="str">
        <f aca="false">IF(AND(C306=C307,Y306=Y307-1),AA306,"")</f>
        <v/>
      </c>
      <c r="AD307" s="0" t="str">
        <f aca="false">IF(Y307=1,"",IF(AND(Z307=1,AB307&lt;&gt;1),1,0))</f>
        <v/>
      </c>
      <c r="AE307" s="0" t="str">
        <f aca="false">IF(Y307=1,"",IF(AND(AA307=1,AC307&lt;&gt;1),1,0))</f>
        <v/>
      </c>
      <c r="AF307" s="45" t="str">
        <f aca="false">IF(AND(E307&gt;0,Y307&lt;1,NOT(AND(C308=C307,Y308=Y307+1))),INDEX(DATAS,Y307+1),"")</f>
        <v/>
      </c>
      <c r="AG307" s="45" t="str">
        <f aca="false">IF(AND(AA307=1,Y307&lt;1),IF(AND(C308=C307,Y308=Y307+1),IF(AA308=1,"",INDEX(DATAS,Y307+1)),INDEX(DATAS,Y307+1)),"")</f>
        <v/>
      </c>
    </row>
    <row r="308" customFormat="false" ht="15" hidden="false" customHeight="false" outlineLevel="0" collapsed="false">
      <c r="A308" s="45" t="n">
        <v>46309</v>
      </c>
      <c r="B308" s="0" t="n">
        <v>5</v>
      </c>
      <c r="C308" s="0" t="n">
        <v>3904</v>
      </c>
      <c r="D308" s="0" t="n">
        <v>234</v>
      </c>
      <c r="E308" s="0" t="n">
        <v>3</v>
      </c>
      <c r="F308" s="39" t="s">
        <v>363</v>
      </c>
      <c r="G308" s="0" t="n">
        <v>33.6</v>
      </c>
      <c r="H308" s="0" t="n">
        <v>36</v>
      </c>
      <c r="I308" s="39" t="s">
        <v>146</v>
      </c>
      <c r="J308" s="0" t="n">
        <v>234</v>
      </c>
      <c r="K308" s="0" t="n">
        <v>66</v>
      </c>
      <c r="M308" s="0" t="n">
        <v>717.04</v>
      </c>
      <c r="N308" s="0" t="n">
        <v>47.1</v>
      </c>
      <c r="O308" s="0" t="n">
        <v>36.6</v>
      </c>
      <c r="P308" s="0" t="n">
        <v>2.91</v>
      </c>
      <c r="Q308" s="0" t="n">
        <v>3.5</v>
      </c>
      <c r="R308" s="0" t="n">
        <v>5446</v>
      </c>
      <c r="S308" s="0" t="n">
        <v>10799</v>
      </c>
      <c r="T308" s="0" t="n">
        <v>68</v>
      </c>
      <c r="U308" s="0" t="n">
        <v>1668</v>
      </c>
      <c r="V308" s="0" t="n">
        <v>2</v>
      </c>
      <c r="W308" s="39" t="n">
        <f aca="false">IF(I308="Male",0,1)</f>
        <v>1</v>
      </c>
      <c r="X308" s="39" t="n">
        <f aca="false">IF(OR(I308="DNB",I308="Dry DNB"),1,0)</f>
        <v>0</v>
      </c>
      <c r="Y308" s="39" t="n">
        <f aca="false">MATCH(A308,DATAS,0)</f>
        <v>1</v>
      </c>
      <c r="Z308" s="39" t="n">
        <f aca="false">IF(AND(E308&gt;0,OR(AND(B308&gt;=1,B308&lt;=6),B308=10)),1,0)</f>
        <v>1</v>
      </c>
      <c r="AA308" s="39" t="n">
        <f aca="false">IF(AND(E308&gt;0,B308=10),1,0)</f>
        <v>0</v>
      </c>
      <c r="AB308" s="0" t="str">
        <f aca="false">IF(AND(C307=C308,Y307=Y308-1),Z307,"")</f>
        <v/>
      </c>
      <c r="AC308" s="0" t="str">
        <f aca="false">IF(AND(C307=C308,Y307=Y308-1),AA307,"")</f>
        <v/>
      </c>
      <c r="AD308" s="0" t="str">
        <f aca="false">IF(Y308=1,"",IF(AND(Z308=1,AB308&lt;&gt;1),1,0))</f>
        <v/>
      </c>
      <c r="AE308" s="0" t="str">
        <f aca="false">IF(Y308=1,"",IF(AND(AA308=1,AC308&lt;&gt;1),1,0))</f>
        <v/>
      </c>
      <c r="AF308" s="45" t="str">
        <f aca="false">IF(AND(E308&gt;0,Y308&lt;1,NOT(AND(C309=C308,Y309=Y308+1))),INDEX(DATAS,Y308+1),"")</f>
        <v/>
      </c>
      <c r="AG308" s="45" t="str">
        <f aca="false">IF(AND(AA308=1,Y308&lt;1),IF(AND(C309=C308,Y309=Y308+1),IF(AA309=1,"",INDEX(DATAS,Y308+1)),INDEX(DATAS,Y308+1)),"")</f>
        <v/>
      </c>
    </row>
    <row r="309" customFormat="false" ht="15" hidden="false" customHeight="false" outlineLevel="0" collapsed="false">
      <c r="A309" s="45" t="n">
        <v>46309</v>
      </c>
      <c r="B309" s="0" t="n">
        <v>5</v>
      </c>
      <c r="C309" s="0" t="n">
        <v>3905</v>
      </c>
      <c r="D309" s="0" t="n">
        <v>285</v>
      </c>
      <c r="E309" s="0" t="n">
        <v>3</v>
      </c>
      <c r="F309" s="39" t="s">
        <v>364</v>
      </c>
      <c r="G309" s="0" t="n">
        <v>36.9</v>
      </c>
      <c r="H309" s="0" t="n">
        <v>35</v>
      </c>
      <c r="I309" s="39" t="s">
        <v>109</v>
      </c>
      <c r="J309" s="0" t="n">
        <v>250</v>
      </c>
      <c r="K309" s="0" t="n">
        <v>89</v>
      </c>
      <c r="L309" s="0" t="n">
        <v>35</v>
      </c>
      <c r="M309" s="0" t="n">
        <v>195.4</v>
      </c>
      <c r="N309" s="0" t="n">
        <v>31.07</v>
      </c>
      <c r="O309" s="0" t="n">
        <v>16.69</v>
      </c>
      <c r="P309" s="0" t="n">
        <v>2.73</v>
      </c>
      <c r="Q309" s="0" t="n">
        <v>3.51</v>
      </c>
      <c r="R309" s="0" t="n">
        <v>5888</v>
      </c>
      <c r="S309" s="0" t="n">
        <v>12369</v>
      </c>
      <c r="T309" s="0" t="n">
        <v>66.1</v>
      </c>
      <c r="U309" s="0" t="n">
        <v>1667</v>
      </c>
      <c r="V309" s="0" t="n">
        <v>3</v>
      </c>
      <c r="W309" s="39" t="n">
        <f aca="false">IF(I309="Male",0,1)</f>
        <v>1</v>
      </c>
      <c r="X309" s="39" t="n">
        <f aca="false">IF(OR(I309="DNB",I309="Dry DNB"),1,0)</f>
        <v>0</v>
      </c>
      <c r="Y309" s="39" t="n">
        <f aca="false">MATCH(A309,DATAS,0)</f>
        <v>1</v>
      </c>
      <c r="Z309" s="39" t="n">
        <f aca="false">IF(AND(E309&gt;0,OR(AND(B309&gt;=1,B309&lt;=6),B309=10)),1,0)</f>
        <v>1</v>
      </c>
      <c r="AA309" s="39" t="n">
        <f aca="false">IF(AND(E309&gt;0,B309=10),1,0)</f>
        <v>0</v>
      </c>
      <c r="AB309" s="0" t="str">
        <f aca="false">IF(AND(C308=C309,Y308=Y309-1),Z308,"")</f>
        <v/>
      </c>
      <c r="AC309" s="0" t="str">
        <f aca="false">IF(AND(C308=C309,Y308=Y309-1),AA308,"")</f>
        <v/>
      </c>
      <c r="AD309" s="0" t="str">
        <f aca="false">IF(Y309=1,"",IF(AND(Z309=1,AB309&lt;&gt;1),1,0))</f>
        <v/>
      </c>
      <c r="AE309" s="0" t="str">
        <f aca="false">IF(Y309=1,"",IF(AND(AA309=1,AC309&lt;&gt;1),1,0))</f>
        <v/>
      </c>
      <c r="AF309" s="45" t="str">
        <f aca="false">IF(AND(E309&gt;0,Y309&lt;1,NOT(AND(C310=C309,Y310=Y309+1))),INDEX(DATAS,Y309+1),"")</f>
        <v/>
      </c>
      <c r="AG309" s="45" t="str">
        <f aca="false">IF(AND(AA309=1,Y309&lt;1),IF(AND(C310=C309,Y310=Y309+1),IF(AA310=1,"",INDEX(DATAS,Y309+1)),INDEX(DATAS,Y309+1)),"")</f>
        <v/>
      </c>
    </row>
    <row r="310" customFormat="false" ht="15" hidden="false" customHeight="false" outlineLevel="0" collapsed="false">
      <c r="A310" s="45" t="n">
        <v>46309</v>
      </c>
      <c r="B310" s="0" t="n">
        <v>5</v>
      </c>
      <c r="C310" s="0" t="n">
        <v>3906</v>
      </c>
      <c r="D310" s="0" t="n">
        <v>251</v>
      </c>
      <c r="E310" s="0" t="n">
        <v>3</v>
      </c>
      <c r="F310" s="39" t="s">
        <v>364</v>
      </c>
      <c r="G310" s="0" t="n">
        <v>37.5</v>
      </c>
      <c r="H310" s="0" t="n">
        <v>38</v>
      </c>
      <c r="I310" s="39" t="s">
        <v>109</v>
      </c>
      <c r="J310" s="0" t="n">
        <v>69</v>
      </c>
      <c r="K310" s="0" t="n">
        <v>69</v>
      </c>
      <c r="L310" s="0" t="n">
        <v>182</v>
      </c>
      <c r="M310" s="0" t="n">
        <v>105.79</v>
      </c>
      <c r="N310" s="0" t="n">
        <v>70.65</v>
      </c>
      <c r="O310" s="0" t="n">
        <v>14.93</v>
      </c>
      <c r="P310" s="0" t="n">
        <v>4.62</v>
      </c>
      <c r="Q310" s="0" t="n">
        <v>3.53</v>
      </c>
      <c r="R310" s="0" t="n">
        <v>5749</v>
      </c>
      <c r="S310" s="0" t="n">
        <v>11883</v>
      </c>
      <c r="T310" s="0" t="n">
        <v>64.3</v>
      </c>
      <c r="U310" s="0" t="n">
        <v>1667</v>
      </c>
      <c r="V310" s="0" t="n">
        <v>1</v>
      </c>
      <c r="W310" s="39" t="n">
        <f aca="false">IF(I310="Male",0,1)</f>
        <v>1</v>
      </c>
      <c r="X310" s="39" t="n">
        <f aca="false">IF(OR(I310="DNB",I310="Dry DNB"),1,0)</f>
        <v>0</v>
      </c>
      <c r="Y310" s="39" t="n">
        <f aca="false">MATCH(A310,DATAS,0)</f>
        <v>1</v>
      </c>
      <c r="Z310" s="39" t="n">
        <f aca="false">IF(AND(E310&gt;0,OR(AND(B310&gt;=1,B310&lt;=6),B310=10)),1,0)</f>
        <v>1</v>
      </c>
      <c r="AA310" s="39" t="n">
        <f aca="false">IF(AND(E310&gt;0,B310=10),1,0)</f>
        <v>0</v>
      </c>
      <c r="AB310" s="0" t="str">
        <f aca="false">IF(AND(C309=C310,Y309=Y310-1),Z309,"")</f>
        <v/>
      </c>
      <c r="AC310" s="0" t="str">
        <f aca="false">IF(AND(C309=C310,Y309=Y310-1),AA309,"")</f>
        <v/>
      </c>
      <c r="AD310" s="0" t="str">
        <f aca="false">IF(Y310=1,"",IF(AND(Z310=1,AB310&lt;&gt;1),1,0))</f>
        <v/>
      </c>
      <c r="AE310" s="0" t="str">
        <f aca="false">IF(Y310=1,"",IF(AND(AA310=1,AC310&lt;&gt;1),1,0))</f>
        <v/>
      </c>
      <c r="AF310" s="45" t="str">
        <f aca="false">IF(AND(E310&gt;0,Y310&lt;1,NOT(AND(C311=C310,Y311=Y310+1))),INDEX(DATAS,Y310+1),"")</f>
        <v/>
      </c>
      <c r="AG310" s="45" t="str">
        <f aca="false">IF(AND(AA310=1,Y310&lt;1),IF(AND(C311=C310,Y311=Y310+1),IF(AA311=1,"",INDEX(DATAS,Y310+1)),INDEX(DATAS,Y310+1)),"")</f>
        <v/>
      </c>
    </row>
    <row r="311" customFormat="false" ht="15" hidden="false" customHeight="false" outlineLevel="0" collapsed="false">
      <c r="A311" s="45" t="n">
        <v>46309</v>
      </c>
      <c r="B311" s="0" t="n">
        <v>5</v>
      </c>
      <c r="C311" s="0" t="n">
        <v>3907</v>
      </c>
      <c r="D311" s="0" t="n">
        <v>255</v>
      </c>
      <c r="E311" s="0" t="n">
        <v>2</v>
      </c>
      <c r="F311" s="39" t="s">
        <v>365</v>
      </c>
      <c r="G311" s="0" t="n">
        <v>28</v>
      </c>
      <c r="H311" s="0" t="n">
        <v>27</v>
      </c>
      <c r="I311" s="39" t="s">
        <v>109</v>
      </c>
      <c r="J311" s="0" t="n">
        <v>70</v>
      </c>
      <c r="K311" s="0" t="n">
        <v>70</v>
      </c>
      <c r="L311" s="0" t="n">
        <v>185</v>
      </c>
      <c r="M311" s="0" t="n">
        <v>554.34</v>
      </c>
      <c r="N311" s="0" t="n">
        <v>59.18</v>
      </c>
      <c r="O311" s="0" t="n">
        <v>21.31</v>
      </c>
      <c r="P311" s="0" t="n">
        <v>4.65</v>
      </c>
      <c r="Q311" s="0" t="n">
        <v>3.82</v>
      </c>
      <c r="R311" s="0" t="n">
        <v>3279</v>
      </c>
      <c r="S311" s="0" t="n">
        <v>7314</v>
      </c>
      <c r="T311" s="0" t="n">
        <v>37.55</v>
      </c>
      <c r="U311" s="0" t="n">
        <v>1666</v>
      </c>
      <c r="V311" s="0" t="n">
        <v>1</v>
      </c>
      <c r="W311" s="39" t="n">
        <f aca="false">IF(I311="Male",0,1)</f>
        <v>1</v>
      </c>
      <c r="X311" s="39" t="n">
        <f aca="false">IF(OR(I311="DNB",I311="Dry DNB"),1,0)</f>
        <v>0</v>
      </c>
      <c r="Y311" s="39" t="n">
        <f aca="false">MATCH(A311,DATAS,0)</f>
        <v>1</v>
      </c>
      <c r="Z311" s="39" t="n">
        <f aca="false">IF(AND(E311&gt;0,OR(AND(B311&gt;=1,B311&lt;=6),B311=10)),1,0)</f>
        <v>1</v>
      </c>
      <c r="AA311" s="39" t="n">
        <f aca="false">IF(AND(E311&gt;0,B311=10),1,0)</f>
        <v>0</v>
      </c>
      <c r="AB311" s="0" t="str">
        <f aca="false">IF(AND(C310=C311,Y310=Y311-1),Z310,"")</f>
        <v/>
      </c>
      <c r="AC311" s="0" t="str">
        <f aca="false">IF(AND(C310=C311,Y310=Y311-1),AA310,"")</f>
        <v/>
      </c>
      <c r="AD311" s="0" t="str">
        <f aca="false">IF(Y311=1,"",IF(AND(Z311=1,AB311&lt;&gt;1),1,0))</f>
        <v/>
      </c>
      <c r="AE311" s="0" t="str">
        <f aca="false">IF(Y311=1,"",IF(AND(AA311=1,AC311&lt;&gt;1),1,0))</f>
        <v/>
      </c>
      <c r="AF311" s="45" t="str">
        <f aca="false">IF(AND(E311&gt;0,Y311&lt;1,NOT(AND(C312=C311,Y312=Y311+1))),INDEX(DATAS,Y311+1),"")</f>
        <v/>
      </c>
      <c r="AG311" s="45" t="str">
        <f aca="false">IF(AND(AA311=1,Y311&lt;1),IF(AND(C312=C311,Y312=Y311+1),IF(AA312=1,"",INDEX(DATAS,Y311+1)),INDEX(DATAS,Y311+1)),"")</f>
        <v/>
      </c>
    </row>
    <row r="312" customFormat="false" ht="15" hidden="false" customHeight="false" outlineLevel="0" collapsed="false">
      <c r="A312" s="45" t="n">
        <v>46309</v>
      </c>
      <c r="B312" s="0" t="n">
        <v>7</v>
      </c>
      <c r="C312" s="0" t="n">
        <v>3908</v>
      </c>
      <c r="D312" s="0" t="n">
        <v>527</v>
      </c>
      <c r="E312" s="0" t="n">
        <v>2</v>
      </c>
      <c r="F312" s="39" t="s">
        <v>365</v>
      </c>
      <c r="I312" s="39" t="s">
        <v>109</v>
      </c>
      <c r="J312" s="0" t="n">
        <v>373</v>
      </c>
      <c r="K312" s="0" t="n">
        <v>58</v>
      </c>
      <c r="L312" s="0" t="n">
        <v>154</v>
      </c>
      <c r="M312" s="0" t="n">
        <v>760.2</v>
      </c>
      <c r="N312" s="0" t="n">
        <v>53.47</v>
      </c>
      <c r="O312" s="0" t="n">
        <v>31.31</v>
      </c>
      <c r="P312" s="0" t="n">
        <v>5.24</v>
      </c>
      <c r="Q312" s="0" t="n">
        <v>3.96</v>
      </c>
      <c r="R312" s="0" t="n">
        <v>6161</v>
      </c>
      <c r="S312" s="0" t="n">
        <v>12654</v>
      </c>
      <c r="T312" s="0" t="n">
        <v>65.2</v>
      </c>
      <c r="U312" s="0" t="n">
        <v>1666</v>
      </c>
      <c r="V312" s="0" t="n">
        <v>4</v>
      </c>
      <c r="W312" s="39" t="n">
        <f aca="false">IF(I312="Male",0,1)</f>
        <v>1</v>
      </c>
      <c r="X312" s="39" t="n">
        <f aca="false">IF(OR(I312="DNB",I312="Dry DNB"),1,0)</f>
        <v>0</v>
      </c>
      <c r="Y312" s="39" t="n">
        <f aca="false">MATCH(A312,DATAS,0)</f>
        <v>1</v>
      </c>
      <c r="Z312" s="39" t="n">
        <f aca="false">IF(AND(E312&gt;0,OR(AND(B312&gt;=1,B312&lt;=6),B312=10)),1,0)</f>
        <v>0</v>
      </c>
      <c r="AA312" s="39" t="n">
        <f aca="false">IF(AND(E312&gt;0,B312=10),1,0)</f>
        <v>0</v>
      </c>
      <c r="AB312" s="0" t="str">
        <f aca="false">IF(AND(C311=C312,Y311=Y312-1),Z311,"")</f>
        <v/>
      </c>
      <c r="AC312" s="0" t="str">
        <f aca="false">IF(AND(C311=C312,Y311=Y312-1),AA311,"")</f>
        <v/>
      </c>
      <c r="AD312" s="0" t="str">
        <f aca="false">IF(Y312=1,"",IF(AND(Z312=1,AB312&lt;&gt;1),1,0))</f>
        <v/>
      </c>
      <c r="AE312" s="0" t="str">
        <f aca="false">IF(Y312=1,"",IF(AND(AA312=1,AC312&lt;&gt;1),1,0))</f>
        <v/>
      </c>
      <c r="AF312" s="45" t="str">
        <f aca="false">IF(AND(E312&gt;0,Y312&lt;1,NOT(AND(C313=C312,Y313=Y312+1))),INDEX(DATAS,Y312+1),"")</f>
        <v/>
      </c>
      <c r="AG312" s="45" t="str">
        <f aca="false">IF(AND(AA312=1,Y312&lt;1),IF(AND(C313=C312,Y313=Y312+1),IF(AA313=1,"",INDEX(DATAS,Y312+1)),INDEX(DATAS,Y312+1)),"")</f>
        <v/>
      </c>
    </row>
    <row r="313" customFormat="false" ht="15" hidden="false" customHeight="false" outlineLevel="0" collapsed="false">
      <c r="A313" s="45" t="n">
        <v>46309</v>
      </c>
      <c r="B313" s="0" t="n">
        <v>2</v>
      </c>
      <c r="C313" s="0" t="n">
        <v>3910</v>
      </c>
      <c r="D313" s="0" t="n">
        <v>120</v>
      </c>
      <c r="E313" s="0" t="n">
        <v>3</v>
      </c>
      <c r="F313" s="39" t="s">
        <v>366</v>
      </c>
      <c r="G313" s="0" t="n">
        <v>50.8</v>
      </c>
      <c r="H313" s="0" t="n">
        <v>58</v>
      </c>
      <c r="I313" s="39" t="s">
        <v>109</v>
      </c>
      <c r="J313" s="0" t="n">
        <v>64</v>
      </c>
      <c r="K313" s="0" t="n">
        <v>64</v>
      </c>
      <c r="L313" s="0" t="n">
        <v>56</v>
      </c>
      <c r="M313" s="0" t="n">
        <v>323.28</v>
      </c>
      <c r="N313" s="0" t="n">
        <v>42.58</v>
      </c>
      <c r="O313" s="0" t="n">
        <v>23.7</v>
      </c>
      <c r="P313" s="0" t="n">
        <v>1.99</v>
      </c>
      <c r="Q313" s="0" t="n">
        <v>3.17</v>
      </c>
      <c r="R313" s="0" t="n">
        <v>6583</v>
      </c>
      <c r="S313" s="0" t="n">
        <v>13100</v>
      </c>
      <c r="T313" s="0" t="n">
        <v>71.1</v>
      </c>
      <c r="U313" s="0" t="n">
        <v>1665</v>
      </c>
      <c r="V313" s="0" t="n">
        <v>1</v>
      </c>
      <c r="W313" s="39" t="n">
        <f aca="false">IF(I313="Male",0,1)</f>
        <v>1</v>
      </c>
      <c r="X313" s="39" t="n">
        <f aca="false">IF(OR(I313="DNB",I313="Dry DNB"),1,0)</f>
        <v>0</v>
      </c>
      <c r="Y313" s="39" t="n">
        <f aca="false">MATCH(A313,DATAS,0)</f>
        <v>1</v>
      </c>
      <c r="Z313" s="39" t="n">
        <f aca="false">IF(AND(E313&gt;0,OR(AND(B313&gt;=1,B313&lt;=6),B313=10)),1,0)</f>
        <v>1</v>
      </c>
      <c r="AA313" s="39" t="n">
        <f aca="false">IF(AND(E313&gt;0,B313=10),1,0)</f>
        <v>0</v>
      </c>
      <c r="AB313" s="0" t="str">
        <f aca="false">IF(AND(C312=C313,Y312=Y313-1),Z312,"")</f>
        <v/>
      </c>
      <c r="AC313" s="0" t="str">
        <f aca="false">IF(AND(C312=C313,Y312=Y313-1),AA312,"")</f>
        <v/>
      </c>
      <c r="AD313" s="0" t="str">
        <f aca="false">IF(Y313=1,"",IF(AND(Z313=1,AB313&lt;&gt;1),1,0))</f>
        <v/>
      </c>
      <c r="AE313" s="0" t="str">
        <f aca="false">IF(Y313=1,"",IF(AND(AA313=1,AC313&lt;&gt;1),1,0))</f>
        <v/>
      </c>
      <c r="AF313" s="45" t="str">
        <f aca="false">IF(AND(E313&gt;0,Y313&lt;1,NOT(AND(C314=C313,Y314=Y313+1))),INDEX(DATAS,Y313+1),"")</f>
        <v/>
      </c>
      <c r="AG313" s="45" t="str">
        <f aca="false">IF(AND(AA313=1,Y313&lt;1),IF(AND(C314=C313,Y314=Y313+1),IF(AA314=1,"",INDEX(DATAS,Y313+1)),INDEX(DATAS,Y313+1)),"")</f>
        <v/>
      </c>
    </row>
    <row r="314" customFormat="false" ht="15" hidden="false" customHeight="false" outlineLevel="0" collapsed="false">
      <c r="A314" s="45" t="n">
        <v>46309</v>
      </c>
      <c r="B314" s="0" t="n">
        <v>2</v>
      </c>
      <c r="C314" s="0" t="n">
        <v>3911</v>
      </c>
      <c r="D314" s="0" t="n">
        <v>212</v>
      </c>
      <c r="E314" s="0" t="n">
        <v>3</v>
      </c>
      <c r="F314" s="39" t="s">
        <v>366</v>
      </c>
      <c r="G314" s="0" t="n">
        <v>55</v>
      </c>
      <c r="H314" s="0" t="n">
        <v>61</v>
      </c>
      <c r="I314" s="39" t="s">
        <v>138</v>
      </c>
      <c r="J314" s="0" t="n">
        <v>212</v>
      </c>
      <c r="K314" s="0" t="n">
        <v>65</v>
      </c>
      <c r="M314" s="0" t="n">
        <v>705.33</v>
      </c>
      <c r="N314" s="0" t="n">
        <v>20.76</v>
      </c>
      <c r="O314" s="0" t="n">
        <v>19.48</v>
      </c>
      <c r="P314" s="0" t="n">
        <v>3.12</v>
      </c>
      <c r="Q314" s="0" t="n">
        <v>2.91</v>
      </c>
      <c r="R314" s="0" t="n">
        <v>6402</v>
      </c>
      <c r="S314" s="0" t="n">
        <v>13397</v>
      </c>
      <c r="T314" s="0" t="n">
        <v>73.7</v>
      </c>
      <c r="U314" s="0" t="n">
        <v>1665</v>
      </c>
      <c r="V314" s="0" t="n">
        <v>5</v>
      </c>
      <c r="W314" s="39" t="n">
        <f aca="false">IF(I314="Male",0,1)</f>
        <v>1</v>
      </c>
      <c r="X314" s="39" t="n">
        <f aca="false">IF(OR(I314="DNB",I314="Dry DNB"),1,0)</f>
        <v>0</v>
      </c>
      <c r="Y314" s="39" t="n">
        <f aca="false">MATCH(A314,DATAS,0)</f>
        <v>1</v>
      </c>
      <c r="Z314" s="39" t="n">
        <f aca="false">IF(AND(E314&gt;0,OR(AND(B314&gt;=1,B314&lt;=6),B314=10)),1,0)</f>
        <v>1</v>
      </c>
      <c r="AA314" s="39" t="n">
        <f aca="false">IF(AND(E314&gt;0,B314=10),1,0)</f>
        <v>0</v>
      </c>
      <c r="AB314" s="0" t="str">
        <f aca="false">IF(AND(C313=C314,Y313=Y314-1),Z313,"")</f>
        <v/>
      </c>
      <c r="AC314" s="0" t="str">
        <f aca="false">IF(AND(C313=C314,Y313=Y314-1),AA313,"")</f>
        <v/>
      </c>
      <c r="AD314" s="0" t="str">
        <f aca="false">IF(Y314=1,"",IF(AND(Z314=1,AB314&lt;&gt;1),1,0))</f>
        <v/>
      </c>
      <c r="AE314" s="0" t="str">
        <f aca="false">IF(Y314=1,"",IF(AND(AA314=1,AC314&lt;&gt;1),1,0))</f>
        <v/>
      </c>
      <c r="AF314" s="45" t="str">
        <f aca="false">IF(AND(E314&gt;0,Y314&lt;1,NOT(AND(C315=C314,Y315=Y314+1))),INDEX(DATAS,Y314+1),"")</f>
        <v/>
      </c>
      <c r="AG314" s="45" t="str">
        <f aca="false">IF(AND(AA314=1,Y314&lt;1),IF(AND(C315=C314,Y315=Y314+1),IF(AA315=1,"",INDEX(DATAS,Y314+1)),INDEX(DATAS,Y314+1)),"")</f>
        <v/>
      </c>
    </row>
    <row r="315" customFormat="false" ht="15" hidden="false" customHeight="false" outlineLevel="0" collapsed="false">
      <c r="A315" s="45" t="n">
        <v>46309</v>
      </c>
      <c r="B315" s="0" t="n">
        <v>5</v>
      </c>
      <c r="C315" s="0" t="n">
        <v>3913</v>
      </c>
      <c r="D315" s="0" t="n">
        <v>85</v>
      </c>
      <c r="E315" s="0" t="n">
        <v>3</v>
      </c>
      <c r="F315" s="39" t="s">
        <v>367</v>
      </c>
      <c r="G315" s="0" t="n">
        <v>32.3</v>
      </c>
      <c r="H315" s="0" t="n">
        <v>34</v>
      </c>
      <c r="I315" s="39" t="s">
        <v>96</v>
      </c>
      <c r="J315" s="0" t="n">
        <v>85</v>
      </c>
      <c r="M315" s="0" t="n">
        <v>240.17</v>
      </c>
      <c r="N315" s="0" t="n">
        <v>47.38</v>
      </c>
      <c r="O315" s="0" t="n">
        <v>13.04</v>
      </c>
      <c r="P315" s="0" t="n">
        <v>0</v>
      </c>
      <c r="Q315" s="0" t="n">
        <v>0</v>
      </c>
      <c r="R315" s="0" t="n">
        <v>3259</v>
      </c>
      <c r="S315" s="0" t="n">
        <v>6551</v>
      </c>
      <c r="U315" s="0" t="n">
        <v>1664</v>
      </c>
      <c r="V315" s="0" t="n">
        <v>0</v>
      </c>
      <c r="W315" s="39" t="n">
        <f aca="false">IF(I315="Male",0,1)</f>
        <v>1</v>
      </c>
      <c r="X315" s="39" t="n">
        <f aca="false">IF(OR(I315="DNB",I315="Dry DNB"),1,0)</f>
        <v>1</v>
      </c>
      <c r="Y315" s="39" t="n">
        <f aca="false">MATCH(A315,DATAS,0)</f>
        <v>1</v>
      </c>
      <c r="Z315" s="39" t="n">
        <f aca="false">IF(AND(E315&gt;0,OR(AND(B315&gt;=1,B315&lt;=6),B315=10)),1,0)</f>
        <v>1</v>
      </c>
      <c r="AA315" s="39" t="n">
        <f aca="false">IF(AND(E315&gt;0,B315=10),1,0)</f>
        <v>0</v>
      </c>
      <c r="AB315" s="0" t="str">
        <f aca="false">IF(AND(C314=C315,Y314=Y315-1),Z314,"")</f>
        <v/>
      </c>
      <c r="AC315" s="0" t="str">
        <f aca="false">IF(AND(C314=C315,Y314=Y315-1),AA314,"")</f>
        <v/>
      </c>
      <c r="AD315" s="0" t="str">
        <f aca="false">IF(Y315=1,"",IF(AND(Z315=1,AB315&lt;&gt;1),1,0))</f>
        <v/>
      </c>
      <c r="AE315" s="0" t="str">
        <f aca="false">IF(Y315=1,"",IF(AND(AA315=1,AC315&lt;&gt;1),1,0))</f>
        <v/>
      </c>
      <c r="AF315" s="45" t="str">
        <f aca="false">IF(AND(E315&gt;0,Y315&lt;1,NOT(AND(C316=C315,Y316=Y315+1))),INDEX(DATAS,Y315+1),"")</f>
        <v/>
      </c>
      <c r="AG315" s="45" t="str">
        <f aca="false">IF(AND(AA315=1,Y315&lt;1),IF(AND(C316=C315,Y316=Y315+1),IF(AA316=1,"",INDEX(DATAS,Y315+1)),INDEX(DATAS,Y315+1)),"")</f>
        <v/>
      </c>
    </row>
    <row r="316" customFormat="false" ht="15" hidden="false" customHeight="false" outlineLevel="0" collapsed="false">
      <c r="A316" s="45" t="n">
        <v>46309</v>
      </c>
      <c r="B316" s="0" t="n">
        <v>3</v>
      </c>
      <c r="C316" s="0" t="n">
        <v>3915</v>
      </c>
      <c r="D316" s="0" t="n">
        <v>179</v>
      </c>
      <c r="E316" s="0" t="n">
        <v>3</v>
      </c>
      <c r="F316" s="39" t="s">
        <v>367</v>
      </c>
      <c r="G316" s="0" t="n">
        <v>54.6</v>
      </c>
      <c r="H316" s="0" t="n">
        <v>55</v>
      </c>
      <c r="I316" s="39" t="s">
        <v>109</v>
      </c>
      <c r="J316" s="0" t="n">
        <v>67</v>
      </c>
      <c r="K316" s="0" t="n">
        <v>67</v>
      </c>
      <c r="L316" s="0" t="n">
        <v>112</v>
      </c>
      <c r="M316" s="0" t="n">
        <v>694.18</v>
      </c>
      <c r="N316" s="0" t="n">
        <v>38.79</v>
      </c>
      <c r="O316" s="0" t="n">
        <v>36.94</v>
      </c>
      <c r="P316" s="0" t="n">
        <v>0</v>
      </c>
      <c r="Q316" s="0" t="n">
        <v>0</v>
      </c>
      <c r="R316" s="0" t="n">
        <v>5356</v>
      </c>
      <c r="S316" s="0" t="n">
        <v>11164</v>
      </c>
      <c r="T316" s="0" t="n">
        <v>58.95</v>
      </c>
      <c r="U316" s="0" t="n">
        <v>1664</v>
      </c>
      <c r="V316" s="0" t="n">
        <v>1</v>
      </c>
      <c r="W316" s="39" t="n">
        <f aca="false">IF(I316="Male",0,1)</f>
        <v>1</v>
      </c>
      <c r="X316" s="39" t="n">
        <f aca="false">IF(OR(I316="DNB",I316="Dry DNB"),1,0)</f>
        <v>0</v>
      </c>
      <c r="Y316" s="39" t="n">
        <f aca="false">MATCH(A316,DATAS,0)</f>
        <v>1</v>
      </c>
      <c r="Z316" s="39" t="n">
        <f aca="false">IF(AND(E316&gt;0,OR(AND(B316&gt;=1,B316&lt;=6),B316=10)),1,0)</f>
        <v>1</v>
      </c>
      <c r="AA316" s="39" t="n">
        <f aca="false">IF(AND(E316&gt;0,B316=10),1,0)</f>
        <v>0</v>
      </c>
      <c r="AB316" s="0" t="str">
        <f aca="false">IF(AND(C315=C316,Y315=Y316-1),Z315,"")</f>
        <v/>
      </c>
      <c r="AC316" s="0" t="str">
        <f aca="false">IF(AND(C315=C316,Y315=Y316-1),AA315,"")</f>
        <v/>
      </c>
      <c r="AD316" s="0" t="str">
        <f aca="false">IF(Y316=1,"",IF(AND(Z316=1,AB316&lt;&gt;1),1,0))</f>
        <v/>
      </c>
      <c r="AE316" s="0" t="str">
        <f aca="false">IF(Y316=1,"",IF(AND(AA316=1,AC316&lt;&gt;1),1,0))</f>
        <v/>
      </c>
      <c r="AF316" s="45" t="str">
        <f aca="false">IF(AND(E316&gt;0,Y316&lt;1,NOT(AND(C317=C316,Y317=Y316+1))),INDEX(DATAS,Y316+1),"")</f>
        <v/>
      </c>
      <c r="AG316" s="45" t="str">
        <f aca="false">IF(AND(AA316=1,Y316&lt;1),IF(AND(C317=C316,Y317=Y316+1),IF(AA317=1,"",INDEX(DATAS,Y316+1)),INDEX(DATAS,Y316+1)),"")</f>
        <v/>
      </c>
    </row>
    <row r="317" customFormat="false" ht="15" hidden="false" customHeight="false" outlineLevel="0" collapsed="false">
      <c r="A317" s="45" t="n">
        <v>46309</v>
      </c>
      <c r="B317" s="0" t="n">
        <v>5</v>
      </c>
      <c r="C317" s="0" t="n">
        <v>3919</v>
      </c>
      <c r="D317" s="0" t="n">
        <v>234</v>
      </c>
      <c r="E317" s="0" t="n">
        <v>3</v>
      </c>
      <c r="F317" s="39" t="s">
        <v>368</v>
      </c>
      <c r="G317" s="0" t="n">
        <v>47.3</v>
      </c>
      <c r="H317" s="0" t="n">
        <v>45</v>
      </c>
      <c r="I317" s="39" t="s">
        <v>109</v>
      </c>
      <c r="J317" s="0" t="n">
        <v>66</v>
      </c>
      <c r="K317" s="0" t="n">
        <v>66</v>
      </c>
      <c r="L317" s="0" t="n">
        <v>168</v>
      </c>
      <c r="M317" s="0" t="n">
        <v>360.09</v>
      </c>
      <c r="N317" s="0" t="n">
        <v>65.27</v>
      </c>
      <c r="O317" s="0" t="n">
        <v>22.73</v>
      </c>
      <c r="P317" s="0" t="n">
        <v>4.92</v>
      </c>
      <c r="Q317" s="0" t="n">
        <v>3.87</v>
      </c>
      <c r="R317" s="0" t="n">
        <v>5103</v>
      </c>
      <c r="S317" s="0" t="n">
        <v>10141</v>
      </c>
      <c r="T317" s="0" t="n">
        <v>54.45</v>
      </c>
      <c r="U317" s="0" t="n">
        <v>1663</v>
      </c>
      <c r="V317" s="0" t="n">
        <v>1</v>
      </c>
      <c r="W317" s="39" t="n">
        <f aca="false">IF(I317="Male",0,1)</f>
        <v>1</v>
      </c>
      <c r="X317" s="39" t="n">
        <f aca="false">IF(OR(I317="DNB",I317="Dry DNB"),1,0)</f>
        <v>0</v>
      </c>
      <c r="Y317" s="39" t="n">
        <f aca="false">MATCH(A317,DATAS,0)</f>
        <v>1</v>
      </c>
      <c r="Z317" s="39" t="n">
        <f aca="false">IF(AND(E317&gt;0,OR(AND(B317&gt;=1,B317&lt;=6),B317=10)),1,0)</f>
        <v>1</v>
      </c>
      <c r="AA317" s="39" t="n">
        <f aca="false">IF(AND(E317&gt;0,B317=10),1,0)</f>
        <v>0</v>
      </c>
      <c r="AB317" s="0" t="str">
        <f aca="false">IF(AND(C316=C317,Y316=Y317-1),Z316,"")</f>
        <v/>
      </c>
      <c r="AC317" s="0" t="str">
        <f aca="false">IF(AND(C316=C317,Y316=Y317-1),AA316,"")</f>
        <v/>
      </c>
      <c r="AD317" s="0" t="str">
        <f aca="false">IF(Y317=1,"",IF(AND(Z317=1,AB317&lt;&gt;1),1,0))</f>
        <v/>
      </c>
      <c r="AE317" s="0" t="str">
        <f aca="false">IF(Y317=1,"",IF(AND(AA317=1,AC317&lt;&gt;1),1,0))</f>
        <v/>
      </c>
      <c r="AF317" s="45" t="str">
        <f aca="false">IF(AND(E317&gt;0,Y317&lt;1,NOT(AND(C318=C317,Y318=Y317+1))),INDEX(DATAS,Y317+1),"")</f>
        <v/>
      </c>
      <c r="AG317" s="45" t="str">
        <f aca="false">IF(AND(AA317=1,Y317&lt;1),IF(AND(C318=C317,Y318=Y317+1),IF(AA318=1,"",INDEX(DATAS,Y317+1)),INDEX(DATAS,Y317+1)),"")</f>
        <v/>
      </c>
    </row>
    <row r="318" customFormat="false" ht="15" hidden="false" customHeight="false" outlineLevel="0" collapsed="false">
      <c r="A318" s="45" t="n">
        <v>46309</v>
      </c>
      <c r="B318" s="0" t="n">
        <v>6</v>
      </c>
      <c r="C318" s="0" t="n">
        <v>3922</v>
      </c>
      <c r="D318" s="0" t="n">
        <v>260</v>
      </c>
      <c r="E318" s="0" t="n">
        <v>3</v>
      </c>
      <c r="F318" s="39" t="s">
        <v>369</v>
      </c>
      <c r="G318" s="0" t="n">
        <v>22.1</v>
      </c>
      <c r="H318" s="0" t="n">
        <v>20</v>
      </c>
      <c r="I318" s="39" t="s">
        <v>96</v>
      </c>
      <c r="J318" s="0" t="n">
        <v>260</v>
      </c>
      <c r="K318" s="0" t="n">
        <v>85</v>
      </c>
      <c r="M318" s="0" t="n">
        <v>623.23</v>
      </c>
      <c r="N318" s="0" t="n">
        <v>86.45</v>
      </c>
      <c r="O318" s="0" t="n">
        <v>31.61</v>
      </c>
      <c r="P318" s="0" t="n">
        <v>6.29</v>
      </c>
      <c r="Q318" s="0" t="n">
        <v>4.29</v>
      </c>
      <c r="R318" s="0" t="n">
        <v>4063</v>
      </c>
      <c r="S318" s="0" t="n">
        <v>8438</v>
      </c>
      <c r="T318" s="0" t="n">
        <v>45.25</v>
      </c>
      <c r="U318" s="0" t="n">
        <v>1660</v>
      </c>
      <c r="V318" s="0" t="n">
        <v>3</v>
      </c>
      <c r="W318" s="39" t="n">
        <f aca="false">IF(I318="Male",0,1)</f>
        <v>1</v>
      </c>
      <c r="X318" s="39" t="n">
        <f aca="false">IF(OR(I318="DNB",I318="Dry DNB"),1,0)</f>
        <v>1</v>
      </c>
      <c r="Y318" s="39" t="n">
        <f aca="false">MATCH(A318,DATAS,0)</f>
        <v>1</v>
      </c>
      <c r="Z318" s="39" t="n">
        <f aca="false">IF(AND(E318&gt;0,OR(AND(B318&gt;=1,B318&lt;=6),B318=10)),1,0)</f>
        <v>1</v>
      </c>
      <c r="AA318" s="39" t="n">
        <f aca="false">IF(AND(E318&gt;0,B318=10),1,0)</f>
        <v>0</v>
      </c>
      <c r="AB318" s="0" t="str">
        <f aca="false">IF(AND(C317=C318,Y317=Y318-1),Z317,"")</f>
        <v/>
      </c>
      <c r="AC318" s="0" t="str">
        <f aca="false">IF(AND(C317=C318,Y317=Y318-1),AA317,"")</f>
        <v/>
      </c>
      <c r="AD318" s="0" t="str">
        <f aca="false">IF(Y318=1,"",IF(AND(Z318=1,AB318&lt;&gt;1),1,0))</f>
        <v/>
      </c>
      <c r="AE318" s="0" t="str">
        <f aca="false">IF(Y318=1,"",IF(AND(AA318=1,AC318&lt;&gt;1),1,0))</f>
        <v/>
      </c>
      <c r="AF318" s="45" t="str">
        <f aca="false">IF(AND(E318&gt;0,Y318&lt;1,NOT(AND(C319=C318,Y319=Y318+1))),INDEX(DATAS,Y318+1),"")</f>
        <v/>
      </c>
      <c r="AG318" s="45" t="str">
        <f aca="false">IF(AND(AA318=1,Y318&lt;1),IF(AND(C319=C318,Y319=Y318+1),IF(AA319=1,"",INDEX(DATAS,Y318+1)),INDEX(DATAS,Y318+1)),"")</f>
        <v/>
      </c>
    </row>
    <row r="319" customFormat="false" ht="15" hidden="false" customHeight="false" outlineLevel="0" collapsed="false">
      <c r="A319" s="45" t="n">
        <v>46309</v>
      </c>
      <c r="B319" s="0" t="n">
        <v>7</v>
      </c>
      <c r="C319" s="0" t="n">
        <v>3923</v>
      </c>
      <c r="D319" s="0" t="n">
        <v>289</v>
      </c>
      <c r="E319" s="0" t="n">
        <v>3</v>
      </c>
      <c r="F319" s="39" t="s">
        <v>369</v>
      </c>
      <c r="I319" s="39" t="s">
        <v>114</v>
      </c>
      <c r="J319" s="0" t="n">
        <v>165</v>
      </c>
      <c r="K319" s="0" t="n">
        <v>66</v>
      </c>
      <c r="L319" s="0" t="n">
        <v>216</v>
      </c>
      <c r="M319" s="0" t="n">
        <v>409.99</v>
      </c>
      <c r="N319" s="0" t="n">
        <v>78.58</v>
      </c>
      <c r="O319" s="0" t="n">
        <v>36.8</v>
      </c>
      <c r="P319" s="0" t="n">
        <v>0</v>
      </c>
      <c r="Q319" s="0" t="n">
        <v>0</v>
      </c>
      <c r="R319" s="0" t="n">
        <v>4131</v>
      </c>
      <c r="S319" s="0" t="n">
        <v>6899</v>
      </c>
      <c r="T319" s="0" t="n">
        <v>46.75</v>
      </c>
      <c r="U319" s="0" t="n">
        <v>1660</v>
      </c>
      <c r="V319" s="0" t="n">
        <v>4</v>
      </c>
      <c r="W319" s="39" t="n">
        <f aca="false">IF(I319="Male",0,1)</f>
        <v>1</v>
      </c>
      <c r="X319" s="39" t="n">
        <f aca="false">IF(OR(I319="DNB",I319="Dry DNB"),1,0)</f>
        <v>0</v>
      </c>
      <c r="Y319" s="39" t="n">
        <f aca="false">MATCH(A319,DATAS,0)</f>
        <v>1</v>
      </c>
      <c r="Z319" s="39" t="n">
        <f aca="false">IF(AND(E319&gt;0,OR(AND(B319&gt;=1,B319&lt;=6),B319=10)),1,0)</f>
        <v>0</v>
      </c>
      <c r="AA319" s="39" t="n">
        <f aca="false">IF(AND(E319&gt;0,B319=10),1,0)</f>
        <v>0</v>
      </c>
      <c r="AB319" s="0" t="str">
        <f aca="false">IF(AND(C318=C319,Y318=Y319-1),Z318,"")</f>
        <v/>
      </c>
      <c r="AC319" s="0" t="str">
        <f aca="false">IF(AND(C318=C319,Y318=Y319-1),AA318,"")</f>
        <v/>
      </c>
      <c r="AD319" s="0" t="str">
        <f aca="false">IF(Y319=1,"",IF(AND(Z319=1,AB319&lt;&gt;1),1,0))</f>
        <v/>
      </c>
      <c r="AE319" s="0" t="str">
        <f aca="false">IF(Y319=1,"",IF(AND(AA319=1,AC319&lt;&gt;1),1,0))</f>
        <v/>
      </c>
      <c r="AF319" s="45" t="str">
        <f aca="false">IF(AND(E319&gt;0,Y319&lt;1,NOT(AND(C320=C319,Y320=Y319+1))),INDEX(DATAS,Y319+1),"")</f>
        <v/>
      </c>
      <c r="AG319" s="45" t="str">
        <f aca="false">IF(AND(AA319=1,Y319&lt;1),IF(AND(C320=C319,Y320=Y319+1),IF(AA320=1,"",INDEX(DATAS,Y319+1)),INDEX(DATAS,Y319+1)),"")</f>
        <v/>
      </c>
    </row>
    <row r="320" customFormat="false" ht="15" hidden="false" customHeight="false" outlineLevel="0" collapsed="false">
      <c r="A320" s="45" t="n">
        <v>46309</v>
      </c>
      <c r="B320" s="0" t="n">
        <v>5</v>
      </c>
      <c r="C320" s="0" t="n">
        <v>3924</v>
      </c>
      <c r="D320" s="0" t="n">
        <v>232</v>
      </c>
      <c r="E320" s="0" t="n">
        <v>3</v>
      </c>
      <c r="F320" s="39" t="s">
        <v>370</v>
      </c>
      <c r="G320" s="0" t="n">
        <v>45.7</v>
      </c>
      <c r="H320" s="0" t="n">
        <v>44</v>
      </c>
      <c r="I320" s="39" t="s">
        <v>109</v>
      </c>
      <c r="J320" s="0" t="n">
        <v>100</v>
      </c>
      <c r="K320" s="0" t="n">
        <v>71</v>
      </c>
      <c r="L320" s="0" t="n">
        <v>132</v>
      </c>
      <c r="M320" s="0" t="n">
        <v>869.75</v>
      </c>
      <c r="N320" s="0" t="n">
        <v>38.12</v>
      </c>
      <c r="O320" s="0" t="n">
        <v>33.63</v>
      </c>
      <c r="P320" s="0" t="n">
        <v>3.19</v>
      </c>
      <c r="Q320" s="0" t="n">
        <v>3.77</v>
      </c>
      <c r="R320" s="0" t="n">
        <v>4958</v>
      </c>
      <c r="S320" s="0" t="n">
        <v>10177</v>
      </c>
      <c r="T320" s="0" t="n">
        <v>64.1</v>
      </c>
      <c r="U320" s="0" t="n">
        <v>1658</v>
      </c>
      <c r="V320" s="0" t="n">
        <v>2</v>
      </c>
      <c r="W320" s="39" t="n">
        <f aca="false">IF(I320="Male",0,1)</f>
        <v>1</v>
      </c>
      <c r="X320" s="39" t="n">
        <f aca="false">IF(OR(I320="DNB",I320="Dry DNB"),1,0)</f>
        <v>0</v>
      </c>
      <c r="Y320" s="39" t="n">
        <f aca="false">MATCH(A320,DATAS,0)</f>
        <v>1</v>
      </c>
      <c r="Z320" s="39" t="n">
        <f aca="false">IF(AND(E320&gt;0,OR(AND(B320&gt;=1,B320&lt;=6),B320=10)),1,0)</f>
        <v>1</v>
      </c>
      <c r="AA320" s="39" t="n">
        <f aca="false">IF(AND(E320&gt;0,B320=10),1,0)</f>
        <v>0</v>
      </c>
      <c r="AB320" s="0" t="str">
        <f aca="false">IF(AND(C319=C320,Y319=Y320-1),Z319,"")</f>
        <v/>
      </c>
      <c r="AC320" s="0" t="str">
        <f aca="false">IF(AND(C319=C320,Y319=Y320-1),AA319,"")</f>
        <v/>
      </c>
      <c r="AD320" s="0" t="str">
        <f aca="false">IF(Y320=1,"",IF(AND(Z320=1,AB320&lt;&gt;1),1,0))</f>
        <v/>
      </c>
      <c r="AE320" s="0" t="str">
        <f aca="false">IF(Y320=1,"",IF(AND(AA320=1,AC320&lt;&gt;1),1,0))</f>
        <v/>
      </c>
      <c r="AF320" s="45" t="str">
        <f aca="false">IF(AND(E320&gt;0,Y320&lt;1,NOT(AND(C321=C320,Y321=Y320+1))),INDEX(DATAS,Y320+1),"")</f>
        <v/>
      </c>
      <c r="AG320" s="45" t="str">
        <f aca="false">IF(AND(AA320=1,Y320&lt;1),IF(AND(C321=C320,Y321=Y320+1),IF(AA321=1,"",INDEX(DATAS,Y320+1)),INDEX(DATAS,Y320+1)),"")</f>
        <v/>
      </c>
    </row>
    <row r="321" customFormat="false" ht="15" hidden="false" customHeight="false" outlineLevel="0" collapsed="false">
      <c r="A321" s="45" t="n">
        <v>46309</v>
      </c>
      <c r="B321" s="0" t="n">
        <v>3</v>
      </c>
      <c r="C321" s="0" t="n">
        <v>3928</v>
      </c>
      <c r="D321" s="0" t="n">
        <v>266</v>
      </c>
      <c r="E321" s="0" t="n">
        <v>3</v>
      </c>
      <c r="F321" s="39" t="s">
        <v>370</v>
      </c>
      <c r="G321" s="0" t="n">
        <v>54.5</v>
      </c>
      <c r="H321" s="0" t="n">
        <v>55</v>
      </c>
      <c r="I321" s="39" t="s">
        <v>109</v>
      </c>
      <c r="J321" s="0" t="n">
        <v>140</v>
      </c>
      <c r="K321" s="0" t="n">
        <v>63</v>
      </c>
      <c r="L321" s="0" t="n">
        <v>126</v>
      </c>
      <c r="M321" s="0" t="n">
        <v>873.45</v>
      </c>
      <c r="N321" s="0" t="n">
        <v>60.55</v>
      </c>
      <c r="O321" s="0" t="n">
        <v>24.33</v>
      </c>
      <c r="P321" s="0" t="n">
        <v>3.6</v>
      </c>
      <c r="Q321" s="0" t="n">
        <v>3.23</v>
      </c>
      <c r="R321" s="0" t="n">
        <v>5885</v>
      </c>
      <c r="S321" s="0" t="n">
        <v>12607</v>
      </c>
      <c r="T321" s="0" t="n">
        <v>64.2</v>
      </c>
      <c r="U321" s="0" t="n">
        <v>1658</v>
      </c>
      <c r="V321" s="0" t="n">
        <v>4</v>
      </c>
      <c r="W321" s="39" t="n">
        <f aca="false">IF(I321="Male",0,1)</f>
        <v>1</v>
      </c>
      <c r="X321" s="39" t="n">
        <f aca="false">IF(OR(I321="DNB",I321="Dry DNB"),1,0)</f>
        <v>0</v>
      </c>
      <c r="Y321" s="39" t="n">
        <f aca="false">MATCH(A321,DATAS,0)</f>
        <v>1</v>
      </c>
      <c r="Z321" s="39" t="n">
        <f aca="false">IF(AND(E321&gt;0,OR(AND(B321&gt;=1,B321&lt;=6),B321=10)),1,0)</f>
        <v>1</v>
      </c>
      <c r="AA321" s="39" t="n">
        <f aca="false">IF(AND(E321&gt;0,B321=10),1,0)</f>
        <v>0</v>
      </c>
      <c r="AB321" s="0" t="str">
        <f aca="false">IF(AND(C320=C321,Y320=Y321-1),Z320,"")</f>
        <v/>
      </c>
      <c r="AC321" s="0" t="str">
        <f aca="false">IF(AND(C320=C321,Y320=Y321-1),AA320,"")</f>
        <v/>
      </c>
      <c r="AD321" s="0" t="str">
        <f aca="false">IF(Y321=1,"",IF(AND(Z321=1,AB321&lt;&gt;1),1,0))</f>
        <v/>
      </c>
      <c r="AE321" s="0" t="str">
        <f aca="false">IF(Y321=1,"",IF(AND(AA321=1,AC321&lt;&gt;1),1,0))</f>
        <v/>
      </c>
      <c r="AF321" s="45" t="str">
        <f aca="false">IF(AND(E321&gt;0,Y321&lt;1,NOT(AND(C322=C321,Y322=Y321+1))),INDEX(DATAS,Y321+1),"")</f>
        <v/>
      </c>
      <c r="AG321" s="45" t="str">
        <f aca="false">IF(AND(AA321=1,Y321&lt;1),IF(AND(C322=C321,Y322=Y321+1),IF(AA322=1,"",INDEX(DATAS,Y321+1)),INDEX(DATAS,Y321+1)),"")</f>
        <v/>
      </c>
    </row>
    <row r="322" customFormat="false" ht="15" hidden="false" customHeight="false" outlineLevel="0" collapsed="false">
      <c r="A322" s="45" t="n">
        <v>46309</v>
      </c>
      <c r="B322" s="0" t="n">
        <v>10</v>
      </c>
      <c r="C322" s="0" t="n">
        <v>3929</v>
      </c>
      <c r="D322" s="0" t="n">
        <v>243</v>
      </c>
      <c r="E322" s="0" t="n">
        <v>3</v>
      </c>
      <c r="F322" s="39" t="s">
        <v>370</v>
      </c>
      <c r="G322" s="0" t="n">
        <v>9.8</v>
      </c>
      <c r="H322" s="0" t="n">
        <v>7</v>
      </c>
      <c r="I322" s="39" t="s">
        <v>109</v>
      </c>
      <c r="J322" s="0" t="n">
        <v>103</v>
      </c>
      <c r="K322" s="0" t="n">
        <v>68</v>
      </c>
      <c r="L322" s="0" t="n">
        <v>140</v>
      </c>
      <c r="M322" s="0" t="n">
        <v>175.67</v>
      </c>
      <c r="N322" s="0" t="n">
        <v>55.94</v>
      </c>
      <c r="O322" s="0" t="n">
        <v>26.66</v>
      </c>
      <c r="P322" s="0" t="n">
        <v>5.94</v>
      </c>
      <c r="Q322" s="0" t="n">
        <v>4.02</v>
      </c>
      <c r="R322" s="0" t="n">
        <v>5598</v>
      </c>
      <c r="S322" s="0" t="n">
        <v>10562</v>
      </c>
      <c r="T322" s="0" t="n">
        <v>63.5</v>
      </c>
      <c r="U322" s="0" t="n">
        <v>1658</v>
      </c>
      <c r="V322" s="0" t="n">
        <v>2</v>
      </c>
      <c r="W322" s="39" t="n">
        <f aca="false">IF(I322="Male",0,1)</f>
        <v>1</v>
      </c>
      <c r="X322" s="39" t="n">
        <f aca="false">IF(OR(I322="DNB",I322="Dry DNB"),1,0)</f>
        <v>0</v>
      </c>
      <c r="Y322" s="39" t="n">
        <f aca="false">MATCH(A322,DATAS,0)</f>
        <v>1</v>
      </c>
      <c r="Z322" s="39" t="n">
        <f aca="false">IF(AND(E322&gt;0,OR(AND(B322&gt;=1,B322&lt;=6),B322=10)),1,0)</f>
        <v>1</v>
      </c>
      <c r="AA322" s="39" t="n">
        <f aca="false">IF(AND(E322&gt;0,B322=10),1,0)</f>
        <v>1</v>
      </c>
      <c r="AB322" s="0" t="str">
        <f aca="false">IF(AND(C321=C322,Y321=Y322-1),Z321,"")</f>
        <v/>
      </c>
      <c r="AC322" s="0" t="str">
        <f aca="false">IF(AND(C321=C322,Y321=Y322-1),AA321,"")</f>
        <v/>
      </c>
      <c r="AD322" s="0" t="str">
        <f aca="false">IF(Y322=1,"",IF(AND(Z322=1,AB322&lt;&gt;1),1,0))</f>
        <v/>
      </c>
      <c r="AE322" s="0" t="str">
        <f aca="false">IF(Y322=1,"",IF(AND(AA322=1,AC322&lt;&gt;1),1,0))</f>
        <v/>
      </c>
      <c r="AF322" s="45" t="str">
        <f aca="false">IF(AND(E322&gt;0,Y322&lt;1,NOT(AND(C323=C322,Y323=Y322+1))),INDEX(DATAS,Y322+1),"")</f>
        <v/>
      </c>
      <c r="AG322" s="45" t="str">
        <f aca="false">IF(AND(AA322=1,Y322&lt;1),IF(AND(C323=C322,Y323=Y322+1),IF(AA323=1,"",INDEX(DATAS,Y322+1)),INDEX(DATAS,Y322+1)),"")</f>
        <v/>
      </c>
    </row>
    <row r="323" customFormat="false" ht="15" hidden="false" customHeight="false" outlineLevel="0" collapsed="false">
      <c r="A323" s="45" t="n">
        <v>46309</v>
      </c>
      <c r="B323" s="0" t="n">
        <v>5</v>
      </c>
      <c r="C323" s="0" t="n">
        <v>3933</v>
      </c>
      <c r="D323" s="0" t="n">
        <v>277</v>
      </c>
      <c r="E323" s="0" t="n">
        <v>3</v>
      </c>
      <c r="F323" s="39" t="s">
        <v>371</v>
      </c>
      <c r="G323" s="0" t="n">
        <v>31.7</v>
      </c>
      <c r="H323" s="0" t="n">
        <v>34</v>
      </c>
      <c r="I323" s="39" t="s">
        <v>109</v>
      </c>
      <c r="J323" s="0" t="n">
        <v>67</v>
      </c>
      <c r="K323" s="0" t="n">
        <v>67</v>
      </c>
      <c r="L323" s="0" t="n">
        <v>210</v>
      </c>
      <c r="M323" s="0" t="n">
        <v>638</v>
      </c>
      <c r="N323" s="0" t="n">
        <v>56.16</v>
      </c>
      <c r="O323" s="0" t="n">
        <v>28.6</v>
      </c>
      <c r="P323" s="0" t="n">
        <v>4.26</v>
      </c>
      <c r="Q323" s="0" t="n">
        <v>3.71</v>
      </c>
      <c r="R323" s="0" t="n">
        <v>5427</v>
      </c>
      <c r="S323" s="0" t="n">
        <v>11584</v>
      </c>
      <c r="T323" s="0" t="n">
        <v>55.9</v>
      </c>
      <c r="U323" s="0" t="n">
        <v>1655</v>
      </c>
      <c r="V323" s="0" t="n">
        <v>1</v>
      </c>
      <c r="W323" s="39" t="n">
        <f aca="false">IF(I323="Male",0,1)</f>
        <v>1</v>
      </c>
      <c r="X323" s="39" t="n">
        <f aca="false">IF(OR(I323="DNB",I323="Dry DNB"),1,0)</f>
        <v>0</v>
      </c>
      <c r="Y323" s="39" t="n">
        <f aca="false">MATCH(A323,DATAS,0)</f>
        <v>1</v>
      </c>
      <c r="Z323" s="39" t="n">
        <f aca="false">IF(AND(E323&gt;0,OR(AND(B323&gt;=1,B323&lt;=6),B323=10)),1,0)</f>
        <v>1</v>
      </c>
      <c r="AA323" s="39" t="n">
        <f aca="false">IF(AND(E323&gt;0,B323=10),1,0)</f>
        <v>0</v>
      </c>
      <c r="AB323" s="0" t="str">
        <f aca="false">IF(AND(C322=C323,Y322=Y323-1),Z322,"")</f>
        <v/>
      </c>
      <c r="AC323" s="0" t="str">
        <f aca="false">IF(AND(C322=C323,Y322=Y323-1),AA322,"")</f>
        <v/>
      </c>
      <c r="AD323" s="0" t="str">
        <f aca="false">IF(Y323=1,"",IF(AND(Z323=1,AB323&lt;&gt;1),1,0))</f>
        <v/>
      </c>
      <c r="AE323" s="0" t="str">
        <f aca="false">IF(Y323=1,"",IF(AND(AA323=1,AC323&lt;&gt;1),1,0))</f>
        <v/>
      </c>
      <c r="AF323" s="45" t="str">
        <f aca="false">IF(AND(E323&gt;0,Y323&lt;1,NOT(AND(C324=C323,Y324=Y323+1))),INDEX(DATAS,Y323+1),"")</f>
        <v/>
      </c>
      <c r="AG323" s="45" t="str">
        <f aca="false">IF(AND(AA323=1,Y323&lt;1),IF(AND(C324=C323,Y324=Y323+1),IF(AA324=1,"",INDEX(DATAS,Y323+1)),INDEX(DATAS,Y323+1)),"")</f>
        <v/>
      </c>
    </row>
    <row r="324" customFormat="false" ht="15" hidden="false" customHeight="false" outlineLevel="0" collapsed="false">
      <c r="A324" s="45" t="n">
        <v>46309</v>
      </c>
      <c r="B324" s="0" t="n">
        <v>3</v>
      </c>
      <c r="C324" s="0" t="n">
        <v>3935</v>
      </c>
      <c r="D324" s="0" t="n">
        <v>183</v>
      </c>
      <c r="E324" s="0" t="n">
        <v>3</v>
      </c>
      <c r="F324" s="39" t="s">
        <v>372</v>
      </c>
      <c r="G324" s="0" t="n">
        <v>58.2</v>
      </c>
      <c r="H324" s="0" t="n">
        <v>59</v>
      </c>
      <c r="I324" s="39" t="s">
        <v>109</v>
      </c>
      <c r="J324" s="0" t="n">
        <v>64</v>
      </c>
      <c r="K324" s="0" t="n">
        <v>64</v>
      </c>
      <c r="L324" s="0" t="n">
        <v>119</v>
      </c>
      <c r="M324" s="0" t="n">
        <v>1097.7</v>
      </c>
      <c r="N324" s="0" t="n">
        <v>40.45</v>
      </c>
      <c r="O324" s="0" t="n">
        <v>37.43</v>
      </c>
      <c r="P324" s="0" t="n">
        <v>3.27</v>
      </c>
      <c r="Q324" s="0" t="n">
        <v>3.68</v>
      </c>
      <c r="R324" s="0" t="n">
        <v>7379</v>
      </c>
      <c r="S324" s="0" t="n">
        <v>14101</v>
      </c>
      <c r="T324" s="0" t="n">
        <v>78.25</v>
      </c>
      <c r="U324" s="0" t="n">
        <v>1654</v>
      </c>
      <c r="V324" s="0" t="n">
        <v>1</v>
      </c>
      <c r="W324" s="39" t="n">
        <f aca="false">IF(I324="Male",0,1)</f>
        <v>1</v>
      </c>
      <c r="X324" s="39" t="n">
        <f aca="false">IF(OR(I324="DNB",I324="Dry DNB"),1,0)</f>
        <v>0</v>
      </c>
      <c r="Y324" s="39" t="n">
        <f aca="false">MATCH(A324,DATAS,0)</f>
        <v>1</v>
      </c>
      <c r="Z324" s="39" t="n">
        <f aca="false">IF(AND(E324&gt;0,OR(AND(B324&gt;=1,B324&lt;=6),B324=10)),1,0)</f>
        <v>1</v>
      </c>
      <c r="AA324" s="39" t="n">
        <f aca="false">IF(AND(E324&gt;0,B324=10),1,0)</f>
        <v>0</v>
      </c>
      <c r="AB324" s="0" t="str">
        <f aca="false">IF(AND(C323=C324,Y323=Y324-1),Z323,"")</f>
        <v/>
      </c>
      <c r="AC324" s="0" t="str">
        <f aca="false">IF(AND(C323=C324,Y323=Y324-1),AA323,"")</f>
        <v/>
      </c>
      <c r="AD324" s="0" t="str">
        <f aca="false">IF(Y324=1,"",IF(AND(Z324=1,AB324&lt;&gt;1),1,0))</f>
        <v/>
      </c>
      <c r="AE324" s="0" t="str">
        <f aca="false">IF(Y324=1,"",IF(AND(AA324=1,AC324&lt;&gt;1),1,0))</f>
        <v/>
      </c>
      <c r="AF324" s="45" t="str">
        <f aca="false">IF(AND(E324&gt;0,Y324&lt;1,NOT(AND(C325=C324,Y325=Y324+1))),INDEX(DATAS,Y324+1),"")</f>
        <v/>
      </c>
      <c r="AG324" s="45" t="str">
        <f aca="false">IF(AND(AA324=1,Y324&lt;1),IF(AND(C325=C324,Y325=Y324+1),IF(AA325=1,"",INDEX(DATAS,Y324+1)),INDEX(DATAS,Y324+1)),"")</f>
        <v/>
      </c>
    </row>
    <row r="325" customFormat="false" ht="15" hidden="false" customHeight="false" outlineLevel="0" collapsed="false">
      <c r="A325" s="45" t="n">
        <v>46309</v>
      </c>
      <c r="B325" s="0" t="n">
        <v>5</v>
      </c>
      <c r="C325" s="0" t="n">
        <v>3938</v>
      </c>
      <c r="D325" s="0" t="n">
        <v>229</v>
      </c>
      <c r="E325" s="0" t="n">
        <v>2</v>
      </c>
      <c r="F325" s="39" t="s">
        <v>373</v>
      </c>
      <c r="G325" s="0" t="n">
        <v>50.4</v>
      </c>
      <c r="H325" s="0" t="n">
        <v>47</v>
      </c>
      <c r="I325" s="39" t="s">
        <v>109</v>
      </c>
      <c r="J325" s="0" t="n">
        <v>82</v>
      </c>
      <c r="K325" s="0" t="n">
        <v>82</v>
      </c>
      <c r="L325" s="0" t="n">
        <v>147</v>
      </c>
      <c r="M325" s="0" t="n">
        <v>478.05</v>
      </c>
      <c r="N325" s="0" t="n">
        <v>67.77</v>
      </c>
      <c r="O325" s="0" t="n">
        <v>29.13</v>
      </c>
      <c r="P325" s="0" t="n">
        <v>4.16</v>
      </c>
      <c r="Q325" s="0" t="n">
        <v>3.55</v>
      </c>
      <c r="R325" s="0" t="n">
        <v>6265</v>
      </c>
      <c r="S325" s="0" t="n">
        <v>12099</v>
      </c>
      <c r="T325" s="0" t="n">
        <v>72.95</v>
      </c>
      <c r="U325" s="0" t="n">
        <v>1653</v>
      </c>
      <c r="V325" s="0" t="n">
        <v>1</v>
      </c>
      <c r="W325" s="39" t="n">
        <f aca="false">IF(I325="Male",0,1)</f>
        <v>1</v>
      </c>
      <c r="X325" s="39" t="n">
        <f aca="false">IF(OR(I325="DNB",I325="Dry DNB"),1,0)</f>
        <v>0</v>
      </c>
      <c r="Y325" s="39" t="n">
        <f aca="false">MATCH(A325,DATAS,0)</f>
        <v>1</v>
      </c>
      <c r="Z325" s="39" t="n">
        <f aca="false">IF(AND(E325&gt;0,OR(AND(B325&gt;=1,B325&lt;=6),B325=10)),1,0)</f>
        <v>1</v>
      </c>
      <c r="AA325" s="39" t="n">
        <f aca="false">IF(AND(E325&gt;0,B325=10),1,0)</f>
        <v>0</v>
      </c>
      <c r="AB325" s="0" t="str">
        <f aca="false">IF(AND(C324=C325,Y324=Y325-1),Z324,"")</f>
        <v/>
      </c>
      <c r="AC325" s="0" t="str">
        <f aca="false">IF(AND(C324=C325,Y324=Y325-1),AA324,"")</f>
        <v/>
      </c>
      <c r="AD325" s="0" t="str">
        <f aca="false">IF(Y325=1,"",IF(AND(Z325=1,AB325&lt;&gt;1),1,0))</f>
        <v/>
      </c>
      <c r="AE325" s="0" t="str">
        <f aca="false">IF(Y325=1,"",IF(AND(AA325=1,AC325&lt;&gt;1),1,0))</f>
        <v/>
      </c>
      <c r="AF325" s="45" t="str">
        <f aca="false">IF(AND(E325&gt;0,Y325&lt;1,NOT(AND(C326=C325,Y326=Y325+1))),INDEX(DATAS,Y325+1),"")</f>
        <v/>
      </c>
      <c r="AG325" s="45" t="str">
        <f aca="false">IF(AND(AA325=1,Y325&lt;1),IF(AND(C326=C325,Y326=Y325+1),IF(AA326=1,"",INDEX(DATAS,Y325+1)),INDEX(DATAS,Y325+1)),"")</f>
        <v/>
      </c>
    </row>
    <row r="326" customFormat="false" ht="15" hidden="false" customHeight="false" outlineLevel="0" collapsed="false">
      <c r="A326" s="45" t="n">
        <v>46309</v>
      </c>
      <c r="B326" s="0" t="n">
        <v>3</v>
      </c>
      <c r="C326" s="0" t="n">
        <v>3941</v>
      </c>
      <c r="D326" s="0" t="n">
        <v>244</v>
      </c>
      <c r="E326" s="0" t="n">
        <v>3</v>
      </c>
      <c r="F326" s="39" t="s">
        <v>373</v>
      </c>
      <c r="G326" s="0" t="n">
        <v>68.4</v>
      </c>
      <c r="H326" s="0" t="n">
        <v>65</v>
      </c>
      <c r="I326" s="39" t="s">
        <v>109</v>
      </c>
      <c r="J326" s="0" t="n">
        <v>153</v>
      </c>
      <c r="K326" s="0" t="n">
        <v>125</v>
      </c>
      <c r="L326" s="0" t="n">
        <v>91</v>
      </c>
      <c r="M326" s="0" t="n">
        <v>1057.98</v>
      </c>
      <c r="N326" s="0" t="n">
        <v>51.99</v>
      </c>
      <c r="O326" s="0" t="n">
        <v>35.01</v>
      </c>
      <c r="P326" s="0" t="n">
        <v>3.22</v>
      </c>
      <c r="Q326" s="0" t="n">
        <v>3.06</v>
      </c>
      <c r="R326" s="0" t="n">
        <v>4222</v>
      </c>
      <c r="S326" s="0" t="n">
        <v>10532</v>
      </c>
      <c r="T326" s="0" t="n">
        <v>30.95</v>
      </c>
      <c r="U326" s="0" t="n">
        <v>1653</v>
      </c>
      <c r="V326" s="0" t="n">
        <v>2</v>
      </c>
      <c r="W326" s="39" t="n">
        <f aca="false">IF(I326="Male",0,1)</f>
        <v>1</v>
      </c>
      <c r="X326" s="39" t="n">
        <f aca="false">IF(OR(I326="DNB",I326="Dry DNB"),1,0)</f>
        <v>0</v>
      </c>
      <c r="Y326" s="39" t="n">
        <f aca="false">MATCH(A326,DATAS,0)</f>
        <v>1</v>
      </c>
      <c r="Z326" s="39" t="n">
        <f aca="false">IF(AND(E326&gt;0,OR(AND(B326&gt;=1,B326&lt;=6),B326=10)),1,0)</f>
        <v>1</v>
      </c>
      <c r="AA326" s="39" t="n">
        <f aca="false">IF(AND(E326&gt;0,B326=10),1,0)</f>
        <v>0</v>
      </c>
      <c r="AB326" s="0" t="str">
        <f aca="false">IF(AND(C325=C326,Y325=Y326-1),Z325,"")</f>
        <v/>
      </c>
      <c r="AC326" s="0" t="str">
        <f aca="false">IF(AND(C325=C326,Y325=Y326-1),AA325,"")</f>
        <v/>
      </c>
      <c r="AD326" s="0" t="str">
        <f aca="false">IF(Y326=1,"",IF(AND(Z326=1,AB326&lt;&gt;1),1,0))</f>
        <v/>
      </c>
      <c r="AE326" s="0" t="str">
        <f aca="false">IF(Y326=1,"",IF(AND(AA326=1,AC326&lt;&gt;1),1,0))</f>
        <v/>
      </c>
      <c r="AF326" s="45" t="str">
        <f aca="false">IF(AND(E326&gt;0,Y326&lt;1,NOT(AND(C327=C326,Y327=Y326+1))),INDEX(DATAS,Y326+1),"")</f>
        <v/>
      </c>
      <c r="AG326" s="45" t="str">
        <f aca="false">IF(AND(AA326=1,Y326&lt;1),IF(AND(C327=C326,Y327=Y326+1),IF(AA327=1,"",INDEX(DATAS,Y326+1)),INDEX(DATAS,Y326+1)),"")</f>
        <v/>
      </c>
    </row>
    <row r="327" customFormat="false" ht="15" hidden="false" customHeight="false" outlineLevel="0" collapsed="false">
      <c r="A327" s="45" t="n">
        <v>46309</v>
      </c>
      <c r="B327" s="0" t="n">
        <v>3</v>
      </c>
      <c r="C327" s="0" t="n">
        <v>3944</v>
      </c>
      <c r="D327" s="0" t="n">
        <v>346</v>
      </c>
      <c r="E327" s="0" t="n">
        <v>2</v>
      </c>
      <c r="F327" s="39" t="s">
        <v>374</v>
      </c>
      <c r="G327" s="0" t="n">
        <v>43.2</v>
      </c>
      <c r="H327" s="0" t="n">
        <v>46</v>
      </c>
      <c r="I327" s="39" t="s">
        <v>146</v>
      </c>
      <c r="J327" s="0" t="n">
        <v>346</v>
      </c>
      <c r="K327" s="0" t="n">
        <v>67</v>
      </c>
      <c r="M327" s="0" t="n">
        <v>1511.66</v>
      </c>
      <c r="N327" s="0" t="n">
        <v>61.54</v>
      </c>
      <c r="O327" s="0" t="n">
        <v>43.44</v>
      </c>
      <c r="P327" s="0" t="n">
        <v>3.63</v>
      </c>
      <c r="Q327" s="0" t="n">
        <v>3.57</v>
      </c>
      <c r="R327" s="0" t="n">
        <v>6571</v>
      </c>
      <c r="S327" s="0" t="n">
        <v>12841</v>
      </c>
      <c r="T327" s="0" t="n">
        <v>63.4</v>
      </c>
      <c r="U327" s="0" t="n">
        <v>1651</v>
      </c>
      <c r="V327" s="0" t="n">
        <v>6</v>
      </c>
      <c r="W327" s="39" t="n">
        <f aca="false">IF(I327="Male",0,1)</f>
        <v>1</v>
      </c>
      <c r="X327" s="39" t="n">
        <f aca="false">IF(OR(I327="DNB",I327="Dry DNB"),1,0)</f>
        <v>0</v>
      </c>
      <c r="Y327" s="39" t="n">
        <f aca="false">MATCH(A327,DATAS,0)</f>
        <v>1</v>
      </c>
      <c r="Z327" s="39" t="n">
        <f aca="false">IF(AND(E327&gt;0,OR(AND(B327&gt;=1,B327&lt;=6),B327=10)),1,0)</f>
        <v>1</v>
      </c>
      <c r="AA327" s="39" t="n">
        <f aca="false">IF(AND(E327&gt;0,B327=10),1,0)</f>
        <v>0</v>
      </c>
      <c r="AB327" s="0" t="str">
        <f aca="false">IF(AND(C326=C327,Y326=Y327-1),Z326,"")</f>
        <v/>
      </c>
      <c r="AC327" s="0" t="str">
        <f aca="false">IF(AND(C326=C327,Y326=Y327-1),AA326,"")</f>
        <v/>
      </c>
      <c r="AD327" s="0" t="str">
        <f aca="false">IF(Y327=1,"",IF(AND(Z327=1,AB327&lt;&gt;1),1,0))</f>
        <v/>
      </c>
      <c r="AE327" s="0" t="str">
        <f aca="false">IF(Y327=1,"",IF(AND(AA327=1,AC327&lt;&gt;1),1,0))</f>
        <v/>
      </c>
      <c r="AF327" s="45" t="str">
        <f aca="false">IF(AND(E327&gt;0,Y327&lt;1,NOT(AND(C328=C327,Y328=Y327+1))),INDEX(DATAS,Y327+1),"")</f>
        <v/>
      </c>
      <c r="AG327" s="45" t="str">
        <f aca="false">IF(AND(AA327=1,Y327&lt;1),IF(AND(C328=C327,Y328=Y327+1),IF(AA328=1,"",INDEX(DATAS,Y327+1)),INDEX(DATAS,Y327+1)),"")</f>
        <v/>
      </c>
    </row>
    <row r="328" customFormat="false" ht="15" hidden="false" customHeight="false" outlineLevel="0" collapsed="false">
      <c r="A328" s="45" t="n">
        <v>46309</v>
      </c>
      <c r="B328" s="0" t="n">
        <v>5</v>
      </c>
      <c r="C328" s="0" t="n">
        <v>3947</v>
      </c>
      <c r="D328" s="0" t="n">
        <v>240</v>
      </c>
      <c r="E328" s="0" t="n">
        <v>3</v>
      </c>
      <c r="F328" s="39" t="s">
        <v>375</v>
      </c>
      <c r="G328" s="0" t="n">
        <v>34.6</v>
      </c>
      <c r="H328" s="0" t="n">
        <v>34</v>
      </c>
      <c r="I328" s="39" t="s">
        <v>109</v>
      </c>
      <c r="J328" s="0" t="n">
        <v>65</v>
      </c>
      <c r="K328" s="0" t="n">
        <v>65</v>
      </c>
      <c r="L328" s="0" t="n">
        <v>175</v>
      </c>
      <c r="M328" s="0" t="n">
        <v>390.82</v>
      </c>
      <c r="N328" s="0" t="n">
        <v>65.68</v>
      </c>
      <c r="O328" s="0" t="n">
        <v>33.59</v>
      </c>
      <c r="P328" s="0" t="n">
        <v>6.16</v>
      </c>
      <c r="Q328" s="0" t="n">
        <v>4.01</v>
      </c>
      <c r="R328" s="0" t="n">
        <v>3098</v>
      </c>
      <c r="S328" s="0" t="n">
        <v>7324</v>
      </c>
      <c r="T328" s="0" t="n">
        <v>31.55</v>
      </c>
      <c r="U328" s="0" t="n">
        <v>1650</v>
      </c>
      <c r="V328" s="0" t="n">
        <v>1</v>
      </c>
      <c r="W328" s="39" t="n">
        <f aca="false">IF(I328="Male",0,1)</f>
        <v>1</v>
      </c>
      <c r="X328" s="39" t="n">
        <f aca="false">IF(OR(I328="DNB",I328="Dry DNB"),1,0)</f>
        <v>0</v>
      </c>
      <c r="Y328" s="39" t="n">
        <f aca="false">MATCH(A328,DATAS,0)</f>
        <v>1</v>
      </c>
      <c r="Z328" s="39" t="n">
        <f aca="false">IF(AND(E328&gt;0,OR(AND(B328&gt;=1,B328&lt;=6),B328=10)),1,0)</f>
        <v>1</v>
      </c>
      <c r="AA328" s="39" t="n">
        <f aca="false">IF(AND(E328&gt;0,B328=10),1,0)</f>
        <v>0</v>
      </c>
      <c r="AB328" s="0" t="str">
        <f aca="false">IF(AND(C327=C328,Y327=Y328-1),Z327,"")</f>
        <v/>
      </c>
      <c r="AC328" s="0" t="str">
        <f aca="false">IF(AND(C327=C328,Y327=Y328-1),AA327,"")</f>
        <v/>
      </c>
      <c r="AD328" s="0" t="str">
        <f aca="false">IF(Y328=1,"",IF(AND(Z328=1,AB328&lt;&gt;1),1,0))</f>
        <v/>
      </c>
      <c r="AE328" s="0" t="str">
        <f aca="false">IF(Y328=1,"",IF(AND(AA328=1,AC328&lt;&gt;1),1,0))</f>
        <v/>
      </c>
      <c r="AF328" s="45" t="str">
        <f aca="false">IF(AND(E328&gt;0,Y328&lt;1,NOT(AND(C329=C328,Y329=Y328+1))),INDEX(DATAS,Y328+1),"")</f>
        <v/>
      </c>
      <c r="AG328" s="45" t="str">
        <f aca="false">IF(AND(AA328=1,Y328&lt;1),IF(AND(C329=C328,Y329=Y328+1),IF(AA329=1,"",INDEX(DATAS,Y328+1)),INDEX(DATAS,Y328+1)),"")</f>
        <v/>
      </c>
    </row>
    <row r="329" customFormat="false" ht="15" hidden="false" customHeight="false" outlineLevel="0" collapsed="false">
      <c r="A329" s="45" t="n">
        <v>46309</v>
      </c>
      <c r="B329" s="0" t="n">
        <v>3</v>
      </c>
      <c r="C329" s="0" t="n">
        <v>3948</v>
      </c>
      <c r="D329" s="0" t="n">
        <v>31</v>
      </c>
      <c r="E329" s="0" t="n">
        <v>3</v>
      </c>
      <c r="F329" s="39" t="s">
        <v>376</v>
      </c>
      <c r="G329" s="0" t="n">
        <v>72.3</v>
      </c>
      <c r="H329" s="0" t="n">
        <v>69</v>
      </c>
      <c r="I329" s="39" t="s">
        <v>118</v>
      </c>
      <c r="J329" s="0" t="n">
        <v>31</v>
      </c>
      <c r="M329" s="0" t="n">
        <v>688.22</v>
      </c>
      <c r="N329" s="0" t="n">
        <v>70.85</v>
      </c>
      <c r="O329" s="0" t="n">
        <v>40.02</v>
      </c>
      <c r="P329" s="0" t="n">
        <v>5.69</v>
      </c>
      <c r="Q329" s="0" t="n">
        <v>4.14</v>
      </c>
      <c r="R329" s="0" t="n">
        <v>5191</v>
      </c>
      <c r="S329" s="0" t="n">
        <v>10436</v>
      </c>
      <c r="U329" s="0" t="n">
        <v>1649</v>
      </c>
      <c r="V329" s="0" t="n">
        <v>0</v>
      </c>
      <c r="W329" s="39" t="n">
        <f aca="false">IF(I329="Male",0,1)</f>
        <v>1</v>
      </c>
      <c r="X329" s="39" t="n">
        <f aca="false">IF(OR(I329="DNB",I329="Dry DNB"),1,0)</f>
        <v>0</v>
      </c>
      <c r="Y329" s="39" t="n">
        <f aca="false">MATCH(A329,DATAS,0)</f>
        <v>1</v>
      </c>
      <c r="Z329" s="39" t="n">
        <f aca="false">IF(AND(E329&gt;0,OR(AND(B329&gt;=1,B329&lt;=6),B329=10)),1,0)</f>
        <v>1</v>
      </c>
      <c r="AA329" s="39" t="n">
        <f aca="false">IF(AND(E329&gt;0,B329=10),1,0)</f>
        <v>0</v>
      </c>
      <c r="AB329" s="0" t="str">
        <f aca="false">IF(AND(C328=C329,Y328=Y329-1),Z328,"")</f>
        <v/>
      </c>
      <c r="AC329" s="0" t="str">
        <f aca="false">IF(AND(C328=C329,Y328=Y329-1),AA328,"")</f>
        <v/>
      </c>
      <c r="AD329" s="0" t="str">
        <f aca="false">IF(Y329=1,"",IF(AND(Z329=1,AB329&lt;&gt;1),1,0))</f>
        <v/>
      </c>
      <c r="AE329" s="0" t="str">
        <f aca="false">IF(Y329=1,"",IF(AND(AA329=1,AC329&lt;&gt;1),1,0))</f>
        <v/>
      </c>
      <c r="AF329" s="45" t="str">
        <f aca="false">IF(AND(E329&gt;0,Y329&lt;1,NOT(AND(C330=C329,Y330=Y329+1))),INDEX(DATAS,Y329+1),"")</f>
        <v/>
      </c>
      <c r="AG329" s="45" t="str">
        <f aca="false">IF(AND(AA329=1,Y329&lt;1),IF(AND(C330=C329,Y330=Y329+1),IF(AA330=1,"",INDEX(DATAS,Y329+1)),INDEX(DATAS,Y329+1)),"")</f>
        <v/>
      </c>
    </row>
    <row r="330" customFormat="false" ht="15" hidden="false" customHeight="false" outlineLevel="0" collapsed="false">
      <c r="A330" s="45" t="n">
        <v>46309</v>
      </c>
      <c r="B330" s="0" t="n">
        <v>5</v>
      </c>
      <c r="C330" s="0" t="n">
        <v>3950</v>
      </c>
      <c r="D330" s="0" t="n">
        <v>247</v>
      </c>
      <c r="E330" s="0" t="n">
        <v>3</v>
      </c>
      <c r="F330" s="39" t="s">
        <v>376</v>
      </c>
      <c r="G330" s="0" t="n">
        <v>38.9</v>
      </c>
      <c r="H330" s="0" t="n">
        <v>38</v>
      </c>
      <c r="I330" s="39" t="s">
        <v>109</v>
      </c>
      <c r="J330" s="0" t="n">
        <v>107</v>
      </c>
      <c r="K330" s="0" t="n">
        <v>65</v>
      </c>
      <c r="L330" s="0" t="n">
        <v>140</v>
      </c>
      <c r="M330" s="0" t="n">
        <v>954.53</v>
      </c>
      <c r="N330" s="0" t="n">
        <v>58.14</v>
      </c>
      <c r="O330" s="0" t="n">
        <v>39.72</v>
      </c>
      <c r="P330" s="0" t="n">
        <v>4.33</v>
      </c>
      <c r="Q330" s="0" t="n">
        <v>3.5</v>
      </c>
      <c r="R330" s="0" t="n">
        <v>3527</v>
      </c>
      <c r="S330" s="0" t="n">
        <v>7088</v>
      </c>
      <c r="T330" s="0" t="n">
        <v>54.65</v>
      </c>
      <c r="U330" s="0" t="n">
        <v>1649</v>
      </c>
      <c r="V330" s="0" t="n">
        <v>2</v>
      </c>
      <c r="W330" s="39" t="n">
        <f aca="false">IF(I330="Male",0,1)</f>
        <v>1</v>
      </c>
      <c r="X330" s="39" t="n">
        <f aca="false">IF(OR(I330="DNB",I330="Dry DNB"),1,0)</f>
        <v>0</v>
      </c>
      <c r="Y330" s="39" t="n">
        <f aca="false">MATCH(A330,DATAS,0)</f>
        <v>1</v>
      </c>
      <c r="Z330" s="39" t="n">
        <f aca="false">IF(AND(E330&gt;0,OR(AND(B330&gt;=1,B330&lt;=6),B330=10)),1,0)</f>
        <v>1</v>
      </c>
      <c r="AA330" s="39" t="n">
        <f aca="false">IF(AND(E330&gt;0,B330=10),1,0)</f>
        <v>0</v>
      </c>
      <c r="AB330" s="0" t="str">
        <f aca="false">IF(AND(C329=C330,Y329=Y330-1),Z329,"")</f>
        <v/>
      </c>
      <c r="AC330" s="0" t="str">
        <f aca="false">IF(AND(C329=C330,Y329=Y330-1),AA329,"")</f>
        <v/>
      </c>
      <c r="AD330" s="0" t="str">
        <f aca="false">IF(Y330=1,"",IF(AND(Z330=1,AB330&lt;&gt;1),1,0))</f>
        <v/>
      </c>
      <c r="AE330" s="0" t="str">
        <f aca="false">IF(Y330=1,"",IF(AND(AA330=1,AC330&lt;&gt;1),1,0))</f>
        <v/>
      </c>
      <c r="AF330" s="45" t="str">
        <f aca="false">IF(AND(E330&gt;0,Y330&lt;1,NOT(AND(C331=C330,Y331=Y330+1))),INDEX(DATAS,Y330+1),"")</f>
        <v/>
      </c>
      <c r="AG330" s="45" t="str">
        <f aca="false">IF(AND(AA330=1,Y330&lt;1),IF(AND(C331=C330,Y331=Y330+1),IF(AA331=1,"",INDEX(DATAS,Y330+1)),INDEX(DATAS,Y330+1)),"")</f>
        <v/>
      </c>
    </row>
    <row r="331" customFormat="false" ht="15" hidden="false" customHeight="false" outlineLevel="0" collapsed="false">
      <c r="A331" s="45" t="n">
        <v>46309</v>
      </c>
      <c r="B331" s="0" t="n">
        <v>2</v>
      </c>
      <c r="C331" s="0" t="n">
        <v>3951</v>
      </c>
      <c r="D331" s="0" t="n">
        <v>269</v>
      </c>
      <c r="E331" s="0" t="n">
        <v>3</v>
      </c>
      <c r="F331" s="39" t="s">
        <v>377</v>
      </c>
      <c r="G331" s="0" t="n">
        <v>60.6</v>
      </c>
      <c r="H331" s="0" t="n">
        <v>59</v>
      </c>
      <c r="I331" s="39" t="s">
        <v>109</v>
      </c>
      <c r="J331" s="0" t="n">
        <v>171</v>
      </c>
      <c r="K331" s="0" t="n">
        <v>73</v>
      </c>
      <c r="L331" s="0" t="n">
        <v>98</v>
      </c>
      <c r="M331" s="0" t="n">
        <v>1336.19</v>
      </c>
      <c r="N331" s="0" t="n">
        <v>67.04</v>
      </c>
      <c r="O331" s="0" t="n">
        <v>37.87</v>
      </c>
      <c r="P331" s="0" t="n">
        <v>3.31</v>
      </c>
      <c r="Q331" s="0" t="n">
        <v>3.06</v>
      </c>
      <c r="R331" s="0" t="n">
        <v>5487</v>
      </c>
      <c r="S331" s="0" t="n">
        <v>12304</v>
      </c>
      <c r="T331" s="0" t="n">
        <v>60.2</v>
      </c>
      <c r="U331" s="0" t="n">
        <v>1648</v>
      </c>
      <c r="V331" s="0" t="n">
        <v>3</v>
      </c>
      <c r="W331" s="39" t="n">
        <f aca="false">IF(I331="Male",0,1)</f>
        <v>1</v>
      </c>
      <c r="X331" s="39" t="n">
        <f aca="false">IF(OR(I331="DNB",I331="Dry DNB"),1,0)</f>
        <v>0</v>
      </c>
      <c r="Y331" s="39" t="n">
        <f aca="false">MATCH(A331,DATAS,0)</f>
        <v>1</v>
      </c>
      <c r="Z331" s="39" t="n">
        <f aca="false">IF(AND(E331&gt;0,OR(AND(B331&gt;=1,B331&lt;=6),B331=10)),1,0)</f>
        <v>1</v>
      </c>
      <c r="AA331" s="39" t="n">
        <f aca="false">IF(AND(E331&gt;0,B331=10),1,0)</f>
        <v>0</v>
      </c>
      <c r="AB331" s="0" t="str">
        <f aca="false">IF(AND(C330=C331,Y330=Y331-1),Z330,"")</f>
        <v/>
      </c>
      <c r="AC331" s="0" t="str">
        <f aca="false">IF(AND(C330=C331,Y330=Y331-1),AA330,"")</f>
        <v/>
      </c>
      <c r="AD331" s="0" t="str">
        <f aca="false">IF(Y331=1,"",IF(AND(Z331=1,AB331&lt;&gt;1),1,0))</f>
        <v/>
      </c>
      <c r="AE331" s="0" t="str">
        <f aca="false">IF(Y331=1,"",IF(AND(AA331=1,AC331&lt;&gt;1),1,0))</f>
        <v/>
      </c>
      <c r="AF331" s="45" t="str">
        <f aca="false">IF(AND(E331&gt;0,Y331&lt;1,NOT(AND(C332=C331,Y332=Y331+1))),INDEX(DATAS,Y331+1),"")</f>
        <v/>
      </c>
      <c r="AG331" s="45" t="str">
        <f aca="false">IF(AND(AA331=1,Y331&lt;1),IF(AND(C332=C331,Y332=Y331+1),IF(AA332=1,"",INDEX(DATAS,Y331+1)),INDEX(DATAS,Y331+1)),"")</f>
        <v/>
      </c>
    </row>
    <row r="332" customFormat="false" ht="15" hidden="false" customHeight="false" outlineLevel="0" collapsed="false">
      <c r="A332" s="45" t="n">
        <v>46309</v>
      </c>
      <c r="B332" s="0" t="n">
        <v>7</v>
      </c>
      <c r="C332" s="0" t="n">
        <v>3952</v>
      </c>
      <c r="D332" s="0" t="n">
        <v>278</v>
      </c>
      <c r="E332" s="0" t="n">
        <v>3</v>
      </c>
      <c r="F332" s="39" t="s">
        <v>377</v>
      </c>
      <c r="G332" s="0" t="n">
        <v>5.2</v>
      </c>
      <c r="H332" s="0" t="n">
        <v>12</v>
      </c>
      <c r="I332" s="39" t="s">
        <v>114</v>
      </c>
      <c r="J332" s="0" t="n">
        <v>69</v>
      </c>
      <c r="K332" s="0" t="n">
        <v>69</v>
      </c>
      <c r="L332" s="0" t="n">
        <v>210</v>
      </c>
      <c r="M332" s="0" t="n">
        <v>949.79</v>
      </c>
      <c r="N332" s="0" t="n">
        <v>52.24</v>
      </c>
      <c r="O332" s="0" t="n">
        <v>33.94</v>
      </c>
      <c r="P332" s="0" t="n">
        <v>4.76</v>
      </c>
      <c r="Q332" s="0" t="n">
        <v>3.52</v>
      </c>
      <c r="R332" s="0" t="n">
        <v>2300</v>
      </c>
      <c r="S332" s="0" t="n">
        <v>5651</v>
      </c>
      <c r="T332" s="0" t="n">
        <v>23.75</v>
      </c>
      <c r="U332" s="0" t="n">
        <v>1648</v>
      </c>
      <c r="V332" s="0" t="n">
        <v>1</v>
      </c>
      <c r="W332" s="39" t="n">
        <f aca="false">IF(I332="Male",0,1)</f>
        <v>1</v>
      </c>
      <c r="X332" s="39" t="n">
        <f aca="false">IF(OR(I332="DNB",I332="Dry DNB"),1,0)</f>
        <v>0</v>
      </c>
      <c r="Y332" s="39" t="n">
        <f aca="false">MATCH(A332,DATAS,0)</f>
        <v>1</v>
      </c>
      <c r="Z332" s="39" t="n">
        <f aca="false">IF(AND(E332&gt;0,OR(AND(B332&gt;=1,B332&lt;=6),B332=10)),1,0)</f>
        <v>0</v>
      </c>
      <c r="AA332" s="39" t="n">
        <f aca="false">IF(AND(E332&gt;0,B332=10),1,0)</f>
        <v>0</v>
      </c>
      <c r="AB332" s="0" t="str">
        <f aca="false">IF(AND(C331=C332,Y331=Y332-1),Z331,"")</f>
        <v/>
      </c>
      <c r="AC332" s="0" t="str">
        <f aca="false">IF(AND(C331=C332,Y331=Y332-1),AA331,"")</f>
        <v/>
      </c>
      <c r="AD332" s="0" t="str">
        <f aca="false">IF(Y332=1,"",IF(AND(Z332=1,AB332&lt;&gt;1),1,0))</f>
        <v/>
      </c>
      <c r="AE332" s="0" t="str">
        <f aca="false">IF(Y332=1,"",IF(AND(AA332=1,AC332&lt;&gt;1),1,0))</f>
        <v/>
      </c>
      <c r="AF332" s="45" t="str">
        <f aca="false">IF(AND(E332&gt;0,Y332&lt;1,NOT(AND(C333=C332,Y333=Y332+1))),INDEX(DATAS,Y332+1),"")</f>
        <v/>
      </c>
      <c r="AG332" s="45" t="str">
        <f aca="false">IF(AND(AA332=1,Y332&lt;1),IF(AND(C333=C332,Y333=Y332+1),IF(AA333=1,"",INDEX(DATAS,Y332+1)),INDEX(DATAS,Y332+1)),"")</f>
        <v/>
      </c>
    </row>
    <row r="333" customFormat="false" ht="15" hidden="false" customHeight="false" outlineLevel="0" collapsed="false">
      <c r="A333" s="45" t="n">
        <v>46309</v>
      </c>
      <c r="B333" s="0" t="n">
        <v>5</v>
      </c>
      <c r="C333" s="0" t="n">
        <v>3955</v>
      </c>
      <c r="D333" s="0" t="n">
        <v>252</v>
      </c>
      <c r="E333" s="0" t="n">
        <v>3</v>
      </c>
      <c r="F333" s="39" t="s">
        <v>378</v>
      </c>
      <c r="H333" s="0" t="n">
        <v>5</v>
      </c>
      <c r="I333" s="39" t="s">
        <v>109</v>
      </c>
      <c r="J333" s="0" t="n">
        <v>63</v>
      </c>
      <c r="K333" s="0" t="n">
        <v>63</v>
      </c>
      <c r="L333" s="0" t="n">
        <v>189</v>
      </c>
      <c r="M333" s="0" t="n">
        <v>339.73</v>
      </c>
      <c r="N333" s="0" t="n">
        <v>50.66</v>
      </c>
      <c r="O333" s="0" t="n">
        <v>23.48</v>
      </c>
      <c r="P333" s="0" t="n">
        <v>4.59</v>
      </c>
      <c r="Q333" s="0" t="n">
        <v>3.89</v>
      </c>
      <c r="R333" s="0" t="n">
        <v>4320</v>
      </c>
      <c r="S333" s="0" t="n">
        <v>9241</v>
      </c>
      <c r="T333" s="0" t="n">
        <v>48.8</v>
      </c>
      <c r="U333" s="0" t="n">
        <v>1647</v>
      </c>
      <c r="V333" s="0" t="n">
        <v>1</v>
      </c>
      <c r="W333" s="39" t="n">
        <f aca="false">IF(I333="Male",0,1)</f>
        <v>1</v>
      </c>
      <c r="X333" s="39" t="n">
        <f aca="false">IF(OR(I333="DNB",I333="Dry DNB"),1,0)</f>
        <v>0</v>
      </c>
      <c r="Y333" s="39" t="n">
        <f aca="false">MATCH(A333,DATAS,0)</f>
        <v>1</v>
      </c>
      <c r="Z333" s="39" t="n">
        <f aca="false">IF(AND(E333&gt;0,OR(AND(B333&gt;=1,B333&lt;=6),B333=10)),1,0)</f>
        <v>1</v>
      </c>
      <c r="AA333" s="39" t="n">
        <f aca="false">IF(AND(E333&gt;0,B333=10),1,0)</f>
        <v>0</v>
      </c>
      <c r="AB333" s="0" t="str">
        <f aca="false">IF(AND(C332=C333,Y332=Y333-1),Z332,"")</f>
        <v/>
      </c>
      <c r="AC333" s="0" t="str">
        <f aca="false">IF(AND(C332=C333,Y332=Y333-1),AA332,"")</f>
        <v/>
      </c>
      <c r="AD333" s="0" t="str">
        <f aca="false">IF(Y333=1,"",IF(AND(Z333=1,AB333&lt;&gt;1),1,0))</f>
        <v/>
      </c>
      <c r="AE333" s="0" t="str">
        <f aca="false">IF(Y333=1,"",IF(AND(AA333=1,AC333&lt;&gt;1),1,0))</f>
        <v/>
      </c>
      <c r="AF333" s="45" t="str">
        <f aca="false">IF(AND(E333&gt;0,Y333&lt;1,NOT(AND(C334=C333,Y334=Y333+1))),INDEX(DATAS,Y333+1),"")</f>
        <v/>
      </c>
      <c r="AG333" s="45" t="str">
        <f aca="false">IF(AND(AA333=1,Y333&lt;1),IF(AND(C334=C333,Y334=Y333+1),IF(AA334=1,"",INDEX(DATAS,Y333+1)),INDEX(DATAS,Y333+1)),"")</f>
        <v/>
      </c>
    </row>
    <row r="334" customFormat="false" ht="15" hidden="false" customHeight="false" outlineLevel="0" collapsed="false">
      <c r="A334" s="45" t="n">
        <v>46309</v>
      </c>
      <c r="B334" s="0" t="n">
        <v>5</v>
      </c>
      <c r="C334" s="0" t="n">
        <v>3957</v>
      </c>
      <c r="D334" s="0" t="n">
        <v>231</v>
      </c>
      <c r="E334" s="0" t="n">
        <v>3</v>
      </c>
      <c r="F334" s="39" t="s">
        <v>378</v>
      </c>
      <c r="G334" s="0" t="n">
        <v>37.3</v>
      </c>
      <c r="H334" s="0" t="n">
        <v>41</v>
      </c>
      <c r="I334" s="39" t="s">
        <v>138</v>
      </c>
      <c r="J334" s="0" t="n">
        <v>231</v>
      </c>
      <c r="K334" s="0" t="n">
        <v>67</v>
      </c>
      <c r="M334" s="0" t="n">
        <v>392.02</v>
      </c>
      <c r="N334" s="0" t="n">
        <v>32.06</v>
      </c>
      <c r="O334" s="0" t="n">
        <v>22.25</v>
      </c>
      <c r="P334" s="0" t="n">
        <v>3.23</v>
      </c>
      <c r="Q334" s="0" t="n">
        <v>3.83</v>
      </c>
      <c r="R334" s="0" t="n">
        <v>5520</v>
      </c>
      <c r="S334" s="0" t="n">
        <v>10033</v>
      </c>
      <c r="T334" s="0" t="n">
        <v>62.2</v>
      </c>
      <c r="U334" s="0" t="n">
        <v>1647</v>
      </c>
      <c r="V334" s="0" t="n">
        <v>5</v>
      </c>
      <c r="W334" s="39" t="n">
        <f aca="false">IF(I334="Male",0,1)</f>
        <v>1</v>
      </c>
      <c r="X334" s="39" t="n">
        <f aca="false">IF(OR(I334="DNB",I334="Dry DNB"),1,0)</f>
        <v>0</v>
      </c>
      <c r="Y334" s="39" t="n">
        <f aca="false">MATCH(A334,DATAS,0)</f>
        <v>1</v>
      </c>
      <c r="Z334" s="39" t="n">
        <f aca="false">IF(AND(E334&gt;0,OR(AND(B334&gt;=1,B334&lt;=6),B334=10)),1,0)</f>
        <v>1</v>
      </c>
      <c r="AA334" s="39" t="n">
        <f aca="false">IF(AND(E334&gt;0,B334=10),1,0)</f>
        <v>0</v>
      </c>
      <c r="AB334" s="0" t="str">
        <f aca="false">IF(AND(C333=C334,Y333=Y334-1),Z333,"")</f>
        <v/>
      </c>
      <c r="AC334" s="0" t="str">
        <f aca="false">IF(AND(C333=C334,Y333=Y334-1),AA333,"")</f>
        <v/>
      </c>
      <c r="AD334" s="0" t="str">
        <f aca="false">IF(Y334=1,"",IF(AND(Z334=1,AB334&lt;&gt;1),1,0))</f>
        <v/>
      </c>
      <c r="AE334" s="0" t="str">
        <f aca="false">IF(Y334=1,"",IF(AND(AA334=1,AC334&lt;&gt;1),1,0))</f>
        <v/>
      </c>
      <c r="AF334" s="45" t="str">
        <f aca="false">IF(AND(E334&gt;0,Y334&lt;1,NOT(AND(C335=C334,Y335=Y334+1))),INDEX(DATAS,Y334+1),"")</f>
        <v/>
      </c>
      <c r="AG334" s="45" t="str">
        <f aca="false">IF(AND(AA334=1,Y334&lt;1),IF(AND(C335=C334,Y335=Y334+1),IF(AA335=1,"",INDEX(DATAS,Y334+1)),INDEX(DATAS,Y334+1)),"")</f>
        <v/>
      </c>
    </row>
    <row r="335" customFormat="false" ht="15" hidden="false" customHeight="false" outlineLevel="0" collapsed="false">
      <c r="A335" s="45" t="n">
        <v>46309</v>
      </c>
      <c r="B335" s="0" t="n">
        <v>3</v>
      </c>
      <c r="C335" s="0" t="n">
        <v>3958</v>
      </c>
      <c r="D335" s="0" t="n">
        <v>6</v>
      </c>
      <c r="E335" s="0" t="n">
        <v>3</v>
      </c>
      <c r="F335" s="39" t="s">
        <v>378</v>
      </c>
      <c r="G335" s="0" t="n">
        <v>36.3</v>
      </c>
      <c r="H335" s="0" t="n">
        <v>25</v>
      </c>
      <c r="I335" s="39" t="s">
        <v>118</v>
      </c>
      <c r="J335" s="0" t="n">
        <v>6</v>
      </c>
      <c r="M335" s="0" t="n">
        <v>1113.11</v>
      </c>
      <c r="N335" s="0" t="n">
        <v>42.5</v>
      </c>
      <c r="O335" s="0" t="n">
        <v>33.01</v>
      </c>
      <c r="R335" s="0" t="n">
        <v>1997</v>
      </c>
      <c r="S335" s="0" t="n">
        <v>4015</v>
      </c>
      <c r="U335" s="0" t="n">
        <v>1647</v>
      </c>
      <c r="V335" s="0" t="n">
        <v>0</v>
      </c>
      <c r="W335" s="39" t="n">
        <f aca="false">IF(I335="Male",0,1)</f>
        <v>1</v>
      </c>
      <c r="X335" s="39" t="n">
        <f aca="false">IF(OR(I335="DNB",I335="Dry DNB"),1,0)</f>
        <v>0</v>
      </c>
      <c r="Y335" s="39" t="n">
        <f aca="false">MATCH(A335,DATAS,0)</f>
        <v>1</v>
      </c>
      <c r="Z335" s="39" t="n">
        <f aca="false">IF(AND(E335&gt;0,OR(AND(B335&gt;=1,B335&lt;=6),B335=10)),1,0)</f>
        <v>1</v>
      </c>
      <c r="AA335" s="39" t="n">
        <f aca="false">IF(AND(E335&gt;0,B335=10),1,0)</f>
        <v>0</v>
      </c>
      <c r="AB335" s="0" t="str">
        <f aca="false">IF(AND(C334=C335,Y334=Y335-1),Z334,"")</f>
        <v/>
      </c>
      <c r="AC335" s="0" t="str">
        <f aca="false">IF(AND(C334=C335,Y334=Y335-1),AA334,"")</f>
        <v/>
      </c>
      <c r="AD335" s="0" t="str">
        <f aca="false">IF(Y335=1,"",IF(AND(Z335=1,AB335&lt;&gt;1),1,0))</f>
        <v/>
      </c>
      <c r="AE335" s="0" t="str">
        <f aca="false">IF(Y335=1,"",IF(AND(AA335=1,AC335&lt;&gt;1),1,0))</f>
        <v/>
      </c>
      <c r="AF335" s="45" t="str">
        <f aca="false">IF(AND(E335&gt;0,Y335&lt;1,NOT(AND(C336=C335,Y336=Y335+1))),INDEX(DATAS,Y335+1),"")</f>
        <v/>
      </c>
      <c r="AG335" s="45" t="str">
        <f aca="false">IF(AND(AA335=1,Y335&lt;1),IF(AND(C336=C335,Y336=Y335+1),IF(AA336=1,"",INDEX(DATAS,Y335+1)),INDEX(DATAS,Y335+1)),"")</f>
        <v/>
      </c>
    </row>
    <row r="336" customFormat="false" ht="15" hidden="false" customHeight="false" outlineLevel="0" collapsed="false">
      <c r="A336" s="45" t="n">
        <v>46309</v>
      </c>
      <c r="B336" s="0" t="n">
        <v>7</v>
      </c>
      <c r="C336" s="0" t="n">
        <v>3960</v>
      </c>
      <c r="D336" s="0" t="n">
        <v>59</v>
      </c>
      <c r="E336" s="0" t="n">
        <v>3</v>
      </c>
      <c r="F336" s="39" t="s">
        <v>379</v>
      </c>
      <c r="I336" s="39" t="s">
        <v>114</v>
      </c>
      <c r="J336" s="0" t="n">
        <v>95</v>
      </c>
      <c r="K336" s="0" t="n">
        <v>74</v>
      </c>
      <c r="L336" s="0" t="n">
        <v>98</v>
      </c>
      <c r="M336" s="0" t="n">
        <v>312.08</v>
      </c>
      <c r="N336" s="0" t="n">
        <v>67.62</v>
      </c>
      <c r="O336" s="0" t="n">
        <v>21.53</v>
      </c>
      <c r="P336" s="0" t="n">
        <v>4.4</v>
      </c>
      <c r="Q336" s="0" t="n">
        <v>3.56</v>
      </c>
      <c r="R336" s="0" t="n">
        <v>851</v>
      </c>
      <c r="S336" s="0" t="n">
        <v>1710</v>
      </c>
      <c r="U336" s="0" t="n">
        <v>1646</v>
      </c>
      <c r="V336" s="0" t="n">
        <v>2</v>
      </c>
      <c r="W336" s="39" t="n">
        <f aca="false">IF(I336="Male",0,1)</f>
        <v>1</v>
      </c>
      <c r="X336" s="39" t="n">
        <f aca="false">IF(OR(I336="DNB",I336="Dry DNB"),1,0)</f>
        <v>0</v>
      </c>
      <c r="Y336" s="39" t="n">
        <f aca="false">MATCH(A336,DATAS,0)</f>
        <v>1</v>
      </c>
      <c r="Z336" s="39" t="n">
        <f aca="false">IF(AND(E336&gt;0,OR(AND(B336&gt;=1,B336&lt;=6),B336=10)),1,0)</f>
        <v>0</v>
      </c>
      <c r="AA336" s="39" t="n">
        <f aca="false">IF(AND(E336&gt;0,B336=10),1,0)</f>
        <v>0</v>
      </c>
      <c r="AB336" s="0" t="str">
        <f aca="false">IF(AND(C335=C336,Y335=Y336-1),Z335,"")</f>
        <v/>
      </c>
      <c r="AC336" s="0" t="str">
        <f aca="false">IF(AND(C335=C336,Y335=Y336-1),AA335,"")</f>
        <v/>
      </c>
      <c r="AD336" s="0" t="str">
        <f aca="false">IF(Y336=1,"",IF(AND(Z336=1,AB336&lt;&gt;1),1,0))</f>
        <v/>
      </c>
      <c r="AE336" s="0" t="str">
        <f aca="false">IF(Y336=1,"",IF(AND(AA336=1,AC336&lt;&gt;1),1,0))</f>
        <v/>
      </c>
      <c r="AF336" s="45" t="str">
        <f aca="false">IF(AND(E336&gt;0,Y336&lt;1,NOT(AND(C337=C336,Y337=Y336+1))),INDEX(DATAS,Y336+1),"")</f>
        <v/>
      </c>
      <c r="AG336" s="45" t="str">
        <f aca="false">IF(AND(AA336=1,Y336&lt;1),IF(AND(C337=C336,Y337=Y336+1),IF(AA337=1,"",INDEX(DATAS,Y336+1)),INDEX(DATAS,Y336+1)),"")</f>
        <v/>
      </c>
    </row>
    <row r="337" customFormat="false" ht="15" hidden="false" customHeight="false" outlineLevel="0" collapsed="false">
      <c r="A337" s="45" t="n">
        <v>46309</v>
      </c>
      <c r="B337" s="0" t="n">
        <v>2</v>
      </c>
      <c r="C337" s="0" t="n">
        <v>3961</v>
      </c>
      <c r="D337" s="0" t="n">
        <v>183</v>
      </c>
      <c r="E337" s="0" t="n">
        <v>3</v>
      </c>
      <c r="F337" s="39" t="s">
        <v>380</v>
      </c>
      <c r="G337" s="0" t="n">
        <v>53</v>
      </c>
      <c r="H337" s="0" t="n">
        <v>51</v>
      </c>
      <c r="I337" s="39" t="s">
        <v>109</v>
      </c>
      <c r="J337" s="0" t="n">
        <v>65</v>
      </c>
      <c r="K337" s="0" t="n">
        <v>72</v>
      </c>
      <c r="L337" s="0" t="n">
        <v>118</v>
      </c>
      <c r="M337" s="0" t="n">
        <v>798.84</v>
      </c>
      <c r="N337" s="0" t="n">
        <v>61.76</v>
      </c>
      <c r="O337" s="0" t="n">
        <v>25.93</v>
      </c>
      <c r="P337" s="0" t="n">
        <v>4.31</v>
      </c>
      <c r="Q337" s="0" t="n">
        <v>3.25</v>
      </c>
      <c r="R337" s="0" t="n">
        <v>4237</v>
      </c>
      <c r="S337" s="0" t="n">
        <v>9771</v>
      </c>
      <c r="T337" s="0" t="n">
        <v>46.2</v>
      </c>
      <c r="U337" s="0" t="n">
        <v>1644</v>
      </c>
      <c r="V337" s="0" t="n">
        <v>1</v>
      </c>
      <c r="W337" s="39" t="n">
        <f aca="false">IF(I337="Male",0,1)</f>
        <v>1</v>
      </c>
      <c r="X337" s="39" t="n">
        <f aca="false">IF(OR(I337="DNB",I337="Dry DNB"),1,0)</f>
        <v>0</v>
      </c>
      <c r="Y337" s="39" t="n">
        <f aca="false">MATCH(A337,DATAS,0)</f>
        <v>1</v>
      </c>
      <c r="Z337" s="39" t="n">
        <f aca="false">IF(AND(E337&gt;0,OR(AND(B337&gt;=1,B337&lt;=6),B337=10)),1,0)</f>
        <v>1</v>
      </c>
      <c r="AA337" s="39" t="n">
        <f aca="false">IF(AND(E337&gt;0,B337=10),1,0)</f>
        <v>0</v>
      </c>
      <c r="AB337" s="0" t="str">
        <f aca="false">IF(AND(C336=C337,Y336=Y337-1),Z336,"")</f>
        <v/>
      </c>
      <c r="AC337" s="0" t="str">
        <f aca="false">IF(AND(C336=C337,Y336=Y337-1),AA336,"")</f>
        <v/>
      </c>
      <c r="AD337" s="0" t="str">
        <f aca="false">IF(Y337=1,"",IF(AND(Z337=1,AB337&lt;&gt;1),1,0))</f>
        <v/>
      </c>
      <c r="AE337" s="0" t="str">
        <f aca="false">IF(Y337=1,"",IF(AND(AA337=1,AC337&lt;&gt;1),1,0))</f>
        <v/>
      </c>
      <c r="AF337" s="45" t="str">
        <f aca="false">IF(AND(E337&gt;0,Y337&lt;1,NOT(AND(C338=C337,Y338=Y337+1))),INDEX(DATAS,Y337+1),"")</f>
        <v/>
      </c>
      <c r="AG337" s="45" t="str">
        <f aca="false">IF(AND(AA337=1,Y337&lt;1),IF(AND(C338=C337,Y338=Y337+1),IF(AA338=1,"",INDEX(DATAS,Y337+1)),INDEX(DATAS,Y337+1)),"")</f>
        <v/>
      </c>
    </row>
    <row r="338" customFormat="false" ht="15" hidden="false" customHeight="false" outlineLevel="0" collapsed="false">
      <c r="A338" s="45" t="n">
        <v>46309</v>
      </c>
      <c r="B338" s="0" t="n">
        <v>10</v>
      </c>
      <c r="C338" s="0" t="n">
        <v>3967</v>
      </c>
      <c r="D338" s="0" t="n">
        <v>285</v>
      </c>
      <c r="E338" s="0" t="n">
        <v>3</v>
      </c>
      <c r="F338" s="39" t="s">
        <v>381</v>
      </c>
      <c r="G338" s="0" t="n">
        <v>17.6</v>
      </c>
      <c r="H338" s="0" t="n">
        <v>15</v>
      </c>
      <c r="I338" s="39" t="s">
        <v>109</v>
      </c>
      <c r="J338" s="0" t="n">
        <v>111</v>
      </c>
      <c r="K338" s="0" t="n">
        <v>67</v>
      </c>
      <c r="L338" s="0" t="n">
        <v>174</v>
      </c>
      <c r="M338" s="0" t="n">
        <v>206.89</v>
      </c>
      <c r="N338" s="0" t="n">
        <v>72.22</v>
      </c>
      <c r="O338" s="0" t="n">
        <v>18.03</v>
      </c>
      <c r="P338" s="0" t="n">
        <v>5.28</v>
      </c>
      <c r="Q338" s="0" t="n">
        <v>3.83</v>
      </c>
      <c r="R338" s="0" t="n">
        <v>2219</v>
      </c>
      <c r="S338" s="0" t="n">
        <v>5091</v>
      </c>
      <c r="T338" s="0" t="n">
        <v>23.7</v>
      </c>
      <c r="U338" s="0" t="n">
        <v>1643</v>
      </c>
      <c r="V338" s="0" t="n">
        <v>3</v>
      </c>
      <c r="W338" s="39" t="n">
        <f aca="false">IF(I338="Male",0,1)</f>
        <v>1</v>
      </c>
      <c r="X338" s="39" t="n">
        <f aca="false">IF(OR(I338="DNB",I338="Dry DNB"),1,0)</f>
        <v>0</v>
      </c>
      <c r="Y338" s="39" t="n">
        <f aca="false">MATCH(A338,DATAS,0)</f>
        <v>1</v>
      </c>
      <c r="Z338" s="39" t="n">
        <f aca="false">IF(AND(E338&gt;0,OR(AND(B338&gt;=1,B338&lt;=6),B338=10)),1,0)</f>
        <v>1</v>
      </c>
      <c r="AA338" s="39" t="n">
        <f aca="false">IF(AND(E338&gt;0,B338=10),1,0)</f>
        <v>1</v>
      </c>
      <c r="AB338" s="0" t="str">
        <f aca="false">IF(AND(C337=C338,Y337=Y338-1),Z337,"")</f>
        <v/>
      </c>
      <c r="AC338" s="0" t="str">
        <f aca="false">IF(AND(C337=C338,Y337=Y338-1),AA337,"")</f>
        <v/>
      </c>
      <c r="AD338" s="0" t="str">
        <f aca="false">IF(Y338=1,"",IF(AND(Z338=1,AB338&lt;&gt;1),1,0))</f>
        <v/>
      </c>
      <c r="AE338" s="0" t="str">
        <f aca="false">IF(Y338=1,"",IF(AND(AA338=1,AC338&lt;&gt;1),1,0))</f>
        <v/>
      </c>
      <c r="AF338" s="45" t="str">
        <f aca="false">IF(AND(E338&gt;0,Y338&lt;1,NOT(AND(C339=C338,Y339=Y338+1))),INDEX(DATAS,Y338+1),"")</f>
        <v/>
      </c>
      <c r="AG338" s="45" t="str">
        <f aca="false">IF(AND(AA338=1,Y338&lt;1),IF(AND(C339=C338,Y339=Y338+1),IF(AA339=1,"",INDEX(DATAS,Y338+1)),INDEX(DATAS,Y338+1)),"")</f>
        <v/>
      </c>
    </row>
    <row r="339" customFormat="false" ht="15" hidden="false" customHeight="false" outlineLevel="0" collapsed="false">
      <c r="A339" s="45" t="n">
        <v>46309</v>
      </c>
      <c r="B339" s="0" t="n">
        <v>5</v>
      </c>
      <c r="C339" s="0" t="n">
        <v>3970</v>
      </c>
      <c r="D339" s="0" t="n">
        <v>135</v>
      </c>
      <c r="E339" s="0" t="n">
        <v>3</v>
      </c>
      <c r="F339" s="39" t="s">
        <v>382</v>
      </c>
      <c r="G339" s="0" t="n">
        <v>42.1</v>
      </c>
      <c r="H339" s="0" t="n">
        <v>37</v>
      </c>
      <c r="I339" s="39" t="s">
        <v>109</v>
      </c>
      <c r="J339" s="0" t="n">
        <v>65</v>
      </c>
      <c r="K339" s="0" t="n">
        <v>65</v>
      </c>
      <c r="L339" s="0" t="n">
        <v>70</v>
      </c>
      <c r="M339" s="0" t="n">
        <v>1065.05</v>
      </c>
      <c r="N339" s="0" t="n">
        <v>62.38</v>
      </c>
      <c r="O339" s="0" t="n">
        <v>39.88</v>
      </c>
      <c r="P339" s="0" t="n">
        <v>5.25</v>
      </c>
      <c r="Q339" s="0" t="n">
        <v>4.04</v>
      </c>
      <c r="R339" s="0" t="n">
        <v>4347</v>
      </c>
      <c r="S339" s="0" t="n">
        <v>8450</v>
      </c>
      <c r="T339" s="0" t="n">
        <v>41.7</v>
      </c>
      <c r="U339" s="0" t="n">
        <v>1641</v>
      </c>
      <c r="V339" s="0" t="n">
        <v>1</v>
      </c>
      <c r="W339" s="39" t="n">
        <f aca="false">IF(I339="Male",0,1)</f>
        <v>1</v>
      </c>
      <c r="X339" s="39" t="n">
        <f aca="false">IF(OR(I339="DNB",I339="Dry DNB"),1,0)</f>
        <v>0</v>
      </c>
      <c r="Y339" s="39" t="n">
        <f aca="false">MATCH(A339,DATAS,0)</f>
        <v>1</v>
      </c>
      <c r="Z339" s="39" t="n">
        <f aca="false">IF(AND(E339&gt;0,OR(AND(B339&gt;=1,B339&lt;=6),B339=10)),1,0)</f>
        <v>1</v>
      </c>
      <c r="AA339" s="39" t="n">
        <f aca="false">IF(AND(E339&gt;0,B339=10),1,0)</f>
        <v>0</v>
      </c>
      <c r="AB339" s="0" t="str">
        <f aca="false">IF(AND(C338=C339,Y338=Y339-1),Z338,"")</f>
        <v/>
      </c>
      <c r="AC339" s="0" t="str">
        <f aca="false">IF(AND(C338=C339,Y338=Y339-1),AA338,"")</f>
        <v/>
      </c>
      <c r="AD339" s="0" t="str">
        <f aca="false">IF(Y339=1,"",IF(AND(Z339=1,AB339&lt;&gt;1),1,0))</f>
        <v/>
      </c>
      <c r="AE339" s="0" t="str">
        <f aca="false">IF(Y339=1,"",IF(AND(AA339=1,AC339&lt;&gt;1),1,0))</f>
        <v/>
      </c>
      <c r="AF339" s="45" t="str">
        <f aca="false">IF(AND(E339&gt;0,Y339&lt;1,NOT(AND(C340=C339,Y340=Y339+1))),INDEX(DATAS,Y339+1),"")</f>
        <v/>
      </c>
      <c r="AG339" s="45" t="str">
        <f aca="false">IF(AND(AA339=1,Y339&lt;1),IF(AND(C340=C339,Y340=Y339+1),IF(AA340=1,"",INDEX(DATAS,Y339+1)),INDEX(DATAS,Y339+1)),"")</f>
        <v/>
      </c>
    </row>
    <row r="340" customFormat="false" ht="15" hidden="false" customHeight="false" outlineLevel="0" collapsed="false">
      <c r="A340" s="45" t="n">
        <v>46309</v>
      </c>
      <c r="B340" s="0" t="n">
        <v>3</v>
      </c>
      <c r="C340" s="0" t="n">
        <v>3974</v>
      </c>
      <c r="D340" s="0" t="n">
        <v>219</v>
      </c>
      <c r="E340" s="0" t="n">
        <v>3</v>
      </c>
      <c r="F340" s="39" t="s">
        <v>383</v>
      </c>
      <c r="I340" s="39" t="s">
        <v>109</v>
      </c>
      <c r="J340" s="0" t="n">
        <v>135</v>
      </c>
      <c r="K340" s="0" t="n">
        <v>65</v>
      </c>
      <c r="L340" s="0" t="n">
        <v>84</v>
      </c>
      <c r="M340" s="0" t="n">
        <v>690.94</v>
      </c>
      <c r="N340" s="0" t="n">
        <v>43.19</v>
      </c>
      <c r="O340" s="0" t="n">
        <v>30.11</v>
      </c>
      <c r="P340" s="0" t="n">
        <v>4.09</v>
      </c>
      <c r="Q340" s="0" t="n">
        <v>3.63</v>
      </c>
      <c r="R340" s="0" t="n">
        <v>4623</v>
      </c>
      <c r="S340" s="0" t="n">
        <v>10038</v>
      </c>
      <c r="T340" s="0" t="n">
        <v>53.9</v>
      </c>
      <c r="U340" s="0" t="n">
        <v>1638</v>
      </c>
      <c r="V340" s="0" t="n">
        <v>3</v>
      </c>
      <c r="W340" s="39" t="n">
        <f aca="false">IF(I340="Male",0,1)</f>
        <v>1</v>
      </c>
      <c r="X340" s="39" t="n">
        <f aca="false">IF(OR(I340="DNB",I340="Dry DNB"),1,0)</f>
        <v>0</v>
      </c>
      <c r="Y340" s="39" t="n">
        <f aca="false">MATCH(A340,DATAS,0)</f>
        <v>1</v>
      </c>
      <c r="Z340" s="39" t="n">
        <f aca="false">IF(AND(E340&gt;0,OR(AND(B340&gt;=1,B340&lt;=6),B340=10)),1,0)</f>
        <v>1</v>
      </c>
      <c r="AA340" s="39" t="n">
        <f aca="false">IF(AND(E340&gt;0,B340=10),1,0)</f>
        <v>0</v>
      </c>
      <c r="AB340" s="0" t="str">
        <f aca="false">IF(AND(C339=C340,Y339=Y340-1),Z339,"")</f>
        <v/>
      </c>
      <c r="AC340" s="0" t="str">
        <f aca="false">IF(AND(C339=C340,Y339=Y340-1),AA339,"")</f>
        <v/>
      </c>
      <c r="AD340" s="0" t="str">
        <f aca="false">IF(Y340=1,"",IF(AND(Z340=1,AB340&lt;&gt;1),1,0))</f>
        <v/>
      </c>
      <c r="AE340" s="0" t="str">
        <f aca="false">IF(Y340=1,"",IF(AND(AA340=1,AC340&lt;&gt;1),1,0))</f>
        <v/>
      </c>
      <c r="AF340" s="45" t="str">
        <f aca="false">IF(AND(E340&gt;0,Y340&lt;1,NOT(AND(C341=C340,Y341=Y340+1))),INDEX(DATAS,Y340+1),"")</f>
        <v/>
      </c>
      <c r="AG340" s="45" t="str">
        <f aca="false">IF(AND(AA340=1,Y340&lt;1),IF(AND(C341=C340,Y341=Y340+1),IF(AA341=1,"",INDEX(DATAS,Y340+1)),INDEX(DATAS,Y340+1)),"")</f>
        <v/>
      </c>
    </row>
    <row r="341" customFormat="false" ht="15" hidden="false" customHeight="false" outlineLevel="0" collapsed="false">
      <c r="A341" s="45" t="n">
        <v>46309</v>
      </c>
      <c r="B341" s="0" t="n">
        <v>5</v>
      </c>
      <c r="C341" s="0" t="n">
        <v>3979</v>
      </c>
      <c r="D341" s="0" t="n">
        <v>281</v>
      </c>
      <c r="E341" s="0" t="n">
        <v>3</v>
      </c>
      <c r="F341" s="39" t="s">
        <v>384</v>
      </c>
      <c r="G341" s="0" t="n">
        <v>31.1</v>
      </c>
      <c r="H341" s="0" t="n">
        <v>32</v>
      </c>
      <c r="I341" s="39" t="s">
        <v>109</v>
      </c>
      <c r="J341" s="0" t="n">
        <v>99</v>
      </c>
      <c r="K341" s="0" t="n">
        <v>71</v>
      </c>
      <c r="L341" s="0" t="n">
        <v>182</v>
      </c>
      <c r="M341" s="0" t="n">
        <v>480.34</v>
      </c>
      <c r="N341" s="0" t="n">
        <v>53.41</v>
      </c>
      <c r="O341" s="0" t="n">
        <v>19.38</v>
      </c>
      <c r="P341" s="0" t="n">
        <v>2.98</v>
      </c>
      <c r="Q341" s="0" t="n">
        <v>3.5</v>
      </c>
      <c r="R341" s="0" t="n">
        <v>4905</v>
      </c>
      <c r="S341" s="0" t="n">
        <v>10306</v>
      </c>
      <c r="T341" s="0" t="n">
        <v>50</v>
      </c>
      <c r="U341" s="0" t="n">
        <v>1634</v>
      </c>
      <c r="V341" s="0" t="n">
        <v>2</v>
      </c>
      <c r="W341" s="39" t="n">
        <f aca="false">IF(I341="Male",0,1)</f>
        <v>1</v>
      </c>
      <c r="X341" s="39" t="n">
        <f aca="false">IF(OR(I341="DNB",I341="Dry DNB"),1,0)</f>
        <v>0</v>
      </c>
      <c r="Y341" s="39" t="n">
        <f aca="false">MATCH(A341,DATAS,0)</f>
        <v>1</v>
      </c>
      <c r="Z341" s="39" t="n">
        <f aca="false">IF(AND(E341&gt;0,OR(AND(B341&gt;=1,B341&lt;=6),B341=10)),1,0)</f>
        <v>1</v>
      </c>
      <c r="AA341" s="39" t="n">
        <f aca="false">IF(AND(E341&gt;0,B341=10),1,0)</f>
        <v>0</v>
      </c>
      <c r="AB341" s="0" t="str">
        <f aca="false">IF(AND(C340=C341,Y340=Y341-1),Z340,"")</f>
        <v/>
      </c>
      <c r="AC341" s="0" t="str">
        <f aca="false">IF(AND(C340=C341,Y340=Y341-1),AA340,"")</f>
        <v/>
      </c>
      <c r="AD341" s="0" t="str">
        <f aca="false">IF(Y341=1,"",IF(AND(Z341=1,AB341&lt;&gt;1),1,0))</f>
        <v/>
      </c>
      <c r="AE341" s="0" t="str">
        <f aca="false">IF(Y341=1,"",IF(AND(AA341=1,AC341&lt;&gt;1),1,0))</f>
        <v/>
      </c>
      <c r="AF341" s="45" t="str">
        <f aca="false">IF(AND(E341&gt;0,Y341&lt;1,NOT(AND(C342=C341,Y342=Y341+1))),INDEX(DATAS,Y341+1),"")</f>
        <v/>
      </c>
      <c r="AG341" s="45" t="str">
        <f aca="false">IF(AND(AA341=1,Y341&lt;1),IF(AND(C342=C341,Y342=Y341+1),IF(AA342=1,"",INDEX(DATAS,Y341+1)),INDEX(DATAS,Y341+1)),"")</f>
        <v/>
      </c>
    </row>
    <row r="342" customFormat="false" ht="15" hidden="false" customHeight="false" outlineLevel="0" collapsed="false">
      <c r="A342" s="45" t="n">
        <v>46309</v>
      </c>
      <c r="B342" s="0" t="n">
        <v>3</v>
      </c>
      <c r="C342" s="0" t="n">
        <v>3983</v>
      </c>
      <c r="D342" s="0" t="n">
        <v>52</v>
      </c>
      <c r="E342" s="0" t="n">
        <v>3</v>
      </c>
      <c r="F342" s="39" t="s">
        <v>385</v>
      </c>
      <c r="G342" s="0" t="n">
        <v>75.9</v>
      </c>
      <c r="H342" s="0" t="n">
        <v>77</v>
      </c>
      <c r="I342" s="39" t="s">
        <v>118</v>
      </c>
      <c r="J342" s="0" t="n">
        <v>52</v>
      </c>
      <c r="M342" s="0" t="n">
        <v>1358.08</v>
      </c>
      <c r="N342" s="0" t="n">
        <v>33.85</v>
      </c>
      <c r="O342" s="0" t="n">
        <v>36.83</v>
      </c>
      <c r="P342" s="0" t="n">
        <v>3.29</v>
      </c>
      <c r="Q342" s="0" t="n">
        <v>3.11</v>
      </c>
      <c r="R342" s="0" t="n">
        <v>6381</v>
      </c>
      <c r="S342" s="0" t="n">
        <v>12826</v>
      </c>
      <c r="U342" s="0" t="n">
        <v>1630</v>
      </c>
      <c r="V342" s="0" t="n">
        <v>0</v>
      </c>
      <c r="W342" s="39" t="n">
        <f aca="false">IF(I342="Male",0,1)</f>
        <v>1</v>
      </c>
      <c r="X342" s="39" t="n">
        <f aca="false">IF(OR(I342="DNB",I342="Dry DNB"),1,0)</f>
        <v>0</v>
      </c>
      <c r="Y342" s="39" t="n">
        <f aca="false">MATCH(A342,DATAS,0)</f>
        <v>1</v>
      </c>
      <c r="Z342" s="39" t="n">
        <f aca="false">IF(AND(E342&gt;0,OR(AND(B342&gt;=1,B342&lt;=6),B342=10)),1,0)</f>
        <v>1</v>
      </c>
      <c r="AA342" s="39" t="n">
        <f aca="false">IF(AND(E342&gt;0,B342=10),1,0)</f>
        <v>0</v>
      </c>
      <c r="AB342" s="0" t="str">
        <f aca="false">IF(AND(C341=C342,Y341=Y342-1),Z341,"")</f>
        <v/>
      </c>
      <c r="AC342" s="0" t="str">
        <f aca="false">IF(AND(C341=C342,Y341=Y342-1),AA341,"")</f>
        <v/>
      </c>
      <c r="AD342" s="0" t="str">
        <f aca="false">IF(Y342=1,"",IF(AND(Z342=1,AB342&lt;&gt;1),1,0))</f>
        <v/>
      </c>
      <c r="AE342" s="0" t="str">
        <f aca="false">IF(Y342=1,"",IF(AND(AA342=1,AC342&lt;&gt;1),1,0))</f>
        <v/>
      </c>
      <c r="AF342" s="45" t="str">
        <f aca="false">IF(AND(E342&gt;0,Y342&lt;1,NOT(AND(C343=C342,Y343=Y342+1))),INDEX(DATAS,Y342+1),"")</f>
        <v/>
      </c>
      <c r="AG342" s="45" t="str">
        <f aca="false">IF(AND(AA342=1,Y342&lt;1),IF(AND(C343=C342,Y343=Y342+1),IF(AA343=1,"",INDEX(DATAS,Y342+1)),INDEX(DATAS,Y342+1)),"")</f>
        <v/>
      </c>
    </row>
    <row r="343" customFormat="false" ht="15" hidden="false" customHeight="false" outlineLevel="0" collapsed="false">
      <c r="A343" s="45" t="n">
        <v>46309</v>
      </c>
      <c r="B343" s="0" t="n">
        <v>7</v>
      </c>
      <c r="C343" s="0" t="n">
        <v>3985</v>
      </c>
      <c r="D343" s="0" t="n">
        <v>395</v>
      </c>
      <c r="E343" s="0" t="n">
        <v>2</v>
      </c>
      <c r="F343" s="39" t="s">
        <v>385</v>
      </c>
      <c r="I343" s="39" t="s">
        <v>114</v>
      </c>
      <c r="J343" s="0" t="n">
        <v>179</v>
      </c>
      <c r="K343" s="0" t="n">
        <v>81</v>
      </c>
      <c r="L343" s="0" t="n">
        <v>245</v>
      </c>
      <c r="M343" s="0" t="n">
        <v>663.11</v>
      </c>
      <c r="N343" s="0" t="n">
        <v>58.98</v>
      </c>
      <c r="O343" s="0" t="n">
        <v>21.91</v>
      </c>
      <c r="P343" s="0" t="n">
        <v>5.89</v>
      </c>
      <c r="Q343" s="0" t="n">
        <v>4.2</v>
      </c>
      <c r="R343" s="0" t="n">
        <v>4061</v>
      </c>
      <c r="S343" s="0" t="n">
        <v>8234</v>
      </c>
      <c r="T343" s="0" t="n">
        <v>46.6</v>
      </c>
      <c r="U343" s="0" t="n">
        <v>1630</v>
      </c>
      <c r="V343" s="0" t="n">
        <v>4</v>
      </c>
      <c r="W343" s="39" t="n">
        <f aca="false">IF(I343="Male",0,1)</f>
        <v>1</v>
      </c>
      <c r="X343" s="39" t="n">
        <f aca="false">IF(OR(I343="DNB",I343="Dry DNB"),1,0)</f>
        <v>0</v>
      </c>
      <c r="Y343" s="39" t="n">
        <f aca="false">MATCH(A343,DATAS,0)</f>
        <v>1</v>
      </c>
      <c r="Z343" s="39" t="n">
        <f aca="false">IF(AND(E343&gt;0,OR(AND(B343&gt;=1,B343&lt;=6),B343=10)),1,0)</f>
        <v>0</v>
      </c>
      <c r="AA343" s="39" t="n">
        <f aca="false">IF(AND(E343&gt;0,B343=10),1,0)</f>
        <v>0</v>
      </c>
      <c r="AB343" s="0" t="str">
        <f aca="false">IF(AND(C342=C343,Y342=Y343-1),Z342,"")</f>
        <v/>
      </c>
      <c r="AC343" s="0" t="str">
        <f aca="false">IF(AND(C342=C343,Y342=Y343-1),AA342,"")</f>
        <v/>
      </c>
      <c r="AD343" s="0" t="str">
        <f aca="false">IF(Y343=1,"",IF(AND(Z343=1,AB343&lt;&gt;1),1,0))</f>
        <v/>
      </c>
      <c r="AE343" s="0" t="str">
        <f aca="false">IF(Y343=1,"",IF(AND(AA343=1,AC343&lt;&gt;1),1,0))</f>
        <v/>
      </c>
      <c r="AF343" s="45" t="str">
        <f aca="false">IF(AND(E343&gt;0,Y343&lt;1,NOT(AND(C344=C343,Y344=Y343+1))),INDEX(DATAS,Y343+1),"")</f>
        <v/>
      </c>
      <c r="AG343" s="45" t="str">
        <f aca="false">IF(AND(AA343=1,Y343&lt;1),IF(AND(C344=C343,Y344=Y343+1),IF(AA344=1,"",INDEX(DATAS,Y343+1)),INDEX(DATAS,Y343+1)),"")</f>
        <v/>
      </c>
    </row>
    <row r="344" customFormat="false" ht="15" hidden="false" customHeight="false" outlineLevel="0" collapsed="false">
      <c r="A344" s="45" t="n">
        <v>46309</v>
      </c>
      <c r="B344" s="0" t="n">
        <v>3</v>
      </c>
      <c r="C344" s="0" t="n">
        <v>3986</v>
      </c>
      <c r="D344" s="0" t="n">
        <v>100</v>
      </c>
      <c r="E344" s="0" t="n">
        <v>3</v>
      </c>
      <c r="F344" s="39" t="s">
        <v>386</v>
      </c>
      <c r="G344" s="0" t="n">
        <v>69.4</v>
      </c>
      <c r="H344" s="0" t="n">
        <v>67</v>
      </c>
      <c r="I344" s="39" t="s">
        <v>109</v>
      </c>
      <c r="J344" s="0" t="n">
        <v>65</v>
      </c>
      <c r="K344" s="0" t="n">
        <v>65</v>
      </c>
      <c r="L344" s="0" t="n">
        <v>35</v>
      </c>
      <c r="M344" s="0" t="n">
        <v>520.46</v>
      </c>
      <c r="N344" s="0" t="n">
        <v>65.09</v>
      </c>
      <c r="O344" s="0" t="n">
        <v>32.11</v>
      </c>
      <c r="P344" s="0" t="n">
        <v>3.19</v>
      </c>
      <c r="Q344" s="0" t="n">
        <v>3.25</v>
      </c>
      <c r="R344" s="0" t="n">
        <v>5621</v>
      </c>
      <c r="S344" s="0" t="n">
        <v>11298</v>
      </c>
      <c r="T344" s="0" t="n">
        <v>62.75</v>
      </c>
      <c r="U344" s="0" t="n">
        <v>1627</v>
      </c>
      <c r="V344" s="0" t="n">
        <v>1</v>
      </c>
      <c r="W344" s="39" t="n">
        <f aca="false">IF(I344="Male",0,1)</f>
        <v>1</v>
      </c>
      <c r="X344" s="39" t="n">
        <f aca="false">IF(OR(I344="DNB",I344="Dry DNB"),1,0)</f>
        <v>0</v>
      </c>
      <c r="Y344" s="39" t="n">
        <f aca="false">MATCH(A344,DATAS,0)</f>
        <v>1</v>
      </c>
      <c r="Z344" s="39" t="n">
        <f aca="false">IF(AND(E344&gt;0,OR(AND(B344&gt;=1,B344&lt;=6),B344=10)),1,0)</f>
        <v>1</v>
      </c>
      <c r="AA344" s="39" t="n">
        <f aca="false">IF(AND(E344&gt;0,B344=10),1,0)</f>
        <v>0</v>
      </c>
      <c r="AB344" s="0" t="str">
        <f aca="false">IF(AND(C343=C344,Y343=Y344-1),Z343,"")</f>
        <v/>
      </c>
      <c r="AC344" s="0" t="str">
        <f aca="false">IF(AND(C343=C344,Y343=Y344-1),AA343,"")</f>
        <v/>
      </c>
      <c r="AD344" s="0" t="str">
        <f aca="false">IF(Y344=1,"",IF(AND(Z344=1,AB344&lt;&gt;1),1,0))</f>
        <v/>
      </c>
      <c r="AE344" s="0" t="str">
        <f aca="false">IF(Y344=1,"",IF(AND(AA344=1,AC344&lt;&gt;1),1,0))</f>
        <v/>
      </c>
      <c r="AF344" s="45" t="str">
        <f aca="false">IF(AND(E344&gt;0,Y344&lt;1,NOT(AND(C345=C344,Y345=Y344+1))),INDEX(DATAS,Y344+1),"")</f>
        <v/>
      </c>
      <c r="AG344" s="45" t="str">
        <f aca="false">IF(AND(AA344=1,Y344&lt;1),IF(AND(C345=C344,Y345=Y344+1),IF(AA345=1,"",INDEX(DATAS,Y344+1)),INDEX(DATAS,Y344+1)),"")</f>
        <v/>
      </c>
    </row>
    <row r="345" customFormat="false" ht="15" hidden="false" customHeight="false" outlineLevel="0" collapsed="false">
      <c r="A345" s="45" t="n">
        <v>46309</v>
      </c>
      <c r="B345" s="0" t="n">
        <v>5</v>
      </c>
      <c r="C345" s="0" t="n">
        <v>3990</v>
      </c>
      <c r="D345" s="0" t="n">
        <v>432</v>
      </c>
      <c r="E345" s="0" t="n">
        <v>2</v>
      </c>
      <c r="F345" s="39" t="s">
        <v>387</v>
      </c>
      <c r="G345" s="0" t="n">
        <v>29.9</v>
      </c>
      <c r="H345" s="0" t="n">
        <v>32</v>
      </c>
      <c r="I345" s="39" t="s">
        <v>146</v>
      </c>
      <c r="J345" s="0" t="n">
        <v>432</v>
      </c>
      <c r="K345" s="0" t="n">
        <v>61</v>
      </c>
      <c r="M345" s="0" t="n">
        <v>646.56</v>
      </c>
      <c r="N345" s="0" t="n">
        <v>51.39</v>
      </c>
      <c r="O345" s="0" t="n">
        <v>37.29</v>
      </c>
      <c r="P345" s="0" t="n">
        <v>5.21</v>
      </c>
      <c r="Q345" s="0" t="n">
        <v>3.71</v>
      </c>
      <c r="R345" s="0" t="n">
        <v>4448</v>
      </c>
      <c r="S345" s="0" t="n">
        <v>9796</v>
      </c>
      <c r="T345" s="0" t="n">
        <v>45</v>
      </c>
      <c r="U345" s="0" t="n">
        <v>1622</v>
      </c>
      <c r="V345" s="0" t="n">
        <v>11</v>
      </c>
      <c r="W345" s="39" t="n">
        <f aca="false">IF(I345="Male",0,1)</f>
        <v>1</v>
      </c>
      <c r="X345" s="39" t="n">
        <f aca="false">IF(OR(I345="DNB",I345="Dry DNB"),1,0)</f>
        <v>0</v>
      </c>
      <c r="Y345" s="39" t="n">
        <f aca="false">MATCH(A345,DATAS,0)</f>
        <v>1</v>
      </c>
      <c r="Z345" s="39" t="n">
        <f aca="false">IF(AND(E345&gt;0,OR(AND(B345&gt;=1,B345&lt;=6),B345=10)),1,0)</f>
        <v>1</v>
      </c>
      <c r="AA345" s="39" t="n">
        <f aca="false">IF(AND(E345&gt;0,B345=10),1,0)</f>
        <v>0</v>
      </c>
      <c r="AB345" s="0" t="str">
        <f aca="false">IF(AND(C344=C345,Y344=Y345-1),Z344,"")</f>
        <v/>
      </c>
      <c r="AC345" s="0" t="str">
        <f aca="false">IF(AND(C344=C345,Y344=Y345-1),AA344,"")</f>
        <v/>
      </c>
      <c r="AD345" s="0" t="str">
        <f aca="false">IF(Y345=1,"",IF(AND(Z345=1,AB345&lt;&gt;1),1,0))</f>
        <v/>
      </c>
      <c r="AE345" s="0" t="str">
        <f aca="false">IF(Y345=1,"",IF(AND(AA345=1,AC345&lt;&gt;1),1,0))</f>
        <v/>
      </c>
      <c r="AF345" s="45" t="str">
        <f aca="false">IF(AND(E345&gt;0,Y345&lt;1,NOT(AND(C346=C345,Y346=Y345+1))),INDEX(DATAS,Y345+1),"")</f>
        <v/>
      </c>
      <c r="AG345" s="45" t="str">
        <f aca="false">IF(AND(AA345=1,Y345&lt;1),IF(AND(C346=C345,Y346=Y345+1),IF(AA346=1,"",INDEX(DATAS,Y345+1)),INDEX(DATAS,Y345+1)),"")</f>
        <v/>
      </c>
    </row>
    <row r="346" customFormat="false" ht="15" hidden="false" customHeight="false" outlineLevel="0" collapsed="false">
      <c r="A346" s="45" t="n">
        <v>46309</v>
      </c>
      <c r="B346" s="0" t="n">
        <v>2</v>
      </c>
      <c r="C346" s="0" t="n">
        <v>3992</v>
      </c>
      <c r="D346" s="0" t="n">
        <v>226</v>
      </c>
      <c r="E346" s="0" t="n">
        <v>2</v>
      </c>
      <c r="F346" s="39" t="s">
        <v>388</v>
      </c>
      <c r="G346" s="0" t="n">
        <v>52.2</v>
      </c>
      <c r="H346" s="0" t="n">
        <v>54</v>
      </c>
      <c r="I346" s="39" t="s">
        <v>109</v>
      </c>
      <c r="J346" s="0" t="n">
        <v>142</v>
      </c>
      <c r="K346" s="0" t="n">
        <v>100</v>
      </c>
      <c r="L346" s="0" t="n">
        <v>84</v>
      </c>
      <c r="M346" s="0" t="n">
        <v>1352.68</v>
      </c>
      <c r="N346" s="0" t="n">
        <v>32.37</v>
      </c>
      <c r="O346" s="0" t="n">
        <v>38.3</v>
      </c>
      <c r="P346" s="0" t="n">
        <v>3.03</v>
      </c>
      <c r="Q346" s="0" t="n">
        <v>3.12</v>
      </c>
      <c r="R346" s="0" t="n">
        <v>6205</v>
      </c>
      <c r="S346" s="0" t="n">
        <v>12915</v>
      </c>
      <c r="T346" s="0" t="n">
        <v>64.95</v>
      </c>
      <c r="U346" s="0" t="n">
        <v>1618</v>
      </c>
      <c r="V346" s="0" t="n">
        <v>2</v>
      </c>
      <c r="W346" s="39" t="n">
        <f aca="false">IF(I346="Male",0,1)</f>
        <v>1</v>
      </c>
      <c r="X346" s="39" t="n">
        <f aca="false">IF(OR(I346="DNB",I346="Dry DNB"),1,0)</f>
        <v>0</v>
      </c>
      <c r="Y346" s="39" t="n">
        <f aca="false">MATCH(A346,DATAS,0)</f>
        <v>1</v>
      </c>
      <c r="Z346" s="39" t="n">
        <f aca="false">IF(AND(E346&gt;0,OR(AND(B346&gt;=1,B346&lt;=6),B346=10)),1,0)</f>
        <v>1</v>
      </c>
      <c r="AA346" s="39" t="n">
        <f aca="false">IF(AND(E346&gt;0,B346=10),1,0)</f>
        <v>0</v>
      </c>
      <c r="AB346" s="0" t="str">
        <f aca="false">IF(AND(C345=C346,Y345=Y346-1),Z345,"")</f>
        <v/>
      </c>
      <c r="AC346" s="0" t="str">
        <f aca="false">IF(AND(C345=C346,Y345=Y346-1),AA345,"")</f>
        <v/>
      </c>
      <c r="AD346" s="0" t="str">
        <f aca="false">IF(Y346=1,"",IF(AND(Z346=1,AB346&lt;&gt;1),1,0))</f>
        <v/>
      </c>
      <c r="AE346" s="0" t="str">
        <f aca="false">IF(Y346=1,"",IF(AND(AA346=1,AC346&lt;&gt;1),1,0))</f>
        <v/>
      </c>
      <c r="AF346" s="45" t="str">
        <f aca="false">IF(AND(E346&gt;0,Y346&lt;1,NOT(AND(C347=C346,Y347=Y346+1))),INDEX(DATAS,Y346+1),"")</f>
        <v/>
      </c>
      <c r="AG346" s="45" t="str">
        <f aca="false">IF(AND(AA346=1,Y346&lt;1),IF(AND(C347=C346,Y347=Y346+1),IF(AA347=1,"",INDEX(DATAS,Y346+1)),INDEX(DATAS,Y346+1)),"")</f>
        <v/>
      </c>
    </row>
    <row r="347" customFormat="false" ht="15" hidden="false" customHeight="false" outlineLevel="0" collapsed="false">
      <c r="A347" s="45" t="n">
        <v>46309</v>
      </c>
      <c r="B347" s="0" t="n">
        <v>5</v>
      </c>
      <c r="C347" s="0" t="n">
        <v>3994</v>
      </c>
      <c r="D347" s="0" t="n">
        <v>458</v>
      </c>
      <c r="E347" s="0" t="n">
        <v>2</v>
      </c>
      <c r="F347" s="39" t="s">
        <v>389</v>
      </c>
      <c r="G347" s="0" t="n">
        <v>26.5</v>
      </c>
      <c r="H347" s="0" t="n">
        <v>32</v>
      </c>
      <c r="I347" s="39" t="s">
        <v>146</v>
      </c>
      <c r="J347" s="0" t="n">
        <v>458</v>
      </c>
      <c r="K347" s="0" t="n">
        <v>59</v>
      </c>
      <c r="M347" s="0" t="n">
        <v>449</v>
      </c>
      <c r="N347" s="0" t="n">
        <v>49.28</v>
      </c>
      <c r="O347" s="0" t="n">
        <v>17.86</v>
      </c>
      <c r="P347" s="0" t="n">
        <v>5.31</v>
      </c>
      <c r="Q347" s="0" t="n">
        <v>3.85</v>
      </c>
      <c r="R347" s="0" t="n">
        <v>4701</v>
      </c>
      <c r="S347" s="0" t="n">
        <v>9600</v>
      </c>
      <c r="T347" s="0" t="n">
        <v>52.35</v>
      </c>
      <c r="U347" s="0" t="n">
        <v>1617</v>
      </c>
      <c r="V347" s="0" t="n">
        <v>9</v>
      </c>
      <c r="W347" s="39" t="n">
        <f aca="false">IF(I347="Male",0,1)</f>
        <v>1</v>
      </c>
      <c r="X347" s="39" t="n">
        <f aca="false">IF(OR(I347="DNB",I347="Dry DNB"),1,0)</f>
        <v>0</v>
      </c>
      <c r="Y347" s="39" t="n">
        <f aca="false">MATCH(A347,DATAS,0)</f>
        <v>1</v>
      </c>
      <c r="Z347" s="39" t="n">
        <f aca="false">IF(AND(E347&gt;0,OR(AND(B347&gt;=1,B347&lt;=6),B347=10)),1,0)</f>
        <v>1</v>
      </c>
      <c r="AA347" s="39" t="n">
        <f aca="false">IF(AND(E347&gt;0,B347=10),1,0)</f>
        <v>0</v>
      </c>
      <c r="AB347" s="0" t="str">
        <f aca="false">IF(AND(C346=C347,Y346=Y347-1),Z346,"")</f>
        <v/>
      </c>
      <c r="AC347" s="0" t="str">
        <f aca="false">IF(AND(C346=C347,Y346=Y347-1),AA346,"")</f>
        <v/>
      </c>
      <c r="AD347" s="0" t="str">
        <f aca="false">IF(Y347=1,"",IF(AND(Z347=1,AB347&lt;&gt;1),1,0))</f>
        <v/>
      </c>
      <c r="AE347" s="0" t="str">
        <f aca="false">IF(Y347=1,"",IF(AND(AA347=1,AC347&lt;&gt;1),1,0))</f>
        <v/>
      </c>
      <c r="AF347" s="45" t="str">
        <f aca="false">IF(AND(E347&gt;0,Y347&lt;1,NOT(AND(C348=C347,Y348=Y347+1))),INDEX(DATAS,Y347+1),"")</f>
        <v/>
      </c>
      <c r="AG347" s="45" t="str">
        <f aca="false">IF(AND(AA347=1,Y347&lt;1),IF(AND(C348=C347,Y348=Y347+1),IF(AA348=1,"",INDEX(DATAS,Y347+1)),INDEX(DATAS,Y347+1)),"")</f>
        <v/>
      </c>
    </row>
    <row r="348" customFormat="false" ht="15" hidden="false" customHeight="false" outlineLevel="0" collapsed="false">
      <c r="A348" s="45" t="n">
        <v>46309</v>
      </c>
      <c r="B348" s="0" t="n">
        <v>2</v>
      </c>
      <c r="C348" s="0" t="n">
        <v>3996</v>
      </c>
      <c r="D348" s="0" t="n">
        <v>182</v>
      </c>
      <c r="E348" s="0" t="n">
        <v>3</v>
      </c>
      <c r="F348" s="39" t="s">
        <v>390</v>
      </c>
      <c r="G348" s="0" t="n">
        <v>63.2</v>
      </c>
      <c r="H348" s="0" t="n">
        <v>63</v>
      </c>
      <c r="I348" s="39" t="s">
        <v>138</v>
      </c>
      <c r="J348" s="0" t="n">
        <v>182</v>
      </c>
      <c r="K348" s="0" t="n">
        <v>71</v>
      </c>
      <c r="M348" s="0" t="n">
        <v>1350.36</v>
      </c>
      <c r="N348" s="0" t="n">
        <v>39.97</v>
      </c>
      <c r="O348" s="0" t="n">
        <v>34.78</v>
      </c>
      <c r="P348" s="0" t="n">
        <v>3.12</v>
      </c>
      <c r="Q348" s="0" t="n">
        <v>3.4</v>
      </c>
      <c r="R348" s="0" t="n">
        <v>6495</v>
      </c>
      <c r="S348" s="0" t="n">
        <v>13176</v>
      </c>
      <c r="T348" s="0" t="n">
        <v>68.1</v>
      </c>
      <c r="U348" s="0" t="n">
        <v>1615</v>
      </c>
      <c r="V348" s="0" t="n">
        <v>5</v>
      </c>
      <c r="W348" s="39" t="n">
        <f aca="false">IF(I348="Male",0,1)</f>
        <v>1</v>
      </c>
      <c r="X348" s="39" t="n">
        <f aca="false">IF(OR(I348="DNB",I348="Dry DNB"),1,0)</f>
        <v>0</v>
      </c>
      <c r="Y348" s="39" t="n">
        <f aca="false">MATCH(A348,DATAS,0)</f>
        <v>1</v>
      </c>
      <c r="Z348" s="39" t="n">
        <f aca="false">IF(AND(E348&gt;0,OR(AND(B348&gt;=1,B348&lt;=6),B348=10)),1,0)</f>
        <v>1</v>
      </c>
      <c r="AA348" s="39" t="n">
        <f aca="false">IF(AND(E348&gt;0,B348=10),1,0)</f>
        <v>0</v>
      </c>
      <c r="AB348" s="0" t="str">
        <f aca="false">IF(AND(C347=C348,Y347=Y348-1),Z347,"")</f>
        <v/>
      </c>
      <c r="AC348" s="0" t="str">
        <f aca="false">IF(AND(C347=C348,Y347=Y348-1),AA347,"")</f>
        <v/>
      </c>
      <c r="AD348" s="0" t="str">
        <f aca="false">IF(Y348=1,"",IF(AND(Z348=1,AB348&lt;&gt;1),1,0))</f>
        <v/>
      </c>
      <c r="AE348" s="0" t="str">
        <f aca="false">IF(Y348=1,"",IF(AND(AA348=1,AC348&lt;&gt;1),1,0))</f>
        <v/>
      </c>
      <c r="AF348" s="45" t="str">
        <f aca="false">IF(AND(E348&gt;0,Y348&lt;1,NOT(AND(C349=C348,Y349=Y348+1))),INDEX(DATAS,Y348+1),"")</f>
        <v/>
      </c>
      <c r="AG348" s="45" t="str">
        <f aca="false">IF(AND(AA348=1,Y348&lt;1),IF(AND(C349=C348,Y349=Y348+1),IF(AA349=1,"",INDEX(DATAS,Y348+1)),INDEX(DATAS,Y348+1)),"")</f>
        <v/>
      </c>
    </row>
    <row r="349" customFormat="false" ht="15" hidden="false" customHeight="false" outlineLevel="0" collapsed="false">
      <c r="A349" s="45" t="n">
        <v>46309</v>
      </c>
      <c r="B349" s="0" t="n">
        <v>2</v>
      </c>
      <c r="C349" s="0" t="n">
        <v>3997</v>
      </c>
      <c r="D349" s="0" t="n">
        <v>103</v>
      </c>
      <c r="E349" s="0" t="n">
        <v>3</v>
      </c>
      <c r="F349" s="39" t="s">
        <v>390</v>
      </c>
      <c r="G349" s="0" t="n">
        <v>53.2</v>
      </c>
      <c r="H349" s="0" t="n">
        <v>51</v>
      </c>
      <c r="I349" s="39" t="s">
        <v>109</v>
      </c>
      <c r="J349" s="0" t="n">
        <v>68</v>
      </c>
      <c r="K349" s="0" t="n">
        <v>68</v>
      </c>
      <c r="L349" s="0" t="n">
        <v>35</v>
      </c>
      <c r="M349" s="0" t="n">
        <v>781.83</v>
      </c>
      <c r="N349" s="0" t="n">
        <v>50.15</v>
      </c>
      <c r="O349" s="0" t="n">
        <v>31.73</v>
      </c>
      <c r="P349" s="0" t="n">
        <v>5.82</v>
      </c>
      <c r="Q349" s="0" t="n">
        <v>3.5</v>
      </c>
      <c r="R349" s="0" t="n">
        <v>4450</v>
      </c>
      <c r="S349" s="0" t="n">
        <v>8983</v>
      </c>
      <c r="T349" s="0" t="n">
        <v>52</v>
      </c>
      <c r="U349" s="0" t="n">
        <v>1615</v>
      </c>
      <c r="V349" s="0" t="n">
        <v>1</v>
      </c>
      <c r="W349" s="39" t="n">
        <f aca="false">IF(I349="Male",0,1)</f>
        <v>1</v>
      </c>
      <c r="X349" s="39" t="n">
        <f aca="false">IF(OR(I349="DNB",I349="Dry DNB"),1,0)</f>
        <v>0</v>
      </c>
      <c r="Y349" s="39" t="n">
        <f aca="false">MATCH(A349,DATAS,0)</f>
        <v>1</v>
      </c>
      <c r="Z349" s="39" t="n">
        <f aca="false">IF(AND(E349&gt;0,OR(AND(B349&gt;=1,B349&lt;=6),B349=10)),1,0)</f>
        <v>1</v>
      </c>
      <c r="AA349" s="39" t="n">
        <f aca="false">IF(AND(E349&gt;0,B349=10),1,0)</f>
        <v>0</v>
      </c>
      <c r="AB349" s="0" t="str">
        <f aca="false">IF(AND(C348=C349,Y348=Y349-1),Z348,"")</f>
        <v/>
      </c>
      <c r="AC349" s="0" t="str">
        <f aca="false">IF(AND(C348=C349,Y348=Y349-1),AA348,"")</f>
        <v/>
      </c>
      <c r="AD349" s="0" t="str">
        <f aca="false">IF(Y349=1,"",IF(AND(Z349=1,AB349&lt;&gt;1),1,0))</f>
        <v/>
      </c>
      <c r="AE349" s="0" t="str">
        <f aca="false">IF(Y349=1,"",IF(AND(AA349=1,AC349&lt;&gt;1),1,0))</f>
        <v/>
      </c>
      <c r="AF349" s="45" t="str">
        <f aca="false">IF(AND(E349&gt;0,Y349&lt;1,NOT(AND(C350=C349,Y350=Y349+1))),INDEX(DATAS,Y349+1),"")</f>
        <v/>
      </c>
      <c r="AG349" s="45" t="str">
        <f aca="false">IF(AND(AA349=1,Y349&lt;1),IF(AND(C350=C349,Y350=Y349+1),IF(AA350=1,"",INDEX(DATAS,Y349+1)),INDEX(DATAS,Y349+1)),"")</f>
        <v/>
      </c>
    </row>
    <row r="350" customFormat="false" ht="15" hidden="false" customHeight="false" outlineLevel="0" collapsed="false">
      <c r="A350" s="45" t="n">
        <v>46309</v>
      </c>
      <c r="B350" s="0" t="n">
        <v>3</v>
      </c>
      <c r="C350" s="0" t="n">
        <v>3998</v>
      </c>
      <c r="D350" s="0" t="n">
        <v>157</v>
      </c>
      <c r="E350" s="0" t="n">
        <v>3</v>
      </c>
      <c r="F350" s="39" t="s">
        <v>390</v>
      </c>
      <c r="G350" s="0" t="n">
        <v>63.1</v>
      </c>
      <c r="H350" s="0" t="n">
        <v>62</v>
      </c>
      <c r="I350" s="39" t="s">
        <v>109</v>
      </c>
      <c r="J350" s="0" t="n">
        <v>67</v>
      </c>
      <c r="K350" s="0" t="n">
        <v>74</v>
      </c>
      <c r="L350" s="0" t="n">
        <v>90</v>
      </c>
      <c r="M350" s="0" t="n">
        <v>764.8</v>
      </c>
      <c r="N350" s="0" t="n">
        <v>20.04</v>
      </c>
      <c r="O350" s="0" t="n">
        <v>17.71</v>
      </c>
      <c r="P350" s="0" t="n">
        <v>1.86</v>
      </c>
      <c r="Q350" s="0" t="n">
        <v>3.1</v>
      </c>
      <c r="R350" s="0" t="n">
        <v>6086</v>
      </c>
      <c r="S350" s="0" t="n">
        <v>12595</v>
      </c>
      <c r="T350" s="0" t="n">
        <v>68.05</v>
      </c>
      <c r="U350" s="0" t="n">
        <v>1615</v>
      </c>
      <c r="V350" s="0" t="n">
        <v>1</v>
      </c>
      <c r="W350" s="39" t="n">
        <f aca="false">IF(I350="Male",0,1)</f>
        <v>1</v>
      </c>
      <c r="X350" s="39" t="n">
        <f aca="false">IF(OR(I350="DNB",I350="Dry DNB"),1,0)</f>
        <v>0</v>
      </c>
      <c r="Y350" s="39" t="n">
        <f aca="false">MATCH(A350,DATAS,0)</f>
        <v>1</v>
      </c>
      <c r="Z350" s="39" t="n">
        <f aca="false">IF(AND(E350&gt;0,OR(AND(B350&gt;=1,B350&lt;=6),B350=10)),1,0)</f>
        <v>1</v>
      </c>
      <c r="AA350" s="39" t="n">
        <f aca="false">IF(AND(E350&gt;0,B350=10),1,0)</f>
        <v>0</v>
      </c>
      <c r="AB350" s="0" t="str">
        <f aca="false">IF(AND(C349=C350,Y349=Y350-1),Z349,"")</f>
        <v/>
      </c>
      <c r="AC350" s="0" t="str">
        <f aca="false">IF(AND(C349=C350,Y349=Y350-1),AA349,"")</f>
        <v/>
      </c>
      <c r="AD350" s="0" t="str">
        <f aca="false">IF(Y350=1,"",IF(AND(Z350=1,AB350&lt;&gt;1),1,0))</f>
        <v/>
      </c>
      <c r="AE350" s="0" t="str">
        <f aca="false">IF(Y350=1,"",IF(AND(AA350=1,AC350&lt;&gt;1),1,0))</f>
        <v/>
      </c>
      <c r="AF350" s="45" t="str">
        <f aca="false">IF(AND(E350&gt;0,Y350&lt;1,NOT(AND(C351=C350,Y351=Y350+1))),INDEX(DATAS,Y350+1),"")</f>
        <v/>
      </c>
      <c r="AG350" s="45" t="str">
        <f aca="false">IF(AND(AA350=1,Y350&lt;1),IF(AND(C351=C350,Y351=Y350+1),IF(AA351=1,"",INDEX(DATAS,Y350+1)),INDEX(DATAS,Y350+1)),"")</f>
        <v/>
      </c>
    </row>
    <row r="351" customFormat="false" ht="15" hidden="false" customHeight="false" outlineLevel="0" collapsed="false">
      <c r="A351" s="45" t="n">
        <v>46309</v>
      </c>
      <c r="B351" s="0" t="n">
        <v>6</v>
      </c>
      <c r="C351" s="0" t="n">
        <v>3999</v>
      </c>
      <c r="D351" s="0" t="n">
        <v>245</v>
      </c>
      <c r="E351" s="0" t="n">
        <v>3</v>
      </c>
      <c r="F351" s="39" t="s">
        <v>390</v>
      </c>
      <c r="G351" s="0" t="n">
        <v>18.2</v>
      </c>
      <c r="H351" s="0" t="n">
        <v>21</v>
      </c>
      <c r="I351" s="39" t="s">
        <v>109</v>
      </c>
      <c r="J351" s="0" t="n">
        <v>63</v>
      </c>
      <c r="K351" s="0" t="n">
        <v>63</v>
      </c>
      <c r="L351" s="0" t="n">
        <v>182</v>
      </c>
      <c r="M351" s="0" t="n">
        <v>123.23</v>
      </c>
      <c r="N351" s="0" t="n">
        <v>31.23</v>
      </c>
      <c r="O351" s="0" t="n">
        <v>29.62</v>
      </c>
      <c r="P351" s="0" t="n">
        <v>3.87</v>
      </c>
      <c r="Q351" s="0" t="n">
        <v>3.85</v>
      </c>
      <c r="R351" s="0" t="n">
        <v>4834</v>
      </c>
      <c r="S351" s="0" t="n">
        <v>10841</v>
      </c>
      <c r="T351" s="0" t="n">
        <v>50.8</v>
      </c>
      <c r="U351" s="0" t="n">
        <v>1615</v>
      </c>
      <c r="V351" s="0" t="n">
        <v>1</v>
      </c>
      <c r="W351" s="39" t="n">
        <f aca="false">IF(I351="Male",0,1)</f>
        <v>1</v>
      </c>
      <c r="X351" s="39" t="n">
        <f aca="false">IF(OR(I351="DNB",I351="Dry DNB"),1,0)</f>
        <v>0</v>
      </c>
      <c r="Y351" s="39" t="n">
        <f aca="false">MATCH(A351,DATAS,0)</f>
        <v>1</v>
      </c>
      <c r="Z351" s="39" t="n">
        <f aca="false">IF(AND(E351&gt;0,OR(AND(B351&gt;=1,B351&lt;=6),B351=10)),1,0)</f>
        <v>1</v>
      </c>
      <c r="AA351" s="39" t="n">
        <f aca="false">IF(AND(E351&gt;0,B351=10),1,0)</f>
        <v>0</v>
      </c>
      <c r="AB351" s="0" t="str">
        <f aca="false">IF(AND(C350=C351,Y350=Y351-1),Z350,"")</f>
        <v/>
      </c>
      <c r="AC351" s="0" t="str">
        <f aca="false">IF(AND(C350=C351,Y350=Y351-1),AA350,"")</f>
        <v/>
      </c>
      <c r="AD351" s="0" t="str">
        <f aca="false">IF(Y351=1,"",IF(AND(Z351=1,AB351&lt;&gt;1),1,0))</f>
        <v/>
      </c>
      <c r="AE351" s="0" t="str">
        <f aca="false">IF(Y351=1,"",IF(AND(AA351=1,AC351&lt;&gt;1),1,0))</f>
        <v/>
      </c>
      <c r="AF351" s="45" t="str">
        <f aca="false">IF(AND(E351&gt;0,Y351&lt;1,NOT(AND(C352=C351,Y352=Y351+1))),INDEX(DATAS,Y351+1),"")</f>
        <v/>
      </c>
      <c r="AG351" s="45" t="str">
        <f aca="false">IF(AND(AA351=1,Y351&lt;1),IF(AND(C352=C351,Y352=Y351+1),IF(AA352=1,"",INDEX(DATAS,Y351+1)),INDEX(DATAS,Y351+1)),"")</f>
        <v/>
      </c>
    </row>
    <row r="352" customFormat="false" ht="15" hidden="false" customHeight="false" outlineLevel="0" collapsed="false">
      <c r="A352" s="45" t="n">
        <v>46309</v>
      </c>
      <c r="B352" s="0" t="n">
        <v>2</v>
      </c>
      <c r="C352" s="0" t="n">
        <v>4002</v>
      </c>
      <c r="D352" s="0" t="n">
        <v>230</v>
      </c>
      <c r="E352" s="0" t="n">
        <v>3</v>
      </c>
      <c r="F352" s="39" t="s">
        <v>391</v>
      </c>
      <c r="G352" s="0" t="n">
        <v>59.3</v>
      </c>
      <c r="H352" s="0" t="n">
        <v>54</v>
      </c>
      <c r="I352" s="39" t="s">
        <v>109</v>
      </c>
      <c r="J352" s="0" t="n">
        <v>104</v>
      </c>
      <c r="K352" s="0" t="n">
        <v>69</v>
      </c>
      <c r="L352" s="0" t="n">
        <v>126</v>
      </c>
      <c r="M352" s="0" t="n">
        <v>824</v>
      </c>
      <c r="N352" s="0" t="n">
        <v>58.91</v>
      </c>
      <c r="O352" s="0" t="n">
        <v>26.61</v>
      </c>
      <c r="P352" s="0" t="n">
        <v>3.27</v>
      </c>
      <c r="Q352" s="0" t="n">
        <v>3.35</v>
      </c>
      <c r="R352" s="0" t="n">
        <v>6914</v>
      </c>
      <c r="S352" s="0" t="n">
        <v>12985</v>
      </c>
      <c r="T352" s="0" t="n">
        <v>80.05</v>
      </c>
      <c r="U352" s="0" t="n">
        <v>1613</v>
      </c>
      <c r="V352" s="0" t="n">
        <v>2</v>
      </c>
      <c r="W352" s="39" t="n">
        <f aca="false">IF(I352="Male",0,1)</f>
        <v>1</v>
      </c>
      <c r="X352" s="39" t="n">
        <f aca="false">IF(OR(I352="DNB",I352="Dry DNB"),1,0)</f>
        <v>0</v>
      </c>
      <c r="Y352" s="39" t="n">
        <f aca="false">MATCH(A352,DATAS,0)</f>
        <v>1</v>
      </c>
      <c r="Z352" s="39" t="n">
        <f aca="false">IF(AND(E352&gt;0,OR(AND(B352&gt;=1,B352&lt;=6),B352=10)),1,0)</f>
        <v>1</v>
      </c>
      <c r="AA352" s="39" t="n">
        <f aca="false">IF(AND(E352&gt;0,B352=10),1,0)</f>
        <v>0</v>
      </c>
      <c r="AB352" s="0" t="str">
        <f aca="false">IF(AND(C351=C352,Y351=Y352-1),Z351,"")</f>
        <v/>
      </c>
      <c r="AC352" s="0" t="str">
        <f aca="false">IF(AND(C351=C352,Y351=Y352-1),AA351,"")</f>
        <v/>
      </c>
      <c r="AD352" s="0" t="str">
        <f aca="false">IF(Y352=1,"",IF(AND(Z352=1,AB352&lt;&gt;1),1,0))</f>
        <v/>
      </c>
      <c r="AE352" s="0" t="str">
        <f aca="false">IF(Y352=1,"",IF(AND(AA352=1,AC352&lt;&gt;1),1,0))</f>
        <v/>
      </c>
      <c r="AF352" s="45" t="str">
        <f aca="false">IF(AND(E352&gt;0,Y352&lt;1,NOT(AND(C353=C352,Y353=Y352+1))),INDEX(DATAS,Y352+1),"")</f>
        <v/>
      </c>
      <c r="AG352" s="45" t="str">
        <f aca="false">IF(AND(AA352=1,Y352&lt;1),IF(AND(C353=C352,Y353=Y352+1),IF(AA353=1,"",INDEX(DATAS,Y352+1)),INDEX(DATAS,Y352+1)),"")</f>
        <v/>
      </c>
    </row>
    <row r="353" customFormat="false" ht="15" hidden="false" customHeight="false" outlineLevel="0" collapsed="false">
      <c r="A353" s="45" t="n">
        <v>46309</v>
      </c>
      <c r="B353" s="0" t="n">
        <v>2</v>
      </c>
      <c r="C353" s="0" t="n">
        <v>4004</v>
      </c>
      <c r="D353" s="0" t="n">
        <v>59</v>
      </c>
      <c r="E353" s="0" t="n">
        <v>3</v>
      </c>
      <c r="F353" s="39" t="s">
        <v>392</v>
      </c>
      <c r="G353" s="0" t="n">
        <v>67.8</v>
      </c>
      <c r="H353" s="0" t="n">
        <v>67</v>
      </c>
      <c r="I353" s="39" t="s">
        <v>118</v>
      </c>
      <c r="J353" s="0" t="n">
        <v>59</v>
      </c>
      <c r="M353" s="0" t="n">
        <v>244.9</v>
      </c>
      <c r="N353" s="0" t="n">
        <v>8.05</v>
      </c>
      <c r="O353" s="0" t="n">
        <v>9.97</v>
      </c>
      <c r="P353" s="0" t="n">
        <v>3.6</v>
      </c>
      <c r="Q353" s="0" t="n">
        <v>3.16</v>
      </c>
      <c r="R353" s="0" t="n">
        <v>5789</v>
      </c>
      <c r="S353" s="0" t="n">
        <v>11637</v>
      </c>
      <c r="U353" s="0" t="n">
        <v>1612</v>
      </c>
      <c r="V353" s="0" t="n">
        <v>0</v>
      </c>
      <c r="W353" s="39" t="n">
        <f aca="false">IF(I353="Male",0,1)</f>
        <v>1</v>
      </c>
      <c r="X353" s="39" t="n">
        <f aca="false">IF(OR(I353="DNB",I353="Dry DNB"),1,0)</f>
        <v>0</v>
      </c>
      <c r="Y353" s="39" t="n">
        <f aca="false">MATCH(A353,DATAS,0)</f>
        <v>1</v>
      </c>
      <c r="Z353" s="39" t="n">
        <f aca="false">IF(AND(E353&gt;0,OR(AND(B353&gt;=1,B353&lt;=6),B353=10)),1,0)</f>
        <v>1</v>
      </c>
      <c r="AA353" s="39" t="n">
        <f aca="false">IF(AND(E353&gt;0,B353=10),1,0)</f>
        <v>0</v>
      </c>
      <c r="AB353" s="0" t="str">
        <f aca="false">IF(AND(C352=C353,Y352=Y353-1),Z352,"")</f>
        <v/>
      </c>
      <c r="AC353" s="0" t="str">
        <f aca="false">IF(AND(C352=C353,Y352=Y353-1),AA352,"")</f>
        <v/>
      </c>
      <c r="AD353" s="0" t="str">
        <f aca="false">IF(Y353=1,"",IF(AND(Z353=1,AB353&lt;&gt;1),1,0))</f>
        <v/>
      </c>
      <c r="AE353" s="0" t="str">
        <f aca="false">IF(Y353=1,"",IF(AND(AA353=1,AC353&lt;&gt;1),1,0))</f>
        <v/>
      </c>
      <c r="AF353" s="45" t="str">
        <f aca="false">IF(AND(E353&gt;0,Y353&lt;1,NOT(AND(C354=C353,Y354=Y353+1))),INDEX(DATAS,Y353+1),"")</f>
        <v/>
      </c>
      <c r="AG353" s="45" t="str">
        <f aca="false">IF(AND(AA353=1,Y353&lt;1),IF(AND(C354=C353,Y354=Y353+1),IF(AA354=1,"",INDEX(DATAS,Y353+1)),INDEX(DATAS,Y353+1)),"")</f>
        <v/>
      </c>
    </row>
    <row r="354" customFormat="false" ht="15" hidden="false" customHeight="false" outlineLevel="0" collapsed="false">
      <c r="A354" s="45" t="n">
        <v>46309</v>
      </c>
      <c r="B354" s="0" t="n">
        <v>7</v>
      </c>
      <c r="C354" s="0" t="n">
        <v>4006</v>
      </c>
      <c r="D354" s="0" t="n">
        <v>358</v>
      </c>
      <c r="E354" s="0" t="n">
        <v>2</v>
      </c>
      <c r="F354" s="39" t="s">
        <v>393</v>
      </c>
      <c r="I354" s="39" t="s">
        <v>114</v>
      </c>
      <c r="J354" s="0" t="n">
        <v>213</v>
      </c>
      <c r="K354" s="0" t="n">
        <v>66</v>
      </c>
      <c r="L354" s="0" t="n">
        <v>161</v>
      </c>
      <c r="M354" s="0" t="n">
        <v>950.26</v>
      </c>
      <c r="N354" s="0" t="n">
        <v>57.08</v>
      </c>
      <c r="O354" s="0" t="n">
        <v>36.97</v>
      </c>
      <c r="P354" s="0" t="n">
        <v>4.94</v>
      </c>
      <c r="Q354" s="0" t="n">
        <v>4.13</v>
      </c>
      <c r="R354" s="0" t="n">
        <v>6486</v>
      </c>
      <c r="S354" s="0" t="n">
        <v>12941</v>
      </c>
      <c r="T354" s="0" t="n">
        <v>69.4</v>
      </c>
      <c r="U354" s="0" t="n">
        <v>1611</v>
      </c>
      <c r="V354" s="0" t="n">
        <v>4</v>
      </c>
      <c r="W354" s="39" t="n">
        <f aca="false">IF(I354="Male",0,1)</f>
        <v>1</v>
      </c>
      <c r="X354" s="39" t="n">
        <f aca="false">IF(OR(I354="DNB",I354="Dry DNB"),1,0)</f>
        <v>0</v>
      </c>
      <c r="Y354" s="39" t="n">
        <f aca="false">MATCH(A354,DATAS,0)</f>
        <v>1</v>
      </c>
      <c r="Z354" s="39" t="n">
        <f aca="false">IF(AND(E354&gt;0,OR(AND(B354&gt;=1,B354&lt;=6),B354=10)),1,0)</f>
        <v>0</v>
      </c>
      <c r="AA354" s="39" t="n">
        <f aca="false">IF(AND(E354&gt;0,B354=10),1,0)</f>
        <v>0</v>
      </c>
      <c r="AB354" s="0" t="str">
        <f aca="false">IF(AND(C353=C354,Y353=Y354-1),Z353,"")</f>
        <v/>
      </c>
      <c r="AC354" s="0" t="str">
        <f aca="false">IF(AND(C353=C354,Y353=Y354-1),AA353,"")</f>
        <v/>
      </c>
      <c r="AD354" s="0" t="str">
        <f aca="false">IF(Y354=1,"",IF(AND(Z354=1,AB354&lt;&gt;1),1,0))</f>
        <v/>
      </c>
      <c r="AE354" s="0" t="str">
        <f aca="false">IF(Y354=1,"",IF(AND(AA354=1,AC354&lt;&gt;1),1,0))</f>
        <v/>
      </c>
      <c r="AF354" s="45" t="str">
        <f aca="false">IF(AND(E354&gt;0,Y354&lt;1,NOT(AND(C355=C354,Y355=Y354+1))),INDEX(DATAS,Y354+1),"")</f>
        <v/>
      </c>
      <c r="AG354" s="45" t="str">
        <f aca="false">IF(AND(AA354=1,Y354&lt;1),IF(AND(C355=C354,Y355=Y354+1),IF(AA355=1,"",INDEX(DATAS,Y354+1)),INDEX(DATAS,Y354+1)),"")</f>
        <v/>
      </c>
    </row>
    <row r="355" customFormat="false" ht="15" hidden="false" customHeight="false" outlineLevel="0" collapsed="false">
      <c r="A355" s="45" t="n">
        <v>46309</v>
      </c>
      <c r="B355" s="0" t="n">
        <v>5</v>
      </c>
      <c r="C355" s="0" t="n">
        <v>4008</v>
      </c>
      <c r="D355" s="0" t="n">
        <v>595</v>
      </c>
      <c r="E355" s="0" t="n">
        <v>2</v>
      </c>
      <c r="F355" s="39" t="s">
        <v>394</v>
      </c>
      <c r="G355" s="0" t="n">
        <v>32.3</v>
      </c>
      <c r="H355" s="0" t="n">
        <v>31</v>
      </c>
      <c r="I355" s="39" t="s">
        <v>109</v>
      </c>
      <c r="J355" s="0" t="n">
        <v>385</v>
      </c>
      <c r="K355" s="0" t="n">
        <v>64</v>
      </c>
      <c r="L355" s="0" t="n">
        <v>210</v>
      </c>
      <c r="M355" s="0" t="n">
        <v>779.89</v>
      </c>
      <c r="N355" s="0" t="n">
        <v>29.85</v>
      </c>
      <c r="O355" s="0" t="n">
        <v>18.09</v>
      </c>
      <c r="P355" s="0" t="n">
        <v>4.42</v>
      </c>
      <c r="Q355" s="0" t="n">
        <v>3.48</v>
      </c>
      <c r="R355" s="0" t="n">
        <v>5648</v>
      </c>
      <c r="S355" s="0" t="n">
        <v>11927</v>
      </c>
      <c r="T355" s="0" t="n">
        <v>49.55</v>
      </c>
      <c r="U355" s="0" t="n">
        <v>1609</v>
      </c>
      <c r="V355" s="0" t="n">
        <v>4</v>
      </c>
      <c r="W355" s="39" t="n">
        <f aca="false">IF(I355="Male",0,1)</f>
        <v>1</v>
      </c>
      <c r="X355" s="39" t="n">
        <f aca="false">IF(OR(I355="DNB",I355="Dry DNB"),1,0)</f>
        <v>0</v>
      </c>
      <c r="Y355" s="39" t="n">
        <f aca="false">MATCH(A355,DATAS,0)</f>
        <v>1</v>
      </c>
      <c r="Z355" s="39" t="n">
        <f aca="false">IF(AND(E355&gt;0,OR(AND(B355&gt;=1,B355&lt;=6),B355=10)),1,0)</f>
        <v>1</v>
      </c>
      <c r="AA355" s="39" t="n">
        <f aca="false">IF(AND(E355&gt;0,B355=10),1,0)</f>
        <v>0</v>
      </c>
      <c r="AB355" s="0" t="str">
        <f aca="false">IF(AND(C354=C355,Y354=Y355-1),Z354,"")</f>
        <v/>
      </c>
      <c r="AC355" s="0" t="str">
        <f aca="false">IF(AND(C354=C355,Y354=Y355-1),AA354,"")</f>
        <v/>
      </c>
      <c r="AD355" s="0" t="str">
        <f aca="false">IF(Y355=1,"",IF(AND(Z355=1,AB355&lt;&gt;1),1,0))</f>
        <v/>
      </c>
      <c r="AE355" s="0" t="str">
        <f aca="false">IF(Y355=1,"",IF(AND(AA355=1,AC355&lt;&gt;1),1,0))</f>
        <v/>
      </c>
      <c r="AF355" s="45" t="str">
        <f aca="false">IF(AND(E355&gt;0,Y355&lt;1,NOT(AND(C356=C355,Y356=Y355+1))),INDEX(DATAS,Y355+1),"")</f>
        <v/>
      </c>
      <c r="AG355" s="45" t="str">
        <f aca="false">IF(AND(AA355=1,Y355&lt;1),IF(AND(C356=C355,Y356=Y355+1),IF(AA356=1,"",INDEX(DATAS,Y355+1)),INDEX(DATAS,Y355+1)),"")</f>
        <v/>
      </c>
    </row>
    <row r="356" customFormat="false" ht="15" hidden="false" customHeight="false" outlineLevel="0" collapsed="false">
      <c r="A356" s="45" t="n">
        <v>46309</v>
      </c>
      <c r="B356" s="0" t="n">
        <v>2</v>
      </c>
      <c r="C356" s="0" t="n">
        <v>4009</v>
      </c>
      <c r="D356" s="0" t="n">
        <v>167</v>
      </c>
      <c r="E356" s="0" t="n">
        <v>3</v>
      </c>
      <c r="F356" s="39" t="s">
        <v>394</v>
      </c>
      <c r="G356" s="0" t="n">
        <v>55.9</v>
      </c>
      <c r="H356" s="0" t="n">
        <v>60</v>
      </c>
      <c r="I356" s="39" t="s">
        <v>109</v>
      </c>
      <c r="J356" s="0" t="n">
        <v>69</v>
      </c>
      <c r="K356" s="0" t="n">
        <v>69</v>
      </c>
      <c r="L356" s="0" t="n">
        <v>98</v>
      </c>
      <c r="M356" s="0" t="n">
        <v>890.83</v>
      </c>
      <c r="N356" s="0" t="n">
        <v>34.55</v>
      </c>
      <c r="O356" s="0" t="n">
        <v>28.59</v>
      </c>
      <c r="P356" s="0" t="n">
        <v>2.63</v>
      </c>
      <c r="Q356" s="0" t="n">
        <v>3.2</v>
      </c>
      <c r="R356" s="0" t="n">
        <v>6217</v>
      </c>
      <c r="S356" s="0" t="n">
        <v>12414</v>
      </c>
      <c r="T356" s="0" t="n">
        <v>68.05</v>
      </c>
      <c r="U356" s="0" t="n">
        <v>1609</v>
      </c>
      <c r="V356" s="0" t="n">
        <v>1</v>
      </c>
      <c r="W356" s="39" t="n">
        <f aca="false">IF(I356="Male",0,1)</f>
        <v>1</v>
      </c>
      <c r="X356" s="39" t="n">
        <f aca="false">IF(OR(I356="DNB",I356="Dry DNB"),1,0)</f>
        <v>0</v>
      </c>
      <c r="Y356" s="39" t="n">
        <f aca="false">MATCH(A356,DATAS,0)</f>
        <v>1</v>
      </c>
      <c r="Z356" s="39" t="n">
        <f aca="false">IF(AND(E356&gt;0,OR(AND(B356&gt;=1,B356&lt;=6),B356=10)),1,0)</f>
        <v>1</v>
      </c>
      <c r="AA356" s="39" t="n">
        <f aca="false">IF(AND(E356&gt;0,B356=10),1,0)</f>
        <v>0</v>
      </c>
      <c r="AB356" s="0" t="str">
        <f aca="false">IF(AND(C355=C356,Y355=Y356-1),Z355,"")</f>
        <v/>
      </c>
      <c r="AC356" s="0" t="str">
        <f aca="false">IF(AND(C355=C356,Y355=Y356-1),AA355,"")</f>
        <v/>
      </c>
      <c r="AD356" s="0" t="str">
        <f aca="false">IF(Y356=1,"",IF(AND(Z356=1,AB356&lt;&gt;1),1,0))</f>
        <v/>
      </c>
      <c r="AE356" s="0" t="str">
        <f aca="false">IF(Y356=1,"",IF(AND(AA356=1,AC356&lt;&gt;1),1,0))</f>
        <v/>
      </c>
      <c r="AF356" s="45" t="str">
        <f aca="false">IF(AND(E356&gt;0,Y356&lt;1,NOT(AND(C357=C356,Y357=Y356+1))),INDEX(DATAS,Y356+1),"")</f>
        <v/>
      </c>
      <c r="AG356" s="45" t="str">
        <f aca="false">IF(AND(AA356=1,Y356&lt;1),IF(AND(C357=C356,Y357=Y356+1),IF(AA357=1,"",INDEX(DATAS,Y356+1)),INDEX(DATAS,Y356+1)),"")</f>
        <v/>
      </c>
    </row>
    <row r="357" customFormat="false" ht="15" hidden="false" customHeight="false" outlineLevel="0" collapsed="false">
      <c r="A357" s="45" t="n">
        <v>46309</v>
      </c>
      <c r="B357" s="0" t="n">
        <v>5</v>
      </c>
      <c r="C357" s="0" t="n">
        <v>4014</v>
      </c>
      <c r="D357" s="0" t="n">
        <v>207</v>
      </c>
      <c r="E357" s="0" t="n">
        <v>3</v>
      </c>
      <c r="F357" s="39" t="s">
        <v>395</v>
      </c>
      <c r="G357" s="0" t="n">
        <v>43.4</v>
      </c>
      <c r="H357" s="0" t="n">
        <v>43</v>
      </c>
      <c r="I357" s="39" t="s">
        <v>109</v>
      </c>
      <c r="J357" s="0" t="n">
        <v>67</v>
      </c>
      <c r="K357" s="0" t="n">
        <v>67</v>
      </c>
      <c r="L357" s="0" t="n">
        <v>140</v>
      </c>
      <c r="M357" s="0" t="n">
        <v>571.08</v>
      </c>
      <c r="N357" s="0" t="n">
        <v>45.88</v>
      </c>
      <c r="O357" s="0" t="n">
        <v>23.09</v>
      </c>
      <c r="P357" s="0" t="n">
        <v>0</v>
      </c>
      <c r="Q357" s="0" t="n">
        <v>0</v>
      </c>
      <c r="R357" s="0" t="n">
        <v>5319</v>
      </c>
      <c r="S357" s="0" t="n">
        <v>10761</v>
      </c>
      <c r="T357" s="0" t="n">
        <v>59.45</v>
      </c>
      <c r="U357" s="0" t="n">
        <v>1605</v>
      </c>
      <c r="V357" s="0" t="n">
        <v>1</v>
      </c>
      <c r="W357" s="39" t="n">
        <f aca="false">IF(I357="Male",0,1)</f>
        <v>1</v>
      </c>
      <c r="X357" s="39" t="n">
        <f aca="false">IF(OR(I357="DNB",I357="Dry DNB"),1,0)</f>
        <v>0</v>
      </c>
      <c r="Y357" s="39" t="n">
        <f aca="false">MATCH(A357,DATAS,0)</f>
        <v>1</v>
      </c>
      <c r="Z357" s="39" t="n">
        <f aca="false">IF(AND(E357&gt;0,OR(AND(B357&gt;=1,B357&lt;=6),B357=10)),1,0)</f>
        <v>1</v>
      </c>
      <c r="AA357" s="39" t="n">
        <f aca="false">IF(AND(E357&gt;0,B357=10),1,0)</f>
        <v>0</v>
      </c>
      <c r="AB357" s="0" t="str">
        <f aca="false">IF(AND(C356=C357,Y356=Y357-1),Z356,"")</f>
        <v/>
      </c>
      <c r="AC357" s="0" t="str">
        <f aca="false">IF(AND(C356=C357,Y356=Y357-1),AA356,"")</f>
        <v/>
      </c>
      <c r="AD357" s="0" t="str">
        <f aca="false">IF(Y357=1,"",IF(AND(Z357=1,AB357&lt;&gt;1),1,0))</f>
        <v/>
      </c>
      <c r="AE357" s="0" t="str">
        <f aca="false">IF(Y357=1,"",IF(AND(AA357=1,AC357&lt;&gt;1),1,0))</f>
        <v/>
      </c>
      <c r="AF357" s="45" t="str">
        <f aca="false">IF(AND(E357&gt;0,Y357&lt;1,NOT(AND(C358=C357,Y358=Y357+1))),INDEX(DATAS,Y357+1),"")</f>
        <v/>
      </c>
      <c r="AG357" s="45" t="str">
        <f aca="false">IF(AND(AA357=1,Y357&lt;1),IF(AND(C358=C357,Y358=Y357+1),IF(AA358=1,"",INDEX(DATAS,Y357+1)),INDEX(DATAS,Y357+1)),"")</f>
        <v/>
      </c>
    </row>
    <row r="358" customFormat="false" ht="15" hidden="false" customHeight="false" outlineLevel="0" collapsed="false">
      <c r="A358" s="45" t="n">
        <v>46309</v>
      </c>
      <c r="B358" s="0" t="n">
        <v>3</v>
      </c>
      <c r="C358" s="0" t="n">
        <v>4015</v>
      </c>
      <c r="D358" s="0" t="n">
        <v>126</v>
      </c>
      <c r="E358" s="0" t="n">
        <v>3</v>
      </c>
      <c r="F358" s="39" t="s">
        <v>395</v>
      </c>
      <c r="G358" s="0" t="n">
        <v>70.9</v>
      </c>
      <c r="H358" s="0" t="n">
        <v>69</v>
      </c>
      <c r="I358" s="39" t="s">
        <v>109</v>
      </c>
      <c r="J358" s="0" t="n">
        <v>91</v>
      </c>
      <c r="K358" s="0" t="n">
        <v>63</v>
      </c>
      <c r="L358" s="0" t="n">
        <v>35</v>
      </c>
      <c r="M358" s="0" t="n">
        <v>626.13</v>
      </c>
      <c r="N358" s="0" t="n">
        <v>41.57</v>
      </c>
      <c r="O358" s="0" t="n">
        <v>32.46</v>
      </c>
      <c r="P358" s="0" t="n">
        <v>3.96</v>
      </c>
      <c r="Q358" s="0" t="n">
        <v>3.02</v>
      </c>
      <c r="R358" s="0" t="n">
        <v>6688</v>
      </c>
      <c r="S358" s="0" t="n">
        <v>13701</v>
      </c>
      <c r="T358" s="0" t="n">
        <v>68.8</v>
      </c>
      <c r="U358" s="0" t="n">
        <v>1605</v>
      </c>
      <c r="V358" s="0" t="n">
        <v>3</v>
      </c>
      <c r="W358" s="39" t="n">
        <f aca="false">IF(I358="Male",0,1)</f>
        <v>1</v>
      </c>
      <c r="X358" s="39" t="n">
        <f aca="false">IF(OR(I358="DNB",I358="Dry DNB"),1,0)</f>
        <v>0</v>
      </c>
      <c r="Y358" s="39" t="n">
        <f aca="false">MATCH(A358,DATAS,0)</f>
        <v>1</v>
      </c>
      <c r="Z358" s="39" t="n">
        <f aca="false">IF(AND(E358&gt;0,OR(AND(B358&gt;=1,B358&lt;=6),B358=10)),1,0)</f>
        <v>1</v>
      </c>
      <c r="AA358" s="39" t="n">
        <f aca="false">IF(AND(E358&gt;0,B358=10),1,0)</f>
        <v>0</v>
      </c>
      <c r="AB358" s="0" t="str">
        <f aca="false">IF(AND(C357=C358,Y357=Y358-1),Z357,"")</f>
        <v/>
      </c>
      <c r="AC358" s="0" t="str">
        <f aca="false">IF(AND(C357=C358,Y357=Y358-1),AA357,"")</f>
        <v/>
      </c>
      <c r="AD358" s="0" t="str">
        <f aca="false">IF(Y358=1,"",IF(AND(Z358=1,AB358&lt;&gt;1),1,0))</f>
        <v/>
      </c>
      <c r="AE358" s="0" t="str">
        <f aca="false">IF(Y358=1,"",IF(AND(AA358=1,AC358&lt;&gt;1),1,0))</f>
        <v/>
      </c>
      <c r="AF358" s="45" t="str">
        <f aca="false">IF(AND(E358&gt;0,Y358&lt;1,NOT(AND(C359=C358,Y359=Y358+1))),INDEX(DATAS,Y358+1),"")</f>
        <v/>
      </c>
      <c r="AG358" s="45" t="str">
        <f aca="false">IF(AND(AA358=1,Y358&lt;1),IF(AND(C359=C358,Y359=Y358+1),IF(AA359=1,"",INDEX(DATAS,Y358+1)),INDEX(DATAS,Y358+1)),"")</f>
        <v/>
      </c>
    </row>
    <row r="359" customFormat="false" ht="15" hidden="false" customHeight="false" outlineLevel="0" collapsed="false">
      <c r="A359" s="45" t="n">
        <v>46309</v>
      </c>
      <c r="B359" s="0" t="n">
        <v>2</v>
      </c>
      <c r="C359" s="0" t="n">
        <v>4016</v>
      </c>
      <c r="D359" s="0" t="n">
        <v>174</v>
      </c>
      <c r="E359" s="0" t="n">
        <v>2</v>
      </c>
      <c r="F359" s="39" t="s">
        <v>395</v>
      </c>
      <c r="G359" s="0" t="n">
        <v>58.6</v>
      </c>
      <c r="H359" s="0" t="n">
        <v>61</v>
      </c>
      <c r="I359" s="39" t="s">
        <v>146</v>
      </c>
      <c r="J359" s="0" t="n">
        <v>174</v>
      </c>
      <c r="K359" s="0" t="n">
        <v>62</v>
      </c>
      <c r="M359" s="0" t="n">
        <v>795.87</v>
      </c>
      <c r="N359" s="0" t="n">
        <v>39.25</v>
      </c>
      <c r="O359" s="0" t="n">
        <v>28.26</v>
      </c>
      <c r="P359" s="0" t="n">
        <v>3.17</v>
      </c>
      <c r="Q359" s="0" t="n">
        <v>3.18</v>
      </c>
      <c r="R359" s="0" t="n">
        <v>6802</v>
      </c>
      <c r="S359" s="0" t="n">
        <v>13527</v>
      </c>
      <c r="T359" s="0" t="n">
        <v>75</v>
      </c>
      <c r="U359" s="0" t="n">
        <v>1605</v>
      </c>
      <c r="V359" s="0" t="n">
        <v>3</v>
      </c>
      <c r="W359" s="39" t="n">
        <f aca="false">IF(I359="Male",0,1)</f>
        <v>1</v>
      </c>
      <c r="X359" s="39" t="n">
        <f aca="false">IF(OR(I359="DNB",I359="Dry DNB"),1,0)</f>
        <v>0</v>
      </c>
      <c r="Y359" s="39" t="n">
        <f aca="false">MATCH(A359,DATAS,0)</f>
        <v>1</v>
      </c>
      <c r="Z359" s="39" t="n">
        <f aca="false">IF(AND(E359&gt;0,OR(AND(B359&gt;=1,B359&lt;=6),B359=10)),1,0)</f>
        <v>1</v>
      </c>
      <c r="AA359" s="39" t="n">
        <f aca="false">IF(AND(E359&gt;0,B359=10),1,0)</f>
        <v>0</v>
      </c>
      <c r="AB359" s="0" t="str">
        <f aca="false">IF(AND(C358=C359,Y358=Y359-1),Z358,"")</f>
        <v/>
      </c>
      <c r="AC359" s="0" t="str">
        <f aca="false">IF(AND(C358=C359,Y358=Y359-1),AA358,"")</f>
        <v/>
      </c>
      <c r="AD359" s="0" t="str">
        <f aca="false">IF(Y359=1,"",IF(AND(Z359=1,AB359&lt;&gt;1),1,0))</f>
        <v/>
      </c>
      <c r="AE359" s="0" t="str">
        <f aca="false">IF(Y359=1,"",IF(AND(AA359=1,AC359&lt;&gt;1),1,0))</f>
        <v/>
      </c>
      <c r="AF359" s="45" t="str">
        <f aca="false">IF(AND(E359&gt;0,Y359&lt;1,NOT(AND(C360=C359,Y360=Y359+1))),INDEX(DATAS,Y359+1),"")</f>
        <v/>
      </c>
      <c r="AG359" s="45" t="str">
        <f aca="false">IF(AND(AA359=1,Y359&lt;1),IF(AND(C360=C359,Y360=Y359+1),IF(AA360=1,"",INDEX(DATAS,Y359+1)),INDEX(DATAS,Y359+1)),"")</f>
        <v/>
      </c>
    </row>
    <row r="360" customFormat="false" ht="15" hidden="false" customHeight="false" outlineLevel="0" collapsed="false">
      <c r="A360" s="45" t="n">
        <v>46309</v>
      </c>
      <c r="B360" s="0" t="n">
        <v>5</v>
      </c>
      <c r="C360" s="0" t="n">
        <v>4017</v>
      </c>
      <c r="D360" s="0" t="n">
        <v>500</v>
      </c>
      <c r="E360" s="0" t="n">
        <v>2</v>
      </c>
      <c r="F360" s="39" t="s">
        <v>395</v>
      </c>
      <c r="G360" s="0" t="n">
        <v>44.2</v>
      </c>
      <c r="H360" s="0" t="n">
        <v>40</v>
      </c>
      <c r="I360" s="39" t="s">
        <v>109</v>
      </c>
      <c r="J360" s="0" t="n">
        <v>297</v>
      </c>
      <c r="K360" s="0" t="n">
        <v>59</v>
      </c>
      <c r="L360" s="0" t="n">
        <v>203</v>
      </c>
      <c r="M360" s="0" t="n">
        <v>844.12</v>
      </c>
      <c r="N360" s="0" t="n">
        <v>32.02</v>
      </c>
      <c r="O360" s="0" t="n">
        <v>37.47</v>
      </c>
      <c r="P360" s="0" t="n">
        <v>3.61</v>
      </c>
      <c r="Q360" s="0" t="n">
        <v>3.47</v>
      </c>
      <c r="R360" s="0" t="n">
        <v>5987</v>
      </c>
      <c r="S360" s="0" t="n">
        <v>11680</v>
      </c>
      <c r="T360" s="0" t="n">
        <v>64.1</v>
      </c>
      <c r="U360" s="0" t="n">
        <v>1605</v>
      </c>
      <c r="V360" s="0" t="n">
        <v>7</v>
      </c>
      <c r="W360" s="39" t="n">
        <f aca="false">IF(I360="Male",0,1)</f>
        <v>1</v>
      </c>
      <c r="X360" s="39" t="n">
        <f aca="false">IF(OR(I360="DNB",I360="Dry DNB"),1,0)</f>
        <v>0</v>
      </c>
      <c r="Y360" s="39" t="n">
        <f aca="false">MATCH(A360,DATAS,0)</f>
        <v>1</v>
      </c>
      <c r="Z360" s="39" t="n">
        <f aca="false">IF(AND(E360&gt;0,OR(AND(B360&gt;=1,B360&lt;=6),B360=10)),1,0)</f>
        <v>1</v>
      </c>
      <c r="AA360" s="39" t="n">
        <f aca="false">IF(AND(E360&gt;0,B360=10),1,0)</f>
        <v>0</v>
      </c>
      <c r="AB360" s="0" t="str">
        <f aca="false">IF(AND(C359=C360,Y359=Y360-1),Z359,"")</f>
        <v/>
      </c>
      <c r="AC360" s="0" t="str">
        <f aca="false">IF(AND(C359=C360,Y359=Y360-1),AA359,"")</f>
        <v/>
      </c>
      <c r="AD360" s="0" t="str">
        <f aca="false">IF(Y360=1,"",IF(AND(Z360=1,AB360&lt;&gt;1),1,0))</f>
        <v/>
      </c>
      <c r="AE360" s="0" t="str">
        <f aca="false">IF(Y360=1,"",IF(AND(AA360=1,AC360&lt;&gt;1),1,0))</f>
        <v/>
      </c>
      <c r="AF360" s="45" t="str">
        <f aca="false">IF(AND(E360&gt;0,Y360&lt;1,NOT(AND(C361=C360,Y361=Y360+1))),INDEX(DATAS,Y360+1),"")</f>
        <v/>
      </c>
      <c r="AG360" s="45" t="str">
        <f aca="false">IF(AND(AA360=1,Y360&lt;1),IF(AND(C361=C360,Y361=Y360+1),IF(AA361=1,"",INDEX(DATAS,Y360+1)),INDEX(DATAS,Y360+1)),"")</f>
        <v/>
      </c>
    </row>
    <row r="361" customFormat="false" ht="15" hidden="false" customHeight="false" outlineLevel="0" collapsed="false">
      <c r="A361" s="45" t="n">
        <v>46309</v>
      </c>
      <c r="B361" s="0" t="n">
        <v>6</v>
      </c>
      <c r="C361" s="0" t="n">
        <v>4018</v>
      </c>
      <c r="D361" s="0" t="n">
        <v>132</v>
      </c>
      <c r="E361" s="0" t="n">
        <v>3</v>
      </c>
      <c r="F361" s="39" t="s">
        <v>396</v>
      </c>
      <c r="G361" s="0" t="n">
        <v>24.6</v>
      </c>
      <c r="H361" s="0" t="n">
        <v>22</v>
      </c>
      <c r="I361" s="39" t="s">
        <v>109</v>
      </c>
      <c r="J361" s="0" t="n">
        <v>63</v>
      </c>
      <c r="K361" s="0" t="n">
        <v>63</v>
      </c>
      <c r="L361" s="0" t="n">
        <v>69</v>
      </c>
      <c r="M361" s="0" t="n">
        <v>561.52</v>
      </c>
      <c r="N361" s="0" t="n">
        <v>34.82</v>
      </c>
      <c r="O361" s="0" t="n">
        <v>34.18</v>
      </c>
      <c r="P361" s="0" t="n">
        <v>7.26</v>
      </c>
      <c r="Q361" s="0" t="n">
        <v>4.1</v>
      </c>
      <c r="R361" s="0" t="n">
        <v>4846</v>
      </c>
      <c r="S361" s="0" t="n">
        <v>8402</v>
      </c>
      <c r="T361" s="0" t="n">
        <v>58.7</v>
      </c>
      <c r="U361" s="0" t="n">
        <v>1604</v>
      </c>
      <c r="V361" s="0" t="n">
        <v>1</v>
      </c>
      <c r="W361" s="39" t="n">
        <f aca="false">IF(I361="Male",0,1)</f>
        <v>1</v>
      </c>
      <c r="X361" s="39" t="n">
        <f aca="false">IF(OR(I361="DNB",I361="Dry DNB"),1,0)</f>
        <v>0</v>
      </c>
      <c r="Y361" s="39" t="n">
        <f aca="false">MATCH(A361,DATAS,0)</f>
        <v>1</v>
      </c>
      <c r="Z361" s="39" t="n">
        <f aca="false">IF(AND(E361&gt;0,OR(AND(B361&gt;=1,B361&lt;=6),B361=10)),1,0)</f>
        <v>1</v>
      </c>
      <c r="AA361" s="39" t="n">
        <f aca="false">IF(AND(E361&gt;0,B361=10),1,0)</f>
        <v>0</v>
      </c>
      <c r="AB361" s="0" t="str">
        <f aca="false">IF(AND(C360=C361,Y360=Y361-1),Z360,"")</f>
        <v/>
      </c>
      <c r="AC361" s="0" t="str">
        <f aca="false">IF(AND(C360=C361,Y360=Y361-1),AA360,"")</f>
        <v/>
      </c>
      <c r="AD361" s="0" t="str">
        <f aca="false">IF(Y361=1,"",IF(AND(Z361=1,AB361&lt;&gt;1),1,0))</f>
        <v/>
      </c>
      <c r="AE361" s="0" t="str">
        <f aca="false">IF(Y361=1,"",IF(AND(AA361=1,AC361&lt;&gt;1),1,0))</f>
        <v/>
      </c>
      <c r="AF361" s="45" t="str">
        <f aca="false">IF(AND(E361&gt;0,Y361&lt;1,NOT(AND(C362=C361,Y362=Y361+1))),INDEX(DATAS,Y361+1),"")</f>
        <v/>
      </c>
      <c r="AG361" s="45" t="str">
        <f aca="false">IF(AND(AA361=1,Y361&lt;1),IF(AND(C362=C361,Y362=Y361+1),IF(AA362=1,"",INDEX(DATAS,Y361+1)),INDEX(DATAS,Y361+1)),"")</f>
        <v/>
      </c>
    </row>
    <row r="362" customFormat="false" ht="15" hidden="false" customHeight="false" outlineLevel="0" collapsed="false">
      <c r="A362" s="45" t="n">
        <v>46309</v>
      </c>
      <c r="B362" s="0" t="n">
        <v>5</v>
      </c>
      <c r="C362" s="0" t="n">
        <v>4019</v>
      </c>
      <c r="D362" s="0" t="n">
        <v>232</v>
      </c>
      <c r="E362" s="0" t="n">
        <v>3</v>
      </c>
      <c r="F362" s="39" t="s">
        <v>397</v>
      </c>
      <c r="G362" s="0" t="n">
        <v>33.2</v>
      </c>
      <c r="H362" s="0" t="n">
        <v>31</v>
      </c>
      <c r="I362" s="39" t="s">
        <v>109</v>
      </c>
      <c r="J362" s="0" t="n">
        <v>162</v>
      </c>
      <c r="K362" s="0" t="n">
        <v>64</v>
      </c>
      <c r="L362" s="0" t="n">
        <v>70</v>
      </c>
      <c r="M362" s="0" t="n">
        <v>931.6</v>
      </c>
      <c r="N362" s="0" t="n">
        <v>80.39</v>
      </c>
      <c r="O362" s="0" t="n">
        <v>48.39</v>
      </c>
      <c r="P362" s="0" t="n">
        <v>4.86</v>
      </c>
      <c r="Q362" s="0" t="n">
        <v>4.46</v>
      </c>
      <c r="R362" s="0" t="n">
        <v>3833</v>
      </c>
      <c r="S362" s="0" t="n">
        <v>7722</v>
      </c>
      <c r="T362" s="0" t="n">
        <v>42.85</v>
      </c>
      <c r="U362" s="0" t="n">
        <v>1603</v>
      </c>
      <c r="V362" s="0" t="n">
        <v>3</v>
      </c>
      <c r="W362" s="39" t="n">
        <f aca="false">IF(I362="Male",0,1)</f>
        <v>1</v>
      </c>
      <c r="X362" s="39" t="n">
        <f aca="false">IF(OR(I362="DNB",I362="Dry DNB"),1,0)</f>
        <v>0</v>
      </c>
      <c r="Y362" s="39" t="n">
        <f aca="false">MATCH(A362,DATAS,0)</f>
        <v>1</v>
      </c>
      <c r="Z362" s="39" t="n">
        <f aca="false">IF(AND(E362&gt;0,OR(AND(B362&gt;=1,B362&lt;=6),B362=10)),1,0)</f>
        <v>1</v>
      </c>
      <c r="AA362" s="39" t="n">
        <f aca="false">IF(AND(E362&gt;0,B362=10),1,0)</f>
        <v>0</v>
      </c>
      <c r="AB362" s="0" t="str">
        <f aca="false">IF(AND(C361=C362,Y361=Y362-1),Z361,"")</f>
        <v/>
      </c>
      <c r="AC362" s="0" t="str">
        <f aca="false">IF(AND(C361=C362,Y361=Y362-1),AA361,"")</f>
        <v/>
      </c>
      <c r="AD362" s="0" t="str">
        <f aca="false">IF(Y362=1,"",IF(AND(Z362=1,AB362&lt;&gt;1),1,0))</f>
        <v/>
      </c>
      <c r="AE362" s="0" t="str">
        <f aca="false">IF(Y362=1,"",IF(AND(AA362=1,AC362&lt;&gt;1),1,0))</f>
        <v/>
      </c>
      <c r="AF362" s="45" t="str">
        <f aca="false">IF(AND(E362&gt;0,Y362&lt;1,NOT(AND(C363=C362,Y363=Y362+1))),INDEX(DATAS,Y362+1),"")</f>
        <v/>
      </c>
      <c r="AG362" s="45" t="str">
        <f aca="false">IF(AND(AA362=1,Y362&lt;1),IF(AND(C363=C362,Y363=Y362+1),IF(AA363=1,"",INDEX(DATAS,Y362+1)),INDEX(DATAS,Y362+1)),"")</f>
        <v/>
      </c>
    </row>
    <row r="363" customFormat="false" ht="15" hidden="false" customHeight="false" outlineLevel="0" collapsed="false">
      <c r="A363" s="45" t="n">
        <v>46309</v>
      </c>
      <c r="B363" s="0" t="n">
        <v>6</v>
      </c>
      <c r="C363" s="0" t="n">
        <v>4026</v>
      </c>
      <c r="D363" s="0" t="n">
        <v>207</v>
      </c>
      <c r="E363" s="0" t="n">
        <v>3</v>
      </c>
      <c r="F363" s="39" t="s">
        <v>398</v>
      </c>
      <c r="G363" s="0" t="n">
        <v>32</v>
      </c>
      <c r="H363" s="0" t="n">
        <v>29</v>
      </c>
      <c r="I363" s="39" t="s">
        <v>109</v>
      </c>
      <c r="J363" s="0" t="n">
        <v>67</v>
      </c>
      <c r="K363" s="0" t="n">
        <v>74</v>
      </c>
      <c r="L363" s="0" t="n">
        <v>140</v>
      </c>
      <c r="M363" s="0" t="n">
        <v>436.67</v>
      </c>
      <c r="N363" s="0" t="n">
        <v>33.02</v>
      </c>
      <c r="O363" s="0" t="n">
        <v>23.51</v>
      </c>
      <c r="P363" s="0" t="n">
        <v>3.74</v>
      </c>
      <c r="Q363" s="0" t="n">
        <v>3.55</v>
      </c>
      <c r="R363" s="0" t="n">
        <v>2052</v>
      </c>
      <c r="S363" s="0" t="n">
        <v>4717</v>
      </c>
      <c r="T363" s="0" t="n">
        <v>22.35</v>
      </c>
      <c r="U363" s="0" t="n">
        <v>1598</v>
      </c>
      <c r="V363" s="0" t="n">
        <v>1</v>
      </c>
      <c r="W363" s="39" t="n">
        <f aca="false">IF(I363="Male",0,1)</f>
        <v>1</v>
      </c>
      <c r="X363" s="39" t="n">
        <f aca="false">IF(OR(I363="DNB",I363="Dry DNB"),1,0)</f>
        <v>0</v>
      </c>
      <c r="Y363" s="39" t="n">
        <f aca="false">MATCH(A363,DATAS,0)</f>
        <v>1</v>
      </c>
      <c r="Z363" s="39" t="n">
        <f aca="false">IF(AND(E363&gt;0,OR(AND(B363&gt;=1,B363&lt;=6),B363=10)),1,0)</f>
        <v>1</v>
      </c>
      <c r="AA363" s="39" t="n">
        <f aca="false">IF(AND(E363&gt;0,B363=10),1,0)</f>
        <v>0</v>
      </c>
      <c r="AB363" s="0" t="str">
        <f aca="false">IF(AND(C362=C363,Y362=Y363-1),Z362,"")</f>
        <v/>
      </c>
      <c r="AC363" s="0" t="str">
        <f aca="false">IF(AND(C362=C363,Y362=Y363-1),AA362,"")</f>
        <v/>
      </c>
      <c r="AD363" s="0" t="str">
        <f aca="false">IF(Y363=1,"",IF(AND(Z363=1,AB363&lt;&gt;1),1,0))</f>
        <v/>
      </c>
      <c r="AE363" s="0" t="str">
        <f aca="false">IF(Y363=1,"",IF(AND(AA363=1,AC363&lt;&gt;1),1,0))</f>
        <v/>
      </c>
      <c r="AF363" s="45" t="str">
        <f aca="false">IF(AND(E363&gt;0,Y363&lt;1,NOT(AND(C364=C363,Y364=Y363+1))),INDEX(DATAS,Y363+1),"")</f>
        <v/>
      </c>
      <c r="AG363" s="45" t="str">
        <f aca="false">IF(AND(AA363=1,Y363&lt;1),IF(AND(C364=C363,Y364=Y363+1),IF(AA364=1,"",INDEX(DATAS,Y363+1)),INDEX(DATAS,Y363+1)),"")</f>
        <v/>
      </c>
    </row>
    <row r="364" customFormat="false" ht="15" hidden="false" customHeight="false" outlineLevel="0" collapsed="false">
      <c r="A364" s="45" t="n">
        <v>46309</v>
      </c>
      <c r="B364" s="0" t="n">
        <v>6</v>
      </c>
      <c r="C364" s="0" t="n">
        <v>4028</v>
      </c>
      <c r="D364" s="0" t="n">
        <v>176</v>
      </c>
      <c r="E364" s="0" t="n">
        <v>3</v>
      </c>
      <c r="F364" s="39" t="s">
        <v>399</v>
      </c>
      <c r="G364" s="0" t="n">
        <v>33.7</v>
      </c>
      <c r="H364" s="0" t="n">
        <v>31</v>
      </c>
      <c r="I364" s="39" t="s">
        <v>138</v>
      </c>
      <c r="J364" s="0" t="n">
        <v>176</v>
      </c>
      <c r="K364" s="0" t="n">
        <v>64</v>
      </c>
      <c r="M364" s="0" t="n">
        <v>345.42</v>
      </c>
      <c r="N364" s="0" t="n">
        <v>52.96</v>
      </c>
      <c r="O364" s="0" t="n">
        <v>20.66</v>
      </c>
      <c r="P364" s="0" t="n">
        <v>4.67</v>
      </c>
      <c r="Q364" s="0" t="n">
        <v>3.72</v>
      </c>
      <c r="R364" s="0" t="n">
        <v>6774</v>
      </c>
      <c r="S364" s="0" t="n">
        <v>12138</v>
      </c>
      <c r="T364" s="0" t="n">
        <v>77.4</v>
      </c>
      <c r="U364" s="0" t="n">
        <v>1596</v>
      </c>
      <c r="V364" s="0" t="n">
        <v>3</v>
      </c>
      <c r="W364" s="39" t="n">
        <f aca="false">IF(I364="Male",0,1)</f>
        <v>1</v>
      </c>
      <c r="X364" s="39" t="n">
        <f aca="false">IF(OR(I364="DNB",I364="Dry DNB"),1,0)</f>
        <v>0</v>
      </c>
      <c r="Y364" s="39" t="n">
        <f aca="false">MATCH(A364,DATAS,0)</f>
        <v>1</v>
      </c>
      <c r="Z364" s="39" t="n">
        <f aca="false">IF(AND(E364&gt;0,OR(AND(B364&gt;=1,B364&lt;=6),B364=10)),1,0)</f>
        <v>1</v>
      </c>
      <c r="AA364" s="39" t="n">
        <f aca="false">IF(AND(E364&gt;0,B364=10),1,0)</f>
        <v>0</v>
      </c>
      <c r="AB364" s="0" t="str">
        <f aca="false">IF(AND(C363=C364,Y363=Y364-1),Z363,"")</f>
        <v/>
      </c>
      <c r="AC364" s="0" t="str">
        <f aca="false">IF(AND(C363=C364,Y363=Y364-1),AA363,"")</f>
        <v/>
      </c>
      <c r="AD364" s="0" t="str">
        <f aca="false">IF(Y364=1,"",IF(AND(Z364=1,AB364&lt;&gt;1),1,0))</f>
        <v/>
      </c>
      <c r="AE364" s="0" t="str">
        <f aca="false">IF(Y364=1,"",IF(AND(AA364=1,AC364&lt;&gt;1),1,0))</f>
        <v/>
      </c>
      <c r="AF364" s="45" t="str">
        <f aca="false">IF(AND(E364&gt;0,Y364&lt;1,NOT(AND(C365=C364,Y365=Y364+1))),INDEX(DATAS,Y364+1),"")</f>
        <v/>
      </c>
      <c r="AG364" s="45" t="str">
        <f aca="false">IF(AND(AA364=1,Y364&lt;1),IF(AND(C365=C364,Y365=Y364+1),IF(AA365=1,"",INDEX(DATAS,Y364+1)),INDEX(DATAS,Y364+1)),"")</f>
        <v/>
      </c>
    </row>
    <row r="365" customFormat="false" ht="15" hidden="false" customHeight="false" outlineLevel="0" collapsed="false">
      <c r="A365" s="45" t="n">
        <v>46309</v>
      </c>
      <c r="B365" s="0" t="n">
        <v>3</v>
      </c>
      <c r="C365" s="0" t="n">
        <v>4031</v>
      </c>
      <c r="D365" s="0" t="n">
        <v>161</v>
      </c>
      <c r="E365" s="0" t="n">
        <v>3</v>
      </c>
      <c r="F365" s="39" t="s">
        <v>400</v>
      </c>
      <c r="G365" s="0" t="n">
        <v>48.1</v>
      </c>
      <c r="H365" s="0" t="n">
        <v>55</v>
      </c>
      <c r="I365" s="39" t="s">
        <v>138</v>
      </c>
      <c r="J365" s="0" t="n">
        <v>161</v>
      </c>
      <c r="K365" s="0" t="n">
        <v>63</v>
      </c>
      <c r="M365" s="0" t="n">
        <v>-16.31</v>
      </c>
      <c r="N365" s="0" t="n">
        <v>30.73</v>
      </c>
      <c r="O365" s="0" t="n">
        <v>13.08</v>
      </c>
      <c r="P365" s="0" t="n">
        <v>5.75</v>
      </c>
      <c r="Q365" s="0" t="n">
        <v>3.53</v>
      </c>
      <c r="R365" s="0" t="n">
        <v>4955</v>
      </c>
      <c r="S365" s="0" t="n">
        <v>10508</v>
      </c>
      <c r="T365" s="0" t="n">
        <v>51.9</v>
      </c>
      <c r="U365" s="0" t="n">
        <v>1595</v>
      </c>
      <c r="V365" s="0" t="n">
        <v>3</v>
      </c>
      <c r="W365" s="39" t="n">
        <f aca="false">IF(I365="Male",0,1)</f>
        <v>1</v>
      </c>
      <c r="X365" s="39" t="n">
        <f aca="false">IF(OR(I365="DNB",I365="Dry DNB"),1,0)</f>
        <v>0</v>
      </c>
      <c r="Y365" s="39" t="n">
        <f aca="false">MATCH(A365,DATAS,0)</f>
        <v>1</v>
      </c>
      <c r="Z365" s="39" t="n">
        <f aca="false">IF(AND(E365&gt;0,OR(AND(B365&gt;=1,B365&lt;=6),B365=10)),1,0)</f>
        <v>1</v>
      </c>
      <c r="AA365" s="39" t="n">
        <f aca="false">IF(AND(E365&gt;0,B365=10),1,0)</f>
        <v>0</v>
      </c>
      <c r="AB365" s="0" t="str">
        <f aca="false">IF(AND(C364=C365,Y364=Y365-1),Z364,"")</f>
        <v/>
      </c>
      <c r="AC365" s="0" t="str">
        <f aca="false">IF(AND(C364=C365,Y364=Y365-1),AA364,"")</f>
        <v/>
      </c>
      <c r="AD365" s="0" t="str">
        <f aca="false">IF(Y365=1,"",IF(AND(Z365=1,AB365&lt;&gt;1),1,0))</f>
        <v/>
      </c>
      <c r="AE365" s="0" t="str">
        <f aca="false">IF(Y365=1,"",IF(AND(AA365=1,AC365&lt;&gt;1),1,0))</f>
        <v/>
      </c>
      <c r="AF365" s="45" t="str">
        <f aca="false">IF(AND(E365&gt;0,Y365&lt;1,NOT(AND(C366=C365,Y366=Y365+1))),INDEX(DATAS,Y365+1),"")</f>
        <v/>
      </c>
      <c r="AG365" s="45" t="str">
        <f aca="false">IF(AND(AA365=1,Y365&lt;1),IF(AND(C366=C365,Y366=Y365+1),IF(AA366=1,"",INDEX(DATAS,Y365+1)),INDEX(DATAS,Y365+1)),"")</f>
        <v/>
      </c>
    </row>
    <row r="366" customFormat="false" ht="15" hidden="false" customHeight="false" outlineLevel="0" collapsed="false">
      <c r="A366" s="45" t="n">
        <v>46309</v>
      </c>
      <c r="B366" s="0" t="n">
        <v>5</v>
      </c>
      <c r="C366" s="0" t="n">
        <v>4032</v>
      </c>
      <c r="D366" s="0" t="n">
        <v>446</v>
      </c>
      <c r="E366" s="0" t="n">
        <v>2</v>
      </c>
      <c r="F366" s="39" t="s">
        <v>400</v>
      </c>
      <c r="G366" s="0" t="n">
        <v>33.1</v>
      </c>
      <c r="H366" s="0" t="n">
        <v>33</v>
      </c>
      <c r="I366" s="39" t="s">
        <v>109</v>
      </c>
      <c r="J366" s="0" t="n">
        <v>328</v>
      </c>
      <c r="K366" s="0" t="n">
        <v>61</v>
      </c>
      <c r="L366" s="0" t="n">
        <v>118</v>
      </c>
      <c r="M366" s="0" t="n">
        <v>1084.4</v>
      </c>
      <c r="N366" s="0" t="n">
        <v>31.67</v>
      </c>
      <c r="O366" s="0" t="n">
        <v>33.98</v>
      </c>
      <c r="P366" s="0" t="n">
        <v>3.63</v>
      </c>
      <c r="Q366" s="0" t="n">
        <v>3.51</v>
      </c>
      <c r="R366" s="0" t="n">
        <v>5734</v>
      </c>
      <c r="S366" s="0" t="n">
        <v>11925</v>
      </c>
      <c r="T366" s="0" t="n">
        <v>65</v>
      </c>
      <c r="U366" s="0" t="n">
        <v>1595</v>
      </c>
      <c r="V366" s="0" t="n">
        <v>4</v>
      </c>
      <c r="W366" s="39" t="n">
        <f aca="false">IF(I366="Male",0,1)</f>
        <v>1</v>
      </c>
      <c r="X366" s="39" t="n">
        <f aca="false">IF(OR(I366="DNB",I366="Dry DNB"),1,0)</f>
        <v>0</v>
      </c>
      <c r="Y366" s="39" t="n">
        <f aca="false">MATCH(A366,DATAS,0)</f>
        <v>1</v>
      </c>
      <c r="Z366" s="39" t="n">
        <f aca="false">IF(AND(E366&gt;0,OR(AND(B366&gt;=1,B366&lt;=6),B366=10)),1,0)</f>
        <v>1</v>
      </c>
      <c r="AA366" s="39" t="n">
        <f aca="false">IF(AND(E366&gt;0,B366=10),1,0)</f>
        <v>0</v>
      </c>
      <c r="AB366" s="0" t="str">
        <f aca="false">IF(AND(C365=C366,Y365=Y366-1),Z365,"")</f>
        <v/>
      </c>
      <c r="AC366" s="0" t="str">
        <f aca="false">IF(AND(C365=C366,Y365=Y366-1),AA365,"")</f>
        <v/>
      </c>
      <c r="AD366" s="0" t="str">
        <f aca="false">IF(Y366=1,"",IF(AND(Z366=1,AB366&lt;&gt;1),1,0))</f>
        <v/>
      </c>
      <c r="AE366" s="0" t="str">
        <f aca="false">IF(Y366=1,"",IF(AND(AA366=1,AC366&lt;&gt;1),1,0))</f>
        <v/>
      </c>
      <c r="AF366" s="45" t="str">
        <f aca="false">IF(AND(E366&gt;0,Y366&lt;1,NOT(AND(C367=C366,Y367=Y366+1))),INDEX(DATAS,Y366+1),"")</f>
        <v/>
      </c>
      <c r="AG366" s="45" t="str">
        <f aca="false">IF(AND(AA366=1,Y366&lt;1),IF(AND(C367=C366,Y367=Y366+1),IF(AA367=1,"",INDEX(DATAS,Y366+1)),INDEX(DATAS,Y366+1)),"")</f>
        <v/>
      </c>
    </row>
    <row r="367" customFormat="false" ht="15" hidden="false" customHeight="false" outlineLevel="0" collapsed="false">
      <c r="A367" s="45" t="n">
        <v>46309</v>
      </c>
      <c r="B367" s="0" t="n">
        <v>2</v>
      </c>
      <c r="C367" s="0" t="n">
        <v>4033</v>
      </c>
      <c r="D367" s="0" t="n">
        <v>110</v>
      </c>
      <c r="E367" s="0" t="n">
        <v>3</v>
      </c>
      <c r="F367" s="39" t="s">
        <v>400</v>
      </c>
      <c r="G367" s="0" t="n">
        <v>53.9</v>
      </c>
      <c r="H367" s="0" t="n">
        <v>49</v>
      </c>
      <c r="I367" s="39" t="s">
        <v>138</v>
      </c>
      <c r="J367" s="0" t="n">
        <v>110</v>
      </c>
      <c r="K367" s="0" t="n">
        <v>68</v>
      </c>
      <c r="M367" s="0" t="n">
        <v>331.54</v>
      </c>
      <c r="N367" s="0" t="n">
        <v>49.6</v>
      </c>
      <c r="O367" s="0" t="n">
        <v>25.61</v>
      </c>
      <c r="P367" s="0" t="n">
        <v>2.77</v>
      </c>
      <c r="Q367" s="0" t="n">
        <v>3.59</v>
      </c>
      <c r="R367" s="0" t="n">
        <v>4690</v>
      </c>
      <c r="S367" s="0" t="n">
        <v>9489</v>
      </c>
      <c r="T367" s="0" t="n">
        <v>51.55</v>
      </c>
      <c r="U367" s="0" t="n">
        <v>1595</v>
      </c>
      <c r="V367" s="0" t="n">
        <v>2</v>
      </c>
      <c r="W367" s="39" t="n">
        <f aca="false">IF(I367="Male",0,1)</f>
        <v>1</v>
      </c>
      <c r="X367" s="39" t="n">
        <f aca="false">IF(OR(I367="DNB",I367="Dry DNB"),1,0)</f>
        <v>0</v>
      </c>
      <c r="Y367" s="39" t="n">
        <f aca="false">MATCH(A367,DATAS,0)</f>
        <v>1</v>
      </c>
      <c r="Z367" s="39" t="n">
        <f aca="false">IF(AND(E367&gt;0,OR(AND(B367&gt;=1,B367&lt;=6),B367=10)),1,0)</f>
        <v>1</v>
      </c>
      <c r="AA367" s="39" t="n">
        <f aca="false">IF(AND(E367&gt;0,B367=10),1,0)</f>
        <v>0</v>
      </c>
      <c r="AB367" s="0" t="str">
        <f aca="false">IF(AND(C366=C367,Y366=Y367-1),Z366,"")</f>
        <v/>
      </c>
      <c r="AC367" s="0" t="str">
        <f aca="false">IF(AND(C366=C367,Y366=Y367-1),AA366,"")</f>
        <v/>
      </c>
      <c r="AD367" s="0" t="str">
        <f aca="false">IF(Y367=1,"",IF(AND(Z367=1,AB367&lt;&gt;1),1,0))</f>
        <v/>
      </c>
      <c r="AE367" s="0" t="str">
        <f aca="false">IF(Y367=1,"",IF(AND(AA367=1,AC367&lt;&gt;1),1,0))</f>
        <v/>
      </c>
      <c r="AF367" s="45" t="str">
        <f aca="false">IF(AND(E367&gt;0,Y367&lt;1,NOT(AND(C368=C367,Y368=Y367+1))),INDEX(DATAS,Y367+1),"")</f>
        <v/>
      </c>
      <c r="AG367" s="45" t="str">
        <f aca="false">IF(AND(AA367=1,Y367&lt;1),IF(AND(C368=C367,Y368=Y367+1),IF(AA368=1,"",INDEX(DATAS,Y367+1)),INDEX(DATAS,Y367+1)),"")</f>
        <v/>
      </c>
    </row>
    <row r="368" customFormat="false" ht="15" hidden="false" customHeight="false" outlineLevel="0" collapsed="false">
      <c r="A368" s="45" t="n">
        <v>46309</v>
      </c>
      <c r="B368" s="0" t="n">
        <v>7</v>
      </c>
      <c r="C368" s="0" t="n">
        <v>4038</v>
      </c>
      <c r="D368" s="0" t="n">
        <v>461</v>
      </c>
      <c r="E368" s="0" t="n">
        <v>2</v>
      </c>
      <c r="F368" s="39" t="s">
        <v>401</v>
      </c>
      <c r="I368" s="39" t="s">
        <v>114</v>
      </c>
      <c r="J368" s="0" t="n">
        <v>258</v>
      </c>
      <c r="K368" s="0" t="n">
        <v>220</v>
      </c>
      <c r="L368" s="0" t="n">
        <v>217</v>
      </c>
      <c r="M368" s="0" t="n">
        <v>807.18</v>
      </c>
      <c r="N368" s="0" t="n">
        <v>67.15</v>
      </c>
      <c r="O368" s="0" t="n">
        <v>39.35</v>
      </c>
      <c r="P368" s="0" t="n">
        <v>6.85</v>
      </c>
      <c r="Q368" s="0" t="n">
        <v>4.44</v>
      </c>
      <c r="R368" s="0" t="n">
        <v>4116</v>
      </c>
      <c r="S368" s="0" t="n">
        <v>7839</v>
      </c>
      <c r="T368" s="0" t="n">
        <v>48.35</v>
      </c>
      <c r="U368" s="0" t="n">
        <v>1589</v>
      </c>
      <c r="V368" s="0" t="n">
        <v>2</v>
      </c>
      <c r="W368" s="39" t="n">
        <f aca="false">IF(I368="Male",0,1)</f>
        <v>1</v>
      </c>
      <c r="X368" s="39" t="n">
        <f aca="false">IF(OR(I368="DNB",I368="Dry DNB"),1,0)</f>
        <v>0</v>
      </c>
      <c r="Y368" s="39" t="n">
        <f aca="false">MATCH(A368,DATAS,0)</f>
        <v>1</v>
      </c>
      <c r="Z368" s="39" t="n">
        <f aca="false">IF(AND(E368&gt;0,OR(AND(B368&gt;=1,B368&lt;=6),B368=10)),1,0)</f>
        <v>0</v>
      </c>
      <c r="AA368" s="39" t="n">
        <f aca="false">IF(AND(E368&gt;0,B368=10),1,0)</f>
        <v>0</v>
      </c>
      <c r="AB368" s="0" t="str">
        <f aca="false">IF(AND(C367=C368,Y367=Y368-1),Z367,"")</f>
        <v/>
      </c>
      <c r="AC368" s="0" t="str">
        <f aca="false">IF(AND(C367=C368,Y367=Y368-1),AA367,"")</f>
        <v/>
      </c>
      <c r="AD368" s="0" t="str">
        <f aca="false">IF(Y368=1,"",IF(AND(Z368=1,AB368&lt;&gt;1),1,0))</f>
        <v/>
      </c>
      <c r="AE368" s="0" t="str">
        <f aca="false">IF(Y368=1,"",IF(AND(AA368=1,AC368&lt;&gt;1),1,0))</f>
        <v/>
      </c>
      <c r="AF368" s="45" t="str">
        <f aca="false">IF(AND(E368&gt;0,Y368&lt;1,NOT(AND(C369=C368,Y369=Y368+1))),INDEX(DATAS,Y368+1),"")</f>
        <v/>
      </c>
      <c r="AG368" s="45" t="str">
        <f aca="false">IF(AND(AA368=1,Y368&lt;1),IF(AND(C369=C368,Y369=Y368+1),IF(AA369=1,"",INDEX(DATAS,Y368+1)),INDEX(DATAS,Y368+1)),"")</f>
        <v/>
      </c>
    </row>
    <row r="369" customFormat="false" ht="15" hidden="false" customHeight="false" outlineLevel="0" collapsed="false">
      <c r="A369" s="45" t="n">
        <v>46309</v>
      </c>
      <c r="B369" s="0" t="n">
        <v>7</v>
      </c>
      <c r="C369" s="0" t="n">
        <v>4041</v>
      </c>
      <c r="D369" s="0" t="n">
        <v>292</v>
      </c>
      <c r="E369" s="0" t="n">
        <v>2</v>
      </c>
      <c r="F369" s="39" t="s">
        <v>402</v>
      </c>
      <c r="I369" s="39" t="s">
        <v>114</v>
      </c>
      <c r="J369" s="0" t="n">
        <v>69</v>
      </c>
      <c r="K369" s="0" t="n">
        <v>69</v>
      </c>
      <c r="L369" s="0" t="n">
        <v>231</v>
      </c>
      <c r="M369" s="0" t="n">
        <v>841.24</v>
      </c>
      <c r="N369" s="0" t="n">
        <v>91.11</v>
      </c>
      <c r="O369" s="0" t="n">
        <v>39.19</v>
      </c>
      <c r="P369" s="0" t="n">
        <v>3.72</v>
      </c>
      <c r="Q369" s="0" t="n">
        <v>3.69</v>
      </c>
      <c r="R369" s="0" t="n">
        <v>5797</v>
      </c>
      <c r="S369" s="0" t="n">
        <v>11235</v>
      </c>
      <c r="T369" s="0" t="n">
        <v>64.9</v>
      </c>
      <c r="U369" s="0" t="n">
        <v>1583</v>
      </c>
      <c r="V369" s="0" t="n">
        <v>1</v>
      </c>
      <c r="W369" s="39" t="n">
        <f aca="false">IF(I369="Male",0,1)</f>
        <v>1</v>
      </c>
      <c r="X369" s="39" t="n">
        <f aca="false">IF(OR(I369="DNB",I369="Dry DNB"),1,0)</f>
        <v>0</v>
      </c>
      <c r="Y369" s="39" t="n">
        <f aca="false">MATCH(A369,DATAS,0)</f>
        <v>1</v>
      </c>
      <c r="Z369" s="39" t="n">
        <f aca="false">IF(AND(E369&gt;0,OR(AND(B369&gt;=1,B369&lt;=6),B369=10)),1,0)</f>
        <v>0</v>
      </c>
      <c r="AA369" s="39" t="n">
        <f aca="false">IF(AND(E369&gt;0,B369=10),1,0)</f>
        <v>0</v>
      </c>
      <c r="AB369" s="0" t="str">
        <f aca="false">IF(AND(C368=C369,Y368=Y369-1),Z368,"")</f>
        <v/>
      </c>
      <c r="AC369" s="0" t="str">
        <f aca="false">IF(AND(C368=C369,Y368=Y369-1),AA368,"")</f>
        <v/>
      </c>
      <c r="AD369" s="0" t="str">
        <f aca="false">IF(Y369=1,"",IF(AND(Z369=1,AB369&lt;&gt;1),1,0))</f>
        <v/>
      </c>
      <c r="AE369" s="0" t="str">
        <f aca="false">IF(Y369=1,"",IF(AND(AA369=1,AC369&lt;&gt;1),1,0))</f>
        <v/>
      </c>
      <c r="AF369" s="45" t="str">
        <f aca="false">IF(AND(E369&gt;0,Y369&lt;1,NOT(AND(C370=C369,Y370=Y369+1))),INDEX(DATAS,Y369+1),"")</f>
        <v/>
      </c>
      <c r="AG369" s="45" t="str">
        <f aca="false">IF(AND(AA369=1,Y369&lt;1),IF(AND(C370=C369,Y370=Y369+1),IF(AA370=1,"",INDEX(DATAS,Y369+1)),INDEX(DATAS,Y369+1)),"")</f>
        <v/>
      </c>
    </row>
    <row r="370" customFormat="false" ht="15" hidden="false" customHeight="false" outlineLevel="0" collapsed="false">
      <c r="A370" s="45" t="n">
        <v>46309</v>
      </c>
      <c r="B370" s="0" t="n">
        <v>5</v>
      </c>
      <c r="C370" s="0" t="n">
        <v>4042</v>
      </c>
      <c r="D370" s="0" t="n">
        <v>587</v>
      </c>
      <c r="E370" s="0" t="n">
        <v>2</v>
      </c>
      <c r="F370" s="39" t="s">
        <v>403</v>
      </c>
      <c r="G370" s="0" t="n">
        <v>37.6</v>
      </c>
      <c r="H370" s="0" t="n">
        <v>36</v>
      </c>
      <c r="I370" s="39" t="s">
        <v>109</v>
      </c>
      <c r="J370" s="0" t="n">
        <v>552</v>
      </c>
      <c r="K370" s="0" t="n">
        <v>63</v>
      </c>
      <c r="L370" s="0" t="n">
        <v>35</v>
      </c>
      <c r="M370" s="0" t="n">
        <v>599.14</v>
      </c>
      <c r="N370" s="0" t="n">
        <v>66.3</v>
      </c>
      <c r="O370" s="0" t="n">
        <v>36.2</v>
      </c>
      <c r="P370" s="0" t="n">
        <v>3.68</v>
      </c>
      <c r="Q370" s="0" t="n">
        <v>4.01</v>
      </c>
      <c r="R370" s="0" t="n">
        <v>5821</v>
      </c>
      <c r="S370" s="0" t="n">
        <v>11047</v>
      </c>
      <c r="T370" s="0" t="n">
        <v>64.55</v>
      </c>
      <c r="U370" s="0" t="n">
        <v>1581</v>
      </c>
      <c r="V370" s="0" t="n">
        <v>14</v>
      </c>
      <c r="W370" s="39" t="n">
        <f aca="false">IF(I370="Male",0,1)</f>
        <v>1</v>
      </c>
      <c r="X370" s="39" t="n">
        <f aca="false">IF(OR(I370="DNB",I370="Dry DNB"),1,0)</f>
        <v>0</v>
      </c>
      <c r="Y370" s="39" t="n">
        <f aca="false">MATCH(A370,DATAS,0)</f>
        <v>1</v>
      </c>
      <c r="Z370" s="39" t="n">
        <f aca="false">IF(AND(E370&gt;0,OR(AND(B370&gt;=1,B370&lt;=6),B370=10)),1,0)</f>
        <v>1</v>
      </c>
      <c r="AA370" s="39" t="n">
        <f aca="false">IF(AND(E370&gt;0,B370=10),1,0)</f>
        <v>0</v>
      </c>
      <c r="AB370" s="0" t="str">
        <f aca="false">IF(AND(C369=C370,Y369=Y370-1),Z369,"")</f>
        <v/>
      </c>
      <c r="AC370" s="0" t="str">
        <f aca="false">IF(AND(C369=C370,Y369=Y370-1),AA369,"")</f>
        <v/>
      </c>
      <c r="AD370" s="0" t="str">
        <f aca="false">IF(Y370=1,"",IF(AND(Z370=1,AB370&lt;&gt;1),1,0))</f>
        <v/>
      </c>
      <c r="AE370" s="0" t="str">
        <f aca="false">IF(Y370=1,"",IF(AND(AA370=1,AC370&lt;&gt;1),1,0))</f>
        <v/>
      </c>
      <c r="AF370" s="45" t="str">
        <f aca="false">IF(AND(E370&gt;0,Y370&lt;1,NOT(AND(C371=C370,Y371=Y370+1))),INDEX(DATAS,Y370+1),"")</f>
        <v/>
      </c>
      <c r="AG370" s="45" t="str">
        <f aca="false">IF(AND(AA370=1,Y370&lt;1),IF(AND(C371=C370,Y371=Y370+1),IF(AA371=1,"",INDEX(DATAS,Y370+1)),INDEX(DATAS,Y370+1)),"")</f>
        <v/>
      </c>
    </row>
    <row r="371" customFormat="false" ht="15" hidden="false" customHeight="false" outlineLevel="0" collapsed="false">
      <c r="A371" s="45" t="n">
        <v>46309</v>
      </c>
      <c r="B371" s="0" t="n">
        <v>6</v>
      </c>
      <c r="C371" s="0" t="n">
        <v>4043</v>
      </c>
      <c r="D371" s="0" t="n">
        <v>468</v>
      </c>
      <c r="E371" s="0" t="n">
        <v>2</v>
      </c>
      <c r="F371" s="39" t="s">
        <v>403</v>
      </c>
      <c r="G371" s="0" t="n">
        <v>25</v>
      </c>
      <c r="H371" s="0" t="n">
        <v>24</v>
      </c>
      <c r="I371" s="39" t="s">
        <v>109</v>
      </c>
      <c r="J371" s="0" t="n">
        <v>363</v>
      </c>
      <c r="K371" s="0" t="n">
        <v>62</v>
      </c>
      <c r="L371" s="0" t="n">
        <v>105</v>
      </c>
      <c r="M371" s="0" t="n">
        <v>-34.51</v>
      </c>
      <c r="N371" s="0" t="n">
        <v>68.26</v>
      </c>
      <c r="O371" s="0" t="n">
        <v>19.81</v>
      </c>
      <c r="P371" s="0" t="n">
        <v>5.67</v>
      </c>
      <c r="Q371" s="0" t="n">
        <v>4.28</v>
      </c>
      <c r="R371" s="0" t="n">
        <v>5863</v>
      </c>
      <c r="S371" s="0" t="n">
        <v>10899</v>
      </c>
      <c r="T371" s="0" t="n">
        <v>65.1</v>
      </c>
      <c r="U371" s="0" t="n">
        <v>1581</v>
      </c>
      <c r="V371" s="0" t="n">
        <v>11</v>
      </c>
      <c r="W371" s="39" t="n">
        <f aca="false">IF(I371="Male",0,1)</f>
        <v>1</v>
      </c>
      <c r="X371" s="39" t="n">
        <f aca="false">IF(OR(I371="DNB",I371="Dry DNB"),1,0)</f>
        <v>0</v>
      </c>
      <c r="Y371" s="39" t="n">
        <f aca="false">MATCH(A371,DATAS,0)</f>
        <v>1</v>
      </c>
      <c r="Z371" s="39" t="n">
        <f aca="false">IF(AND(E371&gt;0,OR(AND(B371&gt;=1,B371&lt;=6),B371=10)),1,0)</f>
        <v>1</v>
      </c>
      <c r="AA371" s="39" t="n">
        <f aca="false">IF(AND(E371&gt;0,B371=10),1,0)</f>
        <v>0</v>
      </c>
      <c r="AB371" s="0" t="str">
        <f aca="false">IF(AND(C370=C371,Y370=Y371-1),Z370,"")</f>
        <v/>
      </c>
      <c r="AC371" s="0" t="str">
        <f aca="false">IF(AND(C370=C371,Y370=Y371-1),AA370,"")</f>
        <v/>
      </c>
      <c r="AD371" s="0" t="str">
        <f aca="false">IF(Y371=1,"",IF(AND(Z371=1,AB371&lt;&gt;1),1,0))</f>
        <v/>
      </c>
      <c r="AE371" s="0" t="str">
        <f aca="false">IF(Y371=1,"",IF(AND(AA371=1,AC371&lt;&gt;1),1,0))</f>
        <v/>
      </c>
      <c r="AF371" s="45" t="str">
        <f aca="false">IF(AND(E371&gt;0,Y371&lt;1,NOT(AND(C372=C371,Y372=Y371+1))),INDEX(DATAS,Y371+1),"")</f>
        <v/>
      </c>
      <c r="AG371" s="45" t="str">
        <f aca="false">IF(AND(AA371=1,Y371&lt;1),IF(AND(C372=C371,Y372=Y371+1),IF(AA372=1,"",INDEX(DATAS,Y371+1)),INDEX(DATAS,Y371+1)),"")</f>
        <v/>
      </c>
    </row>
    <row r="372" customFormat="false" ht="15" hidden="false" customHeight="false" outlineLevel="0" collapsed="false">
      <c r="A372" s="45" t="n">
        <v>46309</v>
      </c>
      <c r="B372" s="0" t="n">
        <v>5</v>
      </c>
      <c r="C372" s="0" t="n">
        <v>4044</v>
      </c>
      <c r="D372" s="0" t="n">
        <v>252</v>
      </c>
      <c r="E372" s="0" t="n">
        <v>3</v>
      </c>
      <c r="F372" s="39" t="s">
        <v>404</v>
      </c>
      <c r="G372" s="0" t="n">
        <v>39.4</v>
      </c>
      <c r="H372" s="0" t="n">
        <v>38</v>
      </c>
      <c r="I372" s="39" t="s">
        <v>109</v>
      </c>
      <c r="J372" s="0" t="n">
        <v>63</v>
      </c>
      <c r="K372" s="0" t="n">
        <v>63</v>
      </c>
      <c r="L372" s="0" t="n">
        <v>189</v>
      </c>
      <c r="M372" s="0" t="n">
        <v>781.29</v>
      </c>
      <c r="N372" s="0" t="n">
        <v>39.87</v>
      </c>
      <c r="O372" s="0" t="n">
        <v>25.89</v>
      </c>
      <c r="P372" s="0" t="n">
        <v>5.66</v>
      </c>
      <c r="Q372" s="0" t="n">
        <v>3.46</v>
      </c>
      <c r="R372" s="0" t="n">
        <v>5488</v>
      </c>
      <c r="S372" s="0" t="n">
        <v>11437</v>
      </c>
      <c r="T372" s="0" t="n">
        <v>61.95</v>
      </c>
      <c r="U372" s="0" t="n">
        <v>1582</v>
      </c>
      <c r="V372" s="0" t="n">
        <v>1</v>
      </c>
      <c r="W372" s="39" t="n">
        <f aca="false">IF(I372="Male",0,1)</f>
        <v>1</v>
      </c>
      <c r="X372" s="39" t="n">
        <f aca="false">IF(OR(I372="DNB",I372="Dry DNB"),1,0)</f>
        <v>0</v>
      </c>
      <c r="Y372" s="39" t="n">
        <f aca="false">MATCH(A372,DATAS,0)</f>
        <v>1</v>
      </c>
      <c r="Z372" s="39" t="n">
        <f aca="false">IF(AND(E372&gt;0,OR(AND(B372&gt;=1,B372&lt;=6),B372=10)),1,0)</f>
        <v>1</v>
      </c>
      <c r="AA372" s="39" t="n">
        <f aca="false">IF(AND(E372&gt;0,B372=10),1,0)</f>
        <v>0</v>
      </c>
      <c r="AB372" s="0" t="str">
        <f aca="false">IF(AND(C371=C372,Y371=Y372-1),Z371,"")</f>
        <v/>
      </c>
      <c r="AC372" s="0" t="str">
        <f aca="false">IF(AND(C371=C372,Y371=Y372-1),AA371,"")</f>
        <v/>
      </c>
      <c r="AD372" s="0" t="str">
        <f aca="false">IF(Y372=1,"",IF(AND(Z372=1,AB372&lt;&gt;1),1,0))</f>
        <v/>
      </c>
      <c r="AE372" s="0" t="str">
        <f aca="false">IF(Y372=1,"",IF(AND(AA372=1,AC372&lt;&gt;1),1,0))</f>
        <v/>
      </c>
      <c r="AF372" s="45" t="str">
        <f aca="false">IF(AND(E372&gt;0,Y372&lt;1,NOT(AND(C373=C372,Y373=Y372+1))),INDEX(DATAS,Y372+1),"")</f>
        <v/>
      </c>
      <c r="AG372" s="45" t="str">
        <f aca="false">IF(AND(AA372=1,Y372&lt;1),IF(AND(C373=C372,Y373=Y372+1),IF(AA373=1,"",INDEX(DATAS,Y372+1)),INDEX(DATAS,Y372+1)),"")</f>
        <v/>
      </c>
    </row>
    <row r="373" customFormat="false" ht="15" hidden="false" customHeight="false" outlineLevel="0" collapsed="false">
      <c r="A373" s="45" t="n">
        <v>46309</v>
      </c>
      <c r="B373" s="0" t="n">
        <v>5</v>
      </c>
      <c r="C373" s="0" t="n">
        <v>4045</v>
      </c>
      <c r="D373" s="0" t="n">
        <v>337</v>
      </c>
      <c r="E373" s="0" t="n">
        <v>2</v>
      </c>
      <c r="F373" s="39" t="s">
        <v>404</v>
      </c>
      <c r="G373" s="0" t="n">
        <v>35.3</v>
      </c>
      <c r="H373" s="0" t="n">
        <v>34</v>
      </c>
      <c r="I373" s="39" t="s">
        <v>109</v>
      </c>
      <c r="J373" s="0" t="n">
        <v>180</v>
      </c>
      <c r="K373" s="0" t="n">
        <v>64</v>
      </c>
      <c r="L373" s="0" t="n">
        <v>157</v>
      </c>
      <c r="M373" s="0" t="n">
        <v>463.55</v>
      </c>
      <c r="N373" s="0" t="n">
        <v>-2.13</v>
      </c>
      <c r="O373" s="0" t="n">
        <v>19.63</v>
      </c>
      <c r="P373" s="0" t="n">
        <v>4.6</v>
      </c>
      <c r="Q373" s="0" t="n">
        <v>4.07</v>
      </c>
      <c r="R373" s="0" t="n">
        <v>6264</v>
      </c>
      <c r="S373" s="0" t="n">
        <v>11643</v>
      </c>
      <c r="T373" s="0" t="n">
        <v>65.35</v>
      </c>
      <c r="U373" s="0" t="n">
        <v>1582</v>
      </c>
      <c r="V373" s="0" t="n">
        <v>4</v>
      </c>
      <c r="W373" s="39" t="n">
        <f aca="false">IF(I373="Male",0,1)</f>
        <v>1</v>
      </c>
      <c r="X373" s="39" t="n">
        <f aca="false">IF(OR(I373="DNB",I373="Dry DNB"),1,0)</f>
        <v>0</v>
      </c>
      <c r="Y373" s="39" t="n">
        <f aca="false">MATCH(A373,DATAS,0)</f>
        <v>1</v>
      </c>
      <c r="Z373" s="39" t="n">
        <f aca="false">IF(AND(E373&gt;0,OR(AND(B373&gt;=1,B373&lt;=6),B373=10)),1,0)</f>
        <v>1</v>
      </c>
      <c r="AA373" s="39" t="n">
        <f aca="false">IF(AND(E373&gt;0,B373=10),1,0)</f>
        <v>0</v>
      </c>
      <c r="AB373" s="0" t="str">
        <f aca="false">IF(AND(C372=C373,Y372=Y373-1),Z372,"")</f>
        <v/>
      </c>
      <c r="AC373" s="0" t="str">
        <f aca="false">IF(AND(C372=C373,Y372=Y373-1),AA372,"")</f>
        <v/>
      </c>
      <c r="AD373" s="0" t="str">
        <f aca="false">IF(Y373=1,"",IF(AND(Z373=1,AB373&lt;&gt;1),1,0))</f>
        <v/>
      </c>
      <c r="AE373" s="0" t="str">
        <f aca="false">IF(Y373=1,"",IF(AND(AA373=1,AC373&lt;&gt;1),1,0))</f>
        <v/>
      </c>
      <c r="AF373" s="45" t="str">
        <f aca="false">IF(AND(E373&gt;0,Y373&lt;1,NOT(AND(C374=C373,Y374=Y373+1))),INDEX(DATAS,Y373+1),"")</f>
        <v/>
      </c>
      <c r="AG373" s="45" t="str">
        <f aca="false">IF(AND(AA373=1,Y373&lt;1),IF(AND(C374=C373,Y374=Y373+1),IF(AA374=1,"",INDEX(DATAS,Y373+1)),INDEX(DATAS,Y373+1)),"")</f>
        <v/>
      </c>
    </row>
    <row r="374" customFormat="false" ht="15" hidden="false" customHeight="false" outlineLevel="0" collapsed="false">
      <c r="A374" s="45" t="n">
        <v>46309</v>
      </c>
      <c r="B374" s="0" t="n">
        <v>3</v>
      </c>
      <c r="C374" s="0" t="n">
        <v>4047</v>
      </c>
      <c r="D374" s="0" t="n">
        <v>108</v>
      </c>
      <c r="E374" s="0" t="n">
        <v>3</v>
      </c>
      <c r="F374" s="39" t="s">
        <v>405</v>
      </c>
      <c r="G374" s="0" t="n">
        <v>48.5</v>
      </c>
      <c r="H374" s="0" t="n">
        <v>59</v>
      </c>
      <c r="I374" s="39" t="s">
        <v>109</v>
      </c>
      <c r="J374" s="0" t="n">
        <v>66</v>
      </c>
      <c r="K374" s="0" t="n">
        <v>66</v>
      </c>
      <c r="L374" s="0" t="n">
        <v>42</v>
      </c>
      <c r="M374" s="0" t="n">
        <v>776.75</v>
      </c>
      <c r="N374" s="0" t="n">
        <v>74.84</v>
      </c>
      <c r="O374" s="0" t="n">
        <v>28.9</v>
      </c>
      <c r="P374" s="0" t="n">
        <v>4.24</v>
      </c>
      <c r="Q374" s="0" t="n">
        <v>3.36</v>
      </c>
      <c r="R374" s="0" t="n">
        <v>4646</v>
      </c>
      <c r="S374" s="0" t="n">
        <v>9553</v>
      </c>
      <c r="T374" s="0" t="n">
        <v>50.45</v>
      </c>
      <c r="U374" s="0" t="n">
        <v>1578</v>
      </c>
      <c r="V374" s="0" t="n">
        <v>1</v>
      </c>
      <c r="W374" s="39" t="n">
        <f aca="false">IF(I374="Male",0,1)</f>
        <v>1</v>
      </c>
      <c r="X374" s="39" t="n">
        <f aca="false">IF(OR(I374="DNB",I374="Dry DNB"),1,0)</f>
        <v>0</v>
      </c>
      <c r="Y374" s="39" t="n">
        <f aca="false">MATCH(A374,DATAS,0)</f>
        <v>1</v>
      </c>
      <c r="Z374" s="39" t="n">
        <f aca="false">IF(AND(E374&gt;0,OR(AND(B374&gt;=1,B374&lt;=6),B374=10)),1,0)</f>
        <v>1</v>
      </c>
      <c r="AA374" s="39" t="n">
        <f aca="false">IF(AND(E374&gt;0,B374=10),1,0)</f>
        <v>0</v>
      </c>
      <c r="AB374" s="0" t="str">
        <f aca="false">IF(AND(C373=C374,Y373=Y374-1),Z373,"")</f>
        <v/>
      </c>
      <c r="AC374" s="0" t="str">
        <f aca="false">IF(AND(C373=C374,Y373=Y374-1),AA373,"")</f>
        <v/>
      </c>
      <c r="AD374" s="0" t="str">
        <f aca="false">IF(Y374=1,"",IF(AND(Z374=1,AB374&lt;&gt;1),1,0))</f>
        <v/>
      </c>
      <c r="AE374" s="0" t="str">
        <f aca="false">IF(Y374=1,"",IF(AND(AA374=1,AC374&lt;&gt;1),1,0))</f>
        <v/>
      </c>
      <c r="AF374" s="45" t="str">
        <f aca="false">IF(AND(E374&gt;0,Y374&lt;1,NOT(AND(C375=C374,Y375=Y374+1))),INDEX(DATAS,Y374+1),"")</f>
        <v/>
      </c>
      <c r="AG374" s="45" t="str">
        <f aca="false">IF(AND(AA374=1,Y374&lt;1),IF(AND(C375=C374,Y375=Y374+1),IF(AA375=1,"",INDEX(DATAS,Y374+1)),INDEX(DATAS,Y374+1)),"")</f>
        <v/>
      </c>
    </row>
    <row r="375" customFormat="false" ht="15" hidden="false" customHeight="false" outlineLevel="0" collapsed="false">
      <c r="A375" s="45" t="n">
        <v>46309</v>
      </c>
      <c r="B375" s="0" t="n">
        <v>2</v>
      </c>
      <c r="C375" s="0" t="n">
        <v>4050</v>
      </c>
      <c r="D375" s="0" t="n">
        <v>66</v>
      </c>
      <c r="E375" s="0" t="n">
        <v>3</v>
      </c>
      <c r="F375" s="39" t="s">
        <v>405</v>
      </c>
      <c r="G375" s="0" t="n">
        <v>46</v>
      </c>
      <c r="H375" s="0" t="n">
        <v>63</v>
      </c>
      <c r="I375" s="39" t="s">
        <v>138</v>
      </c>
      <c r="J375" s="0" t="n">
        <v>66</v>
      </c>
      <c r="K375" s="0" t="n">
        <v>66</v>
      </c>
      <c r="M375" s="0" t="n">
        <v>722.55</v>
      </c>
      <c r="N375" s="0" t="n">
        <v>60.26</v>
      </c>
      <c r="O375" s="0" t="n">
        <v>32.56</v>
      </c>
      <c r="P375" s="0" t="n">
        <v>4.15</v>
      </c>
      <c r="Q375" s="0" t="n">
        <v>3.07</v>
      </c>
      <c r="R375" s="0" t="n">
        <v>5710</v>
      </c>
      <c r="S375" s="0" t="n">
        <v>11477</v>
      </c>
      <c r="U375" s="0" t="n">
        <v>1578</v>
      </c>
      <c r="V375" s="0" t="n">
        <v>1</v>
      </c>
      <c r="W375" s="39" t="n">
        <f aca="false">IF(I375="Male",0,1)</f>
        <v>1</v>
      </c>
      <c r="X375" s="39" t="n">
        <f aca="false">IF(OR(I375="DNB",I375="Dry DNB"),1,0)</f>
        <v>0</v>
      </c>
      <c r="Y375" s="39" t="n">
        <f aca="false">MATCH(A375,DATAS,0)</f>
        <v>1</v>
      </c>
      <c r="Z375" s="39" t="n">
        <f aca="false">IF(AND(E375&gt;0,OR(AND(B375&gt;=1,B375&lt;=6),B375=10)),1,0)</f>
        <v>1</v>
      </c>
      <c r="AA375" s="39" t="n">
        <f aca="false">IF(AND(E375&gt;0,B375=10),1,0)</f>
        <v>0</v>
      </c>
      <c r="AB375" s="0" t="str">
        <f aca="false">IF(AND(C374=C375,Y374=Y375-1),Z374,"")</f>
        <v/>
      </c>
      <c r="AC375" s="0" t="str">
        <f aca="false">IF(AND(C374=C375,Y374=Y375-1),AA374,"")</f>
        <v/>
      </c>
      <c r="AD375" s="0" t="str">
        <f aca="false">IF(Y375=1,"",IF(AND(Z375=1,AB375&lt;&gt;1),1,0))</f>
        <v/>
      </c>
      <c r="AE375" s="0" t="str">
        <f aca="false">IF(Y375=1,"",IF(AND(AA375=1,AC375&lt;&gt;1),1,0))</f>
        <v/>
      </c>
      <c r="AF375" s="45" t="str">
        <f aca="false">IF(AND(E375&gt;0,Y375&lt;1,NOT(AND(C376=C375,Y376=Y375+1))),INDEX(DATAS,Y375+1),"")</f>
        <v/>
      </c>
      <c r="AG375" s="45" t="str">
        <f aca="false">IF(AND(AA375=1,Y375&lt;1),IF(AND(C376=C375,Y376=Y375+1),IF(AA376=1,"",INDEX(DATAS,Y375+1)),INDEX(DATAS,Y375+1)),"")</f>
        <v/>
      </c>
    </row>
    <row r="376" customFormat="false" ht="15" hidden="false" customHeight="false" outlineLevel="0" collapsed="false">
      <c r="A376" s="45" t="n">
        <v>46309</v>
      </c>
      <c r="B376" s="0" t="n">
        <v>7</v>
      </c>
      <c r="C376" s="0" t="n">
        <v>4051</v>
      </c>
      <c r="D376" s="0" t="n">
        <v>426</v>
      </c>
      <c r="E376" s="0" t="n">
        <v>2</v>
      </c>
      <c r="F376" s="39" t="s">
        <v>405</v>
      </c>
      <c r="I376" s="39" t="s">
        <v>310</v>
      </c>
      <c r="J376" s="0" t="n">
        <v>426</v>
      </c>
      <c r="K376" s="0" t="n">
        <v>63</v>
      </c>
      <c r="M376" s="0" t="n">
        <v>940.65</v>
      </c>
      <c r="N376" s="0" t="n">
        <v>62.89</v>
      </c>
      <c r="O376" s="0" t="n">
        <v>30.8</v>
      </c>
      <c r="P376" s="0" t="n">
        <v>5.41</v>
      </c>
      <c r="Q376" s="0" t="n">
        <v>4</v>
      </c>
      <c r="R376" s="0" t="n">
        <v>5961</v>
      </c>
      <c r="S376" s="0" t="n">
        <v>11866</v>
      </c>
      <c r="T376" s="0" t="n">
        <v>64.25</v>
      </c>
      <c r="U376" s="0" t="n">
        <v>1578</v>
      </c>
      <c r="V376" s="0" t="n">
        <v>8</v>
      </c>
      <c r="W376" s="39" t="n">
        <f aca="false">IF(I376="Male",0,1)</f>
        <v>1</v>
      </c>
      <c r="X376" s="39" t="n">
        <f aca="false">IF(OR(I376="DNB",I376="Dry DNB"),1,0)</f>
        <v>1</v>
      </c>
      <c r="Y376" s="39" t="n">
        <f aca="false">MATCH(A376,DATAS,0)</f>
        <v>1</v>
      </c>
      <c r="Z376" s="39" t="n">
        <f aca="false">IF(AND(E376&gt;0,OR(AND(B376&gt;=1,B376&lt;=6),B376=10)),1,0)</f>
        <v>0</v>
      </c>
      <c r="AA376" s="39" t="n">
        <f aca="false">IF(AND(E376&gt;0,B376=10),1,0)</f>
        <v>0</v>
      </c>
      <c r="AB376" s="0" t="str">
        <f aca="false">IF(AND(C375=C376,Y375=Y376-1),Z375,"")</f>
        <v/>
      </c>
      <c r="AC376" s="0" t="str">
        <f aca="false">IF(AND(C375=C376,Y375=Y376-1),AA375,"")</f>
        <v/>
      </c>
      <c r="AD376" s="0" t="str">
        <f aca="false">IF(Y376=1,"",IF(AND(Z376=1,AB376&lt;&gt;1),1,0))</f>
        <v/>
      </c>
      <c r="AE376" s="0" t="str">
        <f aca="false">IF(Y376=1,"",IF(AND(AA376=1,AC376&lt;&gt;1),1,0))</f>
        <v/>
      </c>
      <c r="AF376" s="45" t="str">
        <f aca="false">IF(AND(E376&gt;0,Y376&lt;1,NOT(AND(C377=C376,Y377=Y376+1))),INDEX(DATAS,Y376+1),"")</f>
        <v/>
      </c>
      <c r="AG376" s="45" t="str">
        <f aca="false">IF(AND(AA376=1,Y376&lt;1),IF(AND(C377=C376,Y377=Y376+1),IF(AA377=1,"",INDEX(DATAS,Y376+1)),INDEX(DATAS,Y376+1)),"")</f>
        <v/>
      </c>
    </row>
    <row r="377" customFormat="false" ht="15" hidden="false" customHeight="false" outlineLevel="0" collapsed="false">
      <c r="A377" s="45" t="n">
        <v>46309</v>
      </c>
      <c r="B377" s="0" t="n">
        <v>5</v>
      </c>
      <c r="C377" s="0" t="n">
        <v>4052</v>
      </c>
      <c r="D377" s="0" t="n">
        <v>177</v>
      </c>
      <c r="E377" s="0" t="n">
        <v>3</v>
      </c>
      <c r="F377" s="39" t="s">
        <v>406</v>
      </c>
      <c r="G377" s="0" t="n">
        <v>39.7</v>
      </c>
      <c r="H377" s="0" t="n">
        <v>41</v>
      </c>
      <c r="I377" s="39" t="s">
        <v>109</v>
      </c>
      <c r="J377" s="0" t="n">
        <v>65</v>
      </c>
      <c r="K377" s="0" t="n">
        <v>65</v>
      </c>
      <c r="L377" s="0" t="n">
        <v>112</v>
      </c>
      <c r="M377" s="0" t="n">
        <v>830.34</v>
      </c>
      <c r="N377" s="0" t="n">
        <v>71.09</v>
      </c>
      <c r="O377" s="0" t="n">
        <v>35.02</v>
      </c>
      <c r="P377" s="0" t="n">
        <v>3.33</v>
      </c>
      <c r="Q377" s="0" t="n">
        <v>3.27</v>
      </c>
      <c r="R377" s="0" t="n">
        <v>5489</v>
      </c>
      <c r="S377" s="0" t="n">
        <v>10917</v>
      </c>
      <c r="T377" s="0" t="n">
        <v>61</v>
      </c>
      <c r="U377" s="0" t="n">
        <v>1575</v>
      </c>
      <c r="V377" s="0" t="n">
        <v>1</v>
      </c>
      <c r="W377" s="39" t="n">
        <f aca="false">IF(I377="Male",0,1)</f>
        <v>1</v>
      </c>
      <c r="X377" s="39" t="n">
        <f aca="false">IF(OR(I377="DNB",I377="Dry DNB"),1,0)</f>
        <v>0</v>
      </c>
      <c r="Y377" s="39" t="n">
        <f aca="false">MATCH(A377,DATAS,0)</f>
        <v>1</v>
      </c>
      <c r="Z377" s="39" t="n">
        <f aca="false">IF(AND(E377&gt;0,OR(AND(B377&gt;=1,B377&lt;=6),B377=10)),1,0)</f>
        <v>1</v>
      </c>
      <c r="AA377" s="39" t="n">
        <f aca="false">IF(AND(E377&gt;0,B377=10),1,0)</f>
        <v>0</v>
      </c>
      <c r="AB377" s="0" t="str">
        <f aca="false">IF(AND(C376=C377,Y376=Y377-1),Z376,"")</f>
        <v/>
      </c>
      <c r="AC377" s="0" t="str">
        <f aca="false">IF(AND(C376=C377,Y376=Y377-1),AA376,"")</f>
        <v/>
      </c>
      <c r="AD377" s="0" t="str">
        <f aca="false">IF(Y377=1,"",IF(AND(Z377=1,AB377&lt;&gt;1),1,0))</f>
        <v/>
      </c>
      <c r="AE377" s="0" t="str">
        <f aca="false">IF(Y377=1,"",IF(AND(AA377=1,AC377&lt;&gt;1),1,0))</f>
        <v/>
      </c>
      <c r="AF377" s="45" t="str">
        <f aca="false">IF(AND(E377&gt;0,Y377&lt;1,NOT(AND(C378=C377,Y378=Y377+1))),INDEX(DATAS,Y377+1),"")</f>
        <v/>
      </c>
      <c r="AG377" s="45" t="str">
        <f aca="false">IF(AND(AA377=1,Y377&lt;1),IF(AND(C378=C377,Y378=Y377+1),IF(AA378=1,"",INDEX(DATAS,Y377+1)),INDEX(DATAS,Y377+1)),"")</f>
        <v/>
      </c>
    </row>
    <row r="378" customFormat="false" ht="15" hidden="false" customHeight="false" outlineLevel="0" collapsed="false">
      <c r="A378" s="45" t="n">
        <v>46309</v>
      </c>
      <c r="B378" s="0" t="n">
        <v>3</v>
      </c>
      <c r="C378" s="0" t="n">
        <v>4054</v>
      </c>
      <c r="D378" s="0" t="n">
        <v>137</v>
      </c>
      <c r="E378" s="0" t="n">
        <v>2</v>
      </c>
      <c r="F378" s="39" t="s">
        <v>407</v>
      </c>
      <c r="G378" s="0" t="n">
        <v>68.7</v>
      </c>
      <c r="H378" s="0" t="n">
        <v>66</v>
      </c>
      <c r="I378" s="39" t="s">
        <v>138</v>
      </c>
      <c r="J378" s="0" t="n">
        <v>137</v>
      </c>
      <c r="K378" s="0" t="n">
        <v>67</v>
      </c>
      <c r="M378" s="0" t="n">
        <v>1031.2</v>
      </c>
      <c r="N378" s="0" t="n">
        <v>60.53</v>
      </c>
      <c r="O378" s="0" t="n">
        <v>36.15</v>
      </c>
      <c r="P378" s="0" t="n">
        <v>3</v>
      </c>
      <c r="Q378" s="0" t="n">
        <v>3.15</v>
      </c>
      <c r="R378" s="0" t="n">
        <v>5959</v>
      </c>
      <c r="S378" s="0" t="n">
        <v>12373</v>
      </c>
      <c r="T378" s="0" t="n">
        <v>64.8</v>
      </c>
      <c r="U378" s="0" t="n">
        <v>1573</v>
      </c>
      <c r="V378" s="0" t="n">
        <v>2</v>
      </c>
      <c r="W378" s="39" t="n">
        <f aca="false">IF(I378="Male",0,1)</f>
        <v>1</v>
      </c>
      <c r="X378" s="39" t="n">
        <f aca="false">IF(OR(I378="DNB",I378="Dry DNB"),1,0)</f>
        <v>0</v>
      </c>
      <c r="Y378" s="39" t="n">
        <f aca="false">MATCH(A378,DATAS,0)</f>
        <v>1</v>
      </c>
      <c r="Z378" s="39" t="n">
        <f aca="false">IF(AND(E378&gt;0,OR(AND(B378&gt;=1,B378&lt;=6),B378=10)),1,0)</f>
        <v>1</v>
      </c>
      <c r="AA378" s="39" t="n">
        <f aca="false">IF(AND(E378&gt;0,B378=10),1,0)</f>
        <v>0</v>
      </c>
      <c r="AB378" s="0" t="str">
        <f aca="false">IF(AND(C377=C378,Y377=Y378-1),Z377,"")</f>
        <v/>
      </c>
      <c r="AC378" s="0" t="str">
        <f aca="false">IF(AND(C377=C378,Y377=Y378-1),AA377,"")</f>
        <v/>
      </c>
      <c r="AD378" s="0" t="str">
        <f aca="false">IF(Y378=1,"",IF(AND(Z378=1,AB378&lt;&gt;1),1,0))</f>
        <v/>
      </c>
      <c r="AE378" s="0" t="str">
        <f aca="false">IF(Y378=1,"",IF(AND(AA378=1,AC378&lt;&gt;1),1,0))</f>
        <v/>
      </c>
      <c r="AF378" s="45" t="str">
        <f aca="false">IF(AND(E378&gt;0,Y378&lt;1,NOT(AND(C379=C378,Y379=Y378+1))),INDEX(DATAS,Y378+1),"")</f>
        <v/>
      </c>
      <c r="AG378" s="45" t="str">
        <f aca="false">IF(AND(AA378=1,Y378&lt;1),IF(AND(C379=C378,Y379=Y378+1),IF(AA379=1,"",INDEX(DATAS,Y378+1)),INDEX(DATAS,Y378+1)),"")</f>
        <v/>
      </c>
    </row>
    <row r="379" customFormat="false" ht="15" hidden="false" customHeight="false" outlineLevel="0" collapsed="false">
      <c r="A379" s="45" t="n">
        <v>46309</v>
      </c>
      <c r="B379" s="0" t="n">
        <v>9</v>
      </c>
      <c r="C379" s="0" t="n">
        <v>4055</v>
      </c>
      <c r="D379" s="0" t="n">
        <v>325</v>
      </c>
      <c r="E379" s="0" t="n">
        <v>3</v>
      </c>
      <c r="F379" s="39" t="s">
        <v>408</v>
      </c>
      <c r="I379" s="39" t="s">
        <v>114</v>
      </c>
      <c r="J379" s="0" t="n">
        <v>102</v>
      </c>
      <c r="K379" s="0" t="n">
        <v>67</v>
      </c>
      <c r="L379" s="0" t="n">
        <v>273</v>
      </c>
      <c r="M379" s="0" t="n">
        <v>568.16</v>
      </c>
      <c r="N379" s="0" t="n">
        <v>24.72</v>
      </c>
      <c r="O379" s="0" t="n">
        <v>25.38</v>
      </c>
      <c r="P379" s="0" t="n">
        <v>4.22</v>
      </c>
      <c r="Q379" s="0" t="n">
        <v>3.57</v>
      </c>
      <c r="R379" s="0" t="n">
        <v>5335</v>
      </c>
      <c r="S379" s="0" t="n">
        <v>10716</v>
      </c>
      <c r="T379" s="0" t="n">
        <v>58</v>
      </c>
      <c r="U379" s="0" t="n">
        <v>1572</v>
      </c>
      <c r="V379" s="0" t="n">
        <v>2</v>
      </c>
      <c r="W379" s="39" t="n">
        <f aca="false">IF(I379="Male",0,1)</f>
        <v>1</v>
      </c>
      <c r="X379" s="39" t="n">
        <f aca="false">IF(OR(I379="DNB",I379="Dry DNB"),1,0)</f>
        <v>0</v>
      </c>
      <c r="Y379" s="39" t="n">
        <f aca="false">MATCH(A379,DATAS,0)</f>
        <v>1</v>
      </c>
      <c r="Z379" s="39" t="n">
        <f aca="false">IF(AND(E379&gt;0,OR(AND(B379&gt;=1,B379&lt;=6),B379=10)),1,0)</f>
        <v>0</v>
      </c>
      <c r="AA379" s="39" t="n">
        <f aca="false">IF(AND(E379&gt;0,B379=10),1,0)</f>
        <v>0</v>
      </c>
      <c r="AB379" s="0" t="str">
        <f aca="false">IF(AND(C378=C379,Y378=Y379-1),Z378,"")</f>
        <v/>
      </c>
      <c r="AC379" s="0" t="str">
        <f aca="false">IF(AND(C378=C379,Y378=Y379-1),AA378,"")</f>
        <v/>
      </c>
      <c r="AD379" s="0" t="str">
        <f aca="false">IF(Y379=1,"",IF(AND(Z379=1,AB379&lt;&gt;1),1,0))</f>
        <v/>
      </c>
      <c r="AE379" s="0" t="str">
        <f aca="false">IF(Y379=1,"",IF(AND(AA379=1,AC379&lt;&gt;1),1,0))</f>
        <v/>
      </c>
      <c r="AF379" s="45" t="str">
        <f aca="false">IF(AND(E379&gt;0,Y379&lt;1,NOT(AND(C380=C379,Y380=Y379+1))),INDEX(DATAS,Y379+1),"")</f>
        <v/>
      </c>
      <c r="AG379" s="45" t="str">
        <f aca="false">IF(AND(AA379=1,Y379&lt;1),IF(AND(C380=C379,Y380=Y379+1),IF(AA380=1,"",INDEX(DATAS,Y379+1)),INDEX(DATAS,Y379+1)),"")</f>
        <v/>
      </c>
    </row>
    <row r="380" customFormat="false" ht="15" hidden="false" customHeight="false" outlineLevel="0" collapsed="false">
      <c r="A380" s="45" t="n">
        <v>46309</v>
      </c>
      <c r="B380" s="0" t="n">
        <v>5</v>
      </c>
      <c r="C380" s="0" t="n">
        <v>4060</v>
      </c>
      <c r="D380" s="0" t="n">
        <v>214</v>
      </c>
      <c r="E380" s="0" t="n">
        <v>2</v>
      </c>
      <c r="F380" s="39" t="s">
        <v>409</v>
      </c>
      <c r="G380" s="0" t="n">
        <v>45.9</v>
      </c>
      <c r="H380" s="0" t="n">
        <v>45</v>
      </c>
      <c r="I380" s="39" t="s">
        <v>109</v>
      </c>
      <c r="J380" s="0" t="n">
        <v>109</v>
      </c>
      <c r="K380" s="0" t="n">
        <v>67</v>
      </c>
      <c r="L380" s="0" t="n">
        <v>105</v>
      </c>
      <c r="M380" s="0" t="n">
        <v>718.78</v>
      </c>
      <c r="N380" s="0" t="n">
        <v>41.86</v>
      </c>
      <c r="O380" s="0" t="n">
        <v>22.13</v>
      </c>
      <c r="P380" s="0" t="n">
        <v>4.43</v>
      </c>
      <c r="Q380" s="0" t="n">
        <v>3.69</v>
      </c>
      <c r="R380" s="0" t="n">
        <v>5095</v>
      </c>
      <c r="S380" s="0" t="n">
        <v>10180</v>
      </c>
      <c r="T380" s="0" t="n">
        <v>56.35</v>
      </c>
      <c r="U380" s="0" t="n">
        <v>1570</v>
      </c>
      <c r="V380" s="0" t="n">
        <v>2</v>
      </c>
      <c r="W380" s="39" t="n">
        <f aca="false">IF(I380="Male",0,1)</f>
        <v>1</v>
      </c>
      <c r="X380" s="39" t="n">
        <f aca="false">IF(OR(I380="DNB",I380="Dry DNB"),1,0)</f>
        <v>0</v>
      </c>
      <c r="Y380" s="39" t="n">
        <f aca="false">MATCH(A380,DATAS,0)</f>
        <v>1</v>
      </c>
      <c r="Z380" s="39" t="n">
        <f aca="false">IF(AND(E380&gt;0,OR(AND(B380&gt;=1,B380&lt;=6),B380=10)),1,0)</f>
        <v>1</v>
      </c>
      <c r="AA380" s="39" t="n">
        <f aca="false">IF(AND(E380&gt;0,B380=10),1,0)</f>
        <v>0</v>
      </c>
      <c r="AB380" s="0" t="str">
        <f aca="false">IF(AND(C379=C380,Y379=Y380-1),Z379,"")</f>
        <v/>
      </c>
      <c r="AC380" s="0" t="str">
        <f aca="false">IF(AND(C379=C380,Y379=Y380-1),AA379,"")</f>
        <v/>
      </c>
      <c r="AD380" s="0" t="str">
        <f aca="false">IF(Y380=1,"",IF(AND(Z380=1,AB380&lt;&gt;1),1,0))</f>
        <v/>
      </c>
      <c r="AE380" s="0" t="str">
        <f aca="false">IF(Y380=1,"",IF(AND(AA380=1,AC380&lt;&gt;1),1,0))</f>
        <v/>
      </c>
      <c r="AF380" s="45" t="str">
        <f aca="false">IF(AND(E380&gt;0,Y380&lt;1,NOT(AND(C381=C380,Y381=Y380+1))),INDEX(DATAS,Y380+1),"")</f>
        <v/>
      </c>
      <c r="AG380" s="45" t="str">
        <f aca="false">IF(AND(AA380=1,Y380&lt;1),IF(AND(C381=C380,Y381=Y380+1),IF(AA381=1,"",INDEX(DATAS,Y380+1)),INDEX(DATAS,Y380+1)),"")</f>
        <v/>
      </c>
    </row>
    <row r="381" customFormat="false" ht="15" hidden="false" customHeight="false" outlineLevel="0" collapsed="false">
      <c r="A381" s="45" t="n">
        <v>46309</v>
      </c>
      <c r="B381" s="0" t="n">
        <v>2</v>
      </c>
      <c r="C381" s="0" t="n">
        <v>4061</v>
      </c>
      <c r="D381" s="0" t="n">
        <v>75</v>
      </c>
      <c r="E381" s="0" t="n">
        <v>3</v>
      </c>
      <c r="F381" s="39" t="s">
        <v>410</v>
      </c>
      <c r="G381" s="0" t="n">
        <v>59.5</v>
      </c>
      <c r="H381" s="0" t="n">
        <v>47</v>
      </c>
      <c r="I381" s="39" t="s">
        <v>138</v>
      </c>
      <c r="J381" s="0" t="n">
        <v>75</v>
      </c>
      <c r="K381" s="0" t="n">
        <v>68</v>
      </c>
      <c r="M381" s="0" t="n">
        <v>735.25</v>
      </c>
      <c r="N381" s="0" t="n">
        <v>53.6</v>
      </c>
      <c r="O381" s="0" t="n">
        <v>22.14</v>
      </c>
      <c r="P381" s="0" t="n">
        <v>3.12</v>
      </c>
      <c r="Q381" s="0" t="n">
        <v>2.89</v>
      </c>
      <c r="R381" s="0" t="n">
        <v>5029</v>
      </c>
      <c r="S381" s="0" t="n">
        <v>10108</v>
      </c>
      <c r="U381" s="0" t="n">
        <v>1569</v>
      </c>
      <c r="V381" s="0" t="n">
        <v>1</v>
      </c>
      <c r="W381" s="39" t="n">
        <f aca="false">IF(I381="Male",0,1)</f>
        <v>1</v>
      </c>
      <c r="X381" s="39" t="n">
        <f aca="false">IF(OR(I381="DNB",I381="Dry DNB"),1,0)</f>
        <v>0</v>
      </c>
      <c r="Y381" s="39" t="n">
        <f aca="false">MATCH(A381,DATAS,0)</f>
        <v>1</v>
      </c>
      <c r="Z381" s="39" t="n">
        <f aca="false">IF(AND(E381&gt;0,OR(AND(B381&gt;=1,B381&lt;=6),B381=10)),1,0)</f>
        <v>1</v>
      </c>
      <c r="AA381" s="39" t="n">
        <f aca="false">IF(AND(E381&gt;0,B381=10),1,0)</f>
        <v>0</v>
      </c>
      <c r="AB381" s="0" t="str">
        <f aca="false">IF(AND(C380=C381,Y380=Y381-1),Z380,"")</f>
        <v/>
      </c>
      <c r="AC381" s="0" t="str">
        <f aca="false">IF(AND(C380=C381,Y380=Y381-1),AA380,"")</f>
        <v/>
      </c>
      <c r="AD381" s="0" t="str">
        <f aca="false">IF(Y381=1,"",IF(AND(Z381=1,AB381&lt;&gt;1),1,0))</f>
        <v/>
      </c>
      <c r="AE381" s="0" t="str">
        <f aca="false">IF(Y381=1,"",IF(AND(AA381=1,AC381&lt;&gt;1),1,0))</f>
        <v/>
      </c>
      <c r="AF381" s="45" t="str">
        <f aca="false">IF(AND(E381&gt;0,Y381&lt;1,NOT(AND(C382=C381,Y382=Y381+1))),INDEX(DATAS,Y381+1),"")</f>
        <v/>
      </c>
      <c r="AG381" s="45" t="str">
        <f aca="false">IF(AND(AA381=1,Y381&lt;1),IF(AND(C382=C381,Y382=Y381+1),IF(AA382=1,"",INDEX(DATAS,Y381+1)),INDEX(DATAS,Y381+1)),"")</f>
        <v/>
      </c>
    </row>
    <row r="382" customFormat="false" ht="15" hidden="false" customHeight="false" outlineLevel="0" collapsed="false">
      <c r="A382" s="45" t="n">
        <v>46309</v>
      </c>
      <c r="B382" s="0" t="n">
        <v>5</v>
      </c>
      <c r="C382" s="0" t="n">
        <v>4063</v>
      </c>
      <c r="D382" s="0" t="n">
        <v>56</v>
      </c>
      <c r="E382" s="0" t="n">
        <v>3</v>
      </c>
      <c r="F382" s="39" t="s">
        <v>411</v>
      </c>
      <c r="G382" s="0" t="n">
        <v>46.7</v>
      </c>
      <c r="H382" s="0" t="n">
        <v>44</v>
      </c>
      <c r="I382" s="39" t="s">
        <v>118</v>
      </c>
      <c r="J382" s="0" t="n">
        <v>56</v>
      </c>
      <c r="M382" s="0" t="n">
        <v>532.82</v>
      </c>
      <c r="N382" s="0" t="n">
        <v>23.04</v>
      </c>
      <c r="O382" s="0" t="n">
        <v>23.62</v>
      </c>
      <c r="P382" s="0" t="n">
        <v>2.61</v>
      </c>
      <c r="Q382" s="0" t="n">
        <v>3.13</v>
      </c>
      <c r="R382" s="0" t="n">
        <v>3676</v>
      </c>
      <c r="S382" s="0" t="n">
        <v>7390</v>
      </c>
      <c r="U382" s="0" t="n">
        <v>1568</v>
      </c>
      <c r="V382" s="0" t="n">
        <v>0</v>
      </c>
      <c r="W382" s="39" t="n">
        <f aca="false">IF(I382="Male",0,1)</f>
        <v>1</v>
      </c>
      <c r="X382" s="39" t="n">
        <f aca="false">IF(OR(I382="DNB",I382="Dry DNB"),1,0)</f>
        <v>0</v>
      </c>
      <c r="Y382" s="39" t="n">
        <f aca="false">MATCH(A382,DATAS,0)</f>
        <v>1</v>
      </c>
      <c r="Z382" s="39" t="n">
        <f aca="false">IF(AND(E382&gt;0,OR(AND(B382&gt;=1,B382&lt;=6),B382=10)),1,0)</f>
        <v>1</v>
      </c>
      <c r="AA382" s="39" t="n">
        <f aca="false">IF(AND(E382&gt;0,B382=10),1,0)</f>
        <v>0</v>
      </c>
      <c r="AB382" s="0" t="str">
        <f aca="false">IF(AND(C381=C382,Y381=Y382-1),Z381,"")</f>
        <v/>
      </c>
      <c r="AC382" s="0" t="str">
        <f aca="false">IF(AND(C381=C382,Y381=Y382-1),AA381,"")</f>
        <v/>
      </c>
      <c r="AD382" s="0" t="str">
        <f aca="false">IF(Y382=1,"",IF(AND(Z382=1,AB382&lt;&gt;1),1,0))</f>
        <v/>
      </c>
      <c r="AE382" s="0" t="str">
        <f aca="false">IF(Y382=1,"",IF(AND(AA382=1,AC382&lt;&gt;1),1,0))</f>
        <v/>
      </c>
      <c r="AF382" s="45" t="str">
        <f aca="false">IF(AND(E382&gt;0,Y382&lt;1,NOT(AND(C383=C382,Y383=Y382+1))),INDEX(DATAS,Y382+1),"")</f>
        <v/>
      </c>
      <c r="AG382" s="45" t="str">
        <f aca="false">IF(AND(AA382=1,Y382&lt;1),IF(AND(C383=C382,Y383=Y382+1),IF(AA383=1,"",INDEX(DATAS,Y382+1)),INDEX(DATAS,Y382+1)),"")</f>
        <v/>
      </c>
    </row>
    <row r="383" customFormat="false" ht="15" hidden="false" customHeight="false" outlineLevel="0" collapsed="false">
      <c r="A383" s="45" t="n">
        <v>46309</v>
      </c>
      <c r="B383" s="0" t="n">
        <v>10</v>
      </c>
      <c r="C383" s="0" t="n">
        <v>4064</v>
      </c>
      <c r="D383" s="0" t="n">
        <v>244</v>
      </c>
      <c r="E383" s="0" t="n">
        <v>3</v>
      </c>
      <c r="F383" s="39" t="s">
        <v>412</v>
      </c>
      <c r="H383" s="0" t="n">
        <v>26</v>
      </c>
      <c r="I383" s="39" t="s">
        <v>109</v>
      </c>
      <c r="J383" s="0" t="n">
        <v>104</v>
      </c>
      <c r="K383" s="0" t="n">
        <v>69</v>
      </c>
      <c r="L383" s="0" t="n">
        <v>140</v>
      </c>
      <c r="M383" s="0" t="n">
        <v>593.5</v>
      </c>
      <c r="N383" s="0" t="n">
        <v>43.1</v>
      </c>
      <c r="O383" s="0" t="n">
        <v>23.29</v>
      </c>
      <c r="P383" s="0" t="n">
        <v>4.36</v>
      </c>
      <c r="Q383" s="0" t="n">
        <v>3.76</v>
      </c>
      <c r="R383" s="0" t="n">
        <v>5014</v>
      </c>
      <c r="S383" s="0" t="n">
        <v>10953</v>
      </c>
      <c r="T383" s="0" t="n">
        <v>54.65</v>
      </c>
      <c r="U383" s="0" t="n">
        <v>1567</v>
      </c>
      <c r="V383" s="0" t="n">
        <v>2</v>
      </c>
      <c r="W383" s="39" t="n">
        <f aca="false">IF(I383="Male",0,1)</f>
        <v>1</v>
      </c>
      <c r="X383" s="39" t="n">
        <f aca="false">IF(OR(I383="DNB",I383="Dry DNB"),1,0)</f>
        <v>0</v>
      </c>
      <c r="Y383" s="39" t="n">
        <f aca="false">MATCH(A383,DATAS,0)</f>
        <v>1</v>
      </c>
      <c r="Z383" s="39" t="n">
        <f aca="false">IF(AND(E383&gt;0,OR(AND(B383&gt;=1,B383&lt;=6),B383=10)),1,0)</f>
        <v>1</v>
      </c>
      <c r="AA383" s="39" t="n">
        <f aca="false">IF(AND(E383&gt;0,B383=10),1,0)</f>
        <v>1</v>
      </c>
      <c r="AB383" s="0" t="str">
        <f aca="false">IF(AND(C382=C383,Y382=Y383-1),Z382,"")</f>
        <v/>
      </c>
      <c r="AC383" s="0" t="str">
        <f aca="false">IF(AND(C382=C383,Y382=Y383-1),AA382,"")</f>
        <v/>
      </c>
      <c r="AD383" s="0" t="str">
        <f aca="false">IF(Y383=1,"",IF(AND(Z383=1,AB383&lt;&gt;1),1,0))</f>
        <v/>
      </c>
      <c r="AE383" s="0" t="str">
        <f aca="false">IF(Y383=1,"",IF(AND(AA383=1,AC383&lt;&gt;1),1,0))</f>
        <v/>
      </c>
      <c r="AF383" s="45" t="str">
        <f aca="false">IF(AND(E383&gt;0,Y383&lt;1,NOT(AND(C384=C383,Y384=Y383+1))),INDEX(DATAS,Y383+1),"")</f>
        <v/>
      </c>
      <c r="AG383" s="45" t="str">
        <f aca="false">IF(AND(AA383=1,Y383&lt;1),IF(AND(C384=C383,Y384=Y383+1),IF(AA384=1,"",INDEX(DATAS,Y383+1)),INDEX(DATAS,Y383+1)),"")</f>
        <v/>
      </c>
    </row>
    <row r="384" customFormat="false" ht="15" hidden="false" customHeight="false" outlineLevel="0" collapsed="false">
      <c r="A384" s="45" t="n">
        <v>46309</v>
      </c>
      <c r="B384" s="0" t="n">
        <v>6</v>
      </c>
      <c r="C384" s="0" t="n">
        <v>4065</v>
      </c>
      <c r="D384" s="0" t="n">
        <v>897</v>
      </c>
      <c r="E384" s="0" t="n">
        <v>1</v>
      </c>
      <c r="F384" s="39" t="s">
        <v>412</v>
      </c>
      <c r="G384" s="0" t="n">
        <v>28.6</v>
      </c>
      <c r="H384" s="0" t="n">
        <v>28</v>
      </c>
      <c r="I384" s="39" t="s">
        <v>96</v>
      </c>
      <c r="J384" s="0" t="n">
        <v>897</v>
      </c>
      <c r="K384" s="0" t="n">
        <v>65</v>
      </c>
      <c r="M384" s="0" t="n">
        <v>407.55</v>
      </c>
      <c r="N384" s="0" t="n">
        <v>67.65</v>
      </c>
      <c r="O384" s="0" t="n">
        <v>31.01</v>
      </c>
      <c r="P384" s="0" t="n">
        <v>6.25</v>
      </c>
      <c r="Q384" s="0" t="n">
        <v>4.48</v>
      </c>
      <c r="R384" s="0" t="n">
        <v>4103</v>
      </c>
      <c r="S384" s="0" t="n">
        <v>9233</v>
      </c>
      <c r="T384" s="0" t="n">
        <v>43.95</v>
      </c>
      <c r="U384" s="0" t="n">
        <v>1567</v>
      </c>
      <c r="V384" s="0" t="n">
        <v>16</v>
      </c>
      <c r="W384" s="39" t="n">
        <f aca="false">IF(I384="Male",0,1)</f>
        <v>1</v>
      </c>
      <c r="X384" s="39" t="n">
        <f aca="false">IF(OR(I384="DNB",I384="Dry DNB"),1,0)</f>
        <v>1</v>
      </c>
      <c r="Y384" s="39" t="n">
        <f aca="false">MATCH(A384,DATAS,0)</f>
        <v>1</v>
      </c>
      <c r="Z384" s="39" t="n">
        <f aca="false">IF(AND(E384&gt;0,OR(AND(B384&gt;=1,B384&lt;=6),B384=10)),1,0)</f>
        <v>1</v>
      </c>
      <c r="AA384" s="39" t="n">
        <f aca="false">IF(AND(E384&gt;0,B384=10),1,0)</f>
        <v>0</v>
      </c>
      <c r="AB384" s="0" t="str">
        <f aca="false">IF(AND(C383=C384,Y383=Y384-1),Z383,"")</f>
        <v/>
      </c>
      <c r="AC384" s="0" t="str">
        <f aca="false">IF(AND(C383=C384,Y383=Y384-1),AA383,"")</f>
        <v/>
      </c>
      <c r="AD384" s="0" t="str">
        <f aca="false">IF(Y384=1,"",IF(AND(Z384=1,AB384&lt;&gt;1),1,0))</f>
        <v/>
      </c>
      <c r="AE384" s="0" t="str">
        <f aca="false">IF(Y384=1,"",IF(AND(AA384=1,AC384&lt;&gt;1),1,0))</f>
        <v/>
      </c>
      <c r="AF384" s="45" t="str">
        <f aca="false">IF(AND(E384&gt;0,Y384&lt;1,NOT(AND(C385=C384,Y385=Y384+1))),INDEX(DATAS,Y384+1),"")</f>
        <v/>
      </c>
      <c r="AG384" s="45" t="str">
        <f aca="false">IF(AND(AA384=1,Y384&lt;1),IF(AND(C385=C384,Y385=Y384+1),IF(AA385=1,"",INDEX(DATAS,Y384+1)),INDEX(DATAS,Y384+1)),"")</f>
        <v/>
      </c>
    </row>
    <row r="385" customFormat="false" ht="15" hidden="false" customHeight="false" outlineLevel="0" collapsed="false">
      <c r="A385" s="45" t="n">
        <v>46309</v>
      </c>
      <c r="B385" s="0" t="n">
        <v>5</v>
      </c>
      <c r="C385" s="0" t="n">
        <v>4067</v>
      </c>
      <c r="D385" s="0" t="n">
        <v>280</v>
      </c>
      <c r="E385" s="0" t="n">
        <v>2</v>
      </c>
      <c r="F385" s="39" t="s">
        <v>413</v>
      </c>
      <c r="G385" s="0" t="n">
        <v>39.8</v>
      </c>
      <c r="H385" s="0" t="n">
        <v>37</v>
      </c>
      <c r="I385" s="39" t="s">
        <v>96</v>
      </c>
      <c r="J385" s="0" t="n">
        <v>280</v>
      </c>
      <c r="K385" s="0" t="n">
        <v>70</v>
      </c>
      <c r="M385" s="0" t="n">
        <v>1191.55</v>
      </c>
      <c r="N385" s="0" t="n">
        <v>68.58</v>
      </c>
      <c r="O385" s="0" t="n">
        <v>36.08</v>
      </c>
      <c r="P385" s="0" t="n">
        <v>4.76</v>
      </c>
      <c r="Q385" s="0" t="n">
        <v>3.88</v>
      </c>
      <c r="R385" s="0" t="n">
        <v>4622</v>
      </c>
      <c r="S385" s="0" t="n">
        <v>9130</v>
      </c>
      <c r="T385" s="0" t="n">
        <v>48.9</v>
      </c>
      <c r="U385" s="0" t="n">
        <v>1565</v>
      </c>
      <c r="V385" s="0" t="n">
        <v>2</v>
      </c>
      <c r="W385" s="39" t="n">
        <f aca="false">IF(I385="Male",0,1)</f>
        <v>1</v>
      </c>
      <c r="X385" s="39" t="n">
        <f aca="false">IF(OR(I385="DNB",I385="Dry DNB"),1,0)</f>
        <v>1</v>
      </c>
      <c r="Y385" s="39" t="n">
        <f aca="false">MATCH(A385,DATAS,0)</f>
        <v>1</v>
      </c>
      <c r="Z385" s="39" t="n">
        <f aca="false">IF(AND(E385&gt;0,OR(AND(B385&gt;=1,B385&lt;=6),B385=10)),1,0)</f>
        <v>1</v>
      </c>
      <c r="AA385" s="39" t="n">
        <f aca="false">IF(AND(E385&gt;0,B385=10),1,0)</f>
        <v>0</v>
      </c>
      <c r="AB385" s="0" t="str">
        <f aca="false">IF(AND(C384=C385,Y384=Y385-1),Z384,"")</f>
        <v/>
      </c>
      <c r="AC385" s="0" t="str">
        <f aca="false">IF(AND(C384=C385,Y384=Y385-1),AA384,"")</f>
        <v/>
      </c>
      <c r="AD385" s="0" t="str">
        <f aca="false">IF(Y385=1,"",IF(AND(Z385=1,AB385&lt;&gt;1),1,0))</f>
        <v/>
      </c>
      <c r="AE385" s="0" t="str">
        <f aca="false">IF(Y385=1,"",IF(AND(AA385=1,AC385&lt;&gt;1),1,0))</f>
        <v/>
      </c>
      <c r="AF385" s="45" t="str">
        <f aca="false">IF(AND(E385&gt;0,Y385&lt;1,NOT(AND(C386=C385,Y386=Y385+1))),INDEX(DATAS,Y385+1),"")</f>
        <v/>
      </c>
      <c r="AG385" s="45" t="str">
        <f aca="false">IF(AND(AA385=1,Y385&lt;1),IF(AND(C386=C385,Y386=Y385+1),IF(AA386=1,"",INDEX(DATAS,Y385+1)),INDEX(DATAS,Y385+1)),"")</f>
        <v/>
      </c>
    </row>
    <row r="386" customFormat="false" ht="15" hidden="false" customHeight="false" outlineLevel="0" collapsed="false">
      <c r="A386" s="45" t="n">
        <v>46309</v>
      </c>
      <c r="B386" s="0" t="n">
        <v>2</v>
      </c>
      <c r="C386" s="0" t="n">
        <v>4071</v>
      </c>
      <c r="D386" s="0" t="n">
        <v>137</v>
      </c>
      <c r="E386" s="0" t="n">
        <v>3</v>
      </c>
      <c r="F386" s="39" t="s">
        <v>414</v>
      </c>
      <c r="G386" s="0" t="n">
        <v>51.7</v>
      </c>
      <c r="H386" s="0" t="n">
        <v>48</v>
      </c>
      <c r="I386" s="39" t="s">
        <v>109</v>
      </c>
      <c r="J386" s="0" t="n">
        <v>67</v>
      </c>
      <c r="K386" s="0" t="n">
        <v>67</v>
      </c>
      <c r="L386" s="0" t="n">
        <v>70</v>
      </c>
      <c r="M386" s="0" t="n">
        <v>651.59</v>
      </c>
      <c r="N386" s="0" t="n">
        <v>28.34</v>
      </c>
      <c r="O386" s="0" t="n">
        <v>23.7</v>
      </c>
      <c r="P386" s="0" t="n">
        <v>3.54</v>
      </c>
      <c r="Q386" s="0" t="n">
        <v>3.16</v>
      </c>
      <c r="R386" s="0" t="n">
        <v>5855</v>
      </c>
      <c r="S386" s="0" t="n">
        <v>11697</v>
      </c>
      <c r="T386" s="0" t="n">
        <v>61.1</v>
      </c>
      <c r="U386" s="0" t="n">
        <v>1563</v>
      </c>
      <c r="V386" s="0" t="n">
        <v>1</v>
      </c>
      <c r="W386" s="39" t="n">
        <f aca="false">IF(I386="Male",0,1)</f>
        <v>1</v>
      </c>
      <c r="X386" s="39" t="n">
        <f aca="false">IF(OR(I386="DNB",I386="Dry DNB"),1,0)</f>
        <v>0</v>
      </c>
      <c r="Y386" s="39" t="n">
        <f aca="false">MATCH(A386,DATAS,0)</f>
        <v>1</v>
      </c>
      <c r="Z386" s="39" t="n">
        <f aca="false">IF(AND(E386&gt;0,OR(AND(B386&gt;=1,B386&lt;=6),B386=10)),1,0)</f>
        <v>1</v>
      </c>
      <c r="AA386" s="39" t="n">
        <f aca="false">IF(AND(E386&gt;0,B386=10),1,0)</f>
        <v>0</v>
      </c>
      <c r="AB386" s="0" t="str">
        <f aca="false">IF(AND(C385=C386,Y385=Y386-1),Z385,"")</f>
        <v/>
      </c>
      <c r="AC386" s="0" t="str">
        <f aca="false">IF(AND(C385=C386,Y385=Y386-1),AA385,"")</f>
        <v/>
      </c>
      <c r="AD386" s="0" t="str">
        <f aca="false">IF(Y386=1,"",IF(AND(Z386=1,AB386&lt;&gt;1),1,0))</f>
        <v/>
      </c>
      <c r="AE386" s="0" t="str">
        <f aca="false">IF(Y386=1,"",IF(AND(AA386=1,AC386&lt;&gt;1),1,0))</f>
        <v/>
      </c>
      <c r="AF386" s="45" t="str">
        <f aca="false">IF(AND(E386&gt;0,Y386&lt;1,NOT(AND(C387=C386,Y387=Y386+1))),INDEX(DATAS,Y386+1),"")</f>
        <v/>
      </c>
      <c r="AG386" s="45" t="str">
        <f aca="false">IF(AND(AA386=1,Y386&lt;1),IF(AND(C387=C386,Y387=Y386+1),IF(AA387=1,"",INDEX(DATAS,Y386+1)),INDEX(DATAS,Y386+1)),"")</f>
        <v/>
      </c>
    </row>
    <row r="387" customFormat="false" ht="15" hidden="false" customHeight="false" outlineLevel="0" collapsed="false">
      <c r="A387" s="45" t="n">
        <v>46309</v>
      </c>
      <c r="B387" s="0" t="n">
        <v>6</v>
      </c>
      <c r="C387" s="0" t="n">
        <v>4074</v>
      </c>
      <c r="D387" s="0" t="n">
        <v>182</v>
      </c>
      <c r="E387" s="0" t="n">
        <v>3</v>
      </c>
      <c r="F387" s="39" t="s">
        <v>415</v>
      </c>
      <c r="G387" s="0" t="n">
        <v>19.7</v>
      </c>
      <c r="H387" s="0" t="n">
        <v>22</v>
      </c>
      <c r="I387" s="39" t="s">
        <v>146</v>
      </c>
      <c r="J387" s="0" t="n">
        <v>182</v>
      </c>
      <c r="K387" s="0" t="n">
        <v>63</v>
      </c>
      <c r="M387" s="0" t="n">
        <v>269.95</v>
      </c>
      <c r="N387" s="0" t="n">
        <v>-1.06</v>
      </c>
      <c r="O387" s="0" t="n">
        <v>17.89</v>
      </c>
      <c r="P387" s="0" t="n">
        <v>2.67</v>
      </c>
      <c r="Q387" s="0" t="n">
        <v>3.66</v>
      </c>
      <c r="R387" s="0" t="n">
        <v>3933</v>
      </c>
      <c r="S387" s="0" t="n">
        <v>7611</v>
      </c>
      <c r="T387" s="0" t="n">
        <v>42.3</v>
      </c>
      <c r="U387" s="0" t="n">
        <v>1562</v>
      </c>
      <c r="V387" s="0" t="n">
        <v>3</v>
      </c>
      <c r="W387" s="39" t="n">
        <f aca="false">IF(I387="Male",0,1)</f>
        <v>1</v>
      </c>
      <c r="X387" s="39" t="n">
        <f aca="false">IF(OR(I387="DNB",I387="Dry DNB"),1,0)</f>
        <v>0</v>
      </c>
      <c r="Y387" s="39" t="n">
        <f aca="false">MATCH(A387,DATAS,0)</f>
        <v>1</v>
      </c>
      <c r="Z387" s="39" t="n">
        <f aca="false">IF(AND(E387&gt;0,OR(AND(B387&gt;=1,B387&lt;=6),B387=10)),1,0)</f>
        <v>1</v>
      </c>
      <c r="AA387" s="39" t="n">
        <f aca="false">IF(AND(E387&gt;0,B387=10),1,0)</f>
        <v>0</v>
      </c>
      <c r="AB387" s="0" t="str">
        <f aca="false">IF(AND(C386=C387,Y386=Y387-1),Z386,"")</f>
        <v/>
      </c>
      <c r="AC387" s="0" t="str">
        <f aca="false">IF(AND(C386=C387,Y386=Y387-1),AA386,"")</f>
        <v/>
      </c>
      <c r="AD387" s="0" t="str">
        <f aca="false">IF(Y387=1,"",IF(AND(Z387=1,AB387&lt;&gt;1),1,0))</f>
        <v/>
      </c>
      <c r="AE387" s="0" t="str">
        <f aca="false">IF(Y387=1,"",IF(AND(AA387=1,AC387&lt;&gt;1),1,0))</f>
        <v/>
      </c>
      <c r="AF387" s="45" t="str">
        <f aca="false">IF(AND(E387&gt;0,Y387&lt;1,NOT(AND(C388=C387,Y388=Y387+1))),INDEX(DATAS,Y387+1),"")</f>
        <v/>
      </c>
      <c r="AG387" s="45" t="str">
        <f aca="false">IF(AND(AA387=1,Y387&lt;1),IF(AND(C388=C387,Y388=Y387+1),IF(AA388=1,"",INDEX(DATAS,Y387+1)),INDEX(DATAS,Y387+1)),"")</f>
        <v/>
      </c>
    </row>
    <row r="388" customFormat="false" ht="15" hidden="false" customHeight="false" outlineLevel="0" collapsed="false">
      <c r="A388" s="45" t="n">
        <v>46309</v>
      </c>
      <c r="B388" s="0" t="n">
        <v>10</v>
      </c>
      <c r="C388" s="0" t="n">
        <v>4075</v>
      </c>
      <c r="D388" s="0" t="n">
        <v>10</v>
      </c>
      <c r="E388" s="0" t="n">
        <v>3</v>
      </c>
      <c r="F388" s="39" t="s">
        <v>415</v>
      </c>
      <c r="G388" s="0" t="n">
        <v>33.8</v>
      </c>
      <c r="H388" s="0" t="n">
        <v>22</v>
      </c>
      <c r="I388" s="39" t="s">
        <v>118</v>
      </c>
      <c r="J388" s="0" t="n">
        <v>10</v>
      </c>
      <c r="M388" s="0" t="n">
        <v>804.73</v>
      </c>
      <c r="N388" s="0" t="n">
        <v>42.67</v>
      </c>
      <c r="O388" s="0" t="n">
        <v>27.35</v>
      </c>
      <c r="R388" s="0" t="n">
        <v>1889</v>
      </c>
      <c r="S388" s="0" t="n">
        <v>3797</v>
      </c>
      <c r="U388" s="0" t="n">
        <v>1562</v>
      </c>
      <c r="V388" s="0" t="n">
        <v>0</v>
      </c>
      <c r="W388" s="39" t="n">
        <f aca="false">IF(I388="Male",0,1)</f>
        <v>1</v>
      </c>
      <c r="X388" s="39" t="n">
        <f aca="false">IF(OR(I388="DNB",I388="Dry DNB"),1,0)</f>
        <v>0</v>
      </c>
      <c r="Y388" s="39" t="n">
        <f aca="false">MATCH(A388,DATAS,0)</f>
        <v>1</v>
      </c>
      <c r="Z388" s="39" t="n">
        <f aca="false">IF(AND(E388&gt;0,OR(AND(B388&gt;=1,B388&lt;=6),B388=10)),1,0)</f>
        <v>1</v>
      </c>
      <c r="AA388" s="39" t="n">
        <f aca="false">IF(AND(E388&gt;0,B388=10),1,0)</f>
        <v>1</v>
      </c>
      <c r="AB388" s="0" t="str">
        <f aca="false">IF(AND(C387=C388,Y387=Y388-1),Z387,"")</f>
        <v/>
      </c>
      <c r="AC388" s="0" t="str">
        <f aca="false">IF(AND(C387=C388,Y387=Y388-1),AA387,"")</f>
        <v/>
      </c>
      <c r="AD388" s="0" t="str">
        <f aca="false">IF(Y388=1,"",IF(AND(Z388=1,AB388&lt;&gt;1),1,0))</f>
        <v/>
      </c>
      <c r="AE388" s="0" t="str">
        <f aca="false">IF(Y388=1,"",IF(AND(AA388=1,AC388&lt;&gt;1),1,0))</f>
        <v/>
      </c>
      <c r="AF388" s="45" t="str">
        <f aca="false">IF(AND(E388&gt;0,Y388&lt;1,NOT(AND(C389=C388,Y389=Y388+1))),INDEX(DATAS,Y388+1),"")</f>
        <v/>
      </c>
      <c r="AG388" s="45" t="str">
        <f aca="false">IF(AND(AA388=1,Y388&lt;1),IF(AND(C389=C388,Y389=Y388+1),IF(AA389=1,"",INDEX(DATAS,Y388+1)),INDEX(DATAS,Y388+1)),"")</f>
        <v/>
      </c>
    </row>
    <row r="389" customFormat="false" ht="15" hidden="false" customHeight="false" outlineLevel="0" collapsed="false">
      <c r="A389" s="45" t="n">
        <v>46309</v>
      </c>
      <c r="B389" s="0" t="n">
        <v>3</v>
      </c>
      <c r="C389" s="0" t="n">
        <v>4078</v>
      </c>
      <c r="D389" s="0" t="n">
        <v>154</v>
      </c>
      <c r="E389" s="0" t="n">
        <v>3</v>
      </c>
      <c r="F389" s="39" t="s">
        <v>416</v>
      </c>
      <c r="G389" s="0" t="n">
        <v>59.1</v>
      </c>
      <c r="H389" s="0" t="n">
        <v>59</v>
      </c>
      <c r="I389" s="39" t="s">
        <v>146</v>
      </c>
      <c r="J389" s="0" t="n">
        <v>154</v>
      </c>
      <c r="K389" s="0" t="n">
        <v>63</v>
      </c>
      <c r="M389" s="0" t="n">
        <v>420.55</v>
      </c>
      <c r="N389" s="0" t="n">
        <v>47.43</v>
      </c>
      <c r="O389" s="0" t="n">
        <v>28.37</v>
      </c>
      <c r="P389" s="0" t="n">
        <v>2.1</v>
      </c>
      <c r="Q389" s="0" t="n">
        <v>3.16</v>
      </c>
      <c r="R389" s="0" t="n">
        <v>5766</v>
      </c>
      <c r="S389" s="0" t="n">
        <v>11935</v>
      </c>
      <c r="T389" s="0" t="n">
        <v>62.7</v>
      </c>
      <c r="U389" s="0" t="n">
        <v>1561</v>
      </c>
      <c r="V389" s="0" t="n">
        <v>3</v>
      </c>
      <c r="W389" s="39" t="n">
        <f aca="false">IF(I389="Male",0,1)</f>
        <v>1</v>
      </c>
      <c r="X389" s="39" t="n">
        <f aca="false">IF(OR(I389="DNB",I389="Dry DNB"),1,0)</f>
        <v>0</v>
      </c>
      <c r="Y389" s="39" t="n">
        <f aca="false">MATCH(A389,DATAS,0)</f>
        <v>1</v>
      </c>
      <c r="Z389" s="39" t="n">
        <f aca="false">IF(AND(E389&gt;0,OR(AND(B389&gt;=1,B389&lt;=6),B389=10)),1,0)</f>
        <v>1</v>
      </c>
      <c r="AA389" s="39" t="n">
        <f aca="false">IF(AND(E389&gt;0,B389=10),1,0)</f>
        <v>0</v>
      </c>
      <c r="AB389" s="0" t="str">
        <f aca="false">IF(AND(C388=C389,Y388=Y389-1),Z388,"")</f>
        <v/>
      </c>
      <c r="AC389" s="0" t="str">
        <f aca="false">IF(AND(C388=C389,Y388=Y389-1),AA388,"")</f>
        <v/>
      </c>
      <c r="AD389" s="0" t="str">
        <f aca="false">IF(Y389=1,"",IF(AND(Z389=1,AB389&lt;&gt;1),1,0))</f>
        <v/>
      </c>
      <c r="AE389" s="0" t="str">
        <f aca="false">IF(Y389=1,"",IF(AND(AA389=1,AC389&lt;&gt;1),1,0))</f>
        <v/>
      </c>
      <c r="AF389" s="45" t="str">
        <f aca="false">IF(AND(E389&gt;0,Y389&lt;1,NOT(AND(C390=C389,Y390=Y389+1))),INDEX(DATAS,Y389+1),"")</f>
        <v/>
      </c>
      <c r="AG389" s="45" t="str">
        <f aca="false">IF(AND(AA389=1,Y389&lt;1),IF(AND(C390=C389,Y390=Y389+1),IF(AA390=1,"",INDEX(DATAS,Y389+1)),INDEX(DATAS,Y389+1)),"")</f>
        <v/>
      </c>
    </row>
    <row r="390" customFormat="false" ht="15" hidden="false" customHeight="false" outlineLevel="0" collapsed="false">
      <c r="A390" s="45" t="n">
        <v>46309</v>
      </c>
      <c r="B390" s="0" t="n">
        <v>14</v>
      </c>
      <c r="C390" s="0" t="n">
        <v>4083</v>
      </c>
      <c r="D390" s="0" t="n">
        <v>387</v>
      </c>
      <c r="E390" s="0" t="n">
        <v>2</v>
      </c>
      <c r="F390" s="39" t="s">
        <v>417</v>
      </c>
      <c r="I390" s="39" t="s">
        <v>114</v>
      </c>
      <c r="J390" s="0" t="n">
        <v>164</v>
      </c>
      <c r="K390" s="0" t="n">
        <v>59</v>
      </c>
      <c r="L390" s="0" t="n">
        <v>259</v>
      </c>
      <c r="M390" s="0" t="n">
        <v>1046.21</v>
      </c>
      <c r="N390" s="0" t="n">
        <v>44.08</v>
      </c>
      <c r="O390" s="0" t="n">
        <v>41.55</v>
      </c>
      <c r="P390" s="0" t="n">
        <v>3.22</v>
      </c>
      <c r="Q390" s="0" t="n">
        <v>3.48</v>
      </c>
      <c r="R390" s="0" t="n">
        <v>6190</v>
      </c>
      <c r="S390" s="0" t="n">
        <v>12116</v>
      </c>
      <c r="T390" s="0" t="n">
        <v>68.5</v>
      </c>
      <c r="U390" s="0" t="n">
        <v>1557</v>
      </c>
      <c r="V390" s="0" t="n">
        <v>4</v>
      </c>
      <c r="W390" s="39" t="n">
        <f aca="false">IF(I390="Male",0,1)</f>
        <v>1</v>
      </c>
      <c r="X390" s="39" t="n">
        <f aca="false">IF(OR(I390="DNB",I390="Dry DNB"),1,0)</f>
        <v>0</v>
      </c>
      <c r="Y390" s="39" t="n">
        <f aca="false">MATCH(A390,DATAS,0)</f>
        <v>1</v>
      </c>
      <c r="Z390" s="39" t="n">
        <f aca="false">IF(AND(E390&gt;0,OR(AND(B390&gt;=1,B390&lt;=6),B390=10)),1,0)</f>
        <v>0</v>
      </c>
      <c r="AA390" s="39" t="n">
        <f aca="false">IF(AND(E390&gt;0,B390=10),1,0)</f>
        <v>0</v>
      </c>
      <c r="AB390" s="0" t="str">
        <f aca="false">IF(AND(C389=C390,Y389=Y390-1),Z389,"")</f>
        <v/>
      </c>
      <c r="AC390" s="0" t="str">
        <f aca="false">IF(AND(C389=C390,Y389=Y390-1),AA389,"")</f>
        <v/>
      </c>
      <c r="AD390" s="0" t="str">
        <f aca="false">IF(Y390=1,"",IF(AND(Z390=1,AB390&lt;&gt;1),1,0))</f>
        <v/>
      </c>
      <c r="AE390" s="0" t="str">
        <f aca="false">IF(Y390=1,"",IF(AND(AA390=1,AC390&lt;&gt;1),1,0))</f>
        <v/>
      </c>
      <c r="AF390" s="45" t="str">
        <f aca="false">IF(AND(E390&gt;0,Y390&lt;1,NOT(AND(C391=C390,Y391=Y390+1))),INDEX(DATAS,Y390+1),"")</f>
        <v/>
      </c>
      <c r="AG390" s="45" t="str">
        <f aca="false">IF(AND(AA390=1,Y390&lt;1),IF(AND(C391=C390,Y391=Y390+1),IF(AA391=1,"",INDEX(DATAS,Y390+1)),INDEX(DATAS,Y390+1)),"")</f>
        <v/>
      </c>
    </row>
    <row r="391" customFormat="false" ht="15" hidden="false" customHeight="false" outlineLevel="0" collapsed="false">
      <c r="A391" s="45" t="n">
        <v>46309</v>
      </c>
      <c r="B391" s="0" t="n">
        <v>3</v>
      </c>
      <c r="C391" s="0" t="n">
        <v>4085</v>
      </c>
      <c r="D391" s="0" t="n">
        <v>46</v>
      </c>
      <c r="E391" s="0" t="n">
        <v>3</v>
      </c>
      <c r="F391" s="39" t="s">
        <v>417</v>
      </c>
      <c r="G391" s="0" t="n">
        <v>62.2</v>
      </c>
      <c r="H391" s="0" t="n">
        <v>58</v>
      </c>
      <c r="I391" s="39" t="s">
        <v>118</v>
      </c>
      <c r="J391" s="0" t="n">
        <v>46</v>
      </c>
      <c r="M391" s="0" t="n">
        <v>225.7</v>
      </c>
      <c r="N391" s="0" t="n">
        <v>43.09</v>
      </c>
      <c r="O391" s="0" t="n">
        <v>28.59</v>
      </c>
      <c r="P391" s="0" t="n">
        <v>5.8</v>
      </c>
      <c r="Q391" s="0" t="n">
        <v>3.72</v>
      </c>
      <c r="R391" s="0" t="n">
        <v>4622</v>
      </c>
      <c r="S391" s="0" t="n">
        <v>9291</v>
      </c>
      <c r="U391" s="0" t="n">
        <v>1557</v>
      </c>
      <c r="V391" s="0" t="n">
        <v>0</v>
      </c>
      <c r="W391" s="39" t="n">
        <f aca="false">IF(I391="Male",0,1)</f>
        <v>1</v>
      </c>
      <c r="X391" s="39" t="n">
        <f aca="false">IF(OR(I391="DNB",I391="Dry DNB"),1,0)</f>
        <v>0</v>
      </c>
      <c r="Y391" s="39" t="n">
        <f aca="false">MATCH(A391,DATAS,0)</f>
        <v>1</v>
      </c>
      <c r="Z391" s="39" t="n">
        <f aca="false">IF(AND(E391&gt;0,OR(AND(B391&gt;=1,B391&lt;=6),B391=10)),1,0)</f>
        <v>1</v>
      </c>
      <c r="AA391" s="39" t="n">
        <f aca="false">IF(AND(E391&gt;0,B391=10),1,0)</f>
        <v>0</v>
      </c>
      <c r="AB391" s="0" t="str">
        <f aca="false">IF(AND(C390=C391,Y390=Y391-1),Z390,"")</f>
        <v/>
      </c>
      <c r="AC391" s="0" t="str">
        <f aca="false">IF(AND(C390=C391,Y390=Y391-1),AA390,"")</f>
        <v/>
      </c>
      <c r="AD391" s="0" t="str">
        <f aca="false">IF(Y391=1,"",IF(AND(Z391=1,AB391&lt;&gt;1),1,0))</f>
        <v/>
      </c>
      <c r="AE391" s="0" t="str">
        <f aca="false">IF(Y391=1,"",IF(AND(AA391=1,AC391&lt;&gt;1),1,0))</f>
        <v/>
      </c>
      <c r="AF391" s="45" t="str">
        <f aca="false">IF(AND(E391&gt;0,Y391&lt;1,NOT(AND(C392=C391,Y392=Y391+1))),INDEX(DATAS,Y391+1),"")</f>
        <v/>
      </c>
      <c r="AG391" s="45" t="str">
        <f aca="false">IF(AND(AA391=1,Y391&lt;1),IF(AND(C392=C391,Y392=Y391+1),IF(AA392=1,"",INDEX(DATAS,Y391+1)),INDEX(DATAS,Y391+1)),"")</f>
        <v/>
      </c>
    </row>
    <row r="392" customFormat="false" ht="15" hidden="false" customHeight="false" outlineLevel="0" collapsed="false">
      <c r="A392" s="45" t="n">
        <v>46309</v>
      </c>
      <c r="B392" s="0" t="n">
        <v>2</v>
      </c>
      <c r="C392" s="0" t="n">
        <v>4086</v>
      </c>
      <c r="D392" s="0" t="n">
        <v>126</v>
      </c>
      <c r="E392" s="0" t="n">
        <v>3</v>
      </c>
      <c r="F392" s="39" t="s">
        <v>417</v>
      </c>
      <c r="G392" s="0" t="n">
        <v>64.1</v>
      </c>
      <c r="H392" s="0" t="n">
        <v>64</v>
      </c>
      <c r="I392" s="39" t="s">
        <v>109</v>
      </c>
      <c r="J392" s="0" t="n">
        <v>91</v>
      </c>
      <c r="K392" s="0" t="n">
        <v>70</v>
      </c>
      <c r="L392" s="0" t="n">
        <v>35</v>
      </c>
      <c r="M392" s="0" t="n">
        <v>675.79</v>
      </c>
      <c r="N392" s="0" t="n">
        <v>52.5</v>
      </c>
      <c r="O392" s="0" t="n">
        <v>30.28</v>
      </c>
      <c r="P392" s="0" t="n">
        <v>3.92</v>
      </c>
      <c r="Q392" s="0" t="n">
        <v>3.33</v>
      </c>
      <c r="R392" s="0" t="n">
        <v>5903</v>
      </c>
      <c r="S392" s="0" t="n">
        <v>12143</v>
      </c>
      <c r="T392" s="0" t="n">
        <v>62.7</v>
      </c>
      <c r="U392" s="0" t="n">
        <v>1557</v>
      </c>
      <c r="V392" s="0" t="n">
        <v>2</v>
      </c>
      <c r="W392" s="39" t="n">
        <f aca="false">IF(I392="Male",0,1)</f>
        <v>1</v>
      </c>
      <c r="X392" s="39" t="n">
        <f aca="false">IF(OR(I392="DNB",I392="Dry DNB"),1,0)</f>
        <v>0</v>
      </c>
      <c r="Y392" s="39" t="n">
        <f aca="false">MATCH(A392,DATAS,0)</f>
        <v>1</v>
      </c>
      <c r="Z392" s="39" t="n">
        <f aca="false">IF(AND(E392&gt;0,OR(AND(B392&gt;=1,B392&lt;=6),B392=10)),1,0)</f>
        <v>1</v>
      </c>
      <c r="AA392" s="39" t="n">
        <f aca="false">IF(AND(E392&gt;0,B392=10),1,0)</f>
        <v>0</v>
      </c>
      <c r="AB392" s="0" t="str">
        <f aca="false">IF(AND(C391=C392,Y391=Y392-1),Z391,"")</f>
        <v/>
      </c>
      <c r="AC392" s="0" t="str">
        <f aca="false">IF(AND(C391=C392,Y391=Y392-1),AA391,"")</f>
        <v/>
      </c>
      <c r="AD392" s="0" t="str">
        <f aca="false">IF(Y392=1,"",IF(AND(Z392=1,AB392&lt;&gt;1),1,0))</f>
        <v/>
      </c>
      <c r="AE392" s="0" t="str">
        <f aca="false">IF(Y392=1,"",IF(AND(AA392=1,AC392&lt;&gt;1),1,0))</f>
        <v/>
      </c>
      <c r="AF392" s="45" t="str">
        <f aca="false">IF(AND(E392&gt;0,Y392&lt;1,NOT(AND(C393=C392,Y393=Y392+1))),INDEX(DATAS,Y392+1),"")</f>
        <v/>
      </c>
      <c r="AG392" s="45" t="str">
        <f aca="false">IF(AND(AA392=1,Y392&lt;1),IF(AND(C393=C392,Y393=Y392+1),IF(AA393=1,"",INDEX(DATAS,Y392+1)),INDEX(DATAS,Y392+1)),"")</f>
        <v/>
      </c>
    </row>
    <row r="393" customFormat="false" ht="15" hidden="false" customHeight="false" outlineLevel="0" collapsed="false">
      <c r="A393" s="45" t="n">
        <v>46309</v>
      </c>
      <c r="B393" s="0" t="n">
        <v>3</v>
      </c>
      <c r="C393" s="0" t="n">
        <v>4090</v>
      </c>
      <c r="D393" s="0" t="n">
        <v>48</v>
      </c>
      <c r="E393" s="0" t="n">
        <v>3</v>
      </c>
      <c r="F393" s="39" t="s">
        <v>418</v>
      </c>
      <c r="G393" s="0" t="n">
        <v>58.5</v>
      </c>
      <c r="H393" s="0" t="n">
        <v>58</v>
      </c>
      <c r="I393" s="39" t="s">
        <v>118</v>
      </c>
      <c r="J393" s="0" t="n">
        <v>48</v>
      </c>
      <c r="M393" s="0" t="n">
        <v>561.78</v>
      </c>
      <c r="N393" s="0" t="n">
        <v>49.53</v>
      </c>
      <c r="O393" s="0" t="n">
        <v>37.1</v>
      </c>
      <c r="P393" s="0" t="n">
        <v>3.29</v>
      </c>
      <c r="Q393" s="0" t="n">
        <v>3.59</v>
      </c>
      <c r="R393" s="0" t="n">
        <v>4900</v>
      </c>
      <c r="S393" s="0" t="n">
        <v>9851</v>
      </c>
      <c r="U393" s="0" t="n">
        <v>1555</v>
      </c>
      <c r="V393" s="0" t="n">
        <v>0</v>
      </c>
      <c r="W393" s="39" t="n">
        <f aca="false">IF(I393="Male",0,1)</f>
        <v>1</v>
      </c>
      <c r="X393" s="39" t="n">
        <f aca="false">IF(OR(I393="DNB",I393="Dry DNB"),1,0)</f>
        <v>0</v>
      </c>
      <c r="Y393" s="39" t="n">
        <f aca="false">MATCH(A393,DATAS,0)</f>
        <v>1</v>
      </c>
      <c r="Z393" s="39" t="n">
        <f aca="false">IF(AND(E393&gt;0,OR(AND(B393&gt;=1,B393&lt;=6),B393=10)),1,0)</f>
        <v>1</v>
      </c>
      <c r="AA393" s="39" t="n">
        <f aca="false">IF(AND(E393&gt;0,B393=10),1,0)</f>
        <v>0</v>
      </c>
      <c r="AB393" s="0" t="str">
        <f aca="false">IF(AND(C392=C393,Y392=Y393-1),Z392,"")</f>
        <v/>
      </c>
      <c r="AC393" s="0" t="str">
        <f aca="false">IF(AND(C392=C393,Y392=Y393-1),AA392,"")</f>
        <v/>
      </c>
      <c r="AD393" s="0" t="str">
        <f aca="false">IF(Y393=1,"",IF(AND(Z393=1,AB393&lt;&gt;1),1,0))</f>
        <v/>
      </c>
      <c r="AE393" s="0" t="str">
        <f aca="false">IF(Y393=1,"",IF(AND(AA393=1,AC393&lt;&gt;1),1,0))</f>
        <v/>
      </c>
      <c r="AF393" s="45" t="str">
        <f aca="false">IF(AND(E393&gt;0,Y393&lt;1,NOT(AND(C394=C393,Y394=Y393+1))),INDEX(DATAS,Y393+1),"")</f>
        <v/>
      </c>
      <c r="AG393" s="45" t="str">
        <f aca="false">IF(AND(AA393=1,Y393&lt;1),IF(AND(C394=C393,Y394=Y393+1),IF(AA394=1,"",INDEX(DATAS,Y393+1)),INDEX(DATAS,Y393+1)),"")</f>
        <v/>
      </c>
    </row>
    <row r="394" customFormat="false" ht="15" hidden="false" customHeight="false" outlineLevel="0" collapsed="false">
      <c r="A394" s="45" t="n">
        <v>46309</v>
      </c>
      <c r="B394" s="0" t="n">
        <v>3</v>
      </c>
      <c r="C394" s="0" t="n">
        <v>4091</v>
      </c>
      <c r="D394" s="0" t="n">
        <v>121</v>
      </c>
      <c r="E394" s="0" t="n">
        <v>3</v>
      </c>
      <c r="F394" s="39" t="s">
        <v>419</v>
      </c>
      <c r="G394" s="0" t="n">
        <v>57.7</v>
      </c>
      <c r="H394" s="0" t="n">
        <v>57</v>
      </c>
      <c r="I394" s="39" t="s">
        <v>138</v>
      </c>
      <c r="J394" s="0" t="n">
        <v>121</v>
      </c>
      <c r="K394" s="0" t="n">
        <v>65</v>
      </c>
      <c r="M394" s="0" t="n">
        <v>431.97</v>
      </c>
      <c r="N394" s="0" t="n">
        <v>27.71</v>
      </c>
      <c r="O394" s="0" t="n">
        <v>14.54</v>
      </c>
      <c r="P394" s="0" t="n">
        <v>3.1</v>
      </c>
      <c r="Q394" s="0" t="n">
        <v>3.03</v>
      </c>
      <c r="R394" s="0" t="n">
        <v>5420</v>
      </c>
      <c r="S394" s="0" t="n">
        <v>10967</v>
      </c>
      <c r="T394" s="0" t="n">
        <v>58.55</v>
      </c>
      <c r="U394" s="0" t="n">
        <v>1554</v>
      </c>
      <c r="V394" s="0" t="n">
        <v>2</v>
      </c>
      <c r="W394" s="39" t="n">
        <f aca="false">IF(I394="Male",0,1)</f>
        <v>1</v>
      </c>
      <c r="X394" s="39" t="n">
        <f aca="false">IF(OR(I394="DNB",I394="Dry DNB"),1,0)</f>
        <v>0</v>
      </c>
      <c r="Y394" s="39" t="n">
        <f aca="false">MATCH(A394,DATAS,0)</f>
        <v>1</v>
      </c>
      <c r="Z394" s="39" t="n">
        <f aca="false">IF(AND(E394&gt;0,OR(AND(B394&gt;=1,B394&lt;=6),B394=10)),1,0)</f>
        <v>1</v>
      </c>
      <c r="AA394" s="39" t="n">
        <f aca="false">IF(AND(E394&gt;0,B394=10),1,0)</f>
        <v>0</v>
      </c>
      <c r="AB394" s="0" t="str">
        <f aca="false">IF(AND(C393=C394,Y393=Y394-1),Z393,"")</f>
        <v/>
      </c>
      <c r="AC394" s="0" t="str">
        <f aca="false">IF(AND(C393=C394,Y393=Y394-1),AA393,"")</f>
        <v/>
      </c>
      <c r="AD394" s="0" t="str">
        <f aca="false">IF(Y394=1,"",IF(AND(Z394=1,AB394&lt;&gt;1),1,0))</f>
        <v/>
      </c>
      <c r="AE394" s="0" t="str">
        <f aca="false">IF(Y394=1,"",IF(AND(AA394=1,AC394&lt;&gt;1),1,0))</f>
        <v/>
      </c>
      <c r="AF394" s="45" t="str">
        <f aca="false">IF(AND(E394&gt;0,Y394&lt;1,NOT(AND(C395=C394,Y395=Y394+1))),INDEX(DATAS,Y394+1),"")</f>
        <v/>
      </c>
      <c r="AG394" s="45" t="str">
        <f aca="false">IF(AND(AA394=1,Y394&lt;1),IF(AND(C395=C394,Y395=Y394+1),IF(AA395=1,"",INDEX(DATAS,Y394+1)),INDEX(DATAS,Y394+1)),"")</f>
        <v/>
      </c>
    </row>
    <row r="395" customFormat="false" ht="15" hidden="false" customHeight="false" outlineLevel="0" collapsed="false">
      <c r="A395" s="45" t="n">
        <v>46309</v>
      </c>
      <c r="B395" s="0" t="n">
        <v>5</v>
      </c>
      <c r="C395" s="0" t="n">
        <v>4093</v>
      </c>
      <c r="D395" s="0" t="n">
        <v>248</v>
      </c>
      <c r="E395" s="0" t="n">
        <v>2</v>
      </c>
      <c r="F395" s="39" t="s">
        <v>420</v>
      </c>
      <c r="G395" s="0" t="n">
        <v>41.6</v>
      </c>
      <c r="H395" s="0" t="n">
        <v>41</v>
      </c>
      <c r="I395" s="39" t="s">
        <v>138</v>
      </c>
      <c r="J395" s="0" t="n">
        <v>248</v>
      </c>
      <c r="K395" s="0" t="n">
        <v>66</v>
      </c>
      <c r="M395" s="0" t="n">
        <v>364.01</v>
      </c>
      <c r="N395" s="0" t="n">
        <v>60.17</v>
      </c>
      <c r="O395" s="0" t="n">
        <v>21.9</v>
      </c>
      <c r="P395" s="0" t="n">
        <v>3.37</v>
      </c>
      <c r="Q395" s="0" t="n">
        <v>3.42</v>
      </c>
      <c r="R395" s="0" t="n">
        <v>5276</v>
      </c>
      <c r="S395" s="0" t="n">
        <v>9552</v>
      </c>
      <c r="T395" s="0" t="n">
        <v>56.4</v>
      </c>
      <c r="U395" s="0" t="n">
        <v>1552</v>
      </c>
      <c r="V395" s="0" t="n">
        <v>5</v>
      </c>
      <c r="W395" s="39" t="n">
        <f aca="false">IF(I395="Male",0,1)</f>
        <v>1</v>
      </c>
      <c r="X395" s="39" t="n">
        <f aca="false">IF(OR(I395="DNB",I395="Dry DNB"),1,0)</f>
        <v>0</v>
      </c>
      <c r="Y395" s="39" t="n">
        <f aca="false">MATCH(A395,DATAS,0)</f>
        <v>1</v>
      </c>
      <c r="Z395" s="39" t="n">
        <f aca="false">IF(AND(E395&gt;0,OR(AND(B395&gt;=1,B395&lt;=6),B395=10)),1,0)</f>
        <v>1</v>
      </c>
      <c r="AA395" s="39" t="n">
        <f aca="false">IF(AND(E395&gt;0,B395=10),1,0)</f>
        <v>0</v>
      </c>
      <c r="AB395" s="0" t="str">
        <f aca="false">IF(AND(C394=C395,Y394=Y395-1),Z394,"")</f>
        <v/>
      </c>
      <c r="AC395" s="0" t="str">
        <f aca="false">IF(AND(C394=C395,Y394=Y395-1),AA394,"")</f>
        <v/>
      </c>
      <c r="AD395" s="0" t="str">
        <f aca="false">IF(Y395=1,"",IF(AND(Z395=1,AB395&lt;&gt;1),1,0))</f>
        <v/>
      </c>
      <c r="AE395" s="0" t="str">
        <f aca="false">IF(Y395=1,"",IF(AND(AA395=1,AC395&lt;&gt;1),1,0))</f>
        <v/>
      </c>
      <c r="AF395" s="45" t="str">
        <f aca="false">IF(AND(E395&gt;0,Y395&lt;1,NOT(AND(C396=C395,Y396=Y395+1))),INDEX(DATAS,Y395+1),"")</f>
        <v/>
      </c>
      <c r="AG395" s="45" t="str">
        <f aca="false">IF(AND(AA395=1,Y395&lt;1),IF(AND(C396=C395,Y396=Y395+1),IF(AA396=1,"",INDEX(DATAS,Y395+1)),INDEX(DATAS,Y395+1)),"")</f>
        <v/>
      </c>
    </row>
    <row r="396" customFormat="false" ht="15" hidden="false" customHeight="false" outlineLevel="0" collapsed="false">
      <c r="A396" s="45" t="n">
        <v>46309</v>
      </c>
      <c r="B396" s="0" t="n">
        <v>6</v>
      </c>
      <c r="C396" s="0" t="n">
        <v>4095</v>
      </c>
      <c r="D396" s="0" t="n">
        <v>898</v>
      </c>
      <c r="E396" s="0" t="n">
        <v>1</v>
      </c>
      <c r="F396" s="39" t="s">
        <v>421</v>
      </c>
      <c r="G396" s="0" t="n">
        <v>7.6</v>
      </c>
      <c r="H396" s="0" t="n">
        <v>13</v>
      </c>
      <c r="I396" s="39" t="s">
        <v>109</v>
      </c>
      <c r="J396" s="0" t="n">
        <v>863</v>
      </c>
      <c r="K396" s="0" t="n">
        <v>115</v>
      </c>
      <c r="L396" s="0" t="n">
        <v>35</v>
      </c>
      <c r="M396" s="0" t="n">
        <v>930.84</v>
      </c>
      <c r="N396" s="0" t="n">
        <v>70.71</v>
      </c>
      <c r="O396" s="0" t="n">
        <v>40.33</v>
      </c>
      <c r="P396" s="0" t="n">
        <v>6.24</v>
      </c>
      <c r="Q396" s="0" t="n">
        <v>4.92</v>
      </c>
      <c r="R396" s="0" t="n">
        <v>3552</v>
      </c>
      <c r="S396" s="0" t="n">
        <v>7780</v>
      </c>
      <c r="T396" s="0" t="n">
        <v>40.65</v>
      </c>
      <c r="U396" s="0" t="n">
        <v>1551</v>
      </c>
      <c r="V396" s="0" t="n">
        <v>11</v>
      </c>
      <c r="W396" s="39" t="n">
        <f aca="false">IF(I396="Male",0,1)</f>
        <v>1</v>
      </c>
      <c r="X396" s="39" t="n">
        <f aca="false">IF(OR(I396="DNB",I396="Dry DNB"),1,0)</f>
        <v>0</v>
      </c>
      <c r="Y396" s="39" t="n">
        <f aca="false">MATCH(A396,DATAS,0)</f>
        <v>1</v>
      </c>
      <c r="Z396" s="39" t="n">
        <f aca="false">IF(AND(E396&gt;0,OR(AND(B396&gt;=1,B396&lt;=6),B396=10)),1,0)</f>
        <v>1</v>
      </c>
      <c r="AA396" s="39" t="n">
        <f aca="false">IF(AND(E396&gt;0,B396=10),1,0)</f>
        <v>0</v>
      </c>
      <c r="AB396" s="0" t="str">
        <f aca="false">IF(AND(C395=C396,Y395=Y396-1),Z395,"")</f>
        <v/>
      </c>
      <c r="AC396" s="0" t="str">
        <f aca="false">IF(AND(C395=C396,Y395=Y396-1),AA395,"")</f>
        <v/>
      </c>
      <c r="AD396" s="0" t="str">
        <f aca="false">IF(Y396=1,"",IF(AND(Z396=1,AB396&lt;&gt;1),1,0))</f>
        <v/>
      </c>
      <c r="AE396" s="0" t="str">
        <f aca="false">IF(Y396=1,"",IF(AND(AA396=1,AC396&lt;&gt;1),1,0))</f>
        <v/>
      </c>
      <c r="AF396" s="45" t="str">
        <f aca="false">IF(AND(E396&gt;0,Y396&lt;1,NOT(AND(C397=C396,Y397=Y396+1))),INDEX(DATAS,Y396+1),"")</f>
        <v/>
      </c>
      <c r="AG396" s="45" t="str">
        <f aca="false">IF(AND(AA396=1,Y396&lt;1),IF(AND(C397=C396,Y397=Y396+1),IF(AA397=1,"",INDEX(DATAS,Y396+1)),INDEX(DATAS,Y396+1)),"")</f>
        <v/>
      </c>
    </row>
    <row r="397" customFormat="false" ht="15" hidden="false" customHeight="false" outlineLevel="0" collapsed="false">
      <c r="A397" s="45" t="n">
        <v>46309</v>
      </c>
      <c r="B397" s="0" t="n">
        <v>2</v>
      </c>
      <c r="C397" s="0" t="n">
        <v>4096</v>
      </c>
      <c r="D397" s="0" t="n">
        <v>131</v>
      </c>
      <c r="E397" s="0" t="n">
        <v>3</v>
      </c>
      <c r="F397" s="39" t="s">
        <v>422</v>
      </c>
      <c r="G397" s="0" t="n">
        <v>59.6</v>
      </c>
      <c r="H397" s="0" t="n">
        <v>58</v>
      </c>
      <c r="I397" s="39" t="s">
        <v>138</v>
      </c>
      <c r="J397" s="0" t="n">
        <v>131</v>
      </c>
      <c r="K397" s="0" t="n">
        <v>68</v>
      </c>
      <c r="M397" s="0" t="n">
        <v>764.78</v>
      </c>
      <c r="N397" s="0" t="n">
        <v>53.31</v>
      </c>
      <c r="O397" s="0" t="n">
        <v>28.52</v>
      </c>
      <c r="P397" s="0" t="n">
        <v>2.52</v>
      </c>
      <c r="Q397" s="0" t="n">
        <v>3.44</v>
      </c>
      <c r="R397" s="0" t="n">
        <v>5656</v>
      </c>
      <c r="S397" s="0" t="n">
        <v>11355</v>
      </c>
      <c r="T397" s="0" t="n">
        <v>64.45</v>
      </c>
      <c r="U397" s="0" t="n">
        <v>1550</v>
      </c>
      <c r="V397" s="0" t="n">
        <v>3</v>
      </c>
      <c r="W397" s="39" t="n">
        <f aca="false">IF(I397="Male",0,1)</f>
        <v>1</v>
      </c>
      <c r="X397" s="39" t="n">
        <f aca="false">IF(OR(I397="DNB",I397="Dry DNB"),1,0)</f>
        <v>0</v>
      </c>
      <c r="Y397" s="39" t="n">
        <f aca="false">MATCH(A397,DATAS,0)</f>
        <v>1</v>
      </c>
      <c r="Z397" s="39" t="n">
        <f aca="false">IF(AND(E397&gt;0,OR(AND(B397&gt;=1,B397&lt;=6),B397=10)),1,0)</f>
        <v>1</v>
      </c>
      <c r="AA397" s="39" t="n">
        <f aca="false">IF(AND(E397&gt;0,B397=10),1,0)</f>
        <v>0</v>
      </c>
      <c r="AB397" s="0" t="str">
        <f aca="false">IF(AND(C396=C397,Y396=Y397-1),Z396,"")</f>
        <v/>
      </c>
      <c r="AC397" s="0" t="str">
        <f aca="false">IF(AND(C396=C397,Y396=Y397-1),AA396,"")</f>
        <v/>
      </c>
      <c r="AD397" s="0" t="str">
        <f aca="false">IF(Y397=1,"",IF(AND(Z397=1,AB397&lt;&gt;1),1,0))</f>
        <v/>
      </c>
      <c r="AE397" s="0" t="str">
        <f aca="false">IF(Y397=1,"",IF(AND(AA397=1,AC397&lt;&gt;1),1,0))</f>
        <v/>
      </c>
      <c r="AF397" s="45" t="str">
        <f aca="false">IF(AND(E397&gt;0,Y397&lt;1,NOT(AND(C398=C397,Y398=Y397+1))),INDEX(DATAS,Y397+1),"")</f>
        <v/>
      </c>
      <c r="AG397" s="45" t="str">
        <f aca="false">IF(AND(AA397=1,Y397&lt;1),IF(AND(C398=C397,Y398=Y397+1),IF(AA398=1,"",INDEX(DATAS,Y397+1)),INDEX(DATAS,Y397+1)),"")</f>
        <v/>
      </c>
    </row>
    <row r="398" customFormat="false" ht="15" hidden="false" customHeight="false" outlineLevel="0" collapsed="false">
      <c r="A398" s="45" t="n">
        <v>46309</v>
      </c>
      <c r="B398" s="0" t="n">
        <v>3</v>
      </c>
      <c r="C398" s="0" t="n">
        <v>4098</v>
      </c>
      <c r="D398" s="0" t="n">
        <v>134</v>
      </c>
      <c r="E398" s="0" t="n">
        <v>3</v>
      </c>
      <c r="F398" s="39" t="s">
        <v>423</v>
      </c>
      <c r="G398" s="0" t="n">
        <v>59.9</v>
      </c>
      <c r="H398" s="0" t="n">
        <v>64</v>
      </c>
      <c r="I398" s="39" t="s">
        <v>138</v>
      </c>
      <c r="J398" s="0" t="n">
        <v>134</v>
      </c>
      <c r="K398" s="0" t="n">
        <v>64</v>
      </c>
      <c r="M398" s="0" t="n">
        <v>498.96</v>
      </c>
      <c r="N398" s="0" t="n">
        <v>34.23</v>
      </c>
      <c r="O398" s="0" t="n">
        <v>20.72</v>
      </c>
      <c r="P398" s="0" t="n">
        <v>3.28</v>
      </c>
      <c r="Q398" s="0" t="n">
        <v>3.14</v>
      </c>
      <c r="R398" s="0" t="n">
        <v>5538</v>
      </c>
      <c r="S398" s="0" t="n">
        <v>11647</v>
      </c>
      <c r="T398" s="0" t="n">
        <v>61.5</v>
      </c>
      <c r="U398" s="0" t="n">
        <v>1549</v>
      </c>
      <c r="V398" s="0" t="n">
        <v>3</v>
      </c>
      <c r="W398" s="39" t="n">
        <f aca="false">IF(I398="Male",0,1)</f>
        <v>1</v>
      </c>
      <c r="X398" s="39" t="n">
        <f aca="false">IF(OR(I398="DNB",I398="Dry DNB"),1,0)</f>
        <v>0</v>
      </c>
      <c r="Y398" s="39" t="n">
        <f aca="false">MATCH(A398,DATAS,0)</f>
        <v>1</v>
      </c>
      <c r="Z398" s="39" t="n">
        <f aca="false">IF(AND(E398&gt;0,OR(AND(B398&gt;=1,B398&lt;=6),B398=10)),1,0)</f>
        <v>1</v>
      </c>
      <c r="AA398" s="39" t="n">
        <f aca="false">IF(AND(E398&gt;0,B398=10),1,0)</f>
        <v>0</v>
      </c>
      <c r="AB398" s="0" t="str">
        <f aca="false">IF(AND(C397=C398,Y397=Y398-1),Z397,"")</f>
        <v/>
      </c>
      <c r="AC398" s="0" t="str">
        <f aca="false">IF(AND(C397=C398,Y397=Y398-1),AA397,"")</f>
        <v/>
      </c>
      <c r="AD398" s="0" t="str">
        <f aca="false">IF(Y398=1,"",IF(AND(Z398=1,AB398&lt;&gt;1),1,0))</f>
        <v/>
      </c>
      <c r="AE398" s="0" t="str">
        <f aca="false">IF(Y398=1,"",IF(AND(AA398=1,AC398&lt;&gt;1),1,0))</f>
        <v/>
      </c>
      <c r="AF398" s="45" t="str">
        <f aca="false">IF(AND(E398&gt;0,Y398&lt;1,NOT(AND(C399=C398,Y399=Y398+1))),INDEX(DATAS,Y398+1),"")</f>
        <v/>
      </c>
      <c r="AG398" s="45" t="str">
        <f aca="false">IF(AND(AA398=1,Y398&lt;1),IF(AND(C399=C398,Y399=Y398+1),IF(AA399=1,"",INDEX(DATAS,Y398+1)),INDEX(DATAS,Y398+1)),"")</f>
        <v/>
      </c>
    </row>
    <row r="399" customFormat="false" ht="15" hidden="false" customHeight="false" outlineLevel="0" collapsed="false">
      <c r="A399" s="45" t="n">
        <v>46309</v>
      </c>
      <c r="B399" s="0" t="n">
        <v>6</v>
      </c>
      <c r="C399" s="0" t="n">
        <v>4099</v>
      </c>
      <c r="D399" s="0" t="n">
        <v>204</v>
      </c>
      <c r="E399" s="0" t="n">
        <v>3</v>
      </c>
      <c r="F399" s="39" t="s">
        <v>424</v>
      </c>
      <c r="G399" s="0" t="n">
        <v>29</v>
      </c>
      <c r="H399" s="0" t="n">
        <v>25</v>
      </c>
      <c r="I399" s="39" t="s">
        <v>146</v>
      </c>
      <c r="J399" s="0" t="n">
        <v>204</v>
      </c>
      <c r="K399" s="0" t="n">
        <v>71</v>
      </c>
      <c r="M399" s="0" t="n">
        <v>1145.34</v>
      </c>
      <c r="N399" s="0" t="n">
        <v>43.83</v>
      </c>
      <c r="O399" s="0" t="n">
        <v>33.05</v>
      </c>
      <c r="P399" s="0" t="n">
        <v>5.2</v>
      </c>
      <c r="Q399" s="0" t="n">
        <v>3.65</v>
      </c>
      <c r="R399" s="0" t="n">
        <v>2691</v>
      </c>
      <c r="S399" s="0" t="n">
        <v>5560</v>
      </c>
      <c r="T399" s="0" t="n">
        <v>30.9</v>
      </c>
      <c r="U399" s="0" t="n">
        <v>1548</v>
      </c>
      <c r="V399" s="0" t="n">
        <v>6</v>
      </c>
      <c r="W399" s="39" t="n">
        <f aca="false">IF(I399="Male",0,1)</f>
        <v>1</v>
      </c>
      <c r="X399" s="39" t="n">
        <f aca="false">IF(OR(I399="DNB",I399="Dry DNB"),1,0)</f>
        <v>0</v>
      </c>
      <c r="Y399" s="39" t="n">
        <f aca="false">MATCH(A399,DATAS,0)</f>
        <v>1</v>
      </c>
      <c r="Z399" s="39" t="n">
        <f aca="false">IF(AND(E399&gt;0,OR(AND(B399&gt;=1,B399&lt;=6),B399=10)),1,0)</f>
        <v>1</v>
      </c>
      <c r="AA399" s="39" t="n">
        <f aca="false">IF(AND(E399&gt;0,B399=10),1,0)</f>
        <v>0</v>
      </c>
      <c r="AB399" s="0" t="str">
        <f aca="false">IF(AND(C398=C399,Y398=Y399-1),Z398,"")</f>
        <v/>
      </c>
      <c r="AC399" s="0" t="str">
        <f aca="false">IF(AND(C398=C399,Y398=Y399-1),AA398,"")</f>
        <v/>
      </c>
      <c r="AD399" s="0" t="str">
        <f aca="false">IF(Y399=1,"",IF(AND(Z399=1,AB399&lt;&gt;1),1,0))</f>
        <v/>
      </c>
      <c r="AE399" s="0" t="str">
        <f aca="false">IF(Y399=1,"",IF(AND(AA399=1,AC399&lt;&gt;1),1,0))</f>
        <v/>
      </c>
      <c r="AF399" s="45" t="str">
        <f aca="false">IF(AND(E399&gt;0,Y399&lt;1,NOT(AND(C400=C399,Y400=Y399+1))),INDEX(DATAS,Y399+1),"")</f>
        <v/>
      </c>
      <c r="AG399" s="45" t="str">
        <f aca="false">IF(AND(AA399=1,Y399&lt;1),IF(AND(C400=C399,Y400=Y399+1),IF(AA400=1,"",INDEX(DATAS,Y399+1)),INDEX(DATAS,Y399+1)),"")</f>
        <v/>
      </c>
    </row>
    <row r="400" customFormat="false" ht="15" hidden="false" customHeight="false" outlineLevel="0" collapsed="false">
      <c r="A400" s="45" t="n">
        <v>46309</v>
      </c>
      <c r="B400" s="0" t="n">
        <v>5</v>
      </c>
      <c r="C400" s="0" t="n">
        <v>4100</v>
      </c>
      <c r="D400" s="0" t="n">
        <v>144</v>
      </c>
      <c r="E400" s="0" t="n">
        <v>3</v>
      </c>
      <c r="F400" s="39" t="s">
        <v>424</v>
      </c>
      <c r="G400" s="0" t="n">
        <v>45</v>
      </c>
      <c r="H400" s="0" t="n">
        <v>47</v>
      </c>
      <c r="I400" s="39" t="s">
        <v>138</v>
      </c>
      <c r="J400" s="0" t="n">
        <v>144</v>
      </c>
      <c r="K400" s="0" t="n">
        <v>67</v>
      </c>
      <c r="M400" s="0" t="n">
        <v>825.37</v>
      </c>
      <c r="N400" s="0" t="n">
        <v>60.82</v>
      </c>
      <c r="O400" s="0" t="n">
        <v>40.06</v>
      </c>
      <c r="P400" s="0" t="n">
        <v>2.82</v>
      </c>
      <c r="Q400" s="0" t="n">
        <v>3.41</v>
      </c>
      <c r="R400" s="0" t="n">
        <v>5779</v>
      </c>
      <c r="S400" s="0" t="n">
        <v>10949</v>
      </c>
      <c r="T400" s="0" t="n">
        <v>63.5</v>
      </c>
      <c r="U400" s="0" t="n">
        <v>1548</v>
      </c>
      <c r="V400" s="0" t="n">
        <v>3</v>
      </c>
      <c r="W400" s="39" t="n">
        <f aca="false">IF(I400="Male",0,1)</f>
        <v>1</v>
      </c>
      <c r="X400" s="39" t="n">
        <f aca="false">IF(OR(I400="DNB",I400="Dry DNB"),1,0)</f>
        <v>0</v>
      </c>
      <c r="Y400" s="39" t="n">
        <f aca="false">MATCH(A400,DATAS,0)</f>
        <v>1</v>
      </c>
      <c r="Z400" s="39" t="n">
        <f aca="false">IF(AND(E400&gt;0,OR(AND(B400&gt;=1,B400&lt;=6),B400=10)),1,0)</f>
        <v>1</v>
      </c>
      <c r="AA400" s="39" t="n">
        <f aca="false">IF(AND(E400&gt;0,B400=10),1,0)</f>
        <v>0</v>
      </c>
      <c r="AB400" s="0" t="str">
        <f aca="false">IF(AND(C399=C400,Y399=Y400-1),Z399,"")</f>
        <v/>
      </c>
      <c r="AC400" s="0" t="str">
        <f aca="false">IF(AND(C399=C400,Y399=Y400-1),AA399,"")</f>
        <v/>
      </c>
      <c r="AD400" s="0" t="str">
        <f aca="false">IF(Y400=1,"",IF(AND(Z400=1,AB400&lt;&gt;1),1,0))</f>
        <v/>
      </c>
      <c r="AE400" s="0" t="str">
        <f aca="false">IF(Y400=1,"",IF(AND(AA400=1,AC400&lt;&gt;1),1,0))</f>
        <v/>
      </c>
      <c r="AF400" s="45" t="str">
        <f aca="false">IF(AND(E400&gt;0,Y400&lt;1,NOT(AND(C401=C400,Y401=Y400+1))),INDEX(DATAS,Y400+1),"")</f>
        <v/>
      </c>
      <c r="AG400" s="45" t="str">
        <f aca="false">IF(AND(AA400=1,Y400&lt;1),IF(AND(C401=C400,Y401=Y400+1),IF(AA401=1,"",INDEX(DATAS,Y400+1)),INDEX(DATAS,Y400+1)),"")</f>
        <v/>
      </c>
    </row>
    <row r="401" customFormat="false" ht="15" hidden="false" customHeight="false" outlineLevel="0" collapsed="false">
      <c r="A401" s="45" t="n">
        <v>46309</v>
      </c>
      <c r="B401" s="0" t="n">
        <v>7</v>
      </c>
      <c r="C401" s="0" t="n">
        <v>4101</v>
      </c>
      <c r="D401" s="0" t="n">
        <v>223</v>
      </c>
      <c r="E401" s="0" t="n">
        <v>3</v>
      </c>
      <c r="F401" s="39" t="s">
        <v>424</v>
      </c>
      <c r="I401" s="39" t="s">
        <v>114</v>
      </c>
      <c r="J401" s="0" t="n">
        <v>63</v>
      </c>
      <c r="K401" s="0" t="n">
        <v>63</v>
      </c>
      <c r="L401" s="0" t="n">
        <v>175</v>
      </c>
      <c r="M401" s="0" t="n">
        <v>691.47</v>
      </c>
      <c r="N401" s="0" t="n">
        <v>52.76</v>
      </c>
      <c r="O401" s="0" t="n">
        <v>19.97</v>
      </c>
      <c r="P401" s="0" t="n">
        <v>4.79</v>
      </c>
      <c r="Q401" s="0" t="n">
        <v>3.64</v>
      </c>
      <c r="R401" s="0" t="n">
        <v>4052</v>
      </c>
      <c r="S401" s="0" t="n">
        <v>7329</v>
      </c>
      <c r="T401" s="0" t="n">
        <v>45.75</v>
      </c>
      <c r="U401" s="0" t="n">
        <v>1548</v>
      </c>
      <c r="V401" s="0" t="n">
        <v>1</v>
      </c>
      <c r="W401" s="39" t="n">
        <f aca="false">IF(I401="Male",0,1)</f>
        <v>1</v>
      </c>
      <c r="X401" s="39" t="n">
        <f aca="false">IF(OR(I401="DNB",I401="Dry DNB"),1,0)</f>
        <v>0</v>
      </c>
      <c r="Y401" s="39" t="n">
        <f aca="false">MATCH(A401,DATAS,0)</f>
        <v>1</v>
      </c>
      <c r="Z401" s="39" t="n">
        <f aca="false">IF(AND(E401&gt;0,OR(AND(B401&gt;=1,B401&lt;=6),B401=10)),1,0)</f>
        <v>0</v>
      </c>
      <c r="AA401" s="39" t="n">
        <f aca="false">IF(AND(E401&gt;0,B401=10),1,0)</f>
        <v>0</v>
      </c>
      <c r="AB401" s="0" t="str">
        <f aca="false">IF(AND(C400=C401,Y400=Y401-1),Z400,"")</f>
        <v/>
      </c>
      <c r="AC401" s="0" t="str">
        <f aca="false">IF(AND(C400=C401,Y400=Y401-1),AA400,"")</f>
        <v/>
      </c>
      <c r="AD401" s="0" t="str">
        <f aca="false">IF(Y401=1,"",IF(AND(Z401=1,AB401&lt;&gt;1),1,0))</f>
        <v/>
      </c>
      <c r="AE401" s="0" t="str">
        <f aca="false">IF(Y401=1,"",IF(AND(AA401=1,AC401&lt;&gt;1),1,0))</f>
        <v/>
      </c>
      <c r="AF401" s="45" t="str">
        <f aca="false">IF(AND(E401&gt;0,Y401&lt;1,NOT(AND(C402=C401,Y402=Y401+1))),INDEX(DATAS,Y401+1),"")</f>
        <v/>
      </c>
      <c r="AG401" s="45" t="str">
        <f aca="false">IF(AND(AA401=1,Y401&lt;1),IF(AND(C402=C401,Y402=Y401+1),IF(AA402=1,"",INDEX(DATAS,Y401+1)),INDEX(DATAS,Y401+1)),"")</f>
        <v/>
      </c>
    </row>
    <row r="402" customFormat="false" ht="15" hidden="false" customHeight="false" outlineLevel="0" collapsed="false">
      <c r="A402" s="45" t="n">
        <v>46309</v>
      </c>
      <c r="B402" s="0" t="n">
        <v>7</v>
      </c>
      <c r="C402" s="0" t="n">
        <v>4102</v>
      </c>
      <c r="D402" s="0" t="n">
        <v>177</v>
      </c>
      <c r="E402" s="0" t="n">
        <v>3</v>
      </c>
      <c r="F402" s="39" t="s">
        <v>424</v>
      </c>
      <c r="I402" s="39" t="s">
        <v>114</v>
      </c>
      <c r="J402" s="0" t="n">
        <v>66</v>
      </c>
      <c r="K402" s="0" t="n">
        <v>66</v>
      </c>
      <c r="L402" s="0" t="n">
        <v>133</v>
      </c>
      <c r="M402" s="0" t="n">
        <v>21.37</v>
      </c>
      <c r="N402" s="0" t="n">
        <v>21.23</v>
      </c>
      <c r="O402" s="0" t="n">
        <v>9.74</v>
      </c>
      <c r="P402" s="0" t="n">
        <v>4.3</v>
      </c>
      <c r="Q402" s="0" t="n">
        <v>2.83</v>
      </c>
      <c r="R402" s="0" t="n">
        <v>2396</v>
      </c>
      <c r="S402" s="0" t="n">
        <v>4590</v>
      </c>
      <c r="T402" s="0" t="n">
        <v>25.85</v>
      </c>
      <c r="U402" s="0" t="n">
        <v>1548</v>
      </c>
      <c r="V402" s="0" t="n">
        <v>1</v>
      </c>
      <c r="W402" s="39" t="n">
        <f aca="false">IF(I402="Male",0,1)</f>
        <v>1</v>
      </c>
      <c r="X402" s="39" t="n">
        <f aca="false">IF(OR(I402="DNB",I402="Dry DNB"),1,0)</f>
        <v>0</v>
      </c>
      <c r="Y402" s="39" t="n">
        <f aca="false">MATCH(A402,DATAS,0)</f>
        <v>1</v>
      </c>
      <c r="Z402" s="39" t="n">
        <f aca="false">IF(AND(E402&gt;0,OR(AND(B402&gt;=1,B402&lt;=6),B402=10)),1,0)</f>
        <v>0</v>
      </c>
      <c r="AA402" s="39" t="n">
        <f aca="false">IF(AND(E402&gt;0,B402=10),1,0)</f>
        <v>0</v>
      </c>
      <c r="AB402" s="0" t="str">
        <f aca="false">IF(AND(C401=C402,Y401=Y402-1),Z401,"")</f>
        <v/>
      </c>
      <c r="AC402" s="0" t="str">
        <f aca="false">IF(AND(C401=C402,Y401=Y402-1),AA401,"")</f>
        <v/>
      </c>
      <c r="AD402" s="0" t="str">
        <f aca="false">IF(Y402=1,"",IF(AND(Z402=1,AB402&lt;&gt;1),1,0))</f>
        <v/>
      </c>
      <c r="AE402" s="0" t="str">
        <f aca="false">IF(Y402=1,"",IF(AND(AA402=1,AC402&lt;&gt;1),1,0))</f>
        <v/>
      </c>
      <c r="AF402" s="45" t="str">
        <f aca="false">IF(AND(E402&gt;0,Y402&lt;1,NOT(AND(C403=C402,Y403=Y402+1))),INDEX(DATAS,Y402+1),"")</f>
        <v/>
      </c>
      <c r="AG402" s="45" t="str">
        <f aca="false">IF(AND(AA402=1,Y402&lt;1),IF(AND(C403=C402,Y403=Y402+1),IF(AA403=1,"",INDEX(DATAS,Y402+1)),INDEX(DATAS,Y402+1)),"")</f>
        <v/>
      </c>
    </row>
    <row r="403" customFormat="false" ht="15" hidden="false" customHeight="false" outlineLevel="0" collapsed="false">
      <c r="A403" s="45" t="n">
        <v>46309</v>
      </c>
      <c r="B403" s="0" t="n">
        <v>5</v>
      </c>
      <c r="C403" s="0" t="n">
        <v>4104</v>
      </c>
      <c r="D403" s="0" t="n">
        <v>100</v>
      </c>
      <c r="E403" s="0" t="n">
        <v>3</v>
      </c>
      <c r="F403" s="39" t="s">
        <v>425</v>
      </c>
      <c r="G403" s="0" t="n">
        <v>26.9</v>
      </c>
      <c r="H403" s="0" t="n">
        <v>36</v>
      </c>
      <c r="I403" s="39" t="s">
        <v>146</v>
      </c>
      <c r="J403" s="0" t="n">
        <v>100</v>
      </c>
      <c r="K403" s="0" t="n">
        <v>65</v>
      </c>
      <c r="M403" s="0" t="n">
        <v>394.13</v>
      </c>
      <c r="N403" s="0" t="n">
        <v>48.31</v>
      </c>
      <c r="O403" s="0" t="n">
        <v>24.16</v>
      </c>
      <c r="P403" s="0" t="n">
        <v>4.85</v>
      </c>
      <c r="Q403" s="0" t="n">
        <v>3.19</v>
      </c>
      <c r="R403" s="0" t="n">
        <v>3687</v>
      </c>
      <c r="S403" s="0" t="n">
        <v>7411</v>
      </c>
      <c r="T403" s="0" t="n">
        <v>43.05</v>
      </c>
      <c r="U403" s="0" t="n">
        <v>1547</v>
      </c>
      <c r="V403" s="0" t="n">
        <v>1</v>
      </c>
      <c r="W403" s="39" t="n">
        <f aca="false">IF(I403="Male",0,1)</f>
        <v>1</v>
      </c>
      <c r="X403" s="39" t="n">
        <f aca="false">IF(OR(I403="DNB",I403="Dry DNB"),1,0)</f>
        <v>0</v>
      </c>
      <c r="Y403" s="39" t="n">
        <f aca="false">MATCH(A403,DATAS,0)</f>
        <v>1</v>
      </c>
      <c r="Z403" s="39" t="n">
        <f aca="false">IF(AND(E403&gt;0,OR(AND(B403&gt;=1,B403&lt;=6),B403=10)),1,0)</f>
        <v>1</v>
      </c>
      <c r="AA403" s="39" t="n">
        <f aca="false">IF(AND(E403&gt;0,B403=10),1,0)</f>
        <v>0</v>
      </c>
      <c r="AB403" s="0" t="str">
        <f aca="false">IF(AND(C402=C403,Y402=Y403-1),Z402,"")</f>
        <v/>
      </c>
      <c r="AC403" s="0" t="str">
        <f aca="false">IF(AND(C402=C403,Y402=Y403-1),AA402,"")</f>
        <v/>
      </c>
      <c r="AD403" s="0" t="str">
        <f aca="false">IF(Y403=1,"",IF(AND(Z403=1,AB403&lt;&gt;1),1,0))</f>
        <v/>
      </c>
      <c r="AE403" s="0" t="str">
        <f aca="false">IF(Y403=1,"",IF(AND(AA403=1,AC403&lt;&gt;1),1,0))</f>
        <v/>
      </c>
      <c r="AF403" s="45" t="str">
        <f aca="false">IF(AND(E403&gt;0,Y403&lt;1,NOT(AND(C404=C403,Y404=Y403+1))),INDEX(DATAS,Y403+1),"")</f>
        <v/>
      </c>
      <c r="AG403" s="45" t="str">
        <f aca="false">IF(AND(AA403=1,Y403&lt;1),IF(AND(C404=C403,Y404=Y403+1),IF(AA404=1,"",INDEX(DATAS,Y403+1)),INDEX(DATAS,Y403+1)),"")</f>
        <v/>
      </c>
    </row>
    <row r="404" customFormat="false" ht="15" hidden="false" customHeight="false" outlineLevel="0" collapsed="false">
      <c r="A404" s="45" t="n">
        <v>46309</v>
      </c>
      <c r="B404" s="0" t="n">
        <v>3</v>
      </c>
      <c r="C404" s="0" t="n">
        <v>4105</v>
      </c>
      <c r="D404" s="0" t="n">
        <v>8</v>
      </c>
      <c r="E404" s="0" t="n">
        <v>3</v>
      </c>
      <c r="F404" s="39" t="s">
        <v>426</v>
      </c>
      <c r="G404" s="0" t="n">
        <v>49</v>
      </c>
      <c r="H404" s="0" t="n">
        <v>42</v>
      </c>
      <c r="I404" s="39" t="s">
        <v>118</v>
      </c>
      <c r="J404" s="0" t="n">
        <v>8</v>
      </c>
      <c r="M404" s="0" t="n">
        <v>590.04</v>
      </c>
      <c r="N404" s="0" t="n">
        <v>70.31</v>
      </c>
      <c r="O404" s="0" t="n">
        <v>29.71</v>
      </c>
      <c r="R404" s="0" t="n">
        <v>3647</v>
      </c>
      <c r="S404" s="0" t="n">
        <v>7332</v>
      </c>
      <c r="U404" s="0" t="n">
        <v>1546</v>
      </c>
      <c r="V404" s="0" t="n">
        <v>0</v>
      </c>
      <c r="W404" s="39" t="n">
        <f aca="false">IF(I404="Male",0,1)</f>
        <v>1</v>
      </c>
      <c r="X404" s="39" t="n">
        <f aca="false">IF(OR(I404="DNB",I404="Dry DNB"),1,0)</f>
        <v>0</v>
      </c>
      <c r="Y404" s="39" t="n">
        <f aca="false">MATCH(A404,DATAS,0)</f>
        <v>1</v>
      </c>
      <c r="Z404" s="39" t="n">
        <f aca="false">IF(AND(E404&gt;0,OR(AND(B404&gt;=1,B404&lt;=6),B404=10)),1,0)</f>
        <v>1</v>
      </c>
      <c r="AA404" s="39" t="n">
        <f aca="false">IF(AND(E404&gt;0,B404=10),1,0)</f>
        <v>0</v>
      </c>
      <c r="AB404" s="0" t="str">
        <f aca="false">IF(AND(C403=C404,Y403=Y404-1),Z403,"")</f>
        <v/>
      </c>
      <c r="AC404" s="0" t="str">
        <f aca="false">IF(AND(C403=C404,Y403=Y404-1),AA403,"")</f>
        <v/>
      </c>
      <c r="AD404" s="0" t="str">
        <f aca="false">IF(Y404=1,"",IF(AND(Z404=1,AB404&lt;&gt;1),1,0))</f>
        <v/>
      </c>
      <c r="AE404" s="0" t="str">
        <f aca="false">IF(Y404=1,"",IF(AND(AA404=1,AC404&lt;&gt;1),1,0))</f>
        <v/>
      </c>
      <c r="AF404" s="45" t="str">
        <f aca="false">IF(AND(E404&gt;0,Y404&lt;1,NOT(AND(C405=C404,Y405=Y404+1))),INDEX(DATAS,Y404+1),"")</f>
        <v/>
      </c>
      <c r="AG404" s="45" t="str">
        <f aca="false">IF(AND(AA404=1,Y404&lt;1),IF(AND(C405=C404,Y405=Y404+1),IF(AA405=1,"",INDEX(DATAS,Y404+1)),INDEX(DATAS,Y404+1)),"")</f>
        <v/>
      </c>
    </row>
    <row r="405" customFormat="false" ht="15" hidden="false" customHeight="false" outlineLevel="0" collapsed="false">
      <c r="A405" s="45" t="n">
        <v>46309</v>
      </c>
      <c r="B405" s="0" t="n">
        <v>5</v>
      </c>
      <c r="C405" s="0" t="n">
        <v>4107</v>
      </c>
      <c r="D405" s="0" t="n">
        <v>465</v>
      </c>
      <c r="E405" s="0" t="n">
        <v>2</v>
      </c>
      <c r="F405" s="39" t="s">
        <v>427</v>
      </c>
      <c r="G405" s="0" t="n">
        <v>37.6</v>
      </c>
      <c r="H405" s="0" t="n">
        <v>32</v>
      </c>
      <c r="I405" s="39" t="s">
        <v>109</v>
      </c>
      <c r="J405" s="0" t="n">
        <v>381</v>
      </c>
      <c r="K405" s="0" t="n">
        <v>59</v>
      </c>
      <c r="L405" s="0" t="n">
        <v>84</v>
      </c>
      <c r="M405" s="0" t="n">
        <v>1029.7</v>
      </c>
      <c r="N405" s="0" t="n">
        <v>52.22</v>
      </c>
      <c r="O405" s="0" t="n">
        <v>33.65</v>
      </c>
      <c r="P405" s="0" t="n">
        <v>5.15</v>
      </c>
      <c r="Q405" s="0" t="n">
        <v>4.2</v>
      </c>
      <c r="R405" s="0" t="n">
        <v>6461</v>
      </c>
      <c r="S405" s="0" t="n">
        <v>12721</v>
      </c>
      <c r="T405" s="0" t="n">
        <v>70.45</v>
      </c>
      <c r="U405" s="0" t="n">
        <v>1545</v>
      </c>
      <c r="V405" s="0" t="n">
        <v>13</v>
      </c>
      <c r="W405" s="39" t="n">
        <f aca="false">IF(I405="Male",0,1)</f>
        <v>1</v>
      </c>
      <c r="X405" s="39" t="n">
        <f aca="false">IF(OR(I405="DNB",I405="Dry DNB"),1,0)</f>
        <v>0</v>
      </c>
      <c r="Y405" s="39" t="n">
        <f aca="false">MATCH(A405,DATAS,0)</f>
        <v>1</v>
      </c>
      <c r="Z405" s="39" t="n">
        <f aca="false">IF(AND(E405&gt;0,OR(AND(B405&gt;=1,B405&lt;=6),B405=10)),1,0)</f>
        <v>1</v>
      </c>
      <c r="AA405" s="39" t="n">
        <f aca="false">IF(AND(E405&gt;0,B405=10),1,0)</f>
        <v>0</v>
      </c>
      <c r="AB405" s="0" t="str">
        <f aca="false">IF(AND(C404=C405,Y404=Y405-1),Z404,"")</f>
        <v/>
      </c>
      <c r="AC405" s="0" t="str">
        <f aca="false">IF(AND(C404=C405,Y404=Y405-1),AA404,"")</f>
        <v/>
      </c>
      <c r="AD405" s="0" t="str">
        <f aca="false">IF(Y405=1,"",IF(AND(Z405=1,AB405&lt;&gt;1),1,0))</f>
        <v/>
      </c>
      <c r="AE405" s="0" t="str">
        <f aca="false">IF(Y405=1,"",IF(AND(AA405=1,AC405&lt;&gt;1),1,0))</f>
        <v/>
      </c>
      <c r="AF405" s="45" t="str">
        <f aca="false">IF(AND(E405&gt;0,Y405&lt;1,NOT(AND(C406=C405,Y406=Y405+1))),INDEX(DATAS,Y405+1),"")</f>
        <v/>
      </c>
      <c r="AG405" s="45" t="str">
        <f aca="false">IF(AND(AA405=1,Y405&lt;1),IF(AND(C406=C405,Y406=Y405+1),IF(AA406=1,"",INDEX(DATAS,Y405+1)),INDEX(DATAS,Y405+1)),"")</f>
        <v/>
      </c>
    </row>
    <row r="406" customFormat="false" ht="15" hidden="false" customHeight="false" outlineLevel="0" collapsed="false">
      <c r="A406" s="45" t="n">
        <v>46309</v>
      </c>
      <c r="B406" s="0" t="n">
        <v>5</v>
      </c>
      <c r="C406" s="0" t="n">
        <v>4108</v>
      </c>
      <c r="D406" s="0" t="n">
        <v>124</v>
      </c>
      <c r="E406" s="0" t="n">
        <v>3</v>
      </c>
      <c r="F406" s="39" t="s">
        <v>428</v>
      </c>
      <c r="G406" s="0" t="n">
        <v>50.6</v>
      </c>
      <c r="H406" s="0" t="n">
        <v>45</v>
      </c>
      <c r="I406" s="39" t="s">
        <v>109</v>
      </c>
      <c r="J406" s="0" t="n">
        <v>69</v>
      </c>
      <c r="K406" s="0" t="n">
        <v>69</v>
      </c>
      <c r="L406" s="0" t="n">
        <v>55</v>
      </c>
      <c r="M406" s="0" t="n">
        <v>-253.91</v>
      </c>
      <c r="N406" s="0" t="n">
        <v>40.16</v>
      </c>
      <c r="O406" s="0" t="n">
        <v>20.84</v>
      </c>
      <c r="P406" s="0" t="n">
        <v>3.34</v>
      </c>
      <c r="Q406" s="0" t="n">
        <v>3.87</v>
      </c>
      <c r="R406" s="0" t="n">
        <v>4899</v>
      </c>
      <c r="S406" s="0" t="n">
        <v>9774</v>
      </c>
      <c r="T406" s="0" t="n">
        <v>49.6</v>
      </c>
      <c r="U406" s="0" t="n">
        <v>1542</v>
      </c>
      <c r="V406" s="0" t="n">
        <v>1</v>
      </c>
      <c r="W406" s="39" t="n">
        <f aca="false">IF(I406="Male",0,1)</f>
        <v>1</v>
      </c>
      <c r="X406" s="39" t="n">
        <f aca="false">IF(OR(I406="DNB",I406="Dry DNB"),1,0)</f>
        <v>0</v>
      </c>
      <c r="Y406" s="39" t="n">
        <f aca="false">MATCH(A406,DATAS,0)</f>
        <v>1</v>
      </c>
      <c r="Z406" s="39" t="n">
        <f aca="false">IF(AND(E406&gt;0,OR(AND(B406&gt;=1,B406&lt;=6),B406=10)),1,0)</f>
        <v>1</v>
      </c>
      <c r="AA406" s="39" t="n">
        <f aca="false">IF(AND(E406&gt;0,B406=10),1,0)</f>
        <v>0</v>
      </c>
      <c r="AB406" s="0" t="str">
        <f aca="false">IF(AND(C405=C406,Y405=Y406-1),Z405,"")</f>
        <v/>
      </c>
      <c r="AC406" s="0" t="str">
        <f aca="false">IF(AND(C405=C406,Y405=Y406-1),AA405,"")</f>
        <v/>
      </c>
      <c r="AD406" s="0" t="str">
        <f aca="false">IF(Y406=1,"",IF(AND(Z406=1,AB406&lt;&gt;1),1,0))</f>
        <v/>
      </c>
      <c r="AE406" s="0" t="str">
        <f aca="false">IF(Y406=1,"",IF(AND(AA406=1,AC406&lt;&gt;1),1,0))</f>
        <v/>
      </c>
      <c r="AF406" s="45" t="str">
        <f aca="false">IF(AND(E406&gt;0,Y406&lt;1,NOT(AND(C407=C406,Y407=Y406+1))),INDEX(DATAS,Y406+1),"")</f>
        <v/>
      </c>
      <c r="AG406" s="45" t="str">
        <f aca="false">IF(AND(AA406=1,Y406&lt;1),IF(AND(C407=C406,Y407=Y406+1),IF(AA407=1,"",INDEX(DATAS,Y406+1)),INDEX(DATAS,Y406+1)),"")</f>
        <v/>
      </c>
    </row>
    <row r="407" customFormat="false" ht="15" hidden="false" customHeight="false" outlineLevel="0" collapsed="false">
      <c r="A407" s="45" t="n">
        <v>46309</v>
      </c>
      <c r="B407" s="0" t="n">
        <v>2</v>
      </c>
      <c r="C407" s="0" t="n">
        <v>4111</v>
      </c>
      <c r="D407" s="0" t="n">
        <v>98</v>
      </c>
      <c r="E407" s="0" t="n">
        <v>3</v>
      </c>
      <c r="F407" s="39" t="s">
        <v>429</v>
      </c>
      <c r="G407" s="0" t="n">
        <v>50.8</v>
      </c>
      <c r="H407" s="0" t="n">
        <v>53</v>
      </c>
      <c r="I407" s="39" t="s">
        <v>109</v>
      </c>
      <c r="J407" s="0" t="n">
        <v>63</v>
      </c>
      <c r="K407" s="0" t="n">
        <v>63</v>
      </c>
      <c r="L407" s="0" t="n">
        <v>35</v>
      </c>
      <c r="M407" s="0" t="n">
        <v>599.98</v>
      </c>
      <c r="N407" s="0" t="n">
        <v>55.22</v>
      </c>
      <c r="O407" s="0" t="n">
        <v>29.62</v>
      </c>
      <c r="P407" s="0" t="n">
        <v>3.71</v>
      </c>
      <c r="Q407" s="0" t="n">
        <v>3.03</v>
      </c>
      <c r="R407" s="0" t="n">
        <v>5067</v>
      </c>
      <c r="S407" s="0" t="n">
        <v>10186</v>
      </c>
      <c r="T407" s="0" t="n">
        <v>59</v>
      </c>
      <c r="U407" s="0" t="n">
        <v>1541</v>
      </c>
      <c r="V407" s="0" t="n">
        <v>1</v>
      </c>
      <c r="W407" s="39" t="n">
        <f aca="false">IF(I407="Male",0,1)</f>
        <v>1</v>
      </c>
      <c r="X407" s="39" t="n">
        <f aca="false">IF(OR(I407="DNB",I407="Dry DNB"),1,0)</f>
        <v>0</v>
      </c>
      <c r="Y407" s="39" t="n">
        <f aca="false">MATCH(A407,DATAS,0)</f>
        <v>1</v>
      </c>
      <c r="Z407" s="39" t="n">
        <f aca="false">IF(AND(E407&gt;0,OR(AND(B407&gt;=1,B407&lt;=6),B407=10)),1,0)</f>
        <v>1</v>
      </c>
      <c r="AA407" s="39" t="n">
        <f aca="false">IF(AND(E407&gt;0,B407=10),1,0)</f>
        <v>0</v>
      </c>
      <c r="AB407" s="0" t="str">
        <f aca="false">IF(AND(C406=C407,Y406=Y407-1),Z406,"")</f>
        <v/>
      </c>
      <c r="AC407" s="0" t="str">
        <f aca="false">IF(AND(C406=C407,Y406=Y407-1),AA406,"")</f>
        <v/>
      </c>
      <c r="AD407" s="0" t="str">
        <f aca="false">IF(Y407=1,"",IF(AND(Z407=1,AB407&lt;&gt;1),1,0))</f>
        <v/>
      </c>
      <c r="AE407" s="0" t="str">
        <f aca="false">IF(Y407=1,"",IF(AND(AA407=1,AC407&lt;&gt;1),1,0))</f>
        <v/>
      </c>
      <c r="AF407" s="45" t="str">
        <f aca="false">IF(AND(E407&gt;0,Y407&lt;1,NOT(AND(C408=C407,Y408=Y407+1))),INDEX(DATAS,Y407+1),"")</f>
        <v/>
      </c>
      <c r="AG407" s="45" t="str">
        <f aca="false">IF(AND(AA407=1,Y407&lt;1),IF(AND(C408=C407,Y408=Y407+1),IF(AA408=1,"",INDEX(DATAS,Y407+1)),INDEX(DATAS,Y407+1)),"")</f>
        <v/>
      </c>
    </row>
    <row r="408" customFormat="false" ht="15" hidden="false" customHeight="false" outlineLevel="0" collapsed="false">
      <c r="A408" s="45" t="n">
        <v>46309</v>
      </c>
      <c r="B408" s="0" t="n">
        <v>5</v>
      </c>
      <c r="C408" s="0" t="n">
        <v>4113</v>
      </c>
      <c r="D408" s="0" t="n">
        <v>162</v>
      </c>
      <c r="E408" s="0" t="n">
        <v>2</v>
      </c>
      <c r="F408" s="39" t="s">
        <v>430</v>
      </c>
      <c r="G408" s="0" t="n">
        <v>21.4</v>
      </c>
      <c r="H408" s="0" t="n">
        <v>26</v>
      </c>
      <c r="I408" s="39" t="s">
        <v>138</v>
      </c>
      <c r="J408" s="0" t="n">
        <v>162</v>
      </c>
      <c r="K408" s="0" t="n">
        <v>71</v>
      </c>
      <c r="M408" s="0" t="n">
        <v>425</v>
      </c>
      <c r="N408" s="0" t="n">
        <v>55.2</v>
      </c>
      <c r="O408" s="0" t="n">
        <v>20.44</v>
      </c>
      <c r="P408" s="0" t="n">
        <v>4.31</v>
      </c>
      <c r="Q408" s="0" t="n">
        <v>3.5</v>
      </c>
      <c r="R408" s="0" t="n">
        <v>4521</v>
      </c>
      <c r="S408" s="0" t="n">
        <v>8438</v>
      </c>
      <c r="T408" s="0" t="n">
        <v>49</v>
      </c>
      <c r="U408" s="0" t="n">
        <v>1540</v>
      </c>
      <c r="V408" s="0" t="n">
        <v>2</v>
      </c>
      <c r="W408" s="39" t="n">
        <f aca="false">IF(I408="Male",0,1)</f>
        <v>1</v>
      </c>
      <c r="X408" s="39" t="n">
        <f aca="false">IF(OR(I408="DNB",I408="Dry DNB"),1,0)</f>
        <v>0</v>
      </c>
      <c r="Y408" s="39" t="n">
        <f aca="false">MATCH(A408,DATAS,0)</f>
        <v>1</v>
      </c>
      <c r="Z408" s="39" t="n">
        <f aca="false">IF(AND(E408&gt;0,OR(AND(B408&gt;=1,B408&lt;=6),B408=10)),1,0)</f>
        <v>1</v>
      </c>
      <c r="AA408" s="39" t="n">
        <f aca="false">IF(AND(E408&gt;0,B408=10),1,0)</f>
        <v>0</v>
      </c>
      <c r="AB408" s="0" t="str">
        <f aca="false">IF(AND(C407=C408,Y407=Y408-1),Z407,"")</f>
        <v/>
      </c>
      <c r="AC408" s="0" t="str">
        <f aca="false">IF(AND(C407=C408,Y407=Y408-1),AA407,"")</f>
        <v/>
      </c>
      <c r="AD408" s="0" t="str">
        <f aca="false">IF(Y408=1,"",IF(AND(Z408=1,AB408&lt;&gt;1),1,0))</f>
        <v/>
      </c>
      <c r="AE408" s="0" t="str">
        <f aca="false">IF(Y408=1,"",IF(AND(AA408=1,AC408&lt;&gt;1),1,0))</f>
        <v/>
      </c>
      <c r="AF408" s="45" t="str">
        <f aca="false">IF(AND(E408&gt;0,Y408&lt;1,NOT(AND(C409=C408,Y409=Y408+1))),INDEX(DATAS,Y408+1),"")</f>
        <v/>
      </c>
      <c r="AG408" s="45" t="str">
        <f aca="false">IF(AND(AA408=1,Y408&lt;1),IF(AND(C409=C408,Y409=Y408+1),IF(AA409=1,"",INDEX(DATAS,Y408+1)),INDEX(DATAS,Y408+1)),"")</f>
        <v/>
      </c>
    </row>
    <row r="409" customFormat="false" ht="15" hidden="false" customHeight="false" outlineLevel="0" collapsed="false">
      <c r="A409" s="45" t="n">
        <v>46309</v>
      </c>
      <c r="B409" s="0" t="n">
        <v>2</v>
      </c>
      <c r="C409" s="0" t="n">
        <v>4114</v>
      </c>
      <c r="D409" s="0" t="n">
        <v>152</v>
      </c>
      <c r="E409" s="0" t="n">
        <v>3</v>
      </c>
      <c r="F409" s="39" t="s">
        <v>431</v>
      </c>
      <c r="G409" s="0" t="n">
        <v>62.7</v>
      </c>
      <c r="H409" s="0" t="n">
        <v>62</v>
      </c>
      <c r="I409" s="39" t="s">
        <v>109</v>
      </c>
      <c r="J409" s="0" t="n">
        <v>82</v>
      </c>
      <c r="K409" s="0" t="n">
        <v>82</v>
      </c>
      <c r="L409" s="0" t="n">
        <v>70</v>
      </c>
      <c r="M409" s="0" t="n">
        <v>924.46</v>
      </c>
      <c r="N409" s="0" t="n">
        <v>57.42</v>
      </c>
      <c r="O409" s="0" t="n">
        <v>37.98</v>
      </c>
      <c r="P409" s="0" t="n">
        <v>3.24</v>
      </c>
      <c r="Q409" s="0" t="n">
        <v>3.21</v>
      </c>
      <c r="R409" s="0" t="n">
        <v>6168</v>
      </c>
      <c r="S409" s="0" t="n">
        <v>12652</v>
      </c>
      <c r="T409" s="0" t="n">
        <v>66.8</v>
      </c>
      <c r="U409" s="0" t="n">
        <v>1539</v>
      </c>
      <c r="V409" s="0" t="n">
        <v>1</v>
      </c>
      <c r="W409" s="39" t="n">
        <f aca="false">IF(I409="Male",0,1)</f>
        <v>1</v>
      </c>
      <c r="X409" s="39" t="n">
        <f aca="false">IF(OR(I409="DNB",I409="Dry DNB"),1,0)</f>
        <v>0</v>
      </c>
      <c r="Y409" s="39" t="n">
        <f aca="false">MATCH(A409,DATAS,0)</f>
        <v>1</v>
      </c>
      <c r="Z409" s="39" t="n">
        <f aca="false">IF(AND(E409&gt;0,OR(AND(B409&gt;=1,B409&lt;=6),B409=10)),1,0)</f>
        <v>1</v>
      </c>
      <c r="AA409" s="39" t="n">
        <f aca="false">IF(AND(E409&gt;0,B409=10),1,0)</f>
        <v>0</v>
      </c>
      <c r="AB409" s="0" t="str">
        <f aca="false">IF(AND(C408=C409,Y408=Y409-1),Z408,"")</f>
        <v/>
      </c>
      <c r="AC409" s="0" t="str">
        <f aca="false">IF(AND(C408=C409,Y408=Y409-1),AA408,"")</f>
        <v/>
      </c>
      <c r="AD409" s="0" t="str">
        <f aca="false">IF(Y409=1,"",IF(AND(Z409=1,AB409&lt;&gt;1),1,0))</f>
        <v/>
      </c>
      <c r="AE409" s="0" t="str">
        <f aca="false">IF(Y409=1,"",IF(AND(AA409=1,AC409&lt;&gt;1),1,0))</f>
        <v/>
      </c>
      <c r="AF409" s="45" t="str">
        <f aca="false">IF(AND(E409&gt;0,Y409&lt;1,NOT(AND(C410=C409,Y410=Y409+1))),INDEX(DATAS,Y409+1),"")</f>
        <v/>
      </c>
      <c r="AG409" s="45" t="str">
        <f aca="false">IF(AND(AA409=1,Y409&lt;1),IF(AND(C410=C409,Y410=Y409+1),IF(AA410=1,"",INDEX(DATAS,Y409+1)),INDEX(DATAS,Y409+1)),"")</f>
        <v/>
      </c>
    </row>
    <row r="410" customFormat="false" ht="15" hidden="false" customHeight="false" outlineLevel="0" collapsed="false">
      <c r="A410" s="45" t="n">
        <v>46309</v>
      </c>
      <c r="B410" s="0" t="n">
        <v>6</v>
      </c>
      <c r="C410" s="0" t="n">
        <v>4115</v>
      </c>
      <c r="D410" s="0" t="n">
        <v>502</v>
      </c>
      <c r="E410" s="0" t="n">
        <v>2</v>
      </c>
      <c r="F410" s="39" t="s">
        <v>432</v>
      </c>
      <c r="I410" s="39" t="s">
        <v>96</v>
      </c>
      <c r="J410" s="0" t="n">
        <v>502</v>
      </c>
      <c r="K410" s="0" t="n">
        <v>61</v>
      </c>
      <c r="M410" s="0" t="n">
        <v>1234.69</v>
      </c>
      <c r="N410" s="0" t="n">
        <v>33.15</v>
      </c>
      <c r="O410" s="0" t="n">
        <v>34.98</v>
      </c>
      <c r="P410" s="0" t="n">
        <v>4.21</v>
      </c>
      <c r="Q410" s="0" t="n">
        <v>3.62</v>
      </c>
      <c r="R410" s="0" t="n">
        <v>5436</v>
      </c>
      <c r="S410" s="0" t="n">
        <v>10144</v>
      </c>
      <c r="T410" s="0" t="n">
        <v>56.45</v>
      </c>
      <c r="U410" s="0" t="n">
        <v>1538</v>
      </c>
      <c r="V410" s="0" t="n">
        <v>6</v>
      </c>
      <c r="W410" s="39" t="n">
        <f aca="false">IF(I410="Male",0,1)</f>
        <v>1</v>
      </c>
      <c r="X410" s="39" t="n">
        <f aca="false">IF(OR(I410="DNB",I410="Dry DNB"),1,0)</f>
        <v>1</v>
      </c>
      <c r="Y410" s="39" t="n">
        <f aca="false">MATCH(A410,DATAS,0)</f>
        <v>1</v>
      </c>
      <c r="Z410" s="39" t="n">
        <f aca="false">IF(AND(E410&gt;0,OR(AND(B410&gt;=1,B410&lt;=6),B410=10)),1,0)</f>
        <v>1</v>
      </c>
      <c r="AA410" s="39" t="n">
        <f aca="false">IF(AND(E410&gt;0,B410=10),1,0)</f>
        <v>0</v>
      </c>
      <c r="AB410" s="0" t="str">
        <f aca="false">IF(AND(C409=C410,Y409=Y410-1),Z409,"")</f>
        <v/>
      </c>
      <c r="AC410" s="0" t="str">
        <f aca="false">IF(AND(C409=C410,Y409=Y410-1),AA409,"")</f>
        <v/>
      </c>
      <c r="AD410" s="0" t="str">
        <f aca="false">IF(Y410=1,"",IF(AND(Z410=1,AB410&lt;&gt;1),1,0))</f>
        <v/>
      </c>
      <c r="AE410" s="0" t="str">
        <f aca="false">IF(Y410=1,"",IF(AND(AA410=1,AC410&lt;&gt;1),1,0))</f>
        <v/>
      </c>
      <c r="AF410" s="45" t="str">
        <f aca="false">IF(AND(E410&gt;0,Y410&lt;1,NOT(AND(C411=C410,Y411=Y410+1))),INDEX(DATAS,Y410+1),"")</f>
        <v/>
      </c>
      <c r="AG410" s="45" t="str">
        <f aca="false">IF(AND(AA410=1,Y410&lt;1),IF(AND(C411=C410,Y411=Y410+1),IF(AA411=1,"",INDEX(DATAS,Y410+1)),INDEX(DATAS,Y410+1)),"")</f>
        <v/>
      </c>
    </row>
    <row r="411" customFormat="false" ht="15" hidden="false" customHeight="false" outlineLevel="0" collapsed="false">
      <c r="A411" s="45" t="n">
        <v>46309</v>
      </c>
      <c r="B411" s="0" t="n">
        <v>3</v>
      </c>
      <c r="C411" s="0" t="n">
        <v>4116</v>
      </c>
      <c r="D411" s="0" t="n">
        <v>68</v>
      </c>
      <c r="E411" s="0" t="n">
        <v>3</v>
      </c>
      <c r="F411" s="39" t="s">
        <v>433</v>
      </c>
      <c r="G411" s="0" t="n">
        <v>48.9</v>
      </c>
      <c r="H411" s="0" t="n">
        <v>60</v>
      </c>
      <c r="I411" s="39" t="s">
        <v>146</v>
      </c>
      <c r="J411" s="0" t="n">
        <v>68</v>
      </c>
      <c r="M411" s="0" t="n">
        <v>-232.54</v>
      </c>
      <c r="N411" s="0" t="n">
        <v>40.18</v>
      </c>
      <c r="O411" s="0" t="n">
        <v>3.16</v>
      </c>
      <c r="P411" s="0" t="n">
        <v>3.71</v>
      </c>
      <c r="Q411" s="0" t="n">
        <v>3.18</v>
      </c>
      <c r="R411" s="0" t="n">
        <v>5942</v>
      </c>
      <c r="S411" s="0" t="n">
        <v>11945</v>
      </c>
      <c r="U411" s="0" t="n">
        <v>1537</v>
      </c>
      <c r="V411" s="0" t="n">
        <v>0</v>
      </c>
      <c r="W411" s="39" t="n">
        <f aca="false">IF(I411="Male",0,1)</f>
        <v>1</v>
      </c>
      <c r="X411" s="39" t="n">
        <f aca="false">IF(OR(I411="DNB",I411="Dry DNB"),1,0)</f>
        <v>0</v>
      </c>
      <c r="Y411" s="39" t="n">
        <f aca="false">MATCH(A411,DATAS,0)</f>
        <v>1</v>
      </c>
      <c r="Z411" s="39" t="n">
        <f aca="false">IF(AND(E411&gt;0,OR(AND(B411&gt;=1,B411&lt;=6),B411=10)),1,0)</f>
        <v>1</v>
      </c>
      <c r="AA411" s="39" t="n">
        <f aca="false">IF(AND(E411&gt;0,B411=10),1,0)</f>
        <v>0</v>
      </c>
      <c r="AB411" s="0" t="str">
        <f aca="false">IF(AND(C410=C411,Y410=Y411-1),Z410,"")</f>
        <v/>
      </c>
      <c r="AC411" s="0" t="str">
        <f aca="false">IF(AND(C410=C411,Y410=Y411-1),AA410,"")</f>
        <v/>
      </c>
      <c r="AD411" s="0" t="str">
        <f aca="false">IF(Y411=1,"",IF(AND(Z411=1,AB411&lt;&gt;1),1,0))</f>
        <v/>
      </c>
      <c r="AE411" s="0" t="str">
        <f aca="false">IF(Y411=1,"",IF(AND(AA411=1,AC411&lt;&gt;1),1,0))</f>
        <v/>
      </c>
      <c r="AF411" s="45" t="str">
        <f aca="false">IF(AND(E411&gt;0,Y411&lt;1,NOT(AND(C412=C411,Y412=Y411+1))),INDEX(DATAS,Y411+1),"")</f>
        <v/>
      </c>
      <c r="AG411" s="45" t="str">
        <f aca="false">IF(AND(AA411=1,Y411&lt;1),IF(AND(C412=C411,Y412=Y411+1),IF(AA412=1,"",INDEX(DATAS,Y411+1)),INDEX(DATAS,Y411+1)),"")</f>
        <v/>
      </c>
    </row>
    <row r="412" customFormat="false" ht="15" hidden="false" customHeight="false" outlineLevel="0" collapsed="false">
      <c r="A412" s="45" t="n">
        <v>46309</v>
      </c>
      <c r="B412" s="0" t="n">
        <v>3</v>
      </c>
      <c r="C412" s="0" t="n">
        <v>4117</v>
      </c>
      <c r="D412" s="0" t="n">
        <v>148</v>
      </c>
      <c r="E412" s="0" t="n">
        <v>3</v>
      </c>
      <c r="F412" s="39" t="s">
        <v>433</v>
      </c>
      <c r="G412" s="0" t="n">
        <v>50</v>
      </c>
      <c r="H412" s="0" t="n">
        <v>49</v>
      </c>
      <c r="I412" s="39" t="s">
        <v>146</v>
      </c>
      <c r="J412" s="0" t="n">
        <v>148</v>
      </c>
      <c r="K412" s="0" t="n">
        <v>78</v>
      </c>
      <c r="M412" s="0" t="n">
        <v>1125.92</v>
      </c>
      <c r="N412" s="0" t="n">
        <v>30.98</v>
      </c>
      <c r="O412" s="0" t="n">
        <v>36.97</v>
      </c>
      <c r="P412" s="0" t="n">
        <v>3.57</v>
      </c>
      <c r="Q412" s="0" t="n">
        <v>2.98</v>
      </c>
      <c r="R412" s="0" t="n">
        <v>5007</v>
      </c>
      <c r="S412" s="0" t="n">
        <v>10384</v>
      </c>
      <c r="T412" s="0" t="n">
        <v>57.35</v>
      </c>
      <c r="U412" s="0" t="n">
        <v>1537</v>
      </c>
      <c r="V412" s="0" t="n">
        <v>2</v>
      </c>
      <c r="W412" s="39" t="n">
        <f aca="false">IF(I412="Male",0,1)</f>
        <v>1</v>
      </c>
      <c r="X412" s="39" t="n">
        <f aca="false">IF(OR(I412="DNB",I412="Dry DNB"),1,0)</f>
        <v>0</v>
      </c>
      <c r="Y412" s="39" t="n">
        <f aca="false">MATCH(A412,DATAS,0)</f>
        <v>1</v>
      </c>
      <c r="Z412" s="39" t="n">
        <f aca="false">IF(AND(E412&gt;0,OR(AND(B412&gt;=1,B412&lt;=6),B412=10)),1,0)</f>
        <v>1</v>
      </c>
      <c r="AA412" s="39" t="n">
        <f aca="false">IF(AND(E412&gt;0,B412=10),1,0)</f>
        <v>0</v>
      </c>
      <c r="AB412" s="0" t="str">
        <f aca="false">IF(AND(C411=C412,Y411=Y412-1),Z411,"")</f>
        <v/>
      </c>
      <c r="AC412" s="0" t="str">
        <f aca="false">IF(AND(C411=C412,Y411=Y412-1),AA411,"")</f>
        <v/>
      </c>
      <c r="AD412" s="0" t="str">
        <f aca="false">IF(Y412=1,"",IF(AND(Z412=1,AB412&lt;&gt;1),1,0))</f>
        <v/>
      </c>
      <c r="AE412" s="0" t="str">
        <f aca="false">IF(Y412=1,"",IF(AND(AA412=1,AC412&lt;&gt;1),1,0))</f>
        <v/>
      </c>
      <c r="AF412" s="45" t="str">
        <f aca="false">IF(AND(E412&gt;0,Y412&lt;1,NOT(AND(C413=C412,Y413=Y412+1))),INDEX(DATAS,Y412+1),"")</f>
        <v/>
      </c>
      <c r="AG412" s="45" t="str">
        <f aca="false">IF(AND(AA412=1,Y412&lt;1),IF(AND(C413=C412,Y413=Y412+1),IF(AA413=1,"",INDEX(DATAS,Y412+1)),INDEX(DATAS,Y412+1)),"")</f>
        <v/>
      </c>
    </row>
    <row r="413" customFormat="false" ht="15" hidden="false" customHeight="false" outlineLevel="0" collapsed="false">
      <c r="A413" s="45" t="n">
        <v>46309</v>
      </c>
      <c r="B413" s="0" t="n">
        <v>2</v>
      </c>
      <c r="C413" s="0" t="n">
        <v>4118</v>
      </c>
      <c r="D413" s="0" t="n">
        <v>42</v>
      </c>
      <c r="E413" s="0" t="n">
        <v>3</v>
      </c>
      <c r="F413" s="39" t="s">
        <v>433</v>
      </c>
      <c r="G413" s="0" t="n">
        <v>62.9</v>
      </c>
      <c r="H413" s="0" t="n">
        <v>65</v>
      </c>
      <c r="I413" s="39" t="s">
        <v>118</v>
      </c>
      <c r="J413" s="0" t="n">
        <v>42</v>
      </c>
      <c r="M413" s="0" t="n">
        <v>223.51</v>
      </c>
      <c r="N413" s="0" t="n">
        <v>47.9</v>
      </c>
      <c r="O413" s="0" t="n">
        <v>22.46</v>
      </c>
      <c r="P413" s="0" t="n">
        <v>3.77</v>
      </c>
      <c r="Q413" s="0" t="n">
        <v>3.27</v>
      </c>
      <c r="R413" s="0" t="n">
        <v>5747</v>
      </c>
      <c r="S413" s="0" t="n">
        <v>11553</v>
      </c>
      <c r="U413" s="0" t="n">
        <v>1537</v>
      </c>
      <c r="V413" s="0" t="n">
        <v>0</v>
      </c>
      <c r="W413" s="39" t="n">
        <f aca="false">IF(I413="Male",0,1)</f>
        <v>1</v>
      </c>
      <c r="X413" s="39" t="n">
        <f aca="false">IF(OR(I413="DNB",I413="Dry DNB"),1,0)</f>
        <v>0</v>
      </c>
      <c r="Y413" s="39" t="n">
        <f aca="false">MATCH(A413,DATAS,0)</f>
        <v>1</v>
      </c>
      <c r="Z413" s="39" t="n">
        <f aca="false">IF(AND(E413&gt;0,OR(AND(B413&gt;=1,B413&lt;=6),B413=10)),1,0)</f>
        <v>1</v>
      </c>
      <c r="AA413" s="39" t="n">
        <f aca="false">IF(AND(E413&gt;0,B413=10),1,0)</f>
        <v>0</v>
      </c>
      <c r="AB413" s="0" t="str">
        <f aca="false">IF(AND(C412=C413,Y412=Y413-1),Z412,"")</f>
        <v/>
      </c>
      <c r="AC413" s="0" t="str">
        <f aca="false">IF(AND(C412=C413,Y412=Y413-1),AA412,"")</f>
        <v/>
      </c>
      <c r="AD413" s="0" t="str">
        <f aca="false">IF(Y413=1,"",IF(AND(Z413=1,AB413&lt;&gt;1),1,0))</f>
        <v/>
      </c>
      <c r="AE413" s="0" t="str">
        <f aca="false">IF(Y413=1,"",IF(AND(AA413=1,AC413&lt;&gt;1),1,0))</f>
        <v/>
      </c>
      <c r="AF413" s="45" t="str">
        <f aca="false">IF(AND(E413&gt;0,Y413&lt;1,NOT(AND(C414=C413,Y414=Y413+1))),INDEX(DATAS,Y413+1),"")</f>
        <v/>
      </c>
      <c r="AG413" s="45" t="str">
        <f aca="false">IF(AND(AA413=1,Y413&lt;1),IF(AND(C414=C413,Y414=Y413+1),IF(AA414=1,"",INDEX(DATAS,Y413+1)),INDEX(DATAS,Y413+1)),"")</f>
        <v/>
      </c>
    </row>
    <row r="414" customFormat="false" ht="15" hidden="false" customHeight="false" outlineLevel="0" collapsed="false">
      <c r="A414" s="45" t="n">
        <v>46309</v>
      </c>
      <c r="B414" s="0" t="n">
        <v>6</v>
      </c>
      <c r="C414" s="0" t="n">
        <v>4120</v>
      </c>
      <c r="D414" s="0" t="n">
        <v>379</v>
      </c>
      <c r="E414" s="0" t="n">
        <v>2</v>
      </c>
      <c r="F414" s="39" t="s">
        <v>433</v>
      </c>
      <c r="G414" s="0" t="n">
        <v>5.1</v>
      </c>
      <c r="H414" s="0" t="n">
        <v>10</v>
      </c>
      <c r="I414" s="39" t="s">
        <v>109</v>
      </c>
      <c r="J414" s="0" t="n">
        <v>226</v>
      </c>
      <c r="K414" s="0" t="n">
        <v>64</v>
      </c>
      <c r="L414" s="0" t="n">
        <v>153</v>
      </c>
      <c r="M414" s="0" t="n">
        <v>1117.19</v>
      </c>
      <c r="N414" s="0" t="n">
        <v>53.86</v>
      </c>
      <c r="O414" s="0" t="n">
        <v>35.8</v>
      </c>
      <c r="P414" s="0" t="n">
        <v>4.36</v>
      </c>
      <c r="Q414" s="0" t="n">
        <v>3.72</v>
      </c>
      <c r="R414" s="0" t="n">
        <v>6944</v>
      </c>
      <c r="S414" s="0" t="n">
        <v>12946</v>
      </c>
      <c r="T414" s="0" t="n">
        <v>73.55</v>
      </c>
      <c r="U414" s="0" t="n">
        <v>1537</v>
      </c>
      <c r="V414" s="0" t="n">
        <v>6</v>
      </c>
      <c r="W414" s="39" t="n">
        <f aca="false">IF(I414="Male",0,1)</f>
        <v>1</v>
      </c>
      <c r="X414" s="39" t="n">
        <f aca="false">IF(OR(I414="DNB",I414="Dry DNB"),1,0)</f>
        <v>0</v>
      </c>
      <c r="Y414" s="39" t="n">
        <f aca="false">MATCH(A414,DATAS,0)</f>
        <v>1</v>
      </c>
      <c r="Z414" s="39" t="n">
        <f aca="false">IF(AND(E414&gt;0,OR(AND(B414&gt;=1,B414&lt;=6),B414=10)),1,0)</f>
        <v>1</v>
      </c>
      <c r="AA414" s="39" t="n">
        <f aca="false">IF(AND(E414&gt;0,B414=10),1,0)</f>
        <v>0</v>
      </c>
      <c r="AB414" s="0" t="str">
        <f aca="false">IF(AND(C413=C414,Y413=Y414-1),Z413,"")</f>
        <v/>
      </c>
      <c r="AC414" s="0" t="str">
        <f aca="false">IF(AND(C413=C414,Y413=Y414-1),AA413,"")</f>
        <v/>
      </c>
      <c r="AD414" s="0" t="str">
        <f aca="false">IF(Y414=1,"",IF(AND(Z414=1,AB414&lt;&gt;1),1,0))</f>
        <v/>
      </c>
      <c r="AE414" s="0" t="str">
        <f aca="false">IF(Y414=1,"",IF(AND(AA414=1,AC414&lt;&gt;1),1,0))</f>
        <v/>
      </c>
      <c r="AF414" s="45" t="str">
        <f aca="false">IF(AND(E414&gt;0,Y414&lt;1,NOT(AND(C415=C414,Y415=Y414+1))),INDEX(DATAS,Y414+1),"")</f>
        <v/>
      </c>
      <c r="AG414" s="45" t="str">
        <f aca="false">IF(AND(AA414=1,Y414&lt;1),IF(AND(C415=C414,Y415=Y414+1),IF(AA415=1,"",INDEX(DATAS,Y414+1)),INDEX(DATAS,Y414+1)),"")</f>
        <v/>
      </c>
    </row>
    <row r="415" customFormat="false" ht="15" hidden="false" customHeight="false" outlineLevel="0" collapsed="false">
      <c r="A415" s="45" t="n">
        <v>46309</v>
      </c>
      <c r="B415" s="0" t="n">
        <v>2</v>
      </c>
      <c r="C415" s="0" t="n">
        <v>4123</v>
      </c>
      <c r="D415" s="0" t="n">
        <v>177</v>
      </c>
      <c r="E415" s="0" t="n">
        <v>3</v>
      </c>
      <c r="F415" s="39" t="s">
        <v>434</v>
      </c>
      <c r="G415" s="0" t="n">
        <v>55.6</v>
      </c>
      <c r="H415" s="0" t="n">
        <v>51</v>
      </c>
      <c r="I415" s="39" t="s">
        <v>109</v>
      </c>
      <c r="J415" s="0" t="n">
        <v>66</v>
      </c>
      <c r="K415" s="0" t="n">
        <v>73</v>
      </c>
      <c r="L415" s="0" t="n">
        <v>111</v>
      </c>
      <c r="M415" s="0" t="n">
        <v>585.09</v>
      </c>
      <c r="N415" s="0" t="n">
        <v>26.53</v>
      </c>
      <c r="O415" s="0" t="n">
        <v>20.12</v>
      </c>
      <c r="P415" s="0" t="n">
        <v>2.84</v>
      </c>
      <c r="Q415" s="0" t="n">
        <v>3.22</v>
      </c>
      <c r="R415" s="0" t="n">
        <v>5727</v>
      </c>
      <c r="S415" s="0" t="n">
        <v>11385</v>
      </c>
      <c r="T415" s="0" t="n">
        <v>61.3</v>
      </c>
      <c r="U415" s="0" t="n">
        <v>1534</v>
      </c>
      <c r="V415" s="0" t="n">
        <v>1</v>
      </c>
      <c r="W415" s="39" t="n">
        <f aca="false">IF(I415="Male",0,1)</f>
        <v>1</v>
      </c>
      <c r="X415" s="39" t="n">
        <f aca="false">IF(OR(I415="DNB",I415="Dry DNB"),1,0)</f>
        <v>0</v>
      </c>
      <c r="Y415" s="39" t="n">
        <f aca="false">MATCH(A415,DATAS,0)</f>
        <v>1</v>
      </c>
      <c r="Z415" s="39" t="n">
        <f aca="false">IF(AND(E415&gt;0,OR(AND(B415&gt;=1,B415&lt;=6),B415=10)),1,0)</f>
        <v>1</v>
      </c>
      <c r="AA415" s="39" t="n">
        <f aca="false">IF(AND(E415&gt;0,B415=10),1,0)</f>
        <v>0</v>
      </c>
      <c r="AB415" s="0" t="str">
        <f aca="false">IF(AND(C414=C415,Y414=Y415-1),Z414,"")</f>
        <v/>
      </c>
      <c r="AC415" s="0" t="str">
        <f aca="false">IF(AND(C414=C415,Y414=Y415-1),AA414,"")</f>
        <v/>
      </c>
      <c r="AD415" s="0" t="str">
        <f aca="false">IF(Y415=1,"",IF(AND(Z415=1,AB415&lt;&gt;1),1,0))</f>
        <v/>
      </c>
      <c r="AE415" s="0" t="str">
        <f aca="false">IF(Y415=1,"",IF(AND(AA415=1,AC415&lt;&gt;1),1,0))</f>
        <v/>
      </c>
      <c r="AF415" s="45" t="str">
        <f aca="false">IF(AND(E415&gt;0,Y415&lt;1,NOT(AND(C416=C415,Y416=Y415+1))),INDEX(DATAS,Y415+1),"")</f>
        <v/>
      </c>
      <c r="AG415" s="45" t="str">
        <f aca="false">IF(AND(AA415=1,Y415&lt;1),IF(AND(C416=C415,Y416=Y415+1),IF(AA416=1,"",INDEX(DATAS,Y415+1)),INDEX(DATAS,Y415+1)),"")</f>
        <v/>
      </c>
    </row>
    <row r="416" customFormat="false" ht="15" hidden="false" customHeight="false" outlineLevel="0" collapsed="false">
      <c r="A416" s="45" t="n">
        <v>46309</v>
      </c>
      <c r="B416" s="0" t="n">
        <v>2</v>
      </c>
      <c r="C416" s="0" t="n">
        <v>4124</v>
      </c>
      <c r="D416" s="0" t="n">
        <v>161</v>
      </c>
      <c r="E416" s="0" t="n">
        <v>2</v>
      </c>
      <c r="F416" s="39" t="s">
        <v>434</v>
      </c>
      <c r="G416" s="0" t="n">
        <v>55.1</v>
      </c>
      <c r="H416" s="0" t="n">
        <v>52</v>
      </c>
      <c r="I416" s="39" t="s">
        <v>138</v>
      </c>
      <c r="J416" s="0" t="n">
        <v>161</v>
      </c>
      <c r="K416" s="0" t="n">
        <v>66</v>
      </c>
      <c r="M416" s="0" t="n">
        <v>363.31</v>
      </c>
      <c r="N416" s="0" t="n">
        <v>51.67</v>
      </c>
      <c r="O416" s="0" t="n">
        <v>25.99</v>
      </c>
      <c r="P416" s="0" t="n">
        <v>2.46</v>
      </c>
      <c r="Q416" s="0" t="n">
        <v>3.42</v>
      </c>
      <c r="R416" s="0" t="n">
        <v>4982</v>
      </c>
      <c r="S416" s="0" t="n">
        <v>10222</v>
      </c>
      <c r="T416" s="0" t="n">
        <v>61.05</v>
      </c>
      <c r="U416" s="0" t="n">
        <v>1534</v>
      </c>
      <c r="V416" s="0" t="n">
        <v>3</v>
      </c>
      <c r="W416" s="39" t="n">
        <f aca="false">IF(I416="Male",0,1)</f>
        <v>1</v>
      </c>
      <c r="X416" s="39" t="n">
        <f aca="false">IF(OR(I416="DNB",I416="Dry DNB"),1,0)</f>
        <v>0</v>
      </c>
      <c r="Y416" s="39" t="n">
        <f aca="false">MATCH(A416,DATAS,0)</f>
        <v>1</v>
      </c>
      <c r="Z416" s="39" t="n">
        <f aca="false">IF(AND(E416&gt;0,OR(AND(B416&gt;=1,B416&lt;=6),B416=10)),1,0)</f>
        <v>1</v>
      </c>
      <c r="AA416" s="39" t="n">
        <f aca="false">IF(AND(E416&gt;0,B416=10),1,0)</f>
        <v>0</v>
      </c>
      <c r="AB416" s="0" t="str">
        <f aca="false">IF(AND(C415=C416,Y415=Y416-1),Z415,"")</f>
        <v/>
      </c>
      <c r="AC416" s="0" t="str">
        <f aca="false">IF(AND(C415=C416,Y415=Y416-1),AA415,"")</f>
        <v/>
      </c>
      <c r="AD416" s="0" t="str">
        <f aca="false">IF(Y416=1,"",IF(AND(Z416=1,AB416&lt;&gt;1),1,0))</f>
        <v/>
      </c>
      <c r="AE416" s="0" t="str">
        <f aca="false">IF(Y416=1,"",IF(AND(AA416=1,AC416&lt;&gt;1),1,0))</f>
        <v/>
      </c>
      <c r="AF416" s="45" t="str">
        <f aca="false">IF(AND(E416&gt;0,Y416&lt;1,NOT(AND(C417=C416,Y417=Y416+1))),INDEX(DATAS,Y416+1),"")</f>
        <v/>
      </c>
      <c r="AG416" s="45" t="str">
        <f aca="false">IF(AND(AA416=1,Y416&lt;1),IF(AND(C417=C416,Y417=Y416+1),IF(AA417=1,"",INDEX(DATAS,Y416+1)),INDEX(DATAS,Y416+1)),"")</f>
        <v/>
      </c>
    </row>
    <row r="417" customFormat="false" ht="15" hidden="false" customHeight="false" outlineLevel="0" collapsed="false">
      <c r="A417" s="45" t="n">
        <v>46309</v>
      </c>
      <c r="B417" s="0" t="n">
        <v>3</v>
      </c>
      <c r="C417" s="0" t="n">
        <v>4125</v>
      </c>
      <c r="D417" s="0" t="n">
        <v>346</v>
      </c>
      <c r="E417" s="0" t="n">
        <v>2</v>
      </c>
      <c r="F417" s="39" t="s">
        <v>435</v>
      </c>
      <c r="G417" s="0" t="n">
        <v>45.5</v>
      </c>
      <c r="H417" s="0" t="n">
        <v>45</v>
      </c>
      <c r="I417" s="39" t="s">
        <v>146</v>
      </c>
      <c r="J417" s="0" t="n">
        <v>346</v>
      </c>
      <c r="K417" s="0" t="n">
        <v>73</v>
      </c>
      <c r="M417" s="0" t="n">
        <v>678.22</v>
      </c>
      <c r="N417" s="0" t="n">
        <v>38.23</v>
      </c>
      <c r="O417" s="0" t="n">
        <v>27.18</v>
      </c>
      <c r="P417" s="0" t="n">
        <v>2.56</v>
      </c>
      <c r="Q417" s="0" t="n">
        <v>3.47</v>
      </c>
      <c r="R417" s="0" t="n">
        <v>5693</v>
      </c>
      <c r="S417" s="0" t="n">
        <v>11137</v>
      </c>
      <c r="T417" s="0" t="n">
        <v>59.25</v>
      </c>
      <c r="U417" s="0" t="n">
        <v>1533</v>
      </c>
      <c r="V417" s="0" t="n">
        <v>6</v>
      </c>
      <c r="W417" s="39" t="n">
        <f aca="false">IF(I417="Male",0,1)</f>
        <v>1</v>
      </c>
      <c r="X417" s="39" t="n">
        <f aca="false">IF(OR(I417="DNB",I417="Dry DNB"),1,0)</f>
        <v>0</v>
      </c>
      <c r="Y417" s="39" t="n">
        <f aca="false">MATCH(A417,DATAS,0)</f>
        <v>1</v>
      </c>
      <c r="Z417" s="39" t="n">
        <f aca="false">IF(AND(E417&gt;0,OR(AND(B417&gt;=1,B417&lt;=6),B417=10)),1,0)</f>
        <v>1</v>
      </c>
      <c r="AA417" s="39" t="n">
        <f aca="false">IF(AND(E417&gt;0,B417=10),1,0)</f>
        <v>0</v>
      </c>
      <c r="AB417" s="0" t="str">
        <f aca="false">IF(AND(C416=C417,Y416=Y417-1),Z416,"")</f>
        <v/>
      </c>
      <c r="AC417" s="0" t="str">
        <f aca="false">IF(AND(C416=C417,Y416=Y417-1),AA416,"")</f>
        <v/>
      </c>
      <c r="AD417" s="0" t="str">
        <f aca="false">IF(Y417=1,"",IF(AND(Z417=1,AB417&lt;&gt;1),1,0))</f>
        <v/>
      </c>
      <c r="AE417" s="0" t="str">
        <f aca="false">IF(Y417=1,"",IF(AND(AA417=1,AC417&lt;&gt;1),1,0))</f>
        <v/>
      </c>
      <c r="AF417" s="45" t="str">
        <f aca="false">IF(AND(E417&gt;0,Y417&lt;1,NOT(AND(C418=C417,Y418=Y417+1))),INDEX(DATAS,Y417+1),"")</f>
        <v/>
      </c>
      <c r="AG417" s="45" t="str">
        <f aca="false">IF(AND(AA417=1,Y417&lt;1),IF(AND(C418=C417,Y418=Y417+1),IF(AA418=1,"",INDEX(DATAS,Y417+1)),INDEX(DATAS,Y417+1)),"")</f>
        <v/>
      </c>
    </row>
    <row r="418" customFormat="false" ht="15" hidden="false" customHeight="false" outlineLevel="0" collapsed="false">
      <c r="A418" s="45" t="n">
        <v>46309</v>
      </c>
      <c r="B418" s="0" t="n">
        <v>2</v>
      </c>
      <c r="C418" s="0" t="n">
        <v>4130</v>
      </c>
      <c r="D418" s="0" t="n">
        <v>100</v>
      </c>
      <c r="E418" s="0" t="n">
        <v>3</v>
      </c>
      <c r="F418" s="39" t="s">
        <v>436</v>
      </c>
      <c r="G418" s="0" t="n">
        <v>68.8</v>
      </c>
      <c r="H418" s="0" t="n">
        <v>65</v>
      </c>
      <c r="I418" s="39" t="s">
        <v>109</v>
      </c>
      <c r="J418" s="0" t="n">
        <v>65</v>
      </c>
      <c r="K418" s="0" t="n">
        <v>65</v>
      </c>
      <c r="L418" s="0" t="n">
        <v>35</v>
      </c>
      <c r="M418" s="0" t="n">
        <v>912.27</v>
      </c>
      <c r="N418" s="0" t="n">
        <v>47.06</v>
      </c>
      <c r="O418" s="0" t="n">
        <v>29.7</v>
      </c>
      <c r="P418" s="0" t="n">
        <v>2.38</v>
      </c>
      <c r="Q418" s="0" t="n">
        <v>3.14</v>
      </c>
      <c r="R418" s="0" t="n">
        <v>6301</v>
      </c>
      <c r="S418" s="0" t="n">
        <v>12666</v>
      </c>
      <c r="T418" s="0" t="n">
        <v>72.55</v>
      </c>
      <c r="U418" s="0" t="n">
        <v>1531</v>
      </c>
      <c r="V418" s="0" t="n">
        <v>1</v>
      </c>
      <c r="W418" s="39" t="n">
        <f aca="false">IF(I418="Male",0,1)</f>
        <v>1</v>
      </c>
      <c r="X418" s="39" t="n">
        <f aca="false">IF(OR(I418="DNB",I418="Dry DNB"),1,0)</f>
        <v>0</v>
      </c>
      <c r="Y418" s="39" t="n">
        <f aca="false">MATCH(A418,DATAS,0)</f>
        <v>1</v>
      </c>
      <c r="Z418" s="39" t="n">
        <f aca="false">IF(AND(E418&gt;0,OR(AND(B418&gt;=1,B418&lt;=6),B418=10)),1,0)</f>
        <v>1</v>
      </c>
      <c r="AA418" s="39" t="n">
        <f aca="false">IF(AND(E418&gt;0,B418=10),1,0)</f>
        <v>0</v>
      </c>
      <c r="AB418" s="0" t="str">
        <f aca="false">IF(AND(C417=C418,Y417=Y418-1),Z417,"")</f>
        <v/>
      </c>
      <c r="AC418" s="0" t="str">
        <f aca="false">IF(AND(C417=C418,Y417=Y418-1),AA417,"")</f>
        <v/>
      </c>
      <c r="AD418" s="0" t="str">
        <f aca="false">IF(Y418=1,"",IF(AND(Z418=1,AB418&lt;&gt;1),1,0))</f>
        <v/>
      </c>
      <c r="AE418" s="0" t="str">
        <f aca="false">IF(Y418=1,"",IF(AND(AA418=1,AC418&lt;&gt;1),1,0))</f>
        <v/>
      </c>
      <c r="AF418" s="45" t="str">
        <f aca="false">IF(AND(E418&gt;0,Y418&lt;1,NOT(AND(C419=C418,Y419=Y418+1))),INDEX(DATAS,Y418+1),"")</f>
        <v/>
      </c>
      <c r="AG418" s="45" t="str">
        <f aca="false">IF(AND(AA418=1,Y418&lt;1),IF(AND(C419=C418,Y419=Y418+1),IF(AA419=1,"",INDEX(DATAS,Y418+1)),INDEX(DATAS,Y418+1)),"")</f>
        <v/>
      </c>
    </row>
    <row r="419" customFormat="false" ht="15" hidden="false" customHeight="false" outlineLevel="0" collapsed="false">
      <c r="A419" s="45" t="n">
        <v>46309</v>
      </c>
      <c r="B419" s="0" t="n">
        <v>2</v>
      </c>
      <c r="C419" s="0" t="n">
        <v>4132</v>
      </c>
      <c r="D419" s="0" t="n">
        <v>154</v>
      </c>
      <c r="E419" s="0" t="n">
        <v>3</v>
      </c>
      <c r="F419" s="39" t="s">
        <v>436</v>
      </c>
      <c r="G419" s="0" t="n">
        <v>74</v>
      </c>
      <c r="H419" s="0" t="n">
        <v>73</v>
      </c>
      <c r="I419" s="39" t="s">
        <v>109</v>
      </c>
      <c r="J419" s="0" t="n">
        <v>64</v>
      </c>
      <c r="K419" s="0" t="n">
        <v>71</v>
      </c>
      <c r="L419" s="0" t="n">
        <v>90</v>
      </c>
      <c r="M419" s="0" t="n">
        <v>918.02</v>
      </c>
      <c r="N419" s="0" t="n">
        <v>51.68</v>
      </c>
      <c r="O419" s="0" t="n">
        <v>30.3</v>
      </c>
      <c r="P419" s="0" t="n">
        <v>2.57</v>
      </c>
      <c r="Q419" s="0" t="n">
        <v>3.34</v>
      </c>
      <c r="R419" s="0" t="n">
        <v>6766</v>
      </c>
      <c r="S419" s="0" t="n">
        <v>14330</v>
      </c>
      <c r="T419" s="0" t="n">
        <v>75.8</v>
      </c>
      <c r="U419" s="0" t="n">
        <v>1531</v>
      </c>
      <c r="V419" s="0" t="n">
        <v>1</v>
      </c>
      <c r="W419" s="39" t="n">
        <f aca="false">IF(I419="Male",0,1)</f>
        <v>1</v>
      </c>
      <c r="X419" s="39" t="n">
        <f aca="false">IF(OR(I419="DNB",I419="Dry DNB"),1,0)</f>
        <v>0</v>
      </c>
      <c r="Y419" s="39" t="n">
        <f aca="false">MATCH(A419,DATAS,0)</f>
        <v>1</v>
      </c>
      <c r="Z419" s="39" t="n">
        <f aca="false">IF(AND(E419&gt;0,OR(AND(B419&gt;=1,B419&lt;=6),B419=10)),1,0)</f>
        <v>1</v>
      </c>
      <c r="AA419" s="39" t="n">
        <f aca="false">IF(AND(E419&gt;0,B419=10),1,0)</f>
        <v>0</v>
      </c>
      <c r="AB419" s="0" t="str">
        <f aca="false">IF(AND(C418=C419,Y418=Y419-1),Z418,"")</f>
        <v/>
      </c>
      <c r="AC419" s="0" t="str">
        <f aca="false">IF(AND(C418=C419,Y418=Y419-1),AA418,"")</f>
        <v/>
      </c>
      <c r="AD419" s="0" t="str">
        <f aca="false">IF(Y419=1,"",IF(AND(Z419=1,AB419&lt;&gt;1),1,0))</f>
        <v/>
      </c>
      <c r="AE419" s="0" t="str">
        <f aca="false">IF(Y419=1,"",IF(AND(AA419=1,AC419&lt;&gt;1),1,0))</f>
        <v/>
      </c>
      <c r="AF419" s="45" t="str">
        <f aca="false">IF(AND(E419&gt;0,Y419&lt;1,NOT(AND(C420=C419,Y420=Y419+1))),INDEX(DATAS,Y419+1),"")</f>
        <v/>
      </c>
      <c r="AG419" s="45" t="str">
        <f aca="false">IF(AND(AA419=1,Y419&lt;1),IF(AND(C420=C419,Y420=Y419+1),IF(AA420=1,"",INDEX(DATAS,Y419+1)),INDEX(DATAS,Y419+1)),"")</f>
        <v/>
      </c>
    </row>
    <row r="420" customFormat="false" ht="15" hidden="false" customHeight="false" outlineLevel="0" collapsed="false">
      <c r="A420" s="45" t="n">
        <v>46309</v>
      </c>
      <c r="B420" s="0" t="n">
        <v>5</v>
      </c>
      <c r="C420" s="0" t="n">
        <v>4133</v>
      </c>
      <c r="D420" s="0" t="n">
        <v>537</v>
      </c>
      <c r="E420" s="0" t="n">
        <v>2</v>
      </c>
      <c r="F420" s="39" t="s">
        <v>436</v>
      </c>
      <c r="G420" s="0" t="n">
        <v>40.1</v>
      </c>
      <c r="H420" s="0" t="n">
        <v>39</v>
      </c>
      <c r="I420" s="39" t="s">
        <v>109</v>
      </c>
      <c r="J420" s="0" t="n">
        <v>426</v>
      </c>
      <c r="K420" s="0" t="n">
        <v>61</v>
      </c>
      <c r="L420" s="0" t="n">
        <v>111</v>
      </c>
      <c r="M420" s="0" t="n">
        <v>915.55</v>
      </c>
      <c r="N420" s="0" t="n">
        <v>59.02</v>
      </c>
      <c r="O420" s="0" t="n">
        <v>41.88</v>
      </c>
      <c r="P420" s="0" t="n">
        <v>4.03</v>
      </c>
      <c r="Q420" s="0" t="n">
        <v>3.63</v>
      </c>
      <c r="R420" s="0" t="n">
        <v>7118</v>
      </c>
      <c r="S420" s="0" t="n">
        <v>13445</v>
      </c>
      <c r="T420" s="0" t="n">
        <v>81.15</v>
      </c>
      <c r="U420" s="0" t="n">
        <v>1531</v>
      </c>
      <c r="V420" s="0" t="n">
        <v>6</v>
      </c>
      <c r="W420" s="39" t="n">
        <f aca="false">IF(I420="Male",0,1)</f>
        <v>1</v>
      </c>
      <c r="X420" s="39" t="n">
        <f aca="false">IF(OR(I420="DNB",I420="Dry DNB"),1,0)</f>
        <v>0</v>
      </c>
      <c r="Y420" s="39" t="n">
        <f aca="false">MATCH(A420,DATAS,0)</f>
        <v>1</v>
      </c>
      <c r="Z420" s="39" t="n">
        <f aca="false">IF(AND(E420&gt;0,OR(AND(B420&gt;=1,B420&lt;=6),B420=10)),1,0)</f>
        <v>1</v>
      </c>
      <c r="AA420" s="39" t="n">
        <f aca="false">IF(AND(E420&gt;0,B420=10),1,0)</f>
        <v>0</v>
      </c>
      <c r="AB420" s="0" t="str">
        <f aca="false">IF(AND(C419=C420,Y419=Y420-1),Z419,"")</f>
        <v/>
      </c>
      <c r="AC420" s="0" t="str">
        <f aca="false">IF(AND(C419=C420,Y419=Y420-1),AA419,"")</f>
        <v/>
      </c>
      <c r="AD420" s="0" t="str">
        <f aca="false">IF(Y420=1,"",IF(AND(Z420=1,AB420&lt;&gt;1),1,0))</f>
        <v/>
      </c>
      <c r="AE420" s="0" t="str">
        <f aca="false">IF(Y420=1,"",IF(AND(AA420=1,AC420&lt;&gt;1),1,0))</f>
        <v/>
      </c>
      <c r="AF420" s="45" t="str">
        <f aca="false">IF(AND(E420&gt;0,Y420&lt;1,NOT(AND(C421=C420,Y421=Y420+1))),INDEX(DATAS,Y420+1),"")</f>
        <v/>
      </c>
      <c r="AG420" s="45" t="str">
        <f aca="false">IF(AND(AA420=1,Y420&lt;1),IF(AND(C421=C420,Y421=Y420+1),IF(AA421=1,"",INDEX(DATAS,Y420+1)),INDEX(DATAS,Y420+1)),"")</f>
        <v/>
      </c>
    </row>
    <row r="421" customFormat="false" ht="15" hidden="false" customHeight="false" outlineLevel="0" collapsed="false">
      <c r="A421" s="45" t="n">
        <v>46309</v>
      </c>
      <c r="B421" s="0" t="n">
        <v>10</v>
      </c>
      <c r="C421" s="0" t="n">
        <v>4136</v>
      </c>
      <c r="D421" s="0" t="n">
        <v>13</v>
      </c>
      <c r="E421" s="0" t="n">
        <v>3</v>
      </c>
      <c r="F421" s="39" t="s">
        <v>437</v>
      </c>
      <c r="G421" s="0" t="n">
        <v>41.4</v>
      </c>
      <c r="H421" s="0" t="n">
        <v>31</v>
      </c>
      <c r="I421" s="39" t="s">
        <v>118</v>
      </c>
      <c r="J421" s="0" t="n">
        <v>13</v>
      </c>
      <c r="M421" s="0" t="n">
        <v>640.36</v>
      </c>
      <c r="N421" s="0" t="n">
        <v>67.96</v>
      </c>
      <c r="O421" s="0" t="n">
        <v>21.84</v>
      </c>
      <c r="R421" s="0" t="n">
        <v>2914</v>
      </c>
      <c r="S421" s="0" t="n">
        <v>5857</v>
      </c>
      <c r="U421" s="0" t="n">
        <v>1529</v>
      </c>
      <c r="V421" s="0" t="n">
        <v>0</v>
      </c>
      <c r="W421" s="39" t="n">
        <f aca="false">IF(I421="Male",0,1)</f>
        <v>1</v>
      </c>
      <c r="X421" s="39" t="n">
        <f aca="false">IF(OR(I421="DNB",I421="Dry DNB"),1,0)</f>
        <v>0</v>
      </c>
      <c r="Y421" s="39" t="n">
        <f aca="false">MATCH(A421,DATAS,0)</f>
        <v>1</v>
      </c>
      <c r="Z421" s="39" t="n">
        <f aca="false">IF(AND(E421&gt;0,OR(AND(B421&gt;=1,B421&lt;=6),B421=10)),1,0)</f>
        <v>1</v>
      </c>
      <c r="AA421" s="39" t="n">
        <f aca="false">IF(AND(E421&gt;0,B421=10),1,0)</f>
        <v>1</v>
      </c>
      <c r="AB421" s="0" t="str">
        <f aca="false">IF(AND(C420=C421,Y420=Y421-1),Z420,"")</f>
        <v/>
      </c>
      <c r="AC421" s="0" t="str">
        <f aca="false">IF(AND(C420=C421,Y420=Y421-1),AA420,"")</f>
        <v/>
      </c>
      <c r="AD421" s="0" t="str">
        <f aca="false">IF(Y421=1,"",IF(AND(Z421=1,AB421&lt;&gt;1),1,0))</f>
        <v/>
      </c>
      <c r="AE421" s="0" t="str">
        <f aca="false">IF(Y421=1,"",IF(AND(AA421=1,AC421&lt;&gt;1),1,0))</f>
        <v/>
      </c>
      <c r="AF421" s="45" t="str">
        <f aca="false">IF(AND(E421&gt;0,Y421&lt;1,NOT(AND(C422=C421,Y422=Y421+1))),INDEX(DATAS,Y421+1),"")</f>
        <v/>
      </c>
      <c r="AG421" s="45" t="str">
        <f aca="false">IF(AND(AA421=1,Y421&lt;1),IF(AND(C422=C421,Y422=Y421+1),IF(AA422=1,"",INDEX(DATAS,Y421+1)),INDEX(DATAS,Y421+1)),"")</f>
        <v/>
      </c>
    </row>
    <row r="422" customFormat="false" ht="15" hidden="false" customHeight="false" outlineLevel="0" collapsed="false">
      <c r="A422" s="45" t="n">
        <v>46309</v>
      </c>
      <c r="B422" s="0" t="n">
        <v>2</v>
      </c>
      <c r="C422" s="0" t="n">
        <v>4140</v>
      </c>
      <c r="D422" s="0" t="n">
        <v>182</v>
      </c>
      <c r="E422" s="0" t="n">
        <v>3</v>
      </c>
      <c r="F422" s="39" t="s">
        <v>438</v>
      </c>
      <c r="G422" s="0" t="n">
        <v>38</v>
      </c>
      <c r="H422" s="0" t="n">
        <v>46</v>
      </c>
      <c r="I422" s="39" t="s">
        <v>138</v>
      </c>
      <c r="J422" s="0" t="n">
        <v>182</v>
      </c>
      <c r="K422" s="0" t="n">
        <v>98</v>
      </c>
      <c r="M422" s="0" t="n">
        <v>965.11</v>
      </c>
      <c r="N422" s="0" t="n">
        <v>12.15</v>
      </c>
      <c r="O422" s="0" t="n">
        <v>30.54</v>
      </c>
      <c r="P422" s="0" t="n">
        <v>2.49</v>
      </c>
      <c r="Q422" s="0" t="n">
        <v>3.56</v>
      </c>
      <c r="R422" s="0" t="n">
        <v>4915</v>
      </c>
      <c r="S422" s="0" t="n">
        <v>10080</v>
      </c>
      <c r="T422" s="0" t="n">
        <v>54.75</v>
      </c>
      <c r="U422" s="0" t="n">
        <v>1526</v>
      </c>
      <c r="V422" s="0" t="n">
        <v>3</v>
      </c>
      <c r="W422" s="39" t="n">
        <f aca="false">IF(I422="Male",0,1)</f>
        <v>1</v>
      </c>
      <c r="X422" s="39" t="n">
        <f aca="false">IF(OR(I422="DNB",I422="Dry DNB"),1,0)</f>
        <v>0</v>
      </c>
      <c r="Y422" s="39" t="n">
        <f aca="false">MATCH(A422,DATAS,0)</f>
        <v>1</v>
      </c>
      <c r="Z422" s="39" t="n">
        <f aca="false">IF(AND(E422&gt;0,OR(AND(B422&gt;=1,B422&lt;=6),B422=10)),1,0)</f>
        <v>1</v>
      </c>
      <c r="AA422" s="39" t="n">
        <f aca="false">IF(AND(E422&gt;0,B422=10),1,0)</f>
        <v>0</v>
      </c>
      <c r="AB422" s="0" t="str">
        <f aca="false">IF(AND(C421=C422,Y421=Y422-1),Z421,"")</f>
        <v/>
      </c>
      <c r="AC422" s="0" t="str">
        <f aca="false">IF(AND(C421=C422,Y421=Y422-1),AA421,"")</f>
        <v/>
      </c>
      <c r="AD422" s="0" t="str">
        <f aca="false">IF(Y422=1,"",IF(AND(Z422=1,AB422&lt;&gt;1),1,0))</f>
        <v/>
      </c>
      <c r="AE422" s="0" t="str">
        <f aca="false">IF(Y422=1,"",IF(AND(AA422=1,AC422&lt;&gt;1),1,0))</f>
        <v/>
      </c>
      <c r="AF422" s="45" t="str">
        <f aca="false">IF(AND(E422&gt;0,Y422&lt;1,NOT(AND(C423=C422,Y423=Y422+1))),INDEX(DATAS,Y422+1),"")</f>
        <v/>
      </c>
      <c r="AG422" s="45" t="str">
        <f aca="false">IF(AND(AA422=1,Y422&lt;1),IF(AND(C423=C422,Y423=Y422+1),IF(AA423=1,"",INDEX(DATAS,Y422+1)),INDEX(DATAS,Y422+1)),"")</f>
        <v/>
      </c>
    </row>
    <row r="423" customFormat="false" ht="15" hidden="false" customHeight="false" outlineLevel="0" collapsed="false">
      <c r="A423" s="45" t="n">
        <v>46309</v>
      </c>
      <c r="B423" s="0" t="n">
        <v>3</v>
      </c>
      <c r="C423" s="0" t="n">
        <v>4141</v>
      </c>
      <c r="D423" s="0" t="n">
        <v>12</v>
      </c>
      <c r="E423" s="0" t="n">
        <v>3</v>
      </c>
      <c r="F423" s="39" t="s">
        <v>438</v>
      </c>
      <c r="G423" s="0" t="n">
        <v>62.7</v>
      </c>
      <c r="H423" s="0" t="n">
        <v>55</v>
      </c>
      <c r="I423" s="39" t="s">
        <v>118</v>
      </c>
      <c r="J423" s="0" t="n">
        <v>12</v>
      </c>
      <c r="M423" s="0" t="n">
        <v>454.67</v>
      </c>
      <c r="N423" s="0" t="n">
        <v>54.08</v>
      </c>
      <c r="O423" s="0" t="n">
        <v>26.05</v>
      </c>
      <c r="R423" s="0" t="n">
        <v>4233</v>
      </c>
      <c r="S423" s="0" t="n">
        <v>8509</v>
      </c>
      <c r="U423" s="0" t="n">
        <v>1526</v>
      </c>
      <c r="V423" s="0" t="n">
        <v>0</v>
      </c>
      <c r="W423" s="39" t="n">
        <f aca="false">IF(I423="Male",0,1)</f>
        <v>1</v>
      </c>
      <c r="X423" s="39" t="n">
        <f aca="false">IF(OR(I423="DNB",I423="Dry DNB"),1,0)</f>
        <v>0</v>
      </c>
      <c r="Y423" s="39" t="n">
        <f aca="false">MATCH(A423,DATAS,0)</f>
        <v>1</v>
      </c>
      <c r="Z423" s="39" t="n">
        <f aca="false">IF(AND(E423&gt;0,OR(AND(B423&gt;=1,B423&lt;=6),B423=10)),1,0)</f>
        <v>1</v>
      </c>
      <c r="AA423" s="39" t="n">
        <f aca="false">IF(AND(E423&gt;0,B423=10),1,0)</f>
        <v>0</v>
      </c>
      <c r="AB423" s="0" t="str">
        <f aca="false">IF(AND(C422=C423,Y422=Y423-1),Z422,"")</f>
        <v/>
      </c>
      <c r="AC423" s="0" t="str">
        <f aca="false">IF(AND(C422=C423,Y422=Y423-1),AA422,"")</f>
        <v/>
      </c>
      <c r="AD423" s="0" t="str">
        <f aca="false">IF(Y423=1,"",IF(AND(Z423=1,AB423&lt;&gt;1),1,0))</f>
        <v/>
      </c>
      <c r="AE423" s="0" t="str">
        <f aca="false">IF(Y423=1,"",IF(AND(AA423=1,AC423&lt;&gt;1),1,0))</f>
        <v/>
      </c>
      <c r="AF423" s="45" t="str">
        <f aca="false">IF(AND(E423&gt;0,Y423&lt;1,NOT(AND(C424=C423,Y424=Y423+1))),INDEX(DATAS,Y423+1),"")</f>
        <v/>
      </c>
      <c r="AG423" s="45" t="str">
        <f aca="false">IF(AND(AA423=1,Y423&lt;1),IF(AND(C424=C423,Y424=Y423+1),IF(AA424=1,"",INDEX(DATAS,Y423+1)),INDEX(DATAS,Y423+1)),"")</f>
        <v/>
      </c>
    </row>
    <row r="424" customFormat="false" ht="15" hidden="false" customHeight="false" outlineLevel="0" collapsed="false">
      <c r="A424" s="45" t="n">
        <v>46309</v>
      </c>
      <c r="B424" s="0" t="n">
        <v>2</v>
      </c>
      <c r="C424" s="0" t="n">
        <v>4142</v>
      </c>
      <c r="D424" s="0" t="n">
        <v>100</v>
      </c>
      <c r="E424" s="0" t="n">
        <v>3</v>
      </c>
      <c r="F424" s="39" t="s">
        <v>438</v>
      </c>
      <c r="G424" s="0" t="n">
        <v>46.6</v>
      </c>
      <c r="H424" s="0" t="n">
        <v>47</v>
      </c>
      <c r="I424" s="39" t="s">
        <v>146</v>
      </c>
      <c r="J424" s="0" t="n">
        <v>100</v>
      </c>
      <c r="K424" s="0" t="n">
        <v>65</v>
      </c>
      <c r="M424" s="0" t="n">
        <v>1458.44</v>
      </c>
      <c r="N424" s="0" t="n">
        <v>85</v>
      </c>
      <c r="O424" s="0" t="n">
        <v>51.33</v>
      </c>
      <c r="P424" s="0" t="n">
        <v>3.47</v>
      </c>
      <c r="Q424" s="0" t="n">
        <v>2.89</v>
      </c>
      <c r="R424" s="0" t="n">
        <v>5271</v>
      </c>
      <c r="S424" s="0" t="n">
        <v>10595</v>
      </c>
      <c r="T424" s="0" t="n">
        <v>58.6</v>
      </c>
      <c r="U424" s="0" t="n">
        <v>1526</v>
      </c>
      <c r="V424" s="0" t="n">
        <v>1</v>
      </c>
      <c r="W424" s="39" t="n">
        <f aca="false">IF(I424="Male",0,1)</f>
        <v>1</v>
      </c>
      <c r="X424" s="39" t="n">
        <f aca="false">IF(OR(I424="DNB",I424="Dry DNB"),1,0)</f>
        <v>0</v>
      </c>
      <c r="Y424" s="39" t="n">
        <f aca="false">MATCH(A424,DATAS,0)</f>
        <v>1</v>
      </c>
      <c r="Z424" s="39" t="n">
        <f aca="false">IF(AND(E424&gt;0,OR(AND(B424&gt;=1,B424&lt;=6),B424=10)),1,0)</f>
        <v>1</v>
      </c>
      <c r="AA424" s="39" t="n">
        <f aca="false">IF(AND(E424&gt;0,B424=10),1,0)</f>
        <v>0</v>
      </c>
      <c r="AB424" s="0" t="str">
        <f aca="false">IF(AND(C423=C424,Y423=Y424-1),Z423,"")</f>
        <v/>
      </c>
      <c r="AC424" s="0" t="str">
        <f aca="false">IF(AND(C423=C424,Y423=Y424-1),AA423,"")</f>
        <v/>
      </c>
      <c r="AD424" s="0" t="str">
        <f aca="false">IF(Y424=1,"",IF(AND(Z424=1,AB424&lt;&gt;1),1,0))</f>
        <v/>
      </c>
      <c r="AE424" s="0" t="str">
        <f aca="false">IF(Y424=1,"",IF(AND(AA424=1,AC424&lt;&gt;1),1,0))</f>
        <v/>
      </c>
      <c r="AF424" s="45" t="str">
        <f aca="false">IF(AND(E424&gt;0,Y424&lt;1,NOT(AND(C425=C424,Y425=Y424+1))),INDEX(DATAS,Y424+1),"")</f>
        <v/>
      </c>
      <c r="AG424" s="45" t="str">
        <f aca="false">IF(AND(AA424=1,Y424&lt;1),IF(AND(C425=C424,Y425=Y424+1),IF(AA425=1,"",INDEX(DATAS,Y424+1)),INDEX(DATAS,Y424+1)),"")</f>
        <v/>
      </c>
    </row>
    <row r="425" customFormat="false" ht="15" hidden="false" customHeight="false" outlineLevel="0" collapsed="false">
      <c r="A425" s="45" t="n">
        <v>46309</v>
      </c>
      <c r="B425" s="0" t="n">
        <v>5</v>
      </c>
      <c r="C425" s="0" t="n">
        <v>4145</v>
      </c>
      <c r="D425" s="0" t="n">
        <v>419</v>
      </c>
      <c r="E425" s="0" t="n">
        <v>2</v>
      </c>
      <c r="F425" s="39" t="s">
        <v>439</v>
      </c>
      <c r="G425" s="0" t="n">
        <v>35.2</v>
      </c>
      <c r="H425" s="0" t="n">
        <v>30</v>
      </c>
      <c r="I425" s="39" t="s">
        <v>138</v>
      </c>
      <c r="J425" s="0" t="n">
        <v>419</v>
      </c>
      <c r="K425" s="0" t="n">
        <v>69</v>
      </c>
      <c r="M425" s="0" t="n">
        <v>601.44</v>
      </c>
      <c r="N425" s="0" t="n">
        <v>63.47</v>
      </c>
      <c r="O425" s="0" t="n">
        <v>43.2</v>
      </c>
      <c r="P425" s="0" t="n">
        <v>4.74</v>
      </c>
      <c r="Q425" s="0" t="n">
        <v>4.31</v>
      </c>
      <c r="R425" s="0" t="n">
        <v>5544</v>
      </c>
      <c r="S425" s="0" t="n">
        <v>10642</v>
      </c>
      <c r="T425" s="0" t="n">
        <v>59.65</v>
      </c>
      <c r="U425" s="0" t="n">
        <v>1525</v>
      </c>
      <c r="V425" s="0" t="n">
        <v>8</v>
      </c>
      <c r="W425" s="39" t="n">
        <f aca="false">IF(I425="Male",0,1)</f>
        <v>1</v>
      </c>
      <c r="X425" s="39" t="n">
        <f aca="false">IF(OR(I425="DNB",I425="Dry DNB"),1,0)</f>
        <v>0</v>
      </c>
      <c r="Y425" s="39" t="n">
        <f aca="false">MATCH(A425,DATAS,0)</f>
        <v>1</v>
      </c>
      <c r="Z425" s="39" t="n">
        <f aca="false">IF(AND(E425&gt;0,OR(AND(B425&gt;=1,B425&lt;=6),B425=10)),1,0)</f>
        <v>1</v>
      </c>
      <c r="AA425" s="39" t="n">
        <f aca="false">IF(AND(E425&gt;0,B425=10),1,0)</f>
        <v>0</v>
      </c>
      <c r="AB425" s="0" t="str">
        <f aca="false">IF(AND(C424=C425,Y424=Y425-1),Z424,"")</f>
        <v/>
      </c>
      <c r="AC425" s="0" t="str">
        <f aca="false">IF(AND(C424=C425,Y424=Y425-1),AA424,"")</f>
        <v/>
      </c>
      <c r="AD425" s="0" t="str">
        <f aca="false">IF(Y425=1,"",IF(AND(Z425=1,AB425&lt;&gt;1),1,0))</f>
        <v/>
      </c>
      <c r="AE425" s="0" t="str">
        <f aca="false">IF(Y425=1,"",IF(AND(AA425=1,AC425&lt;&gt;1),1,0))</f>
        <v/>
      </c>
      <c r="AF425" s="45" t="str">
        <f aca="false">IF(AND(E425&gt;0,Y425&lt;1,NOT(AND(C426=C425,Y426=Y425+1))),INDEX(DATAS,Y425+1),"")</f>
        <v/>
      </c>
      <c r="AG425" s="45" t="str">
        <f aca="false">IF(AND(AA425=1,Y425&lt;1),IF(AND(C426=C425,Y426=Y425+1),IF(AA426=1,"",INDEX(DATAS,Y425+1)),INDEX(DATAS,Y425+1)),"")</f>
        <v/>
      </c>
    </row>
    <row r="426" customFormat="false" ht="15" hidden="false" customHeight="false" outlineLevel="0" collapsed="false">
      <c r="A426" s="45" t="n">
        <v>46309</v>
      </c>
      <c r="B426" s="0" t="n">
        <v>14</v>
      </c>
      <c r="C426" s="0" t="n">
        <v>4148</v>
      </c>
      <c r="D426" s="0" t="n">
        <v>328</v>
      </c>
      <c r="E426" s="0" t="n">
        <v>2</v>
      </c>
      <c r="F426" s="39" t="s">
        <v>439</v>
      </c>
      <c r="I426" s="39" t="s">
        <v>114</v>
      </c>
      <c r="J426" s="0" t="n">
        <v>224</v>
      </c>
      <c r="K426" s="0" t="n">
        <v>63</v>
      </c>
      <c r="L426" s="0" t="n">
        <v>273</v>
      </c>
      <c r="M426" s="0" t="n">
        <v>736.67</v>
      </c>
      <c r="N426" s="0" t="n">
        <v>52.58</v>
      </c>
      <c r="O426" s="0" t="n">
        <v>29.1</v>
      </c>
      <c r="P426" s="0" t="n">
        <v>4.37</v>
      </c>
      <c r="Q426" s="0" t="n">
        <v>3.72</v>
      </c>
      <c r="R426" s="0" t="n">
        <v>5776</v>
      </c>
      <c r="S426" s="0" t="n">
        <v>10162</v>
      </c>
      <c r="T426" s="0" t="n">
        <v>53.15</v>
      </c>
      <c r="U426" s="0" t="n">
        <v>1525</v>
      </c>
      <c r="V426" s="0" t="n">
        <v>6</v>
      </c>
      <c r="W426" s="39" t="n">
        <f aca="false">IF(I426="Male",0,1)</f>
        <v>1</v>
      </c>
      <c r="X426" s="39" t="n">
        <f aca="false">IF(OR(I426="DNB",I426="Dry DNB"),1,0)</f>
        <v>0</v>
      </c>
      <c r="Y426" s="39" t="n">
        <f aca="false">MATCH(A426,DATAS,0)</f>
        <v>1</v>
      </c>
      <c r="Z426" s="39" t="n">
        <f aca="false">IF(AND(E426&gt;0,OR(AND(B426&gt;=1,B426&lt;=6),B426=10)),1,0)</f>
        <v>0</v>
      </c>
      <c r="AA426" s="39" t="n">
        <f aca="false">IF(AND(E426&gt;0,B426=10),1,0)</f>
        <v>0</v>
      </c>
      <c r="AB426" s="0" t="str">
        <f aca="false">IF(AND(C425=C426,Y425=Y426-1),Z425,"")</f>
        <v/>
      </c>
      <c r="AC426" s="0" t="str">
        <f aca="false">IF(AND(C425=C426,Y425=Y426-1),AA425,"")</f>
        <v/>
      </c>
      <c r="AD426" s="0" t="str">
        <f aca="false">IF(Y426=1,"",IF(AND(Z426=1,AB426&lt;&gt;1),1,0))</f>
        <v/>
      </c>
      <c r="AE426" s="0" t="str">
        <f aca="false">IF(Y426=1,"",IF(AND(AA426=1,AC426&lt;&gt;1),1,0))</f>
        <v/>
      </c>
      <c r="AF426" s="45" t="str">
        <f aca="false">IF(AND(E426&gt;0,Y426&lt;1,NOT(AND(C427=C426,Y427=Y426+1))),INDEX(DATAS,Y426+1),"")</f>
        <v/>
      </c>
      <c r="AG426" s="45" t="str">
        <f aca="false">IF(AND(AA426=1,Y426&lt;1),IF(AND(C427=C426,Y427=Y426+1),IF(AA427=1,"",INDEX(DATAS,Y426+1)),INDEX(DATAS,Y426+1)),"")</f>
        <v/>
      </c>
    </row>
    <row r="427" customFormat="false" ht="15" hidden="false" customHeight="false" outlineLevel="0" collapsed="false">
      <c r="A427" s="45" t="n">
        <v>46309</v>
      </c>
      <c r="B427" s="0" t="n">
        <v>5</v>
      </c>
      <c r="C427" s="0" t="n">
        <v>4154</v>
      </c>
      <c r="D427" s="0" t="n">
        <v>120</v>
      </c>
      <c r="E427" s="0" t="n">
        <v>3</v>
      </c>
      <c r="F427" s="39" t="s">
        <v>439</v>
      </c>
      <c r="G427" s="0" t="n">
        <v>37.2</v>
      </c>
      <c r="H427" s="0" t="n">
        <v>38</v>
      </c>
      <c r="I427" s="39" t="s">
        <v>146</v>
      </c>
      <c r="J427" s="0" t="n">
        <v>120</v>
      </c>
      <c r="K427" s="0" t="n">
        <v>78</v>
      </c>
      <c r="M427" s="0" t="n">
        <v>958.19</v>
      </c>
      <c r="N427" s="0" t="n">
        <v>39.33</v>
      </c>
      <c r="O427" s="0" t="n">
        <v>26.71</v>
      </c>
      <c r="P427" s="0" t="n">
        <v>2.86</v>
      </c>
      <c r="Q427" s="0" t="n">
        <v>3.35</v>
      </c>
      <c r="R427" s="0" t="n">
        <v>5282</v>
      </c>
      <c r="S427" s="0" t="n">
        <v>10462</v>
      </c>
      <c r="T427" s="0" t="n">
        <v>57.65</v>
      </c>
      <c r="U427" s="0" t="n">
        <v>1525</v>
      </c>
      <c r="V427" s="0" t="n">
        <v>1</v>
      </c>
      <c r="W427" s="39" t="n">
        <f aca="false">IF(I427="Male",0,1)</f>
        <v>1</v>
      </c>
      <c r="X427" s="39" t="n">
        <f aca="false">IF(OR(I427="DNB",I427="Dry DNB"),1,0)</f>
        <v>0</v>
      </c>
      <c r="Y427" s="39" t="n">
        <f aca="false">MATCH(A427,DATAS,0)</f>
        <v>1</v>
      </c>
      <c r="Z427" s="39" t="n">
        <f aca="false">IF(AND(E427&gt;0,OR(AND(B427&gt;=1,B427&lt;=6),B427=10)),1,0)</f>
        <v>1</v>
      </c>
      <c r="AA427" s="39" t="n">
        <f aca="false">IF(AND(E427&gt;0,B427=10),1,0)</f>
        <v>0</v>
      </c>
      <c r="AB427" s="0" t="str">
        <f aca="false">IF(AND(C426=C427,Y426=Y427-1),Z426,"")</f>
        <v/>
      </c>
      <c r="AC427" s="0" t="str">
        <f aca="false">IF(AND(C426=C427,Y426=Y427-1),AA426,"")</f>
        <v/>
      </c>
      <c r="AD427" s="0" t="str">
        <f aca="false">IF(Y427=1,"",IF(AND(Z427=1,AB427&lt;&gt;1),1,0))</f>
        <v/>
      </c>
      <c r="AE427" s="0" t="str">
        <f aca="false">IF(Y427=1,"",IF(AND(AA427=1,AC427&lt;&gt;1),1,0))</f>
        <v/>
      </c>
      <c r="AF427" s="45" t="str">
        <f aca="false">IF(AND(E427&gt;0,Y427&lt;1,NOT(AND(C428=C427,Y428=Y427+1))),INDEX(DATAS,Y427+1),"")</f>
        <v/>
      </c>
      <c r="AG427" s="45" t="str">
        <f aca="false">IF(AND(AA427=1,Y427&lt;1),IF(AND(C428=C427,Y428=Y427+1),IF(AA428=1,"",INDEX(DATAS,Y427+1)),INDEX(DATAS,Y427+1)),"")</f>
        <v/>
      </c>
    </row>
    <row r="428" customFormat="false" ht="15" hidden="false" customHeight="false" outlineLevel="0" collapsed="false">
      <c r="A428" s="45" t="n">
        <v>46309</v>
      </c>
      <c r="B428" s="0" t="n">
        <v>7</v>
      </c>
      <c r="C428" s="0" t="n">
        <v>4155</v>
      </c>
      <c r="D428" s="0" t="n">
        <v>488</v>
      </c>
      <c r="E428" s="0" t="n">
        <v>2</v>
      </c>
      <c r="F428" s="39" t="s">
        <v>440</v>
      </c>
      <c r="I428" s="39" t="s">
        <v>114</v>
      </c>
      <c r="J428" s="0" t="n">
        <v>433</v>
      </c>
      <c r="K428" s="0" t="n">
        <v>62</v>
      </c>
      <c r="L428" s="0" t="n">
        <v>84</v>
      </c>
      <c r="M428" s="0" t="n">
        <v>151.16</v>
      </c>
      <c r="N428" s="0" t="n">
        <v>53.06</v>
      </c>
      <c r="O428" s="0" t="n">
        <v>16.26</v>
      </c>
      <c r="P428" s="0" t="n">
        <v>6.46</v>
      </c>
      <c r="Q428" s="0" t="n">
        <v>4.41</v>
      </c>
      <c r="R428" s="0" t="n">
        <v>6029</v>
      </c>
      <c r="S428" s="0" t="n">
        <v>10989</v>
      </c>
      <c r="T428" s="0" t="n">
        <v>63.1</v>
      </c>
      <c r="U428" s="0" t="n">
        <v>1523</v>
      </c>
      <c r="V428" s="0" t="n">
        <v>10</v>
      </c>
      <c r="W428" s="39" t="n">
        <f aca="false">IF(I428="Male",0,1)</f>
        <v>1</v>
      </c>
      <c r="X428" s="39" t="n">
        <f aca="false">IF(OR(I428="DNB",I428="Dry DNB"),1,0)</f>
        <v>0</v>
      </c>
      <c r="Y428" s="39" t="n">
        <f aca="false">MATCH(A428,DATAS,0)</f>
        <v>1</v>
      </c>
      <c r="Z428" s="39" t="n">
        <f aca="false">IF(AND(E428&gt;0,OR(AND(B428&gt;=1,B428&lt;=6),B428=10)),1,0)</f>
        <v>0</v>
      </c>
      <c r="AA428" s="39" t="n">
        <f aca="false">IF(AND(E428&gt;0,B428=10),1,0)</f>
        <v>0</v>
      </c>
      <c r="AB428" s="0" t="str">
        <f aca="false">IF(AND(C427=C428,Y427=Y428-1),Z427,"")</f>
        <v/>
      </c>
      <c r="AC428" s="0" t="str">
        <f aca="false">IF(AND(C427=C428,Y427=Y428-1),AA427,"")</f>
        <v/>
      </c>
      <c r="AD428" s="0" t="str">
        <f aca="false">IF(Y428=1,"",IF(AND(Z428=1,AB428&lt;&gt;1),1,0))</f>
        <v/>
      </c>
      <c r="AE428" s="0" t="str">
        <f aca="false">IF(Y428=1,"",IF(AND(AA428=1,AC428&lt;&gt;1),1,0))</f>
        <v/>
      </c>
      <c r="AF428" s="45" t="str">
        <f aca="false">IF(AND(E428&gt;0,Y428&lt;1,NOT(AND(C429=C428,Y429=Y428+1))),INDEX(DATAS,Y428+1),"")</f>
        <v/>
      </c>
      <c r="AG428" s="45" t="str">
        <f aca="false">IF(AND(AA428=1,Y428&lt;1),IF(AND(C429=C428,Y429=Y428+1),IF(AA429=1,"",INDEX(DATAS,Y428+1)),INDEX(DATAS,Y428+1)),"")</f>
        <v/>
      </c>
    </row>
    <row r="429" customFormat="false" ht="15" hidden="false" customHeight="false" outlineLevel="0" collapsed="false">
      <c r="A429" s="45" t="n">
        <v>46309</v>
      </c>
      <c r="B429" s="0" t="n">
        <v>3</v>
      </c>
      <c r="C429" s="0" t="n">
        <v>4156</v>
      </c>
      <c r="D429" s="0" t="n">
        <v>164</v>
      </c>
      <c r="E429" s="0" t="n">
        <v>3</v>
      </c>
      <c r="F429" s="39" t="s">
        <v>440</v>
      </c>
      <c r="G429" s="0" t="n">
        <v>58.1</v>
      </c>
      <c r="H429" s="0" t="n">
        <v>58</v>
      </c>
      <c r="I429" s="39" t="s">
        <v>109</v>
      </c>
      <c r="J429" s="0" t="n">
        <v>66</v>
      </c>
      <c r="K429" s="0" t="n">
        <v>66</v>
      </c>
      <c r="L429" s="0" t="n">
        <v>98</v>
      </c>
      <c r="M429" s="0" t="n">
        <v>595.29</v>
      </c>
      <c r="N429" s="0" t="n">
        <v>62.02</v>
      </c>
      <c r="O429" s="0" t="n">
        <v>26.07</v>
      </c>
      <c r="P429" s="0" t="n">
        <v>3.3</v>
      </c>
      <c r="Q429" s="0" t="n">
        <v>3.59</v>
      </c>
      <c r="R429" s="0" t="n">
        <v>6048</v>
      </c>
      <c r="S429" s="0" t="n">
        <v>12101</v>
      </c>
      <c r="T429" s="0" t="n">
        <v>64.15</v>
      </c>
      <c r="U429" s="0" t="n">
        <v>1523</v>
      </c>
      <c r="V429" s="0" t="n">
        <v>1</v>
      </c>
      <c r="W429" s="39" t="n">
        <f aca="false">IF(I429="Male",0,1)</f>
        <v>1</v>
      </c>
      <c r="X429" s="39" t="n">
        <f aca="false">IF(OR(I429="DNB",I429="Dry DNB"),1,0)</f>
        <v>0</v>
      </c>
      <c r="Y429" s="39" t="n">
        <f aca="false">MATCH(A429,DATAS,0)</f>
        <v>1</v>
      </c>
      <c r="Z429" s="39" t="n">
        <f aca="false">IF(AND(E429&gt;0,OR(AND(B429&gt;=1,B429&lt;=6),B429=10)),1,0)</f>
        <v>1</v>
      </c>
      <c r="AA429" s="39" t="n">
        <f aca="false">IF(AND(E429&gt;0,B429=10),1,0)</f>
        <v>0</v>
      </c>
      <c r="AB429" s="0" t="str">
        <f aca="false">IF(AND(C428=C429,Y428=Y429-1),Z428,"")</f>
        <v/>
      </c>
      <c r="AC429" s="0" t="str">
        <f aca="false">IF(AND(C428=C429,Y428=Y429-1),AA428,"")</f>
        <v/>
      </c>
      <c r="AD429" s="0" t="str">
        <f aca="false">IF(Y429=1,"",IF(AND(Z429=1,AB429&lt;&gt;1),1,0))</f>
        <v/>
      </c>
      <c r="AE429" s="0" t="str">
        <f aca="false">IF(Y429=1,"",IF(AND(AA429=1,AC429&lt;&gt;1),1,0))</f>
        <v/>
      </c>
      <c r="AF429" s="45" t="str">
        <f aca="false">IF(AND(E429&gt;0,Y429&lt;1,NOT(AND(C430=C429,Y430=Y429+1))),INDEX(DATAS,Y429+1),"")</f>
        <v/>
      </c>
      <c r="AG429" s="45" t="str">
        <f aca="false">IF(AND(AA429=1,Y429&lt;1),IF(AND(C430=C429,Y430=Y429+1),IF(AA430=1,"",INDEX(DATAS,Y429+1)),INDEX(DATAS,Y429+1)),"")</f>
        <v/>
      </c>
    </row>
    <row r="430" customFormat="false" ht="15" hidden="false" customHeight="false" outlineLevel="0" collapsed="false">
      <c r="A430" s="45" t="n">
        <v>46309</v>
      </c>
      <c r="B430" s="0" t="n">
        <v>2</v>
      </c>
      <c r="C430" s="0" t="n">
        <v>4158</v>
      </c>
      <c r="D430" s="0" t="n">
        <v>132</v>
      </c>
      <c r="E430" s="0" t="n">
        <v>2</v>
      </c>
      <c r="F430" s="39" t="s">
        <v>440</v>
      </c>
      <c r="G430" s="0" t="n">
        <v>71</v>
      </c>
      <c r="H430" s="0" t="n">
        <v>73</v>
      </c>
      <c r="I430" s="39" t="s">
        <v>138</v>
      </c>
      <c r="J430" s="0" t="n">
        <v>132</v>
      </c>
      <c r="K430" s="0" t="n">
        <v>69</v>
      </c>
      <c r="M430" s="0" t="n">
        <v>582.45</v>
      </c>
      <c r="N430" s="0" t="n">
        <v>83.78</v>
      </c>
      <c r="O430" s="0" t="n">
        <v>30.91</v>
      </c>
      <c r="P430" s="0" t="n">
        <v>3.33</v>
      </c>
      <c r="Q430" s="0" t="n">
        <v>3.06</v>
      </c>
      <c r="R430" s="0" t="n">
        <v>7251</v>
      </c>
      <c r="S430" s="0" t="n">
        <v>14790</v>
      </c>
      <c r="T430" s="0" t="n">
        <v>76.5</v>
      </c>
      <c r="U430" s="0" t="n">
        <v>1523</v>
      </c>
      <c r="V430" s="0" t="n">
        <v>2</v>
      </c>
      <c r="W430" s="39" t="n">
        <f aca="false">IF(I430="Male",0,1)</f>
        <v>1</v>
      </c>
      <c r="X430" s="39" t="n">
        <f aca="false">IF(OR(I430="DNB",I430="Dry DNB"),1,0)</f>
        <v>0</v>
      </c>
      <c r="Y430" s="39" t="n">
        <f aca="false">MATCH(A430,DATAS,0)</f>
        <v>1</v>
      </c>
      <c r="Z430" s="39" t="n">
        <f aca="false">IF(AND(E430&gt;0,OR(AND(B430&gt;=1,B430&lt;=6),B430=10)),1,0)</f>
        <v>1</v>
      </c>
      <c r="AA430" s="39" t="n">
        <f aca="false">IF(AND(E430&gt;0,B430=10),1,0)</f>
        <v>0</v>
      </c>
      <c r="AB430" s="0" t="str">
        <f aca="false">IF(AND(C429=C430,Y429=Y430-1),Z429,"")</f>
        <v/>
      </c>
      <c r="AC430" s="0" t="str">
        <f aca="false">IF(AND(C429=C430,Y429=Y430-1),AA429,"")</f>
        <v/>
      </c>
      <c r="AD430" s="0" t="str">
        <f aca="false">IF(Y430=1,"",IF(AND(Z430=1,AB430&lt;&gt;1),1,0))</f>
        <v/>
      </c>
      <c r="AE430" s="0" t="str">
        <f aca="false">IF(Y430=1,"",IF(AND(AA430=1,AC430&lt;&gt;1),1,0))</f>
        <v/>
      </c>
      <c r="AF430" s="45" t="str">
        <f aca="false">IF(AND(E430&gt;0,Y430&lt;1,NOT(AND(C431=C430,Y431=Y430+1))),INDEX(DATAS,Y430+1),"")</f>
        <v/>
      </c>
      <c r="AG430" s="45" t="str">
        <f aca="false">IF(AND(AA430=1,Y430&lt;1),IF(AND(C431=C430,Y431=Y430+1),IF(AA431=1,"",INDEX(DATAS,Y430+1)),INDEX(DATAS,Y430+1)),"")</f>
        <v/>
      </c>
    </row>
    <row r="431" customFormat="false" ht="15" hidden="false" customHeight="false" outlineLevel="0" collapsed="false">
      <c r="A431" s="45" t="n">
        <v>46309</v>
      </c>
      <c r="B431" s="0" t="n">
        <v>6</v>
      </c>
      <c r="C431" s="0" t="n">
        <v>4159</v>
      </c>
      <c r="D431" s="0" t="n">
        <v>361</v>
      </c>
      <c r="E431" s="0" t="n">
        <v>2</v>
      </c>
      <c r="F431" s="39" t="s">
        <v>440</v>
      </c>
      <c r="G431" s="0" t="n">
        <v>26.2</v>
      </c>
      <c r="H431" s="0" t="n">
        <v>21</v>
      </c>
      <c r="I431" s="39" t="s">
        <v>109</v>
      </c>
      <c r="J431" s="0" t="n">
        <v>312</v>
      </c>
      <c r="K431" s="0" t="n">
        <v>68</v>
      </c>
      <c r="L431" s="0" t="n">
        <v>49</v>
      </c>
      <c r="M431" s="0" t="n">
        <v>307.64</v>
      </c>
      <c r="N431" s="0" t="n">
        <v>32.87</v>
      </c>
      <c r="O431" s="0" t="n">
        <v>23.75</v>
      </c>
      <c r="P431" s="0" t="n">
        <v>4.96</v>
      </c>
      <c r="Q431" s="0" t="n">
        <v>4.12</v>
      </c>
      <c r="R431" s="0" t="n">
        <v>3485</v>
      </c>
      <c r="S431" s="0" t="n">
        <v>8401</v>
      </c>
      <c r="T431" s="0" t="n">
        <v>41.75</v>
      </c>
      <c r="U431" s="0" t="n">
        <v>1523</v>
      </c>
      <c r="V431" s="0" t="n">
        <v>6</v>
      </c>
      <c r="W431" s="39" t="n">
        <f aca="false">IF(I431="Male",0,1)</f>
        <v>1</v>
      </c>
      <c r="X431" s="39" t="n">
        <f aca="false">IF(OR(I431="DNB",I431="Dry DNB"),1,0)</f>
        <v>0</v>
      </c>
      <c r="Y431" s="39" t="n">
        <f aca="false">MATCH(A431,DATAS,0)</f>
        <v>1</v>
      </c>
      <c r="Z431" s="39" t="n">
        <f aca="false">IF(AND(E431&gt;0,OR(AND(B431&gt;=1,B431&lt;=6),B431=10)),1,0)</f>
        <v>1</v>
      </c>
      <c r="AA431" s="39" t="n">
        <f aca="false">IF(AND(E431&gt;0,B431=10),1,0)</f>
        <v>0</v>
      </c>
      <c r="AB431" s="0" t="str">
        <f aca="false">IF(AND(C430=C431,Y430=Y431-1),Z430,"")</f>
        <v/>
      </c>
      <c r="AC431" s="0" t="str">
        <f aca="false">IF(AND(C430=C431,Y430=Y431-1),AA430,"")</f>
        <v/>
      </c>
      <c r="AD431" s="0" t="str">
        <f aca="false">IF(Y431=1,"",IF(AND(Z431=1,AB431&lt;&gt;1),1,0))</f>
        <v/>
      </c>
      <c r="AE431" s="0" t="str">
        <f aca="false">IF(Y431=1,"",IF(AND(AA431=1,AC431&lt;&gt;1),1,0))</f>
        <v/>
      </c>
      <c r="AF431" s="45" t="str">
        <f aca="false">IF(AND(E431&gt;0,Y431&lt;1,NOT(AND(C432=C431,Y432=Y431+1))),INDEX(DATAS,Y431+1),"")</f>
        <v/>
      </c>
      <c r="AG431" s="45" t="str">
        <f aca="false">IF(AND(AA431=1,Y431&lt;1),IF(AND(C432=C431,Y432=Y431+1),IF(AA432=1,"",INDEX(DATAS,Y431+1)),INDEX(DATAS,Y431+1)),"")</f>
        <v/>
      </c>
    </row>
    <row r="432" customFormat="false" ht="15" hidden="false" customHeight="false" outlineLevel="0" collapsed="false">
      <c r="A432" s="45" t="n">
        <v>46309</v>
      </c>
      <c r="B432" s="0" t="n">
        <v>5</v>
      </c>
      <c r="C432" s="0" t="n">
        <v>4160</v>
      </c>
      <c r="D432" s="0" t="n">
        <v>62</v>
      </c>
      <c r="E432" s="0" t="n">
        <v>3</v>
      </c>
      <c r="F432" s="39" t="s">
        <v>441</v>
      </c>
      <c r="G432" s="0" t="n">
        <v>35.9</v>
      </c>
      <c r="H432" s="0" t="n">
        <v>35</v>
      </c>
      <c r="I432" s="39" t="s">
        <v>118</v>
      </c>
      <c r="J432" s="0" t="n">
        <v>62</v>
      </c>
      <c r="M432" s="0" t="n">
        <v>7.31</v>
      </c>
      <c r="N432" s="0" t="n">
        <v>89.34</v>
      </c>
      <c r="O432" s="0" t="n">
        <v>35.22</v>
      </c>
      <c r="P432" s="0" t="n">
        <v>6.07</v>
      </c>
      <c r="Q432" s="0" t="n">
        <v>3.48</v>
      </c>
      <c r="R432" s="0" t="n">
        <v>3078</v>
      </c>
      <c r="S432" s="0" t="n">
        <v>6188</v>
      </c>
      <c r="U432" s="0" t="n">
        <v>1521</v>
      </c>
      <c r="V432" s="0" t="n">
        <v>0</v>
      </c>
      <c r="W432" s="39" t="n">
        <f aca="false">IF(I432="Male",0,1)</f>
        <v>1</v>
      </c>
      <c r="X432" s="39" t="n">
        <f aca="false">IF(OR(I432="DNB",I432="Dry DNB"),1,0)</f>
        <v>0</v>
      </c>
      <c r="Y432" s="39" t="n">
        <f aca="false">MATCH(A432,DATAS,0)</f>
        <v>1</v>
      </c>
      <c r="Z432" s="39" t="n">
        <f aca="false">IF(AND(E432&gt;0,OR(AND(B432&gt;=1,B432&lt;=6),B432=10)),1,0)</f>
        <v>1</v>
      </c>
      <c r="AA432" s="39" t="n">
        <f aca="false">IF(AND(E432&gt;0,B432=10),1,0)</f>
        <v>0</v>
      </c>
      <c r="AB432" s="0" t="str">
        <f aca="false">IF(AND(C431=C432,Y431=Y432-1),Z431,"")</f>
        <v/>
      </c>
      <c r="AC432" s="0" t="str">
        <f aca="false">IF(AND(C431=C432,Y431=Y432-1),AA431,"")</f>
        <v/>
      </c>
      <c r="AD432" s="0" t="str">
        <f aca="false">IF(Y432=1,"",IF(AND(Z432=1,AB432&lt;&gt;1),1,0))</f>
        <v/>
      </c>
      <c r="AE432" s="0" t="str">
        <f aca="false">IF(Y432=1,"",IF(AND(AA432=1,AC432&lt;&gt;1),1,0))</f>
        <v/>
      </c>
      <c r="AF432" s="45" t="str">
        <f aca="false">IF(AND(E432&gt;0,Y432&lt;1,NOT(AND(C433=C432,Y433=Y432+1))),INDEX(DATAS,Y432+1),"")</f>
        <v/>
      </c>
      <c r="AG432" s="45" t="str">
        <f aca="false">IF(AND(AA432=1,Y432&lt;1),IF(AND(C433=C432,Y433=Y432+1),IF(AA433=1,"",INDEX(DATAS,Y432+1)),INDEX(DATAS,Y432+1)),"")</f>
        <v/>
      </c>
    </row>
    <row r="433" customFormat="false" ht="15" hidden="false" customHeight="false" outlineLevel="0" collapsed="false">
      <c r="A433" s="45" t="n">
        <v>46309</v>
      </c>
      <c r="B433" s="0" t="n">
        <v>7</v>
      </c>
      <c r="C433" s="0" t="n">
        <v>4163</v>
      </c>
      <c r="D433" s="0" t="n">
        <v>412</v>
      </c>
      <c r="E433" s="0" t="n">
        <v>2</v>
      </c>
      <c r="F433" s="39" t="s">
        <v>442</v>
      </c>
      <c r="I433" s="39" t="s">
        <v>114</v>
      </c>
      <c r="J433" s="0" t="n">
        <v>258</v>
      </c>
      <c r="K433" s="0" t="n">
        <v>63</v>
      </c>
      <c r="L433" s="0" t="n">
        <v>169</v>
      </c>
      <c r="M433" s="0" t="n">
        <v>733.72</v>
      </c>
      <c r="N433" s="0" t="n">
        <v>29.98</v>
      </c>
      <c r="O433" s="0" t="n">
        <v>24.29</v>
      </c>
      <c r="P433" s="0" t="n">
        <v>4.81</v>
      </c>
      <c r="Q433" s="0" t="n">
        <v>4.09</v>
      </c>
      <c r="R433" s="0" t="n">
        <v>5929</v>
      </c>
      <c r="S433" s="0" t="n">
        <v>9939</v>
      </c>
      <c r="T433" s="0" t="n">
        <v>62.35</v>
      </c>
      <c r="U433" s="0" t="n">
        <v>1520</v>
      </c>
      <c r="V433" s="0" t="n">
        <v>5</v>
      </c>
      <c r="W433" s="39" t="n">
        <f aca="false">IF(I433="Male",0,1)</f>
        <v>1</v>
      </c>
      <c r="X433" s="39" t="n">
        <f aca="false">IF(OR(I433="DNB",I433="Dry DNB"),1,0)</f>
        <v>0</v>
      </c>
      <c r="Y433" s="39" t="n">
        <f aca="false">MATCH(A433,DATAS,0)</f>
        <v>1</v>
      </c>
      <c r="Z433" s="39" t="n">
        <f aca="false">IF(AND(E433&gt;0,OR(AND(B433&gt;=1,B433&lt;=6),B433=10)),1,0)</f>
        <v>0</v>
      </c>
      <c r="AA433" s="39" t="n">
        <f aca="false">IF(AND(E433&gt;0,B433=10),1,0)</f>
        <v>0</v>
      </c>
      <c r="AB433" s="0" t="str">
        <f aca="false">IF(AND(C432=C433,Y432=Y433-1),Z432,"")</f>
        <v/>
      </c>
      <c r="AC433" s="0" t="str">
        <f aca="false">IF(AND(C432=C433,Y432=Y433-1),AA432,"")</f>
        <v/>
      </c>
      <c r="AD433" s="0" t="str">
        <f aca="false">IF(Y433=1,"",IF(AND(Z433=1,AB433&lt;&gt;1),1,0))</f>
        <v/>
      </c>
      <c r="AE433" s="0" t="str">
        <f aca="false">IF(Y433=1,"",IF(AND(AA433=1,AC433&lt;&gt;1),1,0))</f>
        <v/>
      </c>
      <c r="AF433" s="45" t="str">
        <f aca="false">IF(AND(E433&gt;0,Y433&lt;1,NOT(AND(C434=C433,Y434=Y433+1))),INDEX(DATAS,Y433+1),"")</f>
        <v/>
      </c>
      <c r="AG433" s="45" t="str">
        <f aca="false">IF(AND(AA433=1,Y433&lt;1),IF(AND(C434=C433,Y434=Y433+1),IF(AA434=1,"",INDEX(DATAS,Y433+1)),INDEX(DATAS,Y433+1)),"")</f>
        <v/>
      </c>
    </row>
    <row r="434" customFormat="false" ht="15" hidden="false" customHeight="false" outlineLevel="0" collapsed="false">
      <c r="A434" s="45" t="n">
        <v>46309</v>
      </c>
      <c r="B434" s="0" t="n">
        <v>5</v>
      </c>
      <c r="C434" s="0" t="n">
        <v>4164</v>
      </c>
      <c r="D434" s="0" t="n">
        <v>530</v>
      </c>
      <c r="E434" s="0" t="n">
        <v>2</v>
      </c>
      <c r="F434" s="39" t="s">
        <v>442</v>
      </c>
      <c r="G434" s="0" t="n">
        <v>22.7</v>
      </c>
      <c r="H434" s="0" t="n">
        <v>22</v>
      </c>
      <c r="I434" s="39" t="s">
        <v>109</v>
      </c>
      <c r="J434" s="0" t="n">
        <v>397</v>
      </c>
      <c r="K434" s="0" t="n">
        <v>61</v>
      </c>
      <c r="L434" s="0" t="n">
        <v>133</v>
      </c>
      <c r="M434" s="0" t="n">
        <v>444.52</v>
      </c>
      <c r="N434" s="0" t="n">
        <v>47.28</v>
      </c>
      <c r="O434" s="0" t="n">
        <v>22.19</v>
      </c>
      <c r="P434" s="0" t="n">
        <v>6.14</v>
      </c>
      <c r="Q434" s="0" t="n">
        <v>4.21</v>
      </c>
      <c r="R434" s="0" t="n">
        <v>5699</v>
      </c>
      <c r="S434" s="0" t="n">
        <v>11448</v>
      </c>
      <c r="T434" s="0" t="n">
        <v>65.8</v>
      </c>
      <c r="U434" s="0" t="n">
        <v>1520</v>
      </c>
      <c r="V434" s="0" t="n">
        <v>8</v>
      </c>
      <c r="W434" s="39" t="n">
        <f aca="false">IF(I434="Male",0,1)</f>
        <v>1</v>
      </c>
      <c r="X434" s="39" t="n">
        <f aca="false">IF(OR(I434="DNB",I434="Dry DNB"),1,0)</f>
        <v>0</v>
      </c>
      <c r="Y434" s="39" t="n">
        <f aca="false">MATCH(A434,DATAS,0)</f>
        <v>1</v>
      </c>
      <c r="Z434" s="39" t="n">
        <f aca="false">IF(AND(E434&gt;0,OR(AND(B434&gt;=1,B434&lt;=6),B434=10)),1,0)</f>
        <v>1</v>
      </c>
      <c r="AA434" s="39" t="n">
        <f aca="false">IF(AND(E434&gt;0,B434=10),1,0)</f>
        <v>0</v>
      </c>
      <c r="AB434" s="0" t="str">
        <f aca="false">IF(AND(C433=C434,Y433=Y434-1),Z433,"")</f>
        <v/>
      </c>
      <c r="AC434" s="0" t="str">
        <f aca="false">IF(AND(C433=C434,Y433=Y434-1),AA433,"")</f>
        <v/>
      </c>
      <c r="AD434" s="0" t="str">
        <f aca="false">IF(Y434=1,"",IF(AND(Z434=1,AB434&lt;&gt;1),1,0))</f>
        <v/>
      </c>
      <c r="AE434" s="0" t="str">
        <f aca="false">IF(Y434=1,"",IF(AND(AA434=1,AC434&lt;&gt;1),1,0))</f>
        <v/>
      </c>
      <c r="AF434" s="45" t="str">
        <f aca="false">IF(AND(E434&gt;0,Y434&lt;1,NOT(AND(C435=C434,Y435=Y434+1))),INDEX(DATAS,Y434+1),"")</f>
        <v/>
      </c>
      <c r="AG434" s="45" t="str">
        <f aca="false">IF(AND(AA434=1,Y434&lt;1),IF(AND(C435=C434,Y435=Y434+1),IF(AA435=1,"",INDEX(DATAS,Y434+1)),INDEX(DATAS,Y434+1)),"")</f>
        <v/>
      </c>
    </row>
    <row r="435" customFormat="false" ht="15" hidden="false" customHeight="false" outlineLevel="0" collapsed="false">
      <c r="A435" s="45" t="n">
        <v>46309</v>
      </c>
      <c r="B435" s="0" t="n">
        <v>5</v>
      </c>
      <c r="C435" s="0" t="n">
        <v>4166</v>
      </c>
      <c r="D435" s="0" t="n">
        <v>100</v>
      </c>
      <c r="E435" s="0" t="n">
        <v>3</v>
      </c>
      <c r="F435" s="39" t="s">
        <v>442</v>
      </c>
      <c r="G435" s="0" t="n">
        <v>55.2</v>
      </c>
      <c r="H435" s="0" t="n">
        <v>44</v>
      </c>
      <c r="I435" s="39" t="s">
        <v>109</v>
      </c>
      <c r="J435" s="0" t="n">
        <v>65</v>
      </c>
      <c r="K435" s="0" t="n">
        <v>65</v>
      </c>
      <c r="L435" s="0" t="n">
        <v>35</v>
      </c>
      <c r="M435" s="0" t="n">
        <v>788.12</v>
      </c>
      <c r="N435" s="0" t="n">
        <v>27.07</v>
      </c>
      <c r="O435" s="0" t="n">
        <v>25.87</v>
      </c>
      <c r="P435" s="0" t="n">
        <v>3.07</v>
      </c>
      <c r="Q435" s="0" t="n">
        <v>3.47</v>
      </c>
      <c r="R435" s="0" t="n">
        <v>3710</v>
      </c>
      <c r="S435" s="0" t="n">
        <v>7458</v>
      </c>
      <c r="T435" s="0" t="n">
        <v>41.7</v>
      </c>
      <c r="U435" s="0" t="n">
        <v>1520</v>
      </c>
      <c r="V435" s="0" t="n">
        <v>1</v>
      </c>
      <c r="W435" s="39" t="n">
        <f aca="false">IF(I435="Male",0,1)</f>
        <v>1</v>
      </c>
      <c r="X435" s="39" t="n">
        <f aca="false">IF(OR(I435="DNB",I435="Dry DNB"),1,0)</f>
        <v>0</v>
      </c>
      <c r="Y435" s="39" t="n">
        <f aca="false">MATCH(A435,DATAS,0)</f>
        <v>1</v>
      </c>
      <c r="Z435" s="39" t="n">
        <f aca="false">IF(AND(E435&gt;0,OR(AND(B435&gt;=1,B435&lt;=6),B435=10)),1,0)</f>
        <v>1</v>
      </c>
      <c r="AA435" s="39" t="n">
        <f aca="false">IF(AND(E435&gt;0,B435=10),1,0)</f>
        <v>0</v>
      </c>
      <c r="AB435" s="0" t="str">
        <f aca="false">IF(AND(C434=C435,Y434=Y435-1),Z434,"")</f>
        <v/>
      </c>
      <c r="AC435" s="0" t="str">
        <f aca="false">IF(AND(C434=C435,Y434=Y435-1),AA434,"")</f>
        <v/>
      </c>
      <c r="AD435" s="0" t="str">
        <f aca="false">IF(Y435=1,"",IF(AND(Z435=1,AB435&lt;&gt;1),1,0))</f>
        <v/>
      </c>
      <c r="AE435" s="0" t="str">
        <f aca="false">IF(Y435=1,"",IF(AND(AA435=1,AC435&lt;&gt;1),1,0))</f>
        <v/>
      </c>
      <c r="AF435" s="45" t="str">
        <f aca="false">IF(AND(E435&gt;0,Y435&lt;1,NOT(AND(C436=C435,Y436=Y435+1))),INDEX(DATAS,Y435+1),"")</f>
        <v/>
      </c>
      <c r="AG435" s="45" t="str">
        <f aca="false">IF(AND(AA435=1,Y435&lt;1),IF(AND(C436=C435,Y436=Y435+1),IF(AA436=1,"",INDEX(DATAS,Y435+1)),INDEX(DATAS,Y435+1)),"")</f>
        <v/>
      </c>
    </row>
    <row r="436" customFormat="false" ht="15" hidden="false" customHeight="false" outlineLevel="0" collapsed="false">
      <c r="A436" s="45" t="n">
        <v>46309</v>
      </c>
      <c r="B436" s="0" t="n">
        <v>2</v>
      </c>
      <c r="C436" s="0" t="n">
        <v>4169</v>
      </c>
      <c r="D436" s="0" t="n">
        <v>26</v>
      </c>
      <c r="E436" s="0" t="n">
        <v>3</v>
      </c>
      <c r="F436" s="39" t="s">
        <v>442</v>
      </c>
      <c r="G436" s="0" t="n">
        <v>37.8</v>
      </c>
      <c r="H436" s="0" t="n">
        <v>38</v>
      </c>
      <c r="I436" s="39" t="s">
        <v>118</v>
      </c>
      <c r="J436" s="0" t="n">
        <v>26</v>
      </c>
      <c r="M436" s="0" t="n">
        <v>456.57</v>
      </c>
      <c r="N436" s="0" t="n">
        <v>44.99</v>
      </c>
      <c r="O436" s="0" t="n">
        <v>27.26</v>
      </c>
      <c r="R436" s="0" t="n">
        <v>2820</v>
      </c>
      <c r="S436" s="0" t="n">
        <v>5669</v>
      </c>
      <c r="U436" s="0" t="n">
        <v>1520</v>
      </c>
      <c r="V436" s="0" t="n">
        <v>0</v>
      </c>
      <c r="W436" s="39" t="n">
        <f aca="false">IF(I436="Male",0,1)</f>
        <v>1</v>
      </c>
      <c r="X436" s="39" t="n">
        <f aca="false">IF(OR(I436="DNB",I436="Dry DNB"),1,0)</f>
        <v>0</v>
      </c>
      <c r="Y436" s="39" t="n">
        <f aca="false">MATCH(A436,DATAS,0)</f>
        <v>1</v>
      </c>
      <c r="Z436" s="39" t="n">
        <f aca="false">IF(AND(E436&gt;0,OR(AND(B436&gt;=1,B436&lt;=6),B436=10)),1,0)</f>
        <v>1</v>
      </c>
      <c r="AA436" s="39" t="n">
        <f aca="false">IF(AND(E436&gt;0,B436=10),1,0)</f>
        <v>0</v>
      </c>
      <c r="AB436" s="0" t="str">
        <f aca="false">IF(AND(C435=C436,Y435=Y436-1),Z435,"")</f>
        <v/>
      </c>
      <c r="AC436" s="0" t="str">
        <f aca="false">IF(AND(C435=C436,Y435=Y436-1),AA435,"")</f>
        <v/>
      </c>
      <c r="AD436" s="0" t="str">
        <f aca="false">IF(Y436=1,"",IF(AND(Z436=1,AB436&lt;&gt;1),1,0))</f>
        <v/>
      </c>
      <c r="AE436" s="0" t="str">
        <f aca="false">IF(Y436=1,"",IF(AND(AA436=1,AC436&lt;&gt;1),1,0))</f>
        <v/>
      </c>
      <c r="AF436" s="45" t="str">
        <f aca="false">IF(AND(E436&gt;0,Y436&lt;1,NOT(AND(C437=C436,Y437=Y436+1))),INDEX(DATAS,Y436+1),"")</f>
        <v/>
      </c>
      <c r="AG436" s="45" t="str">
        <f aca="false">IF(AND(AA436=1,Y436&lt;1),IF(AND(C437=C436,Y437=Y436+1),IF(AA437=1,"",INDEX(DATAS,Y436+1)),INDEX(DATAS,Y436+1)),"")</f>
        <v/>
      </c>
    </row>
    <row r="437" customFormat="false" ht="15" hidden="false" customHeight="false" outlineLevel="0" collapsed="false">
      <c r="A437" s="45" t="n">
        <v>46309</v>
      </c>
      <c r="B437" s="0" t="n">
        <v>6</v>
      </c>
      <c r="C437" s="0" t="n">
        <v>4173</v>
      </c>
      <c r="D437" s="0" t="n">
        <v>161</v>
      </c>
      <c r="E437" s="0" t="n">
        <v>3</v>
      </c>
      <c r="F437" s="39" t="s">
        <v>443</v>
      </c>
      <c r="G437" s="0" t="n">
        <v>24.5</v>
      </c>
      <c r="H437" s="0" t="n">
        <v>22</v>
      </c>
      <c r="I437" s="39" t="s">
        <v>109</v>
      </c>
      <c r="J437" s="0" t="n">
        <v>85</v>
      </c>
      <c r="K437" s="0" t="n">
        <v>63</v>
      </c>
      <c r="L437" s="0" t="n">
        <v>76</v>
      </c>
      <c r="M437" s="0" t="n">
        <v>711.02</v>
      </c>
      <c r="N437" s="0" t="n">
        <v>27.43</v>
      </c>
      <c r="O437" s="0" t="n">
        <v>24.75</v>
      </c>
      <c r="P437" s="0" t="n">
        <v>3.39</v>
      </c>
      <c r="Q437" s="0" t="n">
        <v>3.52</v>
      </c>
      <c r="R437" s="0" t="n">
        <v>3582</v>
      </c>
      <c r="S437" s="0" t="n">
        <v>7402</v>
      </c>
      <c r="T437" s="0" t="n">
        <v>37.3</v>
      </c>
      <c r="U437" s="0" t="n">
        <v>1518</v>
      </c>
      <c r="V437" s="0" t="n">
        <v>2</v>
      </c>
      <c r="W437" s="39" t="n">
        <f aca="false">IF(I437="Male",0,1)</f>
        <v>1</v>
      </c>
      <c r="X437" s="39" t="n">
        <f aca="false">IF(OR(I437="DNB",I437="Dry DNB"),1,0)</f>
        <v>0</v>
      </c>
      <c r="Y437" s="39" t="n">
        <f aca="false">MATCH(A437,DATAS,0)</f>
        <v>1</v>
      </c>
      <c r="Z437" s="39" t="n">
        <f aca="false">IF(AND(E437&gt;0,OR(AND(B437&gt;=1,B437&lt;=6),B437=10)),1,0)</f>
        <v>1</v>
      </c>
      <c r="AA437" s="39" t="n">
        <f aca="false">IF(AND(E437&gt;0,B437=10),1,0)</f>
        <v>0</v>
      </c>
      <c r="AB437" s="0" t="str">
        <f aca="false">IF(AND(C436=C437,Y436=Y437-1),Z436,"")</f>
        <v/>
      </c>
      <c r="AC437" s="0" t="str">
        <f aca="false">IF(AND(C436=C437,Y436=Y437-1),AA436,"")</f>
        <v/>
      </c>
      <c r="AD437" s="0" t="str">
        <f aca="false">IF(Y437=1,"",IF(AND(Z437=1,AB437&lt;&gt;1),1,0))</f>
        <v/>
      </c>
      <c r="AE437" s="0" t="str">
        <f aca="false">IF(Y437=1,"",IF(AND(AA437=1,AC437&lt;&gt;1),1,0))</f>
        <v/>
      </c>
      <c r="AF437" s="45" t="str">
        <f aca="false">IF(AND(E437&gt;0,Y437&lt;1,NOT(AND(C438=C437,Y438=Y437+1))),INDEX(DATAS,Y437+1),"")</f>
        <v/>
      </c>
      <c r="AG437" s="45" t="str">
        <f aca="false">IF(AND(AA437=1,Y437&lt;1),IF(AND(C438=C437,Y438=Y437+1),IF(AA438=1,"",INDEX(DATAS,Y437+1)),INDEX(DATAS,Y437+1)),"")</f>
        <v/>
      </c>
    </row>
    <row r="438" customFormat="false" ht="15" hidden="false" customHeight="false" outlineLevel="0" collapsed="false">
      <c r="A438" s="45" t="n">
        <v>46309</v>
      </c>
      <c r="B438" s="0" t="n">
        <v>10</v>
      </c>
      <c r="C438" s="0" t="n">
        <v>4175</v>
      </c>
      <c r="D438" s="0" t="n">
        <v>118</v>
      </c>
      <c r="E438" s="0" t="n">
        <v>3</v>
      </c>
      <c r="F438" s="39" t="s">
        <v>443</v>
      </c>
      <c r="G438" s="0" t="n">
        <v>24.1</v>
      </c>
      <c r="H438" s="0" t="n">
        <v>24</v>
      </c>
      <c r="I438" s="39" t="s">
        <v>146</v>
      </c>
      <c r="J438" s="0" t="n">
        <v>118</v>
      </c>
      <c r="K438" s="0" t="n">
        <v>69</v>
      </c>
      <c r="M438" s="0" t="n">
        <v>1162.1</v>
      </c>
      <c r="N438" s="0" t="n">
        <v>38.11</v>
      </c>
      <c r="O438" s="0" t="n">
        <v>33.37</v>
      </c>
      <c r="P438" s="0" t="n">
        <v>2.44</v>
      </c>
      <c r="Q438" s="0" t="n">
        <v>2.94</v>
      </c>
      <c r="R438" s="0" t="n">
        <v>5236</v>
      </c>
      <c r="S438" s="0" t="n">
        <v>10306</v>
      </c>
      <c r="T438" s="0" t="n">
        <v>57.15</v>
      </c>
      <c r="U438" s="0" t="n">
        <v>1518</v>
      </c>
      <c r="V438" s="0" t="n">
        <v>1</v>
      </c>
      <c r="W438" s="39" t="n">
        <f aca="false">IF(I438="Male",0,1)</f>
        <v>1</v>
      </c>
      <c r="X438" s="39" t="n">
        <f aca="false">IF(OR(I438="DNB",I438="Dry DNB"),1,0)</f>
        <v>0</v>
      </c>
      <c r="Y438" s="39" t="n">
        <f aca="false">MATCH(A438,DATAS,0)</f>
        <v>1</v>
      </c>
      <c r="Z438" s="39" t="n">
        <f aca="false">IF(AND(E438&gt;0,OR(AND(B438&gt;=1,B438&lt;=6),B438=10)),1,0)</f>
        <v>1</v>
      </c>
      <c r="AA438" s="39" t="n">
        <f aca="false">IF(AND(E438&gt;0,B438=10),1,0)</f>
        <v>1</v>
      </c>
      <c r="AB438" s="0" t="str">
        <f aca="false">IF(AND(C437=C438,Y437=Y438-1),Z437,"")</f>
        <v/>
      </c>
      <c r="AC438" s="0" t="str">
        <f aca="false">IF(AND(C437=C438,Y437=Y438-1),AA437,"")</f>
        <v/>
      </c>
      <c r="AD438" s="0" t="str">
        <f aca="false">IF(Y438=1,"",IF(AND(Z438=1,AB438&lt;&gt;1),1,0))</f>
        <v/>
      </c>
      <c r="AE438" s="0" t="str">
        <f aca="false">IF(Y438=1,"",IF(AND(AA438=1,AC438&lt;&gt;1),1,0))</f>
        <v/>
      </c>
      <c r="AF438" s="45" t="str">
        <f aca="false">IF(AND(E438&gt;0,Y438&lt;1,NOT(AND(C439=C438,Y439=Y438+1))),INDEX(DATAS,Y438+1),"")</f>
        <v/>
      </c>
      <c r="AG438" s="45" t="str">
        <f aca="false">IF(AND(AA438=1,Y438&lt;1),IF(AND(C439=C438,Y439=Y438+1),IF(AA439=1,"",INDEX(DATAS,Y438+1)),INDEX(DATAS,Y438+1)),"")</f>
        <v/>
      </c>
    </row>
    <row r="439" customFormat="false" ht="15" hidden="false" customHeight="false" outlineLevel="0" collapsed="false">
      <c r="A439" s="45" t="n">
        <v>46309</v>
      </c>
      <c r="B439" s="0" t="n">
        <v>7</v>
      </c>
      <c r="C439" s="0" t="n">
        <v>4176</v>
      </c>
      <c r="D439" s="0" t="n">
        <v>422</v>
      </c>
      <c r="E439" s="0" t="n">
        <v>2</v>
      </c>
      <c r="F439" s="39" t="s">
        <v>444</v>
      </c>
      <c r="I439" s="39" t="s">
        <v>114</v>
      </c>
      <c r="J439" s="0" t="n">
        <v>199</v>
      </c>
      <c r="K439" s="0" t="n">
        <v>59</v>
      </c>
      <c r="L439" s="0" t="n">
        <v>245</v>
      </c>
      <c r="M439" s="0" t="n">
        <v>831.98</v>
      </c>
      <c r="N439" s="0" t="n">
        <v>27.39</v>
      </c>
      <c r="O439" s="0" t="n">
        <v>29.94</v>
      </c>
      <c r="P439" s="0" t="n">
        <v>4.4</v>
      </c>
      <c r="Q439" s="0" t="n">
        <v>3.91</v>
      </c>
      <c r="R439" s="0" t="n">
        <v>6187</v>
      </c>
      <c r="S439" s="0" t="n">
        <v>12575</v>
      </c>
      <c r="T439" s="0" t="n">
        <v>71.15</v>
      </c>
      <c r="U439" s="0" t="n">
        <v>1517</v>
      </c>
      <c r="V439" s="0" t="n">
        <v>5</v>
      </c>
      <c r="W439" s="39" t="n">
        <f aca="false">IF(I439="Male",0,1)</f>
        <v>1</v>
      </c>
      <c r="X439" s="39" t="n">
        <f aca="false">IF(OR(I439="DNB",I439="Dry DNB"),1,0)</f>
        <v>0</v>
      </c>
      <c r="Y439" s="39" t="n">
        <f aca="false">MATCH(A439,DATAS,0)</f>
        <v>1</v>
      </c>
      <c r="Z439" s="39" t="n">
        <f aca="false">IF(AND(E439&gt;0,OR(AND(B439&gt;=1,B439&lt;=6),B439=10)),1,0)</f>
        <v>0</v>
      </c>
      <c r="AA439" s="39" t="n">
        <f aca="false">IF(AND(E439&gt;0,B439=10),1,0)</f>
        <v>0</v>
      </c>
      <c r="AB439" s="0" t="str">
        <f aca="false">IF(AND(C438=C439,Y438=Y439-1),Z438,"")</f>
        <v/>
      </c>
      <c r="AC439" s="0" t="str">
        <f aca="false">IF(AND(C438=C439,Y438=Y439-1),AA438,"")</f>
        <v/>
      </c>
      <c r="AD439" s="0" t="str">
        <f aca="false">IF(Y439=1,"",IF(AND(Z439=1,AB439&lt;&gt;1),1,0))</f>
        <v/>
      </c>
      <c r="AE439" s="0" t="str">
        <f aca="false">IF(Y439=1,"",IF(AND(AA439=1,AC439&lt;&gt;1),1,0))</f>
        <v/>
      </c>
      <c r="AF439" s="45" t="str">
        <f aca="false">IF(AND(E439&gt;0,Y439&lt;1,NOT(AND(C440=C439,Y440=Y439+1))),INDEX(DATAS,Y439+1),"")</f>
        <v/>
      </c>
      <c r="AG439" s="45" t="str">
        <f aca="false">IF(AND(AA439=1,Y439&lt;1),IF(AND(C440=C439,Y440=Y439+1),IF(AA440=1,"",INDEX(DATAS,Y439+1)),INDEX(DATAS,Y439+1)),"")</f>
        <v/>
      </c>
    </row>
    <row r="440" customFormat="false" ht="15" hidden="false" customHeight="false" outlineLevel="0" collapsed="false">
      <c r="A440" s="45" t="n">
        <v>46309</v>
      </c>
      <c r="B440" s="0" t="n">
        <v>7</v>
      </c>
      <c r="C440" s="0" t="n">
        <v>4177</v>
      </c>
      <c r="D440" s="0" t="n">
        <v>378</v>
      </c>
      <c r="E440" s="0" t="n">
        <v>2</v>
      </c>
      <c r="F440" s="39" t="s">
        <v>444</v>
      </c>
      <c r="I440" s="39" t="s">
        <v>114</v>
      </c>
      <c r="J440" s="0" t="n">
        <v>352</v>
      </c>
      <c r="K440" s="0" t="n">
        <v>64</v>
      </c>
      <c r="L440" s="0" t="n">
        <v>90</v>
      </c>
      <c r="M440" s="0" t="n">
        <v>211.52</v>
      </c>
      <c r="N440" s="0" t="n">
        <v>52.45</v>
      </c>
      <c r="O440" s="0" t="n">
        <v>29.81</v>
      </c>
      <c r="P440" s="0" t="n">
        <v>9.8</v>
      </c>
      <c r="Q440" s="0" t="n">
        <v>5.73</v>
      </c>
      <c r="R440" s="0" t="n">
        <v>4995</v>
      </c>
      <c r="S440" s="0" t="n">
        <v>9370</v>
      </c>
      <c r="T440" s="0" t="n">
        <v>52.55</v>
      </c>
      <c r="U440" s="0" t="n">
        <v>1517</v>
      </c>
      <c r="V440" s="0" t="n">
        <v>8</v>
      </c>
      <c r="W440" s="39" t="n">
        <f aca="false">IF(I440="Male",0,1)</f>
        <v>1</v>
      </c>
      <c r="X440" s="39" t="n">
        <f aca="false">IF(OR(I440="DNB",I440="Dry DNB"),1,0)</f>
        <v>0</v>
      </c>
      <c r="Y440" s="39" t="n">
        <f aca="false">MATCH(A440,DATAS,0)</f>
        <v>1</v>
      </c>
      <c r="Z440" s="39" t="n">
        <f aca="false">IF(AND(E440&gt;0,OR(AND(B440&gt;=1,B440&lt;=6),B440=10)),1,0)</f>
        <v>0</v>
      </c>
      <c r="AA440" s="39" t="n">
        <f aca="false">IF(AND(E440&gt;0,B440=10),1,0)</f>
        <v>0</v>
      </c>
      <c r="AB440" s="0" t="str">
        <f aca="false">IF(AND(C439=C440,Y439=Y440-1),Z439,"")</f>
        <v/>
      </c>
      <c r="AC440" s="0" t="str">
        <f aca="false">IF(AND(C439=C440,Y439=Y440-1),AA439,"")</f>
        <v/>
      </c>
      <c r="AD440" s="0" t="str">
        <f aca="false">IF(Y440=1,"",IF(AND(Z440=1,AB440&lt;&gt;1),1,0))</f>
        <v/>
      </c>
      <c r="AE440" s="0" t="str">
        <f aca="false">IF(Y440=1,"",IF(AND(AA440=1,AC440&lt;&gt;1),1,0))</f>
        <v/>
      </c>
      <c r="AF440" s="45" t="str">
        <f aca="false">IF(AND(E440&gt;0,Y440&lt;1,NOT(AND(C441=C440,Y441=Y440+1))),INDEX(DATAS,Y440+1),"")</f>
        <v/>
      </c>
      <c r="AG440" s="45" t="str">
        <f aca="false">IF(AND(AA440=1,Y440&lt;1),IF(AND(C441=C440,Y441=Y440+1),IF(AA441=1,"",INDEX(DATAS,Y440+1)),INDEX(DATAS,Y440+1)),"")</f>
        <v/>
      </c>
    </row>
    <row r="441" customFormat="false" ht="15" hidden="false" customHeight="false" outlineLevel="0" collapsed="false">
      <c r="A441" s="45" t="n">
        <v>46309</v>
      </c>
      <c r="B441" s="0" t="n">
        <v>2</v>
      </c>
      <c r="C441" s="0" t="n">
        <v>4178</v>
      </c>
      <c r="D441" s="0" t="n">
        <v>205</v>
      </c>
      <c r="E441" s="0" t="n">
        <v>2</v>
      </c>
      <c r="F441" s="39" t="s">
        <v>445</v>
      </c>
      <c r="G441" s="0" t="n">
        <v>56.2</v>
      </c>
      <c r="H441" s="0" t="n">
        <v>52</v>
      </c>
      <c r="I441" s="39" t="s">
        <v>109</v>
      </c>
      <c r="J441" s="0" t="n">
        <v>65</v>
      </c>
      <c r="K441" s="0" t="n">
        <v>65</v>
      </c>
      <c r="L441" s="0" t="n">
        <v>140</v>
      </c>
      <c r="M441" s="0" t="n">
        <v>754.47</v>
      </c>
      <c r="N441" s="0" t="n">
        <v>26.51</v>
      </c>
      <c r="O441" s="0" t="n">
        <v>19.95</v>
      </c>
      <c r="P441" s="0" t="n">
        <v>2.74</v>
      </c>
      <c r="Q441" s="0" t="n">
        <v>3.2</v>
      </c>
      <c r="R441" s="0" t="n">
        <v>6449</v>
      </c>
      <c r="S441" s="0" t="n">
        <v>12909</v>
      </c>
      <c r="T441" s="0" t="n">
        <v>69.7</v>
      </c>
      <c r="U441" s="0" t="n">
        <v>1514</v>
      </c>
      <c r="V441" s="0" t="n">
        <v>1</v>
      </c>
      <c r="W441" s="39" t="n">
        <f aca="false">IF(I441="Male",0,1)</f>
        <v>1</v>
      </c>
      <c r="X441" s="39" t="n">
        <f aca="false">IF(OR(I441="DNB",I441="Dry DNB"),1,0)</f>
        <v>0</v>
      </c>
      <c r="Y441" s="39" t="n">
        <f aca="false">MATCH(A441,DATAS,0)</f>
        <v>1</v>
      </c>
      <c r="Z441" s="39" t="n">
        <f aca="false">IF(AND(E441&gt;0,OR(AND(B441&gt;=1,B441&lt;=6),B441=10)),1,0)</f>
        <v>1</v>
      </c>
      <c r="AA441" s="39" t="n">
        <f aca="false">IF(AND(E441&gt;0,B441=10),1,0)</f>
        <v>0</v>
      </c>
      <c r="AB441" s="0" t="str">
        <f aca="false">IF(AND(C440=C441,Y440=Y441-1),Z440,"")</f>
        <v/>
      </c>
      <c r="AC441" s="0" t="str">
        <f aca="false">IF(AND(C440=C441,Y440=Y441-1),AA440,"")</f>
        <v/>
      </c>
      <c r="AD441" s="0" t="str">
        <f aca="false">IF(Y441=1,"",IF(AND(Z441=1,AB441&lt;&gt;1),1,0))</f>
        <v/>
      </c>
      <c r="AE441" s="0" t="str">
        <f aca="false">IF(Y441=1,"",IF(AND(AA441=1,AC441&lt;&gt;1),1,0))</f>
        <v/>
      </c>
      <c r="AF441" s="45" t="str">
        <f aca="false">IF(AND(E441&gt;0,Y441&lt;1,NOT(AND(C442=C441,Y442=Y441+1))),INDEX(DATAS,Y441+1),"")</f>
        <v/>
      </c>
      <c r="AG441" s="45" t="str">
        <f aca="false">IF(AND(AA441=1,Y441&lt;1),IF(AND(C442=C441,Y442=Y441+1),IF(AA442=1,"",INDEX(DATAS,Y441+1)),INDEX(DATAS,Y441+1)),"")</f>
        <v/>
      </c>
    </row>
    <row r="442" customFormat="false" ht="15" hidden="false" customHeight="false" outlineLevel="0" collapsed="false">
      <c r="A442" s="45" t="n">
        <v>46309</v>
      </c>
      <c r="B442" s="0" t="n">
        <v>3</v>
      </c>
      <c r="C442" s="0" t="n">
        <v>4179</v>
      </c>
      <c r="D442" s="0" t="n">
        <v>152</v>
      </c>
      <c r="E442" s="0" t="n">
        <v>3</v>
      </c>
      <c r="F442" s="39" t="s">
        <v>446</v>
      </c>
      <c r="G442" s="0" t="n">
        <v>48</v>
      </c>
      <c r="H442" s="0" t="n">
        <v>49</v>
      </c>
      <c r="I442" s="39" t="s">
        <v>146</v>
      </c>
      <c r="J442" s="0" t="n">
        <v>152</v>
      </c>
      <c r="K442" s="0" t="n">
        <v>82</v>
      </c>
      <c r="M442" s="0" t="n">
        <v>479.96</v>
      </c>
      <c r="N442" s="0" t="n">
        <v>46.19</v>
      </c>
      <c r="O442" s="0" t="n">
        <v>26.81</v>
      </c>
      <c r="P442" s="0" t="n">
        <v>2.68</v>
      </c>
      <c r="Q442" s="0" t="n">
        <v>3.6</v>
      </c>
      <c r="R442" s="0" t="n">
        <v>5509</v>
      </c>
      <c r="S442" s="0" t="n">
        <v>11073</v>
      </c>
      <c r="T442" s="0" t="n">
        <v>59.55</v>
      </c>
      <c r="U442" s="0" t="n">
        <v>1512</v>
      </c>
      <c r="V442" s="0" t="n">
        <v>2</v>
      </c>
      <c r="W442" s="39" t="n">
        <f aca="false">IF(I442="Male",0,1)</f>
        <v>1</v>
      </c>
      <c r="X442" s="39" t="n">
        <f aca="false">IF(OR(I442="DNB",I442="Dry DNB"),1,0)</f>
        <v>0</v>
      </c>
      <c r="Y442" s="39" t="n">
        <f aca="false">MATCH(A442,DATAS,0)</f>
        <v>1</v>
      </c>
      <c r="Z442" s="39" t="n">
        <f aca="false">IF(AND(E442&gt;0,OR(AND(B442&gt;=1,B442&lt;=6),B442=10)),1,0)</f>
        <v>1</v>
      </c>
      <c r="AA442" s="39" t="n">
        <f aca="false">IF(AND(E442&gt;0,B442=10),1,0)</f>
        <v>0</v>
      </c>
      <c r="AB442" s="0" t="str">
        <f aca="false">IF(AND(C441=C442,Y441=Y442-1),Z441,"")</f>
        <v/>
      </c>
      <c r="AC442" s="0" t="str">
        <f aca="false">IF(AND(C441=C442,Y441=Y442-1),AA441,"")</f>
        <v/>
      </c>
      <c r="AD442" s="0" t="str">
        <f aca="false">IF(Y442=1,"",IF(AND(Z442=1,AB442&lt;&gt;1),1,0))</f>
        <v/>
      </c>
      <c r="AE442" s="0" t="str">
        <f aca="false">IF(Y442=1,"",IF(AND(AA442=1,AC442&lt;&gt;1),1,0))</f>
        <v/>
      </c>
      <c r="AF442" s="45" t="str">
        <f aca="false">IF(AND(E442&gt;0,Y442&lt;1,NOT(AND(C443=C442,Y443=Y442+1))),INDEX(DATAS,Y442+1),"")</f>
        <v/>
      </c>
      <c r="AG442" s="45" t="str">
        <f aca="false">IF(AND(AA442=1,Y442&lt;1),IF(AND(C443=C442,Y443=Y442+1),IF(AA443=1,"",INDEX(DATAS,Y442+1)),INDEX(DATAS,Y442+1)),"")</f>
        <v/>
      </c>
    </row>
    <row r="443" customFormat="false" ht="15" hidden="false" customHeight="false" outlineLevel="0" collapsed="false">
      <c r="A443" s="45" t="n">
        <v>46309</v>
      </c>
      <c r="B443" s="0" t="n">
        <v>3</v>
      </c>
      <c r="C443" s="0" t="n">
        <v>4180</v>
      </c>
      <c r="D443" s="0" t="n">
        <v>6</v>
      </c>
      <c r="E443" s="0" t="n">
        <v>3</v>
      </c>
      <c r="F443" s="39" t="s">
        <v>446</v>
      </c>
      <c r="G443" s="0" t="n">
        <v>30.5</v>
      </c>
      <c r="H443" s="0" t="n">
        <v>24</v>
      </c>
      <c r="I443" s="39" t="s">
        <v>118</v>
      </c>
      <c r="J443" s="0" t="n">
        <v>6</v>
      </c>
      <c r="M443" s="0" t="n">
        <v>238.1</v>
      </c>
      <c r="N443" s="0" t="n">
        <v>22.74</v>
      </c>
      <c r="O443" s="0" t="n">
        <v>18.01</v>
      </c>
      <c r="R443" s="0" t="n">
        <v>1999</v>
      </c>
      <c r="S443" s="0" t="n">
        <v>4019</v>
      </c>
      <c r="U443" s="0" t="n">
        <v>1512</v>
      </c>
      <c r="V443" s="0" t="n">
        <v>0</v>
      </c>
      <c r="W443" s="39" t="n">
        <f aca="false">IF(I443="Male",0,1)</f>
        <v>1</v>
      </c>
      <c r="X443" s="39" t="n">
        <f aca="false">IF(OR(I443="DNB",I443="Dry DNB"),1,0)</f>
        <v>0</v>
      </c>
      <c r="Y443" s="39" t="n">
        <f aca="false">MATCH(A443,DATAS,0)</f>
        <v>1</v>
      </c>
      <c r="Z443" s="39" t="n">
        <f aca="false">IF(AND(E443&gt;0,OR(AND(B443&gt;=1,B443&lt;=6),B443=10)),1,0)</f>
        <v>1</v>
      </c>
      <c r="AA443" s="39" t="n">
        <f aca="false">IF(AND(E443&gt;0,B443=10),1,0)</f>
        <v>0</v>
      </c>
      <c r="AB443" s="0" t="str">
        <f aca="false">IF(AND(C442=C443,Y442=Y443-1),Z442,"")</f>
        <v/>
      </c>
      <c r="AC443" s="0" t="str">
        <f aca="false">IF(AND(C442=C443,Y442=Y443-1),AA442,"")</f>
        <v/>
      </c>
      <c r="AD443" s="0" t="str">
        <f aca="false">IF(Y443=1,"",IF(AND(Z443=1,AB443&lt;&gt;1),1,0))</f>
        <v/>
      </c>
      <c r="AE443" s="0" t="str">
        <f aca="false">IF(Y443=1,"",IF(AND(AA443=1,AC443&lt;&gt;1),1,0))</f>
        <v/>
      </c>
      <c r="AF443" s="45" t="str">
        <f aca="false">IF(AND(E443&gt;0,Y443&lt;1,NOT(AND(C444=C443,Y444=Y443+1))),INDEX(DATAS,Y443+1),"")</f>
        <v/>
      </c>
      <c r="AG443" s="45" t="str">
        <f aca="false">IF(AND(AA443=1,Y443&lt;1),IF(AND(C444=C443,Y444=Y443+1),IF(AA444=1,"",INDEX(DATAS,Y443+1)),INDEX(DATAS,Y443+1)),"")</f>
        <v/>
      </c>
    </row>
    <row r="444" customFormat="false" ht="15" hidden="false" customHeight="false" outlineLevel="0" collapsed="false">
      <c r="A444" s="45" t="n">
        <v>46309</v>
      </c>
      <c r="B444" s="0" t="n">
        <v>7</v>
      </c>
      <c r="C444" s="0" t="n">
        <v>4181</v>
      </c>
      <c r="D444" s="0" t="n">
        <v>22</v>
      </c>
      <c r="E444" s="0" t="n">
        <v>3</v>
      </c>
      <c r="F444" s="39" t="s">
        <v>446</v>
      </c>
      <c r="I444" s="39" t="s">
        <v>447</v>
      </c>
      <c r="J444" s="0" t="n">
        <v>22</v>
      </c>
      <c r="K444" s="0" t="n">
        <v>39</v>
      </c>
      <c r="M444" s="0" t="n">
        <v>82.3</v>
      </c>
      <c r="N444" s="0" t="n">
        <v>62.58</v>
      </c>
      <c r="O444" s="0" t="n">
        <v>21.79</v>
      </c>
      <c r="P444" s="0" t="n">
        <v>0</v>
      </c>
      <c r="Q444" s="0" t="n">
        <v>0</v>
      </c>
      <c r="R444" s="0" t="n">
        <v>1647</v>
      </c>
      <c r="S444" s="0" t="n">
        <v>3311</v>
      </c>
      <c r="U444" s="0" t="n">
        <v>1512</v>
      </c>
      <c r="V444" s="0" t="n">
        <v>1</v>
      </c>
      <c r="W444" s="39" t="n">
        <f aca="false">IF(I444="Male",0,1)</f>
        <v>1</v>
      </c>
      <c r="X444" s="39" t="n">
        <f aca="false">IF(OR(I444="DNB",I444="Dry DNB"),1,0)</f>
        <v>0</v>
      </c>
      <c r="Y444" s="39" t="n">
        <f aca="false">MATCH(A444,DATAS,0)</f>
        <v>1</v>
      </c>
      <c r="Z444" s="39" t="n">
        <f aca="false">IF(AND(E444&gt;0,OR(AND(B444&gt;=1,B444&lt;=6),B444=10)),1,0)</f>
        <v>0</v>
      </c>
      <c r="AA444" s="39" t="n">
        <f aca="false">IF(AND(E444&gt;0,B444=10),1,0)</f>
        <v>0</v>
      </c>
      <c r="AB444" s="0" t="str">
        <f aca="false">IF(AND(C443=C444,Y443=Y444-1),Z443,"")</f>
        <v/>
      </c>
      <c r="AC444" s="0" t="str">
        <f aca="false">IF(AND(C443=C444,Y443=Y444-1),AA443,"")</f>
        <v/>
      </c>
      <c r="AD444" s="0" t="str">
        <f aca="false">IF(Y444=1,"",IF(AND(Z444=1,AB444&lt;&gt;1),1,0))</f>
        <v/>
      </c>
      <c r="AE444" s="0" t="str">
        <f aca="false">IF(Y444=1,"",IF(AND(AA444=1,AC444&lt;&gt;1),1,0))</f>
        <v/>
      </c>
      <c r="AF444" s="45" t="str">
        <f aca="false">IF(AND(E444&gt;0,Y444&lt;1,NOT(AND(C445=C444,Y445=Y444+1))),INDEX(DATAS,Y444+1),"")</f>
        <v/>
      </c>
      <c r="AG444" s="45" t="str">
        <f aca="false">IF(AND(AA444=1,Y444&lt;1),IF(AND(C445=C444,Y445=Y444+1),IF(AA445=1,"",INDEX(DATAS,Y444+1)),INDEX(DATAS,Y444+1)),"")</f>
        <v/>
      </c>
    </row>
    <row r="445" customFormat="false" ht="15" hidden="false" customHeight="false" outlineLevel="0" collapsed="false">
      <c r="A445" s="45" t="n">
        <v>46309</v>
      </c>
      <c r="B445" s="0" t="n">
        <v>6</v>
      </c>
      <c r="C445" s="0" t="n">
        <v>4183</v>
      </c>
      <c r="D445" s="0" t="n">
        <v>409</v>
      </c>
      <c r="E445" s="0" t="n">
        <v>2</v>
      </c>
      <c r="F445" s="39" t="s">
        <v>448</v>
      </c>
      <c r="G445" s="0" t="n">
        <v>27.8</v>
      </c>
      <c r="H445" s="0" t="n">
        <v>24</v>
      </c>
      <c r="I445" s="39" t="s">
        <v>109</v>
      </c>
      <c r="J445" s="0" t="n">
        <v>238</v>
      </c>
      <c r="K445" s="0" t="n">
        <v>66</v>
      </c>
      <c r="L445" s="0" t="n">
        <v>171</v>
      </c>
      <c r="M445" s="0" t="n">
        <v>1020.66</v>
      </c>
      <c r="N445" s="0" t="n">
        <v>79.64</v>
      </c>
      <c r="O445" s="0" t="n">
        <v>39.01</v>
      </c>
      <c r="P445" s="0" t="n">
        <v>5.62</v>
      </c>
      <c r="Q445" s="0" t="n">
        <v>4.71</v>
      </c>
      <c r="R445" s="0" t="n">
        <v>6308</v>
      </c>
      <c r="S445" s="0" t="n">
        <v>12878</v>
      </c>
      <c r="T445" s="0" t="n">
        <v>67.9</v>
      </c>
      <c r="U445" s="0" t="n">
        <v>1511</v>
      </c>
      <c r="V445" s="0" t="n">
        <v>7</v>
      </c>
      <c r="W445" s="39" t="n">
        <f aca="false">IF(I445="Male",0,1)</f>
        <v>1</v>
      </c>
      <c r="X445" s="39" t="n">
        <f aca="false">IF(OR(I445="DNB",I445="Dry DNB"),1,0)</f>
        <v>0</v>
      </c>
      <c r="Y445" s="39" t="n">
        <f aca="false">MATCH(A445,DATAS,0)</f>
        <v>1</v>
      </c>
      <c r="Z445" s="39" t="n">
        <f aca="false">IF(AND(E445&gt;0,OR(AND(B445&gt;=1,B445&lt;=6),B445=10)),1,0)</f>
        <v>1</v>
      </c>
      <c r="AA445" s="39" t="n">
        <f aca="false">IF(AND(E445&gt;0,B445=10),1,0)</f>
        <v>0</v>
      </c>
      <c r="AB445" s="0" t="str">
        <f aca="false">IF(AND(C444=C445,Y444=Y445-1),Z444,"")</f>
        <v/>
      </c>
      <c r="AC445" s="0" t="str">
        <f aca="false">IF(AND(C444=C445,Y444=Y445-1),AA444,"")</f>
        <v/>
      </c>
      <c r="AD445" s="0" t="str">
        <f aca="false">IF(Y445=1,"",IF(AND(Z445=1,AB445&lt;&gt;1),1,0))</f>
        <v/>
      </c>
      <c r="AE445" s="0" t="str">
        <f aca="false">IF(Y445=1,"",IF(AND(AA445=1,AC445&lt;&gt;1),1,0))</f>
        <v/>
      </c>
      <c r="AF445" s="45" t="str">
        <f aca="false">IF(AND(E445&gt;0,Y445&lt;1,NOT(AND(C446=C445,Y446=Y445+1))),INDEX(DATAS,Y445+1),"")</f>
        <v/>
      </c>
      <c r="AG445" s="45" t="str">
        <f aca="false">IF(AND(AA445=1,Y445&lt;1),IF(AND(C446=C445,Y446=Y445+1),IF(AA446=1,"",INDEX(DATAS,Y445+1)),INDEX(DATAS,Y445+1)),"")</f>
        <v/>
      </c>
    </row>
    <row r="446" customFormat="false" ht="15" hidden="false" customHeight="false" outlineLevel="0" collapsed="false">
      <c r="A446" s="45" t="n">
        <v>46309</v>
      </c>
      <c r="B446" s="0" t="n">
        <v>10</v>
      </c>
      <c r="C446" s="0" t="n">
        <v>4184</v>
      </c>
      <c r="D446" s="0" t="n">
        <v>104</v>
      </c>
      <c r="E446" s="0" t="n">
        <v>3</v>
      </c>
      <c r="F446" s="39" t="s">
        <v>449</v>
      </c>
      <c r="G446" s="0" t="n">
        <v>32</v>
      </c>
      <c r="H446" s="0" t="n">
        <v>41</v>
      </c>
      <c r="I446" s="39" t="s">
        <v>109</v>
      </c>
      <c r="J446" s="0" t="n">
        <v>69</v>
      </c>
      <c r="K446" s="0" t="n">
        <v>69</v>
      </c>
      <c r="L446" s="0" t="n">
        <v>35</v>
      </c>
      <c r="M446" s="0" t="n">
        <v>394.46</v>
      </c>
      <c r="N446" s="0" t="n">
        <v>68.89</v>
      </c>
      <c r="O446" s="0" t="n">
        <v>27.03</v>
      </c>
      <c r="P446" s="0" t="n">
        <v>2.81</v>
      </c>
      <c r="Q446" s="0" t="n">
        <v>3.39</v>
      </c>
      <c r="R446" s="0" t="n">
        <v>5051</v>
      </c>
      <c r="S446" s="0" t="n">
        <v>10127</v>
      </c>
      <c r="T446" s="0" t="n">
        <v>57.5</v>
      </c>
      <c r="U446" s="0" t="n">
        <v>1510</v>
      </c>
      <c r="V446" s="0" t="n">
        <v>1</v>
      </c>
      <c r="W446" s="39" t="n">
        <f aca="false">IF(I446="Male",0,1)</f>
        <v>1</v>
      </c>
      <c r="X446" s="39" t="n">
        <f aca="false">IF(OR(I446="DNB",I446="Dry DNB"),1,0)</f>
        <v>0</v>
      </c>
      <c r="Y446" s="39" t="n">
        <f aca="false">MATCH(A446,DATAS,0)</f>
        <v>1</v>
      </c>
      <c r="Z446" s="39" t="n">
        <f aca="false">IF(AND(E446&gt;0,OR(AND(B446&gt;=1,B446&lt;=6),B446=10)),1,0)</f>
        <v>1</v>
      </c>
      <c r="AA446" s="39" t="n">
        <f aca="false">IF(AND(E446&gt;0,B446=10),1,0)</f>
        <v>1</v>
      </c>
      <c r="AB446" s="0" t="str">
        <f aca="false">IF(AND(C445=C446,Y445=Y446-1),Z445,"")</f>
        <v/>
      </c>
      <c r="AC446" s="0" t="str">
        <f aca="false">IF(AND(C445=C446,Y445=Y446-1),AA445,"")</f>
        <v/>
      </c>
      <c r="AD446" s="0" t="str">
        <f aca="false">IF(Y446=1,"",IF(AND(Z446=1,AB446&lt;&gt;1),1,0))</f>
        <v/>
      </c>
      <c r="AE446" s="0" t="str">
        <f aca="false">IF(Y446=1,"",IF(AND(AA446=1,AC446&lt;&gt;1),1,0))</f>
        <v/>
      </c>
      <c r="AF446" s="45" t="str">
        <f aca="false">IF(AND(E446&gt;0,Y446&lt;1,NOT(AND(C447=C446,Y447=Y446+1))),INDEX(DATAS,Y446+1),"")</f>
        <v/>
      </c>
      <c r="AG446" s="45" t="str">
        <f aca="false">IF(AND(AA446=1,Y446&lt;1),IF(AND(C447=C446,Y447=Y446+1),IF(AA447=1,"",INDEX(DATAS,Y446+1)),INDEX(DATAS,Y446+1)),"")</f>
        <v/>
      </c>
    </row>
    <row r="447" customFormat="false" ht="15" hidden="false" customHeight="false" outlineLevel="0" collapsed="false">
      <c r="A447" s="45" t="n">
        <v>46309</v>
      </c>
      <c r="B447" s="0" t="n">
        <v>3</v>
      </c>
      <c r="C447" s="0" t="n">
        <v>4185</v>
      </c>
      <c r="D447" s="0" t="n">
        <v>155</v>
      </c>
      <c r="E447" s="0" t="n">
        <v>3</v>
      </c>
      <c r="F447" s="39" t="s">
        <v>450</v>
      </c>
      <c r="G447" s="0" t="n">
        <v>74.1</v>
      </c>
      <c r="H447" s="0" t="n">
        <v>72</v>
      </c>
      <c r="I447" s="39" t="s">
        <v>109</v>
      </c>
      <c r="J447" s="0" t="n">
        <v>64</v>
      </c>
      <c r="K447" s="0" t="n">
        <v>64</v>
      </c>
      <c r="L447" s="0" t="n">
        <v>91</v>
      </c>
      <c r="M447" s="0" t="n">
        <v>1077.82</v>
      </c>
      <c r="N447" s="0" t="n">
        <v>41.48</v>
      </c>
      <c r="O447" s="0" t="n">
        <v>30.44</v>
      </c>
      <c r="P447" s="0" t="n">
        <v>2.61</v>
      </c>
      <c r="Q447" s="0" t="n">
        <v>2.97</v>
      </c>
      <c r="R447" s="0" t="n">
        <v>6121</v>
      </c>
      <c r="S447" s="0" t="n">
        <v>13227</v>
      </c>
      <c r="T447" s="0" t="n">
        <v>73.3</v>
      </c>
      <c r="U447" s="0" t="n">
        <v>1509</v>
      </c>
      <c r="V447" s="0" t="n">
        <v>1</v>
      </c>
      <c r="W447" s="39" t="n">
        <f aca="false">IF(I447="Male",0,1)</f>
        <v>1</v>
      </c>
      <c r="X447" s="39" t="n">
        <f aca="false">IF(OR(I447="DNB",I447="Dry DNB"),1,0)</f>
        <v>0</v>
      </c>
      <c r="Y447" s="39" t="n">
        <f aca="false">MATCH(A447,DATAS,0)</f>
        <v>1</v>
      </c>
      <c r="Z447" s="39" t="n">
        <f aca="false">IF(AND(E447&gt;0,OR(AND(B447&gt;=1,B447&lt;=6),B447=10)),1,0)</f>
        <v>1</v>
      </c>
      <c r="AA447" s="39" t="n">
        <f aca="false">IF(AND(E447&gt;0,B447=10),1,0)</f>
        <v>0</v>
      </c>
      <c r="AB447" s="0" t="str">
        <f aca="false">IF(AND(C446=C447,Y446=Y447-1),Z446,"")</f>
        <v/>
      </c>
      <c r="AC447" s="0" t="str">
        <f aca="false">IF(AND(C446=C447,Y446=Y447-1),AA446,"")</f>
        <v/>
      </c>
      <c r="AD447" s="0" t="str">
        <f aca="false">IF(Y447=1,"",IF(AND(Z447=1,AB447&lt;&gt;1),1,0))</f>
        <v/>
      </c>
      <c r="AE447" s="0" t="str">
        <f aca="false">IF(Y447=1,"",IF(AND(AA447=1,AC447&lt;&gt;1),1,0))</f>
        <v/>
      </c>
      <c r="AF447" s="45" t="str">
        <f aca="false">IF(AND(E447&gt;0,Y447&lt;1,NOT(AND(C448=C447,Y448=Y447+1))),INDEX(DATAS,Y447+1),"")</f>
        <v/>
      </c>
      <c r="AG447" s="45" t="str">
        <f aca="false">IF(AND(AA447=1,Y447&lt;1),IF(AND(C448=C447,Y448=Y447+1),IF(AA448=1,"",INDEX(DATAS,Y447+1)),INDEX(DATAS,Y447+1)),"")</f>
        <v/>
      </c>
    </row>
    <row r="448" customFormat="false" ht="15" hidden="false" customHeight="false" outlineLevel="0" collapsed="false">
      <c r="A448" s="45" t="n">
        <v>46309</v>
      </c>
      <c r="B448" s="0" t="n">
        <v>5</v>
      </c>
      <c r="C448" s="0" t="n">
        <v>4186</v>
      </c>
      <c r="D448" s="0" t="n">
        <v>328</v>
      </c>
      <c r="E448" s="0" t="n">
        <v>2</v>
      </c>
      <c r="F448" s="39" t="s">
        <v>451</v>
      </c>
      <c r="G448" s="0" t="n">
        <v>13.7</v>
      </c>
      <c r="H448" s="0" t="n">
        <v>14</v>
      </c>
      <c r="I448" s="39" t="s">
        <v>109</v>
      </c>
      <c r="J448" s="0" t="n">
        <v>118</v>
      </c>
      <c r="K448" s="0" t="n">
        <v>69</v>
      </c>
      <c r="L448" s="0" t="n">
        <v>210</v>
      </c>
      <c r="M448" s="0" t="n">
        <v>294.76</v>
      </c>
      <c r="N448" s="0" t="n">
        <v>72.15</v>
      </c>
      <c r="O448" s="0" t="n">
        <v>29.04</v>
      </c>
      <c r="P448" s="0" t="n">
        <v>5.71</v>
      </c>
      <c r="Q448" s="0" t="n">
        <v>4.45</v>
      </c>
      <c r="R448" s="0" t="n">
        <v>4510</v>
      </c>
      <c r="S448" s="0" t="n">
        <v>9694</v>
      </c>
      <c r="T448" s="0" t="n">
        <v>48.75</v>
      </c>
      <c r="U448" s="0" t="n">
        <v>1508</v>
      </c>
      <c r="V448" s="0" t="n">
        <v>3</v>
      </c>
      <c r="W448" s="39" t="n">
        <f aca="false">IF(I448="Male",0,1)</f>
        <v>1</v>
      </c>
      <c r="X448" s="39" t="n">
        <f aca="false">IF(OR(I448="DNB",I448="Dry DNB"),1,0)</f>
        <v>0</v>
      </c>
      <c r="Y448" s="39" t="n">
        <f aca="false">MATCH(A448,DATAS,0)</f>
        <v>1</v>
      </c>
      <c r="Z448" s="39" t="n">
        <f aca="false">IF(AND(E448&gt;0,OR(AND(B448&gt;=1,B448&lt;=6),B448=10)),1,0)</f>
        <v>1</v>
      </c>
      <c r="AA448" s="39" t="n">
        <f aca="false">IF(AND(E448&gt;0,B448=10),1,0)</f>
        <v>0</v>
      </c>
      <c r="AB448" s="0" t="str">
        <f aca="false">IF(AND(C447=C448,Y447=Y448-1),Z447,"")</f>
        <v/>
      </c>
      <c r="AC448" s="0" t="str">
        <f aca="false">IF(AND(C447=C448,Y447=Y448-1),AA447,"")</f>
        <v/>
      </c>
      <c r="AD448" s="0" t="str">
        <f aca="false">IF(Y448=1,"",IF(AND(Z448=1,AB448&lt;&gt;1),1,0))</f>
        <v/>
      </c>
      <c r="AE448" s="0" t="str">
        <f aca="false">IF(Y448=1,"",IF(AND(AA448=1,AC448&lt;&gt;1),1,0))</f>
        <v/>
      </c>
      <c r="AF448" s="45" t="str">
        <f aca="false">IF(AND(E448&gt;0,Y448&lt;1,NOT(AND(C449=C448,Y449=Y448+1))),INDEX(DATAS,Y448+1),"")</f>
        <v/>
      </c>
      <c r="AG448" s="45" t="str">
        <f aca="false">IF(AND(AA448=1,Y448&lt;1),IF(AND(C449=C448,Y449=Y448+1),IF(AA449=1,"",INDEX(DATAS,Y448+1)),INDEX(DATAS,Y448+1)),"")</f>
        <v/>
      </c>
    </row>
    <row r="449" customFormat="false" ht="15" hidden="false" customHeight="false" outlineLevel="0" collapsed="false">
      <c r="A449" s="45" t="n">
        <v>46309</v>
      </c>
      <c r="B449" s="0" t="n">
        <v>3</v>
      </c>
      <c r="C449" s="0" t="n">
        <v>4187</v>
      </c>
      <c r="D449" s="0" t="n">
        <v>29</v>
      </c>
      <c r="E449" s="0" t="n">
        <v>3</v>
      </c>
      <c r="F449" s="39" t="s">
        <v>451</v>
      </c>
      <c r="G449" s="0" t="n">
        <v>67.4</v>
      </c>
      <c r="H449" s="0" t="n">
        <v>63</v>
      </c>
      <c r="I449" s="39" t="s">
        <v>118</v>
      </c>
      <c r="J449" s="0" t="n">
        <v>29</v>
      </c>
      <c r="M449" s="0" t="n">
        <v>648.97</v>
      </c>
      <c r="N449" s="0" t="n">
        <v>25.42</v>
      </c>
      <c r="O449" s="0" t="n">
        <v>26.13</v>
      </c>
      <c r="P449" s="0" t="n">
        <v>5.73</v>
      </c>
      <c r="Q449" s="0" t="n">
        <v>4.97</v>
      </c>
      <c r="R449" s="0" t="n">
        <v>4987</v>
      </c>
      <c r="S449" s="0" t="n">
        <v>10024</v>
      </c>
      <c r="U449" s="0" t="n">
        <v>1508</v>
      </c>
      <c r="V449" s="0" t="n">
        <v>0</v>
      </c>
      <c r="W449" s="39" t="n">
        <f aca="false">IF(I449="Male",0,1)</f>
        <v>1</v>
      </c>
      <c r="X449" s="39" t="n">
        <f aca="false">IF(OR(I449="DNB",I449="Dry DNB"),1,0)</f>
        <v>0</v>
      </c>
      <c r="Y449" s="39" t="n">
        <f aca="false">MATCH(A449,DATAS,0)</f>
        <v>1</v>
      </c>
      <c r="Z449" s="39" t="n">
        <f aca="false">IF(AND(E449&gt;0,OR(AND(B449&gt;=1,B449&lt;=6),B449=10)),1,0)</f>
        <v>1</v>
      </c>
      <c r="AA449" s="39" t="n">
        <f aca="false">IF(AND(E449&gt;0,B449=10),1,0)</f>
        <v>0</v>
      </c>
      <c r="AB449" s="0" t="str">
        <f aca="false">IF(AND(C448=C449,Y448=Y449-1),Z448,"")</f>
        <v/>
      </c>
      <c r="AC449" s="0" t="str">
        <f aca="false">IF(AND(C448=C449,Y448=Y449-1),AA448,"")</f>
        <v/>
      </c>
      <c r="AD449" s="0" t="str">
        <f aca="false">IF(Y449=1,"",IF(AND(Z449=1,AB449&lt;&gt;1),1,0))</f>
        <v/>
      </c>
      <c r="AE449" s="0" t="str">
        <f aca="false">IF(Y449=1,"",IF(AND(AA449=1,AC449&lt;&gt;1),1,0))</f>
        <v/>
      </c>
      <c r="AF449" s="45" t="str">
        <f aca="false">IF(AND(E449&gt;0,Y449&lt;1,NOT(AND(C450=C449,Y450=Y449+1))),INDEX(DATAS,Y449+1),"")</f>
        <v/>
      </c>
      <c r="AG449" s="45" t="str">
        <f aca="false">IF(AND(AA449=1,Y449&lt;1),IF(AND(C450=C449,Y450=Y449+1),IF(AA450=1,"",INDEX(DATAS,Y449+1)),INDEX(DATAS,Y449+1)),"")</f>
        <v/>
      </c>
    </row>
    <row r="450" customFormat="false" ht="15" hidden="false" customHeight="false" outlineLevel="0" collapsed="false">
      <c r="A450" s="45" t="n">
        <v>46309</v>
      </c>
      <c r="B450" s="0" t="n">
        <v>6</v>
      </c>
      <c r="C450" s="0" t="n">
        <v>4188</v>
      </c>
      <c r="D450" s="0" t="n">
        <v>61</v>
      </c>
      <c r="E450" s="0" t="n">
        <v>3</v>
      </c>
      <c r="F450" s="39" t="s">
        <v>451</v>
      </c>
      <c r="G450" s="0" t="n">
        <v>27.5</v>
      </c>
      <c r="H450" s="0" t="n">
        <v>28</v>
      </c>
      <c r="I450" s="39" t="s">
        <v>118</v>
      </c>
      <c r="J450" s="0" t="n">
        <v>61</v>
      </c>
      <c r="M450" s="0" t="n">
        <v>1071.11</v>
      </c>
      <c r="N450" s="0" t="n">
        <v>72.88</v>
      </c>
      <c r="O450" s="0" t="n">
        <v>44.77</v>
      </c>
      <c r="P450" s="0" t="n">
        <v>0</v>
      </c>
      <c r="Q450" s="0" t="n">
        <v>0</v>
      </c>
      <c r="R450" s="0" t="n">
        <v>2468</v>
      </c>
      <c r="S450" s="0" t="n">
        <v>4962</v>
      </c>
      <c r="U450" s="0" t="n">
        <v>1508</v>
      </c>
      <c r="V450" s="0" t="n">
        <v>0</v>
      </c>
      <c r="W450" s="39" t="n">
        <f aca="false">IF(I450="Male",0,1)</f>
        <v>1</v>
      </c>
      <c r="X450" s="39" t="n">
        <f aca="false">IF(OR(I450="DNB",I450="Dry DNB"),1,0)</f>
        <v>0</v>
      </c>
      <c r="Y450" s="39" t="n">
        <f aca="false">MATCH(A450,DATAS,0)</f>
        <v>1</v>
      </c>
      <c r="Z450" s="39" t="n">
        <f aca="false">IF(AND(E450&gt;0,OR(AND(B450&gt;=1,B450&lt;=6),B450=10)),1,0)</f>
        <v>1</v>
      </c>
      <c r="AA450" s="39" t="n">
        <f aca="false">IF(AND(E450&gt;0,B450=10),1,0)</f>
        <v>0</v>
      </c>
      <c r="AB450" s="0" t="str">
        <f aca="false">IF(AND(C449=C450,Y449=Y450-1),Z449,"")</f>
        <v/>
      </c>
      <c r="AC450" s="0" t="str">
        <f aca="false">IF(AND(C449=C450,Y449=Y450-1),AA449,"")</f>
        <v/>
      </c>
      <c r="AD450" s="0" t="str">
        <f aca="false">IF(Y450=1,"",IF(AND(Z450=1,AB450&lt;&gt;1),1,0))</f>
        <v/>
      </c>
      <c r="AE450" s="0" t="str">
        <f aca="false">IF(Y450=1,"",IF(AND(AA450=1,AC450&lt;&gt;1),1,0))</f>
        <v/>
      </c>
      <c r="AF450" s="45" t="str">
        <f aca="false">IF(AND(E450&gt;0,Y450&lt;1,NOT(AND(C451=C450,Y451=Y450+1))),INDEX(DATAS,Y450+1),"")</f>
        <v/>
      </c>
      <c r="AG450" s="45" t="str">
        <f aca="false">IF(AND(AA450=1,Y450&lt;1),IF(AND(C451=C450,Y451=Y450+1),IF(AA451=1,"",INDEX(DATAS,Y450+1)),INDEX(DATAS,Y450+1)),"")</f>
        <v/>
      </c>
    </row>
    <row r="451" customFormat="false" ht="15" hidden="false" customHeight="false" outlineLevel="0" collapsed="false">
      <c r="A451" s="45" t="n">
        <v>46309</v>
      </c>
      <c r="B451" s="0" t="n">
        <v>2</v>
      </c>
      <c r="C451" s="0" t="n">
        <v>4189</v>
      </c>
      <c r="D451" s="0" t="n">
        <v>40</v>
      </c>
      <c r="E451" s="0" t="n">
        <v>3</v>
      </c>
      <c r="F451" s="39" t="s">
        <v>451</v>
      </c>
      <c r="G451" s="0" t="n">
        <v>54.4</v>
      </c>
      <c r="H451" s="0" t="n">
        <v>57</v>
      </c>
      <c r="I451" s="39" t="s">
        <v>118</v>
      </c>
      <c r="J451" s="0" t="n">
        <v>40</v>
      </c>
      <c r="M451" s="0" t="n">
        <v>241.46</v>
      </c>
      <c r="N451" s="0" t="n">
        <v>30.14</v>
      </c>
      <c r="O451" s="0" t="n">
        <v>18.06</v>
      </c>
      <c r="P451" s="0" t="n">
        <v>3.92</v>
      </c>
      <c r="Q451" s="0" t="n">
        <v>3.85</v>
      </c>
      <c r="R451" s="0" t="n">
        <v>4814</v>
      </c>
      <c r="S451" s="0" t="n">
        <v>9678</v>
      </c>
      <c r="U451" s="0" t="n">
        <v>1508</v>
      </c>
      <c r="V451" s="0" t="n">
        <v>0</v>
      </c>
      <c r="W451" s="39" t="n">
        <f aca="false">IF(I451="Male",0,1)</f>
        <v>1</v>
      </c>
      <c r="X451" s="39" t="n">
        <f aca="false">IF(OR(I451="DNB",I451="Dry DNB"),1,0)</f>
        <v>0</v>
      </c>
      <c r="Y451" s="39" t="n">
        <f aca="false">MATCH(A451,DATAS,0)</f>
        <v>1</v>
      </c>
      <c r="Z451" s="39" t="n">
        <f aca="false">IF(AND(E451&gt;0,OR(AND(B451&gt;=1,B451&lt;=6),B451=10)),1,0)</f>
        <v>1</v>
      </c>
      <c r="AA451" s="39" t="n">
        <f aca="false">IF(AND(E451&gt;0,B451=10),1,0)</f>
        <v>0</v>
      </c>
      <c r="AB451" s="0" t="str">
        <f aca="false">IF(AND(C450=C451,Y450=Y451-1),Z450,"")</f>
        <v/>
      </c>
      <c r="AC451" s="0" t="str">
        <f aca="false">IF(AND(C450=C451,Y450=Y451-1),AA450,"")</f>
        <v/>
      </c>
      <c r="AD451" s="0" t="str">
        <f aca="false">IF(Y451=1,"",IF(AND(Z451=1,AB451&lt;&gt;1),1,0))</f>
        <v/>
      </c>
      <c r="AE451" s="0" t="str">
        <f aca="false">IF(Y451=1,"",IF(AND(AA451=1,AC451&lt;&gt;1),1,0))</f>
        <v/>
      </c>
      <c r="AF451" s="45" t="str">
        <f aca="false">IF(AND(E451&gt;0,Y451&lt;1,NOT(AND(C452=C451,Y452=Y451+1))),INDEX(DATAS,Y451+1),"")</f>
        <v/>
      </c>
      <c r="AG451" s="45" t="str">
        <f aca="false">IF(AND(AA451=1,Y451&lt;1),IF(AND(C452=C451,Y452=Y451+1),IF(AA452=1,"",INDEX(DATAS,Y451+1)),INDEX(DATAS,Y451+1)),"")</f>
        <v/>
      </c>
    </row>
    <row r="452" customFormat="false" ht="15" hidden="false" customHeight="false" outlineLevel="0" collapsed="false">
      <c r="A452" s="45" t="n">
        <v>46309</v>
      </c>
      <c r="B452" s="0" t="n">
        <v>7</v>
      </c>
      <c r="C452" s="0" t="n">
        <v>4190</v>
      </c>
      <c r="D452" s="0" t="n">
        <v>286</v>
      </c>
      <c r="E452" s="0" t="n">
        <v>2</v>
      </c>
      <c r="F452" s="39" t="s">
        <v>451</v>
      </c>
      <c r="I452" s="39" t="s">
        <v>114</v>
      </c>
      <c r="J452" s="0" t="n">
        <v>63</v>
      </c>
      <c r="K452" s="0" t="n">
        <v>63</v>
      </c>
      <c r="L452" s="0" t="n">
        <v>252</v>
      </c>
      <c r="M452" s="0" t="n">
        <v>936.09</v>
      </c>
      <c r="N452" s="0" t="n">
        <v>50.51</v>
      </c>
      <c r="O452" s="0" t="n">
        <v>29.73</v>
      </c>
      <c r="P452" s="0" t="n">
        <v>4</v>
      </c>
      <c r="Q452" s="0" t="n">
        <v>3.25</v>
      </c>
      <c r="R452" s="0" t="n">
        <v>5735</v>
      </c>
      <c r="S452" s="0" t="n">
        <v>12325</v>
      </c>
      <c r="T452" s="0" t="n">
        <v>59.55</v>
      </c>
      <c r="U452" s="0" t="n">
        <v>1508</v>
      </c>
      <c r="V452" s="0" t="n">
        <v>1</v>
      </c>
      <c r="W452" s="39" t="n">
        <f aca="false">IF(I452="Male",0,1)</f>
        <v>1</v>
      </c>
      <c r="X452" s="39" t="n">
        <f aca="false">IF(OR(I452="DNB",I452="Dry DNB"),1,0)</f>
        <v>0</v>
      </c>
      <c r="Y452" s="39" t="n">
        <f aca="false">MATCH(A452,DATAS,0)</f>
        <v>1</v>
      </c>
      <c r="Z452" s="39" t="n">
        <f aca="false">IF(AND(E452&gt;0,OR(AND(B452&gt;=1,B452&lt;=6),B452=10)),1,0)</f>
        <v>0</v>
      </c>
      <c r="AA452" s="39" t="n">
        <f aca="false">IF(AND(E452&gt;0,B452=10),1,0)</f>
        <v>0</v>
      </c>
      <c r="AB452" s="0" t="str">
        <f aca="false">IF(AND(C451=C452,Y451=Y452-1),Z451,"")</f>
        <v/>
      </c>
      <c r="AC452" s="0" t="str">
        <f aca="false">IF(AND(C451=C452,Y451=Y452-1),AA451,"")</f>
        <v/>
      </c>
      <c r="AD452" s="0" t="str">
        <f aca="false">IF(Y452=1,"",IF(AND(Z452=1,AB452&lt;&gt;1),1,0))</f>
        <v/>
      </c>
      <c r="AE452" s="0" t="str">
        <f aca="false">IF(Y452=1,"",IF(AND(AA452=1,AC452&lt;&gt;1),1,0))</f>
        <v/>
      </c>
      <c r="AF452" s="45" t="str">
        <f aca="false">IF(AND(E452&gt;0,Y452&lt;1,NOT(AND(C453=C452,Y453=Y452+1))),INDEX(DATAS,Y452+1),"")</f>
        <v/>
      </c>
      <c r="AG452" s="45" t="str">
        <f aca="false">IF(AND(AA452=1,Y452&lt;1),IF(AND(C453=C452,Y453=Y452+1),IF(AA453=1,"",INDEX(DATAS,Y452+1)),INDEX(DATAS,Y452+1)),"")</f>
        <v/>
      </c>
    </row>
    <row r="453" customFormat="false" ht="15" hidden="false" customHeight="false" outlineLevel="0" collapsed="false">
      <c r="A453" s="45" t="n">
        <v>46309</v>
      </c>
      <c r="B453" s="0" t="n">
        <v>3</v>
      </c>
      <c r="C453" s="0" t="n">
        <v>4192</v>
      </c>
      <c r="D453" s="0" t="n">
        <v>261</v>
      </c>
      <c r="E453" s="0" t="n">
        <v>2</v>
      </c>
      <c r="F453" s="39" t="s">
        <v>452</v>
      </c>
      <c r="G453" s="0" t="n">
        <v>53.9</v>
      </c>
      <c r="H453" s="0" t="n">
        <v>55</v>
      </c>
      <c r="I453" s="39" t="s">
        <v>109</v>
      </c>
      <c r="J453" s="0" t="n">
        <v>65</v>
      </c>
      <c r="K453" s="0" t="n">
        <v>65</v>
      </c>
      <c r="L453" s="0" t="n">
        <v>196</v>
      </c>
      <c r="M453" s="0" t="n">
        <v>832.37</v>
      </c>
      <c r="N453" s="0" t="n">
        <v>46.77</v>
      </c>
      <c r="O453" s="0" t="n">
        <v>27.98</v>
      </c>
      <c r="P453" s="0" t="n">
        <v>3.13</v>
      </c>
      <c r="Q453" s="0" t="n">
        <v>3.09</v>
      </c>
      <c r="R453" s="0" t="n">
        <v>5917</v>
      </c>
      <c r="S453" s="0" t="n">
        <v>13037</v>
      </c>
      <c r="T453" s="0" t="n">
        <v>60.65</v>
      </c>
      <c r="U453" s="0" t="n">
        <v>1506</v>
      </c>
      <c r="V453" s="0" t="n">
        <v>1</v>
      </c>
      <c r="W453" s="39" t="n">
        <f aca="false">IF(I453="Male",0,1)</f>
        <v>1</v>
      </c>
      <c r="X453" s="39" t="n">
        <f aca="false">IF(OR(I453="DNB",I453="Dry DNB"),1,0)</f>
        <v>0</v>
      </c>
      <c r="Y453" s="39" t="n">
        <f aca="false">MATCH(A453,DATAS,0)</f>
        <v>1</v>
      </c>
      <c r="Z453" s="39" t="n">
        <f aca="false">IF(AND(E453&gt;0,OR(AND(B453&gt;=1,B453&lt;=6),B453=10)),1,0)</f>
        <v>1</v>
      </c>
      <c r="AA453" s="39" t="n">
        <f aca="false">IF(AND(E453&gt;0,B453=10),1,0)</f>
        <v>0</v>
      </c>
      <c r="AB453" s="0" t="str">
        <f aca="false">IF(AND(C452=C453,Y452=Y453-1),Z452,"")</f>
        <v/>
      </c>
      <c r="AC453" s="0" t="str">
        <f aca="false">IF(AND(C452=C453,Y452=Y453-1),AA452,"")</f>
        <v/>
      </c>
      <c r="AD453" s="0" t="str">
        <f aca="false">IF(Y453=1,"",IF(AND(Z453=1,AB453&lt;&gt;1),1,0))</f>
        <v/>
      </c>
      <c r="AE453" s="0" t="str">
        <f aca="false">IF(Y453=1,"",IF(AND(AA453=1,AC453&lt;&gt;1),1,0))</f>
        <v/>
      </c>
      <c r="AF453" s="45" t="str">
        <f aca="false">IF(AND(E453&gt;0,Y453&lt;1,NOT(AND(C454=C453,Y454=Y453+1))),INDEX(DATAS,Y453+1),"")</f>
        <v/>
      </c>
      <c r="AG453" s="45" t="str">
        <f aca="false">IF(AND(AA453=1,Y453&lt;1),IF(AND(C454=C453,Y454=Y453+1),IF(AA454=1,"",INDEX(DATAS,Y453+1)),INDEX(DATAS,Y453+1)),"")</f>
        <v/>
      </c>
    </row>
    <row r="454" customFormat="false" ht="15" hidden="false" customHeight="false" outlineLevel="0" collapsed="false">
      <c r="A454" s="45" t="n">
        <v>46309</v>
      </c>
      <c r="B454" s="0" t="n">
        <v>5</v>
      </c>
      <c r="C454" s="0" t="n">
        <v>4193</v>
      </c>
      <c r="D454" s="0" t="n">
        <v>142</v>
      </c>
      <c r="E454" s="0" t="n">
        <v>3</v>
      </c>
      <c r="F454" s="39" t="s">
        <v>452</v>
      </c>
      <c r="G454" s="0" t="n">
        <v>41.1</v>
      </c>
      <c r="H454" s="0" t="n">
        <v>44</v>
      </c>
      <c r="I454" s="39" t="s">
        <v>146</v>
      </c>
      <c r="J454" s="0" t="n">
        <v>142</v>
      </c>
      <c r="K454" s="0" t="n">
        <v>65</v>
      </c>
      <c r="M454" s="0" t="n">
        <v>492.96</v>
      </c>
      <c r="N454" s="0" t="n">
        <v>32.39</v>
      </c>
      <c r="O454" s="0" t="n">
        <v>20.39</v>
      </c>
      <c r="P454" s="0" t="n">
        <v>3.67</v>
      </c>
      <c r="Q454" s="0" t="n">
        <v>3.61</v>
      </c>
      <c r="R454" s="0" t="n">
        <v>5890</v>
      </c>
      <c r="S454" s="0" t="n">
        <v>11552</v>
      </c>
      <c r="T454" s="0" t="n">
        <v>64.3</v>
      </c>
      <c r="U454" s="0" t="n">
        <v>1506</v>
      </c>
      <c r="V454" s="0" t="n">
        <v>1</v>
      </c>
      <c r="W454" s="39" t="n">
        <f aca="false">IF(I454="Male",0,1)</f>
        <v>1</v>
      </c>
      <c r="X454" s="39" t="n">
        <f aca="false">IF(OR(I454="DNB",I454="Dry DNB"),1,0)</f>
        <v>0</v>
      </c>
      <c r="Y454" s="39" t="n">
        <f aca="false">MATCH(A454,DATAS,0)</f>
        <v>1</v>
      </c>
      <c r="Z454" s="39" t="n">
        <f aca="false">IF(AND(E454&gt;0,OR(AND(B454&gt;=1,B454&lt;=6),B454=10)),1,0)</f>
        <v>1</v>
      </c>
      <c r="AA454" s="39" t="n">
        <f aca="false">IF(AND(E454&gt;0,B454=10),1,0)</f>
        <v>0</v>
      </c>
      <c r="AB454" s="0" t="str">
        <f aca="false">IF(AND(C453=C454,Y453=Y454-1),Z453,"")</f>
        <v/>
      </c>
      <c r="AC454" s="0" t="str">
        <f aca="false">IF(AND(C453=C454,Y453=Y454-1),AA453,"")</f>
        <v/>
      </c>
      <c r="AD454" s="0" t="str">
        <f aca="false">IF(Y454=1,"",IF(AND(Z454=1,AB454&lt;&gt;1),1,0))</f>
        <v/>
      </c>
      <c r="AE454" s="0" t="str">
        <f aca="false">IF(Y454=1,"",IF(AND(AA454=1,AC454&lt;&gt;1),1,0))</f>
        <v/>
      </c>
      <c r="AF454" s="45" t="str">
        <f aca="false">IF(AND(E454&gt;0,Y454&lt;1,NOT(AND(C455=C454,Y455=Y454+1))),INDEX(DATAS,Y454+1),"")</f>
        <v/>
      </c>
      <c r="AG454" s="45" t="str">
        <f aca="false">IF(AND(AA454=1,Y454&lt;1),IF(AND(C455=C454,Y455=Y454+1),IF(AA455=1,"",INDEX(DATAS,Y454+1)),INDEX(DATAS,Y454+1)),"")</f>
        <v/>
      </c>
    </row>
    <row r="455" customFormat="false" ht="15" hidden="false" customHeight="false" outlineLevel="0" collapsed="false">
      <c r="A455" s="45" t="n">
        <v>46309</v>
      </c>
      <c r="B455" s="0" t="n">
        <v>6</v>
      </c>
      <c r="C455" s="0" t="n">
        <v>4194</v>
      </c>
      <c r="D455" s="0" t="n">
        <v>136</v>
      </c>
      <c r="E455" s="0" t="n">
        <v>3</v>
      </c>
      <c r="F455" s="39" t="s">
        <v>453</v>
      </c>
      <c r="G455" s="0" t="n">
        <v>26.6</v>
      </c>
      <c r="H455" s="0" t="n">
        <v>27</v>
      </c>
      <c r="I455" s="39" t="s">
        <v>138</v>
      </c>
      <c r="J455" s="0" t="n">
        <v>136</v>
      </c>
      <c r="K455" s="0" t="n">
        <v>73</v>
      </c>
      <c r="M455" s="0" t="n">
        <v>864.4</v>
      </c>
      <c r="N455" s="0" t="n">
        <v>74.21</v>
      </c>
      <c r="O455" s="0" t="n">
        <v>39.82</v>
      </c>
      <c r="P455" s="0" t="n">
        <v>6.21</v>
      </c>
      <c r="Q455" s="0" t="n">
        <v>4.47</v>
      </c>
      <c r="R455" s="0" t="n">
        <v>2297</v>
      </c>
      <c r="S455" s="0" t="n">
        <v>4801</v>
      </c>
      <c r="T455" s="0" t="n">
        <v>24.4</v>
      </c>
      <c r="U455" s="0" t="n">
        <v>1505</v>
      </c>
      <c r="V455" s="0" t="n">
        <v>2</v>
      </c>
      <c r="W455" s="39" t="n">
        <f aca="false">IF(I455="Male",0,1)</f>
        <v>1</v>
      </c>
      <c r="X455" s="39" t="n">
        <f aca="false">IF(OR(I455="DNB",I455="Dry DNB"),1,0)</f>
        <v>0</v>
      </c>
      <c r="Y455" s="39" t="n">
        <f aca="false">MATCH(A455,DATAS,0)</f>
        <v>1</v>
      </c>
      <c r="Z455" s="39" t="n">
        <f aca="false">IF(AND(E455&gt;0,OR(AND(B455&gt;=1,B455&lt;=6),B455=10)),1,0)</f>
        <v>1</v>
      </c>
      <c r="AA455" s="39" t="n">
        <f aca="false">IF(AND(E455&gt;0,B455=10),1,0)</f>
        <v>0</v>
      </c>
      <c r="AB455" s="0" t="str">
        <f aca="false">IF(AND(C454=C455,Y454=Y455-1),Z454,"")</f>
        <v/>
      </c>
      <c r="AC455" s="0" t="str">
        <f aca="false">IF(AND(C454=C455,Y454=Y455-1),AA454,"")</f>
        <v/>
      </c>
      <c r="AD455" s="0" t="str">
        <f aca="false">IF(Y455=1,"",IF(AND(Z455=1,AB455&lt;&gt;1),1,0))</f>
        <v/>
      </c>
      <c r="AE455" s="0" t="str">
        <f aca="false">IF(Y455=1,"",IF(AND(AA455=1,AC455&lt;&gt;1),1,0))</f>
        <v/>
      </c>
      <c r="AF455" s="45" t="str">
        <f aca="false">IF(AND(E455&gt;0,Y455&lt;1,NOT(AND(C456=C455,Y456=Y455+1))),INDEX(DATAS,Y455+1),"")</f>
        <v/>
      </c>
      <c r="AG455" s="45" t="str">
        <f aca="false">IF(AND(AA455=1,Y455&lt;1),IF(AND(C456=C455,Y456=Y455+1),IF(AA456=1,"",INDEX(DATAS,Y455+1)),INDEX(DATAS,Y455+1)),"")</f>
        <v/>
      </c>
    </row>
    <row r="456" customFormat="false" ht="15" hidden="false" customHeight="false" outlineLevel="0" collapsed="false">
      <c r="A456" s="45" t="n">
        <v>46309</v>
      </c>
      <c r="B456" s="0" t="n">
        <v>5</v>
      </c>
      <c r="C456" s="0" t="n">
        <v>4196</v>
      </c>
      <c r="D456" s="0" t="n">
        <v>162</v>
      </c>
      <c r="E456" s="0" t="n">
        <v>2</v>
      </c>
      <c r="F456" s="39" t="s">
        <v>454</v>
      </c>
      <c r="G456" s="0" t="n">
        <v>41.8</v>
      </c>
      <c r="H456" s="0" t="n">
        <v>40</v>
      </c>
      <c r="I456" s="39" t="s">
        <v>146</v>
      </c>
      <c r="J456" s="0" t="n">
        <v>162</v>
      </c>
      <c r="K456" s="0" t="n">
        <v>64</v>
      </c>
      <c r="M456" s="0" t="n">
        <v>97.12</v>
      </c>
      <c r="N456" s="0" t="n">
        <v>79.55</v>
      </c>
      <c r="O456" s="0" t="n">
        <v>27.03</v>
      </c>
      <c r="P456" s="0" t="n">
        <v>4.67</v>
      </c>
      <c r="Q456" s="0" t="n">
        <v>3.74</v>
      </c>
      <c r="R456" s="0" t="n">
        <v>4986</v>
      </c>
      <c r="S456" s="0" t="n">
        <v>9438</v>
      </c>
      <c r="T456" s="0" t="n">
        <v>51.85</v>
      </c>
      <c r="U456" s="0" t="n">
        <v>1504</v>
      </c>
      <c r="V456" s="0" t="n">
        <v>2</v>
      </c>
      <c r="W456" s="39" t="n">
        <f aca="false">IF(I456="Male",0,1)</f>
        <v>1</v>
      </c>
      <c r="X456" s="39" t="n">
        <f aca="false">IF(OR(I456="DNB",I456="Dry DNB"),1,0)</f>
        <v>0</v>
      </c>
      <c r="Y456" s="39" t="n">
        <f aca="false">MATCH(A456,DATAS,0)</f>
        <v>1</v>
      </c>
      <c r="Z456" s="39" t="n">
        <f aca="false">IF(AND(E456&gt;0,OR(AND(B456&gt;=1,B456&lt;=6),B456=10)),1,0)</f>
        <v>1</v>
      </c>
      <c r="AA456" s="39" t="n">
        <f aca="false">IF(AND(E456&gt;0,B456=10),1,0)</f>
        <v>0</v>
      </c>
      <c r="AB456" s="0" t="str">
        <f aca="false">IF(AND(C455=C456,Y455=Y456-1),Z455,"")</f>
        <v/>
      </c>
      <c r="AC456" s="0" t="str">
        <f aca="false">IF(AND(C455=C456,Y455=Y456-1),AA455,"")</f>
        <v/>
      </c>
      <c r="AD456" s="0" t="str">
        <f aca="false">IF(Y456=1,"",IF(AND(Z456=1,AB456&lt;&gt;1),1,0))</f>
        <v/>
      </c>
      <c r="AE456" s="0" t="str">
        <f aca="false">IF(Y456=1,"",IF(AND(AA456=1,AC456&lt;&gt;1),1,0))</f>
        <v/>
      </c>
      <c r="AF456" s="45" t="str">
        <f aca="false">IF(AND(E456&gt;0,Y456&lt;1,NOT(AND(C457=C456,Y457=Y456+1))),INDEX(DATAS,Y456+1),"")</f>
        <v/>
      </c>
      <c r="AG456" s="45" t="str">
        <f aca="false">IF(AND(AA456=1,Y456&lt;1),IF(AND(C457=C456,Y457=Y456+1),IF(AA457=1,"",INDEX(DATAS,Y456+1)),INDEX(DATAS,Y456+1)),"")</f>
        <v/>
      </c>
    </row>
    <row r="457" customFormat="false" ht="15" hidden="false" customHeight="false" outlineLevel="0" collapsed="false">
      <c r="A457" s="45" t="n">
        <v>46309</v>
      </c>
      <c r="B457" s="0" t="n">
        <v>5</v>
      </c>
      <c r="C457" s="0" t="n">
        <v>4197</v>
      </c>
      <c r="D457" s="0" t="n">
        <v>249</v>
      </c>
      <c r="E457" s="0" t="n">
        <v>2</v>
      </c>
      <c r="F457" s="39" t="s">
        <v>455</v>
      </c>
      <c r="G457" s="0" t="n">
        <v>36.4</v>
      </c>
      <c r="H457" s="0" t="n">
        <v>39</v>
      </c>
      <c r="I457" s="39" t="s">
        <v>138</v>
      </c>
      <c r="J457" s="0" t="n">
        <v>249</v>
      </c>
      <c r="K457" s="0" t="n">
        <v>67</v>
      </c>
      <c r="M457" s="0" t="n">
        <v>135.76</v>
      </c>
      <c r="N457" s="0" t="n">
        <v>54.26</v>
      </c>
      <c r="O457" s="0" t="n">
        <v>24.74</v>
      </c>
      <c r="P457" s="0" t="n">
        <v>4.35</v>
      </c>
      <c r="Q457" s="0" t="n">
        <v>3.99</v>
      </c>
      <c r="R457" s="0" t="n">
        <v>5339</v>
      </c>
      <c r="S457" s="0" t="n">
        <v>10900</v>
      </c>
      <c r="T457" s="0" t="n">
        <v>61.55</v>
      </c>
      <c r="U457" s="0" t="n">
        <v>1503</v>
      </c>
      <c r="V457" s="0" t="n">
        <v>4</v>
      </c>
      <c r="W457" s="39" t="n">
        <f aca="false">IF(I457="Male",0,1)</f>
        <v>1</v>
      </c>
      <c r="X457" s="39" t="n">
        <f aca="false">IF(OR(I457="DNB",I457="Dry DNB"),1,0)</f>
        <v>0</v>
      </c>
      <c r="Y457" s="39" t="n">
        <f aca="false">MATCH(A457,DATAS,0)</f>
        <v>1</v>
      </c>
      <c r="Z457" s="39" t="n">
        <f aca="false">IF(AND(E457&gt;0,OR(AND(B457&gt;=1,B457&lt;=6),B457=10)),1,0)</f>
        <v>1</v>
      </c>
      <c r="AA457" s="39" t="n">
        <f aca="false">IF(AND(E457&gt;0,B457=10),1,0)</f>
        <v>0</v>
      </c>
      <c r="AB457" s="0" t="str">
        <f aca="false">IF(AND(C456=C457,Y456=Y457-1),Z456,"")</f>
        <v/>
      </c>
      <c r="AC457" s="0" t="str">
        <f aca="false">IF(AND(C456=C457,Y456=Y457-1),AA456,"")</f>
        <v/>
      </c>
      <c r="AD457" s="0" t="str">
        <f aca="false">IF(Y457=1,"",IF(AND(Z457=1,AB457&lt;&gt;1),1,0))</f>
        <v/>
      </c>
      <c r="AE457" s="0" t="str">
        <f aca="false">IF(Y457=1,"",IF(AND(AA457=1,AC457&lt;&gt;1),1,0))</f>
        <v/>
      </c>
      <c r="AF457" s="45" t="str">
        <f aca="false">IF(AND(E457&gt;0,Y457&lt;1,NOT(AND(C458=C457,Y458=Y457+1))),INDEX(DATAS,Y457+1),"")</f>
        <v/>
      </c>
      <c r="AG457" s="45" t="str">
        <f aca="false">IF(AND(AA457=1,Y457&lt;1),IF(AND(C458=C457,Y458=Y457+1),IF(AA458=1,"",INDEX(DATAS,Y457+1)),INDEX(DATAS,Y457+1)),"")</f>
        <v/>
      </c>
    </row>
    <row r="458" customFormat="false" ht="15" hidden="false" customHeight="false" outlineLevel="0" collapsed="false">
      <c r="A458" s="45" t="n">
        <v>46309</v>
      </c>
      <c r="B458" s="0" t="n">
        <v>5</v>
      </c>
      <c r="C458" s="0" t="n">
        <v>4200</v>
      </c>
      <c r="D458" s="0" t="n">
        <v>46</v>
      </c>
      <c r="E458" s="0" t="n">
        <v>3</v>
      </c>
      <c r="F458" s="39" t="s">
        <v>456</v>
      </c>
      <c r="G458" s="0" t="n">
        <v>44.1</v>
      </c>
      <c r="H458" s="0" t="n">
        <v>41</v>
      </c>
      <c r="I458" s="39" t="s">
        <v>118</v>
      </c>
      <c r="J458" s="0" t="n">
        <v>46</v>
      </c>
      <c r="M458" s="0" t="n">
        <v>1193.5</v>
      </c>
      <c r="N458" s="0" t="n">
        <v>46.33</v>
      </c>
      <c r="O458" s="0" t="n">
        <v>36.44</v>
      </c>
      <c r="P458" s="0" t="n">
        <v>2.9</v>
      </c>
      <c r="Q458" s="0" t="n">
        <v>3.21</v>
      </c>
      <c r="R458" s="0" t="n">
        <v>3977</v>
      </c>
      <c r="S458" s="0" t="n">
        <v>7994</v>
      </c>
      <c r="U458" s="0" t="n">
        <v>1501</v>
      </c>
      <c r="V458" s="0" t="n">
        <v>0</v>
      </c>
      <c r="W458" s="39" t="n">
        <f aca="false">IF(I458="Male",0,1)</f>
        <v>1</v>
      </c>
      <c r="X458" s="39" t="n">
        <f aca="false">IF(OR(I458="DNB",I458="Dry DNB"),1,0)</f>
        <v>0</v>
      </c>
      <c r="Y458" s="39" t="n">
        <f aca="false">MATCH(A458,DATAS,0)</f>
        <v>1</v>
      </c>
      <c r="Z458" s="39" t="n">
        <f aca="false">IF(AND(E458&gt;0,OR(AND(B458&gt;=1,B458&lt;=6),B458=10)),1,0)</f>
        <v>1</v>
      </c>
      <c r="AA458" s="39" t="n">
        <f aca="false">IF(AND(E458&gt;0,B458=10),1,0)</f>
        <v>0</v>
      </c>
      <c r="AB458" s="0" t="str">
        <f aca="false">IF(AND(C457=C458,Y457=Y458-1),Z457,"")</f>
        <v/>
      </c>
      <c r="AC458" s="0" t="str">
        <f aca="false">IF(AND(C457=C458,Y457=Y458-1),AA457,"")</f>
        <v/>
      </c>
      <c r="AD458" s="0" t="str">
        <f aca="false">IF(Y458=1,"",IF(AND(Z458=1,AB458&lt;&gt;1),1,0))</f>
        <v/>
      </c>
      <c r="AE458" s="0" t="str">
        <f aca="false">IF(Y458=1,"",IF(AND(AA458=1,AC458&lt;&gt;1),1,0))</f>
        <v/>
      </c>
      <c r="AF458" s="45" t="str">
        <f aca="false">IF(AND(E458&gt;0,Y458&lt;1,NOT(AND(C459=C458,Y459=Y458+1))),INDEX(DATAS,Y458+1),"")</f>
        <v/>
      </c>
      <c r="AG458" s="45" t="str">
        <f aca="false">IF(AND(AA458=1,Y458&lt;1),IF(AND(C459=C458,Y459=Y458+1),IF(AA459=1,"",INDEX(DATAS,Y458+1)),INDEX(DATAS,Y458+1)),"")</f>
        <v/>
      </c>
    </row>
    <row r="459" customFormat="false" ht="15" hidden="false" customHeight="false" outlineLevel="0" collapsed="false">
      <c r="A459" s="45" t="n">
        <v>46309</v>
      </c>
      <c r="B459" s="0" t="n">
        <v>5</v>
      </c>
      <c r="C459" s="0" t="n">
        <v>4204</v>
      </c>
      <c r="D459" s="0" t="n">
        <v>445</v>
      </c>
      <c r="E459" s="0" t="n">
        <v>2</v>
      </c>
      <c r="F459" s="39" t="s">
        <v>457</v>
      </c>
      <c r="G459" s="0" t="n">
        <v>27.5</v>
      </c>
      <c r="H459" s="0" t="n">
        <v>23</v>
      </c>
      <c r="I459" s="39" t="s">
        <v>109</v>
      </c>
      <c r="J459" s="0" t="n">
        <v>287</v>
      </c>
      <c r="K459" s="0" t="n">
        <v>60</v>
      </c>
      <c r="L459" s="0" t="n">
        <v>158</v>
      </c>
      <c r="M459" s="0" t="n">
        <v>667.19</v>
      </c>
      <c r="N459" s="0" t="n">
        <v>91.4</v>
      </c>
      <c r="O459" s="0" t="n">
        <v>46.86</v>
      </c>
      <c r="P459" s="0" t="n">
        <v>6.95</v>
      </c>
      <c r="Q459" s="0" t="n">
        <v>4.7</v>
      </c>
      <c r="R459" s="0" t="n">
        <v>6112</v>
      </c>
      <c r="S459" s="0" t="n">
        <v>12691</v>
      </c>
      <c r="T459" s="0" t="n">
        <v>66.65</v>
      </c>
      <c r="U459" s="0" t="n">
        <v>1500</v>
      </c>
      <c r="V459" s="0" t="n">
        <v>7</v>
      </c>
      <c r="W459" s="39" t="n">
        <f aca="false">IF(I459="Male",0,1)</f>
        <v>1</v>
      </c>
      <c r="X459" s="39" t="n">
        <f aca="false">IF(OR(I459="DNB",I459="Dry DNB"),1,0)</f>
        <v>0</v>
      </c>
      <c r="Y459" s="39" t="n">
        <f aca="false">MATCH(A459,DATAS,0)</f>
        <v>1</v>
      </c>
      <c r="Z459" s="39" t="n">
        <f aca="false">IF(AND(E459&gt;0,OR(AND(B459&gt;=1,B459&lt;=6),B459=10)),1,0)</f>
        <v>1</v>
      </c>
      <c r="AA459" s="39" t="n">
        <f aca="false">IF(AND(E459&gt;0,B459=10),1,0)</f>
        <v>0</v>
      </c>
      <c r="AB459" s="0" t="str">
        <f aca="false">IF(AND(C458=C459,Y458=Y459-1),Z458,"")</f>
        <v/>
      </c>
      <c r="AC459" s="0" t="str">
        <f aca="false">IF(AND(C458=C459,Y458=Y459-1),AA458,"")</f>
        <v/>
      </c>
      <c r="AD459" s="0" t="str">
        <f aca="false">IF(Y459=1,"",IF(AND(Z459=1,AB459&lt;&gt;1),1,0))</f>
        <v/>
      </c>
      <c r="AE459" s="0" t="str">
        <f aca="false">IF(Y459=1,"",IF(AND(AA459=1,AC459&lt;&gt;1),1,0))</f>
        <v/>
      </c>
      <c r="AF459" s="45" t="str">
        <f aca="false">IF(AND(E459&gt;0,Y459&lt;1,NOT(AND(C460=C459,Y460=Y459+1))),INDEX(DATAS,Y459+1),"")</f>
        <v/>
      </c>
      <c r="AG459" s="45" t="str">
        <f aca="false">IF(AND(AA459=1,Y459&lt;1),IF(AND(C460=C459,Y460=Y459+1),IF(AA460=1,"",INDEX(DATAS,Y459+1)),INDEX(DATAS,Y459+1)),"")</f>
        <v/>
      </c>
    </row>
    <row r="460" customFormat="false" ht="15" hidden="false" customHeight="false" outlineLevel="0" collapsed="false">
      <c r="A460" s="45" t="n">
        <v>46309</v>
      </c>
      <c r="B460" s="0" t="n">
        <v>5</v>
      </c>
      <c r="C460" s="0" t="n">
        <v>4207</v>
      </c>
      <c r="D460" s="0" t="n">
        <v>99</v>
      </c>
      <c r="E460" s="0" t="n">
        <v>3</v>
      </c>
      <c r="F460" s="39" t="s">
        <v>458</v>
      </c>
      <c r="G460" s="0" t="n">
        <v>45.9</v>
      </c>
      <c r="H460" s="0" t="n">
        <v>42</v>
      </c>
      <c r="I460" s="39" t="s">
        <v>138</v>
      </c>
      <c r="J460" s="0" t="n">
        <v>99</v>
      </c>
      <c r="K460" s="0" t="n">
        <v>92</v>
      </c>
      <c r="M460" s="0" t="n">
        <v>-10.04</v>
      </c>
      <c r="N460" s="0" t="n">
        <v>18.81</v>
      </c>
      <c r="O460" s="0" t="n">
        <v>2.96</v>
      </c>
      <c r="P460" s="0" t="n">
        <v>3.31</v>
      </c>
      <c r="Q460" s="0" t="n">
        <v>2.86</v>
      </c>
      <c r="R460" s="0" t="n">
        <v>4714</v>
      </c>
      <c r="S460" s="0" t="n">
        <v>9476</v>
      </c>
      <c r="T460" s="0" t="n">
        <v>50.35</v>
      </c>
      <c r="U460" s="0" t="n">
        <v>1498</v>
      </c>
      <c r="V460" s="0" t="n">
        <v>1</v>
      </c>
      <c r="W460" s="39" t="n">
        <f aca="false">IF(I460="Male",0,1)</f>
        <v>1</v>
      </c>
      <c r="X460" s="39" t="n">
        <f aca="false">IF(OR(I460="DNB",I460="Dry DNB"),1,0)</f>
        <v>0</v>
      </c>
      <c r="Y460" s="39" t="n">
        <f aca="false">MATCH(A460,DATAS,0)</f>
        <v>1</v>
      </c>
      <c r="Z460" s="39" t="n">
        <f aca="false">IF(AND(E460&gt;0,OR(AND(B460&gt;=1,B460&lt;=6),B460=10)),1,0)</f>
        <v>1</v>
      </c>
      <c r="AA460" s="39" t="n">
        <f aca="false">IF(AND(E460&gt;0,B460=10),1,0)</f>
        <v>0</v>
      </c>
      <c r="AB460" s="0" t="str">
        <f aca="false">IF(AND(C459=C460,Y459=Y460-1),Z459,"")</f>
        <v/>
      </c>
      <c r="AC460" s="0" t="str">
        <f aca="false">IF(AND(C459=C460,Y459=Y460-1),AA459,"")</f>
        <v/>
      </c>
      <c r="AD460" s="0" t="str">
        <f aca="false">IF(Y460=1,"",IF(AND(Z460=1,AB460&lt;&gt;1),1,0))</f>
        <v/>
      </c>
      <c r="AE460" s="0" t="str">
        <f aca="false">IF(Y460=1,"",IF(AND(AA460=1,AC460&lt;&gt;1),1,0))</f>
        <v/>
      </c>
      <c r="AF460" s="45" t="str">
        <f aca="false">IF(AND(E460&gt;0,Y460&lt;1,NOT(AND(C461=C460,Y461=Y460+1))),INDEX(DATAS,Y460+1),"")</f>
        <v/>
      </c>
      <c r="AG460" s="45" t="str">
        <f aca="false">IF(AND(AA460=1,Y460&lt;1),IF(AND(C461=C460,Y461=Y460+1),IF(AA461=1,"",INDEX(DATAS,Y460+1)),INDEX(DATAS,Y460+1)),"")</f>
        <v/>
      </c>
    </row>
    <row r="461" customFormat="false" ht="15" hidden="false" customHeight="false" outlineLevel="0" collapsed="false">
      <c r="A461" s="45" t="n">
        <v>46309</v>
      </c>
      <c r="B461" s="0" t="n">
        <v>10</v>
      </c>
      <c r="C461" s="0" t="n">
        <v>4209</v>
      </c>
      <c r="D461" s="0" t="n">
        <v>16</v>
      </c>
      <c r="E461" s="0" t="n">
        <v>3</v>
      </c>
      <c r="F461" s="39" t="s">
        <v>459</v>
      </c>
      <c r="H461" s="0" t="n">
        <v>15</v>
      </c>
      <c r="I461" s="39" t="s">
        <v>118</v>
      </c>
      <c r="J461" s="0" t="n">
        <v>16</v>
      </c>
      <c r="M461" s="0" t="n">
        <v>152.51</v>
      </c>
      <c r="N461" s="0" t="n">
        <v>66.09</v>
      </c>
      <c r="O461" s="0" t="n">
        <v>29.96</v>
      </c>
      <c r="R461" s="0" t="n">
        <v>1470</v>
      </c>
      <c r="S461" s="0" t="n">
        <v>2955</v>
      </c>
      <c r="U461" s="0" t="n">
        <v>1495</v>
      </c>
      <c r="V461" s="0" t="n">
        <v>0</v>
      </c>
      <c r="W461" s="39" t="n">
        <f aca="false">IF(I461="Male",0,1)</f>
        <v>1</v>
      </c>
      <c r="X461" s="39" t="n">
        <f aca="false">IF(OR(I461="DNB",I461="Dry DNB"),1,0)</f>
        <v>0</v>
      </c>
      <c r="Y461" s="39" t="n">
        <f aca="false">MATCH(A461,DATAS,0)</f>
        <v>1</v>
      </c>
      <c r="Z461" s="39" t="n">
        <f aca="false">IF(AND(E461&gt;0,OR(AND(B461&gt;=1,B461&lt;=6),B461=10)),1,0)</f>
        <v>1</v>
      </c>
      <c r="AA461" s="39" t="n">
        <f aca="false">IF(AND(E461&gt;0,B461=10),1,0)</f>
        <v>1</v>
      </c>
      <c r="AB461" s="0" t="str">
        <f aca="false">IF(AND(C460=C461,Y460=Y461-1),Z460,"")</f>
        <v/>
      </c>
      <c r="AC461" s="0" t="str">
        <f aca="false">IF(AND(C460=C461,Y460=Y461-1),AA460,"")</f>
        <v/>
      </c>
      <c r="AD461" s="0" t="str">
        <f aca="false">IF(Y461=1,"",IF(AND(Z461=1,AB461&lt;&gt;1),1,0))</f>
        <v/>
      </c>
      <c r="AE461" s="0" t="str">
        <f aca="false">IF(Y461=1,"",IF(AND(AA461=1,AC461&lt;&gt;1),1,0))</f>
        <v/>
      </c>
      <c r="AF461" s="45" t="str">
        <f aca="false">IF(AND(E461&gt;0,Y461&lt;1,NOT(AND(C462=C461,Y462=Y461+1))),INDEX(DATAS,Y461+1),"")</f>
        <v/>
      </c>
      <c r="AG461" s="45" t="str">
        <f aca="false">IF(AND(AA461=1,Y461&lt;1),IF(AND(C462=C461,Y462=Y461+1),IF(AA462=1,"",INDEX(DATAS,Y461+1)),INDEX(DATAS,Y461+1)),"")</f>
        <v/>
      </c>
    </row>
    <row r="462" customFormat="false" ht="15" hidden="false" customHeight="false" outlineLevel="0" collapsed="false">
      <c r="A462" s="45" t="n">
        <v>46309</v>
      </c>
      <c r="B462" s="0" t="n">
        <v>7</v>
      </c>
      <c r="C462" s="0" t="n">
        <v>4210</v>
      </c>
      <c r="D462" s="0" t="n">
        <v>349</v>
      </c>
      <c r="E462" s="0" t="n">
        <v>2</v>
      </c>
      <c r="F462" s="39" t="s">
        <v>459</v>
      </c>
      <c r="I462" s="39" t="s">
        <v>114</v>
      </c>
      <c r="J462" s="0" t="n">
        <v>125</v>
      </c>
      <c r="K462" s="0" t="n">
        <v>69</v>
      </c>
      <c r="L462" s="0" t="n">
        <v>252</v>
      </c>
      <c r="M462" s="0" t="n">
        <v>703.84</v>
      </c>
      <c r="N462" s="0" t="n">
        <v>68.41</v>
      </c>
      <c r="O462" s="0" t="n">
        <v>27.88</v>
      </c>
      <c r="P462" s="0" t="n">
        <v>3.75</v>
      </c>
      <c r="Q462" s="0" t="n">
        <v>3.24</v>
      </c>
      <c r="R462" s="0" t="n">
        <v>6083</v>
      </c>
      <c r="S462" s="0" t="n">
        <v>10874</v>
      </c>
      <c r="T462" s="0" t="n">
        <v>67.95</v>
      </c>
      <c r="U462" s="0" t="n">
        <v>1495</v>
      </c>
      <c r="V462" s="0" t="n">
        <v>2</v>
      </c>
      <c r="W462" s="39" t="n">
        <f aca="false">IF(I462="Male",0,1)</f>
        <v>1</v>
      </c>
      <c r="X462" s="39" t="n">
        <f aca="false">IF(OR(I462="DNB",I462="Dry DNB"),1,0)</f>
        <v>0</v>
      </c>
      <c r="Y462" s="39" t="n">
        <f aca="false">MATCH(A462,DATAS,0)</f>
        <v>1</v>
      </c>
      <c r="Z462" s="39" t="n">
        <f aca="false">IF(AND(E462&gt;0,OR(AND(B462&gt;=1,B462&lt;=6),B462=10)),1,0)</f>
        <v>0</v>
      </c>
      <c r="AA462" s="39" t="n">
        <f aca="false">IF(AND(E462&gt;0,B462=10),1,0)</f>
        <v>0</v>
      </c>
      <c r="AB462" s="0" t="str">
        <f aca="false">IF(AND(C461=C462,Y461=Y462-1),Z461,"")</f>
        <v/>
      </c>
      <c r="AC462" s="0" t="str">
        <f aca="false">IF(AND(C461=C462,Y461=Y462-1),AA461,"")</f>
        <v/>
      </c>
      <c r="AD462" s="0" t="str">
        <f aca="false">IF(Y462=1,"",IF(AND(Z462=1,AB462&lt;&gt;1),1,0))</f>
        <v/>
      </c>
      <c r="AE462" s="0" t="str">
        <f aca="false">IF(Y462=1,"",IF(AND(AA462=1,AC462&lt;&gt;1),1,0))</f>
        <v/>
      </c>
      <c r="AF462" s="45" t="str">
        <f aca="false">IF(AND(E462&gt;0,Y462&lt;1,NOT(AND(C463=C462,Y463=Y462+1))),INDEX(DATAS,Y462+1),"")</f>
        <v/>
      </c>
      <c r="AG462" s="45" t="str">
        <f aca="false">IF(AND(AA462=1,Y462&lt;1),IF(AND(C463=C462,Y463=Y462+1),IF(AA463=1,"",INDEX(DATAS,Y462+1)),INDEX(DATAS,Y462+1)),"")</f>
        <v/>
      </c>
    </row>
    <row r="463" customFormat="false" ht="15" hidden="false" customHeight="false" outlineLevel="0" collapsed="false">
      <c r="A463" s="45" t="n">
        <v>46309</v>
      </c>
      <c r="B463" s="0" t="n">
        <v>2</v>
      </c>
      <c r="C463" s="0" t="n">
        <v>4211</v>
      </c>
      <c r="D463" s="0" t="n">
        <v>44</v>
      </c>
      <c r="E463" s="0" t="n">
        <v>3</v>
      </c>
      <c r="F463" s="39" t="s">
        <v>459</v>
      </c>
      <c r="G463" s="0" t="n">
        <v>71.5</v>
      </c>
      <c r="H463" s="0" t="n">
        <v>71</v>
      </c>
      <c r="I463" s="39" t="s">
        <v>118</v>
      </c>
      <c r="J463" s="0" t="n">
        <v>44</v>
      </c>
      <c r="M463" s="0" t="n">
        <v>502.18</v>
      </c>
      <c r="N463" s="0" t="n">
        <v>52.06</v>
      </c>
      <c r="O463" s="0" t="n">
        <v>25.26</v>
      </c>
      <c r="P463" s="0" t="n">
        <v>3.4</v>
      </c>
      <c r="Q463" s="0" t="n">
        <v>3.57</v>
      </c>
      <c r="R463" s="0" t="n">
        <v>6056</v>
      </c>
      <c r="S463" s="0" t="n">
        <v>12174</v>
      </c>
      <c r="U463" s="0" t="n">
        <v>1495</v>
      </c>
      <c r="V463" s="0" t="n">
        <v>0</v>
      </c>
      <c r="W463" s="39" t="n">
        <f aca="false">IF(I463="Male",0,1)</f>
        <v>1</v>
      </c>
      <c r="X463" s="39" t="n">
        <f aca="false">IF(OR(I463="DNB",I463="Dry DNB"),1,0)</f>
        <v>0</v>
      </c>
      <c r="Y463" s="39" t="n">
        <f aca="false">MATCH(A463,DATAS,0)</f>
        <v>1</v>
      </c>
      <c r="Z463" s="39" t="n">
        <f aca="false">IF(AND(E463&gt;0,OR(AND(B463&gt;=1,B463&lt;=6),B463=10)),1,0)</f>
        <v>1</v>
      </c>
      <c r="AA463" s="39" t="n">
        <f aca="false">IF(AND(E463&gt;0,B463=10),1,0)</f>
        <v>0</v>
      </c>
      <c r="AB463" s="0" t="str">
        <f aca="false">IF(AND(C462=C463,Y462=Y463-1),Z462,"")</f>
        <v/>
      </c>
      <c r="AC463" s="0" t="str">
        <f aca="false">IF(AND(C462=C463,Y462=Y463-1),AA462,"")</f>
        <v/>
      </c>
      <c r="AD463" s="0" t="str">
        <f aca="false">IF(Y463=1,"",IF(AND(Z463=1,AB463&lt;&gt;1),1,0))</f>
        <v/>
      </c>
      <c r="AE463" s="0" t="str">
        <f aca="false">IF(Y463=1,"",IF(AND(AA463=1,AC463&lt;&gt;1),1,0))</f>
        <v/>
      </c>
      <c r="AF463" s="45" t="str">
        <f aca="false">IF(AND(E463&gt;0,Y463&lt;1,NOT(AND(C464=C463,Y464=Y463+1))),INDEX(DATAS,Y463+1),"")</f>
        <v/>
      </c>
      <c r="AG463" s="45" t="str">
        <f aca="false">IF(AND(AA463=1,Y463&lt;1),IF(AND(C464=C463,Y464=Y463+1),IF(AA464=1,"",INDEX(DATAS,Y463+1)),INDEX(DATAS,Y463+1)),"")</f>
        <v/>
      </c>
    </row>
    <row r="464" customFormat="false" ht="15" hidden="false" customHeight="false" outlineLevel="0" collapsed="false">
      <c r="A464" s="45" t="n">
        <v>46309</v>
      </c>
      <c r="B464" s="0" t="n">
        <v>6</v>
      </c>
      <c r="C464" s="0" t="n">
        <v>4212</v>
      </c>
      <c r="D464" s="0" t="n">
        <v>280</v>
      </c>
      <c r="E464" s="0" t="n">
        <v>2</v>
      </c>
      <c r="F464" s="39" t="s">
        <v>459</v>
      </c>
      <c r="G464" s="0" t="n">
        <v>20.1</v>
      </c>
      <c r="H464" s="0" t="n">
        <v>18</v>
      </c>
      <c r="I464" s="39" t="s">
        <v>109</v>
      </c>
      <c r="J464" s="0" t="n">
        <v>231</v>
      </c>
      <c r="K464" s="0" t="n">
        <v>70</v>
      </c>
      <c r="L464" s="0" t="n">
        <v>49</v>
      </c>
      <c r="M464" s="0" t="n">
        <v>114.85</v>
      </c>
      <c r="N464" s="0" t="n">
        <v>59.06</v>
      </c>
      <c r="O464" s="0" t="n">
        <v>24.18</v>
      </c>
      <c r="P464" s="0" t="n">
        <v>5.05</v>
      </c>
      <c r="Q464" s="0" t="n">
        <v>4.06</v>
      </c>
      <c r="R464" s="0" t="n">
        <v>3261</v>
      </c>
      <c r="S464" s="0" t="n">
        <v>5730</v>
      </c>
      <c r="T464" s="0" t="n">
        <v>35.9</v>
      </c>
      <c r="U464" s="0" t="n">
        <v>1495</v>
      </c>
      <c r="V464" s="0" t="n">
        <v>4</v>
      </c>
      <c r="W464" s="39" t="n">
        <f aca="false">IF(I464="Male",0,1)</f>
        <v>1</v>
      </c>
      <c r="X464" s="39" t="n">
        <f aca="false">IF(OR(I464="DNB",I464="Dry DNB"),1,0)</f>
        <v>0</v>
      </c>
      <c r="Y464" s="39" t="n">
        <f aca="false">MATCH(A464,DATAS,0)</f>
        <v>1</v>
      </c>
      <c r="Z464" s="39" t="n">
        <f aca="false">IF(AND(E464&gt;0,OR(AND(B464&gt;=1,B464&lt;=6),B464=10)),1,0)</f>
        <v>1</v>
      </c>
      <c r="AA464" s="39" t="n">
        <f aca="false">IF(AND(E464&gt;0,B464=10),1,0)</f>
        <v>0</v>
      </c>
      <c r="AB464" s="0" t="str">
        <f aca="false">IF(AND(C463=C464,Y463=Y464-1),Z463,"")</f>
        <v/>
      </c>
      <c r="AC464" s="0" t="str">
        <f aca="false">IF(AND(C463=C464,Y463=Y464-1),AA463,"")</f>
        <v/>
      </c>
      <c r="AD464" s="0" t="str">
        <f aca="false">IF(Y464=1,"",IF(AND(Z464=1,AB464&lt;&gt;1),1,0))</f>
        <v/>
      </c>
      <c r="AE464" s="0" t="str">
        <f aca="false">IF(Y464=1,"",IF(AND(AA464=1,AC464&lt;&gt;1),1,0))</f>
        <v/>
      </c>
      <c r="AF464" s="45" t="str">
        <f aca="false">IF(AND(E464&gt;0,Y464&lt;1,NOT(AND(C465=C464,Y465=Y464+1))),INDEX(DATAS,Y464+1),"")</f>
        <v/>
      </c>
      <c r="AG464" s="45" t="str">
        <f aca="false">IF(AND(AA464=1,Y464&lt;1),IF(AND(C465=C464,Y465=Y464+1),IF(AA465=1,"",INDEX(DATAS,Y464+1)),INDEX(DATAS,Y464+1)),"")</f>
        <v/>
      </c>
    </row>
    <row r="465" customFormat="false" ht="15" hidden="false" customHeight="false" outlineLevel="0" collapsed="false">
      <c r="A465" s="45" t="n">
        <v>46309</v>
      </c>
      <c r="B465" s="0" t="n">
        <v>14</v>
      </c>
      <c r="C465" s="0" t="n">
        <v>4214</v>
      </c>
      <c r="D465" s="0" t="n">
        <v>219</v>
      </c>
      <c r="E465" s="0" t="n">
        <v>2</v>
      </c>
      <c r="F465" s="39" t="s">
        <v>460</v>
      </c>
      <c r="I465" s="39" t="s">
        <v>114</v>
      </c>
      <c r="J465" s="0" t="n">
        <v>66</v>
      </c>
      <c r="K465" s="0" t="n">
        <v>66</v>
      </c>
      <c r="L465" s="0" t="n">
        <v>259</v>
      </c>
      <c r="M465" s="0" t="n">
        <v>-56.57</v>
      </c>
      <c r="N465" s="0" t="n">
        <v>39.06</v>
      </c>
      <c r="O465" s="0" t="n">
        <v>13</v>
      </c>
      <c r="P465" s="0" t="n">
        <v>5.21</v>
      </c>
      <c r="Q465" s="0" t="n">
        <v>4.19</v>
      </c>
      <c r="R465" s="0" t="n">
        <v>3297</v>
      </c>
      <c r="S465" s="0" t="n">
        <v>6308</v>
      </c>
      <c r="T465" s="0" t="n">
        <v>36.75</v>
      </c>
      <c r="U465" s="0" t="n">
        <v>1494</v>
      </c>
      <c r="V465" s="0" t="n">
        <v>1</v>
      </c>
      <c r="W465" s="39" t="n">
        <f aca="false">IF(I465="Male",0,1)</f>
        <v>1</v>
      </c>
      <c r="X465" s="39" t="n">
        <f aca="false">IF(OR(I465="DNB",I465="Dry DNB"),1,0)</f>
        <v>0</v>
      </c>
      <c r="Y465" s="39" t="n">
        <f aca="false">MATCH(A465,DATAS,0)</f>
        <v>1</v>
      </c>
      <c r="Z465" s="39" t="n">
        <f aca="false">IF(AND(E465&gt;0,OR(AND(B465&gt;=1,B465&lt;=6),B465=10)),1,0)</f>
        <v>0</v>
      </c>
      <c r="AA465" s="39" t="n">
        <f aca="false">IF(AND(E465&gt;0,B465=10),1,0)</f>
        <v>0</v>
      </c>
      <c r="AB465" s="0" t="str">
        <f aca="false">IF(AND(C464=C465,Y464=Y465-1),Z464,"")</f>
        <v/>
      </c>
      <c r="AC465" s="0" t="str">
        <f aca="false">IF(AND(C464=C465,Y464=Y465-1),AA464,"")</f>
        <v/>
      </c>
      <c r="AD465" s="0" t="str">
        <f aca="false">IF(Y465=1,"",IF(AND(Z465=1,AB465&lt;&gt;1),1,0))</f>
        <v/>
      </c>
      <c r="AE465" s="0" t="str">
        <f aca="false">IF(Y465=1,"",IF(AND(AA465=1,AC465&lt;&gt;1),1,0))</f>
        <v/>
      </c>
      <c r="AF465" s="45" t="str">
        <f aca="false">IF(AND(E465&gt;0,Y465&lt;1,NOT(AND(C466=C465,Y466=Y465+1))),INDEX(DATAS,Y465+1),"")</f>
        <v/>
      </c>
      <c r="AG465" s="45" t="str">
        <f aca="false">IF(AND(AA465=1,Y465&lt;1),IF(AND(C466=C465,Y466=Y465+1),IF(AA466=1,"",INDEX(DATAS,Y465+1)),INDEX(DATAS,Y465+1)),"")</f>
        <v/>
      </c>
    </row>
    <row r="466" customFormat="false" ht="15" hidden="false" customHeight="false" outlineLevel="0" collapsed="false">
      <c r="A466" s="45" t="n">
        <v>46309</v>
      </c>
      <c r="B466" s="0" t="n">
        <v>3</v>
      </c>
      <c r="C466" s="0" t="n">
        <v>4215</v>
      </c>
      <c r="D466" s="0" t="n">
        <v>158</v>
      </c>
      <c r="E466" s="0" t="n">
        <v>3</v>
      </c>
      <c r="F466" s="39" t="s">
        <v>460</v>
      </c>
      <c r="G466" s="0" t="n">
        <v>64.7</v>
      </c>
      <c r="H466" s="0" t="n">
        <v>62</v>
      </c>
      <c r="I466" s="39" t="s">
        <v>138</v>
      </c>
      <c r="J466" s="0" t="n">
        <v>158</v>
      </c>
      <c r="K466" s="0" t="n">
        <v>67</v>
      </c>
      <c r="M466" s="0" t="n">
        <v>388.22</v>
      </c>
      <c r="N466" s="0" t="n">
        <v>44.26</v>
      </c>
      <c r="O466" s="0" t="n">
        <v>25.43</v>
      </c>
      <c r="P466" s="0" t="n">
        <v>3.76</v>
      </c>
      <c r="Q466" s="0" t="n">
        <v>3.27</v>
      </c>
      <c r="R466" s="0" t="n">
        <v>5692</v>
      </c>
      <c r="S466" s="0" t="n">
        <v>12139</v>
      </c>
      <c r="T466" s="0" t="n">
        <v>60.7</v>
      </c>
      <c r="U466" s="0" t="n">
        <v>1494</v>
      </c>
      <c r="V466" s="0" t="n">
        <v>2</v>
      </c>
      <c r="W466" s="39" t="n">
        <f aca="false">IF(I466="Male",0,1)</f>
        <v>1</v>
      </c>
      <c r="X466" s="39" t="n">
        <f aca="false">IF(OR(I466="DNB",I466="Dry DNB"),1,0)</f>
        <v>0</v>
      </c>
      <c r="Y466" s="39" t="n">
        <f aca="false">MATCH(A466,DATAS,0)</f>
        <v>1</v>
      </c>
      <c r="Z466" s="39" t="n">
        <f aca="false">IF(AND(E466&gt;0,OR(AND(B466&gt;=1,B466&lt;=6),B466=10)),1,0)</f>
        <v>1</v>
      </c>
      <c r="AA466" s="39" t="n">
        <f aca="false">IF(AND(E466&gt;0,B466=10),1,0)</f>
        <v>0</v>
      </c>
      <c r="AB466" s="0" t="str">
        <f aca="false">IF(AND(C465=C466,Y465=Y466-1),Z465,"")</f>
        <v/>
      </c>
      <c r="AC466" s="0" t="str">
        <f aca="false">IF(AND(C465=C466,Y465=Y466-1),AA465,"")</f>
        <v/>
      </c>
      <c r="AD466" s="0" t="str">
        <f aca="false">IF(Y466=1,"",IF(AND(Z466=1,AB466&lt;&gt;1),1,0))</f>
        <v/>
      </c>
      <c r="AE466" s="0" t="str">
        <f aca="false">IF(Y466=1,"",IF(AND(AA466=1,AC466&lt;&gt;1),1,0))</f>
        <v/>
      </c>
      <c r="AF466" s="45" t="str">
        <f aca="false">IF(AND(E466&gt;0,Y466&lt;1,NOT(AND(C467=C466,Y467=Y466+1))),INDEX(DATAS,Y466+1),"")</f>
        <v/>
      </c>
      <c r="AG466" s="45" t="str">
        <f aca="false">IF(AND(AA466=1,Y466&lt;1),IF(AND(C467=C466,Y467=Y466+1),IF(AA467=1,"",INDEX(DATAS,Y466+1)),INDEX(DATAS,Y466+1)),"")</f>
        <v/>
      </c>
    </row>
    <row r="467" customFormat="false" ht="15" hidden="false" customHeight="false" outlineLevel="0" collapsed="false">
      <c r="A467" s="45" t="n">
        <v>46309</v>
      </c>
      <c r="B467" s="0" t="n">
        <v>10</v>
      </c>
      <c r="C467" s="0" t="n">
        <v>4216</v>
      </c>
      <c r="D467" s="0" t="n">
        <v>429</v>
      </c>
      <c r="E467" s="0" t="n">
        <v>2</v>
      </c>
      <c r="F467" s="39" t="s">
        <v>460</v>
      </c>
      <c r="H467" s="0" t="n">
        <v>8</v>
      </c>
      <c r="I467" s="39" t="s">
        <v>109</v>
      </c>
      <c r="J467" s="0" t="n">
        <v>373</v>
      </c>
      <c r="K467" s="0" t="n">
        <v>58</v>
      </c>
      <c r="L467" s="0" t="n">
        <v>56</v>
      </c>
      <c r="M467" s="0" t="n">
        <v>735</v>
      </c>
      <c r="N467" s="0" t="n">
        <v>66</v>
      </c>
      <c r="O467" s="0" t="n">
        <v>30.65</v>
      </c>
      <c r="P467" s="0" t="n">
        <v>2.58</v>
      </c>
      <c r="Q467" s="0" t="n">
        <v>3.41</v>
      </c>
      <c r="R467" s="0" t="n">
        <v>6630</v>
      </c>
      <c r="S467" s="0" t="n">
        <v>12579</v>
      </c>
      <c r="T467" s="0" t="n">
        <v>70</v>
      </c>
      <c r="U467" s="0" t="n">
        <v>1494</v>
      </c>
      <c r="V467" s="0" t="n">
        <v>8</v>
      </c>
      <c r="W467" s="39" t="n">
        <f aca="false">IF(I467="Male",0,1)</f>
        <v>1</v>
      </c>
      <c r="X467" s="39" t="n">
        <f aca="false">IF(OR(I467="DNB",I467="Dry DNB"),1,0)</f>
        <v>0</v>
      </c>
      <c r="Y467" s="39" t="n">
        <f aca="false">MATCH(A467,DATAS,0)</f>
        <v>1</v>
      </c>
      <c r="Z467" s="39" t="n">
        <f aca="false">IF(AND(E467&gt;0,OR(AND(B467&gt;=1,B467&lt;=6),B467=10)),1,0)</f>
        <v>1</v>
      </c>
      <c r="AA467" s="39" t="n">
        <f aca="false">IF(AND(E467&gt;0,B467=10),1,0)</f>
        <v>1</v>
      </c>
      <c r="AB467" s="0" t="str">
        <f aca="false">IF(AND(C466=C467,Y466=Y467-1),Z466,"")</f>
        <v/>
      </c>
      <c r="AC467" s="0" t="str">
        <f aca="false">IF(AND(C466=C467,Y466=Y467-1),AA466,"")</f>
        <v/>
      </c>
      <c r="AD467" s="0" t="str">
        <f aca="false">IF(Y467=1,"",IF(AND(Z467=1,AB467&lt;&gt;1),1,0))</f>
        <v/>
      </c>
      <c r="AE467" s="0" t="str">
        <f aca="false">IF(Y467=1,"",IF(AND(AA467=1,AC467&lt;&gt;1),1,0))</f>
        <v/>
      </c>
      <c r="AF467" s="45" t="str">
        <f aca="false">IF(AND(E467&gt;0,Y467&lt;1,NOT(AND(C468=C467,Y468=Y467+1))),INDEX(DATAS,Y467+1),"")</f>
        <v/>
      </c>
      <c r="AG467" s="45" t="str">
        <f aca="false">IF(AND(AA467=1,Y467&lt;1),IF(AND(C468=C467,Y468=Y467+1),IF(AA468=1,"",INDEX(DATAS,Y467+1)),INDEX(DATAS,Y467+1)),"")</f>
        <v/>
      </c>
    </row>
    <row r="468" customFormat="false" ht="15" hidden="false" customHeight="false" outlineLevel="0" collapsed="false">
      <c r="A468" s="45" t="n">
        <v>46309</v>
      </c>
      <c r="B468" s="0" t="n">
        <v>6</v>
      </c>
      <c r="C468" s="0" t="n">
        <v>4219</v>
      </c>
      <c r="D468" s="0" t="n">
        <v>112</v>
      </c>
      <c r="E468" s="0" t="n">
        <v>3</v>
      </c>
      <c r="F468" s="39" t="s">
        <v>460</v>
      </c>
      <c r="H468" s="0" t="n">
        <v>17</v>
      </c>
      <c r="I468" s="39" t="s">
        <v>138</v>
      </c>
      <c r="J468" s="0" t="n">
        <v>112</v>
      </c>
      <c r="K468" s="0" t="n">
        <v>63</v>
      </c>
      <c r="M468" s="0" t="n">
        <v>326.46</v>
      </c>
      <c r="N468" s="0" t="n">
        <v>21.46</v>
      </c>
      <c r="O468" s="0" t="n">
        <v>14.53</v>
      </c>
      <c r="P468" s="0" t="n">
        <v>5.31</v>
      </c>
      <c r="Q468" s="0" t="n">
        <v>4.14</v>
      </c>
      <c r="R468" s="0" t="n">
        <v>2197</v>
      </c>
      <c r="S468" s="0" t="n">
        <v>4315</v>
      </c>
      <c r="T468" s="0" t="n">
        <v>20.75</v>
      </c>
      <c r="U468" s="0" t="n">
        <v>1494</v>
      </c>
      <c r="V468" s="0" t="n">
        <v>3</v>
      </c>
      <c r="W468" s="39" t="n">
        <f aca="false">IF(I468="Male",0,1)</f>
        <v>1</v>
      </c>
      <c r="X468" s="39" t="n">
        <f aca="false">IF(OR(I468="DNB",I468="Dry DNB"),1,0)</f>
        <v>0</v>
      </c>
      <c r="Y468" s="39" t="n">
        <f aca="false">MATCH(A468,DATAS,0)</f>
        <v>1</v>
      </c>
      <c r="Z468" s="39" t="n">
        <f aca="false">IF(AND(E468&gt;0,OR(AND(B468&gt;=1,B468&lt;=6),B468=10)),1,0)</f>
        <v>1</v>
      </c>
      <c r="AA468" s="39" t="n">
        <f aca="false">IF(AND(E468&gt;0,B468=10),1,0)</f>
        <v>0</v>
      </c>
      <c r="AB468" s="0" t="str">
        <f aca="false">IF(AND(C467=C468,Y467=Y468-1),Z467,"")</f>
        <v/>
      </c>
      <c r="AC468" s="0" t="str">
        <f aca="false">IF(AND(C467=C468,Y467=Y468-1),AA467,"")</f>
        <v/>
      </c>
      <c r="AD468" s="0" t="str">
        <f aca="false">IF(Y468=1,"",IF(AND(Z468=1,AB468&lt;&gt;1),1,0))</f>
        <v/>
      </c>
      <c r="AE468" s="0" t="str">
        <f aca="false">IF(Y468=1,"",IF(AND(AA468=1,AC468&lt;&gt;1),1,0))</f>
        <v/>
      </c>
      <c r="AF468" s="45" t="str">
        <f aca="false">IF(AND(E468&gt;0,Y468&lt;1,NOT(AND(C469=C468,Y469=Y468+1))),INDEX(DATAS,Y468+1),"")</f>
        <v/>
      </c>
      <c r="AG468" s="45" t="str">
        <f aca="false">IF(AND(AA468=1,Y468&lt;1),IF(AND(C469=C468,Y469=Y468+1),IF(AA469=1,"",INDEX(DATAS,Y468+1)),INDEX(DATAS,Y468+1)),"")</f>
        <v/>
      </c>
    </row>
    <row r="469" customFormat="false" ht="15" hidden="false" customHeight="false" outlineLevel="0" collapsed="false">
      <c r="A469" s="45" t="n">
        <v>46309</v>
      </c>
      <c r="B469" s="0" t="n">
        <v>5</v>
      </c>
      <c r="C469" s="0" t="n">
        <v>4220</v>
      </c>
      <c r="D469" s="0" t="n">
        <v>97</v>
      </c>
      <c r="E469" s="0" t="n">
        <v>3</v>
      </c>
      <c r="F469" s="39" t="s">
        <v>461</v>
      </c>
      <c r="G469" s="0" t="n">
        <v>50.6</v>
      </c>
      <c r="H469" s="0" t="n">
        <v>54</v>
      </c>
      <c r="I469" s="39" t="s">
        <v>138</v>
      </c>
      <c r="J469" s="0" t="n">
        <v>97</v>
      </c>
      <c r="K469" s="0" t="n">
        <v>69</v>
      </c>
      <c r="M469" s="0" t="n">
        <v>1179.14</v>
      </c>
      <c r="N469" s="0" t="n">
        <v>68.85</v>
      </c>
      <c r="O469" s="0" t="n">
        <v>40.25</v>
      </c>
      <c r="P469" s="0" t="n">
        <v>2.85</v>
      </c>
      <c r="Q469" s="0" t="n">
        <v>2.89</v>
      </c>
      <c r="R469" s="0" t="n">
        <v>6262</v>
      </c>
      <c r="S469" s="0" t="n">
        <v>12587</v>
      </c>
      <c r="T469" s="0" t="n">
        <v>71.75</v>
      </c>
      <c r="U469" s="0" t="n">
        <v>1493</v>
      </c>
      <c r="V469" s="0" t="n">
        <v>1</v>
      </c>
      <c r="W469" s="39" t="n">
        <f aca="false">IF(I469="Male",0,1)</f>
        <v>1</v>
      </c>
      <c r="X469" s="39" t="n">
        <f aca="false">IF(OR(I469="DNB",I469="Dry DNB"),1,0)</f>
        <v>0</v>
      </c>
      <c r="Y469" s="39" t="n">
        <f aca="false">MATCH(A469,DATAS,0)</f>
        <v>1</v>
      </c>
      <c r="Z469" s="39" t="n">
        <f aca="false">IF(AND(E469&gt;0,OR(AND(B469&gt;=1,B469&lt;=6),B469=10)),1,0)</f>
        <v>1</v>
      </c>
      <c r="AA469" s="39" t="n">
        <f aca="false">IF(AND(E469&gt;0,B469=10),1,0)</f>
        <v>0</v>
      </c>
      <c r="AB469" s="0" t="str">
        <f aca="false">IF(AND(C468=C469,Y468=Y469-1),Z468,"")</f>
        <v/>
      </c>
      <c r="AC469" s="0" t="str">
        <f aca="false">IF(AND(C468=C469,Y468=Y469-1),AA468,"")</f>
        <v/>
      </c>
      <c r="AD469" s="0" t="str">
        <f aca="false">IF(Y469=1,"",IF(AND(Z469=1,AB469&lt;&gt;1),1,0))</f>
        <v/>
      </c>
      <c r="AE469" s="0" t="str">
        <f aca="false">IF(Y469=1,"",IF(AND(AA469=1,AC469&lt;&gt;1),1,0))</f>
        <v/>
      </c>
      <c r="AF469" s="45" t="str">
        <f aca="false">IF(AND(E469&gt;0,Y469&lt;1,NOT(AND(C470=C469,Y470=Y469+1))),INDEX(DATAS,Y469+1),"")</f>
        <v/>
      </c>
      <c r="AG469" s="45" t="str">
        <f aca="false">IF(AND(AA469=1,Y469&lt;1),IF(AND(C470=C469,Y470=Y469+1),IF(AA470=1,"",INDEX(DATAS,Y469+1)),INDEX(DATAS,Y469+1)),"")</f>
        <v/>
      </c>
    </row>
    <row r="470" customFormat="false" ht="15" hidden="false" customHeight="false" outlineLevel="0" collapsed="false">
      <c r="A470" s="45" t="n">
        <v>46309</v>
      </c>
      <c r="B470" s="0" t="n">
        <v>2</v>
      </c>
      <c r="C470" s="0" t="n">
        <v>4222</v>
      </c>
      <c r="D470" s="0" t="n">
        <v>163</v>
      </c>
      <c r="E470" s="0" t="n">
        <v>2</v>
      </c>
      <c r="F470" s="39" t="s">
        <v>462</v>
      </c>
      <c r="G470" s="0" t="n">
        <v>35.6</v>
      </c>
      <c r="H470" s="0" t="n">
        <v>47</v>
      </c>
      <c r="I470" s="39" t="s">
        <v>138</v>
      </c>
      <c r="J470" s="0" t="n">
        <v>163</v>
      </c>
      <c r="K470" s="0" t="n">
        <v>72</v>
      </c>
      <c r="M470" s="0" t="n">
        <v>1155.04</v>
      </c>
      <c r="N470" s="0" t="n">
        <v>52.01</v>
      </c>
      <c r="O470" s="0" t="n">
        <v>31.66</v>
      </c>
      <c r="P470" s="0" t="n">
        <v>4.15</v>
      </c>
      <c r="Q470" s="0" t="n">
        <v>3.38</v>
      </c>
      <c r="R470" s="0" t="n">
        <v>3413</v>
      </c>
      <c r="S470" s="0" t="n">
        <v>8250</v>
      </c>
      <c r="T470" s="0" t="n">
        <v>32.85</v>
      </c>
      <c r="U470" s="0" t="n">
        <v>1492</v>
      </c>
      <c r="V470" s="0" t="n">
        <v>3</v>
      </c>
      <c r="W470" s="39" t="n">
        <f aca="false">IF(I470="Male",0,1)</f>
        <v>1</v>
      </c>
      <c r="X470" s="39" t="n">
        <f aca="false">IF(OR(I470="DNB",I470="Dry DNB"),1,0)</f>
        <v>0</v>
      </c>
      <c r="Y470" s="39" t="n">
        <f aca="false">MATCH(A470,DATAS,0)</f>
        <v>1</v>
      </c>
      <c r="Z470" s="39" t="n">
        <f aca="false">IF(AND(E470&gt;0,OR(AND(B470&gt;=1,B470&lt;=6),B470=10)),1,0)</f>
        <v>1</v>
      </c>
      <c r="AA470" s="39" t="n">
        <f aca="false">IF(AND(E470&gt;0,B470=10),1,0)</f>
        <v>0</v>
      </c>
      <c r="AB470" s="0" t="str">
        <f aca="false">IF(AND(C469=C470,Y469=Y470-1),Z469,"")</f>
        <v/>
      </c>
      <c r="AC470" s="0" t="str">
        <f aca="false">IF(AND(C469=C470,Y469=Y470-1),AA469,"")</f>
        <v/>
      </c>
      <c r="AD470" s="0" t="str">
        <f aca="false">IF(Y470=1,"",IF(AND(Z470=1,AB470&lt;&gt;1),1,0))</f>
        <v/>
      </c>
      <c r="AE470" s="0" t="str">
        <f aca="false">IF(Y470=1,"",IF(AND(AA470=1,AC470&lt;&gt;1),1,0))</f>
        <v/>
      </c>
      <c r="AF470" s="45" t="str">
        <f aca="false">IF(AND(E470&gt;0,Y470&lt;1,NOT(AND(C471=C470,Y471=Y470+1))),INDEX(DATAS,Y470+1),"")</f>
        <v/>
      </c>
      <c r="AG470" s="45" t="str">
        <f aca="false">IF(AND(AA470=1,Y470&lt;1),IF(AND(C471=C470,Y471=Y470+1),IF(AA471=1,"",INDEX(DATAS,Y470+1)),INDEX(DATAS,Y470+1)),"")</f>
        <v/>
      </c>
    </row>
    <row r="471" customFormat="false" ht="15" hidden="false" customHeight="false" outlineLevel="0" collapsed="false">
      <c r="A471" s="45" t="n">
        <v>46309</v>
      </c>
      <c r="B471" s="0" t="n">
        <v>7</v>
      </c>
      <c r="C471" s="0" t="n">
        <v>4223</v>
      </c>
      <c r="D471" s="0" t="n">
        <v>477</v>
      </c>
      <c r="E471" s="0" t="n">
        <v>2</v>
      </c>
      <c r="F471" s="39" t="s">
        <v>462</v>
      </c>
      <c r="I471" s="39" t="s">
        <v>114</v>
      </c>
      <c r="J471" s="0" t="n">
        <v>352</v>
      </c>
      <c r="K471" s="0" t="n">
        <v>65</v>
      </c>
      <c r="L471" s="0" t="n">
        <v>147</v>
      </c>
      <c r="M471" s="0" t="n">
        <v>912.69</v>
      </c>
      <c r="N471" s="0" t="n">
        <v>59.78</v>
      </c>
      <c r="O471" s="0" t="n">
        <v>31.07</v>
      </c>
      <c r="P471" s="0" t="n">
        <v>5.08</v>
      </c>
      <c r="Q471" s="0" t="n">
        <v>4.31</v>
      </c>
      <c r="R471" s="0" t="n">
        <v>5822</v>
      </c>
      <c r="S471" s="0" t="n">
        <v>11658</v>
      </c>
      <c r="T471" s="0" t="n">
        <v>68.5</v>
      </c>
      <c r="U471" s="0" t="n">
        <v>1492</v>
      </c>
      <c r="V471" s="0" t="n">
        <v>6</v>
      </c>
      <c r="W471" s="39" t="n">
        <f aca="false">IF(I471="Male",0,1)</f>
        <v>1</v>
      </c>
      <c r="X471" s="39" t="n">
        <f aca="false">IF(OR(I471="DNB",I471="Dry DNB"),1,0)</f>
        <v>0</v>
      </c>
      <c r="Y471" s="39" t="n">
        <f aca="false">MATCH(A471,DATAS,0)</f>
        <v>1</v>
      </c>
      <c r="Z471" s="39" t="n">
        <f aca="false">IF(AND(E471&gt;0,OR(AND(B471&gt;=1,B471&lt;=6),B471=10)),1,0)</f>
        <v>0</v>
      </c>
      <c r="AA471" s="39" t="n">
        <f aca="false">IF(AND(E471&gt;0,B471=10),1,0)</f>
        <v>0</v>
      </c>
      <c r="AB471" s="0" t="str">
        <f aca="false">IF(AND(C470=C471,Y470=Y471-1),Z470,"")</f>
        <v/>
      </c>
      <c r="AC471" s="0" t="str">
        <f aca="false">IF(AND(C470=C471,Y470=Y471-1),AA470,"")</f>
        <v/>
      </c>
      <c r="AD471" s="0" t="str">
        <f aca="false">IF(Y471=1,"",IF(AND(Z471=1,AB471&lt;&gt;1),1,0))</f>
        <v/>
      </c>
      <c r="AE471" s="0" t="str">
        <f aca="false">IF(Y471=1,"",IF(AND(AA471=1,AC471&lt;&gt;1),1,0))</f>
        <v/>
      </c>
      <c r="AF471" s="45" t="str">
        <f aca="false">IF(AND(E471&gt;0,Y471&lt;1,NOT(AND(C472=C471,Y472=Y471+1))),INDEX(DATAS,Y471+1),"")</f>
        <v/>
      </c>
      <c r="AG471" s="45" t="str">
        <f aca="false">IF(AND(AA471=1,Y471&lt;1),IF(AND(C472=C471,Y472=Y471+1),IF(AA472=1,"",INDEX(DATAS,Y471+1)),INDEX(DATAS,Y471+1)),"")</f>
        <v/>
      </c>
    </row>
    <row r="472" customFormat="false" ht="15" hidden="false" customHeight="false" outlineLevel="0" collapsed="false">
      <c r="A472" s="45" t="n">
        <v>46309</v>
      </c>
      <c r="B472" s="0" t="n">
        <v>7</v>
      </c>
      <c r="C472" s="0" t="n">
        <v>4224</v>
      </c>
      <c r="D472" s="0" t="n">
        <v>368</v>
      </c>
      <c r="E472" s="0" t="n">
        <v>2</v>
      </c>
      <c r="F472" s="39" t="s">
        <v>462</v>
      </c>
      <c r="I472" s="39" t="s">
        <v>114</v>
      </c>
      <c r="J472" s="0" t="n">
        <v>146</v>
      </c>
      <c r="K472" s="0" t="n">
        <v>68</v>
      </c>
      <c r="L472" s="0" t="n">
        <v>230</v>
      </c>
      <c r="M472" s="0" t="n">
        <v>202.88</v>
      </c>
      <c r="N472" s="0" t="n">
        <v>33.31</v>
      </c>
      <c r="O472" s="0" t="n">
        <v>13.95</v>
      </c>
      <c r="P472" s="0" t="n">
        <v>3.12</v>
      </c>
      <c r="Q472" s="0" t="n">
        <v>3.48</v>
      </c>
      <c r="R472" s="0" t="n">
        <v>4818</v>
      </c>
      <c r="S472" s="0" t="n">
        <v>10093</v>
      </c>
      <c r="T472" s="0" t="n">
        <v>49.75</v>
      </c>
      <c r="U472" s="0" t="n">
        <v>1492</v>
      </c>
      <c r="V472" s="0" t="n">
        <v>3</v>
      </c>
      <c r="W472" s="39" t="n">
        <f aca="false">IF(I472="Male",0,1)</f>
        <v>1</v>
      </c>
      <c r="X472" s="39" t="n">
        <f aca="false">IF(OR(I472="DNB",I472="Dry DNB"),1,0)</f>
        <v>0</v>
      </c>
      <c r="Y472" s="39" t="n">
        <f aca="false">MATCH(A472,DATAS,0)</f>
        <v>1</v>
      </c>
      <c r="Z472" s="39" t="n">
        <f aca="false">IF(AND(E472&gt;0,OR(AND(B472&gt;=1,B472&lt;=6),B472=10)),1,0)</f>
        <v>0</v>
      </c>
      <c r="AA472" s="39" t="n">
        <f aca="false">IF(AND(E472&gt;0,B472=10),1,0)</f>
        <v>0</v>
      </c>
      <c r="AB472" s="0" t="str">
        <f aca="false">IF(AND(C471=C472,Y471=Y472-1),Z471,"")</f>
        <v/>
      </c>
      <c r="AC472" s="0" t="str">
        <f aca="false">IF(AND(C471=C472,Y471=Y472-1),AA471,"")</f>
        <v/>
      </c>
      <c r="AD472" s="0" t="str">
        <f aca="false">IF(Y472=1,"",IF(AND(Z472=1,AB472&lt;&gt;1),1,0))</f>
        <v/>
      </c>
      <c r="AE472" s="0" t="str">
        <f aca="false">IF(Y472=1,"",IF(AND(AA472=1,AC472&lt;&gt;1),1,0))</f>
        <v/>
      </c>
      <c r="AF472" s="45" t="str">
        <f aca="false">IF(AND(E472&gt;0,Y472&lt;1,NOT(AND(C473=C472,Y473=Y472+1))),INDEX(DATAS,Y472+1),"")</f>
        <v/>
      </c>
      <c r="AG472" s="45" t="str">
        <f aca="false">IF(AND(AA472=1,Y472&lt;1),IF(AND(C473=C472,Y473=Y472+1),IF(AA473=1,"",INDEX(DATAS,Y472+1)),INDEX(DATAS,Y472+1)),"")</f>
        <v/>
      </c>
    </row>
    <row r="473" customFormat="false" ht="15" hidden="false" customHeight="false" outlineLevel="0" collapsed="false">
      <c r="A473" s="45" t="n">
        <v>46309</v>
      </c>
      <c r="B473" s="0" t="n">
        <v>2</v>
      </c>
      <c r="C473" s="0" t="n">
        <v>4225</v>
      </c>
      <c r="D473" s="0" t="n">
        <v>52</v>
      </c>
      <c r="E473" s="0" t="n">
        <v>3</v>
      </c>
      <c r="F473" s="39" t="s">
        <v>463</v>
      </c>
      <c r="G473" s="0" t="n">
        <v>60.9</v>
      </c>
      <c r="H473" s="0" t="n">
        <v>56</v>
      </c>
      <c r="I473" s="39" t="s">
        <v>118</v>
      </c>
      <c r="J473" s="0" t="n">
        <v>52</v>
      </c>
      <c r="M473" s="0" t="n">
        <v>781.88</v>
      </c>
      <c r="N473" s="0" t="n">
        <v>77.84</v>
      </c>
      <c r="O473" s="0" t="n">
        <v>44.71</v>
      </c>
      <c r="P473" s="0" t="n">
        <v>3.69</v>
      </c>
      <c r="Q473" s="0" t="n">
        <v>2.91</v>
      </c>
      <c r="R473" s="0" t="n">
        <v>4854</v>
      </c>
      <c r="S473" s="0" t="n">
        <v>9758</v>
      </c>
      <c r="U473" s="0" t="n">
        <v>1491</v>
      </c>
      <c r="V473" s="0" t="n">
        <v>0</v>
      </c>
      <c r="W473" s="39" t="n">
        <f aca="false">IF(I473="Male",0,1)</f>
        <v>1</v>
      </c>
      <c r="X473" s="39" t="n">
        <f aca="false">IF(OR(I473="DNB",I473="Dry DNB"),1,0)</f>
        <v>0</v>
      </c>
      <c r="Y473" s="39" t="n">
        <f aca="false">MATCH(A473,DATAS,0)</f>
        <v>1</v>
      </c>
      <c r="Z473" s="39" t="n">
        <f aca="false">IF(AND(E473&gt;0,OR(AND(B473&gt;=1,B473&lt;=6),B473=10)),1,0)</f>
        <v>1</v>
      </c>
      <c r="AA473" s="39" t="n">
        <f aca="false">IF(AND(E473&gt;0,B473=10),1,0)</f>
        <v>0</v>
      </c>
      <c r="AB473" s="0" t="str">
        <f aca="false">IF(AND(C472=C473,Y472=Y473-1),Z472,"")</f>
        <v/>
      </c>
      <c r="AC473" s="0" t="str">
        <f aca="false">IF(AND(C472=C473,Y472=Y473-1),AA472,"")</f>
        <v/>
      </c>
      <c r="AD473" s="0" t="str">
        <f aca="false">IF(Y473=1,"",IF(AND(Z473=1,AB473&lt;&gt;1),1,0))</f>
        <v/>
      </c>
      <c r="AE473" s="0" t="str">
        <f aca="false">IF(Y473=1,"",IF(AND(AA473=1,AC473&lt;&gt;1),1,0))</f>
        <v/>
      </c>
      <c r="AF473" s="45" t="str">
        <f aca="false">IF(AND(E473&gt;0,Y473&lt;1,NOT(AND(C474=C473,Y474=Y473+1))),INDEX(DATAS,Y473+1),"")</f>
        <v/>
      </c>
      <c r="AG473" s="45" t="str">
        <f aca="false">IF(AND(AA473=1,Y473&lt;1),IF(AND(C474=C473,Y474=Y473+1),IF(AA474=1,"",INDEX(DATAS,Y473+1)),INDEX(DATAS,Y473+1)),"")</f>
        <v/>
      </c>
    </row>
    <row r="474" customFormat="false" ht="15" hidden="false" customHeight="false" outlineLevel="0" collapsed="false">
      <c r="A474" s="45" t="n">
        <v>46309</v>
      </c>
      <c r="B474" s="0" t="n">
        <v>3</v>
      </c>
      <c r="C474" s="0" t="n">
        <v>4226</v>
      </c>
      <c r="D474" s="0" t="n">
        <v>95</v>
      </c>
      <c r="E474" s="0" t="n">
        <v>3</v>
      </c>
      <c r="F474" s="39" t="s">
        <v>463</v>
      </c>
      <c r="G474" s="0" t="n">
        <v>63.6</v>
      </c>
      <c r="H474" s="0" t="n">
        <v>66</v>
      </c>
      <c r="I474" s="39" t="s">
        <v>96</v>
      </c>
      <c r="J474" s="0" t="n">
        <v>95</v>
      </c>
      <c r="M474" s="0" t="n">
        <v>809.8</v>
      </c>
      <c r="N474" s="0" t="n">
        <v>66.78</v>
      </c>
      <c r="O474" s="0" t="n">
        <v>34.78</v>
      </c>
      <c r="P474" s="0" t="n">
        <v>3.84</v>
      </c>
      <c r="Q474" s="0" t="n">
        <v>3.44</v>
      </c>
      <c r="R474" s="0" t="n">
        <v>5745</v>
      </c>
      <c r="S474" s="0" t="n">
        <v>11548</v>
      </c>
      <c r="T474" s="0" t="n">
        <v>65.85</v>
      </c>
      <c r="U474" s="0" t="n">
        <v>1491</v>
      </c>
      <c r="V474" s="0" t="n">
        <v>0</v>
      </c>
      <c r="W474" s="39" t="n">
        <f aca="false">IF(I474="Male",0,1)</f>
        <v>1</v>
      </c>
      <c r="X474" s="39" t="n">
        <f aca="false">IF(OR(I474="DNB",I474="Dry DNB"),1,0)</f>
        <v>1</v>
      </c>
      <c r="Y474" s="39" t="n">
        <f aca="false">MATCH(A474,DATAS,0)</f>
        <v>1</v>
      </c>
      <c r="Z474" s="39" t="n">
        <f aca="false">IF(AND(E474&gt;0,OR(AND(B474&gt;=1,B474&lt;=6),B474=10)),1,0)</f>
        <v>1</v>
      </c>
      <c r="AA474" s="39" t="n">
        <f aca="false">IF(AND(E474&gt;0,B474=10),1,0)</f>
        <v>0</v>
      </c>
      <c r="AB474" s="0" t="str">
        <f aca="false">IF(AND(C473=C474,Y473=Y474-1),Z473,"")</f>
        <v/>
      </c>
      <c r="AC474" s="0" t="str">
        <f aca="false">IF(AND(C473=C474,Y473=Y474-1),AA473,"")</f>
        <v/>
      </c>
      <c r="AD474" s="0" t="str">
        <f aca="false">IF(Y474=1,"",IF(AND(Z474=1,AB474&lt;&gt;1),1,0))</f>
        <v/>
      </c>
      <c r="AE474" s="0" t="str">
        <f aca="false">IF(Y474=1,"",IF(AND(AA474=1,AC474&lt;&gt;1),1,0))</f>
        <v/>
      </c>
      <c r="AF474" s="45" t="str">
        <f aca="false">IF(AND(E474&gt;0,Y474&lt;1,NOT(AND(C475=C474,Y475=Y474+1))),INDEX(DATAS,Y474+1),"")</f>
        <v/>
      </c>
      <c r="AG474" s="45" t="str">
        <f aca="false">IF(AND(AA474=1,Y474&lt;1),IF(AND(C475=C474,Y475=Y474+1),IF(AA475=1,"",INDEX(DATAS,Y474+1)),INDEX(DATAS,Y474+1)),"")</f>
        <v/>
      </c>
    </row>
    <row r="475" customFormat="false" ht="15" hidden="false" customHeight="false" outlineLevel="0" collapsed="false">
      <c r="A475" s="45" t="n">
        <v>46309</v>
      </c>
      <c r="B475" s="0" t="n">
        <v>14</v>
      </c>
      <c r="C475" s="0" t="n">
        <v>4228</v>
      </c>
      <c r="D475" s="0" t="n">
        <v>289</v>
      </c>
      <c r="E475" s="0" t="n">
        <v>2</v>
      </c>
      <c r="F475" s="39" t="s">
        <v>464</v>
      </c>
      <c r="I475" s="39" t="s">
        <v>114</v>
      </c>
      <c r="J475" s="0" t="n">
        <v>66</v>
      </c>
      <c r="K475" s="0" t="n">
        <v>66</v>
      </c>
      <c r="L475" s="0" t="n">
        <v>259</v>
      </c>
      <c r="M475" s="0" t="n">
        <v>453.27</v>
      </c>
      <c r="N475" s="0" t="n">
        <v>48.32</v>
      </c>
      <c r="O475" s="0" t="n">
        <v>27.3</v>
      </c>
      <c r="P475" s="0" t="n">
        <v>3.57</v>
      </c>
      <c r="Q475" s="0" t="n">
        <v>4.02</v>
      </c>
      <c r="R475" s="0" t="n">
        <v>5718</v>
      </c>
      <c r="S475" s="0" t="n">
        <v>11459</v>
      </c>
      <c r="T475" s="0" t="n">
        <v>63.75</v>
      </c>
      <c r="U475" s="0" t="n">
        <v>1490</v>
      </c>
      <c r="V475" s="0" t="n">
        <v>1</v>
      </c>
      <c r="W475" s="39" t="n">
        <f aca="false">IF(I475="Male",0,1)</f>
        <v>1</v>
      </c>
      <c r="X475" s="39" t="n">
        <f aca="false">IF(OR(I475="DNB",I475="Dry DNB"),1,0)</f>
        <v>0</v>
      </c>
      <c r="Y475" s="39" t="n">
        <f aca="false">MATCH(A475,DATAS,0)</f>
        <v>1</v>
      </c>
      <c r="Z475" s="39" t="n">
        <f aca="false">IF(AND(E475&gt;0,OR(AND(B475&gt;=1,B475&lt;=6),B475=10)),1,0)</f>
        <v>0</v>
      </c>
      <c r="AA475" s="39" t="n">
        <f aca="false">IF(AND(E475&gt;0,B475=10),1,0)</f>
        <v>0</v>
      </c>
      <c r="AB475" s="0" t="str">
        <f aca="false">IF(AND(C474=C475,Y474=Y475-1),Z474,"")</f>
        <v/>
      </c>
      <c r="AC475" s="0" t="str">
        <f aca="false">IF(AND(C474=C475,Y474=Y475-1),AA474,"")</f>
        <v/>
      </c>
      <c r="AD475" s="0" t="str">
        <f aca="false">IF(Y475=1,"",IF(AND(Z475=1,AB475&lt;&gt;1),1,0))</f>
        <v/>
      </c>
      <c r="AE475" s="0" t="str">
        <f aca="false">IF(Y475=1,"",IF(AND(AA475=1,AC475&lt;&gt;1),1,0))</f>
        <v/>
      </c>
      <c r="AF475" s="45" t="str">
        <f aca="false">IF(AND(E475&gt;0,Y475&lt;1,NOT(AND(C476=C475,Y476=Y475+1))),INDEX(DATAS,Y475+1),"")</f>
        <v/>
      </c>
      <c r="AG475" s="45" t="str">
        <f aca="false">IF(AND(AA475=1,Y475&lt;1),IF(AND(C476=C475,Y476=Y475+1),IF(AA476=1,"",INDEX(DATAS,Y475+1)),INDEX(DATAS,Y475+1)),"")</f>
        <v/>
      </c>
    </row>
    <row r="476" customFormat="false" ht="15" hidden="false" customHeight="false" outlineLevel="0" collapsed="false">
      <c r="A476" s="45" t="n">
        <v>46309</v>
      </c>
      <c r="B476" s="0" t="n">
        <v>2</v>
      </c>
      <c r="C476" s="0" t="n">
        <v>4229</v>
      </c>
      <c r="D476" s="0" t="n">
        <v>278</v>
      </c>
      <c r="E476" s="0" t="n">
        <v>2</v>
      </c>
      <c r="F476" s="39" t="s">
        <v>464</v>
      </c>
      <c r="I476" s="39" t="s">
        <v>114</v>
      </c>
      <c r="J476" s="0" t="n">
        <v>113</v>
      </c>
      <c r="K476" s="0" t="n">
        <v>79</v>
      </c>
      <c r="L476" s="0" t="n">
        <v>266</v>
      </c>
      <c r="M476" s="0" t="n">
        <v>1369.72</v>
      </c>
      <c r="N476" s="0" t="n">
        <v>64.24</v>
      </c>
      <c r="O476" s="0" t="n">
        <v>43.35</v>
      </c>
      <c r="P476" s="0" t="n">
        <v>3.33</v>
      </c>
      <c r="Q476" s="0" t="n">
        <v>3.48</v>
      </c>
      <c r="R476" s="0" t="n">
        <v>5663</v>
      </c>
      <c r="S476" s="0" t="n">
        <v>11523</v>
      </c>
      <c r="T476" s="0" t="n">
        <v>68.8</v>
      </c>
      <c r="U476" s="0" t="n">
        <v>1490</v>
      </c>
      <c r="V476" s="0" t="n">
        <v>2</v>
      </c>
      <c r="W476" s="39" t="n">
        <f aca="false">IF(I476="Male",0,1)</f>
        <v>1</v>
      </c>
      <c r="X476" s="39" t="n">
        <f aca="false">IF(OR(I476="DNB",I476="Dry DNB"),1,0)</f>
        <v>0</v>
      </c>
      <c r="Y476" s="39" t="n">
        <f aca="false">MATCH(A476,DATAS,0)</f>
        <v>1</v>
      </c>
      <c r="Z476" s="39" t="n">
        <f aca="false">IF(AND(E476&gt;0,OR(AND(B476&gt;=1,B476&lt;=6),B476=10)),1,0)</f>
        <v>1</v>
      </c>
      <c r="AA476" s="39" t="n">
        <f aca="false">IF(AND(E476&gt;0,B476=10),1,0)</f>
        <v>0</v>
      </c>
      <c r="AB476" s="0" t="str">
        <f aca="false">IF(AND(C475=C476,Y475=Y476-1),Z475,"")</f>
        <v/>
      </c>
      <c r="AC476" s="0" t="str">
        <f aca="false">IF(AND(C475=C476,Y475=Y476-1),AA475,"")</f>
        <v/>
      </c>
      <c r="AD476" s="0" t="str">
        <f aca="false">IF(Y476=1,"",IF(AND(Z476=1,AB476&lt;&gt;1),1,0))</f>
        <v/>
      </c>
      <c r="AE476" s="0" t="str">
        <f aca="false">IF(Y476=1,"",IF(AND(AA476=1,AC476&lt;&gt;1),1,0))</f>
        <v/>
      </c>
      <c r="AF476" s="45" t="str">
        <f aca="false">IF(AND(E476&gt;0,Y476&lt;1,NOT(AND(C477=C476,Y477=Y476+1))),INDEX(DATAS,Y476+1),"")</f>
        <v/>
      </c>
      <c r="AG476" s="45" t="str">
        <f aca="false">IF(AND(AA476=1,Y476&lt;1),IF(AND(C477=C476,Y477=Y476+1),IF(AA477=1,"",INDEX(DATAS,Y476+1)),INDEX(DATAS,Y476+1)),"")</f>
        <v/>
      </c>
    </row>
    <row r="477" customFormat="false" ht="15" hidden="false" customHeight="false" outlineLevel="0" collapsed="false">
      <c r="A477" s="45" t="n">
        <v>46309</v>
      </c>
      <c r="B477" s="0" t="n">
        <v>3</v>
      </c>
      <c r="C477" s="0" t="n">
        <v>4230</v>
      </c>
      <c r="D477" s="0" t="n">
        <v>42</v>
      </c>
      <c r="E477" s="0" t="n">
        <v>3</v>
      </c>
      <c r="F477" s="39" t="s">
        <v>464</v>
      </c>
      <c r="G477" s="0" t="n">
        <v>66.7</v>
      </c>
      <c r="H477" s="0" t="n">
        <v>65</v>
      </c>
      <c r="I477" s="39" t="s">
        <v>118</v>
      </c>
      <c r="J477" s="0" t="n">
        <v>42</v>
      </c>
      <c r="M477" s="0" t="n">
        <v>573.68</v>
      </c>
      <c r="N477" s="0" t="n">
        <v>32.28</v>
      </c>
      <c r="O477" s="0" t="n">
        <v>23.33</v>
      </c>
      <c r="P477" s="0" t="n">
        <v>3.2</v>
      </c>
      <c r="Q477" s="0" t="n">
        <v>3.34</v>
      </c>
      <c r="R477" s="0" t="n">
        <v>5087</v>
      </c>
      <c r="S477" s="0" t="n">
        <v>10226</v>
      </c>
      <c r="U477" s="0" t="n">
        <v>1490</v>
      </c>
      <c r="V477" s="0" t="n">
        <v>0</v>
      </c>
      <c r="W477" s="39" t="n">
        <f aca="false">IF(I477="Male",0,1)</f>
        <v>1</v>
      </c>
      <c r="X477" s="39" t="n">
        <f aca="false">IF(OR(I477="DNB",I477="Dry DNB"),1,0)</f>
        <v>0</v>
      </c>
      <c r="Y477" s="39" t="n">
        <f aca="false">MATCH(A477,DATAS,0)</f>
        <v>1</v>
      </c>
      <c r="Z477" s="39" t="n">
        <f aca="false">IF(AND(E477&gt;0,OR(AND(B477&gt;=1,B477&lt;=6),B477=10)),1,0)</f>
        <v>1</v>
      </c>
      <c r="AA477" s="39" t="n">
        <f aca="false">IF(AND(E477&gt;0,B477=10),1,0)</f>
        <v>0</v>
      </c>
      <c r="AB477" s="0" t="str">
        <f aca="false">IF(AND(C476=C477,Y476=Y477-1),Z476,"")</f>
        <v/>
      </c>
      <c r="AC477" s="0" t="str">
        <f aca="false">IF(AND(C476=C477,Y476=Y477-1),AA476,"")</f>
        <v/>
      </c>
      <c r="AD477" s="0" t="str">
        <f aca="false">IF(Y477=1,"",IF(AND(Z477=1,AB477&lt;&gt;1),1,0))</f>
        <v/>
      </c>
      <c r="AE477" s="0" t="str">
        <f aca="false">IF(Y477=1,"",IF(AND(AA477=1,AC477&lt;&gt;1),1,0))</f>
        <v/>
      </c>
      <c r="AF477" s="45" t="str">
        <f aca="false">IF(AND(E477&gt;0,Y477&lt;1,NOT(AND(C478=C477,Y478=Y477+1))),INDEX(DATAS,Y477+1),"")</f>
        <v/>
      </c>
      <c r="AG477" s="45" t="str">
        <f aca="false">IF(AND(AA477=1,Y477&lt;1),IF(AND(C478=C477,Y478=Y477+1),IF(AA478=1,"",INDEX(DATAS,Y477+1)),INDEX(DATAS,Y477+1)),"")</f>
        <v/>
      </c>
    </row>
    <row r="478" customFormat="false" ht="15" hidden="false" customHeight="false" outlineLevel="0" collapsed="false">
      <c r="A478" s="45" t="n">
        <v>46309</v>
      </c>
      <c r="B478" s="0" t="n">
        <v>3</v>
      </c>
      <c r="C478" s="0" t="n">
        <v>4231</v>
      </c>
      <c r="D478" s="0" t="n">
        <v>101</v>
      </c>
      <c r="E478" s="0" t="n">
        <v>3</v>
      </c>
      <c r="F478" s="39" t="s">
        <v>465</v>
      </c>
      <c r="G478" s="0" t="n">
        <v>61</v>
      </c>
      <c r="H478" s="0" t="n">
        <v>70</v>
      </c>
      <c r="I478" s="39" t="s">
        <v>109</v>
      </c>
      <c r="J478" s="0" t="n">
        <v>69</v>
      </c>
      <c r="K478" s="0" t="n">
        <v>69</v>
      </c>
      <c r="L478" s="0" t="n">
        <v>32</v>
      </c>
      <c r="M478" s="0" t="n">
        <v>467.36</v>
      </c>
      <c r="N478" s="0" t="n">
        <v>32.01</v>
      </c>
      <c r="O478" s="0" t="n">
        <v>24.39</v>
      </c>
      <c r="P478" s="0" t="n">
        <v>3.1</v>
      </c>
      <c r="Q478" s="0" t="n">
        <v>3.08</v>
      </c>
      <c r="R478" s="0" t="n">
        <v>7117</v>
      </c>
      <c r="S478" s="0" t="n">
        <v>14301</v>
      </c>
      <c r="T478" s="0" t="n">
        <v>82.05</v>
      </c>
      <c r="U478" s="0" t="n">
        <v>1489</v>
      </c>
      <c r="V478" s="0" t="n">
        <v>1</v>
      </c>
      <c r="W478" s="39" t="n">
        <f aca="false">IF(I478="Male",0,1)</f>
        <v>1</v>
      </c>
      <c r="X478" s="39" t="n">
        <f aca="false">IF(OR(I478="DNB",I478="Dry DNB"),1,0)</f>
        <v>0</v>
      </c>
      <c r="Y478" s="39" t="n">
        <f aca="false">MATCH(A478,DATAS,0)</f>
        <v>1</v>
      </c>
      <c r="Z478" s="39" t="n">
        <f aca="false">IF(AND(E478&gt;0,OR(AND(B478&gt;=1,B478&lt;=6),B478=10)),1,0)</f>
        <v>1</v>
      </c>
      <c r="AA478" s="39" t="n">
        <f aca="false">IF(AND(E478&gt;0,B478=10),1,0)</f>
        <v>0</v>
      </c>
      <c r="AB478" s="0" t="str">
        <f aca="false">IF(AND(C477=C478,Y477=Y478-1),Z477,"")</f>
        <v/>
      </c>
      <c r="AC478" s="0" t="str">
        <f aca="false">IF(AND(C477=C478,Y477=Y478-1),AA477,"")</f>
        <v/>
      </c>
      <c r="AD478" s="0" t="str">
        <f aca="false">IF(Y478=1,"",IF(AND(Z478=1,AB478&lt;&gt;1),1,0))</f>
        <v/>
      </c>
      <c r="AE478" s="0" t="str">
        <f aca="false">IF(Y478=1,"",IF(AND(AA478=1,AC478&lt;&gt;1),1,0))</f>
        <v/>
      </c>
      <c r="AF478" s="45" t="str">
        <f aca="false">IF(AND(E478&gt;0,Y478&lt;1,NOT(AND(C479=C478,Y479=Y478+1))),INDEX(DATAS,Y478+1),"")</f>
        <v/>
      </c>
      <c r="AG478" s="45" t="str">
        <f aca="false">IF(AND(AA478=1,Y478&lt;1),IF(AND(C479=C478,Y479=Y478+1),IF(AA479=1,"",INDEX(DATAS,Y478+1)),INDEX(DATAS,Y478+1)),"")</f>
        <v/>
      </c>
    </row>
    <row r="479" customFormat="false" ht="15" hidden="false" customHeight="false" outlineLevel="0" collapsed="false">
      <c r="A479" s="45" t="n">
        <v>46309</v>
      </c>
      <c r="B479" s="0" t="n">
        <v>2</v>
      </c>
      <c r="C479" s="0" t="n">
        <v>4232</v>
      </c>
      <c r="D479" s="0" t="n">
        <v>12</v>
      </c>
      <c r="E479" s="0" t="n">
        <v>3</v>
      </c>
      <c r="F479" s="39" t="s">
        <v>465</v>
      </c>
      <c r="G479" s="0" t="n">
        <v>48</v>
      </c>
      <c r="H479" s="0" t="n">
        <v>43</v>
      </c>
      <c r="I479" s="39" t="s">
        <v>118</v>
      </c>
      <c r="J479" s="0" t="n">
        <v>12</v>
      </c>
      <c r="M479" s="0" t="n">
        <v>909.89</v>
      </c>
      <c r="N479" s="0" t="n">
        <v>63.17</v>
      </c>
      <c r="O479" s="0" t="n">
        <v>40.16</v>
      </c>
      <c r="R479" s="0" t="n">
        <v>3162</v>
      </c>
      <c r="S479" s="0" t="n">
        <v>6356</v>
      </c>
      <c r="U479" s="0" t="n">
        <v>1489</v>
      </c>
      <c r="V479" s="0" t="n">
        <v>0</v>
      </c>
      <c r="W479" s="39" t="n">
        <f aca="false">IF(I479="Male",0,1)</f>
        <v>1</v>
      </c>
      <c r="X479" s="39" t="n">
        <f aca="false">IF(OR(I479="DNB",I479="Dry DNB"),1,0)</f>
        <v>0</v>
      </c>
      <c r="Y479" s="39" t="n">
        <f aca="false">MATCH(A479,DATAS,0)</f>
        <v>1</v>
      </c>
      <c r="Z479" s="39" t="n">
        <f aca="false">IF(AND(E479&gt;0,OR(AND(B479&gt;=1,B479&lt;=6),B479=10)),1,0)</f>
        <v>1</v>
      </c>
      <c r="AA479" s="39" t="n">
        <f aca="false">IF(AND(E479&gt;0,B479=10),1,0)</f>
        <v>0</v>
      </c>
      <c r="AB479" s="0" t="str">
        <f aca="false">IF(AND(C478=C479,Y478=Y479-1),Z478,"")</f>
        <v/>
      </c>
      <c r="AC479" s="0" t="str">
        <f aca="false">IF(AND(C478=C479,Y478=Y479-1),AA478,"")</f>
        <v/>
      </c>
      <c r="AD479" s="0" t="str">
        <f aca="false">IF(Y479=1,"",IF(AND(Z479=1,AB479&lt;&gt;1),1,0))</f>
        <v/>
      </c>
      <c r="AE479" s="0" t="str">
        <f aca="false">IF(Y479=1,"",IF(AND(AA479=1,AC479&lt;&gt;1),1,0))</f>
        <v/>
      </c>
      <c r="AF479" s="45" t="str">
        <f aca="false">IF(AND(E479&gt;0,Y479&lt;1,NOT(AND(C480=C479,Y480=Y479+1))),INDEX(DATAS,Y479+1),"")</f>
        <v/>
      </c>
      <c r="AG479" s="45" t="str">
        <f aca="false">IF(AND(AA479=1,Y479&lt;1),IF(AND(C480=C479,Y480=Y479+1),IF(AA480=1,"",INDEX(DATAS,Y479+1)),INDEX(DATAS,Y479+1)),"")</f>
        <v/>
      </c>
    </row>
    <row r="480" customFormat="false" ht="15" hidden="false" customHeight="false" outlineLevel="0" collapsed="false">
      <c r="A480" s="45" t="n">
        <v>46309</v>
      </c>
      <c r="B480" s="0" t="n">
        <v>2</v>
      </c>
      <c r="C480" s="0" t="n">
        <v>4234</v>
      </c>
      <c r="D480" s="0" t="n">
        <v>316</v>
      </c>
      <c r="E480" s="0" t="n">
        <v>2</v>
      </c>
      <c r="F480" s="39" t="s">
        <v>465</v>
      </c>
      <c r="G480" s="0" t="n">
        <v>55.3</v>
      </c>
      <c r="H480" s="0" t="n">
        <v>56</v>
      </c>
      <c r="I480" s="39" t="s">
        <v>109</v>
      </c>
      <c r="J480" s="0" t="n">
        <v>148</v>
      </c>
      <c r="K480" s="0" t="n">
        <v>64</v>
      </c>
      <c r="L480" s="0" t="n">
        <v>168</v>
      </c>
      <c r="M480" s="0" t="n">
        <v>956.38</v>
      </c>
      <c r="N480" s="0" t="n">
        <v>68.49</v>
      </c>
      <c r="O480" s="0" t="n">
        <v>38.67</v>
      </c>
      <c r="P480" s="0" t="n">
        <v>4.88</v>
      </c>
      <c r="Q480" s="0" t="n">
        <v>3.89</v>
      </c>
      <c r="R480" s="0" t="n">
        <v>5598</v>
      </c>
      <c r="S480" s="0" t="n">
        <v>11597</v>
      </c>
      <c r="T480" s="0" t="n">
        <v>64.9</v>
      </c>
      <c r="U480" s="0" t="n">
        <v>1489</v>
      </c>
      <c r="V480" s="0" t="n">
        <v>3</v>
      </c>
      <c r="W480" s="39" t="n">
        <f aca="false">IF(I480="Male",0,1)</f>
        <v>1</v>
      </c>
      <c r="X480" s="39" t="n">
        <f aca="false">IF(OR(I480="DNB",I480="Dry DNB"),1,0)</f>
        <v>0</v>
      </c>
      <c r="Y480" s="39" t="n">
        <f aca="false">MATCH(A480,DATAS,0)</f>
        <v>1</v>
      </c>
      <c r="Z480" s="39" t="n">
        <f aca="false">IF(AND(E480&gt;0,OR(AND(B480&gt;=1,B480&lt;=6),B480=10)),1,0)</f>
        <v>1</v>
      </c>
      <c r="AA480" s="39" t="n">
        <f aca="false">IF(AND(E480&gt;0,B480=10),1,0)</f>
        <v>0</v>
      </c>
      <c r="AB480" s="0" t="str">
        <f aca="false">IF(AND(C479=C480,Y479=Y480-1),Z479,"")</f>
        <v/>
      </c>
      <c r="AC480" s="0" t="str">
        <f aca="false">IF(AND(C479=C480,Y479=Y480-1),AA479,"")</f>
        <v/>
      </c>
      <c r="AD480" s="0" t="str">
        <f aca="false">IF(Y480=1,"",IF(AND(Z480=1,AB480&lt;&gt;1),1,0))</f>
        <v/>
      </c>
      <c r="AE480" s="0" t="str">
        <f aca="false">IF(Y480=1,"",IF(AND(AA480=1,AC480&lt;&gt;1),1,0))</f>
        <v/>
      </c>
      <c r="AF480" s="45" t="str">
        <f aca="false">IF(AND(E480&gt;0,Y480&lt;1,NOT(AND(C481=C480,Y481=Y480+1))),INDEX(DATAS,Y480+1),"")</f>
        <v/>
      </c>
      <c r="AG480" s="45" t="str">
        <f aca="false">IF(AND(AA480=1,Y480&lt;1),IF(AND(C481=C480,Y481=Y480+1),IF(AA481=1,"",INDEX(DATAS,Y480+1)),INDEX(DATAS,Y480+1)),"")</f>
        <v/>
      </c>
    </row>
    <row r="481" customFormat="false" ht="15" hidden="false" customHeight="false" outlineLevel="0" collapsed="false">
      <c r="A481" s="45" t="n">
        <v>46309</v>
      </c>
      <c r="B481" s="0" t="n">
        <v>6</v>
      </c>
      <c r="C481" s="0" t="n">
        <v>4236</v>
      </c>
      <c r="D481" s="0" t="n">
        <v>393</v>
      </c>
      <c r="E481" s="0" t="n">
        <v>2</v>
      </c>
      <c r="F481" s="39" t="s">
        <v>466</v>
      </c>
      <c r="G481" s="0" t="n">
        <v>16.5</v>
      </c>
      <c r="H481" s="0" t="n">
        <v>16</v>
      </c>
      <c r="I481" s="39" t="s">
        <v>109</v>
      </c>
      <c r="J481" s="0" t="n">
        <v>176</v>
      </c>
      <c r="K481" s="0" t="n">
        <v>64</v>
      </c>
      <c r="L481" s="0" t="n">
        <v>217</v>
      </c>
      <c r="M481" s="0" t="n">
        <v>544.67</v>
      </c>
      <c r="N481" s="0" t="n">
        <v>67.75</v>
      </c>
      <c r="O481" s="0" t="n">
        <v>25.21</v>
      </c>
      <c r="P481" s="0" t="n">
        <v>4.78</v>
      </c>
      <c r="Q481" s="0" t="n">
        <v>4</v>
      </c>
      <c r="R481" s="0" t="n">
        <v>7304</v>
      </c>
      <c r="S481" s="0" t="n">
        <v>14144</v>
      </c>
      <c r="T481" s="0" t="n">
        <v>78.85</v>
      </c>
      <c r="U481" s="0" t="n">
        <v>1487</v>
      </c>
      <c r="V481" s="0" t="n">
        <v>3</v>
      </c>
      <c r="W481" s="39" t="n">
        <f aca="false">IF(I481="Male",0,1)</f>
        <v>1</v>
      </c>
      <c r="X481" s="39" t="n">
        <f aca="false">IF(OR(I481="DNB",I481="Dry DNB"),1,0)</f>
        <v>0</v>
      </c>
      <c r="Y481" s="39" t="n">
        <f aca="false">MATCH(A481,DATAS,0)</f>
        <v>1</v>
      </c>
      <c r="Z481" s="39" t="n">
        <f aca="false">IF(AND(E481&gt;0,OR(AND(B481&gt;=1,B481&lt;=6),B481=10)),1,0)</f>
        <v>1</v>
      </c>
      <c r="AA481" s="39" t="n">
        <f aca="false">IF(AND(E481&gt;0,B481=10),1,0)</f>
        <v>0</v>
      </c>
      <c r="AB481" s="0" t="str">
        <f aca="false">IF(AND(C480=C481,Y480=Y481-1),Z480,"")</f>
        <v/>
      </c>
      <c r="AC481" s="0" t="str">
        <f aca="false">IF(AND(C480=C481,Y480=Y481-1),AA480,"")</f>
        <v/>
      </c>
      <c r="AD481" s="0" t="str">
        <f aca="false">IF(Y481=1,"",IF(AND(Z481=1,AB481&lt;&gt;1),1,0))</f>
        <v/>
      </c>
      <c r="AE481" s="0" t="str">
        <f aca="false">IF(Y481=1,"",IF(AND(AA481=1,AC481&lt;&gt;1),1,0))</f>
        <v/>
      </c>
      <c r="AF481" s="45" t="str">
        <f aca="false">IF(AND(E481&gt;0,Y481&lt;1,NOT(AND(C482=C481,Y482=Y481+1))),INDEX(DATAS,Y481+1),"")</f>
        <v/>
      </c>
      <c r="AG481" s="45" t="str">
        <f aca="false">IF(AND(AA481=1,Y481&lt;1),IF(AND(C482=C481,Y482=Y481+1),IF(AA482=1,"",INDEX(DATAS,Y481+1)),INDEX(DATAS,Y481+1)),"")</f>
        <v/>
      </c>
    </row>
    <row r="482" customFormat="false" ht="15" hidden="false" customHeight="false" outlineLevel="0" collapsed="false">
      <c r="A482" s="45" t="n">
        <v>46309</v>
      </c>
      <c r="B482" s="0" t="n">
        <v>5</v>
      </c>
      <c r="C482" s="0" t="n">
        <v>4237</v>
      </c>
      <c r="D482" s="0" t="n">
        <v>154</v>
      </c>
      <c r="E482" s="0" t="n">
        <v>3</v>
      </c>
      <c r="F482" s="39" t="s">
        <v>466</v>
      </c>
      <c r="G482" s="0" t="n">
        <v>39.3</v>
      </c>
      <c r="H482" s="0" t="n">
        <v>35</v>
      </c>
      <c r="I482" s="39" t="s">
        <v>138</v>
      </c>
      <c r="J482" s="0" t="n">
        <v>154</v>
      </c>
      <c r="K482" s="0" t="n">
        <v>71</v>
      </c>
      <c r="M482" s="0" t="n">
        <v>328.13</v>
      </c>
      <c r="N482" s="0" t="n">
        <v>75.56</v>
      </c>
      <c r="O482" s="0" t="n">
        <v>26.68</v>
      </c>
      <c r="P482" s="0" t="n">
        <v>5.54</v>
      </c>
      <c r="Q482" s="0" t="n">
        <v>3.99</v>
      </c>
      <c r="R482" s="0" t="n">
        <v>4726</v>
      </c>
      <c r="S482" s="0" t="n">
        <v>8931</v>
      </c>
      <c r="T482" s="0" t="n">
        <v>50</v>
      </c>
      <c r="U482" s="0" t="n">
        <v>1487</v>
      </c>
      <c r="V482" s="0" t="n">
        <v>3</v>
      </c>
      <c r="W482" s="39" t="n">
        <f aca="false">IF(I482="Male",0,1)</f>
        <v>1</v>
      </c>
      <c r="X482" s="39" t="n">
        <f aca="false">IF(OR(I482="DNB",I482="Dry DNB"),1,0)</f>
        <v>0</v>
      </c>
      <c r="Y482" s="39" t="n">
        <f aca="false">MATCH(A482,DATAS,0)</f>
        <v>1</v>
      </c>
      <c r="Z482" s="39" t="n">
        <f aca="false">IF(AND(E482&gt;0,OR(AND(B482&gt;=1,B482&lt;=6),B482=10)),1,0)</f>
        <v>1</v>
      </c>
      <c r="AA482" s="39" t="n">
        <f aca="false">IF(AND(E482&gt;0,B482=10),1,0)</f>
        <v>0</v>
      </c>
      <c r="AB482" s="0" t="str">
        <f aca="false">IF(AND(C481=C482,Y481=Y482-1),Z481,"")</f>
        <v/>
      </c>
      <c r="AC482" s="0" t="str">
        <f aca="false">IF(AND(C481=C482,Y481=Y482-1),AA481,"")</f>
        <v/>
      </c>
      <c r="AD482" s="0" t="str">
        <f aca="false">IF(Y482=1,"",IF(AND(Z482=1,AB482&lt;&gt;1),1,0))</f>
        <v/>
      </c>
      <c r="AE482" s="0" t="str">
        <f aca="false">IF(Y482=1,"",IF(AND(AA482=1,AC482&lt;&gt;1),1,0))</f>
        <v/>
      </c>
      <c r="AF482" s="45" t="str">
        <f aca="false">IF(AND(E482&gt;0,Y482&lt;1,NOT(AND(C483=C482,Y483=Y482+1))),INDEX(DATAS,Y482+1),"")</f>
        <v/>
      </c>
      <c r="AG482" s="45" t="str">
        <f aca="false">IF(AND(AA482=1,Y482&lt;1),IF(AND(C483=C482,Y483=Y482+1),IF(AA483=1,"",INDEX(DATAS,Y482+1)),INDEX(DATAS,Y482+1)),"")</f>
        <v/>
      </c>
    </row>
    <row r="483" customFormat="false" ht="15" hidden="false" customHeight="false" outlineLevel="0" collapsed="false">
      <c r="A483" s="45" t="n">
        <v>46309</v>
      </c>
      <c r="B483" s="0" t="n">
        <v>3</v>
      </c>
      <c r="C483" s="0" t="n">
        <v>4240</v>
      </c>
      <c r="D483" s="0" t="n">
        <v>118</v>
      </c>
      <c r="E483" s="0" t="n">
        <v>3</v>
      </c>
      <c r="F483" s="39" t="s">
        <v>467</v>
      </c>
      <c r="G483" s="0" t="n">
        <v>64.3</v>
      </c>
      <c r="H483" s="0" t="n">
        <v>59</v>
      </c>
      <c r="I483" s="39" t="s">
        <v>138</v>
      </c>
      <c r="J483" s="0" t="n">
        <v>118</v>
      </c>
      <c r="K483" s="0" t="n">
        <v>70</v>
      </c>
      <c r="M483" s="0" t="n">
        <v>500.41</v>
      </c>
      <c r="N483" s="0" t="n">
        <v>50.43</v>
      </c>
      <c r="O483" s="0" t="n">
        <v>37.07</v>
      </c>
      <c r="P483" s="0" t="n">
        <v>4.59</v>
      </c>
      <c r="Q483" s="0" t="n">
        <v>3.42</v>
      </c>
      <c r="R483" s="0" t="n">
        <v>5922</v>
      </c>
      <c r="S483" s="0" t="n">
        <v>11980</v>
      </c>
      <c r="T483" s="0" t="n">
        <v>68.15</v>
      </c>
      <c r="U483" s="0" t="n">
        <v>1486</v>
      </c>
      <c r="V483" s="0" t="n">
        <v>2</v>
      </c>
      <c r="W483" s="39" t="n">
        <f aca="false">IF(I483="Male",0,1)</f>
        <v>1</v>
      </c>
      <c r="X483" s="39" t="n">
        <f aca="false">IF(OR(I483="DNB",I483="Dry DNB"),1,0)</f>
        <v>0</v>
      </c>
      <c r="Y483" s="39" t="n">
        <f aca="false">MATCH(A483,DATAS,0)</f>
        <v>1</v>
      </c>
      <c r="Z483" s="39" t="n">
        <f aca="false">IF(AND(E483&gt;0,OR(AND(B483&gt;=1,B483&lt;=6),B483=10)),1,0)</f>
        <v>1</v>
      </c>
      <c r="AA483" s="39" t="n">
        <f aca="false">IF(AND(E483&gt;0,B483=10),1,0)</f>
        <v>0</v>
      </c>
      <c r="AB483" s="0" t="str">
        <f aca="false">IF(AND(C482=C483,Y482=Y483-1),Z482,"")</f>
        <v/>
      </c>
      <c r="AC483" s="0" t="str">
        <f aca="false">IF(AND(C482=C483,Y482=Y483-1),AA482,"")</f>
        <v/>
      </c>
      <c r="AD483" s="0" t="str">
        <f aca="false">IF(Y483=1,"",IF(AND(Z483=1,AB483&lt;&gt;1),1,0))</f>
        <v/>
      </c>
      <c r="AE483" s="0" t="str">
        <f aca="false">IF(Y483=1,"",IF(AND(AA483=1,AC483&lt;&gt;1),1,0))</f>
        <v/>
      </c>
      <c r="AF483" s="45" t="str">
        <f aca="false">IF(AND(E483&gt;0,Y483&lt;1,NOT(AND(C484=C483,Y484=Y483+1))),INDEX(DATAS,Y483+1),"")</f>
        <v/>
      </c>
      <c r="AG483" s="45" t="str">
        <f aca="false">IF(AND(AA483=1,Y483&lt;1),IF(AND(C484=C483,Y484=Y483+1),IF(AA484=1,"",INDEX(DATAS,Y483+1)),INDEX(DATAS,Y483+1)),"")</f>
        <v/>
      </c>
    </row>
    <row r="484" customFormat="false" ht="15" hidden="false" customHeight="false" outlineLevel="0" collapsed="false">
      <c r="A484" s="45" t="n">
        <v>46309</v>
      </c>
      <c r="B484" s="0" t="n">
        <v>3</v>
      </c>
      <c r="C484" s="0" t="n">
        <v>4244</v>
      </c>
      <c r="D484" s="0" t="n">
        <v>66</v>
      </c>
      <c r="E484" s="0" t="n">
        <v>3</v>
      </c>
      <c r="F484" s="39" t="s">
        <v>468</v>
      </c>
      <c r="G484" s="0" t="n">
        <v>67.5</v>
      </c>
      <c r="H484" s="0" t="n">
        <v>61</v>
      </c>
      <c r="I484" s="39" t="s">
        <v>138</v>
      </c>
      <c r="J484" s="0" t="n">
        <v>66</v>
      </c>
      <c r="K484" s="0" t="n">
        <v>66</v>
      </c>
      <c r="M484" s="0" t="n">
        <v>773.03</v>
      </c>
      <c r="N484" s="0" t="n">
        <v>26.89</v>
      </c>
      <c r="O484" s="0" t="n">
        <v>18.89</v>
      </c>
      <c r="P484" s="0" t="n">
        <v>3.56</v>
      </c>
      <c r="Q484" s="0" t="n">
        <v>3.1</v>
      </c>
      <c r="R484" s="0" t="n">
        <v>4754</v>
      </c>
      <c r="S484" s="0" t="n">
        <v>9557</v>
      </c>
      <c r="U484" s="0" t="n">
        <v>1482</v>
      </c>
      <c r="V484" s="0" t="n">
        <v>1</v>
      </c>
      <c r="W484" s="39" t="n">
        <f aca="false">IF(I484="Male",0,1)</f>
        <v>1</v>
      </c>
      <c r="X484" s="39" t="n">
        <f aca="false">IF(OR(I484="DNB",I484="Dry DNB"),1,0)</f>
        <v>0</v>
      </c>
      <c r="Y484" s="39" t="n">
        <f aca="false">MATCH(A484,DATAS,0)</f>
        <v>1</v>
      </c>
      <c r="Z484" s="39" t="n">
        <f aca="false">IF(AND(E484&gt;0,OR(AND(B484&gt;=1,B484&lt;=6),B484=10)),1,0)</f>
        <v>1</v>
      </c>
      <c r="AA484" s="39" t="n">
        <f aca="false">IF(AND(E484&gt;0,B484=10),1,0)</f>
        <v>0</v>
      </c>
      <c r="AB484" s="0" t="str">
        <f aca="false">IF(AND(C483=C484,Y483=Y484-1),Z483,"")</f>
        <v/>
      </c>
      <c r="AC484" s="0" t="str">
        <f aca="false">IF(AND(C483=C484,Y483=Y484-1),AA483,"")</f>
        <v/>
      </c>
      <c r="AD484" s="0" t="str">
        <f aca="false">IF(Y484=1,"",IF(AND(Z484=1,AB484&lt;&gt;1),1,0))</f>
        <v/>
      </c>
      <c r="AE484" s="0" t="str">
        <f aca="false">IF(Y484=1,"",IF(AND(AA484=1,AC484&lt;&gt;1),1,0))</f>
        <v/>
      </c>
      <c r="AF484" s="45" t="str">
        <f aca="false">IF(AND(E484&gt;0,Y484&lt;1,NOT(AND(C485=C484,Y485=Y484+1))),INDEX(DATAS,Y484+1),"")</f>
        <v/>
      </c>
      <c r="AG484" s="45" t="str">
        <f aca="false">IF(AND(AA484=1,Y484&lt;1),IF(AND(C485=C484,Y485=Y484+1),IF(AA485=1,"",INDEX(DATAS,Y484+1)),INDEX(DATAS,Y484+1)),"")</f>
        <v/>
      </c>
    </row>
    <row r="485" customFormat="false" ht="15" hidden="false" customHeight="false" outlineLevel="0" collapsed="false">
      <c r="A485" s="45" t="n">
        <v>46309</v>
      </c>
      <c r="B485" s="0" t="n">
        <v>5</v>
      </c>
      <c r="C485" s="0" t="n">
        <v>4251</v>
      </c>
      <c r="D485" s="0" t="n">
        <v>212</v>
      </c>
      <c r="E485" s="0" t="n">
        <v>2</v>
      </c>
      <c r="F485" s="39" t="s">
        <v>469</v>
      </c>
      <c r="G485" s="0" t="n">
        <v>38.9</v>
      </c>
      <c r="H485" s="0" t="n">
        <v>41</v>
      </c>
      <c r="I485" s="39" t="s">
        <v>109</v>
      </c>
      <c r="J485" s="0" t="n">
        <v>107</v>
      </c>
      <c r="K485" s="0" t="n">
        <v>65</v>
      </c>
      <c r="L485" s="0" t="n">
        <v>105</v>
      </c>
      <c r="M485" s="0" t="n">
        <v>477.27</v>
      </c>
      <c r="N485" s="0" t="n">
        <v>44.18</v>
      </c>
      <c r="O485" s="0" t="n">
        <v>27.29</v>
      </c>
      <c r="P485" s="0" t="n">
        <v>4.24</v>
      </c>
      <c r="Q485" s="0" t="n">
        <v>4.12</v>
      </c>
      <c r="R485" s="0" t="n">
        <v>4542</v>
      </c>
      <c r="S485" s="0" t="n">
        <v>9115</v>
      </c>
      <c r="T485" s="0" t="n">
        <v>51.55</v>
      </c>
      <c r="U485" s="0" t="n">
        <v>1476</v>
      </c>
      <c r="V485" s="0" t="n">
        <v>2</v>
      </c>
      <c r="W485" s="39" t="n">
        <f aca="false">IF(I485="Male",0,1)</f>
        <v>1</v>
      </c>
      <c r="X485" s="39" t="n">
        <f aca="false">IF(OR(I485="DNB",I485="Dry DNB"),1,0)</f>
        <v>0</v>
      </c>
      <c r="Y485" s="39" t="n">
        <f aca="false">MATCH(A485,DATAS,0)</f>
        <v>1</v>
      </c>
      <c r="Z485" s="39" t="n">
        <f aca="false">IF(AND(E485&gt;0,OR(AND(B485&gt;=1,B485&lt;=6),B485=10)),1,0)</f>
        <v>1</v>
      </c>
      <c r="AA485" s="39" t="n">
        <f aca="false">IF(AND(E485&gt;0,B485=10),1,0)</f>
        <v>0</v>
      </c>
      <c r="AB485" s="0" t="str">
        <f aca="false">IF(AND(C484=C485,Y484=Y485-1),Z484,"")</f>
        <v/>
      </c>
      <c r="AC485" s="0" t="str">
        <f aca="false">IF(AND(C484=C485,Y484=Y485-1),AA484,"")</f>
        <v/>
      </c>
      <c r="AD485" s="0" t="str">
        <f aca="false">IF(Y485=1,"",IF(AND(Z485=1,AB485&lt;&gt;1),1,0))</f>
        <v/>
      </c>
      <c r="AE485" s="0" t="str">
        <f aca="false">IF(Y485=1,"",IF(AND(AA485=1,AC485&lt;&gt;1),1,0))</f>
        <v/>
      </c>
      <c r="AF485" s="45" t="str">
        <f aca="false">IF(AND(E485&gt;0,Y485&lt;1,NOT(AND(C486=C485,Y486=Y485+1))),INDEX(DATAS,Y485+1),"")</f>
        <v/>
      </c>
      <c r="AG485" s="45" t="str">
        <f aca="false">IF(AND(AA485=1,Y485&lt;1),IF(AND(C486=C485,Y486=Y485+1),IF(AA486=1,"",INDEX(DATAS,Y485+1)),INDEX(DATAS,Y485+1)),"")</f>
        <v/>
      </c>
    </row>
    <row r="486" customFormat="false" ht="15" hidden="false" customHeight="false" outlineLevel="0" collapsed="false">
      <c r="A486" s="45" t="n">
        <v>46309</v>
      </c>
      <c r="B486" s="0" t="n">
        <v>2</v>
      </c>
      <c r="C486" s="0" t="n">
        <v>4254</v>
      </c>
      <c r="D486" s="0" t="n">
        <v>75</v>
      </c>
      <c r="E486" s="0" t="n">
        <v>3</v>
      </c>
      <c r="F486" s="39" t="s">
        <v>469</v>
      </c>
      <c r="G486" s="0" t="n">
        <v>64</v>
      </c>
      <c r="H486" s="0" t="n">
        <v>61</v>
      </c>
      <c r="I486" s="39" t="s">
        <v>138</v>
      </c>
      <c r="J486" s="0" t="n">
        <v>75</v>
      </c>
      <c r="K486" s="0" t="n">
        <v>68</v>
      </c>
      <c r="M486" s="0" t="n">
        <v>776.99</v>
      </c>
      <c r="N486" s="0" t="n">
        <v>52.3</v>
      </c>
      <c r="O486" s="0" t="n">
        <v>35.43</v>
      </c>
      <c r="P486" s="0" t="n">
        <v>3.17</v>
      </c>
      <c r="Q486" s="0" t="n">
        <v>3.18</v>
      </c>
      <c r="R486" s="0" t="n">
        <v>5697</v>
      </c>
      <c r="S486" s="0" t="n">
        <v>11453</v>
      </c>
      <c r="U486" s="0" t="n">
        <v>1476</v>
      </c>
      <c r="V486" s="0" t="n">
        <v>1</v>
      </c>
      <c r="W486" s="39" t="n">
        <f aca="false">IF(I486="Male",0,1)</f>
        <v>1</v>
      </c>
      <c r="X486" s="39" t="n">
        <f aca="false">IF(OR(I486="DNB",I486="Dry DNB"),1,0)</f>
        <v>0</v>
      </c>
      <c r="Y486" s="39" t="n">
        <f aca="false">MATCH(A486,DATAS,0)</f>
        <v>1</v>
      </c>
      <c r="Z486" s="39" t="n">
        <f aca="false">IF(AND(E486&gt;0,OR(AND(B486&gt;=1,B486&lt;=6),B486=10)),1,0)</f>
        <v>1</v>
      </c>
      <c r="AA486" s="39" t="n">
        <f aca="false">IF(AND(E486&gt;0,B486=10),1,0)</f>
        <v>0</v>
      </c>
      <c r="AB486" s="0" t="str">
        <f aca="false">IF(AND(C485=C486,Y485=Y486-1),Z485,"")</f>
        <v/>
      </c>
      <c r="AC486" s="0" t="str">
        <f aca="false">IF(AND(C485=C486,Y485=Y486-1),AA485,"")</f>
        <v/>
      </c>
      <c r="AD486" s="0" t="str">
        <f aca="false">IF(Y486=1,"",IF(AND(Z486=1,AB486&lt;&gt;1),1,0))</f>
        <v/>
      </c>
      <c r="AE486" s="0" t="str">
        <f aca="false">IF(Y486=1,"",IF(AND(AA486=1,AC486&lt;&gt;1),1,0))</f>
        <v/>
      </c>
      <c r="AF486" s="45" t="str">
        <f aca="false">IF(AND(E486&gt;0,Y486&lt;1,NOT(AND(C487=C486,Y487=Y486+1))),INDEX(DATAS,Y486+1),"")</f>
        <v/>
      </c>
      <c r="AG486" s="45" t="str">
        <f aca="false">IF(AND(AA486=1,Y486&lt;1),IF(AND(C487=C486,Y487=Y486+1),IF(AA487=1,"",INDEX(DATAS,Y486+1)),INDEX(DATAS,Y486+1)),"")</f>
        <v/>
      </c>
    </row>
    <row r="487" customFormat="false" ht="15" hidden="false" customHeight="false" outlineLevel="0" collapsed="false">
      <c r="A487" s="45" t="n">
        <v>46309</v>
      </c>
      <c r="B487" s="0" t="n">
        <v>2</v>
      </c>
      <c r="C487" s="0" t="n">
        <v>4255</v>
      </c>
      <c r="D487" s="0" t="n">
        <v>80</v>
      </c>
      <c r="E487" s="0" t="n">
        <v>3</v>
      </c>
      <c r="F487" s="39" t="s">
        <v>469</v>
      </c>
      <c r="G487" s="0" t="n">
        <v>69.1</v>
      </c>
      <c r="H487" s="0" t="n">
        <v>62</v>
      </c>
      <c r="I487" s="39" t="s">
        <v>138</v>
      </c>
      <c r="J487" s="0" t="n">
        <v>80</v>
      </c>
      <c r="K487" s="0" t="n">
        <v>66</v>
      </c>
      <c r="M487" s="0" t="n">
        <v>819.26</v>
      </c>
      <c r="N487" s="0" t="n">
        <v>58.94</v>
      </c>
      <c r="O487" s="0" t="n">
        <v>36.81</v>
      </c>
      <c r="P487" s="0" t="n">
        <v>2.1</v>
      </c>
      <c r="Q487" s="0" t="n">
        <v>3.07</v>
      </c>
      <c r="R487" s="0" t="n">
        <v>6222</v>
      </c>
      <c r="S487" s="0" t="n">
        <v>12507</v>
      </c>
      <c r="U487" s="0" t="n">
        <v>1476</v>
      </c>
      <c r="V487" s="0" t="n">
        <v>1</v>
      </c>
      <c r="W487" s="39" t="n">
        <f aca="false">IF(I487="Male",0,1)</f>
        <v>1</v>
      </c>
      <c r="X487" s="39" t="n">
        <f aca="false">IF(OR(I487="DNB",I487="Dry DNB"),1,0)</f>
        <v>0</v>
      </c>
      <c r="Y487" s="39" t="n">
        <f aca="false">MATCH(A487,DATAS,0)</f>
        <v>1</v>
      </c>
      <c r="Z487" s="39" t="n">
        <f aca="false">IF(AND(E487&gt;0,OR(AND(B487&gt;=1,B487&lt;=6),B487=10)),1,0)</f>
        <v>1</v>
      </c>
      <c r="AA487" s="39" t="n">
        <f aca="false">IF(AND(E487&gt;0,B487=10),1,0)</f>
        <v>0</v>
      </c>
      <c r="AB487" s="0" t="str">
        <f aca="false">IF(AND(C486=C487,Y486=Y487-1),Z486,"")</f>
        <v/>
      </c>
      <c r="AC487" s="0" t="str">
        <f aca="false">IF(AND(C486=C487,Y486=Y487-1),AA486,"")</f>
        <v/>
      </c>
      <c r="AD487" s="0" t="str">
        <f aca="false">IF(Y487=1,"",IF(AND(Z487=1,AB487&lt;&gt;1),1,0))</f>
        <v/>
      </c>
      <c r="AE487" s="0" t="str">
        <f aca="false">IF(Y487=1,"",IF(AND(AA487=1,AC487&lt;&gt;1),1,0))</f>
        <v/>
      </c>
      <c r="AF487" s="45" t="str">
        <f aca="false">IF(AND(E487&gt;0,Y487&lt;1,NOT(AND(C488=C487,Y488=Y487+1))),INDEX(DATAS,Y487+1),"")</f>
        <v/>
      </c>
      <c r="AG487" s="45" t="str">
        <f aca="false">IF(AND(AA487=1,Y487&lt;1),IF(AND(C488=C487,Y488=Y487+1),IF(AA488=1,"",INDEX(DATAS,Y487+1)),INDEX(DATAS,Y487+1)),"")</f>
        <v/>
      </c>
    </row>
    <row r="488" customFormat="false" ht="15" hidden="false" customHeight="false" outlineLevel="0" collapsed="false">
      <c r="A488" s="45" t="n">
        <v>46309</v>
      </c>
      <c r="B488" s="0" t="n">
        <v>5</v>
      </c>
      <c r="C488" s="0" t="n">
        <v>4258</v>
      </c>
      <c r="D488" s="0" t="n">
        <v>320</v>
      </c>
      <c r="E488" s="0" t="n">
        <v>2</v>
      </c>
      <c r="F488" s="39" t="s">
        <v>470</v>
      </c>
      <c r="G488" s="0" t="n">
        <v>40.9</v>
      </c>
      <c r="H488" s="0" t="n">
        <v>39</v>
      </c>
      <c r="I488" s="39" t="s">
        <v>109</v>
      </c>
      <c r="J488" s="0" t="n">
        <v>131</v>
      </c>
      <c r="K488" s="0" t="n">
        <v>68</v>
      </c>
      <c r="L488" s="0" t="n">
        <v>189</v>
      </c>
      <c r="M488" s="0" t="n">
        <v>500.21</v>
      </c>
      <c r="N488" s="0" t="n">
        <v>58.15</v>
      </c>
      <c r="O488" s="0" t="n">
        <v>33.09</v>
      </c>
      <c r="P488" s="0" t="n">
        <v>4.49</v>
      </c>
      <c r="Q488" s="0" t="n">
        <v>4.01</v>
      </c>
      <c r="R488" s="0" t="n">
        <v>4241</v>
      </c>
      <c r="S488" s="0" t="n">
        <v>9234</v>
      </c>
      <c r="T488" s="0" t="n">
        <v>50.8</v>
      </c>
      <c r="U488" s="0" t="n">
        <v>1475</v>
      </c>
      <c r="V488" s="0" t="n">
        <v>3</v>
      </c>
      <c r="W488" s="39" t="n">
        <f aca="false">IF(I488="Male",0,1)</f>
        <v>1</v>
      </c>
      <c r="X488" s="39" t="n">
        <f aca="false">IF(OR(I488="DNB",I488="Dry DNB"),1,0)</f>
        <v>0</v>
      </c>
      <c r="Y488" s="39" t="n">
        <f aca="false">MATCH(A488,DATAS,0)</f>
        <v>1</v>
      </c>
      <c r="Z488" s="39" t="n">
        <f aca="false">IF(AND(E488&gt;0,OR(AND(B488&gt;=1,B488&lt;=6),B488=10)),1,0)</f>
        <v>1</v>
      </c>
      <c r="AA488" s="39" t="n">
        <f aca="false">IF(AND(E488&gt;0,B488=10),1,0)</f>
        <v>0</v>
      </c>
      <c r="AB488" s="0" t="str">
        <f aca="false">IF(AND(C487=C488,Y487=Y488-1),Z487,"")</f>
        <v/>
      </c>
      <c r="AC488" s="0" t="str">
        <f aca="false">IF(AND(C487=C488,Y487=Y488-1),AA487,"")</f>
        <v/>
      </c>
      <c r="AD488" s="0" t="str">
        <f aca="false">IF(Y488=1,"",IF(AND(Z488=1,AB488&lt;&gt;1),1,0))</f>
        <v/>
      </c>
      <c r="AE488" s="0" t="str">
        <f aca="false">IF(Y488=1,"",IF(AND(AA488=1,AC488&lt;&gt;1),1,0))</f>
        <v/>
      </c>
      <c r="AF488" s="45" t="str">
        <f aca="false">IF(AND(E488&gt;0,Y488&lt;1,NOT(AND(C489=C488,Y489=Y488+1))),INDEX(DATAS,Y488+1),"")</f>
        <v/>
      </c>
      <c r="AG488" s="45" t="str">
        <f aca="false">IF(AND(AA488=1,Y488&lt;1),IF(AND(C489=C488,Y489=Y488+1),IF(AA489=1,"",INDEX(DATAS,Y488+1)),INDEX(DATAS,Y488+1)),"")</f>
        <v/>
      </c>
    </row>
    <row r="489" customFormat="false" ht="15" hidden="false" customHeight="false" outlineLevel="0" collapsed="false">
      <c r="A489" s="45" t="n">
        <v>46309</v>
      </c>
      <c r="B489" s="0" t="n">
        <v>2</v>
      </c>
      <c r="C489" s="0" t="n">
        <v>4259</v>
      </c>
      <c r="D489" s="0" t="n">
        <v>262</v>
      </c>
      <c r="E489" s="0" t="n">
        <v>2</v>
      </c>
      <c r="F489" s="39" t="s">
        <v>471</v>
      </c>
      <c r="G489" s="0" t="n">
        <v>59.8</v>
      </c>
      <c r="H489" s="0" t="n">
        <v>64</v>
      </c>
      <c r="I489" s="39" t="s">
        <v>109</v>
      </c>
      <c r="J489" s="0" t="n">
        <v>136</v>
      </c>
      <c r="K489" s="0" t="n">
        <v>66</v>
      </c>
      <c r="L489" s="0" t="n">
        <v>126</v>
      </c>
      <c r="M489" s="0" t="n">
        <v>1116.77</v>
      </c>
      <c r="N489" s="0" t="n">
        <v>64.17</v>
      </c>
      <c r="O489" s="0" t="n">
        <v>46.44</v>
      </c>
      <c r="P489" s="0" t="n">
        <v>3.07</v>
      </c>
      <c r="Q489" s="0" t="n">
        <v>3.6</v>
      </c>
      <c r="R489" s="0" t="n">
        <v>7005</v>
      </c>
      <c r="S489" s="0" t="n">
        <v>14403</v>
      </c>
      <c r="T489" s="0" t="n">
        <v>76</v>
      </c>
      <c r="U489" s="0" t="n">
        <v>1474</v>
      </c>
      <c r="V489" s="0" t="n">
        <v>3</v>
      </c>
      <c r="W489" s="39" t="n">
        <f aca="false">IF(I489="Male",0,1)</f>
        <v>1</v>
      </c>
      <c r="X489" s="39" t="n">
        <f aca="false">IF(OR(I489="DNB",I489="Dry DNB"),1,0)</f>
        <v>0</v>
      </c>
      <c r="Y489" s="39" t="n">
        <f aca="false">MATCH(A489,DATAS,0)</f>
        <v>1</v>
      </c>
      <c r="Z489" s="39" t="n">
        <f aca="false">IF(AND(E489&gt;0,OR(AND(B489&gt;=1,B489&lt;=6),B489=10)),1,0)</f>
        <v>1</v>
      </c>
      <c r="AA489" s="39" t="n">
        <f aca="false">IF(AND(E489&gt;0,B489=10),1,0)</f>
        <v>0</v>
      </c>
      <c r="AB489" s="0" t="str">
        <f aca="false">IF(AND(C488=C489,Y488=Y489-1),Z488,"")</f>
        <v/>
      </c>
      <c r="AC489" s="0" t="str">
        <f aca="false">IF(AND(C488=C489,Y488=Y489-1),AA488,"")</f>
        <v/>
      </c>
      <c r="AD489" s="0" t="str">
        <f aca="false">IF(Y489=1,"",IF(AND(Z489=1,AB489&lt;&gt;1),1,0))</f>
        <v/>
      </c>
      <c r="AE489" s="0" t="str">
        <f aca="false">IF(Y489=1,"",IF(AND(AA489=1,AC489&lt;&gt;1),1,0))</f>
        <v/>
      </c>
      <c r="AF489" s="45" t="str">
        <f aca="false">IF(AND(E489&gt;0,Y489&lt;1,NOT(AND(C490=C489,Y490=Y489+1))),INDEX(DATAS,Y489+1),"")</f>
        <v/>
      </c>
      <c r="AG489" s="45" t="str">
        <f aca="false">IF(AND(AA489=1,Y489&lt;1),IF(AND(C490=C489,Y490=Y489+1),IF(AA490=1,"",INDEX(DATAS,Y489+1)),INDEX(DATAS,Y489+1)),"")</f>
        <v/>
      </c>
    </row>
    <row r="490" customFormat="false" ht="15" hidden="false" customHeight="false" outlineLevel="0" collapsed="false">
      <c r="A490" s="45" t="n">
        <v>46309</v>
      </c>
      <c r="B490" s="0" t="n">
        <v>5</v>
      </c>
      <c r="C490" s="0" t="n">
        <v>4260</v>
      </c>
      <c r="D490" s="0" t="n">
        <v>382</v>
      </c>
      <c r="E490" s="0" t="n">
        <v>2</v>
      </c>
      <c r="F490" s="39" t="s">
        <v>471</v>
      </c>
      <c r="G490" s="0" t="n">
        <v>25.8</v>
      </c>
      <c r="H490" s="0" t="n">
        <v>27</v>
      </c>
      <c r="I490" s="39" t="s">
        <v>109</v>
      </c>
      <c r="J490" s="0" t="n">
        <v>256</v>
      </c>
      <c r="K490" s="0" t="n">
        <v>67</v>
      </c>
      <c r="L490" s="0" t="n">
        <v>126</v>
      </c>
      <c r="M490" s="0" t="n">
        <v>1285.56</v>
      </c>
      <c r="N490" s="0" t="n">
        <v>38.37</v>
      </c>
      <c r="O490" s="0" t="n">
        <v>30.11</v>
      </c>
      <c r="P490" s="0" t="n">
        <v>4.82</v>
      </c>
      <c r="Q490" s="0" t="n">
        <v>3.96</v>
      </c>
      <c r="R490" s="0" t="n">
        <v>5896</v>
      </c>
      <c r="S490" s="0" t="n">
        <v>10981</v>
      </c>
      <c r="T490" s="0" t="n">
        <v>65.1</v>
      </c>
      <c r="U490" s="0" t="n">
        <v>1474</v>
      </c>
      <c r="V490" s="0" t="n">
        <v>4</v>
      </c>
      <c r="W490" s="39" t="n">
        <f aca="false">IF(I490="Male",0,1)</f>
        <v>1</v>
      </c>
      <c r="X490" s="39" t="n">
        <f aca="false">IF(OR(I490="DNB",I490="Dry DNB"),1,0)</f>
        <v>0</v>
      </c>
      <c r="Y490" s="39" t="n">
        <f aca="false">MATCH(A490,DATAS,0)</f>
        <v>1</v>
      </c>
      <c r="Z490" s="39" t="n">
        <f aca="false">IF(AND(E490&gt;0,OR(AND(B490&gt;=1,B490&lt;=6),B490=10)),1,0)</f>
        <v>1</v>
      </c>
      <c r="AA490" s="39" t="n">
        <f aca="false">IF(AND(E490&gt;0,B490=10),1,0)</f>
        <v>0</v>
      </c>
      <c r="AB490" s="0" t="str">
        <f aca="false">IF(AND(C489=C490,Y489=Y490-1),Z489,"")</f>
        <v/>
      </c>
      <c r="AC490" s="0" t="str">
        <f aca="false">IF(AND(C489=C490,Y489=Y490-1),AA489,"")</f>
        <v/>
      </c>
      <c r="AD490" s="0" t="str">
        <f aca="false">IF(Y490=1,"",IF(AND(Z490=1,AB490&lt;&gt;1),1,0))</f>
        <v/>
      </c>
      <c r="AE490" s="0" t="str">
        <f aca="false">IF(Y490=1,"",IF(AND(AA490=1,AC490&lt;&gt;1),1,0))</f>
        <v/>
      </c>
      <c r="AF490" s="45" t="str">
        <f aca="false">IF(AND(E490&gt;0,Y490&lt;1,NOT(AND(C491=C490,Y491=Y490+1))),INDEX(DATAS,Y490+1),"")</f>
        <v/>
      </c>
      <c r="AG490" s="45" t="str">
        <f aca="false">IF(AND(AA490=1,Y490&lt;1),IF(AND(C491=C490,Y491=Y490+1),IF(AA491=1,"",INDEX(DATAS,Y490+1)),INDEX(DATAS,Y490+1)),"")</f>
        <v/>
      </c>
    </row>
    <row r="491" customFormat="false" ht="15" hidden="false" customHeight="false" outlineLevel="0" collapsed="false">
      <c r="A491" s="45" t="n">
        <v>46309</v>
      </c>
      <c r="B491" s="0" t="n">
        <v>10</v>
      </c>
      <c r="C491" s="0" t="n">
        <v>4262</v>
      </c>
      <c r="D491" s="0" t="n">
        <v>9</v>
      </c>
      <c r="E491" s="0" t="n">
        <v>3</v>
      </c>
      <c r="F491" s="39" t="s">
        <v>472</v>
      </c>
      <c r="H491" s="0" t="n">
        <v>20</v>
      </c>
      <c r="I491" s="39" t="s">
        <v>118</v>
      </c>
      <c r="J491" s="0" t="n">
        <v>9</v>
      </c>
      <c r="M491" s="0" t="n">
        <v>302.32</v>
      </c>
      <c r="N491" s="0" t="n">
        <v>54.99</v>
      </c>
      <c r="O491" s="0" t="n">
        <v>25.82</v>
      </c>
      <c r="R491" s="0" t="n">
        <v>1443</v>
      </c>
      <c r="S491" s="0" t="n">
        <v>2902</v>
      </c>
      <c r="U491" s="0" t="n">
        <v>1472</v>
      </c>
      <c r="V491" s="0" t="n">
        <v>0</v>
      </c>
      <c r="W491" s="39" t="n">
        <f aca="false">IF(I491="Male",0,1)</f>
        <v>1</v>
      </c>
      <c r="X491" s="39" t="n">
        <f aca="false">IF(OR(I491="DNB",I491="Dry DNB"),1,0)</f>
        <v>0</v>
      </c>
      <c r="Y491" s="39" t="n">
        <f aca="false">MATCH(A491,DATAS,0)</f>
        <v>1</v>
      </c>
      <c r="Z491" s="39" t="n">
        <f aca="false">IF(AND(E491&gt;0,OR(AND(B491&gt;=1,B491&lt;=6),B491=10)),1,0)</f>
        <v>1</v>
      </c>
      <c r="AA491" s="39" t="n">
        <f aca="false">IF(AND(E491&gt;0,B491=10),1,0)</f>
        <v>1</v>
      </c>
      <c r="AB491" s="0" t="str">
        <f aca="false">IF(AND(C490=C491,Y490=Y491-1),Z490,"")</f>
        <v/>
      </c>
      <c r="AC491" s="0" t="str">
        <f aca="false">IF(AND(C490=C491,Y490=Y491-1),AA490,"")</f>
        <v/>
      </c>
      <c r="AD491" s="0" t="str">
        <f aca="false">IF(Y491=1,"",IF(AND(Z491=1,AB491&lt;&gt;1),1,0))</f>
        <v/>
      </c>
      <c r="AE491" s="0" t="str">
        <f aca="false">IF(Y491=1,"",IF(AND(AA491=1,AC491&lt;&gt;1),1,0))</f>
        <v/>
      </c>
      <c r="AF491" s="45" t="str">
        <f aca="false">IF(AND(E491&gt;0,Y491&lt;1,NOT(AND(C492=C491,Y492=Y491+1))),INDEX(DATAS,Y491+1),"")</f>
        <v/>
      </c>
      <c r="AG491" s="45" t="str">
        <f aca="false">IF(AND(AA491=1,Y491&lt;1),IF(AND(C492=C491,Y492=Y491+1),IF(AA492=1,"",INDEX(DATAS,Y491+1)),INDEX(DATAS,Y491+1)),"")</f>
        <v/>
      </c>
    </row>
    <row r="492" customFormat="false" ht="15" hidden="false" customHeight="false" outlineLevel="0" collapsed="false">
      <c r="A492" s="45" t="n">
        <v>46309</v>
      </c>
      <c r="B492" s="0" t="n">
        <v>7</v>
      </c>
      <c r="C492" s="0" t="n">
        <v>4263</v>
      </c>
      <c r="D492" s="0" t="n">
        <v>358</v>
      </c>
      <c r="E492" s="0" t="n">
        <v>2</v>
      </c>
      <c r="F492" s="39" t="s">
        <v>473</v>
      </c>
      <c r="I492" s="39" t="s">
        <v>114</v>
      </c>
      <c r="J492" s="0" t="n">
        <v>135</v>
      </c>
      <c r="K492" s="0" t="n">
        <v>66</v>
      </c>
      <c r="L492" s="0" t="n">
        <v>231</v>
      </c>
      <c r="M492" s="0" t="n">
        <v>548.48</v>
      </c>
      <c r="N492" s="0" t="n">
        <v>43.85</v>
      </c>
      <c r="O492" s="0" t="n">
        <v>29.94</v>
      </c>
      <c r="P492" s="0" t="n">
        <v>5.24</v>
      </c>
      <c r="Q492" s="0" t="n">
        <v>4.12</v>
      </c>
      <c r="R492" s="0" t="n">
        <v>5483</v>
      </c>
      <c r="S492" s="0" t="n">
        <v>10893</v>
      </c>
      <c r="T492" s="0" t="n">
        <v>58.9</v>
      </c>
      <c r="U492" s="0" t="n">
        <v>1471</v>
      </c>
      <c r="V492" s="0" t="n">
        <v>3</v>
      </c>
      <c r="W492" s="39" t="n">
        <f aca="false">IF(I492="Male",0,1)</f>
        <v>1</v>
      </c>
      <c r="X492" s="39" t="n">
        <f aca="false">IF(OR(I492="DNB",I492="Dry DNB"),1,0)</f>
        <v>0</v>
      </c>
      <c r="Y492" s="39" t="n">
        <f aca="false">MATCH(A492,DATAS,0)</f>
        <v>1</v>
      </c>
      <c r="Z492" s="39" t="n">
        <f aca="false">IF(AND(E492&gt;0,OR(AND(B492&gt;=1,B492&lt;=6),B492=10)),1,0)</f>
        <v>0</v>
      </c>
      <c r="AA492" s="39" t="n">
        <f aca="false">IF(AND(E492&gt;0,B492=10),1,0)</f>
        <v>0</v>
      </c>
      <c r="AB492" s="0" t="str">
        <f aca="false">IF(AND(C491=C492,Y491=Y492-1),Z491,"")</f>
        <v/>
      </c>
      <c r="AC492" s="0" t="str">
        <f aca="false">IF(AND(C491=C492,Y491=Y492-1),AA491,"")</f>
        <v/>
      </c>
      <c r="AD492" s="0" t="str">
        <f aca="false">IF(Y492=1,"",IF(AND(Z492=1,AB492&lt;&gt;1),1,0))</f>
        <v/>
      </c>
      <c r="AE492" s="0" t="str">
        <f aca="false">IF(Y492=1,"",IF(AND(AA492=1,AC492&lt;&gt;1),1,0))</f>
        <v/>
      </c>
      <c r="AF492" s="45" t="str">
        <f aca="false">IF(AND(E492&gt;0,Y492&lt;1,NOT(AND(C493=C492,Y493=Y492+1))),INDEX(DATAS,Y492+1),"")</f>
        <v/>
      </c>
      <c r="AG492" s="45" t="str">
        <f aca="false">IF(AND(AA492=1,Y492&lt;1),IF(AND(C493=C492,Y493=Y492+1),IF(AA493=1,"",INDEX(DATAS,Y492+1)),INDEX(DATAS,Y492+1)),"")</f>
        <v/>
      </c>
    </row>
    <row r="493" customFormat="false" ht="15" hidden="false" customHeight="false" outlineLevel="0" collapsed="false">
      <c r="A493" s="45" t="n">
        <v>46309</v>
      </c>
      <c r="B493" s="0" t="n">
        <v>3</v>
      </c>
      <c r="C493" s="0" t="n">
        <v>4265</v>
      </c>
      <c r="D493" s="0" t="n">
        <v>240</v>
      </c>
      <c r="E493" s="0" t="n">
        <v>2</v>
      </c>
      <c r="F493" s="39" t="s">
        <v>474</v>
      </c>
      <c r="G493" s="0" t="n">
        <v>46.1</v>
      </c>
      <c r="H493" s="0" t="n">
        <v>40</v>
      </c>
      <c r="I493" s="39" t="s">
        <v>109</v>
      </c>
      <c r="J493" s="0" t="n">
        <v>65</v>
      </c>
      <c r="K493" s="0" t="n">
        <v>72</v>
      </c>
      <c r="L493" s="0" t="n">
        <v>175</v>
      </c>
      <c r="M493" s="0" t="n">
        <v>220.11</v>
      </c>
      <c r="N493" s="0" t="n">
        <v>53.55</v>
      </c>
      <c r="O493" s="0" t="n">
        <v>18.93</v>
      </c>
      <c r="P493" s="0" t="n">
        <v>4.59</v>
      </c>
      <c r="Q493" s="0" t="n">
        <v>3.7</v>
      </c>
      <c r="R493" s="0" t="n">
        <v>5551</v>
      </c>
      <c r="S493" s="0" t="n">
        <v>11340</v>
      </c>
      <c r="T493" s="0" t="n">
        <v>63.55</v>
      </c>
      <c r="U493" s="0" t="n">
        <v>1467</v>
      </c>
      <c r="V493" s="0" t="n">
        <v>1</v>
      </c>
      <c r="W493" s="39" t="n">
        <f aca="false">IF(I493="Male",0,1)</f>
        <v>1</v>
      </c>
      <c r="X493" s="39" t="n">
        <f aca="false">IF(OR(I493="DNB",I493="Dry DNB"),1,0)</f>
        <v>0</v>
      </c>
      <c r="Y493" s="39" t="n">
        <f aca="false">MATCH(A493,DATAS,0)</f>
        <v>1</v>
      </c>
      <c r="Z493" s="39" t="n">
        <f aca="false">IF(AND(E493&gt;0,OR(AND(B493&gt;=1,B493&lt;=6),B493=10)),1,0)</f>
        <v>1</v>
      </c>
      <c r="AA493" s="39" t="n">
        <f aca="false">IF(AND(E493&gt;0,B493=10),1,0)</f>
        <v>0</v>
      </c>
      <c r="AB493" s="0" t="str">
        <f aca="false">IF(AND(C492=C493,Y492=Y493-1),Z492,"")</f>
        <v/>
      </c>
      <c r="AC493" s="0" t="str">
        <f aca="false">IF(AND(C492=C493,Y492=Y493-1),AA492,"")</f>
        <v/>
      </c>
      <c r="AD493" s="0" t="str">
        <f aca="false">IF(Y493=1,"",IF(AND(Z493=1,AB493&lt;&gt;1),1,0))</f>
        <v/>
      </c>
      <c r="AE493" s="0" t="str">
        <f aca="false">IF(Y493=1,"",IF(AND(AA493=1,AC493&lt;&gt;1),1,0))</f>
        <v/>
      </c>
      <c r="AF493" s="45" t="str">
        <f aca="false">IF(AND(E493&gt;0,Y493&lt;1,NOT(AND(C494=C493,Y494=Y493+1))),INDEX(DATAS,Y493+1),"")</f>
        <v/>
      </c>
      <c r="AG493" s="45" t="str">
        <f aca="false">IF(AND(AA493=1,Y493&lt;1),IF(AND(C494=C493,Y494=Y493+1),IF(AA494=1,"",INDEX(DATAS,Y493+1)),INDEX(DATAS,Y493+1)),"")</f>
        <v/>
      </c>
    </row>
    <row r="494" customFormat="false" ht="15" hidden="false" customHeight="false" outlineLevel="0" collapsed="false">
      <c r="A494" s="45" t="n">
        <v>46309</v>
      </c>
      <c r="B494" s="0" t="n">
        <v>7</v>
      </c>
      <c r="C494" s="0" t="n">
        <v>4267</v>
      </c>
      <c r="D494" s="0" t="n">
        <v>327</v>
      </c>
      <c r="E494" s="0" t="n">
        <v>2</v>
      </c>
      <c r="F494" s="39" t="s">
        <v>474</v>
      </c>
      <c r="I494" s="39" t="s">
        <v>114</v>
      </c>
      <c r="J494" s="0" t="n">
        <v>104</v>
      </c>
      <c r="K494" s="0" t="n">
        <v>69</v>
      </c>
      <c r="L494" s="0" t="n">
        <v>231</v>
      </c>
      <c r="M494" s="0" t="n">
        <v>1066.02</v>
      </c>
      <c r="N494" s="0" t="n">
        <v>41.22</v>
      </c>
      <c r="O494" s="0" t="n">
        <v>28.54</v>
      </c>
      <c r="P494" s="0" t="n">
        <v>4.19</v>
      </c>
      <c r="Q494" s="0" t="n">
        <v>3.77</v>
      </c>
      <c r="R494" s="0" t="n">
        <v>6623</v>
      </c>
      <c r="S494" s="0" t="n">
        <v>12333</v>
      </c>
      <c r="T494" s="0" t="n">
        <v>69.1</v>
      </c>
      <c r="U494" s="0" t="n">
        <v>1467</v>
      </c>
      <c r="V494" s="0" t="n">
        <v>2</v>
      </c>
      <c r="W494" s="39" t="n">
        <f aca="false">IF(I494="Male",0,1)</f>
        <v>1</v>
      </c>
      <c r="X494" s="39" t="n">
        <f aca="false">IF(OR(I494="DNB",I494="Dry DNB"),1,0)</f>
        <v>0</v>
      </c>
      <c r="Y494" s="39" t="n">
        <f aca="false">MATCH(A494,DATAS,0)</f>
        <v>1</v>
      </c>
      <c r="Z494" s="39" t="n">
        <f aca="false">IF(AND(E494&gt;0,OR(AND(B494&gt;=1,B494&lt;=6),B494=10)),1,0)</f>
        <v>0</v>
      </c>
      <c r="AA494" s="39" t="n">
        <f aca="false">IF(AND(E494&gt;0,B494=10),1,0)</f>
        <v>0</v>
      </c>
      <c r="AB494" s="0" t="str">
        <f aca="false">IF(AND(C493=C494,Y493=Y494-1),Z493,"")</f>
        <v/>
      </c>
      <c r="AC494" s="0" t="str">
        <f aca="false">IF(AND(C493=C494,Y493=Y494-1),AA493,"")</f>
        <v/>
      </c>
      <c r="AD494" s="0" t="str">
        <f aca="false">IF(Y494=1,"",IF(AND(Z494=1,AB494&lt;&gt;1),1,0))</f>
        <v/>
      </c>
      <c r="AE494" s="0" t="str">
        <f aca="false">IF(Y494=1,"",IF(AND(AA494=1,AC494&lt;&gt;1),1,0))</f>
        <v/>
      </c>
      <c r="AF494" s="45" t="str">
        <f aca="false">IF(AND(E494&gt;0,Y494&lt;1,NOT(AND(C495=C494,Y495=Y494+1))),INDEX(DATAS,Y494+1),"")</f>
        <v/>
      </c>
      <c r="AG494" s="45" t="str">
        <f aca="false">IF(AND(AA494=1,Y494&lt;1),IF(AND(C495=C494,Y495=Y494+1),IF(AA495=1,"",INDEX(DATAS,Y494+1)),INDEX(DATAS,Y494+1)),"")</f>
        <v/>
      </c>
    </row>
    <row r="495" customFormat="false" ht="15" hidden="false" customHeight="false" outlineLevel="0" collapsed="false">
      <c r="A495" s="45" t="n">
        <v>46309</v>
      </c>
      <c r="B495" s="0" t="n">
        <v>7</v>
      </c>
      <c r="C495" s="0" t="n">
        <v>4269</v>
      </c>
      <c r="D495" s="0" t="n">
        <v>335</v>
      </c>
      <c r="E495" s="0" t="n">
        <v>2</v>
      </c>
      <c r="F495" s="39" t="s">
        <v>475</v>
      </c>
      <c r="I495" s="39" t="s">
        <v>114</v>
      </c>
      <c r="J495" s="0" t="n">
        <v>176</v>
      </c>
      <c r="K495" s="0" t="n">
        <v>64</v>
      </c>
      <c r="L495" s="0" t="n">
        <v>217</v>
      </c>
      <c r="M495" s="0" t="n">
        <v>383.25</v>
      </c>
      <c r="N495" s="0" t="n">
        <v>53.03</v>
      </c>
      <c r="O495" s="0" t="n">
        <v>27.49</v>
      </c>
      <c r="P495" s="0" t="n">
        <v>5.18</v>
      </c>
      <c r="Q495" s="0" t="n">
        <v>4.13</v>
      </c>
      <c r="R495" s="0" t="n">
        <v>6402</v>
      </c>
      <c r="S495" s="0" t="n">
        <v>12578</v>
      </c>
      <c r="T495" s="0" t="n">
        <v>77</v>
      </c>
      <c r="U495" s="0" t="n">
        <v>1466</v>
      </c>
      <c r="V495" s="0" t="n">
        <v>4</v>
      </c>
      <c r="W495" s="39" t="n">
        <f aca="false">IF(I495="Male",0,1)</f>
        <v>1</v>
      </c>
      <c r="X495" s="39" t="n">
        <f aca="false">IF(OR(I495="DNB",I495="Dry DNB"),1,0)</f>
        <v>0</v>
      </c>
      <c r="Y495" s="39" t="n">
        <f aca="false">MATCH(A495,DATAS,0)</f>
        <v>1</v>
      </c>
      <c r="Z495" s="39" t="n">
        <f aca="false">IF(AND(E495&gt;0,OR(AND(B495&gt;=1,B495&lt;=6),B495=10)),1,0)</f>
        <v>0</v>
      </c>
      <c r="AA495" s="39" t="n">
        <f aca="false">IF(AND(E495&gt;0,B495=10),1,0)</f>
        <v>0</v>
      </c>
      <c r="AB495" s="0" t="str">
        <f aca="false">IF(AND(C494=C495,Y494=Y495-1),Z494,"")</f>
        <v/>
      </c>
      <c r="AC495" s="0" t="str">
        <f aca="false">IF(AND(C494=C495,Y494=Y495-1),AA494,"")</f>
        <v/>
      </c>
      <c r="AD495" s="0" t="str">
        <f aca="false">IF(Y495=1,"",IF(AND(Z495=1,AB495&lt;&gt;1),1,0))</f>
        <v/>
      </c>
      <c r="AE495" s="0" t="str">
        <f aca="false">IF(Y495=1,"",IF(AND(AA495=1,AC495&lt;&gt;1),1,0))</f>
        <v/>
      </c>
      <c r="AF495" s="45" t="str">
        <f aca="false">IF(AND(E495&gt;0,Y495&lt;1,NOT(AND(C496=C495,Y496=Y495+1))),INDEX(DATAS,Y495+1),"")</f>
        <v/>
      </c>
      <c r="AG495" s="45" t="str">
        <f aca="false">IF(AND(AA495=1,Y495&lt;1),IF(AND(C496=C495,Y496=Y495+1),IF(AA496=1,"",INDEX(DATAS,Y495+1)),INDEX(DATAS,Y495+1)),"")</f>
        <v/>
      </c>
    </row>
    <row r="496" customFormat="false" ht="15" hidden="false" customHeight="false" outlineLevel="0" collapsed="false">
      <c r="A496" s="45" t="n">
        <v>46309</v>
      </c>
      <c r="B496" s="0" t="n">
        <v>3</v>
      </c>
      <c r="C496" s="0" t="n">
        <v>4271</v>
      </c>
      <c r="D496" s="0" t="n">
        <v>31</v>
      </c>
      <c r="E496" s="0" t="n">
        <v>3</v>
      </c>
      <c r="F496" s="39" t="s">
        <v>475</v>
      </c>
      <c r="G496" s="0" t="n">
        <v>58.3</v>
      </c>
      <c r="H496" s="0" t="n">
        <v>54</v>
      </c>
      <c r="I496" s="39" t="s">
        <v>118</v>
      </c>
      <c r="J496" s="0" t="n">
        <v>31</v>
      </c>
      <c r="M496" s="0" t="n">
        <v>535.01</v>
      </c>
      <c r="N496" s="0" t="n">
        <v>44.46</v>
      </c>
      <c r="O496" s="0" t="n">
        <v>22.17</v>
      </c>
      <c r="P496" s="0" t="n">
        <v>4.47</v>
      </c>
      <c r="Q496" s="0" t="n">
        <v>4.57</v>
      </c>
      <c r="R496" s="0" t="n">
        <v>4226</v>
      </c>
      <c r="S496" s="0" t="n">
        <v>8494</v>
      </c>
      <c r="U496" s="0" t="n">
        <v>1466</v>
      </c>
      <c r="V496" s="0" t="n">
        <v>0</v>
      </c>
      <c r="W496" s="39" t="n">
        <f aca="false">IF(I496="Male",0,1)</f>
        <v>1</v>
      </c>
      <c r="X496" s="39" t="n">
        <f aca="false">IF(OR(I496="DNB",I496="Dry DNB"),1,0)</f>
        <v>0</v>
      </c>
      <c r="Y496" s="39" t="n">
        <f aca="false">MATCH(A496,DATAS,0)</f>
        <v>1</v>
      </c>
      <c r="Z496" s="39" t="n">
        <f aca="false">IF(AND(E496&gt;0,OR(AND(B496&gt;=1,B496&lt;=6),B496=10)),1,0)</f>
        <v>1</v>
      </c>
      <c r="AA496" s="39" t="n">
        <f aca="false">IF(AND(E496&gt;0,B496=10),1,0)</f>
        <v>0</v>
      </c>
      <c r="AB496" s="0" t="str">
        <f aca="false">IF(AND(C495=C496,Y495=Y496-1),Z495,"")</f>
        <v/>
      </c>
      <c r="AC496" s="0" t="str">
        <f aca="false">IF(AND(C495=C496,Y495=Y496-1),AA495,"")</f>
        <v/>
      </c>
      <c r="AD496" s="0" t="str">
        <f aca="false">IF(Y496=1,"",IF(AND(Z496=1,AB496&lt;&gt;1),1,0))</f>
        <v/>
      </c>
      <c r="AE496" s="0" t="str">
        <f aca="false">IF(Y496=1,"",IF(AND(AA496=1,AC496&lt;&gt;1),1,0))</f>
        <v/>
      </c>
      <c r="AF496" s="45" t="str">
        <f aca="false">IF(AND(E496&gt;0,Y496&lt;1,NOT(AND(C497=C496,Y497=Y496+1))),INDEX(DATAS,Y496+1),"")</f>
        <v/>
      </c>
      <c r="AG496" s="45" t="str">
        <f aca="false">IF(AND(AA496=1,Y496&lt;1),IF(AND(C497=C496,Y497=Y496+1),IF(AA497=1,"",INDEX(DATAS,Y496+1)),INDEX(DATAS,Y496+1)),"")</f>
        <v/>
      </c>
    </row>
    <row r="497" customFormat="false" ht="15" hidden="false" customHeight="false" outlineLevel="0" collapsed="false">
      <c r="A497" s="45" t="n">
        <v>46309</v>
      </c>
      <c r="B497" s="0" t="n">
        <v>6</v>
      </c>
      <c r="C497" s="0" t="n">
        <v>4272</v>
      </c>
      <c r="D497" s="0" t="n">
        <v>37</v>
      </c>
      <c r="E497" s="0" t="n">
        <v>3</v>
      </c>
      <c r="F497" s="39" t="s">
        <v>475</v>
      </c>
      <c r="G497" s="0" t="n">
        <v>26.3</v>
      </c>
      <c r="H497" s="0" t="n">
        <v>23</v>
      </c>
      <c r="I497" s="39" t="s">
        <v>118</v>
      </c>
      <c r="J497" s="0" t="n">
        <v>37</v>
      </c>
      <c r="M497" s="0" t="n">
        <v>232.9</v>
      </c>
      <c r="N497" s="0" t="n">
        <v>58.66</v>
      </c>
      <c r="O497" s="0" t="n">
        <v>31.79</v>
      </c>
      <c r="R497" s="0" t="n">
        <v>1885</v>
      </c>
      <c r="S497" s="0" t="n">
        <v>3789</v>
      </c>
      <c r="U497" s="0" t="n">
        <v>1466</v>
      </c>
      <c r="V497" s="0" t="n">
        <v>0</v>
      </c>
      <c r="W497" s="39" t="n">
        <f aca="false">IF(I497="Male",0,1)</f>
        <v>1</v>
      </c>
      <c r="X497" s="39" t="n">
        <f aca="false">IF(OR(I497="DNB",I497="Dry DNB"),1,0)</f>
        <v>0</v>
      </c>
      <c r="Y497" s="39" t="n">
        <f aca="false">MATCH(A497,DATAS,0)</f>
        <v>1</v>
      </c>
      <c r="Z497" s="39" t="n">
        <f aca="false">IF(AND(E497&gt;0,OR(AND(B497&gt;=1,B497&lt;=6),B497=10)),1,0)</f>
        <v>1</v>
      </c>
      <c r="AA497" s="39" t="n">
        <f aca="false">IF(AND(E497&gt;0,B497=10),1,0)</f>
        <v>0</v>
      </c>
      <c r="AB497" s="0" t="str">
        <f aca="false">IF(AND(C496=C497,Y496=Y497-1),Z496,"")</f>
        <v/>
      </c>
      <c r="AC497" s="0" t="str">
        <f aca="false">IF(AND(C496=C497,Y496=Y497-1),AA496,"")</f>
        <v/>
      </c>
      <c r="AD497" s="0" t="str">
        <f aca="false">IF(Y497=1,"",IF(AND(Z497=1,AB497&lt;&gt;1),1,0))</f>
        <v/>
      </c>
      <c r="AE497" s="0" t="str">
        <f aca="false">IF(Y497=1,"",IF(AND(AA497=1,AC497&lt;&gt;1),1,0))</f>
        <v/>
      </c>
      <c r="AF497" s="45" t="str">
        <f aca="false">IF(AND(E497&gt;0,Y497&lt;1,NOT(AND(C498=C497,Y498=Y497+1))),INDEX(DATAS,Y497+1),"")</f>
        <v/>
      </c>
      <c r="AG497" s="45" t="str">
        <f aca="false">IF(AND(AA497=1,Y497&lt;1),IF(AND(C498=C497,Y498=Y497+1),IF(AA498=1,"",INDEX(DATAS,Y497+1)),INDEX(DATAS,Y497+1)),"")</f>
        <v/>
      </c>
    </row>
    <row r="498" customFormat="false" ht="15" hidden="false" customHeight="false" outlineLevel="0" collapsed="false">
      <c r="A498" s="45" t="n">
        <v>46309</v>
      </c>
      <c r="B498" s="0" t="n">
        <v>2</v>
      </c>
      <c r="C498" s="0" t="n">
        <v>4274</v>
      </c>
      <c r="D498" s="0" t="n">
        <v>106</v>
      </c>
      <c r="E498" s="0" t="n">
        <v>3</v>
      </c>
      <c r="F498" s="39" t="s">
        <v>476</v>
      </c>
      <c r="G498" s="0" t="n">
        <v>72.4</v>
      </c>
      <c r="H498" s="0" t="n">
        <v>68</v>
      </c>
      <c r="I498" s="39" t="s">
        <v>138</v>
      </c>
      <c r="J498" s="0" t="n">
        <v>106</v>
      </c>
      <c r="K498" s="0" t="n">
        <v>64</v>
      </c>
      <c r="M498" s="0" t="n">
        <v>487.72</v>
      </c>
      <c r="N498" s="0" t="n">
        <v>72.88</v>
      </c>
      <c r="O498" s="0" t="n">
        <v>34.86</v>
      </c>
      <c r="P498" s="0" t="n">
        <v>3.45</v>
      </c>
      <c r="Q498" s="0" t="n">
        <v>3.11</v>
      </c>
      <c r="R498" s="0" t="n">
        <v>6471</v>
      </c>
      <c r="S498" s="0" t="n">
        <v>13033</v>
      </c>
      <c r="T498" s="0" t="n">
        <v>75.15</v>
      </c>
      <c r="U498" s="0" t="n">
        <v>1465</v>
      </c>
      <c r="V498" s="0" t="n">
        <v>2</v>
      </c>
      <c r="W498" s="39" t="n">
        <f aca="false">IF(I498="Male",0,1)</f>
        <v>1</v>
      </c>
      <c r="X498" s="39" t="n">
        <f aca="false">IF(OR(I498="DNB",I498="Dry DNB"),1,0)</f>
        <v>0</v>
      </c>
      <c r="Y498" s="39" t="n">
        <f aca="false">MATCH(A498,DATAS,0)</f>
        <v>1</v>
      </c>
      <c r="Z498" s="39" t="n">
        <f aca="false">IF(AND(E498&gt;0,OR(AND(B498&gt;=1,B498&lt;=6),B498=10)),1,0)</f>
        <v>1</v>
      </c>
      <c r="AA498" s="39" t="n">
        <f aca="false">IF(AND(E498&gt;0,B498=10),1,0)</f>
        <v>0</v>
      </c>
      <c r="AB498" s="0" t="str">
        <f aca="false">IF(AND(C497=C498,Y497=Y498-1),Z497,"")</f>
        <v/>
      </c>
      <c r="AC498" s="0" t="str">
        <f aca="false">IF(AND(C497=C498,Y497=Y498-1),AA497,"")</f>
        <v/>
      </c>
      <c r="AD498" s="0" t="str">
        <f aca="false">IF(Y498=1,"",IF(AND(Z498=1,AB498&lt;&gt;1),1,0))</f>
        <v/>
      </c>
      <c r="AE498" s="0" t="str">
        <f aca="false">IF(Y498=1,"",IF(AND(AA498=1,AC498&lt;&gt;1),1,0))</f>
        <v/>
      </c>
      <c r="AF498" s="45" t="str">
        <f aca="false">IF(AND(E498&gt;0,Y498&lt;1,NOT(AND(C499=C498,Y499=Y498+1))),INDEX(DATAS,Y498+1),"")</f>
        <v/>
      </c>
      <c r="AG498" s="45" t="str">
        <f aca="false">IF(AND(AA498=1,Y498&lt;1),IF(AND(C499=C498,Y499=Y498+1),IF(AA499=1,"",INDEX(DATAS,Y498+1)),INDEX(DATAS,Y498+1)),"")</f>
        <v/>
      </c>
    </row>
    <row r="499" customFormat="false" ht="15" hidden="false" customHeight="false" outlineLevel="0" collapsed="false">
      <c r="A499" s="45" t="n">
        <v>46309</v>
      </c>
      <c r="B499" s="0" t="n">
        <v>3</v>
      </c>
      <c r="C499" s="0" t="n">
        <v>4275</v>
      </c>
      <c r="D499" s="0" t="n">
        <v>4</v>
      </c>
      <c r="E499" s="0" t="n">
        <v>3</v>
      </c>
      <c r="F499" s="39" t="s">
        <v>477</v>
      </c>
      <c r="G499" s="0" t="n">
        <v>33.1</v>
      </c>
      <c r="H499" s="0" t="n">
        <v>28</v>
      </c>
      <c r="I499" s="39" t="s">
        <v>118</v>
      </c>
      <c r="J499" s="0" t="n">
        <v>4</v>
      </c>
      <c r="M499" s="0" t="n">
        <v>856.73</v>
      </c>
      <c r="N499" s="0" t="n">
        <v>76.08</v>
      </c>
      <c r="O499" s="0" t="n">
        <v>46.52</v>
      </c>
      <c r="R499" s="0" t="n">
        <v>3078</v>
      </c>
      <c r="S499" s="0" t="n">
        <v>6188</v>
      </c>
      <c r="U499" s="0" t="n">
        <v>1464</v>
      </c>
      <c r="V499" s="0" t="n">
        <v>0</v>
      </c>
      <c r="W499" s="39" t="n">
        <f aca="false">IF(I499="Male",0,1)</f>
        <v>1</v>
      </c>
      <c r="X499" s="39" t="n">
        <f aca="false">IF(OR(I499="DNB",I499="Dry DNB"),1,0)</f>
        <v>0</v>
      </c>
      <c r="Y499" s="39" t="n">
        <f aca="false">MATCH(A499,DATAS,0)</f>
        <v>1</v>
      </c>
      <c r="Z499" s="39" t="n">
        <f aca="false">IF(AND(E499&gt;0,OR(AND(B499&gt;=1,B499&lt;=6),B499=10)),1,0)</f>
        <v>1</v>
      </c>
      <c r="AA499" s="39" t="n">
        <f aca="false">IF(AND(E499&gt;0,B499=10),1,0)</f>
        <v>0</v>
      </c>
      <c r="AB499" s="0" t="str">
        <f aca="false">IF(AND(C498=C499,Y498=Y499-1),Z498,"")</f>
        <v/>
      </c>
      <c r="AC499" s="0" t="str">
        <f aca="false">IF(AND(C498=C499,Y498=Y499-1),AA498,"")</f>
        <v/>
      </c>
      <c r="AD499" s="0" t="str">
        <f aca="false">IF(Y499=1,"",IF(AND(Z499=1,AB499&lt;&gt;1),1,0))</f>
        <v/>
      </c>
      <c r="AE499" s="0" t="str">
        <f aca="false">IF(Y499=1,"",IF(AND(AA499=1,AC499&lt;&gt;1),1,0))</f>
        <v/>
      </c>
      <c r="AF499" s="45" t="str">
        <f aca="false">IF(AND(E499&gt;0,Y499&lt;1,NOT(AND(C500=C499,Y500=Y499+1))),INDEX(DATAS,Y499+1),"")</f>
        <v/>
      </c>
      <c r="AG499" s="45" t="str">
        <f aca="false">IF(AND(AA499=1,Y499&lt;1),IF(AND(C500=C499,Y500=Y499+1),IF(AA500=1,"",INDEX(DATAS,Y499+1)),INDEX(DATAS,Y499+1)),"")</f>
        <v/>
      </c>
    </row>
    <row r="500" customFormat="false" ht="15" hidden="false" customHeight="false" outlineLevel="0" collapsed="false">
      <c r="A500" s="45" t="n">
        <v>46309</v>
      </c>
      <c r="B500" s="0" t="n">
        <v>5</v>
      </c>
      <c r="C500" s="0" t="n">
        <v>4278</v>
      </c>
      <c r="D500" s="0" t="n">
        <v>310</v>
      </c>
      <c r="E500" s="0" t="n">
        <v>2</v>
      </c>
      <c r="F500" s="39" t="s">
        <v>478</v>
      </c>
      <c r="G500" s="0" t="n">
        <v>26.3</v>
      </c>
      <c r="H500" s="0" t="n">
        <v>23</v>
      </c>
      <c r="I500" s="39" t="s">
        <v>109</v>
      </c>
      <c r="J500" s="0" t="n">
        <v>107</v>
      </c>
      <c r="K500" s="0" t="n">
        <v>65</v>
      </c>
      <c r="L500" s="0" t="n">
        <v>203</v>
      </c>
      <c r="M500" s="0" t="n">
        <v>866.59</v>
      </c>
      <c r="N500" s="0" t="n">
        <v>56.03</v>
      </c>
      <c r="O500" s="0" t="n">
        <v>37.48</v>
      </c>
      <c r="P500" s="0" t="n">
        <v>5.35</v>
      </c>
      <c r="Q500" s="0" t="n">
        <v>3.64</v>
      </c>
      <c r="R500" s="0" t="n">
        <v>6138</v>
      </c>
      <c r="S500" s="0" t="n">
        <v>12070</v>
      </c>
      <c r="T500" s="0" t="n">
        <v>61.25</v>
      </c>
      <c r="U500" s="0" t="n">
        <v>1461</v>
      </c>
      <c r="V500" s="0" t="n">
        <v>2</v>
      </c>
      <c r="W500" s="39" t="n">
        <f aca="false">IF(I500="Male",0,1)</f>
        <v>1</v>
      </c>
      <c r="X500" s="39" t="n">
        <f aca="false">IF(OR(I500="DNB",I500="Dry DNB"),1,0)</f>
        <v>0</v>
      </c>
      <c r="Y500" s="39" t="n">
        <f aca="false">MATCH(A500,DATAS,0)</f>
        <v>1</v>
      </c>
      <c r="Z500" s="39" t="n">
        <f aca="false">IF(AND(E500&gt;0,OR(AND(B500&gt;=1,B500&lt;=6),B500=10)),1,0)</f>
        <v>1</v>
      </c>
      <c r="AA500" s="39" t="n">
        <f aca="false">IF(AND(E500&gt;0,B500=10),1,0)</f>
        <v>0</v>
      </c>
      <c r="AB500" s="0" t="str">
        <f aca="false">IF(AND(C499=C500,Y499=Y500-1),Z499,"")</f>
        <v/>
      </c>
      <c r="AC500" s="0" t="str">
        <f aca="false">IF(AND(C499=C500,Y499=Y500-1),AA499,"")</f>
        <v/>
      </c>
      <c r="AD500" s="0" t="str">
        <f aca="false">IF(Y500=1,"",IF(AND(Z500=1,AB500&lt;&gt;1),1,0))</f>
        <v/>
      </c>
      <c r="AE500" s="0" t="str">
        <f aca="false">IF(Y500=1,"",IF(AND(AA500=1,AC500&lt;&gt;1),1,0))</f>
        <v/>
      </c>
      <c r="AF500" s="45" t="str">
        <f aca="false">IF(AND(E500&gt;0,Y500&lt;1,NOT(AND(C501=C500,Y501=Y500+1))),INDEX(DATAS,Y500+1),"")</f>
        <v/>
      </c>
      <c r="AG500" s="45" t="str">
        <f aca="false">IF(AND(AA500=1,Y500&lt;1),IF(AND(C501=C500,Y501=Y500+1),IF(AA501=1,"",INDEX(DATAS,Y500+1)),INDEX(DATAS,Y500+1)),"")</f>
        <v/>
      </c>
    </row>
    <row r="501" customFormat="false" ht="15" hidden="false" customHeight="false" outlineLevel="0" collapsed="false">
      <c r="A501" s="45" t="n">
        <v>46309</v>
      </c>
      <c r="B501" s="0" t="n">
        <v>5</v>
      </c>
      <c r="C501" s="0" t="n">
        <v>4279</v>
      </c>
      <c r="D501" s="0" t="n">
        <v>70</v>
      </c>
      <c r="E501" s="0" t="n">
        <v>3</v>
      </c>
      <c r="F501" s="39" t="s">
        <v>479</v>
      </c>
      <c r="G501" s="0" t="n">
        <v>38</v>
      </c>
      <c r="H501" s="0" t="n">
        <v>38</v>
      </c>
      <c r="I501" s="39" t="s">
        <v>146</v>
      </c>
      <c r="J501" s="0" t="n">
        <v>70</v>
      </c>
      <c r="M501" s="0" t="n">
        <v>450.42</v>
      </c>
      <c r="N501" s="0" t="n">
        <v>41.81</v>
      </c>
      <c r="O501" s="0" t="n">
        <v>26.54</v>
      </c>
      <c r="P501" s="0" t="n">
        <v>2.94</v>
      </c>
      <c r="Q501" s="0" t="n">
        <v>3.12</v>
      </c>
      <c r="R501" s="0" t="n">
        <v>3940</v>
      </c>
      <c r="S501" s="0" t="n">
        <v>7920</v>
      </c>
      <c r="U501" s="0" t="n">
        <v>1460</v>
      </c>
      <c r="V501" s="0" t="n">
        <v>0</v>
      </c>
      <c r="W501" s="39" t="n">
        <f aca="false">IF(I501="Male",0,1)</f>
        <v>1</v>
      </c>
      <c r="X501" s="39" t="n">
        <f aca="false">IF(OR(I501="DNB",I501="Dry DNB"),1,0)</f>
        <v>0</v>
      </c>
      <c r="Y501" s="39" t="n">
        <f aca="false">MATCH(A501,DATAS,0)</f>
        <v>1</v>
      </c>
      <c r="Z501" s="39" t="n">
        <f aca="false">IF(AND(E501&gt;0,OR(AND(B501&gt;=1,B501&lt;=6),B501=10)),1,0)</f>
        <v>1</v>
      </c>
      <c r="AA501" s="39" t="n">
        <f aca="false">IF(AND(E501&gt;0,B501=10),1,0)</f>
        <v>0</v>
      </c>
      <c r="AB501" s="0" t="str">
        <f aca="false">IF(AND(C500=C501,Y500=Y501-1),Z500,"")</f>
        <v/>
      </c>
      <c r="AC501" s="0" t="str">
        <f aca="false">IF(AND(C500=C501,Y500=Y501-1),AA500,"")</f>
        <v/>
      </c>
      <c r="AD501" s="0" t="str">
        <f aca="false">IF(Y501=1,"",IF(AND(Z501=1,AB501&lt;&gt;1),1,0))</f>
        <v/>
      </c>
      <c r="AE501" s="0" t="str">
        <f aca="false">IF(Y501=1,"",IF(AND(AA501=1,AC501&lt;&gt;1),1,0))</f>
        <v/>
      </c>
      <c r="AF501" s="45" t="str">
        <f aca="false">IF(AND(E501&gt;0,Y501&lt;1,NOT(AND(C502=C501,Y502=Y501+1))),INDEX(DATAS,Y501+1),"")</f>
        <v/>
      </c>
      <c r="AG501" s="45" t="str">
        <f aca="false">IF(AND(AA501=1,Y501&lt;1),IF(AND(C502=C501,Y502=Y501+1),IF(AA502=1,"",INDEX(DATAS,Y501+1)),INDEX(DATAS,Y501+1)),"")</f>
        <v/>
      </c>
    </row>
    <row r="502" customFormat="false" ht="15" hidden="false" customHeight="false" outlineLevel="0" collapsed="false">
      <c r="A502" s="45" t="n">
        <v>46309</v>
      </c>
      <c r="B502" s="0" t="n">
        <v>3</v>
      </c>
      <c r="C502" s="0" t="n">
        <v>4280</v>
      </c>
      <c r="D502" s="0" t="n">
        <v>92</v>
      </c>
      <c r="E502" s="0" t="n">
        <v>3</v>
      </c>
      <c r="F502" s="39" t="s">
        <v>479</v>
      </c>
      <c r="G502" s="0" t="n">
        <v>69.2</v>
      </c>
      <c r="H502" s="0" t="n">
        <v>64</v>
      </c>
      <c r="I502" s="39" t="s">
        <v>138</v>
      </c>
      <c r="J502" s="0" t="n">
        <v>92</v>
      </c>
      <c r="K502" s="0" t="n">
        <v>64</v>
      </c>
      <c r="M502" s="0" t="n">
        <v>826.48</v>
      </c>
      <c r="N502" s="0" t="n">
        <v>60.06</v>
      </c>
      <c r="O502" s="0" t="n">
        <v>32.01</v>
      </c>
      <c r="P502" s="0" t="n">
        <v>4.74</v>
      </c>
      <c r="Q502" s="0" t="n">
        <v>2.97</v>
      </c>
      <c r="R502" s="0" t="n">
        <v>6197</v>
      </c>
      <c r="S502" s="0" t="n">
        <v>12456</v>
      </c>
      <c r="T502" s="0" t="n">
        <v>65.45</v>
      </c>
      <c r="U502" s="0" t="n">
        <v>1460</v>
      </c>
      <c r="V502" s="0" t="n">
        <v>1</v>
      </c>
      <c r="W502" s="39" t="n">
        <f aca="false">IF(I502="Male",0,1)</f>
        <v>1</v>
      </c>
      <c r="X502" s="39" t="n">
        <f aca="false">IF(OR(I502="DNB",I502="Dry DNB"),1,0)</f>
        <v>0</v>
      </c>
      <c r="Y502" s="39" t="n">
        <f aca="false">MATCH(A502,DATAS,0)</f>
        <v>1</v>
      </c>
      <c r="Z502" s="39" t="n">
        <f aca="false">IF(AND(E502&gt;0,OR(AND(B502&gt;=1,B502&lt;=6),B502=10)),1,0)</f>
        <v>1</v>
      </c>
      <c r="AA502" s="39" t="n">
        <f aca="false">IF(AND(E502&gt;0,B502=10),1,0)</f>
        <v>0</v>
      </c>
      <c r="AB502" s="0" t="str">
        <f aca="false">IF(AND(C501=C502,Y501=Y502-1),Z501,"")</f>
        <v/>
      </c>
      <c r="AC502" s="0" t="str">
        <f aca="false">IF(AND(C501=C502,Y501=Y502-1),AA501,"")</f>
        <v/>
      </c>
      <c r="AD502" s="0" t="str">
        <f aca="false">IF(Y502=1,"",IF(AND(Z502=1,AB502&lt;&gt;1),1,0))</f>
        <v/>
      </c>
      <c r="AE502" s="0" t="str">
        <f aca="false">IF(Y502=1,"",IF(AND(AA502=1,AC502&lt;&gt;1),1,0))</f>
        <v/>
      </c>
      <c r="AF502" s="45" t="str">
        <f aca="false">IF(AND(E502&gt;0,Y502&lt;1,NOT(AND(C503=C502,Y503=Y502+1))),INDEX(DATAS,Y502+1),"")</f>
        <v/>
      </c>
      <c r="AG502" s="45" t="str">
        <f aca="false">IF(AND(AA502=1,Y502&lt;1),IF(AND(C503=C502,Y503=Y502+1),IF(AA503=1,"",INDEX(DATAS,Y502+1)),INDEX(DATAS,Y502+1)),"")</f>
        <v/>
      </c>
    </row>
    <row r="503" customFormat="false" ht="15" hidden="false" customHeight="false" outlineLevel="0" collapsed="false">
      <c r="A503" s="45" t="n">
        <v>46309</v>
      </c>
      <c r="B503" s="0" t="n">
        <v>2</v>
      </c>
      <c r="C503" s="0" t="n">
        <v>4281</v>
      </c>
      <c r="D503" s="0" t="n">
        <v>105</v>
      </c>
      <c r="E503" s="0" t="n">
        <v>3</v>
      </c>
      <c r="F503" s="39" t="s">
        <v>479</v>
      </c>
      <c r="G503" s="0" t="n">
        <v>54.5</v>
      </c>
      <c r="H503" s="0" t="n">
        <v>55</v>
      </c>
      <c r="I503" s="39" t="s">
        <v>109</v>
      </c>
      <c r="J503" s="0" t="n">
        <v>63</v>
      </c>
      <c r="K503" s="0" t="n">
        <v>63</v>
      </c>
      <c r="L503" s="0" t="n">
        <v>42</v>
      </c>
      <c r="M503" s="0" t="n">
        <v>741.2</v>
      </c>
      <c r="N503" s="0" t="n">
        <v>31.08</v>
      </c>
      <c r="O503" s="0" t="n">
        <v>29.79</v>
      </c>
      <c r="P503" s="0" t="n">
        <v>2.64</v>
      </c>
      <c r="Q503" s="0" t="n">
        <v>3.62</v>
      </c>
      <c r="R503" s="0" t="n">
        <v>5674</v>
      </c>
      <c r="S503" s="0" t="n">
        <v>11401</v>
      </c>
      <c r="T503" s="0" t="n">
        <v>63.65</v>
      </c>
      <c r="U503" s="0" t="n">
        <v>1460</v>
      </c>
      <c r="V503" s="0" t="n">
        <v>1</v>
      </c>
      <c r="W503" s="39" t="n">
        <f aca="false">IF(I503="Male",0,1)</f>
        <v>1</v>
      </c>
      <c r="X503" s="39" t="n">
        <f aca="false">IF(OR(I503="DNB",I503="Dry DNB"),1,0)</f>
        <v>0</v>
      </c>
      <c r="Y503" s="39" t="n">
        <f aca="false">MATCH(A503,DATAS,0)</f>
        <v>1</v>
      </c>
      <c r="Z503" s="39" t="n">
        <f aca="false">IF(AND(E503&gt;0,OR(AND(B503&gt;=1,B503&lt;=6),B503=10)),1,0)</f>
        <v>1</v>
      </c>
      <c r="AA503" s="39" t="n">
        <f aca="false">IF(AND(E503&gt;0,B503=10),1,0)</f>
        <v>0</v>
      </c>
      <c r="AB503" s="0" t="str">
        <f aca="false">IF(AND(C502=C503,Y502=Y503-1),Z502,"")</f>
        <v/>
      </c>
      <c r="AC503" s="0" t="str">
        <f aca="false">IF(AND(C502=C503,Y502=Y503-1),AA502,"")</f>
        <v/>
      </c>
      <c r="AD503" s="0" t="str">
        <f aca="false">IF(Y503=1,"",IF(AND(Z503=1,AB503&lt;&gt;1),1,0))</f>
        <v/>
      </c>
      <c r="AE503" s="0" t="str">
        <f aca="false">IF(Y503=1,"",IF(AND(AA503=1,AC503&lt;&gt;1),1,0))</f>
        <v/>
      </c>
      <c r="AF503" s="45" t="str">
        <f aca="false">IF(AND(E503&gt;0,Y503&lt;1,NOT(AND(C504=C503,Y504=Y503+1))),INDEX(DATAS,Y503+1),"")</f>
        <v/>
      </c>
      <c r="AG503" s="45" t="str">
        <f aca="false">IF(AND(AA503=1,Y503&lt;1),IF(AND(C504=C503,Y504=Y503+1),IF(AA504=1,"",INDEX(DATAS,Y503+1)),INDEX(DATAS,Y503+1)),"")</f>
        <v/>
      </c>
    </row>
    <row r="504" customFormat="false" ht="15" hidden="false" customHeight="false" outlineLevel="0" collapsed="false">
      <c r="A504" s="45" t="n">
        <v>46309</v>
      </c>
      <c r="B504" s="0" t="n">
        <v>3</v>
      </c>
      <c r="C504" s="0" t="n">
        <v>4282</v>
      </c>
      <c r="D504" s="0" t="n">
        <v>63</v>
      </c>
      <c r="E504" s="0" t="n">
        <v>3</v>
      </c>
      <c r="F504" s="39" t="s">
        <v>479</v>
      </c>
      <c r="G504" s="0" t="n">
        <v>76.7</v>
      </c>
      <c r="H504" s="0" t="n">
        <v>77</v>
      </c>
      <c r="I504" s="39" t="s">
        <v>138</v>
      </c>
      <c r="J504" s="0" t="n">
        <v>63</v>
      </c>
      <c r="K504" s="0" t="n">
        <v>41</v>
      </c>
      <c r="M504" s="0" t="n">
        <v>397.65</v>
      </c>
      <c r="N504" s="0" t="n">
        <v>75.55</v>
      </c>
      <c r="O504" s="0" t="n">
        <v>26.88</v>
      </c>
      <c r="P504" s="0" t="n">
        <v>3.01</v>
      </c>
      <c r="Q504" s="0" t="n">
        <v>2.85</v>
      </c>
      <c r="R504" s="0" t="n">
        <v>7023</v>
      </c>
      <c r="S504" s="0" t="n">
        <v>14117</v>
      </c>
      <c r="U504" s="0" t="n">
        <v>1460</v>
      </c>
      <c r="V504" s="0" t="n">
        <v>1</v>
      </c>
      <c r="W504" s="39" t="n">
        <f aca="false">IF(I504="Male",0,1)</f>
        <v>1</v>
      </c>
      <c r="X504" s="39" t="n">
        <f aca="false">IF(OR(I504="DNB",I504="Dry DNB"),1,0)</f>
        <v>0</v>
      </c>
      <c r="Y504" s="39" t="n">
        <f aca="false">MATCH(A504,DATAS,0)</f>
        <v>1</v>
      </c>
      <c r="Z504" s="39" t="n">
        <f aca="false">IF(AND(E504&gt;0,OR(AND(B504&gt;=1,B504&lt;=6),B504=10)),1,0)</f>
        <v>1</v>
      </c>
      <c r="AA504" s="39" t="n">
        <f aca="false">IF(AND(E504&gt;0,B504=10),1,0)</f>
        <v>0</v>
      </c>
      <c r="AB504" s="0" t="str">
        <f aca="false">IF(AND(C503=C504,Y503=Y504-1),Z503,"")</f>
        <v/>
      </c>
      <c r="AC504" s="0" t="str">
        <f aca="false">IF(AND(C503=C504,Y503=Y504-1),AA503,"")</f>
        <v/>
      </c>
      <c r="AD504" s="0" t="str">
        <f aca="false">IF(Y504=1,"",IF(AND(Z504=1,AB504&lt;&gt;1),1,0))</f>
        <v/>
      </c>
      <c r="AE504" s="0" t="str">
        <f aca="false">IF(Y504=1,"",IF(AND(AA504=1,AC504&lt;&gt;1),1,0))</f>
        <v/>
      </c>
      <c r="AF504" s="45" t="str">
        <f aca="false">IF(AND(E504&gt;0,Y504&lt;1,NOT(AND(C505=C504,Y505=Y504+1))),INDEX(DATAS,Y504+1),"")</f>
        <v/>
      </c>
      <c r="AG504" s="45" t="str">
        <f aca="false">IF(AND(AA504=1,Y504&lt;1),IF(AND(C505=C504,Y505=Y504+1),IF(AA505=1,"",INDEX(DATAS,Y504+1)),INDEX(DATAS,Y504+1)),"")</f>
        <v/>
      </c>
    </row>
    <row r="505" customFormat="false" ht="15" hidden="false" customHeight="false" outlineLevel="0" collapsed="false">
      <c r="A505" s="45" t="n">
        <v>46309</v>
      </c>
      <c r="B505" s="0" t="n">
        <v>6</v>
      </c>
      <c r="C505" s="0" t="n">
        <v>4285</v>
      </c>
      <c r="D505" s="0" t="n">
        <v>306</v>
      </c>
      <c r="E505" s="0" t="n">
        <v>2</v>
      </c>
      <c r="F505" s="39" t="s">
        <v>480</v>
      </c>
      <c r="G505" s="0" t="n">
        <v>20.3</v>
      </c>
      <c r="H505" s="0" t="n">
        <v>17</v>
      </c>
      <c r="I505" s="39" t="s">
        <v>109</v>
      </c>
      <c r="J505" s="0" t="n">
        <v>85</v>
      </c>
      <c r="K505" s="0" t="n">
        <v>61</v>
      </c>
      <c r="L505" s="0" t="n">
        <v>221</v>
      </c>
      <c r="M505" s="0" t="n">
        <v>787.32</v>
      </c>
      <c r="N505" s="0" t="n">
        <v>53.11</v>
      </c>
      <c r="O505" s="0" t="n">
        <v>27.85</v>
      </c>
      <c r="P505" s="0" t="n">
        <v>4.73</v>
      </c>
      <c r="Q505" s="0" t="n">
        <v>3.89</v>
      </c>
      <c r="R505" s="0" t="n">
        <v>5942</v>
      </c>
      <c r="S505" s="0" t="n">
        <v>11534</v>
      </c>
      <c r="T505" s="0" t="n">
        <v>68.25</v>
      </c>
      <c r="U505" s="0" t="n">
        <v>1458</v>
      </c>
      <c r="V505" s="0" t="n">
        <v>2</v>
      </c>
      <c r="W505" s="39" t="n">
        <f aca="false">IF(I505="Male",0,1)</f>
        <v>1</v>
      </c>
      <c r="X505" s="39" t="n">
        <f aca="false">IF(OR(I505="DNB",I505="Dry DNB"),1,0)</f>
        <v>0</v>
      </c>
      <c r="Y505" s="39" t="n">
        <f aca="false">MATCH(A505,DATAS,0)</f>
        <v>1</v>
      </c>
      <c r="Z505" s="39" t="n">
        <f aca="false">IF(AND(E505&gt;0,OR(AND(B505&gt;=1,B505&lt;=6),B505=10)),1,0)</f>
        <v>1</v>
      </c>
      <c r="AA505" s="39" t="n">
        <f aca="false">IF(AND(E505&gt;0,B505=10),1,0)</f>
        <v>0</v>
      </c>
      <c r="AB505" s="0" t="str">
        <f aca="false">IF(AND(C504=C505,Y504=Y505-1),Z504,"")</f>
        <v/>
      </c>
      <c r="AC505" s="0" t="str">
        <f aca="false">IF(AND(C504=C505,Y504=Y505-1),AA504,"")</f>
        <v/>
      </c>
      <c r="AD505" s="0" t="str">
        <f aca="false">IF(Y505=1,"",IF(AND(Z505=1,AB505&lt;&gt;1),1,0))</f>
        <v/>
      </c>
      <c r="AE505" s="0" t="str">
        <f aca="false">IF(Y505=1,"",IF(AND(AA505=1,AC505&lt;&gt;1),1,0))</f>
        <v/>
      </c>
      <c r="AF505" s="45" t="str">
        <f aca="false">IF(AND(E505&gt;0,Y505&lt;1,NOT(AND(C506=C505,Y506=Y505+1))),INDEX(DATAS,Y505+1),"")</f>
        <v/>
      </c>
      <c r="AG505" s="45" t="str">
        <f aca="false">IF(AND(AA505=1,Y505&lt;1),IF(AND(C506=C505,Y506=Y505+1),IF(AA506=1,"",INDEX(DATAS,Y505+1)),INDEX(DATAS,Y505+1)),"")</f>
        <v/>
      </c>
    </row>
    <row r="506" customFormat="false" ht="15" hidden="false" customHeight="false" outlineLevel="0" collapsed="false">
      <c r="A506" s="45" t="n">
        <v>46309</v>
      </c>
      <c r="B506" s="0" t="n">
        <v>3</v>
      </c>
      <c r="C506" s="0" t="n">
        <v>4286</v>
      </c>
      <c r="D506" s="0" t="n">
        <v>106</v>
      </c>
      <c r="E506" s="0" t="n">
        <v>3</v>
      </c>
      <c r="F506" s="39" t="s">
        <v>480</v>
      </c>
      <c r="G506" s="0" t="n">
        <v>54.5</v>
      </c>
      <c r="H506" s="0" t="n">
        <v>54</v>
      </c>
      <c r="I506" s="39" t="s">
        <v>146</v>
      </c>
      <c r="J506" s="0" t="n">
        <v>106</v>
      </c>
      <c r="K506" s="0" t="n">
        <v>64</v>
      </c>
      <c r="M506" s="0" t="n">
        <v>331.99</v>
      </c>
      <c r="N506" s="0" t="n">
        <v>-4.94</v>
      </c>
      <c r="O506" s="0" t="n">
        <v>8.59</v>
      </c>
      <c r="P506" s="0" t="n">
        <v>6.8</v>
      </c>
      <c r="Q506" s="0" t="n">
        <v>3.07</v>
      </c>
      <c r="R506" s="0" t="n">
        <v>5530</v>
      </c>
      <c r="S506" s="0" t="n">
        <v>11120</v>
      </c>
      <c r="T506" s="0" t="n">
        <v>59.25</v>
      </c>
      <c r="U506" s="0" t="n">
        <v>1458</v>
      </c>
      <c r="V506" s="0" t="n">
        <v>2</v>
      </c>
      <c r="W506" s="39" t="n">
        <f aca="false">IF(I506="Male",0,1)</f>
        <v>1</v>
      </c>
      <c r="X506" s="39" t="n">
        <f aca="false">IF(OR(I506="DNB",I506="Dry DNB"),1,0)</f>
        <v>0</v>
      </c>
      <c r="Y506" s="39" t="n">
        <f aca="false">MATCH(A506,DATAS,0)</f>
        <v>1</v>
      </c>
      <c r="Z506" s="39" t="n">
        <f aca="false">IF(AND(E506&gt;0,OR(AND(B506&gt;=1,B506&lt;=6),B506=10)),1,0)</f>
        <v>1</v>
      </c>
      <c r="AA506" s="39" t="n">
        <f aca="false">IF(AND(E506&gt;0,B506=10),1,0)</f>
        <v>0</v>
      </c>
      <c r="AB506" s="0" t="str">
        <f aca="false">IF(AND(C505=C506,Y505=Y506-1),Z505,"")</f>
        <v/>
      </c>
      <c r="AC506" s="0" t="str">
        <f aca="false">IF(AND(C505=C506,Y505=Y506-1),AA505,"")</f>
        <v/>
      </c>
      <c r="AD506" s="0" t="str">
        <f aca="false">IF(Y506=1,"",IF(AND(Z506=1,AB506&lt;&gt;1),1,0))</f>
        <v/>
      </c>
      <c r="AE506" s="0" t="str">
        <f aca="false">IF(Y506=1,"",IF(AND(AA506=1,AC506&lt;&gt;1),1,0))</f>
        <v/>
      </c>
      <c r="AF506" s="45" t="str">
        <f aca="false">IF(AND(E506&gt;0,Y506&lt;1,NOT(AND(C507=C506,Y507=Y506+1))),INDEX(DATAS,Y506+1),"")</f>
        <v/>
      </c>
      <c r="AG506" s="45" t="str">
        <f aca="false">IF(AND(AA506=1,Y506&lt;1),IF(AND(C507=C506,Y507=Y506+1),IF(AA507=1,"",INDEX(DATAS,Y506+1)),INDEX(DATAS,Y506+1)),"")</f>
        <v/>
      </c>
    </row>
    <row r="507" customFormat="false" ht="15" hidden="false" customHeight="false" outlineLevel="0" collapsed="false">
      <c r="A507" s="45" t="n">
        <v>46309</v>
      </c>
      <c r="B507" s="0" t="n">
        <v>7</v>
      </c>
      <c r="C507" s="0" t="n">
        <v>4287</v>
      </c>
      <c r="D507" s="0" t="n">
        <v>331</v>
      </c>
      <c r="E507" s="0" t="n">
        <v>2</v>
      </c>
      <c r="F507" s="39" t="s">
        <v>481</v>
      </c>
      <c r="I507" s="39" t="s">
        <v>114</v>
      </c>
      <c r="J507" s="0" t="n">
        <v>108</v>
      </c>
      <c r="K507" s="0" t="n">
        <v>67</v>
      </c>
      <c r="L507" s="0" t="n">
        <v>252</v>
      </c>
      <c r="M507" s="0" t="n">
        <v>698.12</v>
      </c>
      <c r="N507" s="0" t="n">
        <v>56.25</v>
      </c>
      <c r="O507" s="0" t="n">
        <v>31.39</v>
      </c>
      <c r="P507" s="0" t="n">
        <v>5.11</v>
      </c>
      <c r="Q507" s="0" t="n">
        <v>4.19</v>
      </c>
      <c r="R507" s="0" t="n">
        <v>5583</v>
      </c>
      <c r="S507" s="0" t="n">
        <v>10849</v>
      </c>
      <c r="T507" s="0" t="n">
        <v>62.25</v>
      </c>
      <c r="U507" s="0" t="n">
        <v>1457</v>
      </c>
      <c r="V507" s="0" t="n">
        <v>2</v>
      </c>
      <c r="W507" s="39" t="n">
        <f aca="false">IF(I507="Male",0,1)</f>
        <v>1</v>
      </c>
      <c r="X507" s="39" t="n">
        <f aca="false">IF(OR(I507="DNB",I507="Dry DNB"),1,0)</f>
        <v>0</v>
      </c>
      <c r="Y507" s="39" t="n">
        <f aca="false">MATCH(A507,DATAS,0)</f>
        <v>1</v>
      </c>
      <c r="Z507" s="39" t="n">
        <f aca="false">IF(AND(E507&gt;0,OR(AND(B507&gt;=1,B507&lt;=6),B507=10)),1,0)</f>
        <v>0</v>
      </c>
      <c r="AA507" s="39" t="n">
        <f aca="false">IF(AND(E507&gt;0,B507=10),1,0)</f>
        <v>0</v>
      </c>
      <c r="AB507" s="0" t="str">
        <f aca="false">IF(AND(C506=C507,Y506=Y507-1),Z506,"")</f>
        <v/>
      </c>
      <c r="AC507" s="0" t="str">
        <f aca="false">IF(AND(C506=C507,Y506=Y507-1),AA506,"")</f>
        <v/>
      </c>
      <c r="AD507" s="0" t="str">
        <f aca="false">IF(Y507=1,"",IF(AND(Z507=1,AB507&lt;&gt;1),1,0))</f>
        <v/>
      </c>
      <c r="AE507" s="0" t="str">
        <f aca="false">IF(Y507=1,"",IF(AND(AA507=1,AC507&lt;&gt;1),1,0))</f>
        <v/>
      </c>
      <c r="AF507" s="45" t="str">
        <f aca="false">IF(AND(E507&gt;0,Y507&lt;1,NOT(AND(C508=C507,Y508=Y507+1))),INDEX(DATAS,Y507+1),"")</f>
        <v/>
      </c>
      <c r="AG507" s="45" t="str">
        <f aca="false">IF(AND(AA507=1,Y507&lt;1),IF(AND(C508=C507,Y508=Y507+1),IF(AA508=1,"",INDEX(DATAS,Y507+1)),INDEX(DATAS,Y507+1)),"")</f>
        <v/>
      </c>
    </row>
    <row r="508" customFormat="false" ht="15" hidden="false" customHeight="false" outlineLevel="0" collapsed="false">
      <c r="A508" s="45" t="n">
        <v>46309</v>
      </c>
      <c r="B508" s="0" t="n">
        <v>5</v>
      </c>
      <c r="C508" s="0" t="n">
        <v>4290</v>
      </c>
      <c r="D508" s="0" t="n">
        <v>284</v>
      </c>
      <c r="E508" s="0" t="n">
        <v>2</v>
      </c>
      <c r="F508" s="39" t="s">
        <v>482</v>
      </c>
      <c r="G508" s="0" t="n">
        <v>47.7</v>
      </c>
      <c r="H508" s="0" t="n">
        <v>39</v>
      </c>
      <c r="I508" s="39" t="s">
        <v>109</v>
      </c>
      <c r="J508" s="0" t="n">
        <v>130</v>
      </c>
      <c r="K508" s="0" t="n">
        <v>74</v>
      </c>
      <c r="L508" s="0" t="n">
        <v>154</v>
      </c>
      <c r="M508" s="0" t="n">
        <v>482.34</v>
      </c>
      <c r="N508" s="0" t="n">
        <v>40.82</v>
      </c>
      <c r="O508" s="0" t="n">
        <v>25.94</v>
      </c>
      <c r="P508" s="0" t="n">
        <v>4.61</v>
      </c>
      <c r="Q508" s="0" t="n">
        <v>3.46</v>
      </c>
      <c r="R508" s="0" t="n">
        <v>3730</v>
      </c>
      <c r="S508" s="0" t="n">
        <v>8726</v>
      </c>
      <c r="T508" s="0" t="n">
        <v>40.5</v>
      </c>
      <c r="U508" s="0" t="n">
        <v>1456</v>
      </c>
      <c r="V508" s="0" t="n">
        <v>2</v>
      </c>
      <c r="W508" s="39" t="n">
        <f aca="false">IF(I508="Male",0,1)</f>
        <v>1</v>
      </c>
      <c r="X508" s="39" t="n">
        <f aca="false">IF(OR(I508="DNB",I508="Dry DNB"),1,0)</f>
        <v>0</v>
      </c>
      <c r="Y508" s="39" t="n">
        <f aca="false">MATCH(A508,DATAS,0)</f>
        <v>1</v>
      </c>
      <c r="Z508" s="39" t="n">
        <f aca="false">IF(AND(E508&gt;0,OR(AND(B508&gt;=1,B508&lt;=6),B508=10)),1,0)</f>
        <v>1</v>
      </c>
      <c r="AA508" s="39" t="n">
        <f aca="false">IF(AND(E508&gt;0,B508=10),1,0)</f>
        <v>0</v>
      </c>
      <c r="AB508" s="0" t="str">
        <f aca="false">IF(AND(C507=C508,Y507=Y508-1),Z507,"")</f>
        <v/>
      </c>
      <c r="AC508" s="0" t="str">
        <f aca="false">IF(AND(C507=C508,Y507=Y508-1),AA507,"")</f>
        <v/>
      </c>
      <c r="AD508" s="0" t="str">
        <f aca="false">IF(Y508=1,"",IF(AND(Z508=1,AB508&lt;&gt;1),1,0))</f>
        <v/>
      </c>
      <c r="AE508" s="0" t="str">
        <f aca="false">IF(Y508=1,"",IF(AND(AA508=1,AC508&lt;&gt;1),1,0))</f>
        <v/>
      </c>
      <c r="AF508" s="45" t="str">
        <f aca="false">IF(AND(E508&gt;0,Y508&lt;1,NOT(AND(C509=C508,Y509=Y508+1))),INDEX(DATAS,Y508+1),"")</f>
        <v/>
      </c>
      <c r="AG508" s="45" t="str">
        <f aca="false">IF(AND(AA508=1,Y508&lt;1),IF(AND(C509=C508,Y509=Y508+1),IF(AA509=1,"",INDEX(DATAS,Y508+1)),INDEX(DATAS,Y508+1)),"")</f>
        <v/>
      </c>
    </row>
    <row r="509" customFormat="false" ht="15" hidden="false" customHeight="false" outlineLevel="0" collapsed="false">
      <c r="A509" s="45" t="n">
        <v>46309</v>
      </c>
      <c r="B509" s="0" t="n">
        <v>2</v>
      </c>
      <c r="C509" s="0" t="n">
        <v>4293</v>
      </c>
      <c r="D509" s="0" t="n">
        <v>181</v>
      </c>
      <c r="E509" s="0" t="n">
        <v>2</v>
      </c>
      <c r="F509" s="39" t="s">
        <v>483</v>
      </c>
      <c r="G509" s="0" t="n">
        <v>51.1</v>
      </c>
      <c r="H509" s="0" t="n">
        <v>52</v>
      </c>
      <c r="I509" s="39" t="s">
        <v>109</v>
      </c>
      <c r="J509" s="0" t="n">
        <v>69</v>
      </c>
      <c r="K509" s="0" t="n">
        <v>69</v>
      </c>
      <c r="L509" s="0" t="n">
        <v>112</v>
      </c>
      <c r="M509" s="0" t="n">
        <v>338.29</v>
      </c>
      <c r="N509" s="0" t="n">
        <v>72.95</v>
      </c>
      <c r="O509" s="0" t="n">
        <v>21.89</v>
      </c>
      <c r="P509" s="0" t="n">
        <v>3.66</v>
      </c>
      <c r="Q509" s="0" t="n">
        <v>3.38</v>
      </c>
      <c r="R509" s="0" t="n">
        <v>5343</v>
      </c>
      <c r="S509" s="0" t="n">
        <v>10994</v>
      </c>
      <c r="T509" s="0" t="n">
        <v>56.45</v>
      </c>
      <c r="U509" s="0" t="n">
        <v>1450</v>
      </c>
      <c r="V509" s="0" t="n">
        <v>1</v>
      </c>
      <c r="W509" s="39" t="n">
        <f aca="false">IF(I509="Male",0,1)</f>
        <v>1</v>
      </c>
      <c r="X509" s="39" t="n">
        <f aca="false">IF(OR(I509="DNB",I509="Dry DNB"),1,0)</f>
        <v>0</v>
      </c>
      <c r="Y509" s="39" t="n">
        <f aca="false">MATCH(A509,DATAS,0)</f>
        <v>1</v>
      </c>
      <c r="Z509" s="39" t="n">
        <f aca="false">IF(AND(E509&gt;0,OR(AND(B509&gt;=1,B509&lt;=6),B509=10)),1,0)</f>
        <v>1</v>
      </c>
      <c r="AA509" s="39" t="n">
        <f aca="false">IF(AND(E509&gt;0,B509=10),1,0)</f>
        <v>0</v>
      </c>
      <c r="AB509" s="0" t="str">
        <f aca="false">IF(AND(C508=C509,Y508=Y509-1),Z508,"")</f>
        <v/>
      </c>
      <c r="AC509" s="0" t="str">
        <f aca="false">IF(AND(C508=C509,Y508=Y509-1),AA508,"")</f>
        <v/>
      </c>
      <c r="AD509" s="0" t="str">
        <f aca="false">IF(Y509=1,"",IF(AND(Z509=1,AB509&lt;&gt;1),1,0))</f>
        <v/>
      </c>
      <c r="AE509" s="0" t="str">
        <f aca="false">IF(Y509=1,"",IF(AND(AA509=1,AC509&lt;&gt;1),1,0))</f>
        <v/>
      </c>
      <c r="AF509" s="45" t="str">
        <f aca="false">IF(AND(E509&gt;0,Y509&lt;1,NOT(AND(C510=C509,Y510=Y509+1))),INDEX(DATAS,Y509+1),"")</f>
        <v/>
      </c>
      <c r="AG509" s="45" t="str">
        <f aca="false">IF(AND(AA509=1,Y509&lt;1),IF(AND(C510=C509,Y510=Y509+1),IF(AA510=1,"",INDEX(DATAS,Y509+1)),INDEX(DATAS,Y509+1)),"")</f>
        <v/>
      </c>
    </row>
    <row r="510" customFormat="false" ht="15" hidden="false" customHeight="false" outlineLevel="0" collapsed="false">
      <c r="A510" s="45" t="n">
        <v>46309</v>
      </c>
      <c r="B510" s="0" t="n">
        <v>3</v>
      </c>
      <c r="C510" s="0" t="n">
        <v>4294</v>
      </c>
      <c r="D510" s="0" t="n">
        <v>256</v>
      </c>
      <c r="E510" s="0" t="n">
        <v>2</v>
      </c>
      <c r="F510" s="39" t="s">
        <v>484</v>
      </c>
      <c r="G510" s="0" t="n">
        <v>33</v>
      </c>
      <c r="H510" s="0" t="n">
        <v>42</v>
      </c>
      <c r="I510" s="39" t="s">
        <v>109</v>
      </c>
      <c r="J510" s="0" t="n">
        <v>68</v>
      </c>
      <c r="K510" s="0" t="n">
        <v>68</v>
      </c>
      <c r="L510" s="0" t="n">
        <v>188</v>
      </c>
      <c r="M510" s="0" t="n">
        <v>1035.96</v>
      </c>
      <c r="N510" s="0" t="n">
        <v>51.87</v>
      </c>
      <c r="O510" s="0" t="n">
        <v>40.76</v>
      </c>
      <c r="P510" s="0" t="n">
        <v>3.33</v>
      </c>
      <c r="Q510" s="0" t="n">
        <v>3.72</v>
      </c>
      <c r="R510" s="0" t="n">
        <v>6820</v>
      </c>
      <c r="S510" s="0" t="n">
        <v>13727</v>
      </c>
      <c r="T510" s="0" t="n">
        <v>60</v>
      </c>
      <c r="U510" s="0" t="n">
        <v>1449</v>
      </c>
      <c r="V510" s="0" t="n">
        <v>1</v>
      </c>
      <c r="W510" s="39" t="n">
        <f aca="false">IF(I510="Male",0,1)</f>
        <v>1</v>
      </c>
      <c r="X510" s="39" t="n">
        <f aca="false">IF(OR(I510="DNB",I510="Dry DNB"),1,0)</f>
        <v>0</v>
      </c>
      <c r="Y510" s="39" t="n">
        <f aca="false">MATCH(A510,DATAS,0)</f>
        <v>1</v>
      </c>
      <c r="Z510" s="39" t="n">
        <f aca="false">IF(AND(E510&gt;0,OR(AND(B510&gt;=1,B510&lt;=6),B510=10)),1,0)</f>
        <v>1</v>
      </c>
      <c r="AA510" s="39" t="n">
        <f aca="false">IF(AND(E510&gt;0,B510=10),1,0)</f>
        <v>0</v>
      </c>
      <c r="AB510" s="0" t="str">
        <f aca="false">IF(AND(C509=C510,Y509=Y510-1),Z509,"")</f>
        <v/>
      </c>
      <c r="AC510" s="0" t="str">
        <f aca="false">IF(AND(C509=C510,Y509=Y510-1),AA509,"")</f>
        <v/>
      </c>
      <c r="AD510" s="0" t="str">
        <f aca="false">IF(Y510=1,"",IF(AND(Z510=1,AB510&lt;&gt;1),1,0))</f>
        <v/>
      </c>
      <c r="AE510" s="0" t="str">
        <f aca="false">IF(Y510=1,"",IF(AND(AA510=1,AC510&lt;&gt;1),1,0))</f>
        <v/>
      </c>
      <c r="AF510" s="45" t="str">
        <f aca="false">IF(AND(E510&gt;0,Y510&lt;1,NOT(AND(C511=C510,Y511=Y510+1))),INDEX(DATAS,Y510+1),"")</f>
        <v/>
      </c>
      <c r="AG510" s="45" t="str">
        <f aca="false">IF(AND(AA510=1,Y510&lt;1),IF(AND(C511=C510,Y511=Y510+1),IF(AA511=1,"",INDEX(DATAS,Y510+1)),INDEX(DATAS,Y510+1)),"")</f>
        <v/>
      </c>
    </row>
    <row r="511" customFormat="false" ht="15" hidden="false" customHeight="false" outlineLevel="0" collapsed="false">
      <c r="A511" s="45" t="n">
        <v>46309</v>
      </c>
      <c r="B511" s="0" t="n">
        <v>2</v>
      </c>
      <c r="C511" s="0" t="n">
        <v>4295</v>
      </c>
      <c r="D511" s="0" t="n">
        <v>55</v>
      </c>
      <c r="E511" s="0" t="n">
        <v>3</v>
      </c>
      <c r="F511" s="39" t="s">
        <v>484</v>
      </c>
      <c r="G511" s="0" t="n">
        <v>68.6</v>
      </c>
      <c r="H511" s="0" t="n">
        <v>68</v>
      </c>
      <c r="I511" s="39" t="s">
        <v>118</v>
      </c>
      <c r="J511" s="0" t="n">
        <v>55</v>
      </c>
      <c r="M511" s="0" t="n">
        <v>511.93</v>
      </c>
      <c r="N511" s="0" t="n">
        <v>41.92</v>
      </c>
      <c r="O511" s="0" t="n">
        <v>24.47</v>
      </c>
      <c r="P511" s="0" t="n">
        <v>4.24</v>
      </c>
      <c r="Q511" s="0" t="n">
        <v>3.02</v>
      </c>
      <c r="R511" s="0" t="n">
        <v>5705</v>
      </c>
      <c r="S511" s="0" t="n">
        <v>11468</v>
      </c>
      <c r="U511" s="0" t="n">
        <v>1449</v>
      </c>
      <c r="V511" s="0" t="n">
        <v>0</v>
      </c>
      <c r="W511" s="39" t="n">
        <f aca="false">IF(I511="Male",0,1)</f>
        <v>1</v>
      </c>
      <c r="X511" s="39" t="n">
        <f aca="false">IF(OR(I511="DNB",I511="Dry DNB"),1,0)</f>
        <v>0</v>
      </c>
      <c r="Y511" s="39" t="n">
        <f aca="false">MATCH(A511,DATAS,0)</f>
        <v>1</v>
      </c>
      <c r="Z511" s="39" t="n">
        <f aca="false">IF(AND(E511&gt;0,OR(AND(B511&gt;=1,B511&lt;=6),B511=10)),1,0)</f>
        <v>1</v>
      </c>
      <c r="AA511" s="39" t="n">
        <f aca="false">IF(AND(E511&gt;0,B511=10),1,0)</f>
        <v>0</v>
      </c>
      <c r="AB511" s="0" t="str">
        <f aca="false">IF(AND(C510=C511,Y510=Y511-1),Z510,"")</f>
        <v/>
      </c>
      <c r="AC511" s="0" t="str">
        <f aca="false">IF(AND(C510=C511,Y510=Y511-1),AA510,"")</f>
        <v/>
      </c>
      <c r="AD511" s="0" t="str">
        <f aca="false">IF(Y511=1,"",IF(AND(Z511=1,AB511&lt;&gt;1),1,0))</f>
        <v/>
      </c>
      <c r="AE511" s="0" t="str">
        <f aca="false">IF(Y511=1,"",IF(AND(AA511=1,AC511&lt;&gt;1),1,0))</f>
        <v/>
      </c>
      <c r="AF511" s="45" t="str">
        <f aca="false">IF(AND(E511&gt;0,Y511&lt;1,NOT(AND(C512=C511,Y512=Y511+1))),INDEX(DATAS,Y511+1),"")</f>
        <v/>
      </c>
      <c r="AG511" s="45" t="str">
        <f aca="false">IF(AND(AA511=1,Y511&lt;1),IF(AND(C512=C511,Y512=Y511+1),IF(AA512=1,"",INDEX(DATAS,Y511+1)),INDEX(DATAS,Y511+1)),"")</f>
        <v/>
      </c>
    </row>
    <row r="512" customFormat="false" ht="15" hidden="false" customHeight="false" outlineLevel="0" collapsed="false">
      <c r="A512" s="45" t="n">
        <v>46309</v>
      </c>
      <c r="B512" s="0" t="n">
        <v>2</v>
      </c>
      <c r="C512" s="0" t="n">
        <v>4296</v>
      </c>
      <c r="D512" s="0" t="n">
        <v>244</v>
      </c>
      <c r="E512" s="0" t="n">
        <v>2</v>
      </c>
      <c r="F512" s="39" t="s">
        <v>484</v>
      </c>
      <c r="G512" s="0" t="n">
        <v>50.7</v>
      </c>
      <c r="H512" s="0" t="n">
        <v>50</v>
      </c>
      <c r="I512" s="39" t="s">
        <v>109</v>
      </c>
      <c r="J512" s="0" t="n">
        <v>188</v>
      </c>
      <c r="K512" s="0" t="n">
        <v>76</v>
      </c>
      <c r="L512" s="0" t="n">
        <v>56</v>
      </c>
      <c r="M512" s="0" t="n">
        <v>941.79</v>
      </c>
      <c r="N512" s="0" t="n">
        <v>45.24</v>
      </c>
      <c r="O512" s="0" t="n">
        <v>32.46</v>
      </c>
      <c r="P512" s="0" t="n">
        <v>5.17</v>
      </c>
      <c r="Q512" s="0" t="n">
        <v>3.6</v>
      </c>
      <c r="R512" s="0" t="n">
        <v>5926</v>
      </c>
      <c r="S512" s="0" t="n">
        <v>12083</v>
      </c>
      <c r="T512" s="0" t="n">
        <v>63.1</v>
      </c>
      <c r="U512" s="0" t="n">
        <v>1449</v>
      </c>
      <c r="V512" s="0" t="n">
        <v>4</v>
      </c>
      <c r="W512" s="39" t="n">
        <f aca="false">IF(I512="Male",0,1)</f>
        <v>1</v>
      </c>
      <c r="X512" s="39" t="n">
        <f aca="false">IF(OR(I512="DNB",I512="Dry DNB"),1,0)</f>
        <v>0</v>
      </c>
      <c r="Y512" s="39" t="n">
        <f aca="false">MATCH(A512,DATAS,0)</f>
        <v>1</v>
      </c>
      <c r="Z512" s="39" t="n">
        <f aca="false">IF(AND(E512&gt;0,OR(AND(B512&gt;=1,B512&lt;=6),B512=10)),1,0)</f>
        <v>1</v>
      </c>
      <c r="AA512" s="39" t="n">
        <f aca="false">IF(AND(E512&gt;0,B512=10),1,0)</f>
        <v>0</v>
      </c>
      <c r="AB512" s="0" t="str">
        <f aca="false">IF(AND(C511=C512,Y511=Y512-1),Z511,"")</f>
        <v/>
      </c>
      <c r="AC512" s="0" t="str">
        <f aca="false">IF(AND(C511=C512,Y511=Y512-1),AA511,"")</f>
        <v/>
      </c>
      <c r="AD512" s="0" t="str">
        <f aca="false">IF(Y512=1,"",IF(AND(Z512=1,AB512&lt;&gt;1),1,0))</f>
        <v/>
      </c>
      <c r="AE512" s="0" t="str">
        <f aca="false">IF(Y512=1,"",IF(AND(AA512=1,AC512&lt;&gt;1),1,0))</f>
        <v/>
      </c>
      <c r="AF512" s="45" t="str">
        <f aca="false">IF(AND(E512&gt;0,Y512&lt;1,NOT(AND(C513=C512,Y513=Y512+1))),INDEX(DATAS,Y512+1),"")</f>
        <v/>
      </c>
      <c r="AG512" s="45" t="str">
        <f aca="false">IF(AND(AA512=1,Y512&lt;1),IF(AND(C513=C512,Y513=Y512+1),IF(AA513=1,"",INDEX(DATAS,Y512+1)),INDEX(DATAS,Y512+1)),"")</f>
        <v/>
      </c>
    </row>
    <row r="513" customFormat="false" ht="15" hidden="false" customHeight="false" outlineLevel="0" collapsed="false">
      <c r="A513" s="45" t="n">
        <v>46309</v>
      </c>
      <c r="B513" s="0" t="n">
        <v>3</v>
      </c>
      <c r="C513" s="0" t="n">
        <v>4297</v>
      </c>
      <c r="D513" s="0" t="n">
        <v>38</v>
      </c>
      <c r="E513" s="0" t="n">
        <v>3</v>
      </c>
      <c r="F513" s="39" t="s">
        <v>484</v>
      </c>
      <c r="G513" s="0" t="n">
        <v>65.4</v>
      </c>
      <c r="H513" s="0" t="n">
        <v>58</v>
      </c>
      <c r="I513" s="39" t="s">
        <v>118</v>
      </c>
      <c r="J513" s="0" t="n">
        <v>38</v>
      </c>
      <c r="M513" s="0" t="n">
        <v>273.42</v>
      </c>
      <c r="N513" s="0" t="n">
        <v>46.84</v>
      </c>
      <c r="O513" s="0" t="n">
        <v>27.73</v>
      </c>
      <c r="P513" s="0" t="n">
        <v>5.34</v>
      </c>
      <c r="Q513" s="0" t="n">
        <v>4.06</v>
      </c>
      <c r="R513" s="0" t="n">
        <v>5036</v>
      </c>
      <c r="S513" s="0" t="n">
        <v>10123</v>
      </c>
      <c r="U513" s="0" t="n">
        <v>1449</v>
      </c>
      <c r="V513" s="0" t="n">
        <v>0</v>
      </c>
      <c r="W513" s="39" t="n">
        <f aca="false">IF(I513="Male",0,1)</f>
        <v>1</v>
      </c>
      <c r="X513" s="39" t="n">
        <f aca="false">IF(OR(I513="DNB",I513="Dry DNB"),1,0)</f>
        <v>0</v>
      </c>
      <c r="Y513" s="39" t="n">
        <f aca="false">MATCH(A513,DATAS,0)</f>
        <v>1</v>
      </c>
      <c r="Z513" s="39" t="n">
        <f aca="false">IF(AND(E513&gt;0,OR(AND(B513&gt;=1,B513&lt;=6),B513=10)),1,0)</f>
        <v>1</v>
      </c>
      <c r="AA513" s="39" t="n">
        <f aca="false">IF(AND(E513&gt;0,B513=10),1,0)</f>
        <v>0</v>
      </c>
      <c r="AB513" s="0" t="str">
        <f aca="false">IF(AND(C512=C513,Y512=Y513-1),Z512,"")</f>
        <v/>
      </c>
      <c r="AC513" s="0" t="str">
        <f aca="false">IF(AND(C512=C513,Y512=Y513-1),AA512,"")</f>
        <v/>
      </c>
      <c r="AD513" s="0" t="str">
        <f aca="false">IF(Y513=1,"",IF(AND(Z513=1,AB513&lt;&gt;1),1,0))</f>
        <v/>
      </c>
      <c r="AE513" s="0" t="str">
        <f aca="false">IF(Y513=1,"",IF(AND(AA513=1,AC513&lt;&gt;1),1,0))</f>
        <v/>
      </c>
      <c r="AF513" s="45" t="str">
        <f aca="false">IF(AND(E513&gt;0,Y513&lt;1,NOT(AND(C514=C513,Y514=Y513+1))),INDEX(DATAS,Y513+1),"")</f>
        <v/>
      </c>
      <c r="AG513" s="45" t="str">
        <f aca="false">IF(AND(AA513=1,Y513&lt;1),IF(AND(C514=C513,Y514=Y513+1),IF(AA514=1,"",INDEX(DATAS,Y513+1)),INDEX(DATAS,Y513+1)),"")</f>
        <v/>
      </c>
    </row>
    <row r="514" customFormat="false" ht="15" hidden="false" customHeight="false" outlineLevel="0" collapsed="false">
      <c r="A514" s="45" t="n">
        <v>46309</v>
      </c>
      <c r="B514" s="0" t="n">
        <v>5</v>
      </c>
      <c r="C514" s="0" t="n">
        <v>4298</v>
      </c>
      <c r="D514" s="0" t="n">
        <v>307</v>
      </c>
      <c r="E514" s="0" t="n">
        <v>2</v>
      </c>
      <c r="F514" s="39" t="s">
        <v>484</v>
      </c>
      <c r="G514" s="0" t="n">
        <v>37.5</v>
      </c>
      <c r="H514" s="0" t="n">
        <v>31</v>
      </c>
      <c r="I514" s="39" t="s">
        <v>109</v>
      </c>
      <c r="J514" s="0" t="n">
        <v>90</v>
      </c>
      <c r="K514" s="0" t="n">
        <v>97</v>
      </c>
      <c r="L514" s="0" t="n">
        <v>217</v>
      </c>
      <c r="M514" s="0" t="n">
        <v>468.83</v>
      </c>
      <c r="N514" s="0" t="n">
        <v>71.63</v>
      </c>
      <c r="O514" s="0" t="n">
        <v>26.56</v>
      </c>
      <c r="P514" s="0" t="n">
        <v>6.15</v>
      </c>
      <c r="Q514" s="0" t="n">
        <v>4.47</v>
      </c>
      <c r="R514" s="0" t="n">
        <v>5827</v>
      </c>
      <c r="S514" s="0" t="n">
        <v>11077</v>
      </c>
      <c r="T514" s="0" t="n">
        <v>65.2</v>
      </c>
      <c r="U514" s="0" t="n">
        <v>1449</v>
      </c>
      <c r="V514" s="0" t="n">
        <v>1</v>
      </c>
      <c r="W514" s="39" t="n">
        <f aca="false">IF(I514="Male",0,1)</f>
        <v>1</v>
      </c>
      <c r="X514" s="39" t="n">
        <f aca="false">IF(OR(I514="DNB",I514="Dry DNB"),1,0)</f>
        <v>0</v>
      </c>
      <c r="Y514" s="39" t="n">
        <f aca="false">MATCH(A514,DATAS,0)</f>
        <v>1</v>
      </c>
      <c r="Z514" s="39" t="n">
        <f aca="false">IF(AND(E514&gt;0,OR(AND(B514&gt;=1,B514&lt;=6),B514=10)),1,0)</f>
        <v>1</v>
      </c>
      <c r="AA514" s="39" t="n">
        <f aca="false">IF(AND(E514&gt;0,B514=10),1,0)</f>
        <v>0</v>
      </c>
      <c r="AB514" s="0" t="str">
        <f aca="false">IF(AND(C513=C514,Y513=Y514-1),Z513,"")</f>
        <v/>
      </c>
      <c r="AC514" s="0" t="str">
        <f aca="false">IF(AND(C513=C514,Y513=Y514-1),AA513,"")</f>
        <v/>
      </c>
      <c r="AD514" s="0" t="str">
        <f aca="false">IF(Y514=1,"",IF(AND(Z514=1,AB514&lt;&gt;1),1,0))</f>
        <v/>
      </c>
      <c r="AE514" s="0" t="str">
        <f aca="false">IF(Y514=1,"",IF(AND(AA514=1,AC514&lt;&gt;1),1,0))</f>
        <v/>
      </c>
      <c r="AF514" s="45" t="str">
        <f aca="false">IF(AND(E514&gt;0,Y514&lt;1,NOT(AND(C515=C514,Y515=Y514+1))),INDEX(DATAS,Y514+1),"")</f>
        <v/>
      </c>
      <c r="AG514" s="45" t="str">
        <f aca="false">IF(AND(AA514=1,Y514&lt;1),IF(AND(C515=C514,Y515=Y514+1),IF(AA515=1,"",INDEX(DATAS,Y514+1)),INDEX(DATAS,Y514+1)),"")</f>
        <v/>
      </c>
    </row>
    <row r="515" customFormat="false" ht="15" hidden="false" customHeight="false" outlineLevel="0" collapsed="false">
      <c r="A515" s="45" t="n">
        <v>46309</v>
      </c>
      <c r="B515" s="0" t="n">
        <v>2</v>
      </c>
      <c r="C515" s="0" t="n">
        <v>4299</v>
      </c>
      <c r="D515" s="0" t="n">
        <v>299</v>
      </c>
      <c r="E515" s="0" t="n">
        <v>2</v>
      </c>
      <c r="F515" s="39" t="s">
        <v>485</v>
      </c>
      <c r="G515" s="0" t="n">
        <v>44.9</v>
      </c>
      <c r="H515" s="0" t="n">
        <v>45</v>
      </c>
      <c r="I515" s="39" t="s">
        <v>138</v>
      </c>
      <c r="J515" s="0" t="n">
        <v>299</v>
      </c>
      <c r="K515" s="0" t="n">
        <v>68</v>
      </c>
      <c r="M515" s="0" t="n">
        <v>1268.38</v>
      </c>
      <c r="N515" s="0" t="n">
        <v>70.71</v>
      </c>
      <c r="O515" s="0" t="n">
        <v>44.83</v>
      </c>
      <c r="P515" s="0" t="n">
        <v>3.26</v>
      </c>
      <c r="Q515" s="0" t="n">
        <v>3.65</v>
      </c>
      <c r="R515" s="0" t="n">
        <v>6008</v>
      </c>
      <c r="S515" s="0" t="n">
        <v>12015</v>
      </c>
      <c r="T515" s="0" t="n">
        <v>68.65</v>
      </c>
      <c r="U515" s="0" t="n">
        <v>1448</v>
      </c>
      <c r="V515" s="0" t="n">
        <v>6</v>
      </c>
      <c r="W515" s="39" t="n">
        <f aca="false">IF(I515="Male",0,1)</f>
        <v>1</v>
      </c>
      <c r="X515" s="39" t="n">
        <f aca="false">IF(OR(I515="DNB",I515="Dry DNB"),1,0)</f>
        <v>0</v>
      </c>
      <c r="Y515" s="39" t="n">
        <f aca="false">MATCH(A515,DATAS,0)</f>
        <v>1</v>
      </c>
      <c r="Z515" s="39" t="n">
        <f aca="false">IF(AND(E515&gt;0,OR(AND(B515&gt;=1,B515&lt;=6),B515=10)),1,0)</f>
        <v>1</v>
      </c>
      <c r="AA515" s="39" t="n">
        <f aca="false">IF(AND(E515&gt;0,B515=10),1,0)</f>
        <v>0</v>
      </c>
      <c r="AB515" s="0" t="str">
        <f aca="false">IF(AND(C514=C515,Y514=Y515-1),Z514,"")</f>
        <v/>
      </c>
      <c r="AC515" s="0" t="str">
        <f aca="false">IF(AND(C514=C515,Y514=Y515-1),AA514,"")</f>
        <v/>
      </c>
      <c r="AD515" s="0" t="str">
        <f aca="false">IF(Y515=1,"",IF(AND(Z515=1,AB515&lt;&gt;1),1,0))</f>
        <v/>
      </c>
      <c r="AE515" s="0" t="str">
        <f aca="false">IF(Y515=1,"",IF(AND(AA515=1,AC515&lt;&gt;1),1,0))</f>
        <v/>
      </c>
      <c r="AF515" s="45" t="str">
        <f aca="false">IF(AND(E515&gt;0,Y515&lt;1,NOT(AND(C516=C515,Y516=Y515+1))),INDEX(DATAS,Y515+1),"")</f>
        <v/>
      </c>
      <c r="AG515" s="45" t="str">
        <f aca="false">IF(AND(AA515=1,Y515&lt;1),IF(AND(C516=C515,Y516=Y515+1),IF(AA516=1,"",INDEX(DATAS,Y515+1)),INDEX(DATAS,Y515+1)),"")</f>
        <v/>
      </c>
    </row>
    <row r="516" customFormat="false" ht="15" hidden="false" customHeight="false" outlineLevel="0" collapsed="false">
      <c r="A516" s="45" t="n">
        <v>46309</v>
      </c>
      <c r="B516" s="0" t="n">
        <v>6</v>
      </c>
      <c r="C516" s="0" t="n">
        <v>4302</v>
      </c>
      <c r="D516" s="0" t="n">
        <v>323</v>
      </c>
      <c r="E516" s="0" t="n">
        <v>2</v>
      </c>
      <c r="F516" s="39" t="s">
        <v>486</v>
      </c>
      <c r="H516" s="0" t="n">
        <v>23</v>
      </c>
      <c r="I516" s="39" t="s">
        <v>109</v>
      </c>
      <c r="J516" s="0" t="n">
        <v>268</v>
      </c>
      <c r="K516" s="0" t="n">
        <v>64</v>
      </c>
      <c r="L516" s="0" t="n">
        <v>55</v>
      </c>
      <c r="M516" s="0" t="n">
        <v>242.61</v>
      </c>
      <c r="N516" s="0" t="n">
        <v>66.09</v>
      </c>
      <c r="O516" s="0" t="n">
        <v>22.81</v>
      </c>
      <c r="P516" s="0" t="n">
        <v>6.88</v>
      </c>
      <c r="Q516" s="0" t="n">
        <v>4.86</v>
      </c>
      <c r="R516" s="0" t="n">
        <v>2584</v>
      </c>
      <c r="S516" s="0" t="n">
        <v>5498</v>
      </c>
      <c r="T516" s="0" t="n">
        <v>25.95</v>
      </c>
      <c r="U516" s="0" t="n">
        <v>1446</v>
      </c>
      <c r="V516" s="0" t="n">
        <v>3</v>
      </c>
      <c r="W516" s="39" t="n">
        <f aca="false">IF(I516="Male",0,1)</f>
        <v>1</v>
      </c>
      <c r="X516" s="39" t="n">
        <f aca="false">IF(OR(I516="DNB",I516="Dry DNB"),1,0)</f>
        <v>0</v>
      </c>
      <c r="Y516" s="39" t="n">
        <f aca="false">MATCH(A516,DATAS,0)</f>
        <v>1</v>
      </c>
      <c r="Z516" s="39" t="n">
        <f aca="false">IF(AND(E516&gt;0,OR(AND(B516&gt;=1,B516&lt;=6),B516=10)),1,0)</f>
        <v>1</v>
      </c>
      <c r="AA516" s="39" t="n">
        <f aca="false">IF(AND(E516&gt;0,B516=10),1,0)</f>
        <v>0</v>
      </c>
      <c r="AB516" s="0" t="str">
        <f aca="false">IF(AND(C515=C516,Y515=Y516-1),Z515,"")</f>
        <v/>
      </c>
      <c r="AC516" s="0" t="str">
        <f aca="false">IF(AND(C515=C516,Y515=Y516-1),AA515,"")</f>
        <v/>
      </c>
      <c r="AD516" s="0" t="str">
        <f aca="false">IF(Y516=1,"",IF(AND(Z516=1,AB516&lt;&gt;1),1,0))</f>
        <v/>
      </c>
      <c r="AE516" s="0" t="str">
        <f aca="false">IF(Y516=1,"",IF(AND(AA516=1,AC516&lt;&gt;1),1,0))</f>
        <v/>
      </c>
      <c r="AF516" s="45" t="str">
        <f aca="false">IF(AND(E516&gt;0,Y516&lt;1,NOT(AND(C517=C516,Y517=Y516+1))),INDEX(DATAS,Y516+1),"")</f>
        <v/>
      </c>
      <c r="AG516" s="45" t="str">
        <f aca="false">IF(AND(AA516=1,Y516&lt;1),IF(AND(C517=C516,Y517=Y516+1),IF(AA517=1,"",INDEX(DATAS,Y516+1)),INDEX(DATAS,Y516+1)),"")</f>
        <v/>
      </c>
    </row>
    <row r="517" customFormat="false" ht="15" hidden="false" customHeight="false" outlineLevel="0" collapsed="false">
      <c r="A517" s="45" t="n">
        <v>46309</v>
      </c>
      <c r="B517" s="0" t="n">
        <v>5</v>
      </c>
      <c r="C517" s="0" t="n">
        <v>4304</v>
      </c>
      <c r="D517" s="0" t="n">
        <v>316</v>
      </c>
      <c r="E517" s="0" t="n">
        <v>2</v>
      </c>
      <c r="F517" s="39" t="s">
        <v>486</v>
      </c>
      <c r="G517" s="0" t="n">
        <v>44.7</v>
      </c>
      <c r="H517" s="0" t="n">
        <v>41</v>
      </c>
      <c r="I517" s="39" t="s">
        <v>109</v>
      </c>
      <c r="J517" s="0" t="n">
        <v>141</v>
      </c>
      <c r="K517" s="0" t="n">
        <v>64</v>
      </c>
      <c r="L517" s="0" t="n">
        <v>175</v>
      </c>
      <c r="M517" s="0" t="n">
        <v>927.5</v>
      </c>
      <c r="N517" s="0" t="n">
        <v>73.52</v>
      </c>
      <c r="O517" s="0" t="n">
        <v>39.77</v>
      </c>
      <c r="P517" s="0" t="n">
        <v>4.63</v>
      </c>
      <c r="Q517" s="0" t="n">
        <v>3.69</v>
      </c>
      <c r="R517" s="0" t="n">
        <v>6188</v>
      </c>
      <c r="S517" s="0" t="n">
        <v>12341</v>
      </c>
      <c r="T517" s="0" t="n">
        <v>66.8</v>
      </c>
      <c r="U517" s="0" t="n">
        <v>1446</v>
      </c>
      <c r="V517" s="0" t="n">
        <v>3</v>
      </c>
      <c r="W517" s="39" t="n">
        <f aca="false">IF(I517="Male",0,1)</f>
        <v>1</v>
      </c>
      <c r="X517" s="39" t="n">
        <f aca="false">IF(OR(I517="DNB",I517="Dry DNB"),1,0)</f>
        <v>0</v>
      </c>
      <c r="Y517" s="39" t="n">
        <f aca="false">MATCH(A517,DATAS,0)</f>
        <v>1</v>
      </c>
      <c r="Z517" s="39" t="n">
        <f aca="false">IF(AND(E517&gt;0,OR(AND(B517&gt;=1,B517&lt;=6),B517=10)),1,0)</f>
        <v>1</v>
      </c>
      <c r="AA517" s="39" t="n">
        <f aca="false">IF(AND(E517&gt;0,B517=10),1,0)</f>
        <v>0</v>
      </c>
      <c r="AB517" s="0" t="str">
        <f aca="false">IF(AND(C516=C517,Y516=Y517-1),Z516,"")</f>
        <v/>
      </c>
      <c r="AC517" s="0" t="str">
        <f aca="false">IF(AND(C516=C517,Y516=Y517-1),AA516,"")</f>
        <v/>
      </c>
      <c r="AD517" s="0" t="str">
        <f aca="false">IF(Y517=1,"",IF(AND(Z517=1,AB517&lt;&gt;1),1,0))</f>
        <v/>
      </c>
      <c r="AE517" s="0" t="str">
        <f aca="false">IF(Y517=1,"",IF(AND(AA517=1,AC517&lt;&gt;1),1,0))</f>
        <v/>
      </c>
      <c r="AF517" s="45" t="str">
        <f aca="false">IF(AND(E517&gt;0,Y517&lt;1,NOT(AND(C518=C517,Y518=Y517+1))),INDEX(DATAS,Y517+1),"")</f>
        <v/>
      </c>
      <c r="AG517" s="45" t="str">
        <f aca="false">IF(AND(AA517=1,Y517&lt;1),IF(AND(C518=C517,Y518=Y517+1),IF(AA518=1,"",INDEX(DATAS,Y517+1)),INDEX(DATAS,Y517+1)),"")</f>
        <v/>
      </c>
    </row>
    <row r="518" customFormat="false" ht="15" hidden="false" customHeight="false" outlineLevel="0" collapsed="false">
      <c r="A518" s="45" t="n">
        <v>46309</v>
      </c>
      <c r="B518" s="0" t="n">
        <v>7</v>
      </c>
      <c r="C518" s="0" t="n">
        <v>4305</v>
      </c>
      <c r="D518" s="0" t="n">
        <v>322</v>
      </c>
      <c r="E518" s="0" t="n">
        <v>2</v>
      </c>
      <c r="F518" s="39" t="s">
        <v>487</v>
      </c>
      <c r="G518" s="0" t="n">
        <v>16.7</v>
      </c>
      <c r="H518" s="0" t="n">
        <v>44</v>
      </c>
      <c r="I518" s="39" t="s">
        <v>114</v>
      </c>
      <c r="J518" s="0" t="n">
        <v>99</v>
      </c>
      <c r="K518" s="0" t="n">
        <v>64</v>
      </c>
      <c r="L518" s="0" t="n">
        <v>224</v>
      </c>
      <c r="M518" s="0" t="n">
        <v>1135.34</v>
      </c>
      <c r="N518" s="0" t="n">
        <v>51.73</v>
      </c>
      <c r="O518" s="0" t="n">
        <v>30.97</v>
      </c>
      <c r="P518" s="0" t="n">
        <v>3.02</v>
      </c>
      <c r="Q518" s="0" t="n">
        <v>3.45</v>
      </c>
      <c r="R518" s="0" t="n">
        <v>7236</v>
      </c>
      <c r="S518" s="0" t="n">
        <v>14060</v>
      </c>
      <c r="T518" s="0" t="n">
        <v>78.9</v>
      </c>
      <c r="U518" s="0" t="n">
        <v>1445</v>
      </c>
      <c r="V518" s="0" t="n">
        <v>2</v>
      </c>
      <c r="W518" s="39" t="n">
        <f aca="false">IF(I518="Male",0,1)</f>
        <v>1</v>
      </c>
      <c r="X518" s="39" t="n">
        <f aca="false">IF(OR(I518="DNB",I518="Dry DNB"),1,0)</f>
        <v>0</v>
      </c>
      <c r="Y518" s="39" t="n">
        <f aca="false">MATCH(A518,DATAS,0)</f>
        <v>1</v>
      </c>
      <c r="Z518" s="39" t="n">
        <f aca="false">IF(AND(E518&gt;0,OR(AND(B518&gt;=1,B518&lt;=6),B518=10)),1,0)</f>
        <v>0</v>
      </c>
      <c r="AA518" s="39" t="n">
        <f aca="false">IF(AND(E518&gt;0,B518=10),1,0)</f>
        <v>0</v>
      </c>
      <c r="AB518" s="0" t="str">
        <f aca="false">IF(AND(C517=C518,Y517=Y518-1),Z517,"")</f>
        <v/>
      </c>
      <c r="AC518" s="0" t="str">
        <f aca="false">IF(AND(C517=C518,Y517=Y518-1),AA517,"")</f>
        <v/>
      </c>
      <c r="AD518" s="0" t="str">
        <f aca="false">IF(Y518=1,"",IF(AND(Z518=1,AB518&lt;&gt;1),1,0))</f>
        <v/>
      </c>
      <c r="AE518" s="0" t="str">
        <f aca="false">IF(Y518=1,"",IF(AND(AA518=1,AC518&lt;&gt;1),1,0))</f>
        <v/>
      </c>
      <c r="AF518" s="45" t="str">
        <f aca="false">IF(AND(E518&gt;0,Y518&lt;1,NOT(AND(C519=C518,Y519=Y518+1))),INDEX(DATAS,Y518+1),"")</f>
        <v/>
      </c>
      <c r="AG518" s="45" t="str">
        <f aca="false">IF(AND(AA518=1,Y518&lt;1),IF(AND(C519=C518,Y519=Y518+1),IF(AA519=1,"",INDEX(DATAS,Y518+1)),INDEX(DATAS,Y518+1)),"")</f>
        <v/>
      </c>
    </row>
    <row r="519" customFormat="false" ht="15" hidden="false" customHeight="false" outlineLevel="0" collapsed="false">
      <c r="A519" s="45" t="n">
        <v>46309</v>
      </c>
      <c r="B519" s="0" t="n">
        <v>5</v>
      </c>
      <c r="C519" s="0" t="n">
        <v>4306</v>
      </c>
      <c r="D519" s="0" t="n">
        <v>403</v>
      </c>
      <c r="E519" s="0" t="n">
        <v>2</v>
      </c>
      <c r="F519" s="39" t="s">
        <v>487</v>
      </c>
      <c r="G519" s="0" t="n">
        <v>37.7</v>
      </c>
      <c r="H519" s="0" t="n">
        <v>35</v>
      </c>
      <c r="I519" s="39" t="s">
        <v>109</v>
      </c>
      <c r="J519" s="0" t="n">
        <v>277</v>
      </c>
      <c r="K519" s="0" t="n">
        <v>67</v>
      </c>
      <c r="L519" s="0" t="n">
        <v>126</v>
      </c>
      <c r="M519" s="0" t="n">
        <v>768.7</v>
      </c>
      <c r="N519" s="0" t="n">
        <v>59.88</v>
      </c>
      <c r="O519" s="0" t="n">
        <v>29.63</v>
      </c>
      <c r="P519" s="0" t="n">
        <v>4.8</v>
      </c>
      <c r="Q519" s="0" t="n">
        <v>3.91</v>
      </c>
      <c r="R519" s="0" t="n">
        <v>5419</v>
      </c>
      <c r="S519" s="0" t="n">
        <v>11074</v>
      </c>
      <c r="T519" s="0" t="n">
        <v>59.7</v>
      </c>
      <c r="U519" s="0" t="n">
        <v>1445</v>
      </c>
      <c r="V519" s="0" t="n">
        <v>7</v>
      </c>
      <c r="W519" s="39" t="n">
        <f aca="false">IF(I519="Male",0,1)</f>
        <v>1</v>
      </c>
      <c r="X519" s="39" t="n">
        <f aca="false">IF(OR(I519="DNB",I519="Dry DNB"),1,0)</f>
        <v>0</v>
      </c>
      <c r="Y519" s="39" t="n">
        <f aca="false">MATCH(A519,DATAS,0)</f>
        <v>1</v>
      </c>
      <c r="Z519" s="39" t="n">
        <f aca="false">IF(AND(E519&gt;0,OR(AND(B519&gt;=1,B519&lt;=6),B519=10)),1,0)</f>
        <v>1</v>
      </c>
      <c r="AA519" s="39" t="n">
        <f aca="false">IF(AND(E519&gt;0,B519=10),1,0)</f>
        <v>0</v>
      </c>
      <c r="AB519" s="0" t="str">
        <f aca="false">IF(AND(C518=C519,Y518=Y519-1),Z518,"")</f>
        <v/>
      </c>
      <c r="AC519" s="0" t="str">
        <f aca="false">IF(AND(C518=C519,Y518=Y519-1),AA518,"")</f>
        <v/>
      </c>
      <c r="AD519" s="0" t="str">
        <f aca="false">IF(Y519=1,"",IF(AND(Z519=1,AB519&lt;&gt;1),1,0))</f>
        <v/>
      </c>
      <c r="AE519" s="0" t="str">
        <f aca="false">IF(Y519=1,"",IF(AND(AA519=1,AC519&lt;&gt;1),1,0))</f>
        <v/>
      </c>
      <c r="AF519" s="45" t="str">
        <f aca="false">IF(AND(E519&gt;0,Y519&lt;1,NOT(AND(C520=C519,Y520=Y519+1))),INDEX(DATAS,Y519+1),"")</f>
        <v/>
      </c>
      <c r="AG519" s="45" t="str">
        <f aca="false">IF(AND(AA519=1,Y519&lt;1),IF(AND(C520=C519,Y520=Y519+1),IF(AA520=1,"",INDEX(DATAS,Y519+1)),INDEX(DATAS,Y519+1)),"")</f>
        <v/>
      </c>
    </row>
    <row r="520" customFormat="false" ht="15" hidden="false" customHeight="false" outlineLevel="0" collapsed="false">
      <c r="A520" s="45" t="n">
        <v>46309</v>
      </c>
      <c r="B520" s="0" t="n">
        <v>5</v>
      </c>
      <c r="C520" s="0" t="n">
        <v>4307</v>
      </c>
      <c r="D520" s="0" t="n">
        <v>174</v>
      </c>
      <c r="E520" s="0" t="n">
        <v>2</v>
      </c>
      <c r="F520" s="39" t="s">
        <v>488</v>
      </c>
      <c r="G520" s="0" t="n">
        <v>32.9</v>
      </c>
      <c r="H520" s="0" t="n">
        <v>31</v>
      </c>
      <c r="I520" s="39" t="s">
        <v>109</v>
      </c>
      <c r="J520" s="0" t="n">
        <v>62</v>
      </c>
      <c r="K520" s="0" t="n">
        <v>62</v>
      </c>
      <c r="L520" s="0" t="n">
        <v>112</v>
      </c>
      <c r="M520" s="0" t="n">
        <v>919.71</v>
      </c>
      <c r="N520" s="0" t="n">
        <v>62.85</v>
      </c>
      <c r="O520" s="0" t="n">
        <v>43.49</v>
      </c>
      <c r="P520" s="0" t="n">
        <v>3.43</v>
      </c>
      <c r="Q520" s="0" t="n">
        <v>3.74</v>
      </c>
      <c r="R520" s="0" t="n">
        <v>5728</v>
      </c>
      <c r="S520" s="0" t="n">
        <v>10929</v>
      </c>
      <c r="T520" s="0" t="n">
        <v>62.05</v>
      </c>
      <c r="U520" s="0" t="n">
        <v>1444</v>
      </c>
      <c r="V520" s="0" t="n">
        <v>1</v>
      </c>
      <c r="W520" s="39" t="n">
        <f aca="false">IF(I520="Male",0,1)</f>
        <v>1</v>
      </c>
      <c r="X520" s="39" t="n">
        <f aca="false">IF(OR(I520="DNB",I520="Dry DNB"),1,0)</f>
        <v>0</v>
      </c>
      <c r="Y520" s="39" t="n">
        <f aca="false">MATCH(A520,DATAS,0)</f>
        <v>1</v>
      </c>
      <c r="Z520" s="39" t="n">
        <f aca="false">IF(AND(E520&gt;0,OR(AND(B520&gt;=1,B520&lt;=6),B520=10)),1,0)</f>
        <v>1</v>
      </c>
      <c r="AA520" s="39" t="n">
        <f aca="false">IF(AND(E520&gt;0,B520=10),1,0)</f>
        <v>0</v>
      </c>
      <c r="AB520" s="0" t="str">
        <f aca="false">IF(AND(C519=C520,Y519=Y520-1),Z519,"")</f>
        <v/>
      </c>
      <c r="AC520" s="0" t="str">
        <f aca="false">IF(AND(C519=C520,Y519=Y520-1),AA519,"")</f>
        <v/>
      </c>
      <c r="AD520" s="0" t="str">
        <f aca="false">IF(Y520=1,"",IF(AND(Z520=1,AB520&lt;&gt;1),1,0))</f>
        <v/>
      </c>
      <c r="AE520" s="0" t="str">
        <f aca="false">IF(Y520=1,"",IF(AND(AA520=1,AC520&lt;&gt;1),1,0))</f>
        <v/>
      </c>
      <c r="AF520" s="45" t="str">
        <f aca="false">IF(AND(E520&gt;0,Y520&lt;1,NOT(AND(C521=C520,Y521=Y520+1))),INDEX(DATAS,Y520+1),"")</f>
        <v/>
      </c>
      <c r="AG520" s="45" t="str">
        <f aca="false">IF(AND(AA520=1,Y520&lt;1),IF(AND(C521=C520,Y521=Y520+1),IF(AA521=1,"",INDEX(DATAS,Y520+1)),INDEX(DATAS,Y520+1)),"")</f>
        <v/>
      </c>
    </row>
    <row r="521" customFormat="false" ht="15" hidden="false" customHeight="false" outlineLevel="0" collapsed="false">
      <c r="A521" s="45" t="n">
        <v>46309</v>
      </c>
      <c r="B521" s="0" t="n">
        <v>2</v>
      </c>
      <c r="C521" s="0" t="n">
        <v>4308</v>
      </c>
      <c r="D521" s="0" t="n">
        <v>21</v>
      </c>
      <c r="E521" s="0" t="n">
        <v>3</v>
      </c>
      <c r="F521" s="39" t="s">
        <v>488</v>
      </c>
      <c r="G521" s="0" t="n">
        <v>58.4</v>
      </c>
      <c r="H521" s="0" t="n">
        <v>51</v>
      </c>
      <c r="I521" s="39" t="s">
        <v>118</v>
      </c>
      <c r="J521" s="0" t="n">
        <v>21</v>
      </c>
      <c r="M521" s="0" t="n">
        <v>432.45</v>
      </c>
      <c r="N521" s="0" t="n">
        <v>74.18</v>
      </c>
      <c r="O521" s="0" t="n">
        <v>36.11</v>
      </c>
      <c r="R521" s="0" t="n">
        <v>4397</v>
      </c>
      <c r="S521" s="0" t="n">
        <v>8839</v>
      </c>
      <c r="U521" s="0" t="n">
        <v>1444</v>
      </c>
      <c r="V521" s="0" t="n">
        <v>0</v>
      </c>
      <c r="W521" s="39" t="n">
        <f aca="false">IF(I521="Male",0,1)</f>
        <v>1</v>
      </c>
      <c r="X521" s="39" t="n">
        <f aca="false">IF(OR(I521="DNB",I521="Dry DNB"),1,0)</f>
        <v>0</v>
      </c>
      <c r="Y521" s="39" t="n">
        <f aca="false">MATCH(A521,DATAS,0)</f>
        <v>1</v>
      </c>
      <c r="Z521" s="39" t="n">
        <f aca="false">IF(AND(E521&gt;0,OR(AND(B521&gt;=1,B521&lt;=6),B521=10)),1,0)</f>
        <v>1</v>
      </c>
      <c r="AA521" s="39" t="n">
        <f aca="false">IF(AND(E521&gt;0,B521=10),1,0)</f>
        <v>0</v>
      </c>
      <c r="AB521" s="0" t="str">
        <f aca="false">IF(AND(C520=C521,Y520=Y521-1),Z520,"")</f>
        <v/>
      </c>
      <c r="AC521" s="0" t="str">
        <f aca="false">IF(AND(C520=C521,Y520=Y521-1),AA520,"")</f>
        <v/>
      </c>
      <c r="AD521" s="0" t="str">
        <f aca="false">IF(Y521=1,"",IF(AND(Z521=1,AB521&lt;&gt;1),1,0))</f>
        <v/>
      </c>
      <c r="AE521" s="0" t="str">
        <f aca="false">IF(Y521=1,"",IF(AND(AA521=1,AC521&lt;&gt;1),1,0))</f>
        <v/>
      </c>
      <c r="AF521" s="45" t="str">
        <f aca="false">IF(AND(E521&gt;0,Y521&lt;1,NOT(AND(C522=C521,Y522=Y521+1))),INDEX(DATAS,Y521+1),"")</f>
        <v/>
      </c>
      <c r="AG521" s="45" t="str">
        <f aca="false">IF(AND(AA521=1,Y521&lt;1),IF(AND(C522=C521,Y522=Y521+1),IF(AA522=1,"",INDEX(DATAS,Y521+1)),INDEX(DATAS,Y521+1)),"")</f>
        <v/>
      </c>
    </row>
    <row r="522" customFormat="false" ht="15" hidden="false" customHeight="false" outlineLevel="0" collapsed="false">
      <c r="A522" s="45" t="n">
        <v>46309</v>
      </c>
      <c r="B522" s="0" t="n">
        <v>5</v>
      </c>
      <c r="C522" s="0" t="n">
        <v>4309</v>
      </c>
      <c r="D522" s="0" t="n">
        <v>418</v>
      </c>
      <c r="E522" s="0" t="n">
        <v>2</v>
      </c>
      <c r="F522" s="39" t="s">
        <v>489</v>
      </c>
      <c r="G522" s="0" t="n">
        <v>43.3</v>
      </c>
      <c r="H522" s="0" t="n">
        <v>37</v>
      </c>
      <c r="I522" s="39" t="s">
        <v>109</v>
      </c>
      <c r="J522" s="0" t="n">
        <v>236</v>
      </c>
      <c r="K522" s="0" t="n">
        <v>68</v>
      </c>
      <c r="L522" s="0" t="n">
        <v>182</v>
      </c>
      <c r="M522" s="0" t="n">
        <v>641.37</v>
      </c>
      <c r="N522" s="0" t="n">
        <v>61.98</v>
      </c>
      <c r="O522" s="0" t="n">
        <v>35.1</v>
      </c>
      <c r="P522" s="0" t="n">
        <v>5.52</v>
      </c>
      <c r="Q522" s="0" t="n">
        <v>3.89</v>
      </c>
      <c r="R522" s="0" t="n">
        <v>5238</v>
      </c>
      <c r="S522" s="0" t="n">
        <v>11297</v>
      </c>
      <c r="T522" s="0" t="n">
        <v>61.85</v>
      </c>
      <c r="U522" s="0" t="n">
        <v>1443</v>
      </c>
      <c r="V522" s="0" t="n">
        <v>6</v>
      </c>
      <c r="W522" s="39" t="n">
        <f aca="false">IF(I522="Male",0,1)</f>
        <v>1</v>
      </c>
      <c r="X522" s="39" t="n">
        <f aca="false">IF(OR(I522="DNB",I522="Dry DNB"),1,0)</f>
        <v>0</v>
      </c>
      <c r="Y522" s="39" t="n">
        <f aca="false">MATCH(A522,DATAS,0)</f>
        <v>1</v>
      </c>
      <c r="Z522" s="39" t="n">
        <f aca="false">IF(AND(E522&gt;0,OR(AND(B522&gt;=1,B522&lt;=6),B522=10)),1,0)</f>
        <v>1</v>
      </c>
      <c r="AA522" s="39" t="n">
        <f aca="false">IF(AND(E522&gt;0,B522=10),1,0)</f>
        <v>0</v>
      </c>
      <c r="AB522" s="0" t="str">
        <f aca="false">IF(AND(C521=C522,Y521=Y522-1),Z521,"")</f>
        <v/>
      </c>
      <c r="AC522" s="0" t="str">
        <f aca="false">IF(AND(C521=C522,Y521=Y522-1),AA521,"")</f>
        <v/>
      </c>
      <c r="AD522" s="0" t="str">
        <f aca="false">IF(Y522=1,"",IF(AND(Z522=1,AB522&lt;&gt;1),1,0))</f>
        <v/>
      </c>
      <c r="AE522" s="0" t="str">
        <f aca="false">IF(Y522=1,"",IF(AND(AA522=1,AC522&lt;&gt;1),1,0))</f>
        <v/>
      </c>
      <c r="AF522" s="45" t="str">
        <f aca="false">IF(AND(E522&gt;0,Y522&lt;1,NOT(AND(C523=C522,Y523=Y522+1))),INDEX(DATAS,Y522+1),"")</f>
        <v/>
      </c>
      <c r="AG522" s="45" t="str">
        <f aca="false">IF(AND(AA522=1,Y522&lt;1),IF(AND(C523=C522,Y523=Y522+1),IF(AA523=1,"",INDEX(DATAS,Y522+1)),INDEX(DATAS,Y522+1)),"")</f>
        <v/>
      </c>
    </row>
    <row r="523" customFormat="false" ht="15" hidden="false" customHeight="false" outlineLevel="0" collapsed="false">
      <c r="A523" s="45" t="n">
        <v>46309</v>
      </c>
      <c r="B523" s="0" t="n">
        <v>3</v>
      </c>
      <c r="C523" s="0" t="n">
        <v>4310</v>
      </c>
      <c r="D523" s="0" t="n">
        <v>115</v>
      </c>
      <c r="E523" s="0" t="n">
        <v>3</v>
      </c>
      <c r="F523" s="39" t="s">
        <v>489</v>
      </c>
      <c r="G523" s="0" t="n">
        <v>58.8</v>
      </c>
      <c r="H523" s="0" t="n">
        <v>58</v>
      </c>
      <c r="I523" s="39" t="s">
        <v>138</v>
      </c>
      <c r="J523" s="0" t="n">
        <v>115</v>
      </c>
      <c r="K523" s="0" t="n">
        <v>66</v>
      </c>
      <c r="M523" s="0" t="n">
        <v>471.44</v>
      </c>
      <c r="N523" s="0" t="n">
        <v>72.43</v>
      </c>
      <c r="O523" s="0" t="n">
        <v>34.35</v>
      </c>
      <c r="P523" s="0" t="n">
        <v>3.69</v>
      </c>
      <c r="Q523" s="0" t="n">
        <v>2.94</v>
      </c>
      <c r="R523" s="0" t="n">
        <v>6378</v>
      </c>
      <c r="S523" s="0" t="n">
        <v>12705</v>
      </c>
      <c r="T523" s="0" t="n">
        <v>68.8</v>
      </c>
      <c r="U523" s="0" t="n">
        <v>1443</v>
      </c>
      <c r="V523" s="0" t="n">
        <v>2</v>
      </c>
      <c r="W523" s="39" t="n">
        <f aca="false">IF(I523="Male",0,1)</f>
        <v>1</v>
      </c>
      <c r="X523" s="39" t="n">
        <f aca="false">IF(OR(I523="DNB",I523="Dry DNB"),1,0)</f>
        <v>0</v>
      </c>
      <c r="Y523" s="39" t="n">
        <f aca="false">MATCH(A523,DATAS,0)</f>
        <v>1</v>
      </c>
      <c r="Z523" s="39" t="n">
        <f aca="false">IF(AND(E523&gt;0,OR(AND(B523&gt;=1,B523&lt;=6),B523=10)),1,0)</f>
        <v>1</v>
      </c>
      <c r="AA523" s="39" t="n">
        <f aca="false">IF(AND(E523&gt;0,B523=10),1,0)</f>
        <v>0</v>
      </c>
      <c r="AB523" s="0" t="str">
        <f aca="false">IF(AND(C522=C523,Y522=Y523-1),Z522,"")</f>
        <v/>
      </c>
      <c r="AC523" s="0" t="str">
        <f aca="false">IF(AND(C522=C523,Y522=Y523-1),AA522,"")</f>
        <v/>
      </c>
      <c r="AD523" s="0" t="str">
        <f aca="false">IF(Y523=1,"",IF(AND(Z523=1,AB523&lt;&gt;1),1,0))</f>
        <v/>
      </c>
      <c r="AE523" s="0" t="str">
        <f aca="false">IF(Y523=1,"",IF(AND(AA523=1,AC523&lt;&gt;1),1,0))</f>
        <v/>
      </c>
      <c r="AF523" s="45" t="str">
        <f aca="false">IF(AND(E523&gt;0,Y523&lt;1,NOT(AND(C524=C523,Y524=Y523+1))),INDEX(DATAS,Y523+1),"")</f>
        <v/>
      </c>
      <c r="AG523" s="45" t="str">
        <f aca="false">IF(AND(AA523=1,Y523&lt;1),IF(AND(C524=C523,Y524=Y523+1),IF(AA524=1,"",INDEX(DATAS,Y523+1)),INDEX(DATAS,Y523+1)),"")</f>
        <v/>
      </c>
    </row>
    <row r="524" customFormat="false" ht="15" hidden="false" customHeight="false" outlineLevel="0" collapsed="false">
      <c r="A524" s="45" t="n">
        <v>46309</v>
      </c>
      <c r="B524" s="0" t="n">
        <v>5</v>
      </c>
      <c r="C524" s="0" t="n">
        <v>4314</v>
      </c>
      <c r="D524" s="0" t="n">
        <v>368</v>
      </c>
      <c r="E524" s="0" t="n">
        <v>2</v>
      </c>
      <c r="F524" s="39" t="s">
        <v>490</v>
      </c>
      <c r="G524" s="0" t="n">
        <v>38.7</v>
      </c>
      <c r="H524" s="0" t="n">
        <v>35</v>
      </c>
      <c r="I524" s="39" t="s">
        <v>109</v>
      </c>
      <c r="J524" s="0" t="n">
        <v>149</v>
      </c>
      <c r="K524" s="0" t="n">
        <v>68</v>
      </c>
      <c r="L524" s="0" t="n">
        <v>219</v>
      </c>
      <c r="M524" s="0" t="n">
        <v>746.05</v>
      </c>
      <c r="N524" s="0" t="n">
        <v>34.68</v>
      </c>
      <c r="O524" s="0" t="n">
        <v>25.14</v>
      </c>
      <c r="P524" s="0" t="n">
        <v>4.72</v>
      </c>
      <c r="Q524" s="0" t="n">
        <v>3.82</v>
      </c>
      <c r="R524" s="0" t="n">
        <v>5414</v>
      </c>
      <c r="S524" s="0" t="n">
        <v>10768</v>
      </c>
      <c r="T524" s="0" t="n">
        <v>57.85</v>
      </c>
      <c r="U524" s="0" t="n">
        <v>1437</v>
      </c>
      <c r="V524" s="0" t="n">
        <v>4</v>
      </c>
      <c r="W524" s="39" t="n">
        <f aca="false">IF(I524="Male",0,1)</f>
        <v>1</v>
      </c>
      <c r="X524" s="39" t="n">
        <f aca="false">IF(OR(I524="DNB",I524="Dry DNB"),1,0)</f>
        <v>0</v>
      </c>
      <c r="Y524" s="39" t="n">
        <f aca="false">MATCH(A524,DATAS,0)</f>
        <v>1</v>
      </c>
      <c r="Z524" s="39" t="n">
        <f aca="false">IF(AND(E524&gt;0,OR(AND(B524&gt;=1,B524&lt;=6),B524=10)),1,0)</f>
        <v>1</v>
      </c>
      <c r="AA524" s="39" t="n">
        <f aca="false">IF(AND(E524&gt;0,B524=10),1,0)</f>
        <v>0</v>
      </c>
      <c r="AB524" s="0" t="str">
        <f aca="false">IF(AND(C523=C524,Y523=Y524-1),Z523,"")</f>
        <v/>
      </c>
      <c r="AC524" s="0" t="str">
        <f aca="false">IF(AND(C523=C524,Y523=Y524-1),AA523,"")</f>
        <v/>
      </c>
      <c r="AD524" s="0" t="str">
        <f aca="false">IF(Y524=1,"",IF(AND(Z524=1,AB524&lt;&gt;1),1,0))</f>
        <v/>
      </c>
      <c r="AE524" s="0" t="str">
        <f aca="false">IF(Y524=1,"",IF(AND(AA524=1,AC524&lt;&gt;1),1,0))</f>
        <v/>
      </c>
      <c r="AF524" s="45" t="str">
        <f aca="false">IF(AND(E524&gt;0,Y524&lt;1,NOT(AND(C525=C524,Y525=Y524+1))),INDEX(DATAS,Y524+1),"")</f>
        <v/>
      </c>
      <c r="AG524" s="45" t="str">
        <f aca="false">IF(AND(AA524=1,Y524&lt;1),IF(AND(C525=C524,Y525=Y524+1),IF(AA525=1,"",INDEX(DATAS,Y524+1)),INDEX(DATAS,Y524+1)),"")</f>
        <v/>
      </c>
    </row>
    <row r="525" customFormat="false" ht="15" hidden="false" customHeight="false" outlineLevel="0" collapsed="false">
      <c r="A525" s="45" t="n">
        <v>46309</v>
      </c>
      <c r="B525" s="0" t="n">
        <v>5</v>
      </c>
      <c r="C525" s="0" t="n">
        <v>4316</v>
      </c>
      <c r="D525" s="0" t="n">
        <v>130</v>
      </c>
      <c r="E525" s="0" t="n">
        <v>3</v>
      </c>
      <c r="F525" s="39" t="s">
        <v>490</v>
      </c>
      <c r="G525" s="0" t="n">
        <v>35.3</v>
      </c>
      <c r="H525" s="0" t="n">
        <v>31</v>
      </c>
      <c r="I525" s="39" t="s">
        <v>109</v>
      </c>
      <c r="J525" s="0" t="n">
        <v>92</v>
      </c>
      <c r="K525" s="0" t="n">
        <v>67</v>
      </c>
      <c r="L525" s="0" t="n">
        <v>38</v>
      </c>
      <c r="M525" s="0" t="n">
        <v>354.42</v>
      </c>
      <c r="N525" s="0" t="n">
        <v>53.58</v>
      </c>
      <c r="O525" s="0" t="n">
        <v>32.3</v>
      </c>
      <c r="P525" s="0" t="n">
        <v>2.32</v>
      </c>
      <c r="Q525" s="0" t="n">
        <v>3.61</v>
      </c>
      <c r="R525" s="0" t="n">
        <v>4498</v>
      </c>
      <c r="S525" s="0" t="n">
        <v>8472</v>
      </c>
      <c r="T525" s="0" t="n">
        <v>52.35</v>
      </c>
      <c r="U525" s="0" t="n">
        <v>1437</v>
      </c>
      <c r="V525" s="0" t="n">
        <v>2</v>
      </c>
      <c r="W525" s="39" t="n">
        <f aca="false">IF(I525="Male",0,1)</f>
        <v>1</v>
      </c>
      <c r="X525" s="39" t="n">
        <f aca="false">IF(OR(I525="DNB",I525="Dry DNB"),1,0)</f>
        <v>0</v>
      </c>
      <c r="Y525" s="39" t="n">
        <f aca="false">MATCH(A525,DATAS,0)</f>
        <v>1</v>
      </c>
      <c r="Z525" s="39" t="n">
        <f aca="false">IF(AND(E525&gt;0,OR(AND(B525&gt;=1,B525&lt;=6),B525=10)),1,0)</f>
        <v>1</v>
      </c>
      <c r="AA525" s="39" t="n">
        <f aca="false">IF(AND(E525&gt;0,B525=10),1,0)</f>
        <v>0</v>
      </c>
      <c r="AB525" s="0" t="str">
        <f aca="false">IF(AND(C524=C525,Y524=Y525-1),Z524,"")</f>
        <v/>
      </c>
      <c r="AC525" s="0" t="str">
        <f aca="false">IF(AND(C524=C525,Y524=Y525-1),AA524,"")</f>
        <v/>
      </c>
      <c r="AD525" s="0" t="str">
        <f aca="false">IF(Y525=1,"",IF(AND(Z525=1,AB525&lt;&gt;1),1,0))</f>
        <v/>
      </c>
      <c r="AE525" s="0" t="str">
        <f aca="false">IF(Y525=1,"",IF(AND(AA525=1,AC525&lt;&gt;1),1,0))</f>
        <v/>
      </c>
      <c r="AF525" s="45" t="str">
        <f aca="false">IF(AND(E525&gt;0,Y525&lt;1,NOT(AND(C526=C525,Y526=Y525+1))),INDEX(DATAS,Y525+1),"")</f>
        <v/>
      </c>
      <c r="AG525" s="45" t="str">
        <f aca="false">IF(AND(AA525=1,Y525&lt;1),IF(AND(C526=C525,Y526=Y525+1),IF(AA526=1,"",INDEX(DATAS,Y525+1)),INDEX(DATAS,Y525+1)),"")</f>
        <v/>
      </c>
    </row>
    <row r="526" customFormat="false" ht="15" hidden="false" customHeight="false" outlineLevel="0" collapsed="false">
      <c r="A526" s="45" t="n">
        <v>46309</v>
      </c>
      <c r="B526" s="0" t="n">
        <v>2</v>
      </c>
      <c r="C526" s="0" t="n">
        <v>4318</v>
      </c>
      <c r="D526" s="0" t="n">
        <v>132</v>
      </c>
      <c r="E526" s="0" t="n">
        <v>3</v>
      </c>
      <c r="F526" s="39" t="s">
        <v>491</v>
      </c>
      <c r="G526" s="0" t="n">
        <v>56.4</v>
      </c>
      <c r="H526" s="0" t="n">
        <v>53</v>
      </c>
      <c r="I526" s="39" t="s">
        <v>109</v>
      </c>
      <c r="J526" s="0" t="n">
        <v>69</v>
      </c>
      <c r="K526" s="0" t="n">
        <v>69</v>
      </c>
      <c r="L526" s="0" t="n">
        <v>63</v>
      </c>
      <c r="M526" s="0" t="n">
        <v>317.77</v>
      </c>
      <c r="N526" s="0" t="n">
        <v>46.32</v>
      </c>
      <c r="O526" s="0" t="n">
        <v>35.33</v>
      </c>
      <c r="P526" s="0" t="n">
        <v>2.6</v>
      </c>
      <c r="Q526" s="0" t="n">
        <v>3.58</v>
      </c>
      <c r="R526" s="0" t="n">
        <v>6083</v>
      </c>
      <c r="S526" s="0" t="n">
        <v>12256</v>
      </c>
      <c r="T526" s="0" t="n">
        <v>66.2</v>
      </c>
      <c r="U526" s="0" t="n">
        <v>1436</v>
      </c>
      <c r="V526" s="0" t="n">
        <v>1</v>
      </c>
      <c r="W526" s="39" t="n">
        <f aca="false">IF(I526="Male",0,1)</f>
        <v>1</v>
      </c>
      <c r="X526" s="39" t="n">
        <f aca="false">IF(OR(I526="DNB",I526="Dry DNB"),1,0)</f>
        <v>0</v>
      </c>
      <c r="Y526" s="39" t="n">
        <f aca="false">MATCH(A526,DATAS,0)</f>
        <v>1</v>
      </c>
      <c r="Z526" s="39" t="n">
        <f aca="false">IF(AND(E526&gt;0,OR(AND(B526&gt;=1,B526&lt;=6),B526=10)),1,0)</f>
        <v>1</v>
      </c>
      <c r="AA526" s="39" t="n">
        <f aca="false">IF(AND(E526&gt;0,B526=10),1,0)</f>
        <v>0</v>
      </c>
      <c r="AB526" s="0" t="str">
        <f aca="false">IF(AND(C525=C526,Y525=Y526-1),Z525,"")</f>
        <v/>
      </c>
      <c r="AC526" s="0" t="str">
        <f aca="false">IF(AND(C525=C526,Y525=Y526-1),AA525,"")</f>
        <v/>
      </c>
      <c r="AD526" s="0" t="str">
        <f aca="false">IF(Y526=1,"",IF(AND(Z526=1,AB526&lt;&gt;1),1,0))</f>
        <v/>
      </c>
      <c r="AE526" s="0" t="str">
        <f aca="false">IF(Y526=1,"",IF(AND(AA526=1,AC526&lt;&gt;1),1,0))</f>
        <v/>
      </c>
      <c r="AF526" s="45" t="str">
        <f aca="false">IF(AND(E526&gt;0,Y526&lt;1,NOT(AND(C527=C526,Y527=Y526+1))),INDEX(DATAS,Y526+1),"")</f>
        <v/>
      </c>
      <c r="AG526" s="45" t="str">
        <f aca="false">IF(AND(AA526=1,Y526&lt;1),IF(AND(C527=C526,Y527=Y526+1),IF(AA527=1,"",INDEX(DATAS,Y526+1)),INDEX(DATAS,Y526+1)),"")</f>
        <v/>
      </c>
    </row>
    <row r="527" customFormat="false" ht="15" hidden="false" customHeight="false" outlineLevel="0" collapsed="false">
      <c r="A527" s="45" t="n">
        <v>46309</v>
      </c>
      <c r="B527" s="0" t="n">
        <v>5</v>
      </c>
      <c r="C527" s="0" t="n">
        <v>4319</v>
      </c>
      <c r="D527" s="0" t="n">
        <v>313</v>
      </c>
      <c r="E527" s="0" t="n">
        <v>2</v>
      </c>
      <c r="F527" s="39" t="s">
        <v>491</v>
      </c>
      <c r="G527" s="0" t="n">
        <v>45</v>
      </c>
      <c r="H527" s="0" t="n">
        <v>41</v>
      </c>
      <c r="I527" s="39" t="s">
        <v>109</v>
      </c>
      <c r="J527" s="0" t="n">
        <v>124</v>
      </c>
      <c r="K527" s="0" t="n">
        <v>75</v>
      </c>
      <c r="L527" s="0" t="n">
        <v>189</v>
      </c>
      <c r="M527" s="0" t="n">
        <v>114.68</v>
      </c>
      <c r="N527" s="0" t="n">
        <v>58.86</v>
      </c>
      <c r="O527" s="0" t="n">
        <v>25.92</v>
      </c>
      <c r="P527" s="0" t="n">
        <v>5.42</v>
      </c>
      <c r="Q527" s="0" t="n">
        <v>3.85</v>
      </c>
      <c r="R527" s="0" t="n">
        <v>5492</v>
      </c>
      <c r="S527" s="0" t="n">
        <v>10533</v>
      </c>
      <c r="T527" s="0" t="n">
        <v>57.75</v>
      </c>
      <c r="U527" s="0" t="n">
        <v>1436</v>
      </c>
      <c r="V527" s="0" t="n">
        <v>2</v>
      </c>
      <c r="W527" s="39" t="n">
        <f aca="false">IF(I527="Male",0,1)</f>
        <v>1</v>
      </c>
      <c r="X527" s="39" t="n">
        <f aca="false">IF(OR(I527="DNB",I527="Dry DNB"),1,0)</f>
        <v>0</v>
      </c>
      <c r="Y527" s="39" t="n">
        <f aca="false">MATCH(A527,DATAS,0)</f>
        <v>1</v>
      </c>
      <c r="Z527" s="39" t="n">
        <f aca="false">IF(AND(E527&gt;0,OR(AND(B527&gt;=1,B527&lt;=6),B527=10)),1,0)</f>
        <v>1</v>
      </c>
      <c r="AA527" s="39" t="n">
        <f aca="false">IF(AND(E527&gt;0,B527=10),1,0)</f>
        <v>0</v>
      </c>
      <c r="AB527" s="0" t="str">
        <f aca="false">IF(AND(C526=C527,Y526=Y527-1),Z526,"")</f>
        <v/>
      </c>
      <c r="AC527" s="0" t="str">
        <f aca="false">IF(AND(C526=C527,Y526=Y527-1),AA526,"")</f>
        <v/>
      </c>
      <c r="AD527" s="0" t="str">
        <f aca="false">IF(Y527=1,"",IF(AND(Z527=1,AB527&lt;&gt;1),1,0))</f>
        <v/>
      </c>
      <c r="AE527" s="0" t="str">
        <f aca="false">IF(Y527=1,"",IF(AND(AA527=1,AC527&lt;&gt;1),1,0))</f>
        <v/>
      </c>
      <c r="AF527" s="45" t="str">
        <f aca="false">IF(AND(E527&gt;0,Y527&lt;1,NOT(AND(C528=C527,Y528=Y527+1))),INDEX(DATAS,Y527+1),"")</f>
        <v/>
      </c>
      <c r="AG527" s="45" t="str">
        <f aca="false">IF(AND(AA527=1,Y527&lt;1),IF(AND(C528=C527,Y528=Y527+1),IF(AA528=1,"",INDEX(DATAS,Y527+1)),INDEX(DATAS,Y527+1)),"")</f>
        <v/>
      </c>
    </row>
    <row r="528" customFormat="false" ht="15" hidden="false" customHeight="false" outlineLevel="0" collapsed="false">
      <c r="A528" s="45" t="n">
        <v>46309</v>
      </c>
      <c r="B528" s="0" t="n">
        <v>3</v>
      </c>
      <c r="C528" s="0" t="n">
        <v>4321</v>
      </c>
      <c r="D528" s="0" t="n">
        <v>112</v>
      </c>
      <c r="E528" s="0" t="n">
        <v>3</v>
      </c>
      <c r="F528" s="39" t="s">
        <v>492</v>
      </c>
      <c r="G528" s="0" t="n">
        <v>57.3</v>
      </c>
      <c r="H528" s="0" t="n">
        <v>56</v>
      </c>
      <c r="I528" s="39" t="s">
        <v>109</v>
      </c>
      <c r="J528" s="0" t="n">
        <v>63</v>
      </c>
      <c r="K528" s="0" t="n">
        <v>63</v>
      </c>
      <c r="L528" s="0" t="n">
        <v>49</v>
      </c>
      <c r="M528" s="0" t="n">
        <v>255.19</v>
      </c>
      <c r="N528" s="0" t="n">
        <v>31.81</v>
      </c>
      <c r="O528" s="0" t="n">
        <v>25.49</v>
      </c>
      <c r="P528" s="0" t="n">
        <v>4.04</v>
      </c>
      <c r="Q528" s="0" t="n">
        <v>3.02</v>
      </c>
      <c r="R528" s="0" t="n">
        <v>4907</v>
      </c>
      <c r="S528" s="0" t="n">
        <v>10108</v>
      </c>
      <c r="U528" s="0" t="n">
        <v>1435</v>
      </c>
      <c r="V528" s="0" t="n">
        <v>1</v>
      </c>
      <c r="W528" s="39" t="n">
        <f aca="false">IF(I528="Male",0,1)</f>
        <v>1</v>
      </c>
      <c r="X528" s="39" t="n">
        <f aca="false">IF(OR(I528="DNB",I528="Dry DNB"),1,0)</f>
        <v>0</v>
      </c>
      <c r="Y528" s="39" t="n">
        <f aca="false">MATCH(A528,DATAS,0)</f>
        <v>1</v>
      </c>
      <c r="Z528" s="39" t="n">
        <f aca="false">IF(AND(E528&gt;0,OR(AND(B528&gt;=1,B528&lt;=6),B528=10)),1,0)</f>
        <v>1</v>
      </c>
      <c r="AA528" s="39" t="n">
        <f aca="false">IF(AND(E528&gt;0,B528=10),1,0)</f>
        <v>0</v>
      </c>
      <c r="AB528" s="0" t="str">
        <f aca="false">IF(AND(C527=C528,Y527=Y528-1),Z527,"")</f>
        <v/>
      </c>
      <c r="AC528" s="0" t="str">
        <f aca="false">IF(AND(C527=C528,Y527=Y528-1),AA527,"")</f>
        <v/>
      </c>
      <c r="AD528" s="0" t="str">
        <f aca="false">IF(Y528=1,"",IF(AND(Z528=1,AB528&lt;&gt;1),1,0))</f>
        <v/>
      </c>
      <c r="AE528" s="0" t="str">
        <f aca="false">IF(Y528=1,"",IF(AND(AA528=1,AC528&lt;&gt;1),1,0))</f>
        <v/>
      </c>
      <c r="AF528" s="45" t="str">
        <f aca="false">IF(AND(E528&gt;0,Y528&lt;1,NOT(AND(C529=C528,Y529=Y528+1))),INDEX(DATAS,Y528+1),"")</f>
        <v/>
      </c>
      <c r="AG528" s="45" t="str">
        <f aca="false">IF(AND(AA528=1,Y528&lt;1),IF(AND(C529=C528,Y529=Y528+1),IF(AA529=1,"",INDEX(DATAS,Y528+1)),INDEX(DATAS,Y528+1)),"")</f>
        <v/>
      </c>
    </row>
    <row r="529" customFormat="false" ht="15" hidden="false" customHeight="false" outlineLevel="0" collapsed="false">
      <c r="A529" s="45" t="n">
        <v>46309</v>
      </c>
      <c r="B529" s="0" t="n">
        <v>14</v>
      </c>
      <c r="C529" s="0" t="n">
        <v>4322</v>
      </c>
      <c r="D529" s="0" t="n">
        <v>410</v>
      </c>
      <c r="E529" s="0" t="n">
        <v>2</v>
      </c>
      <c r="F529" s="39" t="s">
        <v>493</v>
      </c>
      <c r="I529" s="39" t="s">
        <v>114</v>
      </c>
      <c r="J529" s="0" t="n">
        <v>187</v>
      </c>
      <c r="K529" s="0" t="n">
        <v>61</v>
      </c>
      <c r="L529" s="0" t="n">
        <v>259</v>
      </c>
      <c r="M529" s="0" t="n">
        <v>696.21</v>
      </c>
      <c r="N529" s="0" t="n">
        <v>38.33</v>
      </c>
      <c r="O529" s="0" t="n">
        <v>28.48</v>
      </c>
      <c r="P529" s="0" t="n">
        <v>3.11</v>
      </c>
      <c r="Q529" s="0" t="n">
        <v>3.46</v>
      </c>
      <c r="R529" s="0" t="n">
        <v>6332</v>
      </c>
      <c r="S529" s="0" t="n">
        <v>12747</v>
      </c>
      <c r="T529" s="0" t="n">
        <v>71.55</v>
      </c>
      <c r="U529" s="0" t="n">
        <v>1434</v>
      </c>
      <c r="V529" s="0" t="n">
        <v>5</v>
      </c>
      <c r="W529" s="39" t="n">
        <f aca="false">IF(I529="Male",0,1)</f>
        <v>1</v>
      </c>
      <c r="X529" s="39" t="n">
        <f aca="false">IF(OR(I529="DNB",I529="Dry DNB"),1,0)</f>
        <v>0</v>
      </c>
      <c r="Y529" s="39" t="n">
        <f aca="false">MATCH(A529,DATAS,0)</f>
        <v>1</v>
      </c>
      <c r="Z529" s="39" t="n">
        <f aca="false">IF(AND(E529&gt;0,OR(AND(B529&gt;=1,B529&lt;=6),B529=10)),1,0)</f>
        <v>0</v>
      </c>
      <c r="AA529" s="39" t="n">
        <f aca="false">IF(AND(E529&gt;0,B529=10),1,0)</f>
        <v>0</v>
      </c>
      <c r="AB529" s="0" t="str">
        <f aca="false">IF(AND(C528=C529,Y528=Y529-1),Z528,"")</f>
        <v/>
      </c>
      <c r="AC529" s="0" t="str">
        <f aca="false">IF(AND(C528=C529,Y528=Y529-1),AA528,"")</f>
        <v/>
      </c>
      <c r="AD529" s="0" t="str">
        <f aca="false">IF(Y529=1,"",IF(AND(Z529=1,AB529&lt;&gt;1),1,0))</f>
        <v/>
      </c>
      <c r="AE529" s="0" t="str">
        <f aca="false">IF(Y529=1,"",IF(AND(AA529=1,AC529&lt;&gt;1),1,0))</f>
        <v/>
      </c>
      <c r="AF529" s="45" t="str">
        <f aca="false">IF(AND(E529&gt;0,Y529&lt;1,NOT(AND(C530=C529,Y530=Y529+1))),INDEX(DATAS,Y529+1),"")</f>
        <v/>
      </c>
      <c r="AG529" s="45" t="str">
        <f aca="false">IF(AND(AA529=1,Y529&lt;1),IF(AND(C530=C529,Y530=Y529+1),IF(AA530=1,"",INDEX(DATAS,Y529+1)),INDEX(DATAS,Y529+1)),"")</f>
        <v/>
      </c>
    </row>
    <row r="530" customFormat="false" ht="15" hidden="false" customHeight="false" outlineLevel="0" collapsed="false">
      <c r="A530" s="45" t="n">
        <v>46309</v>
      </c>
      <c r="B530" s="0" t="n">
        <v>2</v>
      </c>
      <c r="C530" s="0" t="n">
        <v>4323</v>
      </c>
      <c r="D530" s="0" t="n">
        <v>33</v>
      </c>
      <c r="E530" s="0" t="n">
        <v>3</v>
      </c>
      <c r="F530" s="39" t="s">
        <v>493</v>
      </c>
      <c r="G530" s="0" t="n">
        <v>68.4</v>
      </c>
      <c r="H530" s="0" t="n">
        <v>71</v>
      </c>
      <c r="I530" s="39" t="s">
        <v>118</v>
      </c>
      <c r="J530" s="0" t="n">
        <v>33</v>
      </c>
      <c r="M530" s="0" t="n">
        <v>210.6</v>
      </c>
      <c r="N530" s="0" t="n">
        <v>40.23</v>
      </c>
      <c r="O530" s="0" t="n">
        <v>15.53</v>
      </c>
      <c r="P530" s="0" t="n">
        <v>4.72</v>
      </c>
      <c r="Q530" s="0" t="n">
        <v>4.11</v>
      </c>
      <c r="R530" s="0" t="n">
        <v>5614</v>
      </c>
      <c r="S530" s="0" t="n">
        <v>11286</v>
      </c>
      <c r="U530" s="0" t="n">
        <v>1434</v>
      </c>
      <c r="V530" s="0" t="n">
        <v>0</v>
      </c>
      <c r="W530" s="39" t="n">
        <f aca="false">IF(I530="Male",0,1)</f>
        <v>1</v>
      </c>
      <c r="X530" s="39" t="n">
        <f aca="false">IF(OR(I530="DNB",I530="Dry DNB"),1,0)</f>
        <v>0</v>
      </c>
      <c r="Y530" s="39" t="n">
        <f aca="false">MATCH(A530,DATAS,0)</f>
        <v>1</v>
      </c>
      <c r="Z530" s="39" t="n">
        <f aca="false">IF(AND(E530&gt;0,OR(AND(B530&gt;=1,B530&lt;=6),B530=10)),1,0)</f>
        <v>1</v>
      </c>
      <c r="AA530" s="39" t="n">
        <f aca="false">IF(AND(E530&gt;0,B530=10),1,0)</f>
        <v>0</v>
      </c>
      <c r="AB530" s="0" t="str">
        <f aca="false">IF(AND(C529=C530,Y529=Y530-1),Z529,"")</f>
        <v/>
      </c>
      <c r="AC530" s="0" t="str">
        <f aca="false">IF(AND(C529=C530,Y529=Y530-1),AA529,"")</f>
        <v/>
      </c>
      <c r="AD530" s="0" t="str">
        <f aca="false">IF(Y530=1,"",IF(AND(Z530=1,AB530&lt;&gt;1),1,0))</f>
        <v/>
      </c>
      <c r="AE530" s="0" t="str">
        <f aca="false">IF(Y530=1,"",IF(AND(AA530=1,AC530&lt;&gt;1),1,0))</f>
        <v/>
      </c>
      <c r="AF530" s="45" t="str">
        <f aca="false">IF(AND(E530&gt;0,Y530&lt;1,NOT(AND(C531=C530,Y531=Y530+1))),INDEX(DATAS,Y530+1),"")</f>
        <v/>
      </c>
      <c r="AG530" s="45" t="str">
        <f aca="false">IF(AND(AA530=1,Y530&lt;1),IF(AND(C531=C530,Y531=Y530+1),IF(AA531=1,"",INDEX(DATAS,Y530+1)),INDEX(DATAS,Y530+1)),"")</f>
        <v/>
      </c>
    </row>
    <row r="531" customFormat="false" ht="15" hidden="false" customHeight="false" outlineLevel="0" collapsed="false">
      <c r="A531" s="45" t="n">
        <v>46309</v>
      </c>
      <c r="B531" s="0" t="n">
        <v>14</v>
      </c>
      <c r="C531" s="0" t="n">
        <v>4324</v>
      </c>
      <c r="D531" s="0" t="n">
        <v>354</v>
      </c>
      <c r="E531" s="0" t="n">
        <v>2</v>
      </c>
      <c r="F531" s="39" t="s">
        <v>493</v>
      </c>
      <c r="I531" s="39" t="s">
        <v>114</v>
      </c>
      <c r="J531" s="0" t="n">
        <v>131</v>
      </c>
      <c r="K531" s="0" t="n">
        <v>82</v>
      </c>
      <c r="L531" s="0" t="n">
        <v>259</v>
      </c>
      <c r="M531" s="0" t="n">
        <v>449.08</v>
      </c>
      <c r="N531" s="0" t="n">
        <v>45.76</v>
      </c>
      <c r="O531" s="0" t="n">
        <v>16.18</v>
      </c>
      <c r="P531" s="0" t="n">
        <v>4.12</v>
      </c>
      <c r="Q531" s="0" t="n">
        <v>3.47</v>
      </c>
      <c r="R531" s="0" t="n">
        <v>5809</v>
      </c>
      <c r="S531" s="0" t="n">
        <v>11513</v>
      </c>
      <c r="T531" s="0" t="n">
        <v>64.5</v>
      </c>
      <c r="U531" s="0" t="n">
        <v>1434</v>
      </c>
      <c r="V531" s="0" t="n">
        <v>2</v>
      </c>
      <c r="W531" s="39" t="n">
        <f aca="false">IF(I531="Male",0,1)</f>
        <v>1</v>
      </c>
      <c r="X531" s="39" t="n">
        <f aca="false">IF(OR(I531="DNB",I531="Dry DNB"),1,0)</f>
        <v>0</v>
      </c>
      <c r="Y531" s="39" t="n">
        <f aca="false">MATCH(A531,DATAS,0)</f>
        <v>1</v>
      </c>
      <c r="Z531" s="39" t="n">
        <f aca="false">IF(AND(E531&gt;0,OR(AND(B531&gt;=1,B531&lt;=6),B531=10)),1,0)</f>
        <v>0</v>
      </c>
      <c r="AA531" s="39" t="n">
        <f aca="false">IF(AND(E531&gt;0,B531=10),1,0)</f>
        <v>0</v>
      </c>
      <c r="AB531" s="0" t="str">
        <f aca="false">IF(AND(C530=C531,Y530=Y531-1),Z530,"")</f>
        <v/>
      </c>
      <c r="AC531" s="0" t="str">
        <f aca="false">IF(AND(C530=C531,Y530=Y531-1),AA530,"")</f>
        <v/>
      </c>
      <c r="AD531" s="0" t="str">
        <f aca="false">IF(Y531=1,"",IF(AND(Z531=1,AB531&lt;&gt;1),1,0))</f>
        <v/>
      </c>
      <c r="AE531" s="0" t="str">
        <f aca="false">IF(Y531=1,"",IF(AND(AA531=1,AC531&lt;&gt;1),1,0))</f>
        <v/>
      </c>
      <c r="AF531" s="45" t="str">
        <f aca="false">IF(AND(E531&gt;0,Y531&lt;1,NOT(AND(C532=C531,Y532=Y531+1))),INDEX(DATAS,Y531+1),"")</f>
        <v/>
      </c>
      <c r="AG531" s="45" t="str">
        <f aca="false">IF(AND(AA531=1,Y531&lt;1),IF(AND(C532=C531,Y532=Y531+1),IF(AA532=1,"",INDEX(DATAS,Y531+1)),INDEX(DATAS,Y531+1)),"")</f>
        <v/>
      </c>
    </row>
    <row r="532" customFormat="false" ht="15" hidden="false" customHeight="false" outlineLevel="0" collapsed="false">
      <c r="A532" s="45" t="n">
        <v>46309</v>
      </c>
      <c r="B532" s="0" t="n">
        <v>2</v>
      </c>
      <c r="C532" s="0" t="n">
        <v>4325</v>
      </c>
      <c r="D532" s="0" t="n">
        <v>282</v>
      </c>
      <c r="E532" s="0" t="n">
        <v>2</v>
      </c>
      <c r="F532" s="39" t="s">
        <v>493</v>
      </c>
      <c r="G532" s="0" t="n">
        <v>54.2</v>
      </c>
      <c r="H532" s="0" t="n">
        <v>51</v>
      </c>
      <c r="I532" s="39" t="s">
        <v>109</v>
      </c>
      <c r="J532" s="0" t="n">
        <v>191</v>
      </c>
      <c r="K532" s="0" t="n">
        <v>65</v>
      </c>
      <c r="L532" s="0" t="n">
        <v>91</v>
      </c>
      <c r="M532" s="0" t="n">
        <v>284.07</v>
      </c>
      <c r="N532" s="0" t="n">
        <v>57.11</v>
      </c>
      <c r="O532" s="0" t="n">
        <v>32.59</v>
      </c>
      <c r="P532" s="0" t="n">
        <v>3.68</v>
      </c>
      <c r="Q532" s="0" t="n">
        <v>3.68</v>
      </c>
      <c r="R532" s="0" t="n">
        <v>6211</v>
      </c>
      <c r="S532" s="0" t="n">
        <v>11751</v>
      </c>
      <c r="T532" s="0" t="n">
        <v>65.2</v>
      </c>
      <c r="U532" s="0" t="n">
        <v>1434</v>
      </c>
      <c r="V532" s="0" t="n">
        <v>4</v>
      </c>
      <c r="W532" s="39" t="n">
        <f aca="false">IF(I532="Male",0,1)</f>
        <v>1</v>
      </c>
      <c r="X532" s="39" t="n">
        <f aca="false">IF(OR(I532="DNB",I532="Dry DNB"),1,0)</f>
        <v>0</v>
      </c>
      <c r="Y532" s="39" t="n">
        <f aca="false">MATCH(A532,DATAS,0)</f>
        <v>1</v>
      </c>
      <c r="Z532" s="39" t="n">
        <f aca="false">IF(AND(E532&gt;0,OR(AND(B532&gt;=1,B532&lt;=6),B532=10)),1,0)</f>
        <v>1</v>
      </c>
      <c r="AA532" s="39" t="n">
        <f aca="false">IF(AND(E532&gt;0,B532=10),1,0)</f>
        <v>0</v>
      </c>
      <c r="AB532" s="0" t="str">
        <f aca="false">IF(AND(C531=C532,Y531=Y532-1),Z531,"")</f>
        <v/>
      </c>
      <c r="AC532" s="0" t="str">
        <f aca="false">IF(AND(C531=C532,Y531=Y532-1),AA531,"")</f>
        <v/>
      </c>
      <c r="AD532" s="0" t="str">
        <f aca="false">IF(Y532=1,"",IF(AND(Z532=1,AB532&lt;&gt;1),1,0))</f>
        <v/>
      </c>
      <c r="AE532" s="0" t="str">
        <f aca="false">IF(Y532=1,"",IF(AND(AA532=1,AC532&lt;&gt;1),1,0))</f>
        <v/>
      </c>
      <c r="AF532" s="45" t="str">
        <f aca="false">IF(AND(E532&gt;0,Y532&lt;1,NOT(AND(C533=C532,Y533=Y532+1))),INDEX(DATAS,Y532+1),"")</f>
        <v/>
      </c>
      <c r="AG532" s="45" t="str">
        <f aca="false">IF(AND(AA532=1,Y532&lt;1),IF(AND(C533=C532,Y533=Y532+1),IF(AA533=1,"",INDEX(DATAS,Y532+1)),INDEX(DATAS,Y532+1)),"")</f>
        <v/>
      </c>
    </row>
    <row r="533" customFormat="false" ht="15" hidden="false" customHeight="false" outlineLevel="0" collapsed="false">
      <c r="A533" s="45" t="n">
        <v>46309</v>
      </c>
      <c r="B533" s="0" t="n">
        <v>6</v>
      </c>
      <c r="C533" s="0" t="n">
        <v>4326</v>
      </c>
      <c r="D533" s="0" t="n">
        <v>440</v>
      </c>
      <c r="E533" s="0" t="n">
        <v>2</v>
      </c>
      <c r="F533" s="39" t="s">
        <v>493</v>
      </c>
      <c r="H533" s="0" t="n">
        <v>21</v>
      </c>
      <c r="I533" s="39" t="s">
        <v>109</v>
      </c>
      <c r="J533" s="0" t="n">
        <v>240</v>
      </c>
      <c r="K533" s="0" t="n">
        <v>154</v>
      </c>
      <c r="L533" s="0" t="n">
        <v>200</v>
      </c>
      <c r="M533" s="0" t="n">
        <v>303.22</v>
      </c>
      <c r="N533" s="0" t="n">
        <v>34.51</v>
      </c>
      <c r="O533" s="0" t="n">
        <v>25.84</v>
      </c>
      <c r="P533" s="0" t="n">
        <v>5.4</v>
      </c>
      <c r="Q533" s="0" t="n">
        <v>4.64</v>
      </c>
      <c r="R533" s="0" t="n">
        <v>3940</v>
      </c>
      <c r="S533" s="0" t="n">
        <v>8099</v>
      </c>
      <c r="T533" s="0" t="n">
        <v>47.2</v>
      </c>
      <c r="U533" s="0" t="n">
        <v>1434</v>
      </c>
      <c r="V533" s="0" t="n">
        <v>5</v>
      </c>
      <c r="W533" s="39" t="n">
        <f aca="false">IF(I533="Male",0,1)</f>
        <v>1</v>
      </c>
      <c r="X533" s="39" t="n">
        <f aca="false">IF(OR(I533="DNB",I533="Dry DNB"),1,0)</f>
        <v>0</v>
      </c>
      <c r="Y533" s="39" t="n">
        <f aca="false">MATCH(A533,DATAS,0)</f>
        <v>1</v>
      </c>
      <c r="Z533" s="39" t="n">
        <f aca="false">IF(AND(E533&gt;0,OR(AND(B533&gt;=1,B533&lt;=6),B533=10)),1,0)</f>
        <v>1</v>
      </c>
      <c r="AA533" s="39" t="n">
        <f aca="false">IF(AND(E533&gt;0,B533=10),1,0)</f>
        <v>0</v>
      </c>
      <c r="AB533" s="0" t="str">
        <f aca="false">IF(AND(C532=C533,Y532=Y533-1),Z532,"")</f>
        <v/>
      </c>
      <c r="AC533" s="0" t="str">
        <f aca="false">IF(AND(C532=C533,Y532=Y533-1),AA532,"")</f>
        <v/>
      </c>
      <c r="AD533" s="0" t="str">
        <f aca="false">IF(Y533=1,"",IF(AND(Z533=1,AB533&lt;&gt;1),1,0))</f>
        <v/>
      </c>
      <c r="AE533" s="0" t="str">
        <f aca="false">IF(Y533=1,"",IF(AND(AA533=1,AC533&lt;&gt;1),1,0))</f>
        <v/>
      </c>
      <c r="AF533" s="45" t="str">
        <f aca="false">IF(AND(E533&gt;0,Y533&lt;1,NOT(AND(C534=C533,Y534=Y533+1))),INDEX(DATAS,Y533+1),"")</f>
        <v/>
      </c>
      <c r="AG533" s="45" t="str">
        <f aca="false">IF(AND(AA533=1,Y533&lt;1),IF(AND(C534=C533,Y534=Y533+1),IF(AA534=1,"",INDEX(DATAS,Y533+1)),INDEX(DATAS,Y533+1)),"")</f>
        <v/>
      </c>
    </row>
    <row r="534" customFormat="false" ht="15" hidden="false" customHeight="false" outlineLevel="0" collapsed="false">
      <c r="A534" s="45" t="n">
        <v>46309</v>
      </c>
      <c r="B534" s="0" t="n">
        <v>2</v>
      </c>
      <c r="C534" s="0" t="n">
        <v>4327</v>
      </c>
      <c r="D534" s="0" t="n">
        <v>106</v>
      </c>
      <c r="E534" s="0" t="n">
        <v>3</v>
      </c>
      <c r="F534" s="39" t="s">
        <v>494</v>
      </c>
      <c r="G534" s="0" t="n">
        <v>55.4</v>
      </c>
      <c r="H534" s="0" t="n">
        <v>55</v>
      </c>
      <c r="I534" s="39" t="s">
        <v>109</v>
      </c>
      <c r="J534" s="0" t="n">
        <v>64</v>
      </c>
      <c r="K534" s="0" t="n">
        <v>64</v>
      </c>
      <c r="L534" s="0" t="n">
        <v>42</v>
      </c>
      <c r="M534" s="0" t="n">
        <v>690.49</v>
      </c>
      <c r="N534" s="0" t="n">
        <v>45.81</v>
      </c>
      <c r="O534" s="0" t="n">
        <v>26.18</v>
      </c>
      <c r="P534" s="0" t="n">
        <v>3.01</v>
      </c>
      <c r="Q534" s="0" t="n">
        <v>2.94</v>
      </c>
      <c r="R534" s="0" t="n">
        <v>5131</v>
      </c>
      <c r="S534" s="0" t="n">
        <v>10363</v>
      </c>
      <c r="T534" s="0" t="n">
        <v>57</v>
      </c>
      <c r="U534" s="0" t="n">
        <v>1433</v>
      </c>
      <c r="V534" s="0" t="n">
        <v>1</v>
      </c>
      <c r="W534" s="39" t="n">
        <f aca="false">IF(I534="Male",0,1)</f>
        <v>1</v>
      </c>
      <c r="X534" s="39" t="n">
        <f aca="false">IF(OR(I534="DNB",I534="Dry DNB"),1,0)</f>
        <v>0</v>
      </c>
      <c r="Y534" s="39" t="n">
        <f aca="false">MATCH(A534,DATAS,0)</f>
        <v>1</v>
      </c>
      <c r="Z534" s="39" t="n">
        <f aca="false">IF(AND(E534&gt;0,OR(AND(B534&gt;=1,B534&lt;=6),B534=10)),1,0)</f>
        <v>1</v>
      </c>
      <c r="AA534" s="39" t="n">
        <f aca="false">IF(AND(E534&gt;0,B534=10),1,0)</f>
        <v>0</v>
      </c>
      <c r="AB534" s="0" t="str">
        <f aca="false">IF(AND(C533=C534,Y533=Y534-1),Z533,"")</f>
        <v/>
      </c>
      <c r="AC534" s="0" t="str">
        <f aca="false">IF(AND(C533=C534,Y533=Y534-1),AA533,"")</f>
        <v/>
      </c>
      <c r="AD534" s="0" t="str">
        <f aca="false">IF(Y534=1,"",IF(AND(Z534=1,AB534&lt;&gt;1),1,0))</f>
        <v/>
      </c>
      <c r="AE534" s="0" t="str">
        <f aca="false">IF(Y534=1,"",IF(AND(AA534=1,AC534&lt;&gt;1),1,0))</f>
        <v/>
      </c>
      <c r="AF534" s="45" t="str">
        <f aca="false">IF(AND(E534&gt;0,Y534&lt;1,NOT(AND(C535=C534,Y535=Y534+1))),INDEX(DATAS,Y534+1),"")</f>
        <v/>
      </c>
      <c r="AG534" s="45" t="str">
        <f aca="false">IF(AND(AA534=1,Y534&lt;1),IF(AND(C535=C534,Y535=Y534+1),IF(AA535=1,"",INDEX(DATAS,Y534+1)),INDEX(DATAS,Y534+1)),"")</f>
        <v/>
      </c>
    </row>
    <row r="535" customFormat="false" ht="15" hidden="false" customHeight="false" outlineLevel="0" collapsed="false">
      <c r="A535" s="45" t="n">
        <v>46309</v>
      </c>
      <c r="B535" s="0" t="n">
        <v>5</v>
      </c>
      <c r="C535" s="0" t="n">
        <v>4328</v>
      </c>
      <c r="D535" s="0" t="n">
        <v>221</v>
      </c>
      <c r="E535" s="0" t="n">
        <v>2</v>
      </c>
      <c r="F535" s="39" t="s">
        <v>494</v>
      </c>
      <c r="G535" s="0" t="n">
        <v>42.4</v>
      </c>
      <c r="H535" s="0" t="n">
        <v>38</v>
      </c>
      <c r="I535" s="39" t="s">
        <v>138</v>
      </c>
      <c r="J535" s="0" t="n">
        <v>221</v>
      </c>
      <c r="K535" s="0" t="n">
        <v>67</v>
      </c>
      <c r="M535" s="0" t="n">
        <v>727.59</v>
      </c>
      <c r="N535" s="0" t="n">
        <v>26.53</v>
      </c>
      <c r="O535" s="0" t="n">
        <v>19.72</v>
      </c>
      <c r="P535" s="0" t="n">
        <v>4.27</v>
      </c>
      <c r="Q535" s="0" t="n">
        <v>3.69</v>
      </c>
      <c r="R535" s="0" t="n">
        <v>4127</v>
      </c>
      <c r="S535" s="0" t="n">
        <v>8776</v>
      </c>
      <c r="T535" s="0" t="n">
        <v>43.25</v>
      </c>
      <c r="U535" s="0" t="n">
        <v>1433</v>
      </c>
      <c r="V535" s="0" t="n">
        <v>6</v>
      </c>
      <c r="W535" s="39" t="n">
        <f aca="false">IF(I535="Male",0,1)</f>
        <v>1</v>
      </c>
      <c r="X535" s="39" t="n">
        <f aca="false">IF(OR(I535="DNB",I535="Dry DNB"),1,0)</f>
        <v>0</v>
      </c>
      <c r="Y535" s="39" t="n">
        <f aca="false">MATCH(A535,DATAS,0)</f>
        <v>1</v>
      </c>
      <c r="Z535" s="39" t="n">
        <f aca="false">IF(AND(E535&gt;0,OR(AND(B535&gt;=1,B535&lt;=6),B535=10)),1,0)</f>
        <v>1</v>
      </c>
      <c r="AA535" s="39" t="n">
        <f aca="false">IF(AND(E535&gt;0,B535=10),1,0)</f>
        <v>0</v>
      </c>
      <c r="AB535" s="0" t="str">
        <f aca="false">IF(AND(C534=C535,Y534=Y535-1),Z534,"")</f>
        <v/>
      </c>
      <c r="AC535" s="0" t="str">
        <f aca="false">IF(AND(C534=C535,Y534=Y535-1),AA534,"")</f>
        <v/>
      </c>
      <c r="AD535" s="0" t="str">
        <f aca="false">IF(Y535=1,"",IF(AND(Z535=1,AB535&lt;&gt;1),1,0))</f>
        <v/>
      </c>
      <c r="AE535" s="0" t="str">
        <f aca="false">IF(Y535=1,"",IF(AND(AA535=1,AC535&lt;&gt;1),1,0))</f>
        <v/>
      </c>
      <c r="AF535" s="45" t="str">
        <f aca="false">IF(AND(E535&gt;0,Y535&lt;1,NOT(AND(C536=C535,Y536=Y535+1))),INDEX(DATAS,Y535+1),"")</f>
        <v/>
      </c>
      <c r="AG535" s="45" t="str">
        <f aca="false">IF(AND(AA535=1,Y535&lt;1),IF(AND(C536=C535,Y536=Y535+1),IF(AA536=1,"",INDEX(DATAS,Y535+1)),INDEX(DATAS,Y535+1)),"")</f>
        <v/>
      </c>
    </row>
    <row r="536" customFormat="false" ht="15" hidden="false" customHeight="false" outlineLevel="0" collapsed="false">
      <c r="A536" s="45" t="n">
        <v>46309</v>
      </c>
      <c r="B536" s="0" t="n">
        <v>5</v>
      </c>
      <c r="C536" s="0" t="n">
        <v>4329</v>
      </c>
      <c r="D536" s="0" t="n">
        <v>278</v>
      </c>
      <c r="E536" s="0" t="n">
        <v>2</v>
      </c>
      <c r="F536" s="39" t="s">
        <v>495</v>
      </c>
      <c r="G536" s="0" t="n">
        <v>19.7</v>
      </c>
      <c r="H536" s="0" t="n">
        <v>26</v>
      </c>
      <c r="I536" s="39" t="s">
        <v>109</v>
      </c>
      <c r="J536" s="0" t="n">
        <v>68</v>
      </c>
      <c r="K536" s="0" t="n">
        <v>68</v>
      </c>
      <c r="L536" s="0" t="n">
        <v>210</v>
      </c>
      <c r="M536" s="0" t="n">
        <v>897.56</v>
      </c>
      <c r="N536" s="0" t="n">
        <v>21.76</v>
      </c>
      <c r="O536" s="0" t="n">
        <v>21.43</v>
      </c>
      <c r="P536" s="0" t="n">
        <v>4.62</v>
      </c>
      <c r="Q536" s="0" t="n">
        <v>3.62</v>
      </c>
      <c r="R536" s="0" t="n">
        <v>5401</v>
      </c>
      <c r="S536" s="0" t="n">
        <v>10781</v>
      </c>
      <c r="T536" s="0" t="n">
        <v>59.35</v>
      </c>
      <c r="U536" s="0" t="n">
        <v>1432</v>
      </c>
      <c r="V536" s="0" t="n">
        <v>1</v>
      </c>
      <c r="W536" s="39" t="n">
        <f aca="false">IF(I536="Male",0,1)</f>
        <v>1</v>
      </c>
      <c r="X536" s="39" t="n">
        <f aca="false">IF(OR(I536="DNB",I536="Dry DNB"),1,0)</f>
        <v>0</v>
      </c>
      <c r="Y536" s="39" t="n">
        <f aca="false">MATCH(A536,DATAS,0)</f>
        <v>1</v>
      </c>
      <c r="Z536" s="39" t="n">
        <f aca="false">IF(AND(E536&gt;0,OR(AND(B536&gt;=1,B536&lt;=6),B536=10)),1,0)</f>
        <v>1</v>
      </c>
      <c r="AA536" s="39" t="n">
        <f aca="false">IF(AND(E536&gt;0,B536=10),1,0)</f>
        <v>0</v>
      </c>
      <c r="AB536" s="0" t="str">
        <f aca="false">IF(AND(C535=C536,Y535=Y536-1),Z535,"")</f>
        <v/>
      </c>
      <c r="AC536" s="0" t="str">
        <f aca="false">IF(AND(C535=C536,Y535=Y536-1),AA535,"")</f>
        <v/>
      </c>
      <c r="AD536" s="0" t="str">
        <f aca="false">IF(Y536=1,"",IF(AND(Z536=1,AB536&lt;&gt;1),1,0))</f>
        <v/>
      </c>
      <c r="AE536" s="0" t="str">
        <f aca="false">IF(Y536=1,"",IF(AND(AA536=1,AC536&lt;&gt;1),1,0))</f>
        <v/>
      </c>
      <c r="AF536" s="45" t="str">
        <f aca="false">IF(AND(E536&gt;0,Y536&lt;1,NOT(AND(C537=C536,Y537=Y536+1))),INDEX(DATAS,Y536+1),"")</f>
        <v/>
      </c>
      <c r="AG536" s="45" t="str">
        <f aca="false">IF(AND(AA536=1,Y536&lt;1),IF(AND(C537=C536,Y537=Y536+1),IF(AA537=1,"",INDEX(DATAS,Y536+1)),INDEX(DATAS,Y536+1)),"")</f>
        <v/>
      </c>
    </row>
    <row r="537" customFormat="false" ht="15" hidden="false" customHeight="false" outlineLevel="0" collapsed="false">
      <c r="A537" s="45" t="n">
        <v>46309</v>
      </c>
      <c r="B537" s="0" t="n">
        <v>3</v>
      </c>
      <c r="C537" s="0" t="n">
        <v>4330</v>
      </c>
      <c r="D537" s="0" t="n">
        <v>9</v>
      </c>
      <c r="E537" s="0" t="n">
        <v>3</v>
      </c>
      <c r="F537" s="39" t="s">
        <v>495</v>
      </c>
      <c r="G537" s="0" t="n">
        <v>41.5</v>
      </c>
      <c r="H537" s="0" t="n">
        <v>31</v>
      </c>
      <c r="I537" s="39" t="s">
        <v>118</v>
      </c>
      <c r="J537" s="0" t="n">
        <v>9</v>
      </c>
      <c r="M537" s="0" t="n">
        <v>348.48</v>
      </c>
      <c r="N537" s="0" t="n">
        <v>27.09</v>
      </c>
      <c r="O537" s="0" t="n">
        <v>20.47</v>
      </c>
      <c r="R537" s="0" t="n">
        <v>2339</v>
      </c>
      <c r="S537" s="0" t="n">
        <v>4703</v>
      </c>
      <c r="U537" s="0" t="n">
        <v>1432</v>
      </c>
      <c r="V537" s="0" t="n">
        <v>0</v>
      </c>
      <c r="W537" s="39" t="n">
        <f aca="false">IF(I537="Male",0,1)</f>
        <v>1</v>
      </c>
      <c r="X537" s="39" t="n">
        <f aca="false">IF(OR(I537="DNB",I537="Dry DNB"),1,0)</f>
        <v>0</v>
      </c>
      <c r="Y537" s="39" t="n">
        <f aca="false">MATCH(A537,DATAS,0)</f>
        <v>1</v>
      </c>
      <c r="Z537" s="39" t="n">
        <f aca="false">IF(AND(E537&gt;0,OR(AND(B537&gt;=1,B537&lt;=6),B537=10)),1,0)</f>
        <v>1</v>
      </c>
      <c r="AA537" s="39" t="n">
        <f aca="false">IF(AND(E537&gt;0,B537=10),1,0)</f>
        <v>0</v>
      </c>
      <c r="AB537" s="0" t="str">
        <f aca="false">IF(AND(C536=C537,Y536=Y537-1),Z536,"")</f>
        <v/>
      </c>
      <c r="AC537" s="0" t="str">
        <f aca="false">IF(AND(C536=C537,Y536=Y537-1),AA536,"")</f>
        <v/>
      </c>
      <c r="AD537" s="0" t="str">
        <f aca="false">IF(Y537=1,"",IF(AND(Z537=1,AB537&lt;&gt;1),1,0))</f>
        <v/>
      </c>
      <c r="AE537" s="0" t="str">
        <f aca="false">IF(Y537=1,"",IF(AND(AA537=1,AC537&lt;&gt;1),1,0))</f>
        <v/>
      </c>
      <c r="AF537" s="45" t="str">
        <f aca="false">IF(AND(E537&gt;0,Y537&lt;1,NOT(AND(C538=C537,Y538=Y537+1))),INDEX(DATAS,Y537+1),"")</f>
        <v/>
      </c>
      <c r="AG537" s="45" t="str">
        <f aca="false">IF(AND(AA537=1,Y537&lt;1),IF(AND(C538=C537,Y538=Y537+1),IF(AA538=1,"",INDEX(DATAS,Y537+1)),INDEX(DATAS,Y537+1)),"")</f>
        <v/>
      </c>
    </row>
    <row r="538" customFormat="false" ht="15" hidden="false" customHeight="false" outlineLevel="0" collapsed="false">
      <c r="A538" s="45" t="n">
        <v>46309</v>
      </c>
      <c r="B538" s="0" t="n">
        <v>3</v>
      </c>
      <c r="C538" s="0" t="n">
        <v>4332</v>
      </c>
      <c r="D538" s="0" t="n">
        <v>2</v>
      </c>
      <c r="E538" s="0" t="n">
        <v>3</v>
      </c>
      <c r="F538" s="39" t="s">
        <v>496</v>
      </c>
      <c r="G538" s="0" t="n">
        <v>35.9</v>
      </c>
      <c r="H538" s="0" t="n">
        <v>26</v>
      </c>
      <c r="I538" s="39" t="s">
        <v>118</v>
      </c>
      <c r="J538" s="0" t="n">
        <v>2</v>
      </c>
      <c r="M538" s="0" t="n">
        <v>259.1</v>
      </c>
      <c r="N538" s="0" t="n">
        <v>30.34</v>
      </c>
      <c r="O538" s="0" t="n">
        <v>15.59</v>
      </c>
      <c r="R538" s="0" t="n">
        <v>2923</v>
      </c>
      <c r="S538" s="0" t="n">
        <v>5877</v>
      </c>
      <c r="U538" s="0" t="n">
        <v>1431</v>
      </c>
      <c r="V538" s="0" t="n">
        <v>0</v>
      </c>
      <c r="W538" s="39" t="n">
        <f aca="false">IF(I538="Male",0,1)</f>
        <v>1</v>
      </c>
      <c r="X538" s="39" t="n">
        <f aca="false">IF(OR(I538="DNB",I538="Dry DNB"),1,0)</f>
        <v>0</v>
      </c>
      <c r="Y538" s="39" t="n">
        <f aca="false">MATCH(A538,DATAS,0)</f>
        <v>1</v>
      </c>
      <c r="Z538" s="39" t="n">
        <f aca="false">IF(AND(E538&gt;0,OR(AND(B538&gt;=1,B538&lt;=6),B538=10)),1,0)</f>
        <v>1</v>
      </c>
      <c r="AA538" s="39" t="n">
        <f aca="false">IF(AND(E538&gt;0,B538=10),1,0)</f>
        <v>0</v>
      </c>
      <c r="AB538" s="0" t="str">
        <f aca="false">IF(AND(C537=C538,Y537=Y538-1),Z537,"")</f>
        <v/>
      </c>
      <c r="AC538" s="0" t="str">
        <f aca="false">IF(AND(C537=C538,Y537=Y538-1),AA537,"")</f>
        <v/>
      </c>
      <c r="AD538" s="0" t="str">
        <f aca="false">IF(Y538=1,"",IF(AND(Z538=1,AB538&lt;&gt;1),1,0))</f>
        <v/>
      </c>
      <c r="AE538" s="0" t="str">
        <f aca="false">IF(Y538=1,"",IF(AND(AA538=1,AC538&lt;&gt;1),1,0))</f>
        <v/>
      </c>
      <c r="AF538" s="45" t="str">
        <f aca="false">IF(AND(E538&gt;0,Y538&lt;1,NOT(AND(C539=C538,Y539=Y538+1))),INDEX(DATAS,Y538+1),"")</f>
        <v/>
      </c>
      <c r="AG538" s="45" t="str">
        <f aca="false">IF(AND(AA538=1,Y538&lt;1),IF(AND(C539=C538,Y539=Y538+1),IF(AA539=1,"",INDEX(DATAS,Y538+1)),INDEX(DATAS,Y538+1)),"")</f>
        <v/>
      </c>
    </row>
    <row r="539" customFormat="false" ht="15" hidden="false" customHeight="false" outlineLevel="0" collapsed="false">
      <c r="A539" s="45" t="n">
        <v>46309</v>
      </c>
      <c r="B539" s="0" t="n">
        <v>6</v>
      </c>
      <c r="C539" s="0" t="n">
        <v>4333</v>
      </c>
      <c r="D539" s="0" t="n">
        <v>46</v>
      </c>
      <c r="E539" s="0" t="n">
        <v>2</v>
      </c>
      <c r="F539" s="39" t="s">
        <v>496</v>
      </c>
      <c r="I539" s="39" t="s">
        <v>118</v>
      </c>
      <c r="J539" s="0" t="n">
        <v>46</v>
      </c>
      <c r="M539" s="0" t="n">
        <v>293.22</v>
      </c>
      <c r="N539" s="0" t="n">
        <v>72.59</v>
      </c>
      <c r="O539" s="0" t="n">
        <v>26.09</v>
      </c>
      <c r="P539" s="0" t="n">
        <v>5.63</v>
      </c>
      <c r="Q539" s="0" t="n">
        <v>3.28</v>
      </c>
      <c r="R539" s="0" t="n">
        <v>3854</v>
      </c>
      <c r="S539" s="0" t="n">
        <v>7748</v>
      </c>
      <c r="U539" s="0" t="n">
        <v>1431</v>
      </c>
      <c r="V539" s="0" t="n">
        <v>0</v>
      </c>
      <c r="W539" s="39" t="n">
        <f aca="false">IF(I539="Male",0,1)</f>
        <v>1</v>
      </c>
      <c r="X539" s="39" t="n">
        <f aca="false">IF(OR(I539="DNB",I539="Dry DNB"),1,0)</f>
        <v>0</v>
      </c>
      <c r="Y539" s="39" t="n">
        <f aca="false">MATCH(A539,DATAS,0)</f>
        <v>1</v>
      </c>
      <c r="Z539" s="39" t="n">
        <f aca="false">IF(AND(E539&gt;0,OR(AND(B539&gt;=1,B539&lt;=6),B539=10)),1,0)</f>
        <v>1</v>
      </c>
      <c r="AA539" s="39" t="n">
        <f aca="false">IF(AND(E539&gt;0,B539=10),1,0)</f>
        <v>0</v>
      </c>
      <c r="AB539" s="0" t="str">
        <f aca="false">IF(AND(C538=C539,Y538=Y539-1),Z538,"")</f>
        <v/>
      </c>
      <c r="AC539" s="0" t="str">
        <f aca="false">IF(AND(C538=C539,Y538=Y539-1),AA538,"")</f>
        <v/>
      </c>
      <c r="AD539" s="0" t="str">
        <f aca="false">IF(Y539=1,"",IF(AND(Z539=1,AB539&lt;&gt;1),1,0))</f>
        <v/>
      </c>
      <c r="AE539" s="0" t="str">
        <f aca="false">IF(Y539=1,"",IF(AND(AA539=1,AC539&lt;&gt;1),1,0))</f>
        <v/>
      </c>
      <c r="AF539" s="45" t="str">
        <f aca="false">IF(AND(E539&gt;0,Y539&lt;1,NOT(AND(C540=C539,Y540=Y539+1))),INDEX(DATAS,Y539+1),"")</f>
        <v/>
      </c>
      <c r="AG539" s="45" t="str">
        <f aca="false">IF(AND(AA539=1,Y539&lt;1),IF(AND(C540=C539,Y540=Y539+1),IF(AA540=1,"",INDEX(DATAS,Y539+1)),INDEX(DATAS,Y539+1)),"")</f>
        <v/>
      </c>
    </row>
    <row r="540" customFormat="false" ht="15" hidden="false" customHeight="false" outlineLevel="0" collapsed="false">
      <c r="A540" s="45" t="n">
        <v>46309</v>
      </c>
      <c r="B540" s="0" t="n">
        <v>6</v>
      </c>
      <c r="C540" s="0" t="n">
        <v>4335</v>
      </c>
      <c r="D540" s="0" t="n">
        <v>628</v>
      </c>
      <c r="E540" s="0" t="n">
        <v>1</v>
      </c>
      <c r="F540" s="39" t="s">
        <v>497</v>
      </c>
      <c r="H540" s="0" t="n">
        <v>16</v>
      </c>
      <c r="I540" s="39" t="s">
        <v>96</v>
      </c>
      <c r="J540" s="0" t="n">
        <v>628</v>
      </c>
      <c r="K540" s="0" t="n">
        <v>83</v>
      </c>
      <c r="M540" s="0" t="n">
        <v>518.83</v>
      </c>
      <c r="N540" s="0" t="n">
        <v>49.53</v>
      </c>
      <c r="O540" s="0" t="n">
        <v>25.33</v>
      </c>
      <c r="P540" s="0" t="n">
        <v>5.1</v>
      </c>
      <c r="Q540" s="0" t="n">
        <v>4.2</v>
      </c>
      <c r="R540" s="0" t="n">
        <v>2442</v>
      </c>
      <c r="S540" s="0" t="n">
        <v>4684</v>
      </c>
      <c r="T540" s="0" t="n">
        <v>38.35</v>
      </c>
      <c r="U540" s="0" t="n">
        <v>1430</v>
      </c>
      <c r="V540" s="0" t="n">
        <v>6</v>
      </c>
      <c r="W540" s="39" t="n">
        <f aca="false">IF(I540="Male",0,1)</f>
        <v>1</v>
      </c>
      <c r="X540" s="39" t="n">
        <f aca="false">IF(OR(I540="DNB",I540="Dry DNB"),1,0)</f>
        <v>1</v>
      </c>
      <c r="Y540" s="39" t="n">
        <f aca="false">MATCH(A540,DATAS,0)</f>
        <v>1</v>
      </c>
      <c r="Z540" s="39" t="n">
        <f aca="false">IF(AND(E540&gt;0,OR(AND(B540&gt;=1,B540&lt;=6),B540=10)),1,0)</f>
        <v>1</v>
      </c>
      <c r="AA540" s="39" t="n">
        <f aca="false">IF(AND(E540&gt;0,B540=10),1,0)</f>
        <v>0</v>
      </c>
      <c r="AB540" s="0" t="str">
        <f aca="false">IF(AND(C539=C540,Y539=Y540-1),Z539,"")</f>
        <v/>
      </c>
      <c r="AC540" s="0" t="str">
        <f aca="false">IF(AND(C539=C540,Y539=Y540-1),AA539,"")</f>
        <v/>
      </c>
      <c r="AD540" s="0" t="str">
        <f aca="false">IF(Y540=1,"",IF(AND(Z540=1,AB540&lt;&gt;1),1,0))</f>
        <v/>
      </c>
      <c r="AE540" s="0" t="str">
        <f aca="false">IF(Y540=1,"",IF(AND(AA540=1,AC540&lt;&gt;1),1,0))</f>
        <v/>
      </c>
      <c r="AF540" s="45" t="str">
        <f aca="false">IF(AND(E540&gt;0,Y540&lt;1,NOT(AND(C541=C540,Y541=Y540+1))),INDEX(DATAS,Y540+1),"")</f>
        <v/>
      </c>
      <c r="AG540" s="45" t="str">
        <f aca="false">IF(AND(AA540=1,Y540&lt;1),IF(AND(C541=C540,Y541=Y540+1),IF(AA541=1,"",INDEX(DATAS,Y540+1)),INDEX(DATAS,Y540+1)),"")</f>
        <v/>
      </c>
    </row>
    <row r="541" customFormat="false" ht="15" hidden="false" customHeight="false" outlineLevel="0" collapsed="false">
      <c r="A541" s="45" t="n">
        <v>46309</v>
      </c>
      <c r="B541" s="0" t="n">
        <v>6</v>
      </c>
      <c r="C541" s="0" t="n">
        <v>4336</v>
      </c>
      <c r="D541" s="0" t="n">
        <v>223</v>
      </c>
      <c r="E541" s="0" t="n">
        <v>2</v>
      </c>
      <c r="F541" s="39" t="s">
        <v>497</v>
      </c>
      <c r="G541" s="0" t="n">
        <v>25.2</v>
      </c>
      <c r="H541" s="0" t="n">
        <v>25</v>
      </c>
      <c r="I541" s="39" t="s">
        <v>96</v>
      </c>
      <c r="J541" s="0" t="n">
        <v>223</v>
      </c>
      <c r="K541" s="0" t="n">
        <v>69</v>
      </c>
      <c r="M541" s="0" t="n">
        <v>1091.4</v>
      </c>
      <c r="N541" s="0" t="n">
        <v>48.99</v>
      </c>
      <c r="O541" s="0" t="n">
        <v>46.45</v>
      </c>
      <c r="P541" s="0" t="n">
        <v>4.5</v>
      </c>
      <c r="Q541" s="0" t="n">
        <v>3.77</v>
      </c>
      <c r="R541" s="0" t="n">
        <v>4024</v>
      </c>
      <c r="S541" s="0" t="n">
        <v>7015</v>
      </c>
      <c r="T541" s="0" t="n">
        <v>42.7</v>
      </c>
      <c r="U541" s="0" t="n">
        <v>1430</v>
      </c>
      <c r="V541" s="0" t="n">
        <v>2</v>
      </c>
      <c r="W541" s="39" t="n">
        <f aca="false">IF(I541="Male",0,1)</f>
        <v>1</v>
      </c>
      <c r="X541" s="39" t="n">
        <f aca="false">IF(OR(I541="DNB",I541="Dry DNB"),1,0)</f>
        <v>1</v>
      </c>
      <c r="Y541" s="39" t="n">
        <f aca="false">MATCH(A541,DATAS,0)</f>
        <v>1</v>
      </c>
      <c r="Z541" s="39" t="n">
        <f aca="false">IF(AND(E541&gt;0,OR(AND(B541&gt;=1,B541&lt;=6),B541=10)),1,0)</f>
        <v>1</v>
      </c>
      <c r="AA541" s="39" t="n">
        <f aca="false">IF(AND(E541&gt;0,B541=10),1,0)</f>
        <v>0</v>
      </c>
      <c r="AB541" s="0" t="str">
        <f aca="false">IF(AND(C540=C541,Y540=Y541-1),Z540,"")</f>
        <v/>
      </c>
      <c r="AC541" s="0" t="str">
        <f aca="false">IF(AND(C540=C541,Y540=Y541-1),AA540,"")</f>
        <v/>
      </c>
      <c r="AD541" s="0" t="str">
        <f aca="false">IF(Y541=1,"",IF(AND(Z541=1,AB541&lt;&gt;1),1,0))</f>
        <v/>
      </c>
      <c r="AE541" s="0" t="str">
        <f aca="false">IF(Y541=1,"",IF(AND(AA541=1,AC541&lt;&gt;1),1,0))</f>
        <v/>
      </c>
      <c r="AF541" s="45" t="str">
        <f aca="false">IF(AND(E541&gt;0,Y541&lt;1,NOT(AND(C542=C541,Y542=Y541+1))),INDEX(DATAS,Y541+1),"")</f>
        <v/>
      </c>
      <c r="AG541" s="45" t="str">
        <f aca="false">IF(AND(AA541=1,Y541&lt;1),IF(AND(C542=C541,Y542=Y541+1),IF(AA542=1,"",INDEX(DATAS,Y541+1)),INDEX(DATAS,Y541+1)),"")</f>
        <v/>
      </c>
    </row>
    <row r="542" customFormat="false" ht="15" hidden="false" customHeight="false" outlineLevel="0" collapsed="false">
      <c r="A542" s="45" t="n">
        <v>46309</v>
      </c>
      <c r="B542" s="0" t="n">
        <v>6</v>
      </c>
      <c r="C542" s="0" t="n">
        <v>4337</v>
      </c>
      <c r="D542" s="0" t="n">
        <v>433</v>
      </c>
      <c r="E542" s="0" t="n">
        <v>2</v>
      </c>
      <c r="F542" s="39" t="s">
        <v>497</v>
      </c>
      <c r="G542" s="0" t="n">
        <v>20.6</v>
      </c>
      <c r="H542" s="0" t="n">
        <v>17</v>
      </c>
      <c r="I542" s="39" t="s">
        <v>109</v>
      </c>
      <c r="J542" s="0" t="n">
        <v>314</v>
      </c>
      <c r="K542" s="0" t="n">
        <v>62</v>
      </c>
      <c r="L542" s="0" t="n">
        <v>119</v>
      </c>
      <c r="M542" s="0" t="n">
        <v>614.26</v>
      </c>
      <c r="N542" s="0" t="n">
        <v>43.2</v>
      </c>
      <c r="O542" s="0" t="n">
        <v>26.37</v>
      </c>
      <c r="P542" s="0" t="n">
        <v>4.19</v>
      </c>
      <c r="Q542" s="0" t="n">
        <v>3.92</v>
      </c>
      <c r="R542" s="0" t="n">
        <v>2962</v>
      </c>
      <c r="S542" s="0" t="n">
        <v>6022</v>
      </c>
      <c r="T542" s="0" t="n">
        <v>35.9</v>
      </c>
      <c r="U542" s="0" t="n">
        <v>1430</v>
      </c>
      <c r="V542" s="0" t="n">
        <v>6</v>
      </c>
      <c r="W542" s="39" t="n">
        <f aca="false">IF(I542="Male",0,1)</f>
        <v>1</v>
      </c>
      <c r="X542" s="39" t="n">
        <f aca="false">IF(OR(I542="DNB",I542="Dry DNB"),1,0)</f>
        <v>0</v>
      </c>
      <c r="Y542" s="39" t="n">
        <f aca="false">MATCH(A542,DATAS,0)</f>
        <v>1</v>
      </c>
      <c r="Z542" s="39" t="n">
        <f aca="false">IF(AND(E542&gt;0,OR(AND(B542&gt;=1,B542&lt;=6),B542=10)),1,0)</f>
        <v>1</v>
      </c>
      <c r="AA542" s="39" t="n">
        <f aca="false">IF(AND(E542&gt;0,B542=10),1,0)</f>
        <v>0</v>
      </c>
      <c r="AB542" s="0" t="str">
        <f aca="false">IF(AND(C541=C542,Y541=Y542-1),Z541,"")</f>
        <v/>
      </c>
      <c r="AC542" s="0" t="str">
        <f aca="false">IF(AND(C541=C542,Y541=Y542-1),AA541,"")</f>
        <v/>
      </c>
      <c r="AD542" s="0" t="str">
        <f aca="false">IF(Y542=1,"",IF(AND(Z542=1,AB542&lt;&gt;1),1,0))</f>
        <v/>
      </c>
      <c r="AE542" s="0" t="str">
        <f aca="false">IF(Y542=1,"",IF(AND(AA542=1,AC542&lt;&gt;1),1,0))</f>
        <v/>
      </c>
      <c r="AF542" s="45" t="str">
        <f aca="false">IF(AND(E542&gt;0,Y542&lt;1,NOT(AND(C543=C542,Y543=Y542+1))),INDEX(DATAS,Y542+1),"")</f>
        <v/>
      </c>
      <c r="AG542" s="45" t="str">
        <f aca="false">IF(AND(AA542=1,Y542&lt;1),IF(AND(C543=C542,Y543=Y542+1),IF(AA543=1,"",INDEX(DATAS,Y542+1)),INDEX(DATAS,Y542+1)),"")</f>
        <v/>
      </c>
    </row>
    <row r="543" customFormat="false" ht="15" hidden="false" customHeight="false" outlineLevel="0" collapsed="false">
      <c r="A543" s="45" t="n">
        <v>46309</v>
      </c>
      <c r="B543" s="0" t="n">
        <v>2</v>
      </c>
      <c r="C543" s="0" t="n">
        <v>4338</v>
      </c>
      <c r="D543" s="0" t="n">
        <v>53</v>
      </c>
      <c r="E543" s="0" t="n">
        <v>3</v>
      </c>
      <c r="F543" s="39" t="s">
        <v>498</v>
      </c>
      <c r="G543" s="0" t="n">
        <v>65.8</v>
      </c>
      <c r="H543" s="0" t="n">
        <v>61</v>
      </c>
      <c r="I543" s="39" t="s">
        <v>118</v>
      </c>
      <c r="J543" s="0" t="n">
        <v>53</v>
      </c>
      <c r="M543" s="0" t="n">
        <v>1140.18</v>
      </c>
      <c r="N543" s="0" t="n">
        <v>69.04</v>
      </c>
      <c r="O543" s="0" t="n">
        <v>49.28</v>
      </c>
      <c r="P543" s="0" t="n">
        <v>3.39</v>
      </c>
      <c r="Q543" s="0" t="n">
        <v>3.09</v>
      </c>
      <c r="R543" s="0" t="n">
        <v>5602</v>
      </c>
      <c r="S543" s="0" t="n">
        <v>11261</v>
      </c>
      <c r="U543" s="0" t="n">
        <v>1429</v>
      </c>
      <c r="V543" s="0" t="n">
        <v>0</v>
      </c>
      <c r="W543" s="39" t="n">
        <f aca="false">IF(I543="Male",0,1)</f>
        <v>1</v>
      </c>
      <c r="X543" s="39" t="n">
        <f aca="false">IF(OR(I543="DNB",I543="Dry DNB"),1,0)</f>
        <v>0</v>
      </c>
      <c r="Y543" s="39" t="n">
        <f aca="false">MATCH(A543,DATAS,0)</f>
        <v>1</v>
      </c>
      <c r="Z543" s="39" t="n">
        <f aca="false">IF(AND(E543&gt;0,OR(AND(B543&gt;=1,B543&lt;=6),B543=10)),1,0)</f>
        <v>1</v>
      </c>
      <c r="AA543" s="39" t="n">
        <f aca="false">IF(AND(E543&gt;0,B543=10),1,0)</f>
        <v>0</v>
      </c>
      <c r="AB543" s="0" t="str">
        <f aca="false">IF(AND(C542=C543,Y542=Y543-1),Z542,"")</f>
        <v/>
      </c>
      <c r="AC543" s="0" t="str">
        <f aca="false">IF(AND(C542=C543,Y542=Y543-1),AA542,"")</f>
        <v/>
      </c>
      <c r="AD543" s="0" t="str">
        <f aca="false">IF(Y543=1,"",IF(AND(Z543=1,AB543&lt;&gt;1),1,0))</f>
        <v/>
      </c>
      <c r="AE543" s="0" t="str">
        <f aca="false">IF(Y543=1,"",IF(AND(AA543=1,AC543&lt;&gt;1),1,0))</f>
        <v/>
      </c>
      <c r="AF543" s="45" t="str">
        <f aca="false">IF(AND(E543&gt;0,Y543&lt;1,NOT(AND(C544=C543,Y544=Y543+1))),INDEX(DATAS,Y543+1),"")</f>
        <v/>
      </c>
      <c r="AG543" s="45" t="str">
        <f aca="false">IF(AND(AA543=1,Y543&lt;1),IF(AND(C544=C543,Y544=Y543+1),IF(AA544=1,"",INDEX(DATAS,Y543+1)),INDEX(DATAS,Y543+1)),"")</f>
        <v/>
      </c>
    </row>
    <row r="544" customFormat="false" ht="15" hidden="false" customHeight="false" outlineLevel="0" collapsed="false">
      <c r="A544" s="45" t="n">
        <v>46309</v>
      </c>
      <c r="B544" s="0" t="n">
        <v>5</v>
      </c>
      <c r="C544" s="0" t="n">
        <v>4339</v>
      </c>
      <c r="D544" s="0" t="n">
        <v>364</v>
      </c>
      <c r="E544" s="0" t="n">
        <v>2</v>
      </c>
      <c r="F544" s="39" t="s">
        <v>498</v>
      </c>
      <c r="H544" s="0" t="n">
        <v>23</v>
      </c>
      <c r="I544" s="39" t="s">
        <v>109</v>
      </c>
      <c r="J544" s="0" t="n">
        <v>168</v>
      </c>
      <c r="K544" s="0" t="n">
        <v>64</v>
      </c>
      <c r="L544" s="0" t="n">
        <v>196</v>
      </c>
      <c r="M544" s="0" t="n">
        <v>1315.07</v>
      </c>
      <c r="N544" s="0" t="n">
        <v>74.04</v>
      </c>
      <c r="O544" s="0" t="n">
        <v>46.46</v>
      </c>
      <c r="P544" s="0" t="n">
        <v>4.79</v>
      </c>
      <c r="Q544" s="0" t="n">
        <v>3.98</v>
      </c>
      <c r="R544" s="0" t="n">
        <v>3179</v>
      </c>
      <c r="S544" s="0" t="n">
        <v>7049</v>
      </c>
      <c r="T544" s="0" t="n">
        <v>36.45</v>
      </c>
      <c r="U544" s="0" t="n">
        <v>1429</v>
      </c>
      <c r="V544" s="0" t="n">
        <v>4</v>
      </c>
      <c r="W544" s="39" t="n">
        <f aca="false">IF(I544="Male",0,1)</f>
        <v>1</v>
      </c>
      <c r="X544" s="39" t="n">
        <f aca="false">IF(OR(I544="DNB",I544="Dry DNB"),1,0)</f>
        <v>0</v>
      </c>
      <c r="Y544" s="39" t="n">
        <f aca="false">MATCH(A544,DATAS,0)</f>
        <v>1</v>
      </c>
      <c r="Z544" s="39" t="n">
        <f aca="false">IF(AND(E544&gt;0,OR(AND(B544&gt;=1,B544&lt;=6),B544=10)),1,0)</f>
        <v>1</v>
      </c>
      <c r="AA544" s="39" t="n">
        <f aca="false">IF(AND(E544&gt;0,B544=10),1,0)</f>
        <v>0</v>
      </c>
      <c r="AB544" s="0" t="str">
        <f aca="false">IF(AND(C543=C544,Y543=Y544-1),Z543,"")</f>
        <v/>
      </c>
      <c r="AC544" s="0" t="str">
        <f aca="false">IF(AND(C543=C544,Y543=Y544-1),AA543,"")</f>
        <v/>
      </c>
      <c r="AD544" s="0" t="str">
        <f aca="false">IF(Y544=1,"",IF(AND(Z544=1,AB544&lt;&gt;1),1,0))</f>
        <v/>
      </c>
      <c r="AE544" s="0" t="str">
        <f aca="false">IF(Y544=1,"",IF(AND(AA544=1,AC544&lt;&gt;1),1,0))</f>
        <v/>
      </c>
      <c r="AF544" s="45" t="str">
        <f aca="false">IF(AND(E544&gt;0,Y544&lt;1,NOT(AND(C545=C544,Y545=Y544+1))),INDEX(DATAS,Y544+1),"")</f>
        <v/>
      </c>
      <c r="AG544" s="45" t="str">
        <f aca="false">IF(AND(AA544=1,Y544&lt;1),IF(AND(C545=C544,Y545=Y544+1),IF(AA545=1,"",INDEX(DATAS,Y544+1)),INDEX(DATAS,Y544+1)),"")</f>
        <v/>
      </c>
    </row>
    <row r="545" customFormat="false" ht="15" hidden="false" customHeight="false" outlineLevel="0" collapsed="false">
      <c r="A545" s="45" t="n">
        <v>46309</v>
      </c>
      <c r="B545" s="0" t="n">
        <v>5</v>
      </c>
      <c r="C545" s="0" t="n">
        <v>4340</v>
      </c>
      <c r="D545" s="0" t="n">
        <v>225</v>
      </c>
      <c r="E545" s="0" t="n">
        <v>2</v>
      </c>
      <c r="F545" s="39" t="s">
        <v>498</v>
      </c>
      <c r="G545" s="0" t="n">
        <v>37.7</v>
      </c>
      <c r="H545" s="0" t="n">
        <v>35</v>
      </c>
      <c r="I545" s="39" t="s">
        <v>109</v>
      </c>
      <c r="J545" s="0" t="n">
        <v>96</v>
      </c>
      <c r="K545" s="0" t="n">
        <v>71</v>
      </c>
      <c r="L545" s="0" t="n">
        <v>129</v>
      </c>
      <c r="M545" s="0" t="n">
        <v>536.42</v>
      </c>
      <c r="N545" s="0" t="n">
        <v>29.14</v>
      </c>
      <c r="O545" s="0" t="n">
        <v>16.57</v>
      </c>
      <c r="P545" s="0" t="n">
        <v>5.63</v>
      </c>
      <c r="Q545" s="0" t="n">
        <v>4.09</v>
      </c>
      <c r="R545" s="0" t="n">
        <v>4565</v>
      </c>
      <c r="S545" s="0" t="n">
        <v>8153</v>
      </c>
      <c r="T545" s="0" t="n">
        <v>51</v>
      </c>
      <c r="U545" s="0" t="n">
        <v>1429</v>
      </c>
      <c r="V545" s="0" t="n">
        <v>2</v>
      </c>
      <c r="W545" s="39" t="n">
        <f aca="false">IF(I545="Male",0,1)</f>
        <v>1</v>
      </c>
      <c r="X545" s="39" t="n">
        <f aca="false">IF(OR(I545="DNB",I545="Dry DNB"),1,0)</f>
        <v>0</v>
      </c>
      <c r="Y545" s="39" t="n">
        <f aca="false">MATCH(A545,DATAS,0)</f>
        <v>1</v>
      </c>
      <c r="Z545" s="39" t="n">
        <f aca="false">IF(AND(E545&gt;0,OR(AND(B545&gt;=1,B545&lt;=6),B545=10)),1,0)</f>
        <v>1</v>
      </c>
      <c r="AA545" s="39" t="n">
        <f aca="false">IF(AND(E545&gt;0,B545=10),1,0)</f>
        <v>0</v>
      </c>
      <c r="AB545" s="0" t="str">
        <f aca="false">IF(AND(C544=C545,Y544=Y545-1),Z544,"")</f>
        <v/>
      </c>
      <c r="AC545" s="0" t="str">
        <f aca="false">IF(AND(C544=C545,Y544=Y545-1),AA544,"")</f>
        <v/>
      </c>
      <c r="AD545" s="0" t="str">
        <f aca="false">IF(Y545=1,"",IF(AND(Z545=1,AB545&lt;&gt;1),1,0))</f>
        <v/>
      </c>
      <c r="AE545" s="0" t="str">
        <f aca="false">IF(Y545=1,"",IF(AND(AA545=1,AC545&lt;&gt;1),1,0))</f>
        <v/>
      </c>
      <c r="AF545" s="45" t="str">
        <f aca="false">IF(AND(E545&gt;0,Y545&lt;1,NOT(AND(C546=C545,Y546=Y545+1))),INDEX(DATAS,Y545+1),"")</f>
        <v/>
      </c>
      <c r="AG545" s="45" t="str">
        <f aca="false">IF(AND(AA545=1,Y545&lt;1),IF(AND(C546=C545,Y546=Y545+1),IF(AA546=1,"",INDEX(DATAS,Y545+1)),INDEX(DATAS,Y545+1)),"")</f>
        <v/>
      </c>
    </row>
    <row r="546" customFormat="false" ht="15" hidden="false" customHeight="false" outlineLevel="0" collapsed="false">
      <c r="A546" s="45" t="n">
        <v>46309</v>
      </c>
      <c r="B546" s="0" t="n">
        <v>7</v>
      </c>
      <c r="C546" s="0" t="n">
        <v>4346</v>
      </c>
      <c r="D546" s="0" t="n">
        <v>291</v>
      </c>
      <c r="E546" s="0" t="n">
        <v>2</v>
      </c>
      <c r="F546" s="39" t="s">
        <v>499</v>
      </c>
      <c r="I546" s="39" t="s">
        <v>114</v>
      </c>
      <c r="J546" s="0" t="n">
        <v>68</v>
      </c>
      <c r="K546" s="0" t="n">
        <v>68</v>
      </c>
      <c r="L546" s="0" t="n">
        <v>238</v>
      </c>
      <c r="M546" s="0" t="n">
        <v>765.54</v>
      </c>
      <c r="N546" s="0" t="n">
        <v>48.16</v>
      </c>
      <c r="O546" s="0" t="n">
        <v>31.64</v>
      </c>
      <c r="P546" s="0" t="n">
        <v>4.91</v>
      </c>
      <c r="Q546" s="0" t="n">
        <v>4.17</v>
      </c>
      <c r="R546" s="0" t="n">
        <v>6405</v>
      </c>
      <c r="S546" s="0" t="n">
        <v>13160</v>
      </c>
      <c r="T546" s="0" t="n">
        <v>67.65</v>
      </c>
      <c r="U546" s="0" t="n">
        <v>1426</v>
      </c>
      <c r="V546" s="0" t="n">
        <v>1</v>
      </c>
      <c r="W546" s="39" t="n">
        <f aca="false">IF(I546="Male",0,1)</f>
        <v>1</v>
      </c>
      <c r="X546" s="39" t="n">
        <f aca="false">IF(OR(I546="DNB",I546="Dry DNB"),1,0)</f>
        <v>0</v>
      </c>
      <c r="Y546" s="39" t="n">
        <f aca="false">MATCH(A546,DATAS,0)</f>
        <v>1</v>
      </c>
      <c r="Z546" s="39" t="n">
        <f aca="false">IF(AND(E546&gt;0,OR(AND(B546&gt;=1,B546&lt;=6),B546=10)),1,0)</f>
        <v>0</v>
      </c>
      <c r="AA546" s="39" t="n">
        <f aca="false">IF(AND(E546&gt;0,B546=10),1,0)</f>
        <v>0</v>
      </c>
      <c r="AB546" s="0" t="str">
        <f aca="false">IF(AND(C545=C546,Y545=Y546-1),Z545,"")</f>
        <v/>
      </c>
      <c r="AC546" s="0" t="str">
        <f aca="false">IF(AND(C545=C546,Y545=Y546-1),AA545,"")</f>
        <v/>
      </c>
      <c r="AD546" s="0" t="str">
        <f aca="false">IF(Y546=1,"",IF(AND(Z546=1,AB546&lt;&gt;1),1,0))</f>
        <v/>
      </c>
      <c r="AE546" s="0" t="str">
        <f aca="false">IF(Y546=1,"",IF(AND(AA546=1,AC546&lt;&gt;1),1,0))</f>
        <v/>
      </c>
      <c r="AF546" s="45" t="str">
        <f aca="false">IF(AND(E546&gt;0,Y546&lt;1,NOT(AND(C547=C546,Y547=Y546+1))),INDEX(DATAS,Y546+1),"")</f>
        <v/>
      </c>
      <c r="AG546" s="45" t="str">
        <f aca="false">IF(AND(AA546=1,Y546&lt;1),IF(AND(C547=C546,Y547=Y546+1),IF(AA547=1,"",INDEX(DATAS,Y546+1)),INDEX(DATAS,Y546+1)),"")</f>
        <v/>
      </c>
    </row>
    <row r="547" customFormat="false" ht="15" hidden="false" customHeight="false" outlineLevel="0" collapsed="false">
      <c r="A547" s="45" t="n">
        <v>46309</v>
      </c>
      <c r="B547" s="0" t="n">
        <v>5</v>
      </c>
      <c r="C547" s="0" t="n">
        <v>4351</v>
      </c>
      <c r="D547" s="0" t="n">
        <v>57</v>
      </c>
      <c r="E547" s="0" t="n">
        <v>3</v>
      </c>
      <c r="F547" s="39" t="s">
        <v>500</v>
      </c>
      <c r="G547" s="0" t="n">
        <v>36.1</v>
      </c>
      <c r="H547" s="0" t="n">
        <v>36</v>
      </c>
      <c r="I547" s="39" t="s">
        <v>118</v>
      </c>
      <c r="J547" s="0" t="n">
        <v>57</v>
      </c>
      <c r="M547" s="0" t="n">
        <v>765.85</v>
      </c>
      <c r="N547" s="0" t="n">
        <v>68.24</v>
      </c>
      <c r="O547" s="0" t="n">
        <v>41.31</v>
      </c>
      <c r="P547" s="0" t="n">
        <v>4.15</v>
      </c>
      <c r="Q547" s="0" t="n">
        <v>3.48</v>
      </c>
      <c r="R547" s="0" t="n">
        <v>3918</v>
      </c>
      <c r="S547" s="0" t="n">
        <v>7876</v>
      </c>
      <c r="U547" s="0" t="n">
        <v>1424</v>
      </c>
      <c r="V547" s="0" t="n">
        <v>0</v>
      </c>
      <c r="W547" s="39" t="n">
        <f aca="false">IF(I547="Male",0,1)</f>
        <v>1</v>
      </c>
      <c r="X547" s="39" t="n">
        <f aca="false">IF(OR(I547="DNB",I547="Dry DNB"),1,0)</f>
        <v>0</v>
      </c>
      <c r="Y547" s="39" t="n">
        <f aca="false">MATCH(A547,DATAS,0)</f>
        <v>1</v>
      </c>
      <c r="Z547" s="39" t="n">
        <f aca="false">IF(AND(E547&gt;0,OR(AND(B547&gt;=1,B547&lt;=6),B547=10)),1,0)</f>
        <v>1</v>
      </c>
      <c r="AA547" s="39" t="n">
        <f aca="false">IF(AND(E547&gt;0,B547=10),1,0)</f>
        <v>0</v>
      </c>
      <c r="AB547" s="0" t="str">
        <f aca="false">IF(AND(C546=C547,Y546=Y547-1),Z546,"")</f>
        <v/>
      </c>
      <c r="AC547" s="0" t="str">
        <f aca="false">IF(AND(C546=C547,Y546=Y547-1),AA546,"")</f>
        <v/>
      </c>
      <c r="AD547" s="0" t="str">
        <f aca="false">IF(Y547=1,"",IF(AND(Z547=1,AB547&lt;&gt;1),1,0))</f>
        <v/>
      </c>
      <c r="AE547" s="0" t="str">
        <f aca="false">IF(Y547=1,"",IF(AND(AA547=1,AC547&lt;&gt;1),1,0))</f>
        <v/>
      </c>
      <c r="AF547" s="45" t="str">
        <f aca="false">IF(AND(E547&gt;0,Y547&lt;1,NOT(AND(C548=C547,Y548=Y547+1))),INDEX(DATAS,Y547+1),"")</f>
        <v/>
      </c>
      <c r="AG547" s="45" t="str">
        <f aca="false">IF(AND(AA547=1,Y547&lt;1),IF(AND(C548=C547,Y548=Y547+1),IF(AA548=1,"",INDEX(DATAS,Y547+1)),INDEX(DATAS,Y547+1)),"")</f>
        <v/>
      </c>
    </row>
    <row r="548" customFormat="false" ht="15" hidden="false" customHeight="false" outlineLevel="0" collapsed="false">
      <c r="A548" s="45" t="n">
        <v>46309</v>
      </c>
      <c r="B548" s="0" t="n">
        <v>2</v>
      </c>
      <c r="C548" s="0" t="n">
        <v>4352</v>
      </c>
      <c r="D548" s="0" t="n">
        <v>99</v>
      </c>
      <c r="E548" s="0" t="n">
        <v>3</v>
      </c>
      <c r="F548" s="39" t="s">
        <v>501</v>
      </c>
      <c r="G548" s="0" t="n">
        <v>61.8</v>
      </c>
      <c r="H548" s="0" t="n">
        <v>59</v>
      </c>
      <c r="I548" s="39" t="s">
        <v>146</v>
      </c>
      <c r="J548" s="0" t="n">
        <v>99</v>
      </c>
      <c r="K548" s="0" t="n">
        <v>64</v>
      </c>
      <c r="M548" s="0" t="n">
        <v>722.72</v>
      </c>
      <c r="N548" s="0" t="n">
        <v>62.01</v>
      </c>
      <c r="O548" s="0" t="n">
        <v>34.85</v>
      </c>
      <c r="P548" s="0" t="n">
        <v>2.49</v>
      </c>
      <c r="Q548" s="0" t="n">
        <v>3.13</v>
      </c>
      <c r="R548" s="0" t="n">
        <v>5550</v>
      </c>
      <c r="S548" s="0" t="n">
        <v>11156</v>
      </c>
      <c r="T548" s="0" t="n">
        <v>65.95</v>
      </c>
      <c r="U548" s="0" t="n">
        <v>1419</v>
      </c>
      <c r="V548" s="0" t="n">
        <v>1</v>
      </c>
      <c r="W548" s="39" t="n">
        <f aca="false">IF(I548="Male",0,1)</f>
        <v>1</v>
      </c>
      <c r="X548" s="39" t="n">
        <f aca="false">IF(OR(I548="DNB",I548="Dry DNB"),1,0)</f>
        <v>0</v>
      </c>
      <c r="Y548" s="39" t="n">
        <f aca="false">MATCH(A548,DATAS,0)</f>
        <v>1</v>
      </c>
      <c r="Z548" s="39" t="n">
        <f aca="false">IF(AND(E548&gt;0,OR(AND(B548&gt;=1,B548&lt;=6),B548=10)),1,0)</f>
        <v>1</v>
      </c>
      <c r="AA548" s="39" t="n">
        <f aca="false">IF(AND(E548&gt;0,B548=10),1,0)</f>
        <v>0</v>
      </c>
      <c r="AB548" s="0" t="str">
        <f aca="false">IF(AND(C547=C548,Y547=Y548-1),Z547,"")</f>
        <v/>
      </c>
      <c r="AC548" s="0" t="str">
        <f aca="false">IF(AND(C547=C548,Y547=Y548-1),AA547,"")</f>
        <v/>
      </c>
      <c r="AD548" s="0" t="str">
        <f aca="false">IF(Y548=1,"",IF(AND(Z548=1,AB548&lt;&gt;1),1,0))</f>
        <v/>
      </c>
      <c r="AE548" s="0" t="str">
        <f aca="false">IF(Y548=1,"",IF(AND(AA548=1,AC548&lt;&gt;1),1,0))</f>
        <v/>
      </c>
      <c r="AF548" s="45" t="str">
        <f aca="false">IF(AND(E548&gt;0,Y548&lt;1,NOT(AND(C549=C548,Y549=Y548+1))),INDEX(DATAS,Y548+1),"")</f>
        <v/>
      </c>
      <c r="AG548" s="45" t="str">
        <f aca="false">IF(AND(AA548=1,Y548&lt;1),IF(AND(C549=C548,Y549=Y548+1),IF(AA549=1,"",INDEX(DATAS,Y548+1)),INDEX(DATAS,Y548+1)),"")</f>
        <v/>
      </c>
    </row>
    <row r="549" customFormat="false" ht="15" hidden="false" customHeight="false" outlineLevel="0" collapsed="false">
      <c r="A549" s="45" t="n">
        <v>46309</v>
      </c>
      <c r="B549" s="0" t="n">
        <v>5</v>
      </c>
      <c r="C549" s="0" t="n">
        <v>4353</v>
      </c>
      <c r="D549" s="0" t="n">
        <v>190</v>
      </c>
      <c r="E549" s="0" t="n">
        <v>2</v>
      </c>
      <c r="F549" s="39" t="s">
        <v>502</v>
      </c>
      <c r="G549" s="0" t="n">
        <v>38.5</v>
      </c>
      <c r="H549" s="0" t="n">
        <v>43</v>
      </c>
      <c r="I549" s="39" t="s">
        <v>109</v>
      </c>
      <c r="J549" s="0" t="n">
        <v>134</v>
      </c>
      <c r="K549" s="0" t="n">
        <v>64</v>
      </c>
      <c r="L549" s="0" t="n">
        <v>56</v>
      </c>
      <c r="M549" s="0" t="n">
        <v>664.21</v>
      </c>
      <c r="N549" s="0" t="n">
        <v>47.82</v>
      </c>
      <c r="O549" s="0" t="n">
        <v>30.95</v>
      </c>
      <c r="P549" s="0" t="n">
        <v>4.05</v>
      </c>
      <c r="Q549" s="0" t="n">
        <v>3.28</v>
      </c>
      <c r="R549" s="0" t="n">
        <v>5082</v>
      </c>
      <c r="S549" s="0" t="n">
        <v>9933</v>
      </c>
      <c r="T549" s="0" t="n">
        <v>57.6</v>
      </c>
      <c r="U549" s="0" t="n">
        <v>1418</v>
      </c>
      <c r="V549" s="0" t="n">
        <v>2</v>
      </c>
      <c r="W549" s="39" t="n">
        <f aca="false">IF(I549="Male",0,1)</f>
        <v>1</v>
      </c>
      <c r="X549" s="39" t="n">
        <f aca="false">IF(OR(I549="DNB",I549="Dry DNB"),1,0)</f>
        <v>0</v>
      </c>
      <c r="Y549" s="39" t="n">
        <f aca="false">MATCH(A549,DATAS,0)</f>
        <v>1</v>
      </c>
      <c r="Z549" s="39" t="n">
        <f aca="false">IF(AND(E549&gt;0,OR(AND(B549&gt;=1,B549&lt;=6),B549=10)),1,0)</f>
        <v>1</v>
      </c>
      <c r="AA549" s="39" t="n">
        <f aca="false">IF(AND(E549&gt;0,B549=10),1,0)</f>
        <v>0</v>
      </c>
      <c r="AB549" s="0" t="str">
        <f aca="false">IF(AND(C548=C549,Y548=Y549-1),Z548,"")</f>
        <v/>
      </c>
      <c r="AC549" s="0" t="str">
        <f aca="false">IF(AND(C548=C549,Y548=Y549-1),AA548,"")</f>
        <v/>
      </c>
      <c r="AD549" s="0" t="str">
        <f aca="false">IF(Y549=1,"",IF(AND(Z549=1,AB549&lt;&gt;1),1,0))</f>
        <v/>
      </c>
      <c r="AE549" s="0" t="str">
        <f aca="false">IF(Y549=1,"",IF(AND(AA549=1,AC549&lt;&gt;1),1,0))</f>
        <v/>
      </c>
      <c r="AF549" s="45" t="str">
        <f aca="false">IF(AND(E549&gt;0,Y549&lt;1,NOT(AND(C550=C549,Y550=Y549+1))),INDEX(DATAS,Y549+1),"")</f>
        <v/>
      </c>
      <c r="AG549" s="45" t="str">
        <f aca="false">IF(AND(AA549=1,Y549&lt;1),IF(AND(C550=C549,Y550=Y549+1),IF(AA550=1,"",INDEX(DATAS,Y549+1)),INDEX(DATAS,Y549+1)),"")</f>
        <v/>
      </c>
    </row>
    <row r="550" customFormat="false" ht="15" hidden="false" customHeight="false" outlineLevel="0" collapsed="false">
      <c r="A550" s="45" t="n">
        <v>46309</v>
      </c>
      <c r="B550" s="0" t="n">
        <v>5</v>
      </c>
      <c r="C550" s="0" t="n">
        <v>4356</v>
      </c>
      <c r="D550" s="0" t="n">
        <v>432</v>
      </c>
      <c r="E550" s="0" t="n">
        <v>2</v>
      </c>
      <c r="F550" s="39" t="s">
        <v>503</v>
      </c>
      <c r="G550" s="0" t="n">
        <v>41</v>
      </c>
      <c r="H550" s="0" t="n">
        <v>38</v>
      </c>
      <c r="I550" s="39" t="s">
        <v>109</v>
      </c>
      <c r="J550" s="0" t="n">
        <v>313</v>
      </c>
      <c r="K550" s="0" t="n">
        <v>61</v>
      </c>
      <c r="L550" s="0" t="n">
        <v>119</v>
      </c>
      <c r="M550" s="0" t="n">
        <v>958.56</v>
      </c>
      <c r="N550" s="0" t="n">
        <v>58.41</v>
      </c>
      <c r="O550" s="0" t="n">
        <v>34.6</v>
      </c>
      <c r="P550" s="0" t="n">
        <v>4.3</v>
      </c>
      <c r="Q550" s="0" t="n">
        <v>4.08</v>
      </c>
      <c r="R550" s="0" t="n">
        <v>5748</v>
      </c>
      <c r="S550" s="0" t="n">
        <v>11742</v>
      </c>
      <c r="T550" s="0" t="n">
        <v>61.65</v>
      </c>
      <c r="U550" s="0" t="n">
        <v>1417</v>
      </c>
      <c r="V550" s="0" t="n">
        <v>6</v>
      </c>
      <c r="W550" s="39" t="n">
        <f aca="false">IF(I550="Male",0,1)</f>
        <v>1</v>
      </c>
      <c r="X550" s="39" t="n">
        <f aca="false">IF(OR(I550="DNB",I550="Dry DNB"),1,0)</f>
        <v>0</v>
      </c>
      <c r="Y550" s="39" t="n">
        <f aca="false">MATCH(A550,DATAS,0)</f>
        <v>1</v>
      </c>
      <c r="Z550" s="39" t="n">
        <f aca="false">IF(AND(E550&gt;0,OR(AND(B550&gt;=1,B550&lt;=6),B550=10)),1,0)</f>
        <v>1</v>
      </c>
      <c r="AA550" s="39" t="n">
        <f aca="false">IF(AND(E550&gt;0,B550=10),1,0)</f>
        <v>0</v>
      </c>
      <c r="AB550" s="0" t="str">
        <f aca="false">IF(AND(C549=C550,Y549=Y550-1),Z549,"")</f>
        <v/>
      </c>
      <c r="AC550" s="0" t="str">
        <f aca="false">IF(AND(C549=C550,Y549=Y550-1),AA549,"")</f>
        <v/>
      </c>
      <c r="AD550" s="0" t="str">
        <f aca="false">IF(Y550=1,"",IF(AND(Z550=1,AB550&lt;&gt;1),1,0))</f>
        <v/>
      </c>
      <c r="AE550" s="0" t="str">
        <f aca="false">IF(Y550=1,"",IF(AND(AA550=1,AC550&lt;&gt;1),1,0))</f>
        <v/>
      </c>
      <c r="AF550" s="45" t="str">
        <f aca="false">IF(AND(E550&gt;0,Y550&lt;1,NOT(AND(C551=C550,Y551=Y550+1))),INDEX(DATAS,Y550+1),"")</f>
        <v/>
      </c>
      <c r="AG550" s="45" t="str">
        <f aca="false">IF(AND(AA550=1,Y550&lt;1),IF(AND(C551=C550,Y551=Y550+1),IF(AA551=1,"",INDEX(DATAS,Y550+1)),INDEX(DATAS,Y550+1)),"")</f>
        <v/>
      </c>
    </row>
    <row r="551" customFormat="false" ht="15" hidden="false" customHeight="false" outlineLevel="0" collapsed="false">
      <c r="A551" s="45" t="n">
        <v>46309</v>
      </c>
      <c r="B551" s="0" t="n">
        <v>2</v>
      </c>
      <c r="C551" s="0" t="n">
        <v>4357</v>
      </c>
      <c r="D551" s="0" t="n">
        <v>75</v>
      </c>
      <c r="E551" s="0" t="n">
        <v>3</v>
      </c>
      <c r="F551" s="39" t="s">
        <v>503</v>
      </c>
      <c r="G551" s="0" t="n">
        <v>57</v>
      </c>
      <c r="H551" s="0" t="n">
        <v>52</v>
      </c>
      <c r="I551" s="39" t="s">
        <v>138</v>
      </c>
      <c r="J551" s="0" t="n">
        <v>75</v>
      </c>
      <c r="K551" s="0" t="n">
        <v>68</v>
      </c>
      <c r="M551" s="0" t="n">
        <v>419.04</v>
      </c>
      <c r="N551" s="0" t="n">
        <v>79.03</v>
      </c>
      <c r="O551" s="0" t="n">
        <v>40.21</v>
      </c>
      <c r="P551" s="0" t="n">
        <v>3.04</v>
      </c>
      <c r="Q551" s="0" t="n">
        <v>3.56</v>
      </c>
      <c r="R551" s="0" t="n">
        <v>4942</v>
      </c>
      <c r="S551" s="0" t="n">
        <v>9934</v>
      </c>
      <c r="U551" s="0" t="n">
        <v>1417</v>
      </c>
      <c r="V551" s="0" t="n">
        <v>1</v>
      </c>
      <c r="W551" s="39" t="n">
        <f aca="false">IF(I551="Male",0,1)</f>
        <v>1</v>
      </c>
      <c r="X551" s="39" t="n">
        <f aca="false">IF(OR(I551="DNB",I551="Dry DNB"),1,0)</f>
        <v>0</v>
      </c>
      <c r="Y551" s="39" t="n">
        <f aca="false">MATCH(A551,DATAS,0)</f>
        <v>1</v>
      </c>
      <c r="Z551" s="39" t="n">
        <f aca="false">IF(AND(E551&gt;0,OR(AND(B551&gt;=1,B551&lt;=6),B551=10)),1,0)</f>
        <v>1</v>
      </c>
      <c r="AA551" s="39" t="n">
        <f aca="false">IF(AND(E551&gt;0,B551=10),1,0)</f>
        <v>0</v>
      </c>
      <c r="AB551" s="0" t="str">
        <f aca="false">IF(AND(C550=C551,Y550=Y551-1),Z550,"")</f>
        <v/>
      </c>
      <c r="AC551" s="0" t="str">
        <f aca="false">IF(AND(C550=C551,Y550=Y551-1),AA550,"")</f>
        <v/>
      </c>
      <c r="AD551" s="0" t="str">
        <f aca="false">IF(Y551=1,"",IF(AND(Z551=1,AB551&lt;&gt;1),1,0))</f>
        <v/>
      </c>
      <c r="AE551" s="0" t="str">
        <f aca="false">IF(Y551=1,"",IF(AND(AA551=1,AC551&lt;&gt;1),1,0))</f>
        <v/>
      </c>
      <c r="AF551" s="45" t="str">
        <f aca="false">IF(AND(E551&gt;0,Y551&lt;1,NOT(AND(C552=C551,Y552=Y551+1))),INDEX(DATAS,Y551+1),"")</f>
        <v/>
      </c>
      <c r="AG551" s="45" t="str">
        <f aca="false">IF(AND(AA551=1,Y551&lt;1),IF(AND(C552=C551,Y552=Y551+1),IF(AA552=1,"",INDEX(DATAS,Y551+1)),INDEX(DATAS,Y551+1)),"")</f>
        <v/>
      </c>
    </row>
    <row r="552" customFormat="false" ht="15" hidden="false" customHeight="false" outlineLevel="0" collapsed="false">
      <c r="A552" s="45" t="n">
        <v>46309</v>
      </c>
      <c r="B552" s="0" t="n">
        <v>14</v>
      </c>
      <c r="C552" s="0" t="n">
        <v>4358</v>
      </c>
      <c r="D552" s="0" t="n">
        <v>359</v>
      </c>
      <c r="E552" s="0" t="n">
        <v>2</v>
      </c>
      <c r="F552" s="39" t="s">
        <v>503</v>
      </c>
      <c r="I552" s="39" t="s">
        <v>114</v>
      </c>
      <c r="J552" s="0" t="n">
        <v>136</v>
      </c>
      <c r="K552" s="0" t="n">
        <v>66</v>
      </c>
      <c r="L552" s="0" t="n">
        <v>273</v>
      </c>
      <c r="M552" s="0" t="n">
        <v>949.47</v>
      </c>
      <c r="N552" s="0" t="n">
        <v>51.34</v>
      </c>
      <c r="O552" s="0" t="n">
        <v>37.94</v>
      </c>
      <c r="P552" s="0" t="n">
        <v>3.24</v>
      </c>
      <c r="Q552" s="0" t="n">
        <v>3.86</v>
      </c>
      <c r="R552" s="0" t="n">
        <v>6750</v>
      </c>
      <c r="S552" s="0" t="n">
        <v>12981</v>
      </c>
      <c r="T552" s="0" t="n">
        <v>76.4</v>
      </c>
      <c r="U552" s="0" t="n">
        <v>1417</v>
      </c>
      <c r="V552" s="0" t="n">
        <v>3</v>
      </c>
      <c r="W552" s="39" t="n">
        <f aca="false">IF(I552="Male",0,1)</f>
        <v>1</v>
      </c>
      <c r="X552" s="39" t="n">
        <f aca="false">IF(OR(I552="DNB",I552="Dry DNB"),1,0)</f>
        <v>0</v>
      </c>
      <c r="Y552" s="39" t="n">
        <f aca="false">MATCH(A552,DATAS,0)</f>
        <v>1</v>
      </c>
      <c r="Z552" s="39" t="n">
        <f aca="false">IF(AND(E552&gt;0,OR(AND(B552&gt;=1,B552&lt;=6),B552=10)),1,0)</f>
        <v>0</v>
      </c>
      <c r="AA552" s="39" t="n">
        <f aca="false">IF(AND(E552&gt;0,B552=10),1,0)</f>
        <v>0</v>
      </c>
      <c r="AB552" s="0" t="str">
        <f aca="false">IF(AND(C551=C552,Y551=Y552-1),Z551,"")</f>
        <v/>
      </c>
      <c r="AC552" s="0" t="str">
        <f aca="false">IF(AND(C551=C552,Y551=Y552-1),AA551,"")</f>
        <v/>
      </c>
      <c r="AD552" s="0" t="str">
        <f aca="false">IF(Y552=1,"",IF(AND(Z552=1,AB552&lt;&gt;1),1,0))</f>
        <v/>
      </c>
      <c r="AE552" s="0" t="str">
        <f aca="false">IF(Y552=1,"",IF(AND(AA552=1,AC552&lt;&gt;1),1,0))</f>
        <v/>
      </c>
      <c r="AF552" s="45" t="str">
        <f aca="false">IF(AND(E552&gt;0,Y552&lt;1,NOT(AND(C553=C552,Y553=Y552+1))),INDEX(DATAS,Y552+1),"")</f>
        <v/>
      </c>
      <c r="AG552" s="45" t="str">
        <f aca="false">IF(AND(AA552=1,Y552&lt;1),IF(AND(C553=C552,Y553=Y552+1),IF(AA553=1,"",INDEX(DATAS,Y552+1)),INDEX(DATAS,Y552+1)),"")</f>
        <v/>
      </c>
    </row>
    <row r="553" customFormat="false" ht="15" hidden="false" customHeight="false" outlineLevel="0" collapsed="false">
      <c r="A553" s="45" t="n">
        <v>46309</v>
      </c>
      <c r="B553" s="0" t="n">
        <v>3</v>
      </c>
      <c r="C553" s="0" t="n">
        <v>4360</v>
      </c>
      <c r="D553" s="0" t="n">
        <v>97</v>
      </c>
      <c r="E553" s="0" t="n">
        <v>3</v>
      </c>
      <c r="F553" s="39" t="s">
        <v>503</v>
      </c>
      <c r="G553" s="0" t="n">
        <v>54.4</v>
      </c>
      <c r="H553" s="0" t="n">
        <v>55</v>
      </c>
      <c r="I553" s="39" t="s">
        <v>138</v>
      </c>
      <c r="J553" s="0" t="n">
        <v>97</v>
      </c>
      <c r="K553" s="0" t="n">
        <v>76</v>
      </c>
      <c r="M553" s="0" t="n">
        <v>916.18</v>
      </c>
      <c r="N553" s="0" t="n">
        <v>59.28</v>
      </c>
      <c r="O553" s="0" t="n">
        <v>30.14</v>
      </c>
      <c r="P553" s="0" t="n">
        <v>9.09</v>
      </c>
      <c r="Q553" s="0" t="n">
        <v>4.34</v>
      </c>
      <c r="R553" s="0" t="n">
        <v>5800</v>
      </c>
      <c r="S553" s="0" t="n">
        <v>11659</v>
      </c>
      <c r="T553" s="0" t="n">
        <v>56.45</v>
      </c>
      <c r="U553" s="0" t="n">
        <v>1417</v>
      </c>
      <c r="V553" s="0" t="n">
        <v>1</v>
      </c>
      <c r="W553" s="39" t="n">
        <f aca="false">IF(I553="Male",0,1)</f>
        <v>1</v>
      </c>
      <c r="X553" s="39" t="n">
        <f aca="false">IF(OR(I553="DNB",I553="Dry DNB"),1,0)</f>
        <v>0</v>
      </c>
      <c r="Y553" s="39" t="n">
        <f aca="false">MATCH(A553,DATAS,0)</f>
        <v>1</v>
      </c>
      <c r="Z553" s="39" t="n">
        <f aca="false">IF(AND(E553&gt;0,OR(AND(B553&gt;=1,B553&lt;=6),B553=10)),1,0)</f>
        <v>1</v>
      </c>
      <c r="AA553" s="39" t="n">
        <f aca="false">IF(AND(E553&gt;0,B553=10),1,0)</f>
        <v>0</v>
      </c>
      <c r="AB553" s="0" t="str">
        <f aca="false">IF(AND(C552=C553,Y552=Y553-1),Z552,"")</f>
        <v/>
      </c>
      <c r="AC553" s="0" t="str">
        <f aca="false">IF(AND(C552=C553,Y552=Y553-1),AA552,"")</f>
        <v/>
      </c>
      <c r="AD553" s="0" t="str">
        <f aca="false">IF(Y553=1,"",IF(AND(Z553=1,AB553&lt;&gt;1),1,0))</f>
        <v/>
      </c>
      <c r="AE553" s="0" t="str">
        <f aca="false">IF(Y553=1,"",IF(AND(AA553=1,AC553&lt;&gt;1),1,0))</f>
        <v/>
      </c>
      <c r="AF553" s="45" t="str">
        <f aca="false">IF(AND(E553&gt;0,Y553&lt;1,NOT(AND(C554=C553,Y554=Y553+1))),INDEX(DATAS,Y553+1),"")</f>
        <v/>
      </c>
      <c r="AG553" s="45" t="str">
        <f aca="false">IF(AND(AA553=1,Y553&lt;1),IF(AND(C554=C553,Y554=Y553+1),IF(AA554=1,"",INDEX(DATAS,Y553+1)),INDEX(DATAS,Y553+1)),"")</f>
        <v/>
      </c>
    </row>
    <row r="554" customFormat="false" ht="15" hidden="false" customHeight="false" outlineLevel="0" collapsed="false">
      <c r="A554" s="45" t="n">
        <v>46309</v>
      </c>
      <c r="B554" s="0" t="n">
        <v>2</v>
      </c>
      <c r="C554" s="0" t="n">
        <v>4361</v>
      </c>
      <c r="D554" s="0" t="n">
        <v>82</v>
      </c>
      <c r="E554" s="0" t="n">
        <v>3</v>
      </c>
      <c r="F554" s="39" t="s">
        <v>504</v>
      </c>
      <c r="G554" s="0" t="n">
        <v>59.5</v>
      </c>
      <c r="H554" s="0" t="n">
        <v>56</v>
      </c>
      <c r="I554" s="39" t="s">
        <v>138</v>
      </c>
      <c r="J554" s="0" t="n">
        <v>82</v>
      </c>
      <c r="K554" s="0" t="n">
        <v>68</v>
      </c>
      <c r="M554" s="0" t="n">
        <v>613.81</v>
      </c>
      <c r="N554" s="0" t="n">
        <v>43.92</v>
      </c>
      <c r="O554" s="0" t="n">
        <v>29.21</v>
      </c>
      <c r="P554" s="0" t="n">
        <v>2.43</v>
      </c>
      <c r="Q554" s="0" t="n">
        <v>2.93</v>
      </c>
      <c r="R554" s="0" t="n">
        <v>5509</v>
      </c>
      <c r="S554" s="0" t="n">
        <v>11074</v>
      </c>
      <c r="U554" s="0" t="n">
        <v>1416</v>
      </c>
      <c r="V554" s="0" t="n">
        <v>1</v>
      </c>
      <c r="W554" s="39" t="n">
        <f aca="false">IF(I554="Male",0,1)</f>
        <v>1</v>
      </c>
      <c r="X554" s="39" t="n">
        <f aca="false">IF(OR(I554="DNB",I554="Dry DNB"),1,0)</f>
        <v>0</v>
      </c>
      <c r="Y554" s="39" t="n">
        <f aca="false">MATCH(A554,DATAS,0)</f>
        <v>1</v>
      </c>
      <c r="Z554" s="39" t="n">
        <f aca="false">IF(AND(E554&gt;0,OR(AND(B554&gt;=1,B554&lt;=6),B554=10)),1,0)</f>
        <v>1</v>
      </c>
      <c r="AA554" s="39" t="n">
        <f aca="false">IF(AND(E554&gt;0,B554=10),1,0)</f>
        <v>0</v>
      </c>
      <c r="AB554" s="0" t="str">
        <f aca="false">IF(AND(C553=C554,Y553=Y554-1),Z553,"")</f>
        <v/>
      </c>
      <c r="AC554" s="0" t="str">
        <f aca="false">IF(AND(C553=C554,Y553=Y554-1),AA553,"")</f>
        <v/>
      </c>
      <c r="AD554" s="0" t="str">
        <f aca="false">IF(Y554=1,"",IF(AND(Z554=1,AB554&lt;&gt;1),1,0))</f>
        <v/>
      </c>
      <c r="AE554" s="0" t="str">
        <f aca="false">IF(Y554=1,"",IF(AND(AA554=1,AC554&lt;&gt;1),1,0))</f>
        <v/>
      </c>
      <c r="AF554" s="45" t="str">
        <f aca="false">IF(AND(E554&gt;0,Y554&lt;1,NOT(AND(C555=C554,Y555=Y554+1))),INDEX(DATAS,Y554+1),"")</f>
        <v/>
      </c>
      <c r="AG554" s="45" t="str">
        <f aca="false">IF(AND(AA554=1,Y554&lt;1),IF(AND(C555=C554,Y555=Y554+1),IF(AA555=1,"",INDEX(DATAS,Y554+1)),INDEX(DATAS,Y554+1)),"")</f>
        <v/>
      </c>
    </row>
    <row r="555" customFormat="false" ht="15" hidden="false" customHeight="false" outlineLevel="0" collapsed="false">
      <c r="A555" s="45" t="n">
        <v>46309</v>
      </c>
      <c r="B555" s="0" t="n">
        <v>5</v>
      </c>
      <c r="C555" s="0" t="n">
        <v>4362</v>
      </c>
      <c r="D555" s="0" t="n">
        <v>297</v>
      </c>
      <c r="E555" s="0" t="n">
        <v>2</v>
      </c>
      <c r="F555" s="39" t="s">
        <v>504</v>
      </c>
      <c r="G555" s="0" t="n">
        <v>46</v>
      </c>
      <c r="H555" s="0" t="n">
        <v>40</v>
      </c>
      <c r="I555" s="39" t="s">
        <v>109</v>
      </c>
      <c r="J555" s="0" t="n">
        <v>189</v>
      </c>
      <c r="K555" s="0" t="n">
        <v>66</v>
      </c>
      <c r="L555" s="0" t="n">
        <v>108</v>
      </c>
      <c r="M555" s="0" t="n">
        <v>124.44</v>
      </c>
      <c r="N555" s="0" t="n">
        <v>51.23</v>
      </c>
      <c r="O555" s="0" t="n">
        <v>18.38</v>
      </c>
      <c r="P555" s="0" t="n">
        <v>3.15</v>
      </c>
      <c r="Q555" s="0" t="n">
        <v>3.52</v>
      </c>
      <c r="R555" s="0" t="n">
        <v>5520</v>
      </c>
      <c r="S555" s="0" t="n">
        <v>10960</v>
      </c>
      <c r="T555" s="0" t="n">
        <v>60.25</v>
      </c>
      <c r="U555" s="0" t="n">
        <v>1416</v>
      </c>
      <c r="V555" s="0" t="n">
        <v>5</v>
      </c>
      <c r="W555" s="39" t="n">
        <f aca="false">IF(I555="Male",0,1)</f>
        <v>1</v>
      </c>
      <c r="X555" s="39" t="n">
        <f aca="false">IF(OR(I555="DNB",I555="Dry DNB"),1,0)</f>
        <v>0</v>
      </c>
      <c r="Y555" s="39" t="n">
        <f aca="false">MATCH(A555,DATAS,0)</f>
        <v>1</v>
      </c>
      <c r="Z555" s="39" t="n">
        <f aca="false">IF(AND(E555&gt;0,OR(AND(B555&gt;=1,B555&lt;=6),B555=10)),1,0)</f>
        <v>1</v>
      </c>
      <c r="AA555" s="39" t="n">
        <f aca="false">IF(AND(E555&gt;0,B555=10),1,0)</f>
        <v>0</v>
      </c>
      <c r="AB555" s="0" t="str">
        <f aca="false">IF(AND(C554=C555,Y554=Y555-1),Z554,"")</f>
        <v/>
      </c>
      <c r="AC555" s="0" t="str">
        <f aca="false">IF(AND(C554=C555,Y554=Y555-1),AA554,"")</f>
        <v/>
      </c>
      <c r="AD555" s="0" t="str">
        <f aca="false">IF(Y555=1,"",IF(AND(Z555=1,AB555&lt;&gt;1),1,0))</f>
        <v/>
      </c>
      <c r="AE555" s="0" t="str">
        <f aca="false">IF(Y555=1,"",IF(AND(AA555=1,AC555&lt;&gt;1),1,0))</f>
        <v/>
      </c>
      <c r="AF555" s="45" t="str">
        <f aca="false">IF(AND(E555&gt;0,Y555&lt;1,NOT(AND(C556=C555,Y556=Y555+1))),INDEX(DATAS,Y555+1),"")</f>
        <v/>
      </c>
      <c r="AG555" s="45" t="str">
        <f aca="false">IF(AND(AA555=1,Y555&lt;1),IF(AND(C556=C555,Y556=Y555+1),IF(AA556=1,"",INDEX(DATAS,Y555+1)),INDEX(DATAS,Y555+1)),"")</f>
        <v/>
      </c>
    </row>
    <row r="556" customFormat="false" ht="15" hidden="false" customHeight="false" outlineLevel="0" collapsed="false">
      <c r="A556" s="45" t="n">
        <v>46309</v>
      </c>
      <c r="B556" s="0" t="n">
        <v>5</v>
      </c>
      <c r="C556" s="0" t="n">
        <v>4366</v>
      </c>
      <c r="D556" s="0" t="n">
        <v>37</v>
      </c>
      <c r="E556" s="0" t="n">
        <v>3</v>
      </c>
      <c r="F556" s="39" t="s">
        <v>505</v>
      </c>
      <c r="G556" s="0" t="n">
        <v>46.6</v>
      </c>
      <c r="H556" s="0" t="n">
        <v>39</v>
      </c>
      <c r="I556" s="39" t="s">
        <v>118</v>
      </c>
      <c r="J556" s="0" t="n">
        <v>37</v>
      </c>
      <c r="M556" s="0" t="n">
        <v>17.79</v>
      </c>
      <c r="N556" s="0" t="n">
        <v>57.68</v>
      </c>
      <c r="O556" s="0" t="n">
        <v>18.87</v>
      </c>
      <c r="P556" s="0" t="n">
        <v>4.44</v>
      </c>
      <c r="Q556" s="0" t="n">
        <v>4.23</v>
      </c>
      <c r="R556" s="0" t="n">
        <v>3057</v>
      </c>
      <c r="S556" s="0" t="n">
        <v>6146</v>
      </c>
      <c r="U556" s="0" t="n">
        <v>1414</v>
      </c>
      <c r="V556" s="0" t="n">
        <v>0</v>
      </c>
      <c r="W556" s="39" t="n">
        <f aca="false">IF(I556="Male",0,1)</f>
        <v>1</v>
      </c>
      <c r="X556" s="39" t="n">
        <f aca="false">IF(OR(I556="DNB",I556="Dry DNB"),1,0)</f>
        <v>0</v>
      </c>
      <c r="Y556" s="39" t="n">
        <f aca="false">MATCH(A556,DATAS,0)</f>
        <v>1</v>
      </c>
      <c r="Z556" s="39" t="n">
        <f aca="false">IF(AND(E556&gt;0,OR(AND(B556&gt;=1,B556&lt;=6),B556=10)),1,0)</f>
        <v>1</v>
      </c>
      <c r="AA556" s="39" t="n">
        <f aca="false">IF(AND(E556&gt;0,B556=10),1,0)</f>
        <v>0</v>
      </c>
      <c r="AB556" s="0" t="str">
        <f aca="false">IF(AND(C555=C556,Y555=Y556-1),Z555,"")</f>
        <v/>
      </c>
      <c r="AC556" s="0" t="str">
        <f aca="false">IF(AND(C555=C556,Y555=Y556-1),AA555,"")</f>
        <v/>
      </c>
      <c r="AD556" s="0" t="str">
        <f aca="false">IF(Y556=1,"",IF(AND(Z556=1,AB556&lt;&gt;1),1,0))</f>
        <v/>
      </c>
      <c r="AE556" s="0" t="str">
        <f aca="false">IF(Y556=1,"",IF(AND(AA556=1,AC556&lt;&gt;1),1,0))</f>
        <v/>
      </c>
      <c r="AF556" s="45" t="str">
        <f aca="false">IF(AND(E556&gt;0,Y556&lt;1,NOT(AND(C557=C556,Y557=Y556+1))),INDEX(DATAS,Y556+1),"")</f>
        <v/>
      </c>
      <c r="AG556" s="45" t="str">
        <f aca="false">IF(AND(AA556=1,Y556&lt;1),IF(AND(C557=C556,Y557=Y556+1),IF(AA557=1,"",INDEX(DATAS,Y556+1)),INDEX(DATAS,Y556+1)),"")</f>
        <v/>
      </c>
    </row>
    <row r="557" customFormat="false" ht="15" hidden="false" customHeight="false" outlineLevel="0" collapsed="false">
      <c r="A557" s="45" t="n">
        <v>46309</v>
      </c>
      <c r="B557" s="0" t="n">
        <v>3</v>
      </c>
      <c r="C557" s="0" t="n">
        <v>4367</v>
      </c>
      <c r="D557" s="0" t="n">
        <v>84</v>
      </c>
      <c r="E557" s="0" t="n">
        <v>3</v>
      </c>
      <c r="F557" s="39" t="s">
        <v>506</v>
      </c>
      <c r="G557" s="0" t="n">
        <v>63.3</v>
      </c>
      <c r="H557" s="0" t="n">
        <v>64</v>
      </c>
      <c r="I557" s="39" t="s">
        <v>138</v>
      </c>
      <c r="J557" s="0" t="n">
        <v>84</v>
      </c>
      <c r="K557" s="0" t="n">
        <v>63</v>
      </c>
      <c r="M557" s="0" t="n">
        <v>467.73</v>
      </c>
      <c r="N557" s="0" t="n">
        <v>51.99</v>
      </c>
      <c r="O557" s="0" t="n">
        <v>15.54</v>
      </c>
      <c r="P557" s="0" t="n">
        <v>3.12</v>
      </c>
      <c r="Q557" s="0" t="n">
        <v>2.73</v>
      </c>
      <c r="R557" s="0" t="n">
        <v>5515</v>
      </c>
      <c r="S557" s="0" t="n">
        <v>11086</v>
      </c>
      <c r="U557" s="0" t="n">
        <v>1413</v>
      </c>
      <c r="V557" s="0" t="n">
        <v>1</v>
      </c>
      <c r="W557" s="39" t="n">
        <f aca="false">IF(I557="Male",0,1)</f>
        <v>1</v>
      </c>
      <c r="X557" s="39" t="n">
        <f aca="false">IF(OR(I557="DNB",I557="Dry DNB"),1,0)</f>
        <v>0</v>
      </c>
      <c r="Y557" s="39" t="n">
        <f aca="false">MATCH(A557,DATAS,0)</f>
        <v>1</v>
      </c>
      <c r="Z557" s="39" t="n">
        <f aca="false">IF(AND(E557&gt;0,OR(AND(B557&gt;=1,B557&lt;=6),B557=10)),1,0)</f>
        <v>1</v>
      </c>
      <c r="AA557" s="39" t="n">
        <f aca="false">IF(AND(E557&gt;0,B557=10),1,0)</f>
        <v>0</v>
      </c>
      <c r="AB557" s="0" t="str">
        <f aca="false">IF(AND(C556=C557,Y556=Y557-1),Z556,"")</f>
        <v/>
      </c>
      <c r="AC557" s="0" t="str">
        <f aca="false">IF(AND(C556=C557,Y556=Y557-1),AA556,"")</f>
        <v/>
      </c>
      <c r="AD557" s="0" t="str">
        <f aca="false">IF(Y557=1,"",IF(AND(Z557=1,AB557&lt;&gt;1),1,0))</f>
        <v/>
      </c>
      <c r="AE557" s="0" t="str">
        <f aca="false">IF(Y557=1,"",IF(AND(AA557=1,AC557&lt;&gt;1),1,0))</f>
        <v/>
      </c>
      <c r="AF557" s="45" t="str">
        <f aca="false">IF(AND(E557&gt;0,Y557&lt;1,NOT(AND(C558=C557,Y558=Y557+1))),INDEX(DATAS,Y557+1),"")</f>
        <v/>
      </c>
      <c r="AG557" s="45" t="str">
        <f aca="false">IF(AND(AA557=1,Y557&lt;1),IF(AND(C558=C557,Y558=Y557+1),IF(AA558=1,"",INDEX(DATAS,Y557+1)),INDEX(DATAS,Y557+1)),"")</f>
        <v/>
      </c>
    </row>
    <row r="558" customFormat="false" ht="15" hidden="false" customHeight="false" outlineLevel="0" collapsed="false">
      <c r="A558" s="45" t="n">
        <v>46309</v>
      </c>
      <c r="B558" s="0" t="n">
        <v>3</v>
      </c>
      <c r="C558" s="0" t="n">
        <v>4370</v>
      </c>
      <c r="D558" s="0" t="n">
        <v>287</v>
      </c>
      <c r="E558" s="0" t="n">
        <v>2</v>
      </c>
      <c r="F558" s="39" t="s">
        <v>507</v>
      </c>
      <c r="G558" s="0" t="n">
        <v>57.2</v>
      </c>
      <c r="H558" s="0" t="n">
        <v>58</v>
      </c>
      <c r="I558" s="39" t="s">
        <v>109</v>
      </c>
      <c r="J558" s="0" t="n">
        <v>245</v>
      </c>
      <c r="K558" s="0" t="n">
        <v>63</v>
      </c>
      <c r="L558" s="0" t="n">
        <v>42</v>
      </c>
      <c r="M558" s="0" t="n">
        <v>1130.56</v>
      </c>
      <c r="N558" s="0" t="n">
        <v>36.86</v>
      </c>
      <c r="O558" s="0" t="n">
        <v>40.23</v>
      </c>
      <c r="P558" s="0" t="n">
        <v>3.33</v>
      </c>
      <c r="Q558" s="0" t="n">
        <v>3.6</v>
      </c>
      <c r="R558" s="0" t="n">
        <v>7127</v>
      </c>
      <c r="S558" s="0" t="n">
        <v>12861</v>
      </c>
      <c r="T558" s="0" t="n">
        <v>71.25</v>
      </c>
      <c r="U558" s="0" t="n">
        <v>1412</v>
      </c>
      <c r="V558" s="0" t="n">
        <v>7</v>
      </c>
      <c r="W558" s="39" t="n">
        <f aca="false">IF(I558="Male",0,1)</f>
        <v>1</v>
      </c>
      <c r="X558" s="39" t="n">
        <f aca="false">IF(OR(I558="DNB",I558="Dry DNB"),1,0)</f>
        <v>0</v>
      </c>
      <c r="Y558" s="39" t="n">
        <f aca="false">MATCH(A558,DATAS,0)</f>
        <v>1</v>
      </c>
      <c r="Z558" s="39" t="n">
        <f aca="false">IF(AND(E558&gt;0,OR(AND(B558&gt;=1,B558&lt;=6),B558=10)),1,0)</f>
        <v>1</v>
      </c>
      <c r="AA558" s="39" t="n">
        <f aca="false">IF(AND(E558&gt;0,B558=10),1,0)</f>
        <v>0</v>
      </c>
      <c r="AB558" s="0" t="str">
        <f aca="false">IF(AND(C557=C558,Y557=Y558-1),Z557,"")</f>
        <v/>
      </c>
      <c r="AC558" s="0" t="str">
        <f aca="false">IF(AND(C557=C558,Y557=Y558-1),AA557,"")</f>
        <v/>
      </c>
      <c r="AD558" s="0" t="str">
        <f aca="false">IF(Y558=1,"",IF(AND(Z558=1,AB558&lt;&gt;1),1,0))</f>
        <v/>
      </c>
      <c r="AE558" s="0" t="str">
        <f aca="false">IF(Y558=1,"",IF(AND(AA558=1,AC558&lt;&gt;1),1,0))</f>
        <v/>
      </c>
      <c r="AF558" s="45" t="str">
        <f aca="false">IF(AND(E558&gt;0,Y558&lt;1,NOT(AND(C559=C558,Y559=Y558+1))),INDEX(DATAS,Y558+1),"")</f>
        <v/>
      </c>
      <c r="AG558" s="45" t="str">
        <f aca="false">IF(AND(AA558=1,Y558&lt;1),IF(AND(C559=C558,Y559=Y558+1),IF(AA559=1,"",INDEX(DATAS,Y558+1)),INDEX(DATAS,Y558+1)),"")</f>
        <v/>
      </c>
    </row>
    <row r="559" customFormat="false" ht="15" hidden="false" customHeight="false" outlineLevel="0" collapsed="false">
      <c r="A559" s="45" t="n">
        <v>46309</v>
      </c>
      <c r="B559" s="0" t="n">
        <v>5</v>
      </c>
      <c r="C559" s="0" t="n">
        <v>4372</v>
      </c>
      <c r="D559" s="0" t="n">
        <v>347</v>
      </c>
      <c r="E559" s="0" t="n">
        <v>2</v>
      </c>
      <c r="F559" s="39" t="s">
        <v>508</v>
      </c>
      <c r="G559" s="0" t="n">
        <v>38.2</v>
      </c>
      <c r="H559" s="0" t="n">
        <v>31</v>
      </c>
      <c r="I559" s="39" t="s">
        <v>138</v>
      </c>
      <c r="J559" s="0" t="n">
        <v>347</v>
      </c>
      <c r="K559" s="0" t="n">
        <v>68</v>
      </c>
      <c r="M559" s="0" t="n">
        <v>327.17</v>
      </c>
      <c r="N559" s="0" t="n">
        <v>54.68</v>
      </c>
      <c r="O559" s="0" t="n">
        <v>24.81</v>
      </c>
      <c r="P559" s="0" t="n">
        <v>4.19</v>
      </c>
      <c r="Q559" s="0" t="n">
        <v>4.54</v>
      </c>
      <c r="R559" s="0" t="n">
        <v>5519</v>
      </c>
      <c r="S559" s="0" t="n">
        <v>9264</v>
      </c>
      <c r="T559" s="0" t="n">
        <v>55.55</v>
      </c>
      <c r="U559" s="0" t="n">
        <v>1410</v>
      </c>
      <c r="V559" s="0" t="n">
        <v>8</v>
      </c>
      <c r="W559" s="39" t="n">
        <f aca="false">IF(I559="Male",0,1)</f>
        <v>1</v>
      </c>
      <c r="X559" s="39" t="n">
        <f aca="false">IF(OR(I559="DNB",I559="Dry DNB"),1,0)</f>
        <v>0</v>
      </c>
      <c r="Y559" s="39" t="n">
        <f aca="false">MATCH(A559,DATAS,0)</f>
        <v>1</v>
      </c>
      <c r="Z559" s="39" t="n">
        <f aca="false">IF(AND(E559&gt;0,OR(AND(B559&gt;=1,B559&lt;=6),B559=10)),1,0)</f>
        <v>1</v>
      </c>
      <c r="AA559" s="39" t="n">
        <f aca="false">IF(AND(E559&gt;0,B559=10),1,0)</f>
        <v>0</v>
      </c>
      <c r="AB559" s="0" t="str">
        <f aca="false">IF(AND(C558=C559,Y558=Y559-1),Z558,"")</f>
        <v/>
      </c>
      <c r="AC559" s="0" t="str">
        <f aca="false">IF(AND(C558=C559,Y558=Y559-1),AA558,"")</f>
        <v/>
      </c>
      <c r="AD559" s="0" t="str">
        <f aca="false">IF(Y559=1,"",IF(AND(Z559=1,AB559&lt;&gt;1),1,0))</f>
        <v/>
      </c>
      <c r="AE559" s="0" t="str">
        <f aca="false">IF(Y559=1,"",IF(AND(AA559=1,AC559&lt;&gt;1),1,0))</f>
        <v/>
      </c>
      <c r="AF559" s="45" t="str">
        <f aca="false">IF(AND(E559&gt;0,Y559&lt;1,NOT(AND(C560=C559,Y560=Y559+1))),INDEX(DATAS,Y559+1),"")</f>
        <v/>
      </c>
      <c r="AG559" s="45" t="str">
        <f aca="false">IF(AND(AA559=1,Y559&lt;1),IF(AND(C560=C559,Y560=Y559+1),IF(AA560=1,"",INDEX(DATAS,Y559+1)),INDEX(DATAS,Y559+1)),"")</f>
        <v/>
      </c>
    </row>
    <row r="560" customFormat="false" ht="15" hidden="false" customHeight="false" outlineLevel="0" collapsed="false">
      <c r="A560" s="45" t="n">
        <v>46309</v>
      </c>
      <c r="B560" s="0" t="n">
        <v>5</v>
      </c>
      <c r="C560" s="0" t="n">
        <v>4373</v>
      </c>
      <c r="D560" s="0" t="n">
        <v>332</v>
      </c>
      <c r="E560" s="0" t="n">
        <v>2</v>
      </c>
      <c r="F560" s="39" t="s">
        <v>509</v>
      </c>
      <c r="I560" s="39" t="s">
        <v>109</v>
      </c>
      <c r="J560" s="0" t="n">
        <v>123</v>
      </c>
      <c r="K560" s="0" t="n">
        <v>66</v>
      </c>
      <c r="L560" s="0" t="n">
        <v>209</v>
      </c>
      <c r="M560" s="0" t="n">
        <v>150.82</v>
      </c>
      <c r="N560" s="0" t="n">
        <v>63.4</v>
      </c>
      <c r="O560" s="0" t="n">
        <v>25.01</v>
      </c>
      <c r="P560" s="0" t="n">
        <v>4.59</v>
      </c>
      <c r="Q560" s="0" t="n">
        <v>3.99</v>
      </c>
      <c r="R560" s="0" t="n">
        <v>6818</v>
      </c>
      <c r="S560" s="0" t="n">
        <v>12472</v>
      </c>
      <c r="T560" s="0" t="n">
        <v>72.15</v>
      </c>
      <c r="U560" s="0" t="n">
        <v>1409</v>
      </c>
      <c r="V560" s="0" t="n">
        <v>3</v>
      </c>
      <c r="W560" s="39" t="n">
        <f aca="false">IF(I560="Male",0,1)</f>
        <v>1</v>
      </c>
      <c r="X560" s="39" t="n">
        <f aca="false">IF(OR(I560="DNB",I560="Dry DNB"),1,0)</f>
        <v>0</v>
      </c>
      <c r="Y560" s="39" t="n">
        <f aca="false">MATCH(A560,DATAS,0)</f>
        <v>1</v>
      </c>
      <c r="Z560" s="39" t="n">
        <f aca="false">IF(AND(E560&gt;0,OR(AND(B560&gt;=1,B560&lt;=6),B560=10)),1,0)</f>
        <v>1</v>
      </c>
      <c r="AA560" s="39" t="n">
        <f aca="false">IF(AND(E560&gt;0,B560=10),1,0)</f>
        <v>0</v>
      </c>
      <c r="AB560" s="0" t="str">
        <f aca="false">IF(AND(C559=C560,Y559=Y560-1),Z559,"")</f>
        <v/>
      </c>
      <c r="AC560" s="0" t="str">
        <f aca="false">IF(AND(C559=C560,Y559=Y560-1),AA559,"")</f>
        <v/>
      </c>
      <c r="AD560" s="0" t="str">
        <f aca="false">IF(Y560=1,"",IF(AND(Z560=1,AB560&lt;&gt;1),1,0))</f>
        <v/>
      </c>
      <c r="AE560" s="0" t="str">
        <f aca="false">IF(Y560=1,"",IF(AND(AA560=1,AC560&lt;&gt;1),1,0))</f>
        <v/>
      </c>
      <c r="AF560" s="45" t="str">
        <f aca="false">IF(AND(E560&gt;0,Y560&lt;1,NOT(AND(C561=C560,Y561=Y560+1))),INDEX(DATAS,Y560+1),"")</f>
        <v/>
      </c>
      <c r="AG560" s="45" t="str">
        <f aca="false">IF(AND(AA560=1,Y560&lt;1),IF(AND(C561=C560,Y561=Y560+1),IF(AA561=1,"",INDEX(DATAS,Y560+1)),INDEX(DATAS,Y560+1)),"")</f>
        <v/>
      </c>
    </row>
    <row r="561" customFormat="false" ht="15" hidden="false" customHeight="false" outlineLevel="0" collapsed="false">
      <c r="A561" s="45" t="n">
        <v>46309</v>
      </c>
      <c r="B561" s="0" t="n">
        <v>6</v>
      </c>
      <c r="C561" s="0" t="n">
        <v>4376</v>
      </c>
      <c r="D561" s="0" t="n">
        <v>217</v>
      </c>
      <c r="E561" s="0" t="n">
        <v>2</v>
      </c>
      <c r="F561" s="39" t="s">
        <v>509</v>
      </c>
      <c r="H561" s="0" t="n">
        <v>22</v>
      </c>
      <c r="I561" s="39" t="s">
        <v>109</v>
      </c>
      <c r="J561" s="0" t="n">
        <v>67</v>
      </c>
      <c r="K561" s="0" t="n">
        <v>67</v>
      </c>
      <c r="L561" s="0" t="n">
        <v>150</v>
      </c>
      <c r="M561" s="0" t="n">
        <v>375.23</v>
      </c>
      <c r="N561" s="0" t="n">
        <v>36.05</v>
      </c>
      <c r="O561" s="0" t="n">
        <v>20.8</v>
      </c>
      <c r="P561" s="0" t="n">
        <v>5.17</v>
      </c>
      <c r="Q561" s="0" t="n">
        <v>3.92</v>
      </c>
      <c r="R561" s="0" t="n">
        <v>2474</v>
      </c>
      <c r="S561" s="0" t="n">
        <v>5360</v>
      </c>
      <c r="T561" s="0" t="n">
        <v>26.8</v>
      </c>
      <c r="U561" s="0" t="n">
        <v>1409</v>
      </c>
      <c r="V561" s="0" t="n">
        <v>1</v>
      </c>
      <c r="W561" s="39" t="n">
        <f aca="false">IF(I561="Male",0,1)</f>
        <v>1</v>
      </c>
      <c r="X561" s="39" t="n">
        <f aca="false">IF(OR(I561="DNB",I561="Dry DNB"),1,0)</f>
        <v>0</v>
      </c>
      <c r="Y561" s="39" t="n">
        <f aca="false">MATCH(A561,DATAS,0)</f>
        <v>1</v>
      </c>
      <c r="Z561" s="39" t="n">
        <f aca="false">IF(AND(E561&gt;0,OR(AND(B561&gt;=1,B561&lt;=6),B561=10)),1,0)</f>
        <v>1</v>
      </c>
      <c r="AA561" s="39" t="n">
        <f aca="false">IF(AND(E561&gt;0,B561=10),1,0)</f>
        <v>0</v>
      </c>
      <c r="AB561" s="0" t="str">
        <f aca="false">IF(AND(C560=C561,Y560=Y561-1),Z560,"")</f>
        <v/>
      </c>
      <c r="AC561" s="0" t="str">
        <f aca="false">IF(AND(C560=C561,Y560=Y561-1),AA560,"")</f>
        <v/>
      </c>
      <c r="AD561" s="0" t="str">
        <f aca="false">IF(Y561=1,"",IF(AND(Z561=1,AB561&lt;&gt;1),1,0))</f>
        <v/>
      </c>
      <c r="AE561" s="0" t="str">
        <f aca="false">IF(Y561=1,"",IF(AND(AA561=1,AC561&lt;&gt;1),1,0))</f>
        <v/>
      </c>
      <c r="AF561" s="45" t="str">
        <f aca="false">IF(AND(E561&gt;0,Y561&lt;1,NOT(AND(C562=C561,Y562=Y561+1))),INDEX(DATAS,Y561+1),"")</f>
        <v/>
      </c>
      <c r="AG561" s="45" t="str">
        <f aca="false">IF(AND(AA561=1,Y561&lt;1),IF(AND(C562=C561,Y562=Y561+1),IF(AA562=1,"",INDEX(DATAS,Y561+1)),INDEX(DATAS,Y561+1)),"")</f>
        <v/>
      </c>
    </row>
    <row r="562" customFormat="false" ht="15" hidden="false" customHeight="false" outlineLevel="0" collapsed="false">
      <c r="A562" s="45" t="n">
        <v>46309</v>
      </c>
      <c r="B562" s="0" t="n">
        <v>3</v>
      </c>
      <c r="C562" s="0" t="n">
        <v>4378</v>
      </c>
      <c r="D562" s="0" t="n">
        <v>5</v>
      </c>
      <c r="E562" s="0" t="n">
        <v>3</v>
      </c>
      <c r="F562" s="39" t="s">
        <v>510</v>
      </c>
      <c r="G562" s="0" t="n">
        <v>35.3</v>
      </c>
      <c r="H562" s="0" t="n">
        <v>22</v>
      </c>
      <c r="I562" s="39" t="s">
        <v>118</v>
      </c>
      <c r="J562" s="0" t="n">
        <v>5</v>
      </c>
      <c r="M562" s="0" t="n">
        <v>606.89</v>
      </c>
      <c r="N562" s="0" t="n">
        <v>46.44</v>
      </c>
      <c r="O562" s="0" t="n">
        <v>30.14</v>
      </c>
      <c r="R562" s="0" t="n">
        <v>2041</v>
      </c>
      <c r="S562" s="0" t="n">
        <v>4104</v>
      </c>
      <c r="U562" s="0" t="n">
        <v>1404</v>
      </c>
      <c r="V562" s="0" t="n">
        <v>0</v>
      </c>
      <c r="W562" s="39" t="n">
        <f aca="false">IF(I562="Male",0,1)</f>
        <v>1</v>
      </c>
      <c r="X562" s="39" t="n">
        <f aca="false">IF(OR(I562="DNB",I562="Dry DNB"),1,0)</f>
        <v>0</v>
      </c>
      <c r="Y562" s="39" t="n">
        <f aca="false">MATCH(A562,DATAS,0)</f>
        <v>1</v>
      </c>
      <c r="Z562" s="39" t="n">
        <f aca="false">IF(AND(E562&gt;0,OR(AND(B562&gt;=1,B562&lt;=6),B562=10)),1,0)</f>
        <v>1</v>
      </c>
      <c r="AA562" s="39" t="n">
        <f aca="false">IF(AND(E562&gt;0,B562=10),1,0)</f>
        <v>0</v>
      </c>
      <c r="AB562" s="0" t="str">
        <f aca="false">IF(AND(C561=C562,Y561=Y562-1),Z561,"")</f>
        <v/>
      </c>
      <c r="AC562" s="0" t="str">
        <f aca="false">IF(AND(C561=C562,Y561=Y562-1),AA561,"")</f>
        <v/>
      </c>
      <c r="AD562" s="0" t="str">
        <f aca="false">IF(Y562=1,"",IF(AND(Z562=1,AB562&lt;&gt;1),1,0))</f>
        <v/>
      </c>
      <c r="AE562" s="0" t="str">
        <f aca="false">IF(Y562=1,"",IF(AND(AA562=1,AC562&lt;&gt;1),1,0))</f>
        <v/>
      </c>
      <c r="AF562" s="45" t="str">
        <f aca="false">IF(AND(E562&gt;0,Y562&lt;1,NOT(AND(C563=C562,Y563=Y562+1))),INDEX(DATAS,Y562+1),"")</f>
        <v/>
      </c>
      <c r="AG562" s="45" t="str">
        <f aca="false">IF(AND(AA562=1,Y562&lt;1),IF(AND(C563=C562,Y563=Y562+1),IF(AA563=1,"",INDEX(DATAS,Y562+1)),INDEX(DATAS,Y562+1)),"")</f>
        <v/>
      </c>
    </row>
    <row r="563" customFormat="false" ht="15" hidden="false" customHeight="false" outlineLevel="0" collapsed="false">
      <c r="A563" s="45" t="n">
        <v>46309</v>
      </c>
      <c r="B563" s="0" t="n">
        <v>5</v>
      </c>
      <c r="C563" s="0" t="n">
        <v>4379</v>
      </c>
      <c r="D563" s="0" t="n">
        <v>328</v>
      </c>
      <c r="E563" s="0" t="n">
        <v>2</v>
      </c>
      <c r="F563" s="39" t="s">
        <v>511</v>
      </c>
      <c r="G563" s="0" t="n">
        <v>25.8</v>
      </c>
      <c r="H563" s="0" t="n">
        <v>24</v>
      </c>
      <c r="I563" s="39" t="s">
        <v>109</v>
      </c>
      <c r="J563" s="0" t="n">
        <v>251</v>
      </c>
      <c r="K563" s="0" t="n">
        <v>62</v>
      </c>
      <c r="L563" s="0" t="n">
        <v>77</v>
      </c>
      <c r="M563" s="0" t="n">
        <v>594.69</v>
      </c>
      <c r="N563" s="0" t="n">
        <v>62.66</v>
      </c>
      <c r="O563" s="0" t="n">
        <v>38.2</v>
      </c>
      <c r="P563" s="0" t="n">
        <v>5.13</v>
      </c>
      <c r="Q563" s="0" t="n">
        <v>4.84</v>
      </c>
      <c r="R563" s="0" t="n">
        <v>5212</v>
      </c>
      <c r="S563" s="0" t="n">
        <v>10168</v>
      </c>
      <c r="T563" s="0" t="n">
        <v>56.2</v>
      </c>
      <c r="U563" s="0" t="n">
        <v>1402</v>
      </c>
      <c r="V563" s="0" t="n">
        <v>6</v>
      </c>
      <c r="W563" s="39" t="n">
        <f aca="false">IF(I563="Male",0,1)</f>
        <v>1</v>
      </c>
      <c r="X563" s="39" t="n">
        <f aca="false">IF(OR(I563="DNB",I563="Dry DNB"),1,0)</f>
        <v>0</v>
      </c>
      <c r="Y563" s="39" t="n">
        <f aca="false">MATCH(A563,DATAS,0)</f>
        <v>1</v>
      </c>
      <c r="Z563" s="39" t="n">
        <f aca="false">IF(AND(E563&gt;0,OR(AND(B563&gt;=1,B563&lt;=6),B563=10)),1,0)</f>
        <v>1</v>
      </c>
      <c r="AA563" s="39" t="n">
        <f aca="false">IF(AND(E563&gt;0,B563=10),1,0)</f>
        <v>0</v>
      </c>
      <c r="AB563" s="0" t="str">
        <f aca="false">IF(AND(C562=C563,Y562=Y563-1),Z562,"")</f>
        <v/>
      </c>
      <c r="AC563" s="0" t="str">
        <f aca="false">IF(AND(C562=C563,Y562=Y563-1),AA562,"")</f>
        <v/>
      </c>
      <c r="AD563" s="0" t="str">
        <f aca="false">IF(Y563=1,"",IF(AND(Z563=1,AB563&lt;&gt;1),1,0))</f>
        <v/>
      </c>
      <c r="AE563" s="0" t="str">
        <f aca="false">IF(Y563=1,"",IF(AND(AA563=1,AC563&lt;&gt;1),1,0))</f>
        <v/>
      </c>
      <c r="AF563" s="45" t="str">
        <f aca="false">IF(AND(E563&gt;0,Y563&lt;1,NOT(AND(C564=C563,Y564=Y563+1))),INDEX(DATAS,Y563+1),"")</f>
        <v/>
      </c>
      <c r="AG563" s="45" t="str">
        <f aca="false">IF(AND(AA563=1,Y563&lt;1),IF(AND(C564=C563,Y564=Y563+1),IF(AA564=1,"",INDEX(DATAS,Y563+1)),INDEX(DATAS,Y563+1)),"")</f>
        <v/>
      </c>
    </row>
    <row r="564" customFormat="false" ht="15" hidden="false" customHeight="false" outlineLevel="0" collapsed="false">
      <c r="A564" s="45" t="n">
        <v>46309</v>
      </c>
      <c r="B564" s="0" t="n">
        <v>5</v>
      </c>
      <c r="C564" s="0" t="n">
        <v>4380</v>
      </c>
      <c r="D564" s="0" t="n">
        <v>297</v>
      </c>
      <c r="E564" s="0" t="n">
        <v>2</v>
      </c>
      <c r="F564" s="39" t="s">
        <v>512</v>
      </c>
      <c r="G564" s="0" t="n">
        <v>35.3</v>
      </c>
      <c r="H564" s="0" t="n">
        <v>41</v>
      </c>
      <c r="I564" s="39" t="s">
        <v>109</v>
      </c>
      <c r="J564" s="0" t="n">
        <v>227</v>
      </c>
      <c r="K564" s="0" t="n">
        <v>101</v>
      </c>
      <c r="L564" s="0" t="n">
        <v>70</v>
      </c>
      <c r="M564" s="0" t="n">
        <v>1002.46</v>
      </c>
      <c r="N564" s="0" t="n">
        <v>40.48</v>
      </c>
      <c r="O564" s="0" t="n">
        <v>35.01</v>
      </c>
      <c r="P564" s="0" t="n">
        <v>2.91</v>
      </c>
      <c r="Q564" s="0" t="n">
        <v>3.68</v>
      </c>
      <c r="R564" s="0" t="n">
        <v>5528</v>
      </c>
      <c r="S564" s="0" t="n">
        <v>10622</v>
      </c>
      <c r="T564" s="0" t="n">
        <v>65.65</v>
      </c>
      <c r="U564" s="0" t="n">
        <v>1401</v>
      </c>
      <c r="V564" s="0" t="n">
        <v>4</v>
      </c>
      <c r="W564" s="39" t="n">
        <f aca="false">IF(I564="Male",0,1)</f>
        <v>1</v>
      </c>
      <c r="X564" s="39" t="n">
        <f aca="false">IF(OR(I564="DNB",I564="Dry DNB"),1,0)</f>
        <v>0</v>
      </c>
      <c r="Y564" s="39" t="n">
        <f aca="false">MATCH(A564,DATAS,0)</f>
        <v>1</v>
      </c>
      <c r="Z564" s="39" t="n">
        <f aca="false">IF(AND(E564&gt;0,OR(AND(B564&gt;=1,B564&lt;=6),B564=10)),1,0)</f>
        <v>1</v>
      </c>
      <c r="AA564" s="39" t="n">
        <f aca="false">IF(AND(E564&gt;0,B564=10),1,0)</f>
        <v>0</v>
      </c>
      <c r="AB564" s="0" t="str">
        <f aca="false">IF(AND(C563=C564,Y563=Y564-1),Z563,"")</f>
        <v/>
      </c>
      <c r="AC564" s="0" t="str">
        <f aca="false">IF(AND(C563=C564,Y563=Y564-1),AA563,"")</f>
        <v/>
      </c>
      <c r="AD564" s="0" t="str">
        <f aca="false">IF(Y564=1,"",IF(AND(Z564=1,AB564&lt;&gt;1),1,0))</f>
        <v/>
      </c>
      <c r="AE564" s="0" t="str">
        <f aca="false">IF(Y564=1,"",IF(AND(AA564=1,AC564&lt;&gt;1),1,0))</f>
        <v/>
      </c>
      <c r="AF564" s="45" t="str">
        <f aca="false">IF(AND(E564&gt;0,Y564&lt;1,NOT(AND(C565=C564,Y565=Y564+1))),INDEX(DATAS,Y564+1),"")</f>
        <v/>
      </c>
      <c r="AG564" s="45" t="str">
        <f aca="false">IF(AND(AA564=1,Y564&lt;1),IF(AND(C565=C564,Y565=Y564+1),IF(AA565=1,"",INDEX(DATAS,Y564+1)),INDEX(DATAS,Y564+1)),"")</f>
        <v/>
      </c>
    </row>
    <row r="565" customFormat="false" ht="15" hidden="false" customHeight="false" outlineLevel="0" collapsed="false">
      <c r="A565" s="45" t="n">
        <v>46309</v>
      </c>
      <c r="B565" s="0" t="n">
        <v>14</v>
      </c>
      <c r="C565" s="0" t="n">
        <v>4382</v>
      </c>
      <c r="D565" s="0" t="n">
        <v>637</v>
      </c>
      <c r="E565" s="0" t="n">
        <v>1</v>
      </c>
      <c r="F565" s="39" t="s">
        <v>512</v>
      </c>
      <c r="I565" s="39" t="s">
        <v>114</v>
      </c>
      <c r="J565" s="0" t="n">
        <v>414</v>
      </c>
      <c r="K565" s="0" t="n">
        <v>65</v>
      </c>
      <c r="L565" s="0" t="n">
        <v>266</v>
      </c>
      <c r="M565" s="0" t="n">
        <v>1074.53</v>
      </c>
      <c r="N565" s="0" t="n">
        <v>49.36</v>
      </c>
      <c r="O565" s="0" t="n">
        <v>27.88</v>
      </c>
      <c r="P565" s="0" t="n">
        <v>3.72</v>
      </c>
      <c r="Q565" s="0" t="n">
        <v>3.51</v>
      </c>
      <c r="R565" s="0" t="n">
        <v>4782</v>
      </c>
      <c r="S565" s="0" t="n">
        <v>10672</v>
      </c>
      <c r="T565" s="0" t="n">
        <v>39.5</v>
      </c>
      <c r="U565" s="0" t="n">
        <v>1401</v>
      </c>
      <c r="V565" s="0" t="n">
        <v>13</v>
      </c>
      <c r="W565" s="39" t="n">
        <f aca="false">IF(I565="Male",0,1)</f>
        <v>1</v>
      </c>
      <c r="X565" s="39" t="n">
        <f aca="false">IF(OR(I565="DNB",I565="Dry DNB"),1,0)</f>
        <v>0</v>
      </c>
      <c r="Y565" s="39" t="n">
        <f aca="false">MATCH(A565,DATAS,0)</f>
        <v>1</v>
      </c>
      <c r="Z565" s="39" t="n">
        <f aca="false">IF(AND(E565&gt;0,OR(AND(B565&gt;=1,B565&lt;=6),B565=10)),1,0)</f>
        <v>0</v>
      </c>
      <c r="AA565" s="39" t="n">
        <f aca="false">IF(AND(E565&gt;0,B565=10),1,0)</f>
        <v>0</v>
      </c>
      <c r="AB565" s="0" t="str">
        <f aca="false">IF(AND(C564=C565,Y564=Y565-1),Z564,"")</f>
        <v/>
      </c>
      <c r="AC565" s="0" t="str">
        <f aca="false">IF(AND(C564=C565,Y564=Y565-1),AA564,"")</f>
        <v/>
      </c>
      <c r="AD565" s="0" t="str">
        <f aca="false">IF(Y565=1,"",IF(AND(Z565=1,AB565&lt;&gt;1),1,0))</f>
        <v/>
      </c>
      <c r="AE565" s="0" t="str">
        <f aca="false">IF(Y565=1,"",IF(AND(AA565=1,AC565&lt;&gt;1),1,0))</f>
        <v/>
      </c>
      <c r="AF565" s="45" t="str">
        <f aca="false">IF(AND(E565&gt;0,Y565&lt;1,NOT(AND(C566=C565,Y566=Y565+1))),INDEX(DATAS,Y565+1),"")</f>
        <v/>
      </c>
      <c r="AG565" s="45" t="str">
        <f aca="false">IF(AND(AA565=1,Y565&lt;1),IF(AND(C566=C565,Y566=Y565+1),IF(AA566=1,"",INDEX(DATAS,Y565+1)),INDEX(DATAS,Y565+1)),"")</f>
        <v/>
      </c>
    </row>
    <row r="566" customFormat="false" ht="15" hidden="false" customHeight="false" outlineLevel="0" collapsed="false">
      <c r="A566" s="45" t="n">
        <v>46309</v>
      </c>
      <c r="B566" s="0" t="n">
        <v>7</v>
      </c>
      <c r="C566" s="0" t="n">
        <v>4383</v>
      </c>
      <c r="D566" s="0" t="n">
        <v>308</v>
      </c>
      <c r="E566" s="0" t="n">
        <v>2</v>
      </c>
      <c r="F566" s="39" t="s">
        <v>512</v>
      </c>
      <c r="I566" s="39" t="s">
        <v>114</v>
      </c>
      <c r="J566" s="0" t="n">
        <v>148</v>
      </c>
      <c r="K566" s="0" t="n">
        <v>64</v>
      </c>
      <c r="L566" s="0" t="n">
        <v>231</v>
      </c>
      <c r="M566" s="0" t="n">
        <v>381.97</v>
      </c>
      <c r="N566" s="0" t="n">
        <v>58.76</v>
      </c>
      <c r="O566" s="0" t="n">
        <v>25.56</v>
      </c>
      <c r="P566" s="0" t="n">
        <v>4.86</v>
      </c>
      <c r="Q566" s="0" t="n">
        <v>4.79</v>
      </c>
      <c r="R566" s="0" t="n">
        <v>4090</v>
      </c>
      <c r="S566" s="0" t="n">
        <v>8873</v>
      </c>
      <c r="T566" s="0" t="n">
        <v>44.25</v>
      </c>
      <c r="U566" s="0" t="n">
        <v>1401</v>
      </c>
      <c r="V566" s="0" t="n">
        <v>3</v>
      </c>
      <c r="W566" s="39" t="n">
        <f aca="false">IF(I566="Male",0,1)</f>
        <v>1</v>
      </c>
      <c r="X566" s="39" t="n">
        <f aca="false">IF(OR(I566="DNB",I566="Dry DNB"),1,0)</f>
        <v>0</v>
      </c>
      <c r="Y566" s="39" t="n">
        <f aca="false">MATCH(A566,DATAS,0)</f>
        <v>1</v>
      </c>
      <c r="Z566" s="39" t="n">
        <f aca="false">IF(AND(E566&gt;0,OR(AND(B566&gt;=1,B566&lt;=6),B566=10)),1,0)</f>
        <v>0</v>
      </c>
      <c r="AA566" s="39" t="n">
        <f aca="false">IF(AND(E566&gt;0,B566=10),1,0)</f>
        <v>0</v>
      </c>
      <c r="AB566" s="0" t="str">
        <f aca="false">IF(AND(C565=C566,Y565=Y566-1),Z565,"")</f>
        <v/>
      </c>
      <c r="AC566" s="0" t="str">
        <f aca="false">IF(AND(C565=C566,Y565=Y566-1),AA565,"")</f>
        <v/>
      </c>
      <c r="AD566" s="0" t="str">
        <f aca="false">IF(Y566=1,"",IF(AND(Z566=1,AB566&lt;&gt;1),1,0))</f>
        <v/>
      </c>
      <c r="AE566" s="0" t="str">
        <f aca="false">IF(Y566=1,"",IF(AND(AA566=1,AC566&lt;&gt;1),1,0))</f>
        <v/>
      </c>
      <c r="AF566" s="45" t="str">
        <f aca="false">IF(AND(E566&gt;0,Y566&lt;1,NOT(AND(C567=C566,Y567=Y566+1))),INDEX(DATAS,Y566+1),"")</f>
        <v/>
      </c>
      <c r="AG566" s="45" t="str">
        <f aca="false">IF(AND(AA566=1,Y566&lt;1),IF(AND(C567=C566,Y567=Y566+1),IF(AA567=1,"",INDEX(DATAS,Y566+1)),INDEX(DATAS,Y566+1)),"")</f>
        <v/>
      </c>
    </row>
    <row r="567" customFormat="false" ht="15" hidden="false" customHeight="false" outlineLevel="0" collapsed="false">
      <c r="A567" s="45" t="n">
        <v>46309</v>
      </c>
      <c r="B567" s="0" t="n">
        <v>3</v>
      </c>
      <c r="C567" s="0" t="n">
        <v>4385</v>
      </c>
      <c r="D567" s="0" t="n">
        <v>90</v>
      </c>
      <c r="E567" s="0" t="n">
        <v>3</v>
      </c>
      <c r="F567" s="39" t="s">
        <v>512</v>
      </c>
      <c r="G567" s="0" t="n">
        <v>61.6</v>
      </c>
      <c r="H567" s="0" t="n">
        <v>58</v>
      </c>
      <c r="I567" s="39" t="s">
        <v>138</v>
      </c>
      <c r="J567" s="0" t="n">
        <v>90</v>
      </c>
      <c r="K567" s="0" t="n">
        <v>83</v>
      </c>
      <c r="M567" s="0" t="n">
        <v>1064.71</v>
      </c>
      <c r="N567" s="0" t="n">
        <v>47.58</v>
      </c>
      <c r="O567" s="0" t="n">
        <v>42.95</v>
      </c>
      <c r="P567" s="0" t="n">
        <v>3.51</v>
      </c>
      <c r="Q567" s="0" t="n">
        <v>3.2</v>
      </c>
      <c r="R567" s="0" t="n">
        <v>4983</v>
      </c>
      <c r="S567" s="0" t="n">
        <v>10017</v>
      </c>
      <c r="U567" s="0" t="n">
        <v>1401</v>
      </c>
      <c r="V567" s="0" t="n">
        <v>1</v>
      </c>
      <c r="W567" s="39" t="n">
        <f aca="false">IF(I567="Male",0,1)</f>
        <v>1</v>
      </c>
      <c r="X567" s="39" t="n">
        <f aca="false">IF(OR(I567="DNB",I567="Dry DNB"),1,0)</f>
        <v>0</v>
      </c>
      <c r="Y567" s="39" t="n">
        <f aca="false">MATCH(A567,DATAS,0)</f>
        <v>1</v>
      </c>
      <c r="Z567" s="39" t="n">
        <f aca="false">IF(AND(E567&gt;0,OR(AND(B567&gt;=1,B567&lt;=6),B567=10)),1,0)</f>
        <v>1</v>
      </c>
      <c r="AA567" s="39" t="n">
        <f aca="false">IF(AND(E567&gt;0,B567=10),1,0)</f>
        <v>0</v>
      </c>
      <c r="AB567" s="0" t="str">
        <f aca="false">IF(AND(C566=C567,Y566=Y567-1),Z566,"")</f>
        <v/>
      </c>
      <c r="AC567" s="0" t="str">
        <f aca="false">IF(AND(C566=C567,Y566=Y567-1),AA566,"")</f>
        <v/>
      </c>
      <c r="AD567" s="0" t="str">
        <f aca="false">IF(Y567=1,"",IF(AND(Z567=1,AB567&lt;&gt;1),1,0))</f>
        <v/>
      </c>
      <c r="AE567" s="0" t="str">
        <f aca="false">IF(Y567=1,"",IF(AND(AA567=1,AC567&lt;&gt;1),1,0))</f>
        <v/>
      </c>
      <c r="AF567" s="45" t="str">
        <f aca="false">IF(AND(E567&gt;0,Y567&lt;1,NOT(AND(C568=C567,Y568=Y567+1))),INDEX(DATAS,Y567+1),"")</f>
        <v/>
      </c>
      <c r="AG567" s="45" t="str">
        <f aca="false">IF(AND(AA567=1,Y567&lt;1),IF(AND(C568=C567,Y568=Y567+1),IF(AA568=1,"",INDEX(DATAS,Y567+1)),INDEX(DATAS,Y567+1)),"")</f>
        <v/>
      </c>
    </row>
    <row r="568" customFormat="false" ht="15" hidden="false" customHeight="false" outlineLevel="0" collapsed="false">
      <c r="A568" s="45" t="n">
        <v>46309</v>
      </c>
      <c r="B568" s="0" t="n">
        <v>6</v>
      </c>
      <c r="C568" s="0" t="n">
        <v>4386</v>
      </c>
      <c r="D568" s="0" t="n">
        <v>271</v>
      </c>
      <c r="E568" s="0" t="n">
        <v>2</v>
      </c>
      <c r="F568" s="39" t="s">
        <v>512</v>
      </c>
      <c r="G568" s="0" t="n">
        <v>29.2</v>
      </c>
      <c r="H568" s="0" t="n">
        <v>30</v>
      </c>
      <c r="I568" s="39" t="s">
        <v>109</v>
      </c>
      <c r="J568" s="0" t="n">
        <v>68</v>
      </c>
      <c r="K568" s="0" t="n">
        <v>68</v>
      </c>
      <c r="L568" s="0" t="n">
        <v>203</v>
      </c>
      <c r="M568" s="0" t="n">
        <v>527.39</v>
      </c>
      <c r="N568" s="0" t="n">
        <v>52.17</v>
      </c>
      <c r="O568" s="0" t="n">
        <v>24.05</v>
      </c>
      <c r="P568" s="0" t="n">
        <v>4.92</v>
      </c>
      <c r="Q568" s="0" t="n">
        <v>3.78</v>
      </c>
      <c r="R568" s="0" t="n">
        <v>5750</v>
      </c>
      <c r="S568" s="0" t="n">
        <v>9085</v>
      </c>
      <c r="T568" s="0" t="n">
        <v>60.6</v>
      </c>
      <c r="U568" s="0" t="n">
        <v>1401</v>
      </c>
      <c r="V568" s="0" t="n">
        <v>1</v>
      </c>
      <c r="W568" s="39" t="n">
        <f aca="false">IF(I568="Male",0,1)</f>
        <v>1</v>
      </c>
      <c r="X568" s="39" t="n">
        <f aca="false">IF(OR(I568="DNB",I568="Dry DNB"),1,0)</f>
        <v>0</v>
      </c>
      <c r="Y568" s="39" t="n">
        <f aca="false">MATCH(A568,DATAS,0)</f>
        <v>1</v>
      </c>
      <c r="Z568" s="39" t="n">
        <f aca="false">IF(AND(E568&gt;0,OR(AND(B568&gt;=1,B568&lt;=6),B568=10)),1,0)</f>
        <v>1</v>
      </c>
      <c r="AA568" s="39" t="n">
        <f aca="false">IF(AND(E568&gt;0,B568=10),1,0)</f>
        <v>0</v>
      </c>
      <c r="AB568" s="0" t="str">
        <f aca="false">IF(AND(C567=C568,Y567=Y568-1),Z567,"")</f>
        <v/>
      </c>
      <c r="AC568" s="0" t="str">
        <f aca="false">IF(AND(C567=C568,Y567=Y568-1),AA567,"")</f>
        <v/>
      </c>
      <c r="AD568" s="0" t="str">
        <f aca="false">IF(Y568=1,"",IF(AND(Z568=1,AB568&lt;&gt;1),1,0))</f>
        <v/>
      </c>
      <c r="AE568" s="0" t="str">
        <f aca="false">IF(Y568=1,"",IF(AND(AA568=1,AC568&lt;&gt;1),1,0))</f>
        <v/>
      </c>
      <c r="AF568" s="45" t="str">
        <f aca="false">IF(AND(E568&gt;0,Y568&lt;1,NOT(AND(C569=C568,Y569=Y568+1))),INDEX(DATAS,Y568+1),"")</f>
        <v/>
      </c>
      <c r="AG568" s="45" t="str">
        <f aca="false">IF(AND(AA568=1,Y568&lt;1),IF(AND(C569=C568,Y569=Y568+1),IF(AA569=1,"",INDEX(DATAS,Y568+1)),INDEX(DATAS,Y568+1)),"")</f>
        <v/>
      </c>
    </row>
    <row r="569" customFormat="false" ht="15" hidden="false" customHeight="false" outlineLevel="0" collapsed="false">
      <c r="A569" s="45" t="n">
        <v>46309</v>
      </c>
      <c r="B569" s="0" t="n">
        <v>2</v>
      </c>
      <c r="C569" s="0" t="n">
        <v>4387</v>
      </c>
      <c r="D569" s="0" t="n">
        <v>17</v>
      </c>
      <c r="E569" s="0" t="n">
        <v>3</v>
      </c>
      <c r="F569" s="39" t="s">
        <v>512</v>
      </c>
      <c r="G569" s="0" t="n">
        <v>53.5</v>
      </c>
      <c r="H569" s="0" t="n">
        <v>51</v>
      </c>
      <c r="I569" s="39" t="s">
        <v>118</v>
      </c>
      <c r="J569" s="0" t="n">
        <v>17</v>
      </c>
      <c r="M569" s="0" t="n">
        <v>710.84</v>
      </c>
      <c r="N569" s="0" t="n">
        <v>42.08</v>
      </c>
      <c r="O569" s="0" t="n">
        <v>29.93</v>
      </c>
      <c r="R569" s="0" t="n">
        <v>3888</v>
      </c>
      <c r="S569" s="0" t="n">
        <v>7815</v>
      </c>
      <c r="U569" s="0" t="n">
        <v>1401</v>
      </c>
      <c r="V569" s="0" t="n">
        <v>0</v>
      </c>
      <c r="W569" s="39" t="n">
        <f aca="false">IF(I569="Male",0,1)</f>
        <v>1</v>
      </c>
      <c r="X569" s="39" t="n">
        <f aca="false">IF(OR(I569="DNB",I569="Dry DNB"),1,0)</f>
        <v>0</v>
      </c>
      <c r="Y569" s="39" t="n">
        <f aca="false">MATCH(A569,DATAS,0)</f>
        <v>1</v>
      </c>
      <c r="Z569" s="39" t="n">
        <f aca="false">IF(AND(E569&gt;0,OR(AND(B569&gt;=1,B569&lt;=6),B569=10)),1,0)</f>
        <v>1</v>
      </c>
      <c r="AA569" s="39" t="n">
        <f aca="false">IF(AND(E569&gt;0,B569=10),1,0)</f>
        <v>0</v>
      </c>
      <c r="AB569" s="0" t="str">
        <f aca="false">IF(AND(C568=C569,Y568=Y569-1),Z568,"")</f>
        <v/>
      </c>
      <c r="AC569" s="0" t="str">
        <f aca="false">IF(AND(C568=C569,Y568=Y569-1),AA568,"")</f>
        <v/>
      </c>
      <c r="AD569" s="0" t="str">
        <f aca="false">IF(Y569=1,"",IF(AND(Z569=1,AB569&lt;&gt;1),1,0))</f>
        <v/>
      </c>
      <c r="AE569" s="0" t="str">
        <f aca="false">IF(Y569=1,"",IF(AND(AA569=1,AC569&lt;&gt;1),1,0))</f>
        <v/>
      </c>
      <c r="AF569" s="45" t="str">
        <f aca="false">IF(AND(E569&gt;0,Y569&lt;1,NOT(AND(C570=C569,Y570=Y569+1))),INDEX(DATAS,Y569+1),"")</f>
        <v/>
      </c>
      <c r="AG569" s="45" t="str">
        <f aca="false">IF(AND(AA569=1,Y569&lt;1),IF(AND(C570=C569,Y570=Y569+1),IF(AA570=1,"",INDEX(DATAS,Y569+1)),INDEX(DATAS,Y569+1)),"")</f>
        <v/>
      </c>
    </row>
    <row r="570" customFormat="false" ht="15" hidden="false" customHeight="false" outlineLevel="0" collapsed="false">
      <c r="A570" s="45" t="n">
        <v>46309</v>
      </c>
      <c r="B570" s="0" t="n">
        <v>3</v>
      </c>
      <c r="C570" s="0" t="n">
        <v>4389</v>
      </c>
      <c r="D570" s="0" t="n">
        <v>354</v>
      </c>
      <c r="E570" s="0" t="n">
        <v>2</v>
      </c>
      <c r="F570" s="39" t="s">
        <v>513</v>
      </c>
      <c r="G570" s="0" t="n">
        <v>40.4</v>
      </c>
      <c r="H570" s="0" t="n">
        <v>45</v>
      </c>
      <c r="I570" s="39" t="s">
        <v>109</v>
      </c>
      <c r="J570" s="0" t="n">
        <v>158</v>
      </c>
      <c r="K570" s="0" t="n">
        <v>68</v>
      </c>
      <c r="L570" s="0" t="n">
        <v>196</v>
      </c>
      <c r="M570" s="0" t="n">
        <v>726.35</v>
      </c>
      <c r="N570" s="0" t="n">
        <v>38.99</v>
      </c>
      <c r="O570" s="0" t="n">
        <v>34.48</v>
      </c>
      <c r="P570" s="0" t="n">
        <v>4.1</v>
      </c>
      <c r="Q570" s="0" t="n">
        <v>3.73</v>
      </c>
      <c r="R570" s="0" t="n">
        <v>6403</v>
      </c>
      <c r="S570" s="0" t="n">
        <v>13387</v>
      </c>
      <c r="T570" s="0" t="n">
        <v>68.35</v>
      </c>
      <c r="U570" s="0" t="n">
        <v>1400</v>
      </c>
      <c r="V570" s="0" t="n">
        <v>4</v>
      </c>
      <c r="W570" s="39" t="n">
        <f aca="false">IF(I570="Male",0,1)</f>
        <v>1</v>
      </c>
      <c r="X570" s="39" t="n">
        <f aca="false">IF(OR(I570="DNB",I570="Dry DNB"),1,0)</f>
        <v>0</v>
      </c>
      <c r="Y570" s="39" t="n">
        <f aca="false">MATCH(A570,DATAS,0)</f>
        <v>1</v>
      </c>
      <c r="Z570" s="39" t="n">
        <f aca="false">IF(AND(E570&gt;0,OR(AND(B570&gt;=1,B570&lt;=6),B570=10)),1,0)</f>
        <v>1</v>
      </c>
      <c r="AA570" s="39" t="n">
        <f aca="false">IF(AND(E570&gt;0,B570=10),1,0)</f>
        <v>0</v>
      </c>
      <c r="AB570" s="0" t="str">
        <f aca="false">IF(AND(C569=C570,Y569=Y570-1),Z569,"")</f>
        <v/>
      </c>
      <c r="AC570" s="0" t="str">
        <f aca="false">IF(AND(C569=C570,Y569=Y570-1),AA569,"")</f>
        <v/>
      </c>
      <c r="AD570" s="0" t="str">
        <f aca="false">IF(Y570=1,"",IF(AND(Z570=1,AB570&lt;&gt;1),1,0))</f>
        <v/>
      </c>
      <c r="AE570" s="0" t="str">
        <f aca="false">IF(Y570=1,"",IF(AND(AA570=1,AC570&lt;&gt;1),1,0))</f>
        <v/>
      </c>
      <c r="AF570" s="45" t="str">
        <f aca="false">IF(AND(E570&gt;0,Y570&lt;1,NOT(AND(C571=C570,Y571=Y570+1))),INDEX(DATAS,Y570+1),"")</f>
        <v/>
      </c>
      <c r="AG570" s="45" t="str">
        <f aca="false">IF(AND(AA570=1,Y570&lt;1),IF(AND(C571=C570,Y571=Y570+1),IF(AA571=1,"",INDEX(DATAS,Y570+1)),INDEX(DATAS,Y570+1)),"")</f>
        <v/>
      </c>
    </row>
    <row r="571" customFormat="false" ht="15" hidden="false" customHeight="false" outlineLevel="0" collapsed="false">
      <c r="A571" s="45" t="n">
        <v>46309</v>
      </c>
      <c r="B571" s="0" t="n">
        <v>3</v>
      </c>
      <c r="C571" s="0" t="n">
        <v>4390</v>
      </c>
      <c r="D571" s="0" t="n">
        <v>57</v>
      </c>
      <c r="E571" s="0" t="n">
        <v>3</v>
      </c>
      <c r="F571" s="39" t="s">
        <v>514</v>
      </c>
      <c r="G571" s="0" t="n">
        <v>56.2</v>
      </c>
      <c r="H571" s="0" t="n">
        <v>58</v>
      </c>
      <c r="I571" s="39" t="s">
        <v>118</v>
      </c>
      <c r="J571" s="0" t="n">
        <v>57</v>
      </c>
      <c r="M571" s="0" t="n">
        <v>650.13</v>
      </c>
      <c r="N571" s="0" t="n">
        <v>42.73</v>
      </c>
      <c r="O571" s="0" t="n">
        <v>43.9</v>
      </c>
      <c r="P571" s="0" t="n">
        <v>3.13</v>
      </c>
      <c r="Q571" s="0" t="n">
        <v>3.48</v>
      </c>
      <c r="R571" s="0" t="n">
        <v>5499</v>
      </c>
      <c r="S571" s="0" t="n">
        <v>11055</v>
      </c>
      <c r="U571" s="0" t="n">
        <v>1399</v>
      </c>
      <c r="V571" s="0" t="n">
        <v>0</v>
      </c>
      <c r="W571" s="39" t="n">
        <f aca="false">IF(I571="Male",0,1)</f>
        <v>1</v>
      </c>
      <c r="X571" s="39" t="n">
        <f aca="false">IF(OR(I571="DNB",I571="Dry DNB"),1,0)</f>
        <v>0</v>
      </c>
      <c r="Y571" s="39" t="n">
        <f aca="false">MATCH(A571,DATAS,0)</f>
        <v>1</v>
      </c>
      <c r="Z571" s="39" t="n">
        <f aca="false">IF(AND(E571&gt;0,OR(AND(B571&gt;=1,B571&lt;=6),B571=10)),1,0)</f>
        <v>1</v>
      </c>
      <c r="AA571" s="39" t="n">
        <f aca="false">IF(AND(E571&gt;0,B571=10),1,0)</f>
        <v>0</v>
      </c>
      <c r="AB571" s="0" t="str">
        <f aca="false">IF(AND(C570=C571,Y570=Y571-1),Z570,"")</f>
        <v/>
      </c>
      <c r="AC571" s="0" t="str">
        <f aca="false">IF(AND(C570=C571,Y570=Y571-1),AA570,"")</f>
        <v/>
      </c>
      <c r="AD571" s="0" t="str">
        <f aca="false">IF(Y571=1,"",IF(AND(Z571=1,AB571&lt;&gt;1),1,0))</f>
        <v/>
      </c>
      <c r="AE571" s="0" t="str">
        <f aca="false">IF(Y571=1,"",IF(AND(AA571=1,AC571&lt;&gt;1),1,0))</f>
        <v/>
      </c>
      <c r="AF571" s="45" t="str">
        <f aca="false">IF(AND(E571&gt;0,Y571&lt;1,NOT(AND(C572=C571,Y572=Y571+1))),INDEX(DATAS,Y571+1),"")</f>
        <v/>
      </c>
      <c r="AG571" s="45" t="str">
        <f aca="false">IF(AND(AA571=1,Y571&lt;1),IF(AND(C572=C571,Y572=Y571+1),IF(AA572=1,"",INDEX(DATAS,Y571+1)),INDEX(DATAS,Y571+1)),"")</f>
        <v/>
      </c>
    </row>
    <row r="572" customFormat="false" ht="15" hidden="false" customHeight="false" outlineLevel="0" collapsed="false">
      <c r="A572" s="45" t="n">
        <v>46309</v>
      </c>
      <c r="B572" s="0" t="n">
        <v>2</v>
      </c>
      <c r="C572" s="0" t="n">
        <v>4392</v>
      </c>
      <c r="D572" s="0" t="n">
        <v>86</v>
      </c>
      <c r="E572" s="0" t="n">
        <v>2</v>
      </c>
      <c r="F572" s="39" t="s">
        <v>514</v>
      </c>
      <c r="G572" s="0" t="n">
        <v>77.2</v>
      </c>
      <c r="H572" s="0" t="n">
        <v>74</v>
      </c>
      <c r="I572" s="39" t="s">
        <v>138</v>
      </c>
      <c r="J572" s="0" t="n">
        <v>86</v>
      </c>
      <c r="K572" s="0" t="n">
        <v>65</v>
      </c>
      <c r="M572" s="0" t="n">
        <v>1040.81</v>
      </c>
      <c r="N572" s="0" t="n">
        <v>39.27</v>
      </c>
      <c r="O572" s="0" t="n">
        <v>29.65</v>
      </c>
      <c r="P572" s="0" t="n">
        <v>1.73</v>
      </c>
      <c r="Q572" s="0" t="n">
        <v>3.16</v>
      </c>
      <c r="R572" s="0" t="n">
        <v>6060</v>
      </c>
      <c r="S572" s="0" t="n">
        <v>12181</v>
      </c>
      <c r="U572" s="0" t="n">
        <v>1399</v>
      </c>
      <c r="V572" s="0" t="n">
        <v>1</v>
      </c>
      <c r="W572" s="39" t="n">
        <f aca="false">IF(I572="Male",0,1)</f>
        <v>1</v>
      </c>
      <c r="X572" s="39" t="n">
        <f aca="false">IF(OR(I572="DNB",I572="Dry DNB"),1,0)</f>
        <v>0</v>
      </c>
      <c r="Y572" s="39" t="n">
        <f aca="false">MATCH(A572,DATAS,0)</f>
        <v>1</v>
      </c>
      <c r="Z572" s="39" t="n">
        <f aca="false">IF(AND(E572&gt;0,OR(AND(B572&gt;=1,B572&lt;=6),B572=10)),1,0)</f>
        <v>1</v>
      </c>
      <c r="AA572" s="39" t="n">
        <f aca="false">IF(AND(E572&gt;0,B572=10),1,0)</f>
        <v>0</v>
      </c>
      <c r="AB572" s="0" t="str">
        <f aca="false">IF(AND(C571=C572,Y571=Y572-1),Z571,"")</f>
        <v/>
      </c>
      <c r="AC572" s="0" t="str">
        <f aca="false">IF(AND(C571=C572,Y571=Y572-1),AA571,"")</f>
        <v/>
      </c>
      <c r="AD572" s="0" t="str">
        <f aca="false">IF(Y572=1,"",IF(AND(Z572=1,AB572&lt;&gt;1),1,0))</f>
        <v/>
      </c>
      <c r="AE572" s="0" t="str">
        <f aca="false">IF(Y572=1,"",IF(AND(AA572=1,AC572&lt;&gt;1),1,0))</f>
        <v/>
      </c>
      <c r="AF572" s="45" t="str">
        <f aca="false">IF(AND(E572&gt;0,Y572&lt;1,NOT(AND(C573=C572,Y573=Y572+1))),INDEX(DATAS,Y572+1),"")</f>
        <v/>
      </c>
      <c r="AG572" s="45" t="str">
        <f aca="false">IF(AND(AA572=1,Y572&lt;1),IF(AND(C573=C572,Y573=Y572+1),IF(AA573=1,"",INDEX(DATAS,Y572+1)),INDEX(DATAS,Y572+1)),"")</f>
        <v/>
      </c>
    </row>
    <row r="573" customFormat="false" ht="15" hidden="false" customHeight="false" outlineLevel="0" collapsed="false">
      <c r="A573" s="45" t="n">
        <v>46309</v>
      </c>
      <c r="B573" s="0" t="n">
        <v>3</v>
      </c>
      <c r="C573" s="0" t="n">
        <v>4393</v>
      </c>
      <c r="D573" s="0" t="n">
        <v>11</v>
      </c>
      <c r="E573" s="0" t="n">
        <v>3</v>
      </c>
      <c r="F573" s="39" t="s">
        <v>515</v>
      </c>
      <c r="G573" s="0" t="n">
        <v>47.7</v>
      </c>
      <c r="H573" s="0" t="n">
        <v>42</v>
      </c>
      <c r="I573" s="39" t="s">
        <v>118</v>
      </c>
      <c r="J573" s="0" t="n">
        <v>11</v>
      </c>
      <c r="M573" s="0" t="n">
        <v>516.35</v>
      </c>
      <c r="N573" s="0" t="n">
        <v>8.24</v>
      </c>
      <c r="O573" s="0" t="n">
        <v>10.99</v>
      </c>
      <c r="R573" s="0" t="n">
        <v>3125</v>
      </c>
      <c r="S573" s="0" t="n">
        <v>6282</v>
      </c>
      <c r="U573" s="0" t="n">
        <v>1396</v>
      </c>
      <c r="V573" s="0" t="n">
        <v>0</v>
      </c>
      <c r="W573" s="39" t="n">
        <f aca="false">IF(I573="Male",0,1)</f>
        <v>1</v>
      </c>
      <c r="X573" s="39" t="n">
        <f aca="false">IF(OR(I573="DNB",I573="Dry DNB"),1,0)</f>
        <v>0</v>
      </c>
      <c r="Y573" s="39" t="n">
        <f aca="false">MATCH(A573,DATAS,0)</f>
        <v>1</v>
      </c>
      <c r="Z573" s="39" t="n">
        <f aca="false">IF(AND(E573&gt;0,OR(AND(B573&gt;=1,B573&lt;=6),B573=10)),1,0)</f>
        <v>1</v>
      </c>
      <c r="AA573" s="39" t="n">
        <f aca="false">IF(AND(E573&gt;0,B573=10),1,0)</f>
        <v>0</v>
      </c>
      <c r="AB573" s="0" t="str">
        <f aca="false">IF(AND(C572=C573,Y572=Y573-1),Z572,"")</f>
        <v/>
      </c>
      <c r="AC573" s="0" t="str">
        <f aca="false">IF(AND(C572=C573,Y572=Y573-1),AA572,"")</f>
        <v/>
      </c>
      <c r="AD573" s="0" t="str">
        <f aca="false">IF(Y573=1,"",IF(AND(Z573=1,AB573&lt;&gt;1),1,0))</f>
        <v/>
      </c>
      <c r="AE573" s="0" t="str">
        <f aca="false">IF(Y573=1,"",IF(AND(AA573=1,AC573&lt;&gt;1),1,0))</f>
        <v/>
      </c>
      <c r="AF573" s="45" t="str">
        <f aca="false">IF(AND(E573&gt;0,Y573&lt;1,NOT(AND(C574=C573,Y574=Y573+1))),INDEX(DATAS,Y573+1),"")</f>
        <v/>
      </c>
      <c r="AG573" s="45" t="str">
        <f aca="false">IF(AND(AA573=1,Y573&lt;1),IF(AND(C574=C573,Y574=Y573+1),IF(AA574=1,"",INDEX(DATAS,Y573+1)),INDEX(DATAS,Y573+1)),"")</f>
        <v/>
      </c>
    </row>
    <row r="574" customFormat="false" ht="15" hidden="false" customHeight="false" outlineLevel="0" collapsed="false">
      <c r="A574" s="45" t="n">
        <v>46309</v>
      </c>
      <c r="B574" s="0" t="n">
        <v>3</v>
      </c>
      <c r="C574" s="0" t="n">
        <v>4394</v>
      </c>
      <c r="D574" s="0" t="n">
        <v>297</v>
      </c>
      <c r="E574" s="0" t="n">
        <v>2</v>
      </c>
      <c r="F574" s="39" t="s">
        <v>515</v>
      </c>
      <c r="G574" s="0" t="n">
        <v>44.3</v>
      </c>
      <c r="H574" s="0" t="n">
        <v>46</v>
      </c>
      <c r="I574" s="39" t="s">
        <v>109</v>
      </c>
      <c r="J574" s="0" t="n">
        <v>101</v>
      </c>
      <c r="K574" s="0" t="n">
        <v>73</v>
      </c>
      <c r="L574" s="0" t="n">
        <v>196</v>
      </c>
      <c r="M574" s="0" t="n">
        <v>844.18</v>
      </c>
      <c r="N574" s="0" t="n">
        <v>27.79</v>
      </c>
      <c r="O574" s="0" t="n">
        <v>28.02</v>
      </c>
      <c r="P574" s="0" t="n">
        <v>3.78</v>
      </c>
      <c r="Q574" s="0" t="n">
        <v>3.78</v>
      </c>
      <c r="R574" s="0" t="n">
        <v>5647</v>
      </c>
      <c r="S574" s="0" t="n">
        <v>11511</v>
      </c>
      <c r="T574" s="0" t="n">
        <v>61.55</v>
      </c>
      <c r="U574" s="0" t="n">
        <v>1396</v>
      </c>
      <c r="V574" s="0" t="n">
        <v>2</v>
      </c>
      <c r="W574" s="39" t="n">
        <f aca="false">IF(I574="Male",0,1)</f>
        <v>1</v>
      </c>
      <c r="X574" s="39" t="n">
        <f aca="false">IF(OR(I574="DNB",I574="Dry DNB"),1,0)</f>
        <v>0</v>
      </c>
      <c r="Y574" s="39" t="n">
        <f aca="false">MATCH(A574,DATAS,0)</f>
        <v>1</v>
      </c>
      <c r="Z574" s="39" t="n">
        <f aca="false">IF(AND(E574&gt;0,OR(AND(B574&gt;=1,B574&lt;=6),B574=10)),1,0)</f>
        <v>1</v>
      </c>
      <c r="AA574" s="39" t="n">
        <f aca="false">IF(AND(E574&gt;0,B574=10),1,0)</f>
        <v>0</v>
      </c>
      <c r="AB574" s="0" t="str">
        <f aca="false">IF(AND(C573=C574,Y573=Y574-1),Z573,"")</f>
        <v/>
      </c>
      <c r="AC574" s="0" t="str">
        <f aca="false">IF(AND(C573=C574,Y573=Y574-1),AA573,"")</f>
        <v/>
      </c>
      <c r="AD574" s="0" t="str">
        <f aca="false">IF(Y574=1,"",IF(AND(Z574=1,AB574&lt;&gt;1),1,0))</f>
        <v/>
      </c>
      <c r="AE574" s="0" t="str">
        <f aca="false">IF(Y574=1,"",IF(AND(AA574=1,AC574&lt;&gt;1),1,0))</f>
        <v/>
      </c>
      <c r="AF574" s="45" t="str">
        <f aca="false">IF(AND(E574&gt;0,Y574&lt;1,NOT(AND(C575=C574,Y575=Y574+1))),INDEX(DATAS,Y574+1),"")</f>
        <v/>
      </c>
      <c r="AG574" s="45" t="str">
        <f aca="false">IF(AND(AA574=1,Y574&lt;1),IF(AND(C575=C574,Y575=Y574+1),IF(AA575=1,"",INDEX(DATAS,Y574+1)),INDEX(DATAS,Y574+1)),"")</f>
        <v/>
      </c>
    </row>
    <row r="575" customFormat="false" ht="15" hidden="false" customHeight="false" outlineLevel="0" collapsed="false">
      <c r="A575" s="45" t="n">
        <v>46309</v>
      </c>
      <c r="B575" s="0" t="n">
        <v>5</v>
      </c>
      <c r="C575" s="0" t="n">
        <v>4395</v>
      </c>
      <c r="D575" s="0" t="n">
        <v>141</v>
      </c>
      <c r="E575" s="0" t="n">
        <v>2</v>
      </c>
      <c r="F575" s="39" t="s">
        <v>516</v>
      </c>
      <c r="G575" s="0" t="n">
        <v>29</v>
      </c>
      <c r="H575" s="0" t="n">
        <v>29</v>
      </c>
      <c r="I575" s="39" t="s">
        <v>146</v>
      </c>
      <c r="J575" s="0" t="n">
        <v>141</v>
      </c>
      <c r="K575" s="0" t="n">
        <v>64</v>
      </c>
      <c r="M575" s="0" t="n">
        <v>930.07</v>
      </c>
      <c r="N575" s="0" t="n">
        <v>62.86</v>
      </c>
      <c r="O575" s="0" t="n">
        <v>34.41</v>
      </c>
      <c r="P575" s="0" t="n">
        <v>3.93</v>
      </c>
      <c r="Q575" s="0" t="n">
        <v>3.51</v>
      </c>
      <c r="R575" s="0" t="n">
        <v>5590</v>
      </c>
      <c r="S575" s="0" t="n">
        <v>10579</v>
      </c>
      <c r="T575" s="0" t="n">
        <v>64.05</v>
      </c>
      <c r="U575" s="0" t="n">
        <v>1395</v>
      </c>
      <c r="V575" s="0" t="n">
        <v>2</v>
      </c>
      <c r="W575" s="39" t="n">
        <f aca="false">IF(I575="Male",0,1)</f>
        <v>1</v>
      </c>
      <c r="X575" s="39" t="n">
        <f aca="false">IF(OR(I575="DNB",I575="Dry DNB"),1,0)</f>
        <v>0</v>
      </c>
      <c r="Y575" s="39" t="n">
        <f aca="false">MATCH(A575,DATAS,0)</f>
        <v>1</v>
      </c>
      <c r="Z575" s="39" t="n">
        <f aca="false">IF(AND(E575&gt;0,OR(AND(B575&gt;=1,B575&lt;=6),B575=10)),1,0)</f>
        <v>1</v>
      </c>
      <c r="AA575" s="39" t="n">
        <f aca="false">IF(AND(E575&gt;0,B575=10),1,0)</f>
        <v>0</v>
      </c>
      <c r="AB575" s="0" t="str">
        <f aca="false">IF(AND(C574=C575,Y574=Y575-1),Z574,"")</f>
        <v/>
      </c>
      <c r="AC575" s="0" t="str">
        <f aca="false">IF(AND(C574=C575,Y574=Y575-1),AA574,"")</f>
        <v/>
      </c>
      <c r="AD575" s="0" t="str">
        <f aca="false">IF(Y575=1,"",IF(AND(Z575=1,AB575&lt;&gt;1),1,0))</f>
        <v/>
      </c>
      <c r="AE575" s="0" t="str">
        <f aca="false">IF(Y575=1,"",IF(AND(AA575=1,AC575&lt;&gt;1),1,0))</f>
        <v/>
      </c>
      <c r="AF575" s="45" t="str">
        <f aca="false">IF(AND(E575&gt;0,Y575&lt;1,NOT(AND(C576=C575,Y576=Y575+1))),INDEX(DATAS,Y575+1),"")</f>
        <v/>
      </c>
      <c r="AG575" s="45" t="str">
        <f aca="false">IF(AND(AA575=1,Y575&lt;1),IF(AND(C576=C575,Y576=Y575+1),IF(AA576=1,"",INDEX(DATAS,Y575+1)),INDEX(DATAS,Y575+1)),"")</f>
        <v/>
      </c>
    </row>
    <row r="576" customFormat="false" ht="15" hidden="false" customHeight="false" outlineLevel="0" collapsed="false">
      <c r="A576" s="45" t="n">
        <v>46309</v>
      </c>
      <c r="B576" s="0" t="n">
        <v>2</v>
      </c>
      <c r="C576" s="0" t="n">
        <v>4396</v>
      </c>
      <c r="D576" s="0" t="n">
        <v>121</v>
      </c>
      <c r="E576" s="0" t="n">
        <v>2</v>
      </c>
      <c r="F576" s="39" t="s">
        <v>516</v>
      </c>
      <c r="G576" s="0" t="n">
        <v>48.6</v>
      </c>
      <c r="H576" s="0" t="n">
        <v>52</v>
      </c>
      <c r="I576" s="39" t="s">
        <v>109</v>
      </c>
      <c r="J576" s="0" t="n">
        <v>66</v>
      </c>
      <c r="K576" s="0" t="n">
        <v>66</v>
      </c>
      <c r="L576" s="0" t="n">
        <v>55</v>
      </c>
      <c r="M576" s="0" t="n">
        <v>661.14</v>
      </c>
      <c r="N576" s="0" t="n">
        <v>34.34</v>
      </c>
      <c r="O576" s="0" t="n">
        <v>27.63</v>
      </c>
      <c r="P576" s="0" t="n">
        <v>3.3</v>
      </c>
      <c r="Q576" s="0" t="n">
        <v>3.11</v>
      </c>
      <c r="R576" s="0" t="n">
        <v>5499</v>
      </c>
      <c r="S576" s="0" t="n">
        <v>11041</v>
      </c>
      <c r="T576" s="0" t="n">
        <v>57</v>
      </c>
      <c r="U576" s="0" t="n">
        <v>1395</v>
      </c>
      <c r="V576" s="0" t="n">
        <v>1</v>
      </c>
      <c r="W576" s="39" t="n">
        <f aca="false">IF(I576="Male",0,1)</f>
        <v>1</v>
      </c>
      <c r="X576" s="39" t="n">
        <f aca="false">IF(OR(I576="DNB",I576="Dry DNB"),1,0)</f>
        <v>0</v>
      </c>
      <c r="Y576" s="39" t="n">
        <f aca="false">MATCH(A576,DATAS,0)</f>
        <v>1</v>
      </c>
      <c r="Z576" s="39" t="n">
        <f aca="false">IF(AND(E576&gt;0,OR(AND(B576&gt;=1,B576&lt;=6),B576=10)),1,0)</f>
        <v>1</v>
      </c>
      <c r="AA576" s="39" t="n">
        <f aca="false">IF(AND(E576&gt;0,B576=10),1,0)</f>
        <v>0</v>
      </c>
      <c r="AB576" s="0" t="str">
        <f aca="false">IF(AND(C575=C576,Y575=Y576-1),Z575,"")</f>
        <v/>
      </c>
      <c r="AC576" s="0" t="str">
        <f aca="false">IF(AND(C575=C576,Y575=Y576-1),AA575,"")</f>
        <v/>
      </c>
      <c r="AD576" s="0" t="str">
        <f aca="false">IF(Y576=1,"",IF(AND(Z576=1,AB576&lt;&gt;1),1,0))</f>
        <v/>
      </c>
      <c r="AE576" s="0" t="str">
        <f aca="false">IF(Y576=1,"",IF(AND(AA576=1,AC576&lt;&gt;1),1,0))</f>
        <v/>
      </c>
      <c r="AF576" s="45" t="str">
        <f aca="false">IF(AND(E576&gt;0,Y576&lt;1,NOT(AND(C577=C576,Y577=Y576+1))),INDEX(DATAS,Y576+1),"")</f>
        <v/>
      </c>
      <c r="AG576" s="45" t="str">
        <f aca="false">IF(AND(AA576=1,Y576&lt;1),IF(AND(C577=C576,Y577=Y576+1),IF(AA577=1,"",INDEX(DATAS,Y576+1)),INDEX(DATAS,Y576+1)),"")</f>
        <v/>
      </c>
    </row>
    <row r="577" customFormat="false" ht="15" hidden="false" customHeight="false" outlineLevel="0" collapsed="false">
      <c r="A577" s="45" t="n">
        <v>46309</v>
      </c>
      <c r="B577" s="0" t="n">
        <v>5</v>
      </c>
      <c r="C577" s="0" t="n">
        <v>4397</v>
      </c>
      <c r="D577" s="0" t="n">
        <v>390</v>
      </c>
      <c r="E577" s="0" t="n">
        <v>2</v>
      </c>
      <c r="F577" s="39" t="s">
        <v>516</v>
      </c>
      <c r="G577" s="0" t="n">
        <v>34.9</v>
      </c>
      <c r="H577" s="0" t="n">
        <v>29</v>
      </c>
      <c r="I577" s="39" t="s">
        <v>109</v>
      </c>
      <c r="J577" s="0" t="n">
        <v>187</v>
      </c>
      <c r="K577" s="0" t="n">
        <v>68</v>
      </c>
      <c r="L577" s="0" t="n">
        <v>203</v>
      </c>
      <c r="M577" s="0" t="n">
        <v>1567.99</v>
      </c>
      <c r="N577" s="0" t="n">
        <v>42.44</v>
      </c>
      <c r="O577" s="0" t="n">
        <v>40.59</v>
      </c>
      <c r="P577" s="0" t="n">
        <v>4.55</v>
      </c>
      <c r="Q577" s="0" t="n">
        <v>3.83</v>
      </c>
      <c r="R577" s="0" t="n">
        <v>4935</v>
      </c>
      <c r="S577" s="0" t="n">
        <v>9824</v>
      </c>
      <c r="T577" s="0" t="n">
        <v>54.2</v>
      </c>
      <c r="U577" s="0" t="n">
        <v>1395</v>
      </c>
      <c r="V577" s="0" t="n">
        <v>4</v>
      </c>
      <c r="W577" s="39" t="n">
        <f aca="false">IF(I577="Male",0,1)</f>
        <v>1</v>
      </c>
      <c r="X577" s="39" t="n">
        <f aca="false">IF(OR(I577="DNB",I577="Dry DNB"),1,0)</f>
        <v>0</v>
      </c>
      <c r="Y577" s="39" t="n">
        <f aca="false">MATCH(A577,DATAS,0)</f>
        <v>1</v>
      </c>
      <c r="Z577" s="39" t="n">
        <f aca="false">IF(AND(E577&gt;0,OR(AND(B577&gt;=1,B577&lt;=6),B577=10)),1,0)</f>
        <v>1</v>
      </c>
      <c r="AA577" s="39" t="n">
        <f aca="false">IF(AND(E577&gt;0,B577=10),1,0)</f>
        <v>0</v>
      </c>
      <c r="AB577" s="0" t="str">
        <f aca="false">IF(AND(C576=C577,Y576=Y577-1),Z576,"")</f>
        <v/>
      </c>
      <c r="AC577" s="0" t="str">
        <f aca="false">IF(AND(C576=C577,Y576=Y577-1),AA576,"")</f>
        <v/>
      </c>
      <c r="AD577" s="0" t="str">
        <f aca="false">IF(Y577=1,"",IF(AND(Z577=1,AB577&lt;&gt;1),1,0))</f>
        <v/>
      </c>
      <c r="AE577" s="0" t="str">
        <f aca="false">IF(Y577=1,"",IF(AND(AA577=1,AC577&lt;&gt;1),1,0))</f>
        <v/>
      </c>
      <c r="AF577" s="45" t="str">
        <f aca="false">IF(AND(E577&gt;0,Y577&lt;1,NOT(AND(C578=C577,Y578=Y577+1))),INDEX(DATAS,Y577+1),"")</f>
        <v/>
      </c>
      <c r="AG577" s="45" t="str">
        <f aca="false">IF(AND(AA577=1,Y577&lt;1),IF(AND(C578=C577,Y578=Y577+1),IF(AA578=1,"",INDEX(DATAS,Y577+1)),INDEX(DATAS,Y577+1)),"")</f>
        <v/>
      </c>
    </row>
    <row r="578" customFormat="false" ht="15" hidden="false" customHeight="false" outlineLevel="0" collapsed="false">
      <c r="A578" s="45" t="n">
        <v>46309</v>
      </c>
      <c r="B578" s="0" t="n">
        <v>2</v>
      </c>
      <c r="C578" s="0" t="n">
        <v>4398</v>
      </c>
      <c r="D578" s="0" t="n">
        <v>24</v>
      </c>
      <c r="E578" s="0" t="n">
        <v>3</v>
      </c>
      <c r="F578" s="39" t="s">
        <v>516</v>
      </c>
      <c r="G578" s="0" t="n">
        <v>59</v>
      </c>
      <c r="H578" s="0" t="n">
        <v>57</v>
      </c>
      <c r="I578" s="39" t="s">
        <v>118</v>
      </c>
      <c r="J578" s="0" t="n">
        <v>24</v>
      </c>
      <c r="M578" s="0" t="n">
        <v>581.54</v>
      </c>
      <c r="N578" s="0" t="n">
        <v>42.13</v>
      </c>
      <c r="O578" s="0" t="n">
        <v>29.71</v>
      </c>
      <c r="R578" s="0" t="n">
        <v>4864</v>
      </c>
      <c r="S578" s="0" t="n">
        <v>9778</v>
      </c>
      <c r="U578" s="0" t="n">
        <v>1395</v>
      </c>
      <c r="V578" s="0" t="n">
        <v>0</v>
      </c>
      <c r="W578" s="39" t="n">
        <f aca="false">IF(I578="Male",0,1)</f>
        <v>1</v>
      </c>
      <c r="X578" s="39" t="n">
        <f aca="false">IF(OR(I578="DNB",I578="Dry DNB"),1,0)</f>
        <v>0</v>
      </c>
      <c r="Y578" s="39" t="n">
        <f aca="false">MATCH(A578,DATAS,0)</f>
        <v>1</v>
      </c>
      <c r="Z578" s="39" t="n">
        <f aca="false">IF(AND(E578&gt;0,OR(AND(B578&gt;=1,B578&lt;=6),B578=10)),1,0)</f>
        <v>1</v>
      </c>
      <c r="AA578" s="39" t="n">
        <f aca="false">IF(AND(E578&gt;0,B578=10),1,0)</f>
        <v>0</v>
      </c>
      <c r="AB578" s="0" t="str">
        <f aca="false">IF(AND(C577=C578,Y577=Y578-1),Z577,"")</f>
        <v/>
      </c>
      <c r="AC578" s="0" t="str">
        <f aca="false">IF(AND(C577=C578,Y577=Y578-1),AA577,"")</f>
        <v/>
      </c>
      <c r="AD578" s="0" t="str">
        <f aca="false">IF(Y578=1,"",IF(AND(Z578=1,AB578&lt;&gt;1),1,0))</f>
        <v/>
      </c>
      <c r="AE578" s="0" t="str">
        <f aca="false">IF(Y578=1,"",IF(AND(AA578=1,AC578&lt;&gt;1),1,0))</f>
        <v/>
      </c>
      <c r="AF578" s="45" t="str">
        <f aca="false">IF(AND(E578&gt;0,Y578&lt;1,NOT(AND(C579=C578,Y579=Y578+1))),INDEX(DATAS,Y578+1),"")</f>
        <v/>
      </c>
      <c r="AG578" s="45" t="str">
        <f aca="false">IF(AND(AA578=1,Y578&lt;1),IF(AND(C579=C578,Y579=Y578+1),IF(AA579=1,"",INDEX(DATAS,Y578+1)),INDEX(DATAS,Y578+1)),"")</f>
        <v/>
      </c>
    </row>
    <row r="579" customFormat="false" ht="15" hidden="false" customHeight="false" outlineLevel="0" collapsed="false">
      <c r="A579" s="45" t="n">
        <v>46309</v>
      </c>
      <c r="B579" s="0" t="n">
        <v>6</v>
      </c>
      <c r="C579" s="0" t="n">
        <v>4399</v>
      </c>
      <c r="D579" s="0" t="n">
        <v>129</v>
      </c>
      <c r="E579" s="0" t="n">
        <v>2</v>
      </c>
      <c r="F579" s="39" t="s">
        <v>517</v>
      </c>
      <c r="G579" s="0" t="n">
        <v>30.8</v>
      </c>
      <c r="H579" s="0" t="n">
        <v>28</v>
      </c>
      <c r="I579" s="39" t="s">
        <v>96</v>
      </c>
      <c r="J579" s="0" t="n">
        <v>129</v>
      </c>
      <c r="K579" s="0" t="n">
        <v>87</v>
      </c>
      <c r="M579" s="0" t="n">
        <v>872.83</v>
      </c>
      <c r="N579" s="0" t="n">
        <v>33.37</v>
      </c>
      <c r="O579" s="0" t="n">
        <v>27.56</v>
      </c>
      <c r="P579" s="0" t="n">
        <v>3.14</v>
      </c>
      <c r="Q579" s="0" t="n">
        <v>3.04</v>
      </c>
      <c r="R579" s="0" t="n">
        <v>3229</v>
      </c>
      <c r="S579" s="0" t="n">
        <v>6815</v>
      </c>
      <c r="T579" s="0" t="n">
        <v>25.25</v>
      </c>
      <c r="U579" s="0" t="n">
        <v>1394</v>
      </c>
      <c r="V579" s="0" t="n">
        <v>2</v>
      </c>
      <c r="W579" s="39" t="n">
        <f aca="false">IF(I579="Male",0,1)</f>
        <v>1</v>
      </c>
      <c r="X579" s="39" t="n">
        <f aca="false">IF(OR(I579="DNB",I579="Dry DNB"),1,0)</f>
        <v>1</v>
      </c>
      <c r="Y579" s="39" t="n">
        <f aca="false">MATCH(A579,DATAS,0)</f>
        <v>1</v>
      </c>
      <c r="Z579" s="39" t="n">
        <f aca="false">IF(AND(E579&gt;0,OR(AND(B579&gt;=1,B579&lt;=6),B579=10)),1,0)</f>
        <v>1</v>
      </c>
      <c r="AA579" s="39" t="n">
        <f aca="false">IF(AND(E579&gt;0,B579=10),1,0)</f>
        <v>0</v>
      </c>
      <c r="AB579" s="0" t="str">
        <f aca="false">IF(AND(C578=C579,Y578=Y579-1),Z578,"")</f>
        <v/>
      </c>
      <c r="AC579" s="0" t="str">
        <f aca="false">IF(AND(C578=C579,Y578=Y579-1),AA578,"")</f>
        <v/>
      </c>
      <c r="AD579" s="0" t="str">
        <f aca="false">IF(Y579=1,"",IF(AND(Z579=1,AB579&lt;&gt;1),1,0))</f>
        <v/>
      </c>
      <c r="AE579" s="0" t="str">
        <f aca="false">IF(Y579=1,"",IF(AND(AA579=1,AC579&lt;&gt;1),1,0))</f>
        <v/>
      </c>
      <c r="AF579" s="45" t="str">
        <f aca="false">IF(AND(E579&gt;0,Y579&lt;1,NOT(AND(C580=C579,Y580=Y579+1))),INDEX(DATAS,Y579+1),"")</f>
        <v/>
      </c>
      <c r="AG579" s="45" t="str">
        <f aca="false">IF(AND(AA579=1,Y579&lt;1),IF(AND(C580=C579,Y580=Y579+1),IF(AA580=1,"",INDEX(DATAS,Y579+1)),INDEX(DATAS,Y579+1)),"")</f>
        <v/>
      </c>
    </row>
    <row r="580" customFormat="false" ht="15" hidden="false" customHeight="false" outlineLevel="0" collapsed="false">
      <c r="A580" s="45" t="n">
        <v>46309</v>
      </c>
      <c r="B580" s="0" t="n">
        <v>7</v>
      </c>
      <c r="C580" s="0" t="n">
        <v>4400</v>
      </c>
      <c r="D580" s="0" t="n">
        <v>360</v>
      </c>
      <c r="E580" s="0" t="n">
        <v>2</v>
      </c>
      <c r="F580" s="39" t="s">
        <v>517</v>
      </c>
      <c r="I580" s="39" t="s">
        <v>114</v>
      </c>
      <c r="J580" s="0" t="n">
        <v>137</v>
      </c>
      <c r="K580" s="0" t="n">
        <v>67</v>
      </c>
      <c r="L580" s="0" t="n">
        <v>245</v>
      </c>
      <c r="M580" s="0" t="n">
        <v>-102.87</v>
      </c>
      <c r="N580" s="0" t="n">
        <v>27.19</v>
      </c>
      <c r="O580" s="0" t="n">
        <v>7.44</v>
      </c>
      <c r="P580" s="0" t="n">
        <v>4.4</v>
      </c>
      <c r="Q580" s="0" t="n">
        <v>4.04</v>
      </c>
      <c r="R580" s="0" t="n">
        <v>5266</v>
      </c>
      <c r="S580" s="0" t="n">
        <v>10694</v>
      </c>
      <c r="T580" s="0" t="n">
        <v>55.9</v>
      </c>
      <c r="U580" s="0" t="n">
        <v>1394</v>
      </c>
      <c r="V580" s="0" t="n">
        <v>3</v>
      </c>
      <c r="W580" s="39" t="n">
        <f aca="false">IF(I580="Male",0,1)</f>
        <v>1</v>
      </c>
      <c r="X580" s="39" t="n">
        <f aca="false">IF(OR(I580="DNB",I580="Dry DNB"),1,0)</f>
        <v>0</v>
      </c>
      <c r="Y580" s="39" t="n">
        <f aca="false">MATCH(A580,DATAS,0)</f>
        <v>1</v>
      </c>
      <c r="Z580" s="39" t="n">
        <f aca="false">IF(AND(E580&gt;0,OR(AND(B580&gt;=1,B580&lt;=6),B580=10)),1,0)</f>
        <v>0</v>
      </c>
      <c r="AA580" s="39" t="n">
        <f aca="false">IF(AND(E580&gt;0,B580=10),1,0)</f>
        <v>0</v>
      </c>
      <c r="AB580" s="0" t="str">
        <f aca="false">IF(AND(C579=C580,Y579=Y580-1),Z579,"")</f>
        <v/>
      </c>
      <c r="AC580" s="0" t="str">
        <f aca="false">IF(AND(C579=C580,Y579=Y580-1),AA579,"")</f>
        <v/>
      </c>
      <c r="AD580" s="0" t="str">
        <f aca="false">IF(Y580=1,"",IF(AND(Z580=1,AB580&lt;&gt;1),1,0))</f>
        <v/>
      </c>
      <c r="AE580" s="0" t="str">
        <f aca="false">IF(Y580=1,"",IF(AND(AA580=1,AC580&lt;&gt;1),1,0))</f>
        <v/>
      </c>
      <c r="AF580" s="45" t="str">
        <f aca="false">IF(AND(E580&gt;0,Y580&lt;1,NOT(AND(C581=C580,Y581=Y580+1))),INDEX(DATAS,Y580+1),"")</f>
        <v/>
      </c>
      <c r="AG580" s="45" t="str">
        <f aca="false">IF(AND(AA580=1,Y580&lt;1),IF(AND(C581=C580,Y581=Y580+1),IF(AA581=1,"",INDEX(DATAS,Y580+1)),INDEX(DATAS,Y580+1)),"")</f>
        <v/>
      </c>
    </row>
    <row r="581" customFormat="false" ht="15" hidden="false" customHeight="false" outlineLevel="0" collapsed="false">
      <c r="A581" s="45" t="n">
        <v>46309</v>
      </c>
      <c r="B581" s="0" t="n">
        <v>3</v>
      </c>
      <c r="C581" s="0" t="n">
        <v>4401</v>
      </c>
      <c r="D581" s="0" t="n">
        <v>14</v>
      </c>
      <c r="E581" s="0" t="n">
        <v>3</v>
      </c>
      <c r="F581" s="39" t="s">
        <v>517</v>
      </c>
      <c r="G581" s="0" t="n">
        <v>51.4</v>
      </c>
      <c r="H581" s="0" t="n">
        <v>47</v>
      </c>
      <c r="I581" s="39" t="s">
        <v>118</v>
      </c>
      <c r="J581" s="0" t="n">
        <v>14</v>
      </c>
      <c r="M581" s="0" t="n">
        <v>386.74</v>
      </c>
      <c r="N581" s="0" t="n">
        <v>35.46</v>
      </c>
      <c r="O581" s="0" t="n">
        <v>21.59</v>
      </c>
      <c r="R581" s="0" t="n">
        <v>3655</v>
      </c>
      <c r="S581" s="0" t="n">
        <v>7348</v>
      </c>
      <c r="U581" s="0" t="n">
        <v>1394</v>
      </c>
      <c r="V581" s="0" t="n">
        <v>0</v>
      </c>
      <c r="W581" s="39" t="n">
        <f aca="false">IF(I581="Male",0,1)</f>
        <v>1</v>
      </c>
      <c r="X581" s="39" t="n">
        <f aca="false">IF(OR(I581="DNB",I581="Dry DNB"),1,0)</f>
        <v>0</v>
      </c>
      <c r="Y581" s="39" t="n">
        <f aca="false">MATCH(A581,DATAS,0)</f>
        <v>1</v>
      </c>
      <c r="Z581" s="39" t="n">
        <f aca="false">IF(AND(E581&gt;0,OR(AND(B581&gt;=1,B581&lt;=6),B581=10)),1,0)</f>
        <v>1</v>
      </c>
      <c r="AA581" s="39" t="n">
        <f aca="false">IF(AND(E581&gt;0,B581=10),1,0)</f>
        <v>0</v>
      </c>
      <c r="AB581" s="0" t="str">
        <f aca="false">IF(AND(C580=C581,Y580=Y581-1),Z580,"")</f>
        <v/>
      </c>
      <c r="AC581" s="0" t="str">
        <f aca="false">IF(AND(C580=C581,Y580=Y581-1),AA580,"")</f>
        <v/>
      </c>
      <c r="AD581" s="0" t="str">
        <f aca="false">IF(Y581=1,"",IF(AND(Z581=1,AB581&lt;&gt;1),1,0))</f>
        <v/>
      </c>
      <c r="AE581" s="0" t="str">
        <f aca="false">IF(Y581=1,"",IF(AND(AA581=1,AC581&lt;&gt;1),1,0))</f>
        <v/>
      </c>
      <c r="AF581" s="45" t="str">
        <f aca="false">IF(AND(E581&gt;0,Y581&lt;1,NOT(AND(C582=C581,Y582=Y581+1))),INDEX(DATAS,Y581+1),"")</f>
        <v/>
      </c>
      <c r="AG581" s="45" t="str">
        <f aca="false">IF(AND(AA581=1,Y581&lt;1),IF(AND(C582=C581,Y582=Y581+1),IF(AA582=1,"",INDEX(DATAS,Y581+1)),INDEX(DATAS,Y581+1)),"")</f>
        <v/>
      </c>
    </row>
    <row r="582" customFormat="false" ht="15" hidden="false" customHeight="false" outlineLevel="0" collapsed="false">
      <c r="A582" s="45" t="n">
        <v>46309</v>
      </c>
      <c r="B582" s="0" t="n">
        <v>3</v>
      </c>
      <c r="C582" s="0" t="n">
        <v>4403</v>
      </c>
      <c r="D582" s="0" t="n">
        <v>310</v>
      </c>
      <c r="E582" s="0" t="n">
        <v>2</v>
      </c>
      <c r="F582" s="39" t="s">
        <v>518</v>
      </c>
      <c r="G582" s="0" t="n">
        <v>56.9</v>
      </c>
      <c r="H582" s="0" t="n">
        <v>56</v>
      </c>
      <c r="I582" s="39" t="s">
        <v>109</v>
      </c>
      <c r="J582" s="0" t="n">
        <v>142</v>
      </c>
      <c r="K582" s="0" t="n">
        <v>65</v>
      </c>
      <c r="L582" s="0" t="n">
        <v>168</v>
      </c>
      <c r="M582" s="0" t="n">
        <v>617.63</v>
      </c>
      <c r="N582" s="0" t="n">
        <v>54.72</v>
      </c>
      <c r="O582" s="0" t="n">
        <v>30.53</v>
      </c>
      <c r="P582" s="0" t="n">
        <v>3.49</v>
      </c>
      <c r="Q582" s="0" t="n">
        <v>3.5</v>
      </c>
      <c r="R582" s="0" t="n">
        <v>6902</v>
      </c>
      <c r="S582" s="0" t="n">
        <v>13655</v>
      </c>
      <c r="T582" s="0" t="n">
        <v>75.55</v>
      </c>
      <c r="U582" s="0" t="n">
        <v>1393</v>
      </c>
      <c r="V582" s="0" t="n">
        <v>2</v>
      </c>
      <c r="W582" s="39" t="n">
        <f aca="false">IF(I582="Male",0,1)</f>
        <v>1</v>
      </c>
      <c r="X582" s="39" t="n">
        <f aca="false">IF(OR(I582="DNB",I582="Dry DNB"),1,0)</f>
        <v>0</v>
      </c>
      <c r="Y582" s="39" t="n">
        <f aca="false">MATCH(A582,DATAS,0)</f>
        <v>1</v>
      </c>
      <c r="Z582" s="39" t="n">
        <f aca="false">IF(AND(E582&gt;0,OR(AND(B582&gt;=1,B582&lt;=6),B582=10)),1,0)</f>
        <v>1</v>
      </c>
      <c r="AA582" s="39" t="n">
        <f aca="false">IF(AND(E582&gt;0,B582=10),1,0)</f>
        <v>0</v>
      </c>
      <c r="AB582" s="0" t="str">
        <f aca="false">IF(AND(C581=C582,Y581=Y582-1),Z581,"")</f>
        <v/>
      </c>
      <c r="AC582" s="0" t="str">
        <f aca="false">IF(AND(C581=C582,Y581=Y582-1),AA581,"")</f>
        <v/>
      </c>
      <c r="AD582" s="0" t="str">
        <f aca="false">IF(Y582=1,"",IF(AND(Z582=1,AB582&lt;&gt;1),1,0))</f>
        <v/>
      </c>
      <c r="AE582" s="0" t="str">
        <f aca="false">IF(Y582=1,"",IF(AND(AA582=1,AC582&lt;&gt;1),1,0))</f>
        <v/>
      </c>
      <c r="AF582" s="45" t="str">
        <f aca="false">IF(AND(E582&gt;0,Y582&lt;1,NOT(AND(C583=C582,Y583=Y582+1))),INDEX(DATAS,Y582+1),"")</f>
        <v/>
      </c>
      <c r="AG582" s="45" t="str">
        <f aca="false">IF(AND(AA582=1,Y582&lt;1),IF(AND(C583=C582,Y583=Y582+1),IF(AA583=1,"",INDEX(DATAS,Y582+1)),INDEX(DATAS,Y582+1)),"")</f>
        <v/>
      </c>
    </row>
    <row r="583" customFormat="false" ht="15" hidden="false" customHeight="false" outlineLevel="0" collapsed="false">
      <c r="A583" s="45" t="n">
        <v>46309</v>
      </c>
      <c r="B583" s="0" t="n">
        <v>5</v>
      </c>
      <c r="C583" s="0" t="n">
        <v>4406</v>
      </c>
      <c r="D583" s="0" t="n">
        <v>329</v>
      </c>
      <c r="E583" s="0" t="n">
        <v>2</v>
      </c>
      <c r="F583" s="39" t="s">
        <v>519</v>
      </c>
      <c r="G583" s="0" t="n">
        <v>27.7</v>
      </c>
      <c r="H583" s="0" t="n">
        <v>28</v>
      </c>
      <c r="I583" s="39" t="s">
        <v>109</v>
      </c>
      <c r="J583" s="0" t="n">
        <v>235</v>
      </c>
      <c r="K583" s="0" t="n">
        <v>63</v>
      </c>
      <c r="L583" s="0" t="n">
        <v>94</v>
      </c>
      <c r="M583" s="0" t="n">
        <v>304.04</v>
      </c>
      <c r="N583" s="0" t="n">
        <v>32.72</v>
      </c>
      <c r="O583" s="0" t="n">
        <v>18.66</v>
      </c>
      <c r="P583" s="0" t="n">
        <v>5.81</v>
      </c>
      <c r="Q583" s="0" t="n">
        <v>4.34</v>
      </c>
      <c r="R583" s="0" t="n">
        <v>4782</v>
      </c>
      <c r="S583" s="0" t="n">
        <v>9643</v>
      </c>
      <c r="T583" s="0" t="n">
        <v>53.65</v>
      </c>
      <c r="U583" s="0" t="n">
        <v>1391</v>
      </c>
      <c r="V583" s="0" t="n">
        <v>6</v>
      </c>
      <c r="W583" s="39" t="n">
        <f aca="false">IF(I583="Male",0,1)</f>
        <v>1</v>
      </c>
      <c r="X583" s="39" t="n">
        <f aca="false">IF(OR(I583="DNB",I583="Dry DNB"),1,0)</f>
        <v>0</v>
      </c>
      <c r="Y583" s="39" t="n">
        <f aca="false">MATCH(A583,DATAS,0)</f>
        <v>1</v>
      </c>
      <c r="Z583" s="39" t="n">
        <f aca="false">IF(AND(E583&gt;0,OR(AND(B583&gt;=1,B583&lt;=6),B583=10)),1,0)</f>
        <v>1</v>
      </c>
      <c r="AA583" s="39" t="n">
        <f aca="false">IF(AND(E583&gt;0,B583=10),1,0)</f>
        <v>0</v>
      </c>
      <c r="AB583" s="0" t="str">
        <f aca="false">IF(AND(C582=C583,Y582=Y583-1),Z582,"")</f>
        <v/>
      </c>
      <c r="AC583" s="0" t="str">
        <f aca="false">IF(AND(C582=C583,Y582=Y583-1),AA582,"")</f>
        <v/>
      </c>
      <c r="AD583" s="0" t="str">
        <f aca="false">IF(Y583=1,"",IF(AND(Z583=1,AB583&lt;&gt;1),1,0))</f>
        <v/>
      </c>
      <c r="AE583" s="0" t="str">
        <f aca="false">IF(Y583=1,"",IF(AND(AA583=1,AC583&lt;&gt;1),1,0))</f>
        <v/>
      </c>
      <c r="AF583" s="45" t="str">
        <f aca="false">IF(AND(E583&gt;0,Y583&lt;1,NOT(AND(C584=C583,Y584=Y583+1))),INDEX(DATAS,Y583+1),"")</f>
        <v/>
      </c>
      <c r="AG583" s="45" t="str">
        <f aca="false">IF(AND(AA583=1,Y583&lt;1),IF(AND(C584=C583,Y584=Y583+1),IF(AA584=1,"",INDEX(DATAS,Y583+1)),INDEX(DATAS,Y583+1)),"")</f>
        <v/>
      </c>
    </row>
    <row r="584" customFormat="false" ht="15" hidden="false" customHeight="false" outlineLevel="0" collapsed="false">
      <c r="A584" s="45" t="n">
        <v>46309</v>
      </c>
      <c r="B584" s="0" t="n">
        <v>5</v>
      </c>
      <c r="C584" s="0" t="n">
        <v>4407</v>
      </c>
      <c r="D584" s="0" t="n">
        <v>178</v>
      </c>
      <c r="E584" s="0" t="n">
        <v>2</v>
      </c>
      <c r="F584" s="39" t="s">
        <v>520</v>
      </c>
      <c r="G584" s="0" t="n">
        <v>32.2</v>
      </c>
      <c r="H584" s="0" t="n">
        <v>30</v>
      </c>
      <c r="I584" s="39" t="s">
        <v>96</v>
      </c>
      <c r="J584" s="0" t="n">
        <v>178</v>
      </c>
      <c r="K584" s="0" t="n">
        <v>101</v>
      </c>
      <c r="M584" s="0" t="n">
        <v>403.64</v>
      </c>
      <c r="N584" s="0" t="n">
        <v>63.26</v>
      </c>
      <c r="O584" s="0" t="n">
        <v>29.21</v>
      </c>
      <c r="P584" s="0" t="n">
        <v>4.59</v>
      </c>
      <c r="Q584" s="0" t="n">
        <v>3.54</v>
      </c>
      <c r="R584" s="0" t="n">
        <v>4537</v>
      </c>
      <c r="S584" s="0" t="n">
        <v>7620</v>
      </c>
      <c r="T584" s="0" t="n">
        <v>54.3</v>
      </c>
      <c r="U584" s="0" t="n">
        <v>1390</v>
      </c>
      <c r="V584" s="0" t="n">
        <v>1</v>
      </c>
      <c r="W584" s="39" t="n">
        <f aca="false">IF(I584="Male",0,1)</f>
        <v>1</v>
      </c>
      <c r="X584" s="39" t="n">
        <f aca="false">IF(OR(I584="DNB",I584="Dry DNB"),1,0)</f>
        <v>1</v>
      </c>
      <c r="Y584" s="39" t="n">
        <f aca="false">MATCH(A584,DATAS,0)</f>
        <v>1</v>
      </c>
      <c r="Z584" s="39" t="n">
        <f aca="false">IF(AND(E584&gt;0,OR(AND(B584&gt;=1,B584&lt;=6),B584=10)),1,0)</f>
        <v>1</v>
      </c>
      <c r="AA584" s="39" t="n">
        <f aca="false">IF(AND(E584&gt;0,B584=10),1,0)</f>
        <v>0</v>
      </c>
      <c r="AB584" s="0" t="str">
        <f aca="false">IF(AND(C583=C584,Y583=Y584-1),Z583,"")</f>
        <v/>
      </c>
      <c r="AC584" s="0" t="str">
        <f aca="false">IF(AND(C583=C584,Y583=Y584-1),AA583,"")</f>
        <v/>
      </c>
      <c r="AD584" s="0" t="str">
        <f aca="false">IF(Y584=1,"",IF(AND(Z584=1,AB584&lt;&gt;1),1,0))</f>
        <v/>
      </c>
      <c r="AE584" s="0" t="str">
        <f aca="false">IF(Y584=1,"",IF(AND(AA584=1,AC584&lt;&gt;1),1,0))</f>
        <v/>
      </c>
      <c r="AF584" s="45" t="str">
        <f aca="false">IF(AND(E584&gt;0,Y584&lt;1,NOT(AND(C585=C584,Y585=Y584+1))),INDEX(DATAS,Y584+1),"")</f>
        <v/>
      </c>
      <c r="AG584" s="45" t="str">
        <f aca="false">IF(AND(AA584=1,Y584&lt;1),IF(AND(C585=C584,Y585=Y584+1),IF(AA585=1,"",INDEX(DATAS,Y584+1)),INDEX(DATAS,Y584+1)),"")</f>
        <v/>
      </c>
    </row>
    <row r="585" customFormat="false" ht="15" hidden="false" customHeight="false" outlineLevel="0" collapsed="false">
      <c r="A585" s="45" t="n">
        <v>46309</v>
      </c>
      <c r="B585" s="0" t="n">
        <v>7</v>
      </c>
      <c r="C585" s="0" t="n">
        <v>4408</v>
      </c>
      <c r="D585" s="0" t="n">
        <v>289</v>
      </c>
      <c r="E585" s="0" t="n">
        <v>2</v>
      </c>
      <c r="F585" s="39" t="s">
        <v>520</v>
      </c>
      <c r="I585" s="39" t="s">
        <v>114</v>
      </c>
      <c r="J585" s="0" t="n">
        <v>66</v>
      </c>
      <c r="K585" s="0" t="n">
        <v>66</v>
      </c>
      <c r="L585" s="0" t="n">
        <v>238</v>
      </c>
      <c r="M585" s="0" t="n">
        <v>1336.45</v>
      </c>
      <c r="N585" s="0" t="n">
        <v>66.45</v>
      </c>
      <c r="O585" s="0" t="n">
        <v>40.19</v>
      </c>
      <c r="P585" s="0" t="n">
        <v>4.11</v>
      </c>
      <c r="Q585" s="0" t="n">
        <v>3.67</v>
      </c>
      <c r="R585" s="0" t="n">
        <v>6400</v>
      </c>
      <c r="S585" s="0" t="n">
        <v>13126</v>
      </c>
      <c r="T585" s="0" t="n">
        <v>69.35</v>
      </c>
      <c r="U585" s="0" t="n">
        <v>1390</v>
      </c>
      <c r="V585" s="0" t="n">
        <v>1</v>
      </c>
      <c r="W585" s="39" t="n">
        <f aca="false">IF(I585="Male",0,1)</f>
        <v>1</v>
      </c>
      <c r="X585" s="39" t="n">
        <f aca="false">IF(OR(I585="DNB",I585="Dry DNB"),1,0)</f>
        <v>0</v>
      </c>
      <c r="Y585" s="39" t="n">
        <f aca="false">MATCH(A585,DATAS,0)</f>
        <v>1</v>
      </c>
      <c r="Z585" s="39" t="n">
        <f aca="false">IF(AND(E585&gt;0,OR(AND(B585&gt;=1,B585&lt;=6),B585=10)),1,0)</f>
        <v>0</v>
      </c>
      <c r="AA585" s="39" t="n">
        <f aca="false">IF(AND(E585&gt;0,B585=10),1,0)</f>
        <v>0</v>
      </c>
      <c r="AB585" s="0" t="str">
        <f aca="false">IF(AND(C584=C585,Y584=Y585-1),Z584,"")</f>
        <v/>
      </c>
      <c r="AC585" s="0" t="str">
        <f aca="false">IF(AND(C584=C585,Y584=Y585-1),AA584,"")</f>
        <v/>
      </c>
      <c r="AD585" s="0" t="str">
        <f aca="false">IF(Y585=1,"",IF(AND(Z585=1,AB585&lt;&gt;1),1,0))</f>
        <v/>
      </c>
      <c r="AE585" s="0" t="str">
        <f aca="false">IF(Y585=1,"",IF(AND(AA585=1,AC585&lt;&gt;1),1,0))</f>
        <v/>
      </c>
      <c r="AF585" s="45" t="str">
        <f aca="false">IF(AND(E585&gt;0,Y585&lt;1,NOT(AND(C586=C585,Y586=Y585+1))),INDEX(DATAS,Y585+1),"")</f>
        <v/>
      </c>
      <c r="AG585" s="45" t="str">
        <f aca="false">IF(AND(AA585=1,Y585&lt;1),IF(AND(C586=C585,Y586=Y585+1),IF(AA586=1,"",INDEX(DATAS,Y585+1)),INDEX(DATAS,Y585+1)),"")</f>
        <v/>
      </c>
    </row>
    <row r="586" customFormat="false" ht="15" hidden="false" customHeight="false" outlineLevel="0" collapsed="false">
      <c r="A586" s="45" t="n">
        <v>46309</v>
      </c>
      <c r="B586" s="0" t="n">
        <v>7</v>
      </c>
      <c r="C586" s="0" t="n">
        <v>4409</v>
      </c>
      <c r="D586" s="0" t="n">
        <v>313</v>
      </c>
      <c r="E586" s="0" t="n">
        <v>2</v>
      </c>
      <c r="F586" s="39" t="s">
        <v>520</v>
      </c>
      <c r="I586" s="39" t="s">
        <v>114</v>
      </c>
      <c r="J586" s="0" t="n">
        <v>139</v>
      </c>
      <c r="K586" s="0" t="n">
        <v>69</v>
      </c>
      <c r="L586" s="0" t="n">
        <v>252</v>
      </c>
      <c r="M586" s="0" t="n">
        <v>446.41</v>
      </c>
      <c r="N586" s="0" t="n">
        <v>-2.01</v>
      </c>
      <c r="O586" s="0" t="n">
        <v>7.45</v>
      </c>
      <c r="P586" s="0" t="n">
        <v>4.63</v>
      </c>
      <c r="Q586" s="0" t="n">
        <v>3.3</v>
      </c>
      <c r="R586" s="0" t="n">
        <v>5684</v>
      </c>
      <c r="S586" s="0" t="n">
        <v>11080</v>
      </c>
      <c r="T586" s="0" t="n">
        <v>63.05</v>
      </c>
      <c r="U586" s="0" t="n">
        <v>1390</v>
      </c>
      <c r="V586" s="0" t="n">
        <v>3</v>
      </c>
      <c r="W586" s="39" t="n">
        <f aca="false">IF(I586="Male",0,1)</f>
        <v>1</v>
      </c>
      <c r="X586" s="39" t="n">
        <f aca="false">IF(OR(I586="DNB",I586="Dry DNB"),1,0)</f>
        <v>0</v>
      </c>
      <c r="Y586" s="39" t="n">
        <f aca="false">MATCH(A586,DATAS,0)</f>
        <v>1</v>
      </c>
      <c r="Z586" s="39" t="n">
        <f aca="false">IF(AND(E586&gt;0,OR(AND(B586&gt;=1,B586&lt;=6),B586=10)),1,0)</f>
        <v>0</v>
      </c>
      <c r="AA586" s="39" t="n">
        <f aca="false">IF(AND(E586&gt;0,B586=10),1,0)</f>
        <v>0</v>
      </c>
      <c r="AB586" s="0" t="str">
        <f aca="false">IF(AND(C585=C586,Y585=Y586-1),Z585,"")</f>
        <v/>
      </c>
      <c r="AC586" s="0" t="str">
        <f aca="false">IF(AND(C585=C586,Y585=Y586-1),AA585,"")</f>
        <v/>
      </c>
      <c r="AD586" s="0" t="str">
        <f aca="false">IF(Y586=1,"",IF(AND(Z586=1,AB586&lt;&gt;1),1,0))</f>
        <v/>
      </c>
      <c r="AE586" s="0" t="str">
        <f aca="false">IF(Y586=1,"",IF(AND(AA586=1,AC586&lt;&gt;1),1,0))</f>
        <v/>
      </c>
      <c r="AF586" s="45" t="str">
        <f aca="false">IF(AND(E586&gt;0,Y586&lt;1,NOT(AND(C587=C586,Y587=Y586+1))),INDEX(DATAS,Y586+1),"")</f>
        <v/>
      </c>
      <c r="AG586" s="45" t="str">
        <f aca="false">IF(AND(AA586=1,Y586&lt;1),IF(AND(C587=C586,Y587=Y586+1),IF(AA587=1,"",INDEX(DATAS,Y586+1)),INDEX(DATAS,Y586+1)),"")</f>
        <v/>
      </c>
    </row>
    <row r="587" customFormat="false" ht="15" hidden="false" customHeight="false" outlineLevel="0" collapsed="false">
      <c r="A587" s="45" t="n">
        <v>46309</v>
      </c>
      <c r="B587" s="0" t="n">
        <v>5</v>
      </c>
      <c r="C587" s="0" t="n">
        <v>4410</v>
      </c>
      <c r="D587" s="0" t="n">
        <v>395</v>
      </c>
      <c r="E587" s="0" t="n">
        <v>2</v>
      </c>
      <c r="F587" s="39" t="s">
        <v>521</v>
      </c>
      <c r="G587" s="0" t="n">
        <v>33.6</v>
      </c>
      <c r="H587" s="0" t="n">
        <v>34</v>
      </c>
      <c r="I587" s="39" t="s">
        <v>109</v>
      </c>
      <c r="J587" s="0" t="n">
        <v>304</v>
      </c>
      <c r="K587" s="0" t="n">
        <v>66</v>
      </c>
      <c r="L587" s="0" t="n">
        <v>91</v>
      </c>
      <c r="M587" s="0" t="n">
        <v>99.02</v>
      </c>
      <c r="N587" s="0" t="n">
        <v>38.82</v>
      </c>
      <c r="O587" s="0" t="n">
        <v>27.17</v>
      </c>
      <c r="P587" s="0" t="n">
        <v>5.99</v>
      </c>
      <c r="Q587" s="0" t="n">
        <v>4.47</v>
      </c>
      <c r="R587" s="0" t="n">
        <v>4750</v>
      </c>
      <c r="S587" s="0" t="n">
        <v>9177</v>
      </c>
      <c r="T587" s="0" t="n">
        <v>50.1</v>
      </c>
      <c r="U587" s="0" t="n">
        <v>1389</v>
      </c>
      <c r="V587" s="0" t="n">
        <v>7</v>
      </c>
      <c r="W587" s="39" t="n">
        <f aca="false">IF(I587="Male",0,1)</f>
        <v>1</v>
      </c>
      <c r="X587" s="39" t="n">
        <f aca="false">IF(OR(I587="DNB",I587="Dry DNB"),1,0)</f>
        <v>0</v>
      </c>
      <c r="Y587" s="39" t="n">
        <f aca="false">MATCH(A587,DATAS,0)</f>
        <v>1</v>
      </c>
      <c r="Z587" s="39" t="n">
        <f aca="false">IF(AND(E587&gt;0,OR(AND(B587&gt;=1,B587&lt;=6),B587=10)),1,0)</f>
        <v>1</v>
      </c>
      <c r="AA587" s="39" t="n">
        <f aca="false">IF(AND(E587&gt;0,B587=10),1,0)</f>
        <v>0</v>
      </c>
      <c r="AB587" s="0" t="str">
        <f aca="false">IF(AND(C586=C587,Y586=Y587-1),Z586,"")</f>
        <v/>
      </c>
      <c r="AC587" s="0" t="str">
        <f aca="false">IF(AND(C586=C587,Y586=Y587-1),AA586,"")</f>
        <v/>
      </c>
      <c r="AD587" s="0" t="str">
        <f aca="false">IF(Y587=1,"",IF(AND(Z587=1,AB587&lt;&gt;1),1,0))</f>
        <v/>
      </c>
      <c r="AE587" s="0" t="str">
        <f aca="false">IF(Y587=1,"",IF(AND(AA587=1,AC587&lt;&gt;1),1,0))</f>
        <v/>
      </c>
      <c r="AF587" s="45" t="str">
        <f aca="false">IF(AND(E587&gt;0,Y587&lt;1,NOT(AND(C588=C587,Y588=Y587+1))),INDEX(DATAS,Y587+1),"")</f>
        <v/>
      </c>
      <c r="AG587" s="45" t="str">
        <f aca="false">IF(AND(AA587=1,Y587&lt;1),IF(AND(C588=C587,Y588=Y587+1),IF(AA588=1,"",INDEX(DATAS,Y587+1)),INDEX(DATAS,Y587+1)),"")</f>
        <v/>
      </c>
    </row>
    <row r="588" customFormat="false" ht="15" hidden="false" customHeight="false" outlineLevel="0" collapsed="false">
      <c r="A588" s="45" t="n">
        <v>46309</v>
      </c>
      <c r="B588" s="0" t="n">
        <v>5</v>
      </c>
      <c r="C588" s="0" t="n">
        <v>4413</v>
      </c>
      <c r="D588" s="0" t="n">
        <v>217</v>
      </c>
      <c r="E588" s="0" t="n">
        <v>2</v>
      </c>
      <c r="F588" s="39" t="s">
        <v>522</v>
      </c>
      <c r="G588" s="0" t="n">
        <v>32.7</v>
      </c>
      <c r="H588" s="0" t="n">
        <v>30</v>
      </c>
      <c r="I588" s="39" t="s">
        <v>109</v>
      </c>
      <c r="J588" s="0" t="n">
        <v>175</v>
      </c>
      <c r="K588" s="0" t="n">
        <v>63</v>
      </c>
      <c r="L588" s="0" t="n">
        <v>42</v>
      </c>
      <c r="M588" s="0" t="n">
        <v>270.67</v>
      </c>
      <c r="N588" s="0" t="n">
        <v>53.78</v>
      </c>
      <c r="O588" s="0" t="n">
        <v>19.81</v>
      </c>
      <c r="P588" s="0" t="n">
        <v>5.32</v>
      </c>
      <c r="Q588" s="0" t="n">
        <v>3.91</v>
      </c>
      <c r="R588" s="0" t="n">
        <v>2909</v>
      </c>
      <c r="S588" s="0" t="n">
        <v>6184</v>
      </c>
      <c r="T588" s="0" t="n">
        <v>34.4</v>
      </c>
      <c r="U588" s="0" t="n">
        <v>1388</v>
      </c>
      <c r="V588" s="0" t="n">
        <v>3</v>
      </c>
      <c r="W588" s="39" t="n">
        <f aca="false">IF(I588="Male",0,1)</f>
        <v>1</v>
      </c>
      <c r="X588" s="39" t="n">
        <f aca="false">IF(OR(I588="DNB",I588="Dry DNB"),1,0)</f>
        <v>0</v>
      </c>
      <c r="Y588" s="39" t="n">
        <f aca="false">MATCH(A588,DATAS,0)</f>
        <v>1</v>
      </c>
      <c r="Z588" s="39" t="n">
        <f aca="false">IF(AND(E588&gt;0,OR(AND(B588&gt;=1,B588&lt;=6),B588=10)),1,0)</f>
        <v>1</v>
      </c>
      <c r="AA588" s="39" t="n">
        <f aca="false">IF(AND(E588&gt;0,B588=10),1,0)</f>
        <v>0</v>
      </c>
      <c r="AB588" s="0" t="str">
        <f aca="false">IF(AND(C587=C588,Y587=Y588-1),Z587,"")</f>
        <v/>
      </c>
      <c r="AC588" s="0" t="str">
        <f aca="false">IF(AND(C587=C588,Y587=Y588-1),AA587,"")</f>
        <v/>
      </c>
      <c r="AD588" s="0" t="str">
        <f aca="false">IF(Y588=1,"",IF(AND(Z588=1,AB588&lt;&gt;1),1,0))</f>
        <v/>
      </c>
      <c r="AE588" s="0" t="str">
        <f aca="false">IF(Y588=1,"",IF(AND(AA588=1,AC588&lt;&gt;1),1,0))</f>
        <v/>
      </c>
      <c r="AF588" s="45" t="str">
        <f aca="false">IF(AND(E588&gt;0,Y588&lt;1,NOT(AND(C589=C588,Y589=Y588+1))),INDEX(DATAS,Y588+1),"")</f>
        <v/>
      </c>
      <c r="AG588" s="45" t="str">
        <f aca="false">IF(AND(AA588=1,Y588&lt;1),IF(AND(C589=C588,Y589=Y588+1),IF(AA589=1,"",INDEX(DATAS,Y588+1)),INDEX(DATAS,Y588+1)),"")</f>
        <v/>
      </c>
    </row>
    <row r="589" customFormat="false" ht="15" hidden="false" customHeight="false" outlineLevel="0" collapsed="false">
      <c r="A589" s="45" t="n">
        <v>46309</v>
      </c>
      <c r="B589" s="0" t="n">
        <v>3</v>
      </c>
      <c r="C589" s="0" t="n">
        <v>4415</v>
      </c>
      <c r="D589" s="0" t="n">
        <v>62</v>
      </c>
      <c r="E589" s="0" t="n">
        <v>2</v>
      </c>
      <c r="F589" s="39" t="s">
        <v>523</v>
      </c>
      <c r="G589" s="0" t="n">
        <v>68.4</v>
      </c>
      <c r="H589" s="0" t="n">
        <v>69</v>
      </c>
      <c r="I589" s="39" t="s">
        <v>138</v>
      </c>
      <c r="J589" s="0" t="n">
        <v>62</v>
      </c>
      <c r="K589" s="0" t="n">
        <v>62</v>
      </c>
      <c r="M589" s="0" t="n">
        <v>907.13</v>
      </c>
      <c r="N589" s="0" t="n">
        <v>57.8</v>
      </c>
      <c r="O589" s="0" t="n">
        <v>37.26</v>
      </c>
      <c r="P589" s="0" t="n">
        <v>2.88</v>
      </c>
      <c r="Q589" s="0" t="n">
        <v>3.09</v>
      </c>
      <c r="R589" s="0" t="n">
        <v>5928</v>
      </c>
      <c r="S589" s="0" t="n">
        <v>11917</v>
      </c>
      <c r="U589" s="0" t="n">
        <v>1386</v>
      </c>
      <c r="V589" s="0" t="n">
        <v>1</v>
      </c>
      <c r="W589" s="39" t="n">
        <f aca="false">IF(I589="Male",0,1)</f>
        <v>1</v>
      </c>
      <c r="X589" s="39" t="n">
        <f aca="false">IF(OR(I589="DNB",I589="Dry DNB"),1,0)</f>
        <v>0</v>
      </c>
      <c r="Y589" s="39" t="n">
        <f aca="false">MATCH(A589,DATAS,0)</f>
        <v>1</v>
      </c>
      <c r="Z589" s="39" t="n">
        <f aca="false">IF(AND(E589&gt;0,OR(AND(B589&gt;=1,B589&lt;=6),B589=10)),1,0)</f>
        <v>1</v>
      </c>
      <c r="AA589" s="39" t="n">
        <f aca="false">IF(AND(E589&gt;0,B589=10),1,0)</f>
        <v>0</v>
      </c>
      <c r="AB589" s="0" t="str">
        <f aca="false">IF(AND(C588=C589,Y588=Y589-1),Z588,"")</f>
        <v/>
      </c>
      <c r="AC589" s="0" t="str">
        <f aca="false">IF(AND(C588=C589,Y588=Y589-1),AA588,"")</f>
        <v/>
      </c>
      <c r="AD589" s="0" t="str">
        <f aca="false">IF(Y589=1,"",IF(AND(Z589=1,AB589&lt;&gt;1),1,0))</f>
        <v/>
      </c>
      <c r="AE589" s="0" t="str">
        <f aca="false">IF(Y589=1,"",IF(AND(AA589=1,AC589&lt;&gt;1),1,0))</f>
        <v/>
      </c>
      <c r="AF589" s="45" t="str">
        <f aca="false">IF(AND(E589&gt;0,Y589&lt;1,NOT(AND(C590=C589,Y590=Y589+1))),INDEX(DATAS,Y589+1),"")</f>
        <v/>
      </c>
      <c r="AG589" s="45" t="str">
        <f aca="false">IF(AND(AA589=1,Y589&lt;1),IF(AND(C590=C589,Y590=Y589+1),IF(AA590=1,"",INDEX(DATAS,Y589+1)),INDEX(DATAS,Y589+1)),"")</f>
        <v/>
      </c>
    </row>
    <row r="590" customFormat="false" ht="15" hidden="false" customHeight="false" outlineLevel="0" collapsed="false">
      <c r="A590" s="45" t="n">
        <v>46309</v>
      </c>
      <c r="B590" s="0" t="n">
        <v>5</v>
      </c>
      <c r="C590" s="0" t="n">
        <v>4416</v>
      </c>
      <c r="D590" s="0" t="n">
        <v>356</v>
      </c>
      <c r="E590" s="0" t="n">
        <v>2</v>
      </c>
      <c r="F590" s="39" t="s">
        <v>524</v>
      </c>
      <c r="G590" s="0" t="n">
        <v>37.8</v>
      </c>
      <c r="H590" s="0" t="n">
        <v>37</v>
      </c>
      <c r="I590" s="39" t="s">
        <v>109</v>
      </c>
      <c r="J590" s="0" t="n">
        <v>153</v>
      </c>
      <c r="K590" s="0" t="n">
        <v>70</v>
      </c>
      <c r="L590" s="0" t="n">
        <v>203</v>
      </c>
      <c r="M590" s="0" t="n">
        <v>1406.28</v>
      </c>
      <c r="N590" s="0" t="n">
        <v>22.23</v>
      </c>
      <c r="O590" s="0" t="n">
        <v>41.64</v>
      </c>
      <c r="P590" s="0" t="n">
        <v>4.56</v>
      </c>
      <c r="Q590" s="0" t="n">
        <v>3.2</v>
      </c>
      <c r="R590" s="0" t="n">
        <v>4600</v>
      </c>
      <c r="S590" s="0" t="n">
        <v>9267</v>
      </c>
      <c r="T590" s="0" t="n">
        <v>49.95</v>
      </c>
      <c r="U590" s="0" t="n">
        <v>1385</v>
      </c>
      <c r="V590" s="0" t="n">
        <v>4</v>
      </c>
      <c r="W590" s="39" t="n">
        <f aca="false">IF(I590="Male",0,1)</f>
        <v>1</v>
      </c>
      <c r="X590" s="39" t="n">
        <f aca="false">IF(OR(I590="DNB",I590="Dry DNB"),1,0)</f>
        <v>0</v>
      </c>
      <c r="Y590" s="39" t="n">
        <f aca="false">MATCH(A590,DATAS,0)</f>
        <v>1</v>
      </c>
      <c r="Z590" s="39" t="n">
        <f aca="false">IF(AND(E590&gt;0,OR(AND(B590&gt;=1,B590&lt;=6),B590=10)),1,0)</f>
        <v>1</v>
      </c>
      <c r="AA590" s="39" t="n">
        <f aca="false">IF(AND(E590&gt;0,B590=10),1,0)</f>
        <v>0</v>
      </c>
      <c r="AB590" s="0" t="str">
        <f aca="false">IF(AND(C589=C590,Y589=Y590-1),Z589,"")</f>
        <v/>
      </c>
      <c r="AC590" s="0" t="str">
        <f aca="false">IF(AND(C589=C590,Y589=Y590-1),AA589,"")</f>
        <v/>
      </c>
      <c r="AD590" s="0" t="str">
        <f aca="false">IF(Y590=1,"",IF(AND(Z590=1,AB590&lt;&gt;1),1,0))</f>
        <v/>
      </c>
      <c r="AE590" s="0" t="str">
        <f aca="false">IF(Y590=1,"",IF(AND(AA590=1,AC590&lt;&gt;1),1,0))</f>
        <v/>
      </c>
      <c r="AF590" s="45" t="str">
        <f aca="false">IF(AND(E590&gt;0,Y590&lt;1,NOT(AND(C591=C590,Y591=Y590+1))),INDEX(DATAS,Y590+1),"")</f>
        <v/>
      </c>
      <c r="AG590" s="45" t="str">
        <f aca="false">IF(AND(AA590=1,Y590&lt;1),IF(AND(C591=C590,Y591=Y590+1),IF(AA591=1,"",INDEX(DATAS,Y590+1)),INDEX(DATAS,Y590+1)),"")</f>
        <v/>
      </c>
    </row>
    <row r="591" customFormat="false" ht="15" hidden="false" customHeight="false" outlineLevel="0" collapsed="false">
      <c r="A591" s="45" t="n">
        <v>46309</v>
      </c>
      <c r="B591" s="0" t="n">
        <v>2</v>
      </c>
      <c r="C591" s="0" t="n">
        <v>4417</v>
      </c>
      <c r="D591" s="0" t="n">
        <v>259</v>
      </c>
      <c r="E591" s="0" t="n">
        <v>2</v>
      </c>
      <c r="F591" s="39" t="s">
        <v>525</v>
      </c>
      <c r="G591" s="0" t="n">
        <v>51.6</v>
      </c>
      <c r="H591" s="0" t="n">
        <v>52</v>
      </c>
      <c r="I591" s="39" t="s">
        <v>138</v>
      </c>
      <c r="J591" s="0" t="n">
        <v>259</v>
      </c>
      <c r="K591" s="0" t="n">
        <v>77</v>
      </c>
      <c r="M591" s="0" t="n">
        <v>1517.52</v>
      </c>
      <c r="N591" s="0" t="n">
        <v>18.44</v>
      </c>
      <c r="O591" s="0" t="n">
        <v>54.19</v>
      </c>
      <c r="P591" s="0" t="n">
        <v>2.9</v>
      </c>
      <c r="Q591" s="0" t="n">
        <v>4.02</v>
      </c>
      <c r="R591" s="0" t="n">
        <v>5922</v>
      </c>
      <c r="S591" s="0" t="n">
        <v>11320</v>
      </c>
      <c r="T591" s="0" t="n">
        <v>67.5</v>
      </c>
      <c r="U591" s="0" t="n">
        <v>1384</v>
      </c>
      <c r="V591" s="0" t="n">
        <v>5</v>
      </c>
      <c r="W591" s="39" t="n">
        <f aca="false">IF(I591="Male",0,1)</f>
        <v>1</v>
      </c>
      <c r="X591" s="39" t="n">
        <f aca="false">IF(OR(I591="DNB",I591="Dry DNB"),1,0)</f>
        <v>0</v>
      </c>
      <c r="Y591" s="39" t="n">
        <f aca="false">MATCH(A591,DATAS,0)</f>
        <v>1</v>
      </c>
      <c r="Z591" s="39" t="n">
        <f aca="false">IF(AND(E591&gt;0,OR(AND(B591&gt;=1,B591&lt;=6),B591=10)),1,0)</f>
        <v>1</v>
      </c>
      <c r="AA591" s="39" t="n">
        <f aca="false">IF(AND(E591&gt;0,B591=10),1,0)</f>
        <v>0</v>
      </c>
      <c r="AB591" s="0" t="str">
        <f aca="false">IF(AND(C590=C591,Y590=Y591-1),Z590,"")</f>
        <v/>
      </c>
      <c r="AC591" s="0" t="str">
        <f aca="false">IF(AND(C590=C591,Y590=Y591-1),AA590,"")</f>
        <v/>
      </c>
      <c r="AD591" s="0" t="str">
        <f aca="false">IF(Y591=1,"",IF(AND(Z591=1,AB591&lt;&gt;1),1,0))</f>
        <v/>
      </c>
      <c r="AE591" s="0" t="str">
        <f aca="false">IF(Y591=1,"",IF(AND(AA591=1,AC591&lt;&gt;1),1,0))</f>
        <v/>
      </c>
      <c r="AF591" s="45" t="str">
        <f aca="false">IF(AND(E591&gt;0,Y591&lt;1,NOT(AND(C592=C591,Y592=Y591+1))),INDEX(DATAS,Y591+1),"")</f>
        <v/>
      </c>
      <c r="AG591" s="45" t="str">
        <f aca="false">IF(AND(AA591=1,Y591&lt;1),IF(AND(C592=C591,Y592=Y591+1),IF(AA592=1,"",INDEX(DATAS,Y591+1)),INDEX(DATAS,Y591+1)),"")</f>
        <v/>
      </c>
    </row>
    <row r="592" customFormat="false" ht="15" hidden="false" customHeight="false" outlineLevel="0" collapsed="false">
      <c r="A592" s="45" t="n">
        <v>46309</v>
      </c>
      <c r="B592" s="0" t="n">
        <v>7</v>
      </c>
      <c r="C592" s="0" t="n">
        <v>4418</v>
      </c>
      <c r="D592" s="0" t="n">
        <v>393</v>
      </c>
      <c r="E592" s="0" t="n">
        <v>2</v>
      </c>
      <c r="F592" s="39" t="s">
        <v>525</v>
      </c>
      <c r="I592" s="39" t="s">
        <v>114</v>
      </c>
      <c r="J592" s="0" t="n">
        <v>170</v>
      </c>
      <c r="K592" s="0" t="n">
        <v>65</v>
      </c>
      <c r="L592" s="0" t="n">
        <v>245</v>
      </c>
      <c r="M592" s="0" t="n">
        <v>1686.69</v>
      </c>
      <c r="N592" s="0" t="n">
        <v>36.43</v>
      </c>
      <c r="O592" s="0" t="n">
        <v>40.94</v>
      </c>
      <c r="P592" s="0" t="n">
        <v>4.47</v>
      </c>
      <c r="Q592" s="0" t="n">
        <v>3.47</v>
      </c>
      <c r="R592" s="0" t="n">
        <v>5755</v>
      </c>
      <c r="S592" s="0" t="n">
        <v>11902</v>
      </c>
      <c r="T592" s="0" t="n">
        <v>61.6</v>
      </c>
      <c r="U592" s="0" t="n">
        <v>1384</v>
      </c>
      <c r="V592" s="0" t="n">
        <v>4</v>
      </c>
      <c r="W592" s="39" t="n">
        <f aca="false">IF(I592="Male",0,1)</f>
        <v>1</v>
      </c>
      <c r="X592" s="39" t="n">
        <f aca="false">IF(OR(I592="DNB",I592="Dry DNB"),1,0)</f>
        <v>0</v>
      </c>
      <c r="Y592" s="39" t="n">
        <f aca="false">MATCH(A592,DATAS,0)</f>
        <v>1</v>
      </c>
      <c r="Z592" s="39" t="n">
        <f aca="false">IF(AND(E592&gt;0,OR(AND(B592&gt;=1,B592&lt;=6),B592=10)),1,0)</f>
        <v>0</v>
      </c>
      <c r="AA592" s="39" t="n">
        <f aca="false">IF(AND(E592&gt;0,B592=10),1,0)</f>
        <v>0</v>
      </c>
      <c r="AB592" s="0" t="str">
        <f aca="false">IF(AND(C591=C592,Y591=Y592-1),Z591,"")</f>
        <v/>
      </c>
      <c r="AC592" s="0" t="str">
        <f aca="false">IF(AND(C591=C592,Y591=Y592-1),AA591,"")</f>
        <v/>
      </c>
      <c r="AD592" s="0" t="str">
        <f aca="false">IF(Y592=1,"",IF(AND(Z592=1,AB592&lt;&gt;1),1,0))</f>
        <v/>
      </c>
      <c r="AE592" s="0" t="str">
        <f aca="false">IF(Y592=1,"",IF(AND(AA592=1,AC592&lt;&gt;1),1,0))</f>
        <v/>
      </c>
      <c r="AF592" s="45" t="str">
        <f aca="false">IF(AND(E592&gt;0,Y592&lt;1,NOT(AND(C593=C592,Y593=Y592+1))),INDEX(DATAS,Y592+1),"")</f>
        <v/>
      </c>
      <c r="AG592" s="45" t="str">
        <f aca="false">IF(AND(AA592=1,Y592&lt;1),IF(AND(C593=C592,Y593=Y592+1),IF(AA593=1,"",INDEX(DATAS,Y592+1)),INDEX(DATAS,Y592+1)),"")</f>
        <v/>
      </c>
    </row>
    <row r="593" customFormat="false" ht="15" hidden="false" customHeight="false" outlineLevel="0" collapsed="false">
      <c r="A593" s="45" t="n">
        <v>46309</v>
      </c>
      <c r="B593" s="0" t="n">
        <v>5</v>
      </c>
      <c r="C593" s="0" t="n">
        <v>4419</v>
      </c>
      <c r="D593" s="0" t="n">
        <v>212</v>
      </c>
      <c r="E593" s="0" t="n">
        <v>2</v>
      </c>
      <c r="F593" s="39" t="s">
        <v>525</v>
      </c>
      <c r="G593" s="0" t="n">
        <v>28.9</v>
      </c>
      <c r="H593" s="0" t="n">
        <v>32</v>
      </c>
      <c r="I593" s="39" t="s">
        <v>109</v>
      </c>
      <c r="J593" s="0" t="n">
        <v>65</v>
      </c>
      <c r="K593" s="0" t="n">
        <v>65</v>
      </c>
      <c r="L593" s="0" t="n">
        <v>147</v>
      </c>
      <c r="M593" s="0" t="n">
        <v>1096.51</v>
      </c>
      <c r="N593" s="0" t="n">
        <v>35.23</v>
      </c>
      <c r="O593" s="0" t="n">
        <v>30.49</v>
      </c>
      <c r="P593" s="0" t="n">
        <v>5.46</v>
      </c>
      <c r="Q593" s="0" t="n">
        <v>3.77</v>
      </c>
      <c r="R593" s="0" t="n">
        <v>4850</v>
      </c>
      <c r="S593" s="0" t="n">
        <v>8389</v>
      </c>
      <c r="T593" s="0" t="n">
        <v>56.15</v>
      </c>
      <c r="U593" s="0" t="n">
        <v>1384</v>
      </c>
      <c r="V593" s="0" t="n">
        <v>1</v>
      </c>
      <c r="W593" s="39" t="n">
        <f aca="false">IF(I593="Male",0,1)</f>
        <v>1</v>
      </c>
      <c r="X593" s="39" t="n">
        <f aca="false">IF(OR(I593="DNB",I593="Dry DNB"),1,0)</f>
        <v>0</v>
      </c>
      <c r="Y593" s="39" t="n">
        <f aca="false">MATCH(A593,DATAS,0)</f>
        <v>1</v>
      </c>
      <c r="Z593" s="39" t="n">
        <f aca="false">IF(AND(E593&gt;0,OR(AND(B593&gt;=1,B593&lt;=6),B593=10)),1,0)</f>
        <v>1</v>
      </c>
      <c r="AA593" s="39" t="n">
        <f aca="false">IF(AND(E593&gt;0,B593=10),1,0)</f>
        <v>0</v>
      </c>
      <c r="AB593" s="0" t="str">
        <f aca="false">IF(AND(C592=C593,Y592=Y593-1),Z592,"")</f>
        <v/>
      </c>
      <c r="AC593" s="0" t="str">
        <f aca="false">IF(AND(C592=C593,Y592=Y593-1),AA592,"")</f>
        <v/>
      </c>
      <c r="AD593" s="0" t="str">
        <f aca="false">IF(Y593=1,"",IF(AND(Z593=1,AB593&lt;&gt;1),1,0))</f>
        <v/>
      </c>
      <c r="AE593" s="0" t="str">
        <f aca="false">IF(Y593=1,"",IF(AND(AA593=1,AC593&lt;&gt;1),1,0))</f>
        <v/>
      </c>
      <c r="AF593" s="45" t="str">
        <f aca="false">IF(AND(E593&gt;0,Y593&lt;1,NOT(AND(C594=C593,Y594=Y593+1))),INDEX(DATAS,Y593+1),"")</f>
        <v/>
      </c>
      <c r="AG593" s="45" t="str">
        <f aca="false">IF(AND(AA593=1,Y593&lt;1),IF(AND(C594=C593,Y594=Y593+1),IF(AA594=1,"",INDEX(DATAS,Y593+1)),INDEX(DATAS,Y593+1)),"")</f>
        <v/>
      </c>
    </row>
    <row r="594" customFormat="false" ht="15" hidden="false" customHeight="false" outlineLevel="0" collapsed="false">
      <c r="A594" s="45" t="n">
        <v>46309</v>
      </c>
      <c r="B594" s="0" t="n">
        <v>5</v>
      </c>
      <c r="C594" s="0" t="n">
        <v>4420</v>
      </c>
      <c r="D594" s="0" t="n">
        <v>417</v>
      </c>
      <c r="E594" s="0" t="n">
        <v>2</v>
      </c>
      <c r="F594" s="39" t="s">
        <v>525</v>
      </c>
      <c r="H594" s="0" t="n">
        <v>22</v>
      </c>
      <c r="I594" s="39" t="s">
        <v>109</v>
      </c>
      <c r="J594" s="0" t="n">
        <v>299</v>
      </c>
      <c r="K594" s="0" t="n">
        <v>67</v>
      </c>
      <c r="L594" s="0" t="n">
        <v>118</v>
      </c>
      <c r="M594" s="0" t="n">
        <v>1392.92</v>
      </c>
      <c r="N594" s="0" t="n">
        <v>50.5</v>
      </c>
      <c r="O594" s="0" t="n">
        <v>35.68</v>
      </c>
      <c r="P594" s="0" t="n">
        <v>4.7</v>
      </c>
      <c r="Q594" s="0" t="n">
        <v>3.77</v>
      </c>
      <c r="R594" s="0" t="n">
        <v>5371</v>
      </c>
      <c r="S594" s="0" t="n">
        <v>11088</v>
      </c>
      <c r="T594" s="0" t="n">
        <v>64.2</v>
      </c>
      <c r="U594" s="0" t="n">
        <v>1384</v>
      </c>
      <c r="V594" s="0" t="n">
        <v>11</v>
      </c>
      <c r="W594" s="39" t="n">
        <f aca="false">IF(I594="Male",0,1)</f>
        <v>1</v>
      </c>
      <c r="X594" s="39" t="n">
        <f aca="false">IF(OR(I594="DNB",I594="Dry DNB"),1,0)</f>
        <v>0</v>
      </c>
      <c r="Y594" s="39" t="n">
        <f aca="false">MATCH(A594,DATAS,0)</f>
        <v>1</v>
      </c>
      <c r="Z594" s="39" t="n">
        <f aca="false">IF(AND(E594&gt;0,OR(AND(B594&gt;=1,B594&lt;=6),B594=10)),1,0)</f>
        <v>1</v>
      </c>
      <c r="AA594" s="39" t="n">
        <f aca="false">IF(AND(E594&gt;0,B594=10),1,0)</f>
        <v>0</v>
      </c>
      <c r="AB594" s="0" t="str">
        <f aca="false">IF(AND(C593=C594,Y593=Y594-1),Z593,"")</f>
        <v/>
      </c>
      <c r="AC594" s="0" t="str">
        <f aca="false">IF(AND(C593=C594,Y593=Y594-1),AA593,"")</f>
        <v/>
      </c>
      <c r="AD594" s="0" t="str">
        <f aca="false">IF(Y594=1,"",IF(AND(Z594=1,AB594&lt;&gt;1),1,0))</f>
        <v/>
      </c>
      <c r="AE594" s="0" t="str">
        <f aca="false">IF(Y594=1,"",IF(AND(AA594=1,AC594&lt;&gt;1),1,0))</f>
        <v/>
      </c>
      <c r="AF594" s="45" t="str">
        <f aca="false">IF(AND(E594&gt;0,Y594&lt;1,NOT(AND(C595=C594,Y595=Y594+1))),INDEX(DATAS,Y594+1),"")</f>
        <v/>
      </c>
      <c r="AG594" s="45" t="str">
        <f aca="false">IF(AND(AA594=1,Y594&lt;1),IF(AND(C595=C594,Y595=Y594+1),IF(AA595=1,"",INDEX(DATAS,Y594+1)),INDEX(DATAS,Y594+1)),"")</f>
        <v/>
      </c>
    </row>
    <row r="595" customFormat="false" ht="15" hidden="false" customHeight="false" outlineLevel="0" collapsed="false">
      <c r="A595" s="45" t="n">
        <v>46309</v>
      </c>
      <c r="B595" s="0" t="n">
        <v>3</v>
      </c>
      <c r="C595" s="0" t="n">
        <v>4422</v>
      </c>
      <c r="D595" s="0" t="n">
        <v>17</v>
      </c>
      <c r="E595" s="0" t="n">
        <v>3</v>
      </c>
      <c r="F595" s="39" t="s">
        <v>526</v>
      </c>
      <c r="G595" s="0" t="n">
        <v>58.6</v>
      </c>
      <c r="H595" s="0" t="n">
        <v>55</v>
      </c>
      <c r="I595" s="39" t="s">
        <v>118</v>
      </c>
      <c r="J595" s="0" t="n">
        <v>17</v>
      </c>
      <c r="M595" s="0" t="n">
        <v>236.97</v>
      </c>
      <c r="N595" s="0" t="n">
        <v>15.39</v>
      </c>
      <c r="O595" s="0" t="n">
        <v>21.9</v>
      </c>
      <c r="R595" s="0" t="n">
        <v>4103</v>
      </c>
      <c r="S595" s="0" t="n">
        <v>8248</v>
      </c>
      <c r="U595" s="0" t="n">
        <v>1381</v>
      </c>
      <c r="V595" s="0" t="n">
        <v>0</v>
      </c>
      <c r="W595" s="39" t="n">
        <f aca="false">IF(I595="Male",0,1)</f>
        <v>1</v>
      </c>
      <c r="X595" s="39" t="n">
        <f aca="false">IF(OR(I595="DNB",I595="Dry DNB"),1,0)</f>
        <v>0</v>
      </c>
      <c r="Y595" s="39" t="n">
        <f aca="false">MATCH(A595,DATAS,0)</f>
        <v>1</v>
      </c>
      <c r="Z595" s="39" t="n">
        <f aca="false">IF(AND(E595&gt;0,OR(AND(B595&gt;=1,B595&lt;=6),B595=10)),1,0)</f>
        <v>1</v>
      </c>
      <c r="AA595" s="39" t="n">
        <f aca="false">IF(AND(E595&gt;0,B595=10),1,0)</f>
        <v>0</v>
      </c>
      <c r="AB595" s="0" t="str">
        <f aca="false">IF(AND(C594=C595,Y594=Y595-1),Z594,"")</f>
        <v/>
      </c>
      <c r="AC595" s="0" t="str">
        <f aca="false">IF(AND(C594=C595,Y594=Y595-1),AA594,"")</f>
        <v/>
      </c>
      <c r="AD595" s="0" t="str">
        <f aca="false">IF(Y595=1,"",IF(AND(Z595=1,AB595&lt;&gt;1),1,0))</f>
        <v/>
      </c>
      <c r="AE595" s="0" t="str">
        <f aca="false">IF(Y595=1,"",IF(AND(AA595=1,AC595&lt;&gt;1),1,0))</f>
        <v/>
      </c>
      <c r="AF595" s="45" t="str">
        <f aca="false">IF(AND(E595&gt;0,Y595&lt;1,NOT(AND(C596=C595,Y596=Y595+1))),INDEX(DATAS,Y595+1),"")</f>
        <v/>
      </c>
      <c r="AG595" s="45" t="str">
        <f aca="false">IF(AND(AA595=1,Y595&lt;1),IF(AND(C596=C595,Y596=Y595+1),IF(AA596=1,"",INDEX(DATAS,Y595+1)),INDEX(DATAS,Y595+1)),"")</f>
        <v/>
      </c>
    </row>
    <row r="596" customFormat="false" ht="15" hidden="false" customHeight="false" outlineLevel="0" collapsed="false">
      <c r="A596" s="45" t="n">
        <v>46309</v>
      </c>
      <c r="B596" s="0" t="n">
        <v>6</v>
      </c>
      <c r="C596" s="0" t="n">
        <v>4424</v>
      </c>
      <c r="D596" s="0" t="n">
        <v>686</v>
      </c>
      <c r="E596" s="0" t="n">
        <v>1</v>
      </c>
      <c r="F596" s="39" t="s">
        <v>527</v>
      </c>
      <c r="G596" s="0" t="n">
        <v>20.6</v>
      </c>
      <c r="H596" s="0" t="n">
        <v>19</v>
      </c>
      <c r="I596" s="39" t="s">
        <v>109</v>
      </c>
      <c r="J596" s="0" t="n">
        <v>631</v>
      </c>
      <c r="K596" s="0" t="n">
        <v>71</v>
      </c>
      <c r="L596" s="0" t="n">
        <v>55</v>
      </c>
      <c r="M596" s="0" t="n">
        <v>668.06</v>
      </c>
      <c r="N596" s="0" t="n">
        <v>61.04</v>
      </c>
      <c r="O596" s="0" t="n">
        <v>20.53</v>
      </c>
      <c r="P596" s="0" t="n">
        <v>6.01</v>
      </c>
      <c r="Q596" s="0" t="n">
        <v>4.68</v>
      </c>
      <c r="R596" s="0" t="n">
        <v>4022</v>
      </c>
      <c r="S596" s="0" t="n">
        <v>8891</v>
      </c>
      <c r="T596" s="0" t="n">
        <v>53.9</v>
      </c>
      <c r="U596" s="0" t="n">
        <v>1380</v>
      </c>
      <c r="V596" s="0" t="n">
        <v>13</v>
      </c>
      <c r="W596" s="39" t="n">
        <f aca="false">IF(I596="Male",0,1)</f>
        <v>1</v>
      </c>
      <c r="X596" s="39" t="n">
        <f aca="false">IF(OR(I596="DNB",I596="Dry DNB"),1,0)</f>
        <v>0</v>
      </c>
      <c r="Y596" s="39" t="n">
        <f aca="false">MATCH(A596,DATAS,0)</f>
        <v>1</v>
      </c>
      <c r="Z596" s="39" t="n">
        <f aca="false">IF(AND(E596&gt;0,OR(AND(B596&gt;=1,B596&lt;=6),B596=10)),1,0)</f>
        <v>1</v>
      </c>
      <c r="AA596" s="39" t="n">
        <f aca="false">IF(AND(E596&gt;0,B596=10),1,0)</f>
        <v>0</v>
      </c>
      <c r="AB596" s="0" t="str">
        <f aca="false">IF(AND(C595=C596,Y595=Y596-1),Z595,"")</f>
        <v/>
      </c>
      <c r="AC596" s="0" t="str">
        <f aca="false">IF(AND(C595=C596,Y595=Y596-1),AA595,"")</f>
        <v/>
      </c>
      <c r="AD596" s="0" t="str">
        <f aca="false">IF(Y596=1,"",IF(AND(Z596=1,AB596&lt;&gt;1),1,0))</f>
        <v/>
      </c>
      <c r="AE596" s="0" t="str">
        <f aca="false">IF(Y596=1,"",IF(AND(AA596=1,AC596&lt;&gt;1),1,0))</f>
        <v/>
      </c>
      <c r="AF596" s="45" t="str">
        <f aca="false">IF(AND(E596&gt;0,Y596&lt;1,NOT(AND(C597=C596,Y597=Y596+1))),INDEX(DATAS,Y596+1),"")</f>
        <v/>
      </c>
      <c r="AG596" s="45" t="str">
        <f aca="false">IF(AND(AA596=1,Y596&lt;1),IF(AND(C597=C596,Y597=Y596+1),IF(AA597=1,"",INDEX(DATAS,Y596+1)),INDEX(DATAS,Y596+1)),"")</f>
        <v/>
      </c>
    </row>
    <row r="597" customFormat="false" ht="15" hidden="false" customHeight="false" outlineLevel="0" collapsed="false">
      <c r="A597" s="45" t="n">
        <v>46309</v>
      </c>
      <c r="B597" s="0" t="n">
        <v>5</v>
      </c>
      <c r="C597" s="0" t="n">
        <v>4425</v>
      </c>
      <c r="D597" s="0" t="n">
        <v>370</v>
      </c>
      <c r="E597" s="0" t="n">
        <v>2</v>
      </c>
      <c r="F597" s="39" t="s">
        <v>527</v>
      </c>
      <c r="G597" s="0" t="n">
        <v>31.2</v>
      </c>
      <c r="H597" s="0" t="n">
        <v>33</v>
      </c>
      <c r="I597" s="39" t="s">
        <v>138</v>
      </c>
      <c r="J597" s="0" t="n">
        <v>370</v>
      </c>
      <c r="K597" s="0" t="n">
        <v>70</v>
      </c>
      <c r="M597" s="0" t="n">
        <v>652.58</v>
      </c>
      <c r="N597" s="0" t="n">
        <v>56.05</v>
      </c>
      <c r="O597" s="0" t="n">
        <v>35.13</v>
      </c>
      <c r="P597" s="0" t="n">
        <v>0</v>
      </c>
      <c r="Q597" s="0" t="n">
        <v>0</v>
      </c>
      <c r="R597" s="0" t="n">
        <v>5929</v>
      </c>
      <c r="S597" s="0" t="n">
        <v>11357</v>
      </c>
      <c r="T597" s="0" t="n">
        <v>63.75</v>
      </c>
      <c r="U597" s="0" t="n">
        <v>1380</v>
      </c>
      <c r="V597" s="0" t="n">
        <v>5</v>
      </c>
      <c r="W597" s="39" t="n">
        <f aca="false">IF(I597="Male",0,1)</f>
        <v>1</v>
      </c>
      <c r="X597" s="39" t="n">
        <f aca="false">IF(OR(I597="DNB",I597="Dry DNB"),1,0)</f>
        <v>0</v>
      </c>
      <c r="Y597" s="39" t="n">
        <f aca="false">MATCH(A597,DATAS,0)</f>
        <v>1</v>
      </c>
      <c r="Z597" s="39" t="n">
        <f aca="false">IF(AND(E597&gt;0,OR(AND(B597&gt;=1,B597&lt;=6),B597=10)),1,0)</f>
        <v>1</v>
      </c>
      <c r="AA597" s="39" t="n">
        <f aca="false">IF(AND(E597&gt;0,B597=10),1,0)</f>
        <v>0</v>
      </c>
      <c r="AB597" s="0" t="str">
        <f aca="false">IF(AND(C596=C597,Y596=Y597-1),Z596,"")</f>
        <v/>
      </c>
      <c r="AC597" s="0" t="str">
        <f aca="false">IF(AND(C596=C597,Y596=Y597-1),AA596,"")</f>
        <v/>
      </c>
      <c r="AD597" s="0" t="str">
        <f aca="false">IF(Y597=1,"",IF(AND(Z597=1,AB597&lt;&gt;1),1,0))</f>
        <v/>
      </c>
      <c r="AE597" s="0" t="str">
        <f aca="false">IF(Y597=1,"",IF(AND(AA597=1,AC597&lt;&gt;1),1,0))</f>
        <v/>
      </c>
      <c r="AF597" s="45" t="str">
        <f aca="false">IF(AND(E597&gt;0,Y597&lt;1,NOT(AND(C598=C597,Y598=Y597+1))),INDEX(DATAS,Y597+1),"")</f>
        <v/>
      </c>
      <c r="AG597" s="45" t="str">
        <f aca="false">IF(AND(AA597=1,Y597&lt;1),IF(AND(C598=C597,Y598=Y597+1),IF(AA598=1,"",INDEX(DATAS,Y597+1)),INDEX(DATAS,Y597+1)),"")</f>
        <v/>
      </c>
    </row>
    <row r="598" customFormat="false" ht="15" hidden="false" customHeight="false" outlineLevel="0" collapsed="false">
      <c r="A598" s="45" t="n">
        <v>46309</v>
      </c>
      <c r="B598" s="0" t="n">
        <v>3</v>
      </c>
      <c r="C598" s="0" t="n">
        <v>4426</v>
      </c>
      <c r="D598" s="0" t="n">
        <v>79</v>
      </c>
      <c r="E598" s="0" t="n">
        <v>3</v>
      </c>
      <c r="F598" s="39" t="s">
        <v>527</v>
      </c>
      <c r="G598" s="0" t="n">
        <v>62.3</v>
      </c>
      <c r="H598" s="0" t="n">
        <v>59</v>
      </c>
      <c r="I598" s="39" t="s">
        <v>138</v>
      </c>
      <c r="J598" s="0" t="n">
        <v>79</v>
      </c>
      <c r="K598" s="0" t="n">
        <v>65</v>
      </c>
      <c r="M598" s="0" t="n">
        <v>634.64</v>
      </c>
      <c r="N598" s="0" t="n">
        <v>48.94</v>
      </c>
      <c r="O598" s="0" t="n">
        <v>29.34</v>
      </c>
      <c r="P598" s="0" t="n">
        <v>3.49</v>
      </c>
      <c r="Q598" s="0" t="n">
        <v>3.23</v>
      </c>
      <c r="R598" s="0" t="n">
        <v>5209</v>
      </c>
      <c r="S598" s="0" t="n">
        <v>10471</v>
      </c>
      <c r="U598" s="0" t="n">
        <v>1380</v>
      </c>
      <c r="V598" s="0" t="n">
        <v>1</v>
      </c>
      <c r="W598" s="39" t="n">
        <f aca="false">IF(I598="Male",0,1)</f>
        <v>1</v>
      </c>
      <c r="X598" s="39" t="n">
        <f aca="false">IF(OR(I598="DNB",I598="Dry DNB"),1,0)</f>
        <v>0</v>
      </c>
      <c r="Y598" s="39" t="n">
        <f aca="false">MATCH(A598,DATAS,0)</f>
        <v>1</v>
      </c>
      <c r="Z598" s="39" t="n">
        <f aca="false">IF(AND(E598&gt;0,OR(AND(B598&gt;=1,B598&lt;=6),B598=10)),1,0)</f>
        <v>1</v>
      </c>
      <c r="AA598" s="39" t="n">
        <f aca="false">IF(AND(E598&gt;0,B598=10),1,0)</f>
        <v>0</v>
      </c>
      <c r="AB598" s="0" t="str">
        <f aca="false">IF(AND(C597=C598,Y597=Y598-1),Z597,"")</f>
        <v/>
      </c>
      <c r="AC598" s="0" t="str">
        <f aca="false">IF(AND(C597=C598,Y597=Y598-1),AA597,"")</f>
        <v/>
      </c>
      <c r="AD598" s="0" t="str">
        <f aca="false">IF(Y598=1,"",IF(AND(Z598=1,AB598&lt;&gt;1),1,0))</f>
        <v/>
      </c>
      <c r="AE598" s="0" t="str">
        <f aca="false">IF(Y598=1,"",IF(AND(AA598=1,AC598&lt;&gt;1),1,0))</f>
        <v/>
      </c>
      <c r="AF598" s="45" t="str">
        <f aca="false">IF(AND(E598&gt;0,Y598&lt;1,NOT(AND(C599=C598,Y599=Y598+1))),INDEX(DATAS,Y598+1),"")</f>
        <v/>
      </c>
      <c r="AG598" s="45" t="str">
        <f aca="false">IF(AND(AA598=1,Y598&lt;1),IF(AND(C599=C598,Y599=Y598+1),IF(AA599=1,"",INDEX(DATAS,Y598+1)),INDEX(DATAS,Y598+1)),"")</f>
        <v/>
      </c>
    </row>
    <row r="599" customFormat="false" ht="15" hidden="false" customHeight="false" outlineLevel="0" collapsed="false">
      <c r="A599" s="45" t="n">
        <v>46309</v>
      </c>
      <c r="B599" s="0" t="n">
        <v>7</v>
      </c>
      <c r="C599" s="0" t="n">
        <v>4427</v>
      </c>
      <c r="D599" s="0" t="n">
        <v>322</v>
      </c>
      <c r="E599" s="0" t="n">
        <v>2</v>
      </c>
      <c r="F599" s="39" t="s">
        <v>528</v>
      </c>
      <c r="G599" s="0" t="n">
        <v>9.3</v>
      </c>
      <c r="H599" s="0" t="n">
        <v>18</v>
      </c>
      <c r="I599" s="39" t="s">
        <v>114</v>
      </c>
      <c r="J599" s="0" t="n">
        <v>99</v>
      </c>
      <c r="K599" s="0" t="n">
        <v>64</v>
      </c>
      <c r="L599" s="0" t="n">
        <v>224</v>
      </c>
      <c r="M599" s="0" t="n">
        <v>116.99</v>
      </c>
      <c r="N599" s="0" t="n">
        <v>65.98</v>
      </c>
      <c r="O599" s="0" t="n">
        <v>25.27</v>
      </c>
      <c r="P599" s="0" t="n">
        <v>5.8</v>
      </c>
      <c r="Q599" s="0" t="n">
        <v>4.61</v>
      </c>
      <c r="R599" s="0" t="n">
        <v>5528</v>
      </c>
      <c r="S599" s="0" t="n">
        <v>11186</v>
      </c>
      <c r="T599" s="0" t="n">
        <v>58.25</v>
      </c>
      <c r="U599" s="0" t="n">
        <v>1379</v>
      </c>
      <c r="V599" s="0" t="n">
        <v>2</v>
      </c>
      <c r="W599" s="39" t="n">
        <f aca="false">IF(I599="Male",0,1)</f>
        <v>1</v>
      </c>
      <c r="X599" s="39" t="n">
        <f aca="false">IF(OR(I599="DNB",I599="Dry DNB"),1,0)</f>
        <v>0</v>
      </c>
      <c r="Y599" s="39" t="n">
        <f aca="false">MATCH(A599,DATAS,0)</f>
        <v>1</v>
      </c>
      <c r="Z599" s="39" t="n">
        <f aca="false">IF(AND(E599&gt;0,OR(AND(B599&gt;=1,B599&lt;=6),B599=10)),1,0)</f>
        <v>0</v>
      </c>
      <c r="AA599" s="39" t="n">
        <f aca="false">IF(AND(E599&gt;0,B599=10),1,0)</f>
        <v>0</v>
      </c>
      <c r="AB599" s="0" t="str">
        <f aca="false">IF(AND(C598=C599,Y598=Y599-1),Z598,"")</f>
        <v/>
      </c>
      <c r="AC599" s="0" t="str">
        <f aca="false">IF(AND(C598=C599,Y598=Y599-1),AA598,"")</f>
        <v/>
      </c>
      <c r="AD599" s="0" t="str">
        <f aca="false">IF(Y599=1,"",IF(AND(Z599=1,AB599&lt;&gt;1),1,0))</f>
        <v/>
      </c>
      <c r="AE599" s="0" t="str">
        <f aca="false">IF(Y599=1,"",IF(AND(AA599=1,AC599&lt;&gt;1),1,0))</f>
        <v/>
      </c>
      <c r="AF599" s="45" t="str">
        <f aca="false">IF(AND(E599&gt;0,Y599&lt;1,NOT(AND(C600=C599,Y600=Y599+1))),INDEX(DATAS,Y599+1),"")</f>
        <v/>
      </c>
      <c r="AG599" s="45" t="str">
        <f aca="false">IF(AND(AA599=1,Y599&lt;1),IF(AND(C600=C599,Y600=Y599+1),IF(AA600=1,"",INDEX(DATAS,Y599+1)),INDEX(DATAS,Y599+1)),"")</f>
        <v/>
      </c>
    </row>
    <row r="600" customFormat="false" ht="15" hidden="false" customHeight="false" outlineLevel="0" collapsed="false">
      <c r="A600" s="45" t="n">
        <v>46309</v>
      </c>
      <c r="B600" s="0" t="n">
        <v>7</v>
      </c>
      <c r="C600" s="0" t="n">
        <v>4428</v>
      </c>
      <c r="D600" s="0" t="n">
        <v>320</v>
      </c>
      <c r="E600" s="0" t="n">
        <v>2</v>
      </c>
      <c r="F600" s="39" t="s">
        <v>529</v>
      </c>
      <c r="G600" s="0" t="n">
        <v>12.3</v>
      </c>
      <c r="H600" s="0" t="n">
        <v>32</v>
      </c>
      <c r="I600" s="39" t="s">
        <v>114</v>
      </c>
      <c r="J600" s="0" t="n">
        <v>97</v>
      </c>
      <c r="K600" s="0" t="n">
        <v>62</v>
      </c>
      <c r="L600" s="0" t="n">
        <v>224</v>
      </c>
      <c r="M600" s="0" t="n">
        <v>1014.71</v>
      </c>
      <c r="N600" s="0" t="n">
        <v>39</v>
      </c>
      <c r="O600" s="0" t="n">
        <v>31.95</v>
      </c>
      <c r="P600" s="0" t="n">
        <v>3.43</v>
      </c>
      <c r="Q600" s="0" t="n">
        <v>3.78</v>
      </c>
      <c r="R600" s="0" t="n">
        <v>5669</v>
      </c>
      <c r="S600" s="0" t="n">
        <v>10356</v>
      </c>
      <c r="T600" s="0" t="n">
        <v>54.4</v>
      </c>
      <c r="U600" s="0" t="n">
        <v>1378</v>
      </c>
      <c r="V600" s="0" t="n">
        <v>2</v>
      </c>
      <c r="W600" s="39" t="n">
        <f aca="false">IF(I600="Male",0,1)</f>
        <v>1</v>
      </c>
      <c r="X600" s="39" t="n">
        <f aca="false">IF(OR(I600="DNB",I600="Dry DNB"),1,0)</f>
        <v>0</v>
      </c>
      <c r="Y600" s="39" t="n">
        <f aca="false">MATCH(A600,DATAS,0)</f>
        <v>1</v>
      </c>
      <c r="Z600" s="39" t="n">
        <f aca="false">IF(AND(E600&gt;0,OR(AND(B600&gt;=1,B600&lt;=6),B600=10)),1,0)</f>
        <v>0</v>
      </c>
      <c r="AA600" s="39" t="n">
        <f aca="false">IF(AND(E600&gt;0,B600=10),1,0)</f>
        <v>0</v>
      </c>
      <c r="AB600" s="0" t="str">
        <f aca="false">IF(AND(C599=C600,Y599=Y600-1),Z599,"")</f>
        <v/>
      </c>
      <c r="AC600" s="0" t="str">
        <f aca="false">IF(AND(C599=C600,Y599=Y600-1),AA599,"")</f>
        <v/>
      </c>
      <c r="AD600" s="0" t="str">
        <f aca="false">IF(Y600=1,"",IF(AND(Z600=1,AB600&lt;&gt;1),1,0))</f>
        <v/>
      </c>
      <c r="AE600" s="0" t="str">
        <f aca="false">IF(Y600=1,"",IF(AND(AA600=1,AC600&lt;&gt;1),1,0))</f>
        <v/>
      </c>
      <c r="AF600" s="45" t="str">
        <f aca="false">IF(AND(E600&gt;0,Y600&lt;1,NOT(AND(C601=C600,Y601=Y600+1))),INDEX(DATAS,Y600+1),"")</f>
        <v/>
      </c>
      <c r="AG600" s="45" t="str">
        <f aca="false">IF(AND(AA600=1,Y600&lt;1),IF(AND(C601=C600,Y601=Y600+1),IF(AA601=1,"",INDEX(DATAS,Y600+1)),INDEX(DATAS,Y600+1)),"")</f>
        <v/>
      </c>
    </row>
    <row r="601" customFormat="false" ht="15" hidden="false" customHeight="false" outlineLevel="0" collapsed="false">
      <c r="A601" s="45" t="n">
        <v>46309</v>
      </c>
      <c r="B601" s="0" t="n">
        <v>5</v>
      </c>
      <c r="C601" s="0" t="n">
        <v>4429</v>
      </c>
      <c r="D601" s="0" t="n">
        <v>239</v>
      </c>
      <c r="E601" s="0" t="n">
        <v>2</v>
      </c>
      <c r="F601" s="39" t="s">
        <v>529</v>
      </c>
      <c r="G601" s="0" t="n">
        <v>47.6</v>
      </c>
      <c r="H601" s="0" t="n">
        <v>46</v>
      </c>
      <c r="I601" s="39" t="s">
        <v>146</v>
      </c>
      <c r="J601" s="0" t="n">
        <v>239</v>
      </c>
      <c r="K601" s="0" t="n">
        <v>64</v>
      </c>
      <c r="M601" s="0" t="n">
        <v>584.98</v>
      </c>
      <c r="N601" s="0" t="n">
        <v>60.37</v>
      </c>
      <c r="O601" s="0" t="n">
        <v>32.21</v>
      </c>
      <c r="P601" s="0" t="n">
        <v>4.26</v>
      </c>
      <c r="Q601" s="0" t="n">
        <v>3.71</v>
      </c>
      <c r="R601" s="0" t="n">
        <v>4613</v>
      </c>
      <c r="S601" s="0" t="n">
        <v>9630</v>
      </c>
      <c r="T601" s="0" t="n">
        <v>50</v>
      </c>
      <c r="U601" s="0" t="n">
        <v>1378</v>
      </c>
      <c r="V601" s="0" t="n">
        <v>4</v>
      </c>
      <c r="W601" s="39" t="n">
        <f aca="false">IF(I601="Male",0,1)</f>
        <v>1</v>
      </c>
      <c r="X601" s="39" t="n">
        <f aca="false">IF(OR(I601="DNB",I601="Dry DNB"),1,0)</f>
        <v>0</v>
      </c>
      <c r="Y601" s="39" t="n">
        <f aca="false">MATCH(A601,DATAS,0)</f>
        <v>1</v>
      </c>
      <c r="Z601" s="39" t="n">
        <f aca="false">IF(AND(E601&gt;0,OR(AND(B601&gt;=1,B601&lt;=6),B601=10)),1,0)</f>
        <v>1</v>
      </c>
      <c r="AA601" s="39" t="n">
        <f aca="false">IF(AND(E601&gt;0,B601=10),1,0)</f>
        <v>0</v>
      </c>
      <c r="AB601" s="0" t="str">
        <f aca="false">IF(AND(C600=C601,Y600=Y601-1),Z600,"")</f>
        <v/>
      </c>
      <c r="AC601" s="0" t="str">
        <f aca="false">IF(AND(C600=C601,Y600=Y601-1),AA600,"")</f>
        <v/>
      </c>
      <c r="AD601" s="0" t="str">
        <f aca="false">IF(Y601=1,"",IF(AND(Z601=1,AB601&lt;&gt;1),1,0))</f>
        <v/>
      </c>
      <c r="AE601" s="0" t="str">
        <f aca="false">IF(Y601=1,"",IF(AND(AA601=1,AC601&lt;&gt;1),1,0))</f>
        <v/>
      </c>
      <c r="AF601" s="45" t="str">
        <f aca="false">IF(AND(E601&gt;0,Y601&lt;1,NOT(AND(C602=C601,Y602=Y601+1))),INDEX(DATAS,Y601+1),"")</f>
        <v/>
      </c>
      <c r="AG601" s="45" t="str">
        <f aca="false">IF(AND(AA601=1,Y601&lt;1),IF(AND(C602=C601,Y602=Y601+1),IF(AA602=1,"",INDEX(DATAS,Y601+1)),INDEX(DATAS,Y601+1)),"")</f>
        <v/>
      </c>
    </row>
    <row r="602" customFormat="false" ht="15" hidden="false" customHeight="false" outlineLevel="0" collapsed="false">
      <c r="A602" s="45" t="n">
        <v>46309</v>
      </c>
      <c r="B602" s="0" t="n">
        <v>3</v>
      </c>
      <c r="C602" s="0" t="n">
        <v>4431</v>
      </c>
      <c r="D602" s="0" t="n">
        <v>127</v>
      </c>
      <c r="E602" s="0" t="n">
        <v>3</v>
      </c>
      <c r="F602" s="39" t="s">
        <v>530</v>
      </c>
      <c r="G602" s="0" t="n">
        <v>63.8</v>
      </c>
      <c r="H602" s="0" t="n">
        <v>61</v>
      </c>
      <c r="I602" s="39" t="s">
        <v>109</v>
      </c>
      <c r="J602" s="0" t="n">
        <v>64</v>
      </c>
      <c r="K602" s="0" t="n">
        <v>64</v>
      </c>
      <c r="L602" s="0" t="n">
        <v>63</v>
      </c>
      <c r="M602" s="0" t="n">
        <v>863.27</v>
      </c>
      <c r="N602" s="0" t="n">
        <v>40.65</v>
      </c>
      <c r="O602" s="0" t="n">
        <v>32.97</v>
      </c>
      <c r="P602" s="0" t="n">
        <v>3</v>
      </c>
      <c r="Q602" s="0" t="n">
        <v>3.51</v>
      </c>
      <c r="R602" s="0" t="n">
        <v>6155</v>
      </c>
      <c r="S602" s="0" t="n">
        <v>12154</v>
      </c>
      <c r="T602" s="0" t="n">
        <v>68.85</v>
      </c>
      <c r="U602" s="0" t="n">
        <v>1377</v>
      </c>
      <c r="V602" s="0" t="n">
        <v>1</v>
      </c>
      <c r="W602" s="39" t="n">
        <f aca="false">IF(I602="Male",0,1)</f>
        <v>1</v>
      </c>
      <c r="X602" s="39" t="n">
        <f aca="false">IF(OR(I602="DNB",I602="Dry DNB"),1,0)</f>
        <v>0</v>
      </c>
      <c r="Y602" s="39" t="n">
        <f aca="false">MATCH(A602,DATAS,0)</f>
        <v>1</v>
      </c>
      <c r="Z602" s="39" t="n">
        <f aca="false">IF(AND(E602&gt;0,OR(AND(B602&gt;=1,B602&lt;=6),B602=10)),1,0)</f>
        <v>1</v>
      </c>
      <c r="AA602" s="39" t="n">
        <f aca="false">IF(AND(E602&gt;0,B602=10),1,0)</f>
        <v>0</v>
      </c>
      <c r="AB602" s="0" t="str">
        <f aca="false">IF(AND(C601=C602,Y601=Y602-1),Z601,"")</f>
        <v/>
      </c>
      <c r="AC602" s="0" t="str">
        <f aca="false">IF(AND(C601=C602,Y601=Y602-1),AA601,"")</f>
        <v/>
      </c>
      <c r="AD602" s="0" t="str">
        <f aca="false">IF(Y602=1,"",IF(AND(Z602=1,AB602&lt;&gt;1),1,0))</f>
        <v/>
      </c>
      <c r="AE602" s="0" t="str">
        <f aca="false">IF(Y602=1,"",IF(AND(AA602=1,AC602&lt;&gt;1),1,0))</f>
        <v/>
      </c>
      <c r="AF602" s="45" t="str">
        <f aca="false">IF(AND(E602&gt;0,Y602&lt;1,NOT(AND(C603=C602,Y603=Y602+1))),INDEX(DATAS,Y602+1),"")</f>
        <v/>
      </c>
      <c r="AG602" s="45" t="str">
        <f aca="false">IF(AND(AA602=1,Y602&lt;1),IF(AND(C603=C602,Y603=Y602+1),IF(AA603=1,"",INDEX(DATAS,Y602+1)),INDEX(DATAS,Y602+1)),"")</f>
        <v/>
      </c>
    </row>
    <row r="603" customFormat="false" ht="15" hidden="false" customHeight="false" outlineLevel="0" collapsed="false">
      <c r="A603" s="45" t="n">
        <v>46309</v>
      </c>
      <c r="B603" s="0" t="n">
        <v>5</v>
      </c>
      <c r="C603" s="0" t="n">
        <v>4432</v>
      </c>
      <c r="D603" s="0" t="n">
        <v>309</v>
      </c>
      <c r="E603" s="0" t="n">
        <v>2</v>
      </c>
      <c r="F603" s="39" t="s">
        <v>530</v>
      </c>
      <c r="G603" s="0" t="n">
        <v>46.4</v>
      </c>
      <c r="H603" s="0" t="n">
        <v>44</v>
      </c>
      <c r="I603" s="39" t="s">
        <v>109</v>
      </c>
      <c r="J603" s="0" t="n">
        <v>99</v>
      </c>
      <c r="K603" s="0" t="n">
        <v>64</v>
      </c>
      <c r="L603" s="0" t="n">
        <v>210</v>
      </c>
      <c r="M603" s="0" t="n">
        <v>683.08</v>
      </c>
      <c r="N603" s="0" t="n">
        <v>73.51</v>
      </c>
      <c r="O603" s="0" t="n">
        <v>39.86</v>
      </c>
      <c r="P603" s="0" t="n">
        <v>3.96</v>
      </c>
      <c r="Q603" s="0" t="n">
        <v>3.61</v>
      </c>
      <c r="R603" s="0" t="n">
        <v>5468</v>
      </c>
      <c r="S603" s="0" t="n">
        <v>11530</v>
      </c>
      <c r="T603" s="0" t="n">
        <v>57.45</v>
      </c>
      <c r="U603" s="0" t="n">
        <v>1377</v>
      </c>
      <c r="V603" s="0" t="n">
        <v>2</v>
      </c>
      <c r="W603" s="39" t="n">
        <f aca="false">IF(I603="Male",0,1)</f>
        <v>1</v>
      </c>
      <c r="X603" s="39" t="n">
        <f aca="false">IF(OR(I603="DNB",I603="Dry DNB"),1,0)</f>
        <v>0</v>
      </c>
      <c r="Y603" s="39" t="n">
        <f aca="false">MATCH(A603,DATAS,0)</f>
        <v>1</v>
      </c>
      <c r="Z603" s="39" t="n">
        <f aca="false">IF(AND(E603&gt;0,OR(AND(B603&gt;=1,B603&lt;=6),B603=10)),1,0)</f>
        <v>1</v>
      </c>
      <c r="AA603" s="39" t="n">
        <f aca="false">IF(AND(E603&gt;0,B603=10),1,0)</f>
        <v>0</v>
      </c>
      <c r="AB603" s="0" t="str">
        <f aca="false">IF(AND(C602=C603,Y602=Y603-1),Z602,"")</f>
        <v/>
      </c>
      <c r="AC603" s="0" t="str">
        <f aca="false">IF(AND(C602=C603,Y602=Y603-1),AA602,"")</f>
        <v/>
      </c>
      <c r="AD603" s="0" t="str">
        <f aca="false">IF(Y603=1,"",IF(AND(Z603=1,AB603&lt;&gt;1),1,0))</f>
        <v/>
      </c>
      <c r="AE603" s="0" t="str">
        <f aca="false">IF(Y603=1,"",IF(AND(AA603=1,AC603&lt;&gt;1),1,0))</f>
        <v/>
      </c>
      <c r="AF603" s="45" t="str">
        <f aca="false">IF(AND(E603&gt;0,Y603&lt;1,NOT(AND(C604=C603,Y604=Y603+1))),INDEX(DATAS,Y603+1),"")</f>
        <v/>
      </c>
      <c r="AG603" s="45" t="str">
        <f aca="false">IF(AND(AA603=1,Y603&lt;1),IF(AND(C604=C603,Y604=Y603+1),IF(AA604=1,"",INDEX(DATAS,Y603+1)),INDEX(DATAS,Y603+1)),"")</f>
        <v/>
      </c>
    </row>
    <row r="604" customFormat="false" ht="15" hidden="false" customHeight="false" outlineLevel="0" collapsed="false">
      <c r="A604" s="45" t="n">
        <v>46309</v>
      </c>
      <c r="B604" s="0" t="n">
        <v>5</v>
      </c>
      <c r="C604" s="0" t="n">
        <v>4437</v>
      </c>
      <c r="D604" s="0" t="n">
        <v>327</v>
      </c>
      <c r="E604" s="0" t="n">
        <v>2</v>
      </c>
      <c r="F604" s="39" t="s">
        <v>531</v>
      </c>
      <c r="G604" s="0" t="n">
        <v>40.2</v>
      </c>
      <c r="H604" s="0" t="n">
        <v>35</v>
      </c>
      <c r="I604" s="39" t="s">
        <v>146</v>
      </c>
      <c r="J604" s="0" t="n">
        <v>327</v>
      </c>
      <c r="K604" s="0" t="n">
        <v>68</v>
      </c>
      <c r="M604" s="0" t="n">
        <v>370.85</v>
      </c>
      <c r="N604" s="0" t="n">
        <v>40.21</v>
      </c>
      <c r="O604" s="0" t="n">
        <v>11.39</v>
      </c>
      <c r="P604" s="0" t="n">
        <v>4.33</v>
      </c>
      <c r="Q604" s="0" t="n">
        <v>3.74</v>
      </c>
      <c r="R604" s="0" t="n">
        <v>4941</v>
      </c>
      <c r="S604" s="0" t="n">
        <v>8353</v>
      </c>
      <c r="T604" s="0" t="n">
        <v>54.95</v>
      </c>
      <c r="U604" s="0" t="n">
        <v>1375</v>
      </c>
      <c r="V604" s="0" t="n">
        <v>4</v>
      </c>
      <c r="W604" s="39" t="n">
        <f aca="false">IF(I604="Male",0,1)</f>
        <v>1</v>
      </c>
      <c r="X604" s="39" t="n">
        <f aca="false">IF(OR(I604="DNB",I604="Dry DNB"),1,0)</f>
        <v>0</v>
      </c>
      <c r="Y604" s="39" t="n">
        <f aca="false">MATCH(A604,DATAS,0)</f>
        <v>1</v>
      </c>
      <c r="Z604" s="39" t="n">
        <f aca="false">IF(AND(E604&gt;0,OR(AND(B604&gt;=1,B604&lt;=6),B604=10)),1,0)</f>
        <v>1</v>
      </c>
      <c r="AA604" s="39" t="n">
        <f aca="false">IF(AND(E604&gt;0,B604=10),1,0)</f>
        <v>0</v>
      </c>
      <c r="AB604" s="0" t="str">
        <f aca="false">IF(AND(C603=C604,Y603=Y604-1),Z603,"")</f>
        <v/>
      </c>
      <c r="AC604" s="0" t="str">
        <f aca="false">IF(AND(C603=C604,Y603=Y604-1),AA603,"")</f>
        <v/>
      </c>
      <c r="AD604" s="0" t="str">
        <f aca="false">IF(Y604=1,"",IF(AND(Z604=1,AB604&lt;&gt;1),1,0))</f>
        <v/>
      </c>
      <c r="AE604" s="0" t="str">
        <f aca="false">IF(Y604=1,"",IF(AND(AA604=1,AC604&lt;&gt;1),1,0))</f>
        <v/>
      </c>
      <c r="AF604" s="45" t="str">
        <f aca="false">IF(AND(E604&gt;0,Y604&lt;1,NOT(AND(C605=C604,Y605=Y604+1))),INDEX(DATAS,Y604+1),"")</f>
        <v/>
      </c>
      <c r="AG604" s="45" t="str">
        <f aca="false">IF(AND(AA604=1,Y604&lt;1),IF(AND(C605=C604,Y605=Y604+1),IF(AA605=1,"",INDEX(DATAS,Y604+1)),INDEX(DATAS,Y604+1)),"")</f>
        <v/>
      </c>
    </row>
    <row r="605" customFormat="false" ht="15" hidden="false" customHeight="false" outlineLevel="0" collapsed="false">
      <c r="A605" s="45" t="n">
        <v>46309</v>
      </c>
      <c r="B605" s="0" t="n">
        <v>5</v>
      </c>
      <c r="C605" s="0" t="n">
        <v>4438</v>
      </c>
      <c r="D605" s="0" t="n">
        <v>271</v>
      </c>
      <c r="E605" s="0" t="n">
        <v>2</v>
      </c>
      <c r="F605" s="39" t="s">
        <v>531</v>
      </c>
      <c r="G605" s="0" t="n">
        <v>29.5</v>
      </c>
      <c r="H605" s="0" t="n">
        <v>27</v>
      </c>
      <c r="I605" s="39" t="s">
        <v>109</v>
      </c>
      <c r="J605" s="0" t="n">
        <v>124</v>
      </c>
      <c r="K605" s="0" t="n">
        <v>75</v>
      </c>
      <c r="L605" s="0" t="n">
        <v>147</v>
      </c>
      <c r="M605" s="0" t="n">
        <v>-108.23</v>
      </c>
      <c r="N605" s="0" t="n">
        <v>59.39</v>
      </c>
      <c r="O605" s="0" t="n">
        <v>24.63</v>
      </c>
      <c r="P605" s="0" t="n">
        <v>5.7</v>
      </c>
      <c r="Q605" s="0" t="n">
        <v>4.38</v>
      </c>
      <c r="R605" s="0" t="n">
        <v>5122</v>
      </c>
      <c r="S605" s="0" t="n">
        <v>9271</v>
      </c>
      <c r="T605" s="0" t="n">
        <v>54.2</v>
      </c>
      <c r="U605" s="0" t="n">
        <v>1375</v>
      </c>
      <c r="V605" s="0" t="n">
        <v>2</v>
      </c>
      <c r="W605" s="39" t="n">
        <f aca="false">IF(I605="Male",0,1)</f>
        <v>1</v>
      </c>
      <c r="X605" s="39" t="n">
        <f aca="false">IF(OR(I605="DNB",I605="Dry DNB"),1,0)</f>
        <v>0</v>
      </c>
      <c r="Y605" s="39" t="n">
        <f aca="false">MATCH(A605,DATAS,0)</f>
        <v>1</v>
      </c>
      <c r="Z605" s="39" t="n">
        <f aca="false">IF(AND(E605&gt;0,OR(AND(B605&gt;=1,B605&lt;=6),B605=10)),1,0)</f>
        <v>1</v>
      </c>
      <c r="AA605" s="39" t="n">
        <f aca="false">IF(AND(E605&gt;0,B605=10),1,0)</f>
        <v>0</v>
      </c>
      <c r="AB605" s="0" t="str">
        <f aca="false">IF(AND(C604=C605,Y604=Y605-1),Z604,"")</f>
        <v/>
      </c>
      <c r="AC605" s="0" t="str">
        <f aca="false">IF(AND(C604=C605,Y604=Y605-1),AA604,"")</f>
        <v/>
      </c>
      <c r="AD605" s="0" t="str">
        <f aca="false">IF(Y605=1,"",IF(AND(Z605=1,AB605&lt;&gt;1),1,0))</f>
        <v/>
      </c>
      <c r="AE605" s="0" t="str">
        <f aca="false">IF(Y605=1,"",IF(AND(AA605=1,AC605&lt;&gt;1),1,0))</f>
        <v/>
      </c>
      <c r="AF605" s="45" t="str">
        <f aca="false">IF(AND(E605&gt;0,Y605&lt;1,NOT(AND(C606=C605,Y606=Y605+1))),INDEX(DATAS,Y605+1),"")</f>
        <v/>
      </c>
      <c r="AG605" s="45" t="str">
        <f aca="false">IF(AND(AA605=1,Y605&lt;1),IF(AND(C606=C605,Y606=Y605+1),IF(AA606=1,"",INDEX(DATAS,Y605+1)),INDEX(DATAS,Y605+1)),"")</f>
        <v/>
      </c>
    </row>
    <row r="606" customFormat="false" ht="15" hidden="false" customHeight="false" outlineLevel="0" collapsed="false">
      <c r="A606" s="45" t="n">
        <v>46309</v>
      </c>
      <c r="B606" s="0" t="n">
        <v>2</v>
      </c>
      <c r="C606" s="0" t="n">
        <v>4439</v>
      </c>
      <c r="D606" s="0" t="n">
        <v>65</v>
      </c>
      <c r="E606" s="0" t="n">
        <v>3</v>
      </c>
      <c r="F606" s="39" t="s">
        <v>531</v>
      </c>
      <c r="G606" s="0" t="n">
        <v>48.1</v>
      </c>
      <c r="H606" s="0" t="n">
        <v>58</v>
      </c>
      <c r="I606" s="39" t="s">
        <v>138</v>
      </c>
      <c r="J606" s="0" t="n">
        <v>65</v>
      </c>
      <c r="K606" s="0" t="n">
        <v>65</v>
      </c>
      <c r="M606" s="0" t="n">
        <v>704.65</v>
      </c>
      <c r="N606" s="0" t="n">
        <v>52.64</v>
      </c>
      <c r="O606" s="0" t="n">
        <v>37.16</v>
      </c>
      <c r="P606" s="0" t="n">
        <v>3.41</v>
      </c>
      <c r="Q606" s="0" t="n">
        <v>3.44</v>
      </c>
      <c r="R606" s="0" t="n">
        <v>5001</v>
      </c>
      <c r="S606" s="0" t="n">
        <v>10053</v>
      </c>
      <c r="U606" s="0" t="n">
        <v>1375</v>
      </c>
      <c r="V606" s="0" t="n">
        <v>1</v>
      </c>
      <c r="W606" s="39" t="n">
        <f aca="false">IF(I606="Male",0,1)</f>
        <v>1</v>
      </c>
      <c r="X606" s="39" t="n">
        <f aca="false">IF(OR(I606="DNB",I606="Dry DNB"),1,0)</f>
        <v>0</v>
      </c>
      <c r="Y606" s="39" t="n">
        <f aca="false">MATCH(A606,DATAS,0)</f>
        <v>1</v>
      </c>
      <c r="Z606" s="39" t="n">
        <f aca="false">IF(AND(E606&gt;0,OR(AND(B606&gt;=1,B606&lt;=6),B606=10)),1,0)</f>
        <v>1</v>
      </c>
      <c r="AA606" s="39" t="n">
        <f aca="false">IF(AND(E606&gt;0,B606=10),1,0)</f>
        <v>0</v>
      </c>
      <c r="AB606" s="0" t="str">
        <f aca="false">IF(AND(C605=C606,Y605=Y606-1),Z605,"")</f>
        <v/>
      </c>
      <c r="AC606" s="0" t="str">
        <f aca="false">IF(AND(C605=C606,Y605=Y606-1),AA605,"")</f>
        <v/>
      </c>
      <c r="AD606" s="0" t="str">
        <f aca="false">IF(Y606=1,"",IF(AND(Z606=1,AB606&lt;&gt;1),1,0))</f>
        <v/>
      </c>
      <c r="AE606" s="0" t="str">
        <f aca="false">IF(Y606=1,"",IF(AND(AA606=1,AC606&lt;&gt;1),1,0))</f>
        <v/>
      </c>
      <c r="AF606" s="45" t="str">
        <f aca="false">IF(AND(E606&gt;0,Y606&lt;1,NOT(AND(C607=C606,Y607=Y606+1))),INDEX(DATAS,Y606+1),"")</f>
        <v/>
      </c>
      <c r="AG606" s="45" t="str">
        <f aca="false">IF(AND(AA606=1,Y606&lt;1),IF(AND(C607=C606,Y607=Y606+1),IF(AA607=1,"",INDEX(DATAS,Y606+1)),INDEX(DATAS,Y606+1)),"")</f>
        <v/>
      </c>
    </row>
    <row r="607" customFormat="false" ht="15" hidden="false" customHeight="false" outlineLevel="0" collapsed="false">
      <c r="A607" s="45" t="n">
        <v>46309</v>
      </c>
      <c r="B607" s="0" t="n">
        <v>2</v>
      </c>
      <c r="C607" s="0" t="n">
        <v>4442</v>
      </c>
      <c r="D607" s="0" t="n">
        <v>55</v>
      </c>
      <c r="E607" s="0" t="n">
        <v>3</v>
      </c>
      <c r="F607" s="39" t="s">
        <v>532</v>
      </c>
      <c r="G607" s="0" t="n">
        <v>76.3</v>
      </c>
      <c r="H607" s="0" t="n">
        <v>75</v>
      </c>
      <c r="I607" s="39" t="s">
        <v>118</v>
      </c>
      <c r="J607" s="0" t="n">
        <v>55</v>
      </c>
      <c r="M607" s="0" t="n">
        <v>1338.62</v>
      </c>
      <c r="N607" s="0" t="n">
        <v>59.67</v>
      </c>
      <c r="O607" s="0" t="n">
        <v>32.24</v>
      </c>
      <c r="P607" s="0" t="n">
        <v>2.34</v>
      </c>
      <c r="Q607" s="0" t="n">
        <v>2.89</v>
      </c>
      <c r="R607" s="0" t="n">
        <v>6491</v>
      </c>
      <c r="S607" s="0" t="n">
        <v>13048</v>
      </c>
      <c r="U607" s="0" t="n">
        <v>1372</v>
      </c>
      <c r="V607" s="0" t="n">
        <v>0</v>
      </c>
      <c r="W607" s="39" t="n">
        <f aca="false">IF(I607="Male",0,1)</f>
        <v>1</v>
      </c>
      <c r="X607" s="39" t="n">
        <f aca="false">IF(OR(I607="DNB",I607="Dry DNB"),1,0)</f>
        <v>0</v>
      </c>
      <c r="Y607" s="39" t="n">
        <f aca="false">MATCH(A607,DATAS,0)</f>
        <v>1</v>
      </c>
      <c r="Z607" s="39" t="n">
        <f aca="false">IF(AND(E607&gt;0,OR(AND(B607&gt;=1,B607&lt;=6),B607=10)),1,0)</f>
        <v>1</v>
      </c>
      <c r="AA607" s="39" t="n">
        <f aca="false">IF(AND(E607&gt;0,B607=10),1,0)</f>
        <v>0</v>
      </c>
      <c r="AB607" s="0" t="str">
        <f aca="false">IF(AND(C606=C607,Y606=Y607-1),Z606,"")</f>
        <v/>
      </c>
      <c r="AC607" s="0" t="str">
        <f aca="false">IF(AND(C606=C607,Y606=Y607-1),AA606,"")</f>
        <v/>
      </c>
      <c r="AD607" s="0" t="str">
        <f aca="false">IF(Y607=1,"",IF(AND(Z607=1,AB607&lt;&gt;1),1,0))</f>
        <v/>
      </c>
      <c r="AE607" s="0" t="str">
        <f aca="false">IF(Y607=1,"",IF(AND(AA607=1,AC607&lt;&gt;1),1,0))</f>
        <v/>
      </c>
      <c r="AF607" s="45" t="str">
        <f aca="false">IF(AND(E607&gt;0,Y607&lt;1,NOT(AND(C608=C607,Y608=Y607+1))),INDEX(DATAS,Y607+1),"")</f>
        <v/>
      </c>
      <c r="AG607" s="45" t="str">
        <f aca="false">IF(AND(AA607=1,Y607&lt;1),IF(AND(C608=C607,Y608=Y607+1),IF(AA608=1,"",INDEX(DATAS,Y607+1)),INDEX(DATAS,Y607+1)),"")</f>
        <v/>
      </c>
    </row>
    <row r="608" customFormat="false" ht="15" hidden="false" customHeight="false" outlineLevel="0" collapsed="false">
      <c r="A608" s="45" t="n">
        <v>46309</v>
      </c>
      <c r="B608" s="0" t="n">
        <v>2</v>
      </c>
      <c r="C608" s="0" t="n">
        <v>4443</v>
      </c>
      <c r="D608" s="0" t="n">
        <v>27</v>
      </c>
      <c r="E608" s="0" t="n">
        <v>3</v>
      </c>
      <c r="F608" s="39" t="s">
        <v>532</v>
      </c>
      <c r="G608" s="0" t="n">
        <v>59.8</v>
      </c>
      <c r="H608" s="0" t="n">
        <v>60</v>
      </c>
      <c r="I608" s="39" t="s">
        <v>118</v>
      </c>
      <c r="J608" s="0" t="n">
        <v>27</v>
      </c>
      <c r="M608" s="0" t="n">
        <v>1028.98</v>
      </c>
      <c r="N608" s="0" t="n">
        <v>45.35</v>
      </c>
      <c r="O608" s="0" t="n">
        <v>36.77</v>
      </c>
      <c r="R608" s="0" t="n">
        <v>4729</v>
      </c>
      <c r="S608" s="0" t="n">
        <v>9506</v>
      </c>
      <c r="U608" s="0" t="n">
        <v>1372</v>
      </c>
      <c r="V608" s="0" t="n">
        <v>0</v>
      </c>
      <c r="W608" s="39" t="n">
        <f aca="false">IF(I608="Male",0,1)</f>
        <v>1</v>
      </c>
      <c r="X608" s="39" t="n">
        <f aca="false">IF(OR(I608="DNB",I608="Dry DNB"),1,0)</f>
        <v>0</v>
      </c>
      <c r="Y608" s="39" t="n">
        <f aca="false">MATCH(A608,DATAS,0)</f>
        <v>1</v>
      </c>
      <c r="Z608" s="39" t="n">
        <f aca="false">IF(AND(E608&gt;0,OR(AND(B608&gt;=1,B608&lt;=6),B608=10)),1,0)</f>
        <v>1</v>
      </c>
      <c r="AA608" s="39" t="n">
        <f aca="false">IF(AND(E608&gt;0,B608=10),1,0)</f>
        <v>0</v>
      </c>
      <c r="AB608" s="0" t="str">
        <f aca="false">IF(AND(C607=C608,Y607=Y608-1),Z607,"")</f>
        <v/>
      </c>
      <c r="AC608" s="0" t="str">
        <f aca="false">IF(AND(C607=C608,Y607=Y608-1),AA607,"")</f>
        <v/>
      </c>
      <c r="AD608" s="0" t="str">
        <f aca="false">IF(Y608=1,"",IF(AND(Z608=1,AB608&lt;&gt;1),1,0))</f>
        <v/>
      </c>
      <c r="AE608" s="0" t="str">
        <f aca="false">IF(Y608=1,"",IF(AND(AA608=1,AC608&lt;&gt;1),1,0))</f>
        <v/>
      </c>
      <c r="AF608" s="45" t="str">
        <f aca="false">IF(AND(E608&gt;0,Y608&lt;1,NOT(AND(C609=C608,Y609=Y608+1))),INDEX(DATAS,Y608+1),"")</f>
        <v/>
      </c>
      <c r="AG608" s="45" t="str">
        <f aca="false">IF(AND(AA608=1,Y608&lt;1),IF(AND(C609=C608,Y609=Y608+1),IF(AA609=1,"",INDEX(DATAS,Y608+1)),INDEX(DATAS,Y608+1)),"")</f>
        <v/>
      </c>
    </row>
    <row r="609" customFormat="false" ht="15" hidden="false" customHeight="false" outlineLevel="0" collapsed="false">
      <c r="A609" s="45" t="n">
        <v>46309</v>
      </c>
      <c r="B609" s="0" t="n">
        <v>7</v>
      </c>
      <c r="C609" s="0" t="n">
        <v>4444</v>
      </c>
      <c r="D609" s="0" t="n">
        <v>305</v>
      </c>
      <c r="E609" s="0" t="n">
        <v>2</v>
      </c>
      <c r="F609" s="39" t="s">
        <v>532</v>
      </c>
      <c r="H609" s="0" t="n">
        <v>8</v>
      </c>
      <c r="I609" s="39" t="s">
        <v>114</v>
      </c>
      <c r="J609" s="0" t="n">
        <v>243</v>
      </c>
      <c r="K609" s="0" t="n">
        <v>61</v>
      </c>
      <c r="L609" s="0" t="n">
        <v>77</v>
      </c>
      <c r="M609" s="0" t="n">
        <v>-114.52</v>
      </c>
      <c r="N609" s="0" t="n">
        <v>15.8</v>
      </c>
      <c r="O609" s="0" t="n">
        <v>6.21</v>
      </c>
      <c r="P609" s="0" t="n">
        <v>6.43</v>
      </c>
      <c r="Q609" s="0" t="n">
        <v>4.66</v>
      </c>
      <c r="R609" s="0" t="n">
        <v>4304</v>
      </c>
      <c r="S609" s="0" t="n">
        <v>8197</v>
      </c>
      <c r="T609" s="0" t="n">
        <v>48.95</v>
      </c>
      <c r="U609" s="0" t="n">
        <v>1372</v>
      </c>
      <c r="V609" s="0" t="n">
        <v>5</v>
      </c>
      <c r="W609" s="39" t="n">
        <f aca="false">IF(I609="Male",0,1)</f>
        <v>1</v>
      </c>
      <c r="X609" s="39" t="n">
        <f aca="false">IF(OR(I609="DNB",I609="Dry DNB"),1,0)</f>
        <v>0</v>
      </c>
      <c r="Y609" s="39" t="n">
        <f aca="false">MATCH(A609,DATAS,0)</f>
        <v>1</v>
      </c>
      <c r="Z609" s="39" t="n">
        <f aca="false">IF(AND(E609&gt;0,OR(AND(B609&gt;=1,B609&lt;=6),B609=10)),1,0)</f>
        <v>0</v>
      </c>
      <c r="AA609" s="39" t="n">
        <f aca="false">IF(AND(E609&gt;0,B609=10),1,0)</f>
        <v>0</v>
      </c>
      <c r="AB609" s="0" t="str">
        <f aca="false">IF(AND(C608=C609,Y608=Y609-1),Z608,"")</f>
        <v/>
      </c>
      <c r="AC609" s="0" t="str">
        <f aca="false">IF(AND(C608=C609,Y608=Y609-1),AA608,"")</f>
        <v/>
      </c>
      <c r="AD609" s="0" t="str">
        <f aca="false">IF(Y609=1,"",IF(AND(Z609=1,AB609&lt;&gt;1),1,0))</f>
        <v/>
      </c>
      <c r="AE609" s="0" t="str">
        <f aca="false">IF(Y609=1,"",IF(AND(AA609=1,AC609&lt;&gt;1),1,0))</f>
        <v/>
      </c>
      <c r="AF609" s="45" t="str">
        <f aca="false">IF(AND(E609&gt;0,Y609&lt;1,NOT(AND(C610=C609,Y610=Y609+1))),INDEX(DATAS,Y609+1),"")</f>
        <v/>
      </c>
      <c r="AG609" s="45" t="str">
        <f aca="false">IF(AND(AA609=1,Y609&lt;1),IF(AND(C610=C609,Y610=Y609+1),IF(AA610=1,"",INDEX(DATAS,Y609+1)),INDEX(DATAS,Y609+1)),"")</f>
        <v/>
      </c>
    </row>
    <row r="610" customFormat="false" ht="15" hidden="false" customHeight="false" outlineLevel="0" collapsed="false">
      <c r="A610" s="45" t="n">
        <v>46309</v>
      </c>
      <c r="B610" s="0" t="n">
        <v>10</v>
      </c>
      <c r="C610" s="0" t="n">
        <v>4446</v>
      </c>
      <c r="D610" s="0" t="n">
        <v>11</v>
      </c>
      <c r="E610" s="0" t="n">
        <v>3</v>
      </c>
      <c r="F610" s="39" t="s">
        <v>532</v>
      </c>
      <c r="H610" s="0" t="n">
        <v>23</v>
      </c>
      <c r="I610" s="39" t="s">
        <v>118</v>
      </c>
      <c r="J610" s="0" t="n">
        <v>11</v>
      </c>
      <c r="M610" s="0" t="n">
        <v>1018.22</v>
      </c>
      <c r="N610" s="0" t="n">
        <v>77.32</v>
      </c>
      <c r="O610" s="0" t="n">
        <v>28.85</v>
      </c>
      <c r="R610" s="0" t="n">
        <v>2289</v>
      </c>
      <c r="S610" s="0" t="n">
        <v>4601</v>
      </c>
      <c r="U610" s="0" t="n">
        <v>1372</v>
      </c>
      <c r="V610" s="0" t="n">
        <v>0</v>
      </c>
      <c r="W610" s="39" t="n">
        <f aca="false">IF(I610="Male",0,1)</f>
        <v>1</v>
      </c>
      <c r="X610" s="39" t="n">
        <f aca="false">IF(OR(I610="DNB",I610="Dry DNB"),1,0)</f>
        <v>0</v>
      </c>
      <c r="Y610" s="39" t="n">
        <f aca="false">MATCH(A610,DATAS,0)</f>
        <v>1</v>
      </c>
      <c r="Z610" s="39" t="n">
        <f aca="false">IF(AND(E610&gt;0,OR(AND(B610&gt;=1,B610&lt;=6),B610=10)),1,0)</f>
        <v>1</v>
      </c>
      <c r="AA610" s="39" t="n">
        <f aca="false">IF(AND(E610&gt;0,B610=10),1,0)</f>
        <v>1</v>
      </c>
      <c r="AB610" s="0" t="str">
        <f aca="false">IF(AND(C609=C610,Y609=Y610-1),Z609,"")</f>
        <v/>
      </c>
      <c r="AC610" s="0" t="str">
        <f aca="false">IF(AND(C609=C610,Y609=Y610-1),AA609,"")</f>
        <v/>
      </c>
      <c r="AD610" s="0" t="str">
        <f aca="false">IF(Y610=1,"",IF(AND(Z610=1,AB610&lt;&gt;1),1,0))</f>
        <v/>
      </c>
      <c r="AE610" s="0" t="str">
        <f aca="false">IF(Y610=1,"",IF(AND(AA610=1,AC610&lt;&gt;1),1,0))</f>
        <v/>
      </c>
      <c r="AF610" s="45" t="str">
        <f aca="false">IF(AND(E610&gt;0,Y610&lt;1,NOT(AND(C611=C610,Y611=Y610+1))),INDEX(DATAS,Y610+1),"")</f>
        <v/>
      </c>
      <c r="AG610" s="45" t="str">
        <f aca="false">IF(AND(AA610=1,Y610&lt;1),IF(AND(C611=C610,Y611=Y610+1),IF(AA611=1,"",INDEX(DATAS,Y610+1)),INDEX(DATAS,Y610+1)),"")</f>
        <v/>
      </c>
    </row>
    <row r="611" customFormat="false" ht="15" hidden="false" customHeight="false" outlineLevel="0" collapsed="false">
      <c r="A611" s="45" t="n">
        <v>46309</v>
      </c>
      <c r="B611" s="0" t="n">
        <v>3</v>
      </c>
      <c r="C611" s="0" t="n">
        <v>4447</v>
      </c>
      <c r="D611" s="0" t="n">
        <v>281</v>
      </c>
      <c r="E611" s="0" t="n">
        <v>2</v>
      </c>
      <c r="F611" s="39" t="s">
        <v>533</v>
      </c>
      <c r="G611" s="0" t="n">
        <v>54.9</v>
      </c>
      <c r="H611" s="0" t="n">
        <v>54</v>
      </c>
      <c r="I611" s="39" t="s">
        <v>109</v>
      </c>
      <c r="J611" s="0" t="n">
        <v>99</v>
      </c>
      <c r="K611" s="0" t="n">
        <v>71</v>
      </c>
      <c r="L611" s="0" t="n">
        <v>182</v>
      </c>
      <c r="M611" s="0" t="n">
        <v>859.7</v>
      </c>
      <c r="N611" s="0" t="n">
        <v>42.88</v>
      </c>
      <c r="O611" s="0" t="n">
        <v>30.07</v>
      </c>
      <c r="P611" s="0" t="n">
        <v>4.39</v>
      </c>
      <c r="Q611" s="0" t="n">
        <v>3.41</v>
      </c>
      <c r="R611" s="0" t="n">
        <v>5323</v>
      </c>
      <c r="S611" s="0" t="n">
        <v>11274</v>
      </c>
      <c r="T611" s="0" t="n">
        <v>54.85</v>
      </c>
      <c r="U611" s="0" t="n">
        <v>1371</v>
      </c>
      <c r="V611" s="0" t="n">
        <v>2</v>
      </c>
      <c r="W611" s="39" t="n">
        <f aca="false">IF(I611="Male",0,1)</f>
        <v>1</v>
      </c>
      <c r="X611" s="39" t="n">
        <f aca="false">IF(OR(I611="DNB",I611="Dry DNB"),1,0)</f>
        <v>0</v>
      </c>
      <c r="Y611" s="39" t="n">
        <f aca="false">MATCH(A611,DATAS,0)</f>
        <v>1</v>
      </c>
      <c r="Z611" s="39" t="n">
        <f aca="false">IF(AND(E611&gt;0,OR(AND(B611&gt;=1,B611&lt;=6),B611=10)),1,0)</f>
        <v>1</v>
      </c>
      <c r="AA611" s="39" t="n">
        <f aca="false">IF(AND(E611&gt;0,B611=10),1,0)</f>
        <v>0</v>
      </c>
      <c r="AB611" s="0" t="str">
        <f aca="false">IF(AND(C610=C611,Y610=Y611-1),Z610,"")</f>
        <v/>
      </c>
      <c r="AC611" s="0" t="str">
        <f aca="false">IF(AND(C610=C611,Y610=Y611-1),AA610,"")</f>
        <v/>
      </c>
      <c r="AD611" s="0" t="str">
        <f aca="false">IF(Y611=1,"",IF(AND(Z611=1,AB611&lt;&gt;1),1,0))</f>
        <v/>
      </c>
      <c r="AE611" s="0" t="str">
        <f aca="false">IF(Y611=1,"",IF(AND(AA611=1,AC611&lt;&gt;1),1,0))</f>
        <v/>
      </c>
      <c r="AF611" s="45" t="str">
        <f aca="false">IF(AND(E611&gt;0,Y611&lt;1,NOT(AND(C612=C611,Y612=Y611+1))),INDEX(DATAS,Y611+1),"")</f>
        <v/>
      </c>
      <c r="AG611" s="45" t="str">
        <f aca="false">IF(AND(AA611=1,Y611&lt;1),IF(AND(C612=C611,Y612=Y611+1),IF(AA612=1,"",INDEX(DATAS,Y611+1)),INDEX(DATAS,Y611+1)),"")</f>
        <v/>
      </c>
    </row>
    <row r="612" customFormat="false" ht="15" hidden="false" customHeight="false" outlineLevel="0" collapsed="false">
      <c r="A612" s="45" t="n">
        <v>46309</v>
      </c>
      <c r="B612" s="0" t="n">
        <v>6</v>
      </c>
      <c r="C612" s="0" t="n">
        <v>4448</v>
      </c>
      <c r="D612" s="0" t="n">
        <v>565</v>
      </c>
      <c r="E612" s="0" t="n">
        <v>1</v>
      </c>
      <c r="F612" s="39" t="s">
        <v>533</v>
      </c>
      <c r="G612" s="0" t="n">
        <v>29.3</v>
      </c>
      <c r="H612" s="0" t="n">
        <v>28</v>
      </c>
      <c r="I612" s="39" t="s">
        <v>146</v>
      </c>
      <c r="J612" s="0" t="n">
        <v>565</v>
      </c>
      <c r="K612" s="0" t="n">
        <v>62</v>
      </c>
      <c r="M612" s="0" t="n">
        <v>510.82</v>
      </c>
      <c r="N612" s="0" t="n">
        <v>11.16</v>
      </c>
      <c r="O612" s="0" t="n">
        <v>16.13</v>
      </c>
      <c r="P612" s="0" t="n">
        <v>5.01</v>
      </c>
      <c r="Q612" s="0" t="n">
        <v>4.17</v>
      </c>
      <c r="R612" s="0" t="n">
        <v>4561</v>
      </c>
      <c r="S612" s="0" t="n">
        <v>9736</v>
      </c>
      <c r="T612" s="0" t="n">
        <v>47.9</v>
      </c>
      <c r="U612" s="0" t="n">
        <v>1371</v>
      </c>
      <c r="V612" s="0" t="n">
        <v>12</v>
      </c>
      <c r="W612" s="39" t="n">
        <f aca="false">IF(I612="Male",0,1)</f>
        <v>1</v>
      </c>
      <c r="X612" s="39" t="n">
        <f aca="false">IF(OR(I612="DNB",I612="Dry DNB"),1,0)</f>
        <v>0</v>
      </c>
      <c r="Y612" s="39" t="n">
        <f aca="false">MATCH(A612,DATAS,0)</f>
        <v>1</v>
      </c>
      <c r="Z612" s="39" t="n">
        <f aca="false">IF(AND(E612&gt;0,OR(AND(B612&gt;=1,B612&lt;=6),B612=10)),1,0)</f>
        <v>1</v>
      </c>
      <c r="AA612" s="39" t="n">
        <f aca="false">IF(AND(E612&gt;0,B612=10),1,0)</f>
        <v>0</v>
      </c>
      <c r="AB612" s="0" t="str">
        <f aca="false">IF(AND(C611=C612,Y611=Y612-1),Z611,"")</f>
        <v/>
      </c>
      <c r="AC612" s="0" t="str">
        <f aca="false">IF(AND(C611=C612,Y611=Y612-1),AA611,"")</f>
        <v/>
      </c>
      <c r="AD612" s="0" t="str">
        <f aca="false">IF(Y612=1,"",IF(AND(Z612=1,AB612&lt;&gt;1),1,0))</f>
        <v/>
      </c>
      <c r="AE612" s="0" t="str">
        <f aca="false">IF(Y612=1,"",IF(AND(AA612=1,AC612&lt;&gt;1),1,0))</f>
        <v/>
      </c>
      <c r="AF612" s="45" t="str">
        <f aca="false">IF(AND(E612&gt;0,Y612&lt;1,NOT(AND(C613=C612,Y613=Y612+1))),INDEX(DATAS,Y612+1),"")</f>
        <v/>
      </c>
      <c r="AG612" s="45" t="str">
        <f aca="false">IF(AND(AA612=1,Y612&lt;1),IF(AND(C613=C612,Y613=Y612+1),IF(AA613=1,"",INDEX(DATAS,Y612+1)),INDEX(DATAS,Y612+1)),"")</f>
        <v/>
      </c>
    </row>
    <row r="613" customFormat="false" ht="15" hidden="false" customHeight="false" outlineLevel="0" collapsed="false">
      <c r="A613" s="45" t="n">
        <v>46309</v>
      </c>
      <c r="B613" s="0" t="n">
        <v>5</v>
      </c>
      <c r="C613" s="0" t="n">
        <v>4450</v>
      </c>
      <c r="D613" s="0" t="n">
        <v>266</v>
      </c>
      <c r="E613" s="0" t="n">
        <v>2</v>
      </c>
      <c r="F613" s="39" t="s">
        <v>533</v>
      </c>
      <c r="G613" s="0" t="n">
        <v>44.8</v>
      </c>
      <c r="H613" s="0" t="n">
        <v>41</v>
      </c>
      <c r="I613" s="39" t="s">
        <v>109</v>
      </c>
      <c r="J613" s="0" t="n">
        <v>224</v>
      </c>
      <c r="K613" s="0" t="n">
        <v>84</v>
      </c>
      <c r="L613" s="0" t="n">
        <v>42</v>
      </c>
      <c r="M613" s="0" t="n">
        <v>755.47</v>
      </c>
      <c r="N613" s="0" t="n">
        <v>60.78</v>
      </c>
      <c r="O613" s="0" t="n">
        <v>31.45</v>
      </c>
      <c r="P613" s="0" t="n">
        <v>5.09</v>
      </c>
      <c r="Q613" s="0" t="n">
        <v>3.86</v>
      </c>
      <c r="R613" s="0" t="n">
        <v>6047</v>
      </c>
      <c r="S613" s="0" t="n">
        <v>11507</v>
      </c>
      <c r="T613" s="0" t="n">
        <v>65.45</v>
      </c>
      <c r="U613" s="0" t="n">
        <v>1371</v>
      </c>
      <c r="V613" s="0" t="n">
        <v>5</v>
      </c>
      <c r="W613" s="39" t="n">
        <f aca="false">IF(I613="Male",0,1)</f>
        <v>1</v>
      </c>
      <c r="X613" s="39" t="n">
        <f aca="false">IF(OR(I613="DNB",I613="Dry DNB"),1,0)</f>
        <v>0</v>
      </c>
      <c r="Y613" s="39" t="n">
        <f aca="false">MATCH(A613,DATAS,0)</f>
        <v>1</v>
      </c>
      <c r="Z613" s="39" t="n">
        <f aca="false">IF(AND(E613&gt;0,OR(AND(B613&gt;=1,B613&lt;=6),B613=10)),1,0)</f>
        <v>1</v>
      </c>
      <c r="AA613" s="39" t="n">
        <f aca="false">IF(AND(E613&gt;0,B613=10),1,0)</f>
        <v>0</v>
      </c>
      <c r="AB613" s="0" t="str">
        <f aca="false">IF(AND(C612=C613,Y612=Y613-1),Z612,"")</f>
        <v/>
      </c>
      <c r="AC613" s="0" t="str">
        <f aca="false">IF(AND(C612=C613,Y612=Y613-1),AA612,"")</f>
        <v/>
      </c>
      <c r="AD613" s="0" t="str">
        <f aca="false">IF(Y613=1,"",IF(AND(Z613=1,AB613&lt;&gt;1),1,0))</f>
        <v/>
      </c>
      <c r="AE613" s="0" t="str">
        <f aca="false">IF(Y613=1,"",IF(AND(AA613=1,AC613&lt;&gt;1),1,0))</f>
        <v/>
      </c>
      <c r="AF613" s="45" t="str">
        <f aca="false">IF(AND(E613&gt;0,Y613&lt;1,NOT(AND(C614=C613,Y614=Y613+1))),INDEX(DATAS,Y613+1),"")</f>
        <v/>
      </c>
      <c r="AG613" s="45" t="str">
        <f aca="false">IF(AND(AA613=1,Y613&lt;1),IF(AND(C614=C613,Y614=Y613+1),IF(AA614=1,"",INDEX(DATAS,Y613+1)),INDEX(DATAS,Y613+1)),"")</f>
        <v/>
      </c>
    </row>
    <row r="614" customFormat="false" ht="15" hidden="false" customHeight="false" outlineLevel="0" collapsed="false">
      <c r="A614" s="45" t="n">
        <v>46309</v>
      </c>
      <c r="B614" s="0" t="n">
        <v>2</v>
      </c>
      <c r="C614" s="0" t="n">
        <v>4451</v>
      </c>
      <c r="D614" s="0" t="n">
        <v>166</v>
      </c>
      <c r="E614" s="0" t="n">
        <v>2</v>
      </c>
      <c r="F614" s="39" t="s">
        <v>533</v>
      </c>
      <c r="G614" s="0" t="n">
        <v>55.7</v>
      </c>
      <c r="H614" s="0" t="n">
        <v>59</v>
      </c>
      <c r="I614" s="39" t="s">
        <v>109</v>
      </c>
      <c r="J614" s="0" t="n">
        <v>103</v>
      </c>
      <c r="K614" s="0" t="n">
        <v>68</v>
      </c>
      <c r="L614" s="0" t="n">
        <v>63</v>
      </c>
      <c r="M614" s="0" t="n">
        <v>822.96</v>
      </c>
      <c r="N614" s="0" t="n">
        <v>29.77</v>
      </c>
      <c r="O614" s="0" t="n">
        <v>30.64</v>
      </c>
      <c r="P614" s="0" t="n">
        <v>2.86</v>
      </c>
      <c r="Q614" s="0" t="n">
        <v>3.19</v>
      </c>
      <c r="R614" s="0" t="n">
        <v>5396</v>
      </c>
      <c r="S614" s="0" t="n">
        <v>11360</v>
      </c>
      <c r="T614" s="0" t="n">
        <v>62.8</v>
      </c>
      <c r="U614" s="0" t="n">
        <v>1371</v>
      </c>
      <c r="V614" s="0" t="n">
        <v>2</v>
      </c>
      <c r="W614" s="39" t="n">
        <f aca="false">IF(I614="Male",0,1)</f>
        <v>1</v>
      </c>
      <c r="X614" s="39" t="n">
        <f aca="false">IF(OR(I614="DNB",I614="Dry DNB"),1,0)</f>
        <v>0</v>
      </c>
      <c r="Y614" s="39" t="n">
        <f aca="false">MATCH(A614,DATAS,0)</f>
        <v>1</v>
      </c>
      <c r="Z614" s="39" t="n">
        <f aca="false">IF(AND(E614&gt;0,OR(AND(B614&gt;=1,B614&lt;=6),B614=10)),1,0)</f>
        <v>1</v>
      </c>
      <c r="AA614" s="39" t="n">
        <f aca="false">IF(AND(E614&gt;0,B614=10),1,0)</f>
        <v>0</v>
      </c>
      <c r="AB614" s="0" t="str">
        <f aca="false">IF(AND(C613=C614,Y613=Y614-1),Z613,"")</f>
        <v/>
      </c>
      <c r="AC614" s="0" t="str">
        <f aca="false">IF(AND(C613=C614,Y613=Y614-1),AA613,"")</f>
        <v/>
      </c>
      <c r="AD614" s="0" t="str">
        <f aca="false">IF(Y614=1,"",IF(AND(Z614=1,AB614&lt;&gt;1),1,0))</f>
        <v/>
      </c>
      <c r="AE614" s="0" t="str">
        <f aca="false">IF(Y614=1,"",IF(AND(AA614=1,AC614&lt;&gt;1),1,0))</f>
        <v/>
      </c>
      <c r="AF614" s="45" t="str">
        <f aca="false">IF(AND(E614&gt;0,Y614&lt;1,NOT(AND(C615=C614,Y615=Y614+1))),INDEX(DATAS,Y614+1),"")</f>
        <v/>
      </c>
      <c r="AG614" s="45" t="str">
        <f aca="false">IF(AND(AA614=1,Y614&lt;1),IF(AND(C615=C614,Y615=Y614+1),IF(AA615=1,"",INDEX(DATAS,Y614+1)),INDEX(DATAS,Y614+1)),"")</f>
        <v/>
      </c>
    </row>
    <row r="615" customFormat="false" ht="15" hidden="false" customHeight="false" outlineLevel="0" collapsed="false">
      <c r="A615" s="45" t="n">
        <v>46309</v>
      </c>
      <c r="B615" s="0" t="n">
        <v>7</v>
      </c>
      <c r="C615" s="0" t="n">
        <v>4452</v>
      </c>
      <c r="D615" s="0" t="n">
        <v>272</v>
      </c>
      <c r="E615" s="0" t="n">
        <v>2</v>
      </c>
      <c r="F615" s="39" t="s">
        <v>533</v>
      </c>
      <c r="I615" s="39" t="s">
        <v>114</v>
      </c>
      <c r="J615" s="0" t="n">
        <v>63</v>
      </c>
      <c r="K615" s="0" t="n">
        <v>70</v>
      </c>
      <c r="L615" s="0" t="n">
        <v>266</v>
      </c>
      <c r="M615" s="0" t="n">
        <v>1006.25</v>
      </c>
      <c r="N615" s="0" t="n">
        <v>20.27</v>
      </c>
      <c r="O615" s="0" t="n">
        <v>29.23</v>
      </c>
      <c r="P615" s="0" t="n">
        <v>5.26</v>
      </c>
      <c r="Q615" s="0" t="n">
        <v>4.58</v>
      </c>
      <c r="R615" s="0" t="n">
        <v>4752</v>
      </c>
      <c r="S615" s="0" t="n">
        <v>9409</v>
      </c>
      <c r="T615" s="0" t="n">
        <v>49.75</v>
      </c>
      <c r="U615" s="0" t="n">
        <v>1371</v>
      </c>
      <c r="V615" s="0" t="n">
        <v>1</v>
      </c>
      <c r="W615" s="39" t="n">
        <f aca="false">IF(I615="Male",0,1)</f>
        <v>1</v>
      </c>
      <c r="X615" s="39" t="n">
        <f aca="false">IF(OR(I615="DNB",I615="Dry DNB"),1,0)</f>
        <v>0</v>
      </c>
      <c r="Y615" s="39" t="n">
        <f aca="false">MATCH(A615,DATAS,0)</f>
        <v>1</v>
      </c>
      <c r="Z615" s="39" t="n">
        <f aca="false">IF(AND(E615&gt;0,OR(AND(B615&gt;=1,B615&lt;=6),B615=10)),1,0)</f>
        <v>0</v>
      </c>
      <c r="AA615" s="39" t="n">
        <f aca="false">IF(AND(E615&gt;0,B615=10),1,0)</f>
        <v>0</v>
      </c>
      <c r="AB615" s="0" t="str">
        <f aca="false">IF(AND(C614=C615,Y614=Y615-1),Z614,"")</f>
        <v/>
      </c>
      <c r="AC615" s="0" t="str">
        <f aca="false">IF(AND(C614=C615,Y614=Y615-1),AA614,"")</f>
        <v/>
      </c>
      <c r="AD615" s="0" t="str">
        <f aca="false">IF(Y615=1,"",IF(AND(Z615=1,AB615&lt;&gt;1),1,0))</f>
        <v/>
      </c>
      <c r="AE615" s="0" t="str">
        <f aca="false">IF(Y615=1,"",IF(AND(AA615=1,AC615&lt;&gt;1),1,0))</f>
        <v/>
      </c>
      <c r="AF615" s="45" t="str">
        <f aca="false">IF(AND(E615&gt;0,Y615&lt;1,NOT(AND(C616=C615,Y616=Y615+1))),INDEX(DATAS,Y615+1),"")</f>
        <v/>
      </c>
      <c r="AG615" s="45" t="str">
        <f aca="false">IF(AND(AA615=1,Y615&lt;1),IF(AND(C616=C615,Y616=Y615+1),IF(AA616=1,"",INDEX(DATAS,Y615+1)),INDEX(DATAS,Y615+1)),"")</f>
        <v/>
      </c>
    </row>
    <row r="616" customFormat="false" ht="15" hidden="false" customHeight="false" outlineLevel="0" collapsed="false">
      <c r="A616" s="45" t="n">
        <v>46309</v>
      </c>
      <c r="B616" s="0" t="n">
        <v>2</v>
      </c>
      <c r="C616" s="0" t="n">
        <v>4458</v>
      </c>
      <c r="D616" s="0" t="n">
        <v>22</v>
      </c>
      <c r="E616" s="0" t="n">
        <v>3</v>
      </c>
      <c r="F616" s="39" t="s">
        <v>534</v>
      </c>
      <c r="G616" s="0" t="n">
        <v>57.3</v>
      </c>
      <c r="H616" s="0" t="n">
        <v>56</v>
      </c>
      <c r="I616" s="39" t="s">
        <v>118</v>
      </c>
      <c r="J616" s="0" t="n">
        <v>22</v>
      </c>
      <c r="M616" s="0" t="n">
        <v>988.06</v>
      </c>
      <c r="N616" s="0" t="n">
        <v>40.9</v>
      </c>
      <c r="O616" s="0" t="n">
        <v>31.75</v>
      </c>
      <c r="R616" s="0" t="n">
        <v>4230</v>
      </c>
      <c r="S616" s="0" t="n">
        <v>8503</v>
      </c>
      <c r="U616" s="0" t="n">
        <v>1369</v>
      </c>
      <c r="V616" s="0" t="n">
        <v>0</v>
      </c>
      <c r="W616" s="39" t="n">
        <f aca="false">IF(I616="Male",0,1)</f>
        <v>1</v>
      </c>
      <c r="X616" s="39" t="n">
        <f aca="false">IF(OR(I616="DNB",I616="Dry DNB"),1,0)</f>
        <v>0</v>
      </c>
      <c r="Y616" s="39" t="n">
        <f aca="false">MATCH(A616,DATAS,0)</f>
        <v>1</v>
      </c>
      <c r="Z616" s="39" t="n">
        <f aca="false">IF(AND(E616&gt;0,OR(AND(B616&gt;=1,B616&lt;=6),B616=10)),1,0)</f>
        <v>1</v>
      </c>
      <c r="AA616" s="39" t="n">
        <f aca="false">IF(AND(E616&gt;0,B616=10),1,0)</f>
        <v>0</v>
      </c>
      <c r="AB616" s="0" t="str">
        <f aca="false">IF(AND(C615=C616,Y615=Y616-1),Z615,"")</f>
        <v/>
      </c>
      <c r="AC616" s="0" t="str">
        <f aca="false">IF(AND(C615=C616,Y615=Y616-1),AA615,"")</f>
        <v/>
      </c>
      <c r="AD616" s="0" t="str">
        <f aca="false">IF(Y616=1,"",IF(AND(Z616=1,AB616&lt;&gt;1),1,0))</f>
        <v/>
      </c>
      <c r="AE616" s="0" t="str">
        <f aca="false">IF(Y616=1,"",IF(AND(AA616=1,AC616&lt;&gt;1),1,0))</f>
        <v/>
      </c>
      <c r="AF616" s="45" t="str">
        <f aca="false">IF(AND(E616&gt;0,Y616&lt;1,NOT(AND(C617=C616,Y617=Y616+1))),INDEX(DATAS,Y616+1),"")</f>
        <v/>
      </c>
      <c r="AG616" s="45" t="str">
        <f aca="false">IF(AND(AA616=1,Y616&lt;1),IF(AND(C617=C616,Y617=Y616+1),IF(AA617=1,"",INDEX(DATAS,Y616+1)),INDEX(DATAS,Y616+1)),"")</f>
        <v/>
      </c>
    </row>
    <row r="617" customFormat="false" ht="15" hidden="false" customHeight="false" outlineLevel="0" collapsed="false">
      <c r="A617" s="45" t="n">
        <v>46309</v>
      </c>
      <c r="B617" s="0" t="n">
        <v>6</v>
      </c>
      <c r="C617" s="0" t="n">
        <v>4459</v>
      </c>
      <c r="D617" s="0" t="n">
        <v>225</v>
      </c>
      <c r="E617" s="0" t="n">
        <v>2</v>
      </c>
      <c r="F617" s="39" t="s">
        <v>534</v>
      </c>
      <c r="G617" s="0" t="n">
        <v>26</v>
      </c>
      <c r="H617" s="0" t="n">
        <v>24</v>
      </c>
      <c r="I617" s="39" t="s">
        <v>109</v>
      </c>
      <c r="J617" s="0" t="n">
        <v>78</v>
      </c>
      <c r="K617" s="0" t="n">
        <v>78</v>
      </c>
      <c r="L617" s="0" t="n">
        <v>147</v>
      </c>
      <c r="M617" s="0" t="n">
        <v>310.23</v>
      </c>
      <c r="N617" s="0" t="n">
        <v>40.65</v>
      </c>
      <c r="O617" s="0" t="n">
        <v>21.98</v>
      </c>
      <c r="P617" s="0" t="n">
        <v>4.1</v>
      </c>
      <c r="Q617" s="0" t="n">
        <v>3.7</v>
      </c>
      <c r="R617" s="0" t="n">
        <v>5236</v>
      </c>
      <c r="S617" s="0" t="n">
        <v>10409</v>
      </c>
      <c r="T617" s="0" t="n">
        <v>55.3</v>
      </c>
      <c r="U617" s="0" t="n">
        <v>1369</v>
      </c>
      <c r="V617" s="0" t="n">
        <v>1</v>
      </c>
      <c r="W617" s="39" t="n">
        <f aca="false">IF(I617="Male",0,1)</f>
        <v>1</v>
      </c>
      <c r="X617" s="39" t="n">
        <f aca="false">IF(OR(I617="DNB",I617="Dry DNB"),1,0)</f>
        <v>0</v>
      </c>
      <c r="Y617" s="39" t="n">
        <f aca="false">MATCH(A617,DATAS,0)</f>
        <v>1</v>
      </c>
      <c r="Z617" s="39" t="n">
        <f aca="false">IF(AND(E617&gt;0,OR(AND(B617&gt;=1,B617&lt;=6),B617=10)),1,0)</f>
        <v>1</v>
      </c>
      <c r="AA617" s="39" t="n">
        <f aca="false">IF(AND(E617&gt;0,B617=10),1,0)</f>
        <v>0</v>
      </c>
      <c r="AB617" s="0" t="str">
        <f aca="false">IF(AND(C616=C617,Y616=Y617-1),Z616,"")</f>
        <v/>
      </c>
      <c r="AC617" s="0" t="str">
        <f aca="false">IF(AND(C616=C617,Y616=Y617-1),AA616,"")</f>
        <v/>
      </c>
      <c r="AD617" s="0" t="str">
        <f aca="false">IF(Y617=1,"",IF(AND(Z617=1,AB617&lt;&gt;1),1,0))</f>
        <v/>
      </c>
      <c r="AE617" s="0" t="str">
        <f aca="false">IF(Y617=1,"",IF(AND(AA617=1,AC617&lt;&gt;1),1,0))</f>
        <v/>
      </c>
      <c r="AF617" s="45" t="str">
        <f aca="false">IF(AND(E617&gt;0,Y617&lt;1,NOT(AND(C618=C617,Y618=Y617+1))),INDEX(DATAS,Y617+1),"")</f>
        <v/>
      </c>
      <c r="AG617" s="45" t="str">
        <f aca="false">IF(AND(AA617=1,Y617&lt;1),IF(AND(C618=C617,Y618=Y617+1),IF(AA618=1,"",INDEX(DATAS,Y617+1)),INDEX(DATAS,Y617+1)),"")</f>
        <v/>
      </c>
    </row>
    <row r="618" customFormat="false" ht="15" hidden="false" customHeight="false" outlineLevel="0" collapsed="false">
      <c r="A618" s="45" t="n">
        <v>46309</v>
      </c>
      <c r="B618" s="0" t="n">
        <v>3</v>
      </c>
      <c r="C618" s="0" t="n">
        <v>4464</v>
      </c>
      <c r="D618" s="0" t="n">
        <v>39</v>
      </c>
      <c r="E618" s="0" t="n">
        <v>3</v>
      </c>
      <c r="F618" s="39" t="s">
        <v>535</v>
      </c>
      <c r="G618" s="0" t="n">
        <v>39</v>
      </c>
      <c r="H618" s="0" t="n">
        <v>47</v>
      </c>
      <c r="I618" s="39" t="s">
        <v>118</v>
      </c>
      <c r="J618" s="0" t="n">
        <v>39</v>
      </c>
      <c r="M618" s="0" t="n">
        <v>1393.82</v>
      </c>
      <c r="N618" s="0" t="n">
        <v>41.16</v>
      </c>
      <c r="O618" s="0" t="n">
        <v>34.53</v>
      </c>
      <c r="P618" s="0" t="n">
        <v>4.52</v>
      </c>
      <c r="Q618" s="0" t="n">
        <v>3.38</v>
      </c>
      <c r="R618" s="0" t="n">
        <v>3638</v>
      </c>
      <c r="S618" s="0" t="n">
        <v>7313</v>
      </c>
      <c r="U618" s="0" t="n">
        <v>1366</v>
      </c>
      <c r="V618" s="0" t="n">
        <v>0</v>
      </c>
      <c r="W618" s="39" t="n">
        <f aca="false">IF(I618="Male",0,1)</f>
        <v>1</v>
      </c>
      <c r="X618" s="39" t="n">
        <f aca="false">IF(OR(I618="DNB",I618="Dry DNB"),1,0)</f>
        <v>0</v>
      </c>
      <c r="Y618" s="39" t="n">
        <f aca="false">MATCH(A618,DATAS,0)</f>
        <v>1</v>
      </c>
      <c r="Z618" s="39" t="n">
        <f aca="false">IF(AND(E618&gt;0,OR(AND(B618&gt;=1,B618&lt;=6),B618=10)),1,0)</f>
        <v>1</v>
      </c>
      <c r="AA618" s="39" t="n">
        <f aca="false">IF(AND(E618&gt;0,B618=10),1,0)</f>
        <v>0</v>
      </c>
      <c r="AB618" s="0" t="str">
        <f aca="false">IF(AND(C617=C618,Y617=Y618-1),Z617,"")</f>
        <v/>
      </c>
      <c r="AC618" s="0" t="str">
        <f aca="false">IF(AND(C617=C618,Y617=Y618-1),AA617,"")</f>
        <v/>
      </c>
      <c r="AD618" s="0" t="str">
        <f aca="false">IF(Y618=1,"",IF(AND(Z618=1,AB618&lt;&gt;1),1,0))</f>
        <v/>
      </c>
      <c r="AE618" s="0" t="str">
        <f aca="false">IF(Y618=1,"",IF(AND(AA618=1,AC618&lt;&gt;1),1,0))</f>
        <v/>
      </c>
      <c r="AF618" s="45" t="str">
        <f aca="false">IF(AND(E618&gt;0,Y618&lt;1,NOT(AND(C619=C618,Y619=Y618+1))),INDEX(DATAS,Y618+1),"")</f>
        <v/>
      </c>
      <c r="AG618" s="45" t="str">
        <f aca="false">IF(AND(AA618=1,Y618&lt;1),IF(AND(C619=C618,Y619=Y618+1),IF(AA619=1,"",INDEX(DATAS,Y618+1)),INDEX(DATAS,Y618+1)),"")</f>
        <v/>
      </c>
    </row>
    <row r="619" customFormat="false" ht="15" hidden="false" customHeight="false" outlineLevel="0" collapsed="false">
      <c r="A619" s="45" t="n">
        <v>46309</v>
      </c>
      <c r="B619" s="0" t="n">
        <v>3</v>
      </c>
      <c r="C619" s="0" t="n">
        <v>4465</v>
      </c>
      <c r="D619" s="0" t="n">
        <v>6</v>
      </c>
      <c r="E619" s="0" t="n">
        <v>3</v>
      </c>
      <c r="F619" s="39" t="s">
        <v>535</v>
      </c>
      <c r="G619" s="0" t="n">
        <v>32.8</v>
      </c>
      <c r="H619" s="0" t="n">
        <v>23</v>
      </c>
      <c r="I619" s="39" t="s">
        <v>118</v>
      </c>
      <c r="J619" s="0" t="n">
        <v>6</v>
      </c>
      <c r="M619" s="0" t="n">
        <v>884.58</v>
      </c>
      <c r="N619" s="0" t="n">
        <v>87.75</v>
      </c>
      <c r="O619" s="0" t="n">
        <v>40.03</v>
      </c>
      <c r="R619" s="0" t="n">
        <v>2249</v>
      </c>
      <c r="S619" s="0" t="n">
        <v>4522</v>
      </c>
      <c r="U619" s="0" t="n">
        <v>1366</v>
      </c>
      <c r="V619" s="0" t="n">
        <v>0</v>
      </c>
      <c r="W619" s="39" t="n">
        <f aca="false">IF(I619="Male",0,1)</f>
        <v>1</v>
      </c>
      <c r="X619" s="39" t="n">
        <f aca="false">IF(OR(I619="DNB",I619="Dry DNB"),1,0)</f>
        <v>0</v>
      </c>
      <c r="Y619" s="39" t="n">
        <f aca="false">MATCH(A619,DATAS,0)</f>
        <v>1</v>
      </c>
      <c r="Z619" s="39" t="n">
        <f aca="false">IF(AND(E619&gt;0,OR(AND(B619&gt;=1,B619&lt;=6),B619=10)),1,0)</f>
        <v>1</v>
      </c>
      <c r="AA619" s="39" t="n">
        <f aca="false">IF(AND(E619&gt;0,B619=10),1,0)</f>
        <v>0</v>
      </c>
      <c r="AB619" s="0" t="str">
        <f aca="false">IF(AND(C618=C619,Y618=Y619-1),Z618,"")</f>
        <v/>
      </c>
      <c r="AC619" s="0" t="str">
        <f aca="false">IF(AND(C618=C619,Y618=Y619-1),AA618,"")</f>
        <v/>
      </c>
      <c r="AD619" s="0" t="str">
        <f aca="false">IF(Y619=1,"",IF(AND(Z619=1,AB619&lt;&gt;1),1,0))</f>
        <v/>
      </c>
      <c r="AE619" s="0" t="str">
        <f aca="false">IF(Y619=1,"",IF(AND(AA619=1,AC619&lt;&gt;1),1,0))</f>
        <v/>
      </c>
      <c r="AF619" s="45" t="str">
        <f aca="false">IF(AND(E619&gt;0,Y619&lt;1,NOT(AND(C620=C619,Y620=Y619+1))),INDEX(DATAS,Y619+1),"")</f>
        <v/>
      </c>
      <c r="AG619" s="45" t="str">
        <f aca="false">IF(AND(AA619=1,Y619&lt;1),IF(AND(C620=C619,Y620=Y619+1),IF(AA620=1,"",INDEX(DATAS,Y619+1)),INDEX(DATAS,Y619+1)),"")</f>
        <v/>
      </c>
    </row>
    <row r="620" customFormat="false" ht="15" hidden="false" customHeight="false" outlineLevel="0" collapsed="false">
      <c r="A620" s="45" t="n">
        <v>46309</v>
      </c>
      <c r="B620" s="0" t="n">
        <v>3</v>
      </c>
      <c r="C620" s="0" t="n">
        <v>4467</v>
      </c>
      <c r="D620" s="0" t="n">
        <v>272</v>
      </c>
      <c r="E620" s="0" t="n">
        <v>2</v>
      </c>
      <c r="F620" s="39" t="s">
        <v>535</v>
      </c>
      <c r="G620" s="0" t="n">
        <v>57.2</v>
      </c>
      <c r="H620" s="0" t="n">
        <v>53</v>
      </c>
      <c r="I620" s="39" t="s">
        <v>109</v>
      </c>
      <c r="J620" s="0" t="n">
        <v>153</v>
      </c>
      <c r="K620" s="0" t="n">
        <v>76</v>
      </c>
      <c r="L620" s="0" t="n">
        <v>119</v>
      </c>
      <c r="M620" s="0" t="n">
        <v>470.98</v>
      </c>
      <c r="N620" s="0" t="n">
        <v>12.13</v>
      </c>
      <c r="O620" s="0" t="n">
        <v>18.62</v>
      </c>
      <c r="P620" s="0" t="n">
        <v>3.09</v>
      </c>
      <c r="Q620" s="0" t="n">
        <v>3.43</v>
      </c>
      <c r="R620" s="0" t="n">
        <v>6555</v>
      </c>
      <c r="S620" s="0" t="n">
        <v>12883</v>
      </c>
      <c r="T620" s="0" t="n">
        <v>73.5</v>
      </c>
      <c r="U620" s="0" t="n">
        <v>1366</v>
      </c>
      <c r="V620" s="0" t="n">
        <v>4</v>
      </c>
      <c r="W620" s="39" t="n">
        <f aca="false">IF(I620="Male",0,1)</f>
        <v>1</v>
      </c>
      <c r="X620" s="39" t="n">
        <f aca="false">IF(OR(I620="DNB",I620="Dry DNB"),1,0)</f>
        <v>0</v>
      </c>
      <c r="Y620" s="39" t="n">
        <f aca="false">MATCH(A620,DATAS,0)</f>
        <v>1</v>
      </c>
      <c r="Z620" s="39" t="n">
        <f aca="false">IF(AND(E620&gt;0,OR(AND(B620&gt;=1,B620&lt;=6),B620=10)),1,0)</f>
        <v>1</v>
      </c>
      <c r="AA620" s="39" t="n">
        <f aca="false">IF(AND(E620&gt;0,B620=10),1,0)</f>
        <v>0</v>
      </c>
      <c r="AB620" s="0" t="str">
        <f aca="false">IF(AND(C619=C620,Y619=Y620-1),Z619,"")</f>
        <v/>
      </c>
      <c r="AC620" s="0" t="str">
        <f aca="false">IF(AND(C619=C620,Y619=Y620-1),AA619,"")</f>
        <v/>
      </c>
      <c r="AD620" s="0" t="str">
        <f aca="false">IF(Y620=1,"",IF(AND(Z620=1,AB620&lt;&gt;1),1,0))</f>
        <v/>
      </c>
      <c r="AE620" s="0" t="str">
        <f aca="false">IF(Y620=1,"",IF(AND(AA620=1,AC620&lt;&gt;1),1,0))</f>
        <v/>
      </c>
      <c r="AF620" s="45" t="str">
        <f aca="false">IF(AND(E620&gt;0,Y620&lt;1,NOT(AND(C621=C620,Y621=Y620+1))),INDEX(DATAS,Y620+1),"")</f>
        <v/>
      </c>
      <c r="AG620" s="45" t="str">
        <f aca="false">IF(AND(AA620=1,Y620&lt;1),IF(AND(C621=C620,Y621=Y620+1),IF(AA621=1,"",INDEX(DATAS,Y620+1)),INDEX(DATAS,Y620+1)),"")</f>
        <v/>
      </c>
    </row>
    <row r="621" customFormat="false" ht="15" hidden="false" customHeight="false" outlineLevel="0" collapsed="false">
      <c r="A621" s="45" t="n">
        <v>46309</v>
      </c>
      <c r="B621" s="0" t="n">
        <v>7</v>
      </c>
      <c r="C621" s="0" t="n">
        <v>4468</v>
      </c>
      <c r="D621" s="0" t="n">
        <v>343</v>
      </c>
      <c r="E621" s="0" t="n">
        <v>2</v>
      </c>
      <c r="F621" s="39" t="s">
        <v>535</v>
      </c>
      <c r="G621" s="0" t="n">
        <v>9.3</v>
      </c>
      <c r="H621" s="0" t="n">
        <v>23</v>
      </c>
      <c r="I621" s="39" t="s">
        <v>114</v>
      </c>
      <c r="J621" s="0" t="n">
        <v>120</v>
      </c>
      <c r="K621" s="0" t="n">
        <v>65</v>
      </c>
      <c r="L621" s="0" t="n">
        <v>224</v>
      </c>
      <c r="M621" s="0" t="n">
        <v>685.58</v>
      </c>
      <c r="N621" s="0" t="n">
        <v>26.57</v>
      </c>
      <c r="O621" s="0" t="n">
        <v>30.42</v>
      </c>
      <c r="P621" s="0" t="n">
        <v>5.04</v>
      </c>
      <c r="Q621" s="0" t="n">
        <v>4.09</v>
      </c>
      <c r="R621" s="0" t="n">
        <v>3326</v>
      </c>
      <c r="S621" s="0" t="n">
        <v>6619</v>
      </c>
      <c r="T621" s="0" t="n">
        <v>35.4</v>
      </c>
      <c r="U621" s="0" t="n">
        <v>1366</v>
      </c>
      <c r="V621" s="0" t="n">
        <v>3</v>
      </c>
      <c r="W621" s="39" t="n">
        <f aca="false">IF(I621="Male",0,1)</f>
        <v>1</v>
      </c>
      <c r="X621" s="39" t="n">
        <f aca="false">IF(OR(I621="DNB",I621="Dry DNB"),1,0)</f>
        <v>0</v>
      </c>
      <c r="Y621" s="39" t="n">
        <f aca="false">MATCH(A621,DATAS,0)</f>
        <v>1</v>
      </c>
      <c r="Z621" s="39" t="n">
        <f aca="false">IF(AND(E621&gt;0,OR(AND(B621&gt;=1,B621&lt;=6),B621=10)),1,0)</f>
        <v>0</v>
      </c>
      <c r="AA621" s="39" t="n">
        <f aca="false">IF(AND(E621&gt;0,B621=10),1,0)</f>
        <v>0</v>
      </c>
      <c r="AB621" s="0" t="str">
        <f aca="false">IF(AND(C620=C621,Y620=Y621-1),Z620,"")</f>
        <v/>
      </c>
      <c r="AC621" s="0" t="str">
        <f aca="false">IF(AND(C620=C621,Y620=Y621-1),AA620,"")</f>
        <v/>
      </c>
      <c r="AD621" s="0" t="str">
        <f aca="false">IF(Y621=1,"",IF(AND(Z621=1,AB621&lt;&gt;1),1,0))</f>
        <v/>
      </c>
      <c r="AE621" s="0" t="str">
        <f aca="false">IF(Y621=1,"",IF(AND(AA621=1,AC621&lt;&gt;1),1,0))</f>
        <v/>
      </c>
      <c r="AF621" s="45" t="str">
        <f aca="false">IF(AND(E621&gt;0,Y621&lt;1,NOT(AND(C622=C621,Y622=Y621+1))),INDEX(DATAS,Y621+1),"")</f>
        <v/>
      </c>
      <c r="AG621" s="45" t="str">
        <f aca="false">IF(AND(AA621=1,Y621&lt;1),IF(AND(C622=C621,Y622=Y621+1),IF(AA622=1,"",INDEX(DATAS,Y621+1)),INDEX(DATAS,Y621+1)),"")</f>
        <v/>
      </c>
    </row>
    <row r="622" customFormat="false" ht="15" hidden="false" customHeight="false" outlineLevel="0" collapsed="false">
      <c r="A622" s="45" t="n">
        <v>46309</v>
      </c>
      <c r="B622" s="0" t="n">
        <v>7</v>
      </c>
      <c r="C622" s="0" t="n">
        <v>4469</v>
      </c>
      <c r="D622" s="0" t="n">
        <v>317</v>
      </c>
      <c r="E622" s="0" t="n">
        <v>2</v>
      </c>
      <c r="F622" s="39" t="s">
        <v>536</v>
      </c>
      <c r="I622" s="39" t="s">
        <v>114</v>
      </c>
      <c r="J622" s="0" t="n">
        <v>89</v>
      </c>
      <c r="K622" s="0" t="n">
        <v>67</v>
      </c>
      <c r="L622" s="0" t="n">
        <v>264</v>
      </c>
      <c r="M622" s="0" t="n">
        <v>-182.59</v>
      </c>
      <c r="N622" s="0" t="n">
        <v>35.36</v>
      </c>
      <c r="O622" s="0" t="n">
        <v>7.93</v>
      </c>
      <c r="P622" s="0" t="n">
        <v>5.52</v>
      </c>
      <c r="Q622" s="0" t="n">
        <v>3.76</v>
      </c>
      <c r="R622" s="0" t="n">
        <v>4546</v>
      </c>
      <c r="S622" s="0" t="n">
        <v>9681</v>
      </c>
      <c r="T622" s="0" t="n">
        <v>49.3</v>
      </c>
      <c r="U622" s="0" t="n">
        <v>1365</v>
      </c>
      <c r="V622" s="0" t="n">
        <v>2</v>
      </c>
      <c r="W622" s="39" t="n">
        <f aca="false">IF(I622="Male",0,1)</f>
        <v>1</v>
      </c>
      <c r="X622" s="39" t="n">
        <f aca="false">IF(OR(I622="DNB",I622="Dry DNB"),1,0)</f>
        <v>0</v>
      </c>
      <c r="Y622" s="39" t="n">
        <f aca="false">MATCH(A622,DATAS,0)</f>
        <v>1</v>
      </c>
      <c r="Z622" s="39" t="n">
        <f aca="false">IF(AND(E622&gt;0,OR(AND(B622&gt;=1,B622&lt;=6),B622=10)),1,0)</f>
        <v>0</v>
      </c>
      <c r="AA622" s="39" t="n">
        <f aca="false">IF(AND(E622&gt;0,B622=10),1,0)</f>
        <v>0</v>
      </c>
      <c r="AB622" s="0" t="str">
        <f aca="false">IF(AND(C621=C622,Y621=Y622-1),Z621,"")</f>
        <v/>
      </c>
      <c r="AC622" s="0" t="str">
        <f aca="false">IF(AND(C621=C622,Y621=Y622-1),AA621,"")</f>
        <v/>
      </c>
      <c r="AD622" s="0" t="str">
        <f aca="false">IF(Y622=1,"",IF(AND(Z622=1,AB622&lt;&gt;1),1,0))</f>
        <v/>
      </c>
      <c r="AE622" s="0" t="str">
        <f aca="false">IF(Y622=1,"",IF(AND(AA622=1,AC622&lt;&gt;1),1,0))</f>
        <v/>
      </c>
      <c r="AF622" s="45" t="str">
        <f aca="false">IF(AND(E622&gt;0,Y622&lt;1,NOT(AND(C623=C622,Y623=Y622+1))),INDEX(DATAS,Y622+1),"")</f>
        <v/>
      </c>
      <c r="AG622" s="45" t="str">
        <f aca="false">IF(AND(AA622=1,Y622&lt;1),IF(AND(C623=C622,Y623=Y622+1),IF(AA623=1,"",INDEX(DATAS,Y622+1)),INDEX(DATAS,Y622+1)),"")</f>
        <v/>
      </c>
    </row>
    <row r="623" customFormat="false" ht="15" hidden="false" customHeight="false" outlineLevel="0" collapsed="false">
      <c r="A623" s="45" t="n">
        <v>46309</v>
      </c>
      <c r="B623" s="0" t="n">
        <v>5</v>
      </c>
      <c r="C623" s="0" t="n">
        <v>4470</v>
      </c>
      <c r="D623" s="0" t="n">
        <v>203</v>
      </c>
      <c r="E623" s="0" t="n">
        <v>2</v>
      </c>
      <c r="F623" s="39" t="s">
        <v>536</v>
      </c>
      <c r="G623" s="0" t="n">
        <v>39</v>
      </c>
      <c r="H623" s="0" t="n">
        <v>40</v>
      </c>
      <c r="I623" s="39" t="s">
        <v>109</v>
      </c>
      <c r="J623" s="0" t="n">
        <v>63</v>
      </c>
      <c r="K623" s="0" t="n">
        <v>63</v>
      </c>
      <c r="L623" s="0" t="n">
        <v>140</v>
      </c>
      <c r="M623" s="0" t="n">
        <v>1307.6</v>
      </c>
      <c r="N623" s="0" t="n">
        <v>41.03</v>
      </c>
      <c r="O623" s="0" t="n">
        <v>44.15</v>
      </c>
      <c r="P623" s="0" t="n">
        <v>3.09</v>
      </c>
      <c r="Q623" s="0" t="n">
        <v>3.65</v>
      </c>
      <c r="R623" s="0" t="n">
        <v>4560</v>
      </c>
      <c r="S623" s="0" t="n">
        <v>9745</v>
      </c>
      <c r="T623" s="0" t="n">
        <v>50.2</v>
      </c>
      <c r="U623" s="0" t="n">
        <v>1365</v>
      </c>
      <c r="V623" s="0" t="n">
        <v>1</v>
      </c>
      <c r="W623" s="39" t="n">
        <f aca="false">IF(I623="Male",0,1)</f>
        <v>1</v>
      </c>
      <c r="X623" s="39" t="n">
        <f aca="false">IF(OR(I623="DNB",I623="Dry DNB"),1,0)</f>
        <v>0</v>
      </c>
      <c r="Y623" s="39" t="n">
        <f aca="false">MATCH(A623,DATAS,0)</f>
        <v>1</v>
      </c>
      <c r="Z623" s="39" t="n">
        <f aca="false">IF(AND(E623&gt;0,OR(AND(B623&gt;=1,B623&lt;=6),B623=10)),1,0)</f>
        <v>1</v>
      </c>
      <c r="AA623" s="39" t="n">
        <f aca="false">IF(AND(E623&gt;0,B623=10),1,0)</f>
        <v>0</v>
      </c>
      <c r="AB623" s="0" t="str">
        <f aca="false">IF(AND(C622=C623,Y622=Y623-1),Z622,"")</f>
        <v/>
      </c>
      <c r="AC623" s="0" t="str">
        <f aca="false">IF(AND(C622=C623,Y622=Y623-1),AA622,"")</f>
        <v/>
      </c>
      <c r="AD623" s="0" t="str">
        <f aca="false">IF(Y623=1,"",IF(AND(Z623=1,AB623&lt;&gt;1),1,0))</f>
        <v/>
      </c>
      <c r="AE623" s="0" t="str">
        <f aca="false">IF(Y623=1,"",IF(AND(AA623=1,AC623&lt;&gt;1),1,0))</f>
        <v/>
      </c>
      <c r="AF623" s="45" t="str">
        <f aca="false">IF(AND(E623&gt;0,Y623&lt;1,NOT(AND(C624=C623,Y624=Y623+1))),INDEX(DATAS,Y623+1),"")</f>
        <v/>
      </c>
      <c r="AG623" s="45" t="str">
        <f aca="false">IF(AND(AA623=1,Y623&lt;1),IF(AND(C624=C623,Y624=Y623+1),IF(AA624=1,"",INDEX(DATAS,Y623+1)),INDEX(DATAS,Y623+1)),"")</f>
        <v/>
      </c>
    </row>
    <row r="624" customFormat="false" ht="15" hidden="false" customHeight="false" outlineLevel="0" collapsed="false">
      <c r="A624" s="45" t="n">
        <v>46309</v>
      </c>
      <c r="B624" s="0" t="n">
        <v>5</v>
      </c>
      <c r="C624" s="0" t="n">
        <v>4471</v>
      </c>
      <c r="D624" s="0" t="n">
        <v>179</v>
      </c>
      <c r="E624" s="0" t="n">
        <v>3</v>
      </c>
      <c r="F624" s="39" t="s">
        <v>536</v>
      </c>
      <c r="G624" s="0" t="n">
        <v>31.7</v>
      </c>
      <c r="H624" s="0" t="n">
        <v>27</v>
      </c>
      <c r="I624" s="39" t="s">
        <v>109</v>
      </c>
      <c r="J624" s="0" t="n">
        <v>67</v>
      </c>
      <c r="K624" s="0" t="n">
        <v>67</v>
      </c>
      <c r="L624" s="0" t="n">
        <v>112</v>
      </c>
      <c r="M624" s="0" t="n">
        <v>733.61</v>
      </c>
      <c r="N624" s="0" t="n">
        <v>46.94</v>
      </c>
      <c r="O624" s="0" t="n">
        <v>34.18</v>
      </c>
      <c r="P624" s="0" t="n">
        <v>4.25</v>
      </c>
      <c r="Q624" s="0" t="n">
        <v>3.79</v>
      </c>
      <c r="R624" s="0" t="n">
        <v>3430</v>
      </c>
      <c r="S624" s="0" t="n">
        <v>6351</v>
      </c>
      <c r="T624" s="0" t="n">
        <v>30.85</v>
      </c>
      <c r="U624" s="0" t="n">
        <v>1365</v>
      </c>
      <c r="V624" s="0" t="n">
        <v>1</v>
      </c>
      <c r="W624" s="39" t="n">
        <f aca="false">IF(I624="Male",0,1)</f>
        <v>1</v>
      </c>
      <c r="X624" s="39" t="n">
        <f aca="false">IF(OR(I624="DNB",I624="Dry DNB"),1,0)</f>
        <v>0</v>
      </c>
      <c r="Y624" s="39" t="n">
        <f aca="false">MATCH(A624,DATAS,0)</f>
        <v>1</v>
      </c>
      <c r="Z624" s="39" t="n">
        <f aca="false">IF(AND(E624&gt;0,OR(AND(B624&gt;=1,B624&lt;=6),B624=10)),1,0)</f>
        <v>1</v>
      </c>
      <c r="AA624" s="39" t="n">
        <f aca="false">IF(AND(E624&gt;0,B624=10),1,0)</f>
        <v>0</v>
      </c>
      <c r="AB624" s="0" t="str">
        <f aca="false">IF(AND(C623=C624,Y623=Y624-1),Z623,"")</f>
        <v/>
      </c>
      <c r="AC624" s="0" t="str">
        <f aca="false">IF(AND(C623=C624,Y623=Y624-1),AA623,"")</f>
        <v/>
      </c>
      <c r="AD624" s="0" t="str">
        <f aca="false">IF(Y624=1,"",IF(AND(Z624=1,AB624&lt;&gt;1),1,0))</f>
        <v/>
      </c>
      <c r="AE624" s="0" t="str">
        <f aca="false">IF(Y624=1,"",IF(AND(AA624=1,AC624&lt;&gt;1),1,0))</f>
        <v/>
      </c>
      <c r="AF624" s="45" t="str">
        <f aca="false">IF(AND(E624&gt;0,Y624&lt;1,NOT(AND(C625=C624,Y625=Y624+1))),INDEX(DATAS,Y624+1),"")</f>
        <v/>
      </c>
      <c r="AG624" s="45" t="str">
        <f aca="false">IF(AND(AA624=1,Y624&lt;1),IF(AND(C625=C624,Y625=Y624+1),IF(AA625=1,"",INDEX(DATAS,Y624+1)),INDEX(DATAS,Y624+1)),"")</f>
        <v/>
      </c>
    </row>
    <row r="625" customFormat="false" ht="15" hidden="false" customHeight="false" outlineLevel="0" collapsed="false">
      <c r="A625" s="45" t="n">
        <v>46309</v>
      </c>
      <c r="B625" s="0" t="n">
        <v>5</v>
      </c>
      <c r="C625" s="0" t="n">
        <v>4474</v>
      </c>
      <c r="D625" s="0" t="n">
        <v>309</v>
      </c>
      <c r="E625" s="0" t="n">
        <v>2</v>
      </c>
      <c r="F625" s="39" t="s">
        <v>537</v>
      </c>
      <c r="G625" s="0" t="n">
        <v>46.1</v>
      </c>
      <c r="H625" s="0" t="n">
        <v>44</v>
      </c>
      <c r="I625" s="39" t="s">
        <v>138</v>
      </c>
      <c r="J625" s="0" t="n">
        <v>309</v>
      </c>
      <c r="K625" s="0" t="n">
        <v>78</v>
      </c>
      <c r="M625" s="0" t="n">
        <v>450.27</v>
      </c>
      <c r="N625" s="0" t="n">
        <v>31.85</v>
      </c>
      <c r="O625" s="0" t="n">
        <v>33.55</v>
      </c>
      <c r="P625" s="0" t="n">
        <v>3.75</v>
      </c>
      <c r="Q625" s="0" t="n">
        <v>3.72</v>
      </c>
      <c r="R625" s="0" t="n">
        <v>5371</v>
      </c>
      <c r="S625" s="0" t="n">
        <v>10204</v>
      </c>
      <c r="T625" s="0" t="n">
        <v>58.4</v>
      </c>
      <c r="U625" s="0" t="n">
        <v>1364</v>
      </c>
      <c r="V625" s="0" t="n">
        <v>6</v>
      </c>
      <c r="W625" s="39" t="n">
        <f aca="false">IF(I625="Male",0,1)</f>
        <v>1</v>
      </c>
      <c r="X625" s="39" t="n">
        <f aca="false">IF(OR(I625="DNB",I625="Dry DNB"),1,0)</f>
        <v>0</v>
      </c>
      <c r="Y625" s="39" t="n">
        <f aca="false">MATCH(A625,DATAS,0)</f>
        <v>1</v>
      </c>
      <c r="Z625" s="39" t="n">
        <f aca="false">IF(AND(E625&gt;0,OR(AND(B625&gt;=1,B625&lt;=6),B625=10)),1,0)</f>
        <v>1</v>
      </c>
      <c r="AA625" s="39" t="n">
        <f aca="false">IF(AND(E625&gt;0,B625=10),1,0)</f>
        <v>0</v>
      </c>
      <c r="AB625" s="0" t="str">
        <f aca="false">IF(AND(C624=C625,Y624=Y625-1),Z624,"")</f>
        <v/>
      </c>
      <c r="AC625" s="0" t="str">
        <f aca="false">IF(AND(C624=C625,Y624=Y625-1),AA624,"")</f>
        <v/>
      </c>
      <c r="AD625" s="0" t="str">
        <f aca="false">IF(Y625=1,"",IF(AND(Z625=1,AB625&lt;&gt;1),1,0))</f>
        <v/>
      </c>
      <c r="AE625" s="0" t="str">
        <f aca="false">IF(Y625=1,"",IF(AND(AA625=1,AC625&lt;&gt;1),1,0))</f>
        <v/>
      </c>
      <c r="AF625" s="45" t="str">
        <f aca="false">IF(AND(E625&gt;0,Y625&lt;1,NOT(AND(C626=C625,Y626=Y625+1))),INDEX(DATAS,Y625+1),"")</f>
        <v/>
      </c>
      <c r="AG625" s="45" t="str">
        <f aca="false">IF(AND(AA625=1,Y625&lt;1),IF(AND(C626=C625,Y626=Y625+1),IF(AA626=1,"",INDEX(DATAS,Y625+1)),INDEX(DATAS,Y625+1)),"")</f>
        <v/>
      </c>
    </row>
    <row r="626" customFormat="false" ht="15" hidden="false" customHeight="false" outlineLevel="0" collapsed="false">
      <c r="A626" s="45" t="n">
        <v>46309</v>
      </c>
      <c r="B626" s="0" t="n">
        <v>5</v>
      </c>
      <c r="C626" s="0" t="n">
        <v>4476</v>
      </c>
      <c r="D626" s="0" t="n">
        <v>262</v>
      </c>
      <c r="E626" s="0" t="n">
        <v>2</v>
      </c>
      <c r="F626" s="39" t="s">
        <v>538</v>
      </c>
      <c r="G626" s="0" t="n">
        <v>33.7</v>
      </c>
      <c r="H626" s="0" t="n">
        <v>32</v>
      </c>
      <c r="I626" s="39" t="s">
        <v>138</v>
      </c>
      <c r="J626" s="0" t="n">
        <v>262</v>
      </c>
      <c r="K626" s="0" t="n">
        <v>80</v>
      </c>
      <c r="M626" s="0" t="n">
        <v>1189.42</v>
      </c>
      <c r="N626" s="0" t="n">
        <v>14.95</v>
      </c>
      <c r="O626" s="0" t="n">
        <v>29.96</v>
      </c>
      <c r="P626" s="0" t="n">
        <v>2.56</v>
      </c>
      <c r="Q626" s="0" t="n">
        <v>3.82</v>
      </c>
      <c r="R626" s="0" t="n">
        <v>5665</v>
      </c>
      <c r="S626" s="0" t="n">
        <v>10799</v>
      </c>
      <c r="T626" s="0" t="n">
        <v>61.6</v>
      </c>
      <c r="U626" s="0" t="n">
        <v>1363</v>
      </c>
      <c r="V626" s="0" t="n">
        <v>5</v>
      </c>
      <c r="W626" s="39" t="n">
        <f aca="false">IF(I626="Male",0,1)</f>
        <v>1</v>
      </c>
      <c r="X626" s="39" t="n">
        <f aca="false">IF(OR(I626="DNB",I626="Dry DNB"),1,0)</f>
        <v>0</v>
      </c>
      <c r="Y626" s="39" t="n">
        <f aca="false">MATCH(A626,DATAS,0)</f>
        <v>1</v>
      </c>
      <c r="Z626" s="39" t="n">
        <f aca="false">IF(AND(E626&gt;0,OR(AND(B626&gt;=1,B626&lt;=6),B626=10)),1,0)</f>
        <v>1</v>
      </c>
      <c r="AA626" s="39" t="n">
        <f aca="false">IF(AND(E626&gt;0,B626=10),1,0)</f>
        <v>0</v>
      </c>
      <c r="AB626" s="0" t="str">
        <f aca="false">IF(AND(C625=C626,Y625=Y626-1),Z625,"")</f>
        <v/>
      </c>
      <c r="AC626" s="0" t="str">
        <f aca="false">IF(AND(C625=C626,Y625=Y626-1),AA625,"")</f>
        <v/>
      </c>
      <c r="AD626" s="0" t="str">
        <f aca="false">IF(Y626=1,"",IF(AND(Z626=1,AB626&lt;&gt;1),1,0))</f>
        <v/>
      </c>
      <c r="AE626" s="0" t="str">
        <f aca="false">IF(Y626=1,"",IF(AND(AA626=1,AC626&lt;&gt;1),1,0))</f>
        <v/>
      </c>
      <c r="AF626" s="45" t="str">
        <f aca="false">IF(AND(E626&gt;0,Y626&lt;1,NOT(AND(C627=C626,Y627=Y626+1))),INDEX(DATAS,Y626+1),"")</f>
        <v/>
      </c>
      <c r="AG626" s="45" t="str">
        <f aca="false">IF(AND(AA626=1,Y626&lt;1),IF(AND(C627=C626,Y627=Y626+1),IF(AA627=1,"",INDEX(DATAS,Y626+1)),INDEX(DATAS,Y626+1)),"")</f>
        <v/>
      </c>
    </row>
    <row r="627" customFormat="false" ht="15" hidden="false" customHeight="false" outlineLevel="0" collapsed="false">
      <c r="A627" s="45" t="n">
        <v>46309</v>
      </c>
      <c r="B627" s="0" t="n">
        <v>5</v>
      </c>
      <c r="C627" s="0" t="n">
        <v>4477</v>
      </c>
      <c r="D627" s="0" t="n">
        <v>313</v>
      </c>
      <c r="E627" s="0" t="n">
        <v>2</v>
      </c>
      <c r="F627" s="39" t="s">
        <v>538</v>
      </c>
      <c r="G627" s="0" t="n">
        <v>26.1</v>
      </c>
      <c r="H627" s="0" t="n">
        <v>25</v>
      </c>
      <c r="I627" s="39" t="s">
        <v>109</v>
      </c>
      <c r="J627" s="0" t="n">
        <v>96</v>
      </c>
      <c r="K627" s="0" t="n">
        <v>61</v>
      </c>
      <c r="L627" s="0" t="n">
        <v>217</v>
      </c>
      <c r="M627" s="0" t="n">
        <v>901.47</v>
      </c>
      <c r="N627" s="0" t="n">
        <v>66.05</v>
      </c>
      <c r="O627" s="0" t="n">
        <v>32.34</v>
      </c>
      <c r="P627" s="0" t="n">
        <v>5.29</v>
      </c>
      <c r="Q627" s="0" t="n">
        <v>4.43</v>
      </c>
      <c r="R627" s="0" t="n">
        <v>5217</v>
      </c>
      <c r="S627" s="0" t="n">
        <v>9688</v>
      </c>
      <c r="T627" s="0" t="n">
        <v>53.95</v>
      </c>
      <c r="U627" s="0" t="n">
        <v>1363</v>
      </c>
      <c r="V627" s="0" t="n">
        <v>2</v>
      </c>
      <c r="W627" s="39" t="n">
        <f aca="false">IF(I627="Male",0,1)</f>
        <v>1</v>
      </c>
      <c r="X627" s="39" t="n">
        <f aca="false">IF(OR(I627="DNB",I627="Dry DNB"),1,0)</f>
        <v>0</v>
      </c>
      <c r="Y627" s="39" t="n">
        <f aca="false">MATCH(A627,DATAS,0)</f>
        <v>1</v>
      </c>
      <c r="Z627" s="39" t="n">
        <f aca="false">IF(AND(E627&gt;0,OR(AND(B627&gt;=1,B627&lt;=6),B627=10)),1,0)</f>
        <v>1</v>
      </c>
      <c r="AA627" s="39" t="n">
        <f aca="false">IF(AND(E627&gt;0,B627=10),1,0)</f>
        <v>0</v>
      </c>
      <c r="AB627" s="0" t="str">
        <f aca="false">IF(AND(C626=C627,Y626=Y627-1),Z626,"")</f>
        <v/>
      </c>
      <c r="AC627" s="0" t="str">
        <f aca="false">IF(AND(C626=C627,Y626=Y627-1),AA626,"")</f>
        <v/>
      </c>
      <c r="AD627" s="0" t="str">
        <f aca="false">IF(Y627=1,"",IF(AND(Z627=1,AB627&lt;&gt;1),1,0))</f>
        <v/>
      </c>
      <c r="AE627" s="0" t="str">
        <f aca="false">IF(Y627=1,"",IF(AND(AA627=1,AC627&lt;&gt;1),1,0))</f>
        <v/>
      </c>
      <c r="AF627" s="45" t="str">
        <f aca="false">IF(AND(E627&gt;0,Y627&lt;1,NOT(AND(C628=C627,Y628=Y627+1))),INDEX(DATAS,Y627+1),"")</f>
        <v/>
      </c>
      <c r="AG627" s="45" t="str">
        <f aca="false">IF(AND(AA627=1,Y627&lt;1),IF(AND(C628=C627,Y628=Y627+1),IF(AA628=1,"",INDEX(DATAS,Y627+1)),INDEX(DATAS,Y627+1)),"")</f>
        <v/>
      </c>
    </row>
    <row r="628" customFormat="false" ht="15" hidden="false" customHeight="false" outlineLevel="0" collapsed="false">
      <c r="A628" s="45" t="n">
        <v>46309</v>
      </c>
      <c r="B628" s="0" t="n">
        <v>6</v>
      </c>
      <c r="C628" s="0" t="n">
        <v>4478</v>
      </c>
      <c r="D628" s="0" t="n">
        <v>180</v>
      </c>
      <c r="E628" s="0" t="n">
        <v>2</v>
      </c>
      <c r="F628" s="39" t="s">
        <v>538</v>
      </c>
      <c r="G628" s="0" t="n">
        <v>28.6</v>
      </c>
      <c r="H628" s="0" t="n">
        <v>25</v>
      </c>
      <c r="I628" s="39" t="s">
        <v>138</v>
      </c>
      <c r="J628" s="0" t="n">
        <v>180</v>
      </c>
      <c r="K628" s="0" t="n">
        <v>75</v>
      </c>
      <c r="M628" s="0" t="n">
        <v>816.81</v>
      </c>
      <c r="N628" s="0" t="n">
        <v>-0.75</v>
      </c>
      <c r="O628" s="0" t="n">
        <v>17.17</v>
      </c>
      <c r="P628" s="0" t="n">
        <v>4.67</v>
      </c>
      <c r="Q628" s="0" t="n">
        <v>3.42</v>
      </c>
      <c r="R628" s="0" t="n">
        <v>3428</v>
      </c>
      <c r="S628" s="0" t="n">
        <v>7108</v>
      </c>
      <c r="T628" s="0" t="n">
        <v>45.1</v>
      </c>
      <c r="U628" s="0" t="n">
        <v>1363</v>
      </c>
      <c r="V628" s="0" t="n">
        <v>3</v>
      </c>
      <c r="W628" s="39" t="n">
        <f aca="false">IF(I628="Male",0,1)</f>
        <v>1</v>
      </c>
      <c r="X628" s="39" t="n">
        <f aca="false">IF(OR(I628="DNB",I628="Dry DNB"),1,0)</f>
        <v>0</v>
      </c>
      <c r="Y628" s="39" t="n">
        <f aca="false">MATCH(A628,DATAS,0)</f>
        <v>1</v>
      </c>
      <c r="Z628" s="39" t="n">
        <f aca="false">IF(AND(E628&gt;0,OR(AND(B628&gt;=1,B628&lt;=6),B628=10)),1,0)</f>
        <v>1</v>
      </c>
      <c r="AA628" s="39" t="n">
        <f aca="false">IF(AND(E628&gt;0,B628=10),1,0)</f>
        <v>0</v>
      </c>
      <c r="AB628" s="0" t="str">
        <f aca="false">IF(AND(C627=C628,Y627=Y628-1),Z627,"")</f>
        <v/>
      </c>
      <c r="AC628" s="0" t="str">
        <f aca="false">IF(AND(C627=C628,Y627=Y628-1),AA627,"")</f>
        <v/>
      </c>
      <c r="AD628" s="0" t="str">
        <f aca="false">IF(Y628=1,"",IF(AND(Z628=1,AB628&lt;&gt;1),1,0))</f>
        <v/>
      </c>
      <c r="AE628" s="0" t="str">
        <f aca="false">IF(Y628=1,"",IF(AND(AA628=1,AC628&lt;&gt;1),1,0))</f>
        <v/>
      </c>
      <c r="AF628" s="45" t="str">
        <f aca="false">IF(AND(E628&gt;0,Y628&lt;1,NOT(AND(C629=C628,Y629=Y628+1))),INDEX(DATAS,Y628+1),"")</f>
        <v/>
      </c>
      <c r="AG628" s="45" t="str">
        <f aca="false">IF(AND(AA628=1,Y628&lt;1),IF(AND(C629=C628,Y629=Y628+1),IF(AA629=1,"",INDEX(DATAS,Y628+1)),INDEX(DATAS,Y628+1)),"")</f>
        <v/>
      </c>
    </row>
    <row r="629" customFormat="false" ht="15" hidden="false" customHeight="false" outlineLevel="0" collapsed="false">
      <c r="A629" s="45" t="n">
        <v>46309</v>
      </c>
      <c r="B629" s="0" t="n">
        <v>7</v>
      </c>
      <c r="C629" s="0" t="n">
        <v>4481</v>
      </c>
      <c r="D629" s="0" t="n">
        <v>735</v>
      </c>
      <c r="E629" s="0" t="n">
        <v>1</v>
      </c>
      <c r="F629" s="39" t="s">
        <v>539</v>
      </c>
      <c r="I629" s="39" t="s">
        <v>109</v>
      </c>
      <c r="J629" s="0" t="n">
        <v>525</v>
      </c>
      <c r="K629" s="0" t="n">
        <v>71</v>
      </c>
      <c r="L629" s="0" t="n">
        <v>210</v>
      </c>
      <c r="M629" s="0" t="n">
        <v>685.32</v>
      </c>
      <c r="N629" s="0" t="n">
        <v>30.18</v>
      </c>
      <c r="O629" s="0" t="n">
        <v>35.12</v>
      </c>
      <c r="P629" s="0" t="n">
        <v>5</v>
      </c>
      <c r="Q629" s="0" t="n">
        <v>3.68</v>
      </c>
      <c r="R629" s="0" t="n">
        <v>4035</v>
      </c>
      <c r="S629" s="0" t="n">
        <v>9152</v>
      </c>
      <c r="T629" s="0" t="n">
        <v>55.6</v>
      </c>
      <c r="U629" s="0" t="n">
        <v>1362</v>
      </c>
      <c r="V629" s="0" t="n">
        <v>17</v>
      </c>
      <c r="W629" s="39" t="n">
        <f aca="false">IF(I629="Male",0,1)</f>
        <v>1</v>
      </c>
      <c r="X629" s="39" t="n">
        <f aca="false">IF(OR(I629="DNB",I629="Dry DNB"),1,0)</f>
        <v>0</v>
      </c>
      <c r="Y629" s="39" t="n">
        <f aca="false">MATCH(A629,DATAS,0)</f>
        <v>1</v>
      </c>
      <c r="Z629" s="39" t="n">
        <f aca="false">IF(AND(E629&gt;0,OR(AND(B629&gt;=1,B629&lt;=6),B629=10)),1,0)</f>
        <v>0</v>
      </c>
      <c r="AA629" s="39" t="n">
        <f aca="false">IF(AND(E629&gt;0,B629=10),1,0)</f>
        <v>0</v>
      </c>
      <c r="AB629" s="0" t="str">
        <f aca="false">IF(AND(C628=C629,Y628=Y629-1),Z628,"")</f>
        <v/>
      </c>
      <c r="AC629" s="0" t="str">
        <f aca="false">IF(AND(C628=C629,Y628=Y629-1),AA628,"")</f>
        <v/>
      </c>
      <c r="AD629" s="0" t="str">
        <f aca="false">IF(Y629=1,"",IF(AND(Z629=1,AB629&lt;&gt;1),1,0))</f>
        <v/>
      </c>
      <c r="AE629" s="0" t="str">
        <f aca="false">IF(Y629=1,"",IF(AND(AA629=1,AC629&lt;&gt;1),1,0))</f>
        <v/>
      </c>
      <c r="AF629" s="45" t="str">
        <f aca="false">IF(AND(E629&gt;0,Y629&lt;1,NOT(AND(C630=C629,Y630=Y629+1))),INDEX(DATAS,Y629+1),"")</f>
        <v/>
      </c>
      <c r="AG629" s="45" t="str">
        <f aca="false">IF(AND(AA629=1,Y629&lt;1),IF(AND(C630=C629,Y630=Y629+1),IF(AA630=1,"",INDEX(DATAS,Y629+1)),INDEX(DATAS,Y629+1)),"")</f>
        <v/>
      </c>
    </row>
    <row r="630" customFormat="false" ht="15" hidden="false" customHeight="false" outlineLevel="0" collapsed="false">
      <c r="A630" s="45" t="n">
        <v>46309</v>
      </c>
      <c r="B630" s="0" t="n">
        <v>2</v>
      </c>
      <c r="C630" s="0" t="n">
        <v>4483</v>
      </c>
      <c r="D630" s="0" t="n">
        <v>184</v>
      </c>
      <c r="E630" s="0" t="n">
        <v>2</v>
      </c>
      <c r="F630" s="39" t="s">
        <v>539</v>
      </c>
      <c r="G630" s="0" t="n">
        <v>40</v>
      </c>
      <c r="H630" s="0" t="n">
        <v>43</v>
      </c>
      <c r="I630" s="39" t="s">
        <v>109</v>
      </c>
      <c r="J630" s="0" t="n">
        <v>65</v>
      </c>
      <c r="K630" s="0" t="n">
        <v>65</v>
      </c>
      <c r="L630" s="0" t="n">
        <v>119</v>
      </c>
      <c r="M630" s="0" t="n">
        <v>891.66</v>
      </c>
      <c r="N630" s="0" t="n">
        <v>34.51</v>
      </c>
      <c r="O630" s="0" t="n">
        <v>32.88</v>
      </c>
      <c r="P630" s="0" t="n">
        <v>3.77</v>
      </c>
      <c r="Q630" s="0" t="n">
        <v>3.36</v>
      </c>
      <c r="R630" s="0" t="n">
        <v>5670</v>
      </c>
      <c r="S630" s="0" t="n">
        <v>11521</v>
      </c>
      <c r="T630" s="0" t="n">
        <v>61.65</v>
      </c>
      <c r="U630" s="0" t="n">
        <v>1362</v>
      </c>
      <c r="V630" s="0" t="n">
        <v>1</v>
      </c>
      <c r="W630" s="39" t="n">
        <f aca="false">IF(I630="Male",0,1)</f>
        <v>1</v>
      </c>
      <c r="X630" s="39" t="n">
        <f aca="false">IF(OR(I630="DNB",I630="Dry DNB"),1,0)</f>
        <v>0</v>
      </c>
      <c r="Y630" s="39" t="n">
        <f aca="false">MATCH(A630,DATAS,0)</f>
        <v>1</v>
      </c>
      <c r="Z630" s="39" t="n">
        <f aca="false">IF(AND(E630&gt;0,OR(AND(B630&gt;=1,B630&lt;=6),B630=10)),1,0)</f>
        <v>1</v>
      </c>
      <c r="AA630" s="39" t="n">
        <f aca="false">IF(AND(E630&gt;0,B630=10),1,0)</f>
        <v>0</v>
      </c>
      <c r="AB630" s="0" t="str">
        <f aca="false">IF(AND(C629=C630,Y629=Y630-1),Z629,"")</f>
        <v/>
      </c>
      <c r="AC630" s="0" t="str">
        <f aca="false">IF(AND(C629=C630,Y629=Y630-1),AA629,"")</f>
        <v/>
      </c>
      <c r="AD630" s="0" t="str">
        <f aca="false">IF(Y630=1,"",IF(AND(Z630=1,AB630&lt;&gt;1),1,0))</f>
        <v/>
      </c>
      <c r="AE630" s="0" t="str">
        <f aca="false">IF(Y630=1,"",IF(AND(AA630=1,AC630&lt;&gt;1),1,0))</f>
        <v/>
      </c>
      <c r="AF630" s="45" t="str">
        <f aca="false">IF(AND(E630&gt;0,Y630&lt;1,NOT(AND(C631=C630,Y631=Y630+1))),INDEX(DATAS,Y630+1),"")</f>
        <v/>
      </c>
      <c r="AG630" s="45" t="str">
        <f aca="false">IF(AND(AA630=1,Y630&lt;1),IF(AND(C631=C630,Y631=Y630+1),IF(AA631=1,"",INDEX(DATAS,Y630+1)),INDEX(DATAS,Y630+1)),"")</f>
        <v/>
      </c>
    </row>
    <row r="631" customFormat="false" ht="15" hidden="false" customHeight="false" outlineLevel="0" collapsed="false">
      <c r="A631" s="45" t="n">
        <v>46309</v>
      </c>
      <c r="B631" s="0" t="n">
        <v>7</v>
      </c>
      <c r="C631" s="0" t="n">
        <v>4484</v>
      </c>
      <c r="D631" s="0" t="n">
        <v>292</v>
      </c>
      <c r="E631" s="0" t="n">
        <v>2</v>
      </c>
      <c r="F631" s="39" t="s">
        <v>539</v>
      </c>
      <c r="I631" s="39" t="s">
        <v>114</v>
      </c>
      <c r="J631" s="0" t="n">
        <v>69</v>
      </c>
      <c r="K631" s="0" t="n">
        <v>69</v>
      </c>
      <c r="L631" s="0" t="n">
        <v>273</v>
      </c>
      <c r="M631" s="0" t="n">
        <v>676.84</v>
      </c>
      <c r="N631" s="0" t="n">
        <v>68.78</v>
      </c>
      <c r="O631" s="0" t="n">
        <v>48.88</v>
      </c>
      <c r="P631" s="0" t="n">
        <v>6.36</v>
      </c>
      <c r="Q631" s="0" t="n">
        <v>4.52</v>
      </c>
      <c r="R631" s="0" t="n">
        <v>5084</v>
      </c>
      <c r="S631" s="0" t="n">
        <v>10449</v>
      </c>
      <c r="T631" s="0" t="n">
        <v>53.65</v>
      </c>
      <c r="U631" s="0" t="n">
        <v>1362</v>
      </c>
      <c r="V631" s="0" t="n">
        <v>1</v>
      </c>
      <c r="W631" s="39" t="n">
        <f aca="false">IF(I631="Male",0,1)</f>
        <v>1</v>
      </c>
      <c r="X631" s="39" t="n">
        <f aca="false">IF(OR(I631="DNB",I631="Dry DNB"),1,0)</f>
        <v>0</v>
      </c>
      <c r="Y631" s="39" t="n">
        <f aca="false">MATCH(A631,DATAS,0)</f>
        <v>1</v>
      </c>
      <c r="Z631" s="39" t="n">
        <f aca="false">IF(AND(E631&gt;0,OR(AND(B631&gt;=1,B631&lt;=6),B631=10)),1,0)</f>
        <v>0</v>
      </c>
      <c r="AA631" s="39" t="n">
        <f aca="false">IF(AND(E631&gt;0,B631=10),1,0)</f>
        <v>0</v>
      </c>
      <c r="AB631" s="0" t="str">
        <f aca="false">IF(AND(C630=C631,Y630=Y631-1),Z630,"")</f>
        <v/>
      </c>
      <c r="AC631" s="0" t="str">
        <f aca="false">IF(AND(C630=C631,Y630=Y631-1),AA630,"")</f>
        <v/>
      </c>
      <c r="AD631" s="0" t="str">
        <f aca="false">IF(Y631=1,"",IF(AND(Z631=1,AB631&lt;&gt;1),1,0))</f>
        <v/>
      </c>
      <c r="AE631" s="0" t="str">
        <f aca="false">IF(Y631=1,"",IF(AND(AA631=1,AC631&lt;&gt;1),1,0))</f>
        <v/>
      </c>
      <c r="AF631" s="45" t="str">
        <f aca="false">IF(AND(E631&gt;0,Y631&lt;1,NOT(AND(C632=C631,Y632=Y631+1))),INDEX(DATAS,Y631+1),"")</f>
        <v/>
      </c>
      <c r="AG631" s="45" t="str">
        <f aca="false">IF(AND(AA631=1,Y631&lt;1),IF(AND(C632=C631,Y632=Y631+1),IF(AA632=1,"",INDEX(DATAS,Y631+1)),INDEX(DATAS,Y631+1)),"")</f>
        <v/>
      </c>
    </row>
    <row r="632" customFormat="false" ht="15" hidden="false" customHeight="false" outlineLevel="0" collapsed="false">
      <c r="A632" s="45" t="n">
        <v>46309</v>
      </c>
      <c r="B632" s="0" t="n">
        <v>7</v>
      </c>
      <c r="C632" s="0" t="n">
        <v>4485</v>
      </c>
      <c r="D632" s="0" t="n">
        <v>381</v>
      </c>
      <c r="E632" s="0" t="n">
        <v>2</v>
      </c>
      <c r="F632" s="39" t="s">
        <v>540</v>
      </c>
      <c r="I632" s="39" t="s">
        <v>114</v>
      </c>
      <c r="J632" s="0" t="n">
        <v>158</v>
      </c>
      <c r="K632" s="0" t="n">
        <v>67</v>
      </c>
      <c r="L632" s="0" t="n">
        <v>245</v>
      </c>
      <c r="M632" s="0" t="n">
        <v>836.79</v>
      </c>
      <c r="N632" s="0" t="n">
        <v>45.33</v>
      </c>
      <c r="O632" s="0" t="n">
        <v>30.57</v>
      </c>
      <c r="P632" s="0" t="n">
        <v>4.9</v>
      </c>
      <c r="Q632" s="0" t="n">
        <v>3.87</v>
      </c>
      <c r="R632" s="0" t="n">
        <v>6285</v>
      </c>
      <c r="S632" s="0" t="n">
        <v>12118</v>
      </c>
      <c r="T632" s="0" t="n">
        <v>70.45</v>
      </c>
      <c r="U632" s="0" t="n">
        <v>1361</v>
      </c>
      <c r="V632" s="0" t="n">
        <v>4</v>
      </c>
      <c r="W632" s="39" t="n">
        <f aca="false">IF(I632="Male",0,1)</f>
        <v>1</v>
      </c>
      <c r="X632" s="39" t="n">
        <f aca="false">IF(OR(I632="DNB",I632="Dry DNB"),1,0)</f>
        <v>0</v>
      </c>
      <c r="Y632" s="39" t="n">
        <f aca="false">MATCH(A632,DATAS,0)</f>
        <v>1</v>
      </c>
      <c r="Z632" s="39" t="n">
        <f aca="false">IF(AND(E632&gt;0,OR(AND(B632&gt;=1,B632&lt;=6),B632=10)),1,0)</f>
        <v>0</v>
      </c>
      <c r="AA632" s="39" t="n">
        <f aca="false">IF(AND(E632&gt;0,B632=10),1,0)</f>
        <v>0</v>
      </c>
      <c r="AB632" s="0" t="str">
        <f aca="false">IF(AND(C631=C632,Y631=Y632-1),Z631,"")</f>
        <v/>
      </c>
      <c r="AC632" s="0" t="str">
        <f aca="false">IF(AND(C631=C632,Y631=Y632-1),AA631,"")</f>
        <v/>
      </c>
      <c r="AD632" s="0" t="str">
        <f aca="false">IF(Y632=1,"",IF(AND(Z632=1,AB632&lt;&gt;1),1,0))</f>
        <v/>
      </c>
      <c r="AE632" s="0" t="str">
        <f aca="false">IF(Y632=1,"",IF(AND(AA632=1,AC632&lt;&gt;1),1,0))</f>
        <v/>
      </c>
      <c r="AF632" s="45" t="str">
        <f aca="false">IF(AND(E632&gt;0,Y632&lt;1,NOT(AND(C633=C632,Y633=Y632+1))),INDEX(DATAS,Y632+1),"")</f>
        <v/>
      </c>
      <c r="AG632" s="45" t="str">
        <f aca="false">IF(AND(AA632=1,Y632&lt;1),IF(AND(C633=C632,Y633=Y632+1),IF(AA633=1,"",INDEX(DATAS,Y632+1)),INDEX(DATAS,Y632+1)),"")</f>
        <v/>
      </c>
    </row>
    <row r="633" customFormat="false" ht="15" hidden="false" customHeight="false" outlineLevel="0" collapsed="false">
      <c r="A633" s="45" t="n">
        <v>46309</v>
      </c>
      <c r="B633" s="0" t="n">
        <v>7</v>
      </c>
      <c r="C633" s="0" t="n">
        <v>4488</v>
      </c>
      <c r="D633" s="0" t="n">
        <v>319</v>
      </c>
      <c r="E633" s="0" t="n">
        <v>2</v>
      </c>
      <c r="F633" s="39" t="s">
        <v>541</v>
      </c>
      <c r="G633" s="0" t="n">
        <v>9</v>
      </c>
      <c r="H633" s="0" t="n">
        <v>19</v>
      </c>
      <c r="I633" s="39" t="s">
        <v>114</v>
      </c>
      <c r="J633" s="0" t="n">
        <v>124</v>
      </c>
      <c r="K633" s="0" t="n">
        <v>68</v>
      </c>
      <c r="L633" s="0" t="n">
        <v>196</v>
      </c>
      <c r="M633" s="0" t="n">
        <v>-210.05</v>
      </c>
      <c r="N633" s="0" t="n">
        <v>46.8</v>
      </c>
      <c r="O633" s="0" t="n">
        <v>19.76</v>
      </c>
      <c r="P633" s="0" t="n">
        <v>5.61</v>
      </c>
      <c r="Q633" s="0" t="n">
        <v>4.28</v>
      </c>
      <c r="R633" s="0" t="n">
        <v>5469</v>
      </c>
      <c r="S633" s="0" t="n">
        <v>9563</v>
      </c>
      <c r="T633" s="0" t="n">
        <v>59.25</v>
      </c>
      <c r="U633" s="0" t="n">
        <v>1360</v>
      </c>
      <c r="V633" s="0" t="n">
        <v>2</v>
      </c>
      <c r="W633" s="39" t="n">
        <f aca="false">IF(I633="Male",0,1)</f>
        <v>1</v>
      </c>
      <c r="X633" s="39" t="n">
        <f aca="false">IF(OR(I633="DNB",I633="Dry DNB"),1,0)</f>
        <v>0</v>
      </c>
      <c r="Y633" s="39" t="n">
        <f aca="false">MATCH(A633,DATAS,0)</f>
        <v>1</v>
      </c>
      <c r="Z633" s="39" t="n">
        <f aca="false">IF(AND(E633&gt;0,OR(AND(B633&gt;=1,B633&lt;=6),B633=10)),1,0)</f>
        <v>0</v>
      </c>
      <c r="AA633" s="39" t="n">
        <f aca="false">IF(AND(E633&gt;0,B633=10),1,0)</f>
        <v>0</v>
      </c>
      <c r="AB633" s="0" t="str">
        <f aca="false">IF(AND(C632=C633,Y632=Y633-1),Z632,"")</f>
        <v/>
      </c>
      <c r="AC633" s="0" t="str">
        <f aca="false">IF(AND(C632=C633,Y632=Y633-1),AA632,"")</f>
        <v/>
      </c>
      <c r="AD633" s="0" t="str">
        <f aca="false">IF(Y633=1,"",IF(AND(Z633=1,AB633&lt;&gt;1),1,0))</f>
        <v/>
      </c>
      <c r="AE633" s="0" t="str">
        <f aca="false">IF(Y633=1,"",IF(AND(AA633=1,AC633&lt;&gt;1),1,0))</f>
        <v/>
      </c>
      <c r="AF633" s="45" t="str">
        <f aca="false">IF(AND(E633&gt;0,Y633&lt;1,NOT(AND(C634=C633,Y634=Y633+1))),INDEX(DATAS,Y633+1),"")</f>
        <v/>
      </c>
      <c r="AG633" s="45" t="str">
        <f aca="false">IF(AND(AA633=1,Y633&lt;1),IF(AND(C634=C633,Y634=Y633+1),IF(AA634=1,"",INDEX(DATAS,Y633+1)),INDEX(DATAS,Y633+1)),"")</f>
        <v/>
      </c>
    </row>
    <row r="634" customFormat="false" ht="15" hidden="false" customHeight="false" outlineLevel="0" collapsed="false">
      <c r="A634" s="45" t="n">
        <v>46309</v>
      </c>
      <c r="B634" s="0" t="n">
        <v>5</v>
      </c>
      <c r="C634" s="0" t="n">
        <v>4489</v>
      </c>
      <c r="D634" s="0" t="n">
        <v>306</v>
      </c>
      <c r="E634" s="0" t="n">
        <v>2</v>
      </c>
      <c r="F634" s="39" t="s">
        <v>542</v>
      </c>
      <c r="G634" s="0" t="n">
        <v>38.8</v>
      </c>
      <c r="H634" s="0" t="n">
        <v>37</v>
      </c>
      <c r="I634" s="39" t="s">
        <v>109</v>
      </c>
      <c r="J634" s="0" t="n">
        <v>145</v>
      </c>
      <c r="K634" s="0" t="n">
        <v>68</v>
      </c>
      <c r="L634" s="0" t="n">
        <v>161</v>
      </c>
      <c r="M634" s="0" t="n">
        <v>725.92</v>
      </c>
      <c r="N634" s="0" t="n">
        <v>20.43</v>
      </c>
      <c r="O634" s="0" t="n">
        <v>17.03</v>
      </c>
      <c r="P634" s="0" t="n">
        <v>3.73</v>
      </c>
      <c r="Q634" s="0" t="n">
        <v>3.35</v>
      </c>
      <c r="R634" s="0" t="n">
        <v>4801</v>
      </c>
      <c r="S634" s="0" t="n">
        <v>10388</v>
      </c>
      <c r="T634" s="0" t="n">
        <v>55.5</v>
      </c>
      <c r="U634" s="0" t="n">
        <v>1359</v>
      </c>
      <c r="V634" s="0" t="n">
        <v>3</v>
      </c>
      <c r="W634" s="39" t="n">
        <f aca="false">IF(I634="Male",0,1)</f>
        <v>1</v>
      </c>
      <c r="X634" s="39" t="n">
        <f aca="false">IF(OR(I634="DNB",I634="Dry DNB"),1,0)</f>
        <v>0</v>
      </c>
      <c r="Y634" s="39" t="n">
        <f aca="false">MATCH(A634,DATAS,0)</f>
        <v>1</v>
      </c>
      <c r="Z634" s="39" t="n">
        <f aca="false">IF(AND(E634&gt;0,OR(AND(B634&gt;=1,B634&lt;=6),B634=10)),1,0)</f>
        <v>1</v>
      </c>
      <c r="AA634" s="39" t="n">
        <f aca="false">IF(AND(E634&gt;0,B634=10),1,0)</f>
        <v>0</v>
      </c>
      <c r="AB634" s="0" t="str">
        <f aca="false">IF(AND(C633=C634,Y633=Y634-1),Z633,"")</f>
        <v/>
      </c>
      <c r="AC634" s="0" t="str">
        <f aca="false">IF(AND(C633=C634,Y633=Y634-1),AA633,"")</f>
        <v/>
      </c>
      <c r="AD634" s="0" t="str">
        <f aca="false">IF(Y634=1,"",IF(AND(Z634=1,AB634&lt;&gt;1),1,0))</f>
        <v/>
      </c>
      <c r="AE634" s="0" t="str">
        <f aca="false">IF(Y634=1,"",IF(AND(AA634=1,AC634&lt;&gt;1),1,0))</f>
        <v/>
      </c>
      <c r="AF634" s="45" t="str">
        <f aca="false">IF(AND(E634&gt;0,Y634&lt;1,NOT(AND(C635=C634,Y635=Y634+1))),INDEX(DATAS,Y634+1),"")</f>
        <v/>
      </c>
      <c r="AG634" s="45" t="str">
        <f aca="false">IF(AND(AA634=1,Y634&lt;1),IF(AND(C635=C634,Y635=Y634+1),IF(AA635=1,"",INDEX(DATAS,Y634+1)),INDEX(DATAS,Y634+1)),"")</f>
        <v/>
      </c>
    </row>
    <row r="635" customFormat="false" ht="15" hidden="false" customHeight="false" outlineLevel="0" collapsed="false">
      <c r="A635" s="45" t="n">
        <v>46309</v>
      </c>
      <c r="B635" s="0" t="n">
        <v>2</v>
      </c>
      <c r="C635" s="0" t="n">
        <v>4490</v>
      </c>
      <c r="D635" s="0" t="n">
        <v>49</v>
      </c>
      <c r="E635" s="0" t="n">
        <v>3</v>
      </c>
      <c r="F635" s="39" t="s">
        <v>542</v>
      </c>
      <c r="G635" s="0" t="n">
        <v>60.8</v>
      </c>
      <c r="H635" s="0" t="n">
        <v>57</v>
      </c>
      <c r="I635" s="39" t="s">
        <v>118</v>
      </c>
      <c r="J635" s="0" t="n">
        <v>49</v>
      </c>
      <c r="M635" s="0" t="n">
        <v>1000.09</v>
      </c>
      <c r="N635" s="0" t="n">
        <v>39.58</v>
      </c>
      <c r="O635" s="0" t="n">
        <v>31.55</v>
      </c>
      <c r="P635" s="0" t="n">
        <v>3.9</v>
      </c>
      <c r="Q635" s="0" t="n">
        <v>3.28</v>
      </c>
      <c r="R635" s="0" t="n">
        <v>4683</v>
      </c>
      <c r="S635" s="0" t="n">
        <v>9414</v>
      </c>
      <c r="U635" s="0" t="n">
        <v>1359</v>
      </c>
      <c r="V635" s="0" t="n">
        <v>0</v>
      </c>
      <c r="W635" s="39" t="n">
        <f aca="false">IF(I635="Male",0,1)</f>
        <v>1</v>
      </c>
      <c r="X635" s="39" t="n">
        <f aca="false">IF(OR(I635="DNB",I635="Dry DNB"),1,0)</f>
        <v>0</v>
      </c>
      <c r="Y635" s="39" t="n">
        <f aca="false">MATCH(A635,DATAS,0)</f>
        <v>1</v>
      </c>
      <c r="Z635" s="39" t="n">
        <f aca="false">IF(AND(E635&gt;0,OR(AND(B635&gt;=1,B635&lt;=6),B635=10)),1,0)</f>
        <v>1</v>
      </c>
      <c r="AA635" s="39" t="n">
        <f aca="false">IF(AND(E635&gt;0,B635=10),1,0)</f>
        <v>0</v>
      </c>
      <c r="AB635" s="0" t="str">
        <f aca="false">IF(AND(C634=C635,Y634=Y635-1),Z634,"")</f>
        <v/>
      </c>
      <c r="AC635" s="0" t="str">
        <f aca="false">IF(AND(C634=C635,Y634=Y635-1),AA634,"")</f>
        <v/>
      </c>
      <c r="AD635" s="0" t="str">
        <f aca="false">IF(Y635=1,"",IF(AND(Z635=1,AB635&lt;&gt;1),1,0))</f>
        <v/>
      </c>
      <c r="AE635" s="0" t="str">
        <f aca="false">IF(Y635=1,"",IF(AND(AA635=1,AC635&lt;&gt;1),1,0))</f>
        <v/>
      </c>
      <c r="AF635" s="45" t="str">
        <f aca="false">IF(AND(E635&gt;0,Y635&lt;1,NOT(AND(C636=C635,Y636=Y635+1))),INDEX(DATAS,Y635+1),"")</f>
        <v/>
      </c>
      <c r="AG635" s="45" t="str">
        <f aca="false">IF(AND(AA635=1,Y635&lt;1),IF(AND(C636=C635,Y636=Y635+1),IF(AA636=1,"",INDEX(DATAS,Y635+1)),INDEX(DATAS,Y635+1)),"")</f>
        <v/>
      </c>
    </row>
    <row r="636" customFormat="false" ht="15" hidden="false" customHeight="false" outlineLevel="0" collapsed="false">
      <c r="A636" s="45" t="n">
        <v>46309</v>
      </c>
      <c r="B636" s="0" t="n">
        <v>2</v>
      </c>
      <c r="C636" s="0" t="n">
        <v>4491</v>
      </c>
      <c r="D636" s="0" t="n">
        <v>11</v>
      </c>
      <c r="E636" s="0" t="n">
        <v>3</v>
      </c>
      <c r="F636" s="39" t="s">
        <v>542</v>
      </c>
      <c r="G636" s="0" t="n">
        <v>36.2</v>
      </c>
      <c r="H636" s="0" t="n">
        <v>32</v>
      </c>
      <c r="I636" s="39" t="s">
        <v>118</v>
      </c>
      <c r="J636" s="0" t="n">
        <v>11</v>
      </c>
      <c r="M636" s="0" t="n">
        <v>538.34</v>
      </c>
      <c r="N636" s="0" t="n">
        <v>45.5</v>
      </c>
      <c r="O636" s="0" t="n">
        <v>35.31</v>
      </c>
      <c r="R636" s="0" t="n">
        <v>2541</v>
      </c>
      <c r="S636" s="0" t="n">
        <v>5107</v>
      </c>
      <c r="U636" s="0" t="n">
        <v>1359</v>
      </c>
      <c r="V636" s="0" t="n">
        <v>0</v>
      </c>
      <c r="W636" s="39" t="n">
        <f aca="false">IF(I636="Male",0,1)</f>
        <v>1</v>
      </c>
      <c r="X636" s="39" t="n">
        <f aca="false">IF(OR(I636="DNB",I636="Dry DNB"),1,0)</f>
        <v>0</v>
      </c>
      <c r="Y636" s="39" t="n">
        <f aca="false">MATCH(A636,DATAS,0)</f>
        <v>1</v>
      </c>
      <c r="Z636" s="39" t="n">
        <f aca="false">IF(AND(E636&gt;0,OR(AND(B636&gt;=1,B636&lt;=6),B636=10)),1,0)</f>
        <v>1</v>
      </c>
      <c r="AA636" s="39" t="n">
        <f aca="false">IF(AND(E636&gt;0,B636=10),1,0)</f>
        <v>0</v>
      </c>
      <c r="AB636" s="0" t="str">
        <f aca="false">IF(AND(C635=C636,Y635=Y636-1),Z635,"")</f>
        <v/>
      </c>
      <c r="AC636" s="0" t="str">
        <f aca="false">IF(AND(C635=C636,Y635=Y636-1),AA635,"")</f>
        <v/>
      </c>
      <c r="AD636" s="0" t="str">
        <f aca="false">IF(Y636=1,"",IF(AND(Z636=1,AB636&lt;&gt;1),1,0))</f>
        <v/>
      </c>
      <c r="AE636" s="0" t="str">
        <f aca="false">IF(Y636=1,"",IF(AND(AA636=1,AC636&lt;&gt;1),1,0))</f>
        <v/>
      </c>
      <c r="AF636" s="45" t="str">
        <f aca="false">IF(AND(E636&gt;0,Y636&lt;1,NOT(AND(C637=C636,Y637=Y636+1))),INDEX(DATAS,Y636+1),"")</f>
        <v/>
      </c>
      <c r="AG636" s="45" t="str">
        <f aca="false">IF(AND(AA636=1,Y636&lt;1),IF(AND(C637=C636,Y637=Y636+1),IF(AA637=1,"",INDEX(DATAS,Y636+1)),INDEX(DATAS,Y636+1)),"")</f>
        <v/>
      </c>
    </row>
    <row r="637" customFormat="false" ht="15" hidden="false" customHeight="false" outlineLevel="0" collapsed="false">
      <c r="A637" s="45" t="n">
        <v>46309</v>
      </c>
      <c r="B637" s="0" t="n">
        <v>6</v>
      </c>
      <c r="C637" s="0" t="n">
        <v>4492</v>
      </c>
      <c r="D637" s="0" t="n">
        <v>264</v>
      </c>
      <c r="E637" s="0" t="n">
        <v>2</v>
      </c>
      <c r="F637" s="39" t="s">
        <v>543</v>
      </c>
      <c r="G637" s="0" t="n">
        <v>29</v>
      </c>
      <c r="H637" s="0" t="n">
        <v>25</v>
      </c>
      <c r="I637" s="39" t="s">
        <v>109</v>
      </c>
      <c r="J637" s="0" t="n">
        <v>68</v>
      </c>
      <c r="K637" s="0" t="n">
        <v>68</v>
      </c>
      <c r="L637" s="0" t="n">
        <v>196</v>
      </c>
      <c r="M637" s="0" t="n">
        <v>755.7</v>
      </c>
      <c r="N637" s="0" t="n">
        <v>17.83</v>
      </c>
      <c r="O637" s="0" t="n">
        <v>24.51</v>
      </c>
      <c r="P637" s="0" t="n">
        <v>3.05</v>
      </c>
      <c r="Q637" s="0" t="n">
        <v>3.22</v>
      </c>
      <c r="R637" s="0" t="n">
        <v>4882</v>
      </c>
      <c r="S637" s="0" t="n">
        <v>9746</v>
      </c>
      <c r="T637" s="0" t="n">
        <v>57.9</v>
      </c>
      <c r="U637" s="0" t="n">
        <v>1358</v>
      </c>
      <c r="V637" s="0" t="n">
        <v>1</v>
      </c>
      <c r="W637" s="39" t="n">
        <f aca="false">IF(I637="Male",0,1)</f>
        <v>1</v>
      </c>
      <c r="X637" s="39" t="n">
        <f aca="false">IF(OR(I637="DNB",I637="Dry DNB"),1,0)</f>
        <v>0</v>
      </c>
      <c r="Y637" s="39" t="n">
        <f aca="false">MATCH(A637,DATAS,0)</f>
        <v>1</v>
      </c>
      <c r="Z637" s="39" t="n">
        <f aca="false">IF(AND(E637&gt;0,OR(AND(B637&gt;=1,B637&lt;=6),B637=10)),1,0)</f>
        <v>1</v>
      </c>
      <c r="AA637" s="39" t="n">
        <f aca="false">IF(AND(E637&gt;0,B637=10),1,0)</f>
        <v>0</v>
      </c>
      <c r="AB637" s="0" t="str">
        <f aca="false">IF(AND(C636=C637,Y636=Y637-1),Z636,"")</f>
        <v/>
      </c>
      <c r="AC637" s="0" t="str">
        <f aca="false">IF(AND(C636=C637,Y636=Y637-1),AA636,"")</f>
        <v/>
      </c>
      <c r="AD637" s="0" t="str">
        <f aca="false">IF(Y637=1,"",IF(AND(Z637=1,AB637&lt;&gt;1),1,0))</f>
        <v/>
      </c>
      <c r="AE637" s="0" t="str">
        <f aca="false">IF(Y637=1,"",IF(AND(AA637=1,AC637&lt;&gt;1),1,0))</f>
        <v/>
      </c>
      <c r="AF637" s="45" t="str">
        <f aca="false">IF(AND(E637&gt;0,Y637&lt;1,NOT(AND(C638=C637,Y638=Y637+1))),INDEX(DATAS,Y637+1),"")</f>
        <v/>
      </c>
      <c r="AG637" s="45" t="str">
        <f aca="false">IF(AND(AA637=1,Y637&lt;1),IF(AND(C638=C637,Y638=Y637+1),IF(AA638=1,"",INDEX(DATAS,Y637+1)),INDEX(DATAS,Y637+1)),"")</f>
        <v/>
      </c>
    </row>
    <row r="638" customFormat="false" ht="15" hidden="false" customHeight="false" outlineLevel="0" collapsed="false">
      <c r="A638" s="45" t="n">
        <v>46309</v>
      </c>
      <c r="B638" s="0" t="n">
        <v>5</v>
      </c>
      <c r="C638" s="0" t="n">
        <v>4498</v>
      </c>
      <c r="D638" s="0" t="n">
        <v>326</v>
      </c>
      <c r="E638" s="0" t="n">
        <v>2</v>
      </c>
      <c r="F638" s="39" t="s">
        <v>544</v>
      </c>
      <c r="G638" s="0" t="n">
        <v>39.8</v>
      </c>
      <c r="H638" s="0" t="n">
        <v>33</v>
      </c>
      <c r="I638" s="39" t="s">
        <v>109</v>
      </c>
      <c r="J638" s="0" t="n">
        <v>228</v>
      </c>
      <c r="K638" s="0" t="n">
        <v>67</v>
      </c>
      <c r="L638" s="0" t="n">
        <v>98</v>
      </c>
      <c r="M638" s="0" t="n">
        <v>1095.04</v>
      </c>
      <c r="N638" s="0" t="n">
        <v>28.6</v>
      </c>
      <c r="O638" s="0" t="n">
        <v>29.86</v>
      </c>
      <c r="P638" s="0" t="n">
        <v>4.75</v>
      </c>
      <c r="Q638" s="0" t="n">
        <v>3.82</v>
      </c>
      <c r="R638" s="0" t="n">
        <v>5801</v>
      </c>
      <c r="S638" s="0" t="n">
        <v>11764</v>
      </c>
      <c r="T638" s="0" t="n">
        <v>61.5</v>
      </c>
      <c r="U638" s="0" t="n">
        <v>1352</v>
      </c>
      <c r="V638" s="0" t="n">
        <v>5</v>
      </c>
      <c r="W638" s="39" t="n">
        <f aca="false">IF(I638="Male",0,1)</f>
        <v>1</v>
      </c>
      <c r="X638" s="39" t="n">
        <f aca="false">IF(OR(I638="DNB",I638="Dry DNB"),1,0)</f>
        <v>0</v>
      </c>
      <c r="Y638" s="39" t="n">
        <f aca="false">MATCH(A638,DATAS,0)</f>
        <v>1</v>
      </c>
      <c r="Z638" s="39" t="n">
        <f aca="false">IF(AND(E638&gt;0,OR(AND(B638&gt;=1,B638&lt;=6),B638=10)),1,0)</f>
        <v>1</v>
      </c>
      <c r="AA638" s="39" t="n">
        <f aca="false">IF(AND(E638&gt;0,B638=10),1,0)</f>
        <v>0</v>
      </c>
      <c r="AB638" s="0" t="str">
        <f aca="false">IF(AND(C637=C638,Y637=Y638-1),Z637,"")</f>
        <v/>
      </c>
      <c r="AC638" s="0" t="str">
        <f aca="false">IF(AND(C637=C638,Y637=Y638-1),AA637,"")</f>
        <v/>
      </c>
      <c r="AD638" s="0" t="str">
        <f aca="false">IF(Y638=1,"",IF(AND(Z638=1,AB638&lt;&gt;1),1,0))</f>
        <v/>
      </c>
      <c r="AE638" s="0" t="str">
        <f aca="false">IF(Y638=1,"",IF(AND(AA638=1,AC638&lt;&gt;1),1,0))</f>
        <v/>
      </c>
      <c r="AF638" s="45" t="str">
        <f aca="false">IF(AND(E638&gt;0,Y638&lt;1,NOT(AND(C639=C638,Y639=Y638+1))),INDEX(DATAS,Y638+1),"")</f>
        <v/>
      </c>
      <c r="AG638" s="45" t="str">
        <f aca="false">IF(AND(AA638=1,Y638&lt;1),IF(AND(C639=C638,Y639=Y638+1),IF(AA639=1,"",INDEX(DATAS,Y638+1)),INDEX(DATAS,Y638+1)),"")</f>
        <v/>
      </c>
    </row>
    <row r="639" customFormat="false" ht="15" hidden="false" customHeight="false" outlineLevel="0" collapsed="false">
      <c r="A639" s="45" t="n">
        <v>46309</v>
      </c>
      <c r="B639" s="0" t="n">
        <v>5</v>
      </c>
      <c r="C639" s="0" t="n">
        <v>4499</v>
      </c>
      <c r="D639" s="0" t="n">
        <v>267</v>
      </c>
      <c r="E639" s="0" t="n">
        <v>2</v>
      </c>
      <c r="F639" s="39" t="s">
        <v>544</v>
      </c>
      <c r="G639" s="0" t="n">
        <v>38.8</v>
      </c>
      <c r="H639" s="0" t="n">
        <v>42</v>
      </c>
      <c r="I639" s="39" t="s">
        <v>109</v>
      </c>
      <c r="J639" s="0" t="n">
        <v>157</v>
      </c>
      <c r="K639" s="0" t="n">
        <v>64</v>
      </c>
      <c r="L639" s="0" t="n">
        <v>110</v>
      </c>
      <c r="M639" s="0" t="n">
        <v>750.44</v>
      </c>
      <c r="N639" s="0" t="n">
        <v>46.8</v>
      </c>
      <c r="O639" s="0" t="n">
        <v>32.17</v>
      </c>
      <c r="P639" s="0" t="n">
        <v>3.88</v>
      </c>
      <c r="Q639" s="0" t="n">
        <v>3.89</v>
      </c>
      <c r="R639" s="0" t="n">
        <v>5430</v>
      </c>
      <c r="S639" s="0" t="n">
        <v>10386</v>
      </c>
      <c r="T639" s="0" t="n">
        <v>58.45</v>
      </c>
      <c r="U639" s="0" t="n">
        <v>1352</v>
      </c>
      <c r="V639" s="0" t="n">
        <v>4</v>
      </c>
      <c r="W639" s="39" t="n">
        <f aca="false">IF(I639="Male",0,1)</f>
        <v>1</v>
      </c>
      <c r="X639" s="39" t="n">
        <f aca="false">IF(OR(I639="DNB",I639="Dry DNB"),1,0)</f>
        <v>0</v>
      </c>
      <c r="Y639" s="39" t="n">
        <f aca="false">MATCH(A639,DATAS,0)</f>
        <v>1</v>
      </c>
      <c r="Z639" s="39" t="n">
        <f aca="false">IF(AND(E639&gt;0,OR(AND(B639&gt;=1,B639&lt;=6),B639=10)),1,0)</f>
        <v>1</v>
      </c>
      <c r="AA639" s="39" t="n">
        <f aca="false">IF(AND(E639&gt;0,B639=10),1,0)</f>
        <v>0</v>
      </c>
      <c r="AB639" s="0" t="str">
        <f aca="false">IF(AND(C638=C639,Y638=Y639-1),Z638,"")</f>
        <v/>
      </c>
      <c r="AC639" s="0" t="str">
        <f aca="false">IF(AND(C638=C639,Y638=Y639-1),AA638,"")</f>
        <v/>
      </c>
      <c r="AD639" s="0" t="str">
        <f aca="false">IF(Y639=1,"",IF(AND(Z639=1,AB639&lt;&gt;1),1,0))</f>
        <v/>
      </c>
      <c r="AE639" s="0" t="str">
        <f aca="false">IF(Y639=1,"",IF(AND(AA639=1,AC639&lt;&gt;1),1,0))</f>
        <v/>
      </c>
      <c r="AF639" s="45" t="str">
        <f aca="false">IF(AND(E639&gt;0,Y639&lt;1,NOT(AND(C640=C639,Y640=Y639+1))),INDEX(DATAS,Y639+1),"")</f>
        <v/>
      </c>
      <c r="AG639" s="45" t="str">
        <f aca="false">IF(AND(AA639=1,Y639&lt;1),IF(AND(C640=C639,Y640=Y639+1),IF(AA640=1,"",INDEX(DATAS,Y639+1)),INDEX(DATAS,Y639+1)),"")</f>
        <v/>
      </c>
    </row>
    <row r="640" customFormat="false" ht="15" hidden="false" customHeight="false" outlineLevel="0" collapsed="false">
      <c r="A640" s="45" t="n">
        <v>46309</v>
      </c>
      <c r="B640" s="0" t="n">
        <v>5</v>
      </c>
      <c r="C640" s="0" t="n">
        <v>4500</v>
      </c>
      <c r="D640" s="0" t="n">
        <v>278</v>
      </c>
      <c r="E640" s="0" t="n">
        <v>2</v>
      </c>
      <c r="F640" s="39" t="s">
        <v>544</v>
      </c>
      <c r="G640" s="0" t="n">
        <v>44.2</v>
      </c>
      <c r="H640" s="0" t="n">
        <v>40</v>
      </c>
      <c r="I640" s="39" t="s">
        <v>109</v>
      </c>
      <c r="J640" s="0" t="n">
        <v>166</v>
      </c>
      <c r="K640" s="0" t="n">
        <v>68</v>
      </c>
      <c r="L640" s="0" t="n">
        <v>112</v>
      </c>
      <c r="M640" s="0" t="n">
        <v>1255.19</v>
      </c>
      <c r="N640" s="0" t="n">
        <v>31.34</v>
      </c>
      <c r="O640" s="0" t="n">
        <v>33.48</v>
      </c>
      <c r="P640" s="0" t="n">
        <v>2.49</v>
      </c>
      <c r="Q640" s="0" t="n">
        <v>3.66</v>
      </c>
      <c r="R640" s="0" t="n">
        <v>5447</v>
      </c>
      <c r="S640" s="0" t="n">
        <v>11517</v>
      </c>
      <c r="T640" s="0" t="n">
        <v>54.6</v>
      </c>
      <c r="U640" s="0" t="n">
        <v>1352</v>
      </c>
      <c r="V640" s="0" t="n">
        <v>4</v>
      </c>
      <c r="W640" s="39" t="n">
        <f aca="false">IF(I640="Male",0,1)</f>
        <v>1</v>
      </c>
      <c r="X640" s="39" t="n">
        <f aca="false">IF(OR(I640="DNB",I640="Dry DNB"),1,0)</f>
        <v>0</v>
      </c>
      <c r="Y640" s="39" t="n">
        <f aca="false">MATCH(A640,DATAS,0)</f>
        <v>1</v>
      </c>
      <c r="Z640" s="39" t="n">
        <f aca="false">IF(AND(E640&gt;0,OR(AND(B640&gt;=1,B640&lt;=6),B640=10)),1,0)</f>
        <v>1</v>
      </c>
      <c r="AA640" s="39" t="n">
        <f aca="false">IF(AND(E640&gt;0,B640=10),1,0)</f>
        <v>0</v>
      </c>
      <c r="AB640" s="0" t="str">
        <f aca="false">IF(AND(C639=C640,Y639=Y640-1),Z639,"")</f>
        <v/>
      </c>
      <c r="AC640" s="0" t="str">
        <f aca="false">IF(AND(C639=C640,Y639=Y640-1),AA639,"")</f>
        <v/>
      </c>
      <c r="AD640" s="0" t="str">
        <f aca="false">IF(Y640=1,"",IF(AND(Z640=1,AB640&lt;&gt;1),1,0))</f>
        <v/>
      </c>
      <c r="AE640" s="0" t="str">
        <f aca="false">IF(Y640=1,"",IF(AND(AA640=1,AC640&lt;&gt;1),1,0))</f>
        <v/>
      </c>
      <c r="AF640" s="45" t="str">
        <f aca="false">IF(AND(E640&gt;0,Y640&lt;1,NOT(AND(C641=C640,Y641=Y640+1))),INDEX(DATAS,Y640+1),"")</f>
        <v/>
      </c>
      <c r="AG640" s="45" t="str">
        <f aca="false">IF(AND(AA640=1,Y640&lt;1),IF(AND(C641=C640,Y641=Y640+1),IF(AA641=1,"",INDEX(DATAS,Y640+1)),INDEX(DATAS,Y640+1)),"")</f>
        <v/>
      </c>
    </row>
    <row r="641" customFormat="false" ht="15" hidden="false" customHeight="false" outlineLevel="0" collapsed="false">
      <c r="A641" s="45" t="n">
        <v>46309</v>
      </c>
      <c r="B641" s="0" t="n">
        <v>5</v>
      </c>
      <c r="C641" s="0" t="n">
        <v>4502</v>
      </c>
      <c r="D641" s="0" t="n">
        <v>187</v>
      </c>
      <c r="E641" s="0" t="n">
        <v>2</v>
      </c>
      <c r="F641" s="39" t="s">
        <v>545</v>
      </c>
      <c r="G641" s="0" t="n">
        <v>34.4</v>
      </c>
      <c r="H641" s="0" t="n">
        <v>33</v>
      </c>
      <c r="I641" s="39" t="s">
        <v>138</v>
      </c>
      <c r="J641" s="0" t="n">
        <v>187</v>
      </c>
      <c r="K641" s="0" t="n">
        <v>68</v>
      </c>
      <c r="M641" s="0" t="n">
        <v>96.17</v>
      </c>
      <c r="N641" s="0" t="n">
        <v>58.51</v>
      </c>
      <c r="O641" s="0" t="n">
        <v>21.56</v>
      </c>
      <c r="P641" s="0" t="n">
        <v>4.16</v>
      </c>
      <c r="Q641" s="0" t="n">
        <v>3.87</v>
      </c>
      <c r="R641" s="0" t="n">
        <v>4521</v>
      </c>
      <c r="S641" s="0" t="n">
        <v>7725</v>
      </c>
      <c r="T641" s="0" t="n">
        <v>45.9</v>
      </c>
      <c r="U641" s="0" t="n">
        <v>1350</v>
      </c>
      <c r="V641" s="0" t="n">
        <v>4</v>
      </c>
      <c r="W641" s="39" t="n">
        <f aca="false">IF(I641="Male",0,1)</f>
        <v>1</v>
      </c>
      <c r="X641" s="39" t="n">
        <f aca="false">IF(OR(I641="DNB",I641="Dry DNB"),1,0)</f>
        <v>0</v>
      </c>
      <c r="Y641" s="39" t="n">
        <f aca="false">MATCH(A641,DATAS,0)</f>
        <v>1</v>
      </c>
      <c r="Z641" s="39" t="n">
        <f aca="false">IF(AND(E641&gt;0,OR(AND(B641&gt;=1,B641&lt;=6),B641=10)),1,0)</f>
        <v>1</v>
      </c>
      <c r="AA641" s="39" t="n">
        <f aca="false">IF(AND(E641&gt;0,B641=10),1,0)</f>
        <v>0</v>
      </c>
      <c r="AB641" s="0" t="str">
        <f aca="false">IF(AND(C640=C641,Y640=Y641-1),Z640,"")</f>
        <v/>
      </c>
      <c r="AC641" s="0" t="str">
        <f aca="false">IF(AND(C640=C641,Y640=Y641-1),AA640,"")</f>
        <v/>
      </c>
      <c r="AD641" s="0" t="str">
        <f aca="false">IF(Y641=1,"",IF(AND(Z641=1,AB641&lt;&gt;1),1,0))</f>
        <v/>
      </c>
      <c r="AE641" s="0" t="str">
        <f aca="false">IF(Y641=1,"",IF(AND(AA641=1,AC641&lt;&gt;1),1,0))</f>
        <v/>
      </c>
      <c r="AF641" s="45" t="str">
        <f aca="false">IF(AND(E641&gt;0,Y641&lt;1,NOT(AND(C642=C641,Y642=Y641+1))),INDEX(DATAS,Y641+1),"")</f>
        <v/>
      </c>
      <c r="AG641" s="45" t="str">
        <f aca="false">IF(AND(AA641=1,Y641&lt;1),IF(AND(C642=C641,Y642=Y641+1),IF(AA642=1,"",INDEX(DATAS,Y641+1)),INDEX(DATAS,Y641+1)),"")</f>
        <v/>
      </c>
    </row>
    <row r="642" customFormat="false" ht="15" hidden="false" customHeight="false" outlineLevel="0" collapsed="false">
      <c r="A642" s="45" t="n">
        <v>46309</v>
      </c>
      <c r="B642" s="0" t="n">
        <v>7</v>
      </c>
      <c r="C642" s="0" t="n">
        <v>4507</v>
      </c>
      <c r="D642" s="0" t="n">
        <v>288</v>
      </c>
      <c r="E642" s="0" t="n">
        <v>2</v>
      </c>
      <c r="F642" s="39" t="s">
        <v>546</v>
      </c>
      <c r="I642" s="39" t="s">
        <v>114</v>
      </c>
      <c r="J642" s="0" t="n">
        <v>65</v>
      </c>
      <c r="K642" s="0" t="n">
        <v>65</v>
      </c>
      <c r="L642" s="0" t="n">
        <v>238</v>
      </c>
      <c r="M642" s="0" t="n">
        <v>1388.78</v>
      </c>
      <c r="N642" s="0" t="n">
        <v>49.01</v>
      </c>
      <c r="O642" s="0" t="n">
        <v>41.81</v>
      </c>
      <c r="P642" s="0" t="n">
        <v>4.5</v>
      </c>
      <c r="Q642" s="0" t="n">
        <v>3.96</v>
      </c>
      <c r="R642" s="0" t="n">
        <v>4007</v>
      </c>
      <c r="S642" s="0" t="n">
        <v>9345</v>
      </c>
      <c r="T642" s="0" t="n">
        <v>48.95</v>
      </c>
      <c r="U642" s="0" t="n">
        <v>1349</v>
      </c>
      <c r="V642" s="0" t="n">
        <v>1</v>
      </c>
      <c r="W642" s="39" t="n">
        <f aca="false">IF(I642="Male",0,1)</f>
        <v>1</v>
      </c>
      <c r="X642" s="39" t="n">
        <f aca="false">IF(OR(I642="DNB",I642="Dry DNB"),1,0)</f>
        <v>0</v>
      </c>
      <c r="Y642" s="39" t="n">
        <f aca="false">MATCH(A642,DATAS,0)</f>
        <v>1</v>
      </c>
      <c r="Z642" s="39" t="n">
        <f aca="false">IF(AND(E642&gt;0,OR(AND(B642&gt;=1,B642&lt;=6),B642=10)),1,0)</f>
        <v>0</v>
      </c>
      <c r="AA642" s="39" t="n">
        <f aca="false">IF(AND(E642&gt;0,B642=10),1,0)</f>
        <v>0</v>
      </c>
      <c r="AB642" s="0" t="str">
        <f aca="false">IF(AND(C641=C642,Y641=Y642-1),Z641,"")</f>
        <v/>
      </c>
      <c r="AC642" s="0" t="str">
        <f aca="false">IF(AND(C641=C642,Y641=Y642-1),AA641,"")</f>
        <v/>
      </c>
      <c r="AD642" s="0" t="str">
        <f aca="false">IF(Y642=1,"",IF(AND(Z642=1,AB642&lt;&gt;1),1,0))</f>
        <v/>
      </c>
      <c r="AE642" s="0" t="str">
        <f aca="false">IF(Y642=1,"",IF(AND(AA642=1,AC642&lt;&gt;1),1,0))</f>
        <v/>
      </c>
      <c r="AF642" s="45" t="str">
        <f aca="false">IF(AND(E642&gt;0,Y642&lt;1,NOT(AND(C643=C642,Y643=Y642+1))),INDEX(DATAS,Y642+1),"")</f>
        <v/>
      </c>
      <c r="AG642" s="45" t="str">
        <f aca="false">IF(AND(AA642=1,Y642&lt;1),IF(AND(C643=C642,Y643=Y642+1),IF(AA643=1,"",INDEX(DATAS,Y642+1)),INDEX(DATAS,Y642+1)),"")</f>
        <v/>
      </c>
    </row>
    <row r="643" customFormat="false" ht="15" hidden="false" customHeight="false" outlineLevel="0" collapsed="false">
      <c r="A643" s="45" t="n">
        <v>46309</v>
      </c>
      <c r="B643" s="0" t="n">
        <v>6</v>
      </c>
      <c r="C643" s="0" t="n">
        <v>4508</v>
      </c>
      <c r="D643" s="0" t="n">
        <v>240</v>
      </c>
      <c r="E643" s="0" t="n">
        <v>2</v>
      </c>
      <c r="F643" s="39" t="s">
        <v>547</v>
      </c>
      <c r="G643" s="0" t="n">
        <v>34.3</v>
      </c>
      <c r="H643" s="0" t="n">
        <v>28</v>
      </c>
      <c r="I643" s="39" t="s">
        <v>109</v>
      </c>
      <c r="J643" s="0" t="n">
        <v>65</v>
      </c>
      <c r="K643" s="0" t="n">
        <v>65</v>
      </c>
      <c r="L643" s="0" t="n">
        <v>175</v>
      </c>
      <c r="M643" s="0" t="n">
        <v>678.1</v>
      </c>
      <c r="N643" s="0" t="n">
        <v>8.8</v>
      </c>
      <c r="O643" s="0" t="n">
        <v>26.47</v>
      </c>
      <c r="P643" s="0" t="n">
        <v>3.05</v>
      </c>
      <c r="Q643" s="0" t="n">
        <v>3.61</v>
      </c>
      <c r="R643" s="0" t="n">
        <v>4775</v>
      </c>
      <c r="S643" s="0" t="n">
        <v>9512</v>
      </c>
      <c r="T643" s="0" t="n">
        <v>56.3</v>
      </c>
      <c r="U643" s="0" t="n">
        <v>1346</v>
      </c>
      <c r="V643" s="0" t="n">
        <v>1</v>
      </c>
      <c r="W643" s="39" t="n">
        <f aca="false">IF(I643="Male",0,1)</f>
        <v>1</v>
      </c>
      <c r="X643" s="39" t="n">
        <f aca="false">IF(OR(I643="DNB",I643="Dry DNB"),1,0)</f>
        <v>0</v>
      </c>
      <c r="Y643" s="39" t="n">
        <f aca="false">MATCH(A643,DATAS,0)</f>
        <v>1</v>
      </c>
      <c r="Z643" s="39" t="n">
        <f aca="false">IF(AND(E643&gt;0,OR(AND(B643&gt;=1,B643&lt;=6),B643=10)),1,0)</f>
        <v>1</v>
      </c>
      <c r="AA643" s="39" t="n">
        <f aca="false">IF(AND(E643&gt;0,B643=10),1,0)</f>
        <v>0</v>
      </c>
      <c r="AB643" s="0" t="str">
        <f aca="false">IF(AND(C642=C643,Y642=Y643-1),Z642,"")</f>
        <v/>
      </c>
      <c r="AC643" s="0" t="str">
        <f aca="false">IF(AND(C642=C643,Y642=Y643-1),AA642,"")</f>
        <v/>
      </c>
      <c r="AD643" s="0" t="str">
        <f aca="false">IF(Y643=1,"",IF(AND(Z643=1,AB643&lt;&gt;1),1,0))</f>
        <v/>
      </c>
      <c r="AE643" s="0" t="str">
        <f aca="false">IF(Y643=1,"",IF(AND(AA643=1,AC643&lt;&gt;1),1,0))</f>
        <v/>
      </c>
      <c r="AF643" s="45" t="str">
        <f aca="false">IF(AND(E643&gt;0,Y643&lt;1,NOT(AND(C644=C643,Y644=Y643+1))),INDEX(DATAS,Y643+1),"")</f>
        <v/>
      </c>
      <c r="AG643" s="45" t="str">
        <f aca="false">IF(AND(AA643=1,Y643&lt;1),IF(AND(C644=C643,Y644=Y643+1),IF(AA644=1,"",INDEX(DATAS,Y643+1)),INDEX(DATAS,Y643+1)),"")</f>
        <v/>
      </c>
    </row>
    <row r="644" customFormat="false" ht="15" hidden="false" customHeight="false" outlineLevel="0" collapsed="false">
      <c r="A644" s="45" t="n">
        <v>46309</v>
      </c>
      <c r="B644" s="0" t="n">
        <v>7</v>
      </c>
      <c r="C644" s="0" t="n">
        <v>4509</v>
      </c>
      <c r="D644" s="0" t="n">
        <v>323</v>
      </c>
      <c r="E644" s="0" t="n">
        <v>2</v>
      </c>
      <c r="F644" s="39" t="s">
        <v>547</v>
      </c>
      <c r="I644" s="39" t="s">
        <v>114</v>
      </c>
      <c r="J644" s="0" t="n">
        <v>100</v>
      </c>
      <c r="K644" s="0" t="n">
        <v>66</v>
      </c>
      <c r="L644" s="0" t="n">
        <v>252</v>
      </c>
      <c r="P644" s="0" t="n">
        <v>5.26</v>
      </c>
      <c r="Q644" s="0" t="n">
        <v>3.58</v>
      </c>
      <c r="R644" s="0" t="n">
        <v>3452</v>
      </c>
      <c r="S644" s="0" t="n">
        <v>7255</v>
      </c>
      <c r="T644" s="0" t="n">
        <v>43.4</v>
      </c>
      <c r="U644" s="0" t="n">
        <v>1346</v>
      </c>
      <c r="V644" s="0" t="n">
        <v>2</v>
      </c>
      <c r="W644" s="39" t="n">
        <f aca="false">IF(I644="Male",0,1)</f>
        <v>1</v>
      </c>
      <c r="X644" s="39" t="n">
        <f aca="false">IF(OR(I644="DNB",I644="Dry DNB"),1,0)</f>
        <v>0</v>
      </c>
      <c r="Y644" s="39" t="n">
        <f aca="false">MATCH(A644,DATAS,0)</f>
        <v>1</v>
      </c>
      <c r="Z644" s="39" t="n">
        <f aca="false">IF(AND(E644&gt;0,OR(AND(B644&gt;=1,B644&lt;=6),B644=10)),1,0)</f>
        <v>0</v>
      </c>
      <c r="AA644" s="39" t="n">
        <f aca="false">IF(AND(E644&gt;0,B644=10),1,0)</f>
        <v>0</v>
      </c>
      <c r="AB644" s="0" t="str">
        <f aca="false">IF(AND(C643=C644,Y643=Y644-1),Z643,"")</f>
        <v/>
      </c>
      <c r="AC644" s="0" t="str">
        <f aca="false">IF(AND(C643=C644,Y643=Y644-1),AA643,"")</f>
        <v/>
      </c>
      <c r="AD644" s="0" t="str">
        <f aca="false">IF(Y644=1,"",IF(AND(Z644=1,AB644&lt;&gt;1),1,0))</f>
        <v/>
      </c>
      <c r="AE644" s="0" t="str">
        <f aca="false">IF(Y644=1,"",IF(AND(AA644=1,AC644&lt;&gt;1),1,0))</f>
        <v/>
      </c>
      <c r="AF644" s="45" t="str">
        <f aca="false">IF(AND(E644&gt;0,Y644&lt;1,NOT(AND(C645=C644,Y645=Y644+1))),INDEX(DATAS,Y644+1),"")</f>
        <v/>
      </c>
      <c r="AG644" s="45" t="str">
        <f aca="false">IF(AND(AA644=1,Y644&lt;1),IF(AND(C645=C644,Y645=Y644+1),IF(AA645=1,"",INDEX(DATAS,Y644+1)),INDEX(DATAS,Y644+1)),"")</f>
        <v/>
      </c>
    </row>
    <row r="645" customFormat="false" ht="15" hidden="false" customHeight="false" outlineLevel="0" collapsed="false">
      <c r="A645" s="45" t="n">
        <v>46309</v>
      </c>
      <c r="B645" s="0" t="n">
        <v>3</v>
      </c>
      <c r="C645" s="0" t="n">
        <v>4510</v>
      </c>
      <c r="D645" s="0" t="n">
        <v>306</v>
      </c>
      <c r="E645" s="0" t="n">
        <v>2</v>
      </c>
      <c r="F645" s="39" t="s">
        <v>547</v>
      </c>
      <c r="G645" s="0" t="n">
        <v>59.9</v>
      </c>
      <c r="H645" s="0" t="n">
        <v>55</v>
      </c>
      <c r="I645" s="39" t="s">
        <v>109</v>
      </c>
      <c r="J645" s="0" t="n">
        <v>187</v>
      </c>
      <c r="K645" s="0" t="n">
        <v>61</v>
      </c>
      <c r="L645" s="0" t="n">
        <v>119</v>
      </c>
      <c r="M645" s="0" t="n">
        <v>462.14</v>
      </c>
      <c r="N645" s="0" t="n">
        <v>25.57</v>
      </c>
      <c r="O645" s="0" t="n">
        <v>20.08</v>
      </c>
      <c r="P645" s="0" t="n">
        <v>4.26</v>
      </c>
      <c r="Q645" s="0" t="n">
        <v>3.26</v>
      </c>
      <c r="R645" s="0" t="n">
        <v>5698</v>
      </c>
      <c r="S645" s="0" t="n">
        <v>12135</v>
      </c>
      <c r="T645" s="0" t="n">
        <v>62.7</v>
      </c>
      <c r="U645" s="0" t="n">
        <v>1346</v>
      </c>
      <c r="V645" s="0" t="n">
        <v>3</v>
      </c>
      <c r="W645" s="39" t="n">
        <f aca="false">IF(I645="Male",0,1)</f>
        <v>1</v>
      </c>
      <c r="X645" s="39" t="n">
        <f aca="false">IF(OR(I645="DNB",I645="Dry DNB"),1,0)</f>
        <v>0</v>
      </c>
      <c r="Y645" s="39" t="n">
        <f aca="false">MATCH(A645,DATAS,0)</f>
        <v>1</v>
      </c>
      <c r="Z645" s="39" t="n">
        <f aca="false">IF(AND(E645&gt;0,OR(AND(B645&gt;=1,B645&lt;=6),B645=10)),1,0)</f>
        <v>1</v>
      </c>
      <c r="AA645" s="39" t="n">
        <f aca="false">IF(AND(E645&gt;0,B645=10),1,0)</f>
        <v>0</v>
      </c>
      <c r="AB645" s="0" t="str">
        <f aca="false">IF(AND(C644=C645,Y644=Y645-1),Z644,"")</f>
        <v/>
      </c>
      <c r="AC645" s="0" t="str">
        <f aca="false">IF(AND(C644=C645,Y644=Y645-1),AA644,"")</f>
        <v/>
      </c>
      <c r="AD645" s="0" t="str">
        <f aca="false">IF(Y645=1,"",IF(AND(Z645=1,AB645&lt;&gt;1),1,0))</f>
        <v/>
      </c>
      <c r="AE645" s="0" t="str">
        <f aca="false">IF(Y645=1,"",IF(AND(AA645=1,AC645&lt;&gt;1),1,0))</f>
        <v/>
      </c>
      <c r="AF645" s="45" t="str">
        <f aca="false">IF(AND(E645&gt;0,Y645&lt;1,NOT(AND(C646=C645,Y646=Y645+1))),INDEX(DATAS,Y645+1),"")</f>
        <v/>
      </c>
      <c r="AG645" s="45" t="str">
        <f aca="false">IF(AND(AA645=1,Y645&lt;1),IF(AND(C646=C645,Y646=Y645+1),IF(AA646=1,"",INDEX(DATAS,Y645+1)),INDEX(DATAS,Y645+1)),"")</f>
        <v/>
      </c>
    </row>
    <row r="646" customFormat="false" ht="15" hidden="false" customHeight="false" outlineLevel="0" collapsed="false">
      <c r="A646" s="45" t="n">
        <v>46309</v>
      </c>
      <c r="B646" s="0" t="n">
        <v>5</v>
      </c>
      <c r="C646" s="0" t="n">
        <v>4512</v>
      </c>
      <c r="D646" s="0" t="n">
        <v>341</v>
      </c>
      <c r="E646" s="0" t="n">
        <v>2</v>
      </c>
      <c r="F646" s="39" t="s">
        <v>548</v>
      </c>
      <c r="G646" s="0" t="n">
        <v>33.2</v>
      </c>
      <c r="H646" s="0" t="n">
        <v>34</v>
      </c>
      <c r="I646" s="39" t="s">
        <v>109</v>
      </c>
      <c r="J646" s="0" t="n">
        <v>124</v>
      </c>
      <c r="K646" s="0" t="n">
        <v>68</v>
      </c>
      <c r="L646" s="0" t="n">
        <v>217</v>
      </c>
      <c r="M646" s="0" t="n">
        <v>626.55</v>
      </c>
      <c r="N646" s="0" t="n">
        <v>69.16</v>
      </c>
      <c r="O646" s="0" t="n">
        <v>40.77</v>
      </c>
      <c r="P646" s="0" t="n">
        <v>0</v>
      </c>
      <c r="Q646" s="0" t="n">
        <v>0</v>
      </c>
      <c r="R646" s="0" t="n">
        <v>6115</v>
      </c>
      <c r="S646" s="0" t="n">
        <v>11546</v>
      </c>
      <c r="T646" s="0" t="n">
        <v>68.5</v>
      </c>
      <c r="U646" s="0" t="n">
        <v>1345</v>
      </c>
      <c r="V646" s="0" t="n">
        <v>2</v>
      </c>
      <c r="W646" s="39" t="n">
        <f aca="false">IF(I646="Male",0,1)</f>
        <v>1</v>
      </c>
      <c r="X646" s="39" t="n">
        <f aca="false">IF(OR(I646="DNB",I646="Dry DNB"),1,0)</f>
        <v>0</v>
      </c>
      <c r="Y646" s="39" t="n">
        <f aca="false">MATCH(A646,DATAS,0)</f>
        <v>1</v>
      </c>
      <c r="Z646" s="39" t="n">
        <f aca="false">IF(AND(E646&gt;0,OR(AND(B646&gt;=1,B646&lt;=6),B646=10)),1,0)</f>
        <v>1</v>
      </c>
      <c r="AA646" s="39" t="n">
        <f aca="false">IF(AND(E646&gt;0,B646=10),1,0)</f>
        <v>0</v>
      </c>
      <c r="AB646" s="0" t="str">
        <f aca="false">IF(AND(C645=C646,Y645=Y646-1),Z645,"")</f>
        <v/>
      </c>
      <c r="AC646" s="0" t="str">
        <f aca="false">IF(AND(C645=C646,Y645=Y646-1),AA645,"")</f>
        <v/>
      </c>
      <c r="AD646" s="0" t="str">
        <f aca="false">IF(Y646=1,"",IF(AND(Z646=1,AB646&lt;&gt;1),1,0))</f>
        <v/>
      </c>
      <c r="AE646" s="0" t="str">
        <f aca="false">IF(Y646=1,"",IF(AND(AA646=1,AC646&lt;&gt;1),1,0))</f>
        <v/>
      </c>
      <c r="AF646" s="45" t="str">
        <f aca="false">IF(AND(E646&gt;0,Y646&lt;1,NOT(AND(C647=C646,Y647=Y646+1))),INDEX(DATAS,Y646+1),"")</f>
        <v/>
      </c>
      <c r="AG646" s="45" t="str">
        <f aca="false">IF(AND(AA646=1,Y646&lt;1),IF(AND(C647=C646,Y647=Y646+1),IF(AA647=1,"",INDEX(DATAS,Y646+1)),INDEX(DATAS,Y646+1)),"")</f>
        <v/>
      </c>
    </row>
    <row r="647" customFormat="false" ht="15" hidden="false" customHeight="false" outlineLevel="0" collapsed="false">
      <c r="A647" s="45" t="n">
        <v>46309</v>
      </c>
      <c r="B647" s="0" t="n">
        <v>2</v>
      </c>
      <c r="C647" s="0" t="n">
        <v>4513</v>
      </c>
      <c r="D647" s="0" t="n">
        <v>310</v>
      </c>
      <c r="E647" s="0" t="n">
        <v>2</v>
      </c>
      <c r="F647" s="39" t="s">
        <v>548</v>
      </c>
      <c r="G647" s="0" t="n">
        <v>49.9</v>
      </c>
      <c r="H647" s="0" t="n">
        <v>52</v>
      </c>
      <c r="I647" s="39" t="s">
        <v>109</v>
      </c>
      <c r="J647" s="0" t="n">
        <v>135</v>
      </c>
      <c r="K647" s="0" t="n">
        <v>72</v>
      </c>
      <c r="L647" s="0" t="n">
        <v>175</v>
      </c>
      <c r="M647" s="0" t="n">
        <v>766.57</v>
      </c>
      <c r="N647" s="0" t="n">
        <v>72.41</v>
      </c>
      <c r="O647" s="0" t="n">
        <v>35.56</v>
      </c>
      <c r="P647" s="0" t="n">
        <v>3.08</v>
      </c>
      <c r="Q647" s="0" t="n">
        <v>3.7</v>
      </c>
      <c r="R647" s="0" t="n">
        <v>6637</v>
      </c>
      <c r="S647" s="0" t="n">
        <v>13268</v>
      </c>
      <c r="T647" s="0" t="n">
        <v>76.9</v>
      </c>
      <c r="U647" s="0" t="n">
        <v>1345</v>
      </c>
      <c r="V647" s="0" t="n">
        <v>2</v>
      </c>
      <c r="W647" s="39" t="n">
        <f aca="false">IF(I647="Male",0,1)</f>
        <v>1</v>
      </c>
      <c r="X647" s="39" t="n">
        <f aca="false">IF(OR(I647="DNB",I647="Dry DNB"),1,0)</f>
        <v>0</v>
      </c>
      <c r="Y647" s="39" t="n">
        <f aca="false">MATCH(A647,DATAS,0)</f>
        <v>1</v>
      </c>
      <c r="Z647" s="39" t="n">
        <f aca="false">IF(AND(E647&gt;0,OR(AND(B647&gt;=1,B647&lt;=6),B647=10)),1,0)</f>
        <v>1</v>
      </c>
      <c r="AA647" s="39" t="n">
        <f aca="false">IF(AND(E647&gt;0,B647=10),1,0)</f>
        <v>0</v>
      </c>
      <c r="AB647" s="0" t="str">
        <f aca="false">IF(AND(C646=C647,Y646=Y647-1),Z646,"")</f>
        <v/>
      </c>
      <c r="AC647" s="0" t="str">
        <f aca="false">IF(AND(C646=C647,Y646=Y647-1),AA646,"")</f>
        <v/>
      </c>
      <c r="AD647" s="0" t="str">
        <f aca="false">IF(Y647=1,"",IF(AND(Z647=1,AB647&lt;&gt;1),1,0))</f>
        <v/>
      </c>
      <c r="AE647" s="0" t="str">
        <f aca="false">IF(Y647=1,"",IF(AND(AA647=1,AC647&lt;&gt;1),1,0))</f>
        <v/>
      </c>
      <c r="AF647" s="45" t="str">
        <f aca="false">IF(AND(E647&gt;0,Y647&lt;1,NOT(AND(C648=C647,Y648=Y647+1))),INDEX(DATAS,Y647+1),"")</f>
        <v/>
      </c>
      <c r="AG647" s="45" t="str">
        <f aca="false">IF(AND(AA647=1,Y647&lt;1),IF(AND(C648=C647,Y648=Y647+1),IF(AA648=1,"",INDEX(DATAS,Y647+1)),INDEX(DATAS,Y647+1)),"")</f>
        <v/>
      </c>
    </row>
    <row r="648" customFormat="false" ht="15" hidden="false" customHeight="false" outlineLevel="0" collapsed="false">
      <c r="A648" s="45" t="n">
        <v>46309</v>
      </c>
      <c r="B648" s="0" t="n">
        <v>7</v>
      </c>
      <c r="C648" s="0" t="n">
        <v>4514</v>
      </c>
      <c r="D648" s="0" t="n">
        <v>298</v>
      </c>
      <c r="E648" s="0" t="n">
        <v>2</v>
      </c>
      <c r="F648" s="39" t="s">
        <v>549</v>
      </c>
      <c r="I648" s="39" t="s">
        <v>114</v>
      </c>
      <c r="J648" s="0" t="n">
        <v>75</v>
      </c>
      <c r="K648" s="0" t="n">
        <v>75</v>
      </c>
      <c r="L648" s="0" t="n">
        <v>245</v>
      </c>
      <c r="M648" s="0" t="n">
        <v>844.5</v>
      </c>
      <c r="N648" s="0" t="n">
        <v>19.55</v>
      </c>
      <c r="O648" s="0" t="n">
        <v>30.56</v>
      </c>
      <c r="P648" s="0" t="n">
        <v>4.99</v>
      </c>
      <c r="Q648" s="0" t="n">
        <v>3.87</v>
      </c>
      <c r="R648" s="0" t="n">
        <v>6262</v>
      </c>
      <c r="S648" s="0" t="n">
        <v>12557</v>
      </c>
      <c r="T648" s="0" t="n">
        <v>68.5</v>
      </c>
      <c r="U648" s="0" t="n">
        <v>1344</v>
      </c>
      <c r="V648" s="0" t="n">
        <v>1</v>
      </c>
      <c r="W648" s="39" t="n">
        <f aca="false">IF(I648="Male",0,1)</f>
        <v>1</v>
      </c>
      <c r="X648" s="39" t="n">
        <f aca="false">IF(OR(I648="DNB",I648="Dry DNB"),1,0)</f>
        <v>0</v>
      </c>
      <c r="Y648" s="39" t="n">
        <f aca="false">MATCH(A648,DATAS,0)</f>
        <v>1</v>
      </c>
      <c r="Z648" s="39" t="n">
        <f aca="false">IF(AND(E648&gt;0,OR(AND(B648&gt;=1,B648&lt;=6),B648=10)),1,0)</f>
        <v>0</v>
      </c>
      <c r="AA648" s="39" t="n">
        <f aca="false">IF(AND(E648&gt;0,B648=10),1,0)</f>
        <v>0</v>
      </c>
      <c r="AB648" s="0" t="str">
        <f aca="false">IF(AND(C647=C648,Y647=Y648-1),Z647,"")</f>
        <v/>
      </c>
      <c r="AC648" s="0" t="str">
        <f aca="false">IF(AND(C647=C648,Y647=Y648-1),AA647,"")</f>
        <v/>
      </c>
      <c r="AD648" s="0" t="str">
        <f aca="false">IF(Y648=1,"",IF(AND(Z648=1,AB648&lt;&gt;1),1,0))</f>
        <v/>
      </c>
      <c r="AE648" s="0" t="str">
        <f aca="false">IF(Y648=1,"",IF(AND(AA648=1,AC648&lt;&gt;1),1,0))</f>
        <v/>
      </c>
      <c r="AF648" s="45" t="str">
        <f aca="false">IF(AND(E648&gt;0,Y648&lt;1,NOT(AND(C649=C648,Y649=Y648+1))),INDEX(DATAS,Y648+1),"")</f>
        <v/>
      </c>
      <c r="AG648" s="45" t="str">
        <f aca="false">IF(AND(AA648=1,Y648&lt;1),IF(AND(C649=C648,Y649=Y648+1),IF(AA649=1,"",INDEX(DATAS,Y648+1)),INDEX(DATAS,Y648+1)),"")</f>
        <v/>
      </c>
    </row>
    <row r="649" customFormat="false" ht="15" hidden="false" customHeight="false" outlineLevel="0" collapsed="false">
      <c r="A649" s="45" t="n">
        <v>46309</v>
      </c>
      <c r="B649" s="0" t="n">
        <v>5</v>
      </c>
      <c r="C649" s="0" t="n">
        <v>4516</v>
      </c>
      <c r="D649" s="0" t="n">
        <v>316</v>
      </c>
      <c r="E649" s="0" t="n">
        <v>2</v>
      </c>
      <c r="F649" s="39" t="s">
        <v>549</v>
      </c>
      <c r="G649" s="0" t="n">
        <v>41</v>
      </c>
      <c r="H649" s="0" t="n">
        <v>39</v>
      </c>
      <c r="I649" s="39" t="s">
        <v>109</v>
      </c>
      <c r="J649" s="0" t="n">
        <v>155</v>
      </c>
      <c r="K649" s="0" t="n">
        <v>64</v>
      </c>
      <c r="L649" s="0" t="n">
        <v>161</v>
      </c>
      <c r="M649" s="0" t="n">
        <v>96.1</v>
      </c>
      <c r="N649" s="0" t="n">
        <v>63.67</v>
      </c>
      <c r="O649" s="0" t="n">
        <v>24.31</v>
      </c>
      <c r="P649" s="0" t="n">
        <v>2.82</v>
      </c>
      <c r="Q649" s="0" t="n">
        <v>3.7</v>
      </c>
      <c r="R649" s="0" t="n">
        <v>5355</v>
      </c>
      <c r="S649" s="0" t="n">
        <v>10627</v>
      </c>
      <c r="T649" s="0" t="n">
        <v>58</v>
      </c>
      <c r="U649" s="0" t="n">
        <v>1344</v>
      </c>
      <c r="V649" s="0" t="n">
        <v>3</v>
      </c>
      <c r="W649" s="39" t="n">
        <f aca="false">IF(I649="Male",0,1)</f>
        <v>1</v>
      </c>
      <c r="X649" s="39" t="n">
        <f aca="false">IF(OR(I649="DNB",I649="Dry DNB"),1,0)</f>
        <v>0</v>
      </c>
      <c r="Y649" s="39" t="n">
        <f aca="false">MATCH(A649,DATAS,0)</f>
        <v>1</v>
      </c>
      <c r="Z649" s="39" t="n">
        <f aca="false">IF(AND(E649&gt;0,OR(AND(B649&gt;=1,B649&lt;=6),B649=10)),1,0)</f>
        <v>1</v>
      </c>
      <c r="AA649" s="39" t="n">
        <f aca="false">IF(AND(E649&gt;0,B649=10),1,0)</f>
        <v>0</v>
      </c>
      <c r="AB649" s="0" t="str">
        <f aca="false">IF(AND(C648=C649,Y648=Y649-1),Z648,"")</f>
        <v/>
      </c>
      <c r="AC649" s="0" t="str">
        <f aca="false">IF(AND(C648=C649,Y648=Y649-1),AA648,"")</f>
        <v/>
      </c>
      <c r="AD649" s="0" t="str">
        <f aca="false">IF(Y649=1,"",IF(AND(Z649=1,AB649&lt;&gt;1),1,0))</f>
        <v/>
      </c>
      <c r="AE649" s="0" t="str">
        <f aca="false">IF(Y649=1,"",IF(AND(AA649=1,AC649&lt;&gt;1),1,0))</f>
        <v/>
      </c>
      <c r="AF649" s="45" t="str">
        <f aca="false">IF(AND(E649&gt;0,Y649&lt;1,NOT(AND(C650=C649,Y650=Y649+1))),INDEX(DATAS,Y649+1),"")</f>
        <v/>
      </c>
      <c r="AG649" s="45" t="str">
        <f aca="false">IF(AND(AA649=1,Y649&lt;1),IF(AND(C650=C649,Y650=Y649+1),IF(AA650=1,"",INDEX(DATAS,Y649+1)),INDEX(DATAS,Y649+1)),"")</f>
        <v/>
      </c>
    </row>
    <row r="650" customFormat="false" ht="15" hidden="false" customHeight="false" outlineLevel="0" collapsed="false">
      <c r="A650" s="45" t="n">
        <v>46309</v>
      </c>
      <c r="B650" s="0" t="n">
        <v>3</v>
      </c>
      <c r="C650" s="0" t="n">
        <v>4517</v>
      </c>
      <c r="D650" s="0" t="n">
        <v>183</v>
      </c>
      <c r="E650" s="0" t="n">
        <v>2</v>
      </c>
      <c r="F650" s="39" t="s">
        <v>550</v>
      </c>
      <c r="G650" s="0" t="n">
        <v>60.6</v>
      </c>
      <c r="H650" s="0" t="n">
        <v>61</v>
      </c>
      <c r="I650" s="39" t="s">
        <v>109</v>
      </c>
      <c r="J650" s="0" t="n">
        <v>110</v>
      </c>
      <c r="K650" s="0" t="n">
        <v>64</v>
      </c>
      <c r="L650" s="0" t="n">
        <v>73</v>
      </c>
      <c r="M650" s="0" t="n">
        <v>698.35</v>
      </c>
      <c r="N650" s="0" t="n">
        <v>38.23</v>
      </c>
      <c r="O650" s="0" t="n">
        <v>27.16</v>
      </c>
      <c r="P650" s="0" t="n">
        <v>3.55</v>
      </c>
      <c r="Q650" s="0" t="n">
        <v>3.23</v>
      </c>
      <c r="R650" s="0" t="n">
        <v>5095</v>
      </c>
      <c r="S650" s="0" t="n">
        <v>11232</v>
      </c>
      <c r="T650" s="0" t="n">
        <v>53.8</v>
      </c>
      <c r="U650" s="0" t="n">
        <v>1343</v>
      </c>
      <c r="V650" s="0" t="n">
        <v>3</v>
      </c>
      <c r="W650" s="39" t="n">
        <f aca="false">IF(I650="Male",0,1)</f>
        <v>1</v>
      </c>
      <c r="X650" s="39" t="n">
        <f aca="false">IF(OR(I650="DNB",I650="Dry DNB"),1,0)</f>
        <v>0</v>
      </c>
      <c r="Y650" s="39" t="n">
        <f aca="false">MATCH(A650,DATAS,0)</f>
        <v>1</v>
      </c>
      <c r="Z650" s="39" t="n">
        <f aca="false">IF(AND(E650&gt;0,OR(AND(B650&gt;=1,B650&lt;=6),B650=10)),1,0)</f>
        <v>1</v>
      </c>
      <c r="AA650" s="39" t="n">
        <f aca="false">IF(AND(E650&gt;0,B650=10),1,0)</f>
        <v>0</v>
      </c>
      <c r="AB650" s="0" t="str">
        <f aca="false">IF(AND(C649=C650,Y649=Y650-1),Z649,"")</f>
        <v/>
      </c>
      <c r="AC650" s="0" t="str">
        <f aca="false">IF(AND(C649=C650,Y649=Y650-1),AA649,"")</f>
        <v/>
      </c>
      <c r="AD650" s="0" t="str">
        <f aca="false">IF(Y650=1,"",IF(AND(Z650=1,AB650&lt;&gt;1),1,0))</f>
        <v/>
      </c>
      <c r="AE650" s="0" t="str">
        <f aca="false">IF(Y650=1,"",IF(AND(AA650=1,AC650&lt;&gt;1),1,0))</f>
        <v/>
      </c>
      <c r="AF650" s="45" t="str">
        <f aca="false">IF(AND(E650&gt;0,Y650&lt;1,NOT(AND(C651=C650,Y651=Y650+1))),INDEX(DATAS,Y650+1),"")</f>
        <v/>
      </c>
      <c r="AG650" s="45" t="str">
        <f aca="false">IF(AND(AA650=1,Y650&lt;1),IF(AND(C651=C650,Y651=Y650+1),IF(AA651=1,"",INDEX(DATAS,Y650+1)),INDEX(DATAS,Y650+1)),"")</f>
        <v/>
      </c>
    </row>
    <row r="651" customFormat="false" ht="15" hidden="false" customHeight="false" outlineLevel="0" collapsed="false">
      <c r="A651" s="45" t="n">
        <v>46309</v>
      </c>
      <c r="B651" s="0" t="n">
        <v>7</v>
      </c>
      <c r="C651" s="0" t="n">
        <v>4518</v>
      </c>
      <c r="D651" s="0" t="n">
        <v>286</v>
      </c>
      <c r="E651" s="0" t="n">
        <v>2</v>
      </c>
      <c r="F651" s="39" t="s">
        <v>550</v>
      </c>
      <c r="G651" s="0" t="n">
        <v>17.2</v>
      </c>
      <c r="H651" s="0" t="n">
        <v>41</v>
      </c>
      <c r="I651" s="39" t="s">
        <v>114</v>
      </c>
      <c r="J651" s="0" t="n">
        <v>63</v>
      </c>
      <c r="K651" s="0" t="n">
        <v>63</v>
      </c>
      <c r="L651" s="0" t="n">
        <v>224</v>
      </c>
      <c r="M651" s="0" t="n">
        <v>833.83</v>
      </c>
      <c r="N651" s="0" t="n">
        <v>34.36</v>
      </c>
      <c r="O651" s="0" t="n">
        <v>33.34</v>
      </c>
      <c r="P651" s="0" t="n">
        <v>3.78</v>
      </c>
      <c r="Q651" s="0" t="n">
        <v>3.6</v>
      </c>
      <c r="R651" s="0" t="n">
        <v>6146</v>
      </c>
      <c r="S651" s="0" t="n">
        <v>13149</v>
      </c>
      <c r="T651" s="0" t="n">
        <v>63.35</v>
      </c>
      <c r="U651" s="0" t="n">
        <v>1343</v>
      </c>
      <c r="V651" s="0" t="n">
        <v>1</v>
      </c>
      <c r="W651" s="39" t="n">
        <f aca="false">IF(I651="Male",0,1)</f>
        <v>1</v>
      </c>
      <c r="X651" s="39" t="n">
        <f aca="false">IF(OR(I651="DNB",I651="Dry DNB"),1,0)</f>
        <v>0</v>
      </c>
      <c r="Y651" s="39" t="n">
        <f aca="false">MATCH(A651,DATAS,0)</f>
        <v>1</v>
      </c>
      <c r="Z651" s="39" t="n">
        <f aca="false">IF(AND(E651&gt;0,OR(AND(B651&gt;=1,B651&lt;=6),B651=10)),1,0)</f>
        <v>0</v>
      </c>
      <c r="AA651" s="39" t="n">
        <f aca="false">IF(AND(E651&gt;0,B651=10),1,0)</f>
        <v>0</v>
      </c>
      <c r="AB651" s="0" t="str">
        <f aca="false">IF(AND(C650=C651,Y650=Y651-1),Z650,"")</f>
        <v/>
      </c>
      <c r="AC651" s="0" t="str">
        <f aca="false">IF(AND(C650=C651,Y650=Y651-1),AA650,"")</f>
        <v/>
      </c>
      <c r="AD651" s="0" t="str">
        <f aca="false">IF(Y651=1,"",IF(AND(Z651=1,AB651&lt;&gt;1),1,0))</f>
        <v/>
      </c>
      <c r="AE651" s="0" t="str">
        <f aca="false">IF(Y651=1,"",IF(AND(AA651=1,AC651&lt;&gt;1),1,0))</f>
        <v/>
      </c>
      <c r="AF651" s="45" t="str">
        <f aca="false">IF(AND(E651&gt;0,Y651&lt;1,NOT(AND(C652=C651,Y652=Y651+1))),INDEX(DATAS,Y651+1),"")</f>
        <v/>
      </c>
      <c r="AG651" s="45" t="str">
        <f aca="false">IF(AND(AA651=1,Y651&lt;1),IF(AND(C652=C651,Y652=Y651+1),IF(AA652=1,"",INDEX(DATAS,Y651+1)),INDEX(DATAS,Y651+1)),"")</f>
        <v/>
      </c>
    </row>
    <row r="652" customFormat="false" ht="15" hidden="false" customHeight="false" outlineLevel="0" collapsed="false">
      <c r="A652" s="45" t="n">
        <v>46309</v>
      </c>
      <c r="B652" s="0" t="n">
        <v>3</v>
      </c>
      <c r="C652" s="0" t="n">
        <v>4519</v>
      </c>
      <c r="D652" s="0" t="n">
        <v>127</v>
      </c>
      <c r="E652" s="0" t="n">
        <v>2</v>
      </c>
      <c r="F652" s="39" t="s">
        <v>550</v>
      </c>
      <c r="G652" s="0" t="n">
        <v>54</v>
      </c>
      <c r="H652" s="0" t="n">
        <v>57</v>
      </c>
      <c r="I652" s="39" t="s">
        <v>109</v>
      </c>
      <c r="J652" s="0" t="n">
        <v>64</v>
      </c>
      <c r="K652" s="0" t="n">
        <v>64</v>
      </c>
      <c r="L652" s="0" t="n">
        <v>63</v>
      </c>
      <c r="M652" s="0" t="n">
        <v>262.8</v>
      </c>
      <c r="N652" s="0" t="n">
        <v>16.25</v>
      </c>
      <c r="O652" s="0" t="n">
        <v>15.94</v>
      </c>
      <c r="P652" s="0" t="n">
        <v>3.49</v>
      </c>
      <c r="Q652" s="0" t="n">
        <v>3.43</v>
      </c>
      <c r="R652" s="0" t="n">
        <v>5980</v>
      </c>
      <c r="S652" s="0" t="n">
        <v>12143</v>
      </c>
      <c r="T652" s="0" t="n">
        <v>62.9</v>
      </c>
      <c r="U652" s="0" t="n">
        <v>1343</v>
      </c>
      <c r="V652" s="0" t="n">
        <v>1</v>
      </c>
      <c r="W652" s="39" t="n">
        <f aca="false">IF(I652="Male",0,1)</f>
        <v>1</v>
      </c>
      <c r="X652" s="39" t="n">
        <f aca="false">IF(OR(I652="DNB",I652="Dry DNB"),1,0)</f>
        <v>0</v>
      </c>
      <c r="Y652" s="39" t="n">
        <f aca="false">MATCH(A652,DATAS,0)</f>
        <v>1</v>
      </c>
      <c r="Z652" s="39" t="n">
        <f aca="false">IF(AND(E652&gt;0,OR(AND(B652&gt;=1,B652&lt;=6),B652=10)),1,0)</f>
        <v>1</v>
      </c>
      <c r="AA652" s="39" t="n">
        <f aca="false">IF(AND(E652&gt;0,B652=10),1,0)</f>
        <v>0</v>
      </c>
      <c r="AB652" s="0" t="str">
        <f aca="false">IF(AND(C651=C652,Y651=Y652-1),Z651,"")</f>
        <v/>
      </c>
      <c r="AC652" s="0" t="str">
        <f aca="false">IF(AND(C651=C652,Y651=Y652-1),AA651,"")</f>
        <v/>
      </c>
      <c r="AD652" s="0" t="str">
        <f aca="false">IF(Y652=1,"",IF(AND(Z652=1,AB652&lt;&gt;1),1,0))</f>
        <v/>
      </c>
      <c r="AE652" s="0" t="str">
        <f aca="false">IF(Y652=1,"",IF(AND(AA652=1,AC652&lt;&gt;1),1,0))</f>
        <v/>
      </c>
      <c r="AF652" s="45" t="str">
        <f aca="false">IF(AND(E652&gt;0,Y652&lt;1,NOT(AND(C653=C652,Y653=Y652+1))),INDEX(DATAS,Y652+1),"")</f>
        <v/>
      </c>
      <c r="AG652" s="45" t="str">
        <f aca="false">IF(AND(AA652=1,Y652&lt;1),IF(AND(C653=C652,Y653=Y652+1),IF(AA653=1,"",INDEX(DATAS,Y652+1)),INDEX(DATAS,Y652+1)),"")</f>
        <v/>
      </c>
    </row>
    <row r="653" customFormat="false" ht="15" hidden="false" customHeight="false" outlineLevel="0" collapsed="false">
      <c r="A653" s="45" t="n">
        <v>46309</v>
      </c>
      <c r="B653" s="0" t="n">
        <v>7</v>
      </c>
      <c r="C653" s="0" t="n">
        <v>4520</v>
      </c>
      <c r="D653" s="0" t="n">
        <v>288</v>
      </c>
      <c r="E653" s="0" t="n">
        <v>2</v>
      </c>
      <c r="F653" s="39" t="s">
        <v>551</v>
      </c>
      <c r="G653" s="0" t="n">
        <v>13.7</v>
      </c>
      <c r="H653" s="0" t="n">
        <v>32</v>
      </c>
      <c r="I653" s="39" t="s">
        <v>114</v>
      </c>
      <c r="J653" s="0" t="n">
        <v>65</v>
      </c>
      <c r="K653" s="0" t="n">
        <v>65</v>
      </c>
      <c r="L653" s="0" t="n">
        <v>224</v>
      </c>
      <c r="M653" s="0" t="n">
        <v>1016.74</v>
      </c>
      <c r="N653" s="0" t="n">
        <v>22.11</v>
      </c>
      <c r="O653" s="0" t="n">
        <v>40.71</v>
      </c>
      <c r="P653" s="0" t="n">
        <v>3.5</v>
      </c>
      <c r="Q653" s="0" t="n">
        <v>3.88</v>
      </c>
      <c r="R653" s="0" t="n">
        <v>6347</v>
      </c>
      <c r="S653" s="0" t="n">
        <v>12427</v>
      </c>
      <c r="T653" s="0" t="n">
        <v>67.45</v>
      </c>
      <c r="U653" s="0" t="n">
        <v>1342</v>
      </c>
      <c r="V653" s="0" t="n">
        <v>1</v>
      </c>
      <c r="W653" s="39" t="n">
        <f aca="false">IF(I653="Male",0,1)</f>
        <v>1</v>
      </c>
      <c r="X653" s="39" t="n">
        <f aca="false">IF(OR(I653="DNB",I653="Dry DNB"),1,0)</f>
        <v>0</v>
      </c>
      <c r="Y653" s="39" t="n">
        <f aca="false">MATCH(A653,DATAS,0)</f>
        <v>1</v>
      </c>
      <c r="Z653" s="39" t="n">
        <f aca="false">IF(AND(E653&gt;0,OR(AND(B653&gt;=1,B653&lt;=6),B653=10)),1,0)</f>
        <v>0</v>
      </c>
      <c r="AA653" s="39" t="n">
        <f aca="false">IF(AND(E653&gt;0,B653=10),1,0)</f>
        <v>0</v>
      </c>
      <c r="AB653" s="0" t="str">
        <f aca="false">IF(AND(C652=C653,Y652=Y653-1),Z652,"")</f>
        <v/>
      </c>
      <c r="AC653" s="0" t="str">
        <f aca="false">IF(AND(C652=C653,Y652=Y653-1),AA652,"")</f>
        <v/>
      </c>
      <c r="AD653" s="0" t="str">
        <f aca="false">IF(Y653=1,"",IF(AND(Z653=1,AB653&lt;&gt;1),1,0))</f>
        <v/>
      </c>
      <c r="AE653" s="0" t="str">
        <f aca="false">IF(Y653=1,"",IF(AND(AA653=1,AC653&lt;&gt;1),1,0))</f>
        <v/>
      </c>
      <c r="AF653" s="45" t="str">
        <f aca="false">IF(AND(E653&gt;0,Y653&lt;1,NOT(AND(C654=C653,Y654=Y653+1))),INDEX(DATAS,Y653+1),"")</f>
        <v/>
      </c>
      <c r="AG653" s="45" t="str">
        <f aca="false">IF(AND(AA653=1,Y653&lt;1),IF(AND(C654=C653,Y654=Y653+1),IF(AA654=1,"",INDEX(DATAS,Y653+1)),INDEX(DATAS,Y653+1)),"")</f>
        <v/>
      </c>
    </row>
    <row r="654" customFormat="false" ht="15" hidden="false" customHeight="false" outlineLevel="0" collapsed="false">
      <c r="A654" s="45" t="n">
        <v>46309</v>
      </c>
      <c r="B654" s="0" t="n">
        <v>5</v>
      </c>
      <c r="C654" s="0" t="n">
        <v>4523</v>
      </c>
      <c r="D654" s="0" t="n">
        <v>280</v>
      </c>
      <c r="E654" s="0" t="n">
        <v>2</v>
      </c>
      <c r="F654" s="39" t="s">
        <v>552</v>
      </c>
      <c r="G654" s="0" t="n">
        <v>49.1</v>
      </c>
      <c r="H654" s="0" t="n">
        <v>37</v>
      </c>
      <c r="I654" s="39" t="s">
        <v>109</v>
      </c>
      <c r="J654" s="0" t="n">
        <v>63</v>
      </c>
      <c r="K654" s="0" t="n">
        <v>63</v>
      </c>
      <c r="L654" s="0" t="n">
        <v>217</v>
      </c>
      <c r="M654" s="0" t="n">
        <v>598.99</v>
      </c>
      <c r="N654" s="0" t="n">
        <v>78.57</v>
      </c>
      <c r="O654" s="0" t="n">
        <v>36.16</v>
      </c>
      <c r="P654" s="0" t="n">
        <v>4.2</v>
      </c>
      <c r="Q654" s="0" t="n">
        <v>3.65</v>
      </c>
      <c r="R654" s="0" t="n">
        <v>4857</v>
      </c>
      <c r="S654" s="0" t="n">
        <v>10980</v>
      </c>
      <c r="T654" s="0" t="n">
        <v>49.9</v>
      </c>
      <c r="U654" s="0" t="n">
        <v>1341</v>
      </c>
      <c r="V654" s="0" t="n">
        <v>1</v>
      </c>
      <c r="W654" s="39" t="n">
        <f aca="false">IF(I654="Male",0,1)</f>
        <v>1</v>
      </c>
      <c r="X654" s="39" t="n">
        <f aca="false">IF(OR(I654="DNB",I654="Dry DNB"),1,0)</f>
        <v>0</v>
      </c>
      <c r="Y654" s="39" t="n">
        <f aca="false">MATCH(A654,DATAS,0)</f>
        <v>1</v>
      </c>
      <c r="Z654" s="39" t="n">
        <f aca="false">IF(AND(E654&gt;0,OR(AND(B654&gt;=1,B654&lt;=6),B654=10)),1,0)</f>
        <v>1</v>
      </c>
      <c r="AA654" s="39" t="n">
        <f aca="false">IF(AND(E654&gt;0,B654=10),1,0)</f>
        <v>0</v>
      </c>
      <c r="AB654" s="0" t="str">
        <f aca="false">IF(AND(C653=C654,Y653=Y654-1),Z653,"")</f>
        <v/>
      </c>
      <c r="AC654" s="0" t="str">
        <f aca="false">IF(AND(C653=C654,Y653=Y654-1),AA653,"")</f>
        <v/>
      </c>
      <c r="AD654" s="0" t="str">
        <f aca="false">IF(Y654=1,"",IF(AND(Z654=1,AB654&lt;&gt;1),1,0))</f>
        <v/>
      </c>
      <c r="AE654" s="0" t="str">
        <f aca="false">IF(Y654=1,"",IF(AND(AA654=1,AC654&lt;&gt;1),1,0))</f>
        <v/>
      </c>
      <c r="AF654" s="45" t="str">
        <f aca="false">IF(AND(E654&gt;0,Y654&lt;1,NOT(AND(C655=C654,Y655=Y654+1))),INDEX(DATAS,Y654+1),"")</f>
        <v/>
      </c>
      <c r="AG654" s="45" t="str">
        <f aca="false">IF(AND(AA654=1,Y654&lt;1),IF(AND(C655=C654,Y655=Y654+1),IF(AA655=1,"",INDEX(DATAS,Y654+1)),INDEX(DATAS,Y654+1)),"")</f>
        <v/>
      </c>
    </row>
    <row r="655" customFormat="false" ht="15" hidden="false" customHeight="false" outlineLevel="0" collapsed="false">
      <c r="A655" s="45" t="n">
        <v>46309</v>
      </c>
      <c r="B655" s="0" t="n">
        <v>7</v>
      </c>
      <c r="C655" s="0" t="n">
        <v>4524</v>
      </c>
      <c r="D655" s="0" t="n">
        <v>656</v>
      </c>
      <c r="E655" s="0" t="n">
        <v>1</v>
      </c>
      <c r="F655" s="39" t="s">
        <v>552</v>
      </c>
      <c r="G655" s="0" t="n">
        <v>8.8</v>
      </c>
      <c r="H655" s="0" t="n">
        <v>17</v>
      </c>
      <c r="I655" s="39" t="s">
        <v>114</v>
      </c>
      <c r="J655" s="0" t="n">
        <v>433</v>
      </c>
      <c r="K655" s="0" t="n">
        <v>70</v>
      </c>
      <c r="L655" s="0" t="n">
        <v>224</v>
      </c>
      <c r="M655" s="0" t="n">
        <v>559.91</v>
      </c>
      <c r="N655" s="0" t="n">
        <v>28.99</v>
      </c>
      <c r="O655" s="0" t="n">
        <v>23.84</v>
      </c>
      <c r="P655" s="0" t="n">
        <v>4.53</v>
      </c>
      <c r="Q655" s="0" t="n">
        <v>3.96</v>
      </c>
      <c r="R655" s="0" t="n">
        <v>4249</v>
      </c>
      <c r="S655" s="0" t="n">
        <v>8694</v>
      </c>
      <c r="T655" s="0" t="n">
        <v>29.7</v>
      </c>
      <c r="U655" s="0" t="n">
        <v>1341</v>
      </c>
      <c r="V655" s="0" t="n">
        <v>6</v>
      </c>
      <c r="W655" s="39" t="n">
        <f aca="false">IF(I655="Male",0,1)</f>
        <v>1</v>
      </c>
      <c r="X655" s="39" t="n">
        <f aca="false">IF(OR(I655="DNB",I655="Dry DNB"),1,0)</f>
        <v>0</v>
      </c>
      <c r="Y655" s="39" t="n">
        <f aca="false">MATCH(A655,DATAS,0)</f>
        <v>1</v>
      </c>
      <c r="Z655" s="39" t="n">
        <f aca="false">IF(AND(E655&gt;0,OR(AND(B655&gt;=1,B655&lt;=6),B655=10)),1,0)</f>
        <v>0</v>
      </c>
      <c r="AA655" s="39" t="n">
        <f aca="false">IF(AND(E655&gt;0,B655=10),1,0)</f>
        <v>0</v>
      </c>
      <c r="AB655" s="0" t="str">
        <f aca="false">IF(AND(C654=C655,Y654=Y655-1),Z654,"")</f>
        <v/>
      </c>
      <c r="AC655" s="0" t="str">
        <f aca="false">IF(AND(C654=C655,Y654=Y655-1),AA654,"")</f>
        <v/>
      </c>
      <c r="AD655" s="0" t="str">
        <f aca="false">IF(Y655=1,"",IF(AND(Z655=1,AB655&lt;&gt;1),1,0))</f>
        <v/>
      </c>
      <c r="AE655" s="0" t="str">
        <f aca="false">IF(Y655=1,"",IF(AND(AA655=1,AC655&lt;&gt;1),1,0))</f>
        <v/>
      </c>
      <c r="AF655" s="45" t="str">
        <f aca="false">IF(AND(E655&gt;0,Y655&lt;1,NOT(AND(C656=C655,Y656=Y655+1))),INDEX(DATAS,Y655+1),"")</f>
        <v/>
      </c>
      <c r="AG655" s="45" t="str">
        <f aca="false">IF(AND(AA655=1,Y655&lt;1),IF(AND(C656=C655,Y656=Y655+1),IF(AA656=1,"",INDEX(DATAS,Y655+1)),INDEX(DATAS,Y655+1)),"")</f>
        <v/>
      </c>
    </row>
    <row r="656" customFormat="false" ht="15" hidden="false" customHeight="false" outlineLevel="0" collapsed="false">
      <c r="A656" s="45" t="n">
        <v>46309</v>
      </c>
      <c r="B656" s="0" t="n">
        <v>5</v>
      </c>
      <c r="C656" s="0" t="n">
        <v>4525</v>
      </c>
      <c r="D656" s="0" t="n">
        <v>346</v>
      </c>
      <c r="E656" s="0" t="n">
        <v>2</v>
      </c>
      <c r="F656" s="39" t="s">
        <v>552</v>
      </c>
      <c r="G656" s="0" t="n">
        <v>44.2</v>
      </c>
      <c r="H656" s="0" t="n">
        <v>43</v>
      </c>
      <c r="I656" s="39" t="s">
        <v>109</v>
      </c>
      <c r="J656" s="0" t="n">
        <v>234</v>
      </c>
      <c r="K656" s="0" t="n">
        <v>67</v>
      </c>
      <c r="L656" s="0" t="n">
        <v>112</v>
      </c>
      <c r="M656" s="0" t="n">
        <v>307.27</v>
      </c>
      <c r="N656" s="0" t="n">
        <v>13.06</v>
      </c>
      <c r="O656" s="0" t="n">
        <v>10.49</v>
      </c>
      <c r="P656" s="0" t="n">
        <v>4.31</v>
      </c>
      <c r="Q656" s="0" t="n">
        <v>3.4</v>
      </c>
      <c r="R656" s="0" t="n">
        <v>6007</v>
      </c>
      <c r="S656" s="0" t="n">
        <v>11614</v>
      </c>
      <c r="T656" s="0" t="n">
        <v>67.35</v>
      </c>
      <c r="U656" s="0" t="n">
        <v>1341</v>
      </c>
      <c r="V656" s="0" t="n">
        <v>4</v>
      </c>
      <c r="W656" s="39" t="n">
        <f aca="false">IF(I656="Male",0,1)</f>
        <v>1</v>
      </c>
      <c r="X656" s="39" t="n">
        <f aca="false">IF(OR(I656="DNB",I656="Dry DNB"),1,0)</f>
        <v>0</v>
      </c>
      <c r="Y656" s="39" t="n">
        <f aca="false">MATCH(A656,DATAS,0)</f>
        <v>1</v>
      </c>
      <c r="Z656" s="39" t="n">
        <f aca="false">IF(AND(E656&gt;0,OR(AND(B656&gt;=1,B656&lt;=6),B656=10)),1,0)</f>
        <v>1</v>
      </c>
      <c r="AA656" s="39" t="n">
        <f aca="false">IF(AND(E656&gt;0,B656=10),1,0)</f>
        <v>0</v>
      </c>
      <c r="AB656" s="0" t="str">
        <f aca="false">IF(AND(C655=C656,Y655=Y656-1),Z655,"")</f>
        <v/>
      </c>
      <c r="AC656" s="0" t="str">
        <f aca="false">IF(AND(C655=C656,Y655=Y656-1),AA655,"")</f>
        <v/>
      </c>
      <c r="AD656" s="0" t="str">
        <f aca="false">IF(Y656=1,"",IF(AND(Z656=1,AB656&lt;&gt;1),1,0))</f>
        <v/>
      </c>
      <c r="AE656" s="0" t="str">
        <f aca="false">IF(Y656=1,"",IF(AND(AA656=1,AC656&lt;&gt;1),1,0))</f>
        <v/>
      </c>
      <c r="AF656" s="45" t="str">
        <f aca="false">IF(AND(E656&gt;0,Y656&lt;1,NOT(AND(C657=C656,Y657=Y656+1))),INDEX(DATAS,Y656+1),"")</f>
        <v/>
      </c>
      <c r="AG656" s="45" t="str">
        <f aca="false">IF(AND(AA656=1,Y656&lt;1),IF(AND(C657=C656,Y657=Y656+1),IF(AA657=1,"",INDEX(DATAS,Y656+1)),INDEX(DATAS,Y656+1)),"")</f>
        <v/>
      </c>
    </row>
    <row r="657" customFormat="false" ht="15" hidden="false" customHeight="false" outlineLevel="0" collapsed="false">
      <c r="A657" s="45" t="n">
        <v>46309</v>
      </c>
      <c r="B657" s="0" t="n">
        <v>2</v>
      </c>
      <c r="C657" s="0" t="n">
        <v>4528</v>
      </c>
      <c r="D657" s="0" t="n">
        <v>193</v>
      </c>
      <c r="E657" s="0" t="n">
        <v>2</v>
      </c>
      <c r="F657" s="39" t="s">
        <v>553</v>
      </c>
      <c r="G657" s="0" t="n">
        <v>55.4</v>
      </c>
      <c r="H657" s="0" t="n">
        <v>55</v>
      </c>
      <c r="I657" s="39" t="s">
        <v>109</v>
      </c>
      <c r="J657" s="0" t="n">
        <v>67</v>
      </c>
      <c r="K657" s="0" t="n">
        <v>67</v>
      </c>
      <c r="L657" s="0" t="n">
        <v>126</v>
      </c>
      <c r="M657" s="0" t="n">
        <v>56.94</v>
      </c>
      <c r="N657" s="0" t="n">
        <v>29.81</v>
      </c>
      <c r="O657" s="0" t="n">
        <v>23.79</v>
      </c>
      <c r="P657" s="0" t="n">
        <v>3.39</v>
      </c>
      <c r="Q657" s="0" t="n">
        <v>3.8</v>
      </c>
      <c r="R657" s="0" t="n">
        <v>4741</v>
      </c>
      <c r="S657" s="0" t="n">
        <v>9979</v>
      </c>
      <c r="T657" s="0" t="n">
        <v>51.15</v>
      </c>
      <c r="U657" s="0" t="n">
        <v>1338</v>
      </c>
      <c r="V657" s="0" t="n">
        <v>1</v>
      </c>
      <c r="W657" s="39" t="n">
        <f aca="false">IF(I657="Male",0,1)</f>
        <v>1</v>
      </c>
      <c r="X657" s="39" t="n">
        <f aca="false">IF(OR(I657="DNB",I657="Dry DNB"),1,0)</f>
        <v>0</v>
      </c>
      <c r="Y657" s="39" t="n">
        <f aca="false">MATCH(A657,DATAS,0)</f>
        <v>1</v>
      </c>
      <c r="Z657" s="39" t="n">
        <f aca="false">IF(AND(E657&gt;0,OR(AND(B657&gt;=1,B657&lt;=6),B657=10)),1,0)</f>
        <v>1</v>
      </c>
      <c r="AA657" s="39" t="n">
        <f aca="false">IF(AND(E657&gt;0,B657=10),1,0)</f>
        <v>0</v>
      </c>
      <c r="AB657" s="0" t="str">
        <f aca="false">IF(AND(C656=C657,Y656=Y657-1),Z656,"")</f>
        <v/>
      </c>
      <c r="AC657" s="0" t="str">
        <f aca="false">IF(AND(C656=C657,Y656=Y657-1),AA656,"")</f>
        <v/>
      </c>
      <c r="AD657" s="0" t="str">
        <f aca="false">IF(Y657=1,"",IF(AND(Z657=1,AB657&lt;&gt;1),1,0))</f>
        <v/>
      </c>
      <c r="AE657" s="0" t="str">
        <f aca="false">IF(Y657=1,"",IF(AND(AA657=1,AC657&lt;&gt;1),1,0))</f>
        <v/>
      </c>
      <c r="AF657" s="45" t="str">
        <f aca="false">IF(AND(E657&gt;0,Y657&lt;1,NOT(AND(C658=C657,Y658=Y657+1))),INDEX(DATAS,Y657+1),"")</f>
        <v/>
      </c>
      <c r="AG657" s="45" t="str">
        <f aca="false">IF(AND(AA657=1,Y657&lt;1),IF(AND(C658=C657,Y658=Y657+1),IF(AA658=1,"",INDEX(DATAS,Y657+1)),INDEX(DATAS,Y657+1)),"")</f>
        <v/>
      </c>
    </row>
    <row r="658" customFormat="false" ht="15" hidden="false" customHeight="false" outlineLevel="0" collapsed="false">
      <c r="A658" s="45" t="n">
        <v>46309</v>
      </c>
      <c r="B658" s="0" t="n">
        <v>5</v>
      </c>
      <c r="C658" s="0" t="n">
        <v>4531</v>
      </c>
      <c r="D658" s="0" t="n">
        <v>365</v>
      </c>
      <c r="E658" s="0" t="n">
        <v>2</v>
      </c>
      <c r="F658" s="39" t="s">
        <v>554</v>
      </c>
      <c r="G658" s="0" t="n">
        <v>42.9</v>
      </c>
      <c r="H658" s="0" t="n">
        <v>42</v>
      </c>
      <c r="I658" s="39" t="s">
        <v>109</v>
      </c>
      <c r="J658" s="0" t="n">
        <v>180</v>
      </c>
      <c r="K658" s="0" t="n">
        <v>65</v>
      </c>
      <c r="L658" s="0" t="n">
        <v>185</v>
      </c>
      <c r="M658" s="0" t="n">
        <v>829.9</v>
      </c>
      <c r="N658" s="0" t="n">
        <v>33.65</v>
      </c>
      <c r="O658" s="0" t="n">
        <v>28.15</v>
      </c>
      <c r="P658" s="0" t="n">
        <v>3.55</v>
      </c>
      <c r="Q658" s="0" t="n">
        <v>3.57</v>
      </c>
      <c r="R658" s="0" t="n">
        <v>5603</v>
      </c>
      <c r="S658" s="0" t="n">
        <v>11151</v>
      </c>
      <c r="T658" s="0" t="n">
        <v>63.3</v>
      </c>
      <c r="U658" s="0" t="n">
        <v>1337</v>
      </c>
      <c r="V658" s="0" t="n">
        <v>5</v>
      </c>
      <c r="W658" s="39" t="n">
        <f aca="false">IF(I658="Male",0,1)</f>
        <v>1</v>
      </c>
      <c r="X658" s="39" t="n">
        <f aca="false">IF(OR(I658="DNB",I658="Dry DNB"),1,0)</f>
        <v>0</v>
      </c>
      <c r="Y658" s="39" t="n">
        <f aca="false">MATCH(A658,DATAS,0)</f>
        <v>1</v>
      </c>
      <c r="Z658" s="39" t="n">
        <f aca="false">IF(AND(E658&gt;0,OR(AND(B658&gt;=1,B658&lt;=6),B658=10)),1,0)</f>
        <v>1</v>
      </c>
      <c r="AA658" s="39" t="n">
        <f aca="false">IF(AND(E658&gt;0,B658=10),1,0)</f>
        <v>0</v>
      </c>
      <c r="AB658" s="0" t="str">
        <f aca="false">IF(AND(C657=C658,Y657=Y658-1),Z657,"")</f>
        <v/>
      </c>
      <c r="AC658" s="0" t="str">
        <f aca="false">IF(AND(C657=C658,Y657=Y658-1),AA657,"")</f>
        <v/>
      </c>
      <c r="AD658" s="0" t="str">
        <f aca="false">IF(Y658=1,"",IF(AND(Z658=1,AB658&lt;&gt;1),1,0))</f>
        <v/>
      </c>
      <c r="AE658" s="0" t="str">
        <f aca="false">IF(Y658=1,"",IF(AND(AA658=1,AC658&lt;&gt;1),1,0))</f>
        <v/>
      </c>
      <c r="AF658" s="45" t="str">
        <f aca="false">IF(AND(E658&gt;0,Y658&lt;1,NOT(AND(C659=C658,Y659=Y658+1))),INDEX(DATAS,Y658+1),"")</f>
        <v/>
      </c>
      <c r="AG658" s="45" t="str">
        <f aca="false">IF(AND(AA658=1,Y658&lt;1),IF(AND(C659=C658,Y659=Y658+1),IF(AA659=1,"",INDEX(DATAS,Y658+1)),INDEX(DATAS,Y658+1)),"")</f>
        <v/>
      </c>
    </row>
    <row r="659" customFormat="false" ht="15" hidden="false" customHeight="false" outlineLevel="0" collapsed="false">
      <c r="A659" s="45" t="n">
        <v>46309</v>
      </c>
      <c r="B659" s="0" t="n">
        <v>5</v>
      </c>
      <c r="C659" s="0" t="n">
        <v>4532</v>
      </c>
      <c r="D659" s="0" t="n">
        <v>182</v>
      </c>
      <c r="E659" s="0" t="n">
        <v>2</v>
      </c>
      <c r="F659" s="39" t="s">
        <v>554</v>
      </c>
      <c r="G659" s="0" t="n">
        <v>20.9</v>
      </c>
      <c r="H659" s="0" t="n">
        <v>24</v>
      </c>
      <c r="I659" s="39" t="s">
        <v>138</v>
      </c>
      <c r="J659" s="0" t="n">
        <v>182</v>
      </c>
      <c r="K659" s="0" t="n">
        <v>63</v>
      </c>
      <c r="M659" s="0" t="n">
        <v>403.75</v>
      </c>
      <c r="N659" s="0" t="n">
        <v>64.35</v>
      </c>
      <c r="O659" s="0" t="n">
        <v>22.76</v>
      </c>
      <c r="P659" s="0" t="n">
        <v>4.91</v>
      </c>
      <c r="Q659" s="0" t="n">
        <v>3.59</v>
      </c>
      <c r="R659" s="0" t="n">
        <v>4663</v>
      </c>
      <c r="S659" s="0" t="n">
        <v>8476</v>
      </c>
      <c r="T659" s="0" t="n">
        <v>51.3</v>
      </c>
      <c r="U659" s="0" t="n">
        <v>1337</v>
      </c>
      <c r="V659" s="0" t="n">
        <v>3</v>
      </c>
      <c r="W659" s="39" t="n">
        <f aca="false">IF(I659="Male",0,1)</f>
        <v>1</v>
      </c>
      <c r="X659" s="39" t="n">
        <f aca="false">IF(OR(I659="DNB",I659="Dry DNB"),1,0)</f>
        <v>0</v>
      </c>
      <c r="Y659" s="39" t="n">
        <f aca="false">MATCH(A659,DATAS,0)</f>
        <v>1</v>
      </c>
      <c r="Z659" s="39" t="n">
        <f aca="false">IF(AND(E659&gt;0,OR(AND(B659&gt;=1,B659&lt;=6),B659=10)),1,0)</f>
        <v>1</v>
      </c>
      <c r="AA659" s="39" t="n">
        <f aca="false">IF(AND(E659&gt;0,B659=10),1,0)</f>
        <v>0</v>
      </c>
      <c r="AB659" s="0" t="str">
        <f aca="false">IF(AND(C658=C659,Y658=Y659-1),Z658,"")</f>
        <v/>
      </c>
      <c r="AC659" s="0" t="str">
        <f aca="false">IF(AND(C658=C659,Y658=Y659-1),AA658,"")</f>
        <v/>
      </c>
      <c r="AD659" s="0" t="str">
        <f aca="false">IF(Y659=1,"",IF(AND(Z659=1,AB659&lt;&gt;1),1,0))</f>
        <v/>
      </c>
      <c r="AE659" s="0" t="str">
        <f aca="false">IF(Y659=1,"",IF(AND(AA659=1,AC659&lt;&gt;1),1,0))</f>
        <v/>
      </c>
      <c r="AF659" s="45" t="str">
        <f aca="false">IF(AND(E659&gt;0,Y659&lt;1,NOT(AND(C660=C659,Y660=Y659+1))),INDEX(DATAS,Y659+1),"")</f>
        <v/>
      </c>
      <c r="AG659" s="45" t="str">
        <f aca="false">IF(AND(AA659=1,Y659&lt;1),IF(AND(C660=C659,Y660=Y659+1),IF(AA660=1,"",INDEX(DATAS,Y659+1)),INDEX(DATAS,Y659+1)),"")</f>
        <v/>
      </c>
    </row>
    <row r="660" customFormat="false" ht="15" hidden="false" customHeight="false" outlineLevel="0" collapsed="false">
      <c r="A660" s="45" t="n">
        <v>46309</v>
      </c>
      <c r="B660" s="0" t="n">
        <v>14</v>
      </c>
      <c r="C660" s="0" t="n">
        <v>4533</v>
      </c>
      <c r="D660" s="0" t="n">
        <v>291</v>
      </c>
      <c r="E660" s="0" t="n">
        <v>2</v>
      </c>
      <c r="F660" s="39" t="s">
        <v>554</v>
      </c>
      <c r="I660" s="39" t="s">
        <v>114</v>
      </c>
      <c r="J660" s="0" t="n">
        <v>69</v>
      </c>
      <c r="K660" s="0" t="n">
        <v>69</v>
      </c>
      <c r="L660" s="0" t="n">
        <v>279</v>
      </c>
      <c r="M660" s="0" t="n">
        <v>1831.84</v>
      </c>
      <c r="N660" s="0" t="n">
        <v>19.33</v>
      </c>
      <c r="O660" s="0" t="n">
        <v>27.87</v>
      </c>
      <c r="P660" s="0" t="n">
        <v>3.38</v>
      </c>
      <c r="Q660" s="0" t="n">
        <v>3.05</v>
      </c>
      <c r="R660" s="0" t="n">
        <v>5771</v>
      </c>
      <c r="S660" s="0" t="n">
        <v>11990</v>
      </c>
      <c r="T660" s="0" t="n">
        <v>64.9</v>
      </c>
      <c r="U660" s="0" t="n">
        <v>1337</v>
      </c>
      <c r="V660" s="0" t="n">
        <v>1</v>
      </c>
      <c r="W660" s="39" t="n">
        <f aca="false">IF(I660="Male",0,1)</f>
        <v>1</v>
      </c>
      <c r="X660" s="39" t="n">
        <f aca="false">IF(OR(I660="DNB",I660="Dry DNB"),1,0)</f>
        <v>0</v>
      </c>
      <c r="Y660" s="39" t="n">
        <f aca="false">MATCH(A660,DATAS,0)</f>
        <v>1</v>
      </c>
      <c r="Z660" s="39" t="n">
        <f aca="false">IF(AND(E660&gt;0,OR(AND(B660&gt;=1,B660&lt;=6),B660=10)),1,0)</f>
        <v>0</v>
      </c>
      <c r="AA660" s="39" t="n">
        <f aca="false">IF(AND(E660&gt;0,B660=10),1,0)</f>
        <v>0</v>
      </c>
      <c r="AB660" s="0" t="str">
        <f aca="false">IF(AND(C659=C660,Y659=Y660-1),Z659,"")</f>
        <v/>
      </c>
      <c r="AC660" s="0" t="str">
        <f aca="false">IF(AND(C659=C660,Y659=Y660-1),AA659,"")</f>
        <v/>
      </c>
      <c r="AD660" s="0" t="str">
        <f aca="false">IF(Y660=1,"",IF(AND(Z660=1,AB660&lt;&gt;1),1,0))</f>
        <v/>
      </c>
      <c r="AE660" s="0" t="str">
        <f aca="false">IF(Y660=1,"",IF(AND(AA660=1,AC660&lt;&gt;1),1,0))</f>
        <v/>
      </c>
      <c r="AF660" s="45" t="str">
        <f aca="false">IF(AND(E660&gt;0,Y660&lt;1,NOT(AND(C661=C660,Y661=Y660+1))),INDEX(DATAS,Y660+1),"")</f>
        <v/>
      </c>
      <c r="AG660" s="45" t="str">
        <f aca="false">IF(AND(AA660=1,Y660&lt;1),IF(AND(C661=C660,Y661=Y660+1),IF(AA661=1,"",INDEX(DATAS,Y660+1)),INDEX(DATAS,Y660+1)),"")</f>
        <v/>
      </c>
    </row>
    <row r="661" customFormat="false" ht="15" hidden="false" customHeight="false" outlineLevel="0" collapsed="false">
      <c r="A661" s="45" t="n">
        <v>46309</v>
      </c>
      <c r="B661" s="0" t="n">
        <v>5</v>
      </c>
      <c r="C661" s="0" t="n">
        <v>4534</v>
      </c>
      <c r="D661" s="0" t="n">
        <v>275</v>
      </c>
      <c r="E661" s="0" t="n">
        <v>2</v>
      </c>
      <c r="F661" s="39" t="s">
        <v>555</v>
      </c>
      <c r="G661" s="0" t="n">
        <v>27.3</v>
      </c>
      <c r="H661" s="0" t="n">
        <v>23</v>
      </c>
      <c r="I661" s="39" t="s">
        <v>109</v>
      </c>
      <c r="J661" s="0" t="n">
        <v>65</v>
      </c>
      <c r="K661" s="0" t="n">
        <v>72</v>
      </c>
      <c r="L661" s="0" t="n">
        <v>210</v>
      </c>
      <c r="M661" s="0" t="n">
        <v>89.83</v>
      </c>
      <c r="N661" s="0" t="n">
        <v>39.32</v>
      </c>
      <c r="O661" s="0" t="n">
        <v>22.17</v>
      </c>
      <c r="P661" s="0" t="n">
        <v>5.11</v>
      </c>
      <c r="Q661" s="0" t="n">
        <v>4.19</v>
      </c>
      <c r="R661" s="0" t="n">
        <v>4691</v>
      </c>
      <c r="S661" s="0" t="n">
        <v>9622</v>
      </c>
      <c r="T661" s="0" t="n">
        <v>43.75</v>
      </c>
      <c r="U661" s="0" t="n">
        <v>1334</v>
      </c>
      <c r="V661" s="0" t="n">
        <v>1</v>
      </c>
      <c r="W661" s="39" t="n">
        <f aca="false">IF(I661="Male",0,1)</f>
        <v>1</v>
      </c>
      <c r="X661" s="39" t="n">
        <f aca="false">IF(OR(I661="DNB",I661="Dry DNB"),1,0)</f>
        <v>0</v>
      </c>
      <c r="Y661" s="39" t="n">
        <f aca="false">MATCH(A661,DATAS,0)</f>
        <v>1</v>
      </c>
      <c r="Z661" s="39" t="n">
        <f aca="false">IF(AND(E661&gt;0,OR(AND(B661&gt;=1,B661&lt;=6),B661=10)),1,0)</f>
        <v>1</v>
      </c>
      <c r="AA661" s="39" t="n">
        <f aca="false">IF(AND(E661&gt;0,B661=10),1,0)</f>
        <v>0</v>
      </c>
      <c r="AB661" s="0" t="str">
        <f aca="false">IF(AND(C660=C661,Y660=Y661-1),Z660,"")</f>
        <v/>
      </c>
      <c r="AC661" s="0" t="str">
        <f aca="false">IF(AND(C660=C661,Y660=Y661-1),AA660,"")</f>
        <v/>
      </c>
      <c r="AD661" s="0" t="str">
        <f aca="false">IF(Y661=1,"",IF(AND(Z661=1,AB661&lt;&gt;1),1,0))</f>
        <v/>
      </c>
      <c r="AE661" s="0" t="str">
        <f aca="false">IF(Y661=1,"",IF(AND(AA661=1,AC661&lt;&gt;1),1,0))</f>
        <v/>
      </c>
      <c r="AF661" s="45" t="str">
        <f aca="false">IF(AND(E661&gt;0,Y661&lt;1,NOT(AND(C662=C661,Y662=Y661+1))),INDEX(DATAS,Y661+1),"")</f>
        <v/>
      </c>
      <c r="AG661" s="45" t="str">
        <f aca="false">IF(AND(AA661=1,Y661&lt;1),IF(AND(C662=C661,Y662=Y661+1),IF(AA662=1,"",INDEX(DATAS,Y661+1)),INDEX(DATAS,Y661+1)),"")</f>
        <v/>
      </c>
    </row>
    <row r="662" customFormat="false" ht="15" hidden="false" customHeight="false" outlineLevel="0" collapsed="false">
      <c r="A662" s="45" t="n">
        <v>46309</v>
      </c>
      <c r="B662" s="0" t="n">
        <v>2</v>
      </c>
      <c r="C662" s="0" t="n">
        <v>4535</v>
      </c>
      <c r="D662" s="0" t="n">
        <v>352</v>
      </c>
      <c r="E662" s="0" t="n">
        <v>2</v>
      </c>
      <c r="F662" s="39" t="s">
        <v>556</v>
      </c>
      <c r="G662" s="0" t="n">
        <v>43.4</v>
      </c>
      <c r="H662" s="0" t="n">
        <v>46</v>
      </c>
      <c r="I662" s="39" t="s">
        <v>109</v>
      </c>
      <c r="J662" s="0" t="n">
        <v>142</v>
      </c>
      <c r="K662" s="0" t="n">
        <v>66</v>
      </c>
      <c r="L662" s="0" t="n">
        <v>210</v>
      </c>
      <c r="M662" s="0" t="n">
        <v>556.95</v>
      </c>
      <c r="N662" s="0" t="n">
        <v>31.85</v>
      </c>
      <c r="O662" s="0" t="n">
        <v>32.96</v>
      </c>
      <c r="P662" s="0" t="n">
        <v>4.68</v>
      </c>
      <c r="Q662" s="0" t="n">
        <v>3.54</v>
      </c>
      <c r="R662" s="0" t="n">
        <v>5577</v>
      </c>
      <c r="S662" s="0" t="n">
        <v>11506</v>
      </c>
      <c r="T662" s="0" t="n">
        <v>60.3</v>
      </c>
      <c r="U662" s="0" t="n">
        <v>1336</v>
      </c>
      <c r="V662" s="0" t="n">
        <v>4</v>
      </c>
      <c r="W662" s="39" t="n">
        <f aca="false">IF(I662="Male",0,1)</f>
        <v>1</v>
      </c>
      <c r="X662" s="39" t="n">
        <f aca="false">IF(OR(I662="DNB",I662="Dry DNB"),1,0)</f>
        <v>0</v>
      </c>
      <c r="Y662" s="39" t="n">
        <f aca="false">MATCH(A662,DATAS,0)</f>
        <v>1</v>
      </c>
      <c r="Z662" s="39" t="n">
        <f aca="false">IF(AND(E662&gt;0,OR(AND(B662&gt;=1,B662&lt;=6),B662=10)),1,0)</f>
        <v>1</v>
      </c>
      <c r="AA662" s="39" t="n">
        <f aca="false">IF(AND(E662&gt;0,B662=10),1,0)</f>
        <v>0</v>
      </c>
      <c r="AB662" s="0" t="str">
        <f aca="false">IF(AND(C661=C662,Y661=Y662-1),Z661,"")</f>
        <v/>
      </c>
      <c r="AC662" s="0" t="str">
        <f aca="false">IF(AND(C661=C662,Y661=Y662-1),AA661,"")</f>
        <v/>
      </c>
      <c r="AD662" s="0" t="str">
        <f aca="false">IF(Y662=1,"",IF(AND(Z662=1,AB662&lt;&gt;1),1,0))</f>
        <v/>
      </c>
      <c r="AE662" s="0" t="str">
        <f aca="false">IF(Y662=1,"",IF(AND(AA662=1,AC662&lt;&gt;1),1,0))</f>
        <v/>
      </c>
      <c r="AF662" s="45" t="str">
        <f aca="false">IF(AND(E662&gt;0,Y662&lt;1,NOT(AND(C663=C662,Y663=Y662+1))),INDEX(DATAS,Y662+1),"")</f>
        <v/>
      </c>
      <c r="AG662" s="45" t="str">
        <f aca="false">IF(AND(AA662=1,Y662&lt;1),IF(AND(C663=C662,Y663=Y662+1),IF(AA663=1,"",INDEX(DATAS,Y662+1)),INDEX(DATAS,Y662+1)),"")</f>
        <v/>
      </c>
    </row>
    <row r="663" customFormat="false" ht="15" hidden="false" customHeight="false" outlineLevel="0" collapsed="false">
      <c r="A663" s="45" t="n">
        <v>46309</v>
      </c>
      <c r="B663" s="0" t="n">
        <v>3</v>
      </c>
      <c r="C663" s="0" t="n">
        <v>4536</v>
      </c>
      <c r="D663" s="0" t="n">
        <v>192</v>
      </c>
      <c r="E663" s="0" t="n">
        <v>2</v>
      </c>
      <c r="F663" s="39" t="s">
        <v>556</v>
      </c>
      <c r="G663" s="0" t="n">
        <v>56.1</v>
      </c>
      <c r="H663" s="0" t="n">
        <v>56</v>
      </c>
      <c r="I663" s="39" t="s">
        <v>109</v>
      </c>
      <c r="J663" s="0" t="n">
        <v>66</v>
      </c>
      <c r="K663" s="0" t="n">
        <v>66</v>
      </c>
      <c r="L663" s="0" t="n">
        <v>126</v>
      </c>
      <c r="M663" s="0" t="n">
        <v>561.19</v>
      </c>
      <c r="N663" s="0" t="n">
        <v>75.5</v>
      </c>
      <c r="O663" s="0" t="n">
        <v>36.4</v>
      </c>
      <c r="P663" s="0" t="n">
        <v>4.37</v>
      </c>
      <c r="Q663" s="0" t="n">
        <v>3.19</v>
      </c>
      <c r="R663" s="0" t="n">
        <v>5382</v>
      </c>
      <c r="S663" s="0" t="n">
        <v>11662</v>
      </c>
      <c r="T663" s="0" t="n">
        <v>58.65</v>
      </c>
      <c r="U663" s="0" t="n">
        <v>1336</v>
      </c>
      <c r="V663" s="0" t="n">
        <v>1</v>
      </c>
      <c r="W663" s="39" t="n">
        <f aca="false">IF(I663="Male",0,1)</f>
        <v>1</v>
      </c>
      <c r="X663" s="39" t="n">
        <f aca="false">IF(OR(I663="DNB",I663="Dry DNB"),1,0)</f>
        <v>0</v>
      </c>
      <c r="Y663" s="39" t="n">
        <f aca="false">MATCH(A663,DATAS,0)</f>
        <v>1</v>
      </c>
      <c r="Z663" s="39" t="n">
        <f aca="false">IF(AND(E663&gt;0,OR(AND(B663&gt;=1,B663&lt;=6),B663=10)),1,0)</f>
        <v>1</v>
      </c>
      <c r="AA663" s="39" t="n">
        <f aca="false">IF(AND(E663&gt;0,B663=10),1,0)</f>
        <v>0</v>
      </c>
      <c r="AB663" s="0" t="str">
        <f aca="false">IF(AND(C662=C663,Y662=Y663-1),Z662,"")</f>
        <v/>
      </c>
      <c r="AC663" s="0" t="str">
        <f aca="false">IF(AND(C662=C663,Y662=Y663-1),AA662,"")</f>
        <v/>
      </c>
      <c r="AD663" s="0" t="str">
        <f aca="false">IF(Y663=1,"",IF(AND(Z663=1,AB663&lt;&gt;1),1,0))</f>
        <v/>
      </c>
      <c r="AE663" s="0" t="str">
        <f aca="false">IF(Y663=1,"",IF(AND(AA663=1,AC663&lt;&gt;1),1,0))</f>
        <v/>
      </c>
      <c r="AF663" s="45" t="str">
        <f aca="false">IF(AND(E663&gt;0,Y663&lt;1,NOT(AND(C664=C663,Y664=Y663+1))),INDEX(DATAS,Y663+1),"")</f>
        <v/>
      </c>
      <c r="AG663" s="45" t="str">
        <f aca="false">IF(AND(AA663=1,Y663&lt;1),IF(AND(C664=C663,Y664=Y663+1),IF(AA664=1,"",INDEX(DATAS,Y663+1)),INDEX(DATAS,Y663+1)),"")</f>
        <v/>
      </c>
    </row>
    <row r="664" customFormat="false" ht="15" hidden="false" customHeight="false" outlineLevel="0" collapsed="false">
      <c r="A664" s="45" t="n">
        <v>46309</v>
      </c>
      <c r="B664" s="0" t="n">
        <v>5</v>
      </c>
      <c r="C664" s="0" t="n">
        <v>4538</v>
      </c>
      <c r="D664" s="0" t="n">
        <v>198</v>
      </c>
      <c r="E664" s="0" t="n">
        <v>2</v>
      </c>
      <c r="F664" s="39" t="s">
        <v>557</v>
      </c>
      <c r="G664" s="0" t="n">
        <v>38.4</v>
      </c>
      <c r="H664" s="0" t="n">
        <v>36</v>
      </c>
      <c r="I664" s="39" t="s">
        <v>109</v>
      </c>
      <c r="J664" s="0" t="n">
        <v>86</v>
      </c>
      <c r="K664" s="0" t="n">
        <v>65</v>
      </c>
      <c r="L664" s="0" t="n">
        <v>112</v>
      </c>
      <c r="M664" s="0" t="n">
        <v>870.09</v>
      </c>
      <c r="N664" s="0" t="n">
        <v>79.22</v>
      </c>
      <c r="O664" s="0" t="n">
        <v>35.97</v>
      </c>
      <c r="P664" s="0" t="n">
        <v>4.91</v>
      </c>
      <c r="Q664" s="0" t="n">
        <v>3.55</v>
      </c>
      <c r="R664" s="0" t="n">
        <v>4529</v>
      </c>
      <c r="S664" s="0" t="n">
        <v>7994</v>
      </c>
      <c r="T664" s="0" t="n">
        <v>52.05</v>
      </c>
      <c r="U664" s="0" t="n">
        <v>1335</v>
      </c>
      <c r="V664" s="0" t="n">
        <v>2</v>
      </c>
      <c r="W664" s="39" t="n">
        <f aca="false">IF(I664="Male",0,1)</f>
        <v>1</v>
      </c>
      <c r="X664" s="39" t="n">
        <f aca="false">IF(OR(I664="DNB",I664="Dry DNB"),1,0)</f>
        <v>0</v>
      </c>
      <c r="Y664" s="39" t="n">
        <f aca="false">MATCH(A664,DATAS,0)</f>
        <v>1</v>
      </c>
      <c r="Z664" s="39" t="n">
        <f aca="false">IF(AND(E664&gt;0,OR(AND(B664&gt;=1,B664&lt;=6),B664=10)),1,0)</f>
        <v>1</v>
      </c>
      <c r="AA664" s="39" t="n">
        <f aca="false">IF(AND(E664&gt;0,B664=10),1,0)</f>
        <v>0</v>
      </c>
      <c r="AB664" s="0" t="str">
        <f aca="false">IF(AND(C663=C664,Y663=Y664-1),Z663,"")</f>
        <v/>
      </c>
      <c r="AC664" s="0" t="str">
        <f aca="false">IF(AND(C663=C664,Y663=Y664-1),AA663,"")</f>
        <v/>
      </c>
      <c r="AD664" s="0" t="str">
        <f aca="false">IF(Y664=1,"",IF(AND(Z664=1,AB664&lt;&gt;1),1,0))</f>
        <v/>
      </c>
      <c r="AE664" s="0" t="str">
        <f aca="false">IF(Y664=1,"",IF(AND(AA664=1,AC664&lt;&gt;1),1,0))</f>
        <v/>
      </c>
      <c r="AF664" s="45" t="str">
        <f aca="false">IF(AND(E664&gt;0,Y664&lt;1,NOT(AND(C665=C664,Y665=Y664+1))),INDEX(DATAS,Y664+1),"")</f>
        <v/>
      </c>
      <c r="AG664" s="45" t="str">
        <f aca="false">IF(AND(AA664=1,Y664&lt;1),IF(AND(C665=C664,Y665=Y664+1),IF(AA665=1,"",INDEX(DATAS,Y664+1)),INDEX(DATAS,Y664+1)),"")</f>
        <v/>
      </c>
    </row>
    <row r="665" customFormat="false" ht="15" hidden="false" customHeight="false" outlineLevel="0" collapsed="false">
      <c r="A665" s="45" t="n">
        <v>46309</v>
      </c>
      <c r="B665" s="0" t="n">
        <v>5</v>
      </c>
      <c r="C665" s="0" t="n">
        <v>4541</v>
      </c>
      <c r="D665" s="0" t="n">
        <v>360</v>
      </c>
      <c r="E665" s="0" t="n">
        <v>2</v>
      </c>
      <c r="F665" s="39" t="s">
        <v>558</v>
      </c>
      <c r="G665" s="0" t="n">
        <v>34.7</v>
      </c>
      <c r="H665" s="0" t="n">
        <v>35</v>
      </c>
      <c r="I665" s="39" t="s">
        <v>109</v>
      </c>
      <c r="J665" s="0" t="n">
        <v>189</v>
      </c>
      <c r="K665" s="0" t="n">
        <v>67</v>
      </c>
      <c r="L665" s="0" t="n">
        <v>171</v>
      </c>
      <c r="M665" s="0" t="n">
        <v>589.35</v>
      </c>
      <c r="N665" s="0" t="n">
        <v>62.28</v>
      </c>
      <c r="O665" s="0" t="n">
        <v>27.7</v>
      </c>
      <c r="P665" s="0" t="n">
        <v>4.48</v>
      </c>
      <c r="Q665" s="0" t="n">
        <v>3.84</v>
      </c>
      <c r="R665" s="0" t="n">
        <v>5418</v>
      </c>
      <c r="S665" s="0" t="n">
        <v>11420</v>
      </c>
      <c r="T665" s="0" t="n">
        <v>58.4</v>
      </c>
      <c r="U665" s="0" t="n">
        <v>1333</v>
      </c>
      <c r="V665" s="0" t="n">
        <v>5</v>
      </c>
      <c r="W665" s="39" t="n">
        <f aca="false">IF(I665="Male",0,1)</f>
        <v>1</v>
      </c>
      <c r="X665" s="39" t="n">
        <f aca="false">IF(OR(I665="DNB",I665="Dry DNB"),1,0)</f>
        <v>0</v>
      </c>
      <c r="Y665" s="39" t="n">
        <f aca="false">MATCH(A665,DATAS,0)</f>
        <v>1</v>
      </c>
      <c r="Z665" s="39" t="n">
        <f aca="false">IF(AND(E665&gt;0,OR(AND(B665&gt;=1,B665&lt;=6),B665=10)),1,0)</f>
        <v>1</v>
      </c>
      <c r="AA665" s="39" t="n">
        <f aca="false">IF(AND(E665&gt;0,B665=10),1,0)</f>
        <v>0</v>
      </c>
      <c r="AB665" s="0" t="str">
        <f aca="false">IF(AND(C664=C665,Y664=Y665-1),Z664,"")</f>
        <v/>
      </c>
      <c r="AC665" s="0" t="str">
        <f aca="false">IF(AND(C664=C665,Y664=Y665-1),AA664,"")</f>
        <v/>
      </c>
      <c r="AD665" s="0" t="str">
        <f aca="false">IF(Y665=1,"",IF(AND(Z665=1,AB665&lt;&gt;1),1,0))</f>
        <v/>
      </c>
      <c r="AE665" s="0" t="str">
        <f aca="false">IF(Y665=1,"",IF(AND(AA665=1,AC665&lt;&gt;1),1,0))</f>
        <v/>
      </c>
      <c r="AF665" s="45" t="str">
        <f aca="false">IF(AND(E665&gt;0,Y665&lt;1,NOT(AND(C666=C665,Y666=Y665+1))),INDEX(DATAS,Y665+1),"")</f>
        <v/>
      </c>
      <c r="AG665" s="45" t="str">
        <f aca="false">IF(AND(AA665=1,Y665&lt;1),IF(AND(C666=C665,Y666=Y665+1),IF(AA666=1,"",INDEX(DATAS,Y665+1)),INDEX(DATAS,Y665+1)),"")</f>
        <v/>
      </c>
    </row>
    <row r="666" customFormat="false" ht="15" hidden="false" customHeight="false" outlineLevel="0" collapsed="false">
      <c r="A666" s="45" t="n">
        <v>46309</v>
      </c>
      <c r="B666" s="0" t="n">
        <v>6</v>
      </c>
      <c r="C666" s="0" t="n">
        <v>4542</v>
      </c>
      <c r="D666" s="0" t="n">
        <v>268</v>
      </c>
      <c r="E666" s="0" t="n">
        <v>2</v>
      </c>
      <c r="F666" s="39" t="s">
        <v>558</v>
      </c>
      <c r="G666" s="0" t="n">
        <v>21.9</v>
      </c>
      <c r="H666" s="0" t="n">
        <v>22</v>
      </c>
      <c r="I666" s="39" t="s">
        <v>109</v>
      </c>
      <c r="J666" s="0" t="n">
        <v>233</v>
      </c>
      <c r="K666" s="0" t="n">
        <v>86</v>
      </c>
      <c r="L666" s="0" t="n">
        <v>35</v>
      </c>
      <c r="M666" s="0" t="n">
        <v>513.34</v>
      </c>
      <c r="N666" s="0" t="n">
        <v>28.14</v>
      </c>
      <c r="O666" s="0" t="n">
        <v>21.26</v>
      </c>
      <c r="P666" s="0" t="n">
        <v>4.54</v>
      </c>
      <c r="Q666" s="0" t="n">
        <v>3.73</v>
      </c>
      <c r="R666" s="0" t="n">
        <v>3391</v>
      </c>
      <c r="S666" s="0" t="n">
        <v>6663</v>
      </c>
      <c r="T666" s="0" t="n">
        <v>39.75</v>
      </c>
      <c r="U666" s="0" t="n">
        <v>1333</v>
      </c>
      <c r="V666" s="0" t="n">
        <v>4</v>
      </c>
      <c r="W666" s="39" t="n">
        <f aca="false">IF(I666="Male",0,1)</f>
        <v>1</v>
      </c>
      <c r="X666" s="39" t="n">
        <f aca="false">IF(OR(I666="DNB",I666="Dry DNB"),1,0)</f>
        <v>0</v>
      </c>
      <c r="Y666" s="39" t="n">
        <f aca="false">MATCH(A666,DATAS,0)</f>
        <v>1</v>
      </c>
      <c r="Z666" s="39" t="n">
        <f aca="false">IF(AND(E666&gt;0,OR(AND(B666&gt;=1,B666&lt;=6),B666=10)),1,0)</f>
        <v>1</v>
      </c>
      <c r="AA666" s="39" t="n">
        <f aca="false">IF(AND(E666&gt;0,B666=10),1,0)</f>
        <v>0</v>
      </c>
      <c r="AB666" s="0" t="str">
        <f aca="false">IF(AND(C665=C666,Y665=Y666-1),Z665,"")</f>
        <v/>
      </c>
      <c r="AC666" s="0" t="str">
        <f aca="false">IF(AND(C665=C666,Y665=Y666-1),AA665,"")</f>
        <v/>
      </c>
      <c r="AD666" s="0" t="str">
        <f aca="false">IF(Y666=1,"",IF(AND(Z666=1,AB666&lt;&gt;1),1,0))</f>
        <v/>
      </c>
      <c r="AE666" s="0" t="str">
        <f aca="false">IF(Y666=1,"",IF(AND(AA666=1,AC666&lt;&gt;1),1,0))</f>
        <v/>
      </c>
      <c r="AF666" s="45" t="str">
        <f aca="false">IF(AND(E666&gt;0,Y666&lt;1,NOT(AND(C667=C666,Y667=Y666+1))),INDEX(DATAS,Y666+1),"")</f>
        <v/>
      </c>
      <c r="AG666" s="45" t="str">
        <f aca="false">IF(AND(AA666=1,Y666&lt;1),IF(AND(C667=C666,Y667=Y666+1),IF(AA667=1,"",INDEX(DATAS,Y666+1)),INDEX(DATAS,Y666+1)),"")</f>
        <v/>
      </c>
    </row>
    <row r="667" customFormat="false" ht="15" hidden="false" customHeight="false" outlineLevel="0" collapsed="false">
      <c r="A667" s="45" t="n">
        <v>46309</v>
      </c>
      <c r="B667" s="0" t="n">
        <v>3</v>
      </c>
      <c r="C667" s="0" t="n">
        <v>4544</v>
      </c>
      <c r="D667" s="0" t="n">
        <v>254</v>
      </c>
      <c r="E667" s="0" t="n">
        <v>2</v>
      </c>
      <c r="F667" s="39" t="s">
        <v>559</v>
      </c>
      <c r="G667" s="0" t="n">
        <v>65.1</v>
      </c>
      <c r="H667" s="0" t="n">
        <v>64</v>
      </c>
      <c r="I667" s="39" t="s">
        <v>109</v>
      </c>
      <c r="J667" s="0" t="n">
        <v>65</v>
      </c>
      <c r="K667" s="0" t="n">
        <v>65</v>
      </c>
      <c r="L667" s="0" t="n">
        <v>189</v>
      </c>
      <c r="M667" s="0" t="n">
        <v>512.44</v>
      </c>
      <c r="N667" s="0" t="n">
        <v>57.59</v>
      </c>
      <c r="O667" s="0" t="n">
        <v>29.27</v>
      </c>
      <c r="P667" s="0" t="n">
        <v>3.28</v>
      </c>
      <c r="Q667" s="0" t="n">
        <v>3.48</v>
      </c>
      <c r="R667" s="0" t="n">
        <v>6849</v>
      </c>
      <c r="S667" s="0" t="n">
        <v>14682</v>
      </c>
      <c r="T667" s="0" t="n">
        <v>75.35</v>
      </c>
      <c r="U667" s="0" t="n">
        <v>1332</v>
      </c>
      <c r="V667" s="0" t="n">
        <v>1</v>
      </c>
      <c r="W667" s="39" t="n">
        <f aca="false">IF(I667="Male",0,1)</f>
        <v>1</v>
      </c>
      <c r="X667" s="39" t="n">
        <f aca="false">IF(OR(I667="DNB",I667="Dry DNB"),1,0)</f>
        <v>0</v>
      </c>
      <c r="Y667" s="39" t="n">
        <f aca="false">MATCH(A667,DATAS,0)</f>
        <v>1</v>
      </c>
      <c r="Z667" s="39" t="n">
        <f aca="false">IF(AND(E667&gt;0,OR(AND(B667&gt;=1,B667&lt;=6),B667=10)),1,0)</f>
        <v>1</v>
      </c>
      <c r="AA667" s="39" t="n">
        <f aca="false">IF(AND(E667&gt;0,B667=10),1,0)</f>
        <v>0</v>
      </c>
      <c r="AB667" s="0" t="str">
        <f aca="false">IF(AND(C666=C667,Y666=Y667-1),Z666,"")</f>
        <v/>
      </c>
      <c r="AC667" s="0" t="str">
        <f aca="false">IF(AND(C666=C667,Y666=Y667-1),AA666,"")</f>
        <v/>
      </c>
      <c r="AD667" s="0" t="str">
        <f aca="false">IF(Y667=1,"",IF(AND(Z667=1,AB667&lt;&gt;1),1,0))</f>
        <v/>
      </c>
      <c r="AE667" s="0" t="str">
        <f aca="false">IF(Y667=1,"",IF(AND(AA667=1,AC667&lt;&gt;1),1,0))</f>
        <v/>
      </c>
      <c r="AF667" s="45" t="str">
        <f aca="false">IF(AND(E667&gt;0,Y667&lt;1,NOT(AND(C668=C667,Y668=Y667+1))),INDEX(DATAS,Y667+1),"")</f>
        <v/>
      </c>
      <c r="AG667" s="45" t="str">
        <f aca="false">IF(AND(AA667=1,Y667&lt;1),IF(AND(C668=C667,Y668=Y667+1),IF(AA668=1,"",INDEX(DATAS,Y667+1)),INDEX(DATAS,Y667+1)),"")</f>
        <v/>
      </c>
    </row>
    <row r="668" customFormat="false" ht="15" hidden="false" customHeight="false" outlineLevel="0" collapsed="false">
      <c r="A668" s="45" t="n">
        <v>46309</v>
      </c>
      <c r="B668" s="0" t="n">
        <v>5</v>
      </c>
      <c r="C668" s="0" t="n">
        <v>4546</v>
      </c>
      <c r="D668" s="0" t="n">
        <v>275</v>
      </c>
      <c r="E668" s="0" t="n">
        <v>2</v>
      </c>
      <c r="F668" s="39" t="s">
        <v>560</v>
      </c>
      <c r="G668" s="0" t="n">
        <v>38.5</v>
      </c>
      <c r="H668" s="0" t="n">
        <v>31</v>
      </c>
      <c r="I668" s="39" t="s">
        <v>109</v>
      </c>
      <c r="J668" s="0" t="n">
        <v>121</v>
      </c>
      <c r="K668" s="0" t="n">
        <v>72</v>
      </c>
      <c r="L668" s="0" t="n">
        <v>154</v>
      </c>
      <c r="M668" s="0" t="n">
        <v>-169.73</v>
      </c>
      <c r="N668" s="0" t="n">
        <v>52.71</v>
      </c>
      <c r="O668" s="0" t="n">
        <v>23.15</v>
      </c>
      <c r="P668" s="0" t="n">
        <v>5.53</v>
      </c>
      <c r="Q668" s="0" t="n">
        <v>4.59</v>
      </c>
      <c r="R668" s="0" t="n">
        <v>4443</v>
      </c>
      <c r="S668" s="0" t="n">
        <v>8841</v>
      </c>
      <c r="T668" s="0" t="n">
        <v>47.2</v>
      </c>
      <c r="U668" s="0" t="n">
        <v>1331</v>
      </c>
      <c r="V668" s="0" t="n">
        <v>2</v>
      </c>
      <c r="W668" s="39" t="n">
        <f aca="false">IF(I668="Male",0,1)</f>
        <v>1</v>
      </c>
      <c r="X668" s="39" t="n">
        <f aca="false">IF(OR(I668="DNB",I668="Dry DNB"),1,0)</f>
        <v>0</v>
      </c>
      <c r="Y668" s="39" t="n">
        <f aca="false">MATCH(A668,DATAS,0)</f>
        <v>1</v>
      </c>
      <c r="Z668" s="39" t="n">
        <f aca="false">IF(AND(E668&gt;0,OR(AND(B668&gt;=1,B668&lt;=6),B668=10)),1,0)</f>
        <v>1</v>
      </c>
      <c r="AA668" s="39" t="n">
        <f aca="false">IF(AND(E668&gt;0,B668=10),1,0)</f>
        <v>0</v>
      </c>
      <c r="AB668" s="0" t="str">
        <f aca="false">IF(AND(C667=C668,Y667=Y668-1),Z667,"")</f>
        <v/>
      </c>
      <c r="AC668" s="0" t="str">
        <f aca="false">IF(AND(C667=C668,Y667=Y668-1),AA667,"")</f>
        <v/>
      </c>
      <c r="AD668" s="0" t="str">
        <f aca="false">IF(Y668=1,"",IF(AND(Z668=1,AB668&lt;&gt;1),1,0))</f>
        <v/>
      </c>
      <c r="AE668" s="0" t="str">
        <f aca="false">IF(Y668=1,"",IF(AND(AA668=1,AC668&lt;&gt;1),1,0))</f>
        <v/>
      </c>
      <c r="AF668" s="45" t="str">
        <f aca="false">IF(AND(E668&gt;0,Y668&lt;1,NOT(AND(C669=C668,Y669=Y668+1))),INDEX(DATAS,Y668+1),"")</f>
        <v/>
      </c>
      <c r="AG668" s="45" t="str">
        <f aca="false">IF(AND(AA668=1,Y668&lt;1),IF(AND(C669=C668,Y669=Y668+1),IF(AA669=1,"",INDEX(DATAS,Y668+1)),INDEX(DATAS,Y668+1)),"")</f>
        <v/>
      </c>
    </row>
    <row r="669" customFormat="false" ht="15" hidden="false" customHeight="false" outlineLevel="0" collapsed="false">
      <c r="A669" s="45" t="n">
        <v>46309</v>
      </c>
      <c r="B669" s="0" t="n">
        <v>2</v>
      </c>
      <c r="C669" s="0" t="n">
        <v>4547</v>
      </c>
      <c r="D669" s="0" t="n">
        <v>258</v>
      </c>
      <c r="E669" s="0" t="n">
        <v>2</v>
      </c>
      <c r="F669" s="39" t="s">
        <v>560</v>
      </c>
      <c r="G669" s="0" t="n">
        <v>50.3</v>
      </c>
      <c r="H669" s="0" t="n">
        <v>49</v>
      </c>
      <c r="I669" s="39" t="s">
        <v>109</v>
      </c>
      <c r="J669" s="0" t="n">
        <v>125</v>
      </c>
      <c r="K669" s="0" t="n">
        <v>69</v>
      </c>
      <c r="L669" s="0" t="n">
        <v>133</v>
      </c>
      <c r="M669" s="0" t="n">
        <v>785.32</v>
      </c>
      <c r="N669" s="0" t="n">
        <v>64.42</v>
      </c>
      <c r="O669" s="0" t="n">
        <v>35.69</v>
      </c>
      <c r="P669" s="0" t="n">
        <v>3.06</v>
      </c>
      <c r="Q669" s="0" t="n">
        <v>3.65</v>
      </c>
      <c r="R669" s="0" t="n">
        <v>4514</v>
      </c>
      <c r="S669" s="0" t="n">
        <v>10216</v>
      </c>
      <c r="T669" s="0" t="n">
        <v>50.45</v>
      </c>
      <c r="U669" s="0" t="n">
        <v>1331</v>
      </c>
      <c r="V669" s="0" t="n">
        <v>2</v>
      </c>
      <c r="W669" s="39" t="n">
        <f aca="false">IF(I669="Male",0,1)</f>
        <v>1</v>
      </c>
      <c r="X669" s="39" t="n">
        <f aca="false">IF(OR(I669="DNB",I669="Dry DNB"),1,0)</f>
        <v>0</v>
      </c>
      <c r="Y669" s="39" t="n">
        <f aca="false">MATCH(A669,DATAS,0)</f>
        <v>1</v>
      </c>
      <c r="Z669" s="39" t="n">
        <f aca="false">IF(AND(E669&gt;0,OR(AND(B669&gt;=1,B669&lt;=6),B669=10)),1,0)</f>
        <v>1</v>
      </c>
      <c r="AA669" s="39" t="n">
        <f aca="false">IF(AND(E669&gt;0,B669=10),1,0)</f>
        <v>0</v>
      </c>
      <c r="AB669" s="0" t="str">
        <f aca="false">IF(AND(C668=C669,Y668=Y669-1),Z668,"")</f>
        <v/>
      </c>
      <c r="AC669" s="0" t="str">
        <f aca="false">IF(AND(C668=C669,Y668=Y669-1),AA668,"")</f>
        <v/>
      </c>
      <c r="AD669" s="0" t="str">
        <f aca="false">IF(Y669=1,"",IF(AND(Z669=1,AB669&lt;&gt;1),1,0))</f>
        <v/>
      </c>
      <c r="AE669" s="0" t="str">
        <f aca="false">IF(Y669=1,"",IF(AND(AA669=1,AC669&lt;&gt;1),1,0))</f>
        <v/>
      </c>
      <c r="AF669" s="45" t="str">
        <f aca="false">IF(AND(E669&gt;0,Y669&lt;1,NOT(AND(C670=C669,Y670=Y669+1))),INDEX(DATAS,Y669+1),"")</f>
        <v/>
      </c>
      <c r="AG669" s="45" t="str">
        <f aca="false">IF(AND(AA669=1,Y669&lt;1),IF(AND(C670=C669,Y670=Y669+1),IF(AA670=1,"",INDEX(DATAS,Y669+1)),INDEX(DATAS,Y669+1)),"")</f>
        <v/>
      </c>
    </row>
    <row r="670" customFormat="false" ht="15" hidden="false" customHeight="false" outlineLevel="0" collapsed="false">
      <c r="A670" s="45" t="n">
        <v>46309</v>
      </c>
      <c r="B670" s="0" t="n">
        <v>3</v>
      </c>
      <c r="C670" s="0" t="n">
        <v>4550</v>
      </c>
      <c r="D670" s="0" t="n">
        <v>231</v>
      </c>
      <c r="E670" s="0" t="n">
        <v>2</v>
      </c>
      <c r="F670" s="39" t="s">
        <v>561</v>
      </c>
      <c r="G670" s="0" t="n">
        <v>57.3</v>
      </c>
      <c r="H670" s="0" t="n">
        <v>55</v>
      </c>
      <c r="I670" s="39" t="s">
        <v>109</v>
      </c>
      <c r="J670" s="0" t="n">
        <v>168</v>
      </c>
      <c r="K670" s="0" t="n">
        <v>63</v>
      </c>
      <c r="L670" s="0" t="n">
        <v>63</v>
      </c>
      <c r="M670" s="0" t="n">
        <v>718.07</v>
      </c>
      <c r="N670" s="0" t="n">
        <v>62.83</v>
      </c>
      <c r="O670" s="0" t="n">
        <v>32.94</v>
      </c>
      <c r="P670" s="0" t="n">
        <v>4.71</v>
      </c>
      <c r="Q670" s="0" t="n">
        <v>3.35</v>
      </c>
      <c r="R670" s="0" t="n">
        <v>4965</v>
      </c>
      <c r="S670" s="0" t="n">
        <v>10182</v>
      </c>
      <c r="T670" s="0" t="n">
        <v>55.5</v>
      </c>
      <c r="U670" s="0" t="n">
        <v>1330</v>
      </c>
      <c r="V670" s="0" t="n">
        <v>4</v>
      </c>
      <c r="W670" s="39" t="n">
        <f aca="false">IF(I670="Male",0,1)</f>
        <v>1</v>
      </c>
      <c r="X670" s="39" t="n">
        <f aca="false">IF(OR(I670="DNB",I670="Dry DNB"),1,0)</f>
        <v>0</v>
      </c>
      <c r="Y670" s="39" t="n">
        <f aca="false">MATCH(A670,DATAS,0)</f>
        <v>1</v>
      </c>
      <c r="Z670" s="39" t="n">
        <f aca="false">IF(AND(E670&gt;0,OR(AND(B670&gt;=1,B670&lt;=6),B670=10)),1,0)</f>
        <v>1</v>
      </c>
      <c r="AA670" s="39" t="n">
        <f aca="false">IF(AND(E670&gt;0,B670=10),1,0)</f>
        <v>0</v>
      </c>
      <c r="AB670" s="0" t="str">
        <f aca="false">IF(AND(C669=C670,Y669=Y670-1),Z669,"")</f>
        <v/>
      </c>
      <c r="AC670" s="0" t="str">
        <f aca="false">IF(AND(C669=C670,Y669=Y670-1),AA669,"")</f>
        <v/>
      </c>
      <c r="AD670" s="0" t="str">
        <f aca="false">IF(Y670=1,"",IF(AND(Z670=1,AB670&lt;&gt;1),1,0))</f>
        <v/>
      </c>
      <c r="AE670" s="0" t="str">
        <f aca="false">IF(Y670=1,"",IF(AND(AA670=1,AC670&lt;&gt;1),1,0))</f>
        <v/>
      </c>
      <c r="AF670" s="45" t="str">
        <f aca="false">IF(AND(E670&gt;0,Y670&lt;1,NOT(AND(C671=C670,Y671=Y670+1))),INDEX(DATAS,Y670+1),"")</f>
        <v/>
      </c>
      <c r="AG670" s="45" t="str">
        <f aca="false">IF(AND(AA670=1,Y670&lt;1),IF(AND(C671=C670,Y671=Y670+1),IF(AA671=1,"",INDEX(DATAS,Y670+1)),INDEX(DATAS,Y670+1)),"")</f>
        <v/>
      </c>
    </row>
    <row r="671" customFormat="false" ht="15" hidden="false" customHeight="false" outlineLevel="0" collapsed="false">
      <c r="A671" s="45" t="n">
        <v>46309</v>
      </c>
      <c r="B671" s="0" t="n">
        <v>3</v>
      </c>
      <c r="C671" s="0" t="n">
        <v>4552</v>
      </c>
      <c r="D671" s="0" t="n">
        <v>270</v>
      </c>
      <c r="E671" s="0" t="n">
        <v>2</v>
      </c>
      <c r="F671" s="39" t="s">
        <v>561</v>
      </c>
      <c r="G671" s="0" t="n">
        <v>51.2</v>
      </c>
      <c r="H671" s="0" t="n">
        <v>51</v>
      </c>
      <c r="I671" s="39" t="s">
        <v>109</v>
      </c>
      <c r="J671" s="0" t="n">
        <v>193</v>
      </c>
      <c r="K671" s="0" t="n">
        <v>74</v>
      </c>
      <c r="L671" s="0" t="n">
        <v>77</v>
      </c>
      <c r="M671" s="0" t="n">
        <v>1038.38</v>
      </c>
      <c r="N671" s="0" t="n">
        <v>28.59</v>
      </c>
      <c r="O671" s="0" t="n">
        <v>32.85</v>
      </c>
      <c r="P671" s="0" t="n">
        <v>4.32</v>
      </c>
      <c r="Q671" s="0" t="n">
        <v>3.57</v>
      </c>
      <c r="R671" s="0" t="n">
        <v>5269</v>
      </c>
      <c r="S671" s="0" t="n">
        <v>11312</v>
      </c>
      <c r="T671" s="0" t="n">
        <v>58.15</v>
      </c>
      <c r="U671" s="0" t="n">
        <v>1330</v>
      </c>
      <c r="V671" s="0" t="n">
        <v>4</v>
      </c>
      <c r="W671" s="39" t="n">
        <f aca="false">IF(I671="Male",0,1)</f>
        <v>1</v>
      </c>
      <c r="X671" s="39" t="n">
        <f aca="false">IF(OR(I671="DNB",I671="Dry DNB"),1,0)</f>
        <v>0</v>
      </c>
      <c r="Y671" s="39" t="n">
        <f aca="false">MATCH(A671,DATAS,0)</f>
        <v>1</v>
      </c>
      <c r="Z671" s="39" t="n">
        <f aca="false">IF(AND(E671&gt;0,OR(AND(B671&gt;=1,B671&lt;=6),B671=10)),1,0)</f>
        <v>1</v>
      </c>
      <c r="AA671" s="39" t="n">
        <f aca="false">IF(AND(E671&gt;0,B671=10),1,0)</f>
        <v>0</v>
      </c>
      <c r="AB671" s="0" t="str">
        <f aca="false">IF(AND(C670=C671,Y670=Y671-1),Z670,"")</f>
        <v/>
      </c>
      <c r="AC671" s="0" t="str">
        <f aca="false">IF(AND(C670=C671,Y670=Y671-1),AA670,"")</f>
        <v/>
      </c>
      <c r="AD671" s="0" t="str">
        <f aca="false">IF(Y671=1,"",IF(AND(Z671=1,AB671&lt;&gt;1),1,0))</f>
        <v/>
      </c>
      <c r="AE671" s="0" t="str">
        <f aca="false">IF(Y671=1,"",IF(AND(AA671=1,AC671&lt;&gt;1),1,0))</f>
        <v/>
      </c>
      <c r="AF671" s="45" t="str">
        <f aca="false">IF(AND(E671&gt;0,Y671&lt;1,NOT(AND(C672=C671,Y672=Y671+1))),INDEX(DATAS,Y671+1),"")</f>
        <v/>
      </c>
      <c r="AG671" s="45" t="str">
        <f aca="false">IF(AND(AA671=1,Y671&lt;1),IF(AND(C672=C671,Y672=Y671+1),IF(AA672=1,"",INDEX(DATAS,Y671+1)),INDEX(DATAS,Y671+1)),"")</f>
        <v/>
      </c>
    </row>
    <row r="672" customFormat="false" ht="15" hidden="false" customHeight="false" outlineLevel="0" collapsed="false">
      <c r="A672" s="45" t="n">
        <v>46309</v>
      </c>
      <c r="B672" s="0" t="n">
        <v>2</v>
      </c>
      <c r="C672" s="0" t="n">
        <v>4553</v>
      </c>
      <c r="D672" s="0" t="n">
        <v>212</v>
      </c>
      <c r="E672" s="0" t="n">
        <v>2</v>
      </c>
      <c r="F672" s="39" t="s">
        <v>561</v>
      </c>
      <c r="G672" s="0" t="n">
        <v>60.2</v>
      </c>
      <c r="H672" s="0" t="n">
        <v>59</v>
      </c>
      <c r="I672" s="39" t="s">
        <v>109</v>
      </c>
      <c r="J672" s="0" t="n">
        <v>65</v>
      </c>
      <c r="K672" s="0" t="n">
        <v>65</v>
      </c>
      <c r="L672" s="0" t="n">
        <v>147</v>
      </c>
      <c r="M672" s="0" t="n">
        <v>822.46</v>
      </c>
      <c r="N672" s="0" t="n">
        <v>54.96</v>
      </c>
      <c r="O672" s="0" t="n">
        <v>28.67</v>
      </c>
      <c r="P672" s="0" t="n">
        <v>2.52</v>
      </c>
      <c r="Q672" s="0" t="n">
        <v>3.14</v>
      </c>
      <c r="R672" s="0" t="n">
        <v>5607</v>
      </c>
      <c r="S672" s="0" t="n">
        <v>12285</v>
      </c>
      <c r="T672" s="0" t="n">
        <v>65.75</v>
      </c>
      <c r="U672" s="0" t="n">
        <v>1330</v>
      </c>
      <c r="V672" s="0" t="n">
        <v>1</v>
      </c>
      <c r="W672" s="39" t="n">
        <f aca="false">IF(I672="Male",0,1)</f>
        <v>1</v>
      </c>
      <c r="X672" s="39" t="n">
        <f aca="false">IF(OR(I672="DNB",I672="Dry DNB"),1,0)</f>
        <v>0</v>
      </c>
      <c r="Y672" s="39" t="n">
        <f aca="false">MATCH(A672,DATAS,0)</f>
        <v>1</v>
      </c>
      <c r="Z672" s="39" t="n">
        <f aca="false">IF(AND(E672&gt;0,OR(AND(B672&gt;=1,B672&lt;=6),B672=10)),1,0)</f>
        <v>1</v>
      </c>
      <c r="AA672" s="39" t="n">
        <f aca="false">IF(AND(E672&gt;0,B672=10),1,0)</f>
        <v>0</v>
      </c>
      <c r="AB672" s="0" t="str">
        <f aca="false">IF(AND(C671=C672,Y671=Y672-1),Z671,"")</f>
        <v/>
      </c>
      <c r="AC672" s="0" t="str">
        <f aca="false">IF(AND(C671=C672,Y671=Y672-1),AA671,"")</f>
        <v/>
      </c>
      <c r="AD672" s="0" t="str">
        <f aca="false">IF(Y672=1,"",IF(AND(Z672=1,AB672&lt;&gt;1),1,0))</f>
        <v/>
      </c>
      <c r="AE672" s="0" t="str">
        <f aca="false">IF(Y672=1,"",IF(AND(AA672=1,AC672&lt;&gt;1),1,0))</f>
        <v/>
      </c>
      <c r="AF672" s="45" t="str">
        <f aca="false">IF(AND(E672&gt;0,Y672&lt;1,NOT(AND(C673=C672,Y673=Y672+1))),INDEX(DATAS,Y672+1),"")</f>
        <v/>
      </c>
      <c r="AG672" s="45" t="str">
        <f aca="false">IF(AND(AA672=1,Y672&lt;1),IF(AND(C673=C672,Y673=Y672+1),IF(AA673=1,"",INDEX(DATAS,Y672+1)),INDEX(DATAS,Y672+1)),"")</f>
        <v/>
      </c>
    </row>
    <row r="673" customFormat="false" ht="15" hidden="false" customHeight="false" outlineLevel="0" collapsed="false">
      <c r="A673" s="45" t="n">
        <v>46309</v>
      </c>
      <c r="B673" s="0" t="n">
        <v>3</v>
      </c>
      <c r="C673" s="0" t="n">
        <v>4554</v>
      </c>
      <c r="D673" s="0" t="n">
        <v>50</v>
      </c>
      <c r="E673" s="0" t="n">
        <v>2</v>
      </c>
      <c r="F673" s="39" t="s">
        <v>562</v>
      </c>
      <c r="G673" s="0" t="n">
        <v>57.4</v>
      </c>
      <c r="H673" s="0" t="n">
        <v>62</v>
      </c>
      <c r="I673" s="39" t="s">
        <v>118</v>
      </c>
      <c r="J673" s="0" t="n">
        <v>50</v>
      </c>
      <c r="M673" s="0" t="n">
        <v>86.66</v>
      </c>
      <c r="N673" s="0" t="n">
        <v>68.69</v>
      </c>
      <c r="O673" s="0" t="n">
        <v>30.38</v>
      </c>
      <c r="P673" s="0" t="n">
        <v>3.9</v>
      </c>
      <c r="Q673" s="0" t="n">
        <v>3.42</v>
      </c>
      <c r="R673" s="0" t="n">
        <v>5353</v>
      </c>
      <c r="S673" s="0" t="n">
        <v>10761</v>
      </c>
      <c r="U673" s="0" t="n">
        <v>1329</v>
      </c>
      <c r="V673" s="0" t="n">
        <v>0</v>
      </c>
      <c r="W673" s="39" t="n">
        <f aca="false">IF(I673="Male",0,1)</f>
        <v>1</v>
      </c>
      <c r="X673" s="39" t="n">
        <f aca="false">IF(OR(I673="DNB",I673="Dry DNB"),1,0)</f>
        <v>0</v>
      </c>
      <c r="Y673" s="39" t="n">
        <f aca="false">MATCH(A673,DATAS,0)</f>
        <v>1</v>
      </c>
      <c r="Z673" s="39" t="n">
        <f aca="false">IF(AND(E673&gt;0,OR(AND(B673&gt;=1,B673&lt;=6),B673=10)),1,0)</f>
        <v>1</v>
      </c>
      <c r="AA673" s="39" t="n">
        <f aca="false">IF(AND(E673&gt;0,B673=10),1,0)</f>
        <v>0</v>
      </c>
      <c r="AB673" s="0" t="str">
        <f aca="false">IF(AND(C672=C673,Y672=Y673-1),Z672,"")</f>
        <v/>
      </c>
      <c r="AC673" s="0" t="str">
        <f aca="false">IF(AND(C672=C673,Y672=Y673-1),AA672,"")</f>
        <v/>
      </c>
      <c r="AD673" s="0" t="str">
        <f aca="false">IF(Y673=1,"",IF(AND(Z673=1,AB673&lt;&gt;1),1,0))</f>
        <v/>
      </c>
      <c r="AE673" s="0" t="str">
        <f aca="false">IF(Y673=1,"",IF(AND(AA673=1,AC673&lt;&gt;1),1,0))</f>
        <v/>
      </c>
      <c r="AF673" s="45" t="str">
        <f aca="false">IF(AND(E673&gt;0,Y673&lt;1,NOT(AND(C674=C673,Y674=Y673+1))),INDEX(DATAS,Y673+1),"")</f>
        <v/>
      </c>
      <c r="AG673" s="45" t="str">
        <f aca="false">IF(AND(AA673=1,Y673&lt;1),IF(AND(C674=C673,Y674=Y673+1),IF(AA674=1,"",INDEX(DATAS,Y673+1)),INDEX(DATAS,Y673+1)),"")</f>
        <v/>
      </c>
    </row>
    <row r="674" customFormat="false" ht="15" hidden="false" customHeight="false" outlineLevel="0" collapsed="false">
      <c r="A674" s="45" t="n">
        <v>46309</v>
      </c>
      <c r="B674" s="0" t="n">
        <v>6</v>
      </c>
      <c r="C674" s="0" t="n">
        <v>4555</v>
      </c>
      <c r="D674" s="0" t="n">
        <v>666</v>
      </c>
      <c r="E674" s="0" t="n">
        <v>1</v>
      </c>
      <c r="F674" s="39" t="s">
        <v>562</v>
      </c>
      <c r="G674" s="0" t="n">
        <v>19.5</v>
      </c>
      <c r="H674" s="0" t="n">
        <v>18</v>
      </c>
      <c r="I674" s="39" t="s">
        <v>96</v>
      </c>
      <c r="J674" s="0" t="n">
        <v>666</v>
      </c>
      <c r="K674" s="0" t="n">
        <v>72</v>
      </c>
      <c r="M674" s="0" t="n">
        <v>730.32</v>
      </c>
      <c r="N674" s="0" t="n">
        <v>87.13</v>
      </c>
      <c r="O674" s="0" t="n">
        <v>46.33</v>
      </c>
      <c r="P674" s="0" t="n">
        <v>6.03</v>
      </c>
      <c r="Q674" s="0" t="n">
        <v>4.79</v>
      </c>
      <c r="R674" s="0" t="n">
        <v>3778</v>
      </c>
      <c r="S674" s="0" t="n">
        <v>8245</v>
      </c>
      <c r="T674" s="0" t="n">
        <v>39.3</v>
      </c>
      <c r="U674" s="0" t="n">
        <v>1329</v>
      </c>
      <c r="V674" s="0" t="n">
        <v>11</v>
      </c>
      <c r="W674" s="39" t="n">
        <f aca="false">IF(I674="Male",0,1)</f>
        <v>1</v>
      </c>
      <c r="X674" s="39" t="n">
        <f aca="false">IF(OR(I674="DNB",I674="Dry DNB"),1,0)</f>
        <v>1</v>
      </c>
      <c r="Y674" s="39" t="n">
        <f aca="false">MATCH(A674,DATAS,0)</f>
        <v>1</v>
      </c>
      <c r="Z674" s="39" t="n">
        <f aca="false">IF(AND(E674&gt;0,OR(AND(B674&gt;=1,B674&lt;=6),B674=10)),1,0)</f>
        <v>1</v>
      </c>
      <c r="AA674" s="39" t="n">
        <f aca="false">IF(AND(E674&gt;0,B674=10),1,0)</f>
        <v>0</v>
      </c>
      <c r="AB674" s="0" t="str">
        <f aca="false">IF(AND(C673=C674,Y673=Y674-1),Z673,"")</f>
        <v/>
      </c>
      <c r="AC674" s="0" t="str">
        <f aca="false">IF(AND(C673=C674,Y673=Y674-1),AA673,"")</f>
        <v/>
      </c>
      <c r="AD674" s="0" t="str">
        <f aca="false">IF(Y674=1,"",IF(AND(Z674=1,AB674&lt;&gt;1),1,0))</f>
        <v/>
      </c>
      <c r="AE674" s="0" t="str">
        <f aca="false">IF(Y674=1,"",IF(AND(AA674=1,AC674&lt;&gt;1),1,0))</f>
        <v/>
      </c>
      <c r="AF674" s="45" t="str">
        <f aca="false">IF(AND(E674&gt;0,Y674&lt;1,NOT(AND(C675=C674,Y675=Y674+1))),INDEX(DATAS,Y674+1),"")</f>
        <v/>
      </c>
      <c r="AG674" s="45" t="str">
        <f aca="false">IF(AND(AA674=1,Y674&lt;1),IF(AND(C675=C674,Y675=Y674+1),IF(AA675=1,"",INDEX(DATAS,Y674+1)),INDEX(DATAS,Y674+1)),"")</f>
        <v/>
      </c>
    </row>
    <row r="675" customFormat="false" ht="15" hidden="false" customHeight="false" outlineLevel="0" collapsed="false">
      <c r="A675" s="45" t="n">
        <v>46309</v>
      </c>
      <c r="B675" s="0" t="n">
        <v>14</v>
      </c>
      <c r="C675" s="0" t="n">
        <v>4556</v>
      </c>
      <c r="D675" s="0" t="n">
        <v>287</v>
      </c>
      <c r="E675" s="0" t="n">
        <v>2</v>
      </c>
      <c r="F675" s="39" t="s">
        <v>562</v>
      </c>
      <c r="I675" s="39" t="s">
        <v>114</v>
      </c>
      <c r="J675" s="0" t="n">
        <v>64</v>
      </c>
      <c r="K675" s="0" t="n">
        <v>64</v>
      </c>
      <c r="L675" s="0" t="n">
        <v>266</v>
      </c>
      <c r="M675" s="0" t="n">
        <v>1296.89</v>
      </c>
      <c r="N675" s="0" t="n">
        <v>44.61</v>
      </c>
      <c r="O675" s="0" t="n">
        <v>35.34</v>
      </c>
      <c r="P675" s="0" t="n">
        <v>4.45</v>
      </c>
      <c r="Q675" s="0" t="n">
        <v>3.13</v>
      </c>
      <c r="R675" s="0" t="n">
        <v>4829</v>
      </c>
      <c r="S675" s="0" t="n">
        <v>9912</v>
      </c>
      <c r="T675" s="0" t="n">
        <v>46.05</v>
      </c>
      <c r="U675" s="0" t="n">
        <v>1329</v>
      </c>
      <c r="V675" s="0" t="n">
        <v>1</v>
      </c>
      <c r="W675" s="39" t="n">
        <f aca="false">IF(I675="Male",0,1)</f>
        <v>1</v>
      </c>
      <c r="X675" s="39" t="n">
        <f aca="false">IF(OR(I675="DNB",I675="Dry DNB"),1,0)</f>
        <v>0</v>
      </c>
      <c r="Y675" s="39" t="n">
        <f aca="false">MATCH(A675,DATAS,0)</f>
        <v>1</v>
      </c>
      <c r="Z675" s="39" t="n">
        <f aca="false">IF(AND(E675&gt;0,OR(AND(B675&gt;=1,B675&lt;=6),B675=10)),1,0)</f>
        <v>0</v>
      </c>
      <c r="AA675" s="39" t="n">
        <f aca="false">IF(AND(E675&gt;0,B675=10),1,0)</f>
        <v>0</v>
      </c>
      <c r="AB675" s="0" t="str">
        <f aca="false">IF(AND(C674=C675,Y674=Y675-1),Z674,"")</f>
        <v/>
      </c>
      <c r="AC675" s="0" t="str">
        <f aca="false">IF(AND(C674=C675,Y674=Y675-1),AA674,"")</f>
        <v/>
      </c>
      <c r="AD675" s="0" t="str">
        <f aca="false">IF(Y675=1,"",IF(AND(Z675=1,AB675&lt;&gt;1),1,0))</f>
        <v/>
      </c>
      <c r="AE675" s="0" t="str">
        <f aca="false">IF(Y675=1,"",IF(AND(AA675=1,AC675&lt;&gt;1),1,0))</f>
        <v/>
      </c>
      <c r="AF675" s="45" t="str">
        <f aca="false">IF(AND(E675&gt;0,Y675&lt;1,NOT(AND(C676=C675,Y676=Y675+1))),INDEX(DATAS,Y675+1),"")</f>
        <v/>
      </c>
      <c r="AG675" s="45" t="str">
        <f aca="false">IF(AND(AA675=1,Y675&lt;1),IF(AND(C676=C675,Y676=Y675+1),IF(AA676=1,"",INDEX(DATAS,Y675+1)),INDEX(DATAS,Y675+1)),"")</f>
        <v/>
      </c>
    </row>
    <row r="676" customFormat="false" ht="15" hidden="false" customHeight="false" outlineLevel="0" collapsed="false">
      <c r="A676" s="45" t="n">
        <v>46309</v>
      </c>
      <c r="B676" s="0" t="n">
        <v>5</v>
      </c>
      <c r="C676" s="0" t="n">
        <v>4557</v>
      </c>
      <c r="D676" s="0" t="n">
        <v>148</v>
      </c>
      <c r="E676" s="0" t="n">
        <v>2</v>
      </c>
      <c r="F676" s="39" t="s">
        <v>563</v>
      </c>
      <c r="G676" s="0" t="n">
        <v>38.9</v>
      </c>
      <c r="H676" s="0" t="n">
        <v>35</v>
      </c>
      <c r="I676" s="39" t="s">
        <v>146</v>
      </c>
      <c r="J676" s="0" t="n">
        <v>148</v>
      </c>
      <c r="K676" s="0" t="n">
        <v>64</v>
      </c>
      <c r="M676" s="0" t="n">
        <v>822.32</v>
      </c>
      <c r="N676" s="0" t="n">
        <v>41.77</v>
      </c>
      <c r="O676" s="0" t="n">
        <v>35.74</v>
      </c>
      <c r="P676" s="0" t="n">
        <v>3.52</v>
      </c>
      <c r="Q676" s="0" t="n">
        <v>4.1</v>
      </c>
      <c r="R676" s="0" t="n">
        <v>4335</v>
      </c>
      <c r="S676" s="0" t="n">
        <v>7960</v>
      </c>
      <c r="T676" s="0" t="n">
        <v>46.55</v>
      </c>
      <c r="U676" s="0" t="n">
        <v>1328</v>
      </c>
      <c r="V676" s="0" t="n">
        <v>2</v>
      </c>
      <c r="W676" s="39" t="n">
        <f aca="false">IF(I676="Male",0,1)</f>
        <v>1</v>
      </c>
      <c r="X676" s="39" t="n">
        <f aca="false">IF(OR(I676="DNB",I676="Dry DNB"),1,0)</f>
        <v>0</v>
      </c>
      <c r="Y676" s="39" t="n">
        <f aca="false">MATCH(A676,DATAS,0)</f>
        <v>1</v>
      </c>
      <c r="Z676" s="39" t="n">
        <f aca="false">IF(AND(E676&gt;0,OR(AND(B676&gt;=1,B676&lt;=6),B676=10)),1,0)</f>
        <v>1</v>
      </c>
      <c r="AA676" s="39" t="n">
        <f aca="false">IF(AND(E676&gt;0,B676=10),1,0)</f>
        <v>0</v>
      </c>
      <c r="AB676" s="0" t="str">
        <f aca="false">IF(AND(C675=C676,Y675=Y676-1),Z675,"")</f>
        <v/>
      </c>
      <c r="AC676" s="0" t="str">
        <f aca="false">IF(AND(C675=C676,Y675=Y676-1),AA675,"")</f>
        <v/>
      </c>
      <c r="AD676" s="0" t="str">
        <f aca="false">IF(Y676=1,"",IF(AND(Z676=1,AB676&lt;&gt;1),1,0))</f>
        <v/>
      </c>
      <c r="AE676" s="0" t="str">
        <f aca="false">IF(Y676=1,"",IF(AND(AA676=1,AC676&lt;&gt;1),1,0))</f>
        <v/>
      </c>
      <c r="AF676" s="45" t="str">
        <f aca="false">IF(AND(E676&gt;0,Y676&lt;1,NOT(AND(C677=C676,Y677=Y676+1))),INDEX(DATAS,Y676+1),"")</f>
        <v/>
      </c>
      <c r="AG676" s="45" t="str">
        <f aca="false">IF(AND(AA676=1,Y676&lt;1),IF(AND(C677=C676,Y677=Y676+1),IF(AA677=1,"",INDEX(DATAS,Y676+1)),INDEX(DATAS,Y676+1)),"")</f>
        <v/>
      </c>
    </row>
    <row r="677" customFormat="false" ht="15" hidden="false" customHeight="false" outlineLevel="0" collapsed="false">
      <c r="A677" s="45" t="n">
        <v>46309</v>
      </c>
      <c r="B677" s="0" t="n">
        <v>5</v>
      </c>
      <c r="C677" s="0" t="n">
        <v>4558</v>
      </c>
      <c r="D677" s="0" t="n">
        <v>28</v>
      </c>
      <c r="E677" s="0" t="n">
        <v>3</v>
      </c>
      <c r="F677" s="39" t="s">
        <v>563</v>
      </c>
      <c r="G677" s="0" t="n">
        <v>36.4</v>
      </c>
      <c r="H677" s="0" t="n">
        <v>34</v>
      </c>
      <c r="I677" s="39" t="s">
        <v>118</v>
      </c>
      <c r="J677" s="0" t="n">
        <v>28</v>
      </c>
      <c r="M677" s="0" t="n">
        <v>224.16</v>
      </c>
      <c r="N677" s="0" t="n">
        <v>40.85</v>
      </c>
      <c r="O677" s="0" t="n">
        <v>24.97</v>
      </c>
      <c r="P677" s="0" t="n">
        <v>0</v>
      </c>
      <c r="Q677" s="0" t="n">
        <v>0</v>
      </c>
      <c r="R677" s="0" t="n">
        <v>2852</v>
      </c>
      <c r="S677" s="0" t="n">
        <v>5734</v>
      </c>
      <c r="U677" s="0" t="n">
        <v>1328</v>
      </c>
      <c r="V677" s="0" t="n">
        <v>0</v>
      </c>
      <c r="W677" s="39" t="n">
        <f aca="false">IF(I677="Male",0,1)</f>
        <v>1</v>
      </c>
      <c r="X677" s="39" t="n">
        <f aca="false">IF(OR(I677="DNB",I677="Dry DNB"),1,0)</f>
        <v>0</v>
      </c>
      <c r="Y677" s="39" t="n">
        <f aca="false">MATCH(A677,DATAS,0)</f>
        <v>1</v>
      </c>
      <c r="Z677" s="39" t="n">
        <f aca="false">IF(AND(E677&gt;0,OR(AND(B677&gt;=1,B677&lt;=6),B677=10)),1,0)</f>
        <v>1</v>
      </c>
      <c r="AA677" s="39" t="n">
        <f aca="false">IF(AND(E677&gt;0,B677=10),1,0)</f>
        <v>0</v>
      </c>
      <c r="AB677" s="0" t="str">
        <f aca="false">IF(AND(C676=C677,Y676=Y677-1),Z676,"")</f>
        <v/>
      </c>
      <c r="AC677" s="0" t="str">
        <f aca="false">IF(AND(C676=C677,Y676=Y677-1),AA676,"")</f>
        <v/>
      </c>
      <c r="AD677" s="0" t="str">
        <f aca="false">IF(Y677=1,"",IF(AND(Z677=1,AB677&lt;&gt;1),1,0))</f>
        <v/>
      </c>
      <c r="AE677" s="0" t="str">
        <f aca="false">IF(Y677=1,"",IF(AND(AA677=1,AC677&lt;&gt;1),1,0))</f>
        <v/>
      </c>
      <c r="AF677" s="45" t="str">
        <f aca="false">IF(AND(E677&gt;0,Y677&lt;1,NOT(AND(C678=C677,Y678=Y677+1))),INDEX(DATAS,Y677+1),"")</f>
        <v/>
      </c>
      <c r="AG677" s="45" t="str">
        <f aca="false">IF(AND(AA677=1,Y677&lt;1),IF(AND(C678=C677,Y678=Y677+1),IF(AA678=1,"",INDEX(DATAS,Y677+1)),INDEX(DATAS,Y677+1)),"")</f>
        <v/>
      </c>
    </row>
    <row r="678" customFormat="false" ht="15" hidden="false" customHeight="false" outlineLevel="0" collapsed="false">
      <c r="A678" s="45" t="n">
        <v>46309</v>
      </c>
      <c r="B678" s="0" t="n">
        <v>10</v>
      </c>
      <c r="C678" s="0" t="n">
        <v>4559</v>
      </c>
      <c r="D678" s="0" t="n">
        <v>295</v>
      </c>
      <c r="E678" s="0" t="n">
        <v>2</v>
      </c>
      <c r="F678" s="39" t="s">
        <v>563</v>
      </c>
      <c r="H678" s="0" t="n">
        <v>25</v>
      </c>
      <c r="I678" s="39" t="s">
        <v>146</v>
      </c>
      <c r="J678" s="0" t="n">
        <v>295</v>
      </c>
      <c r="K678" s="0" t="n">
        <v>64</v>
      </c>
      <c r="M678" s="0" t="n">
        <v>311.64</v>
      </c>
      <c r="N678" s="0" t="n">
        <v>50.78</v>
      </c>
      <c r="O678" s="0" t="n">
        <v>24.78</v>
      </c>
      <c r="P678" s="0" t="n">
        <v>4.5</v>
      </c>
      <c r="Q678" s="0" t="n">
        <v>4.2</v>
      </c>
      <c r="R678" s="0" t="n">
        <v>5204</v>
      </c>
      <c r="S678" s="0" t="n">
        <v>10894</v>
      </c>
      <c r="T678" s="0" t="n">
        <v>57.25</v>
      </c>
      <c r="U678" s="0" t="n">
        <v>1328</v>
      </c>
      <c r="V678" s="0" t="n">
        <v>5</v>
      </c>
      <c r="W678" s="39" t="n">
        <f aca="false">IF(I678="Male",0,1)</f>
        <v>1</v>
      </c>
      <c r="X678" s="39" t="n">
        <f aca="false">IF(OR(I678="DNB",I678="Dry DNB"),1,0)</f>
        <v>0</v>
      </c>
      <c r="Y678" s="39" t="n">
        <f aca="false">MATCH(A678,DATAS,0)</f>
        <v>1</v>
      </c>
      <c r="Z678" s="39" t="n">
        <f aca="false">IF(AND(E678&gt;0,OR(AND(B678&gt;=1,B678&lt;=6),B678=10)),1,0)</f>
        <v>1</v>
      </c>
      <c r="AA678" s="39" t="n">
        <f aca="false">IF(AND(E678&gt;0,B678=10),1,0)</f>
        <v>1</v>
      </c>
      <c r="AB678" s="0" t="str">
        <f aca="false">IF(AND(C677=C678,Y677=Y678-1),Z677,"")</f>
        <v/>
      </c>
      <c r="AC678" s="0" t="str">
        <f aca="false">IF(AND(C677=C678,Y677=Y678-1),AA677,"")</f>
        <v/>
      </c>
      <c r="AD678" s="0" t="str">
        <f aca="false">IF(Y678=1,"",IF(AND(Z678=1,AB678&lt;&gt;1),1,0))</f>
        <v/>
      </c>
      <c r="AE678" s="0" t="str">
        <f aca="false">IF(Y678=1,"",IF(AND(AA678=1,AC678&lt;&gt;1),1,0))</f>
        <v/>
      </c>
      <c r="AF678" s="45" t="str">
        <f aca="false">IF(AND(E678&gt;0,Y678&lt;1,NOT(AND(C679=C678,Y679=Y678+1))),INDEX(DATAS,Y678+1),"")</f>
        <v/>
      </c>
      <c r="AG678" s="45" t="str">
        <f aca="false">IF(AND(AA678=1,Y678&lt;1),IF(AND(C679=C678,Y679=Y678+1),IF(AA679=1,"",INDEX(DATAS,Y678+1)),INDEX(DATAS,Y678+1)),"")</f>
        <v/>
      </c>
    </row>
    <row r="679" customFormat="false" ht="15" hidden="false" customHeight="false" outlineLevel="0" collapsed="false">
      <c r="A679" s="45" t="n">
        <v>46309</v>
      </c>
      <c r="B679" s="0" t="n">
        <v>10</v>
      </c>
      <c r="C679" s="0" t="n">
        <v>4560</v>
      </c>
      <c r="D679" s="0" t="n">
        <v>216</v>
      </c>
      <c r="E679" s="0" t="n">
        <v>2</v>
      </c>
      <c r="F679" s="39" t="s">
        <v>563</v>
      </c>
      <c r="H679" s="0" t="n">
        <v>20</v>
      </c>
      <c r="I679" s="39" t="s">
        <v>109</v>
      </c>
      <c r="J679" s="0" t="n">
        <v>132</v>
      </c>
      <c r="K679" s="0" t="n">
        <v>69</v>
      </c>
      <c r="L679" s="0" t="n">
        <v>84</v>
      </c>
      <c r="M679" s="0" t="n">
        <v>785.65</v>
      </c>
      <c r="N679" s="0" t="n">
        <v>51.8</v>
      </c>
      <c r="O679" s="0" t="n">
        <v>40.84</v>
      </c>
      <c r="P679" s="0" t="n">
        <v>5.59</v>
      </c>
      <c r="Q679" s="0" t="n">
        <v>3.97</v>
      </c>
      <c r="R679" s="0" t="n">
        <v>4878</v>
      </c>
      <c r="S679" s="0" t="n">
        <v>9857</v>
      </c>
      <c r="T679" s="0" t="n">
        <v>58.55</v>
      </c>
      <c r="U679" s="0" t="n">
        <v>1328</v>
      </c>
      <c r="V679" s="0" t="n">
        <v>3</v>
      </c>
      <c r="W679" s="39" t="n">
        <f aca="false">IF(I679="Male",0,1)</f>
        <v>1</v>
      </c>
      <c r="X679" s="39" t="n">
        <f aca="false">IF(OR(I679="DNB",I679="Dry DNB"),1,0)</f>
        <v>0</v>
      </c>
      <c r="Y679" s="39" t="n">
        <f aca="false">MATCH(A679,DATAS,0)</f>
        <v>1</v>
      </c>
      <c r="Z679" s="39" t="n">
        <f aca="false">IF(AND(E679&gt;0,OR(AND(B679&gt;=1,B679&lt;=6),B679=10)),1,0)</f>
        <v>1</v>
      </c>
      <c r="AA679" s="39" t="n">
        <f aca="false">IF(AND(E679&gt;0,B679=10),1,0)</f>
        <v>1</v>
      </c>
      <c r="AB679" s="0" t="str">
        <f aca="false">IF(AND(C678=C679,Y678=Y679-1),Z678,"")</f>
        <v/>
      </c>
      <c r="AC679" s="0" t="str">
        <f aca="false">IF(AND(C678=C679,Y678=Y679-1),AA678,"")</f>
        <v/>
      </c>
      <c r="AD679" s="0" t="str">
        <f aca="false">IF(Y679=1,"",IF(AND(Z679=1,AB679&lt;&gt;1),1,0))</f>
        <v/>
      </c>
      <c r="AE679" s="0" t="str">
        <f aca="false">IF(Y679=1,"",IF(AND(AA679=1,AC679&lt;&gt;1),1,0))</f>
        <v/>
      </c>
      <c r="AF679" s="45" t="str">
        <f aca="false">IF(AND(E679&gt;0,Y679&lt;1,NOT(AND(C680=C679,Y680=Y679+1))),INDEX(DATAS,Y679+1),"")</f>
        <v/>
      </c>
      <c r="AG679" s="45" t="str">
        <f aca="false">IF(AND(AA679=1,Y679&lt;1),IF(AND(C680=C679,Y680=Y679+1),IF(AA680=1,"",INDEX(DATAS,Y679+1)),INDEX(DATAS,Y679+1)),"")</f>
        <v/>
      </c>
    </row>
    <row r="680" customFormat="false" ht="15" hidden="false" customHeight="false" outlineLevel="0" collapsed="false">
      <c r="A680" s="45" t="n">
        <v>46309</v>
      </c>
      <c r="B680" s="0" t="n">
        <v>7</v>
      </c>
      <c r="C680" s="0" t="n">
        <v>4562</v>
      </c>
      <c r="D680" s="0" t="n">
        <v>268</v>
      </c>
      <c r="E680" s="0" t="n">
        <v>2</v>
      </c>
      <c r="F680" s="39" t="s">
        <v>563</v>
      </c>
      <c r="I680" s="39" t="s">
        <v>114</v>
      </c>
      <c r="J680" s="0" t="n">
        <v>94</v>
      </c>
      <c r="K680" s="0" t="n">
        <v>94</v>
      </c>
      <c r="L680" s="0" t="n">
        <v>245</v>
      </c>
      <c r="M680" s="0" t="n">
        <v>488.72</v>
      </c>
      <c r="N680" s="0" t="n">
        <v>40.99</v>
      </c>
      <c r="O680" s="0" t="n">
        <v>32.93</v>
      </c>
      <c r="P680" s="0" t="n">
        <v>4.69</v>
      </c>
      <c r="Q680" s="0" t="n">
        <v>3.79</v>
      </c>
      <c r="R680" s="0" t="n">
        <v>2967</v>
      </c>
      <c r="S680" s="0" t="n">
        <v>6418</v>
      </c>
      <c r="T680" s="0" t="n">
        <v>34.15</v>
      </c>
      <c r="U680" s="0" t="n">
        <v>1328</v>
      </c>
      <c r="V680" s="0" t="n">
        <v>1</v>
      </c>
      <c r="W680" s="39" t="n">
        <f aca="false">IF(I680="Male",0,1)</f>
        <v>1</v>
      </c>
      <c r="X680" s="39" t="n">
        <f aca="false">IF(OR(I680="DNB",I680="Dry DNB"),1,0)</f>
        <v>0</v>
      </c>
      <c r="Y680" s="39" t="n">
        <f aca="false">MATCH(A680,DATAS,0)</f>
        <v>1</v>
      </c>
      <c r="Z680" s="39" t="n">
        <f aca="false">IF(AND(E680&gt;0,OR(AND(B680&gt;=1,B680&lt;=6),B680=10)),1,0)</f>
        <v>0</v>
      </c>
      <c r="AA680" s="39" t="n">
        <f aca="false">IF(AND(E680&gt;0,B680=10),1,0)</f>
        <v>0</v>
      </c>
      <c r="AB680" s="0" t="str">
        <f aca="false">IF(AND(C679=C680,Y679=Y680-1),Z679,"")</f>
        <v/>
      </c>
      <c r="AC680" s="0" t="str">
        <f aca="false">IF(AND(C679=C680,Y679=Y680-1),AA679,"")</f>
        <v/>
      </c>
      <c r="AD680" s="0" t="str">
        <f aca="false">IF(Y680=1,"",IF(AND(Z680=1,AB680&lt;&gt;1),1,0))</f>
        <v/>
      </c>
      <c r="AE680" s="0" t="str">
        <f aca="false">IF(Y680=1,"",IF(AND(AA680=1,AC680&lt;&gt;1),1,0))</f>
        <v/>
      </c>
      <c r="AF680" s="45" t="str">
        <f aca="false">IF(AND(E680&gt;0,Y680&lt;1,NOT(AND(C681=C680,Y681=Y680+1))),INDEX(DATAS,Y680+1),"")</f>
        <v/>
      </c>
      <c r="AG680" s="45" t="str">
        <f aca="false">IF(AND(AA680=1,Y680&lt;1),IF(AND(C681=C680,Y681=Y680+1),IF(AA681=1,"",INDEX(DATAS,Y680+1)),INDEX(DATAS,Y680+1)),"")</f>
        <v/>
      </c>
    </row>
    <row r="681" customFormat="false" ht="15" hidden="false" customHeight="false" outlineLevel="0" collapsed="false">
      <c r="A681" s="45" t="n">
        <v>46309</v>
      </c>
      <c r="B681" s="0" t="n">
        <v>2</v>
      </c>
      <c r="C681" s="0" t="n">
        <v>4563</v>
      </c>
      <c r="D681" s="0" t="n">
        <v>153</v>
      </c>
      <c r="E681" s="0" t="n">
        <v>2</v>
      </c>
      <c r="F681" s="39" t="s">
        <v>564</v>
      </c>
      <c r="G681" s="0" t="n">
        <v>54.3</v>
      </c>
      <c r="H681" s="0" t="n">
        <v>54</v>
      </c>
      <c r="I681" s="39" t="s">
        <v>109</v>
      </c>
      <c r="J681" s="0" t="n">
        <v>104</v>
      </c>
      <c r="K681" s="0" t="n">
        <v>69</v>
      </c>
      <c r="L681" s="0" t="n">
        <v>49</v>
      </c>
      <c r="M681" s="0" t="n">
        <v>1107.55</v>
      </c>
      <c r="N681" s="0" t="n">
        <v>41.38</v>
      </c>
      <c r="O681" s="0" t="n">
        <v>25.35</v>
      </c>
      <c r="P681" s="0" t="n">
        <v>2.84</v>
      </c>
      <c r="Q681" s="0" t="n">
        <v>3.05</v>
      </c>
      <c r="R681" s="0" t="n">
        <v>5470</v>
      </c>
      <c r="S681" s="0" t="n">
        <v>11431</v>
      </c>
      <c r="T681" s="0" t="n">
        <v>60</v>
      </c>
      <c r="U681" s="0" t="n">
        <v>1326</v>
      </c>
      <c r="V681" s="0" t="n">
        <v>2</v>
      </c>
      <c r="W681" s="39" t="n">
        <f aca="false">IF(I681="Male",0,1)</f>
        <v>1</v>
      </c>
      <c r="X681" s="39" t="n">
        <f aca="false">IF(OR(I681="DNB",I681="Dry DNB"),1,0)</f>
        <v>0</v>
      </c>
      <c r="Y681" s="39" t="n">
        <f aca="false">MATCH(A681,DATAS,0)</f>
        <v>1</v>
      </c>
      <c r="Z681" s="39" t="n">
        <f aca="false">IF(AND(E681&gt;0,OR(AND(B681&gt;=1,B681&lt;=6),B681=10)),1,0)</f>
        <v>1</v>
      </c>
      <c r="AA681" s="39" t="n">
        <f aca="false">IF(AND(E681&gt;0,B681=10),1,0)</f>
        <v>0</v>
      </c>
      <c r="AB681" s="0" t="str">
        <f aca="false">IF(AND(C680=C681,Y680=Y681-1),Z680,"")</f>
        <v/>
      </c>
      <c r="AC681" s="0" t="str">
        <f aca="false">IF(AND(C680=C681,Y680=Y681-1),AA680,"")</f>
        <v/>
      </c>
      <c r="AD681" s="0" t="str">
        <f aca="false">IF(Y681=1,"",IF(AND(Z681=1,AB681&lt;&gt;1),1,0))</f>
        <v/>
      </c>
      <c r="AE681" s="0" t="str">
        <f aca="false">IF(Y681=1,"",IF(AND(AA681=1,AC681&lt;&gt;1),1,0))</f>
        <v/>
      </c>
      <c r="AF681" s="45" t="str">
        <f aca="false">IF(AND(E681&gt;0,Y681&lt;1,NOT(AND(C682=C681,Y682=Y681+1))),INDEX(DATAS,Y681+1),"")</f>
        <v/>
      </c>
      <c r="AG681" s="45" t="str">
        <f aca="false">IF(AND(AA681=1,Y681&lt;1),IF(AND(C682=C681,Y682=Y681+1),IF(AA682=1,"",INDEX(DATAS,Y681+1)),INDEX(DATAS,Y681+1)),"")</f>
        <v/>
      </c>
    </row>
    <row r="682" customFormat="false" ht="15" hidden="false" customHeight="false" outlineLevel="0" collapsed="false">
      <c r="A682" s="45" t="n">
        <v>46309</v>
      </c>
      <c r="B682" s="0" t="n">
        <v>5</v>
      </c>
      <c r="C682" s="0" t="n">
        <v>4564</v>
      </c>
      <c r="D682" s="0" t="n">
        <v>119</v>
      </c>
      <c r="E682" s="0" t="n">
        <v>2</v>
      </c>
      <c r="F682" s="39" t="s">
        <v>564</v>
      </c>
      <c r="G682" s="0" t="n">
        <v>48.7</v>
      </c>
      <c r="H682" s="0" t="n">
        <v>44</v>
      </c>
      <c r="I682" s="39" t="s">
        <v>146</v>
      </c>
      <c r="J682" s="0" t="n">
        <v>119</v>
      </c>
      <c r="K682" s="0" t="n">
        <v>71</v>
      </c>
      <c r="M682" s="0" t="n">
        <v>577.32</v>
      </c>
      <c r="N682" s="0" t="n">
        <v>32.81</v>
      </c>
      <c r="O682" s="0" t="n">
        <v>19.83</v>
      </c>
      <c r="P682" s="0" t="n">
        <v>3.77</v>
      </c>
      <c r="Q682" s="0" t="n">
        <v>3.05</v>
      </c>
      <c r="R682" s="0" t="n">
        <v>3641</v>
      </c>
      <c r="S682" s="0" t="n">
        <v>7371</v>
      </c>
      <c r="T682" s="0" t="n">
        <v>41.7</v>
      </c>
      <c r="U682" s="0" t="n">
        <v>1326</v>
      </c>
      <c r="V682" s="0" t="n">
        <v>1</v>
      </c>
      <c r="W682" s="39" t="n">
        <f aca="false">IF(I682="Male",0,1)</f>
        <v>1</v>
      </c>
      <c r="X682" s="39" t="n">
        <f aca="false">IF(OR(I682="DNB",I682="Dry DNB"),1,0)</f>
        <v>0</v>
      </c>
      <c r="Y682" s="39" t="n">
        <f aca="false">MATCH(A682,DATAS,0)</f>
        <v>1</v>
      </c>
      <c r="Z682" s="39" t="n">
        <f aca="false">IF(AND(E682&gt;0,OR(AND(B682&gt;=1,B682&lt;=6),B682=10)),1,0)</f>
        <v>1</v>
      </c>
      <c r="AA682" s="39" t="n">
        <f aca="false">IF(AND(E682&gt;0,B682=10),1,0)</f>
        <v>0</v>
      </c>
      <c r="AB682" s="0" t="str">
        <f aca="false">IF(AND(C681=C682,Y681=Y682-1),Z681,"")</f>
        <v/>
      </c>
      <c r="AC682" s="0" t="str">
        <f aca="false">IF(AND(C681=C682,Y681=Y682-1),AA681,"")</f>
        <v/>
      </c>
      <c r="AD682" s="0" t="str">
        <f aca="false">IF(Y682=1,"",IF(AND(Z682=1,AB682&lt;&gt;1),1,0))</f>
        <v/>
      </c>
      <c r="AE682" s="0" t="str">
        <f aca="false">IF(Y682=1,"",IF(AND(AA682=1,AC682&lt;&gt;1),1,0))</f>
        <v/>
      </c>
      <c r="AF682" s="45" t="str">
        <f aca="false">IF(AND(E682&gt;0,Y682&lt;1,NOT(AND(C683=C682,Y683=Y682+1))),INDEX(DATAS,Y682+1),"")</f>
        <v/>
      </c>
      <c r="AG682" s="45" t="str">
        <f aca="false">IF(AND(AA682=1,Y682&lt;1),IF(AND(C683=C682,Y683=Y682+1),IF(AA683=1,"",INDEX(DATAS,Y682+1)),INDEX(DATAS,Y682+1)),"")</f>
        <v/>
      </c>
    </row>
    <row r="683" customFormat="false" ht="15" hidden="false" customHeight="false" outlineLevel="0" collapsed="false">
      <c r="A683" s="45" t="n">
        <v>46309</v>
      </c>
      <c r="B683" s="0" t="n">
        <v>5</v>
      </c>
      <c r="C683" s="0" t="n">
        <v>4567</v>
      </c>
      <c r="D683" s="0" t="n">
        <v>258</v>
      </c>
      <c r="E683" s="0" t="n">
        <v>2</v>
      </c>
      <c r="F683" s="39" t="s">
        <v>565</v>
      </c>
      <c r="G683" s="0" t="n">
        <v>42.9</v>
      </c>
      <c r="H683" s="0" t="n">
        <v>37</v>
      </c>
      <c r="I683" s="39" t="s">
        <v>109</v>
      </c>
      <c r="J683" s="0" t="n">
        <v>69</v>
      </c>
      <c r="K683" s="0" t="n">
        <v>69</v>
      </c>
      <c r="L683" s="0" t="n">
        <v>189</v>
      </c>
      <c r="M683" s="0" t="n">
        <v>862.21</v>
      </c>
      <c r="N683" s="0" t="n">
        <v>63.29</v>
      </c>
      <c r="O683" s="0" t="n">
        <v>48.36</v>
      </c>
      <c r="P683" s="0" t="n">
        <v>3.67</v>
      </c>
      <c r="Q683" s="0" t="n">
        <v>4.06</v>
      </c>
      <c r="R683" s="0" t="n">
        <v>6165</v>
      </c>
      <c r="S683" s="0" t="n">
        <v>11156</v>
      </c>
      <c r="T683" s="0" t="n">
        <v>67.95</v>
      </c>
      <c r="U683" s="0" t="n">
        <v>1323</v>
      </c>
      <c r="V683" s="0" t="n">
        <v>1</v>
      </c>
      <c r="W683" s="39" t="n">
        <f aca="false">IF(I683="Male",0,1)</f>
        <v>1</v>
      </c>
      <c r="X683" s="39" t="n">
        <f aca="false">IF(OR(I683="DNB",I683="Dry DNB"),1,0)</f>
        <v>0</v>
      </c>
      <c r="Y683" s="39" t="n">
        <f aca="false">MATCH(A683,DATAS,0)</f>
        <v>1</v>
      </c>
      <c r="Z683" s="39" t="n">
        <f aca="false">IF(AND(E683&gt;0,OR(AND(B683&gt;=1,B683&lt;=6),B683=10)),1,0)</f>
        <v>1</v>
      </c>
      <c r="AA683" s="39" t="n">
        <f aca="false">IF(AND(E683&gt;0,B683=10),1,0)</f>
        <v>0</v>
      </c>
      <c r="AB683" s="0" t="str">
        <f aca="false">IF(AND(C682=C683,Y682=Y683-1),Z682,"")</f>
        <v/>
      </c>
      <c r="AC683" s="0" t="str">
        <f aca="false">IF(AND(C682=C683,Y682=Y683-1),AA682,"")</f>
        <v/>
      </c>
      <c r="AD683" s="0" t="str">
        <f aca="false">IF(Y683=1,"",IF(AND(Z683=1,AB683&lt;&gt;1),1,0))</f>
        <v/>
      </c>
      <c r="AE683" s="0" t="str">
        <f aca="false">IF(Y683=1,"",IF(AND(AA683=1,AC683&lt;&gt;1),1,0))</f>
        <v/>
      </c>
      <c r="AF683" s="45" t="str">
        <f aca="false">IF(AND(E683&gt;0,Y683&lt;1,NOT(AND(C684=C683,Y684=Y683+1))),INDEX(DATAS,Y683+1),"")</f>
        <v/>
      </c>
      <c r="AG683" s="45" t="str">
        <f aca="false">IF(AND(AA683=1,Y683&lt;1),IF(AND(C684=C683,Y684=Y683+1),IF(AA684=1,"",INDEX(DATAS,Y683+1)),INDEX(DATAS,Y683+1)),"")</f>
        <v/>
      </c>
    </row>
    <row r="684" customFormat="false" ht="15" hidden="false" customHeight="false" outlineLevel="0" collapsed="false">
      <c r="A684" s="45" t="n">
        <v>46309</v>
      </c>
      <c r="B684" s="0" t="n">
        <v>14</v>
      </c>
      <c r="C684" s="0" t="n">
        <v>4571</v>
      </c>
      <c r="D684" s="0" t="n">
        <v>290</v>
      </c>
      <c r="E684" s="0" t="n">
        <v>2</v>
      </c>
      <c r="F684" s="39" t="s">
        <v>566</v>
      </c>
      <c r="I684" s="39" t="s">
        <v>114</v>
      </c>
      <c r="J684" s="0" t="n">
        <v>67</v>
      </c>
      <c r="K684" s="0" t="n">
        <v>67</v>
      </c>
      <c r="L684" s="0" t="n">
        <v>266</v>
      </c>
      <c r="M684" s="0" t="n">
        <v>1064.66</v>
      </c>
      <c r="N684" s="0" t="n">
        <v>36.13</v>
      </c>
      <c r="O684" s="0" t="n">
        <v>41.59</v>
      </c>
      <c r="P684" s="0" t="n">
        <v>2.81</v>
      </c>
      <c r="Q684" s="0" t="n">
        <v>4.01</v>
      </c>
      <c r="R684" s="0" t="n">
        <v>4978</v>
      </c>
      <c r="S684" s="0" t="n">
        <v>8973</v>
      </c>
      <c r="T684" s="0" t="n">
        <v>52.95</v>
      </c>
      <c r="U684" s="0" t="n">
        <v>1322</v>
      </c>
      <c r="V684" s="0" t="n">
        <v>1</v>
      </c>
      <c r="W684" s="39" t="n">
        <f aca="false">IF(I684="Male",0,1)</f>
        <v>1</v>
      </c>
      <c r="X684" s="39" t="n">
        <f aca="false">IF(OR(I684="DNB",I684="Dry DNB"),1,0)</f>
        <v>0</v>
      </c>
      <c r="Y684" s="39" t="n">
        <f aca="false">MATCH(A684,DATAS,0)</f>
        <v>1</v>
      </c>
      <c r="Z684" s="39" t="n">
        <f aca="false">IF(AND(E684&gt;0,OR(AND(B684&gt;=1,B684&lt;=6),B684=10)),1,0)</f>
        <v>0</v>
      </c>
      <c r="AA684" s="39" t="n">
        <f aca="false">IF(AND(E684&gt;0,B684=10),1,0)</f>
        <v>0</v>
      </c>
      <c r="AB684" s="0" t="str">
        <f aca="false">IF(AND(C683=C684,Y683=Y684-1),Z683,"")</f>
        <v/>
      </c>
      <c r="AC684" s="0" t="str">
        <f aca="false">IF(AND(C683=C684,Y683=Y684-1),AA683,"")</f>
        <v/>
      </c>
      <c r="AD684" s="0" t="str">
        <f aca="false">IF(Y684=1,"",IF(AND(Z684=1,AB684&lt;&gt;1),1,0))</f>
        <v/>
      </c>
      <c r="AE684" s="0" t="str">
        <f aca="false">IF(Y684=1,"",IF(AND(AA684=1,AC684&lt;&gt;1),1,0))</f>
        <v/>
      </c>
      <c r="AF684" s="45" t="str">
        <f aca="false">IF(AND(E684&gt;0,Y684&lt;1,NOT(AND(C685=C684,Y685=Y684+1))),INDEX(DATAS,Y684+1),"")</f>
        <v/>
      </c>
      <c r="AG684" s="45" t="str">
        <f aca="false">IF(AND(AA684=1,Y684&lt;1),IF(AND(C685=C684,Y685=Y684+1),IF(AA685=1,"",INDEX(DATAS,Y684+1)),INDEX(DATAS,Y684+1)),"")</f>
        <v/>
      </c>
    </row>
    <row r="685" customFormat="false" ht="15" hidden="false" customHeight="false" outlineLevel="0" collapsed="false">
      <c r="A685" s="45" t="n">
        <v>46309</v>
      </c>
      <c r="B685" s="0" t="n">
        <v>3</v>
      </c>
      <c r="C685" s="0" t="n">
        <v>4572</v>
      </c>
      <c r="D685" s="0" t="n">
        <v>186</v>
      </c>
      <c r="E685" s="0" t="n">
        <v>2</v>
      </c>
      <c r="F685" s="39" t="s">
        <v>567</v>
      </c>
      <c r="G685" s="0" t="n">
        <v>54.2</v>
      </c>
      <c r="H685" s="0" t="n">
        <v>56</v>
      </c>
      <c r="I685" s="39" t="s">
        <v>109</v>
      </c>
      <c r="J685" s="0" t="n">
        <v>137</v>
      </c>
      <c r="K685" s="0" t="n">
        <v>67</v>
      </c>
      <c r="L685" s="0" t="n">
        <v>49</v>
      </c>
      <c r="M685" s="0" t="n">
        <v>428.43</v>
      </c>
      <c r="N685" s="0" t="n">
        <v>47.94</v>
      </c>
      <c r="O685" s="0" t="n">
        <v>18.43</v>
      </c>
      <c r="P685" s="0" t="n">
        <v>3.73</v>
      </c>
      <c r="Q685" s="0" t="n">
        <v>3.06</v>
      </c>
      <c r="R685" s="0" t="n">
        <v>5060</v>
      </c>
      <c r="S685" s="0" t="n">
        <v>11056</v>
      </c>
      <c r="T685" s="0" t="n">
        <v>56.3</v>
      </c>
      <c r="U685" s="0" t="n">
        <v>1321</v>
      </c>
      <c r="V685" s="0" t="n">
        <v>3</v>
      </c>
      <c r="W685" s="39" t="n">
        <f aca="false">IF(I685="Male",0,1)</f>
        <v>1</v>
      </c>
      <c r="X685" s="39" t="n">
        <f aca="false">IF(OR(I685="DNB",I685="Dry DNB"),1,0)</f>
        <v>0</v>
      </c>
      <c r="Y685" s="39" t="n">
        <f aca="false">MATCH(A685,DATAS,0)</f>
        <v>1</v>
      </c>
      <c r="Z685" s="39" t="n">
        <f aca="false">IF(AND(E685&gt;0,OR(AND(B685&gt;=1,B685&lt;=6),B685=10)),1,0)</f>
        <v>1</v>
      </c>
      <c r="AA685" s="39" t="n">
        <f aca="false">IF(AND(E685&gt;0,B685=10),1,0)</f>
        <v>0</v>
      </c>
      <c r="AB685" s="0" t="str">
        <f aca="false">IF(AND(C684=C685,Y684=Y685-1),Z684,"")</f>
        <v/>
      </c>
      <c r="AC685" s="0" t="str">
        <f aca="false">IF(AND(C684=C685,Y684=Y685-1),AA684,"")</f>
        <v/>
      </c>
      <c r="AD685" s="0" t="str">
        <f aca="false">IF(Y685=1,"",IF(AND(Z685=1,AB685&lt;&gt;1),1,0))</f>
        <v/>
      </c>
      <c r="AE685" s="0" t="str">
        <f aca="false">IF(Y685=1,"",IF(AND(AA685=1,AC685&lt;&gt;1),1,0))</f>
        <v/>
      </c>
      <c r="AF685" s="45" t="str">
        <f aca="false">IF(AND(E685&gt;0,Y685&lt;1,NOT(AND(C686=C685,Y686=Y685+1))),INDEX(DATAS,Y685+1),"")</f>
        <v/>
      </c>
      <c r="AG685" s="45" t="str">
        <f aca="false">IF(AND(AA685=1,Y685&lt;1),IF(AND(C686=C685,Y686=Y685+1),IF(AA686=1,"",INDEX(DATAS,Y685+1)),INDEX(DATAS,Y685+1)),"")</f>
        <v/>
      </c>
    </row>
    <row r="686" customFormat="false" ht="15" hidden="false" customHeight="false" outlineLevel="0" collapsed="false">
      <c r="A686" s="45" t="n">
        <v>46309</v>
      </c>
      <c r="B686" s="0" t="n">
        <v>3</v>
      </c>
      <c r="C686" s="0" t="n">
        <v>4573</v>
      </c>
      <c r="D686" s="0" t="n">
        <v>106</v>
      </c>
      <c r="E686" s="0" t="n">
        <v>2</v>
      </c>
      <c r="F686" s="39" t="s">
        <v>567</v>
      </c>
      <c r="G686" s="0" t="n">
        <v>57.8</v>
      </c>
      <c r="H686" s="0" t="n">
        <v>59</v>
      </c>
      <c r="I686" s="39" t="s">
        <v>138</v>
      </c>
      <c r="J686" s="0" t="n">
        <v>106</v>
      </c>
      <c r="K686" s="0" t="n">
        <v>64</v>
      </c>
      <c r="M686" s="0" t="n">
        <v>155.85</v>
      </c>
      <c r="N686" s="0" t="n">
        <v>53.31</v>
      </c>
      <c r="O686" s="0" t="n">
        <v>29.47</v>
      </c>
      <c r="P686" s="0" t="n">
        <v>4.52</v>
      </c>
      <c r="Q686" s="0" t="n">
        <v>3.29</v>
      </c>
      <c r="R686" s="0" t="n">
        <v>5585</v>
      </c>
      <c r="S686" s="0" t="n">
        <v>11279</v>
      </c>
      <c r="T686" s="0" t="n">
        <v>59.8</v>
      </c>
      <c r="U686" s="0" t="n">
        <v>1321</v>
      </c>
      <c r="V686" s="0" t="n">
        <v>2</v>
      </c>
      <c r="W686" s="39" t="n">
        <f aca="false">IF(I686="Male",0,1)</f>
        <v>1</v>
      </c>
      <c r="X686" s="39" t="n">
        <f aca="false">IF(OR(I686="DNB",I686="Dry DNB"),1,0)</f>
        <v>0</v>
      </c>
      <c r="Y686" s="39" t="n">
        <f aca="false">MATCH(A686,DATAS,0)</f>
        <v>1</v>
      </c>
      <c r="Z686" s="39" t="n">
        <f aca="false">IF(AND(E686&gt;0,OR(AND(B686&gt;=1,B686&lt;=6),B686=10)),1,0)</f>
        <v>1</v>
      </c>
      <c r="AA686" s="39" t="n">
        <f aca="false">IF(AND(E686&gt;0,B686=10),1,0)</f>
        <v>0</v>
      </c>
      <c r="AB686" s="0" t="str">
        <f aca="false">IF(AND(C685=C686,Y685=Y686-1),Z685,"")</f>
        <v/>
      </c>
      <c r="AC686" s="0" t="str">
        <f aca="false">IF(AND(C685=C686,Y685=Y686-1),AA685,"")</f>
        <v/>
      </c>
      <c r="AD686" s="0" t="str">
        <f aca="false">IF(Y686=1,"",IF(AND(Z686=1,AB686&lt;&gt;1),1,0))</f>
        <v/>
      </c>
      <c r="AE686" s="0" t="str">
        <f aca="false">IF(Y686=1,"",IF(AND(AA686=1,AC686&lt;&gt;1),1,0))</f>
        <v/>
      </c>
      <c r="AF686" s="45" t="str">
        <f aca="false">IF(AND(E686&gt;0,Y686&lt;1,NOT(AND(C687=C686,Y687=Y686+1))),INDEX(DATAS,Y686+1),"")</f>
        <v/>
      </c>
      <c r="AG686" s="45" t="str">
        <f aca="false">IF(AND(AA686=1,Y686&lt;1),IF(AND(C687=C686,Y687=Y686+1),IF(AA687=1,"",INDEX(DATAS,Y686+1)),INDEX(DATAS,Y686+1)),"")</f>
        <v/>
      </c>
    </row>
    <row r="687" customFormat="false" ht="15" hidden="false" customHeight="false" outlineLevel="0" collapsed="false">
      <c r="A687" s="45" t="n">
        <v>46309</v>
      </c>
      <c r="B687" s="0" t="n">
        <v>2</v>
      </c>
      <c r="C687" s="0" t="n">
        <v>4574</v>
      </c>
      <c r="D687" s="0" t="n">
        <v>86</v>
      </c>
      <c r="E687" s="0" t="n">
        <v>2</v>
      </c>
      <c r="F687" s="39" t="s">
        <v>568</v>
      </c>
      <c r="G687" s="0" t="n">
        <v>54</v>
      </c>
      <c r="H687" s="0" t="n">
        <v>53</v>
      </c>
      <c r="I687" s="39" t="s">
        <v>138</v>
      </c>
      <c r="J687" s="0" t="n">
        <v>86</v>
      </c>
      <c r="K687" s="0" t="n">
        <v>65</v>
      </c>
      <c r="M687" s="0" t="n">
        <v>394.69</v>
      </c>
      <c r="N687" s="0" t="n">
        <v>42.82</v>
      </c>
      <c r="O687" s="0" t="n">
        <v>30.31</v>
      </c>
      <c r="P687" s="0" t="n">
        <v>3.58</v>
      </c>
      <c r="Q687" s="0" t="n">
        <v>3.1</v>
      </c>
      <c r="R687" s="0" t="n">
        <v>4677</v>
      </c>
      <c r="S687" s="0" t="n">
        <v>9402</v>
      </c>
      <c r="U687" s="0" t="n">
        <v>1320</v>
      </c>
      <c r="V687" s="0" t="n">
        <v>1</v>
      </c>
      <c r="W687" s="39" t="n">
        <f aca="false">IF(I687="Male",0,1)</f>
        <v>1</v>
      </c>
      <c r="X687" s="39" t="n">
        <f aca="false">IF(OR(I687="DNB",I687="Dry DNB"),1,0)</f>
        <v>0</v>
      </c>
      <c r="Y687" s="39" t="n">
        <f aca="false">MATCH(A687,DATAS,0)</f>
        <v>1</v>
      </c>
      <c r="Z687" s="39" t="n">
        <f aca="false">IF(AND(E687&gt;0,OR(AND(B687&gt;=1,B687&lt;=6),B687=10)),1,0)</f>
        <v>1</v>
      </c>
      <c r="AA687" s="39" t="n">
        <f aca="false">IF(AND(E687&gt;0,B687=10),1,0)</f>
        <v>0</v>
      </c>
      <c r="AB687" s="0" t="str">
        <f aca="false">IF(AND(C686=C687,Y686=Y687-1),Z686,"")</f>
        <v/>
      </c>
      <c r="AC687" s="0" t="str">
        <f aca="false">IF(AND(C686=C687,Y686=Y687-1),AA686,"")</f>
        <v/>
      </c>
      <c r="AD687" s="0" t="str">
        <f aca="false">IF(Y687=1,"",IF(AND(Z687=1,AB687&lt;&gt;1),1,0))</f>
        <v/>
      </c>
      <c r="AE687" s="0" t="str">
        <f aca="false">IF(Y687=1,"",IF(AND(AA687=1,AC687&lt;&gt;1),1,0))</f>
        <v/>
      </c>
      <c r="AF687" s="45" t="str">
        <f aca="false">IF(AND(E687&gt;0,Y687&lt;1,NOT(AND(C688=C687,Y688=Y687+1))),INDEX(DATAS,Y687+1),"")</f>
        <v/>
      </c>
      <c r="AG687" s="45" t="str">
        <f aca="false">IF(AND(AA687=1,Y687&lt;1),IF(AND(C688=C687,Y688=Y687+1),IF(AA688=1,"",INDEX(DATAS,Y687+1)),INDEX(DATAS,Y687+1)),"")</f>
        <v/>
      </c>
    </row>
    <row r="688" customFormat="false" ht="15" hidden="false" customHeight="false" outlineLevel="0" collapsed="false">
      <c r="A688" s="45" t="n">
        <v>46309</v>
      </c>
      <c r="B688" s="0" t="n">
        <v>3</v>
      </c>
      <c r="C688" s="0" t="n">
        <v>4575</v>
      </c>
      <c r="D688" s="0" t="n">
        <v>210</v>
      </c>
      <c r="E688" s="0" t="n">
        <v>2</v>
      </c>
      <c r="F688" s="39" t="s">
        <v>568</v>
      </c>
      <c r="G688" s="0" t="n">
        <v>60.1</v>
      </c>
      <c r="H688" s="0" t="n">
        <v>58</v>
      </c>
      <c r="I688" s="39" t="s">
        <v>109</v>
      </c>
      <c r="J688" s="0" t="n">
        <v>63</v>
      </c>
      <c r="K688" s="0" t="n">
        <v>63</v>
      </c>
      <c r="L688" s="0" t="n">
        <v>147</v>
      </c>
      <c r="M688" s="0" t="n">
        <v>901.48</v>
      </c>
      <c r="N688" s="0" t="n">
        <v>55.55</v>
      </c>
      <c r="O688" s="0" t="n">
        <v>29.05</v>
      </c>
      <c r="P688" s="0" t="n">
        <v>4.3</v>
      </c>
      <c r="Q688" s="0" t="n">
        <v>3.45</v>
      </c>
      <c r="R688" s="0" t="n">
        <v>5674</v>
      </c>
      <c r="S688" s="0" t="n">
        <v>11974</v>
      </c>
      <c r="T688" s="0" t="n">
        <v>64.6</v>
      </c>
      <c r="U688" s="0" t="n">
        <v>1320</v>
      </c>
      <c r="V688" s="0" t="n">
        <v>1</v>
      </c>
      <c r="W688" s="39" t="n">
        <f aca="false">IF(I688="Male",0,1)</f>
        <v>1</v>
      </c>
      <c r="X688" s="39" t="n">
        <f aca="false">IF(OR(I688="DNB",I688="Dry DNB"),1,0)</f>
        <v>0</v>
      </c>
      <c r="Y688" s="39" t="n">
        <f aca="false">MATCH(A688,DATAS,0)</f>
        <v>1</v>
      </c>
      <c r="Z688" s="39" t="n">
        <f aca="false">IF(AND(E688&gt;0,OR(AND(B688&gt;=1,B688&lt;=6),B688=10)),1,0)</f>
        <v>1</v>
      </c>
      <c r="AA688" s="39" t="n">
        <f aca="false">IF(AND(E688&gt;0,B688=10),1,0)</f>
        <v>0</v>
      </c>
      <c r="AB688" s="0" t="str">
        <f aca="false">IF(AND(C687=C688,Y687=Y688-1),Z687,"")</f>
        <v/>
      </c>
      <c r="AC688" s="0" t="str">
        <f aca="false">IF(AND(C687=C688,Y687=Y688-1),AA687,"")</f>
        <v/>
      </c>
      <c r="AD688" s="0" t="str">
        <f aca="false">IF(Y688=1,"",IF(AND(Z688=1,AB688&lt;&gt;1),1,0))</f>
        <v/>
      </c>
      <c r="AE688" s="0" t="str">
        <f aca="false">IF(Y688=1,"",IF(AND(AA688=1,AC688&lt;&gt;1),1,0))</f>
        <v/>
      </c>
      <c r="AF688" s="45" t="str">
        <f aca="false">IF(AND(E688&gt;0,Y688&lt;1,NOT(AND(C689=C688,Y689=Y688+1))),INDEX(DATAS,Y688+1),"")</f>
        <v/>
      </c>
      <c r="AG688" s="45" t="str">
        <f aca="false">IF(AND(AA688=1,Y688&lt;1),IF(AND(C689=C688,Y689=Y688+1),IF(AA689=1,"",INDEX(DATAS,Y688+1)),INDEX(DATAS,Y688+1)),"")</f>
        <v/>
      </c>
    </row>
    <row r="689" customFormat="false" ht="15" hidden="false" customHeight="false" outlineLevel="0" collapsed="false">
      <c r="A689" s="45" t="n">
        <v>46309</v>
      </c>
      <c r="B689" s="0" t="n">
        <v>7</v>
      </c>
      <c r="C689" s="0" t="n">
        <v>4576</v>
      </c>
      <c r="D689" s="0" t="n">
        <v>223</v>
      </c>
      <c r="E689" s="0" t="n">
        <v>2</v>
      </c>
      <c r="F689" s="39" t="s">
        <v>568</v>
      </c>
      <c r="G689" s="0" t="n">
        <v>4.7</v>
      </c>
      <c r="H689" s="0" t="n">
        <v>6</v>
      </c>
      <c r="I689" s="39" t="s">
        <v>109</v>
      </c>
      <c r="J689" s="0" t="n">
        <v>133</v>
      </c>
      <c r="K689" s="0" t="n">
        <v>69</v>
      </c>
      <c r="L689" s="0" t="n">
        <v>90</v>
      </c>
      <c r="M689" s="0" t="n">
        <v>633.58</v>
      </c>
      <c r="N689" s="0" t="n">
        <v>41.31</v>
      </c>
      <c r="O689" s="0" t="n">
        <v>22.65</v>
      </c>
      <c r="P689" s="0" t="n">
        <v>4.34</v>
      </c>
      <c r="Q689" s="0" t="n">
        <v>3.45</v>
      </c>
      <c r="R689" s="0" t="n">
        <v>1939</v>
      </c>
      <c r="S689" s="0" t="n">
        <v>4556</v>
      </c>
      <c r="T689" s="0" t="n">
        <v>22.55</v>
      </c>
      <c r="U689" s="0" t="n">
        <v>1320</v>
      </c>
      <c r="V689" s="0" t="n">
        <v>3</v>
      </c>
      <c r="W689" s="39" t="n">
        <f aca="false">IF(I689="Male",0,1)</f>
        <v>1</v>
      </c>
      <c r="X689" s="39" t="n">
        <f aca="false">IF(OR(I689="DNB",I689="Dry DNB"),1,0)</f>
        <v>0</v>
      </c>
      <c r="Y689" s="39" t="n">
        <f aca="false">MATCH(A689,DATAS,0)</f>
        <v>1</v>
      </c>
      <c r="Z689" s="39" t="n">
        <f aca="false">IF(AND(E689&gt;0,OR(AND(B689&gt;=1,B689&lt;=6),B689=10)),1,0)</f>
        <v>0</v>
      </c>
      <c r="AA689" s="39" t="n">
        <f aca="false">IF(AND(E689&gt;0,B689=10),1,0)</f>
        <v>0</v>
      </c>
      <c r="AB689" s="0" t="str">
        <f aca="false">IF(AND(C688=C689,Y688=Y689-1),Z688,"")</f>
        <v/>
      </c>
      <c r="AC689" s="0" t="str">
        <f aca="false">IF(AND(C688=C689,Y688=Y689-1),AA688,"")</f>
        <v/>
      </c>
      <c r="AD689" s="0" t="str">
        <f aca="false">IF(Y689=1,"",IF(AND(Z689=1,AB689&lt;&gt;1),1,0))</f>
        <v/>
      </c>
      <c r="AE689" s="0" t="str">
        <f aca="false">IF(Y689=1,"",IF(AND(AA689=1,AC689&lt;&gt;1),1,0))</f>
        <v/>
      </c>
      <c r="AF689" s="45" t="str">
        <f aca="false">IF(AND(E689&gt;0,Y689&lt;1,NOT(AND(C690=C689,Y690=Y689+1))),INDEX(DATAS,Y689+1),"")</f>
        <v/>
      </c>
      <c r="AG689" s="45" t="str">
        <f aca="false">IF(AND(AA689=1,Y689&lt;1),IF(AND(C690=C689,Y690=Y689+1),IF(AA690=1,"",INDEX(DATAS,Y689+1)),INDEX(DATAS,Y689+1)),"")</f>
        <v/>
      </c>
    </row>
    <row r="690" customFormat="false" ht="15" hidden="false" customHeight="false" outlineLevel="0" collapsed="false">
      <c r="A690" s="45" t="n">
        <v>46309</v>
      </c>
      <c r="B690" s="0" t="n">
        <v>2</v>
      </c>
      <c r="C690" s="0" t="n">
        <v>4577</v>
      </c>
      <c r="D690" s="0" t="n">
        <v>277</v>
      </c>
      <c r="E690" s="0" t="n">
        <v>2</v>
      </c>
      <c r="F690" s="39" t="s">
        <v>569</v>
      </c>
      <c r="G690" s="0" t="n">
        <v>59.7</v>
      </c>
      <c r="H690" s="0" t="n">
        <v>62</v>
      </c>
      <c r="I690" s="39" t="s">
        <v>109</v>
      </c>
      <c r="J690" s="0" t="n">
        <v>127</v>
      </c>
      <c r="K690" s="0" t="n">
        <v>67</v>
      </c>
      <c r="L690" s="0" t="n">
        <v>150</v>
      </c>
      <c r="M690" s="0" t="n">
        <v>584.37</v>
      </c>
      <c r="N690" s="0" t="n">
        <v>25.99</v>
      </c>
      <c r="O690" s="0" t="n">
        <v>23.62</v>
      </c>
      <c r="P690" s="0" t="n">
        <v>3.08</v>
      </c>
      <c r="Q690" s="0" t="n">
        <v>3.39</v>
      </c>
      <c r="R690" s="0" t="n">
        <v>5750</v>
      </c>
      <c r="S690" s="0" t="n">
        <v>12637</v>
      </c>
      <c r="T690" s="0" t="n">
        <v>58.75</v>
      </c>
      <c r="U690" s="0" t="n">
        <v>1319</v>
      </c>
      <c r="V690" s="0" t="n">
        <v>3</v>
      </c>
      <c r="W690" s="39" t="n">
        <f aca="false">IF(I690="Male",0,1)</f>
        <v>1</v>
      </c>
      <c r="X690" s="39" t="n">
        <f aca="false">IF(OR(I690="DNB",I690="Dry DNB"),1,0)</f>
        <v>0</v>
      </c>
      <c r="Y690" s="39" t="n">
        <f aca="false">MATCH(A690,DATAS,0)</f>
        <v>1</v>
      </c>
      <c r="Z690" s="39" t="n">
        <f aca="false">IF(AND(E690&gt;0,OR(AND(B690&gt;=1,B690&lt;=6),B690=10)),1,0)</f>
        <v>1</v>
      </c>
      <c r="AA690" s="39" t="n">
        <f aca="false">IF(AND(E690&gt;0,B690=10),1,0)</f>
        <v>0</v>
      </c>
      <c r="AB690" s="0" t="str">
        <f aca="false">IF(AND(C689=C690,Y689=Y690-1),Z689,"")</f>
        <v/>
      </c>
      <c r="AC690" s="0" t="str">
        <f aca="false">IF(AND(C689=C690,Y689=Y690-1),AA689,"")</f>
        <v/>
      </c>
      <c r="AD690" s="0" t="str">
        <f aca="false">IF(Y690=1,"",IF(AND(Z690=1,AB690&lt;&gt;1),1,0))</f>
        <v/>
      </c>
      <c r="AE690" s="0" t="str">
        <f aca="false">IF(Y690=1,"",IF(AND(AA690=1,AC690&lt;&gt;1),1,0))</f>
        <v/>
      </c>
      <c r="AF690" s="45" t="str">
        <f aca="false">IF(AND(E690&gt;0,Y690&lt;1,NOT(AND(C691=C690,Y691=Y690+1))),INDEX(DATAS,Y690+1),"")</f>
        <v/>
      </c>
      <c r="AG690" s="45" t="str">
        <f aca="false">IF(AND(AA690=1,Y690&lt;1),IF(AND(C691=C690,Y691=Y690+1),IF(AA691=1,"",INDEX(DATAS,Y690+1)),INDEX(DATAS,Y690+1)),"")</f>
        <v/>
      </c>
    </row>
    <row r="691" customFormat="false" ht="15" hidden="false" customHeight="false" outlineLevel="0" collapsed="false">
      <c r="A691" s="45" t="n">
        <v>46309</v>
      </c>
      <c r="B691" s="0" t="n">
        <v>5</v>
      </c>
      <c r="C691" s="0" t="n">
        <v>4578</v>
      </c>
      <c r="D691" s="0" t="n">
        <v>601</v>
      </c>
      <c r="E691" s="0" t="n">
        <v>1</v>
      </c>
      <c r="F691" s="39" t="s">
        <v>569</v>
      </c>
      <c r="G691" s="0" t="n">
        <v>38</v>
      </c>
      <c r="H691" s="0" t="n">
        <v>37</v>
      </c>
      <c r="I691" s="39" t="s">
        <v>96</v>
      </c>
      <c r="J691" s="0" t="n">
        <v>601</v>
      </c>
      <c r="K691" s="0" t="n">
        <v>63</v>
      </c>
      <c r="M691" s="0" t="n">
        <v>987.48</v>
      </c>
      <c r="N691" s="0" t="n">
        <v>29.87</v>
      </c>
      <c r="O691" s="0" t="n">
        <v>30.63</v>
      </c>
      <c r="P691" s="0" t="n">
        <v>2.96</v>
      </c>
      <c r="Q691" s="0" t="n">
        <v>3.36</v>
      </c>
      <c r="R691" s="0" t="n">
        <v>5083</v>
      </c>
      <c r="S691" s="0" t="n">
        <v>10905</v>
      </c>
      <c r="T691" s="0" t="n">
        <v>55.25</v>
      </c>
      <c r="U691" s="0" t="n">
        <v>1319</v>
      </c>
      <c r="V691" s="0" t="n">
        <v>7</v>
      </c>
      <c r="W691" s="39" t="n">
        <f aca="false">IF(I691="Male",0,1)</f>
        <v>1</v>
      </c>
      <c r="X691" s="39" t="n">
        <f aca="false">IF(OR(I691="DNB",I691="Dry DNB"),1,0)</f>
        <v>1</v>
      </c>
      <c r="Y691" s="39" t="n">
        <f aca="false">MATCH(A691,DATAS,0)</f>
        <v>1</v>
      </c>
      <c r="Z691" s="39" t="n">
        <f aca="false">IF(AND(E691&gt;0,OR(AND(B691&gt;=1,B691&lt;=6),B691=10)),1,0)</f>
        <v>1</v>
      </c>
      <c r="AA691" s="39" t="n">
        <f aca="false">IF(AND(E691&gt;0,B691=10),1,0)</f>
        <v>0</v>
      </c>
      <c r="AB691" s="0" t="str">
        <f aca="false">IF(AND(C690=C691,Y690=Y691-1),Z690,"")</f>
        <v/>
      </c>
      <c r="AC691" s="0" t="str">
        <f aca="false">IF(AND(C690=C691,Y690=Y691-1),AA690,"")</f>
        <v/>
      </c>
      <c r="AD691" s="0" t="str">
        <f aca="false">IF(Y691=1,"",IF(AND(Z691=1,AB691&lt;&gt;1),1,0))</f>
        <v/>
      </c>
      <c r="AE691" s="0" t="str">
        <f aca="false">IF(Y691=1,"",IF(AND(AA691=1,AC691&lt;&gt;1),1,0))</f>
        <v/>
      </c>
      <c r="AF691" s="45" t="str">
        <f aca="false">IF(AND(E691&gt;0,Y691&lt;1,NOT(AND(C692=C691,Y692=Y691+1))),INDEX(DATAS,Y691+1),"")</f>
        <v/>
      </c>
      <c r="AG691" s="45" t="str">
        <f aca="false">IF(AND(AA691=1,Y691&lt;1),IF(AND(C692=C691,Y692=Y691+1),IF(AA692=1,"",INDEX(DATAS,Y691+1)),INDEX(DATAS,Y691+1)),"")</f>
        <v/>
      </c>
    </row>
    <row r="692" customFormat="false" ht="15" hidden="false" customHeight="false" outlineLevel="0" collapsed="false">
      <c r="A692" s="45" t="n">
        <v>46309</v>
      </c>
      <c r="B692" s="0" t="n">
        <v>5</v>
      </c>
      <c r="C692" s="0" t="n">
        <v>4579</v>
      </c>
      <c r="D692" s="0" t="n">
        <v>210</v>
      </c>
      <c r="E692" s="0" t="n">
        <v>2</v>
      </c>
      <c r="F692" s="39" t="s">
        <v>569</v>
      </c>
      <c r="G692" s="0" t="n">
        <v>42.4</v>
      </c>
      <c r="H692" s="0" t="n">
        <v>41</v>
      </c>
      <c r="I692" s="39" t="s">
        <v>109</v>
      </c>
      <c r="J692" s="0" t="n">
        <v>84</v>
      </c>
      <c r="K692" s="0" t="n">
        <v>63</v>
      </c>
      <c r="L692" s="0" t="n">
        <v>126</v>
      </c>
      <c r="M692" s="0" t="n">
        <v>1136.55</v>
      </c>
      <c r="N692" s="0" t="n">
        <v>58.48</v>
      </c>
      <c r="O692" s="0" t="n">
        <v>49.69</v>
      </c>
      <c r="P692" s="0" t="n">
        <v>3.89</v>
      </c>
      <c r="Q692" s="0" t="n">
        <v>3.74</v>
      </c>
      <c r="R692" s="0" t="n">
        <v>2729</v>
      </c>
      <c r="S692" s="0" t="n">
        <v>7064</v>
      </c>
      <c r="T692" s="0" t="n">
        <v>33.5</v>
      </c>
      <c r="U692" s="0" t="n">
        <v>1319</v>
      </c>
      <c r="V692" s="0" t="n">
        <v>2</v>
      </c>
      <c r="W692" s="39" t="n">
        <f aca="false">IF(I692="Male",0,1)</f>
        <v>1</v>
      </c>
      <c r="X692" s="39" t="n">
        <f aca="false">IF(OR(I692="DNB",I692="Dry DNB"),1,0)</f>
        <v>0</v>
      </c>
      <c r="Y692" s="39" t="n">
        <f aca="false">MATCH(A692,DATAS,0)</f>
        <v>1</v>
      </c>
      <c r="Z692" s="39" t="n">
        <f aca="false">IF(AND(E692&gt;0,OR(AND(B692&gt;=1,B692&lt;=6),B692=10)),1,0)</f>
        <v>1</v>
      </c>
      <c r="AA692" s="39" t="n">
        <f aca="false">IF(AND(E692&gt;0,B692=10),1,0)</f>
        <v>0</v>
      </c>
      <c r="AB692" s="0" t="str">
        <f aca="false">IF(AND(C691=C692,Y691=Y692-1),Z691,"")</f>
        <v/>
      </c>
      <c r="AC692" s="0" t="str">
        <f aca="false">IF(AND(C691=C692,Y691=Y692-1),AA691,"")</f>
        <v/>
      </c>
      <c r="AD692" s="0" t="str">
        <f aca="false">IF(Y692=1,"",IF(AND(Z692=1,AB692&lt;&gt;1),1,0))</f>
        <v/>
      </c>
      <c r="AE692" s="0" t="str">
        <f aca="false">IF(Y692=1,"",IF(AND(AA692=1,AC692&lt;&gt;1),1,0))</f>
        <v/>
      </c>
      <c r="AF692" s="45" t="str">
        <f aca="false">IF(AND(E692&gt;0,Y692&lt;1,NOT(AND(C693=C692,Y693=Y692+1))),INDEX(DATAS,Y692+1),"")</f>
        <v/>
      </c>
      <c r="AG692" s="45" t="str">
        <f aca="false">IF(AND(AA692=1,Y692&lt;1),IF(AND(C693=C692,Y693=Y692+1),IF(AA693=1,"",INDEX(DATAS,Y692+1)),INDEX(DATAS,Y692+1)),"")</f>
        <v/>
      </c>
    </row>
    <row r="693" customFormat="false" ht="15" hidden="false" customHeight="false" outlineLevel="0" collapsed="false">
      <c r="A693" s="45" t="n">
        <v>46309</v>
      </c>
      <c r="B693" s="0" t="n">
        <v>6</v>
      </c>
      <c r="C693" s="0" t="n">
        <v>4580</v>
      </c>
      <c r="D693" s="0" t="n">
        <v>558</v>
      </c>
      <c r="E693" s="0" t="n">
        <v>1</v>
      </c>
      <c r="F693" s="39" t="s">
        <v>569</v>
      </c>
      <c r="G693" s="0" t="n">
        <v>16</v>
      </c>
      <c r="H693" s="0" t="n">
        <v>14</v>
      </c>
      <c r="I693" s="39" t="s">
        <v>96</v>
      </c>
      <c r="J693" s="0" t="n">
        <v>558</v>
      </c>
      <c r="K693" s="0" t="n">
        <v>62</v>
      </c>
      <c r="M693" s="0" t="n">
        <v>390.01</v>
      </c>
      <c r="N693" s="0" t="n">
        <v>55.91</v>
      </c>
      <c r="O693" s="0" t="n">
        <v>36.89</v>
      </c>
      <c r="P693" s="0" t="n">
        <v>5.49</v>
      </c>
      <c r="Q693" s="0" t="n">
        <v>4.01</v>
      </c>
      <c r="R693" s="0" t="n">
        <v>2709</v>
      </c>
      <c r="S693" s="0" t="n">
        <v>5956</v>
      </c>
      <c r="T693" s="0" t="n">
        <v>28.35</v>
      </c>
      <c r="U693" s="0" t="n">
        <v>1319</v>
      </c>
      <c r="V693" s="0" t="n">
        <v>5</v>
      </c>
      <c r="W693" s="39" t="n">
        <f aca="false">IF(I693="Male",0,1)</f>
        <v>1</v>
      </c>
      <c r="X693" s="39" t="n">
        <f aca="false">IF(OR(I693="DNB",I693="Dry DNB"),1,0)</f>
        <v>1</v>
      </c>
      <c r="Y693" s="39" t="n">
        <f aca="false">MATCH(A693,DATAS,0)</f>
        <v>1</v>
      </c>
      <c r="Z693" s="39" t="n">
        <f aca="false">IF(AND(E693&gt;0,OR(AND(B693&gt;=1,B693&lt;=6),B693=10)),1,0)</f>
        <v>1</v>
      </c>
      <c r="AA693" s="39" t="n">
        <f aca="false">IF(AND(E693&gt;0,B693=10),1,0)</f>
        <v>0</v>
      </c>
      <c r="AB693" s="0" t="str">
        <f aca="false">IF(AND(C692=C693,Y692=Y693-1),Z692,"")</f>
        <v/>
      </c>
      <c r="AC693" s="0" t="str">
        <f aca="false">IF(AND(C692=C693,Y692=Y693-1),AA692,"")</f>
        <v/>
      </c>
      <c r="AD693" s="0" t="str">
        <f aca="false">IF(Y693=1,"",IF(AND(Z693=1,AB693&lt;&gt;1),1,0))</f>
        <v/>
      </c>
      <c r="AE693" s="0" t="str">
        <f aca="false">IF(Y693=1,"",IF(AND(AA693=1,AC693&lt;&gt;1),1,0))</f>
        <v/>
      </c>
      <c r="AF693" s="45" t="str">
        <f aca="false">IF(AND(E693&gt;0,Y693&lt;1,NOT(AND(C694=C693,Y694=Y693+1))),INDEX(DATAS,Y693+1),"")</f>
        <v/>
      </c>
      <c r="AG693" s="45" t="str">
        <f aca="false">IF(AND(AA693=1,Y693&lt;1),IF(AND(C694=C693,Y694=Y693+1),IF(AA694=1,"",INDEX(DATAS,Y693+1)),INDEX(DATAS,Y693+1)),"")</f>
        <v/>
      </c>
    </row>
    <row r="694" customFormat="false" ht="15" hidden="false" customHeight="false" outlineLevel="0" collapsed="false">
      <c r="A694" s="45" t="n">
        <v>46309</v>
      </c>
      <c r="B694" s="0" t="n">
        <v>3</v>
      </c>
      <c r="C694" s="0" t="n">
        <v>4581</v>
      </c>
      <c r="D694" s="0" t="n">
        <v>228</v>
      </c>
      <c r="E694" s="0" t="n">
        <v>2</v>
      </c>
      <c r="F694" s="39" t="s">
        <v>569</v>
      </c>
      <c r="G694" s="0" t="n">
        <v>45.6</v>
      </c>
      <c r="H694" s="0" t="n">
        <v>48</v>
      </c>
      <c r="I694" s="39" t="s">
        <v>109</v>
      </c>
      <c r="J694" s="0" t="n">
        <v>67</v>
      </c>
      <c r="K694" s="0" t="n">
        <v>67</v>
      </c>
      <c r="L694" s="0" t="n">
        <v>161</v>
      </c>
      <c r="M694" s="0" t="n">
        <v>778.9</v>
      </c>
      <c r="N694" s="0" t="n">
        <v>44.31</v>
      </c>
      <c r="O694" s="0" t="n">
        <v>35.67</v>
      </c>
      <c r="P694" s="0" t="n">
        <v>2.43</v>
      </c>
      <c r="Q694" s="0" t="n">
        <v>3.57</v>
      </c>
      <c r="R694" s="0" t="n">
        <v>4183</v>
      </c>
      <c r="S694" s="0" t="n">
        <v>9430</v>
      </c>
      <c r="T694" s="0" t="n">
        <v>40.95</v>
      </c>
      <c r="U694" s="0" t="n">
        <v>1319</v>
      </c>
      <c r="V694" s="0" t="n">
        <v>1</v>
      </c>
      <c r="W694" s="39" t="n">
        <f aca="false">IF(I694="Male",0,1)</f>
        <v>1</v>
      </c>
      <c r="X694" s="39" t="n">
        <f aca="false">IF(OR(I694="DNB",I694="Dry DNB"),1,0)</f>
        <v>0</v>
      </c>
      <c r="Y694" s="39" t="n">
        <f aca="false">MATCH(A694,DATAS,0)</f>
        <v>1</v>
      </c>
      <c r="Z694" s="39" t="n">
        <f aca="false">IF(AND(E694&gt;0,OR(AND(B694&gt;=1,B694&lt;=6),B694=10)),1,0)</f>
        <v>1</v>
      </c>
      <c r="AA694" s="39" t="n">
        <f aca="false">IF(AND(E694&gt;0,B694=10),1,0)</f>
        <v>0</v>
      </c>
      <c r="AB694" s="0" t="str">
        <f aca="false">IF(AND(C693=C694,Y693=Y694-1),Z693,"")</f>
        <v/>
      </c>
      <c r="AC694" s="0" t="str">
        <f aca="false">IF(AND(C693=C694,Y693=Y694-1),AA693,"")</f>
        <v/>
      </c>
      <c r="AD694" s="0" t="str">
        <f aca="false">IF(Y694=1,"",IF(AND(Z694=1,AB694&lt;&gt;1),1,0))</f>
        <v/>
      </c>
      <c r="AE694" s="0" t="str">
        <f aca="false">IF(Y694=1,"",IF(AND(AA694=1,AC694&lt;&gt;1),1,0))</f>
        <v/>
      </c>
      <c r="AF694" s="45" t="str">
        <f aca="false">IF(AND(E694&gt;0,Y694&lt;1,NOT(AND(C695=C694,Y695=Y694+1))),INDEX(DATAS,Y694+1),"")</f>
        <v/>
      </c>
      <c r="AG694" s="45" t="str">
        <f aca="false">IF(AND(AA694=1,Y694&lt;1),IF(AND(C695=C694,Y695=Y694+1),IF(AA695=1,"",INDEX(DATAS,Y694+1)),INDEX(DATAS,Y694+1)),"")</f>
        <v/>
      </c>
    </row>
    <row r="695" customFormat="false" ht="15" hidden="false" customHeight="false" outlineLevel="0" collapsed="false">
      <c r="A695" s="45" t="n">
        <v>46309</v>
      </c>
      <c r="B695" s="0" t="n">
        <v>5</v>
      </c>
      <c r="C695" s="0" t="n">
        <v>4582</v>
      </c>
      <c r="D695" s="0" t="n">
        <v>302</v>
      </c>
      <c r="E695" s="0" t="n">
        <v>2</v>
      </c>
      <c r="F695" s="39" t="s">
        <v>570</v>
      </c>
      <c r="G695" s="0" t="n">
        <v>41.3</v>
      </c>
      <c r="H695" s="0" t="n">
        <v>40</v>
      </c>
      <c r="I695" s="39" t="s">
        <v>138</v>
      </c>
      <c r="J695" s="0" t="n">
        <v>302</v>
      </c>
      <c r="K695" s="0" t="n">
        <v>71</v>
      </c>
      <c r="M695" s="0" t="n">
        <v>-702.3</v>
      </c>
      <c r="N695" s="0" t="n">
        <v>41.94</v>
      </c>
      <c r="O695" s="0" t="n">
        <v>0.2</v>
      </c>
      <c r="P695" s="0" t="n">
        <v>5.38</v>
      </c>
      <c r="Q695" s="0" t="n">
        <v>3.83</v>
      </c>
      <c r="R695" s="0" t="n">
        <v>4898</v>
      </c>
      <c r="S695" s="0" t="n">
        <v>10394</v>
      </c>
      <c r="T695" s="0" t="n">
        <v>57.15</v>
      </c>
      <c r="U695" s="0" t="n">
        <v>1318</v>
      </c>
      <c r="V695" s="0" t="n">
        <v>3</v>
      </c>
      <c r="W695" s="39" t="n">
        <f aca="false">IF(I695="Male",0,1)</f>
        <v>1</v>
      </c>
      <c r="X695" s="39" t="n">
        <f aca="false">IF(OR(I695="DNB",I695="Dry DNB"),1,0)</f>
        <v>0</v>
      </c>
      <c r="Y695" s="39" t="n">
        <f aca="false">MATCH(A695,DATAS,0)</f>
        <v>1</v>
      </c>
      <c r="Z695" s="39" t="n">
        <f aca="false">IF(AND(E695&gt;0,OR(AND(B695&gt;=1,B695&lt;=6),B695=10)),1,0)</f>
        <v>1</v>
      </c>
      <c r="AA695" s="39" t="n">
        <f aca="false">IF(AND(E695&gt;0,B695=10),1,0)</f>
        <v>0</v>
      </c>
      <c r="AB695" s="0" t="str">
        <f aca="false">IF(AND(C694=C695,Y694=Y695-1),Z694,"")</f>
        <v/>
      </c>
      <c r="AC695" s="0" t="str">
        <f aca="false">IF(AND(C694=C695,Y694=Y695-1),AA694,"")</f>
        <v/>
      </c>
      <c r="AD695" s="0" t="str">
        <f aca="false">IF(Y695=1,"",IF(AND(Z695=1,AB695&lt;&gt;1),1,0))</f>
        <v/>
      </c>
      <c r="AE695" s="0" t="str">
        <f aca="false">IF(Y695=1,"",IF(AND(AA695=1,AC695&lt;&gt;1),1,0))</f>
        <v/>
      </c>
      <c r="AF695" s="45" t="str">
        <f aca="false">IF(AND(E695&gt;0,Y695&lt;1,NOT(AND(C696=C695,Y696=Y695+1))),INDEX(DATAS,Y695+1),"")</f>
        <v/>
      </c>
      <c r="AG695" s="45" t="str">
        <f aca="false">IF(AND(AA695=1,Y695&lt;1),IF(AND(C696=C695,Y696=Y695+1),IF(AA696=1,"",INDEX(DATAS,Y695+1)),INDEX(DATAS,Y695+1)),"")</f>
        <v/>
      </c>
    </row>
    <row r="696" customFormat="false" ht="15" hidden="false" customHeight="false" outlineLevel="0" collapsed="false">
      <c r="A696" s="45" t="n">
        <v>46309</v>
      </c>
      <c r="B696" s="0" t="n">
        <v>7</v>
      </c>
      <c r="C696" s="0" t="n">
        <v>4584</v>
      </c>
      <c r="D696" s="0" t="n">
        <v>324</v>
      </c>
      <c r="E696" s="0" t="n">
        <v>2</v>
      </c>
      <c r="F696" s="39" t="s">
        <v>570</v>
      </c>
      <c r="G696" s="0" t="n">
        <v>6.8</v>
      </c>
      <c r="H696" s="0" t="n">
        <v>17</v>
      </c>
      <c r="I696" s="39" t="s">
        <v>114</v>
      </c>
      <c r="J696" s="0" t="n">
        <v>101</v>
      </c>
      <c r="K696" s="0" t="n">
        <v>66</v>
      </c>
      <c r="L696" s="0" t="n">
        <v>224</v>
      </c>
      <c r="M696" s="0" t="n">
        <v>973.42</v>
      </c>
      <c r="N696" s="0" t="n">
        <v>33.75</v>
      </c>
      <c r="O696" s="0" t="n">
        <v>34.38</v>
      </c>
      <c r="P696" s="0" t="n">
        <v>5.14</v>
      </c>
      <c r="Q696" s="0" t="n">
        <v>4.31</v>
      </c>
      <c r="R696" s="0" t="n">
        <v>5060</v>
      </c>
      <c r="S696" s="0" t="n">
        <v>10600</v>
      </c>
      <c r="T696" s="0" t="n">
        <v>55.15</v>
      </c>
      <c r="U696" s="0" t="n">
        <v>1318</v>
      </c>
      <c r="V696" s="0" t="n">
        <v>2</v>
      </c>
      <c r="W696" s="39" t="n">
        <f aca="false">IF(I696="Male",0,1)</f>
        <v>1</v>
      </c>
      <c r="X696" s="39" t="n">
        <f aca="false">IF(OR(I696="DNB",I696="Dry DNB"),1,0)</f>
        <v>0</v>
      </c>
      <c r="Y696" s="39" t="n">
        <f aca="false">MATCH(A696,DATAS,0)</f>
        <v>1</v>
      </c>
      <c r="Z696" s="39" t="n">
        <f aca="false">IF(AND(E696&gt;0,OR(AND(B696&gt;=1,B696&lt;=6),B696=10)),1,0)</f>
        <v>0</v>
      </c>
      <c r="AA696" s="39" t="n">
        <f aca="false">IF(AND(E696&gt;0,B696=10),1,0)</f>
        <v>0</v>
      </c>
      <c r="AB696" s="0" t="str">
        <f aca="false">IF(AND(C695=C696,Y695=Y696-1),Z695,"")</f>
        <v/>
      </c>
      <c r="AC696" s="0" t="str">
        <f aca="false">IF(AND(C695=C696,Y695=Y696-1),AA695,"")</f>
        <v/>
      </c>
      <c r="AD696" s="0" t="str">
        <f aca="false">IF(Y696=1,"",IF(AND(Z696=1,AB696&lt;&gt;1),1,0))</f>
        <v/>
      </c>
      <c r="AE696" s="0" t="str">
        <f aca="false">IF(Y696=1,"",IF(AND(AA696=1,AC696&lt;&gt;1),1,0))</f>
        <v/>
      </c>
      <c r="AF696" s="45" t="str">
        <f aca="false">IF(AND(E696&gt;0,Y696&lt;1,NOT(AND(C697=C696,Y697=Y696+1))),INDEX(DATAS,Y696+1),"")</f>
        <v/>
      </c>
      <c r="AG696" s="45" t="str">
        <f aca="false">IF(AND(AA696=1,Y696&lt;1),IF(AND(C697=C696,Y697=Y696+1),IF(AA697=1,"",INDEX(DATAS,Y696+1)),INDEX(DATAS,Y696+1)),"")</f>
        <v/>
      </c>
    </row>
    <row r="697" customFormat="false" ht="15" hidden="false" customHeight="false" outlineLevel="0" collapsed="false">
      <c r="A697" s="45" t="n">
        <v>46309</v>
      </c>
      <c r="B697" s="0" t="n">
        <v>6</v>
      </c>
      <c r="C697" s="0" t="n">
        <v>4585</v>
      </c>
      <c r="D697" s="0" t="n">
        <v>617</v>
      </c>
      <c r="E697" s="0" t="n">
        <v>1</v>
      </c>
      <c r="F697" s="39" t="s">
        <v>570</v>
      </c>
      <c r="H697" s="0" t="n">
        <v>20</v>
      </c>
      <c r="I697" s="39" t="s">
        <v>96</v>
      </c>
      <c r="J697" s="0" t="n">
        <v>617</v>
      </c>
      <c r="K697" s="0" t="n">
        <v>65</v>
      </c>
      <c r="M697" s="0" t="n">
        <v>152.42</v>
      </c>
      <c r="N697" s="0" t="n">
        <v>42.01</v>
      </c>
      <c r="O697" s="0" t="n">
        <v>18.97</v>
      </c>
      <c r="P697" s="0" t="n">
        <v>5.57</v>
      </c>
      <c r="Q697" s="0" t="n">
        <v>4.2</v>
      </c>
      <c r="R697" s="0" t="n">
        <v>4349</v>
      </c>
      <c r="S697" s="0" t="n">
        <v>9240</v>
      </c>
      <c r="T697" s="0" t="n">
        <v>39.2</v>
      </c>
      <c r="U697" s="0" t="n">
        <v>1318</v>
      </c>
      <c r="V697" s="0" t="n">
        <v>7</v>
      </c>
      <c r="W697" s="39" t="n">
        <f aca="false">IF(I697="Male",0,1)</f>
        <v>1</v>
      </c>
      <c r="X697" s="39" t="n">
        <f aca="false">IF(OR(I697="DNB",I697="Dry DNB"),1,0)</f>
        <v>1</v>
      </c>
      <c r="Y697" s="39" t="n">
        <f aca="false">MATCH(A697,DATAS,0)</f>
        <v>1</v>
      </c>
      <c r="Z697" s="39" t="n">
        <f aca="false">IF(AND(E697&gt;0,OR(AND(B697&gt;=1,B697&lt;=6),B697=10)),1,0)</f>
        <v>1</v>
      </c>
      <c r="AA697" s="39" t="n">
        <f aca="false">IF(AND(E697&gt;0,B697=10),1,0)</f>
        <v>0</v>
      </c>
      <c r="AB697" s="0" t="str">
        <f aca="false">IF(AND(C696=C697,Y696=Y697-1),Z696,"")</f>
        <v/>
      </c>
      <c r="AC697" s="0" t="str">
        <f aca="false">IF(AND(C696=C697,Y696=Y697-1),AA696,"")</f>
        <v/>
      </c>
      <c r="AD697" s="0" t="str">
        <f aca="false">IF(Y697=1,"",IF(AND(Z697=1,AB697&lt;&gt;1),1,0))</f>
        <v/>
      </c>
      <c r="AE697" s="0" t="str">
        <f aca="false">IF(Y697=1,"",IF(AND(AA697=1,AC697&lt;&gt;1),1,0))</f>
        <v/>
      </c>
      <c r="AF697" s="45" t="str">
        <f aca="false">IF(AND(E697&gt;0,Y697&lt;1,NOT(AND(C698=C697,Y698=Y697+1))),INDEX(DATAS,Y697+1),"")</f>
        <v/>
      </c>
      <c r="AG697" s="45" t="str">
        <f aca="false">IF(AND(AA697=1,Y697&lt;1),IF(AND(C698=C697,Y698=Y697+1),IF(AA698=1,"",INDEX(DATAS,Y697+1)),INDEX(DATAS,Y697+1)),"")</f>
        <v/>
      </c>
    </row>
    <row r="698" customFormat="false" ht="15" hidden="false" customHeight="false" outlineLevel="0" collapsed="false">
      <c r="A698" s="45" t="n">
        <v>46309</v>
      </c>
      <c r="B698" s="0" t="n">
        <v>3</v>
      </c>
      <c r="C698" s="0" t="n">
        <v>4586</v>
      </c>
      <c r="D698" s="0" t="n">
        <v>134</v>
      </c>
      <c r="E698" s="0" t="n">
        <v>2</v>
      </c>
      <c r="F698" s="39" t="s">
        <v>570</v>
      </c>
      <c r="G698" s="0" t="n">
        <v>47.7</v>
      </c>
      <c r="H698" s="0" t="n">
        <v>54</v>
      </c>
      <c r="I698" s="39" t="s">
        <v>109</v>
      </c>
      <c r="J698" s="0" t="n">
        <v>64</v>
      </c>
      <c r="K698" s="0" t="n">
        <v>64</v>
      </c>
      <c r="L698" s="0" t="n">
        <v>70</v>
      </c>
      <c r="M698" s="0" t="n">
        <v>825.76</v>
      </c>
      <c r="N698" s="0" t="n">
        <v>13.22</v>
      </c>
      <c r="O698" s="0" t="n">
        <v>34.54</v>
      </c>
      <c r="P698" s="0" t="n">
        <v>2.77</v>
      </c>
      <c r="Q698" s="0" t="n">
        <v>3.58</v>
      </c>
      <c r="R698" s="0" t="n">
        <v>5633</v>
      </c>
      <c r="S698" s="0" t="n">
        <v>11600</v>
      </c>
      <c r="T698" s="0" t="n">
        <v>60</v>
      </c>
      <c r="U698" s="0" t="n">
        <v>1318</v>
      </c>
      <c r="V698" s="0" t="n">
        <v>1</v>
      </c>
      <c r="W698" s="39" t="n">
        <f aca="false">IF(I698="Male",0,1)</f>
        <v>1</v>
      </c>
      <c r="X698" s="39" t="n">
        <f aca="false">IF(OR(I698="DNB",I698="Dry DNB"),1,0)</f>
        <v>0</v>
      </c>
      <c r="Y698" s="39" t="n">
        <f aca="false">MATCH(A698,DATAS,0)</f>
        <v>1</v>
      </c>
      <c r="Z698" s="39" t="n">
        <f aca="false">IF(AND(E698&gt;0,OR(AND(B698&gt;=1,B698&lt;=6),B698=10)),1,0)</f>
        <v>1</v>
      </c>
      <c r="AA698" s="39" t="n">
        <f aca="false">IF(AND(E698&gt;0,B698=10),1,0)</f>
        <v>0</v>
      </c>
      <c r="AB698" s="0" t="str">
        <f aca="false">IF(AND(C697=C698,Y697=Y698-1),Z697,"")</f>
        <v/>
      </c>
      <c r="AC698" s="0" t="str">
        <f aca="false">IF(AND(C697=C698,Y697=Y698-1),AA697,"")</f>
        <v/>
      </c>
      <c r="AD698" s="0" t="str">
        <f aca="false">IF(Y698=1,"",IF(AND(Z698=1,AB698&lt;&gt;1),1,0))</f>
        <v/>
      </c>
      <c r="AE698" s="0" t="str">
        <f aca="false">IF(Y698=1,"",IF(AND(AA698=1,AC698&lt;&gt;1),1,0))</f>
        <v/>
      </c>
      <c r="AF698" s="45" t="str">
        <f aca="false">IF(AND(E698&gt;0,Y698&lt;1,NOT(AND(C699=C698,Y699=Y698+1))),INDEX(DATAS,Y698+1),"")</f>
        <v/>
      </c>
      <c r="AG698" s="45" t="str">
        <f aca="false">IF(AND(AA698=1,Y698&lt;1),IF(AND(C699=C698,Y699=Y698+1),IF(AA699=1,"",INDEX(DATAS,Y698+1)),INDEX(DATAS,Y698+1)),"")</f>
        <v/>
      </c>
    </row>
    <row r="699" customFormat="false" ht="15" hidden="false" customHeight="false" outlineLevel="0" collapsed="false">
      <c r="A699" s="45" t="n">
        <v>46309</v>
      </c>
      <c r="B699" s="0" t="n">
        <v>2</v>
      </c>
      <c r="C699" s="0" t="n">
        <v>4590</v>
      </c>
      <c r="D699" s="0" t="n">
        <v>318</v>
      </c>
      <c r="E699" s="0" t="n">
        <v>2</v>
      </c>
      <c r="F699" s="39" t="s">
        <v>571</v>
      </c>
      <c r="G699" s="0" t="n">
        <v>41.8</v>
      </c>
      <c r="H699" s="0" t="n">
        <v>46</v>
      </c>
      <c r="I699" s="39" t="s">
        <v>109</v>
      </c>
      <c r="J699" s="0" t="n">
        <v>101</v>
      </c>
      <c r="K699" s="0" t="n">
        <v>66</v>
      </c>
      <c r="L699" s="0" t="n">
        <v>217</v>
      </c>
      <c r="M699" s="0" t="n">
        <v>633.36</v>
      </c>
      <c r="N699" s="0" t="n">
        <v>45.24</v>
      </c>
      <c r="O699" s="0" t="n">
        <v>31.83</v>
      </c>
      <c r="P699" s="0" t="n">
        <v>4.17</v>
      </c>
      <c r="Q699" s="0" t="n">
        <v>3.71</v>
      </c>
      <c r="R699" s="0" t="n">
        <v>5607</v>
      </c>
      <c r="S699" s="0" t="n">
        <v>11999</v>
      </c>
      <c r="T699" s="0" t="n">
        <v>57.2</v>
      </c>
      <c r="U699" s="0" t="n">
        <v>1316</v>
      </c>
      <c r="V699" s="0" t="n">
        <v>2</v>
      </c>
      <c r="W699" s="39" t="n">
        <f aca="false">IF(I699="Male",0,1)</f>
        <v>1</v>
      </c>
      <c r="X699" s="39" t="n">
        <f aca="false">IF(OR(I699="DNB",I699="Dry DNB"),1,0)</f>
        <v>0</v>
      </c>
      <c r="Y699" s="39" t="n">
        <f aca="false">MATCH(A699,DATAS,0)</f>
        <v>1</v>
      </c>
      <c r="Z699" s="39" t="n">
        <f aca="false">IF(AND(E699&gt;0,OR(AND(B699&gt;=1,B699&lt;=6),B699=10)),1,0)</f>
        <v>1</v>
      </c>
      <c r="AA699" s="39" t="n">
        <f aca="false">IF(AND(E699&gt;0,B699=10),1,0)</f>
        <v>0</v>
      </c>
      <c r="AB699" s="0" t="str">
        <f aca="false">IF(AND(C698=C699,Y698=Y699-1),Z698,"")</f>
        <v/>
      </c>
      <c r="AC699" s="0" t="str">
        <f aca="false">IF(AND(C698=C699,Y698=Y699-1),AA698,"")</f>
        <v/>
      </c>
      <c r="AD699" s="0" t="str">
        <f aca="false">IF(Y699=1,"",IF(AND(Z699=1,AB699&lt;&gt;1),1,0))</f>
        <v/>
      </c>
      <c r="AE699" s="0" t="str">
        <f aca="false">IF(Y699=1,"",IF(AND(AA699=1,AC699&lt;&gt;1),1,0))</f>
        <v/>
      </c>
      <c r="AF699" s="45" t="str">
        <f aca="false">IF(AND(E699&gt;0,Y699&lt;1,NOT(AND(C700=C699,Y700=Y699+1))),INDEX(DATAS,Y699+1),"")</f>
        <v/>
      </c>
      <c r="AG699" s="45" t="str">
        <f aca="false">IF(AND(AA699=1,Y699&lt;1),IF(AND(C700=C699,Y700=Y699+1),IF(AA700=1,"",INDEX(DATAS,Y699+1)),INDEX(DATAS,Y699+1)),"")</f>
        <v/>
      </c>
    </row>
    <row r="700" customFormat="false" ht="15" hidden="false" customHeight="false" outlineLevel="0" collapsed="false">
      <c r="A700" s="45" t="n">
        <v>46309</v>
      </c>
      <c r="B700" s="0" t="n">
        <v>7</v>
      </c>
      <c r="C700" s="0" t="n">
        <v>4591</v>
      </c>
      <c r="D700" s="0" t="n">
        <v>307</v>
      </c>
      <c r="E700" s="0" t="n">
        <v>2</v>
      </c>
      <c r="F700" s="39" t="s">
        <v>572</v>
      </c>
      <c r="I700" s="39" t="s">
        <v>114</v>
      </c>
      <c r="J700" s="0" t="n">
        <v>85</v>
      </c>
      <c r="K700" s="0" t="n">
        <v>63</v>
      </c>
      <c r="L700" s="0" t="n">
        <v>237</v>
      </c>
      <c r="M700" s="0" t="n">
        <v>1010.18</v>
      </c>
      <c r="N700" s="0" t="n">
        <v>57.58</v>
      </c>
      <c r="O700" s="0" t="n">
        <v>43.56</v>
      </c>
      <c r="P700" s="0" t="n">
        <v>0</v>
      </c>
      <c r="Q700" s="0" t="n">
        <v>0</v>
      </c>
      <c r="R700" s="0" t="n">
        <v>5376</v>
      </c>
      <c r="S700" s="0" t="n">
        <v>10908</v>
      </c>
      <c r="T700" s="0" t="n">
        <v>61.4</v>
      </c>
      <c r="U700" s="0" t="n">
        <v>1315</v>
      </c>
      <c r="V700" s="0" t="n">
        <v>2</v>
      </c>
      <c r="W700" s="39" t="n">
        <f aca="false">IF(I700="Male",0,1)</f>
        <v>1</v>
      </c>
      <c r="X700" s="39" t="n">
        <f aca="false">IF(OR(I700="DNB",I700="Dry DNB"),1,0)</f>
        <v>0</v>
      </c>
      <c r="Y700" s="39" t="n">
        <f aca="false">MATCH(A700,DATAS,0)</f>
        <v>1</v>
      </c>
      <c r="Z700" s="39" t="n">
        <f aca="false">IF(AND(E700&gt;0,OR(AND(B700&gt;=1,B700&lt;=6),B700=10)),1,0)</f>
        <v>0</v>
      </c>
      <c r="AA700" s="39" t="n">
        <f aca="false">IF(AND(E700&gt;0,B700=10),1,0)</f>
        <v>0</v>
      </c>
      <c r="AB700" s="0" t="str">
        <f aca="false">IF(AND(C699=C700,Y699=Y700-1),Z699,"")</f>
        <v/>
      </c>
      <c r="AC700" s="0" t="str">
        <f aca="false">IF(AND(C699=C700,Y699=Y700-1),AA699,"")</f>
        <v/>
      </c>
      <c r="AD700" s="0" t="str">
        <f aca="false">IF(Y700=1,"",IF(AND(Z700=1,AB700&lt;&gt;1),1,0))</f>
        <v/>
      </c>
      <c r="AE700" s="0" t="str">
        <f aca="false">IF(Y700=1,"",IF(AND(AA700=1,AC700&lt;&gt;1),1,0))</f>
        <v/>
      </c>
      <c r="AF700" s="45" t="str">
        <f aca="false">IF(AND(E700&gt;0,Y700&lt;1,NOT(AND(C701=C700,Y701=Y700+1))),INDEX(DATAS,Y700+1),"")</f>
        <v/>
      </c>
      <c r="AG700" s="45" t="str">
        <f aca="false">IF(AND(AA700=1,Y700&lt;1),IF(AND(C701=C700,Y701=Y700+1),IF(AA701=1,"",INDEX(DATAS,Y700+1)),INDEX(DATAS,Y700+1)),"")</f>
        <v/>
      </c>
    </row>
    <row r="701" customFormat="false" ht="15" hidden="false" customHeight="false" outlineLevel="0" collapsed="false">
      <c r="A701" s="45" t="n">
        <v>46309</v>
      </c>
      <c r="B701" s="0" t="n">
        <v>2</v>
      </c>
      <c r="C701" s="0" t="n">
        <v>4592</v>
      </c>
      <c r="D701" s="0" t="n">
        <v>68</v>
      </c>
      <c r="E701" s="0" t="n">
        <v>2</v>
      </c>
      <c r="F701" s="39" t="s">
        <v>573</v>
      </c>
      <c r="G701" s="0" t="n">
        <v>43.5</v>
      </c>
      <c r="H701" s="0" t="n">
        <v>57</v>
      </c>
      <c r="I701" s="39" t="s">
        <v>138</v>
      </c>
      <c r="J701" s="0" t="n">
        <v>68</v>
      </c>
      <c r="K701" s="0" t="n">
        <v>68</v>
      </c>
      <c r="M701" s="0" t="n">
        <v>511.7</v>
      </c>
      <c r="N701" s="0" t="n">
        <v>33.48</v>
      </c>
      <c r="O701" s="0" t="n">
        <v>25.15</v>
      </c>
      <c r="P701" s="0" t="n">
        <v>3.04</v>
      </c>
      <c r="Q701" s="0" t="n">
        <v>3.43</v>
      </c>
      <c r="R701" s="0" t="n">
        <v>5525</v>
      </c>
      <c r="S701" s="0" t="n">
        <v>11106</v>
      </c>
      <c r="U701" s="0" t="n">
        <v>1314</v>
      </c>
      <c r="V701" s="0" t="n">
        <v>1</v>
      </c>
      <c r="W701" s="39" t="n">
        <f aca="false">IF(I701="Male",0,1)</f>
        <v>1</v>
      </c>
      <c r="X701" s="39" t="n">
        <f aca="false">IF(OR(I701="DNB",I701="Dry DNB"),1,0)</f>
        <v>0</v>
      </c>
      <c r="Y701" s="39" t="n">
        <f aca="false">MATCH(A701,DATAS,0)</f>
        <v>1</v>
      </c>
      <c r="Z701" s="39" t="n">
        <f aca="false">IF(AND(E701&gt;0,OR(AND(B701&gt;=1,B701&lt;=6),B701=10)),1,0)</f>
        <v>1</v>
      </c>
      <c r="AA701" s="39" t="n">
        <f aca="false">IF(AND(E701&gt;0,B701=10),1,0)</f>
        <v>0</v>
      </c>
      <c r="AB701" s="0" t="str">
        <f aca="false">IF(AND(C700=C701,Y700=Y701-1),Z700,"")</f>
        <v/>
      </c>
      <c r="AC701" s="0" t="str">
        <f aca="false">IF(AND(C700=C701,Y700=Y701-1),AA700,"")</f>
        <v/>
      </c>
      <c r="AD701" s="0" t="str">
        <f aca="false">IF(Y701=1,"",IF(AND(Z701=1,AB701&lt;&gt;1),1,0))</f>
        <v/>
      </c>
      <c r="AE701" s="0" t="str">
        <f aca="false">IF(Y701=1,"",IF(AND(AA701=1,AC701&lt;&gt;1),1,0))</f>
        <v/>
      </c>
      <c r="AF701" s="45" t="str">
        <f aca="false">IF(AND(E701&gt;0,Y701&lt;1,NOT(AND(C702=C701,Y702=Y701+1))),INDEX(DATAS,Y701+1),"")</f>
        <v/>
      </c>
      <c r="AG701" s="45" t="str">
        <f aca="false">IF(AND(AA701=1,Y701&lt;1),IF(AND(C702=C701,Y702=Y701+1),IF(AA702=1,"",INDEX(DATAS,Y701+1)),INDEX(DATAS,Y701+1)),"")</f>
        <v/>
      </c>
    </row>
    <row r="702" customFormat="false" ht="15" hidden="false" customHeight="false" outlineLevel="0" collapsed="false">
      <c r="A702" s="45" t="n">
        <v>46309</v>
      </c>
      <c r="B702" s="0" t="n">
        <v>5</v>
      </c>
      <c r="C702" s="0" t="n">
        <v>4593</v>
      </c>
      <c r="D702" s="0" t="n">
        <v>316</v>
      </c>
      <c r="E702" s="0" t="n">
        <v>2</v>
      </c>
      <c r="F702" s="39" t="s">
        <v>573</v>
      </c>
      <c r="G702" s="0" t="n">
        <v>29.9</v>
      </c>
      <c r="H702" s="0" t="n">
        <v>25</v>
      </c>
      <c r="I702" s="39" t="s">
        <v>109</v>
      </c>
      <c r="J702" s="0" t="n">
        <v>99</v>
      </c>
      <c r="K702" s="0" t="n">
        <v>64</v>
      </c>
      <c r="L702" s="0" t="n">
        <v>217</v>
      </c>
      <c r="M702" s="0" t="n">
        <v>113.6</v>
      </c>
      <c r="N702" s="0" t="n">
        <v>57.07</v>
      </c>
      <c r="O702" s="0" t="n">
        <v>28.17</v>
      </c>
      <c r="P702" s="0" t="n">
        <v>4.74</v>
      </c>
      <c r="Q702" s="0" t="n">
        <v>3.82</v>
      </c>
      <c r="R702" s="0" t="n">
        <v>5144</v>
      </c>
      <c r="S702" s="0" t="n">
        <v>10713</v>
      </c>
      <c r="T702" s="0" t="n">
        <v>55.85</v>
      </c>
      <c r="U702" s="0" t="n">
        <v>1314</v>
      </c>
      <c r="V702" s="0" t="n">
        <v>2</v>
      </c>
      <c r="W702" s="39" t="n">
        <f aca="false">IF(I702="Male",0,1)</f>
        <v>1</v>
      </c>
      <c r="X702" s="39" t="n">
        <f aca="false">IF(OR(I702="DNB",I702="Dry DNB"),1,0)</f>
        <v>0</v>
      </c>
      <c r="Y702" s="39" t="n">
        <f aca="false">MATCH(A702,DATAS,0)</f>
        <v>1</v>
      </c>
      <c r="Z702" s="39" t="n">
        <f aca="false">IF(AND(E702&gt;0,OR(AND(B702&gt;=1,B702&lt;=6),B702=10)),1,0)</f>
        <v>1</v>
      </c>
      <c r="AA702" s="39" t="n">
        <f aca="false">IF(AND(E702&gt;0,B702=10),1,0)</f>
        <v>0</v>
      </c>
      <c r="AB702" s="0" t="str">
        <f aca="false">IF(AND(C701=C702,Y701=Y702-1),Z701,"")</f>
        <v/>
      </c>
      <c r="AC702" s="0" t="str">
        <f aca="false">IF(AND(C701=C702,Y701=Y702-1),AA701,"")</f>
        <v/>
      </c>
      <c r="AD702" s="0" t="str">
        <f aca="false">IF(Y702=1,"",IF(AND(Z702=1,AB702&lt;&gt;1),1,0))</f>
        <v/>
      </c>
      <c r="AE702" s="0" t="str">
        <f aca="false">IF(Y702=1,"",IF(AND(AA702=1,AC702&lt;&gt;1),1,0))</f>
        <v/>
      </c>
      <c r="AF702" s="45" t="str">
        <f aca="false">IF(AND(E702&gt;0,Y702&lt;1,NOT(AND(C703=C702,Y703=Y702+1))),INDEX(DATAS,Y702+1),"")</f>
        <v/>
      </c>
      <c r="AG702" s="45" t="str">
        <f aca="false">IF(AND(AA702=1,Y702&lt;1),IF(AND(C703=C702,Y703=Y702+1),IF(AA703=1,"",INDEX(DATAS,Y702+1)),INDEX(DATAS,Y702+1)),"")</f>
        <v/>
      </c>
    </row>
    <row r="703" customFormat="false" ht="15" hidden="false" customHeight="false" outlineLevel="0" collapsed="false">
      <c r="A703" s="45" t="n">
        <v>46309</v>
      </c>
      <c r="B703" s="0" t="n">
        <v>7</v>
      </c>
      <c r="C703" s="0" t="n">
        <v>4594</v>
      </c>
      <c r="D703" s="0" t="n">
        <v>290</v>
      </c>
      <c r="E703" s="0" t="n">
        <v>2</v>
      </c>
      <c r="F703" s="39" t="s">
        <v>573</v>
      </c>
      <c r="G703" s="0" t="n">
        <v>13.9</v>
      </c>
      <c r="H703" s="0" t="n">
        <v>32</v>
      </c>
      <c r="I703" s="39" t="s">
        <v>114</v>
      </c>
      <c r="J703" s="0" t="n">
        <v>67</v>
      </c>
      <c r="K703" s="0" t="n">
        <v>67</v>
      </c>
      <c r="L703" s="0" t="n">
        <v>224</v>
      </c>
      <c r="M703" s="0" t="n">
        <v>527.17</v>
      </c>
      <c r="N703" s="0" t="n">
        <v>37.41</v>
      </c>
      <c r="O703" s="0" t="n">
        <v>30.71</v>
      </c>
      <c r="P703" s="0" t="n">
        <v>3.64</v>
      </c>
      <c r="Q703" s="0" t="n">
        <v>3.41</v>
      </c>
      <c r="R703" s="0" t="n">
        <v>4870</v>
      </c>
      <c r="S703" s="0" t="n">
        <v>10533</v>
      </c>
      <c r="T703" s="0" t="n">
        <v>50.3</v>
      </c>
      <c r="U703" s="0" t="n">
        <v>1314</v>
      </c>
      <c r="V703" s="0" t="n">
        <v>1</v>
      </c>
      <c r="W703" s="39" t="n">
        <f aca="false">IF(I703="Male",0,1)</f>
        <v>1</v>
      </c>
      <c r="X703" s="39" t="n">
        <f aca="false">IF(OR(I703="DNB",I703="Dry DNB"),1,0)</f>
        <v>0</v>
      </c>
      <c r="Y703" s="39" t="n">
        <f aca="false">MATCH(A703,DATAS,0)</f>
        <v>1</v>
      </c>
      <c r="Z703" s="39" t="n">
        <f aca="false">IF(AND(E703&gt;0,OR(AND(B703&gt;=1,B703&lt;=6),B703=10)),1,0)</f>
        <v>0</v>
      </c>
      <c r="AA703" s="39" t="n">
        <f aca="false">IF(AND(E703&gt;0,B703=10),1,0)</f>
        <v>0</v>
      </c>
      <c r="AB703" s="0" t="str">
        <f aca="false">IF(AND(C702=C703,Y702=Y703-1),Z702,"")</f>
        <v/>
      </c>
      <c r="AC703" s="0" t="str">
        <f aca="false">IF(AND(C702=C703,Y702=Y703-1),AA702,"")</f>
        <v/>
      </c>
      <c r="AD703" s="0" t="str">
        <f aca="false">IF(Y703=1,"",IF(AND(Z703=1,AB703&lt;&gt;1),1,0))</f>
        <v/>
      </c>
      <c r="AE703" s="0" t="str">
        <f aca="false">IF(Y703=1,"",IF(AND(AA703=1,AC703&lt;&gt;1),1,0))</f>
        <v/>
      </c>
      <c r="AF703" s="45" t="str">
        <f aca="false">IF(AND(E703&gt;0,Y703&lt;1,NOT(AND(C704=C703,Y704=Y703+1))),INDEX(DATAS,Y703+1),"")</f>
        <v/>
      </c>
      <c r="AG703" s="45" t="str">
        <f aca="false">IF(AND(AA703=1,Y703&lt;1),IF(AND(C704=C703,Y704=Y703+1),IF(AA704=1,"",INDEX(DATAS,Y703+1)),INDEX(DATAS,Y703+1)),"")</f>
        <v/>
      </c>
    </row>
    <row r="704" customFormat="false" ht="15" hidden="false" customHeight="false" outlineLevel="0" collapsed="false">
      <c r="A704" s="45" t="n">
        <v>46309</v>
      </c>
      <c r="B704" s="0" t="n">
        <v>5</v>
      </c>
      <c r="C704" s="0" t="n">
        <v>4595</v>
      </c>
      <c r="D704" s="0" t="n">
        <v>216</v>
      </c>
      <c r="E704" s="0" t="n">
        <v>2</v>
      </c>
      <c r="F704" s="39" t="s">
        <v>573</v>
      </c>
      <c r="G704" s="0" t="n">
        <v>35.7</v>
      </c>
      <c r="H704" s="0" t="n">
        <v>34</v>
      </c>
      <c r="I704" s="39" t="s">
        <v>138</v>
      </c>
      <c r="J704" s="0" t="n">
        <v>216</v>
      </c>
      <c r="K704" s="0" t="n">
        <v>69</v>
      </c>
      <c r="M704" s="0" t="n">
        <v>51.33</v>
      </c>
      <c r="N704" s="0" t="n">
        <v>46.61</v>
      </c>
      <c r="O704" s="0" t="n">
        <v>26.18</v>
      </c>
      <c r="P704" s="0" t="n">
        <v>4.34</v>
      </c>
      <c r="Q704" s="0" t="n">
        <v>4.22</v>
      </c>
      <c r="R704" s="0" t="n">
        <v>4135</v>
      </c>
      <c r="S704" s="0" t="n">
        <v>7439</v>
      </c>
      <c r="T704" s="0" t="n">
        <v>42.95</v>
      </c>
      <c r="U704" s="0" t="n">
        <v>1314</v>
      </c>
      <c r="V704" s="0" t="n">
        <v>5</v>
      </c>
      <c r="W704" s="39" t="n">
        <f aca="false">IF(I704="Male",0,1)</f>
        <v>1</v>
      </c>
      <c r="X704" s="39" t="n">
        <f aca="false">IF(OR(I704="DNB",I704="Dry DNB"),1,0)</f>
        <v>0</v>
      </c>
      <c r="Y704" s="39" t="n">
        <f aca="false">MATCH(A704,DATAS,0)</f>
        <v>1</v>
      </c>
      <c r="Z704" s="39" t="n">
        <f aca="false">IF(AND(E704&gt;0,OR(AND(B704&gt;=1,B704&lt;=6),B704=10)),1,0)</f>
        <v>1</v>
      </c>
      <c r="AA704" s="39" t="n">
        <f aca="false">IF(AND(E704&gt;0,B704=10),1,0)</f>
        <v>0</v>
      </c>
      <c r="AB704" s="0" t="str">
        <f aca="false">IF(AND(C703=C704,Y703=Y704-1),Z703,"")</f>
        <v/>
      </c>
      <c r="AC704" s="0" t="str">
        <f aca="false">IF(AND(C703=C704,Y703=Y704-1),AA703,"")</f>
        <v/>
      </c>
      <c r="AD704" s="0" t="str">
        <f aca="false">IF(Y704=1,"",IF(AND(Z704=1,AB704&lt;&gt;1),1,0))</f>
        <v/>
      </c>
      <c r="AE704" s="0" t="str">
        <f aca="false">IF(Y704=1,"",IF(AND(AA704=1,AC704&lt;&gt;1),1,0))</f>
        <v/>
      </c>
      <c r="AF704" s="45" t="str">
        <f aca="false">IF(AND(E704&gt;0,Y704&lt;1,NOT(AND(C705=C704,Y705=Y704+1))),INDEX(DATAS,Y704+1),"")</f>
        <v/>
      </c>
      <c r="AG704" s="45" t="str">
        <f aca="false">IF(AND(AA704=1,Y704&lt;1),IF(AND(C705=C704,Y705=Y704+1),IF(AA705=1,"",INDEX(DATAS,Y704+1)),INDEX(DATAS,Y704+1)),"")</f>
        <v/>
      </c>
    </row>
    <row r="705" customFormat="false" ht="15" hidden="false" customHeight="false" outlineLevel="0" collapsed="false">
      <c r="A705" s="45" t="n">
        <v>46309</v>
      </c>
      <c r="B705" s="0" t="n">
        <v>3</v>
      </c>
      <c r="C705" s="0" t="n">
        <v>4597</v>
      </c>
      <c r="D705" s="0" t="n">
        <v>145</v>
      </c>
      <c r="E705" s="0" t="n">
        <v>2</v>
      </c>
      <c r="F705" s="39" t="s">
        <v>126</v>
      </c>
      <c r="G705" s="0" t="n">
        <v>50.2</v>
      </c>
      <c r="H705" s="0" t="n">
        <v>59</v>
      </c>
      <c r="I705" s="39" t="s">
        <v>146</v>
      </c>
      <c r="J705" s="0" t="n">
        <v>145</v>
      </c>
      <c r="K705" s="0" t="n">
        <v>68</v>
      </c>
      <c r="M705" s="0" t="n">
        <v>629.15</v>
      </c>
      <c r="N705" s="0" t="n">
        <v>57.18</v>
      </c>
      <c r="O705" s="0" t="n">
        <v>27.75</v>
      </c>
      <c r="P705" s="0" t="n">
        <v>3.94</v>
      </c>
      <c r="Q705" s="0" t="n">
        <v>2.95</v>
      </c>
      <c r="R705" s="0" t="n">
        <v>6473</v>
      </c>
      <c r="S705" s="0" t="n">
        <v>12921</v>
      </c>
      <c r="T705" s="0" t="n">
        <v>68.1</v>
      </c>
      <c r="U705" s="0" t="n">
        <v>1313</v>
      </c>
      <c r="V705" s="0" t="n">
        <v>2</v>
      </c>
      <c r="W705" s="39" t="n">
        <f aca="false">IF(I705="Male",0,1)</f>
        <v>1</v>
      </c>
      <c r="X705" s="39" t="n">
        <f aca="false">IF(OR(I705="DNB",I705="Dry DNB"),1,0)</f>
        <v>0</v>
      </c>
      <c r="Y705" s="39" t="n">
        <f aca="false">MATCH(A705,DATAS,0)</f>
        <v>1</v>
      </c>
      <c r="Z705" s="39" t="n">
        <f aca="false">IF(AND(E705&gt;0,OR(AND(B705&gt;=1,B705&lt;=6),B705=10)),1,0)</f>
        <v>1</v>
      </c>
      <c r="AA705" s="39" t="n">
        <f aca="false">IF(AND(E705&gt;0,B705=10),1,0)</f>
        <v>0</v>
      </c>
      <c r="AB705" s="0" t="str">
        <f aca="false">IF(AND(C704=C705,Y704=Y705-1),Z704,"")</f>
        <v/>
      </c>
      <c r="AC705" s="0" t="str">
        <f aca="false">IF(AND(C704=C705,Y704=Y705-1),AA704,"")</f>
        <v/>
      </c>
      <c r="AD705" s="0" t="str">
        <f aca="false">IF(Y705=1,"",IF(AND(Z705=1,AB705&lt;&gt;1),1,0))</f>
        <v/>
      </c>
      <c r="AE705" s="0" t="str">
        <f aca="false">IF(Y705=1,"",IF(AND(AA705=1,AC705&lt;&gt;1),1,0))</f>
        <v/>
      </c>
      <c r="AF705" s="45" t="str">
        <f aca="false">IF(AND(E705&gt;0,Y705&lt;1,NOT(AND(C706=C705,Y706=Y705+1))),INDEX(DATAS,Y705+1),"")</f>
        <v/>
      </c>
      <c r="AG705" s="45" t="str">
        <f aca="false">IF(AND(AA705=1,Y705&lt;1),IF(AND(C706=C705,Y706=Y705+1),IF(AA706=1,"",INDEX(DATAS,Y705+1)),INDEX(DATAS,Y705+1)),"")</f>
        <v/>
      </c>
    </row>
    <row r="706" customFormat="false" ht="15" hidden="false" customHeight="false" outlineLevel="0" collapsed="false">
      <c r="A706" s="45" t="n">
        <v>46309</v>
      </c>
      <c r="B706" s="0" t="n">
        <v>5</v>
      </c>
      <c r="C706" s="0" t="n">
        <v>4598</v>
      </c>
      <c r="D706" s="0" t="n">
        <v>585</v>
      </c>
      <c r="E706" s="0" t="n">
        <v>1</v>
      </c>
      <c r="F706" s="39" t="s">
        <v>126</v>
      </c>
      <c r="G706" s="0" t="n">
        <v>40.4</v>
      </c>
      <c r="H706" s="0" t="n">
        <v>40</v>
      </c>
      <c r="I706" s="39" t="s">
        <v>109</v>
      </c>
      <c r="J706" s="0" t="n">
        <v>459</v>
      </c>
      <c r="K706" s="0" t="n">
        <v>61</v>
      </c>
      <c r="L706" s="0" t="n">
        <v>126</v>
      </c>
      <c r="M706" s="0" t="n">
        <v>1049.1</v>
      </c>
      <c r="N706" s="0" t="n">
        <v>57.61</v>
      </c>
      <c r="O706" s="0" t="n">
        <v>44.24</v>
      </c>
      <c r="P706" s="0" t="n">
        <v>4.7</v>
      </c>
      <c r="Q706" s="0" t="n">
        <v>4.24</v>
      </c>
      <c r="R706" s="0" t="n">
        <v>3686</v>
      </c>
      <c r="S706" s="0" t="n">
        <v>8649</v>
      </c>
      <c r="T706" s="0" t="n">
        <v>43.9</v>
      </c>
      <c r="U706" s="0" t="n">
        <v>1313</v>
      </c>
      <c r="V706" s="0" t="n">
        <v>9</v>
      </c>
      <c r="W706" s="39" t="n">
        <f aca="false">IF(I706="Male",0,1)</f>
        <v>1</v>
      </c>
      <c r="X706" s="39" t="n">
        <f aca="false">IF(OR(I706="DNB",I706="Dry DNB"),1,0)</f>
        <v>0</v>
      </c>
      <c r="Y706" s="39" t="n">
        <f aca="false">MATCH(A706,DATAS,0)</f>
        <v>1</v>
      </c>
      <c r="Z706" s="39" t="n">
        <f aca="false">IF(AND(E706&gt;0,OR(AND(B706&gt;=1,B706&lt;=6),B706=10)),1,0)</f>
        <v>1</v>
      </c>
      <c r="AA706" s="39" t="n">
        <f aca="false">IF(AND(E706&gt;0,B706=10),1,0)</f>
        <v>0</v>
      </c>
      <c r="AB706" s="0" t="str">
        <f aca="false">IF(AND(C705=C706,Y705=Y706-1),Z705,"")</f>
        <v/>
      </c>
      <c r="AC706" s="0" t="str">
        <f aca="false">IF(AND(C705=C706,Y705=Y706-1),AA705,"")</f>
        <v/>
      </c>
      <c r="AD706" s="0" t="str">
        <f aca="false">IF(Y706=1,"",IF(AND(Z706=1,AB706&lt;&gt;1),1,0))</f>
        <v/>
      </c>
      <c r="AE706" s="0" t="str">
        <f aca="false">IF(Y706=1,"",IF(AND(AA706=1,AC706&lt;&gt;1),1,0))</f>
        <v/>
      </c>
      <c r="AF706" s="45" t="str">
        <f aca="false">IF(AND(E706&gt;0,Y706&lt;1,NOT(AND(C707=C706,Y707=Y706+1))),INDEX(DATAS,Y706+1),"")</f>
        <v/>
      </c>
      <c r="AG706" s="45" t="str">
        <f aca="false">IF(AND(AA706=1,Y706&lt;1),IF(AND(C707=C706,Y707=Y706+1),IF(AA707=1,"",INDEX(DATAS,Y706+1)),INDEX(DATAS,Y706+1)),"")</f>
        <v/>
      </c>
    </row>
    <row r="707" customFormat="false" ht="15" hidden="false" customHeight="false" outlineLevel="0" collapsed="false">
      <c r="A707" s="45" t="n">
        <v>46309</v>
      </c>
      <c r="B707" s="0" t="n">
        <v>5</v>
      </c>
      <c r="C707" s="0" t="n">
        <v>4599</v>
      </c>
      <c r="D707" s="0" t="n">
        <v>152</v>
      </c>
      <c r="E707" s="0" t="n">
        <v>2</v>
      </c>
      <c r="F707" s="39" t="s">
        <v>574</v>
      </c>
      <c r="G707" s="0" t="n">
        <v>31.1</v>
      </c>
      <c r="H707" s="0" t="n">
        <v>31</v>
      </c>
      <c r="I707" s="39" t="s">
        <v>138</v>
      </c>
      <c r="J707" s="0" t="n">
        <v>152</v>
      </c>
      <c r="K707" s="0" t="n">
        <v>68</v>
      </c>
      <c r="M707" s="0" t="n">
        <v>373.74</v>
      </c>
      <c r="N707" s="0" t="n">
        <v>64.15</v>
      </c>
      <c r="O707" s="0" t="n">
        <v>27.33</v>
      </c>
      <c r="P707" s="0" t="n">
        <v>4.37</v>
      </c>
      <c r="Q707" s="0" t="n">
        <v>3.88</v>
      </c>
      <c r="R707" s="0" t="n">
        <v>4506</v>
      </c>
      <c r="S707" s="0" t="n">
        <v>7676</v>
      </c>
      <c r="T707" s="0" t="n">
        <v>51.65</v>
      </c>
      <c r="U707" s="0" t="n">
        <v>1312</v>
      </c>
      <c r="V707" s="0" t="n">
        <v>3</v>
      </c>
      <c r="W707" s="39" t="n">
        <f aca="false">IF(I707="Male",0,1)</f>
        <v>1</v>
      </c>
      <c r="X707" s="39" t="n">
        <f aca="false">IF(OR(I707="DNB",I707="Dry DNB"),1,0)</f>
        <v>0</v>
      </c>
      <c r="Y707" s="39" t="n">
        <f aca="false">MATCH(A707,DATAS,0)</f>
        <v>1</v>
      </c>
      <c r="Z707" s="39" t="n">
        <f aca="false">IF(AND(E707&gt;0,OR(AND(B707&gt;=1,B707&lt;=6),B707=10)),1,0)</f>
        <v>1</v>
      </c>
      <c r="AA707" s="39" t="n">
        <f aca="false">IF(AND(E707&gt;0,B707=10),1,0)</f>
        <v>0</v>
      </c>
      <c r="AB707" s="0" t="str">
        <f aca="false">IF(AND(C706=C707,Y706=Y707-1),Z706,"")</f>
        <v/>
      </c>
      <c r="AC707" s="0" t="str">
        <f aca="false">IF(AND(C706=C707,Y706=Y707-1),AA706,"")</f>
        <v/>
      </c>
      <c r="AD707" s="0" t="str">
        <f aca="false">IF(Y707=1,"",IF(AND(Z707=1,AB707&lt;&gt;1),1,0))</f>
        <v/>
      </c>
      <c r="AE707" s="0" t="str">
        <f aca="false">IF(Y707=1,"",IF(AND(AA707=1,AC707&lt;&gt;1),1,0))</f>
        <v/>
      </c>
      <c r="AF707" s="45" t="str">
        <f aca="false">IF(AND(E707&gt;0,Y707&lt;1,NOT(AND(C708=C707,Y708=Y707+1))),INDEX(DATAS,Y707+1),"")</f>
        <v/>
      </c>
      <c r="AG707" s="45" t="str">
        <f aca="false">IF(AND(AA707=1,Y707&lt;1),IF(AND(C708=C707,Y708=Y707+1),IF(AA708=1,"",INDEX(DATAS,Y707+1)),INDEX(DATAS,Y707+1)),"")</f>
        <v/>
      </c>
    </row>
    <row r="708" customFormat="false" ht="15" hidden="false" customHeight="false" outlineLevel="0" collapsed="false">
      <c r="A708" s="45" t="n">
        <v>46309</v>
      </c>
      <c r="B708" s="0" t="n">
        <v>7</v>
      </c>
      <c r="C708" s="0" t="n">
        <v>4600</v>
      </c>
      <c r="D708" s="0" t="n">
        <v>322</v>
      </c>
      <c r="E708" s="0" t="n">
        <v>2</v>
      </c>
      <c r="F708" s="39" t="s">
        <v>574</v>
      </c>
      <c r="I708" s="39" t="s">
        <v>114</v>
      </c>
      <c r="J708" s="0" t="n">
        <v>99</v>
      </c>
      <c r="K708" s="0" t="n">
        <v>64</v>
      </c>
      <c r="L708" s="0" t="n">
        <v>231</v>
      </c>
      <c r="M708" s="0" t="n">
        <v>569.98</v>
      </c>
      <c r="N708" s="0" t="n">
        <v>40.29</v>
      </c>
      <c r="O708" s="0" t="n">
        <v>30.6</v>
      </c>
      <c r="P708" s="0" t="n">
        <v>4.87</v>
      </c>
      <c r="Q708" s="0" t="n">
        <v>3.99</v>
      </c>
      <c r="R708" s="0" t="n">
        <v>4725</v>
      </c>
      <c r="S708" s="0" t="n">
        <v>9851</v>
      </c>
      <c r="T708" s="0" t="n">
        <v>50.45</v>
      </c>
      <c r="U708" s="0" t="n">
        <v>1312</v>
      </c>
      <c r="V708" s="0" t="n">
        <v>2</v>
      </c>
      <c r="W708" s="39" t="n">
        <f aca="false">IF(I708="Male",0,1)</f>
        <v>1</v>
      </c>
      <c r="X708" s="39" t="n">
        <f aca="false">IF(OR(I708="DNB",I708="Dry DNB"),1,0)</f>
        <v>0</v>
      </c>
      <c r="Y708" s="39" t="n">
        <f aca="false">MATCH(A708,DATAS,0)</f>
        <v>1</v>
      </c>
      <c r="Z708" s="39" t="n">
        <f aca="false">IF(AND(E708&gt;0,OR(AND(B708&gt;=1,B708&lt;=6),B708=10)),1,0)</f>
        <v>0</v>
      </c>
      <c r="AA708" s="39" t="n">
        <f aca="false">IF(AND(E708&gt;0,B708=10),1,0)</f>
        <v>0</v>
      </c>
      <c r="AB708" s="0" t="str">
        <f aca="false">IF(AND(C707=C708,Y707=Y708-1),Z707,"")</f>
        <v/>
      </c>
      <c r="AC708" s="0" t="str">
        <f aca="false">IF(AND(C707=C708,Y707=Y708-1),AA707,"")</f>
        <v/>
      </c>
      <c r="AD708" s="0" t="str">
        <f aca="false">IF(Y708=1,"",IF(AND(Z708=1,AB708&lt;&gt;1),1,0))</f>
        <v/>
      </c>
      <c r="AE708" s="0" t="str">
        <f aca="false">IF(Y708=1,"",IF(AND(AA708=1,AC708&lt;&gt;1),1,0))</f>
        <v/>
      </c>
      <c r="AF708" s="45" t="str">
        <f aca="false">IF(AND(E708&gt;0,Y708&lt;1,NOT(AND(C709=C708,Y709=Y708+1))),INDEX(DATAS,Y708+1),"")</f>
        <v/>
      </c>
      <c r="AG708" s="45" t="str">
        <f aca="false">IF(AND(AA708=1,Y708&lt;1),IF(AND(C709=C708,Y709=Y708+1),IF(AA709=1,"",INDEX(DATAS,Y708+1)),INDEX(DATAS,Y708+1)),"")</f>
        <v/>
      </c>
    </row>
    <row r="709" customFormat="false" ht="15" hidden="false" customHeight="false" outlineLevel="0" collapsed="false">
      <c r="A709" s="45" t="n">
        <v>46309</v>
      </c>
      <c r="B709" s="0" t="n">
        <v>5</v>
      </c>
      <c r="C709" s="0" t="n">
        <v>4601</v>
      </c>
      <c r="D709" s="0" t="n">
        <v>346</v>
      </c>
      <c r="E709" s="0" t="n">
        <v>2</v>
      </c>
      <c r="F709" s="39" t="s">
        <v>574</v>
      </c>
      <c r="G709" s="0" t="n">
        <v>39.1</v>
      </c>
      <c r="H709" s="0" t="n">
        <v>43</v>
      </c>
      <c r="I709" s="39" t="s">
        <v>109</v>
      </c>
      <c r="J709" s="0" t="n">
        <v>199</v>
      </c>
      <c r="K709" s="0" t="n">
        <v>73</v>
      </c>
      <c r="L709" s="0" t="n">
        <v>147</v>
      </c>
      <c r="M709" s="0" t="n">
        <v>506.71</v>
      </c>
      <c r="N709" s="0" t="n">
        <v>36.09</v>
      </c>
      <c r="O709" s="0" t="n">
        <v>32.61</v>
      </c>
      <c r="P709" s="0" t="n">
        <v>4.89</v>
      </c>
      <c r="Q709" s="0" t="n">
        <v>4.33</v>
      </c>
      <c r="R709" s="0" t="n">
        <v>5352</v>
      </c>
      <c r="S709" s="0" t="n">
        <v>9061</v>
      </c>
      <c r="T709" s="0" t="n">
        <v>59.8</v>
      </c>
      <c r="U709" s="0" t="n">
        <v>1312</v>
      </c>
      <c r="V709" s="0" t="n">
        <v>6</v>
      </c>
      <c r="W709" s="39" t="n">
        <f aca="false">IF(I709="Male",0,1)</f>
        <v>1</v>
      </c>
      <c r="X709" s="39" t="n">
        <f aca="false">IF(OR(I709="DNB",I709="Dry DNB"),1,0)</f>
        <v>0</v>
      </c>
      <c r="Y709" s="39" t="n">
        <f aca="false">MATCH(A709,DATAS,0)</f>
        <v>1</v>
      </c>
      <c r="Z709" s="39" t="n">
        <f aca="false">IF(AND(E709&gt;0,OR(AND(B709&gt;=1,B709&lt;=6),B709=10)),1,0)</f>
        <v>1</v>
      </c>
      <c r="AA709" s="39" t="n">
        <f aca="false">IF(AND(E709&gt;0,B709=10),1,0)</f>
        <v>0</v>
      </c>
      <c r="AB709" s="0" t="str">
        <f aca="false">IF(AND(C708=C709,Y708=Y709-1),Z708,"")</f>
        <v/>
      </c>
      <c r="AC709" s="0" t="str">
        <f aca="false">IF(AND(C708=C709,Y708=Y709-1),AA708,"")</f>
        <v/>
      </c>
      <c r="AD709" s="0" t="str">
        <f aca="false">IF(Y709=1,"",IF(AND(Z709=1,AB709&lt;&gt;1),1,0))</f>
        <v/>
      </c>
      <c r="AE709" s="0" t="str">
        <f aca="false">IF(Y709=1,"",IF(AND(AA709=1,AC709&lt;&gt;1),1,0))</f>
        <v/>
      </c>
      <c r="AF709" s="45" t="str">
        <f aca="false">IF(AND(E709&gt;0,Y709&lt;1,NOT(AND(C710=C709,Y710=Y709+1))),INDEX(DATAS,Y709+1),"")</f>
        <v/>
      </c>
      <c r="AG709" s="45" t="str">
        <f aca="false">IF(AND(AA709=1,Y709&lt;1),IF(AND(C710=C709,Y710=Y709+1),IF(AA710=1,"",INDEX(DATAS,Y709+1)),INDEX(DATAS,Y709+1)),"")</f>
        <v/>
      </c>
    </row>
    <row r="710" customFormat="false" ht="15" hidden="false" customHeight="false" outlineLevel="0" collapsed="false">
      <c r="A710" s="45" t="n">
        <v>46309</v>
      </c>
      <c r="B710" s="0" t="n">
        <v>2</v>
      </c>
      <c r="C710" s="0" t="n">
        <v>4602</v>
      </c>
      <c r="D710" s="0" t="n">
        <v>219</v>
      </c>
      <c r="E710" s="0" t="n">
        <v>2</v>
      </c>
      <c r="F710" s="39" t="s">
        <v>575</v>
      </c>
      <c r="G710" s="0" t="n">
        <v>55</v>
      </c>
      <c r="H710" s="0" t="n">
        <v>54</v>
      </c>
      <c r="I710" s="39" t="s">
        <v>109</v>
      </c>
      <c r="J710" s="0" t="n">
        <v>108</v>
      </c>
      <c r="K710" s="0" t="n">
        <v>72</v>
      </c>
      <c r="L710" s="0" t="n">
        <v>111</v>
      </c>
      <c r="M710" s="0" t="n">
        <v>1344.8</v>
      </c>
      <c r="N710" s="0" t="n">
        <v>57.09</v>
      </c>
      <c r="O710" s="0" t="n">
        <v>31.49</v>
      </c>
      <c r="P710" s="0" t="n">
        <v>3.96</v>
      </c>
      <c r="Q710" s="0" t="n">
        <v>3.38</v>
      </c>
      <c r="R710" s="0" t="n">
        <v>5239</v>
      </c>
      <c r="S710" s="0" t="n">
        <v>11242</v>
      </c>
      <c r="T710" s="0" t="n">
        <v>54.35</v>
      </c>
      <c r="U710" s="0" t="n">
        <v>1311</v>
      </c>
      <c r="V710" s="0" t="n">
        <v>2</v>
      </c>
      <c r="W710" s="39" t="n">
        <f aca="false">IF(I710="Male",0,1)</f>
        <v>1</v>
      </c>
      <c r="X710" s="39" t="n">
        <f aca="false">IF(OR(I710="DNB",I710="Dry DNB"),1,0)</f>
        <v>0</v>
      </c>
      <c r="Y710" s="39" t="n">
        <f aca="false">MATCH(A710,DATAS,0)</f>
        <v>1</v>
      </c>
      <c r="Z710" s="39" t="n">
        <f aca="false">IF(AND(E710&gt;0,OR(AND(B710&gt;=1,B710&lt;=6),B710=10)),1,0)</f>
        <v>1</v>
      </c>
      <c r="AA710" s="39" t="n">
        <f aca="false">IF(AND(E710&gt;0,B710=10),1,0)</f>
        <v>0</v>
      </c>
      <c r="AB710" s="0" t="str">
        <f aca="false">IF(AND(C709=C710,Y709=Y710-1),Z709,"")</f>
        <v/>
      </c>
      <c r="AC710" s="0" t="str">
        <f aca="false">IF(AND(C709=C710,Y709=Y710-1),AA709,"")</f>
        <v/>
      </c>
      <c r="AD710" s="0" t="str">
        <f aca="false">IF(Y710=1,"",IF(AND(Z710=1,AB710&lt;&gt;1),1,0))</f>
        <v/>
      </c>
      <c r="AE710" s="0" t="str">
        <f aca="false">IF(Y710=1,"",IF(AND(AA710=1,AC710&lt;&gt;1),1,0))</f>
        <v/>
      </c>
      <c r="AF710" s="45" t="str">
        <f aca="false">IF(AND(E710&gt;0,Y710&lt;1,NOT(AND(C711=C710,Y711=Y710+1))),INDEX(DATAS,Y710+1),"")</f>
        <v/>
      </c>
      <c r="AG710" s="45" t="str">
        <f aca="false">IF(AND(AA710=1,Y710&lt;1),IF(AND(C711=C710,Y711=Y710+1),IF(AA711=1,"",INDEX(DATAS,Y710+1)),INDEX(DATAS,Y710+1)),"")</f>
        <v/>
      </c>
    </row>
    <row r="711" customFormat="false" ht="15" hidden="false" customHeight="false" outlineLevel="0" collapsed="false">
      <c r="A711" s="45" t="n">
        <v>46309</v>
      </c>
      <c r="B711" s="0" t="n">
        <v>5</v>
      </c>
      <c r="C711" s="0" t="n">
        <v>4606</v>
      </c>
      <c r="D711" s="0" t="n">
        <v>229</v>
      </c>
      <c r="E711" s="0" t="n">
        <v>2</v>
      </c>
      <c r="F711" s="39" t="s">
        <v>575</v>
      </c>
      <c r="G711" s="0" t="n">
        <v>38.6</v>
      </c>
      <c r="H711" s="0" t="n">
        <v>36</v>
      </c>
      <c r="I711" s="39" t="s">
        <v>109</v>
      </c>
      <c r="J711" s="0" t="n">
        <v>194</v>
      </c>
      <c r="K711" s="0" t="n">
        <v>68</v>
      </c>
      <c r="L711" s="0" t="n">
        <v>35</v>
      </c>
      <c r="M711" s="0" t="n">
        <v>-602.08</v>
      </c>
      <c r="N711" s="0" t="n">
        <v>3.43</v>
      </c>
      <c r="O711" s="0" t="n">
        <v>5.04</v>
      </c>
      <c r="P711" s="0" t="n">
        <v>4.53</v>
      </c>
      <c r="Q711" s="0" t="n">
        <v>4.23</v>
      </c>
      <c r="R711" s="0" t="n">
        <v>3587</v>
      </c>
      <c r="S711" s="0" t="n">
        <v>8170</v>
      </c>
      <c r="T711" s="0" t="n">
        <v>39.5</v>
      </c>
      <c r="U711" s="0" t="n">
        <v>1311</v>
      </c>
      <c r="V711" s="0" t="n">
        <v>5</v>
      </c>
      <c r="W711" s="39" t="n">
        <f aca="false">IF(I711="Male",0,1)</f>
        <v>1</v>
      </c>
      <c r="X711" s="39" t="n">
        <f aca="false">IF(OR(I711="DNB",I711="Dry DNB"),1,0)</f>
        <v>0</v>
      </c>
      <c r="Y711" s="39" t="n">
        <f aca="false">MATCH(A711,DATAS,0)</f>
        <v>1</v>
      </c>
      <c r="Z711" s="39" t="n">
        <f aca="false">IF(AND(E711&gt;0,OR(AND(B711&gt;=1,B711&lt;=6),B711=10)),1,0)</f>
        <v>1</v>
      </c>
      <c r="AA711" s="39" t="n">
        <f aca="false">IF(AND(E711&gt;0,B711=10),1,0)</f>
        <v>0</v>
      </c>
      <c r="AB711" s="0" t="str">
        <f aca="false">IF(AND(C710=C711,Y710=Y711-1),Z710,"")</f>
        <v/>
      </c>
      <c r="AC711" s="0" t="str">
        <f aca="false">IF(AND(C710=C711,Y710=Y711-1),AA710,"")</f>
        <v/>
      </c>
      <c r="AD711" s="0" t="str">
        <f aca="false">IF(Y711=1,"",IF(AND(Z711=1,AB711&lt;&gt;1),1,0))</f>
        <v/>
      </c>
      <c r="AE711" s="0" t="str">
        <f aca="false">IF(Y711=1,"",IF(AND(AA711=1,AC711&lt;&gt;1),1,0))</f>
        <v/>
      </c>
      <c r="AF711" s="45" t="str">
        <f aca="false">IF(AND(E711&gt;0,Y711&lt;1,NOT(AND(C712=C711,Y712=Y711+1))),INDEX(DATAS,Y711+1),"")</f>
        <v/>
      </c>
      <c r="AG711" s="45" t="str">
        <f aca="false">IF(AND(AA711=1,Y711&lt;1),IF(AND(C712=C711,Y712=Y711+1),IF(AA712=1,"",INDEX(DATAS,Y711+1)),INDEX(DATAS,Y711+1)),"")</f>
        <v/>
      </c>
    </row>
    <row r="712" customFormat="false" ht="15" hidden="false" customHeight="false" outlineLevel="0" collapsed="false">
      <c r="A712" s="45" t="n">
        <v>46309</v>
      </c>
      <c r="B712" s="0" t="n">
        <v>3</v>
      </c>
      <c r="C712" s="0" t="n">
        <v>4607</v>
      </c>
      <c r="D712" s="0" t="n">
        <v>178</v>
      </c>
      <c r="E712" s="0" t="n">
        <v>2</v>
      </c>
      <c r="F712" s="39" t="s">
        <v>576</v>
      </c>
      <c r="G712" s="0" t="n">
        <v>46</v>
      </c>
      <c r="H712" s="0" t="n">
        <v>48</v>
      </c>
      <c r="I712" s="39" t="s">
        <v>109</v>
      </c>
      <c r="J712" s="0" t="n">
        <v>66</v>
      </c>
      <c r="K712" s="0" t="n">
        <v>66</v>
      </c>
      <c r="L712" s="0" t="n">
        <v>112</v>
      </c>
      <c r="M712" s="0" t="n">
        <v>844.69</v>
      </c>
      <c r="N712" s="0" t="n">
        <v>42.09</v>
      </c>
      <c r="O712" s="0" t="n">
        <v>37.41</v>
      </c>
      <c r="P712" s="0" t="n">
        <v>3.47</v>
      </c>
      <c r="Q712" s="0" t="n">
        <v>3.55</v>
      </c>
      <c r="R712" s="0" t="n">
        <v>4634</v>
      </c>
      <c r="S712" s="0" t="n">
        <v>10115</v>
      </c>
      <c r="T712" s="0" t="n">
        <v>52.4</v>
      </c>
      <c r="U712" s="0" t="n">
        <v>1310</v>
      </c>
      <c r="V712" s="0" t="n">
        <v>1</v>
      </c>
      <c r="W712" s="39" t="n">
        <f aca="false">IF(I712="Male",0,1)</f>
        <v>1</v>
      </c>
      <c r="X712" s="39" t="n">
        <f aca="false">IF(OR(I712="DNB",I712="Dry DNB"),1,0)</f>
        <v>0</v>
      </c>
      <c r="Y712" s="39" t="n">
        <f aca="false">MATCH(A712,DATAS,0)</f>
        <v>1</v>
      </c>
      <c r="Z712" s="39" t="n">
        <f aca="false">IF(AND(E712&gt;0,OR(AND(B712&gt;=1,B712&lt;=6),B712=10)),1,0)</f>
        <v>1</v>
      </c>
      <c r="AA712" s="39" t="n">
        <f aca="false">IF(AND(E712&gt;0,B712=10),1,0)</f>
        <v>0</v>
      </c>
      <c r="AB712" s="0" t="str">
        <f aca="false">IF(AND(C711=C712,Y711=Y712-1),Z711,"")</f>
        <v/>
      </c>
      <c r="AC712" s="0" t="str">
        <f aca="false">IF(AND(C711=C712,Y711=Y712-1),AA711,"")</f>
        <v/>
      </c>
      <c r="AD712" s="0" t="str">
        <f aca="false">IF(Y712=1,"",IF(AND(Z712=1,AB712&lt;&gt;1),1,0))</f>
        <v/>
      </c>
      <c r="AE712" s="0" t="str">
        <f aca="false">IF(Y712=1,"",IF(AND(AA712=1,AC712&lt;&gt;1),1,0))</f>
        <v/>
      </c>
      <c r="AF712" s="45" t="str">
        <f aca="false">IF(AND(E712&gt;0,Y712&lt;1,NOT(AND(C713=C712,Y713=Y712+1))),INDEX(DATAS,Y712+1),"")</f>
        <v/>
      </c>
      <c r="AG712" s="45" t="str">
        <f aca="false">IF(AND(AA712=1,Y712&lt;1),IF(AND(C713=C712,Y713=Y712+1),IF(AA713=1,"",INDEX(DATAS,Y712+1)),INDEX(DATAS,Y712+1)),"")</f>
        <v/>
      </c>
    </row>
    <row r="713" customFormat="false" ht="15" hidden="false" customHeight="false" outlineLevel="0" collapsed="false">
      <c r="A713" s="45" t="n">
        <v>46309</v>
      </c>
      <c r="B713" s="0" t="n">
        <v>5</v>
      </c>
      <c r="C713" s="0" t="n">
        <v>4608</v>
      </c>
      <c r="D713" s="0" t="n">
        <v>209</v>
      </c>
      <c r="E713" s="0" t="n">
        <v>2</v>
      </c>
      <c r="F713" s="39" t="s">
        <v>576</v>
      </c>
      <c r="G713" s="0" t="n">
        <v>34.4</v>
      </c>
      <c r="H713" s="0" t="n">
        <v>34</v>
      </c>
      <c r="I713" s="39" t="s">
        <v>96</v>
      </c>
      <c r="J713" s="0" t="n">
        <v>209</v>
      </c>
      <c r="M713" s="0" t="n">
        <v>279.97</v>
      </c>
      <c r="N713" s="0" t="n">
        <v>38.06</v>
      </c>
      <c r="O713" s="0" t="n">
        <v>19.86</v>
      </c>
      <c r="P713" s="0" t="n">
        <v>4.81</v>
      </c>
      <c r="Q713" s="0" t="n">
        <v>4.01</v>
      </c>
      <c r="R713" s="0" t="n">
        <v>3088</v>
      </c>
      <c r="S713" s="0" t="n">
        <v>6330</v>
      </c>
      <c r="T713" s="0" t="n">
        <v>33.05</v>
      </c>
      <c r="U713" s="0" t="n">
        <v>1310</v>
      </c>
      <c r="V713" s="0" t="n">
        <v>0</v>
      </c>
      <c r="W713" s="39" t="n">
        <f aca="false">IF(I713="Male",0,1)</f>
        <v>1</v>
      </c>
      <c r="X713" s="39" t="n">
        <f aca="false">IF(OR(I713="DNB",I713="Dry DNB"),1,0)</f>
        <v>1</v>
      </c>
      <c r="Y713" s="39" t="n">
        <f aca="false">MATCH(A713,DATAS,0)</f>
        <v>1</v>
      </c>
      <c r="Z713" s="39" t="n">
        <f aca="false">IF(AND(E713&gt;0,OR(AND(B713&gt;=1,B713&lt;=6),B713=10)),1,0)</f>
        <v>1</v>
      </c>
      <c r="AA713" s="39" t="n">
        <f aca="false">IF(AND(E713&gt;0,B713=10),1,0)</f>
        <v>0</v>
      </c>
      <c r="AB713" s="0" t="str">
        <f aca="false">IF(AND(C712=C713,Y712=Y713-1),Z712,"")</f>
        <v/>
      </c>
      <c r="AC713" s="0" t="str">
        <f aca="false">IF(AND(C712=C713,Y712=Y713-1),AA712,"")</f>
        <v/>
      </c>
      <c r="AD713" s="0" t="str">
        <f aca="false">IF(Y713=1,"",IF(AND(Z713=1,AB713&lt;&gt;1),1,0))</f>
        <v/>
      </c>
      <c r="AE713" s="0" t="str">
        <f aca="false">IF(Y713=1,"",IF(AND(AA713=1,AC713&lt;&gt;1),1,0))</f>
        <v/>
      </c>
      <c r="AF713" s="45" t="str">
        <f aca="false">IF(AND(E713&gt;0,Y713&lt;1,NOT(AND(C714=C713,Y714=Y713+1))),INDEX(DATAS,Y713+1),"")</f>
        <v/>
      </c>
      <c r="AG713" s="45" t="str">
        <f aca="false">IF(AND(AA713=1,Y713&lt;1),IF(AND(C714=C713,Y714=Y713+1),IF(AA714=1,"",INDEX(DATAS,Y713+1)),INDEX(DATAS,Y713+1)),"")</f>
        <v/>
      </c>
    </row>
    <row r="714" customFormat="false" ht="15" hidden="false" customHeight="false" outlineLevel="0" collapsed="false">
      <c r="A714" s="45" t="n">
        <v>46309</v>
      </c>
      <c r="B714" s="0" t="n">
        <v>5</v>
      </c>
      <c r="C714" s="0" t="n">
        <v>4609</v>
      </c>
      <c r="D714" s="0" t="n">
        <v>258</v>
      </c>
      <c r="E714" s="0" t="n">
        <v>2</v>
      </c>
      <c r="F714" s="39" t="s">
        <v>577</v>
      </c>
      <c r="G714" s="0" t="n">
        <v>47.8</v>
      </c>
      <c r="H714" s="0" t="n">
        <v>41</v>
      </c>
      <c r="I714" s="39" t="s">
        <v>109</v>
      </c>
      <c r="J714" s="0" t="n">
        <v>104</v>
      </c>
      <c r="K714" s="0" t="n">
        <v>69</v>
      </c>
      <c r="L714" s="0" t="n">
        <v>154</v>
      </c>
      <c r="M714" s="0" t="n">
        <v>363.56</v>
      </c>
      <c r="N714" s="0" t="n">
        <v>58.21</v>
      </c>
      <c r="O714" s="0" t="n">
        <v>25.04</v>
      </c>
      <c r="P714" s="0" t="n">
        <v>4</v>
      </c>
      <c r="Q714" s="0" t="n">
        <v>3.65</v>
      </c>
      <c r="R714" s="0" t="n">
        <v>4194</v>
      </c>
      <c r="S714" s="0" t="n">
        <v>9342</v>
      </c>
      <c r="T714" s="0" t="n">
        <v>59.35</v>
      </c>
      <c r="U714" s="0" t="n">
        <v>1309</v>
      </c>
      <c r="V714" s="0" t="n">
        <v>2</v>
      </c>
      <c r="W714" s="39" t="n">
        <f aca="false">IF(I714="Male",0,1)</f>
        <v>1</v>
      </c>
      <c r="X714" s="39" t="n">
        <f aca="false">IF(OR(I714="DNB",I714="Dry DNB"),1,0)</f>
        <v>0</v>
      </c>
      <c r="Y714" s="39" t="n">
        <f aca="false">MATCH(A714,DATAS,0)</f>
        <v>1</v>
      </c>
      <c r="Z714" s="39" t="n">
        <f aca="false">IF(AND(E714&gt;0,OR(AND(B714&gt;=1,B714&lt;=6),B714=10)),1,0)</f>
        <v>1</v>
      </c>
      <c r="AA714" s="39" t="n">
        <f aca="false">IF(AND(E714&gt;0,B714=10),1,0)</f>
        <v>0</v>
      </c>
      <c r="AB714" s="0" t="str">
        <f aca="false">IF(AND(C713=C714,Y713=Y714-1),Z713,"")</f>
        <v/>
      </c>
      <c r="AC714" s="0" t="str">
        <f aca="false">IF(AND(C713=C714,Y713=Y714-1),AA713,"")</f>
        <v/>
      </c>
      <c r="AD714" s="0" t="str">
        <f aca="false">IF(Y714=1,"",IF(AND(Z714=1,AB714&lt;&gt;1),1,0))</f>
        <v/>
      </c>
      <c r="AE714" s="0" t="str">
        <f aca="false">IF(Y714=1,"",IF(AND(AA714=1,AC714&lt;&gt;1),1,0))</f>
        <v/>
      </c>
      <c r="AF714" s="45" t="str">
        <f aca="false">IF(AND(E714&gt;0,Y714&lt;1,NOT(AND(C715=C714,Y715=Y714+1))),INDEX(DATAS,Y714+1),"")</f>
        <v/>
      </c>
      <c r="AG714" s="45" t="str">
        <f aca="false">IF(AND(AA714=1,Y714&lt;1),IF(AND(C715=C714,Y715=Y714+1),IF(AA715=1,"",INDEX(DATAS,Y714+1)),INDEX(DATAS,Y714+1)),"")</f>
        <v/>
      </c>
    </row>
    <row r="715" customFormat="false" ht="15" hidden="false" customHeight="false" outlineLevel="0" collapsed="false">
      <c r="A715" s="45" t="n">
        <v>46309</v>
      </c>
      <c r="B715" s="0" t="n">
        <v>3</v>
      </c>
      <c r="C715" s="0" t="n">
        <v>4610</v>
      </c>
      <c r="D715" s="0" t="n">
        <v>10</v>
      </c>
      <c r="E715" s="0" t="n">
        <v>3</v>
      </c>
      <c r="F715" s="39" t="s">
        <v>577</v>
      </c>
      <c r="G715" s="0" t="n">
        <v>41</v>
      </c>
      <c r="H715" s="0" t="n">
        <v>34</v>
      </c>
      <c r="I715" s="39" t="s">
        <v>118</v>
      </c>
      <c r="J715" s="0" t="n">
        <v>10</v>
      </c>
      <c r="M715" s="0" t="n">
        <v>1136.34</v>
      </c>
      <c r="N715" s="0" t="n">
        <v>41.04</v>
      </c>
      <c r="O715" s="0" t="n">
        <v>33.85</v>
      </c>
      <c r="R715" s="0" t="n">
        <v>2286</v>
      </c>
      <c r="S715" s="0" t="n">
        <v>4596</v>
      </c>
      <c r="U715" s="0" t="n">
        <v>1309</v>
      </c>
      <c r="V715" s="0" t="n">
        <v>0</v>
      </c>
      <c r="W715" s="39" t="n">
        <f aca="false">IF(I715="Male",0,1)</f>
        <v>1</v>
      </c>
      <c r="X715" s="39" t="n">
        <f aca="false">IF(OR(I715="DNB",I715="Dry DNB"),1,0)</f>
        <v>0</v>
      </c>
      <c r="Y715" s="39" t="n">
        <f aca="false">MATCH(A715,DATAS,0)</f>
        <v>1</v>
      </c>
      <c r="Z715" s="39" t="n">
        <f aca="false">IF(AND(E715&gt;0,OR(AND(B715&gt;=1,B715&lt;=6),B715=10)),1,0)</f>
        <v>1</v>
      </c>
      <c r="AA715" s="39" t="n">
        <f aca="false">IF(AND(E715&gt;0,B715=10),1,0)</f>
        <v>0</v>
      </c>
      <c r="AB715" s="0" t="str">
        <f aca="false">IF(AND(C714=C715,Y714=Y715-1),Z714,"")</f>
        <v/>
      </c>
      <c r="AC715" s="0" t="str">
        <f aca="false">IF(AND(C714=C715,Y714=Y715-1),AA714,"")</f>
        <v/>
      </c>
      <c r="AD715" s="0" t="str">
        <f aca="false">IF(Y715=1,"",IF(AND(Z715=1,AB715&lt;&gt;1),1,0))</f>
        <v/>
      </c>
      <c r="AE715" s="0" t="str">
        <f aca="false">IF(Y715=1,"",IF(AND(AA715=1,AC715&lt;&gt;1),1,0))</f>
        <v/>
      </c>
      <c r="AF715" s="45" t="str">
        <f aca="false">IF(AND(E715&gt;0,Y715&lt;1,NOT(AND(C716=C715,Y716=Y715+1))),INDEX(DATAS,Y715+1),"")</f>
        <v/>
      </c>
      <c r="AG715" s="45" t="str">
        <f aca="false">IF(AND(AA715=1,Y715&lt;1),IF(AND(C716=C715,Y716=Y715+1),IF(AA716=1,"",INDEX(DATAS,Y715+1)),INDEX(DATAS,Y715+1)),"")</f>
        <v/>
      </c>
    </row>
    <row r="716" customFormat="false" ht="15" hidden="false" customHeight="false" outlineLevel="0" collapsed="false">
      <c r="A716" s="45" t="n">
        <v>46309</v>
      </c>
      <c r="B716" s="0" t="n">
        <v>5</v>
      </c>
      <c r="C716" s="0" t="n">
        <v>4612</v>
      </c>
      <c r="D716" s="0" t="n">
        <v>270</v>
      </c>
      <c r="E716" s="0" t="n">
        <v>2</v>
      </c>
      <c r="F716" s="39" t="s">
        <v>578</v>
      </c>
      <c r="G716" s="0" t="n">
        <v>16.1</v>
      </c>
      <c r="H716" s="0" t="n">
        <v>14</v>
      </c>
      <c r="I716" s="39" t="s">
        <v>109</v>
      </c>
      <c r="J716" s="0" t="n">
        <v>67</v>
      </c>
      <c r="K716" s="0" t="n">
        <v>74</v>
      </c>
      <c r="L716" s="0" t="n">
        <v>203</v>
      </c>
      <c r="M716" s="0" t="n">
        <v>1075.48</v>
      </c>
      <c r="N716" s="0" t="n">
        <v>36.25</v>
      </c>
      <c r="O716" s="0" t="n">
        <v>30.54</v>
      </c>
      <c r="P716" s="0" t="n">
        <v>3.85</v>
      </c>
      <c r="Q716" s="0" t="n">
        <v>3.46</v>
      </c>
      <c r="R716" s="0" t="n">
        <v>5044</v>
      </c>
      <c r="S716" s="0" t="n">
        <v>10155</v>
      </c>
      <c r="T716" s="0" t="n">
        <v>54.85</v>
      </c>
      <c r="U716" s="0" t="n">
        <v>1308</v>
      </c>
      <c r="V716" s="0" t="n">
        <v>1</v>
      </c>
      <c r="W716" s="39" t="n">
        <f aca="false">IF(I716="Male",0,1)</f>
        <v>1</v>
      </c>
      <c r="X716" s="39" t="n">
        <f aca="false">IF(OR(I716="DNB",I716="Dry DNB"),1,0)</f>
        <v>0</v>
      </c>
      <c r="Y716" s="39" t="n">
        <f aca="false">MATCH(A716,DATAS,0)</f>
        <v>1</v>
      </c>
      <c r="Z716" s="39" t="n">
        <f aca="false">IF(AND(E716&gt;0,OR(AND(B716&gt;=1,B716&lt;=6),B716=10)),1,0)</f>
        <v>1</v>
      </c>
      <c r="AA716" s="39" t="n">
        <f aca="false">IF(AND(E716&gt;0,B716=10),1,0)</f>
        <v>0</v>
      </c>
      <c r="AB716" s="0" t="str">
        <f aca="false">IF(AND(C715=C716,Y715=Y716-1),Z715,"")</f>
        <v/>
      </c>
      <c r="AC716" s="0" t="str">
        <f aca="false">IF(AND(C715=C716,Y715=Y716-1),AA715,"")</f>
        <v/>
      </c>
      <c r="AD716" s="0" t="str">
        <f aca="false">IF(Y716=1,"",IF(AND(Z716=1,AB716&lt;&gt;1),1,0))</f>
        <v/>
      </c>
      <c r="AE716" s="0" t="str">
        <f aca="false">IF(Y716=1,"",IF(AND(AA716=1,AC716&lt;&gt;1),1,0))</f>
        <v/>
      </c>
      <c r="AF716" s="45" t="str">
        <f aca="false">IF(AND(E716&gt;0,Y716&lt;1,NOT(AND(C717=C716,Y717=Y716+1))),INDEX(DATAS,Y716+1),"")</f>
        <v/>
      </c>
      <c r="AG716" s="45" t="str">
        <f aca="false">IF(AND(AA716=1,Y716&lt;1),IF(AND(C717=C716,Y717=Y716+1),IF(AA717=1,"",INDEX(DATAS,Y716+1)),INDEX(DATAS,Y716+1)),"")</f>
        <v/>
      </c>
    </row>
    <row r="717" customFormat="false" ht="15" hidden="false" customHeight="false" outlineLevel="0" collapsed="false">
      <c r="A717" s="45" t="n">
        <v>46309</v>
      </c>
      <c r="B717" s="0" t="n">
        <v>5</v>
      </c>
      <c r="C717" s="0" t="n">
        <v>4613</v>
      </c>
      <c r="D717" s="0" t="n">
        <v>309</v>
      </c>
      <c r="E717" s="0" t="n">
        <v>2</v>
      </c>
      <c r="F717" s="39" t="s">
        <v>578</v>
      </c>
      <c r="G717" s="0" t="n">
        <v>31.1</v>
      </c>
      <c r="H717" s="0" t="n">
        <v>29</v>
      </c>
      <c r="I717" s="39" t="s">
        <v>109</v>
      </c>
      <c r="J717" s="0" t="n">
        <v>87</v>
      </c>
      <c r="K717" s="0" t="n">
        <v>64</v>
      </c>
      <c r="L717" s="0" t="n">
        <v>222</v>
      </c>
      <c r="M717" s="0" t="n">
        <v>-269.9</v>
      </c>
      <c r="N717" s="0" t="n">
        <v>48.51</v>
      </c>
      <c r="O717" s="0" t="n">
        <v>4.12</v>
      </c>
      <c r="P717" s="0" t="n">
        <v>5.27</v>
      </c>
      <c r="Q717" s="0" t="n">
        <v>3.81</v>
      </c>
      <c r="R717" s="0" t="n">
        <v>4882</v>
      </c>
      <c r="S717" s="0" t="n">
        <v>10097</v>
      </c>
      <c r="T717" s="0" t="n">
        <v>50.25</v>
      </c>
      <c r="U717" s="0" t="n">
        <v>1308</v>
      </c>
      <c r="V717" s="0" t="n">
        <v>2</v>
      </c>
      <c r="W717" s="39" t="n">
        <f aca="false">IF(I717="Male",0,1)</f>
        <v>1</v>
      </c>
      <c r="X717" s="39" t="n">
        <f aca="false">IF(OR(I717="DNB",I717="Dry DNB"),1,0)</f>
        <v>0</v>
      </c>
      <c r="Y717" s="39" t="n">
        <f aca="false">MATCH(A717,DATAS,0)</f>
        <v>1</v>
      </c>
      <c r="Z717" s="39" t="n">
        <f aca="false">IF(AND(E717&gt;0,OR(AND(B717&gt;=1,B717&lt;=6),B717=10)),1,0)</f>
        <v>1</v>
      </c>
      <c r="AA717" s="39" t="n">
        <f aca="false">IF(AND(E717&gt;0,B717=10),1,0)</f>
        <v>0</v>
      </c>
      <c r="AB717" s="0" t="str">
        <f aca="false">IF(AND(C716=C717,Y716=Y717-1),Z716,"")</f>
        <v/>
      </c>
      <c r="AC717" s="0" t="str">
        <f aca="false">IF(AND(C716=C717,Y716=Y717-1),AA716,"")</f>
        <v/>
      </c>
      <c r="AD717" s="0" t="str">
        <f aca="false">IF(Y717=1,"",IF(AND(Z717=1,AB717&lt;&gt;1),1,0))</f>
        <v/>
      </c>
      <c r="AE717" s="0" t="str">
        <f aca="false">IF(Y717=1,"",IF(AND(AA717=1,AC717&lt;&gt;1),1,0))</f>
        <v/>
      </c>
      <c r="AF717" s="45" t="str">
        <f aca="false">IF(AND(E717&gt;0,Y717&lt;1,NOT(AND(C718=C717,Y718=Y717+1))),INDEX(DATAS,Y717+1),"")</f>
        <v/>
      </c>
      <c r="AG717" s="45" t="str">
        <f aca="false">IF(AND(AA717=1,Y717&lt;1),IF(AND(C718=C717,Y718=Y717+1),IF(AA718=1,"",INDEX(DATAS,Y717+1)),INDEX(DATAS,Y717+1)),"")</f>
        <v/>
      </c>
    </row>
    <row r="718" customFormat="false" ht="15" hidden="false" customHeight="false" outlineLevel="0" collapsed="false">
      <c r="A718" s="45" t="n">
        <v>46309</v>
      </c>
      <c r="B718" s="0" t="n">
        <v>5</v>
      </c>
      <c r="C718" s="0" t="n">
        <v>4614</v>
      </c>
      <c r="D718" s="0" t="n">
        <v>253</v>
      </c>
      <c r="E718" s="0" t="n">
        <v>2</v>
      </c>
      <c r="F718" s="39" t="s">
        <v>578</v>
      </c>
      <c r="G718" s="0" t="n">
        <v>46.7</v>
      </c>
      <c r="H718" s="0" t="n">
        <v>42</v>
      </c>
      <c r="I718" s="39" t="s">
        <v>109</v>
      </c>
      <c r="J718" s="0" t="n">
        <v>127</v>
      </c>
      <c r="K718" s="0" t="n">
        <v>64</v>
      </c>
      <c r="L718" s="0" t="n">
        <v>126</v>
      </c>
      <c r="M718" s="0" t="n">
        <v>246.55</v>
      </c>
      <c r="N718" s="0" t="n">
        <v>59.39</v>
      </c>
      <c r="O718" s="0" t="n">
        <v>29.23</v>
      </c>
      <c r="P718" s="0" t="n">
        <v>4.24</v>
      </c>
      <c r="Q718" s="0" t="n">
        <v>3.86</v>
      </c>
      <c r="R718" s="0" t="n">
        <v>4704</v>
      </c>
      <c r="S718" s="0" t="n">
        <v>9841</v>
      </c>
      <c r="T718" s="0" t="n">
        <v>51.35</v>
      </c>
      <c r="U718" s="0" t="n">
        <v>1308</v>
      </c>
      <c r="V718" s="0" t="n">
        <v>3</v>
      </c>
      <c r="W718" s="39" t="n">
        <f aca="false">IF(I718="Male",0,1)</f>
        <v>1</v>
      </c>
      <c r="X718" s="39" t="n">
        <f aca="false">IF(OR(I718="DNB",I718="Dry DNB"),1,0)</f>
        <v>0</v>
      </c>
      <c r="Y718" s="39" t="n">
        <f aca="false">MATCH(A718,DATAS,0)</f>
        <v>1</v>
      </c>
      <c r="Z718" s="39" t="n">
        <f aca="false">IF(AND(E718&gt;0,OR(AND(B718&gt;=1,B718&lt;=6),B718=10)),1,0)</f>
        <v>1</v>
      </c>
      <c r="AA718" s="39" t="n">
        <f aca="false">IF(AND(E718&gt;0,B718=10),1,0)</f>
        <v>0</v>
      </c>
      <c r="AB718" s="0" t="str">
        <f aca="false">IF(AND(C717=C718,Y717=Y718-1),Z717,"")</f>
        <v/>
      </c>
      <c r="AC718" s="0" t="str">
        <f aca="false">IF(AND(C717=C718,Y717=Y718-1),AA717,"")</f>
        <v/>
      </c>
      <c r="AD718" s="0" t="str">
        <f aca="false">IF(Y718=1,"",IF(AND(Z718=1,AB718&lt;&gt;1),1,0))</f>
        <v/>
      </c>
      <c r="AE718" s="0" t="str">
        <f aca="false">IF(Y718=1,"",IF(AND(AA718=1,AC718&lt;&gt;1),1,0))</f>
        <v/>
      </c>
      <c r="AF718" s="45" t="str">
        <f aca="false">IF(AND(E718&gt;0,Y718&lt;1,NOT(AND(C719=C718,Y719=Y718+1))),INDEX(DATAS,Y718+1),"")</f>
        <v/>
      </c>
      <c r="AG718" s="45" t="str">
        <f aca="false">IF(AND(AA718=1,Y718&lt;1),IF(AND(C719=C718,Y719=Y718+1),IF(AA719=1,"",INDEX(DATAS,Y718+1)),INDEX(DATAS,Y718+1)),"")</f>
        <v/>
      </c>
    </row>
    <row r="719" customFormat="false" ht="15" hidden="false" customHeight="false" outlineLevel="0" collapsed="false">
      <c r="A719" s="45" t="n">
        <v>46309</v>
      </c>
      <c r="B719" s="0" t="n">
        <v>7</v>
      </c>
      <c r="C719" s="0" t="n">
        <v>4615</v>
      </c>
      <c r="D719" s="0" t="n">
        <v>384</v>
      </c>
      <c r="E719" s="0" t="n">
        <v>1</v>
      </c>
      <c r="F719" s="39" t="s">
        <v>578</v>
      </c>
      <c r="G719" s="0" t="n">
        <v>14.2</v>
      </c>
      <c r="H719" s="0" t="n">
        <v>35</v>
      </c>
      <c r="I719" s="39" t="s">
        <v>114</v>
      </c>
      <c r="J719" s="0" t="n">
        <v>162</v>
      </c>
      <c r="K719" s="0" t="n">
        <v>70</v>
      </c>
      <c r="L719" s="0" t="n">
        <v>223</v>
      </c>
      <c r="M719" s="0" t="n">
        <v>348.31</v>
      </c>
      <c r="N719" s="0" t="n">
        <v>35.06</v>
      </c>
      <c r="O719" s="0" t="n">
        <v>23.14</v>
      </c>
      <c r="P719" s="0" t="n">
        <v>4.51</v>
      </c>
      <c r="Q719" s="0" t="n">
        <v>4.02</v>
      </c>
      <c r="R719" s="0" t="n">
        <v>4901</v>
      </c>
      <c r="S719" s="0" t="n">
        <v>10954</v>
      </c>
      <c r="T719" s="0" t="n">
        <v>53.05</v>
      </c>
      <c r="U719" s="0" t="n">
        <v>1308</v>
      </c>
      <c r="V719" s="0" t="n">
        <v>4</v>
      </c>
      <c r="W719" s="39" t="n">
        <f aca="false">IF(I719="Male",0,1)</f>
        <v>1</v>
      </c>
      <c r="X719" s="39" t="n">
        <f aca="false">IF(OR(I719="DNB",I719="Dry DNB"),1,0)</f>
        <v>0</v>
      </c>
      <c r="Y719" s="39" t="n">
        <f aca="false">MATCH(A719,DATAS,0)</f>
        <v>1</v>
      </c>
      <c r="Z719" s="39" t="n">
        <f aca="false">IF(AND(E719&gt;0,OR(AND(B719&gt;=1,B719&lt;=6),B719=10)),1,0)</f>
        <v>0</v>
      </c>
      <c r="AA719" s="39" t="n">
        <f aca="false">IF(AND(E719&gt;0,B719=10),1,0)</f>
        <v>0</v>
      </c>
      <c r="AB719" s="0" t="str">
        <f aca="false">IF(AND(C718=C719,Y718=Y719-1),Z718,"")</f>
        <v/>
      </c>
      <c r="AC719" s="0" t="str">
        <f aca="false">IF(AND(C718=C719,Y718=Y719-1),AA718,"")</f>
        <v/>
      </c>
      <c r="AD719" s="0" t="str">
        <f aca="false">IF(Y719=1,"",IF(AND(Z719=1,AB719&lt;&gt;1),1,0))</f>
        <v/>
      </c>
      <c r="AE719" s="0" t="str">
        <f aca="false">IF(Y719=1,"",IF(AND(AA719=1,AC719&lt;&gt;1),1,0))</f>
        <v/>
      </c>
      <c r="AF719" s="45" t="str">
        <f aca="false">IF(AND(E719&gt;0,Y719&lt;1,NOT(AND(C720=C719,Y720=Y719+1))),INDEX(DATAS,Y719+1),"")</f>
        <v/>
      </c>
      <c r="AG719" s="45" t="str">
        <f aca="false">IF(AND(AA719=1,Y719&lt;1),IF(AND(C720=C719,Y720=Y719+1),IF(AA720=1,"",INDEX(DATAS,Y719+1)),INDEX(DATAS,Y719+1)),"")</f>
        <v/>
      </c>
    </row>
    <row r="720" customFormat="false" ht="15" hidden="false" customHeight="false" outlineLevel="0" collapsed="false">
      <c r="A720" s="45" t="n">
        <v>46309</v>
      </c>
      <c r="B720" s="0" t="n">
        <v>5</v>
      </c>
      <c r="C720" s="0" t="n">
        <v>4616</v>
      </c>
      <c r="D720" s="0" t="n">
        <v>213</v>
      </c>
      <c r="E720" s="0" t="n">
        <v>2</v>
      </c>
      <c r="F720" s="39" t="s">
        <v>579</v>
      </c>
      <c r="G720" s="0" t="n">
        <v>49.3</v>
      </c>
      <c r="H720" s="0" t="n">
        <v>47</v>
      </c>
      <c r="I720" s="39" t="s">
        <v>109</v>
      </c>
      <c r="J720" s="0" t="n">
        <v>152</v>
      </c>
      <c r="K720" s="0" t="n">
        <v>66</v>
      </c>
      <c r="L720" s="0" t="n">
        <v>61</v>
      </c>
      <c r="M720" s="0" t="n">
        <v>1019.68</v>
      </c>
      <c r="N720" s="0" t="n">
        <v>60.32</v>
      </c>
      <c r="O720" s="0" t="n">
        <v>45.76</v>
      </c>
      <c r="P720" s="0" t="n">
        <v>4.07</v>
      </c>
      <c r="Q720" s="0" t="n">
        <v>4</v>
      </c>
      <c r="R720" s="0" t="n">
        <v>3803</v>
      </c>
      <c r="S720" s="0" t="n">
        <v>7308</v>
      </c>
      <c r="T720" s="0" t="n">
        <v>38.05</v>
      </c>
      <c r="U720" s="0" t="n">
        <v>1307</v>
      </c>
      <c r="V720" s="0" t="n">
        <v>3</v>
      </c>
      <c r="W720" s="39" t="n">
        <f aca="false">IF(I720="Male",0,1)</f>
        <v>1</v>
      </c>
      <c r="X720" s="39" t="n">
        <f aca="false">IF(OR(I720="DNB",I720="Dry DNB"),1,0)</f>
        <v>0</v>
      </c>
      <c r="Y720" s="39" t="n">
        <f aca="false">MATCH(A720,DATAS,0)</f>
        <v>1</v>
      </c>
      <c r="Z720" s="39" t="n">
        <f aca="false">IF(AND(E720&gt;0,OR(AND(B720&gt;=1,B720&lt;=6),B720=10)),1,0)</f>
        <v>1</v>
      </c>
      <c r="AA720" s="39" t="n">
        <f aca="false">IF(AND(E720&gt;0,B720=10),1,0)</f>
        <v>0</v>
      </c>
      <c r="AB720" s="0" t="str">
        <f aca="false">IF(AND(C719=C720,Y719=Y720-1),Z719,"")</f>
        <v/>
      </c>
      <c r="AC720" s="0" t="str">
        <f aca="false">IF(AND(C719=C720,Y719=Y720-1),AA719,"")</f>
        <v/>
      </c>
      <c r="AD720" s="0" t="str">
        <f aca="false">IF(Y720=1,"",IF(AND(Z720=1,AB720&lt;&gt;1),1,0))</f>
        <v/>
      </c>
      <c r="AE720" s="0" t="str">
        <f aca="false">IF(Y720=1,"",IF(AND(AA720=1,AC720&lt;&gt;1),1,0))</f>
        <v/>
      </c>
      <c r="AF720" s="45" t="str">
        <f aca="false">IF(AND(E720&gt;0,Y720&lt;1,NOT(AND(C721=C720,Y721=Y720+1))),INDEX(DATAS,Y720+1),"")</f>
        <v/>
      </c>
      <c r="AG720" s="45" t="str">
        <f aca="false">IF(AND(AA720=1,Y720&lt;1),IF(AND(C721=C720,Y721=Y720+1),IF(AA721=1,"",INDEX(DATAS,Y720+1)),INDEX(DATAS,Y720+1)),"")</f>
        <v/>
      </c>
    </row>
    <row r="721" customFormat="false" ht="15" hidden="false" customHeight="false" outlineLevel="0" collapsed="false">
      <c r="A721" s="45" t="n">
        <v>46309</v>
      </c>
      <c r="B721" s="0" t="n">
        <v>5</v>
      </c>
      <c r="C721" s="0" t="n">
        <v>4620</v>
      </c>
      <c r="D721" s="0" t="n">
        <v>226</v>
      </c>
      <c r="E721" s="0" t="n">
        <v>2</v>
      </c>
      <c r="F721" s="39" t="s">
        <v>579</v>
      </c>
      <c r="G721" s="0" t="n">
        <v>48.5</v>
      </c>
      <c r="H721" s="0" t="n">
        <v>42</v>
      </c>
      <c r="I721" s="39" t="s">
        <v>109</v>
      </c>
      <c r="J721" s="0" t="n">
        <v>86</v>
      </c>
      <c r="K721" s="0" t="n">
        <v>65</v>
      </c>
      <c r="L721" s="0" t="n">
        <v>140</v>
      </c>
      <c r="M721" s="0" t="n">
        <v>1066.31</v>
      </c>
      <c r="N721" s="0" t="n">
        <v>79.26</v>
      </c>
      <c r="O721" s="0" t="n">
        <v>48.25</v>
      </c>
      <c r="P721" s="0" t="n">
        <v>5</v>
      </c>
      <c r="Q721" s="0" t="n">
        <v>4.15</v>
      </c>
      <c r="R721" s="0" t="n">
        <v>5798</v>
      </c>
      <c r="S721" s="0" t="n">
        <v>10611</v>
      </c>
      <c r="T721" s="0" t="n">
        <v>66.5</v>
      </c>
      <c r="U721" s="0" t="n">
        <v>1307</v>
      </c>
      <c r="V721" s="0" t="n">
        <v>2</v>
      </c>
      <c r="W721" s="39" t="n">
        <f aca="false">IF(I721="Male",0,1)</f>
        <v>1</v>
      </c>
      <c r="X721" s="39" t="n">
        <f aca="false">IF(OR(I721="DNB",I721="Dry DNB"),1,0)</f>
        <v>0</v>
      </c>
      <c r="Y721" s="39" t="n">
        <f aca="false">MATCH(A721,DATAS,0)</f>
        <v>1</v>
      </c>
      <c r="Z721" s="39" t="n">
        <f aca="false">IF(AND(E721&gt;0,OR(AND(B721&gt;=1,B721&lt;=6),B721=10)),1,0)</f>
        <v>1</v>
      </c>
      <c r="AA721" s="39" t="n">
        <f aca="false">IF(AND(E721&gt;0,B721=10),1,0)</f>
        <v>0</v>
      </c>
      <c r="AB721" s="0" t="str">
        <f aca="false">IF(AND(C720=C721,Y720=Y721-1),Z720,"")</f>
        <v/>
      </c>
      <c r="AC721" s="0" t="str">
        <f aca="false">IF(AND(C720=C721,Y720=Y721-1),AA720,"")</f>
        <v/>
      </c>
      <c r="AD721" s="0" t="str">
        <f aca="false">IF(Y721=1,"",IF(AND(Z721=1,AB721&lt;&gt;1),1,0))</f>
        <v/>
      </c>
      <c r="AE721" s="0" t="str">
        <f aca="false">IF(Y721=1,"",IF(AND(AA721=1,AC721&lt;&gt;1),1,0))</f>
        <v/>
      </c>
      <c r="AF721" s="45" t="str">
        <f aca="false">IF(AND(E721&gt;0,Y721&lt;1,NOT(AND(C722=C721,Y722=Y721+1))),INDEX(DATAS,Y721+1),"")</f>
        <v/>
      </c>
      <c r="AG721" s="45" t="str">
        <f aca="false">IF(AND(AA721=1,Y721&lt;1),IF(AND(C722=C721,Y722=Y721+1),IF(AA722=1,"",INDEX(DATAS,Y721+1)),INDEX(DATAS,Y721+1)),"")</f>
        <v/>
      </c>
    </row>
    <row r="722" customFormat="false" ht="15" hidden="false" customHeight="false" outlineLevel="0" collapsed="false">
      <c r="A722" s="45" t="n">
        <v>46309</v>
      </c>
      <c r="B722" s="0" t="n">
        <v>3</v>
      </c>
      <c r="C722" s="0" t="n">
        <v>4622</v>
      </c>
      <c r="D722" s="0" t="n">
        <v>267</v>
      </c>
      <c r="E722" s="0" t="n">
        <v>2</v>
      </c>
      <c r="F722" s="39" t="s">
        <v>580</v>
      </c>
      <c r="G722" s="0" t="n">
        <v>50.1</v>
      </c>
      <c r="H722" s="0" t="n">
        <v>49</v>
      </c>
      <c r="I722" s="39" t="s">
        <v>109</v>
      </c>
      <c r="J722" s="0" t="n">
        <v>183</v>
      </c>
      <c r="K722" s="0" t="n">
        <v>71</v>
      </c>
      <c r="L722" s="0" t="n">
        <v>84</v>
      </c>
      <c r="M722" s="0" t="n">
        <v>354.87</v>
      </c>
      <c r="N722" s="0" t="n">
        <v>19.23</v>
      </c>
      <c r="O722" s="0" t="n">
        <v>21.12</v>
      </c>
      <c r="P722" s="0" t="n">
        <v>2.94</v>
      </c>
      <c r="Q722" s="0" t="n">
        <v>3.77</v>
      </c>
      <c r="R722" s="0" t="n">
        <v>5566</v>
      </c>
      <c r="S722" s="0" t="n">
        <v>11488</v>
      </c>
      <c r="T722" s="0" t="n">
        <v>61.95</v>
      </c>
      <c r="U722" s="0" t="n">
        <v>1305</v>
      </c>
      <c r="V722" s="0" t="n">
        <v>5</v>
      </c>
      <c r="W722" s="39" t="n">
        <f aca="false">IF(I722="Male",0,1)</f>
        <v>1</v>
      </c>
      <c r="X722" s="39" t="n">
        <f aca="false">IF(OR(I722="DNB",I722="Dry DNB"),1,0)</f>
        <v>0</v>
      </c>
      <c r="Y722" s="39" t="n">
        <f aca="false">MATCH(A722,DATAS,0)</f>
        <v>1</v>
      </c>
      <c r="Z722" s="39" t="n">
        <f aca="false">IF(AND(E722&gt;0,OR(AND(B722&gt;=1,B722&lt;=6),B722=10)),1,0)</f>
        <v>1</v>
      </c>
      <c r="AA722" s="39" t="n">
        <f aca="false">IF(AND(E722&gt;0,B722=10),1,0)</f>
        <v>0</v>
      </c>
      <c r="AB722" s="0" t="str">
        <f aca="false">IF(AND(C721=C722,Y721=Y722-1),Z721,"")</f>
        <v/>
      </c>
      <c r="AC722" s="0" t="str">
        <f aca="false">IF(AND(C721=C722,Y721=Y722-1),AA721,"")</f>
        <v/>
      </c>
      <c r="AD722" s="0" t="str">
        <f aca="false">IF(Y722=1,"",IF(AND(Z722=1,AB722&lt;&gt;1),1,0))</f>
        <v/>
      </c>
      <c r="AE722" s="0" t="str">
        <f aca="false">IF(Y722=1,"",IF(AND(AA722=1,AC722&lt;&gt;1),1,0))</f>
        <v/>
      </c>
      <c r="AF722" s="45" t="str">
        <f aca="false">IF(AND(E722&gt;0,Y722&lt;1,NOT(AND(C723=C722,Y723=Y722+1))),INDEX(DATAS,Y722+1),"")</f>
        <v/>
      </c>
      <c r="AG722" s="45" t="str">
        <f aca="false">IF(AND(AA722=1,Y722&lt;1),IF(AND(C723=C722,Y723=Y722+1),IF(AA723=1,"",INDEX(DATAS,Y722+1)),INDEX(DATAS,Y722+1)),"")</f>
        <v/>
      </c>
    </row>
    <row r="723" customFormat="false" ht="15" hidden="false" customHeight="false" outlineLevel="0" collapsed="false">
      <c r="A723" s="45" t="n">
        <v>46309</v>
      </c>
      <c r="B723" s="0" t="n">
        <v>3</v>
      </c>
      <c r="C723" s="0" t="n">
        <v>4623</v>
      </c>
      <c r="D723" s="0" t="n">
        <v>118</v>
      </c>
      <c r="E723" s="0" t="n">
        <v>2</v>
      </c>
      <c r="F723" s="39" t="s">
        <v>581</v>
      </c>
      <c r="G723" s="0" t="n">
        <v>62.8</v>
      </c>
      <c r="H723" s="0" t="n">
        <v>63</v>
      </c>
      <c r="I723" s="39" t="s">
        <v>109</v>
      </c>
      <c r="J723" s="0" t="n">
        <v>69</v>
      </c>
      <c r="K723" s="0" t="n">
        <v>69</v>
      </c>
      <c r="L723" s="0" t="n">
        <v>49</v>
      </c>
      <c r="M723" s="0" t="n">
        <v>481.92</v>
      </c>
      <c r="N723" s="0" t="n">
        <v>14.69</v>
      </c>
      <c r="O723" s="0" t="n">
        <v>32.67</v>
      </c>
      <c r="P723" s="0" t="n">
        <v>3.18</v>
      </c>
      <c r="Q723" s="0" t="n">
        <v>3.35</v>
      </c>
      <c r="R723" s="0" t="n">
        <v>5528</v>
      </c>
      <c r="S723" s="0" t="n">
        <v>11397</v>
      </c>
      <c r="T723" s="0" t="n">
        <v>62.85</v>
      </c>
      <c r="U723" s="0" t="n">
        <v>1304</v>
      </c>
      <c r="V723" s="0" t="n">
        <v>1</v>
      </c>
      <c r="W723" s="39" t="n">
        <f aca="false">IF(I723="Male",0,1)</f>
        <v>1</v>
      </c>
      <c r="X723" s="39" t="n">
        <f aca="false">IF(OR(I723="DNB",I723="Dry DNB"),1,0)</f>
        <v>0</v>
      </c>
      <c r="Y723" s="39" t="n">
        <f aca="false">MATCH(A723,DATAS,0)</f>
        <v>1</v>
      </c>
      <c r="Z723" s="39" t="n">
        <f aca="false">IF(AND(E723&gt;0,OR(AND(B723&gt;=1,B723&lt;=6),B723=10)),1,0)</f>
        <v>1</v>
      </c>
      <c r="AA723" s="39" t="n">
        <f aca="false">IF(AND(E723&gt;0,B723=10),1,0)</f>
        <v>0</v>
      </c>
      <c r="AB723" s="0" t="str">
        <f aca="false">IF(AND(C722=C723,Y722=Y723-1),Z722,"")</f>
        <v/>
      </c>
      <c r="AC723" s="0" t="str">
        <f aca="false">IF(AND(C722=C723,Y722=Y723-1),AA722,"")</f>
        <v/>
      </c>
      <c r="AD723" s="0" t="str">
        <f aca="false">IF(Y723=1,"",IF(AND(Z723=1,AB723&lt;&gt;1),1,0))</f>
        <v/>
      </c>
      <c r="AE723" s="0" t="str">
        <f aca="false">IF(Y723=1,"",IF(AND(AA723=1,AC723&lt;&gt;1),1,0))</f>
        <v/>
      </c>
      <c r="AF723" s="45" t="str">
        <f aca="false">IF(AND(E723&gt;0,Y723&lt;1,NOT(AND(C724=C723,Y724=Y723+1))),INDEX(DATAS,Y723+1),"")</f>
        <v/>
      </c>
      <c r="AG723" s="45" t="str">
        <f aca="false">IF(AND(AA723=1,Y723&lt;1),IF(AND(C724=C723,Y724=Y723+1),IF(AA724=1,"",INDEX(DATAS,Y723+1)),INDEX(DATAS,Y723+1)),"")</f>
        <v/>
      </c>
    </row>
    <row r="724" customFormat="false" ht="15" hidden="false" customHeight="false" outlineLevel="0" collapsed="false">
      <c r="A724" s="45" t="n">
        <v>46309</v>
      </c>
      <c r="B724" s="0" t="n">
        <v>7</v>
      </c>
      <c r="C724" s="0" t="n">
        <v>4624</v>
      </c>
      <c r="D724" s="0" t="n">
        <v>285</v>
      </c>
      <c r="E724" s="0" t="n">
        <v>2</v>
      </c>
      <c r="F724" s="39" t="s">
        <v>582</v>
      </c>
      <c r="I724" s="39" t="s">
        <v>114</v>
      </c>
      <c r="J724" s="0" t="n">
        <v>69</v>
      </c>
      <c r="K724" s="0" t="n">
        <v>69</v>
      </c>
      <c r="L724" s="0" t="n">
        <v>245</v>
      </c>
      <c r="M724" s="0" t="n">
        <v>744.02</v>
      </c>
      <c r="N724" s="0" t="n">
        <v>43.94</v>
      </c>
      <c r="O724" s="0" t="n">
        <v>19.52</v>
      </c>
      <c r="P724" s="0" t="n">
        <v>4.25</v>
      </c>
      <c r="Q724" s="0" t="n">
        <v>3.67</v>
      </c>
      <c r="R724" s="0" t="n">
        <v>5137</v>
      </c>
      <c r="S724" s="0" t="n">
        <v>9744</v>
      </c>
      <c r="T724" s="0" t="n">
        <v>59.2</v>
      </c>
      <c r="U724" s="0" t="n">
        <v>1302</v>
      </c>
      <c r="V724" s="0" t="n">
        <v>1</v>
      </c>
      <c r="W724" s="39" t="n">
        <f aca="false">IF(I724="Male",0,1)</f>
        <v>1</v>
      </c>
      <c r="X724" s="39" t="n">
        <f aca="false">IF(OR(I724="DNB",I724="Dry DNB"),1,0)</f>
        <v>0</v>
      </c>
      <c r="Y724" s="39" t="n">
        <f aca="false">MATCH(A724,DATAS,0)</f>
        <v>1</v>
      </c>
      <c r="Z724" s="39" t="n">
        <f aca="false">IF(AND(E724&gt;0,OR(AND(B724&gt;=1,B724&lt;=6),B724=10)),1,0)</f>
        <v>0</v>
      </c>
      <c r="AA724" s="39" t="n">
        <f aca="false">IF(AND(E724&gt;0,B724=10),1,0)</f>
        <v>0</v>
      </c>
      <c r="AB724" s="0" t="str">
        <f aca="false">IF(AND(C723=C724,Y723=Y724-1),Z723,"")</f>
        <v/>
      </c>
      <c r="AC724" s="0" t="str">
        <f aca="false">IF(AND(C723=C724,Y723=Y724-1),AA723,"")</f>
        <v/>
      </c>
      <c r="AD724" s="0" t="str">
        <f aca="false">IF(Y724=1,"",IF(AND(Z724=1,AB724&lt;&gt;1),1,0))</f>
        <v/>
      </c>
      <c r="AE724" s="0" t="str">
        <f aca="false">IF(Y724=1,"",IF(AND(AA724=1,AC724&lt;&gt;1),1,0))</f>
        <v/>
      </c>
      <c r="AF724" s="45" t="str">
        <f aca="false">IF(AND(E724&gt;0,Y724&lt;1,NOT(AND(C725=C724,Y725=Y724+1))),INDEX(DATAS,Y724+1),"")</f>
        <v/>
      </c>
      <c r="AG724" s="45" t="str">
        <f aca="false">IF(AND(AA724=1,Y724&lt;1),IF(AND(C725=C724,Y725=Y724+1),IF(AA725=1,"",INDEX(DATAS,Y724+1)),INDEX(DATAS,Y724+1)),"")</f>
        <v/>
      </c>
    </row>
    <row r="725" customFormat="false" ht="15" hidden="false" customHeight="false" outlineLevel="0" collapsed="false">
      <c r="A725" s="45" t="n">
        <v>46309</v>
      </c>
      <c r="B725" s="0" t="n">
        <v>5</v>
      </c>
      <c r="C725" s="0" t="n">
        <v>4625</v>
      </c>
      <c r="D725" s="0" t="n">
        <v>198</v>
      </c>
      <c r="E725" s="0" t="n">
        <v>2</v>
      </c>
      <c r="F725" s="39" t="s">
        <v>582</v>
      </c>
      <c r="G725" s="0" t="n">
        <v>52</v>
      </c>
      <c r="H725" s="0" t="n">
        <v>43</v>
      </c>
      <c r="I725" s="39" t="s">
        <v>146</v>
      </c>
      <c r="J725" s="0" t="n">
        <v>198</v>
      </c>
      <c r="K725" s="0" t="n">
        <v>65</v>
      </c>
      <c r="M725" s="0" t="n">
        <v>404.03</v>
      </c>
      <c r="N725" s="0" t="n">
        <v>59.32</v>
      </c>
      <c r="O725" s="0" t="n">
        <v>29.35</v>
      </c>
      <c r="P725" s="0" t="n">
        <v>5.98</v>
      </c>
      <c r="Q725" s="0" t="n">
        <v>3.78</v>
      </c>
      <c r="R725" s="0" t="n">
        <v>5329</v>
      </c>
      <c r="S725" s="0" t="n">
        <v>9706</v>
      </c>
      <c r="T725" s="0" t="n">
        <v>56.6</v>
      </c>
      <c r="U725" s="0" t="n">
        <v>1302</v>
      </c>
      <c r="V725" s="0" t="n">
        <v>3</v>
      </c>
      <c r="W725" s="39" t="n">
        <f aca="false">IF(I725="Male",0,1)</f>
        <v>1</v>
      </c>
      <c r="X725" s="39" t="n">
        <f aca="false">IF(OR(I725="DNB",I725="Dry DNB"),1,0)</f>
        <v>0</v>
      </c>
      <c r="Y725" s="39" t="n">
        <f aca="false">MATCH(A725,DATAS,0)</f>
        <v>1</v>
      </c>
      <c r="Z725" s="39" t="n">
        <f aca="false">IF(AND(E725&gt;0,OR(AND(B725&gt;=1,B725&lt;=6),B725=10)),1,0)</f>
        <v>1</v>
      </c>
      <c r="AA725" s="39" t="n">
        <f aca="false">IF(AND(E725&gt;0,B725=10),1,0)</f>
        <v>0</v>
      </c>
      <c r="AB725" s="0" t="str">
        <f aca="false">IF(AND(C724=C725,Y724=Y725-1),Z724,"")</f>
        <v/>
      </c>
      <c r="AC725" s="0" t="str">
        <f aca="false">IF(AND(C724=C725,Y724=Y725-1),AA724,"")</f>
        <v/>
      </c>
      <c r="AD725" s="0" t="str">
        <f aca="false">IF(Y725=1,"",IF(AND(Z725=1,AB725&lt;&gt;1),1,0))</f>
        <v/>
      </c>
      <c r="AE725" s="0" t="str">
        <f aca="false">IF(Y725=1,"",IF(AND(AA725=1,AC725&lt;&gt;1),1,0))</f>
        <v/>
      </c>
      <c r="AF725" s="45" t="str">
        <f aca="false">IF(AND(E725&gt;0,Y725&lt;1,NOT(AND(C726=C725,Y726=Y725+1))),INDEX(DATAS,Y725+1),"")</f>
        <v/>
      </c>
      <c r="AG725" s="45" t="str">
        <f aca="false">IF(AND(AA725=1,Y725&lt;1),IF(AND(C726=C725,Y726=Y725+1),IF(AA726=1,"",INDEX(DATAS,Y725+1)),INDEX(DATAS,Y725+1)),"")</f>
        <v/>
      </c>
    </row>
    <row r="726" customFormat="false" ht="15" hidden="false" customHeight="false" outlineLevel="0" collapsed="false">
      <c r="A726" s="45" t="n">
        <v>46309</v>
      </c>
      <c r="B726" s="0" t="n">
        <v>5</v>
      </c>
      <c r="C726" s="0" t="n">
        <v>4626</v>
      </c>
      <c r="D726" s="0" t="n">
        <v>294</v>
      </c>
      <c r="E726" s="0" t="n">
        <v>2</v>
      </c>
      <c r="F726" s="39" t="s">
        <v>582</v>
      </c>
      <c r="G726" s="0" t="n">
        <v>32.3</v>
      </c>
      <c r="H726" s="0" t="n">
        <v>30</v>
      </c>
      <c r="I726" s="39" t="s">
        <v>109</v>
      </c>
      <c r="J726" s="0" t="n">
        <v>98</v>
      </c>
      <c r="K726" s="0" t="n">
        <v>63</v>
      </c>
      <c r="L726" s="0" t="n">
        <v>196</v>
      </c>
      <c r="M726" s="0" t="n">
        <v>-21.41</v>
      </c>
      <c r="N726" s="0" t="n">
        <v>42.41</v>
      </c>
      <c r="O726" s="0" t="n">
        <v>21.78</v>
      </c>
      <c r="P726" s="0" t="n">
        <v>5.34</v>
      </c>
      <c r="Q726" s="0" t="n">
        <v>4.05</v>
      </c>
      <c r="R726" s="0" t="n">
        <v>5132</v>
      </c>
      <c r="S726" s="0" t="n">
        <v>10375</v>
      </c>
      <c r="T726" s="0" t="n">
        <v>54.45</v>
      </c>
      <c r="U726" s="0" t="n">
        <v>1302</v>
      </c>
      <c r="V726" s="0" t="n">
        <v>2</v>
      </c>
      <c r="W726" s="39" t="n">
        <f aca="false">IF(I726="Male",0,1)</f>
        <v>1</v>
      </c>
      <c r="X726" s="39" t="n">
        <f aca="false">IF(OR(I726="DNB",I726="Dry DNB"),1,0)</f>
        <v>0</v>
      </c>
      <c r="Y726" s="39" t="n">
        <f aca="false">MATCH(A726,DATAS,0)</f>
        <v>1</v>
      </c>
      <c r="Z726" s="39" t="n">
        <f aca="false">IF(AND(E726&gt;0,OR(AND(B726&gt;=1,B726&lt;=6),B726=10)),1,0)</f>
        <v>1</v>
      </c>
      <c r="AA726" s="39" t="n">
        <f aca="false">IF(AND(E726&gt;0,B726=10),1,0)</f>
        <v>0</v>
      </c>
      <c r="AB726" s="0" t="str">
        <f aca="false">IF(AND(C725=C726,Y725=Y726-1),Z725,"")</f>
        <v/>
      </c>
      <c r="AC726" s="0" t="str">
        <f aca="false">IF(AND(C725=C726,Y725=Y726-1),AA725,"")</f>
        <v/>
      </c>
      <c r="AD726" s="0" t="str">
        <f aca="false">IF(Y726=1,"",IF(AND(Z726=1,AB726&lt;&gt;1),1,0))</f>
        <v/>
      </c>
      <c r="AE726" s="0" t="str">
        <f aca="false">IF(Y726=1,"",IF(AND(AA726=1,AC726&lt;&gt;1),1,0))</f>
        <v/>
      </c>
      <c r="AF726" s="45" t="str">
        <f aca="false">IF(AND(E726&gt;0,Y726&lt;1,NOT(AND(C727=C726,Y727=Y726+1))),INDEX(DATAS,Y726+1),"")</f>
        <v/>
      </c>
      <c r="AG726" s="45" t="str">
        <f aca="false">IF(AND(AA726=1,Y726&lt;1),IF(AND(C727=C726,Y727=Y726+1),IF(AA727=1,"",INDEX(DATAS,Y726+1)),INDEX(DATAS,Y726+1)),"")</f>
        <v/>
      </c>
    </row>
    <row r="727" customFormat="false" ht="15" hidden="false" customHeight="false" outlineLevel="0" collapsed="false">
      <c r="A727" s="45" t="n">
        <v>46309</v>
      </c>
      <c r="B727" s="0" t="n">
        <v>7</v>
      </c>
      <c r="C727" s="0" t="n">
        <v>4627</v>
      </c>
      <c r="D727" s="0" t="n">
        <v>291</v>
      </c>
      <c r="E727" s="0" t="n">
        <v>2</v>
      </c>
      <c r="F727" s="39" t="s">
        <v>583</v>
      </c>
      <c r="I727" s="39" t="s">
        <v>114</v>
      </c>
      <c r="J727" s="0" t="n">
        <v>68</v>
      </c>
      <c r="K727" s="0" t="n">
        <v>68</v>
      </c>
      <c r="L727" s="0" t="n">
        <v>238</v>
      </c>
      <c r="M727" s="0" t="n">
        <v>229.95</v>
      </c>
      <c r="N727" s="0" t="n">
        <v>35.6</v>
      </c>
      <c r="O727" s="0" t="n">
        <v>23.4</v>
      </c>
      <c r="P727" s="0" t="n">
        <v>4.71</v>
      </c>
      <c r="Q727" s="0" t="n">
        <v>3.82</v>
      </c>
      <c r="R727" s="0" t="n">
        <v>5091</v>
      </c>
      <c r="S727" s="0" t="n">
        <v>9740</v>
      </c>
      <c r="T727" s="0" t="n">
        <v>57.15</v>
      </c>
      <c r="U727" s="0" t="n">
        <v>1301</v>
      </c>
      <c r="V727" s="0" t="n">
        <v>1</v>
      </c>
      <c r="W727" s="39" t="n">
        <f aca="false">IF(I727="Male",0,1)</f>
        <v>1</v>
      </c>
      <c r="X727" s="39" t="n">
        <f aca="false">IF(OR(I727="DNB",I727="Dry DNB"),1,0)</f>
        <v>0</v>
      </c>
      <c r="Y727" s="39" t="n">
        <f aca="false">MATCH(A727,DATAS,0)</f>
        <v>1</v>
      </c>
      <c r="Z727" s="39" t="n">
        <f aca="false">IF(AND(E727&gt;0,OR(AND(B727&gt;=1,B727&lt;=6),B727=10)),1,0)</f>
        <v>0</v>
      </c>
      <c r="AA727" s="39" t="n">
        <f aca="false">IF(AND(E727&gt;0,B727=10),1,0)</f>
        <v>0</v>
      </c>
      <c r="AB727" s="0" t="str">
        <f aca="false">IF(AND(C726=C727,Y726=Y727-1),Z726,"")</f>
        <v/>
      </c>
      <c r="AC727" s="0" t="str">
        <f aca="false">IF(AND(C726=C727,Y726=Y727-1),AA726,"")</f>
        <v/>
      </c>
      <c r="AD727" s="0" t="str">
        <f aca="false">IF(Y727=1,"",IF(AND(Z727=1,AB727&lt;&gt;1),1,0))</f>
        <v/>
      </c>
      <c r="AE727" s="0" t="str">
        <f aca="false">IF(Y727=1,"",IF(AND(AA727=1,AC727&lt;&gt;1),1,0))</f>
        <v/>
      </c>
      <c r="AF727" s="45" t="str">
        <f aca="false">IF(AND(E727&gt;0,Y727&lt;1,NOT(AND(C728=C727,Y728=Y727+1))),INDEX(DATAS,Y727+1),"")</f>
        <v/>
      </c>
      <c r="AG727" s="45" t="str">
        <f aca="false">IF(AND(AA727=1,Y727&lt;1),IF(AND(C728=C727,Y728=Y727+1),IF(AA728=1,"",INDEX(DATAS,Y727+1)),INDEX(DATAS,Y727+1)),"")</f>
        <v/>
      </c>
    </row>
    <row r="728" customFormat="false" ht="15" hidden="false" customHeight="false" outlineLevel="0" collapsed="false">
      <c r="A728" s="45" t="n">
        <v>46309</v>
      </c>
      <c r="B728" s="0" t="n">
        <v>2</v>
      </c>
      <c r="C728" s="0" t="n">
        <v>4628</v>
      </c>
      <c r="D728" s="0" t="n">
        <v>252</v>
      </c>
      <c r="E728" s="0" t="n">
        <v>2</v>
      </c>
      <c r="F728" s="39" t="s">
        <v>583</v>
      </c>
      <c r="G728" s="0" t="n">
        <v>48.8</v>
      </c>
      <c r="H728" s="0" t="n">
        <v>47</v>
      </c>
      <c r="I728" s="39" t="s">
        <v>138</v>
      </c>
      <c r="J728" s="0" t="n">
        <v>252</v>
      </c>
      <c r="K728" s="0" t="n">
        <v>63</v>
      </c>
      <c r="M728" s="0" t="n">
        <v>839.92</v>
      </c>
      <c r="N728" s="0" t="n">
        <v>42.63</v>
      </c>
      <c r="O728" s="0" t="n">
        <v>27.42</v>
      </c>
      <c r="P728" s="0" t="n">
        <v>4.5</v>
      </c>
      <c r="Q728" s="0" t="n">
        <v>3.43</v>
      </c>
      <c r="R728" s="0" t="n">
        <v>5341</v>
      </c>
      <c r="S728" s="0" t="n">
        <v>10951</v>
      </c>
      <c r="T728" s="0" t="n">
        <v>59.6</v>
      </c>
      <c r="U728" s="0" t="n">
        <v>1301</v>
      </c>
      <c r="V728" s="0" t="n">
        <v>5</v>
      </c>
      <c r="W728" s="39" t="n">
        <f aca="false">IF(I728="Male",0,1)</f>
        <v>1</v>
      </c>
      <c r="X728" s="39" t="n">
        <f aca="false">IF(OR(I728="DNB",I728="Dry DNB"),1,0)</f>
        <v>0</v>
      </c>
      <c r="Y728" s="39" t="n">
        <f aca="false">MATCH(A728,DATAS,0)</f>
        <v>1</v>
      </c>
      <c r="Z728" s="39" t="n">
        <f aca="false">IF(AND(E728&gt;0,OR(AND(B728&gt;=1,B728&lt;=6),B728=10)),1,0)</f>
        <v>1</v>
      </c>
      <c r="AA728" s="39" t="n">
        <f aca="false">IF(AND(E728&gt;0,B728=10),1,0)</f>
        <v>0</v>
      </c>
      <c r="AB728" s="0" t="str">
        <f aca="false">IF(AND(C727=C728,Y727=Y728-1),Z727,"")</f>
        <v/>
      </c>
      <c r="AC728" s="0" t="str">
        <f aca="false">IF(AND(C727=C728,Y727=Y728-1),AA727,"")</f>
        <v/>
      </c>
      <c r="AD728" s="0" t="str">
        <f aca="false">IF(Y728=1,"",IF(AND(Z728=1,AB728&lt;&gt;1),1,0))</f>
        <v/>
      </c>
      <c r="AE728" s="0" t="str">
        <f aca="false">IF(Y728=1,"",IF(AND(AA728=1,AC728&lt;&gt;1),1,0))</f>
        <v/>
      </c>
      <c r="AF728" s="45" t="str">
        <f aca="false">IF(AND(E728&gt;0,Y728&lt;1,NOT(AND(C729=C728,Y729=Y728+1))),INDEX(DATAS,Y728+1),"")</f>
        <v/>
      </c>
      <c r="AG728" s="45" t="str">
        <f aca="false">IF(AND(AA728=1,Y728&lt;1),IF(AND(C729=C728,Y729=Y728+1),IF(AA729=1,"",INDEX(DATAS,Y728+1)),INDEX(DATAS,Y728+1)),"")</f>
        <v/>
      </c>
    </row>
    <row r="729" customFormat="false" ht="15" hidden="false" customHeight="false" outlineLevel="0" collapsed="false">
      <c r="A729" s="45" t="n">
        <v>46309</v>
      </c>
      <c r="B729" s="0" t="n">
        <v>14</v>
      </c>
      <c r="C729" s="0" t="n">
        <v>4630</v>
      </c>
      <c r="D729" s="0" t="n">
        <v>275</v>
      </c>
      <c r="E729" s="0" t="n">
        <v>2</v>
      </c>
      <c r="F729" s="39" t="s">
        <v>584</v>
      </c>
      <c r="I729" s="39" t="s">
        <v>114</v>
      </c>
      <c r="J729" s="0" t="n">
        <v>66</v>
      </c>
      <c r="K729" s="0" t="n">
        <v>73</v>
      </c>
      <c r="L729" s="0" t="n">
        <v>266</v>
      </c>
      <c r="M729" s="0" t="n">
        <v>376.51</v>
      </c>
      <c r="N729" s="0" t="n">
        <v>6.45</v>
      </c>
      <c r="O729" s="0" t="n">
        <v>10.47</v>
      </c>
      <c r="P729" s="0" t="n">
        <v>4.46</v>
      </c>
      <c r="Q729" s="0" t="n">
        <v>3.45</v>
      </c>
      <c r="R729" s="0" t="n">
        <v>1812</v>
      </c>
      <c r="S729" s="0" t="n">
        <v>4068</v>
      </c>
      <c r="T729" s="0" t="n">
        <v>19.5</v>
      </c>
      <c r="U729" s="0" t="n">
        <v>1295</v>
      </c>
      <c r="V729" s="0" t="n">
        <v>1</v>
      </c>
      <c r="W729" s="39" t="n">
        <f aca="false">IF(I729="Male",0,1)</f>
        <v>1</v>
      </c>
      <c r="X729" s="39" t="n">
        <f aca="false">IF(OR(I729="DNB",I729="Dry DNB"),1,0)</f>
        <v>0</v>
      </c>
      <c r="Y729" s="39" t="n">
        <f aca="false">MATCH(A729,DATAS,0)</f>
        <v>1</v>
      </c>
      <c r="Z729" s="39" t="n">
        <f aca="false">IF(AND(E729&gt;0,OR(AND(B729&gt;=1,B729&lt;=6),B729=10)),1,0)</f>
        <v>0</v>
      </c>
      <c r="AA729" s="39" t="n">
        <f aca="false">IF(AND(E729&gt;0,B729=10),1,0)</f>
        <v>0</v>
      </c>
      <c r="AB729" s="0" t="str">
        <f aca="false">IF(AND(C728=C729,Y728=Y729-1),Z728,"")</f>
        <v/>
      </c>
      <c r="AC729" s="0" t="str">
        <f aca="false">IF(AND(C728=C729,Y728=Y729-1),AA728,"")</f>
        <v/>
      </c>
      <c r="AD729" s="0" t="str">
        <f aca="false">IF(Y729=1,"",IF(AND(Z729=1,AB729&lt;&gt;1),1,0))</f>
        <v/>
      </c>
      <c r="AE729" s="0" t="str">
        <f aca="false">IF(Y729=1,"",IF(AND(AA729=1,AC729&lt;&gt;1),1,0))</f>
        <v/>
      </c>
      <c r="AF729" s="45" t="str">
        <f aca="false">IF(AND(E729&gt;0,Y729&lt;1,NOT(AND(C730=C729,Y730=Y729+1))),INDEX(DATAS,Y729+1),"")</f>
        <v/>
      </c>
      <c r="AG729" s="45" t="str">
        <f aca="false">IF(AND(AA729=1,Y729&lt;1),IF(AND(C730=C729,Y730=Y729+1),IF(AA730=1,"",INDEX(DATAS,Y729+1)),INDEX(DATAS,Y729+1)),"")</f>
        <v/>
      </c>
    </row>
    <row r="730" customFormat="false" ht="15" hidden="false" customHeight="false" outlineLevel="0" collapsed="false">
      <c r="A730" s="45" t="n">
        <v>46309</v>
      </c>
      <c r="B730" s="0" t="n">
        <v>7</v>
      </c>
      <c r="C730" s="0" t="n">
        <v>4631</v>
      </c>
      <c r="D730" s="0" t="n">
        <v>260</v>
      </c>
      <c r="E730" s="0" t="n">
        <v>2</v>
      </c>
      <c r="F730" s="39" t="s">
        <v>585</v>
      </c>
      <c r="I730" s="39" t="s">
        <v>114</v>
      </c>
      <c r="J730" s="0" t="n">
        <v>153</v>
      </c>
      <c r="K730" s="0" t="n">
        <v>86</v>
      </c>
      <c r="L730" s="0" t="n">
        <v>129</v>
      </c>
      <c r="M730" s="0" t="n">
        <v>1243.44</v>
      </c>
      <c r="N730" s="0" t="n">
        <v>53.53</v>
      </c>
      <c r="O730" s="0" t="n">
        <v>57.93</v>
      </c>
      <c r="P730" s="0" t="n">
        <v>5.29</v>
      </c>
      <c r="Q730" s="0" t="n">
        <v>4.67</v>
      </c>
      <c r="R730" s="0" t="n">
        <v>3962</v>
      </c>
      <c r="S730" s="0" t="n">
        <v>8435</v>
      </c>
      <c r="T730" s="0" t="n">
        <v>42.35</v>
      </c>
      <c r="U730" s="0" t="n">
        <v>1294</v>
      </c>
      <c r="V730" s="0" t="n">
        <v>3</v>
      </c>
      <c r="W730" s="39" t="n">
        <f aca="false">IF(I730="Male",0,1)</f>
        <v>1</v>
      </c>
      <c r="X730" s="39" t="n">
        <f aca="false">IF(OR(I730="DNB",I730="Dry DNB"),1,0)</f>
        <v>0</v>
      </c>
      <c r="Y730" s="39" t="n">
        <f aca="false">MATCH(A730,DATAS,0)</f>
        <v>1</v>
      </c>
      <c r="Z730" s="39" t="n">
        <f aca="false">IF(AND(E730&gt;0,OR(AND(B730&gt;=1,B730&lt;=6),B730=10)),1,0)</f>
        <v>0</v>
      </c>
      <c r="AA730" s="39" t="n">
        <f aca="false">IF(AND(E730&gt;0,B730=10),1,0)</f>
        <v>0</v>
      </c>
      <c r="AB730" s="0" t="str">
        <f aca="false">IF(AND(C729=C730,Y729=Y730-1),Z729,"")</f>
        <v/>
      </c>
      <c r="AC730" s="0" t="str">
        <f aca="false">IF(AND(C729=C730,Y729=Y730-1),AA729,"")</f>
        <v/>
      </c>
      <c r="AD730" s="0" t="str">
        <f aca="false">IF(Y730=1,"",IF(AND(Z730=1,AB730&lt;&gt;1),1,0))</f>
        <v/>
      </c>
      <c r="AE730" s="0" t="str">
        <f aca="false">IF(Y730=1,"",IF(AND(AA730=1,AC730&lt;&gt;1),1,0))</f>
        <v/>
      </c>
      <c r="AF730" s="45" t="str">
        <f aca="false">IF(AND(E730&gt;0,Y730&lt;1,NOT(AND(C731=C730,Y731=Y730+1))),INDEX(DATAS,Y730+1),"")</f>
        <v/>
      </c>
      <c r="AG730" s="45" t="str">
        <f aca="false">IF(AND(AA730=1,Y730&lt;1),IF(AND(C731=C730,Y731=Y730+1),IF(AA731=1,"",INDEX(DATAS,Y730+1)),INDEX(DATAS,Y730+1)),"")</f>
        <v/>
      </c>
    </row>
    <row r="731" customFormat="false" ht="15" hidden="false" customHeight="false" outlineLevel="0" collapsed="false">
      <c r="A731" s="45" t="n">
        <v>46309</v>
      </c>
      <c r="B731" s="0" t="n">
        <v>2</v>
      </c>
      <c r="C731" s="0" t="n">
        <v>4634</v>
      </c>
      <c r="D731" s="0" t="n">
        <v>287</v>
      </c>
      <c r="E731" s="0" t="n">
        <v>2</v>
      </c>
      <c r="F731" s="39" t="s">
        <v>586</v>
      </c>
      <c r="G731" s="0" t="n">
        <v>46.5</v>
      </c>
      <c r="H731" s="0" t="n">
        <v>47</v>
      </c>
      <c r="I731" s="39" t="s">
        <v>109</v>
      </c>
      <c r="J731" s="0" t="n">
        <v>211</v>
      </c>
      <c r="K731" s="0" t="n">
        <v>63</v>
      </c>
      <c r="L731" s="0" t="n">
        <v>76</v>
      </c>
      <c r="M731" s="0" t="n">
        <v>1374.73</v>
      </c>
      <c r="N731" s="0" t="n">
        <v>73.01</v>
      </c>
      <c r="O731" s="0" t="n">
        <v>45.41</v>
      </c>
      <c r="P731" s="0" t="n">
        <v>4.5</v>
      </c>
      <c r="Q731" s="0" t="n">
        <v>3.91</v>
      </c>
      <c r="R731" s="0" t="n">
        <v>6082</v>
      </c>
      <c r="S731" s="0" t="n">
        <v>11336</v>
      </c>
      <c r="T731" s="0" t="n">
        <v>66.45</v>
      </c>
      <c r="U731" s="0" t="n">
        <v>1290</v>
      </c>
      <c r="V731" s="0" t="n">
        <v>5</v>
      </c>
      <c r="W731" s="39" t="n">
        <f aca="false">IF(I731="Male",0,1)</f>
        <v>1</v>
      </c>
      <c r="X731" s="39" t="n">
        <f aca="false">IF(OR(I731="DNB",I731="Dry DNB"),1,0)</f>
        <v>0</v>
      </c>
      <c r="Y731" s="39" t="n">
        <f aca="false">MATCH(A731,DATAS,0)</f>
        <v>1</v>
      </c>
      <c r="Z731" s="39" t="n">
        <f aca="false">IF(AND(E731&gt;0,OR(AND(B731&gt;=1,B731&lt;=6),B731=10)),1,0)</f>
        <v>1</v>
      </c>
      <c r="AA731" s="39" t="n">
        <f aca="false">IF(AND(E731&gt;0,B731=10),1,0)</f>
        <v>0</v>
      </c>
      <c r="AB731" s="0" t="str">
        <f aca="false">IF(AND(C730=C731,Y730=Y731-1),Z730,"")</f>
        <v/>
      </c>
      <c r="AC731" s="0" t="str">
        <f aca="false">IF(AND(C730=C731,Y730=Y731-1),AA730,"")</f>
        <v/>
      </c>
      <c r="AD731" s="0" t="str">
        <f aca="false">IF(Y731=1,"",IF(AND(Z731=1,AB731&lt;&gt;1),1,0))</f>
        <v/>
      </c>
      <c r="AE731" s="0" t="str">
        <f aca="false">IF(Y731=1,"",IF(AND(AA731=1,AC731&lt;&gt;1),1,0))</f>
        <v/>
      </c>
      <c r="AF731" s="45" t="str">
        <f aca="false">IF(AND(E731&gt;0,Y731&lt;1,NOT(AND(C732=C731,Y732=Y731+1))),INDEX(DATAS,Y731+1),"")</f>
        <v/>
      </c>
      <c r="AG731" s="45" t="str">
        <f aca="false">IF(AND(AA731=1,Y731&lt;1),IF(AND(C732=C731,Y732=Y731+1),IF(AA732=1,"",INDEX(DATAS,Y731+1)),INDEX(DATAS,Y731+1)),"")</f>
        <v/>
      </c>
    </row>
    <row r="732" customFormat="false" ht="15" hidden="false" customHeight="false" outlineLevel="0" collapsed="false">
      <c r="A732" s="45" t="n">
        <v>46309</v>
      </c>
      <c r="B732" s="0" t="n">
        <v>2</v>
      </c>
      <c r="C732" s="0" t="n">
        <v>4636</v>
      </c>
      <c r="D732" s="0" t="n">
        <v>241</v>
      </c>
      <c r="E732" s="0" t="n">
        <v>2</v>
      </c>
      <c r="F732" s="39" t="s">
        <v>587</v>
      </c>
      <c r="G732" s="0" t="n">
        <v>54</v>
      </c>
      <c r="H732" s="0" t="n">
        <v>51</v>
      </c>
      <c r="I732" s="39" t="s">
        <v>138</v>
      </c>
      <c r="J732" s="0" t="n">
        <v>241</v>
      </c>
      <c r="K732" s="0" t="n">
        <v>66</v>
      </c>
      <c r="M732" s="0" t="n">
        <v>1192.86</v>
      </c>
      <c r="N732" s="0" t="n">
        <v>61.9</v>
      </c>
      <c r="O732" s="0" t="n">
        <v>31.89</v>
      </c>
      <c r="P732" s="0" t="n">
        <v>3.97</v>
      </c>
      <c r="Q732" s="0" t="n">
        <v>3.37</v>
      </c>
      <c r="R732" s="0" t="n">
        <v>4282</v>
      </c>
      <c r="S732" s="0" t="n">
        <v>9898</v>
      </c>
      <c r="T732" s="0" t="n">
        <v>47.2</v>
      </c>
      <c r="U732" s="0" t="n">
        <v>1291</v>
      </c>
      <c r="V732" s="0" t="n">
        <v>6</v>
      </c>
      <c r="W732" s="39" t="n">
        <f aca="false">IF(I732="Male",0,1)</f>
        <v>1</v>
      </c>
      <c r="X732" s="39" t="n">
        <f aca="false">IF(OR(I732="DNB",I732="Dry DNB"),1,0)</f>
        <v>0</v>
      </c>
      <c r="Y732" s="39" t="n">
        <f aca="false">MATCH(A732,DATAS,0)</f>
        <v>1</v>
      </c>
      <c r="Z732" s="39" t="n">
        <f aca="false">IF(AND(E732&gt;0,OR(AND(B732&gt;=1,B732&lt;=6),B732=10)),1,0)</f>
        <v>1</v>
      </c>
      <c r="AA732" s="39" t="n">
        <f aca="false">IF(AND(E732&gt;0,B732=10),1,0)</f>
        <v>0</v>
      </c>
      <c r="AB732" s="0" t="str">
        <f aca="false">IF(AND(C731=C732,Y731=Y732-1),Z731,"")</f>
        <v/>
      </c>
      <c r="AC732" s="0" t="str">
        <f aca="false">IF(AND(C731=C732,Y731=Y732-1),AA731,"")</f>
        <v/>
      </c>
      <c r="AD732" s="0" t="str">
        <f aca="false">IF(Y732=1,"",IF(AND(Z732=1,AB732&lt;&gt;1),1,0))</f>
        <v/>
      </c>
      <c r="AE732" s="0" t="str">
        <f aca="false">IF(Y732=1,"",IF(AND(AA732=1,AC732&lt;&gt;1),1,0))</f>
        <v/>
      </c>
      <c r="AF732" s="45" t="str">
        <f aca="false">IF(AND(E732&gt;0,Y732&lt;1,NOT(AND(C733=C732,Y733=Y732+1))),INDEX(DATAS,Y732+1),"")</f>
        <v/>
      </c>
      <c r="AG732" s="45" t="str">
        <f aca="false">IF(AND(AA732=1,Y732&lt;1),IF(AND(C733=C732,Y733=Y732+1),IF(AA733=1,"",INDEX(DATAS,Y732+1)),INDEX(DATAS,Y732+1)),"")</f>
        <v/>
      </c>
    </row>
    <row r="733" customFormat="false" ht="15" hidden="false" customHeight="false" outlineLevel="0" collapsed="false">
      <c r="A733" s="45" t="n">
        <v>46309</v>
      </c>
      <c r="B733" s="0" t="n">
        <v>2</v>
      </c>
      <c r="C733" s="0" t="n">
        <v>4637</v>
      </c>
      <c r="D733" s="0" t="n">
        <v>133</v>
      </c>
      <c r="E733" s="0" t="n">
        <v>2</v>
      </c>
      <c r="F733" s="39" t="s">
        <v>586</v>
      </c>
      <c r="G733" s="0" t="n">
        <v>49.1</v>
      </c>
      <c r="H733" s="0" t="n">
        <v>53</v>
      </c>
      <c r="I733" s="39" t="s">
        <v>109</v>
      </c>
      <c r="J733" s="0" t="n">
        <v>67</v>
      </c>
      <c r="K733" s="0" t="n">
        <v>67</v>
      </c>
      <c r="L733" s="0" t="n">
        <v>66</v>
      </c>
      <c r="M733" s="0" t="n">
        <v>1557.43</v>
      </c>
      <c r="N733" s="0" t="n">
        <v>46.19</v>
      </c>
      <c r="O733" s="0" t="n">
        <v>47.15</v>
      </c>
      <c r="P733" s="0" t="n">
        <v>3.46</v>
      </c>
      <c r="Q733" s="0" t="n">
        <v>3.39</v>
      </c>
      <c r="R733" s="0" t="n">
        <v>5170</v>
      </c>
      <c r="S733" s="0" t="n">
        <v>10581</v>
      </c>
      <c r="T733" s="0" t="n">
        <v>49.35</v>
      </c>
      <c r="U733" s="0" t="n">
        <v>1290</v>
      </c>
      <c r="V733" s="0" t="n">
        <v>1</v>
      </c>
      <c r="W733" s="39" t="n">
        <f aca="false">IF(I733="Male",0,1)</f>
        <v>1</v>
      </c>
      <c r="X733" s="39" t="n">
        <f aca="false">IF(OR(I733="DNB",I733="Dry DNB"),1,0)</f>
        <v>0</v>
      </c>
      <c r="Y733" s="39" t="n">
        <f aca="false">MATCH(A733,DATAS,0)</f>
        <v>1</v>
      </c>
      <c r="Z733" s="39" t="n">
        <f aca="false">IF(AND(E733&gt;0,OR(AND(B733&gt;=1,B733&lt;=6),B733=10)),1,0)</f>
        <v>1</v>
      </c>
      <c r="AA733" s="39" t="n">
        <f aca="false">IF(AND(E733&gt;0,B733=10),1,0)</f>
        <v>0</v>
      </c>
      <c r="AB733" s="0" t="str">
        <f aca="false">IF(AND(C732=C733,Y732=Y733-1),Z732,"")</f>
        <v/>
      </c>
      <c r="AC733" s="0" t="str">
        <f aca="false">IF(AND(C732=C733,Y732=Y733-1),AA732,"")</f>
        <v/>
      </c>
      <c r="AD733" s="0" t="str">
        <f aca="false">IF(Y733=1,"",IF(AND(Z733=1,AB733&lt;&gt;1),1,0))</f>
        <v/>
      </c>
      <c r="AE733" s="0" t="str">
        <f aca="false">IF(Y733=1,"",IF(AND(AA733=1,AC733&lt;&gt;1),1,0))</f>
        <v/>
      </c>
      <c r="AF733" s="45" t="str">
        <f aca="false">IF(AND(E733&gt;0,Y733&lt;1,NOT(AND(C734=C733,Y734=Y733+1))),INDEX(DATAS,Y733+1),"")</f>
        <v/>
      </c>
      <c r="AG733" s="45" t="str">
        <f aca="false">IF(AND(AA733=1,Y733&lt;1),IF(AND(C734=C733,Y734=Y733+1),IF(AA734=1,"",INDEX(DATAS,Y733+1)),INDEX(DATAS,Y733+1)),"")</f>
        <v/>
      </c>
    </row>
    <row r="734" customFormat="false" ht="15" hidden="false" customHeight="false" outlineLevel="0" collapsed="false">
      <c r="A734" s="45" t="n">
        <v>46309</v>
      </c>
      <c r="B734" s="0" t="n">
        <v>2</v>
      </c>
      <c r="C734" s="0" t="n">
        <v>4638</v>
      </c>
      <c r="D734" s="0" t="n">
        <v>288</v>
      </c>
      <c r="E734" s="0" t="n">
        <v>2</v>
      </c>
      <c r="F734" s="39" t="s">
        <v>588</v>
      </c>
      <c r="G734" s="0" t="n">
        <v>47.7</v>
      </c>
      <c r="H734" s="0" t="n">
        <v>46</v>
      </c>
      <c r="I734" s="39" t="s">
        <v>109</v>
      </c>
      <c r="J734" s="0" t="n">
        <v>134</v>
      </c>
      <c r="K734" s="0" t="n">
        <v>64</v>
      </c>
      <c r="L734" s="0" t="n">
        <v>154</v>
      </c>
      <c r="M734" s="0" t="n">
        <v>240.3</v>
      </c>
      <c r="N734" s="0" t="n">
        <v>43.67</v>
      </c>
      <c r="O734" s="0" t="n">
        <v>31.24</v>
      </c>
      <c r="P734" s="0" t="n">
        <v>3.1</v>
      </c>
      <c r="Q734" s="0" t="n">
        <v>4.06</v>
      </c>
      <c r="R734" s="0" t="n">
        <v>5809</v>
      </c>
      <c r="S734" s="0" t="n">
        <v>11123</v>
      </c>
      <c r="T734" s="0" t="n">
        <v>62.75</v>
      </c>
      <c r="U734" s="0" t="n">
        <v>1289</v>
      </c>
      <c r="V734" s="0" t="n">
        <v>3</v>
      </c>
      <c r="W734" s="39" t="n">
        <f aca="false">IF(I734="Male",0,1)</f>
        <v>1</v>
      </c>
      <c r="X734" s="39" t="n">
        <f aca="false">IF(OR(I734="DNB",I734="Dry DNB"),1,0)</f>
        <v>0</v>
      </c>
      <c r="Y734" s="39" t="n">
        <f aca="false">MATCH(A734,DATAS,0)</f>
        <v>1</v>
      </c>
      <c r="Z734" s="39" t="n">
        <f aca="false">IF(AND(E734&gt;0,OR(AND(B734&gt;=1,B734&lt;=6),B734=10)),1,0)</f>
        <v>1</v>
      </c>
      <c r="AA734" s="39" t="n">
        <f aca="false">IF(AND(E734&gt;0,B734=10),1,0)</f>
        <v>0</v>
      </c>
      <c r="AB734" s="0" t="str">
        <f aca="false">IF(AND(C733=C734,Y733=Y734-1),Z733,"")</f>
        <v/>
      </c>
      <c r="AC734" s="0" t="str">
        <f aca="false">IF(AND(C733=C734,Y733=Y734-1),AA733,"")</f>
        <v/>
      </c>
      <c r="AD734" s="0" t="str">
        <f aca="false">IF(Y734=1,"",IF(AND(Z734=1,AB734&lt;&gt;1),1,0))</f>
        <v/>
      </c>
      <c r="AE734" s="0" t="str">
        <f aca="false">IF(Y734=1,"",IF(AND(AA734=1,AC734&lt;&gt;1),1,0))</f>
        <v/>
      </c>
      <c r="AF734" s="45" t="str">
        <f aca="false">IF(AND(E734&gt;0,Y734&lt;1,NOT(AND(C735=C734,Y735=Y734+1))),INDEX(DATAS,Y734+1),"")</f>
        <v/>
      </c>
      <c r="AG734" s="45" t="str">
        <f aca="false">IF(AND(AA734=1,Y734&lt;1),IF(AND(C735=C734,Y735=Y734+1),IF(AA735=1,"",INDEX(DATAS,Y734+1)),INDEX(DATAS,Y734+1)),"")</f>
        <v/>
      </c>
    </row>
    <row r="735" customFormat="false" ht="15" hidden="false" customHeight="false" outlineLevel="0" collapsed="false">
      <c r="A735" s="45" t="n">
        <v>46309</v>
      </c>
      <c r="B735" s="0" t="n">
        <v>3</v>
      </c>
      <c r="C735" s="0" t="n">
        <v>4639</v>
      </c>
      <c r="D735" s="0" t="n">
        <v>198</v>
      </c>
      <c r="E735" s="0" t="n">
        <v>2</v>
      </c>
      <c r="F735" s="39" t="s">
        <v>588</v>
      </c>
      <c r="G735" s="0" t="n">
        <v>39.5</v>
      </c>
      <c r="H735" s="0" t="n">
        <v>44</v>
      </c>
      <c r="I735" s="39" t="s">
        <v>138</v>
      </c>
      <c r="J735" s="0" t="n">
        <v>198</v>
      </c>
      <c r="K735" s="0" t="n">
        <v>65</v>
      </c>
      <c r="M735" s="0" t="n">
        <v>824.99</v>
      </c>
      <c r="N735" s="0" t="n">
        <v>46.32</v>
      </c>
      <c r="O735" s="0" t="n">
        <v>32.81</v>
      </c>
      <c r="P735" s="0" t="n">
        <v>3.29</v>
      </c>
      <c r="Q735" s="0" t="n">
        <v>3.46</v>
      </c>
      <c r="R735" s="0" t="n">
        <v>5521</v>
      </c>
      <c r="S735" s="0" t="n">
        <v>10970</v>
      </c>
      <c r="T735" s="0" t="n">
        <v>63.4</v>
      </c>
      <c r="U735" s="0" t="n">
        <v>1289</v>
      </c>
      <c r="V735" s="0" t="n">
        <v>4</v>
      </c>
      <c r="W735" s="39" t="n">
        <f aca="false">IF(I735="Male",0,1)</f>
        <v>1</v>
      </c>
      <c r="X735" s="39" t="n">
        <f aca="false">IF(OR(I735="DNB",I735="Dry DNB"),1,0)</f>
        <v>0</v>
      </c>
      <c r="Y735" s="39" t="n">
        <f aca="false">MATCH(A735,DATAS,0)</f>
        <v>1</v>
      </c>
      <c r="Z735" s="39" t="n">
        <f aca="false">IF(AND(E735&gt;0,OR(AND(B735&gt;=1,B735&lt;=6),B735=10)),1,0)</f>
        <v>1</v>
      </c>
      <c r="AA735" s="39" t="n">
        <f aca="false">IF(AND(E735&gt;0,B735=10),1,0)</f>
        <v>0</v>
      </c>
      <c r="AB735" s="0" t="str">
        <f aca="false">IF(AND(C734=C735,Y734=Y735-1),Z734,"")</f>
        <v/>
      </c>
      <c r="AC735" s="0" t="str">
        <f aca="false">IF(AND(C734=C735,Y734=Y735-1),AA734,"")</f>
        <v/>
      </c>
      <c r="AD735" s="0" t="str">
        <f aca="false">IF(Y735=1,"",IF(AND(Z735=1,AB735&lt;&gt;1),1,0))</f>
        <v/>
      </c>
      <c r="AE735" s="0" t="str">
        <f aca="false">IF(Y735=1,"",IF(AND(AA735=1,AC735&lt;&gt;1),1,0))</f>
        <v/>
      </c>
      <c r="AF735" s="45" t="str">
        <f aca="false">IF(AND(E735&gt;0,Y735&lt;1,NOT(AND(C736=C735,Y736=Y735+1))),INDEX(DATAS,Y735+1),"")</f>
        <v/>
      </c>
      <c r="AG735" s="45" t="str">
        <f aca="false">IF(AND(AA735=1,Y735&lt;1),IF(AND(C736=C735,Y736=Y735+1),IF(AA736=1,"",INDEX(DATAS,Y735+1)),INDEX(DATAS,Y735+1)),"")</f>
        <v/>
      </c>
    </row>
    <row r="736" customFormat="false" ht="15" hidden="false" customHeight="false" outlineLevel="0" collapsed="false">
      <c r="A736" s="45" t="n">
        <v>46309</v>
      </c>
      <c r="B736" s="0" t="n">
        <v>5</v>
      </c>
      <c r="C736" s="0" t="n">
        <v>4640</v>
      </c>
      <c r="D736" s="0" t="n">
        <v>270</v>
      </c>
      <c r="E736" s="0" t="n">
        <v>2</v>
      </c>
      <c r="F736" s="39" t="s">
        <v>588</v>
      </c>
      <c r="G736" s="0" t="n">
        <v>41.5</v>
      </c>
      <c r="H736" s="0" t="n">
        <v>38</v>
      </c>
      <c r="I736" s="39" t="s">
        <v>109</v>
      </c>
      <c r="J736" s="0" t="n">
        <v>235</v>
      </c>
      <c r="K736" s="0" t="n">
        <v>67</v>
      </c>
      <c r="L736" s="0" t="n">
        <v>35</v>
      </c>
      <c r="M736" s="0" t="n">
        <v>592.75</v>
      </c>
      <c r="N736" s="0" t="n">
        <v>49.84</v>
      </c>
      <c r="O736" s="0" t="n">
        <v>31.95</v>
      </c>
      <c r="P736" s="0" t="n">
        <v>5.57</v>
      </c>
      <c r="Q736" s="0" t="n">
        <v>4.2</v>
      </c>
      <c r="R736" s="0" t="n">
        <v>4139</v>
      </c>
      <c r="S736" s="0" t="n">
        <v>8518</v>
      </c>
      <c r="T736" s="0" t="n">
        <v>50.05</v>
      </c>
      <c r="U736" s="0" t="n">
        <v>1289</v>
      </c>
      <c r="V736" s="0" t="n">
        <v>5</v>
      </c>
      <c r="W736" s="39" t="n">
        <f aca="false">IF(I736="Male",0,1)</f>
        <v>1</v>
      </c>
      <c r="X736" s="39" t="n">
        <f aca="false">IF(OR(I736="DNB",I736="Dry DNB"),1,0)</f>
        <v>0</v>
      </c>
      <c r="Y736" s="39" t="n">
        <f aca="false">MATCH(A736,DATAS,0)</f>
        <v>1</v>
      </c>
      <c r="Z736" s="39" t="n">
        <f aca="false">IF(AND(E736&gt;0,OR(AND(B736&gt;=1,B736&lt;=6),B736=10)),1,0)</f>
        <v>1</v>
      </c>
      <c r="AA736" s="39" t="n">
        <f aca="false">IF(AND(E736&gt;0,B736=10),1,0)</f>
        <v>0</v>
      </c>
      <c r="AB736" s="0" t="str">
        <f aca="false">IF(AND(C735=C736,Y735=Y736-1),Z735,"")</f>
        <v/>
      </c>
      <c r="AC736" s="0" t="str">
        <f aca="false">IF(AND(C735=C736,Y735=Y736-1),AA735,"")</f>
        <v/>
      </c>
      <c r="AD736" s="0" t="str">
        <f aca="false">IF(Y736=1,"",IF(AND(Z736=1,AB736&lt;&gt;1),1,0))</f>
        <v/>
      </c>
      <c r="AE736" s="0" t="str">
        <f aca="false">IF(Y736=1,"",IF(AND(AA736=1,AC736&lt;&gt;1),1,0))</f>
        <v/>
      </c>
      <c r="AF736" s="45" t="str">
        <f aca="false">IF(AND(E736&gt;0,Y736&lt;1,NOT(AND(C737=C736,Y737=Y736+1))),INDEX(DATAS,Y736+1),"")</f>
        <v/>
      </c>
      <c r="AG736" s="45" t="str">
        <f aca="false">IF(AND(AA736=1,Y736&lt;1),IF(AND(C737=C736,Y737=Y736+1),IF(AA737=1,"",INDEX(DATAS,Y736+1)),INDEX(DATAS,Y736+1)),"")</f>
        <v/>
      </c>
    </row>
    <row r="737" customFormat="false" ht="15" hidden="false" customHeight="false" outlineLevel="0" collapsed="false">
      <c r="A737" s="45" t="n">
        <v>46309</v>
      </c>
      <c r="B737" s="0" t="n">
        <v>5</v>
      </c>
      <c r="C737" s="0" t="n">
        <v>4643</v>
      </c>
      <c r="D737" s="0" t="n">
        <v>190</v>
      </c>
      <c r="E737" s="0" t="n">
        <v>2</v>
      </c>
      <c r="F737" s="39" t="s">
        <v>589</v>
      </c>
      <c r="G737" s="0" t="n">
        <v>33.9</v>
      </c>
      <c r="H737" s="0" t="n">
        <v>31</v>
      </c>
      <c r="I737" s="39" t="s">
        <v>138</v>
      </c>
      <c r="J737" s="0" t="n">
        <v>190</v>
      </c>
      <c r="K737" s="0" t="n">
        <v>64</v>
      </c>
      <c r="M737" s="0" t="n">
        <v>407.05</v>
      </c>
      <c r="N737" s="0" t="n">
        <v>23.25</v>
      </c>
      <c r="O737" s="0" t="n">
        <v>24.79</v>
      </c>
      <c r="P737" s="0" t="n">
        <v>4.77</v>
      </c>
      <c r="Q737" s="0" t="n">
        <v>3.89</v>
      </c>
      <c r="R737" s="0" t="n">
        <v>4230</v>
      </c>
      <c r="S737" s="0" t="n">
        <v>8371</v>
      </c>
      <c r="T737" s="0" t="n">
        <v>46.3</v>
      </c>
      <c r="U737" s="0" t="n">
        <v>1288</v>
      </c>
      <c r="V737" s="0" t="n">
        <v>3</v>
      </c>
      <c r="W737" s="39" t="n">
        <f aca="false">IF(I737="Male",0,1)</f>
        <v>1</v>
      </c>
      <c r="X737" s="39" t="n">
        <f aca="false">IF(OR(I737="DNB",I737="Dry DNB"),1,0)</f>
        <v>0</v>
      </c>
      <c r="Y737" s="39" t="n">
        <f aca="false">MATCH(A737,DATAS,0)</f>
        <v>1</v>
      </c>
      <c r="Z737" s="39" t="n">
        <f aca="false">IF(AND(E737&gt;0,OR(AND(B737&gt;=1,B737&lt;=6),B737=10)),1,0)</f>
        <v>1</v>
      </c>
      <c r="AA737" s="39" t="n">
        <f aca="false">IF(AND(E737&gt;0,B737=10),1,0)</f>
        <v>0</v>
      </c>
      <c r="AB737" s="0" t="str">
        <f aca="false">IF(AND(C736=C737,Y736=Y737-1),Z736,"")</f>
        <v/>
      </c>
      <c r="AC737" s="0" t="str">
        <f aca="false">IF(AND(C736=C737,Y736=Y737-1),AA736,"")</f>
        <v/>
      </c>
      <c r="AD737" s="0" t="str">
        <f aca="false">IF(Y737=1,"",IF(AND(Z737=1,AB737&lt;&gt;1),1,0))</f>
        <v/>
      </c>
      <c r="AE737" s="0" t="str">
        <f aca="false">IF(Y737=1,"",IF(AND(AA737=1,AC737&lt;&gt;1),1,0))</f>
        <v/>
      </c>
      <c r="AF737" s="45" t="str">
        <f aca="false">IF(AND(E737&gt;0,Y737&lt;1,NOT(AND(C738=C737,Y738=Y737+1))),INDEX(DATAS,Y737+1),"")</f>
        <v/>
      </c>
      <c r="AG737" s="45" t="str">
        <f aca="false">IF(AND(AA737=1,Y737&lt;1),IF(AND(C738=C737,Y738=Y737+1),IF(AA738=1,"",INDEX(DATAS,Y737+1)),INDEX(DATAS,Y737+1)),"")</f>
        <v/>
      </c>
    </row>
    <row r="738" customFormat="false" ht="15" hidden="false" customHeight="false" outlineLevel="0" collapsed="false">
      <c r="A738" s="45" t="n">
        <v>46309</v>
      </c>
      <c r="B738" s="0" t="n">
        <v>10</v>
      </c>
      <c r="C738" s="0" t="n">
        <v>4644</v>
      </c>
      <c r="D738" s="0" t="n">
        <v>228</v>
      </c>
      <c r="E738" s="0" t="n">
        <v>2</v>
      </c>
      <c r="F738" s="39" t="s">
        <v>589</v>
      </c>
      <c r="H738" s="0" t="n">
        <v>9</v>
      </c>
      <c r="I738" s="39" t="s">
        <v>109</v>
      </c>
      <c r="J738" s="0" t="n">
        <v>67</v>
      </c>
      <c r="K738" s="0" t="n">
        <v>67</v>
      </c>
      <c r="L738" s="0" t="n">
        <v>161</v>
      </c>
      <c r="M738" s="0" t="n">
        <v>456.44</v>
      </c>
      <c r="N738" s="0" t="n">
        <v>63.19</v>
      </c>
      <c r="O738" s="0" t="n">
        <v>34.32</v>
      </c>
      <c r="P738" s="0" t="n">
        <v>3.59</v>
      </c>
      <c r="Q738" s="0" t="n">
        <v>3.5</v>
      </c>
      <c r="R738" s="0" t="n">
        <v>4610</v>
      </c>
      <c r="S738" s="0" t="n">
        <v>10669</v>
      </c>
      <c r="T738" s="0" t="n">
        <v>46.25</v>
      </c>
      <c r="U738" s="0" t="n">
        <v>1288</v>
      </c>
      <c r="V738" s="0" t="n">
        <v>1</v>
      </c>
      <c r="W738" s="39" t="n">
        <f aca="false">IF(I738="Male",0,1)</f>
        <v>1</v>
      </c>
      <c r="X738" s="39" t="n">
        <f aca="false">IF(OR(I738="DNB",I738="Dry DNB"),1,0)</f>
        <v>0</v>
      </c>
      <c r="Y738" s="39" t="n">
        <f aca="false">MATCH(A738,DATAS,0)</f>
        <v>1</v>
      </c>
      <c r="Z738" s="39" t="n">
        <f aca="false">IF(AND(E738&gt;0,OR(AND(B738&gt;=1,B738&lt;=6),B738=10)),1,0)</f>
        <v>1</v>
      </c>
      <c r="AA738" s="39" t="n">
        <f aca="false">IF(AND(E738&gt;0,B738=10),1,0)</f>
        <v>1</v>
      </c>
      <c r="AB738" s="0" t="str">
        <f aca="false">IF(AND(C737=C738,Y737=Y738-1),Z737,"")</f>
        <v/>
      </c>
      <c r="AC738" s="0" t="str">
        <f aca="false">IF(AND(C737=C738,Y737=Y738-1),AA737,"")</f>
        <v/>
      </c>
      <c r="AD738" s="0" t="str">
        <f aca="false">IF(Y738=1,"",IF(AND(Z738=1,AB738&lt;&gt;1),1,0))</f>
        <v/>
      </c>
      <c r="AE738" s="0" t="str">
        <f aca="false">IF(Y738=1,"",IF(AND(AA738=1,AC738&lt;&gt;1),1,0))</f>
        <v/>
      </c>
      <c r="AF738" s="45" t="str">
        <f aca="false">IF(AND(E738&gt;0,Y738&lt;1,NOT(AND(C739=C738,Y739=Y738+1))),INDEX(DATAS,Y738+1),"")</f>
        <v/>
      </c>
      <c r="AG738" s="45" t="str">
        <f aca="false">IF(AND(AA738=1,Y738&lt;1),IF(AND(C739=C738,Y739=Y738+1),IF(AA739=1,"",INDEX(DATAS,Y738+1)),INDEX(DATAS,Y738+1)),"")</f>
        <v/>
      </c>
    </row>
    <row r="739" customFormat="false" ht="15" hidden="false" customHeight="false" outlineLevel="0" collapsed="false">
      <c r="A739" s="45" t="n">
        <v>46309</v>
      </c>
      <c r="B739" s="0" t="n">
        <v>2</v>
      </c>
      <c r="C739" s="0" t="n">
        <v>4646</v>
      </c>
      <c r="D739" s="0" t="n">
        <v>188</v>
      </c>
      <c r="E739" s="0" t="n">
        <v>2</v>
      </c>
      <c r="F739" s="39" t="s">
        <v>589</v>
      </c>
      <c r="G739" s="0" t="n">
        <v>45.1</v>
      </c>
      <c r="H739" s="0" t="n">
        <v>49</v>
      </c>
      <c r="I739" s="39" t="s">
        <v>138</v>
      </c>
      <c r="J739" s="0" t="n">
        <v>188</v>
      </c>
      <c r="K739" s="0" t="n">
        <v>62</v>
      </c>
      <c r="M739" s="0" t="n">
        <v>1302.25</v>
      </c>
      <c r="N739" s="0" t="n">
        <v>72.78</v>
      </c>
      <c r="O739" s="0" t="n">
        <v>45.8</v>
      </c>
      <c r="P739" s="0" t="n">
        <v>4.23</v>
      </c>
      <c r="Q739" s="0" t="n">
        <v>3.41</v>
      </c>
      <c r="R739" s="0" t="n">
        <v>4869</v>
      </c>
      <c r="S739" s="0" t="n">
        <v>9264</v>
      </c>
      <c r="T739" s="0" t="n">
        <v>56.5</v>
      </c>
      <c r="U739" s="0" t="n">
        <v>1288</v>
      </c>
      <c r="V739" s="0" t="n">
        <v>4</v>
      </c>
      <c r="W739" s="39" t="n">
        <f aca="false">IF(I739="Male",0,1)</f>
        <v>1</v>
      </c>
      <c r="X739" s="39" t="n">
        <f aca="false">IF(OR(I739="DNB",I739="Dry DNB"),1,0)</f>
        <v>0</v>
      </c>
      <c r="Y739" s="39" t="n">
        <f aca="false">MATCH(A739,DATAS,0)</f>
        <v>1</v>
      </c>
      <c r="Z739" s="39" t="n">
        <f aca="false">IF(AND(E739&gt;0,OR(AND(B739&gt;=1,B739&lt;=6),B739=10)),1,0)</f>
        <v>1</v>
      </c>
      <c r="AA739" s="39" t="n">
        <f aca="false">IF(AND(E739&gt;0,B739=10),1,0)</f>
        <v>0</v>
      </c>
      <c r="AB739" s="0" t="str">
        <f aca="false">IF(AND(C738=C739,Y738=Y739-1),Z738,"")</f>
        <v/>
      </c>
      <c r="AC739" s="0" t="str">
        <f aca="false">IF(AND(C738=C739,Y738=Y739-1),AA738,"")</f>
        <v/>
      </c>
      <c r="AD739" s="0" t="str">
        <f aca="false">IF(Y739=1,"",IF(AND(Z739=1,AB739&lt;&gt;1),1,0))</f>
        <v/>
      </c>
      <c r="AE739" s="0" t="str">
        <f aca="false">IF(Y739=1,"",IF(AND(AA739=1,AC739&lt;&gt;1),1,0))</f>
        <v/>
      </c>
      <c r="AF739" s="45" t="str">
        <f aca="false">IF(AND(E739&gt;0,Y739&lt;1,NOT(AND(C740=C739,Y740=Y739+1))),INDEX(DATAS,Y739+1),"")</f>
        <v/>
      </c>
      <c r="AG739" s="45" t="str">
        <f aca="false">IF(AND(AA739=1,Y739&lt;1),IF(AND(C740=C739,Y740=Y739+1),IF(AA740=1,"",INDEX(DATAS,Y739+1)),INDEX(DATAS,Y739+1)),"")</f>
        <v/>
      </c>
    </row>
    <row r="740" customFormat="false" ht="15" hidden="false" customHeight="false" outlineLevel="0" collapsed="false">
      <c r="A740" s="45" t="n">
        <v>46309</v>
      </c>
      <c r="B740" s="0" t="n">
        <v>2</v>
      </c>
      <c r="C740" s="0" t="n">
        <v>4647</v>
      </c>
      <c r="D740" s="0" t="n">
        <v>96</v>
      </c>
      <c r="E740" s="0" t="n">
        <v>2</v>
      </c>
      <c r="F740" s="39" t="s">
        <v>590</v>
      </c>
      <c r="G740" s="0" t="n">
        <v>46</v>
      </c>
      <c r="H740" s="0" t="n">
        <v>46</v>
      </c>
      <c r="I740" s="39" t="s">
        <v>146</v>
      </c>
      <c r="J740" s="0" t="n">
        <v>96</v>
      </c>
      <c r="M740" s="0" t="n">
        <v>866.17</v>
      </c>
      <c r="N740" s="0" t="n">
        <v>59.84</v>
      </c>
      <c r="O740" s="0" t="n">
        <v>42.04</v>
      </c>
      <c r="P740" s="0" t="n">
        <v>3.11</v>
      </c>
      <c r="Q740" s="0" t="n">
        <v>3.21</v>
      </c>
      <c r="R740" s="0" t="n">
        <v>4604</v>
      </c>
      <c r="S740" s="0" t="n">
        <v>9256</v>
      </c>
      <c r="T740" s="0" t="n">
        <v>52.15</v>
      </c>
      <c r="U740" s="0" t="n">
        <v>1285</v>
      </c>
      <c r="V740" s="0" t="n">
        <v>0</v>
      </c>
      <c r="W740" s="39" t="n">
        <f aca="false">IF(I740="Male",0,1)</f>
        <v>1</v>
      </c>
      <c r="X740" s="39" t="n">
        <f aca="false">IF(OR(I740="DNB",I740="Dry DNB"),1,0)</f>
        <v>0</v>
      </c>
      <c r="Y740" s="39" t="n">
        <f aca="false">MATCH(A740,DATAS,0)</f>
        <v>1</v>
      </c>
      <c r="Z740" s="39" t="n">
        <f aca="false">IF(AND(E740&gt;0,OR(AND(B740&gt;=1,B740&lt;=6),B740=10)),1,0)</f>
        <v>1</v>
      </c>
      <c r="AA740" s="39" t="n">
        <f aca="false">IF(AND(E740&gt;0,B740=10),1,0)</f>
        <v>0</v>
      </c>
      <c r="AB740" s="0" t="str">
        <f aca="false">IF(AND(C739=C740,Y739=Y740-1),Z739,"")</f>
        <v/>
      </c>
      <c r="AC740" s="0" t="str">
        <f aca="false">IF(AND(C739=C740,Y739=Y740-1),AA739,"")</f>
        <v/>
      </c>
      <c r="AD740" s="0" t="str">
        <f aca="false">IF(Y740=1,"",IF(AND(Z740=1,AB740&lt;&gt;1),1,0))</f>
        <v/>
      </c>
      <c r="AE740" s="0" t="str">
        <f aca="false">IF(Y740=1,"",IF(AND(AA740=1,AC740&lt;&gt;1),1,0))</f>
        <v/>
      </c>
      <c r="AF740" s="45" t="str">
        <f aca="false">IF(AND(E740&gt;0,Y740&lt;1,NOT(AND(C741=C740,Y741=Y740+1))),INDEX(DATAS,Y740+1),"")</f>
        <v/>
      </c>
      <c r="AG740" s="45" t="str">
        <f aca="false">IF(AND(AA740=1,Y740&lt;1),IF(AND(C741=C740,Y741=Y740+1),IF(AA741=1,"",INDEX(DATAS,Y740+1)),INDEX(DATAS,Y740+1)),"")</f>
        <v/>
      </c>
    </row>
    <row r="741" customFormat="false" ht="15" hidden="false" customHeight="false" outlineLevel="0" collapsed="false">
      <c r="A741" s="45" t="n">
        <v>46309</v>
      </c>
      <c r="B741" s="0" t="n">
        <v>5</v>
      </c>
      <c r="C741" s="0" t="n">
        <v>4648</v>
      </c>
      <c r="D741" s="0" t="n">
        <v>324</v>
      </c>
      <c r="E741" s="0" t="n">
        <v>2</v>
      </c>
      <c r="F741" s="39" t="s">
        <v>590</v>
      </c>
      <c r="G741" s="0" t="n">
        <v>39.6</v>
      </c>
      <c r="H741" s="0" t="n">
        <v>35</v>
      </c>
      <c r="I741" s="39" t="s">
        <v>109</v>
      </c>
      <c r="J741" s="0" t="n">
        <v>139</v>
      </c>
      <c r="K741" s="0" t="n">
        <v>65</v>
      </c>
      <c r="L741" s="0" t="n">
        <v>185</v>
      </c>
      <c r="M741" s="0" t="n">
        <v>934.26</v>
      </c>
      <c r="N741" s="0" t="n">
        <v>61.59</v>
      </c>
      <c r="O741" s="0" t="n">
        <v>51.97</v>
      </c>
      <c r="P741" s="0" t="n">
        <v>4.26</v>
      </c>
      <c r="Q741" s="0" t="n">
        <v>4.34</v>
      </c>
      <c r="R741" s="0" t="n">
        <v>5069</v>
      </c>
      <c r="S741" s="0" t="n">
        <v>10329</v>
      </c>
      <c r="T741" s="0" t="n">
        <v>54.15</v>
      </c>
      <c r="U741" s="0" t="n">
        <v>1285</v>
      </c>
      <c r="V741" s="0" t="n">
        <v>3</v>
      </c>
      <c r="W741" s="39" t="n">
        <f aca="false">IF(I741="Male",0,1)</f>
        <v>1</v>
      </c>
      <c r="X741" s="39" t="n">
        <f aca="false">IF(OR(I741="DNB",I741="Dry DNB"),1,0)</f>
        <v>0</v>
      </c>
      <c r="Y741" s="39" t="n">
        <f aca="false">MATCH(A741,DATAS,0)</f>
        <v>1</v>
      </c>
      <c r="Z741" s="39" t="n">
        <f aca="false">IF(AND(E741&gt;0,OR(AND(B741&gt;=1,B741&lt;=6),B741=10)),1,0)</f>
        <v>1</v>
      </c>
      <c r="AA741" s="39" t="n">
        <f aca="false">IF(AND(E741&gt;0,B741=10),1,0)</f>
        <v>0</v>
      </c>
      <c r="AB741" s="0" t="str">
        <f aca="false">IF(AND(C740=C741,Y740=Y741-1),Z740,"")</f>
        <v/>
      </c>
      <c r="AC741" s="0" t="str">
        <f aca="false">IF(AND(C740=C741,Y740=Y741-1),AA740,"")</f>
        <v/>
      </c>
      <c r="AD741" s="0" t="str">
        <f aca="false">IF(Y741=1,"",IF(AND(Z741=1,AB741&lt;&gt;1),1,0))</f>
        <v/>
      </c>
      <c r="AE741" s="0" t="str">
        <f aca="false">IF(Y741=1,"",IF(AND(AA741=1,AC741&lt;&gt;1),1,0))</f>
        <v/>
      </c>
      <c r="AF741" s="45" t="str">
        <f aca="false">IF(AND(E741&gt;0,Y741&lt;1,NOT(AND(C742=C741,Y742=Y741+1))),INDEX(DATAS,Y741+1),"")</f>
        <v/>
      </c>
      <c r="AG741" s="45" t="str">
        <f aca="false">IF(AND(AA741=1,Y741&lt;1),IF(AND(C742=C741,Y742=Y741+1),IF(AA742=1,"",INDEX(DATAS,Y741+1)),INDEX(DATAS,Y741+1)),"")</f>
        <v/>
      </c>
    </row>
    <row r="742" customFormat="false" ht="15" hidden="false" customHeight="false" outlineLevel="0" collapsed="false">
      <c r="A742" s="45" t="n">
        <v>46309</v>
      </c>
      <c r="B742" s="0" t="n">
        <v>6</v>
      </c>
      <c r="C742" s="0" t="n">
        <v>4649</v>
      </c>
      <c r="D742" s="0" t="n">
        <v>629</v>
      </c>
      <c r="E742" s="0" t="n">
        <v>1</v>
      </c>
      <c r="F742" s="39" t="s">
        <v>591</v>
      </c>
      <c r="G742" s="0" t="n">
        <v>23.7</v>
      </c>
      <c r="H742" s="0" t="n">
        <v>23</v>
      </c>
      <c r="I742" s="39" t="s">
        <v>109</v>
      </c>
      <c r="J742" s="0" t="n">
        <v>524</v>
      </c>
      <c r="K742" s="0" t="n">
        <v>70</v>
      </c>
      <c r="L742" s="0" t="n">
        <v>105</v>
      </c>
      <c r="M742" s="0" t="n">
        <v>634.17</v>
      </c>
      <c r="N742" s="0" t="n">
        <v>39.49</v>
      </c>
      <c r="O742" s="0" t="n">
        <v>18.98</v>
      </c>
      <c r="P742" s="0" t="n">
        <v>5.15</v>
      </c>
      <c r="Q742" s="0" t="n">
        <v>3.94</v>
      </c>
      <c r="R742" s="0" t="n">
        <v>2986</v>
      </c>
      <c r="S742" s="0" t="n">
        <v>7016</v>
      </c>
      <c r="T742" s="0" t="n">
        <v>36.6</v>
      </c>
      <c r="U742" s="0" t="n">
        <v>1284</v>
      </c>
      <c r="V742" s="0" t="n">
        <v>9</v>
      </c>
      <c r="W742" s="39" t="n">
        <f aca="false">IF(I742="Male",0,1)</f>
        <v>1</v>
      </c>
      <c r="X742" s="39" t="n">
        <f aca="false">IF(OR(I742="DNB",I742="Dry DNB"),1,0)</f>
        <v>0</v>
      </c>
      <c r="Y742" s="39" t="n">
        <f aca="false">MATCH(A742,DATAS,0)</f>
        <v>1</v>
      </c>
      <c r="Z742" s="39" t="n">
        <f aca="false">IF(AND(E742&gt;0,OR(AND(B742&gt;=1,B742&lt;=6),B742=10)),1,0)</f>
        <v>1</v>
      </c>
      <c r="AA742" s="39" t="n">
        <f aca="false">IF(AND(E742&gt;0,B742=10),1,0)</f>
        <v>0</v>
      </c>
      <c r="AB742" s="0" t="str">
        <f aca="false">IF(AND(C741=C742,Y741=Y742-1),Z741,"")</f>
        <v/>
      </c>
      <c r="AC742" s="0" t="str">
        <f aca="false">IF(AND(C741=C742,Y741=Y742-1),AA741,"")</f>
        <v/>
      </c>
      <c r="AD742" s="0" t="str">
        <f aca="false">IF(Y742=1,"",IF(AND(Z742=1,AB742&lt;&gt;1),1,0))</f>
        <v/>
      </c>
      <c r="AE742" s="0" t="str">
        <f aca="false">IF(Y742=1,"",IF(AND(AA742=1,AC742&lt;&gt;1),1,0))</f>
        <v/>
      </c>
      <c r="AF742" s="45" t="str">
        <f aca="false">IF(AND(E742&gt;0,Y742&lt;1,NOT(AND(C743=C742,Y743=Y742+1))),INDEX(DATAS,Y742+1),"")</f>
        <v/>
      </c>
      <c r="AG742" s="45" t="str">
        <f aca="false">IF(AND(AA742=1,Y742&lt;1),IF(AND(C743=C742,Y743=Y742+1),IF(AA743=1,"",INDEX(DATAS,Y742+1)),INDEX(DATAS,Y742+1)),"")</f>
        <v/>
      </c>
    </row>
    <row r="743" customFormat="false" ht="15" hidden="false" customHeight="false" outlineLevel="0" collapsed="false">
      <c r="A743" s="45" t="n">
        <v>46309</v>
      </c>
      <c r="B743" s="0" t="n">
        <v>5</v>
      </c>
      <c r="C743" s="0" t="n">
        <v>4651</v>
      </c>
      <c r="D743" s="0" t="n">
        <v>621</v>
      </c>
      <c r="E743" s="0" t="n">
        <v>1</v>
      </c>
      <c r="F743" s="39" t="s">
        <v>592</v>
      </c>
      <c r="G743" s="0" t="n">
        <v>36.6</v>
      </c>
      <c r="H743" s="0" t="n">
        <v>37</v>
      </c>
      <c r="I743" s="39" t="s">
        <v>109</v>
      </c>
      <c r="J743" s="0" t="n">
        <v>432</v>
      </c>
      <c r="K743" s="0" t="n">
        <v>62</v>
      </c>
      <c r="L743" s="0" t="n">
        <v>189</v>
      </c>
      <c r="M743" s="0" t="n">
        <v>467.26</v>
      </c>
      <c r="N743" s="0" t="n">
        <v>30.85</v>
      </c>
      <c r="O743" s="0" t="n">
        <v>22.92</v>
      </c>
      <c r="P743" s="0" t="n">
        <v>5.14</v>
      </c>
      <c r="Q743" s="0" t="n">
        <v>4.02</v>
      </c>
      <c r="R743" s="0" t="n">
        <v>4114</v>
      </c>
      <c r="S743" s="0" t="n">
        <v>9004</v>
      </c>
      <c r="T743" s="0" t="n">
        <v>44.75</v>
      </c>
      <c r="U743" s="0" t="n">
        <v>1283</v>
      </c>
      <c r="V743" s="0" t="n">
        <v>11</v>
      </c>
      <c r="W743" s="39" t="n">
        <f aca="false">IF(I743="Male",0,1)</f>
        <v>1</v>
      </c>
      <c r="X743" s="39" t="n">
        <f aca="false">IF(OR(I743="DNB",I743="Dry DNB"),1,0)</f>
        <v>0</v>
      </c>
      <c r="Y743" s="39" t="n">
        <f aca="false">MATCH(A743,DATAS,0)</f>
        <v>1</v>
      </c>
      <c r="Z743" s="39" t="n">
        <f aca="false">IF(AND(E743&gt;0,OR(AND(B743&gt;=1,B743&lt;=6),B743=10)),1,0)</f>
        <v>1</v>
      </c>
      <c r="AA743" s="39" t="n">
        <f aca="false">IF(AND(E743&gt;0,B743=10),1,0)</f>
        <v>0</v>
      </c>
      <c r="AB743" s="0" t="str">
        <f aca="false">IF(AND(C742=C743,Y742=Y743-1),Z742,"")</f>
        <v/>
      </c>
      <c r="AC743" s="0" t="str">
        <f aca="false">IF(AND(C742=C743,Y742=Y743-1),AA742,"")</f>
        <v/>
      </c>
      <c r="AD743" s="0" t="str">
        <f aca="false">IF(Y743=1,"",IF(AND(Z743=1,AB743&lt;&gt;1),1,0))</f>
        <v/>
      </c>
      <c r="AE743" s="0" t="str">
        <f aca="false">IF(Y743=1,"",IF(AND(AA743=1,AC743&lt;&gt;1),1,0))</f>
        <v/>
      </c>
      <c r="AF743" s="45" t="str">
        <f aca="false">IF(AND(E743&gt;0,Y743&lt;1,NOT(AND(C744=C743,Y744=Y743+1))),INDEX(DATAS,Y743+1),"")</f>
        <v/>
      </c>
      <c r="AG743" s="45" t="str">
        <f aca="false">IF(AND(AA743=1,Y743&lt;1),IF(AND(C744=C743,Y744=Y743+1),IF(AA744=1,"",INDEX(DATAS,Y743+1)),INDEX(DATAS,Y743+1)),"")</f>
        <v/>
      </c>
    </row>
    <row r="744" customFormat="false" ht="15" hidden="false" customHeight="false" outlineLevel="0" collapsed="false">
      <c r="A744" s="45" t="n">
        <v>46309</v>
      </c>
      <c r="B744" s="0" t="n">
        <v>2</v>
      </c>
      <c r="C744" s="0" t="n">
        <v>4652</v>
      </c>
      <c r="D744" s="0" t="n">
        <v>231</v>
      </c>
      <c r="E744" s="0" t="n">
        <v>2</v>
      </c>
      <c r="F744" s="39" t="s">
        <v>593</v>
      </c>
      <c r="G744" s="0" t="n">
        <v>51.5</v>
      </c>
      <c r="H744" s="0" t="n">
        <v>51</v>
      </c>
      <c r="I744" s="39" t="s">
        <v>138</v>
      </c>
      <c r="J744" s="0" t="n">
        <v>231</v>
      </c>
      <c r="K744" s="0" t="n">
        <v>63</v>
      </c>
      <c r="M744" s="0" t="n">
        <v>1075.86</v>
      </c>
      <c r="N744" s="0" t="n">
        <v>31.03</v>
      </c>
      <c r="O744" s="0" t="n">
        <v>35.27</v>
      </c>
      <c r="P744" s="0" t="n">
        <v>2.58</v>
      </c>
      <c r="Q744" s="0" t="n">
        <v>3.48</v>
      </c>
      <c r="R744" s="0" t="n">
        <v>5885</v>
      </c>
      <c r="S744" s="0" t="n">
        <v>11715</v>
      </c>
      <c r="T744" s="0" t="n">
        <v>69.45</v>
      </c>
      <c r="U744" s="0" t="n">
        <v>1282</v>
      </c>
      <c r="V744" s="0" t="n">
        <v>6</v>
      </c>
      <c r="W744" s="39" t="n">
        <f aca="false">IF(I744="Male",0,1)</f>
        <v>1</v>
      </c>
      <c r="X744" s="39" t="n">
        <f aca="false">IF(OR(I744="DNB",I744="Dry DNB"),1,0)</f>
        <v>0</v>
      </c>
      <c r="Y744" s="39" t="n">
        <f aca="false">MATCH(A744,DATAS,0)</f>
        <v>1</v>
      </c>
      <c r="Z744" s="39" t="n">
        <f aca="false">IF(AND(E744&gt;0,OR(AND(B744&gt;=1,B744&lt;=6),B744=10)),1,0)</f>
        <v>1</v>
      </c>
      <c r="AA744" s="39" t="n">
        <f aca="false">IF(AND(E744&gt;0,B744=10),1,0)</f>
        <v>0</v>
      </c>
      <c r="AB744" s="0" t="str">
        <f aca="false">IF(AND(C743=C744,Y743=Y744-1),Z743,"")</f>
        <v/>
      </c>
      <c r="AC744" s="0" t="str">
        <f aca="false">IF(AND(C743=C744,Y743=Y744-1),AA743,"")</f>
        <v/>
      </c>
      <c r="AD744" s="0" t="str">
        <f aca="false">IF(Y744=1,"",IF(AND(Z744=1,AB744&lt;&gt;1),1,0))</f>
        <v/>
      </c>
      <c r="AE744" s="0" t="str">
        <f aca="false">IF(Y744=1,"",IF(AND(AA744=1,AC744&lt;&gt;1),1,0))</f>
        <v/>
      </c>
      <c r="AF744" s="45" t="str">
        <f aca="false">IF(AND(E744&gt;0,Y744&lt;1,NOT(AND(C745=C744,Y745=Y744+1))),INDEX(DATAS,Y744+1),"")</f>
        <v/>
      </c>
      <c r="AG744" s="45" t="str">
        <f aca="false">IF(AND(AA744=1,Y744&lt;1),IF(AND(C745=C744,Y745=Y744+1),IF(AA745=1,"",INDEX(DATAS,Y744+1)),INDEX(DATAS,Y744+1)),"")</f>
        <v/>
      </c>
    </row>
    <row r="745" customFormat="false" ht="15" hidden="false" customHeight="false" outlineLevel="0" collapsed="false">
      <c r="A745" s="45" t="n">
        <v>46309</v>
      </c>
      <c r="B745" s="0" t="n">
        <v>5</v>
      </c>
      <c r="C745" s="0" t="n">
        <v>4653</v>
      </c>
      <c r="D745" s="0" t="n">
        <v>294</v>
      </c>
      <c r="E745" s="0" t="n">
        <v>2</v>
      </c>
      <c r="F745" s="39" t="s">
        <v>593</v>
      </c>
      <c r="G745" s="0" t="n">
        <v>37.6</v>
      </c>
      <c r="H745" s="0" t="n">
        <v>37</v>
      </c>
      <c r="I745" s="39" t="s">
        <v>146</v>
      </c>
      <c r="J745" s="0" t="n">
        <v>294</v>
      </c>
      <c r="K745" s="0" t="n">
        <v>70</v>
      </c>
      <c r="M745" s="0" t="n">
        <v>486.88</v>
      </c>
      <c r="N745" s="0" t="n">
        <v>61.26</v>
      </c>
      <c r="O745" s="0" t="n">
        <v>39.69</v>
      </c>
      <c r="P745" s="0" t="n">
        <v>4.16</v>
      </c>
      <c r="Q745" s="0" t="n">
        <v>3.82</v>
      </c>
      <c r="R745" s="0" t="n">
        <v>4193</v>
      </c>
      <c r="S745" s="0" t="n">
        <v>8399</v>
      </c>
      <c r="T745" s="0" t="n">
        <v>47.45</v>
      </c>
      <c r="U745" s="0" t="n">
        <v>1282</v>
      </c>
      <c r="V745" s="0" t="n">
        <v>3</v>
      </c>
      <c r="W745" s="39" t="n">
        <f aca="false">IF(I745="Male",0,1)</f>
        <v>1</v>
      </c>
      <c r="X745" s="39" t="n">
        <f aca="false">IF(OR(I745="DNB",I745="Dry DNB"),1,0)</f>
        <v>0</v>
      </c>
      <c r="Y745" s="39" t="n">
        <f aca="false">MATCH(A745,DATAS,0)</f>
        <v>1</v>
      </c>
      <c r="Z745" s="39" t="n">
        <f aca="false">IF(AND(E745&gt;0,OR(AND(B745&gt;=1,B745&lt;=6),B745=10)),1,0)</f>
        <v>1</v>
      </c>
      <c r="AA745" s="39" t="n">
        <f aca="false">IF(AND(E745&gt;0,B745=10),1,0)</f>
        <v>0</v>
      </c>
      <c r="AB745" s="0" t="str">
        <f aca="false">IF(AND(C744=C745,Y744=Y745-1),Z744,"")</f>
        <v/>
      </c>
      <c r="AC745" s="0" t="str">
        <f aca="false">IF(AND(C744=C745,Y744=Y745-1),AA744,"")</f>
        <v/>
      </c>
      <c r="AD745" s="0" t="str">
        <f aca="false">IF(Y745=1,"",IF(AND(Z745=1,AB745&lt;&gt;1),1,0))</f>
        <v/>
      </c>
      <c r="AE745" s="0" t="str">
        <f aca="false">IF(Y745=1,"",IF(AND(AA745=1,AC745&lt;&gt;1),1,0))</f>
        <v/>
      </c>
      <c r="AF745" s="45" t="str">
        <f aca="false">IF(AND(E745&gt;0,Y745&lt;1,NOT(AND(C746=C745,Y746=Y745+1))),INDEX(DATAS,Y745+1),"")</f>
        <v/>
      </c>
      <c r="AG745" s="45" t="str">
        <f aca="false">IF(AND(AA745=1,Y745&lt;1),IF(AND(C746=C745,Y746=Y745+1),IF(AA746=1,"",INDEX(DATAS,Y745+1)),INDEX(DATAS,Y745+1)),"")</f>
        <v/>
      </c>
    </row>
    <row r="746" customFormat="false" ht="15" hidden="false" customHeight="false" outlineLevel="0" collapsed="false">
      <c r="A746" s="45" t="n">
        <v>46309</v>
      </c>
      <c r="B746" s="0" t="n">
        <v>5</v>
      </c>
      <c r="C746" s="0" t="n">
        <v>4655</v>
      </c>
      <c r="D746" s="0" t="n">
        <v>445</v>
      </c>
      <c r="E746" s="0" t="n">
        <v>1</v>
      </c>
      <c r="F746" s="39" t="s">
        <v>594</v>
      </c>
      <c r="G746" s="0" t="n">
        <v>33.9</v>
      </c>
      <c r="H746" s="0" t="n">
        <v>35</v>
      </c>
      <c r="I746" s="39" t="s">
        <v>109</v>
      </c>
      <c r="J746" s="0" t="n">
        <v>305</v>
      </c>
      <c r="K746" s="0" t="n">
        <v>66</v>
      </c>
      <c r="L746" s="0" t="n">
        <v>140</v>
      </c>
      <c r="M746" s="0" t="n">
        <v>938.74</v>
      </c>
      <c r="N746" s="0" t="n">
        <v>51.11</v>
      </c>
      <c r="O746" s="0" t="n">
        <v>29.39</v>
      </c>
      <c r="P746" s="0" t="n">
        <v>5.22</v>
      </c>
      <c r="Q746" s="0" t="n">
        <v>4.47</v>
      </c>
      <c r="R746" s="0" t="n">
        <v>4955</v>
      </c>
      <c r="S746" s="0" t="n">
        <v>9644</v>
      </c>
      <c r="T746" s="0" t="n">
        <v>56.75</v>
      </c>
      <c r="U746" s="0" t="n">
        <v>1281</v>
      </c>
      <c r="V746" s="0" t="n">
        <v>6</v>
      </c>
      <c r="W746" s="39" t="n">
        <f aca="false">IF(I746="Male",0,1)</f>
        <v>1</v>
      </c>
      <c r="X746" s="39" t="n">
        <f aca="false">IF(OR(I746="DNB",I746="Dry DNB"),1,0)</f>
        <v>0</v>
      </c>
      <c r="Y746" s="39" t="n">
        <f aca="false">MATCH(A746,DATAS,0)</f>
        <v>1</v>
      </c>
      <c r="Z746" s="39" t="n">
        <f aca="false">IF(AND(E746&gt;0,OR(AND(B746&gt;=1,B746&lt;=6),B746=10)),1,0)</f>
        <v>1</v>
      </c>
      <c r="AA746" s="39" t="n">
        <f aca="false">IF(AND(E746&gt;0,B746=10),1,0)</f>
        <v>0</v>
      </c>
      <c r="AB746" s="0" t="str">
        <f aca="false">IF(AND(C745=C746,Y745=Y746-1),Z745,"")</f>
        <v/>
      </c>
      <c r="AC746" s="0" t="str">
        <f aca="false">IF(AND(C745=C746,Y745=Y746-1),AA745,"")</f>
        <v/>
      </c>
      <c r="AD746" s="0" t="str">
        <f aca="false">IF(Y746=1,"",IF(AND(Z746=1,AB746&lt;&gt;1),1,0))</f>
        <v/>
      </c>
      <c r="AE746" s="0" t="str">
        <f aca="false">IF(Y746=1,"",IF(AND(AA746=1,AC746&lt;&gt;1),1,0))</f>
        <v/>
      </c>
      <c r="AF746" s="45" t="str">
        <f aca="false">IF(AND(E746&gt;0,Y746&lt;1,NOT(AND(C747=C746,Y747=Y746+1))),INDEX(DATAS,Y746+1),"")</f>
        <v/>
      </c>
      <c r="AG746" s="45" t="str">
        <f aca="false">IF(AND(AA746=1,Y746&lt;1),IF(AND(C747=C746,Y747=Y746+1),IF(AA747=1,"",INDEX(DATAS,Y746+1)),INDEX(DATAS,Y746+1)),"")</f>
        <v/>
      </c>
    </row>
    <row r="747" customFormat="false" ht="15" hidden="false" customHeight="false" outlineLevel="0" collapsed="false">
      <c r="A747" s="45" t="n">
        <v>46309</v>
      </c>
      <c r="B747" s="0" t="n">
        <v>6</v>
      </c>
      <c r="C747" s="0" t="n">
        <v>4656</v>
      </c>
      <c r="D747" s="0" t="n">
        <v>290</v>
      </c>
      <c r="E747" s="0" t="n">
        <v>2</v>
      </c>
      <c r="F747" s="39" t="s">
        <v>595</v>
      </c>
      <c r="G747" s="0" t="n">
        <v>16.1</v>
      </c>
      <c r="H747" s="0" t="n">
        <v>19</v>
      </c>
      <c r="I747" s="39" t="s">
        <v>138</v>
      </c>
      <c r="J747" s="0" t="n">
        <v>290</v>
      </c>
      <c r="K747" s="0" t="n">
        <v>66</v>
      </c>
      <c r="M747" s="0" t="n">
        <v>214.11</v>
      </c>
      <c r="N747" s="0" t="n">
        <v>60.71</v>
      </c>
      <c r="O747" s="0" t="n">
        <v>37.98</v>
      </c>
      <c r="P747" s="0" t="n">
        <v>5.21</v>
      </c>
      <c r="Q747" s="0" t="n">
        <v>3.92</v>
      </c>
      <c r="R747" s="0" t="n">
        <v>4191</v>
      </c>
      <c r="S747" s="0" t="n">
        <v>9017</v>
      </c>
      <c r="T747" s="0" t="n">
        <v>49.8</v>
      </c>
      <c r="U747" s="0" t="n">
        <v>1280</v>
      </c>
      <c r="V747" s="0" t="n">
        <v>7</v>
      </c>
      <c r="W747" s="39" t="n">
        <f aca="false">IF(I747="Male",0,1)</f>
        <v>1</v>
      </c>
      <c r="X747" s="39" t="n">
        <f aca="false">IF(OR(I747="DNB",I747="Dry DNB"),1,0)</f>
        <v>0</v>
      </c>
      <c r="Y747" s="39" t="n">
        <f aca="false">MATCH(A747,DATAS,0)</f>
        <v>1</v>
      </c>
      <c r="Z747" s="39" t="n">
        <f aca="false">IF(AND(E747&gt;0,OR(AND(B747&gt;=1,B747&lt;=6),B747=10)),1,0)</f>
        <v>1</v>
      </c>
      <c r="AA747" s="39" t="n">
        <f aca="false">IF(AND(E747&gt;0,B747=10),1,0)</f>
        <v>0</v>
      </c>
      <c r="AB747" s="0" t="str">
        <f aca="false">IF(AND(C746=C747,Y746=Y747-1),Z746,"")</f>
        <v/>
      </c>
      <c r="AC747" s="0" t="str">
        <f aca="false">IF(AND(C746=C747,Y746=Y747-1),AA746,"")</f>
        <v/>
      </c>
      <c r="AD747" s="0" t="str">
        <f aca="false">IF(Y747=1,"",IF(AND(Z747=1,AB747&lt;&gt;1),1,0))</f>
        <v/>
      </c>
      <c r="AE747" s="0" t="str">
        <f aca="false">IF(Y747=1,"",IF(AND(AA747=1,AC747&lt;&gt;1),1,0))</f>
        <v/>
      </c>
      <c r="AF747" s="45" t="str">
        <f aca="false">IF(AND(E747&gt;0,Y747&lt;1,NOT(AND(C748=C747,Y748=Y747+1))),INDEX(DATAS,Y747+1),"")</f>
        <v/>
      </c>
      <c r="AG747" s="45" t="str">
        <f aca="false">IF(AND(AA747=1,Y747&lt;1),IF(AND(C748=C747,Y748=Y747+1),IF(AA748=1,"",INDEX(DATAS,Y747+1)),INDEX(DATAS,Y747+1)),"")</f>
        <v/>
      </c>
    </row>
    <row r="748" customFormat="false" ht="15" hidden="false" customHeight="false" outlineLevel="0" collapsed="false">
      <c r="A748" s="45" t="n">
        <v>46309</v>
      </c>
      <c r="B748" s="0" t="n">
        <v>5</v>
      </c>
      <c r="C748" s="0" t="n">
        <v>4658</v>
      </c>
      <c r="D748" s="0" t="n">
        <v>296</v>
      </c>
      <c r="E748" s="0" t="n">
        <v>2</v>
      </c>
      <c r="F748" s="39" t="s">
        <v>595</v>
      </c>
      <c r="G748" s="0" t="n">
        <v>34.5</v>
      </c>
      <c r="H748" s="0" t="n">
        <v>31</v>
      </c>
      <c r="I748" s="39" t="s">
        <v>109</v>
      </c>
      <c r="J748" s="0" t="n">
        <v>107</v>
      </c>
      <c r="K748" s="0" t="n">
        <v>65</v>
      </c>
      <c r="L748" s="0" t="n">
        <v>189</v>
      </c>
      <c r="M748" s="0" t="n">
        <v>495.38</v>
      </c>
      <c r="N748" s="0" t="n">
        <v>88.21</v>
      </c>
      <c r="O748" s="0" t="n">
        <v>30.21</v>
      </c>
      <c r="P748" s="0" t="n">
        <v>7.47</v>
      </c>
      <c r="Q748" s="0" t="n">
        <v>4.4</v>
      </c>
      <c r="R748" s="0" t="n">
        <v>5135</v>
      </c>
      <c r="S748" s="0" t="n">
        <v>9774</v>
      </c>
      <c r="T748" s="0" t="n">
        <v>52.2</v>
      </c>
      <c r="U748" s="0" t="n">
        <v>1280</v>
      </c>
      <c r="V748" s="0" t="n">
        <v>2</v>
      </c>
      <c r="W748" s="39" t="n">
        <f aca="false">IF(I748="Male",0,1)</f>
        <v>1</v>
      </c>
      <c r="X748" s="39" t="n">
        <f aca="false">IF(OR(I748="DNB",I748="Dry DNB"),1,0)</f>
        <v>0</v>
      </c>
      <c r="Y748" s="39" t="n">
        <f aca="false">MATCH(A748,DATAS,0)</f>
        <v>1</v>
      </c>
      <c r="Z748" s="39" t="n">
        <f aca="false">IF(AND(E748&gt;0,OR(AND(B748&gt;=1,B748&lt;=6),B748=10)),1,0)</f>
        <v>1</v>
      </c>
      <c r="AA748" s="39" t="n">
        <f aca="false">IF(AND(E748&gt;0,B748=10),1,0)</f>
        <v>0</v>
      </c>
      <c r="AB748" s="0" t="str">
        <f aca="false">IF(AND(C747=C748,Y747=Y748-1),Z747,"")</f>
        <v/>
      </c>
      <c r="AC748" s="0" t="str">
        <f aca="false">IF(AND(C747=C748,Y747=Y748-1),AA747,"")</f>
        <v/>
      </c>
      <c r="AD748" s="0" t="str">
        <f aca="false">IF(Y748=1,"",IF(AND(Z748=1,AB748&lt;&gt;1),1,0))</f>
        <v/>
      </c>
      <c r="AE748" s="0" t="str">
        <f aca="false">IF(Y748=1,"",IF(AND(AA748=1,AC748&lt;&gt;1),1,0))</f>
        <v/>
      </c>
      <c r="AF748" s="45" t="str">
        <f aca="false">IF(AND(E748&gt;0,Y748&lt;1,NOT(AND(C749=C748,Y749=Y748+1))),INDEX(DATAS,Y748+1),"")</f>
        <v/>
      </c>
      <c r="AG748" s="45" t="str">
        <f aca="false">IF(AND(AA748=1,Y748&lt;1),IF(AND(C749=C748,Y749=Y748+1),IF(AA749=1,"",INDEX(DATAS,Y748+1)),INDEX(DATAS,Y748+1)),"")</f>
        <v/>
      </c>
    </row>
    <row r="749" customFormat="false" ht="15" hidden="false" customHeight="false" outlineLevel="0" collapsed="false">
      <c r="A749" s="45" t="n">
        <v>46309</v>
      </c>
      <c r="B749" s="0" t="n">
        <v>2</v>
      </c>
      <c r="C749" s="0" t="n">
        <v>4659</v>
      </c>
      <c r="D749" s="0" t="n">
        <v>206</v>
      </c>
      <c r="E749" s="0" t="n">
        <v>2</v>
      </c>
      <c r="F749" s="39" t="s">
        <v>596</v>
      </c>
      <c r="G749" s="0" t="n">
        <v>59.6</v>
      </c>
      <c r="H749" s="0" t="n">
        <v>60</v>
      </c>
      <c r="I749" s="39" t="s">
        <v>138</v>
      </c>
      <c r="J749" s="0" t="n">
        <v>206</v>
      </c>
      <c r="K749" s="0" t="n">
        <v>66</v>
      </c>
      <c r="M749" s="0" t="n">
        <v>1349.23</v>
      </c>
      <c r="N749" s="0" t="n">
        <v>31.33</v>
      </c>
      <c r="O749" s="0" t="n">
        <v>47.81</v>
      </c>
      <c r="P749" s="0" t="n">
        <v>4.08</v>
      </c>
      <c r="Q749" s="0" t="n">
        <v>3.82</v>
      </c>
      <c r="R749" s="0" t="n">
        <v>5722</v>
      </c>
      <c r="S749" s="0" t="n">
        <v>11283</v>
      </c>
      <c r="T749" s="0" t="n">
        <v>64.9</v>
      </c>
      <c r="U749" s="0" t="n">
        <v>1279</v>
      </c>
      <c r="V749" s="0" t="n">
        <v>3</v>
      </c>
      <c r="W749" s="39" t="n">
        <f aca="false">IF(I749="Male",0,1)</f>
        <v>1</v>
      </c>
      <c r="X749" s="39" t="n">
        <f aca="false">IF(OR(I749="DNB",I749="Dry DNB"),1,0)</f>
        <v>0</v>
      </c>
      <c r="Y749" s="39" t="n">
        <f aca="false">MATCH(A749,DATAS,0)</f>
        <v>1</v>
      </c>
      <c r="Z749" s="39" t="n">
        <f aca="false">IF(AND(E749&gt;0,OR(AND(B749&gt;=1,B749&lt;=6),B749=10)),1,0)</f>
        <v>1</v>
      </c>
      <c r="AA749" s="39" t="n">
        <f aca="false">IF(AND(E749&gt;0,B749=10),1,0)</f>
        <v>0</v>
      </c>
      <c r="AB749" s="0" t="str">
        <f aca="false">IF(AND(C748=C749,Y748=Y749-1),Z748,"")</f>
        <v/>
      </c>
      <c r="AC749" s="0" t="str">
        <f aca="false">IF(AND(C748=C749,Y748=Y749-1),AA748,"")</f>
        <v/>
      </c>
      <c r="AD749" s="0" t="str">
        <f aca="false">IF(Y749=1,"",IF(AND(Z749=1,AB749&lt;&gt;1),1,0))</f>
        <v/>
      </c>
      <c r="AE749" s="0" t="str">
        <f aca="false">IF(Y749=1,"",IF(AND(AA749=1,AC749&lt;&gt;1),1,0))</f>
        <v/>
      </c>
      <c r="AF749" s="45" t="str">
        <f aca="false">IF(AND(E749&gt;0,Y749&lt;1,NOT(AND(C750=C749,Y750=Y749+1))),INDEX(DATAS,Y749+1),"")</f>
        <v/>
      </c>
      <c r="AG749" s="45" t="str">
        <f aca="false">IF(AND(AA749=1,Y749&lt;1),IF(AND(C750=C749,Y750=Y749+1),IF(AA750=1,"",INDEX(DATAS,Y749+1)),INDEX(DATAS,Y749+1)),"")</f>
        <v/>
      </c>
    </row>
    <row r="750" customFormat="false" ht="15" hidden="false" customHeight="false" outlineLevel="0" collapsed="false">
      <c r="A750" s="45" t="n">
        <v>46309</v>
      </c>
      <c r="B750" s="0" t="n">
        <v>6</v>
      </c>
      <c r="C750" s="0" t="n">
        <v>4660</v>
      </c>
      <c r="D750" s="0" t="n">
        <v>208</v>
      </c>
      <c r="E750" s="0" t="n">
        <v>2</v>
      </c>
      <c r="F750" s="39" t="s">
        <v>596</v>
      </c>
      <c r="G750" s="0" t="n">
        <v>25.4</v>
      </c>
      <c r="H750" s="0" t="n">
        <v>17</v>
      </c>
      <c r="I750" s="39" t="s">
        <v>109</v>
      </c>
      <c r="J750" s="0" t="n">
        <v>145</v>
      </c>
      <c r="K750" s="0" t="n">
        <v>75</v>
      </c>
      <c r="L750" s="0" t="n">
        <v>63</v>
      </c>
      <c r="M750" s="0" t="n">
        <v>1123</v>
      </c>
      <c r="N750" s="0" t="n">
        <v>61</v>
      </c>
      <c r="O750" s="0" t="n">
        <v>40.6</v>
      </c>
      <c r="P750" s="0" t="n">
        <v>4.83</v>
      </c>
      <c r="Q750" s="0" t="n">
        <v>3.75</v>
      </c>
      <c r="R750" s="0" t="n">
        <v>1970</v>
      </c>
      <c r="S750" s="0" t="n">
        <v>4237</v>
      </c>
      <c r="T750" s="0" t="n">
        <v>14.05</v>
      </c>
      <c r="U750" s="0" t="n">
        <v>1279</v>
      </c>
      <c r="V750" s="0" t="n">
        <v>3</v>
      </c>
      <c r="W750" s="39" t="n">
        <f aca="false">IF(I750="Male",0,1)</f>
        <v>1</v>
      </c>
      <c r="X750" s="39" t="n">
        <f aca="false">IF(OR(I750="DNB",I750="Dry DNB"),1,0)</f>
        <v>0</v>
      </c>
      <c r="Y750" s="39" t="n">
        <f aca="false">MATCH(A750,DATAS,0)</f>
        <v>1</v>
      </c>
      <c r="Z750" s="39" t="n">
        <f aca="false">IF(AND(E750&gt;0,OR(AND(B750&gt;=1,B750&lt;=6),B750=10)),1,0)</f>
        <v>1</v>
      </c>
      <c r="AA750" s="39" t="n">
        <f aca="false">IF(AND(E750&gt;0,B750=10),1,0)</f>
        <v>0</v>
      </c>
      <c r="AB750" s="0" t="str">
        <f aca="false">IF(AND(C749=C750,Y749=Y750-1),Z749,"")</f>
        <v/>
      </c>
      <c r="AC750" s="0" t="str">
        <f aca="false">IF(AND(C749=C750,Y749=Y750-1),AA749,"")</f>
        <v/>
      </c>
      <c r="AD750" s="0" t="str">
        <f aca="false">IF(Y750=1,"",IF(AND(Z750=1,AB750&lt;&gt;1),1,0))</f>
        <v/>
      </c>
      <c r="AE750" s="0" t="str">
        <f aca="false">IF(Y750=1,"",IF(AND(AA750=1,AC750&lt;&gt;1),1,0))</f>
        <v/>
      </c>
      <c r="AF750" s="45" t="str">
        <f aca="false">IF(AND(E750&gt;0,Y750&lt;1,NOT(AND(C751=C750,Y751=Y750+1))),INDEX(DATAS,Y750+1),"")</f>
        <v/>
      </c>
      <c r="AG750" s="45" t="str">
        <f aca="false">IF(AND(AA750=1,Y750&lt;1),IF(AND(C751=C750,Y751=Y750+1),IF(AA751=1,"",INDEX(DATAS,Y750+1)),INDEX(DATAS,Y750+1)),"")</f>
        <v/>
      </c>
    </row>
    <row r="751" customFormat="false" ht="15" hidden="false" customHeight="false" outlineLevel="0" collapsed="false">
      <c r="A751" s="45" t="n">
        <v>46309</v>
      </c>
      <c r="B751" s="0" t="n">
        <v>5</v>
      </c>
      <c r="C751" s="0" t="n">
        <v>4662</v>
      </c>
      <c r="D751" s="0" t="n">
        <v>274</v>
      </c>
      <c r="E751" s="0" t="n">
        <v>2</v>
      </c>
      <c r="F751" s="39" t="s">
        <v>597</v>
      </c>
      <c r="G751" s="0" t="n">
        <v>45.9</v>
      </c>
      <c r="H751" s="0" t="n">
        <v>45</v>
      </c>
      <c r="I751" s="39" t="s">
        <v>138</v>
      </c>
      <c r="J751" s="0" t="n">
        <v>274</v>
      </c>
      <c r="K751" s="0" t="n">
        <v>64</v>
      </c>
      <c r="M751" s="0" t="n">
        <v>1080.13</v>
      </c>
      <c r="N751" s="0" t="n">
        <v>55.04</v>
      </c>
      <c r="O751" s="0" t="n">
        <v>43.2</v>
      </c>
      <c r="P751" s="0" t="n">
        <v>4.69</v>
      </c>
      <c r="Q751" s="0" t="n">
        <v>4.03</v>
      </c>
      <c r="R751" s="0" t="n">
        <v>5683</v>
      </c>
      <c r="S751" s="0" t="n">
        <v>11611</v>
      </c>
      <c r="T751" s="0" t="n">
        <v>62.7</v>
      </c>
      <c r="U751" s="0" t="n">
        <v>1276</v>
      </c>
      <c r="V751" s="0" t="n">
        <v>7</v>
      </c>
      <c r="W751" s="39" t="n">
        <f aca="false">IF(I751="Male",0,1)</f>
        <v>1</v>
      </c>
      <c r="X751" s="39" t="n">
        <f aca="false">IF(OR(I751="DNB",I751="Dry DNB"),1,0)</f>
        <v>0</v>
      </c>
      <c r="Y751" s="39" t="n">
        <f aca="false">MATCH(A751,DATAS,0)</f>
        <v>1</v>
      </c>
      <c r="Z751" s="39" t="n">
        <f aca="false">IF(AND(E751&gt;0,OR(AND(B751&gt;=1,B751&lt;=6),B751=10)),1,0)</f>
        <v>1</v>
      </c>
      <c r="AA751" s="39" t="n">
        <f aca="false">IF(AND(E751&gt;0,B751=10),1,0)</f>
        <v>0</v>
      </c>
      <c r="AB751" s="0" t="str">
        <f aca="false">IF(AND(C750=C751,Y750=Y751-1),Z750,"")</f>
        <v/>
      </c>
      <c r="AC751" s="0" t="str">
        <f aca="false">IF(AND(C750=C751,Y750=Y751-1),AA750,"")</f>
        <v/>
      </c>
      <c r="AD751" s="0" t="str">
        <f aca="false">IF(Y751=1,"",IF(AND(Z751=1,AB751&lt;&gt;1),1,0))</f>
        <v/>
      </c>
      <c r="AE751" s="0" t="str">
        <f aca="false">IF(Y751=1,"",IF(AND(AA751=1,AC751&lt;&gt;1),1,0))</f>
        <v/>
      </c>
      <c r="AF751" s="45" t="str">
        <f aca="false">IF(AND(E751&gt;0,Y751&lt;1,NOT(AND(C752=C751,Y752=Y751+1))),INDEX(DATAS,Y751+1),"")</f>
        <v/>
      </c>
      <c r="AG751" s="45" t="str">
        <f aca="false">IF(AND(AA751=1,Y751&lt;1),IF(AND(C752=C751,Y752=Y751+1),IF(AA752=1,"",INDEX(DATAS,Y751+1)),INDEX(DATAS,Y751+1)),"")</f>
        <v/>
      </c>
    </row>
    <row r="752" customFormat="false" ht="15" hidden="false" customHeight="false" outlineLevel="0" collapsed="false">
      <c r="A752" s="45" t="n">
        <v>46309</v>
      </c>
      <c r="B752" s="0" t="n">
        <v>5</v>
      </c>
      <c r="C752" s="0" t="n">
        <v>4664</v>
      </c>
      <c r="D752" s="0" t="n">
        <v>596</v>
      </c>
      <c r="E752" s="0" t="n">
        <v>1</v>
      </c>
      <c r="F752" s="39" t="s">
        <v>598</v>
      </c>
      <c r="G752" s="0" t="n">
        <v>41.2</v>
      </c>
      <c r="H752" s="0" t="n">
        <v>38</v>
      </c>
      <c r="I752" s="39" t="s">
        <v>96</v>
      </c>
      <c r="J752" s="0" t="n">
        <v>596</v>
      </c>
      <c r="K752" s="0" t="n">
        <v>65</v>
      </c>
      <c r="M752" s="0" t="n">
        <v>989.2</v>
      </c>
      <c r="N752" s="0" t="n">
        <v>73.83</v>
      </c>
      <c r="O752" s="0" t="n">
        <v>39.17</v>
      </c>
      <c r="P752" s="0" t="n">
        <v>4.8</v>
      </c>
      <c r="Q752" s="0" t="n">
        <v>4.09</v>
      </c>
      <c r="R752" s="0" t="n">
        <v>4132</v>
      </c>
      <c r="S752" s="0" t="n">
        <v>8688</v>
      </c>
      <c r="T752" s="0" t="n">
        <v>48.1</v>
      </c>
      <c r="U752" s="0" t="n">
        <v>1275</v>
      </c>
      <c r="V752" s="0" t="n">
        <v>10</v>
      </c>
      <c r="W752" s="39" t="n">
        <f aca="false">IF(I752="Male",0,1)</f>
        <v>1</v>
      </c>
      <c r="X752" s="39" t="n">
        <f aca="false">IF(OR(I752="DNB",I752="Dry DNB"),1,0)</f>
        <v>1</v>
      </c>
      <c r="Y752" s="39" t="n">
        <f aca="false">MATCH(A752,DATAS,0)</f>
        <v>1</v>
      </c>
      <c r="Z752" s="39" t="n">
        <f aca="false">IF(AND(E752&gt;0,OR(AND(B752&gt;=1,B752&lt;=6),B752=10)),1,0)</f>
        <v>1</v>
      </c>
      <c r="AA752" s="39" t="n">
        <f aca="false">IF(AND(E752&gt;0,B752=10),1,0)</f>
        <v>0</v>
      </c>
      <c r="AB752" s="0" t="str">
        <f aca="false">IF(AND(C751=C752,Y751=Y752-1),Z751,"")</f>
        <v/>
      </c>
      <c r="AC752" s="0" t="str">
        <f aca="false">IF(AND(C751=C752,Y751=Y752-1),AA751,"")</f>
        <v/>
      </c>
      <c r="AD752" s="0" t="str">
        <f aca="false">IF(Y752=1,"",IF(AND(Z752=1,AB752&lt;&gt;1),1,0))</f>
        <v/>
      </c>
      <c r="AE752" s="0" t="str">
        <f aca="false">IF(Y752=1,"",IF(AND(AA752=1,AC752&lt;&gt;1),1,0))</f>
        <v/>
      </c>
      <c r="AF752" s="45" t="str">
        <f aca="false">IF(AND(E752&gt;0,Y752&lt;1,NOT(AND(C753=C752,Y753=Y752+1))),INDEX(DATAS,Y752+1),"")</f>
        <v/>
      </c>
      <c r="AG752" s="45" t="str">
        <f aca="false">IF(AND(AA752=1,Y752&lt;1),IF(AND(C753=C752,Y753=Y752+1),IF(AA753=1,"",INDEX(DATAS,Y752+1)),INDEX(DATAS,Y752+1)),"")</f>
        <v/>
      </c>
    </row>
    <row r="753" customFormat="false" ht="15" hidden="false" customHeight="false" outlineLevel="0" collapsed="false">
      <c r="A753" s="45" t="n">
        <v>46309</v>
      </c>
      <c r="B753" s="0" t="n">
        <v>10</v>
      </c>
      <c r="C753" s="0" t="n">
        <v>4665</v>
      </c>
      <c r="D753" s="0" t="n">
        <v>294</v>
      </c>
      <c r="E753" s="0" t="n">
        <v>2</v>
      </c>
      <c r="F753" s="39" t="s">
        <v>599</v>
      </c>
      <c r="H753" s="0" t="n">
        <v>18</v>
      </c>
      <c r="I753" s="39" t="s">
        <v>109</v>
      </c>
      <c r="J753" s="0" t="n">
        <v>77</v>
      </c>
      <c r="K753" s="0" t="n">
        <v>77</v>
      </c>
      <c r="L753" s="0" t="n">
        <v>217</v>
      </c>
      <c r="M753" s="0" t="n">
        <v>975.5</v>
      </c>
      <c r="N753" s="0" t="n">
        <v>66.89</v>
      </c>
      <c r="O753" s="0" t="n">
        <v>29.02</v>
      </c>
      <c r="P753" s="0" t="n">
        <v>3.84</v>
      </c>
      <c r="Q753" s="0" t="n">
        <v>3.38</v>
      </c>
      <c r="R753" s="0" t="n">
        <v>5401</v>
      </c>
      <c r="S753" s="0" t="n">
        <v>11306</v>
      </c>
      <c r="T753" s="0" t="n">
        <v>64.1</v>
      </c>
      <c r="U753" s="0" t="n">
        <v>1273</v>
      </c>
      <c r="V753" s="0" t="n">
        <v>1</v>
      </c>
      <c r="W753" s="39" t="n">
        <f aca="false">IF(I753="Male",0,1)</f>
        <v>1</v>
      </c>
      <c r="X753" s="39" t="n">
        <f aca="false">IF(OR(I753="DNB",I753="Dry DNB"),1,0)</f>
        <v>0</v>
      </c>
      <c r="Y753" s="39" t="n">
        <f aca="false">MATCH(A753,DATAS,0)</f>
        <v>1</v>
      </c>
      <c r="Z753" s="39" t="n">
        <f aca="false">IF(AND(E753&gt;0,OR(AND(B753&gt;=1,B753&lt;=6),B753=10)),1,0)</f>
        <v>1</v>
      </c>
      <c r="AA753" s="39" t="n">
        <f aca="false">IF(AND(E753&gt;0,B753=10),1,0)</f>
        <v>1</v>
      </c>
      <c r="AB753" s="0" t="str">
        <f aca="false">IF(AND(C752=C753,Y752=Y753-1),Z752,"")</f>
        <v/>
      </c>
      <c r="AC753" s="0" t="str">
        <f aca="false">IF(AND(C752=C753,Y752=Y753-1),AA752,"")</f>
        <v/>
      </c>
      <c r="AD753" s="0" t="str">
        <f aca="false">IF(Y753=1,"",IF(AND(Z753=1,AB753&lt;&gt;1),1,0))</f>
        <v/>
      </c>
      <c r="AE753" s="0" t="str">
        <f aca="false">IF(Y753=1,"",IF(AND(AA753=1,AC753&lt;&gt;1),1,0))</f>
        <v/>
      </c>
      <c r="AF753" s="45" t="str">
        <f aca="false">IF(AND(E753&gt;0,Y753&lt;1,NOT(AND(C754=C753,Y754=Y753+1))),INDEX(DATAS,Y753+1),"")</f>
        <v/>
      </c>
      <c r="AG753" s="45" t="str">
        <f aca="false">IF(AND(AA753=1,Y753&lt;1),IF(AND(C754=C753,Y754=Y753+1),IF(AA754=1,"",INDEX(DATAS,Y753+1)),INDEX(DATAS,Y753+1)),"")</f>
        <v/>
      </c>
    </row>
    <row r="754" customFormat="false" ht="15" hidden="false" customHeight="false" outlineLevel="0" collapsed="false">
      <c r="A754" s="45" t="n">
        <v>46309</v>
      </c>
      <c r="B754" s="0" t="n">
        <v>10</v>
      </c>
      <c r="C754" s="0" t="n">
        <v>4667</v>
      </c>
      <c r="D754" s="0" t="n">
        <v>182</v>
      </c>
      <c r="E754" s="0" t="n">
        <v>2</v>
      </c>
      <c r="F754" s="39" t="s">
        <v>599</v>
      </c>
      <c r="G754" s="0" t="n">
        <v>21.2</v>
      </c>
      <c r="H754" s="0" t="n">
        <v>44</v>
      </c>
      <c r="I754" s="39" t="s">
        <v>109</v>
      </c>
      <c r="J754" s="0" t="n">
        <v>63</v>
      </c>
      <c r="K754" s="0" t="n">
        <v>63</v>
      </c>
      <c r="L754" s="0" t="n">
        <v>119</v>
      </c>
      <c r="M754" s="0" t="n">
        <v>865.99</v>
      </c>
      <c r="N754" s="0" t="n">
        <v>40.27</v>
      </c>
      <c r="O754" s="0" t="n">
        <v>33.1</v>
      </c>
      <c r="P754" s="0" t="n">
        <v>3.06</v>
      </c>
      <c r="Q754" s="0" t="n">
        <v>3.48</v>
      </c>
      <c r="R754" s="0" t="n">
        <v>4957</v>
      </c>
      <c r="S754" s="0" t="n">
        <v>10233</v>
      </c>
      <c r="T754" s="0" t="n">
        <v>52.85</v>
      </c>
      <c r="U754" s="0" t="n">
        <v>1273</v>
      </c>
      <c r="V754" s="0" t="n">
        <v>1</v>
      </c>
      <c r="W754" s="39" t="n">
        <f aca="false">IF(I754="Male",0,1)</f>
        <v>1</v>
      </c>
      <c r="X754" s="39" t="n">
        <f aca="false">IF(OR(I754="DNB",I754="Dry DNB"),1,0)</f>
        <v>0</v>
      </c>
      <c r="Y754" s="39" t="n">
        <f aca="false">MATCH(A754,DATAS,0)</f>
        <v>1</v>
      </c>
      <c r="Z754" s="39" t="n">
        <f aca="false">IF(AND(E754&gt;0,OR(AND(B754&gt;=1,B754&lt;=6),B754=10)),1,0)</f>
        <v>1</v>
      </c>
      <c r="AA754" s="39" t="n">
        <f aca="false">IF(AND(E754&gt;0,B754=10),1,0)</f>
        <v>1</v>
      </c>
      <c r="AB754" s="0" t="str">
        <f aca="false">IF(AND(C753=C754,Y753=Y754-1),Z753,"")</f>
        <v/>
      </c>
      <c r="AC754" s="0" t="str">
        <f aca="false">IF(AND(C753=C754,Y753=Y754-1),AA753,"")</f>
        <v/>
      </c>
      <c r="AD754" s="0" t="str">
        <f aca="false">IF(Y754=1,"",IF(AND(Z754=1,AB754&lt;&gt;1),1,0))</f>
        <v/>
      </c>
      <c r="AE754" s="0" t="str">
        <f aca="false">IF(Y754=1,"",IF(AND(AA754=1,AC754&lt;&gt;1),1,0))</f>
        <v/>
      </c>
      <c r="AF754" s="45" t="str">
        <f aca="false">IF(AND(E754&gt;0,Y754&lt;1,NOT(AND(C755=C754,Y755=Y754+1))),INDEX(DATAS,Y754+1),"")</f>
        <v/>
      </c>
      <c r="AG754" s="45" t="str">
        <f aca="false">IF(AND(AA754=1,Y754&lt;1),IF(AND(C755=C754,Y755=Y754+1),IF(AA755=1,"",INDEX(DATAS,Y754+1)),INDEX(DATAS,Y754+1)),"")</f>
        <v/>
      </c>
    </row>
    <row r="755" customFormat="false" ht="15" hidden="false" customHeight="false" outlineLevel="0" collapsed="false">
      <c r="A755" s="45" t="n">
        <v>46309</v>
      </c>
      <c r="B755" s="0" t="n">
        <v>2</v>
      </c>
      <c r="C755" s="0" t="n">
        <v>4668</v>
      </c>
      <c r="D755" s="0" t="n">
        <v>136</v>
      </c>
      <c r="E755" s="0" t="n">
        <v>2</v>
      </c>
      <c r="F755" s="39" t="s">
        <v>600</v>
      </c>
      <c r="G755" s="0" t="n">
        <v>50.6</v>
      </c>
      <c r="H755" s="0" t="n">
        <v>49</v>
      </c>
      <c r="I755" s="39" t="s">
        <v>146</v>
      </c>
      <c r="J755" s="0" t="n">
        <v>136</v>
      </c>
      <c r="K755" s="0" t="n">
        <v>66</v>
      </c>
      <c r="M755" s="0" t="n">
        <v>217.72</v>
      </c>
      <c r="N755" s="0" t="n">
        <v>49.63</v>
      </c>
      <c r="O755" s="0" t="n">
        <v>31.87</v>
      </c>
      <c r="P755" s="0" t="n">
        <v>4.6</v>
      </c>
      <c r="Q755" s="0" t="n">
        <v>3.47</v>
      </c>
      <c r="R755" s="0" t="n">
        <v>5584</v>
      </c>
      <c r="S755" s="0" t="n">
        <v>11034</v>
      </c>
      <c r="T755" s="0" t="n">
        <v>59.7</v>
      </c>
      <c r="U755" s="0" t="n">
        <v>1271</v>
      </c>
      <c r="V755" s="0" t="n">
        <v>2</v>
      </c>
      <c r="W755" s="39" t="n">
        <f aca="false">IF(I755="Male",0,1)</f>
        <v>1</v>
      </c>
      <c r="X755" s="39" t="n">
        <f aca="false">IF(OR(I755="DNB",I755="Dry DNB"),1,0)</f>
        <v>0</v>
      </c>
      <c r="Y755" s="39" t="n">
        <f aca="false">MATCH(A755,DATAS,0)</f>
        <v>1</v>
      </c>
      <c r="Z755" s="39" t="n">
        <f aca="false">IF(AND(E755&gt;0,OR(AND(B755&gt;=1,B755&lt;=6),B755=10)),1,0)</f>
        <v>1</v>
      </c>
      <c r="AA755" s="39" t="n">
        <f aca="false">IF(AND(E755&gt;0,B755=10),1,0)</f>
        <v>0</v>
      </c>
      <c r="AB755" s="0" t="str">
        <f aca="false">IF(AND(C754=C755,Y754=Y755-1),Z754,"")</f>
        <v/>
      </c>
      <c r="AC755" s="0" t="str">
        <f aca="false">IF(AND(C754=C755,Y754=Y755-1),AA754,"")</f>
        <v/>
      </c>
      <c r="AD755" s="0" t="str">
        <f aca="false">IF(Y755=1,"",IF(AND(Z755=1,AB755&lt;&gt;1),1,0))</f>
        <v/>
      </c>
      <c r="AE755" s="0" t="str">
        <f aca="false">IF(Y755=1,"",IF(AND(AA755=1,AC755&lt;&gt;1),1,0))</f>
        <v/>
      </c>
      <c r="AF755" s="45" t="str">
        <f aca="false">IF(AND(E755&gt;0,Y755&lt;1,NOT(AND(C756=C755,Y756=Y755+1))),INDEX(DATAS,Y755+1),"")</f>
        <v/>
      </c>
      <c r="AG755" s="45" t="str">
        <f aca="false">IF(AND(AA755=1,Y755&lt;1),IF(AND(C756=C755,Y756=Y755+1),IF(AA756=1,"",INDEX(DATAS,Y755+1)),INDEX(DATAS,Y755+1)),"")</f>
        <v/>
      </c>
    </row>
    <row r="756" customFormat="false" ht="15" hidden="false" customHeight="false" outlineLevel="0" collapsed="false">
      <c r="A756" s="45" t="n">
        <v>46309</v>
      </c>
      <c r="B756" s="0" t="n">
        <v>6</v>
      </c>
      <c r="C756" s="0" t="n">
        <v>4672</v>
      </c>
      <c r="D756" s="0" t="n">
        <v>233</v>
      </c>
      <c r="E756" s="0" t="n">
        <v>2</v>
      </c>
      <c r="F756" s="39" t="s">
        <v>601</v>
      </c>
      <c r="G756" s="0" t="n">
        <v>30</v>
      </c>
      <c r="H756" s="0" t="n">
        <v>29</v>
      </c>
      <c r="I756" s="39" t="s">
        <v>109</v>
      </c>
      <c r="J756" s="0" t="n">
        <v>107</v>
      </c>
      <c r="K756" s="0" t="n">
        <v>65</v>
      </c>
      <c r="L756" s="0" t="n">
        <v>126</v>
      </c>
      <c r="M756" s="0" t="n">
        <v>1061.76</v>
      </c>
      <c r="N756" s="0" t="n">
        <v>36.1</v>
      </c>
      <c r="O756" s="0" t="n">
        <v>28.86</v>
      </c>
      <c r="P756" s="0" t="n">
        <v>4.61</v>
      </c>
      <c r="Q756" s="0" t="n">
        <v>3.55</v>
      </c>
      <c r="R756" s="0" t="n">
        <v>3594</v>
      </c>
      <c r="S756" s="0" t="n">
        <v>7009</v>
      </c>
      <c r="T756" s="0" t="n">
        <v>38.6</v>
      </c>
      <c r="U756" s="0" t="n">
        <v>1270</v>
      </c>
      <c r="V756" s="0" t="n">
        <v>2</v>
      </c>
      <c r="W756" s="39" t="n">
        <f aca="false">IF(I756="Male",0,1)</f>
        <v>1</v>
      </c>
      <c r="X756" s="39" t="n">
        <f aca="false">IF(OR(I756="DNB",I756="Dry DNB"),1,0)</f>
        <v>0</v>
      </c>
      <c r="Y756" s="39" t="n">
        <f aca="false">MATCH(A756,DATAS,0)</f>
        <v>1</v>
      </c>
      <c r="Z756" s="39" t="n">
        <f aca="false">IF(AND(E756&gt;0,OR(AND(B756&gt;=1,B756&lt;=6),B756=10)),1,0)</f>
        <v>1</v>
      </c>
      <c r="AA756" s="39" t="n">
        <f aca="false">IF(AND(E756&gt;0,B756=10),1,0)</f>
        <v>0</v>
      </c>
      <c r="AB756" s="0" t="str">
        <f aca="false">IF(AND(C755=C756,Y755=Y756-1),Z755,"")</f>
        <v/>
      </c>
      <c r="AC756" s="0" t="str">
        <f aca="false">IF(AND(C755=C756,Y755=Y756-1),AA755,"")</f>
        <v/>
      </c>
      <c r="AD756" s="0" t="str">
        <f aca="false">IF(Y756=1,"",IF(AND(Z756=1,AB756&lt;&gt;1),1,0))</f>
        <v/>
      </c>
      <c r="AE756" s="0" t="str">
        <f aca="false">IF(Y756=1,"",IF(AND(AA756=1,AC756&lt;&gt;1),1,0))</f>
        <v/>
      </c>
      <c r="AF756" s="45" t="str">
        <f aca="false">IF(AND(E756&gt;0,Y756&lt;1,NOT(AND(C757=C756,Y757=Y756+1))),INDEX(DATAS,Y756+1),"")</f>
        <v/>
      </c>
      <c r="AG756" s="45" t="str">
        <f aca="false">IF(AND(AA756=1,Y756&lt;1),IF(AND(C757=C756,Y757=Y756+1),IF(AA757=1,"",INDEX(DATAS,Y756+1)),INDEX(DATAS,Y756+1)),"")</f>
        <v/>
      </c>
    </row>
    <row r="757" customFormat="false" ht="15" hidden="false" customHeight="false" outlineLevel="0" collapsed="false">
      <c r="A757" s="45" t="n">
        <v>46309</v>
      </c>
      <c r="B757" s="0" t="n">
        <v>2</v>
      </c>
      <c r="C757" s="0" t="n">
        <v>4674</v>
      </c>
      <c r="D757" s="0" t="n">
        <v>144</v>
      </c>
      <c r="E757" s="0" t="n">
        <v>2</v>
      </c>
      <c r="F757" s="39" t="s">
        <v>602</v>
      </c>
      <c r="G757" s="0" t="n">
        <v>49.2</v>
      </c>
      <c r="H757" s="0" t="n">
        <v>45</v>
      </c>
      <c r="I757" s="39" t="s">
        <v>138</v>
      </c>
      <c r="J757" s="0" t="n">
        <v>144</v>
      </c>
      <c r="K757" s="0" t="n">
        <v>67</v>
      </c>
      <c r="M757" s="0" t="n">
        <v>1071.3</v>
      </c>
      <c r="N757" s="0" t="n">
        <v>56.46</v>
      </c>
      <c r="O757" s="0" t="n">
        <v>38.58</v>
      </c>
      <c r="P757" s="0" t="n">
        <v>4.45</v>
      </c>
      <c r="Q757" s="0" t="n">
        <v>3.44</v>
      </c>
      <c r="R757" s="0" t="n">
        <v>5033</v>
      </c>
      <c r="S757" s="0" t="n">
        <v>10205</v>
      </c>
      <c r="T757" s="0" t="n">
        <v>55.45</v>
      </c>
      <c r="U757" s="0" t="n">
        <v>1269</v>
      </c>
      <c r="V757" s="0" t="n">
        <v>3</v>
      </c>
      <c r="W757" s="39" t="n">
        <f aca="false">IF(I757="Male",0,1)</f>
        <v>1</v>
      </c>
      <c r="X757" s="39" t="n">
        <f aca="false">IF(OR(I757="DNB",I757="Dry DNB"),1,0)</f>
        <v>0</v>
      </c>
      <c r="Y757" s="39" t="n">
        <f aca="false">MATCH(A757,DATAS,0)</f>
        <v>1</v>
      </c>
      <c r="Z757" s="39" t="n">
        <f aca="false">IF(AND(E757&gt;0,OR(AND(B757&gt;=1,B757&lt;=6),B757=10)),1,0)</f>
        <v>1</v>
      </c>
      <c r="AA757" s="39" t="n">
        <f aca="false">IF(AND(E757&gt;0,B757=10),1,0)</f>
        <v>0</v>
      </c>
      <c r="AB757" s="0" t="str">
        <f aca="false">IF(AND(C756=C757,Y756=Y757-1),Z756,"")</f>
        <v/>
      </c>
      <c r="AC757" s="0" t="str">
        <f aca="false">IF(AND(C756=C757,Y756=Y757-1),AA756,"")</f>
        <v/>
      </c>
      <c r="AD757" s="0" t="str">
        <f aca="false">IF(Y757=1,"",IF(AND(Z757=1,AB757&lt;&gt;1),1,0))</f>
        <v/>
      </c>
      <c r="AE757" s="0" t="str">
        <f aca="false">IF(Y757=1,"",IF(AND(AA757=1,AC757&lt;&gt;1),1,0))</f>
        <v/>
      </c>
      <c r="AF757" s="45" t="str">
        <f aca="false">IF(AND(E757&gt;0,Y757&lt;1,NOT(AND(C758=C757,Y758=Y757+1))),INDEX(DATAS,Y757+1),"")</f>
        <v/>
      </c>
      <c r="AG757" s="45" t="str">
        <f aca="false">IF(AND(AA757=1,Y757&lt;1),IF(AND(C758=C757,Y758=Y757+1),IF(AA758=1,"",INDEX(DATAS,Y757+1)),INDEX(DATAS,Y757+1)),"")</f>
        <v/>
      </c>
    </row>
    <row r="758" customFormat="false" ht="15" hidden="false" customHeight="false" outlineLevel="0" collapsed="false">
      <c r="A758" s="45" t="n">
        <v>46309</v>
      </c>
      <c r="B758" s="0" t="n">
        <v>5</v>
      </c>
      <c r="C758" s="0" t="n">
        <v>4675</v>
      </c>
      <c r="D758" s="0" t="n">
        <v>268</v>
      </c>
      <c r="E758" s="0" t="n">
        <v>2</v>
      </c>
      <c r="F758" s="39" t="s">
        <v>603</v>
      </c>
      <c r="G758" s="0" t="n">
        <v>45.9</v>
      </c>
      <c r="H758" s="0" t="n">
        <v>42</v>
      </c>
      <c r="I758" s="39" t="s">
        <v>109</v>
      </c>
      <c r="J758" s="0" t="n">
        <v>212</v>
      </c>
      <c r="K758" s="0" t="n">
        <v>72</v>
      </c>
      <c r="L758" s="0" t="n">
        <v>56</v>
      </c>
      <c r="M758" s="0" t="n">
        <v>380.97</v>
      </c>
      <c r="N758" s="0" t="n">
        <v>49.57</v>
      </c>
      <c r="O758" s="0" t="n">
        <v>30.38</v>
      </c>
      <c r="P758" s="0" t="n">
        <v>3.68</v>
      </c>
      <c r="Q758" s="0" t="n">
        <v>3.99</v>
      </c>
      <c r="R758" s="0" t="n">
        <v>5174</v>
      </c>
      <c r="S758" s="0" t="n">
        <v>10407</v>
      </c>
      <c r="T758" s="0" t="n">
        <v>52.75</v>
      </c>
      <c r="U758" s="0" t="n">
        <v>1268</v>
      </c>
      <c r="V758" s="0" t="n">
        <v>3</v>
      </c>
      <c r="W758" s="39" t="n">
        <f aca="false">IF(I758="Male",0,1)</f>
        <v>1</v>
      </c>
      <c r="X758" s="39" t="n">
        <f aca="false">IF(OR(I758="DNB",I758="Dry DNB"),1,0)</f>
        <v>0</v>
      </c>
      <c r="Y758" s="39" t="n">
        <f aca="false">MATCH(A758,DATAS,0)</f>
        <v>1</v>
      </c>
      <c r="Z758" s="39" t="n">
        <f aca="false">IF(AND(E758&gt;0,OR(AND(B758&gt;=1,B758&lt;=6),B758=10)),1,0)</f>
        <v>1</v>
      </c>
      <c r="AA758" s="39" t="n">
        <f aca="false">IF(AND(E758&gt;0,B758=10),1,0)</f>
        <v>0</v>
      </c>
      <c r="AB758" s="0" t="str">
        <f aca="false">IF(AND(C757=C758,Y757=Y758-1),Z757,"")</f>
        <v/>
      </c>
      <c r="AC758" s="0" t="str">
        <f aca="false">IF(AND(C757=C758,Y757=Y758-1),AA757,"")</f>
        <v/>
      </c>
      <c r="AD758" s="0" t="str">
        <f aca="false">IF(Y758=1,"",IF(AND(Z758=1,AB758&lt;&gt;1),1,0))</f>
        <v/>
      </c>
      <c r="AE758" s="0" t="str">
        <f aca="false">IF(Y758=1,"",IF(AND(AA758=1,AC758&lt;&gt;1),1,0))</f>
        <v/>
      </c>
      <c r="AF758" s="45" t="str">
        <f aca="false">IF(AND(E758&gt;0,Y758&lt;1,NOT(AND(C759=C758,Y759=Y758+1))),INDEX(DATAS,Y758+1),"")</f>
        <v/>
      </c>
      <c r="AG758" s="45" t="str">
        <f aca="false">IF(AND(AA758=1,Y758&lt;1),IF(AND(C759=C758,Y759=Y758+1),IF(AA759=1,"",INDEX(DATAS,Y758+1)),INDEX(DATAS,Y758+1)),"")</f>
        <v/>
      </c>
    </row>
    <row r="759" customFormat="false" ht="15" hidden="false" customHeight="false" outlineLevel="0" collapsed="false">
      <c r="A759" s="45" t="n">
        <v>46309</v>
      </c>
      <c r="B759" s="0" t="n">
        <v>3</v>
      </c>
      <c r="C759" s="0" t="n">
        <v>4676</v>
      </c>
      <c r="D759" s="0" t="n">
        <v>210</v>
      </c>
      <c r="E759" s="0" t="n">
        <v>2</v>
      </c>
      <c r="F759" s="39" t="s">
        <v>603</v>
      </c>
      <c r="G759" s="0" t="n">
        <v>65.5</v>
      </c>
      <c r="H759" s="0" t="n">
        <v>62</v>
      </c>
      <c r="I759" s="39" t="s">
        <v>109</v>
      </c>
      <c r="J759" s="0" t="n">
        <v>129</v>
      </c>
      <c r="K759" s="0" t="n">
        <v>60</v>
      </c>
      <c r="L759" s="0" t="n">
        <v>81</v>
      </c>
      <c r="M759" s="0" t="n">
        <v>1317.16</v>
      </c>
      <c r="N759" s="0" t="n">
        <v>38.4</v>
      </c>
      <c r="O759" s="0" t="n">
        <v>38.43</v>
      </c>
      <c r="P759" s="0" t="n">
        <v>3.21</v>
      </c>
      <c r="Q759" s="0" t="n">
        <v>3.01</v>
      </c>
      <c r="R759" s="0" t="n">
        <v>6431</v>
      </c>
      <c r="S759" s="0" t="n">
        <v>13336</v>
      </c>
      <c r="T759" s="0" t="n">
        <v>77.4</v>
      </c>
      <c r="U759" s="0" t="n">
        <v>1268</v>
      </c>
      <c r="V759" s="0" t="n">
        <v>3</v>
      </c>
      <c r="W759" s="39" t="n">
        <f aca="false">IF(I759="Male",0,1)</f>
        <v>1</v>
      </c>
      <c r="X759" s="39" t="n">
        <f aca="false">IF(OR(I759="DNB",I759="Dry DNB"),1,0)</f>
        <v>0</v>
      </c>
      <c r="Y759" s="39" t="n">
        <f aca="false">MATCH(A759,DATAS,0)</f>
        <v>1</v>
      </c>
      <c r="Z759" s="39" t="n">
        <f aca="false">IF(AND(E759&gt;0,OR(AND(B759&gt;=1,B759&lt;=6),B759=10)),1,0)</f>
        <v>1</v>
      </c>
      <c r="AA759" s="39" t="n">
        <f aca="false">IF(AND(E759&gt;0,B759=10),1,0)</f>
        <v>0</v>
      </c>
      <c r="AB759" s="0" t="str">
        <f aca="false">IF(AND(C758=C759,Y758=Y759-1),Z758,"")</f>
        <v/>
      </c>
      <c r="AC759" s="0" t="str">
        <f aca="false">IF(AND(C758=C759,Y758=Y759-1),AA758,"")</f>
        <v/>
      </c>
      <c r="AD759" s="0" t="str">
        <f aca="false">IF(Y759=1,"",IF(AND(Z759=1,AB759&lt;&gt;1),1,0))</f>
        <v/>
      </c>
      <c r="AE759" s="0" t="str">
        <f aca="false">IF(Y759=1,"",IF(AND(AA759=1,AC759&lt;&gt;1),1,0))</f>
        <v/>
      </c>
      <c r="AF759" s="45" t="str">
        <f aca="false">IF(AND(E759&gt;0,Y759&lt;1,NOT(AND(C760=C759,Y760=Y759+1))),INDEX(DATAS,Y759+1),"")</f>
        <v/>
      </c>
      <c r="AG759" s="45" t="str">
        <f aca="false">IF(AND(AA759=1,Y759&lt;1),IF(AND(C760=C759,Y760=Y759+1),IF(AA760=1,"",INDEX(DATAS,Y759+1)),INDEX(DATAS,Y759+1)),"")</f>
        <v/>
      </c>
    </row>
    <row r="760" customFormat="false" ht="15" hidden="false" customHeight="false" outlineLevel="0" collapsed="false">
      <c r="A760" s="45" t="n">
        <v>46309</v>
      </c>
      <c r="B760" s="0" t="n">
        <v>5</v>
      </c>
      <c r="C760" s="0" t="n">
        <v>4677</v>
      </c>
      <c r="D760" s="0" t="n">
        <v>83</v>
      </c>
      <c r="E760" s="0" t="n">
        <v>2</v>
      </c>
      <c r="F760" s="39" t="s">
        <v>603</v>
      </c>
      <c r="G760" s="0" t="n">
        <v>30.8</v>
      </c>
      <c r="H760" s="0" t="n">
        <v>29</v>
      </c>
      <c r="I760" s="39" t="s">
        <v>138</v>
      </c>
      <c r="J760" s="0" t="n">
        <v>83</v>
      </c>
      <c r="K760" s="0" t="n">
        <v>62</v>
      </c>
      <c r="M760" s="0" t="n">
        <v>991.81</v>
      </c>
      <c r="N760" s="0" t="n">
        <v>17.81</v>
      </c>
      <c r="O760" s="0" t="n">
        <v>26.85</v>
      </c>
      <c r="P760" s="0" t="n">
        <v>3.27</v>
      </c>
      <c r="Q760" s="0" t="n">
        <v>3.33</v>
      </c>
      <c r="R760" s="0" t="n">
        <v>3383</v>
      </c>
      <c r="S760" s="0" t="n">
        <v>6801</v>
      </c>
      <c r="U760" s="0" t="n">
        <v>1268</v>
      </c>
      <c r="V760" s="0" t="n">
        <v>1</v>
      </c>
      <c r="W760" s="39" t="n">
        <f aca="false">IF(I760="Male",0,1)</f>
        <v>1</v>
      </c>
      <c r="X760" s="39" t="n">
        <f aca="false">IF(OR(I760="DNB",I760="Dry DNB"),1,0)</f>
        <v>0</v>
      </c>
      <c r="Y760" s="39" t="n">
        <f aca="false">MATCH(A760,DATAS,0)</f>
        <v>1</v>
      </c>
      <c r="Z760" s="39" t="n">
        <f aca="false">IF(AND(E760&gt;0,OR(AND(B760&gt;=1,B760&lt;=6),B760=10)),1,0)</f>
        <v>1</v>
      </c>
      <c r="AA760" s="39" t="n">
        <f aca="false">IF(AND(E760&gt;0,B760=10),1,0)</f>
        <v>0</v>
      </c>
      <c r="AB760" s="0" t="str">
        <f aca="false">IF(AND(C759=C760,Y759=Y760-1),Z759,"")</f>
        <v/>
      </c>
      <c r="AC760" s="0" t="str">
        <f aca="false">IF(AND(C759=C760,Y759=Y760-1),AA759,"")</f>
        <v/>
      </c>
      <c r="AD760" s="0" t="str">
        <f aca="false">IF(Y760=1,"",IF(AND(Z760=1,AB760&lt;&gt;1),1,0))</f>
        <v/>
      </c>
      <c r="AE760" s="0" t="str">
        <f aca="false">IF(Y760=1,"",IF(AND(AA760=1,AC760&lt;&gt;1),1,0))</f>
        <v/>
      </c>
      <c r="AF760" s="45" t="str">
        <f aca="false">IF(AND(E760&gt;0,Y760&lt;1,NOT(AND(C761=C760,Y761=Y760+1))),INDEX(DATAS,Y760+1),"")</f>
        <v/>
      </c>
      <c r="AG760" s="45" t="str">
        <f aca="false">IF(AND(AA760=1,Y760&lt;1),IF(AND(C761=C760,Y761=Y760+1),IF(AA761=1,"",INDEX(DATAS,Y760+1)),INDEX(DATAS,Y760+1)),"")</f>
        <v/>
      </c>
    </row>
    <row r="761" customFormat="false" ht="15" hidden="false" customHeight="false" outlineLevel="0" collapsed="false">
      <c r="A761" s="45" t="n">
        <v>46309</v>
      </c>
      <c r="B761" s="0" t="n">
        <v>3</v>
      </c>
      <c r="C761" s="0" t="n">
        <v>4678</v>
      </c>
      <c r="D761" s="0" t="n">
        <v>205</v>
      </c>
      <c r="E761" s="0" t="n">
        <v>2</v>
      </c>
      <c r="F761" s="39" t="s">
        <v>604</v>
      </c>
      <c r="G761" s="0" t="n">
        <v>45.9</v>
      </c>
      <c r="H761" s="0" t="n">
        <v>46</v>
      </c>
      <c r="I761" s="39" t="s">
        <v>109</v>
      </c>
      <c r="J761" s="0" t="n">
        <v>100</v>
      </c>
      <c r="K761" s="0" t="n">
        <v>65</v>
      </c>
      <c r="L761" s="0" t="n">
        <v>105</v>
      </c>
      <c r="M761" s="0" t="n">
        <v>319.62</v>
      </c>
      <c r="N761" s="0" t="n">
        <v>15.93</v>
      </c>
      <c r="O761" s="0" t="n">
        <v>22.1</v>
      </c>
      <c r="P761" s="0" t="n">
        <v>2.81</v>
      </c>
      <c r="Q761" s="0" t="n">
        <v>3.69</v>
      </c>
      <c r="R761" s="0" t="n">
        <v>4901</v>
      </c>
      <c r="S761" s="0" t="n">
        <v>9876</v>
      </c>
      <c r="T761" s="0" t="n">
        <v>57.35</v>
      </c>
      <c r="U761" s="0" t="n">
        <v>1266</v>
      </c>
      <c r="V761" s="0" t="n">
        <v>2</v>
      </c>
      <c r="W761" s="39" t="n">
        <f aca="false">IF(I761="Male",0,1)</f>
        <v>1</v>
      </c>
      <c r="X761" s="39" t="n">
        <f aca="false">IF(OR(I761="DNB",I761="Dry DNB"),1,0)</f>
        <v>0</v>
      </c>
      <c r="Y761" s="39" t="n">
        <f aca="false">MATCH(A761,DATAS,0)</f>
        <v>1</v>
      </c>
      <c r="Z761" s="39" t="n">
        <f aca="false">IF(AND(E761&gt;0,OR(AND(B761&gt;=1,B761&lt;=6),B761=10)),1,0)</f>
        <v>1</v>
      </c>
      <c r="AA761" s="39" t="n">
        <f aca="false">IF(AND(E761&gt;0,B761=10),1,0)</f>
        <v>0</v>
      </c>
      <c r="AB761" s="0" t="str">
        <f aca="false">IF(AND(C760=C761,Y760=Y761-1),Z760,"")</f>
        <v/>
      </c>
      <c r="AC761" s="0" t="str">
        <f aca="false">IF(AND(C760=C761,Y760=Y761-1),AA760,"")</f>
        <v/>
      </c>
      <c r="AD761" s="0" t="str">
        <f aca="false">IF(Y761=1,"",IF(AND(Z761=1,AB761&lt;&gt;1),1,0))</f>
        <v/>
      </c>
      <c r="AE761" s="0" t="str">
        <f aca="false">IF(Y761=1,"",IF(AND(AA761=1,AC761&lt;&gt;1),1,0))</f>
        <v/>
      </c>
      <c r="AF761" s="45" t="str">
        <f aca="false">IF(AND(E761&gt;0,Y761&lt;1,NOT(AND(C762=C761,Y762=Y761+1))),INDEX(DATAS,Y761+1),"")</f>
        <v/>
      </c>
      <c r="AG761" s="45" t="str">
        <f aca="false">IF(AND(AA761=1,Y761&lt;1),IF(AND(C762=C761,Y762=Y761+1),IF(AA762=1,"",INDEX(DATAS,Y761+1)),INDEX(DATAS,Y761+1)),"")</f>
        <v/>
      </c>
    </row>
    <row r="762" customFormat="false" ht="15" hidden="false" customHeight="false" outlineLevel="0" collapsed="false">
      <c r="A762" s="45" t="n">
        <v>46309</v>
      </c>
      <c r="B762" s="0" t="n">
        <v>5</v>
      </c>
      <c r="C762" s="0" t="n">
        <v>4680</v>
      </c>
      <c r="D762" s="0" t="n">
        <v>241</v>
      </c>
      <c r="E762" s="0" t="n">
        <v>2</v>
      </c>
      <c r="F762" s="39" t="s">
        <v>604</v>
      </c>
      <c r="G762" s="0" t="n">
        <v>44</v>
      </c>
      <c r="H762" s="0" t="n">
        <v>38</v>
      </c>
      <c r="I762" s="39" t="s">
        <v>109</v>
      </c>
      <c r="J762" s="0" t="n">
        <v>192</v>
      </c>
      <c r="K762" s="0" t="n">
        <v>73</v>
      </c>
      <c r="L762" s="0" t="n">
        <v>49</v>
      </c>
      <c r="M762" s="0" t="n">
        <v>601.51</v>
      </c>
      <c r="N762" s="0" t="n">
        <v>39.96</v>
      </c>
      <c r="O762" s="0" t="n">
        <v>25.35</v>
      </c>
      <c r="P762" s="0" t="n">
        <v>3.88</v>
      </c>
      <c r="Q762" s="0" t="n">
        <v>3.92</v>
      </c>
      <c r="R762" s="0" t="n">
        <v>5342</v>
      </c>
      <c r="S762" s="0" t="n">
        <v>9651</v>
      </c>
      <c r="T762" s="0" t="n">
        <v>62.05</v>
      </c>
      <c r="U762" s="0" t="n">
        <v>1266</v>
      </c>
      <c r="V762" s="0" t="n">
        <v>5</v>
      </c>
      <c r="W762" s="39" t="n">
        <f aca="false">IF(I762="Male",0,1)</f>
        <v>1</v>
      </c>
      <c r="X762" s="39" t="n">
        <f aca="false">IF(OR(I762="DNB",I762="Dry DNB"),1,0)</f>
        <v>0</v>
      </c>
      <c r="Y762" s="39" t="n">
        <f aca="false">MATCH(A762,DATAS,0)</f>
        <v>1</v>
      </c>
      <c r="Z762" s="39" t="n">
        <f aca="false">IF(AND(E762&gt;0,OR(AND(B762&gt;=1,B762&lt;=6),B762=10)),1,0)</f>
        <v>1</v>
      </c>
      <c r="AA762" s="39" t="n">
        <f aca="false">IF(AND(E762&gt;0,B762=10),1,0)</f>
        <v>0</v>
      </c>
      <c r="AB762" s="0" t="str">
        <f aca="false">IF(AND(C761=C762,Y761=Y762-1),Z761,"")</f>
        <v/>
      </c>
      <c r="AC762" s="0" t="str">
        <f aca="false">IF(AND(C761=C762,Y761=Y762-1),AA761,"")</f>
        <v/>
      </c>
      <c r="AD762" s="0" t="str">
        <f aca="false">IF(Y762=1,"",IF(AND(Z762=1,AB762&lt;&gt;1),1,0))</f>
        <v/>
      </c>
      <c r="AE762" s="0" t="str">
        <f aca="false">IF(Y762=1,"",IF(AND(AA762=1,AC762&lt;&gt;1),1,0))</f>
        <v/>
      </c>
      <c r="AF762" s="45" t="str">
        <f aca="false">IF(AND(E762&gt;0,Y762&lt;1,NOT(AND(C763=C762,Y763=Y762+1))),INDEX(DATAS,Y762+1),"")</f>
        <v/>
      </c>
      <c r="AG762" s="45" t="str">
        <f aca="false">IF(AND(AA762=1,Y762&lt;1),IF(AND(C763=C762,Y763=Y762+1),IF(AA763=1,"",INDEX(DATAS,Y762+1)),INDEX(DATAS,Y762+1)),"")</f>
        <v/>
      </c>
    </row>
    <row r="763" customFormat="false" ht="15" hidden="false" customHeight="false" outlineLevel="0" collapsed="false">
      <c r="A763" s="45" t="n">
        <v>46309</v>
      </c>
      <c r="B763" s="0" t="n">
        <v>5</v>
      </c>
      <c r="C763" s="0" t="n">
        <v>4681</v>
      </c>
      <c r="D763" s="0" t="n">
        <v>255</v>
      </c>
      <c r="E763" s="0" t="n">
        <v>2</v>
      </c>
      <c r="F763" s="39" t="s">
        <v>604</v>
      </c>
      <c r="G763" s="0" t="n">
        <v>40.5</v>
      </c>
      <c r="H763" s="0" t="n">
        <v>36</v>
      </c>
      <c r="I763" s="39" t="s">
        <v>109</v>
      </c>
      <c r="J763" s="0" t="n">
        <v>185</v>
      </c>
      <c r="K763" s="0" t="n">
        <v>70</v>
      </c>
      <c r="L763" s="0" t="n">
        <v>70</v>
      </c>
      <c r="M763" s="0" t="n">
        <v>637.12</v>
      </c>
      <c r="N763" s="0" t="n">
        <v>75.16</v>
      </c>
      <c r="O763" s="0" t="n">
        <v>34.39</v>
      </c>
      <c r="P763" s="0" t="n">
        <v>6.28</v>
      </c>
      <c r="Q763" s="0" t="n">
        <v>3.99</v>
      </c>
      <c r="R763" s="0" t="n">
        <v>3206</v>
      </c>
      <c r="S763" s="0" t="n">
        <v>6863</v>
      </c>
      <c r="T763" s="0" t="n">
        <v>40.85</v>
      </c>
      <c r="U763" s="0" t="n">
        <v>1266</v>
      </c>
      <c r="V763" s="0" t="n">
        <v>4</v>
      </c>
      <c r="W763" s="39" t="n">
        <f aca="false">IF(I763="Male",0,1)</f>
        <v>1</v>
      </c>
      <c r="X763" s="39" t="n">
        <f aca="false">IF(OR(I763="DNB",I763="Dry DNB"),1,0)</f>
        <v>0</v>
      </c>
      <c r="Y763" s="39" t="n">
        <f aca="false">MATCH(A763,DATAS,0)</f>
        <v>1</v>
      </c>
      <c r="Z763" s="39" t="n">
        <f aca="false">IF(AND(E763&gt;0,OR(AND(B763&gt;=1,B763&lt;=6),B763=10)),1,0)</f>
        <v>1</v>
      </c>
      <c r="AA763" s="39" t="n">
        <f aca="false">IF(AND(E763&gt;0,B763=10),1,0)</f>
        <v>0</v>
      </c>
      <c r="AB763" s="0" t="str">
        <f aca="false">IF(AND(C762=C763,Y762=Y763-1),Z762,"")</f>
        <v/>
      </c>
      <c r="AC763" s="0" t="str">
        <f aca="false">IF(AND(C762=C763,Y762=Y763-1),AA762,"")</f>
        <v/>
      </c>
      <c r="AD763" s="0" t="str">
        <f aca="false">IF(Y763=1,"",IF(AND(Z763=1,AB763&lt;&gt;1),1,0))</f>
        <v/>
      </c>
      <c r="AE763" s="0" t="str">
        <f aca="false">IF(Y763=1,"",IF(AND(AA763=1,AC763&lt;&gt;1),1,0))</f>
        <v/>
      </c>
      <c r="AF763" s="45" t="str">
        <f aca="false">IF(AND(E763&gt;0,Y763&lt;1,NOT(AND(C764=C763,Y764=Y763+1))),INDEX(DATAS,Y763+1),"")</f>
        <v/>
      </c>
      <c r="AG763" s="45" t="str">
        <f aca="false">IF(AND(AA763=1,Y763&lt;1),IF(AND(C764=C763,Y764=Y763+1),IF(AA764=1,"",INDEX(DATAS,Y763+1)),INDEX(DATAS,Y763+1)),"")</f>
        <v/>
      </c>
    </row>
    <row r="764" customFormat="false" ht="15" hidden="false" customHeight="false" outlineLevel="0" collapsed="false">
      <c r="A764" s="45" t="n">
        <v>46309</v>
      </c>
      <c r="B764" s="0" t="n">
        <v>3</v>
      </c>
      <c r="C764" s="0" t="n">
        <v>4682</v>
      </c>
      <c r="D764" s="0" t="n">
        <v>93</v>
      </c>
      <c r="E764" s="0" t="n">
        <v>2</v>
      </c>
      <c r="F764" s="39" t="s">
        <v>605</v>
      </c>
      <c r="G764" s="0" t="n">
        <v>75.8</v>
      </c>
      <c r="H764" s="0" t="n">
        <v>78</v>
      </c>
      <c r="I764" s="39" t="s">
        <v>138</v>
      </c>
      <c r="J764" s="0" t="n">
        <v>93</v>
      </c>
      <c r="K764" s="0" t="n">
        <v>65</v>
      </c>
      <c r="M764" s="0" t="n">
        <v>1964.63</v>
      </c>
      <c r="N764" s="0" t="n">
        <v>17.61</v>
      </c>
      <c r="O764" s="0" t="n">
        <v>46.27</v>
      </c>
      <c r="P764" s="0" t="n">
        <v>3.29</v>
      </c>
      <c r="Q764" s="0" t="n">
        <v>2.99</v>
      </c>
      <c r="R764" s="0" t="n">
        <v>7162</v>
      </c>
      <c r="S764" s="0" t="n">
        <v>14397</v>
      </c>
      <c r="T764" s="0" t="n">
        <v>81.75</v>
      </c>
      <c r="U764" s="0" t="n">
        <v>1265</v>
      </c>
      <c r="V764" s="0" t="n">
        <v>1</v>
      </c>
      <c r="W764" s="39" t="n">
        <f aca="false">IF(I764="Male",0,1)</f>
        <v>1</v>
      </c>
      <c r="X764" s="39" t="n">
        <f aca="false">IF(OR(I764="DNB",I764="Dry DNB"),1,0)</f>
        <v>0</v>
      </c>
      <c r="Y764" s="39" t="n">
        <f aca="false">MATCH(A764,DATAS,0)</f>
        <v>1</v>
      </c>
      <c r="Z764" s="39" t="n">
        <f aca="false">IF(AND(E764&gt;0,OR(AND(B764&gt;=1,B764&lt;=6),B764=10)),1,0)</f>
        <v>1</v>
      </c>
      <c r="AA764" s="39" t="n">
        <f aca="false">IF(AND(E764&gt;0,B764=10),1,0)</f>
        <v>0</v>
      </c>
      <c r="AB764" s="0" t="str">
        <f aca="false">IF(AND(C763=C764,Y763=Y764-1),Z763,"")</f>
        <v/>
      </c>
      <c r="AC764" s="0" t="str">
        <f aca="false">IF(AND(C763=C764,Y763=Y764-1),AA763,"")</f>
        <v/>
      </c>
      <c r="AD764" s="0" t="str">
        <f aca="false">IF(Y764=1,"",IF(AND(Z764=1,AB764&lt;&gt;1),1,0))</f>
        <v/>
      </c>
      <c r="AE764" s="0" t="str">
        <f aca="false">IF(Y764=1,"",IF(AND(AA764=1,AC764&lt;&gt;1),1,0))</f>
        <v/>
      </c>
      <c r="AF764" s="45" t="str">
        <f aca="false">IF(AND(E764&gt;0,Y764&lt;1,NOT(AND(C765=C764,Y765=Y764+1))),INDEX(DATAS,Y764+1),"")</f>
        <v/>
      </c>
      <c r="AG764" s="45" t="str">
        <f aca="false">IF(AND(AA764=1,Y764&lt;1),IF(AND(C765=C764,Y765=Y764+1),IF(AA765=1,"",INDEX(DATAS,Y764+1)),INDEX(DATAS,Y764+1)),"")</f>
        <v/>
      </c>
    </row>
    <row r="765" customFormat="false" ht="15" hidden="false" customHeight="false" outlineLevel="0" collapsed="false">
      <c r="A765" s="45" t="n">
        <v>46309</v>
      </c>
      <c r="B765" s="0" t="n">
        <v>7</v>
      </c>
      <c r="C765" s="0" t="n">
        <v>4683</v>
      </c>
      <c r="D765" s="0" t="n">
        <v>293</v>
      </c>
      <c r="E765" s="0" t="n">
        <v>2</v>
      </c>
      <c r="F765" s="39" t="s">
        <v>606</v>
      </c>
      <c r="G765" s="0" t="n">
        <v>12.5</v>
      </c>
      <c r="H765" s="0" t="n">
        <v>22</v>
      </c>
      <c r="I765" s="39" t="s">
        <v>114</v>
      </c>
      <c r="J765" s="0" t="n">
        <v>70</v>
      </c>
      <c r="K765" s="0" t="n">
        <v>70</v>
      </c>
      <c r="L765" s="0" t="n">
        <v>224</v>
      </c>
      <c r="M765" s="0" t="n">
        <v>92.87</v>
      </c>
      <c r="N765" s="0" t="n">
        <v>57.96</v>
      </c>
      <c r="O765" s="0" t="n">
        <v>28.96</v>
      </c>
      <c r="P765" s="0" t="n">
        <v>4.89</v>
      </c>
      <c r="Q765" s="0" t="n">
        <v>4.08</v>
      </c>
      <c r="R765" s="0" t="n">
        <v>4654</v>
      </c>
      <c r="S765" s="0" t="n">
        <v>9481</v>
      </c>
      <c r="T765" s="0" t="n">
        <v>50.5</v>
      </c>
      <c r="U765" s="0" t="n">
        <v>1263</v>
      </c>
      <c r="V765" s="0" t="n">
        <v>1</v>
      </c>
      <c r="W765" s="39" t="n">
        <f aca="false">IF(I765="Male",0,1)</f>
        <v>1</v>
      </c>
      <c r="X765" s="39" t="n">
        <f aca="false">IF(OR(I765="DNB",I765="Dry DNB"),1,0)</f>
        <v>0</v>
      </c>
      <c r="Y765" s="39" t="n">
        <f aca="false">MATCH(A765,DATAS,0)</f>
        <v>1</v>
      </c>
      <c r="Z765" s="39" t="n">
        <f aca="false">IF(AND(E765&gt;0,OR(AND(B765&gt;=1,B765&lt;=6),B765=10)),1,0)</f>
        <v>0</v>
      </c>
      <c r="AA765" s="39" t="n">
        <f aca="false">IF(AND(E765&gt;0,B765=10),1,0)</f>
        <v>0</v>
      </c>
      <c r="AB765" s="0" t="str">
        <f aca="false">IF(AND(C764=C765,Y764=Y765-1),Z764,"")</f>
        <v/>
      </c>
      <c r="AC765" s="0" t="str">
        <f aca="false">IF(AND(C764=C765,Y764=Y765-1),AA764,"")</f>
        <v/>
      </c>
      <c r="AD765" s="0" t="str">
        <f aca="false">IF(Y765=1,"",IF(AND(Z765=1,AB765&lt;&gt;1),1,0))</f>
        <v/>
      </c>
      <c r="AE765" s="0" t="str">
        <f aca="false">IF(Y765=1,"",IF(AND(AA765=1,AC765&lt;&gt;1),1,0))</f>
        <v/>
      </c>
      <c r="AF765" s="45" t="str">
        <f aca="false">IF(AND(E765&gt;0,Y765&lt;1,NOT(AND(C766=C765,Y766=Y765+1))),INDEX(DATAS,Y765+1),"")</f>
        <v/>
      </c>
      <c r="AG765" s="45" t="str">
        <f aca="false">IF(AND(AA765=1,Y765&lt;1),IF(AND(C766=C765,Y766=Y765+1),IF(AA766=1,"",INDEX(DATAS,Y765+1)),INDEX(DATAS,Y765+1)),"")</f>
        <v/>
      </c>
    </row>
    <row r="766" customFormat="false" ht="15" hidden="false" customHeight="false" outlineLevel="0" collapsed="false">
      <c r="A766" s="45" t="n">
        <v>46309</v>
      </c>
      <c r="B766" s="0" t="n">
        <v>3</v>
      </c>
      <c r="C766" s="0" t="n">
        <v>4688</v>
      </c>
      <c r="D766" s="0" t="n">
        <v>201</v>
      </c>
      <c r="E766" s="0" t="n">
        <v>2</v>
      </c>
      <c r="F766" s="39" t="s">
        <v>607</v>
      </c>
      <c r="G766" s="0" t="n">
        <v>49.9</v>
      </c>
      <c r="H766" s="0" t="n">
        <v>48</v>
      </c>
      <c r="I766" s="39" t="s">
        <v>138</v>
      </c>
      <c r="J766" s="0" t="n">
        <v>201</v>
      </c>
      <c r="K766" s="0" t="n">
        <v>82</v>
      </c>
      <c r="M766" s="0" t="n">
        <v>1056.74</v>
      </c>
      <c r="N766" s="0" t="n">
        <v>64.52</v>
      </c>
      <c r="O766" s="0" t="n">
        <v>44.28</v>
      </c>
      <c r="P766" s="0" t="n">
        <v>3.04</v>
      </c>
      <c r="Q766" s="0" t="n">
        <v>3.18</v>
      </c>
      <c r="R766" s="0" t="n">
        <v>4850</v>
      </c>
      <c r="S766" s="0" t="n">
        <v>10327</v>
      </c>
      <c r="T766" s="0" t="n">
        <v>55.4</v>
      </c>
      <c r="U766" s="0" t="n">
        <v>1261</v>
      </c>
      <c r="V766" s="0" t="n">
        <v>3</v>
      </c>
      <c r="W766" s="39" t="n">
        <f aca="false">IF(I766="Male",0,1)</f>
        <v>1</v>
      </c>
      <c r="X766" s="39" t="n">
        <f aca="false">IF(OR(I766="DNB",I766="Dry DNB"),1,0)</f>
        <v>0</v>
      </c>
      <c r="Y766" s="39" t="n">
        <f aca="false">MATCH(A766,DATAS,0)</f>
        <v>1</v>
      </c>
      <c r="Z766" s="39" t="n">
        <f aca="false">IF(AND(E766&gt;0,OR(AND(B766&gt;=1,B766&lt;=6),B766=10)),1,0)</f>
        <v>1</v>
      </c>
      <c r="AA766" s="39" t="n">
        <f aca="false">IF(AND(E766&gt;0,B766=10),1,0)</f>
        <v>0</v>
      </c>
      <c r="AB766" s="0" t="str">
        <f aca="false">IF(AND(C765=C766,Y765=Y766-1),Z765,"")</f>
        <v/>
      </c>
      <c r="AC766" s="0" t="str">
        <f aca="false">IF(AND(C765=C766,Y765=Y766-1),AA765,"")</f>
        <v/>
      </c>
      <c r="AD766" s="0" t="str">
        <f aca="false">IF(Y766=1,"",IF(AND(Z766=1,AB766&lt;&gt;1),1,0))</f>
        <v/>
      </c>
      <c r="AE766" s="0" t="str">
        <f aca="false">IF(Y766=1,"",IF(AND(AA766=1,AC766&lt;&gt;1),1,0))</f>
        <v/>
      </c>
      <c r="AF766" s="45" t="str">
        <f aca="false">IF(AND(E766&gt;0,Y766&lt;1,NOT(AND(C767=C766,Y767=Y766+1))),INDEX(DATAS,Y766+1),"")</f>
        <v/>
      </c>
      <c r="AG766" s="45" t="str">
        <f aca="false">IF(AND(AA766=1,Y766&lt;1),IF(AND(C767=C766,Y767=Y766+1),IF(AA767=1,"",INDEX(DATAS,Y766+1)),INDEX(DATAS,Y766+1)),"")</f>
        <v/>
      </c>
    </row>
    <row r="767" customFormat="false" ht="15" hidden="false" customHeight="false" outlineLevel="0" collapsed="false">
      <c r="A767" s="45" t="n">
        <v>46309</v>
      </c>
      <c r="B767" s="0" t="n">
        <v>7</v>
      </c>
      <c r="C767" s="0" t="n">
        <v>4690</v>
      </c>
      <c r="D767" s="0" t="n">
        <v>285</v>
      </c>
      <c r="E767" s="0" t="n">
        <v>2</v>
      </c>
      <c r="F767" s="39" t="s">
        <v>608</v>
      </c>
      <c r="G767" s="0" t="n">
        <v>6.5</v>
      </c>
      <c r="H767" s="0" t="n">
        <v>11</v>
      </c>
      <c r="I767" s="39" t="s">
        <v>114</v>
      </c>
      <c r="J767" s="0" t="n">
        <v>95</v>
      </c>
      <c r="K767" s="0" t="n">
        <v>69</v>
      </c>
      <c r="L767" s="0" t="n">
        <v>191</v>
      </c>
      <c r="M767" s="0" t="n">
        <v>1503.53</v>
      </c>
      <c r="N767" s="0" t="n">
        <v>21.87</v>
      </c>
      <c r="O767" s="0" t="n">
        <v>36.03</v>
      </c>
      <c r="P767" s="0" t="n">
        <v>0</v>
      </c>
      <c r="Q767" s="0" t="n">
        <v>0</v>
      </c>
      <c r="R767" s="0" t="n">
        <v>5177</v>
      </c>
      <c r="S767" s="0" t="n">
        <v>9752</v>
      </c>
      <c r="T767" s="0" t="n">
        <v>66.65</v>
      </c>
      <c r="U767" s="0" t="n">
        <v>1258</v>
      </c>
      <c r="V767" s="0" t="n">
        <v>2</v>
      </c>
      <c r="W767" s="39" t="n">
        <f aca="false">IF(I767="Male",0,1)</f>
        <v>1</v>
      </c>
      <c r="X767" s="39" t="n">
        <f aca="false">IF(OR(I767="DNB",I767="Dry DNB"),1,0)</f>
        <v>0</v>
      </c>
      <c r="Y767" s="39" t="n">
        <f aca="false">MATCH(A767,DATAS,0)</f>
        <v>1</v>
      </c>
      <c r="Z767" s="39" t="n">
        <f aca="false">IF(AND(E767&gt;0,OR(AND(B767&gt;=1,B767&lt;=6),B767=10)),1,0)</f>
        <v>0</v>
      </c>
      <c r="AA767" s="39" t="n">
        <f aca="false">IF(AND(E767&gt;0,B767=10),1,0)</f>
        <v>0</v>
      </c>
      <c r="AB767" s="0" t="str">
        <f aca="false">IF(AND(C766=C767,Y766=Y767-1),Z766,"")</f>
        <v/>
      </c>
      <c r="AC767" s="0" t="str">
        <f aca="false">IF(AND(C766=C767,Y766=Y767-1),AA766,"")</f>
        <v/>
      </c>
      <c r="AD767" s="0" t="str">
        <f aca="false">IF(Y767=1,"",IF(AND(Z767=1,AB767&lt;&gt;1),1,0))</f>
        <v/>
      </c>
      <c r="AE767" s="0" t="str">
        <f aca="false">IF(Y767=1,"",IF(AND(AA767=1,AC767&lt;&gt;1),1,0))</f>
        <v/>
      </c>
      <c r="AF767" s="45" t="str">
        <f aca="false">IF(AND(E767&gt;0,Y767&lt;1,NOT(AND(C768=C767,Y768=Y767+1))),INDEX(DATAS,Y767+1),"")</f>
        <v/>
      </c>
      <c r="AG767" s="45" t="str">
        <f aca="false">IF(AND(AA767=1,Y767&lt;1),IF(AND(C768=C767,Y768=Y767+1),IF(AA768=1,"",INDEX(DATAS,Y767+1)),INDEX(DATAS,Y767+1)),"")</f>
        <v/>
      </c>
    </row>
    <row r="768" customFormat="false" ht="15" hidden="false" customHeight="false" outlineLevel="0" collapsed="false">
      <c r="A768" s="45" t="n">
        <v>46309</v>
      </c>
      <c r="B768" s="0" t="n">
        <v>5</v>
      </c>
      <c r="C768" s="0" t="n">
        <v>4691</v>
      </c>
      <c r="D768" s="0" t="n">
        <v>248</v>
      </c>
      <c r="E768" s="0" t="n">
        <v>2</v>
      </c>
      <c r="F768" s="39" t="s">
        <v>608</v>
      </c>
      <c r="G768" s="0" t="n">
        <v>35.5</v>
      </c>
      <c r="H768" s="0" t="n">
        <v>34</v>
      </c>
      <c r="I768" s="39" t="s">
        <v>109</v>
      </c>
      <c r="J768" s="0" t="n">
        <v>66</v>
      </c>
      <c r="K768" s="0" t="n">
        <v>66</v>
      </c>
      <c r="L768" s="0" t="n">
        <v>182</v>
      </c>
      <c r="M768" s="0" t="n">
        <v>328.23</v>
      </c>
      <c r="N768" s="0" t="n">
        <v>60.18</v>
      </c>
      <c r="O768" s="0" t="n">
        <v>18.58</v>
      </c>
      <c r="P768" s="0" t="n">
        <v>4.99</v>
      </c>
      <c r="Q768" s="0" t="n">
        <v>3.62</v>
      </c>
      <c r="R768" s="0" t="n">
        <v>4665</v>
      </c>
      <c r="S768" s="0" t="n">
        <v>8325</v>
      </c>
      <c r="T768" s="0" t="n">
        <v>54.35</v>
      </c>
      <c r="U768" s="0" t="n">
        <v>1258</v>
      </c>
      <c r="V768" s="0" t="n">
        <v>1</v>
      </c>
      <c r="W768" s="39" t="n">
        <f aca="false">IF(I768="Male",0,1)</f>
        <v>1</v>
      </c>
      <c r="X768" s="39" t="n">
        <f aca="false">IF(OR(I768="DNB",I768="Dry DNB"),1,0)</f>
        <v>0</v>
      </c>
      <c r="Y768" s="39" t="n">
        <f aca="false">MATCH(A768,DATAS,0)</f>
        <v>1</v>
      </c>
      <c r="Z768" s="39" t="n">
        <f aca="false">IF(AND(E768&gt;0,OR(AND(B768&gt;=1,B768&lt;=6),B768=10)),1,0)</f>
        <v>1</v>
      </c>
      <c r="AA768" s="39" t="n">
        <f aca="false">IF(AND(E768&gt;0,B768=10),1,0)</f>
        <v>0</v>
      </c>
      <c r="AB768" s="0" t="str">
        <f aca="false">IF(AND(C767=C768,Y767=Y768-1),Z767,"")</f>
        <v/>
      </c>
      <c r="AC768" s="0" t="str">
        <f aca="false">IF(AND(C767=C768,Y767=Y768-1),AA767,"")</f>
        <v/>
      </c>
      <c r="AD768" s="0" t="str">
        <f aca="false">IF(Y768=1,"",IF(AND(Z768=1,AB768&lt;&gt;1),1,0))</f>
        <v/>
      </c>
      <c r="AE768" s="0" t="str">
        <f aca="false">IF(Y768=1,"",IF(AND(AA768=1,AC768&lt;&gt;1),1,0))</f>
        <v/>
      </c>
      <c r="AF768" s="45" t="str">
        <f aca="false">IF(AND(E768&gt;0,Y768&lt;1,NOT(AND(C769=C768,Y769=Y768+1))),INDEX(DATAS,Y768+1),"")</f>
        <v/>
      </c>
      <c r="AG768" s="45" t="str">
        <f aca="false">IF(AND(AA768=1,Y768&lt;1),IF(AND(C769=C768,Y769=Y768+1),IF(AA769=1,"",INDEX(DATAS,Y768+1)),INDEX(DATAS,Y768+1)),"")</f>
        <v/>
      </c>
    </row>
    <row r="769" customFormat="false" ht="15" hidden="false" customHeight="false" outlineLevel="0" collapsed="false">
      <c r="A769" s="45" t="n">
        <v>46309</v>
      </c>
      <c r="B769" s="0" t="n">
        <v>5</v>
      </c>
      <c r="C769" s="0" t="n">
        <v>4695</v>
      </c>
      <c r="D769" s="0" t="n">
        <v>236</v>
      </c>
      <c r="E769" s="0" t="n">
        <v>2</v>
      </c>
      <c r="F769" s="39" t="s">
        <v>609</v>
      </c>
      <c r="G769" s="0" t="n">
        <v>36.3</v>
      </c>
      <c r="H769" s="0" t="n">
        <v>34</v>
      </c>
      <c r="I769" s="39" t="s">
        <v>109</v>
      </c>
      <c r="J769" s="0" t="n">
        <v>103</v>
      </c>
      <c r="K769" s="0" t="n">
        <v>68</v>
      </c>
      <c r="L769" s="0" t="n">
        <v>133</v>
      </c>
      <c r="M769" s="0" t="n">
        <v>278.64</v>
      </c>
      <c r="N769" s="0" t="n">
        <v>43.4</v>
      </c>
      <c r="O769" s="0" t="n">
        <v>16.35</v>
      </c>
      <c r="P769" s="0" t="n">
        <v>5.31</v>
      </c>
      <c r="Q769" s="0" t="n">
        <v>4.19</v>
      </c>
      <c r="R769" s="0" t="n">
        <v>4194</v>
      </c>
      <c r="S769" s="0" t="n">
        <v>8750</v>
      </c>
      <c r="T769" s="0" t="n">
        <v>46.15</v>
      </c>
      <c r="U769" s="0" t="n">
        <v>1257</v>
      </c>
      <c r="V769" s="0" t="n">
        <v>2</v>
      </c>
      <c r="W769" s="39" t="n">
        <f aca="false">IF(I769="Male",0,1)</f>
        <v>1</v>
      </c>
      <c r="X769" s="39" t="n">
        <f aca="false">IF(OR(I769="DNB",I769="Dry DNB"),1,0)</f>
        <v>0</v>
      </c>
      <c r="Y769" s="39" t="n">
        <f aca="false">MATCH(A769,DATAS,0)</f>
        <v>1</v>
      </c>
      <c r="Z769" s="39" t="n">
        <f aca="false">IF(AND(E769&gt;0,OR(AND(B769&gt;=1,B769&lt;=6),B769=10)),1,0)</f>
        <v>1</v>
      </c>
      <c r="AA769" s="39" t="n">
        <f aca="false">IF(AND(E769&gt;0,B769=10),1,0)</f>
        <v>0</v>
      </c>
      <c r="AB769" s="0" t="str">
        <f aca="false">IF(AND(C768=C769,Y768=Y769-1),Z768,"")</f>
        <v/>
      </c>
      <c r="AC769" s="0" t="str">
        <f aca="false">IF(AND(C768=C769,Y768=Y769-1),AA768,"")</f>
        <v/>
      </c>
      <c r="AD769" s="0" t="str">
        <f aca="false">IF(Y769=1,"",IF(AND(Z769=1,AB769&lt;&gt;1),1,0))</f>
        <v/>
      </c>
      <c r="AE769" s="0" t="str">
        <f aca="false">IF(Y769=1,"",IF(AND(AA769=1,AC769&lt;&gt;1),1,0))</f>
        <v/>
      </c>
      <c r="AF769" s="45" t="str">
        <f aca="false">IF(AND(E769&gt;0,Y769&lt;1,NOT(AND(C770=C769,Y770=Y769+1))),INDEX(DATAS,Y769+1),"")</f>
        <v/>
      </c>
      <c r="AG769" s="45" t="str">
        <f aca="false">IF(AND(AA769=1,Y769&lt;1),IF(AND(C770=C769,Y770=Y769+1),IF(AA770=1,"",INDEX(DATAS,Y769+1)),INDEX(DATAS,Y769+1)),"")</f>
        <v/>
      </c>
    </row>
    <row r="770" customFormat="false" ht="15" hidden="false" customHeight="false" outlineLevel="0" collapsed="false">
      <c r="A770" s="45" t="n">
        <v>46309</v>
      </c>
      <c r="B770" s="0" t="n">
        <v>5</v>
      </c>
      <c r="C770" s="0" t="n">
        <v>4696</v>
      </c>
      <c r="D770" s="0" t="n">
        <v>593</v>
      </c>
      <c r="E770" s="0" t="n">
        <v>1</v>
      </c>
      <c r="F770" s="39" t="s">
        <v>610</v>
      </c>
      <c r="G770" s="0" t="n">
        <v>36.3</v>
      </c>
      <c r="H770" s="0" t="n">
        <v>37</v>
      </c>
      <c r="I770" s="39" t="s">
        <v>138</v>
      </c>
      <c r="J770" s="0" t="n">
        <v>593</v>
      </c>
      <c r="K770" s="0" t="n">
        <v>62</v>
      </c>
      <c r="M770" s="0" t="n">
        <v>767.77</v>
      </c>
      <c r="N770" s="0" t="n">
        <v>59.91</v>
      </c>
      <c r="O770" s="0" t="n">
        <v>37.69</v>
      </c>
      <c r="P770" s="0" t="n">
        <v>5.2</v>
      </c>
      <c r="Q770" s="0" t="n">
        <v>4.82</v>
      </c>
      <c r="R770" s="0" t="n">
        <v>4795</v>
      </c>
      <c r="S770" s="0" t="n">
        <v>10734</v>
      </c>
      <c r="T770" s="0" t="n">
        <v>53.25</v>
      </c>
      <c r="U770" s="0" t="n">
        <v>1256</v>
      </c>
      <c r="V770" s="0" t="n">
        <v>12</v>
      </c>
      <c r="W770" s="39" t="n">
        <f aca="false">IF(I770="Male",0,1)</f>
        <v>1</v>
      </c>
      <c r="X770" s="39" t="n">
        <f aca="false">IF(OR(I770="DNB",I770="Dry DNB"),1,0)</f>
        <v>0</v>
      </c>
      <c r="Y770" s="39" t="n">
        <f aca="false">MATCH(A770,DATAS,0)</f>
        <v>1</v>
      </c>
      <c r="Z770" s="39" t="n">
        <f aca="false">IF(AND(E770&gt;0,OR(AND(B770&gt;=1,B770&lt;=6),B770=10)),1,0)</f>
        <v>1</v>
      </c>
      <c r="AA770" s="39" t="n">
        <f aca="false">IF(AND(E770&gt;0,B770=10),1,0)</f>
        <v>0</v>
      </c>
      <c r="AB770" s="0" t="str">
        <f aca="false">IF(AND(C769=C770,Y769=Y770-1),Z769,"")</f>
        <v/>
      </c>
      <c r="AC770" s="0" t="str">
        <f aca="false">IF(AND(C769=C770,Y769=Y770-1),AA769,"")</f>
        <v/>
      </c>
      <c r="AD770" s="0" t="str">
        <f aca="false">IF(Y770=1,"",IF(AND(Z770=1,AB770&lt;&gt;1),1,0))</f>
        <v/>
      </c>
      <c r="AE770" s="0" t="str">
        <f aca="false">IF(Y770=1,"",IF(AND(AA770=1,AC770&lt;&gt;1),1,0))</f>
        <v/>
      </c>
      <c r="AF770" s="45" t="str">
        <f aca="false">IF(AND(E770&gt;0,Y770&lt;1,NOT(AND(C771=C770,Y771=Y770+1))),INDEX(DATAS,Y770+1),"")</f>
        <v/>
      </c>
      <c r="AG770" s="45" t="str">
        <f aca="false">IF(AND(AA770=1,Y770&lt;1),IF(AND(C771=C770,Y771=Y770+1),IF(AA771=1,"",INDEX(DATAS,Y770+1)),INDEX(DATAS,Y770+1)),"")</f>
        <v/>
      </c>
    </row>
    <row r="771" customFormat="false" ht="15" hidden="false" customHeight="false" outlineLevel="0" collapsed="false">
      <c r="A771" s="45" t="n">
        <v>46309</v>
      </c>
      <c r="B771" s="0" t="n">
        <v>5</v>
      </c>
      <c r="C771" s="0" t="n">
        <v>4697</v>
      </c>
      <c r="D771" s="0" t="n">
        <v>271</v>
      </c>
      <c r="E771" s="0" t="n">
        <v>2</v>
      </c>
      <c r="F771" s="39" t="s">
        <v>610</v>
      </c>
      <c r="G771" s="0" t="n">
        <v>30.5</v>
      </c>
      <c r="H771" s="0" t="n">
        <v>29</v>
      </c>
      <c r="I771" s="39" t="s">
        <v>146</v>
      </c>
      <c r="J771" s="0" t="n">
        <v>271</v>
      </c>
      <c r="K771" s="0" t="n">
        <v>68</v>
      </c>
      <c r="M771" s="0" t="n">
        <v>1318.65</v>
      </c>
      <c r="N771" s="0" t="n">
        <v>55.57</v>
      </c>
      <c r="O771" s="0" t="n">
        <v>41.73</v>
      </c>
      <c r="P771" s="0" t="n">
        <v>4.3</v>
      </c>
      <c r="Q771" s="0" t="n">
        <v>3.59</v>
      </c>
      <c r="R771" s="0" t="n">
        <v>5803</v>
      </c>
      <c r="S771" s="0" t="n">
        <v>9138</v>
      </c>
      <c r="T771" s="0" t="n">
        <v>64.55</v>
      </c>
      <c r="U771" s="0" t="n">
        <v>1256</v>
      </c>
      <c r="V771" s="0" t="n">
        <v>4</v>
      </c>
      <c r="W771" s="39" t="n">
        <f aca="false">IF(I771="Male",0,1)</f>
        <v>1</v>
      </c>
      <c r="X771" s="39" t="n">
        <f aca="false">IF(OR(I771="DNB",I771="Dry DNB"),1,0)</f>
        <v>0</v>
      </c>
      <c r="Y771" s="39" t="n">
        <f aca="false">MATCH(A771,DATAS,0)</f>
        <v>1</v>
      </c>
      <c r="Z771" s="39" t="n">
        <f aca="false">IF(AND(E771&gt;0,OR(AND(B771&gt;=1,B771&lt;=6),B771=10)),1,0)</f>
        <v>1</v>
      </c>
      <c r="AA771" s="39" t="n">
        <f aca="false">IF(AND(E771&gt;0,B771=10),1,0)</f>
        <v>0</v>
      </c>
      <c r="AB771" s="0" t="str">
        <f aca="false">IF(AND(C770=C771,Y770=Y771-1),Z770,"")</f>
        <v/>
      </c>
      <c r="AC771" s="0" t="str">
        <f aca="false">IF(AND(C770=C771,Y770=Y771-1),AA770,"")</f>
        <v/>
      </c>
      <c r="AD771" s="0" t="str">
        <f aca="false">IF(Y771=1,"",IF(AND(Z771=1,AB771&lt;&gt;1),1,0))</f>
        <v/>
      </c>
      <c r="AE771" s="0" t="str">
        <f aca="false">IF(Y771=1,"",IF(AND(AA771=1,AC771&lt;&gt;1),1,0))</f>
        <v/>
      </c>
      <c r="AF771" s="45" t="str">
        <f aca="false">IF(AND(E771&gt;0,Y771&lt;1,NOT(AND(C772=C771,Y772=Y771+1))),INDEX(DATAS,Y771+1),"")</f>
        <v/>
      </c>
      <c r="AG771" s="45" t="str">
        <f aca="false">IF(AND(AA771=1,Y771&lt;1),IF(AND(C772=C771,Y772=Y771+1),IF(AA772=1,"",INDEX(DATAS,Y771+1)),INDEX(DATAS,Y771+1)),"")</f>
        <v/>
      </c>
    </row>
    <row r="772" customFormat="false" ht="15" hidden="false" customHeight="false" outlineLevel="0" collapsed="false">
      <c r="A772" s="45" t="n">
        <v>46309</v>
      </c>
      <c r="B772" s="0" t="n">
        <v>3</v>
      </c>
      <c r="C772" s="0" t="n">
        <v>4698</v>
      </c>
      <c r="D772" s="0" t="n">
        <v>266</v>
      </c>
      <c r="E772" s="0" t="n">
        <v>2</v>
      </c>
      <c r="F772" s="39" t="s">
        <v>610</v>
      </c>
      <c r="G772" s="0" t="n">
        <v>50.9</v>
      </c>
      <c r="H772" s="0" t="n">
        <v>49</v>
      </c>
      <c r="I772" s="39" t="s">
        <v>109</v>
      </c>
      <c r="J772" s="0" t="n">
        <v>126</v>
      </c>
      <c r="K772" s="0" t="n">
        <v>70</v>
      </c>
      <c r="L772" s="0" t="n">
        <v>140</v>
      </c>
      <c r="M772" s="0" t="n">
        <v>1044.37</v>
      </c>
      <c r="N772" s="0" t="n">
        <v>49.01</v>
      </c>
      <c r="O772" s="0" t="n">
        <v>26.4</v>
      </c>
      <c r="P772" s="0" t="n">
        <v>4.25</v>
      </c>
      <c r="Q772" s="0" t="n">
        <v>3.17</v>
      </c>
      <c r="R772" s="0" t="n">
        <v>5431</v>
      </c>
      <c r="S772" s="0" t="n">
        <v>12110</v>
      </c>
      <c r="T772" s="0" t="n">
        <v>57.2</v>
      </c>
      <c r="U772" s="0" t="n">
        <v>1256</v>
      </c>
      <c r="V772" s="0" t="n">
        <v>3</v>
      </c>
      <c r="W772" s="39" t="n">
        <f aca="false">IF(I772="Male",0,1)</f>
        <v>1</v>
      </c>
      <c r="X772" s="39" t="n">
        <f aca="false">IF(OR(I772="DNB",I772="Dry DNB"),1,0)</f>
        <v>0</v>
      </c>
      <c r="Y772" s="39" t="n">
        <f aca="false">MATCH(A772,DATAS,0)</f>
        <v>1</v>
      </c>
      <c r="Z772" s="39" t="n">
        <f aca="false">IF(AND(E772&gt;0,OR(AND(B772&gt;=1,B772&lt;=6),B772=10)),1,0)</f>
        <v>1</v>
      </c>
      <c r="AA772" s="39" t="n">
        <f aca="false">IF(AND(E772&gt;0,B772=10),1,0)</f>
        <v>0</v>
      </c>
      <c r="AB772" s="0" t="str">
        <f aca="false">IF(AND(C771=C772,Y771=Y772-1),Z771,"")</f>
        <v/>
      </c>
      <c r="AC772" s="0" t="str">
        <f aca="false">IF(AND(C771=C772,Y771=Y772-1),AA771,"")</f>
        <v/>
      </c>
      <c r="AD772" s="0" t="str">
        <f aca="false">IF(Y772=1,"",IF(AND(Z772=1,AB772&lt;&gt;1),1,0))</f>
        <v/>
      </c>
      <c r="AE772" s="0" t="str">
        <f aca="false">IF(Y772=1,"",IF(AND(AA772=1,AC772&lt;&gt;1),1,0))</f>
        <v/>
      </c>
      <c r="AF772" s="45" t="str">
        <f aca="false">IF(AND(E772&gt;0,Y772&lt;1,NOT(AND(C773=C772,Y773=Y772+1))),INDEX(DATAS,Y772+1),"")</f>
        <v/>
      </c>
      <c r="AG772" s="45" t="str">
        <f aca="false">IF(AND(AA772=1,Y772&lt;1),IF(AND(C773=C772,Y773=Y772+1),IF(AA773=1,"",INDEX(DATAS,Y772+1)),INDEX(DATAS,Y772+1)),"")</f>
        <v/>
      </c>
    </row>
    <row r="773" customFormat="false" ht="15" hidden="false" customHeight="false" outlineLevel="0" collapsed="false">
      <c r="A773" s="45" t="n">
        <v>46309</v>
      </c>
      <c r="B773" s="0" t="n">
        <v>5</v>
      </c>
      <c r="C773" s="0" t="n">
        <v>4699</v>
      </c>
      <c r="D773" s="0" t="n">
        <v>202</v>
      </c>
      <c r="E773" s="0" t="n">
        <v>2</v>
      </c>
      <c r="F773" s="39" t="s">
        <v>611</v>
      </c>
      <c r="G773" s="0" t="n">
        <v>47.1</v>
      </c>
      <c r="H773" s="0" t="n">
        <v>44</v>
      </c>
      <c r="I773" s="39" t="s">
        <v>109</v>
      </c>
      <c r="J773" s="0" t="n">
        <v>69</v>
      </c>
      <c r="K773" s="0" t="n">
        <v>69</v>
      </c>
      <c r="L773" s="0" t="n">
        <v>133</v>
      </c>
      <c r="M773" s="0" t="n">
        <v>509.84</v>
      </c>
      <c r="N773" s="0" t="n">
        <v>41.96</v>
      </c>
      <c r="O773" s="0" t="n">
        <v>37.35</v>
      </c>
      <c r="P773" s="0" t="n">
        <v>4.93</v>
      </c>
      <c r="Q773" s="0" t="n">
        <v>4.18</v>
      </c>
      <c r="R773" s="0" t="n">
        <v>4302</v>
      </c>
      <c r="S773" s="0" t="n">
        <v>8931</v>
      </c>
      <c r="T773" s="0" t="n">
        <v>53.15</v>
      </c>
      <c r="U773" s="0" t="n">
        <v>1255</v>
      </c>
      <c r="V773" s="0" t="n">
        <v>1</v>
      </c>
      <c r="W773" s="39" t="n">
        <f aca="false">IF(I773="Male",0,1)</f>
        <v>1</v>
      </c>
      <c r="X773" s="39" t="n">
        <f aca="false">IF(OR(I773="DNB",I773="Dry DNB"),1,0)</f>
        <v>0</v>
      </c>
      <c r="Y773" s="39" t="n">
        <f aca="false">MATCH(A773,DATAS,0)</f>
        <v>1</v>
      </c>
      <c r="Z773" s="39" t="n">
        <f aca="false">IF(AND(E773&gt;0,OR(AND(B773&gt;=1,B773&lt;=6),B773=10)),1,0)</f>
        <v>1</v>
      </c>
      <c r="AA773" s="39" t="n">
        <f aca="false">IF(AND(E773&gt;0,B773=10),1,0)</f>
        <v>0</v>
      </c>
      <c r="AB773" s="0" t="str">
        <f aca="false">IF(AND(C772=C773,Y772=Y773-1),Z772,"")</f>
        <v/>
      </c>
      <c r="AC773" s="0" t="str">
        <f aca="false">IF(AND(C772=C773,Y772=Y773-1),AA772,"")</f>
        <v/>
      </c>
      <c r="AD773" s="0" t="str">
        <f aca="false">IF(Y773=1,"",IF(AND(Z773=1,AB773&lt;&gt;1),1,0))</f>
        <v/>
      </c>
      <c r="AE773" s="0" t="str">
        <f aca="false">IF(Y773=1,"",IF(AND(AA773=1,AC773&lt;&gt;1),1,0))</f>
        <v/>
      </c>
      <c r="AF773" s="45" t="str">
        <f aca="false">IF(AND(E773&gt;0,Y773&lt;1,NOT(AND(C774=C773,Y774=Y773+1))),INDEX(DATAS,Y773+1),"")</f>
        <v/>
      </c>
      <c r="AG773" s="45" t="str">
        <f aca="false">IF(AND(AA773=1,Y773&lt;1),IF(AND(C774=C773,Y774=Y773+1),IF(AA774=1,"",INDEX(DATAS,Y773+1)),INDEX(DATAS,Y773+1)),"")</f>
        <v/>
      </c>
    </row>
    <row r="774" customFormat="false" ht="15" hidden="false" customHeight="false" outlineLevel="0" collapsed="false">
      <c r="A774" s="45" t="n">
        <v>46309</v>
      </c>
      <c r="B774" s="0" t="n">
        <v>6</v>
      </c>
      <c r="C774" s="0" t="n">
        <v>4700</v>
      </c>
      <c r="D774" s="0" t="n">
        <v>244</v>
      </c>
      <c r="E774" s="0" t="n">
        <v>2</v>
      </c>
      <c r="F774" s="39" t="s">
        <v>612</v>
      </c>
      <c r="G774" s="0" t="n">
        <v>23.6</v>
      </c>
      <c r="H774" s="0" t="n">
        <v>22</v>
      </c>
      <c r="I774" s="39" t="s">
        <v>138</v>
      </c>
      <c r="J774" s="0" t="n">
        <v>244</v>
      </c>
      <c r="K774" s="0" t="n">
        <v>69</v>
      </c>
      <c r="M774" s="0" t="n">
        <v>-594.2</v>
      </c>
      <c r="N774" s="0" t="n">
        <v>47.83</v>
      </c>
      <c r="O774" s="0" t="n">
        <v>5.39</v>
      </c>
      <c r="P774" s="0" t="n">
        <v>6.03</v>
      </c>
      <c r="Q774" s="0" t="n">
        <v>3.84</v>
      </c>
      <c r="R774" s="0" t="n">
        <v>2759</v>
      </c>
      <c r="S774" s="0" t="n">
        <v>5427</v>
      </c>
      <c r="T774" s="0" t="n">
        <v>30</v>
      </c>
      <c r="U774" s="0" t="n">
        <v>1254</v>
      </c>
      <c r="V774" s="0" t="n">
        <v>7</v>
      </c>
      <c r="W774" s="39" t="n">
        <f aca="false">IF(I774="Male",0,1)</f>
        <v>1</v>
      </c>
      <c r="X774" s="39" t="n">
        <f aca="false">IF(OR(I774="DNB",I774="Dry DNB"),1,0)</f>
        <v>0</v>
      </c>
      <c r="Y774" s="39" t="n">
        <f aca="false">MATCH(A774,DATAS,0)</f>
        <v>1</v>
      </c>
      <c r="Z774" s="39" t="n">
        <f aca="false">IF(AND(E774&gt;0,OR(AND(B774&gt;=1,B774&lt;=6),B774=10)),1,0)</f>
        <v>1</v>
      </c>
      <c r="AA774" s="39" t="n">
        <f aca="false">IF(AND(E774&gt;0,B774=10),1,0)</f>
        <v>0</v>
      </c>
      <c r="AB774" s="0" t="str">
        <f aca="false">IF(AND(C773=C774,Y773=Y774-1),Z773,"")</f>
        <v/>
      </c>
      <c r="AC774" s="0" t="str">
        <f aca="false">IF(AND(C773=C774,Y773=Y774-1),AA773,"")</f>
        <v/>
      </c>
      <c r="AD774" s="0" t="str">
        <f aca="false">IF(Y774=1,"",IF(AND(Z774=1,AB774&lt;&gt;1),1,0))</f>
        <v/>
      </c>
      <c r="AE774" s="0" t="str">
        <f aca="false">IF(Y774=1,"",IF(AND(AA774=1,AC774&lt;&gt;1),1,0))</f>
        <v/>
      </c>
      <c r="AF774" s="45" t="str">
        <f aca="false">IF(AND(E774&gt;0,Y774&lt;1,NOT(AND(C775=C774,Y775=Y774+1))),INDEX(DATAS,Y774+1),"")</f>
        <v/>
      </c>
      <c r="AG774" s="45" t="str">
        <f aca="false">IF(AND(AA774=1,Y774&lt;1),IF(AND(C775=C774,Y775=Y774+1),IF(AA775=1,"",INDEX(DATAS,Y774+1)),INDEX(DATAS,Y774+1)),"")</f>
        <v/>
      </c>
    </row>
    <row r="775" customFormat="false" ht="15" hidden="false" customHeight="false" outlineLevel="0" collapsed="false">
      <c r="A775" s="45" t="n">
        <v>46309</v>
      </c>
      <c r="B775" s="0" t="n">
        <v>3</v>
      </c>
      <c r="C775" s="0" t="n">
        <v>4702</v>
      </c>
      <c r="D775" s="0" t="n">
        <v>281</v>
      </c>
      <c r="E775" s="0" t="n">
        <v>2</v>
      </c>
      <c r="F775" s="39" t="s">
        <v>613</v>
      </c>
      <c r="G775" s="0" t="n">
        <v>47.3</v>
      </c>
      <c r="H775" s="0" t="n">
        <v>50</v>
      </c>
      <c r="I775" s="39" t="s">
        <v>109</v>
      </c>
      <c r="J775" s="0" t="n">
        <v>169</v>
      </c>
      <c r="K775" s="0" t="n">
        <v>64</v>
      </c>
      <c r="L775" s="0" t="n">
        <v>112</v>
      </c>
      <c r="M775" s="0" t="n">
        <v>444.79</v>
      </c>
      <c r="N775" s="0" t="n">
        <v>18.95</v>
      </c>
      <c r="O775" s="0" t="n">
        <v>16.73</v>
      </c>
      <c r="P775" s="0" t="n">
        <v>2.95</v>
      </c>
      <c r="Q775" s="0" t="n">
        <v>3.53</v>
      </c>
      <c r="R775" s="0" t="n">
        <v>4921</v>
      </c>
      <c r="S775" s="0" t="n">
        <v>9154</v>
      </c>
      <c r="T775" s="0" t="n">
        <v>50.6</v>
      </c>
      <c r="U775" s="0" t="n">
        <v>1253</v>
      </c>
      <c r="V775" s="0" t="n">
        <v>3</v>
      </c>
      <c r="W775" s="39" t="n">
        <f aca="false">IF(I775="Male",0,1)</f>
        <v>1</v>
      </c>
      <c r="X775" s="39" t="n">
        <f aca="false">IF(OR(I775="DNB",I775="Dry DNB"),1,0)</f>
        <v>0</v>
      </c>
      <c r="Y775" s="39" t="n">
        <f aca="false">MATCH(A775,DATAS,0)</f>
        <v>1</v>
      </c>
      <c r="Z775" s="39" t="n">
        <f aca="false">IF(AND(E775&gt;0,OR(AND(B775&gt;=1,B775&lt;=6),B775=10)),1,0)</f>
        <v>1</v>
      </c>
      <c r="AA775" s="39" t="n">
        <f aca="false">IF(AND(E775&gt;0,B775=10),1,0)</f>
        <v>0</v>
      </c>
      <c r="AB775" s="0" t="str">
        <f aca="false">IF(AND(C774=C775,Y774=Y775-1),Z774,"")</f>
        <v/>
      </c>
      <c r="AC775" s="0" t="str">
        <f aca="false">IF(AND(C774=C775,Y774=Y775-1),AA774,"")</f>
        <v/>
      </c>
      <c r="AD775" s="0" t="str">
        <f aca="false">IF(Y775=1,"",IF(AND(Z775=1,AB775&lt;&gt;1),1,0))</f>
        <v/>
      </c>
      <c r="AE775" s="0" t="str">
        <f aca="false">IF(Y775=1,"",IF(AND(AA775=1,AC775&lt;&gt;1),1,0))</f>
        <v/>
      </c>
      <c r="AF775" s="45" t="str">
        <f aca="false">IF(AND(E775&gt;0,Y775&lt;1,NOT(AND(C776=C775,Y776=Y775+1))),INDEX(DATAS,Y775+1),"")</f>
        <v/>
      </c>
      <c r="AG775" s="45" t="str">
        <f aca="false">IF(AND(AA775=1,Y775&lt;1),IF(AND(C776=C775,Y776=Y775+1),IF(AA776=1,"",INDEX(DATAS,Y775+1)),INDEX(DATAS,Y775+1)),"")</f>
        <v/>
      </c>
    </row>
    <row r="776" customFormat="false" ht="15" hidden="false" customHeight="false" outlineLevel="0" collapsed="false">
      <c r="A776" s="45" t="n">
        <v>46309</v>
      </c>
      <c r="B776" s="0" t="n">
        <v>2</v>
      </c>
      <c r="C776" s="0" t="n">
        <v>4703</v>
      </c>
      <c r="D776" s="0" t="n">
        <v>278</v>
      </c>
      <c r="E776" s="0" t="n">
        <v>2</v>
      </c>
      <c r="F776" s="39" t="s">
        <v>613</v>
      </c>
      <c r="G776" s="0" t="n">
        <v>41.4</v>
      </c>
      <c r="H776" s="0" t="n">
        <v>46</v>
      </c>
      <c r="I776" s="39" t="s">
        <v>109</v>
      </c>
      <c r="J776" s="0" t="n">
        <v>68</v>
      </c>
      <c r="K776" s="0" t="n">
        <v>68</v>
      </c>
      <c r="L776" s="0" t="n">
        <v>210</v>
      </c>
      <c r="M776" s="0" t="n">
        <v>1229.93</v>
      </c>
      <c r="N776" s="0" t="n">
        <v>53.53</v>
      </c>
      <c r="O776" s="0" t="n">
        <v>40.08</v>
      </c>
      <c r="P776" s="0" t="n">
        <v>3.84</v>
      </c>
      <c r="Q776" s="0" t="n">
        <v>3.07</v>
      </c>
      <c r="R776" s="0" t="n">
        <v>5404</v>
      </c>
      <c r="S776" s="0" t="n">
        <v>12149</v>
      </c>
      <c r="T776" s="0" t="n">
        <v>55.65</v>
      </c>
      <c r="U776" s="0" t="n">
        <v>1253</v>
      </c>
      <c r="V776" s="0" t="n">
        <v>1</v>
      </c>
      <c r="W776" s="39" t="n">
        <f aca="false">IF(I776="Male",0,1)</f>
        <v>1</v>
      </c>
      <c r="X776" s="39" t="n">
        <f aca="false">IF(OR(I776="DNB",I776="Dry DNB"),1,0)</f>
        <v>0</v>
      </c>
      <c r="Y776" s="39" t="n">
        <f aca="false">MATCH(A776,DATAS,0)</f>
        <v>1</v>
      </c>
      <c r="Z776" s="39" t="n">
        <f aca="false">IF(AND(E776&gt;0,OR(AND(B776&gt;=1,B776&lt;=6),B776=10)),1,0)</f>
        <v>1</v>
      </c>
      <c r="AA776" s="39" t="n">
        <f aca="false">IF(AND(E776&gt;0,B776=10),1,0)</f>
        <v>0</v>
      </c>
      <c r="AB776" s="0" t="str">
        <f aca="false">IF(AND(C775=C776,Y775=Y776-1),Z775,"")</f>
        <v/>
      </c>
      <c r="AC776" s="0" t="str">
        <f aca="false">IF(AND(C775=C776,Y775=Y776-1),AA775,"")</f>
        <v/>
      </c>
      <c r="AD776" s="0" t="str">
        <f aca="false">IF(Y776=1,"",IF(AND(Z776=1,AB776&lt;&gt;1),1,0))</f>
        <v/>
      </c>
      <c r="AE776" s="0" t="str">
        <f aca="false">IF(Y776=1,"",IF(AND(AA776=1,AC776&lt;&gt;1),1,0))</f>
        <v/>
      </c>
      <c r="AF776" s="45" t="str">
        <f aca="false">IF(AND(E776&gt;0,Y776&lt;1,NOT(AND(C777=C776,Y777=Y776+1))),INDEX(DATAS,Y776+1),"")</f>
        <v/>
      </c>
      <c r="AG776" s="45" t="str">
        <f aca="false">IF(AND(AA776=1,Y776&lt;1),IF(AND(C777=C776,Y777=Y776+1),IF(AA777=1,"",INDEX(DATAS,Y776+1)),INDEX(DATAS,Y776+1)),"")</f>
        <v/>
      </c>
    </row>
    <row r="777" customFormat="false" ht="15" hidden="false" customHeight="false" outlineLevel="0" collapsed="false">
      <c r="A777" s="45" t="n">
        <v>46309</v>
      </c>
      <c r="B777" s="0" t="n">
        <v>5</v>
      </c>
      <c r="C777" s="0" t="n">
        <v>4704</v>
      </c>
      <c r="D777" s="0" t="n">
        <v>164</v>
      </c>
      <c r="E777" s="0" t="n">
        <v>2</v>
      </c>
      <c r="F777" s="39" t="s">
        <v>614</v>
      </c>
      <c r="G777" s="0" t="n">
        <v>41.9</v>
      </c>
      <c r="H777" s="0" t="n">
        <v>38</v>
      </c>
      <c r="I777" s="39" t="s">
        <v>109</v>
      </c>
      <c r="J777" s="0" t="n">
        <v>66</v>
      </c>
      <c r="K777" s="0" t="n">
        <v>66</v>
      </c>
      <c r="L777" s="0" t="n">
        <v>98</v>
      </c>
      <c r="M777" s="0" t="n">
        <v>956.93</v>
      </c>
      <c r="N777" s="0" t="n">
        <v>40.48</v>
      </c>
      <c r="O777" s="0" t="n">
        <v>32.59</v>
      </c>
      <c r="P777" s="0" t="n">
        <v>2.86</v>
      </c>
      <c r="Q777" s="0" t="n">
        <v>3.79</v>
      </c>
      <c r="R777" s="0" t="n">
        <v>4723</v>
      </c>
      <c r="S777" s="0" t="n">
        <v>9312</v>
      </c>
      <c r="T777" s="0" t="n">
        <v>51.95</v>
      </c>
      <c r="U777" s="0" t="n">
        <v>1251</v>
      </c>
      <c r="V777" s="0" t="n">
        <v>1</v>
      </c>
      <c r="W777" s="39" t="n">
        <f aca="false">IF(I777="Male",0,1)</f>
        <v>1</v>
      </c>
      <c r="X777" s="39" t="n">
        <f aca="false">IF(OR(I777="DNB",I777="Dry DNB"),1,0)</f>
        <v>0</v>
      </c>
      <c r="Y777" s="39" t="n">
        <f aca="false">MATCH(A777,DATAS,0)</f>
        <v>1</v>
      </c>
      <c r="Z777" s="39" t="n">
        <f aca="false">IF(AND(E777&gt;0,OR(AND(B777&gt;=1,B777&lt;=6),B777=10)),1,0)</f>
        <v>1</v>
      </c>
      <c r="AA777" s="39" t="n">
        <f aca="false">IF(AND(E777&gt;0,B777=10),1,0)</f>
        <v>0</v>
      </c>
      <c r="AB777" s="0" t="str">
        <f aca="false">IF(AND(C776=C777,Y776=Y777-1),Z776,"")</f>
        <v/>
      </c>
      <c r="AC777" s="0" t="str">
        <f aca="false">IF(AND(C776=C777,Y776=Y777-1),AA776,"")</f>
        <v/>
      </c>
      <c r="AD777" s="0" t="str">
        <f aca="false">IF(Y777=1,"",IF(AND(Z777=1,AB777&lt;&gt;1),1,0))</f>
        <v/>
      </c>
      <c r="AE777" s="0" t="str">
        <f aca="false">IF(Y777=1,"",IF(AND(AA777=1,AC777&lt;&gt;1),1,0))</f>
        <v/>
      </c>
      <c r="AF777" s="45" t="str">
        <f aca="false">IF(AND(E777&gt;0,Y777&lt;1,NOT(AND(C778=C777,Y778=Y777+1))),INDEX(DATAS,Y777+1),"")</f>
        <v/>
      </c>
      <c r="AG777" s="45" t="str">
        <f aca="false">IF(AND(AA777=1,Y777&lt;1),IF(AND(C778=C777,Y778=Y777+1),IF(AA778=1,"",INDEX(DATAS,Y777+1)),INDEX(DATAS,Y777+1)),"")</f>
        <v/>
      </c>
    </row>
    <row r="778" customFormat="false" ht="15" hidden="false" customHeight="false" outlineLevel="0" collapsed="false">
      <c r="A778" s="45" t="n">
        <v>46309</v>
      </c>
      <c r="B778" s="0" t="n">
        <v>14</v>
      </c>
      <c r="C778" s="0" t="n">
        <v>4707</v>
      </c>
      <c r="D778" s="0" t="n">
        <v>546</v>
      </c>
      <c r="E778" s="0" t="n">
        <v>1</v>
      </c>
      <c r="F778" s="39" t="s">
        <v>615</v>
      </c>
      <c r="I778" s="39" t="s">
        <v>114</v>
      </c>
      <c r="J778" s="0" t="n">
        <v>330</v>
      </c>
      <c r="K778" s="0" t="n">
        <v>65</v>
      </c>
      <c r="L778" s="0" t="n">
        <v>273</v>
      </c>
      <c r="M778" s="0" t="n">
        <v>585.94</v>
      </c>
      <c r="N778" s="0" t="n">
        <v>29.51</v>
      </c>
      <c r="O778" s="0" t="n">
        <v>16.81</v>
      </c>
      <c r="P778" s="0" t="n">
        <v>5.08</v>
      </c>
      <c r="Q778" s="0" t="n">
        <v>3.93</v>
      </c>
      <c r="R778" s="0" t="n">
        <v>3946</v>
      </c>
      <c r="S778" s="0" t="n">
        <v>9515</v>
      </c>
      <c r="T778" s="0" t="n">
        <v>44.6</v>
      </c>
      <c r="U778" s="0" t="n">
        <v>1250</v>
      </c>
      <c r="V778" s="0" t="n">
        <v>7</v>
      </c>
      <c r="W778" s="39" t="n">
        <f aca="false">IF(I778="Male",0,1)</f>
        <v>1</v>
      </c>
      <c r="X778" s="39" t="n">
        <f aca="false">IF(OR(I778="DNB",I778="Dry DNB"),1,0)</f>
        <v>0</v>
      </c>
      <c r="Y778" s="39" t="n">
        <f aca="false">MATCH(A778,DATAS,0)</f>
        <v>1</v>
      </c>
      <c r="Z778" s="39" t="n">
        <f aca="false">IF(AND(E778&gt;0,OR(AND(B778&gt;=1,B778&lt;=6),B778=10)),1,0)</f>
        <v>0</v>
      </c>
      <c r="AA778" s="39" t="n">
        <f aca="false">IF(AND(E778&gt;0,B778=10),1,0)</f>
        <v>0</v>
      </c>
      <c r="AB778" s="0" t="str">
        <f aca="false">IF(AND(C777=C778,Y777=Y778-1),Z777,"")</f>
        <v/>
      </c>
      <c r="AC778" s="0" t="str">
        <f aca="false">IF(AND(C777=C778,Y777=Y778-1),AA777,"")</f>
        <v/>
      </c>
      <c r="AD778" s="0" t="str">
        <f aca="false">IF(Y778=1,"",IF(AND(Z778=1,AB778&lt;&gt;1),1,0))</f>
        <v/>
      </c>
      <c r="AE778" s="0" t="str">
        <f aca="false">IF(Y778=1,"",IF(AND(AA778=1,AC778&lt;&gt;1),1,0))</f>
        <v/>
      </c>
      <c r="AF778" s="45" t="str">
        <f aca="false">IF(AND(E778&gt;0,Y778&lt;1,NOT(AND(C779=C778,Y779=Y778+1))),INDEX(DATAS,Y778+1),"")</f>
        <v/>
      </c>
      <c r="AG778" s="45" t="str">
        <f aca="false">IF(AND(AA778=1,Y778&lt;1),IF(AND(C779=C778,Y779=Y778+1),IF(AA779=1,"",INDEX(DATAS,Y778+1)),INDEX(DATAS,Y778+1)),"")</f>
        <v/>
      </c>
    </row>
    <row r="779" customFormat="false" ht="15" hidden="false" customHeight="false" outlineLevel="0" collapsed="false">
      <c r="A779" s="45" t="n">
        <v>46309</v>
      </c>
      <c r="B779" s="0" t="n">
        <v>5</v>
      </c>
      <c r="C779" s="0" t="n">
        <v>4710</v>
      </c>
      <c r="D779" s="0" t="n">
        <v>222</v>
      </c>
      <c r="E779" s="0" t="n">
        <v>2</v>
      </c>
      <c r="F779" s="39" t="s">
        <v>616</v>
      </c>
      <c r="G779" s="0" t="n">
        <v>38.2</v>
      </c>
      <c r="H779" s="0" t="n">
        <v>35</v>
      </c>
      <c r="I779" s="39" t="s">
        <v>138</v>
      </c>
      <c r="J779" s="0" t="n">
        <v>222</v>
      </c>
      <c r="K779" s="0" t="n">
        <v>68</v>
      </c>
      <c r="M779" s="0" t="n">
        <v>225.49</v>
      </c>
      <c r="N779" s="0" t="n">
        <v>74.44</v>
      </c>
      <c r="O779" s="0" t="n">
        <v>28.79</v>
      </c>
      <c r="P779" s="0" t="n">
        <v>5.54</v>
      </c>
      <c r="Q779" s="0" t="n">
        <v>4.33</v>
      </c>
      <c r="R779" s="0" t="n">
        <v>4409</v>
      </c>
      <c r="S779" s="0" t="n">
        <v>8039</v>
      </c>
      <c r="T779" s="0" t="n">
        <v>50.3</v>
      </c>
      <c r="U779" s="0" t="n">
        <v>1247</v>
      </c>
      <c r="V779" s="0" t="n">
        <v>5</v>
      </c>
      <c r="W779" s="39" t="n">
        <f aca="false">IF(I779="Male",0,1)</f>
        <v>1</v>
      </c>
      <c r="X779" s="39" t="n">
        <f aca="false">IF(OR(I779="DNB",I779="Dry DNB"),1,0)</f>
        <v>0</v>
      </c>
      <c r="Y779" s="39" t="n">
        <f aca="false">MATCH(A779,DATAS,0)</f>
        <v>1</v>
      </c>
      <c r="Z779" s="39" t="n">
        <f aca="false">IF(AND(E779&gt;0,OR(AND(B779&gt;=1,B779&lt;=6),B779=10)),1,0)</f>
        <v>1</v>
      </c>
      <c r="AA779" s="39" t="n">
        <f aca="false">IF(AND(E779&gt;0,B779=10),1,0)</f>
        <v>0</v>
      </c>
      <c r="AB779" s="0" t="str">
        <f aca="false">IF(AND(C778=C779,Y778=Y779-1),Z778,"")</f>
        <v/>
      </c>
      <c r="AC779" s="0" t="str">
        <f aca="false">IF(AND(C778=C779,Y778=Y779-1),AA778,"")</f>
        <v/>
      </c>
      <c r="AD779" s="0" t="str">
        <f aca="false">IF(Y779=1,"",IF(AND(Z779=1,AB779&lt;&gt;1),1,0))</f>
        <v/>
      </c>
      <c r="AE779" s="0" t="str">
        <f aca="false">IF(Y779=1,"",IF(AND(AA779=1,AC779&lt;&gt;1),1,0))</f>
        <v/>
      </c>
      <c r="AF779" s="45" t="str">
        <f aca="false">IF(AND(E779&gt;0,Y779&lt;1,NOT(AND(C780=C779,Y780=Y779+1))),INDEX(DATAS,Y779+1),"")</f>
        <v/>
      </c>
      <c r="AG779" s="45" t="str">
        <f aca="false">IF(AND(AA779=1,Y779&lt;1),IF(AND(C780=C779,Y780=Y779+1),IF(AA780=1,"",INDEX(DATAS,Y779+1)),INDEX(DATAS,Y779+1)),"")</f>
        <v/>
      </c>
    </row>
    <row r="780" customFormat="false" ht="15" hidden="false" customHeight="false" outlineLevel="0" collapsed="false">
      <c r="A780" s="45" t="n">
        <v>46309</v>
      </c>
      <c r="B780" s="0" t="n">
        <v>5</v>
      </c>
      <c r="C780" s="0" t="n">
        <v>4711</v>
      </c>
      <c r="D780" s="0" t="n">
        <v>216</v>
      </c>
      <c r="E780" s="0" t="n">
        <v>2</v>
      </c>
      <c r="F780" s="39" t="s">
        <v>616</v>
      </c>
      <c r="G780" s="0" t="n">
        <v>34.8</v>
      </c>
      <c r="H780" s="0" t="n">
        <v>35</v>
      </c>
      <c r="I780" s="39" t="s">
        <v>109</v>
      </c>
      <c r="J780" s="0" t="n">
        <v>69</v>
      </c>
      <c r="K780" s="0" t="n">
        <v>69</v>
      </c>
      <c r="L780" s="0" t="n">
        <v>147</v>
      </c>
      <c r="M780" s="0" t="n">
        <v>259.14</v>
      </c>
      <c r="N780" s="0" t="n">
        <v>51.32</v>
      </c>
      <c r="O780" s="0" t="n">
        <v>16.52</v>
      </c>
      <c r="P780" s="0" t="n">
        <v>4.85</v>
      </c>
      <c r="Q780" s="0" t="n">
        <v>3.77</v>
      </c>
      <c r="R780" s="0" t="n">
        <v>2456</v>
      </c>
      <c r="S780" s="0" t="n">
        <v>6002</v>
      </c>
      <c r="T780" s="0" t="n">
        <v>31.9</v>
      </c>
      <c r="U780" s="0" t="n">
        <v>1247</v>
      </c>
      <c r="V780" s="0" t="n">
        <v>1</v>
      </c>
      <c r="W780" s="39" t="n">
        <f aca="false">IF(I780="Male",0,1)</f>
        <v>1</v>
      </c>
      <c r="X780" s="39" t="n">
        <f aca="false">IF(OR(I780="DNB",I780="Dry DNB"),1,0)</f>
        <v>0</v>
      </c>
      <c r="Y780" s="39" t="n">
        <f aca="false">MATCH(A780,DATAS,0)</f>
        <v>1</v>
      </c>
      <c r="Z780" s="39" t="n">
        <f aca="false">IF(AND(E780&gt;0,OR(AND(B780&gt;=1,B780&lt;=6),B780=10)),1,0)</f>
        <v>1</v>
      </c>
      <c r="AA780" s="39" t="n">
        <f aca="false">IF(AND(E780&gt;0,B780=10),1,0)</f>
        <v>0</v>
      </c>
      <c r="AB780" s="0" t="str">
        <f aca="false">IF(AND(C779=C780,Y779=Y780-1),Z779,"")</f>
        <v/>
      </c>
      <c r="AC780" s="0" t="str">
        <f aca="false">IF(AND(C779=C780,Y779=Y780-1),AA779,"")</f>
        <v/>
      </c>
      <c r="AD780" s="0" t="str">
        <f aca="false">IF(Y780=1,"",IF(AND(Z780=1,AB780&lt;&gt;1),1,0))</f>
        <v/>
      </c>
      <c r="AE780" s="0" t="str">
        <f aca="false">IF(Y780=1,"",IF(AND(AA780=1,AC780&lt;&gt;1),1,0))</f>
        <v/>
      </c>
      <c r="AF780" s="45" t="str">
        <f aca="false">IF(AND(E780&gt;0,Y780&lt;1,NOT(AND(C781=C780,Y781=Y780+1))),INDEX(DATAS,Y780+1),"")</f>
        <v/>
      </c>
      <c r="AG780" s="45" t="str">
        <f aca="false">IF(AND(AA780=1,Y780&lt;1),IF(AND(C781=C780,Y781=Y780+1),IF(AA781=1,"",INDEX(DATAS,Y780+1)),INDEX(DATAS,Y780+1)),"")</f>
        <v/>
      </c>
    </row>
    <row r="781" customFormat="false" ht="15" hidden="false" customHeight="false" outlineLevel="0" collapsed="false">
      <c r="A781" s="45" t="n">
        <v>46309</v>
      </c>
      <c r="B781" s="0" t="n">
        <v>2</v>
      </c>
      <c r="C781" s="0" t="n">
        <v>4712</v>
      </c>
      <c r="D781" s="0" t="n">
        <v>125</v>
      </c>
      <c r="E781" s="0" t="n">
        <v>2</v>
      </c>
      <c r="F781" s="39" t="s">
        <v>617</v>
      </c>
      <c r="G781" s="0" t="n">
        <v>53.9</v>
      </c>
      <c r="H781" s="0" t="n">
        <v>55</v>
      </c>
      <c r="I781" s="39" t="s">
        <v>146</v>
      </c>
      <c r="J781" s="0" t="n">
        <v>125</v>
      </c>
      <c r="K781" s="0" t="n">
        <v>66</v>
      </c>
      <c r="M781" s="0" t="n">
        <v>1086.87</v>
      </c>
      <c r="N781" s="0" t="n">
        <v>33.02</v>
      </c>
      <c r="O781" s="0" t="n">
        <v>38.44</v>
      </c>
      <c r="P781" s="0" t="n">
        <v>2.59</v>
      </c>
      <c r="Q781" s="0" t="n">
        <v>3.55</v>
      </c>
      <c r="R781" s="0" t="n">
        <v>5153</v>
      </c>
      <c r="S781" s="0" t="n">
        <v>10609</v>
      </c>
      <c r="T781" s="0" t="n">
        <v>55.85</v>
      </c>
      <c r="U781" s="0" t="n">
        <v>1246</v>
      </c>
      <c r="V781" s="0" t="n">
        <v>1</v>
      </c>
      <c r="W781" s="39" t="n">
        <f aca="false">IF(I781="Male",0,1)</f>
        <v>1</v>
      </c>
      <c r="X781" s="39" t="n">
        <f aca="false">IF(OR(I781="DNB",I781="Dry DNB"),1,0)</f>
        <v>0</v>
      </c>
      <c r="Y781" s="39" t="n">
        <f aca="false">MATCH(A781,DATAS,0)</f>
        <v>1</v>
      </c>
      <c r="Z781" s="39" t="n">
        <f aca="false">IF(AND(E781&gt;0,OR(AND(B781&gt;=1,B781&lt;=6),B781=10)),1,0)</f>
        <v>1</v>
      </c>
      <c r="AA781" s="39" t="n">
        <f aca="false">IF(AND(E781&gt;0,B781=10),1,0)</f>
        <v>0</v>
      </c>
      <c r="AB781" s="0" t="str">
        <f aca="false">IF(AND(C780=C781,Y780=Y781-1),Z780,"")</f>
        <v/>
      </c>
      <c r="AC781" s="0" t="str">
        <f aca="false">IF(AND(C780=C781,Y780=Y781-1),AA780,"")</f>
        <v/>
      </c>
      <c r="AD781" s="0" t="str">
        <f aca="false">IF(Y781=1,"",IF(AND(Z781=1,AB781&lt;&gt;1),1,0))</f>
        <v/>
      </c>
      <c r="AE781" s="0" t="str">
        <f aca="false">IF(Y781=1,"",IF(AND(AA781=1,AC781&lt;&gt;1),1,0))</f>
        <v/>
      </c>
      <c r="AF781" s="45" t="str">
        <f aca="false">IF(AND(E781&gt;0,Y781&lt;1,NOT(AND(C782=C781,Y782=Y781+1))),INDEX(DATAS,Y781+1),"")</f>
        <v/>
      </c>
      <c r="AG781" s="45" t="str">
        <f aca="false">IF(AND(AA781=1,Y781&lt;1),IF(AND(C782=C781,Y782=Y781+1),IF(AA782=1,"",INDEX(DATAS,Y781+1)),INDEX(DATAS,Y781+1)),"")</f>
        <v/>
      </c>
    </row>
    <row r="782" customFormat="false" ht="15" hidden="false" customHeight="false" outlineLevel="0" collapsed="false">
      <c r="A782" s="45" t="n">
        <v>46309</v>
      </c>
      <c r="B782" s="0" t="n">
        <v>2</v>
      </c>
      <c r="C782" s="0" t="n">
        <v>4713</v>
      </c>
      <c r="D782" s="0" t="n">
        <v>183</v>
      </c>
      <c r="E782" s="0" t="n">
        <v>2</v>
      </c>
      <c r="F782" s="39" t="s">
        <v>617</v>
      </c>
      <c r="G782" s="0" t="n">
        <v>54</v>
      </c>
      <c r="H782" s="0" t="n">
        <v>55</v>
      </c>
      <c r="I782" s="39" t="s">
        <v>109</v>
      </c>
      <c r="J782" s="0" t="n">
        <v>134</v>
      </c>
      <c r="K782" s="0" t="n">
        <v>64</v>
      </c>
      <c r="L782" s="0" t="n">
        <v>49</v>
      </c>
      <c r="M782" s="0" t="n">
        <v>999.8</v>
      </c>
      <c r="N782" s="0" t="n">
        <v>78.74</v>
      </c>
      <c r="O782" s="0" t="n">
        <v>41.63</v>
      </c>
      <c r="P782" s="0" t="n">
        <v>3</v>
      </c>
      <c r="Q782" s="0" t="n">
        <v>3.44</v>
      </c>
      <c r="R782" s="0" t="n">
        <v>6009</v>
      </c>
      <c r="S782" s="0" t="n">
        <v>12254</v>
      </c>
      <c r="T782" s="0" t="n">
        <v>63.6</v>
      </c>
      <c r="U782" s="0" t="n">
        <v>1246</v>
      </c>
      <c r="V782" s="0" t="n">
        <v>3</v>
      </c>
      <c r="W782" s="39" t="n">
        <f aca="false">IF(I782="Male",0,1)</f>
        <v>1</v>
      </c>
      <c r="X782" s="39" t="n">
        <f aca="false">IF(OR(I782="DNB",I782="Dry DNB"),1,0)</f>
        <v>0</v>
      </c>
      <c r="Y782" s="39" t="n">
        <f aca="false">MATCH(A782,DATAS,0)</f>
        <v>1</v>
      </c>
      <c r="Z782" s="39" t="n">
        <f aca="false">IF(AND(E782&gt;0,OR(AND(B782&gt;=1,B782&lt;=6),B782=10)),1,0)</f>
        <v>1</v>
      </c>
      <c r="AA782" s="39" t="n">
        <f aca="false">IF(AND(E782&gt;0,B782=10),1,0)</f>
        <v>0</v>
      </c>
      <c r="AB782" s="0" t="str">
        <f aca="false">IF(AND(C781=C782,Y781=Y782-1),Z781,"")</f>
        <v/>
      </c>
      <c r="AC782" s="0" t="str">
        <f aca="false">IF(AND(C781=C782,Y781=Y782-1),AA781,"")</f>
        <v/>
      </c>
      <c r="AD782" s="0" t="str">
        <f aca="false">IF(Y782=1,"",IF(AND(Z782=1,AB782&lt;&gt;1),1,0))</f>
        <v/>
      </c>
      <c r="AE782" s="0" t="str">
        <f aca="false">IF(Y782=1,"",IF(AND(AA782=1,AC782&lt;&gt;1),1,0))</f>
        <v/>
      </c>
      <c r="AF782" s="45" t="str">
        <f aca="false">IF(AND(E782&gt;0,Y782&lt;1,NOT(AND(C783=C782,Y783=Y782+1))),INDEX(DATAS,Y782+1),"")</f>
        <v/>
      </c>
      <c r="AG782" s="45" t="str">
        <f aca="false">IF(AND(AA782=1,Y782&lt;1),IF(AND(C783=C782,Y783=Y782+1),IF(AA783=1,"",INDEX(DATAS,Y782+1)),INDEX(DATAS,Y782+1)),"")</f>
        <v/>
      </c>
    </row>
    <row r="783" customFormat="false" ht="15" hidden="false" customHeight="false" outlineLevel="0" collapsed="false">
      <c r="A783" s="45" t="n">
        <v>46309</v>
      </c>
      <c r="B783" s="0" t="n">
        <v>7</v>
      </c>
      <c r="C783" s="0" t="n">
        <v>4714</v>
      </c>
      <c r="D783" s="0" t="n">
        <v>45</v>
      </c>
      <c r="E783" s="0" t="n">
        <v>2</v>
      </c>
      <c r="F783" s="39" t="s">
        <v>617</v>
      </c>
      <c r="I783" s="39" t="s">
        <v>447</v>
      </c>
      <c r="J783" s="0" t="n">
        <v>45</v>
      </c>
      <c r="K783" s="0" t="n">
        <v>81</v>
      </c>
      <c r="M783" s="0" t="n">
        <v>780.59</v>
      </c>
      <c r="N783" s="0" t="n">
        <v>60.99</v>
      </c>
      <c r="O783" s="0" t="n">
        <v>33.62</v>
      </c>
      <c r="P783" s="0" t="n">
        <v>2.67</v>
      </c>
      <c r="Q783" s="0" t="n">
        <v>3.65</v>
      </c>
      <c r="R783" s="0" t="n">
        <v>749</v>
      </c>
      <c r="S783" s="0" t="n">
        <v>1506</v>
      </c>
      <c r="U783" s="0" t="n">
        <v>1246</v>
      </c>
      <c r="V783" s="0" t="n">
        <v>3</v>
      </c>
      <c r="W783" s="39" t="n">
        <f aca="false">IF(I783="Male",0,1)</f>
        <v>1</v>
      </c>
      <c r="X783" s="39" t="n">
        <f aca="false">IF(OR(I783="DNB",I783="Dry DNB"),1,0)</f>
        <v>0</v>
      </c>
      <c r="Y783" s="39" t="n">
        <f aca="false">MATCH(A783,DATAS,0)</f>
        <v>1</v>
      </c>
      <c r="Z783" s="39" t="n">
        <f aca="false">IF(AND(E783&gt;0,OR(AND(B783&gt;=1,B783&lt;=6),B783=10)),1,0)</f>
        <v>0</v>
      </c>
      <c r="AA783" s="39" t="n">
        <f aca="false">IF(AND(E783&gt;0,B783=10),1,0)</f>
        <v>0</v>
      </c>
      <c r="AB783" s="0" t="str">
        <f aca="false">IF(AND(C782=C783,Y782=Y783-1),Z782,"")</f>
        <v/>
      </c>
      <c r="AC783" s="0" t="str">
        <f aca="false">IF(AND(C782=C783,Y782=Y783-1),AA782,"")</f>
        <v/>
      </c>
      <c r="AD783" s="0" t="str">
        <f aca="false">IF(Y783=1,"",IF(AND(Z783=1,AB783&lt;&gt;1),1,0))</f>
        <v/>
      </c>
      <c r="AE783" s="0" t="str">
        <f aca="false">IF(Y783=1,"",IF(AND(AA783=1,AC783&lt;&gt;1),1,0))</f>
        <v/>
      </c>
      <c r="AF783" s="45" t="str">
        <f aca="false">IF(AND(E783&gt;0,Y783&lt;1,NOT(AND(C784=C783,Y784=Y783+1))),INDEX(DATAS,Y783+1),"")</f>
        <v/>
      </c>
      <c r="AG783" s="45" t="str">
        <f aca="false">IF(AND(AA783=1,Y783&lt;1),IF(AND(C784=C783,Y784=Y783+1),IF(AA784=1,"",INDEX(DATAS,Y783+1)),INDEX(DATAS,Y783+1)),"")</f>
        <v/>
      </c>
    </row>
    <row r="784" customFormat="false" ht="15" hidden="false" customHeight="false" outlineLevel="0" collapsed="false">
      <c r="A784" s="45" t="n">
        <v>46309</v>
      </c>
      <c r="B784" s="0" t="n">
        <v>3</v>
      </c>
      <c r="C784" s="0" t="n">
        <v>4715</v>
      </c>
      <c r="D784" s="0" t="n">
        <v>121</v>
      </c>
      <c r="E784" s="0" t="n">
        <v>2</v>
      </c>
      <c r="F784" s="39" t="s">
        <v>618</v>
      </c>
      <c r="G784" s="0" t="n">
        <v>53.2</v>
      </c>
      <c r="H784" s="0" t="n">
        <v>54</v>
      </c>
      <c r="I784" s="39" t="s">
        <v>138</v>
      </c>
      <c r="J784" s="0" t="n">
        <v>121</v>
      </c>
      <c r="K784" s="0" t="n">
        <v>93</v>
      </c>
      <c r="M784" s="0" t="n">
        <v>666.62</v>
      </c>
      <c r="N784" s="0" t="n">
        <v>30.73</v>
      </c>
      <c r="O784" s="0" t="n">
        <v>28.9</v>
      </c>
      <c r="P784" s="0" t="n">
        <v>3.54</v>
      </c>
      <c r="Q784" s="0" t="n">
        <v>3.18</v>
      </c>
      <c r="R784" s="0" t="n">
        <v>5256</v>
      </c>
      <c r="S784" s="0" t="n">
        <v>10716</v>
      </c>
      <c r="T784" s="0" t="n">
        <v>57</v>
      </c>
      <c r="U784" s="0" t="n">
        <v>1245</v>
      </c>
      <c r="V784" s="0" t="n">
        <v>1</v>
      </c>
      <c r="W784" s="39" t="n">
        <f aca="false">IF(I784="Male",0,1)</f>
        <v>1</v>
      </c>
      <c r="X784" s="39" t="n">
        <f aca="false">IF(OR(I784="DNB",I784="Dry DNB"),1,0)</f>
        <v>0</v>
      </c>
      <c r="Y784" s="39" t="n">
        <f aca="false">MATCH(A784,DATAS,0)</f>
        <v>1</v>
      </c>
      <c r="Z784" s="39" t="n">
        <f aca="false">IF(AND(E784&gt;0,OR(AND(B784&gt;=1,B784&lt;=6),B784=10)),1,0)</f>
        <v>1</v>
      </c>
      <c r="AA784" s="39" t="n">
        <f aca="false">IF(AND(E784&gt;0,B784=10),1,0)</f>
        <v>0</v>
      </c>
      <c r="AB784" s="0" t="str">
        <f aca="false">IF(AND(C783=C784,Y783=Y784-1),Z783,"")</f>
        <v/>
      </c>
      <c r="AC784" s="0" t="str">
        <f aca="false">IF(AND(C783=C784,Y783=Y784-1),AA783,"")</f>
        <v/>
      </c>
      <c r="AD784" s="0" t="str">
        <f aca="false">IF(Y784=1,"",IF(AND(Z784=1,AB784&lt;&gt;1),1,0))</f>
        <v/>
      </c>
      <c r="AE784" s="0" t="str">
        <f aca="false">IF(Y784=1,"",IF(AND(AA784=1,AC784&lt;&gt;1),1,0))</f>
        <v/>
      </c>
      <c r="AF784" s="45" t="str">
        <f aca="false">IF(AND(E784&gt;0,Y784&lt;1,NOT(AND(C785=C784,Y785=Y784+1))),INDEX(DATAS,Y784+1),"")</f>
        <v/>
      </c>
      <c r="AG784" s="45" t="str">
        <f aca="false">IF(AND(AA784=1,Y784&lt;1),IF(AND(C785=C784,Y785=Y784+1),IF(AA785=1,"",INDEX(DATAS,Y784+1)),INDEX(DATAS,Y784+1)),"")</f>
        <v/>
      </c>
    </row>
    <row r="785" customFormat="false" ht="15" hidden="false" customHeight="false" outlineLevel="0" collapsed="false">
      <c r="A785" s="45" t="n">
        <v>46309</v>
      </c>
      <c r="B785" s="0" t="n">
        <v>6</v>
      </c>
      <c r="C785" s="0" t="n">
        <v>4716</v>
      </c>
      <c r="D785" s="0" t="n">
        <v>311</v>
      </c>
      <c r="E785" s="0" t="n">
        <v>2</v>
      </c>
      <c r="F785" s="39" t="s">
        <v>619</v>
      </c>
      <c r="G785" s="0" t="n">
        <v>30.7</v>
      </c>
      <c r="H785" s="0" t="n">
        <v>28</v>
      </c>
      <c r="I785" s="39" t="s">
        <v>109</v>
      </c>
      <c r="J785" s="0" t="n">
        <v>136</v>
      </c>
      <c r="K785" s="0" t="n">
        <v>66</v>
      </c>
      <c r="L785" s="0" t="n">
        <v>175</v>
      </c>
      <c r="M785" s="0" t="n">
        <v>719.88</v>
      </c>
      <c r="N785" s="0" t="n">
        <v>61.48</v>
      </c>
      <c r="O785" s="0" t="n">
        <v>34.36</v>
      </c>
      <c r="P785" s="0" t="n">
        <v>4.38</v>
      </c>
      <c r="Q785" s="0" t="n">
        <v>3.98</v>
      </c>
      <c r="R785" s="0" t="n">
        <v>6250</v>
      </c>
      <c r="S785" s="0" t="n">
        <v>11859</v>
      </c>
      <c r="T785" s="0" t="n">
        <v>66.75</v>
      </c>
      <c r="U785" s="0" t="n">
        <v>1244</v>
      </c>
      <c r="V785" s="0" t="n">
        <v>3</v>
      </c>
      <c r="W785" s="39" t="n">
        <f aca="false">IF(I785="Male",0,1)</f>
        <v>1</v>
      </c>
      <c r="X785" s="39" t="n">
        <f aca="false">IF(OR(I785="DNB",I785="Dry DNB"),1,0)</f>
        <v>0</v>
      </c>
      <c r="Y785" s="39" t="n">
        <f aca="false">MATCH(A785,DATAS,0)</f>
        <v>1</v>
      </c>
      <c r="Z785" s="39" t="n">
        <f aca="false">IF(AND(E785&gt;0,OR(AND(B785&gt;=1,B785&lt;=6),B785=10)),1,0)</f>
        <v>1</v>
      </c>
      <c r="AA785" s="39" t="n">
        <f aca="false">IF(AND(E785&gt;0,B785=10),1,0)</f>
        <v>0</v>
      </c>
      <c r="AB785" s="0" t="str">
        <f aca="false">IF(AND(C784=C785,Y784=Y785-1),Z784,"")</f>
        <v/>
      </c>
      <c r="AC785" s="0" t="str">
        <f aca="false">IF(AND(C784=C785,Y784=Y785-1),AA784,"")</f>
        <v/>
      </c>
      <c r="AD785" s="0" t="str">
        <f aca="false">IF(Y785=1,"",IF(AND(Z785=1,AB785&lt;&gt;1),1,0))</f>
        <v/>
      </c>
      <c r="AE785" s="0" t="str">
        <f aca="false">IF(Y785=1,"",IF(AND(AA785=1,AC785&lt;&gt;1),1,0))</f>
        <v/>
      </c>
      <c r="AF785" s="45" t="str">
        <f aca="false">IF(AND(E785&gt;0,Y785&lt;1,NOT(AND(C786=C785,Y786=Y785+1))),INDEX(DATAS,Y785+1),"")</f>
        <v/>
      </c>
      <c r="AG785" s="45" t="str">
        <f aca="false">IF(AND(AA785=1,Y785&lt;1),IF(AND(C786=C785,Y786=Y785+1),IF(AA786=1,"",INDEX(DATAS,Y785+1)),INDEX(DATAS,Y785+1)),"")</f>
        <v/>
      </c>
    </row>
    <row r="786" customFormat="false" ht="15" hidden="false" customHeight="false" outlineLevel="0" collapsed="false">
      <c r="A786" s="45" t="n">
        <v>46309</v>
      </c>
      <c r="B786" s="0" t="n">
        <v>10</v>
      </c>
      <c r="C786" s="0" t="n">
        <v>4717</v>
      </c>
      <c r="D786" s="0" t="n">
        <v>154</v>
      </c>
      <c r="E786" s="0" t="n">
        <v>2</v>
      </c>
      <c r="F786" s="39" t="s">
        <v>620</v>
      </c>
      <c r="H786" s="0" t="n">
        <v>26</v>
      </c>
      <c r="I786" s="39" t="s">
        <v>109</v>
      </c>
      <c r="J786" s="0" t="n">
        <v>98</v>
      </c>
      <c r="K786" s="0" t="n">
        <v>63</v>
      </c>
      <c r="L786" s="0" t="n">
        <v>56</v>
      </c>
      <c r="M786" s="0" t="n">
        <v>111.94</v>
      </c>
      <c r="N786" s="0" t="n">
        <v>49.76</v>
      </c>
      <c r="O786" s="0" t="n">
        <v>13.34</v>
      </c>
      <c r="P786" s="0" t="n">
        <v>3.53</v>
      </c>
      <c r="Q786" s="0" t="n">
        <v>3.14</v>
      </c>
      <c r="R786" s="0" t="n">
        <v>4951</v>
      </c>
      <c r="S786" s="0" t="n">
        <v>9759</v>
      </c>
      <c r="T786" s="0" t="n">
        <v>52.9</v>
      </c>
      <c r="U786" s="0" t="n">
        <v>1243</v>
      </c>
      <c r="V786" s="0" t="n">
        <v>2</v>
      </c>
      <c r="W786" s="39" t="n">
        <f aca="false">IF(I786="Male",0,1)</f>
        <v>1</v>
      </c>
      <c r="X786" s="39" t="n">
        <f aca="false">IF(OR(I786="DNB",I786="Dry DNB"),1,0)</f>
        <v>0</v>
      </c>
      <c r="Y786" s="39" t="n">
        <f aca="false">MATCH(A786,DATAS,0)</f>
        <v>1</v>
      </c>
      <c r="Z786" s="39" t="n">
        <f aca="false">IF(AND(E786&gt;0,OR(AND(B786&gt;=1,B786&lt;=6),B786=10)),1,0)</f>
        <v>1</v>
      </c>
      <c r="AA786" s="39" t="n">
        <f aca="false">IF(AND(E786&gt;0,B786=10),1,0)</f>
        <v>1</v>
      </c>
      <c r="AB786" s="0" t="str">
        <f aca="false">IF(AND(C785=C786,Y785=Y786-1),Z785,"")</f>
        <v/>
      </c>
      <c r="AC786" s="0" t="str">
        <f aca="false">IF(AND(C785=C786,Y785=Y786-1),AA785,"")</f>
        <v/>
      </c>
      <c r="AD786" s="0" t="str">
        <f aca="false">IF(Y786=1,"",IF(AND(Z786=1,AB786&lt;&gt;1),1,0))</f>
        <v/>
      </c>
      <c r="AE786" s="0" t="str">
        <f aca="false">IF(Y786=1,"",IF(AND(AA786=1,AC786&lt;&gt;1),1,0))</f>
        <v/>
      </c>
      <c r="AF786" s="45" t="str">
        <f aca="false">IF(AND(E786&gt;0,Y786&lt;1,NOT(AND(C787=C786,Y787=Y786+1))),INDEX(DATAS,Y786+1),"")</f>
        <v/>
      </c>
      <c r="AG786" s="45" t="str">
        <f aca="false">IF(AND(AA786=1,Y786&lt;1),IF(AND(C787=C786,Y787=Y786+1),IF(AA787=1,"",INDEX(DATAS,Y786+1)),INDEX(DATAS,Y786+1)),"")</f>
        <v/>
      </c>
    </row>
    <row r="787" customFormat="false" ht="15" hidden="false" customHeight="false" outlineLevel="0" collapsed="false">
      <c r="A787" s="45" t="n">
        <v>46309</v>
      </c>
      <c r="B787" s="0" t="n">
        <v>2</v>
      </c>
      <c r="C787" s="0" t="n">
        <v>4718</v>
      </c>
      <c r="D787" s="0" t="n">
        <v>274</v>
      </c>
      <c r="E787" s="0" t="n">
        <v>2</v>
      </c>
      <c r="F787" s="39" t="s">
        <v>620</v>
      </c>
      <c r="G787" s="0" t="n">
        <v>44.8</v>
      </c>
      <c r="H787" s="0" t="n">
        <v>44</v>
      </c>
      <c r="I787" s="39" t="s">
        <v>138</v>
      </c>
      <c r="J787" s="0" t="n">
        <v>274</v>
      </c>
      <c r="K787" s="0" t="n">
        <v>71</v>
      </c>
      <c r="M787" s="0" t="n">
        <v>-33.93</v>
      </c>
      <c r="N787" s="0" t="n">
        <v>47.87</v>
      </c>
      <c r="O787" s="0" t="n">
        <v>11.85</v>
      </c>
      <c r="P787" s="0" t="n">
        <v>3.42</v>
      </c>
      <c r="Q787" s="0" t="n">
        <v>3.31</v>
      </c>
      <c r="R787" s="0" t="n">
        <v>5348</v>
      </c>
      <c r="S787" s="0" t="n">
        <v>11165</v>
      </c>
      <c r="T787" s="0" t="n">
        <v>48.8</v>
      </c>
      <c r="U787" s="0" t="n">
        <v>1243</v>
      </c>
      <c r="V787" s="0" t="n">
        <v>6</v>
      </c>
      <c r="W787" s="39" t="n">
        <f aca="false">IF(I787="Male",0,1)</f>
        <v>1</v>
      </c>
      <c r="X787" s="39" t="n">
        <f aca="false">IF(OR(I787="DNB",I787="Dry DNB"),1,0)</f>
        <v>0</v>
      </c>
      <c r="Y787" s="39" t="n">
        <f aca="false">MATCH(A787,DATAS,0)</f>
        <v>1</v>
      </c>
      <c r="Z787" s="39" t="n">
        <f aca="false">IF(AND(E787&gt;0,OR(AND(B787&gt;=1,B787&lt;=6),B787=10)),1,0)</f>
        <v>1</v>
      </c>
      <c r="AA787" s="39" t="n">
        <f aca="false">IF(AND(E787&gt;0,B787=10),1,0)</f>
        <v>0</v>
      </c>
      <c r="AB787" s="0" t="str">
        <f aca="false">IF(AND(C786=C787,Y786=Y787-1),Z786,"")</f>
        <v/>
      </c>
      <c r="AC787" s="0" t="str">
        <f aca="false">IF(AND(C786=C787,Y786=Y787-1),AA786,"")</f>
        <v/>
      </c>
      <c r="AD787" s="0" t="str">
        <f aca="false">IF(Y787=1,"",IF(AND(Z787=1,AB787&lt;&gt;1),1,0))</f>
        <v/>
      </c>
      <c r="AE787" s="0" t="str">
        <f aca="false">IF(Y787=1,"",IF(AND(AA787=1,AC787&lt;&gt;1),1,0))</f>
        <v/>
      </c>
      <c r="AF787" s="45" t="str">
        <f aca="false">IF(AND(E787&gt;0,Y787&lt;1,NOT(AND(C788=C787,Y788=Y787+1))),INDEX(DATAS,Y787+1),"")</f>
        <v/>
      </c>
      <c r="AG787" s="45" t="str">
        <f aca="false">IF(AND(AA787=1,Y787&lt;1),IF(AND(C788=C787,Y788=Y787+1),IF(AA788=1,"",INDEX(DATAS,Y787+1)),INDEX(DATAS,Y787+1)),"")</f>
        <v/>
      </c>
    </row>
    <row r="788" customFormat="false" ht="15" hidden="false" customHeight="false" outlineLevel="0" collapsed="false">
      <c r="A788" s="45" t="n">
        <v>46309</v>
      </c>
      <c r="B788" s="0" t="n">
        <v>5</v>
      </c>
      <c r="C788" s="0" t="n">
        <v>4720</v>
      </c>
      <c r="D788" s="0" t="n">
        <v>82</v>
      </c>
      <c r="E788" s="0" t="n">
        <v>2</v>
      </c>
      <c r="F788" s="39" t="s">
        <v>620</v>
      </c>
      <c r="G788" s="0" t="n">
        <v>48.1</v>
      </c>
      <c r="H788" s="0" t="n">
        <v>43</v>
      </c>
      <c r="I788" s="39" t="s">
        <v>138</v>
      </c>
      <c r="J788" s="0" t="n">
        <v>82</v>
      </c>
      <c r="K788" s="0" t="n">
        <v>68</v>
      </c>
      <c r="M788" s="0" t="n">
        <v>1408.29</v>
      </c>
      <c r="N788" s="0" t="n">
        <v>29.54</v>
      </c>
      <c r="O788" s="0" t="n">
        <v>23.83</v>
      </c>
      <c r="P788" s="0" t="n">
        <v>3.59</v>
      </c>
      <c r="Q788" s="0" t="n">
        <v>3.35</v>
      </c>
      <c r="R788" s="0" t="n">
        <v>3495</v>
      </c>
      <c r="S788" s="0" t="n">
        <v>7025</v>
      </c>
      <c r="U788" s="0" t="n">
        <v>1243</v>
      </c>
      <c r="V788" s="0" t="n">
        <v>1</v>
      </c>
      <c r="W788" s="39" t="n">
        <f aca="false">IF(I788="Male",0,1)</f>
        <v>1</v>
      </c>
      <c r="X788" s="39" t="n">
        <f aca="false">IF(OR(I788="DNB",I788="Dry DNB"),1,0)</f>
        <v>0</v>
      </c>
      <c r="Y788" s="39" t="n">
        <f aca="false">MATCH(A788,DATAS,0)</f>
        <v>1</v>
      </c>
      <c r="Z788" s="39" t="n">
        <f aca="false">IF(AND(E788&gt;0,OR(AND(B788&gt;=1,B788&lt;=6),B788=10)),1,0)</f>
        <v>1</v>
      </c>
      <c r="AA788" s="39" t="n">
        <f aca="false">IF(AND(E788&gt;0,B788=10),1,0)</f>
        <v>0</v>
      </c>
      <c r="AB788" s="0" t="str">
        <f aca="false">IF(AND(C787=C788,Y787=Y788-1),Z787,"")</f>
        <v/>
      </c>
      <c r="AC788" s="0" t="str">
        <f aca="false">IF(AND(C787=C788,Y787=Y788-1),AA787,"")</f>
        <v/>
      </c>
      <c r="AD788" s="0" t="str">
        <f aca="false">IF(Y788=1,"",IF(AND(Z788=1,AB788&lt;&gt;1),1,0))</f>
        <v/>
      </c>
      <c r="AE788" s="0" t="str">
        <f aca="false">IF(Y788=1,"",IF(AND(AA788=1,AC788&lt;&gt;1),1,0))</f>
        <v/>
      </c>
      <c r="AF788" s="45" t="str">
        <f aca="false">IF(AND(E788&gt;0,Y788&lt;1,NOT(AND(C789=C788,Y789=Y788+1))),INDEX(DATAS,Y788+1),"")</f>
        <v/>
      </c>
      <c r="AG788" s="45" t="str">
        <f aca="false">IF(AND(AA788=1,Y788&lt;1),IF(AND(C789=C788,Y789=Y788+1),IF(AA789=1,"",INDEX(DATAS,Y788+1)),INDEX(DATAS,Y788+1)),"")</f>
        <v/>
      </c>
    </row>
    <row r="789" customFormat="false" ht="15" hidden="false" customHeight="false" outlineLevel="0" collapsed="false">
      <c r="A789" s="45" t="n">
        <v>46309</v>
      </c>
      <c r="B789" s="0" t="n">
        <v>5</v>
      </c>
      <c r="C789" s="0" t="n">
        <v>4722</v>
      </c>
      <c r="D789" s="0" t="n">
        <v>33</v>
      </c>
      <c r="E789" s="0" t="n">
        <v>2</v>
      </c>
      <c r="F789" s="39" t="s">
        <v>621</v>
      </c>
      <c r="G789" s="0" t="n">
        <v>34.5</v>
      </c>
      <c r="H789" s="0" t="n">
        <v>37</v>
      </c>
      <c r="I789" s="39" t="s">
        <v>118</v>
      </c>
      <c r="J789" s="0" t="n">
        <v>33</v>
      </c>
      <c r="M789" s="0" t="n">
        <v>144.49</v>
      </c>
      <c r="N789" s="0" t="n">
        <v>30.02</v>
      </c>
      <c r="O789" s="0" t="n">
        <v>19.83</v>
      </c>
      <c r="P789" s="0" t="n">
        <v>4.65</v>
      </c>
      <c r="Q789" s="0" t="n">
        <v>4.54</v>
      </c>
      <c r="R789" s="0" t="n">
        <v>3263</v>
      </c>
      <c r="S789" s="0" t="n">
        <v>6559</v>
      </c>
      <c r="U789" s="0" t="n">
        <v>1242</v>
      </c>
      <c r="V789" s="0" t="n">
        <v>0</v>
      </c>
      <c r="W789" s="39" t="n">
        <f aca="false">IF(I789="Male",0,1)</f>
        <v>1</v>
      </c>
      <c r="X789" s="39" t="n">
        <f aca="false">IF(OR(I789="DNB",I789="Dry DNB"),1,0)</f>
        <v>0</v>
      </c>
      <c r="Y789" s="39" t="n">
        <f aca="false">MATCH(A789,DATAS,0)</f>
        <v>1</v>
      </c>
      <c r="Z789" s="39" t="n">
        <f aca="false">IF(AND(E789&gt;0,OR(AND(B789&gt;=1,B789&lt;=6),B789=10)),1,0)</f>
        <v>1</v>
      </c>
      <c r="AA789" s="39" t="n">
        <f aca="false">IF(AND(E789&gt;0,B789=10),1,0)</f>
        <v>0</v>
      </c>
      <c r="AB789" s="0" t="str">
        <f aca="false">IF(AND(C788=C789,Y788=Y789-1),Z788,"")</f>
        <v/>
      </c>
      <c r="AC789" s="0" t="str">
        <f aca="false">IF(AND(C788=C789,Y788=Y789-1),AA788,"")</f>
        <v/>
      </c>
      <c r="AD789" s="0" t="str">
        <f aca="false">IF(Y789=1,"",IF(AND(Z789=1,AB789&lt;&gt;1),1,0))</f>
        <v/>
      </c>
      <c r="AE789" s="0" t="str">
        <f aca="false">IF(Y789=1,"",IF(AND(AA789=1,AC789&lt;&gt;1),1,0))</f>
        <v/>
      </c>
      <c r="AF789" s="45" t="str">
        <f aca="false">IF(AND(E789&gt;0,Y789&lt;1,NOT(AND(C790=C789,Y790=Y789+1))),INDEX(DATAS,Y789+1),"")</f>
        <v/>
      </c>
      <c r="AG789" s="45" t="str">
        <f aca="false">IF(AND(AA789=1,Y789&lt;1),IF(AND(C790=C789,Y790=Y789+1),IF(AA790=1,"",INDEX(DATAS,Y789+1)),INDEX(DATAS,Y789+1)),"")</f>
        <v/>
      </c>
    </row>
    <row r="790" customFormat="false" ht="15" hidden="false" customHeight="false" outlineLevel="0" collapsed="false">
      <c r="A790" s="45" t="n">
        <v>46309</v>
      </c>
      <c r="B790" s="0" t="n">
        <v>14</v>
      </c>
      <c r="C790" s="0" t="n">
        <v>4723</v>
      </c>
      <c r="D790" s="0" t="n">
        <v>533</v>
      </c>
      <c r="E790" s="0" t="n">
        <v>1</v>
      </c>
      <c r="F790" s="39" t="s">
        <v>622</v>
      </c>
      <c r="I790" s="39" t="s">
        <v>114</v>
      </c>
      <c r="J790" s="0" t="n">
        <v>310</v>
      </c>
      <c r="K790" s="0" t="n">
        <v>59</v>
      </c>
      <c r="L790" s="0" t="n">
        <v>266</v>
      </c>
      <c r="M790" s="0" t="n">
        <v>704.65</v>
      </c>
      <c r="N790" s="0" t="n">
        <v>89.9</v>
      </c>
      <c r="O790" s="0" t="n">
        <v>39.34</v>
      </c>
      <c r="P790" s="0" t="n">
        <v>6.78</v>
      </c>
      <c r="Q790" s="0" t="n">
        <v>5</v>
      </c>
      <c r="R790" s="0" t="n">
        <v>4752</v>
      </c>
      <c r="S790" s="0" t="n">
        <v>8950</v>
      </c>
      <c r="T790" s="0" t="n">
        <v>51.15</v>
      </c>
      <c r="U790" s="0" t="n">
        <v>1241</v>
      </c>
      <c r="V790" s="0" t="n">
        <v>4</v>
      </c>
      <c r="W790" s="39" t="n">
        <f aca="false">IF(I790="Male",0,1)</f>
        <v>1</v>
      </c>
      <c r="X790" s="39" t="n">
        <f aca="false">IF(OR(I790="DNB",I790="Dry DNB"),1,0)</f>
        <v>0</v>
      </c>
      <c r="Y790" s="39" t="n">
        <f aca="false">MATCH(A790,DATAS,0)</f>
        <v>1</v>
      </c>
      <c r="Z790" s="39" t="n">
        <f aca="false">IF(AND(E790&gt;0,OR(AND(B790&gt;=1,B790&lt;=6),B790=10)),1,0)</f>
        <v>0</v>
      </c>
      <c r="AA790" s="39" t="n">
        <f aca="false">IF(AND(E790&gt;0,B790=10),1,0)</f>
        <v>0</v>
      </c>
      <c r="AB790" s="0" t="str">
        <f aca="false">IF(AND(C789=C790,Y789=Y790-1),Z789,"")</f>
        <v/>
      </c>
      <c r="AC790" s="0" t="str">
        <f aca="false">IF(AND(C789=C790,Y789=Y790-1),AA789,"")</f>
        <v/>
      </c>
      <c r="AD790" s="0" t="str">
        <f aca="false">IF(Y790=1,"",IF(AND(Z790=1,AB790&lt;&gt;1),1,0))</f>
        <v/>
      </c>
      <c r="AE790" s="0" t="str">
        <f aca="false">IF(Y790=1,"",IF(AND(AA790=1,AC790&lt;&gt;1),1,0))</f>
        <v/>
      </c>
      <c r="AF790" s="45" t="str">
        <f aca="false">IF(AND(E790&gt;0,Y790&lt;1,NOT(AND(C791=C790,Y791=Y790+1))),INDEX(DATAS,Y790+1),"")</f>
        <v/>
      </c>
      <c r="AG790" s="45" t="str">
        <f aca="false">IF(AND(AA790=1,Y790&lt;1),IF(AND(C791=C790,Y791=Y790+1),IF(AA791=1,"",INDEX(DATAS,Y790+1)),INDEX(DATAS,Y790+1)),"")</f>
        <v/>
      </c>
    </row>
    <row r="791" customFormat="false" ht="15" hidden="false" customHeight="false" outlineLevel="0" collapsed="false">
      <c r="A791" s="45" t="n">
        <v>46309</v>
      </c>
      <c r="B791" s="0" t="n">
        <v>5</v>
      </c>
      <c r="C791" s="0" t="n">
        <v>4724</v>
      </c>
      <c r="D791" s="0" t="n">
        <v>231</v>
      </c>
      <c r="E791" s="0" t="n">
        <v>2</v>
      </c>
      <c r="F791" s="39" t="s">
        <v>623</v>
      </c>
      <c r="G791" s="0" t="n">
        <v>47.3</v>
      </c>
      <c r="H791" s="0" t="n">
        <v>37</v>
      </c>
      <c r="I791" s="39" t="s">
        <v>109</v>
      </c>
      <c r="J791" s="0" t="n">
        <v>161</v>
      </c>
      <c r="K791" s="0" t="n">
        <v>63</v>
      </c>
      <c r="L791" s="0" t="n">
        <v>70</v>
      </c>
      <c r="M791" s="0" t="n">
        <v>842.09</v>
      </c>
      <c r="N791" s="0" t="n">
        <v>30.89</v>
      </c>
      <c r="O791" s="0" t="n">
        <v>18.61</v>
      </c>
      <c r="P791" s="0" t="n">
        <v>4.04</v>
      </c>
      <c r="Q791" s="0" t="n">
        <v>3.73</v>
      </c>
      <c r="R791" s="0" t="n">
        <v>5287</v>
      </c>
      <c r="S791" s="0" t="n">
        <v>9685</v>
      </c>
      <c r="T791" s="0" t="n">
        <v>59.2</v>
      </c>
      <c r="U791" s="0" t="n">
        <v>1240</v>
      </c>
      <c r="V791" s="0" t="n">
        <v>3</v>
      </c>
      <c r="W791" s="39" t="n">
        <f aca="false">IF(I791="Male",0,1)</f>
        <v>1</v>
      </c>
      <c r="X791" s="39" t="n">
        <f aca="false">IF(OR(I791="DNB",I791="Dry DNB"),1,0)</f>
        <v>0</v>
      </c>
      <c r="Y791" s="39" t="n">
        <f aca="false">MATCH(A791,DATAS,0)</f>
        <v>1</v>
      </c>
      <c r="Z791" s="39" t="n">
        <f aca="false">IF(AND(E791&gt;0,OR(AND(B791&gt;=1,B791&lt;=6),B791=10)),1,0)</f>
        <v>1</v>
      </c>
      <c r="AA791" s="39" t="n">
        <f aca="false">IF(AND(E791&gt;0,B791=10),1,0)</f>
        <v>0</v>
      </c>
      <c r="AB791" s="0" t="str">
        <f aca="false">IF(AND(C790=C791,Y790=Y791-1),Z790,"")</f>
        <v/>
      </c>
      <c r="AC791" s="0" t="str">
        <f aca="false">IF(AND(C790=C791,Y790=Y791-1),AA790,"")</f>
        <v/>
      </c>
      <c r="AD791" s="0" t="str">
        <f aca="false">IF(Y791=1,"",IF(AND(Z791=1,AB791&lt;&gt;1),1,0))</f>
        <v/>
      </c>
      <c r="AE791" s="0" t="str">
        <f aca="false">IF(Y791=1,"",IF(AND(AA791=1,AC791&lt;&gt;1),1,0))</f>
        <v/>
      </c>
      <c r="AF791" s="45" t="str">
        <f aca="false">IF(AND(E791&gt;0,Y791&lt;1,NOT(AND(C792=C791,Y792=Y791+1))),INDEX(DATAS,Y791+1),"")</f>
        <v/>
      </c>
      <c r="AG791" s="45" t="str">
        <f aca="false">IF(AND(AA791=1,Y791&lt;1),IF(AND(C792=C791,Y792=Y791+1),IF(AA792=1,"",INDEX(DATAS,Y791+1)),INDEX(DATAS,Y791+1)),"")</f>
        <v/>
      </c>
    </row>
    <row r="792" customFormat="false" ht="15" hidden="false" customHeight="false" outlineLevel="0" collapsed="false">
      <c r="A792" s="45" t="n">
        <v>46309</v>
      </c>
      <c r="B792" s="0" t="n">
        <v>6</v>
      </c>
      <c r="C792" s="0" t="n">
        <v>4725</v>
      </c>
      <c r="D792" s="0" t="n">
        <v>262</v>
      </c>
      <c r="E792" s="0" t="n">
        <v>2</v>
      </c>
      <c r="F792" s="39" t="s">
        <v>624</v>
      </c>
      <c r="G792" s="0" t="n">
        <v>17.9</v>
      </c>
      <c r="H792" s="0" t="n">
        <v>17</v>
      </c>
      <c r="I792" s="39" t="s">
        <v>96</v>
      </c>
      <c r="J792" s="0" t="n">
        <v>262</v>
      </c>
      <c r="K792" s="0" t="n">
        <v>66</v>
      </c>
      <c r="M792" s="0" t="n">
        <v>323.41</v>
      </c>
      <c r="N792" s="0" t="n">
        <v>28.37</v>
      </c>
      <c r="O792" s="0" t="n">
        <v>24.88</v>
      </c>
      <c r="P792" s="0" t="n">
        <v>5.79</v>
      </c>
      <c r="Q792" s="0" t="n">
        <v>4.08</v>
      </c>
      <c r="R792" s="0" t="n">
        <v>4706</v>
      </c>
      <c r="S792" s="0" t="n">
        <v>9221</v>
      </c>
      <c r="T792" s="0" t="n">
        <v>50.2</v>
      </c>
      <c r="U792" s="0" t="n">
        <v>1238</v>
      </c>
      <c r="V792" s="0" t="n">
        <v>4</v>
      </c>
      <c r="W792" s="39" t="n">
        <f aca="false">IF(I792="Male",0,1)</f>
        <v>1</v>
      </c>
      <c r="X792" s="39" t="n">
        <f aca="false">IF(OR(I792="DNB",I792="Dry DNB"),1,0)</f>
        <v>1</v>
      </c>
      <c r="Y792" s="39" t="n">
        <f aca="false">MATCH(A792,DATAS,0)</f>
        <v>1</v>
      </c>
      <c r="Z792" s="39" t="n">
        <f aca="false">IF(AND(E792&gt;0,OR(AND(B792&gt;=1,B792&lt;=6),B792=10)),1,0)</f>
        <v>1</v>
      </c>
      <c r="AA792" s="39" t="n">
        <f aca="false">IF(AND(E792&gt;0,B792=10),1,0)</f>
        <v>0</v>
      </c>
      <c r="AB792" s="0" t="str">
        <f aca="false">IF(AND(C791=C792,Y791=Y792-1),Z791,"")</f>
        <v/>
      </c>
      <c r="AC792" s="0" t="str">
        <f aca="false">IF(AND(C791=C792,Y791=Y792-1),AA791,"")</f>
        <v/>
      </c>
      <c r="AD792" s="0" t="str">
        <f aca="false">IF(Y792=1,"",IF(AND(Z792=1,AB792&lt;&gt;1),1,0))</f>
        <v/>
      </c>
      <c r="AE792" s="0" t="str">
        <f aca="false">IF(Y792=1,"",IF(AND(AA792=1,AC792&lt;&gt;1),1,0))</f>
        <v/>
      </c>
      <c r="AF792" s="45" t="str">
        <f aca="false">IF(AND(E792&gt;0,Y792&lt;1,NOT(AND(C793=C792,Y793=Y792+1))),INDEX(DATAS,Y792+1),"")</f>
        <v/>
      </c>
      <c r="AG792" s="45" t="str">
        <f aca="false">IF(AND(AA792=1,Y792&lt;1),IF(AND(C793=C792,Y793=Y792+1),IF(AA793=1,"",INDEX(DATAS,Y792+1)),INDEX(DATAS,Y792+1)),"")</f>
        <v/>
      </c>
    </row>
    <row r="793" customFormat="false" ht="15" hidden="false" customHeight="false" outlineLevel="0" collapsed="false">
      <c r="A793" s="45" t="n">
        <v>46309</v>
      </c>
      <c r="B793" s="0" t="n">
        <v>2</v>
      </c>
      <c r="C793" s="0" t="n">
        <v>4728</v>
      </c>
      <c r="D793" s="0" t="n">
        <v>242</v>
      </c>
      <c r="E793" s="0" t="n">
        <v>2</v>
      </c>
      <c r="F793" s="39" t="s">
        <v>625</v>
      </c>
      <c r="G793" s="0" t="n">
        <v>40.7</v>
      </c>
      <c r="H793" s="0" t="n">
        <v>60</v>
      </c>
      <c r="I793" s="39" t="s">
        <v>138</v>
      </c>
      <c r="J793" s="0" t="n">
        <v>242</v>
      </c>
      <c r="K793" s="0" t="n">
        <v>67</v>
      </c>
      <c r="M793" s="0" t="n">
        <v>703.82</v>
      </c>
      <c r="N793" s="0" t="n">
        <v>68.46</v>
      </c>
      <c r="O793" s="0" t="n">
        <v>34.9</v>
      </c>
      <c r="P793" s="0" t="n">
        <v>2.93</v>
      </c>
      <c r="Q793" s="0" t="n">
        <v>3.37</v>
      </c>
      <c r="R793" s="0" t="n">
        <v>5822</v>
      </c>
      <c r="S793" s="0" t="n">
        <v>12908</v>
      </c>
      <c r="T793" s="0" t="n">
        <v>62.9</v>
      </c>
      <c r="U793" s="0" t="n">
        <v>1236</v>
      </c>
      <c r="V793" s="0" t="n">
        <v>6</v>
      </c>
      <c r="W793" s="39" t="n">
        <f aca="false">IF(I793="Male",0,1)</f>
        <v>1</v>
      </c>
      <c r="X793" s="39" t="n">
        <f aca="false">IF(OR(I793="DNB",I793="Dry DNB"),1,0)</f>
        <v>0</v>
      </c>
      <c r="Y793" s="39" t="n">
        <f aca="false">MATCH(A793,DATAS,0)</f>
        <v>1</v>
      </c>
      <c r="Z793" s="39" t="n">
        <f aca="false">IF(AND(E793&gt;0,OR(AND(B793&gt;=1,B793&lt;=6),B793=10)),1,0)</f>
        <v>1</v>
      </c>
      <c r="AA793" s="39" t="n">
        <f aca="false">IF(AND(E793&gt;0,B793=10),1,0)</f>
        <v>0</v>
      </c>
      <c r="AB793" s="0" t="str">
        <f aca="false">IF(AND(C792=C793,Y792=Y793-1),Z792,"")</f>
        <v/>
      </c>
      <c r="AC793" s="0" t="str">
        <f aca="false">IF(AND(C792=C793,Y792=Y793-1),AA792,"")</f>
        <v/>
      </c>
      <c r="AD793" s="0" t="str">
        <f aca="false">IF(Y793=1,"",IF(AND(Z793=1,AB793&lt;&gt;1),1,0))</f>
        <v/>
      </c>
      <c r="AE793" s="0" t="str">
        <f aca="false">IF(Y793=1,"",IF(AND(AA793=1,AC793&lt;&gt;1),1,0))</f>
        <v/>
      </c>
      <c r="AF793" s="45" t="str">
        <f aca="false">IF(AND(E793&gt;0,Y793&lt;1,NOT(AND(C794=C793,Y794=Y793+1))),INDEX(DATAS,Y793+1),"")</f>
        <v/>
      </c>
      <c r="AG793" s="45" t="str">
        <f aca="false">IF(AND(AA793=1,Y793&lt;1),IF(AND(C794=C793,Y794=Y793+1),IF(AA794=1,"",INDEX(DATAS,Y793+1)),INDEX(DATAS,Y793+1)),"")</f>
        <v/>
      </c>
    </row>
    <row r="794" customFormat="false" ht="15" hidden="false" customHeight="false" outlineLevel="0" collapsed="false">
      <c r="A794" s="45" t="n">
        <v>46309</v>
      </c>
      <c r="B794" s="0" t="n">
        <v>10</v>
      </c>
      <c r="C794" s="0" t="n">
        <v>4730</v>
      </c>
      <c r="D794" s="0" t="n">
        <v>262</v>
      </c>
      <c r="E794" s="0" t="n">
        <v>2</v>
      </c>
      <c r="F794" s="39" t="s">
        <v>626</v>
      </c>
      <c r="G794" s="0" t="n">
        <v>21.1</v>
      </c>
      <c r="H794" s="0" t="n">
        <v>16</v>
      </c>
      <c r="I794" s="39" t="s">
        <v>96</v>
      </c>
      <c r="J794" s="0" t="n">
        <v>262</v>
      </c>
      <c r="K794" s="0" t="n">
        <v>66</v>
      </c>
      <c r="M794" s="0" t="n">
        <v>1117.22</v>
      </c>
      <c r="N794" s="0" t="n">
        <v>48.96</v>
      </c>
      <c r="O794" s="0" t="n">
        <v>46.72</v>
      </c>
      <c r="P794" s="0" t="n">
        <v>5.73</v>
      </c>
      <c r="Q794" s="0" t="n">
        <v>4.08</v>
      </c>
      <c r="R794" s="0" t="n">
        <v>4701</v>
      </c>
      <c r="S794" s="0" t="n">
        <v>8909</v>
      </c>
      <c r="T794" s="0" t="n">
        <v>54.8</v>
      </c>
      <c r="U794" s="0" t="n">
        <v>1234</v>
      </c>
      <c r="V794" s="0" t="n">
        <v>4</v>
      </c>
      <c r="W794" s="39" t="n">
        <f aca="false">IF(I794="Male",0,1)</f>
        <v>1</v>
      </c>
      <c r="X794" s="39" t="n">
        <f aca="false">IF(OR(I794="DNB",I794="Dry DNB"),1,0)</f>
        <v>1</v>
      </c>
      <c r="Y794" s="39" t="n">
        <f aca="false">MATCH(A794,DATAS,0)</f>
        <v>1</v>
      </c>
      <c r="Z794" s="39" t="n">
        <f aca="false">IF(AND(E794&gt;0,OR(AND(B794&gt;=1,B794&lt;=6),B794=10)),1,0)</f>
        <v>1</v>
      </c>
      <c r="AA794" s="39" t="n">
        <f aca="false">IF(AND(E794&gt;0,B794=10),1,0)</f>
        <v>1</v>
      </c>
      <c r="AB794" s="0" t="str">
        <f aca="false">IF(AND(C793=C794,Y793=Y794-1),Z793,"")</f>
        <v/>
      </c>
      <c r="AC794" s="0" t="str">
        <f aca="false">IF(AND(C793=C794,Y793=Y794-1),AA793,"")</f>
        <v/>
      </c>
      <c r="AD794" s="0" t="str">
        <f aca="false">IF(Y794=1,"",IF(AND(Z794=1,AB794&lt;&gt;1),1,0))</f>
        <v/>
      </c>
      <c r="AE794" s="0" t="str">
        <f aca="false">IF(Y794=1,"",IF(AND(AA794=1,AC794&lt;&gt;1),1,0))</f>
        <v/>
      </c>
      <c r="AF794" s="45" t="str">
        <f aca="false">IF(AND(E794&gt;0,Y794&lt;1,NOT(AND(C795=C794,Y795=Y794+1))),INDEX(DATAS,Y794+1),"")</f>
        <v/>
      </c>
      <c r="AG794" s="45" t="str">
        <f aca="false">IF(AND(AA794=1,Y794&lt;1),IF(AND(C795=C794,Y795=Y794+1),IF(AA795=1,"",INDEX(DATAS,Y794+1)),INDEX(DATAS,Y794+1)),"")</f>
        <v/>
      </c>
    </row>
    <row r="795" customFormat="false" ht="15" hidden="false" customHeight="false" outlineLevel="0" collapsed="false">
      <c r="A795" s="45" t="n">
        <v>46309</v>
      </c>
      <c r="B795" s="0" t="n">
        <v>5</v>
      </c>
      <c r="C795" s="0" t="n">
        <v>4732</v>
      </c>
      <c r="D795" s="0" t="n">
        <v>448</v>
      </c>
      <c r="E795" s="0" t="n">
        <v>1</v>
      </c>
      <c r="F795" s="39" t="s">
        <v>626</v>
      </c>
      <c r="G795" s="0" t="n">
        <v>32.1</v>
      </c>
      <c r="H795" s="0" t="n">
        <v>33</v>
      </c>
      <c r="I795" s="39" t="s">
        <v>138</v>
      </c>
      <c r="J795" s="0" t="n">
        <v>448</v>
      </c>
      <c r="K795" s="0" t="n">
        <v>63</v>
      </c>
      <c r="M795" s="0" t="n">
        <v>1577.17</v>
      </c>
      <c r="N795" s="0" t="n">
        <v>67.36</v>
      </c>
      <c r="O795" s="0" t="n">
        <v>58.77</v>
      </c>
      <c r="P795" s="0" t="n">
        <v>4.02</v>
      </c>
      <c r="Q795" s="0" t="n">
        <v>3.95</v>
      </c>
      <c r="R795" s="0" t="n">
        <v>5482</v>
      </c>
      <c r="S795" s="0" t="n">
        <v>11261</v>
      </c>
      <c r="T795" s="0" t="n">
        <v>55.85</v>
      </c>
      <c r="U795" s="0" t="n">
        <v>1234</v>
      </c>
      <c r="V795" s="0" t="n">
        <v>8</v>
      </c>
      <c r="W795" s="39" t="n">
        <f aca="false">IF(I795="Male",0,1)</f>
        <v>1</v>
      </c>
      <c r="X795" s="39" t="n">
        <f aca="false">IF(OR(I795="DNB",I795="Dry DNB"),1,0)</f>
        <v>0</v>
      </c>
      <c r="Y795" s="39" t="n">
        <f aca="false">MATCH(A795,DATAS,0)</f>
        <v>1</v>
      </c>
      <c r="Z795" s="39" t="n">
        <f aca="false">IF(AND(E795&gt;0,OR(AND(B795&gt;=1,B795&lt;=6),B795=10)),1,0)</f>
        <v>1</v>
      </c>
      <c r="AA795" s="39" t="n">
        <f aca="false">IF(AND(E795&gt;0,B795=10),1,0)</f>
        <v>0</v>
      </c>
      <c r="AB795" s="0" t="str">
        <f aca="false">IF(AND(C794=C795,Y794=Y795-1),Z794,"")</f>
        <v/>
      </c>
      <c r="AC795" s="0" t="str">
        <f aca="false">IF(AND(C794=C795,Y794=Y795-1),AA794,"")</f>
        <v/>
      </c>
      <c r="AD795" s="0" t="str">
        <f aca="false">IF(Y795=1,"",IF(AND(Z795=1,AB795&lt;&gt;1),1,0))</f>
        <v/>
      </c>
      <c r="AE795" s="0" t="str">
        <f aca="false">IF(Y795=1,"",IF(AND(AA795=1,AC795&lt;&gt;1),1,0))</f>
        <v/>
      </c>
      <c r="AF795" s="45" t="str">
        <f aca="false">IF(AND(E795&gt;0,Y795&lt;1,NOT(AND(C796=C795,Y796=Y795+1))),INDEX(DATAS,Y795+1),"")</f>
        <v/>
      </c>
      <c r="AG795" s="45" t="str">
        <f aca="false">IF(AND(AA795=1,Y795&lt;1),IF(AND(C796=C795,Y796=Y795+1),IF(AA796=1,"",INDEX(DATAS,Y795+1)),INDEX(DATAS,Y795+1)),"")</f>
        <v/>
      </c>
    </row>
    <row r="796" customFormat="false" ht="15" hidden="false" customHeight="false" outlineLevel="0" collapsed="false">
      <c r="A796" s="45" t="n">
        <v>46309</v>
      </c>
      <c r="B796" s="0" t="n">
        <v>2</v>
      </c>
      <c r="C796" s="0" t="n">
        <v>4733</v>
      </c>
      <c r="D796" s="0" t="n">
        <v>194</v>
      </c>
      <c r="E796" s="0" t="n">
        <v>2</v>
      </c>
      <c r="F796" s="39" t="s">
        <v>627</v>
      </c>
      <c r="G796" s="0" t="n">
        <v>52.6</v>
      </c>
      <c r="H796" s="0" t="n">
        <v>55</v>
      </c>
      <c r="I796" s="39" t="s">
        <v>109</v>
      </c>
      <c r="J796" s="0" t="n">
        <v>68</v>
      </c>
      <c r="K796" s="0" t="n">
        <v>68</v>
      </c>
      <c r="L796" s="0" t="n">
        <v>126</v>
      </c>
      <c r="M796" s="0" t="n">
        <v>925.77</v>
      </c>
      <c r="N796" s="0" t="n">
        <v>33.01</v>
      </c>
      <c r="O796" s="0" t="n">
        <v>21.78</v>
      </c>
      <c r="P796" s="0" t="n">
        <v>3.67</v>
      </c>
      <c r="Q796" s="0" t="n">
        <v>3.25</v>
      </c>
      <c r="R796" s="0" t="n">
        <v>5951</v>
      </c>
      <c r="S796" s="0" t="n">
        <v>12118</v>
      </c>
      <c r="T796" s="0" t="n">
        <v>66.9</v>
      </c>
      <c r="U796" s="0" t="n">
        <v>1233</v>
      </c>
      <c r="V796" s="0" t="n">
        <v>1</v>
      </c>
      <c r="W796" s="39" t="n">
        <f aca="false">IF(I796="Male",0,1)</f>
        <v>1</v>
      </c>
      <c r="X796" s="39" t="n">
        <f aca="false">IF(OR(I796="DNB",I796="Dry DNB"),1,0)</f>
        <v>0</v>
      </c>
      <c r="Y796" s="39" t="n">
        <f aca="false">MATCH(A796,DATAS,0)</f>
        <v>1</v>
      </c>
      <c r="Z796" s="39" t="n">
        <f aca="false">IF(AND(E796&gt;0,OR(AND(B796&gt;=1,B796&lt;=6),B796=10)),1,0)</f>
        <v>1</v>
      </c>
      <c r="AA796" s="39" t="n">
        <f aca="false">IF(AND(E796&gt;0,B796=10),1,0)</f>
        <v>0</v>
      </c>
      <c r="AB796" s="0" t="str">
        <f aca="false">IF(AND(C795=C796,Y795=Y796-1),Z795,"")</f>
        <v/>
      </c>
      <c r="AC796" s="0" t="str">
        <f aca="false">IF(AND(C795=C796,Y795=Y796-1),AA795,"")</f>
        <v/>
      </c>
      <c r="AD796" s="0" t="str">
        <f aca="false">IF(Y796=1,"",IF(AND(Z796=1,AB796&lt;&gt;1),1,0))</f>
        <v/>
      </c>
      <c r="AE796" s="0" t="str">
        <f aca="false">IF(Y796=1,"",IF(AND(AA796=1,AC796&lt;&gt;1),1,0))</f>
        <v/>
      </c>
      <c r="AF796" s="45" t="str">
        <f aca="false">IF(AND(E796&gt;0,Y796&lt;1,NOT(AND(C797=C796,Y797=Y796+1))),INDEX(DATAS,Y796+1),"")</f>
        <v/>
      </c>
      <c r="AG796" s="45" t="str">
        <f aca="false">IF(AND(AA796=1,Y796&lt;1),IF(AND(C797=C796,Y797=Y796+1),IF(AA797=1,"",INDEX(DATAS,Y796+1)),INDEX(DATAS,Y796+1)),"")</f>
        <v/>
      </c>
    </row>
    <row r="797" customFormat="false" ht="15" hidden="false" customHeight="false" outlineLevel="0" collapsed="false">
      <c r="A797" s="45" t="n">
        <v>46309</v>
      </c>
      <c r="B797" s="0" t="n">
        <v>5</v>
      </c>
      <c r="C797" s="0" t="n">
        <v>4734</v>
      </c>
      <c r="D797" s="0" t="n">
        <v>129</v>
      </c>
      <c r="E797" s="0" t="n">
        <v>2</v>
      </c>
      <c r="F797" s="39" t="s">
        <v>627</v>
      </c>
      <c r="G797" s="0" t="n">
        <v>41.6</v>
      </c>
      <c r="H797" s="0" t="n">
        <v>36</v>
      </c>
      <c r="I797" s="39" t="s">
        <v>138</v>
      </c>
      <c r="J797" s="0" t="n">
        <v>129</v>
      </c>
      <c r="K797" s="0" t="n">
        <v>66</v>
      </c>
      <c r="M797" s="0" t="n">
        <v>484.24</v>
      </c>
      <c r="N797" s="0" t="n">
        <v>85.24</v>
      </c>
      <c r="O797" s="0" t="n">
        <v>46.21</v>
      </c>
      <c r="P797" s="0" t="n">
        <v>4.32</v>
      </c>
      <c r="Q797" s="0" t="n">
        <v>3.7</v>
      </c>
      <c r="R797" s="0" t="n">
        <v>3514</v>
      </c>
      <c r="S797" s="0" t="n">
        <v>7098</v>
      </c>
      <c r="T797" s="0" t="n">
        <v>43.4</v>
      </c>
      <c r="U797" s="0" t="n">
        <v>1233</v>
      </c>
      <c r="V797" s="0" t="n">
        <v>2</v>
      </c>
      <c r="W797" s="39" t="n">
        <f aca="false">IF(I797="Male",0,1)</f>
        <v>1</v>
      </c>
      <c r="X797" s="39" t="n">
        <f aca="false">IF(OR(I797="DNB",I797="Dry DNB"),1,0)</f>
        <v>0</v>
      </c>
      <c r="Y797" s="39" t="n">
        <f aca="false">MATCH(A797,DATAS,0)</f>
        <v>1</v>
      </c>
      <c r="Z797" s="39" t="n">
        <f aca="false">IF(AND(E797&gt;0,OR(AND(B797&gt;=1,B797&lt;=6),B797=10)),1,0)</f>
        <v>1</v>
      </c>
      <c r="AA797" s="39" t="n">
        <f aca="false">IF(AND(E797&gt;0,B797=10),1,0)</f>
        <v>0</v>
      </c>
      <c r="AB797" s="0" t="str">
        <f aca="false">IF(AND(C796=C797,Y796=Y797-1),Z796,"")</f>
        <v/>
      </c>
      <c r="AC797" s="0" t="str">
        <f aca="false">IF(AND(C796=C797,Y796=Y797-1),AA796,"")</f>
        <v/>
      </c>
      <c r="AD797" s="0" t="str">
        <f aca="false">IF(Y797=1,"",IF(AND(Z797=1,AB797&lt;&gt;1),1,0))</f>
        <v/>
      </c>
      <c r="AE797" s="0" t="str">
        <f aca="false">IF(Y797=1,"",IF(AND(AA797=1,AC797&lt;&gt;1),1,0))</f>
        <v/>
      </c>
      <c r="AF797" s="45" t="str">
        <f aca="false">IF(AND(E797&gt;0,Y797&lt;1,NOT(AND(C798=C797,Y798=Y797+1))),INDEX(DATAS,Y797+1),"")</f>
        <v/>
      </c>
      <c r="AG797" s="45" t="str">
        <f aca="false">IF(AND(AA797=1,Y797&lt;1),IF(AND(C798=C797,Y798=Y797+1),IF(AA798=1,"",INDEX(DATAS,Y797+1)),INDEX(DATAS,Y797+1)),"")</f>
        <v/>
      </c>
    </row>
    <row r="798" customFormat="false" ht="15" hidden="false" customHeight="false" outlineLevel="0" collapsed="false">
      <c r="A798" s="45" t="n">
        <v>46309</v>
      </c>
      <c r="B798" s="0" t="n">
        <v>5</v>
      </c>
      <c r="C798" s="0" t="n">
        <v>4736</v>
      </c>
      <c r="D798" s="0" t="n">
        <v>236</v>
      </c>
      <c r="E798" s="0" t="n">
        <v>2</v>
      </c>
      <c r="F798" s="39" t="s">
        <v>627</v>
      </c>
      <c r="G798" s="0" t="n">
        <v>43.8</v>
      </c>
      <c r="H798" s="0" t="n">
        <v>42</v>
      </c>
      <c r="I798" s="39" t="s">
        <v>109</v>
      </c>
      <c r="J798" s="0" t="n">
        <v>68</v>
      </c>
      <c r="K798" s="0" t="n">
        <v>68</v>
      </c>
      <c r="L798" s="0" t="n">
        <v>168</v>
      </c>
      <c r="M798" s="0" t="n">
        <v>583.42</v>
      </c>
      <c r="N798" s="0" t="n">
        <v>33.2</v>
      </c>
      <c r="O798" s="0" t="n">
        <v>19.24</v>
      </c>
      <c r="P798" s="0" t="n">
        <v>4.94</v>
      </c>
      <c r="Q798" s="0" t="n">
        <v>3.54</v>
      </c>
      <c r="R798" s="0" t="n">
        <v>4025</v>
      </c>
      <c r="S798" s="0" t="n">
        <v>8909</v>
      </c>
      <c r="T798" s="0" t="n">
        <v>46.25</v>
      </c>
      <c r="U798" s="0" t="n">
        <v>1233</v>
      </c>
      <c r="V798" s="0" t="n">
        <v>1</v>
      </c>
      <c r="W798" s="39" t="n">
        <f aca="false">IF(I798="Male",0,1)</f>
        <v>1</v>
      </c>
      <c r="X798" s="39" t="n">
        <f aca="false">IF(OR(I798="DNB",I798="Dry DNB"),1,0)</f>
        <v>0</v>
      </c>
      <c r="Y798" s="39" t="n">
        <f aca="false">MATCH(A798,DATAS,0)</f>
        <v>1</v>
      </c>
      <c r="Z798" s="39" t="n">
        <f aca="false">IF(AND(E798&gt;0,OR(AND(B798&gt;=1,B798&lt;=6),B798=10)),1,0)</f>
        <v>1</v>
      </c>
      <c r="AA798" s="39" t="n">
        <f aca="false">IF(AND(E798&gt;0,B798=10),1,0)</f>
        <v>0</v>
      </c>
      <c r="AB798" s="0" t="str">
        <f aca="false">IF(AND(C797=C798,Y797=Y798-1),Z797,"")</f>
        <v/>
      </c>
      <c r="AC798" s="0" t="str">
        <f aca="false">IF(AND(C797=C798,Y797=Y798-1),AA797,"")</f>
        <v/>
      </c>
      <c r="AD798" s="0" t="str">
        <f aca="false">IF(Y798=1,"",IF(AND(Z798=1,AB798&lt;&gt;1),1,0))</f>
        <v/>
      </c>
      <c r="AE798" s="0" t="str">
        <f aca="false">IF(Y798=1,"",IF(AND(AA798=1,AC798&lt;&gt;1),1,0))</f>
        <v/>
      </c>
      <c r="AF798" s="45" t="str">
        <f aca="false">IF(AND(E798&gt;0,Y798&lt;1,NOT(AND(C799=C798,Y799=Y798+1))),INDEX(DATAS,Y798+1),"")</f>
        <v/>
      </c>
      <c r="AG798" s="45" t="str">
        <f aca="false">IF(AND(AA798=1,Y798&lt;1),IF(AND(C799=C798,Y799=Y798+1),IF(AA799=1,"",INDEX(DATAS,Y798+1)),INDEX(DATAS,Y798+1)),"")</f>
        <v/>
      </c>
    </row>
    <row r="799" customFormat="false" ht="15" hidden="false" customHeight="false" outlineLevel="0" collapsed="false">
      <c r="A799" s="45" t="n">
        <v>46309</v>
      </c>
      <c r="B799" s="0" t="n">
        <v>2</v>
      </c>
      <c r="C799" s="0" t="n">
        <v>4737</v>
      </c>
      <c r="D799" s="0" t="n">
        <v>227</v>
      </c>
      <c r="E799" s="0" t="n">
        <v>2</v>
      </c>
      <c r="F799" s="39" t="s">
        <v>628</v>
      </c>
      <c r="G799" s="0" t="n">
        <v>45</v>
      </c>
      <c r="H799" s="0" t="n">
        <v>48</v>
      </c>
      <c r="I799" s="39" t="s">
        <v>109</v>
      </c>
      <c r="J799" s="0" t="n">
        <v>73</v>
      </c>
      <c r="K799" s="0" t="n">
        <v>73</v>
      </c>
      <c r="L799" s="0" t="n">
        <v>154</v>
      </c>
      <c r="M799" s="0" t="n">
        <v>321.24</v>
      </c>
      <c r="N799" s="0" t="n">
        <v>58.75</v>
      </c>
      <c r="O799" s="0" t="n">
        <v>34.66</v>
      </c>
      <c r="P799" s="0" t="n">
        <v>3.28</v>
      </c>
      <c r="Q799" s="0" t="n">
        <v>3.63</v>
      </c>
      <c r="R799" s="0" t="n">
        <v>4210</v>
      </c>
      <c r="S799" s="0" t="n">
        <v>9653</v>
      </c>
      <c r="T799" s="0" t="n">
        <v>51.25</v>
      </c>
      <c r="U799" s="0" t="n">
        <v>1232</v>
      </c>
      <c r="V799" s="0" t="n">
        <v>1</v>
      </c>
      <c r="W799" s="39" t="n">
        <f aca="false">IF(I799="Male",0,1)</f>
        <v>1</v>
      </c>
      <c r="X799" s="39" t="n">
        <f aca="false">IF(OR(I799="DNB",I799="Dry DNB"),1,0)</f>
        <v>0</v>
      </c>
      <c r="Y799" s="39" t="n">
        <f aca="false">MATCH(A799,DATAS,0)</f>
        <v>1</v>
      </c>
      <c r="Z799" s="39" t="n">
        <f aca="false">IF(AND(E799&gt;0,OR(AND(B799&gt;=1,B799&lt;=6),B799=10)),1,0)</f>
        <v>1</v>
      </c>
      <c r="AA799" s="39" t="n">
        <f aca="false">IF(AND(E799&gt;0,B799=10),1,0)</f>
        <v>0</v>
      </c>
      <c r="AB799" s="0" t="str">
        <f aca="false">IF(AND(C798=C799,Y798=Y799-1),Z798,"")</f>
        <v/>
      </c>
      <c r="AC799" s="0" t="str">
        <f aca="false">IF(AND(C798=C799,Y798=Y799-1),AA798,"")</f>
        <v/>
      </c>
      <c r="AD799" s="0" t="str">
        <f aca="false">IF(Y799=1,"",IF(AND(Z799=1,AB799&lt;&gt;1),1,0))</f>
        <v/>
      </c>
      <c r="AE799" s="0" t="str">
        <f aca="false">IF(Y799=1,"",IF(AND(AA799=1,AC799&lt;&gt;1),1,0))</f>
        <v/>
      </c>
      <c r="AF799" s="45" t="str">
        <f aca="false">IF(AND(E799&gt;0,Y799&lt;1,NOT(AND(C800=C799,Y800=Y799+1))),INDEX(DATAS,Y799+1),"")</f>
        <v/>
      </c>
      <c r="AG799" s="45" t="str">
        <f aca="false">IF(AND(AA799=1,Y799&lt;1),IF(AND(C800=C799,Y800=Y799+1),IF(AA800=1,"",INDEX(DATAS,Y799+1)),INDEX(DATAS,Y799+1)),"")</f>
        <v/>
      </c>
    </row>
    <row r="800" customFormat="false" ht="15" hidden="false" customHeight="false" outlineLevel="0" collapsed="false">
      <c r="A800" s="45" t="n">
        <v>46309</v>
      </c>
      <c r="B800" s="0" t="n">
        <v>5</v>
      </c>
      <c r="C800" s="0" t="n">
        <v>4738</v>
      </c>
      <c r="D800" s="0" t="n">
        <v>220</v>
      </c>
      <c r="E800" s="0" t="n">
        <v>2</v>
      </c>
      <c r="F800" s="39" t="s">
        <v>628</v>
      </c>
      <c r="G800" s="0" t="n">
        <v>40</v>
      </c>
      <c r="H800" s="0" t="n">
        <v>33</v>
      </c>
      <c r="I800" s="39" t="s">
        <v>138</v>
      </c>
      <c r="J800" s="0" t="n">
        <v>220</v>
      </c>
      <c r="K800" s="0" t="n">
        <v>66</v>
      </c>
      <c r="M800" s="0" t="n">
        <v>1126.42</v>
      </c>
      <c r="N800" s="0" t="n">
        <v>53.28</v>
      </c>
      <c r="O800" s="0" t="n">
        <v>42.34</v>
      </c>
      <c r="P800" s="0" t="n">
        <v>4.79</v>
      </c>
      <c r="Q800" s="0" t="n">
        <v>3.75</v>
      </c>
      <c r="R800" s="0" t="n">
        <v>3483</v>
      </c>
      <c r="S800" s="0" t="n">
        <v>7503</v>
      </c>
      <c r="T800" s="0" t="n">
        <v>36.45</v>
      </c>
      <c r="U800" s="0" t="n">
        <v>1232</v>
      </c>
      <c r="V800" s="0" t="n">
        <v>5</v>
      </c>
      <c r="W800" s="39" t="n">
        <f aca="false">IF(I800="Male",0,1)</f>
        <v>1</v>
      </c>
      <c r="X800" s="39" t="n">
        <f aca="false">IF(OR(I800="DNB",I800="Dry DNB"),1,0)</f>
        <v>0</v>
      </c>
      <c r="Y800" s="39" t="n">
        <f aca="false">MATCH(A800,DATAS,0)</f>
        <v>1</v>
      </c>
      <c r="Z800" s="39" t="n">
        <f aca="false">IF(AND(E800&gt;0,OR(AND(B800&gt;=1,B800&lt;=6),B800=10)),1,0)</f>
        <v>1</v>
      </c>
      <c r="AA800" s="39" t="n">
        <f aca="false">IF(AND(E800&gt;0,B800=10),1,0)</f>
        <v>0</v>
      </c>
      <c r="AB800" s="0" t="str">
        <f aca="false">IF(AND(C799=C800,Y799=Y800-1),Z799,"")</f>
        <v/>
      </c>
      <c r="AC800" s="0" t="str">
        <f aca="false">IF(AND(C799=C800,Y799=Y800-1),AA799,"")</f>
        <v/>
      </c>
      <c r="AD800" s="0" t="str">
        <f aca="false">IF(Y800=1,"",IF(AND(Z800=1,AB800&lt;&gt;1),1,0))</f>
        <v/>
      </c>
      <c r="AE800" s="0" t="str">
        <f aca="false">IF(Y800=1,"",IF(AND(AA800=1,AC800&lt;&gt;1),1,0))</f>
        <v/>
      </c>
      <c r="AF800" s="45" t="str">
        <f aca="false">IF(AND(E800&gt;0,Y800&lt;1,NOT(AND(C801=C800,Y801=Y800+1))),INDEX(DATAS,Y800+1),"")</f>
        <v/>
      </c>
      <c r="AG800" s="45" t="str">
        <f aca="false">IF(AND(AA800=1,Y800&lt;1),IF(AND(C801=C800,Y801=Y800+1),IF(AA801=1,"",INDEX(DATAS,Y800+1)),INDEX(DATAS,Y800+1)),"")</f>
        <v/>
      </c>
    </row>
    <row r="801" customFormat="false" ht="15" hidden="false" customHeight="false" outlineLevel="0" collapsed="false">
      <c r="A801" s="45" t="n">
        <v>46309</v>
      </c>
      <c r="B801" s="0" t="n">
        <v>2</v>
      </c>
      <c r="C801" s="0" t="n">
        <v>4739</v>
      </c>
      <c r="D801" s="0" t="n">
        <v>264</v>
      </c>
      <c r="E801" s="0" t="n">
        <v>2</v>
      </c>
      <c r="F801" s="39" t="s">
        <v>628</v>
      </c>
      <c r="G801" s="0" t="n">
        <v>48.2</v>
      </c>
      <c r="H801" s="0" t="n">
        <v>51</v>
      </c>
      <c r="I801" s="39" t="s">
        <v>146</v>
      </c>
      <c r="J801" s="0" t="n">
        <v>264</v>
      </c>
      <c r="K801" s="0" t="n">
        <v>68</v>
      </c>
      <c r="M801" s="0" t="n">
        <v>527.19</v>
      </c>
      <c r="N801" s="0" t="n">
        <v>55.72</v>
      </c>
      <c r="O801" s="0" t="n">
        <v>38.57</v>
      </c>
      <c r="P801" s="0" t="n">
        <v>3.93</v>
      </c>
      <c r="Q801" s="0" t="n">
        <v>3.7</v>
      </c>
      <c r="R801" s="0" t="n">
        <v>5125</v>
      </c>
      <c r="S801" s="0" t="n">
        <v>11521</v>
      </c>
      <c r="T801" s="0" t="n">
        <v>57.8</v>
      </c>
      <c r="U801" s="0" t="n">
        <v>1232</v>
      </c>
      <c r="V801" s="0" t="n">
        <v>3</v>
      </c>
      <c r="W801" s="39" t="n">
        <f aca="false">IF(I801="Male",0,1)</f>
        <v>1</v>
      </c>
      <c r="X801" s="39" t="n">
        <f aca="false">IF(OR(I801="DNB",I801="Dry DNB"),1,0)</f>
        <v>0</v>
      </c>
      <c r="Y801" s="39" t="n">
        <f aca="false">MATCH(A801,DATAS,0)</f>
        <v>1</v>
      </c>
      <c r="Z801" s="39" t="n">
        <f aca="false">IF(AND(E801&gt;0,OR(AND(B801&gt;=1,B801&lt;=6),B801=10)),1,0)</f>
        <v>1</v>
      </c>
      <c r="AA801" s="39" t="n">
        <f aca="false">IF(AND(E801&gt;0,B801=10),1,0)</f>
        <v>0</v>
      </c>
      <c r="AB801" s="0" t="str">
        <f aca="false">IF(AND(C800=C801,Y800=Y801-1),Z800,"")</f>
        <v/>
      </c>
      <c r="AC801" s="0" t="str">
        <f aca="false">IF(AND(C800=C801,Y800=Y801-1),AA800,"")</f>
        <v/>
      </c>
      <c r="AD801" s="0" t="str">
        <f aca="false">IF(Y801=1,"",IF(AND(Z801=1,AB801&lt;&gt;1),1,0))</f>
        <v/>
      </c>
      <c r="AE801" s="0" t="str">
        <f aca="false">IF(Y801=1,"",IF(AND(AA801=1,AC801&lt;&gt;1),1,0))</f>
        <v/>
      </c>
      <c r="AF801" s="45" t="str">
        <f aca="false">IF(AND(E801&gt;0,Y801&lt;1,NOT(AND(C802=C801,Y802=Y801+1))),INDEX(DATAS,Y801+1),"")</f>
        <v/>
      </c>
      <c r="AG801" s="45" t="str">
        <f aca="false">IF(AND(AA801=1,Y801&lt;1),IF(AND(C802=C801,Y802=Y801+1),IF(AA802=1,"",INDEX(DATAS,Y801+1)),INDEX(DATAS,Y801+1)),"")</f>
        <v/>
      </c>
    </row>
    <row r="802" customFormat="false" ht="15" hidden="false" customHeight="false" outlineLevel="0" collapsed="false">
      <c r="A802" s="45" t="n">
        <v>46309</v>
      </c>
      <c r="B802" s="0" t="n">
        <v>5</v>
      </c>
      <c r="C802" s="0" t="n">
        <v>4740</v>
      </c>
      <c r="D802" s="0" t="n">
        <v>314</v>
      </c>
      <c r="E802" s="0" t="n">
        <v>2</v>
      </c>
      <c r="F802" s="39" t="s">
        <v>628</v>
      </c>
      <c r="G802" s="0" t="n">
        <v>27.9</v>
      </c>
      <c r="H802" s="0" t="n">
        <v>36</v>
      </c>
      <c r="I802" s="39" t="s">
        <v>109</v>
      </c>
      <c r="J802" s="0" t="n">
        <v>139</v>
      </c>
      <c r="K802" s="0" t="n">
        <v>69</v>
      </c>
      <c r="L802" s="0" t="n">
        <v>175</v>
      </c>
      <c r="M802" s="0" t="n">
        <v>1056.47</v>
      </c>
      <c r="N802" s="0" t="n">
        <v>55.83</v>
      </c>
      <c r="O802" s="0" t="n">
        <v>37.92</v>
      </c>
      <c r="P802" s="0" t="n">
        <v>4.4</v>
      </c>
      <c r="Q802" s="0" t="n">
        <v>3.96</v>
      </c>
      <c r="R802" s="0" t="n">
        <v>5577</v>
      </c>
      <c r="S802" s="0" t="n">
        <v>11477</v>
      </c>
      <c r="T802" s="0" t="n">
        <v>58.5</v>
      </c>
      <c r="U802" s="0" t="n">
        <v>1232</v>
      </c>
      <c r="V802" s="0" t="n">
        <v>3</v>
      </c>
      <c r="W802" s="39" t="n">
        <f aca="false">IF(I802="Male",0,1)</f>
        <v>1</v>
      </c>
      <c r="X802" s="39" t="n">
        <f aca="false">IF(OR(I802="DNB",I802="Dry DNB"),1,0)</f>
        <v>0</v>
      </c>
      <c r="Y802" s="39" t="n">
        <f aca="false">MATCH(A802,DATAS,0)</f>
        <v>1</v>
      </c>
      <c r="Z802" s="39" t="n">
        <f aca="false">IF(AND(E802&gt;0,OR(AND(B802&gt;=1,B802&lt;=6),B802=10)),1,0)</f>
        <v>1</v>
      </c>
      <c r="AA802" s="39" t="n">
        <f aca="false">IF(AND(E802&gt;0,B802=10),1,0)</f>
        <v>0</v>
      </c>
      <c r="AB802" s="0" t="str">
        <f aca="false">IF(AND(C801=C802,Y801=Y802-1),Z801,"")</f>
        <v/>
      </c>
      <c r="AC802" s="0" t="str">
        <f aca="false">IF(AND(C801=C802,Y801=Y802-1),AA801,"")</f>
        <v/>
      </c>
      <c r="AD802" s="0" t="str">
        <f aca="false">IF(Y802=1,"",IF(AND(Z802=1,AB802&lt;&gt;1),1,0))</f>
        <v/>
      </c>
      <c r="AE802" s="0" t="str">
        <f aca="false">IF(Y802=1,"",IF(AND(AA802=1,AC802&lt;&gt;1),1,0))</f>
        <v/>
      </c>
      <c r="AF802" s="45" t="str">
        <f aca="false">IF(AND(E802&gt;0,Y802&lt;1,NOT(AND(C803=C802,Y803=Y802+1))),INDEX(DATAS,Y802+1),"")</f>
        <v/>
      </c>
      <c r="AG802" s="45" t="str">
        <f aca="false">IF(AND(AA802=1,Y802&lt;1),IF(AND(C803=C802,Y803=Y802+1),IF(AA803=1,"",INDEX(DATAS,Y802+1)),INDEX(DATAS,Y802+1)),"")</f>
        <v/>
      </c>
    </row>
    <row r="803" customFormat="false" ht="15" hidden="false" customHeight="false" outlineLevel="0" collapsed="false">
      <c r="A803" s="45" t="n">
        <v>46309</v>
      </c>
      <c r="B803" s="0" t="n">
        <v>2</v>
      </c>
      <c r="C803" s="0" t="n">
        <v>4741</v>
      </c>
      <c r="D803" s="0" t="n">
        <v>274</v>
      </c>
      <c r="E803" s="0" t="n">
        <v>2</v>
      </c>
      <c r="F803" s="39" t="s">
        <v>628</v>
      </c>
      <c r="G803" s="0" t="n">
        <v>48.7</v>
      </c>
      <c r="H803" s="0" t="n">
        <v>51</v>
      </c>
      <c r="I803" s="39" t="s">
        <v>109</v>
      </c>
      <c r="J803" s="0" t="n">
        <v>101</v>
      </c>
      <c r="K803" s="0" t="n">
        <v>78</v>
      </c>
      <c r="L803" s="0" t="n">
        <v>173</v>
      </c>
      <c r="M803" s="0" t="n">
        <v>636.72</v>
      </c>
      <c r="N803" s="0" t="n">
        <v>54.19</v>
      </c>
      <c r="O803" s="0" t="n">
        <v>42.71</v>
      </c>
      <c r="P803" s="0" t="n">
        <v>3.65</v>
      </c>
      <c r="Q803" s="0" t="n">
        <v>3.85</v>
      </c>
      <c r="R803" s="0" t="n">
        <v>5496</v>
      </c>
      <c r="S803" s="0" t="n">
        <v>11678</v>
      </c>
      <c r="T803" s="0" t="n">
        <v>56.8</v>
      </c>
      <c r="U803" s="0" t="n">
        <v>1232</v>
      </c>
      <c r="V803" s="0" t="n">
        <v>2</v>
      </c>
      <c r="W803" s="39" t="n">
        <f aca="false">IF(I803="Male",0,1)</f>
        <v>1</v>
      </c>
      <c r="X803" s="39" t="n">
        <f aca="false">IF(OR(I803="DNB",I803="Dry DNB"),1,0)</f>
        <v>0</v>
      </c>
      <c r="Y803" s="39" t="n">
        <f aca="false">MATCH(A803,DATAS,0)</f>
        <v>1</v>
      </c>
      <c r="Z803" s="39" t="n">
        <f aca="false">IF(AND(E803&gt;0,OR(AND(B803&gt;=1,B803&lt;=6),B803=10)),1,0)</f>
        <v>1</v>
      </c>
      <c r="AA803" s="39" t="n">
        <f aca="false">IF(AND(E803&gt;0,B803=10),1,0)</f>
        <v>0</v>
      </c>
      <c r="AB803" s="0" t="str">
        <f aca="false">IF(AND(C802=C803,Y802=Y803-1),Z802,"")</f>
        <v/>
      </c>
      <c r="AC803" s="0" t="str">
        <f aca="false">IF(AND(C802=C803,Y802=Y803-1),AA802,"")</f>
        <v/>
      </c>
      <c r="AD803" s="0" t="str">
        <f aca="false">IF(Y803=1,"",IF(AND(Z803=1,AB803&lt;&gt;1),1,0))</f>
        <v/>
      </c>
      <c r="AE803" s="0" t="str">
        <f aca="false">IF(Y803=1,"",IF(AND(AA803=1,AC803&lt;&gt;1),1,0))</f>
        <v/>
      </c>
      <c r="AF803" s="45" t="str">
        <f aca="false">IF(AND(E803&gt;0,Y803&lt;1,NOT(AND(C804=C803,Y804=Y803+1))),INDEX(DATAS,Y803+1),"")</f>
        <v/>
      </c>
      <c r="AG803" s="45" t="str">
        <f aca="false">IF(AND(AA803=1,Y803&lt;1),IF(AND(C804=C803,Y804=Y803+1),IF(AA804=1,"",INDEX(DATAS,Y803+1)),INDEX(DATAS,Y803+1)),"")</f>
        <v/>
      </c>
    </row>
    <row r="804" customFormat="false" ht="15" hidden="false" customHeight="false" outlineLevel="0" collapsed="false">
      <c r="A804" s="45" t="n">
        <v>46309</v>
      </c>
      <c r="B804" s="0" t="n">
        <v>2</v>
      </c>
      <c r="C804" s="0" t="n">
        <v>4742</v>
      </c>
      <c r="D804" s="0" t="n">
        <v>199</v>
      </c>
      <c r="E804" s="0" t="n">
        <v>2</v>
      </c>
      <c r="F804" s="39" t="s">
        <v>629</v>
      </c>
      <c r="G804" s="0" t="n">
        <v>63.4</v>
      </c>
      <c r="H804" s="0" t="n">
        <v>63</v>
      </c>
      <c r="I804" s="39" t="s">
        <v>109</v>
      </c>
      <c r="J804" s="0" t="n">
        <v>143</v>
      </c>
      <c r="K804" s="0" t="n">
        <v>66</v>
      </c>
      <c r="L804" s="0" t="n">
        <v>56</v>
      </c>
      <c r="M804" s="0" t="n">
        <v>344.43</v>
      </c>
      <c r="N804" s="0" t="n">
        <v>55.77</v>
      </c>
      <c r="O804" s="0" t="n">
        <v>35.19</v>
      </c>
      <c r="P804" s="0" t="n">
        <v>3.77</v>
      </c>
      <c r="Q804" s="0" t="n">
        <v>3.29</v>
      </c>
      <c r="R804" s="0" t="n">
        <v>5557</v>
      </c>
      <c r="S804" s="0" t="n">
        <v>12249</v>
      </c>
      <c r="T804" s="0" t="n">
        <v>63</v>
      </c>
      <c r="U804" s="0" t="n">
        <v>1231</v>
      </c>
      <c r="V804" s="0" t="n">
        <v>4</v>
      </c>
      <c r="W804" s="39" t="n">
        <f aca="false">IF(I804="Male",0,1)</f>
        <v>1</v>
      </c>
      <c r="X804" s="39" t="n">
        <f aca="false">IF(OR(I804="DNB",I804="Dry DNB"),1,0)</f>
        <v>0</v>
      </c>
      <c r="Y804" s="39" t="n">
        <f aca="false">MATCH(A804,DATAS,0)</f>
        <v>1</v>
      </c>
      <c r="Z804" s="39" t="n">
        <f aca="false">IF(AND(E804&gt;0,OR(AND(B804&gt;=1,B804&lt;=6),B804=10)),1,0)</f>
        <v>1</v>
      </c>
      <c r="AA804" s="39" t="n">
        <f aca="false">IF(AND(E804&gt;0,B804=10),1,0)</f>
        <v>0</v>
      </c>
      <c r="AB804" s="0" t="str">
        <f aca="false">IF(AND(C803=C804,Y803=Y804-1),Z803,"")</f>
        <v/>
      </c>
      <c r="AC804" s="0" t="str">
        <f aca="false">IF(AND(C803=C804,Y803=Y804-1),AA803,"")</f>
        <v/>
      </c>
      <c r="AD804" s="0" t="str">
        <f aca="false">IF(Y804=1,"",IF(AND(Z804=1,AB804&lt;&gt;1),1,0))</f>
        <v/>
      </c>
      <c r="AE804" s="0" t="str">
        <f aca="false">IF(Y804=1,"",IF(AND(AA804=1,AC804&lt;&gt;1),1,0))</f>
        <v/>
      </c>
      <c r="AF804" s="45" t="str">
        <f aca="false">IF(AND(E804&gt;0,Y804&lt;1,NOT(AND(C805=C804,Y805=Y804+1))),INDEX(DATAS,Y804+1),"")</f>
        <v/>
      </c>
      <c r="AG804" s="45" t="str">
        <f aca="false">IF(AND(AA804=1,Y804&lt;1),IF(AND(C805=C804,Y805=Y804+1),IF(AA805=1,"",INDEX(DATAS,Y804+1)),INDEX(DATAS,Y804+1)),"")</f>
        <v/>
      </c>
    </row>
    <row r="805" customFormat="false" ht="15" hidden="false" customHeight="false" outlineLevel="0" collapsed="false">
      <c r="A805" s="45" t="n">
        <v>46309</v>
      </c>
      <c r="B805" s="0" t="n">
        <v>5</v>
      </c>
      <c r="C805" s="0" t="n">
        <v>4743</v>
      </c>
      <c r="D805" s="0" t="n">
        <v>246</v>
      </c>
      <c r="E805" s="0" t="n">
        <v>2</v>
      </c>
      <c r="F805" s="39" t="s">
        <v>629</v>
      </c>
      <c r="G805" s="0" t="n">
        <v>42.8</v>
      </c>
      <c r="H805" s="0" t="n">
        <v>40</v>
      </c>
      <c r="I805" s="39" t="s">
        <v>109</v>
      </c>
      <c r="J805" s="0" t="n">
        <v>120</v>
      </c>
      <c r="K805" s="0" t="n">
        <v>64</v>
      </c>
      <c r="L805" s="0" t="n">
        <v>126</v>
      </c>
      <c r="M805" s="0" t="n">
        <v>759.61</v>
      </c>
      <c r="N805" s="0" t="n">
        <v>87.24</v>
      </c>
      <c r="O805" s="0" t="n">
        <v>43.34</v>
      </c>
      <c r="P805" s="0" t="n">
        <v>5.02</v>
      </c>
      <c r="Q805" s="0" t="n">
        <v>3.93</v>
      </c>
      <c r="R805" s="0" t="n">
        <v>3734</v>
      </c>
      <c r="S805" s="0" t="n">
        <v>8392</v>
      </c>
      <c r="T805" s="0" t="n">
        <v>42.65</v>
      </c>
      <c r="U805" s="0" t="n">
        <v>1231</v>
      </c>
      <c r="V805" s="0" t="n">
        <v>3</v>
      </c>
      <c r="W805" s="39" t="n">
        <f aca="false">IF(I805="Male",0,1)</f>
        <v>1</v>
      </c>
      <c r="X805" s="39" t="n">
        <f aca="false">IF(OR(I805="DNB",I805="Dry DNB"),1,0)</f>
        <v>0</v>
      </c>
      <c r="Y805" s="39" t="n">
        <f aca="false">MATCH(A805,DATAS,0)</f>
        <v>1</v>
      </c>
      <c r="Z805" s="39" t="n">
        <f aca="false">IF(AND(E805&gt;0,OR(AND(B805&gt;=1,B805&lt;=6),B805=10)),1,0)</f>
        <v>1</v>
      </c>
      <c r="AA805" s="39" t="n">
        <f aca="false">IF(AND(E805&gt;0,B805=10),1,0)</f>
        <v>0</v>
      </c>
      <c r="AB805" s="0" t="str">
        <f aca="false">IF(AND(C804=C805,Y804=Y805-1),Z804,"")</f>
        <v/>
      </c>
      <c r="AC805" s="0" t="str">
        <f aca="false">IF(AND(C804=C805,Y804=Y805-1),AA804,"")</f>
        <v/>
      </c>
      <c r="AD805" s="0" t="str">
        <f aca="false">IF(Y805=1,"",IF(AND(Z805=1,AB805&lt;&gt;1),1,0))</f>
        <v/>
      </c>
      <c r="AE805" s="0" t="str">
        <f aca="false">IF(Y805=1,"",IF(AND(AA805=1,AC805&lt;&gt;1),1,0))</f>
        <v/>
      </c>
      <c r="AF805" s="45" t="str">
        <f aca="false">IF(AND(E805&gt;0,Y805&lt;1,NOT(AND(C806=C805,Y806=Y805+1))),INDEX(DATAS,Y805+1),"")</f>
        <v/>
      </c>
      <c r="AG805" s="45" t="str">
        <f aca="false">IF(AND(AA805=1,Y805&lt;1),IF(AND(C806=C805,Y806=Y805+1),IF(AA806=1,"",INDEX(DATAS,Y805+1)),INDEX(DATAS,Y805+1)),"")</f>
        <v/>
      </c>
    </row>
    <row r="806" customFormat="false" ht="15" hidden="false" customHeight="false" outlineLevel="0" collapsed="false">
      <c r="A806" s="45" t="n">
        <v>46309</v>
      </c>
      <c r="B806" s="0" t="n">
        <v>3</v>
      </c>
      <c r="C806" s="0" t="n">
        <v>4744</v>
      </c>
      <c r="D806" s="0" t="n">
        <v>454</v>
      </c>
      <c r="E806" s="0" t="n">
        <v>1</v>
      </c>
      <c r="F806" s="39" t="s">
        <v>629</v>
      </c>
      <c r="G806" s="0" t="n">
        <v>53.2</v>
      </c>
      <c r="H806" s="0" t="n">
        <v>50</v>
      </c>
      <c r="I806" s="39" t="s">
        <v>109</v>
      </c>
      <c r="J806" s="0" t="n">
        <v>342</v>
      </c>
      <c r="K806" s="0" t="n">
        <v>62</v>
      </c>
      <c r="L806" s="0" t="n">
        <v>112</v>
      </c>
      <c r="M806" s="0" t="n">
        <v>1698.43</v>
      </c>
      <c r="N806" s="0" t="n">
        <v>44.68</v>
      </c>
      <c r="O806" s="0" t="n">
        <v>37.51</v>
      </c>
      <c r="P806" s="0" t="n">
        <v>2.84</v>
      </c>
      <c r="Q806" s="0" t="n">
        <v>3.47</v>
      </c>
      <c r="R806" s="0" t="n">
        <v>5414</v>
      </c>
      <c r="S806" s="0" t="n">
        <v>11417</v>
      </c>
      <c r="T806" s="0" t="n">
        <v>56.5</v>
      </c>
      <c r="U806" s="0" t="n">
        <v>1231</v>
      </c>
      <c r="V806" s="0" t="n">
        <v>10</v>
      </c>
      <c r="W806" s="39" t="n">
        <f aca="false">IF(I806="Male",0,1)</f>
        <v>1</v>
      </c>
      <c r="X806" s="39" t="n">
        <f aca="false">IF(OR(I806="DNB",I806="Dry DNB"),1,0)</f>
        <v>0</v>
      </c>
      <c r="Y806" s="39" t="n">
        <f aca="false">MATCH(A806,DATAS,0)</f>
        <v>1</v>
      </c>
      <c r="Z806" s="39" t="n">
        <f aca="false">IF(AND(E806&gt;0,OR(AND(B806&gt;=1,B806&lt;=6),B806=10)),1,0)</f>
        <v>1</v>
      </c>
      <c r="AA806" s="39" t="n">
        <f aca="false">IF(AND(E806&gt;0,B806=10),1,0)</f>
        <v>0</v>
      </c>
      <c r="AB806" s="0" t="str">
        <f aca="false">IF(AND(C805=C806,Y805=Y806-1),Z805,"")</f>
        <v/>
      </c>
      <c r="AC806" s="0" t="str">
        <f aca="false">IF(AND(C805=C806,Y805=Y806-1),AA805,"")</f>
        <v/>
      </c>
      <c r="AD806" s="0" t="str">
        <f aca="false">IF(Y806=1,"",IF(AND(Z806=1,AB806&lt;&gt;1),1,0))</f>
        <v/>
      </c>
      <c r="AE806" s="0" t="str">
        <f aca="false">IF(Y806=1,"",IF(AND(AA806=1,AC806&lt;&gt;1),1,0))</f>
        <v/>
      </c>
      <c r="AF806" s="45" t="str">
        <f aca="false">IF(AND(E806&gt;0,Y806&lt;1,NOT(AND(C807=C806,Y807=Y806+1))),INDEX(DATAS,Y806+1),"")</f>
        <v/>
      </c>
      <c r="AG806" s="45" t="str">
        <f aca="false">IF(AND(AA806=1,Y806&lt;1),IF(AND(C807=C806,Y807=Y806+1),IF(AA807=1,"",INDEX(DATAS,Y806+1)),INDEX(DATAS,Y806+1)),"")</f>
        <v/>
      </c>
    </row>
    <row r="807" customFormat="false" ht="15" hidden="false" customHeight="false" outlineLevel="0" collapsed="false">
      <c r="A807" s="45" t="n">
        <v>46309</v>
      </c>
      <c r="B807" s="0" t="n">
        <v>7</v>
      </c>
      <c r="C807" s="0" t="n">
        <v>4745</v>
      </c>
      <c r="D807" s="0" t="n">
        <v>50</v>
      </c>
      <c r="E807" s="0" t="n">
        <v>2</v>
      </c>
      <c r="F807" s="39" t="s">
        <v>629</v>
      </c>
      <c r="I807" s="39" t="s">
        <v>114</v>
      </c>
      <c r="J807" s="0" t="n">
        <v>70</v>
      </c>
      <c r="K807" s="0" t="n">
        <v>70</v>
      </c>
      <c r="L807" s="0" t="n">
        <v>156</v>
      </c>
      <c r="M807" s="0" t="n">
        <v>705.71</v>
      </c>
      <c r="N807" s="0" t="n">
        <v>45.69</v>
      </c>
      <c r="O807" s="0" t="n">
        <v>45.5</v>
      </c>
      <c r="P807" s="0" t="n">
        <v>3.77</v>
      </c>
      <c r="Q807" s="0" t="n">
        <v>3.98</v>
      </c>
      <c r="R807" s="0" t="n">
        <v>1031</v>
      </c>
      <c r="S807" s="0" t="n">
        <v>2074</v>
      </c>
      <c r="U807" s="0" t="n">
        <v>1231</v>
      </c>
      <c r="V807" s="0" t="n">
        <v>1</v>
      </c>
      <c r="W807" s="39" t="n">
        <f aca="false">IF(I807="Male",0,1)</f>
        <v>1</v>
      </c>
      <c r="X807" s="39" t="n">
        <f aca="false">IF(OR(I807="DNB",I807="Dry DNB"),1,0)</f>
        <v>0</v>
      </c>
      <c r="Y807" s="39" t="n">
        <f aca="false">MATCH(A807,DATAS,0)</f>
        <v>1</v>
      </c>
      <c r="Z807" s="39" t="n">
        <f aca="false">IF(AND(E807&gt;0,OR(AND(B807&gt;=1,B807&lt;=6),B807=10)),1,0)</f>
        <v>0</v>
      </c>
      <c r="AA807" s="39" t="n">
        <f aca="false">IF(AND(E807&gt;0,B807=10),1,0)</f>
        <v>0</v>
      </c>
      <c r="AB807" s="0" t="str">
        <f aca="false">IF(AND(C806=C807,Y806=Y807-1),Z806,"")</f>
        <v/>
      </c>
      <c r="AC807" s="0" t="str">
        <f aca="false">IF(AND(C806=C807,Y806=Y807-1),AA806,"")</f>
        <v/>
      </c>
      <c r="AD807" s="0" t="str">
        <f aca="false">IF(Y807=1,"",IF(AND(Z807=1,AB807&lt;&gt;1),1,0))</f>
        <v/>
      </c>
      <c r="AE807" s="0" t="str">
        <f aca="false">IF(Y807=1,"",IF(AND(AA807=1,AC807&lt;&gt;1),1,0))</f>
        <v/>
      </c>
      <c r="AF807" s="45" t="str">
        <f aca="false">IF(AND(E807&gt;0,Y807&lt;1,NOT(AND(C808=C807,Y808=Y807+1))),INDEX(DATAS,Y807+1),"")</f>
        <v/>
      </c>
      <c r="AG807" s="45" t="str">
        <f aca="false">IF(AND(AA807=1,Y807&lt;1),IF(AND(C808=C807,Y808=Y807+1),IF(AA808=1,"",INDEX(DATAS,Y807+1)),INDEX(DATAS,Y807+1)),"")</f>
        <v/>
      </c>
    </row>
    <row r="808" customFormat="false" ht="15" hidden="false" customHeight="false" outlineLevel="0" collapsed="false">
      <c r="A808" s="45" t="n">
        <v>46309</v>
      </c>
      <c r="B808" s="0" t="n">
        <v>5</v>
      </c>
      <c r="C808" s="0" t="n">
        <v>4747</v>
      </c>
      <c r="D808" s="0" t="n">
        <v>240</v>
      </c>
      <c r="E808" s="0" t="n">
        <v>2</v>
      </c>
      <c r="F808" s="39" t="s">
        <v>630</v>
      </c>
      <c r="G808" s="0" t="n">
        <v>43.1</v>
      </c>
      <c r="H808" s="0" t="n">
        <v>43</v>
      </c>
      <c r="I808" s="39" t="s">
        <v>109</v>
      </c>
      <c r="J808" s="0" t="n">
        <v>135</v>
      </c>
      <c r="K808" s="0" t="n">
        <v>65</v>
      </c>
      <c r="L808" s="0" t="n">
        <v>105</v>
      </c>
      <c r="M808" s="0" t="n">
        <v>-285.28</v>
      </c>
      <c r="N808" s="0" t="n">
        <v>21.97</v>
      </c>
      <c r="O808" s="0" t="n">
        <v>-2.95</v>
      </c>
      <c r="P808" s="0" t="n">
        <v>2.85</v>
      </c>
      <c r="Q808" s="0" t="n">
        <v>3.76</v>
      </c>
      <c r="R808" s="0" t="n">
        <v>4965</v>
      </c>
      <c r="S808" s="0" t="n">
        <v>10079</v>
      </c>
      <c r="T808" s="0" t="n">
        <v>58.65</v>
      </c>
      <c r="U808" s="0" t="n">
        <v>1230</v>
      </c>
      <c r="V808" s="0" t="n">
        <v>3</v>
      </c>
      <c r="W808" s="39" t="n">
        <f aca="false">IF(I808="Male",0,1)</f>
        <v>1</v>
      </c>
      <c r="X808" s="39" t="n">
        <f aca="false">IF(OR(I808="DNB",I808="Dry DNB"),1,0)</f>
        <v>0</v>
      </c>
      <c r="Y808" s="39" t="n">
        <f aca="false">MATCH(A808,DATAS,0)</f>
        <v>1</v>
      </c>
      <c r="Z808" s="39" t="n">
        <f aca="false">IF(AND(E808&gt;0,OR(AND(B808&gt;=1,B808&lt;=6),B808=10)),1,0)</f>
        <v>1</v>
      </c>
      <c r="AA808" s="39" t="n">
        <f aca="false">IF(AND(E808&gt;0,B808=10),1,0)</f>
        <v>0</v>
      </c>
      <c r="AB808" s="0" t="str">
        <f aca="false">IF(AND(C807=C808,Y807=Y808-1),Z807,"")</f>
        <v/>
      </c>
      <c r="AC808" s="0" t="str">
        <f aca="false">IF(AND(C807=C808,Y807=Y808-1),AA807,"")</f>
        <v/>
      </c>
      <c r="AD808" s="0" t="str">
        <f aca="false">IF(Y808=1,"",IF(AND(Z808=1,AB808&lt;&gt;1),1,0))</f>
        <v/>
      </c>
      <c r="AE808" s="0" t="str">
        <f aca="false">IF(Y808=1,"",IF(AND(AA808=1,AC808&lt;&gt;1),1,0))</f>
        <v/>
      </c>
      <c r="AF808" s="45" t="str">
        <f aca="false">IF(AND(E808&gt;0,Y808&lt;1,NOT(AND(C809=C808,Y809=Y808+1))),INDEX(DATAS,Y808+1),"")</f>
        <v/>
      </c>
      <c r="AG808" s="45" t="str">
        <f aca="false">IF(AND(AA808=1,Y808&lt;1),IF(AND(C809=C808,Y809=Y808+1),IF(AA809=1,"",INDEX(DATAS,Y808+1)),INDEX(DATAS,Y808+1)),"")</f>
        <v/>
      </c>
    </row>
    <row r="809" customFormat="false" ht="15" hidden="false" customHeight="false" outlineLevel="0" collapsed="false">
      <c r="A809" s="45" t="n">
        <v>46309</v>
      </c>
      <c r="B809" s="0" t="n">
        <v>3</v>
      </c>
      <c r="C809" s="0" t="n">
        <v>4749</v>
      </c>
      <c r="D809" s="0" t="n">
        <v>224</v>
      </c>
      <c r="E809" s="0" t="n">
        <v>2</v>
      </c>
      <c r="F809" s="39" t="s">
        <v>631</v>
      </c>
      <c r="G809" s="0" t="n">
        <v>51.7</v>
      </c>
      <c r="H809" s="0" t="n">
        <v>51</v>
      </c>
      <c r="I809" s="39" t="s">
        <v>138</v>
      </c>
      <c r="J809" s="0" t="n">
        <v>224</v>
      </c>
      <c r="K809" s="0" t="n">
        <v>63</v>
      </c>
      <c r="M809" s="0" t="n">
        <v>775.97</v>
      </c>
      <c r="N809" s="0" t="n">
        <v>73.75</v>
      </c>
      <c r="O809" s="0" t="n">
        <v>55.24</v>
      </c>
      <c r="P809" s="0" t="n">
        <v>3.57</v>
      </c>
      <c r="Q809" s="0" t="n">
        <v>4.06</v>
      </c>
      <c r="R809" s="0" t="n">
        <v>5405</v>
      </c>
      <c r="S809" s="0" t="n">
        <v>10863</v>
      </c>
      <c r="T809" s="0" t="n">
        <v>59.95</v>
      </c>
      <c r="U809" s="0" t="n">
        <v>1229</v>
      </c>
      <c r="V809" s="0" t="n">
        <v>5</v>
      </c>
      <c r="W809" s="39" t="n">
        <f aca="false">IF(I809="Male",0,1)</f>
        <v>1</v>
      </c>
      <c r="X809" s="39" t="n">
        <f aca="false">IF(OR(I809="DNB",I809="Dry DNB"),1,0)</f>
        <v>0</v>
      </c>
      <c r="Y809" s="39" t="n">
        <f aca="false">MATCH(A809,DATAS,0)</f>
        <v>1</v>
      </c>
      <c r="Z809" s="39" t="n">
        <f aca="false">IF(AND(E809&gt;0,OR(AND(B809&gt;=1,B809&lt;=6),B809=10)),1,0)</f>
        <v>1</v>
      </c>
      <c r="AA809" s="39" t="n">
        <f aca="false">IF(AND(E809&gt;0,B809=10),1,0)</f>
        <v>0</v>
      </c>
      <c r="AB809" s="0" t="str">
        <f aca="false">IF(AND(C808=C809,Y808=Y809-1),Z808,"")</f>
        <v/>
      </c>
      <c r="AC809" s="0" t="str">
        <f aca="false">IF(AND(C808=C809,Y808=Y809-1),AA808,"")</f>
        <v/>
      </c>
      <c r="AD809" s="0" t="str">
        <f aca="false">IF(Y809=1,"",IF(AND(Z809=1,AB809&lt;&gt;1),1,0))</f>
        <v/>
      </c>
      <c r="AE809" s="0" t="str">
        <f aca="false">IF(Y809=1,"",IF(AND(AA809=1,AC809&lt;&gt;1),1,0))</f>
        <v/>
      </c>
      <c r="AF809" s="45" t="str">
        <f aca="false">IF(AND(E809&gt;0,Y809&lt;1,NOT(AND(C810=C809,Y810=Y809+1))),INDEX(DATAS,Y809+1),"")</f>
        <v/>
      </c>
      <c r="AG809" s="45" t="str">
        <f aca="false">IF(AND(AA809=1,Y809&lt;1),IF(AND(C810=C809,Y810=Y809+1),IF(AA810=1,"",INDEX(DATAS,Y809+1)),INDEX(DATAS,Y809+1)),"")</f>
        <v/>
      </c>
    </row>
    <row r="810" customFormat="false" ht="15" hidden="false" customHeight="false" outlineLevel="0" collapsed="false">
      <c r="A810" s="45" t="n">
        <v>46309</v>
      </c>
      <c r="B810" s="0" t="n">
        <v>5</v>
      </c>
      <c r="C810" s="0" t="n">
        <v>4751</v>
      </c>
      <c r="D810" s="0" t="n">
        <v>190</v>
      </c>
      <c r="E810" s="0" t="n">
        <v>2</v>
      </c>
      <c r="F810" s="39" t="s">
        <v>632</v>
      </c>
      <c r="G810" s="0" t="n">
        <v>45.3</v>
      </c>
      <c r="H810" s="0" t="n">
        <v>45</v>
      </c>
      <c r="I810" s="39" t="s">
        <v>138</v>
      </c>
      <c r="J810" s="0" t="n">
        <v>190</v>
      </c>
      <c r="K810" s="0" t="n">
        <v>64</v>
      </c>
      <c r="M810" s="0" t="n">
        <v>902.86</v>
      </c>
      <c r="N810" s="0" t="n">
        <v>52.87</v>
      </c>
      <c r="O810" s="0" t="n">
        <v>36.97</v>
      </c>
      <c r="P810" s="0" t="n">
        <v>4.89</v>
      </c>
      <c r="Q810" s="0" t="n">
        <v>4.04</v>
      </c>
      <c r="R810" s="0" t="n">
        <v>4403</v>
      </c>
      <c r="S810" s="0" t="n">
        <v>8936</v>
      </c>
      <c r="T810" s="0" t="n">
        <v>46.8</v>
      </c>
      <c r="U810" s="0" t="n">
        <v>1228</v>
      </c>
      <c r="V810" s="0" t="n">
        <v>3</v>
      </c>
      <c r="W810" s="39" t="n">
        <f aca="false">IF(I810="Male",0,1)</f>
        <v>1</v>
      </c>
      <c r="X810" s="39" t="n">
        <f aca="false">IF(OR(I810="DNB",I810="Dry DNB"),1,0)</f>
        <v>0</v>
      </c>
      <c r="Y810" s="39" t="n">
        <f aca="false">MATCH(A810,DATAS,0)</f>
        <v>1</v>
      </c>
      <c r="Z810" s="39" t="n">
        <f aca="false">IF(AND(E810&gt;0,OR(AND(B810&gt;=1,B810&lt;=6),B810=10)),1,0)</f>
        <v>1</v>
      </c>
      <c r="AA810" s="39" t="n">
        <f aca="false">IF(AND(E810&gt;0,B810=10),1,0)</f>
        <v>0</v>
      </c>
      <c r="AB810" s="0" t="str">
        <f aca="false">IF(AND(C809=C810,Y809=Y810-1),Z809,"")</f>
        <v/>
      </c>
      <c r="AC810" s="0" t="str">
        <f aca="false">IF(AND(C809=C810,Y809=Y810-1),AA809,"")</f>
        <v/>
      </c>
      <c r="AD810" s="0" t="str">
        <f aca="false">IF(Y810=1,"",IF(AND(Z810=1,AB810&lt;&gt;1),1,0))</f>
        <v/>
      </c>
      <c r="AE810" s="0" t="str">
        <f aca="false">IF(Y810=1,"",IF(AND(AA810=1,AC810&lt;&gt;1),1,0))</f>
        <v/>
      </c>
      <c r="AF810" s="45" t="str">
        <f aca="false">IF(AND(E810&gt;0,Y810&lt;1,NOT(AND(C811=C810,Y811=Y810+1))),INDEX(DATAS,Y810+1),"")</f>
        <v/>
      </c>
      <c r="AG810" s="45" t="str">
        <f aca="false">IF(AND(AA810=1,Y810&lt;1),IF(AND(C811=C810,Y811=Y810+1),IF(AA811=1,"",INDEX(DATAS,Y810+1)),INDEX(DATAS,Y810+1)),"")</f>
        <v/>
      </c>
    </row>
    <row r="811" customFormat="false" ht="15" hidden="false" customHeight="false" outlineLevel="0" collapsed="false">
      <c r="A811" s="45" t="n">
        <v>46309</v>
      </c>
      <c r="B811" s="0" t="n">
        <v>5</v>
      </c>
      <c r="C811" s="0" t="n">
        <v>4752</v>
      </c>
      <c r="D811" s="0" t="n">
        <v>207</v>
      </c>
      <c r="E811" s="0" t="n">
        <v>2</v>
      </c>
      <c r="F811" s="39" t="s">
        <v>632</v>
      </c>
      <c r="G811" s="0" t="n">
        <v>46.2</v>
      </c>
      <c r="H811" s="0" t="n">
        <v>37</v>
      </c>
      <c r="I811" s="39" t="s">
        <v>109</v>
      </c>
      <c r="J811" s="0" t="n">
        <v>67</v>
      </c>
      <c r="K811" s="0" t="n">
        <v>67</v>
      </c>
      <c r="L811" s="0" t="n">
        <v>140</v>
      </c>
      <c r="M811" s="0" t="n">
        <v>885.62</v>
      </c>
      <c r="N811" s="0" t="n">
        <v>54.54</v>
      </c>
      <c r="O811" s="0" t="n">
        <v>37.23</v>
      </c>
      <c r="P811" s="0" t="n">
        <v>5.2</v>
      </c>
      <c r="Q811" s="0" t="n">
        <v>3.84</v>
      </c>
      <c r="R811" s="0" t="n">
        <v>3783</v>
      </c>
      <c r="S811" s="0" t="n">
        <v>7829</v>
      </c>
      <c r="T811" s="0" t="n">
        <v>41.6</v>
      </c>
      <c r="U811" s="0" t="n">
        <v>1228</v>
      </c>
      <c r="V811" s="0" t="n">
        <v>1</v>
      </c>
      <c r="W811" s="39" t="n">
        <f aca="false">IF(I811="Male",0,1)</f>
        <v>1</v>
      </c>
      <c r="X811" s="39" t="n">
        <f aca="false">IF(OR(I811="DNB",I811="Dry DNB"),1,0)</f>
        <v>0</v>
      </c>
      <c r="Y811" s="39" t="n">
        <f aca="false">MATCH(A811,DATAS,0)</f>
        <v>1</v>
      </c>
      <c r="Z811" s="39" t="n">
        <f aca="false">IF(AND(E811&gt;0,OR(AND(B811&gt;=1,B811&lt;=6),B811=10)),1,0)</f>
        <v>1</v>
      </c>
      <c r="AA811" s="39" t="n">
        <f aca="false">IF(AND(E811&gt;0,B811=10),1,0)</f>
        <v>0</v>
      </c>
      <c r="AB811" s="0" t="str">
        <f aca="false">IF(AND(C810=C811,Y810=Y811-1),Z810,"")</f>
        <v/>
      </c>
      <c r="AC811" s="0" t="str">
        <f aca="false">IF(AND(C810=C811,Y810=Y811-1),AA810,"")</f>
        <v/>
      </c>
      <c r="AD811" s="0" t="str">
        <f aca="false">IF(Y811=1,"",IF(AND(Z811=1,AB811&lt;&gt;1),1,0))</f>
        <v/>
      </c>
      <c r="AE811" s="0" t="str">
        <f aca="false">IF(Y811=1,"",IF(AND(AA811=1,AC811&lt;&gt;1),1,0))</f>
        <v/>
      </c>
      <c r="AF811" s="45" t="str">
        <f aca="false">IF(AND(E811&gt;0,Y811&lt;1,NOT(AND(C812=C811,Y812=Y811+1))),INDEX(DATAS,Y811+1),"")</f>
        <v/>
      </c>
      <c r="AG811" s="45" t="str">
        <f aca="false">IF(AND(AA811=1,Y811&lt;1),IF(AND(C812=C811,Y812=Y811+1),IF(AA812=1,"",INDEX(DATAS,Y811+1)),INDEX(DATAS,Y811+1)),"")</f>
        <v/>
      </c>
    </row>
    <row r="812" customFormat="false" ht="15" hidden="false" customHeight="false" outlineLevel="0" collapsed="false">
      <c r="A812" s="45" t="n">
        <v>46309</v>
      </c>
      <c r="B812" s="0" t="n">
        <v>7</v>
      </c>
      <c r="C812" s="0" t="n">
        <v>4753</v>
      </c>
      <c r="D812" s="0" t="n">
        <v>530</v>
      </c>
      <c r="E812" s="0" t="n">
        <v>1</v>
      </c>
      <c r="F812" s="39" t="s">
        <v>632</v>
      </c>
      <c r="I812" s="39" t="s">
        <v>114</v>
      </c>
      <c r="J812" s="0" t="n">
        <v>307</v>
      </c>
      <c r="K812" s="0" t="n">
        <v>62</v>
      </c>
      <c r="L812" s="0" t="n">
        <v>238</v>
      </c>
      <c r="M812" s="0" t="n">
        <v>892.04</v>
      </c>
      <c r="N812" s="0" t="n">
        <v>42.76</v>
      </c>
      <c r="O812" s="0" t="n">
        <v>45.88</v>
      </c>
      <c r="P812" s="0" t="n">
        <v>3.89</v>
      </c>
      <c r="Q812" s="0" t="n">
        <v>4.08</v>
      </c>
      <c r="R812" s="0" t="n">
        <v>4230</v>
      </c>
      <c r="S812" s="0" t="n">
        <v>9360</v>
      </c>
      <c r="T812" s="0" t="n">
        <v>46.85</v>
      </c>
      <c r="U812" s="0" t="n">
        <v>1228</v>
      </c>
      <c r="V812" s="0" t="n">
        <v>8</v>
      </c>
      <c r="W812" s="39" t="n">
        <f aca="false">IF(I812="Male",0,1)</f>
        <v>1</v>
      </c>
      <c r="X812" s="39" t="n">
        <f aca="false">IF(OR(I812="DNB",I812="Dry DNB"),1,0)</f>
        <v>0</v>
      </c>
      <c r="Y812" s="39" t="n">
        <f aca="false">MATCH(A812,DATAS,0)</f>
        <v>1</v>
      </c>
      <c r="Z812" s="39" t="n">
        <f aca="false">IF(AND(E812&gt;0,OR(AND(B812&gt;=1,B812&lt;=6),B812=10)),1,0)</f>
        <v>0</v>
      </c>
      <c r="AA812" s="39" t="n">
        <f aca="false">IF(AND(E812&gt;0,B812=10),1,0)</f>
        <v>0</v>
      </c>
      <c r="AB812" s="0" t="str">
        <f aca="false">IF(AND(C811=C812,Y811=Y812-1),Z811,"")</f>
        <v/>
      </c>
      <c r="AC812" s="0" t="str">
        <f aca="false">IF(AND(C811=C812,Y811=Y812-1),AA811,"")</f>
        <v/>
      </c>
      <c r="AD812" s="0" t="str">
        <f aca="false">IF(Y812=1,"",IF(AND(Z812=1,AB812&lt;&gt;1),1,0))</f>
        <v/>
      </c>
      <c r="AE812" s="0" t="str">
        <f aca="false">IF(Y812=1,"",IF(AND(AA812=1,AC812&lt;&gt;1),1,0))</f>
        <v/>
      </c>
      <c r="AF812" s="45" t="str">
        <f aca="false">IF(AND(E812&gt;0,Y812&lt;1,NOT(AND(C813=C812,Y813=Y812+1))),INDEX(DATAS,Y812+1),"")</f>
        <v/>
      </c>
      <c r="AG812" s="45" t="str">
        <f aca="false">IF(AND(AA812=1,Y812&lt;1),IF(AND(C813=C812,Y813=Y812+1),IF(AA813=1,"",INDEX(DATAS,Y812+1)),INDEX(DATAS,Y812+1)),"")</f>
        <v/>
      </c>
    </row>
    <row r="813" customFormat="false" ht="15" hidden="false" customHeight="false" outlineLevel="0" collapsed="false">
      <c r="A813" s="45" t="n">
        <v>46309</v>
      </c>
      <c r="B813" s="0" t="n">
        <v>2</v>
      </c>
      <c r="C813" s="0" t="n">
        <v>4754</v>
      </c>
      <c r="D813" s="0" t="n">
        <v>136</v>
      </c>
      <c r="E813" s="0" t="n">
        <v>2</v>
      </c>
      <c r="F813" s="39" t="s">
        <v>633</v>
      </c>
      <c r="G813" s="0" t="n">
        <v>54.9</v>
      </c>
      <c r="H813" s="0" t="n">
        <v>54</v>
      </c>
      <c r="I813" s="39" t="s">
        <v>138</v>
      </c>
      <c r="J813" s="0" t="n">
        <v>136</v>
      </c>
      <c r="K813" s="0" t="n">
        <v>66</v>
      </c>
      <c r="M813" s="0" t="n">
        <v>243.8</v>
      </c>
      <c r="N813" s="0" t="n">
        <v>52.41</v>
      </c>
      <c r="O813" s="0" t="n">
        <v>18.89</v>
      </c>
      <c r="P813" s="0" t="n">
        <v>3.37</v>
      </c>
      <c r="Q813" s="0" t="n">
        <v>3.27</v>
      </c>
      <c r="R813" s="0" t="n">
        <v>5045</v>
      </c>
      <c r="S813" s="0" t="n">
        <v>10366</v>
      </c>
      <c r="T813" s="0" t="n">
        <v>54.4</v>
      </c>
      <c r="U813" s="0" t="n">
        <v>1227</v>
      </c>
      <c r="V813" s="0" t="n">
        <v>2</v>
      </c>
      <c r="W813" s="39" t="n">
        <f aca="false">IF(I813="Male",0,1)</f>
        <v>1</v>
      </c>
      <c r="X813" s="39" t="n">
        <f aca="false">IF(OR(I813="DNB",I813="Dry DNB"),1,0)</f>
        <v>0</v>
      </c>
      <c r="Y813" s="39" t="n">
        <f aca="false">MATCH(A813,DATAS,0)</f>
        <v>1</v>
      </c>
      <c r="Z813" s="39" t="n">
        <f aca="false">IF(AND(E813&gt;0,OR(AND(B813&gt;=1,B813&lt;=6),B813=10)),1,0)</f>
        <v>1</v>
      </c>
      <c r="AA813" s="39" t="n">
        <f aca="false">IF(AND(E813&gt;0,B813=10),1,0)</f>
        <v>0</v>
      </c>
      <c r="AB813" s="0" t="str">
        <f aca="false">IF(AND(C812=C813,Y812=Y813-1),Z812,"")</f>
        <v/>
      </c>
      <c r="AC813" s="0" t="str">
        <f aca="false">IF(AND(C812=C813,Y812=Y813-1),AA812,"")</f>
        <v/>
      </c>
      <c r="AD813" s="0" t="str">
        <f aca="false">IF(Y813=1,"",IF(AND(Z813=1,AB813&lt;&gt;1),1,0))</f>
        <v/>
      </c>
      <c r="AE813" s="0" t="str">
        <f aca="false">IF(Y813=1,"",IF(AND(AA813=1,AC813&lt;&gt;1),1,0))</f>
        <v/>
      </c>
      <c r="AF813" s="45" t="str">
        <f aca="false">IF(AND(E813&gt;0,Y813&lt;1,NOT(AND(C814=C813,Y814=Y813+1))),INDEX(DATAS,Y813+1),"")</f>
        <v/>
      </c>
      <c r="AG813" s="45" t="str">
        <f aca="false">IF(AND(AA813=1,Y813&lt;1),IF(AND(C814=C813,Y814=Y813+1),IF(AA814=1,"",INDEX(DATAS,Y813+1)),INDEX(DATAS,Y813+1)),"")</f>
        <v/>
      </c>
    </row>
    <row r="814" customFormat="false" ht="15" hidden="false" customHeight="false" outlineLevel="0" collapsed="false">
      <c r="A814" s="45" t="n">
        <v>46309</v>
      </c>
      <c r="B814" s="0" t="n">
        <v>2</v>
      </c>
      <c r="C814" s="0" t="n">
        <v>4755</v>
      </c>
      <c r="D814" s="0" t="n">
        <v>124</v>
      </c>
      <c r="E814" s="0" t="n">
        <v>2</v>
      </c>
      <c r="F814" s="39" t="s">
        <v>633</v>
      </c>
      <c r="G814" s="0" t="n">
        <v>54.3</v>
      </c>
      <c r="H814" s="0" t="n">
        <v>52</v>
      </c>
      <c r="I814" s="39" t="s">
        <v>138</v>
      </c>
      <c r="J814" s="0" t="n">
        <v>124</v>
      </c>
      <c r="K814" s="0" t="n">
        <v>68</v>
      </c>
      <c r="M814" s="0" t="n">
        <v>513.51</v>
      </c>
      <c r="N814" s="0" t="n">
        <v>46.17</v>
      </c>
      <c r="O814" s="0" t="n">
        <v>42.28</v>
      </c>
      <c r="P814" s="0" t="n">
        <v>4.07</v>
      </c>
      <c r="Q814" s="0" t="n">
        <v>3.33</v>
      </c>
      <c r="R814" s="0" t="n">
        <v>5728</v>
      </c>
      <c r="S814" s="0" t="n">
        <v>11190</v>
      </c>
      <c r="T814" s="0" t="n">
        <v>53.25</v>
      </c>
      <c r="U814" s="0" t="n">
        <v>1227</v>
      </c>
      <c r="V814" s="0" t="n">
        <v>2</v>
      </c>
      <c r="W814" s="39" t="n">
        <f aca="false">IF(I814="Male",0,1)</f>
        <v>1</v>
      </c>
      <c r="X814" s="39" t="n">
        <f aca="false">IF(OR(I814="DNB",I814="Dry DNB"),1,0)</f>
        <v>0</v>
      </c>
      <c r="Y814" s="39" t="n">
        <f aca="false">MATCH(A814,DATAS,0)</f>
        <v>1</v>
      </c>
      <c r="Z814" s="39" t="n">
        <f aca="false">IF(AND(E814&gt;0,OR(AND(B814&gt;=1,B814&lt;=6),B814=10)),1,0)</f>
        <v>1</v>
      </c>
      <c r="AA814" s="39" t="n">
        <f aca="false">IF(AND(E814&gt;0,B814=10),1,0)</f>
        <v>0</v>
      </c>
      <c r="AB814" s="0" t="str">
        <f aca="false">IF(AND(C813=C814,Y813=Y814-1),Z813,"")</f>
        <v/>
      </c>
      <c r="AC814" s="0" t="str">
        <f aca="false">IF(AND(C813=C814,Y813=Y814-1),AA813,"")</f>
        <v/>
      </c>
      <c r="AD814" s="0" t="str">
        <f aca="false">IF(Y814=1,"",IF(AND(Z814=1,AB814&lt;&gt;1),1,0))</f>
        <v/>
      </c>
      <c r="AE814" s="0" t="str">
        <f aca="false">IF(Y814=1,"",IF(AND(AA814=1,AC814&lt;&gt;1),1,0))</f>
        <v/>
      </c>
      <c r="AF814" s="45" t="str">
        <f aca="false">IF(AND(E814&gt;0,Y814&lt;1,NOT(AND(C815=C814,Y815=Y814+1))),INDEX(DATAS,Y814+1),"")</f>
        <v/>
      </c>
      <c r="AG814" s="45" t="str">
        <f aca="false">IF(AND(AA814=1,Y814&lt;1),IF(AND(C815=C814,Y815=Y814+1),IF(AA815=1,"",INDEX(DATAS,Y814+1)),INDEX(DATAS,Y814+1)),"")</f>
        <v/>
      </c>
    </row>
    <row r="815" customFormat="false" ht="15" hidden="false" customHeight="false" outlineLevel="0" collapsed="false">
      <c r="A815" s="45" t="n">
        <v>46309</v>
      </c>
      <c r="B815" s="0" t="n">
        <v>3</v>
      </c>
      <c r="C815" s="0" t="n">
        <v>4756</v>
      </c>
      <c r="D815" s="0" t="n">
        <v>85</v>
      </c>
      <c r="E815" s="0" t="n">
        <v>2</v>
      </c>
      <c r="F815" s="39" t="s">
        <v>634</v>
      </c>
      <c r="G815" s="0" t="n">
        <v>62.5</v>
      </c>
      <c r="H815" s="0" t="n">
        <v>63</v>
      </c>
      <c r="I815" s="39" t="s">
        <v>138</v>
      </c>
      <c r="J815" s="0" t="n">
        <v>85</v>
      </c>
      <c r="K815" s="0" t="n">
        <v>64</v>
      </c>
      <c r="M815" s="0" t="n">
        <v>686.03</v>
      </c>
      <c r="N815" s="0" t="n">
        <v>90.76</v>
      </c>
      <c r="O815" s="0" t="n">
        <v>40.12</v>
      </c>
      <c r="P815" s="0" t="n">
        <v>3.94</v>
      </c>
      <c r="Q815" s="0" t="n">
        <v>3.29</v>
      </c>
      <c r="R815" s="0" t="n">
        <v>5560</v>
      </c>
      <c r="S815" s="0" t="n">
        <v>11176</v>
      </c>
      <c r="U815" s="0" t="n">
        <v>1225</v>
      </c>
      <c r="V815" s="0" t="n">
        <v>1</v>
      </c>
      <c r="W815" s="39" t="n">
        <f aca="false">IF(I815="Male",0,1)</f>
        <v>1</v>
      </c>
      <c r="X815" s="39" t="n">
        <f aca="false">IF(OR(I815="DNB",I815="Dry DNB"),1,0)</f>
        <v>0</v>
      </c>
      <c r="Y815" s="39" t="n">
        <f aca="false">MATCH(A815,DATAS,0)</f>
        <v>1</v>
      </c>
      <c r="Z815" s="39" t="n">
        <f aca="false">IF(AND(E815&gt;0,OR(AND(B815&gt;=1,B815&lt;=6),B815=10)),1,0)</f>
        <v>1</v>
      </c>
      <c r="AA815" s="39" t="n">
        <f aca="false">IF(AND(E815&gt;0,B815=10),1,0)</f>
        <v>0</v>
      </c>
      <c r="AB815" s="0" t="str">
        <f aca="false">IF(AND(C814=C815,Y814=Y815-1),Z814,"")</f>
        <v/>
      </c>
      <c r="AC815" s="0" t="str">
        <f aca="false">IF(AND(C814=C815,Y814=Y815-1),AA814,"")</f>
        <v/>
      </c>
      <c r="AD815" s="0" t="str">
        <f aca="false">IF(Y815=1,"",IF(AND(Z815=1,AB815&lt;&gt;1),1,0))</f>
        <v/>
      </c>
      <c r="AE815" s="0" t="str">
        <f aca="false">IF(Y815=1,"",IF(AND(AA815=1,AC815&lt;&gt;1),1,0))</f>
        <v/>
      </c>
      <c r="AF815" s="45" t="str">
        <f aca="false">IF(AND(E815&gt;0,Y815&lt;1,NOT(AND(C816=C815,Y816=Y815+1))),INDEX(DATAS,Y815+1),"")</f>
        <v/>
      </c>
      <c r="AG815" s="45" t="str">
        <f aca="false">IF(AND(AA815=1,Y815&lt;1),IF(AND(C816=C815,Y816=Y815+1),IF(AA816=1,"",INDEX(DATAS,Y815+1)),INDEX(DATAS,Y815+1)),"")</f>
        <v/>
      </c>
    </row>
    <row r="816" customFormat="false" ht="15" hidden="false" customHeight="false" outlineLevel="0" collapsed="false">
      <c r="A816" s="45" t="n">
        <v>46309</v>
      </c>
      <c r="B816" s="0" t="n">
        <v>5</v>
      </c>
      <c r="C816" s="0" t="n">
        <v>4757</v>
      </c>
      <c r="D816" s="0" t="n">
        <v>253</v>
      </c>
      <c r="E816" s="0" t="n">
        <v>2</v>
      </c>
      <c r="F816" s="39" t="s">
        <v>634</v>
      </c>
      <c r="H816" s="0" t="n">
        <v>17</v>
      </c>
      <c r="I816" s="39" t="s">
        <v>109</v>
      </c>
      <c r="J816" s="0" t="n">
        <v>64</v>
      </c>
      <c r="K816" s="0" t="n">
        <v>64</v>
      </c>
      <c r="L816" s="0" t="n">
        <v>189</v>
      </c>
      <c r="M816" s="0" t="n">
        <v>222.1</v>
      </c>
      <c r="N816" s="0" t="n">
        <v>68.1</v>
      </c>
      <c r="O816" s="0" t="n">
        <v>34.82</v>
      </c>
      <c r="P816" s="0" t="n">
        <v>3.97</v>
      </c>
      <c r="Q816" s="0" t="n">
        <v>3.95</v>
      </c>
      <c r="R816" s="0" t="n">
        <v>5393</v>
      </c>
      <c r="S816" s="0" t="n">
        <v>11281</v>
      </c>
      <c r="T816" s="0" t="n">
        <v>59.55</v>
      </c>
      <c r="U816" s="0" t="n">
        <v>1225</v>
      </c>
      <c r="V816" s="0" t="n">
        <v>1</v>
      </c>
      <c r="W816" s="39" t="n">
        <f aca="false">IF(I816="Male",0,1)</f>
        <v>1</v>
      </c>
      <c r="X816" s="39" t="n">
        <f aca="false">IF(OR(I816="DNB",I816="Dry DNB"),1,0)</f>
        <v>0</v>
      </c>
      <c r="Y816" s="39" t="n">
        <f aca="false">MATCH(A816,DATAS,0)</f>
        <v>1</v>
      </c>
      <c r="Z816" s="39" t="n">
        <f aca="false">IF(AND(E816&gt;0,OR(AND(B816&gt;=1,B816&lt;=6),B816=10)),1,0)</f>
        <v>1</v>
      </c>
      <c r="AA816" s="39" t="n">
        <f aca="false">IF(AND(E816&gt;0,B816=10),1,0)</f>
        <v>0</v>
      </c>
      <c r="AB816" s="0" t="str">
        <f aca="false">IF(AND(C815=C816,Y815=Y816-1),Z815,"")</f>
        <v/>
      </c>
      <c r="AC816" s="0" t="str">
        <f aca="false">IF(AND(C815=C816,Y815=Y816-1),AA815,"")</f>
        <v/>
      </c>
      <c r="AD816" s="0" t="str">
        <f aca="false">IF(Y816=1,"",IF(AND(Z816=1,AB816&lt;&gt;1),1,0))</f>
        <v/>
      </c>
      <c r="AE816" s="0" t="str">
        <f aca="false">IF(Y816=1,"",IF(AND(AA816=1,AC816&lt;&gt;1),1,0))</f>
        <v/>
      </c>
      <c r="AF816" s="45" t="str">
        <f aca="false">IF(AND(E816&gt;0,Y816&lt;1,NOT(AND(C817=C816,Y817=Y816+1))),INDEX(DATAS,Y816+1),"")</f>
        <v/>
      </c>
      <c r="AG816" s="45" t="str">
        <f aca="false">IF(AND(AA816=1,Y816&lt;1),IF(AND(C817=C816,Y817=Y816+1),IF(AA817=1,"",INDEX(DATAS,Y816+1)),INDEX(DATAS,Y816+1)),"")</f>
        <v/>
      </c>
    </row>
    <row r="817" customFormat="false" ht="15" hidden="false" customHeight="false" outlineLevel="0" collapsed="false">
      <c r="A817" s="45" t="n">
        <v>46309</v>
      </c>
      <c r="B817" s="0" t="n">
        <v>5</v>
      </c>
      <c r="C817" s="0" t="n">
        <v>4758</v>
      </c>
      <c r="D817" s="0" t="n">
        <v>203</v>
      </c>
      <c r="E817" s="0" t="n">
        <v>2</v>
      </c>
      <c r="F817" s="39" t="s">
        <v>634</v>
      </c>
      <c r="G817" s="0" t="n">
        <v>32.3</v>
      </c>
      <c r="H817" s="0" t="n">
        <v>29</v>
      </c>
      <c r="I817" s="39" t="s">
        <v>138</v>
      </c>
      <c r="J817" s="0" t="n">
        <v>203</v>
      </c>
      <c r="K817" s="0" t="n">
        <v>63</v>
      </c>
      <c r="M817" s="0" t="n">
        <v>798.12</v>
      </c>
      <c r="N817" s="0" t="n">
        <v>45.68</v>
      </c>
      <c r="O817" s="0" t="n">
        <v>39.78</v>
      </c>
      <c r="P817" s="0" t="n">
        <v>4.62</v>
      </c>
      <c r="Q817" s="0" t="n">
        <v>4.01</v>
      </c>
      <c r="R817" s="0" t="n">
        <v>3776</v>
      </c>
      <c r="S817" s="0" t="n">
        <v>7288</v>
      </c>
      <c r="T817" s="0" t="n">
        <v>44.45</v>
      </c>
      <c r="U817" s="0" t="n">
        <v>1225</v>
      </c>
      <c r="V817" s="0" t="n">
        <v>3</v>
      </c>
      <c r="W817" s="39" t="n">
        <f aca="false">IF(I817="Male",0,1)</f>
        <v>1</v>
      </c>
      <c r="X817" s="39" t="n">
        <f aca="false">IF(OR(I817="DNB",I817="Dry DNB"),1,0)</f>
        <v>0</v>
      </c>
      <c r="Y817" s="39" t="n">
        <f aca="false">MATCH(A817,DATAS,0)</f>
        <v>1</v>
      </c>
      <c r="Z817" s="39" t="n">
        <f aca="false">IF(AND(E817&gt;0,OR(AND(B817&gt;=1,B817&lt;=6),B817=10)),1,0)</f>
        <v>1</v>
      </c>
      <c r="AA817" s="39" t="n">
        <f aca="false">IF(AND(E817&gt;0,B817=10),1,0)</f>
        <v>0</v>
      </c>
      <c r="AB817" s="0" t="str">
        <f aca="false">IF(AND(C816=C817,Y816=Y817-1),Z816,"")</f>
        <v/>
      </c>
      <c r="AC817" s="0" t="str">
        <f aca="false">IF(AND(C816=C817,Y816=Y817-1),AA816,"")</f>
        <v/>
      </c>
      <c r="AD817" s="0" t="str">
        <f aca="false">IF(Y817=1,"",IF(AND(Z817=1,AB817&lt;&gt;1),1,0))</f>
        <v/>
      </c>
      <c r="AE817" s="0" t="str">
        <f aca="false">IF(Y817=1,"",IF(AND(AA817=1,AC817&lt;&gt;1),1,0))</f>
        <v/>
      </c>
      <c r="AF817" s="45" t="str">
        <f aca="false">IF(AND(E817&gt;0,Y817&lt;1,NOT(AND(C818=C817,Y818=Y817+1))),INDEX(DATAS,Y817+1),"")</f>
        <v/>
      </c>
      <c r="AG817" s="45" t="str">
        <f aca="false">IF(AND(AA817=1,Y817&lt;1),IF(AND(C818=C817,Y818=Y817+1),IF(AA818=1,"",INDEX(DATAS,Y817+1)),INDEX(DATAS,Y817+1)),"")</f>
        <v/>
      </c>
    </row>
    <row r="818" customFormat="false" ht="15" hidden="false" customHeight="false" outlineLevel="0" collapsed="false">
      <c r="A818" s="45" t="n">
        <v>46309</v>
      </c>
      <c r="B818" s="0" t="n">
        <v>3</v>
      </c>
      <c r="C818" s="0" t="n">
        <v>4759</v>
      </c>
      <c r="D818" s="0" t="n">
        <v>181</v>
      </c>
      <c r="E818" s="0" t="n">
        <v>2</v>
      </c>
      <c r="F818" s="39" t="s">
        <v>635</v>
      </c>
      <c r="G818" s="0" t="n">
        <v>54.2</v>
      </c>
      <c r="H818" s="0" t="n">
        <v>51</v>
      </c>
      <c r="I818" s="39" t="s">
        <v>109</v>
      </c>
      <c r="J818" s="0" t="n">
        <v>111</v>
      </c>
      <c r="K818" s="0" t="n">
        <v>69</v>
      </c>
      <c r="L818" s="0" t="n">
        <v>70</v>
      </c>
      <c r="M818" s="0" t="n">
        <v>1057.75</v>
      </c>
      <c r="N818" s="0" t="n">
        <v>44.44</v>
      </c>
      <c r="O818" s="0" t="n">
        <v>38.35</v>
      </c>
      <c r="P818" s="0" t="n">
        <v>2.94</v>
      </c>
      <c r="Q818" s="0" t="n">
        <v>3.47</v>
      </c>
      <c r="R818" s="0" t="n">
        <v>4757</v>
      </c>
      <c r="S818" s="0" t="n">
        <v>9444</v>
      </c>
      <c r="T818" s="0" t="n">
        <v>53.75</v>
      </c>
      <c r="U818" s="0" t="n">
        <v>1224</v>
      </c>
      <c r="V818" s="0" t="n">
        <v>2</v>
      </c>
      <c r="W818" s="39" t="n">
        <f aca="false">IF(I818="Male",0,1)</f>
        <v>1</v>
      </c>
      <c r="X818" s="39" t="n">
        <f aca="false">IF(OR(I818="DNB",I818="Dry DNB"),1,0)</f>
        <v>0</v>
      </c>
      <c r="Y818" s="39" t="n">
        <f aca="false">MATCH(A818,DATAS,0)</f>
        <v>1</v>
      </c>
      <c r="Z818" s="39" t="n">
        <f aca="false">IF(AND(E818&gt;0,OR(AND(B818&gt;=1,B818&lt;=6),B818=10)),1,0)</f>
        <v>1</v>
      </c>
      <c r="AA818" s="39" t="n">
        <f aca="false">IF(AND(E818&gt;0,B818=10),1,0)</f>
        <v>0</v>
      </c>
      <c r="AB818" s="0" t="str">
        <f aca="false">IF(AND(C817=C818,Y817=Y818-1),Z817,"")</f>
        <v/>
      </c>
      <c r="AC818" s="0" t="str">
        <f aca="false">IF(AND(C817=C818,Y817=Y818-1),AA817,"")</f>
        <v/>
      </c>
      <c r="AD818" s="0" t="str">
        <f aca="false">IF(Y818=1,"",IF(AND(Z818=1,AB818&lt;&gt;1),1,0))</f>
        <v/>
      </c>
      <c r="AE818" s="0" t="str">
        <f aca="false">IF(Y818=1,"",IF(AND(AA818=1,AC818&lt;&gt;1),1,0))</f>
        <v/>
      </c>
      <c r="AF818" s="45" t="str">
        <f aca="false">IF(AND(E818&gt;0,Y818&lt;1,NOT(AND(C819=C818,Y819=Y818+1))),INDEX(DATAS,Y818+1),"")</f>
        <v/>
      </c>
      <c r="AG818" s="45" t="str">
        <f aca="false">IF(AND(AA818=1,Y818&lt;1),IF(AND(C819=C818,Y819=Y818+1),IF(AA819=1,"",INDEX(DATAS,Y818+1)),INDEX(DATAS,Y818+1)),"")</f>
        <v/>
      </c>
    </row>
    <row r="819" customFormat="false" ht="15" hidden="false" customHeight="false" outlineLevel="0" collapsed="false">
      <c r="A819" s="45" t="n">
        <v>46309</v>
      </c>
      <c r="B819" s="0" t="n">
        <v>5</v>
      </c>
      <c r="C819" s="0" t="n">
        <v>4760</v>
      </c>
      <c r="D819" s="0" t="n">
        <v>173</v>
      </c>
      <c r="E819" s="0" t="n">
        <v>2</v>
      </c>
      <c r="F819" s="39" t="s">
        <v>635</v>
      </c>
      <c r="G819" s="0" t="n">
        <v>35.3</v>
      </c>
      <c r="H819" s="0" t="n">
        <v>35</v>
      </c>
      <c r="I819" s="39" t="s">
        <v>109</v>
      </c>
      <c r="J819" s="0" t="n">
        <v>68</v>
      </c>
      <c r="K819" s="0" t="n">
        <v>68</v>
      </c>
      <c r="L819" s="0" t="n">
        <v>105</v>
      </c>
      <c r="M819" s="0" t="n">
        <v>918.2</v>
      </c>
      <c r="N819" s="0" t="n">
        <v>53.93</v>
      </c>
      <c r="O819" s="0" t="n">
        <v>43.67</v>
      </c>
      <c r="P819" s="0" t="n">
        <v>5.18</v>
      </c>
      <c r="Q819" s="0" t="n">
        <v>4.54</v>
      </c>
      <c r="R819" s="0" t="n">
        <v>3079</v>
      </c>
      <c r="S819" s="0" t="n">
        <v>6874</v>
      </c>
      <c r="T819" s="0" t="n">
        <v>35.85</v>
      </c>
      <c r="U819" s="0" t="n">
        <v>1224</v>
      </c>
      <c r="V819" s="0" t="n">
        <v>1</v>
      </c>
      <c r="W819" s="39" t="n">
        <f aca="false">IF(I819="Male",0,1)</f>
        <v>1</v>
      </c>
      <c r="X819" s="39" t="n">
        <f aca="false">IF(OR(I819="DNB",I819="Dry DNB"),1,0)</f>
        <v>0</v>
      </c>
      <c r="Y819" s="39" t="n">
        <f aca="false">MATCH(A819,DATAS,0)</f>
        <v>1</v>
      </c>
      <c r="Z819" s="39" t="n">
        <f aca="false">IF(AND(E819&gt;0,OR(AND(B819&gt;=1,B819&lt;=6),B819=10)),1,0)</f>
        <v>1</v>
      </c>
      <c r="AA819" s="39" t="n">
        <f aca="false">IF(AND(E819&gt;0,B819=10),1,0)</f>
        <v>0</v>
      </c>
      <c r="AB819" s="0" t="str">
        <f aca="false">IF(AND(C818=C819,Y818=Y819-1),Z818,"")</f>
        <v/>
      </c>
      <c r="AC819" s="0" t="str">
        <f aca="false">IF(AND(C818=C819,Y818=Y819-1),AA818,"")</f>
        <v/>
      </c>
      <c r="AD819" s="0" t="str">
        <f aca="false">IF(Y819=1,"",IF(AND(Z819=1,AB819&lt;&gt;1),1,0))</f>
        <v/>
      </c>
      <c r="AE819" s="0" t="str">
        <f aca="false">IF(Y819=1,"",IF(AND(AA819=1,AC819&lt;&gt;1),1,0))</f>
        <v/>
      </c>
      <c r="AF819" s="45" t="str">
        <f aca="false">IF(AND(E819&gt;0,Y819&lt;1,NOT(AND(C820=C819,Y820=Y819+1))),INDEX(DATAS,Y819+1),"")</f>
        <v/>
      </c>
      <c r="AG819" s="45" t="str">
        <f aca="false">IF(AND(AA819=1,Y819&lt;1),IF(AND(C820=C819,Y820=Y819+1),IF(AA820=1,"",INDEX(DATAS,Y819+1)),INDEX(DATAS,Y819+1)),"")</f>
        <v/>
      </c>
    </row>
    <row r="820" customFormat="false" ht="15" hidden="false" customHeight="false" outlineLevel="0" collapsed="false">
      <c r="A820" s="45" t="n">
        <v>46309</v>
      </c>
      <c r="B820" s="0" t="n">
        <v>2</v>
      </c>
      <c r="C820" s="0" t="n">
        <v>4761</v>
      </c>
      <c r="D820" s="0" t="n">
        <v>203</v>
      </c>
      <c r="E820" s="0" t="n">
        <v>2</v>
      </c>
      <c r="F820" s="39" t="s">
        <v>636</v>
      </c>
      <c r="G820" s="0" t="n">
        <v>40.4</v>
      </c>
      <c r="H820" s="0" t="n">
        <v>44</v>
      </c>
      <c r="I820" s="39" t="s">
        <v>109</v>
      </c>
      <c r="J820" s="0" t="n">
        <v>98</v>
      </c>
      <c r="K820" s="0" t="n">
        <v>63</v>
      </c>
      <c r="L820" s="0" t="n">
        <v>105</v>
      </c>
      <c r="M820" s="0" t="n">
        <v>565.97</v>
      </c>
      <c r="N820" s="0" t="n">
        <v>37.8</v>
      </c>
      <c r="O820" s="0" t="n">
        <v>39.73</v>
      </c>
      <c r="P820" s="0" t="n">
        <v>3.22</v>
      </c>
      <c r="Q820" s="0" t="n">
        <v>3.49</v>
      </c>
      <c r="R820" s="0" t="n">
        <v>4814</v>
      </c>
      <c r="S820" s="0" t="n">
        <v>10626</v>
      </c>
      <c r="T820" s="0" t="n">
        <v>57</v>
      </c>
      <c r="U820" s="0" t="n">
        <v>1223</v>
      </c>
      <c r="V820" s="0" t="n">
        <v>2</v>
      </c>
      <c r="W820" s="39" t="n">
        <f aca="false">IF(I820="Male",0,1)</f>
        <v>1</v>
      </c>
      <c r="X820" s="39" t="n">
        <f aca="false">IF(OR(I820="DNB",I820="Dry DNB"),1,0)</f>
        <v>0</v>
      </c>
      <c r="Y820" s="39" t="n">
        <f aca="false">MATCH(A820,DATAS,0)</f>
        <v>1</v>
      </c>
      <c r="Z820" s="39" t="n">
        <f aca="false">IF(AND(E820&gt;0,OR(AND(B820&gt;=1,B820&lt;=6),B820=10)),1,0)</f>
        <v>1</v>
      </c>
      <c r="AA820" s="39" t="n">
        <f aca="false">IF(AND(E820&gt;0,B820=10),1,0)</f>
        <v>0</v>
      </c>
      <c r="AB820" s="0" t="str">
        <f aca="false">IF(AND(C819=C820,Y819=Y820-1),Z819,"")</f>
        <v/>
      </c>
      <c r="AC820" s="0" t="str">
        <f aca="false">IF(AND(C819=C820,Y819=Y820-1),AA819,"")</f>
        <v/>
      </c>
      <c r="AD820" s="0" t="str">
        <f aca="false">IF(Y820=1,"",IF(AND(Z820=1,AB820&lt;&gt;1),1,0))</f>
        <v/>
      </c>
      <c r="AE820" s="0" t="str">
        <f aca="false">IF(Y820=1,"",IF(AND(AA820=1,AC820&lt;&gt;1),1,0))</f>
        <v/>
      </c>
      <c r="AF820" s="45" t="str">
        <f aca="false">IF(AND(E820&gt;0,Y820&lt;1,NOT(AND(C821=C820,Y821=Y820+1))),INDEX(DATAS,Y820+1),"")</f>
        <v/>
      </c>
      <c r="AG820" s="45" t="str">
        <f aca="false">IF(AND(AA820=1,Y820&lt;1),IF(AND(C821=C820,Y821=Y820+1),IF(AA821=1,"",INDEX(DATAS,Y820+1)),INDEX(DATAS,Y820+1)),"")</f>
        <v/>
      </c>
    </row>
    <row r="821" customFormat="false" ht="15" hidden="false" customHeight="false" outlineLevel="0" collapsed="false">
      <c r="A821" s="45" t="n">
        <v>46309</v>
      </c>
      <c r="B821" s="0" t="n">
        <v>5</v>
      </c>
      <c r="C821" s="0" t="n">
        <v>4762</v>
      </c>
      <c r="D821" s="0" t="n">
        <v>413</v>
      </c>
      <c r="E821" s="0" t="n">
        <v>1</v>
      </c>
      <c r="F821" s="39" t="s">
        <v>636</v>
      </c>
      <c r="G821" s="0" t="n">
        <v>47.6</v>
      </c>
      <c r="H821" s="0" t="n">
        <v>42</v>
      </c>
      <c r="I821" s="39" t="s">
        <v>109</v>
      </c>
      <c r="J821" s="0" t="n">
        <v>203</v>
      </c>
      <c r="K821" s="0" t="n">
        <v>63</v>
      </c>
      <c r="L821" s="0" t="n">
        <v>210</v>
      </c>
      <c r="M821" s="0" t="n">
        <v>1108.58</v>
      </c>
      <c r="N821" s="0" t="n">
        <v>45.47</v>
      </c>
      <c r="O821" s="0" t="n">
        <v>46.25</v>
      </c>
      <c r="P821" s="0" t="n">
        <v>2.94</v>
      </c>
      <c r="Q821" s="0" t="n">
        <v>3.81</v>
      </c>
      <c r="R821" s="0" t="n">
        <v>5201</v>
      </c>
      <c r="S821" s="0" t="n">
        <v>11084</v>
      </c>
      <c r="T821" s="0" t="n">
        <v>57.95</v>
      </c>
      <c r="U821" s="0" t="n">
        <v>1223</v>
      </c>
      <c r="V821" s="0" t="n">
        <v>5</v>
      </c>
      <c r="W821" s="39" t="n">
        <f aca="false">IF(I821="Male",0,1)</f>
        <v>1</v>
      </c>
      <c r="X821" s="39" t="n">
        <f aca="false">IF(OR(I821="DNB",I821="Dry DNB"),1,0)</f>
        <v>0</v>
      </c>
      <c r="Y821" s="39" t="n">
        <f aca="false">MATCH(A821,DATAS,0)</f>
        <v>1</v>
      </c>
      <c r="Z821" s="39" t="n">
        <f aca="false">IF(AND(E821&gt;0,OR(AND(B821&gt;=1,B821&lt;=6),B821=10)),1,0)</f>
        <v>1</v>
      </c>
      <c r="AA821" s="39" t="n">
        <f aca="false">IF(AND(E821&gt;0,B821=10),1,0)</f>
        <v>0</v>
      </c>
      <c r="AB821" s="0" t="str">
        <f aca="false">IF(AND(C820=C821,Y820=Y821-1),Z820,"")</f>
        <v/>
      </c>
      <c r="AC821" s="0" t="str">
        <f aca="false">IF(AND(C820=C821,Y820=Y821-1),AA820,"")</f>
        <v/>
      </c>
      <c r="AD821" s="0" t="str">
        <f aca="false">IF(Y821=1,"",IF(AND(Z821=1,AB821&lt;&gt;1),1,0))</f>
        <v/>
      </c>
      <c r="AE821" s="0" t="str">
        <f aca="false">IF(Y821=1,"",IF(AND(AA821=1,AC821&lt;&gt;1),1,0))</f>
        <v/>
      </c>
      <c r="AF821" s="45" t="str">
        <f aca="false">IF(AND(E821&gt;0,Y821&lt;1,NOT(AND(C822=C821,Y822=Y821+1))),INDEX(DATAS,Y821+1),"")</f>
        <v/>
      </c>
      <c r="AG821" s="45" t="str">
        <f aca="false">IF(AND(AA821=1,Y821&lt;1),IF(AND(C822=C821,Y822=Y821+1),IF(AA822=1,"",INDEX(DATAS,Y821+1)),INDEX(DATAS,Y821+1)),"")</f>
        <v/>
      </c>
    </row>
    <row r="822" customFormat="false" ht="15" hidden="false" customHeight="false" outlineLevel="0" collapsed="false">
      <c r="A822" s="45" t="n">
        <v>46309</v>
      </c>
      <c r="B822" s="0" t="n">
        <v>2</v>
      </c>
      <c r="C822" s="0" t="n">
        <v>4765</v>
      </c>
      <c r="D822" s="0" t="n">
        <v>201</v>
      </c>
      <c r="E822" s="0" t="n">
        <v>2</v>
      </c>
      <c r="F822" s="39" t="s">
        <v>637</v>
      </c>
      <c r="G822" s="0" t="n">
        <v>57.5</v>
      </c>
      <c r="H822" s="0" t="n">
        <v>58</v>
      </c>
      <c r="I822" s="39" t="s">
        <v>109</v>
      </c>
      <c r="J822" s="0" t="n">
        <v>68</v>
      </c>
      <c r="K822" s="0" t="n">
        <v>68</v>
      </c>
      <c r="L822" s="0" t="n">
        <v>133</v>
      </c>
      <c r="M822" s="0" t="n">
        <v>780.74</v>
      </c>
      <c r="N822" s="0" t="n">
        <v>53.82</v>
      </c>
      <c r="O822" s="0" t="n">
        <v>38.93</v>
      </c>
      <c r="P822" s="0" t="n">
        <v>3.35</v>
      </c>
      <c r="Q822" s="0" t="n">
        <v>3.46</v>
      </c>
      <c r="R822" s="0" t="n">
        <v>6295</v>
      </c>
      <c r="S822" s="0" t="n">
        <v>12920</v>
      </c>
      <c r="T822" s="0" t="n">
        <v>69.9</v>
      </c>
      <c r="U822" s="0" t="n">
        <v>1221</v>
      </c>
      <c r="V822" s="0" t="n">
        <v>1</v>
      </c>
      <c r="W822" s="39" t="n">
        <f aca="false">IF(I822="Male",0,1)</f>
        <v>1</v>
      </c>
      <c r="X822" s="39" t="n">
        <f aca="false">IF(OR(I822="DNB",I822="Dry DNB"),1,0)</f>
        <v>0</v>
      </c>
      <c r="Y822" s="39" t="n">
        <f aca="false">MATCH(A822,DATAS,0)</f>
        <v>1</v>
      </c>
      <c r="Z822" s="39" t="n">
        <f aca="false">IF(AND(E822&gt;0,OR(AND(B822&gt;=1,B822&lt;=6),B822=10)),1,0)</f>
        <v>1</v>
      </c>
      <c r="AA822" s="39" t="n">
        <f aca="false">IF(AND(E822&gt;0,B822=10),1,0)</f>
        <v>0</v>
      </c>
      <c r="AB822" s="0" t="str">
        <f aca="false">IF(AND(C821=C822,Y821=Y822-1),Z821,"")</f>
        <v/>
      </c>
      <c r="AC822" s="0" t="str">
        <f aca="false">IF(AND(C821=C822,Y821=Y822-1),AA821,"")</f>
        <v/>
      </c>
      <c r="AD822" s="0" t="str">
        <f aca="false">IF(Y822=1,"",IF(AND(Z822=1,AB822&lt;&gt;1),1,0))</f>
        <v/>
      </c>
      <c r="AE822" s="0" t="str">
        <f aca="false">IF(Y822=1,"",IF(AND(AA822=1,AC822&lt;&gt;1),1,0))</f>
        <v/>
      </c>
      <c r="AF822" s="45" t="str">
        <f aca="false">IF(AND(E822&gt;0,Y822&lt;1,NOT(AND(C823=C822,Y823=Y822+1))),INDEX(DATAS,Y822+1),"")</f>
        <v/>
      </c>
      <c r="AG822" s="45" t="str">
        <f aca="false">IF(AND(AA822=1,Y822&lt;1),IF(AND(C823=C822,Y823=Y822+1),IF(AA823=1,"",INDEX(DATAS,Y822+1)),INDEX(DATAS,Y822+1)),"")</f>
        <v/>
      </c>
    </row>
    <row r="823" customFormat="false" ht="15" hidden="false" customHeight="false" outlineLevel="0" collapsed="false">
      <c r="A823" s="45" t="n">
        <v>46309</v>
      </c>
      <c r="B823" s="0" t="n">
        <v>3</v>
      </c>
      <c r="C823" s="0" t="n">
        <v>4766</v>
      </c>
      <c r="D823" s="0" t="n">
        <v>58</v>
      </c>
      <c r="E823" s="0" t="n">
        <v>2</v>
      </c>
      <c r="F823" s="39" t="s">
        <v>637</v>
      </c>
      <c r="G823" s="0" t="n">
        <v>52.5</v>
      </c>
      <c r="H823" s="0" t="n">
        <v>51</v>
      </c>
      <c r="I823" s="39" t="s">
        <v>118</v>
      </c>
      <c r="J823" s="0" t="n">
        <v>58</v>
      </c>
      <c r="M823" s="0" t="n">
        <v>-324.08</v>
      </c>
      <c r="N823" s="0" t="n">
        <v>31.7</v>
      </c>
      <c r="O823" s="0" t="n">
        <v>29.17</v>
      </c>
      <c r="P823" s="0" t="n">
        <v>2.97</v>
      </c>
      <c r="Q823" s="0" t="n">
        <v>3.22</v>
      </c>
      <c r="R823" s="0" t="n">
        <v>5093</v>
      </c>
      <c r="S823" s="0" t="n">
        <v>10238</v>
      </c>
      <c r="U823" s="0" t="n">
        <v>1221</v>
      </c>
      <c r="V823" s="0" t="n">
        <v>0</v>
      </c>
      <c r="W823" s="39" t="n">
        <f aca="false">IF(I823="Male",0,1)</f>
        <v>1</v>
      </c>
      <c r="X823" s="39" t="n">
        <f aca="false">IF(OR(I823="DNB",I823="Dry DNB"),1,0)</f>
        <v>0</v>
      </c>
      <c r="Y823" s="39" t="n">
        <f aca="false">MATCH(A823,DATAS,0)</f>
        <v>1</v>
      </c>
      <c r="Z823" s="39" t="n">
        <f aca="false">IF(AND(E823&gt;0,OR(AND(B823&gt;=1,B823&lt;=6),B823=10)),1,0)</f>
        <v>1</v>
      </c>
      <c r="AA823" s="39" t="n">
        <f aca="false">IF(AND(E823&gt;0,B823=10),1,0)</f>
        <v>0</v>
      </c>
      <c r="AB823" s="0" t="str">
        <f aca="false">IF(AND(C822=C823,Y822=Y823-1),Z822,"")</f>
        <v/>
      </c>
      <c r="AC823" s="0" t="str">
        <f aca="false">IF(AND(C822=C823,Y822=Y823-1),AA822,"")</f>
        <v/>
      </c>
      <c r="AD823" s="0" t="str">
        <f aca="false">IF(Y823=1,"",IF(AND(Z823=1,AB823&lt;&gt;1),1,0))</f>
        <v/>
      </c>
      <c r="AE823" s="0" t="str">
        <f aca="false">IF(Y823=1,"",IF(AND(AA823=1,AC823&lt;&gt;1),1,0))</f>
        <v/>
      </c>
      <c r="AF823" s="45" t="str">
        <f aca="false">IF(AND(E823&gt;0,Y823&lt;1,NOT(AND(C824=C823,Y824=Y823+1))),INDEX(DATAS,Y823+1),"")</f>
        <v/>
      </c>
      <c r="AG823" s="45" t="str">
        <f aca="false">IF(AND(AA823=1,Y823&lt;1),IF(AND(C824=C823,Y824=Y823+1),IF(AA824=1,"",INDEX(DATAS,Y823+1)),INDEX(DATAS,Y823+1)),"")</f>
        <v/>
      </c>
    </row>
    <row r="824" customFormat="false" ht="15" hidden="false" customHeight="false" outlineLevel="0" collapsed="false">
      <c r="A824" s="45" t="n">
        <v>46309</v>
      </c>
      <c r="B824" s="0" t="n">
        <v>5</v>
      </c>
      <c r="C824" s="0" t="n">
        <v>4768</v>
      </c>
      <c r="D824" s="0" t="n">
        <v>96</v>
      </c>
      <c r="E824" s="0" t="n">
        <v>2</v>
      </c>
      <c r="F824" s="39" t="s">
        <v>637</v>
      </c>
      <c r="G824" s="0" t="n">
        <v>42.7</v>
      </c>
      <c r="H824" s="0" t="n">
        <v>39</v>
      </c>
      <c r="I824" s="39" t="s">
        <v>146</v>
      </c>
      <c r="J824" s="0" t="n">
        <v>96</v>
      </c>
      <c r="M824" s="0" t="n">
        <v>440.77</v>
      </c>
      <c r="N824" s="0" t="n">
        <v>41.17</v>
      </c>
      <c r="O824" s="0" t="n">
        <v>31.42</v>
      </c>
      <c r="P824" s="0" t="n">
        <v>6.02</v>
      </c>
      <c r="Q824" s="0" t="n">
        <v>3.71</v>
      </c>
      <c r="R824" s="0" t="n">
        <v>3760</v>
      </c>
      <c r="S824" s="0" t="n">
        <v>7558</v>
      </c>
      <c r="T824" s="0" t="n">
        <v>40.2</v>
      </c>
      <c r="U824" s="0" t="n">
        <v>1221</v>
      </c>
      <c r="V824" s="0" t="n">
        <v>0</v>
      </c>
      <c r="W824" s="39" t="n">
        <f aca="false">IF(I824="Male",0,1)</f>
        <v>1</v>
      </c>
      <c r="X824" s="39" t="n">
        <f aca="false">IF(OR(I824="DNB",I824="Dry DNB"),1,0)</f>
        <v>0</v>
      </c>
      <c r="Y824" s="39" t="n">
        <f aca="false">MATCH(A824,DATAS,0)</f>
        <v>1</v>
      </c>
      <c r="Z824" s="39" t="n">
        <f aca="false">IF(AND(E824&gt;0,OR(AND(B824&gt;=1,B824&lt;=6),B824=10)),1,0)</f>
        <v>1</v>
      </c>
      <c r="AA824" s="39" t="n">
        <f aca="false">IF(AND(E824&gt;0,B824=10),1,0)</f>
        <v>0</v>
      </c>
      <c r="AB824" s="0" t="str">
        <f aca="false">IF(AND(C823=C824,Y823=Y824-1),Z823,"")</f>
        <v/>
      </c>
      <c r="AC824" s="0" t="str">
        <f aca="false">IF(AND(C823=C824,Y823=Y824-1),AA823,"")</f>
        <v/>
      </c>
      <c r="AD824" s="0" t="str">
        <f aca="false">IF(Y824=1,"",IF(AND(Z824=1,AB824&lt;&gt;1),1,0))</f>
        <v/>
      </c>
      <c r="AE824" s="0" t="str">
        <f aca="false">IF(Y824=1,"",IF(AND(AA824=1,AC824&lt;&gt;1),1,0))</f>
        <v/>
      </c>
      <c r="AF824" s="45" t="str">
        <f aca="false">IF(AND(E824&gt;0,Y824&lt;1,NOT(AND(C825=C824,Y825=Y824+1))),INDEX(DATAS,Y824+1),"")</f>
        <v/>
      </c>
      <c r="AG824" s="45" t="str">
        <f aca="false">IF(AND(AA824=1,Y824&lt;1),IF(AND(C825=C824,Y825=Y824+1),IF(AA825=1,"",INDEX(DATAS,Y824+1)),INDEX(DATAS,Y824+1)),"")</f>
        <v/>
      </c>
    </row>
    <row r="825" customFormat="false" ht="15" hidden="false" customHeight="false" outlineLevel="0" collapsed="false">
      <c r="A825" s="45" t="n">
        <v>46309</v>
      </c>
      <c r="B825" s="0" t="n">
        <v>6</v>
      </c>
      <c r="C825" s="0" t="n">
        <v>4769</v>
      </c>
      <c r="D825" s="0" t="n">
        <v>247</v>
      </c>
      <c r="E825" s="0" t="n">
        <v>2</v>
      </c>
      <c r="F825" s="39" t="s">
        <v>638</v>
      </c>
      <c r="G825" s="0" t="n">
        <v>21.7</v>
      </c>
      <c r="H825" s="0" t="n">
        <v>20</v>
      </c>
      <c r="I825" s="39" t="s">
        <v>96</v>
      </c>
      <c r="J825" s="0" t="n">
        <v>247</v>
      </c>
      <c r="K825" s="0" t="n">
        <v>65</v>
      </c>
      <c r="M825" s="0" t="n">
        <v>8.47</v>
      </c>
      <c r="N825" s="0" t="n">
        <v>66.36</v>
      </c>
      <c r="O825" s="0" t="n">
        <v>24.55</v>
      </c>
      <c r="P825" s="0" t="n">
        <v>5.91</v>
      </c>
      <c r="Q825" s="0" t="n">
        <v>4.67</v>
      </c>
      <c r="R825" s="0" t="n">
        <v>4233</v>
      </c>
      <c r="S825" s="0" t="n">
        <v>7774</v>
      </c>
      <c r="T825" s="0" t="n">
        <v>43.8</v>
      </c>
      <c r="U825" s="0" t="n">
        <v>1219</v>
      </c>
      <c r="V825" s="0" t="n">
        <v>4</v>
      </c>
      <c r="W825" s="39" t="n">
        <f aca="false">IF(I825="Male",0,1)</f>
        <v>1</v>
      </c>
      <c r="X825" s="39" t="n">
        <f aca="false">IF(OR(I825="DNB",I825="Dry DNB"),1,0)</f>
        <v>1</v>
      </c>
      <c r="Y825" s="39" t="n">
        <f aca="false">MATCH(A825,DATAS,0)</f>
        <v>1</v>
      </c>
      <c r="Z825" s="39" t="n">
        <f aca="false">IF(AND(E825&gt;0,OR(AND(B825&gt;=1,B825&lt;=6),B825=10)),1,0)</f>
        <v>1</v>
      </c>
      <c r="AA825" s="39" t="n">
        <f aca="false">IF(AND(E825&gt;0,B825=10),1,0)</f>
        <v>0</v>
      </c>
      <c r="AB825" s="0" t="str">
        <f aca="false">IF(AND(C824=C825,Y824=Y825-1),Z824,"")</f>
        <v/>
      </c>
      <c r="AC825" s="0" t="str">
        <f aca="false">IF(AND(C824=C825,Y824=Y825-1),AA824,"")</f>
        <v/>
      </c>
      <c r="AD825" s="0" t="str">
        <f aca="false">IF(Y825=1,"",IF(AND(Z825=1,AB825&lt;&gt;1),1,0))</f>
        <v/>
      </c>
      <c r="AE825" s="0" t="str">
        <f aca="false">IF(Y825=1,"",IF(AND(AA825=1,AC825&lt;&gt;1),1,0))</f>
        <v/>
      </c>
      <c r="AF825" s="45" t="str">
        <f aca="false">IF(AND(E825&gt;0,Y825&lt;1,NOT(AND(C826=C825,Y826=Y825+1))),INDEX(DATAS,Y825+1),"")</f>
        <v/>
      </c>
      <c r="AG825" s="45" t="str">
        <f aca="false">IF(AND(AA825=1,Y825&lt;1),IF(AND(C826=C825,Y826=Y825+1),IF(AA826=1,"",INDEX(DATAS,Y825+1)),INDEX(DATAS,Y825+1)),"")</f>
        <v/>
      </c>
    </row>
    <row r="826" customFormat="false" ht="15" hidden="false" customHeight="false" outlineLevel="0" collapsed="false">
      <c r="A826" s="45" t="n">
        <v>46309</v>
      </c>
      <c r="B826" s="0" t="n">
        <v>6</v>
      </c>
      <c r="C826" s="0" t="n">
        <v>4771</v>
      </c>
      <c r="D826" s="0" t="n">
        <v>557</v>
      </c>
      <c r="E826" s="0" t="n">
        <v>1</v>
      </c>
      <c r="F826" s="39" t="s">
        <v>638</v>
      </c>
      <c r="G826" s="0" t="n">
        <v>26.6</v>
      </c>
      <c r="H826" s="0" t="n">
        <v>25</v>
      </c>
      <c r="I826" s="39" t="s">
        <v>109</v>
      </c>
      <c r="J826" s="0" t="n">
        <v>462</v>
      </c>
      <c r="K826" s="0" t="n">
        <v>61</v>
      </c>
      <c r="L826" s="0" t="n">
        <v>95</v>
      </c>
      <c r="M826" s="0" t="n">
        <v>280.1</v>
      </c>
      <c r="N826" s="0" t="n">
        <v>68.95</v>
      </c>
      <c r="O826" s="0" t="n">
        <v>16.57</v>
      </c>
      <c r="P826" s="0" t="n">
        <v>3.33</v>
      </c>
      <c r="Q826" s="0" t="n">
        <v>4.35</v>
      </c>
      <c r="R826" s="0" t="n">
        <v>3457</v>
      </c>
      <c r="S826" s="0" t="n">
        <v>7733</v>
      </c>
      <c r="T826" s="0" t="n">
        <v>40</v>
      </c>
      <c r="U826" s="0" t="n">
        <v>1219</v>
      </c>
      <c r="V826" s="0" t="n">
        <v>12</v>
      </c>
      <c r="W826" s="39" t="n">
        <f aca="false">IF(I826="Male",0,1)</f>
        <v>1</v>
      </c>
      <c r="X826" s="39" t="n">
        <f aca="false">IF(OR(I826="DNB",I826="Dry DNB"),1,0)</f>
        <v>0</v>
      </c>
      <c r="Y826" s="39" t="n">
        <f aca="false">MATCH(A826,DATAS,0)</f>
        <v>1</v>
      </c>
      <c r="Z826" s="39" t="n">
        <f aca="false">IF(AND(E826&gt;0,OR(AND(B826&gt;=1,B826&lt;=6),B826=10)),1,0)</f>
        <v>1</v>
      </c>
      <c r="AA826" s="39" t="n">
        <f aca="false">IF(AND(E826&gt;0,B826=10),1,0)</f>
        <v>0</v>
      </c>
      <c r="AB826" s="0" t="str">
        <f aca="false">IF(AND(C825=C826,Y825=Y826-1),Z825,"")</f>
        <v/>
      </c>
      <c r="AC826" s="0" t="str">
        <f aca="false">IF(AND(C825=C826,Y825=Y826-1),AA825,"")</f>
        <v/>
      </c>
      <c r="AD826" s="0" t="str">
        <f aca="false">IF(Y826=1,"",IF(AND(Z826=1,AB826&lt;&gt;1),1,0))</f>
        <v/>
      </c>
      <c r="AE826" s="0" t="str">
        <f aca="false">IF(Y826=1,"",IF(AND(AA826=1,AC826&lt;&gt;1),1,0))</f>
        <v/>
      </c>
      <c r="AF826" s="45" t="str">
        <f aca="false">IF(AND(E826&gt;0,Y826&lt;1,NOT(AND(C827=C826,Y827=Y826+1))),INDEX(DATAS,Y826+1),"")</f>
        <v/>
      </c>
      <c r="AG826" s="45" t="str">
        <f aca="false">IF(AND(AA826=1,Y826&lt;1),IF(AND(C827=C826,Y827=Y826+1),IF(AA827=1,"",INDEX(DATAS,Y826+1)),INDEX(DATAS,Y826+1)),"")</f>
        <v/>
      </c>
    </row>
    <row r="827" customFormat="false" ht="15" hidden="false" customHeight="false" outlineLevel="0" collapsed="false">
      <c r="A827" s="45" t="n">
        <v>46309</v>
      </c>
      <c r="B827" s="0" t="n">
        <v>3</v>
      </c>
      <c r="C827" s="0" t="n">
        <v>4772</v>
      </c>
      <c r="D827" s="0" t="n">
        <v>169</v>
      </c>
      <c r="E827" s="0" t="n">
        <v>2</v>
      </c>
      <c r="F827" s="39" t="s">
        <v>639</v>
      </c>
      <c r="G827" s="0" t="n">
        <v>46.9</v>
      </c>
      <c r="H827" s="0" t="n">
        <v>45</v>
      </c>
      <c r="I827" s="39" t="s">
        <v>109</v>
      </c>
      <c r="J827" s="0" t="n">
        <v>64</v>
      </c>
      <c r="K827" s="0" t="n">
        <v>64</v>
      </c>
      <c r="L827" s="0" t="n">
        <v>105</v>
      </c>
      <c r="M827" s="0" t="n">
        <v>929.3</v>
      </c>
      <c r="N827" s="0" t="n">
        <v>52.74</v>
      </c>
      <c r="O827" s="0" t="n">
        <v>36.02</v>
      </c>
      <c r="P827" s="0" t="n">
        <v>5.05</v>
      </c>
      <c r="Q827" s="0" t="n">
        <v>3.58</v>
      </c>
      <c r="R827" s="0" t="n">
        <v>5106</v>
      </c>
      <c r="S827" s="0" t="n">
        <v>10354</v>
      </c>
      <c r="T827" s="0" t="n">
        <v>55.75</v>
      </c>
      <c r="U827" s="0" t="n">
        <v>1215</v>
      </c>
      <c r="V827" s="0" t="n">
        <v>1</v>
      </c>
      <c r="W827" s="39" t="n">
        <f aca="false">IF(I827="Male",0,1)</f>
        <v>1</v>
      </c>
      <c r="X827" s="39" t="n">
        <f aca="false">IF(OR(I827="DNB",I827="Dry DNB"),1,0)</f>
        <v>0</v>
      </c>
      <c r="Y827" s="39" t="n">
        <f aca="false">MATCH(A827,DATAS,0)</f>
        <v>1</v>
      </c>
      <c r="Z827" s="39" t="n">
        <f aca="false">IF(AND(E827&gt;0,OR(AND(B827&gt;=1,B827&lt;=6),B827=10)),1,0)</f>
        <v>1</v>
      </c>
      <c r="AA827" s="39" t="n">
        <f aca="false">IF(AND(E827&gt;0,B827=10),1,0)</f>
        <v>0</v>
      </c>
      <c r="AB827" s="0" t="str">
        <f aca="false">IF(AND(C826=C827,Y826=Y827-1),Z826,"")</f>
        <v/>
      </c>
      <c r="AC827" s="0" t="str">
        <f aca="false">IF(AND(C826=C827,Y826=Y827-1),AA826,"")</f>
        <v/>
      </c>
      <c r="AD827" s="0" t="str">
        <f aca="false">IF(Y827=1,"",IF(AND(Z827=1,AB827&lt;&gt;1),1,0))</f>
        <v/>
      </c>
      <c r="AE827" s="0" t="str">
        <f aca="false">IF(Y827=1,"",IF(AND(AA827=1,AC827&lt;&gt;1),1,0))</f>
        <v/>
      </c>
      <c r="AF827" s="45" t="str">
        <f aca="false">IF(AND(E827&gt;0,Y827&lt;1,NOT(AND(C828=C827,Y828=Y827+1))),INDEX(DATAS,Y827+1),"")</f>
        <v/>
      </c>
      <c r="AG827" s="45" t="str">
        <f aca="false">IF(AND(AA827=1,Y827&lt;1),IF(AND(C828=C827,Y828=Y827+1),IF(AA828=1,"",INDEX(DATAS,Y827+1)),INDEX(DATAS,Y827+1)),"")</f>
        <v/>
      </c>
    </row>
    <row r="828" customFormat="false" ht="15" hidden="false" customHeight="false" outlineLevel="0" collapsed="false">
      <c r="A828" s="45" t="n">
        <v>46309</v>
      </c>
      <c r="B828" s="0" t="n">
        <v>5</v>
      </c>
      <c r="C828" s="0" t="n">
        <v>4773</v>
      </c>
      <c r="D828" s="0" t="n">
        <v>185</v>
      </c>
      <c r="E828" s="0" t="n">
        <v>2</v>
      </c>
      <c r="F828" s="39" t="s">
        <v>640</v>
      </c>
      <c r="G828" s="0" t="n">
        <v>43.5</v>
      </c>
      <c r="H828" s="0" t="n">
        <v>39</v>
      </c>
      <c r="I828" s="39" t="s">
        <v>138</v>
      </c>
      <c r="J828" s="0" t="n">
        <v>185</v>
      </c>
      <c r="K828" s="0" t="n">
        <v>66</v>
      </c>
      <c r="M828" s="0" t="n">
        <v>-565.33</v>
      </c>
      <c r="N828" s="0" t="n">
        <v>64.58</v>
      </c>
      <c r="O828" s="0" t="n">
        <v>23.79</v>
      </c>
      <c r="P828" s="0" t="n">
        <v>6.59</v>
      </c>
      <c r="Q828" s="0" t="n">
        <v>4.44</v>
      </c>
      <c r="R828" s="0" t="n">
        <v>4262</v>
      </c>
      <c r="S828" s="0" t="n">
        <v>8506</v>
      </c>
      <c r="T828" s="0" t="n">
        <v>48.9</v>
      </c>
      <c r="U828" s="0" t="n">
        <v>1218</v>
      </c>
      <c r="V828" s="0" t="n">
        <v>3</v>
      </c>
      <c r="W828" s="39" t="n">
        <f aca="false">IF(I828="Male",0,1)</f>
        <v>1</v>
      </c>
      <c r="X828" s="39" t="n">
        <f aca="false">IF(OR(I828="DNB",I828="Dry DNB"),1,0)</f>
        <v>0</v>
      </c>
      <c r="Y828" s="39" t="n">
        <f aca="false">MATCH(A828,DATAS,0)</f>
        <v>1</v>
      </c>
      <c r="Z828" s="39" t="n">
        <f aca="false">IF(AND(E828&gt;0,OR(AND(B828&gt;=1,B828&lt;=6),B828=10)),1,0)</f>
        <v>1</v>
      </c>
      <c r="AA828" s="39" t="n">
        <f aca="false">IF(AND(E828&gt;0,B828=10),1,0)</f>
        <v>0</v>
      </c>
      <c r="AB828" s="0" t="str">
        <f aca="false">IF(AND(C827=C828,Y827=Y828-1),Z827,"")</f>
        <v/>
      </c>
      <c r="AC828" s="0" t="str">
        <f aca="false">IF(AND(C827=C828,Y827=Y828-1),AA827,"")</f>
        <v/>
      </c>
      <c r="AD828" s="0" t="str">
        <f aca="false">IF(Y828=1,"",IF(AND(Z828=1,AB828&lt;&gt;1),1,0))</f>
        <v/>
      </c>
      <c r="AE828" s="0" t="str">
        <f aca="false">IF(Y828=1,"",IF(AND(AA828=1,AC828&lt;&gt;1),1,0))</f>
        <v/>
      </c>
      <c r="AF828" s="45" t="str">
        <f aca="false">IF(AND(E828&gt;0,Y828&lt;1,NOT(AND(C829=C828,Y829=Y828+1))),INDEX(DATAS,Y828+1),"")</f>
        <v/>
      </c>
      <c r="AG828" s="45" t="str">
        <f aca="false">IF(AND(AA828=1,Y828&lt;1),IF(AND(C829=C828,Y829=Y828+1),IF(AA829=1,"",INDEX(DATAS,Y828+1)),INDEX(DATAS,Y828+1)),"")</f>
        <v/>
      </c>
    </row>
    <row r="829" customFormat="false" ht="15" hidden="false" customHeight="false" outlineLevel="0" collapsed="false">
      <c r="A829" s="45" t="n">
        <v>46309</v>
      </c>
      <c r="B829" s="0" t="n">
        <v>3</v>
      </c>
      <c r="C829" s="0" t="n">
        <v>4774</v>
      </c>
      <c r="D829" s="0" t="n">
        <v>213</v>
      </c>
      <c r="E829" s="0" t="n">
        <v>2</v>
      </c>
      <c r="F829" s="39" t="s">
        <v>641</v>
      </c>
      <c r="G829" s="0" t="n">
        <v>44.9</v>
      </c>
      <c r="H829" s="0" t="n">
        <v>45</v>
      </c>
      <c r="I829" s="39" t="s">
        <v>109</v>
      </c>
      <c r="J829" s="0" t="n">
        <v>101</v>
      </c>
      <c r="K829" s="0" t="n">
        <v>66</v>
      </c>
      <c r="L829" s="0" t="n">
        <v>112</v>
      </c>
      <c r="M829" s="0" t="n">
        <v>1293.72</v>
      </c>
      <c r="N829" s="0" t="n">
        <v>49.99</v>
      </c>
      <c r="O829" s="0" t="n">
        <v>40.54</v>
      </c>
      <c r="P829" s="0" t="n">
        <v>4.2</v>
      </c>
      <c r="Q829" s="0" t="n">
        <v>3.49</v>
      </c>
      <c r="R829" s="0" t="n">
        <v>4446</v>
      </c>
      <c r="S829" s="0" t="n">
        <v>8911</v>
      </c>
      <c r="T829" s="0" t="n">
        <v>50.75</v>
      </c>
      <c r="U829" s="0" t="n">
        <v>1217</v>
      </c>
      <c r="V829" s="0" t="n">
        <v>2</v>
      </c>
      <c r="W829" s="39" t="n">
        <f aca="false">IF(I829="Male",0,1)</f>
        <v>1</v>
      </c>
      <c r="X829" s="39" t="n">
        <f aca="false">IF(OR(I829="DNB",I829="Dry DNB"),1,0)</f>
        <v>0</v>
      </c>
      <c r="Y829" s="39" t="n">
        <f aca="false">MATCH(A829,DATAS,0)</f>
        <v>1</v>
      </c>
      <c r="Z829" s="39" t="n">
        <f aca="false">IF(AND(E829&gt;0,OR(AND(B829&gt;=1,B829&lt;=6),B829=10)),1,0)</f>
        <v>1</v>
      </c>
      <c r="AA829" s="39" t="n">
        <f aca="false">IF(AND(E829&gt;0,B829=10),1,0)</f>
        <v>0</v>
      </c>
      <c r="AB829" s="0" t="str">
        <f aca="false">IF(AND(C828=C829,Y828=Y829-1),Z828,"")</f>
        <v/>
      </c>
      <c r="AC829" s="0" t="str">
        <f aca="false">IF(AND(C828=C829,Y828=Y829-1),AA828,"")</f>
        <v/>
      </c>
      <c r="AD829" s="0" t="str">
        <f aca="false">IF(Y829=1,"",IF(AND(Z829=1,AB829&lt;&gt;1),1,0))</f>
        <v/>
      </c>
      <c r="AE829" s="0" t="str">
        <f aca="false">IF(Y829=1,"",IF(AND(AA829=1,AC829&lt;&gt;1),1,0))</f>
        <v/>
      </c>
      <c r="AF829" s="45" t="str">
        <f aca="false">IF(AND(E829&gt;0,Y829&lt;1,NOT(AND(C830=C829,Y830=Y829+1))),INDEX(DATAS,Y829+1),"")</f>
        <v/>
      </c>
      <c r="AG829" s="45" t="str">
        <f aca="false">IF(AND(AA829=1,Y829&lt;1),IF(AND(C830=C829,Y830=Y829+1),IF(AA830=1,"",INDEX(DATAS,Y829+1)),INDEX(DATAS,Y829+1)),"")</f>
        <v/>
      </c>
    </row>
    <row r="830" customFormat="false" ht="15" hidden="false" customHeight="false" outlineLevel="0" collapsed="false">
      <c r="A830" s="45" t="n">
        <v>46309</v>
      </c>
      <c r="B830" s="0" t="n">
        <v>5</v>
      </c>
      <c r="C830" s="0" t="n">
        <v>4775</v>
      </c>
      <c r="D830" s="0" t="n">
        <v>246</v>
      </c>
      <c r="E830" s="0" t="n">
        <v>2</v>
      </c>
      <c r="F830" s="39" t="s">
        <v>641</v>
      </c>
      <c r="G830" s="0" t="n">
        <v>33.1</v>
      </c>
      <c r="H830" s="0" t="n">
        <v>32</v>
      </c>
      <c r="I830" s="39" t="s">
        <v>109</v>
      </c>
      <c r="J830" s="0" t="n">
        <v>176</v>
      </c>
      <c r="K830" s="0" t="n">
        <v>64</v>
      </c>
      <c r="L830" s="0" t="n">
        <v>70</v>
      </c>
      <c r="M830" s="0" t="n">
        <v>1494.24</v>
      </c>
      <c r="N830" s="0" t="n">
        <v>47.48</v>
      </c>
      <c r="O830" s="0" t="n">
        <v>56.62</v>
      </c>
      <c r="P830" s="0" t="n">
        <v>3.72</v>
      </c>
      <c r="Q830" s="0" t="n">
        <v>3.87</v>
      </c>
      <c r="R830" s="0" t="n">
        <v>5762</v>
      </c>
      <c r="S830" s="0" t="n">
        <v>10772</v>
      </c>
      <c r="T830" s="0" t="n">
        <v>64.85</v>
      </c>
      <c r="U830" s="0" t="n">
        <v>1217</v>
      </c>
      <c r="V830" s="0" t="n">
        <v>4</v>
      </c>
      <c r="W830" s="39" t="n">
        <f aca="false">IF(I830="Male",0,1)</f>
        <v>1</v>
      </c>
      <c r="X830" s="39" t="n">
        <f aca="false">IF(OR(I830="DNB",I830="Dry DNB"),1,0)</f>
        <v>0</v>
      </c>
      <c r="Y830" s="39" t="n">
        <f aca="false">MATCH(A830,DATAS,0)</f>
        <v>1</v>
      </c>
      <c r="Z830" s="39" t="n">
        <f aca="false">IF(AND(E830&gt;0,OR(AND(B830&gt;=1,B830&lt;=6),B830=10)),1,0)</f>
        <v>1</v>
      </c>
      <c r="AA830" s="39" t="n">
        <f aca="false">IF(AND(E830&gt;0,B830=10),1,0)</f>
        <v>0</v>
      </c>
      <c r="AB830" s="0" t="str">
        <f aca="false">IF(AND(C829=C830,Y829=Y830-1),Z829,"")</f>
        <v/>
      </c>
      <c r="AC830" s="0" t="str">
        <f aca="false">IF(AND(C829=C830,Y829=Y830-1),AA829,"")</f>
        <v/>
      </c>
      <c r="AD830" s="0" t="str">
        <f aca="false">IF(Y830=1,"",IF(AND(Z830=1,AB830&lt;&gt;1),1,0))</f>
        <v/>
      </c>
      <c r="AE830" s="0" t="str">
        <f aca="false">IF(Y830=1,"",IF(AND(AA830=1,AC830&lt;&gt;1),1,0))</f>
        <v/>
      </c>
      <c r="AF830" s="45" t="str">
        <f aca="false">IF(AND(E830&gt;0,Y830&lt;1,NOT(AND(C831=C830,Y831=Y830+1))),INDEX(DATAS,Y830+1),"")</f>
        <v/>
      </c>
      <c r="AG830" s="45" t="str">
        <f aca="false">IF(AND(AA830=1,Y830&lt;1),IF(AND(C831=C830,Y831=Y830+1),IF(AA831=1,"",INDEX(DATAS,Y830+1)),INDEX(DATAS,Y830+1)),"")</f>
        <v/>
      </c>
    </row>
    <row r="831" customFormat="false" ht="15" hidden="false" customHeight="false" outlineLevel="0" collapsed="false">
      <c r="A831" s="45" t="n">
        <v>46309</v>
      </c>
      <c r="B831" s="0" t="n">
        <v>2</v>
      </c>
      <c r="C831" s="0" t="n">
        <v>4776</v>
      </c>
      <c r="D831" s="0" t="n">
        <v>177</v>
      </c>
      <c r="E831" s="0" t="n">
        <v>2</v>
      </c>
      <c r="F831" s="39" t="s">
        <v>642</v>
      </c>
      <c r="G831" s="0" t="n">
        <v>63.9</v>
      </c>
      <c r="H831" s="0" t="n">
        <v>58</v>
      </c>
      <c r="I831" s="39" t="s">
        <v>109</v>
      </c>
      <c r="J831" s="0" t="n">
        <v>145</v>
      </c>
      <c r="K831" s="0" t="n">
        <v>65</v>
      </c>
      <c r="L831" s="0" t="n">
        <v>32</v>
      </c>
      <c r="M831" s="0" t="n">
        <v>259.48</v>
      </c>
      <c r="N831" s="0" t="n">
        <v>74.18</v>
      </c>
      <c r="O831" s="0" t="n">
        <v>23.74</v>
      </c>
      <c r="P831" s="0" t="n">
        <v>4.63</v>
      </c>
      <c r="Q831" s="0" t="n">
        <v>3.77</v>
      </c>
      <c r="R831" s="0" t="n">
        <v>5647</v>
      </c>
      <c r="S831" s="0" t="n">
        <v>11479</v>
      </c>
      <c r="T831" s="0" t="n">
        <v>64</v>
      </c>
      <c r="U831" s="0" t="n">
        <v>1216</v>
      </c>
      <c r="V831" s="0" t="n">
        <v>4</v>
      </c>
      <c r="W831" s="39" t="n">
        <f aca="false">IF(I831="Male",0,1)</f>
        <v>1</v>
      </c>
      <c r="X831" s="39" t="n">
        <f aca="false">IF(OR(I831="DNB",I831="Dry DNB"),1,0)</f>
        <v>0</v>
      </c>
      <c r="Y831" s="39" t="n">
        <f aca="false">MATCH(A831,DATAS,0)</f>
        <v>1</v>
      </c>
      <c r="Z831" s="39" t="n">
        <f aca="false">IF(AND(E831&gt;0,OR(AND(B831&gt;=1,B831&lt;=6),B831=10)),1,0)</f>
        <v>1</v>
      </c>
      <c r="AA831" s="39" t="n">
        <f aca="false">IF(AND(E831&gt;0,B831=10),1,0)</f>
        <v>0</v>
      </c>
      <c r="AB831" s="0" t="str">
        <f aca="false">IF(AND(C830=C831,Y830=Y831-1),Z830,"")</f>
        <v/>
      </c>
      <c r="AC831" s="0" t="str">
        <f aca="false">IF(AND(C830=C831,Y830=Y831-1),AA830,"")</f>
        <v/>
      </c>
      <c r="AD831" s="0" t="str">
        <f aca="false">IF(Y831=1,"",IF(AND(Z831=1,AB831&lt;&gt;1),1,0))</f>
        <v/>
      </c>
      <c r="AE831" s="0" t="str">
        <f aca="false">IF(Y831=1,"",IF(AND(AA831=1,AC831&lt;&gt;1),1,0))</f>
        <v/>
      </c>
      <c r="AF831" s="45" t="str">
        <f aca="false">IF(AND(E831&gt;0,Y831&lt;1,NOT(AND(C832=C831,Y832=Y831+1))),INDEX(DATAS,Y831+1),"")</f>
        <v/>
      </c>
      <c r="AG831" s="45" t="str">
        <f aca="false">IF(AND(AA831=1,Y831&lt;1),IF(AND(C832=C831,Y832=Y831+1),IF(AA832=1,"",INDEX(DATAS,Y831+1)),INDEX(DATAS,Y831+1)),"")</f>
        <v/>
      </c>
    </row>
    <row r="832" customFormat="false" ht="15" hidden="false" customHeight="false" outlineLevel="0" collapsed="false">
      <c r="A832" s="45" t="n">
        <v>46309</v>
      </c>
      <c r="B832" s="0" t="n">
        <v>2</v>
      </c>
      <c r="C832" s="0" t="n">
        <v>4777</v>
      </c>
      <c r="D832" s="0" t="n">
        <v>20</v>
      </c>
      <c r="E832" s="0" t="n">
        <v>2</v>
      </c>
      <c r="F832" s="39" t="s">
        <v>642</v>
      </c>
      <c r="G832" s="0" t="n">
        <v>54.1</v>
      </c>
      <c r="H832" s="0" t="n">
        <v>51</v>
      </c>
      <c r="I832" s="39" t="s">
        <v>118</v>
      </c>
      <c r="J832" s="0" t="n">
        <v>20</v>
      </c>
      <c r="M832" s="0" t="n">
        <v>603.27</v>
      </c>
      <c r="N832" s="0" t="n">
        <v>38.58</v>
      </c>
      <c r="O832" s="0" t="n">
        <v>26.3</v>
      </c>
      <c r="R832" s="0" t="n">
        <v>4271</v>
      </c>
      <c r="S832" s="0" t="n">
        <v>8585</v>
      </c>
      <c r="U832" s="0" t="n">
        <v>1216</v>
      </c>
      <c r="V832" s="0" t="n">
        <v>0</v>
      </c>
      <c r="W832" s="39" t="n">
        <f aca="false">IF(I832="Male",0,1)</f>
        <v>1</v>
      </c>
      <c r="X832" s="39" t="n">
        <f aca="false">IF(OR(I832="DNB",I832="Dry DNB"),1,0)</f>
        <v>0</v>
      </c>
      <c r="Y832" s="39" t="n">
        <f aca="false">MATCH(A832,DATAS,0)</f>
        <v>1</v>
      </c>
      <c r="Z832" s="39" t="n">
        <f aca="false">IF(AND(E832&gt;0,OR(AND(B832&gt;=1,B832&lt;=6),B832=10)),1,0)</f>
        <v>1</v>
      </c>
      <c r="AA832" s="39" t="n">
        <f aca="false">IF(AND(E832&gt;0,B832=10),1,0)</f>
        <v>0</v>
      </c>
      <c r="AB832" s="0" t="str">
        <f aca="false">IF(AND(C831=C832,Y831=Y832-1),Z831,"")</f>
        <v/>
      </c>
      <c r="AC832" s="0" t="str">
        <f aca="false">IF(AND(C831=C832,Y831=Y832-1),AA831,"")</f>
        <v/>
      </c>
      <c r="AD832" s="0" t="str">
        <f aca="false">IF(Y832=1,"",IF(AND(Z832=1,AB832&lt;&gt;1),1,0))</f>
        <v/>
      </c>
      <c r="AE832" s="0" t="str">
        <f aca="false">IF(Y832=1,"",IF(AND(AA832=1,AC832&lt;&gt;1),1,0))</f>
        <v/>
      </c>
      <c r="AF832" s="45" t="str">
        <f aca="false">IF(AND(E832&gt;0,Y832&lt;1,NOT(AND(C833=C832,Y833=Y832+1))),INDEX(DATAS,Y832+1),"")</f>
        <v/>
      </c>
      <c r="AG832" s="45" t="str">
        <f aca="false">IF(AND(AA832=1,Y832&lt;1),IF(AND(C833=C832,Y833=Y832+1),IF(AA833=1,"",INDEX(DATAS,Y832+1)),INDEX(DATAS,Y832+1)),"")</f>
        <v/>
      </c>
    </row>
    <row r="833" customFormat="false" ht="15" hidden="false" customHeight="false" outlineLevel="0" collapsed="false">
      <c r="A833" s="45" t="n">
        <v>46309</v>
      </c>
      <c r="B833" s="0" t="n">
        <v>6</v>
      </c>
      <c r="C833" s="0" t="n">
        <v>4778</v>
      </c>
      <c r="D833" s="0" t="n">
        <v>575</v>
      </c>
      <c r="E833" s="0" t="n">
        <v>1</v>
      </c>
      <c r="F833" s="39" t="s">
        <v>642</v>
      </c>
      <c r="G833" s="0" t="n">
        <v>29.9</v>
      </c>
      <c r="H833" s="0" t="n">
        <v>25</v>
      </c>
      <c r="I833" s="39" t="s">
        <v>109</v>
      </c>
      <c r="J833" s="0" t="n">
        <v>425</v>
      </c>
      <c r="K833" s="0" t="n">
        <v>65</v>
      </c>
      <c r="L833" s="0" t="n">
        <v>150</v>
      </c>
      <c r="M833" s="0" t="n">
        <v>314.49</v>
      </c>
      <c r="N833" s="0" t="n">
        <v>77.4</v>
      </c>
      <c r="O833" s="0" t="n">
        <v>19.55</v>
      </c>
      <c r="P833" s="0" t="n">
        <v>5.31</v>
      </c>
      <c r="Q833" s="0" t="n">
        <v>3.99</v>
      </c>
      <c r="R833" s="0" t="n">
        <v>3384</v>
      </c>
      <c r="S833" s="0" t="n">
        <v>7730</v>
      </c>
      <c r="T833" s="0" t="n">
        <v>38.3</v>
      </c>
      <c r="U833" s="0" t="n">
        <v>1216</v>
      </c>
      <c r="V833" s="0" t="n">
        <v>7</v>
      </c>
      <c r="W833" s="39" t="n">
        <f aca="false">IF(I833="Male",0,1)</f>
        <v>1</v>
      </c>
      <c r="X833" s="39" t="n">
        <f aca="false">IF(OR(I833="DNB",I833="Dry DNB"),1,0)</f>
        <v>0</v>
      </c>
      <c r="Y833" s="39" t="n">
        <f aca="false">MATCH(A833,DATAS,0)</f>
        <v>1</v>
      </c>
      <c r="Z833" s="39" t="n">
        <f aca="false">IF(AND(E833&gt;0,OR(AND(B833&gt;=1,B833&lt;=6),B833=10)),1,0)</f>
        <v>1</v>
      </c>
      <c r="AA833" s="39" t="n">
        <f aca="false">IF(AND(E833&gt;0,B833=10),1,0)</f>
        <v>0</v>
      </c>
      <c r="AB833" s="0" t="str">
        <f aca="false">IF(AND(C832=C833,Y832=Y833-1),Z832,"")</f>
        <v/>
      </c>
      <c r="AC833" s="0" t="str">
        <f aca="false">IF(AND(C832=C833,Y832=Y833-1),AA832,"")</f>
        <v/>
      </c>
      <c r="AD833" s="0" t="str">
        <f aca="false">IF(Y833=1,"",IF(AND(Z833=1,AB833&lt;&gt;1),1,0))</f>
        <v/>
      </c>
      <c r="AE833" s="0" t="str">
        <f aca="false">IF(Y833=1,"",IF(AND(AA833=1,AC833&lt;&gt;1),1,0))</f>
        <v/>
      </c>
      <c r="AF833" s="45" t="str">
        <f aca="false">IF(AND(E833&gt;0,Y833&lt;1,NOT(AND(C834=C833,Y834=Y833+1))),INDEX(DATAS,Y833+1),"")</f>
        <v/>
      </c>
      <c r="AG833" s="45" t="str">
        <f aca="false">IF(AND(AA833=1,Y833&lt;1),IF(AND(C834=C833,Y834=Y833+1),IF(AA834=1,"",INDEX(DATAS,Y833+1)),INDEX(DATAS,Y833+1)),"")</f>
        <v/>
      </c>
    </row>
    <row r="834" customFormat="false" ht="15" hidden="false" customHeight="false" outlineLevel="0" collapsed="false">
      <c r="A834" s="45" t="n">
        <v>46309</v>
      </c>
      <c r="B834" s="0" t="n">
        <v>5</v>
      </c>
      <c r="C834" s="0" t="n">
        <v>4779</v>
      </c>
      <c r="D834" s="0" t="n">
        <v>211</v>
      </c>
      <c r="E834" s="0" t="n">
        <v>2</v>
      </c>
      <c r="F834" s="39" t="s">
        <v>639</v>
      </c>
      <c r="G834" s="0" t="n">
        <v>42.9</v>
      </c>
      <c r="H834" s="0" t="n">
        <v>40</v>
      </c>
      <c r="I834" s="39" t="s">
        <v>109</v>
      </c>
      <c r="J834" s="0" t="n">
        <v>64</v>
      </c>
      <c r="K834" s="0" t="n">
        <v>64</v>
      </c>
      <c r="L834" s="0" t="n">
        <v>147</v>
      </c>
      <c r="M834" s="0" t="n">
        <v>1101.33</v>
      </c>
      <c r="N834" s="0" t="n">
        <v>51.98</v>
      </c>
      <c r="O834" s="0" t="n">
        <v>32.48</v>
      </c>
      <c r="P834" s="0" t="n">
        <v>4.36</v>
      </c>
      <c r="Q834" s="0" t="n">
        <v>4.03</v>
      </c>
      <c r="R834" s="0" t="n">
        <v>4240</v>
      </c>
      <c r="S834" s="0" t="n">
        <v>9043</v>
      </c>
      <c r="T834" s="0" t="n">
        <v>48.35</v>
      </c>
      <c r="U834" s="0" t="n">
        <v>1215</v>
      </c>
      <c r="V834" s="0" t="n">
        <v>1</v>
      </c>
      <c r="W834" s="39" t="n">
        <f aca="false">IF(I834="Male",0,1)</f>
        <v>1</v>
      </c>
      <c r="X834" s="39" t="n">
        <f aca="false">IF(OR(I834="DNB",I834="Dry DNB"),1,0)</f>
        <v>0</v>
      </c>
      <c r="Y834" s="39" t="n">
        <f aca="false">MATCH(A834,DATAS,0)</f>
        <v>1</v>
      </c>
      <c r="Z834" s="39" t="n">
        <f aca="false">IF(AND(E834&gt;0,OR(AND(B834&gt;=1,B834&lt;=6),B834=10)),1,0)</f>
        <v>1</v>
      </c>
      <c r="AA834" s="39" t="n">
        <f aca="false">IF(AND(E834&gt;0,B834=10),1,0)</f>
        <v>0</v>
      </c>
      <c r="AB834" s="0" t="str">
        <f aca="false">IF(AND(C833=C834,Y833=Y834-1),Z833,"")</f>
        <v/>
      </c>
      <c r="AC834" s="0" t="str">
        <f aca="false">IF(AND(C833=C834,Y833=Y834-1),AA833,"")</f>
        <v/>
      </c>
      <c r="AD834" s="0" t="str">
        <f aca="false">IF(Y834=1,"",IF(AND(Z834=1,AB834&lt;&gt;1),1,0))</f>
        <v/>
      </c>
      <c r="AE834" s="0" t="str">
        <f aca="false">IF(Y834=1,"",IF(AND(AA834=1,AC834&lt;&gt;1),1,0))</f>
        <v/>
      </c>
      <c r="AF834" s="45" t="str">
        <f aca="false">IF(AND(E834&gt;0,Y834&lt;1,NOT(AND(C835=C834,Y835=Y834+1))),INDEX(DATAS,Y834+1),"")</f>
        <v/>
      </c>
      <c r="AG834" s="45" t="str">
        <f aca="false">IF(AND(AA834=1,Y834&lt;1),IF(AND(C835=C834,Y835=Y834+1),IF(AA835=1,"",INDEX(DATAS,Y834+1)),INDEX(DATAS,Y834+1)),"")</f>
        <v/>
      </c>
    </row>
    <row r="835" customFormat="false" ht="15" hidden="false" customHeight="false" outlineLevel="0" collapsed="false">
      <c r="A835" s="45" t="n">
        <v>46309</v>
      </c>
      <c r="B835" s="0" t="n">
        <v>6</v>
      </c>
      <c r="C835" s="0" t="n">
        <v>4780</v>
      </c>
      <c r="D835" s="0" t="n">
        <v>155</v>
      </c>
      <c r="E835" s="0" t="n">
        <v>2</v>
      </c>
      <c r="F835" s="39" t="s">
        <v>639</v>
      </c>
      <c r="G835" s="0" t="n">
        <v>28.6</v>
      </c>
      <c r="H835" s="0" t="n">
        <v>27</v>
      </c>
      <c r="I835" s="39" t="s">
        <v>109</v>
      </c>
      <c r="J835" s="0" t="n">
        <v>120</v>
      </c>
      <c r="K835" s="0" t="n">
        <v>61</v>
      </c>
      <c r="L835" s="0" t="n">
        <v>35</v>
      </c>
      <c r="M835" s="0" t="n">
        <v>-87.04</v>
      </c>
      <c r="N835" s="0" t="n">
        <v>66.25</v>
      </c>
      <c r="O835" s="0" t="n">
        <v>27.4</v>
      </c>
      <c r="P835" s="0" t="n">
        <v>5.26</v>
      </c>
      <c r="Q835" s="0" t="n">
        <v>3.62</v>
      </c>
      <c r="R835" s="0" t="n">
        <v>3767</v>
      </c>
      <c r="S835" s="0" t="n">
        <v>6911</v>
      </c>
      <c r="T835" s="0" t="n">
        <v>40</v>
      </c>
      <c r="U835" s="0" t="n">
        <v>1215</v>
      </c>
      <c r="V835" s="0" t="n">
        <v>3</v>
      </c>
      <c r="W835" s="39" t="n">
        <f aca="false">IF(I835="Male",0,1)</f>
        <v>1</v>
      </c>
      <c r="X835" s="39" t="n">
        <f aca="false">IF(OR(I835="DNB",I835="Dry DNB"),1,0)</f>
        <v>0</v>
      </c>
      <c r="Y835" s="39" t="n">
        <f aca="false">MATCH(A835,DATAS,0)</f>
        <v>1</v>
      </c>
      <c r="Z835" s="39" t="n">
        <f aca="false">IF(AND(E835&gt;0,OR(AND(B835&gt;=1,B835&lt;=6),B835=10)),1,0)</f>
        <v>1</v>
      </c>
      <c r="AA835" s="39" t="n">
        <f aca="false">IF(AND(E835&gt;0,B835=10),1,0)</f>
        <v>0</v>
      </c>
      <c r="AB835" s="0" t="str">
        <f aca="false">IF(AND(C834=C835,Y834=Y835-1),Z834,"")</f>
        <v/>
      </c>
      <c r="AC835" s="0" t="str">
        <f aca="false">IF(AND(C834=C835,Y834=Y835-1),AA834,"")</f>
        <v/>
      </c>
      <c r="AD835" s="0" t="str">
        <f aca="false">IF(Y835=1,"",IF(AND(Z835=1,AB835&lt;&gt;1),1,0))</f>
        <v/>
      </c>
      <c r="AE835" s="0" t="str">
        <f aca="false">IF(Y835=1,"",IF(AND(AA835=1,AC835&lt;&gt;1),1,0))</f>
        <v/>
      </c>
      <c r="AF835" s="45" t="str">
        <f aca="false">IF(AND(E835&gt;0,Y835&lt;1,NOT(AND(C836=C835,Y836=Y835+1))),INDEX(DATAS,Y835+1),"")</f>
        <v/>
      </c>
      <c r="AG835" s="45" t="str">
        <f aca="false">IF(AND(AA835=1,Y835&lt;1),IF(AND(C836=C835,Y836=Y835+1),IF(AA836=1,"",INDEX(DATAS,Y835+1)),INDEX(DATAS,Y835+1)),"")</f>
        <v/>
      </c>
    </row>
    <row r="836" customFormat="false" ht="15" hidden="false" customHeight="false" outlineLevel="0" collapsed="false">
      <c r="A836" s="45" t="n">
        <v>46309</v>
      </c>
      <c r="B836" s="0" t="n">
        <v>5</v>
      </c>
      <c r="C836" s="0" t="n">
        <v>4782</v>
      </c>
      <c r="D836" s="0" t="n">
        <v>257</v>
      </c>
      <c r="E836" s="0" t="n">
        <v>2</v>
      </c>
      <c r="F836" s="39" t="s">
        <v>643</v>
      </c>
      <c r="G836" s="0" t="n">
        <v>32.1</v>
      </c>
      <c r="H836" s="0" t="n">
        <v>31</v>
      </c>
      <c r="I836" s="39" t="s">
        <v>146</v>
      </c>
      <c r="J836" s="0" t="n">
        <v>257</v>
      </c>
      <c r="K836" s="0" t="n">
        <v>68</v>
      </c>
      <c r="M836" s="0" t="n">
        <v>600.32</v>
      </c>
      <c r="N836" s="0" t="n">
        <v>56.87</v>
      </c>
      <c r="O836" s="0" t="n">
        <v>28.03</v>
      </c>
      <c r="P836" s="0" t="n">
        <v>3.74</v>
      </c>
      <c r="Q836" s="0" t="n">
        <v>4.09</v>
      </c>
      <c r="R836" s="0" t="n">
        <v>5337</v>
      </c>
      <c r="S836" s="0" t="n">
        <v>10126</v>
      </c>
      <c r="T836" s="0" t="n">
        <v>54.7</v>
      </c>
      <c r="U836" s="0" t="n">
        <v>1213</v>
      </c>
      <c r="V836" s="0" t="n">
        <v>5</v>
      </c>
      <c r="W836" s="39" t="n">
        <f aca="false">IF(I836="Male",0,1)</f>
        <v>1</v>
      </c>
      <c r="X836" s="39" t="n">
        <f aca="false">IF(OR(I836="DNB",I836="Dry DNB"),1,0)</f>
        <v>0</v>
      </c>
      <c r="Y836" s="39" t="n">
        <f aca="false">MATCH(A836,DATAS,0)</f>
        <v>1</v>
      </c>
      <c r="Z836" s="39" t="n">
        <f aca="false">IF(AND(E836&gt;0,OR(AND(B836&gt;=1,B836&lt;=6),B836=10)),1,0)</f>
        <v>1</v>
      </c>
      <c r="AA836" s="39" t="n">
        <f aca="false">IF(AND(E836&gt;0,B836=10),1,0)</f>
        <v>0</v>
      </c>
      <c r="AB836" s="0" t="str">
        <f aca="false">IF(AND(C835=C836,Y835=Y836-1),Z835,"")</f>
        <v/>
      </c>
      <c r="AC836" s="0" t="str">
        <f aca="false">IF(AND(C835=C836,Y835=Y836-1),AA835,"")</f>
        <v/>
      </c>
      <c r="AD836" s="0" t="str">
        <f aca="false">IF(Y836=1,"",IF(AND(Z836=1,AB836&lt;&gt;1),1,0))</f>
        <v/>
      </c>
      <c r="AE836" s="0" t="str">
        <f aca="false">IF(Y836=1,"",IF(AND(AA836=1,AC836&lt;&gt;1),1,0))</f>
        <v/>
      </c>
      <c r="AF836" s="45" t="str">
        <f aca="false">IF(AND(E836&gt;0,Y836&lt;1,NOT(AND(C837=C836,Y837=Y836+1))),INDEX(DATAS,Y836+1),"")</f>
        <v/>
      </c>
      <c r="AG836" s="45" t="str">
        <f aca="false">IF(AND(AA836=1,Y836&lt;1),IF(AND(C837=C836,Y837=Y836+1),IF(AA837=1,"",INDEX(DATAS,Y836+1)),INDEX(DATAS,Y836+1)),"")</f>
        <v/>
      </c>
    </row>
    <row r="837" customFormat="false" ht="15" hidden="false" customHeight="false" outlineLevel="0" collapsed="false">
      <c r="A837" s="45" t="n">
        <v>46309</v>
      </c>
      <c r="B837" s="0" t="n">
        <v>6</v>
      </c>
      <c r="C837" s="0" t="n">
        <v>4783</v>
      </c>
      <c r="D837" s="0" t="n">
        <v>205</v>
      </c>
      <c r="E837" s="0" t="n">
        <v>2</v>
      </c>
      <c r="F837" s="39" t="s">
        <v>643</v>
      </c>
      <c r="G837" s="0" t="n">
        <v>29.6</v>
      </c>
      <c r="H837" s="0" t="n">
        <v>26</v>
      </c>
      <c r="I837" s="39" t="s">
        <v>109</v>
      </c>
      <c r="J837" s="0" t="n">
        <v>149</v>
      </c>
      <c r="K837" s="0" t="n">
        <v>66</v>
      </c>
      <c r="L837" s="0" t="n">
        <v>56</v>
      </c>
      <c r="M837" s="0" t="n">
        <v>1156.44</v>
      </c>
      <c r="N837" s="0" t="n">
        <v>60.16</v>
      </c>
      <c r="O837" s="0" t="n">
        <v>47.73</v>
      </c>
      <c r="P837" s="0" t="n">
        <v>3.69</v>
      </c>
      <c r="Q837" s="0" t="n">
        <v>3.86</v>
      </c>
      <c r="R837" s="0" t="n">
        <v>4053</v>
      </c>
      <c r="S837" s="0" t="n">
        <v>8482</v>
      </c>
      <c r="T837" s="0" t="n">
        <v>42.8</v>
      </c>
      <c r="U837" s="0" t="n">
        <v>1213</v>
      </c>
      <c r="V837" s="0" t="n">
        <v>4</v>
      </c>
      <c r="W837" s="39" t="n">
        <f aca="false">IF(I837="Male",0,1)</f>
        <v>1</v>
      </c>
      <c r="X837" s="39" t="n">
        <f aca="false">IF(OR(I837="DNB",I837="Dry DNB"),1,0)</f>
        <v>0</v>
      </c>
      <c r="Y837" s="39" t="n">
        <f aca="false">MATCH(A837,DATAS,0)</f>
        <v>1</v>
      </c>
      <c r="Z837" s="39" t="n">
        <f aca="false">IF(AND(E837&gt;0,OR(AND(B837&gt;=1,B837&lt;=6),B837=10)),1,0)</f>
        <v>1</v>
      </c>
      <c r="AA837" s="39" t="n">
        <f aca="false">IF(AND(E837&gt;0,B837=10),1,0)</f>
        <v>0</v>
      </c>
      <c r="AB837" s="0" t="str">
        <f aca="false">IF(AND(C836=C837,Y836=Y837-1),Z836,"")</f>
        <v/>
      </c>
      <c r="AC837" s="0" t="str">
        <f aca="false">IF(AND(C836=C837,Y836=Y837-1),AA836,"")</f>
        <v/>
      </c>
      <c r="AD837" s="0" t="str">
        <f aca="false">IF(Y837=1,"",IF(AND(Z837=1,AB837&lt;&gt;1),1,0))</f>
        <v/>
      </c>
      <c r="AE837" s="0" t="str">
        <f aca="false">IF(Y837=1,"",IF(AND(AA837=1,AC837&lt;&gt;1),1,0))</f>
        <v/>
      </c>
      <c r="AF837" s="45" t="str">
        <f aca="false">IF(AND(E837&gt;0,Y837&lt;1,NOT(AND(C838=C837,Y838=Y837+1))),INDEX(DATAS,Y837+1),"")</f>
        <v/>
      </c>
      <c r="AG837" s="45" t="str">
        <f aca="false">IF(AND(AA837=1,Y837&lt;1),IF(AND(C838=C837,Y838=Y837+1),IF(AA838=1,"",INDEX(DATAS,Y837+1)),INDEX(DATAS,Y837+1)),"")</f>
        <v/>
      </c>
    </row>
    <row r="838" customFormat="false" ht="15" hidden="false" customHeight="false" outlineLevel="0" collapsed="false">
      <c r="A838" s="45" t="n">
        <v>46309</v>
      </c>
      <c r="B838" s="0" t="n">
        <v>2</v>
      </c>
      <c r="C838" s="0" t="n">
        <v>4787</v>
      </c>
      <c r="D838" s="0" t="n">
        <v>11</v>
      </c>
      <c r="E838" s="0" t="n">
        <v>2</v>
      </c>
      <c r="F838" s="39" t="s">
        <v>644</v>
      </c>
      <c r="G838" s="0" t="n">
        <v>43.1</v>
      </c>
      <c r="H838" s="0" t="n">
        <v>38</v>
      </c>
      <c r="I838" s="39" t="s">
        <v>118</v>
      </c>
      <c r="J838" s="0" t="n">
        <v>11</v>
      </c>
      <c r="M838" s="0" t="n">
        <v>168.23</v>
      </c>
      <c r="N838" s="0" t="n">
        <v>16.71</v>
      </c>
      <c r="O838" s="0" t="n">
        <v>9.93</v>
      </c>
      <c r="R838" s="0" t="n">
        <v>2908</v>
      </c>
      <c r="S838" s="0" t="n">
        <v>5846</v>
      </c>
      <c r="U838" s="0" t="n">
        <v>1211</v>
      </c>
      <c r="V838" s="0" t="n">
        <v>0</v>
      </c>
      <c r="W838" s="39" t="n">
        <f aca="false">IF(I838="Male",0,1)</f>
        <v>1</v>
      </c>
      <c r="X838" s="39" t="n">
        <f aca="false">IF(OR(I838="DNB",I838="Dry DNB"),1,0)</f>
        <v>0</v>
      </c>
      <c r="Y838" s="39" t="n">
        <f aca="false">MATCH(A838,DATAS,0)</f>
        <v>1</v>
      </c>
      <c r="Z838" s="39" t="n">
        <f aca="false">IF(AND(E838&gt;0,OR(AND(B838&gt;=1,B838&lt;=6),B838=10)),1,0)</f>
        <v>1</v>
      </c>
      <c r="AA838" s="39" t="n">
        <f aca="false">IF(AND(E838&gt;0,B838=10),1,0)</f>
        <v>0</v>
      </c>
      <c r="AB838" s="0" t="str">
        <f aca="false">IF(AND(C837=C838,Y837=Y838-1),Z837,"")</f>
        <v/>
      </c>
      <c r="AC838" s="0" t="str">
        <f aca="false">IF(AND(C837=C838,Y837=Y838-1),AA837,"")</f>
        <v/>
      </c>
      <c r="AD838" s="0" t="str">
        <f aca="false">IF(Y838=1,"",IF(AND(Z838=1,AB838&lt;&gt;1),1,0))</f>
        <v/>
      </c>
      <c r="AE838" s="0" t="str">
        <f aca="false">IF(Y838=1,"",IF(AND(AA838=1,AC838&lt;&gt;1),1,0))</f>
        <v/>
      </c>
      <c r="AF838" s="45" t="str">
        <f aca="false">IF(AND(E838&gt;0,Y838&lt;1,NOT(AND(C839=C838,Y839=Y838+1))),INDEX(DATAS,Y838+1),"")</f>
        <v/>
      </c>
      <c r="AG838" s="45" t="str">
        <f aca="false">IF(AND(AA838=1,Y838&lt;1),IF(AND(C839=C838,Y839=Y838+1),IF(AA839=1,"",INDEX(DATAS,Y838+1)),INDEX(DATAS,Y838+1)),"")</f>
        <v/>
      </c>
    </row>
    <row r="839" customFormat="false" ht="15" hidden="false" customHeight="false" outlineLevel="0" collapsed="false">
      <c r="A839" s="45" t="n">
        <v>46309</v>
      </c>
      <c r="B839" s="0" t="n">
        <v>5</v>
      </c>
      <c r="C839" s="0" t="n">
        <v>4788</v>
      </c>
      <c r="D839" s="0" t="n">
        <v>218</v>
      </c>
      <c r="E839" s="0" t="n">
        <v>2</v>
      </c>
      <c r="F839" s="39" t="s">
        <v>645</v>
      </c>
      <c r="G839" s="0" t="n">
        <v>21.3</v>
      </c>
      <c r="H839" s="0" t="n">
        <v>22</v>
      </c>
      <c r="I839" s="39" t="s">
        <v>138</v>
      </c>
      <c r="J839" s="0" t="n">
        <v>218</v>
      </c>
      <c r="K839" s="0" t="n">
        <v>64</v>
      </c>
      <c r="M839" s="0" t="n">
        <v>1384.71</v>
      </c>
      <c r="N839" s="0" t="n">
        <v>43.38</v>
      </c>
      <c r="O839" s="0" t="n">
        <v>54.09</v>
      </c>
      <c r="P839" s="0" t="n">
        <v>4.87</v>
      </c>
      <c r="Q839" s="0" t="n">
        <v>4.09</v>
      </c>
      <c r="R839" s="0" t="n">
        <v>3574</v>
      </c>
      <c r="S839" s="0" t="n">
        <v>6728</v>
      </c>
      <c r="T839" s="0" t="n">
        <v>38.9</v>
      </c>
      <c r="U839" s="0" t="n">
        <v>1210</v>
      </c>
      <c r="V839" s="0" t="n">
        <v>3</v>
      </c>
      <c r="W839" s="39" t="n">
        <f aca="false">IF(I839="Male",0,1)</f>
        <v>1</v>
      </c>
      <c r="X839" s="39" t="n">
        <f aca="false">IF(OR(I839="DNB",I839="Dry DNB"),1,0)</f>
        <v>0</v>
      </c>
      <c r="Y839" s="39" t="n">
        <f aca="false">MATCH(A839,DATAS,0)</f>
        <v>1</v>
      </c>
      <c r="Z839" s="39" t="n">
        <f aca="false">IF(AND(E839&gt;0,OR(AND(B839&gt;=1,B839&lt;=6),B839=10)),1,0)</f>
        <v>1</v>
      </c>
      <c r="AA839" s="39" t="n">
        <f aca="false">IF(AND(E839&gt;0,B839=10),1,0)</f>
        <v>0</v>
      </c>
      <c r="AB839" s="0" t="str">
        <f aca="false">IF(AND(C838=C839,Y838=Y839-1),Z838,"")</f>
        <v/>
      </c>
      <c r="AC839" s="0" t="str">
        <f aca="false">IF(AND(C838=C839,Y838=Y839-1),AA838,"")</f>
        <v/>
      </c>
      <c r="AD839" s="0" t="str">
        <f aca="false">IF(Y839=1,"",IF(AND(Z839=1,AB839&lt;&gt;1),1,0))</f>
        <v/>
      </c>
      <c r="AE839" s="0" t="str">
        <f aca="false">IF(Y839=1,"",IF(AND(AA839=1,AC839&lt;&gt;1),1,0))</f>
        <v/>
      </c>
      <c r="AF839" s="45" t="str">
        <f aca="false">IF(AND(E839&gt;0,Y839&lt;1,NOT(AND(C840=C839,Y840=Y839+1))),INDEX(DATAS,Y839+1),"")</f>
        <v/>
      </c>
      <c r="AG839" s="45" t="str">
        <f aca="false">IF(AND(AA839=1,Y839&lt;1),IF(AND(C840=C839,Y840=Y839+1),IF(AA840=1,"",INDEX(DATAS,Y839+1)),INDEX(DATAS,Y839+1)),"")</f>
        <v/>
      </c>
    </row>
    <row r="840" customFormat="false" ht="15" hidden="false" customHeight="false" outlineLevel="0" collapsed="false">
      <c r="A840" s="45" t="n">
        <v>46309</v>
      </c>
      <c r="B840" s="0" t="n">
        <v>5</v>
      </c>
      <c r="C840" s="0" t="n">
        <v>4789</v>
      </c>
      <c r="D840" s="0" t="n">
        <v>155</v>
      </c>
      <c r="E840" s="0" t="n">
        <v>2</v>
      </c>
      <c r="F840" s="39" t="s">
        <v>644</v>
      </c>
      <c r="G840" s="0" t="n">
        <v>38.1</v>
      </c>
      <c r="H840" s="0" t="n">
        <v>40</v>
      </c>
      <c r="I840" s="39" t="s">
        <v>138</v>
      </c>
      <c r="J840" s="0" t="n">
        <v>155</v>
      </c>
      <c r="K840" s="0" t="n">
        <v>64</v>
      </c>
      <c r="M840" s="0" t="n">
        <v>-21.97</v>
      </c>
      <c r="N840" s="0" t="n">
        <v>75.48</v>
      </c>
      <c r="O840" s="0" t="n">
        <v>20.56</v>
      </c>
      <c r="P840" s="0" t="n">
        <v>5.9</v>
      </c>
      <c r="Q840" s="0" t="n">
        <v>4.02</v>
      </c>
      <c r="R840" s="0" t="n">
        <v>4076</v>
      </c>
      <c r="S840" s="0" t="n">
        <v>8249</v>
      </c>
      <c r="T840" s="0" t="n">
        <v>43.7</v>
      </c>
      <c r="U840" s="0" t="n">
        <v>1211</v>
      </c>
      <c r="V840" s="0" t="n">
        <v>2</v>
      </c>
      <c r="W840" s="39" t="n">
        <f aca="false">IF(I840="Male",0,1)</f>
        <v>1</v>
      </c>
      <c r="X840" s="39" t="n">
        <f aca="false">IF(OR(I840="DNB",I840="Dry DNB"),1,0)</f>
        <v>0</v>
      </c>
      <c r="Y840" s="39" t="n">
        <f aca="false">MATCH(A840,DATAS,0)</f>
        <v>1</v>
      </c>
      <c r="Z840" s="39" t="n">
        <f aca="false">IF(AND(E840&gt;0,OR(AND(B840&gt;=1,B840&lt;=6),B840=10)),1,0)</f>
        <v>1</v>
      </c>
      <c r="AA840" s="39" t="n">
        <f aca="false">IF(AND(E840&gt;0,B840=10),1,0)</f>
        <v>0</v>
      </c>
      <c r="AB840" s="0" t="str">
        <f aca="false">IF(AND(C839=C840,Y839=Y840-1),Z839,"")</f>
        <v/>
      </c>
      <c r="AC840" s="0" t="str">
        <f aca="false">IF(AND(C839=C840,Y839=Y840-1),AA839,"")</f>
        <v/>
      </c>
      <c r="AD840" s="0" t="str">
        <f aca="false">IF(Y840=1,"",IF(AND(Z840=1,AB840&lt;&gt;1),1,0))</f>
        <v/>
      </c>
      <c r="AE840" s="0" t="str">
        <f aca="false">IF(Y840=1,"",IF(AND(AA840=1,AC840&lt;&gt;1),1,0))</f>
        <v/>
      </c>
      <c r="AF840" s="45" t="str">
        <f aca="false">IF(AND(E840&gt;0,Y840&lt;1,NOT(AND(C841=C840,Y841=Y840+1))),INDEX(DATAS,Y840+1),"")</f>
        <v/>
      </c>
      <c r="AG840" s="45" t="str">
        <f aca="false">IF(AND(AA840=1,Y840&lt;1),IF(AND(C841=C840,Y841=Y840+1),IF(AA841=1,"",INDEX(DATAS,Y840+1)),INDEX(DATAS,Y840+1)),"")</f>
        <v/>
      </c>
    </row>
    <row r="841" customFormat="false" ht="15" hidden="false" customHeight="false" outlineLevel="0" collapsed="false">
      <c r="A841" s="45" t="n">
        <v>46309</v>
      </c>
      <c r="B841" s="0" t="n">
        <v>7</v>
      </c>
      <c r="C841" s="0" t="n">
        <v>4790</v>
      </c>
      <c r="D841" s="0" t="n">
        <v>580</v>
      </c>
      <c r="E841" s="0" t="n">
        <v>1</v>
      </c>
      <c r="F841" s="39" t="s">
        <v>644</v>
      </c>
      <c r="G841" s="0" t="n">
        <v>11</v>
      </c>
      <c r="H841" s="0" t="n">
        <v>25</v>
      </c>
      <c r="I841" s="39" t="s">
        <v>114</v>
      </c>
      <c r="J841" s="0" t="n">
        <v>357</v>
      </c>
      <c r="K841" s="0" t="n">
        <v>64</v>
      </c>
      <c r="L841" s="0" t="n">
        <v>224</v>
      </c>
      <c r="M841" s="0" t="n">
        <v>324.92</v>
      </c>
      <c r="N841" s="0" t="n">
        <v>44.84</v>
      </c>
      <c r="O841" s="0" t="n">
        <v>29.11</v>
      </c>
      <c r="P841" s="0" t="n">
        <v>6.28</v>
      </c>
      <c r="Q841" s="0" t="n">
        <v>4.56</v>
      </c>
      <c r="R841" s="0" t="n">
        <v>4023</v>
      </c>
      <c r="S841" s="0" t="n">
        <v>8298</v>
      </c>
      <c r="T841" s="0" t="n">
        <v>44.15</v>
      </c>
      <c r="U841" s="0" t="n">
        <v>1211</v>
      </c>
      <c r="V841" s="0" t="n">
        <v>8</v>
      </c>
      <c r="W841" s="39" t="n">
        <f aca="false">IF(I841="Male",0,1)</f>
        <v>1</v>
      </c>
      <c r="X841" s="39" t="n">
        <f aca="false">IF(OR(I841="DNB",I841="Dry DNB"),1,0)</f>
        <v>0</v>
      </c>
      <c r="Y841" s="39" t="n">
        <f aca="false">MATCH(A841,DATAS,0)</f>
        <v>1</v>
      </c>
      <c r="Z841" s="39" t="n">
        <f aca="false">IF(AND(E841&gt;0,OR(AND(B841&gt;=1,B841&lt;=6),B841=10)),1,0)</f>
        <v>0</v>
      </c>
      <c r="AA841" s="39" t="n">
        <f aca="false">IF(AND(E841&gt;0,B841=10),1,0)</f>
        <v>0</v>
      </c>
      <c r="AB841" s="0" t="str">
        <f aca="false">IF(AND(C840=C841,Y840=Y841-1),Z840,"")</f>
        <v/>
      </c>
      <c r="AC841" s="0" t="str">
        <f aca="false">IF(AND(C840=C841,Y840=Y841-1),AA840,"")</f>
        <v/>
      </c>
      <c r="AD841" s="0" t="str">
        <f aca="false">IF(Y841=1,"",IF(AND(Z841=1,AB841&lt;&gt;1),1,0))</f>
        <v/>
      </c>
      <c r="AE841" s="0" t="str">
        <f aca="false">IF(Y841=1,"",IF(AND(AA841=1,AC841&lt;&gt;1),1,0))</f>
        <v/>
      </c>
      <c r="AF841" s="45" t="str">
        <f aca="false">IF(AND(E841&gt;0,Y841&lt;1,NOT(AND(C842=C841,Y842=Y841+1))),INDEX(DATAS,Y841+1),"")</f>
        <v/>
      </c>
      <c r="AG841" s="45" t="str">
        <f aca="false">IF(AND(AA841=1,Y841&lt;1),IF(AND(C842=C841,Y842=Y841+1),IF(AA842=1,"",INDEX(DATAS,Y841+1)),INDEX(DATAS,Y841+1)),"")</f>
        <v/>
      </c>
    </row>
    <row r="842" customFormat="false" ht="15" hidden="false" customHeight="false" outlineLevel="0" collapsed="false">
      <c r="A842" s="45" t="n">
        <v>46309</v>
      </c>
      <c r="B842" s="0" t="n">
        <v>5</v>
      </c>
      <c r="C842" s="0" t="n">
        <v>4791</v>
      </c>
      <c r="D842" s="0" t="n">
        <v>247</v>
      </c>
      <c r="E842" s="0" t="n">
        <v>2</v>
      </c>
      <c r="F842" s="39" t="s">
        <v>645</v>
      </c>
      <c r="G842" s="0" t="n">
        <v>29.2</v>
      </c>
      <c r="H842" s="0" t="n">
        <v>24</v>
      </c>
      <c r="I842" s="39" t="s">
        <v>109</v>
      </c>
      <c r="J842" s="0" t="n">
        <v>195</v>
      </c>
      <c r="K842" s="0" t="n">
        <v>65</v>
      </c>
      <c r="L842" s="0" t="n">
        <v>52</v>
      </c>
      <c r="M842" s="0" t="n">
        <v>332.02</v>
      </c>
      <c r="N842" s="0" t="n">
        <v>25.2</v>
      </c>
      <c r="O842" s="0" t="n">
        <v>17.54</v>
      </c>
      <c r="P842" s="0" t="n">
        <v>4.85</v>
      </c>
      <c r="Q842" s="0" t="n">
        <v>3.83</v>
      </c>
      <c r="R842" s="0" t="n">
        <v>3788</v>
      </c>
      <c r="S842" s="0" t="n">
        <v>6584</v>
      </c>
      <c r="T842" s="0" t="n">
        <v>46.5</v>
      </c>
      <c r="U842" s="0" t="n">
        <v>1210</v>
      </c>
      <c r="V842" s="0" t="n">
        <v>2</v>
      </c>
      <c r="W842" s="39" t="n">
        <f aca="false">IF(I842="Male",0,1)</f>
        <v>1</v>
      </c>
      <c r="X842" s="39" t="n">
        <f aca="false">IF(OR(I842="DNB",I842="Dry DNB"),1,0)</f>
        <v>0</v>
      </c>
      <c r="Y842" s="39" t="n">
        <f aca="false">MATCH(A842,DATAS,0)</f>
        <v>1</v>
      </c>
      <c r="Z842" s="39" t="n">
        <f aca="false">IF(AND(E842&gt;0,OR(AND(B842&gt;=1,B842&lt;=6),B842=10)),1,0)</f>
        <v>1</v>
      </c>
      <c r="AA842" s="39" t="n">
        <f aca="false">IF(AND(E842&gt;0,B842=10),1,0)</f>
        <v>0</v>
      </c>
      <c r="AB842" s="0" t="str">
        <f aca="false">IF(AND(C841=C842,Y841=Y842-1),Z841,"")</f>
        <v/>
      </c>
      <c r="AC842" s="0" t="str">
        <f aca="false">IF(AND(C841=C842,Y841=Y842-1),AA841,"")</f>
        <v/>
      </c>
      <c r="AD842" s="0" t="str">
        <f aca="false">IF(Y842=1,"",IF(AND(Z842=1,AB842&lt;&gt;1),1,0))</f>
        <v/>
      </c>
      <c r="AE842" s="0" t="str">
        <f aca="false">IF(Y842=1,"",IF(AND(AA842=1,AC842&lt;&gt;1),1,0))</f>
        <v/>
      </c>
      <c r="AF842" s="45" t="str">
        <f aca="false">IF(AND(E842&gt;0,Y842&lt;1,NOT(AND(C843=C842,Y843=Y842+1))),INDEX(DATAS,Y842+1),"")</f>
        <v/>
      </c>
      <c r="AG842" s="45" t="str">
        <f aca="false">IF(AND(AA842=1,Y842&lt;1),IF(AND(C843=C842,Y843=Y842+1),IF(AA843=1,"",INDEX(DATAS,Y842+1)),INDEX(DATAS,Y842+1)),"")</f>
        <v/>
      </c>
    </row>
    <row r="843" customFormat="false" ht="15" hidden="false" customHeight="false" outlineLevel="0" collapsed="false">
      <c r="A843" s="45" t="n">
        <v>46309</v>
      </c>
      <c r="B843" s="0" t="n">
        <v>2</v>
      </c>
      <c r="C843" s="0" t="n">
        <v>4792</v>
      </c>
      <c r="D843" s="0" t="n">
        <v>92</v>
      </c>
      <c r="E843" s="0" t="n">
        <v>2</v>
      </c>
      <c r="F843" s="39" t="s">
        <v>645</v>
      </c>
      <c r="G843" s="0" t="n">
        <v>71.6</v>
      </c>
      <c r="H843" s="0" t="n">
        <v>68</v>
      </c>
      <c r="I843" s="39" t="s">
        <v>138</v>
      </c>
      <c r="J843" s="0" t="n">
        <v>92</v>
      </c>
      <c r="K843" s="0" t="n">
        <v>64</v>
      </c>
      <c r="M843" s="0" t="n">
        <v>687.22</v>
      </c>
      <c r="N843" s="0" t="n">
        <v>54.33</v>
      </c>
      <c r="O843" s="0" t="n">
        <v>29.63</v>
      </c>
      <c r="P843" s="0" t="n">
        <v>2.76</v>
      </c>
      <c r="Q843" s="0" t="n">
        <v>3.07</v>
      </c>
      <c r="R843" s="0" t="n">
        <v>6019</v>
      </c>
      <c r="S843" s="0" t="n">
        <v>12100</v>
      </c>
      <c r="T843" s="0" t="n">
        <v>60.85</v>
      </c>
      <c r="U843" s="0" t="n">
        <v>1210</v>
      </c>
      <c r="V843" s="0" t="n">
        <v>2</v>
      </c>
      <c r="W843" s="39" t="n">
        <f aca="false">IF(I843="Male",0,1)</f>
        <v>1</v>
      </c>
      <c r="X843" s="39" t="n">
        <f aca="false">IF(OR(I843="DNB",I843="Dry DNB"),1,0)</f>
        <v>0</v>
      </c>
      <c r="Y843" s="39" t="n">
        <f aca="false">MATCH(A843,DATAS,0)</f>
        <v>1</v>
      </c>
      <c r="Z843" s="39" t="n">
        <f aca="false">IF(AND(E843&gt;0,OR(AND(B843&gt;=1,B843&lt;=6),B843=10)),1,0)</f>
        <v>1</v>
      </c>
      <c r="AA843" s="39" t="n">
        <f aca="false">IF(AND(E843&gt;0,B843=10),1,0)</f>
        <v>0</v>
      </c>
      <c r="AB843" s="0" t="str">
        <f aca="false">IF(AND(C842=C843,Y842=Y843-1),Z842,"")</f>
        <v/>
      </c>
      <c r="AC843" s="0" t="str">
        <f aca="false">IF(AND(C842=C843,Y842=Y843-1),AA842,"")</f>
        <v/>
      </c>
      <c r="AD843" s="0" t="str">
        <f aca="false">IF(Y843=1,"",IF(AND(Z843=1,AB843&lt;&gt;1),1,0))</f>
        <v/>
      </c>
      <c r="AE843" s="0" t="str">
        <f aca="false">IF(Y843=1,"",IF(AND(AA843=1,AC843&lt;&gt;1),1,0))</f>
        <v/>
      </c>
      <c r="AF843" s="45" t="str">
        <f aca="false">IF(AND(E843&gt;0,Y843&lt;1,NOT(AND(C844=C843,Y844=Y843+1))),INDEX(DATAS,Y843+1),"")</f>
        <v/>
      </c>
      <c r="AG843" s="45" t="str">
        <f aca="false">IF(AND(AA843=1,Y843&lt;1),IF(AND(C844=C843,Y844=Y843+1),IF(AA844=1,"",INDEX(DATAS,Y843+1)),INDEX(DATAS,Y843+1)),"")</f>
        <v/>
      </c>
    </row>
    <row r="844" customFormat="false" ht="15" hidden="false" customHeight="false" outlineLevel="0" collapsed="false">
      <c r="A844" s="45" t="n">
        <v>46309</v>
      </c>
      <c r="B844" s="0" t="n">
        <v>5</v>
      </c>
      <c r="C844" s="0" t="n">
        <v>4794</v>
      </c>
      <c r="D844" s="0" t="n">
        <v>209</v>
      </c>
      <c r="E844" s="0" t="n">
        <v>2</v>
      </c>
      <c r="F844" s="39" t="s">
        <v>646</v>
      </c>
      <c r="G844" s="0" t="n">
        <v>40.7</v>
      </c>
      <c r="H844" s="0" t="n">
        <v>38</v>
      </c>
      <c r="I844" s="39" t="s">
        <v>109</v>
      </c>
      <c r="J844" s="0" t="n">
        <v>62</v>
      </c>
      <c r="K844" s="0" t="n">
        <v>62</v>
      </c>
      <c r="L844" s="0" t="n">
        <v>147</v>
      </c>
      <c r="M844" s="0" t="n">
        <v>571.55</v>
      </c>
      <c r="N844" s="0" t="n">
        <v>67.44</v>
      </c>
      <c r="O844" s="0" t="n">
        <v>34.18</v>
      </c>
      <c r="P844" s="0" t="n">
        <v>4.83</v>
      </c>
      <c r="Q844" s="0" t="n">
        <v>3.49</v>
      </c>
      <c r="R844" s="0" t="n">
        <v>4218</v>
      </c>
      <c r="S844" s="0" t="n">
        <v>9258</v>
      </c>
      <c r="T844" s="0" t="n">
        <v>45.2</v>
      </c>
      <c r="U844" s="0" t="n">
        <v>1209</v>
      </c>
      <c r="V844" s="0" t="n">
        <v>1</v>
      </c>
      <c r="W844" s="39" t="n">
        <f aca="false">IF(I844="Male",0,1)</f>
        <v>1</v>
      </c>
      <c r="X844" s="39" t="n">
        <f aca="false">IF(OR(I844="DNB",I844="Dry DNB"),1,0)</f>
        <v>0</v>
      </c>
      <c r="Y844" s="39" t="n">
        <f aca="false">MATCH(A844,DATAS,0)</f>
        <v>1</v>
      </c>
      <c r="Z844" s="39" t="n">
        <f aca="false">IF(AND(E844&gt;0,OR(AND(B844&gt;=1,B844&lt;=6),B844=10)),1,0)</f>
        <v>1</v>
      </c>
      <c r="AA844" s="39" t="n">
        <f aca="false">IF(AND(E844&gt;0,B844=10),1,0)</f>
        <v>0</v>
      </c>
      <c r="AB844" s="0" t="str">
        <f aca="false">IF(AND(C843=C844,Y843=Y844-1),Z843,"")</f>
        <v/>
      </c>
      <c r="AC844" s="0" t="str">
        <f aca="false">IF(AND(C843=C844,Y843=Y844-1),AA843,"")</f>
        <v/>
      </c>
      <c r="AD844" s="0" t="str">
        <f aca="false">IF(Y844=1,"",IF(AND(Z844=1,AB844&lt;&gt;1),1,0))</f>
        <v/>
      </c>
      <c r="AE844" s="0" t="str">
        <f aca="false">IF(Y844=1,"",IF(AND(AA844=1,AC844&lt;&gt;1),1,0))</f>
        <v/>
      </c>
      <c r="AF844" s="45" t="str">
        <f aca="false">IF(AND(E844&gt;0,Y844&lt;1,NOT(AND(C845=C844,Y845=Y844+1))),INDEX(DATAS,Y844+1),"")</f>
        <v/>
      </c>
      <c r="AG844" s="45" t="str">
        <f aca="false">IF(AND(AA844=1,Y844&lt;1),IF(AND(C845=C844,Y845=Y844+1),IF(AA845=1,"",INDEX(DATAS,Y844+1)),INDEX(DATAS,Y844+1)),"")</f>
        <v/>
      </c>
    </row>
    <row r="845" customFormat="false" ht="15" hidden="false" customHeight="false" outlineLevel="0" collapsed="false">
      <c r="A845" s="45" t="n">
        <v>46309</v>
      </c>
      <c r="B845" s="0" t="n">
        <v>5</v>
      </c>
      <c r="C845" s="0" t="n">
        <v>4796</v>
      </c>
      <c r="D845" s="0" t="n">
        <v>240</v>
      </c>
      <c r="E845" s="0" t="n">
        <v>2</v>
      </c>
      <c r="F845" s="39" t="s">
        <v>646</v>
      </c>
      <c r="G845" s="0" t="n">
        <v>35.2</v>
      </c>
      <c r="H845" s="0" t="n">
        <v>33</v>
      </c>
      <c r="I845" s="39" t="s">
        <v>138</v>
      </c>
      <c r="J845" s="0" t="n">
        <v>240</v>
      </c>
      <c r="K845" s="0" t="n">
        <v>65</v>
      </c>
      <c r="M845" s="0" t="n">
        <v>1280.66</v>
      </c>
      <c r="N845" s="0" t="n">
        <v>45.48</v>
      </c>
      <c r="O845" s="0" t="n">
        <v>43.49</v>
      </c>
      <c r="P845" s="0" t="n">
        <v>4.53</v>
      </c>
      <c r="Q845" s="0" t="n">
        <v>3.9</v>
      </c>
      <c r="R845" s="0" t="n">
        <v>3972</v>
      </c>
      <c r="S845" s="0" t="n">
        <v>6910</v>
      </c>
      <c r="T845" s="0" t="n">
        <v>46</v>
      </c>
      <c r="U845" s="0" t="n">
        <v>1209</v>
      </c>
      <c r="V845" s="0" t="n">
        <v>4</v>
      </c>
      <c r="W845" s="39" t="n">
        <f aca="false">IF(I845="Male",0,1)</f>
        <v>1</v>
      </c>
      <c r="X845" s="39" t="n">
        <f aca="false">IF(OR(I845="DNB",I845="Dry DNB"),1,0)</f>
        <v>0</v>
      </c>
      <c r="Y845" s="39" t="n">
        <f aca="false">MATCH(A845,DATAS,0)</f>
        <v>1</v>
      </c>
      <c r="Z845" s="39" t="n">
        <f aca="false">IF(AND(E845&gt;0,OR(AND(B845&gt;=1,B845&lt;=6),B845=10)),1,0)</f>
        <v>1</v>
      </c>
      <c r="AA845" s="39" t="n">
        <f aca="false">IF(AND(E845&gt;0,B845=10),1,0)</f>
        <v>0</v>
      </c>
      <c r="AB845" s="0" t="str">
        <f aca="false">IF(AND(C844=C845,Y844=Y845-1),Z844,"")</f>
        <v/>
      </c>
      <c r="AC845" s="0" t="str">
        <f aca="false">IF(AND(C844=C845,Y844=Y845-1),AA844,"")</f>
        <v/>
      </c>
      <c r="AD845" s="0" t="str">
        <f aca="false">IF(Y845=1,"",IF(AND(Z845=1,AB845&lt;&gt;1),1,0))</f>
        <v/>
      </c>
      <c r="AE845" s="0" t="str">
        <f aca="false">IF(Y845=1,"",IF(AND(AA845=1,AC845&lt;&gt;1),1,0))</f>
        <v/>
      </c>
      <c r="AF845" s="45" t="str">
        <f aca="false">IF(AND(E845&gt;0,Y845&lt;1,NOT(AND(C846=C845,Y846=Y845+1))),INDEX(DATAS,Y845+1),"")</f>
        <v/>
      </c>
      <c r="AG845" s="45" t="str">
        <f aca="false">IF(AND(AA845=1,Y845&lt;1),IF(AND(C846=C845,Y846=Y845+1),IF(AA846=1,"",INDEX(DATAS,Y845+1)),INDEX(DATAS,Y845+1)),"")</f>
        <v/>
      </c>
    </row>
    <row r="846" customFormat="false" ht="15" hidden="false" customHeight="false" outlineLevel="0" collapsed="false">
      <c r="A846" s="45" t="n">
        <v>46309</v>
      </c>
      <c r="B846" s="0" t="n">
        <v>5</v>
      </c>
      <c r="C846" s="0" t="n">
        <v>4797</v>
      </c>
      <c r="D846" s="0" t="n">
        <v>531</v>
      </c>
      <c r="E846" s="0" t="n">
        <v>1</v>
      </c>
      <c r="F846" s="39" t="s">
        <v>646</v>
      </c>
      <c r="G846" s="0" t="n">
        <v>14.9</v>
      </c>
      <c r="H846" s="0" t="n">
        <v>21</v>
      </c>
      <c r="I846" s="39" t="s">
        <v>109</v>
      </c>
      <c r="J846" s="0" t="n">
        <v>356</v>
      </c>
      <c r="K846" s="0" t="n">
        <v>62</v>
      </c>
      <c r="L846" s="0" t="n">
        <v>175</v>
      </c>
      <c r="M846" s="0" t="n">
        <v>181.7</v>
      </c>
      <c r="N846" s="0" t="n">
        <v>62.99</v>
      </c>
      <c r="O846" s="0" t="n">
        <v>12.27</v>
      </c>
      <c r="P846" s="0" t="n">
        <v>4.66</v>
      </c>
      <c r="Q846" s="0" t="n">
        <v>3.99</v>
      </c>
      <c r="R846" s="0" t="n">
        <v>4515</v>
      </c>
      <c r="S846" s="0" t="n">
        <v>9391</v>
      </c>
      <c r="T846" s="0" t="n">
        <v>47.25</v>
      </c>
      <c r="U846" s="0" t="n">
        <v>1209</v>
      </c>
      <c r="V846" s="0" t="n">
        <v>11</v>
      </c>
      <c r="W846" s="39" t="n">
        <f aca="false">IF(I846="Male",0,1)</f>
        <v>1</v>
      </c>
      <c r="X846" s="39" t="n">
        <f aca="false">IF(OR(I846="DNB",I846="Dry DNB"),1,0)</f>
        <v>0</v>
      </c>
      <c r="Y846" s="39" t="n">
        <f aca="false">MATCH(A846,DATAS,0)</f>
        <v>1</v>
      </c>
      <c r="Z846" s="39" t="n">
        <f aca="false">IF(AND(E846&gt;0,OR(AND(B846&gt;=1,B846&lt;=6),B846=10)),1,0)</f>
        <v>1</v>
      </c>
      <c r="AA846" s="39" t="n">
        <f aca="false">IF(AND(E846&gt;0,B846=10),1,0)</f>
        <v>0</v>
      </c>
      <c r="AB846" s="0" t="str">
        <f aca="false">IF(AND(C845=C846,Y845=Y846-1),Z845,"")</f>
        <v/>
      </c>
      <c r="AC846" s="0" t="str">
        <f aca="false">IF(AND(C845=C846,Y845=Y846-1),AA845,"")</f>
        <v/>
      </c>
      <c r="AD846" s="0" t="str">
        <f aca="false">IF(Y846=1,"",IF(AND(Z846=1,AB846&lt;&gt;1),1,0))</f>
        <v/>
      </c>
      <c r="AE846" s="0" t="str">
        <f aca="false">IF(Y846=1,"",IF(AND(AA846=1,AC846&lt;&gt;1),1,0))</f>
        <v/>
      </c>
      <c r="AF846" s="45" t="str">
        <f aca="false">IF(AND(E846&gt;0,Y846&lt;1,NOT(AND(C847=C846,Y847=Y846+1))),INDEX(DATAS,Y846+1),"")</f>
        <v/>
      </c>
      <c r="AG846" s="45" t="str">
        <f aca="false">IF(AND(AA846=1,Y846&lt;1),IF(AND(C847=C846,Y847=Y846+1),IF(AA847=1,"",INDEX(DATAS,Y846+1)),INDEX(DATAS,Y846+1)),"")</f>
        <v/>
      </c>
    </row>
    <row r="847" customFormat="false" ht="15" hidden="false" customHeight="false" outlineLevel="0" collapsed="false">
      <c r="A847" s="45" t="n">
        <v>46309</v>
      </c>
      <c r="B847" s="0" t="n">
        <v>3</v>
      </c>
      <c r="C847" s="0" t="n">
        <v>4799</v>
      </c>
      <c r="D847" s="0" t="n">
        <v>203</v>
      </c>
      <c r="E847" s="0" t="n">
        <v>2</v>
      </c>
      <c r="F847" s="39" t="s">
        <v>647</v>
      </c>
      <c r="G847" s="0" t="n">
        <v>58</v>
      </c>
      <c r="H847" s="0" t="n">
        <v>57</v>
      </c>
      <c r="I847" s="39" t="s">
        <v>109</v>
      </c>
      <c r="J847" s="0" t="n">
        <v>98</v>
      </c>
      <c r="K847" s="0" t="n">
        <v>63</v>
      </c>
      <c r="L847" s="0" t="n">
        <v>105</v>
      </c>
      <c r="M847" s="0" t="n">
        <v>1462.65</v>
      </c>
      <c r="N847" s="0" t="n">
        <v>64.27</v>
      </c>
      <c r="O847" s="0" t="n">
        <v>36.79</v>
      </c>
      <c r="P847" s="0" t="n">
        <v>4.32</v>
      </c>
      <c r="Q847" s="0" t="n">
        <v>3.16</v>
      </c>
      <c r="R847" s="0" t="n">
        <v>5198</v>
      </c>
      <c r="S847" s="0" t="n">
        <v>10852</v>
      </c>
      <c r="T847" s="0" t="n">
        <v>57.55</v>
      </c>
      <c r="U847" s="0" t="n">
        <v>1207</v>
      </c>
      <c r="V847" s="0" t="n">
        <v>2</v>
      </c>
      <c r="W847" s="39" t="n">
        <f aca="false">IF(I847="Male",0,1)</f>
        <v>1</v>
      </c>
      <c r="X847" s="39" t="n">
        <f aca="false">IF(OR(I847="DNB",I847="Dry DNB"),1,0)</f>
        <v>0</v>
      </c>
      <c r="Y847" s="39" t="n">
        <f aca="false">MATCH(A847,DATAS,0)</f>
        <v>1</v>
      </c>
      <c r="Z847" s="39" t="n">
        <f aca="false">IF(AND(E847&gt;0,OR(AND(B847&gt;=1,B847&lt;=6),B847=10)),1,0)</f>
        <v>1</v>
      </c>
      <c r="AA847" s="39" t="n">
        <f aca="false">IF(AND(E847&gt;0,B847=10),1,0)</f>
        <v>0</v>
      </c>
      <c r="AB847" s="0" t="str">
        <f aca="false">IF(AND(C846=C847,Y846=Y847-1),Z846,"")</f>
        <v/>
      </c>
      <c r="AC847" s="0" t="str">
        <f aca="false">IF(AND(C846=C847,Y846=Y847-1),AA846,"")</f>
        <v/>
      </c>
      <c r="AD847" s="0" t="str">
        <f aca="false">IF(Y847=1,"",IF(AND(Z847=1,AB847&lt;&gt;1),1,0))</f>
        <v/>
      </c>
      <c r="AE847" s="0" t="str">
        <f aca="false">IF(Y847=1,"",IF(AND(AA847=1,AC847&lt;&gt;1),1,0))</f>
        <v/>
      </c>
      <c r="AF847" s="45" t="str">
        <f aca="false">IF(AND(E847&gt;0,Y847&lt;1,NOT(AND(C848=C847,Y848=Y847+1))),INDEX(DATAS,Y847+1),"")</f>
        <v/>
      </c>
      <c r="AG847" s="45" t="str">
        <f aca="false">IF(AND(AA847=1,Y847&lt;1),IF(AND(C848=C847,Y848=Y847+1),IF(AA848=1,"",INDEX(DATAS,Y847+1)),INDEX(DATAS,Y847+1)),"")</f>
        <v/>
      </c>
    </row>
    <row r="848" customFormat="false" ht="15" hidden="false" customHeight="false" outlineLevel="0" collapsed="false">
      <c r="A848" s="45" t="n">
        <v>46309</v>
      </c>
      <c r="B848" s="0" t="n">
        <v>2</v>
      </c>
      <c r="C848" s="0" t="n">
        <v>4800</v>
      </c>
      <c r="D848" s="0" t="n">
        <v>206</v>
      </c>
      <c r="E848" s="0" t="n">
        <v>2</v>
      </c>
      <c r="F848" s="39" t="s">
        <v>647</v>
      </c>
      <c r="G848" s="0" t="n">
        <v>56.2</v>
      </c>
      <c r="H848" s="0" t="n">
        <v>55</v>
      </c>
      <c r="I848" s="39" t="s">
        <v>109</v>
      </c>
      <c r="J848" s="0" t="n">
        <v>126</v>
      </c>
      <c r="K848" s="0" t="n">
        <v>66</v>
      </c>
      <c r="L848" s="0" t="n">
        <v>80</v>
      </c>
      <c r="M848" s="0" t="n">
        <v>985.84</v>
      </c>
      <c r="N848" s="0" t="n">
        <v>53.93</v>
      </c>
      <c r="O848" s="0" t="n">
        <v>28.48</v>
      </c>
      <c r="P848" s="0" t="n">
        <v>3.11</v>
      </c>
      <c r="Q848" s="0" t="n">
        <v>3.18</v>
      </c>
      <c r="R848" s="0" t="n">
        <v>4047</v>
      </c>
      <c r="S848" s="0" t="n">
        <v>9555</v>
      </c>
      <c r="T848" s="0" t="n">
        <v>43.85</v>
      </c>
      <c r="U848" s="0" t="n">
        <v>1207</v>
      </c>
      <c r="V848" s="0" t="n">
        <v>2</v>
      </c>
      <c r="W848" s="39" t="n">
        <f aca="false">IF(I848="Male",0,1)</f>
        <v>1</v>
      </c>
      <c r="X848" s="39" t="n">
        <f aca="false">IF(OR(I848="DNB",I848="Dry DNB"),1,0)</f>
        <v>0</v>
      </c>
      <c r="Y848" s="39" t="n">
        <f aca="false">MATCH(A848,DATAS,0)</f>
        <v>1</v>
      </c>
      <c r="Z848" s="39" t="n">
        <f aca="false">IF(AND(E848&gt;0,OR(AND(B848&gt;=1,B848&lt;=6),B848=10)),1,0)</f>
        <v>1</v>
      </c>
      <c r="AA848" s="39" t="n">
        <f aca="false">IF(AND(E848&gt;0,B848=10),1,0)</f>
        <v>0</v>
      </c>
      <c r="AB848" s="0" t="str">
        <f aca="false">IF(AND(C847=C848,Y847=Y848-1),Z847,"")</f>
        <v/>
      </c>
      <c r="AC848" s="0" t="str">
        <f aca="false">IF(AND(C847=C848,Y847=Y848-1),AA847,"")</f>
        <v/>
      </c>
      <c r="AD848" s="0" t="str">
        <f aca="false">IF(Y848=1,"",IF(AND(Z848=1,AB848&lt;&gt;1),1,0))</f>
        <v/>
      </c>
      <c r="AE848" s="0" t="str">
        <f aca="false">IF(Y848=1,"",IF(AND(AA848=1,AC848&lt;&gt;1),1,0))</f>
        <v/>
      </c>
      <c r="AF848" s="45" t="str">
        <f aca="false">IF(AND(E848&gt;0,Y848&lt;1,NOT(AND(C849=C848,Y849=Y848+1))),INDEX(DATAS,Y848+1),"")</f>
        <v/>
      </c>
      <c r="AG848" s="45" t="str">
        <f aca="false">IF(AND(AA848=1,Y848&lt;1),IF(AND(C849=C848,Y849=Y848+1),IF(AA849=1,"",INDEX(DATAS,Y848+1)),INDEX(DATAS,Y848+1)),"")</f>
        <v/>
      </c>
    </row>
    <row r="849" customFormat="false" ht="15" hidden="false" customHeight="false" outlineLevel="0" collapsed="false">
      <c r="A849" s="45" t="n">
        <v>46309</v>
      </c>
      <c r="B849" s="0" t="n">
        <v>2</v>
      </c>
      <c r="C849" s="0" t="n">
        <v>4801</v>
      </c>
      <c r="D849" s="0" t="n">
        <v>169</v>
      </c>
      <c r="E849" s="0" t="n">
        <v>2</v>
      </c>
      <c r="F849" s="39" t="s">
        <v>648</v>
      </c>
      <c r="G849" s="0" t="n">
        <v>51.1</v>
      </c>
      <c r="H849" s="0" t="n">
        <v>47</v>
      </c>
      <c r="I849" s="39" t="s">
        <v>146</v>
      </c>
      <c r="J849" s="0" t="n">
        <v>169</v>
      </c>
      <c r="K849" s="0" t="n">
        <v>64</v>
      </c>
      <c r="M849" s="0" t="n">
        <v>-16.12</v>
      </c>
      <c r="N849" s="0" t="n">
        <v>40.43</v>
      </c>
      <c r="O849" s="0" t="n">
        <v>19.48</v>
      </c>
      <c r="P849" s="0" t="n">
        <v>3.48</v>
      </c>
      <c r="Q849" s="0" t="n">
        <v>3.33</v>
      </c>
      <c r="R849" s="0" t="n">
        <v>5095</v>
      </c>
      <c r="S849" s="0" t="n">
        <v>10459</v>
      </c>
      <c r="T849" s="0" t="n">
        <v>57.15</v>
      </c>
      <c r="U849" s="0" t="n">
        <v>1206</v>
      </c>
      <c r="V849" s="0" t="n">
        <v>2</v>
      </c>
      <c r="W849" s="39" t="n">
        <f aca="false">IF(I849="Male",0,1)</f>
        <v>1</v>
      </c>
      <c r="X849" s="39" t="n">
        <f aca="false">IF(OR(I849="DNB",I849="Dry DNB"),1,0)</f>
        <v>0</v>
      </c>
      <c r="Y849" s="39" t="n">
        <f aca="false">MATCH(A849,DATAS,0)</f>
        <v>1</v>
      </c>
      <c r="Z849" s="39" t="n">
        <f aca="false">IF(AND(E849&gt;0,OR(AND(B849&gt;=1,B849&lt;=6),B849=10)),1,0)</f>
        <v>1</v>
      </c>
      <c r="AA849" s="39" t="n">
        <f aca="false">IF(AND(E849&gt;0,B849=10),1,0)</f>
        <v>0</v>
      </c>
      <c r="AB849" s="0" t="str">
        <f aca="false">IF(AND(C848=C849,Y848=Y849-1),Z848,"")</f>
        <v/>
      </c>
      <c r="AC849" s="0" t="str">
        <f aca="false">IF(AND(C848=C849,Y848=Y849-1),AA848,"")</f>
        <v/>
      </c>
      <c r="AD849" s="0" t="str">
        <f aca="false">IF(Y849=1,"",IF(AND(Z849=1,AB849&lt;&gt;1),1,0))</f>
        <v/>
      </c>
      <c r="AE849" s="0" t="str">
        <f aca="false">IF(Y849=1,"",IF(AND(AA849=1,AC849&lt;&gt;1),1,0))</f>
        <v/>
      </c>
      <c r="AF849" s="45" t="str">
        <f aca="false">IF(AND(E849&gt;0,Y849&lt;1,NOT(AND(C850=C849,Y850=Y849+1))),INDEX(DATAS,Y849+1),"")</f>
        <v/>
      </c>
      <c r="AG849" s="45" t="str">
        <f aca="false">IF(AND(AA849=1,Y849&lt;1),IF(AND(C850=C849,Y850=Y849+1),IF(AA850=1,"",INDEX(DATAS,Y849+1)),INDEX(DATAS,Y849+1)),"")</f>
        <v/>
      </c>
    </row>
    <row r="850" customFormat="false" ht="15" hidden="false" customHeight="false" outlineLevel="0" collapsed="false">
      <c r="A850" s="45" t="n">
        <v>46309</v>
      </c>
      <c r="B850" s="0" t="n">
        <v>3</v>
      </c>
      <c r="C850" s="0" t="n">
        <v>4802</v>
      </c>
      <c r="D850" s="0" t="n">
        <v>169</v>
      </c>
      <c r="E850" s="0" t="n">
        <v>2</v>
      </c>
      <c r="F850" s="39" t="s">
        <v>648</v>
      </c>
      <c r="G850" s="0" t="n">
        <v>57.8</v>
      </c>
      <c r="H850" s="0" t="n">
        <v>57</v>
      </c>
      <c r="I850" s="39" t="s">
        <v>109</v>
      </c>
      <c r="J850" s="0" t="n">
        <v>127</v>
      </c>
      <c r="K850" s="0" t="n">
        <v>64</v>
      </c>
      <c r="L850" s="0" t="n">
        <v>42</v>
      </c>
      <c r="M850" s="0" t="n">
        <v>1295.18</v>
      </c>
      <c r="N850" s="0" t="n">
        <v>67.83</v>
      </c>
      <c r="O850" s="0" t="n">
        <v>49.45</v>
      </c>
      <c r="P850" s="0" t="n">
        <v>2.92</v>
      </c>
      <c r="Q850" s="0" t="n">
        <v>3.58</v>
      </c>
      <c r="R850" s="0" t="n">
        <v>5769</v>
      </c>
      <c r="S850" s="0" t="n">
        <v>11734</v>
      </c>
      <c r="T850" s="0" t="n">
        <v>64.2</v>
      </c>
      <c r="U850" s="0" t="n">
        <v>1206</v>
      </c>
      <c r="V850" s="0" t="n">
        <v>2</v>
      </c>
      <c r="W850" s="39" t="n">
        <f aca="false">IF(I850="Male",0,1)</f>
        <v>1</v>
      </c>
      <c r="X850" s="39" t="n">
        <f aca="false">IF(OR(I850="DNB",I850="Dry DNB"),1,0)</f>
        <v>0</v>
      </c>
      <c r="Y850" s="39" t="n">
        <f aca="false">MATCH(A850,DATAS,0)</f>
        <v>1</v>
      </c>
      <c r="Z850" s="39" t="n">
        <f aca="false">IF(AND(E850&gt;0,OR(AND(B850&gt;=1,B850&lt;=6),B850=10)),1,0)</f>
        <v>1</v>
      </c>
      <c r="AA850" s="39" t="n">
        <f aca="false">IF(AND(E850&gt;0,B850=10),1,0)</f>
        <v>0</v>
      </c>
      <c r="AB850" s="0" t="str">
        <f aca="false">IF(AND(C849=C850,Y849=Y850-1),Z849,"")</f>
        <v/>
      </c>
      <c r="AC850" s="0" t="str">
        <f aca="false">IF(AND(C849=C850,Y849=Y850-1),AA849,"")</f>
        <v/>
      </c>
      <c r="AD850" s="0" t="str">
        <f aca="false">IF(Y850=1,"",IF(AND(Z850=1,AB850&lt;&gt;1),1,0))</f>
        <v/>
      </c>
      <c r="AE850" s="0" t="str">
        <f aca="false">IF(Y850=1,"",IF(AND(AA850=1,AC850&lt;&gt;1),1,0))</f>
        <v/>
      </c>
      <c r="AF850" s="45" t="str">
        <f aca="false">IF(AND(E850&gt;0,Y850&lt;1,NOT(AND(C851=C850,Y851=Y850+1))),INDEX(DATAS,Y850+1),"")</f>
        <v/>
      </c>
      <c r="AG850" s="45" t="str">
        <f aca="false">IF(AND(AA850=1,Y850&lt;1),IF(AND(C851=C850,Y851=Y850+1),IF(AA851=1,"",INDEX(DATAS,Y850+1)),INDEX(DATAS,Y850+1)),"")</f>
        <v/>
      </c>
    </row>
    <row r="851" customFormat="false" ht="15" hidden="false" customHeight="false" outlineLevel="0" collapsed="false">
      <c r="A851" s="45" t="n">
        <v>46309</v>
      </c>
      <c r="B851" s="0" t="n">
        <v>2</v>
      </c>
      <c r="C851" s="0" t="n">
        <v>4804</v>
      </c>
      <c r="D851" s="0" t="n">
        <v>282</v>
      </c>
      <c r="E851" s="0" t="n">
        <v>2</v>
      </c>
      <c r="F851" s="39" t="s">
        <v>648</v>
      </c>
      <c r="G851" s="0" t="n">
        <v>51.2</v>
      </c>
      <c r="H851" s="0" t="n">
        <v>50</v>
      </c>
      <c r="I851" s="39" t="s">
        <v>109</v>
      </c>
      <c r="J851" s="0" t="n">
        <v>219</v>
      </c>
      <c r="K851" s="0" t="n">
        <v>72</v>
      </c>
      <c r="L851" s="0" t="n">
        <v>63</v>
      </c>
      <c r="M851" s="0" t="n">
        <v>7.35</v>
      </c>
      <c r="N851" s="0" t="n">
        <v>28.95</v>
      </c>
      <c r="O851" s="0" t="n">
        <v>12.88</v>
      </c>
      <c r="P851" s="0" t="n">
        <v>2.53</v>
      </c>
      <c r="Q851" s="0" t="n">
        <v>3.35</v>
      </c>
      <c r="R851" s="0" t="n">
        <v>4972</v>
      </c>
      <c r="S851" s="0" t="n">
        <v>10646</v>
      </c>
      <c r="T851" s="0" t="n">
        <v>50.3</v>
      </c>
      <c r="U851" s="0" t="n">
        <v>1206</v>
      </c>
      <c r="V851" s="0" t="n">
        <v>5</v>
      </c>
      <c r="W851" s="39" t="n">
        <f aca="false">IF(I851="Male",0,1)</f>
        <v>1</v>
      </c>
      <c r="X851" s="39" t="n">
        <f aca="false">IF(OR(I851="DNB",I851="Dry DNB"),1,0)</f>
        <v>0</v>
      </c>
      <c r="Y851" s="39" t="n">
        <f aca="false">MATCH(A851,DATAS,0)</f>
        <v>1</v>
      </c>
      <c r="Z851" s="39" t="n">
        <f aca="false">IF(AND(E851&gt;0,OR(AND(B851&gt;=1,B851&lt;=6),B851=10)),1,0)</f>
        <v>1</v>
      </c>
      <c r="AA851" s="39" t="n">
        <f aca="false">IF(AND(E851&gt;0,B851=10),1,0)</f>
        <v>0</v>
      </c>
      <c r="AB851" s="0" t="str">
        <f aca="false">IF(AND(C850=C851,Y850=Y851-1),Z850,"")</f>
        <v/>
      </c>
      <c r="AC851" s="0" t="str">
        <f aca="false">IF(AND(C850=C851,Y850=Y851-1),AA850,"")</f>
        <v/>
      </c>
      <c r="AD851" s="0" t="str">
        <f aca="false">IF(Y851=1,"",IF(AND(Z851=1,AB851&lt;&gt;1),1,0))</f>
        <v/>
      </c>
      <c r="AE851" s="0" t="str">
        <f aca="false">IF(Y851=1,"",IF(AND(AA851=1,AC851&lt;&gt;1),1,0))</f>
        <v/>
      </c>
      <c r="AF851" s="45" t="str">
        <f aca="false">IF(AND(E851&gt;0,Y851&lt;1,NOT(AND(C852=C851,Y852=Y851+1))),INDEX(DATAS,Y851+1),"")</f>
        <v/>
      </c>
      <c r="AG851" s="45" t="str">
        <f aca="false">IF(AND(AA851=1,Y851&lt;1),IF(AND(C852=C851,Y852=Y851+1),IF(AA852=1,"",INDEX(DATAS,Y851+1)),INDEX(DATAS,Y851+1)),"")</f>
        <v/>
      </c>
    </row>
    <row r="852" customFormat="false" ht="15" hidden="false" customHeight="false" outlineLevel="0" collapsed="false">
      <c r="A852" s="45" t="n">
        <v>46309</v>
      </c>
      <c r="B852" s="0" t="n">
        <v>10</v>
      </c>
      <c r="C852" s="0" t="n">
        <v>4807</v>
      </c>
      <c r="D852" s="0" t="n">
        <v>254</v>
      </c>
      <c r="E852" s="0" t="n">
        <v>2</v>
      </c>
      <c r="F852" s="39" t="s">
        <v>649</v>
      </c>
      <c r="H852" s="0" t="n">
        <v>24</v>
      </c>
      <c r="I852" s="39" t="s">
        <v>146</v>
      </c>
      <c r="J852" s="0" t="n">
        <v>254</v>
      </c>
      <c r="K852" s="0" t="n">
        <v>73</v>
      </c>
      <c r="M852" s="0" t="n">
        <v>501.29</v>
      </c>
      <c r="N852" s="0" t="n">
        <v>15.13</v>
      </c>
      <c r="O852" s="0" t="n">
        <v>12.17</v>
      </c>
      <c r="P852" s="0" t="n">
        <v>3.24</v>
      </c>
      <c r="Q852" s="0" t="n">
        <v>3.23</v>
      </c>
      <c r="R852" s="0" t="n">
        <v>5229</v>
      </c>
      <c r="S852" s="0" t="n">
        <v>10703</v>
      </c>
      <c r="T852" s="0" t="n">
        <v>56.2</v>
      </c>
      <c r="U852" s="0" t="n">
        <v>1205</v>
      </c>
      <c r="V852" s="0" t="n">
        <v>2</v>
      </c>
      <c r="W852" s="39" t="n">
        <f aca="false">IF(I852="Male",0,1)</f>
        <v>1</v>
      </c>
      <c r="X852" s="39" t="n">
        <f aca="false">IF(OR(I852="DNB",I852="Dry DNB"),1,0)</f>
        <v>0</v>
      </c>
      <c r="Y852" s="39" t="n">
        <f aca="false">MATCH(A852,DATAS,0)</f>
        <v>1</v>
      </c>
      <c r="Z852" s="39" t="n">
        <f aca="false">IF(AND(E852&gt;0,OR(AND(B852&gt;=1,B852&lt;=6),B852=10)),1,0)</f>
        <v>1</v>
      </c>
      <c r="AA852" s="39" t="n">
        <f aca="false">IF(AND(E852&gt;0,B852=10),1,0)</f>
        <v>1</v>
      </c>
      <c r="AB852" s="0" t="str">
        <f aca="false">IF(AND(C851=C852,Y851=Y852-1),Z851,"")</f>
        <v/>
      </c>
      <c r="AC852" s="0" t="str">
        <f aca="false">IF(AND(C851=C852,Y851=Y852-1),AA851,"")</f>
        <v/>
      </c>
      <c r="AD852" s="0" t="str">
        <f aca="false">IF(Y852=1,"",IF(AND(Z852=1,AB852&lt;&gt;1),1,0))</f>
        <v/>
      </c>
      <c r="AE852" s="0" t="str">
        <f aca="false">IF(Y852=1,"",IF(AND(AA852=1,AC852&lt;&gt;1),1,0))</f>
        <v/>
      </c>
      <c r="AF852" s="45" t="str">
        <f aca="false">IF(AND(E852&gt;0,Y852&lt;1,NOT(AND(C853=C852,Y853=Y852+1))),INDEX(DATAS,Y852+1),"")</f>
        <v/>
      </c>
      <c r="AG852" s="45" t="str">
        <f aca="false">IF(AND(AA852=1,Y852&lt;1),IF(AND(C853=C852,Y853=Y852+1),IF(AA853=1,"",INDEX(DATAS,Y852+1)),INDEX(DATAS,Y852+1)),"")</f>
        <v/>
      </c>
    </row>
    <row r="853" customFormat="false" ht="15" hidden="false" customHeight="false" outlineLevel="0" collapsed="false">
      <c r="A853" s="45" t="n">
        <v>46309</v>
      </c>
      <c r="B853" s="0" t="n">
        <v>5</v>
      </c>
      <c r="C853" s="0" t="n">
        <v>4808</v>
      </c>
      <c r="D853" s="0" t="n">
        <v>163</v>
      </c>
      <c r="E853" s="0" t="n">
        <v>2</v>
      </c>
      <c r="F853" s="39" t="s">
        <v>650</v>
      </c>
      <c r="G853" s="0" t="n">
        <v>50.6</v>
      </c>
      <c r="H853" s="0" t="n">
        <v>49</v>
      </c>
      <c r="I853" s="39" t="s">
        <v>146</v>
      </c>
      <c r="J853" s="0" t="n">
        <v>163</v>
      </c>
      <c r="K853" s="0" t="n">
        <v>65</v>
      </c>
      <c r="M853" s="0" t="n">
        <v>1408.57</v>
      </c>
      <c r="N853" s="0" t="n">
        <v>69.27</v>
      </c>
      <c r="O853" s="0" t="n">
        <v>55.25</v>
      </c>
      <c r="P853" s="0" t="n">
        <v>2.9</v>
      </c>
      <c r="Q853" s="0" t="n">
        <v>3.56</v>
      </c>
      <c r="R853" s="0" t="n">
        <v>6012</v>
      </c>
      <c r="S853" s="0" t="n">
        <v>11654</v>
      </c>
      <c r="T853" s="0" t="n">
        <v>71.1</v>
      </c>
      <c r="U853" s="0" t="n">
        <v>1204</v>
      </c>
      <c r="V853" s="0" t="n">
        <v>2</v>
      </c>
      <c r="W853" s="39" t="n">
        <f aca="false">IF(I853="Male",0,1)</f>
        <v>1</v>
      </c>
      <c r="X853" s="39" t="n">
        <f aca="false">IF(OR(I853="DNB",I853="Dry DNB"),1,0)</f>
        <v>0</v>
      </c>
      <c r="Y853" s="39" t="n">
        <f aca="false">MATCH(A853,DATAS,0)</f>
        <v>1</v>
      </c>
      <c r="Z853" s="39" t="n">
        <f aca="false">IF(AND(E853&gt;0,OR(AND(B853&gt;=1,B853&lt;=6),B853=10)),1,0)</f>
        <v>1</v>
      </c>
      <c r="AA853" s="39" t="n">
        <f aca="false">IF(AND(E853&gt;0,B853=10),1,0)</f>
        <v>0</v>
      </c>
      <c r="AB853" s="0" t="str">
        <f aca="false">IF(AND(C852=C853,Y852=Y853-1),Z852,"")</f>
        <v/>
      </c>
      <c r="AC853" s="0" t="str">
        <f aca="false">IF(AND(C852=C853,Y852=Y853-1),AA852,"")</f>
        <v/>
      </c>
      <c r="AD853" s="0" t="str">
        <f aca="false">IF(Y853=1,"",IF(AND(Z853=1,AB853&lt;&gt;1),1,0))</f>
        <v/>
      </c>
      <c r="AE853" s="0" t="str">
        <f aca="false">IF(Y853=1,"",IF(AND(AA853=1,AC853&lt;&gt;1),1,0))</f>
        <v/>
      </c>
      <c r="AF853" s="45" t="str">
        <f aca="false">IF(AND(E853&gt;0,Y853&lt;1,NOT(AND(C854=C853,Y854=Y853+1))),INDEX(DATAS,Y853+1),"")</f>
        <v/>
      </c>
      <c r="AG853" s="45" t="str">
        <f aca="false">IF(AND(AA853=1,Y853&lt;1),IF(AND(C854=C853,Y854=Y853+1),IF(AA854=1,"",INDEX(DATAS,Y853+1)),INDEX(DATAS,Y853+1)),"")</f>
        <v/>
      </c>
    </row>
    <row r="854" customFormat="false" ht="15" hidden="false" customHeight="false" outlineLevel="0" collapsed="false">
      <c r="A854" s="45" t="n">
        <v>46309</v>
      </c>
      <c r="B854" s="0" t="n">
        <v>5</v>
      </c>
      <c r="C854" s="0" t="n">
        <v>4809</v>
      </c>
      <c r="D854" s="0" t="n">
        <v>129</v>
      </c>
      <c r="E854" s="0" t="n">
        <v>2</v>
      </c>
      <c r="F854" s="39" t="s">
        <v>650</v>
      </c>
      <c r="G854" s="0" t="n">
        <v>37.6</v>
      </c>
      <c r="H854" s="0" t="n">
        <v>35</v>
      </c>
      <c r="I854" s="39" t="s">
        <v>109</v>
      </c>
      <c r="J854" s="0" t="n">
        <v>91</v>
      </c>
      <c r="K854" s="0" t="n">
        <v>66</v>
      </c>
      <c r="L854" s="0" t="n">
        <v>38</v>
      </c>
      <c r="M854" s="0" t="n">
        <v>265.23</v>
      </c>
      <c r="N854" s="0" t="n">
        <v>40.77</v>
      </c>
      <c r="O854" s="0" t="n">
        <v>32.65</v>
      </c>
      <c r="P854" s="0" t="n">
        <v>3.67</v>
      </c>
      <c r="Q854" s="0" t="n">
        <v>3.72</v>
      </c>
      <c r="R854" s="0" t="n">
        <v>4225</v>
      </c>
      <c r="S854" s="0" t="n">
        <v>8303</v>
      </c>
      <c r="T854" s="0" t="n">
        <v>48.5</v>
      </c>
      <c r="U854" s="0" t="n">
        <v>1204</v>
      </c>
      <c r="V854" s="0" t="n">
        <v>2</v>
      </c>
      <c r="W854" s="39" t="n">
        <f aca="false">IF(I854="Male",0,1)</f>
        <v>1</v>
      </c>
      <c r="X854" s="39" t="n">
        <f aca="false">IF(OR(I854="DNB",I854="Dry DNB"),1,0)</f>
        <v>0</v>
      </c>
      <c r="Y854" s="39" t="n">
        <f aca="false">MATCH(A854,DATAS,0)</f>
        <v>1</v>
      </c>
      <c r="Z854" s="39" t="n">
        <f aca="false">IF(AND(E854&gt;0,OR(AND(B854&gt;=1,B854&lt;=6),B854=10)),1,0)</f>
        <v>1</v>
      </c>
      <c r="AA854" s="39" t="n">
        <f aca="false">IF(AND(E854&gt;0,B854=10),1,0)</f>
        <v>0</v>
      </c>
      <c r="AB854" s="0" t="str">
        <f aca="false">IF(AND(C853=C854,Y853=Y854-1),Z853,"")</f>
        <v/>
      </c>
      <c r="AC854" s="0" t="str">
        <f aca="false">IF(AND(C853=C854,Y853=Y854-1),AA853,"")</f>
        <v/>
      </c>
      <c r="AD854" s="0" t="str">
        <f aca="false">IF(Y854=1,"",IF(AND(Z854=1,AB854&lt;&gt;1),1,0))</f>
        <v/>
      </c>
      <c r="AE854" s="0" t="str">
        <f aca="false">IF(Y854=1,"",IF(AND(AA854=1,AC854&lt;&gt;1),1,0))</f>
        <v/>
      </c>
      <c r="AF854" s="45" t="str">
        <f aca="false">IF(AND(E854&gt;0,Y854&lt;1,NOT(AND(C855=C854,Y855=Y854+1))),INDEX(DATAS,Y854+1),"")</f>
        <v/>
      </c>
      <c r="AG854" s="45" t="str">
        <f aca="false">IF(AND(AA854=1,Y854&lt;1),IF(AND(C855=C854,Y855=Y854+1),IF(AA855=1,"",INDEX(DATAS,Y854+1)),INDEX(DATAS,Y854+1)),"")</f>
        <v/>
      </c>
    </row>
    <row r="855" customFormat="false" ht="15" hidden="false" customHeight="false" outlineLevel="0" collapsed="false">
      <c r="A855" s="45" t="n">
        <v>46309</v>
      </c>
      <c r="B855" s="0" t="n">
        <v>10</v>
      </c>
      <c r="C855" s="0" t="n">
        <v>4811</v>
      </c>
      <c r="D855" s="0" t="n">
        <v>185</v>
      </c>
      <c r="E855" s="0" t="n">
        <v>2</v>
      </c>
      <c r="F855" s="39" t="s">
        <v>651</v>
      </c>
      <c r="H855" s="0" t="n">
        <v>18</v>
      </c>
      <c r="I855" s="39" t="s">
        <v>109</v>
      </c>
      <c r="J855" s="0" t="n">
        <v>122</v>
      </c>
      <c r="K855" s="0" t="n">
        <v>66</v>
      </c>
      <c r="L855" s="0" t="n">
        <v>63</v>
      </c>
      <c r="M855" s="0" t="n">
        <v>1082.86</v>
      </c>
      <c r="N855" s="0" t="n">
        <v>31.27</v>
      </c>
      <c r="O855" s="0" t="n">
        <v>42.38</v>
      </c>
      <c r="P855" s="0" t="n">
        <v>4.17</v>
      </c>
      <c r="Q855" s="0" t="n">
        <v>3.71</v>
      </c>
      <c r="R855" s="0" t="n">
        <v>4240</v>
      </c>
      <c r="S855" s="0" t="n">
        <v>7659</v>
      </c>
      <c r="T855" s="0" t="n">
        <v>47.45</v>
      </c>
      <c r="U855" s="0" t="n">
        <v>1202</v>
      </c>
      <c r="V855" s="0" t="n">
        <v>2</v>
      </c>
      <c r="W855" s="39" t="n">
        <f aca="false">IF(I855="Male",0,1)</f>
        <v>1</v>
      </c>
      <c r="X855" s="39" t="n">
        <f aca="false">IF(OR(I855="DNB",I855="Dry DNB"),1,0)</f>
        <v>0</v>
      </c>
      <c r="Y855" s="39" t="n">
        <f aca="false">MATCH(A855,DATAS,0)</f>
        <v>1</v>
      </c>
      <c r="Z855" s="39" t="n">
        <f aca="false">IF(AND(E855&gt;0,OR(AND(B855&gt;=1,B855&lt;=6),B855=10)),1,0)</f>
        <v>1</v>
      </c>
      <c r="AA855" s="39" t="n">
        <f aca="false">IF(AND(E855&gt;0,B855=10),1,0)</f>
        <v>1</v>
      </c>
      <c r="AB855" s="0" t="str">
        <f aca="false">IF(AND(C854=C855,Y854=Y855-1),Z854,"")</f>
        <v/>
      </c>
      <c r="AC855" s="0" t="str">
        <f aca="false">IF(AND(C854=C855,Y854=Y855-1),AA854,"")</f>
        <v/>
      </c>
      <c r="AD855" s="0" t="str">
        <f aca="false">IF(Y855=1,"",IF(AND(Z855=1,AB855&lt;&gt;1),1,0))</f>
        <v/>
      </c>
      <c r="AE855" s="0" t="str">
        <f aca="false">IF(Y855=1,"",IF(AND(AA855=1,AC855&lt;&gt;1),1,0))</f>
        <v/>
      </c>
      <c r="AF855" s="45" t="str">
        <f aca="false">IF(AND(E855&gt;0,Y855&lt;1,NOT(AND(C856=C855,Y856=Y855+1))),INDEX(DATAS,Y855+1),"")</f>
        <v/>
      </c>
      <c r="AG855" s="45" t="str">
        <f aca="false">IF(AND(AA855=1,Y855&lt;1),IF(AND(C856=C855,Y856=Y855+1),IF(AA856=1,"",INDEX(DATAS,Y855+1)),INDEX(DATAS,Y855+1)),"")</f>
        <v/>
      </c>
    </row>
    <row r="856" customFormat="false" ht="15" hidden="false" customHeight="false" outlineLevel="0" collapsed="false">
      <c r="A856" s="45" t="n">
        <v>46309</v>
      </c>
      <c r="B856" s="0" t="n">
        <v>3</v>
      </c>
      <c r="C856" s="0" t="n">
        <v>4812</v>
      </c>
      <c r="D856" s="0" t="n">
        <v>62</v>
      </c>
      <c r="E856" s="0" t="n">
        <v>2</v>
      </c>
      <c r="F856" s="39" t="s">
        <v>651</v>
      </c>
      <c r="G856" s="0" t="n">
        <v>44.9</v>
      </c>
      <c r="H856" s="0" t="n">
        <v>45</v>
      </c>
      <c r="I856" s="39" t="s">
        <v>118</v>
      </c>
      <c r="J856" s="0" t="n">
        <v>62</v>
      </c>
      <c r="M856" s="0" t="n">
        <v>1088.05</v>
      </c>
      <c r="N856" s="0" t="n">
        <v>68.32</v>
      </c>
      <c r="O856" s="0" t="n">
        <v>37.3</v>
      </c>
      <c r="P856" s="0" t="n">
        <v>4.43</v>
      </c>
      <c r="Q856" s="0" t="n">
        <v>3.31</v>
      </c>
      <c r="R856" s="0" t="n">
        <v>3978</v>
      </c>
      <c r="S856" s="0" t="n">
        <v>7996</v>
      </c>
      <c r="U856" s="0" t="n">
        <v>1202</v>
      </c>
      <c r="V856" s="0" t="n">
        <v>0</v>
      </c>
      <c r="W856" s="39" t="n">
        <f aca="false">IF(I856="Male",0,1)</f>
        <v>1</v>
      </c>
      <c r="X856" s="39" t="n">
        <f aca="false">IF(OR(I856="DNB",I856="Dry DNB"),1,0)</f>
        <v>0</v>
      </c>
      <c r="Y856" s="39" t="n">
        <f aca="false">MATCH(A856,DATAS,0)</f>
        <v>1</v>
      </c>
      <c r="Z856" s="39" t="n">
        <f aca="false">IF(AND(E856&gt;0,OR(AND(B856&gt;=1,B856&lt;=6),B856=10)),1,0)</f>
        <v>1</v>
      </c>
      <c r="AA856" s="39" t="n">
        <f aca="false">IF(AND(E856&gt;0,B856=10),1,0)</f>
        <v>0</v>
      </c>
      <c r="AB856" s="0" t="str">
        <f aca="false">IF(AND(C855=C856,Y855=Y856-1),Z855,"")</f>
        <v/>
      </c>
      <c r="AC856" s="0" t="str">
        <f aca="false">IF(AND(C855=C856,Y855=Y856-1),AA855,"")</f>
        <v/>
      </c>
      <c r="AD856" s="0" t="str">
        <f aca="false">IF(Y856=1,"",IF(AND(Z856=1,AB856&lt;&gt;1),1,0))</f>
        <v/>
      </c>
      <c r="AE856" s="0" t="str">
        <f aca="false">IF(Y856=1,"",IF(AND(AA856=1,AC856&lt;&gt;1),1,0))</f>
        <v/>
      </c>
      <c r="AF856" s="45" t="str">
        <f aca="false">IF(AND(E856&gt;0,Y856&lt;1,NOT(AND(C857=C856,Y857=Y856+1))),INDEX(DATAS,Y856+1),"")</f>
        <v/>
      </c>
      <c r="AG856" s="45" t="str">
        <f aca="false">IF(AND(AA856=1,Y856&lt;1),IF(AND(C857=C856,Y857=Y856+1),IF(AA857=1,"",INDEX(DATAS,Y856+1)),INDEX(DATAS,Y856+1)),"")</f>
        <v/>
      </c>
    </row>
    <row r="857" customFormat="false" ht="15" hidden="false" customHeight="false" outlineLevel="0" collapsed="false">
      <c r="A857" s="45" t="n">
        <v>46309</v>
      </c>
      <c r="B857" s="0" t="n">
        <v>7</v>
      </c>
      <c r="C857" s="0" t="n">
        <v>4813</v>
      </c>
      <c r="D857" s="0" t="n">
        <v>540</v>
      </c>
      <c r="E857" s="0" t="n">
        <v>1</v>
      </c>
      <c r="F857" s="39" t="s">
        <v>652</v>
      </c>
      <c r="I857" s="39" t="s">
        <v>109</v>
      </c>
      <c r="J857" s="0" t="n">
        <v>391</v>
      </c>
      <c r="K857" s="0" t="n">
        <v>64</v>
      </c>
      <c r="L857" s="0" t="n">
        <v>149</v>
      </c>
      <c r="M857" s="0" t="n">
        <v>-158.36</v>
      </c>
      <c r="N857" s="0" t="n">
        <v>61.46</v>
      </c>
      <c r="O857" s="0" t="n">
        <v>32.02</v>
      </c>
      <c r="P857" s="0" t="n">
        <v>6.49</v>
      </c>
      <c r="Q857" s="0" t="n">
        <v>5.63</v>
      </c>
      <c r="R857" s="0" t="n">
        <v>3434</v>
      </c>
      <c r="S857" s="0" t="n">
        <v>7479</v>
      </c>
      <c r="T857" s="0" t="n">
        <v>37.25</v>
      </c>
      <c r="U857" s="0" t="n">
        <v>1199</v>
      </c>
      <c r="V857" s="0" t="n">
        <v>11</v>
      </c>
      <c r="W857" s="39" t="n">
        <f aca="false">IF(I857="Male",0,1)</f>
        <v>1</v>
      </c>
      <c r="X857" s="39" t="n">
        <f aca="false">IF(OR(I857="DNB",I857="Dry DNB"),1,0)</f>
        <v>0</v>
      </c>
      <c r="Y857" s="39" t="n">
        <f aca="false">MATCH(A857,DATAS,0)</f>
        <v>1</v>
      </c>
      <c r="Z857" s="39" t="n">
        <f aca="false">IF(AND(E857&gt;0,OR(AND(B857&gt;=1,B857&lt;=6),B857=10)),1,0)</f>
        <v>0</v>
      </c>
      <c r="AA857" s="39" t="n">
        <f aca="false">IF(AND(E857&gt;0,B857=10),1,0)</f>
        <v>0</v>
      </c>
      <c r="AB857" s="0" t="str">
        <f aca="false">IF(AND(C856=C857,Y856=Y857-1),Z856,"")</f>
        <v/>
      </c>
      <c r="AC857" s="0" t="str">
        <f aca="false">IF(AND(C856=C857,Y856=Y857-1),AA856,"")</f>
        <v/>
      </c>
      <c r="AD857" s="0" t="str">
        <f aca="false">IF(Y857=1,"",IF(AND(Z857=1,AB857&lt;&gt;1),1,0))</f>
        <v/>
      </c>
      <c r="AE857" s="0" t="str">
        <f aca="false">IF(Y857=1,"",IF(AND(AA857=1,AC857&lt;&gt;1),1,0))</f>
        <v/>
      </c>
      <c r="AF857" s="45" t="str">
        <f aca="false">IF(AND(E857&gt;0,Y857&lt;1,NOT(AND(C858=C857,Y858=Y857+1))),INDEX(DATAS,Y857+1),"")</f>
        <v/>
      </c>
      <c r="AG857" s="45" t="str">
        <f aca="false">IF(AND(AA857=1,Y857&lt;1),IF(AND(C858=C857,Y858=Y857+1),IF(AA858=1,"",INDEX(DATAS,Y857+1)),INDEX(DATAS,Y857+1)),"")</f>
        <v/>
      </c>
    </row>
    <row r="858" customFormat="false" ht="15" hidden="false" customHeight="false" outlineLevel="0" collapsed="false">
      <c r="A858" s="45" t="n">
        <v>46309</v>
      </c>
      <c r="B858" s="0" t="n">
        <v>3</v>
      </c>
      <c r="C858" s="0" t="n">
        <v>4815</v>
      </c>
      <c r="D858" s="0" t="n">
        <v>48</v>
      </c>
      <c r="E858" s="0" t="n">
        <v>2</v>
      </c>
      <c r="F858" s="39" t="s">
        <v>653</v>
      </c>
      <c r="G858" s="0" t="n">
        <v>63.5</v>
      </c>
      <c r="H858" s="0" t="n">
        <v>64</v>
      </c>
      <c r="I858" s="39" t="s">
        <v>118</v>
      </c>
      <c r="J858" s="0" t="n">
        <v>48</v>
      </c>
      <c r="M858" s="0" t="n">
        <v>-53.66</v>
      </c>
      <c r="N858" s="0" t="n">
        <v>71.5</v>
      </c>
      <c r="O858" s="0" t="n">
        <v>17.44</v>
      </c>
      <c r="P858" s="0" t="n">
        <v>5.18</v>
      </c>
      <c r="Q858" s="0" t="n">
        <v>2.89</v>
      </c>
      <c r="R858" s="0" t="n">
        <v>5309</v>
      </c>
      <c r="S858" s="0" t="n">
        <v>10671</v>
      </c>
      <c r="U858" s="0" t="n">
        <v>1201</v>
      </c>
      <c r="V858" s="0" t="n">
        <v>0</v>
      </c>
      <c r="W858" s="39" t="n">
        <f aca="false">IF(I858="Male",0,1)</f>
        <v>1</v>
      </c>
      <c r="X858" s="39" t="n">
        <f aca="false">IF(OR(I858="DNB",I858="Dry DNB"),1,0)</f>
        <v>0</v>
      </c>
      <c r="Y858" s="39" t="n">
        <f aca="false">MATCH(A858,DATAS,0)</f>
        <v>1</v>
      </c>
      <c r="Z858" s="39" t="n">
        <f aca="false">IF(AND(E858&gt;0,OR(AND(B858&gt;=1,B858&lt;=6),B858=10)),1,0)</f>
        <v>1</v>
      </c>
      <c r="AA858" s="39" t="n">
        <f aca="false">IF(AND(E858&gt;0,B858=10),1,0)</f>
        <v>0</v>
      </c>
      <c r="AB858" s="0" t="str">
        <f aca="false">IF(AND(C857=C858,Y857=Y858-1),Z857,"")</f>
        <v/>
      </c>
      <c r="AC858" s="0" t="str">
        <f aca="false">IF(AND(C857=C858,Y857=Y858-1),AA857,"")</f>
        <v/>
      </c>
      <c r="AD858" s="0" t="str">
        <f aca="false">IF(Y858=1,"",IF(AND(Z858=1,AB858&lt;&gt;1),1,0))</f>
        <v/>
      </c>
      <c r="AE858" s="0" t="str">
        <f aca="false">IF(Y858=1,"",IF(AND(AA858=1,AC858&lt;&gt;1),1,0))</f>
        <v/>
      </c>
      <c r="AF858" s="45" t="str">
        <f aca="false">IF(AND(E858&gt;0,Y858&lt;1,NOT(AND(C859=C858,Y859=Y858+1))),INDEX(DATAS,Y858+1),"")</f>
        <v/>
      </c>
      <c r="AG858" s="45" t="str">
        <f aca="false">IF(AND(AA858=1,Y858&lt;1),IF(AND(C859=C858,Y859=Y858+1),IF(AA859=1,"",INDEX(DATAS,Y858+1)),INDEX(DATAS,Y858+1)),"")</f>
        <v/>
      </c>
    </row>
    <row r="859" customFormat="false" ht="15" hidden="false" customHeight="false" outlineLevel="0" collapsed="false">
      <c r="A859" s="45" t="n">
        <v>46309</v>
      </c>
      <c r="B859" s="0" t="n">
        <v>7</v>
      </c>
      <c r="C859" s="0" t="n">
        <v>4817</v>
      </c>
      <c r="D859" s="0" t="n">
        <v>480</v>
      </c>
      <c r="E859" s="0" t="n">
        <v>1</v>
      </c>
      <c r="F859" s="39" t="s">
        <v>652</v>
      </c>
      <c r="I859" s="39" t="s">
        <v>114</v>
      </c>
      <c r="J859" s="0" t="n">
        <v>250</v>
      </c>
      <c r="K859" s="0" t="n">
        <v>61</v>
      </c>
      <c r="L859" s="0" t="n">
        <v>252</v>
      </c>
      <c r="M859" s="0" t="n">
        <v>1392.16</v>
      </c>
      <c r="N859" s="0" t="n">
        <v>51.29</v>
      </c>
      <c r="O859" s="0" t="n">
        <v>49.91</v>
      </c>
      <c r="P859" s="0" t="n">
        <v>4.47</v>
      </c>
      <c r="Q859" s="0" t="n">
        <v>3.8</v>
      </c>
      <c r="R859" s="0" t="n">
        <v>4609</v>
      </c>
      <c r="S859" s="0" t="n">
        <v>9699</v>
      </c>
      <c r="T859" s="0" t="n">
        <v>55.5</v>
      </c>
      <c r="U859" s="0" t="n">
        <v>1199</v>
      </c>
      <c r="V859" s="0" t="n">
        <v>3</v>
      </c>
      <c r="W859" s="39" t="n">
        <f aca="false">IF(I859="Male",0,1)</f>
        <v>1</v>
      </c>
      <c r="X859" s="39" t="n">
        <f aca="false">IF(OR(I859="DNB",I859="Dry DNB"),1,0)</f>
        <v>0</v>
      </c>
      <c r="Y859" s="39" t="n">
        <f aca="false">MATCH(A859,DATAS,0)</f>
        <v>1</v>
      </c>
      <c r="Z859" s="39" t="n">
        <f aca="false">IF(AND(E859&gt;0,OR(AND(B859&gt;=1,B859&lt;=6),B859=10)),1,0)</f>
        <v>0</v>
      </c>
      <c r="AA859" s="39" t="n">
        <f aca="false">IF(AND(E859&gt;0,B859=10),1,0)</f>
        <v>0</v>
      </c>
      <c r="AB859" s="0" t="str">
        <f aca="false">IF(AND(C858=C859,Y858=Y859-1),Z858,"")</f>
        <v/>
      </c>
      <c r="AC859" s="0" t="str">
        <f aca="false">IF(AND(C858=C859,Y858=Y859-1),AA858,"")</f>
        <v/>
      </c>
      <c r="AD859" s="0" t="str">
        <f aca="false">IF(Y859=1,"",IF(AND(Z859=1,AB859&lt;&gt;1),1,0))</f>
        <v/>
      </c>
      <c r="AE859" s="0" t="str">
        <f aca="false">IF(Y859=1,"",IF(AND(AA859=1,AC859&lt;&gt;1),1,0))</f>
        <v/>
      </c>
      <c r="AF859" s="45" t="str">
        <f aca="false">IF(AND(E859&gt;0,Y859&lt;1,NOT(AND(C860=C859,Y860=Y859+1))),INDEX(DATAS,Y859+1),"")</f>
        <v/>
      </c>
      <c r="AG859" s="45" t="str">
        <f aca="false">IF(AND(AA859=1,Y859&lt;1),IF(AND(C860=C859,Y860=Y859+1),IF(AA860=1,"",INDEX(DATAS,Y859+1)),INDEX(DATAS,Y859+1)),"")</f>
        <v/>
      </c>
    </row>
    <row r="860" customFormat="false" ht="15" hidden="false" customHeight="false" outlineLevel="0" collapsed="false">
      <c r="A860" s="45" t="n">
        <v>46309</v>
      </c>
      <c r="B860" s="0" t="n">
        <v>5</v>
      </c>
      <c r="C860" s="0" t="n">
        <v>4819</v>
      </c>
      <c r="D860" s="0" t="n">
        <v>539</v>
      </c>
      <c r="E860" s="0" t="n">
        <v>1</v>
      </c>
      <c r="F860" s="39" t="s">
        <v>652</v>
      </c>
      <c r="G860" s="0" t="n">
        <v>30.2</v>
      </c>
      <c r="H860" s="0" t="n">
        <v>27</v>
      </c>
      <c r="I860" s="39" t="s">
        <v>109</v>
      </c>
      <c r="J860" s="0" t="n">
        <v>441</v>
      </c>
      <c r="K860" s="0" t="n">
        <v>63</v>
      </c>
      <c r="L860" s="0" t="n">
        <v>98</v>
      </c>
      <c r="M860" s="0" t="n">
        <v>957.28</v>
      </c>
      <c r="N860" s="0" t="n">
        <v>54.45</v>
      </c>
      <c r="O860" s="0" t="n">
        <v>35.18</v>
      </c>
      <c r="P860" s="0" t="n">
        <v>4.79</v>
      </c>
      <c r="Q860" s="0" t="n">
        <v>3.79</v>
      </c>
      <c r="R860" s="0" t="n">
        <v>4387</v>
      </c>
      <c r="S860" s="0" t="n">
        <v>9955</v>
      </c>
      <c r="T860" s="0" t="n">
        <v>50.65</v>
      </c>
      <c r="U860" s="0" t="n">
        <v>1199</v>
      </c>
      <c r="V860" s="0" t="n">
        <v>8</v>
      </c>
      <c r="W860" s="39" t="n">
        <f aca="false">IF(I860="Male",0,1)</f>
        <v>1</v>
      </c>
      <c r="X860" s="39" t="n">
        <f aca="false">IF(OR(I860="DNB",I860="Dry DNB"),1,0)</f>
        <v>0</v>
      </c>
      <c r="Y860" s="39" t="n">
        <f aca="false">MATCH(A860,DATAS,0)</f>
        <v>1</v>
      </c>
      <c r="Z860" s="39" t="n">
        <f aca="false">IF(AND(E860&gt;0,OR(AND(B860&gt;=1,B860&lt;=6),B860=10)),1,0)</f>
        <v>1</v>
      </c>
      <c r="AA860" s="39" t="n">
        <f aca="false">IF(AND(E860&gt;0,B860=10),1,0)</f>
        <v>0</v>
      </c>
      <c r="AB860" s="0" t="str">
        <f aca="false">IF(AND(C859=C860,Y859=Y860-1),Z859,"")</f>
        <v/>
      </c>
      <c r="AC860" s="0" t="str">
        <f aca="false">IF(AND(C859=C860,Y859=Y860-1),AA859,"")</f>
        <v/>
      </c>
      <c r="AD860" s="0" t="str">
        <f aca="false">IF(Y860=1,"",IF(AND(Z860=1,AB860&lt;&gt;1),1,0))</f>
        <v/>
      </c>
      <c r="AE860" s="0" t="str">
        <f aca="false">IF(Y860=1,"",IF(AND(AA860=1,AC860&lt;&gt;1),1,0))</f>
        <v/>
      </c>
      <c r="AF860" s="45" t="str">
        <f aca="false">IF(AND(E860&gt;0,Y860&lt;1,NOT(AND(C861=C860,Y861=Y860+1))),INDEX(DATAS,Y860+1),"")</f>
        <v/>
      </c>
      <c r="AG860" s="45" t="str">
        <f aca="false">IF(AND(AA860=1,Y860&lt;1),IF(AND(C861=C860,Y861=Y860+1),IF(AA861=1,"",INDEX(DATAS,Y860+1)),INDEX(DATAS,Y860+1)),"")</f>
        <v/>
      </c>
    </row>
    <row r="861" customFormat="false" ht="15" hidden="false" customHeight="false" outlineLevel="0" collapsed="false">
      <c r="A861" s="45" t="n">
        <v>46309</v>
      </c>
      <c r="B861" s="0" t="n">
        <v>2</v>
      </c>
      <c r="C861" s="0" t="n">
        <v>4822</v>
      </c>
      <c r="D861" s="0" t="n">
        <v>60</v>
      </c>
      <c r="E861" s="0" t="n">
        <v>2</v>
      </c>
      <c r="F861" s="39" t="s">
        <v>652</v>
      </c>
      <c r="G861" s="0" t="n">
        <v>59.9</v>
      </c>
      <c r="H861" s="0" t="n">
        <v>57</v>
      </c>
      <c r="I861" s="39" t="s">
        <v>118</v>
      </c>
      <c r="J861" s="0" t="n">
        <v>60</v>
      </c>
      <c r="M861" s="0" t="n">
        <v>719.38</v>
      </c>
      <c r="N861" s="0" t="n">
        <v>17.72</v>
      </c>
      <c r="O861" s="0" t="n">
        <v>11.48</v>
      </c>
      <c r="P861" s="0" t="n">
        <v>3.22</v>
      </c>
      <c r="Q861" s="0" t="n">
        <v>2.96</v>
      </c>
      <c r="R861" s="0" t="n">
        <v>5357</v>
      </c>
      <c r="S861" s="0" t="n">
        <v>10769</v>
      </c>
      <c r="U861" s="0" t="n">
        <v>1199</v>
      </c>
      <c r="V861" s="0" t="n">
        <v>0</v>
      </c>
      <c r="W861" s="39" t="n">
        <f aca="false">IF(I861="Male",0,1)</f>
        <v>1</v>
      </c>
      <c r="X861" s="39" t="n">
        <f aca="false">IF(OR(I861="DNB",I861="Dry DNB"),1,0)</f>
        <v>0</v>
      </c>
      <c r="Y861" s="39" t="n">
        <f aca="false">MATCH(A861,DATAS,0)</f>
        <v>1</v>
      </c>
      <c r="Z861" s="39" t="n">
        <f aca="false">IF(AND(E861&gt;0,OR(AND(B861&gt;=1,B861&lt;=6),B861=10)),1,0)</f>
        <v>1</v>
      </c>
      <c r="AA861" s="39" t="n">
        <f aca="false">IF(AND(E861&gt;0,B861=10),1,0)</f>
        <v>0</v>
      </c>
      <c r="AB861" s="0" t="str">
        <f aca="false">IF(AND(C860=C861,Y860=Y861-1),Z860,"")</f>
        <v/>
      </c>
      <c r="AC861" s="0" t="str">
        <f aca="false">IF(AND(C860=C861,Y860=Y861-1),AA860,"")</f>
        <v/>
      </c>
      <c r="AD861" s="0" t="str">
        <f aca="false">IF(Y861=1,"",IF(AND(Z861=1,AB861&lt;&gt;1),1,0))</f>
        <v/>
      </c>
      <c r="AE861" s="0" t="str">
        <f aca="false">IF(Y861=1,"",IF(AND(AA861=1,AC861&lt;&gt;1),1,0))</f>
        <v/>
      </c>
      <c r="AF861" s="45" t="str">
        <f aca="false">IF(AND(E861&gt;0,Y861&lt;1,NOT(AND(C862=C861,Y862=Y861+1))),INDEX(DATAS,Y861+1),"")</f>
        <v/>
      </c>
      <c r="AG861" s="45" t="str">
        <f aca="false">IF(AND(AA861=1,Y861&lt;1),IF(AND(C862=C861,Y862=Y861+1),IF(AA862=1,"",INDEX(DATAS,Y861+1)),INDEX(DATAS,Y861+1)),"")</f>
        <v/>
      </c>
    </row>
    <row r="862" customFormat="false" ht="15" hidden="false" customHeight="false" outlineLevel="0" collapsed="false">
      <c r="A862" s="45" t="n">
        <v>46309</v>
      </c>
      <c r="B862" s="0" t="n">
        <v>5</v>
      </c>
      <c r="C862" s="0" t="n">
        <v>4823</v>
      </c>
      <c r="D862" s="0" t="n">
        <v>577</v>
      </c>
      <c r="E862" s="0" t="n">
        <v>1</v>
      </c>
      <c r="F862" s="39" t="s">
        <v>652</v>
      </c>
      <c r="G862" s="0" t="n">
        <v>20.9</v>
      </c>
      <c r="H862" s="0" t="n">
        <v>20</v>
      </c>
      <c r="I862" s="39" t="s">
        <v>109</v>
      </c>
      <c r="J862" s="0" t="n">
        <v>472</v>
      </c>
      <c r="K862" s="0" t="n">
        <v>60</v>
      </c>
      <c r="L862" s="0" t="n">
        <v>105</v>
      </c>
      <c r="M862" s="0" t="n">
        <v>769.93</v>
      </c>
      <c r="N862" s="0" t="n">
        <v>74.63</v>
      </c>
      <c r="O862" s="0" t="n">
        <v>43.94</v>
      </c>
      <c r="P862" s="0" t="n">
        <v>5.69</v>
      </c>
      <c r="Q862" s="0" t="n">
        <v>4.31</v>
      </c>
      <c r="R862" s="0" t="n">
        <v>4656</v>
      </c>
      <c r="S862" s="0" t="n">
        <v>9105</v>
      </c>
      <c r="T862" s="0" t="n">
        <v>52.6</v>
      </c>
      <c r="U862" s="0" t="n">
        <v>1199</v>
      </c>
      <c r="V862" s="0" t="n">
        <v>11</v>
      </c>
      <c r="W862" s="39" t="n">
        <f aca="false">IF(I862="Male",0,1)</f>
        <v>1</v>
      </c>
      <c r="X862" s="39" t="n">
        <f aca="false">IF(OR(I862="DNB",I862="Dry DNB"),1,0)</f>
        <v>0</v>
      </c>
      <c r="Y862" s="39" t="n">
        <f aca="false">MATCH(A862,DATAS,0)</f>
        <v>1</v>
      </c>
      <c r="Z862" s="39" t="n">
        <f aca="false">IF(AND(E862&gt;0,OR(AND(B862&gt;=1,B862&lt;=6),B862=10)),1,0)</f>
        <v>1</v>
      </c>
      <c r="AA862" s="39" t="n">
        <f aca="false">IF(AND(E862&gt;0,B862=10),1,0)</f>
        <v>0</v>
      </c>
      <c r="AB862" s="0" t="str">
        <f aca="false">IF(AND(C861=C862,Y861=Y862-1),Z861,"")</f>
        <v/>
      </c>
      <c r="AC862" s="0" t="str">
        <f aca="false">IF(AND(C861=C862,Y861=Y862-1),AA861,"")</f>
        <v/>
      </c>
      <c r="AD862" s="0" t="str">
        <f aca="false">IF(Y862=1,"",IF(AND(Z862=1,AB862&lt;&gt;1),1,0))</f>
        <v/>
      </c>
      <c r="AE862" s="0" t="str">
        <f aca="false">IF(Y862=1,"",IF(AND(AA862=1,AC862&lt;&gt;1),1,0))</f>
        <v/>
      </c>
      <c r="AF862" s="45" t="str">
        <f aca="false">IF(AND(E862&gt;0,Y862&lt;1,NOT(AND(C863=C862,Y863=Y862+1))),INDEX(DATAS,Y862+1),"")</f>
        <v/>
      </c>
      <c r="AG862" s="45" t="str">
        <f aca="false">IF(AND(AA862=1,Y862&lt;1),IF(AND(C863=C862,Y863=Y862+1),IF(AA863=1,"",INDEX(DATAS,Y862+1)),INDEX(DATAS,Y862+1)),"")</f>
        <v/>
      </c>
    </row>
    <row r="863" customFormat="false" ht="15" hidden="false" customHeight="false" outlineLevel="0" collapsed="false">
      <c r="A863" s="45" t="n">
        <v>46309</v>
      </c>
      <c r="B863" s="0" t="n">
        <v>3</v>
      </c>
      <c r="C863" s="0" t="n">
        <v>4824</v>
      </c>
      <c r="D863" s="0" t="n">
        <v>156</v>
      </c>
      <c r="E863" s="0" t="n">
        <v>2</v>
      </c>
      <c r="F863" s="39" t="s">
        <v>654</v>
      </c>
      <c r="G863" s="0" t="n">
        <v>54.2</v>
      </c>
      <c r="H863" s="0" t="n">
        <v>50</v>
      </c>
      <c r="I863" s="39" t="s">
        <v>146</v>
      </c>
      <c r="J863" s="0" t="n">
        <v>156</v>
      </c>
      <c r="K863" s="0" t="n">
        <v>65</v>
      </c>
      <c r="M863" s="0" t="n">
        <v>1021.03</v>
      </c>
      <c r="N863" s="0" t="n">
        <v>30.99</v>
      </c>
      <c r="O863" s="0" t="n">
        <v>25.64</v>
      </c>
      <c r="P863" s="0" t="n">
        <v>3.9</v>
      </c>
      <c r="Q863" s="0" t="n">
        <v>3.34</v>
      </c>
      <c r="R863" s="0" t="n">
        <v>5435</v>
      </c>
      <c r="S863" s="0" t="n">
        <v>10417</v>
      </c>
      <c r="T863" s="0" t="n">
        <v>57.85</v>
      </c>
      <c r="U863" s="0" t="n">
        <v>1198</v>
      </c>
      <c r="V863" s="0" t="n">
        <v>2</v>
      </c>
      <c r="W863" s="39" t="n">
        <f aca="false">IF(I863="Male",0,1)</f>
        <v>1</v>
      </c>
      <c r="X863" s="39" t="n">
        <f aca="false">IF(OR(I863="DNB",I863="Dry DNB"),1,0)</f>
        <v>0</v>
      </c>
      <c r="Y863" s="39" t="n">
        <f aca="false">MATCH(A863,DATAS,0)</f>
        <v>1</v>
      </c>
      <c r="Z863" s="39" t="n">
        <f aca="false">IF(AND(E863&gt;0,OR(AND(B863&gt;=1,B863&lt;=6),B863=10)),1,0)</f>
        <v>1</v>
      </c>
      <c r="AA863" s="39" t="n">
        <f aca="false">IF(AND(E863&gt;0,B863=10),1,0)</f>
        <v>0</v>
      </c>
      <c r="AB863" s="0" t="str">
        <f aca="false">IF(AND(C862=C863,Y862=Y863-1),Z862,"")</f>
        <v/>
      </c>
      <c r="AC863" s="0" t="str">
        <f aca="false">IF(AND(C862=C863,Y862=Y863-1),AA862,"")</f>
        <v/>
      </c>
      <c r="AD863" s="0" t="str">
        <f aca="false">IF(Y863=1,"",IF(AND(Z863=1,AB863&lt;&gt;1),1,0))</f>
        <v/>
      </c>
      <c r="AE863" s="0" t="str">
        <f aca="false">IF(Y863=1,"",IF(AND(AA863=1,AC863&lt;&gt;1),1,0))</f>
        <v/>
      </c>
      <c r="AF863" s="45" t="str">
        <f aca="false">IF(AND(E863&gt;0,Y863&lt;1,NOT(AND(C864=C863,Y864=Y863+1))),INDEX(DATAS,Y863+1),"")</f>
        <v/>
      </c>
      <c r="AG863" s="45" t="str">
        <f aca="false">IF(AND(AA863=1,Y863&lt;1),IF(AND(C864=C863,Y864=Y863+1),IF(AA864=1,"",INDEX(DATAS,Y863+1)),INDEX(DATAS,Y863+1)),"")</f>
        <v/>
      </c>
    </row>
    <row r="864" customFormat="false" ht="15" hidden="false" customHeight="false" outlineLevel="0" collapsed="false">
      <c r="A864" s="45" t="n">
        <v>46309</v>
      </c>
      <c r="B864" s="0" t="n">
        <v>5</v>
      </c>
      <c r="C864" s="0" t="n">
        <v>4826</v>
      </c>
      <c r="D864" s="0" t="n">
        <v>225</v>
      </c>
      <c r="E864" s="0" t="n">
        <v>2</v>
      </c>
      <c r="F864" s="39" t="s">
        <v>654</v>
      </c>
      <c r="G864" s="0" t="n">
        <v>39</v>
      </c>
      <c r="H864" s="0" t="n">
        <v>34</v>
      </c>
      <c r="I864" s="39" t="s">
        <v>109</v>
      </c>
      <c r="J864" s="0" t="n">
        <v>64</v>
      </c>
      <c r="K864" s="0" t="n">
        <v>64</v>
      </c>
      <c r="L864" s="0" t="n">
        <v>161</v>
      </c>
      <c r="M864" s="0" t="n">
        <v>421.98</v>
      </c>
      <c r="N864" s="0" t="n">
        <v>14.3</v>
      </c>
      <c r="O864" s="0" t="n">
        <v>37.21</v>
      </c>
      <c r="P864" s="0" t="n">
        <v>3.74</v>
      </c>
      <c r="Q864" s="0" t="n">
        <v>4.48</v>
      </c>
      <c r="R864" s="0" t="n">
        <v>4161</v>
      </c>
      <c r="S864" s="0" t="n">
        <v>9040</v>
      </c>
      <c r="T864" s="0" t="n">
        <v>43.95</v>
      </c>
      <c r="U864" s="0" t="n">
        <v>1198</v>
      </c>
      <c r="V864" s="0" t="n">
        <v>1</v>
      </c>
      <c r="W864" s="39" t="n">
        <f aca="false">IF(I864="Male",0,1)</f>
        <v>1</v>
      </c>
      <c r="X864" s="39" t="n">
        <f aca="false">IF(OR(I864="DNB",I864="Dry DNB"),1,0)</f>
        <v>0</v>
      </c>
      <c r="Y864" s="39" t="n">
        <f aca="false">MATCH(A864,DATAS,0)</f>
        <v>1</v>
      </c>
      <c r="Z864" s="39" t="n">
        <f aca="false">IF(AND(E864&gt;0,OR(AND(B864&gt;=1,B864&lt;=6),B864=10)),1,0)</f>
        <v>1</v>
      </c>
      <c r="AA864" s="39" t="n">
        <f aca="false">IF(AND(E864&gt;0,B864=10),1,0)</f>
        <v>0</v>
      </c>
      <c r="AB864" s="0" t="str">
        <f aca="false">IF(AND(C863=C864,Y863=Y864-1),Z863,"")</f>
        <v/>
      </c>
      <c r="AC864" s="0" t="str">
        <f aca="false">IF(AND(C863=C864,Y863=Y864-1),AA863,"")</f>
        <v/>
      </c>
      <c r="AD864" s="0" t="str">
        <f aca="false">IF(Y864=1,"",IF(AND(Z864=1,AB864&lt;&gt;1),1,0))</f>
        <v/>
      </c>
      <c r="AE864" s="0" t="str">
        <f aca="false">IF(Y864=1,"",IF(AND(AA864=1,AC864&lt;&gt;1),1,0))</f>
        <v/>
      </c>
      <c r="AF864" s="45" t="str">
        <f aca="false">IF(AND(E864&gt;0,Y864&lt;1,NOT(AND(C865=C864,Y865=Y864+1))),INDEX(DATAS,Y864+1),"")</f>
        <v/>
      </c>
      <c r="AG864" s="45" t="str">
        <f aca="false">IF(AND(AA864=1,Y864&lt;1),IF(AND(C865=C864,Y865=Y864+1),IF(AA865=1,"",INDEX(DATAS,Y864+1)),INDEX(DATAS,Y864+1)),"")</f>
        <v/>
      </c>
    </row>
    <row r="865" customFormat="false" ht="15" hidden="false" customHeight="false" outlineLevel="0" collapsed="false">
      <c r="A865" s="45" t="n">
        <v>46309</v>
      </c>
      <c r="B865" s="0" t="n">
        <v>3</v>
      </c>
      <c r="C865" s="0" t="n">
        <v>4827</v>
      </c>
      <c r="D865" s="0" t="n">
        <v>213</v>
      </c>
      <c r="E865" s="0" t="n">
        <v>2</v>
      </c>
      <c r="F865" s="39" t="s">
        <v>654</v>
      </c>
      <c r="G865" s="0" t="n">
        <v>55.3</v>
      </c>
      <c r="H865" s="0" t="n">
        <v>55</v>
      </c>
      <c r="I865" s="39" t="s">
        <v>109</v>
      </c>
      <c r="J865" s="0" t="n">
        <v>136</v>
      </c>
      <c r="K865" s="0" t="n">
        <v>66</v>
      </c>
      <c r="L865" s="0" t="n">
        <v>77</v>
      </c>
      <c r="M865" s="0" t="n">
        <v>575.11</v>
      </c>
      <c r="N865" s="0" t="n">
        <v>60.33</v>
      </c>
      <c r="O865" s="0" t="n">
        <v>29.16</v>
      </c>
      <c r="P865" s="0" t="n">
        <v>3.16</v>
      </c>
      <c r="Q865" s="0" t="n">
        <v>3.55</v>
      </c>
      <c r="R865" s="0" t="n">
        <v>4844</v>
      </c>
      <c r="S865" s="0" t="n">
        <v>10697</v>
      </c>
      <c r="T865" s="0" t="n">
        <v>52.7</v>
      </c>
      <c r="U865" s="0" t="n">
        <v>1198</v>
      </c>
      <c r="V865" s="0" t="n">
        <v>3</v>
      </c>
      <c r="W865" s="39" t="n">
        <f aca="false">IF(I865="Male",0,1)</f>
        <v>1</v>
      </c>
      <c r="X865" s="39" t="n">
        <f aca="false">IF(OR(I865="DNB",I865="Dry DNB"),1,0)</f>
        <v>0</v>
      </c>
      <c r="Y865" s="39" t="n">
        <f aca="false">MATCH(A865,DATAS,0)</f>
        <v>1</v>
      </c>
      <c r="Z865" s="39" t="n">
        <f aca="false">IF(AND(E865&gt;0,OR(AND(B865&gt;=1,B865&lt;=6),B865=10)),1,0)</f>
        <v>1</v>
      </c>
      <c r="AA865" s="39" t="n">
        <f aca="false">IF(AND(E865&gt;0,B865=10),1,0)</f>
        <v>0</v>
      </c>
      <c r="AB865" s="0" t="str">
        <f aca="false">IF(AND(C864=C865,Y864=Y865-1),Z864,"")</f>
        <v/>
      </c>
      <c r="AC865" s="0" t="str">
        <f aca="false">IF(AND(C864=C865,Y864=Y865-1),AA864,"")</f>
        <v/>
      </c>
      <c r="AD865" s="0" t="str">
        <f aca="false">IF(Y865=1,"",IF(AND(Z865=1,AB865&lt;&gt;1),1,0))</f>
        <v/>
      </c>
      <c r="AE865" s="0" t="str">
        <f aca="false">IF(Y865=1,"",IF(AND(AA865=1,AC865&lt;&gt;1),1,0))</f>
        <v/>
      </c>
      <c r="AF865" s="45" t="str">
        <f aca="false">IF(AND(E865&gt;0,Y865&lt;1,NOT(AND(C866=C865,Y866=Y865+1))),INDEX(DATAS,Y865+1),"")</f>
        <v/>
      </c>
      <c r="AG865" s="45" t="str">
        <f aca="false">IF(AND(AA865=1,Y865&lt;1),IF(AND(C866=C865,Y866=Y865+1),IF(AA866=1,"",INDEX(DATAS,Y865+1)),INDEX(DATAS,Y865+1)),"")</f>
        <v/>
      </c>
    </row>
    <row r="866" customFormat="false" ht="15" hidden="false" customHeight="false" outlineLevel="0" collapsed="false">
      <c r="A866" s="45" t="n">
        <v>46309</v>
      </c>
      <c r="B866" s="0" t="n">
        <v>2</v>
      </c>
      <c r="C866" s="0" t="n">
        <v>4828</v>
      </c>
      <c r="D866" s="0" t="n">
        <v>66</v>
      </c>
      <c r="E866" s="0" t="n">
        <v>2</v>
      </c>
      <c r="F866" s="39" t="s">
        <v>654</v>
      </c>
      <c r="G866" s="0" t="n">
        <v>52.9</v>
      </c>
      <c r="H866" s="0" t="n">
        <v>56</v>
      </c>
      <c r="I866" s="39" t="s">
        <v>138</v>
      </c>
      <c r="J866" s="0" t="n">
        <v>66</v>
      </c>
      <c r="K866" s="0" t="n">
        <v>66</v>
      </c>
      <c r="M866" s="0" t="n">
        <v>558.67</v>
      </c>
      <c r="N866" s="0" t="n">
        <v>67.43</v>
      </c>
      <c r="O866" s="0" t="n">
        <v>33.3</v>
      </c>
      <c r="P866" s="0" t="n">
        <v>3.6</v>
      </c>
      <c r="Q866" s="0" t="n">
        <v>3.29</v>
      </c>
      <c r="R866" s="0" t="n">
        <v>4537</v>
      </c>
      <c r="S866" s="0" t="n">
        <v>9120</v>
      </c>
      <c r="U866" s="0" t="n">
        <v>1198</v>
      </c>
      <c r="V866" s="0" t="n">
        <v>1</v>
      </c>
      <c r="W866" s="39" t="n">
        <f aca="false">IF(I866="Male",0,1)</f>
        <v>1</v>
      </c>
      <c r="X866" s="39" t="n">
        <f aca="false">IF(OR(I866="DNB",I866="Dry DNB"),1,0)</f>
        <v>0</v>
      </c>
      <c r="Y866" s="39" t="n">
        <f aca="false">MATCH(A866,DATAS,0)</f>
        <v>1</v>
      </c>
      <c r="Z866" s="39" t="n">
        <f aca="false">IF(AND(E866&gt;0,OR(AND(B866&gt;=1,B866&lt;=6),B866=10)),1,0)</f>
        <v>1</v>
      </c>
      <c r="AA866" s="39" t="n">
        <f aca="false">IF(AND(E866&gt;0,B866=10),1,0)</f>
        <v>0</v>
      </c>
      <c r="AB866" s="0" t="str">
        <f aca="false">IF(AND(C865=C866,Y865=Y866-1),Z865,"")</f>
        <v/>
      </c>
      <c r="AC866" s="0" t="str">
        <f aca="false">IF(AND(C865=C866,Y865=Y866-1),AA865,"")</f>
        <v/>
      </c>
      <c r="AD866" s="0" t="str">
        <f aca="false">IF(Y866=1,"",IF(AND(Z866=1,AB866&lt;&gt;1),1,0))</f>
        <v/>
      </c>
      <c r="AE866" s="0" t="str">
        <f aca="false">IF(Y866=1,"",IF(AND(AA866=1,AC866&lt;&gt;1),1,0))</f>
        <v/>
      </c>
      <c r="AF866" s="45" t="str">
        <f aca="false">IF(AND(E866&gt;0,Y866&lt;1,NOT(AND(C867=C866,Y867=Y866+1))),INDEX(DATAS,Y866+1),"")</f>
        <v/>
      </c>
      <c r="AG866" s="45" t="str">
        <f aca="false">IF(AND(AA866=1,Y866&lt;1),IF(AND(C867=C866,Y867=Y866+1),IF(AA867=1,"",INDEX(DATAS,Y866+1)),INDEX(DATAS,Y866+1)),"")</f>
        <v/>
      </c>
    </row>
    <row r="867" customFormat="false" ht="15" hidden="false" customHeight="false" outlineLevel="0" collapsed="false">
      <c r="A867" s="45" t="n">
        <v>46309</v>
      </c>
      <c r="B867" s="0" t="n">
        <v>5</v>
      </c>
      <c r="C867" s="0" t="n">
        <v>4829</v>
      </c>
      <c r="D867" s="0" t="n">
        <v>141</v>
      </c>
      <c r="E867" s="0" t="n">
        <v>2</v>
      </c>
      <c r="F867" s="39" t="s">
        <v>655</v>
      </c>
      <c r="G867" s="0" t="n">
        <v>39</v>
      </c>
      <c r="H867" s="0" t="n">
        <v>38</v>
      </c>
      <c r="I867" s="39" t="s">
        <v>109</v>
      </c>
      <c r="J867" s="0" t="n">
        <v>64</v>
      </c>
      <c r="K867" s="0" t="n">
        <v>64</v>
      </c>
      <c r="L867" s="0" t="n">
        <v>77</v>
      </c>
      <c r="M867" s="0" t="n">
        <v>1173.55</v>
      </c>
      <c r="N867" s="0" t="n">
        <v>34.86</v>
      </c>
      <c r="O867" s="0" t="n">
        <v>27.83</v>
      </c>
      <c r="P867" s="0" t="n">
        <v>4.1</v>
      </c>
      <c r="Q867" s="0" t="n">
        <v>3.25</v>
      </c>
      <c r="R867" s="0" t="n">
        <v>4282</v>
      </c>
      <c r="S867" s="0" t="n">
        <v>8586</v>
      </c>
      <c r="T867" s="0" t="n">
        <v>45.25</v>
      </c>
      <c r="U867" s="0" t="n">
        <v>1197</v>
      </c>
      <c r="V867" s="0" t="n">
        <v>1</v>
      </c>
      <c r="W867" s="39" t="n">
        <f aca="false">IF(I867="Male",0,1)</f>
        <v>1</v>
      </c>
      <c r="X867" s="39" t="n">
        <f aca="false">IF(OR(I867="DNB",I867="Dry DNB"),1,0)</f>
        <v>0</v>
      </c>
      <c r="Y867" s="39" t="n">
        <f aca="false">MATCH(A867,DATAS,0)</f>
        <v>1</v>
      </c>
      <c r="Z867" s="39" t="n">
        <f aca="false">IF(AND(E867&gt;0,OR(AND(B867&gt;=1,B867&lt;=6),B867=10)),1,0)</f>
        <v>1</v>
      </c>
      <c r="AA867" s="39" t="n">
        <f aca="false">IF(AND(E867&gt;0,B867=10),1,0)</f>
        <v>0</v>
      </c>
      <c r="AB867" s="0" t="str">
        <f aca="false">IF(AND(C866=C867,Y866=Y867-1),Z866,"")</f>
        <v/>
      </c>
      <c r="AC867" s="0" t="str">
        <f aca="false">IF(AND(C866=C867,Y866=Y867-1),AA866,"")</f>
        <v/>
      </c>
      <c r="AD867" s="0" t="str">
        <f aca="false">IF(Y867=1,"",IF(AND(Z867=1,AB867&lt;&gt;1),1,0))</f>
        <v/>
      </c>
      <c r="AE867" s="0" t="str">
        <f aca="false">IF(Y867=1,"",IF(AND(AA867=1,AC867&lt;&gt;1),1,0))</f>
        <v/>
      </c>
      <c r="AF867" s="45" t="str">
        <f aca="false">IF(AND(E867&gt;0,Y867&lt;1,NOT(AND(C868=C867,Y868=Y867+1))),INDEX(DATAS,Y867+1),"")</f>
        <v/>
      </c>
      <c r="AG867" s="45" t="str">
        <f aca="false">IF(AND(AA867=1,Y867&lt;1),IF(AND(C868=C867,Y868=Y867+1),IF(AA868=1,"",INDEX(DATAS,Y867+1)),INDEX(DATAS,Y867+1)),"")</f>
        <v/>
      </c>
    </row>
    <row r="868" customFormat="false" ht="15" hidden="false" customHeight="false" outlineLevel="0" collapsed="false">
      <c r="A868" s="45" t="n">
        <v>46309</v>
      </c>
      <c r="B868" s="0" t="n">
        <v>2</v>
      </c>
      <c r="C868" s="0" t="n">
        <v>4830</v>
      </c>
      <c r="D868" s="0" t="n">
        <v>231</v>
      </c>
      <c r="E868" s="0" t="n">
        <v>2</v>
      </c>
      <c r="F868" s="39" t="s">
        <v>655</v>
      </c>
      <c r="G868" s="0" t="n">
        <v>51</v>
      </c>
      <c r="H868" s="0" t="n">
        <v>46</v>
      </c>
      <c r="I868" s="39" t="s">
        <v>138</v>
      </c>
      <c r="J868" s="0" t="n">
        <v>231</v>
      </c>
      <c r="K868" s="0" t="n">
        <v>63</v>
      </c>
      <c r="M868" s="0" t="n">
        <v>1093.86</v>
      </c>
      <c r="N868" s="0" t="n">
        <v>40.63</v>
      </c>
      <c r="O868" s="0" t="n">
        <v>42.36</v>
      </c>
      <c r="P868" s="0" t="n">
        <v>4.73</v>
      </c>
      <c r="Q868" s="0" t="n">
        <v>3.88</v>
      </c>
      <c r="R868" s="0" t="n">
        <v>4863</v>
      </c>
      <c r="S868" s="0" t="n">
        <v>10080</v>
      </c>
      <c r="T868" s="0" t="n">
        <v>55</v>
      </c>
      <c r="U868" s="0" t="n">
        <v>1197</v>
      </c>
      <c r="V868" s="0" t="n">
        <v>5</v>
      </c>
      <c r="W868" s="39" t="n">
        <f aca="false">IF(I868="Male",0,1)</f>
        <v>1</v>
      </c>
      <c r="X868" s="39" t="n">
        <f aca="false">IF(OR(I868="DNB",I868="Dry DNB"),1,0)</f>
        <v>0</v>
      </c>
      <c r="Y868" s="39" t="n">
        <f aca="false">MATCH(A868,DATAS,0)</f>
        <v>1</v>
      </c>
      <c r="Z868" s="39" t="n">
        <f aca="false">IF(AND(E868&gt;0,OR(AND(B868&gt;=1,B868&lt;=6),B868=10)),1,0)</f>
        <v>1</v>
      </c>
      <c r="AA868" s="39" t="n">
        <f aca="false">IF(AND(E868&gt;0,B868=10),1,0)</f>
        <v>0</v>
      </c>
      <c r="AB868" s="0" t="str">
        <f aca="false">IF(AND(C867=C868,Y867=Y868-1),Z867,"")</f>
        <v/>
      </c>
      <c r="AC868" s="0" t="str">
        <f aca="false">IF(AND(C867=C868,Y867=Y868-1),AA867,"")</f>
        <v/>
      </c>
      <c r="AD868" s="0" t="str">
        <f aca="false">IF(Y868=1,"",IF(AND(Z868=1,AB868&lt;&gt;1),1,0))</f>
        <v/>
      </c>
      <c r="AE868" s="0" t="str">
        <f aca="false">IF(Y868=1,"",IF(AND(AA868=1,AC868&lt;&gt;1),1,0))</f>
        <v/>
      </c>
      <c r="AF868" s="45" t="str">
        <f aca="false">IF(AND(E868&gt;0,Y868&lt;1,NOT(AND(C869=C868,Y869=Y868+1))),INDEX(DATAS,Y868+1),"")</f>
        <v/>
      </c>
      <c r="AG868" s="45" t="str">
        <f aca="false">IF(AND(AA868=1,Y868&lt;1),IF(AND(C869=C868,Y869=Y868+1),IF(AA869=1,"",INDEX(DATAS,Y868+1)),INDEX(DATAS,Y868+1)),"")</f>
        <v/>
      </c>
    </row>
    <row r="869" customFormat="false" ht="15" hidden="false" customHeight="false" outlineLevel="0" collapsed="false">
      <c r="A869" s="45" t="n">
        <v>46309</v>
      </c>
      <c r="B869" s="0" t="n">
        <v>5</v>
      </c>
      <c r="C869" s="0" t="n">
        <v>4831</v>
      </c>
      <c r="D869" s="0" t="n">
        <v>231</v>
      </c>
      <c r="E869" s="0" t="n">
        <v>2</v>
      </c>
      <c r="F869" s="39" t="s">
        <v>655</v>
      </c>
      <c r="G869" s="0" t="n">
        <v>43</v>
      </c>
      <c r="H869" s="0" t="n">
        <v>40</v>
      </c>
      <c r="I869" s="39" t="s">
        <v>109</v>
      </c>
      <c r="J869" s="0" t="n">
        <v>168</v>
      </c>
      <c r="K869" s="0" t="n">
        <v>63</v>
      </c>
      <c r="L869" s="0" t="n">
        <v>63</v>
      </c>
      <c r="M869" s="0" t="n">
        <v>1761.3</v>
      </c>
      <c r="N869" s="0" t="n">
        <v>71.07</v>
      </c>
      <c r="O869" s="0" t="n">
        <v>52.28</v>
      </c>
      <c r="P869" s="0" t="n">
        <v>4.26</v>
      </c>
      <c r="Q869" s="0" t="n">
        <v>3.68</v>
      </c>
      <c r="R869" s="0" t="n">
        <v>3476</v>
      </c>
      <c r="S869" s="0" t="n">
        <v>8326</v>
      </c>
      <c r="T869" s="0" t="n">
        <v>40.55</v>
      </c>
      <c r="U869" s="0" t="n">
        <v>1197</v>
      </c>
      <c r="V869" s="0" t="n">
        <v>2</v>
      </c>
      <c r="W869" s="39" t="n">
        <f aca="false">IF(I869="Male",0,1)</f>
        <v>1</v>
      </c>
      <c r="X869" s="39" t="n">
        <f aca="false">IF(OR(I869="DNB",I869="Dry DNB"),1,0)</f>
        <v>0</v>
      </c>
      <c r="Y869" s="39" t="n">
        <f aca="false">MATCH(A869,DATAS,0)</f>
        <v>1</v>
      </c>
      <c r="Z869" s="39" t="n">
        <f aca="false">IF(AND(E869&gt;0,OR(AND(B869&gt;=1,B869&lt;=6),B869=10)),1,0)</f>
        <v>1</v>
      </c>
      <c r="AA869" s="39" t="n">
        <f aca="false">IF(AND(E869&gt;0,B869=10),1,0)</f>
        <v>0</v>
      </c>
      <c r="AB869" s="0" t="str">
        <f aca="false">IF(AND(C868=C869,Y868=Y869-1),Z868,"")</f>
        <v/>
      </c>
      <c r="AC869" s="0" t="str">
        <f aca="false">IF(AND(C868=C869,Y868=Y869-1),AA868,"")</f>
        <v/>
      </c>
      <c r="AD869" s="0" t="str">
        <f aca="false">IF(Y869=1,"",IF(AND(Z869=1,AB869&lt;&gt;1),1,0))</f>
        <v/>
      </c>
      <c r="AE869" s="0" t="str">
        <f aca="false">IF(Y869=1,"",IF(AND(AA869=1,AC869&lt;&gt;1),1,0))</f>
        <v/>
      </c>
      <c r="AF869" s="45" t="str">
        <f aca="false">IF(AND(E869&gt;0,Y869&lt;1,NOT(AND(C870=C869,Y870=Y869+1))),INDEX(DATAS,Y869+1),"")</f>
        <v/>
      </c>
      <c r="AG869" s="45" t="str">
        <f aca="false">IF(AND(AA869=1,Y869&lt;1),IF(AND(C870=C869,Y870=Y869+1),IF(AA870=1,"",INDEX(DATAS,Y869+1)),INDEX(DATAS,Y869+1)),"")</f>
        <v/>
      </c>
    </row>
    <row r="870" customFormat="false" ht="15" hidden="false" customHeight="false" outlineLevel="0" collapsed="false">
      <c r="A870" s="45" t="n">
        <v>46309</v>
      </c>
      <c r="B870" s="0" t="n">
        <v>5</v>
      </c>
      <c r="C870" s="0" t="n">
        <v>4832</v>
      </c>
      <c r="D870" s="0" t="n">
        <v>222</v>
      </c>
      <c r="E870" s="0" t="n">
        <v>2</v>
      </c>
      <c r="F870" s="39" t="s">
        <v>655</v>
      </c>
      <c r="G870" s="0" t="n">
        <v>38.5</v>
      </c>
      <c r="H870" s="0" t="n">
        <v>33</v>
      </c>
      <c r="I870" s="39" t="s">
        <v>109</v>
      </c>
      <c r="J870" s="0" t="n">
        <v>68</v>
      </c>
      <c r="K870" s="0" t="n">
        <v>68</v>
      </c>
      <c r="L870" s="0" t="n">
        <v>154</v>
      </c>
      <c r="M870" s="0" t="n">
        <v>603.28</v>
      </c>
      <c r="N870" s="0" t="n">
        <v>51.32</v>
      </c>
      <c r="O870" s="0" t="n">
        <v>37.15</v>
      </c>
      <c r="P870" s="0" t="n">
        <v>5.05</v>
      </c>
      <c r="Q870" s="0" t="n">
        <v>4</v>
      </c>
      <c r="R870" s="0" t="n">
        <v>4688</v>
      </c>
      <c r="S870" s="0" t="n">
        <v>9351</v>
      </c>
      <c r="T870" s="0" t="n">
        <v>52.7</v>
      </c>
      <c r="U870" s="0" t="n">
        <v>1197</v>
      </c>
      <c r="V870" s="0" t="n">
        <v>1</v>
      </c>
      <c r="W870" s="39" t="n">
        <f aca="false">IF(I870="Male",0,1)</f>
        <v>1</v>
      </c>
      <c r="X870" s="39" t="n">
        <f aca="false">IF(OR(I870="DNB",I870="Dry DNB"),1,0)</f>
        <v>0</v>
      </c>
      <c r="Y870" s="39" t="n">
        <f aca="false">MATCH(A870,DATAS,0)</f>
        <v>1</v>
      </c>
      <c r="Z870" s="39" t="n">
        <f aca="false">IF(AND(E870&gt;0,OR(AND(B870&gt;=1,B870&lt;=6),B870=10)),1,0)</f>
        <v>1</v>
      </c>
      <c r="AA870" s="39" t="n">
        <f aca="false">IF(AND(E870&gt;0,B870=10),1,0)</f>
        <v>0</v>
      </c>
      <c r="AB870" s="0" t="str">
        <f aca="false">IF(AND(C869=C870,Y869=Y870-1),Z869,"")</f>
        <v/>
      </c>
      <c r="AC870" s="0" t="str">
        <f aca="false">IF(AND(C869=C870,Y869=Y870-1),AA869,"")</f>
        <v/>
      </c>
      <c r="AD870" s="0" t="str">
        <f aca="false">IF(Y870=1,"",IF(AND(Z870=1,AB870&lt;&gt;1),1,0))</f>
        <v/>
      </c>
      <c r="AE870" s="0" t="str">
        <f aca="false">IF(Y870=1,"",IF(AND(AA870=1,AC870&lt;&gt;1),1,0))</f>
        <v/>
      </c>
      <c r="AF870" s="45" t="str">
        <f aca="false">IF(AND(E870&gt;0,Y870&lt;1,NOT(AND(C871=C870,Y871=Y870+1))),INDEX(DATAS,Y870+1),"")</f>
        <v/>
      </c>
      <c r="AG870" s="45" t="str">
        <f aca="false">IF(AND(AA870=1,Y870&lt;1),IF(AND(C871=C870,Y871=Y870+1),IF(AA871=1,"",INDEX(DATAS,Y870+1)),INDEX(DATAS,Y870+1)),"")</f>
        <v/>
      </c>
    </row>
    <row r="871" customFormat="false" ht="15" hidden="false" customHeight="false" outlineLevel="0" collapsed="false">
      <c r="A871" s="45" t="n">
        <v>46309</v>
      </c>
      <c r="B871" s="0" t="n">
        <v>5</v>
      </c>
      <c r="C871" s="0" t="n">
        <v>4834</v>
      </c>
      <c r="D871" s="0" t="n">
        <v>195</v>
      </c>
      <c r="E871" s="0" t="n">
        <v>2</v>
      </c>
      <c r="F871" s="39" t="s">
        <v>656</v>
      </c>
      <c r="G871" s="0" t="n">
        <v>39.4</v>
      </c>
      <c r="H871" s="0" t="n">
        <v>39</v>
      </c>
      <c r="I871" s="39" t="s">
        <v>109</v>
      </c>
      <c r="J871" s="0" t="n">
        <v>153</v>
      </c>
      <c r="K871" s="0" t="n">
        <v>62</v>
      </c>
      <c r="L871" s="0" t="n">
        <v>42</v>
      </c>
      <c r="M871" s="0" t="n">
        <v>567.93</v>
      </c>
      <c r="N871" s="0" t="n">
        <v>82.15</v>
      </c>
      <c r="O871" s="0" t="n">
        <v>23.9</v>
      </c>
      <c r="P871" s="0" t="n">
        <v>5.09</v>
      </c>
      <c r="Q871" s="0" t="n">
        <v>3.92</v>
      </c>
      <c r="R871" s="0" t="n">
        <v>3838</v>
      </c>
      <c r="S871" s="0" t="n">
        <v>7938</v>
      </c>
      <c r="T871" s="0" t="n">
        <v>41</v>
      </c>
      <c r="U871" s="0" t="n">
        <v>1196</v>
      </c>
      <c r="V871" s="0" t="n">
        <v>3</v>
      </c>
      <c r="W871" s="39" t="n">
        <f aca="false">IF(I871="Male",0,1)</f>
        <v>1</v>
      </c>
      <c r="X871" s="39" t="n">
        <f aca="false">IF(OR(I871="DNB",I871="Dry DNB"),1,0)</f>
        <v>0</v>
      </c>
      <c r="Y871" s="39" t="n">
        <f aca="false">MATCH(A871,DATAS,0)</f>
        <v>1</v>
      </c>
      <c r="Z871" s="39" t="n">
        <f aca="false">IF(AND(E871&gt;0,OR(AND(B871&gt;=1,B871&lt;=6),B871=10)),1,0)</f>
        <v>1</v>
      </c>
      <c r="AA871" s="39" t="n">
        <f aca="false">IF(AND(E871&gt;0,B871=10),1,0)</f>
        <v>0</v>
      </c>
      <c r="AB871" s="0" t="str">
        <f aca="false">IF(AND(C870=C871,Y870=Y871-1),Z870,"")</f>
        <v/>
      </c>
      <c r="AC871" s="0" t="str">
        <f aca="false">IF(AND(C870=C871,Y870=Y871-1),AA870,"")</f>
        <v/>
      </c>
      <c r="AD871" s="0" t="str">
        <f aca="false">IF(Y871=1,"",IF(AND(Z871=1,AB871&lt;&gt;1),1,0))</f>
        <v/>
      </c>
      <c r="AE871" s="0" t="str">
        <f aca="false">IF(Y871=1,"",IF(AND(AA871=1,AC871&lt;&gt;1),1,0))</f>
        <v/>
      </c>
      <c r="AF871" s="45" t="str">
        <f aca="false">IF(AND(E871&gt;0,Y871&lt;1,NOT(AND(C872=C871,Y872=Y871+1))),INDEX(DATAS,Y871+1),"")</f>
        <v/>
      </c>
      <c r="AG871" s="45" t="str">
        <f aca="false">IF(AND(AA871=1,Y871&lt;1),IF(AND(C872=C871,Y872=Y871+1),IF(AA872=1,"",INDEX(DATAS,Y871+1)),INDEX(DATAS,Y871+1)),"")</f>
        <v/>
      </c>
    </row>
    <row r="872" customFormat="false" ht="15" hidden="false" customHeight="false" outlineLevel="0" collapsed="false">
      <c r="A872" s="45" t="n">
        <v>46309</v>
      </c>
      <c r="B872" s="0" t="n">
        <v>2</v>
      </c>
      <c r="C872" s="0" t="n">
        <v>4835</v>
      </c>
      <c r="D872" s="0" t="n">
        <v>149</v>
      </c>
      <c r="E872" s="0" t="n">
        <v>2</v>
      </c>
      <c r="F872" s="39" t="s">
        <v>656</v>
      </c>
      <c r="G872" s="0" t="n">
        <v>68.5</v>
      </c>
      <c r="H872" s="0" t="n">
        <v>65</v>
      </c>
      <c r="I872" s="39" t="s">
        <v>109</v>
      </c>
      <c r="J872" s="0" t="n">
        <v>65</v>
      </c>
      <c r="K872" s="0" t="n">
        <v>65</v>
      </c>
      <c r="L872" s="0" t="n">
        <v>84</v>
      </c>
      <c r="M872" s="0" t="n">
        <v>1538.67</v>
      </c>
      <c r="N872" s="0" t="n">
        <v>49.94</v>
      </c>
      <c r="O872" s="0" t="n">
        <v>39.8</v>
      </c>
      <c r="P872" s="0" t="n">
        <v>3.68</v>
      </c>
      <c r="Q872" s="0" t="n">
        <v>2.97</v>
      </c>
      <c r="R872" s="0" t="n">
        <v>6338</v>
      </c>
      <c r="S872" s="0" t="n">
        <v>13346</v>
      </c>
      <c r="T872" s="0" t="n">
        <v>66.95</v>
      </c>
      <c r="U872" s="0" t="n">
        <v>1196</v>
      </c>
      <c r="V872" s="0" t="n">
        <v>1</v>
      </c>
      <c r="W872" s="39" t="n">
        <f aca="false">IF(I872="Male",0,1)</f>
        <v>1</v>
      </c>
      <c r="X872" s="39" t="n">
        <f aca="false">IF(OR(I872="DNB",I872="Dry DNB"),1,0)</f>
        <v>0</v>
      </c>
      <c r="Y872" s="39" t="n">
        <f aca="false">MATCH(A872,DATAS,0)</f>
        <v>1</v>
      </c>
      <c r="Z872" s="39" t="n">
        <f aca="false">IF(AND(E872&gt;0,OR(AND(B872&gt;=1,B872&lt;=6),B872=10)),1,0)</f>
        <v>1</v>
      </c>
      <c r="AA872" s="39" t="n">
        <f aca="false">IF(AND(E872&gt;0,B872=10),1,0)</f>
        <v>0</v>
      </c>
      <c r="AB872" s="0" t="str">
        <f aca="false">IF(AND(C871=C872,Y871=Y872-1),Z871,"")</f>
        <v/>
      </c>
      <c r="AC872" s="0" t="str">
        <f aca="false">IF(AND(C871=C872,Y871=Y872-1),AA871,"")</f>
        <v/>
      </c>
      <c r="AD872" s="0" t="str">
        <f aca="false">IF(Y872=1,"",IF(AND(Z872=1,AB872&lt;&gt;1),1,0))</f>
        <v/>
      </c>
      <c r="AE872" s="0" t="str">
        <f aca="false">IF(Y872=1,"",IF(AND(AA872=1,AC872&lt;&gt;1),1,0))</f>
        <v/>
      </c>
      <c r="AF872" s="45" t="str">
        <f aca="false">IF(AND(E872&gt;0,Y872&lt;1,NOT(AND(C873=C872,Y873=Y872+1))),INDEX(DATAS,Y872+1),"")</f>
        <v/>
      </c>
      <c r="AG872" s="45" t="str">
        <f aca="false">IF(AND(AA872=1,Y872&lt;1),IF(AND(C873=C872,Y873=Y872+1),IF(AA873=1,"",INDEX(DATAS,Y872+1)),INDEX(DATAS,Y872+1)),"")</f>
        <v/>
      </c>
    </row>
    <row r="873" customFormat="false" ht="15" hidden="false" customHeight="false" outlineLevel="0" collapsed="false">
      <c r="A873" s="45" t="n">
        <v>46309</v>
      </c>
      <c r="B873" s="0" t="n">
        <v>3</v>
      </c>
      <c r="C873" s="0" t="n">
        <v>4836</v>
      </c>
      <c r="D873" s="0" t="n">
        <v>3</v>
      </c>
      <c r="E873" s="0" t="n">
        <v>3</v>
      </c>
      <c r="F873" s="39" t="s">
        <v>657</v>
      </c>
      <c r="G873" s="0" t="n">
        <v>26.2</v>
      </c>
      <c r="H873" s="0" t="n">
        <v>21</v>
      </c>
      <c r="I873" s="39" t="s">
        <v>118</v>
      </c>
      <c r="J873" s="0" t="n">
        <v>3</v>
      </c>
      <c r="M873" s="0" t="n">
        <v>1830.22</v>
      </c>
      <c r="N873" s="0" t="n">
        <v>52.13</v>
      </c>
      <c r="O873" s="0" t="n">
        <v>55.27</v>
      </c>
      <c r="R873" s="0" t="n">
        <v>1958</v>
      </c>
      <c r="S873" s="0" t="n">
        <v>3936</v>
      </c>
      <c r="U873" s="0" t="n">
        <v>1195</v>
      </c>
      <c r="V873" s="0" t="n">
        <v>0</v>
      </c>
      <c r="W873" s="39" t="n">
        <f aca="false">IF(I873="Male",0,1)</f>
        <v>1</v>
      </c>
      <c r="X873" s="39" t="n">
        <f aca="false">IF(OR(I873="DNB",I873="Dry DNB"),1,0)</f>
        <v>0</v>
      </c>
      <c r="Y873" s="39" t="n">
        <f aca="false">MATCH(A873,DATAS,0)</f>
        <v>1</v>
      </c>
      <c r="Z873" s="39" t="n">
        <f aca="false">IF(AND(E873&gt;0,OR(AND(B873&gt;=1,B873&lt;=6),B873=10)),1,0)</f>
        <v>1</v>
      </c>
      <c r="AA873" s="39" t="n">
        <f aca="false">IF(AND(E873&gt;0,B873=10),1,0)</f>
        <v>0</v>
      </c>
      <c r="AB873" s="0" t="str">
        <f aca="false">IF(AND(C872=C873,Y872=Y873-1),Z872,"")</f>
        <v/>
      </c>
      <c r="AC873" s="0" t="str">
        <f aca="false">IF(AND(C872=C873,Y872=Y873-1),AA872,"")</f>
        <v/>
      </c>
      <c r="AD873" s="0" t="str">
        <f aca="false">IF(Y873=1,"",IF(AND(Z873=1,AB873&lt;&gt;1),1,0))</f>
        <v/>
      </c>
      <c r="AE873" s="0" t="str">
        <f aca="false">IF(Y873=1,"",IF(AND(AA873=1,AC873&lt;&gt;1),1,0))</f>
        <v/>
      </c>
      <c r="AF873" s="45" t="str">
        <f aca="false">IF(AND(E873&gt;0,Y873&lt;1,NOT(AND(C874=C873,Y874=Y873+1))),INDEX(DATAS,Y873+1),"")</f>
        <v/>
      </c>
      <c r="AG873" s="45" t="str">
        <f aca="false">IF(AND(AA873=1,Y873&lt;1),IF(AND(C874=C873,Y874=Y873+1),IF(AA874=1,"",INDEX(DATAS,Y873+1)),INDEX(DATAS,Y873+1)),"")</f>
        <v/>
      </c>
    </row>
    <row r="874" customFormat="false" ht="15" hidden="false" customHeight="false" outlineLevel="0" collapsed="false">
      <c r="A874" s="45" t="n">
        <v>46309</v>
      </c>
      <c r="B874" s="0" t="n">
        <v>5</v>
      </c>
      <c r="C874" s="0" t="n">
        <v>4837</v>
      </c>
      <c r="D874" s="0" t="n">
        <v>227</v>
      </c>
      <c r="E874" s="0" t="n">
        <v>2</v>
      </c>
      <c r="F874" s="39" t="s">
        <v>657</v>
      </c>
      <c r="G874" s="0" t="n">
        <v>32.7</v>
      </c>
      <c r="H874" s="0" t="n">
        <v>30</v>
      </c>
      <c r="I874" s="39" t="s">
        <v>109</v>
      </c>
      <c r="J874" s="0" t="n">
        <v>66</v>
      </c>
      <c r="K874" s="0" t="n">
        <v>66</v>
      </c>
      <c r="L874" s="0" t="n">
        <v>161</v>
      </c>
      <c r="M874" s="0" t="n">
        <v>944.49</v>
      </c>
      <c r="N874" s="0" t="n">
        <v>31.31</v>
      </c>
      <c r="O874" s="0" t="n">
        <v>42.17</v>
      </c>
      <c r="P874" s="0" t="n">
        <v>4.24</v>
      </c>
      <c r="Q874" s="0" t="n">
        <v>4.18</v>
      </c>
      <c r="R874" s="0" t="n">
        <v>3616</v>
      </c>
      <c r="S874" s="0" t="n">
        <v>7328</v>
      </c>
      <c r="T874" s="0" t="n">
        <v>35.85</v>
      </c>
      <c r="U874" s="0" t="n">
        <v>1195</v>
      </c>
      <c r="V874" s="0" t="n">
        <v>1</v>
      </c>
      <c r="W874" s="39" t="n">
        <f aca="false">IF(I874="Male",0,1)</f>
        <v>1</v>
      </c>
      <c r="X874" s="39" t="n">
        <f aca="false">IF(OR(I874="DNB",I874="Dry DNB"),1,0)</f>
        <v>0</v>
      </c>
      <c r="Y874" s="39" t="n">
        <f aca="false">MATCH(A874,DATAS,0)</f>
        <v>1</v>
      </c>
      <c r="Z874" s="39" t="n">
        <f aca="false">IF(AND(E874&gt;0,OR(AND(B874&gt;=1,B874&lt;=6),B874=10)),1,0)</f>
        <v>1</v>
      </c>
      <c r="AA874" s="39" t="n">
        <f aca="false">IF(AND(E874&gt;0,B874=10),1,0)</f>
        <v>0</v>
      </c>
      <c r="AB874" s="0" t="str">
        <f aca="false">IF(AND(C873=C874,Y873=Y874-1),Z873,"")</f>
        <v/>
      </c>
      <c r="AC874" s="0" t="str">
        <f aca="false">IF(AND(C873=C874,Y873=Y874-1),AA873,"")</f>
        <v/>
      </c>
      <c r="AD874" s="0" t="str">
        <f aca="false">IF(Y874=1,"",IF(AND(Z874=1,AB874&lt;&gt;1),1,0))</f>
        <v/>
      </c>
      <c r="AE874" s="0" t="str">
        <f aca="false">IF(Y874=1,"",IF(AND(AA874=1,AC874&lt;&gt;1),1,0))</f>
        <v/>
      </c>
      <c r="AF874" s="45" t="str">
        <f aca="false">IF(AND(E874&gt;0,Y874&lt;1,NOT(AND(C875=C874,Y875=Y874+1))),INDEX(DATAS,Y874+1),"")</f>
        <v/>
      </c>
      <c r="AG874" s="45" t="str">
        <f aca="false">IF(AND(AA874=1,Y874&lt;1),IF(AND(C875=C874,Y875=Y874+1),IF(AA875=1,"",INDEX(DATAS,Y874+1)),INDEX(DATAS,Y874+1)),"")</f>
        <v/>
      </c>
    </row>
    <row r="875" customFormat="false" ht="15" hidden="false" customHeight="false" outlineLevel="0" collapsed="false">
      <c r="A875" s="45" t="n">
        <v>46309</v>
      </c>
      <c r="B875" s="0" t="n">
        <v>5</v>
      </c>
      <c r="C875" s="0" t="n">
        <v>4838</v>
      </c>
      <c r="D875" s="0" t="n">
        <v>123</v>
      </c>
      <c r="E875" s="0" t="n">
        <v>2</v>
      </c>
      <c r="F875" s="39" t="s">
        <v>658</v>
      </c>
      <c r="G875" s="0" t="n">
        <v>41.9</v>
      </c>
      <c r="H875" s="0" t="n">
        <v>39</v>
      </c>
      <c r="I875" s="39" t="s">
        <v>109</v>
      </c>
      <c r="J875" s="0" t="n">
        <v>67</v>
      </c>
      <c r="K875" s="0" t="n">
        <v>67</v>
      </c>
      <c r="L875" s="0" t="n">
        <v>56</v>
      </c>
      <c r="M875" s="0" t="n">
        <v>219.89</v>
      </c>
      <c r="N875" s="0" t="n">
        <v>109.85</v>
      </c>
      <c r="O875" s="0" t="n">
        <v>35.64</v>
      </c>
      <c r="P875" s="0" t="n">
        <v>5.75</v>
      </c>
      <c r="Q875" s="0" t="n">
        <v>3.72</v>
      </c>
      <c r="R875" s="0" t="n">
        <v>4647</v>
      </c>
      <c r="S875" s="0" t="n">
        <v>9180</v>
      </c>
      <c r="T875" s="0" t="n">
        <v>50.05</v>
      </c>
      <c r="U875" s="0" t="n">
        <v>1194</v>
      </c>
      <c r="V875" s="0" t="n">
        <v>1</v>
      </c>
      <c r="W875" s="39" t="n">
        <f aca="false">IF(I875="Male",0,1)</f>
        <v>1</v>
      </c>
      <c r="X875" s="39" t="n">
        <f aca="false">IF(OR(I875="DNB",I875="Dry DNB"),1,0)</f>
        <v>0</v>
      </c>
      <c r="Y875" s="39" t="n">
        <f aca="false">MATCH(A875,DATAS,0)</f>
        <v>1</v>
      </c>
      <c r="Z875" s="39" t="n">
        <f aca="false">IF(AND(E875&gt;0,OR(AND(B875&gt;=1,B875&lt;=6),B875=10)),1,0)</f>
        <v>1</v>
      </c>
      <c r="AA875" s="39" t="n">
        <f aca="false">IF(AND(E875&gt;0,B875=10),1,0)</f>
        <v>0</v>
      </c>
      <c r="AB875" s="0" t="str">
        <f aca="false">IF(AND(C874=C875,Y874=Y875-1),Z874,"")</f>
        <v/>
      </c>
      <c r="AC875" s="0" t="str">
        <f aca="false">IF(AND(C874=C875,Y874=Y875-1),AA874,"")</f>
        <v/>
      </c>
      <c r="AD875" s="0" t="str">
        <f aca="false">IF(Y875=1,"",IF(AND(Z875=1,AB875&lt;&gt;1),1,0))</f>
        <v/>
      </c>
      <c r="AE875" s="0" t="str">
        <f aca="false">IF(Y875=1,"",IF(AND(AA875=1,AC875&lt;&gt;1),1,0))</f>
        <v/>
      </c>
      <c r="AF875" s="45" t="str">
        <f aca="false">IF(AND(E875&gt;0,Y875&lt;1,NOT(AND(C876=C875,Y876=Y875+1))),INDEX(DATAS,Y875+1),"")</f>
        <v/>
      </c>
      <c r="AG875" s="45" t="str">
        <f aca="false">IF(AND(AA875=1,Y875&lt;1),IF(AND(C876=C875,Y876=Y875+1),IF(AA876=1,"",INDEX(DATAS,Y875+1)),INDEX(DATAS,Y875+1)),"")</f>
        <v/>
      </c>
    </row>
    <row r="876" customFormat="false" ht="15" hidden="false" customHeight="false" outlineLevel="0" collapsed="false">
      <c r="A876" s="45" t="n">
        <v>46309</v>
      </c>
      <c r="B876" s="0" t="n">
        <v>5</v>
      </c>
      <c r="C876" s="0" t="n">
        <v>4839</v>
      </c>
      <c r="D876" s="0" t="n">
        <v>433</v>
      </c>
      <c r="E876" s="0" t="n">
        <v>1</v>
      </c>
      <c r="F876" s="39" t="s">
        <v>658</v>
      </c>
      <c r="G876" s="0" t="n">
        <v>41.8</v>
      </c>
      <c r="H876" s="0" t="n">
        <v>32</v>
      </c>
      <c r="I876" s="39" t="s">
        <v>138</v>
      </c>
      <c r="J876" s="0" t="n">
        <v>433</v>
      </c>
      <c r="K876" s="0" t="n">
        <v>62</v>
      </c>
      <c r="M876" s="0" t="n">
        <v>1557.08</v>
      </c>
      <c r="N876" s="0" t="n">
        <v>37.3</v>
      </c>
      <c r="O876" s="0" t="n">
        <v>42.11</v>
      </c>
      <c r="P876" s="0" t="n">
        <v>3.46</v>
      </c>
      <c r="Q876" s="0" t="n">
        <v>3.87</v>
      </c>
      <c r="R876" s="0" t="n">
        <v>4301</v>
      </c>
      <c r="S876" s="0" t="n">
        <v>9627</v>
      </c>
      <c r="T876" s="0" t="n">
        <v>40.8</v>
      </c>
      <c r="U876" s="0" t="n">
        <v>1194</v>
      </c>
      <c r="V876" s="0" t="n">
        <v>10</v>
      </c>
      <c r="W876" s="39" t="n">
        <f aca="false">IF(I876="Male",0,1)</f>
        <v>1</v>
      </c>
      <c r="X876" s="39" t="n">
        <f aca="false">IF(OR(I876="DNB",I876="Dry DNB"),1,0)</f>
        <v>0</v>
      </c>
      <c r="Y876" s="39" t="n">
        <f aca="false">MATCH(A876,DATAS,0)</f>
        <v>1</v>
      </c>
      <c r="Z876" s="39" t="n">
        <f aca="false">IF(AND(E876&gt;0,OR(AND(B876&gt;=1,B876&lt;=6),B876=10)),1,0)</f>
        <v>1</v>
      </c>
      <c r="AA876" s="39" t="n">
        <f aca="false">IF(AND(E876&gt;0,B876=10),1,0)</f>
        <v>0</v>
      </c>
      <c r="AB876" s="0" t="str">
        <f aca="false">IF(AND(C875=C876,Y875=Y876-1),Z875,"")</f>
        <v/>
      </c>
      <c r="AC876" s="0" t="str">
        <f aca="false">IF(AND(C875=C876,Y875=Y876-1),AA875,"")</f>
        <v/>
      </c>
      <c r="AD876" s="0" t="str">
        <f aca="false">IF(Y876=1,"",IF(AND(Z876=1,AB876&lt;&gt;1),1,0))</f>
        <v/>
      </c>
      <c r="AE876" s="0" t="str">
        <f aca="false">IF(Y876=1,"",IF(AND(AA876=1,AC876&lt;&gt;1),1,0))</f>
        <v/>
      </c>
      <c r="AF876" s="45" t="str">
        <f aca="false">IF(AND(E876&gt;0,Y876&lt;1,NOT(AND(C877=C876,Y877=Y876+1))),INDEX(DATAS,Y876+1),"")</f>
        <v/>
      </c>
      <c r="AG876" s="45" t="str">
        <f aca="false">IF(AND(AA876=1,Y876&lt;1),IF(AND(C877=C876,Y877=Y876+1),IF(AA877=1,"",INDEX(DATAS,Y876+1)),INDEX(DATAS,Y876+1)),"")</f>
        <v/>
      </c>
    </row>
    <row r="877" customFormat="false" ht="15" hidden="false" customHeight="false" outlineLevel="0" collapsed="false">
      <c r="A877" s="45" t="n">
        <v>46309</v>
      </c>
      <c r="B877" s="0" t="n">
        <v>5</v>
      </c>
      <c r="C877" s="0" t="n">
        <v>4840</v>
      </c>
      <c r="D877" s="0" t="n">
        <v>155</v>
      </c>
      <c r="E877" s="0" t="n">
        <v>2</v>
      </c>
      <c r="F877" s="39" t="s">
        <v>658</v>
      </c>
      <c r="G877" s="0" t="n">
        <v>20</v>
      </c>
      <c r="H877" s="0" t="n">
        <v>23</v>
      </c>
      <c r="I877" s="39" t="s">
        <v>109</v>
      </c>
      <c r="J877" s="0" t="n">
        <v>106</v>
      </c>
      <c r="K877" s="0" t="n">
        <v>64</v>
      </c>
      <c r="L877" s="0" t="n">
        <v>49</v>
      </c>
      <c r="M877" s="0" t="n">
        <v>315.95</v>
      </c>
      <c r="N877" s="0" t="n">
        <v>68.76</v>
      </c>
      <c r="O877" s="0" t="n">
        <v>27.45</v>
      </c>
      <c r="P877" s="0" t="n">
        <v>4.66</v>
      </c>
      <c r="Q877" s="0" t="n">
        <v>3.12</v>
      </c>
      <c r="R877" s="0" t="n">
        <v>5118</v>
      </c>
      <c r="S877" s="0" t="n">
        <v>10391</v>
      </c>
      <c r="U877" s="0" t="n">
        <v>1194</v>
      </c>
      <c r="V877" s="0" t="n">
        <v>2</v>
      </c>
      <c r="W877" s="39" t="n">
        <f aca="false">IF(I877="Male",0,1)</f>
        <v>1</v>
      </c>
      <c r="X877" s="39" t="n">
        <f aca="false">IF(OR(I877="DNB",I877="Dry DNB"),1,0)</f>
        <v>0</v>
      </c>
      <c r="Y877" s="39" t="n">
        <f aca="false">MATCH(A877,DATAS,0)</f>
        <v>1</v>
      </c>
      <c r="Z877" s="39" t="n">
        <f aca="false">IF(AND(E877&gt;0,OR(AND(B877&gt;=1,B877&lt;=6),B877=10)),1,0)</f>
        <v>1</v>
      </c>
      <c r="AA877" s="39" t="n">
        <f aca="false">IF(AND(E877&gt;0,B877=10),1,0)</f>
        <v>0</v>
      </c>
      <c r="AB877" s="0" t="str">
        <f aca="false">IF(AND(C876=C877,Y876=Y877-1),Z876,"")</f>
        <v/>
      </c>
      <c r="AC877" s="0" t="str">
        <f aca="false">IF(AND(C876=C877,Y876=Y877-1),AA876,"")</f>
        <v/>
      </c>
      <c r="AD877" s="0" t="str">
        <f aca="false">IF(Y877=1,"",IF(AND(Z877=1,AB877&lt;&gt;1),1,0))</f>
        <v/>
      </c>
      <c r="AE877" s="0" t="str">
        <f aca="false">IF(Y877=1,"",IF(AND(AA877=1,AC877&lt;&gt;1),1,0))</f>
        <v/>
      </c>
      <c r="AF877" s="45" t="str">
        <f aca="false">IF(AND(E877&gt;0,Y877&lt;1,NOT(AND(C878=C877,Y878=Y877+1))),INDEX(DATAS,Y877+1),"")</f>
        <v/>
      </c>
      <c r="AG877" s="45" t="str">
        <f aca="false">IF(AND(AA877=1,Y877&lt;1),IF(AND(C878=C877,Y878=Y877+1),IF(AA878=1,"",INDEX(DATAS,Y877+1)),INDEX(DATAS,Y877+1)),"")</f>
        <v/>
      </c>
    </row>
    <row r="878" customFormat="false" ht="15" hidden="false" customHeight="false" outlineLevel="0" collapsed="false">
      <c r="A878" s="45" t="n">
        <v>46309</v>
      </c>
      <c r="B878" s="0" t="n">
        <v>2</v>
      </c>
      <c r="C878" s="0" t="n">
        <v>4841</v>
      </c>
      <c r="D878" s="0" t="n">
        <v>182</v>
      </c>
      <c r="E878" s="0" t="n">
        <v>2</v>
      </c>
      <c r="F878" s="39" t="s">
        <v>658</v>
      </c>
      <c r="G878" s="0" t="n">
        <v>47.8</v>
      </c>
      <c r="H878" s="0" t="n">
        <v>47</v>
      </c>
      <c r="I878" s="39" t="s">
        <v>109</v>
      </c>
      <c r="J878" s="0" t="n">
        <v>77</v>
      </c>
      <c r="K878" s="0" t="n">
        <v>77</v>
      </c>
      <c r="L878" s="0" t="n">
        <v>105</v>
      </c>
      <c r="M878" s="0" t="n">
        <v>644.99</v>
      </c>
      <c r="N878" s="0" t="n">
        <v>49.97</v>
      </c>
      <c r="O878" s="0" t="n">
        <v>25.62</v>
      </c>
      <c r="P878" s="0" t="n">
        <v>3.31</v>
      </c>
      <c r="Q878" s="0" t="n">
        <v>3.28</v>
      </c>
      <c r="R878" s="0" t="n">
        <v>4034</v>
      </c>
      <c r="S878" s="0" t="n">
        <v>9220</v>
      </c>
      <c r="T878" s="0" t="n">
        <v>44.5</v>
      </c>
      <c r="U878" s="0" t="n">
        <v>1194</v>
      </c>
      <c r="V878" s="0" t="n">
        <v>1</v>
      </c>
      <c r="W878" s="39" t="n">
        <f aca="false">IF(I878="Male",0,1)</f>
        <v>1</v>
      </c>
      <c r="X878" s="39" t="n">
        <f aca="false">IF(OR(I878="DNB",I878="Dry DNB"),1,0)</f>
        <v>0</v>
      </c>
      <c r="Y878" s="39" t="n">
        <f aca="false">MATCH(A878,DATAS,0)</f>
        <v>1</v>
      </c>
      <c r="Z878" s="39" t="n">
        <f aca="false">IF(AND(E878&gt;0,OR(AND(B878&gt;=1,B878&lt;=6),B878=10)),1,0)</f>
        <v>1</v>
      </c>
      <c r="AA878" s="39" t="n">
        <f aca="false">IF(AND(E878&gt;0,B878=10),1,0)</f>
        <v>0</v>
      </c>
      <c r="AB878" s="0" t="str">
        <f aca="false">IF(AND(C877=C878,Y877=Y878-1),Z877,"")</f>
        <v/>
      </c>
      <c r="AC878" s="0" t="str">
        <f aca="false">IF(AND(C877=C878,Y877=Y878-1),AA877,"")</f>
        <v/>
      </c>
      <c r="AD878" s="0" t="str">
        <f aca="false">IF(Y878=1,"",IF(AND(Z878=1,AB878&lt;&gt;1),1,0))</f>
        <v/>
      </c>
      <c r="AE878" s="0" t="str">
        <f aca="false">IF(Y878=1,"",IF(AND(AA878=1,AC878&lt;&gt;1),1,0))</f>
        <v/>
      </c>
      <c r="AF878" s="45" t="str">
        <f aca="false">IF(AND(E878&gt;0,Y878&lt;1,NOT(AND(C879=C878,Y879=Y878+1))),INDEX(DATAS,Y878+1),"")</f>
        <v/>
      </c>
      <c r="AG878" s="45" t="str">
        <f aca="false">IF(AND(AA878=1,Y878&lt;1),IF(AND(C879=C878,Y879=Y878+1),IF(AA879=1,"",INDEX(DATAS,Y878+1)),INDEX(DATAS,Y878+1)),"")</f>
        <v/>
      </c>
    </row>
    <row r="879" customFormat="false" ht="15" hidden="false" customHeight="false" outlineLevel="0" collapsed="false">
      <c r="A879" s="45" t="n">
        <v>46309</v>
      </c>
      <c r="B879" s="0" t="n">
        <v>7</v>
      </c>
      <c r="C879" s="0" t="n">
        <v>4842</v>
      </c>
      <c r="D879" s="0" t="n">
        <v>428</v>
      </c>
      <c r="E879" s="0" t="n">
        <v>1</v>
      </c>
      <c r="F879" s="39" t="s">
        <v>658</v>
      </c>
      <c r="I879" s="39" t="s">
        <v>114</v>
      </c>
      <c r="J879" s="0" t="n">
        <v>432</v>
      </c>
      <c r="K879" s="0" t="n">
        <v>58</v>
      </c>
      <c r="L879" s="0" t="n">
        <v>60</v>
      </c>
      <c r="M879" s="0" t="n">
        <v>573.68</v>
      </c>
      <c r="N879" s="0" t="n">
        <v>66.4</v>
      </c>
      <c r="O879" s="0" t="n">
        <v>35.69</v>
      </c>
      <c r="P879" s="0" t="n">
        <v>8.4</v>
      </c>
      <c r="Q879" s="0" t="n">
        <v>5.68</v>
      </c>
      <c r="R879" s="0" t="n">
        <v>4298</v>
      </c>
      <c r="S879" s="0" t="n">
        <v>9366</v>
      </c>
      <c r="T879" s="0" t="n">
        <v>55.1</v>
      </c>
      <c r="U879" s="0" t="n">
        <v>1194</v>
      </c>
      <c r="V879" s="0" t="n">
        <v>10</v>
      </c>
      <c r="W879" s="39" t="n">
        <f aca="false">IF(I879="Male",0,1)</f>
        <v>1</v>
      </c>
      <c r="X879" s="39" t="n">
        <f aca="false">IF(OR(I879="DNB",I879="Dry DNB"),1,0)</f>
        <v>0</v>
      </c>
      <c r="Y879" s="39" t="n">
        <f aca="false">MATCH(A879,DATAS,0)</f>
        <v>1</v>
      </c>
      <c r="Z879" s="39" t="n">
        <f aca="false">IF(AND(E879&gt;0,OR(AND(B879&gt;=1,B879&lt;=6),B879=10)),1,0)</f>
        <v>0</v>
      </c>
      <c r="AA879" s="39" t="n">
        <f aca="false">IF(AND(E879&gt;0,B879=10),1,0)</f>
        <v>0</v>
      </c>
      <c r="AB879" s="0" t="str">
        <f aca="false">IF(AND(C878=C879,Y878=Y879-1),Z878,"")</f>
        <v/>
      </c>
      <c r="AC879" s="0" t="str">
        <f aca="false">IF(AND(C878=C879,Y878=Y879-1),AA878,"")</f>
        <v/>
      </c>
      <c r="AD879" s="0" t="str">
        <f aca="false">IF(Y879=1,"",IF(AND(Z879=1,AB879&lt;&gt;1),1,0))</f>
        <v/>
      </c>
      <c r="AE879" s="0" t="str">
        <f aca="false">IF(Y879=1,"",IF(AND(AA879=1,AC879&lt;&gt;1),1,0))</f>
        <v/>
      </c>
      <c r="AF879" s="45" t="str">
        <f aca="false">IF(AND(E879&gt;0,Y879&lt;1,NOT(AND(C880=C879,Y880=Y879+1))),INDEX(DATAS,Y879+1),"")</f>
        <v/>
      </c>
      <c r="AG879" s="45" t="str">
        <f aca="false">IF(AND(AA879=1,Y879&lt;1),IF(AND(C880=C879,Y880=Y879+1),IF(AA880=1,"",INDEX(DATAS,Y879+1)),INDEX(DATAS,Y879+1)),"")</f>
        <v/>
      </c>
    </row>
    <row r="880" customFormat="false" ht="15" hidden="false" customHeight="false" outlineLevel="0" collapsed="false">
      <c r="A880" s="45" t="n">
        <v>46309</v>
      </c>
      <c r="B880" s="0" t="n">
        <v>5</v>
      </c>
      <c r="C880" s="0" t="n">
        <v>4845</v>
      </c>
      <c r="D880" s="0" t="n">
        <v>120</v>
      </c>
      <c r="E880" s="0" t="n">
        <v>2</v>
      </c>
      <c r="F880" s="39" t="s">
        <v>659</v>
      </c>
      <c r="G880" s="0" t="n">
        <v>42.4</v>
      </c>
      <c r="H880" s="0" t="n">
        <v>40</v>
      </c>
      <c r="I880" s="39" t="s">
        <v>109</v>
      </c>
      <c r="J880" s="0" t="n">
        <v>64</v>
      </c>
      <c r="K880" s="0" t="n">
        <v>64</v>
      </c>
      <c r="L880" s="0" t="n">
        <v>56</v>
      </c>
      <c r="M880" s="0" t="n">
        <v>1118.59</v>
      </c>
      <c r="N880" s="0" t="n">
        <v>49.96</v>
      </c>
      <c r="O880" s="0" t="n">
        <v>45.74</v>
      </c>
      <c r="P880" s="0" t="n">
        <v>3.43</v>
      </c>
      <c r="Q880" s="0" t="n">
        <v>3.79</v>
      </c>
      <c r="R880" s="0" t="n">
        <v>3996</v>
      </c>
      <c r="S880" s="0" t="n">
        <v>7903</v>
      </c>
      <c r="T880" s="0" t="n">
        <v>43.35</v>
      </c>
      <c r="U880" s="0" t="n">
        <v>1192</v>
      </c>
      <c r="V880" s="0" t="n">
        <v>1</v>
      </c>
      <c r="W880" s="39" t="n">
        <f aca="false">IF(I880="Male",0,1)</f>
        <v>1</v>
      </c>
      <c r="X880" s="39" t="n">
        <f aca="false">IF(OR(I880="DNB",I880="Dry DNB"),1,0)</f>
        <v>0</v>
      </c>
      <c r="Y880" s="39" t="n">
        <f aca="false">MATCH(A880,DATAS,0)</f>
        <v>1</v>
      </c>
      <c r="Z880" s="39" t="n">
        <f aca="false">IF(AND(E880&gt;0,OR(AND(B880&gt;=1,B880&lt;=6),B880=10)),1,0)</f>
        <v>1</v>
      </c>
      <c r="AA880" s="39" t="n">
        <f aca="false">IF(AND(E880&gt;0,B880=10),1,0)</f>
        <v>0</v>
      </c>
      <c r="AB880" s="0" t="str">
        <f aca="false">IF(AND(C879=C880,Y879=Y880-1),Z879,"")</f>
        <v/>
      </c>
      <c r="AC880" s="0" t="str">
        <f aca="false">IF(AND(C879=C880,Y879=Y880-1),AA879,"")</f>
        <v/>
      </c>
      <c r="AD880" s="0" t="str">
        <f aca="false">IF(Y880=1,"",IF(AND(Z880=1,AB880&lt;&gt;1),1,0))</f>
        <v/>
      </c>
      <c r="AE880" s="0" t="str">
        <f aca="false">IF(Y880=1,"",IF(AND(AA880=1,AC880&lt;&gt;1),1,0))</f>
        <v/>
      </c>
      <c r="AF880" s="45" t="str">
        <f aca="false">IF(AND(E880&gt;0,Y880&lt;1,NOT(AND(C881=C880,Y881=Y880+1))),INDEX(DATAS,Y880+1),"")</f>
        <v/>
      </c>
      <c r="AG880" s="45" t="str">
        <f aca="false">IF(AND(AA880=1,Y880&lt;1),IF(AND(C881=C880,Y881=Y880+1),IF(AA881=1,"",INDEX(DATAS,Y880+1)),INDEX(DATAS,Y880+1)),"")</f>
        <v/>
      </c>
    </row>
    <row r="881" customFormat="false" ht="15" hidden="false" customHeight="false" outlineLevel="0" collapsed="false">
      <c r="A881" s="45" t="n">
        <v>46309</v>
      </c>
      <c r="B881" s="0" t="n">
        <v>6</v>
      </c>
      <c r="C881" s="0" t="n">
        <v>4846</v>
      </c>
      <c r="D881" s="0" t="n">
        <v>217</v>
      </c>
      <c r="E881" s="0" t="n">
        <v>2</v>
      </c>
      <c r="F881" s="39" t="s">
        <v>659</v>
      </c>
      <c r="G881" s="0" t="n">
        <v>23.4</v>
      </c>
      <c r="H881" s="0" t="n">
        <v>22</v>
      </c>
      <c r="I881" s="39" t="s">
        <v>109</v>
      </c>
      <c r="J881" s="0" t="n">
        <v>179</v>
      </c>
      <c r="K881" s="0" t="n">
        <v>63</v>
      </c>
      <c r="L881" s="0" t="n">
        <v>38</v>
      </c>
      <c r="M881" s="0" t="n">
        <v>714.07</v>
      </c>
      <c r="N881" s="0" t="n">
        <v>63.92</v>
      </c>
      <c r="O881" s="0" t="n">
        <v>48.92</v>
      </c>
      <c r="P881" s="0" t="n">
        <v>6.56</v>
      </c>
      <c r="Q881" s="0" t="n">
        <v>4.28</v>
      </c>
      <c r="R881" s="0" t="n">
        <v>4112</v>
      </c>
      <c r="S881" s="0" t="n">
        <v>7416</v>
      </c>
      <c r="T881" s="0" t="n">
        <v>46.5</v>
      </c>
      <c r="U881" s="0" t="n">
        <v>1192</v>
      </c>
      <c r="V881" s="0" t="n">
        <v>4</v>
      </c>
      <c r="W881" s="39" t="n">
        <f aca="false">IF(I881="Male",0,1)</f>
        <v>1</v>
      </c>
      <c r="X881" s="39" t="n">
        <f aca="false">IF(OR(I881="DNB",I881="Dry DNB"),1,0)</f>
        <v>0</v>
      </c>
      <c r="Y881" s="39" t="n">
        <f aca="false">MATCH(A881,DATAS,0)</f>
        <v>1</v>
      </c>
      <c r="Z881" s="39" t="n">
        <f aca="false">IF(AND(E881&gt;0,OR(AND(B881&gt;=1,B881&lt;=6),B881=10)),1,0)</f>
        <v>1</v>
      </c>
      <c r="AA881" s="39" t="n">
        <f aca="false">IF(AND(E881&gt;0,B881=10),1,0)</f>
        <v>0</v>
      </c>
      <c r="AB881" s="0" t="str">
        <f aca="false">IF(AND(C880=C881,Y880=Y881-1),Z880,"")</f>
        <v/>
      </c>
      <c r="AC881" s="0" t="str">
        <f aca="false">IF(AND(C880=C881,Y880=Y881-1),AA880,"")</f>
        <v/>
      </c>
      <c r="AD881" s="0" t="str">
        <f aca="false">IF(Y881=1,"",IF(AND(Z881=1,AB881&lt;&gt;1),1,0))</f>
        <v/>
      </c>
      <c r="AE881" s="0" t="str">
        <f aca="false">IF(Y881=1,"",IF(AND(AA881=1,AC881&lt;&gt;1),1,0))</f>
        <v/>
      </c>
      <c r="AF881" s="45" t="str">
        <f aca="false">IF(AND(E881&gt;0,Y881&lt;1,NOT(AND(C882=C881,Y882=Y881+1))),INDEX(DATAS,Y881+1),"")</f>
        <v/>
      </c>
      <c r="AG881" s="45" t="str">
        <f aca="false">IF(AND(AA881=1,Y881&lt;1),IF(AND(C882=C881,Y882=Y881+1),IF(AA882=1,"",INDEX(DATAS,Y881+1)),INDEX(DATAS,Y881+1)),"")</f>
        <v/>
      </c>
    </row>
    <row r="882" customFormat="false" ht="15" hidden="false" customHeight="false" outlineLevel="0" collapsed="false">
      <c r="A882" s="45" t="n">
        <v>46309</v>
      </c>
      <c r="B882" s="0" t="n">
        <v>5</v>
      </c>
      <c r="C882" s="0" t="n">
        <v>4847</v>
      </c>
      <c r="D882" s="0" t="n">
        <v>169</v>
      </c>
      <c r="E882" s="0" t="n">
        <v>2</v>
      </c>
      <c r="F882" s="39" t="s">
        <v>659</v>
      </c>
      <c r="G882" s="0" t="n">
        <v>46.1</v>
      </c>
      <c r="H882" s="0" t="n">
        <v>39</v>
      </c>
      <c r="I882" s="39" t="s">
        <v>109</v>
      </c>
      <c r="J882" s="0" t="n">
        <v>64</v>
      </c>
      <c r="K882" s="0" t="n">
        <v>64</v>
      </c>
      <c r="L882" s="0" t="n">
        <v>105</v>
      </c>
      <c r="M882" s="0" t="n">
        <v>729.34</v>
      </c>
      <c r="N882" s="0" t="n">
        <v>73.67</v>
      </c>
      <c r="O882" s="0" t="n">
        <v>37.54</v>
      </c>
      <c r="P882" s="0" t="n">
        <v>4.26</v>
      </c>
      <c r="Q882" s="0" t="n">
        <v>3.56</v>
      </c>
      <c r="R882" s="0" t="n">
        <v>5005</v>
      </c>
      <c r="S882" s="0" t="n">
        <v>9567</v>
      </c>
      <c r="T882" s="0" t="n">
        <v>54.8</v>
      </c>
      <c r="U882" s="0" t="n">
        <v>1192</v>
      </c>
      <c r="V882" s="0" t="n">
        <v>1</v>
      </c>
      <c r="W882" s="39" t="n">
        <f aca="false">IF(I882="Male",0,1)</f>
        <v>1</v>
      </c>
      <c r="X882" s="39" t="n">
        <f aca="false">IF(OR(I882="DNB",I882="Dry DNB"),1,0)</f>
        <v>0</v>
      </c>
      <c r="Y882" s="39" t="n">
        <f aca="false">MATCH(A882,DATAS,0)</f>
        <v>1</v>
      </c>
      <c r="Z882" s="39" t="n">
        <f aca="false">IF(AND(E882&gt;0,OR(AND(B882&gt;=1,B882&lt;=6),B882=10)),1,0)</f>
        <v>1</v>
      </c>
      <c r="AA882" s="39" t="n">
        <f aca="false">IF(AND(E882&gt;0,B882=10),1,0)</f>
        <v>0</v>
      </c>
      <c r="AB882" s="0" t="str">
        <f aca="false">IF(AND(C881=C882,Y881=Y882-1),Z881,"")</f>
        <v/>
      </c>
      <c r="AC882" s="0" t="str">
        <f aca="false">IF(AND(C881=C882,Y881=Y882-1),AA881,"")</f>
        <v/>
      </c>
      <c r="AD882" s="0" t="str">
        <f aca="false">IF(Y882=1,"",IF(AND(Z882=1,AB882&lt;&gt;1),1,0))</f>
        <v/>
      </c>
      <c r="AE882" s="0" t="str">
        <f aca="false">IF(Y882=1,"",IF(AND(AA882=1,AC882&lt;&gt;1),1,0))</f>
        <v/>
      </c>
      <c r="AF882" s="45" t="str">
        <f aca="false">IF(AND(E882&gt;0,Y882&lt;1,NOT(AND(C883=C882,Y883=Y882+1))),INDEX(DATAS,Y882+1),"")</f>
        <v/>
      </c>
      <c r="AG882" s="45" t="str">
        <f aca="false">IF(AND(AA882=1,Y882&lt;1),IF(AND(C883=C882,Y883=Y882+1),IF(AA883=1,"",INDEX(DATAS,Y882+1)),INDEX(DATAS,Y882+1)),"")</f>
        <v/>
      </c>
    </row>
    <row r="883" customFormat="false" ht="15" hidden="false" customHeight="false" outlineLevel="0" collapsed="false">
      <c r="A883" s="45" t="n">
        <v>46309</v>
      </c>
      <c r="B883" s="0" t="n">
        <v>2</v>
      </c>
      <c r="C883" s="0" t="n">
        <v>4848</v>
      </c>
      <c r="D883" s="0" t="n">
        <v>176</v>
      </c>
      <c r="E883" s="0" t="n">
        <v>2</v>
      </c>
      <c r="F883" s="39" t="s">
        <v>659</v>
      </c>
      <c r="G883" s="0" t="n">
        <v>42.5</v>
      </c>
      <c r="H883" s="0" t="n">
        <v>50</v>
      </c>
      <c r="I883" s="39" t="s">
        <v>146</v>
      </c>
      <c r="J883" s="0" t="n">
        <v>176</v>
      </c>
      <c r="K883" s="0" t="n">
        <v>64</v>
      </c>
      <c r="M883" s="0" t="n">
        <v>755.53</v>
      </c>
      <c r="N883" s="0" t="n">
        <v>56.19</v>
      </c>
      <c r="O883" s="0" t="n">
        <v>42.5</v>
      </c>
      <c r="P883" s="0" t="n">
        <v>4.01</v>
      </c>
      <c r="Q883" s="0" t="n">
        <v>3.57</v>
      </c>
      <c r="R883" s="0" t="n">
        <v>4953</v>
      </c>
      <c r="S883" s="0" t="n">
        <v>10707</v>
      </c>
      <c r="T883" s="0" t="n">
        <v>59.9</v>
      </c>
      <c r="U883" s="0" t="n">
        <v>1192</v>
      </c>
      <c r="V883" s="0" t="n">
        <v>5</v>
      </c>
      <c r="W883" s="39" t="n">
        <f aca="false">IF(I883="Male",0,1)</f>
        <v>1</v>
      </c>
      <c r="X883" s="39" t="n">
        <f aca="false">IF(OR(I883="DNB",I883="Dry DNB"),1,0)</f>
        <v>0</v>
      </c>
      <c r="Y883" s="39" t="n">
        <f aca="false">MATCH(A883,DATAS,0)</f>
        <v>1</v>
      </c>
      <c r="Z883" s="39" t="n">
        <f aca="false">IF(AND(E883&gt;0,OR(AND(B883&gt;=1,B883&lt;=6),B883=10)),1,0)</f>
        <v>1</v>
      </c>
      <c r="AA883" s="39" t="n">
        <f aca="false">IF(AND(E883&gt;0,B883=10),1,0)</f>
        <v>0</v>
      </c>
      <c r="AB883" s="0" t="str">
        <f aca="false">IF(AND(C882=C883,Y882=Y883-1),Z882,"")</f>
        <v/>
      </c>
      <c r="AC883" s="0" t="str">
        <f aca="false">IF(AND(C882=C883,Y882=Y883-1),AA882,"")</f>
        <v/>
      </c>
      <c r="AD883" s="0" t="str">
        <f aca="false">IF(Y883=1,"",IF(AND(Z883=1,AB883&lt;&gt;1),1,0))</f>
        <v/>
      </c>
      <c r="AE883" s="0" t="str">
        <f aca="false">IF(Y883=1,"",IF(AND(AA883=1,AC883&lt;&gt;1),1,0))</f>
        <v/>
      </c>
      <c r="AF883" s="45" t="str">
        <f aca="false">IF(AND(E883&gt;0,Y883&lt;1,NOT(AND(C884=C883,Y884=Y883+1))),INDEX(DATAS,Y883+1),"")</f>
        <v/>
      </c>
      <c r="AG883" s="45" t="str">
        <f aca="false">IF(AND(AA883=1,Y883&lt;1),IF(AND(C884=C883,Y884=Y883+1),IF(AA884=1,"",INDEX(DATAS,Y883+1)),INDEX(DATAS,Y883+1)),"")</f>
        <v/>
      </c>
    </row>
    <row r="884" customFormat="false" ht="15" hidden="false" customHeight="false" outlineLevel="0" collapsed="false">
      <c r="A884" s="45" t="n">
        <v>46309</v>
      </c>
      <c r="B884" s="0" t="n">
        <v>6</v>
      </c>
      <c r="C884" s="0" t="n">
        <v>4849</v>
      </c>
      <c r="D884" s="0" t="n">
        <v>259</v>
      </c>
      <c r="E884" s="0" t="n">
        <v>2</v>
      </c>
      <c r="F884" s="39" t="s">
        <v>660</v>
      </c>
      <c r="G884" s="0" t="n">
        <v>31.1</v>
      </c>
      <c r="H884" s="0" t="n">
        <v>28</v>
      </c>
      <c r="I884" s="39" t="s">
        <v>109</v>
      </c>
      <c r="J884" s="0" t="n">
        <v>183</v>
      </c>
      <c r="K884" s="0" t="n">
        <v>77</v>
      </c>
      <c r="L884" s="0" t="n">
        <v>76</v>
      </c>
      <c r="M884" s="0" t="n">
        <v>917.42</v>
      </c>
      <c r="N884" s="0" t="n">
        <v>38.64</v>
      </c>
      <c r="O884" s="0" t="n">
        <v>26.77</v>
      </c>
      <c r="P884" s="0" t="n">
        <v>4.03</v>
      </c>
      <c r="Q884" s="0" t="n">
        <v>3.62</v>
      </c>
      <c r="R884" s="0" t="n">
        <v>3218</v>
      </c>
      <c r="S884" s="0" t="n">
        <v>6454</v>
      </c>
      <c r="T884" s="0" t="n">
        <v>35.05</v>
      </c>
      <c r="U884" s="0" t="n">
        <v>1191</v>
      </c>
      <c r="V884" s="0" t="n">
        <v>4</v>
      </c>
      <c r="W884" s="39" t="n">
        <f aca="false">IF(I884="Male",0,1)</f>
        <v>1</v>
      </c>
      <c r="X884" s="39" t="n">
        <f aca="false">IF(OR(I884="DNB",I884="Dry DNB"),1,0)</f>
        <v>0</v>
      </c>
      <c r="Y884" s="39" t="n">
        <f aca="false">MATCH(A884,DATAS,0)</f>
        <v>1</v>
      </c>
      <c r="Z884" s="39" t="n">
        <f aca="false">IF(AND(E884&gt;0,OR(AND(B884&gt;=1,B884&lt;=6),B884=10)),1,0)</f>
        <v>1</v>
      </c>
      <c r="AA884" s="39" t="n">
        <f aca="false">IF(AND(E884&gt;0,B884=10),1,0)</f>
        <v>0</v>
      </c>
      <c r="AB884" s="0" t="str">
        <f aca="false">IF(AND(C883=C884,Y883=Y884-1),Z883,"")</f>
        <v/>
      </c>
      <c r="AC884" s="0" t="str">
        <f aca="false">IF(AND(C883=C884,Y883=Y884-1),AA883,"")</f>
        <v/>
      </c>
      <c r="AD884" s="0" t="str">
        <f aca="false">IF(Y884=1,"",IF(AND(Z884=1,AB884&lt;&gt;1),1,0))</f>
        <v/>
      </c>
      <c r="AE884" s="0" t="str">
        <f aca="false">IF(Y884=1,"",IF(AND(AA884=1,AC884&lt;&gt;1),1,0))</f>
        <v/>
      </c>
      <c r="AF884" s="45" t="str">
        <f aca="false">IF(AND(E884&gt;0,Y884&lt;1,NOT(AND(C885=C884,Y885=Y884+1))),INDEX(DATAS,Y884+1),"")</f>
        <v/>
      </c>
      <c r="AG884" s="45" t="str">
        <f aca="false">IF(AND(AA884=1,Y884&lt;1),IF(AND(C885=C884,Y885=Y884+1),IF(AA885=1,"",INDEX(DATAS,Y884+1)),INDEX(DATAS,Y884+1)),"")</f>
        <v/>
      </c>
    </row>
    <row r="885" customFormat="false" ht="15" hidden="false" customHeight="false" outlineLevel="0" collapsed="false">
      <c r="A885" s="45" t="n">
        <v>46309</v>
      </c>
      <c r="B885" s="0" t="n">
        <v>5</v>
      </c>
      <c r="C885" s="0" t="n">
        <v>4850</v>
      </c>
      <c r="D885" s="0" t="n">
        <v>72</v>
      </c>
      <c r="E885" s="0" t="n">
        <v>2</v>
      </c>
      <c r="F885" s="39" t="s">
        <v>660</v>
      </c>
      <c r="G885" s="0" t="n">
        <v>30.5</v>
      </c>
      <c r="H885" s="0" t="n">
        <v>29</v>
      </c>
      <c r="I885" s="39" t="s">
        <v>138</v>
      </c>
      <c r="J885" s="0" t="n">
        <v>72</v>
      </c>
      <c r="K885" s="0" t="n">
        <v>65</v>
      </c>
      <c r="M885" s="0" t="n">
        <v>1025.67</v>
      </c>
      <c r="N885" s="0" t="n">
        <v>22.01</v>
      </c>
      <c r="O885" s="0" t="n">
        <v>29.26</v>
      </c>
      <c r="P885" s="0" t="n">
        <v>3.44</v>
      </c>
      <c r="Q885" s="0" t="n">
        <v>3.58</v>
      </c>
      <c r="R885" s="0" t="n">
        <v>2913</v>
      </c>
      <c r="S885" s="0" t="n">
        <v>5856</v>
      </c>
      <c r="U885" s="0" t="n">
        <v>1191</v>
      </c>
      <c r="V885" s="0" t="n">
        <v>1</v>
      </c>
      <c r="W885" s="39" t="n">
        <f aca="false">IF(I885="Male",0,1)</f>
        <v>1</v>
      </c>
      <c r="X885" s="39" t="n">
        <f aca="false">IF(OR(I885="DNB",I885="Dry DNB"),1,0)</f>
        <v>0</v>
      </c>
      <c r="Y885" s="39" t="n">
        <f aca="false">MATCH(A885,DATAS,0)</f>
        <v>1</v>
      </c>
      <c r="Z885" s="39" t="n">
        <f aca="false">IF(AND(E885&gt;0,OR(AND(B885&gt;=1,B885&lt;=6),B885=10)),1,0)</f>
        <v>1</v>
      </c>
      <c r="AA885" s="39" t="n">
        <f aca="false">IF(AND(E885&gt;0,B885=10),1,0)</f>
        <v>0</v>
      </c>
      <c r="AB885" s="0" t="str">
        <f aca="false">IF(AND(C884=C885,Y884=Y885-1),Z884,"")</f>
        <v/>
      </c>
      <c r="AC885" s="0" t="str">
        <f aca="false">IF(AND(C884=C885,Y884=Y885-1),AA884,"")</f>
        <v/>
      </c>
      <c r="AD885" s="0" t="str">
        <f aca="false">IF(Y885=1,"",IF(AND(Z885=1,AB885&lt;&gt;1),1,0))</f>
        <v/>
      </c>
      <c r="AE885" s="0" t="str">
        <f aca="false">IF(Y885=1,"",IF(AND(AA885=1,AC885&lt;&gt;1),1,0))</f>
        <v/>
      </c>
      <c r="AF885" s="45" t="str">
        <f aca="false">IF(AND(E885&gt;0,Y885&lt;1,NOT(AND(C886=C885,Y886=Y885+1))),INDEX(DATAS,Y885+1),"")</f>
        <v/>
      </c>
      <c r="AG885" s="45" t="str">
        <f aca="false">IF(AND(AA885=1,Y885&lt;1),IF(AND(C886=C885,Y886=Y885+1),IF(AA886=1,"",INDEX(DATAS,Y885+1)),INDEX(DATAS,Y885+1)),"")</f>
        <v/>
      </c>
    </row>
    <row r="886" customFormat="false" ht="15" hidden="false" customHeight="false" outlineLevel="0" collapsed="false">
      <c r="A886" s="45" t="n">
        <v>46309</v>
      </c>
      <c r="B886" s="0" t="n">
        <v>2</v>
      </c>
      <c r="C886" s="0" t="n">
        <v>4851</v>
      </c>
      <c r="D886" s="0" t="n">
        <v>187</v>
      </c>
      <c r="E886" s="0" t="n">
        <v>2</v>
      </c>
      <c r="F886" s="39" t="s">
        <v>660</v>
      </c>
      <c r="G886" s="0" t="n">
        <v>42</v>
      </c>
      <c r="H886" s="0" t="n">
        <v>54</v>
      </c>
      <c r="I886" s="39" t="s">
        <v>109</v>
      </c>
      <c r="J886" s="0" t="n">
        <v>140</v>
      </c>
      <c r="K886" s="0" t="n">
        <v>68</v>
      </c>
      <c r="L886" s="0" t="n">
        <v>47</v>
      </c>
      <c r="M886" s="0" t="n">
        <v>453.29</v>
      </c>
      <c r="N886" s="0" t="n">
        <v>50.69</v>
      </c>
      <c r="O886" s="0" t="n">
        <v>28.46</v>
      </c>
      <c r="P886" s="0" t="n">
        <v>2.87</v>
      </c>
      <c r="Q886" s="0" t="n">
        <v>3.48</v>
      </c>
      <c r="R886" s="0" t="n">
        <v>4712</v>
      </c>
      <c r="S886" s="0" t="n">
        <v>10218</v>
      </c>
      <c r="T886" s="0" t="n">
        <v>52.95</v>
      </c>
      <c r="U886" s="0" t="n">
        <v>1191</v>
      </c>
      <c r="V886" s="0" t="n">
        <v>3</v>
      </c>
      <c r="W886" s="39" t="n">
        <f aca="false">IF(I886="Male",0,1)</f>
        <v>1</v>
      </c>
      <c r="X886" s="39" t="n">
        <f aca="false">IF(OR(I886="DNB",I886="Dry DNB"),1,0)</f>
        <v>0</v>
      </c>
      <c r="Y886" s="39" t="n">
        <f aca="false">MATCH(A886,DATAS,0)</f>
        <v>1</v>
      </c>
      <c r="Z886" s="39" t="n">
        <f aca="false">IF(AND(E886&gt;0,OR(AND(B886&gt;=1,B886&lt;=6),B886=10)),1,0)</f>
        <v>1</v>
      </c>
      <c r="AA886" s="39" t="n">
        <f aca="false">IF(AND(E886&gt;0,B886=10),1,0)</f>
        <v>0</v>
      </c>
      <c r="AB886" s="0" t="str">
        <f aca="false">IF(AND(C885=C886,Y885=Y886-1),Z885,"")</f>
        <v/>
      </c>
      <c r="AC886" s="0" t="str">
        <f aca="false">IF(AND(C885=C886,Y885=Y886-1),AA885,"")</f>
        <v/>
      </c>
      <c r="AD886" s="0" t="str">
        <f aca="false">IF(Y886=1,"",IF(AND(Z886=1,AB886&lt;&gt;1),1,0))</f>
        <v/>
      </c>
      <c r="AE886" s="0" t="str">
        <f aca="false">IF(Y886=1,"",IF(AND(AA886=1,AC886&lt;&gt;1),1,0))</f>
        <v/>
      </c>
      <c r="AF886" s="45" t="str">
        <f aca="false">IF(AND(E886&gt;0,Y886&lt;1,NOT(AND(C887=C886,Y887=Y886+1))),INDEX(DATAS,Y886+1),"")</f>
        <v/>
      </c>
      <c r="AG886" s="45" t="str">
        <f aca="false">IF(AND(AA886=1,Y886&lt;1),IF(AND(C887=C886,Y887=Y886+1),IF(AA887=1,"",INDEX(DATAS,Y886+1)),INDEX(DATAS,Y886+1)),"")</f>
        <v/>
      </c>
    </row>
    <row r="887" customFormat="false" ht="15" hidden="false" customHeight="false" outlineLevel="0" collapsed="false">
      <c r="A887" s="45" t="n">
        <v>46309</v>
      </c>
      <c r="B887" s="0" t="n">
        <v>3</v>
      </c>
      <c r="C887" s="0" t="n">
        <v>4852</v>
      </c>
      <c r="D887" s="0" t="n">
        <v>195</v>
      </c>
      <c r="E887" s="0" t="n">
        <v>2</v>
      </c>
      <c r="F887" s="39" t="s">
        <v>661</v>
      </c>
      <c r="G887" s="0" t="n">
        <v>51</v>
      </c>
      <c r="H887" s="0" t="n">
        <v>49</v>
      </c>
      <c r="I887" s="39" t="s">
        <v>109</v>
      </c>
      <c r="J887" s="0" t="n">
        <v>132</v>
      </c>
      <c r="K887" s="0" t="n">
        <v>62</v>
      </c>
      <c r="L887" s="0" t="n">
        <v>63</v>
      </c>
      <c r="M887" s="0" t="n">
        <v>25.13</v>
      </c>
      <c r="N887" s="0" t="n">
        <v>55.39</v>
      </c>
      <c r="O887" s="0" t="n">
        <v>29.67</v>
      </c>
      <c r="P887" s="0" t="n">
        <v>4.55</v>
      </c>
      <c r="Q887" s="0" t="n">
        <v>3.68</v>
      </c>
      <c r="R887" s="0" t="n">
        <v>4384</v>
      </c>
      <c r="S887" s="0" t="n">
        <v>9349</v>
      </c>
      <c r="T887" s="0" t="n">
        <v>48.2</v>
      </c>
      <c r="U887" s="0" t="n">
        <v>1190</v>
      </c>
      <c r="V887" s="0" t="n">
        <v>2</v>
      </c>
      <c r="W887" s="39" t="n">
        <f aca="false">IF(I887="Male",0,1)</f>
        <v>1</v>
      </c>
      <c r="X887" s="39" t="n">
        <f aca="false">IF(OR(I887="DNB",I887="Dry DNB"),1,0)</f>
        <v>0</v>
      </c>
      <c r="Y887" s="39" t="n">
        <f aca="false">MATCH(A887,DATAS,0)</f>
        <v>1</v>
      </c>
      <c r="Z887" s="39" t="n">
        <f aca="false">IF(AND(E887&gt;0,OR(AND(B887&gt;=1,B887&lt;=6),B887=10)),1,0)</f>
        <v>1</v>
      </c>
      <c r="AA887" s="39" t="n">
        <f aca="false">IF(AND(E887&gt;0,B887=10),1,0)</f>
        <v>0</v>
      </c>
      <c r="AB887" s="0" t="str">
        <f aca="false">IF(AND(C886=C887,Y886=Y887-1),Z886,"")</f>
        <v/>
      </c>
      <c r="AC887" s="0" t="str">
        <f aca="false">IF(AND(C886=C887,Y886=Y887-1),AA886,"")</f>
        <v/>
      </c>
      <c r="AD887" s="0" t="str">
        <f aca="false">IF(Y887=1,"",IF(AND(Z887=1,AB887&lt;&gt;1),1,0))</f>
        <v/>
      </c>
      <c r="AE887" s="0" t="str">
        <f aca="false">IF(Y887=1,"",IF(AND(AA887=1,AC887&lt;&gt;1),1,0))</f>
        <v/>
      </c>
      <c r="AF887" s="45" t="str">
        <f aca="false">IF(AND(E887&gt;0,Y887&lt;1,NOT(AND(C888=C887,Y888=Y887+1))),INDEX(DATAS,Y887+1),"")</f>
        <v/>
      </c>
      <c r="AG887" s="45" t="str">
        <f aca="false">IF(AND(AA887=1,Y887&lt;1),IF(AND(C888=C887,Y888=Y887+1),IF(AA888=1,"",INDEX(DATAS,Y887+1)),INDEX(DATAS,Y887+1)),"")</f>
        <v/>
      </c>
    </row>
    <row r="888" customFormat="false" ht="15" hidden="false" customHeight="false" outlineLevel="0" collapsed="false">
      <c r="A888" s="45" t="n">
        <v>46309</v>
      </c>
      <c r="B888" s="0" t="n">
        <v>2</v>
      </c>
      <c r="C888" s="0" t="n">
        <v>4853</v>
      </c>
      <c r="D888" s="0" t="n">
        <v>129</v>
      </c>
      <c r="E888" s="0" t="n">
        <v>2</v>
      </c>
      <c r="F888" s="39" t="s">
        <v>661</v>
      </c>
      <c r="G888" s="0" t="n">
        <v>51.7</v>
      </c>
      <c r="H888" s="0" t="n">
        <v>55</v>
      </c>
      <c r="I888" s="39" t="s">
        <v>109</v>
      </c>
      <c r="J888" s="0" t="n">
        <v>66</v>
      </c>
      <c r="K888" s="0" t="n">
        <v>66</v>
      </c>
      <c r="L888" s="0" t="n">
        <v>63</v>
      </c>
      <c r="M888" s="0" t="n">
        <v>491.16</v>
      </c>
      <c r="N888" s="0" t="n">
        <v>55.91</v>
      </c>
      <c r="O888" s="0" t="n">
        <v>35.93</v>
      </c>
      <c r="P888" s="0" t="n">
        <v>3.63</v>
      </c>
      <c r="Q888" s="0" t="n">
        <v>3.62</v>
      </c>
      <c r="R888" s="0" t="n">
        <v>5484</v>
      </c>
      <c r="S888" s="0" t="n">
        <v>10843</v>
      </c>
      <c r="T888" s="0" t="n">
        <v>62.4</v>
      </c>
      <c r="U888" s="0" t="n">
        <v>1190</v>
      </c>
      <c r="V888" s="0" t="n">
        <v>1</v>
      </c>
      <c r="W888" s="39" t="n">
        <f aca="false">IF(I888="Male",0,1)</f>
        <v>1</v>
      </c>
      <c r="X888" s="39" t="n">
        <f aca="false">IF(OR(I888="DNB",I888="Dry DNB"),1,0)</f>
        <v>0</v>
      </c>
      <c r="Y888" s="39" t="n">
        <f aca="false">MATCH(A888,DATAS,0)</f>
        <v>1</v>
      </c>
      <c r="Z888" s="39" t="n">
        <f aca="false">IF(AND(E888&gt;0,OR(AND(B888&gt;=1,B888&lt;=6),B888=10)),1,0)</f>
        <v>1</v>
      </c>
      <c r="AA888" s="39" t="n">
        <f aca="false">IF(AND(E888&gt;0,B888=10),1,0)</f>
        <v>0</v>
      </c>
      <c r="AB888" s="0" t="str">
        <f aca="false">IF(AND(C887=C888,Y887=Y888-1),Z887,"")</f>
        <v/>
      </c>
      <c r="AC888" s="0" t="str">
        <f aca="false">IF(AND(C887=C888,Y887=Y888-1),AA887,"")</f>
        <v/>
      </c>
      <c r="AD888" s="0" t="str">
        <f aca="false">IF(Y888=1,"",IF(AND(Z888=1,AB888&lt;&gt;1),1,0))</f>
        <v/>
      </c>
      <c r="AE888" s="0" t="str">
        <f aca="false">IF(Y888=1,"",IF(AND(AA888=1,AC888&lt;&gt;1),1,0))</f>
        <v/>
      </c>
      <c r="AF888" s="45" t="str">
        <f aca="false">IF(AND(E888&gt;0,Y888&lt;1,NOT(AND(C889=C888,Y889=Y888+1))),INDEX(DATAS,Y888+1),"")</f>
        <v/>
      </c>
      <c r="AG888" s="45" t="str">
        <f aca="false">IF(AND(AA888=1,Y888&lt;1),IF(AND(C889=C888,Y889=Y888+1),IF(AA889=1,"",INDEX(DATAS,Y888+1)),INDEX(DATAS,Y888+1)),"")</f>
        <v/>
      </c>
    </row>
    <row r="889" customFormat="false" ht="15" hidden="false" customHeight="false" outlineLevel="0" collapsed="false">
      <c r="A889" s="45" t="n">
        <v>46309</v>
      </c>
      <c r="B889" s="0" t="n">
        <v>3</v>
      </c>
      <c r="C889" s="0" t="n">
        <v>4855</v>
      </c>
      <c r="D889" s="0" t="n">
        <v>165</v>
      </c>
      <c r="E889" s="0" t="n">
        <v>2</v>
      </c>
      <c r="F889" s="39" t="s">
        <v>662</v>
      </c>
      <c r="G889" s="0" t="n">
        <v>55.7</v>
      </c>
      <c r="H889" s="0" t="n">
        <v>58</v>
      </c>
      <c r="I889" s="39" t="s">
        <v>109</v>
      </c>
      <c r="J889" s="0" t="n">
        <v>109</v>
      </c>
      <c r="K889" s="0" t="n">
        <v>67</v>
      </c>
      <c r="L889" s="0" t="n">
        <v>56</v>
      </c>
      <c r="M889" s="0" t="n">
        <v>563.29</v>
      </c>
      <c r="N889" s="0" t="n">
        <v>60.67</v>
      </c>
      <c r="O889" s="0" t="n">
        <v>30.52</v>
      </c>
      <c r="P889" s="0" t="n">
        <v>3.57</v>
      </c>
      <c r="Q889" s="0" t="n">
        <v>3.3</v>
      </c>
      <c r="R889" s="0" t="n">
        <v>5066</v>
      </c>
      <c r="S889" s="0" t="n">
        <v>10606</v>
      </c>
      <c r="T889" s="0" t="n">
        <v>58.5</v>
      </c>
      <c r="U889" s="0" t="n">
        <v>1189</v>
      </c>
      <c r="V889" s="0" t="n">
        <v>2</v>
      </c>
      <c r="W889" s="39" t="n">
        <f aca="false">IF(I889="Male",0,1)</f>
        <v>1</v>
      </c>
      <c r="X889" s="39" t="n">
        <f aca="false">IF(OR(I889="DNB",I889="Dry DNB"),1,0)</f>
        <v>0</v>
      </c>
      <c r="Y889" s="39" t="n">
        <f aca="false">MATCH(A889,DATAS,0)</f>
        <v>1</v>
      </c>
      <c r="Z889" s="39" t="n">
        <f aca="false">IF(AND(E889&gt;0,OR(AND(B889&gt;=1,B889&lt;=6),B889=10)),1,0)</f>
        <v>1</v>
      </c>
      <c r="AA889" s="39" t="n">
        <f aca="false">IF(AND(E889&gt;0,B889=10),1,0)</f>
        <v>0</v>
      </c>
      <c r="AB889" s="0" t="str">
        <f aca="false">IF(AND(C888=C889,Y888=Y889-1),Z888,"")</f>
        <v/>
      </c>
      <c r="AC889" s="0" t="str">
        <f aca="false">IF(AND(C888=C889,Y888=Y889-1),AA888,"")</f>
        <v/>
      </c>
      <c r="AD889" s="0" t="str">
        <f aca="false">IF(Y889=1,"",IF(AND(Z889=1,AB889&lt;&gt;1),1,0))</f>
        <v/>
      </c>
      <c r="AE889" s="0" t="str">
        <f aca="false">IF(Y889=1,"",IF(AND(AA889=1,AC889&lt;&gt;1),1,0))</f>
        <v/>
      </c>
      <c r="AF889" s="45" t="str">
        <f aca="false">IF(AND(E889&gt;0,Y889&lt;1,NOT(AND(C890=C889,Y890=Y889+1))),INDEX(DATAS,Y889+1),"")</f>
        <v/>
      </c>
      <c r="AG889" s="45" t="str">
        <f aca="false">IF(AND(AA889=1,Y889&lt;1),IF(AND(C890=C889,Y890=Y889+1),IF(AA890=1,"",INDEX(DATAS,Y889+1)),INDEX(DATAS,Y889+1)),"")</f>
        <v/>
      </c>
    </row>
    <row r="890" customFormat="false" ht="15" hidden="false" customHeight="false" outlineLevel="0" collapsed="false">
      <c r="A890" s="45" t="n">
        <v>46309</v>
      </c>
      <c r="B890" s="0" t="n">
        <v>2</v>
      </c>
      <c r="C890" s="0" t="n">
        <v>4856</v>
      </c>
      <c r="D890" s="0" t="n">
        <v>16</v>
      </c>
      <c r="E890" s="0" t="n">
        <v>2</v>
      </c>
      <c r="F890" s="39" t="s">
        <v>663</v>
      </c>
      <c r="G890" s="0" t="n">
        <v>44.6</v>
      </c>
      <c r="H890" s="0" t="n">
        <v>47</v>
      </c>
      <c r="I890" s="39" t="s">
        <v>118</v>
      </c>
      <c r="J890" s="0" t="n">
        <v>16</v>
      </c>
      <c r="M890" s="0" t="n">
        <v>878.65</v>
      </c>
      <c r="N890" s="0" t="n">
        <v>34.2</v>
      </c>
      <c r="O890" s="0" t="n">
        <v>27.16</v>
      </c>
      <c r="R890" s="0" t="n">
        <v>4104</v>
      </c>
      <c r="S890" s="0" t="n">
        <v>8251</v>
      </c>
      <c r="U890" s="0" t="n">
        <v>1188</v>
      </c>
      <c r="V890" s="0" t="n">
        <v>0</v>
      </c>
      <c r="W890" s="39" t="n">
        <f aca="false">IF(I890="Male",0,1)</f>
        <v>1</v>
      </c>
      <c r="X890" s="39" t="n">
        <f aca="false">IF(OR(I890="DNB",I890="Dry DNB"),1,0)</f>
        <v>0</v>
      </c>
      <c r="Y890" s="39" t="n">
        <f aca="false">MATCH(A890,DATAS,0)</f>
        <v>1</v>
      </c>
      <c r="Z890" s="39" t="n">
        <f aca="false">IF(AND(E890&gt;0,OR(AND(B890&gt;=1,B890&lt;=6),B890=10)),1,0)</f>
        <v>1</v>
      </c>
      <c r="AA890" s="39" t="n">
        <f aca="false">IF(AND(E890&gt;0,B890=10),1,0)</f>
        <v>0</v>
      </c>
      <c r="AB890" s="0" t="str">
        <f aca="false">IF(AND(C889=C890,Y889=Y890-1),Z889,"")</f>
        <v/>
      </c>
      <c r="AC890" s="0" t="str">
        <f aca="false">IF(AND(C889=C890,Y889=Y890-1),AA889,"")</f>
        <v/>
      </c>
      <c r="AD890" s="0" t="str">
        <f aca="false">IF(Y890=1,"",IF(AND(Z890=1,AB890&lt;&gt;1),1,0))</f>
        <v/>
      </c>
      <c r="AE890" s="0" t="str">
        <f aca="false">IF(Y890=1,"",IF(AND(AA890=1,AC890&lt;&gt;1),1,0))</f>
        <v/>
      </c>
      <c r="AF890" s="45" t="str">
        <f aca="false">IF(AND(E890&gt;0,Y890&lt;1,NOT(AND(C891=C890,Y891=Y890+1))),INDEX(DATAS,Y890+1),"")</f>
        <v/>
      </c>
      <c r="AG890" s="45" t="str">
        <f aca="false">IF(AND(AA890=1,Y890&lt;1),IF(AND(C891=C890,Y891=Y890+1),IF(AA891=1,"",INDEX(DATAS,Y890+1)),INDEX(DATAS,Y890+1)),"")</f>
        <v/>
      </c>
    </row>
    <row r="891" customFormat="false" ht="15" hidden="false" customHeight="false" outlineLevel="0" collapsed="false">
      <c r="A891" s="45" t="n">
        <v>46309</v>
      </c>
      <c r="B891" s="0" t="n">
        <v>2</v>
      </c>
      <c r="C891" s="0" t="n">
        <v>4857</v>
      </c>
      <c r="D891" s="0" t="n">
        <v>54</v>
      </c>
      <c r="E891" s="0" t="n">
        <v>2</v>
      </c>
      <c r="F891" s="39" t="s">
        <v>663</v>
      </c>
      <c r="G891" s="0" t="n">
        <v>44.7</v>
      </c>
      <c r="H891" s="0" t="n">
        <v>48</v>
      </c>
      <c r="I891" s="39" t="s">
        <v>118</v>
      </c>
      <c r="J891" s="0" t="n">
        <v>54</v>
      </c>
      <c r="M891" s="0" t="n">
        <v>606.56</v>
      </c>
      <c r="N891" s="0" t="n">
        <v>82.56</v>
      </c>
      <c r="O891" s="0" t="n">
        <v>49.86</v>
      </c>
      <c r="P891" s="0" t="n">
        <v>3.77</v>
      </c>
      <c r="Q891" s="0" t="n">
        <v>3.45</v>
      </c>
      <c r="R891" s="0" t="n">
        <v>4547</v>
      </c>
      <c r="S891" s="0" t="n">
        <v>9141</v>
      </c>
      <c r="U891" s="0" t="n">
        <v>1188</v>
      </c>
      <c r="V891" s="0" t="n">
        <v>0</v>
      </c>
      <c r="W891" s="39" t="n">
        <f aca="false">IF(I891="Male",0,1)</f>
        <v>1</v>
      </c>
      <c r="X891" s="39" t="n">
        <f aca="false">IF(OR(I891="DNB",I891="Dry DNB"),1,0)</f>
        <v>0</v>
      </c>
      <c r="Y891" s="39" t="n">
        <f aca="false">MATCH(A891,DATAS,0)</f>
        <v>1</v>
      </c>
      <c r="Z891" s="39" t="n">
        <f aca="false">IF(AND(E891&gt;0,OR(AND(B891&gt;=1,B891&lt;=6),B891=10)),1,0)</f>
        <v>1</v>
      </c>
      <c r="AA891" s="39" t="n">
        <f aca="false">IF(AND(E891&gt;0,B891=10),1,0)</f>
        <v>0</v>
      </c>
      <c r="AB891" s="0" t="str">
        <f aca="false">IF(AND(C890=C891,Y890=Y891-1),Z890,"")</f>
        <v/>
      </c>
      <c r="AC891" s="0" t="str">
        <f aca="false">IF(AND(C890=C891,Y890=Y891-1),AA890,"")</f>
        <v/>
      </c>
      <c r="AD891" s="0" t="str">
        <f aca="false">IF(Y891=1,"",IF(AND(Z891=1,AB891&lt;&gt;1),1,0))</f>
        <v/>
      </c>
      <c r="AE891" s="0" t="str">
        <f aca="false">IF(Y891=1,"",IF(AND(AA891=1,AC891&lt;&gt;1),1,0))</f>
        <v/>
      </c>
      <c r="AF891" s="45" t="str">
        <f aca="false">IF(AND(E891&gt;0,Y891&lt;1,NOT(AND(C892=C891,Y892=Y891+1))),INDEX(DATAS,Y891+1),"")</f>
        <v/>
      </c>
      <c r="AG891" s="45" t="str">
        <f aca="false">IF(AND(AA891=1,Y891&lt;1),IF(AND(C892=C891,Y892=Y891+1),IF(AA892=1,"",INDEX(DATAS,Y891+1)),INDEX(DATAS,Y891+1)),"")</f>
        <v/>
      </c>
    </row>
    <row r="892" customFormat="false" ht="15" hidden="false" customHeight="false" outlineLevel="0" collapsed="false">
      <c r="A892" s="45" t="n">
        <v>46309</v>
      </c>
      <c r="B892" s="0" t="n">
        <v>4</v>
      </c>
      <c r="C892" s="0" t="n">
        <v>4859</v>
      </c>
      <c r="D892" s="0" t="n">
        <v>185</v>
      </c>
      <c r="E892" s="0" t="n">
        <v>1</v>
      </c>
      <c r="F892" s="39" t="s">
        <v>663</v>
      </c>
      <c r="G892" s="0" t="n">
        <v>59.7</v>
      </c>
      <c r="H892" s="0" t="n">
        <v>60</v>
      </c>
      <c r="I892" s="39" t="s">
        <v>109</v>
      </c>
      <c r="J892" s="0" t="n">
        <v>101</v>
      </c>
      <c r="K892" s="0" t="n">
        <v>66</v>
      </c>
      <c r="L892" s="0" t="n">
        <v>84</v>
      </c>
      <c r="M892" s="0" t="n">
        <v>865.82</v>
      </c>
      <c r="N892" s="0" t="n">
        <v>51.91</v>
      </c>
      <c r="O892" s="0" t="n">
        <v>30.8</v>
      </c>
      <c r="P892" s="0" t="n">
        <v>3.72</v>
      </c>
      <c r="Q892" s="0" t="n">
        <v>3.28</v>
      </c>
      <c r="R892" s="0" t="n">
        <v>5372</v>
      </c>
      <c r="S892" s="0" t="n">
        <v>11562</v>
      </c>
      <c r="T892" s="0" t="n">
        <v>57.15</v>
      </c>
      <c r="U892" s="0" t="n">
        <v>1188</v>
      </c>
      <c r="V892" s="0" t="n">
        <v>2</v>
      </c>
      <c r="W892" s="39" t="n">
        <f aca="false">IF(I892="Male",0,1)</f>
        <v>1</v>
      </c>
      <c r="X892" s="39" t="n">
        <f aca="false">IF(OR(I892="DNB",I892="Dry DNB"),1,0)</f>
        <v>0</v>
      </c>
      <c r="Y892" s="39" t="n">
        <f aca="false">MATCH(A892,DATAS,0)</f>
        <v>1</v>
      </c>
      <c r="Z892" s="39" t="n">
        <f aca="false">IF(AND(E892&gt;0,OR(AND(B892&gt;=1,B892&lt;=6),B892=10)),1,0)</f>
        <v>1</v>
      </c>
      <c r="AA892" s="39" t="n">
        <f aca="false">IF(AND(E892&gt;0,B892=10),1,0)</f>
        <v>0</v>
      </c>
      <c r="AB892" s="0" t="str">
        <f aca="false">IF(AND(C891=C892,Y891=Y892-1),Z891,"")</f>
        <v/>
      </c>
      <c r="AC892" s="0" t="str">
        <f aca="false">IF(AND(C891=C892,Y891=Y892-1),AA891,"")</f>
        <v/>
      </c>
      <c r="AD892" s="0" t="str">
        <f aca="false">IF(Y892=1,"",IF(AND(Z892=1,AB892&lt;&gt;1),1,0))</f>
        <v/>
      </c>
      <c r="AE892" s="0" t="str">
        <f aca="false">IF(Y892=1,"",IF(AND(AA892=1,AC892&lt;&gt;1),1,0))</f>
        <v/>
      </c>
      <c r="AF892" s="45" t="str">
        <f aca="false">IF(AND(E892&gt;0,Y892&lt;1,NOT(AND(C893=C892,Y893=Y892+1))),INDEX(DATAS,Y892+1),"")</f>
        <v/>
      </c>
      <c r="AG892" s="45" t="str">
        <f aca="false">IF(AND(AA892=1,Y892&lt;1),IF(AND(C893=C892,Y893=Y892+1),IF(AA893=1,"",INDEX(DATAS,Y892+1)),INDEX(DATAS,Y892+1)),"")</f>
        <v/>
      </c>
    </row>
    <row r="893" customFormat="false" ht="15" hidden="false" customHeight="false" outlineLevel="0" collapsed="false">
      <c r="A893" s="45" t="n">
        <v>46309</v>
      </c>
      <c r="B893" s="0" t="n">
        <v>6</v>
      </c>
      <c r="C893" s="0" t="n">
        <v>4860</v>
      </c>
      <c r="D893" s="0" t="n">
        <v>173</v>
      </c>
      <c r="E893" s="0" t="n">
        <v>2</v>
      </c>
      <c r="F893" s="39" t="s">
        <v>664</v>
      </c>
      <c r="G893" s="0" t="n">
        <v>23.5</v>
      </c>
      <c r="H893" s="0" t="n">
        <v>28</v>
      </c>
      <c r="I893" s="39" t="s">
        <v>109</v>
      </c>
      <c r="J893" s="0" t="n">
        <v>117</v>
      </c>
      <c r="K893" s="0" t="n">
        <v>61</v>
      </c>
      <c r="L893" s="0" t="n">
        <v>56</v>
      </c>
      <c r="M893" s="0" t="n">
        <v>555.41</v>
      </c>
      <c r="N893" s="0" t="n">
        <v>65.43</v>
      </c>
      <c r="O893" s="0" t="n">
        <v>35.41</v>
      </c>
      <c r="P893" s="0" t="n">
        <v>5.1</v>
      </c>
      <c r="Q893" s="0" t="n">
        <v>3.6</v>
      </c>
      <c r="R893" s="0" t="n">
        <v>5684</v>
      </c>
      <c r="S893" s="0" t="n">
        <v>10238</v>
      </c>
      <c r="T893" s="0" t="n">
        <v>63.4</v>
      </c>
      <c r="U893" s="0" t="n">
        <v>1187</v>
      </c>
      <c r="V893" s="0" t="n">
        <v>3</v>
      </c>
      <c r="W893" s="39" t="n">
        <f aca="false">IF(I893="Male",0,1)</f>
        <v>1</v>
      </c>
      <c r="X893" s="39" t="n">
        <f aca="false">IF(OR(I893="DNB",I893="Dry DNB"),1,0)</f>
        <v>0</v>
      </c>
      <c r="Y893" s="39" t="n">
        <f aca="false">MATCH(A893,DATAS,0)</f>
        <v>1</v>
      </c>
      <c r="Z893" s="39" t="n">
        <f aca="false">IF(AND(E893&gt;0,OR(AND(B893&gt;=1,B893&lt;=6),B893=10)),1,0)</f>
        <v>1</v>
      </c>
      <c r="AA893" s="39" t="n">
        <f aca="false">IF(AND(E893&gt;0,B893=10),1,0)</f>
        <v>0</v>
      </c>
      <c r="AB893" s="0" t="str">
        <f aca="false">IF(AND(C892=C893,Y892=Y893-1),Z892,"")</f>
        <v/>
      </c>
      <c r="AC893" s="0" t="str">
        <f aca="false">IF(AND(C892=C893,Y892=Y893-1),AA892,"")</f>
        <v/>
      </c>
      <c r="AD893" s="0" t="str">
        <f aca="false">IF(Y893=1,"",IF(AND(Z893=1,AB893&lt;&gt;1),1,0))</f>
        <v/>
      </c>
      <c r="AE893" s="0" t="str">
        <f aca="false">IF(Y893=1,"",IF(AND(AA893=1,AC893&lt;&gt;1),1,0))</f>
        <v/>
      </c>
      <c r="AF893" s="45" t="str">
        <f aca="false">IF(AND(E893&gt;0,Y893&lt;1,NOT(AND(C894=C893,Y894=Y893+1))),INDEX(DATAS,Y893+1),"")</f>
        <v/>
      </c>
      <c r="AG893" s="45" t="str">
        <f aca="false">IF(AND(AA893=1,Y893&lt;1),IF(AND(C894=C893,Y894=Y893+1),IF(AA894=1,"",INDEX(DATAS,Y893+1)),INDEX(DATAS,Y893+1)),"")</f>
        <v/>
      </c>
    </row>
    <row r="894" customFormat="false" ht="15" hidden="false" customHeight="false" outlineLevel="0" collapsed="false">
      <c r="A894" s="45" t="n">
        <v>46309</v>
      </c>
      <c r="B894" s="0" t="n">
        <v>5</v>
      </c>
      <c r="C894" s="0" t="n">
        <v>4861</v>
      </c>
      <c r="D894" s="0" t="n">
        <v>200</v>
      </c>
      <c r="E894" s="0" t="n">
        <v>2</v>
      </c>
      <c r="F894" s="39" t="s">
        <v>665</v>
      </c>
      <c r="G894" s="0" t="n">
        <v>32.9</v>
      </c>
      <c r="H894" s="0" t="n">
        <v>30</v>
      </c>
      <c r="I894" s="39" t="s">
        <v>109</v>
      </c>
      <c r="J894" s="0" t="n">
        <v>67</v>
      </c>
      <c r="K894" s="0" t="n">
        <v>67</v>
      </c>
      <c r="L894" s="0" t="n">
        <v>133</v>
      </c>
      <c r="M894" s="0" t="n">
        <v>1082.26</v>
      </c>
      <c r="N894" s="0" t="n">
        <v>53.42</v>
      </c>
      <c r="O894" s="0" t="n">
        <v>41.51</v>
      </c>
      <c r="P894" s="0" t="n">
        <v>4.17</v>
      </c>
      <c r="Q894" s="0" t="n">
        <v>3.78</v>
      </c>
      <c r="R894" s="0" t="n">
        <v>3267</v>
      </c>
      <c r="S894" s="0" t="n">
        <v>6839</v>
      </c>
      <c r="T894" s="0" t="n">
        <v>36.25</v>
      </c>
      <c r="U894" s="0" t="n">
        <v>1186</v>
      </c>
      <c r="V894" s="0" t="n">
        <v>1</v>
      </c>
      <c r="W894" s="39" t="n">
        <f aca="false">IF(I894="Male",0,1)</f>
        <v>1</v>
      </c>
      <c r="X894" s="39" t="n">
        <f aca="false">IF(OR(I894="DNB",I894="Dry DNB"),1,0)</f>
        <v>0</v>
      </c>
      <c r="Y894" s="39" t="n">
        <f aca="false">MATCH(A894,DATAS,0)</f>
        <v>1</v>
      </c>
      <c r="Z894" s="39" t="n">
        <f aca="false">IF(AND(E894&gt;0,OR(AND(B894&gt;=1,B894&lt;=6),B894=10)),1,0)</f>
        <v>1</v>
      </c>
      <c r="AA894" s="39" t="n">
        <f aca="false">IF(AND(E894&gt;0,B894=10),1,0)</f>
        <v>0</v>
      </c>
      <c r="AB894" s="0" t="str">
        <f aca="false">IF(AND(C893=C894,Y893=Y894-1),Z893,"")</f>
        <v/>
      </c>
      <c r="AC894" s="0" t="str">
        <f aca="false">IF(AND(C893=C894,Y893=Y894-1),AA893,"")</f>
        <v/>
      </c>
      <c r="AD894" s="0" t="str">
        <f aca="false">IF(Y894=1,"",IF(AND(Z894=1,AB894&lt;&gt;1),1,0))</f>
        <v/>
      </c>
      <c r="AE894" s="0" t="str">
        <f aca="false">IF(Y894=1,"",IF(AND(AA894=1,AC894&lt;&gt;1),1,0))</f>
        <v/>
      </c>
      <c r="AF894" s="45" t="str">
        <f aca="false">IF(AND(E894&gt;0,Y894&lt;1,NOT(AND(C895=C894,Y895=Y894+1))),INDEX(DATAS,Y894+1),"")</f>
        <v/>
      </c>
      <c r="AG894" s="45" t="str">
        <f aca="false">IF(AND(AA894=1,Y894&lt;1),IF(AND(C895=C894,Y895=Y894+1),IF(AA895=1,"",INDEX(DATAS,Y894+1)),INDEX(DATAS,Y894+1)),"")</f>
        <v/>
      </c>
    </row>
    <row r="895" customFormat="false" ht="15" hidden="false" customHeight="false" outlineLevel="0" collapsed="false">
      <c r="A895" s="45" t="n">
        <v>46309</v>
      </c>
      <c r="B895" s="0" t="n">
        <v>5</v>
      </c>
      <c r="C895" s="0" t="n">
        <v>4862</v>
      </c>
      <c r="D895" s="0" t="n">
        <v>200</v>
      </c>
      <c r="E895" s="0" t="n">
        <v>2</v>
      </c>
      <c r="F895" s="39" t="s">
        <v>665</v>
      </c>
      <c r="G895" s="0" t="n">
        <v>21.2</v>
      </c>
      <c r="H895" s="0" t="n">
        <v>31</v>
      </c>
      <c r="I895" s="39" t="s">
        <v>146</v>
      </c>
      <c r="J895" s="0" t="n">
        <v>200</v>
      </c>
      <c r="K895" s="0" t="n">
        <v>67</v>
      </c>
      <c r="M895" s="0" t="n">
        <v>448.8</v>
      </c>
      <c r="N895" s="0" t="n">
        <v>51.51</v>
      </c>
      <c r="O895" s="0" t="n">
        <v>35.12</v>
      </c>
      <c r="P895" s="0" t="n">
        <v>5.78</v>
      </c>
      <c r="Q895" s="0" t="n">
        <v>3.97</v>
      </c>
      <c r="R895" s="0" t="n">
        <v>4561</v>
      </c>
      <c r="S895" s="0" t="n">
        <v>8781</v>
      </c>
      <c r="T895" s="0" t="n">
        <v>51.1</v>
      </c>
      <c r="U895" s="0" t="n">
        <v>1186</v>
      </c>
      <c r="V895" s="0" t="n">
        <v>3</v>
      </c>
      <c r="W895" s="39" t="n">
        <f aca="false">IF(I895="Male",0,1)</f>
        <v>1</v>
      </c>
      <c r="X895" s="39" t="n">
        <f aca="false">IF(OR(I895="DNB",I895="Dry DNB"),1,0)</f>
        <v>0</v>
      </c>
      <c r="Y895" s="39" t="n">
        <f aca="false">MATCH(A895,DATAS,0)</f>
        <v>1</v>
      </c>
      <c r="Z895" s="39" t="n">
        <f aca="false">IF(AND(E895&gt;0,OR(AND(B895&gt;=1,B895&lt;=6),B895=10)),1,0)</f>
        <v>1</v>
      </c>
      <c r="AA895" s="39" t="n">
        <f aca="false">IF(AND(E895&gt;0,B895=10),1,0)</f>
        <v>0</v>
      </c>
      <c r="AB895" s="0" t="str">
        <f aca="false">IF(AND(C894=C895,Y894=Y895-1),Z894,"")</f>
        <v/>
      </c>
      <c r="AC895" s="0" t="str">
        <f aca="false">IF(AND(C894=C895,Y894=Y895-1),AA894,"")</f>
        <v/>
      </c>
      <c r="AD895" s="0" t="str">
        <f aca="false">IF(Y895=1,"",IF(AND(Z895=1,AB895&lt;&gt;1),1,0))</f>
        <v/>
      </c>
      <c r="AE895" s="0" t="str">
        <f aca="false">IF(Y895=1,"",IF(AND(AA895=1,AC895&lt;&gt;1),1,0))</f>
        <v/>
      </c>
      <c r="AF895" s="45" t="str">
        <f aca="false">IF(AND(E895&gt;0,Y895&lt;1,NOT(AND(C896=C895,Y896=Y895+1))),INDEX(DATAS,Y895+1),"")</f>
        <v/>
      </c>
      <c r="AG895" s="45" t="str">
        <f aca="false">IF(AND(AA895=1,Y895&lt;1),IF(AND(C896=C895,Y896=Y895+1),IF(AA896=1,"",INDEX(DATAS,Y895+1)),INDEX(DATAS,Y895+1)),"")</f>
        <v/>
      </c>
    </row>
    <row r="896" customFormat="false" ht="15" hidden="false" customHeight="false" outlineLevel="0" collapsed="false">
      <c r="A896" s="45" t="n">
        <v>46309</v>
      </c>
      <c r="B896" s="0" t="n">
        <v>10</v>
      </c>
      <c r="C896" s="0" t="n">
        <v>4863</v>
      </c>
      <c r="D896" s="0" t="n">
        <v>178</v>
      </c>
      <c r="E896" s="0" t="n">
        <v>2</v>
      </c>
      <c r="F896" s="39" t="s">
        <v>666</v>
      </c>
      <c r="H896" s="0" t="n">
        <v>25</v>
      </c>
      <c r="I896" s="39" t="s">
        <v>146</v>
      </c>
      <c r="J896" s="0" t="n">
        <v>178</v>
      </c>
      <c r="K896" s="0" t="n">
        <v>66</v>
      </c>
      <c r="M896" s="0" t="n">
        <v>869.23</v>
      </c>
      <c r="N896" s="0" t="n">
        <v>64.06</v>
      </c>
      <c r="O896" s="0" t="n">
        <v>35.49</v>
      </c>
      <c r="P896" s="0" t="n">
        <v>2.92</v>
      </c>
      <c r="Q896" s="0" t="n">
        <v>3.39</v>
      </c>
      <c r="R896" s="0" t="n">
        <v>5269</v>
      </c>
      <c r="S896" s="0" t="n">
        <v>10783</v>
      </c>
      <c r="T896" s="0" t="n">
        <v>60.2</v>
      </c>
      <c r="U896" s="0" t="n">
        <v>1185</v>
      </c>
      <c r="V896" s="0" t="n">
        <v>4</v>
      </c>
      <c r="W896" s="39" t="n">
        <f aca="false">IF(I896="Male",0,1)</f>
        <v>1</v>
      </c>
      <c r="X896" s="39" t="n">
        <f aca="false">IF(OR(I896="DNB",I896="Dry DNB"),1,0)</f>
        <v>0</v>
      </c>
      <c r="Y896" s="39" t="n">
        <f aca="false">MATCH(A896,DATAS,0)</f>
        <v>1</v>
      </c>
      <c r="Z896" s="39" t="n">
        <f aca="false">IF(AND(E896&gt;0,OR(AND(B896&gt;=1,B896&lt;=6),B896=10)),1,0)</f>
        <v>1</v>
      </c>
      <c r="AA896" s="39" t="n">
        <f aca="false">IF(AND(E896&gt;0,B896=10),1,0)</f>
        <v>1</v>
      </c>
      <c r="AB896" s="0" t="str">
        <f aca="false">IF(AND(C895=C896,Y895=Y896-1),Z895,"")</f>
        <v/>
      </c>
      <c r="AC896" s="0" t="str">
        <f aca="false">IF(AND(C895=C896,Y895=Y896-1),AA895,"")</f>
        <v/>
      </c>
      <c r="AD896" s="0" t="str">
        <f aca="false">IF(Y896=1,"",IF(AND(Z896=1,AB896&lt;&gt;1),1,0))</f>
        <v/>
      </c>
      <c r="AE896" s="0" t="str">
        <f aca="false">IF(Y896=1,"",IF(AND(AA896=1,AC896&lt;&gt;1),1,0))</f>
        <v/>
      </c>
      <c r="AF896" s="45" t="str">
        <f aca="false">IF(AND(E896&gt;0,Y896&lt;1,NOT(AND(C897=C896,Y897=Y896+1))),INDEX(DATAS,Y896+1),"")</f>
        <v/>
      </c>
      <c r="AG896" s="45" t="str">
        <f aca="false">IF(AND(AA896=1,Y896&lt;1),IF(AND(C897=C896,Y897=Y896+1),IF(AA897=1,"",INDEX(DATAS,Y896+1)),INDEX(DATAS,Y896+1)),"")</f>
        <v/>
      </c>
    </row>
    <row r="897" customFormat="false" ht="15" hidden="false" customHeight="false" outlineLevel="0" collapsed="false">
      <c r="A897" s="45" t="n">
        <v>46309</v>
      </c>
      <c r="B897" s="0" t="n">
        <v>14</v>
      </c>
      <c r="C897" s="0" t="n">
        <v>4865</v>
      </c>
      <c r="D897" s="0" t="n">
        <v>509</v>
      </c>
      <c r="E897" s="0" t="n">
        <v>1</v>
      </c>
      <c r="F897" s="39" t="s">
        <v>666</v>
      </c>
      <c r="I897" s="39" t="s">
        <v>114</v>
      </c>
      <c r="J897" s="0" t="n">
        <v>286</v>
      </c>
      <c r="K897" s="0" t="n">
        <v>62</v>
      </c>
      <c r="L897" s="0" t="n">
        <v>259</v>
      </c>
      <c r="M897" s="0" t="n">
        <v>1666.12</v>
      </c>
      <c r="N897" s="0" t="n">
        <v>50.28</v>
      </c>
      <c r="O897" s="0" t="n">
        <v>49.29</v>
      </c>
      <c r="P897" s="0" t="n">
        <v>4.46</v>
      </c>
      <c r="Q897" s="0" t="n">
        <v>3.64</v>
      </c>
      <c r="R897" s="0" t="n">
        <v>5200</v>
      </c>
      <c r="S897" s="0" t="n">
        <v>10878</v>
      </c>
      <c r="T897" s="0" t="n">
        <v>55.95</v>
      </c>
      <c r="U897" s="0" t="n">
        <v>1185</v>
      </c>
      <c r="V897" s="0" t="n">
        <v>7</v>
      </c>
      <c r="W897" s="39" t="n">
        <f aca="false">IF(I897="Male",0,1)</f>
        <v>1</v>
      </c>
      <c r="X897" s="39" t="n">
        <f aca="false">IF(OR(I897="DNB",I897="Dry DNB"),1,0)</f>
        <v>0</v>
      </c>
      <c r="Y897" s="39" t="n">
        <f aca="false">MATCH(A897,DATAS,0)</f>
        <v>1</v>
      </c>
      <c r="Z897" s="39" t="n">
        <f aca="false">IF(AND(E897&gt;0,OR(AND(B897&gt;=1,B897&lt;=6),B897=10)),1,0)</f>
        <v>0</v>
      </c>
      <c r="AA897" s="39" t="n">
        <f aca="false">IF(AND(E897&gt;0,B897=10),1,0)</f>
        <v>0</v>
      </c>
      <c r="AB897" s="0" t="str">
        <f aca="false">IF(AND(C896=C897,Y896=Y897-1),Z896,"")</f>
        <v/>
      </c>
      <c r="AC897" s="0" t="str">
        <f aca="false">IF(AND(C896=C897,Y896=Y897-1),AA896,"")</f>
        <v/>
      </c>
      <c r="AD897" s="0" t="str">
        <f aca="false">IF(Y897=1,"",IF(AND(Z897=1,AB897&lt;&gt;1),1,0))</f>
        <v/>
      </c>
      <c r="AE897" s="0" t="str">
        <f aca="false">IF(Y897=1,"",IF(AND(AA897=1,AC897&lt;&gt;1),1,0))</f>
        <v/>
      </c>
      <c r="AF897" s="45" t="str">
        <f aca="false">IF(AND(E897&gt;0,Y897&lt;1,NOT(AND(C898=C897,Y898=Y897+1))),INDEX(DATAS,Y897+1),"")</f>
        <v/>
      </c>
      <c r="AG897" s="45" t="str">
        <f aca="false">IF(AND(AA897=1,Y897&lt;1),IF(AND(C898=C897,Y898=Y897+1),IF(AA898=1,"",INDEX(DATAS,Y897+1)),INDEX(DATAS,Y897+1)),"")</f>
        <v/>
      </c>
    </row>
    <row r="898" customFormat="false" ht="15" hidden="false" customHeight="false" outlineLevel="0" collapsed="false">
      <c r="A898" s="45" t="n">
        <v>46309</v>
      </c>
      <c r="B898" s="0" t="n">
        <v>5</v>
      </c>
      <c r="C898" s="0" t="n">
        <v>4867</v>
      </c>
      <c r="D898" s="0" t="n">
        <v>505</v>
      </c>
      <c r="E898" s="0" t="n">
        <v>1</v>
      </c>
      <c r="F898" s="39" t="s">
        <v>667</v>
      </c>
      <c r="G898" s="0" t="n">
        <v>30.9</v>
      </c>
      <c r="H898" s="0" t="n">
        <v>32</v>
      </c>
      <c r="I898" s="39" t="s">
        <v>138</v>
      </c>
      <c r="J898" s="0" t="n">
        <v>505</v>
      </c>
      <c r="K898" s="0" t="n">
        <v>64</v>
      </c>
      <c r="M898" s="0" t="n">
        <v>820.7</v>
      </c>
      <c r="N898" s="0" t="n">
        <v>64.66</v>
      </c>
      <c r="O898" s="0" t="n">
        <v>30.44</v>
      </c>
      <c r="P898" s="0" t="n">
        <v>6.21</v>
      </c>
      <c r="Q898" s="0" t="n">
        <v>4.54</v>
      </c>
      <c r="R898" s="0" t="n">
        <v>4507</v>
      </c>
      <c r="S898" s="0" t="n">
        <v>9493</v>
      </c>
      <c r="T898" s="0" t="n">
        <v>54.5</v>
      </c>
      <c r="U898" s="0" t="n">
        <v>1183</v>
      </c>
      <c r="V898" s="0" t="n">
        <v>13</v>
      </c>
      <c r="W898" s="39" t="n">
        <f aca="false">IF(I898="Male",0,1)</f>
        <v>1</v>
      </c>
      <c r="X898" s="39" t="n">
        <f aca="false">IF(OR(I898="DNB",I898="Dry DNB"),1,0)</f>
        <v>0</v>
      </c>
      <c r="Y898" s="39" t="n">
        <f aca="false">MATCH(A898,DATAS,0)</f>
        <v>1</v>
      </c>
      <c r="Z898" s="39" t="n">
        <f aca="false">IF(AND(E898&gt;0,OR(AND(B898&gt;=1,B898&lt;=6),B898=10)),1,0)</f>
        <v>1</v>
      </c>
      <c r="AA898" s="39" t="n">
        <f aca="false">IF(AND(E898&gt;0,B898=10),1,0)</f>
        <v>0</v>
      </c>
      <c r="AB898" s="0" t="str">
        <f aca="false">IF(AND(C897=C898,Y897=Y898-1),Z897,"")</f>
        <v/>
      </c>
      <c r="AC898" s="0" t="str">
        <f aca="false">IF(AND(C897=C898,Y897=Y898-1),AA897,"")</f>
        <v/>
      </c>
      <c r="AD898" s="0" t="str">
        <f aca="false">IF(Y898=1,"",IF(AND(Z898=1,AB898&lt;&gt;1),1,0))</f>
        <v/>
      </c>
      <c r="AE898" s="0" t="str">
        <f aca="false">IF(Y898=1,"",IF(AND(AA898=1,AC898&lt;&gt;1),1,0))</f>
        <v/>
      </c>
      <c r="AF898" s="45" t="str">
        <f aca="false">IF(AND(E898&gt;0,Y898&lt;1,NOT(AND(C899=C898,Y899=Y898+1))),INDEX(DATAS,Y898+1),"")</f>
        <v/>
      </c>
      <c r="AG898" s="45" t="str">
        <f aca="false">IF(AND(AA898=1,Y898&lt;1),IF(AND(C899=C898,Y899=Y898+1),IF(AA899=1,"",INDEX(DATAS,Y898+1)),INDEX(DATAS,Y898+1)),"")</f>
        <v/>
      </c>
    </row>
    <row r="899" customFormat="false" ht="15" hidden="false" customHeight="false" outlineLevel="0" collapsed="false">
      <c r="A899" s="45" t="n">
        <v>46309</v>
      </c>
      <c r="B899" s="0" t="n">
        <v>2</v>
      </c>
      <c r="C899" s="0" t="n">
        <v>4868</v>
      </c>
      <c r="D899" s="0" t="n">
        <v>12</v>
      </c>
      <c r="E899" s="0" t="n">
        <v>2</v>
      </c>
      <c r="F899" s="39" t="s">
        <v>667</v>
      </c>
      <c r="G899" s="0" t="n">
        <v>41.8</v>
      </c>
      <c r="H899" s="0" t="n">
        <v>33</v>
      </c>
      <c r="I899" s="39" t="s">
        <v>118</v>
      </c>
      <c r="J899" s="0" t="n">
        <v>12</v>
      </c>
      <c r="M899" s="0" t="n">
        <v>582.77</v>
      </c>
      <c r="N899" s="0" t="n">
        <v>35.07</v>
      </c>
      <c r="O899" s="0" t="n">
        <v>19.05</v>
      </c>
      <c r="R899" s="0" t="n">
        <v>2426</v>
      </c>
      <c r="S899" s="0" t="n">
        <v>4877</v>
      </c>
      <c r="U899" s="0" t="n">
        <v>1183</v>
      </c>
      <c r="V899" s="0" t="n">
        <v>0</v>
      </c>
      <c r="W899" s="39" t="n">
        <f aca="false">IF(I899="Male",0,1)</f>
        <v>1</v>
      </c>
      <c r="X899" s="39" t="n">
        <f aca="false">IF(OR(I899="DNB",I899="Dry DNB"),1,0)</f>
        <v>0</v>
      </c>
      <c r="Y899" s="39" t="n">
        <f aca="false">MATCH(A899,DATAS,0)</f>
        <v>1</v>
      </c>
      <c r="Z899" s="39" t="n">
        <f aca="false">IF(AND(E899&gt;0,OR(AND(B899&gt;=1,B899&lt;=6),B899=10)),1,0)</f>
        <v>1</v>
      </c>
      <c r="AA899" s="39" t="n">
        <f aca="false">IF(AND(E899&gt;0,B899=10),1,0)</f>
        <v>0</v>
      </c>
      <c r="AB899" s="0" t="str">
        <f aca="false">IF(AND(C898=C899,Y898=Y899-1),Z898,"")</f>
        <v/>
      </c>
      <c r="AC899" s="0" t="str">
        <f aca="false">IF(AND(C898=C899,Y898=Y899-1),AA898,"")</f>
        <v/>
      </c>
      <c r="AD899" s="0" t="str">
        <f aca="false">IF(Y899=1,"",IF(AND(Z899=1,AB899&lt;&gt;1),1,0))</f>
        <v/>
      </c>
      <c r="AE899" s="0" t="str">
        <f aca="false">IF(Y899=1,"",IF(AND(AA899=1,AC899&lt;&gt;1),1,0))</f>
        <v/>
      </c>
      <c r="AF899" s="45" t="str">
        <f aca="false">IF(AND(E899&gt;0,Y899&lt;1,NOT(AND(C900=C899,Y900=Y899+1))),INDEX(DATAS,Y899+1),"")</f>
        <v/>
      </c>
      <c r="AG899" s="45" t="str">
        <f aca="false">IF(AND(AA899=1,Y899&lt;1),IF(AND(C900=C899,Y900=Y899+1),IF(AA900=1,"",INDEX(DATAS,Y899+1)),INDEX(DATAS,Y899+1)),"")</f>
        <v/>
      </c>
    </row>
    <row r="900" customFormat="false" ht="15" hidden="false" customHeight="false" outlineLevel="0" collapsed="false">
      <c r="A900" s="45" t="n">
        <v>46309</v>
      </c>
      <c r="B900" s="0" t="n">
        <v>5</v>
      </c>
      <c r="C900" s="0" t="n">
        <v>4869</v>
      </c>
      <c r="D900" s="0" t="n">
        <v>187</v>
      </c>
      <c r="E900" s="0" t="n">
        <v>2</v>
      </c>
      <c r="F900" s="39" t="s">
        <v>668</v>
      </c>
      <c r="G900" s="0" t="n">
        <v>30.6</v>
      </c>
      <c r="H900" s="0" t="n">
        <v>31</v>
      </c>
      <c r="I900" s="39" t="s">
        <v>109</v>
      </c>
      <c r="J900" s="0" t="n">
        <v>69</v>
      </c>
      <c r="K900" s="0" t="n">
        <v>76</v>
      </c>
      <c r="L900" s="0" t="n">
        <v>118</v>
      </c>
      <c r="M900" s="0" t="n">
        <v>835.17</v>
      </c>
      <c r="N900" s="0" t="n">
        <v>49.71</v>
      </c>
      <c r="O900" s="0" t="n">
        <v>44.32</v>
      </c>
      <c r="P900" s="0" t="n">
        <v>4.97</v>
      </c>
      <c r="Q900" s="0" t="n">
        <v>3.78</v>
      </c>
      <c r="R900" s="0" t="n">
        <v>3564</v>
      </c>
      <c r="S900" s="0" t="n">
        <v>6628</v>
      </c>
      <c r="T900" s="0" t="n">
        <v>38</v>
      </c>
      <c r="U900" s="0" t="n">
        <v>1182</v>
      </c>
      <c r="V900" s="0" t="n">
        <v>1</v>
      </c>
      <c r="W900" s="39" t="n">
        <f aca="false">IF(I900="Male",0,1)</f>
        <v>1</v>
      </c>
      <c r="X900" s="39" t="n">
        <f aca="false">IF(OR(I900="DNB",I900="Dry DNB"),1,0)</f>
        <v>0</v>
      </c>
      <c r="Y900" s="39" t="n">
        <f aca="false">MATCH(A900,DATAS,0)</f>
        <v>1</v>
      </c>
      <c r="Z900" s="39" t="n">
        <f aca="false">IF(AND(E900&gt;0,OR(AND(B900&gt;=1,B900&lt;=6),B900=10)),1,0)</f>
        <v>1</v>
      </c>
      <c r="AA900" s="39" t="n">
        <f aca="false">IF(AND(E900&gt;0,B900=10),1,0)</f>
        <v>0</v>
      </c>
      <c r="AB900" s="0" t="str">
        <f aca="false">IF(AND(C899=C900,Y899=Y900-1),Z899,"")</f>
        <v/>
      </c>
      <c r="AC900" s="0" t="str">
        <f aca="false">IF(AND(C899=C900,Y899=Y900-1),AA899,"")</f>
        <v/>
      </c>
      <c r="AD900" s="0" t="str">
        <f aca="false">IF(Y900=1,"",IF(AND(Z900=1,AB900&lt;&gt;1),1,0))</f>
        <v/>
      </c>
      <c r="AE900" s="0" t="str">
        <f aca="false">IF(Y900=1,"",IF(AND(AA900=1,AC900&lt;&gt;1),1,0))</f>
        <v/>
      </c>
      <c r="AF900" s="45" t="str">
        <f aca="false">IF(AND(E900&gt;0,Y900&lt;1,NOT(AND(C901=C900,Y901=Y900+1))),INDEX(DATAS,Y900+1),"")</f>
        <v/>
      </c>
      <c r="AG900" s="45" t="str">
        <f aca="false">IF(AND(AA900=1,Y900&lt;1),IF(AND(C901=C900,Y901=Y900+1),IF(AA901=1,"",INDEX(DATAS,Y900+1)),INDEX(DATAS,Y900+1)),"")</f>
        <v/>
      </c>
    </row>
    <row r="901" customFormat="false" ht="15" hidden="false" customHeight="false" outlineLevel="0" collapsed="false">
      <c r="A901" s="45" t="n">
        <v>46309</v>
      </c>
      <c r="B901" s="0" t="n">
        <v>2</v>
      </c>
      <c r="C901" s="0" t="n">
        <v>4870</v>
      </c>
      <c r="D901" s="0" t="n">
        <v>36</v>
      </c>
      <c r="E901" s="0" t="n">
        <v>2</v>
      </c>
      <c r="F901" s="39" t="s">
        <v>668</v>
      </c>
      <c r="G901" s="0" t="n">
        <v>66.9</v>
      </c>
      <c r="H901" s="0" t="n">
        <v>64</v>
      </c>
      <c r="I901" s="39" t="s">
        <v>118</v>
      </c>
      <c r="J901" s="0" t="n">
        <v>36</v>
      </c>
      <c r="M901" s="0" t="n">
        <v>1029.29</v>
      </c>
      <c r="N901" s="0" t="n">
        <v>43.4</v>
      </c>
      <c r="O901" s="0" t="n">
        <v>23.41</v>
      </c>
      <c r="P901" s="0" t="n">
        <v>5.08</v>
      </c>
      <c r="Q901" s="0" t="n">
        <v>3.43</v>
      </c>
      <c r="R901" s="0" t="n">
        <v>5662</v>
      </c>
      <c r="S901" s="0" t="n">
        <v>11382</v>
      </c>
      <c r="U901" s="0" t="n">
        <v>1182</v>
      </c>
      <c r="V901" s="0" t="n">
        <v>0</v>
      </c>
      <c r="W901" s="39" t="n">
        <f aca="false">IF(I901="Male",0,1)</f>
        <v>1</v>
      </c>
      <c r="X901" s="39" t="n">
        <f aca="false">IF(OR(I901="DNB",I901="Dry DNB"),1,0)</f>
        <v>0</v>
      </c>
      <c r="Y901" s="39" t="n">
        <f aca="false">MATCH(A901,DATAS,0)</f>
        <v>1</v>
      </c>
      <c r="Z901" s="39" t="n">
        <f aca="false">IF(AND(E901&gt;0,OR(AND(B901&gt;=1,B901&lt;=6),B901=10)),1,0)</f>
        <v>1</v>
      </c>
      <c r="AA901" s="39" t="n">
        <f aca="false">IF(AND(E901&gt;0,B901=10),1,0)</f>
        <v>0</v>
      </c>
      <c r="AB901" s="0" t="str">
        <f aca="false">IF(AND(C900=C901,Y900=Y901-1),Z900,"")</f>
        <v/>
      </c>
      <c r="AC901" s="0" t="str">
        <f aca="false">IF(AND(C900=C901,Y900=Y901-1),AA900,"")</f>
        <v/>
      </c>
      <c r="AD901" s="0" t="str">
        <f aca="false">IF(Y901=1,"",IF(AND(Z901=1,AB901&lt;&gt;1),1,0))</f>
        <v/>
      </c>
      <c r="AE901" s="0" t="str">
        <f aca="false">IF(Y901=1,"",IF(AND(AA901=1,AC901&lt;&gt;1),1,0))</f>
        <v/>
      </c>
      <c r="AF901" s="45" t="str">
        <f aca="false">IF(AND(E901&gt;0,Y901&lt;1,NOT(AND(C902=C901,Y902=Y901+1))),INDEX(DATAS,Y901+1),"")</f>
        <v/>
      </c>
      <c r="AG901" s="45" t="str">
        <f aca="false">IF(AND(AA901=1,Y901&lt;1),IF(AND(C902=C901,Y902=Y901+1),IF(AA902=1,"",INDEX(DATAS,Y901+1)),INDEX(DATAS,Y901+1)),"")</f>
        <v/>
      </c>
    </row>
    <row r="902" customFormat="false" ht="15" hidden="false" customHeight="false" outlineLevel="0" collapsed="false">
      <c r="A902" s="45" t="n">
        <v>46309</v>
      </c>
      <c r="B902" s="0" t="n">
        <v>5</v>
      </c>
      <c r="C902" s="0" t="n">
        <v>4871</v>
      </c>
      <c r="D902" s="0" t="n">
        <v>205</v>
      </c>
      <c r="E902" s="0" t="n">
        <v>2</v>
      </c>
      <c r="F902" s="39" t="s">
        <v>668</v>
      </c>
      <c r="G902" s="0" t="n">
        <v>31.9</v>
      </c>
      <c r="H902" s="0" t="n">
        <v>29</v>
      </c>
      <c r="I902" s="39" t="s">
        <v>109</v>
      </c>
      <c r="J902" s="0" t="n">
        <v>65</v>
      </c>
      <c r="K902" s="0" t="n">
        <v>65</v>
      </c>
      <c r="L902" s="0" t="n">
        <v>140</v>
      </c>
      <c r="M902" s="0" t="n">
        <v>904</v>
      </c>
      <c r="N902" s="0" t="n">
        <v>62.93</v>
      </c>
      <c r="O902" s="0" t="n">
        <v>42</v>
      </c>
      <c r="P902" s="0" t="n">
        <v>5.02</v>
      </c>
      <c r="Q902" s="0" t="n">
        <v>3.55</v>
      </c>
      <c r="R902" s="0" t="n">
        <v>3685</v>
      </c>
      <c r="S902" s="0" t="n">
        <v>6665</v>
      </c>
      <c r="T902" s="0" t="n">
        <v>42.45</v>
      </c>
      <c r="U902" s="0" t="n">
        <v>1182</v>
      </c>
      <c r="V902" s="0" t="n">
        <v>1</v>
      </c>
      <c r="W902" s="39" t="n">
        <f aca="false">IF(I902="Male",0,1)</f>
        <v>1</v>
      </c>
      <c r="X902" s="39" t="n">
        <f aca="false">IF(OR(I902="DNB",I902="Dry DNB"),1,0)</f>
        <v>0</v>
      </c>
      <c r="Y902" s="39" t="n">
        <f aca="false">MATCH(A902,DATAS,0)</f>
        <v>1</v>
      </c>
      <c r="Z902" s="39" t="n">
        <f aca="false">IF(AND(E902&gt;0,OR(AND(B902&gt;=1,B902&lt;=6),B902=10)),1,0)</f>
        <v>1</v>
      </c>
      <c r="AA902" s="39" t="n">
        <f aca="false">IF(AND(E902&gt;0,B902=10),1,0)</f>
        <v>0</v>
      </c>
      <c r="AB902" s="0" t="str">
        <f aca="false">IF(AND(C901=C902,Y901=Y902-1),Z901,"")</f>
        <v/>
      </c>
      <c r="AC902" s="0" t="str">
        <f aca="false">IF(AND(C901=C902,Y901=Y902-1),AA901,"")</f>
        <v/>
      </c>
      <c r="AD902" s="0" t="str">
        <f aca="false">IF(Y902=1,"",IF(AND(Z902=1,AB902&lt;&gt;1),1,0))</f>
        <v/>
      </c>
      <c r="AE902" s="0" t="str">
        <f aca="false">IF(Y902=1,"",IF(AND(AA902=1,AC902&lt;&gt;1),1,0))</f>
        <v/>
      </c>
      <c r="AF902" s="45" t="str">
        <f aca="false">IF(AND(E902&gt;0,Y902&lt;1,NOT(AND(C903=C902,Y903=Y902+1))),INDEX(DATAS,Y902+1),"")</f>
        <v/>
      </c>
      <c r="AG902" s="45" t="str">
        <f aca="false">IF(AND(AA902=1,Y902&lt;1),IF(AND(C903=C902,Y903=Y902+1),IF(AA903=1,"",INDEX(DATAS,Y902+1)),INDEX(DATAS,Y902+1)),"")</f>
        <v/>
      </c>
    </row>
    <row r="903" customFormat="false" ht="15" hidden="false" customHeight="false" outlineLevel="0" collapsed="false">
      <c r="A903" s="45" t="n">
        <v>46309</v>
      </c>
      <c r="B903" s="0" t="n">
        <v>5</v>
      </c>
      <c r="C903" s="0" t="n">
        <v>4872</v>
      </c>
      <c r="D903" s="0" t="n">
        <v>165</v>
      </c>
      <c r="E903" s="0" t="n">
        <v>2</v>
      </c>
      <c r="F903" s="39" t="s">
        <v>668</v>
      </c>
      <c r="G903" s="0" t="n">
        <v>41.2</v>
      </c>
      <c r="H903" s="0" t="n">
        <v>43</v>
      </c>
      <c r="I903" s="39" t="s">
        <v>109</v>
      </c>
      <c r="J903" s="0" t="n">
        <v>110</v>
      </c>
      <c r="K903" s="0" t="n">
        <v>67</v>
      </c>
      <c r="L903" s="0" t="n">
        <v>55</v>
      </c>
      <c r="M903" s="0" t="n">
        <v>895.62</v>
      </c>
      <c r="N903" s="0" t="n">
        <v>88.35</v>
      </c>
      <c r="O903" s="0" t="n">
        <v>42.83</v>
      </c>
      <c r="P903" s="0" t="n">
        <v>5.19</v>
      </c>
      <c r="Q903" s="0" t="n">
        <v>3.95</v>
      </c>
      <c r="R903" s="0" t="n">
        <v>3880</v>
      </c>
      <c r="S903" s="0" t="n">
        <v>8211</v>
      </c>
      <c r="T903" s="0" t="n">
        <v>44.65</v>
      </c>
      <c r="U903" s="0" t="n">
        <v>1182</v>
      </c>
      <c r="V903" s="0" t="n">
        <v>2</v>
      </c>
      <c r="W903" s="39" t="n">
        <f aca="false">IF(I903="Male",0,1)</f>
        <v>1</v>
      </c>
      <c r="X903" s="39" t="n">
        <f aca="false">IF(OR(I903="DNB",I903="Dry DNB"),1,0)</f>
        <v>0</v>
      </c>
      <c r="Y903" s="39" t="n">
        <f aca="false">MATCH(A903,DATAS,0)</f>
        <v>1</v>
      </c>
      <c r="Z903" s="39" t="n">
        <f aca="false">IF(AND(E903&gt;0,OR(AND(B903&gt;=1,B903&lt;=6),B903=10)),1,0)</f>
        <v>1</v>
      </c>
      <c r="AA903" s="39" t="n">
        <f aca="false">IF(AND(E903&gt;0,B903=10),1,0)</f>
        <v>0</v>
      </c>
      <c r="AB903" s="0" t="str">
        <f aca="false">IF(AND(C902=C903,Y902=Y903-1),Z902,"")</f>
        <v/>
      </c>
      <c r="AC903" s="0" t="str">
        <f aca="false">IF(AND(C902=C903,Y902=Y903-1),AA902,"")</f>
        <v/>
      </c>
      <c r="AD903" s="0" t="str">
        <f aca="false">IF(Y903=1,"",IF(AND(Z903=1,AB903&lt;&gt;1),1,0))</f>
        <v/>
      </c>
      <c r="AE903" s="0" t="str">
        <f aca="false">IF(Y903=1,"",IF(AND(AA903=1,AC903&lt;&gt;1),1,0))</f>
        <v/>
      </c>
      <c r="AF903" s="45" t="str">
        <f aca="false">IF(AND(E903&gt;0,Y903&lt;1,NOT(AND(C904=C903,Y904=Y903+1))),INDEX(DATAS,Y903+1),"")</f>
        <v/>
      </c>
      <c r="AG903" s="45" t="str">
        <f aca="false">IF(AND(AA903=1,Y903&lt;1),IF(AND(C904=C903,Y904=Y903+1),IF(AA904=1,"",INDEX(DATAS,Y903+1)),INDEX(DATAS,Y903+1)),"")</f>
        <v/>
      </c>
    </row>
    <row r="904" customFormat="false" ht="15" hidden="false" customHeight="false" outlineLevel="0" collapsed="false">
      <c r="A904" s="45" t="n">
        <v>46309</v>
      </c>
      <c r="B904" s="0" t="n">
        <v>5</v>
      </c>
      <c r="C904" s="0" t="n">
        <v>4873</v>
      </c>
      <c r="D904" s="0" t="n">
        <v>448</v>
      </c>
      <c r="E904" s="0" t="n">
        <v>1</v>
      </c>
      <c r="F904" s="39" t="s">
        <v>668</v>
      </c>
      <c r="G904" s="0" t="n">
        <v>40.3</v>
      </c>
      <c r="H904" s="0" t="n">
        <v>38</v>
      </c>
      <c r="I904" s="39" t="s">
        <v>109</v>
      </c>
      <c r="J904" s="0" t="n">
        <v>385</v>
      </c>
      <c r="K904" s="0" t="n">
        <v>63</v>
      </c>
      <c r="L904" s="0" t="n">
        <v>63</v>
      </c>
      <c r="M904" s="0" t="n">
        <v>329.75</v>
      </c>
      <c r="N904" s="0" t="n">
        <v>39.49</v>
      </c>
      <c r="O904" s="0" t="n">
        <v>21.84</v>
      </c>
      <c r="P904" s="0" t="n">
        <v>0</v>
      </c>
      <c r="Q904" s="0" t="n">
        <v>0</v>
      </c>
      <c r="R904" s="0" t="n">
        <v>3976</v>
      </c>
      <c r="S904" s="0" t="n">
        <v>8732</v>
      </c>
      <c r="T904" s="0" t="n">
        <v>44.4</v>
      </c>
      <c r="U904" s="0" t="n">
        <v>1182</v>
      </c>
      <c r="V904" s="0" t="n">
        <v>9</v>
      </c>
      <c r="W904" s="39" t="n">
        <f aca="false">IF(I904="Male",0,1)</f>
        <v>1</v>
      </c>
      <c r="X904" s="39" t="n">
        <f aca="false">IF(OR(I904="DNB",I904="Dry DNB"),1,0)</f>
        <v>0</v>
      </c>
      <c r="Y904" s="39" t="n">
        <f aca="false">MATCH(A904,DATAS,0)</f>
        <v>1</v>
      </c>
      <c r="Z904" s="39" t="n">
        <f aca="false">IF(AND(E904&gt;0,OR(AND(B904&gt;=1,B904&lt;=6),B904=10)),1,0)</f>
        <v>1</v>
      </c>
      <c r="AA904" s="39" t="n">
        <f aca="false">IF(AND(E904&gt;0,B904=10),1,0)</f>
        <v>0</v>
      </c>
      <c r="AB904" s="0" t="str">
        <f aca="false">IF(AND(C903=C904,Y903=Y904-1),Z903,"")</f>
        <v/>
      </c>
      <c r="AC904" s="0" t="str">
        <f aca="false">IF(AND(C903=C904,Y903=Y904-1),AA903,"")</f>
        <v/>
      </c>
      <c r="AD904" s="0" t="str">
        <f aca="false">IF(Y904=1,"",IF(AND(Z904=1,AB904&lt;&gt;1),1,0))</f>
        <v/>
      </c>
      <c r="AE904" s="0" t="str">
        <f aca="false">IF(Y904=1,"",IF(AND(AA904=1,AC904&lt;&gt;1),1,0))</f>
        <v/>
      </c>
      <c r="AF904" s="45" t="str">
        <f aca="false">IF(AND(E904&gt;0,Y904&lt;1,NOT(AND(C905=C904,Y905=Y904+1))),INDEX(DATAS,Y904+1),"")</f>
        <v/>
      </c>
      <c r="AG904" s="45" t="str">
        <f aca="false">IF(AND(AA904=1,Y904&lt;1),IF(AND(C905=C904,Y905=Y904+1),IF(AA905=1,"",INDEX(DATAS,Y904+1)),INDEX(DATAS,Y904+1)),"")</f>
        <v/>
      </c>
    </row>
    <row r="905" customFormat="false" ht="15" hidden="false" customHeight="false" outlineLevel="0" collapsed="false">
      <c r="A905" s="45" t="n">
        <v>46309</v>
      </c>
      <c r="B905" s="0" t="n">
        <v>2</v>
      </c>
      <c r="C905" s="0" t="n">
        <v>4874</v>
      </c>
      <c r="D905" s="0" t="n">
        <v>195</v>
      </c>
      <c r="E905" s="0" t="n">
        <v>2</v>
      </c>
      <c r="F905" s="39" t="s">
        <v>668</v>
      </c>
      <c r="G905" s="0" t="n">
        <v>48.4</v>
      </c>
      <c r="H905" s="0" t="n">
        <v>51</v>
      </c>
      <c r="I905" s="39" t="s">
        <v>109</v>
      </c>
      <c r="J905" s="0" t="n">
        <v>62</v>
      </c>
      <c r="K905" s="0" t="n">
        <v>62</v>
      </c>
      <c r="L905" s="0" t="n">
        <v>133</v>
      </c>
      <c r="M905" s="0" t="n">
        <v>1006.46</v>
      </c>
      <c r="N905" s="0" t="n">
        <v>60.24</v>
      </c>
      <c r="O905" s="0" t="n">
        <v>47.27</v>
      </c>
      <c r="P905" s="0" t="n">
        <v>3.57</v>
      </c>
      <c r="Q905" s="0" t="n">
        <v>3.88</v>
      </c>
      <c r="R905" s="0" t="n">
        <v>6166</v>
      </c>
      <c r="S905" s="0" t="n">
        <v>11991</v>
      </c>
      <c r="T905" s="0" t="n">
        <v>60.1</v>
      </c>
      <c r="U905" s="0" t="n">
        <v>1182</v>
      </c>
      <c r="V905" s="0" t="n">
        <v>1</v>
      </c>
      <c r="W905" s="39" t="n">
        <f aca="false">IF(I905="Male",0,1)</f>
        <v>1</v>
      </c>
      <c r="X905" s="39" t="n">
        <f aca="false">IF(OR(I905="DNB",I905="Dry DNB"),1,0)</f>
        <v>0</v>
      </c>
      <c r="Y905" s="39" t="n">
        <f aca="false">MATCH(A905,DATAS,0)</f>
        <v>1</v>
      </c>
      <c r="Z905" s="39" t="n">
        <f aca="false">IF(AND(E905&gt;0,OR(AND(B905&gt;=1,B905&lt;=6),B905=10)),1,0)</f>
        <v>1</v>
      </c>
      <c r="AA905" s="39" t="n">
        <f aca="false">IF(AND(E905&gt;0,B905=10),1,0)</f>
        <v>0</v>
      </c>
      <c r="AB905" s="0" t="str">
        <f aca="false">IF(AND(C904=C905,Y904=Y905-1),Z904,"")</f>
        <v/>
      </c>
      <c r="AC905" s="0" t="str">
        <f aca="false">IF(AND(C904=C905,Y904=Y905-1),AA904,"")</f>
        <v/>
      </c>
      <c r="AD905" s="0" t="str">
        <f aca="false">IF(Y905=1,"",IF(AND(Z905=1,AB905&lt;&gt;1),1,0))</f>
        <v/>
      </c>
      <c r="AE905" s="0" t="str">
        <f aca="false">IF(Y905=1,"",IF(AND(AA905=1,AC905&lt;&gt;1),1,0))</f>
        <v/>
      </c>
      <c r="AF905" s="45" t="str">
        <f aca="false">IF(AND(E905&gt;0,Y905&lt;1,NOT(AND(C906=C905,Y906=Y905+1))),INDEX(DATAS,Y905+1),"")</f>
        <v/>
      </c>
      <c r="AG905" s="45" t="str">
        <f aca="false">IF(AND(AA905=1,Y905&lt;1),IF(AND(C906=C905,Y906=Y905+1),IF(AA906=1,"",INDEX(DATAS,Y905+1)),INDEX(DATAS,Y905+1)),"")</f>
        <v/>
      </c>
    </row>
    <row r="906" customFormat="false" ht="15" hidden="false" customHeight="false" outlineLevel="0" collapsed="false">
      <c r="A906" s="45" t="n">
        <v>46309</v>
      </c>
      <c r="B906" s="0" t="n">
        <v>5</v>
      </c>
      <c r="C906" s="0" t="n">
        <v>4875</v>
      </c>
      <c r="D906" s="0" t="n">
        <v>541</v>
      </c>
      <c r="E906" s="0" t="n">
        <v>1</v>
      </c>
      <c r="F906" s="39" t="s">
        <v>668</v>
      </c>
      <c r="G906" s="0" t="n">
        <v>32</v>
      </c>
      <c r="H906" s="0" t="n">
        <v>36</v>
      </c>
      <c r="I906" s="39" t="s">
        <v>109</v>
      </c>
      <c r="J906" s="0" t="n">
        <v>415</v>
      </c>
      <c r="K906" s="0" t="n">
        <v>65</v>
      </c>
      <c r="L906" s="0" t="n">
        <v>126</v>
      </c>
      <c r="M906" s="0" t="n">
        <v>889.27</v>
      </c>
      <c r="N906" s="0" t="n">
        <v>67.06</v>
      </c>
      <c r="O906" s="0" t="n">
        <v>40.84</v>
      </c>
      <c r="P906" s="0" t="n">
        <v>4.86</v>
      </c>
      <c r="Q906" s="0" t="n">
        <v>4.71</v>
      </c>
      <c r="R906" s="0" t="n">
        <v>4739</v>
      </c>
      <c r="S906" s="0" t="n">
        <v>10183</v>
      </c>
      <c r="T906" s="0" t="n">
        <v>55.8</v>
      </c>
      <c r="U906" s="0" t="n">
        <v>1182</v>
      </c>
      <c r="V906" s="0" t="n">
        <v>11</v>
      </c>
      <c r="W906" s="39" t="n">
        <f aca="false">IF(I906="Male",0,1)</f>
        <v>1</v>
      </c>
      <c r="X906" s="39" t="n">
        <f aca="false">IF(OR(I906="DNB",I906="Dry DNB"),1,0)</f>
        <v>0</v>
      </c>
      <c r="Y906" s="39" t="n">
        <f aca="false">MATCH(A906,DATAS,0)</f>
        <v>1</v>
      </c>
      <c r="Z906" s="39" t="n">
        <f aca="false">IF(AND(E906&gt;0,OR(AND(B906&gt;=1,B906&lt;=6),B906=10)),1,0)</f>
        <v>1</v>
      </c>
      <c r="AA906" s="39" t="n">
        <f aca="false">IF(AND(E906&gt;0,B906=10),1,0)</f>
        <v>0</v>
      </c>
      <c r="AB906" s="0" t="str">
        <f aca="false">IF(AND(C905=C906,Y905=Y906-1),Z905,"")</f>
        <v/>
      </c>
      <c r="AC906" s="0" t="str">
        <f aca="false">IF(AND(C905=C906,Y905=Y906-1),AA905,"")</f>
        <v/>
      </c>
      <c r="AD906" s="0" t="str">
        <f aca="false">IF(Y906=1,"",IF(AND(Z906=1,AB906&lt;&gt;1),1,0))</f>
        <v/>
      </c>
      <c r="AE906" s="0" t="str">
        <f aca="false">IF(Y906=1,"",IF(AND(AA906=1,AC906&lt;&gt;1),1,0))</f>
        <v/>
      </c>
      <c r="AF906" s="45" t="str">
        <f aca="false">IF(AND(E906&gt;0,Y906&lt;1,NOT(AND(C907=C906,Y907=Y906+1))),INDEX(DATAS,Y906+1),"")</f>
        <v/>
      </c>
      <c r="AG906" s="45" t="str">
        <f aca="false">IF(AND(AA906=1,Y906&lt;1),IF(AND(C907=C906,Y907=Y906+1),IF(AA907=1,"",INDEX(DATAS,Y906+1)),INDEX(DATAS,Y906+1)),"")</f>
        <v/>
      </c>
    </row>
    <row r="907" customFormat="false" ht="15" hidden="false" customHeight="false" outlineLevel="0" collapsed="false">
      <c r="A907" s="45" t="n">
        <v>46309</v>
      </c>
      <c r="B907" s="0" t="n">
        <v>3</v>
      </c>
      <c r="C907" s="0" t="n">
        <v>4876</v>
      </c>
      <c r="D907" s="0" t="n">
        <v>74</v>
      </c>
      <c r="E907" s="0" t="n">
        <v>2</v>
      </c>
      <c r="F907" s="39" t="s">
        <v>669</v>
      </c>
      <c r="G907" s="0" t="n">
        <v>53.4</v>
      </c>
      <c r="H907" s="0" t="n">
        <v>53</v>
      </c>
      <c r="I907" s="39" t="s">
        <v>138</v>
      </c>
      <c r="J907" s="0" t="n">
        <v>74</v>
      </c>
      <c r="K907" s="0" t="n">
        <v>67</v>
      </c>
      <c r="M907" s="0" t="n">
        <v>676.91</v>
      </c>
      <c r="N907" s="0" t="n">
        <v>37.74</v>
      </c>
      <c r="O907" s="0" t="n">
        <v>25.61</v>
      </c>
      <c r="P907" s="0" t="n">
        <v>3.49</v>
      </c>
      <c r="Q907" s="0" t="n">
        <v>3.04</v>
      </c>
      <c r="R907" s="0" t="n">
        <v>5361</v>
      </c>
      <c r="S907" s="0" t="n">
        <v>10776</v>
      </c>
      <c r="U907" s="0" t="n">
        <v>1180</v>
      </c>
      <c r="V907" s="0" t="n">
        <v>1</v>
      </c>
      <c r="W907" s="39" t="n">
        <f aca="false">IF(I907="Male",0,1)</f>
        <v>1</v>
      </c>
      <c r="X907" s="39" t="n">
        <f aca="false">IF(OR(I907="DNB",I907="Dry DNB"),1,0)</f>
        <v>0</v>
      </c>
      <c r="Y907" s="39" t="n">
        <f aca="false">MATCH(A907,DATAS,0)</f>
        <v>1</v>
      </c>
      <c r="Z907" s="39" t="n">
        <f aca="false">IF(AND(E907&gt;0,OR(AND(B907&gt;=1,B907&lt;=6),B907=10)),1,0)</f>
        <v>1</v>
      </c>
      <c r="AA907" s="39" t="n">
        <f aca="false">IF(AND(E907&gt;0,B907=10),1,0)</f>
        <v>0</v>
      </c>
      <c r="AB907" s="0" t="str">
        <f aca="false">IF(AND(C906=C907,Y906=Y907-1),Z906,"")</f>
        <v/>
      </c>
      <c r="AC907" s="0" t="str">
        <f aca="false">IF(AND(C906=C907,Y906=Y907-1),AA906,"")</f>
        <v/>
      </c>
      <c r="AD907" s="0" t="str">
        <f aca="false">IF(Y907=1,"",IF(AND(Z907=1,AB907&lt;&gt;1),1,0))</f>
        <v/>
      </c>
      <c r="AE907" s="0" t="str">
        <f aca="false">IF(Y907=1,"",IF(AND(AA907=1,AC907&lt;&gt;1),1,0))</f>
        <v/>
      </c>
      <c r="AF907" s="45" t="str">
        <f aca="false">IF(AND(E907&gt;0,Y907&lt;1,NOT(AND(C908=C907,Y908=Y907+1))),INDEX(DATAS,Y907+1),"")</f>
        <v/>
      </c>
      <c r="AG907" s="45" t="str">
        <f aca="false">IF(AND(AA907=1,Y907&lt;1),IF(AND(C908=C907,Y908=Y907+1),IF(AA908=1,"",INDEX(DATAS,Y907+1)),INDEX(DATAS,Y907+1)),"")</f>
        <v/>
      </c>
    </row>
    <row r="908" customFormat="false" ht="15" hidden="false" customHeight="false" outlineLevel="0" collapsed="false">
      <c r="A908" s="45" t="n">
        <v>46309</v>
      </c>
      <c r="B908" s="0" t="n">
        <v>7</v>
      </c>
      <c r="C908" s="0" t="n">
        <v>4877</v>
      </c>
      <c r="D908" s="0" t="n">
        <v>429</v>
      </c>
      <c r="E908" s="0" t="n">
        <v>1</v>
      </c>
      <c r="F908" s="39" t="s">
        <v>670</v>
      </c>
      <c r="I908" s="39" t="s">
        <v>114</v>
      </c>
      <c r="J908" s="0" t="n">
        <v>299</v>
      </c>
      <c r="K908" s="0" t="n">
        <v>59</v>
      </c>
      <c r="L908" s="0" t="n">
        <v>222</v>
      </c>
      <c r="M908" s="0" t="n">
        <v>807.56</v>
      </c>
      <c r="N908" s="0" t="n">
        <v>26.16</v>
      </c>
      <c r="O908" s="0" t="n">
        <v>19.74</v>
      </c>
      <c r="P908" s="0" t="n">
        <v>4.41</v>
      </c>
      <c r="Q908" s="0" t="n">
        <v>3.85</v>
      </c>
      <c r="R908" s="0" t="n">
        <v>2724</v>
      </c>
      <c r="S908" s="0" t="n">
        <v>5687</v>
      </c>
      <c r="T908" s="0" t="n">
        <v>30.55</v>
      </c>
      <c r="U908" s="0" t="n">
        <v>1178</v>
      </c>
      <c r="V908" s="0" t="n">
        <v>6</v>
      </c>
      <c r="W908" s="39" t="n">
        <f aca="false">IF(I908="Male",0,1)</f>
        <v>1</v>
      </c>
      <c r="X908" s="39" t="n">
        <f aca="false">IF(OR(I908="DNB",I908="Dry DNB"),1,0)</f>
        <v>0</v>
      </c>
      <c r="Y908" s="39" t="n">
        <f aca="false">MATCH(A908,DATAS,0)</f>
        <v>1</v>
      </c>
      <c r="Z908" s="39" t="n">
        <f aca="false">IF(AND(E908&gt;0,OR(AND(B908&gt;=1,B908&lt;=6),B908=10)),1,0)</f>
        <v>0</v>
      </c>
      <c r="AA908" s="39" t="n">
        <f aca="false">IF(AND(E908&gt;0,B908=10),1,0)</f>
        <v>0</v>
      </c>
      <c r="AB908" s="0" t="str">
        <f aca="false">IF(AND(C907=C908,Y907=Y908-1),Z907,"")</f>
        <v/>
      </c>
      <c r="AC908" s="0" t="str">
        <f aca="false">IF(AND(C907=C908,Y907=Y908-1),AA907,"")</f>
        <v/>
      </c>
      <c r="AD908" s="0" t="str">
        <f aca="false">IF(Y908=1,"",IF(AND(Z908=1,AB908&lt;&gt;1),1,0))</f>
        <v/>
      </c>
      <c r="AE908" s="0" t="str">
        <f aca="false">IF(Y908=1,"",IF(AND(AA908=1,AC908&lt;&gt;1),1,0))</f>
        <v/>
      </c>
      <c r="AF908" s="45" t="str">
        <f aca="false">IF(AND(E908&gt;0,Y908&lt;1,NOT(AND(C909=C908,Y909=Y908+1))),INDEX(DATAS,Y908+1),"")</f>
        <v/>
      </c>
      <c r="AG908" s="45" t="str">
        <f aca="false">IF(AND(AA908=1,Y908&lt;1),IF(AND(C909=C908,Y909=Y908+1),IF(AA909=1,"",INDEX(DATAS,Y908+1)),INDEX(DATAS,Y908+1)),"")</f>
        <v/>
      </c>
    </row>
    <row r="909" customFormat="false" ht="15" hidden="false" customHeight="false" outlineLevel="0" collapsed="false">
      <c r="A909" s="45" t="n">
        <v>46309</v>
      </c>
      <c r="B909" s="0" t="n">
        <v>6</v>
      </c>
      <c r="C909" s="0" t="n">
        <v>4878</v>
      </c>
      <c r="D909" s="0" t="n">
        <v>38</v>
      </c>
      <c r="E909" s="0" t="n">
        <v>2</v>
      </c>
      <c r="F909" s="39" t="s">
        <v>671</v>
      </c>
      <c r="G909" s="0" t="n">
        <v>16.9</v>
      </c>
      <c r="H909" s="0" t="n">
        <v>20</v>
      </c>
      <c r="I909" s="39" t="s">
        <v>118</v>
      </c>
      <c r="J909" s="0" t="n">
        <v>38</v>
      </c>
      <c r="M909" s="0" t="n">
        <v>2087.42</v>
      </c>
      <c r="N909" s="0" t="n">
        <v>13.89</v>
      </c>
      <c r="O909" s="0" t="n">
        <v>35.07</v>
      </c>
      <c r="P909" s="0" t="n">
        <v>3.93</v>
      </c>
      <c r="Q909" s="0" t="n">
        <v>3.89</v>
      </c>
      <c r="R909" s="0" t="n">
        <v>1672</v>
      </c>
      <c r="S909" s="0" t="n">
        <v>3362</v>
      </c>
      <c r="U909" s="0" t="n">
        <v>1177</v>
      </c>
      <c r="V909" s="0" t="n">
        <v>0</v>
      </c>
      <c r="W909" s="39" t="n">
        <f aca="false">IF(I909="Male",0,1)</f>
        <v>1</v>
      </c>
      <c r="X909" s="39" t="n">
        <f aca="false">IF(OR(I909="DNB",I909="Dry DNB"),1,0)</f>
        <v>0</v>
      </c>
      <c r="Y909" s="39" t="n">
        <f aca="false">MATCH(A909,DATAS,0)</f>
        <v>1</v>
      </c>
      <c r="Z909" s="39" t="n">
        <f aca="false">IF(AND(E909&gt;0,OR(AND(B909&gt;=1,B909&lt;=6),B909=10)),1,0)</f>
        <v>1</v>
      </c>
      <c r="AA909" s="39" t="n">
        <f aca="false">IF(AND(E909&gt;0,B909=10),1,0)</f>
        <v>0</v>
      </c>
      <c r="AB909" s="0" t="str">
        <f aca="false">IF(AND(C908=C909,Y908=Y909-1),Z908,"")</f>
        <v/>
      </c>
      <c r="AC909" s="0" t="str">
        <f aca="false">IF(AND(C908=C909,Y908=Y909-1),AA908,"")</f>
        <v/>
      </c>
      <c r="AD909" s="0" t="str">
        <f aca="false">IF(Y909=1,"",IF(AND(Z909=1,AB909&lt;&gt;1),1,0))</f>
        <v/>
      </c>
      <c r="AE909" s="0" t="str">
        <f aca="false">IF(Y909=1,"",IF(AND(AA909=1,AC909&lt;&gt;1),1,0))</f>
        <v/>
      </c>
      <c r="AF909" s="45" t="str">
        <f aca="false">IF(AND(E909&gt;0,Y909&lt;1,NOT(AND(C910=C909,Y910=Y909+1))),INDEX(DATAS,Y909+1),"")</f>
        <v/>
      </c>
      <c r="AG909" s="45" t="str">
        <f aca="false">IF(AND(AA909=1,Y909&lt;1),IF(AND(C910=C909,Y910=Y909+1),IF(AA910=1,"",INDEX(DATAS,Y909+1)),INDEX(DATAS,Y909+1)),"")</f>
        <v/>
      </c>
    </row>
    <row r="910" customFormat="false" ht="15" hidden="false" customHeight="false" outlineLevel="0" collapsed="false">
      <c r="A910" s="45" t="n">
        <v>46309</v>
      </c>
      <c r="B910" s="0" t="n">
        <v>7</v>
      </c>
      <c r="C910" s="0" t="n">
        <v>4879</v>
      </c>
      <c r="D910" s="0" t="n">
        <v>168</v>
      </c>
      <c r="E910" s="0" t="n">
        <v>2</v>
      </c>
      <c r="F910" s="39" t="s">
        <v>671</v>
      </c>
      <c r="I910" s="39" t="s">
        <v>114</v>
      </c>
      <c r="J910" s="0" t="n">
        <v>78</v>
      </c>
      <c r="K910" s="0" t="n">
        <v>78</v>
      </c>
      <c r="L910" s="0" t="n">
        <v>133</v>
      </c>
      <c r="M910" s="0" t="n">
        <v>688.43</v>
      </c>
      <c r="N910" s="0" t="n">
        <v>36.7</v>
      </c>
      <c r="O910" s="0" t="n">
        <v>34.8</v>
      </c>
      <c r="P910" s="0" t="n">
        <v>4.21</v>
      </c>
      <c r="Q910" s="0" t="n">
        <v>3.87</v>
      </c>
      <c r="R910" s="0" t="n">
        <v>3436</v>
      </c>
      <c r="S910" s="0" t="n">
        <v>5937</v>
      </c>
      <c r="T910" s="0" t="n">
        <v>35.5</v>
      </c>
      <c r="U910" s="0" t="n">
        <v>1177</v>
      </c>
      <c r="V910" s="0" t="n">
        <v>1</v>
      </c>
      <c r="W910" s="39" t="n">
        <f aca="false">IF(I910="Male",0,1)</f>
        <v>1</v>
      </c>
      <c r="X910" s="39" t="n">
        <f aca="false">IF(OR(I910="DNB",I910="Dry DNB"),1,0)</f>
        <v>0</v>
      </c>
      <c r="Y910" s="39" t="n">
        <f aca="false">MATCH(A910,DATAS,0)</f>
        <v>1</v>
      </c>
      <c r="Z910" s="39" t="n">
        <f aca="false">IF(AND(E910&gt;0,OR(AND(B910&gt;=1,B910&lt;=6),B910=10)),1,0)</f>
        <v>0</v>
      </c>
      <c r="AA910" s="39" t="n">
        <f aca="false">IF(AND(E910&gt;0,B910=10),1,0)</f>
        <v>0</v>
      </c>
      <c r="AB910" s="0" t="str">
        <f aca="false">IF(AND(C909=C910,Y909=Y910-1),Z909,"")</f>
        <v/>
      </c>
      <c r="AC910" s="0" t="str">
        <f aca="false">IF(AND(C909=C910,Y909=Y910-1),AA909,"")</f>
        <v/>
      </c>
      <c r="AD910" s="0" t="str">
        <f aca="false">IF(Y910=1,"",IF(AND(Z910=1,AB910&lt;&gt;1),1,0))</f>
        <v/>
      </c>
      <c r="AE910" s="0" t="str">
        <f aca="false">IF(Y910=1,"",IF(AND(AA910=1,AC910&lt;&gt;1),1,0))</f>
        <v/>
      </c>
      <c r="AF910" s="45" t="str">
        <f aca="false">IF(AND(E910&gt;0,Y910&lt;1,NOT(AND(C911=C910,Y911=Y910+1))),INDEX(DATAS,Y910+1),"")</f>
        <v/>
      </c>
      <c r="AG910" s="45" t="str">
        <f aca="false">IF(AND(AA910=1,Y910&lt;1),IF(AND(C911=C910,Y911=Y910+1),IF(AA911=1,"",INDEX(DATAS,Y910+1)),INDEX(DATAS,Y910+1)),"")</f>
        <v/>
      </c>
    </row>
    <row r="911" customFormat="false" ht="15" hidden="false" customHeight="false" outlineLevel="0" collapsed="false">
      <c r="A911" s="45" t="n">
        <v>46309</v>
      </c>
      <c r="B911" s="0" t="n">
        <v>6</v>
      </c>
      <c r="C911" s="0" t="n">
        <v>4881</v>
      </c>
      <c r="D911" s="0" t="n">
        <v>204</v>
      </c>
      <c r="E911" s="0" t="n">
        <v>2</v>
      </c>
      <c r="F911" s="39" t="s">
        <v>671</v>
      </c>
      <c r="G911" s="0" t="n">
        <v>17.2</v>
      </c>
      <c r="H911" s="0" t="n">
        <v>22</v>
      </c>
      <c r="I911" s="39" t="s">
        <v>109</v>
      </c>
      <c r="J911" s="0" t="n">
        <v>152</v>
      </c>
      <c r="K911" s="0" t="n">
        <v>71</v>
      </c>
      <c r="L911" s="0" t="n">
        <v>52</v>
      </c>
      <c r="M911" s="0" t="n">
        <v>888.58</v>
      </c>
      <c r="N911" s="0" t="n">
        <v>66.09</v>
      </c>
      <c r="O911" s="0" t="n">
        <v>37.26</v>
      </c>
      <c r="P911" s="0" t="n">
        <v>4.35</v>
      </c>
      <c r="Q911" s="0" t="n">
        <v>3.8</v>
      </c>
      <c r="R911" s="0" t="n">
        <v>2416</v>
      </c>
      <c r="S911" s="0" t="n">
        <v>4877</v>
      </c>
      <c r="T911" s="0" t="n">
        <v>27.85</v>
      </c>
      <c r="U911" s="0" t="n">
        <v>1177</v>
      </c>
      <c r="V911" s="0" t="n">
        <v>4</v>
      </c>
      <c r="W911" s="39" t="n">
        <f aca="false">IF(I911="Male",0,1)</f>
        <v>1</v>
      </c>
      <c r="X911" s="39" t="n">
        <f aca="false">IF(OR(I911="DNB",I911="Dry DNB"),1,0)</f>
        <v>0</v>
      </c>
      <c r="Y911" s="39" t="n">
        <f aca="false">MATCH(A911,DATAS,0)</f>
        <v>1</v>
      </c>
      <c r="Z911" s="39" t="n">
        <f aca="false">IF(AND(E911&gt;0,OR(AND(B911&gt;=1,B911&lt;=6),B911=10)),1,0)</f>
        <v>1</v>
      </c>
      <c r="AA911" s="39" t="n">
        <f aca="false">IF(AND(E911&gt;0,B911=10),1,0)</f>
        <v>0</v>
      </c>
      <c r="AB911" s="0" t="str">
        <f aca="false">IF(AND(C910=C911,Y910=Y911-1),Z910,"")</f>
        <v/>
      </c>
      <c r="AC911" s="0" t="str">
        <f aca="false">IF(AND(C910=C911,Y910=Y911-1),AA910,"")</f>
        <v/>
      </c>
      <c r="AD911" s="0" t="str">
        <f aca="false">IF(Y911=1,"",IF(AND(Z911=1,AB911&lt;&gt;1),1,0))</f>
        <v/>
      </c>
      <c r="AE911" s="0" t="str">
        <f aca="false">IF(Y911=1,"",IF(AND(AA911=1,AC911&lt;&gt;1),1,0))</f>
        <v/>
      </c>
      <c r="AF911" s="45" t="str">
        <f aca="false">IF(AND(E911&gt;0,Y911&lt;1,NOT(AND(C912=C911,Y912=Y911+1))),INDEX(DATAS,Y911+1),"")</f>
        <v/>
      </c>
      <c r="AG911" s="45" t="str">
        <f aca="false">IF(AND(AA911=1,Y911&lt;1),IF(AND(C912=C911,Y912=Y911+1),IF(AA912=1,"",INDEX(DATAS,Y911+1)),INDEX(DATAS,Y911+1)),"")</f>
        <v/>
      </c>
    </row>
    <row r="912" customFormat="false" ht="15" hidden="false" customHeight="false" outlineLevel="0" collapsed="false">
      <c r="A912" s="45" t="n">
        <v>46309</v>
      </c>
      <c r="B912" s="0" t="n">
        <v>2</v>
      </c>
      <c r="C912" s="0" t="n">
        <v>4882</v>
      </c>
      <c r="D912" s="0" t="n">
        <v>88</v>
      </c>
      <c r="E912" s="0" t="n">
        <v>2</v>
      </c>
      <c r="F912" s="39" t="s">
        <v>672</v>
      </c>
      <c r="G912" s="0" t="n">
        <v>70</v>
      </c>
      <c r="H912" s="0" t="n">
        <v>72</v>
      </c>
      <c r="I912" s="39" t="s">
        <v>138</v>
      </c>
      <c r="J912" s="0" t="n">
        <v>88</v>
      </c>
      <c r="K912" s="0" t="n">
        <v>67</v>
      </c>
      <c r="M912" s="0" t="n">
        <v>445.32</v>
      </c>
      <c r="N912" s="0" t="n">
        <v>75.31</v>
      </c>
      <c r="O912" s="0" t="n">
        <v>36.23</v>
      </c>
      <c r="P912" s="0" t="n">
        <v>4.11</v>
      </c>
      <c r="Q912" s="0" t="n">
        <v>3.05</v>
      </c>
      <c r="R912" s="0" t="n">
        <v>6388</v>
      </c>
      <c r="S912" s="0" t="n">
        <v>12841</v>
      </c>
      <c r="U912" s="0" t="n">
        <v>1176</v>
      </c>
      <c r="V912" s="0" t="n">
        <v>1</v>
      </c>
      <c r="W912" s="39" t="n">
        <f aca="false">IF(I912="Male",0,1)</f>
        <v>1</v>
      </c>
      <c r="X912" s="39" t="n">
        <f aca="false">IF(OR(I912="DNB",I912="Dry DNB"),1,0)</f>
        <v>0</v>
      </c>
      <c r="Y912" s="39" t="n">
        <f aca="false">MATCH(A912,DATAS,0)</f>
        <v>1</v>
      </c>
      <c r="Z912" s="39" t="n">
        <f aca="false">IF(AND(E912&gt;0,OR(AND(B912&gt;=1,B912&lt;=6),B912=10)),1,0)</f>
        <v>1</v>
      </c>
      <c r="AA912" s="39" t="n">
        <f aca="false">IF(AND(E912&gt;0,B912=10),1,0)</f>
        <v>0</v>
      </c>
      <c r="AB912" s="0" t="str">
        <f aca="false">IF(AND(C911=C912,Y911=Y912-1),Z911,"")</f>
        <v/>
      </c>
      <c r="AC912" s="0" t="str">
        <f aca="false">IF(AND(C911=C912,Y911=Y912-1),AA911,"")</f>
        <v/>
      </c>
      <c r="AD912" s="0" t="str">
        <f aca="false">IF(Y912=1,"",IF(AND(Z912=1,AB912&lt;&gt;1),1,0))</f>
        <v/>
      </c>
      <c r="AE912" s="0" t="str">
        <f aca="false">IF(Y912=1,"",IF(AND(AA912=1,AC912&lt;&gt;1),1,0))</f>
        <v/>
      </c>
      <c r="AF912" s="45" t="str">
        <f aca="false">IF(AND(E912&gt;0,Y912&lt;1,NOT(AND(C913=C912,Y913=Y912+1))),INDEX(DATAS,Y912+1),"")</f>
        <v/>
      </c>
      <c r="AG912" s="45" t="str">
        <f aca="false">IF(AND(AA912=1,Y912&lt;1),IF(AND(C913=C912,Y913=Y912+1),IF(AA913=1,"",INDEX(DATAS,Y912+1)),INDEX(DATAS,Y912+1)),"")</f>
        <v/>
      </c>
    </row>
    <row r="913" customFormat="false" ht="15" hidden="false" customHeight="false" outlineLevel="0" collapsed="false">
      <c r="A913" s="45" t="n">
        <v>46309</v>
      </c>
      <c r="B913" s="0" t="n">
        <v>5</v>
      </c>
      <c r="C913" s="0" t="n">
        <v>4883</v>
      </c>
      <c r="D913" s="0" t="n">
        <v>138</v>
      </c>
      <c r="E913" s="0" t="n">
        <v>2</v>
      </c>
      <c r="F913" s="39" t="s">
        <v>672</v>
      </c>
      <c r="G913" s="0" t="n">
        <v>36.9</v>
      </c>
      <c r="H913" s="0" t="n">
        <v>36</v>
      </c>
      <c r="I913" s="39" t="s">
        <v>138</v>
      </c>
      <c r="J913" s="0" t="n">
        <v>138</v>
      </c>
      <c r="K913" s="0" t="n">
        <v>68</v>
      </c>
      <c r="M913" s="0" t="n">
        <v>46.61</v>
      </c>
      <c r="N913" s="0" t="n">
        <v>61.2</v>
      </c>
      <c r="O913" s="0" t="n">
        <v>25.21</v>
      </c>
      <c r="P913" s="0" t="n">
        <v>6.38</v>
      </c>
      <c r="Q913" s="0" t="n">
        <v>3.73</v>
      </c>
      <c r="R913" s="0" t="n">
        <v>4444</v>
      </c>
      <c r="S913" s="0" t="n">
        <v>8943</v>
      </c>
      <c r="T913" s="0" t="n">
        <v>47.25</v>
      </c>
      <c r="U913" s="0" t="n">
        <v>1176</v>
      </c>
      <c r="V913" s="0" t="n">
        <v>2</v>
      </c>
      <c r="W913" s="39" t="n">
        <f aca="false">IF(I913="Male",0,1)</f>
        <v>1</v>
      </c>
      <c r="X913" s="39" t="n">
        <f aca="false">IF(OR(I913="DNB",I913="Dry DNB"),1,0)</f>
        <v>0</v>
      </c>
      <c r="Y913" s="39" t="n">
        <f aca="false">MATCH(A913,DATAS,0)</f>
        <v>1</v>
      </c>
      <c r="Z913" s="39" t="n">
        <f aca="false">IF(AND(E913&gt;0,OR(AND(B913&gt;=1,B913&lt;=6),B913=10)),1,0)</f>
        <v>1</v>
      </c>
      <c r="AA913" s="39" t="n">
        <f aca="false">IF(AND(E913&gt;0,B913=10),1,0)</f>
        <v>0</v>
      </c>
      <c r="AB913" s="0" t="str">
        <f aca="false">IF(AND(C912=C913,Y912=Y913-1),Z912,"")</f>
        <v/>
      </c>
      <c r="AC913" s="0" t="str">
        <f aca="false">IF(AND(C912=C913,Y912=Y913-1),AA912,"")</f>
        <v/>
      </c>
      <c r="AD913" s="0" t="str">
        <f aca="false">IF(Y913=1,"",IF(AND(Z913=1,AB913&lt;&gt;1),1,0))</f>
        <v/>
      </c>
      <c r="AE913" s="0" t="str">
        <f aca="false">IF(Y913=1,"",IF(AND(AA913=1,AC913&lt;&gt;1),1,0))</f>
        <v/>
      </c>
      <c r="AF913" s="45" t="str">
        <f aca="false">IF(AND(E913&gt;0,Y913&lt;1,NOT(AND(C914=C913,Y914=Y913+1))),INDEX(DATAS,Y913+1),"")</f>
        <v/>
      </c>
      <c r="AG913" s="45" t="str">
        <f aca="false">IF(AND(AA913=1,Y913&lt;1),IF(AND(C914=C913,Y914=Y913+1),IF(AA914=1,"",INDEX(DATAS,Y913+1)),INDEX(DATAS,Y913+1)),"")</f>
        <v/>
      </c>
    </row>
    <row r="914" customFormat="false" ht="15" hidden="false" customHeight="false" outlineLevel="0" collapsed="false">
      <c r="A914" s="45" t="n">
        <v>46309</v>
      </c>
      <c r="B914" s="0" t="n">
        <v>2</v>
      </c>
      <c r="C914" s="0" t="n">
        <v>4884</v>
      </c>
      <c r="D914" s="0" t="n">
        <v>212</v>
      </c>
      <c r="E914" s="0" t="n">
        <v>2</v>
      </c>
      <c r="F914" s="39" t="s">
        <v>672</v>
      </c>
      <c r="G914" s="0" t="n">
        <v>47.8</v>
      </c>
      <c r="H914" s="0" t="n">
        <v>47</v>
      </c>
      <c r="I914" s="39" t="s">
        <v>109</v>
      </c>
      <c r="J914" s="0" t="n">
        <v>65</v>
      </c>
      <c r="K914" s="0" t="n">
        <v>65</v>
      </c>
      <c r="L914" s="0" t="n">
        <v>147</v>
      </c>
      <c r="M914" s="0" t="n">
        <v>378.9</v>
      </c>
      <c r="N914" s="0" t="n">
        <v>28.45</v>
      </c>
      <c r="O914" s="0" t="n">
        <v>20.25</v>
      </c>
      <c r="P914" s="0" t="n">
        <v>3.06</v>
      </c>
      <c r="Q914" s="0" t="n">
        <v>3.27</v>
      </c>
      <c r="R914" s="0" t="n">
        <v>4680</v>
      </c>
      <c r="S914" s="0" t="n">
        <v>10350</v>
      </c>
      <c r="T914" s="0" t="n">
        <v>55.75</v>
      </c>
      <c r="U914" s="0" t="n">
        <v>1176</v>
      </c>
      <c r="V914" s="0" t="n">
        <v>1</v>
      </c>
      <c r="W914" s="39" t="n">
        <f aca="false">IF(I914="Male",0,1)</f>
        <v>1</v>
      </c>
      <c r="X914" s="39" t="n">
        <f aca="false">IF(OR(I914="DNB",I914="Dry DNB"),1,0)</f>
        <v>0</v>
      </c>
      <c r="Y914" s="39" t="n">
        <f aca="false">MATCH(A914,DATAS,0)</f>
        <v>1</v>
      </c>
      <c r="Z914" s="39" t="n">
        <f aca="false">IF(AND(E914&gt;0,OR(AND(B914&gt;=1,B914&lt;=6),B914=10)),1,0)</f>
        <v>1</v>
      </c>
      <c r="AA914" s="39" t="n">
        <f aca="false">IF(AND(E914&gt;0,B914=10),1,0)</f>
        <v>0</v>
      </c>
      <c r="AB914" s="0" t="str">
        <f aca="false">IF(AND(C913=C914,Y913=Y914-1),Z913,"")</f>
        <v/>
      </c>
      <c r="AC914" s="0" t="str">
        <f aca="false">IF(AND(C913=C914,Y913=Y914-1),AA913,"")</f>
        <v/>
      </c>
      <c r="AD914" s="0" t="str">
        <f aca="false">IF(Y914=1,"",IF(AND(Z914=1,AB914&lt;&gt;1),1,0))</f>
        <v/>
      </c>
      <c r="AE914" s="0" t="str">
        <f aca="false">IF(Y914=1,"",IF(AND(AA914=1,AC914&lt;&gt;1),1,0))</f>
        <v/>
      </c>
      <c r="AF914" s="45" t="str">
        <f aca="false">IF(AND(E914&gt;0,Y914&lt;1,NOT(AND(C915=C914,Y915=Y914+1))),INDEX(DATAS,Y914+1),"")</f>
        <v/>
      </c>
      <c r="AG914" s="45" t="str">
        <f aca="false">IF(AND(AA914=1,Y914&lt;1),IF(AND(C915=C914,Y915=Y914+1),IF(AA915=1,"",INDEX(DATAS,Y914+1)),INDEX(DATAS,Y914+1)),"")</f>
        <v/>
      </c>
    </row>
    <row r="915" customFormat="false" ht="15" hidden="false" customHeight="false" outlineLevel="0" collapsed="false">
      <c r="A915" s="45" t="n">
        <v>46309</v>
      </c>
      <c r="B915" s="0" t="n">
        <v>3</v>
      </c>
      <c r="C915" s="0" t="n">
        <v>4886</v>
      </c>
      <c r="D915" s="0" t="n">
        <v>60</v>
      </c>
      <c r="E915" s="0" t="n">
        <v>2</v>
      </c>
      <c r="F915" s="39" t="s">
        <v>673</v>
      </c>
      <c r="G915" s="0" t="n">
        <v>60.7</v>
      </c>
      <c r="H915" s="0" t="n">
        <v>60</v>
      </c>
      <c r="I915" s="39" t="s">
        <v>118</v>
      </c>
      <c r="J915" s="0" t="n">
        <v>60</v>
      </c>
      <c r="M915" s="0" t="n">
        <v>1406.3</v>
      </c>
      <c r="N915" s="0" t="n">
        <v>24.5</v>
      </c>
      <c r="O915" s="0" t="n">
        <v>32.15</v>
      </c>
      <c r="P915" s="0" t="n">
        <v>3.17</v>
      </c>
      <c r="Q915" s="0" t="n">
        <v>2.96</v>
      </c>
      <c r="R915" s="0" t="n">
        <v>5088</v>
      </c>
      <c r="S915" s="0" t="n">
        <v>10229</v>
      </c>
      <c r="U915" s="0" t="n">
        <v>1175</v>
      </c>
      <c r="V915" s="0" t="n">
        <v>0</v>
      </c>
      <c r="W915" s="39" t="n">
        <f aca="false">IF(I915="Male",0,1)</f>
        <v>1</v>
      </c>
      <c r="X915" s="39" t="n">
        <f aca="false">IF(OR(I915="DNB",I915="Dry DNB"),1,0)</f>
        <v>0</v>
      </c>
      <c r="Y915" s="39" t="n">
        <f aca="false">MATCH(A915,DATAS,0)</f>
        <v>1</v>
      </c>
      <c r="Z915" s="39" t="n">
        <f aca="false">IF(AND(E915&gt;0,OR(AND(B915&gt;=1,B915&lt;=6),B915=10)),1,0)</f>
        <v>1</v>
      </c>
      <c r="AA915" s="39" t="n">
        <f aca="false">IF(AND(E915&gt;0,B915=10),1,0)</f>
        <v>0</v>
      </c>
      <c r="AB915" s="0" t="str">
        <f aca="false">IF(AND(C914=C915,Y914=Y915-1),Z914,"")</f>
        <v/>
      </c>
      <c r="AC915" s="0" t="str">
        <f aca="false">IF(AND(C914=C915,Y914=Y915-1),AA914,"")</f>
        <v/>
      </c>
      <c r="AD915" s="0" t="str">
        <f aca="false">IF(Y915=1,"",IF(AND(Z915=1,AB915&lt;&gt;1),1,0))</f>
        <v/>
      </c>
      <c r="AE915" s="0" t="str">
        <f aca="false">IF(Y915=1,"",IF(AND(AA915=1,AC915&lt;&gt;1),1,0))</f>
        <v/>
      </c>
      <c r="AF915" s="45" t="str">
        <f aca="false">IF(AND(E915&gt;0,Y915&lt;1,NOT(AND(C916=C915,Y916=Y915+1))),INDEX(DATAS,Y915+1),"")</f>
        <v/>
      </c>
      <c r="AG915" s="45" t="str">
        <f aca="false">IF(AND(AA915=1,Y915&lt;1),IF(AND(C916=C915,Y916=Y915+1),IF(AA916=1,"",INDEX(DATAS,Y915+1)),INDEX(DATAS,Y915+1)),"")</f>
        <v/>
      </c>
    </row>
    <row r="916" customFormat="false" ht="15" hidden="false" customHeight="false" outlineLevel="0" collapsed="false">
      <c r="A916" s="45" t="n">
        <v>46309</v>
      </c>
      <c r="B916" s="0" t="n">
        <v>3</v>
      </c>
      <c r="C916" s="0" t="n">
        <v>4888</v>
      </c>
      <c r="D916" s="0" t="n">
        <v>207</v>
      </c>
      <c r="E916" s="0" t="n">
        <v>2</v>
      </c>
      <c r="F916" s="39" t="s">
        <v>674</v>
      </c>
      <c r="G916" s="0" t="n">
        <v>50.8</v>
      </c>
      <c r="H916" s="0" t="n">
        <v>53</v>
      </c>
      <c r="I916" s="39" t="s">
        <v>146</v>
      </c>
      <c r="J916" s="0" t="n">
        <v>207</v>
      </c>
      <c r="K916" s="0" t="n">
        <v>67</v>
      </c>
      <c r="M916" s="0" t="n">
        <v>1218.2</v>
      </c>
      <c r="N916" s="0" t="n">
        <v>35.06</v>
      </c>
      <c r="O916" s="0" t="n">
        <v>33.8</v>
      </c>
      <c r="P916" s="0" t="n">
        <v>2.54</v>
      </c>
      <c r="Q916" s="0" t="n">
        <v>3.55</v>
      </c>
      <c r="R916" s="0" t="n">
        <v>4563</v>
      </c>
      <c r="S916" s="0" t="n">
        <v>10490</v>
      </c>
      <c r="T916" s="0" t="n">
        <v>56.1</v>
      </c>
      <c r="U916" s="0" t="n">
        <v>1174</v>
      </c>
      <c r="V916" s="0" t="n">
        <v>2</v>
      </c>
      <c r="W916" s="39" t="n">
        <f aca="false">IF(I916="Male",0,1)</f>
        <v>1</v>
      </c>
      <c r="X916" s="39" t="n">
        <f aca="false">IF(OR(I916="DNB",I916="Dry DNB"),1,0)</f>
        <v>0</v>
      </c>
      <c r="Y916" s="39" t="n">
        <f aca="false">MATCH(A916,DATAS,0)</f>
        <v>1</v>
      </c>
      <c r="Z916" s="39" t="n">
        <f aca="false">IF(AND(E916&gt;0,OR(AND(B916&gt;=1,B916&lt;=6),B916=10)),1,0)</f>
        <v>1</v>
      </c>
      <c r="AA916" s="39" t="n">
        <f aca="false">IF(AND(E916&gt;0,B916=10),1,0)</f>
        <v>0</v>
      </c>
      <c r="AB916" s="0" t="str">
        <f aca="false">IF(AND(C915=C916,Y915=Y916-1),Z915,"")</f>
        <v/>
      </c>
      <c r="AC916" s="0" t="str">
        <f aca="false">IF(AND(C915=C916,Y915=Y916-1),AA915,"")</f>
        <v/>
      </c>
      <c r="AD916" s="0" t="str">
        <f aca="false">IF(Y916=1,"",IF(AND(Z916=1,AB916&lt;&gt;1),1,0))</f>
        <v/>
      </c>
      <c r="AE916" s="0" t="str">
        <f aca="false">IF(Y916=1,"",IF(AND(AA916=1,AC916&lt;&gt;1),1,0))</f>
        <v/>
      </c>
      <c r="AF916" s="45" t="str">
        <f aca="false">IF(AND(E916&gt;0,Y916&lt;1,NOT(AND(C917=C916,Y917=Y916+1))),INDEX(DATAS,Y916+1),"")</f>
        <v/>
      </c>
      <c r="AG916" s="45" t="str">
        <f aca="false">IF(AND(AA916=1,Y916&lt;1),IF(AND(C917=C916,Y917=Y916+1),IF(AA917=1,"",INDEX(DATAS,Y916+1)),INDEX(DATAS,Y916+1)),"")</f>
        <v/>
      </c>
    </row>
    <row r="917" customFormat="false" ht="15" hidden="false" customHeight="false" outlineLevel="0" collapsed="false">
      <c r="A917" s="45" t="n">
        <v>46309</v>
      </c>
      <c r="B917" s="0" t="n">
        <v>2</v>
      </c>
      <c r="C917" s="0" t="n">
        <v>4889</v>
      </c>
      <c r="D917" s="0" t="n">
        <v>87</v>
      </c>
      <c r="E917" s="0" t="n">
        <v>2</v>
      </c>
      <c r="F917" s="39" t="s">
        <v>674</v>
      </c>
      <c r="G917" s="0" t="n">
        <v>56.4</v>
      </c>
      <c r="H917" s="0" t="n">
        <v>57</v>
      </c>
      <c r="I917" s="39" t="s">
        <v>138</v>
      </c>
      <c r="J917" s="0" t="n">
        <v>87</v>
      </c>
      <c r="K917" s="0" t="n">
        <v>66</v>
      </c>
      <c r="M917" s="0" t="n">
        <v>1546.13</v>
      </c>
      <c r="N917" s="0" t="n">
        <v>72.19</v>
      </c>
      <c r="O917" s="0" t="n">
        <v>53.53</v>
      </c>
      <c r="P917" s="0" t="n">
        <v>2.84</v>
      </c>
      <c r="Q917" s="0" t="n">
        <v>3.15</v>
      </c>
      <c r="R917" s="0" t="n">
        <v>6091</v>
      </c>
      <c r="S917" s="0" t="n">
        <v>12244</v>
      </c>
      <c r="U917" s="0" t="n">
        <v>1174</v>
      </c>
      <c r="V917" s="0" t="n">
        <v>1</v>
      </c>
      <c r="W917" s="39" t="n">
        <f aca="false">IF(I917="Male",0,1)</f>
        <v>1</v>
      </c>
      <c r="X917" s="39" t="n">
        <f aca="false">IF(OR(I917="DNB",I917="Dry DNB"),1,0)</f>
        <v>0</v>
      </c>
      <c r="Y917" s="39" t="n">
        <f aca="false">MATCH(A917,DATAS,0)</f>
        <v>1</v>
      </c>
      <c r="Z917" s="39" t="n">
        <f aca="false">IF(AND(E917&gt;0,OR(AND(B917&gt;=1,B917&lt;=6),B917=10)),1,0)</f>
        <v>1</v>
      </c>
      <c r="AA917" s="39" t="n">
        <f aca="false">IF(AND(E917&gt;0,B917=10),1,0)</f>
        <v>0</v>
      </c>
      <c r="AB917" s="0" t="str">
        <f aca="false">IF(AND(C916=C917,Y916=Y917-1),Z916,"")</f>
        <v/>
      </c>
      <c r="AC917" s="0" t="str">
        <f aca="false">IF(AND(C916=C917,Y916=Y917-1),AA916,"")</f>
        <v/>
      </c>
      <c r="AD917" s="0" t="str">
        <f aca="false">IF(Y917=1,"",IF(AND(Z917=1,AB917&lt;&gt;1),1,0))</f>
        <v/>
      </c>
      <c r="AE917" s="0" t="str">
        <f aca="false">IF(Y917=1,"",IF(AND(AA917=1,AC917&lt;&gt;1),1,0))</f>
        <v/>
      </c>
      <c r="AF917" s="45" t="str">
        <f aca="false">IF(AND(E917&gt;0,Y917&lt;1,NOT(AND(C918=C917,Y918=Y917+1))),INDEX(DATAS,Y917+1),"")</f>
        <v/>
      </c>
      <c r="AG917" s="45" t="str">
        <f aca="false">IF(AND(AA917=1,Y917&lt;1),IF(AND(C918=C917,Y918=Y917+1),IF(AA918=1,"",INDEX(DATAS,Y917+1)),INDEX(DATAS,Y917+1)),"")</f>
        <v/>
      </c>
    </row>
    <row r="918" customFormat="false" ht="15" hidden="false" customHeight="false" outlineLevel="0" collapsed="false">
      <c r="A918" s="45" t="n">
        <v>46309</v>
      </c>
      <c r="B918" s="0" t="n">
        <v>5</v>
      </c>
      <c r="C918" s="0" t="n">
        <v>4890</v>
      </c>
      <c r="D918" s="0" t="n">
        <v>495</v>
      </c>
      <c r="E918" s="0" t="n">
        <v>1</v>
      </c>
      <c r="F918" s="39" t="s">
        <v>675</v>
      </c>
      <c r="G918" s="0" t="n">
        <v>37.4</v>
      </c>
      <c r="H918" s="0" t="n">
        <v>35</v>
      </c>
      <c r="I918" s="39" t="s">
        <v>109</v>
      </c>
      <c r="J918" s="0" t="n">
        <v>273</v>
      </c>
      <c r="K918" s="0" t="n">
        <v>61</v>
      </c>
      <c r="L918" s="0" t="n">
        <v>222</v>
      </c>
      <c r="M918" s="0" t="n">
        <v>589.79</v>
      </c>
      <c r="N918" s="0" t="n">
        <v>46.33</v>
      </c>
      <c r="O918" s="0" t="n">
        <v>24.45</v>
      </c>
      <c r="P918" s="0" t="n">
        <v>4.76</v>
      </c>
      <c r="Q918" s="0" t="n">
        <v>3.91</v>
      </c>
      <c r="R918" s="0" t="n">
        <v>4921</v>
      </c>
      <c r="S918" s="0" t="n">
        <v>10050</v>
      </c>
      <c r="T918" s="0" t="n">
        <v>52.7</v>
      </c>
      <c r="U918" s="0" t="n">
        <v>1173</v>
      </c>
      <c r="V918" s="0" t="n">
        <v>5</v>
      </c>
      <c r="W918" s="39" t="n">
        <f aca="false">IF(I918="Male",0,1)</f>
        <v>1</v>
      </c>
      <c r="X918" s="39" t="n">
        <f aca="false">IF(OR(I918="DNB",I918="Dry DNB"),1,0)</f>
        <v>0</v>
      </c>
      <c r="Y918" s="39" t="n">
        <f aca="false">MATCH(A918,DATAS,0)</f>
        <v>1</v>
      </c>
      <c r="Z918" s="39" t="n">
        <f aca="false">IF(AND(E918&gt;0,OR(AND(B918&gt;=1,B918&lt;=6),B918=10)),1,0)</f>
        <v>1</v>
      </c>
      <c r="AA918" s="39" t="n">
        <f aca="false">IF(AND(E918&gt;0,B918=10),1,0)</f>
        <v>0</v>
      </c>
      <c r="AB918" s="0" t="str">
        <f aca="false">IF(AND(C917=C918,Y917=Y918-1),Z917,"")</f>
        <v/>
      </c>
      <c r="AC918" s="0" t="str">
        <f aca="false">IF(AND(C917=C918,Y917=Y918-1),AA917,"")</f>
        <v/>
      </c>
      <c r="AD918" s="0" t="str">
        <f aca="false">IF(Y918=1,"",IF(AND(Z918=1,AB918&lt;&gt;1),1,0))</f>
        <v/>
      </c>
      <c r="AE918" s="0" t="str">
        <f aca="false">IF(Y918=1,"",IF(AND(AA918=1,AC918&lt;&gt;1),1,0))</f>
        <v/>
      </c>
      <c r="AF918" s="45" t="str">
        <f aca="false">IF(AND(E918&gt;0,Y918&lt;1,NOT(AND(C919=C918,Y919=Y918+1))),INDEX(DATAS,Y918+1),"")</f>
        <v/>
      </c>
      <c r="AG918" s="45" t="str">
        <f aca="false">IF(AND(AA918=1,Y918&lt;1),IF(AND(C919=C918,Y919=Y918+1),IF(AA919=1,"",INDEX(DATAS,Y918+1)),INDEX(DATAS,Y918+1)),"")</f>
        <v/>
      </c>
    </row>
    <row r="919" customFormat="false" ht="15" hidden="false" customHeight="false" outlineLevel="0" collapsed="false">
      <c r="A919" s="45" t="n">
        <v>46309</v>
      </c>
      <c r="B919" s="0" t="n">
        <v>3</v>
      </c>
      <c r="C919" s="0" t="n">
        <v>4891</v>
      </c>
      <c r="D919" s="0" t="n">
        <v>175</v>
      </c>
      <c r="E919" s="0" t="n">
        <v>2</v>
      </c>
      <c r="F919" s="39" t="s">
        <v>676</v>
      </c>
      <c r="G919" s="0" t="n">
        <v>67.2</v>
      </c>
      <c r="H919" s="0" t="n">
        <v>69</v>
      </c>
      <c r="I919" s="39" t="s">
        <v>138</v>
      </c>
      <c r="J919" s="0" t="n">
        <v>175</v>
      </c>
      <c r="K919" s="0" t="n">
        <v>71</v>
      </c>
      <c r="M919" s="0" t="n">
        <v>902.78</v>
      </c>
      <c r="N919" s="0" t="n">
        <v>60.5</v>
      </c>
      <c r="O919" s="0" t="n">
        <v>38</v>
      </c>
      <c r="P919" s="0" t="n">
        <v>4.27</v>
      </c>
      <c r="Q919" s="0" t="n">
        <v>3.12</v>
      </c>
      <c r="R919" s="0" t="n">
        <v>6816</v>
      </c>
      <c r="S919" s="0" t="n">
        <v>13485</v>
      </c>
      <c r="T919" s="0" t="n">
        <v>73.6</v>
      </c>
      <c r="U919" s="0" t="n">
        <v>1172</v>
      </c>
      <c r="V919" s="0" t="n">
        <v>4</v>
      </c>
      <c r="W919" s="39" t="n">
        <f aca="false">IF(I919="Male",0,1)</f>
        <v>1</v>
      </c>
      <c r="X919" s="39" t="n">
        <f aca="false">IF(OR(I919="DNB",I919="Dry DNB"),1,0)</f>
        <v>0</v>
      </c>
      <c r="Y919" s="39" t="n">
        <f aca="false">MATCH(A919,DATAS,0)</f>
        <v>1</v>
      </c>
      <c r="Z919" s="39" t="n">
        <f aca="false">IF(AND(E919&gt;0,OR(AND(B919&gt;=1,B919&lt;=6),B919=10)),1,0)</f>
        <v>1</v>
      </c>
      <c r="AA919" s="39" t="n">
        <f aca="false">IF(AND(E919&gt;0,B919=10),1,0)</f>
        <v>0</v>
      </c>
      <c r="AB919" s="0" t="str">
        <f aca="false">IF(AND(C918=C919,Y918=Y919-1),Z918,"")</f>
        <v/>
      </c>
      <c r="AC919" s="0" t="str">
        <f aca="false">IF(AND(C918=C919,Y918=Y919-1),AA918,"")</f>
        <v/>
      </c>
      <c r="AD919" s="0" t="str">
        <f aca="false">IF(Y919=1,"",IF(AND(Z919=1,AB919&lt;&gt;1),1,0))</f>
        <v/>
      </c>
      <c r="AE919" s="0" t="str">
        <f aca="false">IF(Y919=1,"",IF(AND(AA919=1,AC919&lt;&gt;1),1,0))</f>
        <v/>
      </c>
      <c r="AF919" s="45" t="str">
        <f aca="false">IF(AND(E919&gt;0,Y919&lt;1,NOT(AND(C920=C919,Y920=Y919+1))),INDEX(DATAS,Y919+1),"")</f>
        <v/>
      </c>
      <c r="AG919" s="45" t="str">
        <f aca="false">IF(AND(AA919=1,Y919&lt;1),IF(AND(C920=C919,Y920=Y919+1),IF(AA920=1,"",INDEX(DATAS,Y919+1)),INDEX(DATAS,Y919+1)),"")</f>
        <v/>
      </c>
    </row>
    <row r="920" customFormat="false" ht="15" hidden="false" customHeight="false" outlineLevel="0" collapsed="false">
      <c r="A920" s="45" t="n">
        <v>46309</v>
      </c>
      <c r="B920" s="0" t="n">
        <v>3</v>
      </c>
      <c r="C920" s="0" t="n">
        <v>4892</v>
      </c>
      <c r="D920" s="0" t="n">
        <v>135</v>
      </c>
      <c r="E920" s="0" t="n">
        <v>2</v>
      </c>
      <c r="F920" s="39" t="s">
        <v>676</v>
      </c>
      <c r="G920" s="0" t="n">
        <v>59.4</v>
      </c>
      <c r="H920" s="0" t="n">
        <v>58</v>
      </c>
      <c r="I920" s="39" t="s">
        <v>138</v>
      </c>
      <c r="J920" s="0" t="n">
        <v>135</v>
      </c>
      <c r="K920" s="0" t="n">
        <v>65</v>
      </c>
      <c r="M920" s="0" t="n">
        <v>471.23</v>
      </c>
      <c r="N920" s="0" t="n">
        <v>40.1</v>
      </c>
      <c r="O920" s="0" t="n">
        <v>35.77</v>
      </c>
      <c r="P920" s="0" t="n">
        <v>0</v>
      </c>
      <c r="Q920" s="0" t="n">
        <v>0</v>
      </c>
      <c r="R920" s="0" t="n">
        <v>5796</v>
      </c>
      <c r="S920" s="0" t="n">
        <v>11753</v>
      </c>
      <c r="T920" s="0" t="n">
        <v>62.2</v>
      </c>
      <c r="U920" s="0" t="n">
        <v>1172</v>
      </c>
      <c r="V920" s="0" t="n">
        <v>3</v>
      </c>
      <c r="W920" s="39" t="n">
        <f aca="false">IF(I920="Male",0,1)</f>
        <v>1</v>
      </c>
      <c r="X920" s="39" t="n">
        <f aca="false">IF(OR(I920="DNB",I920="Dry DNB"),1,0)</f>
        <v>0</v>
      </c>
      <c r="Y920" s="39" t="n">
        <f aca="false">MATCH(A920,DATAS,0)</f>
        <v>1</v>
      </c>
      <c r="Z920" s="39" t="n">
        <f aca="false">IF(AND(E920&gt;0,OR(AND(B920&gt;=1,B920&lt;=6),B920=10)),1,0)</f>
        <v>1</v>
      </c>
      <c r="AA920" s="39" t="n">
        <f aca="false">IF(AND(E920&gt;0,B920=10),1,0)</f>
        <v>0</v>
      </c>
      <c r="AB920" s="0" t="str">
        <f aca="false">IF(AND(C919=C920,Y919=Y920-1),Z919,"")</f>
        <v/>
      </c>
      <c r="AC920" s="0" t="str">
        <f aca="false">IF(AND(C919=C920,Y919=Y920-1),AA919,"")</f>
        <v/>
      </c>
      <c r="AD920" s="0" t="str">
        <f aca="false">IF(Y920=1,"",IF(AND(Z920=1,AB920&lt;&gt;1),1,0))</f>
        <v/>
      </c>
      <c r="AE920" s="0" t="str">
        <f aca="false">IF(Y920=1,"",IF(AND(AA920=1,AC920&lt;&gt;1),1,0))</f>
        <v/>
      </c>
      <c r="AF920" s="45" t="str">
        <f aca="false">IF(AND(E920&gt;0,Y920&lt;1,NOT(AND(C921=C920,Y921=Y920+1))),INDEX(DATAS,Y920+1),"")</f>
        <v/>
      </c>
      <c r="AG920" s="45" t="str">
        <f aca="false">IF(AND(AA920=1,Y920&lt;1),IF(AND(C921=C920,Y921=Y920+1),IF(AA921=1,"",INDEX(DATAS,Y920+1)),INDEX(DATAS,Y920+1)),"")</f>
        <v/>
      </c>
    </row>
    <row r="921" customFormat="false" ht="15" hidden="false" customHeight="false" outlineLevel="0" collapsed="false">
      <c r="A921" s="45" t="n">
        <v>46309</v>
      </c>
      <c r="B921" s="0" t="n">
        <v>3</v>
      </c>
      <c r="C921" s="0" t="n">
        <v>4894</v>
      </c>
      <c r="D921" s="0" t="n">
        <v>159</v>
      </c>
      <c r="E921" s="0" t="n">
        <v>2</v>
      </c>
      <c r="F921" s="39" t="s">
        <v>677</v>
      </c>
      <c r="G921" s="0" t="n">
        <v>56</v>
      </c>
      <c r="H921" s="0" t="n">
        <v>52</v>
      </c>
      <c r="I921" s="39" t="s">
        <v>109</v>
      </c>
      <c r="J921" s="0" t="n">
        <v>68</v>
      </c>
      <c r="K921" s="0" t="n">
        <v>68</v>
      </c>
      <c r="L921" s="0" t="n">
        <v>91</v>
      </c>
      <c r="M921" s="0" t="n">
        <v>731.97</v>
      </c>
      <c r="N921" s="0" t="n">
        <v>46.34</v>
      </c>
      <c r="O921" s="0" t="n">
        <v>17.68</v>
      </c>
      <c r="P921" s="0" t="n">
        <v>3.48</v>
      </c>
      <c r="Q921" s="0" t="n">
        <v>2.82</v>
      </c>
      <c r="R921" s="0" t="n">
        <v>4552</v>
      </c>
      <c r="S921" s="0" t="n">
        <v>9829</v>
      </c>
      <c r="T921" s="0" t="n">
        <v>46.7</v>
      </c>
      <c r="U921" s="0" t="n">
        <v>1170</v>
      </c>
      <c r="V921" s="0" t="n">
        <v>1</v>
      </c>
      <c r="W921" s="39" t="n">
        <f aca="false">IF(I921="Male",0,1)</f>
        <v>1</v>
      </c>
      <c r="X921" s="39" t="n">
        <f aca="false">IF(OR(I921="DNB",I921="Dry DNB"),1,0)</f>
        <v>0</v>
      </c>
      <c r="Y921" s="39" t="n">
        <f aca="false">MATCH(A921,DATAS,0)</f>
        <v>1</v>
      </c>
      <c r="Z921" s="39" t="n">
        <f aca="false">IF(AND(E921&gt;0,OR(AND(B921&gt;=1,B921&lt;=6),B921=10)),1,0)</f>
        <v>1</v>
      </c>
      <c r="AA921" s="39" t="n">
        <f aca="false">IF(AND(E921&gt;0,B921=10),1,0)</f>
        <v>0</v>
      </c>
      <c r="AB921" s="0" t="str">
        <f aca="false">IF(AND(C920=C921,Y920=Y921-1),Z920,"")</f>
        <v/>
      </c>
      <c r="AC921" s="0" t="str">
        <f aca="false">IF(AND(C920=C921,Y920=Y921-1),AA920,"")</f>
        <v/>
      </c>
      <c r="AD921" s="0" t="str">
        <f aca="false">IF(Y921=1,"",IF(AND(Z921=1,AB921&lt;&gt;1),1,0))</f>
        <v/>
      </c>
      <c r="AE921" s="0" t="str">
        <f aca="false">IF(Y921=1,"",IF(AND(AA921=1,AC921&lt;&gt;1),1,0))</f>
        <v/>
      </c>
      <c r="AF921" s="45" t="str">
        <f aca="false">IF(AND(E921&gt;0,Y921&lt;1,NOT(AND(C922=C921,Y922=Y921+1))),INDEX(DATAS,Y921+1),"")</f>
        <v/>
      </c>
      <c r="AG921" s="45" t="str">
        <f aca="false">IF(AND(AA921=1,Y921&lt;1),IF(AND(C922=C921,Y922=Y921+1),IF(AA922=1,"",INDEX(DATAS,Y921+1)),INDEX(DATAS,Y921+1)),"")</f>
        <v/>
      </c>
    </row>
    <row r="922" customFormat="false" ht="15" hidden="false" customHeight="false" outlineLevel="0" collapsed="false">
      <c r="A922" s="45" t="n">
        <v>46309</v>
      </c>
      <c r="B922" s="0" t="n">
        <v>5</v>
      </c>
      <c r="C922" s="0" t="n">
        <v>4895</v>
      </c>
      <c r="D922" s="0" t="n">
        <v>216</v>
      </c>
      <c r="E922" s="0" t="n">
        <v>2</v>
      </c>
      <c r="F922" s="39" t="s">
        <v>678</v>
      </c>
      <c r="G922" s="0" t="n">
        <v>39.7</v>
      </c>
      <c r="H922" s="0" t="n">
        <v>35</v>
      </c>
      <c r="I922" s="39" t="s">
        <v>138</v>
      </c>
      <c r="J922" s="0" t="n">
        <v>216</v>
      </c>
      <c r="K922" s="0" t="n">
        <v>69</v>
      </c>
      <c r="M922" s="0" t="n">
        <v>797.71</v>
      </c>
      <c r="N922" s="0" t="n">
        <v>64.45</v>
      </c>
      <c r="O922" s="0" t="n">
        <v>37.69</v>
      </c>
      <c r="P922" s="0" t="n">
        <v>5.73</v>
      </c>
      <c r="Q922" s="0" t="n">
        <v>4.09</v>
      </c>
      <c r="R922" s="0" t="n">
        <v>4409</v>
      </c>
      <c r="S922" s="0" t="n">
        <v>8774</v>
      </c>
      <c r="T922" s="0" t="n">
        <v>48.3</v>
      </c>
      <c r="U922" s="0" t="n">
        <v>1169</v>
      </c>
      <c r="V922" s="0" t="n">
        <v>5</v>
      </c>
      <c r="W922" s="39" t="n">
        <f aca="false">IF(I922="Male",0,1)</f>
        <v>1</v>
      </c>
      <c r="X922" s="39" t="n">
        <f aca="false">IF(OR(I922="DNB",I922="Dry DNB"),1,0)</f>
        <v>0</v>
      </c>
      <c r="Y922" s="39" t="n">
        <f aca="false">MATCH(A922,DATAS,0)</f>
        <v>1</v>
      </c>
      <c r="Z922" s="39" t="n">
        <f aca="false">IF(AND(E922&gt;0,OR(AND(B922&gt;=1,B922&lt;=6),B922=10)),1,0)</f>
        <v>1</v>
      </c>
      <c r="AA922" s="39" t="n">
        <f aca="false">IF(AND(E922&gt;0,B922=10),1,0)</f>
        <v>0</v>
      </c>
      <c r="AB922" s="0" t="str">
        <f aca="false">IF(AND(C921=C922,Y921=Y922-1),Z921,"")</f>
        <v/>
      </c>
      <c r="AC922" s="0" t="str">
        <f aca="false">IF(AND(C921=C922,Y921=Y922-1),AA921,"")</f>
        <v/>
      </c>
      <c r="AD922" s="0" t="str">
        <f aca="false">IF(Y922=1,"",IF(AND(Z922=1,AB922&lt;&gt;1),1,0))</f>
        <v/>
      </c>
      <c r="AE922" s="0" t="str">
        <f aca="false">IF(Y922=1,"",IF(AND(AA922=1,AC922&lt;&gt;1),1,0))</f>
        <v/>
      </c>
      <c r="AF922" s="45" t="str">
        <f aca="false">IF(AND(E922&gt;0,Y922&lt;1,NOT(AND(C923=C922,Y923=Y922+1))),INDEX(DATAS,Y922+1),"")</f>
        <v/>
      </c>
      <c r="AG922" s="45" t="str">
        <f aca="false">IF(AND(AA922=1,Y922&lt;1),IF(AND(C923=C922,Y923=Y922+1),IF(AA923=1,"",INDEX(DATAS,Y922+1)),INDEX(DATAS,Y922+1)),"")</f>
        <v/>
      </c>
    </row>
    <row r="923" customFormat="false" ht="15" hidden="false" customHeight="false" outlineLevel="0" collapsed="false">
      <c r="A923" s="45" t="n">
        <v>46309</v>
      </c>
      <c r="B923" s="0" t="n">
        <v>2</v>
      </c>
      <c r="C923" s="0" t="n">
        <v>4896</v>
      </c>
      <c r="D923" s="0" t="n">
        <v>154</v>
      </c>
      <c r="E923" s="0" t="n">
        <v>2</v>
      </c>
      <c r="F923" s="39" t="s">
        <v>678</v>
      </c>
      <c r="G923" s="0" t="n">
        <v>57.1</v>
      </c>
      <c r="H923" s="0" t="n">
        <v>58</v>
      </c>
      <c r="I923" s="39" t="s">
        <v>109</v>
      </c>
      <c r="J923" s="0" t="n">
        <v>98</v>
      </c>
      <c r="K923" s="0" t="n">
        <v>63</v>
      </c>
      <c r="L923" s="0" t="n">
        <v>56</v>
      </c>
      <c r="M923" s="0" t="n">
        <v>904.49</v>
      </c>
      <c r="N923" s="0" t="n">
        <v>58.01</v>
      </c>
      <c r="O923" s="0" t="n">
        <v>38.36</v>
      </c>
      <c r="P923" s="0" t="n">
        <v>3.28</v>
      </c>
      <c r="Q923" s="0" t="n">
        <v>3.2</v>
      </c>
      <c r="R923" s="0" t="n">
        <v>5205</v>
      </c>
      <c r="S923" s="0" t="n">
        <v>10814</v>
      </c>
      <c r="T923" s="0" t="n">
        <v>56.3</v>
      </c>
      <c r="U923" s="0" t="n">
        <v>1169</v>
      </c>
      <c r="V923" s="0" t="n">
        <v>2</v>
      </c>
      <c r="W923" s="39" t="n">
        <f aca="false">IF(I923="Male",0,1)</f>
        <v>1</v>
      </c>
      <c r="X923" s="39" t="n">
        <f aca="false">IF(OR(I923="DNB",I923="Dry DNB"),1,0)</f>
        <v>0</v>
      </c>
      <c r="Y923" s="39" t="n">
        <f aca="false">MATCH(A923,DATAS,0)</f>
        <v>1</v>
      </c>
      <c r="Z923" s="39" t="n">
        <f aca="false">IF(AND(E923&gt;0,OR(AND(B923&gt;=1,B923&lt;=6),B923=10)),1,0)</f>
        <v>1</v>
      </c>
      <c r="AA923" s="39" t="n">
        <f aca="false">IF(AND(E923&gt;0,B923=10),1,0)</f>
        <v>0</v>
      </c>
      <c r="AB923" s="0" t="str">
        <f aca="false">IF(AND(C922=C923,Y922=Y923-1),Z922,"")</f>
        <v/>
      </c>
      <c r="AC923" s="0" t="str">
        <f aca="false">IF(AND(C922=C923,Y922=Y923-1),AA922,"")</f>
        <v/>
      </c>
      <c r="AD923" s="0" t="str">
        <f aca="false">IF(Y923=1,"",IF(AND(Z923=1,AB923&lt;&gt;1),1,0))</f>
        <v/>
      </c>
      <c r="AE923" s="0" t="str">
        <f aca="false">IF(Y923=1,"",IF(AND(AA923=1,AC923&lt;&gt;1),1,0))</f>
        <v/>
      </c>
      <c r="AF923" s="45" t="str">
        <f aca="false">IF(AND(E923&gt;0,Y923&lt;1,NOT(AND(C924=C923,Y924=Y923+1))),INDEX(DATAS,Y923+1),"")</f>
        <v/>
      </c>
      <c r="AG923" s="45" t="str">
        <f aca="false">IF(AND(AA923=1,Y923&lt;1),IF(AND(C924=C923,Y924=Y923+1),IF(AA924=1,"",INDEX(DATAS,Y923+1)),INDEX(DATAS,Y923+1)),"")</f>
        <v/>
      </c>
    </row>
    <row r="924" customFormat="false" ht="15" hidden="false" customHeight="false" outlineLevel="0" collapsed="false">
      <c r="A924" s="45" t="n">
        <v>46309</v>
      </c>
      <c r="B924" s="0" t="n">
        <v>7</v>
      </c>
      <c r="C924" s="0" t="n">
        <v>4897</v>
      </c>
      <c r="D924" s="0" t="n">
        <v>290</v>
      </c>
      <c r="E924" s="0" t="n">
        <v>2</v>
      </c>
      <c r="F924" s="39" t="s">
        <v>679</v>
      </c>
      <c r="G924" s="0" t="n">
        <v>13.9</v>
      </c>
      <c r="H924" s="0" t="n">
        <v>36</v>
      </c>
      <c r="I924" s="39" t="s">
        <v>114</v>
      </c>
      <c r="J924" s="0" t="n">
        <v>67</v>
      </c>
      <c r="K924" s="0" t="n">
        <v>67</v>
      </c>
      <c r="L924" s="0" t="n">
        <v>224</v>
      </c>
      <c r="M924" s="0" t="n">
        <v>631.55</v>
      </c>
      <c r="N924" s="0" t="n">
        <v>37.65</v>
      </c>
      <c r="O924" s="0" t="n">
        <v>32.76</v>
      </c>
      <c r="P924" s="0" t="n">
        <v>4.3</v>
      </c>
      <c r="Q924" s="0" t="n">
        <v>4.03</v>
      </c>
      <c r="R924" s="0" t="n">
        <v>5975</v>
      </c>
      <c r="S924" s="0" t="n">
        <v>12225</v>
      </c>
      <c r="T924" s="0" t="n">
        <v>65.8</v>
      </c>
      <c r="U924" s="0" t="n">
        <v>1168</v>
      </c>
      <c r="V924" s="0" t="n">
        <v>1</v>
      </c>
      <c r="W924" s="39" t="n">
        <f aca="false">IF(I924="Male",0,1)</f>
        <v>1</v>
      </c>
      <c r="X924" s="39" t="n">
        <f aca="false">IF(OR(I924="DNB",I924="Dry DNB"),1,0)</f>
        <v>0</v>
      </c>
      <c r="Y924" s="39" t="n">
        <f aca="false">MATCH(A924,DATAS,0)</f>
        <v>1</v>
      </c>
      <c r="Z924" s="39" t="n">
        <f aca="false">IF(AND(E924&gt;0,OR(AND(B924&gt;=1,B924&lt;=6),B924=10)),1,0)</f>
        <v>0</v>
      </c>
      <c r="AA924" s="39" t="n">
        <f aca="false">IF(AND(E924&gt;0,B924=10),1,0)</f>
        <v>0</v>
      </c>
      <c r="AB924" s="0" t="str">
        <f aca="false">IF(AND(C923=C924,Y923=Y924-1),Z923,"")</f>
        <v/>
      </c>
      <c r="AC924" s="0" t="str">
        <f aca="false">IF(AND(C923=C924,Y923=Y924-1),AA923,"")</f>
        <v/>
      </c>
      <c r="AD924" s="0" t="str">
        <f aca="false">IF(Y924=1,"",IF(AND(Z924=1,AB924&lt;&gt;1),1,0))</f>
        <v/>
      </c>
      <c r="AE924" s="0" t="str">
        <f aca="false">IF(Y924=1,"",IF(AND(AA924=1,AC924&lt;&gt;1),1,0))</f>
        <v/>
      </c>
      <c r="AF924" s="45" t="str">
        <f aca="false">IF(AND(E924&gt;0,Y924&lt;1,NOT(AND(C925=C924,Y925=Y924+1))),INDEX(DATAS,Y924+1),"")</f>
        <v/>
      </c>
      <c r="AG924" s="45" t="str">
        <f aca="false">IF(AND(AA924=1,Y924&lt;1),IF(AND(C925=C924,Y925=Y924+1),IF(AA925=1,"",INDEX(DATAS,Y924+1)),INDEX(DATAS,Y924+1)),"")</f>
        <v/>
      </c>
    </row>
    <row r="925" customFormat="false" ht="15" hidden="false" customHeight="false" outlineLevel="0" collapsed="false">
      <c r="A925" s="45" t="n">
        <v>46309</v>
      </c>
      <c r="B925" s="0" t="n">
        <v>6</v>
      </c>
      <c r="C925" s="0" t="n">
        <v>4898</v>
      </c>
      <c r="D925" s="0" t="n">
        <v>451</v>
      </c>
      <c r="E925" s="0" t="n">
        <v>1</v>
      </c>
      <c r="F925" s="39" t="s">
        <v>680</v>
      </c>
      <c r="G925" s="0" t="n">
        <v>30.5</v>
      </c>
      <c r="H925" s="0" t="n">
        <v>31</v>
      </c>
      <c r="I925" s="39" t="s">
        <v>96</v>
      </c>
      <c r="J925" s="0" t="n">
        <v>451</v>
      </c>
      <c r="K925" s="0" t="n">
        <v>59</v>
      </c>
      <c r="M925" s="0" t="n">
        <v>560.51</v>
      </c>
      <c r="N925" s="0" t="n">
        <v>67.52</v>
      </c>
      <c r="O925" s="0" t="n">
        <v>36.3</v>
      </c>
      <c r="P925" s="0" t="n">
        <v>5.76</v>
      </c>
      <c r="Q925" s="0" t="n">
        <v>4.09</v>
      </c>
      <c r="R925" s="0" t="n">
        <v>2965</v>
      </c>
      <c r="S925" s="0" t="n">
        <v>6781</v>
      </c>
      <c r="T925" s="0" t="n">
        <v>35.15</v>
      </c>
      <c r="U925" s="0" t="n">
        <v>1167</v>
      </c>
      <c r="V925" s="0" t="n">
        <v>10</v>
      </c>
      <c r="W925" s="39" t="n">
        <f aca="false">IF(I925="Male",0,1)</f>
        <v>1</v>
      </c>
      <c r="X925" s="39" t="n">
        <f aca="false">IF(OR(I925="DNB",I925="Dry DNB"),1,0)</f>
        <v>1</v>
      </c>
      <c r="Y925" s="39" t="n">
        <f aca="false">MATCH(A925,DATAS,0)</f>
        <v>1</v>
      </c>
      <c r="Z925" s="39" t="n">
        <f aca="false">IF(AND(E925&gt;0,OR(AND(B925&gt;=1,B925&lt;=6),B925=10)),1,0)</f>
        <v>1</v>
      </c>
      <c r="AA925" s="39" t="n">
        <f aca="false">IF(AND(E925&gt;0,B925=10),1,0)</f>
        <v>0</v>
      </c>
      <c r="AB925" s="0" t="str">
        <f aca="false">IF(AND(C924=C925,Y924=Y925-1),Z924,"")</f>
        <v/>
      </c>
      <c r="AC925" s="0" t="str">
        <f aca="false">IF(AND(C924=C925,Y924=Y925-1),AA924,"")</f>
        <v/>
      </c>
      <c r="AD925" s="0" t="str">
        <f aca="false">IF(Y925=1,"",IF(AND(Z925=1,AB925&lt;&gt;1),1,0))</f>
        <v/>
      </c>
      <c r="AE925" s="0" t="str">
        <f aca="false">IF(Y925=1,"",IF(AND(AA925=1,AC925&lt;&gt;1),1,0))</f>
        <v/>
      </c>
      <c r="AF925" s="45" t="str">
        <f aca="false">IF(AND(E925&gt;0,Y925&lt;1,NOT(AND(C926=C925,Y926=Y925+1))),INDEX(DATAS,Y925+1),"")</f>
        <v/>
      </c>
      <c r="AG925" s="45" t="str">
        <f aca="false">IF(AND(AA925=1,Y925&lt;1),IF(AND(C926=C925,Y926=Y925+1),IF(AA926=1,"",INDEX(DATAS,Y925+1)),INDEX(DATAS,Y925+1)),"")</f>
        <v/>
      </c>
    </row>
    <row r="926" customFormat="false" ht="15" hidden="false" customHeight="false" outlineLevel="0" collapsed="false">
      <c r="A926" s="45" t="n">
        <v>46309</v>
      </c>
      <c r="B926" s="0" t="n">
        <v>2</v>
      </c>
      <c r="C926" s="0" t="n">
        <v>4899</v>
      </c>
      <c r="D926" s="0" t="n">
        <v>106</v>
      </c>
      <c r="E926" s="0" t="n">
        <v>2</v>
      </c>
      <c r="F926" s="39" t="s">
        <v>680</v>
      </c>
      <c r="G926" s="0" t="n">
        <v>56</v>
      </c>
      <c r="H926" s="0" t="n">
        <v>56</v>
      </c>
      <c r="I926" s="39" t="s">
        <v>138</v>
      </c>
      <c r="J926" s="0" t="n">
        <v>106</v>
      </c>
      <c r="K926" s="0" t="n">
        <v>64</v>
      </c>
      <c r="M926" s="0" t="n">
        <v>145.29</v>
      </c>
      <c r="N926" s="0" t="n">
        <v>43.03</v>
      </c>
      <c r="O926" s="0" t="n">
        <v>24.76</v>
      </c>
      <c r="P926" s="0" t="n">
        <v>4.16</v>
      </c>
      <c r="Q926" s="0" t="n">
        <v>3.43</v>
      </c>
      <c r="R926" s="0" t="n">
        <v>4492</v>
      </c>
      <c r="S926" s="0" t="n">
        <v>9166</v>
      </c>
      <c r="T926" s="0" t="n">
        <v>49.85</v>
      </c>
      <c r="U926" s="0" t="n">
        <v>1167</v>
      </c>
      <c r="V926" s="0" t="n">
        <v>2</v>
      </c>
      <c r="W926" s="39" t="n">
        <f aca="false">IF(I926="Male",0,1)</f>
        <v>1</v>
      </c>
      <c r="X926" s="39" t="n">
        <f aca="false">IF(OR(I926="DNB",I926="Dry DNB"),1,0)</f>
        <v>0</v>
      </c>
      <c r="Y926" s="39" t="n">
        <f aca="false">MATCH(A926,DATAS,0)</f>
        <v>1</v>
      </c>
      <c r="Z926" s="39" t="n">
        <f aca="false">IF(AND(E926&gt;0,OR(AND(B926&gt;=1,B926&lt;=6),B926=10)),1,0)</f>
        <v>1</v>
      </c>
      <c r="AA926" s="39" t="n">
        <f aca="false">IF(AND(E926&gt;0,B926=10),1,0)</f>
        <v>0</v>
      </c>
      <c r="AB926" s="0" t="str">
        <f aca="false">IF(AND(C925=C926,Y925=Y926-1),Z925,"")</f>
        <v/>
      </c>
      <c r="AC926" s="0" t="str">
        <f aca="false">IF(AND(C925=C926,Y925=Y926-1),AA925,"")</f>
        <v/>
      </c>
      <c r="AD926" s="0" t="str">
        <f aca="false">IF(Y926=1,"",IF(AND(Z926=1,AB926&lt;&gt;1),1,0))</f>
        <v/>
      </c>
      <c r="AE926" s="0" t="str">
        <f aca="false">IF(Y926=1,"",IF(AND(AA926=1,AC926&lt;&gt;1),1,0))</f>
        <v/>
      </c>
      <c r="AF926" s="45" t="str">
        <f aca="false">IF(AND(E926&gt;0,Y926&lt;1,NOT(AND(C927=C926,Y927=Y926+1))),INDEX(DATAS,Y926+1),"")</f>
        <v/>
      </c>
      <c r="AG926" s="45" t="str">
        <f aca="false">IF(AND(AA926=1,Y926&lt;1),IF(AND(C927=C926,Y927=Y926+1),IF(AA927=1,"",INDEX(DATAS,Y926+1)),INDEX(DATAS,Y926+1)),"")</f>
        <v/>
      </c>
    </row>
    <row r="927" customFormat="false" ht="15" hidden="false" customHeight="false" outlineLevel="0" collapsed="false">
      <c r="A927" s="45" t="n">
        <v>46309</v>
      </c>
      <c r="B927" s="0" t="n">
        <v>6</v>
      </c>
      <c r="C927" s="0" t="n">
        <v>4900</v>
      </c>
      <c r="D927" s="0" t="n">
        <v>211</v>
      </c>
      <c r="E927" s="0" t="n">
        <v>2</v>
      </c>
      <c r="F927" s="39" t="s">
        <v>680</v>
      </c>
      <c r="G927" s="0" t="n">
        <v>30.9</v>
      </c>
      <c r="H927" s="0" t="n">
        <v>27</v>
      </c>
      <c r="I927" s="39" t="s">
        <v>138</v>
      </c>
      <c r="J927" s="0" t="n">
        <v>211</v>
      </c>
      <c r="K927" s="0" t="n">
        <v>64</v>
      </c>
      <c r="M927" s="0" t="n">
        <v>708.22</v>
      </c>
      <c r="N927" s="0" t="n">
        <v>46.18</v>
      </c>
      <c r="O927" s="0" t="n">
        <v>28.6</v>
      </c>
      <c r="P927" s="0" t="n">
        <v>5.3</v>
      </c>
      <c r="Q927" s="0" t="n">
        <v>3.99</v>
      </c>
      <c r="R927" s="0" t="n">
        <v>4564</v>
      </c>
      <c r="S927" s="0" t="n">
        <v>7487</v>
      </c>
      <c r="T927" s="0" t="n">
        <v>55.25</v>
      </c>
      <c r="U927" s="0" t="n">
        <v>1167</v>
      </c>
      <c r="V927" s="0" t="n">
        <v>2</v>
      </c>
      <c r="W927" s="39" t="n">
        <f aca="false">IF(I927="Male",0,1)</f>
        <v>1</v>
      </c>
      <c r="X927" s="39" t="n">
        <f aca="false">IF(OR(I927="DNB",I927="Dry DNB"),1,0)</f>
        <v>0</v>
      </c>
      <c r="Y927" s="39" t="n">
        <f aca="false">MATCH(A927,DATAS,0)</f>
        <v>1</v>
      </c>
      <c r="Z927" s="39" t="n">
        <f aca="false">IF(AND(E927&gt;0,OR(AND(B927&gt;=1,B927&lt;=6),B927=10)),1,0)</f>
        <v>1</v>
      </c>
      <c r="AA927" s="39" t="n">
        <f aca="false">IF(AND(E927&gt;0,B927=10),1,0)</f>
        <v>0</v>
      </c>
      <c r="AB927" s="0" t="str">
        <f aca="false">IF(AND(C926=C927,Y926=Y927-1),Z926,"")</f>
        <v/>
      </c>
      <c r="AC927" s="0" t="str">
        <f aca="false">IF(AND(C926=C927,Y926=Y927-1),AA926,"")</f>
        <v/>
      </c>
      <c r="AD927" s="0" t="str">
        <f aca="false">IF(Y927=1,"",IF(AND(Z927=1,AB927&lt;&gt;1),1,0))</f>
        <v/>
      </c>
      <c r="AE927" s="0" t="str">
        <f aca="false">IF(Y927=1,"",IF(AND(AA927=1,AC927&lt;&gt;1),1,0))</f>
        <v/>
      </c>
      <c r="AF927" s="45" t="str">
        <f aca="false">IF(AND(E927&gt;0,Y927&lt;1,NOT(AND(C928=C927,Y928=Y927+1))),INDEX(DATAS,Y927+1),"")</f>
        <v/>
      </c>
      <c r="AG927" s="45" t="str">
        <f aca="false">IF(AND(AA927=1,Y927&lt;1),IF(AND(C928=C927,Y928=Y927+1),IF(AA928=1,"",INDEX(DATAS,Y927+1)),INDEX(DATAS,Y927+1)),"")</f>
        <v/>
      </c>
    </row>
    <row r="928" customFormat="false" ht="15" hidden="false" customHeight="false" outlineLevel="0" collapsed="false">
      <c r="A928" s="45" t="n">
        <v>46309</v>
      </c>
      <c r="B928" s="0" t="n">
        <v>3</v>
      </c>
      <c r="C928" s="0" t="n">
        <v>4901</v>
      </c>
      <c r="D928" s="0" t="n">
        <v>94</v>
      </c>
      <c r="E928" s="0" t="n">
        <v>2</v>
      </c>
      <c r="F928" s="39" t="s">
        <v>681</v>
      </c>
      <c r="G928" s="0" t="n">
        <v>52</v>
      </c>
      <c r="H928" s="0" t="n">
        <v>51</v>
      </c>
      <c r="I928" s="39" t="s">
        <v>138</v>
      </c>
      <c r="J928" s="0" t="n">
        <v>94</v>
      </c>
      <c r="K928" s="0" t="n">
        <v>66</v>
      </c>
      <c r="M928" s="0" t="n">
        <v>478.17</v>
      </c>
      <c r="N928" s="0" t="n">
        <v>51.6</v>
      </c>
      <c r="O928" s="0" t="n">
        <v>36.29</v>
      </c>
      <c r="P928" s="0" t="n">
        <v>2.41</v>
      </c>
      <c r="Q928" s="0" t="n">
        <v>3.39</v>
      </c>
      <c r="R928" s="0" t="n">
        <v>4850</v>
      </c>
      <c r="S928" s="0" t="n">
        <v>9749</v>
      </c>
      <c r="T928" s="0" t="n">
        <v>57.1</v>
      </c>
      <c r="U928" s="0" t="n">
        <v>1166</v>
      </c>
      <c r="V928" s="0" t="n">
        <v>2</v>
      </c>
      <c r="W928" s="39" t="n">
        <f aca="false">IF(I928="Male",0,1)</f>
        <v>1</v>
      </c>
      <c r="X928" s="39" t="n">
        <f aca="false">IF(OR(I928="DNB",I928="Dry DNB"),1,0)</f>
        <v>0</v>
      </c>
      <c r="Y928" s="39" t="n">
        <f aca="false">MATCH(A928,DATAS,0)</f>
        <v>1</v>
      </c>
      <c r="Z928" s="39" t="n">
        <f aca="false">IF(AND(E928&gt;0,OR(AND(B928&gt;=1,B928&lt;=6),B928=10)),1,0)</f>
        <v>1</v>
      </c>
      <c r="AA928" s="39" t="n">
        <f aca="false">IF(AND(E928&gt;0,B928=10),1,0)</f>
        <v>0</v>
      </c>
      <c r="AB928" s="0" t="str">
        <f aca="false">IF(AND(C927=C928,Y927=Y928-1),Z927,"")</f>
        <v/>
      </c>
      <c r="AC928" s="0" t="str">
        <f aca="false">IF(AND(C927=C928,Y927=Y928-1),AA927,"")</f>
        <v/>
      </c>
      <c r="AD928" s="0" t="str">
        <f aca="false">IF(Y928=1,"",IF(AND(Z928=1,AB928&lt;&gt;1),1,0))</f>
        <v/>
      </c>
      <c r="AE928" s="0" t="str">
        <f aca="false">IF(Y928=1,"",IF(AND(AA928=1,AC928&lt;&gt;1),1,0))</f>
        <v/>
      </c>
      <c r="AF928" s="45" t="str">
        <f aca="false">IF(AND(E928&gt;0,Y928&lt;1,NOT(AND(C929=C928,Y929=Y928+1))),INDEX(DATAS,Y928+1),"")</f>
        <v/>
      </c>
      <c r="AG928" s="45" t="str">
        <f aca="false">IF(AND(AA928=1,Y928&lt;1),IF(AND(C929=C928,Y929=Y928+1),IF(AA929=1,"",INDEX(DATAS,Y928+1)),INDEX(DATAS,Y928+1)),"")</f>
        <v/>
      </c>
    </row>
    <row r="929" customFormat="false" ht="15" hidden="false" customHeight="false" outlineLevel="0" collapsed="false">
      <c r="A929" s="45" t="n">
        <v>46309</v>
      </c>
      <c r="B929" s="0" t="n">
        <v>3</v>
      </c>
      <c r="C929" s="0" t="n">
        <v>4903</v>
      </c>
      <c r="D929" s="0" t="n">
        <v>100</v>
      </c>
      <c r="E929" s="0" t="n">
        <v>2</v>
      </c>
      <c r="F929" s="39" t="s">
        <v>682</v>
      </c>
      <c r="G929" s="0" t="n">
        <v>53.9</v>
      </c>
      <c r="H929" s="0" t="n">
        <v>55</v>
      </c>
      <c r="I929" s="39" t="s">
        <v>109</v>
      </c>
      <c r="J929" s="0" t="n">
        <v>65</v>
      </c>
      <c r="K929" s="0" t="n">
        <v>65</v>
      </c>
      <c r="L929" s="0" t="n">
        <v>35</v>
      </c>
      <c r="M929" s="0" t="n">
        <v>1038.43</v>
      </c>
      <c r="N929" s="0" t="n">
        <v>41.05</v>
      </c>
      <c r="O929" s="0" t="n">
        <v>28.47</v>
      </c>
      <c r="P929" s="0" t="n">
        <v>3.58</v>
      </c>
      <c r="Q929" s="0" t="n">
        <v>3.2</v>
      </c>
      <c r="R929" s="0" t="n">
        <v>4734</v>
      </c>
      <c r="S929" s="0" t="n">
        <v>9517</v>
      </c>
      <c r="T929" s="0" t="n">
        <v>51.55</v>
      </c>
      <c r="U929" s="0" t="n">
        <v>1165</v>
      </c>
      <c r="V929" s="0" t="n">
        <v>1</v>
      </c>
      <c r="W929" s="39" t="n">
        <f aca="false">IF(I929="Male",0,1)</f>
        <v>1</v>
      </c>
      <c r="X929" s="39" t="n">
        <f aca="false">IF(OR(I929="DNB",I929="Dry DNB"),1,0)</f>
        <v>0</v>
      </c>
      <c r="Y929" s="39" t="n">
        <f aca="false">MATCH(A929,DATAS,0)</f>
        <v>1</v>
      </c>
      <c r="Z929" s="39" t="n">
        <f aca="false">IF(AND(E929&gt;0,OR(AND(B929&gt;=1,B929&lt;=6),B929=10)),1,0)</f>
        <v>1</v>
      </c>
      <c r="AA929" s="39" t="n">
        <f aca="false">IF(AND(E929&gt;0,B929=10),1,0)</f>
        <v>0</v>
      </c>
      <c r="AB929" s="0" t="str">
        <f aca="false">IF(AND(C928=C929,Y928=Y929-1),Z928,"")</f>
        <v/>
      </c>
      <c r="AC929" s="0" t="str">
        <f aca="false">IF(AND(C928=C929,Y928=Y929-1),AA928,"")</f>
        <v/>
      </c>
      <c r="AD929" s="0" t="str">
        <f aca="false">IF(Y929=1,"",IF(AND(Z929=1,AB929&lt;&gt;1),1,0))</f>
        <v/>
      </c>
      <c r="AE929" s="0" t="str">
        <f aca="false">IF(Y929=1,"",IF(AND(AA929=1,AC929&lt;&gt;1),1,0))</f>
        <v/>
      </c>
      <c r="AF929" s="45" t="str">
        <f aca="false">IF(AND(E929&gt;0,Y929&lt;1,NOT(AND(C930=C929,Y930=Y929+1))),INDEX(DATAS,Y929+1),"")</f>
        <v/>
      </c>
      <c r="AG929" s="45" t="str">
        <f aca="false">IF(AND(AA929=1,Y929&lt;1),IF(AND(C930=C929,Y930=Y929+1),IF(AA930=1,"",INDEX(DATAS,Y929+1)),INDEX(DATAS,Y929+1)),"")</f>
        <v/>
      </c>
    </row>
    <row r="930" customFormat="false" ht="15" hidden="false" customHeight="false" outlineLevel="0" collapsed="false">
      <c r="A930" s="45" t="n">
        <v>46309</v>
      </c>
      <c r="B930" s="0" t="n">
        <v>3</v>
      </c>
      <c r="C930" s="0" t="n">
        <v>4906</v>
      </c>
      <c r="D930" s="0" t="n">
        <v>57</v>
      </c>
      <c r="E930" s="0" t="n">
        <v>2</v>
      </c>
      <c r="F930" s="39" t="s">
        <v>683</v>
      </c>
      <c r="G930" s="0" t="n">
        <v>48</v>
      </c>
      <c r="H930" s="0" t="n">
        <v>48</v>
      </c>
      <c r="I930" s="39" t="s">
        <v>118</v>
      </c>
      <c r="J930" s="0" t="n">
        <v>57</v>
      </c>
      <c r="M930" s="0" t="n">
        <v>383.12</v>
      </c>
      <c r="N930" s="0" t="n">
        <v>58.65</v>
      </c>
      <c r="O930" s="0" t="n">
        <v>32.95</v>
      </c>
      <c r="P930" s="0" t="n">
        <v>3.51</v>
      </c>
      <c r="Q930" s="0" t="n">
        <v>3.63</v>
      </c>
      <c r="R930" s="0" t="n">
        <v>4150</v>
      </c>
      <c r="S930" s="0" t="n">
        <v>8342</v>
      </c>
      <c r="U930" s="0" t="n">
        <v>1163</v>
      </c>
      <c r="V930" s="0" t="n">
        <v>0</v>
      </c>
      <c r="W930" s="39" t="n">
        <f aca="false">IF(I930="Male",0,1)</f>
        <v>1</v>
      </c>
      <c r="X930" s="39" t="n">
        <f aca="false">IF(OR(I930="DNB",I930="Dry DNB"),1,0)</f>
        <v>0</v>
      </c>
      <c r="Y930" s="39" t="n">
        <f aca="false">MATCH(A930,DATAS,0)</f>
        <v>1</v>
      </c>
      <c r="Z930" s="39" t="n">
        <f aca="false">IF(AND(E930&gt;0,OR(AND(B930&gt;=1,B930&lt;=6),B930=10)),1,0)</f>
        <v>1</v>
      </c>
      <c r="AA930" s="39" t="n">
        <f aca="false">IF(AND(E930&gt;0,B930=10),1,0)</f>
        <v>0</v>
      </c>
      <c r="AB930" s="0" t="str">
        <f aca="false">IF(AND(C929=C930,Y929=Y930-1),Z929,"")</f>
        <v/>
      </c>
      <c r="AC930" s="0" t="str">
        <f aca="false">IF(AND(C929=C930,Y929=Y930-1),AA929,"")</f>
        <v/>
      </c>
      <c r="AD930" s="0" t="str">
        <f aca="false">IF(Y930=1,"",IF(AND(Z930=1,AB930&lt;&gt;1),1,0))</f>
        <v/>
      </c>
      <c r="AE930" s="0" t="str">
        <f aca="false">IF(Y930=1,"",IF(AND(AA930=1,AC930&lt;&gt;1),1,0))</f>
        <v/>
      </c>
      <c r="AF930" s="45" t="str">
        <f aca="false">IF(AND(E930&gt;0,Y930&lt;1,NOT(AND(C931=C930,Y931=Y930+1))),INDEX(DATAS,Y930+1),"")</f>
        <v/>
      </c>
      <c r="AG930" s="45" t="str">
        <f aca="false">IF(AND(AA930=1,Y930&lt;1),IF(AND(C931=C930,Y931=Y930+1),IF(AA931=1,"",INDEX(DATAS,Y930+1)),INDEX(DATAS,Y930+1)),"")</f>
        <v/>
      </c>
    </row>
    <row r="931" customFormat="false" ht="15" hidden="false" customHeight="false" outlineLevel="0" collapsed="false">
      <c r="A931" s="45" t="n">
        <v>46309</v>
      </c>
      <c r="B931" s="0" t="n">
        <v>6</v>
      </c>
      <c r="C931" s="0" t="n">
        <v>4908</v>
      </c>
      <c r="D931" s="0" t="n">
        <v>516</v>
      </c>
      <c r="E931" s="0" t="n">
        <v>1</v>
      </c>
      <c r="F931" s="39" t="s">
        <v>683</v>
      </c>
      <c r="G931" s="0" t="n">
        <v>23</v>
      </c>
      <c r="H931" s="0" t="n">
        <v>23</v>
      </c>
      <c r="I931" s="39" t="s">
        <v>109</v>
      </c>
      <c r="J931" s="0" t="n">
        <v>436</v>
      </c>
      <c r="K931" s="0" t="n">
        <v>61</v>
      </c>
      <c r="L931" s="0" t="n">
        <v>80</v>
      </c>
      <c r="M931" s="0" t="n">
        <v>548.74</v>
      </c>
      <c r="N931" s="0" t="n">
        <v>60.23</v>
      </c>
      <c r="O931" s="0" t="n">
        <v>37.99</v>
      </c>
      <c r="P931" s="0" t="n">
        <v>6.02</v>
      </c>
      <c r="Q931" s="0" t="n">
        <v>4.98</v>
      </c>
      <c r="R931" s="0" t="n">
        <v>4886</v>
      </c>
      <c r="S931" s="0" t="n">
        <v>9669</v>
      </c>
      <c r="T931" s="0" t="n">
        <v>44.5</v>
      </c>
      <c r="U931" s="0" t="n">
        <v>1163</v>
      </c>
      <c r="V931" s="0" t="n">
        <v>12</v>
      </c>
      <c r="W931" s="39" t="n">
        <f aca="false">IF(I931="Male",0,1)</f>
        <v>1</v>
      </c>
      <c r="X931" s="39" t="n">
        <f aca="false">IF(OR(I931="DNB",I931="Dry DNB"),1,0)</f>
        <v>0</v>
      </c>
      <c r="Y931" s="39" t="n">
        <f aca="false">MATCH(A931,DATAS,0)</f>
        <v>1</v>
      </c>
      <c r="Z931" s="39" t="n">
        <f aca="false">IF(AND(E931&gt;0,OR(AND(B931&gt;=1,B931&lt;=6),B931=10)),1,0)</f>
        <v>1</v>
      </c>
      <c r="AA931" s="39" t="n">
        <f aca="false">IF(AND(E931&gt;0,B931=10),1,0)</f>
        <v>0</v>
      </c>
      <c r="AB931" s="0" t="str">
        <f aca="false">IF(AND(C930=C931,Y930=Y931-1),Z930,"")</f>
        <v/>
      </c>
      <c r="AC931" s="0" t="str">
        <f aca="false">IF(AND(C930=C931,Y930=Y931-1),AA930,"")</f>
        <v/>
      </c>
      <c r="AD931" s="0" t="str">
        <f aca="false">IF(Y931=1,"",IF(AND(Z931=1,AB931&lt;&gt;1),1,0))</f>
        <v/>
      </c>
      <c r="AE931" s="0" t="str">
        <f aca="false">IF(Y931=1,"",IF(AND(AA931=1,AC931&lt;&gt;1),1,0))</f>
        <v/>
      </c>
      <c r="AF931" s="45" t="str">
        <f aca="false">IF(AND(E931&gt;0,Y931&lt;1,NOT(AND(C932=C931,Y932=Y931+1))),INDEX(DATAS,Y931+1),"")</f>
        <v/>
      </c>
      <c r="AG931" s="45" t="str">
        <f aca="false">IF(AND(AA931=1,Y931&lt;1),IF(AND(C932=C931,Y932=Y931+1),IF(AA932=1,"",INDEX(DATAS,Y931+1)),INDEX(DATAS,Y931+1)),"")</f>
        <v/>
      </c>
    </row>
    <row r="932" customFormat="false" ht="15" hidden="false" customHeight="false" outlineLevel="0" collapsed="false">
      <c r="A932" s="45" t="n">
        <v>46309</v>
      </c>
      <c r="B932" s="0" t="n">
        <v>5</v>
      </c>
      <c r="C932" s="0" t="n">
        <v>4909</v>
      </c>
      <c r="D932" s="0" t="n">
        <v>418</v>
      </c>
      <c r="E932" s="0" t="n">
        <v>1</v>
      </c>
      <c r="F932" s="39" t="s">
        <v>684</v>
      </c>
      <c r="G932" s="0" t="n">
        <v>38.2</v>
      </c>
      <c r="H932" s="0" t="n">
        <v>37</v>
      </c>
      <c r="I932" s="39" t="s">
        <v>146</v>
      </c>
      <c r="J932" s="0" t="n">
        <v>418</v>
      </c>
      <c r="K932" s="0" t="n">
        <v>68</v>
      </c>
      <c r="M932" s="0" t="n">
        <v>905.65</v>
      </c>
      <c r="N932" s="0" t="n">
        <v>38.81</v>
      </c>
      <c r="O932" s="0" t="n">
        <v>33.98</v>
      </c>
      <c r="P932" s="0" t="n">
        <v>5.82</v>
      </c>
      <c r="Q932" s="0" t="n">
        <v>4.38</v>
      </c>
      <c r="R932" s="0" t="n">
        <v>4252</v>
      </c>
      <c r="S932" s="0" t="n">
        <v>9082</v>
      </c>
      <c r="T932" s="0" t="n">
        <v>46.45</v>
      </c>
      <c r="U932" s="0" t="n">
        <v>1162</v>
      </c>
      <c r="V932" s="0" t="n">
        <v>7</v>
      </c>
      <c r="W932" s="39" t="n">
        <f aca="false">IF(I932="Male",0,1)</f>
        <v>1</v>
      </c>
      <c r="X932" s="39" t="n">
        <f aca="false">IF(OR(I932="DNB",I932="Dry DNB"),1,0)</f>
        <v>0</v>
      </c>
      <c r="Y932" s="39" t="n">
        <f aca="false">MATCH(A932,DATAS,0)</f>
        <v>1</v>
      </c>
      <c r="Z932" s="39" t="n">
        <f aca="false">IF(AND(E932&gt;0,OR(AND(B932&gt;=1,B932&lt;=6),B932=10)),1,0)</f>
        <v>1</v>
      </c>
      <c r="AA932" s="39" t="n">
        <f aca="false">IF(AND(E932&gt;0,B932=10),1,0)</f>
        <v>0</v>
      </c>
      <c r="AB932" s="0" t="str">
        <f aca="false">IF(AND(C931=C932,Y931=Y932-1),Z931,"")</f>
        <v/>
      </c>
      <c r="AC932" s="0" t="str">
        <f aca="false">IF(AND(C931=C932,Y931=Y932-1),AA931,"")</f>
        <v/>
      </c>
      <c r="AD932" s="0" t="str">
        <f aca="false">IF(Y932=1,"",IF(AND(Z932=1,AB932&lt;&gt;1),1,0))</f>
        <v/>
      </c>
      <c r="AE932" s="0" t="str">
        <f aca="false">IF(Y932=1,"",IF(AND(AA932=1,AC932&lt;&gt;1),1,0))</f>
        <v/>
      </c>
      <c r="AF932" s="45" t="str">
        <f aca="false">IF(AND(E932&gt;0,Y932&lt;1,NOT(AND(C933=C932,Y933=Y932+1))),INDEX(DATAS,Y932+1),"")</f>
        <v/>
      </c>
      <c r="AG932" s="45" t="str">
        <f aca="false">IF(AND(AA932=1,Y932&lt;1),IF(AND(C933=C932,Y933=Y932+1),IF(AA933=1,"",INDEX(DATAS,Y932+1)),INDEX(DATAS,Y932+1)),"")</f>
        <v/>
      </c>
    </row>
    <row r="933" customFormat="false" ht="15" hidden="false" customHeight="false" outlineLevel="0" collapsed="false">
      <c r="A933" s="45" t="n">
        <v>46309</v>
      </c>
      <c r="B933" s="0" t="n">
        <v>5</v>
      </c>
      <c r="C933" s="0" t="n">
        <v>4910</v>
      </c>
      <c r="D933" s="0" t="n">
        <v>161</v>
      </c>
      <c r="E933" s="0" t="n">
        <v>2</v>
      </c>
      <c r="F933" s="39" t="s">
        <v>684</v>
      </c>
      <c r="G933" s="0" t="n">
        <v>48.6</v>
      </c>
      <c r="H933" s="0" t="n">
        <v>44</v>
      </c>
      <c r="I933" s="39" t="s">
        <v>138</v>
      </c>
      <c r="J933" s="0" t="n">
        <v>161</v>
      </c>
      <c r="K933" s="0" t="n">
        <v>63</v>
      </c>
      <c r="M933" s="0" t="n">
        <v>773.04</v>
      </c>
      <c r="N933" s="0" t="n">
        <v>37.03</v>
      </c>
      <c r="O933" s="0" t="n">
        <v>49.97</v>
      </c>
      <c r="P933" s="0" t="n">
        <v>3.08</v>
      </c>
      <c r="Q933" s="0" t="n">
        <v>3.79</v>
      </c>
      <c r="R933" s="0" t="n">
        <v>4951</v>
      </c>
      <c r="S933" s="0" t="n">
        <v>9666</v>
      </c>
      <c r="T933" s="0" t="n">
        <v>54.4</v>
      </c>
      <c r="U933" s="0" t="n">
        <v>1162</v>
      </c>
      <c r="V933" s="0" t="n">
        <v>5</v>
      </c>
      <c r="W933" s="39" t="n">
        <f aca="false">IF(I933="Male",0,1)</f>
        <v>1</v>
      </c>
      <c r="X933" s="39" t="n">
        <f aca="false">IF(OR(I933="DNB",I933="Dry DNB"),1,0)</f>
        <v>0</v>
      </c>
      <c r="Y933" s="39" t="n">
        <f aca="false">MATCH(A933,DATAS,0)</f>
        <v>1</v>
      </c>
      <c r="Z933" s="39" t="n">
        <f aca="false">IF(AND(E933&gt;0,OR(AND(B933&gt;=1,B933&lt;=6),B933=10)),1,0)</f>
        <v>1</v>
      </c>
      <c r="AA933" s="39" t="n">
        <f aca="false">IF(AND(E933&gt;0,B933=10),1,0)</f>
        <v>0</v>
      </c>
      <c r="AB933" s="0" t="str">
        <f aca="false">IF(AND(C932=C933,Y932=Y933-1),Z932,"")</f>
        <v/>
      </c>
      <c r="AC933" s="0" t="str">
        <f aca="false">IF(AND(C932=C933,Y932=Y933-1),AA932,"")</f>
        <v/>
      </c>
      <c r="AD933" s="0" t="str">
        <f aca="false">IF(Y933=1,"",IF(AND(Z933=1,AB933&lt;&gt;1),1,0))</f>
        <v/>
      </c>
      <c r="AE933" s="0" t="str">
        <f aca="false">IF(Y933=1,"",IF(AND(AA933=1,AC933&lt;&gt;1),1,0))</f>
        <v/>
      </c>
      <c r="AF933" s="45" t="str">
        <f aca="false">IF(AND(E933&gt;0,Y933&lt;1,NOT(AND(C934=C933,Y934=Y933+1))),INDEX(DATAS,Y933+1),"")</f>
        <v/>
      </c>
      <c r="AG933" s="45" t="str">
        <f aca="false">IF(AND(AA933=1,Y933&lt;1),IF(AND(C934=C933,Y934=Y933+1),IF(AA934=1,"",INDEX(DATAS,Y933+1)),INDEX(DATAS,Y933+1)),"")</f>
        <v/>
      </c>
    </row>
    <row r="934" customFormat="false" ht="15" hidden="false" customHeight="false" outlineLevel="0" collapsed="false">
      <c r="A934" s="45" t="n">
        <v>46309</v>
      </c>
      <c r="B934" s="0" t="n">
        <v>2</v>
      </c>
      <c r="C934" s="0" t="n">
        <v>4912</v>
      </c>
      <c r="D934" s="0" t="n">
        <v>131</v>
      </c>
      <c r="E934" s="0" t="n">
        <v>2</v>
      </c>
      <c r="F934" s="39" t="s">
        <v>684</v>
      </c>
      <c r="G934" s="0" t="n">
        <v>47.6</v>
      </c>
      <c r="H934" s="0" t="n">
        <v>47</v>
      </c>
      <c r="I934" s="39" t="s">
        <v>146</v>
      </c>
      <c r="J934" s="0" t="n">
        <v>131</v>
      </c>
      <c r="K934" s="0" t="n">
        <v>68</v>
      </c>
      <c r="M934" s="0" t="n">
        <v>398.14</v>
      </c>
      <c r="N934" s="0" t="n">
        <v>72.67</v>
      </c>
      <c r="O934" s="0" t="n">
        <v>31.66</v>
      </c>
      <c r="P934" s="0" t="n">
        <v>4.04</v>
      </c>
      <c r="Q934" s="0" t="n">
        <v>3.28</v>
      </c>
      <c r="R934" s="0" t="n">
        <v>4456</v>
      </c>
      <c r="S934" s="0" t="n">
        <v>8925</v>
      </c>
      <c r="T934" s="0" t="n">
        <v>45.3</v>
      </c>
      <c r="U934" s="0" t="n">
        <v>1162</v>
      </c>
      <c r="V934" s="0" t="n">
        <v>1</v>
      </c>
      <c r="W934" s="39" t="n">
        <f aca="false">IF(I934="Male",0,1)</f>
        <v>1</v>
      </c>
      <c r="X934" s="39" t="n">
        <f aca="false">IF(OR(I934="DNB",I934="Dry DNB"),1,0)</f>
        <v>0</v>
      </c>
      <c r="Y934" s="39" t="n">
        <f aca="false">MATCH(A934,DATAS,0)</f>
        <v>1</v>
      </c>
      <c r="Z934" s="39" t="n">
        <f aca="false">IF(AND(E934&gt;0,OR(AND(B934&gt;=1,B934&lt;=6),B934=10)),1,0)</f>
        <v>1</v>
      </c>
      <c r="AA934" s="39" t="n">
        <f aca="false">IF(AND(E934&gt;0,B934=10),1,0)</f>
        <v>0</v>
      </c>
      <c r="AB934" s="0" t="str">
        <f aca="false">IF(AND(C933=C934,Y933=Y934-1),Z933,"")</f>
        <v/>
      </c>
      <c r="AC934" s="0" t="str">
        <f aca="false">IF(AND(C933=C934,Y933=Y934-1),AA933,"")</f>
        <v/>
      </c>
      <c r="AD934" s="0" t="str">
        <f aca="false">IF(Y934=1,"",IF(AND(Z934=1,AB934&lt;&gt;1),1,0))</f>
        <v/>
      </c>
      <c r="AE934" s="0" t="str">
        <f aca="false">IF(Y934=1,"",IF(AND(AA934=1,AC934&lt;&gt;1),1,0))</f>
        <v/>
      </c>
      <c r="AF934" s="45" t="str">
        <f aca="false">IF(AND(E934&gt;0,Y934&lt;1,NOT(AND(C935=C934,Y935=Y934+1))),INDEX(DATAS,Y934+1),"")</f>
        <v/>
      </c>
      <c r="AG934" s="45" t="str">
        <f aca="false">IF(AND(AA934=1,Y934&lt;1),IF(AND(C935=C934,Y935=Y934+1),IF(AA935=1,"",INDEX(DATAS,Y934+1)),INDEX(DATAS,Y934+1)),"")</f>
        <v/>
      </c>
    </row>
    <row r="935" customFormat="false" ht="15" hidden="false" customHeight="false" outlineLevel="0" collapsed="false">
      <c r="A935" s="45" t="n">
        <v>46309</v>
      </c>
      <c r="B935" s="0" t="n">
        <v>5</v>
      </c>
      <c r="C935" s="0" t="n">
        <v>4913</v>
      </c>
      <c r="D935" s="0" t="n">
        <v>248</v>
      </c>
      <c r="E935" s="0" t="n">
        <v>2</v>
      </c>
      <c r="F935" s="39" t="s">
        <v>684</v>
      </c>
      <c r="G935" s="0" t="n">
        <v>44.5</v>
      </c>
      <c r="H935" s="0" t="n">
        <v>45</v>
      </c>
      <c r="I935" s="39" t="s">
        <v>109</v>
      </c>
      <c r="J935" s="0" t="n">
        <v>66</v>
      </c>
      <c r="K935" s="0" t="n">
        <v>66</v>
      </c>
      <c r="L935" s="0" t="n">
        <v>182</v>
      </c>
      <c r="M935" s="0" t="n">
        <v>1476.88</v>
      </c>
      <c r="N935" s="0" t="n">
        <v>39.09</v>
      </c>
      <c r="O935" s="0" t="n">
        <v>44.1</v>
      </c>
      <c r="P935" s="0" t="n">
        <v>4.43</v>
      </c>
      <c r="Q935" s="0" t="n">
        <v>3.89</v>
      </c>
      <c r="R935" s="0" t="n">
        <v>4850</v>
      </c>
      <c r="S935" s="0" t="n">
        <v>9939</v>
      </c>
      <c r="T935" s="0" t="n">
        <v>51.35</v>
      </c>
      <c r="U935" s="0" t="n">
        <v>1162</v>
      </c>
      <c r="V935" s="0" t="n">
        <v>1</v>
      </c>
      <c r="W935" s="39" t="n">
        <f aca="false">IF(I935="Male",0,1)</f>
        <v>1</v>
      </c>
      <c r="X935" s="39" t="n">
        <f aca="false">IF(OR(I935="DNB",I935="Dry DNB"),1,0)</f>
        <v>0</v>
      </c>
      <c r="Y935" s="39" t="n">
        <f aca="false">MATCH(A935,DATAS,0)</f>
        <v>1</v>
      </c>
      <c r="Z935" s="39" t="n">
        <f aca="false">IF(AND(E935&gt;0,OR(AND(B935&gt;=1,B935&lt;=6),B935=10)),1,0)</f>
        <v>1</v>
      </c>
      <c r="AA935" s="39" t="n">
        <f aca="false">IF(AND(E935&gt;0,B935=10),1,0)</f>
        <v>0</v>
      </c>
      <c r="AB935" s="0" t="str">
        <f aca="false">IF(AND(C934=C935,Y934=Y935-1),Z934,"")</f>
        <v/>
      </c>
      <c r="AC935" s="0" t="str">
        <f aca="false">IF(AND(C934=C935,Y934=Y935-1),AA934,"")</f>
        <v/>
      </c>
      <c r="AD935" s="0" t="str">
        <f aca="false">IF(Y935=1,"",IF(AND(Z935=1,AB935&lt;&gt;1),1,0))</f>
        <v/>
      </c>
      <c r="AE935" s="0" t="str">
        <f aca="false">IF(Y935=1,"",IF(AND(AA935=1,AC935&lt;&gt;1),1,0))</f>
        <v/>
      </c>
      <c r="AF935" s="45" t="str">
        <f aca="false">IF(AND(E935&gt;0,Y935&lt;1,NOT(AND(C936=C935,Y936=Y935+1))),INDEX(DATAS,Y935+1),"")</f>
        <v/>
      </c>
      <c r="AG935" s="45" t="str">
        <f aca="false">IF(AND(AA935=1,Y935&lt;1),IF(AND(C936=C935,Y936=Y935+1),IF(AA936=1,"",INDEX(DATAS,Y935+1)),INDEX(DATAS,Y935+1)),"")</f>
        <v/>
      </c>
    </row>
    <row r="936" customFormat="false" ht="15" hidden="false" customHeight="false" outlineLevel="0" collapsed="false">
      <c r="A936" s="45" t="n">
        <v>46309</v>
      </c>
      <c r="B936" s="0" t="n">
        <v>5</v>
      </c>
      <c r="C936" s="0" t="n">
        <v>4914</v>
      </c>
      <c r="D936" s="0" t="n">
        <v>145</v>
      </c>
      <c r="E936" s="0" t="n">
        <v>2</v>
      </c>
      <c r="F936" s="39" t="s">
        <v>685</v>
      </c>
      <c r="G936" s="0" t="n">
        <v>30</v>
      </c>
      <c r="H936" s="0" t="n">
        <v>34</v>
      </c>
      <c r="I936" s="39" t="s">
        <v>109</v>
      </c>
      <c r="J936" s="0" t="n">
        <v>68</v>
      </c>
      <c r="K936" s="0" t="n">
        <v>68</v>
      </c>
      <c r="L936" s="0" t="n">
        <v>77</v>
      </c>
      <c r="M936" s="0" t="n">
        <v>964.62</v>
      </c>
      <c r="N936" s="0" t="n">
        <v>62.07</v>
      </c>
      <c r="O936" s="0" t="n">
        <v>38.84</v>
      </c>
      <c r="P936" s="0" t="n">
        <v>4.88</v>
      </c>
      <c r="Q936" s="0" t="n">
        <v>4.03</v>
      </c>
      <c r="R936" s="0" t="n">
        <v>2912</v>
      </c>
      <c r="S936" s="0" t="n">
        <v>6386</v>
      </c>
      <c r="T936" s="0" t="n">
        <v>35.5</v>
      </c>
      <c r="U936" s="0" t="n">
        <v>1160</v>
      </c>
      <c r="V936" s="0" t="n">
        <v>1</v>
      </c>
      <c r="W936" s="39" t="n">
        <f aca="false">IF(I936="Male",0,1)</f>
        <v>1</v>
      </c>
      <c r="X936" s="39" t="n">
        <f aca="false">IF(OR(I936="DNB",I936="Dry DNB"),1,0)</f>
        <v>0</v>
      </c>
      <c r="Y936" s="39" t="n">
        <f aca="false">MATCH(A936,DATAS,0)</f>
        <v>1</v>
      </c>
      <c r="Z936" s="39" t="n">
        <f aca="false">IF(AND(E936&gt;0,OR(AND(B936&gt;=1,B936&lt;=6),B936=10)),1,0)</f>
        <v>1</v>
      </c>
      <c r="AA936" s="39" t="n">
        <f aca="false">IF(AND(E936&gt;0,B936=10),1,0)</f>
        <v>0</v>
      </c>
      <c r="AB936" s="0" t="str">
        <f aca="false">IF(AND(C935=C936,Y935=Y936-1),Z935,"")</f>
        <v/>
      </c>
      <c r="AC936" s="0" t="str">
        <f aca="false">IF(AND(C935=C936,Y935=Y936-1),AA935,"")</f>
        <v/>
      </c>
      <c r="AD936" s="0" t="str">
        <f aca="false">IF(Y936=1,"",IF(AND(Z936=1,AB936&lt;&gt;1),1,0))</f>
        <v/>
      </c>
      <c r="AE936" s="0" t="str">
        <f aca="false">IF(Y936=1,"",IF(AND(AA936=1,AC936&lt;&gt;1),1,0))</f>
        <v/>
      </c>
      <c r="AF936" s="45" t="str">
        <f aca="false">IF(AND(E936&gt;0,Y936&lt;1,NOT(AND(C937=C936,Y937=Y936+1))),INDEX(DATAS,Y936+1),"")</f>
        <v/>
      </c>
      <c r="AG936" s="45" t="str">
        <f aca="false">IF(AND(AA936=1,Y936&lt;1),IF(AND(C937=C936,Y937=Y936+1),IF(AA937=1,"",INDEX(DATAS,Y936+1)),INDEX(DATAS,Y936+1)),"")</f>
        <v/>
      </c>
    </row>
    <row r="937" customFormat="false" ht="15" hidden="false" customHeight="false" outlineLevel="0" collapsed="false">
      <c r="A937" s="45" t="n">
        <v>46309</v>
      </c>
      <c r="B937" s="0" t="n">
        <v>2</v>
      </c>
      <c r="C937" s="0" t="n">
        <v>4916</v>
      </c>
      <c r="D937" s="0" t="n">
        <v>55</v>
      </c>
      <c r="E937" s="0" t="n">
        <v>2</v>
      </c>
      <c r="F937" s="39" t="s">
        <v>686</v>
      </c>
      <c r="G937" s="0" t="n">
        <v>34.9</v>
      </c>
      <c r="H937" s="0" t="n">
        <v>49</v>
      </c>
      <c r="I937" s="39" t="s">
        <v>118</v>
      </c>
      <c r="J937" s="0" t="n">
        <v>55</v>
      </c>
      <c r="M937" s="0" t="n">
        <v>517.56</v>
      </c>
      <c r="N937" s="0" t="n">
        <v>52.8</v>
      </c>
      <c r="O937" s="0" t="n">
        <v>33.4</v>
      </c>
      <c r="P937" s="0" t="n">
        <v>3.62</v>
      </c>
      <c r="Q937" s="0" t="n">
        <v>3.68</v>
      </c>
      <c r="R937" s="0" t="n">
        <v>4539</v>
      </c>
      <c r="S937" s="0" t="n">
        <v>9124</v>
      </c>
      <c r="U937" s="0" t="n">
        <v>1159</v>
      </c>
      <c r="V937" s="0" t="n">
        <v>0</v>
      </c>
      <c r="W937" s="39" t="n">
        <f aca="false">IF(I937="Male",0,1)</f>
        <v>1</v>
      </c>
      <c r="X937" s="39" t="n">
        <f aca="false">IF(OR(I937="DNB",I937="Dry DNB"),1,0)</f>
        <v>0</v>
      </c>
      <c r="Y937" s="39" t="n">
        <f aca="false">MATCH(A937,DATAS,0)</f>
        <v>1</v>
      </c>
      <c r="Z937" s="39" t="n">
        <f aca="false">IF(AND(E937&gt;0,OR(AND(B937&gt;=1,B937&lt;=6),B937=10)),1,0)</f>
        <v>1</v>
      </c>
      <c r="AA937" s="39" t="n">
        <f aca="false">IF(AND(E937&gt;0,B937=10),1,0)</f>
        <v>0</v>
      </c>
      <c r="AB937" s="0" t="str">
        <f aca="false">IF(AND(C936=C937,Y936=Y937-1),Z936,"")</f>
        <v/>
      </c>
      <c r="AC937" s="0" t="str">
        <f aca="false">IF(AND(C936=C937,Y936=Y937-1),AA936,"")</f>
        <v/>
      </c>
      <c r="AD937" s="0" t="str">
        <f aca="false">IF(Y937=1,"",IF(AND(Z937=1,AB937&lt;&gt;1),1,0))</f>
        <v/>
      </c>
      <c r="AE937" s="0" t="str">
        <f aca="false">IF(Y937=1,"",IF(AND(AA937=1,AC937&lt;&gt;1),1,0))</f>
        <v/>
      </c>
      <c r="AF937" s="45" t="str">
        <f aca="false">IF(AND(E937&gt;0,Y937&lt;1,NOT(AND(C938=C937,Y938=Y937+1))),INDEX(DATAS,Y937+1),"")</f>
        <v/>
      </c>
      <c r="AG937" s="45" t="str">
        <f aca="false">IF(AND(AA937=1,Y937&lt;1),IF(AND(C938=C937,Y938=Y937+1),IF(AA938=1,"",INDEX(DATAS,Y937+1)),INDEX(DATAS,Y937+1)),"")</f>
        <v/>
      </c>
    </row>
    <row r="938" customFormat="false" ht="15" hidden="false" customHeight="false" outlineLevel="0" collapsed="false">
      <c r="A938" s="45" t="n">
        <v>46309</v>
      </c>
      <c r="B938" s="0" t="n">
        <v>5</v>
      </c>
      <c r="C938" s="0" t="n">
        <v>4917</v>
      </c>
      <c r="D938" s="0" t="n">
        <v>98</v>
      </c>
      <c r="E938" s="0" t="n">
        <v>2</v>
      </c>
      <c r="F938" s="39" t="s">
        <v>686</v>
      </c>
      <c r="G938" s="0" t="n">
        <v>67.9</v>
      </c>
      <c r="H938" s="0" t="n">
        <v>63</v>
      </c>
      <c r="I938" s="39" t="s">
        <v>138</v>
      </c>
      <c r="J938" s="0" t="n">
        <v>98</v>
      </c>
      <c r="K938" s="0" t="n">
        <v>77</v>
      </c>
      <c r="M938" s="0" t="n">
        <v>1019.4</v>
      </c>
      <c r="N938" s="0" t="n">
        <v>53.19</v>
      </c>
      <c r="O938" s="0" t="n">
        <v>38.5</v>
      </c>
      <c r="P938" s="0" t="n">
        <v>4.93</v>
      </c>
      <c r="Q938" s="0" t="n">
        <v>2.92</v>
      </c>
      <c r="R938" s="0" t="n">
        <v>6075</v>
      </c>
      <c r="S938" s="0" t="n">
        <v>12213</v>
      </c>
      <c r="T938" s="0" t="n">
        <v>68.8</v>
      </c>
      <c r="U938" s="0" t="n">
        <v>1159</v>
      </c>
      <c r="V938" s="0" t="n">
        <v>1</v>
      </c>
      <c r="W938" s="39" t="n">
        <f aca="false">IF(I938="Male",0,1)</f>
        <v>1</v>
      </c>
      <c r="X938" s="39" t="n">
        <f aca="false">IF(OR(I938="DNB",I938="Dry DNB"),1,0)</f>
        <v>0</v>
      </c>
      <c r="Y938" s="39" t="n">
        <f aca="false">MATCH(A938,DATAS,0)</f>
        <v>1</v>
      </c>
      <c r="Z938" s="39" t="n">
        <f aca="false">IF(AND(E938&gt;0,OR(AND(B938&gt;=1,B938&lt;=6),B938=10)),1,0)</f>
        <v>1</v>
      </c>
      <c r="AA938" s="39" t="n">
        <f aca="false">IF(AND(E938&gt;0,B938=10),1,0)</f>
        <v>0</v>
      </c>
      <c r="AB938" s="0" t="str">
        <f aca="false">IF(AND(C937=C938,Y937=Y938-1),Z937,"")</f>
        <v/>
      </c>
      <c r="AC938" s="0" t="str">
        <f aca="false">IF(AND(C937=C938,Y937=Y938-1),AA937,"")</f>
        <v/>
      </c>
      <c r="AD938" s="0" t="str">
        <f aca="false">IF(Y938=1,"",IF(AND(Z938=1,AB938&lt;&gt;1),1,0))</f>
        <v/>
      </c>
      <c r="AE938" s="0" t="str">
        <f aca="false">IF(Y938=1,"",IF(AND(AA938=1,AC938&lt;&gt;1),1,0))</f>
        <v/>
      </c>
      <c r="AF938" s="45" t="str">
        <f aca="false">IF(AND(E938&gt;0,Y938&lt;1,NOT(AND(C939=C938,Y939=Y938+1))),INDEX(DATAS,Y938+1),"")</f>
        <v/>
      </c>
      <c r="AG938" s="45" t="str">
        <f aca="false">IF(AND(AA938=1,Y938&lt;1),IF(AND(C939=C938,Y939=Y938+1),IF(AA939=1,"",INDEX(DATAS,Y938+1)),INDEX(DATAS,Y938+1)),"")</f>
        <v/>
      </c>
    </row>
    <row r="939" customFormat="false" ht="15" hidden="false" customHeight="false" outlineLevel="0" collapsed="false">
      <c r="A939" s="45" t="n">
        <v>46309</v>
      </c>
      <c r="B939" s="0" t="n">
        <v>5</v>
      </c>
      <c r="C939" s="0" t="n">
        <v>4918</v>
      </c>
      <c r="D939" s="0" t="n">
        <v>147</v>
      </c>
      <c r="E939" s="0" t="n">
        <v>2</v>
      </c>
      <c r="F939" s="39" t="s">
        <v>686</v>
      </c>
      <c r="G939" s="0" t="n">
        <v>21.1</v>
      </c>
      <c r="H939" s="0" t="n">
        <v>21</v>
      </c>
      <c r="I939" s="39" t="s">
        <v>109</v>
      </c>
      <c r="J939" s="0" t="n">
        <v>70</v>
      </c>
      <c r="K939" s="0" t="n">
        <v>70</v>
      </c>
      <c r="L939" s="0" t="n">
        <v>77</v>
      </c>
      <c r="M939" s="0" t="n">
        <v>648.74</v>
      </c>
      <c r="N939" s="0" t="n">
        <v>75.28</v>
      </c>
      <c r="O939" s="0" t="n">
        <v>39.19</v>
      </c>
      <c r="P939" s="0" t="n">
        <v>5.31</v>
      </c>
      <c r="Q939" s="0" t="n">
        <v>4.19</v>
      </c>
      <c r="R939" s="0" t="n">
        <v>2912</v>
      </c>
      <c r="S939" s="0" t="n">
        <v>5845</v>
      </c>
      <c r="T939" s="0" t="n">
        <v>33.35</v>
      </c>
      <c r="U939" s="0" t="n">
        <v>1159</v>
      </c>
      <c r="V939" s="0" t="n">
        <v>1</v>
      </c>
      <c r="W939" s="39" t="n">
        <f aca="false">IF(I939="Male",0,1)</f>
        <v>1</v>
      </c>
      <c r="X939" s="39" t="n">
        <f aca="false">IF(OR(I939="DNB",I939="Dry DNB"),1,0)</f>
        <v>0</v>
      </c>
      <c r="Y939" s="39" t="n">
        <f aca="false">MATCH(A939,DATAS,0)</f>
        <v>1</v>
      </c>
      <c r="Z939" s="39" t="n">
        <f aca="false">IF(AND(E939&gt;0,OR(AND(B939&gt;=1,B939&lt;=6),B939=10)),1,0)</f>
        <v>1</v>
      </c>
      <c r="AA939" s="39" t="n">
        <f aca="false">IF(AND(E939&gt;0,B939=10),1,0)</f>
        <v>0</v>
      </c>
      <c r="AB939" s="0" t="str">
        <f aca="false">IF(AND(C938=C939,Y938=Y939-1),Z938,"")</f>
        <v/>
      </c>
      <c r="AC939" s="0" t="str">
        <f aca="false">IF(AND(C938=C939,Y938=Y939-1),AA938,"")</f>
        <v/>
      </c>
      <c r="AD939" s="0" t="str">
        <f aca="false">IF(Y939=1,"",IF(AND(Z939=1,AB939&lt;&gt;1),1,0))</f>
        <v/>
      </c>
      <c r="AE939" s="0" t="str">
        <f aca="false">IF(Y939=1,"",IF(AND(AA939=1,AC939&lt;&gt;1),1,0))</f>
        <v/>
      </c>
      <c r="AF939" s="45" t="str">
        <f aca="false">IF(AND(E939&gt;0,Y939&lt;1,NOT(AND(C940=C939,Y940=Y939+1))),INDEX(DATAS,Y939+1),"")</f>
        <v/>
      </c>
      <c r="AG939" s="45" t="str">
        <f aca="false">IF(AND(AA939=1,Y939&lt;1),IF(AND(C940=C939,Y940=Y939+1),IF(AA940=1,"",INDEX(DATAS,Y939+1)),INDEX(DATAS,Y939+1)),"")</f>
        <v/>
      </c>
    </row>
    <row r="940" customFormat="false" ht="15" hidden="false" customHeight="false" outlineLevel="0" collapsed="false">
      <c r="A940" s="45" t="n">
        <v>46309</v>
      </c>
      <c r="B940" s="0" t="n">
        <v>5</v>
      </c>
      <c r="C940" s="0" t="n">
        <v>4919</v>
      </c>
      <c r="D940" s="0" t="n">
        <v>179</v>
      </c>
      <c r="E940" s="0" t="n">
        <v>2</v>
      </c>
      <c r="F940" s="39" t="s">
        <v>686</v>
      </c>
      <c r="G940" s="0" t="n">
        <v>41</v>
      </c>
      <c r="H940" s="0" t="n">
        <v>39</v>
      </c>
      <c r="I940" s="39" t="s">
        <v>146</v>
      </c>
      <c r="J940" s="0" t="n">
        <v>179</v>
      </c>
      <c r="K940" s="0" t="n">
        <v>83</v>
      </c>
      <c r="M940" s="0" t="n">
        <v>-85.71</v>
      </c>
      <c r="N940" s="0" t="n">
        <v>58.77</v>
      </c>
      <c r="O940" s="0" t="n">
        <v>22.34</v>
      </c>
      <c r="P940" s="0" t="n">
        <v>4.91</v>
      </c>
      <c r="Q940" s="0" t="n">
        <v>3.81</v>
      </c>
      <c r="R940" s="0" t="n">
        <v>4356</v>
      </c>
      <c r="S940" s="0" t="n">
        <v>8623</v>
      </c>
      <c r="T940" s="0" t="n">
        <v>51.25</v>
      </c>
      <c r="U940" s="0" t="n">
        <v>1159</v>
      </c>
      <c r="V940" s="0" t="n">
        <v>4</v>
      </c>
      <c r="W940" s="39" t="n">
        <f aca="false">IF(I940="Male",0,1)</f>
        <v>1</v>
      </c>
      <c r="X940" s="39" t="n">
        <f aca="false">IF(OR(I940="DNB",I940="Dry DNB"),1,0)</f>
        <v>0</v>
      </c>
      <c r="Y940" s="39" t="n">
        <f aca="false">MATCH(A940,DATAS,0)</f>
        <v>1</v>
      </c>
      <c r="Z940" s="39" t="n">
        <f aca="false">IF(AND(E940&gt;0,OR(AND(B940&gt;=1,B940&lt;=6),B940=10)),1,0)</f>
        <v>1</v>
      </c>
      <c r="AA940" s="39" t="n">
        <f aca="false">IF(AND(E940&gt;0,B940=10),1,0)</f>
        <v>0</v>
      </c>
      <c r="AB940" s="0" t="str">
        <f aca="false">IF(AND(C939=C940,Y939=Y940-1),Z939,"")</f>
        <v/>
      </c>
      <c r="AC940" s="0" t="str">
        <f aca="false">IF(AND(C939=C940,Y939=Y940-1),AA939,"")</f>
        <v/>
      </c>
      <c r="AD940" s="0" t="str">
        <f aca="false">IF(Y940=1,"",IF(AND(Z940=1,AB940&lt;&gt;1),1,0))</f>
        <v/>
      </c>
      <c r="AE940" s="0" t="str">
        <f aca="false">IF(Y940=1,"",IF(AND(AA940=1,AC940&lt;&gt;1),1,0))</f>
        <v/>
      </c>
      <c r="AF940" s="45" t="str">
        <f aca="false">IF(AND(E940&gt;0,Y940&lt;1,NOT(AND(C941=C940,Y941=Y940+1))),INDEX(DATAS,Y940+1),"")</f>
        <v/>
      </c>
      <c r="AG940" s="45" t="str">
        <f aca="false">IF(AND(AA940=1,Y940&lt;1),IF(AND(C941=C940,Y941=Y940+1),IF(AA941=1,"",INDEX(DATAS,Y940+1)),INDEX(DATAS,Y940+1)),"")</f>
        <v/>
      </c>
    </row>
    <row r="941" customFormat="false" ht="15" hidden="false" customHeight="false" outlineLevel="0" collapsed="false">
      <c r="A941" s="45" t="n">
        <v>46309</v>
      </c>
      <c r="B941" s="0" t="n">
        <v>3</v>
      </c>
      <c r="C941" s="0" t="n">
        <v>4920</v>
      </c>
      <c r="D941" s="0" t="n">
        <v>5</v>
      </c>
      <c r="E941" s="0" t="n">
        <v>2</v>
      </c>
      <c r="F941" s="39" t="s">
        <v>687</v>
      </c>
      <c r="G941" s="0" t="n">
        <v>41.5</v>
      </c>
      <c r="H941" s="0" t="n">
        <v>31</v>
      </c>
      <c r="I941" s="39" t="s">
        <v>118</v>
      </c>
      <c r="J941" s="0" t="n">
        <v>5</v>
      </c>
      <c r="M941" s="0" t="n">
        <v>1006.91</v>
      </c>
      <c r="N941" s="0" t="n">
        <v>48.48</v>
      </c>
      <c r="O941" s="0" t="n">
        <v>37.09</v>
      </c>
      <c r="R941" s="0" t="n">
        <v>2640</v>
      </c>
      <c r="S941" s="0" t="n">
        <v>5307</v>
      </c>
      <c r="U941" s="0" t="n">
        <v>1158</v>
      </c>
      <c r="V941" s="0" t="n">
        <v>0</v>
      </c>
      <c r="W941" s="39" t="n">
        <f aca="false">IF(I941="Male",0,1)</f>
        <v>1</v>
      </c>
      <c r="X941" s="39" t="n">
        <f aca="false">IF(OR(I941="DNB",I941="Dry DNB"),1,0)</f>
        <v>0</v>
      </c>
      <c r="Y941" s="39" t="n">
        <f aca="false">MATCH(A941,DATAS,0)</f>
        <v>1</v>
      </c>
      <c r="Z941" s="39" t="n">
        <f aca="false">IF(AND(E941&gt;0,OR(AND(B941&gt;=1,B941&lt;=6),B941=10)),1,0)</f>
        <v>1</v>
      </c>
      <c r="AA941" s="39" t="n">
        <f aca="false">IF(AND(E941&gt;0,B941=10),1,0)</f>
        <v>0</v>
      </c>
      <c r="AB941" s="0" t="str">
        <f aca="false">IF(AND(C940=C941,Y940=Y941-1),Z940,"")</f>
        <v/>
      </c>
      <c r="AC941" s="0" t="str">
        <f aca="false">IF(AND(C940=C941,Y940=Y941-1),AA940,"")</f>
        <v/>
      </c>
      <c r="AD941" s="0" t="str">
        <f aca="false">IF(Y941=1,"",IF(AND(Z941=1,AB941&lt;&gt;1),1,0))</f>
        <v/>
      </c>
      <c r="AE941" s="0" t="str">
        <f aca="false">IF(Y941=1,"",IF(AND(AA941=1,AC941&lt;&gt;1),1,0))</f>
        <v/>
      </c>
      <c r="AF941" s="45" t="str">
        <f aca="false">IF(AND(E941&gt;0,Y941&lt;1,NOT(AND(C942=C941,Y942=Y941+1))),INDEX(DATAS,Y941+1),"")</f>
        <v/>
      </c>
      <c r="AG941" s="45" t="str">
        <f aca="false">IF(AND(AA941=1,Y941&lt;1),IF(AND(C942=C941,Y942=Y941+1),IF(AA942=1,"",INDEX(DATAS,Y941+1)),INDEX(DATAS,Y941+1)),"")</f>
        <v/>
      </c>
    </row>
    <row r="942" customFormat="false" ht="15" hidden="false" customHeight="false" outlineLevel="0" collapsed="false">
      <c r="A942" s="45" t="n">
        <v>46309</v>
      </c>
      <c r="B942" s="0" t="n">
        <v>5</v>
      </c>
      <c r="C942" s="0" t="n">
        <v>4921</v>
      </c>
      <c r="D942" s="0" t="n">
        <v>178</v>
      </c>
      <c r="E942" s="0" t="n">
        <v>2</v>
      </c>
      <c r="F942" s="39" t="s">
        <v>687</v>
      </c>
      <c r="G942" s="0" t="n">
        <v>41.3</v>
      </c>
      <c r="H942" s="0" t="n">
        <v>38</v>
      </c>
      <c r="I942" s="39" t="s">
        <v>109</v>
      </c>
      <c r="J942" s="0" t="n">
        <v>101</v>
      </c>
      <c r="K942" s="0" t="n">
        <v>66</v>
      </c>
      <c r="L942" s="0" t="n">
        <v>77</v>
      </c>
      <c r="M942" s="0" t="n">
        <v>1504.7</v>
      </c>
      <c r="N942" s="0" t="n">
        <v>62.83</v>
      </c>
      <c r="O942" s="0" t="n">
        <v>58.02</v>
      </c>
      <c r="P942" s="0" t="n">
        <v>4.33</v>
      </c>
      <c r="Q942" s="0" t="n">
        <v>3.73</v>
      </c>
      <c r="R942" s="0" t="n">
        <v>5007</v>
      </c>
      <c r="S942" s="0" t="n">
        <v>8788</v>
      </c>
      <c r="T942" s="0" t="n">
        <v>57.75</v>
      </c>
      <c r="U942" s="0" t="n">
        <v>1158</v>
      </c>
      <c r="V942" s="0" t="n">
        <v>2</v>
      </c>
      <c r="W942" s="39" t="n">
        <f aca="false">IF(I942="Male",0,1)</f>
        <v>1</v>
      </c>
      <c r="X942" s="39" t="n">
        <f aca="false">IF(OR(I942="DNB",I942="Dry DNB"),1,0)</f>
        <v>0</v>
      </c>
      <c r="Y942" s="39" t="n">
        <f aca="false">MATCH(A942,DATAS,0)</f>
        <v>1</v>
      </c>
      <c r="Z942" s="39" t="n">
        <f aca="false">IF(AND(E942&gt;0,OR(AND(B942&gt;=1,B942&lt;=6),B942=10)),1,0)</f>
        <v>1</v>
      </c>
      <c r="AA942" s="39" t="n">
        <f aca="false">IF(AND(E942&gt;0,B942=10),1,0)</f>
        <v>0</v>
      </c>
      <c r="AB942" s="0" t="str">
        <f aca="false">IF(AND(C941=C942,Y941=Y942-1),Z941,"")</f>
        <v/>
      </c>
      <c r="AC942" s="0" t="str">
        <f aca="false">IF(AND(C941=C942,Y941=Y942-1),AA941,"")</f>
        <v/>
      </c>
      <c r="AD942" s="0" t="str">
        <f aca="false">IF(Y942=1,"",IF(AND(Z942=1,AB942&lt;&gt;1),1,0))</f>
        <v/>
      </c>
      <c r="AE942" s="0" t="str">
        <f aca="false">IF(Y942=1,"",IF(AND(AA942=1,AC942&lt;&gt;1),1,0))</f>
        <v/>
      </c>
      <c r="AF942" s="45" t="str">
        <f aca="false">IF(AND(E942&gt;0,Y942&lt;1,NOT(AND(C943=C942,Y943=Y942+1))),INDEX(DATAS,Y942+1),"")</f>
        <v/>
      </c>
      <c r="AG942" s="45" t="str">
        <f aca="false">IF(AND(AA942=1,Y942&lt;1),IF(AND(C943=C942,Y943=Y942+1),IF(AA943=1,"",INDEX(DATAS,Y942+1)),INDEX(DATAS,Y942+1)),"")</f>
        <v/>
      </c>
    </row>
    <row r="943" customFormat="false" ht="15" hidden="false" customHeight="false" outlineLevel="0" collapsed="false">
      <c r="A943" s="45" t="n">
        <v>46309</v>
      </c>
      <c r="B943" s="0" t="n">
        <v>5</v>
      </c>
      <c r="C943" s="0" t="n">
        <v>4922</v>
      </c>
      <c r="D943" s="0" t="n">
        <v>97</v>
      </c>
      <c r="E943" s="0" t="n">
        <v>2</v>
      </c>
      <c r="F943" s="39" t="s">
        <v>687</v>
      </c>
      <c r="G943" s="0" t="n">
        <v>44.1</v>
      </c>
      <c r="H943" s="0" t="n">
        <v>45</v>
      </c>
      <c r="I943" s="39" t="s">
        <v>146</v>
      </c>
      <c r="J943" s="0" t="n">
        <v>97</v>
      </c>
      <c r="K943" s="0" t="n">
        <v>62</v>
      </c>
      <c r="M943" s="0" t="n">
        <v>-79.11</v>
      </c>
      <c r="N943" s="0" t="n">
        <v>36.12</v>
      </c>
      <c r="O943" s="0" t="n">
        <v>17.64</v>
      </c>
      <c r="P943" s="0" t="n">
        <v>3.75</v>
      </c>
      <c r="Q943" s="0" t="n">
        <v>3.82</v>
      </c>
      <c r="R943" s="0" t="n">
        <v>3794</v>
      </c>
      <c r="S943" s="0" t="n">
        <v>7627</v>
      </c>
      <c r="T943" s="0" t="n">
        <v>41.15</v>
      </c>
      <c r="U943" s="0" t="n">
        <v>1158</v>
      </c>
      <c r="V943" s="0" t="n">
        <v>1</v>
      </c>
      <c r="W943" s="39" t="n">
        <f aca="false">IF(I943="Male",0,1)</f>
        <v>1</v>
      </c>
      <c r="X943" s="39" t="n">
        <f aca="false">IF(OR(I943="DNB",I943="Dry DNB"),1,0)</f>
        <v>0</v>
      </c>
      <c r="Y943" s="39" t="n">
        <f aca="false">MATCH(A943,DATAS,0)</f>
        <v>1</v>
      </c>
      <c r="Z943" s="39" t="n">
        <f aca="false">IF(AND(E943&gt;0,OR(AND(B943&gt;=1,B943&lt;=6),B943=10)),1,0)</f>
        <v>1</v>
      </c>
      <c r="AA943" s="39" t="n">
        <f aca="false">IF(AND(E943&gt;0,B943=10),1,0)</f>
        <v>0</v>
      </c>
      <c r="AB943" s="0" t="str">
        <f aca="false">IF(AND(C942=C943,Y942=Y943-1),Z942,"")</f>
        <v/>
      </c>
      <c r="AC943" s="0" t="str">
        <f aca="false">IF(AND(C942=C943,Y942=Y943-1),AA942,"")</f>
        <v/>
      </c>
      <c r="AD943" s="0" t="str">
        <f aca="false">IF(Y943=1,"",IF(AND(Z943=1,AB943&lt;&gt;1),1,0))</f>
        <v/>
      </c>
      <c r="AE943" s="0" t="str">
        <f aca="false">IF(Y943=1,"",IF(AND(AA943=1,AC943&lt;&gt;1),1,0))</f>
        <v/>
      </c>
      <c r="AF943" s="45" t="str">
        <f aca="false">IF(AND(E943&gt;0,Y943&lt;1,NOT(AND(C944=C943,Y944=Y943+1))),INDEX(DATAS,Y943+1),"")</f>
        <v/>
      </c>
      <c r="AG943" s="45" t="str">
        <f aca="false">IF(AND(AA943=1,Y943&lt;1),IF(AND(C944=C943,Y944=Y943+1),IF(AA944=1,"",INDEX(DATAS,Y943+1)),INDEX(DATAS,Y943+1)),"")</f>
        <v/>
      </c>
    </row>
    <row r="944" customFormat="false" ht="15" hidden="false" customHeight="false" outlineLevel="0" collapsed="false">
      <c r="A944" s="45" t="n">
        <v>46309</v>
      </c>
      <c r="B944" s="0" t="n">
        <v>2</v>
      </c>
      <c r="C944" s="0" t="n">
        <v>4923</v>
      </c>
      <c r="D944" s="0" t="n">
        <v>41</v>
      </c>
      <c r="E944" s="0" t="n">
        <v>2</v>
      </c>
      <c r="F944" s="39" t="s">
        <v>687</v>
      </c>
      <c r="G944" s="0" t="n">
        <v>59.5</v>
      </c>
      <c r="H944" s="0" t="n">
        <v>59</v>
      </c>
      <c r="I944" s="39" t="s">
        <v>118</v>
      </c>
      <c r="J944" s="0" t="n">
        <v>41</v>
      </c>
      <c r="M944" s="0" t="n">
        <v>700.32</v>
      </c>
      <c r="N944" s="0" t="n">
        <v>30.44</v>
      </c>
      <c r="O944" s="0" t="n">
        <v>27.73</v>
      </c>
      <c r="P944" s="0" t="n">
        <v>3.67</v>
      </c>
      <c r="Q944" s="0" t="n">
        <v>3.52</v>
      </c>
      <c r="R944" s="0" t="n">
        <v>5108</v>
      </c>
      <c r="S944" s="0" t="n">
        <v>10269</v>
      </c>
      <c r="U944" s="0" t="n">
        <v>1158</v>
      </c>
      <c r="V944" s="0" t="n">
        <v>0</v>
      </c>
      <c r="W944" s="39" t="n">
        <f aca="false">IF(I944="Male",0,1)</f>
        <v>1</v>
      </c>
      <c r="X944" s="39" t="n">
        <f aca="false">IF(OR(I944="DNB",I944="Dry DNB"),1,0)</f>
        <v>0</v>
      </c>
      <c r="Y944" s="39" t="n">
        <f aca="false">MATCH(A944,DATAS,0)</f>
        <v>1</v>
      </c>
      <c r="Z944" s="39" t="n">
        <f aca="false">IF(AND(E944&gt;0,OR(AND(B944&gt;=1,B944&lt;=6),B944=10)),1,0)</f>
        <v>1</v>
      </c>
      <c r="AA944" s="39" t="n">
        <f aca="false">IF(AND(E944&gt;0,B944=10),1,0)</f>
        <v>0</v>
      </c>
      <c r="AB944" s="0" t="str">
        <f aca="false">IF(AND(C943=C944,Y943=Y944-1),Z943,"")</f>
        <v/>
      </c>
      <c r="AC944" s="0" t="str">
        <f aca="false">IF(AND(C943=C944,Y943=Y944-1),AA943,"")</f>
        <v/>
      </c>
      <c r="AD944" s="0" t="str">
        <f aca="false">IF(Y944=1,"",IF(AND(Z944=1,AB944&lt;&gt;1),1,0))</f>
        <v/>
      </c>
      <c r="AE944" s="0" t="str">
        <f aca="false">IF(Y944=1,"",IF(AND(AA944=1,AC944&lt;&gt;1),1,0))</f>
        <v/>
      </c>
      <c r="AF944" s="45" t="str">
        <f aca="false">IF(AND(E944&gt;0,Y944&lt;1,NOT(AND(C945=C944,Y945=Y944+1))),INDEX(DATAS,Y944+1),"")</f>
        <v/>
      </c>
      <c r="AG944" s="45" t="str">
        <f aca="false">IF(AND(AA944=1,Y944&lt;1),IF(AND(C945=C944,Y945=Y944+1),IF(AA945=1,"",INDEX(DATAS,Y944+1)),INDEX(DATAS,Y944+1)),"")</f>
        <v/>
      </c>
    </row>
    <row r="945" customFormat="false" ht="15" hidden="false" customHeight="false" outlineLevel="0" collapsed="false">
      <c r="A945" s="45" t="n">
        <v>46309</v>
      </c>
      <c r="B945" s="0" t="n">
        <v>5</v>
      </c>
      <c r="C945" s="0" t="n">
        <v>4924</v>
      </c>
      <c r="D945" s="0" t="n">
        <v>120</v>
      </c>
      <c r="E945" s="0" t="n">
        <v>2</v>
      </c>
      <c r="F945" s="39" t="s">
        <v>688</v>
      </c>
      <c r="G945" s="0" t="n">
        <v>51.1</v>
      </c>
      <c r="H945" s="0" t="n">
        <v>48</v>
      </c>
      <c r="I945" s="39" t="s">
        <v>138</v>
      </c>
      <c r="J945" s="0" t="n">
        <v>120</v>
      </c>
      <c r="K945" s="0" t="n">
        <v>64</v>
      </c>
      <c r="M945" s="0" t="n">
        <v>782.82</v>
      </c>
      <c r="N945" s="0" t="n">
        <v>52.92</v>
      </c>
      <c r="O945" s="0" t="n">
        <v>25.7</v>
      </c>
      <c r="P945" s="0" t="n">
        <v>3.84</v>
      </c>
      <c r="Q945" s="0" t="n">
        <v>3.38</v>
      </c>
      <c r="R945" s="0" t="n">
        <v>5155</v>
      </c>
      <c r="S945" s="0" t="n">
        <v>10362</v>
      </c>
      <c r="T945" s="0" t="n">
        <v>56.2</v>
      </c>
      <c r="U945" s="0" t="n">
        <v>1157</v>
      </c>
      <c r="V945" s="0" t="n">
        <v>2</v>
      </c>
      <c r="W945" s="39" t="n">
        <f aca="false">IF(I945="Male",0,1)</f>
        <v>1</v>
      </c>
      <c r="X945" s="39" t="n">
        <f aca="false">IF(OR(I945="DNB",I945="Dry DNB"),1,0)</f>
        <v>0</v>
      </c>
      <c r="Y945" s="39" t="n">
        <f aca="false">MATCH(A945,DATAS,0)</f>
        <v>1</v>
      </c>
      <c r="Z945" s="39" t="n">
        <f aca="false">IF(AND(E945&gt;0,OR(AND(B945&gt;=1,B945&lt;=6),B945=10)),1,0)</f>
        <v>1</v>
      </c>
      <c r="AA945" s="39" t="n">
        <f aca="false">IF(AND(E945&gt;0,B945=10),1,0)</f>
        <v>0</v>
      </c>
      <c r="AB945" s="0" t="str">
        <f aca="false">IF(AND(C944=C945,Y944=Y945-1),Z944,"")</f>
        <v/>
      </c>
      <c r="AC945" s="0" t="str">
        <f aca="false">IF(AND(C944=C945,Y944=Y945-1),AA944,"")</f>
        <v/>
      </c>
      <c r="AD945" s="0" t="str">
        <f aca="false">IF(Y945=1,"",IF(AND(Z945=1,AB945&lt;&gt;1),1,0))</f>
        <v/>
      </c>
      <c r="AE945" s="0" t="str">
        <f aca="false">IF(Y945=1,"",IF(AND(AA945=1,AC945&lt;&gt;1),1,0))</f>
        <v/>
      </c>
      <c r="AF945" s="45" t="str">
        <f aca="false">IF(AND(E945&gt;0,Y945&lt;1,NOT(AND(C946=C945,Y946=Y945+1))),INDEX(DATAS,Y945+1),"")</f>
        <v/>
      </c>
      <c r="AG945" s="45" t="str">
        <f aca="false">IF(AND(AA945=1,Y945&lt;1),IF(AND(C946=C945,Y946=Y945+1),IF(AA946=1,"",INDEX(DATAS,Y945+1)),INDEX(DATAS,Y945+1)),"")</f>
        <v/>
      </c>
    </row>
    <row r="946" customFormat="false" ht="15" hidden="false" customHeight="false" outlineLevel="0" collapsed="false">
      <c r="A946" s="45" t="n">
        <v>46309</v>
      </c>
      <c r="B946" s="0" t="n">
        <v>5</v>
      </c>
      <c r="C946" s="0" t="n">
        <v>4925</v>
      </c>
      <c r="D946" s="0" t="n">
        <v>187</v>
      </c>
      <c r="E946" s="0" t="n">
        <v>2</v>
      </c>
      <c r="F946" s="39" t="s">
        <v>688</v>
      </c>
      <c r="G946" s="0" t="n">
        <v>40.6</v>
      </c>
      <c r="H946" s="0" t="n">
        <v>41</v>
      </c>
      <c r="I946" s="39" t="s">
        <v>109</v>
      </c>
      <c r="J946" s="0" t="n">
        <v>76</v>
      </c>
      <c r="K946" s="0" t="n">
        <v>83</v>
      </c>
      <c r="L946" s="0" t="n">
        <v>111</v>
      </c>
      <c r="M946" s="0" t="n">
        <v>502.07</v>
      </c>
      <c r="N946" s="0" t="n">
        <v>46.16</v>
      </c>
      <c r="O946" s="0" t="n">
        <v>20.17</v>
      </c>
      <c r="P946" s="0" t="n">
        <v>5.45</v>
      </c>
      <c r="Q946" s="0" t="n">
        <v>3.44</v>
      </c>
      <c r="R946" s="0" t="n">
        <v>3367</v>
      </c>
      <c r="S946" s="0" t="n">
        <v>7431</v>
      </c>
      <c r="T946" s="0" t="n">
        <v>36.7</v>
      </c>
      <c r="U946" s="0" t="n">
        <v>1157</v>
      </c>
      <c r="V946" s="0" t="n">
        <v>1</v>
      </c>
      <c r="W946" s="39" t="n">
        <f aca="false">IF(I946="Male",0,1)</f>
        <v>1</v>
      </c>
      <c r="X946" s="39" t="n">
        <f aca="false">IF(OR(I946="DNB",I946="Dry DNB"),1,0)</f>
        <v>0</v>
      </c>
      <c r="Y946" s="39" t="n">
        <f aca="false">MATCH(A946,DATAS,0)</f>
        <v>1</v>
      </c>
      <c r="Z946" s="39" t="n">
        <f aca="false">IF(AND(E946&gt;0,OR(AND(B946&gt;=1,B946&lt;=6),B946=10)),1,0)</f>
        <v>1</v>
      </c>
      <c r="AA946" s="39" t="n">
        <f aca="false">IF(AND(E946&gt;0,B946=10),1,0)</f>
        <v>0</v>
      </c>
      <c r="AB946" s="0" t="str">
        <f aca="false">IF(AND(C945=C946,Y945=Y946-1),Z945,"")</f>
        <v/>
      </c>
      <c r="AC946" s="0" t="str">
        <f aca="false">IF(AND(C945=C946,Y945=Y946-1),AA945,"")</f>
        <v/>
      </c>
      <c r="AD946" s="0" t="str">
        <f aca="false">IF(Y946=1,"",IF(AND(Z946=1,AB946&lt;&gt;1),1,0))</f>
        <v/>
      </c>
      <c r="AE946" s="0" t="str">
        <f aca="false">IF(Y946=1,"",IF(AND(AA946=1,AC946&lt;&gt;1),1,0))</f>
        <v/>
      </c>
      <c r="AF946" s="45" t="str">
        <f aca="false">IF(AND(E946&gt;0,Y946&lt;1,NOT(AND(C947=C946,Y947=Y946+1))),INDEX(DATAS,Y946+1),"")</f>
        <v/>
      </c>
      <c r="AG946" s="45" t="str">
        <f aca="false">IF(AND(AA946=1,Y946&lt;1),IF(AND(C947=C946,Y947=Y946+1),IF(AA947=1,"",INDEX(DATAS,Y946+1)),INDEX(DATAS,Y946+1)),"")</f>
        <v/>
      </c>
    </row>
    <row r="947" customFormat="false" ht="15" hidden="false" customHeight="false" outlineLevel="0" collapsed="false">
      <c r="A947" s="45" t="n">
        <v>46309</v>
      </c>
      <c r="B947" s="0" t="n">
        <v>6</v>
      </c>
      <c r="C947" s="0" t="n">
        <v>4927</v>
      </c>
      <c r="D947" s="0" t="n">
        <v>23</v>
      </c>
      <c r="E947" s="0" t="n">
        <v>2</v>
      </c>
      <c r="F947" s="39" t="s">
        <v>689</v>
      </c>
      <c r="H947" s="0" t="n">
        <v>17</v>
      </c>
      <c r="I947" s="39" t="s">
        <v>118</v>
      </c>
      <c r="J947" s="0" t="n">
        <v>23</v>
      </c>
      <c r="M947" s="0" t="n">
        <v>744.94</v>
      </c>
      <c r="N947" s="0" t="n">
        <v>38.94</v>
      </c>
      <c r="O947" s="0" t="n">
        <v>37.72</v>
      </c>
      <c r="R947" s="0" t="n">
        <v>3824</v>
      </c>
      <c r="S947" s="0" t="n">
        <v>7687</v>
      </c>
      <c r="U947" s="0" t="n">
        <v>1156</v>
      </c>
      <c r="V947" s="0" t="n">
        <v>0</v>
      </c>
      <c r="W947" s="39" t="n">
        <f aca="false">IF(I947="Male",0,1)</f>
        <v>1</v>
      </c>
      <c r="X947" s="39" t="n">
        <f aca="false">IF(OR(I947="DNB",I947="Dry DNB"),1,0)</f>
        <v>0</v>
      </c>
      <c r="Y947" s="39" t="n">
        <f aca="false">MATCH(A947,DATAS,0)</f>
        <v>1</v>
      </c>
      <c r="Z947" s="39" t="n">
        <f aca="false">IF(AND(E947&gt;0,OR(AND(B947&gt;=1,B947&lt;=6),B947=10)),1,0)</f>
        <v>1</v>
      </c>
      <c r="AA947" s="39" t="n">
        <f aca="false">IF(AND(E947&gt;0,B947=10),1,0)</f>
        <v>0</v>
      </c>
      <c r="AB947" s="0" t="str">
        <f aca="false">IF(AND(C946=C947,Y946=Y947-1),Z946,"")</f>
        <v/>
      </c>
      <c r="AC947" s="0" t="str">
        <f aca="false">IF(AND(C946=C947,Y946=Y947-1),AA946,"")</f>
        <v/>
      </c>
      <c r="AD947" s="0" t="str">
        <f aca="false">IF(Y947=1,"",IF(AND(Z947=1,AB947&lt;&gt;1),1,0))</f>
        <v/>
      </c>
      <c r="AE947" s="0" t="str">
        <f aca="false">IF(Y947=1,"",IF(AND(AA947=1,AC947&lt;&gt;1),1,0))</f>
        <v/>
      </c>
      <c r="AF947" s="45" t="str">
        <f aca="false">IF(AND(E947&gt;0,Y947&lt;1,NOT(AND(C948=C947,Y948=Y947+1))),INDEX(DATAS,Y947+1),"")</f>
        <v/>
      </c>
      <c r="AG947" s="45" t="str">
        <f aca="false">IF(AND(AA947=1,Y947&lt;1),IF(AND(C948=C947,Y948=Y947+1),IF(AA948=1,"",INDEX(DATAS,Y947+1)),INDEX(DATAS,Y947+1)),"")</f>
        <v/>
      </c>
    </row>
    <row r="948" customFormat="false" ht="15" hidden="false" customHeight="false" outlineLevel="0" collapsed="false">
      <c r="A948" s="45" t="n">
        <v>46309</v>
      </c>
      <c r="B948" s="0" t="n">
        <v>2</v>
      </c>
      <c r="C948" s="0" t="n">
        <v>4928</v>
      </c>
      <c r="D948" s="0" t="n">
        <v>143</v>
      </c>
      <c r="E948" s="0" t="n">
        <v>2</v>
      </c>
      <c r="F948" s="39" t="s">
        <v>690</v>
      </c>
      <c r="G948" s="0" t="n">
        <v>59.7</v>
      </c>
      <c r="H948" s="0" t="n">
        <v>55</v>
      </c>
      <c r="I948" s="39" t="s">
        <v>138</v>
      </c>
      <c r="J948" s="0" t="n">
        <v>143</v>
      </c>
      <c r="K948" s="0" t="n">
        <v>66</v>
      </c>
      <c r="M948" s="0" t="n">
        <v>253.79</v>
      </c>
      <c r="N948" s="0" t="n">
        <v>83.52</v>
      </c>
      <c r="O948" s="0" t="n">
        <v>29.13</v>
      </c>
      <c r="P948" s="0" t="n">
        <v>3.64</v>
      </c>
      <c r="Q948" s="0" t="n">
        <v>3.25</v>
      </c>
      <c r="R948" s="0" t="n">
        <v>4982</v>
      </c>
      <c r="S948" s="0" t="n">
        <v>10316</v>
      </c>
      <c r="T948" s="0" t="n">
        <v>52.1</v>
      </c>
      <c r="U948" s="0" t="n">
        <v>1155</v>
      </c>
      <c r="V948" s="0" t="n">
        <v>2</v>
      </c>
      <c r="W948" s="39" t="n">
        <f aca="false">IF(I948="Male",0,1)</f>
        <v>1</v>
      </c>
      <c r="X948" s="39" t="n">
        <f aca="false">IF(OR(I948="DNB",I948="Dry DNB"),1,0)</f>
        <v>0</v>
      </c>
      <c r="Y948" s="39" t="n">
        <f aca="false">MATCH(A948,DATAS,0)</f>
        <v>1</v>
      </c>
      <c r="Z948" s="39" t="n">
        <f aca="false">IF(AND(E948&gt;0,OR(AND(B948&gt;=1,B948&lt;=6),B948=10)),1,0)</f>
        <v>1</v>
      </c>
      <c r="AA948" s="39" t="n">
        <f aca="false">IF(AND(E948&gt;0,B948=10),1,0)</f>
        <v>0</v>
      </c>
      <c r="AB948" s="0" t="str">
        <f aca="false">IF(AND(C947=C948,Y947=Y948-1),Z947,"")</f>
        <v/>
      </c>
      <c r="AC948" s="0" t="str">
        <f aca="false">IF(AND(C947=C948,Y947=Y948-1),AA947,"")</f>
        <v/>
      </c>
      <c r="AD948" s="0" t="str">
        <f aca="false">IF(Y948=1,"",IF(AND(Z948=1,AB948&lt;&gt;1),1,0))</f>
        <v/>
      </c>
      <c r="AE948" s="0" t="str">
        <f aca="false">IF(Y948=1,"",IF(AND(AA948=1,AC948&lt;&gt;1),1,0))</f>
        <v/>
      </c>
      <c r="AF948" s="45" t="str">
        <f aca="false">IF(AND(E948&gt;0,Y948&lt;1,NOT(AND(C949=C948,Y949=Y948+1))),INDEX(DATAS,Y948+1),"")</f>
        <v/>
      </c>
      <c r="AG948" s="45" t="str">
        <f aca="false">IF(AND(AA948=1,Y948&lt;1),IF(AND(C949=C948,Y949=Y948+1),IF(AA949=1,"",INDEX(DATAS,Y948+1)),INDEX(DATAS,Y948+1)),"")</f>
        <v/>
      </c>
    </row>
    <row r="949" customFormat="false" ht="15" hidden="false" customHeight="false" outlineLevel="0" collapsed="false">
      <c r="A949" s="45" t="n">
        <v>46309</v>
      </c>
      <c r="B949" s="0" t="n">
        <v>5</v>
      </c>
      <c r="C949" s="0" t="n">
        <v>4930</v>
      </c>
      <c r="D949" s="0" t="n">
        <v>144</v>
      </c>
      <c r="E949" s="0" t="n">
        <v>2</v>
      </c>
      <c r="F949" s="39" t="s">
        <v>691</v>
      </c>
      <c r="G949" s="0" t="n">
        <v>36</v>
      </c>
      <c r="H949" s="0" t="n">
        <v>42</v>
      </c>
      <c r="I949" s="39" t="s">
        <v>146</v>
      </c>
      <c r="J949" s="0" t="n">
        <v>144</v>
      </c>
      <c r="K949" s="0" t="n">
        <v>67</v>
      </c>
      <c r="M949" s="0" t="n">
        <v>-94.98</v>
      </c>
      <c r="N949" s="0" t="n">
        <v>46.7</v>
      </c>
      <c r="O949" s="0" t="n">
        <v>8.71</v>
      </c>
      <c r="P949" s="0" t="n">
        <v>3.85</v>
      </c>
      <c r="Q949" s="0" t="n">
        <v>3.29</v>
      </c>
      <c r="R949" s="0" t="n">
        <v>4616</v>
      </c>
      <c r="S949" s="0" t="n">
        <v>9440</v>
      </c>
      <c r="T949" s="0" t="n">
        <v>49.8</v>
      </c>
      <c r="U949" s="0" t="n">
        <v>1153</v>
      </c>
      <c r="V949" s="0" t="n">
        <v>2</v>
      </c>
      <c r="W949" s="39" t="n">
        <f aca="false">IF(I949="Male",0,1)</f>
        <v>1</v>
      </c>
      <c r="X949" s="39" t="n">
        <f aca="false">IF(OR(I949="DNB",I949="Dry DNB"),1,0)</f>
        <v>0</v>
      </c>
      <c r="Y949" s="39" t="n">
        <f aca="false">MATCH(A949,DATAS,0)</f>
        <v>1</v>
      </c>
      <c r="Z949" s="39" t="n">
        <f aca="false">IF(AND(E949&gt;0,OR(AND(B949&gt;=1,B949&lt;=6),B949=10)),1,0)</f>
        <v>1</v>
      </c>
      <c r="AA949" s="39" t="n">
        <f aca="false">IF(AND(E949&gt;0,B949=10),1,0)</f>
        <v>0</v>
      </c>
      <c r="AB949" s="0" t="str">
        <f aca="false">IF(AND(C948=C949,Y948=Y949-1),Z948,"")</f>
        <v/>
      </c>
      <c r="AC949" s="0" t="str">
        <f aca="false">IF(AND(C948=C949,Y948=Y949-1),AA948,"")</f>
        <v/>
      </c>
      <c r="AD949" s="0" t="str">
        <f aca="false">IF(Y949=1,"",IF(AND(Z949=1,AB949&lt;&gt;1),1,0))</f>
        <v/>
      </c>
      <c r="AE949" s="0" t="str">
        <f aca="false">IF(Y949=1,"",IF(AND(AA949=1,AC949&lt;&gt;1),1,0))</f>
        <v/>
      </c>
      <c r="AF949" s="45" t="str">
        <f aca="false">IF(AND(E949&gt;0,Y949&lt;1,NOT(AND(C950=C949,Y950=Y949+1))),INDEX(DATAS,Y949+1),"")</f>
        <v/>
      </c>
      <c r="AG949" s="45" t="str">
        <f aca="false">IF(AND(AA949=1,Y949&lt;1),IF(AND(C950=C949,Y950=Y949+1),IF(AA950=1,"",INDEX(DATAS,Y949+1)),INDEX(DATAS,Y949+1)),"")</f>
        <v/>
      </c>
    </row>
    <row r="950" customFormat="false" ht="15" hidden="false" customHeight="false" outlineLevel="0" collapsed="false">
      <c r="A950" s="45" t="n">
        <v>46309</v>
      </c>
      <c r="B950" s="0" t="n">
        <v>6</v>
      </c>
      <c r="C950" s="0" t="n">
        <v>4932</v>
      </c>
      <c r="D950" s="0" t="n">
        <v>242</v>
      </c>
      <c r="E950" s="0" t="n">
        <v>2</v>
      </c>
      <c r="F950" s="39" t="s">
        <v>691</v>
      </c>
      <c r="G950" s="0" t="n">
        <v>23.1</v>
      </c>
      <c r="H950" s="0" t="n">
        <v>23</v>
      </c>
      <c r="I950" s="39" t="s">
        <v>109</v>
      </c>
      <c r="J950" s="0" t="n">
        <v>67</v>
      </c>
      <c r="K950" s="0" t="n">
        <v>67</v>
      </c>
      <c r="L950" s="0" t="n">
        <v>175</v>
      </c>
      <c r="M950" s="0" t="n">
        <v>187.08</v>
      </c>
      <c r="N950" s="0" t="n">
        <v>11.43</v>
      </c>
      <c r="O950" s="0" t="n">
        <v>16.92</v>
      </c>
      <c r="P950" s="0" t="n">
        <v>5.47</v>
      </c>
      <c r="Q950" s="0" t="n">
        <v>4.24</v>
      </c>
      <c r="R950" s="0" t="n">
        <v>3133</v>
      </c>
      <c r="S950" s="0" t="n">
        <v>6741</v>
      </c>
      <c r="T950" s="0" t="n">
        <v>41.1</v>
      </c>
      <c r="U950" s="0" t="n">
        <v>1153</v>
      </c>
      <c r="V950" s="0" t="n">
        <v>1</v>
      </c>
      <c r="W950" s="39" t="n">
        <f aca="false">IF(I950="Male",0,1)</f>
        <v>1</v>
      </c>
      <c r="X950" s="39" t="n">
        <f aca="false">IF(OR(I950="DNB",I950="Dry DNB"),1,0)</f>
        <v>0</v>
      </c>
      <c r="Y950" s="39" t="n">
        <f aca="false">MATCH(A950,DATAS,0)</f>
        <v>1</v>
      </c>
      <c r="Z950" s="39" t="n">
        <f aca="false">IF(AND(E950&gt;0,OR(AND(B950&gt;=1,B950&lt;=6),B950=10)),1,0)</f>
        <v>1</v>
      </c>
      <c r="AA950" s="39" t="n">
        <f aca="false">IF(AND(E950&gt;0,B950=10),1,0)</f>
        <v>0</v>
      </c>
      <c r="AB950" s="0" t="str">
        <f aca="false">IF(AND(C949=C950,Y949=Y950-1),Z949,"")</f>
        <v/>
      </c>
      <c r="AC950" s="0" t="str">
        <f aca="false">IF(AND(C949=C950,Y949=Y950-1),AA949,"")</f>
        <v/>
      </c>
      <c r="AD950" s="0" t="str">
        <f aca="false">IF(Y950=1,"",IF(AND(Z950=1,AB950&lt;&gt;1),1,0))</f>
        <v/>
      </c>
      <c r="AE950" s="0" t="str">
        <f aca="false">IF(Y950=1,"",IF(AND(AA950=1,AC950&lt;&gt;1),1,0))</f>
        <v/>
      </c>
      <c r="AF950" s="45" t="str">
        <f aca="false">IF(AND(E950&gt;0,Y950&lt;1,NOT(AND(C951=C950,Y951=Y950+1))),INDEX(DATAS,Y950+1),"")</f>
        <v/>
      </c>
      <c r="AG950" s="45" t="str">
        <f aca="false">IF(AND(AA950=1,Y950&lt;1),IF(AND(C951=C950,Y951=Y950+1),IF(AA951=1,"",INDEX(DATAS,Y950+1)),INDEX(DATAS,Y950+1)),"")</f>
        <v/>
      </c>
    </row>
    <row r="951" customFormat="false" ht="15" hidden="false" customHeight="false" outlineLevel="0" collapsed="false">
      <c r="A951" s="45" t="n">
        <v>46309</v>
      </c>
      <c r="B951" s="0" t="n">
        <v>14</v>
      </c>
      <c r="C951" s="0" t="n">
        <v>4933</v>
      </c>
      <c r="D951" s="0" t="n">
        <v>393</v>
      </c>
      <c r="E951" s="0" t="n">
        <v>1</v>
      </c>
      <c r="F951" s="39" t="s">
        <v>691</v>
      </c>
      <c r="I951" s="39" t="s">
        <v>114</v>
      </c>
      <c r="J951" s="0" t="n">
        <v>170</v>
      </c>
      <c r="K951" s="0" t="n">
        <v>65</v>
      </c>
      <c r="L951" s="0" t="n">
        <v>259</v>
      </c>
      <c r="M951" s="0" t="n">
        <v>742.65</v>
      </c>
      <c r="N951" s="0" t="n">
        <v>72.82</v>
      </c>
      <c r="O951" s="0" t="n">
        <v>38.36</v>
      </c>
      <c r="P951" s="0" t="n">
        <v>4.84</v>
      </c>
      <c r="Q951" s="0" t="n">
        <v>3.81</v>
      </c>
      <c r="R951" s="0" t="n">
        <v>5011</v>
      </c>
      <c r="S951" s="0" t="n">
        <v>10576</v>
      </c>
      <c r="T951" s="0" t="n">
        <v>54.75</v>
      </c>
      <c r="U951" s="0" t="n">
        <v>1153</v>
      </c>
      <c r="V951" s="0" t="n">
        <v>4</v>
      </c>
      <c r="W951" s="39" t="n">
        <f aca="false">IF(I951="Male",0,1)</f>
        <v>1</v>
      </c>
      <c r="X951" s="39" t="n">
        <f aca="false">IF(OR(I951="DNB",I951="Dry DNB"),1,0)</f>
        <v>0</v>
      </c>
      <c r="Y951" s="39" t="n">
        <f aca="false">MATCH(A951,DATAS,0)</f>
        <v>1</v>
      </c>
      <c r="Z951" s="39" t="n">
        <f aca="false">IF(AND(E951&gt;0,OR(AND(B951&gt;=1,B951&lt;=6),B951=10)),1,0)</f>
        <v>0</v>
      </c>
      <c r="AA951" s="39" t="n">
        <f aca="false">IF(AND(E951&gt;0,B951=10),1,0)</f>
        <v>0</v>
      </c>
      <c r="AB951" s="0" t="str">
        <f aca="false">IF(AND(C950=C951,Y950=Y951-1),Z950,"")</f>
        <v/>
      </c>
      <c r="AC951" s="0" t="str">
        <f aca="false">IF(AND(C950=C951,Y950=Y951-1),AA950,"")</f>
        <v/>
      </c>
      <c r="AD951" s="0" t="str">
        <f aca="false">IF(Y951=1,"",IF(AND(Z951=1,AB951&lt;&gt;1),1,0))</f>
        <v/>
      </c>
      <c r="AE951" s="0" t="str">
        <f aca="false">IF(Y951=1,"",IF(AND(AA951=1,AC951&lt;&gt;1),1,0))</f>
        <v/>
      </c>
      <c r="AF951" s="45" t="str">
        <f aca="false">IF(AND(E951&gt;0,Y951&lt;1,NOT(AND(C952=C951,Y952=Y951+1))),INDEX(DATAS,Y951+1),"")</f>
        <v/>
      </c>
      <c r="AG951" s="45" t="str">
        <f aca="false">IF(AND(AA951=1,Y951&lt;1),IF(AND(C952=C951,Y952=Y951+1),IF(AA952=1,"",INDEX(DATAS,Y951+1)),INDEX(DATAS,Y951+1)),"")</f>
        <v/>
      </c>
    </row>
    <row r="952" customFormat="false" ht="15" hidden="false" customHeight="false" outlineLevel="0" collapsed="false">
      <c r="A952" s="45" t="n">
        <v>46309</v>
      </c>
      <c r="B952" s="0" t="n">
        <v>2</v>
      </c>
      <c r="C952" s="0" t="n">
        <v>4934</v>
      </c>
      <c r="D952" s="0" t="n">
        <v>174</v>
      </c>
      <c r="E952" s="0" t="n">
        <v>2</v>
      </c>
      <c r="F952" s="39" t="s">
        <v>692</v>
      </c>
      <c r="G952" s="0" t="n">
        <v>45.3</v>
      </c>
      <c r="H952" s="0" t="n">
        <v>49</v>
      </c>
      <c r="I952" s="39" t="s">
        <v>109</v>
      </c>
      <c r="J952" s="0" t="n">
        <v>98</v>
      </c>
      <c r="K952" s="0" t="n">
        <v>76</v>
      </c>
      <c r="L952" s="0" t="n">
        <v>76</v>
      </c>
      <c r="M952" s="0" t="n">
        <v>416.68</v>
      </c>
      <c r="N952" s="0" t="n">
        <v>66.06</v>
      </c>
      <c r="O952" s="0" t="n">
        <v>29.45</v>
      </c>
      <c r="P952" s="0" t="n">
        <v>4.2</v>
      </c>
      <c r="Q952" s="0" t="n">
        <v>3.55</v>
      </c>
      <c r="R952" s="0" t="n">
        <v>4648</v>
      </c>
      <c r="S952" s="0" t="n">
        <v>9730</v>
      </c>
      <c r="T952" s="0" t="n">
        <v>52.35</v>
      </c>
      <c r="U952" s="0" t="n">
        <v>1152</v>
      </c>
      <c r="V952" s="0" t="n">
        <v>2</v>
      </c>
      <c r="W952" s="39" t="n">
        <f aca="false">IF(I952="Male",0,1)</f>
        <v>1</v>
      </c>
      <c r="X952" s="39" t="n">
        <f aca="false">IF(OR(I952="DNB",I952="Dry DNB"),1,0)</f>
        <v>0</v>
      </c>
      <c r="Y952" s="39" t="n">
        <f aca="false">MATCH(A952,DATAS,0)</f>
        <v>1</v>
      </c>
      <c r="Z952" s="39" t="n">
        <f aca="false">IF(AND(E952&gt;0,OR(AND(B952&gt;=1,B952&lt;=6),B952=10)),1,0)</f>
        <v>1</v>
      </c>
      <c r="AA952" s="39" t="n">
        <f aca="false">IF(AND(E952&gt;0,B952=10),1,0)</f>
        <v>0</v>
      </c>
      <c r="AB952" s="0" t="str">
        <f aca="false">IF(AND(C951=C952,Y951=Y952-1),Z951,"")</f>
        <v/>
      </c>
      <c r="AC952" s="0" t="str">
        <f aca="false">IF(AND(C951=C952,Y951=Y952-1),AA951,"")</f>
        <v/>
      </c>
      <c r="AD952" s="0" t="str">
        <f aca="false">IF(Y952=1,"",IF(AND(Z952=1,AB952&lt;&gt;1),1,0))</f>
        <v/>
      </c>
      <c r="AE952" s="0" t="str">
        <f aca="false">IF(Y952=1,"",IF(AND(AA952=1,AC952&lt;&gt;1),1,0))</f>
        <v/>
      </c>
      <c r="AF952" s="45" t="str">
        <f aca="false">IF(AND(E952&gt;0,Y952&lt;1,NOT(AND(C953=C952,Y953=Y952+1))),INDEX(DATAS,Y952+1),"")</f>
        <v/>
      </c>
      <c r="AG952" s="45" t="str">
        <f aca="false">IF(AND(AA952=1,Y952&lt;1),IF(AND(C953=C952,Y953=Y952+1),IF(AA953=1,"",INDEX(DATAS,Y952+1)),INDEX(DATAS,Y952+1)),"")</f>
        <v/>
      </c>
    </row>
    <row r="953" customFormat="false" ht="15" hidden="false" customHeight="false" outlineLevel="0" collapsed="false">
      <c r="A953" s="45" t="n">
        <v>46309</v>
      </c>
      <c r="B953" s="0" t="n">
        <v>2</v>
      </c>
      <c r="C953" s="0" t="n">
        <v>4936</v>
      </c>
      <c r="D953" s="0" t="n">
        <v>112</v>
      </c>
      <c r="E953" s="0" t="n">
        <v>2</v>
      </c>
      <c r="F953" s="39" t="s">
        <v>692</v>
      </c>
      <c r="G953" s="0" t="n">
        <v>70.4</v>
      </c>
      <c r="H953" s="0" t="n">
        <v>67</v>
      </c>
      <c r="I953" s="39" t="s">
        <v>138</v>
      </c>
      <c r="J953" s="0" t="n">
        <v>112</v>
      </c>
      <c r="K953" s="0" t="n">
        <v>63</v>
      </c>
      <c r="M953" s="0" t="n">
        <v>1168.59</v>
      </c>
      <c r="N953" s="0" t="n">
        <v>69.13</v>
      </c>
      <c r="O953" s="0" t="n">
        <v>50.29</v>
      </c>
      <c r="P953" s="0" t="n">
        <v>3.06</v>
      </c>
      <c r="Q953" s="0" t="n">
        <v>3.36</v>
      </c>
      <c r="R953" s="0" t="n">
        <v>5941</v>
      </c>
      <c r="S953" s="0" t="n">
        <v>12082</v>
      </c>
      <c r="T953" s="0" t="n">
        <v>65.3</v>
      </c>
      <c r="U953" s="0" t="n">
        <v>1152</v>
      </c>
      <c r="V953" s="0" t="n">
        <v>2</v>
      </c>
      <c r="W953" s="39" t="n">
        <f aca="false">IF(I953="Male",0,1)</f>
        <v>1</v>
      </c>
      <c r="X953" s="39" t="n">
        <f aca="false">IF(OR(I953="DNB",I953="Dry DNB"),1,0)</f>
        <v>0</v>
      </c>
      <c r="Y953" s="39" t="n">
        <f aca="false">MATCH(A953,DATAS,0)</f>
        <v>1</v>
      </c>
      <c r="Z953" s="39" t="n">
        <f aca="false">IF(AND(E953&gt;0,OR(AND(B953&gt;=1,B953&lt;=6),B953=10)),1,0)</f>
        <v>1</v>
      </c>
      <c r="AA953" s="39" t="n">
        <f aca="false">IF(AND(E953&gt;0,B953=10),1,0)</f>
        <v>0</v>
      </c>
      <c r="AB953" s="0" t="str">
        <f aca="false">IF(AND(C952=C953,Y952=Y953-1),Z952,"")</f>
        <v/>
      </c>
      <c r="AC953" s="0" t="str">
        <f aca="false">IF(AND(C952=C953,Y952=Y953-1),AA952,"")</f>
        <v/>
      </c>
      <c r="AD953" s="0" t="str">
        <f aca="false">IF(Y953=1,"",IF(AND(Z953=1,AB953&lt;&gt;1),1,0))</f>
        <v/>
      </c>
      <c r="AE953" s="0" t="str">
        <f aca="false">IF(Y953=1,"",IF(AND(AA953=1,AC953&lt;&gt;1),1,0))</f>
        <v/>
      </c>
      <c r="AF953" s="45" t="str">
        <f aca="false">IF(AND(E953&gt;0,Y953&lt;1,NOT(AND(C954=C953,Y954=Y953+1))),INDEX(DATAS,Y953+1),"")</f>
        <v/>
      </c>
      <c r="AG953" s="45" t="str">
        <f aca="false">IF(AND(AA953=1,Y953&lt;1),IF(AND(C954=C953,Y954=Y953+1),IF(AA954=1,"",INDEX(DATAS,Y953+1)),INDEX(DATAS,Y953+1)),"")</f>
        <v/>
      </c>
    </row>
    <row r="954" customFormat="false" ht="15" hidden="false" customHeight="false" outlineLevel="0" collapsed="false">
      <c r="A954" s="45" t="n">
        <v>46309</v>
      </c>
      <c r="B954" s="0" t="n">
        <v>2</v>
      </c>
      <c r="C954" s="0" t="n">
        <v>4937</v>
      </c>
      <c r="D954" s="0" t="n">
        <v>149</v>
      </c>
      <c r="E954" s="0" t="n">
        <v>2</v>
      </c>
      <c r="F954" s="39" t="s">
        <v>692</v>
      </c>
      <c r="G954" s="0" t="n">
        <v>64.1</v>
      </c>
      <c r="H954" s="0" t="n">
        <v>63</v>
      </c>
      <c r="I954" s="39" t="s">
        <v>109</v>
      </c>
      <c r="J954" s="0" t="n">
        <v>65</v>
      </c>
      <c r="K954" s="0" t="n">
        <v>65</v>
      </c>
      <c r="L954" s="0" t="n">
        <v>84</v>
      </c>
      <c r="M954" s="0" t="n">
        <v>1388.39</v>
      </c>
      <c r="N954" s="0" t="n">
        <v>16.63</v>
      </c>
      <c r="O954" s="0" t="n">
        <v>40.94</v>
      </c>
      <c r="P954" s="0" t="n">
        <v>2.63</v>
      </c>
      <c r="Q954" s="0" t="n">
        <v>3.43</v>
      </c>
      <c r="R954" s="0" t="n">
        <v>6658</v>
      </c>
      <c r="S954" s="0" t="n">
        <v>13130</v>
      </c>
      <c r="T954" s="0" t="n">
        <v>73.6</v>
      </c>
      <c r="U954" s="0" t="n">
        <v>1152</v>
      </c>
      <c r="V954" s="0" t="n">
        <v>1</v>
      </c>
      <c r="W954" s="39" t="n">
        <f aca="false">IF(I954="Male",0,1)</f>
        <v>1</v>
      </c>
      <c r="X954" s="39" t="n">
        <f aca="false">IF(OR(I954="DNB",I954="Dry DNB"),1,0)</f>
        <v>0</v>
      </c>
      <c r="Y954" s="39" t="n">
        <f aca="false">MATCH(A954,DATAS,0)</f>
        <v>1</v>
      </c>
      <c r="Z954" s="39" t="n">
        <f aca="false">IF(AND(E954&gt;0,OR(AND(B954&gt;=1,B954&lt;=6),B954=10)),1,0)</f>
        <v>1</v>
      </c>
      <c r="AA954" s="39" t="n">
        <f aca="false">IF(AND(E954&gt;0,B954=10),1,0)</f>
        <v>0</v>
      </c>
      <c r="AB954" s="0" t="str">
        <f aca="false">IF(AND(C953=C954,Y953=Y954-1),Z953,"")</f>
        <v/>
      </c>
      <c r="AC954" s="0" t="str">
        <f aca="false">IF(AND(C953=C954,Y953=Y954-1),AA953,"")</f>
        <v/>
      </c>
      <c r="AD954" s="0" t="str">
        <f aca="false">IF(Y954=1,"",IF(AND(Z954=1,AB954&lt;&gt;1),1,0))</f>
        <v/>
      </c>
      <c r="AE954" s="0" t="str">
        <f aca="false">IF(Y954=1,"",IF(AND(AA954=1,AC954&lt;&gt;1),1,0))</f>
        <v/>
      </c>
      <c r="AF954" s="45" t="str">
        <f aca="false">IF(AND(E954&gt;0,Y954&lt;1,NOT(AND(C955=C954,Y955=Y954+1))),INDEX(DATAS,Y954+1),"")</f>
        <v/>
      </c>
      <c r="AG954" s="45" t="str">
        <f aca="false">IF(AND(AA954=1,Y954&lt;1),IF(AND(C955=C954,Y955=Y954+1),IF(AA955=1,"",INDEX(DATAS,Y954+1)),INDEX(DATAS,Y954+1)),"")</f>
        <v/>
      </c>
    </row>
    <row r="955" customFormat="false" ht="15" hidden="false" customHeight="false" outlineLevel="0" collapsed="false">
      <c r="A955" s="45" t="n">
        <v>46309</v>
      </c>
      <c r="B955" s="0" t="n">
        <v>2</v>
      </c>
      <c r="C955" s="0" t="n">
        <v>4938</v>
      </c>
      <c r="D955" s="0" t="n">
        <v>136</v>
      </c>
      <c r="E955" s="0" t="n">
        <v>2</v>
      </c>
      <c r="F955" s="39" t="s">
        <v>693</v>
      </c>
      <c r="G955" s="0" t="n">
        <v>50.9</v>
      </c>
      <c r="H955" s="0" t="n">
        <v>52</v>
      </c>
      <c r="I955" s="39" t="s">
        <v>109</v>
      </c>
      <c r="J955" s="0" t="n">
        <v>90</v>
      </c>
      <c r="K955" s="0" t="n">
        <v>66</v>
      </c>
      <c r="L955" s="0" t="n">
        <v>46</v>
      </c>
      <c r="M955" s="0" t="n">
        <v>-0.82</v>
      </c>
      <c r="N955" s="0" t="n">
        <v>50.9</v>
      </c>
      <c r="O955" s="0" t="n">
        <v>17.5</v>
      </c>
      <c r="P955" s="0" t="n">
        <v>4.11</v>
      </c>
      <c r="Q955" s="0" t="n">
        <v>3.2</v>
      </c>
      <c r="R955" s="0" t="n">
        <v>4927</v>
      </c>
      <c r="S955" s="0" t="n">
        <v>10330</v>
      </c>
      <c r="T955" s="0" t="n">
        <v>57.7</v>
      </c>
      <c r="U955" s="0" t="n">
        <v>1151</v>
      </c>
      <c r="V955" s="0" t="n">
        <v>2</v>
      </c>
      <c r="W955" s="39" t="n">
        <f aca="false">IF(I955="Male",0,1)</f>
        <v>1</v>
      </c>
      <c r="X955" s="39" t="n">
        <f aca="false">IF(OR(I955="DNB",I955="Dry DNB"),1,0)</f>
        <v>0</v>
      </c>
      <c r="Y955" s="39" t="n">
        <f aca="false">MATCH(A955,DATAS,0)</f>
        <v>1</v>
      </c>
      <c r="Z955" s="39" t="n">
        <f aca="false">IF(AND(E955&gt;0,OR(AND(B955&gt;=1,B955&lt;=6),B955=10)),1,0)</f>
        <v>1</v>
      </c>
      <c r="AA955" s="39" t="n">
        <f aca="false">IF(AND(E955&gt;0,B955=10),1,0)</f>
        <v>0</v>
      </c>
      <c r="AB955" s="0" t="str">
        <f aca="false">IF(AND(C954=C955,Y954=Y955-1),Z954,"")</f>
        <v/>
      </c>
      <c r="AC955" s="0" t="str">
        <f aca="false">IF(AND(C954=C955,Y954=Y955-1),AA954,"")</f>
        <v/>
      </c>
      <c r="AD955" s="0" t="str">
        <f aca="false">IF(Y955=1,"",IF(AND(Z955=1,AB955&lt;&gt;1),1,0))</f>
        <v/>
      </c>
      <c r="AE955" s="0" t="str">
        <f aca="false">IF(Y955=1,"",IF(AND(AA955=1,AC955&lt;&gt;1),1,0))</f>
        <v/>
      </c>
      <c r="AF955" s="45" t="str">
        <f aca="false">IF(AND(E955&gt;0,Y955&lt;1,NOT(AND(C956=C955,Y956=Y955+1))),INDEX(DATAS,Y955+1),"")</f>
        <v/>
      </c>
      <c r="AG955" s="45" t="str">
        <f aca="false">IF(AND(AA955=1,Y955&lt;1),IF(AND(C956=C955,Y956=Y955+1),IF(AA956=1,"",INDEX(DATAS,Y955+1)),INDEX(DATAS,Y955+1)),"")</f>
        <v/>
      </c>
    </row>
    <row r="956" customFormat="false" ht="15" hidden="false" customHeight="false" outlineLevel="0" collapsed="false">
      <c r="A956" s="45" t="n">
        <v>46309</v>
      </c>
      <c r="B956" s="0" t="n">
        <v>2</v>
      </c>
      <c r="C956" s="0" t="n">
        <v>4939</v>
      </c>
      <c r="D956" s="0" t="n">
        <v>116</v>
      </c>
      <c r="E956" s="0" t="n">
        <v>2</v>
      </c>
      <c r="F956" s="39" t="s">
        <v>694</v>
      </c>
      <c r="G956" s="0" t="n">
        <v>54.4</v>
      </c>
      <c r="H956" s="0" t="n">
        <v>54</v>
      </c>
      <c r="I956" s="39" t="s">
        <v>138</v>
      </c>
      <c r="J956" s="0" t="n">
        <v>116</v>
      </c>
      <c r="K956" s="0" t="n">
        <v>67</v>
      </c>
      <c r="M956" s="0" t="n">
        <v>779.17</v>
      </c>
      <c r="N956" s="0" t="n">
        <v>22.9</v>
      </c>
      <c r="O956" s="0" t="n">
        <v>26.56</v>
      </c>
      <c r="P956" s="0" t="n">
        <v>2.82</v>
      </c>
      <c r="Q956" s="0" t="n">
        <v>3.2</v>
      </c>
      <c r="R956" s="0" t="n">
        <v>4738</v>
      </c>
      <c r="S956" s="0" t="n">
        <v>9712</v>
      </c>
      <c r="T956" s="0" t="n">
        <v>55.7</v>
      </c>
      <c r="U956" s="0" t="n">
        <v>1150</v>
      </c>
      <c r="V956" s="0" t="n">
        <v>3</v>
      </c>
      <c r="W956" s="39" t="n">
        <f aca="false">IF(I956="Male",0,1)</f>
        <v>1</v>
      </c>
      <c r="X956" s="39" t="n">
        <f aca="false">IF(OR(I956="DNB",I956="Dry DNB"),1,0)</f>
        <v>0</v>
      </c>
      <c r="Y956" s="39" t="n">
        <f aca="false">MATCH(A956,DATAS,0)</f>
        <v>1</v>
      </c>
      <c r="Z956" s="39" t="n">
        <f aca="false">IF(AND(E956&gt;0,OR(AND(B956&gt;=1,B956&lt;=6),B956=10)),1,0)</f>
        <v>1</v>
      </c>
      <c r="AA956" s="39" t="n">
        <f aca="false">IF(AND(E956&gt;0,B956=10),1,0)</f>
        <v>0</v>
      </c>
      <c r="AB956" s="0" t="str">
        <f aca="false">IF(AND(C955=C956,Y955=Y956-1),Z955,"")</f>
        <v/>
      </c>
      <c r="AC956" s="0" t="str">
        <f aca="false">IF(AND(C955=C956,Y955=Y956-1),AA955,"")</f>
        <v/>
      </c>
      <c r="AD956" s="0" t="str">
        <f aca="false">IF(Y956=1,"",IF(AND(Z956=1,AB956&lt;&gt;1),1,0))</f>
        <v/>
      </c>
      <c r="AE956" s="0" t="str">
        <f aca="false">IF(Y956=1,"",IF(AND(AA956=1,AC956&lt;&gt;1),1,0))</f>
        <v/>
      </c>
      <c r="AF956" s="45" t="str">
        <f aca="false">IF(AND(E956&gt;0,Y956&lt;1,NOT(AND(C957=C956,Y957=Y956+1))),INDEX(DATAS,Y956+1),"")</f>
        <v/>
      </c>
      <c r="AG956" s="45" t="str">
        <f aca="false">IF(AND(AA956=1,Y956&lt;1),IF(AND(C957=C956,Y957=Y956+1),IF(AA957=1,"",INDEX(DATAS,Y956+1)),INDEX(DATAS,Y956+1)),"")</f>
        <v/>
      </c>
    </row>
    <row r="957" customFormat="false" ht="15" hidden="false" customHeight="false" outlineLevel="0" collapsed="false">
      <c r="A957" s="45" t="n">
        <v>46309</v>
      </c>
      <c r="B957" s="0" t="n">
        <v>5</v>
      </c>
      <c r="C957" s="0" t="n">
        <v>4940</v>
      </c>
      <c r="D957" s="0" t="n">
        <v>140</v>
      </c>
      <c r="E957" s="0" t="n">
        <v>2</v>
      </c>
      <c r="F957" s="39" t="s">
        <v>694</v>
      </c>
      <c r="G957" s="0" t="n">
        <v>42.7</v>
      </c>
      <c r="H957" s="0" t="n">
        <v>41</v>
      </c>
      <c r="I957" s="39" t="s">
        <v>138</v>
      </c>
      <c r="J957" s="0" t="n">
        <v>140</v>
      </c>
      <c r="K957" s="0" t="n">
        <v>63</v>
      </c>
      <c r="M957" s="0" t="n">
        <v>1187.35</v>
      </c>
      <c r="N957" s="0" t="n">
        <v>50.47</v>
      </c>
      <c r="O957" s="0" t="n">
        <v>31.53</v>
      </c>
      <c r="P957" s="0" t="n">
        <v>4.52</v>
      </c>
      <c r="Q957" s="0" t="n">
        <v>3.67</v>
      </c>
      <c r="R957" s="0" t="n">
        <v>3667</v>
      </c>
      <c r="S957" s="0" t="n">
        <v>7477</v>
      </c>
      <c r="T957" s="0" t="n">
        <v>42.8</v>
      </c>
      <c r="U957" s="0" t="n">
        <v>1150</v>
      </c>
      <c r="V957" s="0" t="n">
        <v>2</v>
      </c>
      <c r="W957" s="39" t="n">
        <f aca="false">IF(I957="Male",0,1)</f>
        <v>1</v>
      </c>
      <c r="X957" s="39" t="n">
        <f aca="false">IF(OR(I957="DNB",I957="Dry DNB"),1,0)</f>
        <v>0</v>
      </c>
      <c r="Y957" s="39" t="n">
        <f aca="false">MATCH(A957,DATAS,0)</f>
        <v>1</v>
      </c>
      <c r="Z957" s="39" t="n">
        <f aca="false">IF(AND(E957&gt;0,OR(AND(B957&gt;=1,B957&lt;=6),B957=10)),1,0)</f>
        <v>1</v>
      </c>
      <c r="AA957" s="39" t="n">
        <f aca="false">IF(AND(E957&gt;0,B957=10),1,0)</f>
        <v>0</v>
      </c>
      <c r="AB957" s="0" t="str">
        <f aca="false">IF(AND(C956=C957,Y956=Y957-1),Z956,"")</f>
        <v/>
      </c>
      <c r="AC957" s="0" t="str">
        <f aca="false">IF(AND(C956=C957,Y956=Y957-1),AA956,"")</f>
        <v/>
      </c>
      <c r="AD957" s="0" t="str">
        <f aca="false">IF(Y957=1,"",IF(AND(Z957=1,AB957&lt;&gt;1),1,0))</f>
        <v/>
      </c>
      <c r="AE957" s="0" t="str">
        <f aca="false">IF(Y957=1,"",IF(AND(AA957=1,AC957&lt;&gt;1),1,0))</f>
        <v/>
      </c>
      <c r="AF957" s="45" t="str">
        <f aca="false">IF(AND(E957&gt;0,Y957&lt;1,NOT(AND(C958=C957,Y958=Y957+1))),INDEX(DATAS,Y957+1),"")</f>
        <v/>
      </c>
      <c r="AG957" s="45" t="str">
        <f aca="false">IF(AND(AA957=1,Y957&lt;1),IF(AND(C958=C957,Y958=Y957+1),IF(AA958=1,"",INDEX(DATAS,Y957+1)),INDEX(DATAS,Y957+1)),"")</f>
        <v/>
      </c>
    </row>
    <row r="958" customFormat="false" ht="15" hidden="false" customHeight="false" outlineLevel="0" collapsed="false">
      <c r="A958" s="45" t="n">
        <v>46309</v>
      </c>
      <c r="B958" s="0" t="n">
        <v>6</v>
      </c>
      <c r="C958" s="0" t="n">
        <v>4941</v>
      </c>
      <c r="D958" s="0" t="n">
        <v>311</v>
      </c>
      <c r="E958" s="0" t="n">
        <v>1</v>
      </c>
      <c r="F958" s="39" t="s">
        <v>694</v>
      </c>
      <c r="G958" s="0" t="n">
        <v>28.1</v>
      </c>
      <c r="H958" s="0" t="n">
        <v>29</v>
      </c>
      <c r="I958" s="39" t="s">
        <v>109</v>
      </c>
      <c r="J958" s="0" t="n">
        <v>157</v>
      </c>
      <c r="K958" s="0" t="n">
        <v>59</v>
      </c>
      <c r="L958" s="0" t="n">
        <v>154</v>
      </c>
      <c r="M958" s="0" t="n">
        <v>926.35</v>
      </c>
      <c r="N958" s="0" t="n">
        <v>70.52</v>
      </c>
      <c r="O958" s="0" t="n">
        <v>45.47</v>
      </c>
      <c r="P958" s="0" t="n">
        <v>5.21</v>
      </c>
      <c r="Q958" s="0" t="n">
        <v>4.35</v>
      </c>
      <c r="R958" s="0" t="n">
        <v>3397</v>
      </c>
      <c r="S958" s="0" t="n">
        <v>7206</v>
      </c>
      <c r="T958" s="0" t="n">
        <v>35.7</v>
      </c>
      <c r="U958" s="0" t="n">
        <v>1150</v>
      </c>
      <c r="V958" s="0" t="n">
        <v>3</v>
      </c>
      <c r="W958" s="39" t="n">
        <f aca="false">IF(I958="Male",0,1)</f>
        <v>1</v>
      </c>
      <c r="X958" s="39" t="n">
        <f aca="false">IF(OR(I958="DNB",I958="Dry DNB"),1,0)</f>
        <v>0</v>
      </c>
      <c r="Y958" s="39" t="n">
        <f aca="false">MATCH(A958,DATAS,0)</f>
        <v>1</v>
      </c>
      <c r="Z958" s="39" t="n">
        <f aca="false">IF(AND(E958&gt;0,OR(AND(B958&gt;=1,B958&lt;=6),B958=10)),1,0)</f>
        <v>1</v>
      </c>
      <c r="AA958" s="39" t="n">
        <f aca="false">IF(AND(E958&gt;0,B958=10),1,0)</f>
        <v>0</v>
      </c>
      <c r="AB958" s="0" t="str">
        <f aca="false">IF(AND(C957=C958,Y957=Y958-1),Z957,"")</f>
        <v/>
      </c>
      <c r="AC958" s="0" t="str">
        <f aca="false">IF(AND(C957=C958,Y957=Y958-1),AA957,"")</f>
        <v/>
      </c>
      <c r="AD958" s="0" t="str">
        <f aca="false">IF(Y958=1,"",IF(AND(Z958=1,AB958&lt;&gt;1),1,0))</f>
        <v/>
      </c>
      <c r="AE958" s="0" t="str">
        <f aca="false">IF(Y958=1,"",IF(AND(AA958=1,AC958&lt;&gt;1),1,0))</f>
        <v/>
      </c>
      <c r="AF958" s="45" t="str">
        <f aca="false">IF(AND(E958&gt;0,Y958&lt;1,NOT(AND(C959=C958,Y959=Y958+1))),INDEX(DATAS,Y958+1),"")</f>
        <v/>
      </c>
      <c r="AG958" s="45" t="str">
        <f aca="false">IF(AND(AA958=1,Y958&lt;1),IF(AND(C959=C958,Y959=Y958+1),IF(AA959=1,"",INDEX(DATAS,Y958+1)),INDEX(DATAS,Y958+1)),"")</f>
        <v/>
      </c>
    </row>
    <row r="959" customFormat="false" ht="15" hidden="false" customHeight="false" outlineLevel="0" collapsed="false">
      <c r="A959" s="45" t="n">
        <v>46309</v>
      </c>
      <c r="B959" s="0" t="n">
        <v>3</v>
      </c>
      <c r="C959" s="0" t="n">
        <v>4942</v>
      </c>
      <c r="D959" s="0" t="n">
        <v>53</v>
      </c>
      <c r="E959" s="0" t="n">
        <v>2</v>
      </c>
      <c r="F959" s="39" t="s">
        <v>694</v>
      </c>
      <c r="G959" s="0" t="n">
        <v>67.7</v>
      </c>
      <c r="H959" s="0" t="n">
        <v>66</v>
      </c>
      <c r="I959" s="39" t="s">
        <v>118</v>
      </c>
      <c r="J959" s="0" t="n">
        <v>53</v>
      </c>
      <c r="M959" s="0" t="n">
        <v>957.24</v>
      </c>
      <c r="N959" s="0" t="n">
        <v>89.3</v>
      </c>
      <c r="O959" s="0" t="n">
        <v>39.26</v>
      </c>
      <c r="P959" s="0" t="n">
        <v>3.76</v>
      </c>
      <c r="Q959" s="0" t="n">
        <v>3.27</v>
      </c>
      <c r="R959" s="0" t="n">
        <v>5421</v>
      </c>
      <c r="S959" s="0" t="n">
        <v>10897</v>
      </c>
      <c r="U959" s="0" t="n">
        <v>1150</v>
      </c>
      <c r="V959" s="0" t="n">
        <v>0</v>
      </c>
      <c r="W959" s="39" t="n">
        <f aca="false">IF(I959="Male",0,1)</f>
        <v>1</v>
      </c>
      <c r="X959" s="39" t="n">
        <f aca="false">IF(OR(I959="DNB",I959="Dry DNB"),1,0)</f>
        <v>0</v>
      </c>
      <c r="Y959" s="39" t="n">
        <f aca="false">MATCH(A959,DATAS,0)</f>
        <v>1</v>
      </c>
      <c r="Z959" s="39" t="n">
        <f aca="false">IF(AND(E959&gt;0,OR(AND(B959&gt;=1,B959&lt;=6),B959=10)),1,0)</f>
        <v>1</v>
      </c>
      <c r="AA959" s="39" t="n">
        <f aca="false">IF(AND(E959&gt;0,B959=10),1,0)</f>
        <v>0</v>
      </c>
      <c r="AB959" s="0" t="str">
        <f aca="false">IF(AND(C958=C959,Y958=Y959-1),Z958,"")</f>
        <v/>
      </c>
      <c r="AC959" s="0" t="str">
        <f aca="false">IF(AND(C958=C959,Y958=Y959-1),AA958,"")</f>
        <v/>
      </c>
      <c r="AD959" s="0" t="str">
        <f aca="false">IF(Y959=1,"",IF(AND(Z959=1,AB959&lt;&gt;1),1,0))</f>
        <v/>
      </c>
      <c r="AE959" s="0" t="str">
        <f aca="false">IF(Y959=1,"",IF(AND(AA959=1,AC959&lt;&gt;1),1,0))</f>
        <v/>
      </c>
      <c r="AF959" s="45" t="str">
        <f aca="false">IF(AND(E959&gt;0,Y959&lt;1,NOT(AND(C960=C959,Y960=Y959+1))),INDEX(DATAS,Y959+1),"")</f>
        <v/>
      </c>
      <c r="AG959" s="45" t="str">
        <f aca="false">IF(AND(AA959=1,Y959&lt;1),IF(AND(C960=C959,Y960=Y959+1),IF(AA960=1,"",INDEX(DATAS,Y959+1)),INDEX(DATAS,Y959+1)),"")</f>
        <v/>
      </c>
    </row>
    <row r="960" customFormat="false" ht="15" hidden="false" customHeight="false" outlineLevel="0" collapsed="false">
      <c r="A960" s="45" t="n">
        <v>46309</v>
      </c>
      <c r="B960" s="0" t="n">
        <v>5</v>
      </c>
      <c r="C960" s="0" t="n">
        <v>4943</v>
      </c>
      <c r="D960" s="0" t="n">
        <v>154</v>
      </c>
      <c r="E960" s="0" t="n">
        <v>2</v>
      </c>
      <c r="F960" s="39" t="s">
        <v>695</v>
      </c>
      <c r="G960" s="0" t="n">
        <v>28.9</v>
      </c>
      <c r="H960" s="0" t="n">
        <v>33</v>
      </c>
      <c r="I960" s="39" t="s">
        <v>146</v>
      </c>
      <c r="J960" s="0" t="n">
        <v>154</v>
      </c>
      <c r="K960" s="0" t="n">
        <v>63</v>
      </c>
      <c r="M960" s="0" t="n">
        <v>517.77</v>
      </c>
      <c r="N960" s="0" t="n">
        <v>54.77</v>
      </c>
      <c r="O960" s="0" t="n">
        <v>25.9</v>
      </c>
      <c r="P960" s="0" t="n">
        <v>3.93</v>
      </c>
      <c r="Q960" s="0" t="n">
        <v>3.31</v>
      </c>
      <c r="R960" s="0" t="n">
        <v>4043</v>
      </c>
      <c r="S960" s="0" t="n">
        <v>8160</v>
      </c>
      <c r="T960" s="0" t="n">
        <v>44.6</v>
      </c>
      <c r="U960" s="0" t="n">
        <v>1149</v>
      </c>
      <c r="V960" s="0" t="n">
        <v>3</v>
      </c>
      <c r="W960" s="39" t="n">
        <f aca="false">IF(I960="Male",0,1)</f>
        <v>1</v>
      </c>
      <c r="X960" s="39" t="n">
        <f aca="false">IF(OR(I960="DNB",I960="Dry DNB"),1,0)</f>
        <v>0</v>
      </c>
      <c r="Y960" s="39" t="n">
        <f aca="false">MATCH(A960,DATAS,0)</f>
        <v>1</v>
      </c>
      <c r="Z960" s="39" t="n">
        <f aca="false">IF(AND(E960&gt;0,OR(AND(B960&gt;=1,B960&lt;=6),B960=10)),1,0)</f>
        <v>1</v>
      </c>
      <c r="AA960" s="39" t="n">
        <f aca="false">IF(AND(E960&gt;0,B960=10),1,0)</f>
        <v>0</v>
      </c>
      <c r="AB960" s="0" t="str">
        <f aca="false">IF(AND(C959=C960,Y959=Y960-1),Z959,"")</f>
        <v/>
      </c>
      <c r="AC960" s="0" t="str">
        <f aca="false">IF(AND(C959=C960,Y959=Y960-1),AA959,"")</f>
        <v/>
      </c>
      <c r="AD960" s="0" t="str">
        <f aca="false">IF(Y960=1,"",IF(AND(Z960=1,AB960&lt;&gt;1),1,0))</f>
        <v/>
      </c>
      <c r="AE960" s="0" t="str">
        <f aca="false">IF(Y960=1,"",IF(AND(AA960=1,AC960&lt;&gt;1),1,0))</f>
        <v/>
      </c>
      <c r="AF960" s="45" t="str">
        <f aca="false">IF(AND(E960&gt;0,Y960&lt;1,NOT(AND(C961=C960,Y961=Y960+1))),INDEX(DATAS,Y960+1),"")</f>
        <v/>
      </c>
      <c r="AG960" s="45" t="str">
        <f aca="false">IF(AND(AA960=1,Y960&lt;1),IF(AND(C961=C960,Y961=Y960+1),IF(AA961=1,"",INDEX(DATAS,Y960+1)),INDEX(DATAS,Y960+1)),"")</f>
        <v/>
      </c>
    </row>
    <row r="961" customFormat="false" ht="15" hidden="false" customHeight="false" outlineLevel="0" collapsed="false">
      <c r="A961" s="45" t="n">
        <v>46309</v>
      </c>
      <c r="B961" s="0" t="n">
        <v>5</v>
      </c>
      <c r="C961" s="0" t="n">
        <v>4944</v>
      </c>
      <c r="D961" s="0" t="n">
        <v>112</v>
      </c>
      <c r="E961" s="0" t="n">
        <v>2</v>
      </c>
      <c r="F961" s="39" t="s">
        <v>696</v>
      </c>
      <c r="G961" s="0" t="n">
        <v>45.8</v>
      </c>
      <c r="H961" s="0" t="n">
        <v>45</v>
      </c>
      <c r="I961" s="39" t="s">
        <v>109</v>
      </c>
      <c r="J961" s="0" t="n">
        <v>63</v>
      </c>
      <c r="K961" s="0" t="n">
        <v>63</v>
      </c>
      <c r="L961" s="0" t="n">
        <v>49</v>
      </c>
      <c r="M961" s="0" t="n">
        <v>140.78</v>
      </c>
      <c r="N961" s="0" t="n">
        <v>58.88</v>
      </c>
      <c r="O961" s="0" t="n">
        <v>28.44</v>
      </c>
      <c r="P961" s="0" t="n">
        <v>5.34</v>
      </c>
      <c r="Q961" s="0" t="n">
        <v>3.66</v>
      </c>
      <c r="R961" s="0" t="n">
        <v>4457</v>
      </c>
      <c r="S961" s="0" t="n">
        <v>9021</v>
      </c>
      <c r="T961" s="0" t="n">
        <v>51.25</v>
      </c>
      <c r="U961" s="0" t="n">
        <v>1148</v>
      </c>
      <c r="V961" s="0" t="n">
        <v>1</v>
      </c>
      <c r="W961" s="39" t="n">
        <f aca="false">IF(I961="Male",0,1)</f>
        <v>1</v>
      </c>
      <c r="X961" s="39" t="n">
        <f aca="false">IF(OR(I961="DNB",I961="Dry DNB"),1,0)</f>
        <v>0</v>
      </c>
      <c r="Y961" s="39" t="n">
        <f aca="false">MATCH(A961,DATAS,0)</f>
        <v>1</v>
      </c>
      <c r="Z961" s="39" t="n">
        <f aca="false">IF(AND(E961&gt;0,OR(AND(B961&gt;=1,B961&lt;=6),B961=10)),1,0)</f>
        <v>1</v>
      </c>
      <c r="AA961" s="39" t="n">
        <f aca="false">IF(AND(E961&gt;0,B961=10),1,0)</f>
        <v>0</v>
      </c>
      <c r="AB961" s="0" t="str">
        <f aca="false">IF(AND(C960=C961,Y960=Y961-1),Z960,"")</f>
        <v/>
      </c>
      <c r="AC961" s="0" t="str">
        <f aca="false">IF(AND(C960=C961,Y960=Y961-1),AA960,"")</f>
        <v/>
      </c>
      <c r="AD961" s="0" t="str">
        <f aca="false">IF(Y961=1,"",IF(AND(Z961=1,AB961&lt;&gt;1),1,0))</f>
        <v/>
      </c>
      <c r="AE961" s="0" t="str">
        <f aca="false">IF(Y961=1,"",IF(AND(AA961=1,AC961&lt;&gt;1),1,0))</f>
        <v/>
      </c>
      <c r="AF961" s="45" t="str">
        <f aca="false">IF(AND(E961&gt;0,Y961&lt;1,NOT(AND(C962=C961,Y962=Y961+1))),INDEX(DATAS,Y961+1),"")</f>
        <v/>
      </c>
      <c r="AG961" s="45" t="str">
        <f aca="false">IF(AND(AA961=1,Y961&lt;1),IF(AND(C962=C961,Y962=Y961+1),IF(AA962=1,"",INDEX(DATAS,Y961+1)),INDEX(DATAS,Y961+1)),"")</f>
        <v/>
      </c>
    </row>
    <row r="962" customFormat="false" ht="15" hidden="false" customHeight="false" outlineLevel="0" collapsed="false">
      <c r="A962" s="45" t="n">
        <v>46309</v>
      </c>
      <c r="B962" s="0" t="n">
        <v>5</v>
      </c>
      <c r="C962" s="0" t="n">
        <v>4945</v>
      </c>
      <c r="D962" s="0" t="n">
        <v>57</v>
      </c>
      <c r="E962" s="0" t="n">
        <v>2</v>
      </c>
      <c r="F962" s="39" t="s">
        <v>696</v>
      </c>
      <c r="G962" s="0" t="n">
        <v>24.7</v>
      </c>
      <c r="H962" s="0" t="n">
        <v>27</v>
      </c>
      <c r="I962" s="39" t="s">
        <v>118</v>
      </c>
      <c r="J962" s="0" t="n">
        <v>57</v>
      </c>
      <c r="M962" s="0" t="n">
        <v>1086.47</v>
      </c>
      <c r="N962" s="0" t="n">
        <v>81.44</v>
      </c>
      <c r="O962" s="0" t="n">
        <v>55.81</v>
      </c>
      <c r="P962" s="0" t="n">
        <v>4.14</v>
      </c>
      <c r="Q962" s="0" t="n">
        <v>3.86</v>
      </c>
      <c r="R962" s="0" t="n">
        <v>2840</v>
      </c>
      <c r="S962" s="0" t="n">
        <v>5710</v>
      </c>
      <c r="U962" s="0" t="n">
        <v>1148</v>
      </c>
      <c r="V962" s="0" t="n">
        <v>0</v>
      </c>
      <c r="W962" s="39" t="n">
        <f aca="false">IF(I962="Male",0,1)</f>
        <v>1</v>
      </c>
      <c r="X962" s="39" t="n">
        <f aca="false">IF(OR(I962="DNB",I962="Dry DNB"),1,0)</f>
        <v>0</v>
      </c>
      <c r="Y962" s="39" t="n">
        <f aca="false">MATCH(A962,DATAS,0)</f>
        <v>1</v>
      </c>
      <c r="Z962" s="39" t="n">
        <f aca="false">IF(AND(E962&gt;0,OR(AND(B962&gt;=1,B962&lt;=6),B962=10)),1,0)</f>
        <v>1</v>
      </c>
      <c r="AA962" s="39" t="n">
        <f aca="false">IF(AND(E962&gt;0,B962=10),1,0)</f>
        <v>0</v>
      </c>
      <c r="AB962" s="0" t="str">
        <f aca="false">IF(AND(C961=C962,Y961=Y962-1),Z961,"")</f>
        <v/>
      </c>
      <c r="AC962" s="0" t="str">
        <f aca="false">IF(AND(C961=C962,Y961=Y962-1),AA961,"")</f>
        <v/>
      </c>
      <c r="AD962" s="0" t="str">
        <f aca="false">IF(Y962=1,"",IF(AND(Z962=1,AB962&lt;&gt;1),1,0))</f>
        <v/>
      </c>
      <c r="AE962" s="0" t="str">
        <f aca="false">IF(Y962=1,"",IF(AND(AA962=1,AC962&lt;&gt;1),1,0))</f>
        <v/>
      </c>
      <c r="AF962" s="45" t="str">
        <f aca="false">IF(AND(E962&gt;0,Y962&lt;1,NOT(AND(C963=C962,Y963=Y962+1))),INDEX(DATAS,Y962+1),"")</f>
        <v/>
      </c>
      <c r="AG962" s="45" t="str">
        <f aca="false">IF(AND(AA962=1,Y962&lt;1),IF(AND(C963=C962,Y963=Y962+1),IF(AA963=1,"",INDEX(DATAS,Y962+1)),INDEX(DATAS,Y962+1)),"")</f>
        <v/>
      </c>
    </row>
    <row r="963" customFormat="false" ht="15" hidden="false" customHeight="false" outlineLevel="0" collapsed="false">
      <c r="A963" s="45" t="n">
        <v>46309</v>
      </c>
      <c r="B963" s="0" t="n">
        <v>7</v>
      </c>
      <c r="C963" s="0" t="n">
        <v>4947</v>
      </c>
      <c r="D963" s="0" t="n">
        <v>360</v>
      </c>
      <c r="E963" s="0" t="n">
        <v>1</v>
      </c>
      <c r="F963" s="39" t="s">
        <v>697</v>
      </c>
      <c r="G963" s="0" t="n">
        <v>12.9</v>
      </c>
      <c r="H963" s="0" t="n">
        <v>36</v>
      </c>
      <c r="I963" s="39" t="s">
        <v>114</v>
      </c>
      <c r="J963" s="0" t="n">
        <v>137</v>
      </c>
      <c r="K963" s="0" t="n">
        <v>68</v>
      </c>
      <c r="L963" s="0" t="n">
        <v>224</v>
      </c>
      <c r="M963" s="0" t="n">
        <v>743.5</v>
      </c>
      <c r="N963" s="0" t="n">
        <v>76.09</v>
      </c>
      <c r="O963" s="0" t="n">
        <v>41.73</v>
      </c>
      <c r="P963" s="0" t="n">
        <v>4.1</v>
      </c>
      <c r="Q963" s="0" t="n">
        <v>3.8</v>
      </c>
      <c r="R963" s="0" t="n">
        <v>4378</v>
      </c>
      <c r="S963" s="0" t="n">
        <v>9666</v>
      </c>
      <c r="T963" s="0" t="n">
        <v>51.4</v>
      </c>
      <c r="U963" s="0" t="n">
        <v>1147</v>
      </c>
      <c r="V963" s="0" t="n">
        <v>3</v>
      </c>
      <c r="W963" s="39" t="n">
        <f aca="false">IF(I963="Male",0,1)</f>
        <v>1</v>
      </c>
      <c r="X963" s="39" t="n">
        <f aca="false">IF(OR(I963="DNB",I963="Dry DNB"),1,0)</f>
        <v>0</v>
      </c>
      <c r="Y963" s="39" t="n">
        <f aca="false">MATCH(A963,DATAS,0)</f>
        <v>1</v>
      </c>
      <c r="Z963" s="39" t="n">
        <f aca="false">IF(AND(E963&gt;0,OR(AND(B963&gt;=1,B963&lt;=6),B963=10)),1,0)</f>
        <v>0</v>
      </c>
      <c r="AA963" s="39" t="n">
        <f aca="false">IF(AND(E963&gt;0,B963=10),1,0)</f>
        <v>0</v>
      </c>
      <c r="AB963" s="0" t="str">
        <f aca="false">IF(AND(C962=C963,Y962=Y963-1),Z962,"")</f>
        <v/>
      </c>
      <c r="AC963" s="0" t="str">
        <f aca="false">IF(AND(C962=C963,Y962=Y963-1),AA962,"")</f>
        <v/>
      </c>
      <c r="AD963" s="0" t="str">
        <f aca="false">IF(Y963=1,"",IF(AND(Z963=1,AB963&lt;&gt;1),1,0))</f>
        <v/>
      </c>
      <c r="AE963" s="0" t="str">
        <f aca="false">IF(Y963=1,"",IF(AND(AA963=1,AC963&lt;&gt;1),1,0))</f>
        <v/>
      </c>
      <c r="AF963" s="45" t="str">
        <f aca="false">IF(AND(E963&gt;0,Y963&lt;1,NOT(AND(C964=C963,Y964=Y963+1))),INDEX(DATAS,Y963+1),"")</f>
        <v/>
      </c>
      <c r="AG963" s="45" t="str">
        <f aca="false">IF(AND(AA963=1,Y963&lt;1),IF(AND(C964=C963,Y964=Y963+1),IF(AA964=1,"",INDEX(DATAS,Y963+1)),INDEX(DATAS,Y963+1)),"")</f>
        <v/>
      </c>
    </row>
    <row r="964" customFormat="false" ht="15" hidden="false" customHeight="false" outlineLevel="0" collapsed="false">
      <c r="A964" s="45" t="n">
        <v>46309</v>
      </c>
      <c r="B964" s="0" t="n">
        <v>2</v>
      </c>
      <c r="C964" s="0" t="n">
        <v>4948</v>
      </c>
      <c r="D964" s="0" t="n">
        <v>96</v>
      </c>
      <c r="E964" s="0" t="n">
        <v>2</v>
      </c>
      <c r="F964" s="39" t="s">
        <v>697</v>
      </c>
      <c r="G964" s="0" t="n">
        <v>45.3</v>
      </c>
      <c r="H964" s="0" t="n">
        <v>60</v>
      </c>
      <c r="I964" s="39" t="s">
        <v>138</v>
      </c>
      <c r="J964" s="0" t="n">
        <v>96</v>
      </c>
      <c r="K964" s="0" t="n">
        <v>68</v>
      </c>
      <c r="M964" s="0" t="n">
        <v>560</v>
      </c>
      <c r="N964" s="0" t="n">
        <v>70.06</v>
      </c>
      <c r="O964" s="0" t="n">
        <v>42.29</v>
      </c>
      <c r="P964" s="0" t="n">
        <v>3.93</v>
      </c>
      <c r="Q964" s="0" t="n">
        <v>3.26</v>
      </c>
      <c r="R964" s="0" t="n">
        <v>5059</v>
      </c>
      <c r="S964" s="0" t="n">
        <v>10169</v>
      </c>
      <c r="T964" s="0" t="n">
        <v>57.5</v>
      </c>
      <c r="U964" s="0" t="n">
        <v>1147</v>
      </c>
      <c r="V964" s="0" t="n">
        <v>1</v>
      </c>
      <c r="W964" s="39" t="n">
        <f aca="false">IF(I964="Male",0,1)</f>
        <v>1</v>
      </c>
      <c r="X964" s="39" t="n">
        <f aca="false">IF(OR(I964="DNB",I964="Dry DNB"),1,0)</f>
        <v>0</v>
      </c>
      <c r="Y964" s="39" t="n">
        <f aca="false">MATCH(A964,DATAS,0)</f>
        <v>1</v>
      </c>
      <c r="Z964" s="39" t="n">
        <f aca="false">IF(AND(E964&gt;0,OR(AND(B964&gt;=1,B964&lt;=6),B964=10)),1,0)</f>
        <v>1</v>
      </c>
      <c r="AA964" s="39" t="n">
        <f aca="false">IF(AND(E964&gt;0,B964=10),1,0)</f>
        <v>0</v>
      </c>
      <c r="AB964" s="0" t="str">
        <f aca="false">IF(AND(C963=C964,Y963=Y964-1),Z963,"")</f>
        <v/>
      </c>
      <c r="AC964" s="0" t="str">
        <f aca="false">IF(AND(C963=C964,Y963=Y964-1),AA963,"")</f>
        <v/>
      </c>
      <c r="AD964" s="0" t="str">
        <f aca="false">IF(Y964=1,"",IF(AND(Z964=1,AB964&lt;&gt;1),1,0))</f>
        <v/>
      </c>
      <c r="AE964" s="0" t="str">
        <f aca="false">IF(Y964=1,"",IF(AND(AA964=1,AC964&lt;&gt;1),1,0))</f>
        <v/>
      </c>
      <c r="AF964" s="45" t="str">
        <f aca="false">IF(AND(E964&gt;0,Y964&lt;1,NOT(AND(C965=C964,Y965=Y964+1))),INDEX(DATAS,Y964+1),"")</f>
        <v/>
      </c>
      <c r="AG964" s="45" t="str">
        <f aca="false">IF(AND(AA964=1,Y964&lt;1),IF(AND(C965=C964,Y965=Y964+1),IF(AA965=1,"",INDEX(DATAS,Y964+1)),INDEX(DATAS,Y964+1)),"")</f>
        <v/>
      </c>
    </row>
    <row r="965" customFormat="false" ht="15" hidden="false" customHeight="false" outlineLevel="0" collapsed="false">
      <c r="A965" s="45" t="n">
        <v>46309</v>
      </c>
      <c r="B965" s="0" t="n">
        <v>5</v>
      </c>
      <c r="C965" s="0" t="n">
        <v>4949</v>
      </c>
      <c r="D965" s="0" t="n">
        <v>182</v>
      </c>
      <c r="E965" s="0" t="n">
        <v>2</v>
      </c>
      <c r="F965" s="39" t="s">
        <v>697</v>
      </c>
      <c r="G965" s="0" t="n">
        <v>39.2</v>
      </c>
      <c r="H965" s="0" t="n">
        <v>40</v>
      </c>
      <c r="I965" s="39" t="s">
        <v>109</v>
      </c>
      <c r="J965" s="0" t="n">
        <v>98</v>
      </c>
      <c r="K965" s="0" t="n">
        <v>56</v>
      </c>
      <c r="L965" s="0" t="n">
        <v>84</v>
      </c>
      <c r="M965" s="0" t="n">
        <v>-228.95</v>
      </c>
      <c r="N965" s="0" t="n">
        <v>69.21</v>
      </c>
      <c r="O965" s="0" t="n">
        <v>11.47</v>
      </c>
      <c r="P965" s="0" t="n">
        <v>5.71</v>
      </c>
      <c r="Q965" s="0" t="n">
        <v>3.81</v>
      </c>
      <c r="R965" s="0" t="n">
        <v>4206</v>
      </c>
      <c r="S965" s="0" t="n">
        <v>8529</v>
      </c>
      <c r="T965" s="0" t="n">
        <v>45.2</v>
      </c>
      <c r="U965" s="0" t="n">
        <v>1147</v>
      </c>
      <c r="V965" s="0" t="n">
        <v>2</v>
      </c>
      <c r="W965" s="39" t="n">
        <f aca="false">IF(I965="Male",0,1)</f>
        <v>1</v>
      </c>
      <c r="X965" s="39" t="n">
        <f aca="false">IF(OR(I965="DNB",I965="Dry DNB"),1,0)</f>
        <v>0</v>
      </c>
      <c r="Y965" s="39" t="n">
        <f aca="false">MATCH(A965,DATAS,0)</f>
        <v>1</v>
      </c>
      <c r="Z965" s="39" t="n">
        <f aca="false">IF(AND(E965&gt;0,OR(AND(B965&gt;=1,B965&lt;=6),B965=10)),1,0)</f>
        <v>1</v>
      </c>
      <c r="AA965" s="39" t="n">
        <f aca="false">IF(AND(E965&gt;0,B965=10),1,0)</f>
        <v>0</v>
      </c>
      <c r="AB965" s="0" t="str">
        <f aca="false">IF(AND(C964=C965,Y964=Y965-1),Z964,"")</f>
        <v/>
      </c>
      <c r="AC965" s="0" t="str">
        <f aca="false">IF(AND(C964=C965,Y964=Y965-1),AA964,"")</f>
        <v/>
      </c>
      <c r="AD965" s="0" t="str">
        <f aca="false">IF(Y965=1,"",IF(AND(Z965=1,AB965&lt;&gt;1),1,0))</f>
        <v/>
      </c>
      <c r="AE965" s="0" t="str">
        <f aca="false">IF(Y965=1,"",IF(AND(AA965=1,AC965&lt;&gt;1),1,0))</f>
        <v/>
      </c>
      <c r="AF965" s="45" t="str">
        <f aca="false">IF(AND(E965&gt;0,Y965&lt;1,NOT(AND(C966=C965,Y966=Y965+1))),INDEX(DATAS,Y965+1),"")</f>
        <v/>
      </c>
      <c r="AG965" s="45" t="str">
        <f aca="false">IF(AND(AA965=1,Y965&lt;1),IF(AND(C966=C965,Y966=Y965+1),IF(AA966=1,"",INDEX(DATAS,Y965+1)),INDEX(DATAS,Y965+1)),"")</f>
        <v/>
      </c>
    </row>
    <row r="966" customFormat="false" ht="15" hidden="false" customHeight="false" outlineLevel="0" collapsed="false">
      <c r="A966" s="45" t="n">
        <v>46309</v>
      </c>
      <c r="B966" s="0" t="n">
        <v>5</v>
      </c>
      <c r="C966" s="0" t="n">
        <v>4950</v>
      </c>
      <c r="D966" s="0" t="n">
        <v>91</v>
      </c>
      <c r="E966" s="0" t="n">
        <v>2</v>
      </c>
      <c r="F966" s="39" t="s">
        <v>698</v>
      </c>
      <c r="G966" s="0" t="n">
        <v>42.3</v>
      </c>
      <c r="H966" s="0" t="n">
        <v>38</v>
      </c>
      <c r="I966" s="39" t="s">
        <v>138</v>
      </c>
      <c r="J966" s="0" t="n">
        <v>91</v>
      </c>
      <c r="K966" s="0" t="n">
        <v>70</v>
      </c>
      <c r="M966" s="0" t="n">
        <v>-243.89</v>
      </c>
      <c r="N966" s="0" t="n">
        <v>49.38</v>
      </c>
      <c r="O966" s="0" t="n">
        <v>15.57</v>
      </c>
      <c r="P966" s="0" t="n">
        <v>3.83</v>
      </c>
      <c r="Q966" s="0" t="n">
        <v>3.53</v>
      </c>
      <c r="R966" s="0" t="n">
        <v>3576</v>
      </c>
      <c r="S966" s="0" t="n">
        <v>7188</v>
      </c>
      <c r="T966" s="0" t="n">
        <v>40.85</v>
      </c>
      <c r="U966" s="0" t="n">
        <v>1146</v>
      </c>
      <c r="V966" s="0" t="n">
        <v>1</v>
      </c>
      <c r="W966" s="39" t="n">
        <f aca="false">IF(I966="Male",0,1)</f>
        <v>1</v>
      </c>
      <c r="X966" s="39" t="n">
        <f aca="false">IF(OR(I966="DNB",I966="Dry DNB"),1,0)</f>
        <v>0</v>
      </c>
      <c r="Y966" s="39" t="n">
        <f aca="false">MATCH(A966,DATAS,0)</f>
        <v>1</v>
      </c>
      <c r="Z966" s="39" t="n">
        <f aca="false">IF(AND(E966&gt;0,OR(AND(B966&gt;=1,B966&lt;=6),B966=10)),1,0)</f>
        <v>1</v>
      </c>
      <c r="AA966" s="39" t="n">
        <f aca="false">IF(AND(E966&gt;0,B966=10),1,0)</f>
        <v>0</v>
      </c>
      <c r="AB966" s="0" t="str">
        <f aca="false">IF(AND(C965=C966,Y965=Y966-1),Z965,"")</f>
        <v/>
      </c>
      <c r="AC966" s="0" t="str">
        <f aca="false">IF(AND(C965=C966,Y965=Y966-1),AA965,"")</f>
        <v/>
      </c>
      <c r="AD966" s="0" t="str">
        <f aca="false">IF(Y966=1,"",IF(AND(Z966=1,AB966&lt;&gt;1),1,0))</f>
        <v/>
      </c>
      <c r="AE966" s="0" t="str">
        <f aca="false">IF(Y966=1,"",IF(AND(AA966=1,AC966&lt;&gt;1),1,0))</f>
        <v/>
      </c>
      <c r="AF966" s="45" t="str">
        <f aca="false">IF(AND(E966&gt;0,Y966&lt;1,NOT(AND(C967=C966,Y967=Y966+1))),INDEX(DATAS,Y966+1),"")</f>
        <v/>
      </c>
      <c r="AG966" s="45" t="str">
        <f aca="false">IF(AND(AA966=1,Y966&lt;1),IF(AND(C967=C966,Y967=Y966+1),IF(AA967=1,"",INDEX(DATAS,Y966+1)),INDEX(DATAS,Y966+1)),"")</f>
        <v/>
      </c>
    </row>
    <row r="967" customFormat="false" ht="15" hidden="false" customHeight="false" outlineLevel="0" collapsed="false">
      <c r="A967" s="45" t="n">
        <v>46309</v>
      </c>
      <c r="B967" s="0" t="n">
        <v>6</v>
      </c>
      <c r="C967" s="0" t="n">
        <v>4951</v>
      </c>
      <c r="D967" s="0" t="n">
        <v>496</v>
      </c>
      <c r="E967" s="0" t="n">
        <v>1</v>
      </c>
      <c r="F967" s="39" t="s">
        <v>698</v>
      </c>
      <c r="G967" s="0" t="n">
        <v>27.4</v>
      </c>
      <c r="H967" s="0" t="n">
        <v>25</v>
      </c>
      <c r="I967" s="39" t="s">
        <v>96</v>
      </c>
      <c r="J967" s="0" t="n">
        <v>496</v>
      </c>
      <c r="K967" s="0" t="n">
        <v>62</v>
      </c>
      <c r="M967" s="0" t="n">
        <v>885.72</v>
      </c>
      <c r="N967" s="0" t="n">
        <v>81.78</v>
      </c>
      <c r="O967" s="0" t="n">
        <v>48.24</v>
      </c>
      <c r="P967" s="0" t="n">
        <v>5.64</v>
      </c>
      <c r="Q967" s="0" t="n">
        <v>4.54</v>
      </c>
      <c r="R967" s="0" t="n">
        <v>4222</v>
      </c>
      <c r="S967" s="0" t="n">
        <v>8965</v>
      </c>
      <c r="T967" s="0" t="n">
        <v>51.2</v>
      </c>
      <c r="U967" s="0" t="n">
        <v>1146</v>
      </c>
      <c r="V967" s="0" t="n">
        <v>11</v>
      </c>
      <c r="W967" s="39" t="n">
        <f aca="false">IF(I967="Male",0,1)</f>
        <v>1</v>
      </c>
      <c r="X967" s="39" t="n">
        <f aca="false">IF(OR(I967="DNB",I967="Dry DNB"),1,0)</f>
        <v>1</v>
      </c>
      <c r="Y967" s="39" t="n">
        <f aca="false">MATCH(A967,DATAS,0)</f>
        <v>1</v>
      </c>
      <c r="Z967" s="39" t="n">
        <f aca="false">IF(AND(E967&gt;0,OR(AND(B967&gt;=1,B967&lt;=6),B967=10)),1,0)</f>
        <v>1</v>
      </c>
      <c r="AA967" s="39" t="n">
        <f aca="false">IF(AND(E967&gt;0,B967=10),1,0)</f>
        <v>0</v>
      </c>
      <c r="AB967" s="0" t="str">
        <f aca="false">IF(AND(C966=C967,Y966=Y967-1),Z966,"")</f>
        <v/>
      </c>
      <c r="AC967" s="0" t="str">
        <f aca="false">IF(AND(C966=C967,Y966=Y967-1),AA966,"")</f>
        <v/>
      </c>
      <c r="AD967" s="0" t="str">
        <f aca="false">IF(Y967=1,"",IF(AND(Z967=1,AB967&lt;&gt;1),1,0))</f>
        <v/>
      </c>
      <c r="AE967" s="0" t="str">
        <f aca="false">IF(Y967=1,"",IF(AND(AA967=1,AC967&lt;&gt;1),1,0))</f>
        <v/>
      </c>
      <c r="AF967" s="45" t="str">
        <f aca="false">IF(AND(E967&gt;0,Y967&lt;1,NOT(AND(C968=C967,Y968=Y967+1))),INDEX(DATAS,Y967+1),"")</f>
        <v/>
      </c>
      <c r="AG967" s="45" t="str">
        <f aca="false">IF(AND(AA967=1,Y967&lt;1),IF(AND(C968=C967,Y968=Y967+1),IF(AA968=1,"",INDEX(DATAS,Y967+1)),INDEX(DATAS,Y967+1)),"")</f>
        <v/>
      </c>
    </row>
    <row r="968" customFormat="false" ht="15" hidden="false" customHeight="false" outlineLevel="0" collapsed="false">
      <c r="A968" s="45" t="n">
        <v>46309</v>
      </c>
      <c r="B968" s="0" t="n">
        <v>2</v>
      </c>
      <c r="C968" s="0" t="n">
        <v>4952</v>
      </c>
      <c r="D968" s="0" t="n">
        <v>78</v>
      </c>
      <c r="E968" s="0" t="n">
        <v>2</v>
      </c>
      <c r="F968" s="39" t="s">
        <v>698</v>
      </c>
      <c r="G968" s="0" t="n">
        <v>63.5</v>
      </c>
      <c r="H968" s="0" t="n">
        <v>59</v>
      </c>
      <c r="I968" s="39" t="s">
        <v>138</v>
      </c>
      <c r="J968" s="0" t="n">
        <v>78</v>
      </c>
      <c r="K968" s="0" t="n">
        <v>64</v>
      </c>
      <c r="M968" s="0" t="n">
        <v>265.62</v>
      </c>
      <c r="N968" s="0" t="n">
        <v>78.65</v>
      </c>
      <c r="O968" s="0" t="n">
        <v>24.27</v>
      </c>
      <c r="P968" s="0" t="n">
        <v>3.69</v>
      </c>
      <c r="Q968" s="0" t="n">
        <v>3.4</v>
      </c>
      <c r="R968" s="0" t="n">
        <v>5458</v>
      </c>
      <c r="S968" s="0" t="n">
        <v>10972</v>
      </c>
      <c r="U968" s="0" t="n">
        <v>1146</v>
      </c>
      <c r="V968" s="0" t="n">
        <v>1</v>
      </c>
      <c r="W968" s="39" t="n">
        <f aca="false">IF(I968="Male",0,1)</f>
        <v>1</v>
      </c>
      <c r="X968" s="39" t="n">
        <f aca="false">IF(OR(I968="DNB",I968="Dry DNB"),1,0)</f>
        <v>0</v>
      </c>
      <c r="Y968" s="39" t="n">
        <f aca="false">MATCH(A968,DATAS,0)</f>
        <v>1</v>
      </c>
      <c r="Z968" s="39" t="n">
        <f aca="false">IF(AND(E968&gt;0,OR(AND(B968&gt;=1,B968&lt;=6),B968=10)),1,0)</f>
        <v>1</v>
      </c>
      <c r="AA968" s="39" t="n">
        <f aca="false">IF(AND(E968&gt;0,B968=10),1,0)</f>
        <v>0</v>
      </c>
      <c r="AB968" s="0" t="str">
        <f aca="false">IF(AND(C967=C968,Y967=Y968-1),Z967,"")</f>
        <v/>
      </c>
      <c r="AC968" s="0" t="str">
        <f aca="false">IF(AND(C967=C968,Y967=Y968-1),AA967,"")</f>
        <v/>
      </c>
      <c r="AD968" s="0" t="str">
        <f aca="false">IF(Y968=1,"",IF(AND(Z968=1,AB968&lt;&gt;1),1,0))</f>
        <v/>
      </c>
      <c r="AE968" s="0" t="str">
        <f aca="false">IF(Y968=1,"",IF(AND(AA968=1,AC968&lt;&gt;1),1,0))</f>
        <v/>
      </c>
      <c r="AF968" s="45" t="str">
        <f aca="false">IF(AND(E968&gt;0,Y968&lt;1,NOT(AND(C969=C968,Y969=Y968+1))),INDEX(DATAS,Y968+1),"")</f>
        <v/>
      </c>
      <c r="AG968" s="45" t="str">
        <f aca="false">IF(AND(AA968=1,Y968&lt;1),IF(AND(C969=C968,Y969=Y968+1),IF(AA969=1,"",INDEX(DATAS,Y968+1)),INDEX(DATAS,Y968+1)),"")</f>
        <v/>
      </c>
    </row>
    <row r="969" customFormat="false" ht="15" hidden="false" customHeight="false" outlineLevel="0" collapsed="false">
      <c r="A969" s="45" t="n">
        <v>46309</v>
      </c>
      <c r="B969" s="0" t="n">
        <v>10</v>
      </c>
      <c r="C969" s="0" t="n">
        <v>4953</v>
      </c>
      <c r="D969" s="0" t="n">
        <v>169</v>
      </c>
      <c r="E969" s="0" t="n">
        <v>2</v>
      </c>
      <c r="F969" s="39" t="s">
        <v>698</v>
      </c>
      <c r="G969" s="0" t="n">
        <v>30.1</v>
      </c>
      <c r="H969" s="0" t="n">
        <v>22</v>
      </c>
      <c r="I969" s="39" t="s">
        <v>138</v>
      </c>
      <c r="J969" s="0" t="n">
        <v>169</v>
      </c>
      <c r="K969" s="0" t="n">
        <v>64</v>
      </c>
      <c r="M969" s="0" t="n">
        <v>1514.29</v>
      </c>
      <c r="N969" s="0" t="n">
        <v>63.85</v>
      </c>
      <c r="O969" s="0" t="n">
        <v>46.95</v>
      </c>
      <c r="P969" s="0" t="n">
        <v>3.71</v>
      </c>
      <c r="Q969" s="0" t="n">
        <v>3.26</v>
      </c>
      <c r="R969" s="0" t="n">
        <v>4943</v>
      </c>
      <c r="S969" s="0" t="n">
        <v>10878</v>
      </c>
      <c r="T969" s="0" t="n">
        <v>60.2</v>
      </c>
      <c r="U969" s="0" t="n">
        <v>1146</v>
      </c>
      <c r="V969" s="0" t="n">
        <v>2</v>
      </c>
      <c r="W969" s="39" t="n">
        <f aca="false">IF(I969="Male",0,1)</f>
        <v>1</v>
      </c>
      <c r="X969" s="39" t="n">
        <f aca="false">IF(OR(I969="DNB",I969="Dry DNB"),1,0)</f>
        <v>0</v>
      </c>
      <c r="Y969" s="39" t="n">
        <f aca="false">MATCH(A969,DATAS,0)</f>
        <v>1</v>
      </c>
      <c r="Z969" s="39" t="n">
        <f aca="false">IF(AND(E969&gt;0,OR(AND(B969&gt;=1,B969&lt;=6),B969=10)),1,0)</f>
        <v>1</v>
      </c>
      <c r="AA969" s="39" t="n">
        <f aca="false">IF(AND(E969&gt;0,B969=10),1,0)</f>
        <v>1</v>
      </c>
      <c r="AB969" s="0" t="str">
        <f aca="false">IF(AND(C968=C969,Y968=Y969-1),Z968,"")</f>
        <v/>
      </c>
      <c r="AC969" s="0" t="str">
        <f aca="false">IF(AND(C968=C969,Y968=Y969-1),AA968,"")</f>
        <v/>
      </c>
      <c r="AD969" s="0" t="str">
        <f aca="false">IF(Y969=1,"",IF(AND(Z969=1,AB969&lt;&gt;1),1,0))</f>
        <v/>
      </c>
      <c r="AE969" s="0" t="str">
        <f aca="false">IF(Y969=1,"",IF(AND(AA969=1,AC969&lt;&gt;1),1,0))</f>
        <v/>
      </c>
      <c r="AF969" s="45" t="str">
        <f aca="false">IF(AND(E969&gt;0,Y969&lt;1,NOT(AND(C970=C969,Y970=Y969+1))),INDEX(DATAS,Y969+1),"")</f>
        <v/>
      </c>
      <c r="AG969" s="45" t="str">
        <f aca="false">IF(AND(AA969=1,Y969&lt;1),IF(AND(C970=C969,Y970=Y969+1),IF(AA970=1,"",INDEX(DATAS,Y969+1)),INDEX(DATAS,Y969+1)),"")</f>
        <v/>
      </c>
    </row>
    <row r="970" customFormat="false" ht="15" hidden="false" customHeight="false" outlineLevel="0" collapsed="false">
      <c r="A970" s="45" t="n">
        <v>46309</v>
      </c>
      <c r="B970" s="0" t="n">
        <v>5</v>
      </c>
      <c r="C970" s="0" t="n">
        <v>4954</v>
      </c>
      <c r="D970" s="0" t="n">
        <v>270</v>
      </c>
      <c r="E970" s="0" t="n">
        <v>2</v>
      </c>
      <c r="F970" s="39" t="s">
        <v>699</v>
      </c>
      <c r="G970" s="0" t="n">
        <v>31.4</v>
      </c>
      <c r="H970" s="0" t="n">
        <v>31</v>
      </c>
      <c r="I970" s="39" t="s">
        <v>138</v>
      </c>
      <c r="J970" s="0" t="n">
        <v>270</v>
      </c>
      <c r="K970" s="0" t="n">
        <v>67</v>
      </c>
      <c r="M970" s="0" t="n">
        <v>-27.31</v>
      </c>
      <c r="N970" s="0" t="n">
        <v>82.53</v>
      </c>
      <c r="O970" s="0" t="n">
        <v>17.9</v>
      </c>
      <c r="P970" s="0" t="n">
        <v>8.03</v>
      </c>
      <c r="Q970" s="0" t="n">
        <v>4.28</v>
      </c>
      <c r="R970" s="0" t="n">
        <v>4178</v>
      </c>
      <c r="S970" s="0" t="n">
        <v>7719</v>
      </c>
      <c r="T970" s="0" t="n">
        <v>44.55</v>
      </c>
      <c r="U970" s="0" t="n">
        <v>1145</v>
      </c>
      <c r="V970" s="0" t="n">
        <v>5</v>
      </c>
      <c r="W970" s="39" t="n">
        <f aca="false">IF(I970="Male",0,1)</f>
        <v>1</v>
      </c>
      <c r="X970" s="39" t="n">
        <f aca="false">IF(OR(I970="DNB",I970="Dry DNB"),1,0)</f>
        <v>0</v>
      </c>
      <c r="Y970" s="39" t="n">
        <f aca="false">MATCH(A970,DATAS,0)</f>
        <v>1</v>
      </c>
      <c r="Z970" s="39" t="n">
        <f aca="false">IF(AND(E970&gt;0,OR(AND(B970&gt;=1,B970&lt;=6),B970=10)),1,0)</f>
        <v>1</v>
      </c>
      <c r="AA970" s="39" t="n">
        <f aca="false">IF(AND(E970&gt;0,B970=10),1,0)</f>
        <v>0</v>
      </c>
      <c r="AB970" s="0" t="str">
        <f aca="false">IF(AND(C969=C970,Y969=Y970-1),Z969,"")</f>
        <v/>
      </c>
      <c r="AC970" s="0" t="str">
        <f aca="false">IF(AND(C969=C970,Y969=Y970-1),AA969,"")</f>
        <v/>
      </c>
      <c r="AD970" s="0" t="str">
        <f aca="false">IF(Y970=1,"",IF(AND(Z970=1,AB970&lt;&gt;1),1,0))</f>
        <v/>
      </c>
      <c r="AE970" s="0" t="str">
        <f aca="false">IF(Y970=1,"",IF(AND(AA970=1,AC970&lt;&gt;1),1,0))</f>
        <v/>
      </c>
      <c r="AF970" s="45" t="str">
        <f aca="false">IF(AND(E970&gt;0,Y970&lt;1,NOT(AND(C971=C970,Y971=Y970+1))),INDEX(DATAS,Y970+1),"")</f>
        <v/>
      </c>
      <c r="AG970" s="45" t="str">
        <f aca="false">IF(AND(AA970=1,Y970&lt;1),IF(AND(C971=C970,Y971=Y970+1),IF(AA971=1,"",INDEX(DATAS,Y970+1)),INDEX(DATAS,Y970+1)),"")</f>
        <v/>
      </c>
    </row>
    <row r="971" customFormat="false" ht="15" hidden="false" customHeight="false" outlineLevel="0" collapsed="false">
      <c r="A971" s="45" t="n">
        <v>46309</v>
      </c>
      <c r="B971" s="0" t="n">
        <v>2</v>
      </c>
      <c r="C971" s="0" t="n">
        <v>4955</v>
      </c>
      <c r="D971" s="0" t="n">
        <v>140</v>
      </c>
      <c r="E971" s="0" t="n">
        <v>2</v>
      </c>
      <c r="F971" s="39" t="s">
        <v>699</v>
      </c>
      <c r="G971" s="0" t="n">
        <v>49</v>
      </c>
      <c r="H971" s="0" t="n">
        <v>51</v>
      </c>
      <c r="I971" s="39" t="s">
        <v>146</v>
      </c>
      <c r="J971" s="0" t="n">
        <v>140</v>
      </c>
      <c r="K971" s="0" t="n">
        <v>63</v>
      </c>
      <c r="M971" s="0" t="n">
        <v>1603.71</v>
      </c>
      <c r="N971" s="0" t="n">
        <v>28.88</v>
      </c>
      <c r="O971" s="0" t="n">
        <v>37.7</v>
      </c>
      <c r="P971" s="0" t="n">
        <v>3.25</v>
      </c>
      <c r="Q971" s="0" t="n">
        <v>3.03</v>
      </c>
      <c r="R971" s="0" t="n">
        <v>4939</v>
      </c>
      <c r="S971" s="0" t="n">
        <v>10014</v>
      </c>
      <c r="T971" s="0" t="n">
        <v>58.05</v>
      </c>
      <c r="U971" s="0" t="n">
        <v>1145</v>
      </c>
      <c r="V971" s="0" t="n">
        <v>2</v>
      </c>
      <c r="W971" s="39" t="n">
        <f aca="false">IF(I971="Male",0,1)</f>
        <v>1</v>
      </c>
      <c r="X971" s="39" t="n">
        <f aca="false">IF(OR(I971="DNB",I971="Dry DNB"),1,0)</f>
        <v>0</v>
      </c>
      <c r="Y971" s="39" t="n">
        <f aca="false">MATCH(A971,DATAS,0)</f>
        <v>1</v>
      </c>
      <c r="Z971" s="39" t="n">
        <f aca="false">IF(AND(E971&gt;0,OR(AND(B971&gt;=1,B971&lt;=6),B971=10)),1,0)</f>
        <v>1</v>
      </c>
      <c r="AA971" s="39" t="n">
        <f aca="false">IF(AND(E971&gt;0,B971=10),1,0)</f>
        <v>0</v>
      </c>
      <c r="AB971" s="0" t="str">
        <f aca="false">IF(AND(C970=C971,Y970=Y971-1),Z970,"")</f>
        <v/>
      </c>
      <c r="AC971" s="0" t="str">
        <f aca="false">IF(AND(C970=C971,Y970=Y971-1),AA970,"")</f>
        <v/>
      </c>
      <c r="AD971" s="0" t="str">
        <f aca="false">IF(Y971=1,"",IF(AND(Z971=1,AB971&lt;&gt;1),1,0))</f>
        <v/>
      </c>
      <c r="AE971" s="0" t="str">
        <f aca="false">IF(Y971=1,"",IF(AND(AA971=1,AC971&lt;&gt;1),1,0))</f>
        <v/>
      </c>
      <c r="AF971" s="45" t="str">
        <f aca="false">IF(AND(E971&gt;0,Y971&lt;1,NOT(AND(C972=C971,Y972=Y971+1))),INDEX(DATAS,Y971+1),"")</f>
        <v/>
      </c>
      <c r="AG971" s="45" t="str">
        <f aca="false">IF(AND(AA971=1,Y971&lt;1),IF(AND(C972=C971,Y972=Y971+1),IF(AA972=1,"",INDEX(DATAS,Y971+1)),INDEX(DATAS,Y971+1)),"")</f>
        <v/>
      </c>
    </row>
    <row r="972" customFormat="false" ht="15" hidden="false" customHeight="false" outlineLevel="0" collapsed="false">
      <c r="A972" s="45" t="n">
        <v>46309</v>
      </c>
      <c r="B972" s="0" t="n">
        <v>3</v>
      </c>
      <c r="C972" s="0" t="n">
        <v>4957</v>
      </c>
      <c r="D972" s="0" t="n">
        <v>50</v>
      </c>
      <c r="E972" s="0" t="n">
        <v>2</v>
      </c>
      <c r="F972" s="39" t="s">
        <v>700</v>
      </c>
      <c r="G972" s="0" t="n">
        <v>46.6</v>
      </c>
      <c r="H972" s="0" t="n">
        <v>48</v>
      </c>
      <c r="I972" s="39" t="s">
        <v>118</v>
      </c>
      <c r="J972" s="0" t="n">
        <v>50</v>
      </c>
      <c r="M972" s="0" t="n">
        <v>517.44</v>
      </c>
      <c r="N972" s="0" t="n">
        <v>51.42</v>
      </c>
      <c r="O972" s="0" t="n">
        <v>21.07</v>
      </c>
      <c r="P972" s="0" t="n">
        <v>3.77</v>
      </c>
      <c r="Q972" s="0" t="n">
        <v>3.28</v>
      </c>
      <c r="R972" s="0" t="n">
        <v>4232</v>
      </c>
      <c r="S972" s="0" t="n">
        <v>8507</v>
      </c>
      <c r="U972" s="0" t="n">
        <v>1144</v>
      </c>
      <c r="V972" s="0" t="n">
        <v>0</v>
      </c>
      <c r="W972" s="39" t="n">
        <f aca="false">IF(I972="Male",0,1)</f>
        <v>1</v>
      </c>
      <c r="X972" s="39" t="n">
        <f aca="false">IF(OR(I972="DNB",I972="Dry DNB"),1,0)</f>
        <v>0</v>
      </c>
      <c r="Y972" s="39" t="n">
        <f aca="false">MATCH(A972,DATAS,0)</f>
        <v>1</v>
      </c>
      <c r="Z972" s="39" t="n">
        <f aca="false">IF(AND(E972&gt;0,OR(AND(B972&gt;=1,B972&lt;=6),B972=10)),1,0)</f>
        <v>1</v>
      </c>
      <c r="AA972" s="39" t="n">
        <f aca="false">IF(AND(E972&gt;0,B972=10),1,0)</f>
        <v>0</v>
      </c>
      <c r="AB972" s="0" t="str">
        <f aca="false">IF(AND(C971=C972,Y971=Y972-1),Z971,"")</f>
        <v/>
      </c>
      <c r="AC972" s="0" t="str">
        <f aca="false">IF(AND(C971=C972,Y971=Y972-1),AA971,"")</f>
        <v/>
      </c>
      <c r="AD972" s="0" t="str">
        <f aca="false">IF(Y972=1,"",IF(AND(Z972=1,AB972&lt;&gt;1),1,0))</f>
        <v/>
      </c>
      <c r="AE972" s="0" t="str">
        <f aca="false">IF(Y972=1,"",IF(AND(AA972=1,AC972&lt;&gt;1),1,0))</f>
        <v/>
      </c>
      <c r="AF972" s="45" t="str">
        <f aca="false">IF(AND(E972&gt;0,Y972&lt;1,NOT(AND(C973=C972,Y973=Y972+1))),INDEX(DATAS,Y972+1),"")</f>
        <v/>
      </c>
      <c r="AG972" s="45" t="str">
        <f aca="false">IF(AND(AA972=1,Y972&lt;1),IF(AND(C973=C972,Y973=Y972+1),IF(AA973=1,"",INDEX(DATAS,Y972+1)),INDEX(DATAS,Y972+1)),"")</f>
        <v/>
      </c>
    </row>
    <row r="973" customFormat="false" ht="15" hidden="false" customHeight="false" outlineLevel="0" collapsed="false">
      <c r="A973" s="45" t="n">
        <v>46309</v>
      </c>
      <c r="B973" s="0" t="n">
        <v>2</v>
      </c>
      <c r="C973" s="0" t="n">
        <v>4958</v>
      </c>
      <c r="D973" s="0" t="n">
        <v>146</v>
      </c>
      <c r="E973" s="0" t="n">
        <v>2</v>
      </c>
      <c r="F973" s="39" t="s">
        <v>701</v>
      </c>
      <c r="G973" s="0" t="n">
        <v>52.4</v>
      </c>
      <c r="H973" s="0" t="n">
        <v>53</v>
      </c>
      <c r="I973" s="39" t="s">
        <v>138</v>
      </c>
      <c r="J973" s="0" t="n">
        <v>146</v>
      </c>
      <c r="K973" s="0" t="n">
        <v>69</v>
      </c>
      <c r="M973" s="0" t="n">
        <v>1152.54</v>
      </c>
      <c r="N973" s="0" t="n">
        <v>43.93</v>
      </c>
      <c r="O973" s="0" t="n">
        <v>33.91</v>
      </c>
      <c r="P973" s="0" t="n">
        <v>2.26</v>
      </c>
      <c r="Q973" s="0" t="n">
        <v>3.26</v>
      </c>
      <c r="R973" s="0" t="n">
        <v>5461</v>
      </c>
      <c r="S973" s="0" t="n">
        <v>10916</v>
      </c>
      <c r="T973" s="0" t="n">
        <v>58.65</v>
      </c>
      <c r="U973" s="0" t="n">
        <v>1142</v>
      </c>
      <c r="V973" s="0" t="n">
        <v>3</v>
      </c>
      <c r="W973" s="39" t="n">
        <f aca="false">IF(I973="Male",0,1)</f>
        <v>1</v>
      </c>
      <c r="X973" s="39" t="n">
        <f aca="false">IF(OR(I973="DNB",I973="Dry DNB"),1,0)</f>
        <v>0</v>
      </c>
      <c r="Y973" s="39" t="n">
        <f aca="false">MATCH(A973,DATAS,0)</f>
        <v>1</v>
      </c>
      <c r="Z973" s="39" t="n">
        <f aca="false">IF(AND(E973&gt;0,OR(AND(B973&gt;=1,B973&lt;=6),B973=10)),1,0)</f>
        <v>1</v>
      </c>
      <c r="AA973" s="39" t="n">
        <f aca="false">IF(AND(E973&gt;0,B973=10),1,0)</f>
        <v>0</v>
      </c>
      <c r="AB973" s="0" t="str">
        <f aca="false">IF(AND(C972=C973,Y972=Y973-1),Z972,"")</f>
        <v/>
      </c>
      <c r="AC973" s="0" t="str">
        <f aca="false">IF(AND(C972=C973,Y972=Y973-1),AA972,"")</f>
        <v/>
      </c>
      <c r="AD973" s="0" t="str">
        <f aca="false">IF(Y973=1,"",IF(AND(Z973=1,AB973&lt;&gt;1),1,0))</f>
        <v/>
      </c>
      <c r="AE973" s="0" t="str">
        <f aca="false">IF(Y973=1,"",IF(AND(AA973=1,AC973&lt;&gt;1),1,0))</f>
        <v/>
      </c>
      <c r="AF973" s="45" t="str">
        <f aca="false">IF(AND(E973&gt;0,Y973&lt;1,NOT(AND(C974=C973,Y974=Y973+1))),INDEX(DATAS,Y973+1),"")</f>
        <v/>
      </c>
      <c r="AG973" s="45" t="str">
        <f aca="false">IF(AND(AA973=1,Y973&lt;1),IF(AND(C974=C973,Y974=Y973+1),IF(AA974=1,"",INDEX(DATAS,Y973+1)),INDEX(DATAS,Y973+1)),"")</f>
        <v/>
      </c>
    </row>
    <row r="974" customFormat="false" ht="15" hidden="false" customHeight="false" outlineLevel="0" collapsed="false">
      <c r="A974" s="45" t="n">
        <v>46309</v>
      </c>
      <c r="B974" s="0" t="n">
        <v>2</v>
      </c>
      <c r="C974" s="0" t="n">
        <v>4959</v>
      </c>
      <c r="D974" s="0" t="n">
        <v>115</v>
      </c>
      <c r="E974" s="0" t="n">
        <v>2</v>
      </c>
      <c r="F974" s="39" t="s">
        <v>701</v>
      </c>
      <c r="G974" s="0" t="n">
        <v>52.8</v>
      </c>
      <c r="H974" s="0" t="n">
        <v>54</v>
      </c>
      <c r="I974" s="39" t="s">
        <v>109</v>
      </c>
      <c r="J974" s="0" t="n">
        <v>66</v>
      </c>
      <c r="K974" s="0" t="n">
        <v>66</v>
      </c>
      <c r="L974" s="0" t="n">
        <v>49</v>
      </c>
      <c r="M974" s="0" t="n">
        <v>277.73</v>
      </c>
      <c r="N974" s="0" t="n">
        <v>58.6</v>
      </c>
      <c r="O974" s="0" t="n">
        <v>16.4</v>
      </c>
      <c r="P974" s="0" t="n">
        <v>4.4</v>
      </c>
      <c r="Q974" s="0" t="n">
        <v>3.15</v>
      </c>
      <c r="R974" s="0" t="n">
        <v>5087</v>
      </c>
      <c r="S974" s="0" t="n">
        <v>10393</v>
      </c>
      <c r="T974" s="0" t="n">
        <v>55.25</v>
      </c>
      <c r="U974" s="0" t="n">
        <v>1142</v>
      </c>
      <c r="V974" s="0" t="n">
        <v>1</v>
      </c>
      <c r="W974" s="39" t="n">
        <f aca="false">IF(I974="Male",0,1)</f>
        <v>1</v>
      </c>
      <c r="X974" s="39" t="n">
        <f aca="false">IF(OR(I974="DNB",I974="Dry DNB"),1,0)</f>
        <v>0</v>
      </c>
      <c r="Y974" s="39" t="n">
        <f aca="false">MATCH(A974,DATAS,0)</f>
        <v>1</v>
      </c>
      <c r="Z974" s="39" t="n">
        <f aca="false">IF(AND(E974&gt;0,OR(AND(B974&gt;=1,B974&lt;=6),B974=10)),1,0)</f>
        <v>1</v>
      </c>
      <c r="AA974" s="39" t="n">
        <f aca="false">IF(AND(E974&gt;0,B974=10),1,0)</f>
        <v>0</v>
      </c>
      <c r="AB974" s="0" t="str">
        <f aca="false">IF(AND(C973=C974,Y973=Y974-1),Z973,"")</f>
        <v/>
      </c>
      <c r="AC974" s="0" t="str">
        <f aca="false">IF(AND(C973=C974,Y973=Y974-1),AA973,"")</f>
        <v/>
      </c>
      <c r="AD974" s="0" t="str">
        <f aca="false">IF(Y974=1,"",IF(AND(Z974=1,AB974&lt;&gt;1),1,0))</f>
        <v/>
      </c>
      <c r="AE974" s="0" t="str">
        <f aca="false">IF(Y974=1,"",IF(AND(AA974=1,AC974&lt;&gt;1),1,0))</f>
        <v/>
      </c>
      <c r="AF974" s="45" t="str">
        <f aca="false">IF(AND(E974&gt;0,Y974&lt;1,NOT(AND(C975=C974,Y975=Y974+1))),INDEX(DATAS,Y974+1),"")</f>
        <v/>
      </c>
      <c r="AG974" s="45" t="str">
        <f aca="false">IF(AND(AA974=1,Y974&lt;1),IF(AND(C975=C974,Y975=Y974+1),IF(AA975=1,"",INDEX(DATAS,Y974+1)),INDEX(DATAS,Y974+1)),"")</f>
        <v/>
      </c>
    </row>
    <row r="975" customFormat="false" ht="15" hidden="false" customHeight="false" outlineLevel="0" collapsed="false">
      <c r="A975" s="45" t="n">
        <v>46309</v>
      </c>
      <c r="B975" s="0" t="n">
        <v>3</v>
      </c>
      <c r="C975" s="0" t="n">
        <v>4960</v>
      </c>
      <c r="D975" s="0" t="n">
        <v>118</v>
      </c>
      <c r="E975" s="0" t="n">
        <v>2</v>
      </c>
      <c r="F975" s="39" t="s">
        <v>701</v>
      </c>
      <c r="G975" s="0" t="n">
        <v>65.2</v>
      </c>
      <c r="H975" s="0" t="n">
        <v>67</v>
      </c>
      <c r="I975" s="39" t="s">
        <v>138</v>
      </c>
      <c r="J975" s="0" t="n">
        <v>118</v>
      </c>
      <c r="K975" s="0" t="n">
        <v>63</v>
      </c>
      <c r="M975" s="0" t="n">
        <v>918.83</v>
      </c>
      <c r="N975" s="0" t="n">
        <v>74.84</v>
      </c>
      <c r="O975" s="0" t="n">
        <v>32.3</v>
      </c>
      <c r="P975" s="0" t="n">
        <v>3.88</v>
      </c>
      <c r="Q975" s="0" t="n">
        <v>3.13</v>
      </c>
      <c r="R975" s="0" t="n">
        <v>6287</v>
      </c>
      <c r="S975" s="0" t="n">
        <v>12770</v>
      </c>
      <c r="T975" s="0" t="n">
        <v>66.05</v>
      </c>
      <c r="U975" s="0" t="n">
        <v>1142</v>
      </c>
      <c r="V975" s="0" t="n">
        <v>2</v>
      </c>
      <c r="W975" s="39" t="n">
        <f aca="false">IF(I975="Male",0,1)</f>
        <v>1</v>
      </c>
      <c r="X975" s="39" t="n">
        <f aca="false">IF(OR(I975="DNB",I975="Dry DNB"),1,0)</f>
        <v>0</v>
      </c>
      <c r="Y975" s="39" t="n">
        <f aca="false">MATCH(A975,DATAS,0)</f>
        <v>1</v>
      </c>
      <c r="Z975" s="39" t="n">
        <f aca="false">IF(AND(E975&gt;0,OR(AND(B975&gt;=1,B975&lt;=6),B975=10)),1,0)</f>
        <v>1</v>
      </c>
      <c r="AA975" s="39" t="n">
        <f aca="false">IF(AND(E975&gt;0,B975=10),1,0)</f>
        <v>0</v>
      </c>
      <c r="AB975" s="0" t="str">
        <f aca="false">IF(AND(C974=C975,Y974=Y975-1),Z974,"")</f>
        <v/>
      </c>
      <c r="AC975" s="0" t="str">
        <f aca="false">IF(AND(C974=C975,Y974=Y975-1),AA974,"")</f>
        <v/>
      </c>
      <c r="AD975" s="0" t="str">
        <f aca="false">IF(Y975=1,"",IF(AND(Z975=1,AB975&lt;&gt;1),1,0))</f>
        <v/>
      </c>
      <c r="AE975" s="0" t="str">
        <f aca="false">IF(Y975=1,"",IF(AND(AA975=1,AC975&lt;&gt;1),1,0))</f>
        <v/>
      </c>
      <c r="AF975" s="45" t="str">
        <f aca="false">IF(AND(E975&gt;0,Y975&lt;1,NOT(AND(C976=C975,Y976=Y975+1))),INDEX(DATAS,Y975+1),"")</f>
        <v/>
      </c>
      <c r="AG975" s="45" t="str">
        <f aca="false">IF(AND(AA975=1,Y975&lt;1),IF(AND(C976=C975,Y976=Y975+1),IF(AA976=1,"",INDEX(DATAS,Y975+1)),INDEX(DATAS,Y975+1)),"")</f>
        <v/>
      </c>
    </row>
    <row r="976" customFormat="false" ht="15" hidden="false" customHeight="false" outlineLevel="0" collapsed="false">
      <c r="A976" s="45" t="n">
        <v>46309</v>
      </c>
      <c r="B976" s="0" t="n">
        <v>4</v>
      </c>
      <c r="C976" s="0" t="n">
        <v>4961</v>
      </c>
      <c r="D976" s="0" t="n">
        <v>343</v>
      </c>
      <c r="E976" s="0" t="n">
        <v>1</v>
      </c>
      <c r="F976" s="39" t="s">
        <v>701</v>
      </c>
      <c r="G976" s="0" t="n">
        <v>39.8</v>
      </c>
      <c r="H976" s="0" t="n">
        <v>41</v>
      </c>
      <c r="I976" s="39" t="s">
        <v>96</v>
      </c>
      <c r="J976" s="0" t="n">
        <v>343</v>
      </c>
      <c r="K976" s="0" t="n">
        <v>64</v>
      </c>
      <c r="M976" s="0" t="n">
        <v>1267.45</v>
      </c>
      <c r="N976" s="0" t="n">
        <v>48.87</v>
      </c>
      <c r="O976" s="0" t="n">
        <v>38.3</v>
      </c>
      <c r="P976" s="0" t="n">
        <v>3.61</v>
      </c>
      <c r="Q976" s="0" t="n">
        <v>3.57</v>
      </c>
      <c r="R976" s="0" t="n">
        <v>4046</v>
      </c>
      <c r="S976" s="0" t="n">
        <v>8149</v>
      </c>
      <c r="T976" s="0" t="n">
        <v>47.9</v>
      </c>
      <c r="U976" s="0" t="n">
        <v>1142</v>
      </c>
      <c r="V976" s="0" t="n">
        <v>2</v>
      </c>
      <c r="W976" s="39" t="n">
        <f aca="false">IF(I976="Male",0,1)</f>
        <v>1</v>
      </c>
      <c r="X976" s="39" t="n">
        <f aca="false">IF(OR(I976="DNB",I976="Dry DNB"),1,0)</f>
        <v>1</v>
      </c>
      <c r="Y976" s="39" t="n">
        <f aca="false">MATCH(A976,DATAS,0)</f>
        <v>1</v>
      </c>
      <c r="Z976" s="39" t="n">
        <f aca="false">IF(AND(E976&gt;0,OR(AND(B976&gt;=1,B976&lt;=6),B976=10)),1,0)</f>
        <v>1</v>
      </c>
      <c r="AA976" s="39" t="n">
        <f aca="false">IF(AND(E976&gt;0,B976=10),1,0)</f>
        <v>0</v>
      </c>
      <c r="AB976" s="0" t="str">
        <f aca="false">IF(AND(C975=C976,Y975=Y976-1),Z975,"")</f>
        <v/>
      </c>
      <c r="AC976" s="0" t="str">
        <f aca="false">IF(AND(C975=C976,Y975=Y976-1),AA975,"")</f>
        <v/>
      </c>
      <c r="AD976" s="0" t="str">
        <f aca="false">IF(Y976=1,"",IF(AND(Z976=1,AB976&lt;&gt;1),1,0))</f>
        <v/>
      </c>
      <c r="AE976" s="0" t="str">
        <f aca="false">IF(Y976=1,"",IF(AND(AA976=1,AC976&lt;&gt;1),1,0))</f>
        <v/>
      </c>
      <c r="AF976" s="45" t="str">
        <f aca="false">IF(AND(E976&gt;0,Y976&lt;1,NOT(AND(C977=C976,Y977=Y976+1))),INDEX(DATAS,Y976+1),"")</f>
        <v/>
      </c>
      <c r="AG976" s="45" t="str">
        <f aca="false">IF(AND(AA976=1,Y976&lt;1),IF(AND(C977=C976,Y977=Y976+1),IF(AA977=1,"",INDEX(DATAS,Y976+1)),INDEX(DATAS,Y976+1)),"")</f>
        <v/>
      </c>
    </row>
    <row r="977" customFormat="false" ht="15" hidden="false" customHeight="false" outlineLevel="0" collapsed="false">
      <c r="A977" s="45" t="n">
        <v>46309</v>
      </c>
      <c r="B977" s="0" t="n">
        <v>3</v>
      </c>
      <c r="C977" s="0" t="n">
        <v>4962</v>
      </c>
      <c r="D977" s="0" t="n">
        <v>15</v>
      </c>
      <c r="E977" s="0" t="n">
        <v>2</v>
      </c>
      <c r="F977" s="39" t="s">
        <v>701</v>
      </c>
      <c r="G977" s="0" t="n">
        <v>43.3</v>
      </c>
      <c r="H977" s="0" t="n">
        <v>38</v>
      </c>
      <c r="I977" s="39" t="s">
        <v>118</v>
      </c>
      <c r="J977" s="0" t="n">
        <v>15</v>
      </c>
      <c r="M977" s="0" t="n">
        <v>742.92</v>
      </c>
      <c r="N977" s="0" t="n">
        <v>27.12</v>
      </c>
      <c r="O977" s="0" t="n">
        <v>35.43</v>
      </c>
      <c r="R977" s="0" t="n">
        <v>2756</v>
      </c>
      <c r="S977" s="0" t="n">
        <v>5540</v>
      </c>
      <c r="U977" s="0" t="n">
        <v>1142</v>
      </c>
      <c r="V977" s="0" t="n">
        <v>0</v>
      </c>
      <c r="W977" s="39" t="n">
        <f aca="false">IF(I977="Male",0,1)</f>
        <v>1</v>
      </c>
      <c r="X977" s="39" t="n">
        <f aca="false">IF(OR(I977="DNB",I977="Dry DNB"),1,0)</f>
        <v>0</v>
      </c>
      <c r="Y977" s="39" t="n">
        <f aca="false">MATCH(A977,DATAS,0)</f>
        <v>1</v>
      </c>
      <c r="Z977" s="39" t="n">
        <f aca="false">IF(AND(E977&gt;0,OR(AND(B977&gt;=1,B977&lt;=6),B977=10)),1,0)</f>
        <v>1</v>
      </c>
      <c r="AA977" s="39" t="n">
        <f aca="false">IF(AND(E977&gt;0,B977=10),1,0)</f>
        <v>0</v>
      </c>
      <c r="AB977" s="0" t="str">
        <f aca="false">IF(AND(C976=C977,Y976=Y977-1),Z976,"")</f>
        <v/>
      </c>
      <c r="AC977" s="0" t="str">
        <f aca="false">IF(AND(C976=C977,Y976=Y977-1),AA976,"")</f>
        <v/>
      </c>
      <c r="AD977" s="0" t="str">
        <f aca="false">IF(Y977=1,"",IF(AND(Z977=1,AB977&lt;&gt;1),1,0))</f>
        <v/>
      </c>
      <c r="AE977" s="0" t="str">
        <f aca="false">IF(Y977=1,"",IF(AND(AA977=1,AC977&lt;&gt;1),1,0))</f>
        <v/>
      </c>
      <c r="AF977" s="45" t="str">
        <f aca="false">IF(AND(E977&gt;0,Y977&lt;1,NOT(AND(C978=C977,Y978=Y977+1))),INDEX(DATAS,Y977+1),"")</f>
        <v/>
      </c>
      <c r="AG977" s="45" t="str">
        <f aca="false">IF(AND(AA977=1,Y977&lt;1),IF(AND(C978=C977,Y978=Y977+1),IF(AA978=1,"",INDEX(DATAS,Y977+1)),INDEX(DATAS,Y977+1)),"")</f>
        <v/>
      </c>
    </row>
    <row r="978" customFormat="false" ht="15" hidden="false" customHeight="false" outlineLevel="0" collapsed="false">
      <c r="A978" s="45" t="n">
        <v>46309</v>
      </c>
      <c r="B978" s="0" t="n">
        <v>5</v>
      </c>
      <c r="C978" s="0" t="n">
        <v>4965</v>
      </c>
      <c r="D978" s="0" t="n">
        <v>97</v>
      </c>
      <c r="E978" s="0" t="n">
        <v>2</v>
      </c>
      <c r="F978" s="39" t="s">
        <v>702</v>
      </c>
      <c r="G978" s="0" t="n">
        <v>44.4</v>
      </c>
      <c r="H978" s="0" t="n">
        <v>40</v>
      </c>
      <c r="I978" s="39" t="s">
        <v>138</v>
      </c>
      <c r="J978" s="0" t="n">
        <v>97</v>
      </c>
      <c r="K978" s="0" t="n">
        <v>69</v>
      </c>
      <c r="M978" s="0" t="n">
        <v>728.87</v>
      </c>
      <c r="N978" s="0" t="n">
        <v>50.8</v>
      </c>
      <c r="O978" s="0" t="n">
        <v>34.98</v>
      </c>
      <c r="P978" s="0" t="n">
        <v>3.97</v>
      </c>
      <c r="Q978" s="0" t="n">
        <v>3.44</v>
      </c>
      <c r="R978" s="0" t="n">
        <v>3278</v>
      </c>
      <c r="S978" s="0" t="n">
        <v>6589</v>
      </c>
      <c r="T978" s="0" t="n">
        <v>33.55</v>
      </c>
      <c r="U978" s="0" t="n">
        <v>1140</v>
      </c>
      <c r="V978" s="0" t="n">
        <v>1</v>
      </c>
      <c r="W978" s="39" t="n">
        <f aca="false">IF(I978="Male",0,1)</f>
        <v>1</v>
      </c>
      <c r="X978" s="39" t="n">
        <f aca="false">IF(OR(I978="DNB",I978="Dry DNB"),1,0)</f>
        <v>0</v>
      </c>
      <c r="Y978" s="39" t="n">
        <f aca="false">MATCH(A978,DATAS,0)</f>
        <v>1</v>
      </c>
      <c r="Z978" s="39" t="n">
        <f aca="false">IF(AND(E978&gt;0,OR(AND(B978&gt;=1,B978&lt;=6),B978=10)),1,0)</f>
        <v>1</v>
      </c>
      <c r="AA978" s="39" t="n">
        <f aca="false">IF(AND(E978&gt;0,B978=10),1,0)</f>
        <v>0</v>
      </c>
      <c r="AB978" s="0" t="str">
        <f aca="false">IF(AND(C977=C978,Y977=Y978-1),Z977,"")</f>
        <v/>
      </c>
      <c r="AC978" s="0" t="str">
        <f aca="false">IF(AND(C977=C978,Y977=Y978-1),AA977,"")</f>
        <v/>
      </c>
      <c r="AD978" s="0" t="str">
        <f aca="false">IF(Y978=1,"",IF(AND(Z978=1,AB978&lt;&gt;1),1,0))</f>
        <v/>
      </c>
      <c r="AE978" s="0" t="str">
        <f aca="false">IF(Y978=1,"",IF(AND(AA978=1,AC978&lt;&gt;1),1,0))</f>
        <v/>
      </c>
      <c r="AF978" s="45" t="str">
        <f aca="false">IF(AND(E978&gt;0,Y978&lt;1,NOT(AND(C979=C978,Y979=Y978+1))),INDEX(DATAS,Y978+1),"")</f>
        <v/>
      </c>
      <c r="AG978" s="45" t="str">
        <f aca="false">IF(AND(AA978=1,Y978&lt;1),IF(AND(C979=C978,Y979=Y978+1),IF(AA979=1,"",INDEX(DATAS,Y978+1)),INDEX(DATAS,Y978+1)),"")</f>
        <v/>
      </c>
    </row>
    <row r="979" customFormat="false" ht="15" hidden="false" customHeight="false" outlineLevel="0" collapsed="false">
      <c r="A979" s="45" t="n">
        <v>46309</v>
      </c>
      <c r="B979" s="0" t="n">
        <v>2</v>
      </c>
      <c r="C979" s="0" t="n">
        <v>4967</v>
      </c>
      <c r="D979" s="0" t="n">
        <v>64</v>
      </c>
      <c r="E979" s="0" t="n">
        <v>2</v>
      </c>
      <c r="F979" s="39" t="s">
        <v>703</v>
      </c>
      <c r="G979" s="0" t="n">
        <v>28.6</v>
      </c>
      <c r="H979" s="0" t="n">
        <v>49</v>
      </c>
      <c r="I979" s="39" t="s">
        <v>138</v>
      </c>
      <c r="J979" s="0" t="n">
        <v>64</v>
      </c>
      <c r="K979" s="0" t="n">
        <v>64</v>
      </c>
      <c r="M979" s="0" t="n">
        <v>808.53</v>
      </c>
      <c r="N979" s="0" t="n">
        <v>51.19</v>
      </c>
      <c r="O979" s="0" t="n">
        <v>34.44</v>
      </c>
      <c r="P979" s="0" t="n">
        <v>3.62</v>
      </c>
      <c r="Q979" s="0" t="n">
        <v>2.96</v>
      </c>
      <c r="R979" s="0" t="n">
        <v>5126</v>
      </c>
      <c r="S979" s="0" t="n">
        <v>10303</v>
      </c>
      <c r="U979" s="0" t="n">
        <v>1139</v>
      </c>
      <c r="V979" s="0" t="n">
        <v>1</v>
      </c>
      <c r="W979" s="39" t="n">
        <f aca="false">IF(I979="Male",0,1)</f>
        <v>1</v>
      </c>
      <c r="X979" s="39" t="n">
        <f aca="false">IF(OR(I979="DNB",I979="Dry DNB"),1,0)</f>
        <v>0</v>
      </c>
      <c r="Y979" s="39" t="n">
        <f aca="false">MATCH(A979,DATAS,0)</f>
        <v>1</v>
      </c>
      <c r="Z979" s="39" t="n">
        <f aca="false">IF(AND(E979&gt;0,OR(AND(B979&gt;=1,B979&lt;=6),B979=10)),1,0)</f>
        <v>1</v>
      </c>
      <c r="AA979" s="39" t="n">
        <f aca="false">IF(AND(E979&gt;0,B979=10),1,0)</f>
        <v>0</v>
      </c>
      <c r="AB979" s="0" t="str">
        <f aca="false">IF(AND(C978=C979,Y978=Y979-1),Z978,"")</f>
        <v/>
      </c>
      <c r="AC979" s="0" t="str">
        <f aca="false">IF(AND(C978=C979,Y978=Y979-1),AA978,"")</f>
        <v/>
      </c>
      <c r="AD979" s="0" t="str">
        <f aca="false">IF(Y979=1,"",IF(AND(Z979=1,AB979&lt;&gt;1),1,0))</f>
        <v/>
      </c>
      <c r="AE979" s="0" t="str">
        <f aca="false">IF(Y979=1,"",IF(AND(AA979=1,AC979&lt;&gt;1),1,0))</f>
        <v/>
      </c>
      <c r="AF979" s="45" t="str">
        <f aca="false">IF(AND(E979&gt;0,Y979&lt;1,NOT(AND(C980=C979,Y980=Y979+1))),INDEX(DATAS,Y979+1),"")</f>
        <v/>
      </c>
      <c r="AG979" s="45" t="str">
        <f aca="false">IF(AND(AA979=1,Y979&lt;1),IF(AND(C980=C979,Y980=Y979+1),IF(AA980=1,"",INDEX(DATAS,Y979+1)),INDEX(DATAS,Y979+1)),"")</f>
        <v/>
      </c>
    </row>
    <row r="980" customFormat="false" ht="15" hidden="false" customHeight="false" outlineLevel="0" collapsed="false">
      <c r="A980" s="45" t="n">
        <v>46309</v>
      </c>
      <c r="B980" s="0" t="n">
        <v>5</v>
      </c>
      <c r="C980" s="0" t="n">
        <v>4968</v>
      </c>
      <c r="D980" s="0" t="n">
        <v>172</v>
      </c>
      <c r="E980" s="0" t="n">
        <v>2</v>
      </c>
      <c r="F980" s="39" t="s">
        <v>704</v>
      </c>
      <c r="G980" s="0" t="n">
        <v>23.5</v>
      </c>
      <c r="H980" s="0" t="n">
        <v>25</v>
      </c>
      <c r="I980" s="39" t="s">
        <v>109</v>
      </c>
      <c r="J980" s="0" t="n">
        <v>109</v>
      </c>
      <c r="K980" s="0" t="n">
        <v>67</v>
      </c>
      <c r="L980" s="0" t="n">
        <v>63</v>
      </c>
      <c r="M980" s="0" t="n">
        <v>890.36</v>
      </c>
      <c r="N980" s="0" t="n">
        <v>67.39</v>
      </c>
      <c r="O980" s="0" t="n">
        <v>38.16</v>
      </c>
      <c r="P980" s="0" t="n">
        <v>4.93</v>
      </c>
      <c r="Q980" s="0" t="n">
        <v>4.07</v>
      </c>
      <c r="R980" s="0" t="n">
        <v>2487</v>
      </c>
      <c r="S980" s="0" t="n">
        <v>5292</v>
      </c>
      <c r="T980" s="0" t="n">
        <v>27.9</v>
      </c>
      <c r="U980" s="0" t="n">
        <v>1138</v>
      </c>
      <c r="V980" s="0" t="n">
        <v>2</v>
      </c>
      <c r="W980" s="39" t="n">
        <f aca="false">IF(I980="Male",0,1)</f>
        <v>1</v>
      </c>
      <c r="X980" s="39" t="n">
        <f aca="false">IF(OR(I980="DNB",I980="Dry DNB"),1,0)</f>
        <v>0</v>
      </c>
      <c r="Y980" s="39" t="n">
        <f aca="false">MATCH(A980,DATAS,0)</f>
        <v>1</v>
      </c>
      <c r="Z980" s="39" t="n">
        <f aca="false">IF(AND(E980&gt;0,OR(AND(B980&gt;=1,B980&lt;=6),B980=10)),1,0)</f>
        <v>1</v>
      </c>
      <c r="AA980" s="39" t="n">
        <f aca="false">IF(AND(E980&gt;0,B980=10),1,0)</f>
        <v>0</v>
      </c>
      <c r="AB980" s="0" t="str">
        <f aca="false">IF(AND(C979=C980,Y979=Y980-1),Z979,"")</f>
        <v/>
      </c>
      <c r="AC980" s="0" t="str">
        <f aca="false">IF(AND(C979=C980,Y979=Y980-1),AA979,"")</f>
        <v/>
      </c>
      <c r="AD980" s="0" t="str">
        <f aca="false">IF(Y980=1,"",IF(AND(Z980=1,AB980&lt;&gt;1),1,0))</f>
        <v/>
      </c>
      <c r="AE980" s="0" t="str">
        <f aca="false">IF(Y980=1,"",IF(AND(AA980=1,AC980&lt;&gt;1),1,0))</f>
        <v/>
      </c>
      <c r="AF980" s="45" t="str">
        <f aca="false">IF(AND(E980&gt;0,Y980&lt;1,NOT(AND(C981=C980,Y981=Y980+1))),INDEX(DATAS,Y980+1),"")</f>
        <v/>
      </c>
      <c r="AG980" s="45" t="str">
        <f aca="false">IF(AND(AA980=1,Y980&lt;1),IF(AND(C981=C980,Y981=Y980+1),IF(AA981=1,"",INDEX(DATAS,Y980+1)),INDEX(DATAS,Y980+1)),"")</f>
        <v/>
      </c>
    </row>
    <row r="981" customFormat="false" ht="15" hidden="false" customHeight="false" outlineLevel="0" collapsed="false">
      <c r="A981" s="45" t="n">
        <v>46309</v>
      </c>
      <c r="B981" s="0" t="n">
        <v>6</v>
      </c>
      <c r="C981" s="0" t="n">
        <v>4969</v>
      </c>
      <c r="D981" s="0" t="n">
        <v>31</v>
      </c>
      <c r="E981" s="0" t="n">
        <v>2</v>
      </c>
      <c r="F981" s="39" t="s">
        <v>705</v>
      </c>
      <c r="H981" s="0" t="n">
        <v>19</v>
      </c>
      <c r="I981" s="39" t="s">
        <v>118</v>
      </c>
      <c r="J981" s="0" t="n">
        <v>31</v>
      </c>
      <c r="M981" s="0" t="n">
        <v>1192.64</v>
      </c>
      <c r="N981" s="0" t="n">
        <v>38.56</v>
      </c>
      <c r="O981" s="0" t="n">
        <v>27.78</v>
      </c>
      <c r="P981" s="0" t="n">
        <v>0</v>
      </c>
      <c r="Q981" s="0" t="n">
        <v>0</v>
      </c>
      <c r="R981" s="0" t="n">
        <v>2403</v>
      </c>
      <c r="S981" s="0" t="n">
        <v>4831</v>
      </c>
      <c r="U981" s="0" t="n">
        <v>1137</v>
      </c>
      <c r="V981" s="0" t="n">
        <v>0</v>
      </c>
      <c r="W981" s="39" t="n">
        <f aca="false">IF(I981="Male",0,1)</f>
        <v>1</v>
      </c>
      <c r="X981" s="39" t="n">
        <f aca="false">IF(OR(I981="DNB",I981="Dry DNB"),1,0)</f>
        <v>0</v>
      </c>
      <c r="Y981" s="39" t="n">
        <f aca="false">MATCH(A981,DATAS,0)</f>
        <v>1</v>
      </c>
      <c r="Z981" s="39" t="n">
        <f aca="false">IF(AND(E981&gt;0,OR(AND(B981&gt;=1,B981&lt;=6),B981=10)),1,0)</f>
        <v>1</v>
      </c>
      <c r="AA981" s="39" t="n">
        <f aca="false">IF(AND(E981&gt;0,B981=10),1,0)</f>
        <v>0</v>
      </c>
      <c r="AB981" s="0" t="str">
        <f aca="false">IF(AND(C980=C981,Y980=Y981-1),Z980,"")</f>
        <v/>
      </c>
      <c r="AC981" s="0" t="str">
        <f aca="false">IF(AND(C980=C981,Y980=Y981-1),AA980,"")</f>
        <v/>
      </c>
      <c r="AD981" s="0" t="str">
        <f aca="false">IF(Y981=1,"",IF(AND(Z981=1,AB981&lt;&gt;1),1,0))</f>
        <v/>
      </c>
      <c r="AE981" s="0" t="str">
        <f aca="false">IF(Y981=1,"",IF(AND(AA981=1,AC981&lt;&gt;1),1,0))</f>
        <v/>
      </c>
      <c r="AF981" s="45" t="str">
        <f aca="false">IF(AND(E981&gt;0,Y981&lt;1,NOT(AND(C982=C981,Y982=Y981+1))),INDEX(DATAS,Y981+1),"")</f>
        <v/>
      </c>
      <c r="AG981" s="45" t="str">
        <f aca="false">IF(AND(AA981=1,Y981&lt;1),IF(AND(C982=C981,Y982=Y981+1),IF(AA982=1,"",INDEX(DATAS,Y981+1)),INDEX(DATAS,Y981+1)),"")</f>
        <v/>
      </c>
    </row>
    <row r="982" customFormat="false" ht="15" hidden="false" customHeight="false" outlineLevel="0" collapsed="false">
      <c r="A982" s="45" t="n">
        <v>46309</v>
      </c>
      <c r="B982" s="0" t="n">
        <v>3</v>
      </c>
      <c r="C982" s="0" t="n">
        <v>4970</v>
      </c>
      <c r="D982" s="0" t="n">
        <v>90</v>
      </c>
      <c r="E982" s="0" t="n">
        <v>2</v>
      </c>
      <c r="F982" s="39" t="s">
        <v>705</v>
      </c>
      <c r="G982" s="0" t="n">
        <v>54.1</v>
      </c>
      <c r="H982" s="0" t="n">
        <v>54</v>
      </c>
      <c r="I982" s="39" t="s">
        <v>138</v>
      </c>
      <c r="J982" s="0" t="n">
        <v>90</v>
      </c>
      <c r="K982" s="0" t="n">
        <v>62</v>
      </c>
      <c r="M982" s="0" t="n">
        <v>982.38</v>
      </c>
      <c r="N982" s="0" t="n">
        <v>42.16</v>
      </c>
      <c r="O982" s="0" t="n">
        <v>37.38</v>
      </c>
      <c r="P982" s="0" t="n">
        <v>4.11</v>
      </c>
      <c r="Q982" s="0" t="n">
        <v>3.8</v>
      </c>
      <c r="R982" s="0" t="n">
        <v>4491</v>
      </c>
      <c r="S982" s="0" t="n">
        <v>9028</v>
      </c>
      <c r="U982" s="0" t="n">
        <v>1137</v>
      </c>
      <c r="V982" s="0" t="n">
        <v>1</v>
      </c>
      <c r="W982" s="39" t="n">
        <f aca="false">IF(I982="Male",0,1)</f>
        <v>1</v>
      </c>
      <c r="X982" s="39" t="n">
        <f aca="false">IF(OR(I982="DNB",I982="Dry DNB"),1,0)</f>
        <v>0</v>
      </c>
      <c r="Y982" s="39" t="n">
        <f aca="false">MATCH(A982,DATAS,0)</f>
        <v>1</v>
      </c>
      <c r="Z982" s="39" t="n">
        <f aca="false">IF(AND(E982&gt;0,OR(AND(B982&gt;=1,B982&lt;=6),B982=10)),1,0)</f>
        <v>1</v>
      </c>
      <c r="AA982" s="39" t="n">
        <f aca="false">IF(AND(E982&gt;0,B982=10),1,0)</f>
        <v>0</v>
      </c>
      <c r="AB982" s="0" t="str">
        <f aca="false">IF(AND(C981=C982,Y981=Y982-1),Z981,"")</f>
        <v/>
      </c>
      <c r="AC982" s="0" t="str">
        <f aca="false">IF(AND(C981=C982,Y981=Y982-1),AA981,"")</f>
        <v/>
      </c>
      <c r="AD982" s="0" t="str">
        <f aca="false">IF(Y982=1,"",IF(AND(Z982=1,AB982&lt;&gt;1),1,0))</f>
        <v/>
      </c>
      <c r="AE982" s="0" t="str">
        <f aca="false">IF(Y982=1,"",IF(AND(AA982=1,AC982&lt;&gt;1),1,0))</f>
        <v/>
      </c>
      <c r="AF982" s="45" t="str">
        <f aca="false">IF(AND(E982&gt;0,Y982&lt;1,NOT(AND(C983=C982,Y983=Y982+1))),INDEX(DATAS,Y982+1),"")</f>
        <v/>
      </c>
      <c r="AG982" s="45" t="str">
        <f aca="false">IF(AND(AA982=1,Y982&lt;1),IF(AND(C983=C982,Y983=Y982+1),IF(AA983=1,"",INDEX(DATAS,Y982+1)),INDEX(DATAS,Y982+1)),"")</f>
        <v/>
      </c>
    </row>
    <row r="983" customFormat="false" ht="15" hidden="false" customHeight="false" outlineLevel="0" collapsed="false">
      <c r="A983" s="45" t="n">
        <v>46309</v>
      </c>
      <c r="B983" s="0" t="n">
        <v>3</v>
      </c>
      <c r="C983" s="0" t="n">
        <v>4971</v>
      </c>
      <c r="D983" s="0" t="n">
        <v>104</v>
      </c>
      <c r="E983" s="0" t="n">
        <v>2</v>
      </c>
      <c r="F983" s="39" t="s">
        <v>705</v>
      </c>
      <c r="G983" s="0" t="n">
        <v>51.2</v>
      </c>
      <c r="H983" s="0" t="n">
        <v>50</v>
      </c>
      <c r="I983" s="39" t="s">
        <v>109</v>
      </c>
      <c r="J983" s="0" t="n">
        <v>69</v>
      </c>
      <c r="K983" s="0" t="n">
        <v>69</v>
      </c>
      <c r="L983" s="0" t="n">
        <v>35</v>
      </c>
      <c r="M983" s="0" t="n">
        <v>1169.18</v>
      </c>
      <c r="N983" s="0" t="n">
        <v>54.66</v>
      </c>
      <c r="O983" s="0" t="n">
        <v>34.8</v>
      </c>
      <c r="P983" s="0" t="n">
        <v>4.27</v>
      </c>
      <c r="Q983" s="0" t="n">
        <v>3.26</v>
      </c>
      <c r="R983" s="0" t="n">
        <v>4359</v>
      </c>
      <c r="S983" s="0" t="n">
        <v>8819</v>
      </c>
      <c r="T983" s="0" t="n">
        <v>50.55</v>
      </c>
      <c r="U983" s="0" t="n">
        <v>1137</v>
      </c>
      <c r="V983" s="0" t="n">
        <v>1</v>
      </c>
      <c r="W983" s="39" t="n">
        <f aca="false">IF(I983="Male",0,1)</f>
        <v>1</v>
      </c>
      <c r="X983" s="39" t="n">
        <f aca="false">IF(OR(I983="DNB",I983="Dry DNB"),1,0)</f>
        <v>0</v>
      </c>
      <c r="Y983" s="39" t="n">
        <f aca="false">MATCH(A983,DATAS,0)</f>
        <v>1</v>
      </c>
      <c r="Z983" s="39" t="n">
        <f aca="false">IF(AND(E983&gt;0,OR(AND(B983&gt;=1,B983&lt;=6),B983=10)),1,0)</f>
        <v>1</v>
      </c>
      <c r="AA983" s="39" t="n">
        <f aca="false">IF(AND(E983&gt;0,B983=10),1,0)</f>
        <v>0</v>
      </c>
      <c r="AB983" s="0" t="str">
        <f aca="false">IF(AND(C982=C983,Y982=Y983-1),Z982,"")</f>
        <v/>
      </c>
      <c r="AC983" s="0" t="str">
        <f aca="false">IF(AND(C982=C983,Y982=Y983-1),AA982,"")</f>
        <v/>
      </c>
      <c r="AD983" s="0" t="str">
        <f aca="false">IF(Y983=1,"",IF(AND(Z983=1,AB983&lt;&gt;1),1,0))</f>
        <v/>
      </c>
      <c r="AE983" s="0" t="str">
        <f aca="false">IF(Y983=1,"",IF(AND(AA983=1,AC983&lt;&gt;1),1,0))</f>
        <v/>
      </c>
      <c r="AF983" s="45" t="str">
        <f aca="false">IF(AND(E983&gt;0,Y983&lt;1,NOT(AND(C984=C983,Y984=Y983+1))),INDEX(DATAS,Y983+1),"")</f>
        <v/>
      </c>
      <c r="AG983" s="45" t="str">
        <f aca="false">IF(AND(AA983=1,Y983&lt;1),IF(AND(C984=C983,Y984=Y983+1),IF(AA984=1,"",INDEX(DATAS,Y983+1)),INDEX(DATAS,Y983+1)),"")</f>
        <v/>
      </c>
    </row>
    <row r="984" customFormat="false" ht="15" hidden="false" customHeight="false" outlineLevel="0" collapsed="false">
      <c r="A984" s="45" t="n">
        <v>46309</v>
      </c>
      <c r="B984" s="0" t="n">
        <v>3</v>
      </c>
      <c r="C984" s="0" t="n">
        <v>4972</v>
      </c>
      <c r="D984" s="0" t="n">
        <v>110</v>
      </c>
      <c r="E984" s="0" t="n">
        <v>2</v>
      </c>
      <c r="F984" s="39" t="s">
        <v>706</v>
      </c>
      <c r="G984" s="0" t="n">
        <v>65.3</v>
      </c>
      <c r="H984" s="0" t="n">
        <v>63</v>
      </c>
      <c r="I984" s="39" t="s">
        <v>109</v>
      </c>
      <c r="J984" s="0" t="n">
        <v>68</v>
      </c>
      <c r="K984" s="0" t="n">
        <v>68</v>
      </c>
      <c r="L984" s="0" t="n">
        <v>42</v>
      </c>
      <c r="M984" s="0" t="n">
        <v>1266</v>
      </c>
      <c r="N984" s="0" t="n">
        <v>49.42</v>
      </c>
      <c r="O984" s="0" t="n">
        <v>40.87</v>
      </c>
      <c r="P984" s="0" t="n">
        <v>2.55</v>
      </c>
      <c r="Q984" s="0" t="n">
        <v>3.25</v>
      </c>
      <c r="R984" s="0" t="n">
        <v>5626</v>
      </c>
      <c r="S984" s="0" t="n">
        <v>11418</v>
      </c>
      <c r="T984" s="0" t="n">
        <v>59.55</v>
      </c>
      <c r="U984" s="0" t="n">
        <v>1136</v>
      </c>
      <c r="V984" s="0" t="n">
        <v>1</v>
      </c>
      <c r="W984" s="39" t="n">
        <f aca="false">IF(I984="Male",0,1)</f>
        <v>1</v>
      </c>
      <c r="X984" s="39" t="n">
        <f aca="false">IF(OR(I984="DNB",I984="Dry DNB"),1,0)</f>
        <v>0</v>
      </c>
      <c r="Y984" s="39" t="n">
        <f aca="false">MATCH(A984,DATAS,0)</f>
        <v>1</v>
      </c>
      <c r="Z984" s="39" t="n">
        <f aca="false">IF(AND(E984&gt;0,OR(AND(B984&gt;=1,B984&lt;=6),B984=10)),1,0)</f>
        <v>1</v>
      </c>
      <c r="AA984" s="39" t="n">
        <f aca="false">IF(AND(E984&gt;0,B984=10),1,0)</f>
        <v>0</v>
      </c>
      <c r="AB984" s="0" t="str">
        <f aca="false">IF(AND(C983=C984,Y983=Y984-1),Z983,"")</f>
        <v/>
      </c>
      <c r="AC984" s="0" t="str">
        <f aca="false">IF(AND(C983=C984,Y983=Y984-1),AA983,"")</f>
        <v/>
      </c>
      <c r="AD984" s="0" t="str">
        <f aca="false">IF(Y984=1,"",IF(AND(Z984=1,AB984&lt;&gt;1),1,0))</f>
        <v/>
      </c>
      <c r="AE984" s="0" t="str">
        <f aca="false">IF(Y984=1,"",IF(AND(AA984=1,AC984&lt;&gt;1),1,0))</f>
        <v/>
      </c>
      <c r="AF984" s="45" t="str">
        <f aca="false">IF(AND(E984&gt;0,Y984&lt;1,NOT(AND(C985=C984,Y985=Y984+1))),INDEX(DATAS,Y984+1),"")</f>
        <v/>
      </c>
      <c r="AG984" s="45" t="str">
        <f aca="false">IF(AND(AA984=1,Y984&lt;1),IF(AND(C985=C984,Y985=Y984+1),IF(AA985=1,"",INDEX(DATAS,Y984+1)),INDEX(DATAS,Y984+1)),"")</f>
        <v/>
      </c>
    </row>
    <row r="985" customFormat="false" ht="15" hidden="false" customHeight="false" outlineLevel="0" collapsed="false">
      <c r="A985" s="45" t="n">
        <v>46309</v>
      </c>
      <c r="B985" s="0" t="n">
        <v>3</v>
      </c>
      <c r="C985" s="0" t="n">
        <v>4973</v>
      </c>
      <c r="D985" s="0" t="n">
        <v>78</v>
      </c>
      <c r="E985" s="0" t="n">
        <v>2</v>
      </c>
      <c r="F985" s="39" t="s">
        <v>706</v>
      </c>
      <c r="G985" s="0" t="n">
        <v>53.6</v>
      </c>
      <c r="H985" s="0" t="n">
        <v>51</v>
      </c>
      <c r="I985" s="39" t="s">
        <v>138</v>
      </c>
      <c r="J985" s="0" t="n">
        <v>78</v>
      </c>
      <c r="K985" s="0" t="n">
        <v>64</v>
      </c>
      <c r="M985" s="0" t="n">
        <v>801.76</v>
      </c>
      <c r="N985" s="0" t="n">
        <v>54.32</v>
      </c>
      <c r="O985" s="0" t="n">
        <v>26.96</v>
      </c>
      <c r="P985" s="0" t="n">
        <v>3.47</v>
      </c>
      <c r="Q985" s="0" t="n">
        <v>3.3</v>
      </c>
      <c r="R985" s="0" t="n">
        <v>4184</v>
      </c>
      <c r="S985" s="0" t="n">
        <v>8411</v>
      </c>
      <c r="U985" s="0" t="n">
        <v>1136</v>
      </c>
      <c r="V985" s="0" t="n">
        <v>1</v>
      </c>
      <c r="W985" s="39" t="n">
        <f aca="false">IF(I985="Male",0,1)</f>
        <v>1</v>
      </c>
      <c r="X985" s="39" t="n">
        <f aca="false">IF(OR(I985="DNB",I985="Dry DNB"),1,0)</f>
        <v>0</v>
      </c>
      <c r="Y985" s="39" t="n">
        <f aca="false">MATCH(A985,DATAS,0)</f>
        <v>1</v>
      </c>
      <c r="Z985" s="39" t="n">
        <f aca="false">IF(AND(E985&gt;0,OR(AND(B985&gt;=1,B985&lt;=6),B985=10)),1,0)</f>
        <v>1</v>
      </c>
      <c r="AA985" s="39" t="n">
        <f aca="false">IF(AND(E985&gt;0,B985=10),1,0)</f>
        <v>0</v>
      </c>
      <c r="AB985" s="0" t="str">
        <f aca="false">IF(AND(C984=C985,Y984=Y985-1),Z984,"")</f>
        <v/>
      </c>
      <c r="AC985" s="0" t="str">
        <f aca="false">IF(AND(C984=C985,Y984=Y985-1),AA984,"")</f>
        <v/>
      </c>
      <c r="AD985" s="0" t="str">
        <f aca="false">IF(Y985=1,"",IF(AND(Z985=1,AB985&lt;&gt;1),1,0))</f>
        <v/>
      </c>
      <c r="AE985" s="0" t="str">
        <f aca="false">IF(Y985=1,"",IF(AND(AA985=1,AC985&lt;&gt;1),1,0))</f>
        <v/>
      </c>
      <c r="AF985" s="45" t="str">
        <f aca="false">IF(AND(E985&gt;0,Y985&lt;1,NOT(AND(C986=C985,Y986=Y985+1))),INDEX(DATAS,Y985+1),"")</f>
        <v/>
      </c>
      <c r="AG985" s="45" t="str">
        <f aca="false">IF(AND(AA985=1,Y985&lt;1),IF(AND(C986=C985,Y986=Y985+1),IF(AA986=1,"",INDEX(DATAS,Y985+1)),INDEX(DATAS,Y985+1)),"")</f>
        <v/>
      </c>
    </row>
    <row r="986" customFormat="false" ht="15" hidden="false" customHeight="false" outlineLevel="0" collapsed="false">
      <c r="A986" s="45" t="n">
        <v>46309</v>
      </c>
      <c r="B986" s="0" t="n">
        <v>3</v>
      </c>
      <c r="C986" s="0" t="n">
        <v>4975</v>
      </c>
      <c r="D986" s="0" t="n">
        <v>113</v>
      </c>
      <c r="E986" s="0" t="n">
        <v>2</v>
      </c>
      <c r="F986" s="39" t="s">
        <v>707</v>
      </c>
      <c r="G986" s="0" t="n">
        <v>53.9</v>
      </c>
      <c r="H986" s="0" t="n">
        <v>53</v>
      </c>
      <c r="I986" s="39" t="s">
        <v>109</v>
      </c>
      <c r="J986" s="0" t="n">
        <v>64</v>
      </c>
      <c r="K986" s="0" t="n">
        <v>71</v>
      </c>
      <c r="L986" s="0" t="n">
        <v>49</v>
      </c>
      <c r="M986" s="0" t="n">
        <v>862.1</v>
      </c>
      <c r="N986" s="0" t="n">
        <v>15.91</v>
      </c>
      <c r="O986" s="0" t="n">
        <v>27.38</v>
      </c>
      <c r="P986" s="0" t="n">
        <v>3.58</v>
      </c>
      <c r="Q986" s="0" t="n">
        <v>3.57</v>
      </c>
      <c r="R986" s="0" t="n">
        <v>5786</v>
      </c>
      <c r="S986" s="0" t="n">
        <v>11609</v>
      </c>
      <c r="T986" s="0" t="n">
        <v>64.25</v>
      </c>
      <c r="U986" s="0" t="n">
        <v>1132</v>
      </c>
      <c r="V986" s="0" t="n">
        <v>1</v>
      </c>
      <c r="W986" s="39" t="n">
        <f aca="false">IF(I986="Male",0,1)</f>
        <v>1</v>
      </c>
      <c r="X986" s="39" t="n">
        <f aca="false">IF(OR(I986="DNB",I986="Dry DNB"),1,0)</f>
        <v>0</v>
      </c>
      <c r="Y986" s="39" t="n">
        <f aca="false">MATCH(A986,DATAS,0)</f>
        <v>1</v>
      </c>
      <c r="Z986" s="39" t="n">
        <f aca="false">IF(AND(E986&gt;0,OR(AND(B986&gt;=1,B986&lt;=6),B986=10)),1,0)</f>
        <v>1</v>
      </c>
      <c r="AA986" s="39" t="n">
        <f aca="false">IF(AND(E986&gt;0,B986=10),1,0)</f>
        <v>0</v>
      </c>
      <c r="AB986" s="0" t="str">
        <f aca="false">IF(AND(C985=C986,Y985=Y986-1),Z985,"")</f>
        <v/>
      </c>
      <c r="AC986" s="0" t="str">
        <f aca="false">IF(AND(C985=C986,Y985=Y986-1),AA985,"")</f>
        <v/>
      </c>
      <c r="AD986" s="0" t="str">
        <f aca="false">IF(Y986=1,"",IF(AND(Z986=1,AB986&lt;&gt;1),1,0))</f>
        <v/>
      </c>
      <c r="AE986" s="0" t="str">
        <f aca="false">IF(Y986=1,"",IF(AND(AA986=1,AC986&lt;&gt;1),1,0))</f>
        <v/>
      </c>
      <c r="AF986" s="45" t="str">
        <f aca="false">IF(AND(E986&gt;0,Y986&lt;1,NOT(AND(C987=C986,Y987=Y986+1))),INDEX(DATAS,Y986+1),"")</f>
        <v/>
      </c>
      <c r="AG986" s="45" t="str">
        <f aca="false">IF(AND(AA986=1,Y986&lt;1),IF(AND(C987=C986,Y987=Y986+1),IF(AA987=1,"",INDEX(DATAS,Y986+1)),INDEX(DATAS,Y986+1)),"")</f>
        <v/>
      </c>
    </row>
    <row r="987" customFormat="false" ht="15" hidden="false" customHeight="false" outlineLevel="0" collapsed="false">
      <c r="A987" s="45" t="n">
        <v>46309</v>
      </c>
      <c r="B987" s="0" t="n">
        <v>5</v>
      </c>
      <c r="C987" s="0" t="n">
        <v>4976</v>
      </c>
      <c r="D987" s="0" t="n">
        <v>33</v>
      </c>
      <c r="E987" s="0" t="n">
        <v>2</v>
      </c>
      <c r="F987" s="39" t="s">
        <v>707</v>
      </c>
      <c r="H987" s="0" t="n">
        <v>22</v>
      </c>
      <c r="I987" s="39" t="s">
        <v>118</v>
      </c>
      <c r="J987" s="0" t="n">
        <v>33</v>
      </c>
      <c r="M987" s="0" t="n">
        <v>925.96</v>
      </c>
      <c r="N987" s="0" t="n">
        <v>28.96</v>
      </c>
      <c r="O987" s="0" t="n">
        <v>25.34</v>
      </c>
      <c r="P987" s="0" t="n">
        <v>4.71</v>
      </c>
      <c r="Q987" s="0" t="n">
        <v>4.06</v>
      </c>
      <c r="R987" s="0" t="n">
        <v>2124</v>
      </c>
      <c r="S987" s="0" t="n">
        <v>4270</v>
      </c>
      <c r="U987" s="0" t="n">
        <v>1132</v>
      </c>
      <c r="V987" s="0" t="n">
        <v>0</v>
      </c>
      <c r="W987" s="39" t="n">
        <f aca="false">IF(I987="Male",0,1)</f>
        <v>1</v>
      </c>
      <c r="X987" s="39" t="n">
        <f aca="false">IF(OR(I987="DNB",I987="Dry DNB"),1,0)</f>
        <v>0</v>
      </c>
      <c r="Y987" s="39" t="n">
        <f aca="false">MATCH(A987,DATAS,0)</f>
        <v>1</v>
      </c>
      <c r="Z987" s="39" t="n">
        <f aca="false">IF(AND(E987&gt;0,OR(AND(B987&gt;=1,B987&lt;=6),B987=10)),1,0)</f>
        <v>1</v>
      </c>
      <c r="AA987" s="39" t="n">
        <f aca="false">IF(AND(E987&gt;0,B987=10),1,0)</f>
        <v>0</v>
      </c>
      <c r="AB987" s="0" t="str">
        <f aca="false">IF(AND(C986=C987,Y986=Y987-1),Z986,"")</f>
        <v/>
      </c>
      <c r="AC987" s="0" t="str">
        <f aca="false">IF(AND(C986=C987,Y986=Y987-1),AA986,"")</f>
        <v/>
      </c>
      <c r="AD987" s="0" t="str">
        <f aca="false">IF(Y987=1,"",IF(AND(Z987=1,AB987&lt;&gt;1),1,0))</f>
        <v/>
      </c>
      <c r="AE987" s="0" t="str">
        <f aca="false">IF(Y987=1,"",IF(AND(AA987=1,AC987&lt;&gt;1),1,0))</f>
        <v/>
      </c>
      <c r="AF987" s="45" t="str">
        <f aca="false">IF(AND(E987&gt;0,Y987&lt;1,NOT(AND(C988=C987,Y988=Y987+1))),INDEX(DATAS,Y987+1),"")</f>
        <v/>
      </c>
      <c r="AG987" s="45" t="str">
        <f aca="false">IF(AND(AA987=1,Y987&lt;1),IF(AND(C988=C987,Y988=Y987+1),IF(AA988=1,"",INDEX(DATAS,Y987+1)),INDEX(DATAS,Y987+1)),"")</f>
        <v/>
      </c>
    </row>
    <row r="988" customFormat="false" ht="15" hidden="false" customHeight="false" outlineLevel="0" collapsed="false">
      <c r="A988" s="45" t="n">
        <v>46309</v>
      </c>
      <c r="B988" s="0" t="n">
        <v>5</v>
      </c>
      <c r="C988" s="0" t="n">
        <v>4977</v>
      </c>
      <c r="D988" s="0" t="n">
        <v>74</v>
      </c>
      <c r="E988" s="0" t="n">
        <v>2</v>
      </c>
      <c r="F988" s="39" t="s">
        <v>708</v>
      </c>
      <c r="G988" s="0" t="n">
        <v>38.4</v>
      </c>
      <c r="H988" s="0" t="n">
        <v>41</v>
      </c>
      <c r="I988" s="39" t="s">
        <v>138</v>
      </c>
      <c r="J988" s="0" t="n">
        <v>74</v>
      </c>
      <c r="K988" s="0" t="n">
        <v>67</v>
      </c>
      <c r="M988" s="0" t="n">
        <v>37.62</v>
      </c>
      <c r="N988" s="0" t="n">
        <v>47.82</v>
      </c>
      <c r="O988" s="0" t="n">
        <v>22.81</v>
      </c>
      <c r="P988" s="0" t="n">
        <v>3.1</v>
      </c>
      <c r="Q988" s="0" t="n">
        <v>3.59</v>
      </c>
      <c r="R988" s="0" t="n">
        <v>3717</v>
      </c>
      <c r="S988" s="0" t="n">
        <v>7472</v>
      </c>
      <c r="U988" s="0" t="n">
        <v>1131</v>
      </c>
      <c r="V988" s="0" t="n">
        <v>1</v>
      </c>
      <c r="W988" s="39" t="n">
        <f aca="false">IF(I988="Male",0,1)</f>
        <v>1</v>
      </c>
      <c r="X988" s="39" t="n">
        <f aca="false">IF(OR(I988="DNB",I988="Dry DNB"),1,0)</f>
        <v>0</v>
      </c>
      <c r="Y988" s="39" t="n">
        <f aca="false">MATCH(A988,DATAS,0)</f>
        <v>1</v>
      </c>
      <c r="Z988" s="39" t="n">
        <f aca="false">IF(AND(E988&gt;0,OR(AND(B988&gt;=1,B988&lt;=6),B988=10)),1,0)</f>
        <v>1</v>
      </c>
      <c r="AA988" s="39" t="n">
        <f aca="false">IF(AND(E988&gt;0,B988=10),1,0)</f>
        <v>0</v>
      </c>
      <c r="AB988" s="0" t="str">
        <f aca="false">IF(AND(C987=C988,Y987=Y988-1),Z987,"")</f>
        <v/>
      </c>
      <c r="AC988" s="0" t="str">
        <f aca="false">IF(AND(C987=C988,Y987=Y988-1),AA987,"")</f>
        <v/>
      </c>
      <c r="AD988" s="0" t="str">
        <f aca="false">IF(Y988=1,"",IF(AND(Z988=1,AB988&lt;&gt;1),1,0))</f>
        <v/>
      </c>
      <c r="AE988" s="0" t="str">
        <f aca="false">IF(Y988=1,"",IF(AND(AA988=1,AC988&lt;&gt;1),1,0))</f>
        <v/>
      </c>
      <c r="AF988" s="45" t="str">
        <f aca="false">IF(AND(E988&gt;0,Y988&lt;1,NOT(AND(C989=C988,Y989=Y988+1))),INDEX(DATAS,Y988+1),"")</f>
        <v/>
      </c>
      <c r="AG988" s="45" t="str">
        <f aca="false">IF(AND(AA988=1,Y988&lt;1),IF(AND(C989=C988,Y989=Y988+1),IF(AA989=1,"",INDEX(DATAS,Y988+1)),INDEX(DATAS,Y988+1)),"")</f>
        <v/>
      </c>
    </row>
    <row r="989" customFormat="false" ht="15" hidden="false" customHeight="false" outlineLevel="0" collapsed="false">
      <c r="A989" s="45" t="n">
        <v>46309</v>
      </c>
      <c r="B989" s="0" t="n">
        <v>7</v>
      </c>
      <c r="C989" s="0" t="n">
        <v>4978</v>
      </c>
      <c r="D989" s="0" t="n">
        <v>352</v>
      </c>
      <c r="E989" s="0" t="n">
        <v>1</v>
      </c>
      <c r="F989" s="39" t="s">
        <v>708</v>
      </c>
      <c r="I989" s="39" t="s">
        <v>114</v>
      </c>
      <c r="J989" s="0" t="n">
        <v>192</v>
      </c>
      <c r="K989" s="0" t="n">
        <v>66</v>
      </c>
      <c r="L989" s="0" t="n">
        <v>224</v>
      </c>
      <c r="M989" s="0" t="n">
        <v>151.48</v>
      </c>
      <c r="N989" s="0" t="n">
        <v>35.39</v>
      </c>
      <c r="O989" s="0" t="n">
        <v>19.42</v>
      </c>
      <c r="P989" s="0" t="n">
        <v>3.55</v>
      </c>
      <c r="Q989" s="0" t="n">
        <v>3.71</v>
      </c>
      <c r="R989" s="0" t="n">
        <v>4145</v>
      </c>
      <c r="S989" s="0" t="n">
        <v>7893</v>
      </c>
      <c r="T989" s="0" t="n">
        <v>43.1</v>
      </c>
      <c r="U989" s="0" t="n">
        <v>1131</v>
      </c>
      <c r="V989" s="0" t="n">
        <v>4</v>
      </c>
      <c r="W989" s="39" t="n">
        <f aca="false">IF(I989="Male",0,1)</f>
        <v>1</v>
      </c>
      <c r="X989" s="39" t="n">
        <f aca="false">IF(OR(I989="DNB",I989="Dry DNB"),1,0)</f>
        <v>0</v>
      </c>
      <c r="Y989" s="39" t="n">
        <f aca="false">MATCH(A989,DATAS,0)</f>
        <v>1</v>
      </c>
      <c r="Z989" s="39" t="n">
        <f aca="false">IF(AND(E989&gt;0,OR(AND(B989&gt;=1,B989&lt;=6),B989=10)),1,0)</f>
        <v>0</v>
      </c>
      <c r="AA989" s="39" t="n">
        <f aca="false">IF(AND(E989&gt;0,B989=10),1,0)</f>
        <v>0</v>
      </c>
      <c r="AB989" s="0" t="str">
        <f aca="false">IF(AND(C988=C989,Y988=Y989-1),Z988,"")</f>
        <v/>
      </c>
      <c r="AC989" s="0" t="str">
        <f aca="false">IF(AND(C988=C989,Y988=Y989-1),AA988,"")</f>
        <v/>
      </c>
      <c r="AD989" s="0" t="str">
        <f aca="false">IF(Y989=1,"",IF(AND(Z989=1,AB989&lt;&gt;1),1,0))</f>
        <v/>
      </c>
      <c r="AE989" s="0" t="str">
        <f aca="false">IF(Y989=1,"",IF(AND(AA989=1,AC989&lt;&gt;1),1,0))</f>
        <v/>
      </c>
      <c r="AF989" s="45" t="str">
        <f aca="false">IF(AND(E989&gt;0,Y989&lt;1,NOT(AND(C990=C989,Y990=Y989+1))),INDEX(DATAS,Y989+1),"")</f>
        <v/>
      </c>
      <c r="AG989" s="45" t="str">
        <f aca="false">IF(AND(AA989=1,Y989&lt;1),IF(AND(C990=C989,Y990=Y989+1),IF(AA990=1,"",INDEX(DATAS,Y989+1)),INDEX(DATAS,Y989+1)),"")</f>
        <v/>
      </c>
    </row>
    <row r="990" customFormat="false" ht="15" hidden="false" customHeight="false" outlineLevel="0" collapsed="false">
      <c r="A990" s="45" t="n">
        <v>46309</v>
      </c>
      <c r="B990" s="0" t="n">
        <v>5</v>
      </c>
      <c r="C990" s="0" t="n">
        <v>4979</v>
      </c>
      <c r="D990" s="0" t="n">
        <v>128</v>
      </c>
      <c r="E990" s="0" t="n">
        <v>2</v>
      </c>
      <c r="F990" s="39" t="s">
        <v>709</v>
      </c>
      <c r="G990" s="0" t="n">
        <v>46.8</v>
      </c>
      <c r="H990" s="0" t="n">
        <v>43</v>
      </c>
      <c r="I990" s="39" t="s">
        <v>138</v>
      </c>
      <c r="J990" s="0" t="n">
        <v>128</v>
      </c>
      <c r="K990" s="0" t="n">
        <v>65</v>
      </c>
      <c r="M990" s="0" t="n">
        <v>-139.39</v>
      </c>
      <c r="N990" s="0" t="n">
        <v>50.31</v>
      </c>
      <c r="O990" s="0" t="n">
        <v>21.79</v>
      </c>
      <c r="P990" s="0" t="n">
        <v>5.08</v>
      </c>
      <c r="Q990" s="0" t="n">
        <v>3.98</v>
      </c>
      <c r="R990" s="0" t="n">
        <v>3997</v>
      </c>
      <c r="S990" s="0" t="n">
        <v>8150</v>
      </c>
      <c r="T990" s="0" t="n">
        <v>41.4</v>
      </c>
      <c r="U990" s="0" t="n">
        <v>1130</v>
      </c>
      <c r="V990" s="0" t="n">
        <v>3</v>
      </c>
      <c r="W990" s="39" t="n">
        <f aca="false">IF(I990="Male",0,1)</f>
        <v>1</v>
      </c>
      <c r="X990" s="39" t="n">
        <f aca="false">IF(OR(I990="DNB",I990="Dry DNB"),1,0)</f>
        <v>0</v>
      </c>
      <c r="Y990" s="39" t="n">
        <f aca="false">MATCH(A990,DATAS,0)</f>
        <v>1</v>
      </c>
      <c r="Z990" s="39" t="n">
        <f aca="false">IF(AND(E990&gt;0,OR(AND(B990&gt;=1,B990&lt;=6),B990=10)),1,0)</f>
        <v>1</v>
      </c>
      <c r="AA990" s="39" t="n">
        <f aca="false">IF(AND(E990&gt;0,B990=10),1,0)</f>
        <v>0</v>
      </c>
      <c r="AB990" s="0" t="str">
        <f aca="false">IF(AND(C989=C990,Y989=Y990-1),Z989,"")</f>
        <v/>
      </c>
      <c r="AC990" s="0" t="str">
        <f aca="false">IF(AND(C989=C990,Y989=Y990-1),AA989,"")</f>
        <v/>
      </c>
      <c r="AD990" s="0" t="str">
        <f aca="false">IF(Y990=1,"",IF(AND(Z990=1,AB990&lt;&gt;1),1,0))</f>
        <v/>
      </c>
      <c r="AE990" s="0" t="str">
        <f aca="false">IF(Y990=1,"",IF(AND(AA990=1,AC990&lt;&gt;1),1,0))</f>
        <v/>
      </c>
      <c r="AF990" s="45" t="str">
        <f aca="false">IF(AND(E990&gt;0,Y990&lt;1,NOT(AND(C991=C990,Y991=Y990+1))),INDEX(DATAS,Y990+1),"")</f>
        <v/>
      </c>
      <c r="AG990" s="45" t="str">
        <f aca="false">IF(AND(AA990=1,Y990&lt;1),IF(AND(C991=C990,Y991=Y990+1),IF(AA991=1,"",INDEX(DATAS,Y990+1)),INDEX(DATAS,Y990+1)),"")</f>
        <v/>
      </c>
    </row>
    <row r="991" customFormat="false" ht="15" hidden="false" customHeight="false" outlineLevel="0" collapsed="false">
      <c r="A991" s="45" t="n">
        <v>46309</v>
      </c>
      <c r="B991" s="0" t="n">
        <v>5</v>
      </c>
      <c r="C991" s="0" t="n">
        <v>4980</v>
      </c>
      <c r="D991" s="0" t="n">
        <v>171</v>
      </c>
      <c r="E991" s="0" t="n">
        <v>2</v>
      </c>
      <c r="F991" s="39" t="s">
        <v>710</v>
      </c>
      <c r="G991" s="0" t="n">
        <v>44.2</v>
      </c>
      <c r="H991" s="0" t="n">
        <v>43</v>
      </c>
      <c r="I991" s="39" t="s">
        <v>138</v>
      </c>
      <c r="J991" s="0" t="n">
        <v>171</v>
      </c>
      <c r="K991" s="0" t="n">
        <v>66</v>
      </c>
      <c r="M991" s="0" t="n">
        <v>943.15</v>
      </c>
      <c r="N991" s="0" t="n">
        <v>41.14</v>
      </c>
      <c r="O991" s="0" t="n">
        <v>42.99</v>
      </c>
      <c r="P991" s="0" t="n">
        <v>3.19</v>
      </c>
      <c r="Q991" s="0" t="n">
        <v>3.94</v>
      </c>
      <c r="R991" s="0" t="n">
        <v>4144</v>
      </c>
      <c r="S991" s="0" t="n">
        <v>8932</v>
      </c>
      <c r="T991" s="0" t="n">
        <v>48.7</v>
      </c>
      <c r="U991" s="0" t="n">
        <v>1129</v>
      </c>
      <c r="V991" s="0" t="n">
        <v>3</v>
      </c>
      <c r="W991" s="39" t="n">
        <f aca="false">IF(I991="Male",0,1)</f>
        <v>1</v>
      </c>
      <c r="X991" s="39" t="n">
        <f aca="false">IF(OR(I991="DNB",I991="Dry DNB"),1,0)</f>
        <v>0</v>
      </c>
      <c r="Y991" s="39" t="n">
        <f aca="false">MATCH(A991,DATAS,0)</f>
        <v>1</v>
      </c>
      <c r="Z991" s="39" t="n">
        <f aca="false">IF(AND(E991&gt;0,OR(AND(B991&gt;=1,B991&lt;=6),B991=10)),1,0)</f>
        <v>1</v>
      </c>
      <c r="AA991" s="39" t="n">
        <f aca="false">IF(AND(E991&gt;0,B991=10),1,0)</f>
        <v>0</v>
      </c>
      <c r="AB991" s="0" t="str">
        <f aca="false">IF(AND(C990=C991,Y990=Y991-1),Z990,"")</f>
        <v/>
      </c>
      <c r="AC991" s="0" t="str">
        <f aca="false">IF(AND(C990=C991,Y990=Y991-1),AA990,"")</f>
        <v/>
      </c>
      <c r="AD991" s="0" t="str">
        <f aca="false">IF(Y991=1,"",IF(AND(Z991=1,AB991&lt;&gt;1),1,0))</f>
        <v/>
      </c>
      <c r="AE991" s="0" t="str">
        <f aca="false">IF(Y991=1,"",IF(AND(AA991=1,AC991&lt;&gt;1),1,0))</f>
        <v/>
      </c>
      <c r="AF991" s="45" t="str">
        <f aca="false">IF(AND(E991&gt;0,Y991&lt;1,NOT(AND(C992=C991,Y992=Y991+1))),INDEX(DATAS,Y991+1),"")</f>
        <v/>
      </c>
      <c r="AG991" s="45" t="str">
        <f aca="false">IF(AND(AA991=1,Y991&lt;1),IF(AND(C992=C991,Y992=Y991+1),IF(AA992=1,"",INDEX(DATAS,Y991+1)),INDEX(DATAS,Y991+1)),"")</f>
        <v/>
      </c>
    </row>
    <row r="992" customFormat="false" ht="15" hidden="false" customHeight="false" outlineLevel="0" collapsed="false">
      <c r="A992" s="45" t="n">
        <v>46309</v>
      </c>
      <c r="B992" s="0" t="n">
        <v>5</v>
      </c>
      <c r="C992" s="0" t="n">
        <v>4981</v>
      </c>
      <c r="D992" s="0" t="n">
        <v>89</v>
      </c>
      <c r="E992" s="0" t="n">
        <v>2</v>
      </c>
      <c r="F992" s="39" t="s">
        <v>710</v>
      </c>
      <c r="G992" s="0" t="n">
        <v>40.3</v>
      </c>
      <c r="H992" s="0" t="n">
        <v>41</v>
      </c>
      <c r="I992" s="39" t="s">
        <v>138</v>
      </c>
      <c r="J992" s="0" t="n">
        <v>89</v>
      </c>
      <c r="K992" s="0" t="n">
        <v>68</v>
      </c>
      <c r="M992" s="0" t="n">
        <v>1037.47</v>
      </c>
      <c r="N992" s="0" t="n">
        <v>57.61</v>
      </c>
      <c r="O992" s="0" t="n">
        <v>44.24</v>
      </c>
      <c r="P992" s="0" t="n">
        <v>3.16</v>
      </c>
      <c r="Q992" s="0" t="n">
        <v>3.31</v>
      </c>
      <c r="R992" s="0" t="n">
        <v>4189</v>
      </c>
      <c r="S992" s="0" t="n">
        <v>8422</v>
      </c>
      <c r="U992" s="0" t="n">
        <v>1129</v>
      </c>
      <c r="V992" s="0" t="n">
        <v>1</v>
      </c>
      <c r="W992" s="39" t="n">
        <f aca="false">IF(I992="Male",0,1)</f>
        <v>1</v>
      </c>
      <c r="X992" s="39" t="n">
        <f aca="false">IF(OR(I992="DNB",I992="Dry DNB"),1,0)</f>
        <v>0</v>
      </c>
      <c r="Y992" s="39" t="n">
        <f aca="false">MATCH(A992,DATAS,0)</f>
        <v>1</v>
      </c>
      <c r="Z992" s="39" t="n">
        <f aca="false">IF(AND(E992&gt;0,OR(AND(B992&gt;=1,B992&lt;=6),B992=10)),1,0)</f>
        <v>1</v>
      </c>
      <c r="AA992" s="39" t="n">
        <f aca="false">IF(AND(E992&gt;0,B992=10),1,0)</f>
        <v>0</v>
      </c>
      <c r="AB992" s="0" t="str">
        <f aca="false">IF(AND(C991=C992,Y991=Y992-1),Z991,"")</f>
        <v/>
      </c>
      <c r="AC992" s="0" t="str">
        <f aca="false">IF(AND(C991=C992,Y991=Y992-1),AA991,"")</f>
        <v/>
      </c>
      <c r="AD992" s="0" t="str">
        <f aca="false">IF(Y992=1,"",IF(AND(Z992=1,AB992&lt;&gt;1),1,0))</f>
        <v/>
      </c>
      <c r="AE992" s="0" t="str">
        <f aca="false">IF(Y992=1,"",IF(AND(AA992=1,AC992&lt;&gt;1),1,0))</f>
        <v/>
      </c>
      <c r="AF992" s="45" t="str">
        <f aca="false">IF(AND(E992&gt;0,Y992&lt;1,NOT(AND(C993=C992,Y993=Y992+1))),INDEX(DATAS,Y992+1),"")</f>
        <v/>
      </c>
      <c r="AG992" s="45" t="str">
        <f aca="false">IF(AND(AA992=1,Y992&lt;1),IF(AND(C993=C992,Y993=Y992+1),IF(AA993=1,"",INDEX(DATAS,Y992+1)),INDEX(DATAS,Y992+1)),"")</f>
        <v/>
      </c>
    </row>
    <row r="993" customFormat="false" ht="15" hidden="false" customHeight="false" outlineLevel="0" collapsed="false">
      <c r="A993" s="45" t="n">
        <v>46309</v>
      </c>
      <c r="B993" s="0" t="n">
        <v>5</v>
      </c>
      <c r="C993" s="0" t="n">
        <v>4983</v>
      </c>
      <c r="D993" s="0" t="n">
        <v>111</v>
      </c>
      <c r="E993" s="0" t="n">
        <v>2</v>
      </c>
      <c r="F993" s="39" t="s">
        <v>711</v>
      </c>
      <c r="G993" s="0" t="n">
        <v>44.8</v>
      </c>
      <c r="H993" s="0" t="n">
        <v>43</v>
      </c>
      <c r="I993" s="39" t="s">
        <v>146</v>
      </c>
      <c r="J993" s="0" t="n">
        <v>111</v>
      </c>
      <c r="K993" s="0" t="n">
        <v>69</v>
      </c>
      <c r="M993" s="0" t="n">
        <v>959.55</v>
      </c>
      <c r="N993" s="0" t="n">
        <v>89.25</v>
      </c>
      <c r="O993" s="0" t="n">
        <v>44.89</v>
      </c>
      <c r="P993" s="0" t="n">
        <v>4.73</v>
      </c>
      <c r="Q993" s="0" t="n">
        <v>3.28</v>
      </c>
      <c r="R993" s="0" t="n">
        <v>4082</v>
      </c>
      <c r="S993" s="0" t="n">
        <v>8249</v>
      </c>
      <c r="T993" s="0" t="n">
        <v>42</v>
      </c>
      <c r="U993" s="0" t="n">
        <v>1128</v>
      </c>
      <c r="V993" s="0" t="n">
        <v>1</v>
      </c>
      <c r="W993" s="39" t="n">
        <f aca="false">IF(I993="Male",0,1)</f>
        <v>1</v>
      </c>
      <c r="X993" s="39" t="n">
        <f aca="false">IF(OR(I993="DNB",I993="Dry DNB"),1,0)</f>
        <v>0</v>
      </c>
      <c r="Y993" s="39" t="n">
        <f aca="false">MATCH(A993,DATAS,0)</f>
        <v>1</v>
      </c>
      <c r="Z993" s="39" t="n">
        <f aca="false">IF(AND(E993&gt;0,OR(AND(B993&gt;=1,B993&lt;=6),B993=10)),1,0)</f>
        <v>1</v>
      </c>
      <c r="AA993" s="39" t="n">
        <f aca="false">IF(AND(E993&gt;0,B993=10),1,0)</f>
        <v>0</v>
      </c>
      <c r="AB993" s="0" t="str">
        <f aca="false">IF(AND(C992=C993,Y992=Y993-1),Z992,"")</f>
        <v/>
      </c>
      <c r="AC993" s="0" t="str">
        <f aca="false">IF(AND(C992=C993,Y992=Y993-1),AA992,"")</f>
        <v/>
      </c>
      <c r="AD993" s="0" t="str">
        <f aca="false">IF(Y993=1,"",IF(AND(Z993=1,AB993&lt;&gt;1),1,0))</f>
        <v/>
      </c>
      <c r="AE993" s="0" t="str">
        <f aca="false">IF(Y993=1,"",IF(AND(AA993=1,AC993&lt;&gt;1),1,0))</f>
        <v/>
      </c>
      <c r="AF993" s="45" t="str">
        <f aca="false">IF(AND(E993&gt;0,Y993&lt;1,NOT(AND(C994=C993,Y994=Y993+1))),INDEX(DATAS,Y993+1),"")</f>
        <v/>
      </c>
      <c r="AG993" s="45" t="str">
        <f aca="false">IF(AND(AA993=1,Y993&lt;1),IF(AND(C994=C993,Y994=Y993+1),IF(AA994=1,"",INDEX(DATAS,Y993+1)),INDEX(DATAS,Y993+1)),"")</f>
        <v/>
      </c>
    </row>
    <row r="994" customFormat="false" ht="15" hidden="false" customHeight="false" outlineLevel="0" collapsed="false">
      <c r="A994" s="45" t="n">
        <v>46309</v>
      </c>
      <c r="B994" s="0" t="n">
        <v>5</v>
      </c>
      <c r="C994" s="0" t="n">
        <v>4984</v>
      </c>
      <c r="D994" s="0" t="n">
        <v>270</v>
      </c>
      <c r="E994" s="0" t="n">
        <v>2</v>
      </c>
      <c r="F994" s="39" t="s">
        <v>712</v>
      </c>
      <c r="G994" s="0" t="n">
        <v>44.5</v>
      </c>
      <c r="H994" s="0" t="n">
        <v>40</v>
      </c>
      <c r="I994" s="39" t="s">
        <v>109</v>
      </c>
      <c r="J994" s="0" t="n">
        <v>67</v>
      </c>
      <c r="K994" s="0" t="n">
        <v>67</v>
      </c>
      <c r="L994" s="0" t="n">
        <v>203</v>
      </c>
      <c r="M994" s="0" t="n">
        <v>581.32</v>
      </c>
      <c r="N994" s="0" t="n">
        <v>50.68</v>
      </c>
      <c r="O994" s="0" t="n">
        <v>26.71</v>
      </c>
      <c r="P994" s="0" t="n">
        <v>4.34</v>
      </c>
      <c r="Q994" s="0" t="n">
        <v>3.76</v>
      </c>
      <c r="R994" s="0" t="n">
        <v>4966</v>
      </c>
      <c r="S994" s="0" t="n">
        <v>10465</v>
      </c>
      <c r="T994" s="0" t="n">
        <v>49.7</v>
      </c>
      <c r="U994" s="0" t="n">
        <v>1127</v>
      </c>
      <c r="V994" s="0" t="n">
        <v>1</v>
      </c>
      <c r="W994" s="39" t="n">
        <f aca="false">IF(I994="Male",0,1)</f>
        <v>1</v>
      </c>
      <c r="X994" s="39" t="n">
        <f aca="false">IF(OR(I994="DNB",I994="Dry DNB"),1,0)</f>
        <v>0</v>
      </c>
      <c r="Y994" s="39" t="n">
        <f aca="false">MATCH(A994,DATAS,0)</f>
        <v>1</v>
      </c>
      <c r="Z994" s="39" t="n">
        <f aca="false">IF(AND(E994&gt;0,OR(AND(B994&gt;=1,B994&lt;=6),B994=10)),1,0)</f>
        <v>1</v>
      </c>
      <c r="AA994" s="39" t="n">
        <f aca="false">IF(AND(E994&gt;0,B994=10),1,0)</f>
        <v>0</v>
      </c>
      <c r="AB994" s="0" t="str">
        <f aca="false">IF(AND(C993=C994,Y993=Y994-1),Z993,"")</f>
        <v/>
      </c>
      <c r="AC994" s="0" t="str">
        <f aca="false">IF(AND(C993=C994,Y993=Y994-1),AA993,"")</f>
        <v/>
      </c>
      <c r="AD994" s="0" t="str">
        <f aca="false">IF(Y994=1,"",IF(AND(Z994=1,AB994&lt;&gt;1),1,0))</f>
        <v/>
      </c>
      <c r="AE994" s="0" t="str">
        <f aca="false">IF(Y994=1,"",IF(AND(AA994=1,AC994&lt;&gt;1),1,0))</f>
        <v/>
      </c>
      <c r="AF994" s="45" t="str">
        <f aca="false">IF(AND(E994&gt;0,Y994&lt;1,NOT(AND(C995=C994,Y995=Y994+1))),INDEX(DATAS,Y994+1),"")</f>
        <v/>
      </c>
      <c r="AG994" s="45" t="str">
        <f aca="false">IF(AND(AA994=1,Y994&lt;1),IF(AND(C995=C994,Y995=Y994+1),IF(AA995=1,"",INDEX(DATAS,Y994+1)),INDEX(DATAS,Y994+1)),"")</f>
        <v/>
      </c>
    </row>
    <row r="995" customFormat="false" ht="15" hidden="false" customHeight="false" outlineLevel="0" collapsed="false">
      <c r="A995" s="45" t="n">
        <v>46309</v>
      </c>
      <c r="B995" s="0" t="n">
        <v>6</v>
      </c>
      <c r="C995" s="0" t="n">
        <v>4985</v>
      </c>
      <c r="D995" s="0" t="n">
        <v>111</v>
      </c>
      <c r="E995" s="0" t="n">
        <v>2</v>
      </c>
      <c r="F995" s="39" t="s">
        <v>713</v>
      </c>
      <c r="G995" s="0" t="n">
        <v>30.3</v>
      </c>
      <c r="H995" s="0" t="n">
        <v>29</v>
      </c>
      <c r="I995" s="39" t="s">
        <v>138</v>
      </c>
      <c r="J995" s="0" t="n">
        <v>111</v>
      </c>
      <c r="K995" s="0" t="n">
        <v>62</v>
      </c>
      <c r="M995" s="0" t="n">
        <v>853.01</v>
      </c>
      <c r="N995" s="0" t="n">
        <v>79.43</v>
      </c>
      <c r="O995" s="0" t="n">
        <v>47.62</v>
      </c>
      <c r="P995" s="0" t="n">
        <v>4.1</v>
      </c>
      <c r="Q995" s="0" t="n">
        <v>4.24</v>
      </c>
      <c r="R995" s="0" t="n">
        <v>3372</v>
      </c>
      <c r="S995" s="0" t="n">
        <v>6653</v>
      </c>
      <c r="T995" s="0" t="n">
        <v>33.8</v>
      </c>
      <c r="U995" s="0" t="n">
        <v>1126</v>
      </c>
      <c r="V995" s="0" t="n">
        <v>2</v>
      </c>
      <c r="W995" s="39" t="n">
        <f aca="false">IF(I995="Male",0,1)</f>
        <v>1</v>
      </c>
      <c r="X995" s="39" t="n">
        <f aca="false">IF(OR(I995="DNB",I995="Dry DNB"),1,0)</f>
        <v>0</v>
      </c>
      <c r="Y995" s="39" t="n">
        <f aca="false">MATCH(A995,DATAS,0)</f>
        <v>1</v>
      </c>
      <c r="Z995" s="39" t="n">
        <f aca="false">IF(AND(E995&gt;0,OR(AND(B995&gt;=1,B995&lt;=6),B995=10)),1,0)</f>
        <v>1</v>
      </c>
      <c r="AA995" s="39" t="n">
        <f aca="false">IF(AND(E995&gt;0,B995=10),1,0)</f>
        <v>0</v>
      </c>
      <c r="AB995" s="0" t="str">
        <f aca="false">IF(AND(C994=C995,Y994=Y995-1),Z994,"")</f>
        <v/>
      </c>
      <c r="AC995" s="0" t="str">
        <f aca="false">IF(AND(C994=C995,Y994=Y995-1),AA994,"")</f>
        <v/>
      </c>
      <c r="AD995" s="0" t="str">
        <f aca="false">IF(Y995=1,"",IF(AND(Z995=1,AB995&lt;&gt;1),1,0))</f>
        <v/>
      </c>
      <c r="AE995" s="0" t="str">
        <f aca="false">IF(Y995=1,"",IF(AND(AA995=1,AC995&lt;&gt;1),1,0))</f>
        <v/>
      </c>
      <c r="AF995" s="45" t="str">
        <f aca="false">IF(AND(E995&gt;0,Y995&lt;1,NOT(AND(C996=C995,Y996=Y995+1))),INDEX(DATAS,Y995+1),"")</f>
        <v/>
      </c>
      <c r="AG995" s="45" t="str">
        <f aca="false">IF(AND(AA995=1,Y995&lt;1),IF(AND(C996=C995,Y996=Y995+1),IF(AA996=1,"",INDEX(DATAS,Y995+1)),INDEX(DATAS,Y995+1)),"")</f>
        <v/>
      </c>
    </row>
    <row r="996" customFormat="false" ht="15" hidden="false" customHeight="false" outlineLevel="0" collapsed="false">
      <c r="A996" s="45" t="n">
        <v>46309</v>
      </c>
      <c r="B996" s="0" t="n">
        <v>3</v>
      </c>
      <c r="C996" s="0" t="n">
        <v>4986</v>
      </c>
      <c r="D996" s="0" t="n">
        <v>66</v>
      </c>
      <c r="E996" s="0" t="n">
        <v>2</v>
      </c>
      <c r="F996" s="39" t="s">
        <v>714</v>
      </c>
      <c r="G996" s="0" t="n">
        <v>56.4</v>
      </c>
      <c r="H996" s="0" t="n">
        <v>55</v>
      </c>
      <c r="I996" s="39" t="s">
        <v>146</v>
      </c>
      <c r="J996" s="0" t="n">
        <v>66</v>
      </c>
      <c r="M996" s="0" t="n">
        <v>1589.87</v>
      </c>
      <c r="N996" s="0" t="n">
        <v>48.66</v>
      </c>
      <c r="O996" s="0" t="n">
        <v>46.41</v>
      </c>
      <c r="P996" s="0" t="n">
        <v>3.02</v>
      </c>
      <c r="Q996" s="0" t="n">
        <v>3.65</v>
      </c>
      <c r="R996" s="0" t="n">
        <v>4765</v>
      </c>
      <c r="S996" s="0" t="n">
        <v>9580</v>
      </c>
      <c r="U996" s="0" t="n">
        <v>1125</v>
      </c>
      <c r="V996" s="0" t="n">
        <v>0</v>
      </c>
      <c r="W996" s="39" t="n">
        <f aca="false">IF(I996="Male",0,1)</f>
        <v>1</v>
      </c>
      <c r="X996" s="39" t="n">
        <f aca="false">IF(OR(I996="DNB",I996="Dry DNB"),1,0)</f>
        <v>0</v>
      </c>
      <c r="Y996" s="39" t="n">
        <f aca="false">MATCH(A996,DATAS,0)</f>
        <v>1</v>
      </c>
      <c r="Z996" s="39" t="n">
        <f aca="false">IF(AND(E996&gt;0,OR(AND(B996&gt;=1,B996&lt;=6),B996=10)),1,0)</f>
        <v>1</v>
      </c>
      <c r="AA996" s="39" t="n">
        <f aca="false">IF(AND(E996&gt;0,B996=10),1,0)</f>
        <v>0</v>
      </c>
      <c r="AB996" s="0" t="str">
        <f aca="false">IF(AND(C995=C996,Y995=Y996-1),Z995,"")</f>
        <v/>
      </c>
      <c r="AC996" s="0" t="str">
        <f aca="false">IF(AND(C995=C996,Y995=Y996-1),AA995,"")</f>
        <v/>
      </c>
      <c r="AD996" s="0" t="str">
        <f aca="false">IF(Y996=1,"",IF(AND(Z996=1,AB996&lt;&gt;1),1,0))</f>
        <v/>
      </c>
      <c r="AE996" s="0" t="str">
        <f aca="false">IF(Y996=1,"",IF(AND(AA996=1,AC996&lt;&gt;1),1,0))</f>
        <v/>
      </c>
      <c r="AF996" s="45" t="str">
        <f aca="false">IF(AND(E996&gt;0,Y996&lt;1,NOT(AND(C997=C996,Y997=Y996+1))),INDEX(DATAS,Y996+1),"")</f>
        <v/>
      </c>
      <c r="AG996" s="45" t="str">
        <f aca="false">IF(AND(AA996=1,Y996&lt;1),IF(AND(C997=C996,Y997=Y996+1),IF(AA997=1,"",INDEX(DATAS,Y996+1)),INDEX(DATAS,Y996+1)),"")</f>
        <v/>
      </c>
    </row>
    <row r="997" customFormat="false" ht="15" hidden="false" customHeight="false" outlineLevel="0" collapsed="false">
      <c r="A997" s="45" t="n">
        <v>46309</v>
      </c>
      <c r="B997" s="0" t="n">
        <v>6</v>
      </c>
      <c r="C997" s="0" t="n">
        <v>4988</v>
      </c>
      <c r="D997" s="0" t="n">
        <v>196</v>
      </c>
      <c r="E997" s="0" t="n">
        <v>2</v>
      </c>
      <c r="F997" s="39" t="s">
        <v>714</v>
      </c>
      <c r="G997" s="0" t="n">
        <v>23.5</v>
      </c>
      <c r="H997" s="0" t="n">
        <v>17</v>
      </c>
      <c r="I997" s="39" t="s">
        <v>109</v>
      </c>
      <c r="J997" s="0" t="n">
        <v>63</v>
      </c>
      <c r="K997" s="0" t="n">
        <v>63</v>
      </c>
      <c r="L997" s="0" t="n">
        <v>133</v>
      </c>
      <c r="M997" s="0" t="n">
        <v>634.62</v>
      </c>
      <c r="N997" s="0" t="n">
        <v>63.46</v>
      </c>
      <c r="O997" s="0" t="n">
        <v>33.79</v>
      </c>
      <c r="P997" s="0" t="n">
        <v>4.56</v>
      </c>
      <c r="Q997" s="0" t="n">
        <v>3.57</v>
      </c>
      <c r="R997" s="0" t="n">
        <v>3839</v>
      </c>
      <c r="S997" s="0" t="n">
        <v>7941</v>
      </c>
      <c r="T997" s="0" t="n">
        <v>44.05</v>
      </c>
      <c r="U997" s="0" t="n">
        <v>1125</v>
      </c>
      <c r="V997" s="0" t="n">
        <v>1</v>
      </c>
      <c r="W997" s="39" t="n">
        <f aca="false">IF(I997="Male",0,1)</f>
        <v>1</v>
      </c>
      <c r="X997" s="39" t="n">
        <f aca="false">IF(OR(I997="DNB",I997="Dry DNB"),1,0)</f>
        <v>0</v>
      </c>
      <c r="Y997" s="39" t="n">
        <f aca="false">MATCH(A997,DATAS,0)</f>
        <v>1</v>
      </c>
      <c r="Z997" s="39" t="n">
        <f aca="false">IF(AND(E997&gt;0,OR(AND(B997&gt;=1,B997&lt;=6),B997=10)),1,0)</f>
        <v>1</v>
      </c>
      <c r="AA997" s="39" t="n">
        <f aca="false">IF(AND(E997&gt;0,B997=10),1,0)</f>
        <v>0</v>
      </c>
      <c r="AB997" s="0" t="str">
        <f aca="false">IF(AND(C996=C997,Y996=Y997-1),Z996,"")</f>
        <v/>
      </c>
      <c r="AC997" s="0" t="str">
        <f aca="false">IF(AND(C996=C997,Y996=Y997-1),AA996,"")</f>
        <v/>
      </c>
      <c r="AD997" s="0" t="str">
        <f aca="false">IF(Y997=1,"",IF(AND(Z997=1,AB997&lt;&gt;1),1,0))</f>
        <v/>
      </c>
      <c r="AE997" s="0" t="str">
        <f aca="false">IF(Y997=1,"",IF(AND(AA997=1,AC997&lt;&gt;1),1,0))</f>
        <v/>
      </c>
      <c r="AF997" s="45" t="str">
        <f aca="false">IF(AND(E997&gt;0,Y997&lt;1,NOT(AND(C998=C997,Y998=Y997+1))),INDEX(DATAS,Y997+1),"")</f>
        <v/>
      </c>
      <c r="AG997" s="45" t="str">
        <f aca="false">IF(AND(AA997=1,Y997&lt;1),IF(AND(C998=C997,Y998=Y997+1),IF(AA998=1,"",INDEX(DATAS,Y997+1)),INDEX(DATAS,Y997+1)),"")</f>
        <v/>
      </c>
    </row>
    <row r="998" customFormat="false" ht="15" hidden="false" customHeight="false" outlineLevel="0" collapsed="false">
      <c r="A998" s="45" t="n">
        <v>46309</v>
      </c>
      <c r="B998" s="0" t="n">
        <v>5</v>
      </c>
      <c r="C998" s="0" t="n">
        <v>4989</v>
      </c>
      <c r="D998" s="0" t="n">
        <v>111</v>
      </c>
      <c r="E998" s="0" t="n">
        <v>2</v>
      </c>
      <c r="F998" s="39" t="s">
        <v>715</v>
      </c>
      <c r="G998" s="0" t="n">
        <v>46.2</v>
      </c>
      <c r="H998" s="0" t="n">
        <v>44</v>
      </c>
      <c r="I998" s="39" t="s">
        <v>109</v>
      </c>
      <c r="J998" s="0" t="n">
        <v>69</v>
      </c>
      <c r="K998" s="0" t="n">
        <v>69</v>
      </c>
      <c r="L998" s="0" t="n">
        <v>42</v>
      </c>
      <c r="M998" s="0" t="n">
        <v>1179.58</v>
      </c>
      <c r="N998" s="0" t="n">
        <v>79.63</v>
      </c>
      <c r="O998" s="0" t="n">
        <v>55.56</v>
      </c>
      <c r="P998" s="0" t="n">
        <v>4.74</v>
      </c>
      <c r="Q998" s="0" t="n">
        <v>3.74</v>
      </c>
      <c r="R998" s="0" t="n">
        <v>3429</v>
      </c>
      <c r="S998" s="0" t="n">
        <v>7106</v>
      </c>
      <c r="T998" s="0" t="n">
        <v>43.3</v>
      </c>
      <c r="U998" s="0" t="n">
        <v>1124</v>
      </c>
      <c r="V998" s="0" t="n">
        <v>1</v>
      </c>
      <c r="W998" s="39" t="n">
        <f aca="false">IF(I998="Male",0,1)</f>
        <v>1</v>
      </c>
      <c r="X998" s="39" t="n">
        <f aca="false">IF(OR(I998="DNB",I998="Dry DNB"),1,0)</f>
        <v>0</v>
      </c>
      <c r="Y998" s="39" t="n">
        <f aca="false">MATCH(A998,DATAS,0)</f>
        <v>1</v>
      </c>
      <c r="Z998" s="39" t="n">
        <f aca="false">IF(AND(E998&gt;0,OR(AND(B998&gt;=1,B998&lt;=6),B998=10)),1,0)</f>
        <v>1</v>
      </c>
      <c r="AA998" s="39" t="n">
        <f aca="false">IF(AND(E998&gt;0,B998=10),1,0)</f>
        <v>0</v>
      </c>
      <c r="AB998" s="0" t="str">
        <f aca="false">IF(AND(C997=C998,Y997=Y998-1),Z997,"")</f>
        <v/>
      </c>
      <c r="AC998" s="0" t="str">
        <f aca="false">IF(AND(C997=C998,Y997=Y998-1),AA997,"")</f>
        <v/>
      </c>
      <c r="AD998" s="0" t="str">
        <f aca="false">IF(Y998=1,"",IF(AND(Z998=1,AB998&lt;&gt;1),1,0))</f>
        <v/>
      </c>
      <c r="AE998" s="0" t="str">
        <f aca="false">IF(Y998=1,"",IF(AND(AA998=1,AC998&lt;&gt;1),1,0))</f>
        <v/>
      </c>
      <c r="AF998" s="45" t="str">
        <f aca="false">IF(AND(E998&gt;0,Y998&lt;1,NOT(AND(C999=C998,Y999=Y998+1))),INDEX(DATAS,Y998+1),"")</f>
        <v/>
      </c>
      <c r="AG998" s="45" t="str">
        <f aca="false">IF(AND(AA998=1,Y998&lt;1),IF(AND(C999=C998,Y999=Y998+1),IF(AA999=1,"",INDEX(DATAS,Y998+1)),INDEX(DATAS,Y998+1)),"")</f>
        <v/>
      </c>
    </row>
    <row r="999" customFormat="false" ht="15" hidden="false" customHeight="false" outlineLevel="0" collapsed="false">
      <c r="A999" s="45" t="n">
        <v>46309</v>
      </c>
      <c r="B999" s="0" t="n">
        <v>5</v>
      </c>
      <c r="C999" s="0" t="n">
        <v>4990</v>
      </c>
      <c r="D999" s="0" t="n">
        <v>88</v>
      </c>
      <c r="E999" s="0" t="n">
        <v>2</v>
      </c>
      <c r="F999" s="39" t="s">
        <v>715</v>
      </c>
      <c r="G999" s="0" t="n">
        <v>40.8</v>
      </c>
      <c r="H999" s="0" t="n">
        <v>39</v>
      </c>
      <c r="I999" s="39" t="s">
        <v>138</v>
      </c>
      <c r="J999" s="0" t="n">
        <v>88</v>
      </c>
      <c r="K999" s="0" t="n">
        <v>67</v>
      </c>
      <c r="M999" s="0" t="n">
        <v>703.67</v>
      </c>
      <c r="N999" s="0" t="n">
        <v>78.95</v>
      </c>
      <c r="O999" s="0" t="n">
        <v>35.12</v>
      </c>
      <c r="P999" s="0" t="n">
        <v>4.53</v>
      </c>
      <c r="Q999" s="0" t="n">
        <v>3.45</v>
      </c>
      <c r="R999" s="0" t="n">
        <v>3624</v>
      </c>
      <c r="S999" s="0" t="n">
        <v>7286</v>
      </c>
      <c r="U999" s="0" t="n">
        <v>1124</v>
      </c>
      <c r="V999" s="0" t="n">
        <v>1</v>
      </c>
      <c r="W999" s="39" t="n">
        <f aca="false">IF(I999="Male",0,1)</f>
        <v>1</v>
      </c>
      <c r="X999" s="39" t="n">
        <f aca="false">IF(OR(I999="DNB",I999="Dry DNB"),1,0)</f>
        <v>0</v>
      </c>
      <c r="Y999" s="39" t="n">
        <f aca="false">MATCH(A999,DATAS,0)</f>
        <v>1</v>
      </c>
      <c r="Z999" s="39" t="n">
        <f aca="false">IF(AND(E999&gt;0,OR(AND(B999&gt;=1,B999&lt;=6),B999=10)),1,0)</f>
        <v>1</v>
      </c>
      <c r="AA999" s="39" t="n">
        <f aca="false">IF(AND(E999&gt;0,B999=10),1,0)</f>
        <v>0</v>
      </c>
      <c r="AB999" s="0" t="str">
        <f aca="false">IF(AND(C998=C999,Y998=Y999-1),Z998,"")</f>
        <v/>
      </c>
      <c r="AC999" s="0" t="str">
        <f aca="false">IF(AND(C998=C999,Y998=Y999-1),AA998,"")</f>
        <v/>
      </c>
      <c r="AD999" s="0" t="str">
        <f aca="false">IF(Y999=1,"",IF(AND(Z999=1,AB999&lt;&gt;1),1,0))</f>
        <v/>
      </c>
      <c r="AE999" s="0" t="str">
        <f aca="false">IF(Y999=1,"",IF(AND(AA999=1,AC999&lt;&gt;1),1,0))</f>
        <v/>
      </c>
      <c r="AF999" s="45" t="str">
        <f aca="false">IF(AND(E999&gt;0,Y999&lt;1,NOT(AND(C1000=C999,Y1000=Y999+1))),INDEX(DATAS,Y999+1),"")</f>
        <v/>
      </c>
      <c r="AG999" s="45" t="str">
        <f aca="false">IF(AND(AA999=1,Y999&lt;1),IF(AND(C1000=C999,Y1000=Y999+1),IF(AA1000=1,"",INDEX(DATAS,Y999+1)),INDEX(DATAS,Y999+1)),"")</f>
        <v/>
      </c>
    </row>
    <row r="1000" customFormat="false" ht="15" hidden="false" customHeight="false" outlineLevel="0" collapsed="false">
      <c r="A1000" s="45" t="n">
        <v>46309</v>
      </c>
      <c r="B1000" s="0" t="n">
        <v>2</v>
      </c>
      <c r="C1000" s="0" t="n">
        <v>4991</v>
      </c>
      <c r="D1000" s="0" t="n">
        <v>125</v>
      </c>
      <c r="E1000" s="0" t="n">
        <v>2</v>
      </c>
      <c r="F1000" s="39" t="s">
        <v>716</v>
      </c>
      <c r="G1000" s="0" t="n">
        <v>47</v>
      </c>
      <c r="H1000" s="0" t="n">
        <v>46</v>
      </c>
      <c r="I1000" s="39" t="s">
        <v>138</v>
      </c>
      <c r="J1000" s="0" t="n">
        <v>125</v>
      </c>
      <c r="K1000" s="0" t="n">
        <v>76</v>
      </c>
      <c r="M1000" s="0" t="n">
        <v>870.89</v>
      </c>
      <c r="N1000" s="0" t="n">
        <v>46.5</v>
      </c>
      <c r="O1000" s="0" t="n">
        <v>35</v>
      </c>
      <c r="P1000" s="0" t="n">
        <v>3.77</v>
      </c>
      <c r="Q1000" s="0" t="n">
        <v>3.16</v>
      </c>
      <c r="R1000" s="0" t="n">
        <v>4492</v>
      </c>
      <c r="S1000" s="0" t="n">
        <v>9131</v>
      </c>
      <c r="T1000" s="0" t="n">
        <v>51.75</v>
      </c>
      <c r="U1000" s="0" t="n">
        <v>1123</v>
      </c>
      <c r="V1000" s="0" t="n">
        <v>3</v>
      </c>
      <c r="W1000" s="39" t="n">
        <f aca="false">IF(I1000="Male",0,1)</f>
        <v>1</v>
      </c>
      <c r="X1000" s="39" t="n">
        <f aca="false">IF(OR(I1000="DNB",I1000="Dry DNB"),1,0)</f>
        <v>0</v>
      </c>
      <c r="Y1000" s="39" t="n">
        <f aca="false">MATCH(A1000,DATAS,0)</f>
        <v>1</v>
      </c>
      <c r="Z1000" s="39" t="n">
        <f aca="false">IF(AND(E1000&gt;0,OR(AND(B1000&gt;=1,B1000&lt;=6),B1000=10)),1,0)</f>
        <v>1</v>
      </c>
      <c r="AA1000" s="39" t="n">
        <f aca="false">IF(AND(E1000&gt;0,B1000=10),1,0)</f>
        <v>0</v>
      </c>
      <c r="AB1000" s="0" t="str">
        <f aca="false">IF(AND(C999=C1000,Y999=Y1000-1),Z999,"")</f>
        <v/>
      </c>
      <c r="AC1000" s="0" t="str">
        <f aca="false">IF(AND(C999=C1000,Y999=Y1000-1),AA999,"")</f>
        <v/>
      </c>
      <c r="AD1000" s="0" t="str">
        <f aca="false">IF(Y1000=1,"",IF(AND(Z1000=1,AB1000&lt;&gt;1),1,0))</f>
        <v/>
      </c>
      <c r="AE1000" s="0" t="str">
        <f aca="false">IF(Y1000=1,"",IF(AND(AA1000=1,AC1000&lt;&gt;1),1,0))</f>
        <v/>
      </c>
      <c r="AF1000" s="45" t="str">
        <f aca="false">IF(AND(E1000&gt;0,Y1000&lt;1,NOT(AND(C1001=C1000,Y1001=Y1000+1))),INDEX(DATAS,Y1000+1),"")</f>
        <v/>
      </c>
      <c r="AG1000" s="45" t="str">
        <f aca="false">IF(AND(AA1000=1,Y1000&lt;1),IF(AND(C1001=C1000,Y1001=Y1000+1),IF(AA1001=1,"",INDEX(DATAS,Y1000+1)),INDEX(DATAS,Y1000+1)),"")</f>
        <v/>
      </c>
    </row>
    <row r="1001" customFormat="false" ht="15" hidden="false" customHeight="false" outlineLevel="0" collapsed="false">
      <c r="A1001" s="45" t="n">
        <v>46309</v>
      </c>
      <c r="B1001" s="0" t="n">
        <v>10</v>
      </c>
      <c r="C1001" s="0" t="n">
        <v>4992</v>
      </c>
      <c r="D1001" s="0" t="n">
        <v>84</v>
      </c>
      <c r="E1001" s="0" t="n">
        <v>2</v>
      </c>
      <c r="F1001" s="39" t="s">
        <v>716</v>
      </c>
      <c r="G1001" s="0" t="n">
        <v>4.5</v>
      </c>
      <c r="H1001" s="0" t="n">
        <v>13</v>
      </c>
      <c r="I1001" s="39" t="s">
        <v>146</v>
      </c>
      <c r="J1001" s="0" t="n">
        <v>84</v>
      </c>
      <c r="M1001" s="0" t="n">
        <v>910.29</v>
      </c>
      <c r="N1001" s="0" t="n">
        <v>63.01</v>
      </c>
      <c r="O1001" s="0" t="n">
        <v>30.94</v>
      </c>
      <c r="P1001" s="0" t="n">
        <v>4.51</v>
      </c>
      <c r="Q1001" s="0" t="n">
        <v>3.19</v>
      </c>
      <c r="R1001" s="0" t="n">
        <v>3111</v>
      </c>
      <c r="S1001" s="0" t="n">
        <v>6253</v>
      </c>
      <c r="U1001" s="0" t="n">
        <v>1123</v>
      </c>
      <c r="V1001" s="0" t="n">
        <v>0</v>
      </c>
      <c r="W1001" s="39" t="n">
        <f aca="false">IF(I1001="Male",0,1)</f>
        <v>1</v>
      </c>
      <c r="X1001" s="39" t="n">
        <f aca="false">IF(OR(I1001="DNB",I1001="Dry DNB"),1,0)</f>
        <v>0</v>
      </c>
      <c r="Y1001" s="39" t="n">
        <f aca="false">MATCH(A1001,DATAS,0)</f>
        <v>1</v>
      </c>
      <c r="Z1001" s="39" t="n">
        <f aca="false">IF(AND(E1001&gt;0,OR(AND(B1001&gt;=1,B1001&lt;=6),B1001=10)),1,0)</f>
        <v>1</v>
      </c>
      <c r="AA1001" s="39" t="n">
        <f aca="false">IF(AND(E1001&gt;0,B1001=10),1,0)</f>
        <v>1</v>
      </c>
      <c r="AB1001" s="0" t="str">
        <f aca="false">IF(AND(C1000=C1001,Y1000=Y1001-1),Z1000,"")</f>
        <v/>
      </c>
      <c r="AC1001" s="0" t="str">
        <f aca="false">IF(AND(C1000=C1001,Y1000=Y1001-1),AA1000,"")</f>
        <v/>
      </c>
      <c r="AD1001" s="0" t="str">
        <f aca="false">IF(Y1001=1,"",IF(AND(Z1001=1,AB1001&lt;&gt;1),1,0))</f>
        <v/>
      </c>
      <c r="AE1001" s="0" t="str">
        <f aca="false">IF(Y1001=1,"",IF(AND(AA1001=1,AC1001&lt;&gt;1),1,0))</f>
        <v/>
      </c>
      <c r="AF1001" s="45" t="str">
        <f aca="false">IF(AND(E1001&gt;0,Y1001&lt;1,NOT(AND(C1002=C1001,Y1002=Y1001+1))),INDEX(DATAS,Y1001+1),"")</f>
        <v/>
      </c>
      <c r="AG1001" s="45" t="str">
        <f aca="false">IF(AND(AA1001=1,Y1001&lt;1),IF(AND(C1002=C1001,Y1002=Y1001+1),IF(AA1002=1,"",INDEX(DATAS,Y1001+1)),INDEX(DATAS,Y1001+1)),"")</f>
        <v/>
      </c>
    </row>
    <row r="1002" customFormat="false" ht="15" hidden="false" customHeight="false" outlineLevel="0" collapsed="false">
      <c r="A1002" s="45" t="n">
        <v>46309</v>
      </c>
      <c r="B1002" s="0" t="n">
        <v>2</v>
      </c>
      <c r="C1002" s="0" t="n">
        <v>4995</v>
      </c>
      <c r="D1002" s="0" t="n">
        <v>169</v>
      </c>
      <c r="E1002" s="0" t="n">
        <v>2</v>
      </c>
      <c r="F1002" s="39" t="s">
        <v>717</v>
      </c>
      <c r="G1002" s="0" t="n">
        <v>59.1</v>
      </c>
      <c r="H1002" s="0" t="n">
        <v>55</v>
      </c>
      <c r="I1002" s="39" t="s">
        <v>138</v>
      </c>
      <c r="J1002" s="0" t="n">
        <v>169</v>
      </c>
      <c r="K1002" s="0" t="n">
        <v>78</v>
      </c>
      <c r="M1002" s="0" t="n">
        <v>1395.87</v>
      </c>
      <c r="N1002" s="0" t="n">
        <v>64.23</v>
      </c>
      <c r="O1002" s="0" t="n">
        <v>36.03</v>
      </c>
      <c r="P1002" s="0" t="n">
        <v>3.36</v>
      </c>
      <c r="Q1002" s="0" t="n">
        <v>3.17</v>
      </c>
      <c r="R1002" s="0" t="n">
        <v>4631</v>
      </c>
      <c r="S1002" s="0" t="n">
        <v>9949</v>
      </c>
      <c r="T1002" s="0" t="n">
        <v>54.9</v>
      </c>
      <c r="U1002" s="0" t="n">
        <v>1120</v>
      </c>
      <c r="V1002" s="0" t="n">
        <v>3</v>
      </c>
      <c r="W1002" s="39" t="n">
        <f aca="false">IF(I1002="Male",0,1)</f>
        <v>1</v>
      </c>
      <c r="X1002" s="39" t="n">
        <f aca="false">IF(OR(I1002="DNB",I1002="Dry DNB"),1,0)</f>
        <v>0</v>
      </c>
      <c r="Y1002" s="39" t="n">
        <f aca="false">MATCH(A1002,DATAS,0)</f>
        <v>1</v>
      </c>
      <c r="Z1002" s="39" t="n">
        <f aca="false">IF(AND(E1002&gt;0,OR(AND(B1002&gt;=1,B1002&lt;=6),B1002=10)),1,0)</f>
        <v>1</v>
      </c>
      <c r="AA1002" s="39" t="n">
        <f aca="false">IF(AND(E1002&gt;0,B1002=10),1,0)</f>
        <v>0</v>
      </c>
      <c r="AB1002" s="0" t="str">
        <f aca="false">IF(AND(C1001=C1002,Y1001=Y1002-1),Z1001,"")</f>
        <v/>
      </c>
      <c r="AC1002" s="0" t="str">
        <f aca="false">IF(AND(C1001=C1002,Y1001=Y1002-1),AA1001,"")</f>
        <v/>
      </c>
      <c r="AD1002" s="0" t="str">
        <f aca="false">IF(Y1002=1,"",IF(AND(Z1002=1,AB1002&lt;&gt;1),1,0))</f>
        <v/>
      </c>
      <c r="AE1002" s="0" t="str">
        <f aca="false">IF(Y1002=1,"",IF(AND(AA1002=1,AC1002&lt;&gt;1),1,0))</f>
        <v/>
      </c>
      <c r="AF1002" s="45" t="str">
        <f aca="false">IF(AND(E1002&gt;0,Y1002&lt;1,NOT(AND(C1003=C1002,Y1003=Y1002+1))),INDEX(DATAS,Y1002+1),"")</f>
        <v/>
      </c>
      <c r="AG1002" s="45" t="str">
        <f aca="false">IF(AND(AA1002=1,Y1002&lt;1),IF(AND(C1003=C1002,Y1003=Y1002+1),IF(AA1003=1,"",INDEX(DATAS,Y1002+1)),INDEX(DATAS,Y1002+1)),"")</f>
        <v/>
      </c>
    </row>
    <row r="1003" customFormat="false" ht="15" hidden="false" customHeight="false" outlineLevel="0" collapsed="false">
      <c r="A1003" s="45" t="n">
        <v>46309</v>
      </c>
      <c r="B1003" s="0" t="n">
        <v>2</v>
      </c>
      <c r="C1003" s="0" t="n">
        <v>4996</v>
      </c>
      <c r="D1003" s="0" t="n">
        <v>153</v>
      </c>
      <c r="E1003" s="0" t="n">
        <v>2</v>
      </c>
      <c r="F1003" s="39" t="s">
        <v>717</v>
      </c>
      <c r="G1003" s="0" t="n">
        <v>54.7</v>
      </c>
      <c r="H1003" s="0" t="n">
        <v>54</v>
      </c>
      <c r="I1003" s="39" t="s">
        <v>146</v>
      </c>
      <c r="J1003" s="0" t="n">
        <v>153</v>
      </c>
      <c r="K1003" s="0" t="n">
        <v>83</v>
      </c>
      <c r="M1003" s="0" t="n">
        <v>1189.59</v>
      </c>
      <c r="N1003" s="0" t="n">
        <v>42.75</v>
      </c>
      <c r="O1003" s="0" t="n">
        <v>29.81</v>
      </c>
      <c r="P1003" s="0" t="n">
        <v>2.74</v>
      </c>
      <c r="Q1003" s="0" t="n">
        <v>2.95</v>
      </c>
      <c r="R1003" s="0" t="n">
        <v>5463</v>
      </c>
      <c r="S1003" s="0" t="n">
        <v>11358</v>
      </c>
      <c r="T1003" s="0" t="n">
        <v>59</v>
      </c>
      <c r="U1003" s="0" t="n">
        <v>1120</v>
      </c>
      <c r="V1003" s="0" t="n">
        <v>3</v>
      </c>
      <c r="W1003" s="39" t="n">
        <f aca="false">IF(I1003="Male",0,1)</f>
        <v>1</v>
      </c>
      <c r="X1003" s="39" t="n">
        <f aca="false">IF(OR(I1003="DNB",I1003="Dry DNB"),1,0)</f>
        <v>0</v>
      </c>
      <c r="Y1003" s="39" t="n">
        <f aca="false">MATCH(A1003,DATAS,0)</f>
        <v>1</v>
      </c>
      <c r="Z1003" s="39" t="n">
        <f aca="false">IF(AND(E1003&gt;0,OR(AND(B1003&gt;=1,B1003&lt;=6),B1003=10)),1,0)</f>
        <v>1</v>
      </c>
      <c r="AA1003" s="39" t="n">
        <f aca="false">IF(AND(E1003&gt;0,B1003=10),1,0)</f>
        <v>0</v>
      </c>
      <c r="AB1003" s="0" t="str">
        <f aca="false">IF(AND(C1002=C1003,Y1002=Y1003-1),Z1002,"")</f>
        <v/>
      </c>
      <c r="AC1003" s="0" t="str">
        <f aca="false">IF(AND(C1002=C1003,Y1002=Y1003-1),AA1002,"")</f>
        <v/>
      </c>
      <c r="AD1003" s="0" t="str">
        <f aca="false">IF(Y1003=1,"",IF(AND(Z1003=1,AB1003&lt;&gt;1),1,0))</f>
        <v/>
      </c>
      <c r="AE1003" s="0" t="str">
        <f aca="false">IF(Y1003=1,"",IF(AND(AA1003=1,AC1003&lt;&gt;1),1,0))</f>
        <v/>
      </c>
      <c r="AF1003" s="45" t="str">
        <f aca="false">IF(AND(E1003&gt;0,Y1003&lt;1,NOT(AND(C1004=C1003,Y1004=Y1003+1))),INDEX(DATAS,Y1003+1),"")</f>
        <v/>
      </c>
      <c r="AG1003" s="45" t="str">
        <f aca="false">IF(AND(AA1003=1,Y1003&lt;1),IF(AND(C1004=C1003,Y1004=Y1003+1),IF(AA1004=1,"",INDEX(DATAS,Y1003+1)),INDEX(DATAS,Y1003+1)),"")</f>
        <v/>
      </c>
    </row>
    <row r="1004" customFormat="false" ht="15" hidden="false" customHeight="false" outlineLevel="0" collapsed="false">
      <c r="A1004" s="45" t="n">
        <v>46309</v>
      </c>
      <c r="B1004" s="0" t="n">
        <v>3</v>
      </c>
      <c r="C1004" s="0" t="n">
        <v>4997</v>
      </c>
      <c r="D1004" s="0" t="n">
        <v>127</v>
      </c>
      <c r="E1004" s="0" t="n">
        <v>2</v>
      </c>
      <c r="F1004" s="39" t="s">
        <v>717</v>
      </c>
      <c r="G1004" s="0" t="n">
        <v>53.2</v>
      </c>
      <c r="H1004" s="0" t="n">
        <v>56</v>
      </c>
      <c r="I1004" s="39" t="s">
        <v>146</v>
      </c>
      <c r="J1004" s="0" t="n">
        <v>127</v>
      </c>
      <c r="K1004" s="0" t="n">
        <v>64</v>
      </c>
      <c r="M1004" s="0" t="n">
        <v>430.86</v>
      </c>
      <c r="N1004" s="0" t="n">
        <v>69.71</v>
      </c>
      <c r="O1004" s="0" t="n">
        <v>24.25</v>
      </c>
      <c r="P1004" s="0" t="n">
        <v>3.5</v>
      </c>
      <c r="Q1004" s="0" t="n">
        <v>3.25</v>
      </c>
      <c r="R1004" s="0" t="n">
        <v>4993</v>
      </c>
      <c r="S1004" s="0" t="n">
        <v>10427</v>
      </c>
      <c r="T1004" s="0" t="n">
        <v>51.8</v>
      </c>
      <c r="U1004" s="0" t="n">
        <v>1120</v>
      </c>
      <c r="V1004" s="0" t="n">
        <v>2</v>
      </c>
      <c r="W1004" s="39" t="n">
        <f aca="false">IF(I1004="Male",0,1)</f>
        <v>1</v>
      </c>
      <c r="X1004" s="39" t="n">
        <f aca="false">IF(OR(I1004="DNB",I1004="Dry DNB"),1,0)</f>
        <v>0</v>
      </c>
      <c r="Y1004" s="39" t="n">
        <f aca="false">MATCH(A1004,DATAS,0)</f>
        <v>1</v>
      </c>
      <c r="Z1004" s="39" t="n">
        <f aca="false">IF(AND(E1004&gt;0,OR(AND(B1004&gt;=1,B1004&lt;=6),B1004=10)),1,0)</f>
        <v>1</v>
      </c>
      <c r="AA1004" s="39" t="n">
        <f aca="false">IF(AND(E1004&gt;0,B1004=10),1,0)</f>
        <v>0</v>
      </c>
      <c r="AB1004" s="0" t="str">
        <f aca="false">IF(AND(C1003=C1004,Y1003=Y1004-1),Z1003,"")</f>
        <v/>
      </c>
      <c r="AC1004" s="0" t="str">
        <f aca="false">IF(AND(C1003=C1004,Y1003=Y1004-1),AA1003,"")</f>
        <v/>
      </c>
      <c r="AD1004" s="0" t="str">
        <f aca="false">IF(Y1004=1,"",IF(AND(Z1004=1,AB1004&lt;&gt;1),1,0))</f>
        <v/>
      </c>
      <c r="AE1004" s="0" t="str">
        <f aca="false">IF(Y1004=1,"",IF(AND(AA1004=1,AC1004&lt;&gt;1),1,0))</f>
        <v/>
      </c>
      <c r="AF1004" s="45" t="str">
        <f aca="false">IF(AND(E1004&gt;0,Y1004&lt;1,NOT(AND(C1005=C1004,Y1005=Y1004+1))),INDEX(DATAS,Y1004+1),"")</f>
        <v/>
      </c>
      <c r="AG1004" s="45" t="str">
        <f aca="false">IF(AND(AA1004=1,Y1004&lt;1),IF(AND(C1005=C1004,Y1005=Y1004+1),IF(AA1005=1,"",INDEX(DATAS,Y1004+1)),INDEX(DATAS,Y1004+1)),"")</f>
        <v/>
      </c>
    </row>
    <row r="1005" customFormat="false" ht="15" hidden="false" customHeight="false" outlineLevel="0" collapsed="false">
      <c r="A1005" s="45" t="n">
        <v>46309</v>
      </c>
      <c r="B1005" s="0" t="n">
        <v>7</v>
      </c>
      <c r="C1005" s="0" t="n">
        <v>4998</v>
      </c>
      <c r="D1005" s="0" t="n">
        <v>458</v>
      </c>
      <c r="E1005" s="0" t="n">
        <v>1</v>
      </c>
      <c r="F1005" s="39" t="s">
        <v>718</v>
      </c>
      <c r="I1005" s="39" t="s">
        <v>114</v>
      </c>
      <c r="J1005" s="0" t="n">
        <v>368</v>
      </c>
      <c r="K1005" s="0" t="n">
        <v>60</v>
      </c>
      <c r="L1005" s="0" t="n">
        <v>126</v>
      </c>
      <c r="M1005" s="0" t="n">
        <v>925.09</v>
      </c>
      <c r="N1005" s="0" t="n">
        <v>51.8</v>
      </c>
      <c r="O1005" s="0" t="n">
        <v>31.75</v>
      </c>
      <c r="P1005" s="0" t="n">
        <v>4.72</v>
      </c>
      <c r="Q1005" s="0" t="n">
        <v>3.33</v>
      </c>
      <c r="R1005" s="0" t="n">
        <v>4717</v>
      </c>
      <c r="S1005" s="0" t="n">
        <v>10049</v>
      </c>
      <c r="T1005" s="0" t="n">
        <v>53.65</v>
      </c>
      <c r="U1005" s="0" t="n">
        <v>1119</v>
      </c>
      <c r="V1005" s="0" t="n">
        <v>10</v>
      </c>
      <c r="W1005" s="39" t="n">
        <f aca="false">IF(I1005="Male",0,1)</f>
        <v>1</v>
      </c>
      <c r="X1005" s="39" t="n">
        <f aca="false">IF(OR(I1005="DNB",I1005="Dry DNB"),1,0)</f>
        <v>0</v>
      </c>
      <c r="Y1005" s="39" t="n">
        <f aca="false">MATCH(A1005,DATAS,0)</f>
        <v>1</v>
      </c>
      <c r="Z1005" s="39" t="n">
        <f aca="false">IF(AND(E1005&gt;0,OR(AND(B1005&gt;=1,B1005&lt;=6),B1005=10)),1,0)</f>
        <v>0</v>
      </c>
      <c r="AA1005" s="39" t="n">
        <f aca="false">IF(AND(E1005&gt;0,B1005=10),1,0)</f>
        <v>0</v>
      </c>
      <c r="AB1005" s="0" t="str">
        <f aca="false">IF(AND(C1004=C1005,Y1004=Y1005-1),Z1004,"")</f>
        <v/>
      </c>
      <c r="AC1005" s="0" t="str">
        <f aca="false">IF(AND(C1004=C1005,Y1004=Y1005-1),AA1004,"")</f>
        <v/>
      </c>
      <c r="AD1005" s="0" t="str">
        <f aca="false">IF(Y1005=1,"",IF(AND(Z1005=1,AB1005&lt;&gt;1),1,0))</f>
        <v/>
      </c>
      <c r="AE1005" s="0" t="str">
        <f aca="false">IF(Y1005=1,"",IF(AND(AA1005=1,AC1005&lt;&gt;1),1,0))</f>
        <v/>
      </c>
      <c r="AF1005" s="45" t="str">
        <f aca="false">IF(AND(E1005&gt;0,Y1005&lt;1,NOT(AND(C1006=C1005,Y1006=Y1005+1))),INDEX(DATAS,Y1005+1),"")</f>
        <v/>
      </c>
      <c r="AG1005" s="45" t="str">
        <f aca="false">IF(AND(AA1005=1,Y1005&lt;1),IF(AND(C1006=C1005,Y1006=Y1005+1),IF(AA1006=1,"",INDEX(DATAS,Y1005+1)),INDEX(DATAS,Y1005+1)),"")</f>
        <v/>
      </c>
    </row>
    <row r="1006" customFormat="false" ht="15" hidden="false" customHeight="false" outlineLevel="0" collapsed="false">
      <c r="A1006" s="45" t="n">
        <v>46309</v>
      </c>
      <c r="B1006" s="0" t="n">
        <v>3</v>
      </c>
      <c r="C1006" s="0" t="n">
        <v>4999</v>
      </c>
      <c r="D1006" s="0" t="n">
        <v>30</v>
      </c>
      <c r="E1006" s="0" t="n">
        <v>2</v>
      </c>
      <c r="F1006" s="39" t="s">
        <v>718</v>
      </c>
      <c r="G1006" s="0" t="n">
        <v>61.9</v>
      </c>
      <c r="H1006" s="0" t="n">
        <v>57</v>
      </c>
      <c r="I1006" s="39" t="s">
        <v>118</v>
      </c>
      <c r="J1006" s="0" t="n">
        <v>30</v>
      </c>
      <c r="M1006" s="0" t="n">
        <v>1544.15</v>
      </c>
      <c r="N1006" s="0" t="n">
        <v>37.68</v>
      </c>
      <c r="O1006" s="0" t="n">
        <v>38.8</v>
      </c>
      <c r="P1006" s="0" t="n">
        <v>4.57</v>
      </c>
      <c r="Q1006" s="0" t="n">
        <v>4.29</v>
      </c>
      <c r="R1006" s="0" t="n">
        <v>4488</v>
      </c>
      <c r="S1006" s="0" t="n">
        <v>9021</v>
      </c>
      <c r="U1006" s="0" t="n">
        <v>1119</v>
      </c>
      <c r="V1006" s="0" t="n">
        <v>0</v>
      </c>
      <c r="W1006" s="39" t="n">
        <f aca="false">IF(I1006="Male",0,1)</f>
        <v>1</v>
      </c>
      <c r="X1006" s="39" t="n">
        <f aca="false">IF(OR(I1006="DNB",I1006="Dry DNB"),1,0)</f>
        <v>0</v>
      </c>
      <c r="Y1006" s="39" t="n">
        <f aca="false">MATCH(A1006,DATAS,0)</f>
        <v>1</v>
      </c>
      <c r="Z1006" s="39" t="n">
        <f aca="false">IF(AND(E1006&gt;0,OR(AND(B1006&gt;=1,B1006&lt;=6),B1006=10)),1,0)</f>
        <v>1</v>
      </c>
      <c r="AA1006" s="39" t="n">
        <f aca="false">IF(AND(E1006&gt;0,B1006=10),1,0)</f>
        <v>0</v>
      </c>
      <c r="AB1006" s="0" t="str">
        <f aca="false">IF(AND(C1005=C1006,Y1005=Y1006-1),Z1005,"")</f>
        <v/>
      </c>
      <c r="AC1006" s="0" t="str">
        <f aca="false">IF(AND(C1005=C1006,Y1005=Y1006-1),AA1005,"")</f>
        <v/>
      </c>
      <c r="AD1006" s="0" t="str">
        <f aca="false">IF(Y1006=1,"",IF(AND(Z1006=1,AB1006&lt;&gt;1),1,0))</f>
        <v/>
      </c>
      <c r="AE1006" s="0" t="str">
        <f aca="false">IF(Y1006=1,"",IF(AND(AA1006=1,AC1006&lt;&gt;1),1,0))</f>
        <v/>
      </c>
      <c r="AF1006" s="45" t="str">
        <f aca="false">IF(AND(E1006&gt;0,Y1006&lt;1,NOT(AND(C1007=C1006,Y1007=Y1006+1))),INDEX(DATAS,Y1006+1),"")</f>
        <v/>
      </c>
      <c r="AG1006" s="45" t="str">
        <f aca="false">IF(AND(AA1006=1,Y1006&lt;1),IF(AND(C1007=C1006,Y1007=Y1006+1),IF(AA1007=1,"",INDEX(DATAS,Y1006+1)),INDEX(DATAS,Y1006+1)),"")</f>
        <v/>
      </c>
    </row>
    <row r="1007" customFormat="false" ht="15" hidden="false" customHeight="false" outlineLevel="0" collapsed="false">
      <c r="A1007" s="45" t="n">
        <v>46309</v>
      </c>
      <c r="B1007" s="0" t="n">
        <v>10</v>
      </c>
      <c r="C1007" s="0" t="n">
        <v>5001</v>
      </c>
      <c r="D1007" s="0" t="n">
        <v>15</v>
      </c>
      <c r="E1007" s="0" t="n">
        <v>2</v>
      </c>
      <c r="F1007" s="39" t="s">
        <v>718</v>
      </c>
      <c r="H1007" s="0" t="n">
        <v>19</v>
      </c>
      <c r="I1007" s="39" t="s">
        <v>118</v>
      </c>
      <c r="J1007" s="0" t="n">
        <v>15</v>
      </c>
      <c r="M1007" s="0" t="n">
        <v>584.46</v>
      </c>
      <c r="N1007" s="0" t="n">
        <v>39.9</v>
      </c>
      <c r="O1007" s="0" t="n">
        <v>29.45</v>
      </c>
      <c r="R1007" s="0" t="n">
        <v>1900</v>
      </c>
      <c r="S1007" s="0" t="n">
        <v>3820</v>
      </c>
      <c r="U1007" s="0" t="n">
        <v>1119</v>
      </c>
      <c r="V1007" s="0" t="n">
        <v>0</v>
      </c>
      <c r="W1007" s="39" t="n">
        <f aca="false">IF(I1007="Male",0,1)</f>
        <v>1</v>
      </c>
      <c r="X1007" s="39" t="n">
        <f aca="false">IF(OR(I1007="DNB",I1007="Dry DNB"),1,0)</f>
        <v>0</v>
      </c>
      <c r="Y1007" s="39" t="n">
        <f aca="false">MATCH(A1007,DATAS,0)</f>
        <v>1</v>
      </c>
      <c r="Z1007" s="39" t="n">
        <f aca="false">IF(AND(E1007&gt;0,OR(AND(B1007&gt;=1,B1007&lt;=6),B1007=10)),1,0)</f>
        <v>1</v>
      </c>
      <c r="AA1007" s="39" t="n">
        <f aca="false">IF(AND(E1007&gt;0,B1007=10),1,0)</f>
        <v>1</v>
      </c>
      <c r="AB1007" s="0" t="str">
        <f aca="false">IF(AND(C1006=C1007,Y1006=Y1007-1),Z1006,"")</f>
        <v/>
      </c>
      <c r="AC1007" s="0" t="str">
        <f aca="false">IF(AND(C1006=C1007,Y1006=Y1007-1),AA1006,"")</f>
        <v/>
      </c>
      <c r="AD1007" s="0" t="str">
        <f aca="false">IF(Y1007=1,"",IF(AND(Z1007=1,AB1007&lt;&gt;1),1,0))</f>
        <v/>
      </c>
      <c r="AE1007" s="0" t="str">
        <f aca="false">IF(Y1007=1,"",IF(AND(AA1007=1,AC1007&lt;&gt;1),1,0))</f>
        <v/>
      </c>
      <c r="AF1007" s="45" t="str">
        <f aca="false">IF(AND(E1007&gt;0,Y1007&lt;1,NOT(AND(C1008=C1007,Y1008=Y1007+1))),INDEX(DATAS,Y1007+1),"")</f>
        <v/>
      </c>
      <c r="AG1007" s="45" t="str">
        <f aca="false">IF(AND(AA1007=1,Y1007&lt;1),IF(AND(C1008=C1007,Y1008=Y1007+1),IF(AA1008=1,"",INDEX(DATAS,Y1007+1)),INDEX(DATAS,Y1007+1)),"")</f>
        <v/>
      </c>
    </row>
    <row r="1008" customFormat="false" ht="15" hidden="false" customHeight="false" outlineLevel="0" collapsed="false">
      <c r="A1008" s="45" t="n">
        <v>46309</v>
      </c>
      <c r="B1008" s="0" t="n">
        <v>5</v>
      </c>
      <c r="C1008" s="0" t="n">
        <v>5003</v>
      </c>
      <c r="D1008" s="0" t="n">
        <v>66</v>
      </c>
      <c r="E1008" s="0" t="n">
        <v>2</v>
      </c>
      <c r="F1008" s="39" t="s">
        <v>719</v>
      </c>
      <c r="G1008" s="0" t="n">
        <v>35</v>
      </c>
      <c r="H1008" s="0" t="n">
        <v>35</v>
      </c>
      <c r="I1008" s="39" t="s">
        <v>146</v>
      </c>
      <c r="J1008" s="0" t="n">
        <v>66</v>
      </c>
      <c r="M1008" s="0" t="n">
        <v>346.12</v>
      </c>
      <c r="N1008" s="0" t="n">
        <v>52.43</v>
      </c>
      <c r="O1008" s="0" t="n">
        <v>25.62</v>
      </c>
      <c r="P1008" s="0" t="n">
        <v>5.37</v>
      </c>
      <c r="Q1008" s="0" t="n">
        <v>4.2</v>
      </c>
      <c r="R1008" s="0" t="n">
        <v>2995</v>
      </c>
      <c r="S1008" s="0" t="n">
        <v>6020</v>
      </c>
      <c r="U1008" s="0" t="n">
        <v>1118</v>
      </c>
      <c r="V1008" s="0" t="n">
        <v>0</v>
      </c>
      <c r="W1008" s="39" t="n">
        <f aca="false">IF(I1008="Male",0,1)</f>
        <v>1</v>
      </c>
      <c r="X1008" s="39" t="n">
        <f aca="false">IF(OR(I1008="DNB",I1008="Dry DNB"),1,0)</f>
        <v>0</v>
      </c>
      <c r="Y1008" s="39" t="n">
        <f aca="false">MATCH(A1008,DATAS,0)</f>
        <v>1</v>
      </c>
      <c r="Z1008" s="39" t="n">
        <f aca="false">IF(AND(E1008&gt;0,OR(AND(B1008&gt;=1,B1008&lt;=6),B1008=10)),1,0)</f>
        <v>1</v>
      </c>
      <c r="AA1008" s="39" t="n">
        <f aca="false">IF(AND(E1008&gt;0,B1008=10),1,0)</f>
        <v>0</v>
      </c>
      <c r="AB1008" s="0" t="str">
        <f aca="false">IF(AND(C1007=C1008,Y1007=Y1008-1),Z1007,"")</f>
        <v/>
      </c>
      <c r="AC1008" s="0" t="str">
        <f aca="false">IF(AND(C1007=C1008,Y1007=Y1008-1),AA1007,"")</f>
        <v/>
      </c>
      <c r="AD1008" s="0" t="str">
        <f aca="false">IF(Y1008=1,"",IF(AND(Z1008=1,AB1008&lt;&gt;1),1,0))</f>
        <v/>
      </c>
      <c r="AE1008" s="0" t="str">
        <f aca="false">IF(Y1008=1,"",IF(AND(AA1008=1,AC1008&lt;&gt;1),1,0))</f>
        <v/>
      </c>
      <c r="AF1008" s="45" t="str">
        <f aca="false">IF(AND(E1008&gt;0,Y1008&lt;1,NOT(AND(C1009=C1008,Y1009=Y1008+1))),INDEX(DATAS,Y1008+1),"")</f>
        <v/>
      </c>
      <c r="AG1008" s="45" t="str">
        <f aca="false">IF(AND(AA1008=1,Y1008&lt;1),IF(AND(C1009=C1008,Y1009=Y1008+1),IF(AA1009=1,"",INDEX(DATAS,Y1008+1)),INDEX(DATAS,Y1008+1)),"")</f>
        <v/>
      </c>
    </row>
    <row r="1009" customFormat="false" ht="15" hidden="false" customHeight="false" outlineLevel="0" collapsed="false">
      <c r="A1009" s="45" t="n">
        <v>46309</v>
      </c>
      <c r="B1009" s="0" t="n">
        <v>2</v>
      </c>
      <c r="C1009" s="0" t="n">
        <v>5004</v>
      </c>
      <c r="D1009" s="0" t="n">
        <v>114</v>
      </c>
      <c r="E1009" s="0" t="n">
        <v>2</v>
      </c>
      <c r="F1009" s="39" t="s">
        <v>720</v>
      </c>
      <c r="G1009" s="0" t="n">
        <v>62.2</v>
      </c>
      <c r="H1009" s="0" t="n">
        <v>62</v>
      </c>
      <c r="I1009" s="39" t="s">
        <v>109</v>
      </c>
      <c r="J1009" s="0" t="n">
        <v>66</v>
      </c>
      <c r="K1009" s="0" t="n">
        <v>66</v>
      </c>
      <c r="L1009" s="0" t="n">
        <v>48</v>
      </c>
      <c r="M1009" s="0" t="n">
        <v>1392.34</v>
      </c>
      <c r="N1009" s="0" t="n">
        <v>31.79</v>
      </c>
      <c r="O1009" s="0" t="n">
        <v>42.08</v>
      </c>
      <c r="P1009" s="0" t="n">
        <v>3.1</v>
      </c>
      <c r="Q1009" s="0" t="n">
        <v>3.14</v>
      </c>
      <c r="R1009" s="0" t="n">
        <v>6155</v>
      </c>
      <c r="S1009" s="0" t="n">
        <v>12442</v>
      </c>
      <c r="T1009" s="0" t="n">
        <v>67.25</v>
      </c>
      <c r="U1009" s="0" t="n">
        <v>1117</v>
      </c>
      <c r="V1009" s="0" t="n">
        <v>1</v>
      </c>
      <c r="W1009" s="39" t="n">
        <f aca="false">IF(I1009="Male",0,1)</f>
        <v>1</v>
      </c>
      <c r="X1009" s="39" t="n">
        <f aca="false">IF(OR(I1009="DNB",I1009="Dry DNB"),1,0)</f>
        <v>0</v>
      </c>
      <c r="Y1009" s="39" t="n">
        <f aca="false">MATCH(A1009,DATAS,0)</f>
        <v>1</v>
      </c>
      <c r="Z1009" s="39" t="n">
        <f aca="false">IF(AND(E1009&gt;0,OR(AND(B1009&gt;=1,B1009&lt;=6),B1009=10)),1,0)</f>
        <v>1</v>
      </c>
      <c r="AA1009" s="39" t="n">
        <f aca="false">IF(AND(E1009&gt;0,B1009=10),1,0)</f>
        <v>0</v>
      </c>
      <c r="AB1009" s="0" t="str">
        <f aca="false">IF(AND(C1008=C1009,Y1008=Y1009-1),Z1008,"")</f>
        <v/>
      </c>
      <c r="AC1009" s="0" t="str">
        <f aca="false">IF(AND(C1008=C1009,Y1008=Y1009-1),AA1008,"")</f>
        <v/>
      </c>
      <c r="AD1009" s="0" t="str">
        <f aca="false">IF(Y1009=1,"",IF(AND(Z1009=1,AB1009&lt;&gt;1),1,0))</f>
        <v/>
      </c>
      <c r="AE1009" s="0" t="str">
        <f aca="false">IF(Y1009=1,"",IF(AND(AA1009=1,AC1009&lt;&gt;1),1,0))</f>
        <v/>
      </c>
      <c r="AF1009" s="45" t="str">
        <f aca="false">IF(AND(E1009&gt;0,Y1009&lt;1,NOT(AND(C1010=C1009,Y1010=Y1009+1))),INDEX(DATAS,Y1009+1),"")</f>
        <v/>
      </c>
      <c r="AG1009" s="45" t="str">
        <f aca="false">IF(AND(AA1009=1,Y1009&lt;1),IF(AND(C1010=C1009,Y1010=Y1009+1),IF(AA1010=1,"",INDEX(DATAS,Y1009+1)),INDEX(DATAS,Y1009+1)),"")</f>
        <v/>
      </c>
    </row>
    <row r="1010" customFormat="false" ht="15" hidden="false" customHeight="false" outlineLevel="0" collapsed="false">
      <c r="A1010" s="45" t="n">
        <v>46309</v>
      </c>
      <c r="B1010" s="0" t="n">
        <v>3</v>
      </c>
      <c r="C1010" s="0" t="n">
        <v>5005</v>
      </c>
      <c r="D1010" s="0" t="n">
        <v>32</v>
      </c>
      <c r="E1010" s="0" t="n">
        <v>2</v>
      </c>
      <c r="F1010" s="39" t="s">
        <v>720</v>
      </c>
      <c r="G1010" s="0" t="n">
        <v>59.3</v>
      </c>
      <c r="H1010" s="0" t="n">
        <v>55</v>
      </c>
      <c r="I1010" s="39" t="s">
        <v>118</v>
      </c>
      <c r="J1010" s="0" t="n">
        <v>32</v>
      </c>
      <c r="M1010" s="0" t="n">
        <v>341.82</v>
      </c>
      <c r="N1010" s="0" t="n">
        <v>96.86</v>
      </c>
      <c r="O1010" s="0" t="n">
        <v>36.51</v>
      </c>
      <c r="P1010" s="0" t="n">
        <v>5.33</v>
      </c>
      <c r="Q1010" s="0" t="n">
        <v>4.11</v>
      </c>
      <c r="R1010" s="0" t="n">
        <v>5094</v>
      </c>
      <c r="S1010" s="0" t="n">
        <v>10239</v>
      </c>
      <c r="U1010" s="0" t="n">
        <v>1117</v>
      </c>
      <c r="V1010" s="0" t="n">
        <v>0</v>
      </c>
      <c r="W1010" s="39" t="n">
        <f aca="false">IF(I1010="Male",0,1)</f>
        <v>1</v>
      </c>
      <c r="X1010" s="39" t="n">
        <f aca="false">IF(OR(I1010="DNB",I1010="Dry DNB"),1,0)</f>
        <v>0</v>
      </c>
      <c r="Y1010" s="39" t="n">
        <f aca="false">MATCH(A1010,DATAS,0)</f>
        <v>1</v>
      </c>
      <c r="Z1010" s="39" t="n">
        <f aca="false">IF(AND(E1010&gt;0,OR(AND(B1010&gt;=1,B1010&lt;=6),B1010=10)),1,0)</f>
        <v>1</v>
      </c>
      <c r="AA1010" s="39" t="n">
        <f aca="false">IF(AND(E1010&gt;0,B1010=10),1,0)</f>
        <v>0</v>
      </c>
      <c r="AB1010" s="0" t="str">
        <f aca="false">IF(AND(C1009=C1010,Y1009=Y1010-1),Z1009,"")</f>
        <v/>
      </c>
      <c r="AC1010" s="0" t="str">
        <f aca="false">IF(AND(C1009=C1010,Y1009=Y1010-1),AA1009,"")</f>
        <v/>
      </c>
      <c r="AD1010" s="0" t="str">
        <f aca="false">IF(Y1010=1,"",IF(AND(Z1010=1,AB1010&lt;&gt;1),1,0))</f>
        <v/>
      </c>
      <c r="AE1010" s="0" t="str">
        <f aca="false">IF(Y1010=1,"",IF(AND(AA1010=1,AC1010&lt;&gt;1),1,0))</f>
        <v/>
      </c>
      <c r="AF1010" s="45" t="str">
        <f aca="false">IF(AND(E1010&gt;0,Y1010&lt;1,NOT(AND(C1011=C1010,Y1011=Y1010+1))),INDEX(DATAS,Y1010+1),"")</f>
        <v/>
      </c>
      <c r="AG1010" s="45" t="str">
        <f aca="false">IF(AND(AA1010=1,Y1010&lt;1),IF(AND(C1011=C1010,Y1011=Y1010+1),IF(AA1011=1,"",INDEX(DATAS,Y1010+1)),INDEX(DATAS,Y1010+1)),"")</f>
        <v/>
      </c>
    </row>
    <row r="1011" customFormat="false" ht="15" hidden="false" customHeight="false" outlineLevel="0" collapsed="false">
      <c r="A1011" s="45" t="n">
        <v>46309</v>
      </c>
      <c r="B1011" s="0" t="n">
        <v>7</v>
      </c>
      <c r="C1011" s="0" t="n">
        <v>5006</v>
      </c>
      <c r="D1011" s="0" t="n">
        <v>324</v>
      </c>
      <c r="E1011" s="0" t="n">
        <v>1</v>
      </c>
      <c r="F1011" s="39" t="s">
        <v>721</v>
      </c>
      <c r="I1011" s="39" t="s">
        <v>114</v>
      </c>
      <c r="J1011" s="0" t="n">
        <v>101</v>
      </c>
      <c r="K1011" s="0" t="n">
        <v>66</v>
      </c>
      <c r="L1011" s="0" t="n">
        <v>238</v>
      </c>
      <c r="M1011" s="0" t="n">
        <v>702.76</v>
      </c>
      <c r="N1011" s="0" t="n">
        <v>50.8</v>
      </c>
      <c r="O1011" s="0" t="n">
        <v>39.15</v>
      </c>
      <c r="P1011" s="0" t="n">
        <v>4.08</v>
      </c>
      <c r="Q1011" s="0" t="n">
        <v>3.6</v>
      </c>
      <c r="R1011" s="0" t="n">
        <v>4303</v>
      </c>
      <c r="S1011" s="0" t="n">
        <v>9663</v>
      </c>
      <c r="T1011" s="0" t="n">
        <v>50.1</v>
      </c>
      <c r="U1011" s="0" t="n">
        <v>1116</v>
      </c>
      <c r="V1011" s="0" t="n">
        <v>2</v>
      </c>
      <c r="W1011" s="39" t="n">
        <f aca="false">IF(I1011="Male",0,1)</f>
        <v>1</v>
      </c>
      <c r="X1011" s="39" t="n">
        <f aca="false">IF(OR(I1011="DNB",I1011="Dry DNB"),1,0)</f>
        <v>0</v>
      </c>
      <c r="Y1011" s="39" t="n">
        <f aca="false">MATCH(A1011,DATAS,0)</f>
        <v>1</v>
      </c>
      <c r="Z1011" s="39" t="n">
        <f aca="false">IF(AND(E1011&gt;0,OR(AND(B1011&gt;=1,B1011&lt;=6),B1011=10)),1,0)</f>
        <v>0</v>
      </c>
      <c r="AA1011" s="39" t="n">
        <f aca="false">IF(AND(E1011&gt;0,B1011=10),1,0)</f>
        <v>0</v>
      </c>
      <c r="AB1011" s="0" t="str">
        <f aca="false">IF(AND(C1010=C1011,Y1010=Y1011-1),Z1010,"")</f>
        <v/>
      </c>
      <c r="AC1011" s="0" t="str">
        <f aca="false">IF(AND(C1010=C1011,Y1010=Y1011-1),AA1010,"")</f>
        <v/>
      </c>
      <c r="AD1011" s="0" t="str">
        <f aca="false">IF(Y1011=1,"",IF(AND(Z1011=1,AB1011&lt;&gt;1),1,0))</f>
        <v/>
      </c>
      <c r="AE1011" s="0" t="str">
        <f aca="false">IF(Y1011=1,"",IF(AND(AA1011=1,AC1011&lt;&gt;1),1,0))</f>
        <v/>
      </c>
      <c r="AF1011" s="45" t="str">
        <f aca="false">IF(AND(E1011&gt;0,Y1011&lt;1,NOT(AND(C1012=C1011,Y1012=Y1011+1))),INDEX(DATAS,Y1011+1),"")</f>
        <v/>
      </c>
      <c r="AG1011" s="45" t="str">
        <f aca="false">IF(AND(AA1011=1,Y1011&lt;1),IF(AND(C1012=C1011,Y1012=Y1011+1),IF(AA1012=1,"",INDEX(DATAS,Y1011+1)),INDEX(DATAS,Y1011+1)),"")</f>
        <v/>
      </c>
    </row>
    <row r="1012" customFormat="false" ht="15" hidden="false" customHeight="false" outlineLevel="0" collapsed="false">
      <c r="A1012" s="45" t="n">
        <v>46309</v>
      </c>
      <c r="B1012" s="0" t="n">
        <v>3</v>
      </c>
      <c r="C1012" s="0" t="n">
        <v>5007</v>
      </c>
      <c r="D1012" s="0" t="n">
        <v>106</v>
      </c>
      <c r="E1012" s="0" t="n">
        <v>2</v>
      </c>
      <c r="F1012" s="39" t="s">
        <v>722</v>
      </c>
      <c r="G1012" s="0" t="n">
        <v>60.6</v>
      </c>
      <c r="H1012" s="0" t="n">
        <v>56</v>
      </c>
      <c r="I1012" s="39" t="s">
        <v>146</v>
      </c>
      <c r="J1012" s="0" t="n">
        <v>106</v>
      </c>
      <c r="K1012" s="0" t="n">
        <v>64</v>
      </c>
      <c r="M1012" s="0" t="n">
        <v>1337.39</v>
      </c>
      <c r="N1012" s="0" t="n">
        <v>35.5</v>
      </c>
      <c r="O1012" s="0" t="n">
        <v>38.3</v>
      </c>
      <c r="P1012" s="0" t="n">
        <v>3.11</v>
      </c>
      <c r="Q1012" s="0" t="n">
        <v>3.29</v>
      </c>
      <c r="R1012" s="0" t="n">
        <v>4971</v>
      </c>
      <c r="S1012" s="0" t="n">
        <v>10076</v>
      </c>
      <c r="T1012" s="0" t="n">
        <v>55.65</v>
      </c>
      <c r="U1012" s="0" t="n">
        <v>1115</v>
      </c>
      <c r="V1012" s="0" t="n">
        <v>1</v>
      </c>
      <c r="W1012" s="39" t="n">
        <f aca="false">IF(I1012="Male",0,1)</f>
        <v>1</v>
      </c>
      <c r="X1012" s="39" t="n">
        <f aca="false">IF(OR(I1012="DNB",I1012="Dry DNB"),1,0)</f>
        <v>0</v>
      </c>
      <c r="Y1012" s="39" t="n">
        <f aca="false">MATCH(A1012,DATAS,0)</f>
        <v>1</v>
      </c>
      <c r="Z1012" s="39" t="n">
        <f aca="false">IF(AND(E1012&gt;0,OR(AND(B1012&gt;=1,B1012&lt;=6),B1012=10)),1,0)</f>
        <v>1</v>
      </c>
      <c r="AA1012" s="39" t="n">
        <f aca="false">IF(AND(E1012&gt;0,B1012=10),1,0)</f>
        <v>0</v>
      </c>
      <c r="AB1012" s="0" t="str">
        <f aca="false">IF(AND(C1011=C1012,Y1011=Y1012-1),Z1011,"")</f>
        <v/>
      </c>
      <c r="AC1012" s="0" t="str">
        <f aca="false">IF(AND(C1011=C1012,Y1011=Y1012-1),AA1011,"")</f>
        <v/>
      </c>
      <c r="AD1012" s="0" t="str">
        <f aca="false">IF(Y1012=1,"",IF(AND(Z1012=1,AB1012&lt;&gt;1),1,0))</f>
        <v/>
      </c>
      <c r="AE1012" s="0" t="str">
        <f aca="false">IF(Y1012=1,"",IF(AND(AA1012=1,AC1012&lt;&gt;1),1,0))</f>
        <v/>
      </c>
      <c r="AF1012" s="45" t="str">
        <f aca="false">IF(AND(E1012&gt;0,Y1012&lt;1,NOT(AND(C1013=C1012,Y1013=Y1012+1))),INDEX(DATAS,Y1012+1),"")</f>
        <v/>
      </c>
      <c r="AG1012" s="45" t="str">
        <f aca="false">IF(AND(AA1012=1,Y1012&lt;1),IF(AND(C1013=C1012,Y1013=Y1012+1),IF(AA1013=1,"",INDEX(DATAS,Y1012+1)),INDEX(DATAS,Y1012+1)),"")</f>
        <v/>
      </c>
    </row>
    <row r="1013" customFormat="false" ht="15" hidden="false" customHeight="false" outlineLevel="0" collapsed="false">
      <c r="A1013" s="45" t="n">
        <v>46309</v>
      </c>
      <c r="B1013" s="0" t="n">
        <v>5</v>
      </c>
      <c r="C1013" s="0" t="n">
        <v>5009</v>
      </c>
      <c r="D1013" s="0" t="n">
        <v>93</v>
      </c>
      <c r="E1013" s="0" t="n">
        <v>2</v>
      </c>
      <c r="F1013" s="39" t="s">
        <v>723</v>
      </c>
      <c r="G1013" s="0" t="n">
        <v>48.3</v>
      </c>
      <c r="H1013" s="0" t="n">
        <v>43</v>
      </c>
      <c r="I1013" s="39" t="s">
        <v>96</v>
      </c>
      <c r="J1013" s="0" t="n">
        <v>93</v>
      </c>
      <c r="M1013" s="0" t="n">
        <v>1195</v>
      </c>
      <c r="N1013" s="0" t="n">
        <v>44.88</v>
      </c>
      <c r="O1013" s="0" t="n">
        <v>41.64</v>
      </c>
      <c r="P1013" s="0" t="n">
        <v>4.04</v>
      </c>
      <c r="Q1013" s="0" t="n">
        <v>3.52</v>
      </c>
      <c r="R1013" s="0" t="n">
        <v>3424</v>
      </c>
      <c r="S1013" s="0" t="n">
        <v>6883</v>
      </c>
      <c r="T1013" s="0" t="n">
        <v>35.55</v>
      </c>
      <c r="U1013" s="0" t="n">
        <v>1114</v>
      </c>
      <c r="V1013" s="0" t="n">
        <v>0</v>
      </c>
      <c r="W1013" s="39" t="n">
        <f aca="false">IF(I1013="Male",0,1)</f>
        <v>1</v>
      </c>
      <c r="X1013" s="39" t="n">
        <f aca="false">IF(OR(I1013="DNB",I1013="Dry DNB"),1,0)</f>
        <v>1</v>
      </c>
      <c r="Y1013" s="39" t="n">
        <f aca="false">MATCH(A1013,DATAS,0)</f>
        <v>1</v>
      </c>
      <c r="Z1013" s="39" t="n">
        <f aca="false">IF(AND(E1013&gt;0,OR(AND(B1013&gt;=1,B1013&lt;=6),B1013=10)),1,0)</f>
        <v>1</v>
      </c>
      <c r="AA1013" s="39" t="n">
        <f aca="false">IF(AND(E1013&gt;0,B1013=10),1,0)</f>
        <v>0</v>
      </c>
      <c r="AB1013" s="0" t="str">
        <f aca="false">IF(AND(C1012=C1013,Y1012=Y1013-1),Z1012,"")</f>
        <v/>
      </c>
      <c r="AC1013" s="0" t="str">
        <f aca="false">IF(AND(C1012=C1013,Y1012=Y1013-1),AA1012,"")</f>
        <v/>
      </c>
      <c r="AD1013" s="0" t="str">
        <f aca="false">IF(Y1013=1,"",IF(AND(Z1013=1,AB1013&lt;&gt;1),1,0))</f>
        <v/>
      </c>
      <c r="AE1013" s="0" t="str">
        <f aca="false">IF(Y1013=1,"",IF(AND(AA1013=1,AC1013&lt;&gt;1),1,0))</f>
        <v/>
      </c>
      <c r="AF1013" s="45" t="str">
        <f aca="false">IF(AND(E1013&gt;0,Y1013&lt;1,NOT(AND(C1014=C1013,Y1014=Y1013+1))),INDEX(DATAS,Y1013+1),"")</f>
        <v/>
      </c>
      <c r="AG1013" s="45" t="str">
        <f aca="false">IF(AND(AA1013=1,Y1013&lt;1),IF(AND(C1014=C1013,Y1014=Y1013+1),IF(AA1014=1,"",INDEX(DATAS,Y1013+1)),INDEX(DATAS,Y1013+1)),"")</f>
        <v/>
      </c>
    </row>
    <row r="1014" customFormat="false" ht="15" hidden="false" customHeight="false" outlineLevel="0" collapsed="false">
      <c r="A1014" s="45" t="n">
        <v>46309</v>
      </c>
      <c r="B1014" s="0" t="n">
        <v>3</v>
      </c>
      <c r="C1014" s="0" t="n">
        <v>5013</v>
      </c>
      <c r="D1014" s="0" t="n">
        <v>144</v>
      </c>
      <c r="E1014" s="0" t="n">
        <v>2</v>
      </c>
      <c r="F1014" s="39" t="s">
        <v>724</v>
      </c>
      <c r="G1014" s="0" t="n">
        <v>54.3</v>
      </c>
      <c r="H1014" s="0" t="n">
        <v>56</v>
      </c>
      <c r="I1014" s="39" t="s">
        <v>109</v>
      </c>
      <c r="J1014" s="0" t="n">
        <v>67</v>
      </c>
      <c r="K1014" s="0" t="n">
        <v>67</v>
      </c>
      <c r="L1014" s="0" t="n">
        <v>77</v>
      </c>
      <c r="M1014" s="0" t="n">
        <v>693.43</v>
      </c>
      <c r="N1014" s="0" t="n">
        <v>60.61</v>
      </c>
      <c r="O1014" s="0" t="n">
        <v>23.19</v>
      </c>
      <c r="P1014" s="0" t="n">
        <v>3.47</v>
      </c>
      <c r="Q1014" s="0" t="n">
        <v>3.02</v>
      </c>
      <c r="R1014" s="0" t="n">
        <v>4858</v>
      </c>
      <c r="S1014" s="0" t="n">
        <v>10371</v>
      </c>
      <c r="T1014" s="0" t="n">
        <v>55.8</v>
      </c>
      <c r="U1014" s="0" t="n">
        <v>1113</v>
      </c>
      <c r="V1014" s="0" t="n">
        <v>1</v>
      </c>
      <c r="W1014" s="39" t="n">
        <f aca="false">IF(I1014="Male",0,1)</f>
        <v>1</v>
      </c>
      <c r="X1014" s="39" t="n">
        <f aca="false">IF(OR(I1014="DNB",I1014="Dry DNB"),1,0)</f>
        <v>0</v>
      </c>
      <c r="Y1014" s="39" t="n">
        <f aca="false">MATCH(A1014,DATAS,0)</f>
        <v>1</v>
      </c>
      <c r="Z1014" s="39" t="n">
        <f aca="false">IF(AND(E1014&gt;0,OR(AND(B1014&gt;=1,B1014&lt;=6),B1014=10)),1,0)</f>
        <v>1</v>
      </c>
      <c r="AA1014" s="39" t="n">
        <f aca="false">IF(AND(E1014&gt;0,B1014=10),1,0)</f>
        <v>0</v>
      </c>
      <c r="AB1014" s="0" t="str">
        <f aca="false">IF(AND(C1013=C1014,Y1013=Y1014-1),Z1013,"")</f>
        <v/>
      </c>
      <c r="AC1014" s="0" t="str">
        <f aca="false">IF(AND(C1013=C1014,Y1013=Y1014-1),AA1013,"")</f>
        <v/>
      </c>
      <c r="AD1014" s="0" t="str">
        <f aca="false">IF(Y1014=1,"",IF(AND(Z1014=1,AB1014&lt;&gt;1),1,0))</f>
        <v/>
      </c>
      <c r="AE1014" s="0" t="str">
        <f aca="false">IF(Y1014=1,"",IF(AND(AA1014=1,AC1014&lt;&gt;1),1,0))</f>
        <v/>
      </c>
      <c r="AF1014" s="45" t="str">
        <f aca="false">IF(AND(E1014&gt;0,Y1014&lt;1,NOT(AND(C1015=C1014,Y1015=Y1014+1))),INDEX(DATAS,Y1014+1),"")</f>
        <v/>
      </c>
      <c r="AG1014" s="45" t="str">
        <f aca="false">IF(AND(AA1014=1,Y1014&lt;1),IF(AND(C1015=C1014,Y1015=Y1014+1),IF(AA1015=1,"",INDEX(DATAS,Y1014+1)),INDEX(DATAS,Y1014+1)),"")</f>
        <v/>
      </c>
    </row>
    <row r="1015" customFormat="false" ht="15" hidden="false" customHeight="false" outlineLevel="0" collapsed="false">
      <c r="A1015" s="45" t="n">
        <v>46309</v>
      </c>
      <c r="B1015" s="0" t="n">
        <v>2</v>
      </c>
      <c r="C1015" s="0" t="n">
        <v>5014</v>
      </c>
      <c r="D1015" s="0" t="n">
        <v>103</v>
      </c>
      <c r="E1015" s="0" t="n">
        <v>2</v>
      </c>
      <c r="F1015" s="39" t="s">
        <v>724</v>
      </c>
      <c r="G1015" s="0" t="n">
        <v>47.9</v>
      </c>
      <c r="H1015" s="0" t="n">
        <v>50</v>
      </c>
      <c r="I1015" s="39" t="s">
        <v>146</v>
      </c>
      <c r="J1015" s="0" t="n">
        <v>103</v>
      </c>
      <c r="K1015" s="0" t="n">
        <v>68</v>
      </c>
      <c r="M1015" s="0" t="n">
        <v>249.52</v>
      </c>
      <c r="N1015" s="0" t="n">
        <v>64.91</v>
      </c>
      <c r="O1015" s="0" t="n">
        <v>32.41</v>
      </c>
      <c r="P1015" s="0" t="n">
        <v>3.91</v>
      </c>
      <c r="Q1015" s="0" t="n">
        <v>3.4</v>
      </c>
      <c r="R1015" s="0" t="n">
        <v>4862</v>
      </c>
      <c r="S1015" s="0" t="n">
        <v>9785</v>
      </c>
      <c r="U1015" s="0" t="n">
        <v>1113</v>
      </c>
      <c r="V1015" s="0" t="n">
        <v>1</v>
      </c>
      <c r="W1015" s="39" t="n">
        <f aca="false">IF(I1015="Male",0,1)</f>
        <v>1</v>
      </c>
      <c r="X1015" s="39" t="n">
        <f aca="false">IF(OR(I1015="DNB",I1015="Dry DNB"),1,0)</f>
        <v>0</v>
      </c>
      <c r="Y1015" s="39" t="n">
        <f aca="false">MATCH(A1015,DATAS,0)</f>
        <v>1</v>
      </c>
      <c r="Z1015" s="39" t="n">
        <f aca="false">IF(AND(E1015&gt;0,OR(AND(B1015&gt;=1,B1015&lt;=6),B1015=10)),1,0)</f>
        <v>1</v>
      </c>
      <c r="AA1015" s="39" t="n">
        <f aca="false">IF(AND(E1015&gt;0,B1015=10),1,0)</f>
        <v>0</v>
      </c>
      <c r="AB1015" s="0" t="str">
        <f aca="false">IF(AND(C1014=C1015,Y1014=Y1015-1),Z1014,"")</f>
        <v/>
      </c>
      <c r="AC1015" s="0" t="str">
        <f aca="false">IF(AND(C1014=C1015,Y1014=Y1015-1),AA1014,"")</f>
        <v/>
      </c>
      <c r="AD1015" s="0" t="str">
        <f aca="false">IF(Y1015=1,"",IF(AND(Z1015=1,AB1015&lt;&gt;1),1,0))</f>
        <v/>
      </c>
      <c r="AE1015" s="0" t="str">
        <f aca="false">IF(Y1015=1,"",IF(AND(AA1015=1,AC1015&lt;&gt;1),1,0))</f>
        <v/>
      </c>
      <c r="AF1015" s="45" t="str">
        <f aca="false">IF(AND(E1015&gt;0,Y1015&lt;1,NOT(AND(C1016=C1015,Y1016=Y1015+1))),INDEX(DATAS,Y1015+1),"")</f>
        <v/>
      </c>
      <c r="AG1015" s="45" t="str">
        <f aca="false">IF(AND(AA1015=1,Y1015&lt;1),IF(AND(C1016=C1015,Y1016=Y1015+1),IF(AA1016=1,"",INDEX(DATAS,Y1015+1)),INDEX(DATAS,Y1015+1)),"")</f>
        <v/>
      </c>
    </row>
    <row r="1016" customFormat="false" ht="15" hidden="false" customHeight="false" outlineLevel="0" collapsed="false">
      <c r="A1016" s="45" t="n">
        <v>46309</v>
      </c>
      <c r="B1016" s="0" t="n">
        <v>3</v>
      </c>
      <c r="C1016" s="0" t="n">
        <v>5015</v>
      </c>
      <c r="D1016" s="0" t="n">
        <v>59</v>
      </c>
      <c r="E1016" s="0" t="n">
        <v>2</v>
      </c>
      <c r="F1016" s="39" t="s">
        <v>725</v>
      </c>
      <c r="G1016" s="0" t="n">
        <v>63.2</v>
      </c>
      <c r="H1016" s="0" t="n">
        <v>63</v>
      </c>
      <c r="I1016" s="39" t="s">
        <v>138</v>
      </c>
      <c r="J1016" s="0" t="n">
        <v>59</v>
      </c>
      <c r="K1016" s="0" t="n">
        <v>56</v>
      </c>
      <c r="M1016" s="0" t="n">
        <v>1346.21</v>
      </c>
      <c r="N1016" s="0" t="n">
        <v>43.07</v>
      </c>
      <c r="O1016" s="0" t="n">
        <v>37.02</v>
      </c>
      <c r="P1016" s="0" t="n">
        <v>3.38</v>
      </c>
      <c r="Q1016" s="0" t="n">
        <v>2.87</v>
      </c>
      <c r="R1016" s="0" t="n">
        <v>5694</v>
      </c>
      <c r="S1016" s="0" t="n">
        <v>11446</v>
      </c>
      <c r="U1016" s="0" t="n">
        <v>1112</v>
      </c>
      <c r="V1016" s="0" t="n">
        <v>1</v>
      </c>
      <c r="W1016" s="39" t="n">
        <f aca="false">IF(I1016="Male",0,1)</f>
        <v>1</v>
      </c>
      <c r="X1016" s="39" t="n">
        <f aca="false">IF(OR(I1016="DNB",I1016="Dry DNB"),1,0)</f>
        <v>0</v>
      </c>
      <c r="Y1016" s="39" t="n">
        <f aca="false">MATCH(A1016,DATAS,0)</f>
        <v>1</v>
      </c>
      <c r="Z1016" s="39" t="n">
        <f aca="false">IF(AND(E1016&gt;0,OR(AND(B1016&gt;=1,B1016&lt;=6),B1016=10)),1,0)</f>
        <v>1</v>
      </c>
      <c r="AA1016" s="39" t="n">
        <f aca="false">IF(AND(E1016&gt;0,B1016=10),1,0)</f>
        <v>0</v>
      </c>
      <c r="AB1016" s="0" t="str">
        <f aca="false">IF(AND(C1015=C1016,Y1015=Y1016-1),Z1015,"")</f>
        <v/>
      </c>
      <c r="AC1016" s="0" t="str">
        <f aca="false">IF(AND(C1015=C1016,Y1015=Y1016-1),AA1015,"")</f>
        <v/>
      </c>
      <c r="AD1016" s="0" t="str">
        <f aca="false">IF(Y1016=1,"",IF(AND(Z1016=1,AB1016&lt;&gt;1),1,0))</f>
        <v/>
      </c>
      <c r="AE1016" s="0" t="str">
        <f aca="false">IF(Y1016=1,"",IF(AND(AA1016=1,AC1016&lt;&gt;1),1,0))</f>
        <v/>
      </c>
      <c r="AF1016" s="45" t="str">
        <f aca="false">IF(AND(E1016&gt;0,Y1016&lt;1,NOT(AND(C1017=C1016,Y1017=Y1016+1))),INDEX(DATAS,Y1016+1),"")</f>
        <v/>
      </c>
      <c r="AG1016" s="45" t="str">
        <f aca="false">IF(AND(AA1016=1,Y1016&lt;1),IF(AND(C1017=C1016,Y1017=Y1016+1),IF(AA1017=1,"",INDEX(DATAS,Y1016+1)),INDEX(DATAS,Y1016+1)),"")</f>
        <v/>
      </c>
    </row>
    <row r="1017" customFormat="false" ht="15" hidden="false" customHeight="false" outlineLevel="0" collapsed="false">
      <c r="A1017" s="45" t="n">
        <v>46309</v>
      </c>
      <c r="B1017" s="0" t="n">
        <v>10</v>
      </c>
      <c r="C1017" s="0" t="n">
        <v>5016</v>
      </c>
      <c r="D1017" s="0" t="n">
        <v>114</v>
      </c>
      <c r="E1017" s="0" t="n">
        <v>2</v>
      </c>
      <c r="F1017" s="39" t="s">
        <v>725</v>
      </c>
      <c r="G1017" s="0" t="n">
        <v>15.9</v>
      </c>
      <c r="H1017" s="0" t="n">
        <v>22</v>
      </c>
      <c r="I1017" s="39" t="s">
        <v>138</v>
      </c>
      <c r="J1017" s="0" t="n">
        <v>114</v>
      </c>
      <c r="K1017" s="0" t="n">
        <v>93</v>
      </c>
      <c r="M1017" s="0" t="n">
        <v>231.84</v>
      </c>
      <c r="N1017" s="0" t="n">
        <v>33.46</v>
      </c>
      <c r="O1017" s="0" t="n">
        <v>25.06</v>
      </c>
      <c r="P1017" s="0" t="n">
        <v>4.95</v>
      </c>
      <c r="Q1017" s="0" t="n">
        <v>3.58</v>
      </c>
      <c r="R1017" s="0" t="n">
        <v>3346</v>
      </c>
      <c r="S1017" s="0" t="n">
        <v>6642</v>
      </c>
      <c r="T1017" s="0" t="n">
        <v>42.65</v>
      </c>
      <c r="U1017" s="0" t="n">
        <v>1112</v>
      </c>
      <c r="V1017" s="0" t="n">
        <v>1</v>
      </c>
      <c r="W1017" s="39" t="n">
        <f aca="false">IF(I1017="Male",0,1)</f>
        <v>1</v>
      </c>
      <c r="X1017" s="39" t="n">
        <f aca="false">IF(OR(I1017="DNB",I1017="Dry DNB"),1,0)</f>
        <v>0</v>
      </c>
      <c r="Y1017" s="39" t="n">
        <f aca="false">MATCH(A1017,DATAS,0)</f>
        <v>1</v>
      </c>
      <c r="Z1017" s="39" t="n">
        <f aca="false">IF(AND(E1017&gt;0,OR(AND(B1017&gt;=1,B1017&lt;=6),B1017=10)),1,0)</f>
        <v>1</v>
      </c>
      <c r="AA1017" s="39" t="n">
        <f aca="false">IF(AND(E1017&gt;0,B1017=10),1,0)</f>
        <v>1</v>
      </c>
      <c r="AB1017" s="0" t="str">
        <f aca="false">IF(AND(C1016=C1017,Y1016=Y1017-1),Z1016,"")</f>
        <v/>
      </c>
      <c r="AC1017" s="0" t="str">
        <f aca="false">IF(AND(C1016=C1017,Y1016=Y1017-1),AA1016,"")</f>
        <v/>
      </c>
      <c r="AD1017" s="0" t="str">
        <f aca="false">IF(Y1017=1,"",IF(AND(Z1017=1,AB1017&lt;&gt;1),1,0))</f>
        <v/>
      </c>
      <c r="AE1017" s="0" t="str">
        <f aca="false">IF(Y1017=1,"",IF(AND(AA1017=1,AC1017&lt;&gt;1),1,0))</f>
        <v/>
      </c>
      <c r="AF1017" s="45" t="str">
        <f aca="false">IF(AND(E1017&gt;0,Y1017&lt;1,NOT(AND(C1018=C1017,Y1018=Y1017+1))),INDEX(DATAS,Y1017+1),"")</f>
        <v/>
      </c>
      <c r="AG1017" s="45" t="str">
        <f aca="false">IF(AND(AA1017=1,Y1017&lt;1),IF(AND(C1018=C1017,Y1018=Y1017+1),IF(AA1018=1,"",INDEX(DATAS,Y1017+1)),INDEX(DATAS,Y1017+1)),"")</f>
        <v/>
      </c>
    </row>
    <row r="1018" customFormat="false" ht="15" hidden="false" customHeight="false" outlineLevel="0" collapsed="false">
      <c r="A1018" s="45" t="n">
        <v>46309</v>
      </c>
      <c r="B1018" s="0" t="n">
        <v>5</v>
      </c>
      <c r="C1018" s="0" t="n">
        <v>5017</v>
      </c>
      <c r="D1018" s="0" t="n">
        <v>144</v>
      </c>
      <c r="E1018" s="0" t="n">
        <v>2</v>
      </c>
      <c r="F1018" s="39" t="s">
        <v>725</v>
      </c>
      <c r="G1018" s="0" t="n">
        <v>43.1</v>
      </c>
      <c r="H1018" s="0" t="n">
        <v>38</v>
      </c>
      <c r="I1018" s="39" t="s">
        <v>138</v>
      </c>
      <c r="J1018" s="0" t="n">
        <v>144</v>
      </c>
      <c r="K1018" s="0" t="n">
        <v>67</v>
      </c>
      <c r="M1018" s="0" t="n">
        <v>137.2</v>
      </c>
      <c r="N1018" s="0" t="n">
        <v>68.56</v>
      </c>
      <c r="O1018" s="0" t="n">
        <v>19.94</v>
      </c>
      <c r="P1018" s="0" t="n">
        <v>5.15</v>
      </c>
      <c r="Q1018" s="0" t="n">
        <v>3.81</v>
      </c>
      <c r="R1018" s="0" t="n">
        <v>2854</v>
      </c>
      <c r="S1018" s="0" t="n">
        <v>6249</v>
      </c>
      <c r="T1018" s="0" t="n">
        <v>40.9</v>
      </c>
      <c r="U1018" s="0" t="n">
        <v>1112</v>
      </c>
      <c r="V1018" s="0" t="n">
        <v>4</v>
      </c>
      <c r="W1018" s="39" t="n">
        <f aca="false">IF(I1018="Male",0,1)</f>
        <v>1</v>
      </c>
      <c r="X1018" s="39" t="n">
        <f aca="false">IF(OR(I1018="DNB",I1018="Dry DNB"),1,0)</f>
        <v>0</v>
      </c>
      <c r="Y1018" s="39" t="n">
        <f aca="false">MATCH(A1018,DATAS,0)</f>
        <v>1</v>
      </c>
      <c r="Z1018" s="39" t="n">
        <f aca="false">IF(AND(E1018&gt;0,OR(AND(B1018&gt;=1,B1018&lt;=6),B1018=10)),1,0)</f>
        <v>1</v>
      </c>
      <c r="AA1018" s="39" t="n">
        <f aca="false">IF(AND(E1018&gt;0,B1018=10),1,0)</f>
        <v>0</v>
      </c>
      <c r="AB1018" s="0" t="str">
        <f aca="false">IF(AND(C1017=C1018,Y1017=Y1018-1),Z1017,"")</f>
        <v/>
      </c>
      <c r="AC1018" s="0" t="str">
        <f aca="false">IF(AND(C1017=C1018,Y1017=Y1018-1),AA1017,"")</f>
        <v/>
      </c>
      <c r="AD1018" s="0" t="str">
        <f aca="false">IF(Y1018=1,"",IF(AND(Z1018=1,AB1018&lt;&gt;1),1,0))</f>
        <v/>
      </c>
      <c r="AE1018" s="0" t="str">
        <f aca="false">IF(Y1018=1,"",IF(AND(AA1018=1,AC1018&lt;&gt;1),1,0))</f>
        <v/>
      </c>
      <c r="AF1018" s="45" t="str">
        <f aca="false">IF(AND(E1018&gt;0,Y1018&lt;1,NOT(AND(C1019=C1018,Y1019=Y1018+1))),INDEX(DATAS,Y1018+1),"")</f>
        <v/>
      </c>
      <c r="AG1018" s="45" t="str">
        <f aca="false">IF(AND(AA1018=1,Y1018&lt;1),IF(AND(C1019=C1018,Y1019=Y1018+1),IF(AA1019=1,"",INDEX(DATAS,Y1018+1)),INDEX(DATAS,Y1018+1)),"")</f>
        <v/>
      </c>
    </row>
    <row r="1019" customFormat="false" ht="15" hidden="false" customHeight="false" outlineLevel="0" collapsed="false">
      <c r="A1019" s="45" t="n">
        <v>46309</v>
      </c>
      <c r="B1019" s="0" t="n">
        <v>2</v>
      </c>
      <c r="C1019" s="0" t="n">
        <v>5018</v>
      </c>
      <c r="D1019" s="0" t="n">
        <v>42</v>
      </c>
      <c r="E1019" s="0" t="n">
        <v>2</v>
      </c>
      <c r="F1019" s="39" t="s">
        <v>726</v>
      </c>
      <c r="G1019" s="0" t="n">
        <v>51.4</v>
      </c>
      <c r="H1019" s="0" t="n">
        <v>57</v>
      </c>
      <c r="I1019" s="39" t="s">
        <v>118</v>
      </c>
      <c r="J1019" s="0" t="n">
        <v>42</v>
      </c>
      <c r="M1019" s="0" t="n">
        <v>994.77</v>
      </c>
      <c r="N1019" s="0" t="n">
        <v>24.37</v>
      </c>
      <c r="O1019" s="0" t="n">
        <v>33.12</v>
      </c>
      <c r="P1019" s="0" t="n">
        <v>3.85</v>
      </c>
      <c r="Q1019" s="0" t="n">
        <v>3.42</v>
      </c>
      <c r="R1019" s="0" t="n">
        <v>4929</v>
      </c>
      <c r="S1019" s="0" t="n">
        <v>9908</v>
      </c>
      <c r="U1019" s="0" t="n">
        <v>1110</v>
      </c>
      <c r="V1019" s="0" t="n">
        <v>0</v>
      </c>
      <c r="W1019" s="39" t="n">
        <f aca="false">IF(I1019="Male",0,1)</f>
        <v>1</v>
      </c>
      <c r="X1019" s="39" t="n">
        <f aca="false">IF(OR(I1019="DNB",I1019="Dry DNB"),1,0)</f>
        <v>0</v>
      </c>
      <c r="Y1019" s="39" t="n">
        <f aca="false">MATCH(A1019,DATAS,0)</f>
        <v>1</v>
      </c>
      <c r="Z1019" s="39" t="n">
        <f aca="false">IF(AND(E1019&gt;0,OR(AND(B1019&gt;=1,B1019&lt;=6),B1019=10)),1,0)</f>
        <v>1</v>
      </c>
      <c r="AA1019" s="39" t="n">
        <f aca="false">IF(AND(E1019&gt;0,B1019=10),1,0)</f>
        <v>0</v>
      </c>
      <c r="AB1019" s="0" t="str">
        <f aca="false">IF(AND(C1018=C1019,Y1018=Y1019-1),Z1018,"")</f>
        <v/>
      </c>
      <c r="AC1019" s="0" t="str">
        <f aca="false">IF(AND(C1018=C1019,Y1018=Y1019-1),AA1018,"")</f>
        <v/>
      </c>
      <c r="AD1019" s="0" t="str">
        <f aca="false">IF(Y1019=1,"",IF(AND(Z1019=1,AB1019&lt;&gt;1),1,0))</f>
        <v/>
      </c>
      <c r="AE1019" s="0" t="str">
        <f aca="false">IF(Y1019=1,"",IF(AND(AA1019=1,AC1019&lt;&gt;1),1,0))</f>
        <v/>
      </c>
      <c r="AF1019" s="45" t="str">
        <f aca="false">IF(AND(E1019&gt;0,Y1019&lt;1,NOT(AND(C1020=C1019,Y1020=Y1019+1))),INDEX(DATAS,Y1019+1),"")</f>
        <v/>
      </c>
      <c r="AG1019" s="45" t="str">
        <f aca="false">IF(AND(AA1019=1,Y1019&lt;1),IF(AND(C1020=C1019,Y1020=Y1019+1),IF(AA1020=1,"",INDEX(DATAS,Y1019+1)),INDEX(DATAS,Y1019+1)),"")</f>
        <v/>
      </c>
    </row>
    <row r="1020" customFormat="false" ht="15" hidden="false" customHeight="false" outlineLevel="0" collapsed="false">
      <c r="A1020" s="45" t="n">
        <v>46309</v>
      </c>
      <c r="B1020" s="0" t="n">
        <v>5</v>
      </c>
      <c r="C1020" s="0" t="n">
        <v>5019</v>
      </c>
      <c r="D1020" s="0" t="n">
        <v>179</v>
      </c>
      <c r="E1020" s="0" t="n">
        <v>2</v>
      </c>
      <c r="F1020" s="39" t="s">
        <v>726</v>
      </c>
      <c r="G1020" s="0" t="n">
        <v>40.4</v>
      </c>
      <c r="H1020" s="0" t="n">
        <v>38</v>
      </c>
      <c r="I1020" s="39" t="s">
        <v>109</v>
      </c>
      <c r="J1020" s="0" t="n">
        <v>67</v>
      </c>
      <c r="K1020" s="0" t="n">
        <v>67</v>
      </c>
      <c r="L1020" s="0" t="n">
        <v>112</v>
      </c>
      <c r="M1020" s="0" t="n">
        <v>881.85</v>
      </c>
      <c r="N1020" s="0" t="n">
        <v>64.44</v>
      </c>
      <c r="O1020" s="0" t="n">
        <v>42.68</v>
      </c>
      <c r="P1020" s="0" t="n">
        <v>5.35</v>
      </c>
      <c r="Q1020" s="0" t="n">
        <v>4.28</v>
      </c>
      <c r="R1020" s="0" t="n">
        <v>3553</v>
      </c>
      <c r="S1020" s="0" t="n">
        <v>7497</v>
      </c>
      <c r="T1020" s="0" t="n">
        <v>43.4</v>
      </c>
      <c r="U1020" s="0" t="n">
        <v>1110</v>
      </c>
      <c r="V1020" s="0" t="n">
        <v>1</v>
      </c>
      <c r="W1020" s="39" t="n">
        <f aca="false">IF(I1020="Male",0,1)</f>
        <v>1</v>
      </c>
      <c r="X1020" s="39" t="n">
        <f aca="false">IF(OR(I1020="DNB",I1020="Dry DNB"),1,0)</f>
        <v>0</v>
      </c>
      <c r="Y1020" s="39" t="n">
        <f aca="false">MATCH(A1020,DATAS,0)</f>
        <v>1</v>
      </c>
      <c r="Z1020" s="39" t="n">
        <f aca="false">IF(AND(E1020&gt;0,OR(AND(B1020&gt;=1,B1020&lt;=6),B1020=10)),1,0)</f>
        <v>1</v>
      </c>
      <c r="AA1020" s="39" t="n">
        <f aca="false">IF(AND(E1020&gt;0,B1020=10),1,0)</f>
        <v>0</v>
      </c>
      <c r="AB1020" s="0" t="str">
        <f aca="false">IF(AND(C1019=C1020,Y1019=Y1020-1),Z1019,"")</f>
        <v/>
      </c>
      <c r="AC1020" s="0" t="str">
        <f aca="false">IF(AND(C1019=C1020,Y1019=Y1020-1),AA1019,"")</f>
        <v/>
      </c>
      <c r="AD1020" s="0" t="str">
        <f aca="false">IF(Y1020=1,"",IF(AND(Z1020=1,AB1020&lt;&gt;1),1,0))</f>
        <v/>
      </c>
      <c r="AE1020" s="0" t="str">
        <f aca="false">IF(Y1020=1,"",IF(AND(AA1020=1,AC1020&lt;&gt;1),1,0))</f>
        <v/>
      </c>
      <c r="AF1020" s="45" t="str">
        <f aca="false">IF(AND(E1020&gt;0,Y1020&lt;1,NOT(AND(C1021=C1020,Y1021=Y1020+1))),INDEX(DATAS,Y1020+1),"")</f>
        <v/>
      </c>
      <c r="AG1020" s="45" t="str">
        <f aca="false">IF(AND(AA1020=1,Y1020&lt;1),IF(AND(C1021=C1020,Y1021=Y1020+1),IF(AA1021=1,"",INDEX(DATAS,Y1020+1)),INDEX(DATAS,Y1020+1)),"")</f>
        <v/>
      </c>
    </row>
    <row r="1021" customFormat="false" ht="15" hidden="false" customHeight="false" outlineLevel="0" collapsed="false">
      <c r="A1021" s="45" t="n">
        <v>46309</v>
      </c>
      <c r="B1021" s="0" t="n">
        <v>7</v>
      </c>
      <c r="C1021" s="0" t="n">
        <v>5020</v>
      </c>
      <c r="D1021" s="0" t="n">
        <v>361</v>
      </c>
      <c r="E1021" s="0" t="n">
        <v>1</v>
      </c>
      <c r="F1021" s="39" t="s">
        <v>726</v>
      </c>
      <c r="I1021" s="39" t="s">
        <v>114</v>
      </c>
      <c r="J1021" s="0" t="n">
        <v>201</v>
      </c>
      <c r="K1021" s="0" t="n">
        <v>61</v>
      </c>
      <c r="L1021" s="0" t="n">
        <v>245</v>
      </c>
      <c r="M1021" s="0" t="n">
        <v>-357.93</v>
      </c>
      <c r="N1021" s="0" t="n">
        <v>70.81</v>
      </c>
      <c r="O1021" s="0" t="n">
        <v>14.63</v>
      </c>
      <c r="P1021" s="0" t="n">
        <v>5.36</v>
      </c>
      <c r="Q1021" s="0" t="n">
        <v>4.29</v>
      </c>
      <c r="R1021" s="0" t="n">
        <v>1797</v>
      </c>
      <c r="S1021" s="0" t="n">
        <v>4377</v>
      </c>
      <c r="T1021" s="0" t="n">
        <v>20.65</v>
      </c>
      <c r="U1021" s="0" t="n">
        <v>1110</v>
      </c>
      <c r="V1021" s="0" t="n">
        <v>4</v>
      </c>
      <c r="W1021" s="39" t="n">
        <f aca="false">IF(I1021="Male",0,1)</f>
        <v>1</v>
      </c>
      <c r="X1021" s="39" t="n">
        <f aca="false">IF(OR(I1021="DNB",I1021="Dry DNB"),1,0)</f>
        <v>0</v>
      </c>
      <c r="Y1021" s="39" t="n">
        <f aca="false">MATCH(A1021,DATAS,0)</f>
        <v>1</v>
      </c>
      <c r="Z1021" s="39" t="n">
        <f aca="false">IF(AND(E1021&gt;0,OR(AND(B1021&gt;=1,B1021&lt;=6),B1021=10)),1,0)</f>
        <v>0</v>
      </c>
      <c r="AA1021" s="39" t="n">
        <f aca="false">IF(AND(E1021&gt;0,B1021=10),1,0)</f>
        <v>0</v>
      </c>
      <c r="AB1021" s="0" t="str">
        <f aca="false">IF(AND(C1020=C1021,Y1020=Y1021-1),Z1020,"")</f>
        <v/>
      </c>
      <c r="AC1021" s="0" t="str">
        <f aca="false">IF(AND(C1020=C1021,Y1020=Y1021-1),AA1020,"")</f>
        <v/>
      </c>
      <c r="AD1021" s="0" t="str">
        <f aca="false">IF(Y1021=1,"",IF(AND(Z1021=1,AB1021&lt;&gt;1),1,0))</f>
        <v/>
      </c>
      <c r="AE1021" s="0" t="str">
        <f aca="false">IF(Y1021=1,"",IF(AND(AA1021=1,AC1021&lt;&gt;1),1,0))</f>
        <v/>
      </c>
      <c r="AF1021" s="45" t="str">
        <f aca="false">IF(AND(E1021&gt;0,Y1021&lt;1,NOT(AND(C1022=C1021,Y1022=Y1021+1))),INDEX(DATAS,Y1021+1),"")</f>
        <v/>
      </c>
      <c r="AG1021" s="45" t="str">
        <f aca="false">IF(AND(AA1021=1,Y1021&lt;1),IF(AND(C1022=C1021,Y1022=Y1021+1),IF(AA1022=1,"",INDEX(DATAS,Y1021+1)),INDEX(DATAS,Y1021+1)),"")</f>
        <v/>
      </c>
    </row>
    <row r="1022" customFormat="false" ht="15" hidden="false" customHeight="false" outlineLevel="0" collapsed="false">
      <c r="A1022" s="45" t="n">
        <v>46309</v>
      </c>
      <c r="B1022" s="0" t="n">
        <v>2</v>
      </c>
      <c r="C1022" s="0" t="n">
        <v>5021</v>
      </c>
      <c r="D1022" s="0" t="n">
        <v>100</v>
      </c>
      <c r="E1022" s="0" t="n">
        <v>2</v>
      </c>
      <c r="F1022" s="39" t="s">
        <v>726</v>
      </c>
      <c r="G1022" s="0" t="n">
        <v>65.6</v>
      </c>
      <c r="H1022" s="0" t="n">
        <v>60</v>
      </c>
      <c r="I1022" s="39" t="s">
        <v>146</v>
      </c>
      <c r="J1022" s="0" t="n">
        <v>100</v>
      </c>
      <c r="K1022" s="0" t="n">
        <v>65</v>
      </c>
      <c r="M1022" s="0" t="n">
        <v>1936.88</v>
      </c>
      <c r="N1022" s="0" t="n">
        <v>63.54</v>
      </c>
      <c r="O1022" s="0" t="n">
        <v>56.93</v>
      </c>
      <c r="P1022" s="0" t="n">
        <v>3.27</v>
      </c>
      <c r="Q1022" s="0" t="n">
        <v>3.28</v>
      </c>
      <c r="R1022" s="0" t="n">
        <v>6187</v>
      </c>
      <c r="S1022" s="0" t="n">
        <v>12438</v>
      </c>
      <c r="T1022" s="0" t="n">
        <v>67.35</v>
      </c>
      <c r="U1022" s="0" t="n">
        <v>1110</v>
      </c>
      <c r="V1022" s="0" t="n">
        <v>1</v>
      </c>
      <c r="W1022" s="39" t="n">
        <f aca="false">IF(I1022="Male",0,1)</f>
        <v>1</v>
      </c>
      <c r="X1022" s="39" t="n">
        <f aca="false">IF(OR(I1022="DNB",I1022="Dry DNB"),1,0)</f>
        <v>0</v>
      </c>
      <c r="Y1022" s="39" t="n">
        <f aca="false">MATCH(A1022,DATAS,0)</f>
        <v>1</v>
      </c>
      <c r="Z1022" s="39" t="n">
        <f aca="false">IF(AND(E1022&gt;0,OR(AND(B1022&gt;=1,B1022&lt;=6),B1022=10)),1,0)</f>
        <v>1</v>
      </c>
      <c r="AA1022" s="39" t="n">
        <f aca="false">IF(AND(E1022&gt;0,B1022=10),1,0)</f>
        <v>0</v>
      </c>
      <c r="AB1022" s="0" t="str">
        <f aca="false">IF(AND(C1021=C1022,Y1021=Y1022-1),Z1021,"")</f>
        <v/>
      </c>
      <c r="AC1022" s="0" t="str">
        <f aca="false">IF(AND(C1021=C1022,Y1021=Y1022-1),AA1021,"")</f>
        <v/>
      </c>
      <c r="AD1022" s="0" t="str">
        <f aca="false">IF(Y1022=1,"",IF(AND(Z1022=1,AB1022&lt;&gt;1),1,0))</f>
        <v/>
      </c>
      <c r="AE1022" s="0" t="str">
        <f aca="false">IF(Y1022=1,"",IF(AND(AA1022=1,AC1022&lt;&gt;1),1,0))</f>
        <v/>
      </c>
      <c r="AF1022" s="45" t="str">
        <f aca="false">IF(AND(E1022&gt;0,Y1022&lt;1,NOT(AND(C1023=C1022,Y1023=Y1022+1))),INDEX(DATAS,Y1022+1),"")</f>
        <v/>
      </c>
      <c r="AG1022" s="45" t="str">
        <f aca="false">IF(AND(AA1022=1,Y1022&lt;1),IF(AND(C1023=C1022,Y1023=Y1022+1),IF(AA1023=1,"",INDEX(DATAS,Y1022+1)),INDEX(DATAS,Y1022+1)),"")</f>
        <v/>
      </c>
    </row>
    <row r="1023" customFormat="false" ht="15" hidden="false" customHeight="false" outlineLevel="0" collapsed="false">
      <c r="A1023" s="45" t="n">
        <v>46309</v>
      </c>
      <c r="B1023" s="0" t="n">
        <v>3</v>
      </c>
      <c r="C1023" s="0" t="n">
        <v>5023</v>
      </c>
      <c r="D1023" s="0" t="n">
        <v>45</v>
      </c>
      <c r="E1023" s="0" t="n">
        <v>2</v>
      </c>
      <c r="F1023" s="39" t="s">
        <v>726</v>
      </c>
      <c r="G1023" s="0" t="n">
        <v>60.6</v>
      </c>
      <c r="H1023" s="0" t="n">
        <v>59</v>
      </c>
      <c r="I1023" s="39" t="s">
        <v>118</v>
      </c>
      <c r="J1023" s="0" t="n">
        <v>45</v>
      </c>
      <c r="M1023" s="0" t="n">
        <v>151.18</v>
      </c>
      <c r="N1023" s="0" t="n">
        <v>61.46</v>
      </c>
      <c r="O1023" s="0" t="n">
        <v>23.28</v>
      </c>
      <c r="P1023" s="0" t="n">
        <v>5.36</v>
      </c>
      <c r="Q1023" s="0" t="n">
        <v>3.43</v>
      </c>
      <c r="R1023" s="0" t="n">
        <v>4593</v>
      </c>
      <c r="S1023" s="0" t="n">
        <v>9233</v>
      </c>
      <c r="U1023" s="0" t="n">
        <v>1110</v>
      </c>
      <c r="V1023" s="0" t="n">
        <v>0</v>
      </c>
      <c r="W1023" s="39" t="n">
        <f aca="false">IF(I1023="Male",0,1)</f>
        <v>1</v>
      </c>
      <c r="X1023" s="39" t="n">
        <f aca="false">IF(OR(I1023="DNB",I1023="Dry DNB"),1,0)</f>
        <v>0</v>
      </c>
      <c r="Y1023" s="39" t="n">
        <f aca="false">MATCH(A1023,DATAS,0)</f>
        <v>1</v>
      </c>
      <c r="Z1023" s="39" t="n">
        <f aca="false">IF(AND(E1023&gt;0,OR(AND(B1023&gt;=1,B1023&lt;=6),B1023=10)),1,0)</f>
        <v>1</v>
      </c>
      <c r="AA1023" s="39" t="n">
        <f aca="false">IF(AND(E1023&gt;0,B1023=10),1,0)</f>
        <v>0</v>
      </c>
      <c r="AB1023" s="0" t="str">
        <f aca="false">IF(AND(C1022=C1023,Y1022=Y1023-1),Z1022,"")</f>
        <v/>
      </c>
      <c r="AC1023" s="0" t="str">
        <f aca="false">IF(AND(C1022=C1023,Y1022=Y1023-1),AA1022,"")</f>
        <v/>
      </c>
      <c r="AD1023" s="0" t="str">
        <f aca="false">IF(Y1023=1,"",IF(AND(Z1023=1,AB1023&lt;&gt;1),1,0))</f>
        <v/>
      </c>
      <c r="AE1023" s="0" t="str">
        <f aca="false">IF(Y1023=1,"",IF(AND(AA1023=1,AC1023&lt;&gt;1),1,0))</f>
        <v/>
      </c>
      <c r="AF1023" s="45" t="str">
        <f aca="false">IF(AND(E1023&gt;0,Y1023&lt;1,NOT(AND(C1024=C1023,Y1024=Y1023+1))),INDEX(DATAS,Y1023+1),"")</f>
        <v/>
      </c>
      <c r="AG1023" s="45" t="str">
        <f aca="false">IF(AND(AA1023=1,Y1023&lt;1),IF(AND(C1024=C1023,Y1024=Y1023+1),IF(AA1024=1,"",INDEX(DATAS,Y1023+1)),INDEX(DATAS,Y1023+1)),"")</f>
        <v/>
      </c>
    </row>
    <row r="1024" customFormat="false" ht="15" hidden="false" customHeight="false" outlineLevel="0" collapsed="false">
      <c r="A1024" s="45" t="n">
        <v>46309</v>
      </c>
      <c r="B1024" s="0" t="n">
        <v>3</v>
      </c>
      <c r="C1024" s="0" t="n">
        <v>5026</v>
      </c>
      <c r="D1024" s="0" t="n">
        <v>92</v>
      </c>
      <c r="E1024" s="0" t="n">
        <v>2</v>
      </c>
      <c r="F1024" s="39" t="s">
        <v>727</v>
      </c>
      <c r="G1024" s="0" t="n">
        <v>55.2</v>
      </c>
      <c r="H1024" s="0" t="n">
        <v>55</v>
      </c>
      <c r="I1024" s="39" t="s">
        <v>138</v>
      </c>
      <c r="J1024" s="0" t="n">
        <v>92</v>
      </c>
      <c r="K1024" s="0" t="n">
        <v>64</v>
      </c>
      <c r="M1024" s="0" t="n">
        <v>748.66</v>
      </c>
      <c r="N1024" s="0" t="n">
        <v>59.37</v>
      </c>
      <c r="O1024" s="0" t="n">
        <v>34.48</v>
      </c>
      <c r="P1024" s="0" t="n">
        <v>2.93</v>
      </c>
      <c r="Q1024" s="0" t="n">
        <v>3.47</v>
      </c>
      <c r="R1024" s="0" t="n">
        <v>4803</v>
      </c>
      <c r="S1024" s="0" t="n">
        <v>9654</v>
      </c>
      <c r="T1024" s="0" t="n">
        <v>55.45</v>
      </c>
      <c r="U1024" s="0" t="n">
        <v>1106</v>
      </c>
      <c r="V1024" s="0" t="n">
        <v>1</v>
      </c>
      <c r="W1024" s="39" t="n">
        <f aca="false">IF(I1024="Male",0,1)</f>
        <v>1</v>
      </c>
      <c r="X1024" s="39" t="n">
        <f aca="false">IF(OR(I1024="DNB",I1024="Dry DNB"),1,0)</f>
        <v>0</v>
      </c>
      <c r="Y1024" s="39" t="n">
        <f aca="false">MATCH(A1024,DATAS,0)</f>
        <v>1</v>
      </c>
      <c r="Z1024" s="39" t="n">
        <f aca="false">IF(AND(E1024&gt;0,OR(AND(B1024&gt;=1,B1024&lt;=6),B1024=10)),1,0)</f>
        <v>1</v>
      </c>
      <c r="AA1024" s="39" t="n">
        <f aca="false">IF(AND(E1024&gt;0,B1024=10),1,0)</f>
        <v>0</v>
      </c>
      <c r="AB1024" s="0" t="str">
        <f aca="false">IF(AND(C1023=C1024,Y1023=Y1024-1),Z1023,"")</f>
        <v/>
      </c>
      <c r="AC1024" s="0" t="str">
        <f aca="false">IF(AND(C1023=C1024,Y1023=Y1024-1),AA1023,"")</f>
        <v/>
      </c>
      <c r="AD1024" s="0" t="str">
        <f aca="false">IF(Y1024=1,"",IF(AND(Z1024=1,AB1024&lt;&gt;1),1,0))</f>
        <v/>
      </c>
      <c r="AE1024" s="0" t="str">
        <f aca="false">IF(Y1024=1,"",IF(AND(AA1024=1,AC1024&lt;&gt;1),1,0))</f>
        <v/>
      </c>
      <c r="AF1024" s="45" t="str">
        <f aca="false">IF(AND(E1024&gt;0,Y1024&lt;1,NOT(AND(C1025=C1024,Y1025=Y1024+1))),INDEX(DATAS,Y1024+1),"")</f>
        <v/>
      </c>
      <c r="AG1024" s="45" t="str">
        <f aca="false">IF(AND(AA1024=1,Y1024&lt;1),IF(AND(C1025=C1024,Y1025=Y1024+1),IF(AA1025=1,"",INDEX(DATAS,Y1024+1)),INDEX(DATAS,Y1024+1)),"")</f>
        <v/>
      </c>
    </row>
    <row r="1025" customFormat="false" ht="15" hidden="false" customHeight="false" outlineLevel="0" collapsed="false">
      <c r="A1025" s="45" t="n">
        <v>46309</v>
      </c>
      <c r="B1025" s="0" t="n">
        <v>3</v>
      </c>
      <c r="C1025" s="0" t="n">
        <v>5027</v>
      </c>
      <c r="D1025" s="0" t="n">
        <v>125</v>
      </c>
      <c r="E1025" s="0" t="n">
        <v>2</v>
      </c>
      <c r="F1025" s="39" t="s">
        <v>727</v>
      </c>
      <c r="G1025" s="0" t="n">
        <v>51.7</v>
      </c>
      <c r="H1025" s="0" t="n">
        <v>45</v>
      </c>
      <c r="I1025" s="39" t="s">
        <v>109</v>
      </c>
      <c r="J1025" s="0" t="n">
        <v>69</v>
      </c>
      <c r="K1025" s="0" t="n">
        <v>69</v>
      </c>
      <c r="L1025" s="0" t="n">
        <v>56</v>
      </c>
      <c r="M1025" s="0" t="n">
        <v>818.01</v>
      </c>
      <c r="N1025" s="0" t="n">
        <v>39.72</v>
      </c>
      <c r="O1025" s="0" t="n">
        <v>23.31</v>
      </c>
      <c r="P1025" s="0" t="n">
        <v>3.5</v>
      </c>
      <c r="Q1025" s="0" t="n">
        <v>3.13</v>
      </c>
      <c r="R1025" s="0" t="n">
        <v>4186</v>
      </c>
      <c r="S1025" s="0" t="n">
        <v>8581</v>
      </c>
      <c r="T1025" s="0" t="n">
        <v>45.25</v>
      </c>
      <c r="U1025" s="0" t="n">
        <v>1106</v>
      </c>
      <c r="V1025" s="0" t="n">
        <v>1</v>
      </c>
      <c r="W1025" s="39" t="n">
        <f aca="false">IF(I1025="Male",0,1)</f>
        <v>1</v>
      </c>
      <c r="X1025" s="39" t="n">
        <f aca="false">IF(OR(I1025="DNB",I1025="Dry DNB"),1,0)</f>
        <v>0</v>
      </c>
      <c r="Y1025" s="39" t="n">
        <f aca="false">MATCH(A1025,DATAS,0)</f>
        <v>1</v>
      </c>
      <c r="Z1025" s="39" t="n">
        <f aca="false">IF(AND(E1025&gt;0,OR(AND(B1025&gt;=1,B1025&lt;=6),B1025=10)),1,0)</f>
        <v>1</v>
      </c>
      <c r="AA1025" s="39" t="n">
        <f aca="false">IF(AND(E1025&gt;0,B1025=10),1,0)</f>
        <v>0</v>
      </c>
      <c r="AB1025" s="0" t="str">
        <f aca="false">IF(AND(C1024=C1025,Y1024=Y1025-1),Z1024,"")</f>
        <v/>
      </c>
      <c r="AC1025" s="0" t="str">
        <f aca="false">IF(AND(C1024=C1025,Y1024=Y1025-1),AA1024,"")</f>
        <v/>
      </c>
      <c r="AD1025" s="0" t="str">
        <f aca="false">IF(Y1025=1,"",IF(AND(Z1025=1,AB1025&lt;&gt;1),1,0))</f>
        <v/>
      </c>
      <c r="AE1025" s="0" t="str">
        <f aca="false">IF(Y1025=1,"",IF(AND(AA1025=1,AC1025&lt;&gt;1),1,0))</f>
        <v/>
      </c>
      <c r="AF1025" s="45" t="str">
        <f aca="false">IF(AND(E1025&gt;0,Y1025&lt;1,NOT(AND(C1026=C1025,Y1026=Y1025+1))),INDEX(DATAS,Y1025+1),"")</f>
        <v/>
      </c>
      <c r="AG1025" s="45" t="str">
        <f aca="false">IF(AND(AA1025=1,Y1025&lt;1),IF(AND(C1026=C1025,Y1026=Y1025+1),IF(AA1026=1,"",INDEX(DATAS,Y1025+1)),INDEX(DATAS,Y1025+1)),"")</f>
        <v/>
      </c>
    </row>
    <row r="1026" customFormat="false" ht="15" hidden="false" customHeight="false" outlineLevel="0" collapsed="false">
      <c r="A1026" s="45" t="n">
        <v>46309</v>
      </c>
      <c r="B1026" s="0" t="n">
        <v>6</v>
      </c>
      <c r="C1026" s="0" t="n">
        <v>5031</v>
      </c>
      <c r="D1026" s="0" t="n">
        <v>468</v>
      </c>
      <c r="E1026" s="0" t="n">
        <v>1</v>
      </c>
      <c r="F1026" s="39" t="s">
        <v>728</v>
      </c>
      <c r="G1026" s="0" t="n">
        <v>20.1</v>
      </c>
      <c r="H1026" s="0" t="n">
        <v>16</v>
      </c>
      <c r="I1026" s="39" t="s">
        <v>138</v>
      </c>
      <c r="J1026" s="0" t="n">
        <v>468</v>
      </c>
      <c r="K1026" s="0" t="n">
        <v>62</v>
      </c>
      <c r="M1026" s="0" t="n">
        <v>1210.38</v>
      </c>
      <c r="N1026" s="0" t="n">
        <v>37.34</v>
      </c>
      <c r="O1026" s="0" t="n">
        <v>26.7</v>
      </c>
      <c r="P1026" s="0" t="n">
        <v>4.16</v>
      </c>
      <c r="Q1026" s="0" t="n">
        <v>3.77</v>
      </c>
      <c r="R1026" s="0" t="n">
        <v>3683</v>
      </c>
      <c r="S1026" s="0" t="n">
        <v>8224</v>
      </c>
      <c r="T1026" s="0" t="n">
        <v>36.45</v>
      </c>
      <c r="U1026" s="0" t="n">
        <v>1100</v>
      </c>
      <c r="V1026" s="0" t="n">
        <v>8</v>
      </c>
      <c r="W1026" s="39" t="n">
        <f aca="false">IF(I1026="Male",0,1)</f>
        <v>1</v>
      </c>
      <c r="X1026" s="39" t="n">
        <f aca="false">IF(OR(I1026="DNB",I1026="Dry DNB"),1,0)</f>
        <v>0</v>
      </c>
      <c r="Y1026" s="39" t="n">
        <f aca="false">MATCH(A1026,DATAS,0)</f>
        <v>1</v>
      </c>
      <c r="Z1026" s="39" t="n">
        <f aca="false">IF(AND(E1026&gt;0,OR(AND(B1026&gt;=1,B1026&lt;=6),B1026=10)),1,0)</f>
        <v>1</v>
      </c>
      <c r="AA1026" s="39" t="n">
        <f aca="false">IF(AND(E1026&gt;0,B1026=10),1,0)</f>
        <v>0</v>
      </c>
      <c r="AB1026" s="0" t="str">
        <f aca="false">IF(AND(C1025=C1026,Y1025=Y1026-1),Z1025,"")</f>
        <v/>
      </c>
      <c r="AC1026" s="0" t="str">
        <f aca="false">IF(AND(C1025=C1026,Y1025=Y1026-1),AA1025,"")</f>
        <v/>
      </c>
      <c r="AD1026" s="0" t="str">
        <f aca="false">IF(Y1026=1,"",IF(AND(Z1026=1,AB1026&lt;&gt;1),1,0))</f>
        <v/>
      </c>
      <c r="AE1026" s="0" t="str">
        <f aca="false">IF(Y1026=1,"",IF(AND(AA1026=1,AC1026&lt;&gt;1),1,0))</f>
        <v/>
      </c>
      <c r="AF1026" s="45" t="str">
        <f aca="false">IF(AND(E1026&gt;0,Y1026&lt;1,NOT(AND(C1027=C1026,Y1027=Y1026+1))),INDEX(DATAS,Y1026+1),"")</f>
        <v/>
      </c>
      <c r="AG1026" s="45" t="str">
        <f aca="false">IF(AND(AA1026=1,Y1026&lt;1),IF(AND(C1027=C1026,Y1027=Y1026+1),IF(AA1027=1,"",INDEX(DATAS,Y1026+1)),INDEX(DATAS,Y1026+1)),"")</f>
        <v/>
      </c>
    </row>
    <row r="1027" customFormat="false" ht="15" hidden="false" customHeight="false" outlineLevel="0" collapsed="false">
      <c r="A1027" s="45" t="n">
        <v>46309</v>
      </c>
      <c r="B1027" s="0" t="n">
        <v>6</v>
      </c>
      <c r="C1027" s="0" t="n">
        <v>5032</v>
      </c>
      <c r="D1027" s="0" t="n">
        <v>104</v>
      </c>
      <c r="E1027" s="0" t="n">
        <v>2</v>
      </c>
      <c r="F1027" s="39" t="s">
        <v>729</v>
      </c>
      <c r="G1027" s="0" t="n">
        <v>10.6</v>
      </c>
      <c r="H1027" s="0" t="n">
        <v>23</v>
      </c>
      <c r="I1027" s="39" t="s">
        <v>146</v>
      </c>
      <c r="J1027" s="0" t="n">
        <v>104</v>
      </c>
      <c r="K1027" s="0" t="n">
        <v>69</v>
      </c>
      <c r="M1027" s="0" t="n">
        <v>1365.73</v>
      </c>
      <c r="N1027" s="0" t="n">
        <v>61.06</v>
      </c>
      <c r="O1027" s="0" t="n">
        <v>45.41</v>
      </c>
      <c r="P1027" s="0" t="n">
        <v>3.79</v>
      </c>
      <c r="Q1027" s="0" t="n">
        <v>3.76</v>
      </c>
      <c r="R1027" s="0" t="n">
        <v>3953</v>
      </c>
      <c r="S1027" s="0" t="n">
        <v>7840</v>
      </c>
      <c r="T1027" s="0" t="n">
        <v>47.05</v>
      </c>
      <c r="U1027" s="0" t="n">
        <v>1099</v>
      </c>
      <c r="V1027" s="0" t="n">
        <v>1</v>
      </c>
      <c r="W1027" s="39" t="n">
        <f aca="false">IF(I1027="Male",0,1)</f>
        <v>1</v>
      </c>
      <c r="X1027" s="39" t="n">
        <f aca="false">IF(OR(I1027="DNB",I1027="Dry DNB"),1,0)</f>
        <v>0</v>
      </c>
      <c r="Y1027" s="39" t="n">
        <f aca="false">MATCH(A1027,DATAS,0)</f>
        <v>1</v>
      </c>
      <c r="Z1027" s="39" t="n">
        <f aca="false">IF(AND(E1027&gt;0,OR(AND(B1027&gt;=1,B1027&lt;=6),B1027=10)),1,0)</f>
        <v>1</v>
      </c>
      <c r="AA1027" s="39" t="n">
        <f aca="false">IF(AND(E1027&gt;0,B1027=10),1,0)</f>
        <v>0</v>
      </c>
      <c r="AB1027" s="0" t="str">
        <f aca="false">IF(AND(C1026=C1027,Y1026=Y1027-1),Z1026,"")</f>
        <v/>
      </c>
      <c r="AC1027" s="0" t="str">
        <f aca="false">IF(AND(C1026=C1027,Y1026=Y1027-1),AA1026,"")</f>
        <v/>
      </c>
      <c r="AD1027" s="0" t="str">
        <f aca="false">IF(Y1027=1,"",IF(AND(Z1027=1,AB1027&lt;&gt;1),1,0))</f>
        <v/>
      </c>
      <c r="AE1027" s="0" t="str">
        <f aca="false">IF(Y1027=1,"",IF(AND(AA1027=1,AC1027&lt;&gt;1),1,0))</f>
        <v/>
      </c>
      <c r="AF1027" s="45" t="str">
        <f aca="false">IF(AND(E1027&gt;0,Y1027&lt;1,NOT(AND(C1028=C1027,Y1028=Y1027+1))),INDEX(DATAS,Y1027+1),"")</f>
        <v/>
      </c>
      <c r="AG1027" s="45" t="str">
        <f aca="false">IF(AND(AA1027=1,Y1027&lt;1),IF(AND(C1028=C1027,Y1028=Y1027+1),IF(AA1028=1,"",INDEX(DATAS,Y1027+1)),INDEX(DATAS,Y1027+1)),"")</f>
        <v/>
      </c>
    </row>
    <row r="1028" customFormat="false" ht="15" hidden="false" customHeight="false" outlineLevel="0" collapsed="false">
      <c r="A1028" s="45" t="n">
        <v>46309</v>
      </c>
      <c r="B1028" s="0" t="n">
        <v>3</v>
      </c>
      <c r="C1028" s="0" t="n">
        <v>5033</v>
      </c>
      <c r="D1028" s="0" t="n">
        <v>34</v>
      </c>
      <c r="E1028" s="0" t="n">
        <v>2</v>
      </c>
      <c r="F1028" s="39" t="s">
        <v>729</v>
      </c>
      <c r="G1028" s="0" t="n">
        <v>56.1</v>
      </c>
      <c r="H1028" s="0" t="n">
        <v>55</v>
      </c>
      <c r="I1028" s="39" t="s">
        <v>118</v>
      </c>
      <c r="J1028" s="0" t="n">
        <v>34</v>
      </c>
      <c r="M1028" s="0" t="n">
        <v>786.16</v>
      </c>
      <c r="N1028" s="0" t="n">
        <v>33.47</v>
      </c>
      <c r="O1028" s="0" t="n">
        <v>26.94</v>
      </c>
      <c r="P1028" s="0" t="n">
        <v>4.99</v>
      </c>
      <c r="Q1028" s="0" t="n">
        <v>4.18</v>
      </c>
      <c r="R1028" s="0" t="n">
        <v>4257</v>
      </c>
      <c r="S1028" s="0" t="n">
        <v>8558</v>
      </c>
      <c r="U1028" s="0" t="n">
        <v>1099</v>
      </c>
      <c r="V1028" s="0" t="n">
        <v>0</v>
      </c>
      <c r="W1028" s="39" t="n">
        <f aca="false">IF(I1028="Male",0,1)</f>
        <v>1</v>
      </c>
      <c r="X1028" s="39" t="n">
        <f aca="false">IF(OR(I1028="DNB",I1028="Dry DNB"),1,0)</f>
        <v>0</v>
      </c>
      <c r="Y1028" s="39" t="n">
        <f aca="false">MATCH(A1028,DATAS,0)</f>
        <v>1</v>
      </c>
      <c r="Z1028" s="39" t="n">
        <f aca="false">IF(AND(E1028&gt;0,OR(AND(B1028&gt;=1,B1028&lt;=6),B1028=10)),1,0)</f>
        <v>1</v>
      </c>
      <c r="AA1028" s="39" t="n">
        <f aca="false">IF(AND(E1028&gt;0,B1028=10),1,0)</f>
        <v>0</v>
      </c>
      <c r="AB1028" s="0" t="str">
        <f aca="false">IF(AND(C1027=C1028,Y1027=Y1028-1),Z1027,"")</f>
        <v/>
      </c>
      <c r="AC1028" s="0" t="str">
        <f aca="false">IF(AND(C1027=C1028,Y1027=Y1028-1),AA1027,"")</f>
        <v/>
      </c>
      <c r="AD1028" s="0" t="str">
        <f aca="false">IF(Y1028=1,"",IF(AND(Z1028=1,AB1028&lt;&gt;1),1,0))</f>
        <v/>
      </c>
      <c r="AE1028" s="0" t="str">
        <f aca="false">IF(Y1028=1,"",IF(AND(AA1028=1,AC1028&lt;&gt;1),1,0))</f>
        <v/>
      </c>
      <c r="AF1028" s="45" t="str">
        <f aca="false">IF(AND(E1028&gt;0,Y1028&lt;1,NOT(AND(C1029=C1028,Y1029=Y1028+1))),INDEX(DATAS,Y1028+1),"")</f>
        <v/>
      </c>
      <c r="AG1028" s="45" t="str">
        <f aca="false">IF(AND(AA1028=1,Y1028&lt;1),IF(AND(C1029=C1028,Y1029=Y1028+1),IF(AA1029=1,"",INDEX(DATAS,Y1028+1)),INDEX(DATAS,Y1028+1)),"")</f>
        <v/>
      </c>
    </row>
    <row r="1029" customFormat="false" ht="15" hidden="false" customHeight="false" outlineLevel="0" collapsed="false">
      <c r="A1029" s="45" t="n">
        <v>46309</v>
      </c>
      <c r="B1029" s="0" t="n">
        <v>6</v>
      </c>
      <c r="C1029" s="0" t="n">
        <v>5034</v>
      </c>
      <c r="D1029" s="0" t="n">
        <v>463</v>
      </c>
      <c r="E1029" s="0" t="n">
        <v>1</v>
      </c>
      <c r="F1029" s="39" t="s">
        <v>729</v>
      </c>
      <c r="G1029" s="0" t="n">
        <v>39.9</v>
      </c>
      <c r="H1029" s="0" t="n">
        <v>34</v>
      </c>
      <c r="I1029" s="39" t="s">
        <v>96</v>
      </c>
      <c r="J1029" s="0" t="n">
        <v>463</v>
      </c>
      <c r="K1029" s="0" t="n">
        <v>64</v>
      </c>
      <c r="M1029" s="0" t="n">
        <v>300.03</v>
      </c>
      <c r="N1029" s="0" t="n">
        <v>0.75</v>
      </c>
      <c r="O1029" s="0" t="n">
        <v>5.02</v>
      </c>
      <c r="P1029" s="0" t="n">
        <v>4.06</v>
      </c>
      <c r="Q1029" s="0" t="n">
        <v>3.53</v>
      </c>
      <c r="R1029" s="0" t="n">
        <v>3875</v>
      </c>
      <c r="S1029" s="0" t="n">
        <v>8866</v>
      </c>
      <c r="T1029" s="0" t="n">
        <v>47.35</v>
      </c>
      <c r="U1029" s="0" t="n">
        <v>1099</v>
      </c>
      <c r="V1029" s="0" t="n">
        <v>2</v>
      </c>
      <c r="W1029" s="39" t="n">
        <f aca="false">IF(I1029="Male",0,1)</f>
        <v>1</v>
      </c>
      <c r="X1029" s="39" t="n">
        <f aca="false">IF(OR(I1029="DNB",I1029="Dry DNB"),1,0)</f>
        <v>1</v>
      </c>
      <c r="Y1029" s="39" t="n">
        <f aca="false">MATCH(A1029,DATAS,0)</f>
        <v>1</v>
      </c>
      <c r="Z1029" s="39" t="n">
        <f aca="false">IF(AND(E1029&gt;0,OR(AND(B1029&gt;=1,B1029&lt;=6),B1029=10)),1,0)</f>
        <v>1</v>
      </c>
      <c r="AA1029" s="39" t="n">
        <f aca="false">IF(AND(E1029&gt;0,B1029=10),1,0)</f>
        <v>0</v>
      </c>
      <c r="AB1029" s="0" t="str">
        <f aca="false">IF(AND(C1028=C1029,Y1028=Y1029-1),Z1028,"")</f>
        <v/>
      </c>
      <c r="AC1029" s="0" t="str">
        <f aca="false">IF(AND(C1028=C1029,Y1028=Y1029-1),AA1028,"")</f>
        <v/>
      </c>
      <c r="AD1029" s="0" t="str">
        <f aca="false">IF(Y1029=1,"",IF(AND(Z1029=1,AB1029&lt;&gt;1),1,0))</f>
        <v/>
      </c>
      <c r="AE1029" s="0" t="str">
        <f aca="false">IF(Y1029=1,"",IF(AND(AA1029=1,AC1029&lt;&gt;1),1,0))</f>
        <v/>
      </c>
      <c r="AF1029" s="45" t="str">
        <f aca="false">IF(AND(E1029&gt;0,Y1029&lt;1,NOT(AND(C1030=C1029,Y1030=Y1029+1))),INDEX(DATAS,Y1029+1),"")</f>
        <v/>
      </c>
      <c r="AG1029" s="45" t="str">
        <f aca="false">IF(AND(AA1029=1,Y1029&lt;1),IF(AND(C1030=C1029,Y1030=Y1029+1),IF(AA1030=1,"",INDEX(DATAS,Y1029+1)),INDEX(DATAS,Y1029+1)),"")</f>
        <v/>
      </c>
    </row>
    <row r="1030" customFormat="false" ht="15" hidden="false" customHeight="false" outlineLevel="0" collapsed="false">
      <c r="A1030" s="45" t="n">
        <v>46309</v>
      </c>
      <c r="B1030" s="0" t="n">
        <v>5</v>
      </c>
      <c r="C1030" s="0" t="n">
        <v>5036</v>
      </c>
      <c r="D1030" s="0" t="n">
        <v>114</v>
      </c>
      <c r="E1030" s="0" t="n">
        <v>2</v>
      </c>
      <c r="F1030" s="39" t="s">
        <v>730</v>
      </c>
      <c r="G1030" s="0" t="n">
        <v>32.9</v>
      </c>
      <c r="H1030" s="0" t="n">
        <v>32</v>
      </c>
      <c r="I1030" s="39" t="s">
        <v>138</v>
      </c>
      <c r="J1030" s="0" t="n">
        <v>114</v>
      </c>
      <c r="K1030" s="0" t="n">
        <v>72</v>
      </c>
      <c r="M1030" s="0" t="n">
        <v>1269.7</v>
      </c>
      <c r="N1030" s="0" t="n">
        <v>70.79</v>
      </c>
      <c r="O1030" s="0" t="n">
        <v>39.48</v>
      </c>
      <c r="P1030" s="0" t="n">
        <v>5.26</v>
      </c>
      <c r="Q1030" s="0" t="n">
        <v>4.22</v>
      </c>
      <c r="R1030" s="0" t="n">
        <v>2697</v>
      </c>
      <c r="S1030" s="0" t="n">
        <v>5564</v>
      </c>
      <c r="T1030" s="0" t="n">
        <v>30.05</v>
      </c>
      <c r="U1030" s="0" t="n">
        <v>1096</v>
      </c>
      <c r="V1030" s="0" t="n">
        <v>2</v>
      </c>
      <c r="W1030" s="39" t="n">
        <f aca="false">IF(I1030="Male",0,1)</f>
        <v>1</v>
      </c>
      <c r="X1030" s="39" t="n">
        <f aca="false">IF(OR(I1030="DNB",I1030="Dry DNB"),1,0)</f>
        <v>0</v>
      </c>
      <c r="Y1030" s="39" t="n">
        <f aca="false">MATCH(A1030,DATAS,0)</f>
        <v>1</v>
      </c>
      <c r="Z1030" s="39" t="n">
        <f aca="false">IF(AND(E1030&gt;0,OR(AND(B1030&gt;=1,B1030&lt;=6),B1030=10)),1,0)</f>
        <v>1</v>
      </c>
      <c r="AA1030" s="39" t="n">
        <f aca="false">IF(AND(E1030&gt;0,B1030=10),1,0)</f>
        <v>0</v>
      </c>
      <c r="AB1030" s="0" t="str">
        <f aca="false">IF(AND(C1029=C1030,Y1029=Y1030-1),Z1029,"")</f>
        <v/>
      </c>
      <c r="AC1030" s="0" t="str">
        <f aca="false">IF(AND(C1029=C1030,Y1029=Y1030-1),AA1029,"")</f>
        <v/>
      </c>
      <c r="AD1030" s="0" t="str">
        <f aca="false">IF(Y1030=1,"",IF(AND(Z1030=1,AB1030&lt;&gt;1),1,0))</f>
        <v/>
      </c>
      <c r="AE1030" s="0" t="str">
        <f aca="false">IF(Y1030=1,"",IF(AND(AA1030=1,AC1030&lt;&gt;1),1,0))</f>
        <v/>
      </c>
      <c r="AF1030" s="45" t="str">
        <f aca="false">IF(AND(E1030&gt;0,Y1030&lt;1,NOT(AND(C1031=C1030,Y1031=Y1030+1))),INDEX(DATAS,Y1030+1),"")</f>
        <v/>
      </c>
      <c r="AG1030" s="45" t="str">
        <f aca="false">IF(AND(AA1030=1,Y1030&lt;1),IF(AND(C1031=C1030,Y1031=Y1030+1),IF(AA1031=1,"",INDEX(DATAS,Y1030+1)),INDEX(DATAS,Y1030+1)),"")</f>
        <v/>
      </c>
    </row>
    <row r="1031" customFormat="false" ht="15" hidden="false" customHeight="false" outlineLevel="0" collapsed="false">
      <c r="A1031" s="45" t="n">
        <v>46309</v>
      </c>
      <c r="B1031" s="0" t="n">
        <v>2</v>
      </c>
      <c r="C1031" s="0" t="n">
        <v>5037</v>
      </c>
      <c r="D1031" s="0" t="n">
        <v>24</v>
      </c>
      <c r="E1031" s="0" t="n">
        <v>2</v>
      </c>
      <c r="F1031" s="39" t="s">
        <v>730</v>
      </c>
      <c r="G1031" s="0" t="n">
        <v>41.3</v>
      </c>
      <c r="H1031" s="0" t="n">
        <v>41</v>
      </c>
      <c r="I1031" s="39" t="s">
        <v>118</v>
      </c>
      <c r="J1031" s="0" t="n">
        <v>24</v>
      </c>
      <c r="M1031" s="0" t="n">
        <v>297.71</v>
      </c>
      <c r="N1031" s="0" t="n">
        <v>32.26</v>
      </c>
      <c r="O1031" s="0" t="n">
        <v>22.21</v>
      </c>
      <c r="R1031" s="0" t="n">
        <v>3207</v>
      </c>
      <c r="S1031" s="0" t="n">
        <v>6446</v>
      </c>
      <c r="U1031" s="0" t="n">
        <v>1096</v>
      </c>
      <c r="V1031" s="0" t="n">
        <v>0</v>
      </c>
      <c r="W1031" s="39" t="n">
        <f aca="false">IF(I1031="Male",0,1)</f>
        <v>1</v>
      </c>
      <c r="X1031" s="39" t="n">
        <f aca="false">IF(OR(I1031="DNB",I1031="Dry DNB"),1,0)</f>
        <v>0</v>
      </c>
      <c r="Y1031" s="39" t="n">
        <f aca="false">MATCH(A1031,DATAS,0)</f>
        <v>1</v>
      </c>
      <c r="Z1031" s="39" t="n">
        <f aca="false">IF(AND(E1031&gt;0,OR(AND(B1031&gt;=1,B1031&lt;=6),B1031=10)),1,0)</f>
        <v>1</v>
      </c>
      <c r="AA1031" s="39" t="n">
        <f aca="false">IF(AND(E1031&gt;0,B1031=10),1,0)</f>
        <v>0</v>
      </c>
      <c r="AB1031" s="0" t="str">
        <f aca="false">IF(AND(C1030=C1031,Y1030=Y1031-1),Z1030,"")</f>
        <v/>
      </c>
      <c r="AC1031" s="0" t="str">
        <f aca="false">IF(AND(C1030=C1031,Y1030=Y1031-1),AA1030,"")</f>
        <v/>
      </c>
      <c r="AD1031" s="0" t="str">
        <f aca="false">IF(Y1031=1,"",IF(AND(Z1031=1,AB1031&lt;&gt;1),1,0))</f>
        <v/>
      </c>
      <c r="AE1031" s="0" t="str">
        <f aca="false">IF(Y1031=1,"",IF(AND(AA1031=1,AC1031&lt;&gt;1),1,0))</f>
        <v/>
      </c>
      <c r="AF1031" s="45" t="str">
        <f aca="false">IF(AND(E1031&gt;0,Y1031&lt;1,NOT(AND(C1032=C1031,Y1032=Y1031+1))),INDEX(DATAS,Y1031+1),"")</f>
        <v/>
      </c>
      <c r="AG1031" s="45" t="str">
        <f aca="false">IF(AND(AA1031=1,Y1031&lt;1),IF(AND(C1032=C1031,Y1032=Y1031+1),IF(AA1032=1,"",INDEX(DATAS,Y1031+1)),INDEX(DATAS,Y1031+1)),"")</f>
        <v/>
      </c>
    </row>
    <row r="1032" customFormat="false" ht="15" hidden="false" customHeight="false" outlineLevel="0" collapsed="false">
      <c r="A1032" s="45" t="n">
        <v>46309</v>
      </c>
      <c r="B1032" s="0" t="n">
        <v>5</v>
      </c>
      <c r="C1032" s="0" t="n">
        <v>5038</v>
      </c>
      <c r="D1032" s="0" t="n">
        <v>475</v>
      </c>
      <c r="E1032" s="0" t="n">
        <v>1</v>
      </c>
      <c r="F1032" s="39" t="s">
        <v>731</v>
      </c>
      <c r="G1032" s="0" t="n">
        <v>39.7</v>
      </c>
      <c r="H1032" s="0" t="n">
        <v>39</v>
      </c>
      <c r="I1032" s="39" t="s">
        <v>109</v>
      </c>
      <c r="J1032" s="0" t="n">
        <v>300</v>
      </c>
      <c r="K1032" s="0" t="n">
        <v>62</v>
      </c>
      <c r="L1032" s="0" t="n">
        <v>175</v>
      </c>
      <c r="M1032" s="0" t="n">
        <v>1013.17</v>
      </c>
      <c r="N1032" s="0" t="n">
        <v>33.77</v>
      </c>
      <c r="O1032" s="0" t="n">
        <v>34.02</v>
      </c>
      <c r="P1032" s="0" t="n">
        <v>3.9</v>
      </c>
      <c r="Q1032" s="0" t="n">
        <v>3.53</v>
      </c>
      <c r="R1032" s="0" t="n">
        <v>4194</v>
      </c>
      <c r="S1032" s="0" t="n">
        <v>8862</v>
      </c>
      <c r="T1032" s="0" t="n">
        <v>48</v>
      </c>
      <c r="U1032" s="0" t="n">
        <v>1094</v>
      </c>
      <c r="V1032" s="0" t="n">
        <v>7</v>
      </c>
      <c r="W1032" s="39" t="n">
        <f aca="false">IF(I1032="Male",0,1)</f>
        <v>1</v>
      </c>
      <c r="X1032" s="39" t="n">
        <f aca="false">IF(OR(I1032="DNB",I1032="Dry DNB"),1,0)</f>
        <v>0</v>
      </c>
      <c r="Y1032" s="39" t="n">
        <f aca="false">MATCH(A1032,DATAS,0)</f>
        <v>1</v>
      </c>
      <c r="Z1032" s="39" t="n">
        <f aca="false">IF(AND(E1032&gt;0,OR(AND(B1032&gt;=1,B1032&lt;=6),B1032=10)),1,0)</f>
        <v>1</v>
      </c>
      <c r="AA1032" s="39" t="n">
        <f aca="false">IF(AND(E1032&gt;0,B1032=10),1,0)</f>
        <v>0</v>
      </c>
      <c r="AB1032" s="0" t="str">
        <f aca="false">IF(AND(C1031=C1032,Y1031=Y1032-1),Z1031,"")</f>
        <v/>
      </c>
      <c r="AC1032" s="0" t="str">
        <f aca="false">IF(AND(C1031=C1032,Y1031=Y1032-1),AA1031,"")</f>
        <v/>
      </c>
      <c r="AD1032" s="0" t="str">
        <f aca="false">IF(Y1032=1,"",IF(AND(Z1032=1,AB1032&lt;&gt;1),1,0))</f>
        <v/>
      </c>
      <c r="AE1032" s="0" t="str">
        <f aca="false">IF(Y1032=1,"",IF(AND(AA1032=1,AC1032&lt;&gt;1),1,0))</f>
        <v/>
      </c>
      <c r="AF1032" s="45" t="str">
        <f aca="false">IF(AND(E1032&gt;0,Y1032&lt;1,NOT(AND(C1033=C1032,Y1033=Y1032+1))),INDEX(DATAS,Y1032+1),"")</f>
        <v/>
      </c>
      <c r="AG1032" s="45" t="str">
        <f aca="false">IF(AND(AA1032=1,Y1032&lt;1),IF(AND(C1033=C1032,Y1033=Y1032+1),IF(AA1033=1,"",INDEX(DATAS,Y1032+1)),INDEX(DATAS,Y1032+1)),"")</f>
        <v/>
      </c>
    </row>
    <row r="1033" customFormat="false" ht="15" hidden="false" customHeight="false" outlineLevel="0" collapsed="false">
      <c r="A1033" s="45" t="n">
        <v>46309</v>
      </c>
      <c r="B1033" s="0" t="n">
        <v>3</v>
      </c>
      <c r="C1033" s="0" t="n">
        <v>5039</v>
      </c>
      <c r="D1033" s="0" t="n">
        <v>109</v>
      </c>
      <c r="E1033" s="0" t="n">
        <v>2</v>
      </c>
      <c r="F1033" s="39" t="s">
        <v>732</v>
      </c>
      <c r="G1033" s="0" t="n">
        <v>50.9</v>
      </c>
      <c r="H1033" s="0" t="n">
        <v>51</v>
      </c>
      <c r="I1033" s="39" t="s">
        <v>109</v>
      </c>
      <c r="J1033" s="0" t="n">
        <v>67</v>
      </c>
      <c r="K1033" s="0" t="n">
        <v>67</v>
      </c>
      <c r="L1033" s="0" t="n">
        <v>42</v>
      </c>
      <c r="M1033" s="0" t="n">
        <v>319.9</v>
      </c>
      <c r="N1033" s="0" t="n">
        <v>39.2</v>
      </c>
      <c r="O1033" s="0" t="n">
        <v>18.83</v>
      </c>
      <c r="P1033" s="0" t="n">
        <v>4.22</v>
      </c>
      <c r="Q1033" s="0" t="n">
        <v>3.22</v>
      </c>
      <c r="R1033" s="0" t="n">
        <v>4668</v>
      </c>
      <c r="S1033" s="0" t="n">
        <v>9460</v>
      </c>
      <c r="T1033" s="0" t="n">
        <v>53.25</v>
      </c>
      <c r="U1033" s="0" t="n">
        <v>1093</v>
      </c>
      <c r="V1033" s="0" t="n">
        <v>1</v>
      </c>
      <c r="W1033" s="39" t="n">
        <f aca="false">IF(I1033="Male",0,1)</f>
        <v>1</v>
      </c>
      <c r="X1033" s="39" t="n">
        <f aca="false">IF(OR(I1033="DNB",I1033="Dry DNB"),1,0)</f>
        <v>0</v>
      </c>
      <c r="Y1033" s="39" t="n">
        <f aca="false">MATCH(A1033,DATAS,0)</f>
        <v>1</v>
      </c>
      <c r="Z1033" s="39" t="n">
        <f aca="false">IF(AND(E1033&gt;0,OR(AND(B1033&gt;=1,B1033&lt;=6),B1033=10)),1,0)</f>
        <v>1</v>
      </c>
      <c r="AA1033" s="39" t="n">
        <f aca="false">IF(AND(E1033&gt;0,B1033=10),1,0)</f>
        <v>0</v>
      </c>
      <c r="AB1033" s="0" t="str">
        <f aca="false">IF(AND(C1032=C1033,Y1032=Y1033-1),Z1032,"")</f>
        <v/>
      </c>
      <c r="AC1033" s="0" t="str">
        <f aca="false">IF(AND(C1032=C1033,Y1032=Y1033-1),AA1032,"")</f>
        <v/>
      </c>
      <c r="AD1033" s="0" t="str">
        <f aca="false">IF(Y1033=1,"",IF(AND(Z1033=1,AB1033&lt;&gt;1),1,0))</f>
        <v/>
      </c>
      <c r="AE1033" s="0" t="str">
        <f aca="false">IF(Y1033=1,"",IF(AND(AA1033=1,AC1033&lt;&gt;1),1,0))</f>
        <v/>
      </c>
      <c r="AF1033" s="45" t="str">
        <f aca="false">IF(AND(E1033&gt;0,Y1033&lt;1,NOT(AND(C1034=C1033,Y1034=Y1033+1))),INDEX(DATAS,Y1033+1),"")</f>
        <v/>
      </c>
      <c r="AG1033" s="45" t="str">
        <f aca="false">IF(AND(AA1033=1,Y1033&lt;1),IF(AND(C1034=C1033,Y1034=Y1033+1),IF(AA1034=1,"",INDEX(DATAS,Y1033+1)),INDEX(DATAS,Y1033+1)),"")</f>
        <v/>
      </c>
    </row>
    <row r="1034" customFormat="false" ht="15" hidden="false" customHeight="false" outlineLevel="0" collapsed="false">
      <c r="A1034" s="45" t="n">
        <v>46309</v>
      </c>
      <c r="B1034" s="0" t="n">
        <v>3</v>
      </c>
      <c r="C1034" s="0" t="n">
        <v>5040</v>
      </c>
      <c r="D1034" s="0" t="n">
        <v>115</v>
      </c>
      <c r="E1034" s="0" t="n">
        <v>2</v>
      </c>
      <c r="F1034" s="39" t="s">
        <v>733</v>
      </c>
      <c r="G1034" s="0" t="n">
        <v>53.6</v>
      </c>
      <c r="H1034" s="0" t="n">
        <v>51</v>
      </c>
      <c r="I1034" s="39" t="s">
        <v>138</v>
      </c>
      <c r="J1034" s="0" t="n">
        <v>115</v>
      </c>
      <c r="K1034" s="0" t="n">
        <v>66</v>
      </c>
      <c r="M1034" s="0" t="n">
        <v>792.9</v>
      </c>
      <c r="N1034" s="0" t="n">
        <v>44.78</v>
      </c>
      <c r="O1034" s="0" t="n">
        <v>22.49</v>
      </c>
      <c r="P1034" s="0" t="n">
        <v>5.1</v>
      </c>
      <c r="Q1034" s="0" t="n">
        <v>3.06</v>
      </c>
      <c r="R1034" s="0" t="n">
        <v>5115</v>
      </c>
      <c r="S1034" s="0" t="n">
        <v>10296</v>
      </c>
      <c r="T1034" s="0" t="n">
        <v>56.55</v>
      </c>
      <c r="U1034" s="0" t="n">
        <v>1092</v>
      </c>
      <c r="V1034" s="0" t="n">
        <v>3</v>
      </c>
      <c r="W1034" s="39" t="n">
        <f aca="false">IF(I1034="Male",0,1)</f>
        <v>1</v>
      </c>
      <c r="X1034" s="39" t="n">
        <f aca="false">IF(OR(I1034="DNB",I1034="Dry DNB"),1,0)</f>
        <v>0</v>
      </c>
      <c r="Y1034" s="39" t="n">
        <f aca="false">MATCH(A1034,DATAS,0)</f>
        <v>1</v>
      </c>
      <c r="Z1034" s="39" t="n">
        <f aca="false">IF(AND(E1034&gt;0,OR(AND(B1034&gt;=1,B1034&lt;=6),B1034=10)),1,0)</f>
        <v>1</v>
      </c>
      <c r="AA1034" s="39" t="n">
        <f aca="false">IF(AND(E1034&gt;0,B1034=10),1,0)</f>
        <v>0</v>
      </c>
      <c r="AB1034" s="0" t="str">
        <f aca="false">IF(AND(C1033=C1034,Y1033=Y1034-1),Z1033,"")</f>
        <v/>
      </c>
      <c r="AC1034" s="0" t="str">
        <f aca="false">IF(AND(C1033=C1034,Y1033=Y1034-1),AA1033,"")</f>
        <v/>
      </c>
      <c r="AD1034" s="0" t="str">
        <f aca="false">IF(Y1034=1,"",IF(AND(Z1034=1,AB1034&lt;&gt;1),1,0))</f>
        <v/>
      </c>
      <c r="AE1034" s="0" t="str">
        <f aca="false">IF(Y1034=1,"",IF(AND(AA1034=1,AC1034&lt;&gt;1),1,0))</f>
        <v/>
      </c>
      <c r="AF1034" s="45" t="str">
        <f aca="false">IF(AND(E1034&gt;0,Y1034&lt;1,NOT(AND(C1035=C1034,Y1035=Y1034+1))),INDEX(DATAS,Y1034+1),"")</f>
        <v/>
      </c>
      <c r="AG1034" s="45" t="str">
        <f aca="false">IF(AND(AA1034=1,Y1034&lt;1),IF(AND(C1035=C1034,Y1035=Y1034+1),IF(AA1035=1,"",INDEX(DATAS,Y1034+1)),INDEX(DATAS,Y1034+1)),"")</f>
        <v/>
      </c>
    </row>
    <row r="1035" customFormat="false" ht="15" hidden="false" customHeight="false" outlineLevel="0" collapsed="false">
      <c r="A1035" s="45" t="n">
        <v>46309</v>
      </c>
      <c r="B1035" s="0" t="n">
        <v>4</v>
      </c>
      <c r="C1035" s="0" t="n">
        <v>5041</v>
      </c>
      <c r="D1035" s="0" t="n">
        <v>171</v>
      </c>
      <c r="E1035" s="0" t="n">
        <v>1</v>
      </c>
      <c r="F1035" s="39" t="s">
        <v>733</v>
      </c>
      <c r="G1035" s="0" t="n">
        <v>51.7</v>
      </c>
      <c r="H1035" s="0" t="n">
        <v>48</v>
      </c>
      <c r="I1035" s="39" t="s">
        <v>96</v>
      </c>
      <c r="J1035" s="0" t="n">
        <v>171</v>
      </c>
      <c r="K1035" s="0" t="n">
        <v>66</v>
      </c>
      <c r="M1035" s="0" t="n">
        <v>1035.99</v>
      </c>
      <c r="N1035" s="0" t="n">
        <v>74.52</v>
      </c>
      <c r="O1035" s="0" t="n">
        <v>46.72</v>
      </c>
      <c r="P1035" s="0" t="n">
        <v>3.98</v>
      </c>
      <c r="Q1035" s="0" t="n">
        <v>3.33</v>
      </c>
      <c r="R1035" s="0" t="n">
        <v>3721</v>
      </c>
      <c r="S1035" s="0" t="n">
        <v>8735</v>
      </c>
      <c r="T1035" s="0" t="n">
        <v>42.4</v>
      </c>
      <c r="U1035" s="0" t="n">
        <v>1092</v>
      </c>
      <c r="V1035" s="0" t="n">
        <v>1</v>
      </c>
      <c r="W1035" s="39" t="n">
        <f aca="false">IF(I1035="Male",0,1)</f>
        <v>1</v>
      </c>
      <c r="X1035" s="39" t="n">
        <f aca="false">IF(OR(I1035="DNB",I1035="Dry DNB"),1,0)</f>
        <v>1</v>
      </c>
      <c r="Y1035" s="39" t="n">
        <f aca="false">MATCH(A1035,DATAS,0)</f>
        <v>1</v>
      </c>
      <c r="Z1035" s="39" t="n">
        <f aca="false">IF(AND(E1035&gt;0,OR(AND(B1035&gt;=1,B1035&lt;=6),B1035=10)),1,0)</f>
        <v>1</v>
      </c>
      <c r="AA1035" s="39" t="n">
        <f aca="false">IF(AND(E1035&gt;0,B1035=10),1,0)</f>
        <v>0</v>
      </c>
      <c r="AB1035" s="0" t="str">
        <f aca="false">IF(AND(C1034=C1035,Y1034=Y1035-1),Z1034,"")</f>
        <v/>
      </c>
      <c r="AC1035" s="0" t="str">
        <f aca="false">IF(AND(C1034=C1035,Y1034=Y1035-1),AA1034,"")</f>
        <v/>
      </c>
      <c r="AD1035" s="0" t="str">
        <f aca="false">IF(Y1035=1,"",IF(AND(Z1035=1,AB1035&lt;&gt;1),1,0))</f>
        <v/>
      </c>
      <c r="AE1035" s="0" t="str">
        <f aca="false">IF(Y1035=1,"",IF(AND(AA1035=1,AC1035&lt;&gt;1),1,0))</f>
        <v/>
      </c>
      <c r="AF1035" s="45" t="str">
        <f aca="false">IF(AND(E1035&gt;0,Y1035&lt;1,NOT(AND(C1036=C1035,Y1036=Y1035+1))),INDEX(DATAS,Y1035+1),"")</f>
        <v/>
      </c>
      <c r="AG1035" s="45" t="str">
        <f aca="false">IF(AND(AA1035=1,Y1035&lt;1),IF(AND(C1036=C1035,Y1036=Y1035+1),IF(AA1036=1,"",INDEX(DATAS,Y1035+1)),INDEX(DATAS,Y1035+1)),"")</f>
        <v/>
      </c>
    </row>
    <row r="1036" customFormat="false" ht="15" hidden="false" customHeight="false" outlineLevel="0" collapsed="false">
      <c r="A1036" s="45" t="n">
        <v>46309</v>
      </c>
      <c r="B1036" s="0" t="n">
        <v>6</v>
      </c>
      <c r="C1036" s="0" t="n">
        <v>5042</v>
      </c>
      <c r="D1036" s="0" t="n">
        <v>429</v>
      </c>
      <c r="E1036" s="0" t="n">
        <v>1</v>
      </c>
      <c r="F1036" s="39" t="s">
        <v>734</v>
      </c>
      <c r="G1036" s="0" t="n">
        <v>20.4</v>
      </c>
      <c r="H1036" s="0" t="n">
        <v>19</v>
      </c>
      <c r="I1036" s="39" t="s">
        <v>138</v>
      </c>
      <c r="J1036" s="0" t="n">
        <v>429</v>
      </c>
      <c r="K1036" s="0" t="n">
        <v>65</v>
      </c>
      <c r="M1036" s="0" t="n">
        <v>1683.34</v>
      </c>
      <c r="N1036" s="0" t="n">
        <v>73.81</v>
      </c>
      <c r="O1036" s="0" t="n">
        <v>66.68</v>
      </c>
      <c r="P1036" s="0" t="n">
        <v>4.94</v>
      </c>
      <c r="Q1036" s="0" t="n">
        <v>4.34</v>
      </c>
      <c r="R1036" s="0" t="n">
        <v>5709</v>
      </c>
      <c r="S1036" s="0" t="n">
        <v>10748</v>
      </c>
      <c r="T1036" s="0" t="n">
        <v>62.8</v>
      </c>
      <c r="U1036" s="0" t="n">
        <v>1091</v>
      </c>
      <c r="V1036" s="0" t="n">
        <v>12</v>
      </c>
      <c r="W1036" s="39" t="n">
        <f aca="false">IF(I1036="Male",0,1)</f>
        <v>1</v>
      </c>
      <c r="X1036" s="39" t="n">
        <f aca="false">IF(OR(I1036="DNB",I1036="Dry DNB"),1,0)</f>
        <v>0</v>
      </c>
      <c r="Y1036" s="39" t="n">
        <f aca="false">MATCH(A1036,DATAS,0)</f>
        <v>1</v>
      </c>
      <c r="Z1036" s="39" t="n">
        <f aca="false">IF(AND(E1036&gt;0,OR(AND(B1036&gt;=1,B1036&lt;=6),B1036=10)),1,0)</f>
        <v>1</v>
      </c>
      <c r="AA1036" s="39" t="n">
        <f aca="false">IF(AND(E1036&gt;0,B1036=10),1,0)</f>
        <v>0</v>
      </c>
      <c r="AB1036" s="0" t="str">
        <f aca="false">IF(AND(C1035=C1036,Y1035=Y1036-1),Z1035,"")</f>
        <v/>
      </c>
      <c r="AC1036" s="0" t="str">
        <f aca="false">IF(AND(C1035=C1036,Y1035=Y1036-1),AA1035,"")</f>
        <v/>
      </c>
      <c r="AD1036" s="0" t="str">
        <f aca="false">IF(Y1036=1,"",IF(AND(Z1036=1,AB1036&lt;&gt;1),1,0))</f>
        <v/>
      </c>
      <c r="AE1036" s="0" t="str">
        <f aca="false">IF(Y1036=1,"",IF(AND(AA1036=1,AC1036&lt;&gt;1),1,0))</f>
        <v/>
      </c>
      <c r="AF1036" s="45" t="str">
        <f aca="false">IF(AND(E1036&gt;0,Y1036&lt;1,NOT(AND(C1037=C1036,Y1037=Y1036+1))),INDEX(DATAS,Y1036+1),"")</f>
        <v/>
      </c>
      <c r="AG1036" s="45" t="str">
        <f aca="false">IF(AND(AA1036=1,Y1036&lt;1),IF(AND(C1037=C1036,Y1037=Y1036+1),IF(AA1037=1,"",INDEX(DATAS,Y1036+1)),INDEX(DATAS,Y1036+1)),"")</f>
        <v/>
      </c>
    </row>
    <row r="1037" customFormat="false" ht="15" hidden="false" customHeight="false" outlineLevel="0" collapsed="false">
      <c r="A1037" s="45" t="n">
        <v>46309</v>
      </c>
      <c r="B1037" s="0" t="n">
        <v>3</v>
      </c>
      <c r="C1037" s="0" t="n">
        <v>5043</v>
      </c>
      <c r="D1037" s="0" t="n">
        <v>60</v>
      </c>
      <c r="E1037" s="0" t="n">
        <v>2</v>
      </c>
      <c r="F1037" s="39" t="s">
        <v>734</v>
      </c>
      <c r="G1037" s="0" t="n">
        <v>71.9</v>
      </c>
      <c r="H1037" s="0" t="n">
        <v>67</v>
      </c>
      <c r="I1037" s="39" t="s">
        <v>118</v>
      </c>
      <c r="J1037" s="0" t="n">
        <v>60</v>
      </c>
      <c r="M1037" s="0" t="n">
        <v>466.36</v>
      </c>
      <c r="N1037" s="0" t="n">
        <v>32.08</v>
      </c>
      <c r="O1037" s="0" t="n">
        <v>19.43</v>
      </c>
      <c r="P1037" s="0" t="n">
        <v>2.96</v>
      </c>
      <c r="Q1037" s="0" t="n">
        <v>3.05</v>
      </c>
      <c r="R1037" s="0" t="n">
        <v>5707</v>
      </c>
      <c r="S1037" s="0" t="n">
        <v>11472</v>
      </c>
      <c r="U1037" s="0" t="n">
        <v>1091</v>
      </c>
      <c r="V1037" s="0" t="n">
        <v>0</v>
      </c>
      <c r="W1037" s="39" t="n">
        <f aca="false">IF(I1037="Male",0,1)</f>
        <v>1</v>
      </c>
      <c r="X1037" s="39" t="n">
        <f aca="false">IF(OR(I1037="DNB",I1037="Dry DNB"),1,0)</f>
        <v>0</v>
      </c>
      <c r="Y1037" s="39" t="n">
        <f aca="false">MATCH(A1037,DATAS,0)</f>
        <v>1</v>
      </c>
      <c r="Z1037" s="39" t="n">
        <f aca="false">IF(AND(E1037&gt;0,OR(AND(B1037&gt;=1,B1037&lt;=6),B1037=10)),1,0)</f>
        <v>1</v>
      </c>
      <c r="AA1037" s="39" t="n">
        <f aca="false">IF(AND(E1037&gt;0,B1037=10),1,0)</f>
        <v>0</v>
      </c>
      <c r="AB1037" s="0" t="str">
        <f aca="false">IF(AND(C1036=C1037,Y1036=Y1037-1),Z1036,"")</f>
        <v/>
      </c>
      <c r="AC1037" s="0" t="str">
        <f aca="false">IF(AND(C1036=C1037,Y1036=Y1037-1),AA1036,"")</f>
        <v/>
      </c>
      <c r="AD1037" s="0" t="str">
        <f aca="false">IF(Y1037=1,"",IF(AND(Z1037=1,AB1037&lt;&gt;1),1,0))</f>
        <v/>
      </c>
      <c r="AE1037" s="0" t="str">
        <f aca="false">IF(Y1037=1,"",IF(AND(AA1037=1,AC1037&lt;&gt;1),1,0))</f>
        <v/>
      </c>
      <c r="AF1037" s="45" t="str">
        <f aca="false">IF(AND(E1037&gt;0,Y1037&lt;1,NOT(AND(C1038=C1037,Y1038=Y1037+1))),INDEX(DATAS,Y1037+1),"")</f>
        <v/>
      </c>
      <c r="AG1037" s="45" t="str">
        <f aca="false">IF(AND(AA1037=1,Y1037&lt;1),IF(AND(C1038=C1037,Y1038=Y1037+1),IF(AA1038=1,"",INDEX(DATAS,Y1037+1)),INDEX(DATAS,Y1037+1)),"")</f>
        <v/>
      </c>
    </row>
    <row r="1038" customFormat="false" ht="15" hidden="false" customHeight="false" outlineLevel="0" collapsed="false">
      <c r="A1038" s="45" t="n">
        <v>46309</v>
      </c>
      <c r="B1038" s="0" t="n">
        <v>3</v>
      </c>
      <c r="C1038" s="0" t="n">
        <v>5044</v>
      </c>
      <c r="D1038" s="0" t="n">
        <v>111</v>
      </c>
      <c r="E1038" s="0" t="n">
        <v>2</v>
      </c>
      <c r="F1038" s="39" t="s">
        <v>735</v>
      </c>
      <c r="G1038" s="0" t="n">
        <v>65.7</v>
      </c>
      <c r="H1038" s="0" t="n">
        <v>63</v>
      </c>
      <c r="I1038" s="39" t="s">
        <v>109</v>
      </c>
      <c r="J1038" s="0" t="n">
        <v>62</v>
      </c>
      <c r="K1038" s="0" t="n">
        <v>69</v>
      </c>
      <c r="L1038" s="0" t="n">
        <v>49</v>
      </c>
      <c r="M1038" s="0" t="n">
        <v>1672.69</v>
      </c>
      <c r="N1038" s="0" t="n">
        <v>43.31</v>
      </c>
      <c r="O1038" s="0" t="n">
        <v>42.9</v>
      </c>
      <c r="P1038" s="0" t="n">
        <v>3.8</v>
      </c>
      <c r="Q1038" s="0" t="n">
        <v>2.94</v>
      </c>
      <c r="R1038" s="0" t="n">
        <v>5089</v>
      </c>
      <c r="S1038" s="0" t="n">
        <v>10407</v>
      </c>
      <c r="T1038" s="0" t="n">
        <v>59.7</v>
      </c>
      <c r="U1038" s="0" t="n">
        <v>1090</v>
      </c>
      <c r="V1038" s="0" t="n">
        <v>1</v>
      </c>
      <c r="W1038" s="39" t="n">
        <f aca="false">IF(I1038="Male",0,1)</f>
        <v>1</v>
      </c>
      <c r="X1038" s="39" t="n">
        <f aca="false">IF(OR(I1038="DNB",I1038="Dry DNB"),1,0)</f>
        <v>0</v>
      </c>
      <c r="Y1038" s="39" t="n">
        <f aca="false">MATCH(A1038,DATAS,0)</f>
        <v>1</v>
      </c>
      <c r="Z1038" s="39" t="n">
        <f aca="false">IF(AND(E1038&gt;0,OR(AND(B1038&gt;=1,B1038&lt;=6),B1038=10)),1,0)</f>
        <v>1</v>
      </c>
      <c r="AA1038" s="39" t="n">
        <f aca="false">IF(AND(E1038&gt;0,B1038=10),1,0)</f>
        <v>0</v>
      </c>
      <c r="AB1038" s="0" t="str">
        <f aca="false">IF(AND(C1037=C1038,Y1037=Y1038-1),Z1037,"")</f>
        <v/>
      </c>
      <c r="AC1038" s="0" t="str">
        <f aca="false">IF(AND(C1037=C1038,Y1037=Y1038-1),AA1037,"")</f>
        <v/>
      </c>
      <c r="AD1038" s="0" t="str">
        <f aca="false">IF(Y1038=1,"",IF(AND(Z1038=1,AB1038&lt;&gt;1),1,0))</f>
        <v/>
      </c>
      <c r="AE1038" s="0" t="str">
        <f aca="false">IF(Y1038=1,"",IF(AND(AA1038=1,AC1038&lt;&gt;1),1,0))</f>
        <v/>
      </c>
      <c r="AF1038" s="45" t="str">
        <f aca="false">IF(AND(E1038&gt;0,Y1038&lt;1,NOT(AND(C1039=C1038,Y1039=Y1038+1))),INDEX(DATAS,Y1038+1),"")</f>
        <v/>
      </c>
      <c r="AG1038" s="45" t="str">
        <f aca="false">IF(AND(AA1038=1,Y1038&lt;1),IF(AND(C1039=C1038,Y1039=Y1038+1),IF(AA1039=1,"",INDEX(DATAS,Y1038+1)),INDEX(DATAS,Y1038+1)),"")</f>
        <v/>
      </c>
    </row>
    <row r="1039" customFormat="false" ht="15" hidden="false" customHeight="false" outlineLevel="0" collapsed="false">
      <c r="A1039" s="45" t="n">
        <v>46309</v>
      </c>
      <c r="B1039" s="0" t="n">
        <v>5</v>
      </c>
      <c r="C1039" s="0" t="n">
        <v>5045</v>
      </c>
      <c r="D1039" s="0" t="n">
        <v>470</v>
      </c>
      <c r="E1039" s="0" t="n">
        <v>1</v>
      </c>
      <c r="F1039" s="39" t="s">
        <v>736</v>
      </c>
      <c r="G1039" s="0" t="n">
        <v>26.7</v>
      </c>
      <c r="H1039" s="0" t="n">
        <v>30</v>
      </c>
      <c r="I1039" s="39" t="s">
        <v>96</v>
      </c>
      <c r="J1039" s="0" t="n">
        <v>470</v>
      </c>
      <c r="K1039" s="0" t="n">
        <v>189</v>
      </c>
      <c r="M1039" s="0" t="n">
        <v>1024.96</v>
      </c>
      <c r="N1039" s="0" t="n">
        <v>55.79</v>
      </c>
      <c r="O1039" s="0" t="n">
        <v>31.82</v>
      </c>
      <c r="P1039" s="0" t="n">
        <v>5.1</v>
      </c>
      <c r="Q1039" s="0" t="n">
        <v>3.99</v>
      </c>
      <c r="R1039" s="0" t="n">
        <v>3351</v>
      </c>
      <c r="S1039" s="0" t="n">
        <v>6788</v>
      </c>
      <c r="T1039" s="0" t="n">
        <v>35.75</v>
      </c>
      <c r="U1039" s="0" t="n">
        <v>1089</v>
      </c>
      <c r="V1039" s="0" t="n">
        <v>9</v>
      </c>
      <c r="W1039" s="39" t="n">
        <f aca="false">IF(I1039="Male",0,1)</f>
        <v>1</v>
      </c>
      <c r="X1039" s="39" t="n">
        <f aca="false">IF(OR(I1039="DNB",I1039="Dry DNB"),1,0)</f>
        <v>1</v>
      </c>
      <c r="Y1039" s="39" t="n">
        <f aca="false">MATCH(A1039,DATAS,0)</f>
        <v>1</v>
      </c>
      <c r="Z1039" s="39" t="n">
        <f aca="false">IF(AND(E1039&gt;0,OR(AND(B1039&gt;=1,B1039&lt;=6),B1039=10)),1,0)</f>
        <v>1</v>
      </c>
      <c r="AA1039" s="39" t="n">
        <f aca="false">IF(AND(E1039&gt;0,B1039=10),1,0)</f>
        <v>0</v>
      </c>
      <c r="AB1039" s="0" t="str">
        <f aca="false">IF(AND(C1038=C1039,Y1038=Y1039-1),Z1038,"")</f>
        <v/>
      </c>
      <c r="AC1039" s="0" t="str">
        <f aca="false">IF(AND(C1038=C1039,Y1038=Y1039-1),AA1038,"")</f>
        <v/>
      </c>
      <c r="AD1039" s="0" t="str">
        <f aca="false">IF(Y1039=1,"",IF(AND(Z1039=1,AB1039&lt;&gt;1),1,0))</f>
        <v/>
      </c>
      <c r="AE1039" s="0" t="str">
        <f aca="false">IF(Y1039=1,"",IF(AND(AA1039=1,AC1039&lt;&gt;1),1,0))</f>
        <v/>
      </c>
      <c r="AF1039" s="45" t="str">
        <f aca="false">IF(AND(E1039&gt;0,Y1039&lt;1,NOT(AND(C1040=C1039,Y1040=Y1039+1))),INDEX(DATAS,Y1039+1),"")</f>
        <v/>
      </c>
      <c r="AG1039" s="45" t="str">
        <f aca="false">IF(AND(AA1039=1,Y1039&lt;1),IF(AND(C1040=C1039,Y1040=Y1039+1),IF(AA1040=1,"",INDEX(DATAS,Y1039+1)),INDEX(DATAS,Y1039+1)),"")</f>
        <v/>
      </c>
    </row>
    <row r="1040" customFormat="false" ht="15" hidden="false" customHeight="false" outlineLevel="0" collapsed="false">
      <c r="A1040" s="45" t="n">
        <v>46309</v>
      </c>
      <c r="B1040" s="0" t="n">
        <v>14</v>
      </c>
      <c r="C1040" s="0" t="n">
        <v>5046</v>
      </c>
      <c r="D1040" s="0" t="n">
        <v>323</v>
      </c>
      <c r="E1040" s="0" t="n">
        <v>1</v>
      </c>
      <c r="F1040" s="39" t="s">
        <v>736</v>
      </c>
      <c r="I1040" s="39" t="s">
        <v>114</v>
      </c>
      <c r="J1040" s="0" t="n">
        <v>100</v>
      </c>
      <c r="K1040" s="0" t="n">
        <v>65</v>
      </c>
      <c r="L1040" s="0" t="n">
        <v>273</v>
      </c>
      <c r="M1040" s="0" t="n">
        <v>514.1</v>
      </c>
      <c r="N1040" s="0" t="n">
        <v>60.05</v>
      </c>
      <c r="O1040" s="0" t="n">
        <v>34.89</v>
      </c>
      <c r="P1040" s="0" t="n">
        <v>4.28</v>
      </c>
      <c r="Q1040" s="0" t="n">
        <v>3.72</v>
      </c>
      <c r="R1040" s="0" t="n">
        <v>4414</v>
      </c>
      <c r="S1040" s="0" t="n">
        <v>9637</v>
      </c>
      <c r="T1040" s="0" t="n">
        <v>43.75</v>
      </c>
      <c r="U1040" s="0" t="n">
        <v>1089</v>
      </c>
      <c r="V1040" s="0" t="n">
        <v>2</v>
      </c>
      <c r="W1040" s="39" t="n">
        <f aca="false">IF(I1040="Male",0,1)</f>
        <v>1</v>
      </c>
      <c r="X1040" s="39" t="n">
        <f aca="false">IF(OR(I1040="DNB",I1040="Dry DNB"),1,0)</f>
        <v>0</v>
      </c>
      <c r="Y1040" s="39" t="n">
        <f aca="false">MATCH(A1040,DATAS,0)</f>
        <v>1</v>
      </c>
      <c r="Z1040" s="39" t="n">
        <f aca="false">IF(AND(E1040&gt;0,OR(AND(B1040&gt;=1,B1040&lt;=6),B1040=10)),1,0)</f>
        <v>0</v>
      </c>
      <c r="AA1040" s="39" t="n">
        <f aca="false">IF(AND(E1040&gt;0,B1040=10),1,0)</f>
        <v>0</v>
      </c>
      <c r="AB1040" s="0" t="str">
        <f aca="false">IF(AND(C1039=C1040,Y1039=Y1040-1),Z1039,"")</f>
        <v/>
      </c>
      <c r="AC1040" s="0" t="str">
        <f aca="false">IF(AND(C1039=C1040,Y1039=Y1040-1),AA1039,"")</f>
        <v/>
      </c>
      <c r="AD1040" s="0" t="str">
        <f aca="false">IF(Y1040=1,"",IF(AND(Z1040=1,AB1040&lt;&gt;1),1,0))</f>
        <v/>
      </c>
      <c r="AE1040" s="0" t="str">
        <f aca="false">IF(Y1040=1,"",IF(AND(AA1040=1,AC1040&lt;&gt;1),1,0))</f>
        <v/>
      </c>
      <c r="AF1040" s="45" t="str">
        <f aca="false">IF(AND(E1040&gt;0,Y1040&lt;1,NOT(AND(C1041=C1040,Y1041=Y1040+1))),INDEX(DATAS,Y1040+1),"")</f>
        <v/>
      </c>
      <c r="AG1040" s="45" t="str">
        <f aca="false">IF(AND(AA1040=1,Y1040&lt;1),IF(AND(C1041=C1040,Y1041=Y1040+1),IF(AA1041=1,"",INDEX(DATAS,Y1040+1)),INDEX(DATAS,Y1040+1)),"")</f>
        <v/>
      </c>
    </row>
    <row r="1041" customFormat="false" ht="15" hidden="false" customHeight="false" outlineLevel="0" collapsed="false">
      <c r="A1041" s="45" t="n">
        <v>46309</v>
      </c>
      <c r="B1041" s="0" t="n">
        <v>7</v>
      </c>
      <c r="C1041" s="0" t="n">
        <v>5050</v>
      </c>
      <c r="D1041" s="0" t="n">
        <v>323</v>
      </c>
      <c r="E1041" s="0" t="n">
        <v>1</v>
      </c>
      <c r="F1041" s="39" t="s">
        <v>737</v>
      </c>
      <c r="I1041" s="39" t="s">
        <v>114</v>
      </c>
      <c r="J1041" s="0" t="n">
        <v>100</v>
      </c>
      <c r="K1041" s="0" t="n">
        <v>65</v>
      </c>
      <c r="L1041" s="0" t="n">
        <v>231</v>
      </c>
      <c r="M1041" s="0" t="n">
        <v>649.62</v>
      </c>
      <c r="N1041" s="0" t="n">
        <v>68.81</v>
      </c>
      <c r="O1041" s="0" t="n">
        <v>35.82</v>
      </c>
      <c r="P1041" s="0" t="n">
        <v>3.83</v>
      </c>
      <c r="Q1041" s="0" t="n">
        <v>3.79</v>
      </c>
      <c r="R1041" s="0" t="n">
        <v>4358</v>
      </c>
      <c r="S1041" s="0" t="n">
        <v>8769</v>
      </c>
      <c r="T1041" s="0" t="n">
        <v>46.9</v>
      </c>
      <c r="U1041" s="0" t="n">
        <v>1088</v>
      </c>
      <c r="V1041" s="0" t="n">
        <v>2</v>
      </c>
      <c r="W1041" s="39" t="n">
        <f aca="false">IF(I1041="Male",0,1)</f>
        <v>1</v>
      </c>
      <c r="X1041" s="39" t="n">
        <f aca="false">IF(OR(I1041="DNB",I1041="Dry DNB"),1,0)</f>
        <v>0</v>
      </c>
      <c r="Y1041" s="39" t="n">
        <f aca="false">MATCH(A1041,DATAS,0)</f>
        <v>1</v>
      </c>
      <c r="Z1041" s="39" t="n">
        <f aca="false">IF(AND(E1041&gt;0,OR(AND(B1041&gt;=1,B1041&lt;=6),B1041=10)),1,0)</f>
        <v>0</v>
      </c>
      <c r="AA1041" s="39" t="n">
        <f aca="false">IF(AND(E1041&gt;0,B1041=10),1,0)</f>
        <v>0</v>
      </c>
      <c r="AB1041" s="0" t="str">
        <f aca="false">IF(AND(C1040=C1041,Y1040=Y1041-1),Z1040,"")</f>
        <v/>
      </c>
      <c r="AC1041" s="0" t="str">
        <f aca="false">IF(AND(C1040=C1041,Y1040=Y1041-1),AA1040,"")</f>
        <v/>
      </c>
      <c r="AD1041" s="0" t="str">
        <f aca="false">IF(Y1041=1,"",IF(AND(Z1041=1,AB1041&lt;&gt;1),1,0))</f>
        <v/>
      </c>
      <c r="AE1041" s="0" t="str">
        <f aca="false">IF(Y1041=1,"",IF(AND(AA1041=1,AC1041&lt;&gt;1),1,0))</f>
        <v/>
      </c>
      <c r="AF1041" s="45" t="str">
        <f aca="false">IF(AND(E1041&gt;0,Y1041&lt;1,NOT(AND(C1042=C1041,Y1042=Y1041+1))),INDEX(DATAS,Y1041+1),"")</f>
        <v/>
      </c>
      <c r="AG1041" s="45" t="str">
        <f aca="false">IF(AND(AA1041=1,Y1041&lt;1),IF(AND(C1042=C1041,Y1042=Y1041+1),IF(AA1042=1,"",INDEX(DATAS,Y1041+1)),INDEX(DATAS,Y1041+1)),"")</f>
        <v/>
      </c>
    </row>
    <row r="1042" customFormat="false" ht="15" hidden="false" customHeight="false" outlineLevel="0" collapsed="false">
      <c r="A1042" s="45" t="n">
        <v>46309</v>
      </c>
      <c r="B1042" s="0" t="n">
        <v>5</v>
      </c>
      <c r="C1042" s="0" t="n">
        <v>5051</v>
      </c>
      <c r="D1042" s="0" t="n">
        <v>389</v>
      </c>
      <c r="E1042" s="0" t="n">
        <v>1</v>
      </c>
      <c r="F1042" s="39" t="s">
        <v>738</v>
      </c>
      <c r="G1042" s="0" t="n">
        <v>39.9</v>
      </c>
      <c r="H1042" s="0" t="n">
        <v>36</v>
      </c>
      <c r="I1042" s="39" t="s">
        <v>138</v>
      </c>
      <c r="J1042" s="0" t="n">
        <v>389</v>
      </c>
      <c r="K1042" s="0" t="n">
        <v>67</v>
      </c>
      <c r="M1042" s="0" t="n">
        <v>852.72</v>
      </c>
      <c r="N1042" s="0" t="n">
        <v>70.65</v>
      </c>
      <c r="O1042" s="0" t="n">
        <v>34.92</v>
      </c>
      <c r="P1042" s="0" t="n">
        <v>4.38</v>
      </c>
      <c r="Q1042" s="0" t="n">
        <v>4.47</v>
      </c>
      <c r="R1042" s="0" t="n">
        <v>4935</v>
      </c>
      <c r="S1042" s="0" t="n">
        <v>10551</v>
      </c>
      <c r="T1042" s="0" t="n">
        <v>55.55</v>
      </c>
      <c r="U1042" s="0" t="n">
        <v>1087</v>
      </c>
      <c r="V1042" s="0" t="n">
        <v>10</v>
      </c>
      <c r="W1042" s="39" t="n">
        <f aca="false">IF(I1042="Male",0,1)</f>
        <v>1</v>
      </c>
      <c r="X1042" s="39" t="n">
        <f aca="false">IF(OR(I1042="DNB",I1042="Dry DNB"),1,0)</f>
        <v>0</v>
      </c>
      <c r="Y1042" s="39" t="n">
        <f aca="false">MATCH(A1042,DATAS,0)</f>
        <v>1</v>
      </c>
      <c r="Z1042" s="39" t="n">
        <f aca="false">IF(AND(E1042&gt;0,OR(AND(B1042&gt;=1,B1042&lt;=6),B1042=10)),1,0)</f>
        <v>1</v>
      </c>
      <c r="AA1042" s="39" t="n">
        <f aca="false">IF(AND(E1042&gt;0,B1042=10),1,0)</f>
        <v>0</v>
      </c>
      <c r="AB1042" s="0" t="str">
        <f aca="false">IF(AND(C1041=C1042,Y1041=Y1042-1),Z1041,"")</f>
        <v/>
      </c>
      <c r="AC1042" s="0" t="str">
        <f aca="false">IF(AND(C1041=C1042,Y1041=Y1042-1),AA1041,"")</f>
        <v/>
      </c>
      <c r="AD1042" s="0" t="str">
        <f aca="false">IF(Y1042=1,"",IF(AND(Z1042=1,AB1042&lt;&gt;1),1,0))</f>
        <v/>
      </c>
      <c r="AE1042" s="0" t="str">
        <f aca="false">IF(Y1042=1,"",IF(AND(AA1042=1,AC1042&lt;&gt;1),1,0))</f>
        <v/>
      </c>
      <c r="AF1042" s="45" t="str">
        <f aca="false">IF(AND(E1042&gt;0,Y1042&lt;1,NOT(AND(C1043=C1042,Y1043=Y1042+1))),INDEX(DATAS,Y1042+1),"")</f>
        <v/>
      </c>
      <c r="AG1042" s="45" t="str">
        <f aca="false">IF(AND(AA1042=1,Y1042&lt;1),IF(AND(C1043=C1042,Y1043=Y1042+1),IF(AA1043=1,"",INDEX(DATAS,Y1042+1)),INDEX(DATAS,Y1042+1)),"")</f>
        <v/>
      </c>
    </row>
    <row r="1043" customFormat="false" ht="15" hidden="false" customHeight="false" outlineLevel="0" collapsed="false">
      <c r="A1043" s="45" t="n">
        <v>46309</v>
      </c>
      <c r="B1043" s="0" t="n">
        <v>14</v>
      </c>
      <c r="C1043" s="0" t="n">
        <v>5055</v>
      </c>
      <c r="D1043" s="0" t="n">
        <v>407</v>
      </c>
      <c r="E1043" s="0" t="n">
        <v>1</v>
      </c>
      <c r="F1043" s="39" t="s">
        <v>108</v>
      </c>
      <c r="I1043" s="39" t="s">
        <v>114</v>
      </c>
      <c r="J1043" s="0" t="n">
        <v>184</v>
      </c>
      <c r="K1043" s="0" t="n">
        <v>58</v>
      </c>
      <c r="L1043" s="0" t="n">
        <v>273</v>
      </c>
      <c r="M1043" s="0" t="n">
        <v>1254.4</v>
      </c>
      <c r="N1043" s="0" t="n">
        <v>30.64</v>
      </c>
      <c r="O1043" s="0" t="n">
        <v>33.7</v>
      </c>
      <c r="P1043" s="0" t="n">
        <v>2.88</v>
      </c>
      <c r="Q1043" s="0" t="n">
        <v>3.61</v>
      </c>
      <c r="R1043" s="0" t="n">
        <v>4835</v>
      </c>
      <c r="S1043" s="0" t="n">
        <v>10410</v>
      </c>
      <c r="T1043" s="0" t="n">
        <v>53.15</v>
      </c>
      <c r="U1043" s="0" t="n">
        <v>1082</v>
      </c>
      <c r="V1043" s="0" t="n">
        <v>5</v>
      </c>
      <c r="W1043" s="39" t="n">
        <f aca="false">IF(I1043="Male",0,1)</f>
        <v>1</v>
      </c>
      <c r="X1043" s="39" t="n">
        <f aca="false">IF(OR(I1043="DNB",I1043="Dry DNB"),1,0)</f>
        <v>0</v>
      </c>
      <c r="Y1043" s="39" t="n">
        <f aca="false">MATCH(A1043,DATAS,0)</f>
        <v>1</v>
      </c>
      <c r="Z1043" s="39" t="n">
        <f aca="false">IF(AND(E1043&gt;0,OR(AND(B1043&gt;=1,B1043&lt;=6),B1043=10)),1,0)</f>
        <v>0</v>
      </c>
      <c r="AA1043" s="39" t="n">
        <f aca="false">IF(AND(E1043&gt;0,B1043=10),1,0)</f>
        <v>0</v>
      </c>
      <c r="AB1043" s="0" t="str">
        <f aca="false">IF(AND(C1042=C1043,Y1042=Y1043-1),Z1042,"")</f>
        <v/>
      </c>
      <c r="AC1043" s="0" t="str">
        <f aca="false">IF(AND(C1042=C1043,Y1042=Y1043-1),AA1042,"")</f>
        <v/>
      </c>
      <c r="AD1043" s="0" t="str">
        <f aca="false">IF(Y1043=1,"",IF(AND(Z1043=1,AB1043&lt;&gt;1),1,0))</f>
        <v/>
      </c>
      <c r="AE1043" s="0" t="str">
        <f aca="false">IF(Y1043=1,"",IF(AND(AA1043=1,AC1043&lt;&gt;1),1,0))</f>
        <v/>
      </c>
      <c r="AF1043" s="45" t="str">
        <f aca="false">IF(AND(E1043&gt;0,Y1043&lt;1,NOT(AND(C1044=C1043,Y1044=Y1043+1))),INDEX(DATAS,Y1043+1),"")</f>
        <v/>
      </c>
      <c r="AG1043" s="45" t="str">
        <f aca="false">IF(AND(AA1043=1,Y1043&lt;1),IF(AND(C1044=C1043,Y1044=Y1043+1),IF(AA1044=1,"",INDEX(DATAS,Y1043+1)),INDEX(DATAS,Y1043+1)),"")</f>
        <v/>
      </c>
    </row>
    <row r="1044" customFormat="false" ht="15" hidden="false" customHeight="false" outlineLevel="0" collapsed="false">
      <c r="A1044" s="45" t="n">
        <v>46309</v>
      </c>
      <c r="B1044" s="0" t="n">
        <v>6</v>
      </c>
      <c r="C1044" s="0" t="n">
        <v>5056</v>
      </c>
      <c r="D1044" s="0" t="n">
        <v>390</v>
      </c>
      <c r="E1044" s="0" t="n">
        <v>1</v>
      </c>
      <c r="F1044" s="39" t="s">
        <v>108</v>
      </c>
      <c r="G1044" s="0" t="n">
        <v>23.7</v>
      </c>
      <c r="H1044" s="0" t="n">
        <v>23</v>
      </c>
      <c r="I1044" s="39" t="s">
        <v>96</v>
      </c>
      <c r="J1044" s="0" t="n">
        <v>390</v>
      </c>
      <c r="K1044" s="0" t="n">
        <v>68</v>
      </c>
      <c r="M1044" s="0" t="n">
        <v>1319.06</v>
      </c>
      <c r="N1044" s="0" t="n">
        <v>41.35</v>
      </c>
      <c r="O1044" s="0" t="n">
        <v>49.3</v>
      </c>
      <c r="P1044" s="0" t="n">
        <v>4.07</v>
      </c>
      <c r="Q1044" s="0" t="n">
        <v>3.55</v>
      </c>
      <c r="R1044" s="0" t="n">
        <v>4526</v>
      </c>
      <c r="S1044" s="0" t="n">
        <v>10434</v>
      </c>
      <c r="T1044" s="0" t="n">
        <v>53.8</v>
      </c>
      <c r="U1044" s="0" t="n">
        <v>1082</v>
      </c>
      <c r="V1044" s="0" t="n">
        <v>3</v>
      </c>
      <c r="W1044" s="39" t="n">
        <f aca="false">IF(I1044="Male",0,1)</f>
        <v>1</v>
      </c>
      <c r="X1044" s="39" t="n">
        <f aca="false">IF(OR(I1044="DNB",I1044="Dry DNB"),1,0)</f>
        <v>1</v>
      </c>
      <c r="Y1044" s="39" t="n">
        <f aca="false">MATCH(A1044,DATAS,0)</f>
        <v>1</v>
      </c>
      <c r="Z1044" s="39" t="n">
        <f aca="false">IF(AND(E1044&gt;0,OR(AND(B1044&gt;=1,B1044&lt;=6),B1044=10)),1,0)</f>
        <v>1</v>
      </c>
      <c r="AA1044" s="39" t="n">
        <f aca="false">IF(AND(E1044&gt;0,B1044=10),1,0)</f>
        <v>0</v>
      </c>
      <c r="AB1044" s="0" t="str">
        <f aca="false">IF(AND(C1043=C1044,Y1043=Y1044-1),Z1043,"")</f>
        <v/>
      </c>
      <c r="AC1044" s="0" t="str">
        <f aca="false">IF(AND(C1043=C1044,Y1043=Y1044-1),AA1043,"")</f>
        <v/>
      </c>
      <c r="AD1044" s="0" t="str">
        <f aca="false">IF(Y1044=1,"",IF(AND(Z1044=1,AB1044&lt;&gt;1),1,0))</f>
        <v/>
      </c>
      <c r="AE1044" s="0" t="str">
        <f aca="false">IF(Y1044=1,"",IF(AND(AA1044=1,AC1044&lt;&gt;1),1,0))</f>
        <v/>
      </c>
      <c r="AF1044" s="45" t="str">
        <f aca="false">IF(AND(E1044&gt;0,Y1044&lt;1,NOT(AND(C1045=C1044,Y1045=Y1044+1))),INDEX(DATAS,Y1044+1),"")</f>
        <v/>
      </c>
      <c r="AG1044" s="45" t="str">
        <f aca="false">IF(AND(AA1044=1,Y1044&lt;1),IF(AND(C1045=C1044,Y1045=Y1044+1),IF(AA1045=1,"",INDEX(DATAS,Y1044+1)),INDEX(DATAS,Y1044+1)),"")</f>
        <v/>
      </c>
    </row>
    <row r="1045" customFormat="false" ht="15" hidden="false" customHeight="false" outlineLevel="0" collapsed="false">
      <c r="A1045" s="45" t="n">
        <v>46309</v>
      </c>
      <c r="B1045" s="0" t="n">
        <v>5</v>
      </c>
      <c r="C1045" s="0" t="n">
        <v>5058</v>
      </c>
      <c r="D1045" s="0" t="n">
        <v>421</v>
      </c>
      <c r="E1045" s="0" t="n">
        <v>1</v>
      </c>
      <c r="F1045" s="39" t="s">
        <v>108</v>
      </c>
      <c r="G1045" s="0" t="n">
        <v>30.5</v>
      </c>
      <c r="H1045" s="0" t="n">
        <v>32</v>
      </c>
      <c r="I1045" s="39" t="s">
        <v>109</v>
      </c>
      <c r="J1045" s="0" t="n">
        <v>344</v>
      </c>
      <c r="K1045" s="0" t="n">
        <v>64</v>
      </c>
      <c r="L1045" s="0" t="n">
        <v>77</v>
      </c>
      <c r="M1045" s="0" t="n">
        <v>323.66</v>
      </c>
      <c r="N1045" s="0" t="n">
        <v>45.79</v>
      </c>
      <c r="O1045" s="0" t="n">
        <v>26.22</v>
      </c>
      <c r="P1045" s="0" t="n">
        <v>5.08</v>
      </c>
      <c r="Q1045" s="0" t="n">
        <v>4.37</v>
      </c>
      <c r="R1045" s="0" t="n">
        <v>4211</v>
      </c>
      <c r="S1045" s="0" t="n">
        <v>8818</v>
      </c>
      <c r="T1045" s="0" t="n">
        <v>47.35</v>
      </c>
      <c r="U1045" s="0" t="n">
        <v>1082</v>
      </c>
      <c r="V1045" s="0" t="n">
        <v>7</v>
      </c>
      <c r="W1045" s="39" t="n">
        <f aca="false">IF(I1045="Male",0,1)</f>
        <v>1</v>
      </c>
      <c r="X1045" s="39" t="n">
        <f aca="false">IF(OR(I1045="DNB",I1045="Dry DNB"),1,0)</f>
        <v>0</v>
      </c>
      <c r="Y1045" s="39" t="n">
        <f aca="false">MATCH(A1045,DATAS,0)</f>
        <v>1</v>
      </c>
      <c r="Z1045" s="39" t="n">
        <f aca="false">IF(AND(E1045&gt;0,OR(AND(B1045&gt;=1,B1045&lt;=6),B1045=10)),1,0)</f>
        <v>1</v>
      </c>
      <c r="AA1045" s="39" t="n">
        <f aca="false">IF(AND(E1045&gt;0,B1045=10),1,0)</f>
        <v>0</v>
      </c>
      <c r="AB1045" s="0" t="str">
        <f aca="false">IF(AND(C1044=C1045,Y1044=Y1045-1),Z1044,"")</f>
        <v/>
      </c>
      <c r="AC1045" s="0" t="str">
        <f aca="false">IF(AND(C1044=C1045,Y1044=Y1045-1),AA1044,"")</f>
        <v/>
      </c>
      <c r="AD1045" s="0" t="str">
        <f aca="false">IF(Y1045=1,"",IF(AND(Z1045=1,AB1045&lt;&gt;1),1,0))</f>
        <v/>
      </c>
      <c r="AE1045" s="0" t="str">
        <f aca="false">IF(Y1045=1,"",IF(AND(AA1045=1,AC1045&lt;&gt;1),1,0))</f>
        <v/>
      </c>
      <c r="AF1045" s="45" t="str">
        <f aca="false">IF(AND(E1045&gt;0,Y1045&lt;1,NOT(AND(C1046=C1045,Y1046=Y1045+1))),INDEX(DATAS,Y1045+1),"")</f>
        <v/>
      </c>
      <c r="AG1045" s="45" t="str">
        <f aca="false">IF(AND(AA1045=1,Y1045&lt;1),IF(AND(C1046=C1045,Y1046=Y1045+1),IF(AA1046=1,"",INDEX(DATAS,Y1045+1)),INDEX(DATAS,Y1045+1)),"")</f>
        <v/>
      </c>
    </row>
    <row r="1046" customFormat="false" ht="15" hidden="false" customHeight="false" outlineLevel="0" collapsed="false">
      <c r="A1046" s="45" t="n">
        <v>46309</v>
      </c>
      <c r="B1046" s="0" t="n">
        <v>5</v>
      </c>
      <c r="C1046" s="0" t="n">
        <v>5059</v>
      </c>
      <c r="D1046" s="0" t="n">
        <v>84</v>
      </c>
      <c r="E1046" s="0" t="n">
        <v>2</v>
      </c>
      <c r="F1046" s="39" t="s">
        <v>739</v>
      </c>
      <c r="G1046" s="0" t="n">
        <v>47.4</v>
      </c>
      <c r="H1046" s="0" t="n">
        <v>46</v>
      </c>
      <c r="I1046" s="39" t="s">
        <v>138</v>
      </c>
      <c r="J1046" s="0" t="n">
        <v>84</v>
      </c>
      <c r="K1046" s="0" t="n">
        <v>63</v>
      </c>
      <c r="M1046" s="0" t="n">
        <v>1070.45</v>
      </c>
      <c r="N1046" s="0" t="n">
        <v>64.89</v>
      </c>
      <c r="O1046" s="0" t="n">
        <v>36.37</v>
      </c>
      <c r="P1046" s="0" t="n">
        <v>5</v>
      </c>
      <c r="Q1046" s="0" t="n">
        <v>3.77</v>
      </c>
      <c r="R1046" s="0" t="n">
        <v>3175</v>
      </c>
      <c r="S1046" s="0" t="n">
        <v>6382</v>
      </c>
      <c r="U1046" s="0" t="n">
        <v>1080</v>
      </c>
      <c r="V1046" s="0" t="n">
        <v>1</v>
      </c>
      <c r="W1046" s="39" t="n">
        <f aca="false">IF(I1046="Male",0,1)</f>
        <v>1</v>
      </c>
      <c r="X1046" s="39" t="n">
        <f aca="false">IF(OR(I1046="DNB",I1046="Dry DNB"),1,0)</f>
        <v>0</v>
      </c>
      <c r="Y1046" s="39" t="n">
        <f aca="false">MATCH(A1046,DATAS,0)</f>
        <v>1</v>
      </c>
      <c r="Z1046" s="39" t="n">
        <f aca="false">IF(AND(E1046&gt;0,OR(AND(B1046&gt;=1,B1046&lt;=6),B1046=10)),1,0)</f>
        <v>1</v>
      </c>
      <c r="AA1046" s="39" t="n">
        <f aca="false">IF(AND(E1046&gt;0,B1046=10),1,0)</f>
        <v>0</v>
      </c>
      <c r="AB1046" s="0" t="str">
        <f aca="false">IF(AND(C1045=C1046,Y1045=Y1046-1),Z1045,"")</f>
        <v/>
      </c>
      <c r="AC1046" s="0" t="str">
        <f aca="false">IF(AND(C1045=C1046,Y1045=Y1046-1),AA1045,"")</f>
        <v/>
      </c>
      <c r="AD1046" s="0" t="str">
        <f aca="false">IF(Y1046=1,"",IF(AND(Z1046=1,AB1046&lt;&gt;1),1,0))</f>
        <v/>
      </c>
      <c r="AE1046" s="0" t="str">
        <f aca="false">IF(Y1046=1,"",IF(AND(AA1046=1,AC1046&lt;&gt;1),1,0))</f>
        <v/>
      </c>
      <c r="AF1046" s="45" t="str">
        <f aca="false">IF(AND(E1046&gt;0,Y1046&lt;1,NOT(AND(C1047=C1046,Y1047=Y1046+1))),INDEX(DATAS,Y1046+1),"")</f>
        <v/>
      </c>
      <c r="AG1046" s="45" t="str">
        <f aca="false">IF(AND(AA1046=1,Y1046&lt;1),IF(AND(C1047=C1046,Y1047=Y1046+1),IF(AA1047=1,"",INDEX(DATAS,Y1046+1)),INDEX(DATAS,Y1046+1)),"")</f>
        <v/>
      </c>
    </row>
    <row r="1047" customFormat="false" ht="15" hidden="false" customHeight="false" outlineLevel="0" collapsed="false">
      <c r="A1047" s="45" t="n">
        <v>46309</v>
      </c>
      <c r="B1047" s="0" t="n">
        <v>5</v>
      </c>
      <c r="C1047" s="0" t="n">
        <v>5060</v>
      </c>
      <c r="D1047" s="0" t="n">
        <v>134</v>
      </c>
      <c r="E1047" s="0" t="n">
        <v>2</v>
      </c>
      <c r="F1047" s="39" t="s">
        <v>740</v>
      </c>
      <c r="G1047" s="0" t="n">
        <v>45.1</v>
      </c>
      <c r="H1047" s="0" t="n">
        <v>38</v>
      </c>
      <c r="I1047" s="39" t="s">
        <v>146</v>
      </c>
      <c r="J1047" s="0" t="n">
        <v>134</v>
      </c>
      <c r="K1047" s="0" t="n">
        <v>71</v>
      </c>
      <c r="M1047" s="0" t="n">
        <v>470.89</v>
      </c>
      <c r="N1047" s="0" t="n">
        <v>15.8</v>
      </c>
      <c r="O1047" s="0" t="n">
        <v>20.19</v>
      </c>
      <c r="P1047" s="0" t="n">
        <v>3.59</v>
      </c>
      <c r="Q1047" s="0" t="n">
        <v>3.22</v>
      </c>
      <c r="R1047" s="0" t="n">
        <v>3236</v>
      </c>
      <c r="S1047" s="0" t="n">
        <v>6753</v>
      </c>
      <c r="T1047" s="0" t="n">
        <v>38</v>
      </c>
      <c r="U1047" s="0" t="n">
        <v>1079</v>
      </c>
      <c r="V1047" s="0" t="n">
        <v>3</v>
      </c>
      <c r="W1047" s="39" t="n">
        <f aca="false">IF(I1047="Male",0,1)</f>
        <v>1</v>
      </c>
      <c r="X1047" s="39" t="n">
        <f aca="false">IF(OR(I1047="DNB",I1047="Dry DNB"),1,0)</f>
        <v>0</v>
      </c>
      <c r="Y1047" s="39" t="n">
        <f aca="false">MATCH(A1047,DATAS,0)</f>
        <v>1</v>
      </c>
      <c r="Z1047" s="39" t="n">
        <f aca="false">IF(AND(E1047&gt;0,OR(AND(B1047&gt;=1,B1047&lt;=6),B1047=10)),1,0)</f>
        <v>1</v>
      </c>
      <c r="AA1047" s="39" t="n">
        <f aca="false">IF(AND(E1047&gt;0,B1047=10),1,0)</f>
        <v>0</v>
      </c>
      <c r="AB1047" s="0" t="str">
        <f aca="false">IF(AND(C1046=C1047,Y1046=Y1047-1),Z1046,"")</f>
        <v/>
      </c>
      <c r="AC1047" s="0" t="str">
        <f aca="false">IF(AND(C1046=C1047,Y1046=Y1047-1),AA1046,"")</f>
        <v/>
      </c>
      <c r="AD1047" s="0" t="str">
        <f aca="false">IF(Y1047=1,"",IF(AND(Z1047=1,AB1047&lt;&gt;1),1,0))</f>
        <v/>
      </c>
      <c r="AE1047" s="0" t="str">
        <f aca="false">IF(Y1047=1,"",IF(AND(AA1047=1,AC1047&lt;&gt;1),1,0))</f>
        <v/>
      </c>
      <c r="AF1047" s="45" t="str">
        <f aca="false">IF(AND(E1047&gt;0,Y1047&lt;1,NOT(AND(C1048=C1047,Y1048=Y1047+1))),INDEX(DATAS,Y1047+1),"")</f>
        <v/>
      </c>
      <c r="AG1047" s="45" t="str">
        <f aca="false">IF(AND(AA1047=1,Y1047&lt;1),IF(AND(C1048=C1047,Y1048=Y1047+1),IF(AA1048=1,"",INDEX(DATAS,Y1047+1)),INDEX(DATAS,Y1047+1)),"")</f>
        <v/>
      </c>
    </row>
    <row r="1048" customFormat="false" ht="15" hidden="false" customHeight="false" outlineLevel="0" collapsed="false">
      <c r="A1048" s="45" t="n">
        <v>46309</v>
      </c>
      <c r="B1048" s="0" t="n">
        <v>2</v>
      </c>
      <c r="C1048" s="0" t="n">
        <v>5061</v>
      </c>
      <c r="D1048" s="0" t="n">
        <v>118</v>
      </c>
      <c r="E1048" s="0" t="n">
        <v>2</v>
      </c>
      <c r="F1048" s="39" t="s">
        <v>740</v>
      </c>
      <c r="G1048" s="0" t="n">
        <v>56.9</v>
      </c>
      <c r="H1048" s="0" t="n">
        <v>58</v>
      </c>
      <c r="I1048" s="39" t="s">
        <v>138</v>
      </c>
      <c r="J1048" s="0" t="n">
        <v>118</v>
      </c>
      <c r="K1048" s="0" t="n">
        <v>70</v>
      </c>
      <c r="M1048" s="0" t="n">
        <v>661.79</v>
      </c>
      <c r="N1048" s="0" t="n">
        <v>59.01</v>
      </c>
      <c r="O1048" s="0" t="n">
        <v>39.73</v>
      </c>
      <c r="P1048" s="0" t="n">
        <v>3.73</v>
      </c>
      <c r="Q1048" s="0" t="n">
        <v>3.42</v>
      </c>
      <c r="R1048" s="0" t="n">
        <v>5377</v>
      </c>
      <c r="S1048" s="0" t="n">
        <v>10932</v>
      </c>
      <c r="T1048" s="0" t="n">
        <v>59.6</v>
      </c>
      <c r="U1048" s="0" t="n">
        <v>1079</v>
      </c>
      <c r="V1048" s="0" t="n">
        <v>2</v>
      </c>
      <c r="W1048" s="39" t="n">
        <f aca="false">IF(I1048="Male",0,1)</f>
        <v>1</v>
      </c>
      <c r="X1048" s="39" t="n">
        <f aca="false">IF(OR(I1048="DNB",I1048="Dry DNB"),1,0)</f>
        <v>0</v>
      </c>
      <c r="Y1048" s="39" t="n">
        <f aca="false">MATCH(A1048,DATAS,0)</f>
        <v>1</v>
      </c>
      <c r="Z1048" s="39" t="n">
        <f aca="false">IF(AND(E1048&gt;0,OR(AND(B1048&gt;=1,B1048&lt;=6),B1048=10)),1,0)</f>
        <v>1</v>
      </c>
      <c r="AA1048" s="39" t="n">
        <f aca="false">IF(AND(E1048&gt;0,B1048=10),1,0)</f>
        <v>0</v>
      </c>
      <c r="AB1048" s="0" t="str">
        <f aca="false">IF(AND(C1047=C1048,Y1047=Y1048-1),Z1047,"")</f>
        <v/>
      </c>
      <c r="AC1048" s="0" t="str">
        <f aca="false">IF(AND(C1047=C1048,Y1047=Y1048-1),AA1047,"")</f>
        <v/>
      </c>
      <c r="AD1048" s="0" t="str">
        <f aca="false">IF(Y1048=1,"",IF(AND(Z1048=1,AB1048&lt;&gt;1),1,0))</f>
        <v/>
      </c>
      <c r="AE1048" s="0" t="str">
        <f aca="false">IF(Y1048=1,"",IF(AND(AA1048=1,AC1048&lt;&gt;1),1,0))</f>
        <v/>
      </c>
      <c r="AF1048" s="45" t="str">
        <f aca="false">IF(AND(E1048&gt;0,Y1048&lt;1,NOT(AND(C1049=C1048,Y1049=Y1048+1))),INDEX(DATAS,Y1048+1),"")</f>
        <v/>
      </c>
      <c r="AG1048" s="45" t="str">
        <f aca="false">IF(AND(AA1048=1,Y1048&lt;1),IF(AND(C1049=C1048,Y1049=Y1048+1),IF(AA1049=1,"",INDEX(DATAS,Y1048+1)),INDEX(DATAS,Y1048+1)),"")</f>
        <v/>
      </c>
    </row>
    <row r="1049" customFormat="false" ht="15" hidden="false" customHeight="false" outlineLevel="0" collapsed="false">
      <c r="A1049" s="45" t="n">
        <v>46309</v>
      </c>
      <c r="B1049" s="0" t="n">
        <v>5</v>
      </c>
      <c r="C1049" s="0" t="n">
        <v>5063</v>
      </c>
      <c r="D1049" s="0" t="n">
        <v>421</v>
      </c>
      <c r="E1049" s="0" t="n">
        <v>1</v>
      </c>
      <c r="F1049" s="39" t="s">
        <v>741</v>
      </c>
      <c r="G1049" s="0" t="n">
        <v>35.8</v>
      </c>
      <c r="H1049" s="0" t="n">
        <v>34</v>
      </c>
      <c r="I1049" s="39" t="s">
        <v>109</v>
      </c>
      <c r="J1049" s="0" t="n">
        <v>323</v>
      </c>
      <c r="K1049" s="0" t="n">
        <v>57</v>
      </c>
      <c r="L1049" s="0" t="n">
        <v>98</v>
      </c>
      <c r="M1049" s="0" t="n">
        <v>941.42</v>
      </c>
      <c r="N1049" s="0" t="n">
        <v>47.87</v>
      </c>
      <c r="O1049" s="0" t="n">
        <v>34.1</v>
      </c>
      <c r="P1049" s="0" t="n">
        <v>4.57</v>
      </c>
      <c r="Q1049" s="0" t="n">
        <v>3.88</v>
      </c>
      <c r="R1049" s="0" t="n">
        <v>4235</v>
      </c>
      <c r="S1049" s="0" t="n">
        <v>9132</v>
      </c>
      <c r="T1049" s="0" t="n">
        <v>45.85</v>
      </c>
      <c r="U1049" s="0" t="n">
        <v>1078</v>
      </c>
      <c r="V1049" s="0" t="n">
        <v>4</v>
      </c>
      <c r="W1049" s="39" t="n">
        <f aca="false">IF(I1049="Male",0,1)</f>
        <v>1</v>
      </c>
      <c r="X1049" s="39" t="n">
        <f aca="false">IF(OR(I1049="DNB",I1049="Dry DNB"),1,0)</f>
        <v>0</v>
      </c>
      <c r="Y1049" s="39" t="n">
        <f aca="false">MATCH(A1049,DATAS,0)</f>
        <v>1</v>
      </c>
      <c r="Z1049" s="39" t="n">
        <f aca="false">IF(AND(E1049&gt;0,OR(AND(B1049&gt;=1,B1049&lt;=6),B1049=10)),1,0)</f>
        <v>1</v>
      </c>
      <c r="AA1049" s="39" t="n">
        <f aca="false">IF(AND(E1049&gt;0,B1049=10),1,0)</f>
        <v>0</v>
      </c>
      <c r="AB1049" s="0" t="str">
        <f aca="false">IF(AND(C1048=C1049,Y1048=Y1049-1),Z1048,"")</f>
        <v/>
      </c>
      <c r="AC1049" s="0" t="str">
        <f aca="false">IF(AND(C1048=C1049,Y1048=Y1049-1),AA1048,"")</f>
        <v/>
      </c>
      <c r="AD1049" s="0" t="str">
        <f aca="false">IF(Y1049=1,"",IF(AND(Z1049=1,AB1049&lt;&gt;1),1,0))</f>
        <v/>
      </c>
      <c r="AE1049" s="0" t="str">
        <f aca="false">IF(Y1049=1,"",IF(AND(AA1049=1,AC1049&lt;&gt;1),1,0))</f>
        <v/>
      </c>
      <c r="AF1049" s="45" t="str">
        <f aca="false">IF(AND(E1049&gt;0,Y1049&lt;1,NOT(AND(C1050=C1049,Y1050=Y1049+1))),INDEX(DATAS,Y1049+1),"")</f>
        <v/>
      </c>
      <c r="AG1049" s="45" t="str">
        <f aca="false">IF(AND(AA1049=1,Y1049&lt;1),IF(AND(C1050=C1049,Y1050=Y1049+1),IF(AA1050=1,"",INDEX(DATAS,Y1049+1)),INDEX(DATAS,Y1049+1)),"")</f>
        <v/>
      </c>
    </row>
    <row r="1050" customFormat="false" ht="15" hidden="false" customHeight="false" outlineLevel="0" collapsed="false">
      <c r="A1050" s="45" t="n">
        <v>46309</v>
      </c>
      <c r="B1050" s="0" t="n">
        <v>5</v>
      </c>
      <c r="C1050" s="0" t="n">
        <v>5064</v>
      </c>
      <c r="D1050" s="0" t="n">
        <v>87</v>
      </c>
      <c r="E1050" s="0" t="n">
        <v>2</v>
      </c>
      <c r="F1050" s="39" t="s">
        <v>741</v>
      </c>
      <c r="G1050" s="0" t="n">
        <v>38</v>
      </c>
      <c r="H1050" s="0" t="n">
        <v>43</v>
      </c>
      <c r="I1050" s="39" t="s">
        <v>138</v>
      </c>
      <c r="J1050" s="0" t="n">
        <v>87</v>
      </c>
      <c r="K1050" s="0" t="n">
        <v>66</v>
      </c>
      <c r="M1050" s="0" t="n">
        <v>505.47</v>
      </c>
      <c r="N1050" s="0" t="n">
        <v>84.16</v>
      </c>
      <c r="O1050" s="0" t="n">
        <v>27.01</v>
      </c>
      <c r="P1050" s="0" t="n">
        <v>4.17</v>
      </c>
      <c r="Q1050" s="0" t="n">
        <v>3.55</v>
      </c>
      <c r="R1050" s="0" t="n">
        <v>3795</v>
      </c>
      <c r="S1050" s="0" t="n">
        <v>7628</v>
      </c>
      <c r="U1050" s="0" t="n">
        <v>1078</v>
      </c>
      <c r="V1050" s="0" t="n">
        <v>2</v>
      </c>
      <c r="W1050" s="39" t="n">
        <f aca="false">IF(I1050="Male",0,1)</f>
        <v>1</v>
      </c>
      <c r="X1050" s="39" t="n">
        <f aca="false">IF(OR(I1050="DNB",I1050="Dry DNB"),1,0)</f>
        <v>0</v>
      </c>
      <c r="Y1050" s="39" t="n">
        <f aca="false">MATCH(A1050,DATAS,0)</f>
        <v>1</v>
      </c>
      <c r="Z1050" s="39" t="n">
        <f aca="false">IF(AND(E1050&gt;0,OR(AND(B1050&gt;=1,B1050&lt;=6),B1050=10)),1,0)</f>
        <v>1</v>
      </c>
      <c r="AA1050" s="39" t="n">
        <f aca="false">IF(AND(E1050&gt;0,B1050=10),1,0)</f>
        <v>0</v>
      </c>
      <c r="AB1050" s="0" t="str">
        <f aca="false">IF(AND(C1049=C1050,Y1049=Y1050-1),Z1049,"")</f>
        <v/>
      </c>
      <c r="AC1050" s="0" t="str">
        <f aca="false">IF(AND(C1049=C1050,Y1049=Y1050-1),AA1049,"")</f>
        <v/>
      </c>
      <c r="AD1050" s="0" t="str">
        <f aca="false">IF(Y1050=1,"",IF(AND(Z1050=1,AB1050&lt;&gt;1),1,0))</f>
        <v/>
      </c>
      <c r="AE1050" s="0" t="str">
        <f aca="false">IF(Y1050=1,"",IF(AND(AA1050=1,AC1050&lt;&gt;1),1,0))</f>
        <v/>
      </c>
      <c r="AF1050" s="45" t="str">
        <f aca="false">IF(AND(E1050&gt;0,Y1050&lt;1,NOT(AND(C1051=C1050,Y1051=Y1050+1))),INDEX(DATAS,Y1050+1),"")</f>
        <v/>
      </c>
      <c r="AG1050" s="45" t="str">
        <f aca="false">IF(AND(AA1050=1,Y1050&lt;1),IF(AND(C1051=C1050,Y1051=Y1050+1),IF(AA1051=1,"",INDEX(DATAS,Y1050+1)),INDEX(DATAS,Y1050+1)),"")</f>
        <v/>
      </c>
    </row>
    <row r="1051" customFormat="false" ht="15" hidden="false" customHeight="false" outlineLevel="0" collapsed="false">
      <c r="A1051" s="45" t="n">
        <v>46309</v>
      </c>
      <c r="B1051" s="0" t="n">
        <v>3</v>
      </c>
      <c r="C1051" s="0" t="n">
        <v>5065</v>
      </c>
      <c r="D1051" s="0" t="n">
        <v>47</v>
      </c>
      <c r="E1051" s="0" t="n">
        <v>2</v>
      </c>
      <c r="F1051" s="39" t="s">
        <v>741</v>
      </c>
      <c r="G1051" s="0" t="n">
        <v>54.4</v>
      </c>
      <c r="H1051" s="0" t="n">
        <v>54</v>
      </c>
      <c r="I1051" s="39" t="s">
        <v>118</v>
      </c>
      <c r="J1051" s="0" t="n">
        <v>47</v>
      </c>
      <c r="M1051" s="0" t="n">
        <v>-163.64</v>
      </c>
      <c r="N1051" s="0" t="n">
        <v>56.29</v>
      </c>
      <c r="O1051" s="0" t="n">
        <v>18.82</v>
      </c>
      <c r="P1051" s="0" t="n">
        <v>3.9</v>
      </c>
      <c r="Q1051" s="0" t="n">
        <v>3.73</v>
      </c>
      <c r="R1051" s="0" t="n">
        <v>4399</v>
      </c>
      <c r="S1051" s="0" t="n">
        <v>8843</v>
      </c>
      <c r="U1051" s="0" t="n">
        <v>1078</v>
      </c>
      <c r="V1051" s="0" t="n">
        <v>0</v>
      </c>
      <c r="W1051" s="39" t="n">
        <f aca="false">IF(I1051="Male",0,1)</f>
        <v>1</v>
      </c>
      <c r="X1051" s="39" t="n">
        <f aca="false">IF(OR(I1051="DNB",I1051="Dry DNB"),1,0)</f>
        <v>0</v>
      </c>
      <c r="Y1051" s="39" t="n">
        <f aca="false">MATCH(A1051,DATAS,0)</f>
        <v>1</v>
      </c>
      <c r="Z1051" s="39" t="n">
        <f aca="false">IF(AND(E1051&gt;0,OR(AND(B1051&gt;=1,B1051&lt;=6),B1051=10)),1,0)</f>
        <v>1</v>
      </c>
      <c r="AA1051" s="39" t="n">
        <f aca="false">IF(AND(E1051&gt;0,B1051=10),1,0)</f>
        <v>0</v>
      </c>
      <c r="AB1051" s="0" t="str">
        <f aca="false">IF(AND(C1050=C1051,Y1050=Y1051-1),Z1050,"")</f>
        <v/>
      </c>
      <c r="AC1051" s="0" t="str">
        <f aca="false">IF(AND(C1050=C1051,Y1050=Y1051-1),AA1050,"")</f>
        <v/>
      </c>
      <c r="AD1051" s="0" t="str">
        <f aca="false">IF(Y1051=1,"",IF(AND(Z1051=1,AB1051&lt;&gt;1),1,0))</f>
        <v/>
      </c>
      <c r="AE1051" s="0" t="str">
        <f aca="false">IF(Y1051=1,"",IF(AND(AA1051=1,AC1051&lt;&gt;1),1,0))</f>
        <v/>
      </c>
      <c r="AF1051" s="45" t="str">
        <f aca="false">IF(AND(E1051&gt;0,Y1051&lt;1,NOT(AND(C1052=C1051,Y1052=Y1051+1))),INDEX(DATAS,Y1051+1),"")</f>
        <v/>
      </c>
      <c r="AG1051" s="45" t="str">
        <f aca="false">IF(AND(AA1051=1,Y1051&lt;1),IF(AND(C1052=C1051,Y1052=Y1051+1),IF(AA1052=1,"",INDEX(DATAS,Y1051+1)),INDEX(DATAS,Y1051+1)),"")</f>
        <v/>
      </c>
    </row>
    <row r="1052" customFormat="false" ht="15" hidden="false" customHeight="false" outlineLevel="0" collapsed="false">
      <c r="A1052" s="45" t="n">
        <v>46309</v>
      </c>
      <c r="B1052" s="0" t="n">
        <v>10</v>
      </c>
      <c r="C1052" s="0" t="n">
        <v>5067</v>
      </c>
      <c r="D1052" s="0" t="n">
        <v>62</v>
      </c>
      <c r="E1052" s="0" t="n">
        <v>2</v>
      </c>
      <c r="F1052" s="39" t="s">
        <v>742</v>
      </c>
      <c r="G1052" s="0" t="n">
        <v>49.6</v>
      </c>
      <c r="H1052" s="0" t="n">
        <v>49</v>
      </c>
      <c r="I1052" s="39" t="s">
        <v>118</v>
      </c>
      <c r="J1052" s="0" t="n">
        <v>62</v>
      </c>
      <c r="M1052" s="0" t="n">
        <v>539.56</v>
      </c>
      <c r="N1052" s="0" t="n">
        <v>47.98</v>
      </c>
      <c r="O1052" s="0" t="n">
        <v>40.46</v>
      </c>
      <c r="P1052" s="0" t="n">
        <v>3.17</v>
      </c>
      <c r="Q1052" s="0" t="n">
        <v>3.49</v>
      </c>
      <c r="R1052" s="0" t="n">
        <v>3980</v>
      </c>
      <c r="S1052" s="0" t="n">
        <v>8001</v>
      </c>
      <c r="U1052" s="0" t="n">
        <v>1076</v>
      </c>
      <c r="V1052" s="0" t="n">
        <v>0</v>
      </c>
      <c r="W1052" s="39" t="n">
        <f aca="false">IF(I1052="Male",0,1)</f>
        <v>1</v>
      </c>
      <c r="X1052" s="39" t="n">
        <f aca="false">IF(OR(I1052="DNB",I1052="Dry DNB"),1,0)</f>
        <v>0</v>
      </c>
      <c r="Y1052" s="39" t="n">
        <f aca="false">MATCH(A1052,DATAS,0)</f>
        <v>1</v>
      </c>
      <c r="Z1052" s="39" t="n">
        <f aca="false">IF(AND(E1052&gt;0,OR(AND(B1052&gt;=1,B1052&lt;=6),B1052=10)),1,0)</f>
        <v>1</v>
      </c>
      <c r="AA1052" s="39" t="n">
        <f aca="false">IF(AND(E1052&gt;0,B1052=10),1,0)</f>
        <v>1</v>
      </c>
      <c r="AB1052" s="0" t="str">
        <f aca="false">IF(AND(C1051=C1052,Y1051=Y1052-1),Z1051,"")</f>
        <v/>
      </c>
      <c r="AC1052" s="0" t="str">
        <f aca="false">IF(AND(C1051=C1052,Y1051=Y1052-1),AA1051,"")</f>
        <v/>
      </c>
      <c r="AD1052" s="0" t="str">
        <f aca="false">IF(Y1052=1,"",IF(AND(Z1052=1,AB1052&lt;&gt;1),1,0))</f>
        <v/>
      </c>
      <c r="AE1052" s="0" t="str">
        <f aca="false">IF(Y1052=1,"",IF(AND(AA1052=1,AC1052&lt;&gt;1),1,0))</f>
        <v/>
      </c>
      <c r="AF1052" s="45" t="str">
        <f aca="false">IF(AND(E1052&gt;0,Y1052&lt;1,NOT(AND(C1053=C1052,Y1053=Y1052+1))),INDEX(DATAS,Y1052+1),"")</f>
        <v/>
      </c>
      <c r="AG1052" s="45" t="str">
        <f aca="false">IF(AND(AA1052=1,Y1052&lt;1),IF(AND(C1053=C1052,Y1053=Y1052+1),IF(AA1053=1,"",INDEX(DATAS,Y1052+1)),INDEX(DATAS,Y1052+1)),"")</f>
        <v/>
      </c>
    </row>
    <row r="1053" customFormat="false" ht="15" hidden="false" customHeight="false" outlineLevel="0" collapsed="false">
      <c r="A1053" s="45" t="n">
        <v>46309</v>
      </c>
      <c r="B1053" s="0" t="n">
        <v>6</v>
      </c>
      <c r="C1053" s="0" t="n">
        <v>5068</v>
      </c>
      <c r="D1053" s="0" t="n">
        <v>351</v>
      </c>
      <c r="E1053" s="0" t="n">
        <v>1</v>
      </c>
      <c r="F1053" s="39" t="s">
        <v>742</v>
      </c>
      <c r="G1053" s="0" t="n">
        <v>32.5</v>
      </c>
      <c r="H1053" s="0" t="n">
        <v>29</v>
      </c>
      <c r="I1053" s="39" t="s">
        <v>138</v>
      </c>
      <c r="J1053" s="0" t="n">
        <v>351</v>
      </c>
      <c r="K1053" s="0" t="n">
        <v>65</v>
      </c>
      <c r="M1053" s="0" t="n">
        <v>1564.59</v>
      </c>
      <c r="N1053" s="0" t="n">
        <v>55.22</v>
      </c>
      <c r="O1053" s="0" t="n">
        <v>44.59</v>
      </c>
      <c r="P1053" s="0" t="n">
        <v>4.41</v>
      </c>
      <c r="Q1053" s="0" t="n">
        <v>3.66</v>
      </c>
      <c r="R1053" s="0" t="n">
        <v>4164</v>
      </c>
      <c r="S1053" s="0" t="n">
        <v>8984</v>
      </c>
      <c r="T1053" s="0" t="n">
        <v>47.4</v>
      </c>
      <c r="U1053" s="0" t="n">
        <v>1076</v>
      </c>
      <c r="V1053" s="0" t="n">
        <v>9</v>
      </c>
      <c r="W1053" s="39" t="n">
        <f aca="false">IF(I1053="Male",0,1)</f>
        <v>1</v>
      </c>
      <c r="X1053" s="39" t="n">
        <f aca="false">IF(OR(I1053="DNB",I1053="Dry DNB"),1,0)</f>
        <v>0</v>
      </c>
      <c r="Y1053" s="39" t="n">
        <f aca="false">MATCH(A1053,DATAS,0)</f>
        <v>1</v>
      </c>
      <c r="Z1053" s="39" t="n">
        <f aca="false">IF(AND(E1053&gt;0,OR(AND(B1053&gt;=1,B1053&lt;=6),B1053=10)),1,0)</f>
        <v>1</v>
      </c>
      <c r="AA1053" s="39" t="n">
        <f aca="false">IF(AND(E1053&gt;0,B1053=10),1,0)</f>
        <v>0</v>
      </c>
      <c r="AB1053" s="0" t="str">
        <f aca="false">IF(AND(C1052=C1053,Y1052=Y1053-1),Z1052,"")</f>
        <v/>
      </c>
      <c r="AC1053" s="0" t="str">
        <f aca="false">IF(AND(C1052=C1053,Y1052=Y1053-1),AA1052,"")</f>
        <v/>
      </c>
      <c r="AD1053" s="0" t="str">
        <f aca="false">IF(Y1053=1,"",IF(AND(Z1053=1,AB1053&lt;&gt;1),1,0))</f>
        <v/>
      </c>
      <c r="AE1053" s="0" t="str">
        <f aca="false">IF(Y1053=1,"",IF(AND(AA1053=1,AC1053&lt;&gt;1),1,0))</f>
        <v/>
      </c>
      <c r="AF1053" s="45" t="str">
        <f aca="false">IF(AND(E1053&gt;0,Y1053&lt;1,NOT(AND(C1054=C1053,Y1054=Y1053+1))),INDEX(DATAS,Y1053+1),"")</f>
        <v/>
      </c>
      <c r="AG1053" s="45" t="str">
        <f aca="false">IF(AND(AA1053=1,Y1053&lt;1),IF(AND(C1054=C1053,Y1054=Y1053+1),IF(AA1054=1,"",INDEX(DATAS,Y1053+1)),INDEX(DATAS,Y1053+1)),"")</f>
        <v/>
      </c>
    </row>
    <row r="1054" customFormat="false" ht="15" hidden="false" customHeight="false" outlineLevel="0" collapsed="false">
      <c r="A1054" s="45" t="n">
        <v>46309</v>
      </c>
      <c r="B1054" s="0" t="n">
        <v>7</v>
      </c>
      <c r="C1054" s="0" t="n">
        <v>5069</v>
      </c>
      <c r="D1054" s="0" t="n">
        <v>23</v>
      </c>
      <c r="E1054" s="0" t="n">
        <v>2</v>
      </c>
      <c r="F1054" s="39" t="s">
        <v>743</v>
      </c>
      <c r="I1054" s="39" t="s">
        <v>447</v>
      </c>
      <c r="J1054" s="0" t="n">
        <v>23</v>
      </c>
      <c r="K1054" s="0" t="n">
        <v>113</v>
      </c>
      <c r="M1054" s="0" t="n">
        <v>1272.65</v>
      </c>
      <c r="N1054" s="0" t="n">
        <v>21.63</v>
      </c>
      <c r="O1054" s="0" t="n">
        <v>39.03</v>
      </c>
      <c r="P1054" s="0" t="n">
        <v>0</v>
      </c>
      <c r="Q1054" s="0" t="n">
        <v>0</v>
      </c>
      <c r="R1054" s="0" t="n">
        <v>1305</v>
      </c>
      <c r="S1054" s="0" t="n">
        <v>2624</v>
      </c>
      <c r="U1054" s="0" t="n">
        <v>1075</v>
      </c>
      <c r="V1054" s="0" t="n">
        <v>1</v>
      </c>
      <c r="W1054" s="39" t="n">
        <f aca="false">IF(I1054="Male",0,1)</f>
        <v>1</v>
      </c>
      <c r="X1054" s="39" t="n">
        <f aca="false">IF(OR(I1054="DNB",I1054="Dry DNB"),1,0)</f>
        <v>0</v>
      </c>
      <c r="Y1054" s="39" t="n">
        <f aca="false">MATCH(A1054,DATAS,0)</f>
        <v>1</v>
      </c>
      <c r="Z1054" s="39" t="n">
        <f aca="false">IF(AND(E1054&gt;0,OR(AND(B1054&gt;=1,B1054&lt;=6),B1054=10)),1,0)</f>
        <v>0</v>
      </c>
      <c r="AA1054" s="39" t="n">
        <f aca="false">IF(AND(E1054&gt;0,B1054=10),1,0)</f>
        <v>0</v>
      </c>
      <c r="AB1054" s="0" t="str">
        <f aca="false">IF(AND(C1053=C1054,Y1053=Y1054-1),Z1053,"")</f>
        <v/>
      </c>
      <c r="AC1054" s="0" t="str">
        <f aca="false">IF(AND(C1053=C1054,Y1053=Y1054-1),AA1053,"")</f>
        <v/>
      </c>
      <c r="AD1054" s="0" t="str">
        <f aca="false">IF(Y1054=1,"",IF(AND(Z1054=1,AB1054&lt;&gt;1),1,0))</f>
        <v/>
      </c>
      <c r="AE1054" s="0" t="str">
        <f aca="false">IF(Y1054=1,"",IF(AND(AA1054=1,AC1054&lt;&gt;1),1,0))</f>
        <v/>
      </c>
      <c r="AF1054" s="45" t="str">
        <f aca="false">IF(AND(E1054&gt;0,Y1054&lt;1,NOT(AND(C1055=C1054,Y1055=Y1054+1))),INDEX(DATAS,Y1054+1),"")</f>
        <v/>
      </c>
      <c r="AG1054" s="45" t="str">
        <f aca="false">IF(AND(AA1054=1,Y1054&lt;1),IF(AND(C1055=C1054,Y1055=Y1054+1),IF(AA1055=1,"",INDEX(DATAS,Y1054+1)),INDEX(DATAS,Y1054+1)),"")</f>
        <v/>
      </c>
    </row>
    <row r="1055" customFormat="false" ht="15" hidden="false" customHeight="false" outlineLevel="0" collapsed="false">
      <c r="A1055" s="45" t="n">
        <v>46309</v>
      </c>
      <c r="B1055" s="0" t="n">
        <v>2</v>
      </c>
      <c r="C1055" s="0" t="n">
        <v>5070</v>
      </c>
      <c r="D1055" s="0" t="n">
        <v>87</v>
      </c>
      <c r="E1055" s="0" t="n">
        <v>2</v>
      </c>
      <c r="F1055" s="39" t="s">
        <v>743</v>
      </c>
      <c r="G1055" s="0" t="n">
        <v>45.3</v>
      </c>
      <c r="H1055" s="0" t="n">
        <v>48</v>
      </c>
      <c r="I1055" s="39" t="s">
        <v>138</v>
      </c>
      <c r="J1055" s="0" t="n">
        <v>87</v>
      </c>
      <c r="K1055" s="0" t="n">
        <v>66</v>
      </c>
      <c r="M1055" s="0" t="n">
        <v>428.64</v>
      </c>
      <c r="N1055" s="0" t="n">
        <v>45.06</v>
      </c>
      <c r="O1055" s="0" t="n">
        <v>37.36</v>
      </c>
      <c r="P1055" s="0" t="n">
        <v>3.79</v>
      </c>
      <c r="Q1055" s="0" t="n">
        <v>3.2</v>
      </c>
      <c r="R1055" s="0" t="n">
        <v>5072</v>
      </c>
      <c r="S1055" s="0" t="n">
        <v>10195</v>
      </c>
      <c r="U1055" s="0" t="n">
        <v>1075</v>
      </c>
      <c r="V1055" s="0" t="n">
        <v>1</v>
      </c>
      <c r="W1055" s="39" t="n">
        <f aca="false">IF(I1055="Male",0,1)</f>
        <v>1</v>
      </c>
      <c r="X1055" s="39" t="n">
        <f aca="false">IF(OR(I1055="DNB",I1055="Dry DNB"),1,0)</f>
        <v>0</v>
      </c>
      <c r="Y1055" s="39" t="n">
        <f aca="false">MATCH(A1055,DATAS,0)</f>
        <v>1</v>
      </c>
      <c r="Z1055" s="39" t="n">
        <f aca="false">IF(AND(E1055&gt;0,OR(AND(B1055&gt;=1,B1055&lt;=6),B1055=10)),1,0)</f>
        <v>1</v>
      </c>
      <c r="AA1055" s="39" t="n">
        <f aca="false">IF(AND(E1055&gt;0,B1055=10),1,0)</f>
        <v>0</v>
      </c>
      <c r="AB1055" s="0" t="str">
        <f aca="false">IF(AND(C1054=C1055,Y1054=Y1055-1),Z1054,"")</f>
        <v/>
      </c>
      <c r="AC1055" s="0" t="str">
        <f aca="false">IF(AND(C1054=C1055,Y1054=Y1055-1),AA1054,"")</f>
        <v/>
      </c>
      <c r="AD1055" s="0" t="str">
        <f aca="false">IF(Y1055=1,"",IF(AND(Z1055=1,AB1055&lt;&gt;1),1,0))</f>
        <v/>
      </c>
      <c r="AE1055" s="0" t="str">
        <f aca="false">IF(Y1055=1,"",IF(AND(AA1055=1,AC1055&lt;&gt;1),1,0))</f>
        <v/>
      </c>
      <c r="AF1055" s="45" t="str">
        <f aca="false">IF(AND(E1055&gt;0,Y1055&lt;1,NOT(AND(C1056=C1055,Y1056=Y1055+1))),INDEX(DATAS,Y1055+1),"")</f>
        <v/>
      </c>
      <c r="AG1055" s="45" t="str">
        <f aca="false">IF(AND(AA1055=1,Y1055&lt;1),IF(AND(C1056=C1055,Y1056=Y1055+1),IF(AA1056=1,"",INDEX(DATAS,Y1055+1)),INDEX(DATAS,Y1055+1)),"")</f>
        <v/>
      </c>
    </row>
    <row r="1056" customFormat="false" ht="15" hidden="false" customHeight="false" outlineLevel="0" collapsed="false">
      <c r="A1056" s="45" t="n">
        <v>46309</v>
      </c>
      <c r="B1056" s="0" t="n">
        <v>4</v>
      </c>
      <c r="C1056" s="0" t="n">
        <v>5071</v>
      </c>
      <c r="D1056" s="0" t="n">
        <v>295</v>
      </c>
      <c r="E1056" s="0" t="n">
        <v>1</v>
      </c>
      <c r="F1056" s="39" t="s">
        <v>743</v>
      </c>
      <c r="G1056" s="0" t="n">
        <v>45.5</v>
      </c>
      <c r="H1056" s="0" t="n">
        <v>45</v>
      </c>
      <c r="I1056" s="39" t="s">
        <v>109</v>
      </c>
      <c r="J1056" s="0" t="n">
        <v>194</v>
      </c>
      <c r="K1056" s="0" t="n">
        <v>64</v>
      </c>
      <c r="L1056" s="0" t="n">
        <v>101</v>
      </c>
      <c r="M1056" s="0" t="n">
        <v>608.74</v>
      </c>
      <c r="N1056" s="0" t="n">
        <v>81.51</v>
      </c>
      <c r="O1056" s="0" t="n">
        <v>31.67</v>
      </c>
      <c r="P1056" s="0" t="n">
        <v>3.48</v>
      </c>
      <c r="Q1056" s="0" t="n">
        <v>3.85</v>
      </c>
      <c r="R1056" s="0" t="n">
        <v>4274</v>
      </c>
      <c r="S1056" s="0" t="n">
        <v>9519</v>
      </c>
      <c r="T1056" s="0" t="n">
        <v>46.65</v>
      </c>
      <c r="U1056" s="0" t="n">
        <v>1075</v>
      </c>
      <c r="V1056" s="0" t="n">
        <v>5</v>
      </c>
      <c r="W1056" s="39" t="n">
        <f aca="false">IF(I1056="Male",0,1)</f>
        <v>1</v>
      </c>
      <c r="X1056" s="39" t="n">
        <f aca="false">IF(OR(I1056="DNB",I1056="Dry DNB"),1,0)</f>
        <v>0</v>
      </c>
      <c r="Y1056" s="39" t="n">
        <f aca="false">MATCH(A1056,DATAS,0)</f>
        <v>1</v>
      </c>
      <c r="Z1056" s="39" t="n">
        <f aca="false">IF(AND(E1056&gt;0,OR(AND(B1056&gt;=1,B1056&lt;=6),B1056=10)),1,0)</f>
        <v>1</v>
      </c>
      <c r="AA1056" s="39" t="n">
        <f aca="false">IF(AND(E1056&gt;0,B1056=10),1,0)</f>
        <v>0</v>
      </c>
      <c r="AB1056" s="0" t="str">
        <f aca="false">IF(AND(C1055=C1056,Y1055=Y1056-1),Z1055,"")</f>
        <v/>
      </c>
      <c r="AC1056" s="0" t="str">
        <f aca="false">IF(AND(C1055=C1056,Y1055=Y1056-1),AA1055,"")</f>
        <v/>
      </c>
      <c r="AD1056" s="0" t="str">
        <f aca="false">IF(Y1056=1,"",IF(AND(Z1056=1,AB1056&lt;&gt;1),1,0))</f>
        <v/>
      </c>
      <c r="AE1056" s="0" t="str">
        <f aca="false">IF(Y1056=1,"",IF(AND(AA1056=1,AC1056&lt;&gt;1),1,0))</f>
        <v/>
      </c>
      <c r="AF1056" s="45" t="str">
        <f aca="false">IF(AND(E1056&gt;0,Y1056&lt;1,NOT(AND(C1057=C1056,Y1057=Y1056+1))),INDEX(DATAS,Y1056+1),"")</f>
        <v/>
      </c>
      <c r="AG1056" s="45" t="str">
        <f aca="false">IF(AND(AA1056=1,Y1056&lt;1),IF(AND(C1057=C1056,Y1057=Y1056+1),IF(AA1057=1,"",INDEX(DATAS,Y1056+1)),INDEX(DATAS,Y1056+1)),"")</f>
        <v/>
      </c>
    </row>
    <row r="1057" customFormat="false" ht="15" hidden="false" customHeight="false" outlineLevel="0" collapsed="false">
      <c r="A1057" s="45" t="n">
        <v>46309</v>
      </c>
      <c r="B1057" s="0" t="n">
        <v>7</v>
      </c>
      <c r="C1057" s="0" t="n">
        <v>5072</v>
      </c>
      <c r="D1057" s="0" t="n">
        <v>369</v>
      </c>
      <c r="E1057" s="0" t="n">
        <v>1</v>
      </c>
      <c r="F1057" s="39" t="s">
        <v>743</v>
      </c>
      <c r="I1057" s="39" t="s">
        <v>114</v>
      </c>
      <c r="J1057" s="0" t="n">
        <v>148</v>
      </c>
      <c r="K1057" s="0" t="n">
        <v>69</v>
      </c>
      <c r="L1057" s="0" t="n">
        <v>243</v>
      </c>
      <c r="M1057" s="0" t="n">
        <v>256.5</v>
      </c>
      <c r="N1057" s="0" t="n">
        <v>54.64</v>
      </c>
      <c r="O1057" s="0" t="n">
        <v>39.26</v>
      </c>
      <c r="P1057" s="0" t="n">
        <v>5.15</v>
      </c>
      <c r="Q1057" s="0" t="n">
        <v>4.69</v>
      </c>
      <c r="R1057" s="0" t="n">
        <v>4079</v>
      </c>
      <c r="S1057" s="0" t="n">
        <v>8710</v>
      </c>
      <c r="T1057" s="0" t="n">
        <v>46.45</v>
      </c>
      <c r="U1057" s="0" t="n">
        <v>1075</v>
      </c>
      <c r="V1057" s="0" t="n">
        <v>4</v>
      </c>
      <c r="W1057" s="39" t="n">
        <f aca="false">IF(I1057="Male",0,1)</f>
        <v>1</v>
      </c>
      <c r="X1057" s="39" t="n">
        <f aca="false">IF(OR(I1057="DNB",I1057="Dry DNB"),1,0)</f>
        <v>0</v>
      </c>
      <c r="Y1057" s="39" t="n">
        <f aca="false">MATCH(A1057,DATAS,0)</f>
        <v>1</v>
      </c>
      <c r="Z1057" s="39" t="n">
        <f aca="false">IF(AND(E1057&gt;0,OR(AND(B1057&gt;=1,B1057&lt;=6),B1057=10)),1,0)</f>
        <v>0</v>
      </c>
      <c r="AA1057" s="39" t="n">
        <f aca="false">IF(AND(E1057&gt;0,B1057=10),1,0)</f>
        <v>0</v>
      </c>
      <c r="AB1057" s="0" t="str">
        <f aca="false">IF(AND(C1056=C1057,Y1056=Y1057-1),Z1056,"")</f>
        <v/>
      </c>
      <c r="AC1057" s="0" t="str">
        <f aca="false">IF(AND(C1056=C1057,Y1056=Y1057-1),AA1056,"")</f>
        <v/>
      </c>
      <c r="AD1057" s="0" t="str">
        <f aca="false">IF(Y1057=1,"",IF(AND(Z1057=1,AB1057&lt;&gt;1),1,0))</f>
        <v/>
      </c>
      <c r="AE1057" s="0" t="str">
        <f aca="false">IF(Y1057=1,"",IF(AND(AA1057=1,AC1057&lt;&gt;1),1,0))</f>
        <v/>
      </c>
      <c r="AF1057" s="45" t="str">
        <f aca="false">IF(AND(E1057&gt;0,Y1057&lt;1,NOT(AND(C1058=C1057,Y1058=Y1057+1))),INDEX(DATAS,Y1057+1),"")</f>
        <v/>
      </c>
      <c r="AG1057" s="45" t="str">
        <f aca="false">IF(AND(AA1057=1,Y1057&lt;1),IF(AND(C1058=C1057,Y1058=Y1057+1),IF(AA1058=1,"",INDEX(DATAS,Y1057+1)),INDEX(DATAS,Y1057+1)),"")</f>
        <v/>
      </c>
    </row>
    <row r="1058" customFormat="false" ht="15" hidden="false" customHeight="false" outlineLevel="0" collapsed="false">
      <c r="A1058" s="45" t="n">
        <v>46309</v>
      </c>
      <c r="B1058" s="0" t="n">
        <v>4</v>
      </c>
      <c r="C1058" s="0" t="n">
        <v>5074</v>
      </c>
      <c r="D1058" s="0" t="n">
        <v>245</v>
      </c>
      <c r="E1058" s="0" t="n">
        <v>1</v>
      </c>
      <c r="F1058" s="39" t="s">
        <v>744</v>
      </c>
      <c r="G1058" s="0" t="n">
        <v>45.6</v>
      </c>
      <c r="H1058" s="0" t="n">
        <v>46</v>
      </c>
      <c r="I1058" s="39" t="s">
        <v>96</v>
      </c>
      <c r="J1058" s="0" t="n">
        <v>245</v>
      </c>
      <c r="M1058" s="0" t="n">
        <v>224.68</v>
      </c>
      <c r="N1058" s="0" t="n">
        <v>41.18</v>
      </c>
      <c r="O1058" s="0" t="n">
        <v>26.06</v>
      </c>
      <c r="P1058" s="0" t="n">
        <v>3.4</v>
      </c>
      <c r="Q1058" s="0" t="n">
        <v>3.73</v>
      </c>
      <c r="R1058" s="0" t="n">
        <v>3436</v>
      </c>
      <c r="S1058" s="0" t="n">
        <v>7902</v>
      </c>
      <c r="T1058" s="0" t="n">
        <v>41.15</v>
      </c>
      <c r="U1058" s="0" t="n">
        <v>1073</v>
      </c>
      <c r="V1058" s="0" t="n">
        <v>0</v>
      </c>
      <c r="W1058" s="39" t="n">
        <f aca="false">IF(I1058="Male",0,1)</f>
        <v>1</v>
      </c>
      <c r="X1058" s="39" t="n">
        <f aca="false">IF(OR(I1058="DNB",I1058="Dry DNB"),1,0)</f>
        <v>1</v>
      </c>
      <c r="Y1058" s="39" t="n">
        <f aca="false">MATCH(A1058,DATAS,0)</f>
        <v>1</v>
      </c>
      <c r="Z1058" s="39" t="n">
        <f aca="false">IF(AND(E1058&gt;0,OR(AND(B1058&gt;=1,B1058&lt;=6),B1058=10)),1,0)</f>
        <v>1</v>
      </c>
      <c r="AA1058" s="39" t="n">
        <f aca="false">IF(AND(E1058&gt;0,B1058=10),1,0)</f>
        <v>0</v>
      </c>
      <c r="AB1058" s="0" t="str">
        <f aca="false">IF(AND(C1057=C1058,Y1057=Y1058-1),Z1057,"")</f>
        <v/>
      </c>
      <c r="AC1058" s="0" t="str">
        <f aca="false">IF(AND(C1057=C1058,Y1057=Y1058-1),AA1057,"")</f>
        <v/>
      </c>
      <c r="AD1058" s="0" t="str">
        <f aca="false">IF(Y1058=1,"",IF(AND(Z1058=1,AB1058&lt;&gt;1),1,0))</f>
        <v/>
      </c>
      <c r="AE1058" s="0" t="str">
        <f aca="false">IF(Y1058=1,"",IF(AND(AA1058=1,AC1058&lt;&gt;1),1,0))</f>
        <v/>
      </c>
      <c r="AF1058" s="45" t="str">
        <f aca="false">IF(AND(E1058&gt;0,Y1058&lt;1,NOT(AND(C1059=C1058,Y1059=Y1058+1))),INDEX(DATAS,Y1058+1),"")</f>
        <v/>
      </c>
      <c r="AG1058" s="45" t="str">
        <f aca="false">IF(AND(AA1058=1,Y1058&lt;1),IF(AND(C1059=C1058,Y1059=Y1058+1),IF(AA1059=1,"",INDEX(DATAS,Y1058+1)),INDEX(DATAS,Y1058+1)),"")</f>
        <v/>
      </c>
    </row>
    <row r="1059" customFormat="false" ht="15" hidden="false" customHeight="false" outlineLevel="0" collapsed="false">
      <c r="A1059" s="45" t="n">
        <v>46309</v>
      </c>
      <c r="B1059" s="0" t="n">
        <v>5</v>
      </c>
      <c r="C1059" s="0" t="n">
        <v>5075</v>
      </c>
      <c r="D1059" s="0" t="n">
        <v>436</v>
      </c>
      <c r="E1059" s="0" t="n">
        <v>1</v>
      </c>
      <c r="F1059" s="39" t="s">
        <v>744</v>
      </c>
      <c r="G1059" s="0" t="n">
        <v>43.4</v>
      </c>
      <c r="H1059" s="0" t="n">
        <v>43</v>
      </c>
      <c r="I1059" s="39" t="s">
        <v>109</v>
      </c>
      <c r="J1059" s="0" t="n">
        <v>282</v>
      </c>
      <c r="K1059" s="0" t="n">
        <v>65</v>
      </c>
      <c r="L1059" s="0" t="n">
        <v>154</v>
      </c>
      <c r="M1059" s="0" t="n">
        <v>755.42</v>
      </c>
      <c r="N1059" s="0" t="n">
        <v>66.02</v>
      </c>
      <c r="O1059" s="0" t="n">
        <v>46.97</v>
      </c>
      <c r="P1059" s="0" t="n">
        <v>4.21</v>
      </c>
      <c r="Q1059" s="0" t="n">
        <v>4.13</v>
      </c>
      <c r="R1059" s="0" t="n">
        <v>4218</v>
      </c>
      <c r="S1059" s="0" t="n">
        <v>9154</v>
      </c>
      <c r="T1059" s="0" t="n">
        <v>45.6</v>
      </c>
      <c r="U1059" s="0" t="n">
        <v>1073</v>
      </c>
      <c r="V1059" s="0" t="n">
        <v>7</v>
      </c>
      <c r="W1059" s="39" t="n">
        <f aca="false">IF(I1059="Male",0,1)</f>
        <v>1</v>
      </c>
      <c r="X1059" s="39" t="n">
        <f aca="false">IF(OR(I1059="DNB",I1059="Dry DNB"),1,0)</f>
        <v>0</v>
      </c>
      <c r="Y1059" s="39" t="n">
        <f aca="false">MATCH(A1059,DATAS,0)</f>
        <v>1</v>
      </c>
      <c r="Z1059" s="39" t="n">
        <f aca="false">IF(AND(E1059&gt;0,OR(AND(B1059&gt;=1,B1059&lt;=6),B1059=10)),1,0)</f>
        <v>1</v>
      </c>
      <c r="AA1059" s="39" t="n">
        <f aca="false">IF(AND(E1059&gt;0,B1059=10),1,0)</f>
        <v>0</v>
      </c>
      <c r="AB1059" s="0" t="str">
        <f aca="false">IF(AND(C1058=C1059,Y1058=Y1059-1),Z1058,"")</f>
        <v/>
      </c>
      <c r="AC1059" s="0" t="str">
        <f aca="false">IF(AND(C1058=C1059,Y1058=Y1059-1),AA1058,"")</f>
        <v/>
      </c>
      <c r="AD1059" s="0" t="str">
        <f aca="false">IF(Y1059=1,"",IF(AND(Z1059=1,AB1059&lt;&gt;1),1,0))</f>
        <v/>
      </c>
      <c r="AE1059" s="0" t="str">
        <f aca="false">IF(Y1059=1,"",IF(AND(AA1059=1,AC1059&lt;&gt;1),1,0))</f>
        <v/>
      </c>
      <c r="AF1059" s="45" t="str">
        <f aca="false">IF(AND(E1059&gt;0,Y1059&lt;1,NOT(AND(C1060=C1059,Y1060=Y1059+1))),INDEX(DATAS,Y1059+1),"")</f>
        <v/>
      </c>
      <c r="AG1059" s="45" t="str">
        <f aca="false">IF(AND(AA1059=1,Y1059&lt;1),IF(AND(C1060=C1059,Y1060=Y1059+1),IF(AA1060=1,"",INDEX(DATAS,Y1059+1)),INDEX(DATAS,Y1059+1)),"")</f>
        <v/>
      </c>
    </row>
    <row r="1060" customFormat="false" ht="15" hidden="false" customHeight="false" outlineLevel="0" collapsed="false">
      <c r="A1060" s="45" t="n">
        <v>46309</v>
      </c>
      <c r="B1060" s="0" t="n">
        <v>10</v>
      </c>
      <c r="C1060" s="0" t="n">
        <v>5076</v>
      </c>
      <c r="D1060" s="0" t="n">
        <v>311</v>
      </c>
      <c r="E1060" s="0" t="n">
        <v>1</v>
      </c>
      <c r="F1060" s="39" t="s">
        <v>745</v>
      </c>
      <c r="G1060" s="0" t="n">
        <v>25</v>
      </c>
      <c r="H1060" s="0" t="n">
        <v>26</v>
      </c>
      <c r="I1060" s="39" t="s">
        <v>96</v>
      </c>
      <c r="J1060" s="0" t="n">
        <v>311</v>
      </c>
      <c r="K1060" s="0" t="n">
        <v>66</v>
      </c>
      <c r="M1060" s="0" t="n">
        <v>1168.54</v>
      </c>
      <c r="N1060" s="0" t="n">
        <v>33.72</v>
      </c>
      <c r="O1060" s="0" t="n">
        <v>45.34</v>
      </c>
      <c r="P1060" s="0" t="n">
        <v>4.68</v>
      </c>
      <c r="Q1060" s="0" t="n">
        <v>3.66</v>
      </c>
      <c r="R1060" s="0" t="n">
        <v>2393</v>
      </c>
      <c r="S1060" s="0" t="n">
        <v>5186</v>
      </c>
      <c r="T1060" s="0" t="n">
        <v>24.15</v>
      </c>
      <c r="U1060" s="0" t="n">
        <v>1072</v>
      </c>
      <c r="V1060" s="0" t="n">
        <v>3</v>
      </c>
      <c r="W1060" s="39" t="n">
        <f aca="false">IF(I1060="Male",0,1)</f>
        <v>1</v>
      </c>
      <c r="X1060" s="39" t="n">
        <f aca="false">IF(OR(I1060="DNB",I1060="Dry DNB"),1,0)</f>
        <v>1</v>
      </c>
      <c r="Y1060" s="39" t="n">
        <f aca="false">MATCH(A1060,DATAS,0)</f>
        <v>1</v>
      </c>
      <c r="Z1060" s="39" t="n">
        <f aca="false">IF(AND(E1060&gt;0,OR(AND(B1060&gt;=1,B1060&lt;=6),B1060=10)),1,0)</f>
        <v>1</v>
      </c>
      <c r="AA1060" s="39" t="n">
        <f aca="false">IF(AND(E1060&gt;0,B1060=10),1,0)</f>
        <v>1</v>
      </c>
      <c r="AB1060" s="0" t="str">
        <f aca="false">IF(AND(C1059=C1060,Y1059=Y1060-1),Z1059,"")</f>
        <v/>
      </c>
      <c r="AC1060" s="0" t="str">
        <f aca="false">IF(AND(C1059=C1060,Y1059=Y1060-1),AA1059,"")</f>
        <v/>
      </c>
      <c r="AD1060" s="0" t="str">
        <f aca="false">IF(Y1060=1,"",IF(AND(Z1060=1,AB1060&lt;&gt;1),1,0))</f>
        <v/>
      </c>
      <c r="AE1060" s="0" t="str">
        <f aca="false">IF(Y1060=1,"",IF(AND(AA1060=1,AC1060&lt;&gt;1),1,0))</f>
        <v/>
      </c>
      <c r="AF1060" s="45" t="str">
        <f aca="false">IF(AND(E1060&gt;0,Y1060&lt;1,NOT(AND(C1061=C1060,Y1061=Y1060+1))),INDEX(DATAS,Y1060+1),"")</f>
        <v/>
      </c>
      <c r="AG1060" s="45" t="str">
        <f aca="false">IF(AND(AA1060=1,Y1060&lt;1),IF(AND(C1061=C1060,Y1061=Y1060+1),IF(AA1061=1,"",INDEX(DATAS,Y1060+1)),INDEX(DATAS,Y1060+1)),"")</f>
        <v/>
      </c>
    </row>
    <row r="1061" customFormat="false" ht="15" hidden="false" customHeight="false" outlineLevel="0" collapsed="false">
      <c r="A1061" s="45" t="n">
        <v>46309</v>
      </c>
      <c r="B1061" s="0" t="n">
        <v>6</v>
      </c>
      <c r="C1061" s="0" t="n">
        <v>5077</v>
      </c>
      <c r="D1061" s="0" t="n">
        <v>413</v>
      </c>
      <c r="E1061" s="0" t="n">
        <v>1</v>
      </c>
      <c r="F1061" s="39" t="s">
        <v>745</v>
      </c>
      <c r="G1061" s="0" t="n">
        <v>24.7</v>
      </c>
      <c r="H1061" s="0" t="n">
        <v>24</v>
      </c>
      <c r="I1061" s="39" t="s">
        <v>109</v>
      </c>
      <c r="J1061" s="0" t="n">
        <v>343</v>
      </c>
      <c r="K1061" s="0" t="n">
        <v>63</v>
      </c>
      <c r="L1061" s="0" t="n">
        <v>70</v>
      </c>
      <c r="M1061" s="0" t="n">
        <v>1138.86</v>
      </c>
      <c r="N1061" s="0" t="n">
        <v>53.9</v>
      </c>
      <c r="O1061" s="0" t="n">
        <v>30.73</v>
      </c>
      <c r="P1061" s="0" t="n">
        <v>5.42</v>
      </c>
      <c r="Q1061" s="0" t="n">
        <v>4.2</v>
      </c>
      <c r="R1061" s="0" t="n">
        <v>3772</v>
      </c>
      <c r="S1061" s="0" t="n">
        <v>7622</v>
      </c>
      <c r="T1061" s="0" t="n">
        <v>44.45</v>
      </c>
      <c r="U1061" s="0" t="n">
        <v>1072</v>
      </c>
      <c r="V1061" s="0" t="n">
        <v>7</v>
      </c>
      <c r="W1061" s="39" t="n">
        <f aca="false">IF(I1061="Male",0,1)</f>
        <v>1</v>
      </c>
      <c r="X1061" s="39" t="n">
        <f aca="false">IF(OR(I1061="DNB",I1061="Dry DNB"),1,0)</f>
        <v>0</v>
      </c>
      <c r="Y1061" s="39" t="n">
        <f aca="false">MATCH(A1061,DATAS,0)</f>
        <v>1</v>
      </c>
      <c r="Z1061" s="39" t="n">
        <f aca="false">IF(AND(E1061&gt;0,OR(AND(B1061&gt;=1,B1061&lt;=6),B1061=10)),1,0)</f>
        <v>1</v>
      </c>
      <c r="AA1061" s="39" t="n">
        <f aca="false">IF(AND(E1061&gt;0,B1061=10),1,0)</f>
        <v>0</v>
      </c>
      <c r="AB1061" s="0" t="str">
        <f aca="false">IF(AND(C1060=C1061,Y1060=Y1061-1),Z1060,"")</f>
        <v/>
      </c>
      <c r="AC1061" s="0" t="str">
        <f aca="false">IF(AND(C1060=C1061,Y1060=Y1061-1),AA1060,"")</f>
        <v/>
      </c>
      <c r="AD1061" s="0" t="str">
        <f aca="false">IF(Y1061=1,"",IF(AND(Z1061=1,AB1061&lt;&gt;1),1,0))</f>
        <v/>
      </c>
      <c r="AE1061" s="0" t="str">
        <f aca="false">IF(Y1061=1,"",IF(AND(AA1061=1,AC1061&lt;&gt;1),1,0))</f>
        <v/>
      </c>
      <c r="AF1061" s="45" t="str">
        <f aca="false">IF(AND(E1061&gt;0,Y1061&lt;1,NOT(AND(C1062=C1061,Y1062=Y1061+1))),INDEX(DATAS,Y1061+1),"")</f>
        <v/>
      </c>
      <c r="AG1061" s="45" t="str">
        <f aca="false">IF(AND(AA1061=1,Y1061&lt;1),IF(AND(C1062=C1061,Y1062=Y1061+1),IF(AA1062=1,"",INDEX(DATAS,Y1061+1)),INDEX(DATAS,Y1061+1)),"")</f>
        <v/>
      </c>
    </row>
    <row r="1062" customFormat="false" ht="15" hidden="false" customHeight="false" outlineLevel="0" collapsed="false">
      <c r="A1062" s="45" t="n">
        <v>46309</v>
      </c>
      <c r="B1062" s="0" t="n">
        <v>5</v>
      </c>
      <c r="C1062" s="0" t="n">
        <v>5078</v>
      </c>
      <c r="D1062" s="0" t="n">
        <v>98</v>
      </c>
      <c r="E1062" s="0" t="n">
        <v>2</v>
      </c>
      <c r="F1062" s="39" t="s">
        <v>745</v>
      </c>
      <c r="G1062" s="0" t="n">
        <v>50.2</v>
      </c>
      <c r="H1062" s="0" t="n">
        <v>45</v>
      </c>
      <c r="I1062" s="39" t="s">
        <v>109</v>
      </c>
      <c r="J1062" s="0" t="n">
        <v>63</v>
      </c>
      <c r="K1062" s="0" t="n">
        <v>63</v>
      </c>
      <c r="L1062" s="0" t="n">
        <v>35</v>
      </c>
      <c r="M1062" s="0" t="n">
        <v>186.31</v>
      </c>
      <c r="N1062" s="0" t="n">
        <v>75.15</v>
      </c>
      <c r="O1062" s="0" t="n">
        <v>21.91</v>
      </c>
      <c r="P1062" s="0" t="n">
        <v>5.9</v>
      </c>
      <c r="Q1062" s="0" t="n">
        <v>3.48</v>
      </c>
      <c r="R1062" s="0" t="n">
        <v>4438</v>
      </c>
      <c r="S1062" s="0" t="n">
        <v>8922</v>
      </c>
      <c r="T1062" s="0" t="n">
        <v>46.25</v>
      </c>
      <c r="U1062" s="0" t="n">
        <v>1072</v>
      </c>
      <c r="V1062" s="0" t="n">
        <v>1</v>
      </c>
      <c r="W1062" s="39" t="n">
        <f aca="false">IF(I1062="Male",0,1)</f>
        <v>1</v>
      </c>
      <c r="X1062" s="39" t="n">
        <f aca="false">IF(OR(I1062="DNB",I1062="Dry DNB"),1,0)</f>
        <v>0</v>
      </c>
      <c r="Y1062" s="39" t="n">
        <f aca="false">MATCH(A1062,DATAS,0)</f>
        <v>1</v>
      </c>
      <c r="Z1062" s="39" t="n">
        <f aca="false">IF(AND(E1062&gt;0,OR(AND(B1062&gt;=1,B1062&lt;=6),B1062=10)),1,0)</f>
        <v>1</v>
      </c>
      <c r="AA1062" s="39" t="n">
        <f aca="false">IF(AND(E1062&gt;0,B1062=10),1,0)</f>
        <v>0</v>
      </c>
      <c r="AB1062" s="0" t="str">
        <f aca="false">IF(AND(C1061=C1062,Y1061=Y1062-1),Z1061,"")</f>
        <v/>
      </c>
      <c r="AC1062" s="0" t="str">
        <f aca="false">IF(AND(C1061=C1062,Y1061=Y1062-1),AA1061,"")</f>
        <v/>
      </c>
      <c r="AD1062" s="0" t="str">
        <f aca="false">IF(Y1062=1,"",IF(AND(Z1062=1,AB1062&lt;&gt;1),1,0))</f>
        <v/>
      </c>
      <c r="AE1062" s="0" t="str">
        <f aca="false">IF(Y1062=1,"",IF(AND(AA1062=1,AC1062&lt;&gt;1),1,0))</f>
        <v/>
      </c>
      <c r="AF1062" s="45" t="str">
        <f aca="false">IF(AND(E1062&gt;0,Y1062&lt;1,NOT(AND(C1063=C1062,Y1063=Y1062+1))),INDEX(DATAS,Y1062+1),"")</f>
        <v/>
      </c>
      <c r="AG1062" s="45" t="str">
        <f aca="false">IF(AND(AA1062=1,Y1062&lt;1),IF(AND(C1063=C1062,Y1063=Y1062+1),IF(AA1063=1,"",INDEX(DATAS,Y1062+1)),INDEX(DATAS,Y1062+1)),"")</f>
        <v/>
      </c>
    </row>
    <row r="1063" customFormat="false" ht="15" hidden="false" customHeight="false" outlineLevel="0" collapsed="false">
      <c r="A1063" s="45" t="n">
        <v>46309</v>
      </c>
      <c r="B1063" s="0" t="n">
        <v>5</v>
      </c>
      <c r="C1063" s="0" t="n">
        <v>5079</v>
      </c>
      <c r="D1063" s="0" t="n">
        <v>64</v>
      </c>
      <c r="E1063" s="0" t="n">
        <v>2</v>
      </c>
      <c r="F1063" s="39" t="s">
        <v>746</v>
      </c>
      <c r="G1063" s="0" t="n">
        <v>45</v>
      </c>
      <c r="H1063" s="0" t="n">
        <v>40</v>
      </c>
      <c r="I1063" s="39" t="s">
        <v>118</v>
      </c>
      <c r="J1063" s="0" t="n">
        <v>64</v>
      </c>
      <c r="M1063" s="0" t="n">
        <v>-36.02</v>
      </c>
      <c r="N1063" s="0" t="n">
        <v>12.31</v>
      </c>
      <c r="O1063" s="0" t="n">
        <v>19.9</v>
      </c>
      <c r="P1063" s="0" t="n">
        <v>2.77</v>
      </c>
      <c r="Q1063" s="0" t="n">
        <v>3.28</v>
      </c>
      <c r="R1063" s="0" t="n">
        <v>4270</v>
      </c>
      <c r="S1063" s="0" t="n">
        <v>8584</v>
      </c>
      <c r="U1063" s="0" t="n">
        <v>1070</v>
      </c>
      <c r="V1063" s="0" t="n">
        <v>0</v>
      </c>
      <c r="W1063" s="39" t="n">
        <f aca="false">IF(I1063="Male",0,1)</f>
        <v>1</v>
      </c>
      <c r="X1063" s="39" t="n">
        <f aca="false">IF(OR(I1063="DNB",I1063="Dry DNB"),1,0)</f>
        <v>0</v>
      </c>
      <c r="Y1063" s="39" t="n">
        <f aca="false">MATCH(A1063,DATAS,0)</f>
        <v>1</v>
      </c>
      <c r="Z1063" s="39" t="n">
        <f aca="false">IF(AND(E1063&gt;0,OR(AND(B1063&gt;=1,B1063&lt;=6),B1063=10)),1,0)</f>
        <v>1</v>
      </c>
      <c r="AA1063" s="39" t="n">
        <f aca="false">IF(AND(E1063&gt;0,B1063=10),1,0)</f>
        <v>0</v>
      </c>
      <c r="AB1063" s="0" t="str">
        <f aca="false">IF(AND(C1062=C1063,Y1062=Y1063-1),Z1062,"")</f>
        <v/>
      </c>
      <c r="AC1063" s="0" t="str">
        <f aca="false">IF(AND(C1062=C1063,Y1062=Y1063-1),AA1062,"")</f>
        <v/>
      </c>
      <c r="AD1063" s="0" t="str">
        <f aca="false">IF(Y1063=1,"",IF(AND(Z1063=1,AB1063&lt;&gt;1),1,0))</f>
        <v/>
      </c>
      <c r="AE1063" s="0" t="str">
        <f aca="false">IF(Y1063=1,"",IF(AND(AA1063=1,AC1063&lt;&gt;1),1,0))</f>
        <v/>
      </c>
      <c r="AF1063" s="45" t="str">
        <f aca="false">IF(AND(E1063&gt;0,Y1063&lt;1,NOT(AND(C1064=C1063,Y1064=Y1063+1))),INDEX(DATAS,Y1063+1),"")</f>
        <v/>
      </c>
      <c r="AG1063" s="45" t="str">
        <f aca="false">IF(AND(AA1063=1,Y1063&lt;1),IF(AND(C1064=C1063,Y1064=Y1063+1),IF(AA1064=1,"",INDEX(DATAS,Y1063+1)),INDEX(DATAS,Y1063+1)),"")</f>
        <v/>
      </c>
    </row>
    <row r="1064" customFormat="false" ht="15" hidden="false" customHeight="false" outlineLevel="0" collapsed="false">
      <c r="A1064" s="45" t="n">
        <v>46309</v>
      </c>
      <c r="B1064" s="0" t="n">
        <v>14</v>
      </c>
      <c r="C1064" s="0" t="n">
        <v>5081</v>
      </c>
      <c r="D1064" s="0" t="n">
        <v>361</v>
      </c>
      <c r="E1064" s="0" t="n">
        <v>1</v>
      </c>
      <c r="F1064" s="39" t="s">
        <v>746</v>
      </c>
      <c r="I1064" s="39" t="s">
        <v>114</v>
      </c>
      <c r="J1064" s="0" t="n">
        <v>138</v>
      </c>
      <c r="K1064" s="0" t="n">
        <v>68</v>
      </c>
      <c r="L1064" s="0" t="n">
        <v>273</v>
      </c>
      <c r="M1064" s="0" t="n">
        <v>2.71</v>
      </c>
      <c r="N1064" s="0" t="n">
        <v>68.72</v>
      </c>
      <c r="O1064" s="0" t="n">
        <v>23.64</v>
      </c>
      <c r="P1064" s="0" t="n">
        <v>6.66</v>
      </c>
      <c r="Q1064" s="0" t="n">
        <v>3.94</v>
      </c>
      <c r="R1064" s="0" t="n">
        <v>3473</v>
      </c>
      <c r="S1064" s="0" t="n">
        <v>7577</v>
      </c>
      <c r="T1064" s="0" t="n">
        <v>35.85</v>
      </c>
      <c r="U1064" s="0" t="n">
        <v>1070</v>
      </c>
      <c r="V1064" s="0" t="n">
        <v>3</v>
      </c>
      <c r="W1064" s="39" t="n">
        <f aca="false">IF(I1064="Male",0,1)</f>
        <v>1</v>
      </c>
      <c r="X1064" s="39" t="n">
        <f aca="false">IF(OR(I1064="DNB",I1064="Dry DNB"),1,0)</f>
        <v>0</v>
      </c>
      <c r="Y1064" s="39" t="n">
        <f aca="false">MATCH(A1064,DATAS,0)</f>
        <v>1</v>
      </c>
      <c r="Z1064" s="39" t="n">
        <f aca="false">IF(AND(E1064&gt;0,OR(AND(B1064&gt;=1,B1064&lt;=6),B1064=10)),1,0)</f>
        <v>0</v>
      </c>
      <c r="AA1064" s="39" t="n">
        <f aca="false">IF(AND(E1064&gt;0,B1064=10),1,0)</f>
        <v>0</v>
      </c>
      <c r="AB1064" s="0" t="str">
        <f aca="false">IF(AND(C1063=C1064,Y1063=Y1064-1),Z1063,"")</f>
        <v/>
      </c>
      <c r="AC1064" s="0" t="str">
        <f aca="false">IF(AND(C1063=C1064,Y1063=Y1064-1),AA1063,"")</f>
        <v/>
      </c>
      <c r="AD1064" s="0" t="str">
        <f aca="false">IF(Y1064=1,"",IF(AND(Z1064=1,AB1064&lt;&gt;1),1,0))</f>
        <v/>
      </c>
      <c r="AE1064" s="0" t="str">
        <f aca="false">IF(Y1064=1,"",IF(AND(AA1064=1,AC1064&lt;&gt;1),1,0))</f>
        <v/>
      </c>
      <c r="AF1064" s="45" t="str">
        <f aca="false">IF(AND(E1064&gt;0,Y1064&lt;1,NOT(AND(C1065=C1064,Y1065=Y1064+1))),INDEX(DATAS,Y1064+1),"")</f>
        <v/>
      </c>
      <c r="AG1064" s="45" t="str">
        <f aca="false">IF(AND(AA1064=1,Y1064&lt;1),IF(AND(C1065=C1064,Y1065=Y1064+1),IF(AA1065=1,"",INDEX(DATAS,Y1064+1)),INDEX(DATAS,Y1064+1)),"")</f>
        <v/>
      </c>
    </row>
    <row r="1065" customFormat="false" ht="15" hidden="false" customHeight="false" outlineLevel="0" collapsed="false">
      <c r="A1065" s="45" t="n">
        <v>46309</v>
      </c>
      <c r="B1065" s="0" t="n">
        <v>5</v>
      </c>
      <c r="C1065" s="0" t="n">
        <v>5082</v>
      </c>
      <c r="D1065" s="0" t="n">
        <v>97</v>
      </c>
      <c r="E1065" s="0" t="n">
        <v>2</v>
      </c>
      <c r="F1065" s="39" t="s">
        <v>747</v>
      </c>
      <c r="G1065" s="0" t="n">
        <v>44</v>
      </c>
      <c r="H1065" s="0" t="n">
        <v>41</v>
      </c>
      <c r="I1065" s="39" t="s">
        <v>109</v>
      </c>
      <c r="J1065" s="0" t="n">
        <v>62</v>
      </c>
      <c r="K1065" s="0" t="n">
        <v>62</v>
      </c>
      <c r="L1065" s="0" t="n">
        <v>35</v>
      </c>
      <c r="M1065" s="0" t="n">
        <v>-471.42</v>
      </c>
      <c r="N1065" s="0" t="n">
        <v>83.17</v>
      </c>
      <c r="O1065" s="0" t="n">
        <v>22.6</v>
      </c>
      <c r="P1065" s="0" t="n">
        <v>4.59</v>
      </c>
      <c r="Q1065" s="0" t="n">
        <v>3.92</v>
      </c>
      <c r="R1065" s="0" t="n">
        <v>3680</v>
      </c>
      <c r="S1065" s="0" t="n">
        <v>7397</v>
      </c>
      <c r="T1065" s="0" t="n">
        <v>39.25</v>
      </c>
      <c r="U1065" s="0" t="n">
        <v>1069</v>
      </c>
      <c r="V1065" s="0" t="n">
        <v>1</v>
      </c>
      <c r="W1065" s="39" t="n">
        <f aca="false">IF(I1065="Male",0,1)</f>
        <v>1</v>
      </c>
      <c r="X1065" s="39" t="n">
        <f aca="false">IF(OR(I1065="DNB",I1065="Dry DNB"),1,0)</f>
        <v>0</v>
      </c>
      <c r="Y1065" s="39" t="n">
        <f aca="false">MATCH(A1065,DATAS,0)</f>
        <v>1</v>
      </c>
      <c r="Z1065" s="39" t="n">
        <f aca="false">IF(AND(E1065&gt;0,OR(AND(B1065&gt;=1,B1065&lt;=6),B1065=10)),1,0)</f>
        <v>1</v>
      </c>
      <c r="AA1065" s="39" t="n">
        <f aca="false">IF(AND(E1065&gt;0,B1065=10),1,0)</f>
        <v>0</v>
      </c>
      <c r="AB1065" s="0" t="str">
        <f aca="false">IF(AND(C1064=C1065,Y1064=Y1065-1),Z1064,"")</f>
        <v/>
      </c>
      <c r="AC1065" s="0" t="str">
        <f aca="false">IF(AND(C1064=C1065,Y1064=Y1065-1),AA1064,"")</f>
        <v/>
      </c>
      <c r="AD1065" s="0" t="str">
        <f aca="false">IF(Y1065=1,"",IF(AND(Z1065=1,AB1065&lt;&gt;1),1,0))</f>
        <v/>
      </c>
      <c r="AE1065" s="0" t="str">
        <f aca="false">IF(Y1065=1,"",IF(AND(AA1065=1,AC1065&lt;&gt;1),1,0))</f>
        <v/>
      </c>
      <c r="AF1065" s="45" t="str">
        <f aca="false">IF(AND(E1065&gt;0,Y1065&lt;1,NOT(AND(C1066=C1065,Y1066=Y1065+1))),INDEX(DATAS,Y1065+1),"")</f>
        <v/>
      </c>
      <c r="AG1065" s="45" t="str">
        <f aca="false">IF(AND(AA1065=1,Y1065&lt;1),IF(AND(C1066=C1065,Y1066=Y1065+1),IF(AA1066=1,"",INDEX(DATAS,Y1065+1)),INDEX(DATAS,Y1065+1)),"")</f>
        <v/>
      </c>
    </row>
    <row r="1066" customFormat="false" ht="15" hidden="false" customHeight="false" outlineLevel="0" collapsed="false">
      <c r="A1066" s="45" t="n">
        <v>46309</v>
      </c>
      <c r="B1066" s="0" t="n">
        <v>3</v>
      </c>
      <c r="C1066" s="0" t="n">
        <v>5083</v>
      </c>
      <c r="D1066" s="0" t="n">
        <v>109</v>
      </c>
      <c r="E1066" s="0" t="n">
        <v>2</v>
      </c>
      <c r="F1066" s="39" t="s">
        <v>747</v>
      </c>
      <c r="G1066" s="0" t="n">
        <v>56.6</v>
      </c>
      <c r="H1066" s="0" t="n">
        <v>65</v>
      </c>
      <c r="I1066" s="39" t="s">
        <v>146</v>
      </c>
      <c r="J1066" s="0" t="n">
        <v>109</v>
      </c>
      <c r="K1066" s="0" t="n">
        <v>67</v>
      </c>
      <c r="M1066" s="0" t="n">
        <v>917.25</v>
      </c>
      <c r="N1066" s="0" t="n">
        <v>40.95</v>
      </c>
      <c r="O1066" s="0" t="n">
        <v>36.17</v>
      </c>
      <c r="P1066" s="0" t="n">
        <v>3.59</v>
      </c>
      <c r="Q1066" s="0" t="n">
        <v>3.09</v>
      </c>
      <c r="R1066" s="0" t="n">
        <v>6448</v>
      </c>
      <c r="S1066" s="0" t="n">
        <v>13038</v>
      </c>
      <c r="T1066" s="0" t="n">
        <v>72.95</v>
      </c>
      <c r="U1066" s="0" t="n">
        <v>1069</v>
      </c>
      <c r="V1066" s="0" t="n">
        <v>1</v>
      </c>
      <c r="W1066" s="39" t="n">
        <f aca="false">IF(I1066="Male",0,1)</f>
        <v>1</v>
      </c>
      <c r="X1066" s="39" t="n">
        <f aca="false">IF(OR(I1066="DNB",I1066="Dry DNB"),1,0)</f>
        <v>0</v>
      </c>
      <c r="Y1066" s="39" t="n">
        <f aca="false">MATCH(A1066,DATAS,0)</f>
        <v>1</v>
      </c>
      <c r="Z1066" s="39" t="n">
        <f aca="false">IF(AND(E1066&gt;0,OR(AND(B1066&gt;=1,B1066&lt;=6),B1066=10)),1,0)</f>
        <v>1</v>
      </c>
      <c r="AA1066" s="39" t="n">
        <f aca="false">IF(AND(E1066&gt;0,B1066=10),1,0)</f>
        <v>0</v>
      </c>
      <c r="AB1066" s="0" t="str">
        <f aca="false">IF(AND(C1065=C1066,Y1065=Y1066-1),Z1065,"")</f>
        <v/>
      </c>
      <c r="AC1066" s="0" t="str">
        <f aca="false">IF(AND(C1065=C1066,Y1065=Y1066-1),AA1065,"")</f>
        <v/>
      </c>
      <c r="AD1066" s="0" t="str">
        <f aca="false">IF(Y1066=1,"",IF(AND(Z1066=1,AB1066&lt;&gt;1),1,0))</f>
        <v/>
      </c>
      <c r="AE1066" s="0" t="str">
        <f aca="false">IF(Y1066=1,"",IF(AND(AA1066=1,AC1066&lt;&gt;1),1,0))</f>
        <v/>
      </c>
      <c r="AF1066" s="45" t="str">
        <f aca="false">IF(AND(E1066&gt;0,Y1066&lt;1,NOT(AND(C1067=C1066,Y1067=Y1066+1))),INDEX(DATAS,Y1066+1),"")</f>
        <v/>
      </c>
      <c r="AG1066" s="45" t="str">
        <f aca="false">IF(AND(AA1066=1,Y1066&lt;1),IF(AND(C1067=C1066,Y1067=Y1066+1),IF(AA1067=1,"",INDEX(DATAS,Y1066+1)),INDEX(DATAS,Y1066+1)),"")</f>
        <v/>
      </c>
    </row>
    <row r="1067" customFormat="false" ht="15" hidden="false" customHeight="false" outlineLevel="0" collapsed="false">
      <c r="A1067" s="45" t="n">
        <v>46309</v>
      </c>
      <c r="B1067" s="0" t="n">
        <v>5</v>
      </c>
      <c r="C1067" s="0" t="n">
        <v>5085</v>
      </c>
      <c r="D1067" s="0" t="n">
        <v>145</v>
      </c>
      <c r="E1067" s="0" t="n">
        <v>2</v>
      </c>
      <c r="F1067" s="39" t="s">
        <v>747</v>
      </c>
      <c r="G1067" s="0" t="n">
        <v>51.9</v>
      </c>
      <c r="H1067" s="0" t="n">
        <v>48</v>
      </c>
      <c r="I1067" s="39" t="s">
        <v>109</v>
      </c>
      <c r="J1067" s="0" t="n">
        <v>68</v>
      </c>
      <c r="K1067" s="0" t="n">
        <v>68</v>
      </c>
      <c r="L1067" s="0" t="n">
        <v>77</v>
      </c>
      <c r="M1067" s="0" t="n">
        <v>618.99</v>
      </c>
      <c r="N1067" s="0" t="n">
        <v>65.2</v>
      </c>
      <c r="O1067" s="0" t="n">
        <v>24.79</v>
      </c>
      <c r="P1067" s="0" t="n">
        <v>4.83</v>
      </c>
      <c r="Q1067" s="0" t="n">
        <v>3.41</v>
      </c>
      <c r="R1067" s="0" t="n">
        <v>4471</v>
      </c>
      <c r="S1067" s="0" t="n">
        <v>9244</v>
      </c>
      <c r="T1067" s="0" t="n">
        <v>49.7</v>
      </c>
      <c r="U1067" s="0" t="n">
        <v>1069</v>
      </c>
      <c r="V1067" s="0" t="n">
        <v>1</v>
      </c>
      <c r="W1067" s="39" t="n">
        <f aca="false">IF(I1067="Male",0,1)</f>
        <v>1</v>
      </c>
      <c r="X1067" s="39" t="n">
        <f aca="false">IF(OR(I1067="DNB",I1067="Dry DNB"),1,0)</f>
        <v>0</v>
      </c>
      <c r="Y1067" s="39" t="n">
        <f aca="false">MATCH(A1067,DATAS,0)</f>
        <v>1</v>
      </c>
      <c r="Z1067" s="39" t="n">
        <f aca="false">IF(AND(E1067&gt;0,OR(AND(B1067&gt;=1,B1067&lt;=6),B1067=10)),1,0)</f>
        <v>1</v>
      </c>
      <c r="AA1067" s="39" t="n">
        <f aca="false">IF(AND(E1067&gt;0,B1067=10),1,0)</f>
        <v>0</v>
      </c>
      <c r="AB1067" s="0" t="str">
        <f aca="false">IF(AND(C1066=C1067,Y1066=Y1067-1),Z1066,"")</f>
        <v/>
      </c>
      <c r="AC1067" s="0" t="str">
        <f aca="false">IF(AND(C1066=C1067,Y1066=Y1067-1),AA1066,"")</f>
        <v/>
      </c>
      <c r="AD1067" s="0" t="str">
        <f aca="false">IF(Y1067=1,"",IF(AND(Z1067=1,AB1067&lt;&gt;1),1,0))</f>
        <v/>
      </c>
      <c r="AE1067" s="0" t="str">
        <f aca="false">IF(Y1067=1,"",IF(AND(AA1067=1,AC1067&lt;&gt;1),1,0))</f>
        <v/>
      </c>
      <c r="AF1067" s="45" t="str">
        <f aca="false">IF(AND(E1067&gt;0,Y1067&lt;1,NOT(AND(C1068=C1067,Y1068=Y1067+1))),INDEX(DATAS,Y1067+1),"")</f>
        <v/>
      </c>
      <c r="AG1067" s="45" t="str">
        <f aca="false">IF(AND(AA1067=1,Y1067&lt;1),IF(AND(C1068=C1067,Y1068=Y1067+1),IF(AA1068=1,"",INDEX(DATAS,Y1067+1)),INDEX(DATAS,Y1067+1)),"")</f>
        <v/>
      </c>
    </row>
    <row r="1068" customFormat="false" ht="15" hidden="false" customHeight="false" outlineLevel="0" collapsed="false">
      <c r="A1068" s="45" t="n">
        <v>46309</v>
      </c>
      <c r="B1068" s="0" t="n">
        <v>2</v>
      </c>
      <c r="C1068" s="0" t="n">
        <v>5088</v>
      </c>
      <c r="D1068" s="0" t="n">
        <v>55</v>
      </c>
      <c r="E1068" s="0" t="n">
        <v>2</v>
      </c>
      <c r="F1068" s="39" t="s">
        <v>748</v>
      </c>
      <c r="G1068" s="0" t="n">
        <v>46.8</v>
      </c>
      <c r="H1068" s="0" t="n">
        <v>50</v>
      </c>
      <c r="I1068" s="39" t="s">
        <v>118</v>
      </c>
      <c r="J1068" s="0" t="n">
        <v>55</v>
      </c>
      <c r="M1068" s="0" t="n">
        <v>573.22</v>
      </c>
      <c r="N1068" s="0" t="n">
        <v>64.79</v>
      </c>
      <c r="O1068" s="0" t="n">
        <v>26.35</v>
      </c>
      <c r="P1068" s="0" t="n">
        <v>3.96</v>
      </c>
      <c r="Q1068" s="0" t="n">
        <v>2.78</v>
      </c>
      <c r="R1068" s="0" t="n">
        <v>4132</v>
      </c>
      <c r="S1068" s="0" t="n">
        <v>8306</v>
      </c>
      <c r="U1068" s="0" t="n">
        <v>1068</v>
      </c>
      <c r="V1068" s="0" t="n">
        <v>0</v>
      </c>
      <c r="W1068" s="39" t="n">
        <f aca="false">IF(I1068="Male",0,1)</f>
        <v>1</v>
      </c>
      <c r="X1068" s="39" t="n">
        <f aca="false">IF(OR(I1068="DNB",I1068="Dry DNB"),1,0)</f>
        <v>0</v>
      </c>
      <c r="Y1068" s="39" t="n">
        <f aca="false">MATCH(A1068,DATAS,0)</f>
        <v>1</v>
      </c>
      <c r="Z1068" s="39" t="n">
        <f aca="false">IF(AND(E1068&gt;0,OR(AND(B1068&gt;=1,B1068&lt;=6),B1068=10)),1,0)</f>
        <v>1</v>
      </c>
      <c r="AA1068" s="39" t="n">
        <f aca="false">IF(AND(E1068&gt;0,B1068=10),1,0)</f>
        <v>0</v>
      </c>
      <c r="AB1068" s="0" t="str">
        <f aca="false">IF(AND(C1067=C1068,Y1067=Y1068-1),Z1067,"")</f>
        <v/>
      </c>
      <c r="AC1068" s="0" t="str">
        <f aca="false">IF(AND(C1067=C1068,Y1067=Y1068-1),AA1067,"")</f>
        <v/>
      </c>
      <c r="AD1068" s="0" t="str">
        <f aca="false">IF(Y1068=1,"",IF(AND(Z1068=1,AB1068&lt;&gt;1),1,0))</f>
        <v/>
      </c>
      <c r="AE1068" s="0" t="str">
        <f aca="false">IF(Y1068=1,"",IF(AND(AA1068=1,AC1068&lt;&gt;1),1,0))</f>
        <v/>
      </c>
      <c r="AF1068" s="45" t="str">
        <f aca="false">IF(AND(E1068&gt;0,Y1068&lt;1,NOT(AND(C1069=C1068,Y1069=Y1068+1))),INDEX(DATAS,Y1068+1),"")</f>
        <v/>
      </c>
      <c r="AG1068" s="45" t="str">
        <f aca="false">IF(AND(AA1068=1,Y1068&lt;1),IF(AND(C1069=C1068,Y1069=Y1068+1),IF(AA1069=1,"",INDEX(DATAS,Y1068+1)),INDEX(DATAS,Y1068+1)),"")</f>
        <v/>
      </c>
    </row>
    <row r="1069" customFormat="false" ht="15" hidden="false" customHeight="false" outlineLevel="0" collapsed="false">
      <c r="A1069" s="45" t="n">
        <v>46309</v>
      </c>
      <c r="B1069" s="0" t="n">
        <v>5</v>
      </c>
      <c r="C1069" s="0" t="n">
        <v>5089</v>
      </c>
      <c r="D1069" s="0" t="n">
        <v>64</v>
      </c>
      <c r="E1069" s="0" t="n">
        <v>2</v>
      </c>
      <c r="F1069" s="39" t="s">
        <v>748</v>
      </c>
      <c r="G1069" s="0" t="n">
        <v>41.8</v>
      </c>
      <c r="H1069" s="0" t="n">
        <v>38</v>
      </c>
      <c r="I1069" s="39" t="s">
        <v>118</v>
      </c>
      <c r="J1069" s="0" t="n">
        <v>64</v>
      </c>
      <c r="M1069" s="0" t="n">
        <v>394.83</v>
      </c>
      <c r="N1069" s="0" t="n">
        <v>58.46</v>
      </c>
      <c r="O1069" s="0" t="n">
        <v>31.93</v>
      </c>
      <c r="P1069" s="0" t="n">
        <v>3.78</v>
      </c>
      <c r="Q1069" s="0" t="n">
        <v>3.32</v>
      </c>
      <c r="R1069" s="0" t="n">
        <v>2917</v>
      </c>
      <c r="S1069" s="0" t="n">
        <v>5863</v>
      </c>
      <c r="U1069" s="0" t="n">
        <v>1068</v>
      </c>
      <c r="V1069" s="0" t="n">
        <v>0</v>
      </c>
      <c r="W1069" s="39" t="n">
        <f aca="false">IF(I1069="Male",0,1)</f>
        <v>1</v>
      </c>
      <c r="X1069" s="39" t="n">
        <f aca="false">IF(OR(I1069="DNB",I1069="Dry DNB"),1,0)</f>
        <v>0</v>
      </c>
      <c r="Y1069" s="39" t="n">
        <f aca="false">MATCH(A1069,DATAS,0)</f>
        <v>1</v>
      </c>
      <c r="Z1069" s="39" t="n">
        <f aca="false">IF(AND(E1069&gt;0,OR(AND(B1069&gt;=1,B1069&lt;=6),B1069=10)),1,0)</f>
        <v>1</v>
      </c>
      <c r="AA1069" s="39" t="n">
        <f aca="false">IF(AND(E1069&gt;0,B1069=10),1,0)</f>
        <v>0</v>
      </c>
      <c r="AB1069" s="0" t="str">
        <f aca="false">IF(AND(C1068=C1069,Y1068=Y1069-1),Z1068,"")</f>
        <v/>
      </c>
      <c r="AC1069" s="0" t="str">
        <f aca="false">IF(AND(C1068=C1069,Y1068=Y1069-1),AA1068,"")</f>
        <v/>
      </c>
      <c r="AD1069" s="0" t="str">
        <f aca="false">IF(Y1069=1,"",IF(AND(Z1069=1,AB1069&lt;&gt;1),1,0))</f>
        <v/>
      </c>
      <c r="AE1069" s="0" t="str">
        <f aca="false">IF(Y1069=1,"",IF(AND(AA1069=1,AC1069&lt;&gt;1),1,0))</f>
        <v/>
      </c>
      <c r="AF1069" s="45" t="str">
        <f aca="false">IF(AND(E1069&gt;0,Y1069&lt;1,NOT(AND(C1070=C1069,Y1070=Y1069+1))),INDEX(DATAS,Y1069+1),"")</f>
        <v/>
      </c>
      <c r="AG1069" s="45" t="str">
        <f aca="false">IF(AND(AA1069=1,Y1069&lt;1),IF(AND(C1070=C1069,Y1070=Y1069+1),IF(AA1070=1,"",INDEX(DATAS,Y1069+1)),INDEX(DATAS,Y1069+1)),"")</f>
        <v/>
      </c>
    </row>
    <row r="1070" customFormat="false" ht="15" hidden="false" customHeight="false" outlineLevel="0" collapsed="false">
      <c r="A1070" s="45" t="n">
        <v>46309</v>
      </c>
      <c r="B1070" s="0" t="n">
        <v>6</v>
      </c>
      <c r="C1070" s="0" t="n">
        <v>5090</v>
      </c>
      <c r="D1070" s="0" t="n">
        <v>13</v>
      </c>
      <c r="E1070" s="0" t="n">
        <v>2</v>
      </c>
      <c r="F1070" s="39" t="s">
        <v>748</v>
      </c>
      <c r="G1070" s="0" t="n">
        <v>25.5</v>
      </c>
      <c r="H1070" s="0" t="n">
        <v>28</v>
      </c>
      <c r="I1070" s="39" t="s">
        <v>118</v>
      </c>
      <c r="J1070" s="0" t="n">
        <v>13</v>
      </c>
      <c r="M1070" s="0" t="n">
        <v>978.96</v>
      </c>
      <c r="N1070" s="0" t="n">
        <v>55.83</v>
      </c>
      <c r="O1070" s="0" t="n">
        <v>32.31</v>
      </c>
      <c r="R1070" s="0" t="n">
        <v>2415</v>
      </c>
      <c r="S1070" s="0" t="n">
        <v>4855</v>
      </c>
      <c r="U1070" s="0" t="n">
        <v>1068</v>
      </c>
      <c r="V1070" s="0" t="n">
        <v>0</v>
      </c>
      <c r="W1070" s="39" t="n">
        <f aca="false">IF(I1070="Male",0,1)</f>
        <v>1</v>
      </c>
      <c r="X1070" s="39" t="n">
        <f aca="false">IF(OR(I1070="DNB",I1070="Dry DNB"),1,0)</f>
        <v>0</v>
      </c>
      <c r="Y1070" s="39" t="n">
        <f aca="false">MATCH(A1070,DATAS,0)</f>
        <v>1</v>
      </c>
      <c r="Z1070" s="39" t="n">
        <f aca="false">IF(AND(E1070&gt;0,OR(AND(B1070&gt;=1,B1070&lt;=6),B1070=10)),1,0)</f>
        <v>1</v>
      </c>
      <c r="AA1070" s="39" t="n">
        <f aca="false">IF(AND(E1070&gt;0,B1070=10),1,0)</f>
        <v>0</v>
      </c>
      <c r="AB1070" s="0" t="str">
        <f aca="false">IF(AND(C1069=C1070,Y1069=Y1070-1),Z1069,"")</f>
        <v/>
      </c>
      <c r="AC1070" s="0" t="str">
        <f aca="false">IF(AND(C1069=C1070,Y1069=Y1070-1),AA1069,"")</f>
        <v/>
      </c>
      <c r="AD1070" s="0" t="str">
        <f aca="false">IF(Y1070=1,"",IF(AND(Z1070=1,AB1070&lt;&gt;1),1,0))</f>
        <v/>
      </c>
      <c r="AE1070" s="0" t="str">
        <f aca="false">IF(Y1070=1,"",IF(AND(AA1070=1,AC1070&lt;&gt;1),1,0))</f>
        <v/>
      </c>
      <c r="AF1070" s="45" t="str">
        <f aca="false">IF(AND(E1070&gt;0,Y1070&lt;1,NOT(AND(C1071=C1070,Y1071=Y1070+1))),INDEX(DATAS,Y1070+1),"")</f>
        <v/>
      </c>
      <c r="AG1070" s="45" t="str">
        <f aca="false">IF(AND(AA1070=1,Y1070&lt;1),IF(AND(C1071=C1070,Y1071=Y1070+1),IF(AA1071=1,"",INDEX(DATAS,Y1070+1)),INDEX(DATAS,Y1070+1)),"")</f>
        <v/>
      </c>
    </row>
    <row r="1071" customFormat="false" ht="15" hidden="false" customHeight="false" outlineLevel="0" collapsed="false">
      <c r="A1071" s="45" t="n">
        <v>46309</v>
      </c>
      <c r="B1071" s="0" t="n">
        <v>2</v>
      </c>
      <c r="C1071" s="0" t="n">
        <v>5092</v>
      </c>
      <c r="D1071" s="0" t="n">
        <v>15</v>
      </c>
      <c r="E1071" s="0" t="n">
        <v>2</v>
      </c>
      <c r="F1071" s="39" t="s">
        <v>749</v>
      </c>
      <c r="G1071" s="0" t="n">
        <v>51</v>
      </c>
      <c r="H1071" s="0" t="n">
        <v>43</v>
      </c>
      <c r="I1071" s="39" t="s">
        <v>118</v>
      </c>
      <c r="J1071" s="0" t="n">
        <v>15</v>
      </c>
      <c r="M1071" s="0" t="n">
        <v>721.12</v>
      </c>
      <c r="N1071" s="0" t="n">
        <v>42.06</v>
      </c>
      <c r="O1071" s="0" t="n">
        <v>35.03</v>
      </c>
      <c r="R1071" s="0" t="n">
        <v>3101</v>
      </c>
      <c r="S1071" s="0" t="n">
        <v>6233</v>
      </c>
      <c r="U1071" s="0" t="n">
        <v>1067</v>
      </c>
      <c r="V1071" s="0" t="n">
        <v>0</v>
      </c>
      <c r="W1071" s="39" t="n">
        <f aca="false">IF(I1071="Male",0,1)</f>
        <v>1</v>
      </c>
      <c r="X1071" s="39" t="n">
        <f aca="false">IF(OR(I1071="DNB",I1071="Dry DNB"),1,0)</f>
        <v>0</v>
      </c>
      <c r="Y1071" s="39" t="n">
        <f aca="false">MATCH(A1071,DATAS,0)</f>
        <v>1</v>
      </c>
      <c r="Z1071" s="39" t="n">
        <f aca="false">IF(AND(E1071&gt;0,OR(AND(B1071&gt;=1,B1071&lt;=6),B1071=10)),1,0)</f>
        <v>1</v>
      </c>
      <c r="AA1071" s="39" t="n">
        <f aca="false">IF(AND(E1071&gt;0,B1071=10),1,0)</f>
        <v>0</v>
      </c>
      <c r="AB1071" s="0" t="str">
        <f aca="false">IF(AND(C1070=C1071,Y1070=Y1071-1),Z1070,"")</f>
        <v/>
      </c>
      <c r="AC1071" s="0" t="str">
        <f aca="false">IF(AND(C1070=C1071,Y1070=Y1071-1),AA1070,"")</f>
        <v/>
      </c>
      <c r="AD1071" s="0" t="str">
        <f aca="false">IF(Y1071=1,"",IF(AND(Z1071=1,AB1071&lt;&gt;1),1,0))</f>
        <v/>
      </c>
      <c r="AE1071" s="0" t="str">
        <f aca="false">IF(Y1071=1,"",IF(AND(AA1071=1,AC1071&lt;&gt;1),1,0))</f>
        <v/>
      </c>
      <c r="AF1071" s="45" t="str">
        <f aca="false">IF(AND(E1071&gt;0,Y1071&lt;1,NOT(AND(C1072=C1071,Y1072=Y1071+1))),INDEX(DATAS,Y1071+1),"")</f>
        <v/>
      </c>
      <c r="AG1071" s="45" t="str">
        <f aca="false">IF(AND(AA1071=1,Y1071&lt;1),IF(AND(C1072=C1071,Y1072=Y1071+1),IF(AA1072=1,"",INDEX(DATAS,Y1071+1)),INDEX(DATAS,Y1071+1)),"")</f>
        <v/>
      </c>
    </row>
    <row r="1072" customFormat="false" ht="15" hidden="false" customHeight="false" outlineLevel="0" collapsed="false">
      <c r="A1072" s="45" t="n">
        <v>46309</v>
      </c>
      <c r="B1072" s="0" t="n">
        <v>3</v>
      </c>
      <c r="C1072" s="0" t="n">
        <v>5093</v>
      </c>
      <c r="D1072" s="0" t="n">
        <v>26</v>
      </c>
      <c r="E1072" s="0" t="n">
        <v>2</v>
      </c>
      <c r="F1072" s="39" t="s">
        <v>749</v>
      </c>
      <c r="G1072" s="0" t="n">
        <v>36.7</v>
      </c>
      <c r="H1072" s="0" t="n">
        <v>34</v>
      </c>
      <c r="I1072" s="39" t="s">
        <v>118</v>
      </c>
      <c r="J1072" s="0" t="n">
        <v>26</v>
      </c>
      <c r="M1072" s="0" t="n">
        <v>968.85</v>
      </c>
      <c r="N1072" s="0" t="n">
        <v>41.43</v>
      </c>
      <c r="O1072" s="0" t="n">
        <v>35.34</v>
      </c>
      <c r="R1072" s="0" t="n">
        <v>2165</v>
      </c>
      <c r="S1072" s="0" t="n">
        <v>4352</v>
      </c>
      <c r="U1072" s="0" t="n">
        <v>1067</v>
      </c>
      <c r="V1072" s="0" t="n">
        <v>0</v>
      </c>
      <c r="W1072" s="39" t="n">
        <f aca="false">IF(I1072="Male",0,1)</f>
        <v>1</v>
      </c>
      <c r="X1072" s="39" t="n">
        <f aca="false">IF(OR(I1072="DNB",I1072="Dry DNB"),1,0)</f>
        <v>0</v>
      </c>
      <c r="Y1072" s="39" t="n">
        <f aca="false">MATCH(A1072,DATAS,0)</f>
        <v>1</v>
      </c>
      <c r="Z1072" s="39" t="n">
        <f aca="false">IF(AND(E1072&gt;0,OR(AND(B1072&gt;=1,B1072&lt;=6),B1072=10)),1,0)</f>
        <v>1</v>
      </c>
      <c r="AA1072" s="39" t="n">
        <f aca="false">IF(AND(E1072&gt;0,B1072=10),1,0)</f>
        <v>0</v>
      </c>
      <c r="AB1072" s="0" t="str">
        <f aca="false">IF(AND(C1071=C1072,Y1071=Y1072-1),Z1071,"")</f>
        <v/>
      </c>
      <c r="AC1072" s="0" t="str">
        <f aca="false">IF(AND(C1071=C1072,Y1071=Y1072-1),AA1071,"")</f>
        <v/>
      </c>
      <c r="AD1072" s="0" t="str">
        <f aca="false">IF(Y1072=1,"",IF(AND(Z1072=1,AB1072&lt;&gt;1),1,0))</f>
        <v/>
      </c>
      <c r="AE1072" s="0" t="str">
        <f aca="false">IF(Y1072=1,"",IF(AND(AA1072=1,AC1072&lt;&gt;1),1,0))</f>
        <v/>
      </c>
      <c r="AF1072" s="45" t="str">
        <f aca="false">IF(AND(E1072&gt;0,Y1072&lt;1,NOT(AND(C1073=C1072,Y1073=Y1072+1))),INDEX(DATAS,Y1072+1),"")</f>
        <v/>
      </c>
      <c r="AG1072" s="45" t="str">
        <f aca="false">IF(AND(AA1072=1,Y1072&lt;1),IF(AND(C1073=C1072,Y1073=Y1072+1),IF(AA1073=1,"",INDEX(DATAS,Y1072+1)),INDEX(DATAS,Y1072+1)),"")</f>
        <v/>
      </c>
    </row>
    <row r="1073" customFormat="false" ht="15" hidden="false" customHeight="false" outlineLevel="0" collapsed="false">
      <c r="A1073" s="45" t="n">
        <v>46309</v>
      </c>
      <c r="B1073" s="0" t="n">
        <v>5</v>
      </c>
      <c r="C1073" s="0" t="n">
        <v>5094</v>
      </c>
      <c r="D1073" s="0" t="n">
        <v>113</v>
      </c>
      <c r="E1073" s="0" t="n">
        <v>2</v>
      </c>
      <c r="F1073" s="39" t="s">
        <v>749</v>
      </c>
      <c r="G1073" s="0" t="n">
        <v>39.8</v>
      </c>
      <c r="H1073" s="0" t="n">
        <v>39</v>
      </c>
      <c r="I1073" s="39" t="s">
        <v>138</v>
      </c>
      <c r="J1073" s="0" t="n">
        <v>113</v>
      </c>
      <c r="K1073" s="0" t="n">
        <v>64</v>
      </c>
      <c r="M1073" s="0" t="n">
        <v>554.65</v>
      </c>
      <c r="N1073" s="0" t="n">
        <v>62.66</v>
      </c>
      <c r="O1073" s="0" t="n">
        <v>34.44</v>
      </c>
      <c r="P1073" s="0" t="n">
        <v>3.8</v>
      </c>
      <c r="Q1073" s="0" t="n">
        <v>3.53</v>
      </c>
      <c r="R1073" s="0" t="n">
        <v>3921</v>
      </c>
      <c r="S1073" s="0" t="n">
        <v>7924</v>
      </c>
      <c r="T1073" s="0" t="n">
        <v>44.65</v>
      </c>
      <c r="U1073" s="0" t="n">
        <v>1067</v>
      </c>
      <c r="V1073" s="0" t="n">
        <v>2</v>
      </c>
      <c r="W1073" s="39" t="n">
        <f aca="false">IF(I1073="Male",0,1)</f>
        <v>1</v>
      </c>
      <c r="X1073" s="39" t="n">
        <f aca="false">IF(OR(I1073="DNB",I1073="Dry DNB"),1,0)</f>
        <v>0</v>
      </c>
      <c r="Y1073" s="39" t="n">
        <f aca="false">MATCH(A1073,DATAS,0)</f>
        <v>1</v>
      </c>
      <c r="Z1073" s="39" t="n">
        <f aca="false">IF(AND(E1073&gt;0,OR(AND(B1073&gt;=1,B1073&lt;=6),B1073=10)),1,0)</f>
        <v>1</v>
      </c>
      <c r="AA1073" s="39" t="n">
        <f aca="false">IF(AND(E1073&gt;0,B1073=10),1,0)</f>
        <v>0</v>
      </c>
      <c r="AB1073" s="0" t="str">
        <f aca="false">IF(AND(C1072=C1073,Y1072=Y1073-1),Z1072,"")</f>
        <v/>
      </c>
      <c r="AC1073" s="0" t="str">
        <f aca="false">IF(AND(C1072=C1073,Y1072=Y1073-1),AA1072,"")</f>
        <v/>
      </c>
      <c r="AD1073" s="0" t="str">
        <f aca="false">IF(Y1073=1,"",IF(AND(Z1073=1,AB1073&lt;&gt;1),1,0))</f>
        <v/>
      </c>
      <c r="AE1073" s="0" t="str">
        <f aca="false">IF(Y1073=1,"",IF(AND(AA1073=1,AC1073&lt;&gt;1),1,0))</f>
        <v/>
      </c>
      <c r="AF1073" s="45" t="str">
        <f aca="false">IF(AND(E1073&gt;0,Y1073&lt;1,NOT(AND(C1074=C1073,Y1074=Y1073+1))),INDEX(DATAS,Y1073+1),"")</f>
        <v/>
      </c>
      <c r="AG1073" s="45" t="str">
        <f aca="false">IF(AND(AA1073=1,Y1073&lt;1),IF(AND(C1074=C1073,Y1074=Y1073+1),IF(AA1074=1,"",INDEX(DATAS,Y1073+1)),INDEX(DATAS,Y1073+1)),"")</f>
        <v/>
      </c>
    </row>
    <row r="1074" customFormat="false" ht="15" hidden="false" customHeight="false" outlineLevel="0" collapsed="false">
      <c r="A1074" s="45" t="n">
        <v>46309</v>
      </c>
      <c r="B1074" s="0" t="n">
        <v>14</v>
      </c>
      <c r="C1074" s="0" t="n">
        <v>5095</v>
      </c>
      <c r="D1074" s="0" t="n">
        <v>361</v>
      </c>
      <c r="E1074" s="0" t="n">
        <v>1</v>
      </c>
      <c r="F1074" s="39" t="s">
        <v>749</v>
      </c>
      <c r="I1074" s="39" t="s">
        <v>114</v>
      </c>
      <c r="J1074" s="0" t="n">
        <v>138</v>
      </c>
      <c r="K1074" s="0" t="n">
        <v>68</v>
      </c>
      <c r="L1074" s="0" t="n">
        <v>273</v>
      </c>
      <c r="M1074" s="0" t="n">
        <v>429.8</v>
      </c>
      <c r="N1074" s="0" t="n">
        <v>64.64</v>
      </c>
      <c r="O1074" s="0" t="n">
        <v>20.39</v>
      </c>
      <c r="P1074" s="0" t="n">
        <v>5.12</v>
      </c>
      <c r="Q1074" s="0" t="n">
        <v>3.64</v>
      </c>
      <c r="R1074" s="0" t="n">
        <v>3842</v>
      </c>
      <c r="S1074" s="0" t="n">
        <v>8853</v>
      </c>
      <c r="T1074" s="0" t="n">
        <v>40.7</v>
      </c>
      <c r="U1074" s="0" t="n">
        <v>1067</v>
      </c>
      <c r="V1074" s="0" t="n">
        <v>3</v>
      </c>
      <c r="W1074" s="39" t="n">
        <f aca="false">IF(I1074="Male",0,1)</f>
        <v>1</v>
      </c>
      <c r="X1074" s="39" t="n">
        <f aca="false">IF(OR(I1074="DNB",I1074="Dry DNB"),1,0)</f>
        <v>0</v>
      </c>
      <c r="Y1074" s="39" t="n">
        <f aca="false">MATCH(A1074,DATAS,0)</f>
        <v>1</v>
      </c>
      <c r="Z1074" s="39" t="n">
        <f aca="false">IF(AND(E1074&gt;0,OR(AND(B1074&gt;=1,B1074&lt;=6),B1074=10)),1,0)</f>
        <v>0</v>
      </c>
      <c r="AA1074" s="39" t="n">
        <f aca="false">IF(AND(E1074&gt;0,B1074=10),1,0)</f>
        <v>0</v>
      </c>
      <c r="AB1074" s="0" t="str">
        <f aca="false">IF(AND(C1073=C1074,Y1073=Y1074-1),Z1073,"")</f>
        <v/>
      </c>
      <c r="AC1074" s="0" t="str">
        <f aca="false">IF(AND(C1073=C1074,Y1073=Y1074-1),AA1073,"")</f>
        <v/>
      </c>
      <c r="AD1074" s="0" t="str">
        <f aca="false">IF(Y1074=1,"",IF(AND(Z1074=1,AB1074&lt;&gt;1),1,0))</f>
        <v/>
      </c>
      <c r="AE1074" s="0" t="str">
        <f aca="false">IF(Y1074=1,"",IF(AND(AA1074=1,AC1074&lt;&gt;1),1,0))</f>
        <v/>
      </c>
      <c r="AF1074" s="45" t="str">
        <f aca="false">IF(AND(E1074&gt;0,Y1074&lt;1,NOT(AND(C1075=C1074,Y1075=Y1074+1))),INDEX(DATAS,Y1074+1),"")</f>
        <v/>
      </c>
      <c r="AG1074" s="45" t="str">
        <f aca="false">IF(AND(AA1074=1,Y1074&lt;1),IF(AND(C1075=C1074,Y1075=Y1074+1),IF(AA1075=1,"",INDEX(DATAS,Y1074+1)),INDEX(DATAS,Y1074+1)),"")</f>
        <v/>
      </c>
    </row>
    <row r="1075" customFormat="false" ht="15" hidden="false" customHeight="false" outlineLevel="0" collapsed="false">
      <c r="A1075" s="45" t="n">
        <v>46309</v>
      </c>
      <c r="B1075" s="0" t="n">
        <v>5</v>
      </c>
      <c r="C1075" s="0" t="n">
        <v>5096</v>
      </c>
      <c r="D1075" s="0" t="n">
        <v>391</v>
      </c>
      <c r="E1075" s="0" t="n">
        <v>1</v>
      </c>
      <c r="F1075" s="39" t="s">
        <v>749</v>
      </c>
      <c r="G1075" s="0" t="n">
        <v>40.2</v>
      </c>
      <c r="H1075" s="0" t="n">
        <v>40</v>
      </c>
      <c r="I1075" s="39" t="s">
        <v>109</v>
      </c>
      <c r="J1075" s="0" t="n">
        <v>206</v>
      </c>
      <c r="K1075" s="0" t="n">
        <v>76</v>
      </c>
      <c r="L1075" s="0" t="n">
        <v>185</v>
      </c>
      <c r="M1075" s="0" t="n">
        <v>1106.73</v>
      </c>
      <c r="N1075" s="0" t="n">
        <v>63.03</v>
      </c>
      <c r="O1075" s="0" t="n">
        <v>36.48</v>
      </c>
      <c r="P1075" s="0" t="n">
        <v>3.34</v>
      </c>
      <c r="Q1075" s="0" t="n">
        <v>3.81</v>
      </c>
      <c r="R1075" s="0" t="n">
        <v>4662</v>
      </c>
      <c r="S1075" s="0" t="n">
        <v>10030</v>
      </c>
      <c r="T1075" s="0" t="n">
        <v>51.2</v>
      </c>
      <c r="U1075" s="0" t="n">
        <v>1067</v>
      </c>
      <c r="V1075" s="0" t="n">
        <v>5</v>
      </c>
      <c r="W1075" s="39" t="n">
        <f aca="false">IF(I1075="Male",0,1)</f>
        <v>1</v>
      </c>
      <c r="X1075" s="39" t="n">
        <f aca="false">IF(OR(I1075="DNB",I1075="Dry DNB"),1,0)</f>
        <v>0</v>
      </c>
      <c r="Y1075" s="39" t="n">
        <f aca="false">MATCH(A1075,DATAS,0)</f>
        <v>1</v>
      </c>
      <c r="Z1075" s="39" t="n">
        <f aca="false">IF(AND(E1075&gt;0,OR(AND(B1075&gt;=1,B1075&lt;=6),B1075=10)),1,0)</f>
        <v>1</v>
      </c>
      <c r="AA1075" s="39" t="n">
        <f aca="false">IF(AND(E1075&gt;0,B1075=10),1,0)</f>
        <v>0</v>
      </c>
      <c r="AB1075" s="0" t="str">
        <f aca="false">IF(AND(C1074=C1075,Y1074=Y1075-1),Z1074,"")</f>
        <v/>
      </c>
      <c r="AC1075" s="0" t="str">
        <f aca="false">IF(AND(C1074=C1075,Y1074=Y1075-1),AA1074,"")</f>
        <v/>
      </c>
      <c r="AD1075" s="0" t="str">
        <f aca="false">IF(Y1075=1,"",IF(AND(Z1075=1,AB1075&lt;&gt;1),1,0))</f>
        <v/>
      </c>
      <c r="AE1075" s="0" t="str">
        <f aca="false">IF(Y1075=1,"",IF(AND(AA1075=1,AC1075&lt;&gt;1),1,0))</f>
        <v/>
      </c>
      <c r="AF1075" s="45" t="str">
        <f aca="false">IF(AND(E1075&gt;0,Y1075&lt;1,NOT(AND(C1076=C1075,Y1076=Y1075+1))),INDEX(DATAS,Y1075+1),"")</f>
        <v/>
      </c>
      <c r="AG1075" s="45" t="str">
        <f aca="false">IF(AND(AA1075=1,Y1075&lt;1),IF(AND(C1076=C1075,Y1076=Y1075+1),IF(AA1076=1,"",INDEX(DATAS,Y1075+1)),INDEX(DATAS,Y1075+1)),"")</f>
        <v/>
      </c>
    </row>
    <row r="1076" customFormat="false" ht="15" hidden="false" customHeight="false" outlineLevel="0" collapsed="false">
      <c r="A1076" s="45" t="n">
        <v>46309</v>
      </c>
      <c r="B1076" s="0" t="n">
        <v>4</v>
      </c>
      <c r="C1076" s="0" t="n">
        <v>5098</v>
      </c>
      <c r="D1076" s="0" t="n">
        <v>350</v>
      </c>
      <c r="E1076" s="0" t="n">
        <v>1</v>
      </c>
      <c r="F1076" s="39" t="s">
        <v>750</v>
      </c>
      <c r="G1076" s="0" t="n">
        <v>34.1</v>
      </c>
      <c r="H1076" s="0" t="n">
        <v>37</v>
      </c>
      <c r="I1076" s="39" t="s">
        <v>146</v>
      </c>
      <c r="J1076" s="0" t="n">
        <v>350</v>
      </c>
      <c r="K1076" s="0" t="n">
        <v>64</v>
      </c>
      <c r="M1076" s="0" t="n">
        <v>36.78</v>
      </c>
      <c r="N1076" s="0" t="n">
        <v>70.56</v>
      </c>
      <c r="O1076" s="0" t="n">
        <v>28.87</v>
      </c>
      <c r="P1076" s="0" t="n">
        <v>5.85</v>
      </c>
      <c r="Q1076" s="0" t="n">
        <v>3.99</v>
      </c>
      <c r="R1076" s="0" t="n">
        <v>4132</v>
      </c>
      <c r="S1076" s="0" t="n">
        <v>8430</v>
      </c>
      <c r="T1076" s="0" t="n">
        <v>43.45</v>
      </c>
      <c r="U1076" s="0" t="n">
        <v>1066</v>
      </c>
      <c r="V1076" s="0" t="n">
        <v>5</v>
      </c>
      <c r="W1076" s="39" t="n">
        <f aca="false">IF(I1076="Male",0,1)</f>
        <v>1</v>
      </c>
      <c r="X1076" s="39" t="n">
        <f aca="false">IF(OR(I1076="DNB",I1076="Dry DNB"),1,0)</f>
        <v>0</v>
      </c>
      <c r="Y1076" s="39" t="n">
        <f aca="false">MATCH(A1076,DATAS,0)</f>
        <v>1</v>
      </c>
      <c r="Z1076" s="39" t="n">
        <f aca="false">IF(AND(E1076&gt;0,OR(AND(B1076&gt;=1,B1076&lt;=6),B1076=10)),1,0)</f>
        <v>1</v>
      </c>
      <c r="AA1076" s="39" t="n">
        <f aca="false">IF(AND(E1076&gt;0,B1076=10),1,0)</f>
        <v>0</v>
      </c>
      <c r="AB1076" s="0" t="str">
        <f aca="false">IF(AND(C1075=C1076,Y1075=Y1076-1),Z1075,"")</f>
        <v/>
      </c>
      <c r="AC1076" s="0" t="str">
        <f aca="false">IF(AND(C1075=C1076,Y1075=Y1076-1),AA1075,"")</f>
        <v/>
      </c>
      <c r="AD1076" s="0" t="str">
        <f aca="false">IF(Y1076=1,"",IF(AND(Z1076=1,AB1076&lt;&gt;1),1,0))</f>
        <v/>
      </c>
      <c r="AE1076" s="0" t="str">
        <f aca="false">IF(Y1076=1,"",IF(AND(AA1076=1,AC1076&lt;&gt;1),1,0))</f>
        <v/>
      </c>
      <c r="AF1076" s="45" t="str">
        <f aca="false">IF(AND(E1076&gt;0,Y1076&lt;1,NOT(AND(C1077=C1076,Y1077=Y1076+1))),INDEX(DATAS,Y1076+1),"")</f>
        <v/>
      </c>
      <c r="AG1076" s="45" t="str">
        <f aca="false">IF(AND(AA1076=1,Y1076&lt;1),IF(AND(C1077=C1076,Y1077=Y1076+1),IF(AA1077=1,"",INDEX(DATAS,Y1076+1)),INDEX(DATAS,Y1076+1)),"")</f>
        <v/>
      </c>
    </row>
    <row r="1077" customFormat="false" ht="15" hidden="false" customHeight="false" outlineLevel="0" collapsed="false">
      <c r="A1077" s="45" t="n">
        <v>46309</v>
      </c>
      <c r="B1077" s="0" t="n">
        <v>4</v>
      </c>
      <c r="C1077" s="0" t="n">
        <v>5099</v>
      </c>
      <c r="D1077" s="0" t="n">
        <v>311</v>
      </c>
      <c r="E1077" s="0" t="n">
        <v>1</v>
      </c>
      <c r="F1077" s="39" t="s">
        <v>751</v>
      </c>
      <c r="G1077" s="0" t="n">
        <v>39.1</v>
      </c>
      <c r="H1077" s="0" t="n">
        <v>43</v>
      </c>
      <c r="I1077" s="39" t="s">
        <v>109</v>
      </c>
      <c r="J1077" s="0" t="n">
        <v>115</v>
      </c>
      <c r="K1077" s="0" t="n">
        <v>66</v>
      </c>
      <c r="L1077" s="0" t="n">
        <v>196</v>
      </c>
      <c r="M1077" s="0" t="n">
        <v>687.66</v>
      </c>
      <c r="N1077" s="0" t="n">
        <v>78.74</v>
      </c>
      <c r="O1077" s="0" t="n">
        <v>32.95</v>
      </c>
      <c r="P1077" s="0" t="n">
        <v>4.98</v>
      </c>
      <c r="Q1077" s="0" t="n">
        <v>3.49</v>
      </c>
      <c r="R1077" s="0" t="n">
        <v>3828</v>
      </c>
      <c r="S1077" s="0" t="n">
        <v>7960</v>
      </c>
      <c r="T1077" s="0" t="n">
        <v>39.85</v>
      </c>
      <c r="U1077" s="0" t="n">
        <v>1065</v>
      </c>
      <c r="V1077" s="0" t="n">
        <v>2</v>
      </c>
      <c r="W1077" s="39" t="n">
        <f aca="false">IF(I1077="Male",0,1)</f>
        <v>1</v>
      </c>
      <c r="X1077" s="39" t="n">
        <f aca="false">IF(OR(I1077="DNB",I1077="Dry DNB"),1,0)</f>
        <v>0</v>
      </c>
      <c r="Y1077" s="39" t="n">
        <f aca="false">MATCH(A1077,DATAS,0)</f>
        <v>1</v>
      </c>
      <c r="Z1077" s="39" t="n">
        <f aca="false">IF(AND(E1077&gt;0,OR(AND(B1077&gt;=1,B1077&lt;=6),B1077=10)),1,0)</f>
        <v>1</v>
      </c>
      <c r="AA1077" s="39" t="n">
        <f aca="false">IF(AND(E1077&gt;0,B1077=10),1,0)</f>
        <v>0</v>
      </c>
      <c r="AB1077" s="0" t="str">
        <f aca="false">IF(AND(C1076=C1077,Y1076=Y1077-1),Z1076,"")</f>
        <v/>
      </c>
      <c r="AC1077" s="0" t="str">
        <f aca="false">IF(AND(C1076=C1077,Y1076=Y1077-1),AA1076,"")</f>
        <v/>
      </c>
      <c r="AD1077" s="0" t="str">
        <f aca="false">IF(Y1077=1,"",IF(AND(Z1077=1,AB1077&lt;&gt;1),1,0))</f>
        <v/>
      </c>
      <c r="AE1077" s="0" t="str">
        <f aca="false">IF(Y1077=1,"",IF(AND(AA1077=1,AC1077&lt;&gt;1),1,0))</f>
        <v/>
      </c>
      <c r="AF1077" s="45" t="str">
        <f aca="false">IF(AND(E1077&gt;0,Y1077&lt;1,NOT(AND(C1078=C1077,Y1078=Y1077+1))),INDEX(DATAS,Y1077+1),"")</f>
        <v/>
      </c>
      <c r="AG1077" s="45" t="str">
        <f aca="false">IF(AND(AA1077=1,Y1077&lt;1),IF(AND(C1078=C1077,Y1078=Y1077+1),IF(AA1078=1,"",INDEX(DATAS,Y1077+1)),INDEX(DATAS,Y1077+1)),"")</f>
        <v/>
      </c>
    </row>
    <row r="1078" customFormat="false" ht="15" hidden="false" customHeight="false" outlineLevel="0" collapsed="false">
      <c r="A1078" s="45" t="n">
        <v>46309</v>
      </c>
      <c r="B1078" s="0" t="n">
        <v>5</v>
      </c>
      <c r="C1078" s="0" t="n">
        <v>5102</v>
      </c>
      <c r="D1078" s="0" t="n">
        <v>443</v>
      </c>
      <c r="E1078" s="0" t="n">
        <v>1</v>
      </c>
      <c r="F1078" s="39" t="s">
        <v>751</v>
      </c>
      <c r="G1078" s="0" t="n">
        <v>31.5</v>
      </c>
      <c r="H1078" s="0" t="n">
        <v>23</v>
      </c>
      <c r="I1078" s="39" t="s">
        <v>109</v>
      </c>
      <c r="J1078" s="0" t="n">
        <v>290</v>
      </c>
      <c r="K1078" s="0" t="n">
        <v>65</v>
      </c>
      <c r="L1078" s="0" t="n">
        <v>153</v>
      </c>
      <c r="M1078" s="0" t="n">
        <v>809.34</v>
      </c>
      <c r="N1078" s="0" t="n">
        <v>66.23</v>
      </c>
      <c r="O1078" s="0" t="n">
        <v>32.33</v>
      </c>
      <c r="P1078" s="0" t="n">
        <v>4.76</v>
      </c>
      <c r="Q1078" s="0" t="n">
        <v>4.12</v>
      </c>
      <c r="R1078" s="0" t="n">
        <v>3489</v>
      </c>
      <c r="S1078" s="0" t="n">
        <v>6596</v>
      </c>
      <c r="T1078" s="0" t="n">
        <v>38.5</v>
      </c>
      <c r="U1078" s="0" t="n">
        <v>1065</v>
      </c>
      <c r="V1078" s="0" t="n">
        <v>3</v>
      </c>
      <c r="W1078" s="39" t="n">
        <f aca="false">IF(I1078="Male",0,1)</f>
        <v>1</v>
      </c>
      <c r="X1078" s="39" t="n">
        <f aca="false">IF(OR(I1078="DNB",I1078="Dry DNB"),1,0)</f>
        <v>0</v>
      </c>
      <c r="Y1078" s="39" t="n">
        <f aca="false">MATCH(A1078,DATAS,0)</f>
        <v>1</v>
      </c>
      <c r="Z1078" s="39" t="n">
        <f aca="false">IF(AND(E1078&gt;0,OR(AND(B1078&gt;=1,B1078&lt;=6),B1078=10)),1,0)</f>
        <v>1</v>
      </c>
      <c r="AA1078" s="39" t="n">
        <f aca="false">IF(AND(E1078&gt;0,B1078=10),1,0)</f>
        <v>0</v>
      </c>
      <c r="AB1078" s="0" t="str">
        <f aca="false">IF(AND(C1077=C1078,Y1077=Y1078-1),Z1077,"")</f>
        <v/>
      </c>
      <c r="AC1078" s="0" t="str">
        <f aca="false">IF(AND(C1077=C1078,Y1077=Y1078-1),AA1077,"")</f>
        <v/>
      </c>
      <c r="AD1078" s="0" t="str">
        <f aca="false">IF(Y1078=1,"",IF(AND(Z1078=1,AB1078&lt;&gt;1),1,0))</f>
        <v/>
      </c>
      <c r="AE1078" s="0" t="str">
        <f aca="false">IF(Y1078=1,"",IF(AND(AA1078=1,AC1078&lt;&gt;1),1,0))</f>
        <v/>
      </c>
      <c r="AF1078" s="45" t="str">
        <f aca="false">IF(AND(E1078&gt;0,Y1078&lt;1,NOT(AND(C1079=C1078,Y1079=Y1078+1))),INDEX(DATAS,Y1078+1),"")</f>
        <v/>
      </c>
      <c r="AG1078" s="45" t="str">
        <f aca="false">IF(AND(AA1078=1,Y1078&lt;1),IF(AND(C1079=C1078,Y1079=Y1078+1),IF(AA1079=1,"",INDEX(DATAS,Y1078+1)),INDEX(DATAS,Y1078+1)),"")</f>
        <v/>
      </c>
    </row>
    <row r="1079" customFormat="false" ht="15" hidden="false" customHeight="false" outlineLevel="0" collapsed="false">
      <c r="A1079" s="45" t="n">
        <v>46309</v>
      </c>
      <c r="B1079" s="0" t="n">
        <v>4</v>
      </c>
      <c r="C1079" s="0" t="n">
        <v>5103</v>
      </c>
      <c r="D1079" s="0" t="n">
        <v>350</v>
      </c>
      <c r="E1079" s="0" t="n">
        <v>1</v>
      </c>
      <c r="F1079" s="39" t="s">
        <v>752</v>
      </c>
      <c r="G1079" s="0" t="n">
        <v>53.9</v>
      </c>
      <c r="H1079" s="0" t="n">
        <v>49</v>
      </c>
      <c r="I1079" s="39" t="s">
        <v>109</v>
      </c>
      <c r="J1079" s="0" t="n">
        <v>147</v>
      </c>
      <c r="K1079" s="0" t="n">
        <v>64</v>
      </c>
      <c r="L1079" s="0" t="n">
        <v>203</v>
      </c>
      <c r="M1079" s="0" t="n">
        <v>1203.35</v>
      </c>
      <c r="N1079" s="0" t="n">
        <v>70.52</v>
      </c>
      <c r="O1079" s="0" t="n">
        <v>46.94</v>
      </c>
      <c r="P1079" s="0" t="n">
        <v>3.26</v>
      </c>
      <c r="Q1079" s="0" t="n">
        <v>3.75</v>
      </c>
      <c r="R1079" s="0" t="n">
        <v>4737</v>
      </c>
      <c r="S1079" s="0" t="n">
        <v>10257</v>
      </c>
      <c r="T1079" s="0" t="n">
        <v>50.6</v>
      </c>
      <c r="U1079" s="0" t="n">
        <v>1064</v>
      </c>
      <c r="V1079" s="0" t="n">
        <v>3</v>
      </c>
      <c r="W1079" s="39" t="n">
        <f aca="false">IF(I1079="Male",0,1)</f>
        <v>1</v>
      </c>
      <c r="X1079" s="39" t="n">
        <f aca="false">IF(OR(I1079="DNB",I1079="Dry DNB"),1,0)</f>
        <v>0</v>
      </c>
      <c r="Y1079" s="39" t="n">
        <f aca="false">MATCH(A1079,DATAS,0)</f>
        <v>1</v>
      </c>
      <c r="Z1079" s="39" t="n">
        <f aca="false">IF(AND(E1079&gt;0,OR(AND(B1079&gt;=1,B1079&lt;=6),B1079=10)),1,0)</f>
        <v>1</v>
      </c>
      <c r="AA1079" s="39" t="n">
        <f aca="false">IF(AND(E1079&gt;0,B1079=10),1,0)</f>
        <v>0</v>
      </c>
      <c r="AB1079" s="0" t="str">
        <f aca="false">IF(AND(C1078=C1079,Y1078=Y1079-1),Z1078,"")</f>
        <v/>
      </c>
      <c r="AC1079" s="0" t="str">
        <f aca="false">IF(AND(C1078=C1079,Y1078=Y1079-1),AA1078,"")</f>
        <v/>
      </c>
      <c r="AD1079" s="0" t="str">
        <f aca="false">IF(Y1079=1,"",IF(AND(Z1079=1,AB1079&lt;&gt;1),1,0))</f>
        <v/>
      </c>
      <c r="AE1079" s="0" t="str">
        <f aca="false">IF(Y1079=1,"",IF(AND(AA1079=1,AC1079&lt;&gt;1),1,0))</f>
        <v/>
      </c>
      <c r="AF1079" s="45" t="str">
        <f aca="false">IF(AND(E1079&gt;0,Y1079&lt;1,NOT(AND(C1080=C1079,Y1080=Y1079+1))),INDEX(DATAS,Y1079+1),"")</f>
        <v/>
      </c>
      <c r="AG1079" s="45" t="str">
        <f aca="false">IF(AND(AA1079=1,Y1079&lt;1),IF(AND(C1080=C1079,Y1080=Y1079+1),IF(AA1080=1,"",INDEX(DATAS,Y1079+1)),INDEX(DATAS,Y1079+1)),"")</f>
        <v/>
      </c>
    </row>
    <row r="1080" customFormat="false" ht="15" hidden="false" customHeight="false" outlineLevel="0" collapsed="false">
      <c r="A1080" s="45" t="n">
        <v>46309</v>
      </c>
      <c r="B1080" s="0" t="n">
        <v>1</v>
      </c>
      <c r="C1080" s="0" t="n">
        <v>5104</v>
      </c>
      <c r="D1080" s="0" t="n">
        <v>19</v>
      </c>
      <c r="E1080" s="0" t="n">
        <v>1</v>
      </c>
      <c r="F1080" s="39" t="s">
        <v>752</v>
      </c>
      <c r="G1080" s="0" t="n">
        <v>49.2</v>
      </c>
      <c r="H1080" s="0" t="n">
        <v>46</v>
      </c>
      <c r="I1080" s="39" t="s">
        <v>118</v>
      </c>
      <c r="J1080" s="0" t="n">
        <v>19</v>
      </c>
      <c r="M1080" s="0" t="n">
        <v>745.76</v>
      </c>
      <c r="N1080" s="0" t="n">
        <v>43.51</v>
      </c>
      <c r="O1080" s="0" t="n">
        <v>39.87</v>
      </c>
      <c r="R1080" s="0" t="n">
        <v>3733</v>
      </c>
      <c r="S1080" s="0" t="n">
        <v>7505</v>
      </c>
      <c r="U1080" s="0" t="n">
        <v>1064</v>
      </c>
      <c r="V1080" s="0" t="n">
        <v>0</v>
      </c>
      <c r="W1080" s="39" t="n">
        <f aca="false">IF(I1080="Male",0,1)</f>
        <v>1</v>
      </c>
      <c r="X1080" s="39" t="n">
        <f aca="false">IF(OR(I1080="DNB",I1080="Dry DNB"),1,0)</f>
        <v>0</v>
      </c>
      <c r="Y1080" s="39" t="n">
        <f aca="false">MATCH(A1080,DATAS,0)</f>
        <v>1</v>
      </c>
      <c r="Z1080" s="39" t="n">
        <f aca="false">IF(AND(E1080&gt;0,OR(AND(B1080&gt;=1,B1080&lt;=6),B1080=10)),1,0)</f>
        <v>1</v>
      </c>
      <c r="AA1080" s="39" t="n">
        <f aca="false">IF(AND(E1080&gt;0,B1080=10),1,0)</f>
        <v>0</v>
      </c>
      <c r="AB1080" s="0" t="str">
        <f aca="false">IF(AND(C1079=C1080,Y1079=Y1080-1),Z1079,"")</f>
        <v/>
      </c>
      <c r="AC1080" s="0" t="str">
        <f aca="false">IF(AND(C1079=C1080,Y1079=Y1080-1),AA1079,"")</f>
        <v/>
      </c>
      <c r="AD1080" s="0" t="str">
        <f aca="false">IF(Y1080=1,"",IF(AND(Z1080=1,AB1080&lt;&gt;1),1,0))</f>
        <v/>
      </c>
      <c r="AE1080" s="0" t="str">
        <f aca="false">IF(Y1080=1,"",IF(AND(AA1080=1,AC1080&lt;&gt;1),1,0))</f>
        <v/>
      </c>
      <c r="AF1080" s="45" t="str">
        <f aca="false">IF(AND(E1080&gt;0,Y1080&lt;1,NOT(AND(C1081=C1080,Y1081=Y1080+1))),INDEX(DATAS,Y1080+1),"")</f>
        <v/>
      </c>
      <c r="AG1080" s="45" t="str">
        <f aca="false">IF(AND(AA1080=1,Y1080&lt;1),IF(AND(C1081=C1080,Y1081=Y1080+1),IF(AA1081=1,"",INDEX(DATAS,Y1080+1)),INDEX(DATAS,Y1080+1)),"")</f>
        <v/>
      </c>
    </row>
    <row r="1081" customFormat="false" ht="15" hidden="false" customHeight="false" outlineLevel="0" collapsed="false">
      <c r="A1081" s="45" t="n">
        <v>46309</v>
      </c>
      <c r="B1081" s="0" t="n">
        <v>5</v>
      </c>
      <c r="C1081" s="0" t="n">
        <v>5106</v>
      </c>
      <c r="D1081" s="0" t="n">
        <v>66</v>
      </c>
      <c r="E1081" s="0" t="n">
        <v>2</v>
      </c>
      <c r="F1081" s="39" t="s">
        <v>753</v>
      </c>
      <c r="G1081" s="0" t="n">
        <v>40</v>
      </c>
      <c r="H1081" s="0" t="n">
        <v>41</v>
      </c>
      <c r="I1081" s="39" t="s">
        <v>146</v>
      </c>
      <c r="J1081" s="0" t="n">
        <v>66</v>
      </c>
      <c r="M1081" s="0" t="n">
        <v>-116.63</v>
      </c>
      <c r="N1081" s="0" t="n">
        <v>60.01</v>
      </c>
      <c r="O1081" s="0" t="n">
        <v>20.72</v>
      </c>
      <c r="P1081" s="0" t="n">
        <v>4.46</v>
      </c>
      <c r="Q1081" s="0" t="n">
        <v>3.86</v>
      </c>
      <c r="R1081" s="0" t="n">
        <v>3214</v>
      </c>
      <c r="S1081" s="0" t="n">
        <v>6462</v>
      </c>
      <c r="U1081" s="0" t="n">
        <v>1063</v>
      </c>
      <c r="V1081" s="0" t="n">
        <v>0</v>
      </c>
      <c r="W1081" s="39" t="n">
        <f aca="false">IF(I1081="Male",0,1)</f>
        <v>1</v>
      </c>
      <c r="X1081" s="39" t="n">
        <f aca="false">IF(OR(I1081="DNB",I1081="Dry DNB"),1,0)</f>
        <v>0</v>
      </c>
      <c r="Y1081" s="39" t="n">
        <f aca="false">MATCH(A1081,DATAS,0)</f>
        <v>1</v>
      </c>
      <c r="Z1081" s="39" t="n">
        <f aca="false">IF(AND(E1081&gt;0,OR(AND(B1081&gt;=1,B1081&lt;=6),B1081=10)),1,0)</f>
        <v>1</v>
      </c>
      <c r="AA1081" s="39" t="n">
        <f aca="false">IF(AND(E1081&gt;0,B1081=10),1,0)</f>
        <v>0</v>
      </c>
      <c r="AB1081" s="0" t="str">
        <f aca="false">IF(AND(C1080=C1081,Y1080=Y1081-1),Z1080,"")</f>
        <v/>
      </c>
      <c r="AC1081" s="0" t="str">
        <f aca="false">IF(AND(C1080=C1081,Y1080=Y1081-1),AA1080,"")</f>
        <v/>
      </c>
      <c r="AD1081" s="0" t="str">
        <f aca="false">IF(Y1081=1,"",IF(AND(Z1081=1,AB1081&lt;&gt;1),1,0))</f>
        <v/>
      </c>
      <c r="AE1081" s="0" t="str">
        <f aca="false">IF(Y1081=1,"",IF(AND(AA1081=1,AC1081&lt;&gt;1),1,0))</f>
        <v/>
      </c>
      <c r="AF1081" s="45" t="str">
        <f aca="false">IF(AND(E1081&gt;0,Y1081&lt;1,NOT(AND(C1082=C1081,Y1082=Y1081+1))),INDEX(DATAS,Y1081+1),"")</f>
        <v/>
      </c>
      <c r="AG1081" s="45" t="str">
        <f aca="false">IF(AND(AA1081=1,Y1081&lt;1),IF(AND(C1082=C1081,Y1082=Y1081+1),IF(AA1082=1,"",INDEX(DATAS,Y1081+1)),INDEX(DATAS,Y1081+1)),"")</f>
        <v/>
      </c>
    </row>
    <row r="1082" customFormat="false" ht="15" hidden="false" customHeight="false" outlineLevel="0" collapsed="false">
      <c r="A1082" s="45" t="n">
        <v>46309</v>
      </c>
      <c r="B1082" s="0" t="n">
        <v>5</v>
      </c>
      <c r="C1082" s="0" t="n">
        <v>5108</v>
      </c>
      <c r="D1082" s="0" t="n">
        <v>392</v>
      </c>
      <c r="E1082" s="0" t="n">
        <v>1</v>
      </c>
      <c r="F1082" s="39" t="s">
        <v>754</v>
      </c>
      <c r="G1082" s="0" t="n">
        <v>42.5</v>
      </c>
      <c r="H1082" s="0" t="n">
        <v>38</v>
      </c>
      <c r="I1082" s="39" t="s">
        <v>109</v>
      </c>
      <c r="J1082" s="0" t="n">
        <v>238</v>
      </c>
      <c r="K1082" s="0" t="n">
        <v>63</v>
      </c>
      <c r="L1082" s="0" t="n">
        <v>154</v>
      </c>
      <c r="M1082" s="0" t="n">
        <v>956.65</v>
      </c>
      <c r="N1082" s="0" t="n">
        <v>78.76</v>
      </c>
      <c r="O1082" s="0" t="n">
        <v>48.78</v>
      </c>
      <c r="P1082" s="0" t="n">
        <v>5.42</v>
      </c>
      <c r="Q1082" s="0" t="n">
        <v>4.01</v>
      </c>
      <c r="R1082" s="0" t="n">
        <v>3969</v>
      </c>
      <c r="S1082" s="0" t="n">
        <v>8026</v>
      </c>
      <c r="T1082" s="0" t="n">
        <v>42.05</v>
      </c>
      <c r="U1082" s="0" t="n">
        <v>1062</v>
      </c>
      <c r="V1082" s="0" t="n">
        <v>6</v>
      </c>
      <c r="W1082" s="39" t="n">
        <f aca="false">IF(I1082="Male",0,1)</f>
        <v>1</v>
      </c>
      <c r="X1082" s="39" t="n">
        <f aca="false">IF(OR(I1082="DNB",I1082="Dry DNB"),1,0)</f>
        <v>0</v>
      </c>
      <c r="Y1082" s="39" t="n">
        <f aca="false">MATCH(A1082,DATAS,0)</f>
        <v>1</v>
      </c>
      <c r="Z1082" s="39" t="n">
        <f aca="false">IF(AND(E1082&gt;0,OR(AND(B1082&gt;=1,B1082&lt;=6),B1082=10)),1,0)</f>
        <v>1</v>
      </c>
      <c r="AA1082" s="39" t="n">
        <f aca="false">IF(AND(E1082&gt;0,B1082=10),1,0)</f>
        <v>0</v>
      </c>
      <c r="AB1082" s="0" t="str">
        <f aca="false">IF(AND(C1081=C1082,Y1081=Y1082-1),Z1081,"")</f>
        <v/>
      </c>
      <c r="AC1082" s="0" t="str">
        <f aca="false">IF(AND(C1081=C1082,Y1081=Y1082-1),AA1081,"")</f>
        <v/>
      </c>
      <c r="AD1082" s="0" t="str">
        <f aca="false">IF(Y1082=1,"",IF(AND(Z1082=1,AB1082&lt;&gt;1),1,0))</f>
        <v/>
      </c>
      <c r="AE1082" s="0" t="str">
        <f aca="false">IF(Y1082=1,"",IF(AND(AA1082=1,AC1082&lt;&gt;1),1,0))</f>
        <v/>
      </c>
      <c r="AF1082" s="45" t="str">
        <f aca="false">IF(AND(E1082&gt;0,Y1082&lt;1,NOT(AND(C1083=C1082,Y1083=Y1082+1))),INDEX(DATAS,Y1082+1),"")</f>
        <v/>
      </c>
      <c r="AG1082" s="45" t="str">
        <f aca="false">IF(AND(AA1082=1,Y1082&lt;1),IF(AND(C1083=C1082,Y1083=Y1082+1),IF(AA1083=1,"",INDEX(DATAS,Y1082+1)),INDEX(DATAS,Y1082+1)),"")</f>
        <v/>
      </c>
    </row>
    <row r="1083" customFormat="false" ht="15" hidden="false" customHeight="false" outlineLevel="0" collapsed="false">
      <c r="A1083" s="45" t="n">
        <v>46309</v>
      </c>
      <c r="B1083" s="0" t="n">
        <v>6</v>
      </c>
      <c r="C1083" s="0" t="n">
        <v>5109</v>
      </c>
      <c r="D1083" s="0" t="n">
        <v>376</v>
      </c>
      <c r="E1083" s="0" t="n">
        <v>1</v>
      </c>
      <c r="F1083" s="39" t="s">
        <v>755</v>
      </c>
      <c r="G1083" s="0" t="n">
        <v>29</v>
      </c>
      <c r="H1083" s="0" t="n">
        <v>28</v>
      </c>
      <c r="I1083" s="39" t="s">
        <v>109</v>
      </c>
      <c r="J1083" s="0" t="n">
        <v>292</v>
      </c>
      <c r="K1083" s="0" t="n">
        <v>68</v>
      </c>
      <c r="L1083" s="0" t="n">
        <v>84</v>
      </c>
      <c r="M1083" s="0" t="n">
        <v>769.4</v>
      </c>
      <c r="N1083" s="0" t="n">
        <v>55.55</v>
      </c>
      <c r="O1083" s="0" t="n">
        <v>34.89</v>
      </c>
      <c r="P1083" s="0" t="n">
        <v>8.74</v>
      </c>
      <c r="Q1083" s="0" t="n">
        <v>5.67</v>
      </c>
      <c r="R1083" s="0" t="n">
        <v>4340</v>
      </c>
      <c r="S1083" s="0" t="n">
        <v>8220</v>
      </c>
      <c r="T1083" s="0" t="n">
        <v>47.05</v>
      </c>
      <c r="U1083" s="0" t="n">
        <v>1061</v>
      </c>
      <c r="V1083" s="0" t="n">
        <v>6</v>
      </c>
      <c r="W1083" s="39" t="n">
        <f aca="false">IF(I1083="Male",0,1)</f>
        <v>1</v>
      </c>
      <c r="X1083" s="39" t="n">
        <f aca="false">IF(OR(I1083="DNB",I1083="Dry DNB"),1,0)</f>
        <v>0</v>
      </c>
      <c r="Y1083" s="39" t="n">
        <f aca="false">MATCH(A1083,DATAS,0)</f>
        <v>1</v>
      </c>
      <c r="Z1083" s="39" t="n">
        <f aca="false">IF(AND(E1083&gt;0,OR(AND(B1083&gt;=1,B1083&lt;=6),B1083=10)),1,0)</f>
        <v>1</v>
      </c>
      <c r="AA1083" s="39" t="n">
        <f aca="false">IF(AND(E1083&gt;0,B1083=10),1,0)</f>
        <v>0</v>
      </c>
      <c r="AB1083" s="0" t="str">
        <f aca="false">IF(AND(C1082=C1083,Y1082=Y1083-1),Z1082,"")</f>
        <v/>
      </c>
      <c r="AC1083" s="0" t="str">
        <f aca="false">IF(AND(C1082=C1083,Y1082=Y1083-1),AA1082,"")</f>
        <v/>
      </c>
      <c r="AD1083" s="0" t="str">
        <f aca="false">IF(Y1083=1,"",IF(AND(Z1083=1,AB1083&lt;&gt;1),1,0))</f>
        <v/>
      </c>
      <c r="AE1083" s="0" t="str">
        <f aca="false">IF(Y1083=1,"",IF(AND(AA1083=1,AC1083&lt;&gt;1),1,0))</f>
        <v/>
      </c>
      <c r="AF1083" s="45" t="str">
        <f aca="false">IF(AND(E1083&gt;0,Y1083&lt;1,NOT(AND(C1084=C1083,Y1084=Y1083+1))),INDEX(DATAS,Y1083+1),"")</f>
        <v/>
      </c>
      <c r="AG1083" s="45" t="str">
        <f aca="false">IF(AND(AA1083=1,Y1083&lt;1),IF(AND(C1084=C1083,Y1084=Y1083+1),IF(AA1084=1,"",INDEX(DATAS,Y1083+1)),INDEX(DATAS,Y1083+1)),"")</f>
        <v/>
      </c>
    </row>
    <row r="1084" customFormat="false" ht="15" hidden="false" customHeight="false" outlineLevel="0" collapsed="false">
      <c r="A1084" s="45" t="n">
        <v>46309</v>
      </c>
      <c r="B1084" s="0" t="n">
        <v>5</v>
      </c>
      <c r="C1084" s="0" t="n">
        <v>5111</v>
      </c>
      <c r="D1084" s="0" t="n">
        <v>438</v>
      </c>
      <c r="E1084" s="0" t="n">
        <v>1</v>
      </c>
      <c r="F1084" s="39" t="s">
        <v>755</v>
      </c>
      <c r="G1084" s="0" t="n">
        <v>26.8</v>
      </c>
      <c r="H1084" s="0" t="n">
        <v>33</v>
      </c>
      <c r="I1084" s="39" t="s">
        <v>109</v>
      </c>
      <c r="J1084" s="0" t="n">
        <v>354</v>
      </c>
      <c r="K1084" s="0" t="n">
        <v>60</v>
      </c>
      <c r="L1084" s="0" t="n">
        <v>84</v>
      </c>
      <c r="M1084" s="0" t="n">
        <v>837.56</v>
      </c>
      <c r="N1084" s="0" t="n">
        <v>79.41</v>
      </c>
      <c r="O1084" s="0" t="n">
        <v>41.79</v>
      </c>
      <c r="P1084" s="0" t="n">
        <v>5.8</v>
      </c>
      <c r="Q1084" s="0" t="n">
        <v>5.05</v>
      </c>
      <c r="R1084" s="0" t="n">
        <v>4336</v>
      </c>
      <c r="S1084" s="0" t="n">
        <v>7797</v>
      </c>
      <c r="T1084" s="0" t="n">
        <v>46.8</v>
      </c>
      <c r="U1084" s="0" t="n">
        <v>1061</v>
      </c>
      <c r="V1084" s="0" t="n">
        <v>8</v>
      </c>
      <c r="W1084" s="39" t="n">
        <f aca="false">IF(I1084="Male",0,1)</f>
        <v>1</v>
      </c>
      <c r="X1084" s="39" t="n">
        <f aca="false">IF(OR(I1084="DNB",I1084="Dry DNB"),1,0)</f>
        <v>0</v>
      </c>
      <c r="Y1084" s="39" t="n">
        <f aca="false">MATCH(A1084,DATAS,0)</f>
        <v>1</v>
      </c>
      <c r="Z1084" s="39" t="n">
        <f aca="false">IF(AND(E1084&gt;0,OR(AND(B1084&gt;=1,B1084&lt;=6),B1084=10)),1,0)</f>
        <v>1</v>
      </c>
      <c r="AA1084" s="39" t="n">
        <f aca="false">IF(AND(E1084&gt;0,B1084=10),1,0)</f>
        <v>0</v>
      </c>
      <c r="AB1084" s="0" t="str">
        <f aca="false">IF(AND(C1083=C1084,Y1083=Y1084-1),Z1083,"")</f>
        <v/>
      </c>
      <c r="AC1084" s="0" t="str">
        <f aca="false">IF(AND(C1083=C1084,Y1083=Y1084-1),AA1083,"")</f>
        <v/>
      </c>
      <c r="AD1084" s="0" t="str">
        <f aca="false">IF(Y1084=1,"",IF(AND(Z1084=1,AB1084&lt;&gt;1),1,0))</f>
        <v/>
      </c>
      <c r="AE1084" s="0" t="str">
        <f aca="false">IF(Y1084=1,"",IF(AND(AA1084=1,AC1084&lt;&gt;1),1,0))</f>
        <v/>
      </c>
      <c r="AF1084" s="45" t="str">
        <f aca="false">IF(AND(E1084&gt;0,Y1084&lt;1,NOT(AND(C1085=C1084,Y1085=Y1084+1))),INDEX(DATAS,Y1084+1),"")</f>
        <v/>
      </c>
      <c r="AG1084" s="45" t="str">
        <f aca="false">IF(AND(AA1084=1,Y1084&lt;1),IF(AND(C1085=C1084,Y1085=Y1084+1),IF(AA1085=1,"",INDEX(DATAS,Y1084+1)),INDEX(DATAS,Y1084+1)),"")</f>
        <v/>
      </c>
    </row>
    <row r="1085" customFormat="false" ht="15" hidden="false" customHeight="false" outlineLevel="0" collapsed="false">
      <c r="A1085" s="45" t="n">
        <v>46309</v>
      </c>
      <c r="B1085" s="0" t="n">
        <v>7</v>
      </c>
      <c r="C1085" s="0" t="n">
        <v>5112</v>
      </c>
      <c r="D1085" s="0" t="n">
        <v>398</v>
      </c>
      <c r="E1085" s="0" t="n">
        <v>1</v>
      </c>
      <c r="F1085" s="39" t="s">
        <v>756</v>
      </c>
      <c r="G1085" s="0" t="n">
        <v>7.1</v>
      </c>
      <c r="H1085" s="0" t="n">
        <v>12</v>
      </c>
      <c r="I1085" s="39" t="s">
        <v>114</v>
      </c>
      <c r="J1085" s="0" t="n">
        <v>203</v>
      </c>
      <c r="K1085" s="0" t="n">
        <v>63</v>
      </c>
      <c r="L1085" s="0" t="n">
        <v>196</v>
      </c>
      <c r="M1085" s="0" t="n">
        <v>-532.85</v>
      </c>
      <c r="N1085" s="0" t="n">
        <v>48.26</v>
      </c>
      <c r="O1085" s="0" t="n">
        <v>6.52</v>
      </c>
      <c r="P1085" s="0" t="n">
        <v>6.39</v>
      </c>
      <c r="Q1085" s="0" t="n">
        <v>5.08</v>
      </c>
      <c r="R1085" s="0" t="n">
        <v>3604</v>
      </c>
      <c r="S1085" s="0" t="n">
        <v>7157</v>
      </c>
      <c r="T1085" s="0" t="n">
        <v>35.6</v>
      </c>
      <c r="U1085" s="0" t="n">
        <v>1060</v>
      </c>
      <c r="V1085" s="0" t="n">
        <v>4</v>
      </c>
      <c r="W1085" s="39" t="n">
        <f aca="false">IF(I1085="Male",0,1)</f>
        <v>1</v>
      </c>
      <c r="X1085" s="39" t="n">
        <f aca="false">IF(OR(I1085="DNB",I1085="Dry DNB"),1,0)</f>
        <v>0</v>
      </c>
      <c r="Y1085" s="39" t="n">
        <f aca="false">MATCH(A1085,DATAS,0)</f>
        <v>1</v>
      </c>
      <c r="Z1085" s="39" t="n">
        <f aca="false">IF(AND(E1085&gt;0,OR(AND(B1085&gt;=1,B1085&lt;=6),B1085=10)),1,0)</f>
        <v>0</v>
      </c>
      <c r="AA1085" s="39" t="n">
        <f aca="false">IF(AND(E1085&gt;0,B1085=10),1,0)</f>
        <v>0</v>
      </c>
      <c r="AB1085" s="0" t="str">
        <f aca="false">IF(AND(C1084=C1085,Y1084=Y1085-1),Z1084,"")</f>
        <v/>
      </c>
      <c r="AC1085" s="0" t="str">
        <f aca="false">IF(AND(C1084=C1085,Y1084=Y1085-1),AA1084,"")</f>
        <v/>
      </c>
      <c r="AD1085" s="0" t="str">
        <f aca="false">IF(Y1085=1,"",IF(AND(Z1085=1,AB1085&lt;&gt;1),1,0))</f>
        <v/>
      </c>
      <c r="AE1085" s="0" t="str">
        <f aca="false">IF(Y1085=1,"",IF(AND(AA1085=1,AC1085&lt;&gt;1),1,0))</f>
        <v/>
      </c>
      <c r="AF1085" s="45" t="str">
        <f aca="false">IF(AND(E1085&gt;0,Y1085&lt;1,NOT(AND(C1086=C1085,Y1086=Y1085+1))),INDEX(DATAS,Y1085+1),"")</f>
        <v/>
      </c>
      <c r="AG1085" s="45" t="str">
        <f aca="false">IF(AND(AA1085=1,Y1085&lt;1),IF(AND(C1086=C1085,Y1086=Y1085+1),IF(AA1086=1,"",INDEX(DATAS,Y1085+1)),INDEX(DATAS,Y1085+1)),"")</f>
        <v/>
      </c>
    </row>
    <row r="1086" customFormat="false" ht="15" hidden="false" customHeight="false" outlineLevel="0" collapsed="false">
      <c r="A1086" s="45" t="n">
        <v>46309</v>
      </c>
      <c r="B1086" s="0" t="n">
        <v>6</v>
      </c>
      <c r="C1086" s="0" t="n">
        <v>5114</v>
      </c>
      <c r="D1086" s="0" t="n">
        <v>431</v>
      </c>
      <c r="E1086" s="0" t="n">
        <v>1</v>
      </c>
      <c r="F1086" s="39" t="s">
        <v>757</v>
      </c>
      <c r="G1086" s="0" t="n">
        <v>23.9</v>
      </c>
      <c r="H1086" s="0" t="n">
        <v>20</v>
      </c>
      <c r="I1086" s="39" t="s">
        <v>109</v>
      </c>
      <c r="J1086" s="0" t="n">
        <v>375</v>
      </c>
      <c r="K1086" s="0" t="n">
        <v>60</v>
      </c>
      <c r="L1086" s="0" t="n">
        <v>56</v>
      </c>
      <c r="M1086" s="0" t="n">
        <v>781.29</v>
      </c>
      <c r="N1086" s="0" t="n">
        <v>58.53</v>
      </c>
      <c r="O1086" s="0" t="n">
        <v>35.4</v>
      </c>
      <c r="P1086" s="0" t="n">
        <v>5.69</v>
      </c>
      <c r="Q1086" s="0" t="n">
        <v>4.04</v>
      </c>
      <c r="R1086" s="0" t="n">
        <v>3829</v>
      </c>
      <c r="S1086" s="0" t="n">
        <v>6868</v>
      </c>
      <c r="T1086" s="0" t="n">
        <v>41.4</v>
      </c>
      <c r="U1086" s="0" t="n">
        <v>1059</v>
      </c>
      <c r="V1086" s="0" t="n">
        <v>10</v>
      </c>
      <c r="W1086" s="39" t="n">
        <f aca="false">IF(I1086="Male",0,1)</f>
        <v>1</v>
      </c>
      <c r="X1086" s="39" t="n">
        <f aca="false">IF(OR(I1086="DNB",I1086="Dry DNB"),1,0)</f>
        <v>0</v>
      </c>
      <c r="Y1086" s="39" t="n">
        <f aca="false">MATCH(A1086,DATAS,0)</f>
        <v>1</v>
      </c>
      <c r="Z1086" s="39" t="n">
        <f aca="false">IF(AND(E1086&gt;0,OR(AND(B1086&gt;=1,B1086&lt;=6),B1086=10)),1,0)</f>
        <v>1</v>
      </c>
      <c r="AA1086" s="39" t="n">
        <f aca="false">IF(AND(E1086&gt;0,B1086=10),1,0)</f>
        <v>0</v>
      </c>
      <c r="AB1086" s="0" t="str">
        <f aca="false">IF(AND(C1085=C1086,Y1085=Y1086-1),Z1085,"")</f>
        <v/>
      </c>
      <c r="AC1086" s="0" t="str">
        <f aca="false">IF(AND(C1085=C1086,Y1085=Y1086-1),AA1085,"")</f>
        <v/>
      </c>
      <c r="AD1086" s="0" t="str">
        <f aca="false">IF(Y1086=1,"",IF(AND(Z1086=1,AB1086&lt;&gt;1),1,0))</f>
        <v/>
      </c>
      <c r="AE1086" s="0" t="str">
        <f aca="false">IF(Y1086=1,"",IF(AND(AA1086=1,AC1086&lt;&gt;1),1,0))</f>
        <v/>
      </c>
      <c r="AF1086" s="45" t="str">
        <f aca="false">IF(AND(E1086&gt;0,Y1086&lt;1,NOT(AND(C1087=C1086,Y1087=Y1086+1))),INDEX(DATAS,Y1086+1),"")</f>
        <v/>
      </c>
      <c r="AG1086" s="45" t="str">
        <f aca="false">IF(AND(AA1086=1,Y1086&lt;1),IF(AND(C1087=C1086,Y1087=Y1086+1),IF(AA1087=1,"",INDEX(DATAS,Y1086+1)),INDEX(DATAS,Y1086+1)),"")</f>
        <v/>
      </c>
    </row>
    <row r="1087" customFormat="false" ht="15" hidden="false" customHeight="false" outlineLevel="0" collapsed="false">
      <c r="A1087" s="45" t="n">
        <v>46309</v>
      </c>
      <c r="B1087" s="0" t="n">
        <v>5</v>
      </c>
      <c r="C1087" s="0" t="n">
        <v>5115</v>
      </c>
      <c r="D1087" s="0" t="n">
        <v>154</v>
      </c>
      <c r="E1087" s="0" t="n">
        <v>2</v>
      </c>
      <c r="F1087" s="39" t="s">
        <v>758</v>
      </c>
      <c r="G1087" s="0" t="n">
        <v>44.9</v>
      </c>
      <c r="H1087" s="0" t="n">
        <v>42</v>
      </c>
      <c r="I1087" s="39" t="s">
        <v>109</v>
      </c>
      <c r="J1087" s="0" t="n">
        <v>84</v>
      </c>
      <c r="K1087" s="0" t="n">
        <v>84</v>
      </c>
      <c r="L1087" s="0" t="n">
        <v>70</v>
      </c>
      <c r="M1087" s="0" t="n">
        <v>949.67</v>
      </c>
      <c r="N1087" s="0" t="n">
        <v>31.69</v>
      </c>
      <c r="O1087" s="0" t="n">
        <v>32.84</v>
      </c>
      <c r="P1087" s="0" t="n">
        <v>3.1</v>
      </c>
      <c r="Q1087" s="0" t="n">
        <v>4.05</v>
      </c>
      <c r="R1087" s="0" t="n">
        <v>3848</v>
      </c>
      <c r="S1087" s="0" t="n">
        <v>8004</v>
      </c>
      <c r="T1087" s="0" t="n">
        <v>39.65</v>
      </c>
      <c r="U1087" s="0" t="n">
        <v>1058</v>
      </c>
      <c r="V1087" s="0" t="n">
        <v>1</v>
      </c>
      <c r="W1087" s="39" t="n">
        <f aca="false">IF(I1087="Male",0,1)</f>
        <v>1</v>
      </c>
      <c r="X1087" s="39" t="n">
        <f aca="false">IF(OR(I1087="DNB",I1087="Dry DNB"),1,0)</f>
        <v>0</v>
      </c>
      <c r="Y1087" s="39" t="n">
        <f aca="false">MATCH(A1087,DATAS,0)</f>
        <v>1</v>
      </c>
      <c r="Z1087" s="39" t="n">
        <f aca="false">IF(AND(E1087&gt;0,OR(AND(B1087&gt;=1,B1087&lt;=6),B1087=10)),1,0)</f>
        <v>1</v>
      </c>
      <c r="AA1087" s="39" t="n">
        <f aca="false">IF(AND(E1087&gt;0,B1087=10),1,0)</f>
        <v>0</v>
      </c>
      <c r="AB1087" s="0" t="str">
        <f aca="false">IF(AND(C1086=C1087,Y1086=Y1087-1),Z1086,"")</f>
        <v/>
      </c>
      <c r="AC1087" s="0" t="str">
        <f aca="false">IF(AND(C1086=C1087,Y1086=Y1087-1),AA1086,"")</f>
        <v/>
      </c>
      <c r="AD1087" s="0" t="str">
        <f aca="false">IF(Y1087=1,"",IF(AND(Z1087=1,AB1087&lt;&gt;1),1,0))</f>
        <v/>
      </c>
      <c r="AE1087" s="0" t="str">
        <f aca="false">IF(Y1087=1,"",IF(AND(AA1087=1,AC1087&lt;&gt;1),1,0))</f>
        <v/>
      </c>
      <c r="AF1087" s="45" t="str">
        <f aca="false">IF(AND(E1087&gt;0,Y1087&lt;1,NOT(AND(C1088=C1087,Y1088=Y1087+1))),INDEX(DATAS,Y1087+1),"")</f>
        <v/>
      </c>
      <c r="AG1087" s="45" t="str">
        <f aca="false">IF(AND(AA1087=1,Y1087&lt;1),IF(AND(C1088=C1087,Y1088=Y1087+1),IF(AA1088=1,"",INDEX(DATAS,Y1087+1)),INDEX(DATAS,Y1087+1)),"")</f>
        <v/>
      </c>
    </row>
    <row r="1088" customFormat="false" ht="15" hidden="false" customHeight="false" outlineLevel="0" collapsed="false">
      <c r="A1088" s="45" t="n">
        <v>46309</v>
      </c>
      <c r="B1088" s="0" t="n">
        <v>3</v>
      </c>
      <c r="C1088" s="0" t="n">
        <v>5116</v>
      </c>
      <c r="D1088" s="0" t="n">
        <v>54</v>
      </c>
      <c r="E1088" s="0" t="n">
        <v>2</v>
      </c>
      <c r="F1088" s="39" t="s">
        <v>758</v>
      </c>
      <c r="G1088" s="0" t="n">
        <v>61.8</v>
      </c>
      <c r="H1088" s="0" t="n">
        <v>55</v>
      </c>
      <c r="I1088" s="39" t="s">
        <v>118</v>
      </c>
      <c r="J1088" s="0" t="n">
        <v>54</v>
      </c>
      <c r="M1088" s="0" t="n">
        <v>677.55</v>
      </c>
      <c r="N1088" s="0" t="n">
        <v>32.14</v>
      </c>
      <c r="O1088" s="0" t="n">
        <v>27.51</v>
      </c>
      <c r="P1088" s="0" t="n">
        <v>3.49</v>
      </c>
      <c r="Q1088" s="0" t="n">
        <v>3.22</v>
      </c>
      <c r="R1088" s="0" t="n">
        <v>5511</v>
      </c>
      <c r="S1088" s="0" t="n">
        <v>11079</v>
      </c>
      <c r="U1088" s="0" t="n">
        <v>1058</v>
      </c>
      <c r="V1088" s="0" t="n">
        <v>0</v>
      </c>
      <c r="W1088" s="39" t="n">
        <f aca="false">IF(I1088="Male",0,1)</f>
        <v>1</v>
      </c>
      <c r="X1088" s="39" t="n">
        <f aca="false">IF(OR(I1088="DNB",I1088="Dry DNB"),1,0)</f>
        <v>0</v>
      </c>
      <c r="Y1088" s="39" t="n">
        <f aca="false">MATCH(A1088,DATAS,0)</f>
        <v>1</v>
      </c>
      <c r="Z1088" s="39" t="n">
        <f aca="false">IF(AND(E1088&gt;0,OR(AND(B1088&gt;=1,B1088&lt;=6),B1088=10)),1,0)</f>
        <v>1</v>
      </c>
      <c r="AA1088" s="39" t="n">
        <f aca="false">IF(AND(E1088&gt;0,B1088=10),1,0)</f>
        <v>0</v>
      </c>
      <c r="AB1088" s="0" t="str">
        <f aca="false">IF(AND(C1087=C1088,Y1087=Y1088-1),Z1087,"")</f>
        <v/>
      </c>
      <c r="AC1088" s="0" t="str">
        <f aca="false">IF(AND(C1087=C1088,Y1087=Y1088-1),AA1087,"")</f>
        <v/>
      </c>
      <c r="AD1088" s="0" t="str">
        <f aca="false">IF(Y1088=1,"",IF(AND(Z1088=1,AB1088&lt;&gt;1),1,0))</f>
        <v/>
      </c>
      <c r="AE1088" s="0" t="str">
        <f aca="false">IF(Y1088=1,"",IF(AND(AA1088=1,AC1088&lt;&gt;1),1,0))</f>
        <v/>
      </c>
      <c r="AF1088" s="45" t="str">
        <f aca="false">IF(AND(E1088&gt;0,Y1088&lt;1,NOT(AND(C1089=C1088,Y1089=Y1088+1))),INDEX(DATAS,Y1088+1),"")</f>
        <v/>
      </c>
      <c r="AG1088" s="45" t="str">
        <f aca="false">IF(AND(AA1088=1,Y1088&lt;1),IF(AND(C1089=C1088,Y1089=Y1088+1),IF(AA1089=1,"",INDEX(DATAS,Y1088+1)),INDEX(DATAS,Y1088+1)),"")</f>
        <v/>
      </c>
    </row>
    <row r="1089" customFormat="false" ht="15" hidden="false" customHeight="false" outlineLevel="0" collapsed="false">
      <c r="A1089" s="45" t="n">
        <v>46309</v>
      </c>
      <c r="B1089" s="0" t="n">
        <v>7</v>
      </c>
      <c r="C1089" s="0" t="n">
        <v>5118</v>
      </c>
      <c r="D1089" s="0" t="n">
        <v>292</v>
      </c>
      <c r="E1089" s="0" t="n">
        <v>1</v>
      </c>
      <c r="F1089" s="39" t="s">
        <v>758</v>
      </c>
      <c r="I1089" s="39" t="s">
        <v>114</v>
      </c>
      <c r="J1089" s="0" t="n">
        <v>69</v>
      </c>
      <c r="K1089" s="0" t="n">
        <v>69</v>
      </c>
      <c r="L1089" s="0" t="n">
        <v>231</v>
      </c>
      <c r="M1089" s="0" t="n">
        <v>637.43</v>
      </c>
      <c r="N1089" s="0" t="n">
        <v>40.05</v>
      </c>
      <c r="O1089" s="0" t="n">
        <v>27.96</v>
      </c>
      <c r="P1089" s="0" t="n">
        <v>4.31</v>
      </c>
      <c r="Q1089" s="0" t="n">
        <v>3.78</v>
      </c>
      <c r="R1089" s="0" t="n">
        <v>4332</v>
      </c>
      <c r="S1089" s="0" t="n">
        <v>8925</v>
      </c>
      <c r="T1089" s="0" t="n">
        <v>45.25</v>
      </c>
      <c r="U1089" s="0" t="n">
        <v>1058</v>
      </c>
      <c r="V1089" s="0" t="n">
        <v>1</v>
      </c>
      <c r="W1089" s="39" t="n">
        <f aca="false">IF(I1089="Male",0,1)</f>
        <v>1</v>
      </c>
      <c r="X1089" s="39" t="n">
        <f aca="false">IF(OR(I1089="DNB",I1089="Dry DNB"),1,0)</f>
        <v>0</v>
      </c>
      <c r="Y1089" s="39" t="n">
        <f aca="false">MATCH(A1089,DATAS,0)</f>
        <v>1</v>
      </c>
      <c r="Z1089" s="39" t="n">
        <f aca="false">IF(AND(E1089&gt;0,OR(AND(B1089&gt;=1,B1089&lt;=6),B1089=10)),1,0)</f>
        <v>0</v>
      </c>
      <c r="AA1089" s="39" t="n">
        <f aca="false">IF(AND(E1089&gt;0,B1089=10),1,0)</f>
        <v>0</v>
      </c>
      <c r="AB1089" s="0" t="str">
        <f aca="false">IF(AND(C1088=C1089,Y1088=Y1089-1),Z1088,"")</f>
        <v/>
      </c>
      <c r="AC1089" s="0" t="str">
        <f aca="false">IF(AND(C1088=C1089,Y1088=Y1089-1),AA1088,"")</f>
        <v/>
      </c>
      <c r="AD1089" s="0" t="str">
        <f aca="false">IF(Y1089=1,"",IF(AND(Z1089=1,AB1089&lt;&gt;1),1,0))</f>
        <v/>
      </c>
      <c r="AE1089" s="0" t="str">
        <f aca="false">IF(Y1089=1,"",IF(AND(AA1089=1,AC1089&lt;&gt;1),1,0))</f>
        <v/>
      </c>
      <c r="AF1089" s="45" t="str">
        <f aca="false">IF(AND(E1089&gt;0,Y1089&lt;1,NOT(AND(C1090=C1089,Y1090=Y1089+1))),INDEX(DATAS,Y1089+1),"")</f>
        <v/>
      </c>
      <c r="AG1089" s="45" t="str">
        <f aca="false">IF(AND(AA1089=1,Y1089&lt;1),IF(AND(C1090=C1089,Y1090=Y1089+1),IF(AA1090=1,"",INDEX(DATAS,Y1089+1)),INDEX(DATAS,Y1089+1)),"")</f>
        <v/>
      </c>
    </row>
    <row r="1090" customFormat="false" ht="15" hidden="false" customHeight="false" outlineLevel="0" collapsed="false">
      <c r="A1090" s="45" t="n">
        <v>46309</v>
      </c>
      <c r="B1090" s="0" t="n">
        <v>7</v>
      </c>
      <c r="C1090" s="0" t="n">
        <v>5119</v>
      </c>
      <c r="D1090" s="0" t="n">
        <v>333</v>
      </c>
      <c r="E1090" s="0" t="n">
        <v>1</v>
      </c>
      <c r="F1090" s="39" t="s">
        <v>758</v>
      </c>
      <c r="I1090" s="39" t="s">
        <v>114</v>
      </c>
      <c r="J1090" s="0" t="n">
        <v>110</v>
      </c>
      <c r="K1090" s="0" t="n">
        <v>69</v>
      </c>
      <c r="L1090" s="0" t="n">
        <v>252</v>
      </c>
      <c r="M1090" s="0" t="n">
        <v>928.48</v>
      </c>
      <c r="N1090" s="0" t="n">
        <v>53.86</v>
      </c>
      <c r="O1090" s="0" t="n">
        <v>39.29</v>
      </c>
      <c r="P1090" s="0" t="n">
        <v>3.65</v>
      </c>
      <c r="Q1090" s="0" t="n">
        <v>3.58</v>
      </c>
      <c r="R1090" s="0" t="n">
        <v>4093</v>
      </c>
      <c r="S1090" s="0" t="n">
        <v>8409</v>
      </c>
      <c r="T1090" s="0" t="n">
        <v>38.1</v>
      </c>
      <c r="U1090" s="0" t="n">
        <v>1058</v>
      </c>
      <c r="V1090" s="0" t="n">
        <v>2</v>
      </c>
      <c r="W1090" s="39" t="n">
        <f aca="false">IF(I1090="Male",0,1)</f>
        <v>1</v>
      </c>
      <c r="X1090" s="39" t="n">
        <f aca="false">IF(OR(I1090="DNB",I1090="Dry DNB"),1,0)</f>
        <v>0</v>
      </c>
      <c r="Y1090" s="39" t="n">
        <f aca="false">MATCH(A1090,DATAS,0)</f>
        <v>1</v>
      </c>
      <c r="Z1090" s="39" t="n">
        <f aca="false">IF(AND(E1090&gt;0,OR(AND(B1090&gt;=1,B1090&lt;=6),B1090=10)),1,0)</f>
        <v>0</v>
      </c>
      <c r="AA1090" s="39" t="n">
        <f aca="false">IF(AND(E1090&gt;0,B1090=10),1,0)</f>
        <v>0</v>
      </c>
      <c r="AB1090" s="0" t="str">
        <f aca="false">IF(AND(C1089=C1090,Y1089=Y1090-1),Z1089,"")</f>
        <v/>
      </c>
      <c r="AC1090" s="0" t="str">
        <f aca="false">IF(AND(C1089=C1090,Y1089=Y1090-1),AA1089,"")</f>
        <v/>
      </c>
      <c r="AD1090" s="0" t="str">
        <f aca="false">IF(Y1090=1,"",IF(AND(Z1090=1,AB1090&lt;&gt;1),1,0))</f>
        <v/>
      </c>
      <c r="AE1090" s="0" t="str">
        <f aca="false">IF(Y1090=1,"",IF(AND(AA1090=1,AC1090&lt;&gt;1),1,0))</f>
        <v/>
      </c>
      <c r="AF1090" s="45" t="str">
        <f aca="false">IF(AND(E1090&gt;0,Y1090&lt;1,NOT(AND(C1091=C1090,Y1091=Y1090+1))),INDEX(DATAS,Y1090+1),"")</f>
        <v/>
      </c>
      <c r="AG1090" s="45" t="str">
        <f aca="false">IF(AND(AA1090=1,Y1090&lt;1),IF(AND(C1091=C1090,Y1091=Y1090+1),IF(AA1091=1,"",INDEX(DATAS,Y1090+1)),INDEX(DATAS,Y1090+1)),"")</f>
        <v/>
      </c>
    </row>
    <row r="1091" customFormat="false" ht="15" hidden="false" customHeight="false" outlineLevel="0" collapsed="false">
      <c r="A1091" s="45" t="n">
        <v>46309</v>
      </c>
      <c r="B1091" s="0" t="n">
        <v>4</v>
      </c>
      <c r="C1091" s="0" t="n">
        <v>5122</v>
      </c>
      <c r="D1091" s="0" t="n">
        <v>347</v>
      </c>
      <c r="E1091" s="0" t="n">
        <v>1</v>
      </c>
      <c r="F1091" s="39" t="s">
        <v>759</v>
      </c>
      <c r="G1091" s="0" t="n">
        <v>33.6</v>
      </c>
      <c r="H1091" s="0" t="n">
        <v>37</v>
      </c>
      <c r="I1091" s="39" t="s">
        <v>146</v>
      </c>
      <c r="J1091" s="0" t="n">
        <v>347</v>
      </c>
      <c r="K1091" s="0" t="n">
        <v>68</v>
      </c>
      <c r="M1091" s="0" t="n">
        <v>314.58</v>
      </c>
      <c r="N1091" s="0" t="n">
        <v>43.22</v>
      </c>
      <c r="O1091" s="0" t="n">
        <v>20.54</v>
      </c>
      <c r="P1091" s="0" t="n">
        <v>3.55</v>
      </c>
      <c r="Q1091" s="0" t="n">
        <v>3.94</v>
      </c>
      <c r="R1091" s="0" t="n">
        <v>4660</v>
      </c>
      <c r="S1091" s="0" t="n">
        <v>9328</v>
      </c>
      <c r="T1091" s="0" t="n">
        <v>50.35</v>
      </c>
      <c r="U1091" s="0" t="n">
        <v>1057</v>
      </c>
      <c r="V1091" s="0" t="n">
        <v>6</v>
      </c>
      <c r="W1091" s="39" t="n">
        <f aca="false">IF(I1091="Male",0,1)</f>
        <v>1</v>
      </c>
      <c r="X1091" s="39" t="n">
        <f aca="false">IF(OR(I1091="DNB",I1091="Dry DNB"),1,0)</f>
        <v>0</v>
      </c>
      <c r="Y1091" s="39" t="n">
        <f aca="false">MATCH(A1091,DATAS,0)</f>
        <v>1</v>
      </c>
      <c r="Z1091" s="39" t="n">
        <f aca="false">IF(AND(E1091&gt;0,OR(AND(B1091&gt;=1,B1091&lt;=6),B1091=10)),1,0)</f>
        <v>1</v>
      </c>
      <c r="AA1091" s="39" t="n">
        <f aca="false">IF(AND(E1091&gt;0,B1091=10),1,0)</f>
        <v>0</v>
      </c>
      <c r="AB1091" s="0" t="str">
        <f aca="false">IF(AND(C1090=C1091,Y1090=Y1091-1),Z1090,"")</f>
        <v/>
      </c>
      <c r="AC1091" s="0" t="str">
        <f aca="false">IF(AND(C1090=C1091,Y1090=Y1091-1),AA1090,"")</f>
        <v/>
      </c>
      <c r="AD1091" s="0" t="str">
        <f aca="false">IF(Y1091=1,"",IF(AND(Z1091=1,AB1091&lt;&gt;1),1,0))</f>
        <v/>
      </c>
      <c r="AE1091" s="0" t="str">
        <f aca="false">IF(Y1091=1,"",IF(AND(AA1091=1,AC1091&lt;&gt;1),1,0))</f>
        <v/>
      </c>
      <c r="AF1091" s="45" t="str">
        <f aca="false">IF(AND(E1091&gt;0,Y1091&lt;1,NOT(AND(C1092=C1091,Y1092=Y1091+1))),INDEX(DATAS,Y1091+1),"")</f>
        <v/>
      </c>
      <c r="AG1091" s="45" t="str">
        <f aca="false">IF(AND(AA1091=1,Y1091&lt;1),IF(AND(C1092=C1091,Y1092=Y1091+1),IF(AA1092=1,"",INDEX(DATAS,Y1091+1)),INDEX(DATAS,Y1091+1)),"")</f>
        <v/>
      </c>
    </row>
    <row r="1092" customFormat="false" ht="15" hidden="false" customHeight="false" outlineLevel="0" collapsed="false">
      <c r="A1092" s="45" t="n">
        <v>46309</v>
      </c>
      <c r="B1092" s="0" t="n">
        <v>5</v>
      </c>
      <c r="C1092" s="0" t="n">
        <v>5123</v>
      </c>
      <c r="D1092" s="0" t="n">
        <v>109</v>
      </c>
      <c r="E1092" s="0" t="n">
        <v>2</v>
      </c>
      <c r="F1092" s="39" t="s">
        <v>760</v>
      </c>
      <c r="G1092" s="0" t="n">
        <v>16.6</v>
      </c>
      <c r="H1092" s="0" t="n">
        <v>25</v>
      </c>
      <c r="I1092" s="39" t="s">
        <v>109</v>
      </c>
      <c r="J1092" s="0" t="n">
        <v>67</v>
      </c>
      <c r="K1092" s="0" t="n">
        <v>67</v>
      </c>
      <c r="L1092" s="0" t="n">
        <v>42</v>
      </c>
      <c r="M1092" s="0" t="n">
        <v>173.11</v>
      </c>
      <c r="N1092" s="0" t="n">
        <v>80.95</v>
      </c>
      <c r="O1092" s="0" t="n">
        <v>26.43</v>
      </c>
      <c r="P1092" s="0" t="n">
        <v>5.51</v>
      </c>
      <c r="Q1092" s="0" t="n">
        <v>3.97</v>
      </c>
      <c r="R1092" s="0" t="n">
        <v>3056</v>
      </c>
      <c r="S1092" s="0" t="n">
        <v>6079</v>
      </c>
      <c r="T1092" s="0" t="n">
        <v>36.95</v>
      </c>
      <c r="U1092" s="0" t="n">
        <v>1056</v>
      </c>
      <c r="V1092" s="0" t="n">
        <v>1</v>
      </c>
      <c r="W1092" s="39" t="n">
        <f aca="false">IF(I1092="Male",0,1)</f>
        <v>1</v>
      </c>
      <c r="X1092" s="39" t="n">
        <f aca="false">IF(OR(I1092="DNB",I1092="Dry DNB"),1,0)</f>
        <v>0</v>
      </c>
      <c r="Y1092" s="39" t="n">
        <f aca="false">MATCH(A1092,DATAS,0)</f>
        <v>1</v>
      </c>
      <c r="Z1092" s="39" t="n">
        <f aca="false">IF(AND(E1092&gt;0,OR(AND(B1092&gt;=1,B1092&lt;=6),B1092=10)),1,0)</f>
        <v>1</v>
      </c>
      <c r="AA1092" s="39" t="n">
        <f aca="false">IF(AND(E1092&gt;0,B1092=10),1,0)</f>
        <v>0</v>
      </c>
      <c r="AB1092" s="0" t="str">
        <f aca="false">IF(AND(C1091=C1092,Y1091=Y1092-1),Z1091,"")</f>
        <v/>
      </c>
      <c r="AC1092" s="0" t="str">
        <f aca="false">IF(AND(C1091=C1092,Y1091=Y1092-1),AA1091,"")</f>
        <v/>
      </c>
      <c r="AD1092" s="0" t="str">
        <f aca="false">IF(Y1092=1,"",IF(AND(Z1092=1,AB1092&lt;&gt;1),1,0))</f>
        <v/>
      </c>
      <c r="AE1092" s="0" t="str">
        <f aca="false">IF(Y1092=1,"",IF(AND(AA1092=1,AC1092&lt;&gt;1),1,0))</f>
        <v/>
      </c>
      <c r="AF1092" s="45" t="str">
        <f aca="false">IF(AND(E1092&gt;0,Y1092&lt;1,NOT(AND(C1093=C1092,Y1093=Y1092+1))),INDEX(DATAS,Y1092+1),"")</f>
        <v/>
      </c>
      <c r="AG1092" s="45" t="str">
        <f aca="false">IF(AND(AA1092=1,Y1092&lt;1),IF(AND(C1093=C1092,Y1093=Y1092+1),IF(AA1093=1,"",INDEX(DATAS,Y1092+1)),INDEX(DATAS,Y1092+1)),"")</f>
        <v/>
      </c>
    </row>
    <row r="1093" customFormat="false" ht="15" hidden="false" customHeight="false" outlineLevel="0" collapsed="false">
      <c r="A1093" s="45" t="n">
        <v>46309</v>
      </c>
      <c r="B1093" s="0" t="n">
        <v>2</v>
      </c>
      <c r="C1093" s="0" t="n">
        <v>5124</v>
      </c>
      <c r="D1093" s="0" t="n">
        <v>18</v>
      </c>
      <c r="E1093" s="0" t="n">
        <v>2</v>
      </c>
      <c r="F1093" s="39" t="s">
        <v>760</v>
      </c>
      <c r="G1093" s="0" t="n">
        <v>53.6</v>
      </c>
      <c r="H1093" s="0" t="n">
        <v>48</v>
      </c>
      <c r="I1093" s="39" t="s">
        <v>118</v>
      </c>
      <c r="J1093" s="0" t="n">
        <v>18</v>
      </c>
      <c r="M1093" s="0" t="n">
        <v>-134.84</v>
      </c>
      <c r="N1093" s="0" t="n">
        <v>58.77</v>
      </c>
      <c r="O1093" s="0" t="n">
        <v>27.97</v>
      </c>
      <c r="R1093" s="0" t="n">
        <v>3398</v>
      </c>
      <c r="S1093" s="0" t="n">
        <v>6831</v>
      </c>
      <c r="U1093" s="0" t="n">
        <v>1056</v>
      </c>
      <c r="V1093" s="0" t="n">
        <v>0</v>
      </c>
      <c r="W1093" s="39" t="n">
        <f aca="false">IF(I1093="Male",0,1)</f>
        <v>1</v>
      </c>
      <c r="X1093" s="39" t="n">
        <f aca="false">IF(OR(I1093="DNB",I1093="Dry DNB"),1,0)</f>
        <v>0</v>
      </c>
      <c r="Y1093" s="39" t="n">
        <f aca="false">MATCH(A1093,DATAS,0)</f>
        <v>1</v>
      </c>
      <c r="Z1093" s="39" t="n">
        <f aca="false">IF(AND(E1093&gt;0,OR(AND(B1093&gt;=1,B1093&lt;=6),B1093=10)),1,0)</f>
        <v>1</v>
      </c>
      <c r="AA1093" s="39" t="n">
        <f aca="false">IF(AND(E1093&gt;0,B1093=10),1,0)</f>
        <v>0</v>
      </c>
      <c r="AB1093" s="0" t="str">
        <f aca="false">IF(AND(C1092=C1093,Y1092=Y1093-1),Z1092,"")</f>
        <v/>
      </c>
      <c r="AC1093" s="0" t="str">
        <f aca="false">IF(AND(C1092=C1093,Y1092=Y1093-1),AA1092,"")</f>
        <v/>
      </c>
      <c r="AD1093" s="0" t="str">
        <f aca="false">IF(Y1093=1,"",IF(AND(Z1093=1,AB1093&lt;&gt;1),1,0))</f>
        <v/>
      </c>
      <c r="AE1093" s="0" t="str">
        <f aca="false">IF(Y1093=1,"",IF(AND(AA1093=1,AC1093&lt;&gt;1),1,0))</f>
        <v/>
      </c>
      <c r="AF1093" s="45" t="str">
        <f aca="false">IF(AND(E1093&gt;0,Y1093&lt;1,NOT(AND(C1094=C1093,Y1094=Y1093+1))),INDEX(DATAS,Y1093+1),"")</f>
        <v/>
      </c>
      <c r="AG1093" s="45" t="str">
        <f aca="false">IF(AND(AA1093=1,Y1093&lt;1),IF(AND(C1094=C1093,Y1094=Y1093+1),IF(AA1094=1,"",INDEX(DATAS,Y1093+1)),INDEX(DATAS,Y1093+1)),"")</f>
        <v/>
      </c>
    </row>
    <row r="1094" customFormat="false" ht="15" hidden="false" customHeight="false" outlineLevel="0" collapsed="false">
      <c r="A1094" s="45" t="n">
        <v>46309</v>
      </c>
      <c r="B1094" s="0" t="n">
        <v>6</v>
      </c>
      <c r="C1094" s="0" t="n">
        <v>5125</v>
      </c>
      <c r="D1094" s="0" t="n">
        <v>311</v>
      </c>
      <c r="E1094" s="0" t="n">
        <v>1</v>
      </c>
      <c r="F1094" s="39" t="s">
        <v>761</v>
      </c>
      <c r="G1094" s="0" t="n">
        <v>31.4</v>
      </c>
      <c r="H1094" s="0" t="n">
        <v>28</v>
      </c>
      <c r="I1094" s="39" t="s">
        <v>96</v>
      </c>
      <c r="J1094" s="0" t="n">
        <v>311</v>
      </c>
      <c r="K1094" s="0" t="n">
        <v>66</v>
      </c>
      <c r="M1094" s="0" t="n">
        <v>1270.51</v>
      </c>
      <c r="N1094" s="0" t="n">
        <v>41.97</v>
      </c>
      <c r="O1094" s="0" t="n">
        <v>27.21</v>
      </c>
      <c r="P1094" s="0" t="n">
        <v>2.81</v>
      </c>
      <c r="Q1094" s="0" t="n">
        <v>3.41</v>
      </c>
      <c r="R1094" s="0" t="n">
        <v>2822</v>
      </c>
      <c r="S1094" s="0" t="n">
        <v>6754</v>
      </c>
      <c r="T1094" s="0" t="n">
        <v>29.25</v>
      </c>
      <c r="U1094" s="0" t="n">
        <v>1055</v>
      </c>
      <c r="V1094" s="0" t="n">
        <v>2</v>
      </c>
      <c r="W1094" s="39" t="n">
        <f aca="false">IF(I1094="Male",0,1)</f>
        <v>1</v>
      </c>
      <c r="X1094" s="39" t="n">
        <f aca="false">IF(OR(I1094="DNB",I1094="Dry DNB"),1,0)</f>
        <v>1</v>
      </c>
      <c r="Y1094" s="39" t="n">
        <f aca="false">MATCH(A1094,DATAS,0)</f>
        <v>1</v>
      </c>
      <c r="Z1094" s="39" t="n">
        <f aca="false">IF(AND(E1094&gt;0,OR(AND(B1094&gt;=1,B1094&lt;=6),B1094=10)),1,0)</f>
        <v>1</v>
      </c>
      <c r="AA1094" s="39" t="n">
        <f aca="false">IF(AND(E1094&gt;0,B1094=10),1,0)</f>
        <v>0</v>
      </c>
      <c r="AB1094" s="0" t="str">
        <f aca="false">IF(AND(C1093=C1094,Y1093=Y1094-1),Z1093,"")</f>
        <v/>
      </c>
      <c r="AC1094" s="0" t="str">
        <f aca="false">IF(AND(C1093=C1094,Y1093=Y1094-1),AA1093,"")</f>
        <v/>
      </c>
      <c r="AD1094" s="0" t="str">
        <f aca="false">IF(Y1094=1,"",IF(AND(Z1094=1,AB1094&lt;&gt;1),1,0))</f>
        <v/>
      </c>
      <c r="AE1094" s="0" t="str">
        <f aca="false">IF(Y1094=1,"",IF(AND(AA1094=1,AC1094&lt;&gt;1),1,0))</f>
        <v/>
      </c>
      <c r="AF1094" s="45" t="str">
        <f aca="false">IF(AND(E1094&gt;0,Y1094&lt;1,NOT(AND(C1095=C1094,Y1095=Y1094+1))),INDEX(DATAS,Y1094+1),"")</f>
        <v/>
      </c>
      <c r="AG1094" s="45" t="str">
        <f aca="false">IF(AND(AA1094=1,Y1094&lt;1),IF(AND(C1095=C1094,Y1095=Y1094+1),IF(AA1095=1,"",INDEX(DATAS,Y1094+1)),INDEX(DATAS,Y1094+1)),"")</f>
        <v/>
      </c>
    </row>
    <row r="1095" customFormat="false" ht="15" hidden="false" customHeight="false" outlineLevel="0" collapsed="false">
      <c r="A1095" s="45" t="n">
        <v>46309</v>
      </c>
      <c r="B1095" s="0" t="n">
        <v>4</v>
      </c>
      <c r="C1095" s="0" t="n">
        <v>5126</v>
      </c>
      <c r="D1095" s="0" t="n">
        <v>141</v>
      </c>
      <c r="E1095" s="0" t="n">
        <v>1</v>
      </c>
      <c r="F1095" s="39" t="s">
        <v>761</v>
      </c>
      <c r="G1095" s="0" t="n">
        <v>34.8</v>
      </c>
      <c r="H1095" s="0" t="n">
        <v>35</v>
      </c>
      <c r="I1095" s="39" t="s">
        <v>146</v>
      </c>
      <c r="J1095" s="0" t="n">
        <v>141</v>
      </c>
      <c r="K1095" s="0" t="n">
        <v>64</v>
      </c>
      <c r="M1095" s="0" t="n">
        <v>862.41</v>
      </c>
      <c r="N1095" s="0" t="n">
        <v>56.06</v>
      </c>
      <c r="O1095" s="0" t="n">
        <v>34.71</v>
      </c>
      <c r="P1095" s="0" t="n">
        <v>4.06</v>
      </c>
      <c r="Q1095" s="0" t="n">
        <v>3.54</v>
      </c>
      <c r="R1095" s="0" t="n">
        <v>3593</v>
      </c>
      <c r="S1095" s="0" t="n">
        <v>7302</v>
      </c>
      <c r="T1095" s="0" t="n">
        <v>37.1</v>
      </c>
      <c r="U1095" s="0" t="n">
        <v>1055</v>
      </c>
      <c r="V1095" s="0" t="n">
        <v>2</v>
      </c>
      <c r="W1095" s="39" t="n">
        <f aca="false">IF(I1095="Male",0,1)</f>
        <v>1</v>
      </c>
      <c r="X1095" s="39" t="n">
        <f aca="false">IF(OR(I1095="DNB",I1095="Dry DNB"),1,0)</f>
        <v>0</v>
      </c>
      <c r="Y1095" s="39" t="n">
        <f aca="false">MATCH(A1095,DATAS,0)</f>
        <v>1</v>
      </c>
      <c r="Z1095" s="39" t="n">
        <f aca="false">IF(AND(E1095&gt;0,OR(AND(B1095&gt;=1,B1095&lt;=6),B1095=10)),1,0)</f>
        <v>1</v>
      </c>
      <c r="AA1095" s="39" t="n">
        <f aca="false">IF(AND(E1095&gt;0,B1095=10),1,0)</f>
        <v>0</v>
      </c>
      <c r="AB1095" s="0" t="str">
        <f aca="false">IF(AND(C1094=C1095,Y1094=Y1095-1),Z1094,"")</f>
        <v/>
      </c>
      <c r="AC1095" s="0" t="str">
        <f aca="false">IF(AND(C1094=C1095,Y1094=Y1095-1),AA1094,"")</f>
        <v/>
      </c>
      <c r="AD1095" s="0" t="str">
        <f aca="false">IF(Y1095=1,"",IF(AND(Z1095=1,AB1095&lt;&gt;1),1,0))</f>
        <v/>
      </c>
      <c r="AE1095" s="0" t="str">
        <f aca="false">IF(Y1095=1,"",IF(AND(AA1095=1,AC1095&lt;&gt;1),1,0))</f>
        <v/>
      </c>
      <c r="AF1095" s="45" t="str">
        <f aca="false">IF(AND(E1095&gt;0,Y1095&lt;1,NOT(AND(C1096=C1095,Y1096=Y1095+1))),INDEX(DATAS,Y1095+1),"")</f>
        <v/>
      </c>
      <c r="AG1095" s="45" t="str">
        <f aca="false">IF(AND(AA1095=1,Y1095&lt;1),IF(AND(C1096=C1095,Y1096=Y1095+1),IF(AA1096=1,"",INDEX(DATAS,Y1095+1)),INDEX(DATAS,Y1095+1)),"")</f>
        <v/>
      </c>
    </row>
    <row r="1096" customFormat="false" ht="15" hidden="false" customHeight="false" outlineLevel="0" collapsed="false">
      <c r="A1096" s="45" t="n">
        <v>46309</v>
      </c>
      <c r="B1096" s="0" t="n">
        <v>7</v>
      </c>
      <c r="C1096" s="0" t="n">
        <v>5127</v>
      </c>
      <c r="D1096" s="0" t="n">
        <v>345</v>
      </c>
      <c r="E1096" s="0" t="n">
        <v>1</v>
      </c>
      <c r="F1096" s="39" t="s">
        <v>761</v>
      </c>
      <c r="I1096" s="39" t="s">
        <v>114</v>
      </c>
      <c r="J1096" s="0" t="n">
        <v>122</v>
      </c>
      <c r="K1096" s="0" t="n">
        <v>67</v>
      </c>
      <c r="L1096" s="0" t="n">
        <v>231</v>
      </c>
      <c r="M1096" s="0" t="n">
        <v>1397.44</v>
      </c>
      <c r="N1096" s="0" t="n">
        <v>44.11</v>
      </c>
      <c r="O1096" s="0" t="n">
        <v>43.81</v>
      </c>
      <c r="P1096" s="0" t="n">
        <v>3.31</v>
      </c>
      <c r="Q1096" s="0" t="n">
        <v>3.47</v>
      </c>
      <c r="R1096" s="0" t="n">
        <v>4925</v>
      </c>
      <c r="S1096" s="0" t="n">
        <v>10680</v>
      </c>
      <c r="T1096" s="0" t="n">
        <v>53.1</v>
      </c>
      <c r="U1096" s="0" t="n">
        <v>1055</v>
      </c>
      <c r="V1096" s="0" t="n">
        <v>2</v>
      </c>
      <c r="W1096" s="39" t="n">
        <f aca="false">IF(I1096="Male",0,1)</f>
        <v>1</v>
      </c>
      <c r="X1096" s="39" t="n">
        <f aca="false">IF(OR(I1096="DNB",I1096="Dry DNB"),1,0)</f>
        <v>0</v>
      </c>
      <c r="Y1096" s="39" t="n">
        <f aca="false">MATCH(A1096,DATAS,0)</f>
        <v>1</v>
      </c>
      <c r="Z1096" s="39" t="n">
        <f aca="false">IF(AND(E1096&gt;0,OR(AND(B1096&gt;=1,B1096&lt;=6),B1096=10)),1,0)</f>
        <v>0</v>
      </c>
      <c r="AA1096" s="39" t="n">
        <f aca="false">IF(AND(E1096&gt;0,B1096=10),1,0)</f>
        <v>0</v>
      </c>
      <c r="AB1096" s="0" t="str">
        <f aca="false">IF(AND(C1095=C1096,Y1095=Y1096-1),Z1095,"")</f>
        <v/>
      </c>
      <c r="AC1096" s="0" t="str">
        <f aca="false">IF(AND(C1095=C1096,Y1095=Y1096-1),AA1095,"")</f>
        <v/>
      </c>
      <c r="AD1096" s="0" t="str">
        <f aca="false">IF(Y1096=1,"",IF(AND(Z1096=1,AB1096&lt;&gt;1),1,0))</f>
        <v/>
      </c>
      <c r="AE1096" s="0" t="str">
        <f aca="false">IF(Y1096=1,"",IF(AND(AA1096=1,AC1096&lt;&gt;1),1,0))</f>
        <v/>
      </c>
      <c r="AF1096" s="45" t="str">
        <f aca="false">IF(AND(E1096&gt;0,Y1096&lt;1,NOT(AND(C1097=C1096,Y1097=Y1096+1))),INDEX(DATAS,Y1096+1),"")</f>
        <v/>
      </c>
      <c r="AG1096" s="45" t="str">
        <f aca="false">IF(AND(AA1096=1,Y1096&lt;1),IF(AND(C1097=C1096,Y1097=Y1096+1),IF(AA1097=1,"",INDEX(DATAS,Y1096+1)),INDEX(DATAS,Y1096+1)),"")</f>
        <v/>
      </c>
    </row>
    <row r="1097" customFormat="false" ht="15" hidden="false" customHeight="false" outlineLevel="0" collapsed="false">
      <c r="A1097" s="45" t="n">
        <v>46309</v>
      </c>
      <c r="B1097" s="0" t="n">
        <v>6</v>
      </c>
      <c r="C1097" s="0" t="n">
        <v>5128</v>
      </c>
      <c r="D1097" s="0" t="n">
        <v>415</v>
      </c>
      <c r="E1097" s="0" t="n">
        <v>1</v>
      </c>
      <c r="F1097" s="39" t="s">
        <v>762</v>
      </c>
      <c r="G1097" s="0" t="n">
        <v>25.5</v>
      </c>
      <c r="H1097" s="0" t="n">
        <v>22</v>
      </c>
      <c r="I1097" s="39" t="s">
        <v>109</v>
      </c>
      <c r="J1097" s="0" t="n">
        <v>282</v>
      </c>
      <c r="K1097" s="0" t="n">
        <v>65</v>
      </c>
      <c r="L1097" s="0" t="n">
        <v>133</v>
      </c>
      <c r="M1097" s="0" t="n">
        <v>182.69</v>
      </c>
      <c r="N1097" s="0" t="n">
        <v>68.6</v>
      </c>
      <c r="O1097" s="0" t="n">
        <v>26.24</v>
      </c>
      <c r="P1097" s="0" t="n">
        <v>6.97</v>
      </c>
      <c r="Q1097" s="0" t="n">
        <v>4.94</v>
      </c>
      <c r="R1097" s="0" t="n">
        <v>3787</v>
      </c>
      <c r="S1097" s="0" t="n">
        <v>7009</v>
      </c>
      <c r="T1097" s="0" t="n">
        <v>42.8</v>
      </c>
      <c r="U1097" s="0" t="n">
        <v>1054</v>
      </c>
      <c r="V1097" s="0" t="n">
        <v>7</v>
      </c>
      <c r="W1097" s="39" t="n">
        <f aca="false">IF(I1097="Male",0,1)</f>
        <v>1</v>
      </c>
      <c r="X1097" s="39" t="n">
        <f aca="false">IF(OR(I1097="DNB",I1097="Dry DNB"),1,0)</f>
        <v>0</v>
      </c>
      <c r="Y1097" s="39" t="n">
        <f aca="false">MATCH(A1097,DATAS,0)</f>
        <v>1</v>
      </c>
      <c r="Z1097" s="39" t="n">
        <f aca="false">IF(AND(E1097&gt;0,OR(AND(B1097&gt;=1,B1097&lt;=6),B1097=10)),1,0)</f>
        <v>1</v>
      </c>
      <c r="AA1097" s="39" t="n">
        <f aca="false">IF(AND(E1097&gt;0,B1097=10),1,0)</f>
        <v>0</v>
      </c>
      <c r="AB1097" s="0" t="str">
        <f aca="false">IF(AND(C1096=C1097,Y1096=Y1097-1),Z1096,"")</f>
        <v/>
      </c>
      <c r="AC1097" s="0" t="str">
        <f aca="false">IF(AND(C1096=C1097,Y1096=Y1097-1),AA1096,"")</f>
        <v/>
      </c>
      <c r="AD1097" s="0" t="str">
        <f aca="false">IF(Y1097=1,"",IF(AND(Z1097=1,AB1097&lt;&gt;1),1,0))</f>
        <v/>
      </c>
      <c r="AE1097" s="0" t="str">
        <f aca="false">IF(Y1097=1,"",IF(AND(AA1097=1,AC1097&lt;&gt;1),1,0))</f>
        <v/>
      </c>
      <c r="AF1097" s="45" t="str">
        <f aca="false">IF(AND(E1097&gt;0,Y1097&lt;1,NOT(AND(C1098=C1097,Y1098=Y1097+1))),INDEX(DATAS,Y1097+1),"")</f>
        <v/>
      </c>
      <c r="AG1097" s="45" t="str">
        <f aca="false">IF(AND(AA1097=1,Y1097&lt;1),IF(AND(C1098=C1097,Y1098=Y1097+1),IF(AA1098=1,"",INDEX(DATAS,Y1097+1)),INDEX(DATAS,Y1097+1)),"")</f>
        <v/>
      </c>
    </row>
    <row r="1098" customFormat="false" ht="15" hidden="false" customHeight="false" outlineLevel="0" collapsed="false">
      <c r="A1098" s="45" t="n">
        <v>46309</v>
      </c>
      <c r="B1098" s="0" t="n">
        <v>5</v>
      </c>
      <c r="C1098" s="0" t="n">
        <v>5129</v>
      </c>
      <c r="D1098" s="0" t="n">
        <v>417</v>
      </c>
      <c r="E1098" s="0" t="n">
        <v>1</v>
      </c>
      <c r="F1098" s="39" t="s">
        <v>763</v>
      </c>
      <c r="G1098" s="0" t="n">
        <v>21.9</v>
      </c>
      <c r="H1098" s="0" t="n">
        <v>21</v>
      </c>
      <c r="I1098" s="39" t="s">
        <v>109</v>
      </c>
      <c r="J1098" s="0" t="n">
        <v>200</v>
      </c>
      <c r="K1098" s="0" t="n">
        <v>67</v>
      </c>
      <c r="L1098" s="0" t="n">
        <v>217</v>
      </c>
      <c r="M1098" s="0" t="n">
        <v>1030.88</v>
      </c>
      <c r="N1098" s="0" t="n">
        <v>48.11</v>
      </c>
      <c r="O1098" s="0" t="n">
        <v>28.06</v>
      </c>
      <c r="P1098" s="0" t="n">
        <v>5.43</v>
      </c>
      <c r="Q1098" s="0" t="n">
        <v>4.15</v>
      </c>
      <c r="R1098" s="0" t="n">
        <v>3849</v>
      </c>
      <c r="S1098" s="0" t="n">
        <v>9000</v>
      </c>
      <c r="T1098" s="0" t="n">
        <v>46.3</v>
      </c>
      <c r="U1098" s="0" t="n">
        <v>1053</v>
      </c>
      <c r="V1098" s="0" t="n">
        <v>5</v>
      </c>
      <c r="W1098" s="39" t="n">
        <f aca="false">IF(I1098="Male",0,1)</f>
        <v>1</v>
      </c>
      <c r="X1098" s="39" t="n">
        <f aca="false">IF(OR(I1098="DNB",I1098="Dry DNB"),1,0)</f>
        <v>0</v>
      </c>
      <c r="Y1098" s="39" t="n">
        <f aca="false">MATCH(A1098,DATAS,0)</f>
        <v>1</v>
      </c>
      <c r="Z1098" s="39" t="n">
        <f aca="false">IF(AND(E1098&gt;0,OR(AND(B1098&gt;=1,B1098&lt;=6),B1098=10)),1,0)</f>
        <v>1</v>
      </c>
      <c r="AA1098" s="39" t="n">
        <f aca="false">IF(AND(E1098&gt;0,B1098=10),1,0)</f>
        <v>0</v>
      </c>
      <c r="AB1098" s="0" t="str">
        <f aca="false">IF(AND(C1097=C1098,Y1097=Y1098-1),Z1097,"")</f>
        <v/>
      </c>
      <c r="AC1098" s="0" t="str">
        <f aca="false">IF(AND(C1097=C1098,Y1097=Y1098-1),AA1097,"")</f>
        <v/>
      </c>
      <c r="AD1098" s="0" t="str">
        <f aca="false">IF(Y1098=1,"",IF(AND(Z1098=1,AB1098&lt;&gt;1),1,0))</f>
        <v/>
      </c>
      <c r="AE1098" s="0" t="str">
        <f aca="false">IF(Y1098=1,"",IF(AND(AA1098=1,AC1098&lt;&gt;1),1,0))</f>
        <v/>
      </c>
      <c r="AF1098" s="45" t="str">
        <f aca="false">IF(AND(E1098&gt;0,Y1098&lt;1,NOT(AND(C1099=C1098,Y1099=Y1098+1))),INDEX(DATAS,Y1098+1),"")</f>
        <v/>
      </c>
      <c r="AG1098" s="45" t="str">
        <f aca="false">IF(AND(AA1098=1,Y1098&lt;1),IF(AND(C1099=C1098,Y1099=Y1098+1),IF(AA1099=1,"",INDEX(DATAS,Y1098+1)),INDEX(DATAS,Y1098+1)),"")</f>
        <v/>
      </c>
    </row>
    <row r="1099" customFormat="false" ht="15" hidden="false" customHeight="false" outlineLevel="0" collapsed="false">
      <c r="A1099" s="45" t="n">
        <v>46309</v>
      </c>
      <c r="B1099" s="0" t="n">
        <v>4</v>
      </c>
      <c r="C1099" s="0" t="n">
        <v>5130</v>
      </c>
      <c r="D1099" s="0" t="n">
        <v>319</v>
      </c>
      <c r="E1099" s="0" t="n">
        <v>1</v>
      </c>
      <c r="F1099" s="39" t="s">
        <v>763</v>
      </c>
      <c r="G1099" s="0" t="n">
        <v>30.9</v>
      </c>
      <c r="H1099" s="0" t="n">
        <v>30</v>
      </c>
      <c r="I1099" s="39" t="s">
        <v>109</v>
      </c>
      <c r="J1099" s="0" t="n">
        <v>229</v>
      </c>
      <c r="K1099" s="0" t="n">
        <v>60</v>
      </c>
      <c r="L1099" s="0" t="n">
        <v>90</v>
      </c>
      <c r="M1099" s="0" t="n">
        <v>393.2</v>
      </c>
      <c r="N1099" s="0" t="n">
        <v>62.53</v>
      </c>
      <c r="O1099" s="0" t="n">
        <v>46.63</v>
      </c>
      <c r="P1099" s="0" t="n">
        <v>3.74</v>
      </c>
      <c r="Q1099" s="0" t="n">
        <v>4.37</v>
      </c>
      <c r="R1099" s="0" t="n">
        <v>4127</v>
      </c>
      <c r="S1099" s="0" t="n">
        <v>8147</v>
      </c>
      <c r="T1099" s="0" t="n">
        <v>44.5</v>
      </c>
      <c r="U1099" s="0" t="n">
        <v>1053</v>
      </c>
      <c r="V1099" s="0" t="n">
        <v>6</v>
      </c>
      <c r="W1099" s="39" t="n">
        <f aca="false">IF(I1099="Male",0,1)</f>
        <v>1</v>
      </c>
      <c r="X1099" s="39" t="n">
        <f aca="false">IF(OR(I1099="DNB",I1099="Dry DNB"),1,0)</f>
        <v>0</v>
      </c>
      <c r="Y1099" s="39" t="n">
        <f aca="false">MATCH(A1099,DATAS,0)</f>
        <v>1</v>
      </c>
      <c r="Z1099" s="39" t="n">
        <f aca="false">IF(AND(E1099&gt;0,OR(AND(B1099&gt;=1,B1099&lt;=6),B1099=10)),1,0)</f>
        <v>1</v>
      </c>
      <c r="AA1099" s="39" t="n">
        <f aca="false">IF(AND(E1099&gt;0,B1099=10),1,0)</f>
        <v>0</v>
      </c>
      <c r="AB1099" s="0" t="str">
        <f aca="false">IF(AND(C1098=C1099,Y1098=Y1099-1),Z1098,"")</f>
        <v/>
      </c>
      <c r="AC1099" s="0" t="str">
        <f aca="false">IF(AND(C1098=C1099,Y1098=Y1099-1),AA1098,"")</f>
        <v/>
      </c>
      <c r="AD1099" s="0" t="str">
        <f aca="false">IF(Y1099=1,"",IF(AND(Z1099=1,AB1099&lt;&gt;1),1,0))</f>
        <v/>
      </c>
      <c r="AE1099" s="0" t="str">
        <f aca="false">IF(Y1099=1,"",IF(AND(AA1099=1,AC1099&lt;&gt;1),1,0))</f>
        <v/>
      </c>
      <c r="AF1099" s="45" t="str">
        <f aca="false">IF(AND(E1099&gt;0,Y1099&lt;1,NOT(AND(C1100=C1099,Y1100=Y1099+1))),INDEX(DATAS,Y1099+1),"")</f>
        <v/>
      </c>
      <c r="AG1099" s="45" t="str">
        <f aca="false">IF(AND(AA1099=1,Y1099&lt;1),IF(AND(C1100=C1099,Y1100=Y1099+1),IF(AA1100=1,"",INDEX(DATAS,Y1099+1)),INDEX(DATAS,Y1099+1)),"")</f>
        <v/>
      </c>
    </row>
    <row r="1100" customFormat="false" ht="15" hidden="false" customHeight="false" outlineLevel="0" collapsed="false">
      <c r="A1100" s="45" t="n">
        <v>46309</v>
      </c>
      <c r="B1100" s="0" t="n">
        <v>5</v>
      </c>
      <c r="C1100" s="0" t="n">
        <v>5131</v>
      </c>
      <c r="D1100" s="0" t="n">
        <v>379</v>
      </c>
      <c r="E1100" s="0" t="n">
        <v>1</v>
      </c>
      <c r="F1100" s="39" t="s">
        <v>764</v>
      </c>
      <c r="G1100" s="0" t="n">
        <v>40.8</v>
      </c>
      <c r="H1100" s="0" t="n">
        <v>36</v>
      </c>
      <c r="I1100" s="39" t="s">
        <v>138</v>
      </c>
      <c r="J1100" s="0" t="n">
        <v>379</v>
      </c>
      <c r="K1100" s="0" t="n">
        <v>64</v>
      </c>
      <c r="M1100" s="0" t="n">
        <v>529.73</v>
      </c>
      <c r="N1100" s="0" t="n">
        <v>58.24</v>
      </c>
      <c r="O1100" s="0" t="n">
        <v>35.93</v>
      </c>
      <c r="P1100" s="0" t="n">
        <v>3.81</v>
      </c>
      <c r="Q1100" s="0" t="n">
        <v>4.12</v>
      </c>
      <c r="R1100" s="0" t="n">
        <v>4592</v>
      </c>
      <c r="S1100" s="0" t="n">
        <v>8846</v>
      </c>
      <c r="T1100" s="0" t="n">
        <v>47.9</v>
      </c>
      <c r="U1100" s="0" t="n">
        <v>1052</v>
      </c>
      <c r="V1100" s="0" t="n">
        <v>9</v>
      </c>
      <c r="W1100" s="39" t="n">
        <f aca="false">IF(I1100="Male",0,1)</f>
        <v>1</v>
      </c>
      <c r="X1100" s="39" t="n">
        <f aca="false">IF(OR(I1100="DNB",I1100="Dry DNB"),1,0)</f>
        <v>0</v>
      </c>
      <c r="Y1100" s="39" t="n">
        <f aca="false">MATCH(A1100,DATAS,0)</f>
        <v>1</v>
      </c>
      <c r="Z1100" s="39" t="n">
        <f aca="false">IF(AND(E1100&gt;0,OR(AND(B1100&gt;=1,B1100&lt;=6),B1100=10)),1,0)</f>
        <v>1</v>
      </c>
      <c r="AA1100" s="39" t="n">
        <f aca="false">IF(AND(E1100&gt;0,B1100=10),1,0)</f>
        <v>0</v>
      </c>
      <c r="AB1100" s="0" t="str">
        <f aca="false">IF(AND(C1099=C1100,Y1099=Y1100-1),Z1099,"")</f>
        <v/>
      </c>
      <c r="AC1100" s="0" t="str">
        <f aca="false">IF(AND(C1099=C1100,Y1099=Y1100-1),AA1099,"")</f>
        <v/>
      </c>
      <c r="AD1100" s="0" t="str">
        <f aca="false">IF(Y1100=1,"",IF(AND(Z1100=1,AB1100&lt;&gt;1),1,0))</f>
        <v/>
      </c>
      <c r="AE1100" s="0" t="str">
        <f aca="false">IF(Y1100=1,"",IF(AND(AA1100=1,AC1100&lt;&gt;1),1,0))</f>
        <v/>
      </c>
      <c r="AF1100" s="45" t="str">
        <f aca="false">IF(AND(E1100&gt;0,Y1100&lt;1,NOT(AND(C1101=C1100,Y1101=Y1100+1))),INDEX(DATAS,Y1100+1),"")</f>
        <v/>
      </c>
      <c r="AG1100" s="45" t="str">
        <f aca="false">IF(AND(AA1100=1,Y1100&lt;1),IF(AND(C1101=C1100,Y1101=Y1100+1),IF(AA1101=1,"",INDEX(DATAS,Y1100+1)),INDEX(DATAS,Y1100+1)),"")</f>
        <v/>
      </c>
    </row>
    <row r="1101" customFormat="false" ht="15" hidden="false" customHeight="false" outlineLevel="0" collapsed="false">
      <c r="A1101" s="45" t="n">
        <v>46309</v>
      </c>
      <c r="B1101" s="0" t="n">
        <v>14</v>
      </c>
      <c r="C1101" s="0" t="n">
        <v>5132</v>
      </c>
      <c r="D1101" s="0" t="n">
        <v>327</v>
      </c>
      <c r="E1101" s="0" t="n">
        <v>1</v>
      </c>
      <c r="F1101" s="39" t="s">
        <v>764</v>
      </c>
      <c r="I1101" s="39" t="s">
        <v>114</v>
      </c>
      <c r="J1101" s="0" t="n">
        <v>104</v>
      </c>
      <c r="K1101" s="0" t="n">
        <v>70</v>
      </c>
      <c r="L1101" s="0" t="n">
        <v>266</v>
      </c>
      <c r="M1101" s="0" t="n">
        <v>1003.35</v>
      </c>
      <c r="N1101" s="0" t="n">
        <v>41.41</v>
      </c>
      <c r="O1101" s="0" t="n">
        <v>38.68</v>
      </c>
      <c r="P1101" s="0" t="n">
        <v>4.46</v>
      </c>
      <c r="Q1101" s="0" t="n">
        <v>3.53</v>
      </c>
      <c r="R1101" s="0" t="n">
        <v>4472</v>
      </c>
      <c r="S1101" s="0" t="n">
        <v>9092</v>
      </c>
      <c r="T1101" s="0" t="n">
        <v>47.25</v>
      </c>
      <c r="U1101" s="0" t="n">
        <v>1052</v>
      </c>
      <c r="V1101" s="0" t="n">
        <v>2</v>
      </c>
      <c r="W1101" s="39" t="n">
        <f aca="false">IF(I1101="Male",0,1)</f>
        <v>1</v>
      </c>
      <c r="X1101" s="39" t="n">
        <f aca="false">IF(OR(I1101="DNB",I1101="Dry DNB"),1,0)</f>
        <v>0</v>
      </c>
      <c r="Y1101" s="39" t="n">
        <f aca="false">MATCH(A1101,DATAS,0)</f>
        <v>1</v>
      </c>
      <c r="Z1101" s="39" t="n">
        <f aca="false">IF(AND(E1101&gt;0,OR(AND(B1101&gt;=1,B1101&lt;=6),B1101=10)),1,0)</f>
        <v>0</v>
      </c>
      <c r="AA1101" s="39" t="n">
        <f aca="false">IF(AND(E1101&gt;0,B1101=10),1,0)</f>
        <v>0</v>
      </c>
      <c r="AB1101" s="0" t="str">
        <f aca="false">IF(AND(C1100=C1101,Y1100=Y1101-1),Z1100,"")</f>
        <v/>
      </c>
      <c r="AC1101" s="0" t="str">
        <f aca="false">IF(AND(C1100=C1101,Y1100=Y1101-1),AA1100,"")</f>
        <v/>
      </c>
      <c r="AD1101" s="0" t="str">
        <f aca="false">IF(Y1101=1,"",IF(AND(Z1101=1,AB1101&lt;&gt;1),1,0))</f>
        <v/>
      </c>
      <c r="AE1101" s="0" t="str">
        <f aca="false">IF(Y1101=1,"",IF(AND(AA1101=1,AC1101&lt;&gt;1),1,0))</f>
        <v/>
      </c>
      <c r="AF1101" s="45" t="str">
        <f aca="false">IF(AND(E1101&gt;0,Y1101&lt;1,NOT(AND(C1102=C1101,Y1102=Y1101+1))),INDEX(DATAS,Y1101+1),"")</f>
        <v/>
      </c>
      <c r="AG1101" s="45" t="str">
        <f aca="false">IF(AND(AA1101=1,Y1101&lt;1),IF(AND(C1102=C1101,Y1102=Y1101+1),IF(AA1102=1,"",INDEX(DATAS,Y1101+1)),INDEX(DATAS,Y1101+1)),"")</f>
        <v/>
      </c>
    </row>
    <row r="1102" customFormat="false" ht="15" hidden="false" customHeight="false" outlineLevel="0" collapsed="false">
      <c r="A1102" s="45" t="n">
        <v>46309</v>
      </c>
      <c r="B1102" s="0" t="n">
        <v>3</v>
      </c>
      <c r="C1102" s="0" t="n">
        <v>5133</v>
      </c>
      <c r="D1102" s="0" t="n">
        <v>15</v>
      </c>
      <c r="E1102" s="0" t="n">
        <v>2</v>
      </c>
      <c r="F1102" s="39" t="s">
        <v>765</v>
      </c>
      <c r="G1102" s="0" t="n">
        <v>16.9</v>
      </c>
      <c r="H1102" s="0" t="n">
        <v>23</v>
      </c>
      <c r="I1102" s="39" t="s">
        <v>118</v>
      </c>
      <c r="J1102" s="0" t="n">
        <v>15</v>
      </c>
      <c r="M1102" s="0" t="n">
        <v>1103.89</v>
      </c>
      <c r="N1102" s="0" t="n">
        <v>94.67</v>
      </c>
      <c r="O1102" s="0" t="n">
        <v>55.8</v>
      </c>
      <c r="R1102" s="0" t="n">
        <v>2982</v>
      </c>
      <c r="S1102" s="0" t="n">
        <v>5995</v>
      </c>
      <c r="U1102" s="0" t="n">
        <v>1051</v>
      </c>
      <c r="V1102" s="0" t="n">
        <v>0</v>
      </c>
      <c r="W1102" s="39" t="n">
        <f aca="false">IF(I1102="Male",0,1)</f>
        <v>1</v>
      </c>
      <c r="X1102" s="39" t="n">
        <f aca="false">IF(OR(I1102="DNB",I1102="Dry DNB"),1,0)</f>
        <v>0</v>
      </c>
      <c r="Y1102" s="39" t="n">
        <f aca="false">MATCH(A1102,DATAS,0)</f>
        <v>1</v>
      </c>
      <c r="Z1102" s="39" t="n">
        <f aca="false">IF(AND(E1102&gt;0,OR(AND(B1102&gt;=1,B1102&lt;=6),B1102=10)),1,0)</f>
        <v>1</v>
      </c>
      <c r="AA1102" s="39" t="n">
        <f aca="false">IF(AND(E1102&gt;0,B1102=10),1,0)</f>
        <v>0</v>
      </c>
      <c r="AB1102" s="0" t="str">
        <f aca="false">IF(AND(C1101=C1102,Y1101=Y1102-1),Z1101,"")</f>
        <v/>
      </c>
      <c r="AC1102" s="0" t="str">
        <f aca="false">IF(AND(C1101=C1102,Y1101=Y1102-1),AA1101,"")</f>
        <v/>
      </c>
      <c r="AD1102" s="0" t="str">
        <f aca="false">IF(Y1102=1,"",IF(AND(Z1102=1,AB1102&lt;&gt;1),1,0))</f>
        <v/>
      </c>
      <c r="AE1102" s="0" t="str">
        <f aca="false">IF(Y1102=1,"",IF(AND(AA1102=1,AC1102&lt;&gt;1),1,0))</f>
        <v/>
      </c>
      <c r="AF1102" s="45" t="str">
        <f aca="false">IF(AND(E1102&gt;0,Y1102&lt;1,NOT(AND(C1103=C1102,Y1103=Y1102+1))),INDEX(DATAS,Y1102+1),"")</f>
        <v/>
      </c>
      <c r="AG1102" s="45" t="str">
        <f aca="false">IF(AND(AA1102=1,Y1102&lt;1),IF(AND(C1103=C1102,Y1103=Y1102+1),IF(AA1103=1,"",INDEX(DATAS,Y1102+1)),INDEX(DATAS,Y1102+1)),"")</f>
        <v/>
      </c>
    </row>
    <row r="1103" customFormat="false" ht="15" hidden="false" customHeight="false" outlineLevel="0" collapsed="false">
      <c r="A1103" s="45" t="n">
        <v>46309</v>
      </c>
      <c r="B1103" s="0" t="n">
        <v>3</v>
      </c>
      <c r="C1103" s="0" t="n">
        <v>5135</v>
      </c>
      <c r="D1103" s="0" t="n">
        <v>36</v>
      </c>
      <c r="E1103" s="0" t="n">
        <v>2</v>
      </c>
      <c r="F1103" s="39" t="s">
        <v>765</v>
      </c>
      <c r="G1103" s="0" t="n">
        <v>56.4</v>
      </c>
      <c r="H1103" s="0" t="n">
        <v>55</v>
      </c>
      <c r="I1103" s="39" t="s">
        <v>118</v>
      </c>
      <c r="J1103" s="0" t="n">
        <v>36</v>
      </c>
      <c r="M1103" s="0" t="n">
        <v>325.4</v>
      </c>
      <c r="N1103" s="0" t="n">
        <v>54.54</v>
      </c>
      <c r="O1103" s="0" t="n">
        <v>36.9</v>
      </c>
      <c r="P1103" s="0" t="n">
        <v>4.67</v>
      </c>
      <c r="Q1103" s="0" t="n">
        <v>4.55</v>
      </c>
      <c r="R1103" s="0" t="n">
        <v>3703</v>
      </c>
      <c r="S1103" s="0" t="n">
        <v>7445</v>
      </c>
      <c r="U1103" s="0" t="n">
        <v>1051</v>
      </c>
      <c r="V1103" s="0" t="n">
        <v>0</v>
      </c>
      <c r="W1103" s="39" t="n">
        <f aca="false">IF(I1103="Male",0,1)</f>
        <v>1</v>
      </c>
      <c r="X1103" s="39" t="n">
        <f aca="false">IF(OR(I1103="DNB",I1103="Dry DNB"),1,0)</f>
        <v>0</v>
      </c>
      <c r="Y1103" s="39" t="n">
        <f aca="false">MATCH(A1103,DATAS,0)</f>
        <v>1</v>
      </c>
      <c r="Z1103" s="39" t="n">
        <f aca="false">IF(AND(E1103&gt;0,OR(AND(B1103&gt;=1,B1103&lt;=6),B1103=10)),1,0)</f>
        <v>1</v>
      </c>
      <c r="AA1103" s="39" t="n">
        <f aca="false">IF(AND(E1103&gt;0,B1103=10),1,0)</f>
        <v>0</v>
      </c>
      <c r="AB1103" s="0" t="str">
        <f aca="false">IF(AND(C1102=C1103,Y1102=Y1103-1),Z1102,"")</f>
        <v/>
      </c>
      <c r="AC1103" s="0" t="str">
        <f aca="false">IF(AND(C1102=C1103,Y1102=Y1103-1),AA1102,"")</f>
        <v/>
      </c>
      <c r="AD1103" s="0" t="str">
        <f aca="false">IF(Y1103=1,"",IF(AND(Z1103=1,AB1103&lt;&gt;1),1,0))</f>
        <v/>
      </c>
      <c r="AE1103" s="0" t="str">
        <f aca="false">IF(Y1103=1,"",IF(AND(AA1103=1,AC1103&lt;&gt;1),1,0))</f>
        <v/>
      </c>
      <c r="AF1103" s="45" t="str">
        <f aca="false">IF(AND(E1103&gt;0,Y1103&lt;1,NOT(AND(C1104=C1103,Y1104=Y1103+1))),INDEX(DATAS,Y1103+1),"")</f>
        <v/>
      </c>
      <c r="AG1103" s="45" t="str">
        <f aca="false">IF(AND(AA1103=1,Y1103&lt;1),IF(AND(C1104=C1103,Y1104=Y1103+1),IF(AA1104=1,"",INDEX(DATAS,Y1103+1)),INDEX(DATAS,Y1103+1)),"")</f>
        <v/>
      </c>
    </row>
    <row r="1104" customFormat="false" ht="15" hidden="false" customHeight="false" outlineLevel="0" collapsed="false">
      <c r="A1104" s="45" t="n">
        <v>46309</v>
      </c>
      <c r="B1104" s="0" t="n">
        <v>4</v>
      </c>
      <c r="C1104" s="0" t="n">
        <v>5136</v>
      </c>
      <c r="D1104" s="0" t="n">
        <v>325</v>
      </c>
      <c r="E1104" s="0" t="n">
        <v>1</v>
      </c>
      <c r="F1104" s="39" t="s">
        <v>765</v>
      </c>
      <c r="G1104" s="0" t="n">
        <v>35.2</v>
      </c>
      <c r="H1104" s="0" t="n">
        <v>34</v>
      </c>
      <c r="I1104" s="39" t="s">
        <v>138</v>
      </c>
      <c r="J1104" s="0" t="n">
        <v>325</v>
      </c>
      <c r="K1104" s="0" t="n">
        <v>66</v>
      </c>
      <c r="M1104" s="0" t="n">
        <v>-515.28</v>
      </c>
      <c r="N1104" s="0" t="n">
        <v>22.7</v>
      </c>
      <c r="O1104" s="0" t="n">
        <v>5.41</v>
      </c>
      <c r="P1104" s="0" t="n">
        <v>5.83</v>
      </c>
      <c r="Q1104" s="0" t="n">
        <v>4.31</v>
      </c>
      <c r="R1104" s="0" t="n">
        <v>3558</v>
      </c>
      <c r="S1104" s="0" t="n">
        <v>7467</v>
      </c>
      <c r="T1104" s="0" t="n">
        <v>39.5</v>
      </c>
      <c r="U1104" s="0" t="n">
        <v>1051</v>
      </c>
      <c r="V1104" s="0" t="n">
        <v>7</v>
      </c>
      <c r="W1104" s="39" t="n">
        <f aca="false">IF(I1104="Male",0,1)</f>
        <v>1</v>
      </c>
      <c r="X1104" s="39" t="n">
        <f aca="false">IF(OR(I1104="DNB",I1104="Dry DNB"),1,0)</f>
        <v>0</v>
      </c>
      <c r="Y1104" s="39" t="n">
        <f aca="false">MATCH(A1104,DATAS,0)</f>
        <v>1</v>
      </c>
      <c r="Z1104" s="39" t="n">
        <f aca="false">IF(AND(E1104&gt;0,OR(AND(B1104&gt;=1,B1104&lt;=6),B1104=10)),1,0)</f>
        <v>1</v>
      </c>
      <c r="AA1104" s="39" t="n">
        <f aca="false">IF(AND(E1104&gt;0,B1104=10),1,0)</f>
        <v>0</v>
      </c>
      <c r="AB1104" s="0" t="str">
        <f aca="false">IF(AND(C1103=C1104,Y1103=Y1104-1),Z1103,"")</f>
        <v/>
      </c>
      <c r="AC1104" s="0" t="str">
        <f aca="false">IF(AND(C1103=C1104,Y1103=Y1104-1),AA1103,"")</f>
        <v/>
      </c>
      <c r="AD1104" s="0" t="str">
        <f aca="false">IF(Y1104=1,"",IF(AND(Z1104=1,AB1104&lt;&gt;1),1,0))</f>
        <v/>
      </c>
      <c r="AE1104" s="0" t="str">
        <f aca="false">IF(Y1104=1,"",IF(AND(AA1104=1,AC1104&lt;&gt;1),1,0))</f>
        <v/>
      </c>
      <c r="AF1104" s="45" t="str">
        <f aca="false">IF(AND(E1104&gt;0,Y1104&lt;1,NOT(AND(C1105=C1104,Y1105=Y1104+1))),INDEX(DATAS,Y1104+1),"")</f>
        <v/>
      </c>
      <c r="AG1104" s="45" t="str">
        <f aca="false">IF(AND(AA1104=1,Y1104&lt;1),IF(AND(C1105=C1104,Y1105=Y1104+1),IF(AA1105=1,"",INDEX(DATAS,Y1104+1)),INDEX(DATAS,Y1104+1)),"")</f>
        <v/>
      </c>
    </row>
    <row r="1105" customFormat="false" ht="15" hidden="false" customHeight="false" outlineLevel="0" collapsed="false">
      <c r="A1105" s="45" t="n">
        <v>46309</v>
      </c>
      <c r="B1105" s="0" t="n">
        <v>4</v>
      </c>
      <c r="C1105" s="0" t="n">
        <v>5139</v>
      </c>
      <c r="D1105" s="0" t="n">
        <v>234</v>
      </c>
      <c r="E1105" s="0" t="n">
        <v>1</v>
      </c>
      <c r="F1105" s="39" t="s">
        <v>766</v>
      </c>
      <c r="G1105" s="0" t="n">
        <v>56.7</v>
      </c>
      <c r="H1105" s="0" t="n">
        <v>60</v>
      </c>
      <c r="I1105" s="39" t="s">
        <v>138</v>
      </c>
      <c r="J1105" s="0" t="n">
        <v>234</v>
      </c>
      <c r="K1105" s="0" t="n">
        <v>66</v>
      </c>
      <c r="M1105" s="0" t="n">
        <v>1063.68</v>
      </c>
      <c r="N1105" s="0" t="n">
        <v>37.86</v>
      </c>
      <c r="O1105" s="0" t="n">
        <v>38.28</v>
      </c>
      <c r="P1105" s="0" t="n">
        <v>3.3</v>
      </c>
      <c r="Q1105" s="0" t="n">
        <v>3.28</v>
      </c>
      <c r="R1105" s="0" t="n">
        <v>4967</v>
      </c>
      <c r="S1105" s="0" t="n">
        <v>11179</v>
      </c>
      <c r="T1105" s="0" t="n">
        <v>58.45</v>
      </c>
      <c r="U1105" s="0" t="n">
        <v>1049</v>
      </c>
      <c r="V1105" s="0" t="n">
        <v>5</v>
      </c>
      <c r="W1105" s="39" t="n">
        <f aca="false">IF(I1105="Male",0,1)</f>
        <v>1</v>
      </c>
      <c r="X1105" s="39" t="n">
        <f aca="false">IF(OR(I1105="DNB",I1105="Dry DNB"),1,0)</f>
        <v>0</v>
      </c>
      <c r="Y1105" s="39" t="n">
        <f aca="false">MATCH(A1105,DATAS,0)</f>
        <v>1</v>
      </c>
      <c r="Z1105" s="39" t="n">
        <f aca="false">IF(AND(E1105&gt;0,OR(AND(B1105&gt;=1,B1105&lt;=6),B1105=10)),1,0)</f>
        <v>1</v>
      </c>
      <c r="AA1105" s="39" t="n">
        <f aca="false">IF(AND(E1105&gt;0,B1105=10),1,0)</f>
        <v>0</v>
      </c>
      <c r="AB1105" s="0" t="str">
        <f aca="false">IF(AND(C1104=C1105,Y1104=Y1105-1),Z1104,"")</f>
        <v/>
      </c>
      <c r="AC1105" s="0" t="str">
        <f aca="false">IF(AND(C1104=C1105,Y1104=Y1105-1),AA1104,"")</f>
        <v/>
      </c>
      <c r="AD1105" s="0" t="str">
        <f aca="false">IF(Y1105=1,"",IF(AND(Z1105=1,AB1105&lt;&gt;1),1,0))</f>
        <v/>
      </c>
      <c r="AE1105" s="0" t="str">
        <f aca="false">IF(Y1105=1,"",IF(AND(AA1105=1,AC1105&lt;&gt;1),1,0))</f>
        <v/>
      </c>
      <c r="AF1105" s="45" t="str">
        <f aca="false">IF(AND(E1105&gt;0,Y1105&lt;1,NOT(AND(C1106=C1105,Y1106=Y1105+1))),INDEX(DATAS,Y1105+1),"")</f>
        <v/>
      </c>
      <c r="AG1105" s="45" t="str">
        <f aca="false">IF(AND(AA1105=1,Y1105&lt;1),IF(AND(C1106=C1105,Y1106=Y1105+1),IF(AA1106=1,"",INDEX(DATAS,Y1105+1)),INDEX(DATAS,Y1105+1)),"")</f>
        <v/>
      </c>
    </row>
    <row r="1106" customFormat="false" ht="15" hidden="false" customHeight="false" outlineLevel="0" collapsed="false">
      <c r="A1106" s="45" t="n">
        <v>46309</v>
      </c>
      <c r="B1106" s="0" t="n">
        <v>2</v>
      </c>
      <c r="C1106" s="0" t="n">
        <v>5140</v>
      </c>
      <c r="D1106" s="0" t="n">
        <v>77</v>
      </c>
      <c r="E1106" s="0" t="n">
        <v>2</v>
      </c>
      <c r="F1106" s="39" t="s">
        <v>766</v>
      </c>
      <c r="G1106" s="0" t="n">
        <v>49.1</v>
      </c>
      <c r="H1106" s="0" t="n">
        <v>52</v>
      </c>
      <c r="I1106" s="39" t="s">
        <v>138</v>
      </c>
      <c r="J1106" s="0" t="n">
        <v>77</v>
      </c>
      <c r="K1106" s="0" t="n">
        <v>63</v>
      </c>
      <c r="M1106" s="0" t="n">
        <v>786.44</v>
      </c>
      <c r="N1106" s="0" t="n">
        <v>63.08</v>
      </c>
      <c r="O1106" s="0" t="n">
        <v>41.11</v>
      </c>
      <c r="P1106" s="0" t="n">
        <v>3.16</v>
      </c>
      <c r="Q1106" s="0" t="n">
        <v>3.4</v>
      </c>
      <c r="R1106" s="0" t="n">
        <v>3941</v>
      </c>
      <c r="S1106" s="0" t="n">
        <v>7922</v>
      </c>
      <c r="U1106" s="0" t="n">
        <v>1049</v>
      </c>
      <c r="V1106" s="0" t="n">
        <v>1</v>
      </c>
      <c r="W1106" s="39" t="n">
        <f aca="false">IF(I1106="Male",0,1)</f>
        <v>1</v>
      </c>
      <c r="X1106" s="39" t="n">
        <f aca="false">IF(OR(I1106="DNB",I1106="Dry DNB"),1,0)</f>
        <v>0</v>
      </c>
      <c r="Y1106" s="39" t="n">
        <f aca="false">MATCH(A1106,DATAS,0)</f>
        <v>1</v>
      </c>
      <c r="Z1106" s="39" t="n">
        <f aca="false">IF(AND(E1106&gt;0,OR(AND(B1106&gt;=1,B1106&lt;=6),B1106=10)),1,0)</f>
        <v>1</v>
      </c>
      <c r="AA1106" s="39" t="n">
        <f aca="false">IF(AND(E1106&gt;0,B1106=10),1,0)</f>
        <v>0</v>
      </c>
      <c r="AB1106" s="0" t="str">
        <f aca="false">IF(AND(C1105=C1106,Y1105=Y1106-1),Z1105,"")</f>
        <v/>
      </c>
      <c r="AC1106" s="0" t="str">
        <f aca="false">IF(AND(C1105=C1106,Y1105=Y1106-1),AA1105,"")</f>
        <v/>
      </c>
      <c r="AD1106" s="0" t="str">
        <f aca="false">IF(Y1106=1,"",IF(AND(Z1106=1,AB1106&lt;&gt;1),1,0))</f>
        <v/>
      </c>
      <c r="AE1106" s="0" t="str">
        <f aca="false">IF(Y1106=1,"",IF(AND(AA1106=1,AC1106&lt;&gt;1),1,0))</f>
        <v/>
      </c>
      <c r="AF1106" s="45" t="str">
        <f aca="false">IF(AND(E1106&gt;0,Y1106&lt;1,NOT(AND(C1107=C1106,Y1107=Y1106+1))),INDEX(DATAS,Y1106+1),"")</f>
        <v/>
      </c>
      <c r="AG1106" s="45" t="str">
        <f aca="false">IF(AND(AA1106=1,Y1106&lt;1),IF(AND(C1107=C1106,Y1107=Y1106+1),IF(AA1107=1,"",INDEX(DATAS,Y1106+1)),INDEX(DATAS,Y1106+1)),"")</f>
        <v/>
      </c>
    </row>
    <row r="1107" customFormat="false" ht="15" hidden="false" customHeight="false" outlineLevel="0" collapsed="false">
      <c r="A1107" s="45" t="n">
        <v>46309</v>
      </c>
      <c r="B1107" s="0" t="n">
        <v>5</v>
      </c>
      <c r="C1107" s="0" t="n">
        <v>5141</v>
      </c>
      <c r="D1107" s="0" t="n">
        <v>416</v>
      </c>
      <c r="E1107" s="0" t="n">
        <v>1</v>
      </c>
      <c r="F1107" s="39" t="s">
        <v>766</v>
      </c>
      <c r="G1107" s="0" t="n">
        <v>25.7</v>
      </c>
      <c r="H1107" s="0" t="n">
        <v>24</v>
      </c>
      <c r="I1107" s="39" t="s">
        <v>109</v>
      </c>
      <c r="J1107" s="0" t="n">
        <v>297</v>
      </c>
      <c r="K1107" s="0" t="n">
        <v>66</v>
      </c>
      <c r="L1107" s="0" t="n">
        <v>119</v>
      </c>
      <c r="M1107" s="0" t="n">
        <v>796.49</v>
      </c>
      <c r="N1107" s="0" t="n">
        <v>38.45</v>
      </c>
      <c r="O1107" s="0" t="n">
        <v>43.43</v>
      </c>
      <c r="P1107" s="0" t="n">
        <v>6.04</v>
      </c>
      <c r="Q1107" s="0" t="n">
        <v>4.14</v>
      </c>
      <c r="R1107" s="0" t="n">
        <v>4024</v>
      </c>
      <c r="S1107" s="0" t="n">
        <v>8797</v>
      </c>
      <c r="T1107" s="0" t="n">
        <v>47.1</v>
      </c>
      <c r="U1107" s="0" t="n">
        <v>1049</v>
      </c>
      <c r="V1107" s="0" t="n">
        <v>4</v>
      </c>
      <c r="W1107" s="39" t="n">
        <f aca="false">IF(I1107="Male",0,1)</f>
        <v>1</v>
      </c>
      <c r="X1107" s="39" t="n">
        <f aca="false">IF(OR(I1107="DNB",I1107="Dry DNB"),1,0)</f>
        <v>0</v>
      </c>
      <c r="Y1107" s="39" t="n">
        <f aca="false">MATCH(A1107,DATAS,0)</f>
        <v>1</v>
      </c>
      <c r="Z1107" s="39" t="n">
        <f aca="false">IF(AND(E1107&gt;0,OR(AND(B1107&gt;=1,B1107&lt;=6),B1107=10)),1,0)</f>
        <v>1</v>
      </c>
      <c r="AA1107" s="39" t="n">
        <f aca="false">IF(AND(E1107&gt;0,B1107=10),1,0)</f>
        <v>0</v>
      </c>
      <c r="AB1107" s="0" t="str">
        <f aca="false">IF(AND(C1106=C1107,Y1106=Y1107-1),Z1106,"")</f>
        <v/>
      </c>
      <c r="AC1107" s="0" t="str">
        <f aca="false">IF(AND(C1106=C1107,Y1106=Y1107-1),AA1106,"")</f>
        <v/>
      </c>
      <c r="AD1107" s="0" t="str">
        <f aca="false">IF(Y1107=1,"",IF(AND(Z1107=1,AB1107&lt;&gt;1),1,0))</f>
        <v/>
      </c>
      <c r="AE1107" s="0" t="str">
        <f aca="false">IF(Y1107=1,"",IF(AND(AA1107=1,AC1107&lt;&gt;1),1,0))</f>
        <v/>
      </c>
      <c r="AF1107" s="45" t="str">
        <f aca="false">IF(AND(E1107&gt;0,Y1107&lt;1,NOT(AND(C1108=C1107,Y1108=Y1107+1))),INDEX(DATAS,Y1107+1),"")</f>
        <v/>
      </c>
      <c r="AG1107" s="45" t="str">
        <f aca="false">IF(AND(AA1107=1,Y1107&lt;1),IF(AND(C1108=C1107,Y1108=Y1107+1),IF(AA1108=1,"",INDEX(DATAS,Y1107+1)),INDEX(DATAS,Y1107+1)),"")</f>
        <v/>
      </c>
    </row>
    <row r="1108" customFormat="false" ht="15" hidden="false" customHeight="false" outlineLevel="0" collapsed="false">
      <c r="A1108" s="45" t="n">
        <v>46309</v>
      </c>
      <c r="B1108" s="0" t="n">
        <v>3</v>
      </c>
      <c r="C1108" s="0" t="n">
        <v>5142</v>
      </c>
      <c r="D1108" s="0" t="n">
        <v>62</v>
      </c>
      <c r="E1108" s="0" t="n">
        <v>2</v>
      </c>
      <c r="F1108" s="39" t="s">
        <v>767</v>
      </c>
      <c r="G1108" s="0" t="n">
        <v>56.2</v>
      </c>
      <c r="H1108" s="0" t="n">
        <v>61</v>
      </c>
      <c r="I1108" s="39" t="s">
        <v>118</v>
      </c>
      <c r="J1108" s="0" t="n">
        <v>62</v>
      </c>
      <c r="M1108" s="0" t="n">
        <v>1357.26</v>
      </c>
      <c r="N1108" s="0" t="n">
        <v>50.68</v>
      </c>
      <c r="O1108" s="0" t="n">
        <v>37.7</v>
      </c>
      <c r="P1108" s="0" t="n">
        <v>3.91</v>
      </c>
      <c r="Q1108" s="0" t="n">
        <v>3.27</v>
      </c>
      <c r="R1108" s="0" t="n">
        <v>5082</v>
      </c>
      <c r="S1108" s="0" t="n">
        <v>10216</v>
      </c>
      <c r="U1108" s="0" t="n">
        <v>1048</v>
      </c>
      <c r="V1108" s="0" t="n">
        <v>0</v>
      </c>
      <c r="W1108" s="39" t="n">
        <f aca="false">IF(I1108="Male",0,1)</f>
        <v>1</v>
      </c>
      <c r="X1108" s="39" t="n">
        <f aca="false">IF(OR(I1108="DNB",I1108="Dry DNB"),1,0)</f>
        <v>0</v>
      </c>
      <c r="Y1108" s="39" t="n">
        <f aca="false">MATCH(A1108,DATAS,0)</f>
        <v>1</v>
      </c>
      <c r="Z1108" s="39" t="n">
        <f aca="false">IF(AND(E1108&gt;0,OR(AND(B1108&gt;=1,B1108&lt;=6),B1108=10)),1,0)</f>
        <v>1</v>
      </c>
      <c r="AA1108" s="39" t="n">
        <f aca="false">IF(AND(E1108&gt;0,B1108=10),1,0)</f>
        <v>0</v>
      </c>
      <c r="AB1108" s="0" t="str">
        <f aca="false">IF(AND(C1107=C1108,Y1107=Y1108-1),Z1107,"")</f>
        <v/>
      </c>
      <c r="AC1108" s="0" t="str">
        <f aca="false">IF(AND(C1107=C1108,Y1107=Y1108-1),AA1107,"")</f>
        <v/>
      </c>
      <c r="AD1108" s="0" t="str">
        <f aca="false">IF(Y1108=1,"",IF(AND(Z1108=1,AB1108&lt;&gt;1),1,0))</f>
        <v/>
      </c>
      <c r="AE1108" s="0" t="str">
        <f aca="false">IF(Y1108=1,"",IF(AND(AA1108=1,AC1108&lt;&gt;1),1,0))</f>
        <v/>
      </c>
      <c r="AF1108" s="45" t="str">
        <f aca="false">IF(AND(E1108&gt;0,Y1108&lt;1,NOT(AND(C1109=C1108,Y1109=Y1108+1))),INDEX(DATAS,Y1108+1),"")</f>
        <v/>
      </c>
      <c r="AG1108" s="45" t="str">
        <f aca="false">IF(AND(AA1108=1,Y1108&lt;1),IF(AND(C1109=C1108,Y1109=Y1108+1),IF(AA1109=1,"",INDEX(DATAS,Y1108+1)),INDEX(DATAS,Y1108+1)),"")</f>
        <v/>
      </c>
    </row>
    <row r="1109" customFormat="false" ht="15" hidden="false" customHeight="false" outlineLevel="0" collapsed="false">
      <c r="A1109" s="45" t="n">
        <v>46309</v>
      </c>
      <c r="B1109" s="0" t="n">
        <v>3</v>
      </c>
      <c r="C1109" s="0" t="n">
        <v>5143</v>
      </c>
      <c r="D1109" s="0" t="n">
        <v>74</v>
      </c>
      <c r="E1109" s="0" t="n">
        <v>2</v>
      </c>
      <c r="F1109" s="39" t="s">
        <v>767</v>
      </c>
      <c r="G1109" s="0" t="n">
        <v>53.5</v>
      </c>
      <c r="H1109" s="0" t="n">
        <v>53</v>
      </c>
      <c r="I1109" s="39" t="s">
        <v>138</v>
      </c>
      <c r="J1109" s="0" t="n">
        <v>74</v>
      </c>
      <c r="K1109" s="0" t="n">
        <v>67</v>
      </c>
      <c r="M1109" s="0" t="n">
        <v>299.44</v>
      </c>
      <c r="N1109" s="0" t="n">
        <v>33.93</v>
      </c>
      <c r="O1109" s="0" t="n">
        <v>14.74</v>
      </c>
      <c r="P1109" s="0" t="n">
        <v>3.99</v>
      </c>
      <c r="Q1109" s="0" t="n">
        <v>3.02</v>
      </c>
      <c r="R1109" s="0" t="n">
        <v>4518</v>
      </c>
      <c r="S1109" s="0" t="n">
        <v>9081</v>
      </c>
      <c r="U1109" s="0" t="n">
        <v>1048</v>
      </c>
      <c r="V1109" s="0" t="n">
        <v>1</v>
      </c>
      <c r="W1109" s="39" t="n">
        <f aca="false">IF(I1109="Male",0,1)</f>
        <v>1</v>
      </c>
      <c r="X1109" s="39" t="n">
        <f aca="false">IF(OR(I1109="DNB",I1109="Dry DNB"),1,0)</f>
        <v>0</v>
      </c>
      <c r="Y1109" s="39" t="n">
        <f aca="false">MATCH(A1109,DATAS,0)</f>
        <v>1</v>
      </c>
      <c r="Z1109" s="39" t="n">
        <f aca="false">IF(AND(E1109&gt;0,OR(AND(B1109&gt;=1,B1109&lt;=6),B1109=10)),1,0)</f>
        <v>1</v>
      </c>
      <c r="AA1109" s="39" t="n">
        <f aca="false">IF(AND(E1109&gt;0,B1109=10),1,0)</f>
        <v>0</v>
      </c>
      <c r="AB1109" s="0" t="str">
        <f aca="false">IF(AND(C1108=C1109,Y1108=Y1109-1),Z1108,"")</f>
        <v/>
      </c>
      <c r="AC1109" s="0" t="str">
        <f aca="false">IF(AND(C1108=C1109,Y1108=Y1109-1),AA1108,"")</f>
        <v/>
      </c>
      <c r="AD1109" s="0" t="str">
        <f aca="false">IF(Y1109=1,"",IF(AND(Z1109=1,AB1109&lt;&gt;1),1,0))</f>
        <v/>
      </c>
      <c r="AE1109" s="0" t="str">
        <f aca="false">IF(Y1109=1,"",IF(AND(AA1109=1,AC1109&lt;&gt;1),1,0))</f>
        <v/>
      </c>
      <c r="AF1109" s="45" t="str">
        <f aca="false">IF(AND(E1109&gt;0,Y1109&lt;1,NOT(AND(C1110=C1109,Y1110=Y1109+1))),INDEX(DATAS,Y1109+1),"")</f>
        <v/>
      </c>
      <c r="AG1109" s="45" t="str">
        <f aca="false">IF(AND(AA1109=1,Y1109&lt;1),IF(AND(C1110=C1109,Y1110=Y1109+1),IF(AA1110=1,"",INDEX(DATAS,Y1109+1)),INDEX(DATAS,Y1109+1)),"")</f>
        <v/>
      </c>
    </row>
    <row r="1110" customFormat="false" ht="15" hidden="false" customHeight="false" outlineLevel="0" collapsed="false">
      <c r="A1110" s="45" t="n">
        <v>46309</v>
      </c>
      <c r="B1110" s="0" t="n">
        <v>6</v>
      </c>
      <c r="C1110" s="0" t="n">
        <v>5144</v>
      </c>
      <c r="D1110" s="0" t="n">
        <v>421</v>
      </c>
      <c r="E1110" s="0" t="n">
        <v>1</v>
      </c>
      <c r="F1110" s="39" t="s">
        <v>768</v>
      </c>
      <c r="H1110" s="0" t="n">
        <v>20</v>
      </c>
      <c r="I1110" s="39" t="s">
        <v>109</v>
      </c>
      <c r="J1110" s="0" t="n">
        <v>246</v>
      </c>
      <c r="K1110" s="0" t="n">
        <v>57</v>
      </c>
      <c r="L1110" s="0" t="n">
        <v>175</v>
      </c>
      <c r="M1110" s="0" t="n">
        <v>738.88</v>
      </c>
      <c r="N1110" s="0" t="n">
        <v>19.81</v>
      </c>
      <c r="O1110" s="0" t="n">
        <v>28</v>
      </c>
      <c r="P1110" s="0" t="n">
        <v>5.05</v>
      </c>
      <c r="Q1110" s="0" t="n">
        <v>3.72</v>
      </c>
      <c r="R1110" s="0" t="n">
        <v>3633</v>
      </c>
      <c r="S1110" s="0" t="n">
        <v>8319</v>
      </c>
      <c r="T1110" s="0" t="n">
        <v>40.15</v>
      </c>
      <c r="U1110" s="0" t="n">
        <v>1047</v>
      </c>
      <c r="V1110" s="0" t="n">
        <v>6</v>
      </c>
      <c r="W1110" s="39" t="n">
        <f aca="false">IF(I1110="Male",0,1)</f>
        <v>1</v>
      </c>
      <c r="X1110" s="39" t="n">
        <f aca="false">IF(OR(I1110="DNB",I1110="Dry DNB"),1,0)</f>
        <v>0</v>
      </c>
      <c r="Y1110" s="39" t="n">
        <f aca="false">MATCH(A1110,DATAS,0)</f>
        <v>1</v>
      </c>
      <c r="Z1110" s="39" t="n">
        <f aca="false">IF(AND(E1110&gt;0,OR(AND(B1110&gt;=1,B1110&lt;=6),B1110=10)),1,0)</f>
        <v>1</v>
      </c>
      <c r="AA1110" s="39" t="n">
        <f aca="false">IF(AND(E1110&gt;0,B1110=10),1,0)</f>
        <v>0</v>
      </c>
      <c r="AB1110" s="0" t="str">
        <f aca="false">IF(AND(C1109=C1110,Y1109=Y1110-1),Z1109,"")</f>
        <v/>
      </c>
      <c r="AC1110" s="0" t="str">
        <f aca="false">IF(AND(C1109=C1110,Y1109=Y1110-1),AA1109,"")</f>
        <v/>
      </c>
      <c r="AD1110" s="0" t="str">
        <f aca="false">IF(Y1110=1,"",IF(AND(Z1110=1,AB1110&lt;&gt;1),1,0))</f>
        <v/>
      </c>
      <c r="AE1110" s="0" t="str">
        <f aca="false">IF(Y1110=1,"",IF(AND(AA1110=1,AC1110&lt;&gt;1),1,0))</f>
        <v/>
      </c>
      <c r="AF1110" s="45" t="str">
        <f aca="false">IF(AND(E1110&gt;0,Y1110&lt;1,NOT(AND(C1111=C1110,Y1111=Y1110+1))),INDEX(DATAS,Y1110+1),"")</f>
        <v/>
      </c>
      <c r="AG1110" s="45" t="str">
        <f aca="false">IF(AND(AA1110=1,Y1110&lt;1),IF(AND(C1111=C1110,Y1111=Y1110+1),IF(AA1111=1,"",INDEX(DATAS,Y1110+1)),INDEX(DATAS,Y1110+1)),"")</f>
        <v/>
      </c>
    </row>
    <row r="1111" customFormat="false" ht="15" hidden="false" customHeight="false" outlineLevel="0" collapsed="false">
      <c r="A1111" s="45" t="n">
        <v>46309</v>
      </c>
      <c r="B1111" s="0" t="n">
        <v>6</v>
      </c>
      <c r="C1111" s="0" t="n">
        <v>5146</v>
      </c>
      <c r="D1111" s="0" t="n">
        <v>415</v>
      </c>
      <c r="E1111" s="0" t="n">
        <v>1</v>
      </c>
      <c r="F1111" s="39" t="s">
        <v>768</v>
      </c>
      <c r="G1111" s="0" t="n">
        <v>19.9</v>
      </c>
      <c r="H1111" s="0" t="n">
        <v>20</v>
      </c>
      <c r="I1111" s="39" t="s">
        <v>146</v>
      </c>
      <c r="J1111" s="0" t="n">
        <v>415</v>
      </c>
      <c r="K1111" s="0" t="n">
        <v>65</v>
      </c>
      <c r="M1111" s="0" t="n">
        <v>308.08</v>
      </c>
      <c r="N1111" s="0" t="n">
        <v>44.18</v>
      </c>
      <c r="O1111" s="0" t="n">
        <v>26.25</v>
      </c>
      <c r="P1111" s="0" t="n">
        <v>6.09</v>
      </c>
      <c r="Q1111" s="0" t="n">
        <v>4.37</v>
      </c>
      <c r="R1111" s="0" t="n">
        <v>3518</v>
      </c>
      <c r="S1111" s="0" t="n">
        <v>6788</v>
      </c>
      <c r="T1111" s="0" t="n">
        <v>37.6</v>
      </c>
      <c r="U1111" s="0" t="n">
        <v>1047</v>
      </c>
      <c r="V1111" s="0" t="n">
        <v>6</v>
      </c>
      <c r="W1111" s="39" t="n">
        <f aca="false">IF(I1111="Male",0,1)</f>
        <v>1</v>
      </c>
      <c r="X1111" s="39" t="n">
        <f aca="false">IF(OR(I1111="DNB",I1111="Dry DNB"),1,0)</f>
        <v>0</v>
      </c>
      <c r="Y1111" s="39" t="n">
        <f aca="false">MATCH(A1111,DATAS,0)</f>
        <v>1</v>
      </c>
      <c r="Z1111" s="39" t="n">
        <f aca="false">IF(AND(E1111&gt;0,OR(AND(B1111&gt;=1,B1111&lt;=6),B1111=10)),1,0)</f>
        <v>1</v>
      </c>
      <c r="AA1111" s="39" t="n">
        <f aca="false">IF(AND(E1111&gt;0,B1111=10),1,0)</f>
        <v>0</v>
      </c>
      <c r="AB1111" s="0" t="str">
        <f aca="false">IF(AND(C1110=C1111,Y1110=Y1111-1),Z1110,"")</f>
        <v/>
      </c>
      <c r="AC1111" s="0" t="str">
        <f aca="false">IF(AND(C1110=C1111,Y1110=Y1111-1),AA1110,"")</f>
        <v/>
      </c>
      <c r="AD1111" s="0" t="str">
        <f aca="false">IF(Y1111=1,"",IF(AND(Z1111=1,AB1111&lt;&gt;1),1,0))</f>
        <v/>
      </c>
      <c r="AE1111" s="0" t="str">
        <f aca="false">IF(Y1111=1,"",IF(AND(AA1111=1,AC1111&lt;&gt;1),1,0))</f>
        <v/>
      </c>
      <c r="AF1111" s="45" t="str">
        <f aca="false">IF(AND(E1111&gt;0,Y1111&lt;1,NOT(AND(C1112=C1111,Y1112=Y1111+1))),INDEX(DATAS,Y1111+1),"")</f>
        <v/>
      </c>
      <c r="AG1111" s="45" t="str">
        <f aca="false">IF(AND(AA1111=1,Y1111&lt;1),IF(AND(C1112=C1111,Y1112=Y1111+1),IF(AA1112=1,"",INDEX(DATAS,Y1111+1)),INDEX(DATAS,Y1111+1)),"")</f>
        <v/>
      </c>
    </row>
    <row r="1112" customFormat="false" ht="15" hidden="false" customHeight="false" outlineLevel="0" collapsed="false">
      <c r="A1112" s="45" t="n">
        <v>46309</v>
      </c>
      <c r="B1112" s="0" t="n">
        <v>7</v>
      </c>
      <c r="C1112" s="0" t="n">
        <v>5147</v>
      </c>
      <c r="D1112" s="0" t="n">
        <v>219</v>
      </c>
      <c r="E1112" s="0" t="n">
        <v>1</v>
      </c>
      <c r="F1112" s="39" t="s">
        <v>768</v>
      </c>
      <c r="I1112" s="39" t="s">
        <v>114</v>
      </c>
      <c r="J1112" s="0" t="n">
        <v>100</v>
      </c>
      <c r="K1112" s="0" t="n">
        <v>65</v>
      </c>
      <c r="L1112" s="0" t="n">
        <v>238</v>
      </c>
      <c r="M1112" s="0" t="n">
        <v>505.23</v>
      </c>
      <c r="N1112" s="0" t="n">
        <v>62.26</v>
      </c>
      <c r="O1112" s="0" t="n">
        <v>32.69</v>
      </c>
      <c r="P1112" s="0" t="n">
        <v>4.53</v>
      </c>
      <c r="Q1112" s="0" t="n">
        <v>3.67</v>
      </c>
      <c r="R1112" s="0" t="n">
        <v>4025</v>
      </c>
      <c r="S1112" s="0" t="n">
        <v>8247</v>
      </c>
      <c r="T1112" s="0" t="n">
        <v>41.4</v>
      </c>
      <c r="U1112" s="0" t="n">
        <v>1047</v>
      </c>
      <c r="V1112" s="0" t="n">
        <v>2</v>
      </c>
      <c r="W1112" s="39" t="n">
        <f aca="false">IF(I1112="Male",0,1)</f>
        <v>1</v>
      </c>
      <c r="X1112" s="39" t="n">
        <f aca="false">IF(OR(I1112="DNB",I1112="Dry DNB"),1,0)</f>
        <v>0</v>
      </c>
      <c r="Y1112" s="39" t="n">
        <f aca="false">MATCH(A1112,DATAS,0)</f>
        <v>1</v>
      </c>
      <c r="Z1112" s="39" t="n">
        <f aca="false">IF(AND(E1112&gt;0,OR(AND(B1112&gt;=1,B1112&lt;=6),B1112=10)),1,0)</f>
        <v>0</v>
      </c>
      <c r="AA1112" s="39" t="n">
        <f aca="false">IF(AND(E1112&gt;0,B1112=10),1,0)</f>
        <v>0</v>
      </c>
      <c r="AB1112" s="0" t="str">
        <f aca="false">IF(AND(C1111=C1112,Y1111=Y1112-1),Z1111,"")</f>
        <v/>
      </c>
      <c r="AC1112" s="0" t="str">
        <f aca="false">IF(AND(C1111=C1112,Y1111=Y1112-1),AA1111,"")</f>
        <v/>
      </c>
      <c r="AD1112" s="0" t="str">
        <f aca="false">IF(Y1112=1,"",IF(AND(Z1112=1,AB1112&lt;&gt;1),1,0))</f>
        <v/>
      </c>
      <c r="AE1112" s="0" t="str">
        <f aca="false">IF(Y1112=1,"",IF(AND(AA1112=1,AC1112&lt;&gt;1),1,0))</f>
        <v/>
      </c>
      <c r="AF1112" s="45" t="str">
        <f aca="false">IF(AND(E1112&gt;0,Y1112&lt;1,NOT(AND(C1113=C1112,Y1113=Y1112+1))),INDEX(DATAS,Y1112+1),"")</f>
        <v/>
      </c>
      <c r="AG1112" s="45" t="str">
        <f aca="false">IF(AND(AA1112=1,Y1112&lt;1),IF(AND(C1113=C1112,Y1113=Y1112+1),IF(AA1113=1,"",INDEX(DATAS,Y1112+1)),INDEX(DATAS,Y1112+1)),"")</f>
        <v/>
      </c>
    </row>
    <row r="1113" customFormat="false" ht="15" hidden="false" customHeight="false" outlineLevel="0" collapsed="false">
      <c r="A1113" s="45" t="n">
        <v>46309</v>
      </c>
      <c r="B1113" s="0" t="n">
        <v>3</v>
      </c>
      <c r="C1113" s="0" t="n">
        <v>5149</v>
      </c>
      <c r="D1113" s="0" t="n">
        <v>90</v>
      </c>
      <c r="E1113" s="0" t="n">
        <v>2</v>
      </c>
      <c r="F1113" s="39" t="s">
        <v>769</v>
      </c>
      <c r="G1113" s="0" t="n">
        <v>61</v>
      </c>
      <c r="H1113" s="0" t="n">
        <v>59</v>
      </c>
      <c r="I1113" s="39" t="s">
        <v>138</v>
      </c>
      <c r="J1113" s="0" t="n">
        <v>90</v>
      </c>
      <c r="K1113" s="0" t="n">
        <v>62</v>
      </c>
      <c r="M1113" s="0" t="n">
        <v>534.94</v>
      </c>
      <c r="N1113" s="0" t="n">
        <v>87.09</v>
      </c>
      <c r="O1113" s="0" t="n">
        <v>46.6</v>
      </c>
      <c r="P1113" s="0" t="n">
        <v>3.71</v>
      </c>
      <c r="Q1113" s="0" t="n">
        <v>3.58</v>
      </c>
      <c r="R1113" s="0" t="n">
        <v>5218</v>
      </c>
      <c r="S1113" s="0" t="n">
        <v>10490</v>
      </c>
      <c r="U1113" s="0" t="n">
        <v>1045</v>
      </c>
      <c r="V1113" s="0" t="n">
        <v>1</v>
      </c>
      <c r="W1113" s="39" t="n">
        <f aca="false">IF(I1113="Male",0,1)</f>
        <v>1</v>
      </c>
      <c r="X1113" s="39" t="n">
        <f aca="false">IF(OR(I1113="DNB",I1113="Dry DNB"),1,0)</f>
        <v>0</v>
      </c>
      <c r="Y1113" s="39" t="n">
        <f aca="false">MATCH(A1113,DATAS,0)</f>
        <v>1</v>
      </c>
      <c r="Z1113" s="39" t="n">
        <f aca="false">IF(AND(E1113&gt;0,OR(AND(B1113&gt;=1,B1113&lt;=6),B1113=10)),1,0)</f>
        <v>1</v>
      </c>
      <c r="AA1113" s="39" t="n">
        <f aca="false">IF(AND(E1113&gt;0,B1113=10),1,0)</f>
        <v>0</v>
      </c>
      <c r="AB1113" s="0" t="str">
        <f aca="false">IF(AND(C1112=C1113,Y1112=Y1113-1),Z1112,"")</f>
        <v/>
      </c>
      <c r="AC1113" s="0" t="str">
        <f aca="false">IF(AND(C1112=C1113,Y1112=Y1113-1),AA1112,"")</f>
        <v/>
      </c>
      <c r="AD1113" s="0" t="str">
        <f aca="false">IF(Y1113=1,"",IF(AND(Z1113=1,AB1113&lt;&gt;1),1,0))</f>
        <v/>
      </c>
      <c r="AE1113" s="0" t="str">
        <f aca="false">IF(Y1113=1,"",IF(AND(AA1113=1,AC1113&lt;&gt;1),1,0))</f>
        <v/>
      </c>
      <c r="AF1113" s="45" t="str">
        <f aca="false">IF(AND(E1113&gt;0,Y1113&lt;1,NOT(AND(C1114=C1113,Y1114=Y1113+1))),INDEX(DATAS,Y1113+1),"")</f>
        <v/>
      </c>
      <c r="AG1113" s="45" t="str">
        <f aca="false">IF(AND(AA1113=1,Y1113&lt;1),IF(AND(C1114=C1113,Y1114=Y1113+1),IF(AA1114=1,"",INDEX(DATAS,Y1113+1)),INDEX(DATAS,Y1113+1)),"")</f>
        <v/>
      </c>
    </row>
    <row r="1114" customFormat="false" ht="15" hidden="false" customHeight="false" outlineLevel="0" collapsed="false">
      <c r="A1114" s="45" t="n">
        <v>46309</v>
      </c>
      <c r="B1114" s="0" t="n">
        <v>7</v>
      </c>
      <c r="C1114" s="0" t="n">
        <v>5150</v>
      </c>
      <c r="D1114" s="0" t="n">
        <v>291</v>
      </c>
      <c r="E1114" s="0" t="n">
        <v>1</v>
      </c>
      <c r="F1114" s="39" t="s">
        <v>769</v>
      </c>
      <c r="I1114" s="39" t="s">
        <v>114</v>
      </c>
      <c r="J1114" s="0" t="n">
        <v>68</v>
      </c>
      <c r="K1114" s="0" t="n">
        <v>68</v>
      </c>
      <c r="L1114" s="0" t="n">
        <v>238</v>
      </c>
      <c r="M1114" s="0" t="n">
        <v>260.29</v>
      </c>
      <c r="N1114" s="0" t="n">
        <v>52.57</v>
      </c>
      <c r="O1114" s="0" t="n">
        <v>11.85</v>
      </c>
      <c r="P1114" s="0" t="n">
        <v>3.76</v>
      </c>
      <c r="Q1114" s="0" t="n">
        <v>3.29</v>
      </c>
      <c r="R1114" s="0" t="n">
        <v>3868</v>
      </c>
      <c r="S1114" s="0" t="n">
        <v>8904</v>
      </c>
      <c r="T1114" s="0" t="n">
        <v>40.55</v>
      </c>
      <c r="U1114" s="0" t="n">
        <v>1045</v>
      </c>
      <c r="V1114" s="0" t="n">
        <v>1</v>
      </c>
      <c r="W1114" s="39" t="n">
        <f aca="false">IF(I1114="Male",0,1)</f>
        <v>1</v>
      </c>
      <c r="X1114" s="39" t="n">
        <f aca="false">IF(OR(I1114="DNB",I1114="Dry DNB"),1,0)</f>
        <v>0</v>
      </c>
      <c r="Y1114" s="39" t="n">
        <f aca="false">MATCH(A1114,DATAS,0)</f>
        <v>1</v>
      </c>
      <c r="Z1114" s="39" t="n">
        <f aca="false">IF(AND(E1114&gt;0,OR(AND(B1114&gt;=1,B1114&lt;=6),B1114=10)),1,0)</f>
        <v>0</v>
      </c>
      <c r="AA1114" s="39" t="n">
        <f aca="false">IF(AND(E1114&gt;0,B1114=10),1,0)</f>
        <v>0</v>
      </c>
      <c r="AB1114" s="0" t="str">
        <f aca="false">IF(AND(C1113=C1114,Y1113=Y1114-1),Z1113,"")</f>
        <v/>
      </c>
      <c r="AC1114" s="0" t="str">
        <f aca="false">IF(AND(C1113=C1114,Y1113=Y1114-1),AA1113,"")</f>
        <v/>
      </c>
      <c r="AD1114" s="0" t="str">
        <f aca="false">IF(Y1114=1,"",IF(AND(Z1114=1,AB1114&lt;&gt;1),1,0))</f>
        <v/>
      </c>
      <c r="AE1114" s="0" t="str">
        <f aca="false">IF(Y1114=1,"",IF(AND(AA1114=1,AC1114&lt;&gt;1),1,0))</f>
        <v/>
      </c>
      <c r="AF1114" s="45" t="str">
        <f aca="false">IF(AND(E1114&gt;0,Y1114&lt;1,NOT(AND(C1115=C1114,Y1115=Y1114+1))),INDEX(DATAS,Y1114+1),"")</f>
        <v/>
      </c>
      <c r="AG1114" s="45" t="str">
        <f aca="false">IF(AND(AA1114=1,Y1114&lt;1),IF(AND(C1115=C1114,Y1115=Y1114+1),IF(AA1115=1,"",INDEX(DATAS,Y1114+1)),INDEX(DATAS,Y1114+1)),"")</f>
        <v/>
      </c>
    </row>
    <row r="1115" customFormat="false" ht="15" hidden="false" customHeight="false" outlineLevel="0" collapsed="false">
      <c r="A1115" s="45" t="n">
        <v>46309</v>
      </c>
      <c r="B1115" s="0" t="n">
        <v>4</v>
      </c>
      <c r="C1115" s="0" t="n">
        <v>5151</v>
      </c>
      <c r="D1115" s="0" t="n">
        <v>252</v>
      </c>
      <c r="E1115" s="0" t="n">
        <v>1</v>
      </c>
      <c r="F1115" s="39" t="s">
        <v>769</v>
      </c>
      <c r="G1115" s="0" t="n">
        <v>53.1</v>
      </c>
      <c r="H1115" s="0" t="n">
        <v>51</v>
      </c>
      <c r="I1115" s="39" t="s">
        <v>109</v>
      </c>
      <c r="J1115" s="0" t="n">
        <v>140</v>
      </c>
      <c r="K1115" s="0" t="n">
        <v>63</v>
      </c>
      <c r="L1115" s="0" t="n">
        <v>112</v>
      </c>
      <c r="M1115" s="0" t="n">
        <v>777.75</v>
      </c>
      <c r="N1115" s="0" t="n">
        <v>23.93</v>
      </c>
      <c r="O1115" s="0" t="n">
        <v>39.99</v>
      </c>
      <c r="P1115" s="0" t="n">
        <v>3.13</v>
      </c>
      <c r="Q1115" s="0" t="n">
        <v>3.63</v>
      </c>
      <c r="R1115" s="0" t="n">
        <v>4283</v>
      </c>
      <c r="S1115" s="0" t="n">
        <v>10167</v>
      </c>
      <c r="T1115" s="0" t="n">
        <v>44.05</v>
      </c>
      <c r="U1115" s="0" t="n">
        <v>1045</v>
      </c>
      <c r="V1115" s="0" t="n">
        <v>4</v>
      </c>
      <c r="W1115" s="39" t="n">
        <f aca="false">IF(I1115="Male",0,1)</f>
        <v>1</v>
      </c>
      <c r="X1115" s="39" t="n">
        <f aca="false">IF(OR(I1115="DNB",I1115="Dry DNB"),1,0)</f>
        <v>0</v>
      </c>
      <c r="Y1115" s="39" t="n">
        <f aca="false">MATCH(A1115,DATAS,0)</f>
        <v>1</v>
      </c>
      <c r="Z1115" s="39" t="n">
        <f aca="false">IF(AND(E1115&gt;0,OR(AND(B1115&gt;=1,B1115&lt;=6),B1115=10)),1,0)</f>
        <v>1</v>
      </c>
      <c r="AA1115" s="39" t="n">
        <f aca="false">IF(AND(E1115&gt;0,B1115=10),1,0)</f>
        <v>0</v>
      </c>
      <c r="AB1115" s="0" t="str">
        <f aca="false">IF(AND(C1114=C1115,Y1114=Y1115-1),Z1114,"")</f>
        <v/>
      </c>
      <c r="AC1115" s="0" t="str">
        <f aca="false">IF(AND(C1114=C1115,Y1114=Y1115-1),AA1114,"")</f>
        <v/>
      </c>
      <c r="AD1115" s="0" t="str">
        <f aca="false">IF(Y1115=1,"",IF(AND(Z1115=1,AB1115&lt;&gt;1),1,0))</f>
        <v/>
      </c>
      <c r="AE1115" s="0" t="str">
        <f aca="false">IF(Y1115=1,"",IF(AND(AA1115=1,AC1115&lt;&gt;1),1,0))</f>
        <v/>
      </c>
      <c r="AF1115" s="45" t="str">
        <f aca="false">IF(AND(E1115&gt;0,Y1115&lt;1,NOT(AND(C1116=C1115,Y1116=Y1115+1))),INDEX(DATAS,Y1115+1),"")</f>
        <v/>
      </c>
      <c r="AG1115" s="45" t="str">
        <f aca="false">IF(AND(AA1115=1,Y1115&lt;1),IF(AND(C1116=C1115,Y1116=Y1115+1),IF(AA1116=1,"",INDEX(DATAS,Y1115+1)),INDEX(DATAS,Y1115+1)),"")</f>
        <v/>
      </c>
    </row>
    <row r="1116" customFormat="false" ht="15" hidden="false" customHeight="false" outlineLevel="0" collapsed="false">
      <c r="A1116" s="45" t="n">
        <v>46309</v>
      </c>
      <c r="B1116" s="0" t="n">
        <v>7</v>
      </c>
      <c r="C1116" s="0" t="n">
        <v>5152</v>
      </c>
      <c r="D1116" s="0" t="n">
        <v>384</v>
      </c>
      <c r="E1116" s="0" t="n">
        <v>1</v>
      </c>
      <c r="F1116" s="39" t="s">
        <v>769</v>
      </c>
      <c r="I1116" s="39" t="s">
        <v>114</v>
      </c>
      <c r="J1116" s="0" t="n">
        <v>160</v>
      </c>
      <c r="K1116" s="0" t="n">
        <v>62</v>
      </c>
      <c r="L1116" s="0" t="n">
        <v>252</v>
      </c>
      <c r="M1116" s="0" t="n">
        <v>670.12</v>
      </c>
      <c r="N1116" s="0" t="n">
        <v>48.35</v>
      </c>
      <c r="O1116" s="0" t="n">
        <v>21.25</v>
      </c>
      <c r="P1116" s="0" t="n">
        <v>4.83</v>
      </c>
      <c r="Q1116" s="0" t="n">
        <v>3.49</v>
      </c>
      <c r="R1116" s="0" t="n">
        <v>5043</v>
      </c>
      <c r="S1116" s="0" t="n">
        <v>10064</v>
      </c>
      <c r="T1116" s="0" t="n">
        <v>56.3</v>
      </c>
      <c r="U1116" s="0" t="n">
        <v>1045</v>
      </c>
      <c r="V1116" s="0" t="n">
        <v>4</v>
      </c>
      <c r="W1116" s="39" t="n">
        <f aca="false">IF(I1116="Male",0,1)</f>
        <v>1</v>
      </c>
      <c r="X1116" s="39" t="n">
        <f aca="false">IF(OR(I1116="DNB",I1116="Dry DNB"),1,0)</f>
        <v>0</v>
      </c>
      <c r="Y1116" s="39" t="n">
        <f aca="false">MATCH(A1116,DATAS,0)</f>
        <v>1</v>
      </c>
      <c r="Z1116" s="39" t="n">
        <f aca="false">IF(AND(E1116&gt;0,OR(AND(B1116&gt;=1,B1116&lt;=6),B1116=10)),1,0)</f>
        <v>0</v>
      </c>
      <c r="AA1116" s="39" t="n">
        <f aca="false">IF(AND(E1116&gt;0,B1116=10),1,0)</f>
        <v>0</v>
      </c>
      <c r="AB1116" s="0" t="str">
        <f aca="false">IF(AND(C1115=C1116,Y1115=Y1116-1),Z1115,"")</f>
        <v/>
      </c>
      <c r="AC1116" s="0" t="str">
        <f aca="false">IF(AND(C1115=C1116,Y1115=Y1116-1),AA1115,"")</f>
        <v/>
      </c>
      <c r="AD1116" s="0" t="str">
        <f aca="false">IF(Y1116=1,"",IF(AND(Z1116=1,AB1116&lt;&gt;1),1,0))</f>
        <v/>
      </c>
      <c r="AE1116" s="0" t="str">
        <f aca="false">IF(Y1116=1,"",IF(AND(AA1116=1,AC1116&lt;&gt;1),1,0))</f>
        <v/>
      </c>
      <c r="AF1116" s="45" t="str">
        <f aca="false">IF(AND(E1116&gt;0,Y1116&lt;1,NOT(AND(C1117=C1116,Y1117=Y1116+1))),INDEX(DATAS,Y1116+1),"")</f>
        <v/>
      </c>
      <c r="AG1116" s="45" t="str">
        <f aca="false">IF(AND(AA1116=1,Y1116&lt;1),IF(AND(C1117=C1116,Y1117=Y1116+1),IF(AA1117=1,"",INDEX(DATAS,Y1116+1)),INDEX(DATAS,Y1116+1)),"")</f>
        <v/>
      </c>
    </row>
    <row r="1117" customFormat="false" ht="15" hidden="false" customHeight="false" outlineLevel="0" collapsed="false">
      <c r="A1117" s="45" t="n">
        <v>46309</v>
      </c>
      <c r="B1117" s="0" t="n">
        <v>2</v>
      </c>
      <c r="C1117" s="0" t="n">
        <v>5155</v>
      </c>
      <c r="D1117" s="0" t="n">
        <v>74</v>
      </c>
      <c r="E1117" s="0" t="n">
        <v>2</v>
      </c>
      <c r="F1117" s="39" t="s">
        <v>770</v>
      </c>
      <c r="G1117" s="0" t="n">
        <v>49.3</v>
      </c>
      <c r="H1117" s="0" t="n">
        <v>49</v>
      </c>
      <c r="I1117" s="39" t="s">
        <v>146</v>
      </c>
      <c r="J1117" s="0" t="n">
        <v>74</v>
      </c>
      <c r="M1117" s="0" t="n">
        <v>309.1</v>
      </c>
      <c r="N1117" s="0" t="n">
        <v>53.65</v>
      </c>
      <c r="O1117" s="0" t="n">
        <v>26.43</v>
      </c>
      <c r="P1117" s="0" t="n">
        <v>3.14</v>
      </c>
      <c r="Q1117" s="0" t="n">
        <v>3.07</v>
      </c>
      <c r="R1117" s="0" t="n">
        <v>4678</v>
      </c>
      <c r="S1117" s="0" t="n">
        <v>9404</v>
      </c>
      <c r="U1117" s="0" t="n">
        <v>1044</v>
      </c>
      <c r="V1117" s="0" t="n">
        <v>0</v>
      </c>
      <c r="W1117" s="39" t="n">
        <f aca="false">IF(I1117="Male",0,1)</f>
        <v>1</v>
      </c>
      <c r="X1117" s="39" t="n">
        <f aca="false">IF(OR(I1117="DNB",I1117="Dry DNB"),1,0)</f>
        <v>0</v>
      </c>
      <c r="Y1117" s="39" t="n">
        <f aca="false">MATCH(A1117,DATAS,0)</f>
        <v>1</v>
      </c>
      <c r="Z1117" s="39" t="n">
        <f aca="false">IF(AND(E1117&gt;0,OR(AND(B1117&gt;=1,B1117&lt;=6),B1117=10)),1,0)</f>
        <v>1</v>
      </c>
      <c r="AA1117" s="39" t="n">
        <f aca="false">IF(AND(E1117&gt;0,B1117=10),1,0)</f>
        <v>0</v>
      </c>
      <c r="AB1117" s="0" t="str">
        <f aca="false">IF(AND(C1116=C1117,Y1116=Y1117-1),Z1116,"")</f>
        <v/>
      </c>
      <c r="AC1117" s="0" t="str">
        <f aca="false">IF(AND(C1116=C1117,Y1116=Y1117-1),AA1116,"")</f>
        <v/>
      </c>
      <c r="AD1117" s="0" t="str">
        <f aca="false">IF(Y1117=1,"",IF(AND(Z1117=1,AB1117&lt;&gt;1),1,0))</f>
        <v/>
      </c>
      <c r="AE1117" s="0" t="str">
        <f aca="false">IF(Y1117=1,"",IF(AND(AA1117=1,AC1117&lt;&gt;1),1,0))</f>
        <v/>
      </c>
      <c r="AF1117" s="45" t="str">
        <f aca="false">IF(AND(E1117&gt;0,Y1117&lt;1,NOT(AND(C1118=C1117,Y1118=Y1117+1))),INDEX(DATAS,Y1117+1),"")</f>
        <v/>
      </c>
      <c r="AG1117" s="45" t="str">
        <f aca="false">IF(AND(AA1117=1,Y1117&lt;1),IF(AND(C1118=C1117,Y1118=Y1117+1),IF(AA1118=1,"",INDEX(DATAS,Y1117+1)),INDEX(DATAS,Y1117+1)),"")</f>
        <v/>
      </c>
    </row>
    <row r="1118" customFormat="false" ht="15" hidden="false" customHeight="false" outlineLevel="0" collapsed="false">
      <c r="A1118" s="45" t="n">
        <v>46309</v>
      </c>
      <c r="B1118" s="0" t="n">
        <v>3</v>
      </c>
      <c r="C1118" s="0" t="n">
        <v>5156</v>
      </c>
      <c r="D1118" s="0" t="n">
        <v>60</v>
      </c>
      <c r="E1118" s="0" t="n">
        <v>2</v>
      </c>
      <c r="F1118" s="39" t="s">
        <v>770</v>
      </c>
      <c r="G1118" s="0" t="n">
        <v>59.4</v>
      </c>
      <c r="H1118" s="0" t="n">
        <v>55</v>
      </c>
      <c r="I1118" s="39" t="s">
        <v>118</v>
      </c>
      <c r="J1118" s="0" t="n">
        <v>60</v>
      </c>
      <c r="M1118" s="0" t="n">
        <v>828.85</v>
      </c>
      <c r="N1118" s="0" t="n">
        <v>86.22</v>
      </c>
      <c r="O1118" s="0" t="n">
        <v>41.96</v>
      </c>
      <c r="P1118" s="0" t="n">
        <v>4.5</v>
      </c>
      <c r="Q1118" s="0" t="n">
        <v>3.37</v>
      </c>
      <c r="R1118" s="0" t="n">
        <v>4653</v>
      </c>
      <c r="S1118" s="0" t="n">
        <v>9354</v>
      </c>
      <c r="U1118" s="0" t="n">
        <v>1044</v>
      </c>
      <c r="V1118" s="0" t="n">
        <v>0</v>
      </c>
      <c r="W1118" s="39" t="n">
        <f aca="false">IF(I1118="Male",0,1)</f>
        <v>1</v>
      </c>
      <c r="X1118" s="39" t="n">
        <f aca="false">IF(OR(I1118="DNB",I1118="Dry DNB"),1,0)</f>
        <v>0</v>
      </c>
      <c r="Y1118" s="39" t="n">
        <f aca="false">MATCH(A1118,DATAS,0)</f>
        <v>1</v>
      </c>
      <c r="Z1118" s="39" t="n">
        <f aca="false">IF(AND(E1118&gt;0,OR(AND(B1118&gt;=1,B1118&lt;=6),B1118=10)),1,0)</f>
        <v>1</v>
      </c>
      <c r="AA1118" s="39" t="n">
        <f aca="false">IF(AND(E1118&gt;0,B1118=10),1,0)</f>
        <v>0</v>
      </c>
      <c r="AB1118" s="0" t="str">
        <f aca="false">IF(AND(C1117=C1118,Y1117=Y1118-1),Z1117,"")</f>
        <v/>
      </c>
      <c r="AC1118" s="0" t="str">
        <f aca="false">IF(AND(C1117=C1118,Y1117=Y1118-1),AA1117,"")</f>
        <v/>
      </c>
      <c r="AD1118" s="0" t="str">
        <f aca="false">IF(Y1118=1,"",IF(AND(Z1118=1,AB1118&lt;&gt;1),1,0))</f>
        <v/>
      </c>
      <c r="AE1118" s="0" t="str">
        <f aca="false">IF(Y1118=1,"",IF(AND(AA1118=1,AC1118&lt;&gt;1),1,0))</f>
        <v/>
      </c>
      <c r="AF1118" s="45" t="str">
        <f aca="false">IF(AND(E1118&gt;0,Y1118&lt;1,NOT(AND(C1119=C1118,Y1119=Y1118+1))),INDEX(DATAS,Y1118+1),"")</f>
        <v/>
      </c>
      <c r="AG1118" s="45" t="str">
        <f aca="false">IF(AND(AA1118=1,Y1118&lt;1),IF(AND(C1119=C1118,Y1119=Y1118+1),IF(AA1119=1,"",INDEX(DATAS,Y1118+1)),INDEX(DATAS,Y1118+1)),"")</f>
        <v/>
      </c>
    </row>
    <row r="1119" customFormat="false" ht="15" hidden="false" customHeight="false" outlineLevel="0" collapsed="false">
      <c r="A1119" s="45" t="n">
        <v>46309</v>
      </c>
      <c r="B1119" s="0" t="n">
        <v>14</v>
      </c>
      <c r="C1119" s="0" t="n">
        <v>5157</v>
      </c>
      <c r="D1119" s="0" t="n">
        <v>290</v>
      </c>
      <c r="E1119" s="0" t="n">
        <v>1</v>
      </c>
      <c r="F1119" s="39" t="s">
        <v>770</v>
      </c>
      <c r="I1119" s="39" t="s">
        <v>114</v>
      </c>
      <c r="J1119" s="0" t="n">
        <v>67</v>
      </c>
      <c r="K1119" s="0" t="n">
        <v>67</v>
      </c>
      <c r="L1119" s="0" t="n">
        <v>266</v>
      </c>
      <c r="M1119" s="0" t="n">
        <v>728.9</v>
      </c>
      <c r="N1119" s="0" t="n">
        <v>45.67</v>
      </c>
      <c r="O1119" s="0" t="n">
        <v>38.08</v>
      </c>
      <c r="P1119" s="0" t="n">
        <v>3.42</v>
      </c>
      <c r="Q1119" s="0" t="n">
        <v>3.52</v>
      </c>
      <c r="R1119" s="0" t="n">
        <v>3726</v>
      </c>
      <c r="S1119" s="0" t="n">
        <v>8348</v>
      </c>
      <c r="T1119" s="0" t="n">
        <v>39.15</v>
      </c>
      <c r="U1119" s="0" t="n">
        <v>1044</v>
      </c>
      <c r="V1119" s="0" t="n">
        <v>1</v>
      </c>
      <c r="W1119" s="39" t="n">
        <f aca="false">IF(I1119="Male",0,1)</f>
        <v>1</v>
      </c>
      <c r="X1119" s="39" t="n">
        <f aca="false">IF(OR(I1119="DNB",I1119="Dry DNB"),1,0)</f>
        <v>0</v>
      </c>
      <c r="Y1119" s="39" t="n">
        <f aca="false">MATCH(A1119,DATAS,0)</f>
        <v>1</v>
      </c>
      <c r="Z1119" s="39" t="n">
        <f aca="false">IF(AND(E1119&gt;0,OR(AND(B1119&gt;=1,B1119&lt;=6),B1119=10)),1,0)</f>
        <v>0</v>
      </c>
      <c r="AA1119" s="39" t="n">
        <f aca="false">IF(AND(E1119&gt;0,B1119=10),1,0)</f>
        <v>0</v>
      </c>
      <c r="AB1119" s="0" t="str">
        <f aca="false">IF(AND(C1118=C1119,Y1118=Y1119-1),Z1118,"")</f>
        <v/>
      </c>
      <c r="AC1119" s="0" t="str">
        <f aca="false">IF(AND(C1118=C1119,Y1118=Y1119-1),AA1118,"")</f>
        <v/>
      </c>
      <c r="AD1119" s="0" t="str">
        <f aca="false">IF(Y1119=1,"",IF(AND(Z1119=1,AB1119&lt;&gt;1),1,0))</f>
        <v/>
      </c>
      <c r="AE1119" s="0" t="str">
        <f aca="false">IF(Y1119=1,"",IF(AND(AA1119=1,AC1119&lt;&gt;1),1,0))</f>
        <v/>
      </c>
      <c r="AF1119" s="45" t="str">
        <f aca="false">IF(AND(E1119&gt;0,Y1119&lt;1,NOT(AND(C1120=C1119,Y1120=Y1119+1))),INDEX(DATAS,Y1119+1),"")</f>
        <v/>
      </c>
      <c r="AG1119" s="45" t="str">
        <f aca="false">IF(AND(AA1119=1,Y1119&lt;1),IF(AND(C1120=C1119,Y1120=Y1119+1),IF(AA1120=1,"",INDEX(DATAS,Y1119+1)),INDEX(DATAS,Y1119+1)),"")</f>
        <v/>
      </c>
    </row>
    <row r="1120" customFormat="false" ht="15" hidden="false" customHeight="false" outlineLevel="0" collapsed="false">
      <c r="A1120" s="45" t="n">
        <v>46309</v>
      </c>
      <c r="B1120" s="0" t="n">
        <v>7</v>
      </c>
      <c r="C1120" s="0" t="n">
        <v>5158</v>
      </c>
      <c r="D1120" s="0" t="n">
        <v>321</v>
      </c>
      <c r="E1120" s="0" t="n">
        <v>1</v>
      </c>
      <c r="F1120" s="39" t="s">
        <v>771</v>
      </c>
      <c r="I1120" s="39" t="s">
        <v>114</v>
      </c>
      <c r="J1120" s="0" t="n">
        <v>96</v>
      </c>
      <c r="K1120" s="0" t="n">
        <v>77</v>
      </c>
      <c r="L1120" s="0" t="n">
        <v>240</v>
      </c>
      <c r="M1120" s="0" t="n">
        <v>1446.4</v>
      </c>
      <c r="N1120" s="0" t="n">
        <v>71.69</v>
      </c>
      <c r="O1120" s="0" t="n">
        <v>56.7</v>
      </c>
      <c r="P1120" s="0" t="n">
        <v>3.97</v>
      </c>
      <c r="Q1120" s="0" t="n">
        <v>4.25</v>
      </c>
      <c r="R1120" s="0" t="n">
        <v>4791</v>
      </c>
      <c r="S1120" s="0" t="n">
        <v>10391</v>
      </c>
      <c r="T1120" s="0" t="n">
        <v>51.35</v>
      </c>
      <c r="U1120" s="0" t="n">
        <v>1043</v>
      </c>
      <c r="V1120" s="0" t="n">
        <v>2</v>
      </c>
      <c r="W1120" s="39" t="n">
        <f aca="false">IF(I1120="Male",0,1)</f>
        <v>1</v>
      </c>
      <c r="X1120" s="39" t="n">
        <f aca="false">IF(OR(I1120="DNB",I1120="Dry DNB"),1,0)</f>
        <v>0</v>
      </c>
      <c r="Y1120" s="39" t="n">
        <f aca="false">MATCH(A1120,DATAS,0)</f>
        <v>1</v>
      </c>
      <c r="Z1120" s="39" t="n">
        <f aca="false">IF(AND(E1120&gt;0,OR(AND(B1120&gt;=1,B1120&lt;=6),B1120=10)),1,0)</f>
        <v>0</v>
      </c>
      <c r="AA1120" s="39" t="n">
        <f aca="false">IF(AND(E1120&gt;0,B1120=10),1,0)</f>
        <v>0</v>
      </c>
      <c r="AB1120" s="0" t="str">
        <f aca="false">IF(AND(C1119=C1120,Y1119=Y1120-1),Z1119,"")</f>
        <v/>
      </c>
      <c r="AC1120" s="0" t="str">
        <f aca="false">IF(AND(C1119=C1120,Y1119=Y1120-1),AA1119,"")</f>
        <v/>
      </c>
      <c r="AD1120" s="0" t="str">
        <f aca="false">IF(Y1120=1,"",IF(AND(Z1120=1,AB1120&lt;&gt;1),1,0))</f>
        <v/>
      </c>
      <c r="AE1120" s="0" t="str">
        <f aca="false">IF(Y1120=1,"",IF(AND(AA1120=1,AC1120&lt;&gt;1),1,0))</f>
        <v/>
      </c>
      <c r="AF1120" s="45" t="str">
        <f aca="false">IF(AND(E1120&gt;0,Y1120&lt;1,NOT(AND(C1121=C1120,Y1121=Y1120+1))),INDEX(DATAS,Y1120+1),"")</f>
        <v/>
      </c>
      <c r="AG1120" s="45" t="str">
        <f aca="false">IF(AND(AA1120=1,Y1120&lt;1),IF(AND(C1121=C1120,Y1121=Y1120+1),IF(AA1121=1,"",INDEX(DATAS,Y1120+1)),INDEX(DATAS,Y1120+1)),"")</f>
        <v/>
      </c>
    </row>
    <row r="1121" customFormat="false" ht="15" hidden="false" customHeight="false" outlineLevel="0" collapsed="false">
      <c r="A1121" s="45" t="n">
        <v>46309</v>
      </c>
      <c r="B1121" s="0" t="n">
        <v>5</v>
      </c>
      <c r="C1121" s="0" t="n">
        <v>5159</v>
      </c>
      <c r="D1121" s="0" t="n">
        <v>353</v>
      </c>
      <c r="E1121" s="0" t="n">
        <v>1</v>
      </c>
      <c r="F1121" s="39" t="s">
        <v>771</v>
      </c>
      <c r="G1121" s="0" t="n">
        <v>45.6</v>
      </c>
      <c r="H1121" s="0" t="n">
        <v>40</v>
      </c>
      <c r="I1121" s="39" t="s">
        <v>109</v>
      </c>
      <c r="J1121" s="0" t="n">
        <v>227</v>
      </c>
      <c r="K1121" s="0" t="n">
        <v>67</v>
      </c>
      <c r="L1121" s="0" t="n">
        <v>126</v>
      </c>
      <c r="M1121" s="0" t="n">
        <v>252.6</v>
      </c>
      <c r="N1121" s="0" t="n">
        <v>77.83</v>
      </c>
      <c r="O1121" s="0" t="n">
        <v>32.62</v>
      </c>
      <c r="P1121" s="0" t="n">
        <v>4.42</v>
      </c>
      <c r="Q1121" s="0" t="n">
        <v>3.78</v>
      </c>
      <c r="R1121" s="0" t="n">
        <v>3953</v>
      </c>
      <c r="S1121" s="0" t="n">
        <v>8986</v>
      </c>
      <c r="T1121" s="0" t="n">
        <v>42.5</v>
      </c>
      <c r="U1121" s="0" t="n">
        <v>1043</v>
      </c>
      <c r="V1121" s="0" t="n">
        <v>6</v>
      </c>
      <c r="W1121" s="39" t="n">
        <f aca="false">IF(I1121="Male",0,1)</f>
        <v>1</v>
      </c>
      <c r="X1121" s="39" t="n">
        <f aca="false">IF(OR(I1121="DNB",I1121="Dry DNB"),1,0)</f>
        <v>0</v>
      </c>
      <c r="Y1121" s="39" t="n">
        <f aca="false">MATCH(A1121,DATAS,0)</f>
        <v>1</v>
      </c>
      <c r="Z1121" s="39" t="n">
        <f aca="false">IF(AND(E1121&gt;0,OR(AND(B1121&gt;=1,B1121&lt;=6),B1121=10)),1,0)</f>
        <v>1</v>
      </c>
      <c r="AA1121" s="39" t="n">
        <f aca="false">IF(AND(E1121&gt;0,B1121=10),1,0)</f>
        <v>0</v>
      </c>
      <c r="AB1121" s="0" t="str">
        <f aca="false">IF(AND(C1120=C1121,Y1120=Y1121-1),Z1120,"")</f>
        <v/>
      </c>
      <c r="AC1121" s="0" t="str">
        <f aca="false">IF(AND(C1120=C1121,Y1120=Y1121-1),AA1120,"")</f>
        <v/>
      </c>
      <c r="AD1121" s="0" t="str">
        <f aca="false">IF(Y1121=1,"",IF(AND(Z1121=1,AB1121&lt;&gt;1),1,0))</f>
        <v/>
      </c>
      <c r="AE1121" s="0" t="str">
        <f aca="false">IF(Y1121=1,"",IF(AND(AA1121=1,AC1121&lt;&gt;1),1,0))</f>
        <v/>
      </c>
      <c r="AF1121" s="45" t="str">
        <f aca="false">IF(AND(E1121&gt;0,Y1121&lt;1,NOT(AND(C1122=C1121,Y1122=Y1121+1))),INDEX(DATAS,Y1121+1),"")</f>
        <v/>
      </c>
      <c r="AG1121" s="45" t="str">
        <f aca="false">IF(AND(AA1121=1,Y1121&lt;1),IF(AND(C1122=C1121,Y1122=Y1121+1),IF(AA1122=1,"",INDEX(DATAS,Y1121+1)),INDEX(DATAS,Y1121+1)),"")</f>
        <v/>
      </c>
    </row>
    <row r="1122" customFormat="false" ht="15" hidden="false" customHeight="false" outlineLevel="0" collapsed="false">
      <c r="A1122" s="45" t="n">
        <v>46309</v>
      </c>
      <c r="B1122" s="0" t="n">
        <v>5</v>
      </c>
      <c r="C1122" s="0" t="n">
        <v>5160</v>
      </c>
      <c r="D1122" s="0" t="n">
        <v>357</v>
      </c>
      <c r="E1122" s="0" t="n">
        <v>1</v>
      </c>
      <c r="F1122" s="39" t="s">
        <v>772</v>
      </c>
      <c r="G1122" s="0" t="n">
        <v>40</v>
      </c>
      <c r="H1122" s="0" t="n">
        <v>41</v>
      </c>
      <c r="I1122" s="39" t="s">
        <v>109</v>
      </c>
      <c r="J1122" s="0" t="n">
        <v>301</v>
      </c>
      <c r="K1122" s="0" t="n">
        <v>64</v>
      </c>
      <c r="L1122" s="0" t="n">
        <v>56</v>
      </c>
      <c r="M1122" s="0" t="n">
        <v>366.64</v>
      </c>
      <c r="N1122" s="0" t="n">
        <v>43.6</v>
      </c>
      <c r="O1122" s="0" t="n">
        <v>16.51</v>
      </c>
      <c r="P1122" s="0" t="n">
        <v>5.45</v>
      </c>
      <c r="Q1122" s="0" t="n">
        <v>4.08</v>
      </c>
      <c r="R1122" s="0" t="n">
        <v>4052</v>
      </c>
      <c r="S1122" s="0" t="n">
        <v>9095</v>
      </c>
      <c r="T1122" s="0" t="n">
        <v>45.05</v>
      </c>
      <c r="U1122" s="0" t="n">
        <v>1042</v>
      </c>
      <c r="V1122" s="0" t="n">
        <v>7</v>
      </c>
      <c r="W1122" s="39" t="n">
        <f aca="false">IF(I1122="Male",0,1)</f>
        <v>1</v>
      </c>
      <c r="X1122" s="39" t="n">
        <f aca="false">IF(OR(I1122="DNB",I1122="Dry DNB"),1,0)</f>
        <v>0</v>
      </c>
      <c r="Y1122" s="39" t="n">
        <f aca="false">MATCH(A1122,DATAS,0)</f>
        <v>1</v>
      </c>
      <c r="Z1122" s="39" t="n">
        <f aca="false">IF(AND(E1122&gt;0,OR(AND(B1122&gt;=1,B1122&lt;=6),B1122=10)),1,0)</f>
        <v>1</v>
      </c>
      <c r="AA1122" s="39" t="n">
        <f aca="false">IF(AND(E1122&gt;0,B1122=10),1,0)</f>
        <v>0</v>
      </c>
      <c r="AB1122" s="0" t="str">
        <f aca="false">IF(AND(C1121=C1122,Y1121=Y1122-1),Z1121,"")</f>
        <v/>
      </c>
      <c r="AC1122" s="0" t="str">
        <f aca="false">IF(AND(C1121=C1122,Y1121=Y1122-1),AA1121,"")</f>
        <v/>
      </c>
      <c r="AD1122" s="0" t="str">
        <f aca="false">IF(Y1122=1,"",IF(AND(Z1122=1,AB1122&lt;&gt;1),1,0))</f>
        <v/>
      </c>
      <c r="AE1122" s="0" t="str">
        <f aca="false">IF(Y1122=1,"",IF(AND(AA1122=1,AC1122&lt;&gt;1),1,0))</f>
        <v/>
      </c>
      <c r="AF1122" s="45" t="str">
        <f aca="false">IF(AND(E1122&gt;0,Y1122&lt;1,NOT(AND(C1123=C1122,Y1123=Y1122+1))),INDEX(DATAS,Y1122+1),"")</f>
        <v/>
      </c>
      <c r="AG1122" s="45" t="str">
        <f aca="false">IF(AND(AA1122=1,Y1122&lt;1),IF(AND(C1123=C1122,Y1123=Y1122+1),IF(AA1123=1,"",INDEX(DATAS,Y1122+1)),INDEX(DATAS,Y1122+1)),"")</f>
        <v/>
      </c>
    </row>
    <row r="1123" customFormat="false" ht="15" hidden="false" customHeight="false" outlineLevel="0" collapsed="false">
      <c r="A1123" s="45" t="n">
        <v>46309</v>
      </c>
      <c r="B1123" s="0" t="n">
        <v>4</v>
      </c>
      <c r="C1123" s="0" t="n">
        <v>5161</v>
      </c>
      <c r="D1123" s="0" t="n">
        <v>234</v>
      </c>
      <c r="E1123" s="0" t="n">
        <v>1</v>
      </c>
      <c r="F1123" s="39" t="s">
        <v>773</v>
      </c>
      <c r="G1123" s="0" t="n">
        <v>45.1</v>
      </c>
      <c r="H1123" s="0" t="n">
        <v>46</v>
      </c>
      <c r="I1123" s="39" t="s">
        <v>109</v>
      </c>
      <c r="J1123" s="0" t="n">
        <v>101</v>
      </c>
      <c r="K1123" s="0" t="n">
        <v>66</v>
      </c>
      <c r="L1123" s="0" t="n">
        <v>133</v>
      </c>
      <c r="M1123" s="0" t="n">
        <v>149.04</v>
      </c>
      <c r="N1123" s="0" t="n">
        <v>76.38</v>
      </c>
      <c r="O1123" s="0" t="n">
        <v>31.23</v>
      </c>
      <c r="P1123" s="0" t="n">
        <v>3.93</v>
      </c>
      <c r="Q1123" s="0" t="n">
        <v>3.67</v>
      </c>
      <c r="R1123" s="0" t="n">
        <v>4075</v>
      </c>
      <c r="S1123" s="0" t="n">
        <v>8770</v>
      </c>
      <c r="T1123" s="0" t="n">
        <v>45.95</v>
      </c>
      <c r="U1123" s="0" t="n">
        <v>1041</v>
      </c>
      <c r="V1123" s="0" t="n">
        <v>2</v>
      </c>
      <c r="W1123" s="39" t="n">
        <f aca="false">IF(I1123="Male",0,1)</f>
        <v>1</v>
      </c>
      <c r="X1123" s="39" t="n">
        <f aca="false">IF(OR(I1123="DNB",I1123="Dry DNB"),1,0)</f>
        <v>0</v>
      </c>
      <c r="Y1123" s="39" t="n">
        <f aca="false">MATCH(A1123,DATAS,0)</f>
        <v>1</v>
      </c>
      <c r="Z1123" s="39" t="n">
        <f aca="false">IF(AND(E1123&gt;0,OR(AND(B1123&gt;=1,B1123&lt;=6),B1123=10)),1,0)</f>
        <v>1</v>
      </c>
      <c r="AA1123" s="39" t="n">
        <f aca="false">IF(AND(E1123&gt;0,B1123=10),1,0)</f>
        <v>0</v>
      </c>
      <c r="AB1123" s="0" t="str">
        <f aca="false">IF(AND(C1122=C1123,Y1122=Y1123-1),Z1122,"")</f>
        <v/>
      </c>
      <c r="AC1123" s="0" t="str">
        <f aca="false">IF(AND(C1122=C1123,Y1122=Y1123-1),AA1122,"")</f>
        <v/>
      </c>
      <c r="AD1123" s="0" t="str">
        <f aca="false">IF(Y1123=1,"",IF(AND(Z1123=1,AB1123&lt;&gt;1),1,0))</f>
        <v/>
      </c>
      <c r="AE1123" s="0" t="str">
        <f aca="false">IF(Y1123=1,"",IF(AND(AA1123=1,AC1123&lt;&gt;1),1,0))</f>
        <v/>
      </c>
      <c r="AF1123" s="45" t="str">
        <f aca="false">IF(AND(E1123&gt;0,Y1123&lt;1,NOT(AND(C1124=C1123,Y1124=Y1123+1))),INDEX(DATAS,Y1123+1),"")</f>
        <v/>
      </c>
      <c r="AG1123" s="45" t="str">
        <f aca="false">IF(AND(AA1123=1,Y1123&lt;1),IF(AND(C1124=C1123,Y1124=Y1123+1),IF(AA1124=1,"",INDEX(DATAS,Y1123+1)),INDEX(DATAS,Y1123+1)),"")</f>
        <v/>
      </c>
    </row>
    <row r="1124" customFormat="false" ht="15" hidden="false" customHeight="false" outlineLevel="0" collapsed="false">
      <c r="A1124" s="45" t="n">
        <v>46309</v>
      </c>
      <c r="B1124" s="0" t="n">
        <v>5</v>
      </c>
      <c r="C1124" s="0" t="n">
        <v>5162</v>
      </c>
      <c r="D1124" s="0" t="n">
        <v>368</v>
      </c>
      <c r="E1124" s="0" t="n">
        <v>1</v>
      </c>
      <c r="F1124" s="39" t="s">
        <v>773</v>
      </c>
      <c r="G1124" s="0" t="n">
        <v>41.8</v>
      </c>
      <c r="H1124" s="0" t="n">
        <v>36</v>
      </c>
      <c r="I1124" s="39" t="s">
        <v>146</v>
      </c>
      <c r="J1124" s="0" t="n">
        <v>368</v>
      </c>
      <c r="K1124" s="0" t="n">
        <v>68</v>
      </c>
      <c r="M1124" s="0" t="n">
        <v>690.53</v>
      </c>
      <c r="N1124" s="0" t="n">
        <v>26.41</v>
      </c>
      <c r="O1124" s="0" t="n">
        <v>28.03</v>
      </c>
      <c r="P1124" s="0" t="n">
        <v>4.52</v>
      </c>
      <c r="Q1124" s="0" t="n">
        <v>4.25</v>
      </c>
      <c r="R1124" s="0" t="n">
        <v>4912</v>
      </c>
      <c r="S1124" s="0" t="n">
        <v>9857</v>
      </c>
      <c r="T1124" s="0" t="n">
        <v>49.65</v>
      </c>
      <c r="U1124" s="0" t="n">
        <v>1041</v>
      </c>
      <c r="V1124" s="0" t="n">
        <v>3</v>
      </c>
      <c r="W1124" s="39" t="n">
        <f aca="false">IF(I1124="Male",0,1)</f>
        <v>1</v>
      </c>
      <c r="X1124" s="39" t="n">
        <f aca="false">IF(OR(I1124="DNB",I1124="Dry DNB"),1,0)</f>
        <v>0</v>
      </c>
      <c r="Y1124" s="39" t="n">
        <f aca="false">MATCH(A1124,DATAS,0)</f>
        <v>1</v>
      </c>
      <c r="Z1124" s="39" t="n">
        <f aca="false">IF(AND(E1124&gt;0,OR(AND(B1124&gt;=1,B1124&lt;=6),B1124=10)),1,0)</f>
        <v>1</v>
      </c>
      <c r="AA1124" s="39" t="n">
        <f aca="false">IF(AND(E1124&gt;0,B1124=10),1,0)</f>
        <v>0</v>
      </c>
      <c r="AB1124" s="0" t="str">
        <f aca="false">IF(AND(C1123=C1124,Y1123=Y1124-1),Z1123,"")</f>
        <v/>
      </c>
      <c r="AC1124" s="0" t="str">
        <f aca="false">IF(AND(C1123=C1124,Y1123=Y1124-1),AA1123,"")</f>
        <v/>
      </c>
      <c r="AD1124" s="0" t="str">
        <f aca="false">IF(Y1124=1,"",IF(AND(Z1124=1,AB1124&lt;&gt;1),1,0))</f>
        <v/>
      </c>
      <c r="AE1124" s="0" t="str">
        <f aca="false">IF(Y1124=1,"",IF(AND(AA1124=1,AC1124&lt;&gt;1),1,0))</f>
        <v/>
      </c>
      <c r="AF1124" s="45" t="str">
        <f aca="false">IF(AND(E1124&gt;0,Y1124&lt;1,NOT(AND(C1125=C1124,Y1125=Y1124+1))),INDEX(DATAS,Y1124+1),"")</f>
        <v/>
      </c>
      <c r="AG1124" s="45" t="str">
        <f aca="false">IF(AND(AA1124=1,Y1124&lt;1),IF(AND(C1125=C1124,Y1125=Y1124+1),IF(AA1125=1,"",INDEX(DATAS,Y1124+1)),INDEX(DATAS,Y1124+1)),"")</f>
        <v/>
      </c>
    </row>
    <row r="1125" customFormat="false" ht="15" hidden="false" customHeight="false" outlineLevel="0" collapsed="false">
      <c r="A1125" s="45" t="n">
        <v>46309</v>
      </c>
      <c r="B1125" s="0" t="n">
        <v>7</v>
      </c>
      <c r="C1125" s="0" t="n">
        <v>5163</v>
      </c>
      <c r="D1125" s="0" t="n">
        <v>405</v>
      </c>
      <c r="E1125" s="0" t="n">
        <v>1</v>
      </c>
      <c r="F1125" s="39" t="s">
        <v>773</v>
      </c>
      <c r="I1125" s="39" t="s">
        <v>114</v>
      </c>
      <c r="J1125" s="0" t="n">
        <v>182</v>
      </c>
      <c r="K1125" s="0" t="n">
        <v>63</v>
      </c>
      <c r="L1125" s="0" t="n">
        <v>231</v>
      </c>
      <c r="M1125" s="0" t="n">
        <v>27.45</v>
      </c>
      <c r="N1125" s="0" t="n">
        <v>78.14</v>
      </c>
      <c r="O1125" s="0" t="n">
        <v>25.41</v>
      </c>
      <c r="P1125" s="0" t="n">
        <v>5.64</v>
      </c>
      <c r="Q1125" s="0" t="n">
        <v>4.23</v>
      </c>
      <c r="R1125" s="0" t="n">
        <v>3246</v>
      </c>
      <c r="S1125" s="0" t="n">
        <v>6379</v>
      </c>
      <c r="T1125" s="0" t="n">
        <v>36.85</v>
      </c>
      <c r="U1125" s="0" t="n">
        <v>1041</v>
      </c>
      <c r="V1125" s="0" t="n">
        <v>4</v>
      </c>
      <c r="W1125" s="39" t="n">
        <f aca="false">IF(I1125="Male",0,1)</f>
        <v>1</v>
      </c>
      <c r="X1125" s="39" t="n">
        <f aca="false">IF(OR(I1125="DNB",I1125="Dry DNB"),1,0)</f>
        <v>0</v>
      </c>
      <c r="Y1125" s="39" t="n">
        <f aca="false">MATCH(A1125,DATAS,0)</f>
        <v>1</v>
      </c>
      <c r="Z1125" s="39" t="n">
        <f aca="false">IF(AND(E1125&gt;0,OR(AND(B1125&gt;=1,B1125&lt;=6),B1125=10)),1,0)</f>
        <v>0</v>
      </c>
      <c r="AA1125" s="39" t="n">
        <f aca="false">IF(AND(E1125&gt;0,B1125=10),1,0)</f>
        <v>0</v>
      </c>
      <c r="AB1125" s="0" t="str">
        <f aca="false">IF(AND(C1124=C1125,Y1124=Y1125-1),Z1124,"")</f>
        <v/>
      </c>
      <c r="AC1125" s="0" t="str">
        <f aca="false">IF(AND(C1124=C1125,Y1124=Y1125-1),AA1124,"")</f>
        <v/>
      </c>
      <c r="AD1125" s="0" t="str">
        <f aca="false">IF(Y1125=1,"",IF(AND(Z1125=1,AB1125&lt;&gt;1),1,0))</f>
        <v/>
      </c>
      <c r="AE1125" s="0" t="str">
        <f aca="false">IF(Y1125=1,"",IF(AND(AA1125=1,AC1125&lt;&gt;1),1,0))</f>
        <v/>
      </c>
      <c r="AF1125" s="45" t="str">
        <f aca="false">IF(AND(E1125&gt;0,Y1125&lt;1,NOT(AND(C1126=C1125,Y1126=Y1125+1))),INDEX(DATAS,Y1125+1),"")</f>
        <v/>
      </c>
      <c r="AG1125" s="45" t="str">
        <f aca="false">IF(AND(AA1125=1,Y1125&lt;1),IF(AND(C1126=C1125,Y1126=Y1125+1),IF(AA1126=1,"",INDEX(DATAS,Y1125+1)),INDEX(DATAS,Y1125+1)),"")</f>
        <v/>
      </c>
    </row>
    <row r="1126" customFormat="false" ht="15" hidden="false" customHeight="false" outlineLevel="0" collapsed="false">
      <c r="A1126" s="45" t="n">
        <v>46309</v>
      </c>
      <c r="B1126" s="0" t="n">
        <v>2</v>
      </c>
      <c r="C1126" s="0" t="n">
        <v>5166</v>
      </c>
      <c r="D1126" s="0" t="n">
        <v>411</v>
      </c>
      <c r="E1126" s="0" t="n">
        <v>1</v>
      </c>
      <c r="F1126" s="39" t="s">
        <v>774</v>
      </c>
      <c r="G1126" s="0" t="n">
        <v>44.9</v>
      </c>
      <c r="H1126" s="0" t="n">
        <v>48</v>
      </c>
      <c r="I1126" s="39" t="s">
        <v>109</v>
      </c>
      <c r="J1126" s="0" t="n">
        <v>285</v>
      </c>
      <c r="K1126" s="0" t="n">
        <v>68</v>
      </c>
      <c r="L1126" s="0" t="n">
        <v>126</v>
      </c>
      <c r="M1126" s="0" t="n">
        <v>585.55</v>
      </c>
      <c r="N1126" s="0" t="n">
        <v>38.3</v>
      </c>
      <c r="O1126" s="0" t="n">
        <v>25.5</v>
      </c>
      <c r="P1126" s="0" t="n">
        <v>4</v>
      </c>
      <c r="Q1126" s="0" t="n">
        <v>3.83</v>
      </c>
      <c r="R1126" s="0" t="n">
        <v>4269</v>
      </c>
      <c r="S1126" s="0" t="n">
        <v>9329</v>
      </c>
      <c r="T1126" s="0" t="n">
        <v>46.7</v>
      </c>
      <c r="U1126" s="0" t="n">
        <v>1039</v>
      </c>
      <c r="V1126" s="0" t="n">
        <v>6</v>
      </c>
      <c r="W1126" s="39" t="n">
        <f aca="false">IF(I1126="Male",0,1)</f>
        <v>1</v>
      </c>
      <c r="X1126" s="39" t="n">
        <f aca="false">IF(OR(I1126="DNB",I1126="Dry DNB"),1,0)</f>
        <v>0</v>
      </c>
      <c r="Y1126" s="39" t="n">
        <f aca="false">MATCH(A1126,DATAS,0)</f>
        <v>1</v>
      </c>
      <c r="Z1126" s="39" t="n">
        <f aca="false">IF(AND(E1126&gt;0,OR(AND(B1126&gt;=1,B1126&lt;=6),B1126=10)),1,0)</f>
        <v>1</v>
      </c>
      <c r="AA1126" s="39" t="n">
        <f aca="false">IF(AND(E1126&gt;0,B1126=10),1,0)</f>
        <v>0</v>
      </c>
      <c r="AB1126" s="0" t="str">
        <f aca="false">IF(AND(C1125=C1126,Y1125=Y1126-1),Z1125,"")</f>
        <v/>
      </c>
      <c r="AC1126" s="0" t="str">
        <f aca="false">IF(AND(C1125=C1126,Y1125=Y1126-1),AA1125,"")</f>
        <v/>
      </c>
      <c r="AD1126" s="0" t="str">
        <f aca="false">IF(Y1126=1,"",IF(AND(Z1126=1,AB1126&lt;&gt;1),1,0))</f>
        <v/>
      </c>
      <c r="AE1126" s="0" t="str">
        <f aca="false">IF(Y1126=1,"",IF(AND(AA1126=1,AC1126&lt;&gt;1),1,0))</f>
        <v/>
      </c>
      <c r="AF1126" s="45" t="str">
        <f aca="false">IF(AND(E1126&gt;0,Y1126&lt;1,NOT(AND(C1127=C1126,Y1127=Y1126+1))),INDEX(DATAS,Y1126+1),"")</f>
        <v/>
      </c>
      <c r="AG1126" s="45" t="str">
        <f aca="false">IF(AND(AA1126=1,Y1126&lt;1),IF(AND(C1127=C1126,Y1127=Y1126+1),IF(AA1127=1,"",INDEX(DATAS,Y1126+1)),INDEX(DATAS,Y1126+1)),"")</f>
        <v/>
      </c>
    </row>
    <row r="1127" customFormat="false" ht="15" hidden="false" customHeight="false" outlineLevel="0" collapsed="false">
      <c r="A1127" s="45" t="n">
        <v>46309</v>
      </c>
      <c r="B1127" s="0" t="n">
        <v>5</v>
      </c>
      <c r="C1127" s="0" t="n">
        <v>5167</v>
      </c>
      <c r="D1127" s="0" t="n">
        <v>393</v>
      </c>
      <c r="E1127" s="0" t="n">
        <v>1</v>
      </c>
      <c r="F1127" s="39" t="s">
        <v>774</v>
      </c>
      <c r="G1127" s="0" t="n">
        <v>39.7</v>
      </c>
      <c r="H1127" s="0" t="n">
        <v>39</v>
      </c>
      <c r="I1127" s="39" t="s">
        <v>109</v>
      </c>
      <c r="J1127" s="0" t="n">
        <v>190</v>
      </c>
      <c r="K1127" s="0" t="n">
        <v>64</v>
      </c>
      <c r="L1127" s="0" t="n">
        <v>203</v>
      </c>
      <c r="M1127" s="0" t="n">
        <v>871.55</v>
      </c>
      <c r="N1127" s="0" t="n">
        <v>33.43</v>
      </c>
      <c r="O1127" s="0" t="n">
        <v>41.26</v>
      </c>
      <c r="P1127" s="0" t="n">
        <v>4</v>
      </c>
      <c r="Q1127" s="0" t="n">
        <v>4.36</v>
      </c>
      <c r="R1127" s="0" t="n">
        <v>4570</v>
      </c>
      <c r="S1127" s="0" t="n">
        <v>10055</v>
      </c>
      <c r="T1127" s="0" t="n">
        <v>50.45</v>
      </c>
      <c r="U1127" s="0" t="n">
        <v>1039</v>
      </c>
      <c r="V1127" s="0" t="n">
        <v>4</v>
      </c>
      <c r="W1127" s="39" t="n">
        <f aca="false">IF(I1127="Male",0,1)</f>
        <v>1</v>
      </c>
      <c r="X1127" s="39" t="n">
        <f aca="false">IF(OR(I1127="DNB",I1127="Dry DNB"),1,0)</f>
        <v>0</v>
      </c>
      <c r="Y1127" s="39" t="n">
        <f aca="false">MATCH(A1127,DATAS,0)</f>
        <v>1</v>
      </c>
      <c r="Z1127" s="39" t="n">
        <f aca="false">IF(AND(E1127&gt;0,OR(AND(B1127&gt;=1,B1127&lt;=6),B1127=10)),1,0)</f>
        <v>1</v>
      </c>
      <c r="AA1127" s="39" t="n">
        <f aca="false">IF(AND(E1127&gt;0,B1127=10),1,0)</f>
        <v>0</v>
      </c>
      <c r="AB1127" s="0" t="str">
        <f aca="false">IF(AND(C1126=C1127,Y1126=Y1127-1),Z1126,"")</f>
        <v/>
      </c>
      <c r="AC1127" s="0" t="str">
        <f aca="false">IF(AND(C1126=C1127,Y1126=Y1127-1),AA1126,"")</f>
        <v/>
      </c>
      <c r="AD1127" s="0" t="str">
        <f aca="false">IF(Y1127=1,"",IF(AND(Z1127=1,AB1127&lt;&gt;1),1,0))</f>
        <v/>
      </c>
      <c r="AE1127" s="0" t="str">
        <f aca="false">IF(Y1127=1,"",IF(AND(AA1127=1,AC1127&lt;&gt;1),1,0))</f>
        <v/>
      </c>
      <c r="AF1127" s="45" t="str">
        <f aca="false">IF(AND(E1127&gt;0,Y1127&lt;1,NOT(AND(C1128=C1127,Y1128=Y1127+1))),INDEX(DATAS,Y1127+1),"")</f>
        <v/>
      </c>
      <c r="AG1127" s="45" t="str">
        <f aca="false">IF(AND(AA1127=1,Y1127&lt;1),IF(AND(C1128=C1127,Y1128=Y1127+1),IF(AA1128=1,"",INDEX(DATAS,Y1127+1)),INDEX(DATAS,Y1127+1)),"")</f>
        <v/>
      </c>
    </row>
    <row r="1128" customFormat="false" ht="15" hidden="false" customHeight="false" outlineLevel="0" collapsed="false">
      <c r="A1128" s="45" t="n">
        <v>46309</v>
      </c>
      <c r="B1128" s="0" t="n">
        <v>3</v>
      </c>
      <c r="C1128" s="0" t="n">
        <v>5168</v>
      </c>
      <c r="D1128" s="0" t="n">
        <v>72</v>
      </c>
      <c r="E1128" s="0" t="n">
        <v>2</v>
      </c>
      <c r="F1128" s="39" t="s">
        <v>774</v>
      </c>
      <c r="G1128" s="0" t="n">
        <v>61.8</v>
      </c>
      <c r="H1128" s="0" t="n">
        <v>56</v>
      </c>
      <c r="I1128" s="39" t="s">
        <v>146</v>
      </c>
      <c r="J1128" s="0" t="n">
        <v>72</v>
      </c>
      <c r="M1128" s="0" t="n">
        <v>86.34</v>
      </c>
      <c r="N1128" s="0" t="n">
        <v>62.21</v>
      </c>
      <c r="O1128" s="0" t="n">
        <v>23.42</v>
      </c>
      <c r="P1128" s="0" t="n">
        <v>4.45</v>
      </c>
      <c r="Q1128" s="0" t="n">
        <v>3.33</v>
      </c>
      <c r="R1128" s="0" t="n">
        <v>5077</v>
      </c>
      <c r="S1128" s="0" t="n">
        <v>10205</v>
      </c>
      <c r="U1128" s="0" t="n">
        <v>1039</v>
      </c>
      <c r="V1128" s="0" t="n">
        <v>0</v>
      </c>
      <c r="W1128" s="39" t="n">
        <f aca="false">IF(I1128="Male",0,1)</f>
        <v>1</v>
      </c>
      <c r="X1128" s="39" t="n">
        <f aca="false">IF(OR(I1128="DNB",I1128="Dry DNB"),1,0)</f>
        <v>0</v>
      </c>
      <c r="Y1128" s="39" t="n">
        <f aca="false">MATCH(A1128,DATAS,0)</f>
        <v>1</v>
      </c>
      <c r="Z1128" s="39" t="n">
        <f aca="false">IF(AND(E1128&gt;0,OR(AND(B1128&gt;=1,B1128&lt;=6),B1128=10)),1,0)</f>
        <v>1</v>
      </c>
      <c r="AA1128" s="39" t="n">
        <f aca="false">IF(AND(E1128&gt;0,B1128=10),1,0)</f>
        <v>0</v>
      </c>
      <c r="AB1128" s="0" t="str">
        <f aca="false">IF(AND(C1127=C1128,Y1127=Y1128-1),Z1127,"")</f>
        <v/>
      </c>
      <c r="AC1128" s="0" t="str">
        <f aca="false">IF(AND(C1127=C1128,Y1127=Y1128-1),AA1127,"")</f>
        <v/>
      </c>
      <c r="AD1128" s="0" t="str">
        <f aca="false">IF(Y1128=1,"",IF(AND(Z1128=1,AB1128&lt;&gt;1),1,0))</f>
        <v/>
      </c>
      <c r="AE1128" s="0" t="str">
        <f aca="false">IF(Y1128=1,"",IF(AND(AA1128=1,AC1128&lt;&gt;1),1,0))</f>
        <v/>
      </c>
      <c r="AF1128" s="45" t="str">
        <f aca="false">IF(AND(E1128&gt;0,Y1128&lt;1,NOT(AND(C1129=C1128,Y1129=Y1128+1))),INDEX(DATAS,Y1128+1),"")</f>
        <v/>
      </c>
      <c r="AG1128" s="45" t="str">
        <f aca="false">IF(AND(AA1128=1,Y1128&lt;1),IF(AND(C1129=C1128,Y1129=Y1128+1),IF(AA1129=1,"",INDEX(DATAS,Y1128+1)),INDEX(DATAS,Y1128+1)),"")</f>
        <v/>
      </c>
    </row>
    <row r="1129" customFormat="false" ht="15" hidden="false" customHeight="false" outlineLevel="0" collapsed="false">
      <c r="A1129" s="45" t="n">
        <v>46309</v>
      </c>
      <c r="B1129" s="0" t="n">
        <v>4</v>
      </c>
      <c r="C1129" s="0" t="n">
        <v>5170</v>
      </c>
      <c r="D1129" s="0" t="n">
        <v>351</v>
      </c>
      <c r="E1129" s="0" t="n">
        <v>1</v>
      </c>
      <c r="F1129" s="39" t="s">
        <v>774</v>
      </c>
      <c r="G1129" s="0" t="n">
        <v>40.9</v>
      </c>
      <c r="H1129" s="0" t="n">
        <v>40</v>
      </c>
      <c r="I1129" s="39" t="s">
        <v>109</v>
      </c>
      <c r="J1129" s="0" t="n">
        <v>129</v>
      </c>
      <c r="K1129" s="0" t="n">
        <v>72</v>
      </c>
      <c r="L1129" s="0" t="n">
        <v>222</v>
      </c>
      <c r="M1129" s="0" t="n">
        <v>264.55</v>
      </c>
      <c r="N1129" s="0" t="n">
        <v>54.25</v>
      </c>
      <c r="O1129" s="0" t="n">
        <v>27.12</v>
      </c>
      <c r="P1129" s="0" t="n">
        <v>3.43</v>
      </c>
      <c r="Q1129" s="0" t="n">
        <v>3.6</v>
      </c>
      <c r="R1129" s="0" t="n">
        <v>3483</v>
      </c>
      <c r="S1129" s="0" t="n">
        <v>8266</v>
      </c>
      <c r="T1129" s="0" t="n">
        <v>42.05</v>
      </c>
      <c r="U1129" s="0" t="n">
        <v>1039</v>
      </c>
      <c r="V1129" s="0" t="n">
        <v>3</v>
      </c>
      <c r="W1129" s="39" t="n">
        <f aca="false">IF(I1129="Male",0,1)</f>
        <v>1</v>
      </c>
      <c r="X1129" s="39" t="n">
        <f aca="false">IF(OR(I1129="DNB",I1129="Dry DNB"),1,0)</f>
        <v>0</v>
      </c>
      <c r="Y1129" s="39" t="n">
        <f aca="false">MATCH(A1129,DATAS,0)</f>
        <v>1</v>
      </c>
      <c r="Z1129" s="39" t="n">
        <f aca="false">IF(AND(E1129&gt;0,OR(AND(B1129&gt;=1,B1129&lt;=6),B1129=10)),1,0)</f>
        <v>1</v>
      </c>
      <c r="AA1129" s="39" t="n">
        <f aca="false">IF(AND(E1129&gt;0,B1129=10),1,0)</f>
        <v>0</v>
      </c>
      <c r="AB1129" s="0" t="str">
        <f aca="false">IF(AND(C1128=C1129,Y1128=Y1129-1),Z1128,"")</f>
        <v/>
      </c>
      <c r="AC1129" s="0" t="str">
        <f aca="false">IF(AND(C1128=C1129,Y1128=Y1129-1),AA1128,"")</f>
        <v/>
      </c>
      <c r="AD1129" s="0" t="str">
        <f aca="false">IF(Y1129=1,"",IF(AND(Z1129=1,AB1129&lt;&gt;1),1,0))</f>
        <v/>
      </c>
      <c r="AE1129" s="0" t="str">
        <f aca="false">IF(Y1129=1,"",IF(AND(AA1129=1,AC1129&lt;&gt;1),1,0))</f>
        <v/>
      </c>
      <c r="AF1129" s="45" t="str">
        <f aca="false">IF(AND(E1129&gt;0,Y1129&lt;1,NOT(AND(C1130=C1129,Y1130=Y1129+1))),INDEX(DATAS,Y1129+1),"")</f>
        <v/>
      </c>
      <c r="AG1129" s="45" t="str">
        <f aca="false">IF(AND(AA1129=1,Y1129&lt;1),IF(AND(C1130=C1129,Y1130=Y1129+1),IF(AA1130=1,"",INDEX(DATAS,Y1129+1)),INDEX(DATAS,Y1129+1)),"")</f>
        <v/>
      </c>
    </row>
    <row r="1130" customFormat="false" ht="15" hidden="false" customHeight="false" outlineLevel="0" collapsed="false">
      <c r="A1130" s="45" t="n">
        <v>46309</v>
      </c>
      <c r="B1130" s="0" t="n">
        <v>7</v>
      </c>
      <c r="C1130" s="0" t="n">
        <v>5171</v>
      </c>
      <c r="D1130" s="0" t="n">
        <v>324</v>
      </c>
      <c r="E1130" s="0" t="n">
        <v>1</v>
      </c>
      <c r="F1130" s="39" t="s">
        <v>774</v>
      </c>
      <c r="I1130" s="39" t="s">
        <v>114</v>
      </c>
      <c r="J1130" s="0" t="n">
        <v>100</v>
      </c>
      <c r="K1130" s="0" t="n">
        <v>66</v>
      </c>
      <c r="L1130" s="0" t="n">
        <v>252</v>
      </c>
      <c r="M1130" s="0" t="n">
        <v>56.29</v>
      </c>
      <c r="N1130" s="0" t="n">
        <v>44.61</v>
      </c>
      <c r="O1130" s="0" t="n">
        <v>19.43</v>
      </c>
      <c r="P1130" s="0" t="n">
        <v>4.95</v>
      </c>
      <c r="Q1130" s="0" t="n">
        <v>3.97</v>
      </c>
      <c r="R1130" s="0" t="n">
        <v>3809</v>
      </c>
      <c r="S1130" s="0" t="n">
        <v>8339</v>
      </c>
      <c r="T1130" s="0" t="n">
        <v>42.65</v>
      </c>
      <c r="U1130" s="0" t="n">
        <v>1039</v>
      </c>
      <c r="V1130" s="0" t="n">
        <v>2</v>
      </c>
      <c r="W1130" s="39" t="n">
        <f aca="false">IF(I1130="Male",0,1)</f>
        <v>1</v>
      </c>
      <c r="X1130" s="39" t="n">
        <f aca="false">IF(OR(I1130="DNB",I1130="Dry DNB"),1,0)</f>
        <v>0</v>
      </c>
      <c r="Y1130" s="39" t="n">
        <f aca="false">MATCH(A1130,DATAS,0)</f>
        <v>1</v>
      </c>
      <c r="Z1130" s="39" t="n">
        <f aca="false">IF(AND(E1130&gt;0,OR(AND(B1130&gt;=1,B1130&lt;=6),B1130=10)),1,0)</f>
        <v>0</v>
      </c>
      <c r="AA1130" s="39" t="n">
        <f aca="false">IF(AND(E1130&gt;0,B1130=10),1,0)</f>
        <v>0</v>
      </c>
      <c r="AB1130" s="0" t="str">
        <f aca="false">IF(AND(C1129=C1130,Y1129=Y1130-1),Z1129,"")</f>
        <v/>
      </c>
      <c r="AC1130" s="0" t="str">
        <f aca="false">IF(AND(C1129=C1130,Y1129=Y1130-1),AA1129,"")</f>
        <v/>
      </c>
      <c r="AD1130" s="0" t="str">
        <f aca="false">IF(Y1130=1,"",IF(AND(Z1130=1,AB1130&lt;&gt;1),1,0))</f>
        <v/>
      </c>
      <c r="AE1130" s="0" t="str">
        <f aca="false">IF(Y1130=1,"",IF(AND(AA1130=1,AC1130&lt;&gt;1),1,0))</f>
        <v/>
      </c>
      <c r="AF1130" s="45" t="str">
        <f aca="false">IF(AND(E1130&gt;0,Y1130&lt;1,NOT(AND(C1131=C1130,Y1131=Y1130+1))),INDEX(DATAS,Y1130+1),"")</f>
        <v/>
      </c>
      <c r="AG1130" s="45" t="str">
        <f aca="false">IF(AND(AA1130=1,Y1130&lt;1),IF(AND(C1131=C1130,Y1131=Y1130+1),IF(AA1131=1,"",INDEX(DATAS,Y1130+1)),INDEX(DATAS,Y1130+1)),"")</f>
        <v/>
      </c>
    </row>
    <row r="1131" customFormat="false" ht="15" hidden="false" customHeight="false" outlineLevel="0" collapsed="false">
      <c r="A1131" s="45" t="n">
        <v>46309</v>
      </c>
      <c r="B1131" s="0" t="n">
        <v>3</v>
      </c>
      <c r="C1131" s="0" t="n">
        <v>5173</v>
      </c>
      <c r="D1131" s="0" t="n">
        <v>51</v>
      </c>
      <c r="E1131" s="0" t="n">
        <v>2</v>
      </c>
      <c r="F1131" s="39" t="s">
        <v>774</v>
      </c>
      <c r="G1131" s="0" t="n">
        <v>64.4</v>
      </c>
      <c r="H1131" s="0" t="n">
        <v>64</v>
      </c>
      <c r="I1131" s="39" t="s">
        <v>118</v>
      </c>
      <c r="J1131" s="0" t="n">
        <v>51</v>
      </c>
      <c r="M1131" s="0" t="n">
        <v>1103.15</v>
      </c>
      <c r="N1131" s="0" t="n">
        <v>45.67</v>
      </c>
      <c r="O1131" s="0" t="n">
        <v>34.39</v>
      </c>
      <c r="P1131" s="0" t="n">
        <v>2.74</v>
      </c>
      <c r="Q1131" s="0" t="n">
        <v>3.29</v>
      </c>
      <c r="R1131" s="0" t="n">
        <v>5262</v>
      </c>
      <c r="S1131" s="0" t="n">
        <v>10578</v>
      </c>
      <c r="U1131" s="0" t="n">
        <v>1039</v>
      </c>
      <c r="V1131" s="0" t="n">
        <v>0</v>
      </c>
      <c r="W1131" s="39" t="n">
        <f aca="false">IF(I1131="Male",0,1)</f>
        <v>1</v>
      </c>
      <c r="X1131" s="39" t="n">
        <f aca="false">IF(OR(I1131="DNB",I1131="Dry DNB"),1,0)</f>
        <v>0</v>
      </c>
      <c r="Y1131" s="39" t="n">
        <f aca="false">MATCH(A1131,DATAS,0)</f>
        <v>1</v>
      </c>
      <c r="Z1131" s="39" t="n">
        <f aca="false">IF(AND(E1131&gt;0,OR(AND(B1131&gt;=1,B1131&lt;=6),B1131=10)),1,0)</f>
        <v>1</v>
      </c>
      <c r="AA1131" s="39" t="n">
        <f aca="false">IF(AND(E1131&gt;0,B1131=10),1,0)</f>
        <v>0</v>
      </c>
      <c r="AB1131" s="0" t="str">
        <f aca="false">IF(AND(C1130=C1131,Y1130=Y1131-1),Z1130,"")</f>
        <v/>
      </c>
      <c r="AC1131" s="0" t="str">
        <f aca="false">IF(AND(C1130=C1131,Y1130=Y1131-1),AA1130,"")</f>
        <v/>
      </c>
      <c r="AD1131" s="0" t="str">
        <f aca="false">IF(Y1131=1,"",IF(AND(Z1131=1,AB1131&lt;&gt;1),1,0))</f>
        <v/>
      </c>
      <c r="AE1131" s="0" t="str">
        <f aca="false">IF(Y1131=1,"",IF(AND(AA1131=1,AC1131&lt;&gt;1),1,0))</f>
        <v/>
      </c>
      <c r="AF1131" s="45" t="str">
        <f aca="false">IF(AND(E1131&gt;0,Y1131&lt;1,NOT(AND(C1132=C1131,Y1132=Y1131+1))),INDEX(DATAS,Y1131+1),"")</f>
        <v/>
      </c>
      <c r="AG1131" s="45" t="str">
        <f aca="false">IF(AND(AA1131=1,Y1131&lt;1),IF(AND(C1132=C1131,Y1132=Y1131+1),IF(AA1132=1,"",INDEX(DATAS,Y1131+1)),INDEX(DATAS,Y1131+1)),"")</f>
        <v/>
      </c>
    </row>
    <row r="1132" customFormat="false" ht="15" hidden="false" customHeight="false" outlineLevel="0" collapsed="false">
      <c r="A1132" s="45" t="n">
        <v>46309</v>
      </c>
      <c r="B1132" s="0" t="n">
        <v>3</v>
      </c>
      <c r="C1132" s="0" t="n">
        <v>5174</v>
      </c>
      <c r="D1132" s="0" t="n">
        <v>70</v>
      </c>
      <c r="E1132" s="0" t="n">
        <v>2</v>
      </c>
      <c r="F1132" s="39" t="s">
        <v>774</v>
      </c>
      <c r="G1132" s="0" t="n">
        <v>60.3</v>
      </c>
      <c r="H1132" s="0" t="n">
        <v>54</v>
      </c>
      <c r="I1132" s="39" t="s">
        <v>138</v>
      </c>
      <c r="J1132" s="0" t="n">
        <v>70</v>
      </c>
      <c r="K1132" s="0" t="n">
        <v>63</v>
      </c>
      <c r="M1132" s="0" t="n">
        <v>1336.71</v>
      </c>
      <c r="N1132" s="0" t="n">
        <v>53.11</v>
      </c>
      <c r="O1132" s="0" t="n">
        <v>38.85</v>
      </c>
      <c r="P1132" s="0" t="n">
        <v>3.03</v>
      </c>
      <c r="Q1132" s="0" t="n">
        <v>3.07</v>
      </c>
      <c r="R1132" s="0" t="n">
        <v>5024</v>
      </c>
      <c r="S1132" s="0" t="n">
        <v>10100</v>
      </c>
      <c r="U1132" s="0" t="n">
        <v>1039</v>
      </c>
      <c r="V1132" s="0" t="n">
        <v>1</v>
      </c>
      <c r="W1132" s="39" t="n">
        <f aca="false">IF(I1132="Male",0,1)</f>
        <v>1</v>
      </c>
      <c r="X1132" s="39" t="n">
        <f aca="false">IF(OR(I1132="DNB",I1132="Dry DNB"),1,0)</f>
        <v>0</v>
      </c>
      <c r="Y1132" s="39" t="n">
        <f aca="false">MATCH(A1132,DATAS,0)</f>
        <v>1</v>
      </c>
      <c r="Z1132" s="39" t="n">
        <f aca="false">IF(AND(E1132&gt;0,OR(AND(B1132&gt;=1,B1132&lt;=6),B1132=10)),1,0)</f>
        <v>1</v>
      </c>
      <c r="AA1132" s="39" t="n">
        <f aca="false">IF(AND(E1132&gt;0,B1132=10),1,0)</f>
        <v>0</v>
      </c>
      <c r="AB1132" s="0" t="str">
        <f aca="false">IF(AND(C1131=C1132,Y1131=Y1132-1),Z1131,"")</f>
        <v/>
      </c>
      <c r="AC1132" s="0" t="str">
        <f aca="false">IF(AND(C1131=C1132,Y1131=Y1132-1),AA1131,"")</f>
        <v/>
      </c>
      <c r="AD1132" s="0" t="str">
        <f aca="false">IF(Y1132=1,"",IF(AND(Z1132=1,AB1132&lt;&gt;1),1,0))</f>
        <v/>
      </c>
      <c r="AE1132" s="0" t="str">
        <f aca="false">IF(Y1132=1,"",IF(AND(AA1132=1,AC1132&lt;&gt;1),1,0))</f>
        <v/>
      </c>
      <c r="AF1132" s="45" t="str">
        <f aca="false">IF(AND(E1132&gt;0,Y1132&lt;1,NOT(AND(C1133=C1132,Y1133=Y1132+1))),INDEX(DATAS,Y1132+1),"")</f>
        <v/>
      </c>
      <c r="AG1132" s="45" t="str">
        <f aca="false">IF(AND(AA1132=1,Y1132&lt;1),IF(AND(C1133=C1132,Y1133=Y1132+1),IF(AA1133=1,"",INDEX(DATAS,Y1132+1)),INDEX(DATAS,Y1132+1)),"")</f>
        <v/>
      </c>
    </row>
    <row r="1133" customFormat="false" ht="15" hidden="false" customHeight="false" outlineLevel="0" collapsed="false">
      <c r="A1133" s="45" t="n">
        <v>46309</v>
      </c>
      <c r="B1133" s="0" t="n">
        <v>4</v>
      </c>
      <c r="C1133" s="0" t="n">
        <v>5175</v>
      </c>
      <c r="D1133" s="0" t="n">
        <v>322</v>
      </c>
      <c r="E1133" s="0" t="n">
        <v>1</v>
      </c>
      <c r="F1133" s="39" t="s">
        <v>775</v>
      </c>
      <c r="G1133" s="0" t="n">
        <v>53.5</v>
      </c>
      <c r="H1133" s="0" t="n">
        <v>51</v>
      </c>
      <c r="I1133" s="39" t="s">
        <v>109</v>
      </c>
      <c r="J1133" s="0" t="n">
        <v>287</v>
      </c>
      <c r="K1133" s="0" t="n">
        <v>63</v>
      </c>
      <c r="L1133" s="0" t="n">
        <v>35</v>
      </c>
      <c r="M1133" s="0" t="n">
        <v>369.22</v>
      </c>
      <c r="N1133" s="0" t="n">
        <v>65.73</v>
      </c>
      <c r="O1133" s="0" t="n">
        <v>22.49</v>
      </c>
      <c r="P1133" s="0" t="n">
        <v>3.75</v>
      </c>
      <c r="Q1133" s="0" t="n">
        <v>3.74</v>
      </c>
      <c r="R1133" s="0" t="n">
        <v>4237</v>
      </c>
      <c r="S1133" s="0" t="n">
        <v>8448</v>
      </c>
      <c r="T1133" s="0" t="n">
        <v>57.8</v>
      </c>
      <c r="U1133" s="0" t="n">
        <v>1038</v>
      </c>
      <c r="V1133" s="0" t="n">
        <v>5</v>
      </c>
      <c r="W1133" s="39" t="n">
        <f aca="false">IF(I1133="Male",0,1)</f>
        <v>1</v>
      </c>
      <c r="X1133" s="39" t="n">
        <f aca="false">IF(OR(I1133="DNB",I1133="Dry DNB"),1,0)</f>
        <v>0</v>
      </c>
      <c r="Y1133" s="39" t="n">
        <f aca="false">MATCH(A1133,DATAS,0)</f>
        <v>1</v>
      </c>
      <c r="Z1133" s="39" t="n">
        <f aca="false">IF(AND(E1133&gt;0,OR(AND(B1133&gt;=1,B1133&lt;=6),B1133=10)),1,0)</f>
        <v>1</v>
      </c>
      <c r="AA1133" s="39" t="n">
        <f aca="false">IF(AND(E1133&gt;0,B1133=10),1,0)</f>
        <v>0</v>
      </c>
      <c r="AB1133" s="0" t="str">
        <f aca="false">IF(AND(C1132=C1133,Y1132=Y1133-1),Z1132,"")</f>
        <v/>
      </c>
      <c r="AC1133" s="0" t="str">
        <f aca="false">IF(AND(C1132=C1133,Y1132=Y1133-1),AA1132,"")</f>
        <v/>
      </c>
      <c r="AD1133" s="0" t="str">
        <f aca="false">IF(Y1133=1,"",IF(AND(Z1133=1,AB1133&lt;&gt;1),1,0))</f>
        <v/>
      </c>
      <c r="AE1133" s="0" t="str">
        <f aca="false">IF(Y1133=1,"",IF(AND(AA1133=1,AC1133&lt;&gt;1),1,0))</f>
        <v/>
      </c>
      <c r="AF1133" s="45" t="str">
        <f aca="false">IF(AND(E1133&gt;0,Y1133&lt;1,NOT(AND(C1134=C1133,Y1134=Y1133+1))),INDEX(DATAS,Y1133+1),"")</f>
        <v/>
      </c>
      <c r="AG1133" s="45" t="str">
        <f aca="false">IF(AND(AA1133=1,Y1133&lt;1),IF(AND(C1134=C1133,Y1134=Y1133+1),IF(AA1134=1,"",INDEX(DATAS,Y1133+1)),INDEX(DATAS,Y1133+1)),"")</f>
        <v/>
      </c>
    </row>
    <row r="1134" customFormat="false" ht="15" hidden="false" customHeight="false" outlineLevel="0" collapsed="false">
      <c r="A1134" s="45" t="n">
        <v>46309</v>
      </c>
      <c r="B1134" s="0" t="n">
        <v>4</v>
      </c>
      <c r="C1134" s="0" t="n">
        <v>5176</v>
      </c>
      <c r="D1134" s="0" t="n">
        <v>319</v>
      </c>
      <c r="E1134" s="0" t="n">
        <v>1</v>
      </c>
      <c r="F1134" s="39" t="s">
        <v>776</v>
      </c>
      <c r="G1134" s="0" t="n">
        <v>40.1</v>
      </c>
      <c r="H1134" s="0" t="n">
        <v>40</v>
      </c>
      <c r="I1134" s="39" t="s">
        <v>109</v>
      </c>
      <c r="J1134" s="0" t="n">
        <v>102</v>
      </c>
      <c r="K1134" s="0" t="n">
        <v>67</v>
      </c>
      <c r="L1134" s="0" t="n">
        <v>217</v>
      </c>
      <c r="M1134" s="0" t="n">
        <v>243.2</v>
      </c>
      <c r="N1134" s="0" t="n">
        <v>58.66</v>
      </c>
      <c r="O1134" s="0" t="n">
        <v>27.3</v>
      </c>
      <c r="P1134" s="0" t="n">
        <v>3.41</v>
      </c>
      <c r="Q1134" s="0" t="n">
        <v>3.68</v>
      </c>
      <c r="R1134" s="0" t="n">
        <v>4019</v>
      </c>
      <c r="S1134" s="0" t="n">
        <v>9243</v>
      </c>
      <c r="T1134" s="0" t="n">
        <v>44.9</v>
      </c>
      <c r="U1134" s="0" t="n">
        <v>1037</v>
      </c>
      <c r="V1134" s="0" t="n">
        <v>2</v>
      </c>
      <c r="W1134" s="39" t="n">
        <f aca="false">IF(I1134="Male",0,1)</f>
        <v>1</v>
      </c>
      <c r="X1134" s="39" t="n">
        <f aca="false">IF(OR(I1134="DNB",I1134="Dry DNB"),1,0)</f>
        <v>0</v>
      </c>
      <c r="Y1134" s="39" t="n">
        <f aca="false">MATCH(A1134,DATAS,0)</f>
        <v>1</v>
      </c>
      <c r="Z1134" s="39" t="n">
        <f aca="false">IF(AND(E1134&gt;0,OR(AND(B1134&gt;=1,B1134&lt;=6),B1134=10)),1,0)</f>
        <v>1</v>
      </c>
      <c r="AA1134" s="39" t="n">
        <f aca="false">IF(AND(E1134&gt;0,B1134=10),1,0)</f>
        <v>0</v>
      </c>
      <c r="AB1134" s="0" t="str">
        <f aca="false">IF(AND(C1133=C1134,Y1133=Y1134-1),Z1133,"")</f>
        <v/>
      </c>
      <c r="AC1134" s="0" t="str">
        <f aca="false">IF(AND(C1133=C1134,Y1133=Y1134-1),AA1133,"")</f>
        <v/>
      </c>
      <c r="AD1134" s="0" t="str">
        <f aca="false">IF(Y1134=1,"",IF(AND(Z1134=1,AB1134&lt;&gt;1),1,0))</f>
        <v/>
      </c>
      <c r="AE1134" s="0" t="str">
        <f aca="false">IF(Y1134=1,"",IF(AND(AA1134=1,AC1134&lt;&gt;1),1,0))</f>
        <v/>
      </c>
      <c r="AF1134" s="45" t="str">
        <f aca="false">IF(AND(E1134&gt;0,Y1134&lt;1,NOT(AND(C1135=C1134,Y1135=Y1134+1))),INDEX(DATAS,Y1134+1),"")</f>
        <v/>
      </c>
      <c r="AG1134" s="45" t="str">
        <f aca="false">IF(AND(AA1134=1,Y1134&lt;1),IF(AND(C1135=C1134,Y1135=Y1134+1),IF(AA1135=1,"",INDEX(DATAS,Y1134+1)),INDEX(DATAS,Y1134+1)),"")</f>
        <v/>
      </c>
    </row>
    <row r="1135" customFormat="false" ht="15" hidden="false" customHeight="false" outlineLevel="0" collapsed="false">
      <c r="A1135" s="45" t="n">
        <v>46309</v>
      </c>
      <c r="B1135" s="0" t="n">
        <v>3</v>
      </c>
      <c r="C1135" s="0" t="n">
        <v>5177</v>
      </c>
      <c r="D1135" s="0" t="n">
        <v>70</v>
      </c>
      <c r="E1135" s="0" t="n">
        <v>2</v>
      </c>
      <c r="F1135" s="39" t="s">
        <v>776</v>
      </c>
      <c r="G1135" s="0" t="n">
        <v>50.6</v>
      </c>
      <c r="H1135" s="0" t="n">
        <v>47</v>
      </c>
      <c r="I1135" s="39" t="s">
        <v>138</v>
      </c>
      <c r="J1135" s="0" t="n">
        <v>70</v>
      </c>
      <c r="K1135" s="0" t="n">
        <v>63</v>
      </c>
      <c r="M1135" s="0" t="n">
        <v>332.48</v>
      </c>
      <c r="N1135" s="0" t="n">
        <v>13.71</v>
      </c>
      <c r="O1135" s="0" t="n">
        <v>16.09</v>
      </c>
      <c r="P1135" s="0" t="n">
        <v>4.34</v>
      </c>
      <c r="Q1135" s="0" t="n">
        <v>3.02</v>
      </c>
      <c r="R1135" s="0" t="n">
        <v>4420</v>
      </c>
      <c r="S1135" s="0" t="n">
        <v>8886</v>
      </c>
      <c r="U1135" s="0" t="n">
        <v>1037</v>
      </c>
      <c r="V1135" s="0" t="n">
        <v>1</v>
      </c>
      <c r="W1135" s="39" t="n">
        <f aca="false">IF(I1135="Male",0,1)</f>
        <v>1</v>
      </c>
      <c r="X1135" s="39" t="n">
        <f aca="false">IF(OR(I1135="DNB",I1135="Dry DNB"),1,0)</f>
        <v>0</v>
      </c>
      <c r="Y1135" s="39" t="n">
        <f aca="false">MATCH(A1135,DATAS,0)</f>
        <v>1</v>
      </c>
      <c r="Z1135" s="39" t="n">
        <f aca="false">IF(AND(E1135&gt;0,OR(AND(B1135&gt;=1,B1135&lt;=6),B1135=10)),1,0)</f>
        <v>1</v>
      </c>
      <c r="AA1135" s="39" t="n">
        <f aca="false">IF(AND(E1135&gt;0,B1135=10),1,0)</f>
        <v>0</v>
      </c>
      <c r="AB1135" s="0" t="str">
        <f aca="false">IF(AND(C1134=C1135,Y1134=Y1135-1),Z1134,"")</f>
        <v/>
      </c>
      <c r="AC1135" s="0" t="str">
        <f aca="false">IF(AND(C1134=C1135,Y1134=Y1135-1),AA1134,"")</f>
        <v/>
      </c>
      <c r="AD1135" s="0" t="str">
        <f aca="false">IF(Y1135=1,"",IF(AND(Z1135=1,AB1135&lt;&gt;1),1,0))</f>
        <v/>
      </c>
      <c r="AE1135" s="0" t="str">
        <f aca="false">IF(Y1135=1,"",IF(AND(AA1135=1,AC1135&lt;&gt;1),1,0))</f>
        <v/>
      </c>
      <c r="AF1135" s="45" t="str">
        <f aca="false">IF(AND(E1135&gt;0,Y1135&lt;1,NOT(AND(C1136=C1135,Y1136=Y1135+1))),INDEX(DATAS,Y1135+1),"")</f>
        <v/>
      </c>
      <c r="AG1135" s="45" t="str">
        <f aca="false">IF(AND(AA1135=1,Y1135&lt;1),IF(AND(C1136=C1135,Y1136=Y1135+1),IF(AA1136=1,"",INDEX(DATAS,Y1135+1)),INDEX(DATAS,Y1135+1)),"")</f>
        <v/>
      </c>
    </row>
    <row r="1136" customFormat="false" ht="15" hidden="false" customHeight="false" outlineLevel="0" collapsed="false">
      <c r="A1136" s="45" t="n">
        <v>46309</v>
      </c>
      <c r="B1136" s="0" t="n">
        <v>14</v>
      </c>
      <c r="C1136" s="0" t="n">
        <v>5179</v>
      </c>
      <c r="D1136" s="0" t="n">
        <v>330</v>
      </c>
      <c r="E1136" s="0" t="n">
        <v>1</v>
      </c>
      <c r="F1136" s="39" t="s">
        <v>777</v>
      </c>
      <c r="I1136" s="39" t="s">
        <v>114</v>
      </c>
      <c r="J1136" s="0" t="n">
        <v>107</v>
      </c>
      <c r="K1136" s="0" t="n">
        <v>65</v>
      </c>
      <c r="L1136" s="0" t="n">
        <v>266</v>
      </c>
      <c r="M1136" s="0" t="n">
        <v>483.7</v>
      </c>
      <c r="N1136" s="0" t="n">
        <v>33.79</v>
      </c>
      <c r="O1136" s="0" t="n">
        <v>26.84</v>
      </c>
      <c r="P1136" s="0" t="n">
        <v>4.41</v>
      </c>
      <c r="Q1136" s="0" t="n">
        <v>3.79</v>
      </c>
      <c r="R1136" s="0" t="n">
        <v>3132</v>
      </c>
      <c r="S1136" s="0" t="n">
        <v>7367</v>
      </c>
      <c r="T1136" s="0" t="n">
        <v>25.9</v>
      </c>
      <c r="U1136" s="0" t="n">
        <v>1036</v>
      </c>
      <c r="V1136" s="0" t="n">
        <v>2</v>
      </c>
      <c r="W1136" s="39" t="n">
        <f aca="false">IF(I1136="Male",0,1)</f>
        <v>1</v>
      </c>
      <c r="X1136" s="39" t="n">
        <f aca="false">IF(OR(I1136="DNB",I1136="Dry DNB"),1,0)</f>
        <v>0</v>
      </c>
      <c r="Y1136" s="39" t="n">
        <f aca="false">MATCH(A1136,DATAS,0)</f>
        <v>1</v>
      </c>
      <c r="Z1136" s="39" t="n">
        <f aca="false">IF(AND(E1136&gt;0,OR(AND(B1136&gt;=1,B1136&lt;=6),B1136=10)),1,0)</f>
        <v>0</v>
      </c>
      <c r="AA1136" s="39" t="n">
        <f aca="false">IF(AND(E1136&gt;0,B1136=10),1,0)</f>
        <v>0</v>
      </c>
      <c r="AB1136" s="0" t="str">
        <f aca="false">IF(AND(C1135=C1136,Y1135=Y1136-1),Z1135,"")</f>
        <v/>
      </c>
      <c r="AC1136" s="0" t="str">
        <f aca="false">IF(AND(C1135=C1136,Y1135=Y1136-1),AA1135,"")</f>
        <v/>
      </c>
      <c r="AD1136" s="0" t="str">
        <f aca="false">IF(Y1136=1,"",IF(AND(Z1136=1,AB1136&lt;&gt;1),1,0))</f>
        <v/>
      </c>
      <c r="AE1136" s="0" t="str">
        <f aca="false">IF(Y1136=1,"",IF(AND(AA1136=1,AC1136&lt;&gt;1),1,0))</f>
        <v/>
      </c>
      <c r="AF1136" s="45" t="str">
        <f aca="false">IF(AND(E1136&gt;0,Y1136&lt;1,NOT(AND(C1137=C1136,Y1137=Y1136+1))),INDEX(DATAS,Y1136+1),"")</f>
        <v/>
      </c>
      <c r="AG1136" s="45" t="str">
        <f aca="false">IF(AND(AA1136=1,Y1136&lt;1),IF(AND(C1137=C1136,Y1137=Y1136+1),IF(AA1137=1,"",INDEX(DATAS,Y1136+1)),INDEX(DATAS,Y1136+1)),"")</f>
        <v/>
      </c>
    </row>
    <row r="1137" customFormat="false" ht="15" hidden="false" customHeight="false" outlineLevel="0" collapsed="false">
      <c r="A1137" s="45" t="n">
        <v>46309</v>
      </c>
      <c r="B1137" s="0" t="n">
        <v>4</v>
      </c>
      <c r="C1137" s="0" t="n">
        <v>5180</v>
      </c>
      <c r="D1137" s="0" t="n">
        <v>347</v>
      </c>
      <c r="E1137" s="0" t="n">
        <v>1</v>
      </c>
      <c r="F1137" s="39" t="s">
        <v>777</v>
      </c>
      <c r="G1137" s="0" t="n">
        <v>30.9</v>
      </c>
      <c r="H1137" s="0" t="n">
        <v>33</v>
      </c>
      <c r="I1137" s="39" t="s">
        <v>109</v>
      </c>
      <c r="J1137" s="0" t="n">
        <v>221</v>
      </c>
      <c r="K1137" s="0" t="n">
        <v>74</v>
      </c>
      <c r="L1137" s="0" t="n">
        <v>126</v>
      </c>
      <c r="M1137" s="0" t="n">
        <v>1215.69</v>
      </c>
      <c r="N1137" s="0" t="n">
        <v>27.97</v>
      </c>
      <c r="O1137" s="0" t="n">
        <v>43.02</v>
      </c>
      <c r="P1137" s="0" t="n">
        <v>4.02</v>
      </c>
      <c r="Q1137" s="0" t="n">
        <v>3.59</v>
      </c>
      <c r="R1137" s="0" t="n">
        <v>4169</v>
      </c>
      <c r="S1137" s="0" t="n">
        <v>9734</v>
      </c>
      <c r="T1137" s="0" t="n">
        <v>43.3</v>
      </c>
      <c r="U1137" s="0" t="n">
        <v>1036</v>
      </c>
      <c r="V1137" s="0" t="n">
        <v>5</v>
      </c>
      <c r="W1137" s="39" t="n">
        <f aca="false">IF(I1137="Male",0,1)</f>
        <v>1</v>
      </c>
      <c r="X1137" s="39" t="n">
        <f aca="false">IF(OR(I1137="DNB",I1137="Dry DNB"),1,0)</f>
        <v>0</v>
      </c>
      <c r="Y1137" s="39" t="n">
        <f aca="false">MATCH(A1137,DATAS,0)</f>
        <v>1</v>
      </c>
      <c r="Z1137" s="39" t="n">
        <f aca="false">IF(AND(E1137&gt;0,OR(AND(B1137&gt;=1,B1137&lt;=6),B1137=10)),1,0)</f>
        <v>1</v>
      </c>
      <c r="AA1137" s="39" t="n">
        <f aca="false">IF(AND(E1137&gt;0,B1137=10),1,0)</f>
        <v>0</v>
      </c>
      <c r="AB1137" s="0" t="str">
        <f aca="false">IF(AND(C1136=C1137,Y1136=Y1137-1),Z1136,"")</f>
        <v/>
      </c>
      <c r="AC1137" s="0" t="str">
        <f aca="false">IF(AND(C1136=C1137,Y1136=Y1137-1),AA1136,"")</f>
        <v/>
      </c>
      <c r="AD1137" s="0" t="str">
        <f aca="false">IF(Y1137=1,"",IF(AND(Z1137=1,AB1137&lt;&gt;1),1,0))</f>
        <v/>
      </c>
      <c r="AE1137" s="0" t="str">
        <f aca="false">IF(Y1137=1,"",IF(AND(AA1137=1,AC1137&lt;&gt;1),1,0))</f>
        <v/>
      </c>
      <c r="AF1137" s="45" t="str">
        <f aca="false">IF(AND(E1137&gt;0,Y1137&lt;1,NOT(AND(C1138=C1137,Y1138=Y1137+1))),INDEX(DATAS,Y1137+1),"")</f>
        <v/>
      </c>
      <c r="AG1137" s="45" t="str">
        <f aca="false">IF(AND(AA1137=1,Y1137&lt;1),IF(AND(C1138=C1137,Y1138=Y1137+1),IF(AA1138=1,"",INDEX(DATAS,Y1137+1)),INDEX(DATAS,Y1137+1)),"")</f>
        <v/>
      </c>
    </row>
    <row r="1138" customFormat="false" ht="15" hidden="false" customHeight="false" outlineLevel="0" collapsed="false">
      <c r="A1138" s="45" t="n">
        <v>46309</v>
      </c>
      <c r="B1138" s="0" t="n">
        <v>5</v>
      </c>
      <c r="C1138" s="0" t="n">
        <v>5181</v>
      </c>
      <c r="D1138" s="0" t="n">
        <v>416</v>
      </c>
      <c r="E1138" s="0" t="n">
        <v>1</v>
      </c>
      <c r="F1138" s="39" t="s">
        <v>777</v>
      </c>
      <c r="G1138" s="0" t="n">
        <v>41.6</v>
      </c>
      <c r="H1138" s="0" t="n">
        <v>41</v>
      </c>
      <c r="I1138" s="39" t="s">
        <v>109</v>
      </c>
      <c r="J1138" s="0" t="n">
        <v>300</v>
      </c>
      <c r="K1138" s="0" t="n">
        <v>66</v>
      </c>
      <c r="L1138" s="0" t="n">
        <v>116</v>
      </c>
      <c r="M1138" s="0" t="n">
        <v>357.04</v>
      </c>
      <c r="N1138" s="0" t="n">
        <v>37.04</v>
      </c>
      <c r="O1138" s="0" t="n">
        <v>5.89</v>
      </c>
      <c r="P1138" s="0" t="n">
        <v>3.84</v>
      </c>
      <c r="Q1138" s="0" t="n">
        <v>3.45</v>
      </c>
      <c r="R1138" s="0" t="n">
        <v>4060</v>
      </c>
      <c r="S1138" s="0" t="n">
        <v>8840</v>
      </c>
      <c r="T1138" s="0" t="n">
        <v>45.45</v>
      </c>
      <c r="U1138" s="0" t="n">
        <v>1036</v>
      </c>
      <c r="V1138" s="0" t="n">
        <v>7</v>
      </c>
      <c r="W1138" s="39" t="n">
        <f aca="false">IF(I1138="Male",0,1)</f>
        <v>1</v>
      </c>
      <c r="X1138" s="39" t="n">
        <f aca="false">IF(OR(I1138="DNB",I1138="Dry DNB"),1,0)</f>
        <v>0</v>
      </c>
      <c r="Y1138" s="39" t="n">
        <f aca="false">MATCH(A1138,DATAS,0)</f>
        <v>1</v>
      </c>
      <c r="Z1138" s="39" t="n">
        <f aca="false">IF(AND(E1138&gt;0,OR(AND(B1138&gt;=1,B1138&lt;=6),B1138=10)),1,0)</f>
        <v>1</v>
      </c>
      <c r="AA1138" s="39" t="n">
        <f aca="false">IF(AND(E1138&gt;0,B1138=10),1,0)</f>
        <v>0</v>
      </c>
      <c r="AB1138" s="0" t="str">
        <f aca="false">IF(AND(C1137=C1138,Y1137=Y1138-1),Z1137,"")</f>
        <v/>
      </c>
      <c r="AC1138" s="0" t="str">
        <f aca="false">IF(AND(C1137=C1138,Y1137=Y1138-1),AA1137,"")</f>
        <v/>
      </c>
      <c r="AD1138" s="0" t="str">
        <f aca="false">IF(Y1138=1,"",IF(AND(Z1138=1,AB1138&lt;&gt;1),1,0))</f>
        <v/>
      </c>
      <c r="AE1138" s="0" t="str">
        <f aca="false">IF(Y1138=1,"",IF(AND(AA1138=1,AC1138&lt;&gt;1),1,0))</f>
        <v/>
      </c>
      <c r="AF1138" s="45" t="str">
        <f aca="false">IF(AND(E1138&gt;0,Y1138&lt;1,NOT(AND(C1139=C1138,Y1139=Y1138+1))),INDEX(DATAS,Y1138+1),"")</f>
        <v/>
      </c>
      <c r="AG1138" s="45" t="str">
        <f aca="false">IF(AND(AA1138=1,Y1138&lt;1),IF(AND(C1139=C1138,Y1139=Y1138+1),IF(AA1139=1,"",INDEX(DATAS,Y1138+1)),INDEX(DATAS,Y1138+1)),"")</f>
        <v/>
      </c>
    </row>
    <row r="1139" customFormat="false" ht="15" hidden="false" customHeight="false" outlineLevel="0" collapsed="false">
      <c r="A1139" s="45" t="n">
        <v>46309</v>
      </c>
      <c r="B1139" s="0" t="n">
        <v>2</v>
      </c>
      <c r="C1139" s="0" t="n">
        <v>5183</v>
      </c>
      <c r="D1139" s="0" t="n">
        <v>36</v>
      </c>
      <c r="E1139" s="0" t="n">
        <v>2</v>
      </c>
      <c r="F1139" s="39" t="s">
        <v>778</v>
      </c>
      <c r="G1139" s="0" t="n">
        <v>57.8</v>
      </c>
      <c r="H1139" s="0" t="n">
        <v>53</v>
      </c>
      <c r="I1139" s="39" t="s">
        <v>118</v>
      </c>
      <c r="J1139" s="0" t="n">
        <v>36</v>
      </c>
      <c r="M1139" s="0" t="n">
        <v>725.11</v>
      </c>
      <c r="N1139" s="0" t="n">
        <v>31.77</v>
      </c>
      <c r="O1139" s="0" t="n">
        <v>31.75</v>
      </c>
      <c r="P1139" s="0" t="n">
        <v>4.39</v>
      </c>
      <c r="Q1139" s="0" t="n">
        <v>4.22</v>
      </c>
      <c r="R1139" s="0" t="n">
        <v>4307</v>
      </c>
      <c r="S1139" s="0" t="n">
        <v>8658</v>
      </c>
      <c r="U1139" s="0" t="n">
        <v>1035</v>
      </c>
      <c r="V1139" s="0" t="n">
        <v>0</v>
      </c>
      <c r="W1139" s="39" t="n">
        <f aca="false">IF(I1139="Male",0,1)</f>
        <v>1</v>
      </c>
      <c r="X1139" s="39" t="n">
        <f aca="false">IF(OR(I1139="DNB",I1139="Dry DNB"),1,0)</f>
        <v>0</v>
      </c>
      <c r="Y1139" s="39" t="n">
        <f aca="false">MATCH(A1139,DATAS,0)</f>
        <v>1</v>
      </c>
      <c r="Z1139" s="39" t="n">
        <f aca="false">IF(AND(E1139&gt;0,OR(AND(B1139&gt;=1,B1139&lt;=6),B1139=10)),1,0)</f>
        <v>1</v>
      </c>
      <c r="AA1139" s="39" t="n">
        <f aca="false">IF(AND(E1139&gt;0,B1139=10),1,0)</f>
        <v>0</v>
      </c>
      <c r="AB1139" s="0" t="str">
        <f aca="false">IF(AND(C1138=C1139,Y1138=Y1139-1),Z1138,"")</f>
        <v/>
      </c>
      <c r="AC1139" s="0" t="str">
        <f aca="false">IF(AND(C1138=C1139,Y1138=Y1139-1),AA1138,"")</f>
        <v/>
      </c>
      <c r="AD1139" s="0" t="str">
        <f aca="false">IF(Y1139=1,"",IF(AND(Z1139=1,AB1139&lt;&gt;1),1,0))</f>
        <v/>
      </c>
      <c r="AE1139" s="0" t="str">
        <f aca="false">IF(Y1139=1,"",IF(AND(AA1139=1,AC1139&lt;&gt;1),1,0))</f>
        <v/>
      </c>
      <c r="AF1139" s="45" t="str">
        <f aca="false">IF(AND(E1139&gt;0,Y1139&lt;1,NOT(AND(C1140=C1139,Y1140=Y1139+1))),INDEX(DATAS,Y1139+1),"")</f>
        <v/>
      </c>
      <c r="AG1139" s="45" t="str">
        <f aca="false">IF(AND(AA1139=1,Y1139&lt;1),IF(AND(C1140=C1139,Y1140=Y1139+1),IF(AA1140=1,"",INDEX(DATAS,Y1139+1)),INDEX(DATAS,Y1139+1)),"")</f>
        <v/>
      </c>
    </row>
    <row r="1140" customFormat="false" ht="15" hidden="false" customHeight="false" outlineLevel="0" collapsed="false">
      <c r="A1140" s="45" t="n">
        <v>46309</v>
      </c>
      <c r="B1140" s="0" t="n">
        <v>3</v>
      </c>
      <c r="C1140" s="0" t="n">
        <v>5184</v>
      </c>
      <c r="D1140" s="0" t="n">
        <v>2</v>
      </c>
      <c r="E1140" s="0" t="n">
        <v>2</v>
      </c>
      <c r="F1140" s="39" t="s">
        <v>778</v>
      </c>
      <c r="G1140" s="0" t="n">
        <v>6.7</v>
      </c>
      <c r="H1140" s="0" t="n">
        <v>4</v>
      </c>
      <c r="I1140" s="39" t="s">
        <v>118</v>
      </c>
      <c r="J1140" s="0" t="n">
        <v>2</v>
      </c>
      <c r="M1140" s="0" t="n">
        <v>278.54</v>
      </c>
      <c r="N1140" s="0" t="n">
        <v>84.39</v>
      </c>
      <c r="O1140" s="0" t="n">
        <v>42.83</v>
      </c>
      <c r="R1140" s="0" t="n">
        <v>498</v>
      </c>
      <c r="S1140" s="0" t="n">
        <v>1001</v>
      </c>
      <c r="U1140" s="0" t="n">
        <v>1035</v>
      </c>
      <c r="V1140" s="0" t="n">
        <v>0</v>
      </c>
      <c r="W1140" s="39" t="n">
        <f aca="false">IF(I1140="Male",0,1)</f>
        <v>1</v>
      </c>
      <c r="X1140" s="39" t="n">
        <f aca="false">IF(OR(I1140="DNB",I1140="Dry DNB"),1,0)</f>
        <v>0</v>
      </c>
      <c r="Y1140" s="39" t="n">
        <f aca="false">MATCH(A1140,DATAS,0)</f>
        <v>1</v>
      </c>
      <c r="Z1140" s="39" t="n">
        <f aca="false">IF(AND(E1140&gt;0,OR(AND(B1140&gt;=1,B1140&lt;=6),B1140=10)),1,0)</f>
        <v>1</v>
      </c>
      <c r="AA1140" s="39" t="n">
        <f aca="false">IF(AND(E1140&gt;0,B1140=10),1,0)</f>
        <v>0</v>
      </c>
      <c r="AB1140" s="0" t="str">
        <f aca="false">IF(AND(C1139=C1140,Y1139=Y1140-1),Z1139,"")</f>
        <v/>
      </c>
      <c r="AC1140" s="0" t="str">
        <f aca="false">IF(AND(C1139=C1140,Y1139=Y1140-1),AA1139,"")</f>
        <v/>
      </c>
      <c r="AD1140" s="0" t="str">
        <f aca="false">IF(Y1140=1,"",IF(AND(Z1140=1,AB1140&lt;&gt;1),1,0))</f>
        <v/>
      </c>
      <c r="AE1140" s="0" t="str">
        <f aca="false">IF(Y1140=1,"",IF(AND(AA1140=1,AC1140&lt;&gt;1),1,0))</f>
        <v/>
      </c>
      <c r="AF1140" s="45" t="str">
        <f aca="false">IF(AND(E1140&gt;0,Y1140&lt;1,NOT(AND(C1141=C1140,Y1141=Y1140+1))),INDEX(DATAS,Y1140+1),"")</f>
        <v/>
      </c>
      <c r="AG1140" s="45" t="str">
        <f aca="false">IF(AND(AA1140=1,Y1140&lt;1),IF(AND(C1141=C1140,Y1141=Y1140+1),IF(AA1141=1,"",INDEX(DATAS,Y1140+1)),INDEX(DATAS,Y1140+1)),"")</f>
        <v/>
      </c>
    </row>
    <row r="1141" customFormat="false" ht="15" hidden="false" customHeight="false" outlineLevel="0" collapsed="false">
      <c r="A1141" s="45" t="n">
        <v>46309</v>
      </c>
      <c r="B1141" s="0" t="n">
        <v>2</v>
      </c>
      <c r="C1141" s="0" t="n">
        <v>5185</v>
      </c>
      <c r="D1141" s="0" t="n">
        <v>150</v>
      </c>
      <c r="E1141" s="0" t="n">
        <v>2</v>
      </c>
      <c r="F1141" s="39" t="s">
        <v>778</v>
      </c>
      <c r="G1141" s="0" t="n">
        <v>49</v>
      </c>
      <c r="H1141" s="0" t="n">
        <v>48</v>
      </c>
      <c r="I1141" s="39" t="s">
        <v>109</v>
      </c>
      <c r="J1141" s="0" t="n">
        <v>66</v>
      </c>
      <c r="K1141" s="0" t="n">
        <v>66</v>
      </c>
      <c r="L1141" s="0" t="n">
        <v>84</v>
      </c>
      <c r="M1141" s="0" t="n">
        <v>840.23</v>
      </c>
      <c r="N1141" s="0" t="n">
        <v>71.16</v>
      </c>
      <c r="O1141" s="0" t="n">
        <v>37.6</v>
      </c>
      <c r="P1141" s="0" t="n">
        <v>3.23</v>
      </c>
      <c r="Q1141" s="0" t="n">
        <v>3.56</v>
      </c>
      <c r="R1141" s="0" t="n">
        <v>5039</v>
      </c>
      <c r="S1141" s="0" t="n">
        <v>9915</v>
      </c>
      <c r="T1141" s="0" t="n">
        <v>53.75</v>
      </c>
      <c r="U1141" s="0" t="n">
        <v>1035</v>
      </c>
      <c r="V1141" s="0" t="n">
        <v>1</v>
      </c>
      <c r="W1141" s="39" t="n">
        <f aca="false">IF(I1141="Male",0,1)</f>
        <v>1</v>
      </c>
      <c r="X1141" s="39" t="n">
        <f aca="false">IF(OR(I1141="DNB",I1141="Dry DNB"),1,0)</f>
        <v>0</v>
      </c>
      <c r="Y1141" s="39" t="n">
        <f aca="false">MATCH(A1141,DATAS,0)</f>
        <v>1</v>
      </c>
      <c r="Z1141" s="39" t="n">
        <f aca="false">IF(AND(E1141&gt;0,OR(AND(B1141&gt;=1,B1141&lt;=6),B1141=10)),1,0)</f>
        <v>1</v>
      </c>
      <c r="AA1141" s="39" t="n">
        <f aca="false">IF(AND(E1141&gt;0,B1141=10),1,0)</f>
        <v>0</v>
      </c>
      <c r="AB1141" s="0" t="str">
        <f aca="false">IF(AND(C1140=C1141,Y1140=Y1141-1),Z1140,"")</f>
        <v/>
      </c>
      <c r="AC1141" s="0" t="str">
        <f aca="false">IF(AND(C1140=C1141,Y1140=Y1141-1),AA1140,"")</f>
        <v/>
      </c>
      <c r="AD1141" s="0" t="str">
        <f aca="false">IF(Y1141=1,"",IF(AND(Z1141=1,AB1141&lt;&gt;1),1,0))</f>
        <v/>
      </c>
      <c r="AE1141" s="0" t="str">
        <f aca="false">IF(Y1141=1,"",IF(AND(AA1141=1,AC1141&lt;&gt;1),1,0))</f>
        <v/>
      </c>
      <c r="AF1141" s="45" t="str">
        <f aca="false">IF(AND(E1141&gt;0,Y1141&lt;1,NOT(AND(C1142=C1141,Y1142=Y1141+1))),INDEX(DATAS,Y1141+1),"")</f>
        <v/>
      </c>
      <c r="AG1141" s="45" t="str">
        <f aca="false">IF(AND(AA1141=1,Y1141&lt;1),IF(AND(C1142=C1141,Y1142=Y1141+1),IF(AA1142=1,"",INDEX(DATAS,Y1141+1)),INDEX(DATAS,Y1141+1)),"")</f>
        <v/>
      </c>
    </row>
    <row r="1142" customFormat="false" ht="15" hidden="false" customHeight="false" outlineLevel="0" collapsed="false">
      <c r="A1142" s="45" t="n">
        <v>46309</v>
      </c>
      <c r="B1142" s="0" t="n">
        <v>2</v>
      </c>
      <c r="C1142" s="0" t="n">
        <v>5186</v>
      </c>
      <c r="D1142" s="0" t="n">
        <v>82</v>
      </c>
      <c r="E1142" s="0" t="n">
        <v>2</v>
      </c>
      <c r="F1142" s="39" t="s">
        <v>779</v>
      </c>
      <c r="G1142" s="0" t="n">
        <v>41.7</v>
      </c>
      <c r="H1142" s="0" t="n">
        <v>48</v>
      </c>
      <c r="I1142" s="39" t="s">
        <v>138</v>
      </c>
      <c r="J1142" s="0" t="n">
        <v>82</v>
      </c>
      <c r="K1142" s="0" t="n">
        <v>68</v>
      </c>
      <c r="M1142" s="0" t="n">
        <v>906.28</v>
      </c>
      <c r="N1142" s="0" t="n">
        <v>65.77</v>
      </c>
      <c r="O1142" s="0" t="n">
        <v>35.33</v>
      </c>
      <c r="P1142" s="0" t="n">
        <v>4.8</v>
      </c>
      <c r="Q1142" s="0" t="n">
        <v>3.34</v>
      </c>
      <c r="R1142" s="0" t="n">
        <v>4264</v>
      </c>
      <c r="S1142" s="0" t="n">
        <v>8572</v>
      </c>
      <c r="U1142" s="0" t="n">
        <v>1033</v>
      </c>
      <c r="V1142" s="0" t="n">
        <v>1</v>
      </c>
      <c r="W1142" s="39" t="n">
        <f aca="false">IF(I1142="Male",0,1)</f>
        <v>1</v>
      </c>
      <c r="X1142" s="39" t="n">
        <f aca="false">IF(OR(I1142="DNB",I1142="Dry DNB"),1,0)</f>
        <v>0</v>
      </c>
      <c r="Y1142" s="39" t="n">
        <f aca="false">MATCH(A1142,DATAS,0)</f>
        <v>1</v>
      </c>
      <c r="Z1142" s="39" t="n">
        <f aca="false">IF(AND(E1142&gt;0,OR(AND(B1142&gt;=1,B1142&lt;=6),B1142=10)),1,0)</f>
        <v>1</v>
      </c>
      <c r="AA1142" s="39" t="n">
        <f aca="false">IF(AND(E1142&gt;0,B1142=10),1,0)</f>
        <v>0</v>
      </c>
      <c r="AB1142" s="0" t="str">
        <f aca="false">IF(AND(C1141=C1142,Y1141=Y1142-1),Z1141,"")</f>
        <v/>
      </c>
      <c r="AC1142" s="0" t="str">
        <f aca="false">IF(AND(C1141=C1142,Y1141=Y1142-1),AA1141,"")</f>
        <v/>
      </c>
      <c r="AD1142" s="0" t="str">
        <f aca="false">IF(Y1142=1,"",IF(AND(Z1142=1,AB1142&lt;&gt;1),1,0))</f>
        <v/>
      </c>
      <c r="AE1142" s="0" t="str">
        <f aca="false">IF(Y1142=1,"",IF(AND(AA1142=1,AC1142&lt;&gt;1),1,0))</f>
        <v/>
      </c>
      <c r="AF1142" s="45" t="str">
        <f aca="false">IF(AND(E1142&gt;0,Y1142&lt;1,NOT(AND(C1143=C1142,Y1143=Y1142+1))),INDEX(DATAS,Y1142+1),"")</f>
        <v/>
      </c>
      <c r="AG1142" s="45" t="str">
        <f aca="false">IF(AND(AA1142=1,Y1142&lt;1),IF(AND(C1143=C1142,Y1143=Y1142+1),IF(AA1143=1,"",INDEX(DATAS,Y1142+1)),INDEX(DATAS,Y1142+1)),"")</f>
        <v/>
      </c>
    </row>
    <row r="1143" customFormat="false" ht="15" hidden="false" customHeight="false" outlineLevel="0" collapsed="false">
      <c r="A1143" s="45" t="n">
        <v>46309</v>
      </c>
      <c r="B1143" s="0" t="n">
        <v>5</v>
      </c>
      <c r="C1143" s="0" t="n">
        <v>5187</v>
      </c>
      <c r="D1143" s="0" t="n">
        <v>416</v>
      </c>
      <c r="E1143" s="0" t="n">
        <v>1</v>
      </c>
      <c r="F1143" s="39" t="s">
        <v>779</v>
      </c>
      <c r="G1143" s="0" t="n">
        <v>38.7</v>
      </c>
      <c r="H1143" s="0" t="n">
        <v>36</v>
      </c>
      <c r="I1143" s="39" t="s">
        <v>109</v>
      </c>
      <c r="J1143" s="0" t="n">
        <v>335</v>
      </c>
      <c r="K1143" s="0" t="n">
        <v>66</v>
      </c>
      <c r="L1143" s="0" t="n">
        <v>81</v>
      </c>
      <c r="M1143" s="0" t="n">
        <v>445.7</v>
      </c>
      <c r="N1143" s="0" t="n">
        <v>60.56</v>
      </c>
      <c r="O1143" s="0" t="n">
        <v>32.22</v>
      </c>
      <c r="P1143" s="0" t="n">
        <v>5.05</v>
      </c>
      <c r="Q1143" s="0" t="n">
        <v>3.9</v>
      </c>
      <c r="R1143" s="0" t="n">
        <v>4430</v>
      </c>
      <c r="S1143" s="0" t="n">
        <v>9004</v>
      </c>
      <c r="T1143" s="0" t="n">
        <v>46.85</v>
      </c>
      <c r="U1143" s="0" t="n">
        <v>1033</v>
      </c>
      <c r="V1143" s="0" t="n">
        <v>9</v>
      </c>
      <c r="W1143" s="39" t="n">
        <f aca="false">IF(I1143="Male",0,1)</f>
        <v>1</v>
      </c>
      <c r="X1143" s="39" t="n">
        <f aca="false">IF(OR(I1143="DNB",I1143="Dry DNB"),1,0)</f>
        <v>0</v>
      </c>
      <c r="Y1143" s="39" t="n">
        <f aca="false">MATCH(A1143,DATAS,0)</f>
        <v>1</v>
      </c>
      <c r="Z1143" s="39" t="n">
        <f aca="false">IF(AND(E1143&gt;0,OR(AND(B1143&gt;=1,B1143&lt;=6),B1143=10)),1,0)</f>
        <v>1</v>
      </c>
      <c r="AA1143" s="39" t="n">
        <f aca="false">IF(AND(E1143&gt;0,B1143=10),1,0)</f>
        <v>0</v>
      </c>
      <c r="AB1143" s="0" t="str">
        <f aca="false">IF(AND(C1142=C1143,Y1142=Y1143-1),Z1142,"")</f>
        <v/>
      </c>
      <c r="AC1143" s="0" t="str">
        <f aca="false">IF(AND(C1142=C1143,Y1142=Y1143-1),AA1142,"")</f>
        <v/>
      </c>
      <c r="AD1143" s="0" t="str">
        <f aca="false">IF(Y1143=1,"",IF(AND(Z1143=1,AB1143&lt;&gt;1),1,0))</f>
        <v/>
      </c>
      <c r="AE1143" s="0" t="str">
        <f aca="false">IF(Y1143=1,"",IF(AND(AA1143=1,AC1143&lt;&gt;1),1,0))</f>
        <v/>
      </c>
      <c r="AF1143" s="45" t="str">
        <f aca="false">IF(AND(E1143&gt;0,Y1143&lt;1,NOT(AND(C1144=C1143,Y1144=Y1143+1))),INDEX(DATAS,Y1143+1),"")</f>
        <v/>
      </c>
      <c r="AG1143" s="45" t="str">
        <f aca="false">IF(AND(AA1143=1,Y1143&lt;1),IF(AND(C1144=C1143,Y1144=Y1143+1),IF(AA1144=1,"",INDEX(DATAS,Y1143+1)),INDEX(DATAS,Y1143+1)),"")</f>
        <v/>
      </c>
    </row>
    <row r="1144" customFormat="false" ht="15" hidden="false" customHeight="false" outlineLevel="0" collapsed="false">
      <c r="A1144" s="45" t="n">
        <v>46309</v>
      </c>
      <c r="B1144" s="0" t="n">
        <v>5</v>
      </c>
      <c r="C1144" s="0" t="n">
        <v>5189</v>
      </c>
      <c r="D1144" s="0" t="n">
        <v>412</v>
      </c>
      <c r="E1144" s="0" t="n">
        <v>1</v>
      </c>
      <c r="F1144" s="39" t="s">
        <v>779</v>
      </c>
      <c r="G1144" s="0" t="n">
        <v>35.5</v>
      </c>
      <c r="H1144" s="0" t="n">
        <v>26</v>
      </c>
      <c r="I1144" s="39" t="s">
        <v>109</v>
      </c>
      <c r="J1144" s="0" t="n">
        <v>328</v>
      </c>
      <c r="K1144" s="0" t="n">
        <v>69</v>
      </c>
      <c r="L1144" s="0" t="n">
        <v>84</v>
      </c>
      <c r="M1144" s="0" t="n">
        <v>631.37</v>
      </c>
      <c r="N1144" s="0" t="n">
        <v>29.77</v>
      </c>
      <c r="O1144" s="0" t="n">
        <v>21.08</v>
      </c>
      <c r="P1144" s="0" t="n">
        <v>5.59</v>
      </c>
      <c r="Q1144" s="0" t="n">
        <v>4.15</v>
      </c>
      <c r="R1144" s="0" t="n">
        <v>4986</v>
      </c>
      <c r="S1144" s="0" t="n">
        <v>10505</v>
      </c>
      <c r="T1144" s="0" t="n">
        <v>56.4</v>
      </c>
      <c r="U1144" s="0" t="n">
        <v>1033</v>
      </c>
      <c r="V1144" s="0" t="n">
        <v>5</v>
      </c>
      <c r="W1144" s="39" t="n">
        <f aca="false">IF(I1144="Male",0,1)</f>
        <v>1</v>
      </c>
      <c r="X1144" s="39" t="n">
        <f aca="false">IF(OR(I1144="DNB",I1144="Dry DNB"),1,0)</f>
        <v>0</v>
      </c>
      <c r="Y1144" s="39" t="n">
        <f aca="false">MATCH(A1144,DATAS,0)</f>
        <v>1</v>
      </c>
      <c r="Z1144" s="39" t="n">
        <f aca="false">IF(AND(E1144&gt;0,OR(AND(B1144&gt;=1,B1144&lt;=6),B1144=10)),1,0)</f>
        <v>1</v>
      </c>
      <c r="AA1144" s="39" t="n">
        <f aca="false">IF(AND(E1144&gt;0,B1144=10),1,0)</f>
        <v>0</v>
      </c>
      <c r="AB1144" s="0" t="str">
        <f aca="false">IF(AND(C1143=C1144,Y1143=Y1144-1),Z1143,"")</f>
        <v/>
      </c>
      <c r="AC1144" s="0" t="str">
        <f aca="false">IF(AND(C1143=C1144,Y1143=Y1144-1),AA1143,"")</f>
        <v/>
      </c>
      <c r="AD1144" s="0" t="str">
        <f aca="false">IF(Y1144=1,"",IF(AND(Z1144=1,AB1144&lt;&gt;1),1,0))</f>
        <v/>
      </c>
      <c r="AE1144" s="0" t="str">
        <f aca="false">IF(Y1144=1,"",IF(AND(AA1144=1,AC1144&lt;&gt;1),1,0))</f>
        <v/>
      </c>
      <c r="AF1144" s="45" t="str">
        <f aca="false">IF(AND(E1144&gt;0,Y1144&lt;1,NOT(AND(C1145=C1144,Y1145=Y1144+1))),INDEX(DATAS,Y1144+1),"")</f>
        <v/>
      </c>
      <c r="AG1144" s="45" t="str">
        <f aca="false">IF(AND(AA1144=1,Y1144&lt;1),IF(AND(C1145=C1144,Y1145=Y1144+1),IF(AA1145=1,"",INDEX(DATAS,Y1144+1)),INDEX(DATAS,Y1144+1)),"")</f>
        <v/>
      </c>
    </row>
    <row r="1145" customFormat="false" ht="15" hidden="false" customHeight="false" outlineLevel="0" collapsed="false">
      <c r="A1145" s="45" t="n">
        <v>46309</v>
      </c>
      <c r="B1145" s="0" t="n">
        <v>4</v>
      </c>
      <c r="C1145" s="0" t="n">
        <v>5191</v>
      </c>
      <c r="D1145" s="0" t="n">
        <v>322</v>
      </c>
      <c r="E1145" s="0" t="n">
        <v>1</v>
      </c>
      <c r="F1145" s="39" t="s">
        <v>780</v>
      </c>
      <c r="G1145" s="0" t="n">
        <v>44.6</v>
      </c>
      <c r="H1145" s="0" t="n">
        <v>43</v>
      </c>
      <c r="I1145" s="39" t="s">
        <v>109</v>
      </c>
      <c r="J1145" s="0" t="n">
        <v>119</v>
      </c>
      <c r="K1145" s="0" t="n">
        <v>63</v>
      </c>
      <c r="L1145" s="0" t="n">
        <v>203</v>
      </c>
      <c r="M1145" s="0" t="n">
        <v>16.07</v>
      </c>
      <c r="N1145" s="0" t="n">
        <v>71.75</v>
      </c>
      <c r="O1145" s="0" t="n">
        <v>34.8</v>
      </c>
      <c r="P1145" s="0" t="n">
        <v>4.77</v>
      </c>
      <c r="Q1145" s="0" t="n">
        <v>3.8</v>
      </c>
      <c r="R1145" s="0" t="n">
        <v>3295</v>
      </c>
      <c r="S1145" s="0" t="n">
        <v>7659</v>
      </c>
      <c r="T1145" s="0" t="n">
        <v>32.55</v>
      </c>
      <c r="U1145" s="0" t="n">
        <v>1032</v>
      </c>
      <c r="V1145" s="0" t="n">
        <v>3</v>
      </c>
      <c r="W1145" s="39" t="n">
        <f aca="false">IF(I1145="Male",0,1)</f>
        <v>1</v>
      </c>
      <c r="X1145" s="39" t="n">
        <f aca="false">IF(OR(I1145="DNB",I1145="Dry DNB"),1,0)</f>
        <v>0</v>
      </c>
      <c r="Y1145" s="39" t="n">
        <f aca="false">MATCH(A1145,DATAS,0)</f>
        <v>1</v>
      </c>
      <c r="Z1145" s="39" t="n">
        <f aca="false">IF(AND(E1145&gt;0,OR(AND(B1145&gt;=1,B1145&lt;=6),B1145=10)),1,0)</f>
        <v>1</v>
      </c>
      <c r="AA1145" s="39" t="n">
        <f aca="false">IF(AND(E1145&gt;0,B1145=10),1,0)</f>
        <v>0</v>
      </c>
      <c r="AB1145" s="0" t="str">
        <f aca="false">IF(AND(C1144=C1145,Y1144=Y1145-1),Z1144,"")</f>
        <v/>
      </c>
      <c r="AC1145" s="0" t="str">
        <f aca="false">IF(AND(C1144=C1145,Y1144=Y1145-1),AA1144,"")</f>
        <v/>
      </c>
      <c r="AD1145" s="0" t="str">
        <f aca="false">IF(Y1145=1,"",IF(AND(Z1145=1,AB1145&lt;&gt;1),1,0))</f>
        <v/>
      </c>
      <c r="AE1145" s="0" t="str">
        <f aca="false">IF(Y1145=1,"",IF(AND(AA1145=1,AC1145&lt;&gt;1),1,0))</f>
        <v/>
      </c>
      <c r="AF1145" s="45" t="str">
        <f aca="false">IF(AND(E1145&gt;0,Y1145&lt;1,NOT(AND(C1146=C1145,Y1146=Y1145+1))),INDEX(DATAS,Y1145+1),"")</f>
        <v/>
      </c>
      <c r="AG1145" s="45" t="str">
        <f aca="false">IF(AND(AA1145=1,Y1145&lt;1),IF(AND(C1146=C1145,Y1146=Y1145+1),IF(AA1146=1,"",INDEX(DATAS,Y1145+1)),INDEX(DATAS,Y1145+1)),"")</f>
        <v/>
      </c>
    </row>
    <row r="1146" customFormat="false" ht="15" hidden="false" customHeight="false" outlineLevel="0" collapsed="false">
      <c r="A1146" s="45" t="n">
        <v>46309</v>
      </c>
      <c r="B1146" s="0" t="n">
        <v>5</v>
      </c>
      <c r="C1146" s="0" t="n">
        <v>5192</v>
      </c>
      <c r="D1146" s="0" t="n">
        <v>92</v>
      </c>
      <c r="E1146" s="0" t="n">
        <v>2</v>
      </c>
      <c r="F1146" s="39" t="s">
        <v>781</v>
      </c>
      <c r="G1146" s="0" t="n">
        <v>33.7</v>
      </c>
      <c r="H1146" s="0" t="n">
        <v>29</v>
      </c>
      <c r="I1146" s="39" t="s">
        <v>138</v>
      </c>
      <c r="J1146" s="0" t="n">
        <v>92</v>
      </c>
      <c r="K1146" s="0" t="n">
        <v>64</v>
      </c>
      <c r="M1146" s="0" t="n">
        <v>1481.05</v>
      </c>
      <c r="N1146" s="0" t="n">
        <v>57.99</v>
      </c>
      <c r="O1146" s="0" t="n">
        <v>39.38</v>
      </c>
      <c r="P1146" s="0" t="n">
        <v>4.26</v>
      </c>
      <c r="Q1146" s="0" t="n">
        <v>3.56</v>
      </c>
      <c r="R1146" s="0" t="n">
        <v>3731</v>
      </c>
      <c r="S1146" s="0" t="n">
        <v>7501</v>
      </c>
      <c r="T1146" s="0" t="n">
        <v>47</v>
      </c>
      <c r="U1146" s="0" t="n">
        <v>1030</v>
      </c>
      <c r="V1146" s="0" t="n">
        <v>1</v>
      </c>
      <c r="W1146" s="39" t="n">
        <f aca="false">IF(I1146="Male",0,1)</f>
        <v>1</v>
      </c>
      <c r="X1146" s="39" t="n">
        <f aca="false">IF(OR(I1146="DNB",I1146="Dry DNB"),1,0)</f>
        <v>0</v>
      </c>
      <c r="Y1146" s="39" t="n">
        <f aca="false">MATCH(A1146,DATAS,0)</f>
        <v>1</v>
      </c>
      <c r="Z1146" s="39" t="n">
        <f aca="false">IF(AND(E1146&gt;0,OR(AND(B1146&gt;=1,B1146&lt;=6),B1146=10)),1,0)</f>
        <v>1</v>
      </c>
      <c r="AA1146" s="39" t="n">
        <f aca="false">IF(AND(E1146&gt;0,B1146=10),1,0)</f>
        <v>0</v>
      </c>
      <c r="AB1146" s="0" t="str">
        <f aca="false">IF(AND(C1145=C1146,Y1145=Y1146-1),Z1145,"")</f>
        <v/>
      </c>
      <c r="AC1146" s="0" t="str">
        <f aca="false">IF(AND(C1145=C1146,Y1145=Y1146-1),AA1145,"")</f>
        <v/>
      </c>
      <c r="AD1146" s="0" t="str">
        <f aca="false">IF(Y1146=1,"",IF(AND(Z1146=1,AB1146&lt;&gt;1),1,0))</f>
        <v/>
      </c>
      <c r="AE1146" s="0" t="str">
        <f aca="false">IF(Y1146=1,"",IF(AND(AA1146=1,AC1146&lt;&gt;1),1,0))</f>
        <v/>
      </c>
      <c r="AF1146" s="45" t="str">
        <f aca="false">IF(AND(E1146&gt;0,Y1146&lt;1,NOT(AND(C1147=C1146,Y1147=Y1146+1))),INDEX(DATAS,Y1146+1),"")</f>
        <v/>
      </c>
      <c r="AG1146" s="45" t="str">
        <f aca="false">IF(AND(AA1146=1,Y1146&lt;1),IF(AND(C1147=C1146,Y1147=Y1146+1),IF(AA1147=1,"",INDEX(DATAS,Y1146+1)),INDEX(DATAS,Y1146+1)),"")</f>
        <v/>
      </c>
    </row>
    <row r="1147" customFormat="false" ht="15" hidden="false" customHeight="false" outlineLevel="0" collapsed="false">
      <c r="A1147" s="45" t="n">
        <v>46309</v>
      </c>
      <c r="B1147" s="0" t="n">
        <v>7</v>
      </c>
      <c r="C1147" s="0" t="n">
        <v>5194</v>
      </c>
      <c r="D1147" s="0" t="n">
        <v>335</v>
      </c>
      <c r="E1147" s="0" t="n">
        <v>1</v>
      </c>
      <c r="F1147" s="39" t="s">
        <v>782</v>
      </c>
      <c r="I1147" s="39" t="s">
        <v>114</v>
      </c>
      <c r="J1147" s="0" t="n">
        <v>113</v>
      </c>
      <c r="K1147" s="0" t="n">
        <v>64</v>
      </c>
      <c r="L1147" s="0" t="n">
        <v>251</v>
      </c>
      <c r="M1147" s="0" t="n">
        <v>15.03</v>
      </c>
      <c r="N1147" s="0" t="n">
        <v>72.86</v>
      </c>
      <c r="O1147" s="0" t="n">
        <v>31.54</v>
      </c>
      <c r="P1147" s="0" t="n">
        <v>7.55</v>
      </c>
      <c r="Q1147" s="0" t="n">
        <v>4.31</v>
      </c>
      <c r="R1147" s="0" t="n">
        <v>3528</v>
      </c>
      <c r="S1147" s="0" t="n">
        <v>6554</v>
      </c>
      <c r="T1147" s="0" t="n">
        <v>35.7</v>
      </c>
      <c r="U1147" s="0" t="n">
        <v>1028</v>
      </c>
      <c r="V1147" s="0" t="n">
        <v>3</v>
      </c>
      <c r="W1147" s="39" t="n">
        <f aca="false">IF(I1147="Male",0,1)</f>
        <v>1</v>
      </c>
      <c r="X1147" s="39" t="n">
        <f aca="false">IF(OR(I1147="DNB",I1147="Dry DNB"),1,0)</f>
        <v>0</v>
      </c>
      <c r="Y1147" s="39" t="n">
        <f aca="false">MATCH(A1147,DATAS,0)</f>
        <v>1</v>
      </c>
      <c r="Z1147" s="39" t="n">
        <f aca="false">IF(AND(E1147&gt;0,OR(AND(B1147&gt;=1,B1147&lt;=6),B1147=10)),1,0)</f>
        <v>0</v>
      </c>
      <c r="AA1147" s="39" t="n">
        <f aca="false">IF(AND(E1147&gt;0,B1147=10),1,0)</f>
        <v>0</v>
      </c>
      <c r="AB1147" s="0" t="str">
        <f aca="false">IF(AND(C1146=C1147,Y1146=Y1147-1),Z1146,"")</f>
        <v/>
      </c>
      <c r="AC1147" s="0" t="str">
        <f aca="false">IF(AND(C1146=C1147,Y1146=Y1147-1),AA1146,"")</f>
        <v/>
      </c>
      <c r="AD1147" s="0" t="str">
        <f aca="false">IF(Y1147=1,"",IF(AND(Z1147=1,AB1147&lt;&gt;1),1,0))</f>
        <v/>
      </c>
      <c r="AE1147" s="0" t="str">
        <f aca="false">IF(Y1147=1,"",IF(AND(AA1147=1,AC1147&lt;&gt;1),1,0))</f>
        <v/>
      </c>
      <c r="AF1147" s="45" t="str">
        <f aca="false">IF(AND(E1147&gt;0,Y1147&lt;1,NOT(AND(C1148=C1147,Y1148=Y1147+1))),INDEX(DATAS,Y1147+1),"")</f>
        <v/>
      </c>
      <c r="AG1147" s="45" t="str">
        <f aca="false">IF(AND(AA1147=1,Y1147&lt;1),IF(AND(C1148=C1147,Y1148=Y1147+1),IF(AA1148=1,"",INDEX(DATAS,Y1147+1)),INDEX(DATAS,Y1147+1)),"")</f>
        <v/>
      </c>
    </row>
    <row r="1148" customFormat="false" ht="15" hidden="false" customHeight="false" outlineLevel="0" collapsed="false">
      <c r="A1148" s="45" t="n">
        <v>46309</v>
      </c>
      <c r="B1148" s="0" t="n">
        <v>14</v>
      </c>
      <c r="C1148" s="0" t="n">
        <v>5195</v>
      </c>
      <c r="D1148" s="0" t="n">
        <v>288</v>
      </c>
      <c r="E1148" s="0" t="n">
        <v>1</v>
      </c>
      <c r="F1148" s="39" t="s">
        <v>782</v>
      </c>
      <c r="I1148" s="39" t="s">
        <v>114</v>
      </c>
      <c r="J1148" s="0" t="n">
        <v>65</v>
      </c>
      <c r="K1148" s="0" t="n">
        <v>72</v>
      </c>
      <c r="L1148" s="0" t="n">
        <v>266</v>
      </c>
      <c r="M1148" s="0" t="n">
        <v>-33.96</v>
      </c>
      <c r="N1148" s="0" t="n">
        <v>73.58</v>
      </c>
      <c r="O1148" s="0" t="n">
        <v>24.46</v>
      </c>
      <c r="P1148" s="0" t="n">
        <v>5.37</v>
      </c>
      <c r="Q1148" s="0" t="n">
        <v>3.78</v>
      </c>
      <c r="R1148" s="0" t="n">
        <v>4054</v>
      </c>
      <c r="S1148" s="0" t="n">
        <v>8840</v>
      </c>
      <c r="T1148" s="0" t="n">
        <v>44.65</v>
      </c>
      <c r="U1148" s="0" t="n">
        <v>1028</v>
      </c>
      <c r="V1148" s="0" t="n">
        <v>1</v>
      </c>
      <c r="W1148" s="39" t="n">
        <f aca="false">IF(I1148="Male",0,1)</f>
        <v>1</v>
      </c>
      <c r="X1148" s="39" t="n">
        <f aca="false">IF(OR(I1148="DNB",I1148="Dry DNB"),1,0)</f>
        <v>0</v>
      </c>
      <c r="Y1148" s="39" t="n">
        <f aca="false">MATCH(A1148,DATAS,0)</f>
        <v>1</v>
      </c>
      <c r="Z1148" s="39" t="n">
        <f aca="false">IF(AND(E1148&gt;0,OR(AND(B1148&gt;=1,B1148&lt;=6),B1148=10)),1,0)</f>
        <v>0</v>
      </c>
      <c r="AA1148" s="39" t="n">
        <f aca="false">IF(AND(E1148&gt;0,B1148=10),1,0)</f>
        <v>0</v>
      </c>
      <c r="AB1148" s="0" t="str">
        <f aca="false">IF(AND(C1147=C1148,Y1147=Y1148-1),Z1147,"")</f>
        <v/>
      </c>
      <c r="AC1148" s="0" t="str">
        <f aca="false">IF(AND(C1147=C1148,Y1147=Y1148-1),AA1147,"")</f>
        <v/>
      </c>
      <c r="AD1148" s="0" t="str">
        <f aca="false">IF(Y1148=1,"",IF(AND(Z1148=1,AB1148&lt;&gt;1),1,0))</f>
        <v/>
      </c>
      <c r="AE1148" s="0" t="str">
        <f aca="false">IF(Y1148=1,"",IF(AND(AA1148=1,AC1148&lt;&gt;1),1,0))</f>
        <v/>
      </c>
      <c r="AF1148" s="45" t="str">
        <f aca="false">IF(AND(E1148&gt;0,Y1148&lt;1,NOT(AND(C1149=C1148,Y1149=Y1148+1))),INDEX(DATAS,Y1148+1),"")</f>
        <v/>
      </c>
      <c r="AG1148" s="45" t="str">
        <f aca="false">IF(AND(AA1148=1,Y1148&lt;1),IF(AND(C1149=C1148,Y1149=Y1148+1),IF(AA1149=1,"",INDEX(DATAS,Y1148+1)),INDEX(DATAS,Y1148+1)),"")</f>
        <v/>
      </c>
    </row>
    <row r="1149" customFormat="false" ht="15" hidden="false" customHeight="false" outlineLevel="0" collapsed="false">
      <c r="A1149" s="45" t="n">
        <v>46309</v>
      </c>
      <c r="B1149" s="0" t="n">
        <v>4</v>
      </c>
      <c r="C1149" s="0" t="n">
        <v>5196</v>
      </c>
      <c r="D1149" s="0" t="n">
        <v>174</v>
      </c>
      <c r="E1149" s="0" t="n">
        <v>1</v>
      </c>
      <c r="F1149" s="39" t="s">
        <v>782</v>
      </c>
      <c r="G1149" s="0" t="n">
        <v>39.5</v>
      </c>
      <c r="H1149" s="0" t="n">
        <v>41</v>
      </c>
      <c r="I1149" s="39" t="s">
        <v>109</v>
      </c>
      <c r="J1149" s="0" t="n">
        <v>97</v>
      </c>
      <c r="K1149" s="0" t="n">
        <v>62</v>
      </c>
      <c r="L1149" s="0" t="n">
        <v>77</v>
      </c>
      <c r="M1149" s="0" t="n">
        <v>-123.78</v>
      </c>
      <c r="N1149" s="0" t="n">
        <v>46.87</v>
      </c>
      <c r="O1149" s="0" t="n">
        <v>22.79</v>
      </c>
      <c r="P1149" s="0" t="n">
        <v>3.73</v>
      </c>
      <c r="Q1149" s="0" t="n">
        <v>3.52</v>
      </c>
      <c r="R1149" s="0" t="n">
        <v>3562</v>
      </c>
      <c r="S1149" s="0" t="n">
        <v>7962</v>
      </c>
      <c r="T1149" s="0" t="n">
        <v>42.6</v>
      </c>
      <c r="U1149" s="0" t="n">
        <v>1028</v>
      </c>
      <c r="V1149" s="0" t="n">
        <v>2</v>
      </c>
      <c r="W1149" s="39" t="n">
        <f aca="false">IF(I1149="Male",0,1)</f>
        <v>1</v>
      </c>
      <c r="X1149" s="39" t="n">
        <f aca="false">IF(OR(I1149="DNB",I1149="Dry DNB"),1,0)</f>
        <v>0</v>
      </c>
      <c r="Y1149" s="39" t="n">
        <f aca="false">MATCH(A1149,DATAS,0)</f>
        <v>1</v>
      </c>
      <c r="Z1149" s="39" t="n">
        <f aca="false">IF(AND(E1149&gt;0,OR(AND(B1149&gt;=1,B1149&lt;=6),B1149=10)),1,0)</f>
        <v>1</v>
      </c>
      <c r="AA1149" s="39" t="n">
        <f aca="false">IF(AND(E1149&gt;0,B1149=10),1,0)</f>
        <v>0</v>
      </c>
      <c r="AB1149" s="0" t="str">
        <f aca="false">IF(AND(C1148=C1149,Y1148=Y1149-1),Z1148,"")</f>
        <v/>
      </c>
      <c r="AC1149" s="0" t="str">
        <f aca="false">IF(AND(C1148=C1149,Y1148=Y1149-1),AA1148,"")</f>
        <v/>
      </c>
      <c r="AD1149" s="0" t="str">
        <f aca="false">IF(Y1149=1,"",IF(AND(Z1149=1,AB1149&lt;&gt;1),1,0))</f>
        <v/>
      </c>
      <c r="AE1149" s="0" t="str">
        <f aca="false">IF(Y1149=1,"",IF(AND(AA1149=1,AC1149&lt;&gt;1),1,0))</f>
        <v/>
      </c>
      <c r="AF1149" s="45" t="str">
        <f aca="false">IF(AND(E1149&gt;0,Y1149&lt;1,NOT(AND(C1150=C1149,Y1150=Y1149+1))),INDEX(DATAS,Y1149+1),"")</f>
        <v/>
      </c>
      <c r="AG1149" s="45" t="str">
        <f aca="false">IF(AND(AA1149=1,Y1149&lt;1),IF(AND(C1150=C1149,Y1150=Y1149+1),IF(AA1150=1,"",INDEX(DATAS,Y1149+1)),INDEX(DATAS,Y1149+1)),"")</f>
        <v/>
      </c>
    </row>
    <row r="1150" customFormat="false" ht="15" hidden="false" customHeight="false" outlineLevel="0" collapsed="false">
      <c r="A1150" s="45" t="n">
        <v>46309</v>
      </c>
      <c r="B1150" s="0" t="n">
        <v>4</v>
      </c>
      <c r="C1150" s="0" t="n">
        <v>5197</v>
      </c>
      <c r="D1150" s="0" t="n">
        <v>338</v>
      </c>
      <c r="E1150" s="0" t="n">
        <v>1</v>
      </c>
      <c r="F1150" s="39" t="s">
        <v>782</v>
      </c>
      <c r="G1150" s="0" t="n">
        <v>41.3</v>
      </c>
      <c r="H1150" s="0" t="n">
        <v>44</v>
      </c>
      <c r="I1150" s="39" t="s">
        <v>109</v>
      </c>
      <c r="J1150" s="0" t="n">
        <v>160</v>
      </c>
      <c r="K1150" s="0" t="n">
        <v>65</v>
      </c>
      <c r="L1150" s="0" t="n">
        <v>178</v>
      </c>
      <c r="M1150" s="0" t="n">
        <v>1523.13</v>
      </c>
      <c r="N1150" s="0" t="n">
        <v>29.58</v>
      </c>
      <c r="O1150" s="0" t="n">
        <v>44.97</v>
      </c>
      <c r="P1150" s="0" t="n">
        <v>3.6</v>
      </c>
      <c r="Q1150" s="0" t="n">
        <v>3.64</v>
      </c>
      <c r="R1150" s="0" t="n">
        <v>4518</v>
      </c>
      <c r="S1150" s="0" t="n">
        <v>9281</v>
      </c>
      <c r="T1150" s="0" t="n">
        <v>49.35</v>
      </c>
      <c r="U1150" s="0" t="n">
        <v>1028</v>
      </c>
      <c r="V1150" s="0" t="n">
        <v>4</v>
      </c>
      <c r="W1150" s="39" t="n">
        <f aca="false">IF(I1150="Male",0,1)</f>
        <v>1</v>
      </c>
      <c r="X1150" s="39" t="n">
        <f aca="false">IF(OR(I1150="DNB",I1150="Dry DNB"),1,0)</f>
        <v>0</v>
      </c>
      <c r="Y1150" s="39" t="n">
        <f aca="false">MATCH(A1150,DATAS,0)</f>
        <v>1</v>
      </c>
      <c r="Z1150" s="39" t="n">
        <f aca="false">IF(AND(E1150&gt;0,OR(AND(B1150&gt;=1,B1150&lt;=6),B1150=10)),1,0)</f>
        <v>1</v>
      </c>
      <c r="AA1150" s="39" t="n">
        <f aca="false">IF(AND(E1150&gt;0,B1150=10),1,0)</f>
        <v>0</v>
      </c>
      <c r="AB1150" s="0" t="str">
        <f aca="false">IF(AND(C1149=C1150,Y1149=Y1150-1),Z1149,"")</f>
        <v/>
      </c>
      <c r="AC1150" s="0" t="str">
        <f aca="false">IF(AND(C1149=C1150,Y1149=Y1150-1),AA1149,"")</f>
        <v/>
      </c>
      <c r="AD1150" s="0" t="str">
        <f aca="false">IF(Y1150=1,"",IF(AND(Z1150=1,AB1150&lt;&gt;1),1,0))</f>
        <v/>
      </c>
      <c r="AE1150" s="0" t="str">
        <f aca="false">IF(Y1150=1,"",IF(AND(AA1150=1,AC1150&lt;&gt;1),1,0))</f>
        <v/>
      </c>
      <c r="AF1150" s="45" t="str">
        <f aca="false">IF(AND(E1150&gt;0,Y1150&lt;1,NOT(AND(C1151=C1150,Y1151=Y1150+1))),INDEX(DATAS,Y1150+1),"")</f>
        <v/>
      </c>
      <c r="AG1150" s="45" t="str">
        <f aca="false">IF(AND(AA1150=1,Y1150&lt;1),IF(AND(C1151=C1150,Y1151=Y1150+1),IF(AA1151=1,"",INDEX(DATAS,Y1150+1)),INDEX(DATAS,Y1150+1)),"")</f>
        <v/>
      </c>
    </row>
    <row r="1151" customFormat="false" ht="15" hidden="false" customHeight="false" outlineLevel="0" collapsed="false">
      <c r="A1151" s="45" t="n">
        <v>46309</v>
      </c>
      <c r="B1151" s="0" t="n">
        <v>5</v>
      </c>
      <c r="C1151" s="0" t="n">
        <v>5199</v>
      </c>
      <c r="D1151" s="0" t="n">
        <v>74</v>
      </c>
      <c r="E1151" s="0" t="n">
        <v>2</v>
      </c>
      <c r="F1151" s="39" t="s">
        <v>783</v>
      </c>
      <c r="G1151" s="0" t="n">
        <v>42.8</v>
      </c>
      <c r="H1151" s="0" t="n">
        <v>38</v>
      </c>
      <c r="I1151" s="39" t="s">
        <v>138</v>
      </c>
      <c r="J1151" s="0" t="n">
        <v>74</v>
      </c>
      <c r="K1151" s="0" t="n">
        <v>67</v>
      </c>
      <c r="M1151" s="0" t="n">
        <v>643.33</v>
      </c>
      <c r="N1151" s="0" t="n">
        <v>37.07</v>
      </c>
      <c r="O1151" s="0" t="n">
        <v>29.54</v>
      </c>
      <c r="P1151" s="0" t="n">
        <v>3.68</v>
      </c>
      <c r="Q1151" s="0" t="n">
        <v>3.75</v>
      </c>
      <c r="R1151" s="0" t="n">
        <v>3163</v>
      </c>
      <c r="S1151" s="0" t="n">
        <v>6359</v>
      </c>
      <c r="U1151" s="0" t="n">
        <v>1027</v>
      </c>
      <c r="V1151" s="0" t="n">
        <v>1</v>
      </c>
      <c r="W1151" s="39" t="n">
        <f aca="false">IF(I1151="Male",0,1)</f>
        <v>1</v>
      </c>
      <c r="X1151" s="39" t="n">
        <f aca="false">IF(OR(I1151="DNB",I1151="Dry DNB"),1,0)</f>
        <v>0</v>
      </c>
      <c r="Y1151" s="39" t="n">
        <f aca="false">MATCH(A1151,DATAS,0)</f>
        <v>1</v>
      </c>
      <c r="Z1151" s="39" t="n">
        <f aca="false">IF(AND(E1151&gt;0,OR(AND(B1151&gt;=1,B1151&lt;=6),B1151=10)),1,0)</f>
        <v>1</v>
      </c>
      <c r="AA1151" s="39" t="n">
        <f aca="false">IF(AND(E1151&gt;0,B1151=10),1,0)</f>
        <v>0</v>
      </c>
      <c r="AB1151" s="0" t="str">
        <f aca="false">IF(AND(C1150=C1151,Y1150=Y1151-1),Z1150,"")</f>
        <v/>
      </c>
      <c r="AC1151" s="0" t="str">
        <f aca="false">IF(AND(C1150=C1151,Y1150=Y1151-1),AA1150,"")</f>
        <v/>
      </c>
      <c r="AD1151" s="0" t="str">
        <f aca="false">IF(Y1151=1,"",IF(AND(Z1151=1,AB1151&lt;&gt;1),1,0))</f>
        <v/>
      </c>
      <c r="AE1151" s="0" t="str">
        <f aca="false">IF(Y1151=1,"",IF(AND(AA1151=1,AC1151&lt;&gt;1),1,0))</f>
        <v/>
      </c>
      <c r="AF1151" s="45" t="str">
        <f aca="false">IF(AND(E1151&gt;0,Y1151&lt;1,NOT(AND(C1152=C1151,Y1152=Y1151+1))),INDEX(DATAS,Y1151+1),"")</f>
        <v/>
      </c>
      <c r="AG1151" s="45" t="str">
        <f aca="false">IF(AND(AA1151=1,Y1151&lt;1),IF(AND(C1152=C1151,Y1152=Y1151+1),IF(AA1152=1,"",INDEX(DATAS,Y1151+1)),INDEX(DATAS,Y1151+1)),"")</f>
        <v/>
      </c>
    </row>
    <row r="1152" customFormat="false" ht="15" hidden="false" customHeight="false" outlineLevel="0" collapsed="false">
      <c r="A1152" s="45" t="n">
        <v>46309</v>
      </c>
      <c r="B1152" s="0" t="n">
        <v>7</v>
      </c>
      <c r="C1152" s="0" t="n">
        <v>5200</v>
      </c>
      <c r="D1152" s="0" t="n">
        <v>296</v>
      </c>
      <c r="E1152" s="0" t="n">
        <v>1</v>
      </c>
      <c r="F1152" s="39" t="s">
        <v>784</v>
      </c>
      <c r="G1152" s="0" t="n">
        <v>0.6</v>
      </c>
      <c r="H1152" s="0" t="n">
        <v>0</v>
      </c>
      <c r="I1152" s="39" t="s">
        <v>114</v>
      </c>
      <c r="J1152" s="0" t="n">
        <v>68</v>
      </c>
      <c r="K1152" s="0" t="n">
        <v>68</v>
      </c>
      <c r="L1152" s="0" t="n">
        <v>278</v>
      </c>
      <c r="M1152" s="0" t="n">
        <v>906.46</v>
      </c>
      <c r="N1152" s="0" t="n">
        <v>-4.66</v>
      </c>
      <c r="O1152" s="0" t="n">
        <v>27.35</v>
      </c>
      <c r="P1152" s="0" t="n">
        <v>2.97</v>
      </c>
      <c r="Q1152" s="0" t="n">
        <v>3.37</v>
      </c>
      <c r="R1152" s="0" t="n">
        <v>4380</v>
      </c>
      <c r="S1152" s="0" t="n">
        <v>9828</v>
      </c>
      <c r="T1152" s="0" t="n">
        <v>47.95</v>
      </c>
      <c r="U1152" s="0" t="n">
        <v>1026</v>
      </c>
      <c r="V1152" s="0" t="n">
        <v>1</v>
      </c>
      <c r="W1152" s="39" t="n">
        <f aca="false">IF(I1152="Male",0,1)</f>
        <v>1</v>
      </c>
      <c r="X1152" s="39" t="n">
        <f aca="false">IF(OR(I1152="DNB",I1152="Dry DNB"),1,0)</f>
        <v>0</v>
      </c>
      <c r="Y1152" s="39" t="n">
        <f aca="false">MATCH(A1152,DATAS,0)</f>
        <v>1</v>
      </c>
      <c r="Z1152" s="39" t="n">
        <f aca="false">IF(AND(E1152&gt;0,OR(AND(B1152&gt;=1,B1152&lt;=6),B1152=10)),1,0)</f>
        <v>0</v>
      </c>
      <c r="AA1152" s="39" t="n">
        <f aca="false">IF(AND(E1152&gt;0,B1152=10),1,0)</f>
        <v>0</v>
      </c>
      <c r="AB1152" s="0" t="str">
        <f aca="false">IF(AND(C1151=C1152,Y1151=Y1152-1),Z1151,"")</f>
        <v/>
      </c>
      <c r="AC1152" s="0" t="str">
        <f aca="false">IF(AND(C1151=C1152,Y1151=Y1152-1),AA1151,"")</f>
        <v/>
      </c>
      <c r="AD1152" s="0" t="str">
        <f aca="false">IF(Y1152=1,"",IF(AND(Z1152=1,AB1152&lt;&gt;1),1,0))</f>
        <v/>
      </c>
      <c r="AE1152" s="0" t="str">
        <f aca="false">IF(Y1152=1,"",IF(AND(AA1152=1,AC1152&lt;&gt;1),1,0))</f>
        <v/>
      </c>
      <c r="AF1152" s="45" t="str">
        <f aca="false">IF(AND(E1152&gt;0,Y1152&lt;1,NOT(AND(C1153=C1152,Y1153=Y1152+1))),INDEX(DATAS,Y1152+1),"")</f>
        <v/>
      </c>
      <c r="AG1152" s="45" t="str">
        <f aca="false">IF(AND(AA1152=1,Y1152&lt;1),IF(AND(C1153=C1152,Y1153=Y1152+1),IF(AA1153=1,"",INDEX(DATAS,Y1152+1)),INDEX(DATAS,Y1152+1)),"")</f>
        <v/>
      </c>
    </row>
    <row r="1153" customFormat="false" ht="15" hidden="false" customHeight="false" outlineLevel="0" collapsed="false">
      <c r="A1153" s="45" t="n">
        <v>46309</v>
      </c>
      <c r="B1153" s="0" t="n">
        <v>4</v>
      </c>
      <c r="C1153" s="0" t="n">
        <v>5202</v>
      </c>
      <c r="D1153" s="0" t="n">
        <v>312</v>
      </c>
      <c r="E1153" s="0" t="n">
        <v>1</v>
      </c>
      <c r="F1153" s="39" t="s">
        <v>784</v>
      </c>
      <c r="G1153" s="0" t="n">
        <v>45.6</v>
      </c>
      <c r="H1153" s="0" t="n">
        <v>43</v>
      </c>
      <c r="I1153" s="39" t="s">
        <v>109</v>
      </c>
      <c r="J1153" s="0" t="n">
        <v>242</v>
      </c>
      <c r="K1153" s="0" t="n">
        <v>67</v>
      </c>
      <c r="L1153" s="0" t="n">
        <v>70</v>
      </c>
      <c r="M1153" s="0" t="n">
        <v>503.27</v>
      </c>
      <c r="N1153" s="0" t="n">
        <v>61.39</v>
      </c>
      <c r="O1153" s="0" t="n">
        <v>30.41</v>
      </c>
      <c r="P1153" s="0" t="n">
        <v>3.37</v>
      </c>
      <c r="Q1153" s="0" t="n">
        <v>3.48</v>
      </c>
      <c r="R1153" s="0" t="n">
        <v>4402</v>
      </c>
      <c r="S1153" s="0" t="n">
        <v>8842</v>
      </c>
      <c r="T1153" s="0" t="n">
        <v>45.2</v>
      </c>
      <c r="U1153" s="0" t="n">
        <v>1026</v>
      </c>
      <c r="V1153" s="0" t="n">
        <v>6</v>
      </c>
      <c r="W1153" s="39" t="n">
        <f aca="false">IF(I1153="Male",0,1)</f>
        <v>1</v>
      </c>
      <c r="X1153" s="39" t="n">
        <f aca="false">IF(OR(I1153="DNB",I1153="Dry DNB"),1,0)</f>
        <v>0</v>
      </c>
      <c r="Y1153" s="39" t="n">
        <f aca="false">MATCH(A1153,DATAS,0)</f>
        <v>1</v>
      </c>
      <c r="Z1153" s="39" t="n">
        <f aca="false">IF(AND(E1153&gt;0,OR(AND(B1153&gt;=1,B1153&lt;=6),B1153=10)),1,0)</f>
        <v>1</v>
      </c>
      <c r="AA1153" s="39" t="n">
        <f aca="false">IF(AND(E1153&gt;0,B1153=10),1,0)</f>
        <v>0</v>
      </c>
      <c r="AB1153" s="0" t="str">
        <f aca="false">IF(AND(C1152=C1153,Y1152=Y1153-1),Z1152,"")</f>
        <v/>
      </c>
      <c r="AC1153" s="0" t="str">
        <f aca="false">IF(AND(C1152=C1153,Y1152=Y1153-1),AA1152,"")</f>
        <v/>
      </c>
      <c r="AD1153" s="0" t="str">
        <f aca="false">IF(Y1153=1,"",IF(AND(Z1153=1,AB1153&lt;&gt;1),1,0))</f>
        <v/>
      </c>
      <c r="AE1153" s="0" t="str">
        <f aca="false">IF(Y1153=1,"",IF(AND(AA1153=1,AC1153&lt;&gt;1),1,0))</f>
        <v/>
      </c>
      <c r="AF1153" s="45" t="str">
        <f aca="false">IF(AND(E1153&gt;0,Y1153&lt;1,NOT(AND(C1154=C1153,Y1154=Y1153+1))),INDEX(DATAS,Y1153+1),"")</f>
        <v/>
      </c>
      <c r="AG1153" s="45" t="str">
        <f aca="false">IF(AND(AA1153=1,Y1153&lt;1),IF(AND(C1154=C1153,Y1154=Y1153+1),IF(AA1154=1,"",INDEX(DATAS,Y1153+1)),INDEX(DATAS,Y1153+1)),"")</f>
        <v/>
      </c>
    </row>
    <row r="1154" customFormat="false" ht="15" hidden="false" customHeight="false" outlineLevel="0" collapsed="false">
      <c r="A1154" s="45" t="n">
        <v>46309</v>
      </c>
      <c r="B1154" s="0" t="n">
        <v>4</v>
      </c>
      <c r="C1154" s="0" t="n">
        <v>5203</v>
      </c>
      <c r="D1154" s="0" t="n">
        <v>189</v>
      </c>
      <c r="E1154" s="0" t="n">
        <v>1</v>
      </c>
      <c r="F1154" s="39" t="s">
        <v>784</v>
      </c>
      <c r="G1154" s="0" t="n">
        <v>57.3</v>
      </c>
      <c r="H1154" s="0" t="n">
        <v>56</v>
      </c>
      <c r="I1154" s="39" t="s">
        <v>109</v>
      </c>
      <c r="J1154" s="0" t="n">
        <v>63</v>
      </c>
      <c r="K1154" s="0" t="n">
        <v>63</v>
      </c>
      <c r="L1154" s="0" t="n">
        <v>126</v>
      </c>
      <c r="M1154" s="0" t="n">
        <v>449.4</v>
      </c>
      <c r="N1154" s="0" t="n">
        <v>69.44</v>
      </c>
      <c r="O1154" s="0" t="n">
        <v>29.1</v>
      </c>
      <c r="P1154" s="0" t="n">
        <v>3.92</v>
      </c>
      <c r="Q1154" s="0" t="n">
        <v>3.14</v>
      </c>
      <c r="R1154" s="0" t="n">
        <v>4843</v>
      </c>
      <c r="S1154" s="0" t="n">
        <v>10628</v>
      </c>
      <c r="T1154" s="0" t="n">
        <v>52.9</v>
      </c>
      <c r="U1154" s="0" t="n">
        <v>1026</v>
      </c>
      <c r="V1154" s="0" t="n">
        <v>1</v>
      </c>
      <c r="W1154" s="39" t="n">
        <f aca="false">IF(I1154="Male",0,1)</f>
        <v>1</v>
      </c>
      <c r="X1154" s="39" t="n">
        <f aca="false">IF(OR(I1154="DNB",I1154="Dry DNB"),1,0)</f>
        <v>0</v>
      </c>
      <c r="Y1154" s="39" t="n">
        <f aca="false">MATCH(A1154,DATAS,0)</f>
        <v>1</v>
      </c>
      <c r="Z1154" s="39" t="n">
        <f aca="false">IF(AND(E1154&gt;0,OR(AND(B1154&gt;=1,B1154&lt;=6),B1154=10)),1,0)</f>
        <v>1</v>
      </c>
      <c r="AA1154" s="39" t="n">
        <f aca="false">IF(AND(E1154&gt;0,B1154=10),1,0)</f>
        <v>0</v>
      </c>
      <c r="AB1154" s="0" t="str">
        <f aca="false">IF(AND(C1153=C1154,Y1153=Y1154-1),Z1153,"")</f>
        <v/>
      </c>
      <c r="AC1154" s="0" t="str">
        <f aca="false">IF(AND(C1153=C1154,Y1153=Y1154-1),AA1153,"")</f>
        <v/>
      </c>
      <c r="AD1154" s="0" t="str">
        <f aca="false">IF(Y1154=1,"",IF(AND(Z1154=1,AB1154&lt;&gt;1),1,0))</f>
        <v/>
      </c>
      <c r="AE1154" s="0" t="str">
        <f aca="false">IF(Y1154=1,"",IF(AND(AA1154=1,AC1154&lt;&gt;1),1,0))</f>
        <v/>
      </c>
      <c r="AF1154" s="45" t="str">
        <f aca="false">IF(AND(E1154&gt;0,Y1154&lt;1,NOT(AND(C1155=C1154,Y1155=Y1154+1))),INDEX(DATAS,Y1154+1),"")</f>
        <v/>
      </c>
      <c r="AG1154" s="45" t="str">
        <f aca="false">IF(AND(AA1154=1,Y1154&lt;1),IF(AND(C1155=C1154,Y1155=Y1154+1),IF(AA1155=1,"",INDEX(DATAS,Y1154+1)),INDEX(DATAS,Y1154+1)),"")</f>
        <v/>
      </c>
    </row>
    <row r="1155" customFormat="false" ht="15" hidden="false" customHeight="false" outlineLevel="0" collapsed="false">
      <c r="A1155" s="45" t="n">
        <v>46309</v>
      </c>
      <c r="B1155" s="0" t="n">
        <v>6</v>
      </c>
      <c r="C1155" s="0" t="n">
        <v>5205</v>
      </c>
      <c r="D1155" s="0" t="n">
        <v>311</v>
      </c>
      <c r="E1155" s="0" t="n">
        <v>1</v>
      </c>
      <c r="F1155" s="39" t="s">
        <v>785</v>
      </c>
      <c r="G1155" s="0" t="n">
        <v>31.5</v>
      </c>
      <c r="H1155" s="0" t="n">
        <v>30</v>
      </c>
      <c r="I1155" s="39" t="s">
        <v>96</v>
      </c>
      <c r="J1155" s="0" t="n">
        <v>311</v>
      </c>
      <c r="K1155" s="0" t="n">
        <v>66</v>
      </c>
      <c r="M1155" s="0" t="n">
        <v>1452.69</v>
      </c>
      <c r="N1155" s="0" t="n">
        <v>48.12</v>
      </c>
      <c r="O1155" s="0" t="n">
        <v>39.89</v>
      </c>
      <c r="P1155" s="0" t="n">
        <v>2.69</v>
      </c>
      <c r="Q1155" s="0" t="n">
        <v>3.75</v>
      </c>
      <c r="R1155" s="0" t="n">
        <v>2657</v>
      </c>
      <c r="S1155" s="0" t="n">
        <v>6047</v>
      </c>
      <c r="T1155" s="0" t="n">
        <v>29.4</v>
      </c>
      <c r="U1155" s="0" t="n">
        <v>1024</v>
      </c>
      <c r="V1155" s="0" t="n">
        <v>2</v>
      </c>
      <c r="W1155" s="39" t="n">
        <f aca="false">IF(I1155="Male",0,1)</f>
        <v>1</v>
      </c>
      <c r="X1155" s="39" t="n">
        <f aca="false">IF(OR(I1155="DNB",I1155="Dry DNB"),1,0)</f>
        <v>1</v>
      </c>
      <c r="Y1155" s="39" t="n">
        <f aca="false">MATCH(A1155,DATAS,0)</f>
        <v>1</v>
      </c>
      <c r="Z1155" s="39" t="n">
        <f aca="false">IF(AND(E1155&gt;0,OR(AND(B1155&gt;=1,B1155&lt;=6),B1155=10)),1,0)</f>
        <v>1</v>
      </c>
      <c r="AA1155" s="39" t="n">
        <f aca="false">IF(AND(E1155&gt;0,B1155=10),1,0)</f>
        <v>0</v>
      </c>
      <c r="AB1155" s="0" t="str">
        <f aca="false">IF(AND(C1154=C1155,Y1154=Y1155-1),Z1154,"")</f>
        <v/>
      </c>
      <c r="AC1155" s="0" t="str">
        <f aca="false">IF(AND(C1154=C1155,Y1154=Y1155-1),AA1154,"")</f>
        <v/>
      </c>
      <c r="AD1155" s="0" t="str">
        <f aca="false">IF(Y1155=1,"",IF(AND(Z1155=1,AB1155&lt;&gt;1),1,0))</f>
        <v/>
      </c>
      <c r="AE1155" s="0" t="str">
        <f aca="false">IF(Y1155=1,"",IF(AND(AA1155=1,AC1155&lt;&gt;1),1,0))</f>
        <v/>
      </c>
      <c r="AF1155" s="45" t="str">
        <f aca="false">IF(AND(E1155&gt;0,Y1155&lt;1,NOT(AND(C1156=C1155,Y1156=Y1155+1))),INDEX(DATAS,Y1155+1),"")</f>
        <v/>
      </c>
      <c r="AG1155" s="45" t="str">
        <f aca="false">IF(AND(AA1155=1,Y1155&lt;1),IF(AND(C1156=C1155,Y1156=Y1155+1),IF(AA1156=1,"",INDEX(DATAS,Y1155+1)),INDEX(DATAS,Y1155+1)),"")</f>
        <v/>
      </c>
    </row>
    <row r="1156" customFormat="false" ht="15" hidden="false" customHeight="false" outlineLevel="0" collapsed="false">
      <c r="A1156" s="45" t="n">
        <v>46309</v>
      </c>
      <c r="B1156" s="0" t="n">
        <v>2</v>
      </c>
      <c r="C1156" s="0" t="n">
        <v>5206</v>
      </c>
      <c r="D1156" s="0" t="n">
        <v>73</v>
      </c>
      <c r="E1156" s="0" t="n">
        <v>2</v>
      </c>
      <c r="F1156" s="39" t="s">
        <v>786</v>
      </c>
      <c r="G1156" s="0" t="n">
        <v>54.2</v>
      </c>
      <c r="H1156" s="0" t="n">
        <v>49</v>
      </c>
      <c r="I1156" s="39" t="s">
        <v>138</v>
      </c>
      <c r="J1156" s="0" t="n">
        <v>73</v>
      </c>
      <c r="K1156" s="0" t="n">
        <v>66</v>
      </c>
      <c r="M1156" s="0" t="n">
        <v>1089.44</v>
      </c>
      <c r="N1156" s="0" t="n">
        <v>35.5</v>
      </c>
      <c r="O1156" s="0" t="n">
        <v>33.19</v>
      </c>
      <c r="P1156" s="0" t="n">
        <v>2.56</v>
      </c>
      <c r="Q1156" s="0" t="n">
        <v>3.22</v>
      </c>
      <c r="R1156" s="0" t="n">
        <v>4658</v>
      </c>
      <c r="S1156" s="0" t="n">
        <v>9364</v>
      </c>
      <c r="U1156" s="0" t="n">
        <v>1022</v>
      </c>
      <c r="V1156" s="0" t="n">
        <v>1</v>
      </c>
      <c r="W1156" s="39" t="n">
        <f aca="false">IF(I1156="Male",0,1)</f>
        <v>1</v>
      </c>
      <c r="X1156" s="39" t="n">
        <f aca="false">IF(OR(I1156="DNB",I1156="Dry DNB"),1,0)</f>
        <v>0</v>
      </c>
      <c r="Y1156" s="39" t="n">
        <f aca="false">MATCH(A1156,DATAS,0)</f>
        <v>1</v>
      </c>
      <c r="Z1156" s="39" t="n">
        <f aca="false">IF(AND(E1156&gt;0,OR(AND(B1156&gt;=1,B1156&lt;=6),B1156=10)),1,0)</f>
        <v>1</v>
      </c>
      <c r="AA1156" s="39" t="n">
        <f aca="false">IF(AND(E1156&gt;0,B1156=10),1,0)</f>
        <v>0</v>
      </c>
      <c r="AB1156" s="0" t="str">
        <f aca="false">IF(AND(C1155=C1156,Y1155=Y1156-1),Z1155,"")</f>
        <v/>
      </c>
      <c r="AC1156" s="0" t="str">
        <f aca="false">IF(AND(C1155=C1156,Y1155=Y1156-1),AA1155,"")</f>
        <v/>
      </c>
      <c r="AD1156" s="0" t="str">
        <f aca="false">IF(Y1156=1,"",IF(AND(Z1156=1,AB1156&lt;&gt;1),1,0))</f>
        <v/>
      </c>
      <c r="AE1156" s="0" t="str">
        <f aca="false">IF(Y1156=1,"",IF(AND(AA1156=1,AC1156&lt;&gt;1),1,0))</f>
        <v/>
      </c>
      <c r="AF1156" s="45" t="str">
        <f aca="false">IF(AND(E1156&gt;0,Y1156&lt;1,NOT(AND(C1157=C1156,Y1157=Y1156+1))),INDEX(DATAS,Y1156+1),"")</f>
        <v/>
      </c>
      <c r="AG1156" s="45" t="str">
        <f aca="false">IF(AND(AA1156=1,Y1156&lt;1),IF(AND(C1157=C1156,Y1157=Y1156+1),IF(AA1157=1,"",INDEX(DATAS,Y1156+1)),INDEX(DATAS,Y1156+1)),"")</f>
        <v/>
      </c>
    </row>
    <row r="1157" customFormat="false" ht="15" hidden="false" customHeight="false" outlineLevel="0" collapsed="false">
      <c r="A1157" s="45" t="n">
        <v>46309</v>
      </c>
      <c r="B1157" s="0" t="n">
        <v>7</v>
      </c>
      <c r="C1157" s="0" t="n">
        <v>5207</v>
      </c>
      <c r="D1157" s="0" t="n">
        <v>312</v>
      </c>
      <c r="E1157" s="0" t="n">
        <v>1</v>
      </c>
      <c r="F1157" s="39" t="s">
        <v>787</v>
      </c>
      <c r="I1157" s="39" t="s">
        <v>114</v>
      </c>
      <c r="J1157" s="0" t="n">
        <v>89</v>
      </c>
      <c r="K1157" s="0" t="n">
        <v>68</v>
      </c>
      <c r="L1157" s="0" t="n">
        <v>252</v>
      </c>
      <c r="M1157" s="0" t="n">
        <v>825.53</v>
      </c>
      <c r="N1157" s="0" t="n">
        <v>47.92</v>
      </c>
      <c r="O1157" s="0" t="n">
        <v>33.67</v>
      </c>
      <c r="P1157" s="0" t="n">
        <v>2.93</v>
      </c>
      <c r="Q1157" s="0" t="n">
        <v>3.5</v>
      </c>
      <c r="R1157" s="0" t="n">
        <v>3965</v>
      </c>
      <c r="S1157" s="0" t="n">
        <v>8659</v>
      </c>
      <c r="T1157" s="0" t="n">
        <v>42.05</v>
      </c>
      <c r="U1157" s="0" t="n">
        <v>1018</v>
      </c>
      <c r="V1157" s="0" t="n">
        <v>2</v>
      </c>
      <c r="W1157" s="39" t="n">
        <f aca="false">IF(I1157="Male",0,1)</f>
        <v>1</v>
      </c>
      <c r="X1157" s="39" t="n">
        <f aca="false">IF(OR(I1157="DNB",I1157="Dry DNB"),1,0)</f>
        <v>0</v>
      </c>
      <c r="Y1157" s="39" t="n">
        <f aca="false">MATCH(A1157,DATAS,0)</f>
        <v>1</v>
      </c>
      <c r="Z1157" s="39" t="n">
        <f aca="false">IF(AND(E1157&gt;0,OR(AND(B1157&gt;=1,B1157&lt;=6),B1157=10)),1,0)</f>
        <v>0</v>
      </c>
      <c r="AA1157" s="39" t="n">
        <f aca="false">IF(AND(E1157&gt;0,B1157=10),1,0)</f>
        <v>0</v>
      </c>
      <c r="AB1157" s="0" t="str">
        <f aca="false">IF(AND(C1156=C1157,Y1156=Y1157-1),Z1156,"")</f>
        <v/>
      </c>
      <c r="AC1157" s="0" t="str">
        <f aca="false">IF(AND(C1156=C1157,Y1156=Y1157-1),AA1156,"")</f>
        <v/>
      </c>
      <c r="AD1157" s="0" t="str">
        <f aca="false">IF(Y1157=1,"",IF(AND(Z1157=1,AB1157&lt;&gt;1),1,0))</f>
        <v/>
      </c>
      <c r="AE1157" s="0" t="str">
        <f aca="false">IF(Y1157=1,"",IF(AND(AA1157=1,AC1157&lt;&gt;1),1,0))</f>
        <v/>
      </c>
      <c r="AF1157" s="45" t="str">
        <f aca="false">IF(AND(E1157&gt;0,Y1157&lt;1,NOT(AND(C1158=C1157,Y1158=Y1157+1))),INDEX(DATAS,Y1157+1),"")</f>
        <v/>
      </c>
      <c r="AG1157" s="45" t="str">
        <f aca="false">IF(AND(AA1157=1,Y1157&lt;1),IF(AND(C1158=C1157,Y1158=Y1157+1),IF(AA1158=1,"",INDEX(DATAS,Y1157+1)),INDEX(DATAS,Y1157+1)),"")</f>
        <v/>
      </c>
    </row>
    <row r="1158" customFormat="false" ht="15" hidden="false" customHeight="false" outlineLevel="0" collapsed="false">
      <c r="A1158" s="45" t="n">
        <v>46309</v>
      </c>
      <c r="B1158" s="0" t="n">
        <v>2</v>
      </c>
      <c r="C1158" s="0" t="n">
        <v>5209</v>
      </c>
      <c r="D1158" s="0" t="n">
        <v>12</v>
      </c>
      <c r="E1158" s="0" t="n">
        <v>2</v>
      </c>
      <c r="F1158" s="39" t="s">
        <v>787</v>
      </c>
      <c r="G1158" s="0" t="n">
        <v>4.1</v>
      </c>
      <c r="H1158" s="0" t="n">
        <v>14</v>
      </c>
      <c r="I1158" s="39" t="s">
        <v>118</v>
      </c>
      <c r="J1158" s="0" t="n">
        <v>12</v>
      </c>
      <c r="M1158" s="0" t="n">
        <v>1169.21</v>
      </c>
      <c r="N1158" s="0" t="n">
        <v>5.39</v>
      </c>
      <c r="O1158" s="0" t="n">
        <v>25.27</v>
      </c>
      <c r="R1158" s="0" t="n">
        <v>782</v>
      </c>
      <c r="S1158" s="0" t="n">
        <v>1572</v>
      </c>
      <c r="U1158" s="0" t="n">
        <v>1018</v>
      </c>
      <c r="V1158" s="0" t="n">
        <v>0</v>
      </c>
      <c r="W1158" s="39" t="n">
        <f aca="false">IF(I1158="Male",0,1)</f>
        <v>1</v>
      </c>
      <c r="X1158" s="39" t="n">
        <f aca="false">IF(OR(I1158="DNB",I1158="Dry DNB"),1,0)</f>
        <v>0</v>
      </c>
      <c r="Y1158" s="39" t="n">
        <f aca="false">MATCH(A1158,DATAS,0)</f>
        <v>1</v>
      </c>
      <c r="Z1158" s="39" t="n">
        <f aca="false">IF(AND(E1158&gt;0,OR(AND(B1158&gt;=1,B1158&lt;=6),B1158=10)),1,0)</f>
        <v>1</v>
      </c>
      <c r="AA1158" s="39" t="n">
        <f aca="false">IF(AND(E1158&gt;0,B1158=10),1,0)</f>
        <v>0</v>
      </c>
      <c r="AB1158" s="0" t="str">
        <f aca="false">IF(AND(C1157=C1158,Y1157=Y1158-1),Z1157,"")</f>
        <v/>
      </c>
      <c r="AC1158" s="0" t="str">
        <f aca="false">IF(AND(C1157=C1158,Y1157=Y1158-1),AA1157,"")</f>
        <v/>
      </c>
      <c r="AD1158" s="0" t="str">
        <f aca="false">IF(Y1158=1,"",IF(AND(Z1158=1,AB1158&lt;&gt;1),1,0))</f>
        <v/>
      </c>
      <c r="AE1158" s="0" t="str">
        <f aca="false">IF(Y1158=1,"",IF(AND(AA1158=1,AC1158&lt;&gt;1),1,0))</f>
        <v/>
      </c>
      <c r="AF1158" s="45" t="str">
        <f aca="false">IF(AND(E1158&gt;0,Y1158&lt;1,NOT(AND(C1159=C1158,Y1159=Y1158+1))),INDEX(DATAS,Y1158+1),"")</f>
        <v/>
      </c>
      <c r="AG1158" s="45" t="str">
        <f aca="false">IF(AND(AA1158=1,Y1158&lt;1),IF(AND(C1159=C1158,Y1159=Y1158+1),IF(AA1159=1,"",INDEX(DATAS,Y1158+1)),INDEX(DATAS,Y1158+1)),"")</f>
        <v/>
      </c>
    </row>
    <row r="1159" customFormat="false" ht="15" hidden="false" customHeight="false" outlineLevel="0" collapsed="false">
      <c r="A1159" s="45" t="n">
        <v>46309</v>
      </c>
      <c r="B1159" s="0" t="n">
        <v>4</v>
      </c>
      <c r="C1159" s="0" t="n">
        <v>5210</v>
      </c>
      <c r="D1159" s="0" t="n">
        <v>347</v>
      </c>
      <c r="E1159" s="0" t="n">
        <v>1</v>
      </c>
      <c r="F1159" s="39" t="s">
        <v>787</v>
      </c>
      <c r="G1159" s="0" t="n">
        <v>48.1</v>
      </c>
      <c r="H1159" s="0" t="n">
        <v>52</v>
      </c>
      <c r="I1159" s="39" t="s">
        <v>109</v>
      </c>
      <c r="J1159" s="0" t="n">
        <v>222</v>
      </c>
      <c r="K1159" s="0" t="n">
        <v>74</v>
      </c>
      <c r="L1159" s="0" t="n">
        <v>125</v>
      </c>
      <c r="M1159" s="0" t="n">
        <v>1503.6</v>
      </c>
      <c r="N1159" s="0" t="n">
        <v>46.15</v>
      </c>
      <c r="O1159" s="0" t="n">
        <v>51.88</v>
      </c>
      <c r="P1159" s="0" t="n">
        <v>2.93</v>
      </c>
      <c r="Q1159" s="0" t="n">
        <v>3.52</v>
      </c>
      <c r="R1159" s="0" t="n">
        <v>4680</v>
      </c>
      <c r="S1159" s="0" t="n">
        <v>10136</v>
      </c>
      <c r="T1159" s="0" t="n">
        <v>48</v>
      </c>
      <c r="U1159" s="0" t="n">
        <v>1018</v>
      </c>
      <c r="V1159" s="0" t="n">
        <v>6</v>
      </c>
      <c r="W1159" s="39" t="n">
        <f aca="false">IF(I1159="Male",0,1)</f>
        <v>1</v>
      </c>
      <c r="X1159" s="39" t="n">
        <f aca="false">IF(OR(I1159="DNB",I1159="Dry DNB"),1,0)</f>
        <v>0</v>
      </c>
      <c r="Y1159" s="39" t="n">
        <f aca="false">MATCH(A1159,DATAS,0)</f>
        <v>1</v>
      </c>
      <c r="Z1159" s="39" t="n">
        <f aca="false">IF(AND(E1159&gt;0,OR(AND(B1159&gt;=1,B1159&lt;=6),B1159=10)),1,0)</f>
        <v>1</v>
      </c>
      <c r="AA1159" s="39" t="n">
        <f aca="false">IF(AND(E1159&gt;0,B1159=10),1,0)</f>
        <v>0</v>
      </c>
      <c r="AB1159" s="0" t="str">
        <f aca="false">IF(AND(C1158=C1159,Y1158=Y1159-1),Z1158,"")</f>
        <v/>
      </c>
      <c r="AC1159" s="0" t="str">
        <f aca="false">IF(AND(C1158=C1159,Y1158=Y1159-1),AA1158,"")</f>
        <v/>
      </c>
      <c r="AD1159" s="0" t="str">
        <f aca="false">IF(Y1159=1,"",IF(AND(Z1159=1,AB1159&lt;&gt;1),1,0))</f>
        <v/>
      </c>
      <c r="AE1159" s="0" t="str">
        <f aca="false">IF(Y1159=1,"",IF(AND(AA1159=1,AC1159&lt;&gt;1),1,0))</f>
        <v/>
      </c>
      <c r="AF1159" s="45" t="str">
        <f aca="false">IF(AND(E1159&gt;0,Y1159&lt;1,NOT(AND(C1160=C1159,Y1160=Y1159+1))),INDEX(DATAS,Y1159+1),"")</f>
        <v/>
      </c>
      <c r="AG1159" s="45" t="str">
        <f aca="false">IF(AND(AA1159=1,Y1159&lt;1),IF(AND(C1160=C1159,Y1160=Y1159+1),IF(AA1160=1,"",INDEX(DATAS,Y1159+1)),INDEX(DATAS,Y1159+1)),"")</f>
        <v/>
      </c>
    </row>
    <row r="1160" customFormat="false" ht="15" hidden="false" customHeight="false" outlineLevel="0" collapsed="false">
      <c r="A1160" s="45" t="n">
        <v>46309</v>
      </c>
      <c r="B1160" s="0" t="n">
        <v>2</v>
      </c>
      <c r="C1160" s="0" t="n">
        <v>5211</v>
      </c>
      <c r="D1160" s="0" t="n">
        <v>51</v>
      </c>
      <c r="E1160" s="0" t="n">
        <v>2</v>
      </c>
      <c r="F1160" s="39" t="s">
        <v>788</v>
      </c>
      <c r="G1160" s="0" t="n">
        <v>57.8</v>
      </c>
      <c r="H1160" s="0" t="n">
        <v>59</v>
      </c>
      <c r="I1160" s="39" t="s">
        <v>118</v>
      </c>
      <c r="J1160" s="0" t="n">
        <v>51</v>
      </c>
      <c r="M1160" s="0" t="n">
        <v>816.11</v>
      </c>
      <c r="N1160" s="0" t="n">
        <v>46.4</v>
      </c>
      <c r="O1160" s="0" t="n">
        <v>35.73</v>
      </c>
      <c r="P1160" s="0" t="n">
        <v>3.85</v>
      </c>
      <c r="Q1160" s="0" t="n">
        <v>3.45</v>
      </c>
      <c r="R1160" s="0" t="n">
        <v>4704</v>
      </c>
      <c r="S1160" s="0" t="n">
        <v>9456</v>
      </c>
      <c r="U1160" s="0" t="n">
        <v>1017</v>
      </c>
      <c r="V1160" s="0" t="n">
        <v>0</v>
      </c>
      <c r="W1160" s="39" t="n">
        <f aca="false">IF(I1160="Male",0,1)</f>
        <v>1</v>
      </c>
      <c r="X1160" s="39" t="n">
        <f aca="false">IF(OR(I1160="DNB",I1160="Dry DNB"),1,0)</f>
        <v>0</v>
      </c>
      <c r="Y1160" s="39" t="n">
        <f aca="false">MATCH(A1160,DATAS,0)</f>
        <v>1</v>
      </c>
      <c r="Z1160" s="39" t="n">
        <f aca="false">IF(AND(E1160&gt;0,OR(AND(B1160&gt;=1,B1160&lt;=6),B1160=10)),1,0)</f>
        <v>1</v>
      </c>
      <c r="AA1160" s="39" t="n">
        <f aca="false">IF(AND(E1160&gt;0,B1160=10),1,0)</f>
        <v>0</v>
      </c>
      <c r="AB1160" s="0" t="str">
        <f aca="false">IF(AND(C1159=C1160,Y1159=Y1160-1),Z1159,"")</f>
        <v/>
      </c>
      <c r="AC1160" s="0" t="str">
        <f aca="false">IF(AND(C1159=C1160,Y1159=Y1160-1),AA1159,"")</f>
        <v/>
      </c>
      <c r="AD1160" s="0" t="str">
        <f aca="false">IF(Y1160=1,"",IF(AND(Z1160=1,AB1160&lt;&gt;1),1,0))</f>
        <v/>
      </c>
      <c r="AE1160" s="0" t="str">
        <f aca="false">IF(Y1160=1,"",IF(AND(AA1160=1,AC1160&lt;&gt;1),1,0))</f>
        <v/>
      </c>
      <c r="AF1160" s="45" t="str">
        <f aca="false">IF(AND(E1160&gt;0,Y1160&lt;1,NOT(AND(C1161=C1160,Y1161=Y1160+1))),INDEX(DATAS,Y1160+1),"")</f>
        <v/>
      </c>
      <c r="AG1160" s="45" t="str">
        <f aca="false">IF(AND(AA1160=1,Y1160&lt;1),IF(AND(C1161=C1160,Y1161=Y1160+1),IF(AA1161=1,"",INDEX(DATAS,Y1160+1)),INDEX(DATAS,Y1160+1)),"")</f>
        <v/>
      </c>
    </row>
    <row r="1161" customFormat="false" ht="15" hidden="false" customHeight="false" outlineLevel="0" collapsed="false">
      <c r="A1161" s="45" t="n">
        <v>46309</v>
      </c>
      <c r="B1161" s="0" t="n">
        <v>7</v>
      </c>
      <c r="C1161" s="0" t="n">
        <v>5212</v>
      </c>
      <c r="D1161" s="0" t="n">
        <v>328</v>
      </c>
      <c r="E1161" s="0" t="n">
        <v>1</v>
      </c>
      <c r="F1161" s="39" t="s">
        <v>789</v>
      </c>
      <c r="I1161" s="39" t="s">
        <v>114</v>
      </c>
      <c r="J1161" s="0" t="n">
        <v>105</v>
      </c>
      <c r="K1161" s="0" t="n">
        <v>70</v>
      </c>
      <c r="L1161" s="0" t="n">
        <v>231</v>
      </c>
      <c r="M1161" s="0" t="n">
        <v>575.16</v>
      </c>
      <c r="N1161" s="0" t="n">
        <v>44.23</v>
      </c>
      <c r="O1161" s="0" t="n">
        <v>26.67</v>
      </c>
      <c r="P1161" s="0" t="n">
        <v>3.69</v>
      </c>
      <c r="Q1161" s="0" t="n">
        <v>3.71</v>
      </c>
      <c r="R1161" s="0" t="n">
        <v>4649</v>
      </c>
      <c r="S1161" s="0" t="n">
        <v>9863</v>
      </c>
      <c r="T1161" s="0" t="n">
        <v>46.05</v>
      </c>
      <c r="U1161" s="0" t="n">
        <v>1015</v>
      </c>
      <c r="V1161" s="0" t="n">
        <v>2</v>
      </c>
      <c r="W1161" s="39" t="n">
        <f aca="false">IF(I1161="Male",0,1)</f>
        <v>1</v>
      </c>
      <c r="X1161" s="39" t="n">
        <f aca="false">IF(OR(I1161="DNB",I1161="Dry DNB"),1,0)</f>
        <v>0</v>
      </c>
      <c r="Y1161" s="39" t="n">
        <f aca="false">MATCH(A1161,DATAS,0)</f>
        <v>1</v>
      </c>
      <c r="Z1161" s="39" t="n">
        <f aca="false">IF(AND(E1161&gt;0,OR(AND(B1161&gt;=1,B1161&lt;=6),B1161=10)),1,0)</f>
        <v>0</v>
      </c>
      <c r="AA1161" s="39" t="n">
        <f aca="false">IF(AND(E1161&gt;0,B1161=10),1,0)</f>
        <v>0</v>
      </c>
      <c r="AB1161" s="0" t="str">
        <f aca="false">IF(AND(C1160=C1161,Y1160=Y1161-1),Z1160,"")</f>
        <v/>
      </c>
      <c r="AC1161" s="0" t="str">
        <f aca="false">IF(AND(C1160=C1161,Y1160=Y1161-1),AA1160,"")</f>
        <v/>
      </c>
      <c r="AD1161" s="0" t="str">
        <f aca="false">IF(Y1161=1,"",IF(AND(Z1161=1,AB1161&lt;&gt;1),1,0))</f>
        <v/>
      </c>
      <c r="AE1161" s="0" t="str">
        <f aca="false">IF(Y1161=1,"",IF(AND(AA1161=1,AC1161&lt;&gt;1),1,0))</f>
        <v/>
      </c>
      <c r="AF1161" s="45" t="str">
        <f aca="false">IF(AND(E1161&gt;0,Y1161&lt;1,NOT(AND(C1162=C1161,Y1162=Y1161+1))),INDEX(DATAS,Y1161+1),"")</f>
        <v/>
      </c>
      <c r="AG1161" s="45" t="str">
        <f aca="false">IF(AND(AA1161=1,Y1161&lt;1),IF(AND(C1162=C1161,Y1162=Y1161+1),IF(AA1162=1,"",INDEX(DATAS,Y1161+1)),INDEX(DATAS,Y1161+1)),"")</f>
        <v/>
      </c>
    </row>
    <row r="1162" customFormat="false" ht="15" hidden="false" customHeight="false" outlineLevel="0" collapsed="false">
      <c r="A1162" s="45" t="n">
        <v>46309</v>
      </c>
      <c r="B1162" s="0" t="n">
        <v>3</v>
      </c>
      <c r="C1162" s="0" t="n">
        <v>5213</v>
      </c>
      <c r="D1162" s="0" t="n">
        <v>81</v>
      </c>
      <c r="E1162" s="0" t="n">
        <v>2</v>
      </c>
      <c r="F1162" s="39" t="s">
        <v>789</v>
      </c>
      <c r="G1162" s="0" t="n">
        <v>54.3</v>
      </c>
      <c r="H1162" s="0" t="n">
        <v>49</v>
      </c>
      <c r="I1162" s="39" t="s">
        <v>138</v>
      </c>
      <c r="J1162" s="0" t="n">
        <v>81</v>
      </c>
      <c r="K1162" s="0" t="n">
        <v>67</v>
      </c>
      <c r="M1162" s="0" t="n">
        <v>490.79</v>
      </c>
      <c r="N1162" s="0" t="n">
        <v>64.38</v>
      </c>
      <c r="O1162" s="0" t="n">
        <v>28.33</v>
      </c>
      <c r="P1162" s="0" t="n">
        <v>4.59</v>
      </c>
      <c r="Q1162" s="0" t="n">
        <v>3.35</v>
      </c>
      <c r="R1162" s="0" t="n">
        <v>4136</v>
      </c>
      <c r="S1162" s="0" t="n">
        <v>8314</v>
      </c>
      <c r="U1162" s="0" t="n">
        <v>1015</v>
      </c>
      <c r="V1162" s="0" t="n">
        <v>1</v>
      </c>
      <c r="W1162" s="39" t="n">
        <f aca="false">IF(I1162="Male",0,1)</f>
        <v>1</v>
      </c>
      <c r="X1162" s="39" t="n">
        <f aca="false">IF(OR(I1162="DNB",I1162="Dry DNB"),1,0)</f>
        <v>0</v>
      </c>
      <c r="Y1162" s="39" t="n">
        <f aca="false">MATCH(A1162,DATAS,0)</f>
        <v>1</v>
      </c>
      <c r="Z1162" s="39" t="n">
        <f aca="false">IF(AND(E1162&gt;0,OR(AND(B1162&gt;=1,B1162&lt;=6),B1162=10)),1,0)</f>
        <v>1</v>
      </c>
      <c r="AA1162" s="39" t="n">
        <f aca="false">IF(AND(E1162&gt;0,B1162=10),1,0)</f>
        <v>0</v>
      </c>
      <c r="AB1162" s="0" t="str">
        <f aca="false">IF(AND(C1161=C1162,Y1161=Y1162-1),Z1161,"")</f>
        <v/>
      </c>
      <c r="AC1162" s="0" t="str">
        <f aca="false">IF(AND(C1161=C1162,Y1161=Y1162-1),AA1161,"")</f>
        <v/>
      </c>
      <c r="AD1162" s="0" t="str">
        <f aca="false">IF(Y1162=1,"",IF(AND(Z1162=1,AB1162&lt;&gt;1),1,0))</f>
        <v/>
      </c>
      <c r="AE1162" s="0" t="str">
        <f aca="false">IF(Y1162=1,"",IF(AND(AA1162=1,AC1162&lt;&gt;1),1,0))</f>
        <v/>
      </c>
      <c r="AF1162" s="45" t="str">
        <f aca="false">IF(AND(E1162&gt;0,Y1162&lt;1,NOT(AND(C1163=C1162,Y1163=Y1162+1))),INDEX(DATAS,Y1162+1),"")</f>
        <v/>
      </c>
      <c r="AG1162" s="45" t="str">
        <f aca="false">IF(AND(AA1162=1,Y1162&lt;1),IF(AND(C1163=C1162,Y1163=Y1162+1),IF(AA1163=1,"",INDEX(DATAS,Y1162+1)),INDEX(DATAS,Y1162+1)),"")</f>
        <v/>
      </c>
    </row>
    <row r="1163" customFormat="false" ht="15" hidden="false" customHeight="false" outlineLevel="0" collapsed="false">
      <c r="A1163" s="45" t="n">
        <v>46309</v>
      </c>
      <c r="B1163" s="0" t="n">
        <v>2</v>
      </c>
      <c r="C1163" s="0" t="n">
        <v>5214</v>
      </c>
      <c r="D1163" s="0" t="n">
        <v>15</v>
      </c>
      <c r="E1163" s="0" t="n">
        <v>2</v>
      </c>
      <c r="F1163" s="39" t="s">
        <v>790</v>
      </c>
      <c r="G1163" s="0" t="n">
        <v>48.6</v>
      </c>
      <c r="H1163" s="0" t="n">
        <v>44</v>
      </c>
      <c r="I1163" s="39" t="s">
        <v>118</v>
      </c>
      <c r="J1163" s="0" t="n">
        <v>15</v>
      </c>
      <c r="M1163" s="0" t="n">
        <v>395.36</v>
      </c>
      <c r="N1163" s="0" t="n">
        <v>45.83</v>
      </c>
      <c r="O1163" s="0" t="n">
        <v>37.01</v>
      </c>
      <c r="R1163" s="0" t="n">
        <v>3617</v>
      </c>
      <c r="S1163" s="0" t="n">
        <v>7272</v>
      </c>
      <c r="U1163" s="0" t="n">
        <v>1014</v>
      </c>
      <c r="V1163" s="0" t="n">
        <v>0</v>
      </c>
      <c r="W1163" s="39" t="n">
        <f aca="false">IF(I1163="Male",0,1)</f>
        <v>1</v>
      </c>
      <c r="X1163" s="39" t="n">
        <f aca="false">IF(OR(I1163="DNB",I1163="Dry DNB"),1,0)</f>
        <v>0</v>
      </c>
      <c r="Y1163" s="39" t="n">
        <f aca="false">MATCH(A1163,DATAS,0)</f>
        <v>1</v>
      </c>
      <c r="Z1163" s="39" t="n">
        <f aca="false">IF(AND(E1163&gt;0,OR(AND(B1163&gt;=1,B1163&lt;=6),B1163=10)),1,0)</f>
        <v>1</v>
      </c>
      <c r="AA1163" s="39" t="n">
        <f aca="false">IF(AND(E1163&gt;0,B1163=10),1,0)</f>
        <v>0</v>
      </c>
      <c r="AB1163" s="0" t="str">
        <f aca="false">IF(AND(C1162=C1163,Y1162=Y1163-1),Z1162,"")</f>
        <v/>
      </c>
      <c r="AC1163" s="0" t="str">
        <f aca="false">IF(AND(C1162=C1163,Y1162=Y1163-1),AA1162,"")</f>
        <v/>
      </c>
      <c r="AD1163" s="0" t="str">
        <f aca="false">IF(Y1163=1,"",IF(AND(Z1163=1,AB1163&lt;&gt;1),1,0))</f>
        <v/>
      </c>
      <c r="AE1163" s="0" t="str">
        <f aca="false">IF(Y1163=1,"",IF(AND(AA1163=1,AC1163&lt;&gt;1),1,0))</f>
        <v/>
      </c>
      <c r="AF1163" s="45" t="str">
        <f aca="false">IF(AND(E1163&gt;0,Y1163&lt;1,NOT(AND(C1164=C1163,Y1164=Y1163+1))),INDEX(DATAS,Y1163+1),"")</f>
        <v/>
      </c>
      <c r="AG1163" s="45" t="str">
        <f aca="false">IF(AND(AA1163=1,Y1163&lt;1),IF(AND(C1164=C1163,Y1164=Y1163+1),IF(AA1164=1,"",INDEX(DATAS,Y1163+1)),INDEX(DATAS,Y1163+1)),"")</f>
        <v/>
      </c>
    </row>
    <row r="1164" customFormat="false" ht="15" hidden="false" customHeight="false" outlineLevel="0" collapsed="false">
      <c r="A1164" s="45" t="n">
        <v>46309</v>
      </c>
      <c r="B1164" s="0" t="n">
        <v>7</v>
      </c>
      <c r="C1164" s="0" t="n">
        <v>5215</v>
      </c>
      <c r="D1164" s="0" t="n">
        <v>288</v>
      </c>
      <c r="E1164" s="0" t="n">
        <v>1</v>
      </c>
      <c r="F1164" s="39" t="s">
        <v>790</v>
      </c>
      <c r="G1164" s="0" t="n">
        <v>9.3</v>
      </c>
      <c r="H1164" s="0" t="n">
        <v>31</v>
      </c>
      <c r="I1164" s="39" t="s">
        <v>114</v>
      </c>
      <c r="J1164" s="0" t="n">
        <v>65</v>
      </c>
      <c r="K1164" s="0" t="n">
        <v>65</v>
      </c>
      <c r="L1164" s="0" t="n">
        <v>224</v>
      </c>
      <c r="M1164" s="0" t="n">
        <v>378.71</v>
      </c>
      <c r="N1164" s="0" t="n">
        <v>81.66</v>
      </c>
      <c r="O1164" s="0" t="n">
        <v>35.42</v>
      </c>
      <c r="P1164" s="0" t="n">
        <v>4.46</v>
      </c>
      <c r="Q1164" s="0" t="n">
        <v>3.94</v>
      </c>
      <c r="R1164" s="0" t="n">
        <v>4155</v>
      </c>
      <c r="S1164" s="0" t="n">
        <v>9225</v>
      </c>
      <c r="T1164" s="0" t="n">
        <v>42.7</v>
      </c>
      <c r="U1164" s="0" t="n">
        <v>1014</v>
      </c>
      <c r="V1164" s="0" t="n">
        <v>1</v>
      </c>
      <c r="W1164" s="39" t="n">
        <f aca="false">IF(I1164="Male",0,1)</f>
        <v>1</v>
      </c>
      <c r="X1164" s="39" t="n">
        <f aca="false">IF(OR(I1164="DNB",I1164="Dry DNB"),1,0)</f>
        <v>0</v>
      </c>
      <c r="Y1164" s="39" t="n">
        <f aca="false">MATCH(A1164,DATAS,0)</f>
        <v>1</v>
      </c>
      <c r="Z1164" s="39" t="n">
        <f aca="false">IF(AND(E1164&gt;0,OR(AND(B1164&gt;=1,B1164&lt;=6),B1164=10)),1,0)</f>
        <v>0</v>
      </c>
      <c r="AA1164" s="39" t="n">
        <f aca="false">IF(AND(E1164&gt;0,B1164=10),1,0)</f>
        <v>0</v>
      </c>
      <c r="AB1164" s="0" t="str">
        <f aca="false">IF(AND(C1163=C1164,Y1163=Y1164-1),Z1163,"")</f>
        <v/>
      </c>
      <c r="AC1164" s="0" t="str">
        <f aca="false">IF(AND(C1163=C1164,Y1163=Y1164-1),AA1163,"")</f>
        <v/>
      </c>
      <c r="AD1164" s="0" t="str">
        <f aca="false">IF(Y1164=1,"",IF(AND(Z1164=1,AB1164&lt;&gt;1),1,0))</f>
        <v/>
      </c>
      <c r="AE1164" s="0" t="str">
        <f aca="false">IF(Y1164=1,"",IF(AND(AA1164=1,AC1164&lt;&gt;1),1,0))</f>
        <v/>
      </c>
      <c r="AF1164" s="45" t="str">
        <f aca="false">IF(AND(E1164&gt;0,Y1164&lt;1,NOT(AND(C1165=C1164,Y1165=Y1164+1))),INDEX(DATAS,Y1164+1),"")</f>
        <v/>
      </c>
      <c r="AG1164" s="45" t="str">
        <f aca="false">IF(AND(AA1164=1,Y1164&lt;1),IF(AND(C1165=C1164,Y1165=Y1164+1),IF(AA1165=1,"",INDEX(DATAS,Y1164+1)),INDEX(DATAS,Y1164+1)),"")</f>
        <v/>
      </c>
    </row>
    <row r="1165" customFormat="false" ht="15" hidden="false" customHeight="false" outlineLevel="0" collapsed="false">
      <c r="A1165" s="45" t="n">
        <v>46309</v>
      </c>
      <c r="B1165" s="0" t="n">
        <v>7</v>
      </c>
      <c r="C1165" s="0" t="n">
        <v>5216</v>
      </c>
      <c r="D1165" s="0" t="n">
        <v>351</v>
      </c>
      <c r="E1165" s="0" t="n">
        <v>1</v>
      </c>
      <c r="F1165" s="39" t="s">
        <v>790</v>
      </c>
      <c r="G1165" s="0" t="n">
        <v>34</v>
      </c>
      <c r="H1165" s="0" t="n">
        <v>36</v>
      </c>
      <c r="I1165" s="39" t="s">
        <v>114</v>
      </c>
      <c r="J1165" s="0" t="n">
        <v>126</v>
      </c>
      <c r="K1165" s="0" t="n">
        <v>66</v>
      </c>
      <c r="L1165" s="0" t="n">
        <v>226</v>
      </c>
      <c r="M1165" s="0" t="n">
        <v>52.11</v>
      </c>
      <c r="N1165" s="0" t="n">
        <v>39.62</v>
      </c>
      <c r="O1165" s="0" t="n">
        <v>18.14</v>
      </c>
      <c r="P1165" s="0" t="n">
        <v>3.69</v>
      </c>
      <c r="Q1165" s="0" t="n">
        <v>3.58</v>
      </c>
      <c r="R1165" s="0" t="n">
        <v>4176</v>
      </c>
      <c r="S1165" s="0" t="n">
        <v>9217</v>
      </c>
      <c r="T1165" s="0" t="n">
        <v>43.9</v>
      </c>
      <c r="U1165" s="0" t="n">
        <v>1014</v>
      </c>
      <c r="V1165" s="0" t="n">
        <v>3</v>
      </c>
      <c r="W1165" s="39" t="n">
        <f aca="false">IF(I1165="Male",0,1)</f>
        <v>1</v>
      </c>
      <c r="X1165" s="39" t="n">
        <f aca="false">IF(OR(I1165="DNB",I1165="Dry DNB"),1,0)</f>
        <v>0</v>
      </c>
      <c r="Y1165" s="39" t="n">
        <f aca="false">MATCH(A1165,DATAS,0)</f>
        <v>1</v>
      </c>
      <c r="Z1165" s="39" t="n">
        <f aca="false">IF(AND(E1165&gt;0,OR(AND(B1165&gt;=1,B1165&lt;=6),B1165=10)),1,0)</f>
        <v>0</v>
      </c>
      <c r="AA1165" s="39" t="n">
        <f aca="false">IF(AND(E1165&gt;0,B1165=10),1,0)</f>
        <v>0</v>
      </c>
      <c r="AB1165" s="0" t="str">
        <f aca="false">IF(AND(C1164=C1165,Y1164=Y1165-1),Z1164,"")</f>
        <v/>
      </c>
      <c r="AC1165" s="0" t="str">
        <f aca="false">IF(AND(C1164=C1165,Y1164=Y1165-1),AA1164,"")</f>
        <v/>
      </c>
      <c r="AD1165" s="0" t="str">
        <f aca="false">IF(Y1165=1,"",IF(AND(Z1165=1,AB1165&lt;&gt;1),1,0))</f>
        <v/>
      </c>
      <c r="AE1165" s="0" t="str">
        <f aca="false">IF(Y1165=1,"",IF(AND(AA1165=1,AC1165&lt;&gt;1),1,0))</f>
        <v/>
      </c>
      <c r="AF1165" s="45" t="str">
        <f aca="false">IF(AND(E1165&gt;0,Y1165&lt;1,NOT(AND(C1166=C1165,Y1166=Y1165+1))),INDEX(DATAS,Y1165+1),"")</f>
        <v/>
      </c>
      <c r="AG1165" s="45" t="str">
        <f aca="false">IF(AND(AA1165=1,Y1165&lt;1),IF(AND(C1166=C1165,Y1166=Y1165+1),IF(AA1166=1,"",INDEX(DATAS,Y1165+1)),INDEX(DATAS,Y1165+1)),"")</f>
        <v/>
      </c>
    </row>
    <row r="1166" customFormat="false" ht="15" hidden="false" customHeight="false" outlineLevel="0" collapsed="false">
      <c r="A1166" s="45" t="n">
        <v>46309</v>
      </c>
      <c r="B1166" s="0" t="n">
        <v>5</v>
      </c>
      <c r="C1166" s="0" t="n">
        <v>5217</v>
      </c>
      <c r="D1166" s="0" t="n">
        <v>46</v>
      </c>
      <c r="E1166" s="0" t="n">
        <v>2</v>
      </c>
      <c r="F1166" s="39" t="s">
        <v>790</v>
      </c>
      <c r="G1166" s="0" t="n">
        <v>33.9</v>
      </c>
      <c r="H1166" s="0" t="n">
        <v>39</v>
      </c>
      <c r="I1166" s="39" t="s">
        <v>118</v>
      </c>
      <c r="J1166" s="0" t="n">
        <v>46</v>
      </c>
      <c r="M1166" s="0" t="n">
        <v>164.92</v>
      </c>
      <c r="N1166" s="0" t="n">
        <v>71.99</v>
      </c>
      <c r="O1166" s="0" t="n">
        <v>28.02</v>
      </c>
      <c r="P1166" s="0" t="n">
        <v>4.18</v>
      </c>
      <c r="Q1166" s="0" t="n">
        <v>4</v>
      </c>
      <c r="R1166" s="0" t="n">
        <v>3245</v>
      </c>
      <c r="S1166" s="0" t="n">
        <v>6523</v>
      </c>
      <c r="U1166" s="0" t="n">
        <v>1014</v>
      </c>
      <c r="V1166" s="0" t="n">
        <v>0</v>
      </c>
      <c r="W1166" s="39" t="n">
        <f aca="false">IF(I1166="Male",0,1)</f>
        <v>1</v>
      </c>
      <c r="X1166" s="39" t="n">
        <f aca="false">IF(OR(I1166="DNB",I1166="Dry DNB"),1,0)</f>
        <v>0</v>
      </c>
      <c r="Y1166" s="39" t="n">
        <f aca="false">MATCH(A1166,DATAS,0)</f>
        <v>1</v>
      </c>
      <c r="Z1166" s="39" t="n">
        <f aca="false">IF(AND(E1166&gt;0,OR(AND(B1166&gt;=1,B1166&lt;=6),B1166=10)),1,0)</f>
        <v>1</v>
      </c>
      <c r="AA1166" s="39" t="n">
        <f aca="false">IF(AND(E1166&gt;0,B1166=10),1,0)</f>
        <v>0</v>
      </c>
      <c r="AB1166" s="0" t="str">
        <f aca="false">IF(AND(C1165=C1166,Y1165=Y1166-1),Z1165,"")</f>
        <v/>
      </c>
      <c r="AC1166" s="0" t="str">
        <f aca="false">IF(AND(C1165=C1166,Y1165=Y1166-1),AA1165,"")</f>
        <v/>
      </c>
      <c r="AD1166" s="0" t="str">
        <f aca="false">IF(Y1166=1,"",IF(AND(Z1166=1,AB1166&lt;&gt;1),1,0))</f>
        <v/>
      </c>
      <c r="AE1166" s="0" t="str">
        <f aca="false">IF(Y1166=1,"",IF(AND(AA1166=1,AC1166&lt;&gt;1),1,0))</f>
        <v/>
      </c>
      <c r="AF1166" s="45" t="str">
        <f aca="false">IF(AND(E1166&gt;0,Y1166&lt;1,NOT(AND(C1167=C1166,Y1167=Y1166+1))),INDEX(DATAS,Y1166+1),"")</f>
        <v/>
      </c>
      <c r="AG1166" s="45" t="str">
        <f aca="false">IF(AND(AA1166=1,Y1166&lt;1),IF(AND(C1167=C1166,Y1167=Y1166+1),IF(AA1167=1,"",INDEX(DATAS,Y1166+1)),INDEX(DATAS,Y1166+1)),"")</f>
        <v/>
      </c>
    </row>
    <row r="1167" customFormat="false" ht="15" hidden="false" customHeight="false" outlineLevel="0" collapsed="false">
      <c r="A1167" s="45" t="n">
        <v>46309</v>
      </c>
      <c r="B1167" s="0" t="n">
        <v>7</v>
      </c>
      <c r="C1167" s="0" t="n">
        <v>5218</v>
      </c>
      <c r="D1167" s="0" t="n">
        <v>311</v>
      </c>
      <c r="E1167" s="0" t="n">
        <v>1</v>
      </c>
      <c r="F1167" s="39" t="s">
        <v>791</v>
      </c>
      <c r="I1167" s="39" t="s">
        <v>114</v>
      </c>
      <c r="J1167" s="0" t="n">
        <v>86</v>
      </c>
      <c r="K1167" s="0" t="n">
        <v>67</v>
      </c>
      <c r="L1167" s="0" t="n">
        <v>240</v>
      </c>
      <c r="M1167" s="0" t="n">
        <v>528.84</v>
      </c>
      <c r="N1167" s="0" t="n">
        <v>54.35</v>
      </c>
      <c r="O1167" s="0" t="n">
        <v>31.42</v>
      </c>
      <c r="P1167" s="0" t="n">
        <v>5.07</v>
      </c>
      <c r="Q1167" s="0" t="n">
        <v>3.88</v>
      </c>
      <c r="R1167" s="0" t="n">
        <v>4218</v>
      </c>
      <c r="S1167" s="0" t="n">
        <v>8427</v>
      </c>
      <c r="T1167" s="0" t="n">
        <v>44</v>
      </c>
      <c r="U1167" s="0" t="n">
        <v>1013</v>
      </c>
      <c r="V1167" s="0" t="n">
        <v>2</v>
      </c>
      <c r="W1167" s="39" t="n">
        <f aca="false">IF(I1167="Male",0,1)</f>
        <v>1</v>
      </c>
      <c r="X1167" s="39" t="n">
        <f aca="false">IF(OR(I1167="DNB",I1167="Dry DNB"),1,0)</f>
        <v>0</v>
      </c>
      <c r="Y1167" s="39" t="n">
        <f aca="false">MATCH(A1167,DATAS,0)</f>
        <v>1</v>
      </c>
      <c r="Z1167" s="39" t="n">
        <f aca="false">IF(AND(E1167&gt;0,OR(AND(B1167&gt;=1,B1167&lt;=6),B1167=10)),1,0)</f>
        <v>0</v>
      </c>
      <c r="AA1167" s="39" t="n">
        <f aca="false">IF(AND(E1167&gt;0,B1167=10),1,0)</f>
        <v>0</v>
      </c>
      <c r="AB1167" s="0" t="str">
        <f aca="false">IF(AND(C1166=C1167,Y1166=Y1167-1),Z1166,"")</f>
        <v/>
      </c>
      <c r="AC1167" s="0" t="str">
        <f aca="false">IF(AND(C1166=C1167,Y1166=Y1167-1),AA1166,"")</f>
        <v/>
      </c>
      <c r="AD1167" s="0" t="str">
        <f aca="false">IF(Y1167=1,"",IF(AND(Z1167=1,AB1167&lt;&gt;1),1,0))</f>
        <v/>
      </c>
      <c r="AE1167" s="0" t="str">
        <f aca="false">IF(Y1167=1,"",IF(AND(AA1167=1,AC1167&lt;&gt;1),1,0))</f>
        <v/>
      </c>
      <c r="AF1167" s="45" t="str">
        <f aca="false">IF(AND(E1167&gt;0,Y1167&lt;1,NOT(AND(C1168=C1167,Y1168=Y1167+1))),INDEX(DATAS,Y1167+1),"")</f>
        <v/>
      </c>
      <c r="AG1167" s="45" t="str">
        <f aca="false">IF(AND(AA1167=1,Y1167&lt;1),IF(AND(C1168=C1167,Y1168=Y1167+1),IF(AA1168=1,"",INDEX(DATAS,Y1167+1)),INDEX(DATAS,Y1167+1)),"")</f>
        <v/>
      </c>
    </row>
    <row r="1168" customFormat="false" ht="15" hidden="false" customHeight="false" outlineLevel="0" collapsed="false">
      <c r="A1168" s="45" t="n">
        <v>46309</v>
      </c>
      <c r="B1168" s="0" t="n">
        <v>4</v>
      </c>
      <c r="C1168" s="0" t="n">
        <v>5219</v>
      </c>
      <c r="D1168" s="0" t="n">
        <v>287</v>
      </c>
      <c r="E1168" s="0" t="n">
        <v>1</v>
      </c>
      <c r="F1168" s="39" t="s">
        <v>792</v>
      </c>
      <c r="G1168" s="0" t="n">
        <v>41.8</v>
      </c>
      <c r="H1168" s="0" t="n">
        <v>42</v>
      </c>
      <c r="I1168" s="39" t="s">
        <v>146</v>
      </c>
      <c r="J1168" s="0" t="n">
        <v>287</v>
      </c>
      <c r="K1168" s="0" t="n">
        <v>63</v>
      </c>
      <c r="M1168" s="0" t="n">
        <v>1074.6</v>
      </c>
      <c r="N1168" s="0" t="n">
        <v>81.89</v>
      </c>
      <c r="O1168" s="0" t="n">
        <v>49.98</v>
      </c>
      <c r="P1168" s="0" t="n">
        <v>4.33</v>
      </c>
      <c r="Q1168" s="0" t="n">
        <v>3.74</v>
      </c>
      <c r="R1168" s="0" t="n">
        <v>5073</v>
      </c>
      <c r="S1168" s="0" t="n">
        <v>9665</v>
      </c>
      <c r="T1168" s="0" t="n">
        <v>49.65</v>
      </c>
      <c r="U1168" s="0" t="n">
        <v>1011</v>
      </c>
      <c r="V1168" s="0" t="n">
        <v>5</v>
      </c>
      <c r="W1168" s="39" t="n">
        <f aca="false">IF(I1168="Male",0,1)</f>
        <v>1</v>
      </c>
      <c r="X1168" s="39" t="n">
        <f aca="false">IF(OR(I1168="DNB",I1168="Dry DNB"),1,0)</f>
        <v>0</v>
      </c>
      <c r="Y1168" s="39" t="n">
        <f aca="false">MATCH(A1168,DATAS,0)</f>
        <v>1</v>
      </c>
      <c r="Z1168" s="39" t="n">
        <f aca="false">IF(AND(E1168&gt;0,OR(AND(B1168&gt;=1,B1168&lt;=6),B1168=10)),1,0)</f>
        <v>1</v>
      </c>
      <c r="AA1168" s="39" t="n">
        <f aca="false">IF(AND(E1168&gt;0,B1168=10),1,0)</f>
        <v>0</v>
      </c>
      <c r="AB1168" s="0" t="str">
        <f aca="false">IF(AND(C1167=C1168,Y1167=Y1168-1),Z1167,"")</f>
        <v/>
      </c>
      <c r="AC1168" s="0" t="str">
        <f aca="false">IF(AND(C1167=C1168,Y1167=Y1168-1),AA1167,"")</f>
        <v/>
      </c>
      <c r="AD1168" s="0" t="str">
        <f aca="false">IF(Y1168=1,"",IF(AND(Z1168=1,AB1168&lt;&gt;1),1,0))</f>
        <v/>
      </c>
      <c r="AE1168" s="0" t="str">
        <f aca="false">IF(Y1168=1,"",IF(AND(AA1168=1,AC1168&lt;&gt;1),1,0))</f>
        <v/>
      </c>
      <c r="AF1168" s="45" t="str">
        <f aca="false">IF(AND(E1168&gt;0,Y1168&lt;1,NOT(AND(C1169=C1168,Y1169=Y1168+1))),INDEX(DATAS,Y1168+1),"")</f>
        <v/>
      </c>
      <c r="AG1168" s="45" t="str">
        <f aca="false">IF(AND(AA1168=1,Y1168&lt;1),IF(AND(C1169=C1168,Y1169=Y1168+1),IF(AA1169=1,"",INDEX(DATAS,Y1168+1)),INDEX(DATAS,Y1168+1)),"")</f>
        <v/>
      </c>
    </row>
    <row r="1169" customFormat="false" ht="15" hidden="false" customHeight="false" outlineLevel="0" collapsed="false">
      <c r="A1169" s="45" t="n">
        <v>46309</v>
      </c>
      <c r="B1169" s="0" t="n">
        <v>5</v>
      </c>
      <c r="C1169" s="0" t="n">
        <v>5220</v>
      </c>
      <c r="D1169" s="0" t="n">
        <v>392</v>
      </c>
      <c r="E1169" s="0" t="n">
        <v>1</v>
      </c>
      <c r="F1169" s="39" t="s">
        <v>793</v>
      </c>
      <c r="G1169" s="0" t="n">
        <v>39.8</v>
      </c>
      <c r="H1169" s="0" t="n">
        <v>32</v>
      </c>
      <c r="I1169" s="39" t="s">
        <v>109</v>
      </c>
      <c r="J1169" s="0" t="n">
        <v>210</v>
      </c>
      <c r="K1169" s="0" t="n">
        <v>63</v>
      </c>
      <c r="L1169" s="0" t="n">
        <v>182</v>
      </c>
      <c r="M1169" s="0" t="n">
        <v>244.13</v>
      </c>
      <c r="N1169" s="0" t="n">
        <v>38.99</v>
      </c>
      <c r="O1169" s="0" t="n">
        <v>15.67</v>
      </c>
      <c r="P1169" s="0" t="n">
        <v>5.48</v>
      </c>
      <c r="Q1169" s="0" t="n">
        <v>3.76</v>
      </c>
      <c r="R1169" s="0" t="n">
        <v>1807</v>
      </c>
      <c r="S1169" s="0" t="n">
        <v>5164</v>
      </c>
      <c r="T1169" s="0" t="n">
        <v>24.15</v>
      </c>
      <c r="U1169" s="0" t="n">
        <v>1010</v>
      </c>
      <c r="V1169" s="0" t="n">
        <v>6</v>
      </c>
      <c r="W1169" s="39" t="n">
        <f aca="false">IF(I1169="Male",0,1)</f>
        <v>1</v>
      </c>
      <c r="X1169" s="39" t="n">
        <f aca="false">IF(OR(I1169="DNB",I1169="Dry DNB"),1,0)</f>
        <v>0</v>
      </c>
      <c r="Y1169" s="39" t="n">
        <f aca="false">MATCH(A1169,DATAS,0)</f>
        <v>1</v>
      </c>
      <c r="Z1169" s="39" t="n">
        <f aca="false">IF(AND(E1169&gt;0,OR(AND(B1169&gt;=1,B1169&lt;=6),B1169=10)),1,0)</f>
        <v>1</v>
      </c>
      <c r="AA1169" s="39" t="n">
        <f aca="false">IF(AND(E1169&gt;0,B1169=10),1,0)</f>
        <v>0</v>
      </c>
      <c r="AB1169" s="0" t="str">
        <f aca="false">IF(AND(C1168=C1169,Y1168=Y1169-1),Z1168,"")</f>
        <v/>
      </c>
      <c r="AC1169" s="0" t="str">
        <f aca="false">IF(AND(C1168=C1169,Y1168=Y1169-1),AA1168,"")</f>
        <v/>
      </c>
      <c r="AD1169" s="0" t="str">
        <f aca="false">IF(Y1169=1,"",IF(AND(Z1169=1,AB1169&lt;&gt;1),1,0))</f>
        <v/>
      </c>
      <c r="AE1169" s="0" t="str">
        <f aca="false">IF(Y1169=1,"",IF(AND(AA1169=1,AC1169&lt;&gt;1),1,0))</f>
        <v/>
      </c>
      <c r="AF1169" s="45" t="str">
        <f aca="false">IF(AND(E1169&gt;0,Y1169&lt;1,NOT(AND(C1170=C1169,Y1170=Y1169+1))),INDEX(DATAS,Y1169+1),"")</f>
        <v/>
      </c>
      <c r="AG1169" s="45" t="str">
        <f aca="false">IF(AND(AA1169=1,Y1169&lt;1),IF(AND(C1170=C1169,Y1170=Y1169+1),IF(AA1170=1,"",INDEX(DATAS,Y1169+1)),INDEX(DATAS,Y1169+1)),"")</f>
        <v/>
      </c>
    </row>
    <row r="1170" customFormat="false" ht="15" hidden="false" customHeight="false" outlineLevel="0" collapsed="false">
      <c r="A1170" s="45" t="n">
        <v>46309</v>
      </c>
      <c r="B1170" s="0" t="n">
        <v>4</v>
      </c>
      <c r="C1170" s="0" t="n">
        <v>5221</v>
      </c>
      <c r="D1170" s="0" t="n">
        <v>302</v>
      </c>
      <c r="E1170" s="0" t="n">
        <v>1</v>
      </c>
      <c r="F1170" s="39" t="s">
        <v>793</v>
      </c>
      <c r="G1170" s="0" t="n">
        <v>39.8</v>
      </c>
      <c r="H1170" s="0" t="n">
        <v>38</v>
      </c>
      <c r="I1170" s="39" t="s">
        <v>138</v>
      </c>
      <c r="J1170" s="0" t="n">
        <v>302</v>
      </c>
      <c r="K1170" s="0" t="n">
        <v>78</v>
      </c>
      <c r="M1170" s="0" t="n">
        <v>797.69</v>
      </c>
      <c r="N1170" s="0" t="n">
        <v>65.41</v>
      </c>
      <c r="O1170" s="0" t="n">
        <v>37.28</v>
      </c>
      <c r="P1170" s="0" t="n">
        <v>2.74</v>
      </c>
      <c r="Q1170" s="0" t="n">
        <v>3.67</v>
      </c>
      <c r="R1170" s="0" t="n">
        <v>4094</v>
      </c>
      <c r="S1170" s="0" t="n">
        <v>8342</v>
      </c>
      <c r="T1170" s="0" t="n">
        <v>41.9</v>
      </c>
      <c r="U1170" s="0" t="n">
        <v>1010</v>
      </c>
      <c r="V1170" s="0" t="n">
        <v>6</v>
      </c>
      <c r="W1170" s="39" t="n">
        <f aca="false">IF(I1170="Male",0,1)</f>
        <v>1</v>
      </c>
      <c r="X1170" s="39" t="n">
        <f aca="false">IF(OR(I1170="DNB",I1170="Dry DNB"),1,0)</f>
        <v>0</v>
      </c>
      <c r="Y1170" s="39" t="n">
        <f aca="false">MATCH(A1170,DATAS,0)</f>
        <v>1</v>
      </c>
      <c r="Z1170" s="39" t="n">
        <f aca="false">IF(AND(E1170&gt;0,OR(AND(B1170&gt;=1,B1170&lt;=6),B1170=10)),1,0)</f>
        <v>1</v>
      </c>
      <c r="AA1170" s="39" t="n">
        <f aca="false">IF(AND(E1170&gt;0,B1170=10),1,0)</f>
        <v>0</v>
      </c>
      <c r="AB1170" s="0" t="str">
        <f aca="false">IF(AND(C1169=C1170,Y1169=Y1170-1),Z1169,"")</f>
        <v/>
      </c>
      <c r="AC1170" s="0" t="str">
        <f aca="false">IF(AND(C1169=C1170,Y1169=Y1170-1),AA1169,"")</f>
        <v/>
      </c>
      <c r="AD1170" s="0" t="str">
        <f aca="false">IF(Y1170=1,"",IF(AND(Z1170=1,AB1170&lt;&gt;1),1,0))</f>
        <v/>
      </c>
      <c r="AE1170" s="0" t="str">
        <f aca="false">IF(Y1170=1,"",IF(AND(AA1170=1,AC1170&lt;&gt;1),1,0))</f>
        <v/>
      </c>
      <c r="AF1170" s="45" t="str">
        <f aca="false">IF(AND(E1170&gt;0,Y1170&lt;1,NOT(AND(C1171=C1170,Y1171=Y1170+1))),INDEX(DATAS,Y1170+1),"")</f>
        <v/>
      </c>
      <c r="AG1170" s="45" t="str">
        <f aca="false">IF(AND(AA1170=1,Y1170&lt;1),IF(AND(C1171=C1170,Y1171=Y1170+1),IF(AA1171=1,"",INDEX(DATAS,Y1170+1)),INDEX(DATAS,Y1170+1)),"")</f>
        <v/>
      </c>
    </row>
    <row r="1171" customFormat="false" ht="15" hidden="false" customHeight="false" outlineLevel="0" collapsed="false">
      <c r="A1171" s="45" t="n">
        <v>46309</v>
      </c>
      <c r="B1171" s="0" t="n">
        <v>5</v>
      </c>
      <c r="C1171" s="0" t="n">
        <v>5222</v>
      </c>
      <c r="D1171" s="0" t="n">
        <v>361</v>
      </c>
      <c r="E1171" s="0" t="n">
        <v>1</v>
      </c>
      <c r="F1171" s="39" t="s">
        <v>793</v>
      </c>
      <c r="G1171" s="0" t="n">
        <v>40</v>
      </c>
      <c r="H1171" s="0" t="n">
        <v>35</v>
      </c>
      <c r="I1171" s="39" t="s">
        <v>109</v>
      </c>
      <c r="J1171" s="0" t="n">
        <v>235</v>
      </c>
      <c r="K1171" s="0" t="n">
        <v>68</v>
      </c>
      <c r="L1171" s="0" t="n">
        <v>126</v>
      </c>
      <c r="M1171" s="0" t="n">
        <v>746.39</v>
      </c>
      <c r="N1171" s="0" t="n">
        <v>33.2</v>
      </c>
      <c r="O1171" s="0" t="n">
        <v>31.17</v>
      </c>
      <c r="P1171" s="0" t="n">
        <v>3.57</v>
      </c>
      <c r="Q1171" s="0" t="n">
        <v>3.4</v>
      </c>
      <c r="R1171" s="0" t="n">
        <v>4064</v>
      </c>
      <c r="S1171" s="0" t="n">
        <v>9178</v>
      </c>
      <c r="T1171" s="0" t="n">
        <v>48.9</v>
      </c>
      <c r="U1171" s="0" t="n">
        <v>1010</v>
      </c>
      <c r="V1171" s="0" t="n">
        <v>6</v>
      </c>
      <c r="W1171" s="39" t="n">
        <f aca="false">IF(I1171="Male",0,1)</f>
        <v>1</v>
      </c>
      <c r="X1171" s="39" t="n">
        <f aca="false">IF(OR(I1171="DNB",I1171="Dry DNB"),1,0)</f>
        <v>0</v>
      </c>
      <c r="Y1171" s="39" t="n">
        <f aca="false">MATCH(A1171,DATAS,0)</f>
        <v>1</v>
      </c>
      <c r="Z1171" s="39" t="n">
        <f aca="false">IF(AND(E1171&gt;0,OR(AND(B1171&gt;=1,B1171&lt;=6),B1171=10)),1,0)</f>
        <v>1</v>
      </c>
      <c r="AA1171" s="39" t="n">
        <f aca="false">IF(AND(E1171&gt;0,B1171=10),1,0)</f>
        <v>0</v>
      </c>
      <c r="AB1171" s="0" t="str">
        <f aca="false">IF(AND(C1170=C1171,Y1170=Y1171-1),Z1170,"")</f>
        <v/>
      </c>
      <c r="AC1171" s="0" t="str">
        <f aca="false">IF(AND(C1170=C1171,Y1170=Y1171-1),AA1170,"")</f>
        <v/>
      </c>
      <c r="AD1171" s="0" t="str">
        <f aca="false">IF(Y1171=1,"",IF(AND(Z1171=1,AB1171&lt;&gt;1),1,0))</f>
        <v/>
      </c>
      <c r="AE1171" s="0" t="str">
        <f aca="false">IF(Y1171=1,"",IF(AND(AA1171=1,AC1171&lt;&gt;1),1,0))</f>
        <v/>
      </c>
      <c r="AF1171" s="45" t="str">
        <f aca="false">IF(AND(E1171&gt;0,Y1171&lt;1,NOT(AND(C1172=C1171,Y1172=Y1171+1))),INDEX(DATAS,Y1171+1),"")</f>
        <v/>
      </c>
      <c r="AG1171" s="45" t="str">
        <f aca="false">IF(AND(AA1171=1,Y1171&lt;1),IF(AND(C1172=C1171,Y1172=Y1171+1),IF(AA1172=1,"",INDEX(DATAS,Y1171+1)),INDEX(DATAS,Y1171+1)),"")</f>
        <v/>
      </c>
    </row>
    <row r="1172" customFormat="false" ht="15" hidden="false" customHeight="false" outlineLevel="0" collapsed="false">
      <c r="A1172" s="45" t="n">
        <v>46309</v>
      </c>
      <c r="B1172" s="0" t="n">
        <v>7</v>
      </c>
      <c r="C1172" s="0" t="n">
        <v>5223</v>
      </c>
      <c r="D1172" s="0" t="n">
        <v>379</v>
      </c>
      <c r="E1172" s="0" t="n">
        <v>1</v>
      </c>
      <c r="F1172" s="39" t="s">
        <v>794</v>
      </c>
      <c r="I1172" s="39" t="s">
        <v>114</v>
      </c>
      <c r="J1172" s="0" t="n">
        <v>159</v>
      </c>
      <c r="K1172" s="0" t="n">
        <v>65</v>
      </c>
      <c r="L1172" s="0" t="n">
        <v>235</v>
      </c>
      <c r="M1172" s="0" t="n">
        <v>1089.95</v>
      </c>
      <c r="N1172" s="0" t="n">
        <v>33.95</v>
      </c>
      <c r="O1172" s="0" t="n">
        <v>37.61</v>
      </c>
      <c r="P1172" s="0" t="n">
        <v>3.87</v>
      </c>
      <c r="Q1172" s="0" t="n">
        <v>3.98</v>
      </c>
      <c r="R1172" s="0" t="n">
        <v>3820</v>
      </c>
      <c r="S1172" s="0" t="n">
        <v>9202</v>
      </c>
      <c r="T1172" s="0" t="n">
        <v>43.4</v>
      </c>
      <c r="U1172" s="0" t="n">
        <v>1009</v>
      </c>
      <c r="V1172" s="0" t="n">
        <v>4</v>
      </c>
      <c r="W1172" s="39" t="n">
        <f aca="false">IF(I1172="Male",0,1)</f>
        <v>1</v>
      </c>
      <c r="X1172" s="39" t="n">
        <f aca="false">IF(OR(I1172="DNB",I1172="Dry DNB"),1,0)</f>
        <v>0</v>
      </c>
      <c r="Y1172" s="39" t="n">
        <f aca="false">MATCH(A1172,DATAS,0)</f>
        <v>1</v>
      </c>
      <c r="Z1172" s="39" t="n">
        <f aca="false">IF(AND(E1172&gt;0,OR(AND(B1172&gt;=1,B1172&lt;=6),B1172=10)),1,0)</f>
        <v>0</v>
      </c>
      <c r="AA1172" s="39" t="n">
        <f aca="false">IF(AND(E1172&gt;0,B1172=10),1,0)</f>
        <v>0</v>
      </c>
      <c r="AB1172" s="0" t="str">
        <f aca="false">IF(AND(C1171=C1172,Y1171=Y1172-1),Z1171,"")</f>
        <v/>
      </c>
      <c r="AC1172" s="0" t="str">
        <f aca="false">IF(AND(C1171=C1172,Y1171=Y1172-1),AA1171,"")</f>
        <v/>
      </c>
      <c r="AD1172" s="0" t="str">
        <f aca="false">IF(Y1172=1,"",IF(AND(Z1172=1,AB1172&lt;&gt;1),1,0))</f>
        <v/>
      </c>
      <c r="AE1172" s="0" t="str">
        <f aca="false">IF(Y1172=1,"",IF(AND(AA1172=1,AC1172&lt;&gt;1),1,0))</f>
        <v/>
      </c>
      <c r="AF1172" s="45" t="str">
        <f aca="false">IF(AND(E1172&gt;0,Y1172&lt;1,NOT(AND(C1173=C1172,Y1173=Y1172+1))),INDEX(DATAS,Y1172+1),"")</f>
        <v/>
      </c>
      <c r="AG1172" s="45" t="str">
        <f aca="false">IF(AND(AA1172=1,Y1172&lt;1),IF(AND(C1173=C1172,Y1173=Y1172+1),IF(AA1173=1,"",INDEX(DATAS,Y1172+1)),INDEX(DATAS,Y1172+1)),"")</f>
        <v/>
      </c>
    </row>
    <row r="1173" customFormat="false" ht="15" hidden="false" customHeight="false" outlineLevel="0" collapsed="false">
      <c r="A1173" s="45" t="n">
        <v>46309</v>
      </c>
      <c r="B1173" s="0" t="n">
        <v>2</v>
      </c>
      <c r="C1173" s="0" t="n">
        <v>5224</v>
      </c>
      <c r="D1173" s="0" t="n">
        <v>24</v>
      </c>
      <c r="E1173" s="0" t="n">
        <v>2</v>
      </c>
      <c r="F1173" s="39" t="s">
        <v>794</v>
      </c>
      <c r="G1173" s="0" t="n">
        <v>49.9</v>
      </c>
      <c r="H1173" s="0" t="n">
        <v>46</v>
      </c>
      <c r="I1173" s="39" t="s">
        <v>118</v>
      </c>
      <c r="J1173" s="0" t="n">
        <v>24</v>
      </c>
      <c r="M1173" s="0" t="n">
        <v>429.64</v>
      </c>
      <c r="N1173" s="0" t="n">
        <v>89.57</v>
      </c>
      <c r="O1173" s="0" t="n">
        <v>31.74</v>
      </c>
      <c r="R1173" s="0" t="n">
        <v>3448</v>
      </c>
      <c r="S1173" s="0" t="n">
        <v>6931</v>
      </c>
      <c r="U1173" s="0" t="n">
        <v>1009</v>
      </c>
      <c r="V1173" s="0" t="n">
        <v>0</v>
      </c>
      <c r="W1173" s="39" t="n">
        <f aca="false">IF(I1173="Male",0,1)</f>
        <v>1</v>
      </c>
      <c r="X1173" s="39" t="n">
        <f aca="false">IF(OR(I1173="DNB",I1173="Dry DNB"),1,0)</f>
        <v>0</v>
      </c>
      <c r="Y1173" s="39" t="n">
        <f aca="false">MATCH(A1173,DATAS,0)</f>
        <v>1</v>
      </c>
      <c r="Z1173" s="39" t="n">
        <f aca="false">IF(AND(E1173&gt;0,OR(AND(B1173&gt;=1,B1173&lt;=6),B1173=10)),1,0)</f>
        <v>1</v>
      </c>
      <c r="AA1173" s="39" t="n">
        <f aca="false">IF(AND(E1173&gt;0,B1173=10),1,0)</f>
        <v>0</v>
      </c>
      <c r="AB1173" s="0" t="str">
        <f aca="false">IF(AND(C1172=C1173,Y1172=Y1173-1),Z1172,"")</f>
        <v/>
      </c>
      <c r="AC1173" s="0" t="str">
        <f aca="false">IF(AND(C1172=C1173,Y1172=Y1173-1),AA1172,"")</f>
        <v/>
      </c>
      <c r="AD1173" s="0" t="str">
        <f aca="false">IF(Y1173=1,"",IF(AND(Z1173=1,AB1173&lt;&gt;1),1,0))</f>
        <v/>
      </c>
      <c r="AE1173" s="0" t="str">
        <f aca="false">IF(Y1173=1,"",IF(AND(AA1173=1,AC1173&lt;&gt;1),1,0))</f>
        <v/>
      </c>
      <c r="AF1173" s="45" t="str">
        <f aca="false">IF(AND(E1173&gt;0,Y1173&lt;1,NOT(AND(C1174=C1173,Y1174=Y1173+1))),INDEX(DATAS,Y1173+1),"")</f>
        <v/>
      </c>
      <c r="AG1173" s="45" t="str">
        <f aca="false">IF(AND(AA1173=1,Y1173&lt;1),IF(AND(C1174=C1173,Y1174=Y1173+1),IF(AA1174=1,"",INDEX(DATAS,Y1173+1)),INDEX(DATAS,Y1173+1)),"")</f>
        <v/>
      </c>
    </row>
    <row r="1174" customFormat="false" ht="15" hidden="false" customHeight="false" outlineLevel="0" collapsed="false">
      <c r="A1174" s="45" t="n">
        <v>46309</v>
      </c>
      <c r="B1174" s="0" t="n">
        <v>4</v>
      </c>
      <c r="C1174" s="0" t="n">
        <v>5225</v>
      </c>
      <c r="D1174" s="0" t="n">
        <v>350</v>
      </c>
      <c r="E1174" s="0" t="n">
        <v>1</v>
      </c>
      <c r="F1174" s="39" t="s">
        <v>794</v>
      </c>
      <c r="G1174" s="0" t="n">
        <v>48</v>
      </c>
      <c r="H1174" s="0" t="n">
        <v>49</v>
      </c>
      <c r="I1174" s="39" t="s">
        <v>138</v>
      </c>
      <c r="J1174" s="0" t="n">
        <v>350</v>
      </c>
      <c r="K1174" s="0" t="n">
        <v>64</v>
      </c>
      <c r="M1174" s="0" t="n">
        <v>1418.84</v>
      </c>
      <c r="N1174" s="0" t="n">
        <v>42.54</v>
      </c>
      <c r="O1174" s="0" t="n">
        <v>35.55</v>
      </c>
      <c r="P1174" s="0" t="n">
        <v>3.81</v>
      </c>
      <c r="Q1174" s="0" t="n">
        <v>3.53</v>
      </c>
      <c r="R1174" s="0" t="n">
        <v>4570</v>
      </c>
      <c r="S1174" s="0" t="n">
        <v>9870</v>
      </c>
      <c r="T1174" s="0" t="n">
        <v>44.9</v>
      </c>
      <c r="U1174" s="0" t="n">
        <v>1009</v>
      </c>
      <c r="V1174" s="0" t="n">
        <v>10</v>
      </c>
      <c r="W1174" s="39" t="n">
        <f aca="false">IF(I1174="Male",0,1)</f>
        <v>1</v>
      </c>
      <c r="X1174" s="39" t="n">
        <f aca="false">IF(OR(I1174="DNB",I1174="Dry DNB"),1,0)</f>
        <v>0</v>
      </c>
      <c r="Y1174" s="39" t="n">
        <f aca="false">MATCH(A1174,DATAS,0)</f>
        <v>1</v>
      </c>
      <c r="Z1174" s="39" t="n">
        <f aca="false">IF(AND(E1174&gt;0,OR(AND(B1174&gt;=1,B1174&lt;=6),B1174=10)),1,0)</f>
        <v>1</v>
      </c>
      <c r="AA1174" s="39" t="n">
        <f aca="false">IF(AND(E1174&gt;0,B1174=10),1,0)</f>
        <v>0</v>
      </c>
      <c r="AB1174" s="0" t="str">
        <f aca="false">IF(AND(C1173=C1174,Y1173=Y1174-1),Z1173,"")</f>
        <v/>
      </c>
      <c r="AC1174" s="0" t="str">
        <f aca="false">IF(AND(C1173=C1174,Y1173=Y1174-1),AA1173,"")</f>
        <v/>
      </c>
      <c r="AD1174" s="0" t="str">
        <f aca="false">IF(Y1174=1,"",IF(AND(Z1174=1,AB1174&lt;&gt;1),1,0))</f>
        <v/>
      </c>
      <c r="AE1174" s="0" t="str">
        <f aca="false">IF(Y1174=1,"",IF(AND(AA1174=1,AC1174&lt;&gt;1),1,0))</f>
        <v/>
      </c>
      <c r="AF1174" s="45" t="str">
        <f aca="false">IF(AND(E1174&gt;0,Y1174&lt;1,NOT(AND(C1175=C1174,Y1175=Y1174+1))),INDEX(DATAS,Y1174+1),"")</f>
        <v/>
      </c>
      <c r="AG1174" s="45" t="str">
        <f aca="false">IF(AND(AA1174=1,Y1174&lt;1),IF(AND(C1175=C1174,Y1175=Y1174+1),IF(AA1175=1,"",INDEX(DATAS,Y1174+1)),INDEX(DATAS,Y1174+1)),"")</f>
        <v/>
      </c>
    </row>
    <row r="1175" customFormat="false" ht="15" hidden="false" customHeight="false" outlineLevel="0" collapsed="false">
      <c r="A1175" s="45" t="n">
        <v>46309</v>
      </c>
      <c r="B1175" s="0" t="n">
        <v>4</v>
      </c>
      <c r="C1175" s="0" t="n">
        <v>5226</v>
      </c>
      <c r="D1175" s="0" t="n">
        <v>297</v>
      </c>
      <c r="E1175" s="0" t="n">
        <v>1</v>
      </c>
      <c r="F1175" s="39" t="s">
        <v>795</v>
      </c>
      <c r="G1175" s="0" t="n">
        <v>48.8</v>
      </c>
      <c r="H1175" s="0" t="n">
        <v>52</v>
      </c>
      <c r="I1175" s="39" t="s">
        <v>109</v>
      </c>
      <c r="J1175" s="0" t="n">
        <v>122</v>
      </c>
      <c r="K1175" s="0" t="n">
        <v>52</v>
      </c>
      <c r="L1175" s="0" t="n">
        <v>175</v>
      </c>
      <c r="M1175" s="0" t="n">
        <v>425.22</v>
      </c>
      <c r="N1175" s="0" t="n">
        <v>86.62</v>
      </c>
      <c r="O1175" s="0" t="n">
        <v>27.62</v>
      </c>
      <c r="P1175" s="0" t="n">
        <v>4.94</v>
      </c>
      <c r="Q1175" s="0" t="n">
        <v>3.54</v>
      </c>
      <c r="R1175" s="0" t="n">
        <v>4346</v>
      </c>
      <c r="S1175" s="0" t="n">
        <v>9374</v>
      </c>
      <c r="T1175" s="0" t="n">
        <v>44.55</v>
      </c>
      <c r="U1175" s="0" t="n">
        <v>1008</v>
      </c>
      <c r="V1175" s="0" t="n">
        <v>4</v>
      </c>
      <c r="W1175" s="39" t="n">
        <f aca="false">IF(I1175="Male",0,1)</f>
        <v>1</v>
      </c>
      <c r="X1175" s="39" t="n">
        <f aca="false">IF(OR(I1175="DNB",I1175="Dry DNB"),1,0)</f>
        <v>0</v>
      </c>
      <c r="Y1175" s="39" t="n">
        <f aca="false">MATCH(A1175,DATAS,0)</f>
        <v>1</v>
      </c>
      <c r="Z1175" s="39" t="n">
        <f aca="false">IF(AND(E1175&gt;0,OR(AND(B1175&gt;=1,B1175&lt;=6),B1175=10)),1,0)</f>
        <v>1</v>
      </c>
      <c r="AA1175" s="39" t="n">
        <f aca="false">IF(AND(E1175&gt;0,B1175=10),1,0)</f>
        <v>0</v>
      </c>
      <c r="AB1175" s="0" t="str">
        <f aca="false">IF(AND(C1174=C1175,Y1174=Y1175-1),Z1174,"")</f>
        <v/>
      </c>
      <c r="AC1175" s="0" t="str">
        <f aca="false">IF(AND(C1174=C1175,Y1174=Y1175-1),AA1174,"")</f>
        <v/>
      </c>
      <c r="AD1175" s="0" t="str">
        <f aca="false">IF(Y1175=1,"",IF(AND(Z1175=1,AB1175&lt;&gt;1),1,0))</f>
        <v/>
      </c>
      <c r="AE1175" s="0" t="str">
        <f aca="false">IF(Y1175=1,"",IF(AND(AA1175=1,AC1175&lt;&gt;1),1,0))</f>
        <v/>
      </c>
      <c r="AF1175" s="45" t="str">
        <f aca="false">IF(AND(E1175&gt;0,Y1175&lt;1,NOT(AND(C1176=C1175,Y1176=Y1175+1))),INDEX(DATAS,Y1175+1),"")</f>
        <v/>
      </c>
      <c r="AG1175" s="45" t="str">
        <f aca="false">IF(AND(AA1175=1,Y1175&lt;1),IF(AND(C1176=C1175,Y1176=Y1175+1),IF(AA1176=1,"",INDEX(DATAS,Y1175+1)),INDEX(DATAS,Y1175+1)),"")</f>
        <v/>
      </c>
    </row>
    <row r="1176" customFormat="false" ht="15" hidden="false" customHeight="false" outlineLevel="0" collapsed="false">
      <c r="A1176" s="45" t="n">
        <v>46309</v>
      </c>
      <c r="B1176" s="0" t="n">
        <v>10</v>
      </c>
      <c r="C1176" s="0" t="n">
        <v>5227</v>
      </c>
      <c r="D1176" s="0" t="n">
        <v>11</v>
      </c>
      <c r="E1176" s="0" t="n">
        <v>2</v>
      </c>
      <c r="F1176" s="39" t="s">
        <v>796</v>
      </c>
      <c r="G1176" s="0" t="n">
        <v>23</v>
      </c>
      <c r="H1176" s="0" t="n">
        <v>22</v>
      </c>
      <c r="I1176" s="39" t="s">
        <v>118</v>
      </c>
      <c r="J1176" s="0" t="n">
        <v>11</v>
      </c>
      <c r="M1176" s="0" t="n">
        <v>588.28</v>
      </c>
      <c r="N1176" s="0" t="n">
        <v>85.47</v>
      </c>
      <c r="O1176" s="0" t="n">
        <v>43.18</v>
      </c>
      <c r="R1176" s="0" t="n">
        <v>1659</v>
      </c>
      <c r="S1176" s="0" t="n">
        <v>3335</v>
      </c>
      <c r="U1176" s="0" t="n">
        <v>1007</v>
      </c>
      <c r="V1176" s="0" t="n">
        <v>0</v>
      </c>
      <c r="W1176" s="39" t="n">
        <f aca="false">IF(I1176="Male",0,1)</f>
        <v>1</v>
      </c>
      <c r="X1176" s="39" t="n">
        <f aca="false">IF(OR(I1176="DNB",I1176="Dry DNB"),1,0)</f>
        <v>0</v>
      </c>
      <c r="Y1176" s="39" t="n">
        <f aca="false">MATCH(A1176,DATAS,0)</f>
        <v>1</v>
      </c>
      <c r="Z1176" s="39" t="n">
        <f aca="false">IF(AND(E1176&gt;0,OR(AND(B1176&gt;=1,B1176&lt;=6),B1176=10)),1,0)</f>
        <v>1</v>
      </c>
      <c r="AA1176" s="39" t="n">
        <f aca="false">IF(AND(E1176&gt;0,B1176=10),1,0)</f>
        <v>1</v>
      </c>
      <c r="AB1176" s="0" t="str">
        <f aca="false">IF(AND(C1175=C1176,Y1175=Y1176-1),Z1175,"")</f>
        <v/>
      </c>
      <c r="AC1176" s="0" t="str">
        <f aca="false">IF(AND(C1175=C1176,Y1175=Y1176-1),AA1175,"")</f>
        <v/>
      </c>
      <c r="AD1176" s="0" t="str">
        <f aca="false">IF(Y1176=1,"",IF(AND(Z1176=1,AB1176&lt;&gt;1),1,0))</f>
        <v/>
      </c>
      <c r="AE1176" s="0" t="str">
        <f aca="false">IF(Y1176=1,"",IF(AND(AA1176=1,AC1176&lt;&gt;1),1,0))</f>
        <v/>
      </c>
      <c r="AF1176" s="45" t="str">
        <f aca="false">IF(AND(E1176&gt;0,Y1176&lt;1,NOT(AND(C1177=C1176,Y1177=Y1176+1))),INDEX(DATAS,Y1176+1),"")</f>
        <v/>
      </c>
      <c r="AG1176" s="45" t="str">
        <f aca="false">IF(AND(AA1176=1,Y1176&lt;1),IF(AND(C1177=C1176,Y1177=Y1176+1),IF(AA1177=1,"",INDEX(DATAS,Y1176+1)),INDEX(DATAS,Y1176+1)),"")</f>
        <v/>
      </c>
    </row>
    <row r="1177" customFormat="false" ht="15" hidden="false" customHeight="false" outlineLevel="0" collapsed="false">
      <c r="A1177" s="45" t="n">
        <v>46309</v>
      </c>
      <c r="B1177" s="0" t="n">
        <v>14</v>
      </c>
      <c r="C1177" s="0" t="n">
        <v>5228</v>
      </c>
      <c r="D1177" s="0" t="n">
        <v>287</v>
      </c>
      <c r="E1177" s="0" t="n">
        <v>1</v>
      </c>
      <c r="F1177" s="39" t="s">
        <v>796</v>
      </c>
      <c r="I1177" s="39" t="s">
        <v>114</v>
      </c>
      <c r="J1177" s="0" t="n">
        <v>64</v>
      </c>
      <c r="K1177" s="0" t="n">
        <v>64</v>
      </c>
      <c r="L1177" s="0" t="n">
        <v>238</v>
      </c>
      <c r="M1177" s="0" t="n">
        <v>445.46</v>
      </c>
      <c r="N1177" s="0" t="n">
        <v>72.1</v>
      </c>
      <c r="O1177" s="0" t="n">
        <v>18.49</v>
      </c>
      <c r="P1177" s="0" t="n">
        <v>4.39</v>
      </c>
      <c r="Q1177" s="0" t="n">
        <v>3.4</v>
      </c>
      <c r="R1177" s="0" t="n">
        <v>3658</v>
      </c>
      <c r="S1177" s="0" t="n">
        <v>7961</v>
      </c>
      <c r="T1177" s="0" t="n">
        <v>40.7</v>
      </c>
      <c r="U1177" s="0" t="n">
        <v>1007</v>
      </c>
      <c r="V1177" s="0" t="n">
        <v>1</v>
      </c>
      <c r="W1177" s="39" t="n">
        <f aca="false">IF(I1177="Male",0,1)</f>
        <v>1</v>
      </c>
      <c r="X1177" s="39" t="n">
        <f aca="false">IF(OR(I1177="DNB",I1177="Dry DNB"),1,0)</f>
        <v>0</v>
      </c>
      <c r="Y1177" s="39" t="n">
        <f aca="false">MATCH(A1177,DATAS,0)</f>
        <v>1</v>
      </c>
      <c r="Z1177" s="39" t="n">
        <f aca="false">IF(AND(E1177&gt;0,OR(AND(B1177&gt;=1,B1177&lt;=6),B1177=10)),1,0)</f>
        <v>0</v>
      </c>
      <c r="AA1177" s="39" t="n">
        <f aca="false">IF(AND(E1177&gt;0,B1177=10),1,0)</f>
        <v>0</v>
      </c>
      <c r="AB1177" s="0" t="str">
        <f aca="false">IF(AND(C1176=C1177,Y1176=Y1177-1),Z1176,"")</f>
        <v/>
      </c>
      <c r="AC1177" s="0" t="str">
        <f aca="false">IF(AND(C1176=C1177,Y1176=Y1177-1),AA1176,"")</f>
        <v/>
      </c>
      <c r="AD1177" s="0" t="str">
        <f aca="false">IF(Y1177=1,"",IF(AND(Z1177=1,AB1177&lt;&gt;1),1,0))</f>
        <v/>
      </c>
      <c r="AE1177" s="0" t="str">
        <f aca="false">IF(Y1177=1,"",IF(AND(AA1177=1,AC1177&lt;&gt;1),1,0))</f>
        <v/>
      </c>
      <c r="AF1177" s="45" t="str">
        <f aca="false">IF(AND(E1177&gt;0,Y1177&lt;1,NOT(AND(C1178=C1177,Y1178=Y1177+1))),INDEX(DATAS,Y1177+1),"")</f>
        <v/>
      </c>
      <c r="AG1177" s="45" t="str">
        <f aca="false">IF(AND(AA1177=1,Y1177&lt;1),IF(AND(C1178=C1177,Y1178=Y1177+1),IF(AA1178=1,"",INDEX(DATAS,Y1177+1)),INDEX(DATAS,Y1177+1)),"")</f>
        <v/>
      </c>
    </row>
    <row r="1178" customFormat="false" ht="15" hidden="false" customHeight="false" outlineLevel="0" collapsed="false">
      <c r="A1178" s="45" t="n">
        <v>46309</v>
      </c>
      <c r="B1178" s="0" t="n">
        <v>5</v>
      </c>
      <c r="C1178" s="0" t="n">
        <v>5229</v>
      </c>
      <c r="D1178" s="0" t="n">
        <v>373</v>
      </c>
      <c r="E1178" s="0" t="n">
        <v>1</v>
      </c>
      <c r="F1178" s="39" t="s">
        <v>796</v>
      </c>
      <c r="G1178" s="0" t="n">
        <v>45.8</v>
      </c>
      <c r="H1178" s="0" t="n">
        <v>41</v>
      </c>
      <c r="I1178" s="39" t="s">
        <v>109</v>
      </c>
      <c r="J1178" s="0" t="n">
        <v>228</v>
      </c>
      <c r="K1178" s="0" t="n">
        <v>65</v>
      </c>
      <c r="L1178" s="0" t="n">
        <v>145</v>
      </c>
      <c r="M1178" s="0" t="n">
        <v>802.16</v>
      </c>
      <c r="N1178" s="0" t="n">
        <v>63.33</v>
      </c>
      <c r="O1178" s="0" t="n">
        <v>38.99</v>
      </c>
      <c r="P1178" s="0" t="n">
        <v>3.57</v>
      </c>
      <c r="Q1178" s="0" t="n">
        <v>3.56</v>
      </c>
      <c r="R1178" s="0" t="n">
        <v>3717</v>
      </c>
      <c r="S1178" s="0" t="n">
        <v>8917</v>
      </c>
      <c r="T1178" s="0" t="n">
        <v>41.05</v>
      </c>
      <c r="U1178" s="0" t="n">
        <v>1007</v>
      </c>
      <c r="V1178" s="0" t="n">
        <v>6</v>
      </c>
      <c r="W1178" s="39" t="n">
        <f aca="false">IF(I1178="Male",0,1)</f>
        <v>1</v>
      </c>
      <c r="X1178" s="39" t="n">
        <f aca="false">IF(OR(I1178="DNB",I1178="Dry DNB"),1,0)</f>
        <v>0</v>
      </c>
      <c r="Y1178" s="39" t="n">
        <f aca="false">MATCH(A1178,DATAS,0)</f>
        <v>1</v>
      </c>
      <c r="Z1178" s="39" t="n">
        <f aca="false">IF(AND(E1178&gt;0,OR(AND(B1178&gt;=1,B1178&lt;=6),B1178=10)),1,0)</f>
        <v>1</v>
      </c>
      <c r="AA1178" s="39" t="n">
        <f aca="false">IF(AND(E1178&gt;0,B1178=10),1,0)</f>
        <v>0</v>
      </c>
      <c r="AB1178" s="0" t="str">
        <f aca="false">IF(AND(C1177=C1178,Y1177=Y1178-1),Z1177,"")</f>
        <v/>
      </c>
      <c r="AC1178" s="0" t="str">
        <f aca="false">IF(AND(C1177=C1178,Y1177=Y1178-1),AA1177,"")</f>
        <v/>
      </c>
      <c r="AD1178" s="0" t="str">
        <f aca="false">IF(Y1178=1,"",IF(AND(Z1178=1,AB1178&lt;&gt;1),1,0))</f>
        <v/>
      </c>
      <c r="AE1178" s="0" t="str">
        <f aca="false">IF(Y1178=1,"",IF(AND(AA1178=1,AC1178&lt;&gt;1),1,0))</f>
        <v/>
      </c>
      <c r="AF1178" s="45" t="str">
        <f aca="false">IF(AND(E1178&gt;0,Y1178&lt;1,NOT(AND(C1179=C1178,Y1179=Y1178+1))),INDEX(DATAS,Y1178+1),"")</f>
        <v/>
      </c>
      <c r="AG1178" s="45" t="str">
        <f aca="false">IF(AND(AA1178=1,Y1178&lt;1),IF(AND(C1179=C1178,Y1179=Y1178+1),IF(AA1179=1,"",INDEX(DATAS,Y1178+1)),INDEX(DATAS,Y1178+1)),"")</f>
        <v/>
      </c>
    </row>
    <row r="1179" customFormat="false" ht="15" hidden="false" customHeight="false" outlineLevel="0" collapsed="false">
      <c r="A1179" s="45" t="n">
        <v>46309</v>
      </c>
      <c r="B1179" s="0" t="n">
        <v>4</v>
      </c>
      <c r="C1179" s="0" t="n">
        <v>5230</v>
      </c>
      <c r="D1179" s="0" t="n">
        <v>276</v>
      </c>
      <c r="E1179" s="0" t="n">
        <v>1</v>
      </c>
      <c r="F1179" s="39" t="s">
        <v>796</v>
      </c>
      <c r="G1179" s="0" t="n">
        <v>46.5</v>
      </c>
      <c r="H1179" s="0" t="n">
        <v>48</v>
      </c>
      <c r="I1179" s="39" t="s">
        <v>138</v>
      </c>
      <c r="J1179" s="0" t="n">
        <v>276</v>
      </c>
      <c r="K1179" s="0" t="n">
        <v>73</v>
      </c>
      <c r="M1179" s="0" t="n">
        <v>447.35</v>
      </c>
      <c r="N1179" s="0" t="n">
        <v>86.51</v>
      </c>
      <c r="O1179" s="0" t="n">
        <v>41.97</v>
      </c>
      <c r="P1179" s="0" t="n">
        <v>3.35</v>
      </c>
      <c r="Q1179" s="0" t="n">
        <v>3.62</v>
      </c>
      <c r="R1179" s="0" t="n">
        <v>4192</v>
      </c>
      <c r="S1179" s="0" t="n">
        <v>8679</v>
      </c>
      <c r="T1179" s="0" t="n">
        <v>41.7</v>
      </c>
      <c r="U1179" s="0" t="n">
        <v>1007</v>
      </c>
      <c r="V1179" s="0" t="n">
        <v>7</v>
      </c>
      <c r="W1179" s="39" t="n">
        <f aca="false">IF(I1179="Male",0,1)</f>
        <v>1</v>
      </c>
      <c r="X1179" s="39" t="n">
        <f aca="false">IF(OR(I1179="DNB",I1179="Dry DNB"),1,0)</f>
        <v>0</v>
      </c>
      <c r="Y1179" s="39" t="n">
        <f aca="false">MATCH(A1179,DATAS,0)</f>
        <v>1</v>
      </c>
      <c r="Z1179" s="39" t="n">
        <f aca="false">IF(AND(E1179&gt;0,OR(AND(B1179&gt;=1,B1179&lt;=6),B1179=10)),1,0)</f>
        <v>1</v>
      </c>
      <c r="AA1179" s="39" t="n">
        <f aca="false">IF(AND(E1179&gt;0,B1179=10),1,0)</f>
        <v>0</v>
      </c>
      <c r="AB1179" s="0" t="str">
        <f aca="false">IF(AND(C1178=C1179,Y1178=Y1179-1),Z1178,"")</f>
        <v/>
      </c>
      <c r="AC1179" s="0" t="str">
        <f aca="false">IF(AND(C1178=C1179,Y1178=Y1179-1),AA1178,"")</f>
        <v/>
      </c>
      <c r="AD1179" s="0" t="str">
        <f aca="false">IF(Y1179=1,"",IF(AND(Z1179=1,AB1179&lt;&gt;1),1,0))</f>
        <v/>
      </c>
      <c r="AE1179" s="0" t="str">
        <f aca="false">IF(Y1179=1,"",IF(AND(AA1179=1,AC1179&lt;&gt;1),1,0))</f>
        <v/>
      </c>
      <c r="AF1179" s="45" t="str">
        <f aca="false">IF(AND(E1179&gt;0,Y1179&lt;1,NOT(AND(C1180=C1179,Y1180=Y1179+1))),INDEX(DATAS,Y1179+1),"")</f>
        <v/>
      </c>
      <c r="AG1179" s="45" t="str">
        <f aca="false">IF(AND(AA1179=1,Y1179&lt;1),IF(AND(C1180=C1179,Y1180=Y1179+1),IF(AA1180=1,"",INDEX(DATAS,Y1179+1)),INDEX(DATAS,Y1179+1)),"")</f>
        <v/>
      </c>
    </row>
    <row r="1180" customFormat="false" ht="15" hidden="false" customHeight="false" outlineLevel="0" collapsed="false">
      <c r="A1180" s="45" t="n">
        <v>46309</v>
      </c>
      <c r="B1180" s="0" t="n">
        <v>7</v>
      </c>
      <c r="C1180" s="0" t="n">
        <v>5231</v>
      </c>
      <c r="D1180" s="0" t="n">
        <v>373</v>
      </c>
      <c r="E1180" s="0" t="n">
        <v>1</v>
      </c>
      <c r="F1180" s="39" t="s">
        <v>796</v>
      </c>
      <c r="I1180" s="39" t="s">
        <v>114</v>
      </c>
      <c r="J1180" s="0" t="n">
        <v>150</v>
      </c>
      <c r="K1180" s="0" t="n">
        <v>66</v>
      </c>
      <c r="L1180" s="0" t="n">
        <v>238</v>
      </c>
      <c r="M1180" s="0" t="n">
        <v>740.63</v>
      </c>
      <c r="N1180" s="0" t="n">
        <v>17.4</v>
      </c>
      <c r="O1180" s="0" t="n">
        <v>25.58</v>
      </c>
      <c r="P1180" s="0" t="n">
        <v>5.37</v>
      </c>
      <c r="Q1180" s="0" t="n">
        <v>3.71</v>
      </c>
      <c r="R1180" s="0" t="n">
        <v>3769</v>
      </c>
      <c r="S1180" s="0" t="n">
        <v>8287</v>
      </c>
      <c r="T1180" s="0" t="n">
        <v>46.7</v>
      </c>
      <c r="U1180" s="0" t="n">
        <v>1007</v>
      </c>
      <c r="V1180" s="0" t="n">
        <v>4</v>
      </c>
      <c r="W1180" s="39" t="n">
        <f aca="false">IF(I1180="Male",0,1)</f>
        <v>1</v>
      </c>
      <c r="X1180" s="39" t="n">
        <f aca="false">IF(OR(I1180="DNB",I1180="Dry DNB"),1,0)</f>
        <v>0</v>
      </c>
      <c r="Y1180" s="39" t="n">
        <f aca="false">MATCH(A1180,DATAS,0)</f>
        <v>1</v>
      </c>
      <c r="Z1180" s="39" t="n">
        <f aca="false">IF(AND(E1180&gt;0,OR(AND(B1180&gt;=1,B1180&lt;=6),B1180=10)),1,0)</f>
        <v>0</v>
      </c>
      <c r="AA1180" s="39" t="n">
        <f aca="false">IF(AND(E1180&gt;0,B1180=10),1,0)</f>
        <v>0</v>
      </c>
      <c r="AB1180" s="0" t="str">
        <f aca="false">IF(AND(C1179=C1180,Y1179=Y1180-1),Z1179,"")</f>
        <v/>
      </c>
      <c r="AC1180" s="0" t="str">
        <f aca="false">IF(AND(C1179=C1180,Y1179=Y1180-1),AA1179,"")</f>
        <v/>
      </c>
      <c r="AD1180" s="0" t="str">
        <f aca="false">IF(Y1180=1,"",IF(AND(Z1180=1,AB1180&lt;&gt;1),1,0))</f>
        <v/>
      </c>
      <c r="AE1180" s="0" t="str">
        <f aca="false">IF(Y1180=1,"",IF(AND(AA1180=1,AC1180&lt;&gt;1),1,0))</f>
        <v/>
      </c>
      <c r="AF1180" s="45" t="str">
        <f aca="false">IF(AND(E1180&gt;0,Y1180&lt;1,NOT(AND(C1181=C1180,Y1181=Y1180+1))),INDEX(DATAS,Y1180+1),"")</f>
        <v/>
      </c>
      <c r="AG1180" s="45" t="str">
        <f aca="false">IF(AND(AA1180=1,Y1180&lt;1),IF(AND(C1181=C1180,Y1181=Y1180+1),IF(AA1181=1,"",INDEX(DATAS,Y1180+1)),INDEX(DATAS,Y1180+1)),"")</f>
        <v/>
      </c>
    </row>
    <row r="1181" customFormat="false" ht="15" hidden="false" customHeight="false" outlineLevel="0" collapsed="false">
      <c r="A1181" s="45" t="n">
        <v>46309</v>
      </c>
      <c r="B1181" s="0" t="n">
        <v>5</v>
      </c>
      <c r="C1181" s="0" t="n">
        <v>5232</v>
      </c>
      <c r="D1181" s="0" t="n">
        <v>381</v>
      </c>
      <c r="E1181" s="0" t="n">
        <v>1</v>
      </c>
      <c r="F1181" s="39" t="s">
        <v>797</v>
      </c>
      <c r="G1181" s="0" t="n">
        <v>37.1</v>
      </c>
      <c r="H1181" s="0" t="n">
        <v>33</v>
      </c>
      <c r="I1181" s="39" t="s">
        <v>109</v>
      </c>
      <c r="J1181" s="0" t="n">
        <v>332</v>
      </c>
      <c r="K1181" s="0" t="n">
        <v>66</v>
      </c>
      <c r="L1181" s="0" t="n">
        <v>49</v>
      </c>
      <c r="M1181" s="0" t="n">
        <v>493.39</v>
      </c>
      <c r="N1181" s="0" t="n">
        <v>66.4</v>
      </c>
      <c r="O1181" s="0" t="n">
        <v>32.08</v>
      </c>
      <c r="P1181" s="0" t="n">
        <v>5.16</v>
      </c>
      <c r="Q1181" s="0" t="n">
        <v>4.17</v>
      </c>
      <c r="R1181" s="0" t="n">
        <v>4616</v>
      </c>
      <c r="S1181" s="0" t="n">
        <v>9550</v>
      </c>
      <c r="T1181" s="0" t="n">
        <v>51.3</v>
      </c>
      <c r="U1181" s="0" t="n">
        <v>1006</v>
      </c>
      <c r="V1181" s="0" t="n">
        <v>7</v>
      </c>
      <c r="W1181" s="39" t="n">
        <f aca="false">IF(I1181="Male",0,1)</f>
        <v>1</v>
      </c>
      <c r="X1181" s="39" t="n">
        <f aca="false">IF(OR(I1181="DNB",I1181="Dry DNB"),1,0)</f>
        <v>0</v>
      </c>
      <c r="Y1181" s="39" t="n">
        <f aca="false">MATCH(A1181,DATAS,0)</f>
        <v>1</v>
      </c>
      <c r="Z1181" s="39" t="n">
        <f aca="false">IF(AND(E1181&gt;0,OR(AND(B1181&gt;=1,B1181&lt;=6),B1181=10)),1,0)</f>
        <v>1</v>
      </c>
      <c r="AA1181" s="39" t="n">
        <f aca="false">IF(AND(E1181&gt;0,B1181=10),1,0)</f>
        <v>0</v>
      </c>
      <c r="AB1181" s="0" t="str">
        <f aca="false">IF(AND(C1180=C1181,Y1180=Y1181-1),Z1180,"")</f>
        <v/>
      </c>
      <c r="AC1181" s="0" t="str">
        <f aca="false">IF(AND(C1180=C1181,Y1180=Y1181-1),AA1180,"")</f>
        <v/>
      </c>
      <c r="AD1181" s="0" t="str">
        <f aca="false">IF(Y1181=1,"",IF(AND(Z1181=1,AB1181&lt;&gt;1),1,0))</f>
        <v/>
      </c>
      <c r="AE1181" s="0" t="str">
        <f aca="false">IF(Y1181=1,"",IF(AND(AA1181=1,AC1181&lt;&gt;1),1,0))</f>
        <v/>
      </c>
      <c r="AF1181" s="45" t="str">
        <f aca="false">IF(AND(E1181&gt;0,Y1181&lt;1,NOT(AND(C1182=C1181,Y1182=Y1181+1))),INDEX(DATAS,Y1181+1),"")</f>
        <v/>
      </c>
      <c r="AG1181" s="45" t="str">
        <f aca="false">IF(AND(AA1181=1,Y1181&lt;1),IF(AND(C1182=C1181,Y1182=Y1181+1),IF(AA1182=1,"",INDEX(DATAS,Y1181+1)),INDEX(DATAS,Y1181+1)),"")</f>
        <v/>
      </c>
    </row>
    <row r="1182" customFormat="false" ht="15" hidden="false" customHeight="false" outlineLevel="0" collapsed="false">
      <c r="A1182" s="45" t="n">
        <v>46309</v>
      </c>
      <c r="B1182" s="0" t="n">
        <v>5</v>
      </c>
      <c r="C1182" s="0" t="n">
        <v>5233</v>
      </c>
      <c r="D1182" s="0" t="n">
        <v>371</v>
      </c>
      <c r="E1182" s="0" t="n">
        <v>1</v>
      </c>
      <c r="F1182" s="39" t="s">
        <v>797</v>
      </c>
      <c r="G1182" s="0" t="n">
        <v>54.7</v>
      </c>
      <c r="H1182" s="0" t="n">
        <v>49</v>
      </c>
      <c r="I1182" s="39" t="s">
        <v>109</v>
      </c>
      <c r="J1182" s="0" t="n">
        <v>322</v>
      </c>
      <c r="K1182" s="0" t="n">
        <v>63</v>
      </c>
      <c r="L1182" s="0" t="n">
        <v>49</v>
      </c>
      <c r="M1182" s="0" t="n">
        <v>423.11</v>
      </c>
      <c r="N1182" s="0" t="n">
        <v>73.11</v>
      </c>
      <c r="O1182" s="0" t="n">
        <v>41.92</v>
      </c>
      <c r="P1182" s="0" t="n">
        <v>3.78</v>
      </c>
      <c r="Q1182" s="0" t="n">
        <v>3.97</v>
      </c>
      <c r="R1182" s="0" t="n">
        <v>5494</v>
      </c>
      <c r="S1182" s="0" t="n">
        <v>10917</v>
      </c>
      <c r="T1182" s="0" t="n">
        <v>57.35</v>
      </c>
      <c r="U1182" s="0" t="n">
        <v>1006</v>
      </c>
      <c r="V1182" s="0" t="n">
        <v>8</v>
      </c>
      <c r="W1182" s="39" t="n">
        <f aca="false">IF(I1182="Male",0,1)</f>
        <v>1</v>
      </c>
      <c r="X1182" s="39" t="n">
        <f aca="false">IF(OR(I1182="DNB",I1182="Dry DNB"),1,0)</f>
        <v>0</v>
      </c>
      <c r="Y1182" s="39" t="n">
        <f aca="false">MATCH(A1182,DATAS,0)</f>
        <v>1</v>
      </c>
      <c r="Z1182" s="39" t="n">
        <f aca="false">IF(AND(E1182&gt;0,OR(AND(B1182&gt;=1,B1182&lt;=6),B1182=10)),1,0)</f>
        <v>1</v>
      </c>
      <c r="AA1182" s="39" t="n">
        <f aca="false">IF(AND(E1182&gt;0,B1182=10),1,0)</f>
        <v>0</v>
      </c>
      <c r="AB1182" s="0" t="str">
        <f aca="false">IF(AND(C1181=C1182,Y1181=Y1182-1),Z1181,"")</f>
        <v/>
      </c>
      <c r="AC1182" s="0" t="str">
        <f aca="false">IF(AND(C1181=C1182,Y1181=Y1182-1),AA1181,"")</f>
        <v/>
      </c>
      <c r="AD1182" s="0" t="str">
        <f aca="false">IF(Y1182=1,"",IF(AND(Z1182=1,AB1182&lt;&gt;1),1,0))</f>
        <v/>
      </c>
      <c r="AE1182" s="0" t="str">
        <f aca="false">IF(Y1182=1,"",IF(AND(AA1182=1,AC1182&lt;&gt;1),1,0))</f>
        <v/>
      </c>
      <c r="AF1182" s="45" t="str">
        <f aca="false">IF(AND(E1182&gt;0,Y1182&lt;1,NOT(AND(C1183=C1182,Y1183=Y1182+1))),INDEX(DATAS,Y1182+1),"")</f>
        <v/>
      </c>
      <c r="AG1182" s="45" t="str">
        <f aca="false">IF(AND(AA1182=1,Y1182&lt;1),IF(AND(C1183=C1182,Y1183=Y1182+1),IF(AA1183=1,"",INDEX(DATAS,Y1182+1)),INDEX(DATAS,Y1182+1)),"")</f>
        <v/>
      </c>
    </row>
    <row r="1183" customFormat="false" ht="15" hidden="false" customHeight="false" outlineLevel="0" collapsed="false">
      <c r="A1183" s="45" t="n">
        <v>46309</v>
      </c>
      <c r="B1183" s="0" t="n">
        <v>5</v>
      </c>
      <c r="C1183" s="0" t="n">
        <v>5235</v>
      </c>
      <c r="D1183" s="0" t="n">
        <v>46</v>
      </c>
      <c r="E1183" s="0" t="n">
        <v>2</v>
      </c>
      <c r="F1183" s="39" t="s">
        <v>798</v>
      </c>
      <c r="G1183" s="0" t="n">
        <v>41.1</v>
      </c>
      <c r="H1183" s="0" t="n">
        <v>42</v>
      </c>
      <c r="I1183" s="39" t="s">
        <v>118</v>
      </c>
      <c r="J1183" s="0" t="n">
        <v>46</v>
      </c>
      <c r="M1183" s="0" t="n">
        <v>425.16</v>
      </c>
      <c r="N1183" s="0" t="n">
        <v>89.41</v>
      </c>
      <c r="O1183" s="0" t="n">
        <v>43.97</v>
      </c>
      <c r="P1183" s="0" t="n">
        <v>3.65</v>
      </c>
      <c r="Q1183" s="0" t="n">
        <v>4.16</v>
      </c>
      <c r="R1183" s="0" t="n">
        <v>3371</v>
      </c>
      <c r="S1183" s="0" t="n">
        <v>6776</v>
      </c>
      <c r="U1183" s="0" t="n">
        <v>1005</v>
      </c>
      <c r="V1183" s="0" t="n">
        <v>0</v>
      </c>
      <c r="W1183" s="39" t="n">
        <f aca="false">IF(I1183="Male",0,1)</f>
        <v>1</v>
      </c>
      <c r="X1183" s="39" t="n">
        <f aca="false">IF(OR(I1183="DNB",I1183="Dry DNB"),1,0)</f>
        <v>0</v>
      </c>
      <c r="Y1183" s="39" t="n">
        <f aca="false">MATCH(A1183,DATAS,0)</f>
        <v>1</v>
      </c>
      <c r="Z1183" s="39" t="n">
        <f aca="false">IF(AND(E1183&gt;0,OR(AND(B1183&gt;=1,B1183&lt;=6),B1183=10)),1,0)</f>
        <v>1</v>
      </c>
      <c r="AA1183" s="39" t="n">
        <f aca="false">IF(AND(E1183&gt;0,B1183=10),1,0)</f>
        <v>0</v>
      </c>
      <c r="AB1183" s="0" t="str">
        <f aca="false">IF(AND(C1182=C1183,Y1182=Y1183-1),Z1182,"")</f>
        <v/>
      </c>
      <c r="AC1183" s="0" t="str">
        <f aca="false">IF(AND(C1182=C1183,Y1182=Y1183-1),AA1182,"")</f>
        <v/>
      </c>
      <c r="AD1183" s="0" t="str">
        <f aca="false">IF(Y1183=1,"",IF(AND(Z1183=1,AB1183&lt;&gt;1),1,0))</f>
        <v/>
      </c>
      <c r="AE1183" s="0" t="str">
        <f aca="false">IF(Y1183=1,"",IF(AND(AA1183=1,AC1183&lt;&gt;1),1,0))</f>
        <v/>
      </c>
      <c r="AF1183" s="45" t="str">
        <f aca="false">IF(AND(E1183&gt;0,Y1183&lt;1,NOT(AND(C1184=C1183,Y1184=Y1183+1))),INDEX(DATAS,Y1183+1),"")</f>
        <v/>
      </c>
      <c r="AG1183" s="45" t="str">
        <f aca="false">IF(AND(AA1183=1,Y1183&lt;1),IF(AND(C1184=C1183,Y1184=Y1183+1),IF(AA1184=1,"",INDEX(DATAS,Y1183+1)),INDEX(DATAS,Y1183+1)),"")</f>
        <v/>
      </c>
    </row>
    <row r="1184" customFormat="false" ht="15" hidden="false" customHeight="false" outlineLevel="0" collapsed="false">
      <c r="A1184" s="45" t="n">
        <v>46309</v>
      </c>
      <c r="B1184" s="0" t="n">
        <v>4</v>
      </c>
      <c r="C1184" s="0" t="n">
        <v>5236</v>
      </c>
      <c r="D1184" s="0" t="n">
        <v>325</v>
      </c>
      <c r="E1184" s="0" t="n">
        <v>1</v>
      </c>
      <c r="F1184" s="39" t="s">
        <v>798</v>
      </c>
      <c r="G1184" s="0" t="n">
        <v>49.6</v>
      </c>
      <c r="H1184" s="0" t="n">
        <v>47</v>
      </c>
      <c r="I1184" s="39" t="s">
        <v>109</v>
      </c>
      <c r="J1184" s="0" t="n">
        <v>192</v>
      </c>
      <c r="K1184" s="0" t="n">
        <v>66</v>
      </c>
      <c r="L1184" s="0" t="n">
        <v>133</v>
      </c>
      <c r="M1184" s="0" t="n">
        <v>892.09</v>
      </c>
      <c r="N1184" s="0" t="n">
        <v>66.69</v>
      </c>
      <c r="O1184" s="0" t="n">
        <v>42.81</v>
      </c>
      <c r="P1184" s="0" t="n">
        <v>3.57</v>
      </c>
      <c r="Q1184" s="0" t="n">
        <v>3.71</v>
      </c>
      <c r="R1184" s="0" t="n">
        <v>4778</v>
      </c>
      <c r="S1184" s="0" t="n">
        <v>9470</v>
      </c>
      <c r="T1184" s="0" t="n">
        <v>49.3</v>
      </c>
      <c r="U1184" s="0" t="n">
        <v>1005</v>
      </c>
      <c r="V1184" s="0" t="n">
        <v>4</v>
      </c>
      <c r="W1184" s="39" t="n">
        <f aca="false">IF(I1184="Male",0,1)</f>
        <v>1</v>
      </c>
      <c r="X1184" s="39" t="n">
        <f aca="false">IF(OR(I1184="DNB",I1184="Dry DNB"),1,0)</f>
        <v>0</v>
      </c>
      <c r="Y1184" s="39" t="n">
        <f aca="false">MATCH(A1184,DATAS,0)</f>
        <v>1</v>
      </c>
      <c r="Z1184" s="39" t="n">
        <f aca="false">IF(AND(E1184&gt;0,OR(AND(B1184&gt;=1,B1184&lt;=6),B1184=10)),1,0)</f>
        <v>1</v>
      </c>
      <c r="AA1184" s="39" t="n">
        <f aca="false">IF(AND(E1184&gt;0,B1184=10),1,0)</f>
        <v>0</v>
      </c>
      <c r="AB1184" s="0" t="str">
        <f aca="false">IF(AND(C1183=C1184,Y1183=Y1184-1),Z1183,"")</f>
        <v/>
      </c>
      <c r="AC1184" s="0" t="str">
        <f aca="false">IF(AND(C1183=C1184,Y1183=Y1184-1),AA1183,"")</f>
        <v/>
      </c>
      <c r="AD1184" s="0" t="str">
        <f aca="false">IF(Y1184=1,"",IF(AND(Z1184=1,AB1184&lt;&gt;1),1,0))</f>
        <v/>
      </c>
      <c r="AE1184" s="0" t="str">
        <f aca="false">IF(Y1184=1,"",IF(AND(AA1184=1,AC1184&lt;&gt;1),1,0))</f>
        <v/>
      </c>
      <c r="AF1184" s="45" t="str">
        <f aca="false">IF(AND(E1184&gt;0,Y1184&lt;1,NOT(AND(C1185=C1184,Y1185=Y1184+1))),INDEX(DATAS,Y1184+1),"")</f>
        <v/>
      </c>
      <c r="AG1184" s="45" t="str">
        <f aca="false">IF(AND(AA1184=1,Y1184&lt;1),IF(AND(C1185=C1184,Y1185=Y1184+1),IF(AA1185=1,"",INDEX(DATAS,Y1184+1)),INDEX(DATAS,Y1184+1)),"")</f>
        <v/>
      </c>
    </row>
    <row r="1185" customFormat="false" ht="15" hidden="false" customHeight="false" outlineLevel="0" collapsed="false">
      <c r="A1185" s="45" t="n">
        <v>46309</v>
      </c>
      <c r="B1185" s="0" t="n">
        <v>4</v>
      </c>
      <c r="C1185" s="0" t="n">
        <v>5238</v>
      </c>
      <c r="D1185" s="0" t="n">
        <v>327</v>
      </c>
      <c r="E1185" s="0" t="n">
        <v>1</v>
      </c>
      <c r="F1185" s="39" t="s">
        <v>798</v>
      </c>
      <c r="G1185" s="0" t="n">
        <v>47.5</v>
      </c>
      <c r="H1185" s="0" t="n">
        <v>48</v>
      </c>
      <c r="I1185" s="39" t="s">
        <v>109</v>
      </c>
      <c r="J1185" s="0" t="n">
        <v>278</v>
      </c>
      <c r="K1185" s="0" t="n">
        <v>68</v>
      </c>
      <c r="L1185" s="0" t="n">
        <v>49</v>
      </c>
      <c r="M1185" s="0" t="n">
        <v>1064.77</v>
      </c>
      <c r="N1185" s="0" t="n">
        <v>77.62</v>
      </c>
      <c r="O1185" s="0" t="n">
        <v>37.86</v>
      </c>
      <c r="P1185" s="0" t="n">
        <v>3.26</v>
      </c>
      <c r="Q1185" s="0" t="n">
        <v>3.51</v>
      </c>
      <c r="R1185" s="0" t="n">
        <v>4887</v>
      </c>
      <c r="S1185" s="0" t="n">
        <v>10529</v>
      </c>
      <c r="T1185" s="0" t="n">
        <v>55.55</v>
      </c>
      <c r="U1185" s="0" t="n">
        <v>1005</v>
      </c>
      <c r="V1185" s="0" t="n">
        <v>7</v>
      </c>
      <c r="W1185" s="39" t="n">
        <f aca="false">IF(I1185="Male",0,1)</f>
        <v>1</v>
      </c>
      <c r="X1185" s="39" t="n">
        <f aca="false">IF(OR(I1185="DNB",I1185="Dry DNB"),1,0)</f>
        <v>0</v>
      </c>
      <c r="Y1185" s="39" t="n">
        <f aca="false">MATCH(A1185,DATAS,0)</f>
        <v>1</v>
      </c>
      <c r="Z1185" s="39" t="n">
        <f aca="false">IF(AND(E1185&gt;0,OR(AND(B1185&gt;=1,B1185&lt;=6),B1185=10)),1,0)</f>
        <v>1</v>
      </c>
      <c r="AA1185" s="39" t="n">
        <f aca="false">IF(AND(E1185&gt;0,B1185=10),1,0)</f>
        <v>0</v>
      </c>
      <c r="AB1185" s="0" t="str">
        <f aca="false">IF(AND(C1184=C1185,Y1184=Y1185-1),Z1184,"")</f>
        <v/>
      </c>
      <c r="AC1185" s="0" t="str">
        <f aca="false">IF(AND(C1184=C1185,Y1184=Y1185-1),AA1184,"")</f>
        <v/>
      </c>
      <c r="AD1185" s="0" t="str">
        <f aca="false">IF(Y1185=1,"",IF(AND(Z1185=1,AB1185&lt;&gt;1),1,0))</f>
        <v/>
      </c>
      <c r="AE1185" s="0" t="str">
        <f aca="false">IF(Y1185=1,"",IF(AND(AA1185=1,AC1185&lt;&gt;1),1,0))</f>
        <v/>
      </c>
      <c r="AF1185" s="45" t="str">
        <f aca="false">IF(AND(E1185&gt;0,Y1185&lt;1,NOT(AND(C1186=C1185,Y1186=Y1185+1))),INDEX(DATAS,Y1185+1),"")</f>
        <v/>
      </c>
      <c r="AG1185" s="45" t="str">
        <f aca="false">IF(AND(AA1185=1,Y1185&lt;1),IF(AND(C1186=C1185,Y1186=Y1185+1),IF(AA1186=1,"",INDEX(DATAS,Y1185+1)),INDEX(DATAS,Y1185+1)),"")</f>
        <v/>
      </c>
    </row>
    <row r="1186" customFormat="false" ht="15" hidden="false" customHeight="false" outlineLevel="0" collapsed="false">
      <c r="A1186" s="45" t="n">
        <v>46309</v>
      </c>
      <c r="B1186" s="0" t="n">
        <v>2</v>
      </c>
      <c r="C1186" s="0" t="n">
        <v>5239</v>
      </c>
      <c r="D1186" s="0" t="n">
        <v>12</v>
      </c>
      <c r="E1186" s="0" t="n">
        <v>2</v>
      </c>
      <c r="F1186" s="39" t="s">
        <v>798</v>
      </c>
      <c r="G1186" s="0" t="n">
        <v>34.1</v>
      </c>
      <c r="H1186" s="0" t="n">
        <v>38</v>
      </c>
      <c r="I1186" s="39" t="s">
        <v>118</v>
      </c>
      <c r="J1186" s="0" t="n">
        <v>12</v>
      </c>
      <c r="M1186" s="0" t="n">
        <v>654.09</v>
      </c>
      <c r="N1186" s="0" t="n">
        <v>41.36</v>
      </c>
      <c r="O1186" s="0" t="n">
        <v>38.03</v>
      </c>
      <c r="R1186" s="0" t="n">
        <v>3077</v>
      </c>
      <c r="S1186" s="0" t="n">
        <v>6186</v>
      </c>
      <c r="U1186" s="0" t="n">
        <v>1005</v>
      </c>
      <c r="V1186" s="0" t="n">
        <v>0</v>
      </c>
      <c r="W1186" s="39" t="n">
        <f aca="false">IF(I1186="Male",0,1)</f>
        <v>1</v>
      </c>
      <c r="X1186" s="39" t="n">
        <f aca="false">IF(OR(I1186="DNB",I1186="Dry DNB"),1,0)</f>
        <v>0</v>
      </c>
      <c r="Y1186" s="39" t="n">
        <f aca="false">MATCH(A1186,DATAS,0)</f>
        <v>1</v>
      </c>
      <c r="Z1186" s="39" t="n">
        <f aca="false">IF(AND(E1186&gt;0,OR(AND(B1186&gt;=1,B1186&lt;=6),B1186=10)),1,0)</f>
        <v>1</v>
      </c>
      <c r="AA1186" s="39" t="n">
        <f aca="false">IF(AND(E1186&gt;0,B1186=10),1,0)</f>
        <v>0</v>
      </c>
      <c r="AB1186" s="0" t="str">
        <f aca="false">IF(AND(C1185=C1186,Y1185=Y1186-1),Z1185,"")</f>
        <v/>
      </c>
      <c r="AC1186" s="0" t="str">
        <f aca="false">IF(AND(C1185=C1186,Y1185=Y1186-1),AA1185,"")</f>
        <v/>
      </c>
      <c r="AD1186" s="0" t="str">
        <f aca="false">IF(Y1186=1,"",IF(AND(Z1186=1,AB1186&lt;&gt;1),1,0))</f>
        <v/>
      </c>
      <c r="AE1186" s="0" t="str">
        <f aca="false">IF(Y1186=1,"",IF(AND(AA1186=1,AC1186&lt;&gt;1),1,0))</f>
        <v/>
      </c>
      <c r="AF1186" s="45" t="str">
        <f aca="false">IF(AND(E1186&gt;0,Y1186&lt;1,NOT(AND(C1187=C1186,Y1187=Y1186+1))),INDEX(DATAS,Y1186+1),"")</f>
        <v/>
      </c>
      <c r="AG1186" s="45" t="str">
        <f aca="false">IF(AND(AA1186=1,Y1186&lt;1),IF(AND(C1187=C1186,Y1187=Y1186+1),IF(AA1187=1,"",INDEX(DATAS,Y1186+1)),INDEX(DATAS,Y1186+1)),"")</f>
        <v/>
      </c>
    </row>
    <row r="1187" customFormat="false" ht="15" hidden="false" customHeight="false" outlineLevel="0" collapsed="false">
      <c r="A1187" s="45" t="n">
        <v>46309</v>
      </c>
      <c r="B1187" s="0" t="n">
        <v>2</v>
      </c>
      <c r="C1187" s="0" t="n">
        <v>5240</v>
      </c>
      <c r="D1187" s="0" t="n">
        <v>19</v>
      </c>
      <c r="E1187" s="0" t="n">
        <v>2</v>
      </c>
      <c r="F1187" s="39" t="s">
        <v>799</v>
      </c>
      <c r="G1187" s="0" t="n">
        <v>41.8</v>
      </c>
      <c r="H1187" s="0" t="n">
        <v>41</v>
      </c>
      <c r="I1187" s="39" t="s">
        <v>118</v>
      </c>
      <c r="J1187" s="0" t="n">
        <v>19</v>
      </c>
      <c r="M1187" s="0" t="n">
        <v>218.15</v>
      </c>
      <c r="N1187" s="0" t="n">
        <v>66.27</v>
      </c>
      <c r="O1187" s="0" t="n">
        <v>35.83</v>
      </c>
      <c r="R1187" s="0" t="n">
        <v>2790</v>
      </c>
      <c r="S1187" s="0" t="n">
        <v>5609</v>
      </c>
      <c r="U1187" s="0" t="n">
        <v>1004</v>
      </c>
      <c r="V1187" s="0" t="n">
        <v>0</v>
      </c>
      <c r="W1187" s="39" t="n">
        <f aca="false">IF(I1187="Male",0,1)</f>
        <v>1</v>
      </c>
      <c r="X1187" s="39" t="n">
        <f aca="false">IF(OR(I1187="DNB",I1187="Dry DNB"),1,0)</f>
        <v>0</v>
      </c>
      <c r="Y1187" s="39" t="n">
        <f aca="false">MATCH(A1187,DATAS,0)</f>
        <v>1</v>
      </c>
      <c r="Z1187" s="39" t="n">
        <f aca="false">IF(AND(E1187&gt;0,OR(AND(B1187&gt;=1,B1187&lt;=6),B1187=10)),1,0)</f>
        <v>1</v>
      </c>
      <c r="AA1187" s="39" t="n">
        <f aca="false">IF(AND(E1187&gt;0,B1187=10),1,0)</f>
        <v>0</v>
      </c>
      <c r="AB1187" s="0" t="str">
        <f aca="false">IF(AND(C1186=C1187,Y1186=Y1187-1),Z1186,"")</f>
        <v/>
      </c>
      <c r="AC1187" s="0" t="str">
        <f aca="false">IF(AND(C1186=C1187,Y1186=Y1187-1),AA1186,"")</f>
        <v/>
      </c>
      <c r="AD1187" s="0" t="str">
        <f aca="false">IF(Y1187=1,"",IF(AND(Z1187=1,AB1187&lt;&gt;1),1,0))</f>
        <v/>
      </c>
      <c r="AE1187" s="0" t="str">
        <f aca="false">IF(Y1187=1,"",IF(AND(AA1187=1,AC1187&lt;&gt;1),1,0))</f>
        <v/>
      </c>
      <c r="AF1187" s="45" t="str">
        <f aca="false">IF(AND(E1187&gt;0,Y1187&lt;1,NOT(AND(C1188=C1187,Y1188=Y1187+1))),INDEX(DATAS,Y1187+1),"")</f>
        <v/>
      </c>
      <c r="AG1187" s="45" t="str">
        <f aca="false">IF(AND(AA1187=1,Y1187&lt;1),IF(AND(C1188=C1187,Y1188=Y1187+1),IF(AA1188=1,"",INDEX(DATAS,Y1187+1)),INDEX(DATAS,Y1187+1)),"")</f>
        <v/>
      </c>
    </row>
    <row r="1188" customFormat="false" ht="15" hidden="false" customHeight="false" outlineLevel="0" collapsed="false">
      <c r="A1188" s="45" t="n">
        <v>46309</v>
      </c>
      <c r="B1188" s="0" t="n">
        <v>3</v>
      </c>
      <c r="C1188" s="0" t="n">
        <v>5241</v>
      </c>
      <c r="D1188" s="0" t="n">
        <v>42</v>
      </c>
      <c r="E1188" s="0" t="n">
        <v>2</v>
      </c>
      <c r="F1188" s="39" t="s">
        <v>799</v>
      </c>
      <c r="G1188" s="0" t="n">
        <v>52.5</v>
      </c>
      <c r="H1188" s="0" t="n">
        <v>51</v>
      </c>
      <c r="I1188" s="39" t="s">
        <v>118</v>
      </c>
      <c r="J1188" s="0" t="n">
        <v>42</v>
      </c>
      <c r="M1188" s="0" t="n">
        <v>885.91</v>
      </c>
      <c r="N1188" s="0" t="n">
        <v>46.75</v>
      </c>
      <c r="O1188" s="0" t="n">
        <v>28.93</v>
      </c>
      <c r="P1188" s="0" t="n">
        <v>3.33</v>
      </c>
      <c r="Q1188" s="0" t="n">
        <v>3.54</v>
      </c>
      <c r="R1188" s="0" t="n">
        <v>4937</v>
      </c>
      <c r="S1188" s="0" t="n">
        <v>9925</v>
      </c>
      <c r="U1188" s="0" t="n">
        <v>1004</v>
      </c>
      <c r="V1188" s="0" t="n">
        <v>0</v>
      </c>
      <c r="W1188" s="39" t="n">
        <f aca="false">IF(I1188="Male",0,1)</f>
        <v>1</v>
      </c>
      <c r="X1188" s="39" t="n">
        <f aca="false">IF(OR(I1188="DNB",I1188="Dry DNB"),1,0)</f>
        <v>0</v>
      </c>
      <c r="Y1188" s="39" t="n">
        <f aca="false">MATCH(A1188,DATAS,0)</f>
        <v>1</v>
      </c>
      <c r="Z1188" s="39" t="n">
        <f aca="false">IF(AND(E1188&gt;0,OR(AND(B1188&gt;=1,B1188&lt;=6),B1188=10)),1,0)</f>
        <v>1</v>
      </c>
      <c r="AA1188" s="39" t="n">
        <f aca="false">IF(AND(E1188&gt;0,B1188=10),1,0)</f>
        <v>0</v>
      </c>
      <c r="AB1188" s="0" t="str">
        <f aca="false">IF(AND(C1187=C1188,Y1187=Y1188-1),Z1187,"")</f>
        <v/>
      </c>
      <c r="AC1188" s="0" t="str">
        <f aca="false">IF(AND(C1187=C1188,Y1187=Y1188-1),AA1187,"")</f>
        <v/>
      </c>
      <c r="AD1188" s="0" t="str">
        <f aca="false">IF(Y1188=1,"",IF(AND(Z1188=1,AB1188&lt;&gt;1),1,0))</f>
        <v/>
      </c>
      <c r="AE1188" s="0" t="str">
        <f aca="false">IF(Y1188=1,"",IF(AND(AA1188=1,AC1188&lt;&gt;1),1,0))</f>
        <v/>
      </c>
      <c r="AF1188" s="45" t="str">
        <f aca="false">IF(AND(E1188&gt;0,Y1188&lt;1,NOT(AND(C1189=C1188,Y1189=Y1188+1))),INDEX(DATAS,Y1188+1),"")</f>
        <v/>
      </c>
      <c r="AG1188" s="45" t="str">
        <f aca="false">IF(AND(AA1188=1,Y1188&lt;1),IF(AND(C1189=C1188,Y1189=Y1188+1),IF(AA1189=1,"",INDEX(DATAS,Y1188+1)),INDEX(DATAS,Y1188+1)),"")</f>
        <v/>
      </c>
    </row>
    <row r="1189" customFormat="false" ht="15" hidden="false" customHeight="false" outlineLevel="0" collapsed="false">
      <c r="A1189" s="45" t="n">
        <v>46309</v>
      </c>
      <c r="B1189" s="0" t="n">
        <v>4</v>
      </c>
      <c r="C1189" s="0" t="n">
        <v>5243</v>
      </c>
      <c r="D1189" s="0" t="n">
        <v>329</v>
      </c>
      <c r="E1189" s="0" t="n">
        <v>1</v>
      </c>
      <c r="F1189" s="39" t="s">
        <v>800</v>
      </c>
      <c r="G1189" s="0" t="n">
        <v>39.3</v>
      </c>
      <c r="H1189" s="0" t="n">
        <v>36</v>
      </c>
      <c r="I1189" s="39" t="s">
        <v>138</v>
      </c>
      <c r="J1189" s="0" t="n">
        <v>329</v>
      </c>
      <c r="K1189" s="0" t="n">
        <v>63</v>
      </c>
      <c r="M1189" s="0" t="n">
        <v>635.41</v>
      </c>
      <c r="N1189" s="0" t="n">
        <v>82.33</v>
      </c>
      <c r="O1189" s="0" t="n">
        <v>40.62</v>
      </c>
      <c r="P1189" s="0" t="n">
        <v>3.63</v>
      </c>
      <c r="Q1189" s="0" t="n">
        <v>3.78</v>
      </c>
      <c r="R1189" s="0" t="n">
        <v>4086</v>
      </c>
      <c r="S1189" s="0" t="n">
        <v>7142</v>
      </c>
      <c r="T1189" s="0" t="n">
        <v>45.25</v>
      </c>
      <c r="U1189" s="0" t="n">
        <v>1002</v>
      </c>
      <c r="V1189" s="0" t="n">
        <v>8</v>
      </c>
      <c r="W1189" s="39" t="n">
        <f aca="false">IF(I1189="Male",0,1)</f>
        <v>1</v>
      </c>
      <c r="X1189" s="39" t="n">
        <f aca="false">IF(OR(I1189="DNB",I1189="Dry DNB"),1,0)</f>
        <v>0</v>
      </c>
      <c r="Y1189" s="39" t="n">
        <f aca="false">MATCH(A1189,DATAS,0)</f>
        <v>1</v>
      </c>
      <c r="Z1189" s="39" t="n">
        <f aca="false">IF(AND(E1189&gt;0,OR(AND(B1189&gt;=1,B1189&lt;=6),B1189=10)),1,0)</f>
        <v>1</v>
      </c>
      <c r="AA1189" s="39" t="n">
        <f aca="false">IF(AND(E1189&gt;0,B1189=10),1,0)</f>
        <v>0</v>
      </c>
      <c r="AB1189" s="0" t="str">
        <f aca="false">IF(AND(C1188=C1189,Y1188=Y1189-1),Z1188,"")</f>
        <v/>
      </c>
      <c r="AC1189" s="0" t="str">
        <f aca="false">IF(AND(C1188=C1189,Y1188=Y1189-1),AA1188,"")</f>
        <v/>
      </c>
      <c r="AD1189" s="0" t="str">
        <f aca="false">IF(Y1189=1,"",IF(AND(Z1189=1,AB1189&lt;&gt;1),1,0))</f>
        <v/>
      </c>
      <c r="AE1189" s="0" t="str">
        <f aca="false">IF(Y1189=1,"",IF(AND(AA1189=1,AC1189&lt;&gt;1),1,0))</f>
        <v/>
      </c>
      <c r="AF1189" s="45" t="str">
        <f aca="false">IF(AND(E1189&gt;0,Y1189&lt;1,NOT(AND(C1190=C1189,Y1190=Y1189+1))),INDEX(DATAS,Y1189+1),"")</f>
        <v/>
      </c>
      <c r="AG1189" s="45" t="str">
        <f aca="false">IF(AND(AA1189=1,Y1189&lt;1),IF(AND(C1190=C1189,Y1190=Y1189+1),IF(AA1190=1,"",INDEX(DATAS,Y1189+1)),INDEX(DATAS,Y1189+1)),"")</f>
        <v/>
      </c>
    </row>
    <row r="1190" customFormat="false" ht="15" hidden="false" customHeight="false" outlineLevel="0" collapsed="false">
      <c r="A1190" s="45" t="n">
        <v>46309</v>
      </c>
      <c r="B1190" s="0" t="n">
        <v>5</v>
      </c>
      <c r="C1190" s="0" t="n">
        <v>5244</v>
      </c>
      <c r="D1190" s="0" t="n">
        <v>222</v>
      </c>
      <c r="E1190" s="0" t="n">
        <v>1</v>
      </c>
      <c r="F1190" s="39" t="s">
        <v>800</v>
      </c>
      <c r="G1190" s="0" t="n">
        <v>43.6</v>
      </c>
      <c r="H1190" s="0" t="n">
        <v>40</v>
      </c>
      <c r="I1190" s="39" t="s">
        <v>109</v>
      </c>
      <c r="J1190" s="0" t="n">
        <v>68</v>
      </c>
      <c r="K1190" s="0" t="n">
        <v>68</v>
      </c>
      <c r="L1190" s="0" t="n">
        <v>154</v>
      </c>
      <c r="M1190" s="0" t="n">
        <v>1011.48</v>
      </c>
      <c r="N1190" s="0" t="n">
        <v>28.59</v>
      </c>
      <c r="O1190" s="0" t="n">
        <v>33.99</v>
      </c>
      <c r="P1190" s="0" t="n">
        <v>4.29</v>
      </c>
      <c r="Q1190" s="0" t="n">
        <v>3.12</v>
      </c>
      <c r="R1190" s="0" t="n">
        <v>3992</v>
      </c>
      <c r="S1190" s="0" t="n">
        <v>8848</v>
      </c>
      <c r="T1190" s="0" t="n">
        <v>46.2</v>
      </c>
      <c r="U1190" s="0" t="n">
        <v>1002</v>
      </c>
      <c r="V1190" s="0" t="n">
        <v>1</v>
      </c>
      <c r="W1190" s="39" t="n">
        <f aca="false">IF(I1190="Male",0,1)</f>
        <v>1</v>
      </c>
      <c r="X1190" s="39" t="n">
        <f aca="false">IF(OR(I1190="DNB",I1190="Dry DNB"),1,0)</f>
        <v>0</v>
      </c>
      <c r="Y1190" s="39" t="n">
        <f aca="false">MATCH(A1190,DATAS,0)</f>
        <v>1</v>
      </c>
      <c r="Z1190" s="39" t="n">
        <f aca="false">IF(AND(E1190&gt;0,OR(AND(B1190&gt;=1,B1190&lt;=6),B1190=10)),1,0)</f>
        <v>1</v>
      </c>
      <c r="AA1190" s="39" t="n">
        <f aca="false">IF(AND(E1190&gt;0,B1190=10),1,0)</f>
        <v>0</v>
      </c>
      <c r="AB1190" s="0" t="str">
        <f aca="false">IF(AND(C1189=C1190,Y1189=Y1190-1),Z1189,"")</f>
        <v/>
      </c>
      <c r="AC1190" s="0" t="str">
        <f aca="false">IF(AND(C1189=C1190,Y1189=Y1190-1),AA1189,"")</f>
        <v/>
      </c>
      <c r="AD1190" s="0" t="str">
        <f aca="false">IF(Y1190=1,"",IF(AND(Z1190=1,AB1190&lt;&gt;1),1,0))</f>
        <v/>
      </c>
      <c r="AE1190" s="0" t="str">
        <f aca="false">IF(Y1190=1,"",IF(AND(AA1190=1,AC1190&lt;&gt;1),1,0))</f>
        <v/>
      </c>
      <c r="AF1190" s="45" t="str">
        <f aca="false">IF(AND(E1190&gt;0,Y1190&lt;1,NOT(AND(C1191=C1190,Y1191=Y1190+1))),INDEX(DATAS,Y1190+1),"")</f>
        <v/>
      </c>
      <c r="AG1190" s="45" t="str">
        <f aca="false">IF(AND(AA1190=1,Y1190&lt;1),IF(AND(C1191=C1190,Y1191=Y1190+1),IF(AA1191=1,"",INDEX(DATAS,Y1190+1)),INDEX(DATAS,Y1190+1)),"")</f>
        <v/>
      </c>
    </row>
    <row r="1191" customFormat="false" ht="15" hidden="false" customHeight="false" outlineLevel="0" collapsed="false">
      <c r="A1191" s="45" t="n">
        <v>46309</v>
      </c>
      <c r="B1191" s="0" t="n">
        <v>5</v>
      </c>
      <c r="C1191" s="0" t="n">
        <v>5245</v>
      </c>
      <c r="D1191" s="0" t="n">
        <v>370</v>
      </c>
      <c r="E1191" s="0" t="n">
        <v>1</v>
      </c>
      <c r="F1191" s="39" t="s">
        <v>801</v>
      </c>
      <c r="G1191" s="0" t="n">
        <v>32.8</v>
      </c>
      <c r="H1191" s="0" t="n">
        <v>29</v>
      </c>
      <c r="I1191" s="39" t="s">
        <v>109</v>
      </c>
      <c r="J1191" s="0" t="n">
        <v>167</v>
      </c>
      <c r="K1191" s="0" t="n">
        <v>70</v>
      </c>
      <c r="L1191" s="0" t="n">
        <v>203</v>
      </c>
      <c r="M1191" s="0" t="n">
        <v>1575.81</v>
      </c>
      <c r="N1191" s="0" t="n">
        <v>31.44</v>
      </c>
      <c r="O1191" s="0" t="n">
        <v>47.99</v>
      </c>
      <c r="P1191" s="0" t="n">
        <v>2.92</v>
      </c>
      <c r="Q1191" s="0" t="n">
        <v>4.02</v>
      </c>
      <c r="R1191" s="0" t="n">
        <v>4468</v>
      </c>
      <c r="S1191" s="0" t="n">
        <v>9147</v>
      </c>
      <c r="T1191" s="0" t="n">
        <v>49.45</v>
      </c>
      <c r="U1191" s="0" t="n">
        <v>1000</v>
      </c>
      <c r="V1191" s="0" t="n">
        <v>5</v>
      </c>
      <c r="W1191" s="39" t="n">
        <f aca="false">IF(I1191="Male",0,1)</f>
        <v>1</v>
      </c>
      <c r="X1191" s="39" t="n">
        <f aca="false">IF(OR(I1191="DNB",I1191="Dry DNB"),1,0)</f>
        <v>0</v>
      </c>
      <c r="Y1191" s="39" t="n">
        <f aca="false">MATCH(A1191,DATAS,0)</f>
        <v>1</v>
      </c>
      <c r="Z1191" s="39" t="n">
        <f aca="false">IF(AND(E1191&gt;0,OR(AND(B1191&gt;=1,B1191&lt;=6),B1191=10)),1,0)</f>
        <v>1</v>
      </c>
      <c r="AA1191" s="39" t="n">
        <f aca="false">IF(AND(E1191&gt;0,B1191=10),1,0)</f>
        <v>0</v>
      </c>
      <c r="AB1191" s="0" t="str">
        <f aca="false">IF(AND(C1190=C1191,Y1190=Y1191-1),Z1190,"")</f>
        <v/>
      </c>
      <c r="AC1191" s="0" t="str">
        <f aca="false">IF(AND(C1190=C1191,Y1190=Y1191-1),AA1190,"")</f>
        <v/>
      </c>
      <c r="AD1191" s="0" t="str">
        <f aca="false">IF(Y1191=1,"",IF(AND(Z1191=1,AB1191&lt;&gt;1),1,0))</f>
        <v/>
      </c>
      <c r="AE1191" s="0" t="str">
        <f aca="false">IF(Y1191=1,"",IF(AND(AA1191=1,AC1191&lt;&gt;1),1,0))</f>
        <v/>
      </c>
      <c r="AF1191" s="45" t="str">
        <f aca="false">IF(AND(E1191&gt;0,Y1191&lt;1,NOT(AND(C1192=C1191,Y1192=Y1191+1))),INDEX(DATAS,Y1191+1),"")</f>
        <v/>
      </c>
      <c r="AG1191" s="45" t="str">
        <f aca="false">IF(AND(AA1191=1,Y1191&lt;1),IF(AND(C1192=C1191,Y1192=Y1191+1),IF(AA1192=1,"",INDEX(DATAS,Y1191+1)),INDEX(DATAS,Y1191+1)),"")</f>
        <v/>
      </c>
    </row>
    <row r="1192" customFormat="false" ht="15" hidden="false" customHeight="false" outlineLevel="0" collapsed="false">
      <c r="A1192" s="45" t="n">
        <v>46309</v>
      </c>
      <c r="B1192" s="0" t="n">
        <v>4</v>
      </c>
      <c r="C1192" s="0" t="n">
        <v>5246</v>
      </c>
      <c r="D1192" s="0" t="n">
        <v>287</v>
      </c>
      <c r="E1192" s="0" t="n">
        <v>1</v>
      </c>
      <c r="F1192" s="39" t="s">
        <v>801</v>
      </c>
      <c r="G1192" s="0" t="n">
        <v>39.3</v>
      </c>
      <c r="H1192" s="0" t="n">
        <v>39</v>
      </c>
      <c r="I1192" s="39" t="s">
        <v>109</v>
      </c>
      <c r="J1192" s="0" t="n">
        <v>70</v>
      </c>
      <c r="K1192" s="0" t="n">
        <v>70</v>
      </c>
      <c r="L1192" s="0" t="n">
        <v>217</v>
      </c>
      <c r="M1192" s="0" t="n">
        <v>948.64</v>
      </c>
      <c r="N1192" s="0" t="n">
        <v>74.7</v>
      </c>
      <c r="O1192" s="0" t="n">
        <v>39.77</v>
      </c>
      <c r="P1192" s="0" t="n">
        <v>4.79</v>
      </c>
      <c r="Q1192" s="0" t="n">
        <v>3.64</v>
      </c>
      <c r="R1192" s="0" t="n">
        <v>5086</v>
      </c>
      <c r="S1192" s="0" t="n">
        <v>10061</v>
      </c>
      <c r="T1192" s="0" t="n">
        <v>54.65</v>
      </c>
      <c r="U1192" s="0" t="n">
        <v>1000</v>
      </c>
      <c r="V1192" s="0" t="n">
        <v>1</v>
      </c>
      <c r="W1192" s="39" t="n">
        <f aca="false">IF(I1192="Male",0,1)</f>
        <v>1</v>
      </c>
      <c r="X1192" s="39" t="n">
        <f aca="false">IF(OR(I1192="DNB",I1192="Dry DNB"),1,0)</f>
        <v>0</v>
      </c>
      <c r="Y1192" s="39" t="n">
        <f aca="false">MATCH(A1192,DATAS,0)</f>
        <v>1</v>
      </c>
      <c r="Z1192" s="39" t="n">
        <f aca="false">IF(AND(E1192&gt;0,OR(AND(B1192&gt;=1,B1192&lt;=6),B1192=10)),1,0)</f>
        <v>1</v>
      </c>
      <c r="AA1192" s="39" t="n">
        <f aca="false">IF(AND(E1192&gt;0,B1192=10),1,0)</f>
        <v>0</v>
      </c>
      <c r="AB1192" s="0" t="str">
        <f aca="false">IF(AND(C1191=C1192,Y1191=Y1192-1),Z1191,"")</f>
        <v/>
      </c>
      <c r="AC1192" s="0" t="str">
        <f aca="false">IF(AND(C1191=C1192,Y1191=Y1192-1),AA1191,"")</f>
        <v/>
      </c>
      <c r="AD1192" s="0" t="str">
        <f aca="false">IF(Y1192=1,"",IF(AND(Z1192=1,AB1192&lt;&gt;1),1,0))</f>
        <v/>
      </c>
      <c r="AE1192" s="0" t="str">
        <f aca="false">IF(Y1192=1,"",IF(AND(AA1192=1,AC1192&lt;&gt;1),1,0))</f>
        <v/>
      </c>
      <c r="AF1192" s="45" t="str">
        <f aca="false">IF(AND(E1192&gt;0,Y1192&lt;1,NOT(AND(C1193=C1192,Y1193=Y1192+1))),INDEX(DATAS,Y1192+1),"")</f>
        <v/>
      </c>
      <c r="AG1192" s="45" t="str">
        <f aca="false">IF(AND(AA1192=1,Y1192&lt;1),IF(AND(C1193=C1192,Y1193=Y1192+1),IF(AA1193=1,"",INDEX(DATAS,Y1192+1)),INDEX(DATAS,Y1192+1)),"")</f>
        <v/>
      </c>
    </row>
    <row r="1193" customFormat="false" ht="15" hidden="false" customHeight="false" outlineLevel="0" collapsed="false">
      <c r="A1193" s="45" t="n">
        <v>46309</v>
      </c>
      <c r="B1193" s="0" t="n">
        <v>4</v>
      </c>
      <c r="C1193" s="0" t="n">
        <v>5248</v>
      </c>
      <c r="D1193" s="0" t="n">
        <v>233</v>
      </c>
      <c r="E1193" s="0" t="n">
        <v>1</v>
      </c>
      <c r="F1193" s="39" t="s">
        <v>802</v>
      </c>
      <c r="G1193" s="0" t="n">
        <v>32.6</v>
      </c>
      <c r="H1193" s="0" t="n">
        <v>36</v>
      </c>
      <c r="I1193" s="39" t="s">
        <v>109</v>
      </c>
      <c r="J1193" s="0" t="n">
        <v>65</v>
      </c>
      <c r="K1193" s="0" t="n">
        <v>65</v>
      </c>
      <c r="L1193" s="0" t="n">
        <v>168</v>
      </c>
      <c r="M1193" s="0" t="n">
        <v>424.61</v>
      </c>
      <c r="N1193" s="0" t="n">
        <v>73.01</v>
      </c>
      <c r="O1193" s="0" t="n">
        <v>25.38</v>
      </c>
      <c r="P1193" s="0" t="n">
        <v>3.2</v>
      </c>
      <c r="Q1193" s="0" t="n">
        <v>3.79</v>
      </c>
      <c r="R1193" s="0" t="n">
        <v>4754</v>
      </c>
      <c r="S1193" s="0" t="n">
        <v>9756</v>
      </c>
      <c r="T1193" s="0" t="n">
        <v>53.95</v>
      </c>
      <c r="U1193" s="0" t="n">
        <v>998</v>
      </c>
      <c r="V1193" s="0" t="n">
        <v>1</v>
      </c>
      <c r="W1193" s="39" t="n">
        <f aca="false">IF(I1193="Male",0,1)</f>
        <v>1</v>
      </c>
      <c r="X1193" s="39" t="n">
        <f aca="false">IF(OR(I1193="DNB",I1193="Dry DNB"),1,0)</f>
        <v>0</v>
      </c>
      <c r="Y1193" s="39" t="n">
        <f aca="false">MATCH(A1193,DATAS,0)</f>
        <v>1</v>
      </c>
      <c r="Z1193" s="39" t="n">
        <f aca="false">IF(AND(E1193&gt;0,OR(AND(B1193&gt;=1,B1193&lt;=6),B1193=10)),1,0)</f>
        <v>1</v>
      </c>
      <c r="AA1193" s="39" t="n">
        <f aca="false">IF(AND(E1193&gt;0,B1193=10),1,0)</f>
        <v>0</v>
      </c>
      <c r="AB1193" s="0" t="str">
        <f aca="false">IF(AND(C1192=C1193,Y1192=Y1193-1),Z1192,"")</f>
        <v/>
      </c>
      <c r="AC1193" s="0" t="str">
        <f aca="false">IF(AND(C1192=C1193,Y1192=Y1193-1),AA1192,"")</f>
        <v/>
      </c>
      <c r="AD1193" s="0" t="str">
        <f aca="false">IF(Y1193=1,"",IF(AND(Z1193=1,AB1193&lt;&gt;1),1,0))</f>
        <v/>
      </c>
      <c r="AE1193" s="0" t="str">
        <f aca="false">IF(Y1193=1,"",IF(AND(AA1193=1,AC1193&lt;&gt;1),1,0))</f>
        <v/>
      </c>
      <c r="AF1193" s="45" t="str">
        <f aca="false">IF(AND(E1193&gt;0,Y1193&lt;1,NOT(AND(C1194=C1193,Y1194=Y1193+1))),INDEX(DATAS,Y1193+1),"")</f>
        <v/>
      </c>
      <c r="AG1193" s="45" t="str">
        <f aca="false">IF(AND(AA1193=1,Y1193&lt;1),IF(AND(C1194=C1193,Y1194=Y1193+1),IF(AA1194=1,"",INDEX(DATAS,Y1193+1)),INDEX(DATAS,Y1193+1)),"")</f>
        <v/>
      </c>
    </row>
    <row r="1194" customFormat="false" ht="15" hidden="false" customHeight="false" outlineLevel="0" collapsed="false">
      <c r="A1194" s="45" t="n">
        <v>46309</v>
      </c>
      <c r="B1194" s="0" t="n">
        <v>6</v>
      </c>
      <c r="C1194" s="0" t="n">
        <v>5249</v>
      </c>
      <c r="D1194" s="0" t="n">
        <v>32</v>
      </c>
      <c r="E1194" s="0" t="n">
        <v>2</v>
      </c>
      <c r="F1194" s="39" t="s">
        <v>802</v>
      </c>
      <c r="G1194" s="0" t="n">
        <v>34.1</v>
      </c>
      <c r="H1194" s="0" t="n">
        <v>24</v>
      </c>
      <c r="I1194" s="39" t="s">
        <v>118</v>
      </c>
      <c r="J1194" s="0" t="n">
        <v>32</v>
      </c>
      <c r="M1194" s="0" t="n">
        <v>267.95</v>
      </c>
      <c r="N1194" s="0" t="n">
        <v>45.65</v>
      </c>
      <c r="O1194" s="0" t="n">
        <v>25.45</v>
      </c>
      <c r="P1194" s="0" t="n">
        <v>4.92</v>
      </c>
      <c r="Q1194" s="0" t="n">
        <v>4.58</v>
      </c>
      <c r="R1194" s="0" t="n">
        <v>2699</v>
      </c>
      <c r="S1194" s="0" t="n">
        <v>5425</v>
      </c>
      <c r="U1194" s="0" t="n">
        <v>998</v>
      </c>
      <c r="V1194" s="0" t="n">
        <v>0</v>
      </c>
      <c r="W1194" s="39" t="n">
        <f aca="false">IF(I1194="Male",0,1)</f>
        <v>1</v>
      </c>
      <c r="X1194" s="39" t="n">
        <f aca="false">IF(OR(I1194="DNB",I1194="Dry DNB"),1,0)</f>
        <v>0</v>
      </c>
      <c r="Y1194" s="39" t="n">
        <f aca="false">MATCH(A1194,DATAS,0)</f>
        <v>1</v>
      </c>
      <c r="Z1194" s="39" t="n">
        <f aca="false">IF(AND(E1194&gt;0,OR(AND(B1194&gt;=1,B1194&lt;=6),B1194=10)),1,0)</f>
        <v>1</v>
      </c>
      <c r="AA1194" s="39" t="n">
        <f aca="false">IF(AND(E1194&gt;0,B1194=10),1,0)</f>
        <v>0</v>
      </c>
      <c r="AB1194" s="0" t="str">
        <f aca="false">IF(AND(C1193=C1194,Y1193=Y1194-1),Z1193,"")</f>
        <v/>
      </c>
      <c r="AC1194" s="0" t="str">
        <f aca="false">IF(AND(C1193=C1194,Y1193=Y1194-1),AA1193,"")</f>
        <v/>
      </c>
      <c r="AD1194" s="0" t="str">
        <f aca="false">IF(Y1194=1,"",IF(AND(Z1194=1,AB1194&lt;&gt;1),1,0))</f>
        <v/>
      </c>
      <c r="AE1194" s="0" t="str">
        <f aca="false">IF(Y1194=1,"",IF(AND(AA1194=1,AC1194&lt;&gt;1),1,0))</f>
        <v/>
      </c>
      <c r="AF1194" s="45" t="str">
        <f aca="false">IF(AND(E1194&gt;0,Y1194&lt;1,NOT(AND(C1195=C1194,Y1195=Y1194+1))),INDEX(DATAS,Y1194+1),"")</f>
        <v/>
      </c>
      <c r="AG1194" s="45" t="str">
        <f aca="false">IF(AND(AA1194=1,Y1194&lt;1),IF(AND(C1195=C1194,Y1195=Y1194+1),IF(AA1195=1,"",INDEX(DATAS,Y1194+1)),INDEX(DATAS,Y1194+1)),"")</f>
        <v/>
      </c>
    </row>
    <row r="1195" customFormat="false" ht="15" hidden="false" customHeight="false" outlineLevel="0" collapsed="false">
      <c r="A1195" s="45" t="n">
        <v>46309</v>
      </c>
      <c r="B1195" s="0" t="n">
        <v>5</v>
      </c>
      <c r="C1195" s="0" t="n">
        <v>5250</v>
      </c>
      <c r="D1195" s="0" t="n">
        <v>379</v>
      </c>
      <c r="E1195" s="0" t="n">
        <v>1</v>
      </c>
      <c r="F1195" s="39" t="s">
        <v>802</v>
      </c>
      <c r="G1195" s="0" t="n">
        <v>37.5</v>
      </c>
      <c r="H1195" s="0" t="n">
        <v>34</v>
      </c>
      <c r="I1195" s="39" t="s">
        <v>138</v>
      </c>
      <c r="J1195" s="0" t="n">
        <v>379</v>
      </c>
      <c r="K1195" s="0" t="n">
        <v>64</v>
      </c>
      <c r="M1195" s="0" t="n">
        <v>1000.39</v>
      </c>
      <c r="N1195" s="0" t="n">
        <v>52.82</v>
      </c>
      <c r="O1195" s="0" t="n">
        <v>32.2</v>
      </c>
      <c r="P1195" s="0" t="n">
        <v>4.6</v>
      </c>
      <c r="Q1195" s="0" t="n">
        <v>4.02</v>
      </c>
      <c r="R1195" s="0" t="n">
        <v>4290</v>
      </c>
      <c r="S1195" s="0" t="n">
        <v>8311</v>
      </c>
      <c r="T1195" s="0" t="n">
        <v>43.85</v>
      </c>
      <c r="U1195" s="0" t="n">
        <v>998</v>
      </c>
      <c r="V1195" s="0" t="n">
        <v>9</v>
      </c>
      <c r="W1195" s="39" t="n">
        <f aca="false">IF(I1195="Male",0,1)</f>
        <v>1</v>
      </c>
      <c r="X1195" s="39" t="n">
        <f aca="false">IF(OR(I1195="DNB",I1195="Dry DNB"),1,0)</f>
        <v>0</v>
      </c>
      <c r="Y1195" s="39" t="n">
        <f aca="false">MATCH(A1195,DATAS,0)</f>
        <v>1</v>
      </c>
      <c r="Z1195" s="39" t="n">
        <f aca="false">IF(AND(E1195&gt;0,OR(AND(B1195&gt;=1,B1195&lt;=6),B1195=10)),1,0)</f>
        <v>1</v>
      </c>
      <c r="AA1195" s="39" t="n">
        <f aca="false">IF(AND(E1195&gt;0,B1195=10),1,0)</f>
        <v>0</v>
      </c>
      <c r="AB1195" s="0" t="str">
        <f aca="false">IF(AND(C1194=C1195,Y1194=Y1195-1),Z1194,"")</f>
        <v/>
      </c>
      <c r="AC1195" s="0" t="str">
        <f aca="false">IF(AND(C1194=C1195,Y1194=Y1195-1),AA1194,"")</f>
        <v/>
      </c>
      <c r="AD1195" s="0" t="str">
        <f aca="false">IF(Y1195=1,"",IF(AND(Z1195=1,AB1195&lt;&gt;1),1,0))</f>
        <v/>
      </c>
      <c r="AE1195" s="0" t="str">
        <f aca="false">IF(Y1195=1,"",IF(AND(AA1195=1,AC1195&lt;&gt;1),1,0))</f>
        <v/>
      </c>
      <c r="AF1195" s="45" t="str">
        <f aca="false">IF(AND(E1195&gt;0,Y1195&lt;1,NOT(AND(C1196=C1195,Y1196=Y1195+1))),INDEX(DATAS,Y1195+1),"")</f>
        <v/>
      </c>
      <c r="AG1195" s="45" t="str">
        <f aca="false">IF(AND(AA1195=1,Y1195&lt;1),IF(AND(C1196=C1195,Y1196=Y1195+1),IF(AA1196=1,"",INDEX(DATAS,Y1195+1)),INDEX(DATAS,Y1195+1)),"")</f>
        <v/>
      </c>
    </row>
    <row r="1196" customFormat="false" ht="15" hidden="false" customHeight="false" outlineLevel="0" collapsed="false">
      <c r="A1196" s="45" t="n">
        <v>46309</v>
      </c>
      <c r="B1196" s="0" t="n">
        <v>6</v>
      </c>
      <c r="C1196" s="0" t="n">
        <v>5251</v>
      </c>
      <c r="D1196" s="0" t="n">
        <v>371</v>
      </c>
      <c r="E1196" s="0" t="n">
        <v>1</v>
      </c>
      <c r="F1196" s="39" t="s">
        <v>802</v>
      </c>
      <c r="G1196" s="0" t="n">
        <v>14.3</v>
      </c>
      <c r="H1196" s="0" t="n">
        <v>17</v>
      </c>
      <c r="I1196" s="39" t="s">
        <v>109</v>
      </c>
      <c r="J1196" s="0" t="n">
        <v>238</v>
      </c>
      <c r="K1196" s="0" t="n">
        <v>63</v>
      </c>
      <c r="L1196" s="0" t="n">
        <v>133</v>
      </c>
      <c r="M1196" s="0" t="n">
        <v>1214.46</v>
      </c>
      <c r="N1196" s="0" t="n">
        <v>61.47</v>
      </c>
      <c r="O1196" s="0" t="n">
        <v>40.44</v>
      </c>
      <c r="P1196" s="0" t="n">
        <v>3.87</v>
      </c>
      <c r="Q1196" s="0" t="n">
        <v>3.4</v>
      </c>
      <c r="R1196" s="0" t="n">
        <v>4268</v>
      </c>
      <c r="S1196" s="0" t="n">
        <v>9537</v>
      </c>
      <c r="T1196" s="0" t="n">
        <v>44.2</v>
      </c>
      <c r="U1196" s="0" t="n">
        <v>998</v>
      </c>
      <c r="V1196" s="0" t="n">
        <v>6</v>
      </c>
      <c r="W1196" s="39" t="n">
        <f aca="false">IF(I1196="Male",0,1)</f>
        <v>1</v>
      </c>
      <c r="X1196" s="39" t="n">
        <f aca="false">IF(OR(I1196="DNB",I1196="Dry DNB"),1,0)</f>
        <v>0</v>
      </c>
      <c r="Y1196" s="39" t="n">
        <f aca="false">MATCH(A1196,DATAS,0)</f>
        <v>1</v>
      </c>
      <c r="Z1196" s="39" t="n">
        <f aca="false">IF(AND(E1196&gt;0,OR(AND(B1196&gt;=1,B1196&lt;=6),B1196=10)),1,0)</f>
        <v>1</v>
      </c>
      <c r="AA1196" s="39" t="n">
        <f aca="false">IF(AND(E1196&gt;0,B1196=10),1,0)</f>
        <v>0</v>
      </c>
      <c r="AB1196" s="0" t="str">
        <f aca="false">IF(AND(C1195=C1196,Y1195=Y1196-1),Z1195,"")</f>
        <v/>
      </c>
      <c r="AC1196" s="0" t="str">
        <f aca="false">IF(AND(C1195=C1196,Y1195=Y1196-1),AA1195,"")</f>
        <v/>
      </c>
      <c r="AD1196" s="0" t="str">
        <f aca="false">IF(Y1196=1,"",IF(AND(Z1196=1,AB1196&lt;&gt;1),1,0))</f>
        <v/>
      </c>
      <c r="AE1196" s="0" t="str">
        <f aca="false">IF(Y1196=1,"",IF(AND(AA1196=1,AC1196&lt;&gt;1),1,0))</f>
        <v/>
      </c>
      <c r="AF1196" s="45" t="str">
        <f aca="false">IF(AND(E1196&gt;0,Y1196&lt;1,NOT(AND(C1197=C1196,Y1197=Y1196+1))),INDEX(DATAS,Y1196+1),"")</f>
        <v/>
      </c>
      <c r="AG1196" s="45" t="str">
        <f aca="false">IF(AND(AA1196=1,Y1196&lt;1),IF(AND(C1197=C1196,Y1197=Y1196+1),IF(AA1197=1,"",INDEX(DATAS,Y1196+1)),INDEX(DATAS,Y1196+1)),"")</f>
        <v/>
      </c>
    </row>
    <row r="1197" customFormat="false" ht="15" hidden="false" customHeight="false" outlineLevel="0" collapsed="false">
      <c r="A1197" s="45" t="n">
        <v>46309</v>
      </c>
      <c r="B1197" s="0" t="n">
        <v>3</v>
      </c>
      <c r="C1197" s="0" t="n">
        <v>5252</v>
      </c>
      <c r="D1197" s="0" t="n">
        <v>28</v>
      </c>
      <c r="E1197" s="0" t="n">
        <v>2</v>
      </c>
      <c r="F1197" s="39" t="s">
        <v>803</v>
      </c>
      <c r="G1197" s="0" t="n">
        <v>51.6</v>
      </c>
      <c r="H1197" s="0" t="n">
        <v>48</v>
      </c>
      <c r="I1197" s="39" t="s">
        <v>118</v>
      </c>
      <c r="J1197" s="0" t="n">
        <v>28</v>
      </c>
      <c r="M1197" s="0" t="n">
        <v>152.9</v>
      </c>
      <c r="N1197" s="0" t="n">
        <v>50.73</v>
      </c>
      <c r="O1197" s="0" t="n">
        <v>26.7</v>
      </c>
      <c r="P1197" s="0" t="n">
        <v>3.84</v>
      </c>
      <c r="Q1197" s="0" t="n">
        <v>5.85</v>
      </c>
      <c r="R1197" s="0" t="n">
        <v>3793</v>
      </c>
      <c r="S1197" s="0" t="n">
        <v>7624</v>
      </c>
      <c r="U1197" s="0" t="n">
        <v>999</v>
      </c>
      <c r="V1197" s="0" t="n">
        <v>0</v>
      </c>
      <c r="W1197" s="39" t="n">
        <f aca="false">IF(I1197="Male",0,1)</f>
        <v>1</v>
      </c>
      <c r="X1197" s="39" t="n">
        <f aca="false">IF(OR(I1197="DNB",I1197="Dry DNB"),1,0)</f>
        <v>0</v>
      </c>
      <c r="Y1197" s="39" t="n">
        <f aca="false">MATCH(A1197,DATAS,0)</f>
        <v>1</v>
      </c>
      <c r="Z1197" s="39" t="n">
        <f aca="false">IF(AND(E1197&gt;0,OR(AND(B1197&gt;=1,B1197&lt;=6),B1197=10)),1,0)</f>
        <v>1</v>
      </c>
      <c r="AA1197" s="39" t="n">
        <f aca="false">IF(AND(E1197&gt;0,B1197=10),1,0)</f>
        <v>0</v>
      </c>
      <c r="AB1197" s="0" t="str">
        <f aca="false">IF(AND(C1196=C1197,Y1196=Y1197-1),Z1196,"")</f>
        <v/>
      </c>
      <c r="AC1197" s="0" t="str">
        <f aca="false">IF(AND(C1196=C1197,Y1196=Y1197-1),AA1196,"")</f>
        <v/>
      </c>
      <c r="AD1197" s="0" t="str">
        <f aca="false">IF(Y1197=1,"",IF(AND(Z1197=1,AB1197&lt;&gt;1),1,0))</f>
        <v/>
      </c>
      <c r="AE1197" s="0" t="str">
        <f aca="false">IF(Y1197=1,"",IF(AND(AA1197=1,AC1197&lt;&gt;1),1,0))</f>
        <v/>
      </c>
      <c r="AF1197" s="45" t="str">
        <f aca="false">IF(AND(E1197&gt;0,Y1197&lt;1,NOT(AND(C1198=C1197,Y1198=Y1197+1))),INDEX(DATAS,Y1197+1),"")</f>
        <v/>
      </c>
      <c r="AG1197" s="45" t="str">
        <f aca="false">IF(AND(AA1197=1,Y1197&lt;1),IF(AND(C1198=C1197,Y1198=Y1197+1),IF(AA1198=1,"",INDEX(DATAS,Y1197+1)),INDEX(DATAS,Y1197+1)),"")</f>
        <v/>
      </c>
    </row>
    <row r="1198" customFormat="false" ht="15" hidden="false" customHeight="false" outlineLevel="0" collapsed="false">
      <c r="A1198" s="45" t="n">
        <v>46309</v>
      </c>
      <c r="B1198" s="0" t="n">
        <v>2</v>
      </c>
      <c r="C1198" s="0" t="n">
        <v>5253</v>
      </c>
      <c r="D1198" s="0" t="n">
        <v>11</v>
      </c>
      <c r="E1198" s="0" t="n">
        <v>2</v>
      </c>
      <c r="F1198" s="39" t="s">
        <v>803</v>
      </c>
      <c r="G1198" s="0" t="n">
        <v>32.3</v>
      </c>
      <c r="H1198" s="0" t="n">
        <v>26</v>
      </c>
      <c r="I1198" s="39" t="s">
        <v>118</v>
      </c>
      <c r="J1198" s="0" t="n">
        <v>11</v>
      </c>
      <c r="M1198" s="0" t="n">
        <v>1359.96</v>
      </c>
      <c r="N1198" s="0" t="n">
        <v>74.03</v>
      </c>
      <c r="O1198" s="0" t="n">
        <v>32.4</v>
      </c>
      <c r="R1198" s="0" t="n">
        <v>1490</v>
      </c>
      <c r="S1198" s="0" t="n">
        <v>2995</v>
      </c>
      <c r="U1198" s="0" t="n">
        <v>999</v>
      </c>
      <c r="V1198" s="0" t="n">
        <v>0</v>
      </c>
      <c r="W1198" s="39" t="n">
        <f aca="false">IF(I1198="Male",0,1)</f>
        <v>1</v>
      </c>
      <c r="X1198" s="39" t="n">
        <f aca="false">IF(OR(I1198="DNB",I1198="Dry DNB"),1,0)</f>
        <v>0</v>
      </c>
      <c r="Y1198" s="39" t="n">
        <f aca="false">MATCH(A1198,DATAS,0)</f>
        <v>1</v>
      </c>
      <c r="Z1198" s="39" t="n">
        <f aca="false">IF(AND(E1198&gt;0,OR(AND(B1198&gt;=1,B1198&lt;=6),B1198=10)),1,0)</f>
        <v>1</v>
      </c>
      <c r="AA1198" s="39" t="n">
        <f aca="false">IF(AND(E1198&gt;0,B1198=10),1,0)</f>
        <v>0</v>
      </c>
      <c r="AB1198" s="0" t="str">
        <f aca="false">IF(AND(C1197=C1198,Y1197=Y1198-1),Z1197,"")</f>
        <v/>
      </c>
      <c r="AC1198" s="0" t="str">
        <f aca="false">IF(AND(C1197=C1198,Y1197=Y1198-1),AA1197,"")</f>
        <v/>
      </c>
      <c r="AD1198" s="0" t="str">
        <f aca="false">IF(Y1198=1,"",IF(AND(Z1198=1,AB1198&lt;&gt;1),1,0))</f>
        <v/>
      </c>
      <c r="AE1198" s="0" t="str">
        <f aca="false">IF(Y1198=1,"",IF(AND(AA1198=1,AC1198&lt;&gt;1),1,0))</f>
        <v/>
      </c>
      <c r="AF1198" s="45" t="str">
        <f aca="false">IF(AND(E1198&gt;0,Y1198&lt;1,NOT(AND(C1199=C1198,Y1199=Y1198+1))),INDEX(DATAS,Y1198+1),"")</f>
        <v/>
      </c>
      <c r="AG1198" s="45" t="str">
        <f aca="false">IF(AND(AA1198=1,Y1198&lt;1),IF(AND(C1199=C1198,Y1199=Y1198+1),IF(AA1199=1,"",INDEX(DATAS,Y1198+1)),INDEX(DATAS,Y1198+1)),"")</f>
        <v/>
      </c>
    </row>
    <row r="1199" customFormat="false" ht="15" hidden="false" customHeight="false" outlineLevel="0" collapsed="false">
      <c r="A1199" s="45" t="n">
        <v>46309</v>
      </c>
      <c r="B1199" s="0" t="n">
        <v>4</v>
      </c>
      <c r="C1199" s="0" t="n">
        <v>5255</v>
      </c>
      <c r="D1199" s="0" t="n">
        <v>244</v>
      </c>
      <c r="E1199" s="0" t="n">
        <v>1</v>
      </c>
      <c r="F1199" s="39" t="s">
        <v>804</v>
      </c>
      <c r="G1199" s="0" t="n">
        <v>59.2</v>
      </c>
      <c r="H1199" s="0" t="n">
        <v>59</v>
      </c>
      <c r="I1199" s="39" t="s">
        <v>109</v>
      </c>
      <c r="J1199" s="0" t="n">
        <v>118</v>
      </c>
      <c r="K1199" s="0" t="n">
        <v>69</v>
      </c>
      <c r="L1199" s="0" t="n">
        <v>126</v>
      </c>
      <c r="M1199" s="0" t="n">
        <v>1043.84</v>
      </c>
      <c r="N1199" s="0" t="n">
        <v>65</v>
      </c>
      <c r="O1199" s="0" t="n">
        <v>34.19</v>
      </c>
      <c r="P1199" s="0" t="n">
        <v>3.95</v>
      </c>
      <c r="Q1199" s="0" t="n">
        <v>3.21</v>
      </c>
      <c r="R1199" s="0" t="n">
        <v>4153</v>
      </c>
      <c r="S1199" s="0" t="n">
        <v>9396</v>
      </c>
      <c r="T1199" s="0" t="n">
        <v>43.75</v>
      </c>
      <c r="U1199" s="0" t="n">
        <v>997</v>
      </c>
      <c r="V1199" s="0" t="n">
        <v>2</v>
      </c>
      <c r="W1199" s="39" t="n">
        <f aca="false">IF(I1199="Male",0,1)</f>
        <v>1</v>
      </c>
      <c r="X1199" s="39" t="n">
        <f aca="false">IF(OR(I1199="DNB",I1199="Dry DNB"),1,0)</f>
        <v>0</v>
      </c>
      <c r="Y1199" s="39" t="n">
        <f aca="false">MATCH(A1199,DATAS,0)</f>
        <v>1</v>
      </c>
      <c r="Z1199" s="39" t="n">
        <f aca="false">IF(AND(E1199&gt;0,OR(AND(B1199&gt;=1,B1199&lt;=6),B1199=10)),1,0)</f>
        <v>1</v>
      </c>
      <c r="AA1199" s="39" t="n">
        <f aca="false">IF(AND(E1199&gt;0,B1199=10),1,0)</f>
        <v>0</v>
      </c>
      <c r="AB1199" s="0" t="str">
        <f aca="false">IF(AND(C1198=C1199,Y1198=Y1199-1),Z1198,"")</f>
        <v/>
      </c>
      <c r="AC1199" s="0" t="str">
        <f aca="false">IF(AND(C1198=C1199,Y1198=Y1199-1),AA1198,"")</f>
        <v/>
      </c>
      <c r="AD1199" s="0" t="str">
        <f aca="false">IF(Y1199=1,"",IF(AND(Z1199=1,AB1199&lt;&gt;1),1,0))</f>
        <v/>
      </c>
      <c r="AE1199" s="0" t="str">
        <f aca="false">IF(Y1199=1,"",IF(AND(AA1199=1,AC1199&lt;&gt;1),1,0))</f>
        <v/>
      </c>
      <c r="AF1199" s="45" t="str">
        <f aca="false">IF(AND(E1199&gt;0,Y1199&lt;1,NOT(AND(C1200=C1199,Y1200=Y1199+1))),INDEX(DATAS,Y1199+1),"")</f>
        <v/>
      </c>
      <c r="AG1199" s="45" t="str">
        <f aca="false">IF(AND(AA1199=1,Y1199&lt;1),IF(AND(C1200=C1199,Y1200=Y1199+1),IF(AA1200=1,"",INDEX(DATAS,Y1199+1)),INDEX(DATAS,Y1199+1)),"")</f>
        <v/>
      </c>
    </row>
    <row r="1200" customFormat="false" ht="15" hidden="false" customHeight="false" outlineLevel="0" collapsed="false">
      <c r="A1200" s="45" t="n">
        <v>46309</v>
      </c>
      <c r="B1200" s="0" t="n">
        <v>4</v>
      </c>
      <c r="C1200" s="0" t="n">
        <v>5256</v>
      </c>
      <c r="D1200" s="0" t="n">
        <v>229</v>
      </c>
      <c r="E1200" s="0" t="n">
        <v>1</v>
      </c>
      <c r="F1200" s="39" t="s">
        <v>805</v>
      </c>
      <c r="G1200" s="0" t="n">
        <v>47.5</v>
      </c>
      <c r="H1200" s="0" t="n">
        <v>47</v>
      </c>
      <c r="I1200" s="39" t="s">
        <v>109</v>
      </c>
      <c r="J1200" s="0" t="n">
        <v>68</v>
      </c>
      <c r="K1200" s="0" t="n">
        <v>68</v>
      </c>
      <c r="L1200" s="0" t="n">
        <v>161</v>
      </c>
      <c r="M1200" s="0" t="n">
        <v>1057.62</v>
      </c>
      <c r="N1200" s="0" t="n">
        <v>41.06</v>
      </c>
      <c r="O1200" s="0" t="n">
        <v>44.08</v>
      </c>
      <c r="P1200" s="0" t="n">
        <v>3.62</v>
      </c>
      <c r="Q1200" s="0" t="n">
        <v>3.64</v>
      </c>
      <c r="R1200" s="0" t="n">
        <v>4864</v>
      </c>
      <c r="S1200" s="0" t="n">
        <v>10576</v>
      </c>
      <c r="T1200" s="0" t="n">
        <v>55.55</v>
      </c>
      <c r="U1200" s="0" t="n">
        <v>994</v>
      </c>
      <c r="V1200" s="0" t="n">
        <v>1</v>
      </c>
      <c r="W1200" s="39" t="n">
        <f aca="false">IF(I1200="Male",0,1)</f>
        <v>1</v>
      </c>
      <c r="X1200" s="39" t="n">
        <f aca="false">IF(OR(I1200="DNB",I1200="Dry DNB"),1,0)</f>
        <v>0</v>
      </c>
      <c r="Y1200" s="39" t="n">
        <f aca="false">MATCH(A1200,DATAS,0)</f>
        <v>1</v>
      </c>
      <c r="Z1200" s="39" t="n">
        <f aca="false">IF(AND(E1200&gt;0,OR(AND(B1200&gt;=1,B1200&lt;=6),B1200=10)),1,0)</f>
        <v>1</v>
      </c>
      <c r="AA1200" s="39" t="n">
        <f aca="false">IF(AND(E1200&gt;0,B1200=10),1,0)</f>
        <v>0</v>
      </c>
      <c r="AB1200" s="0" t="str">
        <f aca="false">IF(AND(C1199=C1200,Y1199=Y1200-1),Z1199,"")</f>
        <v/>
      </c>
      <c r="AC1200" s="0" t="str">
        <f aca="false">IF(AND(C1199=C1200,Y1199=Y1200-1),AA1199,"")</f>
        <v/>
      </c>
      <c r="AD1200" s="0" t="str">
        <f aca="false">IF(Y1200=1,"",IF(AND(Z1200=1,AB1200&lt;&gt;1),1,0))</f>
        <v/>
      </c>
      <c r="AE1200" s="0" t="str">
        <f aca="false">IF(Y1200=1,"",IF(AND(AA1200=1,AC1200&lt;&gt;1),1,0))</f>
        <v/>
      </c>
      <c r="AF1200" s="45" t="str">
        <f aca="false">IF(AND(E1200&gt;0,Y1200&lt;1,NOT(AND(C1201=C1200,Y1201=Y1200+1))),INDEX(DATAS,Y1200+1),"")</f>
        <v/>
      </c>
      <c r="AG1200" s="45" t="str">
        <f aca="false">IF(AND(AA1200=1,Y1200&lt;1),IF(AND(C1201=C1200,Y1201=Y1200+1),IF(AA1201=1,"",INDEX(DATAS,Y1200+1)),INDEX(DATAS,Y1200+1)),"")</f>
        <v/>
      </c>
    </row>
    <row r="1201" customFormat="false" ht="15" hidden="false" customHeight="false" outlineLevel="0" collapsed="false">
      <c r="A1201" s="45" t="n">
        <v>46309</v>
      </c>
      <c r="B1201" s="0" t="n">
        <v>4</v>
      </c>
      <c r="C1201" s="0" t="n">
        <v>5259</v>
      </c>
      <c r="D1201" s="0" t="n">
        <v>347</v>
      </c>
      <c r="E1201" s="0" t="n">
        <v>1</v>
      </c>
      <c r="F1201" s="39" t="s">
        <v>805</v>
      </c>
      <c r="G1201" s="0" t="n">
        <v>41.2</v>
      </c>
      <c r="H1201" s="0" t="n">
        <v>41</v>
      </c>
      <c r="I1201" s="39" t="s">
        <v>109</v>
      </c>
      <c r="J1201" s="0" t="n">
        <v>263</v>
      </c>
      <c r="K1201" s="0" t="n">
        <v>68</v>
      </c>
      <c r="L1201" s="0" t="n">
        <v>84</v>
      </c>
      <c r="M1201" s="0" t="n">
        <v>310.62</v>
      </c>
      <c r="N1201" s="0" t="n">
        <v>29.29</v>
      </c>
      <c r="O1201" s="0" t="n">
        <v>21.1</v>
      </c>
      <c r="P1201" s="0" t="n">
        <v>4.53</v>
      </c>
      <c r="Q1201" s="0" t="n">
        <v>3.5</v>
      </c>
      <c r="R1201" s="0" t="n">
        <v>3612</v>
      </c>
      <c r="S1201" s="0" t="n">
        <v>7851</v>
      </c>
      <c r="T1201" s="0" t="n">
        <v>37.9</v>
      </c>
      <c r="U1201" s="0" t="n">
        <v>994</v>
      </c>
      <c r="V1201" s="0" t="n">
        <v>6</v>
      </c>
      <c r="W1201" s="39" t="n">
        <f aca="false">IF(I1201="Male",0,1)</f>
        <v>1</v>
      </c>
      <c r="X1201" s="39" t="n">
        <f aca="false">IF(OR(I1201="DNB",I1201="Dry DNB"),1,0)</f>
        <v>0</v>
      </c>
      <c r="Y1201" s="39" t="n">
        <f aca="false">MATCH(A1201,DATAS,0)</f>
        <v>1</v>
      </c>
      <c r="Z1201" s="39" t="n">
        <f aca="false">IF(AND(E1201&gt;0,OR(AND(B1201&gt;=1,B1201&lt;=6),B1201=10)),1,0)</f>
        <v>1</v>
      </c>
      <c r="AA1201" s="39" t="n">
        <f aca="false">IF(AND(E1201&gt;0,B1201=10),1,0)</f>
        <v>0</v>
      </c>
      <c r="AB1201" s="0" t="str">
        <f aca="false">IF(AND(C1200=C1201,Y1200=Y1201-1),Z1200,"")</f>
        <v/>
      </c>
      <c r="AC1201" s="0" t="str">
        <f aca="false">IF(AND(C1200=C1201,Y1200=Y1201-1),AA1200,"")</f>
        <v/>
      </c>
      <c r="AD1201" s="0" t="str">
        <f aca="false">IF(Y1201=1,"",IF(AND(Z1201=1,AB1201&lt;&gt;1),1,0))</f>
        <v/>
      </c>
      <c r="AE1201" s="0" t="str">
        <f aca="false">IF(Y1201=1,"",IF(AND(AA1201=1,AC1201&lt;&gt;1),1,0))</f>
        <v/>
      </c>
      <c r="AF1201" s="45" t="str">
        <f aca="false">IF(AND(E1201&gt;0,Y1201&lt;1,NOT(AND(C1202=C1201,Y1202=Y1201+1))),INDEX(DATAS,Y1201+1),"")</f>
        <v/>
      </c>
      <c r="AG1201" s="45" t="str">
        <f aca="false">IF(AND(AA1201=1,Y1201&lt;1),IF(AND(C1202=C1201,Y1202=Y1201+1),IF(AA1202=1,"",INDEX(DATAS,Y1201+1)),INDEX(DATAS,Y1201+1)),"")</f>
        <v/>
      </c>
    </row>
    <row r="1202" customFormat="false" ht="15" hidden="false" customHeight="false" outlineLevel="0" collapsed="false">
      <c r="A1202" s="45" t="n">
        <v>46309</v>
      </c>
      <c r="B1202" s="0" t="n">
        <v>4</v>
      </c>
      <c r="C1202" s="0" t="n">
        <v>5260</v>
      </c>
      <c r="D1202" s="0" t="n">
        <v>283</v>
      </c>
      <c r="E1202" s="0" t="n">
        <v>1</v>
      </c>
      <c r="F1202" s="39" t="s">
        <v>806</v>
      </c>
      <c r="G1202" s="0" t="n">
        <v>35.2</v>
      </c>
      <c r="H1202" s="0" t="n">
        <v>32</v>
      </c>
      <c r="I1202" s="39" t="s">
        <v>109</v>
      </c>
      <c r="J1202" s="0" t="n">
        <v>134</v>
      </c>
      <c r="K1202" s="0" t="n">
        <v>66</v>
      </c>
      <c r="L1202" s="0" t="n">
        <v>149</v>
      </c>
      <c r="M1202" s="0" t="n">
        <v>450.42</v>
      </c>
      <c r="N1202" s="0" t="n">
        <v>73.4</v>
      </c>
      <c r="O1202" s="0" t="n">
        <v>28.74</v>
      </c>
      <c r="P1202" s="0" t="n">
        <v>5.12</v>
      </c>
      <c r="Q1202" s="0" t="n">
        <v>4.13</v>
      </c>
      <c r="R1202" s="0" t="n">
        <v>4569</v>
      </c>
      <c r="S1202" s="0" t="n">
        <v>8596</v>
      </c>
      <c r="T1202" s="0" t="n">
        <v>46.95</v>
      </c>
      <c r="U1202" s="0" t="n">
        <v>993</v>
      </c>
      <c r="V1202" s="0" t="n">
        <v>3</v>
      </c>
      <c r="W1202" s="39" t="n">
        <f aca="false">IF(I1202="Male",0,1)</f>
        <v>1</v>
      </c>
      <c r="X1202" s="39" t="n">
        <f aca="false">IF(OR(I1202="DNB",I1202="Dry DNB"),1,0)</f>
        <v>0</v>
      </c>
      <c r="Y1202" s="39" t="n">
        <f aca="false">MATCH(A1202,DATAS,0)</f>
        <v>1</v>
      </c>
      <c r="Z1202" s="39" t="n">
        <f aca="false">IF(AND(E1202&gt;0,OR(AND(B1202&gt;=1,B1202&lt;=6),B1202=10)),1,0)</f>
        <v>1</v>
      </c>
      <c r="AA1202" s="39" t="n">
        <f aca="false">IF(AND(E1202&gt;0,B1202=10),1,0)</f>
        <v>0</v>
      </c>
      <c r="AB1202" s="0" t="str">
        <f aca="false">IF(AND(C1201=C1202,Y1201=Y1202-1),Z1201,"")</f>
        <v/>
      </c>
      <c r="AC1202" s="0" t="str">
        <f aca="false">IF(AND(C1201=C1202,Y1201=Y1202-1),AA1201,"")</f>
        <v/>
      </c>
      <c r="AD1202" s="0" t="str">
        <f aca="false">IF(Y1202=1,"",IF(AND(Z1202=1,AB1202&lt;&gt;1),1,0))</f>
        <v/>
      </c>
      <c r="AE1202" s="0" t="str">
        <f aca="false">IF(Y1202=1,"",IF(AND(AA1202=1,AC1202&lt;&gt;1),1,0))</f>
        <v/>
      </c>
      <c r="AF1202" s="45" t="str">
        <f aca="false">IF(AND(E1202&gt;0,Y1202&lt;1,NOT(AND(C1203=C1202,Y1203=Y1202+1))),INDEX(DATAS,Y1202+1),"")</f>
        <v/>
      </c>
      <c r="AG1202" s="45" t="str">
        <f aca="false">IF(AND(AA1202=1,Y1202&lt;1),IF(AND(C1203=C1202,Y1203=Y1202+1),IF(AA1203=1,"",INDEX(DATAS,Y1202+1)),INDEX(DATAS,Y1202+1)),"")</f>
        <v/>
      </c>
    </row>
    <row r="1203" customFormat="false" ht="15" hidden="false" customHeight="false" outlineLevel="0" collapsed="false">
      <c r="A1203" s="45" t="n">
        <v>46309</v>
      </c>
      <c r="B1203" s="0" t="n">
        <v>7</v>
      </c>
      <c r="C1203" s="0" t="n">
        <v>5261</v>
      </c>
      <c r="D1203" s="0" t="n">
        <v>357</v>
      </c>
      <c r="E1203" s="0" t="n">
        <v>1</v>
      </c>
      <c r="F1203" s="39" t="s">
        <v>806</v>
      </c>
      <c r="G1203" s="0" t="n">
        <v>12.2</v>
      </c>
      <c r="H1203" s="0" t="n">
        <v>34</v>
      </c>
      <c r="I1203" s="39" t="s">
        <v>114</v>
      </c>
      <c r="J1203" s="0" t="n">
        <v>134</v>
      </c>
      <c r="K1203" s="0" t="n">
        <v>65</v>
      </c>
      <c r="L1203" s="0" t="n">
        <v>224</v>
      </c>
      <c r="M1203" s="0" t="n">
        <v>463.51</v>
      </c>
      <c r="N1203" s="0" t="n">
        <v>56.41</v>
      </c>
      <c r="O1203" s="0" t="n">
        <v>26.82</v>
      </c>
      <c r="P1203" s="0" t="n">
        <v>3.27</v>
      </c>
      <c r="Q1203" s="0" t="n">
        <v>3.8</v>
      </c>
      <c r="R1203" s="0" t="n">
        <v>3841</v>
      </c>
      <c r="S1203" s="0" t="n">
        <v>8402</v>
      </c>
      <c r="T1203" s="0" t="n">
        <v>42.85</v>
      </c>
      <c r="U1203" s="0" t="n">
        <v>993</v>
      </c>
      <c r="V1203" s="0" t="n">
        <v>2</v>
      </c>
      <c r="W1203" s="39" t="n">
        <f aca="false">IF(I1203="Male",0,1)</f>
        <v>1</v>
      </c>
      <c r="X1203" s="39" t="n">
        <f aca="false">IF(OR(I1203="DNB",I1203="Dry DNB"),1,0)</f>
        <v>0</v>
      </c>
      <c r="Y1203" s="39" t="n">
        <f aca="false">MATCH(A1203,DATAS,0)</f>
        <v>1</v>
      </c>
      <c r="Z1203" s="39" t="n">
        <f aca="false">IF(AND(E1203&gt;0,OR(AND(B1203&gt;=1,B1203&lt;=6),B1203=10)),1,0)</f>
        <v>0</v>
      </c>
      <c r="AA1203" s="39" t="n">
        <f aca="false">IF(AND(E1203&gt;0,B1203=10),1,0)</f>
        <v>0</v>
      </c>
      <c r="AB1203" s="0" t="str">
        <f aca="false">IF(AND(C1202=C1203,Y1202=Y1203-1),Z1202,"")</f>
        <v/>
      </c>
      <c r="AC1203" s="0" t="str">
        <f aca="false">IF(AND(C1202=C1203,Y1202=Y1203-1),AA1202,"")</f>
        <v/>
      </c>
      <c r="AD1203" s="0" t="str">
        <f aca="false">IF(Y1203=1,"",IF(AND(Z1203=1,AB1203&lt;&gt;1),1,0))</f>
        <v/>
      </c>
      <c r="AE1203" s="0" t="str">
        <f aca="false">IF(Y1203=1,"",IF(AND(AA1203=1,AC1203&lt;&gt;1),1,0))</f>
        <v/>
      </c>
      <c r="AF1203" s="45" t="str">
        <f aca="false">IF(AND(E1203&gt;0,Y1203&lt;1,NOT(AND(C1204=C1203,Y1204=Y1203+1))),INDEX(DATAS,Y1203+1),"")</f>
        <v/>
      </c>
      <c r="AG1203" s="45" t="str">
        <f aca="false">IF(AND(AA1203=1,Y1203&lt;1),IF(AND(C1204=C1203,Y1204=Y1203+1),IF(AA1204=1,"",INDEX(DATAS,Y1203+1)),INDEX(DATAS,Y1203+1)),"")</f>
        <v/>
      </c>
    </row>
    <row r="1204" customFormat="false" ht="15" hidden="false" customHeight="false" outlineLevel="0" collapsed="false">
      <c r="A1204" s="45" t="n">
        <v>46309</v>
      </c>
      <c r="B1204" s="0" t="n">
        <v>6</v>
      </c>
      <c r="C1204" s="0" t="n">
        <v>5262</v>
      </c>
      <c r="D1204" s="0" t="n">
        <v>285</v>
      </c>
      <c r="E1204" s="0" t="n">
        <v>1</v>
      </c>
      <c r="F1204" s="39" t="s">
        <v>806</v>
      </c>
      <c r="G1204" s="0" t="n">
        <v>52.2</v>
      </c>
      <c r="H1204" s="0" t="n">
        <v>48</v>
      </c>
      <c r="I1204" s="39" t="s">
        <v>109</v>
      </c>
      <c r="J1204" s="0" t="n">
        <v>89</v>
      </c>
      <c r="K1204" s="0" t="n">
        <v>89</v>
      </c>
      <c r="L1204" s="0" t="n">
        <v>196</v>
      </c>
      <c r="M1204" s="0" t="n">
        <v>633.78</v>
      </c>
      <c r="N1204" s="0" t="n">
        <v>52.92</v>
      </c>
      <c r="O1204" s="0" t="n">
        <v>29.71</v>
      </c>
      <c r="P1204" s="0" t="n">
        <v>3.92</v>
      </c>
      <c r="Q1204" s="0" t="n">
        <v>3.29</v>
      </c>
      <c r="R1204" s="0" t="n">
        <v>4548</v>
      </c>
      <c r="S1204" s="0" t="n">
        <v>9649</v>
      </c>
      <c r="T1204" s="0" t="n">
        <v>46.9</v>
      </c>
      <c r="U1204" s="0" t="n">
        <v>993</v>
      </c>
      <c r="V1204" s="0" t="n">
        <v>1</v>
      </c>
      <c r="W1204" s="39" t="n">
        <f aca="false">IF(I1204="Male",0,1)</f>
        <v>1</v>
      </c>
      <c r="X1204" s="39" t="n">
        <f aca="false">IF(OR(I1204="DNB",I1204="Dry DNB"),1,0)</f>
        <v>0</v>
      </c>
      <c r="Y1204" s="39" t="n">
        <f aca="false">MATCH(A1204,DATAS,0)</f>
        <v>1</v>
      </c>
      <c r="Z1204" s="39" t="n">
        <f aca="false">IF(AND(E1204&gt;0,OR(AND(B1204&gt;=1,B1204&lt;=6),B1204=10)),1,0)</f>
        <v>1</v>
      </c>
      <c r="AA1204" s="39" t="n">
        <f aca="false">IF(AND(E1204&gt;0,B1204=10),1,0)</f>
        <v>0</v>
      </c>
      <c r="AB1204" s="0" t="str">
        <f aca="false">IF(AND(C1203=C1204,Y1203=Y1204-1),Z1203,"")</f>
        <v/>
      </c>
      <c r="AC1204" s="0" t="str">
        <f aca="false">IF(AND(C1203=C1204,Y1203=Y1204-1),AA1203,"")</f>
        <v/>
      </c>
      <c r="AD1204" s="0" t="str">
        <f aca="false">IF(Y1204=1,"",IF(AND(Z1204=1,AB1204&lt;&gt;1),1,0))</f>
        <v/>
      </c>
      <c r="AE1204" s="0" t="str">
        <f aca="false">IF(Y1204=1,"",IF(AND(AA1204=1,AC1204&lt;&gt;1),1,0))</f>
        <v/>
      </c>
      <c r="AF1204" s="45" t="str">
        <f aca="false">IF(AND(E1204&gt;0,Y1204&lt;1,NOT(AND(C1205=C1204,Y1205=Y1204+1))),INDEX(DATAS,Y1204+1),"")</f>
        <v/>
      </c>
      <c r="AG1204" s="45" t="str">
        <f aca="false">IF(AND(AA1204=1,Y1204&lt;1),IF(AND(C1205=C1204,Y1205=Y1204+1),IF(AA1205=1,"",INDEX(DATAS,Y1204+1)),INDEX(DATAS,Y1204+1)),"")</f>
        <v/>
      </c>
    </row>
    <row r="1205" customFormat="false" ht="15" hidden="false" customHeight="false" outlineLevel="0" collapsed="false">
      <c r="A1205" s="45" t="n">
        <v>46309</v>
      </c>
      <c r="B1205" s="0" t="n">
        <v>4</v>
      </c>
      <c r="C1205" s="0" t="n">
        <v>5263</v>
      </c>
      <c r="D1205" s="0" t="n">
        <v>318</v>
      </c>
      <c r="E1205" s="0" t="n">
        <v>1</v>
      </c>
      <c r="F1205" s="39" t="s">
        <v>806</v>
      </c>
      <c r="G1205" s="0" t="n">
        <v>37.4</v>
      </c>
      <c r="H1205" s="0" t="n">
        <v>36</v>
      </c>
      <c r="I1205" s="39" t="s">
        <v>109</v>
      </c>
      <c r="J1205" s="0" t="n">
        <v>255</v>
      </c>
      <c r="K1205" s="0" t="n">
        <v>66</v>
      </c>
      <c r="L1205" s="0" t="n">
        <v>63</v>
      </c>
      <c r="M1205" s="0" t="n">
        <v>1111.02</v>
      </c>
      <c r="N1205" s="0" t="n">
        <v>47.47</v>
      </c>
      <c r="O1205" s="0" t="n">
        <v>50.33</v>
      </c>
      <c r="P1205" s="0" t="n">
        <v>4.34</v>
      </c>
      <c r="Q1205" s="0" t="n">
        <v>3.92</v>
      </c>
      <c r="R1205" s="0" t="n">
        <v>4074</v>
      </c>
      <c r="S1205" s="0" t="n">
        <v>8130</v>
      </c>
      <c r="T1205" s="0" t="n">
        <v>43.85</v>
      </c>
      <c r="U1205" s="0" t="n">
        <v>993</v>
      </c>
      <c r="V1205" s="0" t="n">
        <v>6</v>
      </c>
      <c r="W1205" s="39" t="n">
        <f aca="false">IF(I1205="Male",0,1)</f>
        <v>1</v>
      </c>
      <c r="X1205" s="39" t="n">
        <f aca="false">IF(OR(I1205="DNB",I1205="Dry DNB"),1,0)</f>
        <v>0</v>
      </c>
      <c r="Y1205" s="39" t="n">
        <f aca="false">MATCH(A1205,DATAS,0)</f>
        <v>1</v>
      </c>
      <c r="Z1205" s="39" t="n">
        <f aca="false">IF(AND(E1205&gt;0,OR(AND(B1205&gt;=1,B1205&lt;=6),B1205=10)),1,0)</f>
        <v>1</v>
      </c>
      <c r="AA1205" s="39" t="n">
        <f aca="false">IF(AND(E1205&gt;0,B1205=10),1,0)</f>
        <v>0</v>
      </c>
      <c r="AB1205" s="0" t="str">
        <f aca="false">IF(AND(C1204=C1205,Y1204=Y1205-1),Z1204,"")</f>
        <v/>
      </c>
      <c r="AC1205" s="0" t="str">
        <f aca="false">IF(AND(C1204=C1205,Y1204=Y1205-1),AA1204,"")</f>
        <v/>
      </c>
      <c r="AD1205" s="0" t="str">
        <f aca="false">IF(Y1205=1,"",IF(AND(Z1205=1,AB1205&lt;&gt;1),1,0))</f>
        <v/>
      </c>
      <c r="AE1205" s="0" t="str">
        <f aca="false">IF(Y1205=1,"",IF(AND(AA1205=1,AC1205&lt;&gt;1),1,0))</f>
        <v/>
      </c>
      <c r="AF1205" s="45" t="str">
        <f aca="false">IF(AND(E1205&gt;0,Y1205&lt;1,NOT(AND(C1206=C1205,Y1206=Y1205+1))),INDEX(DATAS,Y1205+1),"")</f>
        <v/>
      </c>
      <c r="AG1205" s="45" t="str">
        <f aca="false">IF(AND(AA1205=1,Y1205&lt;1),IF(AND(C1206=C1205,Y1206=Y1205+1),IF(AA1206=1,"",INDEX(DATAS,Y1205+1)),INDEX(DATAS,Y1205+1)),"")</f>
        <v/>
      </c>
    </row>
    <row r="1206" customFormat="false" ht="15" hidden="false" customHeight="false" outlineLevel="0" collapsed="false">
      <c r="A1206" s="45" t="n">
        <v>46309</v>
      </c>
      <c r="B1206" s="0" t="n">
        <v>4</v>
      </c>
      <c r="C1206" s="0" t="n">
        <v>5266</v>
      </c>
      <c r="D1206" s="0" t="n">
        <v>313</v>
      </c>
      <c r="E1206" s="0" t="n">
        <v>1</v>
      </c>
      <c r="F1206" s="39" t="s">
        <v>806</v>
      </c>
      <c r="G1206" s="0" t="n">
        <v>36</v>
      </c>
      <c r="H1206" s="0" t="n">
        <v>38</v>
      </c>
      <c r="I1206" s="39" t="s">
        <v>109</v>
      </c>
      <c r="J1206" s="0" t="n">
        <v>243</v>
      </c>
      <c r="K1206" s="0" t="n">
        <v>68</v>
      </c>
      <c r="L1206" s="0" t="n">
        <v>70</v>
      </c>
      <c r="M1206" s="0" t="n">
        <v>593.14</v>
      </c>
      <c r="N1206" s="0" t="n">
        <v>50.16</v>
      </c>
      <c r="O1206" s="0" t="n">
        <v>34.84</v>
      </c>
      <c r="P1206" s="0" t="n">
        <v>3.58</v>
      </c>
      <c r="Q1206" s="0" t="n">
        <v>4.29</v>
      </c>
      <c r="R1206" s="0" t="n">
        <v>4283</v>
      </c>
      <c r="S1206" s="0" t="n">
        <v>9045</v>
      </c>
      <c r="T1206" s="0" t="n">
        <v>43.4</v>
      </c>
      <c r="U1206" s="0" t="n">
        <v>993</v>
      </c>
      <c r="V1206" s="0" t="n">
        <v>5</v>
      </c>
      <c r="W1206" s="39" t="n">
        <f aca="false">IF(I1206="Male",0,1)</f>
        <v>1</v>
      </c>
      <c r="X1206" s="39" t="n">
        <f aca="false">IF(OR(I1206="DNB",I1206="Dry DNB"),1,0)</f>
        <v>0</v>
      </c>
      <c r="Y1206" s="39" t="n">
        <f aca="false">MATCH(A1206,DATAS,0)</f>
        <v>1</v>
      </c>
      <c r="Z1206" s="39" t="n">
        <f aca="false">IF(AND(E1206&gt;0,OR(AND(B1206&gt;=1,B1206&lt;=6),B1206=10)),1,0)</f>
        <v>1</v>
      </c>
      <c r="AA1206" s="39" t="n">
        <f aca="false">IF(AND(E1206&gt;0,B1206=10),1,0)</f>
        <v>0</v>
      </c>
      <c r="AB1206" s="0" t="str">
        <f aca="false">IF(AND(C1205=C1206,Y1205=Y1206-1),Z1205,"")</f>
        <v/>
      </c>
      <c r="AC1206" s="0" t="str">
        <f aca="false">IF(AND(C1205=C1206,Y1205=Y1206-1),AA1205,"")</f>
        <v/>
      </c>
      <c r="AD1206" s="0" t="str">
        <f aca="false">IF(Y1206=1,"",IF(AND(Z1206=1,AB1206&lt;&gt;1),1,0))</f>
        <v/>
      </c>
      <c r="AE1206" s="0" t="str">
        <f aca="false">IF(Y1206=1,"",IF(AND(AA1206=1,AC1206&lt;&gt;1),1,0))</f>
        <v/>
      </c>
      <c r="AF1206" s="45" t="str">
        <f aca="false">IF(AND(E1206&gt;0,Y1206&lt;1,NOT(AND(C1207=C1206,Y1207=Y1206+1))),INDEX(DATAS,Y1206+1),"")</f>
        <v/>
      </c>
      <c r="AG1206" s="45" t="str">
        <f aca="false">IF(AND(AA1206=1,Y1206&lt;1),IF(AND(C1207=C1206,Y1207=Y1206+1),IF(AA1207=1,"",INDEX(DATAS,Y1206+1)),INDEX(DATAS,Y1206+1)),"")</f>
        <v/>
      </c>
    </row>
    <row r="1207" customFormat="false" ht="15" hidden="false" customHeight="false" outlineLevel="0" collapsed="false">
      <c r="A1207" s="45" t="n">
        <v>46309</v>
      </c>
      <c r="B1207" s="0" t="n">
        <v>7</v>
      </c>
      <c r="C1207" s="0" t="n">
        <v>5267</v>
      </c>
      <c r="D1207" s="0" t="n">
        <v>288</v>
      </c>
      <c r="E1207" s="0" t="n">
        <v>1</v>
      </c>
      <c r="F1207" s="39" t="s">
        <v>807</v>
      </c>
      <c r="I1207" s="39" t="s">
        <v>114</v>
      </c>
      <c r="J1207" s="0" t="n">
        <v>65</v>
      </c>
      <c r="K1207" s="0" t="n">
        <v>65</v>
      </c>
      <c r="L1207" s="0" t="n">
        <v>231</v>
      </c>
      <c r="M1207" s="0" t="n">
        <v>309.98</v>
      </c>
      <c r="N1207" s="0" t="n">
        <v>70.92</v>
      </c>
      <c r="O1207" s="0" t="n">
        <v>25.65</v>
      </c>
      <c r="P1207" s="0" t="n">
        <v>4.86</v>
      </c>
      <c r="Q1207" s="0" t="n">
        <v>3.76</v>
      </c>
      <c r="R1207" s="0" t="n">
        <v>4405</v>
      </c>
      <c r="S1207" s="0" t="n">
        <v>9520</v>
      </c>
      <c r="T1207" s="0" t="n">
        <v>46.7</v>
      </c>
      <c r="U1207" s="0" t="n">
        <v>991</v>
      </c>
      <c r="V1207" s="0" t="n">
        <v>1</v>
      </c>
      <c r="W1207" s="39" t="n">
        <f aca="false">IF(I1207="Male",0,1)</f>
        <v>1</v>
      </c>
      <c r="X1207" s="39" t="n">
        <f aca="false">IF(OR(I1207="DNB",I1207="Dry DNB"),1,0)</f>
        <v>0</v>
      </c>
      <c r="Y1207" s="39" t="n">
        <f aca="false">MATCH(A1207,DATAS,0)</f>
        <v>1</v>
      </c>
      <c r="Z1207" s="39" t="n">
        <f aca="false">IF(AND(E1207&gt;0,OR(AND(B1207&gt;=1,B1207&lt;=6),B1207=10)),1,0)</f>
        <v>0</v>
      </c>
      <c r="AA1207" s="39" t="n">
        <f aca="false">IF(AND(E1207&gt;0,B1207=10),1,0)</f>
        <v>0</v>
      </c>
      <c r="AB1207" s="0" t="str">
        <f aca="false">IF(AND(C1206=C1207,Y1206=Y1207-1),Z1206,"")</f>
        <v/>
      </c>
      <c r="AC1207" s="0" t="str">
        <f aca="false">IF(AND(C1206=C1207,Y1206=Y1207-1),AA1206,"")</f>
        <v/>
      </c>
      <c r="AD1207" s="0" t="str">
        <f aca="false">IF(Y1207=1,"",IF(AND(Z1207=1,AB1207&lt;&gt;1),1,0))</f>
        <v/>
      </c>
      <c r="AE1207" s="0" t="str">
        <f aca="false">IF(Y1207=1,"",IF(AND(AA1207=1,AC1207&lt;&gt;1),1,0))</f>
        <v/>
      </c>
      <c r="AF1207" s="45" t="str">
        <f aca="false">IF(AND(E1207&gt;0,Y1207&lt;1,NOT(AND(C1208=C1207,Y1208=Y1207+1))),INDEX(DATAS,Y1207+1),"")</f>
        <v/>
      </c>
      <c r="AG1207" s="45" t="str">
        <f aca="false">IF(AND(AA1207=1,Y1207&lt;1),IF(AND(C1208=C1207,Y1208=Y1207+1),IF(AA1208=1,"",INDEX(DATAS,Y1207+1)),INDEX(DATAS,Y1207+1)),"")</f>
        <v/>
      </c>
    </row>
    <row r="1208" customFormat="false" ht="15" hidden="false" customHeight="false" outlineLevel="0" collapsed="false">
      <c r="A1208" s="45" t="n">
        <v>46309</v>
      </c>
      <c r="B1208" s="0" t="n">
        <v>5</v>
      </c>
      <c r="C1208" s="0" t="n">
        <v>5270</v>
      </c>
      <c r="D1208" s="0" t="n">
        <v>364</v>
      </c>
      <c r="E1208" s="0" t="n">
        <v>1</v>
      </c>
      <c r="F1208" s="39" t="s">
        <v>808</v>
      </c>
      <c r="G1208" s="0" t="n">
        <v>42.9</v>
      </c>
      <c r="H1208" s="0" t="n">
        <v>43</v>
      </c>
      <c r="I1208" s="39" t="s">
        <v>109</v>
      </c>
      <c r="J1208" s="0" t="n">
        <v>168</v>
      </c>
      <c r="K1208" s="0" t="n">
        <v>64</v>
      </c>
      <c r="L1208" s="0" t="n">
        <v>196</v>
      </c>
      <c r="M1208" s="0" t="n">
        <v>479.99</v>
      </c>
      <c r="N1208" s="0" t="n">
        <v>57.77</v>
      </c>
      <c r="O1208" s="0" t="n">
        <v>41.28</v>
      </c>
      <c r="P1208" s="0" t="n">
        <v>4.15</v>
      </c>
      <c r="Q1208" s="0" t="n">
        <v>3.84</v>
      </c>
      <c r="R1208" s="0" t="n">
        <v>4499</v>
      </c>
      <c r="S1208" s="0" t="n">
        <v>9317</v>
      </c>
      <c r="T1208" s="0" t="n">
        <v>52.25</v>
      </c>
      <c r="U1208" s="0" t="n">
        <v>989</v>
      </c>
      <c r="V1208" s="0" t="n">
        <v>4</v>
      </c>
      <c r="W1208" s="39" t="n">
        <f aca="false">IF(I1208="Male",0,1)</f>
        <v>1</v>
      </c>
      <c r="X1208" s="39" t="n">
        <f aca="false">IF(OR(I1208="DNB",I1208="Dry DNB"),1,0)</f>
        <v>0</v>
      </c>
      <c r="Y1208" s="39" t="n">
        <f aca="false">MATCH(A1208,DATAS,0)</f>
        <v>1</v>
      </c>
      <c r="Z1208" s="39" t="n">
        <f aca="false">IF(AND(E1208&gt;0,OR(AND(B1208&gt;=1,B1208&lt;=6),B1208=10)),1,0)</f>
        <v>1</v>
      </c>
      <c r="AA1208" s="39" t="n">
        <f aca="false">IF(AND(E1208&gt;0,B1208=10),1,0)</f>
        <v>0</v>
      </c>
      <c r="AB1208" s="0" t="str">
        <f aca="false">IF(AND(C1207=C1208,Y1207=Y1208-1),Z1207,"")</f>
        <v/>
      </c>
      <c r="AC1208" s="0" t="str">
        <f aca="false">IF(AND(C1207=C1208,Y1207=Y1208-1),AA1207,"")</f>
        <v/>
      </c>
      <c r="AD1208" s="0" t="str">
        <f aca="false">IF(Y1208=1,"",IF(AND(Z1208=1,AB1208&lt;&gt;1),1,0))</f>
        <v/>
      </c>
      <c r="AE1208" s="0" t="str">
        <f aca="false">IF(Y1208=1,"",IF(AND(AA1208=1,AC1208&lt;&gt;1),1,0))</f>
        <v/>
      </c>
      <c r="AF1208" s="45" t="str">
        <f aca="false">IF(AND(E1208&gt;0,Y1208&lt;1,NOT(AND(C1209=C1208,Y1209=Y1208+1))),INDEX(DATAS,Y1208+1),"")</f>
        <v/>
      </c>
      <c r="AG1208" s="45" t="str">
        <f aca="false">IF(AND(AA1208=1,Y1208&lt;1),IF(AND(C1209=C1208,Y1209=Y1208+1),IF(AA1209=1,"",INDEX(DATAS,Y1208+1)),INDEX(DATAS,Y1208+1)),"")</f>
        <v/>
      </c>
    </row>
    <row r="1209" customFormat="false" ht="15" hidden="false" customHeight="false" outlineLevel="0" collapsed="false">
      <c r="A1209" s="45" t="n">
        <v>46309</v>
      </c>
      <c r="B1209" s="0" t="n">
        <v>7</v>
      </c>
      <c r="C1209" s="0" t="n">
        <v>5272</v>
      </c>
      <c r="D1209" s="0" t="n">
        <v>323</v>
      </c>
      <c r="E1209" s="0" t="n">
        <v>1</v>
      </c>
      <c r="F1209" s="39" t="s">
        <v>809</v>
      </c>
      <c r="G1209" s="0" t="n">
        <v>11.8</v>
      </c>
      <c r="H1209" s="0" t="n">
        <v>33</v>
      </c>
      <c r="I1209" s="39" t="s">
        <v>114</v>
      </c>
      <c r="J1209" s="0" t="n">
        <v>100</v>
      </c>
      <c r="K1209" s="0" t="n">
        <v>65</v>
      </c>
      <c r="L1209" s="0" t="n">
        <v>224</v>
      </c>
      <c r="M1209" s="0" t="n">
        <v>1028.17</v>
      </c>
      <c r="N1209" s="0" t="n">
        <v>44.7</v>
      </c>
      <c r="O1209" s="0" t="n">
        <v>34.02</v>
      </c>
      <c r="P1209" s="0" t="n">
        <v>3.77</v>
      </c>
      <c r="Q1209" s="0" t="n">
        <v>3.61</v>
      </c>
      <c r="R1209" s="0" t="n">
        <v>4485</v>
      </c>
      <c r="S1209" s="0" t="n">
        <v>9561</v>
      </c>
      <c r="T1209" s="0" t="n">
        <v>45.95</v>
      </c>
      <c r="U1209" s="0" t="n">
        <v>987</v>
      </c>
      <c r="V1209" s="0" t="n">
        <v>2</v>
      </c>
      <c r="W1209" s="39" t="n">
        <f aca="false">IF(I1209="Male",0,1)</f>
        <v>1</v>
      </c>
      <c r="X1209" s="39" t="n">
        <f aca="false">IF(OR(I1209="DNB",I1209="Dry DNB"),1,0)</f>
        <v>0</v>
      </c>
      <c r="Y1209" s="39" t="n">
        <f aca="false">MATCH(A1209,DATAS,0)</f>
        <v>1</v>
      </c>
      <c r="Z1209" s="39" t="n">
        <f aca="false">IF(AND(E1209&gt;0,OR(AND(B1209&gt;=1,B1209&lt;=6),B1209=10)),1,0)</f>
        <v>0</v>
      </c>
      <c r="AA1209" s="39" t="n">
        <f aca="false">IF(AND(E1209&gt;0,B1209=10),1,0)</f>
        <v>0</v>
      </c>
      <c r="AB1209" s="0" t="str">
        <f aca="false">IF(AND(C1208=C1209,Y1208=Y1209-1),Z1208,"")</f>
        <v/>
      </c>
      <c r="AC1209" s="0" t="str">
        <f aca="false">IF(AND(C1208=C1209,Y1208=Y1209-1),AA1208,"")</f>
        <v/>
      </c>
      <c r="AD1209" s="0" t="str">
        <f aca="false">IF(Y1209=1,"",IF(AND(Z1209=1,AB1209&lt;&gt;1),1,0))</f>
        <v/>
      </c>
      <c r="AE1209" s="0" t="str">
        <f aca="false">IF(Y1209=1,"",IF(AND(AA1209=1,AC1209&lt;&gt;1),1,0))</f>
        <v/>
      </c>
      <c r="AF1209" s="45" t="str">
        <f aca="false">IF(AND(E1209&gt;0,Y1209&lt;1,NOT(AND(C1210=C1209,Y1210=Y1209+1))),INDEX(DATAS,Y1209+1),"")</f>
        <v/>
      </c>
      <c r="AG1209" s="45" t="str">
        <f aca="false">IF(AND(AA1209=1,Y1209&lt;1),IF(AND(C1210=C1209,Y1210=Y1209+1),IF(AA1210=1,"",INDEX(DATAS,Y1209+1)),INDEX(DATAS,Y1209+1)),"")</f>
        <v/>
      </c>
    </row>
    <row r="1210" customFormat="false" ht="15" hidden="false" customHeight="false" outlineLevel="0" collapsed="false">
      <c r="A1210" s="45" t="n">
        <v>46309</v>
      </c>
      <c r="B1210" s="0" t="n">
        <v>4</v>
      </c>
      <c r="C1210" s="0" t="n">
        <v>5273</v>
      </c>
      <c r="D1210" s="0" t="n">
        <v>264</v>
      </c>
      <c r="E1210" s="0" t="n">
        <v>1</v>
      </c>
      <c r="F1210" s="39" t="s">
        <v>809</v>
      </c>
      <c r="G1210" s="0" t="n">
        <v>24.6</v>
      </c>
      <c r="H1210" s="0" t="n">
        <v>45</v>
      </c>
      <c r="I1210" s="39" t="s">
        <v>109</v>
      </c>
      <c r="J1210" s="0" t="n">
        <v>113</v>
      </c>
      <c r="K1210" s="0" t="n">
        <v>61</v>
      </c>
      <c r="L1210" s="0" t="n">
        <v>151</v>
      </c>
      <c r="M1210" s="0" t="n">
        <v>1085.01</v>
      </c>
      <c r="N1210" s="0" t="n">
        <v>39.12</v>
      </c>
      <c r="O1210" s="0" t="n">
        <v>34.1</v>
      </c>
      <c r="P1210" s="0" t="n">
        <v>2.82</v>
      </c>
      <c r="Q1210" s="0" t="n">
        <v>3.51</v>
      </c>
      <c r="R1210" s="0" t="n">
        <v>3779</v>
      </c>
      <c r="S1210" s="0" t="n">
        <v>9449</v>
      </c>
      <c r="T1210" s="0" t="n">
        <v>37.5</v>
      </c>
      <c r="U1210" s="0" t="n">
        <v>987</v>
      </c>
      <c r="V1210" s="0" t="n">
        <v>4</v>
      </c>
      <c r="W1210" s="39" t="n">
        <f aca="false">IF(I1210="Male",0,1)</f>
        <v>1</v>
      </c>
      <c r="X1210" s="39" t="n">
        <f aca="false">IF(OR(I1210="DNB",I1210="Dry DNB"),1,0)</f>
        <v>0</v>
      </c>
      <c r="Y1210" s="39" t="n">
        <f aca="false">MATCH(A1210,DATAS,0)</f>
        <v>1</v>
      </c>
      <c r="Z1210" s="39" t="n">
        <f aca="false">IF(AND(E1210&gt;0,OR(AND(B1210&gt;=1,B1210&lt;=6),B1210=10)),1,0)</f>
        <v>1</v>
      </c>
      <c r="AA1210" s="39" t="n">
        <f aca="false">IF(AND(E1210&gt;0,B1210=10),1,0)</f>
        <v>0</v>
      </c>
      <c r="AB1210" s="0" t="str">
        <f aca="false">IF(AND(C1209=C1210,Y1209=Y1210-1),Z1209,"")</f>
        <v/>
      </c>
      <c r="AC1210" s="0" t="str">
        <f aca="false">IF(AND(C1209=C1210,Y1209=Y1210-1),AA1209,"")</f>
        <v/>
      </c>
      <c r="AD1210" s="0" t="str">
        <f aca="false">IF(Y1210=1,"",IF(AND(Z1210=1,AB1210&lt;&gt;1),1,0))</f>
        <v/>
      </c>
      <c r="AE1210" s="0" t="str">
        <f aca="false">IF(Y1210=1,"",IF(AND(AA1210=1,AC1210&lt;&gt;1),1,0))</f>
        <v/>
      </c>
      <c r="AF1210" s="45" t="str">
        <f aca="false">IF(AND(E1210&gt;0,Y1210&lt;1,NOT(AND(C1211=C1210,Y1211=Y1210+1))),INDEX(DATAS,Y1210+1),"")</f>
        <v/>
      </c>
      <c r="AG1210" s="45" t="str">
        <f aca="false">IF(AND(AA1210=1,Y1210&lt;1),IF(AND(C1211=C1210,Y1211=Y1210+1),IF(AA1211=1,"",INDEX(DATAS,Y1210+1)),INDEX(DATAS,Y1210+1)),"")</f>
        <v/>
      </c>
    </row>
    <row r="1211" customFormat="false" ht="15" hidden="false" customHeight="false" outlineLevel="0" collapsed="false">
      <c r="A1211" s="45" t="n">
        <v>46309</v>
      </c>
      <c r="B1211" s="0" t="n">
        <v>6</v>
      </c>
      <c r="C1211" s="0" t="n">
        <v>5274</v>
      </c>
      <c r="D1211" s="0" t="n">
        <v>354</v>
      </c>
      <c r="E1211" s="0" t="n">
        <v>1</v>
      </c>
      <c r="F1211" s="39" t="s">
        <v>809</v>
      </c>
      <c r="H1211" s="0" t="n">
        <v>18</v>
      </c>
      <c r="I1211" s="39" t="s">
        <v>138</v>
      </c>
      <c r="J1211" s="0" t="n">
        <v>354</v>
      </c>
      <c r="K1211" s="0" t="n">
        <v>68</v>
      </c>
      <c r="M1211" s="0" t="n">
        <v>1220.99</v>
      </c>
      <c r="N1211" s="0" t="n">
        <v>71.58</v>
      </c>
      <c r="O1211" s="0" t="n">
        <v>45.37</v>
      </c>
      <c r="P1211" s="0" t="n">
        <v>5.96</v>
      </c>
      <c r="Q1211" s="0" t="n">
        <v>4.35</v>
      </c>
      <c r="R1211" s="0" t="n">
        <v>3429</v>
      </c>
      <c r="S1211" s="0" t="n">
        <v>6737</v>
      </c>
      <c r="T1211" s="0" t="n">
        <v>32.65</v>
      </c>
      <c r="U1211" s="0" t="n">
        <v>987</v>
      </c>
      <c r="V1211" s="0" t="n">
        <v>7</v>
      </c>
      <c r="W1211" s="39" t="n">
        <f aca="false">IF(I1211="Male",0,1)</f>
        <v>1</v>
      </c>
      <c r="X1211" s="39" t="n">
        <f aca="false">IF(OR(I1211="DNB",I1211="Dry DNB"),1,0)</f>
        <v>0</v>
      </c>
      <c r="Y1211" s="39" t="n">
        <f aca="false">MATCH(A1211,DATAS,0)</f>
        <v>1</v>
      </c>
      <c r="Z1211" s="39" t="n">
        <f aca="false">IF(AND(E1211&gt;0,OR(AND(B1211&gt;=1,B1211&lt;=6),B1211=10)),1,0)</f>
        <v>1</v>
      </c>
      <c r="AA1211" s="39" t="n">
        <f aca="false">IF(AND(E1211&gt;0,B1211=10),1,0)</f>
        <v>0</v>
      </c>
      <c r="AB1211" s="0" t="str">
        <f aca="false">IF(AND(C1210=C1211,Y1210=Y1211-1),Z1210,"")</f>
        <v/>
      </c>
      <c r="AC1211" s="0" t="str">
        <f aca="false">IF(AND(C1210=C1211,Y1210=Y1211-1),AA1210,"")</f>
        <v/>
      </c>
      <c r="AD1211" s="0" t="str">
        <f aca="false">IF(Y1211=1,"",IF(AND(Z1211=1,AB1211&lt;&gt;1),1,0))</f>
        <v/>
      </c>
      <c r="AE1211" s="0" t="str">
        <f aca="false">IF(Y1211=1,"",IF(AND(AA1211=1,AC1211&lt;&gt;1),1,0))</f>
        <v/>
      </c>
      <c r="AF1211" s="45" t="str">
        <f aca="false">IF(AND(E1211&gt;0,Y1211&lt;1,NOT(AND(C1212=C1211,Y1212=Y1211+1))),INDEX(DATAS,Y1211+1),"")</f>
        <v/>
      </c>
      <c r="AG1211" s="45" t="str">
        <f aca="false">IF(AND(AA1211=1,Y1211&lt;1),IF(AND(C1212=C1211,Y1212=Y1211+1),IF(AA1212=1,"",INDEX(DATAS,Y1211+1)),INDEX(DATAS,Y1211+1)),"")</f>
        <v/>
      </c>
    </row>
    <row r="1212" customFormat="false" ht="15" hidden="false" customHeight="false" outlineLevel="0" collapsed="false">
      <c r="A1212" s="45" t="n">
        <v>46309</v>
      </c>
      <c r="B1212" s="0" t="n">
        <v>4</v>
      </c>
      <c r="C1212" s="0" t="n">
        <v>5275</v>
      </c>
      <c r="D1212" s="0" t="n">
        <v>297</v>
      </c>
      <c r="E1212" s="0" t="n">
        <v>1</v>
      </c>
      <c r="F1212" s="39" t="s">
        <v>809</v>
      </c>
      <c r="G1212" s="0" t="n">
        <v>53.1</v>
      </c>
      <c r="H1212" s="0" t="n">
        <v>50</v>
      </c>
      <c r="I1212" s="39" t="s">
        <v>109</v>
      </c>
      <c r="J1212" s="0" t="n">
        <v>185</v>
      </c>
      <c r="K1212" s="0" t="n">
        <v>59</v>
      </c>
      <c r="L1212" s="0" t="n">
        <v>112</v>
      </c>
      <c r="M1212" s="0" t="n">
        <v>1026.21</v>
      </c>
      <c r="N1212" s="0" t="n">
        <v>63.52</v>
      </c>
      <c r="O1212" s="0" t="n">
        <v>36.6</v>
      </c>
      <c r="P1212" s="0" t="n">
        <v>3.5</v>
      </c>
      <c r="Q1212" s="0" t="n">
        <v>3.07</v>
      </c>
      <c r="R1212" s="0" t="n">
        <v>5372</v>
      </c>
      <c r="S1212" s="0" t="n">
        <v>11564</v>
      </c>
      <c r="T1212" s="0" t="n">
        <v>58.65</v>
      </c>
      <c r="U1212" s="0" t="n">
        <v>987</v>
      </c>
      <c r="V1212" s="0" t="n">
        <v>4</v>
      </c>
      <c r="W1212" s="39" t="n">
        <f aca="false">IF(I1212="Male",0,1)</f>
        <v>1</v>
      </c>
      <c r="X1212" s="39" t="n">
        <f aca="false">IF(OR(I1212="DNB",I1212="Dry DNB"),1,0)</f>
        <v>0</v>
      </c>
      <c r="Y1212" s="39" t="n">
        <f aca="false">MATCH(A1212,DATAS,0)</f>
        <v>1</v>
      </c>
      <c r="Z1212" s="39" t="n">
        <f aca="false">IF(AND(E1212&gt;0,OR(AND(B1212&gt;=1,B1212&lt;=6),B1212=10)),1,0)</f>
        <v>1</v>
      </c>
      <c r="AA1212" s="39" t="n">
        <f aca="false">IF(AND(E1212&gt;0,B1212=10),1,0)</f>
        <v>0</v>
      </c>
      <c r="AB1212" s="0" t="str">
        <f aca="false">IF(AND(C1211=C1212,Y1211=Y1212-1),Z1211,"")</f>
        <v/>
      </c>
      <c r="AC1212" s="0" t="str">
        <f aca="false">IF(AND(C1211=C1212,Y1211=Y1212-1),AA1211,"")</f>
        <v/>
      </c>
      <c r="AD1212" s="0" t="str">
        <f aca="false">IF(Y1212=1,"",IF(AND(Z1212=1,AB1212&lt;&gt;1),1,0))</f>
        <v/>
      </c>
      <c r="AE1212" s="0" t="str">
        <f aca="false">IF(Y1212=1,"",IF(AND(AA1212=1,AC1212&lt;&gt;1),1,0))</f>
        <v/>
      </c>
      <c r="AF1212" s="45" t="str">
        <f aca="false">IF(AND(E1212&gt;0,Y1212&lt;1,NOT(AND(C1213=C1212,Y1213=Y1212+1))),INDEX(DATAS,Y1212+1),"")</f>
        <v/>
      </c>
      <c r="AG1212" s="45" t="str">
        <f aca="false">IF(AND(AA1212=1,Y1212&lt;1),IF(AND(C1213=C1212,Y1213=Y1212+1),IF(AA1213=1,"",INDEX(DATAS,Y1212+1)),INDEX(DATAS,Y1212+1)),"")</f>
        <v/>
      </c>
    </row>
    <row r="1213" customFormat="false" ht="15" hidden="false" customHeight="false" outlineLevel="0" collapsed="false">
      <c r="A1213" s="45" t="n">
        <v>46309</v>
      </c>
      <c r="B1213" s="0" t="n">
        <v>7</v>
      </c>
      <c r="C1213" s="0" t="n">
        <v>5276</v>
      </c>
      <c r="D1213" s="0" t="n">
        <v>330</v>
      </c>
      <c r="E1213" s="0" t="n">
        <v>1</v>
      </c>
      <c r="F1213" s="39" t="s">
        <v>809</v>
      </c>
      <c r="I1213" s="39" t="s">
        <v>114</v>
      </c>
      <c r="J1213" s="0" t="n">
        <v>100</v>
      </c>
      <c r="K1213" s="0" t="n">
        <v>66</v>
      </c>
      <c r="L1213" s="0" t="n">
        <v>245</v>
      </c>
      <c r="M1213" s="0" t="n">
        <v>390.79</v>
      </c>
      <c r="N1213" s="0" t="n">
        <v>64.27</v>
      </c>
      <c r="O1213" s="0" t="n">
        <v>22</v>
      </c>
      <c r="P1213" s="0" t="n">
        <v>4.35</v>
      </c>
      <c r="Q1213" s="0" t="n">
        <v>3.33</v>
      </c>
      <c r="R1213" s="0" t="n">
        <v>4152</v>
      </c>
      <c r="S1213" s="0" t="n">
        <v>9816</v>
      </c>
      <c r="T1213" s="0" t="n">
        <v>45.95</v>
      </c>
      <c r="U1213" s="0" t="n">
        <v>987</v>
      </c>
      <c r="V1213" s="0" t="n">
        <v>2</v>
      </c>
      <c r="W1213" s="39" t="n">
        <f aca="false">IF(I1213="Male",0,1)</f>
        <v>1</v>
      </c>
      <c r="X1213" s="39" t="n">
        <f aca="false">IF(OR(I1213="DNB",I1213="Dry DNB"),1,0)</f>
        <v>0</v>
      </c>
      <c r="Y1213" s="39" t="n">
        <f aca="false">MATCH(A1213,DATAS,0)</f>
        <v>1</v>
      </c>
      <c r="Z1213" s="39" t="n">
        <f aca="false">IF(AND(E1213&gt;0,OR(AND(B1213&gt;=1,B1213&lt;=6),B1213=10)),1,0)</f>
        <v>0</v>
      </c>
      <c r="AA1213" s="39" t="n">
        <f aca="false">IF(AND(E1213&gt;0,B1213=10),1,0)</f>
        <v>0</v>
      </c>
      <c r="AB1213" s="0" t="str">
        <f aca="false">IF(AND(C1212=C1213,Y1212=Y1213-1),Z1212,"")</f>
        <v/>
      </c>
      <c r="AC1213" s="0" t="str">
        <f aca="false">IF(AND(C1212=C1213,Y1212=Y1213-1),AA1212,"")</f>
        <v/>
      </c>
      <c r="AD1213" s="0" t="str">
        <f aca="false">IF(Y1213=1,"",IF(AND(Z1213=1,AB1213&lt;&gt;1),1,0))</f>
        <v/>
      </c>
      <c r="AE1213" s="0" t="str">
        <f aca="false">IF(Y1213=1,"",IF(AND(AA1213=1,AC1213&lt;&gt;1),1,0))</f>
        <v/>
      </c>
      <c r="AF1213" s="45" t="str">
        <f aca="false">IF(AND(E1213&gt;0,Y1213&lt;1,NOT(AND(C1214=C1213,Y1214=Y1213+1))),INDEX(DATAS,Y1213+1),"")</f>
        <v/>
      </c>
      <c r="AG1213" s="45" t="str">
        <f aca="false">IF(AND(AA1213=1,Y1213&lt;1),IF(AND(C1214=C1213,Y1214=Y1213+1),IF(AA1214=1,"",INDEX(DATAS,Y1213+1)),INDEX(DATAS,Y1213+1)),"")</f>
        <v/>
      </c>
    </row>
    <row r="1214" customFormat="false" ht="15" hidden="false" customHeight="false" outlineLevel="0" collapsed="false">
      <c r="A1214" s="45" t="n">
        <v>46309</v>
      </c>
      <c r="B1214" s="0" t="n">
        <v>14</v>
      </c>
      <c r="C1214" s="0" t="n">
        <v>5277</v>
      </c>
      <c r="D1214" s="0" t="n">
        <v>320</v>
      </c>
      <c r="E1214" s="0" t="n">
        <v>1</v>
      </c>
      <c r="F1214" s="39" t="s">
        <v>809</v>
      </c>
      <c r="I1214" s="39" t="s">
        <v>114</v>
      </c>
      <c r="J1214" s="0" t="n">
        <v>92</v>
      </c>
      <c r="K1214" s="0" t="n">
        <v>70</v>
      </c>
      <c r="L1214" s="0" t="n">
        <v>264</v>
      </c>
      <c r="M1214" s="0" t="n">
        <v>736.61</v>
      </c>
      <c r="N1214" s="0" t="n">
        <v>60.9</v>
      </c>
      <c r="O1214" s="0" t="n">
        <v>37.71</v>
      </c>
      <c r="P1214" s="0" t="n">
        <v>5.18</v>
      </c>
      <c r="Q1214" s="0" t="n">
        <v>4.03</v>
      </c>
      <c r="R1214" s="0" t="n">
        <v>3303</v>
      </c>
      <c r="S1214" s="0" t="n">
        <v>7531</v>
      </c>
      <c r="T1214" s="0" t="n">
        <v>36.65</v>
      </c>
      <c r="U1214" s="0" t="n">
        <v>987</v>
      </c>
      <c r="V1214" s="0" t="n">
        <v>2</v>
      </c>
      <c r="W1214" s="39" t="n">
        <f aca="false">IF(I1214="Male",0,1)</f>
        <v>1</v>
      </c>
      <c r="X1214" s="39" t="n">
        <f aca="false">IF(OR(I1214="DNB",I1214="Dry DNB"),1,0)</f>
        <v>0</v>
      </c>
      <c r="Y1214" s="39" t="n">
        <f aca="false">MATCH(A1214,DATAS,0)</f>
        <v>1</v>
      </c>
      <c r="Z1214" s="39" t="n">
        <f aca="false">IF(AND(E1214&gt;0,OR(AND(B1214&gt;=1,B1214&lt;=6),B1214=10)),1,0)</f>
        <v>0</v>
      </c>
      <c r="AA1214" s="39" t="n">
        <f aca="false">IF(AND(E1214&gt;0,B1214=10),1,0)</f>
        <v>0</v>
      </c>
      <c r="AB1214" s="0" t="str">
        <f aca="false">IF(AND(C1213=C1214,Y1213=Y1214-1),Z1213,"")</f>
        <v/>
      </c>
      <c r="AC1214" s="0" t="str">
        <f aca="false">IF(AND(C1213=C1214,Y1213=Y1214-1),AA1213,"")</f>
        <v/>
      </c>
      <c r="AD1214" s="0" t="str">
        <f aca="false">IF(Y1214=1,"",IF(AND(Z1214=1,AB1214&lt;&gt;1),1,0))</f>
        <v/>
      </c>
      <c r="AE1214" s="0" t="str">
        <f aca="false">IF(Y1214=1,"",IF(AND(AA1214=1,AC1214&lt;&gt;1),1,0))</f>
        <v/>
      </c>
      <c r="AF1214" s="45" t="str">
        <f aca="false">IF(AND(E1214&gt;0,Y1214&lt;1,NOT(AND(C1215=C1214,Y1215=Y1214+1))),INDEX(DATAS,Y1214+1),"")</f>
        <v/>
      </c>
      <c r="AG1214" s="45" t="str">
        <f aca="false">IF(AND(AA1214=1,Y1214&lt;1),IF(AND(C1215=C1214,Y1215=Y1214+1),IF(AA1215=1,"",INDEX(DATAS,Y1214+1)),INDEX(DATAS,Y1214+1)),"")</f>
        <v/>
      </c>
    </row>
    <row r="1215" customFormat="false" ht="15" hidden="false" customHeight="false" outlineLevel="0" collapsed="false">
      <c r="A1215" s="45" t="n">
        <v>46309</v>
      </c>
      <c r="B1215" s="0" t="n">
        <v>6</v>
      </c>
      <c r="C1215" s="0" t="n">
        <v>5278</v>
      </c>
      <c r="D1215" s="0" t="n">
        <v>24</v>
      </c>
      <c r="E1215" s="0" t="n">
        <v>2</v>
      </c>
      <c r="F1215" s="39" t="s">
        <v>810</v>
      </c>
      <c r="G1215" s="0" t="n">
        <v>21.4</v>
      </c>
      <c r="H1215" s="0" t="n">
        <v>18</v>
      </c>
      <c r="I1215" s="39" t="s">
        <v>118</v>
      </c>
      <c r="J1215" s="0" t="n">
        <v>24</v>
      </c>
      <c r="M1215" s="0" t="n">
        <v>997.32</v>
      </c>
      <c r="N1215" s="0" t="n">
        <v>88.28</v>
      </c>
      <c r="O1215" s="0" t="n">
        <v>40.94</v>
      </c>
      <c r="R1215" s="0" t="n">
        <v>1270</v>
      </c>
      <c r="S1215" s="0" t="n">
        <v>2553</v>
      </c>
      <c r="U1215" s="0" t="n">
        <v>986</v>
      </c>
      <c r="V1215" s="0" t="n">
        <v>0</v>
      </c>
      <c r="W1215" s="39" t="n">
        <f aca="false">IF(I1215="Male",0,1)</f>
        <v>1</v>
      </c>
      <c r="X1215" s="39" t="n">
        <f aca="false">IF(OR(I1215="DNB",I1215="Dry DNB"),1,0)</f>
        <v>0</v>
      </c>
      <c r="Y1215" s="39" t="n">
        <f aca="false">MATCH(A1215,DATAS,0)</f>
        <v>1</v>
      </c>
      <c r="Z1215" s="39" t="n">
        <f aca="false">IF(AND(E1215&gt;0,OR(AND(B1215&gt;=1,B1215&lt;=6),B1215=10)),1,0)</f>
        <v>1</v>
      </c>
      <c r="AA1215" s="39" t="n">
        <f aca="false">IF(AND(E1215&gt;0,B1215=10),1,0)</f>
        <v>0</v>
      </c>
      <c r="AB1215" s="0" t="str">
        <f aca="false">IF(AND(C1214=C1215,Y1214=Y1215-1),Z1214,"")</f>
        <v/>
      </c>
      <c r="AC1215" s="0" t="str">
        <f aca="false">IF(AND(C1214=C1215,Y1214=Y1215-1),AA1214,"")</f>
        <v/>
      </c>
      <c r="AD1215" s="0" t="str">
        <f aca="false">IF(Y1215=1,"",IF(AND(Z1215=1,AB1215&lt;&gt;1),1,0))</f>
        <v/>
      </c>
      <c r="AE1215" s="0" t="str">
        <f aca="false">IF(Y1215=1,"",IF(AND(AA1215=1,AC1215&lt;&gt;1),1,0))</f>
        <v/>
      </c>
      <c r="AF1215" s="45" t="str">
        <f aca="false">IF(AND(E1215&gt;0,Y1215&lt;1,NOT(AND(C1216=C1215,Y1216=Y1215+1))),INDEX(DATAS,Y1215+1),"")</f>
        <v/>
      </c>
      <c r="AG1215" s="45" t="str">
        <f aca="false">IF(AND(AA1215=1,Y1215&lt;1),IF(AND(C1216=C1215,Y1216=Y1215+1),IF(AA1216=1,"",INDEX(DATAS,Y1215+1)),INDEX(DATAS,Y1215+1)),"")</f>
        <v/>
      </c>
    </row>
    <row r="1216" customFormat="false" ht="15" hidden="false" customHeight="false" outlineLevel="0" collapsed="false">
      <c r="A1216" s="45" t="n">
        <v>46309</v>
      </c>
      <c r="B1216" s="0" t="n">
        <v>7</v>
      </c>
      <c r="C1216" s="0" t="n">
        <v>5279</v>
      </c>
      <c r="D1216" s="0" t="n">
        <v>316</v>
      </c>
      <c r="E1216" s="0" t="n">
        <v>1</v>
      </c>
      <c r="F1216" s="39" t="s">
        <v>811</v>
      </c>
      <c r="I1216" s="39" t="s">
        <v>114</v>
      </c>
      <c r="J1216" s="0" t="n">
        <v>93</v>
      </c>
      <c r="K1216" s="0" t="n">
        <v>72</v>
      </c>
      <c r="L1216" s="0" t="n">
        <v>252</v>
      </c>
      <c r="M1216" s="0" t="n">
        <v>569.22</v>
      </c>
      <c r="N1216" s="0" t="n">
        <v>73.86</v>
      </c>
      <c r="O1216" s="0" t="n">
        <v>37.57</v>
      </c>
      <c r="P1216" s="0" t="n">
        <v>4.97</v>
      </c>
      <c r="Q1216" s="0" t="n">
        <v>3.87</v>
      </c>
      <c r="R1216" s="0" t="n">
        <v>3402</v>
      </c>
      <c r="S1216" s="0" t="n">
        <v>8013</v>
      </c>
      <c r="T1216" s="0" t="n">
        <v>37.5</v>
      </c>
      <c r="U1216" s="0" t="n">
        <v>985</v>
      </c>
      <c r="V1216" s="0" t="n">
        <v>2</v>
      </c>
      <c r="W1216" s="39" t="n">
        <f aca="false">IF(I1216="Male",0,1)</f>
        <v>1</v>
      </c>
      <c r="X1216" s="39" t="n">
        <f aca="false">IF(OR(I1216="DNB",I1216="Dry DNB"),1,0)</f>
        <v>0</v>
      </c>
      <c r="Y1216" s="39" t="n">
        <f aca="false">MATCH(A1216,DATAS,0)</f>
        <v>1</v>
      </c>
      <c r="Z1216" s="39" t="n">
        <f aca="false">IF(AND(E1216&gt;0,OR(AND(B1216&gt;=1,B1216&lt;=6),B1216=10)),1,0)</f>
        <v>0</v>
      </c>
      <c r="AA1216" s="39" t="n">
        <f aca="false">IF(AND(E1216&gt;0,B1216=10),1,0)</f>
        <v>0</v>
      </c>
      <c r="AB1216" s="0" t="str">
        <f aca="false">IF(AND(C1215=C1216,Y1215=Y1216-1),Z1215,"")</f>
        <v/>
      </c>
      <c r="AC1216" s="0" t="str">
        <f aca="false">IF(AND(C1215=C1216,Y1215=Y1216-1),AA1215,"")</f>
        <v/>
      </c>
      <c r="AD1216" s="0" t="str">
        <f aca="false">IF(Y1216=1,"",IF(AND(Z1216=1,AB1216&lt;&gt;1),1,0))</f>
        <v/>
      </c>
      <c r="AE1216" s="0" t="str">
        <f aca="false">IF(Y1216=1,"",IF(AND(AA1216=1,AC1216&lt;&gt;1),1,0))</f>
        <v/>
      </c>
      <c r="AF1216" s="45" t="str">
        <f aca="false">IF(AND(E1216&gt;0,Y1216&lt;1,NOT(AND(C1217=C1216,Y1217=Y1216+1))),INDEX(DATAS,Y1216+1),"")</f>
        <v/>
      </c>
      <c r="AG1216" s="45" t="str">
        <f aca="false">IF(AND(AA1216=1,Y1216&lt;1),IF(AND(C1217=C1216,Y1217=Y1216+1),IF(AA1217=1,"",INDEX(DATAS,Y1216+1)),INDEX(DATAS,Y1216+1)),"")</f>
        <v/>
      </c>
    </row>
    <row r="1217" customFormat="false" ht="15" hidden="false" customHeight="false" outlineLevel="0" collapsed="false">
      <c r="A1217" s="45" t="n">
        <v>46309</v>
      </c>
      <c r="B1217" s="0" t="n">
        <v>4</v>
      </c>
      <c r="C1217" s="0" t="n">
        <v>5280</v>
      </c>
      <c r="D1217" s="0" t="n">
        <v>333</v>
      </c>
      <c r="E1217" s="0" t="n">
        <v>1</v>
      </c>
      <c r="F1217" s="39" t="s">
        <v>812</v>
      </c>
      <c r="G1217" s="0" t="n">
        <v>40</v>
      </c>
      <c r="H1217" s="0" t="n">
        <v>40</v>
      </c>
      <c r="I1217" s="39" t="s">
        <v>109</v>
      </c>
      <c r="J1217" s="0" t="n">
        <v>111</v>
      </c>
      <c r="K1217" s="0" t="n">
        <v>67</v>
      </c>
      <c r="L1217" s="0" t="n">
        <v>222</v>
      </c>
      <c r="M1217" s="0" t="n">
        <v>869.25</v>
      </c>
      <c r="N1217" s="0" t="n">
        <v>69.48</v>
      </c>
      <c r="O1217" s="0" t="n">
        <v>28.68</v>
      </c>
      <c r="P1217" s="0" t="n">
        <v>3.56</v>
      </c>
      <c r="Q1217" s="0" t="n">
        <v>3.56</v>
      </c>
      <c r="R1217" s="0" t="n">
        <v>4076</v>
      </c>
      <c r="S1217" s="0" t="n">
        <v>8955</v>
      </c>
      <c r="T1217" s="0" t="n">
        <v>48.1</v>
      </c>
      <c r="U1217" s="0" t="n">
        <v>984</v>
      </c>
      <c r="V1217" s="0" t="n">
        <v>3</v>
      </c>
      <c r="W1217" s="39" t="n">
        <f aca="false">IF(I1217="Male",0,1)</f>
        <v>1</v>
      </c>
      <c r="X1217" s="39" t="n">
        <f aca="false">IF(OR(I1217="DNB",I1217="Dry DNB"),1,0)</f>
        <v>0</v>
      </c>
      <c r="Y1217" s="39" t="n">
        <f aca="false">MATCH(A1217,DATAS,0)</f>
        <v>1</v>
      </c>
      <c r="Z1217" s="39" t="n">
        <f aca="false">IF(AND(E1217&gt;0,OR(AND(B1217&gt;=1,B1217&lt;=6),B1217=10)),1,0)</f>
        <v>1</v>
      </c>
      <c r="AA1217" s="39" t="n">
        <f aca="false">IF(AND(E1217&gt;0,B1217=10),1,0)</f>
        <v>0</v>
      </c>
      <c r="AB1217" s="0" t="str">
        <f aca="false">IF(AND(C1216=C1217,Y1216=Y1217-1),Z1216,"")</f>
        <v/>
      </c>
      <c r="AC1217" s="0" t="str">
        <f aca="false">IF(AND(C1216=C1217,Y1216=Y1217-1),AA1216,"")</f>
        <v/>
      </c>
      <c r="AD1217" s="0" t="str">
        <f aca="false">IF(Y1217=1,"",IF(AND(Z1217=1,AB1217&lt;&gt;1),1,0))</f>
        <v/>
      </c>
      <c r="AE1217" s="0" t="str">
        <f aca="false">IF(Y1217=1,"",IF(AND(AA1217=1,AC1217&lt;&gt;1),1,0))</f>
        <v/>
      </c>
      <c r="AF1217" s="45" t="str">
        <f aca="false">IF(AND(E1217&gt;0,Y1217&lt;1,NOT(AND(C1218=C1217,Y1218=Y1217+1))),INDEX(DATAS,Y1217+1),"")</f>
        <v/>
      </c>
      <c r="AG1217" s="45" t="str">
        <f aca="false">IF(AND(AA1217=1,Y1217&lt;1),IF(AND(C1218=C1217,Y1218=Y1217+1),IF(AA1218=1,"",INDEX(DATAS,Y1217+1)),INDEX(DATAS,Y1217+1)),"")</f>
        <v/>
      </c>
    </row>
    <row r="1218" customFormat="false" ht="15" hidden="false" customHeight="false" outlineLevel="0" collapsed="false">
      <c r="A1218" s="45" t="n">
        <v>46309</v>
      </c>
      <c r="B1218" s="0" t="n">
        <v>4</v>
      </c>
      <c r="C1218" s="0" t="n">
        <v>5282</v>
      </c>
      <c r="D1218" s="0" t="n">
        <v>294</v>
      </c>
      <c r="E1218" s="0" t="n">
        <v>1</v>
      </c>
      <c r="F1218" s="39" t="s">
        <v>812</v>
      </c>
      <c r="G1218" s="0" t="n">
        <v>45.2</v>
      </c>
      <c r="H1218" s="0" t="n">
        <v>49</v>
      </c>
      <c r="I1218" s="39" t="s">
        <v>109</v>
      </c>
      <c r="J1218" s="0" t="n">
        <v>245</v>
      </c>
      <c r="K1218" s="0" t="n">
        <v>63</v>
      </c>
      <c r="L1218" s="0" t="n">
        <v>49</v>
      </c>
      <c r="M1218" s="0" t="n">
        <v>1204.37</v>
      </c>
      <c r="N1218" s="0" t="n">
        <v>29.29</v>
      </c>
      <c r="O1218" s="0" t="n">
        <v>34.97</v>
      </c>
      <c r="P1218" s="0" t="n">
        <v>3.01</v>
      </c>
      <c r="Q1218" s="0" t="n">
        <v>3.57</v>
      </c>
      <c r="R1218" s="0" t="n">
        <v>4256</v>
      </c>
      <c r="S1218" s="0" t="n">
        <v>9258</v>
      </c>
      <c r="T1218" s="0" t="n">
        <v>46.65</v>
      </c>
      <c r="U1218" s="0" t="n">
        <v>984</v>
      </c>
      <c r="V1218" s="0" t="n">
        <v>8</v>
      </c>
      <c r="W1218" s="39" t="n">
        <f aca="false">IF(I1218="Male",0,1)</f>
        <v>1</v>
      </c>
      <c r="X1218" s="39" t="n">
        <f aca="false">IF(OR(I1218="DNB",I1218="Dry DNB"),1,0)</f>
        <v>0</v>
      </c>
      <c r="Y1218" s="39" t="n">
        <f aca="false">MATCH(A1218,DATAS,0)</f>
        <v>1</v>
      </c>
      <c r="Z1218" s="39" t="n">
        <f aca="false">IF(AND(E1218&gt;0,OR(AND(B1218&gt;=1,B1218&lt;=6),B1218=10)),1,0)</f>
        <v>1</v>
      </c>
      <c r="AA1218" s="39" t="n">
        <f aca="false">IF(AND(E1218&gt;0,B1218=10),1,0)</f>
        <v>0</v>
      </c>
      <c r="AB1218" s="0" t="str">
        <f aca="false">IF(AND(C1217=C1218,Y1217=Y1218-1),Z1217,"")</f>
        <v/>
      </c>
      <c r="AC1218" s="0" t="str">
        <f aca="false">IF(AND(C1217=C1218,Y1217=Y1218-1),AA1217,"")</f>
        <v/>
      </c>
      <c r="AD1218" s="0" t="str">
        <f aca="false">IF(Y1218=1,"",IF(AND(Z1218=1,AB1218&lt;&gt;1),1,0))</f>
        <v/>
      </c>
      <c r="AE1218" s="0" t="str">
        <f aca="false">IF(Y1218=1,"",IF(AND(AA1218=1,AC1218&lt;&gt;1),1,0))</f>
        <v/>
      </c>
      <c r="AF1218" s="45" t="str">
        <f aca="false">IF(AND(E1218&gt;0,Y1218&lt;1,NOT(AND(C1219=C1218,Y1219=Y1218+1))),INDEX(DATAS,Y1218+1),"")</f>
        <v/>
      </c>
      <c r="AG1218" s="45" t="str">
        <f aca="false">IF(AND(AA1218=1,Y1218&lt;1),IF(AND(C1219=C1218,Y1219=Y1218+1),IF(AA1219=1,"",INDEX(DATAS,Y1218+1)),INDEX(DATAS,Y1218+1)),"")</f>
        <v/>
      </c>
    </row>
    <row r="1219" customFormat="false" ht="15" hidden="false" customHeight="false" outlineLevel="0" collapsed="false">
      <c r="A1219" s="45" t="n">
        <v>46309</v>
      </c>
      <c r="B1219" s="0" t="n">
        <v>4</v>
      </c>
      <c r="C1219" s="0" t="n">
        <v>5283</v>
      </c>
      <c r="D1219" s="0" t="n">
        <v>221</v>
      </c>
      <c r="E1219" s="0" t="n">
        <v>1</v>
      </c>
      <c r="F1219" s="39" t="s">
        <v>813</v>
      </c>
      <c r="G1219" s="0" t="n">
        <v>47.7</v>
      </c>
      <c r="H1219" s="0" t="n">
        <v>49</v>
      </c>
      <c r="I1219" s="39" t="s">
        <v>109</v>
      </c>
      <c r="J1219" s="0" t="n">
        <v>67</v>
      </c>
      <c r="K1219" s="0" t="n">
        <v>67</v>
      </c>
      <c r="L1219" s="0" t="n">
        <v>154</v>
      </c>
      <c r="M1219" s="0" t="n">
        <v>780.61</v>
      </c>
      <c r="N1219" s="0" t="n">
        <v>70.54</v>
      </c>
      <c r="O1219" s="0" t="n">
        <v>41.9</v>
      </c>
      <c r="P1219" s="0" t="n">
        <v>3.38</v>
      </c>
      <c r="Q1219" s="0" t="n">
        <v>3.91</v>
      </c>
      <c r="R1219" s="0" t="n">
        <v>5347</v>
      </c>
      <c r="S1219" s="0" t="n">
        <v>10658</v>
      </c>
      <c r="T1219" s="0" t="n">
        <v>60.95</v>
      </c>
      <c r="U1219" s="0" t="n">
        <v>983</v>
      </c>
      <c r="V1219" s="0" t="n">
        <v>1</v>
      </c>
      <c r="W1219" s="39" t="n">
        <f aca="false">IF(I1219="Male",0,1)</f>
        <v>1</v>
      </c>
      <c r="X1219" s="39" t="n">
        <f aca="false">IF(OR(I1219="DNB",I1219="Dry DNB"),1,0)</f>
        <v>0</v>
      </c>
      <c r="Y1219" s="39" t="n">
        <f aca="false">MATCH(A1219,DATAS,0)</f>
        <v>1</v>
      </c>
      <c r="Z1219" s="39" t="n">
        <f aca="false">IF(AND(E1219&gt;0,OR(AND(B1219&gt;=1,B1219&lt;=6),B1219=10)),1,0)</f>
        <v>1</v>
      </c>
      <c r="AA1219" s="39" t="n">
        <f aca="false">IF(AND(E1219&gt;0,B1219=10),1,0)</f>
        <v>0</v>
      </c>
      <c r="AB1219" s="0" t="str">
        <f aca="false">IF(AND(C1218=C1219,Y1218=Y1219-1),Z1218,"")</f>
        <v/>
      </c>
      <c r="AC1219" s="0" t="str">
        <f aca="false">IF(AND(C1218=C1219,Y1218=Y1219-1),AA1218,"")</f>
        <v/>
      </c>
      <c r="AD1219" s="0" t="str">
        <f aca="false">IF(Y1219=1,"",IF(AND(Z1219=1,AB1219&lt;&gt;1),1,0))</f>
        <v/>
      </c>
      <c r="AE1219" s="0" t="str">
        <f aca="false">IF(Y1219=1,"",IF(AND(AA1219=1,AC1219&lt;&gt;1),1,0))</f>
        <v/>
      </c>
      <c r="AF1219" s="45" t="str">
        <f aca="false">IF(AND(E1219&gt;0,Y1219&lt;1,NOT(AND(C1220=C1219,Y1220=Y1219+1))),INDEX(DATAS,Y1219+1),"")</f>
        <v/>
      </c>
      <c r="AG1219" s="45" t="str">
        <f aca="false">IF(AND(AA1219=1,Y1219&lt;1),IF(AND(C1220=C1219,Y1220=Y1219+1),IF(AA1220=1,"",INDEX(DATAS,Y1219+1)),INDEX(DATAS,Y1219+1)),"")</f>
        <v/>
      </c>
    </row>
    <row r="1220" customFormat="false" ht="15" hidden="false" customHeight="false" outlineLevel="0" collapsed="false">
      <c r="A1220" s="45" t="n">
        <v>46309</v>
      </c>
      <c r="B1220" s="0" t="n">
        <v>10</v>
      </c>
      <c r="C1220" s="0" t="n">
        <v>5284</v>
      </c>
      <c r="D1220" s="0" t="n">
        <v>352</v>
      </c>
      <c r="E1220" s="0" t="n">
        <v>1</v>
      </c>
      <c r="F1220" s="39" t="s">
        <v>813</v>
      </c>
      <c r="H1220" s="0" t="n">
        <v>14</v>
      </c>
      <c r="I1220" s="39" t="s">
        <v>109</v>
      </c>
      <c r="J1220" s="0" t="n">
        <v>170</v>
      </c>
      <c r="K1220" s="0" t="n">
        <v>66</v>
      </c>
      <c r="L1220" s="0" t="n">
        <v>182</v>
      </c>
      <c r="M1220" s="0" t="n">
        <v>1144.07</v>
      </c>
      <c r="N1220" s="0" t="n">
        <v>21.03</v>
      </c>
      <c r="O1220" s="0" t="n">
        <v>35.15</v>
      </c>
      <c r="P1220" s="0" t="n">
        <v>4.05</v>
      </c>
      <c r="Q1220" s="0" t="n">
        <v>3.94</v>
      </c>
      <c r="R1220" s="0" t="n">
        <v>3597</v>
      </c>
      <c r="S1220" s="0" t="n">
        <v>8227</v>
      </c>
      <c r="T1220" s="0" t="n">
        <v>42.9</v>
      </c>
      <c r="U1220" s="0" t="n">
        <v>983</v>
      </c>
      <c r="V1220" s="0" t="n">
        <v>3</v>
      </c>
      <c r="W1220" s="39" t="n">
        <f aca="false">IF(I1220="Male",0,1)</f>
        <v>1</v>
      </c>
      <c r="X1220" s="39" t="n">
        <f aca="false">IF(OR(I1220="DNB",I1220="Dry DNB"),1,0)</f>
        <v>0</v>
      </c>
      <c r="Y1220" s="39" t="n">
        <f aca="false">MATCH(A1220,DATAS,0)</f>
        <v>1</v>
      </c>
      <c r="Z1220" s="39" t="n">
        <f aca="false">IF(AND(E1220&gt;0,OR(AND(B1220&gt;=1,B1220&lt;=6),B1220=10)),1,0)</f>
        <v>1</v>
      </c>
      <c r="AA1220" s="39" t="n">
        <f aca="false">IF(AND(E1220&gt;0,B1220=10),1,0)</f>
        <v>1</v>
      </c>
      <c r="AB1220" s="0" t="str">
        <f aca="false">IF(AND(C1219=C1220,Y1219=Y1220-1),Z1219,"")</f>
        <v/>
      </c>
      <c r="AC1220" s="0" t="str">
        <f aca="false">IF(AND(C1219=C1220,Y1219=Y1220-1),AA1219,"")</f>
        <v/>
      </c>
      <c r="AD1220" s="0" t="str">
        <f aca="false">IF(Y1220=1,"",IF(AND(Z1220=1,AB1220&lt;&gt;1),1,0))</f>
        <v/>
      </c>
      <c r="AE1220" s="0" t="str">
        <f aca="false">IF(Y1220=1,"",IF(AND(AA1220=1,AC1220&lt;&gt;1),1,0))</f>
        <v/>
      </c>
      <c r="AF1220" s="45" t="str">
        <f aca="false">IF(AND(E1220&gt;0,Y1220&lt;1,NOT(AND(C1221=C1220,Y1221=Y1220+1))),INDEX(DATAS,Y1220+1),"")</f>
        <v/>
      </c>
      <c r="AG1220" s="45" t="str">
        <f aca="false">IF(AND(AA1220=1,Y1220&lt;1),IF(AND(C1221=C1220,Y1221=Y1220+1),IF(AA1221=1,"",INDEX(DATAS,Y1220+1)),INDEX(DATAS,Y1220+1)),"")</f>
        <v/>
      </c>
    </row>
    <row r="1221" customFormat="false" ht="15" hidden="false" customHeight="false" outlineLevel="0" collapsed="false">
      <c r="A1221" s="45" t="n">
        <v>46309</v>
      </c>
      <c r="B1221" s="0" t="n">
        <v>6</v>
      </c>
      <c r="C1221" s="0" t="n">
        <v>5285</v>
      </c>
      <c r="D1221" s="0" t="n">
        <v>374</v>
      </c>
      <c r="E1221" s="0" t="n">
        <v>1</v>
      </c>
      <c r="F1221" s="39" t="s">
        <v>813</v>
      </c>
      <c r="G1221" s="0" t="n">
        <v>22.1</v>
      </c>
      <c r="H1221" s="0" t="n">
        <v>18</v>
      </c>
      <c r="I1221" s="39" t="s">
        <v>109</v>
      </c>
      <c r="J1221" s="0" t="n">
        <v>164</v>
      </c>
      <c r="K1221" s="0" t="n">
        <v>66</v>
      </c>
      <c r="L1221" s="0" t="n">
        <v>210</v>
      </c>
      <c r="M1221" s="0" t="n">
        <v>927.62</v>
      </c>
      <c r="N1221" s="0" t="n">
        <v>52.43</v>
      </c>
      <c r="O1221" s="0" t="n">
        <v>33.93</v>
      </c>
      <c r="P1221" s="0" t="n">
        <v>3.19</v>
      </c>
      <c r="Q1221" s="0" t="n">
        <v>4.03</v>
      </c>
      <c r="R1221" s="0" t="n">
        <v>3545</v>
      </c>
      <c r="S1221" s="0" t="n">
        <v>8144</v>
      </c>
      <c r="T1221" s="0" t="n">
        <v>38.6</v>
      </c>
      <c r="U1221" s="0" t="n">
        <v>983</v>
      </c>
      <c r="V1221" s="0" t="n">
        <v>4</v>
      </c>
      <c r="W1221" s="39" t="n">
        <f aca="false">IF(I1221="Male",0,1)</f>
        <v>1</v>
      </c>
      <c r="X1221" s="39" t="n">
        <f aca="false">IF(OR(I1221="DNB",I1221="Dry DNB"),1,0)</f>
        <v>0</v>
      </c>
      <c r="Y1221" s="39" t="n">
        <f aca="false">MATCH(A1221,DATAS,0)</f>
        <v>1</v>
      </c>
      <c r="Z1221" s="39" t="n">
        <f aca="false">IF(AND(E1221&gt;0,OR(AND(B1221&gt;=1,B1221&lt;=6),B1221=10)),1,0)</f>
        <v>1</v>
      </c>
      <c r="AA1221" s="39" t="n">
        <f aca="false">IF(AND(E1221&gt;0,B1221=10),1,0)</f>
        <v>0</v>
      </c>
      <c r="AB1221" s="0" t="str">
        <f aca="false">IF(AND(C1220=C1221,Y1220=Y1221-1),Z1220,"")</f>
        <v/>
      </c>
      <c r="AC1221" s="0" t="str">
        <f aca="false">IF(AND(C1220=C1221,Y1220=Y1221-1),AA1220,"")</f>
        <v/>
      </c>
      <c r="AD1221" s="0" t="str">
        <f aca="false">IF(Y1221=1,"",IF(AND(Z1221=1,AB1221&lt;&gt;1),1,0))</f>
        <v/>
      </c>
      <c r="AE1221" s="0" t="str">
        <f aca="false">IF(Y1221=1,"",IF(AND(AA1221=1,AC1221&lt;&gt;1),1,0))</f>
        <v/>
      </c>
      <c r="AF1221" s="45" t="str">
        <f aca="false">IF(AND(E1221&gt;0,Y1221&lt;1,NOT(AND(C1222=C1221,Y1222=Y1221+1))),INDEX(DATAS,Y1221+1),"")</f>
        <v/>
      </c>
      <c r="AG1221" s="45" t="str">
        <f aca="false">IF(AND(AA1221=1,Y1221&lt;1),IF(AND(C1222=C1221,Y1222=Y1221+1),IF(AA1222=1,"",INDEX(DATAS,Y1221+1)),INDEX(DATAS,Y1221+1)),"")</f>
        <v/>
      </c>
    </row>
    <row r="1222" customFormat="false" ht="15" hidden="false" customHeight="false" outlineLevel="0" collapsed="false">
      <c r="A1222" s="45" t="n">
        <v>46309</v>
      </c>
      <c r="B1222" s="0" t="n">
        <v>4</v>
      </c>
      <c r="C1222" s="0" t="n">
        <v>5286</v>
      </c>
      <c r="D1222" s="0" t="n">
        <v>342</v>
      </c>
      <c r="E1222" s="0" t="n">
        <v>1</v>
      </c>
      <c r="F1222" s="39" t="s">
        <v>813</v>
      </c>
      <c r="G1222" s="0" t="n">
        <v>34.4</v>
      </c>
      <c r="H1222" s="0" t="n">
        <v>35</v>
      </c>
      <c r="I1222" s="39" t="s">
        <v>109</v>
      </c>
      <c r="J1222" s="0" t="n">
        <v>181</v>
      </c>
      <c r="K1222" s="0" t="n">
        <v>69</v>
      </c>
      <c r="L1222" s="0" t="n">
        <v>161</v>
      </c>
      <c r="M1222" s="0" t="n">
        <v>937.99</v>
      </c>
      <c r="N1222" s="0" t="n">
        <v>65.59</v>
      </c>
      <c r="O1222" s="0" t="n">
        <v>43.03</v>
      </c>
      <c r="P1222" s="0" t="n">
        <v>4.09</v>
      </c>
      <c r="Q1222" s="0" t="n">
        <v>3.78</v>
      </c>
      <c r="R1222" s="0" t="n">
        <v>3397</v>
      </c>
      <c r="S1222" s="0" t="n">
        <v>7110</v>
      </c>
      <c r="T1222" s="0" t="n">
        <v>35.2</v>
      </c>
      <c r="U1222" s="0" t="n">
        <v>983</v>
      </c>
      <c r="V1222" s="0" t="n">
        <v>4</v>
      </c>
      <c r="W1222" s="39" t="n">
        <f aca="false">IF(I1222="Male",0,1)</f>
        <v>1</v>
      </c>
      <c r="X1222" s="39" t="n">
        <f aca="false">IF(OR(I1222="DNB",I1222="Dry DNB"),1,0)</f>
        <v>0</v>
      </c>
      <c r="Y1222" s="39" t="n">
        <f aca="false">MATCH(A1222,DATAS,0)</f>
        <v>1</v>
      </c>
      <c r="Z1222" s="39" t="n">
        <f aca="false">IF(AND(E1222&gt;0,OR(AND(B1222&gt;=1,B1222&lt;=6),B1222=10)),1,0)</f>
        <v>1</v>
      </c>
      <c r="AA1222" s="39" t="n">
        <f aca="false">IF(AND(E1222&gt;0,B1222=10),1,0)</f>
        <v>0</v>
      </c>
      <c r="AB1222" s="0" t="str">
        <f aca="false">IF(AND(C1221=C1222,Y1221=Y1222-1),Z1221,"")</f>
        <v/>
      </c>
      <c r="AC1222" s="0" t="str">
        <f aca="false">IF(AND(C1221=C1222,Y1221=Y1222-1),AA1221,"")</f>
        <v/>
      </c>
      <c r="AD1222" s="0" t="str">
        <f aca="false">IF(Y1222=1,"",IF(AND(Z1222=1,AB1222&lt;&gt;1),1,0))</f>
        <v/>
      </c>
      <c r="AE1222" s="0" t="str">
        <f aca="false">IF(Y1222=1,"",IF(AND(AA1222=1,AC1222&lt;&gt;1),1,0))</f>
        <v/>
      </c>
      <c r="AF1222" s="45" t="str">
        <f aca="false">IF(AND(E1222&gt;0,Y1222&lt;1,NOT(AND(C1223=C1222,Y1223=Y1222+1))),INDEX(DATAS,Y1222+1),"")</f>
        <v/>
      </c>
      <c r="AG1222" s="45" t="str">
        <f aca="false">IF(AND(AA1222=1,Y1222&lt;1),IF(AND(C1223=C1222,Y1223=Y1222+1),IF(AA1223=1,"",INDEX(DATAS,Y1222+1)),INDEX(DATAS,Y1222+1)),"")</f>
        <v/>
      </c>
    </row>
    <row r="1223" customFormat="false" ht="15" hidden="false" customHeight="false" outlineLevel="0" collapsed="false">
      <c r="A1223" s="45" t="n">
        <v>46309</v>
      </c>
      <c r="B1223" s="0" t="n">
        <v>10</v>
      </c>
      <c r="C1223" s="0" t="n">
        <v>5287</v>
      </c>
      <c r="D1223" s="0" t="n">
        <v>246</v>
      </c>
      <c r="E1223" s="0" t="n">
        <v>1</v>
      </c>
      <c r="F1223" s="39" t="s">
        <v>814</v>
      </c>
      <c r="G1223" s="0" t="n">
        <v>31</v>
      </c>
      <c r="H1223" s="0" t="n">
        <v>31</v>
      </c>
      <c r="I1223" s="39" t="s">
        <v>109</v>
      </c>
      <c r="J1223" s="0" t="n">
        <v>148</v>
      </c>
      <c r="K1223" s="0" t="n">
        <v>71</v>
      </c>
      <c r="L1223" s="0" t="n">
        <v>98</v>
      </c>
      <c r="M1223" s="0" t="n">
        <v>528.89</v>
      </c>
      <c r="N1223" s="0" t="n">
        <v>51.31</v>
      </c>
      <c r="O1223" s="0" t="n">
        <v>25.28</v>
      </c>
      <c r="P1223" s="0" t="n">
        <v>3.33</v>
      </c>
      <c r="Q1223" s="0" t="n">
        <v>3.46</v>
      </c>
      <c r="R1223" s="0" t="n">
        <v>3084</v>
      </c>
      <c r="S1223" s="0" t="n">
        <v>7238</v>
      </c>
      <c r="T1223" s="0" t="n">
        <v>26.8</v>
      </c>
      <c r="U1223" s="0" t="n">
        <v>982</v>
      </c>
      <c r="V1223" s="0" t="n">
        <v>3</v>
      </c>
      <c r="W1223" s="39" t="n">
        <f aca="false">IF(I1223="Male",0,1)</f>
        <v>1</v>
      </c>
      <c r="X1223" s="39" t="n">
        <f aca="false">IF(OR(I1223="DNB",I1223="Dry DNB"),1,0)</f>
        <v>0</v>
      </c>
      <c r="Y1223" s="39" t="n">
        <f aca="false">MATCH(A1223,DATAS,0)</f>
        <v>1</v>
      </c>
      <c r="Z1223" s="39" t="n">
        <f aca="false">IF(AND(E1223&gt;0,OR(AND(B1223&gt;=1,B1223&lt;=6),B1223=10)),1,0)</f>
        <v>1</v>
      </c>
      <c r="AA1223" s="39" t="n">
        <f aca="false">IF(AND(E1223&gt;0,B1223=10),1,0)</f>
        <v>1</v>
      </c>
      <c r="AB1223" s="0" t="str">
        <f aca="false">IF(AND(C1222=C1223,Y1222=Y1223-1),Z1222,"")</f>
        <v/>
      </c>
      <c r="AC1223" s="0" t="str">
        <f aca="false">IF(AND(C1222=C1223,Y1222=Y1223-1),AA1222,"")</f>
        <v/>
      </c>
      <c r="AD1223" s="0" t="str">
        <f aca="false">IF(Y1223=1,"",IF(AND(Z1223=1,AB1223&lt;&gt;1),1,0))</f>
        <v/>
      </c>
      <c r="AE1223" s="0" t="str">
        <f aca="false">IF(Y1223=1,"",IF(AND(AA1223=1,AC1223&lt;&gt;1),1,0))</f>
        <v/>
      </c>
      <c r="AF1223" s="45" t="str">
        <f aca="false">IF(AND(E1223&gt;0,Y1223&lt;1,NOT(AND(C1224=C1223,Y1224=Y1223+1))),INDEX(DATAS,Y1223+1),"")</f>
        <v/>
      </c>
      <c r="AG1223" s="45" t="str">
        <f aca="false">IF(AND(AA1223=1,Y1223&lt;1),IF(AND(C1224=C1223,Y1224=Y1223+1),IF(AA1224=1,"",INDEX(DATAS,Y1223+1)),INDEX(DATAS,Y1223+1)),"")</f>
        <v/>
      </c>
    </row>
    <row r="1224" customFormat="false" ht="15" hidden="false" customHeight="false" outlineLevel="0" collapsed="false">
      <c r="A1224" s="45" t="n">
        <v>46309</v>
      </c>
      <c r="B1224" s="0" t="n">
        <v>4</v>
      </c>
      <c r="C1224" s="0" t="n">
        <v>5290</v>
      </c>
      <c r="D1224" s="0" t="n">
        <v>345</v>
      </c>
      <c r="E1224" s="0" t="n">
        <v>1</v>
      </c>
      <c r="F1224" s="39" t="s">
        <v>814</v>
      </c>
      <c r="G1224" s="0" t="n">
        <v>37.9</v>
      </c>
      <c r="H1224" s="0" t="n">
        <v>36</v>
      </c>
      <c r="I1224" s="39" t="s">
        <v>109</v>
      </c>
      <c r="J1224" s="0" t="n">
        <v>227</v>
      </c>
      <c r="K1224" s="0" t="n">
        <v>72</v>
      </c>
      <c r="L1224" s="0" t="n">
        <v>118</v>
      </c>
      <c r="M1224" s="0" t="n">
        <v>264.86</v>
      </c>
      <c r="N1224" s="0" t="n">
        <v>60.86</v>
      </c>
      <c r="O1224" s="0" t="n">
        <v>39.25</v>
      </c>
      <c r="P1224" s="0" t="n">
        <v>4</v>
      </c>
      <c r="Q1224" s="0" t="n">
        <v>3.7</v>
      </c>
      <c r="R1224" s="0" t="n">
        <v>3605</v>
      </c>
      <c r="S1224" s="0" t="n">
        <v>8588</v>
      </c>
      <c r="T1224" s="0" t="n">
        <v>36.85</v>
      </c>
      <c r="U1224" s="0" t="n">
        <v>982</v>
      </c>
      <c r="V1224" s="0" t="n">
        <v>4</v>
      </c>
      <c r="W1224" s="39" t="n">
        <f aca="false">IF(I1224="Male",0,1)</f>
        <v>1</v>
      </c>
      <c r="X1224" s="39" t="n">
        <f aca="false">IF(OR(I1224="DNB",I1224="Dry DNB"),1,0)</f>
        <v>0</v>
      </c>
      <c r="Y1224" s="39" t="n">
        <f aca="false">MATCH(A1224,DATAS,0)</f>
        <v>1</v>
      </c>
      <c r="Z1224" s="39" t="n">
        <f aca="false">IF(AND(E1224&gt;0,OR(AND(B1224&gt;=1,B1224&lt;=6),B1224=10)),1,0)</f>
        <v>1</v>
      </c>
      <c r="AA1224" s="39" t="n">
        <f aca="false">IF(AND(E1224&gt;0,B1224=10),1,0)</f>
        <v>0</v>
      </c>
      <c r="AB1224" s="0" t="str">
        <f aca="false">IF(AND(C1223=C1224,Y1223=Y1224-1),Z1223,"")</f>
        <v/>
      </c>
      <c r="AC1224" s="0" t="str">
        <f aca="false">IF(AND(C1223=C1224,Y1223=Y1224-1),AA1223,"")</f>
        <v/>
      </c>
      <c r="AD1224" s="0" t="str">
        <f aca="false">IF(Y1224=1,"",IF(AND(Z1224=1,AB1224&lt;&gt;1),1,0))</f>
        <v/>
      </c>
      <c r="AE1224" s="0" t="str">
        <f aca="false">IF(Y1224=1,"",IF(AND(AA1224=1,AC1224&lt;&gt;1),1,0))</f>
        <v/>
      </c>
      <c r="AF1224" s="45" t="str">
        <f aca="false">IF(AND(E1224&gt;0,Y1224&lt;1,NOT(AND(C1225=C1224,Y1225=Y1224+1))),INDEX(DATAS,Y1224+1),"")</f>
        <v/>
      </c>
      <c r="AG1224" s="45" t="str">
        <f aca="false">IF(AND(AA1224=1,Y1224&lt;1),IF(AND(C1225=C1224,Y1225=Y1224+1),IF(AA1225=1,"",INDEX(DATAS,Y1224+1)),INDEX(DATAS,Y1224+1)),"")</f>
        <v/>
      </c>
    </row>
    <row r="1225" customFormat="false" ht="15" hidden="false" customHeight="false" outlineLevel="0" collapsed="false">
      <c r="A1225" s="45" t="n">
        <v>46309</v>
      </c>
      <c r="B1225" s="0" t="n">
        <v>3</v>
      </c>
      <c r="C1225" s="0" t="n">
        <v>5291</v>
      </c>
      <c r="D1225" s="0" t="n">
        <v>24</v>
      </c>
      <c r="E1225" s="0" t="n">
        <v>2</v>
      </c>
      <c r="F1225" s="39" t="s">
        <v>815</v>
      </c>
      <c r="G1225" s="0" t="n">
        <v>54.6</v>
      </c>
      <c r="H1225" s="0" t="n">
        <v>53</v>
      </c>
      <c r="I1225" s="39" t="s">
        <v>118</v>
      </c>
      <c r="J1225" s="0" t="n">
        <v>24</v>
      </c>
      <c r="M1225" s="0" t="n">
        <v>347.94</v>
      </c>
      <c r="N1225" s="0" t="n">
        <v>28.46</v>
      </c>
      <c r="O1225" s="0" t="n">
        <v>20.35</v>
      </c>
      <c r="R1225" s="0" t="n">
        <v>5386</v>
      </c>
      <c r="S1225" s="0" t="n">
        <v>10827</v>
      </c>
      <c r="U1225" s="0" t="n">
        <v>981</v>
      </c>
      <c r="V1225" s="0" t="n">
        <v>0</v>
      </c>
      <c r="W1225" s="39" t="n">
        <f aca="false">IF(I1225="Male",0,1)</f>
        <v>1</v>
      </c>
      <c r="X1225" s="39" t="n">
        <f aca="false">IF(OR(I1225="DNB",I1225="Dry DNB"),1,0)</f>
        <v>0</v>
      </c>
      <c r="Y1225" s="39" t="n">
        <f aca="false">MATCH(A1225,DATAS,0)</f>
        <v>1</v>
      </c>
      <c r="Z1225" s="39" t="n">
        <f aca="false">IF(AND(E1225&gt;0,OR(AND(B1225&gt;=1,B1225&lt;=6),B1225=10)),1,0)</f>
        <v>1</v>
      </c>
      <c r="AA1225" s="39" t="n">
        <f aca="false">IF(AND(E1225&gt;0,B1225=10),1,0)</f>
        <v>0</v>
      </c>
      <c r="AB1225" s="0" t="str">
        <f aca="false">IF(AND(C1224=C1225,Y1224=Y1225-1),Z1224,"")</f>
        <v/>
      </c>
      <c r="AC1225" s="0" t="str">
        <f aca="false">IF(AND(C1224=C1225,Y1224=Y1225-1),AA1224,"")</f>
        <v/>
      </c>
      <c r="AD1225" s="0" t="str">
        <f aca="false">IF(Y1225=1,"",IF(AND(Z1225=1,AB1225&lt;&gt;1),1,0))</f>
        <v/>
      </c>
      <c r="AE1225" s="0" t="str">
        <f aca="false">IF(Y1225=1,"",IF(AND(AA1225=1,AC1225&lt;&gt;1),1,0))</f>
        <v/>
      </c>
      <c r="AF1225" s="45" t="str">
        <f aca="false">IF(AND(E1225&gt;0,Y1225&lt;1,NOT(AND(C1226=C1225,Y1226=Y1225+1))),INDEX(DATAS,Y1225+1),"")</f>
        <v/>
      </c>
      <c r="AG1225" s="45" t="str">
        <f aca="false">IF(AND(AA1225=1,Y1225&lt;1),IF(AND(C1226=C1225,Y1226=Y1225+1),IF(AA1226=1,"",INDEX(DATAS,Y1225+1)),INDEX(DATAS,Y1225+1)),"")</f>
        <v/>
      </c>
    </row>
    <row r="1226" customFormat="false" ht="15" hidden="false" customHeight="false" outlineLevel="0" collapsed="false">
      <c r="A1226" s="45" t="n">
        <v>46309</v>
      </c>
      <c r="B1226" s="0" t="n">
        <v>7</v>
      </c>
      <c r="C1226" s="0" t="n">
        <v>5292</v>
      </c>
      <c r="D1226" s="0" t="n">
        <v>330</v>
      </c>
      <c r="E1226" s="0" t="n">
        <v>1</v>
      </c>
      <c r="F1226" s="39" t="s">
        <v>815</v>
      </c>
      <c r="I1226" s="39" t="s">
        <v>114</v>
      </c>
      <c r="J1226" s="0" t="n">
        <v>107</v>
      </c>
      <c r="K1226" s="0" t="n">
        <v>72</v>
      </c>
      <c r="L1226" s="0" t="n">
        <v>238</v>
      </c>
      <c r="M1226" s="0" t="n">
        <v>580.01</v>
      </c>
      <c r="N1226" s="0" t="n">
        <v>69.54</v>
      </c>
      <c r="O1226" s="0" t="n">
        <v>32.47</v>
      </c>
      <c r="P1226" s="0" t="n">
        <v>3.27</v>
      </c>
      <c r="Q1226" s="0" t="n">
        <v>3.89</v>
      </c>
      <c r="R1226" s="0" t="n">
        <v>4289</v>
      </c>
      <c r="S1226" s="0" t="n">
        <v>9656</v>
      </c>
      <c r="T1226" s="0" t="n">
        <v>46.55</v>
      </c>
      <c r="U1226" s="0" t="n">
        <v>981</v>
      </c>
      <c r="V1226" s="0" t="n">
        <v>2</v>
      </c>
      <c r="W1226" s="39" t="n">
        <f aca="false">IF(I1226="Male",0,1)</f>
        <v>1</v>
      </c>
      <c r="X1226" s="39" t="n">
        <f aca="false">IF(OR(I1226="DNB",I1226="Dry DNB"),1,0)</f>
        <v>0</v>
      </c>
      <c r="Y1226" s="39" t="n">
        <f aca="false">MATCH(A1226,DATAS,0)</f>
        <v>1</v>
      </c>
      <c r="Z1226" s="39" t="n">
        <f aca="false">IF(AND(E1226&gt;0,OR(AND(B1226&gt;=1,B1226&lt;=6),B1226=10)),1,0)</f>
        <v>0</v>
      </c>
      <c r="AA1226" s="39" t="n">
        <f aca="false">IF(AND(E1226&gt;0,B1226=10),1,0)</f>
        <v>0</v>
      </c>
      <c r="AB1226" s="0" t="str">
        <f aca="false">IF(AND(C1225=C1226,Y1225=Y1226-1),Z1225,"")</f>
        <v/>
      </c>
      <c r="AC1226" s="0" t="str">
        <f aca="false">IF(AND(C1225=C1226,Y1225=Y1226-1),AA1225,"")</f>
        <v/>
      </c>
      <c r="AD1226" s="0" t="str">
        <f aca="false">IF(Y1226=1,"",IF(AND(Z1226=1,AB1226&lt;&gt;1),1,0))</f>
        <v/>
      </c>
      <c r="AE1226" s="0" t="str">
        <f aca="false">IF(Y1226=1,"",IF(AND(AA1226=1,AC1226&lt;&gt;1),1,0))</f>
        <v/>
      </c>
      <c r="AF1226" s="45" t="str">
        <f aca="false">IF(AND(E1226&gt;0,Y1226&lt;1,NOT(AND(C1227=C1226,Y1227=Y1226+1))),INDEX(DATAS,Y1226+1),"")</f>
        <v/>
      </c>
      <c r="AG1226" s="45" t="str">
        <f aca="false">IF(AND(AA1226=1,Y1226&lt;1),IF(AND(C1227=C1226,Y1227=Y1226+1),IF(AA1227=1,"",INDEX(DATAS,Y1226+1)),INDEX(DATAS,Y1226+1)),"")</f>
        <v/>
      </c>
    </row>
    <row r="1227" customFormat="false" ht="15" hidden="false" customHeight="false" outlineLevel="0" collapsed="false">
      <c r="A1227" s="45" t="n">
        <v>46309</v>
      </c>
      <c r="B1227" s="0" t="n">
        <v>2</v>
      </c>
      <c r="C1227" s="0" t="n">
        <v>5293</v>
      </c>
      <c r="D1227" s="0" t="n">
        <v>18</v>
      </c>
      <c r="E1227" s="0" t="n">
        <v>2</v>
      </c>
      <c r="F1227" s="39" t="s">
        <v>815</v>
      </c>
      <c r="G1227" s="0" t="n">
        <v>57.9</v>
      </c>
      <c r="H1227" s="0" t="n">
        <v>53</v>
      </c>
      <c r="I1227" s="39" t="s">
        <v>118</v>
      </c>
      <c r="J1227" s="0" t="n">
        <v>18</v>
      </c>
      <c r="M1227" s="0" t="n">
        <v>544.39</v>
      </c>
      <c r="N1227" s="0" t="n">
        <v>86.25</v>
      </c>
      <c r="O1227" s="0" t="n">
        <v>39.07</v>
      </c>
      <c r="R1227" s="0" t="n">
        <v>4035</v>
      </c>
      <c r="S1227" s="0" t="n">
        <v>8112</v>
      </c>
      <c r="U1227" s="0" t="n">
        <v>981</v>
      </c>
      <c r="V1227" s="0" t="n">
        <v>0</v>
      </c>
      <c r="W1227" s="39" t="n">
        <f aca="false">IF(I1227="Male",0,1)</f>
        <v>1</v>
      </c>
      <c r="X1227" s="39" t="n">
        <f aca="false">IF(OR(I1227="DNB",I1227="Dry DNB"),1,0)</f>
        <v>0</v>
      </c>
      <c r="Y1227" s="39" t="n">
        <f aca="false">MATCH(A1227,DATAS,0)</f>
        <v>1</v>
      </c>
      <c r="Z1227" s="39" t="n">
        <f aca="false">IF(AND(E1227&gt;0,OR(AND(B1227&gt;=1,B1227&lt;=6),B1227=10)),1,0)</f>
        <v>1</v>
      </c>
      <c r="AA1227" s="39" t="n">
        <f aca="false">IF(AND(E1227&gt;0,B1227=10),1,0)</f>
        <v>0</v>
      </c>
      <c r="AB1227" s="0" t="str">
        <f aca="false">IF(AND(C1226=C1227,Y1226=Y1227-1),Z1226,"")</f>
        <v/>
      </c>
      <c r="AC1227" s="0" t="str">
        <f aca="false">IF(AND(C1226=C1227,Y1226=Y1227-1),AA1226,"")</f>
        <v/>
      </c>
      <c r="AD1227" s="0" t="str">
        <f aca="false">IF(Y1227=1,"",IF(AND(Z1227=1,AB1227&lt;&gt;1),1,0))</f>
        <v/>
      </c>
      <c r="AE1227" s="0" t="str">
        <f aca="false">IF(Y1227=1,"",IF(AND(AA1227=1,AC1227&lt;&gt;1),1,0))</f>
        <v/>
      </c>
      <c r="AF1227" s="45" t="str">
        <f aca="false">IF(AND(E1227&gt;0,Y1227&lt;1,NOT(AND(C1228=C1227,Y1228=Y1227+1))),INDEX(DATAS,Y1227+1),"")</f>
        <v/>
      </c>
      <c r="AG1227" s="45" t="str">
        <f aca="false">IF(AND(AA1227=1,Y1227&lt;1),IF(AND(C1228=C1227,Y1228=Y1227+1),IF(AA1228=1,"",INDEX(DATAS,Y1227+1)),INDEX(DATAS,Y1227+1)),"")</f>
        <v/>
      </c>
    </row>
    <row r="1228" customFormat="false" ht="15" hidden="false" customHeight="false" outlineLevel="0" collapsed="false">
      <c r="A1228" s="45" t="n">
        <v>46309</v>
      </c>
      <c r="B1228" s="0" t="n">
        <v>4</v>
      </c>
      <c r="C1228" s="0" t="n">
        <v>5295</v>
      </c>
      <c r="D1228" s="0" t="n">
        <v>248</v>
      </c>
      <c r="E1228" s="0" t="n">
        <v>1</v>
      </c>
      <c r="F1228" s="39" t="s">
        <v>815</v>
      </c>
      <c r="G1228" s="0" t="n">
        <v>54</v>
      </c>
      <c r="H1228" s="0" t="n">
        <v>54</v>
      </c>
      <c r="I1228" s="39" t="s">
        <v>109</v>
      </c>
      <c r="J1228" s="0" t="n">
        <v>101</v>
      </c>
      <c r="K1228" s="0" t="n">
        <v>66</v>
      </c>
      <c r="L1228" s="0" t="n">
        <v>147</v>
      </c>
      <c r="M1228" s="0" t="n">
        <v>1106.62</v>
      </c>
      <c r="N1228" s="0" t="n">
        <v>50.62</v>
      </c>
      <c r="O1228" s="0" t="n">
        <v>37.07</v>
      </c>
      <c r="P1228" s="0" t="n">
        <v>3.43</v>
      </c>
      <c r="Q1228" s="0" t="n">
        <v>3.13</v>
      </c>
      <c r="R1228" s="0" t="n">
        <v>4873</v>
      </c>
      <c r="S1228" s="0" t="n">
        <v>10787</v>
      </c>
      <c r="T1228" s="0" t="n">
        <v>52.05</v>
      </c>
      <c r="U1228" s="0" t="n">
        <v>981</v>
      </c>
      <c r="V1228" s="0" t="n">
        <v>2</v>
      </c>
      <c r="W1228" s="39" t="n">
        <f aca="false">IF(I1228="Male",0,1)</f>
        <v>1</v>
      </c>
      <c r="X1228" s="39" t="n">
        <f aca="false">IF(OR(I1228="DNB",I1228="Dry DNB"),1,0)</f>
        <v>0</v>
      </c>
      <c r="Y1228" s="39" t="n">
        <f aca="false">MATCH(A1228,DATAS,0)</f>
        <v>1</v>
      </c>
      <c r="Z1228" s="39" t="n">
        <f aca="false">IF(AND(E1228&gt;0,OR(AND(B1228&gt;=1,B1228&lt;=6),B1228=10)),1,0)</f>
        <v>1</v>
      </c>
      <c r="AA1228" s="39" t="n">
        <f aca="false">IF(AND(E1228&gt;0,B1228=10),1,0)</f>
        <v>0</v>
      </c>
      <c r="AB1228" s="0" t="str">
        <f aca="false">IF(AND(C1227=C1228,Y1227=Y1228-1),Z1227,"")</f>
        <v/>
      </c>
      <c r="AC1228" s="0" t="str">
        <f aca="false">IF(AND(C1227=C1228,Y1227=Y1228-1),AA1227,"")</f>
        <v/>
      </c>
      <c r="AD1228" s="0" t="str">
        <f aca="false">IF(Y1228=1,"",IF(AND(Z1228=1,AB1228&lt;&gt;1),1,0))</f>
        <v/>
      </c>
      <c r="AE1228" s="0" t="str">
        <f aca="false">IF(Y1228=1,"",IF(AND(AA1228=1,AC1228&lt;&gt;1),1,0))</f>
        <v/>
      </c>
      <c r="AF1228" s="45" t="str">
        <f aca="false">IF(AND(E1228&gt;0,Y1228&lt;1,NOT(AND(C1229=C1228,Y1229=Y1228+1))),INDEX(DATAS,Y1228+1),"")</f>
        <v/>
      </c>
      <c r="AG1228" s="45" t="str">
        <f aca="false">IF(AND(AA1228=1,Y1228&lt;1),IF(AND(C1229=C1228,Y1229=Y1228+1),IF(AA1229=1,"",INDEX(DATAS,Y1228+1)),INDEX(DATAS,Y1228+1)),"")</f>
        <v/>
      </c>
    </row>
    <row r="1229" customFormat="false" ht="15" hidden="false" customHeight="false" outlineLevel="0" collapsed="false">
      <c r="A1229" s="45" t="n">
        <v>46309</v>
      </c>
      <c r="B1229" s="0" t="n">
        <v>4</v>
      </c>
      <c r="C1229" s="0" t="n">
        <v>5297</v>
      </c>
      <c r="D1229" s="0" t="n">
        <v>157</v>
      </c>
      <c r="E1229" s="0" t="n">
        <v>1</v>
      </c>
      <c r="F1229" s="39" t="s">
        <v>816</v>
      </c>
      <c r="G1229" s="0" t="n">
        <v>51.8</v>
      </c>
      <c r="H1229" s="0" t="n">
        <v>52</v>
      </c>
      <c r="I1229" s="39" t="s">
        <v>138</v>
      </c>
      <c r="J1229" s="0" t="n">
        <v>157</v>
      </c>
      <c r="K1229" s="0" t="n">
        <v>66</v>
      </c>
      <c r="M1229" s="0" t="n">
        <v>2225.83</v>
      </c>
      <c r="N1229" s="0" t="n">
        <v>42.69</v>
      </c>
      <c r="O1229" s="0" t="n">
        <v>47.57</v>
      </c>
      <c r="P1229" s="0" t="n">
        <v>3.18</v>
      </c>
      <c r="Q1229" s="0" t="n">
        <v>3.3</v>
      </c>
      <c r="R1229" s="0" t="n">
        <v>5429</v>
      </c>
      <c r="S1229" s="0" t="n">
        <v>10793</v>
      </c>
      <c r="T1229" s="0" t="n">
        <v>56.6</v>
      </c>
      <c r="U1229" s="0" t="n">
        <v>980</v>
      </c>
      <c r="V1229" s="0" t="n">
        <v>3</v>
      </c>
      <c r="W1229" s="39" t="n">
        <f aca="false">IF(I1229="Male",0,1)</f>
        <v>1</v>
      </c>
      <c r="X1229" s="39" t="n">
        <f aca="false">IF(OR(I1229="DNB",I1229="Dry DNB"),1,0)</f>
        <v>0</v>
      </c>
      <c r="Y1229" s="39" t="n">
        <f aca="false">MATCH(A1229,DATAS,0)</f>
        <v>1</v>
      </c>
      <c r="Z1229" s="39" t="n">
        <f aca="false">IF(AND(E1229&gt;0,OR(AND(B1229&gt;=1,B1229&lt;=6),B1229=10)),1,0)</f>
        <v>1</v>
      </c>
      <c r="AA1229" s="39" t="n">
        <f aca="false">IF(AND(E1229&gt;0,B1229=10),1,0)</f>
        <v>0</v>
      </c>
      <c r="AB1229" s="0" t="str">
        <f aca="false">IF(AND(C1228=C1229,Y1228=Y1229-1),Z1228,"")</f>
        <v/>
      </c>
      <c r="AC1229" s="0" t="str">
        <f aca="false">IF(AND(C1228=C1229,Y1228=Y1229-1),AA1228,"")</f>
        <v/>
      </c>
      <c r="AD1229" s="0" t="str">
        <f aca="false">IF(Y1229=1,"",IF(AND(Z1229=1,AB1229&lt;&gt;1),1,0))</f>
        <v/>
      </c>
      <c r="AE1229" s="0" t="str">
        <f aca="false">IF(Y1229=1,"",IF(AND(AA1229=1,AC1229&lt;&gt;1),1,0))</f>
        <v/>
      </c>
      <c r="AF1229" s="45" t="str">
        <f aca="false">IF(AND(E1229&gt;0,Y1229&lt;1,NOT(AND(C1230=C1229,Y1230=Y1229+1))),INDEX(DATAS,Y1229+1),"")</f>
        <v/>
      </c>
      <c r="AG1229" s="45" t="str">
        <f aca="false">IF(AND(AA1229=1,Y1229&lt;1),IF(AND(C1230=C1229,Y1230=Y1229+1),IF(AA1230=1,"",INDEX(DATAS,Y1229+1)),INDEX(DATAS,Y1229+1)),"")</f>
        <v/>
      </c>
    </row>
    <row r="1230" customFormat="false" ht="15" hidden="false" customHeight="false" outlineLevel="0" collapsed="false">
      <c r="A1230" s="45" t="n">
        <v>46309</v>
      </c>
      <c r="B1230" s="0" t="n">
        <v>7</v>
      </c>
      <c r="C1230" s="0" t="n">
        <v>5298</v>
      </c>
      <c r="D1230" s="0" t="n">
        <v>320</v>
      </c>
      <c r="E1230" s="0" t="n">
        <v>1</v>
      </c>
      <c r="F1230" s="39" t="s">
        <v>816</v>
      </c>
      <c r="I1230" s="39" t="s">
        <v>114</v>
      </c>
      <c r="J1230" s="0" t="n">
        <v>92</v>
      </c>
      <c r="K1230" s="0" t="n">
        <v>76</v>
      </c>
      <c r="L1230" s="0" t="n">
        <v>243</v>
      </c>
      <c r="M1230" s="0" t="n">
        <v>377.91</v>
      </c>
      <c r="N1230" s="0" t="n">
        <v>61.57</v>
      </c>
      <c r="O1230" s="0" t="n">
        <v>23.27</v>
      </c>
      <c r="P1230" s="0" t="n">
        <v>3.64</v>
      </c>
      <c r="Q1230" s="0" t="n">
        <v>3.32</v>
      </c>
      <c r="R1230" s="0" t="n">
        <v>4735</v>
      </c>
      <c r="S1230" s="0" t="n">
        <v>10007</v>
      </c>
      <c r="T1230" s="0" t="n">
        <v>53.85</v>
      </c>
      <c r="U1230" s="0" t="n">
        <v>980</v>
      </c>
      <c r="V1230" s="0" t="n">
        <v>2</v>
      </c>
      <c r="W1230" s="39" t="n">
        <f aca="false">IF(I1230="Male",0,1)</f>
        <v>1</v>
      </c>
      <c r="X1230" s="39" t="n">
        <f aca="false">IF(OR(I1230="DNB",I1230="Dry DNB"),1,0)</f>
        <v>0</v>
      </c>
      <c r="Y1230" s="39" t="n">
        <f aca="false">MATCH(A1230,DATAS,0)</f>
        <v>1</v>
      </c>
      <c r="Z1230" s="39" t="n">
        <f aca="false">IF(AND(E1230&gt;0,OR(AND(B1230&gt;=1,B1230&lt;=6),B1230=10)),1,0)</f>
        <v>0</v>
      </c>
      <c r="AA1230" s="39" t="n">
        <f aca="false">IF(AND(E1230&gt;0,B1230=10),1,0)</f>
        <v>0</v>
      </c>
      <c r="AB1230" s="0" t="str">
        <f aca="false">IF(AND(C1229=C1230,Y1229=Y1230-1),Z1229,"")</f>
        <v/>
      </c>
      <c r="AC1230" s="0" t="str">
        <f aca="false">IF(AND(C1229=C1230,Y1229=Y1230-1),AA1229,"")</f>
        <v/>
      </c>
      <c r="AD1230" s="0" t="str">
        <f aca="false">IF(Y1230=1,"",IF(AND(Z1230=1,AB1230&lt;&gt;1),1,0))</f>
        <v/>
      </c>
      <c r="AE1230" s="0" t="str">
        <f aca="false">IF(Y1230=1,"",IF(AND(AA1230=1,AC1230&lt;&gt;1),1,0))</f>
        <v/>
      </c>
      <c r="AF1230" s="45" t="str">
        <f aca="false">IF(AND(E1230&gt;0,Y1230&lt;1,NOT(AND(C1231=C1230,Y1231=Y1230+1))),INDEX(DATAS,Y1230+1),"")</f>
        <v/>
      </c>
      <c r="AG1230" s="45" t="str">
        <f aca="false">IF(AND(AA1230=1,Y1230&lt;1),IF(AND(C1231=C1230,Y1231=Y1230+1),IF(AA1231=1,"",INDEX(DATAS,Y1230+1)),INDEX(DATAS,Y1230+1)),"")</f>
        <v/>
      </c>
    </row>
    <row r="1231" customFormat="false" ht="15" hidden="false" customHeight="false" outlineLevel="0" collapsed="false">
      <c r="A1231" s="45" t="n">
        <v>46309</v>
      </c>
      <c r="B1231" s="0" t="n">
        <v>7</v>
      </c>
      <c r="C1231" s="0" t="n">
        <v>5299</v>
      </c>
      <c r="D1231" s="0" t="n">
        <v>287</v>
      </c>
      <c r="E1231" s="0" t="n">
        <v>1</v>
      </c>
      <c r="F1231" s="39" t="s">
        <v>816</v>
      </c>
      <c r="I1231" s="39" t="s">
        <v>114</v>
      </c>
      <c r="J1231" s="0" t="n">
        <v>64</v>
      </c>
      <c r="K1231" s="0" t="n">
        <v>64</v>
      </c>
      <c r="L1231" s="0" t="n">
        <v>231</v>
      </c>
      <c r="M1231" s="0" t="n">
        <v>807.85</v>
      </c>
      <c r="N1231" s="0" t="n">
        <v>63.98</v>
      </c>
      <c r="O1231" s="0" t="n">
        <v>30.12</v>
      </c>
      <c r="P1231" s="0" t="n">
        <v>3.61</v>
      </c>
      <c r="Q1231" s="0" t="n">
        <v>3.47</v>
      </c>
      <c r="R1231" s="0" t="n">
        <v>4468</v>
      </c>
      <c r="S1231" s="0" t="n">
        <v>9664</v>
      </c>
      <c r="T1231" s="0" t="n">
        <v>46.4</v>
      </c>
      <c r="U1231" s="0" t="n">
        <v>980</v>
      </c>
      <c r="V1231" s="0" t="n">
        <v>1</v>
      </c>
      <c r="W1231" s="39" t="n">
        <f aca="false">IF(I1231="Male",0,1)</f>
        <v>1</v>
      </c>
      <c r="X1231" s="39" t="n">
        <f aca="false">IF(OR(I1231="DNB",I1231="Dry DNB"),1,0)</f>
        <v>0</v>
      </c>
      <c r="Y1231" s="39" t="n">
        <f aca="false">MATCH(A1231,DATAS,0)</f>
        <v>1</v>
      </c>
      <c r="Z1231" s="39" t="n">
        <f aca="false">IF(AND(E1231&gt;0,OR(AND(B1231&gt;=1,B1231&lt;=6),B1231=10)),1,0)</f>
        <v>0</v>
      </c>
      <c r="AA1231" s="39" t="n">
        <f aca="false">IF(AND(E1231&gt;0,B1231=10),1,0)</f>
        <v>0</v>
      </c>
      <c r="AB1231" s="0" t="str">
        <f aca="false">IF(AND(C1230=C1231,Y1230=Y1231-1),Z1230,"")</f>
        <v/>
      </c>
      <c r="AC1231" s="0" t="str">
        <f aca="false">IF(AND(C1230=C1231,Y1230=Y1231-1),AA1230,"")</f>
        <v/>
      </c>
      <c r="AD1231" s="0" t="str">
        <f aca="false">IF(Y1231=1,"",IF(AND(Z1231=1,AB1231&lt;&gt;1),1,0))</f>
        <v/>
      </c>
      <c r="AE1231" s="0" t="str">
        <f aca="false">IF(Y1231=1,"",IF(AND(AA1231=1,AC1231&lt;&gt;1),1,0))</f>
        <v/>
      </c>
      <c r="AF1231" s="45" t="str">
        <f aca="false">IF(AND(E1231&gt;0,Y1231&lt;1,NOT(AND(C1232=C1231,Y1232=Y1231+1))),INDEX(DATAS,Y1231+1),"")</f>
        <v/>
      </c>
      <c r="AG1231" s="45" t="str">
        <f aca="false">IF(AND(AA1231=1,Y1231&lt;1),IF(AND(C1232=C1231,Y1232=Y1231+1),IF(AA1232=1,"",INDEX(DATAS,Y1231+1)),INDEX(DATAS,Y1231+1)),"")</f>
        <v/>
      </c>
    </row>
    <row r="1232" customFormat="false" ht="15" hidden="false" customHeight="false" outlineLevel="0" collapsed="false">
      <c r="A1232" s="45" t="n">
        <v>46309</v>
      </c>
      <c r="B1232" s="0" t="n">
        <v>7</v>
      </c>
      <c r="C1232" s="0" t="n">
        <v>5301</v>
      </c>
      <c r="D1232" s="0" t="n">
        <v>333</v>
      </c>
      <c r="E1232" s="0" t="n">
        <v>1</v>
      </c>
      <c r="F1232" s="39" t="s">
        <v>817</v>
      </c>
      <c r="I1232" s="39" t="s">
        <v>114</v>
      </c>
      <c r="J1232" s="0" t="n">
        <v>105</v>
      </c>
      <c r="K1232" s="0" t="n">
        <v>82</v>
      </c>
      <c r="L1232" s="0" t="n">
        <v>243</v>
      </c>
      <c r="M1232" s="0" t="n">
        <v>437.05</v>
      </c>
      <c r="N1232" s="0" t="n">
        <v>91.99</v>
      </c>
      <c r="O1232" s="0" t="n">
        <v>28.75</v>
      </c>
      <c r="P1232" s="0" t="n">
        <v>5.65</v>
      </c>
      <c r="Q1232" s="0" t="n">
        <v>3.75</v>
      </c>
      <c r="R1232" s="0" t="n">
        <v>4138</v>
      </c>
      <c r="S1232" s="0" t="n">
        <v>8910</v>
      </c>
      <c r="T1232" s="0" t="n">
        <v>49</v>
      </c>
      <c r="U1232" s="0" t="n">
        <v>978</v>
      </c>
      <c r="V1232" s="0" t="n">
        <v>2</v>
      </c>
      <c r="W1232" s="39" t="n">
        <f aca="false">IF(I1232="Male",0,1)</f>
        <v>1</v>
      </c>
      <c r="X1232" s="39" t="n">
        <f aca="false">IF(OR(I1232="DNB",I1232="Dry DNB"),1,0)</f>
        <v>0</v>
      </c>
      <c r="Y1232" s="39" t="n">
        <f aca="false">MATCH(A1232,DATAS,0)</f>
        <v>1</v>
      </c>
      <c r="Z1232" s="39" t="n">
        <f aca="false">IF(AND(E1232&gt;0,OR(AND(B1232&gt;=1,B1232&lt;=6),B1232=10)),1,0)</f>
        <v>0</v>
      </c>
      <c r="AA1232" s="39" t="n">
        <f aca="false">IF(AND(E1232&gt;0,B1232=10),1,0)</f>
        <v>0</v>
      </c>
      <c r="AB1232" s="0" t="str">
        <f aca="false">IF(AND(C1231=C1232,Y1231=Y1232-1),Z1231,"")</f>
        <v/>
      </c>
      <c r="AC1232" s="0" t="str">
        <f aca="false">IF(AND(C1231=C1232,Y1231=Y1232-1),AA1231,"")</f>
        <v/>
      </c>
      <c r="AD1232" s="0" t="str">
        <f aca="false">IF(Y1232=1,"",IF(AND(Z1232=1,AB1232&lt;&gt;1),1,0))</f>
        <v/>
      </c>
      <c r="AE1232" s="0" t="str">
        <f aca="false">IF(Y1232=1,"",IF(AND(AA1232=1,AC1232&lt;&gt;1),1,0))</f>
        <v/>
      </c>
      <c r="AF1232" s="45" t="str">
        <f aca="false">IF(AND(E1232&gt;0,Y1232&lt;1,NOT(AND(C1233=C1232,Y1233=Y1232+1))),INDEX(DATAS,Y1232+1),"")</f>
        <v/>
      </c>
      <c r="AG1232" s="45" t="str">
        <f aca="false">IF(AND(AA1232=1,Y1232&lt;1),IF(AND(C1233=C1232,Y1233=Y1232+1),IF(AA1233=1,"",INDEX(DATAS,Y1232+1)),INDEX(DATAS,Y1232+1)),"")</f>
        <v/>
      </c>
    </row>
    <row r="1233" customFormat="false" ht="15" hidden="false" customHeight="false" outlineLevel="0" collapsed="false">
      <c r="A1233" s="45" t="n">
        <v>46309</v>
      </c>
      <c r="B1233" s="0" t="n">
        <v>3</v>
      </c>
      <c r="C1233" s="0" t="n">
        <v>5302</v>
      </c>
      <c r="D1233" s="0" t="n">
        <v>18</v>
      </c>
      <c r="E1233" s="0" t="n">
        <v>2</v>
      </c>
      <c r="F1233" s="39" t="s">
        <v>817</v>
      </c>
      <c r="G1233" s="0" t="n">
        <v>49.9</v>
      </c>
      <c r="H1233" s="0" t="n">
        <v>48</v>
      </c>
      <c r="I1233" s="39" t="s">
        <v>118</v>
      </c>
      <c r="J1233" s="0" t="n">
        <v>18</v>
      </c>
      <c r="M1233" s="0" t="n">
        <v>342.98</v>
      </c>
      <c r="N1233" s="0" t="n">
        <v>44.2</v>
      </c>
      <c r="O1233" s="0" t="n">
        <v>22.75</v>
      </c>
      <c r="R1233" s="0" t="n">
        <v>3593</v>
      </c>
      <c r="S1233" s="0" t="n">
        <v>7222</v>
      </c>
      <c r="U1233" s="0" t="n">
        <v>978</v>
      </c>
      <c r="V1233" s="0" t="n">
        <v>0</v>
      </c>
      <c r="W1233" s="39" t="n">
        <f aca="false">IF(I1233="Male",0,1)</f>
        <v>1</v>
      </c>
      <c r="X1233" s="39" t="n">
        <f aca="false">IF(OR(I1233="DNB",I1233="Dry DNB"),1,0)</f>
        <v>0</v>
      </c>
      <c r="Y1233" s="39" t="n">
        <f aca="false">MATCH(A1233,DATAS,0)</f>
        <v>1</v>
      </c>
      <c r="Z1233" s="39" t="n">
        <f aca="false">IF(AND(E1233&gt;0,OR(AND(B1233&gt;=1,B1233&lt;=6),B1233=10)),1,0)</f>
        <v>1</v>
      </c>
      <c r="AA1233" s="39" t="n">
        <f aca="false">IF(AND(E1233&gt;0,B1233=10),1,0)</f>
        <v>0</v>
      </c>
      <c r="AB1233" s="0" t="str">
        <f aca="false">IF(AND(C1232=C1233,Y1232=Y1233-1),Z1232,"")</f>
        <v/>
      </c>
      <c r="AC1233" s="0" t="str">
        <f aca="false">IF(AND(C1232=C1233,Y1232=Y1233-1),AA1232,"")</f>
        <v/>
      </c>
      <c r="AD1233" s="0" t="str">
        <f aca="false">IF(Y1233=1,"",IF(AND(Z1233=1,AB1233&lt;&gt;1),1,0))</f>
        <v/>
      </c>
      <c r="AE1233" s="0" t="str">
        <f aca="false">IF(Y1233=1,"",IF(AND(AA1233=1,AC1233&lt;&gt;1),1,0))</f>
        <v/>
      </c>
      <c r="AF1233" s="45" t="str">
        <f aca="false">IF(AND(E1233&gt;0,Y1233&lt;1,NOT(AND(C1234=C1233,Y1234=Y1233+1))),INDEX(DATAS,Y1233+1),"")</f>
        <v/>
      </c>
      <c r="AG1233" s="45" t="str">
        <f aca="false">IF(AND(AA1233=1,Y1233&lt;1),IF(AND(C1234=C1233,Y1234=Y1233+1),IF(AA1234=1,"",INDEX(DATAS,Y1233+1)),INDEX(DATAS,Y1233+1)),"")</f>
        <v/>
      </c>
    </row>
    <row r="1234" customFormat="false" ht="15" hidden="false" customHeight="false" outlineLevel="0" collapsed="false">
      <c r="A1234" s="45" t="n">
        <v>46309</v>
      </c>
      <c r="B1234" s="0" t="n">
        <v>3</v>
      </c>
      <c r="C1234" s="0" t="n">
        <v>5303</v>
      </c>
      <c r="D1234" s="0" t="n">
        <v>72</v>
      </c>
      <c r="E1234" s="0" t="n">
        <v>2</v>
      </c>
      <c r="F1234" s="39" t="s">
        <v>817</v>
      </c>
      <c r="G1234" s="0" t="n">
        <v>53</v>
      </c>
      <c r="H1234" s="0" t="n">
        <v>50</v>
      </c>
      <c r="I1234" s="39" t="s">
        <v>138</v>
      </c>
      <c r="J1234" s="0" t="n">
        <v>72</v>
      </c>
      <c r="K1234" s="0" t="n">
        <v>65</v>
      </c>
      <c r="M1234" s="0" t="n">
        <v>530.38</v>
      </c>
      <c r="N1234" s="0" t="n">
        <v>68.94</v>
      </c>
      <c r="O1234" s="0" t="n">
        <v>32.7</v>
      </c>
      <c r="P1234" s="0" t="n">
        <v>4.09</v>
      </c>
      <c r="Q1234" s="0" t="n">
        <v>3.33</v>
      </c>
      <c r="R1234" s="0" t="n">
        <v>4216</v>
      </c>
      <c r="S1234" s="0" t="n">
        <v>8475</v>
      </c>
      <c r="U1234" s="0" t="n">
        <v>978</v>
      </c>
      <c r="V1234" s="0" t="n">
        <v>1</v>
      </c>
      <c r="W1234" s="39" t="n">
        <f aca="false">IF(I1234="Male",0,1)</f>
        <v>1</v>
      </c>
      <c r="X1234" s="39" t="n">
        <f aca="false">IF(OR(I1234="DNB",I1234="Dry DNB"),1,0)</f>
        <v>0</v>
      </c>
      <c r="Y1234" s="39" t="n">
        <f aca="false">MATCH(A1234,DATAS,0)</f>
        <v>1</v>
      </c>
      <c r="Z1234" s="39" t="n">
        <f aca="false">IF(AND(E1234&gt;0,OR(AND(B1234&gt;=1,B1234&lt;=6),B1234=10)),1,0)</f>
        <v>1</v>
      </c>
      <c r="AA1234" s="39" t="n">
        <f aca="false">IF(AND(E1234&gt;0,B1234=10),1,0)</f>
        <v>0</v>
      </c>
      <c r="AB1234" s="0" t="str">
        <f aca="false">IF(AND(C1233=C1234,Y1233=Y1234-1),Z1233,"")</f>
        <v/>
      </c>
      <c r="AC1234" s="0" t="str">
        <f aca="false">IF(AND(C1233=C1234,Y1233=Y1234-1),AA1233,"")</f>
        <v/>
      </c>
      <c r="AD1234" s="0" t="str">
        <f aca="false">IF(Y1234=1,"",IF(AND(Z1234=1,AB1234&lt;&gt;1),1,0))</f>
        <v/>
      </c>
      <c r="AE1234" s="0" t="str">
        <f aca="false">IF(Y1234=1,"",IF(AND(AA1234=1,AC1234&lt;&gt;1),1,0))</f>
        <v/>
      </c>
      <c r="AF1234" s="45" t="str">
        <f aca="false">IF(AND(E1234&gt;0,Y1234&lt;1,NOT(AND(C1235=C1234,Y1235=Y1234+1))),INDEX(DATAS,Y1234+1),"")</f>
        <v/>
      </c>
      <c r="AG1234" s="45" t="str">
        <f aca="false">IF(AND(AA1234=1,Y1234&lt;1),IF(AND(C1235=C1234,Y1235=Y1234+1),IF(AA1235=1,"",INDEX(DATAS,Y1234+1)),INDEX(DATAS,Y1234+1)),"")</f>
        <v/>
      </c>
    </row>
    <row r="1235" customFormat="false" ht="15" hidden="false" customHeight="false" outlineLevel="0" collapsed="false">
      <c r="A1235" s="45" t="n">
        <v>46309</v>
      </c>
      <c r="B1235" s="0" t="n">
        <v>3</v>
      </c>
      <c r="C1235" s="0" t="n">
        <v>5304</v>
      </c>
      <c r="D1235" s="0" t="n">
        <v>14</v>
      </c>
      <c r="E1235" s="0" t="n">
        <v>2</v>
      </c>
      <c r="F1235" s="39" t="s">
        <v>817</v>
      </c>
      <c r="G1235" s="0" t="n">
        <v>40.4</v>
      </c>
      <c r="H1235" s="0" t="n">
        <v>32</v>
      </c>
      <c r="I1235" s="39" t="s">
        <v>118</v>
      </c>
      <c r="J1235" s="0" t="n">
        <v>14</v>
      </c>
      <c r="M1235" s="0" t="n">
        <v>2553.83</v>
      </c>
      <c r="N1235" s="0" t="n">
        <v>41.74</v>
      </c>
      <c r="O1235" s="0" t="n">
        <v>57.81</v>
      </c>
      <c r="R1235" s="0" t="n">
        <v>2668</v>
      </c>
      <c r="S1235" s="0" t="n">
        <v>5363</v>
      </c>
      <c r="U1235" s="0" t="n">
        <v>978</v>
      </c>
      <c r="V1235" s="0" t="n">
        <v>0</v>
      </c>
      <c r="W1235" s="39" t="n">
        <f aca="false">IF(I1235="Male",0,1)</f>
        <v>1</v>
      </c>
      <c r="X1235" s="39" t="n">
        <f aca="false">IF(OR(I1235="DNB",I1235="Dry DNB"),1,0)</f>
        <v>0</v>
      </c>
      <c r="Y1235" s="39" t="n">
        <f aca="false">MATCH(A1235,DATAS,0)</f>
        <v>1</v>
      </c>
      <c r="Z1235" s="39" t="n">
        <f aca="false">IF(AND(E1235&gt;0,OR(AND(B1235&gt;=1,B1235&lt;=6),B1235=10)),1,0)</f>
        <v>1</v>
      </c>
      <c r="AA1235" s="39" t="n">
        <f aca="false">IF(AND(E1235&gt;0,B1235=10),1,0)</f>
        <v>0</v>
      </c>
      <c r="AB1235" s="0" t="str">
        <f aca="false">IF(AND(C1234=C1235,Y1234=Y1235-1),Z1234,"")</f>
        <v/>
      </c>
      <c r="AC1235" s="0" t="str">
        <f aca="false">IF(AND(C1234=C1235,Y1234=Y1235-1),AA1234,"")</f>
        <v/>
      </c>
      <c r="AD1235" s="0" t="str">
        <f aca="false">IF(Y1235=1,"",IF(AND(Z1235=1,AB1235&lt;&gt;1),1,0))</f>
        <v/>
      </c>
      <c r="AE1235" s="0" t="str">
        <f aca="false">IF(Y1235=1,"",IF(AND(AA1235=1,AC1235&lt;&gt;1),1,0))</f>
        <v/>
      </c>
      <c r="AF1235" s="45" t="str">
        <f aca="false">IF(AND(E1235&gt;0,Y1235&lt;1,NOT(AND(C1236=C1235,Y1236=Y1235+1))),INDEX(DATAS,Y1235+1),"")</f>
        <v/>
      </c>
      <c r="AG1235" s="45" t="str">
        <f aca="false">IF(AND(AA1235=1,Y1235&lt;1),IF(AND(C1236=C1235,Y1236=Y1235+1),IF(AA1236=1,"",INDEX(DATAS,Y1235+1)),INDEX(DATAS,Y1235+1)),"")</f>
        <v/>
      </c>
    </row>
    <row r="1236" customFormat="false" ht="15" hidden="false" customHeight="false" outlineLevel="0" collapsed="false">
      <c r="A1236" s="45" t="n">
        <v>46309</v>
      </c>
      <c r="B1236" s="0" t="n">
        <v>5</v>
      </c>
      <c r="C1236" s="0" t="n">
        <v>5305</v>
      </c>
      <c r="D1236" s="0" t="n">
        <v>364</v>
      </c>
      <c r="E1236" s="0" t="n">
        <v>1</v>
      </c>
      <c r="F1236" s="39" t="s">
        <v>818</v>
      </c>
      <c r="G1236" s="0" t="n">
        <v>43.7</v>
      </c>
      <c r="H1236" s="0" t="n">
        <v>43</v>
      </c>
      <c r="I1236" s="39" t="s">
        <v>109</v>
      </c>
      <c r="J1236" s="0" t="n">
        <v>224</v>
      </c>
      <c r="K1236" s="0" t="n">
        <v>71</v>
      </c>
      <c r="L1236" s="0" t="n">
        <v>140</v>
      </c>
      <c r="M1236" s="0" t="n">
        <v>526.37</v>
      </c>
      <c r="N1236" s="0" t="n">
        <v>39.09</v>
      </c>
      <c r="O1236" s="0" t="n">
        <v>34.08</v>
      </c>
      <c r="P1236" s="0" t="n">
        <v>3.36</v>
      </c>
      <c r="Q1236" s="0" t="n">
        <v>3.78</v>
      </c>
      <c r="R1236" s="0" t="n">
        <v>4277</v>
      </c>
      <c r="S1236" s="0" t="n">
        <v>9345</v>
      </c>
      <c r="T1236" s="0" t="n">
        <v>46.35</v>
      </c>
      <c r="U1236" s="0" t="n">
        <v>977</v>
      </c>
      <c r="V1236" s="0" t="n">
        <v>6</v>
      </c>
      <c r="W1236" s="39" t="n">
        <f aca="false">IF(I1236="Male",0,1)</f>
        <v>1</v>
      </c>
      <c r="X1236" s="39" t="n">
        <f aca="false">IF(OR(I1236="DNB",I1236="Dry DNB"),1,0)</f>
        <v>0</v>
      </c>
      <c r="Y1236" s="39" t="n">
        <f aca="false">MATCH(A1236,DATAS,0)</f>
        <v>1</v>
      </c>
      <c r="Z1236" s="39" t="n">
        <f aca="false">IF(AND(E1236&gt;0,OR(AND(B1236&gt;=1,B1236&lt;=6),B1236=10)),1,0)</f>
        <v>1</v>
      </c>
      <c r="AA1236" s="39" t="n">
        <f aca="false">IF(AND(E1236&gt;0,B1236=10),1,0)</f>
        <v>0</v>
      </c>
      <c r="AB1236" s="0" t="str">
        <f aca="false">IF(AND(C1235=C1236,Y1235=Y1236-1),Z1235,"")</f>
        <v/>
      </c>
      <c r="AC1236" s="0" t="str">
        <f aca="false">IF(AND(C1235=C1236,Y1235=Y1236-1),AA1235,"")</f>
        <v/>
      </c>
      <c r="AD1236" s="0" t="str">
        <f aca="false">IF(Y1236=1,"",IF(AND(Z1236=1,AB1236&lt;&gt;1),1,0))</f>
        <v/>
      </c>
      <c r="AE1236" s="0" t="str">
        <f aca="false">IF(Y1236=1,"",IF(AND(AA1236=1,AC1236&lt;&gt;1),1,0))</f>
        <v/>
      </c>
      <c r="AF1236" s="45" t="str">
        <f aca="false">IF(AND(E1236&gt;0,Y1236&lt;1,NOT(AND(C1237=C1236,Y1237=Y1236+1))),INDEX(DATAS,Y1236+1),"")</f>
        <v/>
      </c>
      <c r="AG1236" s="45" t="str">
        <f aca="false">IF(AND(AA1236=1,Y1236&lt;1),IF(AND(C1237=C1236,Y1237=Y1236+1),IF(AA1237=1,"",INDEX(DATAS,Y1236+1)),INDEX(DATAS,Y1236+1)),"")</f>
        <v/>
      </c>
    </row>
    <row r="1237" customFormat="false" ht="15" hidden="false" customHeight="false" outlineLevel="0" collapsed="false">
      <c r="A1237" s="45" t="n">
        <v>46309</v>
      </c>
      <c r="B1237" s="0" t="n">
        <v>7</v>
      </c>
      <c r="C1237" s="0" t="n">
        <v>5306</v>
      </c>
      <c r="D1237" s="0" t="n">
        <v>324</v>
      </c>
      <c r="E1237" s="0" t="n">
        <v>1</v>
      </c>
      <c r="F1237" s="39" t="s">
        <v>819</v>
      </c>
      <c r="G1237" s="0" t="n">
        <v>15.6</v>
      </c>
      <c r="H1237" s="0" t="n">
        <v>35</v>
      </c>
      <c r="I1237" s="39" t="s">
        <v>114</v>
      </c>
      <c r="J1237" s="0" t="n">
        <v>101</v>
      </c>
      <c r="K1237" s="0" t="n">
        <v>66</v>
      </c>
      <c r="L1237" s="0" t="n">
        <v>224</v>
      </c>
      <c r="M1237" s="0" t="n">
        <v>1148.6</v>
      </c>
      <c r="N1237" s="0" t="n">
        <v>51.33</v>
      </c>
      <c r="O1237" s="0" t="n">
        <v>26.38</v>
      </c>
      <c r="P1237" s="0" t="n">
        <v>3.54</v>
      </c>
      <c r="Q1237" s="0" t="n">
        <v>3.26</v>
      </c>
      <c r="R1237" s="0" t="n">
        <v>4807</v>
      </c>
      <c r="S1237" s="0" t="n">
        <v>10133</v>
      </c>
      <c r="T1237" s="0" t="n">
        <v>51.1</v>
      </c>
      <c r="U1237" s="0" t="n">
        <v>975</v>
      </c>
      <c r="V1237" s="0" t="n">
        <v>2</v>
      </c>
      <c r="W1237" s="39" t="n">
        <f aca="false">IF(I1237="Male",0,1)</f>
        <v>1</v>
      </c>
      <c r="X1237" s="39" t="n">
        <f aca="false">IF(OR(I1237="DNB",I1237="Dry DNB"),1,0)</f>
        <v>0</v>
      </c>
      <c r="Y1237" s="39" t="n">
        <f aca="false">MATCH(A1237,DATAS,0)</f>
        <v>1</v>
      </c>
      <c r="Z1237" s="39" t="n">
        <f aca="false">IF(AND(E1237&gt;0,OR(AND(B1237&gt;=1,B1237&lt;=6),B1237=10)),1,0)</f>
        <v>0</v>
      </c>
      <c r="AA1237" s="39" t="n">
        <f aca="false">IF(AND(E1237&gt;0,B1237=10),1,0)</f>
        <v>0</v>
      </c>
      <c r="AB1237" s="0" t="str">
        <f aca="false">IF(AND(C1236=C1237,Y1236=Y1237-1),Z1236,"")</f>
        <v/>
      </c>
      <c r="AC1237" s="0" t="str">
        <f aca="false">IF(AND(C1236=C1237,Y1236=Y1237-1),AA1236,"")</f>
        <v/>
      </c>
      <c r="AD1237" s="0" t="str">
        <f aca="false">IF(Y1237=1,"",IF(AND(Z1237=1,AB1237&lt;&gt;1),1,0))</f>
        <v/>
      </c>
      <c r="AE1237" s="0" t="str">
        <f aca="false">IF(Y1237=1,"",IF(AND(AA1237=1,AC1237&lt;&gt;1),1,0))</f>
        <v/>
      </c>
      <c r="AF1237" s="45" t="str">
        <f aca="false">IF(AND(E1237&gt;0,Y1237&lt;1,NOT(AND(C1238=C1237,Y1238=Y1237+1))),INDEX(DATAS,Y1237+1),"")</f>
        <v/>
      </c>
      <c r="AG1237" s="45" t="str">
        <f aca="false">IF(AND(AA1237=1,Y1237&lt;1),IF(AND(C1238=C1237,Y1238=Y1237+1),IF(AA1238=1,"",INDEX(DATAS,Y1237+1)),INDEX(DATAS,Y1237+1)),"")</f>
        <v/>
      </c>
    </row>
    <row r="1238" customFormat="false" ht="15" hidden="false" customHeight="false" outlineLevel="0" collapsed="false">
      <c r="A1238" s="45" t="n">
        <v>46309</v>
      </c>
      <c r="B1238" s="0" t="n">
        <v>5</v>
      </c>
      <c r="C1238" s="0" t="n">
        <v>5307</v>
      </c>
      <c r="D1238" s="0" t="n">
        <v>357</v>
      </c>
      <c r="E1238" s="0" t="n">
        <v>1</v>
      </c>
      <c r="F1238" s="39" t="s">
        <v>818</v>
      </c>
      <c r="G1238" s="0" t="n">
        <v>43.3</v>
      </c>
      <c r="H1238" s="0" t="n">
        <v>42</v>
      </c>
      <c r="I1238" s="39" t="s">
        <v>109</v>
      </c>
      <c r="J1238" s="0" t="n">
        <v>193</v>
      </c>
      <c r="K1238" s="0" t="n">
        <v>64</v>
      </c>
      <c r="L1238" s="0" t="n">
        <v>164</v>
      </c>
      <c r="M1238" s="0" t="n">
        <v>698.73</v>
      </c>
      <c r="N1238" s="0" t="n">
        <v>50.7</v>
      </c>
      <c r="O1238" s="0" t="n">
        <v>29.73</v>
      </c>
      <c r="P1238" s="0" t="n">
        <v>3.53</v>
      </c>
      <c r="Q1238" s="0" t="n">
        <v>3.57</v>
      </c>
      <c r="R1238" s="0" t="n">
        <v>4322</v>
      </c>
      <c r="S1238" s="0" t="n">
        <v>9524</v>
      </c>
      <c r="T1238" s="0" t="n">
        <v>46.55</v>
      </c>
      <c r="U1238" s="0" t="n">
        <v>977</v>
      </c>
      <c r="V1238" s="0" t="n">
        <v>6</v>
      </c>
      <c r="W1238" s="39" t="n">
        <f aca="false">IF(I1238="Male",0,1)</f>
        <v>1</v>
      </c>
      <c r="X1238" s="39" t="n">
        <f aca="false">IF(OR(I1238="DNB",I1238="Dry DNB"),1,0)</f>
        <v>0</v>
      </c>
      <c r="Y1238" s="39" t="n">
        <f aca="false">MATCH(A1238,DATAS,0)</f>
        <v>1</v>
      </c>
      <c r="Z1238" s="39" t="n">
        <f aca="false">IF(AND(E1238&gt;0,OR(AND(B1238&gt;=1,B1238&lt;=6),B1238=10)),1,0)</f>
        <v>1</v>
      </c>
      <c r="AA1238" s="39" t="n">
        <f aca="false">IF(AND(E1238&gt;0,B1238=10),1,0)</f>
        <v>0</v>
      </c>
      <c r="AB1238" s="0" t="str">
        <f aca="false">IF(AND(C1237=C1238,Y1237=Y1238-1),Z1237,"")</f>
        <v/>
      </c>
      <c r="AC1238" s="0" t="str">
        <f aca="false">IF(AND(C1237=C1238,Y1237=Y1238-1),AA1237,"")</f>
        <v/>
      </c>
      <c r="AD1238" s="0" t="str">
        <f aca="false">IF(Y1238=1,"",IF(AND(Z1238=1,AB1238&lt;&gt;1),1,0))</f>
        <v/>
      </c>
      <c r="AE1238" s="0" t="str">
        <f aca="false">IF(Y1238=1,"",IF(AND(AA1238=1,AC1238&lt;&gt;1),1,0))</f>
        <v/>
      </c>
      <c r="AF1238" s="45" t="str">
        <f aca="false">IF(AND(E1238&gt;0,Y1238&lt;1,NOT(AND(C1239=C1238,Y1239=Y1238+1))),INDEX(DATAS,Y1238+1),"")</f>
        <v/>
      </c>
      <c r="AG1238" s="45" t="str">
        <f aca="false">IF(AND(AA1238=1,Y1238&lt;1),IF(AND(C1239=C1238,Y1239=Y1238+1),IF(AA1239=1,"",INDEX(DATAS,Y1238+1)),INDEX(DATAS,Y1238+1)),"")</f>
        <v/>
      </c>
    </row>
    <row r="1239" customFormat="false" ht="15" hidden="false" customHeight="false" outlineLevel="0" collapsed="false">
      <c r="A1239" s="45" t="n">
        <v>46309</v>
      </c>
      <c r="B1239" s="0" t="n">
        <v>7</v>
      </c>
      <c r="C1239" s="0" t="n">
        <v>5308</v>
      </c>
      <c r="D1239" s="0" t="n">
        <v>296</v>
      </c>
      <c r="E1239" s="0" t="n">
        <v>1</v>
      </c>
      <c r="F1239" s="39" t="s">
        <v>818</v>
      </c>
      <c r="I1239" s="39" t="s">
        <v>114</v>
      </c>
      <c r="J1239" s="0" t="n">
        <v>73</v>
      </c>
      <c r="K1239" s="0" t="n">
        <v>73</v>
      </c>
      <c r="L1239" s="0" t="n">
        <v>273</v>
      </c>
      <c r="M1239" s="0" t="n">
        <v>513.64</v>
      </c>
      <c r="N1239" s="0" t="n">
        <v>39.23</v>
      </c>
      <c r="O1239" s="0" t="n">
        <v>19.5</v>
      </c>
      <c r="P1239" s="0" t="n">
        <v>3.69</v>
      </c>
      <c r="Q1239" s="0" t="n">
        <v>3.68</v>
      </c>
      <c r="R1239" s="0" t="n">
        <v>3844</v>
      </c>
      <c r="S1239" s="0" t="n">
        <v>8220</v>
      </c>
      <c r="T1239" s="0" t="n">
        <v>41.05</v>
      </c>
      <c r="U1239" s="0" t="n">
        <v>977</v>
      </c>
      <c r="V1239" s="0" t="n">
        <v>1</v>
      </c>
      <c r="W1239" s="39" t="n">
        <f aca="false">IF(I1239="Male",0,1)</f>
        <v>1</v>
      </c>
      <c r="X1239" s="39" t="n">
        <f aca="false">IF(OR(I1239="DNB",I1239="Dry DNB"),1,0)</f>
        <v>0</v>
      </c>
      <c r="Y1239" s="39" t="n">
        <f aca="false">MATCH(A1239,DATAS,0)</f>
        <v>1</v>
      </c>
      <c r="Z1239" s="39" t="n">
        <f aca="false">IF(AND(E1239&gt;0,OR(AND(B1239&gt;=1,B1239&lt;=6),B1239=10)),1,0)</f>
        <v>0</v>
      </c>
      <c r="AA1239" s="39" t="n">
        <f aca="false">IF(AND(E1239&gt;0,B1239=10),1,0)</f>
        <v>0</v>
      </c>
      <c r="AB1239" s="0" t="str">
        <f aca="false">IF(AND(C1238=C1239,Y1238=Y1239-1),Z1238,"")</f>
        <v/>
      </c>
      <c r="AC1239" s="0" t="str">
        <f aca="false">IF(AND(C1238=C1239,Y1238=Y1239-1),AA1238,"")</f>
        <v/>
      </c>
      <c r="AD1239" s="0" t="str">
        <f aca="false">IF(Y1239=1,"",IF(AND(Z1239=1,AB1239&lt;&gt;1),1,0))</f>
        <v/>
      </c>
      <c r="AE1239" s="0" t="str">
        <f aca="false">IF(Y1239=1,"",IF(AND(AA1239=1,AC1239&lt;&gt;1),1,0))</f>
        <v/>
      </c>
      <c r="AF1239" s="45" t="str">
        <f aca="false">IF(AND(E1239&gt;0,Y1239&lt;1,NOT(AND(C1240=C1239,Y1240=Y1239+1))),INDEX(DATAS,Y1239+1),"")</f>
        <v/>
      </c>
      <c r="AG1239" s="45" t="str">
        <f aca="false">IF(AND(AA1239=1,Y1239&lt;1),IF(AND(C1240=C1239,Y1240=Y1239+1),IF(AA1240=1,"",INDEX(DATAS,Y1239+1)),INDEX(DATAS,Y1239+1)),"")</f>
        <v/>
      </c>
    </row>
    <row r="1240" customFormat="false" ht="15" hidden="false" customHeight="false" outlineLevel="0" collapsed="false">
      <c r="A1240" s="45" t="n">
        <v>46309</v>
      </c>
      <c r="B1240" s="0" t="n">
        <v>4</v>
      </c>
      <c r="C1240" s="0" t="n">
        <v>5309</v>
      </c>
      <c r="D1240" s="0" t="n">
        <v>322</v>
      </c>
      <c r="E1240" s="0" t="n">
        <v>1</v>
      </c>
      <c r="F1240" s="39" t="s">
        <v>818</v>
      </c>
      <c r="G1240" s="0" t="n">
        <v>45.5</v>
      </c>
      <c r="H1240" s="0" t="n">
        <v>45</v>
      </c>
      <c r="I1240" s="39" t="s">
        <v>109</v>
      </c>
      <c r="J1240" s="0" t="n">
        <v>119</v>
      </c>
      <c r="K1240" s="0" t="n">
        <v>63</v>
      </c>
      <c r="L1240" s="0" t="n">
        <v>203</v>
      </c>
      <c r="M1240" s="0" t="n">
        <v>596.4</v>
      </c>
      <c r="N1240" s="0" t="n">
        <v>70.81</v>
      </c>
      <c r="O1240" s="0" t="n">
        <v>29.8</v>
      </c>
      <c r="P1240" s="0" t="n">
        <v>3.34</v>
      </c>
      <c r="Q1240" s="0" t="n">
        <v>3.68</v>
      </c>
      <c r="R1240" s="0" t="n">
        <v>4538</v>
      </c>
      <c r="S1240" s="0" t="n">
        <v>9594</v>
      </c>
      <c r="T1240" s="0" t="n">
        <v>44.5</v>
      </c>
      <c r="U1240" s="0" t="n">
        <v>977</v>
      </c>
      <c r="V1240" s="0" t="n">
        <v>3</v>
      </c>
      <c r="W1240" s="39" t="n">
        <f aca="false">IF(I1240="Male",0,1)</f>
        <v>1</v>
      </c>
      <c r="X1240" s="39" t="n">
        <f aca="false">IF(OR(I1240="DNB",I1240="Dry DNB"),1,0)</f>
        <v>0</v>
      </c>
      <c r="Y1240" s="39" t="n">
        <f aca="false">MATCH(A1240,DATAS,0)</f>
        <v>1</v>
      </c>
      <c r="Z1240" s="39" t="n">
        <f aca="false">IF(AND(E1240&gt;0,OR(AND(B1240&gt;=1,B1240&lt;=6),B1240=10)),1,0)</f>
        <v>1</v>
      </c>
      <c r="AA1240" s="39" t="n">
        <f aca="false">IF(AND(E1240&gt;0,B1240=10),1,0)</f>
        <v>0</v>
      </c>
      <c r="AB1240" s="0" t="str">
        <f aca="false">IF(AND(C1239=C1240,Y1239=Y1240-1),Z1239,"")</f>
        <v/>
      </c>
      <c r="AC1240" s="0" t="str">
        <f aca="false">IF(AND(C1239=C1240,Y1239=Y1240-1),AA1239,"")</f>
        <v/>
      </c>
      <c r="AD1240" s="0" t="str">
        <f aca="false">IF(Y1240=1,"",IF(AND(Z1240=1,AB1240&lt;&gt;1),1,0))</f>
        <v/>
      </c>
      <c r="AE1240" s="0" t="str">
        <f aca="false">IF(Y1240=1,"",IF(AND(AA1240=1,AC1240&lt;&gt;1),1,0))</f>
        <v/>
      </c>
      <c r="AF1240" s="45" t="str">
        <f aca="false">IF(AND(E1240&gt;0,Y1240&lt;1,NOT(AND(C1241=C1240,Y1241=Y1240+1))),INDEX(DATAS,Y1240+1),"")</f>
        <v/>
      </c>
      <c r="AG1240" s="45" t="str">
        <f aca="false">IF(AND(AA1240=1,Y1240&lt;1),IF(AND(C1241=C1240,Y1241=Y1240+1),IF(AA1241=1,"",INDEX(DATAS,Y1240+1)),INDEX(DATAS,Y1240+1)),"")</f>
        <v/>
      </c>
    </row>
    <row r="1241" customFormat="false" ht="15" hidden="false" customHeight="false" outlineLevel="0" collapsed="false">
      <c r="A1241" s="45" t="n">
        <v>46309</v>
      </c>
      <c r="B1241" s="0" t="n">
        <v>4</v>
      </c>
      <c r="C1241" s="0" t="n">
        <v>5310</v>
      </c>
      <c r="D1241" s="0" t="n">
        <v>273</v>
      </c>
      <c r="E1241" s="0" t="n">
        <v>1</v>
      </c>
      <c r="F1241" s="39" t="s">
        <v>818</v>
      </c>
      <c r="G1241" s="0" t="n">
        <v>34.4</v>
      </c>
      <c r="H1241" s="0" t="n">
        <v>48</v>
      </c>
      <c r="I1241" s="39" t="s">
        <v>109</v>
      </c>
      <c r="J1241" s="0" t="n">
        <v>129</v>
      </c>
      <c r="K1241" s="0" t="n">
        <v>63</v>
      </c>
      <c r="L1241" s="0" t="n">
        <v>144</v>
      </c>
      <c r="M1241" s="0" t="n">
        <v>1230.69</v>
      </c>
      <c r="N1241" s="0" t="n">
        <v>26.06</v>
      </c>
      <c r="O1241" s="0" t="n">
        <v>27.59</v>
      </c>
      <c r="P1241" s="0" t="n">
        <v>3.71</v>
      </c>
      <c r="Q1241" s="0" t="n">
        <v>3.31</v>
      </c>
      <c r="R1241" s="0" t="n">
        <v>4333</v>
      </c>
      <c r="S1241" s="0" t="n">
        <v>10150</v>
      </c>
      <c r="T1241" s="0" t="n">
        <v>47.4</v>
      </c>
      <c r="U1241" s="0" t="n">
        <v>977</v>
      </c>
      <c r="V1241" s="0" t="n">
        <v>3</v>
      </c>
      <c r="W1241" s="39" t="n">
        <f aca="false">IF(I1241="Male",0,1)</f>
        <v>1</v>
      </c>
      <c r="X1241" s="39" t="n">
        <f aca="false">IF(OR(I1241="DNB",I1241="Dry DNB"),1,0)</f>
        <v>0</v>
      </c>
      <c r="Y1241" s="39" t="n">
        <f aca="false">MATCH(A1241,DATAS,0)</f>
        <v>1</v>
      </c>
      <c r="Z1241" s="39" t="n">
        <f aca="false">IF(AND(E1241&gt;0,OR(AND(B1241&gt;=1,B1241&lt;=6),B1241=10)),1,0)</f>
        <v>1</v>
      </c>
      <c r="AA1241" s="39" t="n">
        <f aca="false">IF(AND(E1241&gt;0,B1241=10),1,0)</f>
        <v>0</v>
      </c>
      <c r="AB1241" s="0" t="str">
        <f aca="false">IF(AND(C1240=C1241,Y1240=Y1241-1),Z1240,"")</f>
        <v/>
      </c>
      <c r="AC1241" s="0" t="str">
        <f aca="false">IF(AND(C1240=C1241,Y1240=Y1241-1),AA1240,"")</f>
        <v/>
      </c>
      <c r="AD1241" s="0" t="str">
        <f aca="false">IF(Y1241=1,"",IF(AND(Z1241=1,AB1241&lt;&gt;1),1,0))</f>
        <v/>
      </c>
      <c r="AE1241" s="0" t="str">
        <f aca="false">IF(Y1241=1,"",IF(AND(AA1241=1,AC1241&lt;&gt;1),1,0))</f>
        <v/>
      </c>
      <c r="AF1241" s="45" t="str">
        <f aca="false">IF(AND(E1241&gt;0,Y1241&lt;1,NOT(AND(C1242=C1241,Y1242=Y1241+1))),INDEX(DATAS,Y1241+1),"")</f>
        <v/>
      </c>
      <c r="AG1241" s="45" t="str">
        <f aca="false">IF(AND(AA1241=1,Y1241&lt;1),IF(AND(C1242=C1241,Y1242=Y1241+1),IF(AA1242=1,"",INDEX(DATAS,Y1241+1)),INDEX(DATAS,Y1241+1)),"")</f>
        <v/>
      </c>
    </row>
    <row r="1242" customFormat="false" ht="15" hidden="false" customHeight="false" outlineLevel="0" collapsed="false">
      <c r="A1242" s="45" t="n">
        <v>46309</v>
      </c>
      <c r="B1242" s="0" t="n">
        <v>2</v>
      </c>
      <c r="C1242" s="0" t="n">
        <v>5311</v>
      </c>
      <c r="D1242" s="0" t="n">
        <v>15</v>
      </c>
      <c r="E1242" s="0" t="n">
        <v>2</v>
      </c>
      <c r="F1242" s="39" t="s">
        <v>818</v>
      </c>
      <c r="G1242" s="0" t="n">
        <v>47.4</v>
      </c>
      <c r="H1242" s="0" t="n">
        <v>43</v>
      </c>
      <c r="I1242" s="39" t="s">
        <v>118</v>
      </c>
      <c r="J1242" s="0" t="n">
        <v>15</v>
      </c>
      <c r="M1242" s="0" t="n">
        <v>313.66</v>
      </c>
      <c r="N1242" s="0" t="n">
        <v>34.25</v>
      </c>
      <c r="O1242" s="0" t="n">
        <v>24.05</v>
      </c>
      <c r="R1242" s="0" t="n">
        <v>3546</v>
      </c>
      <c r="S1242" s="0" t="n">
        <v>7127</v>
      </c>
      <c r="U1242" s="0" t="n">
        <v>977</v>
      </c>
      <c r="V1242" s="0" t="n">
        <v>0</v>
      </c>
      <c r="W1242" s="39" t="n">
        <f aca="false">IF(I1242="Male",0,1)</f>
        <v>1</v>
      </c>
      <c r="X1242" s="39" t="n">
        <f aca="false">IF(OR(I1242="DNB",I1242="Dry DNB"),1,0)</f>
        <v>0</v>
      </c>
      <c r="Y1242" s="39" t="n">
        <f aca="false">MATCH(A1242,DATAS,0)</f>
        <v>1</v>
      </c>
      <c r="Z1242" s="39" t="n">
        <f aca="false">IF(AND(E1242&gt;0,OR(AND(B1242&gt;=1,B1242&lt;=6),B1242=10)),1,0)</f>
        <v>1</v>
      </c>
      <c r="AA1242" s="39" t="n">
        <f aca="false">IF(AND(E1242&gt;0,B1242=10),1,0)</f>
        <v>0</v>
      </c>
      <c r="AB1242" s="0" t="str">
        <f aca="false">IF(AND(C1241=C1242,Y1241=Y1242-1),Z1241,"")</f>
        <v/>
      </c>
      <c r="AC1242" s="0" t="str">
        <f aca="false">IF(AND(C1241=C1242,Y1241=Y1242-1),AA1241,"")</f>
        <v/>
      </c>
      <c r="AD1242" s="0" t="str">
        <f aca="false">IF(Y1242=1,"",IF(AND(Z1242=1,AB1242&lt;&gt;1),1,0))</f>
        <v/>
      </c>
      <c r="AE1242" s="0" t="str">
        <f aca="false">IF(Y1242=1,"",IF(AND(AA1242=1,AC1242&lt;&gt;1),1,0))</f>
        <v/>
      </c>
      <c r="AF1242" s="45" t="str">
        <f aca="false">IF(AND(E1242&gt;0,Y1242&lt;1,NOT(AND(C1243=C1242,Y1243=Y1242+1))),INDEX(DATAS,Y1242+1),"")</f>
        <v/>
      </c>
      <c r="AG1242" s="45" t="str">
        <f aca="false">IF(AND(AA1242=1,Y1242&lt;1),IF(AND(C1243=C1242,Y1243=Y1242+1),IF(AA1243=1,"",INDEX(DATAS,Y1242+1)),INDEX(DATAS,Y1242+1)),"")</f>
        <v/>
      </c>
    </row>
    <row r="1243" customFormat="false" ht="15" hidden="false" customHeight="false" outlineLevel="0" collapsed="false">
      <c r="A1243" s="45" t="n">
        <v>46309</v>
      </c>
      <c r="B1243" s="0" t="n">
        <v>4</v>
      </c>
      <c r="C1243" s="0" t="n">
        <v>5312</v>
      </c>
      <c r="D1243" s="0" t="n">
        <v>294</v>
      </c>
      <c r="E1243" s="0" t="n">
        <v>1</v>
      </c>
      <c r="F1243" s="39" t="s">
        <v>820</v>
      </c>
      <c r="G1243" s="0" t="n">
        <v>45.3</v>
      </c>
      <c r="H1243" s="0" t="n">
        <v>44</v>
      </c>
      <c r="I1243" s="39" t="s">
        <v>109</v>
      </c>
      <c r="J1243" s="0" t="n">
        <v>213</v>
      </c>
      <c r="K1243" s="0" t="n">
        <v>63</v>
      </c>
      <c r="L1243" s="0" t="n">
        <v>81</v>
      </c>
      <c r="M1243" s="0" t="n">
        <v>1301.55</v>
      </c>
      <c r="N1243" s="0" t="n">
        <v>28.17</v>
      </c>
      <c r="O1243" s="0" t="n">
        <v>38.55</v>
      </c>
      <c r="P1243" s="0" t="n">
        <v>2.84</v>
      </c>
      <c r="Q1243" s="0" t="n">
        <v>3.73</v>
      </c>
      <c r="R1243" s="0" t="n">
        <v>4659</v>
      </c>
      <c r="S1243" s="0" t="n">
        <v>10144</v>
      </c>
      <c r="T1243" s="0" t="n">
        <v>49.8</v>
      </c>
      <c r="U1243" s="0" t="n">
        <v>976</v>
      </c>
      <c r="V1243" s="0" t="n">
        <v>6</v>
      </c>
      <c r="W1243" s="39" t="n">
        <f aca="false">IF(I1243="Male",0,1)</f>
        <v>1</v>
      </c>
      <c r="X1243" s="39" t="n">
        <f aca="false">IF(OR(I1243="DNB",I1243="Dry DNB"),1,0)</f>
        <v>0</v>
      </c>
      <c r="Y1243" s="39" t="n">
        <f aca="false">MATCH(A1243,DATAS,0)</f>
        <v>1</v>
      </c>
      <c r="Z1243" s="39" t="n">
        <f aca="false">IF(AND(E1243&gt;0,OR(AND(B1243&gt;=1,B1243&lt;=6),B1243=10)),1,0)</f>
        <v>1</v>
      </c>
      <c r="AA1243" s="39" t="n">
        <f aca="false">IF(AND(E1243&gt;0,B1243=10),1,0)</f>
        <v>0</v>
      </c>
      <c r="AB1243" s="0" t="str">
        <f aca="false">IF(AND(C1242=C1243,Y1242=Y1243-1),Z1242,"")</f>
        <v/>
      </c>
      <c r="AC1243" s="0" t="str">
        <f aca="false">IF(AND(C1242=C1243,Y1242=Y1243-1),AA1242,"")</f>
        <v/>
      </c>
      <c r="AD1243" s="0" t="str">
        <f aca="false">IF(Y1243=1,"",IF(AND(Z1243=1,AB1243&lt;&gt;1),1,0))</f>
        <v/>
      </c>
      <c r="AE1243" s="0" t="str">
        <f aca="false">IF(Y1243=1,"",IF(AND(AA1243=1,AC1243&lt;&gt;1),1,0))</f>
        <v/>
      </c>
      <c r="AF1243" s="45" t="str">
        <f aca="false">IF(AND(E1243&gt;0,Y1243&lt;1,NOT(AND(C1244=C1243,Y1244=Y1243+1))),INDEX(DATAS,Y1243+1),"")</f>
        <v/>
      </c>
      <c r="AG1243" s="45" t="str">
        <f aca="false">IF(AND(AA1243=1,Y1243&lt;1),IF(AND(C1244=C1243,Y1244=Y1243+1),IF(AA1244=1,"",INDEX(DATAS,Y1243+1)),INDEX(DATAS,Y1243+1)),"")</f>
        <v/>
      </c>
    </row>
    <row r="1244" customFormat="false" ht="15" hidden="false" customHeight="false" outlineLevel="0" collapsed="false">
      <c r="A1244" s="45" t="n">
        <v>46309</v>
      </c>
      <c r="B1244" s="0" t="n">
        <v>7</v>
      </c>
      <c r="C1244" s="0" t="n">
        <v>5313</v>
      </c>
      <c r="D1244" s="0" t="n">
        <v>347</v>
      </c>
      <c r="E1244" s="0" t="n">
        <v>1</v>
      </c>
      <c r="F1244" s="39" t="s">
        <v>821</v>
      </c>
      <c r="I1244" s="39" t="s">
        <v>114</v>
      </c>
      <c r="J1244" s="0" t="n">
        <v>124</v>
      </c>
      <c r="K1244" s="0" t="n">
        <v>69</v>
      </c>
      <c r="L1244" s="0" t="n">
        <v>238</v>
      </c>
      <c r="M1244" s="0" t="n">
        <v>151.6</v>
      </c>
      <c r="N1244" s="0" t="n">
        <v>57.28</v>
      </c>
      <c r="O1244" s="0" t="n">
        <v>19.64</v>
      </c>
      <c r="P1244" s="0" t="n">
        <v>3.4</v>
      </c>
      <c r="Q1244" s="0" t="n">
        <v>3.65</v>
      </c>
      <c r="R1244" s="0" t="n">
        <v>3804</v>
      </c>
      <c r="S1244" s="0" t="n">
        <v>8592</v>
      </c>
      <c r="T1244" s="0" t="n">
        <v>41.8</v>
      </c>
      <c r="U1244" s="0" t="n">
        <v>974</v>
      </c>
      <c r="V1244" s="0" t="n">
        <v>3</v>
      </c>
      <c r="W1244" s="39" t="n">
        <f aca="false">IF(I1244="Male",0,1)</f>
        <v>1</v>
      </c>
      <c r="X1244" s="39" t="n">
        <f aca="false">IF(OR(I1244="DNB",I1244="Dry DNB"),1,0)</f>
        <v>0</v>
      </c>
      <c r="Y1244" s="39" t="n">
        <f aca="false">MATCH(A1244,DATAS,0)</f>
        <v>1</v>
      </c>
      <c r="Z1244" s="39" t="n">
        <f aca="false">IF(AND(E1244&gt;0,OR(AND(B1244&gt;=1,B1244&lt;=6),B1244=10)),1,0)</f>
        <v>0</v>
      </c>
      <c r="AA1244" s="39" t="n">
        <f aca="false">IF(AND(E1244&gt;0,B1244=10),1,0)</f>
        <v>0</v>
      </c>
      <c r="AB1244" s="0" t="str">
        <f aca="false">IF(AND(C1243=C1244,Y1243=Y1244-1),Z1243,"")</f>
        <v/>
      </c>
      <c r="AC1244" s="0" t="str">
        <f aca="false">IF(AND(C1243=C1244,Y1243=Y1244-1),AA1243,"")</f>
        <v/>
      </c>
      <c r="AD1244" s="0" t="str">
        <f aca="false">IF(Y1244=1,"",IF(AND(Z1244=1,AB1244&lt;&gt;1),1,0))</f>
        <v/>
      </c>
      <c r="AE1244" s="0" t="str">
        <f aca="false">IF(Y1244=1,"",IF(AND(AA1244=1,AC1244&lt;&gt;1),1,0))</f>
        <v/>
      </c>
      <c r="AF1244" s="45" t="str">
        <f aca="false">IF(AND(E1244&gt;0,Y1244&lt;1,NOT(AND(C1245=C1244,Y1245=Y1244+1))),INDEX(DATAS,Y1244+1),"")</f>
        <v/>
      </c>
      <c r="AG1244" s="45" t="str">
        <f aca="false">IF(AND(AA1244=1,Y1244&lt;1),IF(AND(C1245=C1244,Y1245=Y1244+1),IF(AA1245=1,"",INDEX(DATAS,Y1244+1)),INDEX(DATAS,Y1244+1)),"")</f>
        <v/>
      </c>
    </row>
    <row r="1245" customFormat="false" ht="15" hidden="false" customHeight="false" outlineLevel="0" collapsed="false">
      <c r="A1245" s="45" t="n">
        <v>46309</v>
      </c>
      <c r="B1245" s="0" t="n">
        <v>4</v>
      </c>
      <c r="C1245" s="0" t="n">
        <v>5314</v>
      </c>
      <c r="D1245" s="0" t="n">
        <v>349</v>
      </c>
      <c r="E1245" s="0" t="n">
        <v>1</v>
      </c>
      <c r="F1245" s="39" t="s">
        <v>821</v>
      </c>
      <c r="G1245" s="0" t="n">
        <v>43.2</v>
      </c>
      <c r="H1245" s="0" t="n">
        <v>42</v>
      </c>
      <c r="I1245" s="39" t="s">
        <v>138</v>
      </c>
      <c r="J1245" s="0" t="n">
        <v>349</v>
      </c>
      <c r="K1245" s="0" t="n">
        <v>70</v>
      </c>
      <c r="M1245" s="0" t="n">
        <v>610.49</v>
      </c>
      <c r="N1245" s="0" t="n">
        <v>43.3</v>
      </c>
      <c r="O1245" s="0" t="n">
        <v>31.43</v>
      </c>
      <c r="P1245" s="0" t="n">
        <v>3.36</v>
      </c>
      <c r="Q1245" s="0" t="n">
        <v>3.65</v>
      </c>
      <c r="R1245" s="0" t="n">
        <v>4203</v>
      </c>
      <c r="S1245" s="0" t="n">
        <v>8910</v>
      </c>
      <c r="T1245" s="0" t="n">
        <v>46.35</v>
      </c>
      <c r="U1245" s="0" t="n">
        <v>974</v>
      </c>
      <c r="V1245" s="0" t="n">
        <v>3</v>
      </c>
      <c r="W1245" s="39" t="n">
        <f aca="false">IF(I1245="Male",0,1)</f>
        <v>1</v>
      </c>
      <c r="X1245" s="39" t="n">
        <f aca="false">IF(OR(I1245="DNB",I1245="Dry DNB"),1,0)</f>
        <v>0</v>
      </c>
      <c r="Y1245" s="39" t="n">
        <f aca="false">MATCH(A1245,DATAS,0)</f>
        <v>1</v>
      </c>
      <c r="Z1245" s="39" t="n">
        <f aca="false">IF(AND(E1245&gt;0,OR(AND(B1245&gt;=1,B1245&lt;=6),B1245=10)),1,0)</f>
        <v>1</v>
      </c>
      <c r="AA1245" s="39" t="n">
        <f aca="false">IF(AND(E1245&gt;0,B1245=10),1,0)</f>
        <v>0</v>
      </c>
      <c r="AB1245" s="0" t="str">
        <f aca="false">IF(AND(C1244=C1245,Y1244=Y1245-1),Z1244,"")</f>
        <v/>
      </c>
      <c r="AC1245" s="0" t="str">
        <f aca="false">IF(AND(C1244=C1245,Y1244=Y1245-1),AA1244,"")</f>
        <v/>
      </c>
      <c r="AD1245" s="0" t="str">
        <f aca="false">IF(Y1245=1,"",IF(AND(Z1245=1,AB1245&lt;&gt;1),1,0))</f>
        <v/>
      </c>
      <c r="AE1245" s="0" t="str">
        <f aca="false">IF(Y1245=1,"",IF(AND(AA1245=1,AC1245&lt;&gt;1),1,0))</f>
        <v/>
      </c>
      <c r="AF1245" s="45" t="str">
        <f aca="false">IF(AND(E1245&gt;0,Y1245&lt;1,NOT(AND(C1246=C1245,Y1246=Y1245+1))),INDEX(DATAS,Y1245+1),"")</f>
        <v/>
      </c>
      <c r="AG1245" s="45" t="str">
        <f aca="false">IF(AND(AA1245=1,Y1245&lt;1),IF(AND(C1246=C1245,Y1246=Y1245+1),IF(AA1246=1,"",INDEX(DATAS,Y1245+1)),INDEX(DATAS,Y1245+1)),"")</f>
        <v/>
      </c>
    </row>
    <row r="1246" customFormat="false" ht="15" hidden="false" customHeight="false" outlineLevel="0" collapsed="false">
      <c r="A1246" s="45" t="n">
        <v>46309</v>
      </c>
      <c r="B1246" s="0" t="n">
        <v>4</v>
      </c>
      <c r="C1246" s="0" t="n">
        <v>5315</v>
      </c>
      <c r="D1246" s="0" t="n">
        <v>329</v>
      </c>
      <c r="E1246" s="0" t="n">
        <v>1</v>
      </c>
      <c r="F1246" s="39" t="s">
        <v>821</v>
      </c>
      <c r="G1246" s="0" t="n">
        <v>42</v>
      </c>
      <c r="H1246" s="0" t="n">
        <v>44</v>
      </c>
      <c r="I1246" s="39" t="s">
        <v>109</v>
      </c>
      <c r="J1246" s="0" t="n">
        <v>134</v>
      </c>
      <c r="K1246" s="0" t="n">
        <v>63</v>
      </c>
      <c r="L1246" s="0" t="n">
        <v>195</v>
      </c>
      <c r="M1246" s="0" t="n">
        <v>1105.99</v>
      </c>
      <c r="N1246" s="0" t="n">
        <v>49.47</v>
      </c>
      <c r="O1246" s="0" t="n">
        <v>50.81</v>
      </c>
      <c r="P1246" s="0" t="n">
        <v>4.17</v>
      </c>
      <c r="Q1246" s="0" t="n">
        <v>3.67</v>
      </c>
      <c r="R1246" s="0" t="n">
        <v>4282</v>
      </c>
      <c r="S1246" s="0" t="n">
        <v>9522</v>
      </c>
      <c r="T1246" s="0" t="n">
        <v>44.55</v>
      </c>
      <c r="U1246" s="0" t="n">
        <v>974</v>
      </c>
      <c r="V1246" s="0" t="n">
        <v>3</v>
      </c>
      <c r="W1246" s="39" t="n">
        <f aca="false">IF(I1246="Male",0,1)</f>
        <v>1</v>
      </c>
      <c r="X1246" s="39" t="n">
        <f aca="false">IF(OR(I1246="DNB",I1246="Dry DNB"),1,0)</f>
        <v>0</v>
      </c>
      <c r="Y1246" s="39" t="n">
        <f aca="false">MATCH(A1246,DATAS,0)</f>
        <v>1</v>
      </c>
      <c r="Z1246" s="39" t="n">
        <f aca="false">IF(AND(E1246&gt;0,OR(AND(B1246&gt;=1,B1246&lt;=6),B1246=10)),1,0)</f>
        <v>1</v>
      </c>
      <c r="AA1246" s="39" t="n">
        <f aca="false">IF(AND(E1246&gt;0,B1246=10),1,0)</f>
        <v>0</v>
      </c>
      <c r="AB1246" s="0" t="str">
        <f aca="false">IF(AND(C1245=C1246,Y1245=Y1246-1),Z1245,"")</f>
        <v/>
      </c>
      <c r="AC1246" s="0" t="str">
        <f aca="false">IF(AND(C1245=C1246,Y1245=Y1246-1),AA1245,"")</f>
        <v/>
      </c>
      <c r="AD1246" s="0" t="str">
        <f aca="false">IF(Y1246=1,"",IF(AND(Z1246=1,AB1246&lt;&gt;1),1,0))</f>
        <v/>
      </c>
      <c r="AE1246" s="0" t="str">
        <f aca="false">IF(Y1246=1,"",IF(AND(AA1246=1,AC1246&lt;&gt;1),1,0))</f>
        <v/>
      </c>
      <c r="AF1246" s="45" t="str">
        <f aca="false">IF(AND(E1246&gt;0,Y1246&lt;1,NOT(AND(C1247=C1246,Y1247=Y1246+1))),INDEX(DATAS,Y1246+1),"")</f>
        <v/>
      </c>
      <c r="AG1246" s="45" t="str">
        <f aca="false">IF(AND(AA1246=1,Y1246&lt;1),IF(AND(C1247=C1246,Y1247=Y1246+1),IF(AA1247=1,"",INDEX(DATAS,Y1246+1)),INDEX(DATAS,Y1246+1)),"")</f>
        <v/>
      </c>
    </row>
    <row r="1247" customFormat="false" ht="15" hidden="false" customHeight="false" outlineLevel="0" collapsed="false">
      <c r="A1247" s="45" t="n">
        <v>46309</v>
      </c>
      <c r="B1247" s="0" t="n">
        <v>4</v>
      </c>
      <c r="C1247" s="0" t="n">
        <v>5316</v>
      </c>
      <c r="D1247" s="0" t="n">
        <v>321</v>
      </c>
      <c r="E1247" s="0" t="n">
        <v>1</v>
      </c>
      <c r="F1247" s="39" t="s">
        <v>821</v>
      </c>
      <c r="G1247" s="0" t="n">
        <v>23.2</v>
      </c>
      <c r="H1247" s="0" t="n">
        <v>23</v>
      </c>
      <c r="I1247" s="39" t="s">
        <v>109</v>
      </c>
      <c r="J1247" s="0" t="n">
        <v>153</v>
      </c>
      <c r="K1247" s="0" t="n">
        <v>76</v>
      </c>
      <c r="L1247" s="0" t="n">
        <v>168</v>
      </c>
      <c r="M1247" s="0" t="n">
        <v>89.61</v>
      </c>
      <c r="N1247" s="0" t="n">
        <v>42.13</v>
      </c>
      <c r="O1247" s="0" t="n">
        <v>19.03</v>
      </c>
      <c r="P1247" s="0" t="n">
        <v>3.75</v>
      </c>
      <c r="Q1247" s="0" t="n">
        <v>3.75</v>
      </c>
      <c r="R1247" s="0" t="n">
        <v>2302</v>
      </c>
      <c r="S1247" s="0" t="n">
        <v>4974</v>
      </c>
      <c r="T1247" s="0" t="n">
        <v>24.4</v>
      </c>
      <c r="U1247" s="0" t="n">
        <v>974</v>
      </c>
      <c r="V1247" s="0" t="n">
        <v>3</v>
      </c>
      <c r="W1247" s="39" t="n">
        <f aca="false">IF(I1247="Male",0,1)</f>
        <v>1</v>
      </c>
      <c r="X1247" s="39" t="n">
        <f aca="false">IF(OR(I1247="DNB",I1247="Dry DNB"),1,0)</f>
        <v>0</v>
      </c>
      <c r="Y1247" s="39" t="n">
        <f aca="false">MATCH(A1247,DATAS,0)</f>
        <v>1</v>
      </c>
      <c r="Z1247" s="39" t="n">
        <f aca="false">IF(AND(E1247&gt;0,OR(AND(B1247&gt;=1,B1247&lt;=6),B1247=10)),1,0)</f>
        <v>1</v>
      </c>
      <c r="AA1247" s="39" t="n">
        <f aca="false">IF(AND(E1247&gt;0,B1247=10),1,0)</f>
        <v>0</v>
      </c>
      <c r="AB1247" s="0" t="str">
        <f aca="false">IF(AND(C1246=C1247,Y1246=Y1247-1),Z1246,"")</f>
        <v/>
      </c>
      <c r="AC1247" s="0" t="str">
        <f aca="false">IF(AND(C1246=C1247,Y1246=Y1247-1),AA1246,"")</f>
        <v/>
      </c>
      <c r="AD1247" s="0" t="str">
        <f aca="false">IF(Y1247=1,"",IF(AND(Z1247=1,AB1247&lt;&gt;1),1,0))</f>
        <v/>
      </c>
      <c r="AE1247" s="0" t="str">
        <f aca="false">IF(Y1247=1,"",IF(AND(AA1247=1,AC1247&lt;&gt;1),1,0))</f>
        <v/>
      </c>
      <c r="AF1247" s="45" t="str">
        <f aca="false">IF(AND(E1247&gt;0,Y1247&lt;1,NOT(AND(C1248=C1247,Y1248=Y1247+1))),INDEX(DATAS,Y1247+1),"")</f>
        <v/>
      </c>
      <c r="AG1247" s="45" t="str">
        <f aca="false">IF(AND(AA1247=1,Y1247&lt;1),IF(AND(C1248=C1247,Y1248=Y1247+1),IF(AA1248=1,"",INDEX(DATAS,Y1247+1)),INDEX(DATAS,Y1247+1)),"")</f>
        <v/>
      </c>
    </row>
    <row r="1248" customFormat="false" ht="15" hidden="false" customHeight="false" outlineLevel="0" collapsed="false">
      <c r="A1248" s="45" t="n">
        <v>46309</v>
      </c>
      <c r="B1248" s="0" t="n">
        <v>7</v>
      </c>
      <c r="C1248" s="0" t="n">
        <v>5317</v>
      </c>
      <c r="D1248" s="0" t="n">
        <v>323</v>
      </c>
      <c r="E1248" s="0" t="n">
        <v>1</v>
      </c>
      <c r="F1248" s="39" t="s">
        <v>821</v>
      </c>
      <c r="G1248" s="0" t="n">
        <v>10.6</v>
      </c>
      <c r="H1248" s="0" t="n">
        <v>34</v>
      </c>
      <c r="I1248" s="39" t="s">
        <v>114</v>
      </c>
      <c r="J1248" s="0" t="n">
        <v>100</v>
      </c>
      <c r="K1248" s="0" t="n">
        <v>65</v>
      </c>
      <c r="L1248" s="0" t="n">
        <v>224</v>
      </c>
      <c r="M1248" s="0" t="n">
        <v>464.55</v>
      </c>
      <c r="N1248" s="0" t="n">
        <v>56.34</v>
      </c>
      <c r="O1248" s="0" t="n">
        <v>32.57</v>
      </c>
      <c r="P1248" s="0" t="n">
        <v>3.35</v>
      </c>
      <c r="Q1248" s="0" t="n">
        <v>3.83</v>
      </c>
      <c r="R1248" s="0" t="n">
        <v>3880</v>
      </c>
      <c r="S1248" s="0" t="n">
        <v>8497</v>
      </c>
      <c r="T1248" s="0" t="n">
        <v>43.85</v>
      </c>
      <c r="U1248" s="0" t="n">
        <v>974</v>
      </c>
      <c r="V1248" s="0" t="n">
        <v>2</v>
      </c>
      <c r="W1248" s="39" t="n">
        <f aca="false">IF(I1248="Male",0,1)</f>
        <v>1</v>
      </c>
      <c r="X1248" s="39" t="n">
        <f aca="false">IF(OR(I1248="DNB",I1248="Dry DNB"),1,0)</f>
        <v>0</v>
      </c>
      <c r="Y1248" s="39" t="n">
        <f aca="false">MATCH(A1248,DATAS,0)</f>
        <v>1</v>
      </c>
      <c r="Z1248" s="39" t="n">
        <f aca="false">IF(AND(E1248&gt;0,OR(AND(B1248&gt;=1,B1248&lt;=6),B1248=10)),1,0)</f>
        <v>0</v>
      </c>
      <c r="AA1248" s="39" t="n">
        <f aca="false">IF(AND(E1248&gt;0,B1248=10),1,0)</f>
        <v>0</v>
      </c>
      <c r="AB1248" s="0" t="str">
        <f aca="false">IF(AND(C1247=C1248,Y1247=Y1248-1),Z1247,"")</f>
        <v/>
      </c>
      <c r="AC1248" s="0" t="str">
        <f aca="false">IF(AND(C1247=C1248,Y1247=Y1248-1),AA1247,"")</f>
        <v/>
      </c>
      <c r="AD1248" s="0" t="str">
        <f aca="false">IF(Y1248=1,"",IF(AND(Z1248=1,AB1248&lt;&gt;1),1,0))</f>
        <v/>
      </c>
      <c r="AE1248" s="0" t="str">
        <f aca="false">IF(Y1248=1,"",IF(AND(AA1248=1,AC1248&lt;&gt;1),1,0))</f>
        <v/>
      </c>
      <c r="AF1248" s="45" t="str">
        <f aca="false">IF(AND(E1248&gt;0,Y1248&lt;1,NOT(AND(C1249=C1248,Y1249=Y1248+1))),INDEX(DATAS,Y1248+1),"")</f>
        <v/>
      </c>
      <c r="AG1248" s="45" t="str">
        <f aca="false">IF(AND(AA1248=1,Y1248&lt;1),IF(AND(C1249=C1248,Y1249=Y1248+1),IF(AA1249=1,"",INDEX(DATAS,Y1248+1)),INDEX(DATAS,Y1248+1)),"")</f>
        <v/>
      </c>
    </row>
    <row r="1249" customFormat="false" ht="15" hidden="false" customHeight="false" outlineLevel="0" collapsed="false">
      <c r="A1249" s="45" t="n">
        <v>46309</v>
      </c>
      <c r="B1249" s="0" t="n">
        <v>14</v>
      </c>
      <c r="C1249" s="0" t="n">
        <v>5318</v>
      </c>
      <c r="D1249" s="0" t="n">
        <v>288</v>
      </c>
      <c r="E1249" s="0" t="n">
        <v>1</v>
      </c>
      <c r="F1249" s="39" t="s">
        <v>822</v>
      </c>
      <c r="I1249" s="39" t="s">
        <v>114</v>
      </c>
      <c r="J1249" s="0" t="n">
        <v>65</v>
      </c>
      <c r="K1249" s="0" t="n">
        <v>65</v>
      </c>
      <c r="L1249" s="0" t="n">
        <v>273</v>
      </c>
      <c r="M1249" s="0" t="n">
        <v>772.52</v>
      </c>
      <c r="N1249" s="0" t="n">
        <v>51.03</v>
      </c>
      <c r="O1249" s="0" t="n">
        <v>40.78</v>
      </c>
      <c r="P1249" s="0" t="n">
        <v>5.22</v>
      </c>
      <c r="Q1249" s="0" t="n">
        <v>3.85</v>
      </c>
      <c r="R1249" s="0" t="n">
        <v>3517</v>
      </c>
      <c r="S1249" s="0" t="n">
        <v>7636</v>
      </c>
      <c r="T1249" s="0" t="n">
        <v>35.7</v>
      </c>
      <c r="U1249" s="0" t="n">
        <v>973</v>
      </c>
      <c r="V1249" s="0" t="n">
        <v>1</v>
      </c>
      <c r="W1249" s="39" t="n">
        <f aca="false">IF(I1249="Male",0,1)</f>
        <v>1</v>
      </c>
      <c r="X1249" s="39" t="n">
        <f aca="false">IF(OR(I1249="DNB",I1249="Dry DNB"),1,0)</f>
        <v>0</v>
      </c>
      <c r="Y1249" s="39" t="n">
        <f aca="false">MATCH(A1249,DATAS,0)</f>
        <v>1</v>
      </c>
      <c r="Z1249" s="39" t="n">
        <f aca="false">IF(AND(E1249&gt;0,OR(AND(B1249&gt;=1,B1249&lt;=6),B1249=10)),1,0)</f>
        <v>0</v>
      </c>
      <c r="AA1249" s="39" t="n">
        <f aca="false">IF(AND(E1249&gt;0,B1249=10),1,0)</f>
        <v>0</v>
      </c>
      <c r="AB1249" s="0" t="str">
        <f aca="false">IF(AND(C1248=C1249,Y1248=Y1249-1),Z1248,"")</f>
        <v/>
      </c>
      <c r="AC1249" s="0" t="str">
        <f aca="false">IF(AND(C1248=C1249,Y1248=Y1249-1),AA1248,"")</f>
        <v/>
      </c>
      <c r="AD1249" s="0" t="str">
        <f aca="false">IF(Y1249=1,"",IF(AND(Z1249=1,AB1249&lt;&gt;1),1,0))</f>
        <v/>
      </c>
      <c r="AE1249" s="0" t="str">
        <f aca="false">IF(Y1249=1,"",IF(AND(AA1249=1,AC1249&lt;&gt;1),1,0))</f>
        <v/>
      </c>
      <c r="AF1249" s="45" t="str">
        <f aca="false">IF(AND(E1249&gt;0,Y1249&lt;1,NOT(AND(C1250=C1249,Y1250=Y1249+1))),INDEX(DATAS,Y1249+1),"")</f>
        <v/>
      </c>
      <c r="AG1249" s="45" t="str">
        <f aca="false">IF(AND(AA1249=1,Y1249&lt;1),IF(AND(C1250=C1249,Y1250=Y1249+1),IF(AA1250=1,"",INDEX(DATAS,Y1249+1)),INDEX(DATAS,Y1249+1)),"")</f>
        <v/>
      </c>
    </row>
    <row r="1250" customFormat="false" ht="15" hidden="false" customHeight="false" outlineLevel="0" collapsed="false">
      <c r="A1250" s="45" t="n">
        <v>46309</v>
      </c>
      <c r="B1250" s="0" t="n">
        <v>5</v>
      </c>
      <c r="C1250" s="0" t="n">
        <v>5319</v>
      </c>
      <c r="D1250" s="0" t="n">
        <v>274</v>
      </c>
      <c r="E1250" s="0" t="n">
        <v>1</v>
      </c>
      <c r="F1250" s="39" t="s">
        <v>822</v>
      </c>
      <c r="G1250" s="0" t="n">
        <v>34</v>
      </c>
      <c r="H1250" s="0" t="n">
        <v>34</v>
      </c>
      <c r="I1250" s="39" t="s">
        <v>109</v>
      </c>
      <c r="J1250" s="0" t="n">
        <v>106</v>
      </c>
      <c r="K1250" s="0" t="n">
        <v>64</v>
      </c>
      <c r="L1250" s="0" t="n">
        <v>168</v>
      </c>
      <c r="M1250" s="0" t="n">
        <v>341.77</v>
      </c>
      <c r="N1250" s="0" t="n">
        <v>63.33</v>
      </c>
      <c r="O1250" s="0" t="n">
        <v>28.72</v>
      </c>
      <c r="P1250" s="0" t="n">
        <v>4.04</v>
      </c>
      <c r="Q1250" s="0" t="n">
        <v>3.82</v>
      </c>
      <c r="R1250" s="0" t="n">
        <v>4452</v>
      </c>
      <c r="S1250" s="0" t="n">
        <v>9203</v>
      </c>
      <c r="T1250" s="0" t="n">
        <v>40.95</v>
      </c>
      <c r="U1250" s="0" t="n">
        <v>973</v>
      </c>
      <c r="V1250" s="0" t="n">
        <v>2</v>
      </c>
      <c r="W1250" s="39" t="n">
        <f aca="false">IF(I1250="Male",0,1)</f>
        <v>1</v>
      </c>
      <c r="X1250" s="39" t="n">
        <f aca="false">IF(OR(I1250="DNB",I1250="Dry DNB"),1,0)</f>
        <v>0</v>
      </c>
      <c r="Y1250" s="39" t="n">
        <f aca="false">MATCH(A1250,DATAS,0)</f>
        <v>1</v>
      </c>
      <c r="Z1250" s="39" t="n">
        <f aca="false">IF(AND(E1250&gt;0,OR(AND(B1250&gt;=1,B1250&lt;=6),B1250=10)),1,0)</f>
        <v>1</v>
      </c>
      <c r="AA1250" s="39" t="n">
        <f aca="false">IF(AND(E1250&gt;0,B1250=10),1,0)</f>
        <v>0</v>
      </c>
      <c r="AB1250" s="0" t="str">
        <f aca="false">IF(AND(C1249=C1250,Y1249=Y1250-1),Z1249,"")</f>
        <v/>
      </c>
      <c r="AC1250" s="0" t="str">
        <f aca="false">IF(AND(C1249=C1250,Y1249=Y1250-1),AA1249,"")</f>
        <v/>
      </c>
      <c r="AD1250" s="0" t="str">
        <f aca="false">IF(Y1250=1,"",IF(AND(Z1250=1,AB1250&lt;&gt;1),1,0))</f>
        <v/>
      </c>
      <c r="AE1250" s="0" t="str">
        <f aca="false">IF(Y1250=1,"",IF(AND(AA1250=1,AC1250&lt;&gt;1),1,0))</f>
        <v/>
      </c>
      <c r="AF1250" s="45" t="str">
        <f aca="false">IF(AND(E1250&gt;0,Y1250&lt;1,NOT(AND(C1251=C1250,Y1251=Y1250+1))),INDEX(DATAS,Y1250+1),"")</f>
        <v/>
      </c>
      <c r="AG1250" s="45" t="str">
        <f aca="false">IF(AND(AA1250=1,Y1250&lt;1),IF(AND(C1251=C1250,Y1251=Y1250+1),IF(AA1251=1,"",INDEX(DATAS,Y1250+1)),INDEX(DATAS,Y1250+1)),"")</f>
        <v/>
      </c>
    </row>
    <row r="1251" customFormat="false" ht="15" hidden="false" customHeight="false" outlineLevel="0" collapsed="false">
      <c r="A1251" s="45" t="n">
        <v>46309</v>
      </c>
      <c r="B1251" s="0" t="n">
        <v>7</v>
      </c>
      <c r="C1251" s="0" t="n">
        <v>5320</v>
      </c>
      <c r="D1251" s="0" t="n">
        <v>332</v>
      </c>
      <c r="E1251" s="0" t="n">
        <v>1</v>
      </c>
      <c r="F1251" s="39" t="s">
        <v>822</v>
      </c>
      <c r="I1251" s="39" t="s">
        <v>114</v>
      </c>
      <c r="J1251" s="0" t="n">
        <v>110</v>
      </c>
      <c r="K1251" s="0" t="n">
        <v>75</v>
      </c>
      <c r="L1251" s="0" t="n">
        <v>238</v>
      </c>
      <c r="M1251" s="0" t="n">
        <v>574.48</v>
      </c>
      <c r="N1251" s="0" t="n">
        <v>16.61</v>
      </c>
      <c r="O1251" s="0" t="n">
        <v>33</v>
      </c>
      <c r="P1251" s="0" t="n">
        <v>3.47</v>
      </c>
      <c r="Q1251" s="0" t="n">
        <v>3.79</v>
      </c>
      <c r="R1251" s="0" t="n">
        <v>4216</v>
      </c>
      <c r="S1251" s="0" t="n">
        <v>9650</v>
      </c>
      <c r="T1251" s="0" t="n">
        <v>46.5</v>
      </c>
      <c r="U1251" s="0" t="n">
        <v>973</v>
      </c>
      <c r="V1251" s="0" t="n">
        <v>2</v>
      </c>
      <c r="W1251" s="39" t="n">
        <f aca="false">IF(I1251="Male",0,1)</f>
        <v>1</v>
      </c>
      <c r="X1251" s="39" t="n">
        <f aca="false">IF(OR(I1251="DNB",I1251="Dry DNB"),1,0)</f>
        <v>0</v>
      </c>
      <c r="Y1251" s="39" t="n">
        <f aca="false">MATCH(A1251,DATAS,0)</f>
        <v>1</v>
      </c>
      <c r="Z1251" s="39" t="n">
        <f aca="false">IF(AND(E1251&gt;0,OR(AND(B1251&gt;=1,B1251&lt;=6),B1251=10)),1,0)</f>
        <v>0</v>
      </c>
      <c r="AA1251" s="39" t="n">
        <f aca="false">IF(AND(E1251&gt;0,B1251=10),1,0)</f>
        <v>0</v>
      </c>
      <c r="AB1251" s="0" t="str">
        <f aca="false">IF(AND(C1250=C1251,Y1250=Y1251-1),Z1250,"")</f>
        <v/>
      </c>
      <c r="AC1251" s="0" t="str">
        <f aca="false">IF(AND(C1250=C1251,Y1250=Y1251-1),AA1250,"")</f>
        <v/>
      </c>
      <c r="AD1251" s="0" t="str">
        <f aca="false">IF(Y1251=1,"",IF(AND(Z1251=1,AB1251&lt;&gt;1),1,0))</f>
        <v/>
      </c>
      <c r="AE1251" s="0" t="str">
        <f aca="false">IF(Y1251=1,"",IF(AND(AA1251=1,AC1251&lt;&gt;1),1,0))</f>
        <v/>
      </c>
      <c r="AF1251" s="45" t="str">
        <f aca="false">IF(AND(E1251&gt;0,Y1251&lt;1,NOT(AND(C1252=C1251,Y1252=Y1251+1))),INDEX(DATAS,Y1251+1),"")</f>
        <v/>
      </c>
      <c r="AG1251" s="45" t="str">
        <f aca="false">IF(AND(AA1251=1,Y1251&lt;1),IF(AND(C1252=C1251,Y1252=Y1251+1),IF(AA1252=1,"",INDEX(DATAS,Y1251+1)),INDEX(DATAS,Y1251+1)),"")</f>
        <v/>
      </c>
    </row>
    <row r="1252" customFormat="false" ht="15" hidden="false" customHeight="false" outlineLevel="0" collapsed="false">
      <c r="A1252" s="45" t="n">
        <v>46309</v>
      </c>
      <c r="B1252" s="0" t="n">
        <v>4</v>
      </c>
      <c r="C1252" s="0" t="n">
        <v>5321</v>
      </c>
      <c r="D1252" s="0" t="n">
        <v>313</v>
      </c>
      <c r="E1252" s="0" t="n">
        <v>1</v>
      </c>
      <c r="F1252" s="39" t="s">
        <v>822</v>
      </c>
      <c r="G1252" s="0" t="n">
        <v>47.2</v>
      </c>
      <c r="H1252" s="0" t="n">
        <v>46</v>
      </c>
      <c r="I1252" s="39" t="s">
        <v>109</v>
      </c>
      <c r="J1252" s="0" t="n">
        <v>131</v>
      </c>
      <c r="K1252" s="0" t="n">
        <v>68</v>
      </c>
      <c r="L1252" s="0" t="n">
        <v>182</v>
      </c>
      <c r="M1252" s="0" t="n">
        <v>1216.91</v>
      </c>
      <c r="N1252" s="0" t="n">
        <v>43.15</v>
      </c>
      <c r="O1252" s="0" t="n">
        <v>36.23</v>
      </c>
      <c r="P1252" s="0" t="n">
        <v>3.53</v>
      </c>
      <c r="Q1252" s="0" t="n">
        <v>3.68</v>
      </c>
      <c r="R1252" s="0" t="n">
        <v>5352</v>
      </c>
      <c r="S1252" s="0" t="n">
        <v>11063</v>
      </c>
      <c r="T1252" s="0" t="n">
        <v>61.25</v>
      </c>
      <c r="U1252" s="0" t="n">
        <v>973</v>
      </c>
      <c r="V1252" s="0" t="n">
        <v>4</v>
      </c>
      <c r="W1252" s="39" t="n">
        <f aca="false">IF(I1252="Male",0,1)</f>
        <v>1</v>
      </c>
      <c r="X1252" s="39" t="n">
        <f aca="false">IF(OR(I1252="DNB",I1252="Dry DNB"),1,0)</f>
        <v>0</v>
      </c>
      <c r="Y1252" s="39" t="n">
        <f aca="false">MATCH(A1252,DATAS,0)</f>
        <v>1</v>
      </c>
      <c r="Z1252" s="39" t="n">
        <f aca="false">IF(AND(E1252&gt;0,OR(AND(B1252&gt;=1,B1252&lt;=6),B1252=10)),1,0)</f>
        <v>1</v>
      </c>
      <c r="AA1252" s="39" t="n">
        <f aca="false">IF(AND(E1252&gt;0,B1252=10),1,0)</f>
        <v>0</v>
      </c>
      <c r="AB1252" s="0" t="str">
        <f aca="false">IF(AND(C1251=C1252,Y1251=Y1252-1),Z1251,"")</f>
        <v/>
      </c>
      <c r="AC1252" s="0" t="str">
        <f aca="false">IF(AND(C1251=C1252,Y1251=Y1252-1),AA1251,"")</f>
        <v/>
      </c>
      <c r="AD1252" s="0" t="str">
        <f aca="false">IF(Y1252=1,"",IF(AND(Z1252=1,AB1252&lt;&gt;1),1,0))</f>
        <v/>
      </c>
      <c r="AE1252" s="0" t="str">
        <f aca="false">IF(Y1252=1,"",IF(AND(AA1252=1,AC1252&lt;&gt;1),1,0))</f>
        <v/>
      </c>
      <c r="AF1252" s="45" t="str">
        <f aca="false">IF(AND(E1252&gt;0,Y1252&lt;1,NOT(AND(C1253=C1252,Y1253=Y1252+1))),INDEX(DATAS,Y1252+1),"")</f>
        <v/>
      </c>
      <c r="AG1252" s="45" t="str">
        <f aca="false">IF(AND(AA1252=1,Y1252&lt;1),IF(AND(C1253=C1252,Y1253=Y1252+1),IF(AA1253=1,"",INDEX(DATAS,Y1252+1)),INDEX(DATAS,Y1252+1)),"")</f>
        <v/>
      </c>
    </row>
    <row r="1253" customFormat="false" ht="15" hidden="false" customHeight="false" outlineLevel="0" collapsed="false">
      <c r="A1253" s="45" t="n">
        <v>46309</v>
      </c>
      <c r="B1253" s="0" t="n">
        <v>4</v>
      </c>
      <c r="C1253" s="0" t="n">
        <v>5323</v>
      </c>
      <c r="D1253" s="0" t="n">
        <v>246</v>
      </c>
      <c r="E1253" s="0" t="n">
        <v>1</v>
      </c>
      <c r="F1253" s="39" t="s">
        <v>822</v>
      </c>
      <c r="G1253" s="0" t="n">
        <v>59.2</v>
      </c>
      <c r="H1253" s="0" t="n">
        <v>56</v>
      </c>
      <c r="I1253" s="39" t="s">
        <v>109</v>
      </c>
      <c r="J1253" s="0" t="n">
        <v>64</v>
      </c>
      <c r="K1253" s="0" t="n">
        <v>64</v>
      </c>
      <c r="L1253" s="0" t="n">
        <v>182</v>
      </c>
      <c r="M1253" s="0" t="n">
        <v>936.49</v>
      </c>
      <c r="N1253" s="0" t="n">
        <v>51.68</v>
      </c>
      <c r="O1253" s="0" t="n">
        <v>35.16</v>
      </c>
      <c r="P1253" s="0" t="n">
        <v>3.3</v>
      </c>
      <c r="Q1253" s="0" t="n">
        <v>3.38</v>
      </c>
      <c r="R1253" s="0" t="n">
        <v>5053</v>
      </c>
      <c r="S1253" s="0" t="n">
        <v>11305</v>
      </c>
      <c r="T1253" s="0" t="n">
        <v>52.7</v>
      </c>
      <c r="U1253" s="0" t="n">
        <v>973</v>
      </c>
      <c r="V1253" s="0" t="n">
        <v>1</v>
      </c>
      <c r="W1253" s="39" t="n">
        <f aca="false">IF(I1253="Male",0,1)</f>
        <v>1</v>
      </c>
      <c r="X1253" s="39" t="n">
        <f aca="false">IF(OR(I1253="DNB",I1253="Dry DNB"),1,0)</f>
        <v>0</v>
      </c>
      <c r="Y1253" s="39" t="n">
        <f aca="false">MATCH(A1253,DATAS,0)</f>
        <v>1</v>
      </c>
      <c r="Z1253" s="39" t="n">
        <f aca="false">IF(AND(E1253&gt;0,OR(AND(B1253&gt;=1,B1253&lt;=6),B1253=10)),1,0)</f>
        <v>1</v>
      </c>
      <c r="AA1253" s="39" t="n">
        <f aca="false">IF(AND(E1253&gt;0,B1253=10),1,0)</f>
        <v>0</v>
      </c>
      <c r="AB1253" s="0" t="str">
        <f aca="false">IF(AND(C1252=C1253,Y1252=Y1253-1),Z1252,"")</f>
        <v/>
      </c>
      <c r="AC1253" s="0" t="str">
        <f aca="false">IF(AND(C1252=C1253,Y1252=Y1253-1),AA1252,"")</f>
        <v/>
      </c>
      <c r="AD1253" s="0" t="str">
        <f aca="false">IF(Y1253=1,"",IF(AND(Z1253=1,AB1253&lt;&gt;1),1,0))</f>
        <v/>
      </c>
      <c r="AE1253" s="0" t="str">
        <f aca="false">IF(Y1253=1,"",IF(AND(AA1253=1,AC1253&lt;&gt;1),1,0))</f>
        <v/>
      </c>
      <c r="AF1253" s="45" t="str">
        <f aca="false">IF(AND(E1253&gt;0,Y1253&lt;1,NOT(AND(C1254=C1253,Y1254=Y1253+1))),INDEX(DATAS,Y1253+1),"")</f>
        <v/>
      </c>
      <c r="AG1253" s="45" t="str">
        <f aca="false">IF(AND(AA1253=1,Y1253&lt;1),IF(AND(C1254=C1253,Y1254=Y1253+1),IF(AA1254=1,"",INDEX(DATAS,Y1253+1)),INDEX(DATAS,Y1253+1)),"")</f>
        <v/>
      </c>
    </row>
    <row r="1254" customFormat="false" ht="15" hidden="false" customHeight="false" outlineLevel="0" collapsed="false">
      <c r="A1254" s="45" t="n">
        <v>46309</v>
      </c>
      <c r="B1254" s="0" t="n">
        <v>5</v>
      </c>
      <c r="C1254" s="0" t="n">
        <v>5324</v>
      </c>
      <c r="D1254" s="0" t="n">
        <v>326</v>
      </c>
      <c r="E1254" s="0" t="n">
        <v>1</v>
      </c>
      <c r="F1254" s="39" t="s">
        <v>823</v>
      </c>
      <c r="G1254" s="0" t="n">
        <v>48.4</v>
      </c>
      <c r="H1254" s="0" t="n">
        <v>45</v>
      </c>
      <c r="I1254" s="39" t="s">
        <v>109</v>
      </c>
      <c r="J1254" s="0" t="n">
        <v>242</v>
      </c>
      <c r="K1254" s="0" t="n">
        <v>67</v>
      </c>
      <c r="L1254" s="0" t="n">
        <v>84</v>
      </c>
      <c r="M1254" s="0" t="n">
        <v>808.3</v>
      </c>
      <c r="N1254" s="0" t="n">
        <v>45.05</v>
      </c>
      <c r="O1254" s="0" t="n">
        <v>23.33</v>
      </c>
      <c r="P1254" s="0" t="n">
        <v>3.93</v>
      </c>
      <c r="Q1254" s="0" t="n">
        <v>3.44</v>
      </c>
      <c r="R1254" s="0" t="n">
        <v>4568</v>
      </c>
      <c r="S1254" s="0" t="n">
        <v>10114</v>
      </c>
      <c r="T1254" s="0" t="n">
        <v>50.9</v>
      </c>
      <c r="U1254" s="0" t="n">
        <v>972</v>
      </c>
      <c r="V1254" s="0" t="n">
        <v>6</v>
      </c>
      <c r="W1254" s="39" t="n">
        <f aca="false">IF(I1254="Male",0,1)</f>
        <v>1</v>
      </c>
      <c r="X1254" s="39" t="n">
        <f aca="false">IF(OR(I1254="DNB",I1254="Dry DNB"),1,0)</f>
        <v>0</v>
      </c>
      <c r="Y1254" s="39" t="n">
        <f aca="false">MATCH(A1254,DATAS,0)</f>
        <v>1</v>
      </c>
      <c r="Z1254" s="39" t="n">
        <f aca="false">IF(AND(E1254&gt;0,OR(AND(B1254&gt;=1,B1254&lt;=6),B1254=10)),1,0)</f>
        <v>1</v>
      </c>
      <c r="AA1254" s="39" t="n">
        <f aca="false">IF(AND(E1254&gt;0,B1254=10),1,0)</f>
        <v>0</v>
      </c>
      <c r="AB1254" s="0" t="str">
        <f aca="false">IF(AND(C1253=C1254,Y1253=Y1254-1),Z1253,"")</f>
        <v/>
      </c>
      <c r="AC1254" s="0" t="str">
        <f aca="false">IF(AND(C1253=C1254,Y1253=Y1254-1),AA1253,"")</f>
        <v/>
      </c>
      <c r="AD1254" s="0" t="str">
        <f aca="false">IF(Y1254=1,"",IF(AND(Z1254=1,AB1254&lt;&gt;1),1,0))</f>
        <v/>
      </c>
      <c r="AE1254" s="0" t="str">
        <f aca="false">IF(Y1254=1,"",IF(AND(AA1254=1,AC1254&lt;&gt;1),1,0))</f>
        <v/>
      </c>
      <c r="AF1254" s="45" t="str">
        <f aca="false">IF(AND(E1254&gt;0,Y1254&lt;1,NOT(AND(C1255=C1254,Y1255=Y1254+1))),INDEX(DATAS,Y1254+1),"")</f>
        <v/>
      </c>
      <c r="AG1254" s="45" t="str">
        <f aca="false">IF(AND(AA1254=1,Y1254&lt;1),IF(AND(C1255=C1254,Y1255=Y1254+1),IF(AA1255=1,"",INDEX(DATAS,Y1254+1)),INDEX(DATAS,Y1254+1)),"")</f>
        <v/>
      </c>
    </row>
    <row r="1255" customFormat="false" ht="15" hidden="false" customHeight="false" outlineLevel="0" collapsed="false">
      <c r="A1255" s="45" t="n">
        <v>46309</v>
      </c>
      <c r="B1255" s="0" t="n">
        <v>4</v>
      </c>
      <c r="C1255" s="0" t="n">
        <v>5327</v>
      </c>
      <c r="D1255" s="0" t="n">
        <v>325</v>
      </c>
      <c r="E1255" s="0" t="n">
        <v>1</v>
      </c>
      <c r="F1255" s="39" t="s">
        <v>820</v>
      </c>
      <c r="G1255" s="0" t="n">
        <v>39.6</v>
      </c>
      <c r="H1255" s="0" t="n">
        <v>39</v>
      </c>
      <c r="I1255" s="39" t="s">
        <v>109</v>
      </c>
      <c r="J1255" s="0" t="n">
        <v>199</v>
      </c>
      <c r="K1255" s="0" t="n">
        <v>66</v>
      </c>
      <c r="L1255" s="0" t="n">
        <v>126</v>
      </c>
      <c r="P1255" s="0" t="n">
        <v>3.75</v>
      </c>
      <c r="Q1255" s="0" t="n">
        <v>3.76</v>
      </c>
      <c r="R1255" s="0" t="n">
        <v>3169</v>
      </c>
      <c r="S1255" s="0" t="n">
        <v>6653</v>
      </c>
      <c r="T1255" s="0" t="n">
        <v>36.55</v>
      </c>
      <c r="U1255" s="0" t="n">
        <v>976</v>
      </c>
      <c r="V1255" s="0" t="n">
        <v>5</v>
      </c>
      <c r="W1255" s="39" t="n">
        <f aca="false">IF(I1255="Male",0,1)</f>
        <v>1</v>
      </c>
      <c r="X1255" s="39" t="n">
        <f aca="false">IF(OR(I1255="DNB",I1255="Dry DNB"),1,0)</f>
        <v>0</v>
      </c>
      <c r="Y1255" s="39" t="n">
        <f aca="false">MATCH(A1255,DATAS,0)</f>
        <v>1</v>
      </c>
      <c r="Z1255" s="39" t="n">
        <f aca="false">IF(AND(E1255&gt;0,OR(AND(B1255&gt;=1,B1255&lt;=6),B1255=10)),1,0)</f>
        <v>1</v>
      </c>
      <c r="AA1255" s="39" t="n">
        <f aca="false">IF(AND(E1255&gt;0,B1255=10),1,0)</f>
        <v>0</v>
      </c>
      <c r="AB1255" s="0" t="str">
        <f aca="false">IF(AND(C1254=C1255,Y1254=Y1255-1),Z1254,"")</f>
        <v/>
      </c>
      <c r="AC1255" s="0" t="str">
        <f aca="false">IF(AND(C1254=C1255,Y1254=Y1255-1),AA1254,"")</f>
        <v/>
      </c>
      <c r="AD1255" s="0" t="str">
        <f aca="false">IF(Y1255=1,"",IF(AND(Z1255=1,AB1255&lt;&gt;1),1,0))</f>
        <v/>
      </c>
      <c r="AE1255" s="0" t="str">
        <f aca="false">IF(Y1255=1,"",IF(AND(AA1255=1,AC1255&lt;&gt;1),1,0))</f>
        <v/>
      </c>
      <c r="AF1255" s="45" t="str">
        <f aca="false">IF(AND(E1255&gt;0,Y1255&lt;1,NOT(AND(C1256=C1255,Y1256=Y1255+1))),INDEX(DATAS,Y1255+1),"")</f>
        <v/>
      </c>
      <c r="AG1255" s="45" t="str">
        <f aca="false">IF(AND(AA1255=1,Y1255&lt;1),IF(AND(C1256=C1255,Y1256=Y1255+1),IF(AA1256=1,"",INDEX(DATAS,Y1255+1)),INDEX(DATAS,Y1255+1)),"")</f>
        <v/>
      </c>
    </row>
    <row r="1256" customFormat="false" ht="15" hidden="false" customHeight="false" outlineLevel="0" collapsed="false">
      <c r="A1256" s="45" t="n">
        <v>46309</v>
      </c>
      <c r="B1256" s="0" t="n">
        <v>4</v>
      </c>
      <c r="C1256" s="0" t="n">
        <v>5328</v>
      </c>
      <c r="D1256" s="0" t="n">
        <v>252</v>
      </c>
      <c r="E1256" s="0" t="n">
        <v>1</v>
      </c>
      <c r="F1256" s="39" t="s">
        <v>823</v>
      </c>
      <c r="G1256" s="0" t="n">
        <v>51.1</v>
      </c>
      <c r="H1256" s="0" t="n">
        <v>53</v>
      </c>
      <c r="I1256" s="39" t="s">
        <v>109</v>
      </c>
      <c r="J1256" s="0" t="n">
        <v>126</v>
      </c>
      <c r="K1256" s="0" t="n">
        <v>63</v>
      </c>
      <c r="L1256" s="0" t="n">
        <v>126</v>
      </c>
      <c r="M1256" s="0" t="n">
        <v>793.51</v>
      </c>
      <c r="N1256" s="0" t="n">
        <v>67.01</v>
      </c>
      <c r="O1256" s="0" t="n">
        <v>41.88</v>
      </c>
      <c r="P1256" s="0" t="n">
        <v>3.64</v>
      </c>
      <c r="Q1256" s="0" t="n">
        <v>3.59</v>
      </c>
      <c r="R1256" s="0" t="n">
        <v>4651</v>
      </c>
      <c r="S1256" s="0" t="n">
        <v>9776</v>
      </c>
      <c r="T1256" s="0" t="n">
        <v>49.4</v>
      </c>
      <c r="U1256" s="0" t="n">
        <v>972</v>
      </c>
      <c r="V1256" s="0" t="n">
        <v>4</v>
      </c>
      <c r="W1256" s="39" t="n">
        <f aca="false">IF(I1256="Male",0,1)</f>
        <v>1</v>
      </c>
      <c r="X1256" s="39" t="n">
        <f aca="false">IF(OR(I1256="DNB",I1256="Dry DNB"),1,0)</f>
        <v>0</v>
      </c>
      <c r="Y1256" s="39" t="n">
        <f aca="false">MATCH(A1256,DATAS,0)</f>
        <v>1</v>
      </c>
      <c r="Z1256" s="39" t="n">
        <f aca="false">IF(AND(E1256&gt;0,OR(AND(B1256&gt;=1,B1256&lt;=6),B1256=10)),1,0)</f>
        <v>1</v>
      </c>
      <c r="AA1256" s="39" t="n">
        <f aca="false">IF(AND(E1256&gt;0,B1256=10),1,0)</f>
        <v>0</v>
      </c>
      <c r="AB1256" s="0" t="str">
        <f aca="false">IF(AND(C1255=C1256,Y1255=Y1256-1),Z1255,"")</f>
        <v/>
      </c>
      <c r="AC1256" s="0" t="str">
        <f aca="false">IF(AND(C1255=C1256,Y1255=Y1256-1),AA1255,"")</f>
        <v/>
      </c>
      <c r="AD1256" s="0" t="str">
        <f aca="false">IF(Y1256=1,"",IF(AND(Z1256=1,AB1256&lt;&gt;1),1,0))</f>
        <v/>
      </c>
      <c r="AE1256" s="0" t="str">
        <f aca="false">IF(Y1256=1,"",IF(AND(AA1256=1,AC1256&lt;&gt;1),1,0))</f>
        <v/>
      </c>
      <c r="AF1256" s="45" t="str">
        <f aca="false">IF(AND(E1256&gt;0,Y1256&lt;1,NOT(AND(C1257=C1256,Y1257=Y1256+1))),INDEX(DATAS,Y1256+1),"")</f>
        <v/>
      </c>
      <c r="AG1256" s="45" t="str">
        <f aca="false">IF(AND(AA1256=1,Y1256&lt;1),IF(AND(C1257=C1256,Y1257=Y1256+1),IF(AA1257=1,"",INDEX(DATAS,Y1256+1)),INDEX(DATAS,Y1256+1)),"")</f>
        <v/>
      </c>
    </row>
    <row r="1257" customFormat="false" ht="15" hidden="false" customHeight="false" outlineLevel="0" collapsed="false">
      <c r="A1257" s="45" t="n">
        <v>46309</v>
      </c>
      <c r="B1257" s="0" t="n">
        <v>7</v>
      </c>
      <c r="C1257" s="0" t="n">
        <v>5329</v>
      </c>
      <c r="D1257" s="0" t="n">
        <v>288</v>
      </c>
      <c r="E1257" s="0" t="n">
        <v>1</v>
      </c>
      <c r="F1257" s="39" t="s">
        <v>823</v>
      </c>
      <c r="I1257" s="39" t="s">
        <v>114</v>
      </c>
      <c r="J1257" s="0" t="n">
        <v>65</v>
      </c>
      <c r="K1257" s="0" t="n">
        <v>65</v>
      </c>
      <c r="L1257" s="0" t="n">
        <v>238</v>
      </c>
      <c r="M1257" s="0" t="n">
        <v>532.12</v>
      </c>
      <c r="N1257" s="0" t="n">
        <v>48.6</v>
      </c>
      <c r="O1257" s="0" t="n">
        <v>21.53</v>
      </c>
      <c r="P1257" s="0" t="n">
        <v>4.15</v>
      </c>
      <c r="Q1257" s="0" t="n">
        <v>3.52</v>
      </c>
      <c r="R1257" s="0" t="n">
        <v>3765</v>
      </c>
      <c r="S1257" s="0" t="n">
        <v>8686</v>
      </c>
      <c r="T1257" s="0" t="n">
        <v>42.2</v>
      </c>
      <c r="U1257" s="0" t="n">
        <v>972</v>
      </c>
      <c r="V1257" s="0" t="n">
        <v>1</v>
      </c>
      <c r="W1257" s="39" t="n">
        <f aca="false">IF(I1257="Male",0,1)</f>
        <v>1</v>
      </c>
      <c r="X1257" s="39" t="n">
        <f aca="false">IF(OR(I1257="DNB",I1257="Dry DNB"),1,0)</f>
        <v>0</v>
      </c>
      <c r="Y1257" s="39" t="n">
        <f aca="false">MATCH(A1257,DATAS,0)</f>
        <v>1</v>
      </c>
      <c r="Z1257" s="39" t="n">
        <f aca="false">IF(AND(E1257&gt;0,OR(AND(B1257&gt;=1,B1257&lt;=6),B1257=10)),1,0)</f>
        <v>0</v>
      </c>
      <c r="AA1257" s="39" t="n">
        <f aca="false">IF(AND(E1257&gt;0,B1257=10),1,0)</f>
        <v>0</v>
      </c>
      <c r="AB1257" s="0" t="str">
        <f aca="false">IF(AND(C1256=C1257,Y1256=Y1257-1),Z1256,"")</f>
        <v/>
      </c>
      <c r="AC1257" s="0" t="str">
        <f aca="false">IF(AND(C1256=C1257,Y1256=Y1257-1),AA1256,"")</f>
        <v/>
      </c>
      <c r="AD1257" s="0" t="str">
        <f aca="false">IF(Y1257=1,"",IF(AND(Z1257=1,AB1257&lt;&gt;1),1,0))</f>
        <v/>
      </c>
      <c r="AE1257" s="0" t="str">
        <f aca="false">IF(Y1257=1,"",IF(AND(AA1257=1,AC1257&lt;&gt;1),1,0))</f>
        <v/>
      </c>
      <c r="AF1257" s="45" t="str">
        <f aca="false">IF(AND(E1257&gt;0,Y1257&lt;1,NOT(AND(C1258=C1257,Y1258=Y1257+1))),INDEX(DATAS,Y1257+1),"")</f>
        <v/>
      </c>
      <c r="AG1257" s="45" t="str">
        <f aca="false">IF(AND(AA1257=1,Y1257&lt;1),IF(AND(C1258=C1257,Y1258=Y1257+1),IF(AA1258=1,"",INDEX(DATAS,Y1257+1)),INDEX(DATAS,Y1257+1)),"")</f>
        <v/>
      </c>
    </row>
    <row r="1258" customFormat="false" ht="15" hidden="false" customHeight="false" outlineLevel="0" collapsed="false">
      <c r="A1258" s="45" t="n">
        <v>46309</v>
      </c>
      <c r="B1258" s="0" t="n">
        <v>4</v>
      </c>
      <c r="C1258" s="0" t="n">
        <v>5330</v>
      </c>
      <c r="D1258" s="0" t="n">
        <v>279</v>
      </c>
      <c r="E1258" s="0" t="n">
        <v>1</v>
      </c>
      <c r="F1258" s="39" t="s">
        <v>824</v>
      </c>
      <c r="G1258" s="0" t="n">
        <v>49.4</v>
      </c>
      <c r="H1258" s="0" t="n">
        <v>50</v>
      </c>
      <c r="I1258" s="39" t="s">
        <v>109</v>
      </c>
      <c r="J1258" s="0" t="n">
        <v>244</v>
      </c>
      <c r="K1258" s="0" t="n">
        <v>69</v>
      </c>
      <c r="L1258" s="0" t="n">
        <v>35</v>
      </c>
      <c r="M1258" s="0" t="n">
        <v>1545.12</v>
      </c>
      <c r="N1258" s="0" t="n">
        <v>73.19</v>
      </c>
      <c r="O1258" s="0" t="n">
        <v>50.71</v>
      </c>
      <c r="P1258" s="0" t="n">
        <v>3.56</v>
      </c>
      <c r="Q1258" s="0" t="n">
        <v>3.56</v>
      </c>
      <c r="R1258" s="0" t="n">
        <v>4244</v>
      </c>
      <c r="S1258" s="0" t="n">
        <v>9144</v>
      </c>
      <c r="T1258" s="0" t="n">
        <v>47.4</v>
      </c>
      <c r="U1258" s="0" t="n">
        <v>971</v>
      </c>
      <c r="V1258" s="0" t="n">
        <v>6</v>
      </c>
      <c r="W1258" s="39" t="n">
        <f aca="false">IF(I1258="Male",0,1)</f>
        <v>1</v>
      </c>
      <c r="X1258" s="39" t="n">
        <f aca="false">IF(OR(I1258="DNB",I1258="Dry DNB"),1,0)</f>
        <v>0</v>
      </c>
      <c r="Y1258" s="39" t="n">
        <f aca="false">MATCH(A1258,DATAS,0)</f>
        <v>1</v>
      </c>
      <c r="Z1258" s="39" t="n">
        <f aca="false">IF(AND(E1258&gt;0,OR(AND(B1258&gt;=1,B1258&lt;=6),B1258=10)),1,0)</f>
        <v>1</v>
      </c>
      <c r="AA1258" s="39" t="n">
        <f aca="false">IF(AND(E1258&gt;0,B1258=10),1,0)</f>
        <v>0</v>
      </c>
      <c r="AB1258" s="0" t="str">
        <f aca="false">IF(AND(C1257=C1258,Y1257=Y1258-1),Z1257,"")</f>
        <v/>
      </c>
      <c r="AC1258" s="0" t="str">
        <f aca="false">IF(AND(C1257=C1258,Y1257=Y1258-1),AA1257,"")</f>
        <v/>
      </c>
      <c r="AD1258" s="0" t="str">
        <f aca="false">IF(Y1258=1,"",IF(AND(Z1258=1,AB1258&lt;&gt;1),1,0))</f>
        <v/>
      </c>
      <c r="AE1258" s="0" t="str">
        <f aca="false">IF(Y1258=1,"",IF(AND(AA1258=1,AC1258&lt;&gt;1),1,0))</f>
        <v/>
      </c>
      <c r="AF1258" s="45" t="str">
        <f aca="false">IF(AND(E1258&gt;0,Y1258&lt;1,NOT(AND(C1259=C1258,Y1259=Y1258+1))),INDEX(DATAS,Y1258+1),"")</f>
        <v/>
      </c>
      <c r="AG1258" s="45" t="str">
        <f aca="false">IF(AND(AA1258=1,Y1258&lt;1),IF(AND(C1259=C1258,Y1259=Y1258+1),IF(AA1259=1,"",INDEX(DATAS,Y1258+1)),INDEX(DATAS,Y1258+1)),"")</f>
        <v/>
      </c>
    </row>
    <row r="1259" customFormat="false" ht="15" hidden="false" customHeight="false" outlineLevel="0" collapsed="false">
      <c r="A1259" s="45" t="n">
        <v>46309</v>
      </c>
      <c r="B1259" s="0" t="n">
        <v>4</v>
      </c>
      <c r="C1259" s="0" t="n">
        <v>5331</v>
      </c>
      <c r="D1259" s="0" t="n">
        <v>123</v>
      </c>
      <c r="E1259" s="0" t="n">
        <v>1</v>
      </c>
      <c r="F1259" s="39" t="s">
        <v>824</v>
      </c>
      <c r="G1259" s="0" t="n">
        <v>51</v>
      </c>
      <c r="H1259" s="0" t="n">
        <v>53</v>
      </c>
      <c r="I1259" s="39" t="s">
        <v>109</v>
      </c>
      <c r="J1259" s="0" t="n">
        <v>88</v>
      </c>
      <c r="K1259" s="0" t="n">
        <v>67</v>
      </c>
      <c r="L1259" s="0" t="n">
        <v>35</v>
      </c>
      <c r="M1259" s="0" t="n">
        <v>1240.05</v>
      </c>
      <c r="N1259" s="0" t="n">
        <v>75.64</v>
      </c>
      <c r="O1259" s="0" t="n">
        <v>48.98</v>
      </c>
      <c r="P1259" s="0" t="n">
        <v>4.85</v>
      </c>
      <c r="Q1259" s="0" t="n">
        <v>2.92</v>
      </c>
      <c r="R1259" s="0" t="n">
        <v>5314</v>
      </c>
      <c r="S1259" s="0" t="n">
        <v>10829</v>
      </c>
      <c r="T1259" s="0" t="n">
        <v>57.1</v>
      </c>
      <c r="U1259" s="0" t="n">
        <v>971</v>
      </c>
      <c r="V1259" s="0" t="n">
        <v>2</v>
      </c>
      <c r="W1259" s="39" t="n">
        <f aca="false">IF(I1259="Male",0,1)</f>
        <v>1</v>
      </c>
      <c r="X1259" s="39" t="n">
        <f aca="false">IF(OR(I1259="DNB",I1259="Dry DNB"),1,0)</f>
        <v>0</v>
      </c>
      <c r="Y1259" s="39" t="n">
        <f aca="false">MATCH(A1259,DATAS,0)</f>
        <v>1</v>
      </c>
      <c r="Z1259" s="39" t="n">
        <f aca="false">IF(AND(E1259&gt;0,OR(AND(B1259&gt;=1,B1259&lt;=6),B1259=10)),1,0)</f>
        <v>1</v>
      </c>
      <c r="AA1259" s="39" t="n">
        <f aca="false">IF(AND(E1259&gt;0,B1259=10),1,0)</f>
        <v>0</v>
      </c>
      <c r="AB1259" s="0" t="str">
        <f aca="false">IF(AND(C1258=C1259,Y1258=Y1259-1),Z1258,"")</f>
        <v/>
      </c>
      <c r="AC1259" s="0" t="str">
        <f aca="false">IF(AND(C1258=C1259,Y1258=Y1259-1),AA1258,"")</f>
        <v/>
      </c>
      <c r="AD1259" s="0" t="str">
        <f aca="false">IF(Y1259=1,"",IF(AND(Z1259=1,AB1259&lt;&gt;1),1,0))</f>
        <v/>
      </c>
      <c r="AE1259" s="0" t="str">
        <f aca="false">IF(Y1259=1,"",IF(AND(AA1259=1,AC1259&lt;&gt;1),1,0))</f>
        <v/>
      </c>
      <c r="AF1259" s="45" t="str">
        <f aca="false">IF(AND(E1259&gt;0,Y1259&lt;1,NOT(AND(C1260=C1259,Y1260=Y1259+1))),INDEX(DATAS,Y1259+1),"")</f>
        <v/>
      </c>
      <c r="AG1259" s="45" t="str">
        <f aca="false">IF(AND(AA1259=1,Y1259&lt;1),IF(AND(C1260=C1259,Y1260=Y1259+1),IF(AA1260=1,"",INDEX(DATAS,Y1259+1)),INDEX(DATAS,Y1259+1)),"")</f>
        <v/>
      </c>
    </row>
    <row r="1260" customFormat="false" ht="15" hidden="false" customHeight="false" outlineLevel="0" collapsed="false">
      <c r="A1260" s="45" t="n">
        <v>46309</v>
      </c>
      <c r="B1260" s="0" t="n">
        <v>4</v>
      </c>
      <c r="C1260" s="0" t="n">
        <v>5332</v>
      </c>
      <c r="D1260" s="0" t="n">
        <v>238</v>
      </c>
      <c r="E1260" s="0" t="n">
        <v>1</v>
      </c>
      <c r="F1260" s="39" t="s">
        <v>824</v>
      </c>
      <c r="G1260" s="0" t="n">
        <v>38.2</v>
      </c>
      <c r="H1260" s="0" t="n">
        <v>38</v>
      </c>
      <c r="I1260" s="39" t="s">
        <v>109</v>
      </c>
      <c r="J1260" s="0" t="n">
        <v>86</v>
      </c>
      <c r="K1260" s="0" t="n">
        <v>63</v>
      </c>
      <c r="L1260" s="0" t="n">
        <v>152</v>
      </c>
      <c r="M1260" s="0" t="n">
        <v>729.15</v>
      </c>
      <c r="N1260" s="0" t="n">
        <v>42.78</v>
      </c>
      <c r="O1260" s="0" t="n">
        <v>31.68</v>
      </c>
      <c r="P1260" s="0" t="n">
        <v>3</v>
      </c>
      <c r="Q1260" s="0" t="n">
        <v>3.64</v>
      </c>
      <c r="R1260" s="0" t="n">
        <v>3907</v>
      </c>
      <c r="S1260" s="0" t="n">
        <v>8955</v>
      </c>
      <c r="T1260" s="0" t="n">
        <v>47.95</v>
      </c>
      <c r="U1260" s="0" t="n">
        <v>971</v>
      </c>
      <c r="V1260" s="0" t="n">
        <v>2</v>
      </c>
      <c r="W1260" s="39" t="n">
        <f aca="false">IF(I1260="Male",0,1)</f>
        <v>1</v>
      </c>
      <c r="X1260" s="39" t="n">
        <f aca="false">IF(OR(I1260="DNB",I1260="Dry DNB"),1,0)</f>
        <v>0</v>
      </c>
      <c r="Y1260" s="39" t="n">
        <f aca="false">MATCH(A1260,DATAS,0)</f>
        <v>1</v>
      </c>
      <c r="Z1260" s="39" t="n">
        <f aca="false">IF(AND(E1260&gt;0,OR(AND(B1260&gt;=1,B1260&lt;=6),B1260=10)),1,0)</f>
        <v>1</v>
      </c>
      <c r="AA1260" s="39" t="n">
        <f aca="false">IF(AND(E1260&gt;0,B1260=10),1,0)</f>
        <v>0</v>
      </c>
      <c r="AB1260" s="0" t="str">
        <f aca="false">IF(AND(C1259=C1260,Y1259=Y1260-1),Z1259,"")</f>
        <v/>
      </c>
      <c r="AC1260" s="0" t="str">
        <f aca="false">IF(AND(C1259=C1260,Y1259=Y1260-1),AA1259,"")</f>
        <v/>
      </c>
      <c r="AD1260" s="0" t="str">
        <f aca="false">IF(Y1260=1,"",IF(AND(Z1260=1,AB1260&lt;&gt;1),1,0))</f>
        <v/>
      </c>
      <c r="AE1260" s="0" t="str">
        <f aca="false">IF(Y1260=1,"",IF(AND(AA1260=1,AC1260&lt;&gt;1),1,0))</f>
        <v/>
      </c>
      <c r="AF1260" s="45" t="str">
        <f aca="false">IF(AND(E1260&gt;0,Y1260&lt;1,NOT(AND(C1261=C1260,Y1261=Y1260+1))),INDEX(DATAS,Y1260+1),"")</f>
        <v/>
      </c>
      <c r="AG1260" s="45" t="str">
        <f aca="false">IF(AND(AA1260=1,Y1260&lt;1),IF(AND(C1261=C1260,Y1261=Y1260+1),IF(AA1261=1,"",INDEX(DATAS,Y1260+1)),INDEX(DATAS,Y1260+1)),"")</f>
        <v/>
      </c>
    </row>
    <row r="1261" customFormat="false" ht="15" hidden="false" customHeight="false" outlineLevel="0" collapsed="false">
      <c r="A1261" s="45" t="n">
        <v>46309</v>
      </c>
      <c r="B1261" s="0" t="n">
        <v>4</v>
      </c>
      <c r="C1261" s="0" t="n">
        <v>5333</v>
      </c>
      <c r="D1261" s="0" t="n">
        <v>302</v>
      </c>
      <c r="E1261" s="0" t="n">
        <v>1</v>
      </c>
      <c r="F1261" s="39" t="s">
        <v>824</v>
      </c>
      <c r="G1261" s="0" t="n">
        <v>61.7</v>
      </c>
      <c r="H1261" s="0" t="n">
        <v>60</v>
      </c>
      <c r="I1261" s="39" t="s">
        <v>146</v>
      </c>
      <c r="J1261" s="0" t="n">
        <v>302</v>
      </c>
      <c r="K1261" s="0" t="n">
        <v>64</v>
      </c>
      <c r="M1261" s="0" t="n">
        <v>2080.79</v>
      </c>
      <c r="N1261" s="0" t="n">
        <v>44.8</v>
      </c>
      <c r="O1261" s="0" t="n">
        <v>44.21</v>
      </c>
      <c r="P1261" s="0" t="n">
        <v>3</v>
      </c>
      <c r="Q1261" s="0" t="n">
        <v>2.83</v>
      </c>
      <c r="R1261" s="0" t="n">
        <v>5775</v>
      </c>
      <c r="S1261" s="0" t="n">
        <v>11584</v>
      </c>
      <c r="T1261" s="0" t="n">
        <v>66.3</v>
      </c>
      <c r="U1261" s="0" t="n">
        <v>971</v>
      </c>
      <c r="V1261" s="0" t="n">
        <v>6</v>
      </c>
      <c r="W1261" s="39" t="n">
        <f aca="false">IF(I1261="Male",0,1)</f>
        <v>1</v>
      </c>
      <c r="X1261" s="39" t="n">
        <f aca="false">IF(OR(I1261="DNB",I1261="Dry DNB"),1,0)</f>
        <v>0</v>
      </c>
      <c r="Y1261" s="39" t="n">
        <f aca="false">MATCH(A1261,DATAS,0)</f>
        <v>1</v>
      </c>
      <c r="Z1261" s="39" t="n">
        <f aca="false">IF(AND(E1261&gt;0,OR(AND(B1261&gt;=1,B1261&lt;=6),B1261=10)),1,0)</f>
        <v>1</v>
      </c>
      <c r="AA1261" s="39" t="n">
        <f aca="false">IF(AND(E1261&gt;0,B1261=10),1,0)</f>
        <v>0</v>
      </c>
      <c r="AB1261" s="0" t="str">
        <f aca="false">IF(AND(C1260=C1261,Y1260=Y1261-1),Z1260,"")</f>
        <v/>
      </c>
      <c r="AC1261" s="0" t="str">
        <f aca="false">IF(AND(C1260=C1261,Y1260=Y1261-1),AA1260,"")</f>
        <v/>
      </c>
      <c r="AD1261" s="0" t="str">
        <f aca="false">IF(Y1261=1,"",IF(AND(Z1261=1,AB1261&lt;&gt;1),1,0))</f>
        <v/>
      </c>
      <c r="AE1261" s="0" t="str">
        <f aca="false">IF(Y1261=1,"",IF(AND(AA1261=1,AC1261&lt;&gt;1),1,0))</f>
        <v/>
      </c>
      <c r="AF1261" s="45" t="str">
        <f aca="false">IF(AND(E1261&gt;0,Y1261&lt;1,NOT(AND(C1262=C1261,Y1262=Y1261+1))),INDEX(DATAS,Y1261+1),"")</f>
        <v/>
      </c>
      <c r="AG1261" s="45" t="str">
        <f aca="false">IF(AND(AA1261=1,Y1261&lt;1),IF(AND(C1262=C1261,Y1262=Y1261+1),IF(AA1262=1,"",INDEX(DATAS,Y1261+1)),INDEX(DATAS,Y1261+1)),"")</f>
        <v/>
      </c>
    </row>
    <row r="1262" customFormat="false" ht="15" hidden="false" customHeight="false" outlineLevel="0" collapsed="false">
      <c r="A1262" s="45" t="n">
        <v>46309</v>
      </c>
      <c r="B1262" s="0" t="n">
        <v>2</v>
      </c>
      <c r="C1262" s="0" t="n">
        <v>5334</v>
      </c>
      <c r="D1262" s="0" t="n">
        <v>20</v>
      </c>
      <c r="E1262" s="0" t="n">
        <v>2</v>
      </c>
      <c r="F1262" s="39" t="s">
        <v>824</v>
      </c>
      <c r="G1262" s="0" t="n">
        <v>47</v>
      </c>
      <c r="H1262" s="0" t="n">
        <v>41</v>
      </c>
      <c r="I1262" s="39" t="s">
        <v>118</v>
      </c>
      <c r="J1262" s="0" t="n">
        <v>20</v>
      </c>
      <c r="M1262" s="0" t="n">
        <v>928.25</v>
      </c>
      <c r="N1262" s="0" t="n">
        <v>74.37</v>
      </c>
      <c r="O1262" s="0" t="n">
        <v>35.17</v>
      </c>
      <c r="R1262" s="0" t="n">
        <v>3002</v>
      </c>
      <c r="S1262" s="0" t="n">
        <v>6034</v>
      </c>
      <c r="U1262" s="0" t="n">
        <v>971</v>
      </c>
      <c r="V1262" s="0" t="n">
        <v>0</v>
      </c>
      <c r="W1262" s="39" t="n">
        <f aca="false">IF(I1262="Male",0,1)</f>
        <v>1</v>
      </c>
      <c r="X1262" s="39" t="n">
        <f aca="false">IF(OR(I1262="DNB",I1262="Dry DNB"),1,0)</f>
        <v>0</v>
      </c>
      <c r="Y1262" s="39" t="n">
        <f aca="false">MATCH(A1262,DATAS,0)</f>
        <v>1</v>
      </c>
      <c r="Z1262" s="39" t="n">
        <f aca="false">IF(AND(E1262&gt;0,OR(AND(B1262&gt;=1,B1262&lt;=6),B1262=10)),1,0)</f>
        <v>1</v>
      </c>
      <c r="AA1262" s="39" t="n">
        <f aca="false">IF(AND(E1262&gt;0,B1262=10),1,0)</f>
        <v>0</v>
      </c>
      <c r="AB1262" s="0" t="str">
        <f aca="false">IF(AND(C1261=C1262,Y1261=Y1262-1),Z1261,"")</f>
        <v/>
      </c>
      <c r="AC1262" s="0" t="str">
        <f aca="false">IF(AND(C1261=C1262,Y1261=Y1262-1),AA1261,"")</f>
        <v/>
      </c>
      <c r="AD1262" s="0" t="str">
        <f aca="false">IF(Y1262=1,"",IF(AND(Z1262=1,AB1262&lt;&gt;1),1,0))</f>
        <v/>
      </c>
      <c r="AE1262" s="0" t="str">
        <f aca="false">IF(Y1262=1,"",IF(AND(AA1262=1,AC1262&lt;&gt;1),1,0))</f>
        <v/>
      </c>
      <c r="AF1262" s="45" t="str">
        <f aca="false">IF(AND(E1262&gt;0,Y1262&lt;1,NOT(AND(C1263=C1262,Y1263=Y1262+1))),INDEX(DATAS,Y1262+1),"")</f>
        <v/>
      </c>
      <c r="AG1262" s="45" t="str">
        <f aca="false">IF(AND(AA1262=1,Y1262&lt;1),IF(AND(C1263=C1262,Y1263=Y1262+1),IF(AA1263=1,"",INDEX(DATAS,Y1262+1)),INDEX(DATAS,Y1262+1)),"")</f>
        <v/>
      </c>
    </row>
    <row r="1263" customFormat="false" ht="15" hidden="false" customHeight="false" outlineLevel="0" collapsed="false">
      <c r="A1263" s="45" t="n">
        <v>46309</v>
      </c>
      <c r="B1263" s="0" t="n">
        <v>4</v>
      </c>
      <c r="C1263" s="0" t="n">
        <v>5335</v>
      </c>
      <c r="D1263" s="0" t="n">
        <v>275</v>
      </c>
      <c r="E1263" s="0" t="n">
        <v>1</v>
      </c>
      <c r="F1263" s="39" t="s">
        <v>825</v>
      </c>
      <c r="G1263" s="0" t="n">
        <v>44.2</v>
      </c>
      <c r="H1263" s="0" t="n">
        <v>46</v>
      </c>
      <c r="I1263" s="39" t="s">
        <v>109</v>
      </c>
      <c r="J1263" s="0" t="n">
        <v>107</v>
      </c>
      <c r="K1263" s="0" t="n">
        <v>79</v>
      </c>
      <c r="L1263" s="0" t="n">
        <v>168</v>
      </c>
      <c r="M1263" s="0" t="n">
        <v>351.46</v>
      </c>
      <c r="N1263" s="0" t="n">
        <v>16.11</v>
      </c>
      <c r="O1263" s="0" t="n">
        <v>17.42</v>
      </c>
      <c r="P1263" s="0" t="n">
        <v>2.88</v>
      </c>
      <c r="Q1263" s="0" t="n">
        <v>3.45</v>
      </c>
      <c r="R1263" s="0" t="n">
        <v>3729</v>
      </c>
      <c r="S1263" s="0" t="n">
        <v>8360</v>
      </c>
      <c r="T1263" s="0" t="n">
        <v>41.35</v>
      </c>
      <c r="U1263" s="0" t="n">
        <v>968</v>
      </c>
      <c r="V1263" s="0" t="n">
        <v>2</v>
      </c>
      <c r="W1263" s="39" t="n">
        <f aca="false">IF(I1263="Male",0,1)</f>
        <v>1</v>
      </c>
      <c r="X1263" s="39" t="n">
        <f aca="false">IF(OR(I1263="DNB",I1263="Dry DNB"),1,0)</f>
        <v>0</v>
      </c>
      <c r="Y1263" s="39" t="n">
        <f aca="false">MATCH(A1263,DATAS,0)</f>
        <v>1</v>
      </c>
      <c r="Z1263" s="39" t="n">
        <f aca="false">IF(AND(E1263&gt;0,OR(AND(B1263&gt;=1,B1263&lt;=6),B1263=10)),1,0)</f>
        <v>1</v>
      </c>
      <c r="AA1263" s="39" t="n">
        <f aca="false">IF(AND(E1263&gt;0,B1263=10),1,0)</f>
        <v>0</v>
      </c>
      <c r="AB1263" s="0" t="str">
        <f aca="false">IF(AND(C1262=C1263,Y1262=Y1263-1),Z1262,"")</f>
        <v/>
      </c>
      <c r="AC1263" s="0" t="str">
        <f aca="false">IF(AND(C1262=C1263,Y1262=Y1263-1),AA1262,"")</f>
        <v/>
      </c>
      <c r="AD1263" s="0" t="str">
        <f aca="false">IF(Y1263=1,"",IF(AND(Z1263=1,AB1263&lt;&gt;1),1,0))</f>
        <v/>
      </c>
      <c r="AE1263" s="0" t="str">
        <f aca="false">IF(Y1263=1,"",IF(AND(AA1263=1,AC1263&lt;&gt;1),1,0))</f>
        <v/>
      </c>
      <c r="AF1263" s="45" t="str">
        <f aca="false">IF(AND(E1263&gt;0,Y1263&lt;1,NOT(AND(C1264=C1263,Y1264=Y1263+1))),INDEX(DATAS,Y1263+1),"")</f>
        <v/>
      </c>
      <c r="AG1263" s="45" t="str">
        <f aca="false">IF(AND(AA1263=1,Y1263&lt;1),IF(AND(C1264=C1263,Y1264=Y1263+1),IF(AA1264=1,"",INDEX(DATAS,Y1263+1)),INDEX(DATAS,Y1263+1)),"")</f>
        <v/>
      </c>
    </row>
    <row r="1264" customFormat="false" ht="15" hidden="false" customHeight="false" outlineLevel="0" collapsed="false">
      <c r="A1264" s="45" t="n">
        <v>46309</v>
      </c>
      <c r="B1264" s="0" t="n">
        <v>9</v>
      </c>
      <c r="C1264" s="0" t="n">
        <v>5337</v>
      </c>
      <c r="D1264" s="0" t="n">
        <v>294</v>
      </c>
      <c r="E1264" s="0" t="n">
        <v>1</v>
      </c>
      <c r="F1264" s="39" t="s">
        <v>825</v>
      </c>
      <c r="I1264" s="39" t="s">
        <v>114</v>
      </c>
      <c r="J1264" s="0" t="n">
        <v>71</v>
      </c>
      <c r="K1264" s="0" t="n">
        <v>71</v>
      </c>
      <c r="L1264" s="0" t="n">
        <v>273</v>
      </c>
      <c r="M1264" s="0" t="n">
        <v>1058.39</v>
      </c>
      <c r="N1264" s="0" t="n">
        <v>60.65</v>
      </c>
      <c r="O1264" s="0" t="n">
        <v>44.09</v>
      </c>
      <c r="P1264" s="0" t="n">
        <v>3.13</v>
      </c>
      <c r="Q1264" s="0" t="n">
        <v>3.59</v>
      </c>
      <c r="R1264" s="0" t="n">
        <v>4717</v>
      </c>
      <c r="S1264" s="0" t="n">
        <v>10567</v>
      </c>
      <c r="T1264" s="0" t="n">
        <v>50.45</v>
      </c>
      <c r="U1264" s="0" t="n">
        <v>968</v>
      </c>
      <c r="V1264" s="0" t="n">
        <v>1</v>
      </c>
      <c r="W1264" s="39" t="n">
        <f aca="false">IF(I1264="Male",0,1)</f>
        <v>1</v>
      </c>
      <c r="X1264" s="39" t="n">
        <f aca="false">IF(OR(I1264="DNB",I1264="Dry DNB"),1,0)</f>
        <v>0</v>
      </c>
      <c r="Y1264" s="39" t="n">
        <f aca="false">MATCH(A1264,DATAS,0)</f>
        <v>1</v>
      </c>
      <c r="Z1264" s="39" t="n">
        <f aca="false">IF(AND(E1264&gt;0,OR(AND(B1264&gt;=1,B1264&lt;=6),B1264=10)),1,0)</f>
        <v>0</v>
      </c>
      <c r="AA1264" s="39" t="n">
        <f aca="false">IF(AND(E1264&gt;0,B1264=10),1,0)</f>
        <v>0</v>
      </c>
      <c r="AB1264" s="0" t="str">
        <f aca="false">IF(AND(C1263=C1264,Y1263=Y1264-1),Z1263,"")</f>
        <v/>
      </c>
      <c r="AC1264" s="0" t="str">
        <f aca="false">IF(AND(C1263=C1264,Y1263=Y1264-1),AA1263,"")</f>
        <v/>
      </c>
      <c r="AD1264" s="0" t="str">
        <f aca="false">IF(Y1264=1,"",IF(AND(Z1264=1,AB1264&lt;&gt;1),1,0))</f>
        <v/>
      </c>
      <c r="AE1264" s="0" t="str">
        <f aca="false">IF(Y1264=1,"",IF(AND(AA1264=1,AC1264&lt;&gt;1),1,0))</f>
        <v/>
      </c>
      <c r="AF1264" s="45" t="str">
        <f aca="false">IF(AND(E1264&gt;0,Y1264&lt;1,NOT(AND(C1265=C1264,Y1265=Y1264+1))),INDEX(DATAS,Y1264+1),"")</f>
        <v/>
      </c>
      <c r="AG1264" s="45" t="str">
        <f aca="false">IF(AND(AA1264=1,Y1264&lt;1),IF(AND(C1265=C1264,Y1265=Y1264+1),IF(AA1265=1,"",INDEX(DATAS,Y1264+1)),INDEX(DATAS,Y1264+1)),"")</f>
        <v/>
      </c>
    </row>
    <row r="1265" customFormat="false" ht="15" hidden="false" customHeight="false" outlineLevel="0" collapsed="false">
      <c r="A1265" s="45" t="n">
        <v>46309</v>
      </c>
      <c r="B1265" s="0" t="n">
        <v>4</v>
      </c>
      <c r="C1265" s="0" t="n">
        <v>5338</v>
      </c>
      <c r="D1265" s="0" t="n">
        <v>339</v>
      </c>
      <c r="E1265" s="0" t="n">
        <v>1</v>
      </c>
      <c r="F1265" s="39" t="s">
        <v>825</v>
      </c>
      <c r="G1265" s="0" t="n">
        <v>45.3</v>
      </c>
      <c r="H1265" s="0" t="n">
        <v>43</v>
      </c>
      <c r="I1265" s="39" t="s">
        <v>138</v>
      </c>
      <c r="J1265" s="0" t="n">
        <v>339</v>
      </c>
      <c r="K1265" s="0" t="n">
        <v>66</v>
      </c>
      <c r="M1265" s="0" t="n">
        <v>1375.2</v>
      </c>
      <c r="N1265" s="0" t="n">
        <v>50.12</v>
      </c>
      <c r="O1265" s="0" t="n">
        <v>41.14</v>
      </c>
      <c r="P1265" s="0" t="n">
        <v>4.24</v>
      </c>
      <c r="Q1265" s="0" t="n">
        <v>3.72</v>
      </c>
      <c r="R1265" s="0" t="n">
        <v>3230</v>
      </c>
      <c r="S1265" s="0" t="n">
        <v>7046</v>
      </c>
      <c r="T1265" s="0" t="n">
        <v>35.5</v>
      </c>
      <c r="U1265" s="0" t="n">
        <v>968</v>
      </c>
      <c r="V1265" s="0" t="n">
        <v>7</v>
      </c>
      <c r="W1265" s="39" t="n">
        <f aca="false">IF(I1265="Male",0,1)</f>
        <v>1</v>
      </c>
      <c r="X1265" s="39" t="n">
        <f aca="false">IF(OR(I1265="DNB",I1265="Dry DNB"),1,0)</f>
        <v>0</v>
      </c>
      <c r="Y1265" s="39" t="n">
        <f aca="false">MATCH(A1265,DATAS,0)</f>
        <v>1</v>
      </c>
      <c r="Z1265" s="39" t="n">
        <f aca="false">IF(AND(E1265&gt;0,OR(AND(B1265&gt;=1,B1265&lt;=6),B1265=10)),1,0)</f>
        <v>1</v>
      </c>
      <c r="AA1265" s="39" t="n">
        <f aca="false">IF(AND(E1265&gt;0,B1265=10),1,0)</f>
        <v>0</v>
      </c>
      <c r="AB1265" s="0" t="str">
        <f aca="false">IF(AND(C1264=C1265,Y1264=Y1265-1),Z1264,"")</f>
        <v/>
      </c>
      <c r="AC1265" s="0" t="str">
        <f aca="false">IF(AND(C1264=C1265,Y1264=Y1265-1),AA1264,"")</f>
        <v/>
      </c>
      <c r="AD1265" s="0" t="str">
        <f aca="false">IF(Y1265=1,"",IF(AND(Z1265=1,AB1265&lt;&gt;1),1,0))</f>
        <v/>
      </c>
      <c r="AE1265" s="0" t="str">
        <f aca="false">IF(Y1265=1,"",IF(AND(AA1265=1,AC1265&lt;&gt;1),1,0))</f>
        <v/>
      </c>
      <c r="AF1265" s="45" t="str">
        <f aca="false">IF(AND(E1265&gt;0,Y1265&lt;1,NOT(AND(C1266=C1265,Y1266=Y1265+1))),INDEX(DATAS,Y1265+1),"")</f>
        <v/>
      </c>
      <c r="AG1265" s="45" t="str">
        <f aca="false">IF(AND(AA1265=1,Y1265&lt;1),IF(AND(C1266=C1265,Y1266=Y1265+1),IF(AA1266=1,"",INDEX(DATAS,Y1265+1)),INDEX(DATAS,Y1265+1)),"")</f>
        <v/>
      </c>
    </row>
    <row r="1266" customFormat="false" ht="15" hidden="false" customHeight="false" outlineLevel="0" collapsed="false">
      <c r="A1266" s="45" t="n">
        <v>46309</v>
      </c>
      <c r="B1266" s="0" t="n">
        <v>1</v>
      </c>
      <c r="C1266" s="0" t="n">
        <v>5339</v>
      </c>
      <c r="D1266" s="0" t="n">
        <v>110</v>
      </c>
      <c r="E1266" s="0" t="n">
        <v>1</v>
      </c>
      <c r="F1266" s="39" t="s">
        <v>825</v>
      </c>
      <c r="G1266" s="0" t="n">
        <v>57.1</v>
      </c>
      <c r="H1266" s="0" t="n">
        <v>54</v>
      </c>
      <c r="I1266" s="39" t="s">
        <v>109</v>
      </c>
      <c r="J1266" s="0" t="n">
        <v>68</v>
      </c>
      <c r="K1266" s="0" t="n">
        <v>68</v>
      </c>
      <c r="L1266" s="0" t="n">
        <v>42</v>
      </c>
      <c r="M1266" s="0" t="n">
        <v>1420.55</v>
      </c>
      <c r="N1266" s="0" t="n">
        <v>75.21</v>
      </c>
      <c r="O1266" s="0" t="n">
        <v>30.4</v>
      </c>
      <c r="P1266" s="0" t="n">
        <v>3.87</v>
      </c>
      <c r="Q1266" s="0" t="n">
        <v>2.72</v>
      </c>
      <c r="R1266" s="0" t="n">
        <v>5198</v>
      </c>
      <c r="S1266" s="0" t="n">
        <v>10553</v>
      </c>
      <c r="T1266" s="0" t="n">
        <v>60.6</v>
      </c>
      <c r="U1266" s="0" t="n">
        <v>968</v>
      </c>
      <c r="V1266" s="0" t="n">
        <v>1</v>
      </c>
      <c r="W1266" s="39" t="n">
        <f aca="false">IF(I1266="Male",0,1)</f>
        <v>1</v>
      </c>
      <c r="X1266" s="39" t="n">
        <f aca="false">IF(OR(I1266="DNB",I1266="Dry DNB"),1,0)</f>
        <v>0</v>
      </c>
      <c r="Y1266" s="39" t="n">
        <f aca="false">MATCH(A1266,DATAS,0)</f>
        <v>1</v>
      </c>
      <c r="Z1266" s="39" t="n">
        <f aca="false">IF(AND(E1266&gt;0,OR(AND(B1266&gt;=1,B1266&lt;=6),B1266=10)),1,0)</f>
        <v>1</v>
      </c>
      <c r="AA1266" s="39" t="n">
        <f aca="false">IF(AND(E1266&gt;0,B1266=10),1,0)</f>
        <v>0</v>
      </c>
      <c r="AB1266" s="0" t="str">
        <f aca="false">IF(AND(C1265=C1266,Y1265=Y1266-1),Z1265,"")</f>
        <v/>
      </c>
      <c r="AC1266" s="0" t="str">
        <f aca="false">IF(AND(C1265=C1266,Y1265=Y1266-1),AA1265,"")</f>
        <v/>
      </c>
      <c r="AD1266" s="0" t="str">
        <f aca="false">IF(Y1266=1,"",IF(AND(Z1266=1,AB1266&lt;&gt;1),1,0))</f>
        <v/>
      </c>
      <c r="AE1266" s="0" t="str">
        <f aca="false">IF(Y1266=1,"",IF(AND(AA1266=1,AC1266&lt;&gt;1),1,0))</f>
        <v/>
      </c>
      <c r="AF1266" s="45" t="str">
        <f aca="false">IF(AND(E1266&gt;0,Y1266&lt;1,NOT(AND(C1267=C1266,Y1267=Y1266+1))),INDEX(DATAS,Y1266+1),"")</f>
        <v/>
      </c>
      <c r="AG1266" s="45" t="str">
        <f aca="false">IF(AND(AA1266=1,Y1266&lt;1),IF(AND(C1267=C1266,Y1267=Y1266+1),IF(AA1267=1,"",INDEX(DATAS,Y1266+1)),INDEX(DATAS,Y1266+1)),"")</f>
        <v/>
      </c>
    </row>
    <row r="1267" customFormat="false" ht="15" hidden="false" customHeight="false" outlineLevel="0" collapsed="false">
      <c r="A1267" s="45" t="n">
        <v>46309</v>
      </c>
      <c r="B1267" s="0" t="n">
        <v>6</v>
      </c>
      <c r="C1267" s="0" t="n">
        <v>5340</v>
      </c>
      <c r="D1267" s="0" t="n">
        <v>331</v>
      </c>
      <c r="E1267" s="0" t="n">
        <v>1</v>
      </c>
      <c r="F1267" s="39" t="s">
        <v>826</v>
      </c>
      <c r="H1267" s="0" t="n">
        <v>27</v>
      </c>
      <c r="I1267" s="39" t="s">
        <v>109</v>
      </c>
      <c r="J1267" s="0" t="n">
        <v>104</v>
      </c>
      <c r="K1267" s="0" t="n">
        <v>65</v>
      </c>
      <c r="L1267" s="0" t="n">
        <v>227</v>
      </c>
      <c r="M1267" s="0" t="n">
        <v>491.21</v>
      </c>
      <c r="N1267" s="0" t="n">
        <v>39.87</v>
      </c>
      <c r="O1267" s="0" t="n">
        <v>24.07</v>
      </c>
      <c r="P1267" s="0" t="n">
        <v>4.5</v>
      </c>
      <c r="Q1267" s="0" t="n">
        <v>3.55</v>
      </c>
      <c r="R1267" s="0" t="n">
        <v>4117</v>
      </c>
      <c r="S1267" s="0" t="n">
        <v>8840</v>
      </c>
      <c r="T1267" s="0" t="n">
        <v>46.95</v>
      </c>
      <c r="U1267" s="0" t="n">
        <v>966</v>
      </c>
      <c r="V1267" s="0" t="n">
        <v>3</v>
      </c>
      <c r="W1267" s="39" t="n">
        <f aca="false">IF(I1267="Male",0,1)</f>
        <v>1</v>
      </c>
      <c r="X1267" s="39" t="n">
        <f aca="false">IF(OR(I1267="DNB",I1267="Dry DNB"),1,0)</f>
        <v>0</v>
      </c>
      <c r="Y1267" s="39" t="n">
        <f aca="false">MATCH(A1267,DATAS,0)</f>
        <v>1</v>
      </c>
      <c r="Z1267" s="39" t="n">
        <f aca="false">IF(AND(E1267&gt;0,OR(AND(B1267&gt;=1,B1267&lt;=6),B1267=10)),1,0)</f>
        <v>1</v>
      </c>
      <c r="AA1267" s="39" t="n">
        <f aca="false">IF(AND(E1267&gt;0,B1267=10),1,0)</f>
        <v>0</v>
      </c>
      <c r="AB1267" s="0" t="str">
        <f aca="false">IF(AND(C1266=C1267,Y1266=Y1267-1),Z1266,"")</f>
        <v/>
      </c>
      <c r="AC1267" s="0" t="str">
        <f aca="false">IF(AND(C1266=C1267,Y1266=Y1267-1),AA1266,"")</f>
        <v/>
      </c>
      <c r="AD1267" s="0" t="str">
        <f aca="false">IF(Y1267=1,"",IF(AND(Z1267=1,AB1267&lt;&gt;1),1,0))</f>
        <v/>
      </c>
      <c r="AE1267" s="0" t="str">
        <f aca="false">IF(Y1267=1,"",IF(AND(AA1267=1,AC1267&lt;&gt;1),1,0))</f>
        <v/>
      </c>
      <c r="AF1267" s="45" t="str">
        <f aca="false">IF(AND(E1267&gt;0,Y1267&lt;1,NOT(AND(C1268=C1267,Y1268=Y1267+1))),INDEX(DATAS,Y1267+1),"")</f>
        <v/>
      </c>
      <c r="AG1267" s="45" t="str">
        <f aca="false">IF(AND(AA1267=1,Y1267&lt;1),IF(AND(C1268=C1267,Y1268=Y1267+1),IF(AA1268=1,"",INDEX(DATAS,Y1267+1)),INDEX(DATAS,Y1267+1)),"")</f>
        <v/>
      </c>
    </row>
    <row r="1268" customFormat="false" ht="15" hidden="false" customHeight="false" outlineLevel="0" collapsed="false">
      <c r="A1268" s="45" t="n">
        <v>46309</v>
      </c>
      <c r="B1268" s="0" t="n">
        <v>7</v>
      </c>
      <c r="C1268" s="0" t="n">
        <v>5342</v>
      </c>
      <c r="D1268" s="0" t="n">
        <v>284</v>
      </c>
      <c r="E1268" s="0" t="n">
        <v>1</v>
      </c>
      <c r="F1268" s="39" t="s">
        <v>827</v>
      </c>
      <c r="I1268" s="39" t="s">
        <v>114</v>
      </c>
      <c r="J1268" s="0" t="n">
        <v>61</v>
      </c>
      <c r="K1268" s="0" t="n">
        <v>61</v>
      </c>
      <c r="L1268" s="0" t="n">
        <v>245</v>
      </c>
      <c r="M1268" s="0" t="n">
        <v>1093.43</v>
      </c>
      <c r="N1268" s="0" t="n">
        <v>60.18</v>
      </c>
      <c r="O1268" s="0" t="n">
        <v>24.39</v>
      </c>
      <c r="P1268" s="0" t="n">
        <v>3.13</v>
      </c>
      <c r="Q1268" s="0" t="n">
        <v>3.37</v>
      </c>
      <c r="R1268" s="0" t="n">
        <v>4263</v>
      </c>
      <c r="S1268" s="0" t="n">
        <v>9433</v>
      </c>
      <c r="T1268" s="0" t="n">
        <v>47.7</v>
      </c>
      <c r="U1268" s="0" t="n">
        <v>965</v>
      </c>
      <c r="V1268" s="0" t="n">
        <v>1</v>
      </c>
      <c r="W1268" s="39" t="n">
        <f aca="false">IF(I1268="Male",0,1)</f>
        <v>1</v>
      </c>
      <c r="X1268" s="39" t="n">
        <f aca="false">IF(OR(I1268="DNB",I1268="Dry DNB"),1,0)</f>
        <v>0</v>
      </c>
      <c r="Y1268" s="39" t="n">
        <f aca="false">MATCH(A1268,DATAS,0)</f>
        <v>1</v>
      </c>
      <c r="Z1268" s="39" t="n">
        <f aca="false">IF(AND(E1268&gt;0,OR(AND(B1268&gt;=1,B1268&lt;=6),B1268=10)),1,0)</f>
        <v>0</v>
      </c>
      <c r="AA1268" s="39" t="n">
        <f aca="false">IF(AND(E1268&gt;0,B1268=10),1,0)</f>
        <v>0</v>
      </c>
      <c r="AB1268" s="0" t="str">
        <f aca="false">IF(AND(C1267=C1268,Y1267=Y1268-1),Z1267,"")</f>
        <v/>
      </c>
      <c r="AC1268" s="0" t="str">
        <f aca="false">IF(AND(C1267=C1268,Y1267=Y1268-1),AA1267,"")</f>
        <v/>
      </c>
      <c r="AD1268" s="0" t="str">
        <f aca="false">IF(Y1268=1,"",IF(AND(Z1268=1,AB1268&lt;&gt;1),1,0))</f>
        <v/>
      </c>
      <c r="AE1268" s="0" t="str">
        <f aca="false">IF(Y1268=1,"",IF(AND(AA1268=1,AC1268&lt;&gt;1),1,0))</f>
        <v/>
      </c>
      <c r="AF1268" s="45" t="str">
        <f aca="false">IF(AND(E1268&gt;0,Y1268&lt;1,NOT(AND(C1269=C1268,Y1269=Y1268+1))),INDEX(DATAS,Y1268+1),"")</f>
        <v/>
      </c>
      <c r="AG1268" s="45" t="str">
        <f aca="false">IF(AND(AA1268=1,Y1268&lt;1),IF(AND(C1269=C1268,Y1269=Y1268+1),IF(AA1269=1,"",INDEX(DATAS,Y1268+1)),INDEX(DATAS,Y1268+1)),"")</f>
        <v/>
      </c>
    </row>
    <row r="1269" customFormat="false" ht="15" hidden="false" customHeight="false" outlineLevel="0" collapsed="false">
      <c r="A1269" s="45" t="n">
        <v>46309</v>
      </c>
      <c r="B1269" s="0" t="n">
        <v>4</v>
      </c>
      <c r="C1269" s="0" t="n">
        <v>5343</v>
      </c>
      <c r="D1269" s="0" t="n">
        <v>277</v>
      </c>
      <c r="E1269" s="0" t="n">
        <v>1</v>
      </c>
      <c r="F1269" s="39" t="s">
        <v>827</v>
      </c>
      <c r="G1269" s="0" t="n">
        <v>38.7</v>
      </c>
      <c r="H1269" s="0" t="n">
        <v>39</v>
      </c>
      <c r="I1269" s="39" t="s">
        <v>146</v>
      </c>
      <c r="J1269" s="0" t="n">
        <v>277</v>
      </c>
      <c r="K1269" s="0" t="n">
        <v>67</v>
      </c>
      <c r="M1269" s="0" t="n">
        <v>282.63</v>
      </c>
      <c r="N1269" s="0" t="n">
        <v>83.54</v>
      </c>
      <c r="O1269" s="0" t="n">
        <v>40.08</v>
      </c>
      <c r="P1269" s="0" t="n">
        <v>4.3</v>
      </c>
      <c r="Q1269" s="0" t="n">
        <v>3.71</v>
      </c>
      <c r="R1269" s="0" t="n">
        <v>4347</v>
      </c>
      <c r="S1269" s="0" t="n">
        <v>8195</v>
      </c>
      <c r="T1269" s="0" t="n">
        <v>44.3</v>
      </c>
      <c r="U1269" s="0" t="n">
        <v>965</v>
      </c>
      <c r="V1269" s="0" t="n">
        <v>6</v>
      </c>
      <c r="W1269" s="39" t="n">
        <f aca="false">IF(I1269="Male",0,1)</f>
        <v>1</v>
      </c>
      <c r="X1269" s="39" t="n">
        <f aca="false">IF(OR(I1269="DNB",I1269="Dry DNB"),1,0)</f>
        <v>0</v>
      </c>
      <c r="Y1269" s="39" t="n">
        <f aca="false">MATCH(A1269,DATAS,0)</f>
        <v>1</v>
      </c>
      <c r="Z1269" s="39" t="n">
        <f aca="false">IF(AND(E1269&gt;0,OR(AND(B1269&gt;=1,B1269&lt;=6),B1269=10)),1,0)</f>
        <v>1</v>
      </c>
      <c r="AA1269" s="39" t="n">
        <f aca="false">IF(AND(E1269&gt;0,B1269=10),1,0)</f>
        <v>0</v>
      </c>
      <c r="AB1269" s="0" t="str">
        <f aca="false">IF(AND(C1268=C1269,Y1268=Y1269-1),Z1268,"")</f>
        <v/>
      </c>
      <c r="AC1269" s="0" t="str">
        <f aca="false">IF(AND(C1268=C1269,Y1268=Y1269-1),AA1268,"")</f>
        <v/>
      </c>
      <c r="AD1269" s="0" t="str">
        <f aca="false">IF(Y1269=1,"",IF(AND(Z1269=1,AB1269&lt;&gt;1),1,0))</f>
        <v/>
      </c>
      <c r="AE1269" s="0" t="str">
        <f aca="false">IF(Y1269=1,"",IF(AND(AA1269=1,AC1269&lt;&gt;1),1,0))</f>
        <v/>
      </c>
      <c r="AF1269" s="45" t="str">
        <f aca="false">IF(AND(E1269&gt;0,Y1269&lt;1,NOT(AND(C1270=C1269,Y1270=Y1269+1))),INDEX(DATAS,Y1269+1),"")</f>
        <v/>
      </c>
      <c r="AG1269" s="45" t="str">
        <f aca="false">IF(AND(AA1269=1,Y1269&lt;1),IF(AND(C1270=C1269,Y1270=Y1269+1),IF(AA1270=1,"",INDEX(DATAS,Y1269+1)),INDEX(DATAS,Y1269+1)),"")</f>
        <v/>
      </c>
    </row>
    <row r="1270" customFormat="false" ht="15" hidden="false" customHeight="false" outlineLevel="0" collapsed="false">
      <c r="A1270" s="45" t="n">
        <v>46309</v>
      </c>
      <c r="B1270" s="0" t="n">
        <v>4</v>
      </c>
      <c r="C1270" s="0" t="n">
        <v>5344</v>
      </c>
      <c r="D1270" s="0" t="n">
        <v>323</v>
      </c>
      <c r="E1270" s="0" t="n">
        <v>1</v>
      </c>
      <c r="F1270" s="39" t="s">
        <v>827</v>
      </c>
      <c r="G1270" s="0" t="n">
        <v>39.9</v>
      </c>
      <c r="H1270" s="0" t="n">
        <v>42</v>
      </c>
      <c r="I1270" s="39" t="s">
        <v>109</v>
      </c>
      <c r="J1270" s="0" t="n">
        <v>141</v>
      </c>
      <c r="K1270" s="0" t="n">
        <v>64</v>
      </c>
      <c r="L1270" s="0" t="n">
        <v>182</v>
      </c>
      <c r="M1270" s="0" t="n">
        <v>415.09</v>
      </c>
      <c r="N1270" s="0" t="n">
        <v>87.04</v>
      </c>
      <c r="O1270" s="0" t="n">
        <v>32.45</v>
      </c>
      <c r="P1270" s="0" t="n">
        <v>3.91</v>
      </c>
      <c r="Q1270" s="0" t="n">
        <v>3.74</v>
      </c>
      <c r="R1270" s="0" t="n">
        <v>3946</v>
      </c>
      <c r="S1270" s="0" t="n">
        <v>8298</v>
      </c>
      <c r="T1270" s="0" t="n">
        <v>44.25</v>
      </c>
      <c r="U1270" s="0" t="n">
        <v>965</v>
      </c>
      <c r="V1270" s="0" t="n">
        <v>3</v>
      </c>
      <c r="W1270" s="39" t="n">
        <f aca="false">IF(I1270="Male",0,1)</f>
        <v>1</v>
      </c>
      <c r="X1270" s="39" t="n">
        <f aca="false">IF(OR(I1270="DNB",I1270="Dry DNB"),1,0)</f>
        <v>0</v>
      </c>
      <c r="Y1270" s="39" t="n">
        <f aca="false">MATCH(A1270,DATAS,0)</f>
        <v>1</v>
      </c>
      <c r="Z1270" s="39" t="n">
        <f aca="false">IF(AND(E1270&gt;0,OR(AND(B1270&gt;=1,B1270&lt;=6),B1270=10)),1,0)</f>
        <v>1</v>
      </c>
      <c r="AA1270" s="39" t="n">
        <f aca="false">IF(AND(E1270&gt;0,B1270=10),1,0)</f>
        <v>0</v>
      </c>
      <c r="AB1270" s="0" t="str">
        <f aca="false">IF(AND(C1269=C1270,Y1269=Y1270-1),Z1269,"")</f>
        <v/>
      </c>
      <c r="AC1270" s="0" t="str">
        <f aca="false">IF(AND(C1269=C1270,Y1269=Y1270-1),AA1269,"")</f>
        <v/>
      </c>
      <c r="AD1270" s="0" t="str">
        <f aca="false">IF(Y1270=1,"",IF(AND(Z1270=1,AB1270&lt;&gt;1),1,0))</f>
        <v/>
      </c>
      <c r="AE1270" s="0" t="str">
        <f aca="false">IF(Y1270=1,"",IF(AND(AA1270=1,AC1270&lt;&gt;1),1,0))</f>
        <v/>
      </c>
      <c r="AF1270" s="45" t="str">
        <f aca="false">IF(AND(E1270&gt;0,Y1270&lt;1,NOT(AND(C1271=C1270,Y1271=Y1270+1))),INDEX(DATAS,Y1270+1),"")</f>
        <v/>
      </c>
      <c r="AG1270" s="45" t="str">
        <f aca="false">IF(AND(AA1270=1,Y1270&lt;1),IF(AND(C1271=C1270,Y1271=Y1270+1),IF(AA1271=1,"",INDEX(DATAS,Y1270+1)),INDEX(DATAS,Y1270+1)),"")</f>
        <v/>
      </c>
    </row>
    <row r="1271" customFormat="false" ht="15" hidden="false" customHeight="false" outlineLevel="0" collapsed="false">
      <c r="A1271" s="45" t="n">
        <v>46309</v>
      </c>
      <c r="B1271" s="0" t="n">
        <v>8</v>
      </c>
      <c r="C1271" s="0" t="n">
        <v>5345</v>
      </c>
      <c r="E1271" s="0" t="n">
        <v>0</v>
      </c>
      <c r="F1271" s="39" t="s">
        <v>827</v>
      </c>
      <c r="I1271" s="39" t="s">
        <v>109</v>
      </c>
      <c r="L1271" s="0" t="n">
        <v>156</v>
      </c>
      <c r="M1271" s="0" t="n">
        <v>324.8</v>
      </c>
      <c r="N1271" s="0" t="n">
        <v>75.41</v>
      </c>
      <c r="O1271" s="0" t="n">
        <v>41.88</v>
      </c>
      <c r="U1271" s="0" t="n">
        <v>965</v>
      </c>
      <c r="V1271" s="0" t="n">
        <v>7</v>
      </c>
      <c r="W1271" s="39" t="n">
        <f aca="false">IF(I1271="Male",0,1)</f>
        <v>1</v>
      </c>
      <c r="X1271" s="39" t="n">
        <f aca="false">IF(OR(I1271="DNB",I1271="Dry DNB"),1,0)</f>
        <v>0</v>
      </c>
      <c r="Y1271" s="39" t="n">
        <f aca="false">MATCH(A1271,DATAS,0)</f>
        <v>1</v>
      </c>
      <c r="Z1271" s="39" t="n">
        <f aca="false">IF(AND(E1271&gt;0,OR(AND(B1271&gt;=1,B1271&lt;=6),B1271=10)),1,0)</f>
        <v>0</v>
      </c>
      <c r="AA1271" s="39" t="n">
        <f aca="false">IF(AND(E1271&gt;0,B1271=10),1,0)</f>
        <v>0</v>
      </c>
      <c r="AB1271" s="0" t="str">
        <f aca="false">IF(AND(C1270=C1271,Y1270=Y1271-1),Z1270,"")</f>
        <v/>
      </c>
      <c r="AC1271" s="0" t="str">
        <f aca="false">IF(AND(C1270=C1271,Y1270=Y1271-1),AA1270,"")</f>
        <v/>
      </c>
      <c r="AD1271" s="0" t="str">
        <f aca="false">IF(Y1271=1,"",IF(AND(Z1271=1,AB1271&lt;&gt;1),1,0))</f>
        <v/>
      </c>
      <c r="AE1271" s="0" t="str">
        <f aca="false">IF(Y1271=1,"",IF(AND(AA1271=1,AC1271&lt;&gt;1),1,0))</f>
        <v/>
      </c>
      <c r="AF1271" s="45" t="str">
        <f aca="false">IF(AND(E1271&gt;0,Y1271&lt;1,NOT(AND(C1272=C1271,Y1272=Y1271+1))),INDEX(DATAS,Y1271+1),"")</f>
        <v/>
      </c>
      <c r="AG1271" s="45" t="str">
        <f aca="false">IF(AND(AA1271=1,Y1271&lt;1),IF(AND(C1272=C1271,Y1272=Y1271+1),IF(AA1272=1,"",INDEX(DATAS,Y1271+1)),INDEX(DATAS,Y1271+1)),"")</f>
        <v/>
      </c>
    </row>
    <row r="1272" customFormat="false" ht="15" hidden="false" customHeight="false" outlineLevel="0" collapsed="false">
      <c r="A1272" s="45" t="n">
        <v>46309</v>
      </c>
      <c r="B1272" s="0" t="n">
        <v>4</v>
      </c>
      <c r="C1272" s="0" t="n">
        <v>5346</v>
      </c>
      <c r="D1272" s="0" t="n">
        <v>323</v>
      </c>
      <c r="E1272" s="0" t="n">
        <v>1</v>
      </c>
      <c r="F1272" s="39" t="s">
        <v>828</v>
      </c>
      <c r="G1272" s="0" t="n">
        <v>39.6</v>
      </c>
      <c r="H1272" s="0" t="n">
        <v>40</v>
      </c>
      <c r="I1272" s="39" t="s">
        <v>109</v>
      </c>
      <c r="J1272" s="0" t="n">
        <v>239</v>
      </c>
      <c r="K1272" s="0" t="n">
        <v>64</v>
      </c>
      <c r="L1272" s="0" t="n">
        <v>84</v>
      </c>
      <c r="M1272" s="0" t="n">
        <v>-622.89</v>
      </c>
      <c r="N1272" s="0" t="n">
        <v>64.25</v>
      </c>
      <c r="O1272" s="0" t="n">
        <v>13.44</v>
      </c>
      <c r="P1272" s="0" t="n">
        <v>3.97</v>
      </c>
      <c r="Q1272" s="0" t="n">
        <v>3.79</v>
      </c>
      <c r="R1272" s="0" t="n">
        <v>3529</v>
      </c>
      <c r="S1272" s="0" t="n">
        <v>6345</v>
      </c>
      <c r="T1272" s="0" t="n">
        <v>41.3</v>
      </c>
      <c r="U1272" s="0" t="n">
        <v>964</v>
      </c>
      <c r="V1272" s="0" t="n">
        <v>6</v>
      </c>
      <c r="W1272" s="39" t="n">
        <f aca="false">IF(I1272="Male",0,1)</f>
        <v>1</v>
      </c>
      <c r="X1272" s="39" t="n">
        <f aca="false">IF(OR(I1272="DNB",I1272="Dry DNB"),1,0)</f>
        <v>0</v>
      </c>
      <c r="Y1272" s="39" t="n">
        <f aca="false">MATCH(A1272,DATAS,0)</f>
        <v>1</v>
      </c>
      <c r="Z1272" s="39" t="n">
        <f aca="false">IF(AND(E1272&gt;0,OR(AND(B1272&gt;=1,B1272&lt;=6),B1272=10)),1,0)</f>
        <v>1</v>
      </c>
      <c r="AA1272" s="39" t="n">
        <f aca="false">IF(AND(E1272&gt;0,B1272=10),1,0)</f>
        <v>0</v>
      </c>
      <c r="AB1272" s="0" t="str">
        <f aca="false">IF(AND(C1271=C1272,Y1271=Y1272-1),Z1271,"")</f>
        <v/>
      </c>
      <c r="AC1272" s="0" t="str">
        <f aca="false">IF(AND(C1271=C1272,Y1271=Y1272-1),AA1271,"")</f>
        <v/>
      </c>
      <c r="AD1272" s="0" t="str">
        <f aca="false">IF(Y1272=1,"",IF(AND(Z1272=1,AB1272&lt;&gt;1),1,0))</f>
        <v/>
      </c>
      <c r="AE1272" s="0" t="str">
        <f aca="false">IF(Y1272=1,"",IF(AND(AA1272=1,AC1272&lt;&gt;1),1,0))</f>
        <v/>
      </c>
      <c r="AF1272" s="45" t="str">
        <f aca="false">IF(AND(E1272&gt;0,Y1272&lt;1,NOT(AND(C1273=C1272,Y1273=Y1272+1))),INDEX(DATAS,Y1272+1),"")</f>
        <v/>
      </c>
      <c r="AG1272" s="45" t="str">
        <f aca="false">IF(AND(AA1272=1,Y1272&lt;1),IF(AND(C1273=C1272,Y1273=Y1272+1),IF(AA1273=1,"",INDEX(DATAS,Y1272+1)),INDEX(DATAS,Y1272+1)),"")</f>
        <v/>
      </c>
    </row>
    <row r="1273" customFormat="false" ht="15" hidden="false" customHeight="false" outlineLevel="0" collapsed="false">
      <c r="A1273" s="45" t="n">
        <v>46309</v>
      </c>
      <c r="B1273" s="0" t="n">
        <v>7</v>
      </c>
      <c r="C1273" s="0" t="n">
        <v>5347</v>
      </c>
      <c r="D1273" s="0" t="n">
        <v>325</v>
      </c>
      <c r="E1273" s="0" t="n">
        <v>1</v>
      </c>
      <c r="F1273" s="39" t="s">
        <v>828</v>
      </c>
      <c r="I1273" s="39" t="s">
        <v>114</v>
      </c>
      <c r="J1273" s="0" t="n">
        <v>123</v>
      </c>
      <c r="K1273" s="0" t="n">
        <v>67</v>
      </c>
      <c r="L1273" s="0" t="n">
        <v>217</v>
      </c>
      <c r="M1273" s="0" t="n">
        <v>759.52</v>
      </c>
      <c r="N1273" s="0" t="n">
        <v>71.67</v>
      </c>
      <c r="O1273" s="0" t="n">
        <v>37.99</v>
      </c>
      <c r="P1273" s="0" t="n">
        <v>5.11</v>
      </c>
      <c r="Q1273" s="0" t="n">
        <v>4.32</v>
      </c>
      <c r="R1273" s="0" t="n">
        <v>4120</v>
      </c>
      <c r="S1273" s="0" t="n">
        <v>8379</v>
      </c>
      <c r="T1273" s="0" t="n">
        <v>41.6</v>
      </c>
      <c r="U1273" s="0" t="n">
        <v>964</v>
      </c>
      <c r="V1273" s="0" t="n">
        <v>2</v>
      </c>
      <c r="W1273" s="39" t="n">
        <f aca="false">IF(I1273="Male",0,1)</f>
        <v>1</v>
      </c>
      <c r="X1273" s="39" t="n">
        <f aca="false">IF(OR(I1273="DNB",I1273="Dry DNB"),1,0)</f>
        <v>0</v>
      </c>
      <c r="Y1273" s="39" t="n">
        <f aca="false">MATCH(A1273,DATAS,0)</f>
        <v>1</v>
      </c>
      <c r="Z1273" s="39" t="n">
        <f aca="false">IF(AND(E1273&gt;0,OR(AND(B1273&gt;=1,B1273&lt;=6),B1273=10)),1,0)</f>
        <v>0</v>
      </c>
      <c r="AA1273" s="39" t="n">
        <f aca="false">IF(AND(E1273&gt;0,B1273=10),1,0)</f>
        <v>0</v>
      </c>
      <c r="AB1273" s="0" t="str">
        <f aca="false">IF(AND(C1272=C1273,Y1272=Y1273-1),Z1272,"")</f>
        <v/>
      </c>
      <c r="AC1273" s="0" t="str">
        <f aca="false">IF(AND(C1272=C1273,Y1272=Y1273-1),AA1272,"")</f>
        <v/>
      </c>
      <c r="AD1273" s="0" t="str">
        <f aca="false">IF(Y1273=1,"",IF(AND(Z1273=1,AB1273&lt;&gt;1),1,0))</f>
        <v/>
      </c>
      <c r="AE1273" s="0" t="str">
        <f aca="false">IF(Y1273=1,"",IF(AND(AA1273=1,AC1273&lt;&gt;1),1,0))</f>
        <v/>
      </c>
      <c r="AF1273" s="45" t="str">
        <f aca="false">IF(AND(E1273&gt;0,Y1273&lt;1,NOT(AND(C1274=C1273,Y1274=Y1273+1))),INDEX(DATAS,Y1273+1),"")</f>
        <v/>
      </c>
      <c r="AG1273" s="45" t="str">
        <f aca="false">IF(AND(AA1273=1,Y1273&lt;1),IF(AND(C1274=C1273,Y1274=Y1273+1),IF(AA1274=1,"",INDEX(DATAS,Y1273+1)),INDEX(DATAS,Y1273+1)),"")</f>
        <v/>
      </c>
    </row>
    <row r="1274" customFormat="false" ht="15" hidden="false" customHeight="false" outlineLevel="0" collapsed="false">
      <c r="A1274" s="45" t="n">
        <v>46309</v>
      </c>
      <c r="B1274" s="0" t="n">
        <v>7</v>
      </c>
      <c r="C1274" s="0" t="n">
        <v>5350</v>
      </c>
      <c r="D1274" s="0" t="n">
        <v>292</v>
      </c>
      <c r="E1274" s="0" t="n">
        <v>1</v>
      </c>
      <c r="F1274" s="39" t="s">
        <v>829</v>
      </c>
      <c r="I1274" s="39" t="s">
        <v>114</v>
      </c>
      <c r="J1274" s="0" t="n">
        <v>69</v>
      </c>
      <c r="K1274" s="0" t="n">
        <v>69</v>
      </c>
      <c r="L1274" s="0" t="n">
        <v>245</v>
      </c>
      <c r="M1274" s="0" t="n">
        <v>208.56</v>
      </c>
      <c r="N1274" s="0" t="n">
        <v>58.52</v>
      </c>
      <c r="O1274" s="0" t="n">
        <v>21.93</v>
      </c>
      <c r="P1274" s="0" t="n">
        <v>3.9</v>
      </c>
      <c r="Q1274" s="0" t="n">
        <v>3.66</v>
      </c>
      <c r="R1274" s="0" t="n">
        <v>4077</v>
      </c>
      <c r="S1274" s="0" t="n">
        <v>8148</v>
      </c>
      <c r="T1274" s="0" t="n">
        <v>42.95</v>
      </c>
      <c r="U1274" s="0" t="n">
        <v>963</v>
      </c>
      <c r="V1274" s="0" t="n">
        <v>1</v>
      </c>
      <c r="W1274" s="39" t="n">
        <f aca="false">IF(I1274="Male",0,1)</f>
        <v>1</v>
      </c>
      <c r="X1274" s="39" t="n">
        <f aca="false">IF(OR(I1274="DNB",I1274="Dry DNB"),1,0)</f>
        <v>0</v>
      </c>
      <c r="Y1274" s="39" t="n">
        <f aca="false">MATCH(A1274,DATAS,0)</f>
        <v>1</v>
      </c>
      <c r="Z1274" s="39" t="n">
        <f aca="false">IF(AND(E1274&gt;0,OR(AND(B1274&gt;=1,B1274&lt;=6),B1274=10)),1,0)</f>
        <v>0</v>
      </c>
      <c r="AA1274" s="39" t="n">
        <f aca="false">IF(AND(E1274&gt;0,B1274=10),1,0)</f>
        <v>0</v>
      </c>
      <c r="AB1274" s="0" t="str">
        <f aca="false">IF(AND(C1273=C1274,Y1273=Y1274-1),Z1273,"")</f>
        <v/>
      </c>
      <c r="AC1274" s="0" t="str">
        <f aca="false">IF(AND(C1273=C1274,Y1273=Y1274-1),AA1273,"")</f>
        <v/>
      </c>
      <c r="AD1274" s="0" t="str">
        <f aca="false">IF(Y1274=1,"",IF(AND(Z1274=1,AB1274&lt;&gt;1),1,0))</f>
        <v/>
      </c>
      <c r="AE1274" s="0" t="str">
        <f aca="false">IF(Y1274=1,"",IF(AND(AA1274=1,AC1274&lt;&gt;1),1,0))</f>
        <v/>
      </c>
      <c r="AF1274" s="45" t="str">
        <f aca="false">IF(AND(E1274&gt;0,Y1274&lt;1,NOT(AND(C1275=C1274,Y1275=Y1274+1))),INDEX(DATAS,Y1274+1),"")</f>
        <v/>
      </c>
      <c r="AG1274" s="45" t="str">
        <f aca="false">IF(AND(AA1274=1,Y1274&lt;1),IF(AND(C1275=C1274,Y1275=Y1274+1),IF(AA1275=1,"",INDEX(DATAS,Y1274+1)),INDEX(DATAS,Y1274+1)),"")</f>
        <v/>
      </c>
    </row>
    <row r="1275" customFormat="false" ht="15" hidden="false" customHeight="false" outlineLevel="0" collapsed="false">
      <c r="A1275" s="45" t="n">
        <v>46309</v>
      </c>
      <c r="B1275" s="0" t="n">
        <v>4</v>
      </c>
      <c r="C1275" s="0" t="n">
        <v>5351</v>
      </c>
      <c r="D1275" s="0" t="n">
        <v>185</v>
      </c>
      <c r="E1275" s="0" t="n">
        <v>1</v>
      </c>
      <c r="F1275" s="39" t="s">
        <v>829</v>
      </c>
      <c r="G1275" s="0" t="n">
        <v>57.1</v>
      </c>
      <c r="H1275" s="0" t="n">
        <v>55</v>
      </c>
      <c r="I1275" s="39" t="s">
        <v>109</v>
      </c>
      <c r="J1275" s="0" t="n">
        <v>66</v>
      </c>
      <c r="K1275" s="0" t="n">
        <v>66</v>
      </c>
      <c r="L1275" s="0" t="n">
        <v>119</v>
      </c>
      <c r="M1275" s="0" t="n">
        <v>1327.3</v>
      </c>
      <c r="N1275" s="0" t="n">
        <v>31.32</v>
      </c>
      <c r="O1275" s="0" t="n">
        <v>32.03</v>
      </c>
      <c r="P1275" s="0" t="n">
        <v>2.1</v>
      </c>
      <c r="Q1275" s="0" t="n">
        <v>3.4</v>
      </c>
      <c r="R1275" s="0" t="n">
        <v>4732</v>
      </c>
      <c r="S1275" s="0" t="n">
        <v>10713</v>
      </c>
      <c r="T1275" s="0" t="n">
        <v>54.35</v>
      </c>
      <c r="U1275" s="0" t="n">
        <v>963</v>
      </c>
      <c r="V1275" s="0" t="n">
        <v>1</v>
      </c>
      <c r="W1275" s="39" t="n">
        <f aca="false">IF(I1275="Male",0,1)</f>
        <v>1</v>
      </c>
      <c r="X1275" s="39" t="n">
        <f aca="false">IF(OR(I1275="DNB",I1275="Dry DNB"),1,0)</f>
        <v>0</v>
      </c>
      <c r="Y1275" s="39" t="n">
        <f aca="false">MATCH(A1275,DATAS,0)</f>
        <v>1</v>
      </c>
      <c r="Z1275" s="39" t="n">
        <f aca="false">IF(AND(E1275&gt;0,OR(AND(B1275&gt;=1,B1275&lt;=6),B1275=10)),1,0)</f>
        <v>1</v>
      </c>
      <c r="AA1275" s="39" t="n">
        <f aca="false">IF(AND(E1275&gt;0,B1275=10),1,0)</f>
        <v>0</v>
      </c>
      <c r="AB1275" s="0" t="str">
        <f aca="false">IF(AND(C1274=C1275,Y1274=Y1275-1),Z1274,"")</f>
        <v/>
      </c>
      <c r="AC1275" s="0" t="str">
        <f aca="false">IF(AND(C1274=C1275,Y1274=Y1275-1),AA1274,"")</f>
        <v/>
      </c>
      <c r="AD1275" s="0" t="str">
        <f aca="false">IF(Y1275=1,"",IF(AND(Z1275=1,AB1275&lt;&gt;1),1,0))</f>
        <v/>
      </c>
      <c r="AE1275" s="0" t="str">
        <f aca="false">IF(Y1275=1,"",IF(AND(AA1275=1,AC1275&lt;&gt;1),1,0))</f>
        <v/>
      </c>
      <c r="AF1275" s="45" t="str">
        <f aca="false">IF(AND(E1275&gt;0,Y1275&lt;1,NOT(AND(C1276=C1275,Y1276=Y1275+1))),INDEX(DATAS,Y1275+1),"")</f>
        <v/>
      </c>
      <c r="AG1275" s="45" t="str">
        <f aca="false">IF(AND(AA1275=1,Y1275&lt;1),IF(AND(C1276=C1275,Y1276=Y1275+1),IF(AA1276=1,"",INDEX(DATAS,Y1275+1)),INDEX(DATAS,Y1275+1)),"")</f>
        <v/>
      </c>
    </row>
    <row r="1276" customFormat="false" ht="15" hidden="false" customHeight="false" outlineLevel="0" collapsed="false">
      <c r="A1276" s="45" t="n">
        <v>46309</v>
      </c>
      <c r="B1276" s="0" t="n">
        <v>4</v>
      </c>
      <c r="C1276" s="0" t="n">
        <v>5352</v>
      </c>
      <c r="D1276" s="0" t="n">
        <v>319</v>
      </c>
      <c r="E1276" s="0" t="n">
        <v>1</v>
      </c>
      <c r="F1276" s="39" t="s">
        <v>830</v>
      </c>
      <c r="G1276" s="0" t="n">
        <v>40.4</v>
      </c>
      <c r="H1276" s="0" t="n">
        <v>35</v>
      </c>
      <c r="I1276" s="39" t="s">
        <v>109</v>
      </c>
      <c r="J1276" s="0" t="n">
        <v>144</v>
      </c>
      <c r="K1276" s="0" t="n">
        <v>67</v>
      </c>
      <c r="L1276" s="0" t="n">
        <v>175</v>
      </c>
      <c r="M1276" s="0" t="n">
        <v>291.52</v>
      </c>
      <c r="N1276" s="0" t="n">
        <v>50.23</v>
      </c>
      <c r="O1276" s="0" t="n">
        <v>17.35</v>
      </c>
      <c r="P1276" s="0" t="n">
        <v>3.99</v>
      </c>
      <c r="Q1276" s="0" t="n">
        <v>3.5</v>
      </c>
      <c r="R1276" s="0" t="n">
        <v>3755</v>
      </c>
      <c r="S1276" s="0" t="n">
        <v>8157</v>
      </c>
      <c r="T1276" s="0" t="n">
        <v>39.55</v>
      </c>
      <c r="U1276" s="0" t="n">
        <v>962</v>
      </c>
      <c r="V1276" s="0" t="n">
        <v>3</v>
      </c>
      <c r="W1276" s="39" t="n">
        <f aca="false">IF(I1276="Male",0,1)</f>
        <v>1</v>
      </c>
      <c r="X1276" s="39" t="n">
        <f aca="false">IF(OR(I1276="DNB",I1276="Dry DNB"),1,0)</f>
        <v>0</v>
      </c>
      <c r="Y1276" s="39" t="n">
        <f aca="false">MATCH(A1276,DATAS,0)</f>
        <v>1</v>
      </c>
      <c r="Z1276" s="39" t="n">
        <f aca="false">IF(AND(E1276&gt;0,OR(AND(B1276&gt;=1,B1276&lt;=6),B1276=10)),1,0)</f>
        <v>1</v>
      </c>
      <c r="AA1276" s="39" t="n">
        <f aca="false">IF(AND(E1276&gt;0,B1276=10),1,0)</f>
        <v>0</v>
      </c>
      <c r="AB1276" s="0" t="str">
        <f aca="false">IF(AND(C1275=C1276,Y1275=Y1276-1),Z1275,"")</f>
        <v/>
      </c>
      <c r="AC1276" s="0" t="str">
        <f aca="false">IF(AND(C1275=C1276,Y1275=Y1276-1),AA1275,"")</f>
        <v/>
      </c>
      <c r="AD1276" s="0" t="str">
        <f aca="false">IF(Y1276=1,"",IF(AND(Z1276=1,AB1276&lt;&gt;1),1,0))</f>
        <v/>
      </c>
      <c r="AE1276" s="0" t="str">
        <f aca="false">IF(Y1276=1,"",IF(AND(AA1276=1,AC1276&lt;&gt;1),1,0))</f>
        <v/>
      </c>
      <c r="AF1276" s="45" t="str">
        <f aca="false">IF(AND(E1276&gt;0,Y1276&lt;1,NOT(AND(C1277=C1276,Y1277=Y1276+1))),INDEX(DATAS,Y1276+1),"")</f>
        <v/>
      </c>
      <c r="AG1276" s="45" t="str">
        <f aca="false">IF(AND(AA1276=1,Y1276&lt;1),IF(AND(C1277=C1276,Y1277=Y1276+1),IF(AA1277=1,"",INDEX(DATAS,Y1276+1)),INDEX(DATAS,Y1276+1)),"")</f>
        <v/>
      </c>
    </row>
    <row r="1277" customFormat="false" ht="15" hidden="false" customHeight="false" outlineLevel="0" collapsed="false">
      <c r="A1277" s="45" t="n">
        <v>46309</v>
      </c>
      <c r="B1277" s="0" t="n">
        <v>4</v>
      </c>
      <c r="C1277" s="0" t="n">
        <v>5353</v>
      </c>
      <c r="D1277" s="0" t="n">
        <v>182</v>
      </c>
      <c r="E1277" s="0" t="n">
        <v>1</v>
      </c>
      <c r="F1277" s="39" t="s">
        <v>831</v>
      </c>
      <c r="G1277" s="0" t="n">
        <v>37.9</v>
      </c>
      <c r="H1277" s="0" t="n">
        <v>39</v>
      </c>
      <c r="I1277" s="39" t="s">
        <v>109</v>
      </c>
      <c r="J1277" s="0" t="n">
        <v>63</v>
      </c>
      <c r="K1277" s="0" t="n">
        <v>63</v>
      </c>
      <c r="L1277" s="0" t="n">
        <v>119</v>
      </c>
      <c r="M1277" s="0" t="n">
        <v>1036.52</v>
      </c>
      <c r="N1277" s="0" t="n">
        <v>49.27</v>
      </c>
      <c r="O1277" s="0" t="n">
        <v>37</v>
      </c>
      <c r="P1277" s="0" t="n">
        <v>4.1</v>
      </c>
      <c r="Q1277" s="0" t="n">
        <v>3.22</v>
      </c>
      <c r="R1277" s="0" t="n">
        <v>2989</v>
      </c>
      <c r="S1277" s="0" t="n">
        <v>6985</v>
      </c>
      <c r="T1277" s="0" t="n">
        <v>34.6</v>
      </c>
      <c r="U1277" s="0" t="n">
        <v>961</v>
      </c>
      <c r="V1277" s="0" t="n">
        <v>1</v>
      </c>
      <c r="W1277" s="39" t="n">
        <f aca="false">IF(I1277="Male",0,1)</f>
        <v>1</v>
      </c>
      <c r="X1277" s="39" t="n">
        <f aca="false">IF(OR(I1277="DNB",I1277="Dry DNB"),1,0)</f>
        <v>0</v>
      </c>
      <c r="Y1277" s="39" t="n">
        <f aca="false">MATCH(A1277,DATAS,0)</f>
        <v>1</v>
      </c>
      <c r="Z1277" s="39" t="n">
        <f aca="false">IF(AND(E1277&gt;0,OR(AND(B1277&gt;=1,B1277&lt;=6),B1277=10)),1,0)</f>
        <v>1</v>
      </c>
      <c r="AA1277" s="39" t="n">
        <f aca="false">IF(AND(E1277&gt;0,B1277=10),1,0)</f>
        <v>0</v>
      </c>
      <c r="AB1277" s="0" t="str">
        <f aca="false">IF(AND(C1276=C1277,Y1276=Y1277-1),Z1276,"")</f>
        <v/>
      </c>
      <c r="AC1277" s="0" t="str">
        <f aca="false">IF(AND(C1276=C1277,Y1276=Y1277-1),AA1276,"")</f>
        <v/>
      </c>
      <c r="AD1277" s="0" t="str">
        <f aca="false">IF(Y1277=1,"",IF(AND(Z1277=1,AB1277&lt;&gt;1),1,0))</f>
        <v/>
      </c>
      <c r="AE1277" s="0" t="str">
        <f aca="false">IF(Y1277=1,"",IF(AND(AA1277=1,AC1277&lt;&gt;1),1,0))</f>
        <v/>
      </c>
      <c r="AF1277" s="45" t="str">
        <f aca="false">IF(AND(E1277&gt;0,Y1277&lt;1,NOT(AND(C1278=C1277,Y1278=Y1277+1))),INDEX(DATAS,Y1277+1),"")</f>
        <v/>
      </c>
      <c r="AG1277" s="45" t="str">
        <f aca="false">IF(AND(AA1277=1,Y1277&lt;1),IF(AND(C1278=C1277,Y1278=Y1277+1),IF(AA1278=1,"",INDEX(DATAS,Y1277+1)),INDEX(DATAS,Y1277+1)),"")</f>
        <v/>
      </c>
    </row>
    <row r="1278" customFormat="false" ht="15" hidden="false" customHeight="false" outlineLevel="0" collapsed="false">
      <c r="A1278" s="45" t="n">
        <v>46309</v>
      </c>
      <c r="B1278" s="0" t="n">
        <v>4</v>
      </c>
      <c r="C1278" s="0" t="n">
        <v>5354</v>
      </c>
      <c r="D1278" s="0" t="n">
        <v>241</v>
      </c>
      <c r="E1278" s="0" t="n">
        <v>1</v>
      </c>
      <c r="F1278" s="39" t="s">
        <v>831</v>
      </c>
      <c r="G1278" s="0" t="n">
        <v>49.5</v>
      </c>
      <c r="H1278" s="0" t="n">
        <v>46</v>
      </c>
      <c r="I1278" s="39" t="s">
        <v>109</v>
      </c>
      <c r="J1278" s="0" t="n">
        <v>90</v>
      </c>
      <c r="K1278" s="0" t="n">
        <v>66</v>
      </c>
      <c r="L1278" s="0" t="n">
        <v>151</v>
      </c>
      <c r="M1278" s="0" t="n">
        <v>279.48</v>
      </c>
      <c r="N1278" s="0" t="n">
        <v>65.64</v>
      </c>
      <c r="O1278" s="0" t="n">
        <v>30.43</v>
      </c>
      <c r="P1278" s="0" t="n">
        <v>4.27</v>
      </c>
      <c r="Q1278" s="0" t="n">
        <v>3.46</v>
      </c>
      <c r="R1278" s="0" t="n">
        <v>4448</v>
      </c>
      <c r="S1278" s="0" t="n">
        <v>9937</v>
      </c>
      <c r="T1278" s="0" t="n">
        <v>48.65</v>
      </c>
      <c r="U1278" s="0" t="n">
        <v>961</v>
      </c>
      <c r="V1278" s="0" t="n">
        <v>2</v>
      </c>
      <c r="W1278" s="39" t="n">
        <f aca="false">IF(I1278="Male",0,1)</f>
        <v>1</v>
      </c>
      <c r="X1278" s="39" t="n">
        <f aca="false">IF(OR(I1278="DNB",I1278="Dry DNB"),1,0)</f>
        <v>0</v>
      </c>
      <c r="Y1278" s="39" t="n">
        <f aca="false">MATCH(A1278,DATAS,0)</f>
        <v>1</v>
      </c>
      <c r="Z1278" s="39" t="n">
        <f aca="false">IF(AND(E1278&gt;0,OR(AND(B1278&gt;=1,B1278&lt;=6),B1278=10)),1,0)</f>
        <v>1</v>
      </c>
      <c r="AA1278" s="39" t="n">
        <f aca="false">IF(AND(E1278&gt;0,B1278=10),1,0)</f>
        <v>0</v>
      </c>
      <c r="AB1278" s="0" t="str">
        <f aca="false">IF(AND(C1277=C1278,Y1277=Y1278-1),Z1277,"")</f>
        <v/>
      </c>
      <c r="AC1278" s="0" t="str">
        <f aca="false">IF(AND(C1277=C1278,Y1277=Y1278-1),AA1277,"")</f>
        <v/>
      </c>
      <c r="AD1278" s="0" t="str">
        <f aca="false">IF(Y1278=1,"",IF(AND(Z1278=1,AB1278&lt;&gt;1),1,0))</f>
        <v/>
      </c>
      <c r="AE1278" s="0" t="str">
        <f aca="false">IF(Y1278=1,"",IF(AND(AA1278=1,AC1278&lt;&gt;1),1,0))</f>
        <v/>
      </c>
      <c r="AF1278" s="45" t="str">
        <f aca="false">IF(AND(E1278&gt;0,Y1278&lt;1,NOT(AND(C1279=C1278,Y1279=Y1278+1))),INDEX(DATAS,Y1278+1),"")</f>
        <v/>
      </c>
      <c r="AG1278" s="45" t="str">
        <f aca="false">IF(AND(AA1278=1,Y1278&lt;1),IF(AND(C1279=C1278,Y1279=Y1278+1),IF(AA1279=1,"",INDEX(DATAS,Y1278+1)),INDEX(DATAS,Y1278+1)),"")</f>
        <v/>
      </c>
    </row>
    <row r="1279" customFormat="false" ht="15" hidden="false" customHeight="false" outlineLevel="0" collapsed="false">
      <c r="A1279" s="45" t="n">
        <v>46309</v>
      </c>
      <c r="B1279" s="0" t="n">
        <v>4</v>
      </c>
      <c r="C1279" s="0" t="n">
        <v>5355</v>
      </c>
      <c r="D1279" s="0" t="n">
        <v>240</v>
      </c>
      <c r="E1279" s="0" t="n">
        <v>1</v>
      </c>
      <c r="F1279" s="39" t="s">
        <v>831</v>
      </c>
      <c r="G1279" s="0" t="n">
        <v>73.9</v>
      </c>
      <c r="H1279" s="0" t="n">
        <v>75</v>
      </c>
      <c r="I1279" s="39" t="s">
        <v>109</v>
      </c>
      <c r="J1279" s="0" t="n">
        <v>170</v>
      </c>
      <c r="K1279" s="0" t="n">
        <v>65</v>
      </c>
      <c r="L1279" s="0" t="n">
        <v>70</v>
      </c>
      <c r="M1279" s="0" t="n">
        <v>1681.03</v>
      </c>
      <c r="N1279" s="0" t="n">
        <v>70.99</v>
      </c>
      <c r="O1279" s="0" t="n">
        <v>43.68</v>
      </c>
      <c r="P1279" s="0" t="n">
        <v>2.95</v>
      </c>
      <c r="Q1279" s="0" t="n">
        <v>3.25</v>
      </c>
      <c r="R1279" s="0" t="n">
        <v>5686</v>
      </c>
      <c r="S1279" s="0" t="n">
        <v>12656</v>
      </c>
      <c r="T1279" s="0" t="n">
        <v>63.25</v>
      </c>
      <c r="U1279" s="0" t="n">
        <v>961</v>
      </c>
      <c r="V1279" s="0" t="n">
        <v>3</v>
      </c>
      <c r="W1279" s="39" t="n">
        <f aca="false">IF(I1279="Male",0,1)</f>
        <v>1</v>
      </c>
      <c r="X1279" s="39" t="n">
        <f aca="false">IF(OR(I1279="DNB",I1279="Dry DNB"),1,0)</f>
        <v>0</v>
      </c>
      <c r="Y1279" s="39" t="n">
        <f aca="false">MATCH(A1279,DATAS,0)</f>
        <v>1</v>
      </c>
      <c r="Z1279" s="39" t="n">
        <f aca="false">IF(AND(E1279&gt;0,OR(AND(B1279&gt;=1,B1279&lt;=6),B1279=10)),1,0)</f>
        <v>1</v>
      </c>
      <c r="AA1279" s="39" t="n">
        <f aca="false">IF(AND(E1279&gt;0,B1279=10),1,0)</f>
        <v>0</v>
      </c>
      <c r="AB1279" s="0" t="str">
        <f aca="false">IF(AND(C1278=C1279,Y1278=Y1279-1),Z1278,"")</f>
        <v/>
      </c>
      <c r="AC1279" s="0" t="str">
        <f aca="false">IF(AND(C1278=C1279,Y1278=Y1279-1),AA1278,"")</f>
        <v/>
      </c>
      <c r="AD1279" s="0" t="str">
        <f aca="false">IF(Y1279=1,"",IF(AND(Z1279=1,AB1279&lt;&gt;1),1,0))</f>
        <v/>
      </c>
      <c r="AE1279" s="0" t="str">
        <f aca="false">IF(Y1279=1,"",IF(AND(AA1279=1,AC1279&lt;&gt;1),1,0))</f>
        <v/>
      </c>
      <c r="AF1279" s="45" t="str">
        <f aca="false">IF(AND(E1279&gt;0,Y1279&lt;1,NOT(AND(C1280=C1279,Y1280=Y1279+1))),INDEX(DATAS,Y1279+1),"")</f>
        <v/>
      </c>
      <c r="AG1279" s="45" t="str">
        <f aca="false">IF(AND(AA1279=1,Y1279&lt;1),IF(AND(C1280=C1279,Y1280=Y1279+1),IF(AA1280=1,"",INDEX(DATAS,Y1279+1)),INDEX(DATAS,Y1279+1)),"")</f>
        <v/>
      </c>
    </row>
    <row r="1280" customFormat="false" ht="15" hidden="false" customHeight="false" outlineLevel="0" collapsed="false">
      <c r="A1280" s="45" t="n">
        <v>46309</v>
      </c>
      <c r="B1280" s="0" t="n">
        <v>5</v>
      </c>
      <c r="C1280" s="0" t="n">
        <v>5356</v>
      </c>
      <c r="D1280" s="0" t="n">
        <v>311</v>
      </c>
      <c r="E1280" s="0" t="n">
        <v>1</v>
      </c>
      <c r="F1280" s="39" t="s">
        <v>831</v>
      </c>
      <c r="G1280" s="0" t="n">
        <v>34.3</v>
      </c>
      <c r="H1280" s="0" t="n">
        <v>34</v>
      </c>
      <c r="I1280" s="39" t="s">
        <v>146</v>
      </c>
      <c r="J1280" s="0" t="n">
        <v>311</v>
      </c>
      <c r="K1280" s="0" t="n">
        <v>66</v>
      </c>
      <c r="M1280" s="0" t="n">
        <v>837.78</v>
      </c>
      <c r="N1280" s="0" t="n">
        <v>64.64</v>
      </c>
      <c r="O1280" s="0" t="n">
        <v>29.85</v>
      </c>
      <c r="P1280" s="0" t="n">
        <v>3.49</v>
      </c>
      <c r="Q1280" s="0" t="n">
        <v>3.27</v>
      </c>
      <c r="R1280" s="0" t="n">
        <v>4357</v>
      </c>
      <c r="S1280" s="0" t="n">
        <v>9028</v>
      </c>
      <c r="T1280" s="0" t="n">
        <v>44.5</v>
      </c>
      <c r="U1280" s="0" t="n">
        <v>961</v>
      </c>
      <c r="V1280" s="0" t="n">
        <v>8</v>
      </c>
      <c r="W1280" s="39" t="n">
        <f aca="false">IF(I1280="Male",0,1)</f>
        <v>1</v>
      </c>
      <c r="X1280" s="39" t="n">
        <f aca="false">IF(OR(I1280="DNB",I1280="Dry DNB"),1,0)</f>
        <v>0</v>
      </c>
      <c r="Y1280" s="39" t="n">
        <f aca="false">MATCH(A1280,DATAS,0)</f>
        <v>1</v>
      </c>
      <c r="Z1280" s="39" t="n">
        <f aca="false">IF(AND(E1280&gt;0,OR(AND(B1280&gt;=1,B1280&lt;=6),B1280=10)),1,0)</f>
        <v>1</v>
      </c>
      <c r="AA1280" s="39" t="n">
        <f aca="false">IF(AND(E1280&gt;0,B1280=10),1,0)</f>
        <v>0</v>
      </c>
      <c r="AB1280" s="0" t="str">
        <f aca="false">IF(AND(C1279=C1280,Y1279=Y1280-1),Z1279,"")</f>
        <v/>
      </c>
      <c r="AC1280" s="0" t="str">
        <f aca="false">IF(AND(C1279=C1280,Y1279=Y1280-1),AA1279,"")</f>
        <v/>
      </c>
      <c r="AD1280" s="0" t="str">
        <f aca="false">IF(Y1280=1,"",IF(AND(Z1280=1,AB1280&lt;&gt;1),1,0))</f>
        <v/>
      </c>
      <c r="AE1280" s="0" t="str">
        <f aca="false">IF(Y1280=1,"",IF(AND(AA1280=1,AC1280&lt;&gt;1),1,0))</f>
        <v/>
      </c>
      <c r="AF1280" s="45" t="str">
        <f aca="false">IF(AND(E1280&gt;0,Y1280&lt;1,NOT(AND(C1281=C1280,Y1281=Y1280+1))),INDEX(DATAS,Y1280+1),"")</f>
        <v/>
      </c>
      <c r="AG1280" s="45" t="str">
        <f aca="false">IF(AND(AA1280=1,Y1280&lt;1),IF(AND(C1281=C1280,Y1281=Y1280+1),IF(AA1281=1,"",INDEX(DATAS,Y1280+1)),INDEX(DATAS,Y1280+1)),"")</f>
        <v/>
      </c>
    </row>
    <row r="1281" customFormat="false" ht="15" hidden="false" customHeight="false" outlineLevel="0" collapsed="false">
      <c r="A1281" s="45" t="n">
        <v>46309</v>
      </c>
      <c r="B1281" s="0" t="n">
        <v>4</v>
      </c>
      <c r="C1281" s="0" t="n">
        <v>5357</v>
      </c>
      <c r="D1281" s="0" t="n">
        <v>281</v>
      </c>
      <c r="E1281" s="0" t="n">
        <v>1</v>
      </c>
      <c r="F1281" s="39" t="s">
        <v>831</v>
      </c>
      <c r="G1281" s="0" t="n">
        <v>46.7</v>
      </c>
      <c r="H1281" s="0" t="n">
        <v>48</v>
      </c>
      <c r="I1281" s="39" t="s">
        <v>109</v>
      </c>
      <c r="J1281" s="0" t="n">
        <v>64</v>
      </c>
      <c r="K1281" s="0" t="n">
        <v>64</v>
      </c>
      <c r="L1281" s="0" t="n">
        <v>217</v>
      </c>
      <c r="M1281" s="0" t="n">
        <v>506</v>
      </c>
      <c r="N1281" s="0" t="n">
        <v>86.33</v>
      </c>
      <c r="O1281" s="0" t="n">
        <v>26.89</v>
      </c>
      <c r="P1281" s="0" t="n">
        <v>4.49</v>
      </c>
      <c r="Q1281" s="0" t="n">
        <v>3.34</v>
      </c>
      <c r="R1281" s="0" t="n">
        <v>4231</v>
      </c>
      <c r="S1281" s="0" t="n">
        <v>9445</v>
      </c>
      <c r="T1281" s="0" t="n">
        <v>45.75</v>
      </c>
      <c r="U1281" s="0" t="n">
        <v>961</v>
      </c>
      <c r="V1281" s="0" t="n">
        <v>1</v>
      </c>
      <c r="W1281" s="39" t="n">
        <f aca="false">IF(I1281="Male",0,1)</f>
        <v>1</v>
      </c>
      <c r="X1281" s="39" t="n">
        <f aca="false">IF(OR(I1281="DNB",I1281="Dry DNB"),1,0)</f>
        <v>0</v>
      </c>
      <c r="Y1281" s="39" t="n">
        <f aca="false">MATCH(A1281,DATAS,0)</f>
        <v>1</v>
      </c>
      <c r="Z1281" s="39" t="n">
        <f aca="false">IF(AND(E1281&gt;0,OR(AND(B1281&gt;=1,B1281&lt;=6),B1281=10)),1,0)</f>
        <v>1</v>
      </c>
      <c r="AA1281" s="39" t="n">
        <f aca="false">IF(AND(E1281&gt;0,B1281=10),1,0)</f>
        <v>0</v>
      </c>
      <c r="AB1281" s="0" t="str">
        <f aca="false">IF(AND(C1280=C1281,Y1280=Y1281-1),Z1280,"")</f>
        <v/>
      </c>
      <c r="AC1281" s="0" t="str">
        <f aca="false">IF(AND(C1280=C1281,Y1280=Y1281-1),AA1280,"")</f>
        <v/>
      </c>
      <c r="AD1281" s="0" t="str">
        <f aca="false">IF(Y1281=1,"",IF(AND(Z1281=1,AB1281&lt;&gt;1),1,0))</f>
        <v/>
      </c>
      <c r="AE1281" s="0" t="str">
        <f aca="false">IF(Y1281=1,"",IF(AND(AA1281=1,AC1281&lt;&gt;1),1,0))</f>
        <v/>
      </c>
      <c r="AF1281" s="45" t="str">
        <f aca="false">IF(AND(E1281&gt;0,Y1281&lt;1,NOT(AND(C1282=C1281,Y1282=Y1281+1))),INDEX(DATAS,Y1281+1),"")</f>
        <v/>
      </c>
      <c r="AG1281" s="45" t="str">
        <f aca="false">IF(AND(AA1281=1,Y1281&lt;1),IF(AND(C1282=C1281,Y1282=Y1281+1),IF(AA1282=1,"",INDEX(DATAS,Y1281+1)),INDEX(DATAS,Y1281+1)),"")</f>
        <v/>
      </c>
    </row>
    <row r="1282" customFormat="false" ht="15" hidden="false" customHeight="false" outlineLevel="0" collapsed="false">
      <c r="A1282" s="45" t="n">
        <v>46309</v>
      </c>
      <c r="B1282" s="0" t="n">
        <v>4</v>
      </c>
      <c r="C1282" s="0" t="n">
        <v>5359</v>
      </c>
      <c r="D1282" s="0" t="n">
        <v>256</v>
      </c>
      <c r="E1282" s="0" t="n">
        <v>1</v>
      </c>
      <c r="F1282" s="39" t="s">
        <v>832</v>
      </c>
      <c r="G1282" s="0" t="n">
        <v>42.2</v>
      </c>
      <c r="H1282" s="0" t="n">
        <v>41</v>
      </c>
      <c r="I1282" s="39" t="s">
        <v>109</v>
      </c>
      <c r="J1282" s="0" t="n">
        <v>67</v>
      </c>
      <c r="K1282" s="0" t="n">
        <v>67</v>
      </c>
      <c r="L1282" s="0" t="n">
        <v>189</v>
      </c>
      <c r="M1282" s="0" t="n">
        <v>1057.55</v>
      </c>
      <c r="N1282" s="0" t="n">
        <v>44.97</v>
      </c>
      <c r="O1282" s="0" t="n">
        <v>34.01</v>
      </c>
      <c r="P1282" s="0" t="n">
        <v>3.34</v>
      </c>
      <c r="Q1282" s="0" t="n">
        <v>3.52</v>
      </c>
      <c r="R1282" s="0" t="n">
        <v>4896</v>
      </c>
      <c r="S1282" s="0" t="n">
        <v>10917</v>
      </c>
      <c r="T1282" s="0" t="n">
        <v>59.3</v>
      </c>
      <c r="U1282" s="0" t="n">
        <v>960</v>
      </c>
      <c r="V1282" s="0" t="n">
        <v>1</v>
      </c>
      <c r="W1282" s="39" t="n">
        <f aca="false">IF(I1282="Male",0,1)</f>
        <v>1</v>
      </c>
      <c r="X1282" s="39" t="n">
        <f aca="false">IF(OR(I1282="DNB",I1282="Dry DNB"),1,0)</f>
        <v>0</v>
      </c>
      <c r="Y1282" s="39" t="n">
        <f aca="false">MATCH(A1282,DATAS,0)</f>
        <v>1</v>
      </c>
      <c r="Z1282" s="39" t="n">
        <f aca="false">IF(AND(E1282&gt;0,OR(AND(B1282&gt;=1,B1282&lt;=6),B1282=10)),1,0)</f>
        <v>1</v>
      </c>
      <c r="AA1282" s="39" t="n">
        <f aca="false">IF(AND(E1282&gt;0,B1282=10),1,0)</f>
        <v>0</v>
      </c>
      <c r="AB1282" s="0" t="str">
        <f aca="false">IF(AND(C1281=C1282,Y1281=Y1282-1),Z1281,"")</f>
        <v/>
      </c>
      <c r="AC1282" s="0" t="str">
        <f aca="false">IF(AND(C1281=C1282,Y1281=Y1282-1),AA1281,"")</f>
        <v/>
      </c>
      <c r="AD1282" s="0" t="str">
        <f aca="false">IF(Y1282=1,"",IF(AND(Z1282=1,AB1282&lt;&gt;1),1,0))</f>
        <v/>
      </c>
      <c r="AE1282" s="0" t="str">
        <f aca="false">IF(Y1282=1,"",IF(AND(AA1282=1,AC1282&lt;&gt;1),1,0))</f>
        <v/>
      </c>
      <c r="AF1282" s="45" t="str">
        <f aca="false">IF(AND(E1282&gt;0,Y1282&lt;1,NOT(AND(C1283=C1282,Y1283=Y1282+1))),INDEX(DATAS,Y1282+1),"")</f>
        <v/>
      </c>
      <c r="AG1282" s="45" t="str">
        <f aca="false">IF(AND(AA1282=1,Y1282&lt;1),IF(AND(C1283=C1282,Y1283=Y1282+1),IF(AA1283=1,"",INDEX(DATAS,Y1282+1)),INDEX(DATAS,Y1282+1)),"")</f>
        <v/>
      </c>
    </row>
    <row r="1283" customFormat="false" ht="15" hidden="false" customHeight="false" outlineLevel="0" collapsed="false">
      <c r="A1283" s="45" t="n">
        <v>46309</v>
      </c>
      <c r="B1283" s="0" t="n">
        <v>4</v>
      </c>
      <c r="C1283" s="0" t="n">
        <v>5360</v>
      </c>
      <c r="D1283" s="0" t="n">
        <v>343</v>
      </c>
      <c r="E1283" s="0" t="n">
        <v>1</v>
      </c>
      <c r="F1283" s="39" t="s">
        <v>833</v>
      </c>
      <c r="G1283" s="0" t="n">
        <v>37.3</v>
      </c>
      <c r="H1283" s="0" t="n">
        <v>38</v>
      </c>
      <c r="I1283" s="39" t="s">
        <v>146</v>
      </c>
      <c r="J1283" s="0" t="n">
        <v>343</v>
      </c>
      <c r="K1283" s="0" t="n">
        <v>77</v>
      </c>
      <c r="M1283" s="0" t="n">
        <v>651.86</v>
      </c>
      <c r="N1283" s="0" t="n">
        <v>32.55</v>
      </c>
      <c r="O1283" s="0" t="n">
        <v>35.75</v>
      </c>
      <c r="P1283" s="0" t="n">
        <v>3.52</v>
      </c>
      <c r="Q1283" s="0" t="n">
        <v>4.25</v>
      </c>
      <c r="R1283" s="0" t="n">
        <v>3706</v>
      </c>
      <c r="S1283" s="0" t="n">
        <v>7943</v>
      </c>
      <c r="T1283" s="0" t="n">
        <v>40.1</v>
      </c>
      <c r="U1283" s="0" t="n">
        <v>959</v>
      </c>
      <c r="V1283" s="0" t="n">
        <v>7</v>
      </c>
      <c r="W1283" s="39" t="n">
        <f aca="false">IF(I1283="Male",0,1)</f>
        <v>1</v>
      </c>
      <c r="X1283" s="39" t="n">
        <f aca="false">IF(OR(I1283="DNB",I1283="Dry DNB"),1,0)</f>
        <v>0</v>
      </c>
      <c r="Y1283" s="39" t="n">
        <f aca="false">MATCH(A1283,DATAS,0)</f>
        <v>1</v>
      </c>
      <c r="Z1283" s="39" t="n">
        <f aca="false">IF(AND(E1283&gt;0,OR(AND(B1283&gt;=1,B1283&lt;=6),B1283=10)),1,0)</f>
        <v>1</v>
      </c>
      <c r="AA1283" s="39" t="n">
        <f aca="false">IF(AND(E1283&gt;0,B1283=10),1,0)</f>
        <v>0</v>
      </c>
      <c r="AB1283" s="0" t="str">
        <f aca="false">IF(AND(C1282=C1283,Y1282=Y1283-1),Z1282,"")</f>
        <v/>
      </c>
      <c r="AC1283" s="0" t="str">
        <f aca="false">IF(AND(C1282=C1283,Y1282=Y1283-1),AA1282,"")</f>
        <v/>
      </c>
      <c r="AD1283" s="0" t="str">
        <f aca="false">IF(Y1283=1,"",IF(AND(Z1283=1,AB1283&lt;&gt;1),1,0))</f>
        <v/>
      </c>
      <c r="AE1283" s="0" t="str">
        <f aca="false">IF(Y1283=1,"",IF(AND(AA1283=1,AC1283&lt;&gt;1),1,0))</f>
        <v/>
      </c>
      <c r="AF1283" s="45" t="str">
        <f aca="false">IF(AND(E1283&gt;0,Y1283&lt;1,NOT(AND(C1284=C1283,Y1284=Y1283+1))),INDEX(DATAS,Y1283+1),"")</f>
        <v/>
      </c>
      <c r="AG1283" s="45" t="str">
        <f aca="false">IF(AND(AA1283=1,Y1283&lt;1),IF(AND(C1284=C1283,Y1284=Y1283+1),IF(AA1284=1,"",INDEX(DATAS,Y1283+1)),INDEX(DATAS,Y1283+1)),"")</f>
        <v/>
      </c>
    </row>
    <row r="1284" customFormat="false" ht="15" hidden="false" customHeight="false" outlineLevel="0" collapsed="false">
      <c r="A1284" s="45" t="n">
        <v>46309</v>
      </c>
      <c r="B1284" s="0" t="n">
        <v>6</v>
      </c>
      <c r="C1284" s="0" t="n">
        <v>5361</v>
      </c>
      <c r="D1284" s="0" t="n">
        <v>370</v>
      </c>
      <c r="E1284" s="0" t="n">
        <v>1</v>
      </c>
      <c r="F1284" s="39" t="s">
        <v>833</v>
      </c>
      <c r="G1284" s="0" t="n">
        <v>32</v>
      </c>
      <c r="H1284" s="0" t="n">
        <v>29</v>
      </c>
      <c r="I1284" s="39" t="s">
        <v>96</v>
      </c>
      <c r="J1284" s="0" t="n">
        <v>370</v>
      </c>
      <c r="K1284" s="0" t="n">
        <v>70</v>
      </c>
      <c r="M1284" s="0" t="n">
        <v>1572.99</v>
      </c>
      <c r="N1284" s="0" t="n">
        <v>27.39</v>
      </c>
      <c r="O1284" s="0" t="n">
        <v>51.99</v>
      </c>
      <c r="P1284" s="0" t="n">
        <v>5.07</v>
      </c>
      <c r="Q1284" s="0" t="n">
        <v>3.77</v>
      </c>
      <c r="R1284" s="0" t="n">
        <v>2626</v>
      </c>
      <c r="S1284" s="0" t="n">
        <v>6100</v>
      </c>
      <c r="T1284" s="0" t="n">
        <v>30</v>
      </c>
      <c r="U1284" s="0" t="n">
        <v>959</v>
      </c>
      <c r="V1284" s="0" t="n">
        <v>6</v>
      </c>
      <c r="W1284" s="39" t="n">
        <f aca="false">IF(I1284="Male",0,1)</f>
        <v>1</v>
      </c>
      <c r="X1284" s="39" t="n">
        <f aca="false">IF(OR(I1284="DNB",I1284="Dry DNB"),1,0)</f>
        <v>1</v>
      </c>
      <c r="Y1284" s="39" t="n">
        <f aca="false">MATCH(A1284,DATAS,0)</f>
        <v>1</v>
      </c>
      <c r="Z1284" s="39" t="n">
        <f aca="false">IF(AND(E1284&gt;0,OR(AND(B1284&gt;=1,B1284&lt;=6),B1284=10)),1,0)</f>
        <v>1</v>
      </c>
      <c r="AA1284" s="39" t="n">
        <f aca="false">IF(AND(E1284&gt;0,B1284=10),1,0)</f>
        <v>0</v>
      </c>
      <c r="AB1284" s="0" t="str">
        <f aca="false">IF(AND(C1283=C1284,Y1283=Y1284-1),Z1283,"")</f>
        <v/>
      </c>
      <c r="AC1284" s="0" t="str">
        <f aca="false">IF(AND(C1283=C1284,Y1283=Y1284-1),AA1283,"")</f>
        <v/>
      </c>
      <c r="AD1284" s="0" t="str">
        <f aca="false">IF(Y1284=1,"",IF(AND(Z1284=1,AB1284&lt;&gt;1),1,0))</f>
        <v/>
      </c>
      <c r="AE1284" s="0" t="str">
        <f aca="false">IF(Y1284=1,"",IF(AND(AA1284=1,AC1284&lt;&gt;1),1,0))</f>
        <v/>
      </c>
      <c r="AF1284" s="45" t="str">
        <f aca="false">IF(AND(E1284&gt;0,Y1284&lt;1,NOT(AND(C1285=C1284,Y1285=Y1284+1))),INDEX(DATAS,Y1284+1),"")</f>
        <v/>
      </c>
      <c r="AG1284" s="45" t="str">
        <f aca="false">IF(AND(AA1284=1,Y1284&lt;1),IF(AND(C1285=C1284,Y1285=Y1284+1),IF(AA1285=1,"",INDEX(DATAS,Y1284+1)),INDEX(DATAS,Y1284+1)),"")</f>
        <v/>
      </c>
    </row>
    <row r="1285" customFormat="false" ht="15" hidden="false" customHeight="false" outlineLevel="0" collapsed="false">
      <c r="A1285" s="45" t="n">
        <v>46309</v>
      </c>
      <c r="B1285" s="0" t="n">
        <v>4</v>
      </c>
      <c r="C1285" s="0" t="n">
        <v>5362</v>
      </c>
      <c r="D1285" s="0" t="n">
        <v>283</v>
      </c>
      <c r="E1285" s="0" t="n">
        <v>1</v>
      </c>
      <c r="F1285" s="39" t="s">
        <v>833</v>
      </c>
      <c r="G1285" s="0" t="n">
        <v>44.2</v>
      </c>
      <c r="H1285" s="0" t="n">
        <v>44</v>
      </c>
      <c r="I1285" s="39" t="s">
        <v>109</v>
      </c>
      <c r="J1285" s="0" t="n">
        <v>199</v>
      </c>
      <c r="K1285" s="0" t="n">
        <v>66</v>
      </c>
      <c r="L1285" s="0" t="n">
        <v>84</v>
      </c>
      <c r="M1285" s="0" t="n">
        <v>274.94</v>
      </c>
      <c r="N1285" s="0" t="n">
        <v>65.42</v>
      </c>
      <c r="O1285" s="0" t="n">
        <v>40.84</v>
      </c>
      <c r="P1285" s="0" t="n">
        <v>3.92</v>
      </c>
      <c r="Q1285" s="0" t="n">
        <v>3.91</v>
      </c>
      <c r="R1285" s="0" t="n">
        <v>4286</v>
      </c>
      <c r="S1285" s="0" t="n">
        <v>9451</v>
      </c>
      <c r="T1285" s="0" t="n">
        <v>45.35</v>
      </c>
      <c r="U1285" s="0" t="n">
        <v>959</v>
      </c>
      <c r="V1285" s="0" t="n">
        <v>4</v>
      </c>
      <c r="W1285" s="39" t="n">
        <f aca="false">IF(I1285="Male",0,1)</f>
        <v>1</v>
      </c>
      <c r="X1285" s="39" t="n">
        <f aca="false">IF(OR(I1285="DNB",I1285="Dry DNB"),1,0)</f>
        <v>0</v>
      </c>
      <c r="Y1285" s="39" t="n">
        <f aca="false">MATCH(A1285,DATAS,0)</f>
        <v>1</v>
      </c>
      <c r="Z1285" s="39" t="n">
        <f aca="false">IF(AND(E1285&gt;0,OR(AND(B1285&gt;=1,B1285&lt;=6),B1285=10)),1,0)</f>
        <v>1</v>
      </c>
      <c r="AA1285" s="39" t="n">
        <f aca="false">IF(AND(E1285&gt;0,B1285=10),1,0)</f>
        <v>0</v>
      </c>
      <c r="AB1285" s="0" t="str">
        <f aca="false">IF(AND(C1284=C1285,Y1284=Y1285-1),Z1284,"")</f>
        <v/>
      </c>
      <c r="AC1285" s="0" t="str">
        <f aca="false">IF(AND(C1284=C1285,Y1284=Y1285-1),AA1284,"")</f>
        <v/>
      </c>
      <c r="AD1285" s="0" t="str">
        <f aca="false">IF(Y1285=1,"",IF(AND(Z1285=1,AB1285&lt;&gt;1),1,0))</f>
        <v/>
      </c>
      <c r="AE1285" s="0" t="str">
        <f aca="false">IF(Y1285=1,"",IF(AND(AA1285=1,AC1285&lt;&gt;1),1,0))</f>
        <v/>
      </c>
      <c r="AF1285" s="45" t="str">
        <f aca="false">IF(AND(E1285&gt;0,Y1285&lt;1,NOT(AND(C1286=C1285,Y1286=Y1285+1))),INDEX(DATAS,Y1285+1),"")</f>
        <v/>
      </c>
      <c r="AG1285" s="45" t="str">
        <f aca="false">IF(AND(AA1285=1,Y1285&lt;1),IF(AND(C1286=C1285,Y1286=Y1285+1),IF(AA1286=1,"",INDEX(DATAS,Y1285+1)),INDEX(DATAS,Y1285+1)),"")</f>
        <v/>
      </c>
    </row>
    <row r="1286" customFormat="false" ht="15" hidden="false" customHeight="false" outlineLevel="0" collapsed="false">
      <c r="A1286" s="45" t="n">
        <v>46309</v>
      </c>
      <c r="B1286" s="0" t="n">
        <v>4</v>
      </c>
      <c r="C1286" s="0" t="n">
        <v>5365</v>
      </c>
      <c r="D1286" s="0" t="n">
        <v>309</v>
      </c>
      <c r="E1286" s="0" t="n">
        <v>1</v>
      </c>
      <c r="F1286" s="39" t="s">
        <v>834</v>
      </c>
      <c r="G1286" s="0" t="n">
        <v>61.9</v>
      </c>
      <c r="H1286" s="0" t="n">
        <v>57</v>
      </c>
      <c r="I1286" s="39" t="s">
        <v>138</v>
      </c>
      <c r="J1286" s="0" t="n">
        <v>309</v>
      </c>
      <c r="K1286" s="0" t="n">
        <v>64</v>
      </c>
      <c r="M1286" s="0" t="n">
        <v>1661.85</v>
      </c>
      <c r="N1286" s="0" t="n">
        <v>68.4</v>
      </c>
      <c r="O1286" s="0" t="n">
        <v>47.19</v>
      </c>
      <c r="P1286" s="0" t="n">
        <v>3.25</v>
      </c>
      <c r="Q1286" s="0" t="n">
        <v>3.58</v>
      </c>
      <c r="R1286" s="0" t="n">
        <v>4754</v>
      </c>
      <c r="S1286" s="0" t="n">
        <v>10751</v>
      </c>
      <c r="T1286" s="0" t="n">
        <v>49.9</v>
      </c>
      <c r="U1286" s="0" t="n">
        <v>957</v>
      </c>
      <c r="V1286" s="0" t="n">
        <v>10</v>
      </c>
      <c r="W1286" s="39" t="n">
        <f aca="false">IF(I1286="Male",0,1)</f>
        <v>1</v>
      </c>
      <c r="X1286" s="39" t="n">
        <f aca="false">IF(OR(I1286="DNB",I1286="Dry DNB"),1,0)</f>
        <v>0</v>
      </c>
      <c r="Y1286" s="39" t="n">
        <f aca="false">MATCH(A1286,DATAS,0)</f>
        <v>1</v>
      </c>
      <c r="Z1286" s="39" t="n">
        <f aca="false">IF(AND(E1286&gt;0,OR(AND(B1286&gt;=1,B1286&lt;=6),B1286=10)),1,0)</f>
        <v>1</v>
      </c>
      <c r="AA1286" s="39" t="n">
        <f aca="false">IF(AND(E1286&gt;0,B1286=10),1,0)</f>
        <v>0</v>
      </c>
      <c r="AB1286" s="0" t="str">
        <f aca="false">IF(AND(C1285=C1286,Y1285=Y1286-1),Z1285,"")</f>
        <v/>
      </c>
      <c r="AC1286" s="0" t="str">
        <f aca="false">IF(AND(C1285=C1286,Y1285=Y1286-1),AA1285,"")</f>
        <v/>
      </c>
      <c r="AD1286" s="0" t="str">
        <f aca="false">IF(Y1286=1,"",IF(AND(Z1286=1,AB1286&lt;&gt;1),1,0))</f>
        <v/>
      </c>
      <c r="AE1286" s="0" t="str">
        <f aca="false">IF(Y1286=1,"",IF(AND(AA1286=1,AC1286&lt;&gt;1),1,0))</f>
        <v/>
      </c>
      <c r="AF1286" s="45" t="str">
        <f aca="false">IF(AND(E1286&gt;0,Y1286&lt;1,NOT(AND(C1287=C1286,Y1287=Y1286+1))),INDEX(DATAS,Y1286+1),"")</f>
        <v/>
      </c>
      <c r="AG1286" s="45" t="str">
        <f aca="false">IF(AND(AA1286=1,Y1286&lt;1),IF(AND(C1287=C1286,Y1287=Y1286+1),IF(AA1287=1,"",INDEX(DATAS,Y1286+1)),INDEX(DATAS,Y1286+1)),"")</f>
        <v/>
      </c>
    </row>
    <row r="1287" customFormat="false" ht="15" hidden="false" customHeight="false" outlineLevel="0" collapsed="false">
      <c r="A1287" s="45" t="n">
        <v>46309</v>
      </c>
      <c r="B1287" s="0" t="n">
        <v>4</v>
      </c>
      <c r="C1287" s="0" t="n">
        <v>5366</v>
      </c>
      <c r="D1287" s="0" t="n">
        <v>305</v>
      </c>
      <c r="E1287" s="0" t="n">
        <v>1</v>
      </c>
      <c r="F1287" s="39" t="s">
        <v>834</v>
      </c>
      <c r="G1287" s="0" t="n">
        <v>42.3</v>
      </c>
      <c r="H1287" s="0" t="n">
        <v>42</v>
      </c>
      <c r="I1287" s="39" t="s">
        <v>109</v>
      </c>
      <c r="J1287" s="0" t="n">
        <v>151</v>
      </c>
      <c r="K1287" s="0" t="n">
        <v>60</v>
      </c>
      <c r="L1287" s="0" t="n">
        <v>154</v>
      </c>
      <c r="M1287" s="0" t="n">
        <v>772.25</v>
      </c>
      <c r="N1287" s="0" t="n">
        <v>63.04</v>
      </c>
      <c r="O1287" s="0" t="n">
        <v>34.08</v>
      </c>
      <c r="P1287" s="0" t="n">
        <v>4.21</v>
      </c>
      <c r="Q1287" s="0" t="n">
        <v>3.85</v>
      </c>
      <c r="R1287" s="0" t="n">
        <v>4981</v>
      </c>
      <c r="S1287" s="0" t="n">
        <v>9906</v>
      </c>
      <c r="T1287" s="0" t="n">
        <v>52.3</v>
      </c>
      <c r="U1287" s="0" t="n">
        <v>957</v>
      </c>
      <c r="V1287" s="0" t="n">
        <v>4</v>
      </c>
      <c r="W1287" s="39" t="n">
        <f aca="false">IF(I1287="Male",0,1)</f>
        <v>1</v>
      </c>
      <c r="X1287" s="39" t="n">
        <f aca="false">IF(OR(I1287="DNB",I1287="Dry DNB"),1,0)</f>
        <v>0</v>
      </c>
      <c r="Y1287" s="39" t="n">
        <f aca="false">MATCH(A1287,DATAS,0)</f>
        <v>1</v>
      </c>
      <c r="Z1287" s="39" t="n">
        <f aca="false">IF(AND(E1287&gt;0,OR(AND(B1287&gt;=1,B1287&lt;=6),B1287=10)),1,0)</f>
        <v>1</v>
      </c>
      <c r="AA1287" s="39" t="n">
        <f aca="false">IF(AND(E1287&gt;0,B1287=10),1,0)</f>
        <v>0</v>
      </c>
      <c r="AB1287" s="0" t="str">
        <f aca="false">IF(AND(C1286=C1287,Y1286=Y1287-1),Z1286,"")</f>
        <v/>
      </c>
      <c r="AC1287" s="0" t="str">
        <f aca="false">IF(AND(C1286=C1287,Y1286=Y1287-1),AA1286,"")</f>
        <v/>
      </c>
      <c r="AD1287" s="0" t="str">
        <f aca="false">IF(Y1287=1,"",IF(AND(Z1287=1,AB1287&lt;&gt;1),1,0))</f>
        <v/>
      </c>
      <c r="AE1287" s="0" t="str">
        <f aca="false">IF(Y1287=1,"",IF(AND(AA1287=1,AC1287&lt;&gt;1),1,0))</f>
        <v/>
      </c>
      <c r="AF1287" s="45" t="str">
        <f aca="false">IF(AND(E1287&gt;0,Y1287&lt;1,NOT(AND(C1288=C1287,Y1288=Y1287+1))),INDEX(DATAS,Y1287+1),"")</f>
        <v/>
      </c>
      <c r="AG1287" s="45" t="str">
        <f aca="false">IF(AND(AA1287=1,Y1287&lt;1),IF(AND(C1288=C1287,Y1288=Y1287+1),IF(AA1288=1,"",INDEX(DATAS,Y1287+1)),INDEX(DATAS,Y1287+1)),"")</f>
        <v/>
      </c>
    </row>
    <row r="1288" customFormat="false" ht="15" hidden="false" customHeight="false" outlineLevel="0" collapsed="false">
      <c r="A1288" s="45" t="n">
        <v>46309</v>
      </c>
      <c r="B1288" s="0" t="n">
        <v>4</v>
      </c>
      <c r="C1288" s="0" t="n">
        <v>5367</v>
      </c>
      <c r="D1288" s="0" t="n">
        <v>303</v>
      </c>
      <c r="E1288" s="0" t="n">
        <v>1</v>
      </c>
      <c r="F1288" s="39" t="s">
        <v>834</v>
      </c>
      <c r="G1288" s="0" t="n">
        <v>50.1</v>
      </c>
      <c r="H1288" s="0" t="n">
        <v>48</v>
      </c>
      <c r="I1288" s="39" t="s">
        <v>138</v>
      </c>
      <c r="J1288" s="0" t="n">
        <v>303</v>
      </c>
      <c r="K1288" s="0" t="n">
        <v>65</v>
      </c>
      <c r="M1288" s="0" t="n">
        <v>1250.69</v>
      </c>
      <c r="N1288" s="0" t="n">
        <v>58.85</v>
      </c>
      <c r="O1288" s="0" t="n">
        <v>53.74</v>
      </c>
      <c r="P1288" s="0" t="n">
        <v>3.37</v>
      </c>
      <c r="Q1288" s="0" t="n">
        <v>3.81</v>
      </c>
      <c r="R1288" s="0" t="n">
        <v>4322</v>
      </c>
      <c r="S1288" s="0" t="n">
        <v>9740</v>
      </c>
      <c r="T1288" s="0" t="n">
        <v>46.45</v>
      </c>
      <c r="U1288" s="0" t="n">
        <v>957</v>
      </c>
      <c r="V1288" s="0" t="n">
        <v>10</v>
      </c>
      <c r="W1288" s="39" t="n">
        <f aca="false">IF(I1288="Male",0,1)</f>
        <v>1</v>
      </c>
      <c r="X1288" s="39" t="n">
        <f aca="false">IF(OR(I1288="DNB",I1288="Dry DNB"),1,0)</f>
        <v>0</v>
      </c>
      <c r="Y1288" s="39" t="n">
        <f aca="false">MATCH(A1288,DATAS,0)</f>
        <v>1</v>
      </c>
      <c r="Z1288" s="39" t="n">
        <f aca="false">IF(AND(E1288&gt;0,OR(AND(B1288&gt;=1,B1288&lt;=6),B1288=10)),1,0)</f>
        <v>1</v>
      </c>
      <c r="AA1288" s="39" t="n">
        <f aca="false">IF(AND(E1288&gt;0,B1288=10),1,0)</f>
        <v>0</v>
      </c>
      <c r="AB1288" s="0" t="str">
        <f aca="false">IF(AND(C1287=C1288,Y1287=Y1288-1),Z1287,"")</f>
        <v/>
      </c>
      <c r="AC1288" s="0" t="str">
        <f aca="false">IF(AND(C1287=C1288,Y1287=Y1288-1),AA1287,"")</f>
        <v/>
      </c>
      <c r="AD1288" s="0" t="str">
        <f aca="false">IF(Y1288=1,"",IF(AND(Z1288=1,AB1288&lt;&gt;1),1,0))</f>
        <v/>
      </c>
      <c r="AE1288" s="0" t="str">
        <f aca="false">IF(Y1288=1,"",IF(AND(AA1288=1,AC1288&lt;&gt;1),1,0))</f>
        <v/>
      </c>
      <c r="AF1288" s="45" t="str">
        <f aca="false">IF(AND(E1288&gt;0,Y1288&lt;1,NOT(AND(C1289=C1288,Y1289=Y1288+1))),INDEX(DATAS,Y1288+1),"")</f>
        <v/>
      </c>
      <c r="AG1288" s="45" t="str">
        <f aca="false">IF(AND(AA1288=1,Y1288&lt;1),IF(AND(C1289=C1288,Y1289=Y1288+1),IF(AA1289=1,"",INDEX(DATAS,Y1288+1)),INDEX(DATAS,Y1288+1)),"")</f>
        <v/>
      </c>
    </row>
    <row r="1289" customFormat="false" ht="15" hidden="false" customHeight="false" outlineLevel="0" collapsed="false">
      <c r="A1289" s="45" t="n">
        <v>46309</v>
      </c>
      <c r="B1289" s="0" t="n">
        <v>4</v>
      </c>
      <c r="C1289" s="0" t="n">
        <v>5368</v>
      </c>
      <c r="D1289" s="0" t="n">
        <v>336</v>
      </c>
      <c r="E1289" s="0" t="n">
        <v>1</v>
      </c>
      <c r="F1289" s="39" t="s">
        <v>835</v>
      </c>
      <c r="G1289" s="0" t="n">
        <v>44.9</v>
      </c>
      <c r="H1289" s="0" t="n">
        <v>47</v>
      </c>
      <c r="I1289" s="39" t="s">
        <v>109</v>
      </c>
      <c r="J1289" s="0" t="n">
        <v>210</v>
      </c>
      <c r="K1289" s="0" t="n">
        <v>77</v>
      </c>
      <c r="L1289" s="0" t="n">
        <v>126</v>
      </c>
      <c r="M1289" s="0" t="n">
        <v>829.7</v>
      </c>
      <c r="N1289" s="0" t="n">
        <v>22.72</v>
      </c>
      <c r="O1289" s="0" t="n">
        <v>23.91</v>
      </c>
      <c r="P1289" s="0" t="n">
        <v>2.64</v>
      </c>
      <c r="Q1289" s="0" t="n">
        <v>3.8</v>
      </c>
      <c r="R1289" s="0" t="n">
        <v>4660</v>
      </c>
      <c r="S1289" s="0" t="n">
        <v>10446</v>
      </c>
      <c r="T1289" s="0" t="n">
        <v>50.65</v>
      </c>
      <c r="U1289" s="0" t="n">
        <v>955</v>
      </c>
      <c r="V1289" s="0" t="n">
        <v>6</v>
      </c>
      <c r="W1289" s="39" t="n">
        <f aca="false">IF(I1289="Male",0,1)</f>
        <v>1</v>
      </c>
      <c r="X1289" s="39" t="n">
        <f aca="false">IF(OR(I1289="DNB",I1289="Dry DNB"),1,0)</f>
        <v>0</v>
      </c>
      <c r="Y1289" s="39" t="n">
        <f aca="false">MATCH(A1289,DATAS,0)</f>
        <v>1</v>
      </c>
      <c r="Z1289" s="39" t="n">
        <f aca="false">IF(AND(E1289&gt;0,OR(AND(B1289&gt;=1,B1289&lt;=6),B1289=10)),1,0)</f>
        <v>1</v>
      </c>
      <c r="AA1289" s="39" t="n">
        <f aca="false">IF(AND(E1289&gt;0,B1289=10),1,0)</f>
        <v>0</v>
      </c>
      <c r="AB1289" s="0" t="str">
        <f aca="false">IF(AND(C1288=C1289,Y1288=Y1289-1),Z1288,"")</f>
        <v/>
      </c>
      <c r="AC1289" s="0" t="str">
        <f aca="false">IF(AND(C1288=C1289,Y1288=Y1289-1),AA1288,"")</f>
        <v/>
      </c>
      <c r="AD1289" s="0" t="str">
        <f aca="false">IF(Y1289=1,"",IF(AND(Z1289=1,AB1289&lt;&gt;1),1,0))</f>
        <v/>
      </c>
      <c r="AE1289" s="0" t="str">
        <f aca="false">IF(Y1289=1,"",IF(AND(AA1289=1,AC1289&lt;&gt;1),1,0))</f>
        <v/>
      </c>
      <c r="AF1289" s="45" t="str">
        <f aca="false">IF(AND(E1289&gt;0,Y1289&lt;1,NOT(AND(C1290=C1289,Y1290=Y1289+1))),INDEX(DATAS,Y1289+1),"")</f>
        <v/>
      </c>
      <c r="AG1289" s="45" t="str">
        <f aca="false">IF(AND(AA1289=1,Y1289&lt;1),IF(AND(C1290=C1289,Y1290=Y1289+1),IF(AA1290=1,"",INDEX(DATAS,Y1289+1)),INDEX(DATAS,Y1289+1)),"")</f>
        <v/>
      </c>
    </row>
    <row r="1290" customFormat="false" ht="15" hidden="false" customHeight="false" outlineLevel="0" collapsed="false">
      <c r="A1290" s="45" t="n">
        <v>46309</v>
      </c>
      <c r="B1290" s="0" t="n">
        <v>4</v>
      </c>
      <c r="C1290" s="0" t="n">
        <v>5369</v>
      </c>
      <c r="D1290" s="0" t="n">
        <v>329</v>
      </c>
      <c r="E1290" s="0" t="n">
        <v>1</v>
      </c>
      <c r="F1290" s="39" t="s">
        <v>836</v>
      </c>
      <c r="G1290" s="0" t="n">
        <v>3.5</v>
      </c>
      <c r="H1290" s="0" t="n">
        <v>28</v>
      </c>
      <c r="I1290" s="39" t="s">
        <v>109</v>
      </c>
      <c r="J1290" s="0" t="n">
        <v>161</v>
      </c>
      <c r="K1290" s="0" t="n">
        <v>63</v>
      </c>
      <c r="L1290" s="0" t="n">
        <v>168</v>
      </c>
      <c r="M1290" s="0" t="n">
        <v>1136.93</v>
      </c>
      <c r="N1290" s="0" t="n">
        <v>54.96</v>
      </c>
      <c r="O1290" s="0" t="n">
        <v>43.91</v>
      </c>
      <c r="P1290" s="0" t="n">
        <v>3.15</v>
      </c>
      <c r="Q1290" s="0" t="n">
        <v>3.58</v>
      </c>
      <c r="R1290" s="0" t="n">
        <v>5261</v>
      </c>
      <c r="S1290" s="0" t="n">
        <v>11457</v>
      </c>
      <c r="T1290" s="0" t="n">
        <v>60.4</v>
      </c>
      <c r="U1290" s="0" t="n">
        <v>954</v>
      </c>
      <c r="V1290" s="0" t="n">
        <v>5</v>
      </c>
      <c r="W1290" s="39" t="n">
        <f aca="false">IF(I1290="Male",0,1)</f>
        <v>1</v>
      </c>
      <c r="X1290" s="39" t="n">
        <f aca="false">IF(OR(I1290="DNB",I1290="Dry DNB"),1,0)</f>
        <v>0</v>
      </c>
      <c r="Y1290" s="39" t="n">
        <f aca="false">MATCH(A1290,DATAS,0)</f>
        <v>1</v>
      </c>
      <c r="Z1290" s="39" t="n">
        <f aca="false">IF(AND(E1290&gt;0,OR(AND(B1290&gt;=1,B1290&lt;=6),B1290=10)),1,0)</f>
        <v>1</v>
      </c>
      <c r="AA1290" s="39" t="n">
        <f aca="false">IF(AND(E1290&gt;0,B1290=10),1,0)</f>
        <v>0</v>
      </c>
      <c r="AB1290" s="0" t="str">
        <f aca="false">IF(AND(C1289=C1290,Y1289=Y1290-1),Z1289,"")</f>
        <v/>
      </c>
      <c r="AC1290" s="0" t="str">
        <f aca="false">IF(AND(C1289=C1290,Y1289=Y1290-1),AA1289,"")</f>
        <v/>
      </c>
      <c r="AD1290" s="0" t="str">
        <f aca="false">IF(Y1290=1,"",IF(AND(Z1290=1,AB1290&lt;&gt;1),1,0))</f>
        <v/>
      </c>
      <c r="AE1290" s="0" t="str">
        <f aca="false">IF(Y1290=1,"",IF(AND(AA1290=1,AC1290&lt;&gt;1),1,0))</f>
        <v/>
      </c>
      <c r="AF1290" s="45" t="str">
        <f aca="false">IF(AND(E1290&gt;0,Y1290&lt;1,NOT(AND(C1291=C1290,Y1291=Y1290+1))),INDEX(DATAS,Y1290+1),"")</f>
        <v/>
      </c>
      <c r="AG1290" s="45" t="str">
        <f aca="false">IF(AND(AA1290=1,Y1290&lt;1),IF(AND(C1291=C1290,Y1291=Y1290+1),IF(AA1291=1,"",INDEX(DATAS,Y1290+1)),INDEX(DATAS,Y1290+1)),"")</f>
        <v/>
      </c>
    </row>
    <row r="1291" customFormat="false" ht="15" hidden="false" customHeight="false" outlineLevel="0" collapsed="false">
      <c r="A1291" s="45" t="n">
        <v>46309</v>
      </c>
      <c r="B1291" s="0" t="n">
        <v>4</v>
      </c>
      <c r="C1291" s="0" t="n">
        <v>5370</v>
      </c>
      <c r="D1291" s="0" t="n">
        <v>259</v>
      </c>
      <c r="E1291" s="0" t="n">
        <v>1</v>
      </c>
      <c r="F1291" s="39" t="s">
        <v>836</v>
      </c>
      <c r="G1291" s="0" t="n">
        <v>42</v>
      </c>
      <c r="H1291" s="0" t="n">
        <v>42</v>
      </c>
      <c r="I1291" s="39" t="s">
        <v>109</v>
      </c>
      <c r="J1291" s="0" t="n">
        <v>109</v>
      </c>
      <c r="K1291" s="0" t="n">
        <v>63</v>
      </c>
      <c r="L1291" s="0" t="n">
        <v>150</v>
      </c>
      <c r="M1291" s="0" t="n">
        <v>557.34</v>
      </c>
      <c r="N1291" s="0" t="n">
        <v>38.41</v>
      </c>
      <c r="O1291" s="0" t="n">
        <v>23.91</v>
      </c>
      <c r="P1291" s="0" t="n">
        <v>4</v>
      </c>
      <c r="Q1291" s="0" t="n">
        <v>3.43</v>
      </c>
      <c r="R1291" s="0" t="n">
        <v>4281</v>
      </c>
      <c r="S1291" s="0" t="n">
        <v>8964</v>
      </c>
      <c r="T1291" s="0" t="n">
        <v>42.5</v>
      </c>
      <c r="U1291" s="0" t="n">
        <v>954</v>
      </c>
      <c r="V1291" s="0" t="n">
        <v>3</v>
      </c>
      <c r="W1291" s="39" t="n">
        <f aca="false">IF(I1291="Male",0,1)</f>
        <v>1</v>
      </c>
      <c r="X1291" s="39" t="n">
        <f aca="false">IF(OR(I1291="DNB",I1291="Dry DNB"),1,0)</f>
        <v>0</v>
      </c>
      <c r="Y1291" s="39" t="n">
        <f aca="false">MATCH(A1291,DATAS,0)</f>
        <v>1</v>
      </c>
      <c r="Z1291" s="39" t="n">
        <f aca="false">IF(AND(E1291&gt;0,OR(AND(B1291&gt;=1,B1291&lt;=6),B1291=10)),1,0)</f>
        <v>1</v>
      </c>
      <c r="AA1291" s="39" t="n">
        <f aca="false">IF(AND(E1291&gt;0,B1291=10),1,0)</f>
        <v>0</v>
      </c>
      <c r="AB1291" s="0" t="str">
        <f aca="false">IF(AND(C1290=C1291,Y1290=Y1291-1),Z1290,"")</f>
        <v/>
      </c>
      <c r="AC1291" s="0" t="str">
        <f aca="false">IF(AND(C1290=C1291,Y1290=Y1291-1),AA1290,"")</f>
        <v/>
      </c>
      <c r="AD1291" s="0" t="str">
        <f aca="false">IF(Y1291=1,"",IF(AND(Z1291=1,AB1291&lt;&gt;1),1,0))</f>
        <v/>
      </c>
      <c r="AE1291" s="0" t="str">
        <f aca="false">IF(Y1291=1,"",IF(AND(AA1291=1,AC1291&lt;&gt;1),1,0))</f>
        <v/>
      </c>
      <c r="AF1291" s="45" t="str">
        <f aca="false">IF(AND(E1291&gt;0,Y1291&lt;1,NOT(AND(C1292=C1291,Y1292=Y1291+1))),INDEX(DATAS,Y1291+1),"")</f>
        <v/>
      </c>
      <c r="AG1291" s="45" t="str">
        <f aca="false">IF(AND(AA1291=1,Y1291&lt;1),IF(AND(C1292=C1291,Y1292=Y1291+1),IF(AA1292=1,"",INDEX(DATAS,Y1291+1)),INDEX(DATAS,Y1291+1)),"")</f>
        <v/>
      </c>
    </row>
    <row r="1292" customFormat="false" ht="15" hidden="false" customHeight="false" outlineLevel="0" collapsed="false">
      <c r="A1292" s="45" t="n">
        <v>46309</v>
      </c>
      <c r="B1292" s="0" t="n">
        <v>6</v>
      </c>
      <c r="C1292" s="0" t="n">
        <v>5371</v>
      </c>
      <c r="D1292" s="0" t="n">
        <v>147</v>
      </c>
      <c r="E1292" s="0" t="n">
        <v>1</v>
      </c>
      <c r="F1292" s="39" t="s">
        <v>837</v>
      </c>
      <c r="G1292" s="0" t="n">
        <v>22.7</v>
      </c>
      <c r="H1292" s="0" t="n">
        <v>26</v>
      </c>
      <c r="I1292" s="39" t="s">
        <v>138</v>
      </c>
      <c r="J1292" s="0" t="n">
        <v>147</v>
      </c>
      <c r="K1292" s="0" t="n">
        <v>63</v>
      </c>
      <c r="M1292" s="0" t="n">
        <v>308.77</v>
      </c>
      <c r="N1292" s="0" t="n">
        <v>42.36</v>
      </c>
      <c r="O1292" s="0" t="n">
        <v>19.31</v>
      </c>
      <c r="P1292" s="0" t="n">
        <v>4.25</v>
      </c>
      <c r="Q1292" s="0" t="n">
        <v>3.42</v>
      </c>
      <c r="R1292" s="0" t="n">
        <v>2323</v>
      </c>
      <c r="S1292" s="0" t="n">
        <v>4854</v>
      </c>
      <c r="T1292" s="0" t="n">
        <v>26.45</v>
      </c>
      <c r="U1292" s="0" t="n">
        <v>953</v>
      </c>
      <c r="V1292" s="0" t="n">
        <v>4</v>
      </c>
      <c r="W1292" s="39" t="n">
        <f aca="false">IF(I1292="Male",0,1)</f>
        <v>1</v>
      </c>
      <c r="X1292" s="39" t="n">
        <f aca="false">IF(OR(I1292="DNB",I1292="Dry DNB"),1,0)</f>
        <v>0</v>
      </c>
      <c r="Y1292" s="39" t="n">
        <f aca="false">MATCH(A1292,DATAS,0)</f>
        <v>1</v>
      </c>
      <c r="Z1292" s="39" t="n">
        <f aca="false">IF(AND(E1292&gt;0,OR(AND(B1292&gt;=1,B1292&lt;=6),B1292=10)),1,0)</f>
        <v>1</v>
      </c>
      <c r="AA1292" s="39" t="n">
        <f aca="false">IF(AND(E1292&gt;0,B1292=10),1,0)</f>
        <v>0</v>
      </c>
      <c r="AB1292" s="0" t="str">
        <f aca="false">IF(AND(C1291=C1292,Y1291=Y1292-1),Z1291,"")</f>
        <v/>
      </c>
      <c r="AC1292" s="0" t="str">
        <f aca="false">IF(AND(C1291=C1292,Y1291=Y1292-1),AA1291,"")</f>
        <v/>
      </c>
      <c r="AD1292" s="0" t="str">
        <f aca="false">IF(Y1292=1,"",IF(AND(Z1292=1,AB1292&lt;&gt;1),1,0))</f>
        <v/>
      </c>
      <c r="AE1292" s="0" t="str">
        <f aca="false">IF(Y1292=1,"",IF(AND(AA1292=1,AC1292&lt;&gt;1),1,0))</f>
        <v/>
      </c>
      <c r="AF1292" s="45" t="str">
        <f aca="false">IF(AND(E1292&gt;0,Y1292&lt;1,NOT(AND(C1293=C1292,Y1293=Y1292+1))),INDEX(DATAS,Y1292+1),"")</f>
        <v/>
      </c>
      <c r="AG1292" s="45" t="str">
        <f aca="false">IF(AND(AA1292=1,Y1292&lt;1),IF(AND(C1293=C1292,Y1293=Y1292+1),IF(AA1293=1,"",INDEX(DATAS,Y1292+1)),INDEX(DATAS,Y1292+1)),"")</f>
        <v/>
      </c>
    </row>
    <row r="1293" customFormat="false" ht="15" hidden="false" customHeight="false" outlineLevel="0" collapsed="false">
      <c r="A1293" s="45" t="n">
        <v>46309</v>
      </c>
      <c r="B1293" s="0" t="n">
        <v>4</v>
      </c>
      <c r="C1293" s="0" t="n">
        <v>5372</v>
      </c>
      <c r="D1293" s="0" t="n">
        <v>329</v>
      </c>
      <c r="E1293" s="0" t="n">
        <v>1</v>
      </c>
      <c r="F1293" s="39" t="s">
        <v>837</v>
      </c>
      <c r="G1293" s="0" t="n">
        <v>46.2</v>
      </c>
      <c r="H1293" s="0" t="n">
        <v>48</v>
      </c>
      <c r="I1293" s="39" t="s">
        <v>109</v>
      </c>
      <c r="J1293" s="0" t="n">
        <v>154</v>
      </c>
      <c r="K1293" s="0" t="n">
        <v>70</v>
      </c>
      <c r="L1293" s="0" t="n">
        <v>175</v>
      </c>
      <c r="M1293" s="0" t="n">
        <v>819.71</v>
      </c>
      <c r="N1293" s="0" t="n">
        <v>51.07</v>
      </c>
      <c r="O1293" s="0" t="n">
        <v>30.74</v>
      </c>
      <c r="P1293" s="0" t="n">
        <v>3.22</v>
      </c>
      <c r="Q1293" s="0" t="n">
        <v>3.55</v>
      </c>
      <c r="R1293" s="0" t="n">
        <v>3711</v>
      </c>
      <c r="S1293" s="0" t="n">
        <v>8625</v>
      </c>
      <c r="T1293" s="0" t="n">
        <v>41.8</v>
      </c>
      <c r="U1293" s="0" t="n">
        <v>953</v>
      </c>
      <c r="V1293" s="0" t="n">
        <v>3</v>
      </c>
      <c r="W1293" s="39" t="n">
        <f aca="false">IF(I1293="Male",0,1)</f>
        <v>1</v>
      </c>
      <c r="X1293" s="39" t="n">
        <f aca="false">IF(OR(I1293="DNB",I1293="Dry DNB"),1,0)</f>
        <v>0</v>
      </c>
      <c r="Y1293" s="39" t="n">
        <f aca="false">MATCH(A1293,DATAS,0)</f>
        <v>1</v>
      </c>
      <c r="Z1293" s="39" t="n">
        <f aca="false">IF(AND(E1293&gt;0,OR(AND(B1293&gt;=1,B1293&lt;=6),B1293=10)),1,0)</f>
        <v>1</v>
      </c>
      <c r="AA1293" s="39" t="n">
        <f aca="false">IF(AND(E1293&gt;0,B1293=10),1,0)</f>
        <v>0</v>
      </c>
      <c r="AB1293" s="0" t="str">
        <f aca="false">IF(AND(C1292=C1293,Y1292=Y1293-1),Z1292,"")</f>
        <v/>
      </c>
      <c r="AC1293" s="0" t="str">
        <f aca="false">IF(AND(C1292=C1293,Y1292=Y1293-1),AA1292,"")</f>
        <v/>
      </c>
      <c r="AD1293" s="0" t="str">
        <f aca="false">IF(Y1293=1,"",IF(AND(Z1293=1,AB1293&lt;&gt;1),1,0))</f>
        <v/>
      </c>
      <c r="AE1293" s="0" t="str">
        <f aca="false">IF(Y1293=1,"",IF(AND(AA1293=1,AC1293&lt;&gt;1),1,0))</f>
        <v/>
      </c>
      <c r="AF1293" s="45" t="str">
        <f aca="false">IF(AND(E1293&gt;0,Y1293&lt;1,NOT(AND(C1294=C1293,Y1294=Y1293+1))),INDEX(DATAS,Y1293+1),"")</f>
        <v/>
      </c>
      <c r="AG1293" s="45" t="str">
        <f aca="false">IF(AND(AA1293=1,Y1293&lt;1),IF(AND(C1294=C1293,Y1294=Y1293+1),IF(AA1294=1,"",INDEX(DATAS,Y1293+1)),INDEX(DATAS,Y1293+1)),"")</f>
        <v/>
      </c>
    </row>
    <row r="1294" customFormat="false" ht="15" hidden="false" customHeight="false" outlineLevel="0" collapsed="false">
      <c r="A1294" s="45" t="n">
        <v>46309</v>
      </c>
      <c r="B1294" s="0" t="n">
        <v>4</v>
      </c>
      <c r="C1294" s="0" t="n">
        <v>5374</v>
      </c>
      <c r="D1294" s="0" t="n">
        <v>238</v>
      </c>
      <c r="E1294" s="0" t="n">
        <v>1</v>
      </c>
      <c r="F1294" s="39" t="s">
        <v>837</v>
      </c>
      <c r="G1294" s="0" t="n">
        <v>57.9</v>
      </c>
      <c r="H1294" s="0" t="n">
        <v>60</v>
      </c>
      <c r="I1294" s="39" t="s">
        <v>109</v>
      </c>
      <c r="J1294" s="0" t="n">
        <v>122</v>
      </c>
      <c r="K1294" s="0" t="n">
        <v>63</v>
      </c>
      <c r="L1294" s="0" t="n">
        <v>116</v>
      </c>
      <c r="M1294" s="0" t="n">
        <v>1765.5</v>
      </c>
      <c r="N1294" s="0" t="n">
        <v>46.76</v>
      </c>
      <c r="O1294" s="0" t="n">
        <v>51.19</v>
      </c>
      <c r="P1294" s="0" t="n">
        <v>4.18</v>
      </c>
      <c r="Q1294" s="0" t="n">
        <v>3.53</v>
      </c>
      <c r="R1294" s="0" t="n">
        <v>4302</v>
      </c>
      <c r="S1294" s="0" t="n">
        <v>10842</v>
      </c>
      <c r="T1294" s="0" t="n">
        <v>47.3</v>
      </c>
      <c r="U1294" s="0" t="n">
        <v>953</v>
      </c>
      <c r="V1294" s="0" t="n">
        <v>3</v>
      </c>
      <c r="W1294" s="39" t="n">
        <f aca="false">IF(I1294="Male",0,1)</f>
        <v>1</v>
      </c>
      <c r="X1294" s="39" t="n">
        <f aca="false">IF(OR(I1294="DNB",I1294="Dry DNB"),1,0)</f>
        <v>0</v>
      </c>
      <c r="Y1294" s="39" t="n">
        <f aca="false">MATCH(A1294,DATAS,0)</f>
        <v>1</v>
      </c>
      <c r="Z1294" s="39" t="n">
        <f aca="false">IF(AND(E1294&gt;0,OR(AND(B1294&gt;=1,B1294&lt;=6),B1294=10)),1,0)</f>
        <v>1</v>
      </c>
      <c r="AA1294" s="39" t="n">
        <f aca="false">IF(AND(E1294&gt;0,B1294=10),1,0)</f>
        <v>0</v>
      </c>
      <c r="AB1294" s="0" t="str">
        <f aca="false">IF(AND(C1293=C1294,Y1293=Y1294-1),Z1293,"")</f>
        <v/>
      </c>
      <c r="AC1294" s="0" t="str">
        <f aca="false">IF(AND(C1293=C1294,Y1293=Y1294-1),AA1293,"")</f>
        <v/>
      </c>
      <c r="AD1294" s="0" t="str">
        <f aca="false">IF(Y1294=1,"",IF(AND(Z1294=1,AB1294&lt;&gt;1),1,0))</f>
        <v/>
      </c>
      <c r="AE1294" s="0" t="str">
        <f aca="false">IF(Y1294=1,"",IF(AND(AA1294=1,AC1294&lt;&gt;1),1,0))</f>
        <v/>
      </c>
      <c r="AF1294" s="45" t="str">
        <f aca="false">IF(AND(E1294&gt;0,Y1294&lt;1,NOT(AND(C1295=C1294,Y1295=Y1294+1))),INDEX(DATAS,Y1294+1),"")</f>
        <v/>
      </c>
      <c r="AG1294" s="45" t="str">
        <f aca="false">IF(AND(AA1294=1,Y1294&lt;1),IF(AND(C1295=C1294,Y1295=Y1294+1),IF(AA1295=1,"",INDEX(DATAS,Y1294+1)),INDEX(DATAS,Y1294+1)),"")</f>
        <v/>
      </c>
    </row>
    <row r="1295" customFormat="false" ht="15" hidden="false" customHeight="false" outlineLevel="0" collapsed="false">
      <c r="A1295" s="45" t="n">
        <v>46309</v>
      </c>
      <c r="B1295" s="0" t="n">
        <v>5</v>
      </c>
      <c r="C1295" s="0" t="n">
        <v>5376</v>
      </c>
      <c r="D1295" s="0" t="n">
        <v>331</v>
      </c>
      <c r="E1295" s="0" t="n">
        <v>1</v>
      </c>
      <c r="F1295" s="39" t="s">
        <v>838</v>
      </c>
      <c r="G1295" s="0" t="n">
        <v>39.8</v>
      </c>
      <c r="H1295" s="0" t="n">
        <v>36</v>
      </c>
      <c r="I1295" s="39" t="s">
        <v>138</v>
      </c>
      <c r="J1295" s="0" t="n">
        <v>331</v>
      </c>
      <c r="K1295" s="0" t="n">
        <v>65</v>
      </c>
      <c r="M1295" s="0" t="n">
        <v>14.12</v>
      </c>
      <c r="N1295" s="0" t="n">
        <v>33.84</v>
      </c>
      <c r="O1295" s="0" t="n">
        <v>22.6</v>
      </c>
      <c r="P1295" s="0" t="n">
        <v>3.33</v>
      </c>
      <c r="Q1295" s="0" t="n">
        <v>3.88</v>
      </c>
      <c r="R1295" s="0" t="n">
        <v>3056</v>
      </c>
      <c r="S1295" s="0" t="n">
        <v>6675</v>
      </c>
      <c r="T1295" s="0" t="n">
        <v>33.35</v>
      </c>
      <c r="U1295" s="0" t="n">
        <v>952</v>
      </c>
      <c r="V1295" s="0" t="n">
        <v>7</v>
      </c>
      <c r="W1295" s="39" t="n">
        <f aca="false">IF(I1295="Male",0,1)</f>
        <v>1</v>
      </c>
      <c r="X1295" s="39" t="n">
        <f aca="false">IF(OR(I1295="DNB",I1295="Dry DNB"),1,0)</f>
        <v>0</v>
      </c>
      <c r="Y1295" s="39" t="n">
        <f aca="false">MATCH(A1295,DATAS,0)</f>
        <v>1</v>
      </c>
      <c r="Z1295" s="39" t="n">
        <f aca="false">IF(AND(E1295&gt;0,OR(AND(B1295&gt;=1,B1295&lt;=6),B1295=10)),1,0)</f>
        <v>1</v>
      </c>
      <c r="AA1295" s="39" t="n">
        <f aca="false">IF(AND(E1295&gt;0,B1295=10),1,0)</f>
        <v>0</v>
      </c>
      <c r="AB1295" s="0" t="str">
        <f aca="false">IF(AND(C1294=C1295,Y1294=Y1295-1),Z1294,"")</f>
        <v/>
      </c>
      <c r="AC1295" s="0" t="str">
        <f aca="false">IF(AND(C1294=C1295,Y1294=Y1295-1),AA1294,"")</f>
        <v/>
      </c>
      <c r="AD1295" s="0" t="str">
        <f aca="false">IF(Y1295=1,"",IF(AND(Z1295=1,AB1295&lt;&gt;1),1,0))</f>
        <v/>
      </c>
      <c r="AE1295" s="0" t="str">
        <f aca="false">IF(Y1295=1,"",IF(AND(AA1295=1,AC1295&lt;&gt;1),1,0))</f>
        <v/>
      </c>
      <c r="AF1295" s="45" t="str">
        <f aca="false">IF(AND(E1295&gt;0,Y1295&lt;1,NOT(AND(C1296=C1295,Y1296=Y1295+1))),INDEX(DATAS,Y1295+1),"")</f>
        <v/>
      </c>
      <c r="AG1295" s="45" t="str">
        <f aca="false">IF(AND(AA1295=1,Y1295&lt;1),IF(AND(C1296=C1295,Y1296=Y1295+1),IF(AA1296=1,"",INDEX(DATAS,Y1295+1)),INDEX(DATAS,Y1295+1)),"")</f>
        <v/>
      </c>
    </row>
    <row r="1296" customFormat="false" ht="15" hidden="false" customHeight="false" outlineLevel="0" collapsed="false">
      <c r="A1296" s="45" t="n">
        <v>46309</v>
      </c>
      <c r="B1296" s="0" t="n">
        <v>4</v>
      </c>
      <c r="C1296" s="0" t="n">
        <v>5377</v>
      </c>
      <c r="D1296" s="0" t="n">
        <v>189</v>
      </c>
      <c r="E1296" s="0" t="n">
        <v>1</v>
      </c>
      <c r="F1296" s="39" t="s">
        <v>839</v>
      </c>
      <c r="G1296" s="0" t="n">
        <v>49.3</v>
      </c>
      <c r="H1296" s="0" t="n">
        <v>50</v>
      </c>
      <c r="I1296" s="39" t="s">
        <v>109</v>
      </c>
      <c r="J1296" s="0" t="n">
        <v>63</v>
      </c>
      <c r="K1296" s="0" t="n">
        <v>63</v>
      </c>
      <c r="L1296" s="0" t="n">
        <v>126</v>
      </c>
      <c r="M1296" s="0" t="n">
        <v>836.58</v>
      </c>
      <c r="N1296" s="0" t="n">
        <v>18.49</v>
      </c>
      <c r="O1296" s="0" t="n">
        <v>37.43</v>
      </c>
      <c r="P1296" s="0" t="n">
        <v>2.75</v>
      </c>
      <c r="Q1296" s="0" t="n">
        <v>3.34</v>
      </c>
      <c r="R1296" s="0" t="n">
        <v>4466</v>
      </c>
      <c r="S1296" s="0" t="n">
        <v>9748</v>
      </c>
      <c r="T1296" s="0" t="n">
        <v>47.6</v>
      </c>
      <c r="U1296" s="0" t="n">
        <v>951</v>
      </c>
      <c r="V1296" s="0" t="n">
        <v>1</v>
      </c>
      <c r="W1296" s="39" t="n">
        <f aca="false">IF(I1296="Male",0,1)</f>
        <v>1</v>
      </c>
      <c r="X1296" s="39" t="n">
        <f aca="false">IF(OR(I1296="DNB",I1296="Dry DNB"),1,0)</f>
        <v>0</v>
      </c>
      <c r="Y1296" s="39" t="n">
        <f aca="false">MATCH(A1296,DATAS,0)</f>
        <v>1</v>
      </c>
      <c r="Z1296" s="39" t="n">
        <f aca="false">IF(AND(E1296&gt;0,OR(AND(B1296&gt;=1,B1296&lt;=6),B1296=10)),1,0)</f>
        <v>1</v>
      </c>
      <c r="AA1296" s="39" t="n">
        <f aca="false">IF(AND(E1296&gt;0,B1296=10),1,0)</f>
        <v>0</v>
      </c>
      <c r="AB1296" s="0" t="str">
        <f aca="false">IF(AND(C1295=C1296,Y1295=Y1296-1),Z1295,"")</f>
        <v/>
      </c>
      <c r="AC1296" s="0" t="str">
        <f aca="false">IF(AND(C1295=C1296,Y1295=Y1296-1),AA1295,"")</f>
        <v/>
      </c>
      <c r="AD1296" s="0" t="str">
        <f aca="false">IF(Y1296=1,"",IF(AND(Z1296=1,AB1296&lt;&gt;1),1,0))</f>
        <v/>
      </c>
      <c r="AE1296" s="0" t="str">
        <f aca="false">IF(Y1296=1,"",IF(AND(AA1296=1,AC1296&lt;&gt;1),1,0))</f>
        <v/>
      </c>
      <c r="AF1296" s="45" t="str">
        <f aca="false">IF(AND(E1296&gt;0,Y1296&lt;1,NOT(AND(C1297=C1296,Y1297=Y1296+1))),INDEX(DATAS,Y1296+1),"")</f>
        <v/>
      </c>
      <c r="AG1296" s="45" t="str">
        <f aca="false">IF(AND(AA1296=1,Y1296&lt;1),IF(AND(C1297=C1296,Y1297=Y1296+1),IF(AA1297=1,"",INDEX(DATAS,Y1296+1)),INDEX(DATAS,Y1296+1)),"")</f>
        <v/>
      </c>
    </row>
    <row r="1297" customFormat="false" ht="15" hidden="false" customHeight="false" outlineLevel="0" collapsed="false">
      <c r="A1297" s="45" t="n">
        <v>46309</v>
      </c>
      <c r="B1297" s="0" t="n">
        <v>4</v>
      </c>
      <c r="C1297" s="0" t="n">
        <v>5378</v>
      </c>
      <c r="D1297" s="0" t="n">
        <v>329</v>
      </c>
      <c r="E1297" s="0" t="n">
        <v>1</v>
      </c>
      <c r="F1297" s="39" t="s">
        <v>839</v>
      </c>
      <c r="G1297" s="0" t="n">
        <v>44.4</v>
      </c>
      <c r="H1297" s="0" t="n">
        <v>43</v>
      </c>
      <c r="I1297" s="39" t="s">
        <v>109</v>
      </c>
      <c r="J1297" s="0" t="n">
        <v>196</v>
      </c>
      <c r="K1297" s="0" t="n">
        <v>63</v>
      </c>
      <c r="L1297" s="0" t="n">
        <v>133</v>
      </c>
      <c r="M1297" s="0" t="n">
        <v>67.17</v>
      </c>
      <c r="N1297" s="0" t="n">
        <v>34.64</v>
      </c>
      <c r="O1297" s="0" t="n">
        <v>9.67</v>
      </c>
      <c r="P1297" s="0" t="n">
        <v>2.75</v>
      </c>
      <c r="Q1297" s="0" t="n">
        <v>3.28</v>
      </c>
      <c r="R1297" s="0" t="n">
        <v>4366</v>
      </c>
      <c r="S1297" s="0" t="n">
        <v>8795</v>
      </c>
      <c r="T1297" s="0" t="n">
        <v>53.1</v>
      </c>
      <c r="U1297" s="0" t="n">
        <v>951</v>
      </c>
      <c r="V1297" s="0" t="n">
        <v>5</v>
      </c>
      <c r="W1297" s="39" t="n">
        <f aca="false">IF(I1297="Male",0,1)</f>
        <v>1</v>
      </c>
      <c r="X1297" s="39" t="n">
        <f aca="false">IF(OR(I1297="DNB",I1297="Dry DNB"),1,0)</f>
        <v>0</v>
      </c>
      <c r="Y1297" s="39" t="n">
        <f aca="false">MATCH(A1297,DATAS,0)</f>
        <v>1</v>
      </c>
      <c r="Z1297" s="39" t="n">
        <f aca="false">IF(AND(E1297&gt;0,OR(AND(B1297&gt;=1,B1297&lt;=6),B1297=10)),1,0)</f>
        <v>1</v>
      </c>
      <c r="AA1297" s="39" t="n">
        <f aca="false">IF(AND(E1297&gt;0,B1297=10),1,0)</f>
        <v>0</v>
      </c>
      <c r="AB1297" s="0" t="str">
        <f aca="false">IF(AND(C1296=C1297,Y1296=Y1297-1),Z1296,"")</f>
        <v/>
      </c>
      <c r="AC1297" s="0" t="str">
        <f aca="false">IF(AND(C1296=C1297,Y1296=Y1297-1),AA1296,"")</f>
        <v/>
      </c>
      <c r="AD1297" s="0" t="str">
        <f aca="false">IF(Y1297=1,"",IF(AND(Z1297=1,AB1297&lt;&gt;1),1,0))</f>
        <v/>
      </c>
      <c r="AE1297" s="0" t="str">
        <f aca="false">IF(Y1297=1,"",IF(AND(AA1297=1,AC1297&lt;&gt;1),1,0))</f>
        <v/>
      </c>
      <c r="AF1297" s="45" t="str">
        <f aca="false">IF(AND(E1297&gt;0,Y1297&lt;1,NOT(AND(C1298=C1297,Y1298=Y1297+1))),INDEX(DATAS,Y1297+1),"")</f>
        <v/>
      </c>
      <c r="AG1297" s="45" t="str">
        <f aca="false">IF(AND(AA1297=1,Y1297&lt;1),IF(AND(C1298=C1297,Y1298=Y1297+1),IF(AA1298=1,"",INDEX(DATAS,Y1297+1)),INDEX(DATAS,Y1297+1)),"")</f>
        <v/>
      </c>
    </row>
    <row r="1298" customFormat="false" ht="15" hidden="false" customHeight="false" outlineLevel="0" collapsed="false">
      <c r="A1298" s="45" t="n">
        <v>46309</v>
      </c>
      <c r="B1298" s="0" t="n">
        <v>10</v>
      </c>
      <c r="C1298" s="0" t="n">
        <v>5381</v>
      </c>
      <c r="D1298" s="0" t="n">
        <v>284</v>
      </c>
      <c r="E1298" s="0" t="n">
        <v>1</v>
      </c>
      <c r="F1298" s="39" t="s">
        <v>840</v>
      </c>
      <c r="G1298" s="0" t="n">
        <v>14.6</v>
      </c>
      <c r="H1298" s="0" t="n">
        <v>16</v>
      </c>
      <c r="I1298" s="39" t="s">
        <v>109</v>
      </c>
      <c r="J1298" s="0" t="n">
        <v>249</v>
      </c>
      <c r="K1298" s="0" t="n">
        <v>67</v>
      </c>
      <c r="L1298" s="0" t="n">
        <v>35</v>
      </c>
      <c r="M1298" s="0" t="n">
        <v>734.06</v>
      </c>
      <c r="N1298" s="0" t="n">
        <v>30.46</v>
      </c>
      <c r="O1298" s="0" t="n">
        <v>32.97</v>
      </c>
      <c r="P1298" s="0" t="n">
        <v>3.63</v>
      </c>
      <c r="Q1298" s="0" t="n">
        <v>3.53</v>
      </c>
      <c r="R1298" s="0" t="n">
        <v>3899</v>
      </c>
      <c r="S1298" s="0" t="n">
        <v>9350</v>
      </c>
      <c r="T1298" s="0" t="n">
        <v>40</v>
      </c>
      <c r="U1298" s="0" t="n">
        <v>950</v>
      </c>
      <c r="V1298" s="0" t="n">
        <v>7</v>
      </c>
      <c r="W1298" s="39" t="n">
        <f aca="false">IF(I1298="Male",0,1)</f>
        <v>1</v>
      </c>
      <c r="X1298" s="39" t="n">
        <f aca="false">IF(OR(I1298="DNB",I1298="Dry DNB"),1,0)</f>
        <v>0</v>
      </c>
      <c r="Y1298" s="39" t="n">
        <f aca="false">MATCH(A1298,DATAS,0)</f>
        <v>1</v>
      </c>
      <c r="Z1298" s="39" t="n">
        <f aca="false">IF(AND(E1298&gt;0,OR(AND(B1298&gt;=1,B1298&lt;=6),B1298=10)),1,0)</f>
        <v>1</v>
      </c>
      <c r="AA1298" s="39" t="n">
        <f aca="false">IF(AND(E1298&gt;0,B1298=10),1,0)</f>
        <v>1</v>
      </c>
      <c r="AB1298" s="0" t="str">
        <f aca="false">IF(AND(C1297=C1298,Y1297=Y1298-1),Z1297,"")</f>
        <v/>
      </c>
      <c r="AC1298" s="0" t="str">
        <f aca="false">IF(AND(C1297=C1298,Y1297=Y1298-1),AA1297,"")</f>
        <v/>
      </c>
      <c r="AD1298" s="0" t="str">
        <f aca="false">IF(Y1298=1,"",IF(AND(Z1298=1,AB1298&lt;&gt;1),1,0))</f>
        <v/>
      </c>
      <c r="AE1298" s="0" t="str">
        <f aca="false">IF(Y1298=1,"",IF(AND(AA1298=1,AC1298&lt;&gt;1),1,0))</f>
        <v/>
      </c>
      <c r="AF1298" s="45" t="str">
        <f aca="false">IF(AND(E1298&gt;0,Y1298&lt;1,NOT(AND(C1299=C1298,Y1299=Y1298+1))),INDEX(DATAS,Y1298+1),"")</f>
        <v/>
      </c>
      <c r="AG1298" s="45" t="str">
        <f aca="false">IF(AND(AA1298=1,Y1298&lt;1),IF(AND(C1299=C1298,Y1299=Y1298+1),IF(AA1299=1,"",INDEX(DATAS,Y1298+1)),INDEX(DATAS,Y1298+1)),"")</f>
        <v/>
      </c>
    </row>
    <row r="1299" customFormat="false" ht="15" hidden="false" customHeight="false" outlineLevel="0" collapsed="false">
      <c r="A1299" s="45" t="n">
        <v>46309</v>
      </c>
      <c r="B1299" s="0" t="n">
        <v>4</v>
      </c>
      <c r="C1299" s="0" t="n">
        <v>5382</v>
      </c>
      <c r="D1299" s="0" t="n">
        <v>218</v>
      </c>
      <c r="E1299" s="0" t="n">
        <v>1</v>
      </c>
      <c r="F1299" s="39" t="s">
        <v>841</v>
      </c>
      <c r="G1299" s="0" t="n">
        <v>43.1</v>
      </c>
      <c r="H1299" s="0" t="n">
        <v>48</v>
      </c>
      <c r="I1299" s="39" t="s">
        <v>109</v>
      </c>
      <c r="J1299" s="0" t="n">
        <v>64</v>
      </c>
      <c r="K1299" s="0" t="n">
        <v>64</v>
      </c>
      <c r="L1299" s="0" t="n">
        <v>154</v>
      </c>
      <c r="M1299" s="0" t="n">
        <v>704.9</v>
      </c>
      <c r="N1299" s="0" t="n">
        <v>49.23</v>
      </c>
      <c r="O1299" s="0" t="n">
        <v>33.41</v>
      </c>
      <c r="P1299" s="0" t="n">
        <v>3.28</v>
      </c>
      <c r="Q1299" s="0" t="n">
        <v>3.44</v>
      </c>
      <c r="R1299" s="0" t="n">
        <v>4687</v>
      </c>
      <c r="S1299" s="0" t="n">
        <v>11016</v>
      </c>
      <c r="T1299" s="0" t="n">
        <v>55.65</v>
      </c>
      <c r="U1299" s="0" t="n">
        <v>948</v>
      </c>
      <c r="V1299" s="0" t="n">
        <v>1</v>
      </c>
      <c r="W1299" s="39" t="n">
        <f aca="false">IF(I1299="Male",0,1)</f>
        <v>1</v>
      </c>
      <c r="X1299" s="39" t="n">
        <f aca="false">IF(OR(I1299="DNB",I1299="Dry DNB"),1,0)</f>
        <v>0</v>
      </c>
      <c r="Y1299" s="39" t="n">
        <f aca="false">MATCH(A1299,DATAS,0)</f>
        <v>1</v>
      </c>
      <c r="Z1299" s="39" t="n">
        <f aca="false">IF(AND(E1299&gt;0,OR(AND(B1299&gt;=1,B1299&lt;=6),B1299=10)),1,0)</f>
        <v>1</v>
      </c>
      <c r="AA1299" s="39" t="n">
        <f aca="false">IF(AND(E1299&gt;0,B1299=10),1,0)</f>
        <v>0</v>
      </c>
      <c r="AB1299" s="0" t="str">
        <f aca="false">IF(AND(C1298=C1299,Y1298=Y1299-1),Z1298,"")</f>
        <v/>
      </c>
      <c r="AC1299" s="0" t="str">
        <f aca="false">IF(AND(C1298=C1299,Y1298=Y1299-1),AA1298,"")</f>
        <v/>
      </c>
      <c r="AD1299" s="0" t="str">
        <f aca="false">IF(Y1299=1,"",IF(AND(Z1299=1,AB1299&lt;&gt;1),1,0))</f>
        <v/>
      </c>
      <c r="AE1299" s="0" t="str">
        <f aca="false">IF(Y1299=1,"",IF(AND(AA1299=1,AC1299&lt;&gt;1),1,0))</f>
        <v/>
      </c>
      <c r="AF1299" s="45" t="str">
        <f aca="false">IF(AND(E1299&gt;0,Y1299&lt;1,NOT(AND(C1300=C1299,Y1300=Y1299+1))),INDEX(DATAS,Y1299+1),"")</f>
        <v/>
      </c>
      <c r="AG1299" s="45" t="str">
        <f aca="false">IF(AND(AA1299=1,Y1299&lt;1),IF(AND(C1300=C1299,Y1300=Y1299+1),IF(AA1300=1,"",INDEX(DATAS,Y1299+1)),INDEX(DATAS,Y1299+1)),"")</f>
        <v/>
      </c>
    </row>
    <row r="1300" customFormat="false" ht="15" hidden="false" customHeight="false" outlineLevel="0" collapsed="false">
      <c r="A1300" s="45" t="n">
        <v>46309</v>
      </c>
      <c r="B1300" s="0" t="n">
        <v>4</v>
      </c>
      <c r="C1300" s="0" t="n">
        <v>5383</v>
      </c>
      <c r="D1300" s="0" t="n">
        <v>311</v>
      </c>
      <c r="E1300" s="0" t="n">
        <v>1</v>
      </c>
      <c r="F1300" s="39" t="s">
        <v>842</v>
      </c>
      <c r="G1300" s="0" t="n">
        <v>44.2</v>
      </c>
      <c r="H1300" s="0" t="n">
        <v>45</v>
      </c>
      <c r="I1300" s="39" t="s">
        <v>109</v>
      </c>
      <c r="J1300" s="0" t="n">
        <v>101</v>
      </c>
      <c r="K1300" s="0" t="n">
        <v>66</v>
      </c>
      <c r="L1300" s="0" t="n">
        <v>210</v>
      </c>
      <c r="M1300" s="0" t="n">
        <v>324.93</v>
      </c>
      <c r="N1300" s="0" t="n">
        <v>29.43</v>
      </c>
      <c r="O1300" s="0" t="n">
        <v>17.03</v>
      </c>
      <c r="P1300" s="0" t="n">
        <v>3.79</v>
      </c>
      <c r="Q1300" s="0" t="n">
        <v>3.51</v>
      </c>
      <c r="R1300" s="0" t="n">
        <v>3800</v>
      </c>
      <c r="S1300" s="0" t="n">
        <v>8373</v>
      </c>
      <c r="T1300" s="0" t="n">
        <v>41.6</v>
      </c>
      <c r="U1300" s="0" t="n">
        <v>949</v>
      </c>
      <c r="V1300" s="0" t="n">
        <v>2</v>
      </c>
      <c r="W1300" s="39" t="n">
        <f aca="false">IF(I1300="Male",0,1)</f>
        <v>1</v>
      </c>
      <c r="X1300" s="39" t="n">
        <f aca="false">IF(OR(I1300="DNB",I1300="Dry DNB"),1,0)</f>
        <v>0</v>
      </c>
      <c r="Y1300" s="39" t="n">
        <f aca="false">MATCH(A1300,DATAS,0)</f>
        <v>1</v>
      </c>
      <c r="Z1300" s="39" t="n">
        <f aca="false">IF(AND(E1300&gt;0,OR(AND(B1300&gt;=1,B1300&lt;=6),B1300=10)),1,0)</f>
        <v>1</v>
      </c>
      <c r="AA1300" s="39" t="n">
        <f aca="false">IF(AND(E1300&gt;0,B1300=10),1,0)</f>
        <v>0</v>
      </c>
      <c r="AB1300" s="0" t="str">
        <f aca="false">IF(AND(C1299=C1300,Y1299=Y1300-1),Z1299,"")</f>
        <v/>
      </c>
      <c r="AC1300" s="0" t="str">
        <f aca="false">IF(AND(C1299=C1300,Y1299=Y1300-1),AA1299,"")</f>
        <v/>
      </c>
      <c r="AD1300" s="0" t="str">
        <f aca="false">IF(Y1300=1,"",IF(AND(Z1300=1,AB1300&lt;&gt;1),1,0))</f>
        <v/>
      </c>
      <c r="AE1300" s="0" t="str">
        <f aca="false">IF(Y1300=1,"",IF(AND(AA1300=1,AC1300&lt;&gt;1),1,0))</f>
        <v/>
      </c>
      <c r="AF1300" s="45" t="str">
        <f aca="false">IF(AND(E1300&gt;0,Y1300&lt;1,NOT(AND(C1301=C1300,Y1301=Y1300+1))),INDEX(DATAS,Y1300+1),"")</f>
        <v/>
      </c>
      <c r="AG1300" s="45" t="str">
        <f aca="false">IF(AND(AA1300=1,Y1300&lt;1),IF(AND(C1301=C1300,Y1301=Y1300+1),IF(AA1301=1,"",INDEX(DATAS,Y1300+1)),INDEX(DATAS,Y1300+1)),"")</f>
        <v/>
      </c>
    </row>
    <row r="1301" customFormat="false" ht="15" hidden="false" customHeight="false" outlineLevel="0" collapsed="false">
      <c r="A1301" s="45" t="n">
        <v>46309</v>
      </c>
      <c r="B1301" s="0" t="n">
        <v>4</v>
      </c>
      <c r="C1301" s="0" t="n">
        <v>5384</v>
      </c>
      <c r="D1301" s="0" t="n">
        <v>315</v>
      </c>
      <c r="E1301" s="0" t="n">
        <v>1</v>
      </c>
      <c r="F1301" s="39" t="s">
        <v>841</v>
      </c>
      <c r="G1301" s="0" t="n">
        <v>34</v>
      </c>
      <c r="H1301" s="0" t="n">
        <v>36</v>
      </c>
      <c r="I1301" s="39" t="s">
        <v>138</v>
      </c>
      <c r="J1301" s="0" t="n">
        <v>315</v>
      </c>
      <c r="K1301" s="0" t="n">
        <v>70</v>
      </c>
      <c r="M1301" s="0" t="n">
        <v>-153.15</v>
      </c>
      <c r="N1301" s="0" t="n">
        <v>81.13</v>
      </c>
      <c r="O1301" s="0" t="n">
        <v>24.11</v>
      </c>
      <c r="P1301" s="0" t="n">
        <v>5.36</v>
      </c>
      <c r="Q1301" s="0" t="n">
        <v>4.02</v>
      </c>
      <c r="R1301" s="0" t="n">
        <v>3634</v>
      </c>
      <c r="S1301" s="0" t="n">
        <v>7587</v>
      </c>
      <c r="T1301" s="0" t="n">
        <v>42.35</v>
      </c>
      <c r="U1301" s="0" t="n">
        <v>948</v>
      </c>
      <c r="V1301" s="0" t="n">
        <v>7</v>
      </c>
      <c r="W1301" s="39" t="n">
        <f aca="false">IF(I1301="Male",0,1)</f>
        <v>1</v>
      </c>
      <c r="X1301" s="39" t="n">
        <f aca="false">IF(OR(I1301="DNB",I1301="Dry DNB"),1,0)</f>
        <v>0</v>
      </c>
      <c r="Y1301" s="39" t="n">
        <f aca="false">MATCH(A1301,DATAS,0)</f>
        <v>1</v>
      </c>
      <c r="Z1301" s="39" t="n">
        <f aca="false">IF(AND(E1301&gt;0,OR(AND(B1301&gt;=1,B1301&lt;=6),B1301=10)),1,0)</f>
        <v>1</v>
      </c>
      <c r="AA1301" s="39" t="n">
        <f aca="false">IF(AND(E1301&gt;0,B1301=10),1,0)</f>
        <v>0</v>
      </c>
      <c r="AB1301" s="0" t="str">
        <f aca="false">IF(AND(C1300=C1301,Y1300=Y1301-1),Z1300,"")</f>
        <v/>
      </c>
      <c r="AC1301" s="0" t="str">
        <f aca="false">IF(AND(C1300=C1301,Y1300=Y1301-1),AA1300,"")</f>
        <v/>
      </c>
      <c r="AD1301" s="0" t="str">
        <f aca="false">IF(Y1301=1,"",IF(AND(Z1301=1,AB1301&lt;&gt;1),1,0))</f>
        <v/>
      </c>
      <c r="AE1301" s="0" t="str">
        <f aca="false">IF(Y1301=1,"",IF(AND(AA1301=1,AC1301&lt;&gt;1),1,0))</f>
        <v/>
      </c>
      <c r="AF1301" s="45" t="str">
        <f aca="false">IF(AND(E1301&gt;0,Y1301&lt;1,NOT(AND(C1302=C1301,Y1302=Y1301+1))),INDEX(DATAS,Y1301+1),"")</f>
        <v/>
      </c>
      <c r="AG1301" s="45" t="str">
        <f aca="false">IF(AND(AA1301=1,Y1301&lt;1),IF(AND(C1302=C1301,Y1302=Y1301+1),IF(AA1302=1,"",INDEX(DATAS,Y1301+1)),INDEX(DATAS,Y1301+1)),"")</f>
        <v/>
      </c>
    </row>
    <row r="1302" customFormat="false" ht="15" hidden="false" customHeight="false" outlineLevel="0" collapsed="false">
      <c r="A1302" s="45" t="n">
        <v>46309</v>
      </c>
      <c r="B1302" s="0" t="n">
        <v>7</v>
      </c>
      <c r="C1302" s="0" t="n">
        <v>5385</v>
      </c>
      <c r="D1302" s="0" t="n">
        <v>310</v>
      </c>
      <c r="E1302" s="0" t="n">
        <v>1</v>
      </c>
      <c r="F1302" s="39" t="s">
        <v>841</v>
      </c>
      <c r="G1302" s="0" t="n">
        <v>14</v>
      </c>
      <c r="H1302" s="0" t="n">
        <v>42</v>
      </c>
      <c r="I1302" s="39" t="s">
        <v>114</v>
      </c>
      <c r="J1302" s="0" t="n">
        <v>88</v>
      </c>
      <c r="K1302" s="0" t="n">
        <v>66</v>
      </c>
      <c r="L1302" s="0" t="n">
        <v>223</v>
      </c>
      <c r="M1302" s="0" t="n">
        <v>209.99</v>
      </c>
      <c r="N1302" s="0" t="n">
        <v>61</v>
      </c>
      <c r="O1302" s="0" t="n">
        <v>28.39</v>
      </c>
      <c r="P1302" s="0" t="n">
        <v>3.8</v>
      </c>
      <c r="Q1302" s="0" t="n">
        <v>3.84</v>
      </c>
      <c r="R1302" s="0" t="n">
        <v>4080</v>
      </c>
      <c r="S1302" s="0" t="n">
        <v>9125</v>
      </c>
      <c r="T1302" s="0" t="n">
        <v>42.5</v>
      </c>
      <c r="U1302" s="0" t="n">
        <v>948</v>
      </c>
      <c r="V1302" s="0" t="n">
        <v>2</v>
      </c>
      <c r="W1302" s="39" t="n">
        <f aca="false">IF(I1302="Male",0,1)</f>
        <v>1</v>
      </c>
      <c r="X1302" s="39" t="n">
        <f aca="false">IF(OR(I1302="DNB",I1302="Dry DNB"),1,0)</f>
        <v>0</v>
      </c>
      <c r="Y1302" s="39" t="n">
        <f aca="false">MATCH(A1302,DATAS,0)</f>
        <v>1</v>
      </c>
      <c r="Z1302" s="39" t="n">
        <f aca="false">IF(AND(E1302&gt;0,OR(AND(B1302&gt;=1,B1302&lt;=6),B1302=10)),1,0)</f>
        <v>0</v>
      </c>
      <c r="AA1302" s="39" t="n">
        <f aca="false">IF(AND(E1302&gt;0,B1302=10),1,0)</f>
        <v>0</v>
      </c>
      <c r="AB1302" s="0" t="str">
        <f aca="false">IF(AND(C1301=C1302,Y1301=Y1302-1),Z1301,"")</f>
        <v/>
      </c>
      <c r="AC1302" s="0" t="str">
        <f aca="false">IF(AND(C1301=C1302,Y1301=Y1302-1),AA1301,"")</f>
        <v/>
      </c>
      <c r="AD1302" s="0" t="str">
        <f aca="false">IF(Y1302=1,"",IF(AND(Z1302=1,AB1302&lt;&gt;1),1,0))</f>
        <v/>
      </c>
      <c r="AE1302" s="0" t="str">
        <f aca="false">IF(Y1302=1,"",IF(AND(AA1302=1,AC1302&lt;&gt;1),1,0))</f>
        <v/>
      </c>
      <c r="AF1302" s="45" t="str">
        <f aca="false">IF(AND(E1302&gt;0,Y1302&lt;1,NOT(AND(C1303=C1302,Y1303=Y1302+1))),INDEX(DATAS,Y1302+1),"")</f>
        <v/>
      </c>
      <c r="AG1302" s="45" t="str">
        <f aca="false">IF(AND(AA1302=1,Y1302&lt;1),IF(AND(C1303=C1302,Y1303=Y1302+1),IF(AA1303=1,"",INDEX(DATAS,Y1302+1)),INDEX(DATAS,Y1302+1)),"")</f>
        <v/>
      </c>
    </row>
    <row r="1303" customFormat="false" ht="15" hidden="false" customHeight="false" outlineLevel="0" collapsed="false">
      <c r="A1303" s="45" t="n">
        <v>46309</v>
      </c>
      <c r="B1303" s="0" t="n">
        <v>4</v>
      </c>
      <c r="C1303" s="0" t="n">
        <v>5386</v>
      </c>
      <c r="D1303" s="0" t="n">
        <v>305</v>
      </c>
      <c r="E1303" s="0" t="n">
        <v>1</v>
      </c>
      <c r="F1303" s="39" t="s">
        <v>841</v>
      </c>
      <c r="G1303" s="0" t="n">
        <v>38.7</v>
      </c>
      <c r="H1303" s="0" t="n">
        <v>38</v>
      </c>
      <c r="I1303" s="39" t="s">
        <v>109</v>
      </c>
      <c r="J1303" s="0" t="n">
        <v>172</v>
      </c>
      <c r="K1303" s="0" t="n">
        <v>67</v>
      </c>
      <c r="L1303" s="0" t="n">
        <v>133</v>
      </c>
      <c r="M1303" s="0" t="n">
        <v>1448.19</v>
      </c>
      <c r="N1303" s="0" t="n">
        <v>28.03</v>
      </c>
      <c r="O1303" s="0" t="n">
        <v>38.58</v>
      </c>
      <c r="P1303" s="0" t="n">
        <v>2.99</v>
      </c>
      <c r="Q1303" s="0" t="n">
        <v>3.69</v>
      </c>
      <c r="R1303" s="0" t="n">
        <v>5172</v>
      </c>
      <c r="S1303" s="0" t="n">
        <v>10640</v>
      </c>
      <c r="T1303" s="0" t="n">
        <v>56.95</v>
      </c>
      <c r="U1303" s="0" t="n">
        <v>948</v>
      </c>
      <c r="V1303" s="0" t="n">
        <v>4</v>
      </c>
      <c r="W1303" s="39" t="n">
        <f aca="false">IF(I1303="Male",0,1)</f>
        <v>1</v>
      </c>
      <c r="X1303" s="39" t="n">
        <f aca="false">IF(OR(I1303="DNB",I1303="Dry DNB"),1,0)</f>
        <v>0</v>
      </c>
      <c r="Y1303" s="39" t="n">
        <f aca="false">MATCH(A1303,DATAS,0)</f>
        <v>1</v>
      </c>
      <c r="Z1303" s="39" t="n">
        <f aca="false">IF(AND(E1303&gt;0,OR(AND(B1303&gt;=1,B1303&lt;=6),B1303=10)),1,0)</f>
        <v>1</v>
      </c>
      <c r="AA1303" s="39" t="n">
        <f aca="false">IF(AND(E1303&gt;0,B1303=10),1,0)</f>
        <v>0</v>
      </c>
      <c r="AB1303" s="0" t="str">
        <f aca="false">IF(AND(C1302=C1303,Y1302=Y1303-1),Z1302,"")</f>
        <v/>
      </c>
      <c r="AC1303" s="0" t="str">
        <f aca="false">IF(AND(C1302=C1303,Y1302=Y1303-1),AA1302,"")</f>
        <v/>
      </c>
      <c r="AD1303" s="0" t="str">
        <f aca="false">IF(Y1303=1,"",IF(AND(Z1303=1,AB1303&lt;&gt;1),1,0))</f>
        <v/>
      </c>
      <c r="AE1303" s="0" t="str">
        <f aca="false">IF(Y1303=1,"",IF(AND(AA1303=1,AC1303&lt;&gt;1),1,0))</f>
        <v/>
      </c>
      <c r="AF1303" s="45" t="str">
        <f aca="false">IF(AND(E1303&gt;0,Y1303&lt;1,NOT(AND(C1304=C1303,Y1304=Y1303+1))),INDEX(DATAS,Y1303+1),"")</f>
        <v/>
      </c>
      <c r="AG1303" s="45" t="str">
        <f aca="false">IF(AND(AA1303=1,Y1303&lt;1),IF(AND(C1304=C1303,Y1304=Y1303+1),IF(AA1304=1,"",INDEX(DATAS,Y1303+1)),INDEX(DATAS,Y1303+1)),"")</f>
        <v/>
      </c>
    </row>
    <row r="1304" customFormat="false" ht="15" hidden="false" customHeight="false" outlineLevel="0" collapsed="false">
      <c r="A1304" s="45" t="n">
        <v>46309</v>
      </c>
      <c r="B1304" s="0" t="n">
        <v>4</v>
      </c>
      <c r="C1304" s="0" t="n">
        <v>5387</v>
      </c>
      <c r="D1304" s="0" t="n">
        <v>234</v>
      </c>
      <c r="E1304" s="0" t="n">
        <v>1</v>
      </c>
      <c r="F1304" s="39" t="s">
        <v>841</v>
      </c>
      <c r="G1304" s="0" t="n">
        <v>47.8</v>
      </c>
      <c r="H1304" s="0" t="n">
        <v>46</v>
      </c>
      <c r="I1304" s="39" t="s">
        <v>109</v>
      </c>
      <c r="J1304" s="0" t="n">
        <v>91</v>
      </c>
      <c r="K1304" s="0" t="n">
        <v>66</v>
      </c>
      <c r="L1304" s="0" t="n">
        <v>143</v>
      </c>
      <c r="M1304" s="0" t="n">
        <v>829.27</v>
      </c>
      <c r="N1304" s="0" t="n">
        <v>32.26</v>
      </c>
      <c r="O1304" s="0" t="n">
        <v>33.31</v>
      </c>
      <c r="P1304" s="0" t="n">
        <v>3.6</v>
      </c>
      <c r="Q1304" s="0" t="n">
        <v>3.46</v>
      </c>
      <c r="R1304" s="0" t="n">
        <v>3723</v>
      </c>
      <c r="S1304" s="0" t="n">
        <v>9339</v>
      </c>
      <c r="T1304" s="0" t="n">
        <v>41.85</v>
      </c>
      <c r="U1304" s="0" t="n">
        <v>948</v>
      </c>
      <c r="V1304" s="0" t="n">
        <v>2</v>
      </c>
      <c r="W1304" s="39" t="n">
        <f aca="false">IF(I1304="Male",0,1)</f>
        <v>1</v>
      </c>
      <c r="X1304" s="39" t="n">
        <f aca="false">IF(OR(I1304="DNB",I1304="Dry DNB"),1,0)</f>
        <v>0</v>
      </c>
      <c r="Y1304" s="39" t="n">
        <f aca="false">MATCH(A1304,DATAS,0)</f>
        <v>1</v>
      </c>
      <c r="Z1304" s="39" t="n">
        <f aca="false">IF(AND(E1304&gt;0,OR(AND(B1304&gt;=1,B1304&lt;=6),B1304=10)),1,0)</f>
        <v>1</v>
      </c>
      <c r="AA1304" s="39" t="n">
        <f aca="false">IF(AND(E1304&gt;0,B1304=10),1,0)</f>
        <v>0</v>
      </c>
      <c r="AB1304" s="0" t="str">
        <f aca="false">IF(AND(C1303=C1304,Y1303=Y1304-1),Z1303,"")</f>
        <v/>
      </c>
      <c r="AC1304" s="0" t="str">
        <f aca="false">IF(AND(C1303=C1304,Y1303=Y1304-1),AA1303,"")</f>
        <v/>
      </c>
      <c r="AD1304" s="0" t="str">
        <f aca="false">IF(Y1304=1,"",IF(AND(Z1304=1,AB1304&lt;&gt;1),1,0))</f>
        <v/>
      </c>
      <c r="AE1304" s="0" t="str">
        <f aca="false">IF(Y1304=1,"",IF(AND(AA1304=1,AC1304&lt;&gt;1),1,0))</f>
        <v/>
      </c>
      <c r="AF1304" s="45" t="str">
        <f aca="false">IF(AND(E1304&gt;0,Y1304&lt;1,NOT(AND(C1305=C1304,Y1305=Y1304+1))),INDEX(DATAS,Y1304+1),"")</f>
        <v/>
      </c>
      <c r="AG1304" s="45" t="str">
        <f aca="false">IF(AND(AA1304=1,Y1304&lt;1),IF(AND(C1305=C1304,Y1305=Y1304+1),IF(AA1305=1,"",INDEX(DATAS,Y1304+1)),INDEX(DATAS,Y1304+1)),"")</f>
        <v/>
      </c>
    </row>
    <row r="1305" customFormat="false" ht="15" hidden="false" customHeight="false" outlineLevel="0" collapsed="false">
      <c r="A1305" s="45" t="n">
        <v>46309</v>
      </c>
      <c r="B1305" s="0" t="n">
        <v>4</v>
      </c>
      <c r="C1305" s="0" t="n">
        <v>5388</v>
      </c>
      <c r="D1305" s="0" t="n">
        <v>240</v>
      </c>
      <c r="E1305" s="0" t="n">
        <v>1</v>
      </c>
      <c r="F1305" s="39" t="s">
        <v>841</v>
      </c>
      <c r="G1305" s="0" t="n">
        <v>44.9</v>
      </c>
      <c r="H1305" s="0" t="n">
        <v>40</v>
      </c>
      <c r="I1305" s="39" t="s">
        <v>109</v>
      </c>
      <c r="J1305" s="0" t="n">
        <v>65</v>
      </c>
      <c r="K1305" s="0" t="n">
        <v>65</v>
      </c>
      <c r="L1305" s="0" t="n">
        <v>175</v>
      </c>
      <c r="M1305" s="0" t="n">
        <v>249.82</v>
      </c>
      <c r="N1305" s="0" t="n">
        <v>60.36</v>
      </c>
      <c r="O1305" s="0" t="n">
        <v>24.57</v>
      </c>
      <c r="P1305" s="0" t="n">
        <v>3.64</v>
      </c>
      <c r="Q1305" s="0" t="n">
        <v>3.61</v>
      </c>
      <c r="R1305" s="0" t="n">
        <v>3754</v>
      </c>
      <c r="S1305" s="0" t="n">
        <v>8513</v>
      </c>
      <c r="T1305" s="0" t="n">
        <v>44.45</v>
      </c>
      <c r="U1305" s="0" t="n">
        <v>948</v>
      </c>
      <c r="V1305" s="0" t="n">
        <v>1</v>
      </c>
      <c r="W1305" s="39" t="n">
        <f aca="false">IF(I1305="Male",0,1)</f>
        <v>1</v>
      </c>
      <c r="X1305" s="39" t="n">
        <f aca="false">IF(OR(I1305="DNB",I1305="Dry DNB"),1,0)</f>
        <v>0</v>
      </c>
      <c r="Y1305" s="39" t="n">
        <f aca="false">MATCH(A1305,DATAS,0)</f>
        <v>1</v>
      </c>
      <c r="Z1305" s="39" t="n">
        <f aca="false">IF(AND(E1305&gt;0,OR(AND(B1305&gt;=1,B1305&lt;=6),B1305=10)),1,0)</f>
        <v>1</v>
      </c>
      <c r="AA1305" s="39" t="n">
        <f aca="false">IF(AND(E1305&gt;0,B1305=10),1,0)</f>
        <v>0</v>
      </c>
      <c r="AB1305" s="0" t="str">
        <f aca="false">IF(AND(C1304=C1305,Y1304=Y1305-1),Z1304,"")</f>
        <v/>
      </c>
      <c r="AC1305" s="0" t="str">
        <f aca="false">IF(AND(C1304=C1305,Y1304=Y1305-1),AA1304,"")</f>
        <v/>
      </c>
      <c r="AD1305" s="0" t="str">
        <f aca="false">IF(Y1305=1,"",IF(AND(Z1305=1,AB1305&lt;&gt;1),1,0))</f>
        <v/>
      </c>
      <c r="AE1305" s="0" t="str">
        <f aca="false">IF(Y1305=1,"",IF(AND(AA1305=1,AC1305&lt;&gt;1),1,0))</f>
        <v/>
      </c>
      <c r="AF1305" s="45" t="str">
        <f aca="false">IF(AND(E1305&gt;0,Y1305&lt;1,NOT(AND(C1306=C1305,Y1306=Y1305+1))),INDEX(DATAS,Y1305+1),"")</f>
        <v/>
      </c>
      <c r="AG1305" s="45" t="str">
        <f aca="false">IF(AND(AA1305=1,Y1305&lt;1),IF(AND(C1306=C1305,Y1306=Y1305+1),IF(AA1306=1,"",INDEX(DATAS,Y1305+1)),INDEX(DATAS,Y1305+1)),"")</f>
        <v/>
      </c>
    </row>
    <row r="1306" customFormat="false" ht="15" hidden="false" customHeight="false" outlineLevel="0" collapsed="false">
      <c r="A1306" s="45" t="n">
        <v>46309</v>
      </c>
      <c r="B1306" s="0" t="n">
        <v>4</v>
      </c>
      <c r="C1306" s="0" t="n">
        <v>5389</v>
      </c>
      <c r="D1306" s="0" t="n">
        <v>253</v>
      </c>
      <c r="E1306" s="0" t="n">
        <v>1</v>
      </c>
      <c r="F1306" s="39" t="s">
        <v>843</v>
      </c>
      <c r="G1306" s="0" t="n">
        <v>33.2</v>
      </c>
      <c r="H1306" s="0" t="n">
        <v>32</v>
      </c>
      <c r="I1306" s="39" t="s">
        <v>138</v>
      </c>
      <c r="J1306" s="0" t="n">
        <v>253</v>
      </c>
      <c r="K1306" s="0" t="n">
        <v>36</v>
      </c>
      <c r="M1306" s="0" t="n">
        <v>949.13</v>
      </c>
      <c r="N1306" s="0" t="n">
        <v>83.57</v>
      </c>
      <c r="O1306" s="0" t="n">
        <v>33.54</v>
      </c>
      <c r="P1306" s="0" t="n">
        <v>4.38</v>
      </c>
      <c r="Q1306" s="0" t="n">
        <v>3.66</v>
      </c>
      <c r="R1306" s="0" t="n">
        <v>3898</v>
      </c>
      <c r="S1306" s="0" t="n">
        <v>8202</v>
      </c>
      <c r="T1306" s="0" t="n">
        <v>43.1</v>
      </c>
      <c r="U1306" s="0" t="n">
        <v>947</v>
      </c>
      <c r="V1306" s="0" t="n">
        <v>8</v>
      </c>
      <c r="W1306" s="39" t="n">
        <f aca="false">IF(I1306="Male",0,1)</f>
        <v>1</v>
      </c>
      <c r="X1306" s="39" t="n">
        <f aca="false">IF(OR(I1306="DNB",I1306="Dry DNB"),1,0)</f>
        <v>0</v>
      </c>
      <c r="Y1306" s="39" t="n">
        <f aca="false">MATCH(A1306,DATAS,0)</f>
        <v>1</v>
      </c>
      <c r="Z1306" s="39" t="n">
        <f aca="false">IF(AND(E1306&gt;0,OR(AND(B1306&gt;=1,B1306&lt;=6),B1306=10)),1,0)</f>
        <v>1</v>
      </c>
      <c r="AA1306" s="39" t="n">
        <f aca="false">IF(AND(E1306&gt;0,B1306=10),1,0)</f>
        <v>0</v>
      </c>
      <c r="AB1306" s="0" t="str">
        <f aca="false">IF(AND(C1305=C1306,Y1305=Y1306-1),Z1305,"")</f>
        <v/>
      </c>
      <c r="AC1306" s="0" t="str">
        <f aca="false">IF(AND(C1305=C1306,Y1305=Y1306-1),AA1305,"")</f>
        <v/>
      </c>
      <c r="AD1306" s="0" t="str">
        <f aca="false">IF(Y1306=1,"",IF(AND(Z1306=1,AB1306&lt;&gt;1),1,0))</f>
        <v/>
      </c>
      <c r="AE1306" s="0" t="str">
        <f aca="false">IF(Y1306=1,"",IF(AND(AA1306=1,AC1306&lt;&gt;1),1,0))</f>
        <v/>
      </c>
      <c r="AF1306" s="45" t="str">
        <f aca="false">IF(AND(E1306&gt;0,Y1306&lt;1,NOT(AND(C1307=C1306,Y1307=Y1306+1))),INDEX(DATAS,Y1306+1),"")</f>
        <v/>
      </c>
      <c r="AG1306" s="45" t="str">
        <f aca="false">IF(AND(AA1306=1,Y1306&lt;1),IF(AND(C1307=C1306,Y1307=Y1306+1),IF(AA1307=1,"",INDEX(DATAS,Y1306+1)),INDEX(DATAS,Y1306+1)),"")</f>
        <v/>
      </c>
    </row>
    <row r="1307" customFormat="false" ht="15" hidden="false" customHeight="false" outlineLevel="0" collapsed="false">
      <c r="A1307" s="45" t="n">
        <v>46309</v>
      </c>
      <c r="B1307" s="0" t="n">
        <v>4</v>
      </c>
      <c r="C1307" s="0" t="n">
        <v>5392</v>
      </c>
      <c r="D1307" s="0" t="n">
        <v>258</v>
      </c>
      <c r="E1307" s="0" t="n">
        <v>1</v>
      </c>
      <c r="F1307" s="39" t="s">
        <v>844</v>
      </c>
      <c r="G1307" s="0" t="n">
        <v>54.7</v>
      </c>
      <c r="H1307" s="0" t="n">
        <v>53</v>
      </c>
      <c r="I1307" s="39" t="s">
        <v>109</v>
      </c>
      <c r="J1307" s="0" t="n">
        <v>188</v>
      </c>
      <c r="K1307" s="0" t="n">
        <v>69</v>
      </c>
      <c r="L1307" s="0" t="n">
        <v>70</v>
      </c>
      <c r="M1307" s="0" t="n">
        <v>1169.37</v>
      </c>
      <c r="N1307" s="0" t="n">
        <v>73.96</v>
      </c>
      <c r="O1307" s="0" t="n">
        <v>36.78</v>
      </c>
      <c r="P1307" s="0" t="n">
        <v>3.89</v>
      </c>
      <c r="Q1307" s="0" t="n">
        <v>3.42</v>
      </c>
      <c r="R1307" s="0" t="n">
        <v>4303</v>
      </c>
      <c r="S1307" s="0" t="n">
        <v>10157</v>
      </c>
      <c r="T1307" s="0" t="n">
        <v>38.85</v>
      </c>
      <c r="U1307" s="0" t="n">
        <v>945</v>
      </c>
      <c r="V1307" s="0" t="n">
        <v>4</v>
      </c>
      <c r="W1307" s="39" t="n">
        <f aca="false">IF(I1307="Male",0,1)</f>
        <v>1</v>
      </c>
      <c r="X1307" s="39" t="n">
        <f aca="false">IF(OR(I1307="DNB",I1307="Dry DNB"),1,0)</f>
        <v>0</v>
      </c>
      <c r="Y1307" s="39" t="n">
        <f aca="false">MATCH(A1307,DATAS,0)</f>
        <v>1</v>
      </c>
      <c r="Z1307" s="39" t="n">
        <f aca="false">IF(AND(E1307&gt;0,OR(AND(B1307&gt;=1,B1307&lt;=6),B1307=10)),1,0)</f>
        <v>1</v>
      </c>
      <c r="AA1307" s="39" t="n">
        <f aca="false">IF(AND(E1307&gt;0,B1307=10),1,0)</f>
        <v>0</v>
      </c>
      <c r="AB1307" s="0" t="str">
        <f aca="false">IF(AND(C1306=C1307,Y1306=Y1307-1),Z1306,"")</f>
        <v/>
      </c>
      <c r="AC1307" s="0" t="str">
        <f aca="false">IF(AND(C1306=C1307,Y1306=Y1307-1),AA1306,"")</f>
        <v/>
      </c>
      <c r="AD1307" s="0" t="str">
        <f aca="false">IF(Y1307=1,"",IF(AND(Z1307=1,AB1307&lt;&gt;1),1,0))</f>
        <v/>
      </c>
      <c r="AE1307" s="0" t="str">
        <f aca="false">IF(Y1307=1,"",IF(AND(AA1307=1,AC1307&lt;&gt;1),1,0))</f>
        <v/>
      </c>
      <c r="AF1307" s="45" t="str">
        <f aca="false">IF(AND(E1307&gt;0,Y1307&lt;1,NOT(AND(C1308=C1307,Y1308=Y1307+1))),INDEX(DATAS,Y1307+1),"")</f>
        <v/>
      </c>
      <c r="AG1307" s="45" t="str">
        <f aca="false">IF(AND(AA1307=1,Y1307&lt;1),IF(AND(C1308=C1307,Y1308=Y1307+1),IF(AA1308=1,"",INDEX(DATAS,Y1307+1)),INDEX(DATAS,Y1307+1)),"")</f>
        <v/>
      </c>
    </row>
    <row r="1308" customFormat="false" ht="15" hidden="false" customHeight="false" outlineLevel="0" collapsed="false">
      <c r="A1308" s="45" t="n">
        <v>46309</v>
      </c>
      <c r="B1308" s="0" t="n">
        <v>4</v>
      </c>
      <c r="C1308" s="0" t="n">
        <v>5393</v>
      </c>
      <c r="D1308" s="0" t="n">
        <v>270</v>
      </c>
      <c r="E1308" s="0" t="n">
        <v>1</v>
      </c>
      <c r="F1308" s="39" t="s">
        <v>845</v>
      </c>
      <c r="G1308" s="0" t="n">
        <v>42</v>
      </c>
      <c r="H1308" s="0" t="n">
        <v>42</v>
      </c>
      <c r="I1308" s="39" t="s">
        <v>109</v>
      </c>
      <c r="J1308" s="0" t="n">
        <v>186</v>
      </c>
      <c r="K1308" s="0" t="n">
        <v>67</v>
      </c>
      <c r="L1308" s="0" t="n">
        <v>84</v>
      </c>
      <c r="M1308" s="0" t="n">
        <v>821.52</v>
      </c>
      <c r="N1308" s="0" t="n">
        <v>73.66</v>
      </c>
      <c r="O1308" s="0" t="n">
        <v>34.48</v>
      </c>
      <c r="P1308" s="0" t="n">
        <v>3.85</v>
      </c>
      <c r="Q1308" s="0" t="n">
        <v>3.1</v>
      </c>
      <c r="R1308" s="0" t="n">
        <v>4283</v>
      </c>
      <c r="S1308" s="0" t="n">
        <v>9310</v>
      </c>
      <c r="T1308" s="0" t="n">
        <v>46.45</v>
      </c>
      <c r="U1308" s="0" t="n">
        <v>944</v>
      </c>
      <c r="V1308" s="0" t="n">
        <v>3</v>
      </c>
      <c r="W1308" s="39" t="n">
        <f aca="false">IF(I1308="Male",0,1)</f>
        <v>1</v>
      </c>
      <c r="X1308" s="39" t="n">
        <f aca="false">IF(OR(I1308="DNB",I1308="Dry DNB"),1,0)</f>
        <v>0</v>
      </c>
      <c r="Y1308" s="39" t="n">
        <f aca="false">MATCH(A1308,DATAS,0)</f>
        <v>1</v>
      </c>
      <c r="Z1308" s="39" t="n">
        <f aca="false">IF(AND(E1308&gt;0,OR(AND(B1308&gt;=1,B1308&lt;=6),B1308=10)),1,0)</f>
        <v>1</v>
      </c>
      <c r="AA1308" s="39" t="n">
        <f aca="false">IF(AND(E1308&gt;0,B1308=10),1,0)</f>
        <v>0</v>
      </c>
      <c r="AB1308" s="0" t="str">
        <f aca="false">IF(AND(C1307=C1308,Y1307=Y1308-1),Z1307,"")</f>
        <v/>
      </c>
      <c r="AC1308" s="0" t="str">
        <f aca="false">IF(AND(C1307=C1308,Y1307=Y1308-1),AA1307,"")</f>
        <v/>
      </c>
      <c r="AD1308" s="0" t="str">
        <f aca="false">IF(Y1308=1,"",IF(AND(Z1308=1,AB1308&lt;&gt;1),1,0))</f>
        <v/>
      </c>
      <c r="AE1308" s="0" t="str">
        <f aca="false">IF(Y1308=1,"",IF(AND(AA1308=1,AC1308&lt;&gt;1),1,0))</f>
        <v/>
      </c>
      <c r="AF1308" s="45" t="str">
        <f aca="false">IF(AND(E1308&gt;0,Y1308&lt;1,NOT(AND(C1309=C1308,Y1309=Y1308+1))),INDEX(DATAS,Y1308+1),"")</f>
        <v/>
      </c>
      <c r="AG1308" s="45" t="str">
        <f aca="false">IF(AND(AA1308=1,Y1308&lt;1),IF(AND(C1309=C1308,Y1309=Y1308+1),IF(AA1309=1,"",INDEX(DATAS,Y1308+1)),INDEX(DATAS,Y1308+1)),"")</f>
        <v/>
      </c>
    </row>
    <row r="1309" customFormat="false" ht="15" hidden="false" customHeight="false" outlineLevel="0" collapsed="false">
      <c r="A1309" s="45" t="n">
        <v>46309</v>
      </c>
      <c r="B1309" s="0" t="n">
        <v>4</v>
      </c>
      <c r="C1309" s="0" t="n">
        <v>5394</v>
      </c>
      <c r="D1309" s="0" t="n">
        <v>254</v>
      </c>
      <c r="E1309" s="0" t="n">
        <v>1</v>
      </c>
      <c r="F1309" s="39" t="s">
        <v>844</v>
      </c>
      <c r="G1309" s="0" t="n">
        <v>41.6</v>
      </c>
      <c r="H1309" s="0" t="n">
        <v>44</v>
      </c>
      <c r="I1309" s="39" t="s">
        <v>109</v>
      </c>
      <c r="J1309" s="0" t="n">
        <v>121</v>
      </c>
      <c r="K1309" s="0" t="n">
        <v>86</v>
      </c>
      <c r="L1309" s="0" t="n">
        <v>133</v>
      </c>
      <c r="M1309" s="0" t="n">
        <v>554.24</v>
      </c>
      <c r="N1309" s="0" t="n">
        <v>14.35</v>
      </c>
      <c r="O1309" s="0" t="n">
        <v>23.52</v>
      </c>
      <c r="P1309" s="0" t="n">
        <v>3.06</v>
      </c>
      <c r="Q1309" s="0" t="n">
        <v>3.66</v>
      </c>
      <c r="R1309" s="0" t="n">
        <v>3528</v>
      </c>
      <c r="S1309" s="0" t="n">
        <v>7935</v>
      </c>
      <c r="T1309" s="0" t="n">
        <v>39.95</v>
      </c>
      <c r="U1309" s="0" t="n">
        <v>945</v>
      </c>
      <c r="V1309" s="0" t="n">
        <v>2</v>
      </c>
      <c r="W1309" s="39" t="n">
        <f aca="false">IF(I1309="Male",0,1)</f>
        <v>1</v>
      </c>
      <c r="X1309" s="39" t="n">
        <f aca="false">IF(OR(I1309="DNB",I1309="Dry DNB"),1,0)</f>
        <v>0</v>
      </c>
      <c r="Y1309" s="39" t="n">
        <f aca="false">MATCH(A1309,DATAS,0)</f>
        <v>1</v>
      </c>
      <c r="Z1309" s="39" t="n">
        <f aca="false">IF(AND(E1309&gt;0,OR(AND(B1309&gt;=1,B1309&lt;=6),B1309=10)),1,0)</f>
        <v>1</v>
      </c>
      <c r="AA1309" s="39" t="n">
        <f aca="false">IF(AND(E1309&gt;0,B1309=10),1,0)</f>
        <v>0</v>
      </c>
      <c r="AB1309" s="0" t="str">
        <f aca="false">IF(AND(C1308=C1309,Y1308=Y1309-1),Z1308,"")</f>
        <v/>
      </c>
      <c r="AC1309" s="0" t="str">
        <f aca="false">IF(AND(C1308=C1309,Y1308=Y1309-1),AA1308,"")</f>
        <v/>
      </c>
      <c r="AD1309" s="0" t="str">
        <f aca="false">IF(Y1309=1,"",IF(AND(Z1309=1,AB1309&lt;&gt;1),1,0))</f>
        <v/>
      </c>
      <c r="AE1309" s="0" t="str">
        <f aca="false">IF(Y1309=1,"",IF(AND(AA1309=1,AC1309&lt;&gt;1),1,0))</f>
        <v/>
      </c>
      <c r="AF1309" s="45" t="str">
        <f aca="false">IF(AND(E1309&gt;0,Y1309&lt;1,NOT(AND(C1310=C1309,Y1310=Y1309+1))),INDEX(DATAS,Y1309+1),"")</f>
        <v/>
      </c>
      <c r="AG1309" s="45" t="str">
        <f aca="false">IF(AND(AA1309=1,Y1309&lt;1),IF(AND(C1310=C1309,Y1310=Y1309+1),IF(AA1310=1,"",INDEX(DATAS,Y1309+1)),INDEX(DATAS,Y1309+1)),"")</f>
        <v/>
      </c>
    </row>
    <row r="1310" customFormat="false" ht="15" hidden="false" customHeight="false" outlineLevel="0" collapsed="false">
      <c r="A1310" s="45" t="n">
        <v>46309</v>
      </c>
      <c r="B1310" s="0" t="n">
        <v>7</v>
      </c>
      <c r="C1310" s="0" t="n">
        <v>5395</v>
      </c>
      <c r="D1310" s="0" t="n">
        <v>290</v>
      </c>
      <c r="E1310" s="0" t="n">
        <v>1</v>
      </c>
      <c r="F1310" s="39" t="s">
        <v>844</v>
      </c>
      <c r="I1310" s="39" t="s">
        <v>114</v>
      </c>
      <c r="J1310" s="0" t="n">
        <v>67</v>
      </c>
      <c r="K1310" s="0" t="n">
        <v>67</v>
      </c>
      <c r="L1310" s="0" t="n">
        <v>238</v>
      </c>
      <c r="M1310" s="0" t="n">
        <v>314.14</v>
      </c>
      <c r="N1310" s="0" t="n">
        <v>59.22</v>
      </c>
      <c r="O1310" s="0" t="n">
        <v>26.02</v>
      </c>
      <c r="P1310" s="0" t="n">
        <v>5.85</v>
      </c>
      <c r="Q1310" s="0" t="n">
        <v>3.78</v>
      </c>
      <c r="R1310" s="0" t="n">
        <v>3480</v>
      </c>
      <c r="S1310" s="0" t="n">
        <v>7212</v>
      </c>
      <c r="T1310" s="0" t="n">
        <v>37.1</v>
      </c>
      <c r="U1310" s="0" t="n">
        <v>945</v>
      </c>
      <c r="V1310" s="0" t="n">
        <v>1</v>
      </c>
      <c r="W1310" s="39" t="n">
        <f aca="false">IF(I1310="Male",0,1)</f>
        <v>1</v>
      </c>
      <c r="X1310" s="39" t="n">
        <f aca="false">IF(OR(I1310="DNB",I1310="Dry DNB"),1,0)</f>
        <v>0</v>
      </c>
      <c r="Y1310" s="39" t="n">
        <f aca="false">MATCH(A1310,DATAS,0)</f>
        <v>1</v>
      </c>
      <c r="Z1310" s="39" t="n">
        <f aca="false">IF(AND(E1310&gt;0,OR(AND(B1310&gt;=1,B1310&lt;=6),B1310=10)),1,0)</f>
        <v>0</v>
      </c>
      <c r="AA1310" s="39" t="n">
        <f aca="false">IF(AND(E1310&gt;0,B1310=10),1,0)</f>
        <v>0</v>
      </c>
      <c r="AB1310" s="0" t="str">
        <f aca="false">IF(AND(C1309=C1310,Y1309=Y1310-1),Z1309,"")</f>
        <v/>
      </c>
      <c r="AC1310" s="0" t="str">
        <f aca="false">IF(AND(C1309=C1310,Y1309=Y1310-1),AA1309,"")</f>
        <v/>
      </c>
      <c r="AD1310" s="0" t="str">
        <f aca="false">IF(Y1310=1,"",IF(AND(Z1310=1,AB1310&lt;&gt;1),1,0))</f>
        <v/>
      </c>
      <c r="AE1310" s="0" t="str">
        <f aca="false">IF(Y1310=1,"",IF(AND(AA1310=1,AC1310&lt;&gt;1),1,0))</f>
        <v/>
      </c>
      <c r="AF1310" s="45" t="str">
        <f aca="false">IF(AND(E1310&gt;0,Y1310&lt;1,NOT(AND(C1311=C1310,Y1311=Y1310+1))),INDEX(DATAS,Y1310+1),"")</f>
        <v/>
      </c>
      <c r="AG1310" s="45" t="str">
        <f aca="false">IF(AND(AA1310=1,Y1310&lt;1),IF(AND(C1311=C1310,Y1311=Y1310+1),IF(AA1311=1,"",INDEX(DATAS,Y1310+1)),INDEX(DATAS,Y1310+1)),"")</f>
        <v/>
      </c>
    </row>
    <row r="1311" customFormat="false" ht="15" hidden="false" customHeight="false" outlineLevel="0" collapsed="false">
      <c r="A1311" s="45" t="n">
        <v>46309</v>
      </c>
      <c r="B1311" s="0" t="n">
        <v>4</v>
      </c>
      <c r="C1311" s="0" t="n">
        <v>5396</v>
      </c>
      <c r="D1311" s="0" t="n">
        <v>256</v>
      </c>
      <c r="E1311" s="0" t="n">
        <v>1</v>
      </c>
      <c r="F1311" s="39" t="s">
        <v>844</v>
      </c>
      <c r="G1311" s="0" t="n">
        <v>48.3</v>
      </c>
      <c r="H1311" s="0" t="n">
        <v>48</v>
      </c>
      <c r="I1311" s="39" t="s">
        <v>109</v>
      </c>
      <c r="J1311" s="0" t="n">
        <v>158</v>
      </c>
      <c r="K1311" s="0" t="n">
        <v>67</v>
      </c>
      <c r="L1311" s="0" t="n">
        <v>98</v>
      </c>
      <c r="M1311" s="0" t="n">
        <v>359.99</v>
      </c>
      <c r="N1311" s="0" t="n">
        <v>61.04</v>
      </c>
      <c r="O1311" s="0" t="n">
        <v>27.58</v>
      </c>
      <c r="P1311" s="0" t="n">
        <v>3.39</v>
      </c>
      <c r="Q1311" s="0" t="n">
        <v>3.68</v>
      </c>
      <c r="R1311" s="0" t="n">
        <v>3918</v>
      </c>
      <c r="S1311" s="0" t="n">
        <v>8964</v>
      </c>
      <c r="T1311" s="0" t="n">
        <v>39.85</v>
      </c>
      <c r="U1311" s="0" t="n">
        <v>945</v>
      </c>
      <c r="V1311" s="0" t="n">
        <v>4</v>
      </c>
      <c r="W1311" s="39" t="n">
        <f aca="false">IF(I1311="Male",0,1)</f>
        <v>1</v>
      </c>
      <c r="X1311" s="39" t="n">
        <f aca="false">IF(OR(I1311="DNB",I1311="Dry DNB"),1,0)</f>
        <v>0</v>
      </c>
      <c r="Y1311" s="39" t="n">
        <f aca="false">MATCH(A1311,DATAS,0)</f>
        <v>1</v>
      </c>
      <c r="Z1311" s="39" t="n">
        <f aca="false">IF(AND(E1311&gt;0,OR(AND(B1311&gt;=1,B1311&lt;=6),B1311=10)),1,0)</f>
        <v>1</v>
      </c>
      <c r="AA1311" s="39" t="n">
        <f aca="false">IF(AND(E1311&gt;0,B1311=10),1,0)</f>
        <v>0</v>
      </c>
      <c r="AB1311" s="0" t="str">
        <f aca="false">IF(AND(C1310=C1311,Y1310=Y1311-1),Z1310,"")</f>
        <v/>
      </c>
      <c r="AC1311" s="0" t="str">
        <f aca="false">IF(AND(C1310=C1311,Y1310=Y1311-1),AA1310,"")</f>
        <v/>
      </c>
      <c r="AD1311" s="0" t="str">
        <f aca="false">IF(Y1311=1,"",IF(AND(Z1311=1,AB1311&lt;&gt;1),1,0))</f>
        <v/>
      </c>
      <c r="AE1311" s="0" t="str">
        <f aca="false">IF(Y1311=1,"",IF(AND(AA1311=1,AC1311&lt;&gt;1),1,0))</f>
        <v/>
      </c>
      <c r="AF1311" s="45" t="str">
        <f aca="false">IF(AND(E1311&gt;0,Y1311&lt;1,NOT(AND(C1312=C1311,Y1312=Y1311+1))),INDEX(DATAS,Y1311+1),"")</f>
        <v/>
      </c>
      <c r="AG1311" s="45" t="str">
        <f aca="false">IF(AND(AA1311=1,Y1311&lt;1),IF(AND(C1312=C1311,Y1312=Y1311+1),IF(AA1312=1,"",INDEX(DATAS,Y1311+1)),INDEX(DATAS,Y1311+1)),"")</f>
        <v/>
      </c>
    </row>
    <row r="1312" customFormat="false" ht="15" hidden="false" customHeight="false" outlineLevel="0" collapsed="false">
      <c r="A1312" s="45" t="n">
        <v>46309</v>
      </c>
      <c r="B1312" s="0" t="n">
        <v>4</v>
      </c>
      <c r="C1312" s="0" t="n">
        <v>5397</v>
      </c>
      <c r="D1312" s="0" t="n">
        <v>292</v>
      </c>
      <c r="E1312" s="0" t="n">
        <v>1</v>
      </c>
      <c r="F1312" s="39" t="s">
        <v>844</v>
      </c>
      <c r="G1312" s="0" t="n">
        <v>43.8</v>
      </c>
      <c r="H1312" s="0" t="n">
        <v>44</v>
      </c>
      <c r="I1312" s="39" t="s">
        <v>109</v>
      </c>
      <c r="J1312" s="0" t="n">
        <v>75</v>
      </c>
      <c r="K1312" s="0" t="n">
        <v>75</v>
      </c>
      <c r="L1312" s="0" t="n">
        <v>217</v>
      </c>
      <c r="M1312" s="0" t="n">
        <v>1273.61</v>
      </c>
      <c r="N1312" s="0" t="n">
        <v>56.15</v>
      </c>
      <c r="O1312" s="0" t="n">
        <v>45.4</v>
      </c>
      <c r="P1312" s="0" t="n">
        <v>0</v>
      </c>
      <c r="Q1312" s="0" t="n">
        <v>0</v>
      </c>
      <c r="R1312" s="0" t="n">
        <v>4628</v>
      </c>
      <c r="S1312" s="0" t="n">
        <v>10472</v>
      </c>
      <c r="T1312" s="0" t="n">
        <v>50.1</v>
      </c>
      <c r="U1312" s="0" t="n">
        <v>945</v>
      </c>
      <c r="V1312" s="0" t="n">
        <v>1</v>
      </c>
      <c r="W1312" s="39" t="n">
        <f aca="false">IF(I1312="Male",0,1)</f>
        <v>1</v>
      </c>
      <c r="X1312" s="39" t="n">
        <f aca="false">IF(OR(I1312="DNB",I1312="Dry DNB"),1,0)</f>
        <v>0</v>
      </c>
      <c r="Y1312" s="39" t="n">
        <f aca="false">MATCH(A1312,DATAS,0)</f>
        <v>1</v>
      </c>
      <c r="Z1312" s="39" t="n">
        <f aca="false">IF(AND(E1312&gt;0,OR(AND(B1312&gt;=1,B1312&lt;=6),B1312=10)),1,0)</f>
        <v>1</v>
      </c>
      <c r="AA1312" s="39" t="n">
        <f aca="false">IF(AND(E1312&gt;0,B1312=10),1,0)</f>
        <v>0</v>
      </c>
      <c r="AB1312" s="0" t="str">
        <f aca="false">IF(AND(C1311=C1312,Y1311=Y1312-1),Z1311,"")</f>
        <v/>
      </c>
      <c r="AC1312" s="0" t="str">
        <f aca="false">IF(AND(C1311=C1312,Y1311=Y1312-1),AA1311,"")</f>
        <v/>
      </c>
      <c r="AD1312" s="0" t="str">
        <f aca="false">IF(Y1312=1,"",IF(AND(Z1312=1,AB1312&lt;&gt;1),1,0))</f>
        <v/>
      </c>
      <c r="AE1312" s="0" t="str">
        <f aca="false">IF(Y1312=1,"",IF(AND(AA1312=1,AC1312&lt;&gt;1),1,0))</f>
        <v/>
      </c>
      <c r="AF1312" s="45" t="str">
        <f aca="false">IF(AND(E1312&gt;0,Y1312&lt;1,NOT(AND(C1313=C1312,Y1313=Y1312+1))),INDEX(DATAS,Y1312+1),"")</f>
        <v/>
      </c>
      <c r="AG1312" s="45" t="str">
        <f aca="false">IF(AND(AA1312=1,Y1312&lt;1),IF(AND(C1313=C1312,Y1313=Y1312+1),IF(AA1313=1,"",INDEX(DATAS,Y1312+1)),INDEX(DATAS,Y1312+1)),"")</f>
        <v/>
      </c>
    </row>
    <row r="1313" customFormat="false" ht="15" hidden="false" customHeight="false" outlineLevel="0" collapsed="false">
      <c r="A1313" s="45" t="n">
        <v>46309</v>
      </c>
      <c r="B1313" s="0" t="n">
        <v>4</v>
      </c>
      <c r="C1313" s="0" t="n">
        <v>5398</v>
      </c>
      <c r="D1313" s="0" t="n">
        <v>298</v>
      </c>
      <c r="E1313" s="0" t="n">
        <v>1</v>
      </c>
      <c r="F1313" s="39" t="s">
        <v>845</v>
      </c>
      <c r="G1313" s="0" t="n">
        <v>44.7</v>
      </c>
      <c r="H1313" s="0" t="n">
        <v>42</v>
      </c>
      <c r="I1313" s="39" t="s">
        <v>109</v>
      </c>
      <c r="J1313" s="0" t="n">
        <v>95</v>
      </c>
      <c r="K1313" s="0" t="n">
        <v>60</v>
      </c>
      <c r="L1313" s="0" t="n">
        <v>203</v>
      </c>
      <c r="M1313" s="0" t="n">
        <v>540.06</v>
      </c>
      <c r="N1313" s="0" t="n">
        <v>78.01</v>
      </c>
      <c r="O1313" s="0" t="n">
        <v>33.53</v>
      </c>
      <c r="P1313" s="0" t="n">
        <v>4.22</v>
      </c>
      <c r="Q1313" s="0" t="n">
        <v>3.77</v>
      </c>
      <c r="R1313" s="0" t="n">
        <v>4634</v>
      </c>
      <c r="S1313" s="0" t="n">
        <v>10110</v>
      </c>
      <c r="T1313" s="0" t="n">
        <v>49.05</v>
      </c>
      <c r="U1313" s="0" t="n">
        <v>944</v>
      </c>
      <c r="V1313" s="0" t="n">
        <v>2</v>
      </c>
      <c r="W1313" s="39" t="n">
        <f aca="false">IF(I1313="Male",0,1)</f>
        <v>1</v>
      </c>
      <c r="X1313" s="39" t="n">
        <f aca="false">IF(OR(I1313="DNB",I1313="Dry DNB"),1,0)</f>
        <v>0</v>
      </c>
      <c r="Y1313" s="39" t="n">
        <f aca="false">MATCH(A1313,DATAS,0)</f>
        <v>1</v>
      </c>
      <c r="Z1313" s="39" t="n">
        <f aca="false">IF(AND(E1313&gt;0,OR(AND(B1313&gt;=1,B1313&lt;=6),B1313=10)),1,0)</f>
        <v>1</v>
      </c>
      <c r="AA1313" s="39" t="n">
        <f aca="false">IF(AND(E1313&gt;0,B1313=10),1,0)</f>
        <v>0</v>
      </c>
      <c r="AB1313" s="0" t="str">
        <f aca="false">IF(AND(C1312=C1313,Y1312=Y1313-1),Z1312,"")</f>
        <v/>
      </c>
      <c r="AC1313" s="0" t="str">
        <f aca="false">IF(AND(C1312=C1313,Y1312=Y1313-1),AA1312,"")</f>
        <v/>
      </c>
      <c r="AD1313" s="0" t="str">
        <f aca="false">IF(Y1313=1,"",IF(AND(Z1313=1,AB1313&lt;&gt;1),1,0))</f>
        <v/>
      </c>
      <c r="AE1313" s="0" t="str">
        <f aca="false">IF(Y1313=1,"",IF(AND(AA1313=1,AC1313&lt;&gt;1),1,0))</f>
        <v/>
      </c>
      <c r="AF1313" s="45" t="str">
        <f aca="false">IF(AND(E1313&gt;0,Y1313&lt;1,NOT(AND(C1314=C1313,Y1314=Y1313+1))),INDEX(DATAS,Y1313+1),"")</f>
        <v/>
      </c>
      <c r="AG1313" s="45" t="str">
        <f aca="false">IF(AND(AA1313=1,Y1313&lt;1),IF(AND(C1314=C1313,Y1314=Y1313+1),IF(AA1314=1,"",INDEX(DATAS,Y1313+1)),INDEX(DATAS,Y1313+1)),"")</f>
        <v/>
      </c>
    </row>
    <row r="1314" customFormat="false" ht="15" hidden="false" customHeight="false" outlineLevel="0" collapsed="false">
      <c r="A1314" s="45" t="n">
        <v>46309</v>
      </c>
      <c r="B1314" s="0" t="n">
        <v>7</v>
      </c>
      <c r="C1314" s="0" t="n">
        <v>5399</v>
      </c>
      <c r="D1314" s="0" t="n">
        <v>287</v>
      </c>
      <c r="E1314" s="0" t="n">
        <v>1</v>
      </c>
      <c r="F1314" s="39" t="s">
        <v>845</v>
      </c>
      <c r="G1314" s="0" t="n">
        <v>11.9</v>
      </c>
      <c r="H1314" s="0" t="n">
        <v>34</v>
      </c>
      <c r="I1314" s="39" t="s">
        <v>114</v>
      </c>
      <c r="J1314" s="0" t="n">
        <v>64</v>
      </c>
      <c r="K1314" s="0" t="n">
        <v>64</v>
      </c>
      <c r="L1314" s="0" t="n">
        <v>224</v>
      </c>
      <c r="M1314" s="0" t="n">
        <v>838.89</v>
      </c>
      <c r="N1314" s="0" t="n">
        <v>69.74</v>
      </c>
      <c r="O1314" s="0" t="n">
        <v>41.79</v>
      </c>
      <c r="P1314" s="0" t="n">
        <v>3.84</v>
      </c>
      <c r="Q1314" s="0" t="n">
        <v>3.79</v>
      </c>
      <c r="R1314" s="0" t="n">
        <v>4114</v>
      </c>
      <c r="S1314" s="0" t="n">
        <v>9179</v>
      </c>
      <c r="T1314" s="0" t="n">
        <v>41.3</v>
      </c>
      <c r="U1314" s="0" t="n">
        <v>944</v>
      </c>
      <c r="V1314" s="0" t="n">
        <v>1</v>
      </c>
      <c r="W1314" s="39" t="n">
        <f aca="false">IF(I1314="Male",0,1)</f>
        <v>1</v>
      </c>
      <c r="X1314" s="39" t="n">
        <f aca="false">IF(OR(I1314="DNB",I1314="Dry DNB"),1,0)</f>
        <v>0</v>
      </c>
      <c r="Y1314" s="39" t="n">
        <f aca="false">MATCH(A1314,DATAS,0)</f>
        <v>1</v>
      </c>
      <c r="Z1314" s="39" t="n">
        <f aca="false">IF(AND(E1314&gt;0,OR(AND(B1314&gt;=1,B1314&lt;=6),B1314=10)),1,0)</f>
        <v>0</v>
      </c>
      <c r="AA1314" s="39" t="n">
        <f aca="false">IF(AND(E1314&gt;0,B1314=10),1,0)</f>
        <v>0</v>
      </c>
      <c r="AB1314" s="0" t="str">
        <f aca="false">IF(AND(C1313=C1314,Y1313=Y1314-1),Z1313,"")</f>
        <v/>
      </c>
      <c r="AC1314" s="0" t="str">
        <f aca="false">IF(AND(C1313=C1314,Y1313=Y1314-1),AA1313,"")</f>
        <v/>
      </c>
      <c r="AD1314" s="0" t="str">
        <f aca="false">IF(Y1314=1,"",IF(AND(Z1314=1,AB1314&lt;&gt;1),1,0))</f>
        <v/>
      </c>
      <c r="AE1314" s="0" t="str">
        <f aca="false">IF(Y1314=1,"",IF(AND(AA1314=1,AC1314&lt;&gt;1),1,0))</f>
        <v/>
      </c>
      <c r="AF1314" s="45" t="str">
        <f aca="false">IF(AND(E1314&gt;0,Y1314&lt;1,NOT(AND(C1315=C1314,Y1315=Y1314+1))),INDEX(DATAS,Y1314+1),"")</f>
        <v/>
      </c>
      <c r="AG1314" s="45" t="str">
        <f aca="false">IF(AND(AA1314=1,Y1314&lt;1),IF(AND(C1315=C1314,Y1315=Y1314+1),IF(AA1315=1,"",INDEX(DATAS,Y1314+1)),INDEX(DATAS,Y1314+1)),"")</f>
        <v/>
      </c>
    </row>
    <row r="1315" customFormat="false" ht="15" hidden="false" customHeight="false" outlineLevel="0" collapsed="false">
      <c r="A1315" s="45" t="n">
        <v>46309</v>
      </c>
      <c r="B1315" s="0" t="n">
        <v>4</v>
      </c>
      <c r="C1315" s="0" t="n">
        <v>5400</v>
      </c>
      <c r="D1315" s="0" t="n">
        <v>286</v>
      </c>
      <c r="E1315" s="0" t="n">
        <v>1</v>
      </c>
      <c r="F1315" s="39" t="s">
        <v>845</v>
      </c>
      <c r="G1315" s="0" t="n">
        <v>50.1</v>
      </c>
      <c r="H1315" s="0" t="n">
        <v>49</v>
      </c>
      <c r="I1315" s="39" t="s">
        <v>146</v>
      </c>
      <c r="J1315" s="0" t="n">
        <v>286</v>
      </c>
      <c r="K1315" s="0" t="n">
        <v>62</v>
      </c>
      <c r="M1315" s="0" t="n">
        <v>770.74</v>
      </c>
      <c r="N1315" s="0" t="n">
        <v>58.44</v>
      </c>
      <c r="O1315" s="0" t="n">
        <v>32.52</v>
      </c>
      <c r="P1315" s="0" t="n">
        <v>4.05</v>
      </c>
      <c r="Q1315" s="0" t="n">
        <v>3.75</v>
      </c>
      <c r="R1315" s="0" t="n">
        <v>4798</v>
      </c>
      <c r="S1315" s="0" t="n">
        <v>10364</v>
      </c>
      <c r="T1315" s="0" t="n">
        <v>51.8</v>
      </c>
      <c r="U1315" s="0" t="n">
        <v>944</v>
      </c>
      <c r="V1315" s="0" t="n">
        <v>6</v>
      </c>
      <c r="W1315" s="39" t="n">
        <f aca="false">IF(I1315="Male",0,1)</f>
        <v>1</v>
      </c>
      <c r="X1315" s="39" t="n">
        <f aca="false">IF(OR(I1315="DNB",I1315="Dry DNB"),1,0)</f>
        <v>0</v>
      </c>
      <c r="Y1315" s="39" t="n">
        <f aca="false">MATCH(A1315,DATAS,0)</f>
        <v>1</v>
      </c>
      <c r="Z1315" s="39" t="n">
        <f aca="false">IF(AND(E1315&gt;0,OR(AND(B1315&gt;=1,B1315&lt;=6),B1315=10)),1,0)</f>
        <v>1</v>
      </c>
      <c r="AA1315" s="39" t="n">
        <f aca="false">IF(AND(E1315&gt;0,B1315=10),1,0)</f>
        <v>0</v>
      </c>
      <c r="AB1315" s="0" t="str">
        <f aca="false">IF(AND(C1314=C1315,Y1314=Y1315-1),Z1314,"")</f>
        <v/>
      </c>
      <c r="AC1315" s="0" t="str">
        <f aca="false">IF(AND(C1314=C1315,Y1314=Y1315-1),AA1314,"")</f>
        <v/>
      </c>
      <c r="AD1315" s="0" t="str">
        <f aca="false">IF(Y1315=1,"",IF(AND(Z1315=1,AB1315&lt;&gt;1),1,0))</f>
        <v/>
      </c>
      <c r="AE1315" s="0" t="str">
        <f aca="false">IF(Y1315=1,"",IF(AND(AA1315=1,AC1315&lt;&gt;1),1,0))</f>
        <v/>
      </c>
      <c r="AF1315" s="45" t="str">
        <f aca="false">IF(AND(E1315&gt;0,Y1315&lt;1,NOT(AND(C1316=C1315,Y1316=Y1315+1))),INDEX(DATAS,Y1315+1),"")</f>
        <v/>
      </c>
      <c r="AG1315" s="45" t="str">
        <f aca="false">IF(AND(AA1315=1,Y1315&lt;1),IF(AND(C1316=C1315,Y1316=Y1315+1),IF(AA1316=1,"",INDEX(DATAS,Y1315+1)),INDEX(DATAS,Y1315+1)),"")</f>
        <v/>
      </c>
    </row>
    <row r="1316" customFormat="false" ht="15" hidden="false" customHeight="false" outlineLevel="0" collapsed="false">
      <c r="A1316" s="45" t="n">
        <v>46309</v>
      </c>
      <c r="B1316" s="0" t="n">
        <v>4</v>
      </c>
      <c r="C1316" s="0" t="n">
        <v>5401</v>
      </c>
      <c r="D1316" s="0" t="n">
        <v>297</v>
      </c>
      <c r="E1316" s="0" t="n">
        <v>1</v>
      </c>
      <c r="F1316" s="39" t="s">
        <v>846</v>
      </c>
      <c r="G1316" s="0" t="n">
        <v>53.3</v>
      </c>
      <c r="H1316" s="0" t="n">
        <v>49</v>
      </c>
      <c r="I1316" s="39" t="s">
        <v>109</v>
      </c>
      <c r="J1316" s="0" t="n">
        <v>122</v>
      </c>
      <c r="K1316" s="0" t="n">
        <v>66</v>
      </c>
      <c r="L1316" s="0" t="n">
        <v>175</v>
      </c>
      <c r="M1316" s="0" t="n">
        <v>1694.28</v>
      </c>
      <c r="N1316" s="0" t="n">
        <v>65.41</v>
      </c>
      <c r="O1316" s="0" t="n">
        <v>55.36</v>
      </c>
      <c r="P1316" s="0" t="n">
        <v>3.37</v>
      </c>
      <c r="Q1316" s="0" t="n">
        <v>4.05</v>
      </c>
      <c r="R1316" s="0" t="n">
        <v>4896</v>
      </c>
      <c r="S1316" s="0" t="n">
        <v>10799</v>
      </c>
      <c r="T1316" s="0" t="n">
        <v>52.4</v>
      </c>
      <c r="U1316" s="0" t="n">
        <v>942</v>
      </c>
      <c r="V1316" s="0" t="n">
        <v>3</v>
      </c>
      <c r="W1316" s="39" t="n">
        <f aca="false">IF(I1316="Male",0,1)</f>
        <v>1</v>
      </c>
      <c r="X1316" s="39" t="n">
        <f aca="false">IF(OR(I1316="DNB",I1316="Dry DNB"),1,0)</f>
        <v>0</v>
      </c>
      <c r="Y1316" s="39" t="n">
        <f aca="false">MATCH(A1316,DATAS,0)</f>
        <v>1</v>
      </c>
      <c r="Z1316" s="39" t="n">
        <f aca="false">IF(AND(E1316&gt;0,OR(AND(B1316&gt;=1,B1316&lt;=6),B1316=10)),1,0)</f>
        <v>1</v>
      </c>
      <c r="AA1316" s="39" t="n">
        <f aca="false">IF(AND(E1316&gt;0,B1316=10),1,0)</f>
        <v>0</v>
      </c>
      <c r="AB1316" s="0" t="str">
        <f aca="false">IF(AND(C1315=C1316,Y1315=Y1316-1),Z1315,"")</f>
        <v/>
      </c>
      <c r="AC1316" s="0" t="str">
        <f aca="false">IF(AND(C1315=C1316,Y1315=Y1316-1),AA1315,"")</f>
        <v/>
      </c>
      <c r="AD1316" s="0" t="str">
        <f aca="false">IF(Y1316=1,"",IF(AND(Z1316=1,AB1316&lt;&gt;1),1,0))</f>
        <v/>
      </c>
      <c r="AE1316" s="0" t="str">
        <f aca="false">IF(Y1316=1,"",IF(AND(AA1316=1,AC1316&lt;&gt;1),1,0))</f>
        <v/>
      </c>
      <c r="AF1316" s="45" t="str">
        <f aca="false">IF(AND(E1316&gt;0,Y1316&lt;1,NOT(AND(C1317=C1316,Y1317=Y1316+1))),INDEX(DATAS,Y1316+1),"")</f>
        <v/>
      </c>
      <c r="AG1316" s="45" t="str">
        <f aca="false">IF(AND(AA1316=1,Y1316&lt;1),IF(AND(C1317=C1316,Y1317=Y1316+1),IF(AA1317=1,"",INDEX(DATAS,Y1316+1)),INDEX(DATAS,Y1316+1)),"")</f>
        <v/>
      </c>
    </row>
    <row r="1317" customFormat="false" ht="15" hidden="false" customHeight="false" outlineLevel="0" collapsed="false">
      <c r="A1317" s="45" t="n">
        <v>46309</v>
      </c>
      <c r="B1317" s="0" t="n">
        <v>4</v>
      </c>
      <c r="C1317" s="0" t="n">
        <v>5403</v>
      </c>
      <c r="D1317" s="0" t="n">
        <v>309</v>
      </c>
      <c r="E1317" s="0" t="n">
        <v>1</v>
      </c>
      <c r="F1317" s="39" t="s">
        <v>846</v>
      </c>
      <c r="G1317" s="0" t="n">
        <v>36.1</v>
      </c>
      <c r="H1317" s="0" t="n">
        <v>36</v>
      </c>
      <c r="I1317" s="39" t="s">
        <v>109</v>
      </c>
      <c r="J1317" s="0" t="n">
        <v>176</v>
      </c>
      <c r="K1317" s="0" t="n">
        <v>71</v>
      </c>
      <c r="L1317" s="0" t="n">
        <v>133</v>
      </c>
      <c r="M1317" s="0" t="n">
        <v>317.31</v>
      </c>
      <c r="N1317" s="0" t="n">
        <v>30.04</v>
      </c>
      <c r="O1317" s="0" t="n">
        <v>19.27</v>
      </c>
      <c r="P1317" s="0" t="n">
        <v>3.85</v>
      </c>
      <c r="Q1317" s="0" t="n">
        <v>3.8</v>
      </c>
      <c r="R1317" s="0" t="n">
        <v>2341</v>
      </c>
      <c r="S1317" s="0" t="n">
        <v>5711</v>
      </c>
      <c r="T1317" s="0" t="n">
        <v>26.75</v>
      </c>
      <c r="U1317" s="0" t="n">
        <v>942</v>
      </c>
      <c r="V1317" s="0" t="n">
        <v>5</v>
      </c>
      <c r="W1317" s="39" t="n">
        <f aca="false">IF(I1317="Male",0,1)</f>
        <v>1</v>
      </c>
      <c r="X1317" s="39" t="n">
        <f aca="false">IF(OR(I1317="DNB",I1317="Dry DNB"),1,0)</f>
        <v>0</v>
      </c>
      <c r="Y1317" s="39" t="n">
        <f aca="false">MATCH(A1317,DATAS,0)</f>
        <v>1</v>
      </c>
      <c r="Z1317" s="39" t="n">
        <f aca="false">IF(AND(E1317&gt;0,OR(AND(B1317&gt;=1,B1317&lt;=6),B1317=10)),1,0)</f>
        <v>1</v>
      </c>
      <c r="AA1317" s="39" t="n">
        <f aca="false">IF(AND(E1317&gt;0,B1317=10),1,0)</f>
        <v>0</v>
      </c>
      <c r="AB1317" s="0" t="str">
        <f aca="false">IF(AND(C1316=C1317,Y1316=Y1317-1),Z1316,"")</f>
        <v/>
      </c>
      <c r="AC1317" s="0" t="str">
        <f aca="false">IF(AND(C1316=C1317,Y1316=Y1317-1),AA1316,"")</f>
        <v/>
      </c>
      <c r="AD1317" s="0" t="str">
        <f aca="false">IF(Y1317=1,"",IF(AND(Z1317=1,AB1317&lt;&gt;1),1,0))</f>
        <v/>
      </c>
      <c r="AE1317" s="0" t="str">
        <f aca="false">IF(Y1317=1,"",IF(AND(AA1317=1,AC1317&lt;&gt;1),1,0))</f>
        <v/>
      </c>
      <c r="AF1317" s="45" t="str">
        <f aca="false">IF(AND(E1317&gt;0,Y1317&lt;1,NOT(AND(C1318=C1317,Y1318=Y1317+1))),INDEX(DATAS,Y1317+1),"")</f>
        <v/>
      </c>
      <c r="AG1317" s="45" t="str">
        <f aca="false">IF(AND(AA1317=1,Y1317&lt;1),IF(AND(C1318=C1317,Y1318=Y1317+1),IF(AA1318=1,"",INDEX(DATAS,Y1317+1)),INDEX(DATAS,Y1317+1)),"")</f>
        <v/>
      </c>
    </row>
    <row r="1318" customFormat="false" ht="15" hidden="false" customHeight="false" outlineLevel="0" collapsed="false">
      <c r="A1318" s="45" t="n">
        <v>46309</v>
      </c>
      <c r="B1318" s="0" t="n">
        <v>3</v>
      </c>
      <c r="C1318" s="0" t="n">
        <v>5404</v>
      </c>
      <c r="D1318" s="0" t="n">
        <v>37</v>
      </c>
      <c r="E1318" s="0" t="n">
        <v>2</v>
      </c>
      <c r="F1318" s="39" t="s">
        <v>847</v>
      </c>
      <c r="G1318" s="0" t="n">
        <v>50.6</v>
      </c>
      <c r="H1318" s="0" t="n">
        <v>50</v>
      </c>
      <c r="I1318" s="39" t="s">
        <v>118</v>
      </c>
      <c r="J1318" s="0" t="n">
        <v>37</v>
      </c>
      <c r="M1318" s="0" t="n">
        <v>603.79</v>
      </c>
      <c r="N1318" s="0" t="n">
        <v>40.61</v>
      </c>
      <c r="O1318" s="0" t="n">
        <v>37.2</v>
      </c>
      <c r="P1318" s="0" t="n">
        <v>4.58</v>
      </c>
      <c r="Q1318" s="0" t="n">
        <v>3.89</v>
      </c>
      <c r="R1318" s="0" t="n">
        <v>4259</v>
      </c>
      <c r="S1318" s="0" t="n">
        <v>8562</v>
      </c>
      <c r="U1318" s="0" t="n">
        <v>941</v>
      </c>
      <c r="V1318" s="0" t="n">
        <v>0</v>
      </c>
      <c r="W1318" s="39" t="n">
        <f aca="false">IF(I1318="Male",0,1)</f>
        <v>1</v>
      </c>
      <c r="X1318" s="39" t="n">
        <f aca="false">IF(OR(I1318="DNB",I1318="Dry DNB"),1,0)</f>
        <v>0</v>
      </c>
      <c r="Y1318" s="39" t="n">
        <f aca="false">MATCH(A1318,DATAS,0)</f>
        <v>1</v>
      </c>
      <c r="Z1318" s="39" t="n">
        <f aca="false">IF(AND(E1318&gt;0,OR(AND(B1318&gt;=1,B1318&lt;=6),B1318=10)),1,0)</f>
        <v>1</v>
      </c>
      <c r="AA1318" s="39" t="n">
        <f aca="false">IF(AND(E1318&gt;0,B1318=10),1,0)</f>
        <v>0</v>
      </c>
      <c r="AB1318" s="0" t="str">
        <f aca="false">IF(AND(C1317=C1318,Y1317=Y1318-1),Z1317,"")</f>
        <v/>
      </c>
      <c r="AC1318" s="0" t="str">
        <f aca="false">IF(AND(C1317=C1318,Y1317=Y1318-1),AA1317,"")</f>
        <v/>
      </c>
      <c r="AD1318" s="0" t="str">
        <f aca="false">IF(Y1318=1,"",IF(AND(Z1318=1,AB1318&lt;&gt;1),1,0))</f>
        <v/>
      </c>
      <c r="AE1318" s="0" t="str">
        <f aca="false">IF(Y1318=1,"",IF(AND(AA1318=1,AC1318&lt;&gt;1),1,0))</f>
        <v/>
      </c>
      <c r="AF1318" s="45" t="str">
        <f aca="false">IF(AND(E1318&gt;0,Y1318&lt;1,NOT(AND(C1319=C1318,Y1319=Y1318+1))),INDEX(DATAS,Y1318+1),"")</f>
        <v/>
      </c>
      <c r="AG1318" s="45" t="str">
        <f aca="false">IF(AND(AA1318=1,Y1318&lt;1),IF(AND(C1319=C1318,Y1319=Y1318+1),IF(AA1319=1,"",INDEX(DATAS,Y1318+1)),INDEX(DATAS,Y1318+1)),"")</f>
        <v/>
      </c>
    </row>
    <row r="1319" customFormat="false" ht="15" hidden="false" customHeight="false" outlineLevel="0" collapsed="false">
      <c r="A1319" s="45" t="n">
        <v>46309</v>
      </c>
      <c r="B1319" s="0" t="n">
        <v>4</v>
      </c>
      <c r="C1319" s="0" t="n">
        <v>5406</v>
      </c>
      <c r="D1319" s="0" t="n">
        <v>259</v>
      </c>
      <c r="E1319" s="0" t="n">
        <v>1</v>
      </c>
      <c r="F1319" s="39" t="s">
        <v>848</v>
      </c>
      <c r="G1319" s="0" t="n">
        <v>40.5</v>
      </c>
      <c r="H1319" s="0" t="n">
        <v>42</v>
      </c>
      <c r="I1319" s="39" t="s">
        <v>109</v>
      </c>
      <c r="J1319" s="0" t="n">
        <v>133</v>
      </c>
      <c r="K1319" s="0" t="n">
        <v>91</v>
      </c>
      <c r="L1319" s="0" t="n">
        <v>126</v>
      </c>
      <c r="M1319" s="0" t="n">
        <v>868.58</v>
      </c>
      <c r="N1319" s="0" t="n">
        <v>26.75</v>
      </c>
      <c r="O1319" s="0" t="n">
        <v>37.91</v>
      </c>
      <c r="P1319" s="0" t="n">
        <v>3.53</v>
      </c>
      <c r="Q1319" s="0" t="n">
        <v>3.65</v>
      </c>
      <c r="R1319" s="0" t="n">
        <v>3714</v>
      </c>
      <c r="S1319" s="0" t="n">
        <v>8307</v>
      </c>
      <c r="T1319" s="0" t="n">
        <v>38.8</v>
      </c>
      <c r="U1319" s="0" t="n">
        <v>940</v>
      </c>
      <c r="V1319" s="0" t="n">
        <v>2</v>
      </c>
      <c r="W1319" s="39" t="n">
        <f aca="false">IF(I1319="Male",0,1)</f>
        <v>1</v>
      </c>
      <c r="X1319" s="39" t="n">
        <f aca="false">IF(OR(I1319="DNB",I1319="Dry DNB"),1,0)</f>
        <v>0</v>
      </c>
      <c r="Y1319" s="39" t="n">
        <f aca="false">MATCH(A1319,DATAS,0)</f>
        <v>1</v>
      </c>
      <c r="Z1319" s="39" t="n">
        <f aca="false">IF(AND(E1319&gt;0,OR(AND(B1319&gt;=1,B1319&lt;=6),B1319=10)),1,0)</f>
        <v>1</v>
      </c>
      <c r="AA1319" s="39" t="n">
        <f aca="false">IF(AND(E1319&gt;0,B1319=10),1,0)</f>
        <v>0</v>
      </c>
      <c r="AB1319" s="0" t="str">
        <f aca="false">IF(AND(C1318=C1319,Y1318=Y1319-1),Z1318,"")</f>
        <v/>
      </c>
      <c r="AC1319" s="0" t="str">
        <f aca="false">IF(AND(C1318=C1319,Y1318=Y1319-1),AA1318,"")</f>
        <v/>
      </c>
      <c r="AD1319" s="0" t="str">
        <f aca="false">IF(Y1319=1,"",IF(AND(Z1319=1,AB1319&lt;&gt;1),1,0))</f>
        <v/>
      </c>
      <c r="AE1319" s="0" t="str">
        <f aca="false">IF(Y1319=1,"",IF(AND(AA1319=1,AC1319&lt;&gt;1),1,0))</f>
        <v/>
      </c>
      <c r="AF1319" s="45" t="str">
        <f aca="false">IF(AND(E1319&gt;0,Y1319&lt;1,NOT(AND(C1320=C1319,Y1320=Y1319+1))),INDEX(DATAS,Y1319+1),"")</f>
        <v/>
      </c>
      <c r="AG1319" s="45" t="str">
        <f aca="false">IF(AND(AA1319=1,Y1319&lt;1),IF(AND(C1320=C1319,Y1320=Y1319+1),IF(AA1320=1,"",INDEX(DATAS,Y1319+1)),INDEX(DATAS,Y1319+1)),"")</f>
        <v/>
      </c>
    </row>
    <row r="1320" customFormat="false" ht="15" hidden="false" customHeight="false" outlineLevel="0" collapsed="false">
      <c r="A1320" s="45" t="n">
        <v>46309</v>
      </c>
      <c r="B1320" s="0" t="n">
        <v>4</v>
      </c>
      <c r="C1320" s="0" t="n">
        <v>5407</v>
      </c>
      <c r="D1320" s="0" t="n">
        <v>279</v>
      </c>
      <c r="E1320" s="0" t="n">
        <v>1</v>
      </c>
      <c r="F1320" s="39" t="s">
        <v>848</v>
      </c>
      <c r="G1320" s="0" t="n">
        <v>40.5</v>
      </c>
      <c r="H1320" s="0" t="n">
        <v>41</v>
      </c>
      <c r="I1320" s="39" t="s">
        <v>109</v>
      </c>
      <c r="J1320" s="0" t="n">
        <v>69</v>
      </c>
      <c r="K1320" s="0" t="n">
        <v>69</v>
      </c>
      <c r="L1320" s="0" t="n">
        <v>210</v>
      </c>
      <c r="M1320" s="0" t="n">
        <v>823.69</v>
      </c>
      <c r="N1320" s="0" t="n">
        <v>69.94</v>
      </c>
      <c r="O1320" s="0" t="n">
        <v>40.5</v>
      </c>
      <c r="P1320" s="0" t="n">
        <v>4.27</v>
      </c>
      <c r="Q1320" s="0" t="n">
        <v>3.73</v>
      </c>
      <c r="R1320" s="0" t="n">
        <v>3724</v>
      </c>
      <c r="S1320" s="0" t="n">
        <v>8377</v>
      </c>
      <c r="T1320" s="0" t="n">
        <v>36.2</v>
      </c>
      <c r="U1320" s="0" t="n">
        <v>940</v>
      </c>
      <c r="V1320" s="0" t="n">
        <v>1</v>
      </c>
      <c r="W1320" s="39" t="n">
        <f aca="false">IF(I1320="Male",0,1)</f>
        <v>1</v>
      </c>
      <c r="X1320" s="39" t="n">
        <f aca="false">IF(OR(I1320="DNB",I1320="Dry DNB"),1,0)</f>
        <v>0</v>
      </c>
      <c r="Y1320" s="39" t="n">
        <f aca="false">MATCH(A1320,DATAS,0)</f>
        <v>1</v>
      </c>
      <c r="Z1320" s="39" t="n">
        <f aca="false">IF(AND(E1320&gt;0,OR(AND(B1320&gt;=1,B1320&lt;=6),B1320=10)),1,0)</f>
        <v>1</v>
      </c>
      <c r="AA1320" s="39" t="n">
        <f aca="false">IF(AND(E1320&gt;0,B1320=10),1,0)</f>
        <v>0</v>
      </c>
      <c r="AB1320" s="0" t="str">
        <f aca="false">IF(AND(C1319=C1320,Y1319=Y1320-1),Z1319,"")</f>
        <v/>
      </c>
      <c r="AC1320" s="0" t="str">
        <f aca="false">IF(AND(C1319=C1320,Y1319=Y1320-1),AA1319,"")</f>
        <v/>
      </c>
      <c r="AD1320" s="0" t="str">
        <f aca="false">IF(Y1320=1,"",IF(AND(Z1320=1,AB1320&lt;&gt;1),1,0))</f>
        <v/>
      </c>
      <c r="AE1320" s="0" t="str">
        <f aca="false">IF(Y1320=1,"",IF(AND(AA1320=1,AC1320&lt;&gt;1),1,0))</f>
        <v/>
      </c>
      <c r="AF1320" s="45" t="str">
        <f aca="false">IF(AND(E1320&gt;0,Y1320&lt;1,NOT(AND(C1321=C1320,Y1321=Y1320+1))),INDEX(DATAS,Y1320+1),"")</f>
        <v/>
      </c>
      <c r="AG1320" s="45" t="str">
        <f aca="false">IF(AND(AA1320=1,Y1320&lt;1),IF(AND(C1321=C1320,Y1321=Y1320+1),IF(AA1321=1,"",INDEX(DATAS,Y1320+1)),INDEX(DATAS,Y1320+1)),"")</f>
        <v/>
      </c>
    </row>
    <row r="1321" customFormat="false" ht="15" hidden="false" customHeight="false" outlineLevel="0" collapsed="false">
      <c r="A1321" s="45" t="n">
        <v>46309</v>
      </c>
      <c r="B1321" s="0" t="n">
        <v>4</v>
      </c>
      <c r="C1321" s="0" t="n">
        <v>5408</v>
      </c>
      <c r="D1321" s="0" t="n">
        <v>314</v>
      </c>
      <c r="E1321" s="0" t="n">
        <v>1</v>
      </c>
      <c r="F1321" s="39" t="s">
        <v>849</v>
      </c>
      <c r="G1321" s="0" t="n">
        <v>53.5</v>
      </c>
      <c r="H1321" s="0" t="n">
        <v>53</v>
      </c>
      <c r="I1321" s="39" t="s">
        <v>109</v>
      </c>
      <c r="J1321" s="0" t="n">
        <v>146</v>
      </c>
      <c r="K1321" s="0" t="n">
        <v>69</v>
      </c>
      <c r="L1321" s="0" t="n">
        <v>168</v>
      </c>
      <c r="M1321" s="0" t="n">
        <v>1688.13</v>
      </c>
      <c r="N1321" s="0" t="n">
        <v>66.35</v>
      </c>
      <c r="O1321" s="0" t="n">
        <v>48.94</v>
      </c>
      <c r="P1321" s="0" t="n">
        <v>3.19</v>
      </c>
      <c r="Q1321" s="0" t="n">
        <v>3.37</v>
      </c>
      <c r="R1321" s="0" t="n">
        <v>4384</v>
      </c>
      <c r="S1321" s="0" t="n">
        <v>9588</v>
      </c>
      <c r="T1321" s="0" t="n">
        <v>49.35</v>
      </c>
      <c r="U1321" s="0" t="n">
        <v>939</v>
      </c>
      <c r="V1321" s="0" t="n">
        <v>4</v>
      </c>
      <c r="W1321" s="39" t="n">
        <f aca="false">IF(I1321="Male",0,1)</f>
        <v>1</v>
      </c>
      <c r="X1321" s="39" t="n">
        <f aca="false">IF(OR(I1321="DNB",I1321="Dry DNB"),1,0)</f>
        <v>0</v>
      </c>
      <c r="Y1321" s="39" t="n">
        <f aca="false">MATCH(A1321,DATAS,0)</f>
        <v>1</v>
      </c>
      <c r="Z1321" s="39" t="n">
        <f aca="false">IF(AND(E1321&gt;0,OR(AND(B1321&gt;=1,B1321&lt;=6),B1321=10)),1,0)</f>
        <v>1</v>
      </c>
      <c r="AA1321" s="39" t="n">
        <f aca="false">IF(AND(E1321&gt;0,B1321=10),1,0)</f>
        <v>0</v>
      </c>
      <c r="AB1321" s="0" t="str">
        <f aca="false">IF(AND(C1320=C1321,Y1320=Y1321-1),Z1320,"")</f>
        <v/>
      </c>
      <c r="AC1321" s="0" t="str">
        <f aca="false">IF(AND(C1320=C1321,Y1320=Y1321-1),AA1320,"")</f>
        <v/>
      </c>
      <c r="AD1321" s="0" t="str">
        <f aca="false">IF(Y1321=1,"",IF(AND(Z1321=1,AB1321&lt;&gt;1),1,0))</f>
        <v/>
      </c>
      <c r="AE1321" s="0" t="str">
        <f aca="false">IF(Y1321=1,"",IF(AND(AA1321=1,AC1321&lt;&gt;1),1,0))</f>
        <v/>
      </c>
      <c r="AF1321" s="45" t="str">
        <f aca="false">IF(AND(E1321&gt;0,Y1321&lt;1,NOT(AND(C1322=C1321,Y1322=Y1321+1))),INDEX(DATAS,Y1321+1),"")</f>
        <v/>
      </c>
      <c r="AG1321" s="45" t="str">
        <f aca="false">IF(AND(AA1321=1,Y1321&lt;1),IF(AND(C1322=C1321,Y1322=Y1321+1),IF(AA1322=1,"",INDEX(DATAS,Y1321+1)),INDEX(DATAS,Y1321+1)),"")</f>
        <v/>
      </c>
    </row>
    <row r="1322" customFormat="false" ht="15" hidden="false" customHeight="false" outlineLevel="0" collapsed="false">
      <c r="A1322" s="45" t="n">
        <v>46309</v>
      </c>
      <c r="B1322" s="0" t="n">
        <v>7</v>
      </c>
      <c r="C1322" s="0" t="n">
        <v>5409</v>
      </c>
      <c r="D1322" s="0" t="n">
        <v>288</v>
      </c>
      <c r="E1322" s="0" t="n">
        <v>1</v>
      </c>
      <c r="F1322" s="39" t="s">
        <v>849</v>
      </c>
      <c r="I1322" s="39" t="s">
        <v>114</v>
      </c>
      <c r="J1322" s="0" t="n">
        <v>65</v>
      </c>
      <c r="K1322" s="0" t="n">
        <v>65</v>
      </c>
      <c r="L1322" s="0" t="n">
        <v>252</v>
      </c>
      <c r="M1322" s="0" t="n">
        <v>969.72</v>
      </c>
      <c r="N1322" s="0" t="n">
        <v>29.72</v>
      </c>
      <c r="O1322" s="0" t="n">
        <v>29.7</v>
      </c>
      <c r="P1322" s="0" t="n">
        <v>4.45</v>
      </c>
      <c r="Q1322" s="0" t="n">
        <v>3.35</v>
      </c>
      <c r="R1322" s="0" t="n">
        <v>4014</v>
      </c>
      <c r="S1322" s="0" t="n">
        <v>9137</v>
      </c>
      <c r="T1322" s="0" t="n">
        <v>42.45</v>
      </c>
      <c r="U1322" s="0" t="n">
        <v>939</v>
      </c>
      <c r="V1322" s="0" t="n">
        <v>1</v>
      </c>
      <c r="W1322" s="39" t="n">
        <f aca="false">IF(I1322="Male",0,1)</f>
        <v>1</v>
      </c>
      <c r="X1322" s="39" t="n">
        <f aca="false">IF(OR(I1322="DNB",I1322="Dry DNB"),1,0)</f>
        <v>0</v>
      </c>
      <c r="Y1322" s="39" t="n">
        <f aca="false">MATCH(A1322,DATAS,0)</f>
        <v>1</v>
      </c>
      <c r="Z1322" s="39" t="n">
        <f aca="false">IF(AND(E1322&gt;0,OR(AND(B1322&gt;=1,B1322&lt;=6),B1322=10)),1,0)</f>
        <v>0</v>
      </c>
      <c r="AA1322" s="39" t="n">
        <f aca="false">IF(AND(E1322&gt;0,B1322=10),1,0)</f>
        <v>0</v>
      </c>
      <c r="AB1322" s="0" t="str">
        <f aca="false">IF(AND(C1321=C1322,Y1321=Y1322-1),Z1321,"")</f>
        <v/>
      </c>
      <c r="AC1322" s="0" t="str">
        <f aca="false">IF(AND(C1321=C1322,Y1321=Y1322-1),AA1321,"")</f>
        <v/>
      </c>
      <c r="AD1322" s="0" t="str">
        <f aca="false">IF(Y1322=1,"",IF(AND(Z1322=1,AB1322&lt;&gt;1),1,0))</f>
        <v/>
      </c>
      <c r="AE1322" s="0" t="str">
        <f aca="false">IF(Y1322=1,"",IF(AND(AA1322=1,AC1322&lt;&gt;1),1,0))</f>
        <v/>
      </c>
      <c r="AF1322" s="45" t="str">
        <f aca="false">IF(AND(E1322&gt;0,Y1322&lt;1,NOT(AND(C1323=C1322,Y1323=Y1322+1))),INDEX(DATAS,Y1322+1),"")</f>
        <v/>
      </c>
      <c r="AG1322" s="45" t="str">
        <f aca="false">IF(AND(AA1322=1,Y1322&lt;1),IF(AND(C1323=C1322,Y1323=Y1322+1),IF(AA1323=1,"",INDEX(DATAS,Y1322+1)),INDEX(DATAS,Y1322+1)),"")</f>
        <v/>
      </c>
    </row>
    <row r="1323" customFormat="false" ht="15" hidden="false" customHeight="false" outlineLevel="0" collapsed="false">
      <c r="A1323" s="45" t="n">
        <v>46309</v>
      </c>
      <c r="B1323" s="0" t="n">
        <v>5</v>
      </c>
      <c r="C1323" s="0" t="n">
        <v>5410</v>
      </c>
      <c r="D1323" s="0" t="n">
        <v>289</v>
      </c>
      <c r="E1323" s="0" t="n">
        <v>1</v>
      </c>
      <c r="F1323" s="39" t="s">
        <v>850</v>
      </c>
      <c r="G1323" s="0" t="n">
        <v>44.7</v>
      </c>
      <c r="H1323" s="0" t="n">
        <v>42</v>
      </c>
      <c r="I1323" s="39" t="s">
        <v>146</v>
      </c>
      <c r="J1323" s="0" t="n">
        <v>289</v>
      </c>
      <c r="K1323" s="0" t="n">
        <v>65</v>
      </c>
      <c r="M1323" s="0" t="n">
        <v>1271.11</v>
      </c>
      <c r="N1323" s="0" t="n">
        <v>73.05</v>
      </c>
      <c r="O1323" s="0" t="n">
        <v>44.55</v>
      </c>
      <c r="P1323" s="0" t="n">
        <v>3.46</v>
      </c>
      <c r="Q1323" s="0" t="n">
        <v>3.84</v>
      </c>
      <c r="R1323" s="0" t="n">
        <v>4886</v>
      </c>
      <c r="S1323" s="0" t="n">
        <v>10079</v>
      </c>
      <c r="T1323" s="0" t="n">
        <v>46.05</v>
      </c>
      <c r="U1323" s="0" t="n">
        <v>938</v>
      </c>
      <c r="V1323" s="0" t="n">
        <v>5</v>
      </c>
      <c r="W1323" s="39" t="n">
        <f aca="false">IF(I1323="Male",0,1)</f>
        <v>1</v>
      </c>
      <c r="X1323" s="39" t="n">
        <f aca="false">IF(OR(I1323="DNB",I1323="Dry DNB"),1,0)</f>
        <v>0</v>
      </c>
      <c r="Y1323" s="39" t="n">
        <f aca="false">MATCH(A1323,DATAS,0)</f>
        <v>1</v>
      </c>
      <c r="Z1323" s="39" t="n">
        <f aca="false">IF(AND(E1323&gt;0,OR(AND(B1323&gt;=1,B1323&lt;=6),B1323=10)),1,0)</f>
        <v>1</v>
      </c>
      <c r="AA1323" s="39" t="n">
        <f aca="false">IF(AND(E1323&gt;0,B1323=10),1,0)</f>
        <v>0</v>
      </c>
      <c r="AB1323" s="0" t="str">
        <f aca="false">IF(AND(C1322=C1323,Y1322=Y1323-1),Z1322,"")</f>
        <v/>
      </c>
      <c r="AC1323" s="0" t="str">
        <f aca="false">IF(AND(C1322=C1323,Y1322=Y1323-1),AA1322,"")</f>
        <v/>
      </c>
      <c r="AD1323" s="0" t="str">
        <f aca="false">IF(Y1323=1,"",IF(AND(Z1323=1,AB1323&lt;&gt;1),1,0))</f>
        <v/>
      </c>
      <c r="AE1323" s="0" t="str">
        <f aca="false">IF(Y1323=1,"",IF(AND(AA1323=1,AC1323&lt;&gt;1),1,0))</f>
        <v/>
      </c>
      <c r="AF1323" s="45" t="str">
        <f aca="false">IF(AND(E1323&gt;0,Y1323&lt;1,NOT(AND(C1324=C1323,Y1324=Y1323+1))),INDEX(DATAS,Y1323+1),"")</f>
        <v/>
      </c>
      <c r="AG1323" s="45" t="str">
        <f aca="false">IF(AND(AA1323=1,Y1323&lt;1),IF(AND(C1324=C1323,Y1324=Y1323+1),IF(AA1324=1,"",INDEX(DATAS,Y1323+1)),INDEX(DATAS,Y1323+1)),"")</f>
        <v/>
      </c>
    </row>
    <row r="1324" customFormat="false" ht="15" hidden="false" customHeight="false" outlineLevel="0" collapsed="false">
      <c r="A1324" s="45" t="n">
        <v>46309</v>
      </c>
      <c r="B1324" s="0" t="n">
        <v>4</v>
      </c>
      <c r="C1324" s="0" t="n">
        <v>5411</v>
      </c>
      <c r="D1324" s="0" t="n">
        <v>288</v>
      </c>
      <c r="E1324" s="0" t="n">
        <v>1</v>
      </c>
      <c r="F1324" s="39" t="s">
        <v>851</v>
      </c>
      <c r="G1324" s="0" t="n">
        <v>34.4</v>
      </c>
      <c r="H1324" s="0" t="n">
        <v>36</v>
      </c>
      <c r="I1324" s="39" t="s">
        <v>109</v>
      </c>
      <c r="J1324" s="0" t="n">
        <v>169</v>
      </c>
      <c r="K1324" s="0" t="n">
        <v>64</v>
      </c>
      <c r="L1324" s="0" t="n">
        <v>119</v>
      </c>
      <c r="M1324" s="0" t="n">
        <v>676.06</v>
      </c>
      <c r="N1324" s="0" t="n">
        <v>28.12</v>
      </c>
      <c r="O1324" s="0" t="n">
        <v>17.01</v>
      </c>
      <c r="P1324" s="0" t="n">
        <v>2.97</v>
      </c>
      <c r="Q1324" s="0" t="n">
        <v>3.29</v>
      </c>
      <c r="R1324" s="0" t="n">
        <v>4279</v>
      </c>
      <c r="S1324" s="0" t="n">
        <v>8758</v>
      </c>
      <c r="T1324" s="0" t="n">
        <v>44.6</v>
      </c>
      <c r="U1324" s="0" t="n">
        <v>937</v>
      </c>
      <c r="V1324" s="0" t="n">
        <v>4</v>
      </c>
      <c r="W1324" s="39" t="n">
        <f aca="false">IF(I1324="Male",0,1)</f>
        <v>1</v>
      </c>
      <c r="X1324" s="39" t="n">
        <f aca="false">IF(OR(I1324="DNB",I1324="Dry DNB"),1,0)</f>
        <v>0</v>
      </c>
      <c r="Y1324" s="39" t="n">
        <f aca="false">MATCH(A1324,DATAS,0)</f>
        <v>1</v>
      </c>
      <c r="Z1324" s="39" t="n">
        <f aca="false">IF(AND(E1324&gt;0,OR(AND(B1324&gt;=1,B1324&lt;=6),B1324=10)),1,0)</f>
        <v>1</v>
      </c>
      <c r="AA1324" s="39" t="n">
        <f aca="false">IF(AND(E1324&gt;0,B1324=10),1,0)</f>
        <v>0</v>
      </c>
      <c r="AB1324" s="0" t="str">
        <f aca="false">IF(AND(C1323=C1324,Y1323=Y1324-1),Z1323,"")</f>
        <v/>
      </c>
      <c r="AC1324" s="0" t="str">
        <f aca="false">IF(AND(C1323=C1324,Y1323=Y1324-1),AA1323,"")</f>
        <v/>
      </c>
      <c r="AD1324" s="0" t="str">
        <f aca="false">IF(Y1324=1,"",IF(AND(Z1324=1,AB1324&lt;&gt;1),1,0))</f>
        <v/>
      </c>
      <c r="AE1324" s="0" t="str">
        <f aca="false">IF(Y1324=1,"",IF(AND(AA1324=1,AC1324&lt;&gt;1),1,0))</f>
        <v/>
      </c>
      <c r="AF1324" s="45" t="str">
        <f aca="false">IF(AND(E1324&gt;0,Y1324&lt;1,NOT(AND(C1325=C1324,Y1325=Y1324+1))),INDEX(DATAS,Y1324+1),"")</f>
        <v/>
      </c>
      <c r="AG1324" s="45" t="str">
        <f aca="false">IF(AND(AA1324=1,Y1324&lt;1),IF(AND(C1325=C1324,Y1325=Y1324+1),IF(AA1325=1,"",INDEX(DATAS,Y1324+1)),INDEX(DATAS,Y1324+1)),"")</f>
        <v/>
      </c>
    </row>
    <row r="1325" customFormat="false" ht="15" hidden="false" customHeight="false" outlineLevel="0" collapsed="false">
      <c r="A1325" s="45" t="n">
        <v>46309</v>
      </c>
      <c r="B1325" s="0" t="n">
        <v>4</v>
      </c>
      <c r="C1325" s="0" t="n">
        <v>5412</v>
      </c>
      <c r="D1325" s="0" t="n">
        <v>315</v>
      </c>
      <c r="E1325" s="0" t="n">
        <v>1</v>
      </c>
      <c r="F1325" s="39" t="s">
        <v>851</v>
      </c>
      <c r="G1325" s="0" t="n">
        <v>51.4</v>
      </c>
      <c r="H1325" s="0" t="n">
        <v>51</v>
      </c>
      <c r="I1325" s="39" t="s">
        <v>109</v>
      </c>
      <c r="J1325" s="0" t="n">
        <v>252</v>
      </c>
      <c r="K1325" s="0" t="n">
        <v>63</v>
      </c>
      <c r="L1325" s="0" t="n">
        <v>63</v>
      </c>
      <c r="M1325" s="0" t="n">
        <v>1605.31</v>
      </c>
      <c r="N1325" s="0" t="n">
        <v>54.72</v>
      </c>
      <c r="O1325" s="0" t="n">
        <v>49.8</v>
      </c>
      <c r="P1325" s="0" t="n">
        <v>3.04</v>
      </c>
      <c r="Q1325" s="0" t="n">
        <v>3.65</v>
      </c>
      <c r="R1325" s="0" t="n">
        <v>4322</v>
      </c>
      <c r="S1325" s="0" t="n">
        <v>10098</v>
      </c>
      <c r="T1325" s="0" t="n">
        <v>41.75</v>
      </c>
      <c r="U1325" s="0" t="n">
        <v>937</v>
      </c>
      <c r="V1325" s="0" t="n">
        <v>8</v>
      </c>
      <c r="W1325" s="39" t="n">
        <f aca="false">IF(I1325="Male",0,1)</f>
        <v>1</v>
      </c>
      <c r="X1325" s="39" t="n">
        <f aca="false">IF(OR(I1325="DNB",I1325="Dry DNB"),1,0)</f>
        <v>0</v>
      </c>
      <c r="Y1325" s="39" t="n">
        <f aca="false">MATCH(A1325,DATAS,0)</f>
        <v>1</v>
      </c>
      <c r="Z1325" s="39" t="n">
        <f aca="false">IF(AND(E1325&gt;0,OR(AND(B1325&gt;=1,B1325&lt;=6),B1325=10)),1,0)</f>
        <v>1</v>
      </c>
      <c r="AA1325" s="39" t="n">
        <f aca="false">IF(AND(E1325&gt;0,B1325=10),1,0)</f>
        <v>0</v>
      </c>
      <c r="AB1325" s="0" t="str">
        <f aca="false">IF(AND(C1324=C1325,Y1324=Y1325-1),Z1324,"")</f>
        <v/>
      </c>
      <c r="AC1325" s="0" t="str">
        <f aca="false">IF(AND(C1324=C1325,Y1324=Y1325-1),AA1324,"")</f>
        <v/>
      </c>
      <c r="AD1325" s="0" t="str">
        <f aca="false">IF(Y1325=1,"",IF(AND(Z1325=1,AB1325&lt;&gt;1),1,0))</f>
        <v/>
      </c>
      <c r="AE1325" s="0" t="str">
        <f aca="false">IF(Y1325=1,"",IF(AND(AA1325=1,AC1325&lt;&gt;1),1,0))</f>
        <v/>
      </c>
      <c r="AF1325" s="45" t="str">
        <f aca="false">IF(AND(E1325&gt;0,Y1325&lt;1,NOT(AND(C1326=C1325,Y1326=Y1325+1))),INDEX(DATAS,Y1325+1),"")</f>
        <v/>
      </c>
      <c r="AG1325" s="45" t="str">
        <f aca="false">IF(AND(AA1325=1,Y1325&lt;1),IF(AND(C1326=C1325,Y1326=Y1325+1),IF(AA1326=1,"",INDEX(DATAS,Y1325+1)),INDEX(DATAS,Y1325+1)),"")</f>
        <v/>
      </c>
    </row>
    <row r="1326" customFormat="false" ht="15" hidden="false" customHeight="false" outlineLevel="0" collapsed="false">
      <c r="A1326" s="45" t="n">
        <v>46309</v>
      </c>
      <c r="B1326" s="0" t="n">
        <v>4</v>
      </c>
      <c r="C1326" s="0" t="n">
        <v>5413</v>
      </c>
      <c r="D1326" s="0" t="n">
        <v>313</v>
      </c>
      <c r="E1326" s="0" t="n">
        <v>1</v>
      </c>
      <c r="F1326" s="39" t="s">
        <v>852</v>
      </c>
      <c r="G1326" s="0" t="n">
        <v>39.5</v>
      </c>
      <c r="H1326" s="0" t="n">
        <v>39</v>
      </c>
      <c r="I1326" s="39" t="s">
        <v>109</v>
      </c>
      <c r="J1326" s="0" t="n">
        <v>111</v>
      </c>
      <c r="K1326" s="0" t="n">
        <v>68</v>
      </c>
      <c r="L1326" s="0" t="n">
        <v>202</v>
      </c>
      <c r="M1326" s="0" t="n">
        <v>626.95</v>
      </c>
      <c r="N1326" s="0" t="n">
        <v>80.51</v>
      </c>
      <c r="O1326" s="0" t="n">
        <v>33.55</v>
      </c>
      <c r="P1326" s="0" t="n">
        <v>3.53</v>
      </c>
      <c r="Q1326" s="0" t="n">
        <v>3.81</v>
      </c>
      <c r="R1326" s="0" t="n">
        <v>4160</v>
      </c>
      <c r="S1326" s="0" t="n">
        <v>8583</v>
      </c>
      <c r="T1326" s="0" t="n">
        <v>44.9</v>
      </c>
      <c r="U1326" s="0" t="n">
        <v>936</v>
      </c>
      <c r="V1326" s="0" t="n">
        <v>3</v>
      </c>
      <c r="W1326" s="39" t="n">
        <f aca="false">IF(I1326="Male",0,1)</f>
        <v>1</v>
      </c>
      <c r="X1326" s="39" t="n">
        <f aca="false">IF(OR(I1326="DNB",I1326="Dry DNB"),1,0)</f>
        <v>0</v>
      </c>
      <c r="Y1326" s="39" t="n">
        <f aca="false">MATCH(A1326,DATAS,0)</f>
        <v>1</v>
      </c>
      <c r="Z1326" s="39" t="n">
        <f aca="false">IF(AND(E1326&gt;0,OR(AND(B1326&gt;=1,B1326&lt;=6),B1326=10)),1,0)</f>
        <v>1</v>
      </c>
      <c r="AA1326" s="39" t="n">
        <f aca="false">IF(AND(E1326&gt;0,B1326=10),1,0)</f>
        <v>0</v>
      </c>
      <c r="AB1326" s="0" t="str">
        <f aca="false">IF(AND(C1325=C1326,Y1325=Y1326-1),Z1325,"")</f>
        <v/>
      </c>
      <c r="AC1326" s="0" t="str">
        <f aca="false">IF(AND(C1325=C1326,Y1325=Y1326-1),AA1325,"")</f>
        <v/>
      </c>
      <c r="AD1326" s="0" t="str">
        <f aca="false">IF(Y1326=1,"",IF(AND(Z1326=1,AB1326&lt;&gt;1),1,0))</f>
        <v/>
      </c>
      <c r="AE1326" s="0" t="str">
        <f aca="false">IF(Y1326=1,"",IF(AND(AA1326=1,AC1326&lt;&gt;1),1,0))</f>
        <v/>
      </c>
      <c r="AF1326" s="45" t="str">
        <f aca="false">IF(AND(E1326&gt;0,Y1326&lt;1,NOT(AND(C1327=C1326,Y1327=Y1326+1))),INDEX(DATAS,Y1326+1),"")</f>
        <v/>
      </c>
      <c r="AG1326" s="45" t="str">
        <f aca="false">IF(AND(AA1326=1,Y1326&lt;1),IF(AND(C1327=C1326,Y1327=Y1326+1),IF(AA1327=1,"",INDEX(DATAS,Y1326+1)),INDEX(DATAS,Y1326+1)),"")</f>
        <v/>
      </c>
    </row>
    <row r="1327" customFormat="false" ht="15" hidden="false" customHeight="false" outlineLevel="0" collapsed="false">
      <c r="A1327" s="45" t="n">
        <v>46309</v>
      </c>
      <c r="B1327" s="0" t="n">
        <v>4</v>
      </c>
      <c r="C1327" s="0" t="n">
        <v>5414</v>
      </c>
      <c r="D1327" s="0" t="n">
        <v>308</v>
      </c>
      <c r="E1327" s="0" t="n">
        <v>1</v>
      </c>
      <c r="F1327" s="39" t="s">
        <v>853</v>
      </c>
      <c r="G1327" s="0" t="n">
        <v>50.6</v>
      </c>
      <c r="H1327" s="0" t="n">
        <v>51</v>
      </c>
      <c r="I1327" s="39" t="s">
        <v>146</v>
      </c>
      <c r="J1327" s="0" t="n">
        <v>308</v>
      </c>
      <c r="K1327" s="0" t="n">
        <v>63</v>
      </c>
      <c r="M1327" s="0" t="n">
        <v>1270.29</v>
      </c>
      <c r="N1327" s="0" t="n">
        <v>56.33</v>
      </c>
      <c r="O1327" s="0" t="n">
        <v>40.52</v>
      </c>
      <c r="P1327" s="0" t="n">
        <v>4.18</v>
      </c>
      <c r="Q1327" s="0" t="n">
        <v>3.36</v>
      </c>
      <c r="R1327" s="0" t="n">
        <v>3803</v>
      </c>
      <c r="S1327" s="0" t="n">
        <v>9061</v>
      </c>
      <c r="T1327" s="0" t="n">
        <v>43.1</v>
      </c>
      <c r="U1327" s="0" t="n">
        <v>935</v>
      </c>
      <c r="V1327" s="0" t="n">
        <v>7</v>
      </c>
      <c r="W1327" s="39" t="n">
        <f aca="false">IF(I1327="Male",0,1)</f>
        <v>1</v>
      </c>
      <c r="X1327" s="39" t="n">
        <f aca="false">IF(OR(I1327="DNB",I1327="Dry DNB"),1,0)</f>
        <v>0</v>
      </c>
      <c r="Y1327" s="39" t="n">
        <f aca="false">MATCH(A1327,DATAS,0)</f>
        <v>1</v>
      </c>
      <c r="Z1327" s="39" t="n">
        <f aca="false">IF(AND(E1327&gt;0,OR(AND(B1327&gt;=1,B1327&lt;=6),B1327=10)),1,0)</f>
        <v>1</v>
      </c>
      <c r="AA1327" s="39" t="n">
        <f aca="false">IF(AND(E1327&gt;0,B1327=10),1,0)</f>
        <v>0</v>
      </c>
      <c r="AB1327" s="0" t="str">
        <f aca="false">IF(AND(C1326=C1327,Y1326=Y1327-1),Z1326,"")</f>
        <v/>
      </c>
      <c r="AC1327" s="0" t="str">
        <f aca="false">IF(AND(C1326=C1327,Y1326=Y1327-1),AA1326,"")</f>
        <v/>
      </c>
      <c r="AD1327" s="0" t="str">
        <f aca="false">IF(Y1327=1,"",IF(AND(Z1327=1,AB1327&lt;&gt;1),1,0))</f>
        <v/>
      </c>
      <c r="AE1327" s="0" t="str">
        <f aca="false">IF(Y1327=1,"",IF(AND(AA1327=1,AC1327&lt;&gt;1),1,0))</f>
        <v/>
      </c>
      <c r="AF1327" s="45" t="str">
        <f aca="false">IF(AND(E1327&gt;0,Y1327&lt;1,NOT(AND(C1328=C1327,Y1328=Y1327+1))),INDEX(DATAS,Y1327+1),"")</f>
        <v/>
      </c>
      <c r="AG1327" s="45" t="str">
        <f aca="false">IF(AND(AA1327=1,Y1327&lt;1),IF(AND(C1328=C1327,Y1328=Y1327+1),IF(AA1328=1,"",INDEX(DATAS,Y1327+1)),INDEX(DATAS,Y1327+1)),"")</f>
        <v/>
      </c>
    </row>
    <row r="1328" customFormat="false" ht="15" hidden="false" customHeight="false" outlineLevel="0" collapsed="false">
      <c r="A1328" s="45" t="n">
        <v>46309</v>
      </c>
      <c r="B1328" s="0" t="n">
        <v>4</v>
      </c>
      <c r="C1328" s="0" t="n">
        <v>5416</v>
      </c>
      <c r="D1328" s="0" t="n">
        <v>318</v>
      </c>
      <c r="E1328" s="0" t="n">
        <v>1</v>
      </c>
      <c r="F1328" s="39" t="s">
        <v>854</v>
      </c>
      <c r="G1328" s="0" t="n">
        <v>46.9</v>
      </c>
      <c r="H1328" s="0" t="n">
        <v>47</v>
      </c>
      <c r="I1328" s="39" t="s">
        <v>109</v>
      </c>
      <c r="J1328" s="0" t="n">
        <v>157</v>
      </c>
      <c r="K1328" s="0" t="n">
        <v>73</v>
      </c>
      <c r="L1328" s="0" t="n">
        <v>161</v>
      </c>
      <c r="M1328" s="0" t="n">
        <v>1016.36</v>
      </c>
      <c r="N1328" s="0" t="n">
        <v>35.99</v>
      </c>
      <c r="O1328" s="0" t="n">
        <v>32.85</v>
      </c>
      <c r="P1328" s="0" t="n">
        <v>3.18</v>
      </c>
      <c r="Q1328" s="0" t="n">
        <v>3.5</v>
      </c>
      <c r="R1328" s="0" t="n">
        <v>4005</v>
      </c>
      <c r="S1328" s="0" t="n">
        <v>8826</v>
      </c>
      <c r="T1328" s="0" t="n">
        <v>42.95</v>
      </c>
      <c r="U1328" s="0" t="n">
        <v>934</v>
      </c>
      <c r="V1328" s="0" t="n">
        <v>3</v>
      </c>
      <c r="W1328" s="39" t="n">
        <f aca="false">IF(I1328="Male",0,1)</f>
        <v>1</v>
      </c>
      <c r="X1328" s="39" t="n">
        <f aca="false">IF(OR(I1328="DNB",I1328="Dry DNB"),1,0)</f>
        <v>0</v>
      </c>
      <c r="Y1328" s="39" t="n">
        <f aca="false">MATCH(A1328,DATAS,0)</f>
        <v>1</v>
      </c>
      <c r="Z1328" s="39" t="n">
        <f aca="false">IF(AND(E1328&gt;0,OR(AND(B1328&gt;=1,B1328&lt;=6),B1328=10)),1,0)</f>
        <v>1</v>
      </c>
      <c r="AA1328" s="39" t="n">
        <f aca="false">IF(AND(E1328&gt;0,B1328=10),1,0)</f>
        <v>0</v>
      </c>
      <c r="AB1328" s="0" t="str">
        <f aca="false">IF(AND(C1327=C1328,Y1327=Y1328-1),Z1327,"")</f>
        <v/>
      </c>
      <c r="AC1328" s="0" t="str">
        <f aca="false">IF(AND(C1327=C1328,Y1327=Y1328-1),AA1327,"")</f>
        <v/>
      </c>
      <c r="AD1328" s="0" t="str">
        <f aca="false">IF(Y1328=1,"",IF(AND(Z1328=1,AB1328&lt;&gt;1),1,0))</f>
        <v/>
      </c>
      <c r="AE1328" s="0" t="str">
        <f aca="false">IF(Y1328=1,"",IF(AND(AA1328=1,AC1328&lt;&gt;1),1,0))</f>
        <v/>
      </c>
      <c r="AF1328" s="45" t="str">
        <f aca="false">IF(AND(E1328&gt;0,Y1328&lt;1,NOT(AND(C1329=C1328,Y1329=Y1328+1))),INDEX(DATAS,Y1328+1),"")</f>
        <v/>
      </c>
      <c r="AG1328" s="45" t="str">
        <f aca="false">IF(AND(AA1328=1,Y1328&lt;1),IF(AND(C1329=C1328,Y1329=Y1328+1),IF(AA1329=1,"",INDEX(DATAS,Y1328+1)),INDEX(DATAS,Y1328+1)),"")</f>
        <v/>
      </c>
    </row>
    <row r="1329" customFormat="false" ht="15" hidden="false" customHeight="false" outlineLevel="0" collapsed="false">
      <c r="A1329" s="45" t="n">
        <v>46309</v>
      </c>
      <c r="B1329" s="0" t="n">
        <v>4</v>
      </c>
      <c r="C1329" s="0" t="n">
        <v>5417</v>
      </c>
      <c r="D1329" s="0" t="n">
        <v>235</v>
      </c>
      <c r="E1329" s="0" t="n">
        <v>1</v>
      </c>
      <c r="F1329" s="39" t="s">
        <v>854</v>
      </c>
      <c r="G1329" s="0" t="n">
        <v>60.9</v>
      </c>
      <c r="H1329" s="0" t="n">
        <v>59</v>
      </c>
      <c r="I1329" s="39" t="s">
        <v>109</v>
      </c>
      <c r="J1329" s="0" t="n">
        <v>189</v>
      </c>
      <c r="K1329" s="0" t="n">
        <v>67</v>
      </c>
      <c r="L1329" s="0" t="n">
        <v>46</v>
      </c>
      <c r="M1329" s="0" t="n">
        <v>1112.87</v>
      </c>
      <c r="N1329" s="0" t="n">
        <v>58.05</v>
      </c>
      <c r="O1329" s="0" t="n">
        <v>39.5</v>
      </c>
      <c r="P1329" s="0" t="n">
        <v>3.08</v>
      </c>
      <c r="Q1329" s="0" t="n">
        <v>3.45</v>
      </c>
      <c r="R1329" s="0" t="n">
        <v>5002</v>
      </c>
      <c r="S1329" s="0" t="n">
        <v>11277</v>
      </c>
      <c r="T1329" s="0" t="n">
        <v>57.85</v>
      </c>
      <c r="U1329" s="0" t="n">
        <v>934</v>
      </c>
      <c r="V1329" s="0" t="n">
        <v>3</v>
      </c>
      <c r="W1329" s="39" t="n">
        <f aca="false">IF(I1329="Male",0,1)</f>
        <v>1</v>
      </c>
      <c r="X1329" s="39" t="n">
        <f aca="false">IF(OR(I1329="DNB",I1329="Dry DNB"),1,0)</f>
        <v>0</v>
      </c>
      <c r="Y1329" s="39" t="n">
        <f aca="false">MATCH(A1329,DATAS,0)</f>
        <v>1</v>
      </c>
      <c r="Z1329" s="39" t="n">
        <f aca="false">IF(AND(E1329&gt;0,OR(AND(B1329&gt;=1,B1329&lt;=6),B1329=10)),1,0)</f>
        <v>1</v>
      </c>
      <c r="AA1329" s="39" t="n">
        <f aca="false">IF(AND(E1329&gt;0,B1329=10),1,0)</f>
        <v>0</v>
      </c>
      <c r="AB1329" s="0" t="str">
        <f aca="false">IF(AND(C1328=C1329,Y1328=Y1329-1),Z1328,"")</f>
        <v/>
      </c>
      <c r="AC1329" s="0" t="str">
        <f aca="false">IF(AND(C1328=C1329,Y1328=Y1329-1),AA1328,"")</f>
        <v/>
      </c>
      <c r="AD1329" s="0" t="str">
        <f aca="false">IF(Y1329=1,"",IF(AND(Z1329=1,AB1329&lt;&gt;1),1,0))</f>
        <v/>
      </c>
      <c r="AE1329" s="0" t="str">
        <f aca="false">IF(Y1329=1,"",IF(AND(AA1329=1,AC1329&lt;&gt;1),1,0))</f>
        <v/>
      </c>
      <c r="AF1329" s="45" t="str">
        <f aca="false">IF(AND(E1329&gt;0,Y1329&lt;1,NOT(AND(C1330=C1329,Y1330=Y1329+1))),INDEX(DATAS,Y1329+1),"")</f>
        <v/>
      </c>
      <c r="AG1329" s="45" t="str">
        <f aca="false">IF(AND(AA1329=1,Y1329&lt;1),IF(AND(C1330=C1329,Y1330=Y1329+1),IF(AA1330=1,"",INDEX(DATAS,Y1329+1)),INDEX(DATAS,Y1329+1)),"")</f>
        <v/>
      </c>
    </row>
    <row r="1330" customFormat="false" ht="15" hidden="false" customHeight="false" outlineLevel="0" collapsed="false">
      <c r="A1330" s="45" t="n">
        <v>46309</v>
      </c>
      <c r="B1330" s="0" t="n">
        <v>4</v>
      </c>
      <c r="C1330" s="0" t="n">
        <v>5418</v>
      </c>
      <c r="D1330" s="0" t="n">
        <v>281</v>
      </c>
      <c r="E1330" s="0" t="n">
        <v>1</v>
      </c>
      <c r="F1330" s="39" t="s">
        <v>854</v>
      </c>
      <c r="G1330" s="0" t="n">
        <v>32.4</v>
      </c>
      <c r="H1330" s="0" t="n">
        <v>34</v>
      </c>
      <c r="I1330" s="39" t="s">
        <v>109</v>
      </c>
      <c r="J1330" s="0" t="n">
        <v>64</v>
      </c>
      <c r="K1330" s="0" t="n">
        <v>71</v>
      </c>
      <c r="L1330" s="0" t="n">
        <v>217</v>
      </c>
      <c r="M1330" s="0" t="n">
        <v>676.64</v>
      </c>
      <c r="N1330" s="0" t="n">
        <v>63.72</v>
      </c>
      <c r="O1330" s="0" t="n">
        <v>32.04</v>
      </c>
      <c r="P1330" s="0" t="n">
        <v>4.52</v>
      </c>
      <c r="Q1330" s="0" t="n">
        <v>3.46</v>
      </c>
      <c r="R1330" s="0" t="n">
        <v>3052</v>
      </c>
      <c r="S1330" s="0" t="n">
        <v>6594</v>
      </c>
      <c r="T1330" s="0" t="n">
        <v>30.55</v>
      </c>
      <c r="U1330" s="0" t="n">
        <v>934</v>
      </c>
      <c r="V1330" s="0" t="n">
        <v>1</v>
      </c>
      <c r="W1330" s="39" t="n">
        <f aca="false">IF(I1330="Male",0,1)</f>
        <v>1</v>
      </c>
      <c r="X1330" s="39" t="n">
        <f aca="false">IF(OR(I1330="DNB",I1330="Dry DNB"),1,0)</f>
        <v>0</v>
      </c>
      <c r="Y1330" s="39" t="n">
        <f aca="false">MATCH(A1330,DATAS,0)</f>
        <v>1</v>
      </c>
      <c r="Z1330" s="39" t="n">
        <f aca="false">IF(AND(E1330&gt;0,OR(AND(B1330&gt;=1,B1330&lt;=6),B1330=10)),1,0)</f>
        <v>1</v>
      </c>
      <c r="AA1330" s="39" t="n">
        <f aca="false">IF(AND(E1330&gt;0,B1330=10),1,0)</f>
        <v>0</v>
      </c>
      <c r="AB1330" s="0" t="str">
        <f aca="false">IF(AND(C1329=C1330,Y1329=Y1330-1),Z1329,"")</f>
        <v/>
      </c>
      <c r="AC1330" s="0" t="str">
        <f aca="false">IF(AND(C1329=C1330,Y1329=Y1330-1),AA1329,"")</f>
        <v/>
      </c>
      <c r="AD1330" s="0" t="str">
        <f aca="false">IF(Y1330=1,"",IF(AND(Z1330=1,AB1330&lt;&gt;1),1,0))</f>
        <v/>
      </c>
      <c r="AE1330" s="0" t="str">
        <f aca="false">IF(Y1330=1,"",IF(AND(AA1330=1,AC1330&lt;&gt;1),1,0))</f>
        <v/>
      </c>
      <c r="AF1330" s="45" t="str">
        <f aca="false">IF(AND(E1330&gt;0,Y1330&lt;1,NOT(AND(C1331=C1330,Y1331=Y1330+1))),INDEX(DATAS,Y1330+1),"")</f>
        <v/>
      </c>
      <c r="AG1330" s="45" t="str">
        <f aca="false">IF(AND(AA1330=1,Y1330&lt;1),IF(AND(C1331=C1330,Y1331=Y1330+1),IF(AA1331=1,"",INDEX(DATAS,Y1330+1)),INDEX(DATAS,Y1330+1)),"")</f>
        <v/>
      </c>
    </row>
    <row r="1331" customFormat="false" ht="15" hidden="false" customHeight="false" outlineLevel="0" collapsed="false">
      <c r="A1331" s="45" t="n">
        <v>46309</v>
      </c>
      <c r="B1331" s="0" t="n">
        <v>4</v>
      </c>
      <c r="C1331" s="0" t="n">
        <v>5419</v>
      </c>
      <c r="D1331" s="0" t="n">
        <v>313</v>
      </c>
      <c r="E1331" s="0" t="n">
        <v>1</v>
      </c>
      <c r="F1331" s="39" t="s">
        <v>854</v>
      </c>
      <c r="G1331" s="0" t="n">
        <v>37.5</v>
      </c>
      <c r="H1331" s="0" t="n">
        <v>40</v>
      </c>
      <c r="I1331" s="39" t="s">
        <v>109</v>
      </c>
      <c r="J1331" s="0" t="n">
        <v>103</v>
      </c>
      <c r="K1331" s="0" t="n">
        <v>68</v>
      </c>
      <c r="L1331" s="0" t="n">
        <v>210</v>
      </c>
      <c r="M1331" s="0" t="n">
        <v>34.84</v>
      </c>
      <c r="N1331" s="0" t="n">
        <v>82.49</v>
      </c>
      <c r="O1331" s="0" t="n">
        <v>25.29</v>
      </c>
      <c r="P1331" s="0" t="n">
        <v>4.62</v>
      </c>
      <c r="Q1331" s="0" t="n">
        <v>3.88</v>
      </c>
      <c r="R1331" s="0" t="n">
        <v>3692</v>
      </c>
      <c r="S1331" s="0" t="n">
        <v>7518</v>
      </c>
      <c r="T1331" s="0" t="n">
        <v>38.7</v>
      </c>
      <c r="U1331" s="0" t="n">
        <v>934</v>
      </c>
      <c r="V1331" s="0" t="n">
        <v>2</v>
      </c>
      <c r="W1331" s="39" t="n">
        <f aca="false">IF(I1331="Male",0,1)</f>
        <v>1</v>
      </c>
      <c r="X1331" s="39" t="n">
        <f aca="false">IF(OR(I1331="DNB",I1331="Dry DNB"),1,0)</f>
        <v>0</v>
      </c>
      <c r="Y1331" s="39" t="n">
        <f aca="false">MATCH(A1331,DATAS,0)</f>
        <v>1</v>
      </c>
      <c r="Z1331" s="39" t="n">
        <f aca="false">IF(AND(E1331&gt;0,OR(AND(B1331&gt;=1,B1331&lt;=6),B1331=10)),1,0)</f>
        <v>1</v>
      </c>
      <c r="AA1331" s="39" t="n">
        <f aca="false">IF(AND(E1331&gt;0,B1331=10),1,0)</f>
        <v>0</v>
      </c>
      <c r="AB1331" s="0" t="str">
        <f aca="false">IF(AND(C1330=C1331,Y1330=Y1331-1),Z1330,"")</f>
        <v/>
      </c>
      <c r="AC1331" s="0" t="str">
        <f aca="false">IF(AND(C1330=C1331,Y1330=Y1331-1),AA1330,"")</f>
        <v/>
      </c>
      <c r="AD1331" s="0" t="str">
        <f aca="false">IF(Y1331=1,"",IF(AND(Z1331=1,AB1331&lt;&gt;1),1,0))</f>
        <v/>
      </c>
      <c r="AE1331" s="0" t="str">
        <f aca="false">IF(Y1331=1,"",IF(AND(AA1331=1,AC1331&lt;&gt;1),1,0))</f>
        <v/>
      </c>
      <c r="AF1331" s="45" t="str">
        <f aca="false">IF(AND(E1331&gt;0,Y1331&lt;1,NOT(AND(C1332=C1331,Y1332=Y1331+1))),INDEX(DATAS,Y1331+1),"")</f>
        <v/>
      </c>
      <c r="AG1331" s="45" t="str">
        <f aca="false">IF(AND(AA1331=1,Y1331&lt;1),IF(AND(C1332=C1331,Y1332=Y1331+1),IF(AA1332=1,"",INDEX(DATAS,Y1331+1)),INDEX(DATAS,Y1331+1)),"")</f>
        <v/>
      </c>
    </row>
    <row r="1332" customFormat="false" ht="15" hidden="false" customHeight="false" outlineLevel="0" collapsed="false">
      <c r="A1332" s="45" t="n">
        <v>46309</v>
      </c>
      <c r="B1332" s="0" t="n">
        <v>4</v>
      </c>
      <c r="C1332" s="0" t="n">
        <v>5420</v>
      </c>
      <c r="D1332" s="0" t="n">
        <v>237</v>
      </c>
      <c r="E1332" s="0" t="n">
        <v>1</v>
      </c>
      <c r="F1332" s="39" t="s">
        <v>855</v>
      </c>
      <c r="G1332" s="0" t="n">
        <v>44.4</v>
      </c>
      <c r="H1332" s="0" t="n">
        <v>46</v>
      </c>
      <c r="I1332" s="39" t="s">
        <v>109</v>
      </c>
      <c r="J1332" s="0" t="n">
        <v>112</v>
      </c>
      <c r="K1332" s="0" t="n">
        <v>69</v>
      </c>
      <c r="L1332" s="0" t="n">
        <v>125</v>
      </c>
      <c r="M1332" s="0" t="n">
        <v>731.01</v>
      </c>
      <c r="N1332" s="0" t="n">
        <v>49.12</v>
      </c>
      <c r="O1332" s="0" t="n">
        <v>43.76</v>
      </c>
      <c r="P1332" s="0" t="n">
        <v>3.41</v>
      </c>
      <c r="Q1332" s="0" t="n">
        <v>3.88</v>
      </c>
      <c r="R1332" s="0" t="n">
        <v>4826</v>
      </c>
      <c r="S1332" s="0" t="n">
        <v>10371</v>
      </c>
      <c r="T1332" s="0" t="n">
        <v>55.45</v>
      </c>
      <c r="U1332" s="0" t="n">
        <v>933</v>
      </c>
      <c r="V1332" s="0" t="n">
        <v>3</v>
      </c>
      <c r="W1332" s="39" t="n">
        <f aca="false">IF(I1332="Male",0,1)</f>
        <v>1</v>
      </c>
      <c r="X1332" s="39" t="n">
        <f aca="false">IF(OR(I1332="DNB",I1332="Dry DNB"),1,0)</f>
        <v>0</v>
      </c>
      <c r="Y1332" s="39" t="n">
        <f aca="false">MATCH(A1332,DATAS,0)</f>
        <v>1</v>
      </c>
      <c r="Z1332" s="39" t="n">
        <f aca="false">IF(AND(E1332&gt;0,OR(AND(B1332&gt;=1,B1332&lt;=6),B1332=10)),1,0)</f>
        <v>1</v>
      </c>
      <c r="AA1332" s="39" t="n">
        <f aca="false">IF(AND(E1332&gt;0,B1332=10),1,0)</f>
        <v>0</v>
      </c>
      <c r="AB1332" s="0" t="str">
        <f aca="false">IF(AND(C1331=C1332,Y1331=Y1332-1),Z1331,"")</f>
        <v/>
      </c>
      <c r="AC1332" s="0" t="str">
        <f aca="false">IF(AND(C1331=C1332,Y1331=Y1332-1),AA1331,"")</f>
        <v/>
      </c>
      <c r="AD1332" s="0" t="str">
        <f aca="false">IF(Y1332=1,"",IF(AND(Z1332=1,AB1332&lt;&gt;1),1,0))</f>
        <v/>
      </c>
      <c r="AE1332" s="0" t="str">
        <f aca="false">IF(Y1332=1,"",IF(AND(AA1332=1,AC1332&lt;&gt;1),1,0))</f>
        <v/>
      </c>
      <c r="AF1332" s="45" t="str">
        <f aca="false">IF(AND(E1332&gt;0,Y1332&lt;1,NOT(AND(C1333=C1332,Y1333=Y1332+1))),INDEX(DATAS,Y1332+1),"")</f>
        <v/>
      </c>
      <c r="AG1332" s="45" t="str">
        <f aca="false">IF(AND(AA1332=1,Y1332&lt;1),IF(AND(C1333=C1332,Y1333=Y1332+1),IF(AA1333=1,"",INDEX(DATAS,Y1332+1)),INDEX(DATAS,Y1332+1)),"")</f>
        <v/>
      </c>
    </row>
    <row r="1333" customFormat="false" ht="15" hidden="false" customHeight="false" outlineLevel="0" collapsed="false">
      <c r="A1333" s="45" t="n">
        <v>46309</v>
      </c>
      <c r="B1333" s="0" t="n">
        <v>4</v>
      </c>
      <c r="C1333" s="0" t="n">
        <v>5421</v>
      </c>
      <c r="D1333" s="0" t="n">
        <v>305</v>
      </c>
      <c r="E1333" s="0" t="n">
        <v>1</v>
      </c>
      <c r="F1333" s="39" t="s">
        <v>855</v>
      </c>
      <c r="G1333" s="0" t="n">
        <v>35.3</v>
      </c>
      <c r="H1333" s="0" t="n">
        <v>39</v>
      </c>
      <c r="I1333" s="39" t="s">
        <v>109</v>
      </c>
      <c r="J1333" s="0" t="n">
        <v>172</v>
      </c>
      <c r="K1333" s="0" t="n">
        <v>60</v>
      </c>
      <c r="L1333" s="0" t="n">
        <v>133</v>
      </c>
      <c r="M1333" s="0" t="n">
        <v>-110.15</v>
      </c>
      <c r="N1333" s="0" t="n">
        <v>79.12</v>
      </c>
      <c r="O1333" s="0" t="n">
        <v>24.76</v>
      </c>
      <c r="P1333" s="0" t="n">
        <v>4.53</v>
      </c>
      <c r="Q1333" s="0" t="n">
        <v>3.79</v>
      </c>
      <c r="R1333" s="0" t="n">
        <v>4272</v>
      </c>
      <c r="S1333" s="0" t="n">
        <v>8930</v>
      </c>
      <c r="T1333" s="0" t="n">
        <v>46.65</v>
      </c>
      <c r="U1333" s="0" t="n">
        <v>933</v>
      </c>
      <c r="V1333" s="0" t="n">
        <v>4</v>
      </c>
      <c r="W1333" s="39" t="n">
        <f aca="false">IF(I1333="Male",0,1)</f>
        <v>1</v>
      </c>
      <c r="X1333" s="39" t="n">
        <f aca="false">IF(OR(I1333="DNB",I1333="Dry DNB"),1,0)</f>
        <v>0</v>
      </c>
      <c r="Y1333" s="39" t="n">
        <f aca="false">MATCH(A1333,DATAS,0)</f>
        <v>1</v>
      </c>
      <c r="Z1333" s="39" t="n">
        <f aca="false">IF(AND(E1333&gt;0,OR(AND(B1333&gt;=1,B1333&lt;=6),B1333=10)),1,0)</f>
        <v>1</v>
      </c>
      <c r="AA1333" s="39" t="n">
        <f aca="false">IF(AND(E1333&gt;0,B1333=10),1,0)</f>
        <v>0</v>
      </c>
      <c r="AB1333" s="0" t="str">
        <f aca="false">IF(AND(C1332=C1333,Y1332=Y1333-1),Z1332,"")</f>
        <v/>
      </c>
      <c r="AC1333" s="0" t="str">
        <f aca="false">IF(AND(C1332=C1333,Y1332=Y1333-1),AA1332,"")</f>
        <v/>
      </c>
      <c r="AD1333" s="0" t="str">
        <f aca="false">IF(Y1333=1,"",IF(AND(Z1333=1,AB1333&lt;&gt;1),1,0))</f>
        <v/>
      </c>
      <c r="AE1333" s="0" t="str">
        <f aca="false">IF(Y1333=1,"",IF(AND(AA1333=1,AC1333&lt;&gt;1),1,0))</f>
        <v/>
      </c>
      <c r="AF1333" s="45" t="str">
        <f aca="false">IF(AND(E1333&gt;0,Y1333&lt;1,NOT(AND(C1334=C1333,Y1334=Y1333+1))),INDEX(DATAS,Y1333+1),"")</f>
        <v/>
      </c>
      <c r="AG1333" s="45" t="str">
        <f aca="false">IF(AND(AA1333=1,Y1333&lt;1),IF(AND(C1334=C1333,Y1334=Y1333+1),IF(AA1334=1,"",INDEX(DATAS,Y1333+1)),INDEX(DATAS,Y1333+1)),"")</f>
        <v/>
      </c>
    </row>
    <row r="1334" customFormat="false" ht="15" hidden="false" customHeight="false" outlineLevel="0" collapsed="false">
      <c r="A1334" s="45" t="n">
        <v>46309</v>
      </c>
      <c r="B1334" s="0" t="n">
        <v>7</v>
      </c>
      <c r="C1334" s="0" t="n">
        <v>5422</v>
      </c>
      <c r="D1334" s="0" t="n">
        <v>289</v>
      </c>
      <c r="E1334" s="0" t="n">
        <v>1</v>
      </c>
      <c r="F1334" s="39" t="s">
        <v>855</v>
      </c>
      <c r="I1334" s="39" t="s">
        <v>114</v>
      </c>
      <c r="J1334" s="0" t="n">
        <v>66</v>
      </c>
      <c r="K1334" s="0" t="n">
        <v>66</v>
      </c>
      <c r="L1334" s="0" t="n">
        <v>245</v>
      </c>
      <c r="M1334" s="0" t="n">
        <v>149.34</v>
      </c>
      <c r="N1334" s="0" t="n">
        <v>82.7</v>
      </c>
      <c r="O1334" s="0" t="n">
        <v>30.99</v>
      </c>
      <c r="P1334" s="0" t="n">
        <v>4.22</v>
      </c>
      <c r="Q1334" s="0" t="n">
        <v>4.76</v>
      </c>
      <c r="R1334" s="0" t="n">
        <v>4160</v>
      </c>
      <c r="S1334" s="0" t="n">
        <v>8399</v>
      </c>
      <c r="T1334" s="0" t="n">
        <v>44.4</v>
      </c>
      <c r="U1334" s="0" t="n">
        <v>933</v>
      </c>
      <c r="V1334" s="0" t="n">
        <v>1</v>
      </c>
      <c r="W1334" s="39" t="n">
        <f aca="false">IF(I1334="Male",0,1)</f>
        <v>1</v>
      </c>
      <c r="X1334" s="39" t="n">
        <f aca="false">IF(OR(I1334="DNB",I1334="Dry DNB"),1,0)</f>
        <v>0</v>
      </c>
      <c r="Y1334" s="39" t="n">
        <f aca="false">MATCH(A1334,DATAS,0)</f>
        <v>1</v>
      </c>
      <c r="Z1334" s="39" t="n">
        <f aca="false">IF(AND(E1334&gt;0,OR(AND(B1334&gt;=1,B1334&lt;=6),B1334=10)),1,0)</f>
        <v>0</v>
      </c>
      <c r="AA1334" s="39" t="n">
        <f aca="false">IF(AND(E1334&gt;0,B1334=10),1,0)</f>
        <v>0</v>
      </c>
      <c r="AB1334" s="0" t="str">
        <f aca="false">IF(AND(C1333=C1334,Y1333=Y1334-1),Z1333,"")</f>
        <v/>
      </c>
      <c r="AC1334" s="0" t="str">
        <f aca="false">IF(AND(C1333=C1334,Y1333=Y1334-1),AA1333,"")</f>
        <v/>
      </c>
      <c r="AD1334" s="0" t="str">
        <f aca="false">IF(Y1334=1,"",IF(AND(Z1334=1,AB1334&lt;&gt;1),1,0))</f>
        <v/>
      </c>
      <c r="AE1334" s="0" t="str">
        <f aca="false">IF(Y1334=1,"",IF(AND(AA1334=1,AC1334&lt;&gt;1),1,0))</f>
        <v/>
      </c>
      <c r="AF1334" s="45" t="str">
        <f aca="false">IF(AND(E1334&gt;0,Y1334&lt;1,NOT(AND(C1335=C1334,Y1335=Y1334+1))),INDEX(DATAS,Y1334+1),"")</f>
        <v/>
      </c>
      <c r="AG1334" s="45" t="str">
        <f aca="false">IF(AND(AA1334=1,Y1334&lt;1),IF(AND(C1335=C1334,Y1335=Y1334+1),IF(AA1335=1,"",INDEX(DATAS,Y1334+1)),INDEX(DATAS,Y1334+1)),"")</f>
        <v/>
      </c>
    </row>
    <row r="1335" customFormat="false" ht="15" hidden="false" customHeight="false" outlineLevel="0" collapsed="false">
      <c r="A1335" s="45" t="n">
        <v>46309</v>
      </c>
      <c r="B1335" s="0" t="n">
        <v>7</v>
      </c>
      <c r="C1335" s="0" t="n">
        <v>5423</v>
      </c>
      <c r="D1335" s="0" t="n">
        <v>287</v>
      </c>
      <c r="E1335" s="0" t="n">
        <v>1</v>
      </c>
      <c r="F1335" s="39" t="s">
        <v>856</v>
      </c>
      <c r="I1335" s="39" t="s">
        <v>114</v>
      </c>
      <c r="J1335" s="0" t="n">
        <v>64</v>
      </c>
      <c r="K1335" s="0" t="n">
        <v>64</v>
      </c>
      <c r="L1335" s="0" t="n">
        <v>245</v>
      </c>
      <c r="M1335" s="0" t="n">
        <v>1020.9</v>
      </c>
      <c r="N1335" s="0" t="n">
        <v>49.04</v>
      </c>
      <c r="O1335" s="0" t="n">
        <v>34.96</v>
      </c>
      <c r="P1335" s="0" t="n">
        <v>5.01</v>
      </c>
      <c r="Q1335" s="0" t="n">
        <v>3.39</v>
      </c>
      <c r="R1335" s="0" t="n">
        <v>3994</v>
      </c>
      <c r="S1335" s="0" t="n">
        <v>9852</v>
      </c>
      <c r="T1335" s="0" t="n">
        <v>46</v>
      </c>
      <c r="U1335" s="0" t="n">
        <v>932</v>
      </c>
      <c r="V1335" s="0" t="n">
        <v>1</v>
      </c>
      <c r="W1335" s="39" t="n">
        <f aca="false">IF(I1335="Male",0,1)</f>
        <v>1</v>
      </c>
      <c r="X1335" s="39" t="n">
        <f aca="false">IF(OR(I1335="DNB",I1335="Dry DNB"),1,0)</f>
        <v>0</v>
      </c>
      <c r="Y1335" s="39" t="n">
        <f aca="false">MATCH(A1335,DATAS,0)</f>
        <v>1</v>
      </c>
      <c r="Z1335" s="39" t="n">
        <f aca="false">IF(AND(E1335&gt;0,OR(AND(B1335&gt;=1,B1335&lt;=6),B1335=10)),1,0)</f>
        <v>0</v>
      </c>
      <c r="AA1335" s="39" t="n">
        <f aca="false">IF(AND(E1335&gt;0,B1335=10),1,0)</f>
        <v>0</v>
      </c>
      <c r="AB1335" s="0" t="str">
        <f aca="false">IF(AND(C1334=C1335,Y1334=Y1335-1),Z1334,"")</f>
        <v/>
      </c>
      <c r="AC1335" s="0" t="str">
        <f aca="false">IF(AND(C1334=C1335,Y1334=Y1335-1),AA1334,"")</f>
        <v/>
      </c>
      <c r="AD1335" s="0" t="str">
        <f aca="false">IF(Y1335=1,"",IF(AND(Z1335=1,AB1335&lt;&gt;1),1,0))</f>
        <v/>
      </c>
      <c r="AE1335" s="0" t="str">
        <f aca="false">IF(Y1335=1,"",IF(AND(AA1335=1,AC1335&lt;&gt;1),1,0))</f>
        <v/>
      </c>
      <c r="AF1335" s="45" t="str">
        <f aca="false">IF(AND(E1335&gt;0,Y1335&lt;1,NOT(AND(C1336=C1335,Y1336=Y1335+1))),INDEX(DATAS,Y1335+1),"")</f>
        <v/>
      </c>
      <c r="AG1335" s="45" t="str">
        <f aca="false">IF(AND(AA1335=1,Y1335&lt;1),IF(AND(C1336=C1335,Y1336=Y1335+1),IF(AA1336=1,"",INDEX(DATAS,Y1335+1)),INDEX(DATAS,Y1335+1)),"")</f>
        <v/>
      </c>
    </row>
    <row r="1336" customFormat="false" ht="15" hidden="false" customHeight="false" outlineLevel="0" collapsed="false">
      <c r="A1336" s="45" t="n">
        <v>46309</v>
      </c>
      <c r="B1336" s="0" t="n">
        <v>4</v>
      </c>
      <c r="C1336" s="0" t="n">
        <v>5424</v>
      </c>
      <c r="D1336" s="0" t="n">
        <v>250</v>
      </c>
      <c r="E1336" s="0" t="n">
        <v>1</v>
      </c>
      <c r="F1336" s="39" t="s">
        <v>856</v>
      </c>
      <c r="G1336" s="0" t="n">
        <v>34.9</v>
      </c>
      <c r="H1336" s="0" t="n">
        <v>37</v>
      </c>
      <c r="I1336" s="39" t="s">
        <v>109</v>
      </c>
      <c r="J1336" s="0" t="n">
        <v>208</v>
      </c>
      <c r="K1336" s="0" t="n">
        <v>68</v>
      </c>
      <c r="L1336" s="0" t="n">
        <v>42</v>
      </c>
      <c r="M1336" s="0" t="n">
        <v>142.64</v>
      </c>
      <c r="N1336" s="0" t="n">
        <v>50.94</v>
      </c>
      <c r="O1336" s="0" t="n">
        <v>21.6</v>
      </c>
      <c r="P1336" s="0" t="n">
        <v>4.08</v>
      </c>
      <c r="Q1336" s="0" t="n">
        <v>3.49</v>
      </c>
      <c r="R1336" s="0" t="n">
        <v>3400</v>
      </c>
      <c r="S1336" s="0" t="n">
        <v>8307</v>
      </c>
      <c r="T1336" s="0" t="n">
        <v>35.5</v>
      </c>
      <c r="U1336" s="0" t="n">
        <v>932</v>
      </c>
      <c r="V1336" s="0" t="n">
        <v>4</v>
      </c>
      <c r="W1336" s="39" t="n">
        <f aca="false">IF(I1336="Male",0,1)</f>
        <v>1</v>
      </c>
      <c r="X1336" s="39" t="n">
        <f aca="false">IF(OR(I1336="DNB",I1336="Dry DNB"),1,0)</f>
        <v>0</v>
      </c>
      <c r="Y1336" s="39" t="n">
        <f aca="false">MATCH(A1336,DATAS,0)</f>
        <v>1</v>
      </c>
      <c r="Z1336" s="39" t="n">
        <f aca="false">IF(AND(E1336&gt;0,OR(AND(B1336&gt;=1,B1336&lt;=6),B1336=10)),1,0)</f>
        <v>1</v>
      </c>
      <c r="AA1336" s="39" t="n">
        <f aca="false">IF(AND(E1336&gt;0,B1336=10),1,0)</f>
        <v>0</v>
      </c>
      <c r="AB1336" s="0" t="str">
        <f aca="false">IF(AND(C1335=C1336,Y1335=Y1336-1),Z1335,"")</f>
        <v/>
      </c>
      <c r="AC1336" s="0" t="str">
        <f aca="false">IF(AND(C1335=C1336,Y1335=Y1336-1),AA1335,"")</f>
        <v/>
      </c>
      <c r="AD1336" s="0" t="str">
        <f aca="false">IF(Y1336=1,"",IF(AND(Z1336=1,AB1336&lt;&gt;1),1,0))</f>
        <v/>
      </c>
      <c r="AE1336" s="0" t="str">
        <f aca="false">IF(Y1336=1,"",IF(AND(AA1336=1,AC1336&lt;&gt;1),1,0))</f>
        <v/>
      </c>
      <c r="AF1336" s="45" t="str">
        <f aca="false">IF(AND(E1336&gt;0,Y1336&lt;1,NOT(AND(C1337=C1336,Y1337=Y1336+1))),INDEX(DATAS,Y1336+1),"")</f>
        <v/>
      </c>
      <c r="AG1336" s="45" t="str">
        <f aca="false">IF(AND(AA1336=1,Y1336&lt;1),IF(AND(C1337=C1336,Y1337=Y1336+1),IF(AA1337=1,"",INDEX(DATAS,Y1336+1)),INDEX(DATAS,Y1336+1)),"")</f>
        <v/>
      </c>
    </row>
    <row r="1337" customFormat="false" ht="15" hidden="false" customHeight="false" outlineLevel="0" collapsed="false">
      <c r="A1337" s="45" t="n">
        <v>46309</v>
      </c>
      <c r="B1337" s="0" t="n">
        <v>4</v>
      </c>
      <c r="C1337" s="0" t="n">
        <v>5425</v>
      </c>
      <c r="D1337" s="0" t="n">
        <v>144</v>
      </c>
      <c r="E1337" s="0" t="n">
        <v>1</v>
      </c>
      <c r="F1337" s="39" t="s">
        <v>857</v>
      </c>
      <c r="G1337" s="0" t="n">
        <v>29.8</v>
      </c>
      <c r="H1337" s="0" t="n">
        <v>32</v>
      </c>
      <c r="I1337" s="39" t="s">
        <v>138</v>
      </c>
      <c r="J1337" s="0" t="n">
        <v>144</v>
      </c>
      <c r="K1337" s="0" t="n">
        <v>67</v>
      </c>
      <c r="M1337" s="0" t="n">
        <v>929.8</v>
      </c>
      <c r="N1337" s="0" t="n">
        <v>27.36</v>
      </c>
      <c r="O1337" s="0" t="n">
        <v>33.04</v>
      </c>
      <c r="P1337" s="0" t="n">
        <v>3.04</v>
      </c>
      <c r="Q1337" s="0" t="n">
        <v>3.15</v>
      </c>
      <c r="R1337" s="0" t="n">
        <v>2867</v>
      </c>
      <c r="S1337" s="0" t="n">
        <v>5975</v>
      </c>
      <c r="T1337" s="0" t="n">
        <v>32.65</v>
      </c>
      <c r="U1337" s="0" t="n">
        <v>931</v>
      </c>
      <c r="V1337" s="0" t="n">
        <v>3</v>
      </c>
      <c r="W1337" s="39" t="n">
        <f aca="false">IF(I1337="Male",0,1)</f>
        <v>1</v>
      </c>
      <c r="X1337" s="39" t="n">
        <f aca="false">IF(OR(I1337="DNB",I1337="Dry DNB"),1,0)</f>
        <v>0</v>
      </c>
      <c r="Y1337" s="39" t="n">
        <f aca="false">MATCH(A1337,DATAS,0)</f>
        <v>1</v>
      </c>
      <c r="Z1337" s="39" t="n">
        <f aca="false">IF(AND(E1337&gt;0,OR(AND(B1337&gt;=1,B1337&lt;=6),B1337=10)),1,0)</f>
        <v>1</v>
      </c>
      <c r="AA1337" s="39" t="n">
        <f aca="false">IF(AND(E1337&gt;0,B1337=10),1,0)</f>
        <v>0</v>
      </c>
      <c r="AB1337" s="0" t="str">
        <f aca="false">IF(AND(C1336=C1337,Y1336=Y1337-1),Z1336,"")</f>
        <v/>
      </c>
      <c r="AC1337" s="0" t="str">
        <f aca="false">IF(AND(C1336=C1337,Y1336=Y1337-1),AA1336,"")</f>
        <v/>
      </c>
      <c r="AD1337" s="0" t="str">
        <f aca="false">IF(Y1337=1,"",IF(AND(Z1337=1,AB1337&lt;&gt;1),1,0))</f>
        <v/>
      </c>
      <c r="AE1337" s="0" t="str">
        <f aca="false">IF(Y1337=1,"",IF(AND(AA1337=1,AC1337&lt;&gt;1),1,0))</f>
        <v/>
      </c>
      <c r="AF1337" s="45" t="str">
        <f aca="false">IF(AND(E1337&gt;0,Y1337&lt;1,NOT(AND(C1338=C1337,Y1338=Y1337+1))),INDEX(DATAS,Y1337+1),"")</f>
        <v/>
      </c>
      <c r="AG1337" s="45" t="str">
        <f aca="false">IF(AND(AA1337=1,Y1337&lt;1),IF(AND(C1338=C1337,Y1338=Y1337+1),IF(AA1338=1,"",INDEX(DATAS,Y1337+1)),INDEX(DATAS,Y1337+1)),"")</f>
        <v/>
      </c>
    </row>
    <row r="1338" customFormat="false" ht="15" hidden="false" customHeight="false" outlineLevel="0" collapsed="false">
      <c r="A1338" s="45" t="n">
        <v>46309</v>
      </c>
      <c r="B1338" s="0" t="n">
        <v>4</v>
      </c>
      <c r="C1338" s="0" t="n">
        <v>5426</v>
      </c>
      <c r="D1338" s="0" t="n">
        <v>273</v>
      </c>
      <c r="E1338" s="0" t="n">
        <v>1</v>
      </c>
      <c r="F1338" s="39" t="s">
        <v>857</v>
      </c>
      <c r="G1338" s="0" t="n">
        <v>29.3</v>
      </c>
      <c r="H1338" s="0" t="n">
        <v>29</v>
      </c>
      <c r="I1338" s="39" t="s">
        <v>109</v>
      </c>
      <c r="J1338" s="0" t="n">
        <v>63</v>
      </c>
      <c r="K1338" s="0" t="n">
        <v>63</v>
      </c>
      <c r="L1338" s="0" t="n">
        <v>210</v>
      </c>
      <c r="M1338" s="0" t="n">
        <v>836.45</v>
      </c>
      <c r="N1338" s="0" t="n">
        <v>44.36</v>
      </c>
      <c r="O1338" s="0" t="n">
        <v>23.32</v>
      </c>
      <c r="P1338" s="0" t="n">
        <v>5.28</v>
      </c>
      <c r="Q1338" s="0" t="n">
        <v>2.9</v>
      </c>
      <c r="R1338" s="0" t="n">
        <v>4123</v>
      </c>
      <c r="S1338" s="0" t="n">
        <v>9081</v>
      </c>
      <c r="T1338" s="0" t="n">
        <v>43.7</v>
      </c>
      <c r="U1338" s="0" t="n">
        <v>931</v>
      </c>
      <c r="V1338" s="0" t="n">
        <v>1</v>
      </c>
      <c r="W1338" s="39" t="n">
        <f aca="false">IF(I1338="Male",0,1)</f>
        <v>1</v>
      </c>
      <c r="X1338" s="39" t="n">
        <f aca="false">IF(OR(I1338="DNB",I1338="Dry DNB"),1,0)</f>
        <v>0</v>
      </c>
      <c r="Y1338" s="39" t="n">
        <f aca="false">MATCH(A1338,DATAS,0)</f>
        <v>1</v>
      </c>
      <c r="Z1338" s="39" t="n">
        <f aca="false">IF(AND(E1338&gt;0,OR(AND(B1338&gt;=1,B1338&lt;=6),B1338=10)),1,0)</f>
        <v>1</v>
      </c>
      <c r="AA1338" s="39" t="n">
        <f aca="false">IF(AND(E1338&gt;0,B1338=10),1,0)</f>
        <v>0</v>
      </c>
      <c r="AB1338" s="0" t="str">
        <f aca="false">IF(AND(C1337=C1338,Y1337=Y1338-1),Z1337,"")</f>
        <v/>
      </c>
      <c r="AC1338" s="0" t="str">
        <f aca="false">IF(AND(C1337=C1338,Y1337=Y1338-1),AA1337,"")</f>
        <v/>
      </c>
      <c r="AD1338" s="0" t="str">
        <f aca="false">IF(Y1338=1,"",IF(AND(Z1338=1,AB1338&lt;&gt;1),1,0))</f>
        <v/>
      </c>
      <c r="AE1338" s="0" t="str">
        <f aca="false">IF(Y1338=1,"",IF(AND(AA1338=1,AC1338&lt;&gt;1),1,0))</f>
        <v/>
      </c>
      <c r="AF1338" s="45" t="str">
        <f aca="false">IF(AND(E1338&gt;0,Y1338&lt;1,NOT(AND(C1339=C1338,Y1339=Y1338+1))),INDEX(DATAS,Y1338+1),"")</f>
        <v/>
      </c>
      <c r="AG1338" s="45" t="str">
        <f aca="false">IF(AND(AA1338=1,Y1338&lt;1),IF(AND(C1339=C1338,Y1339=Y1338+1),IF(AA1339=1,"",INDEX(DATAS,Y1338+1)),INDEX(DATAS,Y1338+1)),"")</f>
        <v/>
      </c>
    </row>
    <row r="1339" customFormat="false" ht="15" hidden="false" customHeight="false" outlineLevel="0" collapsed="false">
      <c r="A1339" s="45" t="n">
        <v>46309</v>
      </c>
      <c r="B1339" s="0" t="n">
        <v>7</v>
      </c>
      <c r="C1339" s="0" t="n">
        <v>5427</v>
      </c>
      <c r="D1339" s="0" t="n">
        <v>288</v>
      </c>
      <c r="E1339" s="0" t="n">
        <v>1</v>
      </c>
      <c r="F1339" s="39" t="s">
        <v>857</v>
      </c>
      <c r="I1339" s="39" t="s">
        <v>114</v>
      </c>
      <c r="J1339" s="0" t="n">
        <v>86</v>
      </c>
      <c r="K1339" s="0" t="n">
        <v>86</v>
      </c>
      <c r="L1339" s="0" t="n">
        <v>231</v>
      </c>
      <c r="M1339" s="0" t="n">
        <v>1678.72</v>
      </c>
      <c r="N1339" s="0" t="n">
        <v>63.56</v>
      </c>
      <c r="O1339" s="0" t="n">
        <v>38.39</v>
      </c>
      <c r="P1339" s="0" t="n">
        <v>4.73</v>
      </c>
      <c r="Q1339" s="0" t="n">
        <v>3.36</v>
      </c>
      <c r="R1339" s="0" t="n">
        <v>1066</v>
      </c>
      <c r="S1339" s="0" t="n">
        <v>3002</v>
      </c>
      <c r="T1339" s="0" t="n">
        <v>10.45</v>
      </c>
      <c r="U1339" s="0" t="n">
        <v>931</v>
      </c>
      <c r="V1339" s="0" t="n">
        <v>1</v>
      </c>
      <c r="W1339" s="39" t="n">
        <f aca="false">IF(I1339="Male",0,1)</f>
        <v>1</v>
      </c>
      <c r="X1339" s="39" t="n">
        <f aca="false">IF(OR(I1339="DNB",I1339="Dry DNB"),1,0)</f>
        <v>0</v>
      </c>
      <c r="Y1339" s="39" t="n">
        <f aca="false">MATCH(A1339,DATAS,0)</f>
        <v>1</v>
      </c>
      <c r="Z1339" s="39" t="n">
        <f aca="false">IF(AND(E1339&gt;0,OR(AND(B1339&gt;=1,B1339&lt;=6),B1339=10)),1,0)</f>
        <v>0</v>
      </c>
      <c r="AA1339" s="39" t="n">
        <f aca="false">IF(AND(E1339&gt;0,B1339=10),1,0)</f>
        <v>0</v>
      </c>
      <c r="AB1339" s="0" t="str">
        <f aca="false">IF(AND(C1338=C1339,Y1338=Y1339-1),Z1338,"")</f>
        <v/>
      </c>
      <c r="AC1339" s="0" t="str">
        <f aca="false">IF(AND(C1338=C1339,Y1338=Y1339-1),AA1338,"")</f>
        <v/>
      </c>
      <c r="AD1339" s="0" t="str">
        <f aca="false">IF(Y1339=1,"",IF(AND(Z1339=1,AB1339&lt;&gt;1),1,0))</f>
        <v/>
      </c>
      <c r="AE1339" s="0" t="str">
        <f aca="false">IF(Y1339=1,"",IF(AND(AA1339=1,AC1339&lt;&gt;1),1,0))</f>
        <v/>
      </c>
      <c r="AF1339" s="45" t="str">
        <f aca="false">IF(AND(E1339&gt;0,Y1339&lt;1,NOT(AND(C1340=C1339,Y1340=Y1339+1))),INDEX(DATAS,Y1339+1),"")</f>
        <v/>
      </c>
      <c r="AG1339" s="45" t="str">
        <f aca="false">IF(AND(AA1339=1,Y1339&lt;1),IF(AND(C1340=C1339,Y1340=Y1339+1),IF(AA1340=1,"",INDEX(DATAS,Y1339+1)),INDEX(DATAS,Y1339+1)),"")</f>
        <v/>
      </c>
    </row>
    <row r="1340" customFormat="false" ht="15" hidden="false" customHeight="false" outlineLevel="0" collapsed="false">
      <c r="A1340" s="45" t="n">
        <v>46309</v>
      </c>
      <c r="B1340" s="0" t="n">
        <v>4</v>
      </c>
      <c r="C1340" s="0" t="n">
        <v>5428</v>
      </c>
      <c r="D1340" s="0" t="n">
        <v>247</v>
      </c>
      <c r="E1340" s="0" t="n">
        <v>1</v>
      </c>
      <c r="F1340" s="39" t="s">
        <v>857</v>
      </c>
      <c r="G1340" s="0" t="n">
        <v>39.6</v>
      </c>
      <c r="H1340" s="0" t="n">
        <v>39</v>
      </c>
      <c r="I1340" s="39" t="s">
        <v>109</v>
      </c>
      <c r="J1340" s="0" t="n">
        <v>65</v>
      </c>
      <c r="K1340" s="0" t="n">
        <v>65</v>
      </c>
      <c r="L1340" s="0" t="n">
        <v>182</v>
      </c>
      <c r="M1340" s="0" t="n">
        <v>1035.57</v>
      </c>
      <c r="N1340" s="0" t="n">
        <v>78.61</v>
      </c>
      <c r="O1340" s="0" t="n">
        <v>37.5</v>
      </c>
      <c r="P1340" s="0" t="n">
        <v>4.51</v>
      </c>
      <c r="Q1340" s="0" t="n">
        <v>3.53</v>
      </c>
      <c r="R1340" s="0" t="n">
        <v>3444</v>
      </c>
      <c r="S1340" s="0" t="n">
        <v>7248</v>
      </c>
      <c r="T1340" s="0" t="n">
        <v>36.35</v>
      </c>
      <c r="U1340" s="0" t="n">
        <v>931</v>
      </c>
      <c r="V1340" s="0" t="n">
        <v>1</v>
      </c>
      <c r="W1340" s="39" t="n">
        <f aca="false">IF(I1340="Male",0,1)</f>
        <v>1</v>
      </c>
      <c r="X1340" s="39" t="n">
        <f aca="false">IF(OR(I1340="DNB",I1340="Dry DNB"),1,0)</f>
        <v>0</v>
      </c>
      <c r="Y1340" s="39" t="n">
        <f aca="false">MATCH(A1340,DATAS,0)</f>
        <v>1</v>
      </c>
      <c r="Z1340" s="39" t="n">
        <f aca="false">IF(AND(E1340&gt;0,OR(AND(B1340&gt;=1,B1340&lt;=6),B1340=10)),1,0)</f>
        <v>1</v>
      </c>
      <c r="AA1340" s="39" t="n">
        <f aca="false">IF(AND(E1340&gt;0,B1340=10),1,0)</f>
        <v>0</v>
      </c>
      <c r="AB1340" s="0" t="str">
        <f aca="false">IF(AND(C1339=C1340,Y1339=Y1340-1),Z1339,"")</f>
        <v/>
      </c>
      <c r="AC1340" s="0" t="str">
        <f aca="false">IF(AND(C1339=C1340,Y1339=Y1340-1),AA1339,"")</f>
        <v/>
      </c>
      <c r="AD1340" s="0" t="str">
        <f aca="false">IF(Y1340=1,"",IF(AND(Z1340=1,AB1340&lt;&gt;1),1,0))</f>
        <v/>
      </c>
      <c r="AE1340" s="0" t="str">
        <f aca="false">IF(Y1340=1,"",IF(AND(AA1340=1,AC1340&lt;&gt;1),1,0))</f>
        <v/>
      </c>
      <c r="AF1340" s="45" t="str">
        <f aca="false">IF(AND(E1340&gt;0,Y1340&lt;1,NOT(AND(C1341=C1340,Y1341=Y1340+1))),INDEX(DATAS,Y1340+1),"")</f>
        <v/>
      </c>
      <c r="AG1340" s="45" t="str">
        <f aca="false">IF(AND(AA1340=1,Y1340&lt;1),IF(AND(C1341=C1340,Y1341=Y1340+1),IF(AA1341=1,"",INDEX(DATAS,Y1340+1)),INDEX(DATAS,Y1340+1)),"")</f>
        <v/>
      </c>
    </row>
    <row r="1341" customFormat="false" ht="15" hidden="false" customHeight="false" outlineLevel="0" collapsed="false">
      <c r="A1341" s="45" t="n">
        <v>46309</v>
      </c>
      <c r="B1341" s="0" t="n">
        <v>4</v>
      </c>
      <c r="C1341" s="0" t="n">
        <v>5429</v>
      </c>
      <c r="D1341" s="0" t="n">
        <v>258</v>
      </c>
      <c r="E1341" s="0" t="n">
        <v>1</v>
      </c>
      <c r="F1341" s="39" t="s">
        <v>858</v>
      </c>
      <c r="G1341" s="0" t="n">
        <v>32.1</v>
      </c>
      <c r="H1341" s="0" t="n">
        <v>38</v>
      </c>
      <c r="I1341" s="39" t="s">
        <v>109</v>
      </c>
      <c r="J1341" s="0" t="n">
        <v>146</v>
      </c>
      <c r="K1341" s="0" t="n">
        <v>73</v>
      </c>
      <c r="L1341" s="0" t="n">
        <v>112</v>
      </c>
      <c r="M1341" s="0" t="n">
        <v>155.74</v>
      </c>
      <c r="N1341" s="0" t="n">
        <v>18.76</v>
      </c>
      <c r="O1341" s="0" t="n">
        <v>22.47</v>
      </c>
      <c r="P1341" s="0" t="n">
        <v>3.71</v>
      </c>
      <c r="Q1341" s="0" t="n">
        <v>3.87</v>
      </c>
      <c r="R1341" s="0" t="n">
        <v>3107</v>
      </c>
      <c r="S1341" s="0" t="n">
        <v>7368</v>
      </c>
      <c r="T1341" s="0" t="n">
        <v>32.3</v>
      </c>
      <c r="U1341" s="0" t="n">
        <v>930</v>
      </c>
      <c r="V1341" s="0" t="n">
        <v>3</v>
      </c>
      <c r="W1341" s="39" t="n">
        <f aca="false">IF(I1341="Male",0,1)</f>
        <v>1</v>
      </c>
      <c r="X1341" s="39" t="n">
        <f aca="false">IF(OR(I1341="DNB",I1341="Dry DNB"),1,0)</f>
        <v>0</v>
      </c>
      <c r="Y1341" s="39" t="n">
        <f aca="false">MATCH(A1341,DATAS,0)</f>
        <v>1</v>
      </c>
      <c r="Z1341" s="39" t="n">
        <f aca="false">IF(AND(E1341&gt;0,OR(AND(B1341&gt;=1,B1341&lt;=6),B1341=10)),1,0)</f>
        <v>1</v>
      </c>
      <c r="AA1341" s="39" t="n">
        <f aca="false">IF(AND(E1341&gt;0,B1341=10),1,0)</f>
        <v>0</v>
      </c>
      <c r="AB1341" s="0" t="str">
        <f aca="false">IF(AND(C1340=C1341,Y1340=Y1341-1),Z1340,"")</f>
        <v/>
      </c>
      <c r="AC1341" s="0" t="str">
        <f aca="false">IF(AND(C1340=C1341,Y1340=Y1341-1),AA1340,"")</f>
        <v/>
      </c>
      <c r="AD1341" s="0" t="str">
        <f aca="false">IF(Y1341=1,"",IF(AND(Z1341=1,AB1341&lt;&gt;1),1,0))</f>
        <v/>
      </c>
      <c r="AE1341" s="0" t="str">
        <f aca="false">IF(Y1341=1,"",IF(AND(AA1341=1,AC1341&lt;&gt;1),1,0))</f>
        <v/>
      </c>
      <c r="AF1341" s="45" t="str">
        <f aca="false">IF(AND(E1341&gt;0,Y1341&lt;1,NOT(AND(C1342=C1341,Y1342=Y1341+1))),INDEX(DATAS,Y1341+1),"")</f>
        <v/>
      </c>
      <c r="AG1341" s="45" t="str">
        <f aca="false">IF(AND(AA1341=1,Y1341&lt;1),IF(AND(C1342=C1341,Y1342=Y1341+1),IF(AA1342=1,"",INDEX(DATAS,Y1341+1)),INDEX(DATAS,Y1341+1)),"")</f>
        <v/>
      </c>
    </row>
    <row r="1342" customFormat="false" ht="15" hidden="false" customHeight="false" outlineLevel="0" collapsed="false">
      <c r="A1342" s="45" t="n">
        <v>46309</v>
      </c>
      <c r="B1342" s="0" t="n">
        <v>4</v>
      </c>
      <c r="C1342" s="0" t="n">
        <v>5430</v>
      </c>
      <c r="D1342" s="0" t="n">
        <v>184</v>
      </c>
      <c r="E1342" s="0" t="n">
        <v>1</v>
      </c>
      <c r="F1342" s="39" t="s">
        <v>858</v>
      </c>
      <c r="G1342" s="0" t="n">
        <v>48.4</v>
      </c>
      <c r="H1342" s="0" t="n">
        <v>46</v>
      </c>
      <c r="I1342" s="39" t="s">
        <v>109</v>
      </c>
      <c r="J1342" s="0" t="n">
        <v>65</v>
      </c>
      <c r="K1342" s="0" t="n">
        <v>65</v>
      </c>
      <c r="L1342" s="0" t="n">
        <v>119</v>
      </c>
      <c r="M1342" s="0" t="n">
        <v>732.78</v>
      </c>
      <c r="N1342" s="0" t="n">
        <v>74.15</v>
      </c>
      <c r="O1342" s="0" t="n">
        <v>39.61</v>
      </c>
      <c r="P1342" s="0" t="n">
        <v>3.67</v>
      </c>
      <c r="Q1342" s="0" t="n">
        <v>3.7</v>
      </c>
      <c r="R1342" s="0" t="n">
        <v>4119</v>
      </c>
      <c r="S1342" s="0" t="n">
        <v>9128</v>
      </c>
      <c r="T1342" s="0" t="n">
        <v>42.25</v>
      </c>
      <c r="U1342" s="0" t="n">
        <v>930</v>
      </c>
      <c r="V1342" s="0" t="n">
        <v>1</v>
      </c>
      <c r="W1342" s="39" t="n">
        <f aca="false">IF(I1342="Male",0,1)</f>
        <v>1</v>
      </c>
      <c r="X1342" s="39" t="n">
        <f aca="false">IF(OR(I1342="DNB",I1342="Dry DNB"),1,0)</f>
        <v>0</v>
      </c>
      <c r="Y1342" s="39" t="n">
        <f aca="false">MATCH(A1342,DATAS,0)</f>
        <v>1</v>
      </c>
      <c r="Z1342" s="39" t="n">
        <f aca="false">IF(AND(E1342&gt;0,OR(AND(B1342&gt;=1,B1342&lt;=6),B1342=10)),1,0)</f>
        <v>1</v>
      </c>
      <c r="AA1342" s="39" t="n">
        <f aca="false">IF(AND(E1342&gt;0,B1342=10),1,0)</f>
        <v>0</v>
      </c>
      <c r="AB1342" s="0" t="str">
        <f aca="false">IF(AND(C1341=C1342,Y1341=Y1342-1),Z1341,"")</f>
        <v/>
      </c>
      <c r="AC1342" s="0" t="str">
        <f aca="false">IF(AND(C1341=C1342,Y1341=Y1342-1),AA1341,"")</f>
        <v/>
      </c>
      <c r="AD1342" s="0" t="str">
        <f aca="false">IF(Y1342=1,"",IF(AND(Z1342=1,AB1342&lt;&gt;1),1,0))</f>
        <v/>
      </c>
      <c r="AE1342" s="0" t="str">
        <f aca="false">IF(Y1342=1,"",IF(AND(AA1342=1,AC1342&lt;&gt;1),1,0))</f>
        <v/>
      </c>
      <c r="AF1342" s="45" t="str">
        <f aca="false">IF(AND(E1342&gt;0,Y1342&lt;1,NOT(AND(C1343=C1342,Y1343=Y1342+1))),INDEX(DATAS,Y1342+1),"")</f>
        <v/>
      </c>
      <c r="AG1342" s="45" t="str">
        <f aca="false">IF(AND(AA1342=1,Y1342&lt;1),IF(AND(C1343=C1342,Y1343=Y1342+1),IF(AA1343=1,"",INDEX(DATAS,Y1342+1)),INDEX(DATAS,Y1342+1)),"")</f>
        <v/>
      </c>
    </row>
    <row r="1343" customFormat="false" ht="15" hidden="false" customHeight="false" outlineLevel="0" collapsed="false">
      <c r="A1343" s="45" t="n">
        <v>46309</v>
      </c>
      <c r="B1343" s="0" t="n">
        <v>7</v>
      </c>
      <c r="C1343" s="0" t="n">
        <v>5432</v>
      </c>
      <c r="D1343" s="0" t="n">
        <v>295</v>
      </c>
      <c r="E1343" s="0" t="n">
        <v>1</v>
      </c>
      <c r="F1343" s="39" t="s">
        <v>858</v>
      </c>
      <c r="G1343" s="0" t="n">
        <v>12.6</v>
      </c>
      <c r="H1343" s="0" t="n">
        <v>37</v>
      </c>
      <c r="I1343" s="39" t="s">
        <v>114</v>
      </c>
      <c r="J1343" s="0" t="n">
        <v>72</v>
      </c>
      <c r="K1343" s="0" t="n">
        <v>72</v>
      </c>
      <c r="L1343" s="0" t="n">
        <v>224</v>
      </c>
      <c r="M1343" s="0" t="n">
        <v>820.94</v>
      </c>
      <c r="N1343" s="0" t="n">
        <v>84.09</v>
      </c>
      <c r="O1343" s="0" t="n">
        <v>37.29</v>
      </c>
      <c r="P1343" s="0" t="n">
        <v>3.55</v>
      </c>
      <c r="Q1343" s="0" t="n">
        <v>3.4</v>
      </c>
      <c r="R1343" s="0" t="n">
        <v>4171</v>
      </c>
      <c r="S1343" s="0" t="n">
        <v>9525</v>
      </c>
      <c r="T1343" s="0" t="n">
        <v>43.35</v>
      </c>
      <c r="U1343" s="0" t="n">
        <v>930</v>
      </c>
      <c r="V1343" s="0" t="n">
        <v>1</v>
      </c>
      <c r="W1343" s="39" t="n">
        <f aca="false">IF(I1343="Male",0,1)</f>
        <v>1</v>
      </c>
      <c r="X1343" s="39" t="n">
        <f aca="false">IF(OR(I1343="DNB",I1343="Dry DNB"),1,0)</f>
        <v>0</v>
      </c>
      <c r="Y1343" s="39" t="n">
        <f aca="false">MATCH(A1343,DATAS,0)</f>
        <v>1</v>
      </c>
      <c r="Z1343" s="39" t="n">
        <f aca="false">IF(AND(E1343&gt;0,OR(AND(B1343&gt;=1,B1343&lt;=6),B1343=10)),1,0)</f>
        <v>0</v>
      </c>
      <c r="AA1343" s="39" t="n">
        <f aca="false">IF(AND(E1343&gt;0,B1343=10),1,0)</f>
        <v>0</v>
      </c>
      <c r="AB1343" s="0" t="str">
        <f aca="false">IF(AND(C1342=C1343,Y1342=Y1343-1),Z1342,"")</f>
        <v/>
      </c>
      <c r="AC1343" s="0" t="str">
        <f aca="false">IF(AND(C1342=C1343,Y1342=Y1343-1),AA1342,"")</f>
        <v/>
      </c>
      <c r="AD1343" s="0" t="str">
        <f aca="false">IF(Y1343=1,"",IF(AND(Z1343=1,AB1343&lt;&gt;1),1,0))</f>
        <v/>
      </c>
      <c r="AE1343" s="0" t="str">
        <f aca="false">IF(Y1343=1,"",IF(AND(AA1343=1,AC1343&lt;&gt;1),1,0))</f>
        <v/>
      </c>
      <c r="AF1343" s="45" t="str">
        <f aca="false">IF(AND(E1343&gt;0,Y1343&lt;1,NOT(AND(C1344=C1343,Y1344=Y1343+1))),INDEX(DATAS,Y1343+1),"")</f>
        <v/>
      </c>
      <c r="AG1343" s="45" t="str">
        <f aca="false">IF(AND(AA1343=1,Y1343&lt;1),IF(AND(C1344=C1343,Y1344=Y1343+1),IF(AA1344=1,"",INDEX(DATAS,Y1343+1)),INDEX(DATAS,Y1343+1)),"")</f>
        <v/>
      </c>
    </row>
    <row r="1344" customFormat="false" ht="15" hidden="false" customHeight="false" outlineLevel="0" collapsed="false">
      <c r="A1344" s="45" t="n">
        <v>46309</v>
      </c>
      <c r="B1344" s="0" t="n">
        <v>5</v>
      </c>
      <c r="C1344" s="0" t="n">
        <v>5433</v>
      </c>
      <c r="D1344" s="0" t="n">
        <v>277</v>
      </c>
      <c r="E1344" s="0" t="n">
        <v>1</v>
      </c>
      <c r="F1344" s="39" t="s">
        <v>858</v>
      </c>
      <c r="G1344" s="0" t="n">
        <v>40.4</v>
      </c>
      <c r="H1344" s="0" t="n">
        <v>38</v>
      </c>
      <c r="I1344" s="39" t="s">
        <v>109</v>
      </c>
      <c r="J1344" s="0" t="n">
        <v>67</v>
      </c>
      <c r="K1344" s="0" t="n">
        <v>67</v>
      </c>
      <c r="L1344" s="0" t="n">
        <v>210</v>
      </c>
      <c r="M1344" s="0" t="n">
        <v>973.89</v>
      </c>
      <c r="N1344" s="0" t="n">
        <v>19.11</v>
      </c>
      <c r="O1344" s="0" t="n">
        <v>25.35</v>
      </c>
      <c r="P1344" s="0" t="n">
        <v>2.97</v>
      </c>
      <c r="Q1344" s="0" t="n">
        <v>3.81</v>
      </c>
      <c r="R1344" s="0" t="n">
        <v>3868</v>
      </c>
      <c r="S1344" s="0" t="n">
        <v>9343</v>
      </c>
      <c r="T1344" s="0" t="n">
        <v>31.6</v>
      </c>
      <c r="U1344" s="0" t="n">
        <v>930</v>
      </c>
      <c r="V1344" s="0" t="n">
        <v>1</v>
      </c>
      <c r="W1344" s="39" t="n">
        <f aca="false">IF(I1344="Male",0,1)</f>
        <v>1</v>
      </c>
      <c r="X1344" s="39" t="n">
        <f aca="false">IF(OR(I1344="DNB",I1344="Dry DNB"),1,0)</f>
        <v>0</v>
      </c>
      <c r="Y1344" s="39" t="n">
        <f aca="false">MATCH(A1344,DATAS,0)</f>
        <v>1</v>
      </c>
      <c r="Z1344" s="39" t="n">
        <f aca="false">IF(AND(E1344&gt;0,OR(AND(B1344&gt;=1,B1344&lt;=6),B1344=10)),1,0)</f>
        <v>1</v>
      </c>
      <c r="AA1344" s="39" t="n">
        <f aca="false">IF(AND(E1344&gt;0,B1344=10),1,0)</f>
        <v>0</v>
      </c>
      <c r="AB1344" s="0" t="str">
        <f aca="false">IF(AND(C1343=C1344,Y1343=Y1344-1),Z1343,"")</f>
        <v/>
      </c>
      <c r="AC1344" s="0" t="str">
        <f aca="false">IF(AND(C1343=C1344,Y1343=Y1344-1),AA1343,"")</f>
        <v/>
      </c>
      <c r="AD1344" s="0" t="str">
        <f aca="false">IF(Y1344=1,"",IF(AND(Z1344=1,AB1344&lt;&gt;1),1,0))</f>
        <v/>
      </c>
      <c r="AE1344" s="0" t="str">
        <f aca="false">IF(Y1344=1,"",IF(AND(AA1344=1,AC1344&lt;&gt;1),1,0))</f>
        <v/>
      </c>
      <c r="AF1344" s="45" t="str">
        <f aca="false">IF(AND(E1344&gt;0,Y1344&lt;1,NOT(AND(C1345=C1344,Y1345=Y1344+1))),INDEX(DATAS,Y1344+1),"")</f>
        <v/>
      </c>
      <c r="AG1344" s="45" t="str">
        <f aca="false">IF(AND(AA1344=1,Y1344&lt;1),IF(AND(C1345=C1344,Y1345=Y1344+1),IF(AA1345=1,"",INDEX(DATAS,Y1344+1)),INDEX(DATAS,Y1344+1)),"")</f>
        <v/>
      </c>
    </row>
    <row r="1345" customFormat="false" ht="15" hidden="false" customHeight="false" outlineLevel="0" collapsed="false">
      <c r="A1345" s="45" t="n">
        <v>46309</v>
      </c>
      <c r="B1345" s="0" t="n">
        <v>7</v>
      </c>
      <c r="C1345" s="0" t="n">
        <v>5434</v>
      </c>
      <c r="D1345" s="0" t="n">
        <v>274</v>
      </c>
      <c r="E1345" s="0" t="n">
        <v>1</v>
      </c>
      <c r="F1345" s="39" t="s">
        <v>859</v>
      </c>
      <c r="I1345" s="39" t="s">
        <v>114</v>
      </c>
      <c r="J1345" s="0" t="n">
        <v>51</v>
      </c>
      <c r="K1345" s="0" t="n">
        <v>51</v>
      </c>
      <c r="L1345" s="0" t="n">
        <v>238</v>
      </c>
      <c r="M1345" s="0" t="n">
        <v>1248.37</v>
      </c>
      <c r="N1345" s="0" t="n">
        <v>72.12</v>
      </c>
      <c r="O1345" s="0" t="n">
        <v>52.61</v>
      </c>
      <c r="P1345" s="0" t="n">
        <v>4.7</v>
      </c>
      <c r="Q1345" s="0" t="n">
        <v>3.7</v>
      </c>
      <c r="R1345" s="0" t="n">
        <v>4410</v>
      </c>
      <c r="S1345" s="0" t="n">
        <v>8960</v>
      </c>
      <c r="T1345" s="0" t="n">
        <v>46.3</v>
      </c>
      <c r="U1345" s="0" t="n">
        <v>929</v>
      </c>
      <c r="V1345" s="0" t="n">
        <v>1</v>
      </c>
      <c r="W1345" s="39" t="n">
        <f aca="false">IF(I1345="Male",0,1)</f>
        <v>1</v>
      </c>
      <c r="X1345" s="39" t="n">
        <f aca="false">IF(OR(I1345="DNB",I1345="Dry DNB"),1,0)</f>
        <v>0</v>
      </c>
      <c r="Y1345" s="39" t="n">
        <f aca="false">MATCH(A1345,DATAS,0)</f>
        <v>1</v>
      </c>
      <c r="Z1345" s="39" t="n">
        <f aca="false">IF(AND(E1345&gt;0,OR(AND(B1345&gt;=1,B1345&lt;=6),B1345=10)),1,0)</f>
        <v>0</v>
      </c>
      <c r="AA1345" s="39" t="n">
        <f aca="false">IF(AND(E1345&gt;0,B1345=10),1,0)</f>
        <v>0</v>
      </c>
      <c r="AB1345" s="0" t="str">
        <f aca="false">IF(AND(C1344=C1345,Y1344=Y1345-1),Z1344,"")</f>
        <v/>
      </c>
      <c r="AC1345" s="0" t="str">
        <f aca="false">IF(AND(C1344=C1345,Y1344=Y1345-1),AA1344,"")</f>
        <v/>
      </c>
      <c r="AD1345" s="0" t="str">
        <f aca="false">IF(Y1345=1,"",IF(AND(Z1345=1,AB1345&lt;&gt;1),1,0))</f>
        <v/>
      </c>
      <c r="AE1345" s="0" t="str">
        <f aca="false">IF(Y1345=1,"",IF(AND(AA1345=1,AC1345&lt;&gt;1),1,0))</f>
        <v/>
      </c>
      <c r="AF1345" s="45" t="str">
        <f aca="false">IF(AND(E1345&gt;0,Y1345&lt;1,NOT(AND(C1346=C1345,Y1346=Y1345+1))),INDEX(DATAS,Y1345+1),"")</f>
        <v/>
      </c>
      <c r="AG1345" s="45" t="str">
        <f aca="false">IF(AND(AA1345=1,Y1345&lt;1),IF(AND(C1346=C1345,Y1346=Y1345+1),IF(AA1346=1,"",INDEX(DATAS,Y1345+1)),INDEX(DATAS,Y1345+1)),"")</f>
        <v/>
      </c>
    </row>
    <row r="1346" customFormat="false" ht="15" hidden="false" customHeight="false" outlineLevel="0" collapsed="false">
      <c r="A1346" s="45" t="n">
        <v>46309</v>
      </c>
      <c r="B1346" s="0" t="n">
        <v>4</v>
      </c>
      <c r="C1346" s="0" t="n">
        <v>5435</v>
      </c>
      <c r="D1346" s="0" t="n">
        <v>264</v>
      </c>
      <c r="E1346" s="0" t="n">
        <v>1</v>
      </c>
      <c r="F1346" s="39" t="s">
        <v>859</v>
      </c>
      <c r="G1346" s="0" t="n">
        <v>36.2</v>
      </c>
      <c r="H1346" s="0" t="n">
        <v>50</v>
      </c>
      <c r="I1346" s="39" t="s">
        <v>109</v>
      </c>
      <c r="J1346" s="0" t="n">
        <v>68</v>
      </c>
      <c r="K1346" s="0" t="n">
        <v>68</v>
      </c>
      <c r="L1346" s="0" t="n">
        <v>196</v>
      </c>
      <c r="M1346" s="0" t="n">
        <v>1171.63</v>
      </c>
      <c r="N1346" s="0" t="n">
        <v>74.15</v>
      </c>
      <c r="O1346" s="0" t="n">
        <v>33.04</v>
      </c>
      <c r="P1346" s="0" t="n">
        <v>3.01</v>
      </c>
      <c r="Q1346" s="0" t="n">
        <v>2.96</v>
      </c>
      <c r="R1346" s="0" t="n">
        <v>5143</v>
      </c>
      <c r="S1346" s="0" t="n">
        <v>11636</v>
      </c>
      <c r="T1346" s="0" t="n">
        <v>55.05</v>
      </c>
      <c r="U1346" s="0" t="n">
        <v>929</v>
      </c>
      <c r="V1346" s="0" t="n">
        <v>1</v>
      </c>
      <c r="W1346" s="39" t="n">
        <f aca="false">IF(I1346="Male",0,1)</f>
        <v>1</v>
      </c>
      <c r="X1346" s="39" t="n">
        <f aca="false">IF(OR(I1346="DNB",I1346="Dry DNB"),1,0)</f>
        <v>0</v>
      </c>
      <c r="Y1346" s="39" t="n">
        <f aca="false">MATCH(A1346,DATAS,0)</f>
        <v>1</v>
      </c>
      <c r="Z1346" s="39" t="n">
        <f aca="false">IF(AND(E1346&gt;0,OR(AND(B1346&gt;=1,B1346&lt;=6),B1346=10)),1,0)</f>
        <v>1</v>
      </c>
      <c r="AA1346" s="39" t="n">
        <f aca="false">IF(AND(E1346&gt;0,B1346=10),1,0)</f>
        <v>0</v>
      </c>
      <c r="AB1346" s="0" t="str">
        <f aca="false">IF(AND(C1345=C1346,Y1345=Y1346-1),Z1345,"")</f>
        <v/>
      </c>
      <c r="AC1346" s="0" t="str">
        <f aca="false">IF(AND(C1345=C1346,Y1345=Y1346-1),AA1345,"")</f>
        <v/>
      </c>
      <c r="AD1346" s="0" t="str">
        <f aca="false">IF(Y1346=1,"",IF(AND(Z1346=1,AB1346&lt;&gt;1),1,0))</f>
        <v/>
      </c>
      <c r="AE1346" s="0" t="str">
        <f aca="false">IF(Y1346=1,"",IF(AND(AA1346=1,AC1346&lt;&gt;1),1,0))</f>
        <v/>
      </c>
      <c r="AF1346" s="45" t="str">
        <f aca="false">IF(AND(E1346&gt;0,Y1346&lt;1,NOT(AND(C1347=C1346,Y1347=Y1346+1))),INDEX(DATAS,Y1346+1),"")</f>
        <v/>
      </c>
      <c r="AG1346" s="45" t="str">
        <f aca="false">IF(AND(AA1346=1,Y1346&lt;1),IF(AND(C1347=C1346,Y1347=Y1346+1),IF(AA1347=1,"",INDEX(DATAS,Y1346+1)),INDEX(DATAS,Y1346+1)),"")</f>
        <v/>
      </c>
    </row>
    <row r="1347" customFormat="false" ht="15" hidden="false" customHeight="false" outlineLevel="0" collapsed="false">
      <c r="A1347" s="45" t="n">
        <v>46309</v>
      </c>
      <c r="B1347" s="0" t="n">
        <v>4</v>
      </c>
      <c r="C1347" s="0" t="n">
        <v>5437</v>
      </c>
      <c r="D1347" s="0" t="n">
        <v>267</v>
      </c>
      <c r="E1347" s="0" t="n">
        <v>1</v>
      </c>
      <c r="F1347" s="39" t="s">
        <v>860</v>
      </c>
      <c r="G1347" s="0" t="n">
        <v>45.1</v>
      </c>
      <c r="H1347" s="0" t="n">
        <v>45</v>
      </c>
      <c r="I1347" s="39" t="s">
        <v>109</v>
      </c>
      <c r="J1347" s="0" t="n">
        <v>134</v>
      </c>
      <c r="K1347" s="0" t="n">
        <v>85</v>
      </c>
      <c r="L1347" s="0" t="n">
        <v>133</v>
      </c>
      <c r="M1347" s="0" t="n">
        <v>688.57</v>
      </c>
      <c r="N1347" s="0" t="n">
        <v>78.59</v>
      </c>
      <c r="O1347" s="0" t="n">
        <v>40.82</v>
      </c>
      <c r="P1347" s="0" t="n">
        <v>3.53</v>
      </c>
      <c r="Q1347" s="0" t="n">
        <v>3.77</v>
      </c>
      <c r="R1347" s="0" t="n">
        <v>4434</v>
      </c>
      <c r="S1347" s="0" t="n">
        <v>8837</v>
      </c>
      <c r="T1347" s="0" t="n">
        <v>45.35</v>
      </c>
      <c r="U1347" s="0" t="n">
        <v>928</v>
      </c>
      <c r="V1347" s="0" t="n">
        <v>2</v>
      </c>
      <c r="W1347" s="39" t="n">
        <f aca="false">IF(I1347="Male",0,1)</f>
        <v>1</v>
      </c>
      <c r="X1347" s="39" t="n">
        <f aca="false">IF(OR(I1347="DNB",I1347="Dry DNB"),1,0)</f>
        <v>0</v>
      </c>
      <c r="Y1347" s="39" t="n">
        <f aca="false">MATCH(A1347,DATAS,0)</f>
        <v>1</v>
      </c>
      <c r="Z1347" s="39" t="n">
        <f aca="false">IF(AND(E1347&gt;0,OR(AND(B1347&gt;=1,B1347&lt;=6),B1347=10)),1,0)</f>
        <v>1</v>
      </c>
      <c r="AA1347" s="39" t="n">
        <f aca="false">IF(AND(E1347&gt;0,B1347=10),1,0)</f>
        <v>0</v>
      </c>
      <c r="AB1347" s="0" t="str">
        <f aca="false">IF(AND(C1346=C1347,Y1346=Y1347-1),Z1346,"")</f>
        <v/>
      </c>
      <c r="AC1347" s="0" t="str">
        <f aca="false">IF(AND(C1346=C1347,Y1346=Y1347-1),AA1346,"")</f>
        <v/>
      </c>
      <c r="AD1347" s="0" t="str">
        <f aca="false">IF(Y1347=1,"",IF(AND(Z1347=1,AB1347&lt;&gt;1),1,0))</f>
        <v/>
      </c>
      <c r="AE1347" s="0" t="str">
        <f aca="false">IF(Y1347=1,"",IF(AND(AA1347=1,AC1347&lt;&gt;1),1,0))</f>
        <v/>
      </c>
      <c r="AF1347" s="45" t="str">
        <f aca="false">IF(AND(E1347&gt;0,Y1347&lt;1,NOT(AND(C1348=C1347,Y1348=Y1347+1))),INDEX(DATAS,Y1347+1),"")</f>
        <v/>
      </c>
      <c r="AG1347" s="45" t="str">
        <f aca="false">IF(AND(AA1347=1,Y1347&lt;1),IF(AND(C1348=C1347,Y1348=Y1347+1),IF(AA1348=1,"",INDEX(DATAS,Y1347+1)),INDEX(DATAS,Y1347+1)),"")</f>
        <v/>
      </c>
    </row>
    <row r="1348" customFormat="false" ht="15" hidden="false" customHeight="false" outlineLevel="0" collapsed="false">
      <c r="A1348" s="45" t="n">
        <v>46309</v>
      </c>
      <c r="B1348" s="0" t="n">
        <v>4</v>
      </c>
      <c r="C1348" s="0" t="n">
        <v>5440</v>
      </c>
      <c r="D1348" s="0" t="n">
        <v>276</v>
      </c>
      <c r="E1348" s="0" t="n">
        <v>1</v>
      </c>
      <c r="F1348" s="39" t="s">
        <v>861</v>
      </c>
      <c r="G1348" s="0" t="n">
        <v>37.1</v>
      </c>
      <c r="H1348" s="0" t="n">
        <v>42</v>
      </c>
      <c r="I1348" s="39" t="s">
        <v>109</v>
      </c>
      <c r="J1348" s="0" t="n">
        <v>101</v>
      </c>
      <c r="K1348" s="0" t="n">
        <v>66</v>
      </c>
      <c r="L1348" s="0" t="n">
        <v>175</v>
      </c>
      <c r="M1348" s="0" t="n">
        <v>1333.58</v>
      </c>
      <c r="N1348" s="0" t="n">
        <v>31.5</v>
      </c>
      <c r="O1348" s="0" t="n">
        <v>32.21</v>
      </c>
      <c r="P1348" s="0" t="n">
        <v>3.05</v>
      </c>
      <c r="Q1348" s="0" t="n">
        <v>3.1</v>
      </c>
      <c r="R1348" s="0" t="n">
        <v>4486</v>
      </c>
      <c r="S1348" s="0" t="n">
        <v>9990</v>
      </c>
      <c r="T1348" s="0" t="n">
        <v>44.35</v>
      </c>
      <c r="U1348" s="0" t="n">
        <v>927</v>
      </c>
      <c r="V1348" s="0" t="n">
        <v>2</v>
      </c>
      <c r="W1348" s="39" t="n">
        <f aca="false">IF(I1348="Male",0,1)</f>
        <v>1</v>
      </c>
      <c r="X1348" s="39" t="n">
        <f aca="false">IF(OR(I1348="DNB",I1348="Dry DNB"),1,0)</f>
        <v>0</v>
      </c>
      <c r="Y1348" s="39" t="n">
        <f aca="false">MATCH(A1348,DATAS,0)</f>
        <v>1</v>
      </c>
      <c r="Z1348" s="39" t="n">
        <f aca="false">IF(AND(E1348&gt;0,OR(AND(B1348&gt;=1,B1348&lt;=6),B1348=10)),1,0)</f>
        <v>1</v>
      </c>
      <c r="AA1348" s="39" t="n">
        <f aca="false">IF(AND(E1348&gt;0,B1348=10),1,0)</f>
        <v>0</v>
      </c>
      <c r="AB1348" s="0" t="str">
        <f aca="false">IF(AND(C1347=C1348,Y1347=Y1348-1),Z1347,"")</f>
        <v/>
      </c>
      <c r="AC1348" s="0" t="str">
        <f aca="false">IF(AND(C1347=C1348,Y1347=Y1348-1),AA1347,"")</f>
        <v/>
      </c>
      <c r="AD1348" s="0" t="str">
        <f aca="false">IF(Y1348=1,"",IF(AND(Z1348=1,AB1348&lt;&gt;1),1,0))</f>
        <v/>
      </c>
      <c r="AE1348" s="0" t="str">
        <f aca="false">IF(Y1348=1,"",IF(AND(AA1348=1,AC1348&lt;&gt;1),1,0))</f>
        <v/>
      </c>
      <c r="AF1348" s="45" t="str">
        <f aca="false">IF(AND(E1348&gt;0,Y1348&lt;1,NOT(AND(C1349=C1348,Y1349=Y1348+1))),INDEX(DATAS,Y1348+1),"")</f>
        <v/>
      </c>
      <c r="AG1348" s="45" t="str">
        <f aca="false">IF(AND(AA1348=1,Y1348&lt;1),IF(AND(C1349=C1348,Y1349=Y1348+1),IF(AA1349=1,"",INDEX(DATAS,Y1348+1)),INDEX(DATAS,Y1348+1)),"")</f>
        <v/>
      </c>
    </row>
    <row r="1349" customFormat="false" ht="15" hidden="false" customHeight="false" outlineLevel="0" collapsed="false">
      <c r="A1349" s="45" t="n">
        <v>46309</v>
      </c>
      <c r="B1349" s="0" t="n">
        <v>4</v>
      </c>
      <c r="C1349" s="0" t="n">
        <v>5442</v>
      </c>
      <c r="D1349" s="0" t="n">
        <v>266</v>
      </c>
      <c r="E1349" s="0" t="n">
        <v>1</v>
      </c>
      <c r="F1349" s="39" t="s">
        <v>861</v>
      </c>
      <c r="G1349" s="0" t="n">
        <v>45.1</v>
      </c>
      <c r="H1349" s="0" t="n">
        <v>46</v>
      </c>
      <c r="I1349" s="39" t="s">
        <v>109</v>
      </c>
      <c r="J1349" s="0" t="n">
        <v>98</v>
      </c>
      <c r="K1349" s="0" t="n">
        <v>63</v>
      </c>
      <c r="L1349" s="0" t="n">
        <v>168</v>
      </c>
      <c r="M1349" s="0" t="n">
        <v>281.41</v>
      </c>
      <c r="N1349" s="0" t="n">
        <v>39.24</v>
      </c>
      <c r="O1349" s="0" t="n">
        <v>20.39</v>
      </c>
      <c r="P1349" s="0" t="n">
        <v>4.43</v>
      </c>
      <c r="Q1349" s="0" t="n">
        <v>3.48</v>
      </c>
      <c r="R1349" s="0" t="n">
        <v>4357</v>
      </c>
      <c r="S1349" s="0" t="n">
        <v>10148</v>
      </c>
      <c r="T1349" s="0" t="n">
        <v>47.4</v>
      </c>
      <c r="U1349" s="0" t="n">
        <v>927</v>
      </c>
      <c r="V1349" s="0" t="n">
        <v>2</v>
      </c>
      <c r="W1349" s="39" t="n">
        <f aca="false">IF(I1349="Male",0,1)</f>
        <v>1</v>
      </c>
      <c r="X1349" s="39" t="n">
        <f aca="false">IF(OR(I1349="DNB",I1349="Dry DNB"),1,0)</f>
        <v>0</v>
      </c>
      <c r="Y1349" s="39" t="n">
        <f aca="false">MATCH(A1349,DATAS,0)</f>
        <v>1</v>
      </c>
      <c r="Z1349" s="39" t="n">
        <f aca="false">IF(AND(E1349&gt;0,OR(AND(B1349&gt;=1,B1349&lt;=6),B1349=10)),1,0)</f>
        <v>1</v>
      </c>
      <c r="AA1349" s="39" t="n">
        <f aca="false">IF(AND(E1349&gt;0,B1349=10),1,0)</f>
        <v>0</v>
      </c>
      <c r="AB1349" s="0" t="str">
        <f aca="false">IF(AND(C1348=C1349,Y1348=Y1349-1),Z1348,"")</f>
        <v/>
      </c>
      <c r="AC1349" s="0" t="str">
        <f aca="false">IF(AND(C1348=C1349,Y1348=Y1349-1),AA1348,"")</f>
        <v/>
      </c>
      <c r="AD1349" s="0" t="str">
        <f aca="false">IF(Y1349=1,"",IF(AND(Z1349=1,AB1349&lt;&gt;1),1,0))</f>
        <v/>
      </c>
      <c r="AE1349" s="0" t="str">
        <f aca="false">IF(Y1349=1,"",IF(AND(AA1349=1,AC1349&lt;&gt;1),1,0))</f>
        <v/>
      </c>
      <c r="AF1349" s="45" t="str">
        <f aca="false">IF(AND(E1349&gt;0,Y1349&lt;1,NOT(AND(C1350=C1349,Y1350=Y1349+1))),INDEX(DATAS,Y1349+1),"")</f>
        <v/>
      </c>
      <c r="AG1349" s="45" t="str">
        <f aca="false">IF(AND(AA1349=1,Y1349&lt;1),IF(AND(C1350=C1349,Y1350=Y1349+1),IF(AA1350=1,"",INDEX(DATAS,Y1349+1)),INDEX(DATAS,Y1349+1)),"")</f>
        <v/>
      </c>
    </row>
    <row r="1350" customFormat="false" ht="15" hidden="false" customHeight="false" outlineLevel="0" collapsed="false">
      <c r="A1350" s="45" t="n">
        <v>46309</v>
      </c>
      <c r="B1350" s="0" t="n">
        <v>4</v>
      </c>
      <c r="C1350" s="0" t="n">
        <v>5443</v>
      </c>
      <c r="D1350" s="0" t="n">
        <v>229</v>
      </c>
      <c r="E1350" s="0" t="n">
        <v>1</v>
      </c>
      <c r="F1350" s="39" t="s">
        <v>862</v>
      </c>
      <c r="G1350" s="0" t="n">
        <v>45.1</v>
      </c>
      <c r="H1350" s="0" t="n">
        <v>43</v>
      </c>
      <c r="I1350" s="39" t="s">
        <v>109</v>
      </c>
      <c r="J1350" s="0" t="n">
        <v>68</v>
      </c>
      <c r="K1350" s="0" t="n">
        <v>68</v>
      </c>
      <c r="L1350" s="0" t="n">
        <v>161</v>
      </c>
      <c r="M1350" s="0" t="n">
        <v>243.33</v>
      </c>
      <c r="N1350" s="0" t="n">
        <v>61.24</v>
      </c>
      <c r="O1350" s="0" t="n">
        <v>23.69</v>
      </c>
      <c r="P1350" s="0" t="n">
        <v>2.69</v>
      </c>
      <c r="Q1350" s="0" t="n">
        <v>3.39</v>
      </c>
      <c r="R1350" s="0" t="n">
        <v>4554</v>
      </c>
      <c r="S1350" s="0" t="n">
        <v>9999</v>
      </c>
      <c r="T1350" s="0" t="n">
        <v>47.7</v>
      </c>
      <c r="U1350" s="0" t="n">
        <v>926</v>
      </c>
      <c r="V1350" s="0" t="n">
        <v>1</v>
      </c>
      <c r="W1350" s="39" t="n">
        <f aca="false">IF(I1350="Male",0,1)</f>
        <v>1</v>
      </c>
      <c r="X1350" s="39" t="n">
        <f aca="false">IF(OR(I1350="DNB",I1350="Dry DNB"),1,0)</f>
        <v>0</v>
      </c>
      <c r="Y1350" s="39" t="n">
        <f aca="false">MATCH(A1350,DATAS,0)</f>
        <v>1</v>
      </c>
      <c r="Z1350" s="39" t="n">
        <f aca="false">IF(AND(E1350&gt;0,OR(AND(B1350&gt;=1,B1350&lt;=6),B1350=10)),1,0)</f>
        <v>1</v>
      </c>
      <c r="AA1350" s="39" t="n">
        <f aca="false">IF(AND(E1350&gt;0,B1350=10),1,0)</f>
        <v>0</v>
      </c>
      <c r="AB1350" s="0" t="str">
        <f aca="false">IF(AND(C1349=C1350,Y1349=Y1350-1),Z1349,"")</f>
        <v/>
      </c>
      <c r="AC1350" s="0" t="str">
        <f aca="false">IF(AND(C1349=C1350,Y1349=Y1350-1),AA1349,"")</f>
        <v/>
      </c>
      <c r="AD1350" s="0" t="str">
        <f aca="false">IF(Y1350=1,"",IF(AND(Z1350=1,AB1350&lt;&gt;1),1,0))</f>
        <v/>
      </c>
      <c r="AE1350" s="0" t="str">
        <f aca="false">IF(Y1350=1,"",IF(AND(AA1350=1,AC1350&lt;&gt;1),1,0))</f>
        <v/>
      </c>
      <c r="AF1350" s="45" t="str">
        <f aca="false">IF(AND(E1350&gt;0,Y1350&lt;1,NOT(AND(C1351=C1350,Y1351=Y1350+1))),INDEX(DATAS,Y1350+1),"")</f>
        <v/>
      </c>
      <c r="AG1350" s="45" t="str">
        <f aca="false">IF(AND(AA1350=1,Y1350&lt;1),IF(AND(C1351=C1350,Y1351=Y1350+1),IF(AA1351=1,"",INDEX(DATAS,Y1350+1)),INDEX(DATAS,Y1350+1)),"")</f>
        <v/>
      </c>
    </row>
    <row r="1351" customFormat="false" ht="15" hidden="false" customHeight="false" outlineLevel="0" collapsed="false">
      <c r="A1351" s="45" t="n">
        <v>46309</v>
      </c>
      <c r="B1351" s="0" t="n">
        <v>6</v>
      </c>
      <c r="C1351" s="0" t="n">
        <v>5444</v>
      </c>
      <c r="D1351" s="0" t="n">
        <v>264</v>
      </c>
      <c r="E1351" s="0" t="n">
        <v>1</v>
      </c>
      <c r="F1351" s="39" t="s">
        <v>863</v>
      </c>
      <c r="G1351" s="0" t="n">
        <v>28.2</v>
      </c>
      <c r="H1351" s="0" t="n">
        <v>23</v>
      </c>
      <c r="I1351" s="39" t="s">
        <v>109</v>
      </c>
      <c r="J1351" s="0" t="n">
        <v>90</v>
      </c>
      <c r="K1351" s="0" t="n">
        <v>68</v>
      </c>
      <c r="L1351" s="0" t="n">
        <v>174</v>
      </c>
      <c r="M1351" s="0" t="n">
        <v>342.13</v>
      </c>
      <c r="N1351" s="0" t="n">
        <v>78.07</v>
      </c>
      <c r="O1351" s="0" t="n">
        <v>44.52</v>
      </c>
      <c r="P1351" s="0" t="n">
        <v>4.58</v>
      </c>
      <c r="Q1351" s="0" t="n">
        <v>4.07</v>
      </c>
      <c r="R1351" s="0" t="n">
        <v>3409</v>
      </c>
      <c r="S1351" s="0" t="n">
        <v>7326</v>
      </c>
      <c r="T1351" s="0" t="n">
        <v>34.55</v>
      </c>
      <c r="U1351" s="0" t="n">
        <v>925</v>
      </c>
      <c r="V1351" s="0" t="n">
        <v>2</v>
      </c>
      <c r="W1351" s="39" t="n">
        <f aca="false">IF(I1351="Male",0,1)</f>
        <v>1</v>
      </c>
      <c r="X1351" s="39" t="n">
        <f aca="false">IF(OR(I1351="DNB",I1351="Dry DNB"),1,0)</f>
        <v>0</v>
      </c>
      <c r="Y1351" s="39" t="n">
        <f aca="false">MATCH(A1351,DATAS,0)</f>
        <v>1</v>
      </c>
      <c r="Z1351" s="39" t="n">
        <f aca="false">IF(AND(E1351&gt;0,OR(AND(B1351&gt;=1,B1351&lt;=6),B1351=10)),1,0)</f>
        <v>1</v>
      </c>
      <c r="AA1351" s="39" t="n">
        <f aca="false">IF(AND(E1351&gt;0,B1351=10),1,0)</f>
        <v>0</v>
      </c>
      <c r="AB1351" s="0" t="str">
        <f aca="false">IF(AND(C1350=C1351,Y1350=Y1351-1),Z1350,"")</f>
        <v/>
      </c>
      <c r="AC1351" s="0" t="str">
        <f aca="false">IF(AND(C1350=C1351,Y1350=Y1351-1),AA1350,"")</f>
        <v/>
      </c>
      <c r="AD1351" s="0" t="str">
        <f aca="false">IF(Y1351=1,"",IF(AND(Z1351=1,AB1351&lt;&gt;1),1,0))</f>
        <v/>
      </c>
      <c r="AE1351" s="0" t="str">
        <f aca="false">IF(Y1351=1,"",IF(AND(AA1351=1,AC1351&lt;&gt;1),1,0))</f>
        <v/>
      </c>
      <c r="AF1351" s="45" t="str">
        <f aca="false">IF(AND(E1351&gt;0,Y1351&lt;1,NOT(AND(C1352=C1351,Y1352=Y1351+1))),INDEX(DATAS,Y1351+1),"")</f>
        <v/>
      </c>
      <c r="AG1351" s="45" t="str">
        <f aca="false">IF(AND(AA1351=1,Y1351&lt;1),IF(AND(C1352=C1351,Y1352=Y1351+1),IF(AA1352=1,"",INDEX(DATAS,Y1351+1)),INDEX(DATAS,Y1351+1)),"")</f>
        <v/>
      </c>
    </row>
    <row r="1352" customFormat="false" ht="15" hidden="false" customHeight="false" outlineLevel="0" collapsed="false">
      <c r="A1352" s="45" t="n">
        <v>46309</v>
      </c>
      <c r="B1352" s="0" t="n">
        <v>4</v>
      </c>
      <c r="C1352" s="0" t="n">
        <v>5445</v>
      </c>
      <c r="D1352" s="0" t="n">
        <v>271</v>
      </c>
      <c r="E1352" s="0" t="n">
        <v>1</v>
      </c>
      <c r="F1352" s="39" t="s">
        <v>863</v>
      </c>
      <c r="G1352" s="0" t="n">
        <v>25.1</v>
      </c>
      <c r="H1352" s="0" t="n">
        <v>27</v>
      </c>
      <c r="I1352" s="39" t="s">
        <v>109</v>
      </c>
      <c r="J1352" s="0" t="n">
        <v>68</v>
      </c>
      <c r="K1352" s="0" t="n">
        <v>68</v>
      </c>
      <c r="L1352" s="0" t="n">
        <v>203</v>
      </c>
      <c r="M1352" s="0" t="n">
        <v>367</v>
      </c>
      <c r="N1352" s="0" t="n">
        <v>72.32</v>
      </c>
      <c r="O1352" s="0" t="n">
        <v>28.9</v>
      </c>
      <c r="P1352" s="0" t="n">
        <v>3.43</v>
      </c>
      <c r="Q1352" s="0" t="n">
        <v>3.97</v>
      </c>
      <c r="R1352" s="0" t="n">
        <v>4636</v>
      </c>
      <c r="S1352" s="0" t="n">
        <v>10201</v>
      </c>
      <c r="T1352" s="0" t="n">
        <v>49.95</v>
      </c>
      <c r="U1352" s="0" t="n">
        <v>925</v>
      </c>
      <c r="V1352" s="0" t="n">
        <v>1</v>
      </c>
      <c r="W1352" s="39" t="n">
        <f aca="false">IF(I1352="Male",0,1)</f>
        <v>1</v>
      </c>
      <c r="X1352" s="39" t="n">
        <f aca="false">IF(OR(I1352="DNB",I1352="Dry DNB"),1,0)</f>
        <v>0</v>
      </c>
      <c r="Y1352" s="39" t="n">
        <f aca="false">MATCH(A1352,DATAS,0)</f>
        <v>1</v>
      </c>
      <c r="Z1352" s="39" t="n">
        <f aca="false">IF(AND(E1352&gt;0,OR(AND(B1352&gt;=1,B1352&lt;=6),B1352=10)),1,0)</f>
        <v>1</v>
      </c>
      <c r="AA1352" s="39" t="n">
        <f aca="false">IF(AND(E1352&gt;0,B1352=10),1,0)</f>
        <v>0</v>
      </c>
      <c r="AB1352" s="0" t="str">
        <f aca="false">IF(AND(C1351=C1352,Y1351=Y1352-1),Z1351,"")</f>
        <v/>
      </c>
      <c r="AC1352" s="0" t="str">
        <f aca="false">IF(AND(C1351=C1352,Y1351=Y1352-1),AA1351,"")</f>
        <v/>
      </c>
      <c r="AD1352" s="0" t="str">
        <f aca="false">IF(Y1352=1,"",IF(AND(Z1352=1,AB1352&lt;&gt;1),1,0))</f>
        <v/>
      </c>
      <c r="AE1352" s="0" t="str">
        <f aca="false">IF(Y1352=1,"",IF(AND(AA1352=1,AC1352&lt;&gt;1),1,0))</f>
        <v/>
      </c>
      <c r="AF1352" s="45" t="str">
        <f aca="false">IF(AND(E1352&gt;0,Y1352&lt;1,NOT(AND(C1353=C1352,Y1353=Y1352+1))),INDEX(DATAS,Y1352+1),"")</f>
        <v/>
      </c>
      <c r="AG1352" s="45" t="str">
        <f aca="false">IF(AND(AA1352=1,Y1352&lt;1),IF(AND(C1353=C1352,Y1353=Y1352+1),IF(AA1353=1,"",INDEX(DATAS,Y1352+1)),INDEX(DATAS,Y1352+1)),"")</f>
        <v/>
      </c>
    </row>
    <row r="1353" customFormat="false" ht="15" hidden="false" customHeight="false" outlineLevel="0" collapsed="false">
      <c r="A1353" s="45" t="n">
        <v>46309</v>
      </c>
      <c r="B1353" s="0" t="n">
        <v>7</v>
      </c>
      <c r="C1353" s="0" t="n">
        <v>5447</v>
      </c>
      <c r="D1353" s="0" t="n">
        <v>237</v>
      </c>
      <c r="E1353" s="0" t="n">
        <v>1</v>
      </c>
      <c r="F1353" s="39" t="s">
        <v>863</v>
      </c>
      <c r="I1353" s="39" t="s">
        <v>114</v>
      </c>
      <c r="J1353" s="0" t="n">
        <v>119</v>
      </c>
      <c r="K1353" s="0" t="n">
        <v>70</v>
      </c>
      <c r="L1353" s="0" t="n">
        <v>168</v>
      </c>
      <c r="M1353" s="0" t="n">
        <v>890.4</v>
      </c>
      <c r="N1353" s="0" t="n">
        <v>6.33</v>
      </c>
      <c r="O1353" s="0" t="n">
        <v>24.17</v>
      </c>
      <c r="P1353" s="0" t="n">
        <v>3.63</v>
      </c>
      <c r="Q1353" s="0" t="n">
        <v>3</v>
      </c>
      <c r="R1353" s="0" t="n">
        <v>4643</v>
      </c>
      <c r="S1353" s="0" t="n">
        <v>9337</v>
      </c>
      <c r="T1353" s="0" t="n">
        <v>47.7</v>
      </c>
      <c r="U1353" s="0" t="n">
        <v>925</v>
      </c>
      <c r="V1353" s="0" t="n">
        <v>2</v>
      </c>
      <c r="W1353" s="39" t="n">
        <f aca="false">IF(I1353="Male",0,1)</f>
        <v>1</v>
      </c>
      <c r="X1353" s="39" t="n">
        <f aca="false">IF(OR(I1353="DNB",I1353="Dry DNB"),1,0)</f>
        <v>0</v>
      </c>
      <c r="Y1353" s="39" t="n">
        <f aca="false">MATCH(A1353,DATAS,0)</f>
        <v>1</v>
      </c>
      <c r="Z1353" s="39" t="n">
        <f aca="false">IF(AND(E1353&gt;0,OR(AND(B1353&gt;=1,B1353&lt;=6),B1353=10)),1,0)</f>
        <v>0</v>
      </c>
      <c r="AA1353" s="39" t="n">
        <f aca="false">IF(AND(E1353&gt;0,B1353=10),1,0)</f>
        <v>0</v>
      </c>
      <c r="AB1353" s="0" t="str">
        <f aca="false">IF(AND(C1352=C1353,Y1352=Y1353-1),Z1352,"")</f>
        <v/>
      </c>
      <c r="AC1353" s="0" t="str">
        <f aca="false">IF(AND(C1352=C1353,Y1352=Y1353-1),AA1352,"")</f>
        <v/>
      </c>
      <c r="AD1353" s="0" t="str">
        <f aca="false">IF(Y1353=1,"",IF(AND(Z1353=1,AB1353&lt;&gt;1),1,0))</f>
        <v/>
      </c>
      <c r="AE1353" s="0" t="str">
        <f aca="false">IF(Y1353=1,"",IF(AND(AA1353=1,AC1353&lt;&gt;1),1,0))</f>
        <v/>
      </c>
      <c r="AF1353" s="45" t="str">
        <f aca="false">IF(AND(E1353&gt;0,Y1353&lt;1,NOT(AND(C1354=C1353,Y1354=Y1353+1))),INDEX(DATAS,Y1353+1),"")</f>
        <v/>
      </c>
      <c r="AG1353" s="45" t="str">
        <f aca="false">IF(AND(AA1353=1,Y1353&lt;1),IF(AND(C1354=C1353,Y1354=Y1353+1),IF(AA1354=1,"",INDEX(DATAS,Y1353+1)),INDEX(DATAS,Y1353+1)),"")</f>
        <v/>
      </c>
    </row>
    <row r="1354" customFormat="false" ht="15" hidden="false" customHeight="false" outlineLevel="0" collapsed="false">
      <c r="A1354" s="45" t="n">
        <v>46309</v>
      </c>
      <c r="B1354" s="0" t="n">
        <v>4</v>
      </c>
      <c r="C1354" s="0" t="n">
        <v>5448</v>
      </c>
      <c r="D1354" s="0" t="n">
        <v>206</v>
      </c>
      <c r="E1354" s="0" t="n">
        <v>1</v>
      </c>
      <c r="F1354" s="39" t="s">
        <v>863</v>
      </c>
      <c r="G1354" s="0" t="n">
        <v>55.3</v>
      </c>
      <c r="H1354" s="0" t="n">
        <v>53</v>
      </c>
      <c r="I1354" s="39" t="s">
        <v>109</v>
      </c>
      <c r="J1354" s="0" t="n">
        <v>157</v>
      </c>
      <c r="K1354" s="0" t="n">
        <v>66</v>
      </c>
      <c r="L1354" s="0" t="n">
        <v>49</v>
      </c>
      <c r="M1354" s="0" t="n">
        <v>63.97</v>
      </c>
      <c r="N1354" s="0" t="n">
        <v>70.71</v>
      </c>
      <c r="O1354" s="0" t="n">
        <v>27.41</v>
      </c>
      <c r="P1354" s="0" t="n">
        <v>3.82</v>
      </c>
      <c r="Q1354" s="0" t="n">
        <v>3.51</v>
      </c>
      <c r="R1354" s="0" t="n">
        <v>4365</v>
      </c>
      <c r="S1354" s="0" t="n">
        <v>9356</v>
      </c>
      <c r="T1354" s="0" t="n">
        <v>50.25</v>
      </c>
      <c r="U1354" s="0" t="n">
        <v>925</v>
      </c>
      <c r="V1354" s="0" t="n">
        <v>4</v>
      </c>
      <c r="W1354" s="39" t="n">
        <f aca="false">IF(I1354="Male",0,1)</f>
        <v>1</v>
      </c>
      <c r="X1354" s="39" t="n">
        <f aca="false">IF(OR(I1354="DNB",I1354="Dry DNB"),1,0)</f>
        <v>0</v>
      </c>
      <c r="Y1354" s="39" t="n">
        <f aca="false">MATCH(A1354,DATAS,0)</f>
        <v>1</v>
      </c>
      <c r="Z1354" s="39" t="n">
        <f aca="false">IF(AND(E1354&gt;0,OR(AND(B1354&gt;=1,B1354&lt;=6),B1354=10)),1,0)</f>
        <v>1</v>
      </c>
      <c r="AA1354" s="39" t="n">
        <f aca="false">IF(AND(E1354&gt;0,B1354=10),1,0)</f>
        <v>0</v>
      </c>
      <c r="AB1354" s="0" t="str">
        <f aca="false">IF(AND(C1353=C1354,Y1353=Y1354-1),Z1353,"")</f>
        <v/>
      </c>
      <c r="AC1354" s="0" t="str">
        <f aca="false">IF(AND(C1353=C1354,Y1353=Y1354-1),AA1353,"")</f>
        <v/>
      </c>
      <c r="AD1354" s="0" t="str">
        <f aca="false">IF(Y1354=1,"",IF(AND(Z1354=1,AB1354&lt;&gt;1),1,0))</f>
        <v/>
      </c>
      <c r="AE1354" s="0" t="str">
        <f aca="false">IF(Y1354=1,"",IF(AND(AA1354=1,AC1354&lt;&gt;1),1,0))</f>
        <v/>
      </c>
      <c r="AF1354" s="45" t="str">
        <f aca="false">IF(AND(E1354&gt;0,Y1354&lt;1,NOT(AND(C1355=C1354,Y1355=Y1354+1))),INDEX(DATAS,Y1354+1),"")</f>
        <v/>
      </c>
      <c r="AG1354" s="45" t="str">
        <f aca="false">IF(AND(AA1354=1,Y1354&lt;1),IF(AND(C1355=C1354,Y1355=Y1354+1),IF(AA1355=1,"",INDEX(DATAS,Y1354+1)),INDEX(DATAS,Y1354+1)),"")</f>
        <v/>
      </c>
    </row>
    <row r="1355" customFormat="false" ht="15" hidden="false" customHeight="false" outlineLevel="0" collapsed="false">
      <c r="A1355" s="45" t="n">
        <v>46309</v>
      </c>
      <c r="B1355" s="0" t="n">
        <v>5</v>
      </c>
      <c r="C1355" s="0" t="n">
        <v>5449</v>
      </c>
      <c r="D1355" s="0" t="n">
        <v>264</v>
      </c>
      <c r="E1355" s="0" t="n">
        <v>1</v>
      </c>
      <c r="F1355" s="39" t="s">
        <v>864</v>
      </c>
      <c r="G1355" s="0" t="n">
        <v>42.8</v>
      </c>
      <c r="H1355" s="0" t="n">
        <v>40</v>
      </c>
      <c r="I1355" s="39" t="s">
        <v>109</v>
      </c>
      <c r="J1355" s="0" t="n">
        <v>68</v>
      </c>
      <c r="K1355" s="0" t="n">
        <v>68</v>
      </c>
      <c r="L1355" s="0" t="n">
        <v>196</v>
      </c>
      <c r="M1355" s="0" t="n">
        <v>443.53</v>
      </c>
      <c r="N1355" s="0" t="n">
        <v>59.75</v>
      </c>
      <c r="O1355" s="0" t="n">
        <v>24.39</v>
      </c>
      <c r="P1355" s="0" t="n">
        <v>4.5</v>
      </c>
      <c r="Q1355" s="0" t="n">
        <v>3.55</v>
      </c>
      <c r="R1355" s="0" t="n">
        <v>4715</v>
      </c>
      <c r="S1355" s="0" t="n">
        <v>10324</v>
      </c>
      <c r="T1355" s="0" t="n">
        <v>47.9</v>
      </c>
      <c r="U1355" s="0" t="n">
        <v>924</v>
      </c>
      <c r="V1355" s="0" t="n">
        <v>1</v>
      </c>
      <c r="W1355" s="39" t="n">
        <f aca="false">IF(I1355="Male",0,1)</f>
        <v>1</v>
      </c>
      <c r="X1355" s="39" t="n">
        <f aca="false">IF(OR(I1355="DNB",I1355="Dry DNB"),1,0)</f>
        <v>0</v>
      </c>
      <c r="Y1355" s="39" t="n">
        <f aca="false">MATCH(A1355,DATAS,0)</f>
        <v>1</v>
      </c>
      <c r="Z1355" s="39" t="n">
        <f aca="false">IF(AND(E1355&gt;0,OR(AND(B1355&gt;=1,B1355&lt;=6),B1355=10)),1,0)</f>
        <v>1</v>
      </c>
      <c r="AA1355" s="39" t="n">
        <f aca="false">IF(AND(E1355&gt;0,B1355=10),1,0)</f>
        <v>0</v>
      </c>
      <c r="AB1355" s="0" t="str">
        <f aca="false">IF(AND(C1354=C1355,Y1354=Y1355-1),Z1354,"")</f>
        <v/>
      </c>
      <c r="AC1355" s="0" t="str">
        <f aca="false">IF(AND(C1354=C1355,Y1354=Y1355-1),AA1354,"")</f>
        <v/>
      </c>
      <c r="AD1355" s="0" t="str">
        <f aca="false">IF(Y1355=1,"",IF(AND(Z1355=1,AB1355&lt;&gt;1),1,0))</f>
        <v/>
      </c>
      <c r="AE1355" s="0" t="str">
        <f aca="false">IF(Y1355=1,"",IF(AND(AA1355=1,AC1355&lt;&gt;1),1,0))</f>
        <v/>
      </c>
      <c r="AF1355" s="45" t="str">
        <f aca="false">IF(AND(E1355&gt;0,Y1355&lt;1,NOT(AND(C1356=C1355,Y1356=Y1355+1))),INDEX(DATAS,Y1355+1),"")</f>
        <v/>
      </c>
      <c r="AG1355" s="45" t="str">
        <f aca="false">IF(AND(AA1355=1,Y1355&lt;1),IF(AND(C1356=C1355,Y1356=Y1355+1),IF(AA1356=1,"",INDEX(DATAS,Y1355+1)),INDEX(DATAS,Y1355+1)),"")</f>
        <v/>
      </c>
    </row>
    <row r="1356" customFormat="false" ht="15" hidden="false" customHeight="false" outlineLevel="0" collapsed="false">
      <c r="A1356" s="45" t="n">
        <v>46309</v>
      </c>
      <c r="B1356" s="0" t="n">
        <v>5</v>
      </c>
      <c r="C1356" s="0" t="n">
        <v>5450</v>
      </c>
      <c r="D1356" s="0" t="n">
        <v>268</v>
      </c>
      <c r="E1356" s="0" t="n">
        <v>1</v>
      </c>
      <c r="F1356" s="39" t="s">
        <v>864</v>
      </c>
      <c r="G1356" s="0" t="n">
        <v>46.9</v>
      </c>
      <c r="H1356" s="0" t="n">
        <v>42</v>
      </c>
      <c r="I1356" s="39" t="s">
        <v>109</v>
      </c>
      <c r="J1356" s="0" t="n">
        <v>65</v>
      </c>
      <c r="K1356" s="0" t="n">
        <v>65</v>
      </c>
      <c r="L1356" s="0" t="n">
        <v>203</v>
      </c>
      <c r="M1356" s="0" t="n">
        <v>735.05</v>
      </c>
      <c r="N1356" s="0" t="n">
        <v>59.24</v>
      </c>
      <c r="O1356" s="0" t="n">
        <v>38.84</v>
      </c>
      <c r="P1356" s="0" t="n">
        <v>4.81</v>
      </c>
      <c r="Q1356" s="0" t="n">
        <v>3.68</v>
      </c>
      <c r="R1356" s="0" t="n">
        <v>4657</v>
      </c>
      <c r="S1356" s="0" t="n">
        <v>10174</v>
      </c>
      <c r="T1356" s="0" t="n">
        <v>54.65</v>
      </c>
      <c r="U1356" s="0" t="n">
        <v>924</v>
      </c>
      <c r="V1356" s="0" t="n">
        <v>1</v>
      </c>
      <c r="W1356" s="39" t="n">
        <f aca="false">IF(I1356="Male",0,1)</f>
        <v>1</v>
      </c>
      <c r="X1356" s="39" t="n">
        <f aca="false">IF(OR(I1356="DNB",I1356="Dry DNB"),1,0)</f>
        <v>0</v>
      </c>
      <c r="Y1356" s="39" t="n">
        <f aca="false">MATCH(A1356,DATAS,0)</f>
        <v>1</v>
      </c>
      <c r="Z1356" s="39" t="n">
        <f aca="false">IF(AND(E1356&gt;0,OR(AND(B1356&gt;=1,B1356&lt;=6),B1356=10)),1,0)</f>
        <v>1</v>
      </c>
      <c r="AA1356" s="39" t="n">
        <f aca="false">IF(AND(E1356&gt;0,B1356=10),1,0)</f>
        <v>0</v>
      </c>
      <c r="AB1356" s="0" t="str">
        <f aca="false">IF(AND(C1355=C1356,Y1355=Y1356-1),Z1355,"")</f>
        <v/>
      </c>
      <c r="AC1356" s="0" t="str">
        <f aca="false">IF(AND(C1355=C1356,Y1355=Y1356-1),AA1355,"")</f>
        <v/>
      </c>
      <c r="AD1356" s="0" t="str">
        <f aca="false">IF(Y1356=1,"",IF(AND(Z1356=1,AB1356&lt;&gt;1),1,0))</f>
        <v/>
      </c>
      <c r="AE1356" s="0" t="str">
        <f aca="false">IF(Y1356=1,"",IF(AND(AA1356=1,AC1356&lt;&gt;1),1,0))</f>
        <v/>
      </c>
      <c r="AF1356" s="45" t="str">
        <f aca="false">IF(AND(E1356&gt;0,Y1356&lt;1,NOT(AND(C1357=C1356,Y1357=Y1356+1))),INDEX(DATAS,Y1356+1),"")</f>
        <v/>
      </c>
      <c r="AG1356" s="45" t="str">
        <f aca="false">IF(AND(AA1356=1,Y1356&lt;1),IF(AND(C1357=C1356,Y1357=Y1356+1),IF(AA1357=1,"",INDEX(DATAS,Y1356+1)),INDEX(DATAS,Y1356+1)),"")</f>
        <v/>
      </c>
    </row>
    <row r="1357" customFormat="false" ht="15" hidden="false" customHeight="false" outlineLevel="0" collapsed="false">
      <c r="A1357" s="45" t="n">
        <v>46309</v>
      </c>
      <c r="B1357" s="0" t="n">
        <v>4</v>
      </c>
      <c r="C1357" s="0" t="n">
        <v>5451</v>
      </c>
      <c r="D1357" s="0" t="n">
        <v>265</v>
      </c>
      <c r="E1357" s="0" t="n">
        <v>1</v>
      </c>
      <c r="F1357" s="39" t="s">
        <v>864</v>
      </c>
      <c r="G1357" s="0" t="n">
        <v>44.3</v>
      </c>
      <c r="H1357" s="0" t="n">
        <v>45</v>
      </c>
      <c r="I1357" s="39" t="s">
        <v>109</v>
      </c>
      <c r="J1357" s="0" t="n">
        <v>69</v>
      </c>
      <c r="K1357" s="0" t="n">
        <v>69</v>
      </c>
      <c r="L1357" s="0" t="n">
        <v>196</v>
      </c>
      <c r="M1357" s="0" t="n">
        <v>910.34</v>
      </c>
      <c r="N1357" s="0" t="n">
        <v>54.34</v>
      </c>
      <c r="O1357" s="0" t="n">
        <v>28.85</v>
      </c>
      <c r="P1357" s="0" t="n">
        <v>3.39</v>
      </c>
      <c r="Q1357" s="0" t="n">
        <v>3.53</v>
      </c>
      <c r="R1357" s="0" t="n">
        <v>4453</v>
      </c>
      <c r="S1357" s="0" t="n">
        <v>10130</v>
      </c>
      <c r="T1357" s="0" t="n">
        <v>43.85</v>
      </c>
      <c r="U1357" s="0" t="n">
        <v>924</v>
      </c>
      <c r="V1357" s="0" t="n">
        <v>1</v>
      </c>
      <c r="W1357" s="39" t="n">
        <f aca="false">IF(I1357="Male",0,1)</f>
        <v>1</v>
      </c>
      <c r="X1357" s="39" t="n">
        <f aca="false">IF(OR(I1357="DNB",I1357="Dry DNB"),1,0)</f>
        <v>0</v>
      </c>
      <c r="Y1357" s="39" t="n">
        <f aca="false">MATCH(A1357,DATAS,0)</f>
        <v>1</v>
      </c>
      <c r="Z1357" s="39" t="n">
        <f aca="false">IF(AND(E1357&gt;0,OR(AND(B1357&gt;=1,B1357&lt;=6),B1357=10)),1,0)</f>
        <v>1</v>
      </c>
      <c r="AA1357" s="39" t="n">
        <f aca="false">IF(AND(E1357&gt;0,B1357=10),1,0)</f>
        <v>0</v>
      </c>
      <c r="AB1357" s="0" t="str">
        <f aca="false">IF(AND(C1356=C1357,Y1356=Y1357-1),Z1356,"")</f>
        <v/>
      </c>
      <c r="AC1357" s="0" t="str">
        <f aca="false">IF(AND(C1356=C1357,Y1356=Y1357-1),AA1356,"")</f>
        <v/>
      </c>
      <c r="AD1357" s="0" t="str">
        <f aca="false">IF(Y1357=1,"",IF(AND(Z1357=1,AB1357&lt;&gt;1),1,0))</f>
        <v/>
      </c>
      <c r="AE1357" s="0" t="str">
        <f aca="false">IF(Y1357=1,"",IF(AND(AA1357=1,AC1357&lt;&gt;1),1,0))</f>
        <v/>
      </c>
      <c r="AF1357" s="45" t="str">
        <f aca="false">IF(AND(E1357&gt;0,Y1357&lt;1,NOT(AND(C1358=C1357,Y1358=Y1357+1))),INDEX(DATAS,Y1357+1),"")</f>
        <v/>
      </c>
      <c r="AG1357" s="45" t="str">
        <f aca="false">IF(AND(AA1357=1,Y1357&lt;1),IF(AND(C1358=C1357,Y1358=Y1357+1),IF(AA1358=1,"",INDEX(DATAS,Y1357+1)),INDEX(DATAS,Y1357+1)),"")</f>
        <v/>
      </c>
    </row>
    <row r="1358" customFormat="false" ht="15" hidden="false" customHeight="false" outlineLevel="0" collapsed="false">
      <c r="A1358" s="45" t="n">
        <v>46309</v>
      </c>
      <c r="B1358" s="0" t="n">
        <v>4</v>
      </c>
      <c r="C1358" s="0" t="n">
        <v>5452</v>
      </c>
      <c r="D1358" s="0" t="n">
        <v>222</v>
      </c>
      <c r="E1358" s="0" t="n">
        <v>1</v>
      </c>
      <c r="F1358" s="39" t="s">
        <v>865</v>
      </c>
      <c r="G1358" s="0" t="n">
        <v>50.8</v>
      </c>
      <c r="H1358" s="0" t="n">
        <v>48</v>
      </c>
      <c r="I1358" s="39" t="s">
        <v>109</v>
      </c>
      <c r="J1358" s="0" t="n">
        <v>167</v>
      </c>
      <c r="K1358" s="0" t="n">
        <v>68</v>
      </c>
      <c r="L1358" s="0" t="n">
        <v>55</v>
      </c>
      <c r="M1358" s="0" t="n">
        <v>1034.93</v>
      </c>
      <c r="N1358" s="0" t="n">
        <v>42.63</v>
      </c>
      <c r="O1358" s="0" t="n">
        <v>49.31</v>
      </c>
      <c r="P1358" s="0" t="n">
        <v>2.84</v>
      </c>
      <c r="Q1358" s="0" t="n">
        <v>3.39</v>
      </c>
      <c r="R1358" s="0" t="n">
        <v>3937</v>
      </c>
      <c r="S1358" s="0" t="n">
        <v>8934</v>
      </c>
      <c r="T1358" s="0" t="n">
        <v>35.25</v>
      </c>
      <c r="U1358" s="0" t="n">
        <v>923</v>
      </c>
      <c r="V1358" s="0" t="n">
        <v>4</v>
      </c>
      <c r="W1358" s="39" t="n">
        <f aca="false">IF(I1358="Male",0,1)</f>
        <v>1</v>
      </c>
      <c r="X1358" s="39" t="n">
        <f aca="false">IF(OR(I1358="DNB",I1358="Dry DNB"),1,0)</f>
        <v>0</v>
      </c>
      <c r="Y1358" s="39" t="n">
        <f aca="false">MATCH(A1358,DATAS,0)</f>
        <v>1</v>
      </c>
      <c r="Z1358" s="39" t="n">
        <f aca="false">IF(AND(E1358&gt;0,OR(AND(B1358&gt;=1,B1358&lt;=6),B1358=10)),1,0)</f>
        <v>1</v>
      </c>
      <c r="AA1358" s="39" t="n">
        <f aca="false">IF(AND(E1358&gt;0,B1358=10),1,0)</f>
        <v>0</v>
      </c>
      <c r="AB1358" s="0" t="str">
        <f aca="false">IF(AND(C1357=C1358,Y1357=Y1358-1),Z1357,"")</f>
        <v/>
      </c>
      <c r="AC1358" s="0" t="str">
        <f aca="false">IF(AND(C1357=C1358,Y1357=Y1358-1),AA1357,"")</f>
        <v/>
      </c>
      <c r="AD1358" s="0" t="str">
        <f aca="false">IF(Y1358=1,"",IF(AND(Z1358=1,AB1358&lt;&gt;1),1,0))</f>
        <v/>
      </c>
      <c r="AE1358" s="0" t="str">
        <f aca="false">IF(Y1358=1,"",IF(AND(AA1358=1,AC1358&lt;&gt;1),1,0))</f>
        <v/>
      </c>
      <c r="AF1358" s="45" t="str">
        <f aca="false">IF(AND(E1358&gt;0,Y1358&lt;1,NOT(AND(C1359=C1358,Y1359=Y1358+1))),INDEX(DATAS,Y1358+1),"")</f>
        <v/>
      </c>
      <c r="AG1358" s="45" t="str">
        <f aca="false">IF(AND(AA1358=1,Y1358&lt;1),IF(AND(C1359=C1358,Y1359=Y1358+1),IF(AA1359=1,"",INDEX(DATAS,Y1358+1)),INDEX(DATAS,Y1358+1)),"")</f>
        <v/>
      </c>
    </row>
    <row r="1359" customFormat="false" ht="15" hidden="false" customHeight="false" outlineLevel="0" collapsed="false">
      <c r="A1359" s="45" t="n">
        <v>46309</v>
      </c>
      <c r="B1359" s="0" t="n">
        <v>4</v>
      </c>
      <c r="C1359" s="0" t="n">
        <v>5453</v>
      </c>
      <c r="D1359" s="0" t="n">
        <v>208</v>
      </c>
      <c r="E1359" s="0" t="n">
        <v>1</v>
      </c>
      <c r="F1359" s="39" t="s">
        <v>866</v>
      </c>
      <c r="G1359" s="0" t="n">
        <v>41.7</v>
      </c>
      <c r="H1359" s="0" t="n">
        <v>42</v>
      </c>
      <c r="I1359" s="39" t="s">
        <v>109</v>
      </c>
      <c r="J1359" s="0" t="n">
        <v>93</v>
      </c>
      <c r="K1359" s="0" t="n">
        <v>68</v>
      </c>
      <c r="L1359" s="0" t="n">
        <v>115</v>
      </c>
      <c r="M1359" s="0" t="n">
        <v>199.49</v>
      </c>
      <c r="N1359" s="0" t="n">
        <v>61.52</v>
      </c>
      <c r="O1359" s="0" t="n">
        <v>21.68</v>
      </c>
      <c r="P1359" s="0" t="n">
        <v>3.99</v>
      </c>
      <c r="Q1359" s="0" t="n">
        <v>3.42</v>
      </c>
      <c r="R1359" s="0" t="n">
        <v>3308</v>
      </c>
      <c r="S1359" s="0" t="n">
        <v>8086</v>
      </c>
      <c r="T1359" s="0" t="n">
        <v>39.3</v>
      </c>
      <c r="U1359" s="0" t="n">
        <v>921</v>
      </c>
      <c r="V1359" s="0" t="n">
        <v>2</v>
      </c>
      <c r="W1359" s="39" t="n">
        <f aca="false">IF(I1359="Male",0,1)</f>
        <v>1</v>
      </c>
      <c r="X1359" s="39" t="n">
        <f aca="false">IF(OR(I1359="DNB",I1359="Dry DNB"),1,0)</f>
        <v>0</v>
      </c>
      <c r="Y1359" s="39" t="n">
        <f aca="false">MATCH(A1359,DATAS,0)</f>
        <v>1</v>
      </c>
      <c r="Z1359" s="39" t="n">
        <f aca="false">IF(AND(E1359&gt;0,OR(AND(B1359&gt;=1,B1359&lt;=6),B1359=10)),1,0)</f>
        <v>1</v>
      </c>
      <c r="AA1359" s="39" t="n">
        <f aca="false">IF(AND(E1359&gt;0,B1359=10),1,0)</f>
        <v>0</v>
      </c>
      <c r="AB1359" s="0" t="str">
        <f aca="false">IF(AND(C1358=C1359,Y1358=Y1359-1),Z1358,"")</f>
        <v/>
      </c>
      <c r="AC1359" s="0" t="str">
        <f aca="false">IF(AND(C1358=C1359,Y1358=Y1359-1),AA1358,"")</f>
        <v/>
      </c>
      <c r="AD1359" s="0" t="str">
        <f aca="false">IF(Y1359=1,"",IF(AND(Z1359=1,AB1359&lt;&gt;1),1,0))</f>
        <v/>
      </c>
      <c r="AE1359" s="0" t="str">
        <f aca="false">IF(Y1359=1,"",IF(AND(AA1359=1,AC1359&lt;&gt;1),1,0))</f>
        <v/>
      </c>
      <c r="AF1359" s="45" t="str">
        <f aca="false">IF(AND(E1359&gt;0,Y1359&lt;1,NOT(AND(C1360=C1359,Y1360=Y1359+1))),INDEX(DATAS,Y1359+1),"")</f>
        <v/>
      </c>
      <c r="AG1359" s="45" t="str">
        <f aca="false">IF(AND(AA1359=1,Y1359&lt;1),IF(AND(C1360=C1359,Y1360=Y1359+1),IF(AA1360=1,"",INDEX(DATAS,Y1359+1)),INDEX(DATAS,Y1359+1)),"")</f>
        <v/>
      </c>
    </row>
    <row r="1360" customFormat="false" ht="15" hidden="false" customHeight="false" outlineLevel="0" collapsed="false">
      <c r="A1360" s="45" t="n">
        <v>46309</v>
      </c>
      <c r="B1360" s="0" t="n">
        <v>4</v>
      </c>
      <c r="C1360" s="0" t="n">
        <v>5455</v>
      </c>
      <c r="D1360" s="0" t="n">
        <v>261</v>
      </c>
      <c r="E1360" s="0" t="n">
        <v>1</v>
      </c>
      <c r="F1360" s="39" t="s">
        <v>866</v>
      </c>
      <c r="G1360" s="0" t="n">
        <v>21.1</v>
      </c>
      <c r="H1360" s="0" t="n">
        <v>20</v>
      </c>
      <c r="I1360" s="39" t="s">
        <v>109</v>
      </c>
      <c r="J1360" s="0" t="n">
        <v>89</v>
      </c>
      <c r="K1360" s="0" t="n">
        <v>65</v>
      </c>
      <c r="L1360" s="0" t="n">
        <v>172</v>
      </c>
      <c r="M1360" s="0" t="n">
        <v>333.06</v>
      </c>
      <c r="N1360" s="0" t="n">
        <v>81.75</v>
      </c>
      <c r="O1360" s="0" t="n">
        <v>42.59</v>
      </c>
      <c r="P1360" s="0" t="n">
        <v>4.17</v>
      </c>
      <c r="Q1360" s="0" t="n">
        <v>3.91</v>
      </c>
      <c r="R1360" s="0" t="n">
        <v>3744</v>
      </c>
      <c r="S1360" s="0" t="n">
        <v>8915</v>
      </c>
      <c r="T1360" s="0" t="n">
        <v>35.1</v>
      </c>
      <c r="U1360" s="0" t="n">
        <v>921</v>
      </c>
      <c r="V1360" s="0" t="n">
        <v>2</v>
      </c>
      <c r="W1360" s="39" t="n">
        <f aca="false">IF(I1360="Male",0,1)</f>
        <v>1</v>
      </c>
      <c r="X1360" s="39" t="n">
        <f aca="false">IF(OR(I1360="DNB",I1360="Dry DNB"),1,0)</f>
        <v>0</v>
      </c>
      <c r="Y1360" s="39" t="n">
        <f aca="false">MATCH(A1360,DATAS,0)</f>
        <v>1</v>
      </c>
      <c r="Z1360" s="39" t="n">
        <f aca="false">IF(AND(E1360&gt;0,OR(AND(B1360&gt;=1,B1360&lt;=6),B1360=10)),1,0)</f>
        <v>1</v>
      </c>
      <c r="AA1360" s="39" t="n">
        <f aca="false">IF(AND(E1360&gt;0,B1360=10),1,0)</f>
        <v>0</v>
      </c>
      <c r="AB1360" s="0" t="str">
        <f aca="false">IF(AND(C1359=C1360,Y1359=Y1360-1),Z1359,"")</f>
        <v/>
      </c>
      <c r="AC1360" s="0" t="str">
        <f aca="false">IF(AND(C1359=C1360,Y1359=Y1360-1),AA1359,"")</f>
        <v/>
      </c>
      <c r="AD1360" s="0" t="str">
        <f aca="false">IF(Y1360=1,"",IF(AND(Z1360=1,AB1360&lt;&gt;1),1,0))</f>
        <v/>
      </c>
      <c r="AE1360" s="0" t="str">
        <f aca="false">IF(Y1360=1,"",IF(AND(AA1360=1,AC1360&lt;&gt;1),1,0))</f>
        <v/>
      </c>
      <c r="AF1360" s="45" t="str">
        <f aca="false">IF(AND(E1360&gt;0,Y1360&lt;1,NOT(AND(C1361=C1360,Y1361=Y1360+1))),INDEX(DATAS,Y1360+1),"")</f>
        <v/>
      </c>
      <c r="AG1360" s="45" t="str">
        <f aca="false">IF(AND(AA1360=1,Y1360&lt;1),IF(AND(C1361=C1360,Y1361=Y1360+1),IF(AA1361=1,"",INDEX(DATAS,Y1360+1)),INDEX(DATAS,Y1360+1)),"")</f>
        <v/>
      </c>
    </row>
    <row r="1361" customFormat="false" ht="15" hidden="false" customHeight="false" outlineLevel="0" collapsed="false">
      <c r="A1361" s="45" t="n">
        <v>46309</v>
      </c>
      <c r="B1361" s="0" t="n">
        <v>4</v>
      </c>
      <c r="C1361" s="0" t="n">
        <v>5457</v>
      </c>
      <c r="D1361" s="0" t="n">
        <v>260</v>
      </c>
      <c r="E1361" s="0" t="n">
        <v>1</v>
      </c>
      <c r="F1361" s="39" t="s">
        <v>866</v>
      </c>
      <c r="G1361" s="0" t="n">
        <v>45.3</v>
      </c>
      <c r="H1361" s="0" t="n">
        <v>49</v>
      </c>
      <c r="I1361" s="39" t="s">
        <v>138</v>
      </c>
      <c r="J1361" s="0" t="n">
        <v>260</v>
      </c>
      <c r="K1361" s="0" t="n">
        <v>64</v>
      </c>
      <c r="M1361" s="0" t="n">
        <v>402.07</v>
      </c>
      <c r="N1361" s="0" t="n">
        <v>30.2</v>
      </c>
      <c r="O1361" s="0" t="n">
        <v>23.06</v>
      </c>
      <c r="P1361" s="0" t="n">
        <v>2.96</v>
      </c>
      <c r="Q1361" s="0" t="n">
        <v>3.43</v>
      </c>
      <c r="R1361" s="0" t="n">
        <v>4732</v>
      </c>
      <c r="S1361" s="0" t="n">
        <v>10038</v>
      </c>
      <c r="T1361" s="0" t="n">
        <v>47.55</v>
      </c>
      <c r="U1361" s="0" t="n">
        <v>921</v>
      </c>
      <c r="V1361" s="0" t="n">
        <v>6</v>
      </c>
      <c r="W1361" s="39" t="n">
        <f aca="false">IF(I1361="Male",0,1)</f>
        <v>1</v>
      </c>
      <c r="X1361" s="39" t="n">
        <f aca="false">IF(OR(I1361="DNB",I1361="Dry DNB"),1,0)</f>
        <v>0</v>
      </c>
      <c r="Y1361" s="39" t="n">
        <f aca="false">MATCH(A1361,DATAS,0)</f>
        <v>1</v>
      </c>
      <c r="Z1361" s="39" t="n">
        <f aca="false">IF(AND(E1361&gt;0,OR(AND(B1361&gt;=1,B1361&lt;=6),B1361=10)),1,0)</f>
        <v>1</v>
      </c>
      <c r="AA1361" s="39" t="n">
        <f aca="false">IF(AND(E1361&gt;0,B1361=10),1,0)</f>
        <v>0</v>
      </c>
      <c r="AB1361" s="0" t="str">
        <f aca="false">IF(AND(C1360=C1361,Y1360=Y1361-1),Z1360,"")</f>
        <v/>
      </c>
      <c r="AC1361" s="0" t="str">
        <f aca="false">IF(AND(C1360=C1361,Y1360=Y1361-1),AA1360,"")</f>
        <v/>
      </c>
      <c r="AD1361" s="0" t="str">
        <f aca="false">IF(Y1361=1,"",IF(AND(Z1361=1,AB1361&lt;&gt;1),1,0))</f>
        <v/>
      </c>
      <c r="AE1361" s="0" t="str">
        <f aca="false">IF(Y1361=1,"",IF(AND(AA1361=1,AC1361&lt;&gt;1),1,0))</f>
        <v/>
      </c>
      <c r="AF1361" s="45" t="str">
        <f aca="false">IF(AND(E1361&gt;0,Y1361&lt;1,NOT(AND(C1362=C1361,Y1362=Y1361+1))),INDEX(DATAS,Y1361+1),"")</f>
        <v/>
      </c>
      <c r="AG1361" s="45" t="str">
        <f aca="false">IF(AND(AA1361=1,Y1361&lt;1),IF(AND(C1362=C1361,Y1362=Y1361+1),IF(AA1362=1,"",INDEX(DATAS,Y1361+1)),INDEX(DATAS,Y1361+1)),"")</f>
        <v/>
      </c>
    </row>
    <row r="1362" customFormat="false" ht="15" hidden="false" customHeight="false" outlineLevel="0" collapsed="false">
      <c r="A1362" s="45" t="n">
        <v>46309</v>
      </c>
      <c r="B1362" s="0" t="n">
        <v>4</v>
      </c>
      <c r="C1362" s="0" t="n">
        <v>5459</v>
      </c>
      <c r="D1362" s="0" t="n">
        <v>193</v>
      </c>
      <c r="E1362" s="0" t="n">
        <v>1</v>
      </c>
      <c r="F1362" s="39" t="s">
        <v>867</v>
      </c>
      <c r="G1362" s="0" t="n">
        <v>45</v>
      </c>
      <c r="H1362" s="0" t="n">
        <v>34</v>
      </c>
      <c r="I1362" s="39" t="s">
        <v>138</v>
      </c>
      <c r="J1362" s="0" t="n">
        <v>193</v>
      </c>
      <c r="K1362" s="0" t="n">
        <v>60</v>
      </c>
      <c r="M1362" s="0" t="n">
        <v>860.44</v>
      </c>
      <c r="N1362" s="0" t="n">
        <v>37.54</v>
      </c>
      <c r="O1362" s="0" t="n">
        <v>26.16</v>
      </c>
      <c r="P1362" s="0" t="n">
        <v>3.57</v>
      </c>
      <c r="Q1362" s="0" t="n">
        <v>3.21</v>
      </c>
      <c r="R1362" s="0" t="n">
        <v>4826</v>
      </c>
      <c r="S1362" s="0" t="n">
        <v>10329</v>
      </c>
      <c r="T1362" s="0" t="n">
        <v>51.05</v>
      </c>
      <c r="U1362" s="0" t="n">
        <v>920</v>
      </c>
      <c r="V1362" s="0" t="n">
        <v>5</v>
      </c>
      <c r="W1362" s="39" t="n">
        <f aca="false">IF(I1362="Male",0,1)</f>
        <v>1</v>
      </c>
      <c r="X1362" s="39" t="n">
        <f aca="false">IF(OR(I1362="DNB",I1362="Dry DNB"),1,0)</f>
        <v>0</v>
      </c>
      <c r="Y1362" s="39" t="n">
        <f aca="false">MATCH(A1362,DATAS,0)</f>
        <v>1</v>
      </c>
      <c r="Z1362" s="39" t="n">
        <f aca="false">IF(AND(E1362&gt;0,OR(AND(B1362&gt;=1,B1362&lt;=6),B1362=10)),1,0)</f>
        <v>1</v>
      </c>
      <c r="AA1362" s="39" t="n">
        <f aca="false">IF(AND(E1362&gt;0,B1362=10),1,0)</f>
        <v>0</v>
      </c>
      <c r="AB1362" s="0" t="str">
        <f aca="false">IF(AND(C1361=C1362,Y1361=Y1362-1),Z1361,"")</f>
        <v/>
      </c>
      <c r="AC1362" s="0" t="str">
        <f aca="false">IF(AND(C1361=C1362,Y1361=Y1362-1),AA1361,"")</f>
        <v/>
      </c>
      <c r="AD1362" s="0" t="str">
        <f aca="false">IF(Y1362=1,"",IF(AND(Z1362=1,AB1362&lt;&gt;1),1,0))</f>
        <v/>
      </c>
      <c r="AE1362" s="0" t="str">
        <f aca="false">IF(Y1362=1,"",IF(AND(AA1362=1,AC1362&lt;&gt;1),1,0))</f>
        <v/>
      </c>
      <c r="AF1362" s="45" t="str">
        <f aca="false">IF(AND(E1362&gt;0,Y1362&lt;1,NOT(AND(C1363=C1362,Y1363=Y1362+1))),INDEX(DATAS,Y1362+1),"")</f>
        <v/>
      </c>
      <c r="AG1362" s="45" t="str">
        <f aca="false">IF(AND(AA1362=1,Y1362&lt;1),IF(AND(C1363=C1362,Y1363=Y1362+1),IF(AA1363=1,"",INDEX(DATAS,Y1362+1)),INDEX(DATAS,Y1362+1)),"")</f>
        <v/>
      </c>
    </row>
    <row r="1363" customFormat="false" ht="15" hidden="false" customHeight="false" outlineLevel="0" collapsed="false">
      <c r="A1363" s="45" t="n">
        <v>46309</v>
      </c>
      <c r="B1363" s="0" t="n">
        <v>4</v>
      </c>
      <c r="C1363" s="0" t="n">
        <v>5461</v>
      </c>
      <c r="D1363" s="0" t="n">
        <v>252</v>
      </c>
      <c r="E1363" s="0" t="n">
        <v>1</v>
      </c>
      <c r="F1363" s="39" t="s">
        <v>868</v>
      </c>
      <c r="G1363" s="0" t="n">
        <v>46.3</v>
      </c>
      <c r="H1363" s="0" t="n">
        <v>47</v>
      </c>
      <c r="I1363" s="39" t="s">
        <v>109</v>
      </c>
      <c r="J1363" s="0" t="n">
        <v>98</v>
      </c>
      <c r="K1363" s="0" t="n">
        <v>71</v>
      </c>
      <c r="L1363" s="0" t="n">
        <v>154</v>
      </c>
      <c r="M1363" s="0" t="n">
        <v>1126.34</v>
      </c>
      <c r="N1363" s="0" t="n">
        <v>51.85</v>
      </c>
      <c r="O1363" s="0" t="n">
        <v>39.43</v>
      </c>
      <c r="P1363" s="0" t="n">
        <v>3.31</v>
      </c>
      <c r="Q1363" s="0" t="n">
        <v>3.32</v>
      </c>
      <c r="R1363" s="0" t="n">
        <v>4417</v>
      </c>
      <c r="S1363" s="0" t="n">
        <v>9965</v>
      </c>
      <c r="T1363" s="0" t="n">
        <v>45.45</v>
      </c>
      <c r="U1363" s="0" t="n">
        <v>918</v>
      </c>
      <c r="V1363" s="0" t="n">
        <v>2</v>
      </c>
      <c r="W1363" s="39" t="n">
        <f aca="false">IF(I1363="Male",0,1)</f>
        <v>1</v>
      </c>
      <c r="X1363" s="39" t="n">
        <f aca="false">IF(OR(I1363="DNB",I1363="Dry DNB"),1,0)</f>
        <v>0</v>
      </c>
      <c r="Y1363" s="39" t="n">
        <f aca="false">MATCH(A1363,DATAS,0)</f>
        <v>1</v>
      </c>
      <c r="Z1363" s="39" t="n">
        <f aca="false">IF(AND(E1363&gt;0,OR(AND(B1363&gt;=1,B1363&lt;=6),B1363=10)),1,0)</f>
        <v>1</v>
      </c>
      <c r="AA1363" s="39" t="n">
        <f aca="false">IF(AND(E1363&gt;0,B1363=10),1,0)</f>
        <v>0</v>
      </c>
      <c r="AB1363" s="0" t="str">
        <f aca="false">IF(AND(C1362=C1363,Y1362=Y1363-1),Z1362,"")</f>
        <v/>
      </c>
      <c r="AC1363" s="0" t="str">
        <f aca="false">IF(AND(C1362=C1363,Y1362=Y1363-1),AA1362,"")</f>
        <v/>
      </c>
      <c r="AD1363" s="0" t="str">
        <f aca="false">IF(Y1363=1,"",IF(AND(Z1363=1,AB1363&lt;&gt;1),1,0))</f>
        <v/>
      </c>
      <c r="AE1363" s="0" t="str">
        <f aca="false">IF(Y1363=1,"",IF(AND(AA1363=1,AC1363&lt;&gt;1),1,0))</f>
        <v/>
      </c>
      <c r="AF1363" s="45" t="str">
        <f aca="false">IF(AND(E1363&gt;0,Y1363&lt;1,NOT(AND(C1364=C1363,Y1364=Y1363+1))),INDEX(DATAS,Y1363+1),"")</f>
        <v/>
      </c>
      <c r="AG1363" s="45" t="str">
        <f aca="false">IF(AND(AA1363=1,Y1363&lt;1),IF(AND(C1364=C1363,Y1364=Y1363+1),IF(AA1364=1,"",INDEX(DATAS,Y1363+1)),INDEX(DATAS,Y1363+1)),"")</f>
        <v/>
      </c>
    </row>
    <row r="1364" customFormat="false" ht="15" hidden="false" customHeight="false" outlineLevel="0" collapsed="false">
      <c r="A1364" s="45" t="n">
        <v>46309</v>
      </c>
      <c r="B1364" s="0" t="n">
        <v>4</v>
      </c>
      <c r="C1364" s="0" t="n">
        <v>5462</v>
      </c>
      <c r="D1364" s="0" t="n">
        <v>208</v>
      </c>
      <c r="E1364" s="0" t="n">
        <v>1</v>
      </c>
      <c r="F1364" s="39" t="s">
        <v>869</v>
      </c>
      <c r="G1364" s="0" t="n">
        <v>23</v>
      </c>
      <c r="H1364" s="0" t="n">
        <v>25</v>
      </c>
      <c r="I1364" s="39" t="s">
        <v>109</v>
      </c>
      <c r="J1364" s="0" t="n">
        <v>103</v>
      </c>
      <c r="K1364" s="0" t="n">
        <v>68</v>
      </c>
      <c r="L1364" s="0" t="n">
        <v>105</v>
      </c>
      <c r="M1364" s="0" t="n">
        <v>1216.79</v>
      </c>
      <c r="N1364" s="0" t="n">
        <v>37.27</v>
      </c>
      <c r="O1364" s="0" t="n">
        <v>37.47</v>
      </c>
      <c r="P1364" s="0" t="n">
        <v>4.51</v>
      </c>
      <c r="Q1364" s="0" t="n">
        <v>3.35</v>
      </c>
      <c r="R1364" s="0" t="n">
        <v>4551</v>
      </c>
      <c r="S1364" s="0" t="n">
        <v>8832</v>
      </c>
      <c r="T1364" s="0" t="n">
        <v>51.9</v>
      </c>
      <c r="U1364" s="0" t="n">
        <v>917</v>
      </c>
      <c r="V1364" s="0" t="n">
        <v>2</v>
      </c>
      <c r="W1364" s="39" t="n">
        <f aca="false">IF(I1364="Male",0,1)</f>
        <v>1</v>
      </c>
      <c r="X1364" s="39" t="n">
        <f aca="false">IF(OR(I1364="DNB",I1364="Dry DNB"),1,0)</f>
        <v>0</v>
      </c>
      <c r="Y1364" s="39" t="n">
        <f aca="false">MATCH(A1364,DATAS,0)</f>
        <v>1</v>
      </c>
      <c r="Z1364" s="39" t="n">
        <f aca="false">IF(AND(E1364&gt;0,OR(AND(B1364&gt;=1,B1364&lt;=6),B1364=10)),1,0)</f>
        <v>1</v>
      </c>
      <c r="AA1364" s="39" t="n">
        <f aca="false">IF(AND(E1364&gt;0,B1364=10),1,0)</f>
        <v>0</v>
      </c>
      <c r="AB1364" s="0" t="str">
        <f aca="false">IF(AND(C1363=C1364,Y1363=Y1364-1),Z1363,"")</f>
        <v/>
      </c>
      <c r="AC1364" s="0" t="str">
        <f aca="false">IF(AND(C1363=C1364,Y1363=Y1364-1),AA1363,"")</f>
        <v/>
      </c>
      <c r="AD1364" s="0" t="str">
        <f aca="false">IF(Y1364=1,"",IF(AND(Z1364=1,AB1364&lt;&gt;1),1,0))</f>
        <v/>
      </c>
      <c r="AE1364" s="0" t="str">
        <f aca="false">IF(Y1364=1,"",IF(AND(AA1364=1,AC1364&lt;&gt;1),1,0))</f>
        <v/>
      </c>
      <c r="AF1364" s="45" t="str">
        <f aca="false">IF(AND(E1364&gt;0,Y1364&lt;1,NOT(AND(C1365=C1364,Y1365=Y1364+1))),INDEX(DATAS,Y1364+1),"")</f>
        <v/>
      </c>
      <c r="AG1364" s="45" t="str">
        <f aca="false">IF(AND(AA1364=1,Y1364&lt;1),IF(AND(C1365=C1364,Y1365=Y1364+1),IF(AA1365=1,"",INDEX(DATAS,Y1364+1)),INDEX(DATAS,Y1364+1)),"")</f>
        <v/>
      </c>
    </row>
    <row r="1365" customFormat="false" ht="15" hidden="false" customHeight="false" outlineLevel="0" collapsed="false">
      <c r="A1365" s="45" t="n">
        <v>46309</v>
      </c>
      <c r="B1365" s="0" t="n">
        <v>4</v>
      </c>
      <c r="C1365" s="0" t="n">
        <v>5466</v>
      </c>
      <c r="D1365" s="0" t="n">
        <v>270</v>
      </c>
      <c r="E1365" s="0" t="n">
        <v>1</v>
      </c>
      <c r="F1365" s="39" t="s">
        <v>869</v>
      </c>
      <c r="G1365" s="0" t="n">
        <v>31.4</v>
      </c>
      <c r="H1365" s="0" t="n">
        <v>31</v>
      </c>
      <c r="I1365" s="39" t="s">
        <v>109</v>
      </c>
      <c r="J1365" s="0" t="n">
        <v>223</v>
      </c>
      <c r="K1365" s="0" t="n">
        <v>67</v>
      </c>
      <c r="L1365" s="0" t="n">
        <v>47</v>
      </c>
      <c r="M1365" s="0" t="n">
        <v>82.29</v>
      </c>
      <c r="N1365" s="0" t="n">
        <v>64.17</v>
      </c>
      <c r="O1365" s="0" t="n">
        <v>32.97</v>
      </c>
      <c r="P1365" s="0" t="n">
        <v>5.53</v>
      </c>
      <c r="Q1365" s="0" t="n">
        <v>4.07</v>
      </c>
      <c r="R1365" s="0" t="n">
        <v>3532</v>
      </c>
      <c r="S1365" s="0" t="n">
        <v>7459</v>
      </c>
      <c r="T1365" s="0" t="n">
        <v>35.65</v>
      </c>
      <c r="U1365" s="0" t="n">
        <v>917</v>
      </c>
      <c r="V1365" s="0" t="n">
        <v>6</v>
      </c>
      <c r="W1365" s="39" t="n">
        <f aca="false">IF(I1365="Male",0,1)</f>
        <v>1</v>
      </c>
      <c r="X1365" s="39" t="n">
        <f aca="false">IF(OR(I1365="DNB",I1365="Dry DNB"),1,0)</f>
        <v>0</v>
      </c>
      <c r="Y1365" s="39" t="n">
        <f aca="false">MATCH(A1365,DATAS,0)</f>
        <v>1</v>
      </c>
      <c r="Z1365" s="39" t="n">
        <f aca="false">IF(AND(E1365&gt;0,OR(AND(B1365&gt;=1,B1365&lt;=6),B1365=10)),1,0)</f>
        <v>1</v>
      </c>
      <c r="AA1365" s="39" t="n">
        <f aca="false">IF(AND(E1365&gt;0,B1365=10),1,0)</f>
        <v>0</v>
      </c>
      <c r="AB1365" s="0" t="str">
        <f aca="false">IF(AND(C1364=C1365,Y1364=Y1365-1),Z1364,"")</f>
        <v/>
      </c>
      <c r="AC1365" s="0" t="str">
        <f aca="false">IF(AND(C1364=C1365,Y1364=Y1365-1),AA1364,"")</f>
        <v/>
      </c>
      <c r="AD1365" s="0" t="str">
        <f aca="false">IF(Y1365=1,"",IF(AND(Z1365=1,AB1365&lt;&gt;1),1,0))</f>
        <v/>
      </c>
      <c r="AE1365" s="0" t="str">
        <f aca="false">IF(Y1365=1,"",IF(AND(AA1365=1,AC1365&lt;&gt;1),1,0))</f>
        <v/>
      </c>
      <c r="AF1365" s="45" t="str">
        <f aca="false">IF(AND(E1365&gt;0,Y1365&lt;1,NOT(AND(C1366=C1365,Y1366=Y1365+1))),INDEX(DATAS,Y1365+1),"")</f>
        <v/>
      </c>
      <c r="AG1365" s="45" t="str">
        <f aca="false">IF(AND(AA1365=1,Y1365&lt;1),IF(AND(C1366=C1365,Y1366=Y1365+1),IF(AA1366=1,"",INDEX(DATAS,Y1365+1)),INDEX(DATAS,Y1365+1)),"")</f>
        <v/>
      </c>
    </row>
    <row r="1366" customFormat="false" ht="15" hidden="false" customHeight="false" outlineLevel="0" collapsed="false">
      <c r="A1366" s="45" t="n">
        <v>46309</v>
      </c>
      <c r="B1366" s="0" t="n">
        <v>4</v>
      </c>
      <c r="C1366" s="0" t="n">
        <v>5467</v>
      </c>
      <c r="D1366" s="0" t="n">
        <v>264</v>
      </c>
      <c r="E1366" s="0" t="n">
        <v>1</v>
      </c>
      <c r="F1366" s="39" t="s">
        <v>869</v>
      </c>
      <c r="G1366" s="0" t="n">
        <v>43.7</v>
      </c>
      <c r="H1366" s="0" t="n">
        <v>45</v>
      </c>
      <c r="I1366" s="39" t="s">
        <v>109</v>
      </c>
      <c r="J1366" s="0" t="n">
        <v>68</v>
      </c>
      <c r="K1366" s="0" t="n">
        <v>68</v>
      </c>
      <c r="L1366" s="0" t="n">
        <v>196</v>
      </c>
      <c r="M1366" s="0" t="n">
        <v>453.56</v>
      </c>
      <c r="N1366" s="0" t="n">
        <v>53.56</v>
      </c>
      <c r="O1366" s="0" t="n">
        <v>31.68</v>
      </c>
      <c r="P1366" s="0" t="n">
        <v>3.42</v>
      </c>
      <c r="Q1366" s="0" t="n">
        <v>3.46</v>
      </c>
      <c r="R1366" s="0" t="n">
        <v>4589</v>
      </c>
      <c r="S1366" s="0" t="n">
        <v>10206</v>
      </c>
      <c r="T1366" s="0" t="n">
        <v>48.25</v>
      </c>
      <c r="U1366" s="0" t="n">
        <v>917</v>
      </c>
      <c r="V1366" s="0" t="n">
        <v>1</v>
      </c>
      <c r="W1366" s="39" t="n">
        <f aca="false">IF(I1366="Male",0,1)</f>
        <v>1</v>
      </c>
      <c r="X1366" s="39" t="n">
        <f aca="false">IF(OR(I1366="DNB",I1366="Dry DNB"),1,0)</f>
        <v>0</v>
      </c>
      <c r="Y1366" s="39" t="n">
        <f aca="false">MATCH(A1366,DATAS,0)</f>
        <v>1</v>
      </c>
      <c r="Z1366" s="39" t="n">
        <f aca="false">IF(AND(E1366&gt;0,OR(AND(B1366&gt;=1,B1366&lt;=6),B1366=10)),1,0)</f>
        <v>1</v>
      </c>
      <c r="AA1366" s="39" t="n">
        <f aca="false">IF(AND(E1366&gt;0,B1366=10),1,0)</f>
        <v>0</v>
      </c>
      <c r="AB1366" s="0" t="str">
        <f aca="false">IF(AND(C1365=C1366,Y1365=Y1366-1),Z1365,"")</f>
        <v/>
      </c>
      <c r="AC1366" s="0" t="str">
        <f aca="false">IF(AND(C1365=C1366,Y1365=Y1366-1),AA1365,"")</f>
        <v/>
      </c>
      <c r="AD1366" s="0" t="str">
        <f aca="false">IF(Y1366=1,"",IF(AND(Z1366=1,AB1366&lt;&gt;1),1,0))</f>
        <v/>
      </c>
      <c r="AE1366" s="0" t="str">
        <f aca="false">IF(Y1366=1,"",IF(AND(AA1366=1,AC1366&lt;&gt;1),1,0))</f>
        <v/>
      </c>
      <c r="AF1366" s="45" t="str">
        <f aca="false">IF(AND(E1366&gt;0,Y1366&lt;1,NOT(AND(C1367=C1366,Y1367=Y1366+1))),INDEX(DATAS,Y1366+1),"")</f>
        <v/>
      </c>
      <c r="AG1366" s="45" t="str">
        <f aca="false">IF(AND(AA1366=1,Y1366&lt;1),IF(AND(C1367=C1366,Y1367=Y1366+1),IF(AA1367=1,"",INDEX(DATAS,Y1366+1)),INDEX(DATAS,Y1366+1)),"")</f>
        <v/>
      </c>
    </row>
    <row r="1367" customFormat="false" ht="15" hidden="false" customHeight="false" outlineLevel="0" collapsed="false">
      <c r="A1367" s="45" t="n">
        <v>46309</v>
      </c>
      <c r="B1367" s="0" t="n">
        <v>7</v>
      </c>
      <c r="C1367" s="0" t="n">
        <v>5468</v>
      </c>
      <c r="D1367" s="0" t="n">
        <v>284</v>
      </c>
      <c r="E1367" s="0" t="n">
        <v>1</v>
      </c>
      <c r="F1367" s="39" t="s">
        <v>870</v>
      </c>
      <c r="I1367" s="39" t="s">
        <v>114</v>
      </c>
      <c r="J1367" s="0" t="n">
        <v>61</v>
      </c>
      <c r="K1367" s="0" t="n">
        <v>61</v>
      </c>
      <c r="L1367" s="0" t="n">
        <v>231</v>
      </c>
      <c r="M1367" s="0" t="n">
        <v>561.94</v>
      </c>
      <c r="N1367" s="0" t="n">
        <v>64.62</v>
      </c>
      <c r="O1367" s="0" t="n">
        <v>27.29</v>
      </c>
      <c r="P1367" s="0" t="n">
        <v>3.23</v>
      </c>
      <c r="Q1367" s="0" t="n">
        <v>3.58</v>
      </c>
      <c r="R1367" s="0" t="n">
        <v>3494</v>
      </c>
      <c r="S1367" s="0" t="n">
        <v>8372</v>
      </c>
      <c r="T1367" s="0" t="n">
        <v>35.35</v>
      </c>
      <c r="U1367" s="0" t="n">
        <v>916</v>
      </c>
      <c r="V1367" s="0" t="n">
        <v>1</v>
      </c>
      <c r="W1367" s="39" t="n">
        <f aca="false">IF(I1367="Male",0,1)</f>
        <v>1</v>
      </c>
      <c r="X1367" s="39" t="n">
        <f aca="false">IF(OR(I1367="DNB",I1367="Dry DNB"),1,0)</f>
        <v>0</v>
      </c>
      <c r="Y1367" s="39" t="n">
        <f aca="false">MATCH(A1367,DATAS,0)</f>
        <v>1</v>
      </c>
      <c r="Z1367" s="39" t="n">
        <f aca="false">IF(AND(E1367&gt;0,OR(AND(B1367&gt;=1,B1367&lt;=6),B1367=10)),1,0)</f>
        <v>0</v>
      </c>
      <c r="AA1367" s="39" t="n">
        <f aca="false">IF(AND(E1367&gt;0,B1367=10),1,0)</f>
        <v>0</v>
      </c>
      <c r="AB1367" s="0" t="str">
        <f aca="false">IF(AND(C1366=C1367,Y1366=Y1367-1),Z1366,"")</f>
        <v/>
      </c>
      <c r="AC1367" s="0" t="str">
        <f aca="false">IF(AND(C1366=C1367,Y1366=Y1367-1),AA1366,"")</f>
        <v/>
      </c>
      <c r="AD1367" s="0" t="str">
        <f aca="false">IF(Y1367=1,"",IF(AND(Z1367=1,AB1367&lt;&gt;1),1,0))</f>
        <v/>
      </c>
      <c r="AE1367" s="0" t="str">
        <f aca="false">IF(Y1367=1,"",IF(AND(AA1367=1,AC1367&lt;&gt;1),1,0))</f>
        <v/>
      </c>
      <c r="AF1367" s="45" t="str">
        <f aca="false">IF(AND(E1367&gt;0,Y1367&lt;1,NOT(AND(C1368=C1367,Y1368=Y1367+1))),INDEX(DATAS,Y1367+1),"")</f>
        <v/>
      </c>
      <c r="AG1367" s="45" t="str">
        <f aca="false">IF(AND(AA1367=1,Y1367&lt;1),IF(AND(C1368=C1367,Y1368=Y1367+1),IF(AA1368=1,"",INDEX(DATAS,Y1367+1)),INDEX(DATAS,Y1367+1)),"")</f>
        <v/>
      </c>
    </row>
    <row r="1368" customFormat="false" ht="15" hidden="false" customHeight="false" outlineLevel="0" collapsed="false">
      <c r="A1368" s="45" t="n">
        <v>46309</v>
      </c>
      <c r="B1368" s="0" t="n">
        <v>10</v>
      </c>
      <c r="C1368" s="0" t="n">
        <v>5469</v>
      </c>
      <c r="D1368" s="0" t="n">
        <v>237</v>
      </c>
      <c r="E1368" s="0" t="n">
        <v>1</v>
      </c>
      <c r="F1368" s="39" t="s">
        <v>871</v>
      </c>
      <c r="G1368" s="0" t="n">
        <v>12.7</v>
      </c>
      <c r="H1368" s="0" t="n">
        <v>30</v>
      </c>
      <c r="I1368" s="39" t="s">
        <v>109</v>
      </c>
      <c r="J1368" s="0" t="n">
        <v>104</v>
      </c>
      <c r="K1368" s="0" t="n">
        <v>69</v>
      </c>
      <c r="L1368" s="0" t="n">
        <v>133</v>
      </c>
      <c r="M1368" s="0" t="n">
        <v>371.46</v>
      </c>
      <c r="N1368" s="0" t="n">
        <v>41.58</v>
      </c>
      <c r="O1368" s="0" t="n">
        <v>26.89</v>
      </c>
      <c r="P1368" s="0" t="n">
        <v>5.05</v>
      </c>
      <c r="Q1368" s="0" t="n">
        <v>3.61</v>
      </c>
      <c r="R1368" s="0" t="n">
        <v>3927</v>
      </c>
      <c r="S1368" s="0" t="n">
        <v>8776</v>
      </c>
      <c r="T1368" s="0" t="n">
        <v>46</v>
      </c>
      <c r="U1368" s="0" t="n">
        <v>914</v>
      </c>
      <c r="V1368" s="0" t="n">
        <v>2</v>
      </c>
      <c r="W1368" s="39" t="n">
        <f aca="false">IF(I1368="Male",0,1)</f>
        <v>1</v>
      </c>
      <c r="X1368" s="39" t="n">
        <f aca="false">IF(OR(I1368="DNB",I1368="Dry DNB"),1,0)</f>
        <v>0</v>
      </c>
      <c r="Y1368" s="39" t="n">
        <f aca="false">MATCH(A1368,DATAS,0)</f>
        <v>1</v>
      </c>
      <c r="Z1368" s="39" t="n">
        <f aca="false">IF(AND(E1368&gt;0,OR(AND(B1368&gt;=1,B1368&lt;=6),B1368=10)),1,0)</f>
        <v>1</v>
      </c>
      <c r="AA1368" s="39" t="n">
        <f aca="false">IF(AND(E1368&gt;0,B1368=10),1,0)</f>
        <v>1</v>
      </c>
      <c r="AB1368" s="0" t="str">
        <f aca="false">IF(AND(C1367=C1368,Y1367=Y1368-1),Z1367,"")</f>
        <v/>
      </c>
      <c r="AC1368" s="0" t="str">
        <f aca="false">IF(AND(C1367=C1368,Y1367=Y1368-1),AA1367,"")</f>
        <v/>
      </c>
      <c r="AD1368" s="0" t="str">
        <f aca="false">IF(Y1368=1,"",IF(AND(Z1368=1,AB1368&lt;&gt;1),1,0))</f>
        <v/>
      </c>
      <c r="AE1368" s="0" t="str">
        <f aca="false">IF(Y1368=1,"",IF(AND(AA1368=1,AC1368&lt;&gt;1),1,0))</f>
        <v/>
      </c>
      <c r="AF1368" s="45" t="str">
        <f aca="false">IF(AND(E1368&gt;0,Y1368&lt;1,NOT(AND(C1369=C1368,Y1369=Y1368+1))),INDEX(DATAS,Y1368+1),"")</f>
        <v/>
      </c>
      <c r="AG1368" s="45" t="str">
        <f aca="false">IF(AND(AA1368=1,Y1368&lt;1),IF(AND(C1369=C1368,Y1369=Y1368+1),IF(AA1369=1,"",INDEX(DATAS,Y1368+1)),INDEX(DATAS,Y1368+1)),"")</f>
        <v/>
      </c>
    </row>
    <row r="1369" customFormat="false" ht="15" hidden="false" customHeight="false" outlineLevel="0" collapsed="false">
      <c r="A1369" s="45" t="n">
        <v>46309</v>
      </c>
      <c r="B1369" s="0" t="n">
        <v>4</v>
      </c>
      <c r="C1369" s="0" t="n">
        <v>5471</v>
      </c>
      <c r="D1369" s="0" t="n">
        <v>259</v>
      </c>
      <c r="E1369" s="0" t="n">
        <v>1</v>
      </c>
      <c r="F1369" s="39" t="s">
        <v>872</v>
      </c>
      <c r="G1369" s="0" t="n">
        <v>43.8</v>
      </c>
      <c r="H1369" s="0" t="n">
        <v>42</v>
      </c>
      <c r="I1369" s="39" t="s">
        <v>109</v>
      </c>
      <c r="J1369" s="0" t="n">
        <v>98</v>
      </c>
      <c r="K1369" s="0" t="n">
        <v>63</v>
      </c>
      <c r="L1369" s="0" t="n">
        <v>161</v>
      </c>
      <c r="M1369" s="0" t="n">
        <v>823.28</v>
      </c>
      <c r="N1369" s="0" t="n">
        <v>56.89</v>
      </c>
      <c r="O1369" s="0" t="n">
        <v>26.65</v>
      </c>
      <c r="P1369" s="0" t="n">
        <v>3.55</v>
      </c>
      <c r="Q1369" s="0" t="n">
        <v>3.43</v>
      </c>
      <c r="R1369" s="0" t="n">
        <v>4159</v>
      </c>
      <c r="S1369" s="0" t="n">
        <v>8751</v>
      </c>
      <c r="T1369" s="0" t="n">
        <v>54.3</v>
      </c>
      <c r="U1369" s="0" t="n">
        <v>913</v>
      </c>
      <c r="V1369" s="0" t="n">
        <v>2</v>
      </c>
      <c r="W1369" s="39" t="n">
        <f aca="false">IF(I1369="Male",0,1)</f>
        <v>1</v>
      </c>
      <c r="X1369" s="39" t="n">
        <f aca="false">IF(OR(I1369="DNB",I1369="Dry DNB"),1,0)</f>
        <v>0</v>
      </c>
      <c r="Y1369" s="39" t="n">
        <f aca="false">MATCH(A1369,DATAS,0)</f>
        <v>1</v>
      </c>
      <c r="Z1369" s="39" t="n">
        <f aca="false">IF(AND(E1369&gt;0,OR(AND(B1369&gt;=1,B1369&lt;=6),B1369=10)),1,0)</f>
        <v>1</v>
      </c>
      <c r="AA1369" s="39" t="n">
        <f aca="false">IF(AND(E1369&gt;0,B1369=10),1,0)</f>
        <v>0</v>
      </c>
      <c r="AB1369" s="0" t="str">
        <f aca="false">IF(AND(C1368=C1369,Y1368=Y1369-1),Z1368,"")</f>
        <v/>
      </c>
      <c r="AC1369" s="0" t="str">
        <f aca="false">IF(AND(C1368=C1369,Y1368=Y1369-1),AA1368,"")</f>
        <v/>
      </c>
      <c r="AD1369" s="0" t="str">
        <f aca="false">IF(Y1369=1,"",IF(AND(Z1369=1,AB1369&lt;&gt;1),1,0))</f>
        <v/>
      </c>
      <c r="AE1369" s="0" t="str">
        <f aca="false">IF(Y1369=1,"",IF(AND(AA1369=1,AC1369&lt;&gt;1),1,0))</f>
        <v/>
      </c>
      <c r="AF1369" s="45" t="str">
        <f aca="false">IF(AND(E1369&gt;0,Y1369&lt;1,NOT(AND(C1370=C1369,Y1370=Y1369+1))),INDEX(DATAS,Y1369+1),"")</f>
        <v/>
      </c>
      <c r="AG1369" s="45" t="str">
        <f aca="false">IF(AND(AA1369=1,Y1369&lt;1),IF(AND(C1370=C1369,Y1370=Y1369+1),IF(AA1370=1,"",INDEX(DATAS,Y1369+1)),INDEX(DATAS,Y1369+1)),"")</f>
        <v/>
      </c>
    </row>
    <row r="1370" customFormat="false" ht="15" hidden="false" customHeight="false" outlineLevel="0" collapsed="false">
      <c r="A1370" s="45" t="n">
        <v>46309</v>
      </c>
      <c r="B1370" s="0" t="n">
        <v>4</v>
      </c>
      <c r="C1370" s="0" t="n">
        <v>5472</v>
      </c>
      <c r="D1370" s="0" t="n">
        <v>245</v>
      </c>
      <c r="E1370" s="0" t="n">
        <v>1</v>
      </c>
      <c r="F1370" s="39" t="s">
        <v>873</v>
      </c>
      <c r="G1370" s="0" t="n">
        <v>44.4</v>
      </c>
      <c r="H1370" s="0" t="n">
        <v>45</v>
      </c>
      <c r="I1370" s="39" t="s">
        <v>109</v>
      </c>
      <c r="J1370" s="0" t="n">
        <v>105</v>
      </c>
      <c r="K1370" s="0" t="n">
        <v>70</v>
      </c>
      <c r="L1370" s="0" t="n">
        <v>140</v>
      </c>
      <c r="M1370" s="0" t="n">
        <v>642.17</v>
      </c>
      <c r="N1370" s="0" t="n">
        <v>61.22</v>
      </c>
      <c r="O1370" s="0" t="n">
        <v>29.48</v>
      </c>
      <c r="P1370" s="0" t="n">
        <v>3.27</v>
      </c>
      <c r="Q1370" s="0" t="n">
        <v>3.56</v>
      </c>
      <c r="R1370" s="0" t="n">
        <v>3743</v>
      </c>
      <c r="S1370" s="0" t="n">
        <v>8247</v>
      </c>
      <c r="T1370" s="0" t="n">
        <v>39.25</v>
      </c>
      <c r="U1370" s="0" t="n">
        <v>912</v>
      </c>
      <c r="V1370" s="0" t="n">
        <v>2</v>
      </c>
      <c r="W1370" s="39" t="n">
        <f aca="false">IF(I1370="Male",0,1)</f>
        <v>1</v>
      </c>
      <c r="X1370" s="39" t="n">
        <f aca="false">IF(OR(I1370="DNB",I1370="Dry DNB"),1,0)</f>
        <v>0</v>
      </c>
      <c r="Y1370" s="39" t="n">
        <f aca="false">MATCH(A1370,DATAS,0)</f>
        <v>1</v>
      </c>
      <c r="Z1370" s="39" t="n">
        <f aca="false">IF(AND(E1370&gt;0,OR(AND(B1370&gt;=1,B1370&lt;=6),B1370=10)),1,0)</f>
        <v>1</v>
      </c>
      <c r="AA1370" s="39" t="n">
        <f aca="false">IF(AND(E1370&gt;0,B1370=10),1,0)</f>
        <v>0</v>
      </c>
      <c r="AB1370" s="0" t="str">
        <f aca="false">IF(AND(C1369=C1370,Y1369=Y1370-1),Z1369,"")</f>
        <v/>
      </c>
      <c r="AC1370" s="0" t="str">
        <f aca="false">IF(AND(C1369=C1370,Y1369=Y1370-1),AA1369,"")</f>
        <v/>
      </c>
      <c r="AD1370" s="0" t="str">
        <f aca="false">IF(Y1370=1,"",IF(AND(Z1370=1,AB1370&lt;&gt;1),1,0))</f>
        <v/>
      </c>
      <c r="AE1370" s="0" t="str">
        <f aca="false">IF(Y1370=1,"",IF(AND(AA1370=1,AC1370&lt;&gt;1),1,0))</f>
        <v/>
      </c>
      <c r="AF1370" s="45" t="str">
        <f aca="false">IF(AND(E1370&gt;0,Y1370&lt;1,NOT(AND(C1371=C1370,Y1371=Y1370+1))),INDEX(DATAS,Y1370+1),"")</f>
        <v/>
      </c>
      <c r="AG1370" s="45" t="str">
        <f aca="false">IF(AND(AA1370=1,Y1370&lt;1),IF(AND(C1371=C1370,Y1371=Y1370+1),IF(AA1371=1,"",INDEX(DATAS,Y1370+1)),INDEX(DATAS,Y1370+1)),"")</f>
        <v/>
      </c>
    </row>
    <row r="1371" customFormat="false" ht="15" hidden="false" customHeight="false" outlineLevel="0" collapsed="false">
      <c r="A1371" s="45" t="n">
        <v>46309</v>
      </c>
      <c r="B1371" s="0" t="n">
        <v>4</v>
      </c>
      <c r="C1371" s="0" t="n">
        <v>5473</v>
      </c>
      <c r="D1371" s="0" t="n">
        <v>196</v>
      </c>
      <c r="E1371" s="0" t="n">
        <v>1</v>
      </c>
      <c r="F1371" s="39" t="s">
        <v>874</v>
      </c>
      <c r="G1371" s="0" t="n">
        <v>53.7</v>
      </c>
      <c r="H1371" s="0" t="n">
        <v>55</v>
      </c>
      <c r="I1371" s="39" t="s">
        <v>109</v>
      </c>
      <c r="J1371" s="0" t="n">
        <v>63</v>
      </c>
      <c r="K1371" s="0" t="n">
        <v>63</v>
      </c>
      <c r="L1371" s="0" t="n">
        <v>133</v>
      </c>
      <c r="M1371" s="0" t="n">
        <v>160.29</v>
      </c>
      <c r="N1371" s="0" t="n">
        <v>61.83</v>
      </c>
      <c r="O1371" s="0" t="n">
        <v>26.91</v>
      </c>
      <c r="P1371" s="0" t="n">
        <v>3.38</v>
      </c>
      <c r="Q1371" s="0" t="n">
        <v>3.63</v>
      </c>
      <c r="R1371" s="0" t="n">
        <v>4580</v>
      </c>
      <c r="S1371" s="0" t="n">
        <v>10234</v>
      </c>
      <c r="T1371" s="0" t="n">
        <v>47.25</v>
      </c>
      <c r="U1371" s="0" t="n">
        <v>911</v>
      </c>
      <c r="V1371" s="0" t="n">
        <v>1</v>
      </c>
      <c r="W1371" s="39" t="n">
        <f aca="false">IF(I1371="Male",0,1)</f>
        <v>1</v>
      </c>
      <c r="X1371" s="39" t="n">
        <f aca="false">IF(OR(I1371="DNB",I1371="Dry DNB"),1,0)</f>
        <v>0</v>
      </c>
      <c r="Y1371" s="39" t="n">
        <f aca="false">MATCH(A1371,DATAS,0)</f>
        <v>1</v>
      </c>
      <c r="Z1371" s="39" t="n">
        <f aca="false">IF(AND(E1371&gt;0,OR(AND(B1371&gt;=1,B1371&lt;=6),B1371=10)),1,0)</f>
        <v>1</v>
      </c>
      <c r="AA1371" s="39" t="n">
        <f aca="false">IF(AND(E1371&gt;0,B1371=10),1,0)</f>
        <v>0</v>
      </c>
      <c r="AB1371" s="0" t="str">
        <f aca="false">IF(AND(C1370=C1371,Y1370=Y1371-1),Z1370,"")</f>
        <v/>
      </c>
      <c r="AC1371" s="0" t="str">
        <f aca="false">IF(AND(C1370=C1371,Y1370=Y1371-1),AA1370,"")</f>
        <v/>
      </c>
      <c r="AD1371" s="0" t="str">
        <f aca="false">IF(Y1371=1,"",IF(AND(Z1371=1,AB1371&lt;&gt;1),1,0))</f>
        <v/>
      </c>
      <c r="AE1371" s="0" t="str">
        <f aca="false">IF(Y1371=1,"",IF(AND(AA1371=1,AC1371&lt;&gt;1),1,0))</f>
        <v/>
      </c>
      <c r="AF1371" s="45" t="str">
        <f aca="false">IF(AND(E1371&gt;0,Y1371&lt;1,NOT(AND(C1372=C1371,Y1372=Y1371+1))),INDEX(DATAS,Y1371+1),"")</f>
        <v/>
      </c>
      <c r="AG1371" s="45" t="str">
        <f aca="false">IF(AND(AA1371=1,Y1371&lt;1),IF(AND(C1372=C1371,Y1372=Y1371+1),IF(AA1372=1,"",INDEX(DATAS,Y1371+1)),INDEX(DATAS,Y1371+1)),"")</f>
        <v/>
      </c>
    </row>
    <row r="1372" customFormat="false" ht="15" hidden="false" customHeight="false" outlineLevel="0" collapsed="false">
      <c r="A1372" s="45" t="n">
        <v>46309</v>
      </c>
      <c r="B1372" s="0" t="n">
        <v>4</v>
      </c>
      <c r="C1372" s="0" t="n">
        <v>5474</v>
      </c>
      <c r="D1372" s="0" t="n">
        <v>242</v>
      </c>
      <c r="E1372" s="0" t="n">
        <v>1</v>
      </c>
      <c r="F1372" s="39" t="s">
        <v>875</v>
      </c>
      <c r="G1372" s="0" t="n">
        <v>42.2</v>
      </c>
      <c r="H1372" s="0" t="n">
        <v>44</v>
      </c>
      <c r="I1372" s="39" t="s">
        <v>109</v>
      </c>
      <c r="J1372" s="0" t="n">
        <v>158</v>
      </c>
      <c r="K1372" s="0" t="n">
        <v>91</v>
      </c>
      <c r="L1372" s="0" t="n">
        <v>84</v>
      </c>
      <c r="P1372" s="0" t="n">
        <v>3.88</v>
      </c>
      <c r="Q1372" s="0" t="n">
        <v>3.52</v>
      </c>
      <c r="R1372" s="0" t="n">
        <v>3285</v>
      </c>
      <c r="S1372" s="0" t="n">
        <v>7186</v>
      </c>
      <c r="T1372" s="0" t="n">
        <v>34.85</v>
      </c>
      <c r="U1372" s="0" t="n">
        <v>910</v>
      </c>
      <c r="V1372" s="0" t="n">
        <v>3</v>
      </c>
      <c r="W1372" s="39" t="n">
        <f aca="false">IF(I1372="Male",0,1)</f>
        <v>1</v>
      </c>
      <c r="X1372" s="39" t="n">
        <f aca="false">IF(OR(I1372="DNB",I1372="Dry DNB"),1,0)</f>
        <v>0</v>
      </c>
      <c r="Y1372" s="39" t="n">
        <f aca="false">MATCH(A1372,DATAS,0)</f>
        <v>1</v>
      </c>
      <c r="Z1372" s="39" t="n">
        <f aca="false">IF(AND(E1372&gt;0,OR(AND(B1372&gt;=1,B1372&lt;=6),B1372=10)),1,0)</f>
        <v>1</v>
      </c>
      <c r="AA1372" s="39" t="n">
        <f aca="false">IF(AND(E1372&gt;0,B1372=10),1,0)</f>
        <v>0</v>
      </c>
      <c r="AB1372" s="0" t="str">
        <f aca="false">IF(AND(C1371=C1372,Y1371=Y1372-1),Z1371,"")</f>
        <v/>
      </c>
      <c r="AC1372" s="0" t="str">
        <f aca="false">IF(AND(C1371=C1372,Y1371=Y1372-1),AA1371,"")</f>
        <v/>
      </c>
      <c r="AD1372" s="0" t="str">
        <f aca="false">IF(Y1372=1,"",IF(AND(Z1372=1,AB1372&lt;&gt;1),1,0))</f>
        <v/>
      </c>
      <c r="AE1372" s="0" t="str">
        <f aca="false">IF(Y1372=1,"",IF(AND(AA1372=1,AC1372&lt;&gt;1),1,0))</f>
        <v/>
      </c>
      <c r="AF1372" s="45" t="str">
        <f aca="false">IF(AND(E1372&gt;0,Y1372&lt;1,NOT(AND(C1373=C1372,Y1373=Y1372+1))),INDEX(DATAS,Y1372+1),"")</f>
        <v/>
      </c>
      <c r="AG1372" s="45" t="str">
        <f aca="false">IF(AND(AA1372=1,Y1372&lt;1),IF(AND(C1373=C1372,Y1373=Y1372+1),IF(AA1373=1,"",INDEX(DATAS,Y1372+1)),INDEX(DATAS,Y1372+1)),"")</f>
        <v/>
      </c>
    </row>
    <row r="1373" customFormat="false" ht="15" hidden="false" customHeight="false" outlineLevel="0" collapsed="false">
      <c r="A1373" s="45" t="n">
        <v>46309</v>
      </c>
      <c r="B1373" s="0" t="n">
        <v>4</v>
      </c>
      <c r="C1373" s="0" t="n">
        <v>5475</v>
      </c>
      <c r="D1373" s="0" t="n">
        <v>223</v>
      </c>
      <c r="E1373" s="0" t="n">
        <v>1</v>
      </c>
      <c r="F1373" s="39" t="s">
        <v>875</v>
      </c>
      <c r="G1373" s="0" t="n">
        <v>42.2</v>
      </c>
      <c r="H1373" s="0" t="n">
        <v>43</v>
      </c>
      <c r="I1373" s="39" t="s">
        <v>109</v>
      </c>
      <c r="J1373" s="0" t="n">
        <v>69</v>
      </c>
      <c r="K1373" s="0" t="n">
        <v>69</v>
      </c>
      <c r="L1373" s="0" t="n">
        <v>154</v>
      </c>
      <c r="M1373" s="0" t="n">
        <v>-150.32</v>
      </c>
      <c r="N1373" s="0" t="n">
        <v>55.77</v>
      </c>
      <c r="O1373" s="0" t="n">
        <v>12.35</v>
      </c>
      <c r="P1373" s="0" t="n">
        <v>4.65</v>
      </c>
      <c r="Q1373" s="0" t="n">
        <v>3.75</v>
      </c>
      <c r="R1373" s="0" t="n">
        <v>3739</v>
      </c>
      <c r="S1373" s="0" t="n">
        <v>8259</v>
      </c>
      <c r="T1373" s="0" t="n">
        <v>38.5</v>
      </c>
      <c r="U1373" s="0" t="n">
        <v>910</v>
      </c>
      <c r="V1373" s="0" t="n">
        <v>1</v>
      </c>
      <c r="W1373" s="39" t="n">
        <f aca="false">IF(I1373="Male",0,1)</f>
        <v>1</v>
      </c>
      <c r="X1373" s="39" t="n">
        <f aca="false">IF(OR(I1373="DNB",I1373="Dry DNB"),1,0)</f>
        <v>0</v>
      </c>
      <c r="Y1373" s="39" t="n">
        <f aca="false">MATCH(A1373,DATAS,0)</f>
        <v>1</v>
      </c>
      <c r="Z1373" s="39" t="n">
        <f aca="false">IF(AND(E1373&gt;0,OR(AND(B1373&gt;=1,B1373&lt;=6),B1373=10)),1,0)</f>
        <v>1</v>
      </c>
      <c r="AA1373" s="39" t="n">
        <f aca="false">IF(AND(E1373&gt;0,B1373=10),1,0)</f>
        <v>0</v>
      </c>
      <c r="AB1373" s="0" t="str">
        <f aca="false">IF(AND(C1372=C1373,Y1372=Y1373-1),Z1372,"")</f>
        <v/>
      </c>
      <c r="AC1373" s="0" t="str">
        <f aca="false">IF(AND(C1372=C1373,Y1372=Y1373-1),AA1372,"")</f>
        <v/>
      </c>
      <c r="AD1373" s="0" t="str">
        <f aca="false">IF(Y1373=1,"",IF(AND(Z1373=1,AB1373&lt;&gt;1),1,0))</f>
        <v/>
      </c>
      <c r="AE1373" s="0" t="str">
        <f aca="false">IF(Y1373=1,"",IF(AND(AA1373=1,AC1373&lt;&gt;1),1,0))</f>
        <v/>
      </c>
      <c r="AF1373" s="45" t="str">
        <f aca="false">IF(AND(E1373&gt;0,Y1373&lt;1,NOT(AND(C1374=C1373,Y1374=Y1373+1))),INDEX(DATAS,Y1373+1),"")</f>
        <v/>
      </c>
      <c r="AG1373" s="45" t="str">
        <f aca="false">IF(AND(AA1373=1,Y1373&lt;1),IF(AND(C1374=C1373,Y1374=Y1373+1),IF(AA1374=1,"",INDEX(DATAS,Y1373+1)),INDEX(DATAS,Y1373+1)),"")</f>
        <v/>
      </c>
    </row>
    <row r="1374" customFormat="false" ht="15" hidden="false" customHeight="false" outlineLevel="0" collapsed="false">
      <c r="A1374" s="45" t="n">
        <v>46309</v>
      </c>
      <c r="B1374" s="0" t="n">
        <v>4</v>
      </c>
      <c r="C1374" s="0" t="n">
        <v>5477</v>
      </c>
      <c r="D1374" s="0" t="n">
        <v>195</v>
      </c>
      <c r="E1374" s="0" t="n">
        <v>1</v>
      </c>
      <c r="F1374" s="39" t="s">
        <v>876</v>
      </c>
      <c r="G1374" s="0" t="n">
        <v>54.7</v>
      </c>
      <c r="H1374" s="0" t="n">
        <v>53</v>
      </c>
      <c r="I1374" s="39" t="s">
        <v>109</v>
      </c>
      <c r="J1374" s="0" t="n">
        <v>62</v>
      </c>
      <c r="K1374" s="0" t="n">
        <v>62</v>
      </c>
      <c r="L1374" s="0" t="n">
        <v>133</v>
      </c>
      <c r="M1374" s="0" t="n">
        <v>767.37</v>
      </c>
      <c r="N1374" s="0" t="n">
        <v>79.76</v>
      </c>
      <c r="O1374" s="0" t="n">
        <v>37.41</v>
      </c>
      <c r="P1374" s="0" t="n">
        <v>4.15</v>
      </c>
      <c r="Q1374" s="0" t="n">
        <v>3.44</v>
      </c>
      <c r="R1374" s="0" t="n">
        <v>4644</v>
      </c>
      <c r="S1374" s="0" t="n">
        <v>9848</v>
      </c>
      <c r="T1374" s="0" t="n">
        <v>50.45</v>
      </c>
      <c r="U1374" s="0" t="n">
        <v>909</v>
      </c>
      <c r="V1374" s="0" t="n">
        <v>1</v>
      </c>
      <c r="W1374" s="39" t="n">
        <f aca="false">IF(I1374="Male",0,1)</f>
        <v>1</v>
      </c>
      <c r="X1374" s="39" t="n">
        <f aca="false">IF(OR(I1374="DNB",I1374="Dry DNB"),1,0)</f>
        <v>0</v>
      </c>
      <c r="Y1374" s="39" t="n">
        <f aca="false">MATCH(A1374,DATAS,0)</f>
        <v>1</v>
      </c>
      <c r="Z1374" s="39" t="n">
        <f aca="false">IF(AND(E1374&gt;0,OR(AND(B1374&gt;=1,B1374&lt;=6),B1374=10)),1,0)</f>
        <v>1</v>
      </c>
      <c r="AA1374" s="39" t="n">
        <f aca="false">IF(AND(E1374&gt;0,B1374=10),1,0)</f>
        <v>0</v>
      </c>
      <c r="AB1374" s="0" t="str">
        <f aca="false">IF(AND(C1373=C1374,Y1373=Y1374-1),Z1373,"")</f>
        <v/>
      </c>
      <c r="AC1374" s="0" t="str">
        <f aca="false">IF(AND(C1373=C1374,Y1373=Y1374-1),AA1373,"")</f>
        <v/>
      </c>
      <c r="AD1374" s="0" t="str">
        <f aca="false">IF(Y1374=1,"",IF(AND(Z1374=1,AB1374&lt;&gt;1),1,0))</f>
        <v/>
      </c>
      <c r="AE1374" s="0" t="str">
        <f aca="false">IF(Y1374=1,"",IF(AND(AA1374=1,AC1374&lt;&gt;1),1,0))</f>
        <v/>
      </c>
      <c r="AF1374" s="45" t="str">
        <f aca="false">IF(AND(E1374&gt;0,Y1374&lt;1,NOT(AND(C1375=C1374,Y1375=Y1374+1))),INDEX(DATAS,Y1374+1),"")</f>
        <v/>
      </c>
      <c r="AG1374" s="45" t="str">
        <f aca="false">IF(AND(AA1374=1,Y1374&lt;1),IF(AND(C1375=C1374,Y1375=Y1374+1),IF(AA1375=1,"",INDEX(DATAS,Y1374+1)),INDEX(DATAS,Y1374+1)),"")</f>
        <v/>
      </c>
    </row>
    <row r="1375" customFormat="false" ht="15" hidden="false" customHeight="false" outlineLevel="0" collapsed="false">
      <c r="A1375" s="45" t="n">
        <v>46309</v>
      </c>
      <c r="B1375" s="0" t="n">
        <v>4</v>
      </c>
      <c r="C1375" s="0" t="n">
        <v>5478</v>
      </c>
      <c r="D1375" s="0" t="n">
        <v>200</v>
      </c>
      <c r="E1375" s="0" t="n">
        <v>1</v>
      </c>
      <c r="F1375" s="39" t="s">
        <v>877</v>
      </c>
      <c r="G1375" s="0" t="n">
        <v>48.8</v>
      </c>
      <c r="H1375" s="0" t="n">
        <v>47</v>
      </c>
      <c r="I1375" s="39" t="s">
        <v>138</v>
      </c>
      <c r="J1375" s="0" t="n">
        <v>200</v>
      </c>
      <c r="K1375" s="0" t="n">
        <v>67</v>
      </c>
      <c r="M1375" s="0" t="n">
        <v>650.78</v>
      </c>
      <c r="N1375" s="0" t="n">
        <v>56.36</v>
      </c>
      <c r="O1375" s="0" t="n">
        <v>36.05</v>
      </c>
      <c r="P1375" s="0" t="n">
        <v>4</v>
      </c>
      <c r="Q1375" s="0" t="n">
        <v>3.77</v>
      </c>
      <c r="R1375" s="0" t="n">
        <v>4797</v>
      </c>
      <c r="S1375" s="0" t="n">
        <v>10109</v>
      </c>
      <c r="T1375" s="0" t="n">
        <v>54.9</v>
      </c>
      <c r="U1375" s="0" t="n">
        <v>908</v>
      </c>
      <c r="V1375" s="0" t="n">
        <v>5</v>
      </c>
      <c r="W1375" s="39" t="n">
        <f aca="false">IF(I1375="Male",0,1)</f>
        <v>1</v>
      </c>
      <c r="X1375" s="39" t="n">
        <f aca="false">IF(OR(I1375="DNB",I1375="Dry DNB"),1,0)</f>
        <v>0</v>
      </c>
      <c r="Y1375" s="39" t="n">
        <f aca="false">MATCH(A1375,DATAS,0)</f>
        <v>1</v>
      </c>
      <c r="Z1375" s="39" t="n">
        <f aca="false">IF(AND(E1375&gt;0,OR(AND(B1375&gt;=1,B1375&lt;=6),B1375=10)),1,0)</f>
        <v>1</v>
      </c>
      <c r="AA1375" s="39" t="n">
        <f aca="false">IF(AND(E1375&gt;0,B1375=10),1,0)</f>
        <v>0</v>
      </c>
      <c r="AB1375" s="0" t="str">
        <f aca="false">IF(AND(C1374=C1375,Y1374=Y1375-1),Z1374,"")</f>
        <v/>
      </c>
      <c r="AC1375" s="0" t="str">
        <f aca="false">IF(AND(C1374=C1375,Y1374=Y1375-1),AA1374,"")</f>
        <v/>
      </c>
      <c r="AD1375" s="0" t="str">
        <f aca="false">IF(Y1375=1,"",IF(AND(Z1375=1,AB1375&lt;&gt;1),1,0))</f>
        <v/>
      </c>
      <c r="AE1375" s="0" t="str">
        <f aca="false">IF(Y1375=1,"",IF(AND(AA1375=1,AC1375&lt;&gt;1),1,0))</f>
        <v/>
      </c>
      <c r="AF1375" s="45" t="str">
        <f aca="false">IF(AND(E1375&gt;0,Y1375&lt;1,NOT(AND(C1376=C1375,Y1376=Y1375+1))),INDEX(DATAS,Y1375+1),"")</f>
        <v/>
      </c>
      <c r="AG1375" s="45" t="str">
        <f aca="false">IF(AND(AA1375=1,Y1375&lt;1),IF(AND(C1376=C1375,Y1376=Y1375+1),IF(AA1376=1,"",INDEX(DATAS,Y1375+1)),INDEX(DATAS,Y1375+1)),"")</f>
        <v/>
      </c>
    </row>
    <row r="1376" customFormat="false" ht="15" hidden="false" customHeight="false" outlineLevel="0" collapsed="false">
      <c r="A1376" s="45" t="n">
        <v>46309</v>
      </c>
      <c r="B1376" s="0" t="n">
        <v>4</v>
      </c>
      <c r="C1376" s="0" t="n">
        <v>5479</v>
      </c>
      <c r="D1376" s="0" t="n">
        <v>268</v>
      </c>
      <c r="E1376" s="0" t="n">
        <v>1</v>
      </c>
      <c r="F1376" s="39" t="s">
        <v>877</v>
      </c>
      <c r="G1376" s="0" t="n">
        <v>51.6</v>
      </c>
      <c r="H1376" s="0" t="n">
        <v>52</v>
      </c>
      <c r="I1376" s="39" t="s">
        <v>109</v>
      </c>
      <c r="J1376" s="0" t="n">
        <v>100</v>
      </c>
      <c r="K1376" s="0" t="n">
        <v>65</v>
      </c>
      <c r="L1376" s="0" t="n">
        <v>168</v>
      </c>
      <c r="M1376" s="0" t="n">
        <v>839.24</v>
      </c>
      <c r="N1376" s="0" t="n">
        <v>64.52</v>
      </c>
      <c r="O1376" s="0" t="n">
        <v>29.13</v>
      </c>
      <c r="P1376" s="0" t="n">
        <v>3.02</v>
      </c>
      <c r="Q1376" s="0" t="n">
        <v>3.24</v>
      </c>
      <c r="R1376" s="0" t="n">
        <v>4157</v>
      </c>
      <c r="S1376" s="0" t="n">
        <v>9562</v>
      </c>
      <c r="T1376" s="0" t="n">
        <v>43.3</v>
      </c>
      <c r="U1376" s="0" t="n">
        <v>908</v>
      </c>
      <c r="V1376" s="0" t="n">
        <v>2</v>
      </c>
      <c r="W1376" s="39" t="n">
        <f aca="false">IF(I1376="Male",0,1)</f>
        <v>1</v>
      </c>
      <c r="X1376" s="39" t="n">
        <f aca="false">IF(OR(I1376="DNB",I1376="Dry DNB"),1,0)</f>
        <v>0</v>
      </c>
      <c r="Y1376" s="39" t="n">
        <f aca="false">MATCH(A1376,DATAS,0)</f>
        <v>1</v>
      </c>
      <c r="Z1376" s="39" t="n">
        <f aca="false">IF(AND(E1376&gt;0,OR(AND(B1376&gt;=1,B1376&lt;=6),B1376=10)),1,0)</f>
        <v>1</v>
      </c>
      <c r="AA1376" s="39" t="n">
        <f aca="false">IF(AND(E1376&gt;0,B1376=10),1,0)</f>
        <v>0</v>
      </c>
      <c r="AB1376" s="0" t="str">
        <f aca="false">IF(AND(C1375=C1376,Y1375=Y1376-1),Z1375,"")</f>
        <v/>
      </c>
      <c r="AC1376" s="0" t="str">
        <f aca="false">IF(AND(C1375=C1376,Y1375=Y1376-1),AA1375,"")</f>
        <v/>
      </c>
      <c r="AD1376" s="0" t="str">
        <f aca="false">IF(Y1376=1,"",IF(AND(Z1376=1,AB1376&lt;&gt;1),1,0))</f>
        <v/>
      </c>
      <c r="AE1376" s="0" t="str">
        <f aca="false">IF(Y1376=1,"",IF(AND(AA1376=1,AC1376&lt;&gt;1),1,0))</f>
        <v/>
      </c>
      <c r="AF1376" s="45" t="str">
        <f aca="false">IF(AND(E1376&gt;0,Y1376&lt;1,NOT(AND(C1377=C1376,Y1377=Y1376+1))),INDEX(DATAS,Y1376+1),"")</f>
        <v/>
      </c>
      <c r="AG1376" s="45" t="str">
        <f aca="false">IF(AND(AA1376=1,Y1376&lt;1),IF(AND(C1377=C1376,Y1377=Y1376+1),IF(AA1377=1,"",INDEX(DATAS,Y1376+1)),INDEX(DATAS,Y1376+1)),"")</f>
        <v/>
      </c>
    </row>
    <row r="1377" customFormat="false" ht="15" hidden="false" customHeight="false" outlineLevel="0" collapsed="false">
      <c r="A1377" s="45" t="n">
        <v>46309</v>
      </c>
      <c r="B1377" s="0" t="n">
        <v>4</v>
      </c>
      <c r="C1377" s="0" t="n">
        <v>5481</v>
      </c>
      <c r="D1377" s="0" t="n">
        <v>198</v>
      </c>
      <c r="E1377" s="0" t="n">
        <v>1</v>
      </c>
      <c r="F1377" s="39" t="s">
        <v>877</v>
      </c>
      <c r="G1377" s="0" t="n">
        <v>50.6</v>
      </c>
      <c r="H1377" s="0" t="n">
        <v>52</v>
      </c>
      <c r="I1377" s="39" t="s">
        <v>109</v>
      </c>
      <c r="J1377" s="0" t="n">
        <v>88</v>
      </c>
      <c r="K1377" s="0" t="n">
        <v>65</v>
      </c>
      <c r="L1377" s="0" t="n">
        <v>110</v>
      </c>
      <c r="M1377" s="0" t="n">
        <v>978.61</v>
      </c>
      <c r="N1377" s="0" t="n">
        <v>59.01</v>
      </c>
      <c r="O1377" s="0" t="n">
        <v>40.49</v>
      </c>
      <c r="P1377" s="0" t="n">
        <v>3.19</v>
      </c>
      <c r="Q1377" s="0" t="n">
        <v>3.46</v>
      </c>
      <c r="R1377" s="0" t="n">
        <v>4405</v>
      </c>
      <c r="S1377" s="0" t="n">
        <v>9841</v>
      </c>
      <c r="T1377" s="0" t="n">
        <v>49.5</v>
      </c>
      <c r="U1377" s="0" t="n">
        <v>908</v>
      </c>
      <c r="V1377" s="0" t="n">
        <v>2</v>
      </c>
      <c r="W1377" s="39" t="n">
        <f aca="false">IF(I1377="Male",0,1)</f>
        <v>1</v>
      </c>
      <c r="X1377" s="39" t="n">
        <f aca="false">IF(OR(I1377="DNB",I1377="Dry DNB"),1,0)</f>
        <v>0</v>
      </c>
      <c r="Y1377" s="39" t="n">
        <f aca="false">MATCH(A1377,DATAS,0)</f>
        <v>1</v>
      </c>
      <c r="Z1377" s="39" t="n">
        <f aca="false">IF(AND(E1377&gt;0,OR(AND(B1377&gt;=1,B1377&lt;=6),B1377=10)),1,0)</f>
        <v>1</v>
      </c>
      <c r="AA1377" s="39" t="n">
        <f aca="false">IF(AND(E1377&gt;0,B1377=10),1,0)</f>
        <v>0</v>
      </c>
      <c r="AB1377" s="0" t="str">
        <f aca="false">IF(AND(C1376=C1377,Y1376=Y1377-1),Z1376,"")</f>
        <v/>
      </c>
      <c r="AC1377" s="0" t="str">
        <f aca="false">IF(AND(C1376=C1377,Y1376=Y1377-1),AA1376,"")</f>
        <v/>
      </c>
      <c r="AD1377" s="0" t="str">
        <f aca="false">IF(Y1377=1,"",IF(AND(Z1377=1,AB1377&lt;&gt;1),1,0))</f>
        <v/>
      </c>
      <c r="AE1377" s="0" t="str">
        <f aca="false">IF(Y1377=1,"",IF(AND(AA1377=1,AC1377&lt;&gt;1),1,0))</f>
        <v/>
      </c>
      <c r="AF1377" s="45" t="str">
        <f aca="false">IF(AND(E1377&gt;0,Y1377&lt;1,NOT(AND(C1378=C1377,Y1378=Y1377+1))),INDEX(DATAS,Y1377+1),"")</f>
        <v/>
      </c>
      <c r="AG1377" s="45" t="str">
        <f aca="false">IF(AND(AA1377=1,Y1377&lt;1),IF(AND(C1378=C1377,Y1378=Y1377+1),IF(AA1378=1,"",INDEX(DATAS,Y1377+1)),INDEX(DATAS,Y1377+1)),"")</f>
        <v/>
      </c>
    </row>
    <row r="1378" customFormat="false" ht="15" hidden="false" customHeight="false" outlineLevel="0" collapsed="false">
      <c r="A1378" s="45" t="n">
        <v>46309</v>
      </c>
      <c r="B1378" s="0" t="n">
        <v>4</v>
      </c>
      <c r="C1378" s="0" t="n">
        <v>5483</v>
      </c>
      <c r="D1378" s="0" t="n">
        <v>256</v>
      </c>
      <c r="E1378" s="0" t="n">
        <v>1</v>
      </c>
      <c r="F1378" s="39" t="s">
        <v>878</v>
      </c>
      <c r="G1378" s="0" t="n">
        <v>38.5</v>
      </c>
      <c r="H1378" s="0" t="n">
        <v>41</v>
      </c>
      <c r="I1378" s="39" t="s">
        <v>109</v>
      </c>
      <c r="J1378" s="0" t="n">
        <v>67</v>
      </c>
      <c r="K1378" s="0" t="n">
        <v>67</v>
      </c>
      <c r="L1378" s="0" t="n">
        <v>189</v>
      </c>
      <c r="M1378" s="0" t="n">
        <v>785.47</v>
      </c>
      <c r="N1378" s="0" t="n">
        <v>47.82</v>
      </c>
      <c r="O1378" s="0" t="n">
        <v>18.22</v>
      </c>
      <c r="P1378" s="0" t="n">
        <v>4.08</v>
      </c>
      <c r="Q1378" s="0" t="n">
        <v>3.3</v>
      </c>
      <c r="R1378" s="0" t="n">
        <v>3855</v>
      </c>
      <c r="S1378" s="0" t="n">
        <v>8798</v>
      </c>
      <c r="T1378" s="0" t="n">
        <v>55.65</v>
      </c>
      <c r="U1378" s="0" t="n">
        <v>905</v>
      </c>
      <c r="V1378" s="0" t="n">
        <v>1</v>
      </c>
      <c r="W1378" s="39" t="n">
        <f aca="false">IF(I1378="Male",0,1)</f>
        <v>1</v>
      </c>
      <c r="X1378" s="39" t="n">
        <f aca="false">IF(OR(I1378="DNB",I1378="Dry DNB"),1,0)</f>
        <v>0</v>
      </c>
      <c r="Y1378" s="39" t="n">
        <f aca="false">MATCH(A1378,DATAS,0)</f>
        <v>1</v>
      </c>
      <c r="Z1378" s="39" t="n">
        <f aca="false">IF(AND(E1378&gt;0,OR(AND(B1378&gt;=1,B1378&lt;=6),B1378=10)),1,0)</f>
        <v>1</v>
      </c>
      <c r="AA1378" s="39" t="n">
        <f aca="false">IF(AND(E1378&gt;0,B1378=10),1,0)</f>
        <v>0</v>
      </c>
      <c r="AB1378" s="0" t="str">
        <f aca="false">IF(AND(C1377=C1378,Y1377=Y1378-1),Z1377,"")</f>
        <v/>
      </c>
      <c r="AC1378" s="0" t="str">
        <f aca="false">IF(AND(C1377=C1378,Y1377=Y1378-1),AA1377,"")</f>
        <v/>
      </c>
      <c r="AD1378" s="0" t="str">
        <f aca="false">IF(Y1378=1,"",IF(AND(Z1378=1,AB1378&lt;&gt;1),1,0))</f>
        <v/>
      </c>
      <c r="AE1378" s="0" t="str">
        <f aca="false">IF(Y1378=1,"",IF(AND(AA1378=1,AC1378&lt;&gt;1),1,0))</f>
        <v/>
      </c>
      <c r="AF1378" s="45" t="str">
        <f aca="false">IF(AND(E1378&gt;0,Y1378&lt;1,NOT(AND(C1379=C1378,Y1379=Y1378+1))),INDEX(DATAS,Y1378+1),"")</f>
        <v/>
      </c>
      <c r="AG1378" s="45" t="str">
        <f aca="false">IF(AND(AA1378=1,Y1378&lt;1),IF(AND(C1379=C1378,Y1379=Y1378+1),IF(AA1379=1,"",INDEX(DATAS,Y1378+1)),INDEX(DATAS,Y1378+1)),"")</f>
        <v/>
      </c>
    </row>
    <row r="1379" customFormat="false" ht="15" hidden="false" customHeight="false" outlineLevel="0" collapsed="false">
      <c r="A1379" s="45" t="n">
        <v>46309</v>
      </c>
      <c r="B1379" s="0" t="n">
        <v>4</v>
      </c>
      <c r="C1379" s="0" t="n">
        <v>5485</v>
      </c>
      <c r="D1379" s="0" t="n">
        <v>258</v>
      </c>
      <c r="E1379" s="0" t="n">
        <v>1</v>
      </c>
      <c r="F1379" s="39" t="s">
        <v>878</v>
      </c>
      <c r="G1379" s="0" t="n">
        <v>43.7</v>
      </c>
      <c r="H1379" s="0" t="n">
        <v>43</v>
      </c>
      <c r="I1379" s="39" t="s">
        <v>138</v>
      </c>
      <c r="J1379" s="0" t="n">
        <v>258</v>
      </c>
      <c r="K1379" s="0" t="n">
        <v>77</v>
      </c>
      <c r="M1379" s="0" t="n">
        <v>801.15</v>
      </c>
      <c r="N1379" s="0" t="n">
        <v>48.64</v>
      </c>
      <c r="O1379" s="0" t="n">
        <v>46.47</v>
      </c>
      <c r="P1379" s="0" t="n">
        <v>3.99</v>
      </c>
      <c r="Q1379" s="0" t="n">
        <v>3.99</v>
      </c>
      <c r="R1379" s="0" t="n">
        <v>3182</v>
      </c>
      <c r="S1379" s="0" t="n">
        <v>7642</v>
      </c>
      <c r="T1379" s="0" t="n">
        <v>48.5</v>
      </c>
      <c r="U1379" s="0" t="n">
        <v>905</v>
      </c>
      <c r="V1379" s="0" t="n">
        <v>5</v>
      </c>
      <c r="W1379" s="39" t="n">
        <f aca="false">IF(I1379="Male",0,1)</f>
        <v>1</v>
      </c>
      <c r="X1379" s="39" t="n">
        <f aca="false">IF(OR(I1379="DNB",I1379="Dry DNB"),1,0)</f>
        <v>0</v>
      </c>
      <c r="Y1379" s="39" t="n">
        <f aca="false">MATCH(A1379,DATAS,0)</f>
        <v>1</v>
      </c>
      <c r="Z1379" s="39" t="n">
        <f aca="false">IF(AND(E1379&gt;0,OR(AND(B1379&gt;=1,B1379&lt;=6),B1379=10)),1,0)</f>
        <v>1</v>
      </c>
      <c r="AA1379" s="39" t="n">
        <f aca="false">IF(AND(E1379&gt;0,B1379=10),1,0)</f>
        <v>0</v>
      </c>
      <c r="AB1379" s="0" t="str">
        <f aca="false">IF(AND(C1378=C1379,Y1378=Y1379-1),Z1378,"")</f>
        <v/>
      </c>
      <c r="AC1379" s="0" t="str">
        <f aca="false">IF(AND(C1378=C1379,Y1378=Y1379-1),AA1378,"")</f>
        <v/>
      </c>
      <c r="AD1379" s="0" t="str">
        <f aca="false">IF(Y1379=1,"",IF(AND(Z1379=1,AB1379&lt;&gt;1),1,0))</f>
        <v/>
      </c>
      <c r="AE1379" s="0" t="str">
        <f aca="false">IF(Y1379=1,"",IF(AND(AA1379=1,AC1379&lt;&gt;1),1,0))</f>
        <v/>
      </c>
      <c r="AF1379" s="45" t="str">
        <f aca="false">IF(AND(E1379&gt;0,Y1379&lt;1,NOT(AND(C1380=C1379,Y1380=Y1379+1))),INDEX(DATAS,Y1379+1),"")</f>
        <v/>
      </c>
      <c r="AG1379" s="45" t="str">
        <f aca="false">IF(AND(AA1379=1,Y1379&lt;1),IF(AND(C1380=C1379,Y1380=Y1379+1),IF(AA1380=1,"",INDEX(DATAS,Y1379+1)),INDEX(DATAS,Y1379+1)),"")</f>
        <v/>
      </c>
    </row>
    <row r="1380" customFormat="false" ht="15" hidden="false" customHeight="false" outlineLevel="0" collapsed="false">
      <c r="A1380" s="45" t="n">
        <v>46309</v>
      </c>
      <c r="B1380" s="0" t="n">
        <v>4</v>
      </c>
      <c r="C1380" s="0" t="n">
        <v>5487</v>
      </c>
      <c r="D1380" s="0" t="n">
        <v>159</v>
      </c>
      <c r="E1380" s="0" t="n">
        <v>1</v>
      </c>
      <c r="F1380" s="39" t="s">
        <v>878</v>
      </c>
      <c r="G1380" s="0" t="n">
        <v>44.9</v>
      </c>
      <c r="H1380" s="0" t="n">
        <v>46</v>
      </c>
      <c r="I1380" s="39" t="s">
        <v>109</v>
      </c>
      <c r="J1380" s="0" t="n">
        <v>103</v>
      </c>
      <c r="K1380" s="0" t="n">
        <v>68</v>
      </c>
      <c r="L1380" s="0" t="n">
        <v>56</v>
      </c>
      <c r="M1380" s="0" t="n">
        <v>-628.94</v>
      </c>
      <c r="N1380" s="0" t="n">
        <v>55</v>
      </c>
      <c r="O1380" s="0" t="n">
        <v>14.84</v>
      </c>
      <c r="P1380" s="0" t="n">
        <v>4.06</v>
      </c>
      <c r="Q1380" s="0" t="n">
        <v>3.75</v>
      </c>
      <c r="R1380" s="0" t="n">
        <v>4045</v>
      </c>
      <c r="S1380" s="0" t="n">
        <v>8508</v>
      </c>
      <c r="T1380" s="0" t="n">
        <v>45.55</v>
      </c>
      <c r="U1380" s="0" t="n">
        <v>905</v>
      </c>
      <c r="V1380" s="0" t="n">
        <v>2</v>
      </c>
      <c r="W1380" s="39" t="n">
        <f aca="false">IF(I1380="Male",0,1)</f>
        <v>1</v>
      </c>
      <c r="X1380" s="39" t="n">
        <f aca="false">IF(OR(I1380="DNB",I1380="Dry DNB"),1,0)</f>
        <v>0</v>
      </c>
      <c r="Y1380" s="39" t="n">
        <f aca="false">MATCH(A1380,DATAS,0)</f>
        <v>1</v>
      </c>
      <c r="Z1380" s="39" t="n">
        <f aca="false">IF(AND(E1380&gt;0,OR(AND(B1380&gt;=1,B1380&lt;=6),B1380=10)),1,0)</f>
        <v>1</v>
      </c>
      <c r="AA1380" s="39" t="n">
        <f aca="false">IF(AND(E1380&gt;0,B1380=10),1,0)</f>
        <v>0</v>
      </c>
      <c r="AB1380" s="0" t="str">
        <f aca="false">IF(AND(C1379=C1380,Y1379=Y1380-1),Z1379,"")</f>
        <v/>
      </c>
      <c r="AC1380" s="0" t="str">
        <f aca="false">IF(AND(C1379=C1380,Y1379=Y1380-1),AA1379,"")</f>
        <v/>
      </c>
      <c r="AD1380" s="0" t="str">
        <f aca="false">IF(Y1380=1,"",IF(AND(Z1380=1,AB1380&lt;&gt;1),1,0))</f>
        <v/>
      </c>
      <c r="AE1380" s="0" t="str">
        <f aca="false">IF(Y1380=1,"",IF(AND(AA1380=1,AC1380&lt;&gt;1),1,0))</f>
        <v/>
      </c>
      <c r="AF1380" s="45" t="str">
        <f aca="false">IF(AND(E1380&gt;0,Y1380&lt;1,NOT(AND(C1381=C1380,Y1381=Y1380+1))),INDEX(DATAS,Y1380+1),"")</f>
        <v/>
      </c>
      <c r="AG1380" s="45" t="str">
        <f aca="false">IF(AND(AA1380=1,Y1380&lt;1),IF(AND(C1381=C1380,Y1381=Y1380+1),IF(AA1381=1,"",INDEX(DATAS,Y1380+1)),INDEX(DATAS,Y1380+1)),"")</f>
        <v/>
      </c>
    </row>
    <row r="1381" customFormat="false" ht="15" hidden="false" customHeight="false" outlineLevel="0" collapsed="false">
      <c r="A1381" s="45" t="n">
        <v>46309</v>
      </c>
      <c r="B1381" s="0" t="n">
        <v>4</v>
      </c>
      <c r="C1381" s="0" t="n">
        <v>5489</v>
      </c>
      <c r="D1381" s="0" t="n">
        <v>254</v>
      </c>
      <c r="E1381" s="0" t="n">
        <v>1</v>
      </c>
      <c r="F1381" s="39" t="s">
        <v>879</v>
      </c>
      <c r="G1381" s="0" t="n">
        <v>40.4</v>
      </c>
      <c r="H1381" s="0" t="n">
        <v>40</v>
      </c>
      <c r="I1381" s="39" t="s">
        <v>109</v>
      </c>
      <c r="J1381" s="0" t="n">
        <v>85</v>
      </c>
      <c r="K1381" s="0" t="n">
        <v>73</v>
      </c>
      <c r="L1381" s="0" t="n">
        <v>169</v>
      </c>
      <c r="M1381" s="0" t="n">
        <v>931.01</v>
      </c>
      <c r="N1381" s="0" t="n">
        <v>19.85</v>
      </c>
      <c r="O1381" s="0" t="n">
        <v>27.6</v>
      </c>
      <c r="P1381" s="0" t="n">
        <v>2.95</v>
      </c>
      <c r="Q1381" s="0" t="n">
        <v>3.2</v>
      </c>
      <c r="R1381" s="0" t="n">
        <v>3819</v>
      </c>
      <c r="S1381" s="0" t="n">
        <v>8859</v>
      </c>
      <c r="T1381" s="0" t="n">
        <v>40.35</v>
      </c>
      <c r="U1381" s="0" t="n">
        <v>904</v>
      </c>
      <c r="V1381" s="0" t="n">
        <v>2</v>
      </c>
      <c r="W1381" s="39" t="n">
        <f aca="false">IF(I1381="Male",0,1)</f>
        <v>1</v>
      </c>
      <c r="X1381" s="39" t="n">
        <f aca="false">IF(OR(I1381="DNB",I1381="Dry DNB"),1,0)</f>
        <v>0</v>
      </c>
      <c r="Y1381" s="39" t="n">
        <f aca="false">MATCH(A1381,DATAS,0)</f>
        <v>1</v>
      </c>
      <c r="Z1381" s="39" t="n">
        <f aca="false">IF(AND(E1381&gt;0,OR(AND(B1381&gt;=1,B1381&lt;=6),B1381=10)),1,0)</f>
        <v>1</v>
      </c>
      <c r="AA1381" s="39" t="n">
        <f aca="false">IF(AND(E1381&gt;0,B1381=10),1,0)</f>
        <v>0</v>
      </c>
      <c r="AB1381" s="0" t="str">
        <f aca="false">IF(AND(C1380=C1381,Y1380=Y1381-1),Z1380,"")</f>
        <v/>
      </c>
      <c r="AC1381" s="0" t="str">
        <f aca="false">IF(AND(C1380=C1381,Y1380=Y1381-1),AA1380,"")</f>
        <v/>
      </c>
      <c r="AD1381" s="0" t="str">
        <f aca="false">IF(Y1381=1,"",IF(AND(Z1381=1,AB1381&lt;&gt;1),1,0))</f>
        <v/>
      </c>
      <c r="AE1381" s="0" t="str">
        <f aca="false">IF(Y1381=1,"",IF(AND(AA1381=1,AC1381&lt;&gt;1),1,0))</f>
        <v/>
      </c>
      <c r="AF1381" s="45" t="str">
        <f aca="false">IF(AND(E1381&gt;0,Y1381&lt;1,NOT(AND(C1382=C1381,Y1382=Y1381+1))),INDEX(DATAS,Y1381+1),"")</f>
        <v/>
      </c>
      <c r="AG1381" s="45" t="str">
        <f aca="false">IF(AND(AA1381=1,Y1381&lt;1),IF(AND(C1382=C1381,Y1382=Y1381+1),IF(AA1382=1,"",INDEX(DATAS,Y1381+1)),INDEX(DATAS,Y1381+1)),"")</f>
        <v/>
      </c>
    </row>
    <row r="1382" customFormat="false" ht="15" hidden="false" customHeight="false" outlineLevel="0" collapsed="false">
      <c r="A1382" s="45" t="n">
        <v>46309</v>
      </c>
      <c r="B1382" s="0" t="n">
        <v>4</v>
      </c>
      <c r="C1382" s="0" t="n">
        <v>5490</v>
      </c>
      <c r="D1382" s="0" t="n">
        <v>254</v>
      </c>
      <c r="E1382" s="0" t="n">
        <v>1</v>
      </c>
      <c r="F1382" s="39" t="s">
        <v>880</v>
      </c>
      <c r="G1382" s="0" t="n">
        <v>45.9</v>
      </c>
      <c r="H1382" s="0" t="n">
        <v>43</v>
      </c>
      <c r="I1382" s="39" t="s">
        <v>109</v>
      </c>
      <c r="J1382" s="0" t="n">
        <v>65</v>
      </c>
      <c r="K1382" s="0" t="n">
        <v>65</v>
      </c>
      <c r="L1382" s="0" t="n">
        <v>189</v>
      </c>
      <c r="M1382" s="0" t="n">
        <v>27.49</v>
      </c>
      <c r="N1382" s="0" t="n">
        <v>75.4</v>
      </c>
      <c r="O1382" s="0" t="n">
        <v>17.79</v>
      </c>
      <c r="P1382" s="0" t="n">
        <v>4.12</v>
      </c>
      <c r="Q1382" s="0" t="n">
        <v>3.46</v>
      </c>
      <c r="R1382" s="0" t="n">
        <v>3738</v>
      </c>
      <c r="S1382" s="0" t="n">
        <v>8620</v>
      </c>
      <c r="T1382" s="0" t="n">
        <v>39.15</v>
      </c>
      <c r="U1382" s="0" t="n">
        <v>903</v>
      </c>
      <c r="V1382" s="0" t="n">
        <v>1</v>
      </c>
      <c r="W1382" s="39" t="n">
        <f aca="false">IF(I1382="Male",0,1)</f>
        <v>1</v>
      </c>
      <c r="X1382" s="39" t="n">
        <f aca="false">IF(OR(I1382="DNB",I1382="Dry DNB"),1,0)</f>
        <v>0</v>
      </c>
      <c r="Y1382" s="39" t="n">
        <f aca="false">MATCH(A1382,DATAS,0)</f>
        <v>1</v>
      </c>
      <c r="Z1382" s="39" t="n">
        <f aca="false">IF(AND(E1382&gt;0,OR(AND(B1382&gt;=1,B1382&lt;=6),B1382=10)),1,0)</f>
        <v>1</v>
      </c>
      <c r="AA1382" s="39" t="n">
        <f aca="false">IF(AND(E1382&gt;0,B1382=10),1,0)</f>
        <v>0</v>
      </c>
      <c r="AB1382" s="0" t="str">
        <f aca="false">IF(AND(C1381=C1382,Y1381=Y1382-1),Z1381,"")</f>
        <v/>
      </c>
      <c r="AC1382" s="0" t="str">
        <f aca="false">IF(AND(C1381=C1382,Y1381=Y1382-1),AA1381,"")</f>
        <v/>
      </c>
      <c r="AD1382" s="0" t="str">
        <f aca="false">IF(Y1382=1,"",IF(AND(Z1382=1,AB1382&lt;&gt;1),1,0))</f>
        <v/>
      </c>
      <c r="AE1382" s="0" t="str">
        <f aca="false">IF(Y1382=1,"",IF(AND(AA1382=1,AC1382&lt;&gt;1),1,0))</f>
        <v/>
      </c>
      <c r="AF1382" s="45" t="str">
        <f aca="false">IF(AND(E1382&gt;0,Y1382&lt;1,NOT(AND(C1383=C1382,Y1383=Y1382+1))),INDEX(DATAS,Y1382+1),"")</f>
        <v/>
      </c>
      <c r="AG1382" s="45" t="str">
        <f aca="false">IF(AND(AA1382=1,Y1382&lt;1),IF(AND(C1383=C1382,Y1383=Y1382+1),IF(AA1383=1,"",INDEX(DATAS,Y1382+1)),INDEX(DATAS,Y1382+1)),"")</f>
        <v/>
      </c>
    </row>
    <row r="1383" customFormat="false" ht="15" hidden="false" customHeight="false" outlineLevel="0" collapsed="false">
      <c r="A1383" s="45" t="n">
        <v>46309</v>
      </c>
      <c r="B1383" s="0" t="n">
        <v>1</v>
      </c>
      <c r="C1383" s="0" t="n">
        <v>5491</v>
      </c>
      <c r="D1383" s="0" t="n">
        <v>213</v>
      </c>
      <c r="E1383" s="0" t="n">
        <v>1</v>
      </c>
      <c r="F1383" s="39" t="s">
        <v>880</v>
      </c>
      <c r="G1383" s="0" t="n">
        <v>29.4</v>
      </c>
      <c r="H1383" s="0" t="n">
        <v>24</v>
      </c>
      <c r="I1383" s="39" t="s">
        <v>109</v>
      </c>
      <c r="J1383" s="0" t="n">
        <v>122</v>
      </c>
      <c r="K1383" s="0" t="n">
        <v>66</v>
      </c>
      <c r="L1383" s="0" t="n">
        <v>91</v>
      </c>
      <c r="M1383" s="0" t="n">
        <v>482.58</v>
      </c>
      <c r="N1383" s="0" t="n">
        <v>35.45</v>
      </c>
      <c r="O1383" s="0" t="n">
        <v>24.97</v>
      </c>
      <c r="P1383" s="0" t="n">
        <v>4.07</v>
      </c>
      <c r="Q1383" s="0" t="n">
        <v>3.23</v>
      </c>
      <c r="R1383" s="0" t="n">
        <v>3522</v>
      </c>
      <c r="S1383" s="0" t="n">
        <v>7998</v>
      </c>
      <c r="T1383" s="0" t="n">
        <v>41.05</v>
      </c>
      <c r="U1383" s="0" t="n">
        <v>903</v>
      </c>
      <c r="V1383" s="0" t="n">
        <v>3</v>
      </c>
      <c r="W1383" s="39" t="n">
        <f aca="false">IF(I1383="Male",0,1)</f>
        <v>1</v>
      </c>
      <c r="X1383" s="39" t="n">
        <f aca="false">IF(OR(I1383="DNB",I1383="Dry DNB"),1,0)</f>
        <v>0</v>
      </c>
      <c r="Y1383" s="39" t="n">
        <f aca="false">MATCH(A1383,DATAS,0)</f>
        <v>1</v>
      </c>
      <c r="Z1383" s="39" t="n">
        <f aca="false">IF(AND(E1383&gt;0,OR(AND(B1383&gt;=1,B1383&lt;=6),B1383=10)),1,0)</f>
        <v>1</v>
      </c>
      <c r="AA1383" s="39" t="n">
        <f aca="false">IF(AND(E1383&gt;0,B1383=10),1,0)</f>
        <v>0</v>
      </c>
      <c r="AB1383" s="0" t="str">
        <f aca="false">IF(AND(C1382=C1383,Y1382=Y1383-1),Z1382,"")</f>
        <v/>
      </c>
      <c r="AC1383" s="0" t="str">
        <f aca="false">IF(AND(C1382=C1383,Y1382=Y1383-1),AA1382,"")</f>
        <v/>
      </c>
      <c r="AD1383" s="0" t="str">
        <f aca="false">IF(Y1383=1,"",IF(AND(Z1383=1,AB1383&lt;&gt;1),1,0))</f>
        <v/>
      </c>
      <c r="AE1383" s="0" t="str">
        <f aca="false">IF(Y1383=1,"",IF(AND(AA1383=1,AC1383&lt;&gt;1),1,0))</f>
        <v/>
      </c>
      <c r="AF1383" s="45" t="str">
        <f aca="false">IF(AND(E1383&gt;0,Y1383&lt;1,NOT(AND(C1384=C1383,Y1384=Y1383+1))),INDEX(DATAS,Y1383+1),"")</f>
        <v/>
      </c>
      <c r="AG1383" s="45" t="str">
        <f aca="false">IF(AND(AA1383=1,Y1383&lt;1),IF(AND(C1384=C1383,Y1384=Y1383+1),IF(AA1384=1,"",INDEX(DATAS,Y1383+1)),INDEX(DATAS,Y1383+1)),"")</f>
        <v/>
      </c>
    </row>
    <row r="1384" customFormat="false" ht="15" hidden="false" customHeight="false" outlineLevel="0" collapsed="false">
      <c r="A1384" s="45" t="n">
        <v>46309</v>
      </c>
      <c r="B1384" s="0" t="n">
        <v>4</v>
      </c>
      <c r="C1384" s="0" t="n">
        <v>5493</v>
      </c>
      <c r="D1384" s="0" t="n">
        <v>245</v>
      </c>
      <c r="E1384" s="0" t="n">
        <v>1</v>
      </c>
      <c r="F1384" s="39" t="s">
        <v>880</v>
      </c>
      <c r="G1384" s="0" t="n">
        <v>54.3</v>
      </c>
      <c r="H1384" s="0" t="n">
        <v>47</v>
      </c>
      <c r="I1384" s="39" t="s">
        <v>109</v>
      </c>
      <c r="J1384" s="0" t="n">
        <v>63</v>
      </c>
      <c r="K1384" s="0" t="n">
        <v>63</v>
      </c>
      <c r="L1384" s="0" t="n">
        <v>182</v>
      </c>
      <c r="M1384" s="0" t="n">
        <v>688.36</v>
      </c>
      <c r="N1384" s="0" t="n">
        <v>33.3</v>
      </c>
      <c r="O1384" s="0" t="n">
        <v>42.6</v>
      </c>
      <c r="P1384" s="0" t="n">
        <v>3.79</v>
      </c>
      <c r="Q1384" s="0" t="n">
        <v>3.7</v>
      </c>
      <c r="R1384" s="0" t="n">
        <v>4140</v>
      </c>
      <c r="S1384" s="0" t="n">
        <v>9108</v>
      </c>
      <c r="T1384" s="0" t="n">
        <v>42.4</v>
      </c>
      <c r="U1384" s="0" t="n">
        <v>903</v>
      </c>
      <c r="V1384" s="0" t="n">
        <v>1</v>
      </c>
      <c r="W1384" s="39" t="n">
        <f aca="false">IF(I1384="Male",0,1)</f>
        <v>1</v>
      </c>
      <c r="X1384" s="39" t="n">
        <f aca="false">IF(OR(I1384="DNB",I1384="Dry DNB"),1,0)</f>
        <v>0</v>
      </c>
      <c r="Y1384" s="39" t="n">
        <f aca="false">MATCH(A1384,DATAS,0)</f>
        <v>1</v>
      </c>
      <c r="Z1384" s="39" t="n">
        <f aca="false">IF(AND(E1384&gt;0,OR(AND(B1384&gt;=1,B1384&lt;=6),B1384=10)),1,0)</f>
        <v>1</v>
      </c>
      <c r="AA1384" s="39" t="n">
        <f aca="false">IF(AND(E1384&gt;0,B1384=10),1,0)</f>
        <v>0</v>
      </c>
      <c r="AB1384" s="0" t="str">
        <f aca="false">IF(AND(C1383=C1384,Y1383=Y1384-1),Z1383,"")</f>
        <v/>
      </c>
      <c r="AC1384" s="0" t="str">
        <f aca="false">IF(AND(C1383=C1384,Y1383=Y1384-1),AA1383,"")</f>
        <v/>
      </c>
      <c r="AD1384" s="0" t="str">
        <f aca="false">IF(Y1384=1,"",IF(AND(Z1384=1,AB1384&lt;&gt;1),1,0))</f>
        <v/>
      </c>
      <c r="AE1384" s="0" t="str">
        <f aca="false">IF(Y1384=1,"",IF(AND(AA1384=1,AC1384&lt;&gt;1),1,0))</f>
        <v/>
      </c>
      <c r="AF1384" s="45" t="str">
        <f aca="false">IF(AND(E1384&gt;0,Y1384&lt;1,NOT(AND(C1385=C1384,Y1385=Y1384+1))),INDEX(DATAS,Y1384+1),"")</f>
        <v/>
      </c>
      <c r="AG1384" s="45" t="str">
        <f aca="false">IF(AND(AA1384=1,Y1384&lt;1),IF(AND(C1385=C1384,Y1385=Y1384+1),IF(AA1385=1,"",INDEX(DATAS,Y1384+1)),INDEX(DATAS,Y1384+1)),"")</f>
        <v/>
      </c>
    </row>
    <row r="1385" customFormat="false" ht="15" hidden="false" customHeight="false" outlineLevel="0" collapsed="false">
      <c r="A1385" s="45" t="n">
        <v>46309</v>
      </c>
      <c r="B1385" s="0" t="n">
        <v>4</v>
      </c>
      <c r="C1385" s="0" t="n">
        <v>5494</v>
      </c>
      <c r="D1385" s="0" t="n">
        <v>261</v>
      </c>
      <c r="E1385" s="0" t="n">
        <v>1</v>
      </c>
      <c r="F1385" s="39" t="s">
        <v>880</v>
      </c>
      <c r="G1385" s="0" t="n">
        <v>36.5</v>
      </c>
      <c r="H1385" s="0" t="n">
        <v>37</v>
      </c>
      <c r="I1385" s="39" t="s">
        <v>109</v>
      </c>
      <c r="J1385" s="0" t="n">
        <v>135</v>
      </c>
      <c r="K1385" s="0" t="n">
        <v>65</v>
      </c>
      <c r="L1385" s="0" t="n">
        <v>126</v>
      </c>
      <c r="M1385" s="0" t="n">
        <v>506.05</v>
      </c>
      <c r="N1385" s="0" t="n">
        <v>96.91</v>
      </c>
      <c r="O1385" s="0" t="n">
        <v>23.46</v>
      </c>
      <c r="P1385" s="0" t="n">
        <v>4.58</v>
      </c>
      <c r="Q1385" s="0" t="n">
        <v>3.24</v>
      </c>
      <c r="R1385" s="0" t="n">
        <v>3884</v>
      </c>
      <c r="S1385" s="0" t="n">
        <v>8203</v>
      </c>
      <c r="T1385" s="0" t="n">
        <v>41.65</v>
      </c>
      <c r="U1385" s="0" t="n">
        <v>903</v>
      </c>
      <c r="V1385" s="0" t="n">
        <v>3</v>
      </c>
      <c r="W1385" s="39" t="n">
        <f aca="false">IF(I1385="Male",0,1)</f>
        <v>1</v>
      </c>
      <c r="X1385" s="39" t="n">
        <f aca="false">IF(OR(I1385="DNB",I1385="Dry DNB"),1,0)</f>
        <v>0</v>
      </c>
      <c r="Y1385" s="39" t="n">
        <f aca="false">MATCH(A1385,DATAS,0)</f>
        <v>1</v>
      </c>
      <c r="Z1385" s="39" t="n">
        <f aca="false">IF(AND(E1385&gt;0,OR(AND(B1385&gt;=1,B1385&lt;=6),B1385=10)),1,0)</f>
        <v>1</v>
      </c>
      <c r="AA1385" s="39" t="n">
        <f aca="false">IF(AND(E1385&gt;0,B1385=10),1,0)</f>
        <v>0</v>
      </c>
      <c r="AB1385" s="0" t="str">
        <f aca="false">IF(AND(C1384=C1385,Y1384=Y1385-1),Z1384,"")</f>
        <v/>
      </c>
      <c r="AC1385" s="0" t="str">
        <f aca="false">IF(AND(C1384=C1385,Y1384=Y1385-1),AA1384,"")</f>
        <v/>
      </c>
      <c r="AD1385" s="0" t="str">
        <f aca="false">IF(Y1385=1,"",IF(AND(Z1385=1,AB1385&lt;&gt;1),1,0))</f>
        <v/>
      </c>
      <c r="AE1385" s="0" t="str">
        <f aca="false">IF(Y1385=1,"",IF(AND(AA1385=1,AC1385&lt;&gt;1),1,0))</f>
        <v/>
      </c>
      <c r="AF1385" s="45" t="str">
        <f aca="false">IF(AND(E1385&gt;0,Y1385&lt;1,NOT(AND(C1386=C1385,Y1386=Y1385+1))),INDEX(DATAS,Y1385+1),"")</f>
        <v/>
      </c>
      <c r="AG1385" s="45" t="str">
        <f aca="false">IF(AND(AA1385=1,Y1385&lt;1),IF(AND(C1386=C1385,Y1386=Y1385+1),IF(AA1386=1,"",INDEX(DATAS,Y1385+1)),INDEX(DATAS,Y1385+1)),"")</f>
        <v/>
      </c>
    </row>
    <row r="1386" customFormat="false" ht="15" hidden="false" customHeight="false" outlineLevel="0" collapsed="false">
      <c r="A1386" s="45" t="n">
        <v>46309</v>
      </c>
      <c r="B1386" s="0" t="n">
        <v>4</v>
      </c>
      <c r="C1386" s="0" t="n">
        <v>5496</v>
      </c>
      <c r="D1386" s="0" t="n">
        <v>221</v>
      </c>
      <c r="E1386" s="0" t="n">
        <v>1</v>
      </c>
      <c r="F1386" s="39" t="s">
        <v>881</v>
      </c>
      <c r="G1386" s="0" t="n">
        <v>55.4</v>
      </c>
      <c r="H1386" s="0" t="n">
        <v>57</v>
      </c>
      <c r="I1386" s="39" t="s">
        <v>109</v>
      </c>
      <c r="J1386" s="0" t="n">
        <v>179</v>
      </c>
      <c r="K1386" s="0" t="n">
        <v>67</v>
      </c>
      <c r="L1386" s="0" t="n">
        <v>42</v>
      </c>
      <c r="M1386" s="0" t="n">
        <v>1225.7</v>
      </c>
      <c r="N1386" s="0" t="n">
        <v>47.21</v>
      </c>
      <c r="O1386" s="0" t="n">
        <v>36.55</v>
      </c>
      <c r="P1386" s="0" t="n">
        <v>4.1</v>
      </c>
      <c r="Q1386" s="0" t="n">
        <v>3.13</v>
      </c>
      <c r="R1386" s="0" t="n">
        <v>4682</v>
      </c>
      <c r="S1386" s="0" t="n">
        <v>10685</v>
      </c>
      <c r="T1386" s="0" t="n">
        <v>52.4</v>
      </c>
      <c r="U1386" s="0" t="n">
        <v>902</v>
      </c>
      <c r="V1386" s="0" t="n">
        <v>5</v>
      </c>
      <c r="W1386" s="39" t="n">
        <f aca="false">IF(I1386="Male",0,1)</f>
        <v>1</v>
      </c>
      <c r="X1386" s="39" t="n">
        <f aca="false">IF(OR(I1386="DNB",I1386="Dry DNB"),1,0)</f>
        <v>0</v>
      </c>
      <c r="Y1386" s="39" t="n">
        <f aca="false">MATCH(A1386,DATAS,0)</f>
        <v>1</v>
      </c>
      <c r="Z1386" s="39" t="n">
        <f aca="false">IF(AND(E1386&gt;0,OR(AND(B1386&gt;=1,B1386&lt;=6),B1386=10)),1,0)</f>
        <v>1</v>
      </c>
      <c r="AA1386" s="39" t="n">
        <f aca="false">IF(AND(E1386&gt;0,B1386=10),1,0)</f>
        <v>0</v>
      </c>
      <c r="AB1386" s="0" t="str">
        <f aca="false">IF(AND(C1385=C1386,Y1385=Y1386-1),Z1385,"")</f>
        <v/>
      </c>
      <c r="AC1386" s="0" t="str">
        <f aca="false">IF(AND(C1385=C1386,Y1385=Y1386-1),AA1385,"")</f>
        <v/>
      </c>
      <c r="AD1386" s="0" t="str">
        <f aca="false">IF(Y1386=1,"",IF(AND(Z1386=1,AB1386&lt;&gt;1),1,0))</f>
        <v/>
      </c>
      <c r="AE1386" s="0" t="str">
        <f aca="false">IF(Y1386=1,"",IF(AND(AA1386=1,AC1386&lt;&gt;1),1,0))</f>
        <v/>
      </c>
      <c r="AF1386" s="45" t="str">
        <f aca="false">IF(AND(E1386&gt;0,Y1386&lt;1,NOT(AND(C1387=C1386,Y1387=Y1386+1))),INDEX(DATAS,Y1386+1),"")</f>
        <v/>
      </c>
      <c r="AG1386" s="45" t="str">
        <f aca="false">IF(AND(AA1386=1,Y1386&lt;1),IF(AND(C1387=C1386,Y1387=Y1386+1),IF(AA1387=1,"",INDEX(DATAS,Y1386+1)),INDEX(DATAS,Y1386+1)),"")</f>
        <v/>
      </c>
    </row>
    <row r="1387" customFormat="false" ht="15" hidden="false" customHeight="false" outlineLevel="0" collapsed="false">
      <c r="A1387" s="45" t="n">
        <v>46309</v>
      </c>
      <c r="B1387" s="0" t="n">
        <v>4</v>
      </c>
      <c r="C1387" s="0" t="n">
        <v>5499</v>
      </c>
      <c r="D1387" s="0" t="n">
        <v>256</v>
      </c>
      <c r="E1387" s="0" t="n">
        <v>1</v>
      </c>
      <c r="F1387" s="39" t="s">
        <v>882</v>
      </c>
      <c r="G1387" s="0" t="n">
        <v>47.3</v>
      </c>
      <c r="H1387" s="0" t="n">
        <v>46</v>
      </c>
      <c r="I1387" s="39" t="s">
        <v>109</v>
      </c>
      <c r="J1387" s="0" t="n">
        <v>103</v>
      </c>
      <c r="K1387" s="0" t="n">
        <v>81</v>
      </c>
      <c r="L1387" s="0" t="n">
        <v>153</v>
      </c>
      <c r="M1387" s="0" t="n">
        <v>1602.87</v>
      </c>
      <c r="N1387" s="0" t="n">
        <v>75.16</v>
      </c>
      <c r="O1387" s="0" t="n">
        <v>43.89</v>
      </c>
      <c r="P1387" s="0" t="n">
        <v>3.11</v>
      </c>
      <c r="Q1387" s="0" t="n">
        <v>3.48</v>
      </c>
      <c r="R1387" s="0" t="n">
        <v>4922</v>
      </c>
      <c r="S1387" s="0" t="n">
        <v>10643</v>
      </c>
      <c r="T1387" s="0" t="n">
        <v>51.1</v>
      </c>
      <c r="U1387" s="0" t="n">
        <v>901</v>
      </c>
      <c r="V1387" s="0" t="n">
        <v>2</v>
      </c>
      <c r="W1387" s="39" t="n">
        <f aca="false">IF(I1387="Male",0,1)</f>
        <v>1</v>
      </c>
      <c r="X1387" s="39" t="n">
        <f aca="false">IF(OR(I1387="DNB",I1387="Dry DNB"),1,0)</f>
        <v>0</v>
      </c>
      <c r="Y1387" s="39" t="n">
        <f aca="false">MATCH(A1387,DATAS,0)</f>
        <v>1</v>
      </c>
      <c r="Z1387" s="39" t="n">
        <f aca="false">IF(AND(E1387&gt;0,OR(AND(B1387&gt;=1,B1387&lt;=6),B1387=10)),1,0)</f>
        <v>1</v>
      </c>
      <c r="AA1387" s="39" t="n">
        <f aca="false">IF(AND(E1387&gt;0,B1387=10),1,0)</f>
        <v>0</v>
      </c>
      <c r="AB1387" s="0" t="str">
        <f aca="false">IF(AND(C1386=C1387,Y1386=Y1387-1),Z1386,"")</f>
        <v/>
      </c>
      <c r="AC1387" s="0" t="str">
        <f aca="false">IF(AND(C1386=C1387,Y1386=Y1387-1),AA1386,"")</f>
        <v/>
      </c>
      <c r="AD1387" s="0" t="str">
        <f aca="false">IF(Y1387=1,"",IF(AND(Z1387=1,AB1387&lt;&gt;1),1,0))</f>
        <v/>
      </c>
      <c r="AE1387" s="0" t="str">
        <f aca="false">IF(Y1387=1,"",IF(AND(AA1387=1,AC1387&lt;&gt;1),1,0))</f>
        <v/>
      </c>
      <c r="AF1387" s="45" t="str">
        <f aca="false">IF(AND(E1387&gt;0,Y1387&lt;1,NOT(AND(C1388=C1387,Y1388=Y1387+1))),INDEX(DATAS,Y1387+1),"")</f>
        <v/>
      </c>
      <c r="AG1387" s="45" t="str">
        <f aca="false">IF(AND(AA1387=1,Y1387&lt;1),IF(AND(C1388=C1387,Y1388=Y1387+1),IF(AA1388=1,"",INDEX(DATAS,Y1387+1)),INDEX(DATAS,Y1387+1)),"")</f>
        <v/>
      </c>
    </row>
    <row r="1388" customFormat="false" ht="15" hidden="false" customHeight="false" outlineLevel="0" collapsed="false">
      <c r="A1388" s="45" t="n">
        <v>46309</v>
      </c>
      <c r="B1388" s="0" t="n">
        <v>4</v>
      </c>
      <c r="C1388" s="0" t="n">
        <v>5500</v>
      </c>
      <c r="D1388" s="0" t="n">
        <v>264</v>
      </c>
      <c r="E1388" s="0" t="n">
        <v>1</v>
      </c>
      <c r="F1388" s="39" t="s">
        <v>882</v>
      </c>
      <c r="G1388" s="0" t="n">
        <v>45.1</v>
      </c>
      <c r="H1388" s="0" t="n">
        <v>45</v>
      </c>
      <c r="I1388" s="39" t="s">
        <v>109</v>
      </c>
      <c r="J1388" s="0" t="n">
        <v>124</v>
      </c>
      <c r="K1388" s="0" t="n">
        <v>68</v>
      </c>
      <c r="L1388" s="0" t="n">
        <v>140</v>
      </c>
      <c r="M1388" s="0" t="n">
        <v>528.12</v>
      </c>
      <c r="N1388" s="0" t="n">
        <v>55.44</v>
      </c>
      <c r="O1388" s="0" t="n">
        <v>39.1</v>
      </c>
      <c r="P1388" s="0" t="n">
        <v>4.01</v>
      </c>
      <c r="Q1388" s="0" t="n">
        <v>3.83</v>
      </c>
      <c r="R1388" s="0" t="n">
        <v>3636</v>
      </c>
      <c r="S1388" s="0" t="n">
        <v>8520</v>
      </c>
      <c r="T1388" s="0" t="n">
        <v>38</v>
      </c>
      <c r="U1388" s="0" t="n">
        <v>901</v>
      </c>
      <c r="V1388" s="0" t="n">
        <v>2</v>
      </c>
      <c r="W1388" s="39" t="n">
        <f aca="false">IF(I1388="Male",0,1)</f>
        <v>1</v>
      </c>
      <c r="X1388" s="39" t="n">
        <f aca="false">IF(OR(I1388="DNB",I1388="Dry DNB"),1,0)</f>
        <v>0</v>
      </c>
      <c r="Y1388" s="39" t="n">
        <f aca="false">MATCH(A1388,DATAS,0)</f>
        <v>1</v>
      </c>
      <c r="Z1388" s="39" t="n">
        <f aca="false">IF(AND(E1388&gt;0,OR(AND(B1388&gt;=1,B1388&lt;=6),B1388=10)),1,0)</f>
        <v>1</v>
      </c>
      <c r="AA1388" s="39" t="n">
        <f aca="false">IF(AND(E1388&gt;0,B1388=10),1,0)</f>
        <v>0</v>
      </c>
      <c r="AB1388" s="0" t="str">
        <f aca="false">IF(AND(C1387=C1388,Y1387=Y1388-1),Z1387,"")</f>
        <v/>
      </c>
      <c r="AC1388" s="0" t="str">
        <f aca="false">IF(AND(C1387=C1388,Y1387=Y1388-1),AA1387,"")</f>
        <v/>
      </c>
      <c r="AD1388" s="0" t="str">
        <f aca="false">IF(Y1388=1,"",IF(AND(Z1388=1,AB1388&lt;&gt;1),1,0))</f>
        <v/>
      </c>
      <c r="AE1388" s="0" t="str">
        <f aca="false">IF(Y1388=1,"",IF(AND(AA1388=1,AC1388&lt;&gt;1),1,0))</f>
        <v/>
      </c>
      <c r="AF1388" s="45" t="str">
        <f aca="false">IF(AND(E1388&gt;0,Y1388&lt;1,NOT(AND(C1389=C1388,Y1389=Y1388+1))),INDEX(DATAS,Y1388+1),"")</f>
        <v/>
      </c>
      <c r="AG1388" s="45" t="str">
        <f aca="false">IF(AND(AA1388=1,Y1388&lt;1),IF(AND(C1389=C1388,Y1389=Y1388+1),IF(AA1389=1,"",INDEX(DATAS,Y1388+1)),INDEX(DATAS,Y1388+1)),"")</f>
        <v/>
      </c>
    </row>
    <row r="1389" customFormat="false" ht="15" hidden="false" customHeight="false" outlineLevel="0" collapsed="false">
      <c r="A1389" s="45" t="n">
        <v>46309</v>
      </c>
      <c r="B1389" s="0" t="n">
        <v>4</v>
      </c>
      <c r="C1389" s="0" t="n">
        <v>5501</v>
      </c>
      <c r="D1389" s="0" t="n">
        <v>205</v>
      </c>
      <c r="E1389" s="0" t="n">
        <v>1</v>
      </c>
      <c r="F1389" s="39" t="s">
        <v>883</v>
      </c>
      <c r="G1389" s="0" t="n">
        <v>53</v>
      </c>
      <c r="H1389" s="0" t="n">
        <v>54</v>
      </c>
      <c r="I1389" s="39" t="s">
        <v>109</v>
      </c>
      <c r="J1389" s="0" t="n">
        <v>100</v>
      </c>
      <c r="K1389" s="0" t="n">
        <v>65</v>
      </c>
      <c r="L1389" s="0" t="n">
        <v>105</v>
      </c>
      <c r="M1389" s="0" t="n">
        <v>1240.59</v>
      </c>
      <c r="N1389" s="0" t="n">
        <v>69.85</v>
      </c>
      <c r="O1389" s="0" t="n">
        <v>48.88</v>
      </c>
      <c r="P1389" s="0" t="n">
        <v>3.01</v>
      </c>
      <c r="Q1389" s="0" t="n">
        <v>3.5</v>
      </c>
      <c r="R1389" s="0" t="n">
        <v>4935</v>
      </c>
      <c r="S1389" s="0" t="n">
        <v>10831</v>
      </c>
      <c r="T1389" s="0" t="n">
        <v>59.25</v>
      </c>
      <c r="U1389" s="0" t="n">
        <v>900</v>
      </c>
      <c r="V1389" s="0" t="n">
        <v>2</v>
      </c>
      <c r="W1389" s="39" t="n">
        <f aca="false">IF(I1389="Male",0,1)</f>
        <v>1</v>
      </c>
      <c r="X1389" s="39" t="n">
        <f aca="false">IF(OR(I1389="DNB",I1389="Dry DNB"),1,0)</f>
        <v>0</v>
      </c>
      <c r="Y1389" s="39" t="n">
        <f aca="false">MATCH(A1389,DATAS,0)</f>
        <v>1</v>
      </c>
      <c r="Z1389" s="39" t="n">
        <f aca="false">IF(AND(E1389&gt;0,OR(AND(B1389&gt;=1,B1389&lt;=6),B1389=10)),1,0)</f>
        <v>1</v>
      </c>
      <c r="AA1389" s="39" t="n">
        <f aca="false">IF(AND(E1389&gt;0,B1389=10),1,0)</f>
        <v>0</v>
      </c>
      <c r="AB1389" s="0" t="str">
        <f aca="false">IF(AND(C1388=C1389,Y1388=Y1389-1),Z1388,"")</f>
        <v/>
      </c>
      <c r="AC1389" s="0" t="str">
        <f aca="false">IF(AND(C1388=C1389,Y1388=Y1389-1),AA1388,"")</f>
        <v/>
      </c>
      <c r="AD1389" s="0" t="str">
        <f aca="false">IF(Y1389=1,"",IF(AND(Z1389=1,AB1389&lt;&gt;1),1,0))</f>
        <v/>
      </c>
      <c r="AE1389" s="0" t="str">
        <f aca="false">IF(Y1389=1,"",IF(AND(AA1389=1,AC1389&lt;&gt;1),1,0))</f>
        <v/>
      </c>
      <c r="AF1389" s="45" t="str">
        <f aca="false">IF(AND(E1389&gt;0,Y1389&lt;1,NOT(AND(C1390=C1389,Y1390=Y1389+1))),INDEX(DATAS,Y1389+1),"")</f>
        <v/>
      </c>
      <c r="AG1389" s="45" t="str">
        <f aca="false">IF(AND(AA1389=1,Y1389&lt;1),IF(AND(C1390=C1389,Y1390=Y1389+1),IF(AA1390=1,"",INDEX(DATAS,Y1389+1)),INDEX(DATAS,Y1389+1)),"")</f>
        <v/>
      </c>
    </row>
    <row r="1390" customFormat="false" ht="15" hidden="false" customHeight="false" outlineLevel="0" collapsed="false">
      <c r="A1390" s="45" t="n">
        <v>46309</v>
      </c>
      <c r="B1390" s="0" t="n">
        <v>4</v>
      </c>
      <c r="C1390" s="0" t="n">
        <v>5503</v>
      </c>
      <c r="D1390" s="0" t="n">
        <v>194</v>
      </c>
      <c r="E1390" s="0" t="n">
        <v>1</v>
      </c>
      <c r="F1390" s="39" t="s">
        <v>883</v>
      </c>
      <c r="G1390" s="0" t="n">
        <v>45.5</v>
      </c>
      <c r="H1390" s="0" t="n">
        <v>48</v>
      </c>
      <c r="I1390" s="39" t="s">
        <v>109</v>
      </c>
      <c r="J1390" s="0" t="n">
        <v>68</v>
      </c>
      <c r="K1390" s="0" t="n">
        <v>68</v>
      </c>
      <c r="L1390" s="0" t="n">
        <v>126</v>
      </c>
      <c r="M1390" s="0" t="n">
        <v>1084.59</v>
      </c>
      <c r="N1390" s="0" t="n">
        <v>69.67</v>
      </c>
      <c r="O1390" s="0" t="n">
        <v>33.24</v>
      </c>
      <c r="P1390" s="0" t="n">
        <v>4.28</v>
      </c>
      <c r="Q1390" s="0" t="n">
        <v>3.25</v>
      </c>
      <c r="R1390" s="0" t="n">
        <v>4257</v>
      </c>
      <c r="S1390" s="0" t="n">
        <v>8970</v>
      </c>
      <c r="T1390" s="0" t="n">
        <v>45.05</v>
      </c>
      <c r="U1390" s="0" t="n">
        <v>900</v>
      </c>
      <c r="V1390" s="0" t="n">
        <v>1</v>
      </c>
      <c r="W1390" s="39" t="n">
        <f aca="false">IF(I1390="Male",0,1)</f>
        <v>1</v>
      </c>
      <c r="X1390" s="39" t="n">
        <f aca="false">IF(OR(I1390="DNB",I1390="Dry DNB"),1,0)</f>
        <v>0</v>
      </c>
      <c r="Y1390" s="39" t="n">
        <f aca="false">MATCH(A1390,DATAS,0)</f>
        <v>1</v>
      </c>
      <c r="Z1390" s="39" t="n">
        <f aca="false">IF(AND(E1390&gt;0,OR(AND(B1390&gt;=1,B1390&lt;=6),B1390=10)),1,0)</f>
        <v>1</v>
      </c>
      <c r="AA1390" s="39" t="n">
        <f aca="false">IF(AND(E1390&gt;0,B1390=10),1,0)</f>
        <v>0</v>
      </c>
      <c r="AB1390" s="0" t="str">
        <f aca="false">IF(AND(C1389=C1390,Y1389=Y1390-1),Z1389,"")</f>
        <v/>
      </c>
      <c r="AC1390" s="0" t="str">
        <f aca="false">IF(AND(C1389=C1390,Y1389=Y1390-1),AA1389,"")</f>
        <v/>
      </c>
      <c r="AD1390" s="0" t="str">
        <f aca="false">IF(Y1390=1,"",IF(AND(Z1390=1,AB1390&lt;&gt;1),1,0))</f>
        <v/>
      </c>
      <c r="AE1390" s="0" t="str">
        <f aca="false">IF(Y1390=1,"",IF(AND(AA1390=1,AC1390&lt;&gt;1),1,0))</f>
        <v/>
      </c>
      <c r="AF1390" s="45" t="str">
        <f aca="false">IF(AND(E1390&gt;0,Y1390&lt;1,NOT(AND(C1391=C1390,Y1391=Y1390+1))),INDEX(DATAS,Y1390+1),"")</f>
        <v/>
      </c>
      <c r="AG1390" s="45" t="str">
        <f aca="false">IF(AND(AA1390=1,Y1390&lt;1),IF(AND(C1391=C1390,Y1391=Y1390+1),IF(AA1391=1,"",INDEX(DATAS,Y1390+1)),INDEX(DATAS,Y1390+1)),"")</f>
        <v/>
      </c>
    </row>
    <row r="1391" customFormat="false" ht="15" hidden="false" customHeight="false" outlineLevel="0" collapsed="false">
      <c r="A1391" s="45" t="n">
        <v>46309</v>
      </c>
      <c r="B1391" s="0" t="n">
        <v>4</v>
      </c>
      <c r="C1391" s="0" t="n">
        <v>5504</v>
      </c>
      <c r="D1391" s="0" t="n">
        <v>208</v>
      </c>
      <c r="E1391" s="0" t="n">
        <v>1</v>
      </c>
      <c r="F1391" s="39" t="s">
        <v>883</v>
      </c>
      <c r="G1391" s="0" t="n">
        <v>50.3</v>
      </c>
      <c r="H1391" s="0" t="n">
        <v>50</v>
      </c>
      <c r="I1391" s="39" t="s">
        <v>109</v>
      </c>
      <c r="J1391" s="0" t="n">
        <v>68</v>
      </c>
      <c r="K1391" s="0" t="n">
        <v>68</v>
      </c>
      <c r="L1391" s="0" t="n">
        <v>140</v>
      </c>
      <c r="M1391" s="0" t="n">
        <v>1327.69</v>
      </c>
      <c r="N1391" s="0" t="n">
        <v>57.9</v>
      </c>
      <c r="O1391" s="0" t="n">
        <v>37.27</v>
      </c>
      <c r="P1391" s="0" t="n">
        <v>3.74</v>
      </c>
      <c r="Q1391" s="0" t="n">
        <v>3.29</v>
      </c>
      <c r="R1391" s="0" t="n">
        <v>3350</v>
      </c>
      <c r="S1391" s="0" t="n">
        <v>8821</v>
      </c>
      <c r="T1391" s="0" t="n">
        <v>46.4</v>
      </c>
      <c r="U1391" s="0" t="n">
        <v>900</v>
      </c>
      <c r="V1391" s="0" t="n">
        <v>1</v>
      </c>
      <c r="W1391" s="39" t="n">
        <f aca="false">IF(I1391="Male",0,1)</f>
        <v>1</v>
      </c>
      <c r="X1391" s="39" t="n">
        <f aca="false">IF(OR(I1391="DNB",I1391="Dry DNB"),1,0)</f>
        <v>0</v>
      </c>
      <c r="Y1391" s="39" t="n">
        <f aca="false">MATCH(A1391,DATAS,0)</f>
        <v>1</v>
      </c>
      <c r="Z1391" s="39" t="n">
        <f aca="false">IF(AND(E1391&gt;0,OR(AND(B1391&gt;=1,B1391&lt;=6),B1391=10)),1,0)</f>
        <v>1</v>
      </c>
      <c r="AA1391" s="39" t="n">
        <f aca="false">IF(AND(E1391&gt;0,B1391=10),1,0)</f>
        <v>0</v>
      </c>
      <c r="AB1391" s="0" t="str">
        <f aca="false">IF(AND(C1390=C1391,Y1390=Y1391-1),Z1390,"")</f>
        <v/>
      </c>
      <c r="AC1391" s="0" t="str">
        <f aca="false">IF(AND(C1390=C1391,Y1390=Y1391-1),AA1390,"")</f>
        <v/>
      </c>
      <c r="AD1391" s="0" t="str">
        <f aca="false">IF(Y1391=1,"",IF(AND(Z1391=1,AB1391&lt;&gt;1),1,0))</f>
        <v/>
      </c>
      <c r="AE1391" s="0" t="str">
        <f aca="false">IF(Y1391=1,"",IF(AND(AA1391=1,AC1391&lt;&gt;1),1,0))</f>
        <v/>
      </c>
      <c r="AF1391" s="45" t="str">
        <f aca="false">IF(AND(E1391&gt;0,Y1391&lt;1,NOT(AND(C1392=C1391,Y1392=Y1391+1))),INDEX(DATAS,Y1391+1),"")</f>
        <v/>
      </c>
      <c r="AG1391" s="45" t="str">
        <f aca="false">IF(AND(AA1391=1,Y1391&lt;1),IF(AND(C1392=C1391,Y1392=Y1391+1),IF(AA1392=1,"",INDEX(DATAS,Y1391+1)),INDEX(DATAS,Y1391+1)),"")</f>
        <v/>
      </c>
    </row>
    <row r="1392" customFormat="false" ht="15" hidden="false" customHeight="false" outlineLevel="0" collapsed="false">
      <c r="A1392" s="45" t="n">
        <v>46309</v>
      </c>
      <c r="B1392" s="0" t="n">
        <v>4</v>
      </c>
      <c r="C1392" s="0" t="n">
        <v>5505</v>
      </c>
      <c r="D1392" s="0" t="n">
        <v>201</v>
      </c>
      <c r="E1392" s="0" t="n">
        <v>1</v>
      </c>
      <c r="F1392" s="39" t="s">
        <v>883</v>
      </c>
      <c r="G1392" s="0" t="n">
        <v>46.6</v>
      </c>
      <c r="H1392" s="0" t="n">
        <v>42</v>
      </c>
      <c r="I1392" s="39" t="s">
        <v>109</v>
      </c>
      <c r="J1392" s="0" t="n">
        <v>89</v>
      </c>
      <c r="K1392" s="0" t="n">
        <v>68</v>
      </c>
      <c r="L1392" s="0" t="n">
        <v>112</v>
      </c>
      <c r="M1392" s="0" t="n">
        <v>912.53</v>
      </c>
      <c r="N1392" s="0" t="n">
        <v>62.2</v>
      </c>
      <c r="O1392" s="0" t="n">
        <v>35.85</v>
      </c>
      <c r="P1392" s="0" t="n">
        <v>3.97</v>
      </c>
      <c r="Q1392" s="0" t="n">
        <v>3.59</v>
      </c>
      <c r="R1392" s="0" t="n">
        <v>3542</v>
      </c>
      <c r="S1392" s="0" t="n">
        <v>8482</v>
      </c>
      <c r="T1392" s="0" t="n">
        <v>45.05</v>
      </c>
      <c r="U1392" s="0" t="n">
        <v>900</v>
      </c>
      <c r="V1392" s="0" t="n">
        <v>2</v>
      </c>
      <c r="W1392" s="39" t="n">
        <f aca="false">IF(I1392="Male",0,1)</f>
        <v>1</v>
      </c>
      <c r="X1392" s="39" t="n">
        <f aca="false">IF(OR(I1392="DNB",I1392="Dry DNB"),1,0)</f>
        <v>0</v>
      </c>
      <c r="Y1392" s="39" t="n">
        <f aca="false">MATCH(A1392,DATAS,0)</f>
        <v>1</v>
      </c>
      <c r="Z1392" s="39" t="n">
        <f aca="false">IF(AND(E1392&gt;0,OR(AND(B1392&gt;=1,B1392&lt;=6),B1392=10)),1,0)</f>
        <v>1</v>
      </c>
      <c r="AA1392" s="39" t="n">
        <f aca="false">IF(AND(E1392&gt;0,B1392=10),1,0)</f>
        <v>0</v>
      </c>
      <c r="AB1392" s="0" t="str">
        <f aca="false">IF(AND(C1391=C1392,Y1391=Y1392-1),Z1391,"")</f>
        <v/>
      </c>
      <c r="AC1392" s="0" t="str">
        <f aca="false">IF(AND(C1391=C1392,Y1391=Y1392-1),AA1391,"")</f>
        <v/>
      </c>
      <c r="AD1392" s="0" t="str">
        <f aca="false">IF(Y1392=1,"",IF(AND(Z1392=1,AB1392&lt;&gt;1),1,0))</f>
        <v/>
      </c>
      <c r="AE1392" s="0" t="str">
        <f aca="false">IF(Y1392=1,"",IF(AND(AA1392=1,AC1392&lt;&gt;1),1,0))</f>
        <v/>
      </c>
      <c r="AF1392" s="45" t="str">
        <f aca="false">IF(AND(E1392&gt;0,Y1392&lt;1,NOT(AND(C1393=C1392,Y1393=Y1392+1))),INDEX(DATAS,Y1392+1),"")</f>
        <v/>
      </c>
      <c r="AG1392" s="45" t="str">
        <f aca="false">IF(AND(AA1392=1,Y1392&lt;1),IF(AND(C1393=C1392,Y1393=Y1392+1),IF(AA1393=1,"",INDEX(DATAS,Y1392+1)),INDEX(DATAS,Y1392+1)),"")</f>
        <v/>
      </c>
    </row>
    <row r="1393" customFormat="false" ht="15" hidden="false" customHeight="false" outlineLevel="0" collapsed="false">
      <c r="A1393" s="45" t="n">
        <v>46309</v>
      </c>
      <c r="B1393" s="0" t="n">
        <v>4</v>
      </c>
      <c r="C1393" s="0" t="n">
        <v>5506</v>
      </c>
      <c r="D1393" s="0" t="n">
        <v>186</v>
      </c>
      <c r="E1393" s="0" t="n">
        <v>1</v>
      </c>
      <c r="F1393" s="39" t="s">
        <v>883</v>
      </c>
      <c r="G1393" s="0" t="n">
        <v>60.3</v>
      </c>
      <c r="H1393" s="0" t="n">
        <v>59</v>
      </c>
      <c r="I1393" s="39" t="s">
        <v>138</v>
      </c>
      <c r="J1393" s="0" t="n">
        <v>186</v>
      </c>
      <c r="K1393" s="0" t="n">
        <v>67</v>
      </c>
      <c r="M1393" s="0" t="n">
        <v>1059.4</v>
      </c>
      <c r="N1393" s="0" t="n">
        <v>67.5</v>
      </c>
      <c r="O1393" s="0" t="n">
        <v>35.98</v>
      </c>
      <c r="P1393" s="0" t="n">
        <v>3.44</v>
      </c>
      <c r="Q1393" s="0" t="n">
        <v>3.09</v>
      </c>
      <c r="R1393" s="0" t="n">
        <v>5123</v>
      </c>
      <c r="S1393" s="0" t="n">
        <v>10866</v>
      </c>
      <c r="T1393" s="0" t="n">
        <v>53.6</v>
      </c>
      <c r="U1393" s="0" t="n">
        <v>900</v>
      </c>
      <c r="V1393" s="0" t="n">
        <v>4</v>
      </c>
      <c r="W1393" s="39" t="n">
        <f aca="false">IF(I1393="Male",0,1)</f>
        <v>1</v>
      </c>
      <c r="X1393" s="39" t="n">
        <f aca="false">IF(OR(I1393="DNB",I1393="Dry DNB"),1,0)</f>
        <v>0</v>
      </c>
      <c r="Y1393" s="39" t="n">
        <f aca="false">MATCH(A1393,DATAS,0)</f>
        <v>1</v>
      </c>
      <c r="Z1393" s="39" t="n">
        <f aca="false">IF(AND(E1393&gt;0,OR(AND(B1393&gt;=1,B1393&lt;=6),B1393=10)),1,0)</f>
        <v>1</v>
      </c>
      <c r="AA1393" s="39" t="n">
        <f aca="false">IF(AND(E1393&gt;0,B1393=10),1,0)</f>
        <v>0</v>
      </c>
      <c r="AB1393" s="0" t="str">
        <f aca="false">IF(AND(C1392=C1393,Y1392=Y1393-1),Z1392,"")</f>
        <v/>
      </c>
      <c r="AC1393" s="0" t="str">
        <f aca="false">IF(AND(C1392=C1393,Y1392=Y1393-1),AA1392,"")</f>
        <v/>
      </c>
      <c r="AD1393" s="0" t="str">
        <f aca="false">IF(Y1393=1,"",IF(AND(Z1393=1,AB1393&lt;&gt;1),1,0))</f>
        <v/>
      </c>
      <c r="AE1393" s="0" t="str">
        <f aca="false">IF(Y1393=1,"",IF(AND(AA1393=1,AC1393&lt;&gt;1),1,0))</f>
        <v/>
      </c>
      <c r="AF1393" s="45" t="str">
        <f aca="false">IF(AND(E1393&gt;0,Y1393&lt;1,NOT(AND(C1394=C1393,Y1394=Y1393+1))),INDEX(DATAS,Y1393+1),"")</f>
        <v/>
      </c>
      <c r="AG1393" s="45" t="str">
        <f aca="false">IF(AND(AA1393=1,Y1393&lt;1),IF(AND(C1394=C1393,Y1394=Y1393+1),IF(AA1394=1,"",INDEX(DATAS,Y1393+1)),INDEX(DATAS,Y1393+1)),"")</f>
        <v/>
      </c>
    </row>
    <row r="1394" customFormat="false" ht="15" hidden="false" customHeight="false" outlineLevel="0" collapsed="false">
      <c r="A1394" s="45" t="n">
        <v>46309</v>
      </c>
      <c r="B1394" s="0" t="n">
        <v>4</v>
      </c>
      <c r="C1394" s="0" t="n">
        <v>5507</v>
      </c>
      <c r="D1394" s="0" t="n">
        <v>207</v>
      </c>
      <c r="E1394" s="0" t="n">
        <v>1</v>
      </c>
      <c r="F1394" s="39" t="s">
        <v>884</v>
      </c>
      <c r="G1394" s="0" t="n">
        <v>42.1</v>
      </c>
      <c r="H1394" s="0" t="n">
        <v>42</v>
      </c>
      <c r="I1394" s="39" t="s">
        <v>109</v>
      </c>
      <c r="J1394" s="0" t="n">
        <v>67</v>
      </c>
      <c r="K1394" s="0" t="n">
        <v>67</v>
      </c>
      <c r="L1394" s="0" t="n">
        <v>140</v>
      </c>
      <c r="M1394" s="0" t="n">
        <v>794.14</v>
      </c>
      <c r="N1394" s="0" t="n">
        <v>67.31</v>
      </c>
      <c r="O1394" s="0" t="n">
        <v>42.16</v>
      </c>
      <c r="P1394" s="0" t="n">
        <v>4.19</v>
      </c>
      <c r="Q1394" s="0" t="n">
        <v>3.58</v>
      </c>
      <c r="R1394" s="0" t="n">
        <v>3954</v>
      </c>
      <c r="S1394" s="0" t="n">
        <v>8316</v>
      </c>
      <c r="T1394" s="0" t="n">
        <v>45.1</v>
      </c>
      <c r="U1394" s="0" t="n">
        <v>899</v>
      </c>
      <c r="V1394" s="0" t="n">
        <v>1</v>
      </c>
      <c r="W1394" s="39" t="n">
        <f aca="false">IF(I1394="Male",0,1)</f>
        <v>1</v>
      </c>
      <c r="X1394" s="39" t="n">
        <f aca="false">IF(OR(I1394="DNB",I1394="Dry DNB"),1,0)</f>
        <v>0</v>
      </c>
      <c r="Y1394" s="39" t="n">
        <f aca="false">MATCH(A1394,DATAS,0)</f>
        <v>1</v>
      </c>
      <c r="Z1394" s="39" t="n">
        <f aca="false">IF(AND(E1394&gt;0,OR(AND(B1394&gt;=1,B1394&lt;=6),B1394=10)),1,0)</f>
        <v>1</v>
      </c>
      <c r="AA1394" s="39" t="n">
        <f aca="false">IF(AND(E1394&gt;0,B1394=10),1,0)</f>
        <v>0</v>
      </c>
      <c r="AB1394" s="0" t="str">
        <f aca="false">IF(AND(C1393=C1394,Y1393=Y1394-1),Z1393,"")</f>
        <v/>
      </c>
      <c r="AC1394" s="0" t="str">
        <f aca="false">IF(AND(C1393=C1394,Y1393=Y1394-1),AA1393,"")</f>
        <v/>
      </c>
      <c r="AD1394" s="0" t="str">
        <f aca="false">IF(Y1394=1,"",IF(AND(Z1394=1,AB1394&lt;&gt;1),1,0))</f>
        <v/>
      </c>
      <c r="AE1394" s="0" t="str">
        <f aca="false">IF(Y1394=1,"",IF(AND(AA1394=1,AC1394&lt;&gt;1),1,0))</f>
        <v/>
      </c>
      <c r="AF1394" s="45" t="str">
        <f aca="false">IF(AND(E1394&gt;0,Y1394&lt;1,NOT(AND(C1395=C1394,Y1395=Y1394+1))),INDEX(DATAS,Y1394+1),"")</f>
        <v/>
      </c>
      <c r="AG1394" s="45" t="str">
        <f aca="false">IF(AND(AA1394=1,Y1394&lt;1),IF(AND(C1395=C1394,Y1395=Y1394+1),IF(AA1395=1,"",INDEX(DATAS,Y1394+1)),INDEX(DATAS,Y1394+1)),"")</f>
        <v/>
      </c>
    </row>
    <row r="1395" customFormat="false" ht="15" hidden="false" customHeight="false" outlineLevel="0" collapsed="false">
      <c r="A1395" s="45" t="n">
        <v>46309</v>
      </c>
      <c r="B1395" s="0" t="n">
        <v>4</v>
      </c>
      <c r="C1395" s="0" t="n">
        <v>5508</v>
      </c>
      <c r="D1395" s="0" t="n">
        <v>259</v>
      </c>
      <c r="E1395" s="0" t="n">
        <v>1</v>
      </c>
      <c r="F1395" s="39" t="s">
        <v>885</v>
      </c>
      <c r="G1395" s="0" t="n">
        <v>27.9</v>
      </c>
      <c r="H1395" s="0" t="n">
        <v>32</v>
      </c>
      <c r="I1395" s="39" t="s">
        <v>109</v>
      </c>
      <c r="J1395" s="0" t="n">
        <v>140</v>
      </c>
      <c r="K1395" s="0" t="n">
        <v>63</v>
      </c>
      <c r="L1395" s="0" t="n">
        <v>119</v>
      </c>
      <c r="M1395" s="0" t="n">
        <v>-34.5</v>
      </c>
      <c r="N1395" s="0" t="n">
        <v>47.01</v>
      </c>
      <c r="O1395" s="0" t="n">
        <v>20.92</v>
      </c>
      <c r="P1395" s="0" t="n">
        <v>5.3</v>
      </c>
      <c r="Q1395" s="0" t="n">
        <v>4.06</v>
      </c>
      <c r="R1395" s="0" t="n">
        <v>3028</v>
      </c>
      <c r="S1395" s="0" t="n">
        <v>6523</v>
      </c>
      <c r="T1395" s="0" t="n">
        <v>30.3</v>
      </c>
      <c r="U1395" s="0" t="n">
        <v>897</v>
      </c>
      <c r="V1395" s="0" t="n">
        <v>3</v>
      </c>
      <c r="W1395" s="39" t="n">
        <f aca="false">IF(I1395="Male",0,1)</f>
        <v>1</v>
      </c>
      <c r="X1395" s="39" t="n">
        <f aca="false">IF(OR(I1395="DNB",I1395="Dry DNB"),1,0)</f>
        <v>0</v>
      </c>
      <c r="Y1395" s="39" t="n">
        <f aca="false">MATCH(A1395,DATAS,0)</f>
        <v>1</v>
      </c>
      <c r="Z1395" s="39" t="n">
        <f aca="false">IF(AND(E1395&gt;0,OR(AND(B1395&gt;=1,B1395&lt;=6),B1395=10)),1,0)</f>
        <v>1</v>
      </c>
      <c r="AA1395" s="39" t="n">
        <f aca="false">IF(AND(E1395&gt;0,B1395=10),1,0)</f>
        <v>0</v>
      </c>
      <c r="AB1395" s="0" t="str">
        <f aca="false">IF(AND(C1394=C1395,Y1394=Y1395-1),Z1394,"")</f>
        <v/>
      </c>
      <c r="AC1395" s="0" t="str">
        <f aca="false">IF(AND(C1394=C1395,Y1394=Y1395-1),AA1394,"")</f>
        <v/>
      </c>
      <c r="AD1395" s="0" t="str">
        <f aca="false">IF(Y1395=1,"",IF(AND(Z1395=1,AB1395&lt;&gt;1),1,0))</f>
        <v/>
      </c>
      <c r="AE1395" s="0" t="str">
        <f aca="false">IF(Y1395=1,"",IF(AND(AA1395=1,AC1395&lt;&gt;1),1,0))</f>
        <v/>
      </c>
      <c r="AF1395" s="45" t="str">
        <f aca="false">IF(AND(E1395&gt;0,Y1395&lt;1,NOT(AND(C1396=C1395,Y1396=Y1395+1))),INDEX(DATAS,Y1395+1),"")</f>
        <v/>
      </c>
      <c r="AG1395" s="45" t="str">
        <f aca="false">IF(AND(AA1395=1,Y1395&lt;1),IF(AND(C1396=C1395,Y1396=Y1395+1),IF(AA1396=1,"",INDEX(DATAS,Y1395+1)),INDEX(DATAS,Y1395+1)),"")</f>
        <v/>
      </c>
    </row>
    <row r="1396" customFormat="false" ht="15" hidden="false" customHeight="false" outlineLevel="0" collapsed="false">
      <c r="A1396" s="45" t="n">
        <v>46309</v>
      </c>
      <c r="B1396" s="0" t="n">
        <v>4</v>
      </c>
      <c r="C1396" s="0" t="n">
        <v>5509</v>
      </c>
      <c r="D1396" s="0" t="n">
        <v>235</v>
      </c>
      <c r="E1396" s="0" t="n">
        <v>1</v>
      </c>
      <c r="F1396" s="39" t="s">
        <v>884</v>
      </c>
      <c r="G1396" s="0" t="n">
        <v>51.7</v>
      </c>
      <c r="H1396" s="0" t="n">
        <v>51</v>
      </c>
      <c r="I1396" s="39" t="s">
        <v>109</v>
      </c>
      <c r="J1396" s="0" t="n">
        <v>151</v>
      </c>
      <c r="K1396" s="0" t="n">
        <v>109</v>
      </c>
      <c r="L1396" s="0" t="n">
        <v>84</v>
      </c>
      <c r="M1396" s="0" t="n">
        <v>556.77</v>
      </c>
      <c r="N1396" s="0" t="n">
        <v>63.37</v>
      </c>
      <c r="O1396" s="0" t="n">
        <v>28.12</v>
      </c>
      <c r="P1396" s="0" t="n">
        <v>3.08</v>
      </c>
      <c r="Q1396" s="0" t="n">
        <v>3.39</v>
      </c>
      <c r="R1396" s="0" t="n">
        <v>3061</v>
      </c>
      <c r="S1396" s="0" t="n">
        <v>7473</v>
      </c>
      <c r="T1396" s="0" t="n">
        <v>36.3</v>
      </c>
      <c r="U1396" s="0" t="n">
        <v>899</v>
      </c>
      <c r="V1396" s="0" t="n">
        <v>2</v>
      </c>
      <c r="W1396" s="39" t="n">
        <f aca="false">IF(I1396="Male",0,1)</f>
        <v>1</v>
      </c>
      <c r="X1396" s="39" t="n">
        <f aca="false">IF(OR(I1396="DNB",I1396="Dry DNB"),1,0)</f>
        <v>0</v>
      </c>
      <c r="Y1396" s="39" t="n">
        <f aca="false">MATCH(A1396,DATAS,0)</f>
        <v>1</v>
      </c>
      <c r="Z1396" s="39" t="n">
        <f aca="false">IF(AND(E1396&gt;0,OR(AND(B1396&gt;=1,B1396&lt;=6),B1396=10)),1,0)</f>
        <v>1</v>
      </c>
      <c r="AA1396" s="39" t="n">
        <f aca="false">IF(AND(E1396&gt;0,B1396=10),1,0)</f>
        <v>0</v>
      </c>
      <c r="AB1396" s="0" t="str">
        <f aca="false">IF(AND(C1395=C1396,Y1395=Y1396-1),Z1395,"")</f>
        <v/>
      </c>
      <c r="AC1396" s="0" t="str">
        <f aca="false">IF(AND(C1395=C1396,Y1395=Y1396-1),AA1395,"")</f>
        <v/>
      </c>
      <c r="AD1396" s="0" t="str">
        <f aca="false">IF(Y1396=1,"",IF(AND(Z1396=1,AB1396&lt;&gt;1),1,0))</f>
        <v/>
      </c>
      <c r="AE1396" s="0" t="str">
        <f aca="false">IF(Y1396=1,"",IF(AND(AA1396=1,AC1396&lt;&gt;1),1,0))</f>
        <v/>
      </c>
      <c r="AF1396" s="45" t="str">
        <f aca="false">IF(AND(E1396&gt;0,Y1396&lt;1,NOT(AND(C1397=C1396,Y1397=Y1396+1))),INDEX(DATAS,Y1396+1),"")</f>
        <v/>
      </c>
      <c r="AG1396" s="45" t="str">
        <f aca="false">IF(AND(AA1396=1,Y1396&lt;1),IF(AND(C1397=C1396,Y1397=Y1396+1),IF(AA1397=1,"",INDEX(DATAS,Y1396+1)),INDEX(DATAS,Y1396+1)),"")</f>
        <v/>
      </c>
    </row>
    <row r="1397" customFormat="false" ht="15" hidden="false" customHeight="false" outlineLevel="0" collapsed="false">
      <c r="A1397" s="45" t="n">
        <v>46309</v>
      </c>
      <c r="B1397" s="0" t="n">
        <v>4</v>
      </c>
      <c r="C1397" s="0" t="n">
        <v>5510</v>
      </c>
      <c r="D1397" s="0" t="n">
        <v>256</v>
      </c>
      <c r="E1397" s="0" t="n">
        <v>1</v>
      </c>
      <c r="F1397" s="39" t="s">
        <v>884</v>
      </c>
      <c r="G1397" s="0" t="n">
        <v>49.2</v>
      </c>
      <c r="H1397" s="0" t="n">
        <v>45</v>
      </c>
      <c r="I1397" s="39" t="s">
        <v>109</v>
      </c>
      <c r="J1397" s="0" t="n">
        <v>193</v>
      </c>
      <c r="K1397" s="0" t="n">
        <v>67</v>
      </c>
      <c r="L1397" s="0" t="n">
        <v>63</v>
      </c>
      <c r="M1397" s="0" t="n">
        <v>713.84</v>
      </c>
      <c r="N1397" s="0" t="n">
        <v>62.65</v>
      </c>
      <c r="O1397" s="0" t="n">
        <v>11.33</v>
      </c>
      <c r="P1397" s="0" t="n">
        <v>4.27</v>
      </c>
      <c r="Q1397" s="0" t="n">
        <v>3.35</v>
      </c>
      <c r="R1397" s="0" t="n">
        <v>4027</v>
      </c>
      <c r="S1397" s="0" t="n">
        <v>8377</v>
      </c>
      <c r="T1397" s="0" t="n">
        <v>39.9</v>
      </c>
      <c r="U1397" s="0" t="n">
        <v>899</v>
      </c>
      <c r="V1397" s="0" t="n">
        <v>4</v>
      </c>
      <c r="W1397" s="39" t="n">
        <f aca="false">IF(I1397="Male",0,1)</f>
        <v>1</v>
      </c>
      <c r="X1397" s="39" t="n">
        <f aca="false">IF(OR(I1397="DNB",I1397="Dry DNB"),1,0)</f>
        <v>0</v>
      </c>
      <c r="Y1397" s="39" t="n">
        <f aca="false">MATCH(A1397,DATAS,0)</f>
        <v>1</v>
      </c>
      <c r="Z1397" s="39" t="n">
        <f aca="false">IF(AND(E1397&gt;0,OR(AND(B1397&gt;=1,B1397&lt;=6),B1397=10)),1,0)</f>
        <v>1</v>
      </c>
      <c r="AA1397" s="39" t="n">
        <f aca="false">IF(AND(E1397&gt;0,B1397=10),1,0)</f>
        <v>0</v>
      </c>
      <c r="AB1397" s="0" t="str">
        <f aca="false">IF(AND(C1396=C1397,Y1396=Y1397-1),Z1396,"")</f>
        <v/>
      </c>
      <c r="AC1397" s="0" t="str">
        <f aca="false">IF(AND(C1396=C1397,Y1396=Y1397-1),AA1396,"")</f>
        <v/>
      </c>
      <c r="AD1397" s="0" t="str">
        <f aca="false">IF(Y1397=1,"",IF(AND(Z1397=1,AB1397&lt;&gt;1),1,0))</f>
        <v/>
      </c>
      <c r="AE1397" s="0" t="str">
        <f aca="false">IF(Y1397=1,"",IF(AND(AA1397=1,AC1397&lt;&gt;1),1,0))</f>
        <v/>
      </c>
      <c r="AF1397" s="45" t="str">
        <f aca="false">IF(AND(E1397&gt;0,Y1397&lt;1,NOT(AND(C1398=C1397,Y1398=Y1397+1))),INDEX(DATAS,Y1397+1),"")</f>
        <v/>
      </c>
      <c r="AG1397" s="45" t="str">
        <f aca="false">IF(AND(AA1397=1,Y1397&lt;1),IF(AND(C1398=C1397,Y1398=Y1397+1),IF(AA1398=1,"",INDEX(DATAS,Y1397+1)),INDEX(DATAS,Y1397+1)),"")</f>
        <v/>
      </c>
    </row>
    <row r="1398" customFormat="false" ht="15" hidden="false" customHeight="false" outlineLevel="0" collapsed="false">
      <c r="A1398" s="45" t="n">
        <v>46309</v>
      </c>
      <c r="B1398" s="0" t="n">
        <v>4</v>
      </c>
      <c r="C1398" s="0" t="n">
        <v>5511</v>
      </c>
      <c r="D1398" s="0" t="n">
        <v>260</v>
      </c>
      <c r="E1398" s="0" t="n">
        <v>1</v>
      </c>
      <c r="F1398" s="39" t="s">
        <v>884</v>
      </c>
      <c r="G1398" s="0" t="n">
        <v>35.1</v>
      </c>
      <c r="H1398" s="0" t="n">
        <v>31</v>
      </c>
      <c r="I1398" s="39" t="s">
        <v>109</v>
      </c>
      <c r="J1398" s="0" t="n">
        <v>64</v>
      </c>
      <c r="K1398" s="0" t="n">
        <v>64</v>
      </c>
      <c r="L1398" s="0" t="n">
        <v>196</v>
      </c>
      <c r="M1398" s="0" t="n">
        <v>768.15</v>
      </c>
      <c r="N1398" s="0" t="n">
        <v>46.72</v>
      </c>
      <c r="O1398" s="0" t="n">
        <v>43.69</v>
      </c>
      <c r="P1398" s="0" t="n">
        <v>3.8</v>
      </c>
      <c r="Q1398" s="0" t="n">
        <v>3.83</v>
      </c>
      <c r="R1398" s="0" t="n">
        <v>3613</v>
      </c>
      <c r="S1398" s="0" t="n">
        <v>8392</v>
      </c>
      <c r="T1398" s="0" t="n">
        <v>35.05</v>
      </c>
      <c r="U1398" s="0" t="n">
        <v>899</v>
      </c>
      <c r="V1398" s="0" t="n">
        <v>1</v>
      </c>
      <c r="W1398" s="39" t="n">
        <f aca="false">IF(I1398="Male",0,1)</f>
        <v>1</v>
      </c>
      <c r="X1398" s="39" t="n">
        <f aca="false">IF(OR(I1398="DNB",I1398="Dry DNB"),1,0)</f>
        <v>0</v>
      </c>
      <c r="Y1398" s="39" t="n">
        <f aca="false">MATCH(A1398,DATAS,0)</f>
        <v>1</v>
      </c>
      <c r="Z1398" s="39" t="n">
        <f aca="false">IF(AND(E1398&gt;0,OR(AND(B1398&gt;=1,B1398&lt;=6),B1398=10)),1,0)</f>
        <v>1</v>
      </c>
      <c r="AA1398" s="39" t="n">
        <f aca="false">IF(AND(E1398&gt;0,B1398=10),1,0)</f>
        <v>0</v>
      </c>
      <c r="AB1398" s="0" t="str">
        <f aca="false">IF(AND(C1397=C1398,Y1397=Y1398-1),Z1397,"")</f>
        <v/>
      </c>
      <c r="AC1398" s="0" t="str">
        <f aca="false">IF(AND(C1397=C1398,Y1397=Y1398-1),AA1397,"")</f>
        <v/>
      </c>
      <c r="AD1398" s="0" t="str">
        <f aca="false">IF(Y1398=1,"",IF(AND(Z1398=1,AB1398&lt;&gt;1),1,0))</f>
        <v/>
      </c>
      <c r="AE1398" s="0" t="str">
        <f aca="false">IF(Y1398=1,"",IF(AND(AA1398=1,AC1398&lt;&gt;1),1,0))</f>
        <v/>
      </c>
      <c r="AF1398" s="45" t="str">
        <f aca="false">IF(AND(E1398&gt;0,Y1398&lt;1,NOT(AND(C1399=C1398,Y1399=Y1398+1))),INDEX(DATAS,Y1398+1),"")</f>
        <v/>
      </c>
      <c r="AG1398" s="45" t="str">
        <f aca="false">IF(AND(AA1398=1,Y1398&lt;1),IF(AND(C1399=C1398,Y1399=Y1398+1),IF(AA1399=1,"",INDEX(DATAS,Y1398+1)),INDEX(DATAS,Y1398+1)),"")</f>
        <v/>
      </c>
    </row>
    <row r="1399" customFormat="false" ht="15" hidden="false" customHeight="false" outlineLevel="0" collapsed="false">
      <c r="A1399" s="45" t="n">
        <v>46309</v>
      </c>
      <c r="B1399" s="0" t="n">
        <v>4</v>
      </c>
      <c r="C1399" s="0" t="n">
        <v>5513</v>
      </c>
      <c r="D1399" s="0" t="n">
        <v>185</v>
      </c>
      <c r="E1399" s="0" t="n">
        <v>1</v>
      </c>
      <c r="F1399" s="39" t="s">
        <v>886</v>
      </c>
      <c r="G1399" s="0" t="n">
        <v>53.1</v>
      </c>
      <c r="H1399" s="0" t="n">
        <v>53</v>
      </c>
      <c r="I1399" s="39" t="s">
        <v>138</v>
      </c>
      <c r="J1399" s="0" t="n">
        <v>185</v>
      </c>
      <c r="K1399" s="0" t="n">
        <v>66</v>
      </c>
      <c r="M1399" s="0" t="n">
        <v>793.05</v>
      </c>
      <c r="N1399" s="0" t="n">
        <v>67.59</v>
      </c>
      <c r="O1399" s="0" t="n">
        <v>29.19</v>
      </c>
      <c r="P1399" s="0" t="n">
        <v>3.13</v>
      </c>
      <c r="Q1399" s="0" t="n">
        <v>3.61</v>
      </c>
      <c r="R1399" s="0" t="n">
        <v>4788</v>
      </c>
      <c r="S1399" s="0" t="n">
        <v>10611</v>
      </c>
      <c r="T1399" s="0" t="n">
        <v>48.7</v>
      </c>
      <c r="U1399" s="0" t="n">
        <v>898</v>
      </c>
      <c r="V1399" s="0" t="n">
        <v>3</v>
      </c>
      <c r="W1399" s="39" t="n">
        <f aca="false">IF(I1399="Male",0,1)</f>
        <v>1</v>
      </c>
      <c r="X1399" s="39" t="n">
        <f aca="false">IF(OR(I1399="DNB",I1399="Dry DNB"),1,0)</f>
        <v>0</v>
      </c>
      <c r="Y1399" s="39" t="n">
        <f aca="false">MATCH(A1399,DATAS,0)</f>
        <v>1</v>
      </c>
      <c r="Z1399" s="39" t="n">
        <f aca="false">IF(AND(E1399&gt;0,OR(AND(B1399&gt;=1,B1399&lt;=6),B1399=10)),1,0)</f>
        <v>1</v>
      </c>
      <c r="AA1399" s="39" t="n">
        <f aca="false">IF(AND(E1399&gt;0,B1399=10),1,0)</f>
        <v>0</v>
      </c>
      <c r="AB1399" s="0" t="str">
        <f aca="false">IF(AND(C1398=C1399,Y1398=Y1399-1),Z1398,"")</f>
        <v/>
      </c>
      <c r="AC1399" s="0" t="str">
        <f aca="false">IF(AND(C1398=C1399,Y1398=Y1399-1),AA1398,"")</f>
        <v/>
      </c>
      <c r="AD1399" s="0" t="str">
        <f aca="false">IF(Y1399=1,"",IF(AND(Z1399=1,AB1399&lt;&gt;1),1,0))</f>
        <v/>
      </c>
      <c r="AE1399" s="0" t="str">
        <f aca="false">IF(Y1399=1,"",IF(AND(AA1399=1,AC1399&lt;&gt;1),1,0))</f>
        <v/>
      </c>
      <c r="AF1399" s="45" t="str">
        <f aca="false">IF(AND(E1399&gt;0,Y1399&lt;1,NOT(AND(C1400=C1399,Y1400=Y1399+1))),INDEX(DATAS,Y1399+1),"")</f>
        <v/>
      </c>
      <c r="AG1399" s="45" t="str">
        <f aca="false">IF(AND(AA1399=1,Y1399&lt;1),IF(AND(C1400=C1399,Y1400=Y1399+1),IF(AA1400=1,"",INDEX(DATAS,Y1399+1)),INDEX(DATAS,Y1399+1)),"")</f>
        <v/>
      </c>
    </row>
    <row r="1400" customFormat="false" ht="15" hidden="false" customHeight="false" outlineLevel="0" collapsed="false">
      <c r="A1400" s="45" t="n">
        <v>46309</v>
      </c>
      <c r="B1400" s="0" t="n">
        <v>4</v>
      </c>
      <c r="C1400" s="0" t="n">
        <v>5514</v>
      </c>
      <c r="D1400" s="0" t="n">
        <v>253</v>
      </c>
      <c r="E1400" s="0" t="n">
        <v>1</v>
      </c>
      <c r="F1400" s="39" t="s">
        <v>886</v>
      </c>
      <c r="G1400" s="0" t="n">
        <v>43.5</v>
      </c>
      <c r="H1400" s="0" t="n">
        <v>43</v>
      </c>
      <c r="I1400" s="39" t="s">
        <v>109</v>
      </c>
      <c r="J1400" s="0" t="n">
        <v>148</v>
      </c>
      <c r="K1400" s="0" t="n">
        <v>64</v>
      </c>
      <c r="L1400" s="0" t="n">
        <v>105</v>
      </c>
      <c r="M1400" s="0" t="n">
        <v>254.4</v>
      </c>
      <c r="N1400" s="0" t="n">
        <v>42.48</v>
      </c>
      <c r="O1400" s="0" t="n">
        <v>20.54</v>
      </c>
      <c r="P1400" s="0" t="n">
        <v>3.49</v>
      </c>
      <c r="Q1400" s="0" t="n">
        <v>3.58</v>
      </c>
      <c r="R1400" s="0" t="n">
        <v>3408</v>
      </c>
      <c r="S1400" s="0" t="n">
        <v>8068</v>
      </c>
      <c r="T1400" s="0" t="n">
        <v>37.5</v>
      </c>
      <c r="U1400" s="0" t="n">
        <v>898</v>
      </c>
      <c r="V1400" s="0" t="n">
        <v>5</v>
      </c>
      <c r="W1400" s="39" t="n">
        <f aca="false">IF(I1400="Male",0,1)</f>
        <v>1</v>
      </c>
      <c r="X1400" s="39" t="n">
        <f aca="false">IF(OR(I1400="DNB",I1400="Dry DNB"),1,0)</f>
        <v>0</v>
      </c>
      <c r="Y1400" s="39" t="n">
        <f aca="false">MATCH(A1400,DATAS,0)</f>
        <v>1</v>
      </c>
      <c r="Z1400" s="39" t="n">
        <f aca="false">IF(AND(E1400&gt;0,OR(AND(B1400&gt;=1,B1400&lt;=6),B1400=10)),1,0)</f>
        <v>1</v>
      </c>
      <c r="AA1400" s="39" t="n">
        <f aca="false">IF(AND(E1400&gt;0,B1400=10),1,0)</f>
        <v>0</v>
      </c>
      <c r="AB1400" s="0" t="str">
        <f aca="false">IF(AND(C1399=C1400,Y1399=Y1400-1),Z1399,"")</f>
        <v/>
      </c>
      <c r="AC1400" s="0" t="str">
        <f aca="false">IF(AND(C1399=C1400,Y1399=Y1400-1),AA1399,"")</f>
        <v/>
      </c>
      <c r="AD1400" s="0" t="str">
        <f aca="false">IF(Y1400=1,"",IF(AND(Z1400=1,AB1400&lt;&gt;1),1,0))</f>
        <v/>
      </c>
      <c r="AE1400" s="0" t="str">
        <f aca="false">IF(Y1400=1,"",IF(AND(AA1400=1,AC1400&lt;&gt;1),1,0))</f>
        <v/>
      </c>
      <c r="AF1400" s="45" t="str">
        <f aca="false">IF(AND(E1400&gt;0,Y1400&lt;1,NOT(AND(C1401=C1400,Y1401=Y1400+1))),INDEX(DATAS,Y1400+1),"")</f>
        <v/>
      </c>
      <c r="AG1400" s="45" t="str">
        <f aca="false">IF(AND(AA1400=1,Y1400&lt;1),IF(AND(C1401=C1400,Y1401=Y1400+1),IF(AA1401=1,"",INDEX(DATAS,Y1400+1)),INDEX(DATAS,Y1400+1)),"")</f>
        <v/>
      </c>
    </row>
    <row r="1401" customFormat="false" ht="15" hidden="false" customHeight="false" outlineLevel="0" collapsed="false">
      <c r="A1401" s="45" t="n">
        <v>46309</v>
      </c>
      <c r="B1401" s="0" t="n">
        <v>4</v>
      </c>
      <c r="C1401" s="0" t="n">
        <v>5515</v>
      </c>
      <c r="D1401" s="0" t="n">
        <v>182</v>
      </c>
      <c r="E1401" s="0" t="n">
        <v>1</v>
      </c>
      <c r="F1401" s="39" t="s">
        <v>886</v>
      </c>
      <c r="G1401" s="0" t="n">
        <v>57.5</v>
      </c>
      <c r="H1401" s="0" t="n">
        <v>56</v>
      </c>
      <c r="I1401" s="39" t="s">
        <v>146</v>
      </c>
      <c r="J1401" s="0" t="n">
        <v>182</v>
      </c>
      <c r="K1401" s="0" t="n">
        <v>63</v>
      </c>
      <c r="M1401" s="0" t="n">
        <v>435.56</v>
      </c>
      <c r="N1401" s="0" t="n">
        <v>58.34</v>
      </c>
      <c r="O1401" s="0" t="n">
        <v>29.22</v>
      </c>
      <c r="P1401" s="0" t="n">
        <v>3</v>
      </c>
      <c r="Q1401" s="0" t="n">
        <v>3.42</v>
      </c>
      <c r="R1401" s="0" t="n">
        <v>4587</v>
      </c>
      <c r="S1401" s="0" t="n">
        <v>10193</v>
      </c>
      <c r="T1401" s="0" t="n">
        <v>56.15</v>
      </c>
      <c r="U1401" s="0" t="n">
        <v>898</v>
      </c>
      <c r="V1401" s="0" t="n">
        <v>3</v>
      </c>
      <c r="W1401" s="39" t="n">
        <f aca="false">IF(I1401="Male",0,1)</f>
        <v>1</v>
      </c>
      <c r="X1401" s="39" t="n">
        <f aca="false">IF(OR(I1401="DNB",I1401="Dry DNB"),1,0)</f>
        <v>0</v>
      </c>
      <c r="Y1401" s="39" t="n">
        <f aca="false">MATCH(A1401,DATAS,0)</f>
        <v>1</v>
      </c>
      <c r="Z1401" s="39" t="n">
        <f aca="false">IF(AND(E1401&gt;0,OR(AND(B1401&gt;=1,B1401&lt;=6),B1401=10)),1,0)</f>
        <v>1</v>
      </c>
      <c r="AA1401" s="39" t="n">
        <f aca="false">IF(AND(E1401&gt;0,B1401=10),1,0)</f>
        <v>0</v>
      </c>
      <c r="AB1401" s="0" t="str">
        <f aca="false">IF(AND(C1400=C1401,Y1400=Y1401-1),Z1400,"")</f>
        <v/>
      </c>
      <c r="AC1401" s="0" t="str">
        <f aca="false">IF(AND(C1400=C1401,Y1400=Y1401-1),AA1400,"")</f>
        <v/>
      </c>
      <c r="AD1401" s="0" t="str">
        <f aca="false">IF(Y1401=1,"",IF(AND(Z1401=1,AB1401&lt;&gt;1),1,0))</f>
        <v/>
      </c>
      <c r="AE1401" s="0" t="str">
        <f aca="false">IF(Y1401=1,"",IF(AND(AA1401=1,AC1401&lt;&gt;1),1,0))</f>
        <v/>
      </c>
      <c r="AF1401" s="45" t="str">
        <f aca="false">IF(AND(E1401&gt;0,Y1401&lt;1,NOT(AND(C1402=C1401,Y1402=Y1401+1))),INDEX(DATAS,Y1401+1),"")</f>
        <v/>
      </c>
      <c r="AG1401" s="45" t="str">
        <f aca="false">IF(AND(AA1401=1,Y1401&lt;1),IF(AND(C1402=C1401,Y1402=Y1401+1),IF(AA1402=1,"",INDEX(DATAS,Y1401+1)),INDEX(DATAS,Y1401+1)),"")</f>
        <v/>
      </c>
    </row>
    <row r="1402" customFormat="false" ht="15" hidden="false" customHeight="false" outlineLevel="0" collapsed="false">
      <c r="A1402" s="45" t="n">
        <v>46309</v>
      </c>
      <c r="B1402" s="0" t="n">
        <v>4</v>
      </c>
      <c r="C1402" s="0" t="n">
        <v>5516</v>
      </c>
      <c r="D1402" s="0" t="n">
        <v>263</v>
      </c>
      <c r="E1402" s="0" t="n">
        <v>1</v>
      </c>
      <c r="F1402" s="39" t="s">
        <v>886</v>
      </c>
      <c r="G1402" s="0" t="n">
        <v>48.5</v>
      </c>
      <c r="H1402" s="0" t="n">
        <v>50</v>
      </c>
      <c r="I1402" s="39" t="s">
        <v>109</v>
      </c>
      <c r="J1402" s="0" t="n">
        <v>67</v>
      </c>
      <c r="K1402" s="0" t="n">
        <v>67</v>
      </c>
      <c r="L1402" s="0" t="n">
        <v>196</v>
      </c>
      <c r="M1402" s="0" t="n">
        <v>945.4</v>
      </c>
      <c r="N1402" s="0" t="n">
        <v>36.17</v>
      </c>
      <c r="O1402" s="0" t="n">
        <v>31.39</v>
      </c>
      <c r="P1402" s="0" t="n">
        <v>4.2</v>
      </c>
      <c r="Q1402" s="0" t="n">
        <v>3.24</v>
      </c>
      <c r="R1402" s="0" t="n">
        <v>4514</v>
      </c>
      <c r="S1402" s="0" t="n">
        <v>10482</v>
      </c>
      <c r="T1402" s="0" t="n">
        <v>46.3</v>
      </c>
      <c r="U1402" s="0" t="n">
        <v>898</v>
      </c>
      <c r="V1402" s="0" t="n">
        <v>1</v>
      </c>
      <c r="W1402" s="39" t="n">
        <f aca="false">IF(I1402="Male",0,1)</f>
        <v>1</v>
      </c>
      <c r="X1402" s="39" t="n">
        <f aca="false">IF(OR(I1402="DNB",I1402="Dry DNB"),1,0)</f>
        <v>0</v>
      </c>
      <c r="Y1402" s="39" t="n">
        <f aca="false">MATCH(A1402,DATAS,0)</f>
        <v>1</v>
      </c>
      <c r="Z1402" s="39" t="n">
        <f aca="false">IF(AND(E1402&gt;0,OR(AND(B1402&gt;=1,B1402&lt;=6),B1402=10)),1,0)</f>
        <v>1</v>
      </c>
      <c r="AA1402" s="39" t="n">
        <f aca="false">IF(AND(E1402&gt;0,B1402=10),1,0)</f>
        <v>0</v>
      </c>
      <c r="AB1402" s="0" t="str">
        <f aca="false">IF(AND(C1401=C1402,Y1401=Y1402-1),Z1401,"")</f>
        <v/>
      </c>
      <c r="AC1402" s="0" t="str">
        <f aca="false">IF(AND(C1401=C1402,Y1401=Y1402-1),AA1401,"")</f>
        <v/>
      </c>
      <c r="AD1402" s="0" t="str">
        <f aca="false">IF(Y1402=1,"",IF(AND(Z1402=1,AB1402&lt;&gt;1),1,0))</f>
        <v/>
      </c>
      <c r="AE1402" s="0" t="str">
        <f aca="false">IF(Y1402=1,"",IF(AND(AA1402=1,AC1402&lt;&gt;1),1,0))</f>
        <v/>
      </c>
      <c r="AF1402" s="45" t="str">
        <f aca="false">IF(AND(E1402&gt;0,Y1402&lt;1,NOT(AND(C1403=C1402,Y1403=Y1402+1))),INDEX(DATAS,Y1402+1),"")</f>
        <v/>
      </c>
      <c r="AG1402" s="45" t="str">
        <f aca="false">IF(AND(AA1402=1,Y1402&lt;1),IF(AND(C1403=C1402,Y1403=Y1402+1),IF(AA1403=1,"",INDEX(DATAS,Y1402+1)),INDEX(DATAS,Y1402+1)),"")</f>
        <v/>
      </c>
    </row>
    <row r="1403" customFormat="false" ht="15" hidden="false" customHeight="false" outlineLevel="0" collapsed="false">
      <c r="A1403" s="45" t="n">
        <v>46309</v>
      </c>
      <c r="B1403" s="0" t="n">
        <v>4</v>
      </c>
      <c r="C1403" s="0" t="n">
        <v>5518</v>
      </c>
      <c r="D1403" s="0" t="n">
        <v>250</v>
      </c>
      <c r="E1403" s="0" t="n">
        <v>1</v>
      </c>
      <c r="F1403" s="39" t="s">
        <v>885</v>
      </c>
      <c r="G1403" s="0" t="n">
        <v>28.2</v>
      </c>
      <c r="H1403" s="0" t="n">
        <v>32</v>
      </c>
      <c r="I1403" s="39" t="s">
        <v>109</v>
      </c>
      <c r="J1403" s="0" t="n">
        <v>124</v>
      </c>
      <c r="K1403" s="0" t="n">
        <v>68</v>
      </c>
      <c r="L1403" s="0" t="n">
        <v>126</v>
      </c>
      <c r="M1403" s="0" t="n">
        <v>382.46</v>
      </c>
      <c r="N1403" s="0" t="n">
        <v>82.96</v>
      </c>
      <c r="O1403" s="0" t="n">
        <v>28.99</v>
      </c>
      <c r="P1403" s="0" t="n">
        <v>4.22</v>
      </c>
      <c r="Q1403" s="0" t="n">
        <v>3.41</v>
      </c>
      <c r="R1403" s="0" t="n">
        <v>4134</v>
      </c>
      <c r="S1403" s="0" t="n">
        <v>9074</v>
      </c>
      <c r="T1403" s="0" t="n">
        <v>45.95</v>
      </c>
      <c r="U1403" s="0" t="n">
        <v>897</v>
      </c>
      <c r="V1403" s="0" t="n">
        <v>3</v>
      </c>
      <c r="W1403" s="39" t="n">
        <f aca="false">IF(I1403="Male",0,1)</f>
        <v>1</v>
      </c>
      <c r="X1403" s="39" t="n">
        <f aca="false">IF(OR(I1403="DNB",I1403="Dry DNB"),1,0)</f>
        <v>0</v>
      </c>
      <c r="Y1403" s="39" t="n">
        <f aca="false">MATCH(A1403,DATAS,0)</f>
        <v>1</v>
      </c>
      <c r="Z1403" s="39" t="n">
        <f aca="false">IF(AND(E1403&gt;0,OR(AND(B1403&gt;=1,B1403&lt;=6),B1403=10)),1,0)</f>
        <v>1</v>
      </c>
      <c r="AA1403" s="39" t="n">
        <f aca="false">IF(AND(E1403&gt;0,B1403=10),1,0)</f>
        <v>0</v>
      </c>
      <c r="AB1403" s="0" t="str">
        <f aca="false">IF(AND(C1402=C1403,Y1402=Y1403-1),Z1402,"")</f>
        <v/>
      </c>
      <c r="AC1403" s="0" t="str">
        <f aca="false">IF(AND(C1402=C1403,Y1402=Y1403-1),AA1402,"")</f>
        <v/>
      </c>
      <c r="AD1403" s="0" t="str">
        <f aca="false">IF(Y1403=1,"",IF(AND(Z1403=1,AB1403&lt;&gt;1),1,0))</f>
        <v/>
      </c>
      <c r="AE1403" s="0" t="str">
        <f aca="false">IF(Y1403=1,"",IF(AND(AA1403=1,AC1403&lt;&gt;1),1,0))</f>
        <v/>
      </c>
      <c r="AF1403" s="45" t="str">
        <f aca="false">IF(AND(E1403&gt;0,Y1403&lt;1,NOT(AND(C1404=C1403,Y1404=Y1403+1))),INDEX(DATAS,Y1403+1),"")</f>
        <v/>
      </c>
      <c r="AG1403" s="45" t="str">
        <f aca="false">IF(AND(AA1403=1,Y1403&lt;1),IF(AND(C1404=C1403,Y1404=Y1403+1),IF(AA1404=1,"",INDEX(DATAS,Y1403+1)),INDEX(DATAS,Y1403+1)),"")</f>
        <v/>
      </c>
    </row>
    <row r="1404" customFormat="false" ht="15" hidden="false" customHeight="false" outlineLevel="0" collapsed="false">
      <c r="A1404" s="45" t="n">
        <v>46309</v>
      </c>
      <c r="B1404" s="0" t="n">
        <v>4</v>
      </c>
      <c r="C1404" s="0" t="n">
        <v>5519</v>
      </c>
      <c r="D1404" s="0" t="n">
        <v>191</v>
      </c>
      <c r="E1404" s="0" t="n">
        <v>1</v>
      </c>
      <c r="F1404" s="39" t="s">
        <v>885</v>
      </c>
      <c r="G1404" s="0" t="n">
        <v>52.1</v>
      </c>
      <c r="H1404" s="0" t="n">
        <v>52</v>
      </c>
      <c r="I1404" s="39" t="s">
        <v>138</v>
      </c>
      <c r="J1404" s="0" t="n">
        <v>191</v>
      </c>
      <c r="K1404" s="0" t="n">
        <v>65</v>
      </c>
      <c r="M1404" s="0" t="n">
        <v>333.18</v>
      </c>
      <c r="N1404" s="0" t="n">
        <v>48.45</v>
      </c>
      <c r="O1404" s="0" t="n">
        <v>15.97</v>
      </c>
      <c r="P1404" s="0" t="n">
        <v>4.16</v>
      </c>
      <c r="Q1404" s="0" t="n">
        <v>3.1</v>
      </c>
      <c r="R1404" s="0" t="n">
        <v>4326</v>
      </c>
      <c r="S1404" s="0" t="n">
        <v>9536</v>
      </c>
      <c r="T1404" s="0" t="n">
        <v>44.2</v>
      </c>
      <c r="U1404" s="0" t="n">
        <v>897</v>
      </c>
      <c r="V1404" s="0" t="n">
        <v>4</v>
      </c>
      <c r="W1404" s="39" t="n">
        <f aca="false">IF(I1404="Male",0,1)</f>
        <v>1</v>
      </c>
      <c r="X1404" s="39" t="n">
        <f aca="false">IF(OR(I1404="DNB",I1404="Dry DNB"),1,0)</f>
        <v>0</v>
      </c>
      <c r="Y1404" s="39" t="n">
        <f aca="false">MATCH(A1404,DATAS,0)</f>
        <v>1</v>
      </c>
      <c r="Z1404" s="39" t="n">
        <f aca="false">IF(AND(E1404&gt;0,OR(AND(B1404&gt;=1,B1404&lt;=6),B1404=10)),1,0)</f>
        <v>1</v>
      </c>
      <c r="AA1404" s="39" t="n">
        <f aca="false">IF(AND(E1404&gt;0,B1404=10),1,0)</f>
        <v>0</v>
      </c>
      <c r="AB1404" s="0" t="str">
        <f aca="false">IF(AND(C1403=C1404,Y1403=Y1404-1),Z1403,"")</f>
        <v/>
      </c>
      <c r="AC1404" s="0" t="str">
        <f aca="false">IF(AND(C1403=C1404,Y1403=Y1404-1),AA1403,"")</f>
        <v/>
      </c>
      <c r="AD1404" s="0" t="str">
        <f aca="false">IF(Y1404=1,"",IF(AND(Z1404=1,AB1404&lt;&gt;1),1,0))</f>
        <v/>
      </c>
      <c r="AE1404" s="0" t="str">
        <f aca="false">IF(Y1404=1,"",IF(AND(AA1404=1,AC1404&lt;&gt;1),1,0))</f>
        <v/>
      </c>
      <c r="AF1404" s="45" t="str">
        <f aca="false">IF(AND(E1404&gt;0,Y1404&lt;1,NOT(AND(C1405=C1404,Y1405=Y1404+1))),INDEX(DATAS,Y1404+1),"")</f>
        <v/>
      </c>
      <c r="AG1404" s="45" t="str">
        <f aca="false">IF(AND(AA1404=1,Y1404&lt;1),IF(AND(C1405=C1404,Y1405=Y1404+1),IF(AA1405=1,"",INDEX(DATAS,Y1404+1)),INDEX(DATAS,Y1404+1)),"")</f>
        <v/>
      </c>
    </row>
    <row r="1405" customFormat="false" ht="15" hidden="false" customHeight="false" outlineLevel="0" collapsed="false">
      <c r="A1405" s="45" t="n">
        <v>46309</v>
      </c>
      <c r="B1405" s="0" t="n">
        <v>4</v>
      </c>
      <c r="C1405" s="0" t="n">
        <v>5520</v>
      </c>
      <c r="D1405" s="0" t="n">
        <v>195</v>
      </c>
      <c r="E1405" s="0" t="n">
        <v>1</v>
      </c>
      <c r="F1405" s="39" t="s">
        <v>885</v>
      </c>
      <c r="G1405" s="0" t="n">
        <v>55.5</v>
      </c>
      <c r="H1405" s="0" t="n">
        <v>51</v>
      </c>
      <c r="I1405" s="39" t="s">
        <v>109</v>
      </c>
      <c r="J1405" s="0" t="n">
        <v>62</v>
      </c>
      <c r="K1405" s="0" t="n">
        <v>62</v>
      </c>
      <c r="L1405" s="0" t="n">
        <v>133</v>
      </c>
      <c r="M1405" s="0" t="n">
        <v>607.18</v>
      </c>
      <c r="N1405" s="0" t="n">
        <v>47.51</v>
      </c>
      <c r="O1405" s="0" t="n">
        <v>22</v>
      </c>
      <c r="P1405" s="0" t="n">
        <v>3.61</v>
      </c>
      <c r="Q1405" s="0" t="n">
        <v>3.1</v>
      </c>
      <c r="R1405" s="0" t="n">
        <v>4230</v>
      </c>
      <c r="S1405" s="0" t="n">
        <v>9541</v>
      </c>
      <c r="T1405" s="0" t="n">
        <v>45.95</v>
      </c>
      <c r="U1405" s="0" t="n">
        <v>897</v>
      </c>
      <c r="V1405" s="0" t="n">
        <v>1</v>
      </c>
      <c r="W1405" s="39" t="n">
        <f aca="false">IF(I1405="Male",0,1)</f>
        <v>1</v>
      </c>
      <c r="X1405" s="39" t="n">
        <f aca="false">IF(OR(I1405="DNB",I1405="Dry DNB"),1,0)</f>
        <v>0</v>
      </c>
      <c r="Y1405" s="39" t="n">
        <f aca="false">MATCH(A1405,DATAS,0)</f>
        <v>1</v>
      </c>
      <c r="Z1405" s="39" t="n">
        <f aca="false">IF(AND(E1405&gt;0,OR(AND(B1405&gt;=1,B1405&lt;=6),B1405=10)),1,0)</f>
        <v>1</v>
      </c>
      <c r="AA1405" s="39" t="n">
        <f aca="false">IF(AND(E1405&gt;0,B1405=10),1,0)</f>
        <v>0</v>
      </c>
      <c r="AB1405" s="0" t="str">
        <f aca="false">IF(AND(C1404=C1405,Y1404=Y1405-1),Z1404,"")</f>
        <v/>
      </c>
      <c r="AC1405" s="0" t="str">
        <f aca="false">IF(AND(C1404=C1405,Y1404=Y1405-1),AA1404,"")</f>
        <v/>
      </c>
      <c r="AD1405" s="0" t="str">
        <f aca="false">IF(Y1405=1,"",IF(AND(Z1405=1,AB1405&lt;&gt;1),1,0))</f>
        <v/>
      </c>
      <c r="AE1405" s="0" t="str">
        <f aca="false">IF(Y1405=1,"",IF(AND(AA1405=1,AC1405&lt;&gt;1),1,0))</f>
        <v/>
      </c>
      <c r="AF1405" s="45" t="str">
        <f aca="false">IF(AND(E1405&gt;0,Y1405&lt;1,NOT(AND(C1406=C1405,Y1406=Y1405+1))),INDEX(DATAS,Y1405+1),"")</f>
        <v/>
      </c>
      <c r="AG1405" s="45" t="str">
        <f aca="false">IF(AND(AA1405=1,Y1405&lt;1),IF(AND(C1406=C1405,Y1406=Y1405+1),IF(AA1406=1,"",INDEX(DATAS,Y1405+1)),INDEX(DATAS,Y1405+1)),"")</f>
        <v/>
      </c>
    </row>
    <row r="1406" customFormat="false" ht="15" hidden="false" customHeight="false" outlineLevel="0" collapsed="false">
      <c r="A1406" s="45" t="n">
        <v>46309</v>
      </c>
      <c r="B1406" s="0" t="n">
        <v>4</v>
      </c>
      <c r="C1406" s="0" t="n">
        <v>5521</v>
      </c>
      <c r="D1406" s="0" t="n">
        <v>264</v>
      </c>
      <c r="E1406" s="0" t="n">
        <v>1</v>
      </c>
      <c r="F1406" s="39" t="s">
        <v>885</v>
      </c>
      <c r="G1406" s="0" t="n">
        <v>45.9</v>
      </c>
      <c r="H1406" s="0" t="n">
        <v>45</v>
      </c>
      <c r="I1406" s="39" t="s">
        <v>109</v>
      </c>
      <c r="J1406" s="0" t="n">
        <v>145</v>
      </c>
      <c r="K1406" s="0" t="n">
        <v>68</v>
      </c>
      <c r="L1406" s="0" t="n">
        <v>119</v>
      </c>
      <c r="M1406" s="0" t="n">
        <v>1207.3</v>
      </c>
      <c r="N1406" s="0" t="n">
        <v>74.69</v>
      </c>
      <c r="O1406" s="0" t="n">
        <v>51.73</v>
      </c>
      <c r="P1406" s="0" t="n">
        <v>3.11</v>
      </c>
      <c r="Q1406" s="0" t="n">
        <v>3.72</v>
      </c>
      <c r="R1406" s="0" t="n">
        <v>5019</v>
      </c>
      <c r="S1406" s="0" t="n">
        <v>10857</v>
      </c>
      <c r="T1406" s="0" t="n">
        <v>53</v>
      </c>
      <c r="U1406" s="0" t="n">
        <v>897</v>
      </c>
      <c r="V1406" s="0" t="n">
        <v>3</v>
      </c>
      <c r="W1406" s="39" t="n">
        <f aca="false">IF(I1406="Male",0,1)</f>
        <v>1</v>
      </c>
      <c r="X1406" s="39" t="n">
        <f aca="false">IF(OR(I1406="DNB",I1406="Dry DNB"),1,0)</f>
        <v>0</v>
      </c>
      <c r="Y1406" s="39" t="n">
        <f aca="false">MATCH(A1406,DATAS,0)</f>
        <v>1</v>
      </c>
      <c r="Z1406" s="39" t="n">
        <f aca="false">IF(AND(E1406&gt;0,OR(AND(B1406&gt;=1,B1406&lt;=6),B1406=10)),1,0)</f>
        <v>1</v>
      </c>
      <c r="AA1406" s="39" t="n">
        <f aca="false">IF(AND(E1406&gt;0,B1406=10),1,0)</f>
        <v>0</v>
      </c>
      <c r="AB1406" s="0" t="str">
        <f aca="false">IF(AND(C1405=C1406,Y1405=Y1406-1),Z1405,"")</f>
        <v/>
      </c>
      <c r="AC1406" s="0" t="str">
        <f aca="false">IF(AND(C1405=C1406,Y1405=Y1406-1),AA1405,"")</f>
        <v/>
      </c>
      <c r="AD1406" s="0" t="str">
        <f aca="false">IF(Y1406=1,"",IF(AND(Z1406=1,AB1406&lt;&gt;1),1,0))</f>
        <v/>
      </c>
      <c r="AE1406" s="0" t="str">
        <f aca="false">IF(Y1406=1,"",IF(AND(AA1406=1,AC1406&lt;&gt;1),1,0))</f>
        <v/>
      </c>
      <c r="AF1406" s="45" t="str">
        <f aca="false">IF(AND(E1406&gt;0,Y1406&lt;1,NOT(AND(C1407=C1406,Y1407=Y1406+1))),INDEX(DATAS,Y1406+1),"")</f>
        <v/>
      </c>
      <c r="AG1406" s="45" t="str">
        <f aca="false">IF(AND(AA1406=1,Y1406&lt;1),IF(AND(C1407=C1406,Y1407=Y1406+1),IF(AA1407=1,"",INDEX(DATAS,Y1406+1)),INDEX(DATAS,Y1406+1)),"")</f>
        <v/>
      </c>
    </row>
    <row r="1407" customFormat="false" ht="15" hidden="false" customHeight="false" outlineLevel="0" collapsed="false">
      <c r="A1407" s="45" t="n">
        <v>46309</v>
      </c>
      <c r="B1407" s="0" t="n">
        <v>4</v>
      </c>
      <c r="C1407" s="0" t="n">
        <v>5523</v>
      </c>
      <c r="D1407" s="0" t="n">
        <v>253</v>
      </c>
      <c r="E1407" s="0" t="n">
        <v>1</v>
      </c>
      <c r="F1407" s="39" t="s">
        <v>885</v>
      </c>
      <c r="G1407" s="0" t="n">
        <v>48.7</v>
      </c>
      <c r="H1407" s="0" t="n">
        <v>49</v>
      </c>
      <c r="I1407" s="39" t="s">
        <v>109</v>
      </c>
      <c r="J1407" s="0" t="n">
        <v>211</v>
      </c>
      <c r="K1407" s="0" t="n">
        <v>64</v>
      </c>
      <c r="L1407" s="0" t="n">
        <v>42</v>
      </c>
      <c r="M1407" s="0" t="n">
        <v>189.63</v>
      </c>
      <c r="N1407" s="0" t="n">
        <v>79.91</v>
      </c>
      <c r="O1407" s="0" t="n">
        <v>32.87</v>
      </c>
      <c r="P1407" s="0" t="n">
        <v>3.3</v>
      </c>
      <c r="Q1407" s="0" t="n">
        <v>3.61</v>
      </c>
      <c r="R1407" s="0" t="n">
        <v>3932</v>
      </c>
      <c r="S1407" s="0" t="n">
        <v>9076</v>
      </c>
      <c r="T1407" s="0" t="n">
        <v>38.25</v>
      </c>
      <c r="U1407" s="0" t="n">
        <v>897</v>
      </c>
      <c r="V1407" s="0" t="n">
        <v>5</v>
      </c>
      <c r="W1407" s="39" t="n">
        <f aca="false">IF(I1407="Male",0,1)</f>
        <v>1</v>
      </c>
      <c r="X1407" s="39" t="n">
        <f aca="false">IF(OR(I1407="DNB",I1407="Dry DNB"),1,0)</f>
        <v>0</v>
      </c>
      <c r="Y1407" s="39" t="n">
        <f aca="false">MATCH(A1407,DATAS,0)</f>
        <v>1</v>
      </c>
      <c r="Z1407" s="39" t="n">
        <f aca="false">IF(AND(E1407&gt;0,OR(AND(B1407&gt;=1,B1407&lt;=6),B1407=10)),1,0)</f>
        <v>1</v>
      </c>
      <c r="AA1407" s="39" t="n">
        <f aca="false">IF(AND(E1407&gt;0,B1407=10),1,0)</f>
        <v>0</v>
      </c>
      <c r="AB1407" s="0" t="str">
        <f aca="false">IF(AND(C1406=C1407,Y1406=Y1407-1),Z1406,"")</f>
        <v/>
      </c>
      <c r="AC1407" s="0" t="str">
        <f aca="false">IF(AND(C1406=C1407,Y1406=Y1407-1),AA1406,"")</f>
        <v/>
      </c>
      <c r="AD1407" s="0" t="str">
        <f aca="false">IF(Y1407=1,"",IF(AND(Z1407=1,AB1407&lt;&gt;1),1,0))</f>
        <v/>
      </c>
      <c r="AE1407" s="0" t="str">
        <f aca="false">IF(Y1407=1,"",IF(AND(AA1407=1,AC1407&lt;&gt;1),1,0))</f>
        <v/>
      </c>
      <c r="AF1407" s="45" t="str">
        <f aca="false">IF(AND(E1407&gt;0,Y1407&lt;1,NOT(AND(C1408=C1407,Y1408=Y1407+1))),INDEX(DATAS,Y1407+1),"")</f>
        <v/>
      </c>
      <c r="AG1407" s="45" t="str">
        <f aca="false">IF(AND(AA1407=1,Y1407&lt;1),IF(AND(C1408=C1407,Y1408=Y1407+1),IF(AA1408=1,"",INDEX(DATAS,Y1407+1)),INDEX(DATAS,Y1407+1)),"")</f>
        <v/>
      </c>
    </row>
    <row r="1408" customFormat="false" ht="15" hidden="false" customHeight="false" outlineLevel="0" collapsed="false">
      <c r="A1408" s="45" t="n">
        <v>46309</v>
      </c>
      <c r="B1408" s="0" t="n">
        <v>4</v>
      </c>
      <c r="C1408" s="0" t="n">
        <v>5524</v>
      </c>
      <c r="D1408" s="0" t="n">
        <v>203</v>
      </c>
      <c r="E1408" s="0" t="n">
        <v>1</v>
      </c>
      <c r="F1408" s="39" t="s">
        <v>887</v>
      </c>
      <c r="G1408" s="0" t="n">
        <v>50.1</v>
      </c>
      <c r="H1408" s="0" t="n">
        <v>48</v>
      </c>
      <c r="I1408" s="39" t="s">
        <v>109</v>
      </c>
      <c r="J1408" s="0" t="n">
        <v>98</v>
      </c>
      <c r="K1408" s="0" t="n">
        <v>63</v>
      </c>
      <c r="L1408" s="0" t="n">
        <v>105</v>
      </c>
      <c r="M1408" s="0" t="n">
        <v>979.08</v>
      </c>
      <c r="N1408" s="0" t="n">
        <v>50.14</v>
      </c>
      <c r="O1408" s="0" t="n">
        <v>41.97</v>
      </c>
      <c r="P1408" s="0" t="n">
        <v>4.37</v>
      </c>
      <c r="Q1408" s="0" t="n">
        <v>3.57</v>
      </c>
      <c r="R1408" s="0" t="n">
        <v>4520</v>
      </c>
      <c r="S1408" s="0" t="n">
        <v>9533</v>
      </c>
      <c r="T1408" s="0" t="n">
        <v>49.65</v>
      </c>
      <c r="U1408" s="0" t="n">
        <v>896</v>
      </c>
      <c r="V1408" s="0" t="n">
        <v>2</v>
      </c>
      <c r="W1408" s="39" t="n">
        <f aca="false">IF(I1408="Male",0,1)</f>
        <v>1</v>
      </c>
      <c r="X1408" s="39" t="n">
        <f aca="false">IF(OR(I1408="DNB",I1408="Dry DNB"),1,0)</f>
        <v>0</v>
      </c>
      <c r="Y1408" s="39" t="n">
        <f aca="false">MATCH(A1408,DATAS,0)</f>
        <v>1</v>
      </c>
      <c r="Z1408" s="39" t="n">
        <f aca="false">IF(AND(E1408&gt;0,OR(AND(B1408&gt;=1,B1408&lt;=6),B1408=10)),1,0)</f>
        <v>1</v>
      </c>
      <c r="AA1408" s="39" t="n">
        <f aca="false">IF(AND(E1408&gt;0,B1408=10),1,0)</f>
        <v>0</v>
      </c>
      <c r="AB1408" s="0" t="str">
        <f aca="false">IF(AND(C1407=C1408,Y1407=Y1408-1),Z1407,"")</f>
        <v/>
      </c>
      <c r="AC1408" s="0" t="str">
        <f aca="false">IF(AND(C1407=C1408,Y1407=Y1408-1),AA1407,"")</f>
        <v/>
      </c>
      <c r="AD1408" s="0" t="str">
        <f aca="false">IF(Y1408=1,"",IF(AND(Z1408=1,AB1408&lt;&gt;1),1,0))</f>
        <v/>
      </c>
      <c r="AE1408" s="0" t="str">
        <f aca="false">IF(Y1408=1,"",IF(AND(AA1408=1,AC1408&lt;&gt;1),1,0))</f>
        <v/>
      </c>
      <c r="AF1408" s="45" t="str">
        <f aca="false">IF(AND(E1408&gt;0,Y1408&lt;1,NOT(AND(C1409=C1408,Y1409=Y1408+1))),INDEX(DATAS,Y1408+1),"")</f>
        <v/>
      </c>
      <c r="AG1408" s="45" t="str">
        <f aca="false">IF(AND(AA1408=1,Y1408&lt;1),IF(AND(C1409=C1408,Y1409=Y1408+1),IF(AA1409=1,"",INDEX(DATAS,Y1408+1)),INDEX(DATAS,Y1408+1)),"")</f>
        <v/>
      </c>
    </row>
    <row r="1409" customFormat="false" ht="15" hidden="false" customHeight="false" outlineLevel="0" collapsed="false">
      <c r="A1409" s="45" t="n">
        <v>46309</v>
      </c>
      <c r="B1409" s="0" t="n">
        <v>4</v>
      </c>
      <c r="C1409" s="0" t="n">
        <v>5525</v>
      </c>
      <c r="D1409" s="0" t="n">
        <v>253</v>
      </c>
      <c r="E1409" s="0" t="n">
        <v>1</v>
      </c>
      <c r="F1409" s="39" t="s">
        <v>888</v>
      </c>
      <c r="G1409" s="0" t="n">
        <v>42.5</v>
      </c>
      <c r="H1409" s="0" t="n">
        <v>42</v>
      </c>
      <c r="I1409" s="39" t="s">
        <v>109</v>
      </c>
      <c r="J1409" s="0" t="n">
        <v>87</v>
      </c>
      <c r="K1409" s="0" t="n">
        <v>64</v>
      </c>
      <c r="L1409" s="0" t="n">
        <v>166</v>
      </c>
      <c r="M1409" s="0" t="n">
        <v>345.04</v>
      </c>
      <c r="N1409" s="0" t="n">
        <v>45.72</v>
      </c>
      <c r="O1409" s="0" t="n">
        <v>45.8</v>
      </c>
      <c r="P1409" s="0" t="n">
        <v>4.11</v>
      </c>
      <c r="Q1409" s="0" t="n">
        <v>3.67</v>
      </c>
      <c r="R1409" s="0" t="n">
        <v>4064</v>
      </c>
      <c r="S1409" s="0" t="n">
        <v>9155</v>
      </c>
      <c r="T1409" s="0" t="n">
        <v>41.75</v>
      </c>
      <c r="U1409" s="0" t="n">
        <v>892</v>
      </c>
      <c r="V1409" s="0" t="n">
        <v>2</v>
      </c>
      <c r="W1409" s="39" t="n">
        <f aca="false">IF(I1409="Male",0,1)</f>
        <v>1</v>
      </c>
      <c r="X1409" s="39" t="n">
        <f aca="false">IF(OR(I1409="DNB",I1409="Dry DNB"),1,0)</f>
        <v>0</v>
      </c>
      <c r="Y1409" s="39" t="n">
        <f aca="false">MATCH(A1409,DATAS,0)</f>
        <v>1</v>
      </c>
      <c r="Z1409" s="39" t="n">
        <f aca="false">IF(AND(E1409&gt;0,OR(AND(B1409&gt;=1,B1409&lt;=6),B1409=10)),1,0)</f>
        <v>1</v>
      </c>
      <c r="AA1409" s="39" t="n">
        <f aca="false">IF(AND(E1409&gt;0,B1409=10),1,0)</f>
        <v>0</v>
      </c>
      <c r="AB1409" s="0" t="str">
        <f aca="false">IF(AND(C1408=C1409,Y1408=Y1409-1),Z1408,"")</f>
        <v/>
      </c>
      <c r="AC1409" s="0" t="str">
        <f aca="false">IF(AND(C1408=C1409,Y1408=Y1409-1),AA1408,"")</f>
        <v/>
      </c>
      <c r="AD1409" s="0" t="str">
        <f aca="false">IF(Y1409=1,"",IF(AND(Z1409=1,AB1409&lt;&gt;1),1,0))</f>
        <v/>
      </c>
      <c r="AE1409" s="0" t="str">
        <f aca="false">IF(Y1409=1,"",IF(AND(AA1409=1,AC1409&lt;&gt;1),1,0))</f>
        <v/>
      </c>
      <c r="AF1409" s="45" t="str">
        <f aca="false">IF(AND(E1409&gt;0,Y1409&lt;1,NOT(AND(C1410=C1409,Y1410=Y1409+1))),INDEX(DATAS,Y1409+1),"")</f>
        <v/>
      </c>
      <c r="AG1409" s="45" t="str">
        <f aca="false">IF(AND(AA1409=1,Y1409&lt;1),IF(AND(C1410=C1409,Y1410=Y1409+1),IF(AA1410=1,"",INDEX(DATAS,Y1409+1)),INDEX(DATAS,Y1409+1)),"")</f>
        <v/>
      </c>
    </row>
    <row r="1410" customFormat="false" ht="15" hidden="false" customHeight="false" outlineLevel="0" collapsed="false">
      <c r="A1410" s="45" t="n">
        <v>46309</v>
      </c>
      <c r="B1410" s="0" t="n">
        <v>4</v>
      </c>
      <c r="C1410" s="0" t="n">
        <v>5526</v>
      </c>
      <c r="D1410" s="0" t="n">
        <v>245</v>
      </c>
      <c r="E1410" s="0" t="n">
        <v>1</v>
      </c>
      <c r="F1410" s="39" t="s">
        <v>889</v>
      </c>
      <c r="G1410" s="0" t="n">
        <v>57.4</v>
      </c>
      <c r="H1410" s="0" t="n">
        <v>57</v>
      </c>
      <c r="I1410" s="39" t="s">
        <v>109</v>
      </c>
      <c r="J1410" s="0" t="n">
        <v>133</v>
      </c>
      <c r="K1410" s="0" t="n">
        <v>63</v>
      </c>
      <c r="L1410" s="0" t="n">
        <v>112</v>
      </c>
      <c r="M1410" s="0" t="n">
        <v>1089.19</v>
      </c>
      <c r="N1410" s="0" t="n">
        <v>45.59</v>
      </c>
      <c r="O1410" s="0" t="n">
        <v>36.28</v>
      </c>
      <c r="P1410" s="0" t="n">
        <v>3.58</v>
      </c>
      <c r="Q1410" s="0" t="n">
        <v>3.19</v>
      </c>
      <c r="R1410" s="0" t="n">
        <v>4995</v>
      </c>
      <c r="S1410" s="0" t="n">
        <v>11261</v>
      </c>
      <c r="T1410" s="0" t="n">
        <v>52.55</v>
      </c>
      <c r="U1410" s="0" t="n">
        <v>895</v>
      </c>
      <c r="V1410" s="0" t="n">
        <v>3</v>
      </c>
      <c r="W1410" s="39" t="n">
        <f aca="false">IF(I1410="Male",0,1)</f>
        <v>1</v>
      </c>
      <c r="X1410" s="39" t="n">
        <f aca="false">IF(OR(I1410="DNB",I1410="Dry DNB"),1,0)</f>
        <v>0</v>
      </c>
      <c r="Y1410" s="39" t="n">
        <f aca="false">MATCH(A1410,DATAS,0)</f>
        <v>1</v>
      </c>
      <c r="Z1410" s="39" t="n">
        <f aca="false">IF(AND(E1410&gt;0,OR(AND(B1410&gt;=1,B1410&lt;=6),B1410=10)),1,0)</f>
        <v>1</v>
      </c>
      <c r="AA1410" s="39" t="n">
        <f aca="false">IF(AND(E1410&gt;0,B1410=10),1,0)</f>
        <v>0</v>
      </c>
      <c r="AB1410" s="0" t="str">
        <f aca="false">IF(AND(C1409=C1410,Y1409=Y1410-1),Z1409,"")</f>
        <v/>
      </c>
      <c r="AC1410" s="0" t="str">
        <f aca="false">IF(AND(C1409=C1410,Y1409=Y1410-1),AA1409,"")</f>
        <v/>
      </c>
      <c r="AD1410" s="0" t="str">
        <f aca="false">IF(Y1410=1,"",IF(AND(Z1410=1,AB1410&lt;&gt;1),1,0))</f>
        <v/>
      </c>
      <c r="AE1410" s="0" t="str">
        <f aca="false">IF(Y1410=1,"",IF(AND(AA1410=1,AC1410&lt;&gt;1),1,0))</f>
        <v/>
      </c>
      <c r="AF1410" s="45" t="str">
        <f aca="false">IF(AND(E1410&gt;0,Y1410&lt;1,NOT(AND(C1411=C1410,Y1411=Y1410+1))),INDEX(DATAS,Y1410+1),"")</f>
        <v/>
      </c>
      <c r="AG1410" s="45" t="str">
        <f aca="false">IF(AND(AA1410=1,Y1410&lt;1),IF(AND(C1411=C1410,Y1411=Y1410+1),IF(AA1411=1,"",INDEX(DATAS,Y1410+1)),INDEX(DATAS,Y1410+1)),"")</f>
        <v/>
      </c>
    </row>
    <row r="1411" customFormat="false" ht="15" hidden="false" customHeight="false" outlineLevel="0" collapsed="false">
      <c r="A1411" s="45" t="n">
        <v>46309</v>
      </c>
      <c r="B1411" s="0" t="n">
        <v>4</v>
      </c>
      <c r="C1411" s="0" t="n">
        <v>5528</v>
      </c>
      <c r="D1411" s="0" t="n">
        <v>187</v>
      </c>
      <c r="E1411" s="0" t="n">
        <v>1</v>
      </c>
      <c r="F1411" s="39" t="s">
        <v>890</v>
      </c>
      <c r="G1411" s="0" t="n">
        <v>50.5</v>
      </c>
      <c r="H1411" s="0" t="n">
        <v>53</v>
      </c>
      <c r="I1411" s="39" t="s">
        <v>146</v>
      </c>
      <c r="J1411" s="0" t="n">
        <v>187</v>
      </c>
      <c r="K1411" s="0" t="n">
        <v>68</v>
      </c>
      <c r="P1411" s="0" t="n">
        <v>3.99</v>
      </c>
      <c r="Q1411" s="0" t="n">
        <v>2.95</v>
      </c>
      <c r="R1411" s="0" t="n">
        <v>4224</v>
      </c>
      <c r="S1411" s="0" t="n">
        <v>9406</v>
      </c>
      <c r="T1411" s="0" t="n">
        <v>44.5</v>
      </c>
      <c r="U1411" s="0" t="n">
        <v>894</v>
      </c>
      <c r="V1411" s="0" t="n">
        <v>3</v>
      </c>
      <c r="W1411" s="39" t="n">
        <f aca="false">IF(I1411="Male",0,1)</f>
        <v>1</v>
      </c>
      <c r="X1411" s="39" t="n">
        <f aca="false">IF(OR(I1411="DNB",I1411="Dry DNB"),1,0)</f>
        <v>0</v>
      </c>
      <c r="Y1411" s="39" t="n">
        <f aca="false">MATCH(A1411,DATAS,0)</f>
        <v>1</v>
      </c>
      <c r="Z1411" s="39" t="n">
        <f aca="false">IF(AND(E1411&gt;0,OR(AND(B1411&gt;=1,B1411&lt;=6),B1411=10)),1,0)</f>
        <v>1</v>
      </c>
      <c r="AA1411" s="39" t="n">
        <f aca="false">IF(AND(E1411&gt;0,B1411=10),1,0)</f>
        <v>0</v>
      </c>
      <c r="AB1411" s="0" t="str">
        <f aca="false">IF(AND(C1410=C1411,Y1410=Y1411-1),Z1410,"")</f>
        <v/>
      </c>
      <c r="AC1411" s="0" t="str">
        <f aca="false">IF(AND(C1410=C1411,Y1410=Y1411-1),AA1410,"")</f>
        <v/>
      </c>
      <c r="AD1411" s="0" t="str">
        <f aca="false">IF(Y1411=1,"",IF(AND(Z1411=1,AB1411&lt;&gt;1),1,0))</f>
        <v/>
      </c>
      <c r="AE1411" s="0" t="str">
        <f aca="false">IF(Y1411=1,"",IF(AND(AA1411=1,AC1411&lt;&gt;1),1,0))</f>
        <v/>
      </c>
      <c r="AF1411" s="45" t="str">
        <f aca="false">IF(AND(E1411&gt;0,Y1411&lt;1,NOT(AND(C1412=C1411,Y1412=Y1411+1))),INDEX(DATAS,Y1411+1),"")</f>
        <v/>
      </c>
      <c r="AG1411" s="45" t="str">
        <f aca="false">IF(AND(AA1411=1,Y1411&lt;1),IF(AND(C1412=C1411,Y1412=Y1411+1),IF(AA1412=1,"",INDEX(DATAS,Y1411+1)),INDEX(DATAS,Y1411+1)),"")</f>
        <v/>
      </c>
    </row>
    <row r="1412" customFormat="false" ht="15" hidden="false" customHeight="false" outlineLevel="0" collapsed="false">
      <c r="A1412" s="45" t="n">
        <v>46309</v>
      </c>
      <c r="B1412" s="0" t="n">
        <v>4</v>
      </c>
      <c r="C1412" s="0" t="n">
        <v>5529</v>
      </c>
      <c r="D1412" s="0" t="n">
        <v>217</v>
      </c>
      <c r="E1412" s="0" t="n">
        <v>1</v>
      </c>
      <c r="F1412" s="39" t="s">
        <v>890</v>
      </c>
      <c r="G1412" s="0" t="n">
        <v>44.9</v>
      </c>
      <c r="H1412" s="0" t="n">
        <v>49</v>
      </c>
      <c r="I1412" s="39" t="s">
        <v>109</v>
      </c>
      <c r="J1412" s="0" t="n">
        <v>63</v>
      </c>
      <c r="K1412" s="0" t="n">
        <v>63</v>
      </c>
      <c r="L1412" s="0" t="n">
        <v>154</v>
      </c>
      <c r="P1412" s="0" t="n">
        <v>2.62</v>
      </c>
      <c r="Q1412" s="0" t="n">
        <v>3.22</v>
      </c>
      <c r="R1412" s="0" t="n">
        <v>4233</v>
      </c>
      <c r="S1412" s="0" t="n">
        <v>9849</v>
      </c>
      <c r="T1412" s="0" t="n">
        <v>50.35</v>
      </c>
      <c r="U1412" s="0" t="n">
        <v>894</v>
      </c>
      <c r="V1412" s="0" t="n">
        <v>1</v>
      </c>
      <c r="W1412" s="39" t="n">
        <f aca="false">IF(I1412="Male",0,1)</f>
        <v>1</v>
      </c>
      <c r="X1412" s="39" t="n">
        <f aca="false">IF(OR(I1412="DNB",I1412="Dry DNB"),1,0)</f>
        <v>0</v>
      </c>
      <c r="Y1412" s="39" t="n">
        <f aca="false">MATCH(A1412,DATAS,0)</f>
        <v>1</v>
      </c>
      <c r="Z1412" s="39" t="n">
        <f aca="false">IF(AND(E1412&gt;0,OR(AND(B1412&gt;=1,B1412&lt;=6),B1412=10)),1,0)</f>
        <v>1</v>
      </c>
      <c r="AA1412" s="39" t="n">
        <f aca="false">IF(AND(E1412&gt;0,B1412=10),1,0)</f>
        <v>0</v>
      </c>
      <c r="AB1412" s="0" t="str">
        <f aca="false">IF(AND(C1411=C1412,Y1411=Y1412-1),Z1411,"")</f>
        <v/>
      </c>
      <c r="AC1412" s="0" t="str">
        <f aca="false">IF(AND(C1411=C1412,Y1411=Y1412-1),AA1411,"")</f>
        <v/>
      </c>
      <c r="AD1412" s="0" t="str">
        <f aca="false">IF(Y1412=1,"",IF(AND(Z1412=1,AB1412&lt;&gt;1),1,0))</f>
        <v/>
      </c>
      <c r="AE1412" s="0" t="str">
        <f aca="false">IF(Y1412=1,"",IF(AND(AA1412=1,AC1412&lt;&gt;1),1,0))</f>
        <v/>
      </c>
      <c r="AF1412" s="45" t="str">
        <f aca="false">IF(AND(E1412&gt;0,Y1412&lt;1,NOT(AND(C1413=C1412,Y1413=Y1412+1))),INDEX(DATAS,Y1412+1),"")</f>
        <v/>
      </c>
      <c r="AG1412" s="45" t="str">
        <f aca="false">IF(AND(AA1412=1,Y1412&lt;1),IF(AND(C1413=C1412,Y1413=Y1412+1),IF(AA1413=1,"",INDEX(DATAS,Y1412+1)),INDEX(DATAS,Y1412+1)),"")</f>
        <v/>
      </c>
    </row>
    <row r="1413" customFormat="false" ht="15" hidden="false" customHeight="false" outlineLevel="0" collapsed="false">
      <c r="A1413" s="45" t="n">
        <v>46309</v>
      </c>
      <c r="B1413" s="0" t="n">
        <v>4</v>
      </c>
      <c r="C1413" s="0" t="n">
        <v>5532</v>
      </c>
      <c r="D1413" s="0" t="n">
        <v>194</v>
      </c>
      <c r="E1413" s="0" t="n">
        <v>1</v>
      </c>
      <c r="F1413" s="39" t="s">
        <v>891</v>
      </c>
      <c r="G1413" s="0" t="n">
        <v>54.1</v>
      </c>
      <c r="H1413" s="0" t="n">
        <v>58</v>
      </c>
      <c r="I1413" s="39" t="s">
        <v>109</v>
      </c>
      <c r="J1413" s="0" t="n">
        <v>68</v>
      </c>
      <c r="K1413" s="0" t="n">
        <v>68</v>
      </c>
      <c r="L1413" s="0" t="n">
        <v>126</v>
      </c>
      <c r="P1413" s="0" t="n">
        <v>3.54</v>
      </c>
      <c r="Q1413" s="0" t="n">
        <v>3.19</v>
      </c>
      <c r="R1413" s="0" t="n">
        <v>4350</v>
      </c>
      <c r="S1413" s="0" t="n">
        <v>10073</v>
      </c>
      <c r="T1413" s="0" t="n">
        <v>47.65</v>
      </c>
      <c r="U1413" s="0" t="n">
        <v>893</v>
      </c>
      <c r="V1413" s="0" t="n">
        <v>1</v>
      </c>
      <c r="W1413" s="39" t="n">
        <f aca="false">IF(I1413="Male",0,1)</f>
        <v>1</v>
      </c>
      <c r="X1413" s="39" t="n">
        <f aca="false">IF(OR(I1413="DNB",I1413="Dry DNB"),1,0)</f>
        <v>0</v>
      </c>
      <c r="Y1413" s="39" t="n">
        <f aca="false">MATCH(A1413,DATAS,0)</f>
        <v>1</v>
      </c>
      <c r="Z1413" s="39" t="n">
        <f aca="false">IF(AND(E1413&gt;0,OR(AND(B1413&gt;=1,B1413&lt;=6),B1413=10)),1,0)</f>
        <v>1</v>
      </c>
      <c r="AA1413" s="39" t="n">
        <f aca="false">IF(AND(E1413&gt;0,B1413=10),1,0)</f>
        <v>0</v>
      </c>
      <c r="AB1413" s="0" t="str">
        <f aca="false">IF(AND(C1412=C1413,Y1412=Y1413-1),Z1412,"")</f>
        <v/>
      </c>
      <c r="AC1413" s="0" t="str">
        <f aca="false">IF(AND(C1412=C1413,Y1412=Y1413-1),AA1412,"")</f>
        <v/>
      </c>
      <c r="AD1413" s="0" t="str">
        <f aca="false">IF(Y1413=1,"",IF(AND(Z1413=1,AB1413&lt;&gt;1),1,0))</f>
        <v/>
      </c>
      <c r="AE1413" s="0" t="str">
        <f aca="false">IF(Y1413=1,"",IF(AND(AA1413=1,AC1413&lt;&gt;1),1,0))</f>
        <v/>
      </c>
      <c r="AF1413" s="45" t="str">
        <f aca="false">IF(AND(E1413&gt;0,Y1413&lt;1,NOT(AND(C1414=C1413,Y1414=Y1413+1))),INDEX(DATAS,Y1413+1),"")</f>
        <v/>
      </c>
      <c r="AG1413" s="45" t="str">
        <f aca="false">IF(AND(AA1413=1,Y1413&lt;1),IF(AND(C1414=C1413,Y1414=Y1413+1),IF(AA1414=1,"",INDEX(DATAS,Y1413+1)),INDEX(DATAS,Y1413+1)),"")</f>
        <v/>
      </c>
    </row>
    <row r="1414" customFormat="false" ht="15" hidden="false" customHeight="false" outlineLevel="0" collapsed="false">
      <c r="A1414" s="45" t="n">
        <v>46309</v>
      </c>
      <c r="B1414" s="0" t="n">
        <v>4</v>
      </c>
      <c r="C1414" s="0" t="n">
        <v>5533</v>
      </c>
      <c r="D1414" s="0" t="n">
        <v>241</v>
      </c>
      <c r="E1414" s="0" t="n">
        <v>1</v>
      </c>
      <c r="F1414" s="39" t="s">
        <v>888</v>
      </c>
      <c r="G1414" s="0" t="n">
        <v>49.5</v>
      </c>
      <c r="H1414" s="0" t="n">
        <v>49</v>
      </c>
      <c r="I1414" s="39" t="s">
        <v>109</v>
      </c>
      <c r="J1414" s="0" t="n">
        <v>66</v>
      </c>
      <c r="K1414" s="0" t="n">
        <v>66</v>
      </c>
      <c r="L1414" s="0" t="n">
        <v>175</v>
      </c>
      <c r="P1414" s="0" t="n">
        <v>4.24</v>
      </c>
      <c r="Q1414" s="0" t="n">
        <v>3.28</v>
      </c>
      <c r="R1414" s="0" t="n">
        <v>4835</v>
      </c>
      <c r="S1414" s="0" t="n">
        <v>10672</v>
      </c>
      <c r="T1414" s="0" t="n">
        <v>50.4</v>
      </c>
      <c r="U1414" s="0" t="n">
        <v>892</v>
      </c>
      <c r="V1414" s="0" t="n">
        <v>1</v>
      </c>
      <c r="W1414" s="39" t="n">
        <f aca="false">IF(I1414="Male",0,1)</f>
        <v>1</v>
      </c>
      <c r="X1414" s="39" t="n">
        <f aca="false">IF(OR(I1414="DNB",I1414="Dry DNB"),1,0)</f>
        <v>0</v>
      </c>
      <c r="Y1414" s="39" t="n">
        <f aca="false">MATCH(A1414,DATAS,0)</f>
        <v>1</v>
      </c>
      <c r="Z1414" s="39" t="n">
        <f aca="false">IF(AND(E1414&gt;0,OR(AND(B1414&gt;=1,B1414&lt;=6),B1414=10)),1,0)</f>
        <v>1</v>
      </c>
      <c r="AA1414" s="39" t="n">
        <f aca="false">IF(AND(E1414&gt;0,B1414=10),1,0)</f>
        <v>0</v>
      </c>
      <c r="AB1414" s="0" t="str">
        <f aca="false">IF(AND(C1413=C1414,Y1413=Y1414-1),Z1413,"")</f>
        <v/>
      </c>
      <c r="AC1414" s="0" t="str">
        <f aca="false">IF(AND(C1413=C1414,Y1413=Y1414-1),AA1413,"")</f>
        <v/>
      </c>
      <c r="AD1414" s="0" t="str">
        <f aca="false">IF(Y1414=1,"",IF(AND(Z1414=1,AB1414&lt;&gt;1),1,0))</f>
        <v/>
      </c>
      <c r="AE1414" s="0" t="str">
        <f aca="false">IF(Y1414=1,"",IF(AND(AA1414=1,AC1414&lt;&gt;1),1,0))</f>
        <v/>
      </c>
      <c r="AF1414" s="45" t="str">
        <f aca="false">IF(AND(E1414&gt;0,Y1414&lt;1,NOT(AND(C1415=C1414,Y1415=Y1414+1))),INDEX(DATAS,Y1414+1),"")</f>
        <v/>
      </c>
      <c r="AG1414" s="45" t="str">
        <f aca="false">IF(AND(AA1414=1,Y1414&lt;1),IF(AND(C1415=C1414,Y1415=Y1414+1),IF(AA1415=1,"",INDEX(DATAS,Y1414+1)),INDEX(DATAS,Y1414+1)),"")</f>
        <v/>
      </c>
    </row>
    <row r="1415" customFormat="false" ht="15" hidden="false" customHeight="false" outlineLevel="0" collapsed="false">
      <c r="A1415" s="45" t="n">
        <v>46309</v>
      </c>
      <c r="B1415" s="0" t="n">
        <v>4</v>
      </c>
      <c r="C1415" s="0" t="n">
        <v>5534</v>
      </c>
      <c r="D1415" s="0" t="n">
        <v>203</v>
      </c>
      <c r="E1415" s="0" t="n">
        <v>1</v>
      </c>
      <c r="F1415" s="39" t="s">
        <v>888</v>
      </c>
      <c r="G1415" s="0" t="n">
        <v>49.3</v>
      </c>
      <c r="H1415" s="0" t="n">
        <v>48</v>
      </c>
      <c r="I1415" s="39" t="s">
        <v>109</v>
      </c>
      <c r="J1415" s="0" t="n">
        <v>63</v>
      </c>
      <c r="K1415" s="0" t="n">
        <v>63</v>
      </c>
      <c r="L1415" s="0" t="n">
        <v>140</v>
      </c>
      <c r="P1415" s="0" t="n">
        <v>5.03</v>
      </c>
      <c r="Q1415" s="0" t="n">
        <v>3.67</v>
      </c>
      <c r="R1415" s="0" t="n">
        <v>4065</v>
      </c>
      <c r="S1415" s="0" t="n">
        <v>8814</v>
      </c>
      <c r="T1415" s="0" t="n">
        <v>45.1</v>
      </c>
      <c r="U1415" s="0" t="n">
        <v>892</v>
      </c>
      <c r="V1415" s="0" t="n">
        <v>1</v>
      </c>
      <c r="W1415" s="39" t="n">
        <f aca="false">IF(I1415="Male",0,1)</f>
        <v>1</v>
      </c>
      <c r="X1415" s="39" t="n">
        <f aca="false">IF(OR(I1415="DNB",I1415="Dry DNB"),1,0)</f>
        <v>0</v>
      </c>
      <c r="Y1415" s="39" t="n">
        <f aca="false">MATCH(A1415,DATAS,0)</f>
        <v>1</v>
      </c>
      <c r="Z1415" s="39" t="n">
        <f aca="false">IF(AND(E1415&gt;0,OR(AND(B1415&gt;=1,B1415&lt;=6),B1415=10)),1,0)</f>
        <v>1</v>
      </c>
      <c r="AA1415" s="39" t="n">
        <f aca="false">IF(AND(E1415&gt;0,B1415=10),1,0)</f>
        <v>0</v>
      </c>
      <c r="AB1415" s="0" t="str">
        <f aca="false">IF(AND(C1414=C1415,Y1414=Y1415-1),Z1414,"")</f>
        <v/>
      </c>
      <c r="AC1415" s="0" t="str">
        <f aca="false">IF(AND(C1414=C1415,Y1414=Y1415-1),AA1414,"")</f>
        <v/>
      </c>
      <c r="AD1415" s="0" t="str">
        <f aca="false">IF(Y1415=1,"",IF(AND(Z1415=1,AB1415&lt;&gt;1),1,0))</f>
        <v/>
      </c>
      <c r="AE1415" s="0" t="str">
        <f aca="false">IF(Y1415=1,"",IF(AND(AA1415=1,AC1415&lt;&gt;1),1,0))</f>
        <v/>
      </c>
      <c r="AF1415" s="45" t="str">
        <f aca="false">IF(AND(E1415&gt;0,Y1415&lt;1,NOT(AND(C1416=C1415,Y1416=Y1415+1))),INDEX(DATAS,Y1415+1),"")</f>
        <v/>
      </c>
      <c r="AG1415" s="45" t="str">
        <f aca="false">IF(AND(AA1415=1,Y1415&lt;1),IF(AND(C1416=C1415,Y1416=Y1415+1),IF(AA1416=1,"",INDEX(DATAS,Y1415+1)),INDEX(DATAS,Y1415+1)),"")</f>
        <v/>
      </c>
    </row>
    <row r="1416" customFormat="false" ht="15" hidden="false" customHeight="false" outlineLevel="0" collapsed="false">
      <c r="A1416" s="45" t="n">
        <v>46309</v>
      </c>
      <c r="B1416" s="0" t="n">
        <v>4</v>
      </c>
      <c r="C1416" s="0" t="n">
        <v>5535</v>
      </c>
      <c r="D1416" s="0" t="n">
        <v>213</v>
      </c>
      <c r="E1416" s="0" t="n">
        <v>1</v>
      </c>
      <c r="F1416" s="39" t="s">
        <v>892</v>
      </c>
      <c r="G1416" s="0" t="n">
        <v>40.6</v>
      </c>
      <c r="H1416" s="0" t="n">
        <v>43</v>
      </c>
      <c r="I1416" s="39" t="s">
        <v>109</v>
      </c>
      <c r="J1416" s="0" t="n">
        <v>122</v>
      </c>
      <c r="K1416" s="0" t="n">
        <v>66</v>
      </c>
      <c r="L1416" s="0" t="n">
        <v>91</v>
      </c>
      <c r="P1416" s="0" t="n">
        <v>4.78</v>
      </c>
      <c r="Q1416" s="0" t="n">
        <v>3.4</v>
      </c>
      <c r="R1416" s="0" t="n">
        <v>3855</v>
      </c>
      <c r="S1416" s="0" t="n">
        <v>8403</v>
      </c>
      <c r="T1416" s="0" t="n">
        <v>42.35</v>
      </c>
      <c r="U1416" s="0" t="n">
        <v>889</v>
      </c>
      <c r="V1416" s="0" t="n">
        <v>3</v>
      </c>
      <c r="W1416" s="39" t="n">
        <f aca="false">IF(I1416="Male",0,1)</f>
        <v>1</v>
      </c>
      <c r="X1416" s="39" t="n">
        <f aca="false">IF(OR(I1416="DNB",I1416="Dry DNB"),1,0)</f>
        <v>0</v>
      </c>
      <c r="Y1416" s="39" t="n">
        <f aca="false">MATCH(A1416,DATAS,0)</f>
        <v>1</v>
      </c>
      <c r="Z1416" s="39" t="n">
        <f aca="false">IF(AND(E1416&gt;0,OR(AND(B1416&gt;=1,B1416&lt;=6),B1416=10)),1,0)</f>
        <v>1</v>
      </c>
      <c r="AA1416" s="39" t="n">
        <f aca="false">IF(AND(E1416&gt;0,B1416=10),1,0)</f>
        <v>0</v>
      </c>
      <c r="AB1416" s="0" t="str">
        <f aca="false">IF(AND(C1415=C1416,Y1415=Y1416-1),Z1415,"")</f>
        <v/>
      </c>
      <c r="AC1416" s="0" t="str">
        <f aca="false">IF(AND(C1415=C1416,Y1415=Y1416-1),AA1415,"")</f>
        <v/>
      </c>
      <c r="AD1416" s="0" t="str">
        <f aca="false">IF(Y1416=1,"",IF(AND(Z1416=1,AB1416&lt;&gt;1),1,0))</f>
        <v/>
      </c>
      <c r="AE1416" s="0" t="str">
        <f aca="false">IF(Y1416=1,"",IF(AND(AA1416=1,AC1416&lt;&gt;1),1,0))</f>
        <v/>
      </c>
      <c r="AF1416" s="45" t="str">
        <f aca="false">IF(AND(E1416&gt;0,Y1416&lt;1,NOT(AND(C1417=C1416,Y1417=Y1416+1))),INDEX(DATAS,Y1416+1),"")</f>
        <v/>
      </c>
      <c r="AG1416" s="45" t="str">
        <f aca="false">IF(AND(AA1416=1,Y1416&lt;1),IF(AND(C1417=C1416,Y1417=Y1416+1),IF(AA1417=1,"",INDEX(DATAS,Y1416+1)),INDEX(DATAS,Y1416+1)),"")</f>
        <v/>
      </c>
    </row>
    <row r="1417" customFormat="false" ht="15" hidden="false" customHeight="false" outlineLevel="0" collapsed="false">
      <c r="A1417" s="45" t="n">
        <v>46309</v>
      </c>
      <c r="B1417" s="0" t="n">
        <v>4</v>
      </c>
      <c r="C1417" s="0" t="n">
        <v>5536</v>
      </c>
      <c r="D1417" s="0" t="n">
        <v>224</v>
      </c>
      <c r="E1417" s="0" t="n">
        <v>1</v>
      </c>
      <c r="F1417" s="39" t="s">
        <v>893</v>
      </c>
      <c r="G1417" s="0" t="n">
        <v>45.7</v>
      </c>
      <c r="H1417" s="0" t="n">
        <v>41</v>
      </c>
      <c r="I1417" s="39" t="s">
        <v>138</v>
      </c>
      <c r="J1417" s="0" t="n">
        <v>224</v>
      </c>
      <c r="K1417" s="0" t="n">
        <v>63</v>
      </c>
      <c r="P1417" s="0" t="n">
        <v>3.55</v>
      </c>
      <c r="Q1417" s="0" t="n">
        <v>3.61</v>
      </c>
      <c r="R1417" s="0" t="n">
        <v>4607</v>
      </c>
      <c r="S1417" s="0" t="n">
        <v>10206</v>
      </c>
      <c r="T1417" s="0" t="n">
        <v>50.35</v>
      </c>
      <c r="U1417" s="0" t="n">
        <v>888</v>
      </c>
      <c r="V1417" s="0" t="n">
        <v>5</v>
      </c>
      <c r="W1417" s="39" t="n">
        <f aca="false">IF(I1417="Male",0,1)</f>
        <v>1</v>
      </c>
      <c r="X1417" s="39" t="n">
        <f aca="false">IF(OR(I1417="DNB",I1417="Dry DNB"),1,0)</f>
        <v>0</v>
      </c>
      <c r="Y1417" s="39" t="n">
        <f aca="false">MATCH(A1417,DATAS,0)</f>
        <v>1</v>
      </c>
      <c r="Z1417" s="39" t="n">
        <f aca="false">IF(AND(E1417&gt;0,OR(AND(B1417&gt;=1,B1417&lt;=6),B1417=10)),1,0)</f>
        <v>1</v>
      </c>
      <c r="AA1417" s="39" t="n">
        <f aca="false">IF(AND(E1417&gt;0,B1417=10),1,0)</f>
        <v>0</v>
      </c>
      <c r="AB1417" s="0" t="str">
        <f aca="false">IF(AND(C1416=C1417,Y1416=Y1417-1),Z1416,"")</f>
        <v/>
      </c>
      <c r="AC1417" s="0" t="str">
        <f aca="false">IF(AND(C1416=C1417,Y1416=Y1417-1),AA1416,"")</f>
        <v/>
      </c>
      <c r="AD1417" s="0" t="str">
        <f aca="false">IF(Y1417=1,"",IF(AND(Z1417=1,AB1417&lt;&gt;1),1,0))</f>
        <v/>
      </c>
      <c r="AE1417" s="0" t="str">
        <f aca="false">IF(Y1417=1,"",IF(AND(AA1417=1,AC1417&lt;&gt;1),1,0))</f>
        <v/>
      </c>
      <c r="AF1417" s="45" t="str">
        <f aca="false">IF(AND(E1417&gt;0,Y1417&lt;1,NOT(AND(C1418=C1417,Y1418=Y1417+1))),INDEX(DATAS,Y1417+1),"")</f>
        <v/>
      </c>
      <c r="AG1417" s="45" t="str">
        <f aca="false">IF(AND(AA1417=1,Y1417&lt;1),IF(AND(C1418=C1417,Y1418=Y1417+1),IF(AA1418=1,"",INDEX(DATAS,Y1417+1)),INDEX(DATAS,Y1417+1)),"")</f>
        <v/>
      </c>
    </row>
    <row r="1418" customFormat="false" ht="15" hidden="false" customHeight="false" outlineLevel="0" collapsed="false">
      <c r="A1418" s="45" t="n">
        <v>46309</v>
      </c>
      <c r="B1418" s="0" t="n">
        <v>4</v>
      </c>
      <c r="C1418" s="0" t="n">
        <v>5537</v>
      </c>
      <c r="D1418" s="0" t="n">
        <v>205</v>
      </c>
      <c r="E1418" s="0" t="n">
        <v>1</v>
      </c>
      <c r="F1418" s="39" t="s">
        <v>893</v>
      </c>
      <c r="G1418" s="0" t="n">
        <v>39.6</v>
      </c>
      <c r="H1418" s="0" t="n">
        <v>41</v>
      </c>
      <c r="I1418" s="39" t="s">
        <v>109</v>
      </c>
      <c r="J1418" s="0" t="n">
        <v>118</v>
      </c>
      <c r="K1418" s="0" t="n">
        <v>65</v>
      </c>
      <c r="L1418" s="0" t="n">
        <v>87</v>
      </c>
      <c r="P1418" s="0" t="n">
        <v>3.61</v>
      </c>
      <c r="Q1418" s="0" t="n">
        <v>3.64</v>
      </c>
      <c r="R1418" s="0" t="n">
        <v>3250</v>
      </c>
      <c r="S1418" s="0" t="n">
        <v>7267</v>
      </c>
      <c r="T1418" s="0" t="n">
        <v>36.65</v>
      </c>
      <c r="U1418" s="0" t="n">
        <v>888</v>
      </c>
      <c r="V1418" s="0" t="n">
        <v>4</v>
      </c>
      <c r="W1418" s="39" t="n">
        <f aca="false">IF(I1418="Male",0,1)</f>
        <v>1</v>
      </c>
      <c r="X1418" s="39" t="n">
        <f aca="false">IF(OR(I1418="DNB",I1418="Dry DNB"),1,0)</f>
        <v>0</v>
      </c>
      <c r="Y1418" s="39" t="n">
        <f aca="false">MATCH(A1418,DATAS,0)</f>
        <v>1</v>
      </c>
      <c r="Z1418" s="39" t="n">
        <f aca="false">IF(AND(E1418&gt;0,OR(AND(B1418&gt;=1,B1418&lt;=6),B1418=10)),1,0)</f>
        <v>1</v>
      </c>
      <c r="AA1418" s="39" t="n">
        <f aca="false">IF(AND(E1418&gt;0,B1418=10),1,0)</f>
        <v>0</v>
      </c>
      <c r="AB1418" s="0" t="str">
        <f aca="false">IF(AND(C1417=C1418,Y1417=Y1418-1),Z1417,"")</f>
        <v/>
      </c>
      <c r="AC1418" s="0" t="str">
        <f aca="false">IF(AND(C1417=C1418,Y1417=Y1418-1),AA1417,"")</f>
        <v/>
      </c>
      <c r="AD1418" s="0" t="str">
        <f aca="false">IF(Y1418=1,"",IF(AND(Z1418=1,AB1418&lt;&gt;1),1,0))</f>
        <v/>
      </c>
      <c r="AE1418" s="0" t="str">
        <f aca="false">IF(Y1418=1,"",IF(AND(AA1418=1,AC1418&lt;&gt;1),1,0))</f>
        <v/>
      </c>
      <c r="AF1418" s="45" t="str">
        <f aca="false">IF(AND(E1418&gt;0,Y1418&lt;1,NOT(AND(C1419=C1418,Y1419=Y1418+1))),INDEX(DATAS,Y1418+1),"")</f>
        <v/>
      </c>
      <c r="AG1418" s="45" t="str">
        <f aca="false">IF(AND(AA1418=1,Y1418&lt;1),IF(AND(C1419=C1418,Y1419=Y1418+1),IF(AA1419=1,"",INDEX(DATAS,Y1418+1)),INDEX(DATAS,Y1418+1)),"")</f>
        <v/>
      </c>
    </row>
    <row r="1419" customFormat="false" ht="15" hidden="false" customHeight="false" outlineLevel="0" collapsed="false">
      <c r="A1419" s="45" t="n">
        <v>46309</v>
      </c>
      <c r="B1419" s="0" t="n">
        <v>1</v>
      </c>
      <c r="C1419" s="0" t="n">
        <v>5538</v>
      </c>
      <c r="D1419" s="0" t="n">
        <v>105</v>
      </c>
      <c r="E1419" s="0" t="n">
        <v>1</v>
      </c>
      <c r="F1419" s="39" t="s">
        <v>894</v>
      </c>
      <c r="G1419" s="0" t="n">
        <v>55.4</v>
      </c>
      <c r="H1419" s="0" t="n">
        <v>57</v>
      </c>
      <c r="I1419" s="39" t="s">
        <v>109</v>
      </c>
      <c r="J1419" s="0" t="n">
        <v>70</v>
      </c>
      <c r="K1419" s="0" t="n">
        <v>70</v>
      </c>
      <c r="L1419" s="0" t="n">
        <v>35</v>
      </c>
      <c r="P1419" s="0" t="n">
        <v>4.24</v>
      </c>
      <c r="Q1419" s="0" t="n">
        <v>2.91</v>
      </c>
      <c r="R1419" s="0" t="n">
        <v>4667</v>
      </c>
      <c r="S1419" s="0" t="n">
        <v>9491</v>
      </c>
      <c r="T1419" s="0" t="n">
        <v>49.45</v>
      </c>
      <c r="U1419" s="0" t="n">
        <v>887</v>
      </c>
      <c r="V1419" s="0" t="n">
        <v>1</v>
      </c>
      <c r="W1419" s="39" t="n">
        <f aca="false">IF(I1419="Male",0,1)</f>
        <v>1</v>
      </c>
      <c r="X1419" s="39" t="n">
        <f aca="false">IF(OR(I1419="DNB",I1419="Dry DNB"),1,0)</f>
        <v>0</v>
      </c>
      <c r="Y1419" s="39" t="n">
        <f aca="false">MATCH(A1419,DATAS,0)</f>
        <v>1</v>
      </c>
      <c r="Z1419" s="39" t="n">
        <f aca="false">IF(AND(E1419&gt;0,OR(AND(B1419&gt;=1,B1419&lt;=6),B1419=10)),1,0)</f>
        <v>1</v>
      </c>
      <c r="AA1419" s="39" t="n">
        <f aca="false">IF(AND(E1419&gt;0,B1419=10),1,0)</f>
        <v>0</v>
      </c>
      <c r="AB1419" s="0" t="str">
        <f aca="false">IF(AND(C1418=C1419,Y1418=Y1419-1),Z1418,"")</f>
        <v/>
      </c>
      <c r="AC1419" s="0" t="str">
        <f aca="false">IF(AND(C1418=C1419,Y1418=Y1419-1),AA1418,"")</f>
        <v/>
      </c>
      <c r="AD1419" s="0" t="str">
        <f aca="false">IF(Y1419=1,"",IF(AND(Z1419=1,AB1419&lt;&gt;1),1,0))</f>
        <v/>
      </c>
      <c r="AE1419" s="0" t="str">
        <f aca="false">IF(Y1419=1,"",IF(AND(AA1419=1,AC1419&lt;&gt;1),1,0))</f>
        <v/>
      </c>
      <c r="AF1419" s="45" t="str">
        <f aca="false">IF(AND(E1419&gt;0,Y1419&lt;1,NOT(AND(C1420=C1419,Y1420=Y1419+1))),INDEX(DATAS,Y1419+1),"")</f>
        <v/>
      </c>
      <c r="AG1419" s="45" t="str">
        <f aca="false">IF(AND(AA1419=1,Y1419&lt;1),IF(AND(C1420=C1419,Y1420=Y1419+1),IF(AA1420=1,"",INDEX(DATAS,Y1419+1)),INDEX(DATAS,Y1419+1)),"")</f>
        <v/>
      </c>
    </row>
    <row r="1420" customFormat="false" ht="15" hidden="false" customHeight="false" outlineLevel="0" collapsed="false">
      <c r="A1420" s="45" t="n">
        <v>46309</v>
      </c>
      <c r="B1420" s="0" t="n">
        <v>1</v>
      </c>
      <c r="C1420" s="0" t="n">
        <v>5539</v>
      </c>
      <c r="D1420" s="0" t="n">
        <v>70</v>
      </c>
      <c r="E1420" s="0" t="n">
        <v>1</v>
      </c>
      <c r="F1420" s="39" t="s">
        <v>894</v>
      </c>
      <c r="G1420" s="0" t="n">
        <v>44.7</v>
      </c>
      <c r="H1420" s="0" t="n">
        <v>47</v>
      </c>
      <c r="I1420" s="39" t="s">
        <v>138</v>
      </c>
      <c r="J1420" s="0" t="n">
        <v>70</v>
      </c>
      <c r="K1420" s="0" t="n">
        <v>63</v>
      </c>
      <c r="P1420" s="0" t="n">
        <v>4.55</v>
      </c>
      <c r="Q1420" s="0" t="n">
        <v>2.72</v>
      </c>
      <c r="R1420" s="0" t="n">
        <v>4179</v>
      </c>
      <c r="S1420" s="0" t="n">
        <v>8401</v>
      </c>
      <c r="U1420" s="0" t="n">
        <v>887</v>
      </c>
      <c r="V1420" s="0" t="n">
        <v>1</v>
      </c>
      <c r="W1420" s="39" t="n">
        <f aca="false">IF(I1420="Male",0,1)</f>
        <v>1</v>
      </c>
      <c r="X1420" s="39" t="n">
        <f aca="false">IF(OR(I1420="DNB",I1420="Dry DNB"),1,0)</f>
        <v>0</v>
      </c>
      <c r="Y1420" s="39" t="n">
        <f aca="false">MATCH(A1420,DATAS,0)</f>
        <v>1</v>
      </c>
      <c r="Z1420" s="39" t="n">
        <f aca="false">IF(AND(E1420&gt;0,OR(AND(B1420&gt;=1,B1420&lt;=6),B1420=10)),1,0)</f>
        <v>1</v>
      </c>
      <c r="AA1420" s="39" t="n">
        <f aca="false">IF(AND(E1420&gt;0,B1420=10),1,0)</f>
        <v>0</v>
      </c>
      <c r="AB1420" s="0" t="str">
        <f aca="false">IF(AND(C1419=C1420,Y1419=Y1420-1),Z1419,"")</f>
        <v/>
      </c>
      <c r="AC1420" s="0" t="str">
        <f aca="false">IF(AND(C1419=C1420,Y1419=Y1420-1),AA1419,"")</f>
        <v/>
      </c>
      <c r="AD1420" s="0" t="str">
        <f aca="false">IF(Y1420=1,"",IF(AND(Z1420=1,AB1420&lt;&gt;1),1,0))</f>
        <v/>
      </c>
      <c r="AE1420" s="0" t="str">
        <f aca="false">IF(Y1420=1,"",IF(AND(AA1420=1,AC1420&lt;&gt;1),1,0))</f>
        <v/>
      </c>
      <c r="AF1420" s="45" t="str">
        <f aca="false">IF(AND(E1420&gt;0,Y1420&lt;1,NOT(AND(C1421=C1420,Y1421=Y1420+1))),INDEX(DATAS,Y1420+1),"")</f>
        <v/>
      </c>
      <c r="AG1420" s="45" t="str">
        <f aca="false">IF(AND(AA1420=1,Y1420&lt;1),IF(AND(C1421=C1420,Y1421=Y1420+1),IF(AA1421=1,"",INDEX(DATAS,Y1420+1)),INDEX(DATAS,Y1420+1)),"")</f>
        <v/>
      </c>
    </row>
    <row r="1421" customFormat="false" ht="15" hidden="false" customHeight="false" outlineLevel="0" collapsed="false">
      <c r="A1421" s="45" t="n">
        <v>46309</v>
      </c>
      <c r="B1421" s="0" t="n">
        <v>4</v>
      </c>
      <c r="C1421" s="0" t="n">
        <v>5541</v>
      </c>
      <c r="D1421" s="0" t="n">
        <v>125</v>
      </c>
      <c r="E1421" s="0" t="n">
        <v>1</v>
      </c>
      <c r="F1421" s="39" t="s">
        <v>895</v>
      </c>
      <c r="G1421" s="0" t="n">
        <v>52.5</v>
      </c>
      <c r="H1421" s="0" t="n">
        <v>51</v>
      </c>
      <c r="I1421" s="39" t="s">
        <v>138</v>
      </c>
      <c r="J1421" s="0" t="n">
        <v>125</v>
      </c>
      <c r="K1421" s="0" t="n">
        <v>77</v>
      </c>
      <c r="P1421" s="0" t="n">
        <v>3.83</v>
      </c>
      <c r="Q1421" s="0" t="n">
        <v>3.33</v>
      </c>
      <c r="R1421" s="0" t="n">
        <v>4739</v>
      </c>
      <c r="S1421" s="0" t="n">
        <v>9728</v>
      </c>
      <c r="T1421" s="0" t="n">
        <v>48.3</v>
      </c>
      <c r="U1421" s="0" t="n">
        <v>886</v>
      </c>
      <c r="V1421" s="0" t="n">
        <v>2</v>
      </c>
      <c r="W1421" s="39" t="n">
        <f aca="false">IF(I1421="Male",0,1)</f>
        <v>1</v>
      </c>
      <c r="X1421" s="39" t="n">
        <f aca="false">IF(OR(I1421="DNB",I1421="Dry DNB"),1,0)</f>
        <v>0</v>
      </c>
      <c r="Y1421" s="39" t="n">
        <f aca="false">MATCH(A1421,DATAS,0)</f>
        <v>1</v>
      </c>
      <c r="Z1421" s="39" t="n">
        <f aca="false">IF(AND(E1421&gt;0,OR(AND(B1421&gt;=1,B1421&lt;=6),B1421=10)),1,0)</f>
        <v>1</v>
      </c>
      <c r="AA1421" s="39" t="n">
        <f aca="false">IF(AND(E1421&gt;0,B1421=10),1,0)</f>
        <v>0</v>
      </c>
      <c r="AB1421" s="0" t="str">
        <f aca="false">IF(AND(C1420=C1421,Y1420=Y1421-1),Z1420,"")</f>
        <v/>
      </c>
      <c r="AC1421" s="0" t="str">
        <f aca="false">IF(AND(C1420=C1421,Y1420=Y1421-1),AA1420,"")</f>
        <v/>
      </c>
      <c r="AD1421" s="0" t="str">
        <f aca="false">IF(Y1421=1,"",IF(AND(Z1421=1,AB1421&lt;&gt;1),1,0))</f>
        <v/>
      </c>
      <c r="AE1421" s="0" t="str">
        <f aca="false">IF(Y1421=1,"",IF(AND(AA1421=1,AC1421&lt;&gt;1),1,0))</f>
        <v/>
      </c>
      <c r="AF1421" s="45" t="str">
        <f aca="false">IF(AND(E1421&gt;0,Y1421&lt;1,NOT(AND(C1422=C1421,Y1422=Y1421+1))),INDEX(DATAS,Y1421+1),"")</f>
        <v/>
      </c>
      <c r="AG1421" s="45" t="str">
        <f aca="false">IF(AND(AA1421=1,Y1421&lt;1),IF(AND(C1422=C1421,Y1422=Y1421+1),IF(AA1422=1,"",INDEX(DATAS,Y1421+1)),INDEX(DATAS,Y1421+1)),"")</f>
        <v/>
      </c>
    </row>
    <row r="1422" customFormat="false" ht="15" hidden="false" customHeight="false" outlineLevel="0" collapsed="false">
      <c r="A1422" s="45" t="n">
        <v>46309</v>
      </c>
      <c r="B1422" s="0" t="n">
        <v>4</v>
      </c>
      <c r="C1422" s="0" t="n">
        <v>5542</v>
      </c>
      <c r="D1422" s="0" t="n">
        <v>160</v>
      </c>
      <c r="E1422" s="0" t="n">
        <v>1</v>
      </c>
      <c r="F1422" s="39" t="s">
        <v>895</v>
      </c>
      <c r="G1422" s="0" t="n">
        <v>43.9</v>
      </c>
      <c r="H1422" s="0" t="n">
        <v>48</v>
      </c>
      <c r="I1422" s="39" t="s">
        <v>109</v>
      </c>
      <c r="J1422" s="0" t="n">
        <v>125</v>
      </c>
      <c r="K1422" s="0" t="n">
        <v>69</v>
      </c>
      <c r="L1422" s="0" t="n">
        <v>35</v>
      </c>
      <c r="P1422" s="0" t="n">
        <v>3.9</v>
      </c>
      <c r="Q1422" s="0" t="n">
        <v>3.07</v>
      </c>
      <c r="R1422" s="0" t="n">
        <v>4387</v>
      </c>
      <c r="S1422" s="0" t="n">
        <v>9379</v>
      </c>
      <c r="T1422" s="0" t="n">
        <v>48</v>
      </c>
      <c r="U1422" s="0" t="n">
        <v>886</v>
      </c>
      <c r="V1422" s="0" t="n">
        <v>3</v>
      </c>
      <c r="W1422" s="39" t="n">
        <f aca="false">IF(I1422="Male",0,1)</f>
        <v>1</v>
      </c>
      <c r="X1422" s="39" t="n">
        <f aca="false">IF(OR(I1422="DNB",I1422="Dry DNB"),1,0)</f>
        <v>0</v>
      </c>
      <c r="Y1422" s="39" t="n">
        <f aca="false">MATCH(A1422,DATAS,0)</f>
        <v>1</v>
      </c>
      <c r="Z1422" s="39" t="n">
        <f aca="false">IF(AND(E1422&gt;0,OR(AND(B1422&gt;=1,B1422&lt;=6),B1422=10)),1,0)</f>
        <v>1</v>
      </c>
      <c r="AA1422" s="39" t="n">
        <f aca="false">IF(AND(E1422&gt;0,B1422=10),1,0)</f>
        <v>0</v>
      </c>
      <c r="AB1422" s="0" t="str">
        <f aca="false">IF(AND(C1421=C1422,Y1421=Y1422-1),Z1421,"")</f>
        <v/>
      </c>
      <c r="AC1422" s="0" t="str">
        <f aca="false">IF(AND(C1421=C1422,Y1421=Y1422-1),AA1421,"")</f>
        <v/>
      </c>
      <c r="AD1422" s="0" t="str">
        <f aca="false">IF(Y1422=1,"",IF(AND(Z1422=1,AB1422&lt;&gt;1),1,0))</f>
        <v/>
      </c>
      <c r="AE1422" s="0" t="str">
        <f aca="false">IF(Y1422=1,"",IF(AND(AA1422=1,AC1422&lt;&gt;1),1,0))</f>
        <v/>
      </c>
      <c r="AF1422" s="45" t="str">
        <f aca="false">IF(AND(E1422&gt;0,Y1422&lt;1,NOT(AND(C1423=C1422,Y1423=Y1422+1))),INDEX(DATAS,Y1422+1),"")</f>
        <v/>
      </c>
      <c r="AG1422" s="45" t="str">
        <f aca="false">IF(AND(AA1422=1,Y1422&lt;1),IF(AND(C1423=C1422,Y1423=Y1422+1),IF(AA1423=1,"",INDEX(DATAS,Y1422+1)),INDEX(DATAS,Y1422+1)),"")</f>
        <v/>
      </c>
    </row>
    <row r="1423" customFormat="false" ht="15" hidden="false" customHeight="false" outlineLevel="0" collapsed="false">
      <c r="A1423" s="45" t="n">
        <v>46309</v>
      </c>
      <c r="B1423" s="0" t="n">
        <v>4</v>
      </c>
      <c r="C1423" s="0" t="n">
        <v>5543</v>
      </c>
      <c r="D1423" s="0" t="n">
        <v>172</v>
      </c>
      <c r="E1423" s="0" t="n">
        <v>1</v>
      </c>
      <c r="F1423" s="39" t="s">
        <v>896</v>
      </c>
      <c r="G1423" s="0" t="n">
        <v>25.3</v>
      </c>
      <c r="H1423" s="0" t="n">
        <v>24</v>
      </c>
      <c r="I1423" s="39" t="s">
        <v>109</v>
      </c>
      <c r="J1423" s="0" t="n">
        <v>102</v>
      </c>
      <c r="K1423" s="0" t="n">
        <v>67</v>
      </c>
      <c r="L1423" s="0" t="n">
        <v>70</v>
      </c>
      <c r="P1423" s="0" t="n">
        <v>3.68</v>
      </c>
      <c r="Q1423" s="0" t="n">
        <v>3.6</v>
      </c>
      <c r="R1423" s="0" t="n">
        <v>3747</v>
      </c>
      <c r="S1423" s="0" t="n">
        <v>7986</v>
      </c>
      <c r="T1423" s="0" t="n">
        <v>41.15</v>
      </c>
      <c r="U1423" s="0" t="n">
        <v>885</v>
      </c>
      <c r="V1423" s="0" t="n">
        <v>2</v>
      </c>
      <c r="W1423" s="39" t="n">
        <f aca="false">IF(I1423="Male",0,1)</f>
        <v>1</v>
      </c>
      <c r="X1423" s="39" t="n">
        <f aca="false">IF(OR(I1423="DNB",I1423="Dry DNB"),1,0)</f>
        <v>0</v>
      </c>
      <c r="Y1423" s="39" t="n">
        <f aca="false">MATCH(A1423,DATAS,0)</f>
        <v>1</v>
      </c>
      <c r="Z1423" s="39" t="n">
        <f aca="false">IF(AND(E1423&gt;0,OR(AND(B1423&gt;=1,B1423&lt;=6),B1423=10)),1,0)</f>
        <v>1</v>
      </c>
      <c r="AA1423" s="39" t="n">
        <f aca="false">IF(AND(E1423&gt;0,B1423=10),1,0)</f>
        <v>0</v>
      </c>
      <c r="AB1423" s="0" t="str">
        <f aca="false">IF(AND(C1422=C1423,Y1422=Y1423-1),Z1422,"")</f>
        <v/>
      </c>
      <c r="AC1423" s="0" t="str">
        <f aca="false">IF(AND(C1422=C1423,Y1422=Y1423-1),AA1422,"")</f>
        <v/>
      </c>
      <c r="AD1423" s="0" t="str">
        <f aca="false">IF(Y1423=1,"",IF(AND(Z1423=1,AB1423&lt;&gt;1),1,0))</f>
        <v/>
      </c>
      <c r="AE1423" s="0" t="str">
        <f aca="false">IF(Y1423=1,"",IF(AND(AA1423=1,AC1423&lt;&gt;1),1,0))</f>
        <v/>
      </c>
      <c r="AF1423" s="45" t="str">
        <f aca="false">IF(AND(E1423&gt;0,Y1423&lt;1,NOT(AND(C1424=C1423,Y1424=Y1423+1))),INDEX(DATAS,Y1423+1),"")</f>
        <v/>
      </c>
      <c r="AG1423" s="45" t="str">
        <f aca="false">IF(AND(AA1423=1,Y1423&lt;1),IF(AND(C1424=C1423,Y1424=Y1423+1),IF(AA1424=1,"",INDEX(DATAS,Y1423+1)),INDEX(DATAS,Y1423+1)),"")</f>
        <v/>
      </c>
    </row>
    <row r="1424" customFormat="false" ht="15" hidden="false" customHeight="false" outlineLevel="0" collapsed="false">
      <c r="A1424" s="45" t="n">
        <v>46309</v>
      </c>
      <c r="B1424" s="0" t="n">
        <v>4</v>
      </c>
      <c r="C1424" s="0" t="n">
        <v>5549</v>
      </c>
      <c r="D1424" s="0" t="n">
        <v>170</v>
      </c>
      <c r="E1424" s="0" t="n">
        <v>1</v>
      </c>
      <c r="F1424" s="39" t="s">
        <v>897</v>
      </c>
      <c r="G1424" s="0" t="n">
        <v>46.9</v>
      </c>
      <c r="H1424" s="0" t="n">
        <v>47</v>
      </c>
      <c r="I1424" s="39" t="s">
        <v>109</v>
      </c>
      <c r="J1424" s="0" t="n">
        <v>135</v>
      </c>
      <c r="K1424" s="0" t="n">
        <v>65</v>
      </c>
      <c r="L1424" s="0" t="n">
        <v>35</v>
      </c>
      <c r="P1424" s="0" t="n">
        <v>3.21</v>
      </c>
      <c r="Q1424" s="0" t="n">
        <v>3.39</v>
      </c>
      <c r="R1424" s="0" t="n">
        <v>4004</v>
      </c>
      <c r="S1424" s="0" t="n">
        <v>8899</v>
      </c>
      <c r="T1424" s="0" t="n">
        <v>43.6</v>
      </c>
      <c r="U1424" s="0" t="n">
        <v>884</v>
      </c>
      <c r="V1424" s="0" t="n">
        <v>3</v>
      </c>
      <c r="W1424" s="39" t="n">
        <f aca="false">IF(I1424="Male",0,1)</f>
        <v>1</v>
      </c>
      <c r="X1424" s="39" t="n">
        <f aca="false">IF(OR(I1424="DNB",I1424="Dry DNB"),1,0)</f>
        <v>0</v>
      </c>
      <c r="Y1424" s="39" t="n">
        <f aca="false">MATCH(A1424,DATAS,0)</f>
        <v>1</v>
      </c>
      <c r="Z1424" s="39" t="n">
        <f aca="false">IF(AND(E1424&gt;0,OR(AND(B1424&gt;=1,B1424&lt;=6),B1424=10)),1,0)</f>
        <v>1</v>
      </c>
      <c r="AA1424" s="39" t="n">
        <f aca="false">IF(AND(E1424&gt;0,B1424=10),1,0)</f>
        <v>0</v>
      </c>
      <c r="AB1424" s="0" t="str">
        <f aca="false">IF(AND(C1423=C1424,Y1423=Y1424-1),Z1423,"")</f>
        <v/>
      </c>
      <c r="AC1424" s="0" t="str">
        <f aca="false">IF(AND(C1423=C1424,Y1423=Y1424-1),AA1423,"")</f>
        <v/>
      </c>
      <c r="AD1424" s="0" t="str">
        <f aca="false">IF(Y1424=1,"",IF(AND(Z1424=1,AB1424&lt;&gt;1),1,0))</f>
        <v/>
      </c>
      <c r="AE1424" s="0" t="str">
        <f aca="false">IF(Y1424=1,"",IF(AND(AA1424=1,AC1424&lt;&gt;1),1,0))</f>
        <v/>
      </c>
      <c r="AF1424" s="45" t="str">
        <f aca="false">IF(AND(E1424&gt;0,Y1424&lt;1,NOT(AND(C1425=C1424,Y1425=Y1424+1))),INDEX(DATAS,Y1424+1),"")</f>
        <v/>
      </c>
      <c r="AG1424" s="45" t="str">
        <f aca="false">IF(AND(AA1424=1,Y1424&lt;1),IF(AND(C1425=C1424,Y1425=Y1424+1),IF(AA1425=1,"",INDEX(DATAS,Y1424+1)),INDEX(DATAS,Y1424+1)),"")</f>
        <v/>
      </c>
    </row>
    <row r="1425" customFormat="false" ht="15" hidden="false" customHeight="false" outlineLevel="0" collapsed="false">
      <c r="A1425" s="45" t="n">
        <v>46309</v>
      </c>
      <c r="B1425" s="0" t="n">
        <v>4</v>
      </c>
      <c r="C1425" s="0" t="n">
        <v>5550</v>
      </c>
      <c r="D1425" s="0" t="n">
        <v>221</v>
      </c>
      <c r="E1425" s="0" t="n">
        <v>1</v>
      </c>
      <c r="F1425" s="39" t="s">
        <v>897</v>
      </c>
      <c r="G1425" s="0" t="n">
        <v>54.8</v>
      </c>
      <c r="H1425" s="0" t="n">
        <v>55</v>
      </c>
      <c r="I1425" s="39" t="s">
        <v>109</v>
      </c>
      <c r="J1425" s="0" t="n">
        <v>165</v>
      </c>
      <c r="K1425" s="0" t="n">
        <v>67</v>
      </c>
      <c r="L1425" s="0" t="n">
        <v>56</v>
      </c>
      <c r="P1425" s="0" t="n">
        <v>3.41</v>
      </c>
      <c r="Q1425" s="0" t="n">
        <v>3.5</v>
      </c>
      <c r="R1425" s="0" t="n">
        <v>4402</v>
      </c>
      <c r="S1425" s="0" t="n">
        <v>10023</v>
      </c>
      <c r="T1425" s="0" t="n">
        <v>47.45</v>
      </c>
      <c r="U1425" s="0" t="n">
        <v>884</v>
      </c>
      <c r="V1425" s="0" t="n">
        <v>4</v>
      </c>
      <c r="W1425" s="39" t="n">
        <f aca="false">IF(I1425="Male",0,1)</f>
        <v>1</v>
      </c>
      <c r="X1425" s="39" t="n">
        <f aca="false">IF(OR(I1425="DNB",I1425="Dry DNB"),1,0)</f>
        <v>0</v>
      </c>
      <c r="Y1425" s="39" t="n">
        <f aca="false">MATCH(A1425,DATAS,0)</f>
        <v>1</v>
      </c>
      <c r="Z1425" s="39" t="n">
        <f aca="false">IF(AND(E1425&gt;0,OR(AND(B1425&gt;=1,B1425&lt;=6),B1425=10)),1,0)</f>
        <v>1</v>
      </c>
      <c r="AA1425" s="39" t="n">
        <f aca="false">IF(AND(E1425&gt;0,B1425=10),1,0)</f>
        <v>0</v>
      </c>
      <c r="AB1425" s="0" t="str">
        <f aca="false">IF(AND(C1424=C1425,Y1424=Y1425-1),Z1424,"")</f>
        <v/>
      </c>
      <c r="AC1425" s="0" t="str">
        <f aca="false">IF(AND(C1424=C1425,Y1424=Y1425-1),AA1424,"")</f>
        <v/>
      </c>
      <c r="AD1425" s="0" t="str">
        <f aca="false">IF(Y1425=1,"",IF(AND(Z1425=1,AB1425&lt;&gt;1),1,0))</f>
        <v/>
      </c>
      <c r="AE1425" s="0" t="str">
        <f aca="false">IF(Y1425=1,"",IF(AND(AA1425=1,AC1425&lt;&gt;1),1,0))</f>
        <v/>
      </c>
      <c r="AF1425" s="45" t="str">
        <f aca="false">IF(AND(E1425&gt;0,Y1425&lt;1,NOT(AND(C1426=C1425,Y1426=Y1425+1))),INDEX(DATAS,Y1425+1),"")</f>
        <v/>
      </c>
      <c r="AG1425" s="45" t="str">
        <f aca="false">IF(AND(AA1425=1,Y1425&lt;1),IF(AND(C1426=C1425,Y1426=Y1425+1),IF(AA1426=1,"",INDEX(DATAS,Y1425+1)),INDEX(DATAS,Y1425+1)),"")</f>
        <v/>
      </c>
    </row>
    <row r="1426" customFormat="false" ht="15" hidden="false" customHeight="false" outlineLevel="0" collapsed="false">
      <c r="A1426" s="45" t="n">
        <v>46309</v>
      </c>
      <c r="B1426" s="0" t="n">
        <v>4</v>
      </c>
      <c r="C1426" s="0" t="n">
        <v>5551</v>
      </c>
      <c r="D1426" s="0" t="n">
        <v>237</v>
      </c>
      <c r="E1426" s="0" t="n">
        <v>1</v>
      </c>
      <c r="F1426" s="39" t="s">
        <v>898</v>
      </c>
      <c r="G1426" s="0" t="n">
        <v>48.5</v>
      </c>
      <c r="H1426" s="0" t="n">
        <v>49</v>
      </c>
      <c r="I1426" s="39" t="s">
        <v>109</v>
      </c>
      <c r="J1426" s="0" t="n">
        <v>69</v>
      </c>
      <c r="K1426" s="0" t="n">
        <v>69</v>
      </c>
      <c r="L1426" s="0" t="n">
        <v>168</v>
      </c>
      <c r="P1426" s="0" t="n">
        <v>4.19</v>
      </c>
      <c r="Q1426" s="0" t="n">
        <v>3.42</v>
      </c>
      <c r="R1426" s="0" t="n">
        <v>3702</v>
      </c>
      <c r="S1426" s="0" t="n">
        <v>8541</v>
      </c>
      <c r="T1426" s="0" t="n">
        <v>40.6</v>
      </c>
      <c r="U1426" s="0" t="n">
        <v>883</v>
      </c>
      <c r="V1426" s="0" t="n">
        <v>1</v>
      </c>
      <c r="W1426" s="39" t="n">
        <f aca="false">IF(I1426="Male",0,1)</f>
        <v>1</v>
      </c>
      <c r="X1426" s="39" t="n">
        <f aca="false">IF(OR(I1426="DNB",I1426="Dry DNB"),1,0)</f>
        <v>0</v>
      </c>
      <c r="Y1426" s="39" t="n">
        <f aca="false">MATCH(A1426,DATAS,0)</f>
        <v>1</v>
      </c>
      <c r="Z1426" s="39" t="n">
        <f aca="false">IF(AND(E1426&gt;0,OR(AND(B1426&gt;=1,B1426&lt;=6),B1426=10)),1,0)</f>
        <v>1</v>
      </c>
      <c r="AA1426" s="39" t="n">
        <f aca="false">IF(AND(E1426&gt;0,B1426=10),1,0)</f>
        <v>0</v>
      </c>
      <c r="AB1426" s="0" t="str">
        <f aca="false">IF(AND(C1425=C1426,Y1425=Y1426-1),Z1425,"")</f>
        <v/>
      </c>
      <c r="AC1426" s="0" t="str">
        <f aca="false">IF(AND(C1425=C1426,Y1425=Y1426-1),AA1425,"")</f>
        <v/>
      </c>
      <c r="AD1426" s="0" t="str">
        <f aca="false">IF(Y1426=1,"",IF(AND(Z1426=1,AB1426&lt;&gt;1),1,0))</f>
        <v/>
      </c>
      <c r="AE1426" s="0" t="str">
        <f aca="false">IF(Y1426=1,"",IF(AND(AA1426=1,AC1426&lt;&gt;1),1,0))</f>
        <v/>
      </c>
      <c r="AF1426" s="45" t="str">
        <f aca="false">IF(AND(E1426&gt;0,Y1426&lt;1,NOT(AND(C1427=C1426,Y1427=Y1426+1))),INDEX(DATAS,Y1426+1),"")</f>
        <v/>
      </c>
      <c r="AG1426" s="45" t="str">
        <f aca="false">IF(AND(AA1426=1,Y1426&lt;1),IF(AND(C1427=C1426,Y1427=Y1426+1),IF(AA1427=1,"",INDEX(DATAS,Y1426+1)),INDEX(DATAS,Y1426+1)),"")</f>
        <v/>
      </c>
    </row>
    <row r="1427" customFormat="false" ht="15" hidden="false" customHeight="false" outlineLevel="0" collapsed="false">
      <c r="A1427" s="45" t="n">
        <v>46309</v>
      </c>
      <c r="B1427" s="0" t="n">
        <v>4</v>
      </c>
      <c r="C1427" s="0" t="n">
        <v>5552</v>
      </c>
      <c r="D1427" s="0" t="n">
        <v>242</v>
      </c>
      <c r="E1427" s="0" t="n">
        <v>1</v>
      </c>
      <c r="F1427" s="39" t="s">
        <v>898</v>
      </c>
      <c r="G1427" s="0" t="n">
        <v>48.5</v>
      </c>
      <c r="H1427" s="0" t="n">
        <v>49</v>
      </c>
      <c r="I1427" s="39" t="s">
        <v>109</v>
      </c>
      <c r="J1427" s="0" t="n">
        <v>67</v>
      </c>
      <c r="K1427" s="0" t="n">
        <v>67</v>
      </c>
      <c r="L1427" s="0" t="n">
        <v>175</v>
      </c>
      <c r="P1427" s="0" t="n">
        <v>3.53</v>
      </c>
      <c r="Q1427" s="0" t="n">
        <v>3.61</v>
      </c>
      <c r="R1427" s="0" t="n">
        <v>4270</v>
      </c>
      <c r="S1427" s="0" t="n">
        <v>9932</v>
      </c>
      <c r="T1427" s="0" t="n">
        <v>44.2</v>
      </c>
      <c r="U1427" s="0" t="n">
        <v>883</v>
      </c>
      <c r="V1427" s="0" t="n">
        <v>1</v>
      </c>
      <c r="W1427" s="39" t="n">
        <f aca="false">IF(I1427="Male",0,1)</f>
        <v>1</v>
      </c>
      <c r="X1427" s="39" t="n">
        <f aca="false">IF(OR(I1427="DNB",I1427="Dry DNB"),1,0)</f>
        <v>0</v>
      </c>
      <c r="Y1427" s="39" t="n">
        <f aca="false">MATCH(A1427,DATAS,0)</f>
        <v>1</v>
      </c>
      <c r="Z1427" s="39" t="n">
        <f aca="false">IF(AND(E1427&gt;0,OR(AND(B1427&gt;=1,B1427&lt;=6),B1427=10)),1,0)</f>
        <v>1</v>
      </c>
      <c r="AA1427" s="39" t="n">
        <f aca="false">IF(AND(E1427&gt;0,B1427=10),1,0)</f>
        <v>0</v>
      </c>
      <c r="AB1427" s="0" t="str">
        <f aca="false">IF(AND(C1426=C1427,Y1426=Y1427-1),Z1426,"")</f>
        <v/>
      </c>
      <c r="AC1427" s="0" t="str">
        <f aca="false">IF(AND(C1426=C1427,Y1426=Y1427-1),AA1426,"")</f>
        <v/>
      </c>
      <c r="AD1427" s="0" t="str">
        <f aca="false">IF(Y1427=1,"",IF(AND(Z1427=1,AB1427&lt;&gt;1),1,0))</f>
        <v/>
      </c>
      <c r="AE1427" s="0" t="str">
        <f aca="false">IF(Y1427=1,"",IF(AND(AA1427=1,AC1427&lt;&gt;1),1,0))</f>
        <v/>
      </c>
      <c r="AF1427" s="45" t="str">
        <f aca="false">IF(AND(E1427&gt;0,Y1427&lt;1,NOT(AND(C1428=C1427,Y1428=Y1427+1))),INDEX(DATAS,Y1427+1),"")</f>
        <v/>
      </c>
      <c r="AG1427" s="45" t="str">
        <f aca="false">IF(AND(AA1427=1,Y1427&lt;1),IF(AND(C1428=C1427,Y1428=Y1427+1),IF(AA1428=1,"",INDEX(DATAS,Y1427+1)),INDEX(DATAS,Y1427+1)),"")</f>
        <v/>
      </c>
    </row>
    <row r="1428" customFormat="false" ht="15" hidden="false" customHeight="false" outlineLevel="0" collapsed="false">
      <c r="A1428" s="45" t="n">
        <v>46309</v>
      </c>
      <c r="B1428" s="0" t="n">
        <v>4</v>
      </c>
      <c r="C1428" s="0" t="n">
        <v>5553</v>
      </c>
      <c r="D1428" s="0" t="n">
        <v>244</v>
      </c>
      <c r="E1428" s="0" t="n">
        <v>1</v>
      </c>
      <c r="F1428" s="39" t="s">
        <v>898</v>
      </c>
      <c r="G1428" s="0" t="n">
        <v>39.4</v>
      </c>
      <c r="H1428" s="0" t="n">
        <v>39</v>
      </c>
      <c r="I1428" s="39" t="s">
        <v>109</v>
      </c>
      <c r="J1428" s="0" t="n">
        <v>69</v>
      </c>
      <c r="K1428" s="0" t="n">
        <v>69</v>
      </c>
      <c r="L1428" s="0" t="n">
        <v>175</v>
      </c>
      <c r="P1428" s="0" t="n">
        <v>3.9</v>
      </c>
      <c r="Q1428" s="0" t="n">
        <v>3.55</v>
      </c>
      <c r="R1428" s="0" t="n">
        <v>4290</v>
      </c>
      <c r="S1428" s="0" t="n">
        <v>9081</v>
      </c>
      <c r="T1428" s="0" t="n">
        <v>45.95</v>
      </c>
      <c r="U1428" s="0" t="n">
        <v>883</v>
      </c>
      <c r="V1428" s="0" t="n">
        <v>1</v>
      </c>
      <c r="W1428" s="39" t="n">
        <f aca="false">IF(I1428="Male",0,1)</f>
        <v>1</v>
      </c>
      <c r="X1428" s="39" t="n">
        <f aca="false">IF(OR(I1428="DNB",I1428="Dry DNB"),1,0)</f>
        <v>0</v>
      </c>
      <c r="Y1428" s="39" t="n">
        <f aca="false">MATCH(A1428,DATAS,0)</f>
        <v>1</v>
      </c>
      <c r="Z1428" s="39" t="n">
        <f aca="false">IF(AND(E1428&gt;0,OR(AND(B1428&gt;=1,B1428&lt;=6),B1428=10)),1,0)</f>
        <v>1</v>
      </c>
      <c r="AA1428" s="39" t="n">
        <f aca="false">IF(AND(E1428&gt;0,B1428=10),1,0)</f>
        <v>0</v>
      </c>
      <c r="AB1428" s="0" t="str">
        <f aca="false">IF(AND(C1427=C1428,Y1427=Y1428-1),Z1427,"")</f>
        <v/>
      </c>
      <c r="AC1428" s="0" t="str">
        <f aca="false">IF(AND(C1427=C1428,Y1427=Y1428-1),AA1427,"")</f>
        <v/>
      </c>
      <c r="AD1428" s="0" t="str">
        <f aca="false">IF(Y1428=1,"",IF(AND(Z1428=1,AB1428&lt;&gt;1),1,0))</f>
        <v/>
      </c>
      <c r="AE1428" s="0" t="str">
        <f aca="false">IF(Y1428=1,"",IF(AND(AA1428=1,AC1428&lt;&gt;1),1,0))</f>
        <v/>
      </c>
      <c r="AF1428" s="45" t="str">
        <f aca="false">IF(AND(E1428&gt;0,Y1428&lt;1,NOT(AND(C1429=C1428,Y1429=Y1428+1))),INDEX(DATAS,Y1428+1),"")</f>
        <v/>
      </c>
      <c r="AG1428" s="45" t="str">
        <f aca="false">IF(AND(AA1428=1,Y1428&lt;1),IF(AND(C1429=C1428,Y1429=Y1428+1),IF(AA1429=1,"",INDEX(DATAS,Y1428+1)),INDEX(DATAS,Y1428+1)),"")</f>
        <v/>
      </c>
    </row>
    <row r="1429" customFormat="false" ht="15" hidden="false" customHeight="false" outlineLevel="0" collapsed="false">
      <c r="A1429" s="45" t="n">
        <v>46309</v>
      </c>
      <c r="B1429" s="0" t="n">
        <v>4</v>
      </c>
      <c r="C1429" s="0" t="n">
        <v>5554</v>
      </c>
      <c r="D1429" s="0" t="n">
        <v>238</v>
      </c>
      <c r="E1429" s="0" t="n">
        <v>1</v>
      </c>
      <c r="F1429" s="39" t="s">
        <v>898</v>
      </c>
      <c r="G1429" s="0" t="n">
        <v>50.4</v>
      </c>
      <c r="H1429" s="0" t="n">
        <v>49</v>
      </c>
      <c r="I1429" s="39" t="s">
        <v>138</v>
      </c>
      <c r="J1429" s="0" t="n">
        <v>238</v>
      </c>
      <c r="K1429" s="0" t="n">
        <v>70</v>
      </c>
      <c r="P1429" s="0" t="n">
        <v>3.02</v>
      </c>
      <c r="Q1429" s="0" t="n">
        <v>3.57</v>
      </c>
      <c r="R1429" s="0" t="n">
        <v>5271</v>
      </c>
      <c r="S1429" s="0" t="n">
        <v>11186</v>
      </c>
      <c r="T1429" s="0" t="n">
        <v>60</v>
      </c>
      <c r="U1429" s="0" t="n">
        <v>883</v>
      </c>
      <c r="V1429" s="0" t="n">
        <v>5</v>
      </c>
      <c r="W1429" s="39" t="n">
        <f aca="false">IF(I1429="Male",0,1)</f>
        <v>1</v>
      </c>
      <c r="X1429" s="39" t="n">
        <f aca="false">IF(OR(I1429="DNB",I1429="Dry DNB"),1,0)</f>
        <v>0</v>
      </c>
      <c r="Y1429" s="39" t="n">
        <f aca="false">MATCH(A1429,DATAS,0)</f>
        <v>1</v>
      </c>
      <c r="Z1429" s="39" t="n">
        <f aca="false">IF(AND(E1429&gt;0,OR(AND(B1429&gt;=1,B1429&lt;=6),B1429=10)),1,0)</f>
        <v>1</v>
      </c>
      <c r="AA1429" s="39" t="n">
        <f aca="false">IF(AND(E1429&gt;0,B1429=10),1,0)</f>
        <v>0</v>
      </c>
      <c r="AB1429" s="0" t="str">
        <f aca="false">IF(AND(C1428=C1429,Y1428=Y1429-1),Z1428,"")</f>
        <v/>
      </c>
      <c r="AC1429" s="0" t="str">
        <f aca="false">IF(AND(C1428=C1429,Y1428=Y1429-1),AA1428,"")</f>
        <v/>
      </c>
      <c r="AD1429" s="0" t="str">
        <f aca="false">IF(Y1429=1,"",IF(AND(Z1429=1,AB1429&lt;&gt;1),1,0))</f>
        <v/>
      </c>
      <c r="AE1429" s="0" t="str">
        <f aca="false">IF(Y1429=1,"",IF(AND(AA1429=1,AC1429&lt;&gt;1),1,0))</f>
        <v/>
      </c>
      <c r="AF1429" s="45" t="str">
        <f aca="false">IF(AND(E1429&gt;0,Y1429&lt;1,NOT(AND(C1430=C1429,Y1430=Y1429+1))),INDEX(DATAS,Y1429+1),"")</f>
        <v/>
      </c>
      <c r="AG1429" s="45" t="str">
        <f aca="false">IF(AND(AA1429=1,Y1429&lt;1),IF(AND(C1430=C1429,Y1430=Y1429+1),IF(AA1430=1,"",INDEX(DATAS,Y1429+1)),INDEX(DATAS,Y1429+1)),"")</f>
        <v/>
      </c>
    </row>
    <row r="1430" customFormat="false" ht="15" hidden="false" customHeight="false" outlineLevel="0" collapsed="false">
      <c r="A1430" s="45" t="n">
        <v>46309</v>
      </c>
      <c r="B1430" s="0" t="n">
        <v>4</v>
      </c>
      <c r="C1430" s="0" t="n">
        <v>5555</v>
      </c>
      <c r="D1430" s="0" t="n">
        <v>238</v>
      </c>
      <c r="E1430" s="0" t="n">
        <v>1</v>
      </c>
      <c r="F1430" s="39" t="s">
        <v>898</v>
      </c>
      <c r="G1430" s="0" t="n">
        <v>48.5</v>
      </c>
      <c r="H1430" s="0" t="n">
        <v>49</v>
      </c>
      <c r="I1430" s="39" t="s">
        <v>109</v>
      </c>
      <c r="J1430" s="0" t="n">
        <v>87</v>
      </c>
      <c r="K1430" s="0" t="n">
        <v>63</v>
      </c>
      <c r="L1430" s="0" t="n">
        <v>151</v>
      </c>
      <c r="P1430" s="0" t="n">
        <v>3.21</v>
      </c>
      <c r="Q1430" s="0" t="n">
        <v>3.57</v>
      </c>
      <c r="R1430" s="0" t="n">
        <v>4519</v>
      </c>
      <c r="S1430" s="0" t="n">
        <v>9753</v>
      </c>
      <c r="T1430" s="0" t="n">
        <v>52.7</v>
      </c>
      <c r="U1430" s="0" t="n">
        <v>883</v>
      </c>
      <c r="V1430" s="0" t="n">
        <v>2</v>
      </c>
      <c r="W1430" s="39" t="n">
        <f aca="false">IF(I1430="Male",0,1)</f>
        <v>1</v>
      </c>
      <c r="X1430" s="39" t="n">
        <f aca="false">IF(OR(I1430="DNB",I1430="Dry DNB"),1,0)</f>
        <v>0</v>
      </c>
      <c r="Y1430" s="39" t="n">
        <f aca="false">MATCH(A1430,DATAS,0)</f>
        <v>1</v>
      </c>
      <c r="Z1430" s="39" t="n">
        <f aca="false">IF(AND(E1430&gt;0,OR(AND(B1430&gt;=1,B1430&lt;=6),B1430=10)),1,0)</f>
        <v>1</v>
      </c>
      <c r="AA1430" s="39" t="n">
        <f aca="false">IF(AND(E1430&gt;0,B1430=10),1,0)</f>
        <v>0</v>
      </c>
      <c r="AB1430" s="0" t="str">
        <f aca="false">IF(AND(C1429=C1430,Y1429=Y1430-1),Z1429,"")</f>
        <v/>
      </c>
      <c r="AC1430" s="0" t="str">
        <f aca="false">IF(AND(C1429=C1430,Y1429=Y1430-1),AA1429,"")</f>
        <v/>
      </c>
      <c r="AD1430" s="0" t="str">
        <f aca="false">IF(Y1430=1,"",IF(AND(Z1430=1,AB1430&lt;&gt;1),1,0))</f>
        <v/>
      </c>
      <c r="AE1430" s="0" t="str">
        <f aca="false">IF(Y1430=1,"",IF(AND(AA1430=1,AC1430&lt;&gt;1),1,0))</f>
        <v/>
      </c>
      <c r="AF1430" s="45" t="str">
        <f aca="false">IF(AND(E1430&gt;0,Y1430&lt;1,NOT(AND(C1431=C1430,Y1431=Y1430+1))),INDEX(DATAS,Y1430+1),"")</f>
        <v/>
      </c>
      <c r="AG1430" s="45" t="str">
        <f aca="false">IF(AND(AA1430=1,Y1430&lt;1),IF(AND(C1431=C1430,Y1431=Y1430+1),IF(AA1431=1,"",INDEX(DATAS,Y1430+1)),INDEX(DATAS,Y1430+1)),"")</f>
        <v/>
      </c>
    </row>
    <row r="1431" customFormat="false" ht="15" hidden="false" customHeight="false" outlineLevel="0" collapsed="false">
      <c r="A1431" s="45" t="n">
        <v>46309</v>
      </c>
      <c r="B1431" s="0" t="n">
        <v>4</v>
      </c>
      <c r="C1431" s="0" t="n">
        <v>5556</v>
      </c>
      <c r="D1431" s="0" t="n">
        <v>283</v>
      </c>
      <c r="E1431" s="0" t="n">
        <v>1</v>
      </c>
      <c r="F1431" s="39" t="s">
        <v>899</v>
      </c>
      <c r="G1431" s="0" t="n">
        <v>24.7</v>
      </c>
      <c r="H1431" s="0" t="n">
        <v>29</v>
      </c>
      <c r="I1431" s="39" t="s">
        <v>109</v>
      </c>
      <c r="J1431" s="0" t="n">
        <v>66</v>
      </c>
      <c r="K1431" s="0" t="n">
        <v>66</v>
      </c>
      <c r="L1431" s="0" t="n">
        <v>217</v>
      </c>
      <c r="P1431" s="0" t="n">
        <v>3.13</v>
      </c>
      <c r="Q1431" s="0" t="n">
        <v>3.76</v>
      </c>
      <c r="R1431" s="0" t="n">
        <v>2753</v>
      </c>
      <c r="S1431" s="0" t="n">
        <v>6058</v>
      </c>
      <c r="T1431" s="0" t="n">
        <v>30.9</v>
      </c>
      <c r="U1431" s="0" t="n">
        <v>882</v>
      </c>
      <c r="V1431" s="0" t="n">
        <v>1</v>
      </c>
      <c r="W1431" s="39" t="n">
        <f aca="false">IF(I1431="Male",0,1)</f>
        <v>1</v>
      </c>
      <c r="X1431" s="39" t="n">
        <f aca="false">IF(OR(I1431="DNB",I1431="Dry DNB"),1,0)</f>
        <v>0</v>
      </c>
      <c r="Y1431" s="39" t="n">
        <f aca="false">MATCH(A1431,DATAS,0)</f>
        <v>1</v>
      </c>
      <c r="Z1431" s="39" t="n">
        <f aca="false">IF(AND(E1431&gt;0,OR(AND(B1431&gt;=1,B1431&lt;=6),B1431=10)),1,0)</f>
        <v>1</v>
      </c>
      <c r="AA1431" s="39" t="n">
        <f aca="false">IF(AND(E1431&gt;0,B1431=10),1,0)</f>
        <v>0</v>
      </c>
      <c r="AB1431" s="0" t="str">
        <f aca="false">IF(AND(C1430=C1431,Y1430=Y1431-1),Z1430,"")</f>
        <v/>
      </c>
      <c r="AC1431" s="0" t="str">
        <f aca="false">IF(AND(C1430=C1431,Y1430=Y1431-1),AA1430,"")</f>
        <v/>
      </c>
      <c r="AD1431" s="0" t="str">
        <f aca="false">IF(Y1431=1,"",IF(AND(Z1431=1,AB1431&lt;&gt;1),1,0))</f>
        <v/>
      </c>
      <c r="AE1431" s="0" t="str">
        <f aca="false">IF(Y1431=1,"",IF(AND(AA1431=1,AC1431&lt;&gt;1),1,0))</f>
        <v/>
      </c>
      <c r="AF1431" s="45" t="str">
        <f aca="false">IF(AND(E1431&gt;0,Y1431&lt;1,NOT(AND(C1432=C1431,Y1432=Y1431+1))),INDEX(DATAS,Y1431+1),"")</f>
        <v/>
      </c>
      <c r="AG1431" s="45" t="str">
        <f aca="false">IF(AND(AA1431=1,Y1431&lt;1),IF(AND(C1432=C1431,Y1432=Y1431+1),IF(AA1432=1,"",INDEX(DATAS,Y1431+1)),INDEX(DATAS,Y1431+1)),"")</f>
        <v/>
      </c>
    </row>
    <row r="1432" customFormat="false" ht="15" hidden="false" customHeight="false" outlineLevel="0" collapsed="false">
      <c r="A1432" s="45" t="n">
        <v>46309</v>
      </c>
      <c r="B1432" s="0" t="n">
        <v>1</v>
      </c>
      <c r="C1432" s="0" t="n">
        <v>5557</v>
      </c>
      <c r="D1432" s="0" t="n">
        <v>105</v>
      </c>
      <c r="E1432" s="0" t="n">
        <v>1</v>
      </c>
      <c r="F1432" s="39" t="s">
        <v>899</v>
      </c>
      <c r="G1432" s="0" t="n">
        <v>39.3</v>
      </c>
      <c r="H1432" s="0" t="n">
        <v>40</v>
      </c>
      <c r="I1432" s="39" t="s">
        <v>138</v>
      </c>
      <c r="J1432" s="0" t="n">
        <v>105</v>
      </c>
      <c r="K1432" s="0" t="n">
        <v>98</v>
      </c>
      <c r="P1432" s="0" t="n">
        <v>3.59</v>
      </c>
      <c r="Q1432" s="0" t="n">
        <v>3.17</v>
      </c>
      <c r="R1432" s="0" t="n">
        <v>2846</v>
      </c>
      <c r="S1432" s="0" t="n">
        <v>5832</v>
      </c>
      <c r="T1432" s="0" t="n">
        <v>33.6</v>
      </c>
      <c r="U1432" s="0" t="n">
        <v>882</v>
      </c>
      <c r="V1432" s="0" t="n">
        <v>1</v>
      </c>
      <c r="W1432" s="39" t="n">
        <f aca="false">IF(I1432="Male",0,1)</f>
        <v>1</v>
      </c>
      <c r="X1432" s="39" t="n">
        <f aca="false">IF(OR(I1432="DNB",I1432="Dry DNB"),1,0)</f>
        <v>0</v>
      </c>
      <c r="Y1432" s="39" t="n">
        <f aca="false">MATCH(A1432,DATAS,0)</f>
        <v>1</v>
      </c>
      <c r="Z1432" s="39" t="n">
        <f aca="false">IF(AND(E1432&gt;0,OR(AND(B1432&gt;=1,B1432&lt;=6),B1432=10)),1,0)</f>
        <v>1</v>
      </c>
      <c r="AA1432" s="39" t="n">
        <f aca="false">IF(AND(E1432&gt;0,B1432=10),1,0)</f>
        <v>0</v>
      </c>
      <c r="AB1432" s="0" t="str">
        <f aca="false">IF(AND(C1431=C1432,Y1431=Y1432-1),Z1431,"")</f>
        <v/>
      </c>
      <c r="AC1432" s="0" t="str">
        <f aca="false">IF(AND(C1431=C1432,Y1431=Y1432-1),AA1431,"")</f>
        <v/>
      </c>
      <c r="AD1432" s="0" t="str">
        <f aca="false">IF(Y1432=1,"",IF(AND(Z1432=1,AB1432&lt;&gt;1),1,0))</f>
        <v/>
      </c>
      <c r="AE1432" s="0" t="str">
        <f aca="false">IF(Y1432=1,"",IF(AND(AA1432=1,AC1432&lt;&gt;1),1,0))</f>
        <v/>
      </c>
      <c r="AF1432" s="45" t="str">
        <f aca="false">IF(AND(E1432&gt;0,Y1432&lt;1,NOT(AND(C1433=C1432,Y1433=Y1432+1))),INDEX(DATAS,Y1432+1),"")</f>
        <v/>
      </c>
      <c r="AG1432" s="45" t="str">
        <f aca="false">IF(AND(AA1432=1,Y1432&lt;1),IF(AND(C1433=C1432,Y1433=Y1432+1),IF(AA1433=1,"",INDEX(DATAS,Y1432+1)),INDEX(DATAS,Y1432+1)),"")</f>
        <v/>
      </c>
    </row>
    <row r="1433" customFormat="false" ht="15" hidden="false" customHeight="false" outlineLevel="0" collapsed="false">
      <c r="A1433" s="45" t="n">
        <v>46309</v>
      </c>
      <c r="B1433" s="0" t="n">
        <v>4</v>
      </c>
      <c r="C1433" s="0" t="n">
        <v>5558</v>
      </c>
      <c r="D1433" s="0" t="n">
        <v>232</v>
      </c>
      <c r="E1433" s="0" t="n">
        <v>1</v>
      </c>
      <c r="F1433" s="39" t="s">
        <v>899</v>
      </c>
      <c r="G1433" s="0" t="n">
        <v>57.1</v>
      </c>
      <c r="H1433" s="0" t="n">
        <v>53</v>
      </c>
      <c r="I1433" s="39" t="s">
        <v>109</v>
      </c>
      <c r="J1433" s="0" t="n">
        <v>71</v>
      </c>
      <c r="K1433" s="0" t="n">
        <v>71</v>
      </c>
      <c r="L1433" s="0" t="n">
        <v>161</v>
      </c>
      <c r="P1433" s="0" t="n">
        <v>3.38</v>
      </c>
      <c r="Q1433" s="0" t="n">
        <v>3.25</v>
      </c>
      <c r="R1433" s="0" t="n">
        <v>4227</v>
      </c>
      <c r="S1433" s="0" t="n">
        <v>9763</v>
      </c>
      <c r="T1433" s="0" t="n">
        <v>48.2</v>
      </c>
      <c r="U1433" s="0" t="n">
        <v>882</v>
      </c>
      <c r="V1433" s="0" t="n">
        <v>1</v>
      </c>
      <c r="W1433" s="39" t="n">
        <f aca="false">IF(I1433="Male",0,1)</f>
        <v>1</v>
      </c>
      <c r="X1433" s="39" t="n">
        <f aca="false">IF(OR(I1433="DNB",I1433="Dry DNB"),1,0)</f>
        <v>0</v>
      </c>
      <c r="Y1433" s="39" t="n">
        <f aca="false">MATCH(A1433,DATAS,0)</f>
        <v>1</v>
      </c>
      <c r="Z1433" s="39" t="n">
        <f aca="false">IF(AND(E1433&gt;0,OR(AND(B1433&gt;=1,B1433&lt;=6),B1433=10)),1,0)</f>
        <v>1</v>
      </c>
      <c r="AA1433" s="39" t="n">
        <f aca="false">IF(AND(E1433&gt;0,B1433=10),1,0)</f>
        <v>0</v>
      </c>
      <c r="AB1433" s="0" t="str">
        <f aca="false">IF(AND(C1432=C1433,Y1432=Y1433-1),Z1432,"")</f>
        <v/>
      </c>
      <c r="AC1433" s="0" t="str">
        <f aca="false">IF(AND(C1432=C1433,Y1432=Y1433-1),AA1432,"")</f>
        <v/>
      </c>
      <c r="AD1433" s="0" t="str">
        <f aca="false">IF(Y1433=1,"",IF(AND(Z1433=1,AB1433&lt;&gt;1),1,0))</f>
        <v/>
      </c>
      <c r="AE1433" s="0" t="str">
        <f aca="false">IF(Y1433=1,"",IF(AND(AA1433=1,AC1433&lt;&gt;1),1,0))</f>
        <v/>
      </c>
      <c r="AF1433" s="45" t="str">
        <f aca="false">IF(AND(E1433&gt;0,Y1433&lt;1,NOT(AND(C1434=C1433,Y1434=Y1433+1))),INDEX(DATAS,Y1433+1),"")</f>
        <v/>
      </c>
      <c r="AG1433" s="45" t="str">
        <f aca="false">IF(AND(AA1433=1,Y1433&lt;1),IF(AND(C1434=C1433,Y1434=Y1433+1),IF(AA1434=1,"",INDEX(DATAS,Y1433+1)),INDEX(DATAS,Y1433+1)),"")</f>
        <v/>
      </c>
    </row>
    <row r="1434" customFormat="false" ht="15" hidden="false" customHeight="false" outlineLevel="0" collapsed="false">
      <c r="A1434" s="45" t="n">
        <v>46309</v>
      </c>
      <c r="B1434" s="0" t="n">
        <v>6</v>
      </c>
      <c r="C1434" s="0" t="n">
        <v>5559</v>
      </c>
      <c r="D1434" s="0" t="n">
        <v>225</v>
      </c>
      <c r="E1434" s="0" t="n">
        <v>1</v>
      </c>
      <c r="F1434" s="39" t="s">
        <v>900</v>
      </c>
      <c r="G1434" s="0" t="n">
        <v>17.9</v>
      </c>
      <c r="H1434" s="0" t="n">
        <v>22</v>
      </c>
      <c r="I1434" s="39" t="s">
        <v>138</v>
      </c>
      <c r="J1434" s="0" t="n">
        <v>225</v>
      </c>
      <c r="K1434" s="0" t="n">
        <v>92</v>
      </c>
      <c r="P1434" s="0" t="n">
        <v>4.92</v>
      </c>
      <c r="Q1434" s="0" t="n">
        <v>3.68</v>
      </c>
      <c r="R1434" s="0" t="n">
        <v>3471</v>
      </c>
      <c r="S1434" s="0" t="n">
        <v>6240</v>
      </c>
      <c r="T1434" s="0" t="n">
        <v>34.35</v>
      </c>
      <c r="U1434" s="0" t="n">
        <v>881</v>
      </c>
      <c r="V1434" s="0" t="n">
        <v>3</v>
      </c>
      <c r="W1434" s="39" t="n">
        <f aca="false">IF(I1434="Male",0,1)</f>
        <v>1</v>
      </c>
      <c r="X1434" s="39" t="n">
        <f aca="false">IF(OR(I1434="DNB",I1434="Dry DNB"),1,0)</f>
        <v>0</v>
      </c>
      <c r="Y1434" s="39" t="n">
        <f aca="false">MATCH(A1434,DATAS,0)</f>
        <v>1</v>
      </c>
      <c r="Z1434" s="39" t="n">
        <f aca="false">IF(AND(E1434&gt;0,OR(AND(B1434&gt;=1,B1434&lt;=6),B1434=10)),1,0)</f>
        <v>1</v>
      </c>
      <c r="AA1434" s="39" t="n">
        <f aca="false">IF(AND(E1434&gt;0,B1434=10),1,0)</f>
        <v>0</v>
      </c>
      <c r="AB1434" s="0" t="str">
        <f aca="false">IF(AND(C1433=C1434,Y1433=Y1434-1),Z1433,"")</f>
        <v/>
      </c>
      <c r="AC1434" s="0" t="str">
        <f aca="false">IF(AND(C1433=C1434,Y1433=Y1434-1),AA1433,"")</f>
        <v/>
      </c>
      <c r="AD1434" s="0" t="str">
        <f aca="false">IF(Y1434=1,"",IF(AND(Z1434=1,AB1434&lt;&gt;1),1,0))</f>
        <v/>
      </c>
      <c r="AE1434" s="0" t="str">
        <f aca="false">IF(Y1434=1,"",IF(AND(AA1434=1,AC1434&lt;&gt;1),1,0))</f>
        <v/>
      </c>
      <c r="AF1434" s="45" t="str">
        <f aca="false">IF(AND(E1434&gt;0,Y1434&lt;1,NOT(AND(C1435=C1434,Y1435=Y1434+1))),INDEX(DATAS,Y1434+1),"")</f>
        <v/>
      </c>
      <c r="AG1434" s="45" t="str">
        <f aca="false">IF(AND(AA1434=1,Y1434&lt;1),IF(AND(C1435=C1434,Y1435=Y1434+1),IF(AA1435=1,"",INDEX(DATAS,Y1434+1)),INDEX(DATAS,Y1434+1)),"")</f>
        <v/>
      </c>
    </row>
    <row r="1435" customFormat="false" ht="15" hidden="false" customHeight="false" outlineLevel="0" collapsed="false">
      <c r="A1435" s="45" t="n">
        <v>46309</v>
      </c>
      <c r="B1435" s="0" t="n">
        <v>4</v>
      </c>
      <c r="C1435" s="0" t="n">
        <v>5560</v>
      </c>
      <c r="D1435" s="0" t="n">
        <v>237</v>
      </c>
      <c r="E1435" s="0" t="n">
        <v>1</v>
      </c>
      <c r="F1435" s="39" t="s">
        <v>901</v>
      </c>
      <c r="G1435" s="0" t="n">
        <v>44.8</v>
      </c>
      <c r="H1435" s="0" t="n">
        <v>44</v>
      </c>
      <c r="I1435" s="39" t="s">
        <v>109</v>
      </c>
      <c r="J1435" s="0" t="n">
        <v>125</v>
      </c>
      <c r="K1435" s="0" t="n">
        <v>69</v>
      </c>
      <c r="L1435" s="0" t="n">
        <v>112</v>
      </c>
      <c r="P1435" s="0" t="n">
        <v>3.56</v>
      </c>
      <c r="Q1435" s="0" t="n">
        <v>3.6</v>
      </c>
      <c r="R1435" s="0" t="n">
        <v>3875</v>
      </c>
      <c r="S1435" s="0" t="n">
        <v>8123</v>
      </c>
      <c r="T1435" s="0" t="n">
        <v>42.65</v>
      </c>
      <c r="U1435" s="0" t="n">
        <v>879</v>
      </c>
      <c r="V1435" s="0" t="n">
        <v>3</v>
      </c>
      <c r="W1435" s="39" t="n">
        <f aca="false">IF(I1435="Male",0,1)</f>
        <v>1</v>
      </c>
      <c r="X1435" s="39" t="n">
        <f aca="false">IF(OR(I1435="DNB",I1435="Dry DNB"),1,0)</f>
        <v>0</v>
      </c>
      <c r="Y1435" s="39" t="n">
        <f aca="false">MATCH(A1435,DATAS,0)</f>
        <v>1</v>
      </c>
      <c r="Z1435" s="39" t="n">
        <f aca="false">IF(AND(E1435&gt;0,OR(AND(B1435&gt;=1,B1435&lt;=6),B1435=10)),1,0)</f>
        <v>1</v>
      </c>
      <c r="AA1435" s="39" t="n">
        <f aca="false">IF(AND(E1435&gt;0,B1435=10),1,0)</f>
        <v>0</v>
      </c>
      <c r="AB1435" s="0" t="str">
        <f aca="false">IF(AND(C1434=C1435,Y1434=Y1435-1),Z1434,"")</f>
        <v/>
      </c>
      <c r="AC1435" s="0" t="str">
        <f aca="false">IF(AND(C1434=C1435,Y1434=Y1435-1),AA1434,"")</f>
        <v/>
      </c>
      <c r="AD1435" s="0" t="str">
        <f aca="false">IF(Y1435=1,"",IF(AND(Z1435=1,AB1435&lt;&gt;1),1,0))</f>
        <v/>
      </c>
      <c r="AE1435" s="0" t="str">
        <f aca="false">IF(Y1435=1,"",IF(AND(AA1435=1,AC1435&lt;&gt;1),1,0))</f>
        <v/>
      </c>
      <c r="AF1435" s="45" t="str">
        <f aca="false">IF(AND(E1435&gt;0,Y1435&lt;1,NOT(AND(C1436=C1435,Y1436=Y1435+1))),INDEX(DATAS,Y1435+1),"")</f>
        <v/>
      </c>
      <c r="AG1435" s="45" t="str">
        <f aca="false">IF(AND(AA1435=1,Y1435&lt;1),IF(AND(C1436=C1435,Y1436=Y1435+1),IF(AA1436=1,"",INDEX(DATAS,Y1435+1)),INDEX(DATAS,Y1435+1)),"")</f>
        <v/>
      </c>
    </row>
    <row r="1436" customFormat="false" ht="15" hidden="false" customHeight="false" outlineLevel="0" collapsed="false">
      <c r="A1436" s="45" t="n">
        <v>46309</v>
      </c>
      <c r="B1436" s="0" t="n">
        <v>4</v>
      </c>
      <c r="C1436" s="0" t="n">
        <v>5561</v>
      </c>
      <c r="D1436" s="0" t="n">
        <v>237</v>
      </c>
      <c r="E1436" s="0" t="n">
        <v>1</v>
      </c>
      <c r="F1436" s="39" t="s">
        <v>901</v>
      </c>
      <c r="G1436" s="0" t="n">
        <v>43.2</v>
      </c>
      <c r="H1436" s="0" t="n">
        <v>46</v>
      </c>
      <c r="I1436" s="39" t="s">
        <v>138</v>
      </c>
      <c r="J1436" s="0" t="n">
        <v>237</v>
      </c>
      <c r="K1436" s="0" t="n">
        <v>69</v>
      </c>
      <c r="P1436" s="0" t="n">
        <v>3.85</v>
      </c>
      <c r="Q1436" s="0" t="n">
        <v>3.73</v>
      </c>
      <c r="R1436" s="0" t="n">
        <v>3973</v>
      </c>
      <c r="S1436" s="0" t="n">
        <v>8582</v>
      </c>
      <c r="T1436" s="0" t="n">
        <v>45.95</v>
      </c>
      <c r="U1436" s="0" t="n">
        <v>879</v>
      </c>
      <c r="V1436" s="0" t="n">
        <v>5</v>
      </c>
      <c r="W1436" s="39" t="n">
        <f aca="false">IF(I1436="Male",0,1)</f>
        <v>1</v>
      </c>
      <c r="X1436" s="39" t="n">
        <f aca="false">IF(OR(I1436="DNB",I1436="Dry DNB"),1,0)</f>
        <v>0</v>
      </c>
      <c r="Y1436" s="39" t="n">
        <f aca="false">MATCH(A1436,DATAS,0)</f>
        <v>1</v>
      </c>
      <c r="Z1436" s="39" t="n">
        <f aca="false">IF(AND(E1436&gt;0,OR(AND(B1436&gt;=1,B1436&lt;=6),B1436=10)),1,0)</f>
        <v>1</v>
      </c>
      <c r="AA1436" s="39" t="n">
        <f aca="false">IF(AND(E1436&gt;0,B1436=10),1,0)</f>
        <v>0</v>
      </c>
      <c r="AB1436" s="0" t="str">
        <f aca="false">IF(AND(C1435=C1436,Y1435=Y1436-1),Z1435,"")</f>
        <v/>
      </c>
      <c r="AC1436" s="0" t="str">
        <f aca="false">IF(AND(C1435=C1436,Y1435=Y1436-1),AA1435,"")</f>
        <v/>
      </c>
      <c r="AD1436" s="0" t="str">
        <f aca="false">IF(Y1436=1,"",IF(AND(Z1436=1,AB1436&lt;&gt;1),1,0))</f>
        <v/>
      </c>
      <c r="AE1436" s="0" t="str">
        <f aca="false">IF(Y1436=1,"",IF(AND(AA1436=1,AC1436&lt;&gt;1),1,0))</f>
        <v/>
      </c>
      <c r="AF1436" s="45" t="str">
        <f aca="false">IF(AND(E1436&gt;0,Y1436&lt;1,NOT(AND(C1437=C1436,Y1437=Y1436+1))),INDEX(DATAS,Y1436+1),"")</f>
        <v/>
      </c>
      <c r="AG1436" s="45" t="str">
        <f aca="false">IF(AND(AA1436=1,Y1436&lt;1),IF(AND(C1437=C1436,Y1437=Y1436+1),IF(AA1437=1,"",INDEX(DATAS,Y1436+1)),INDEX(DATAS,Y1436+1)),"")</f>
        <v/>
      </c>
    </row>
    <row r="1437" customFormat="false" ht="15" hidden="false" customHeight="false" outlineLevel="0" collapsed="false">
      <c r="A1437" s="45" t="n">
        <v>46309</v>
      </c>
      <c r="B1437" s="0" t="n">
        <v>4</v>
      </c>
      <c r="C1437" s="0" t="n">
        <v>5562</v>
      </c>
      <c r="D1437" s="0" t="n">
        <v>240</v>
      </c>
      <c r="E1437" s="0" t="n">
        <v>1</v>
      </c>
      <c r="F1437" s="39" t="s">
        <v>901</v>
      </c>
      <c r="G1437" s="0" t="n">
        <v>52.3</v>
      </c>
      <c r="H1437" s="0" t="n">
        <v>50</v>
      </c>
      <c r="I1437" s="39" t="s">
        <v>109</v>
      </c>
      <c r="J1437" s="0" t="n">
        <v>65</v>
      </c>
      <c r="K1437" s="0" t="n">
        <v>65</v>
      </c>
      <c r="L1437" s="0" t="n">
        <v>175</v>
      </c>
      <c r="P1437" s="0" t="n">
        <v>3.88</v>
      </c>
      <c r="Q1437" s="0" t="n">
        <v>3.36</v>
      </c>
      <c r="R1437" s="0" t="n">
        <v>4328</v>
      </c>
      <c r="S1437" s="0" t="n">
        <v>10082</v>
      </c>
      <c r="T1437" s="0" t="n">
        <v>52.3</v>
      </c>
      <c r="U1437" s="0" t="n">
        <v>879</v>
      </c>
      <c r="V1437" s="0" t="n">
        <v>1</v>
      </c>
      <c r="W1437" s="39" t="n">
        <f aca="false">IF(I1437="Male",0,1)</f>
        <v>1</v>
      </c>
      <c r="X1437" s="39" t="n">
        <f aca="false">IF(OR(I1437="DNB",I1437="Dry DNB"),1,0)</f>
        <v>0</v>
      </c>
      <c r="Y1437" s="39" t="n">
        <f aca="false">MATCH(A1437,DATAS,0)</f>
        <v>1</v>
      </c>
      <c r="Z1437" s="39" t="n">
        <f aca="false">IF(AND(E1437&gt;0,OR(AND(B1437&gt;=1,B1437&lt;=6),B1437=10)),1,0)</f>
        <v>1</v>
      </c>
      <c r="AA1437" s="39" t="n">
        <f aca="false">IF(AND(E1437&gt;0,B1437=10),1,0)</f>
        <v>0</v>
      </c>
      <c r="AB1437" s="0" t="str">
        <f aca="false">IF(AND(C1436=C1437,Y1436=Y1437-1),Z1436,"")</f>
        <v/>
      </c>
      <c r="AC1437" s="0" t="str">
        <f aca="false">IF(AND(C1436=C1437,Y1436=Y1437-1),AA1436,"")</f>
        <v/>
      </c>
      <c r="AD1437" s="0" t="str">
        <f aca="false">IF(Y1437=1,"",IF(AND(Z1437=1,AB1437&lt;&gt;1),1,0))</f>
        <v/>
      </c>
      <c r="AE1437" s="0" t="str">
        <f aca="false">IF(Y1437=1,"",IF(AND(AA1437=1,AC1437&lt;&gt;1),1,0))</f>
        <v/>
      </c>
      <c r="AF1437" s="45" t="str">
        <f aca="false">IF(AND(E1437&gt;0,Y1437&lt;1,NOT(AND(C1438=C1437,Y1438=Y1437+1))),INDEX(DATAS,Y1437+1),"")</f>
        <v/>
      </c>
      <c r="AG1437" s="45" t="str">
        <f aca="false">IF(AND(AA1437=1,Y1437&lt;1),IF(AND(C1438=C1437,Y1438=Y1437+1),IF(AA1438=1,"",INDEX(DATAS,Y1437+1)),INDEX(DATAS,Y1437+1)),"")</f>
        <v/>
      </c>
    </row>
    <row r="1438" customFormat="false" ht="15" hidden="false" customHeight="false" outlineLevel="0" collapsed="false">
      <c r="A1438" s="45" t="n">
        <v>46309</v>
      </c>
      <c r="B1438" s="0" t="n">
        <v>4</v>
      </c>
      <c r="C1438" s="0" t="n">
        <v>5563</v>
      </c>
      <c r="D1438" s="0" t="n">
        <v>171</v>
      </c>
      <c r="E1438" s="0" t="n">
        <v>1</v>
      </c>
      <c r="F1438" s="39" t="s">
        <v>901</v>
      </c>
      <c r="G1438" s="0" t="n">
        <v>54.9</v>
      </c>
      <c r="H1438" s="0" t="n">
        <v>56</v>
      </c>
      <c r="I1438" s="39" t="s">
        <v>109</v>
      </c>
      <c r="J1438" s="0" t="n">
        <v>122</v>
      </c>
      <c r="K1438" s="0" t="n">
        <v>66</v>
      </c>
      <c r="L1438" s="0" t="n">
        <v>49</v>
      </c>
      <c r="P1438" s="0" t="n">
        <v>3.93</v>
      </c>
      <c r="Q1438" s="0" t="n">
        <v>3.21</v>
      </c>
      <c r="R1438" s="0" t="n">
        <v>4542</v>
      </c>
      <c r="S1438" s="0" t="n">
        <v>9903</v>
      </c>
      <c r="T1438" s="0" t="n">
        <v>49.4</v>
      </c>
      <c r="U1438" s="0" t="n">
        <v>879</v>
      </c>
      <c r="V1438" s="0" t="n">
        <v>2</v>
      </c>
      <c r="W1438" s="39" t="n">
        <f aca="false">IF(I1438="Male",0,1)</f>
        <v>1</v>
      </c>
      <c r="X1438" s="39" t="n">
        <f aca="false">IF(OR(I1438="DNB",I1438="Dry DNB"),1,0)</f>
        <v>0</v>
      </c>
      <c r="Y1438" s="39" t="n">
        <f aca="false">MATCH(A1438,DATAS,0)</f>
        <v>1</v>
      </c>
      <c r="Z1438" s="39" t="n">
        <f aca="false">IF(AND(E1438&gt;0,OR(AND(B1438&gt;=1,B1438&lt;=6),B1438=10)),1,0)</f>
        <v>1</v>
      </c>
      <c r="AA1438" s="39" t="n">
        <f aca="false">IF(AND(E1438&gt;0,B1438=10),1,0)</f>
        <v>0</v>
      </c>
      <c r="AB1438" s="0" t="str">
        <f aca="false">IF(AND(C1437=C1438,Y1437=Y1438-1),Z1437,"")</f>
        <v/>
      </c>
      <c r="AC1438" s="0" t="str">
        <f aca="false">IF(AND(C1437=C1438,Y1437=Y1438-1),AA1437,"")</f>
        <v/>
      </c>
      <c r="AD1438" s="0" t="str">
        <f aca="false">IF(Y1438=1,"",IF(AND(Z1438=1,AB1438&lt;&gt;1),1,0))</f>
        <v/>
      </c>
      <c r="AE1438" s="0" t="str">
        <f aca="false">IF(Y1438=1,"",IF(AND(AA1438=1,AC1438&lt;&gt;1),1,0))</f>
        <v/>
      </c>
      <c r="AF1438" s="45" t="str">
        <f aca="false">IF(AND(E1438&gt;0,Y1438&lt;1,NOT(AND(C1439=C1438,Y1439=Y1438+1))),INDEX(DATAS,Y1438+1),"")</f>
        <v/>
      </c>
      <c r="AG1438" s="45" t="str">
        <f aca="false">IF(AND(AA1438=1,Y1438&lt;1),IF(AND(C1439=C1438,Y1439=Y1438+1),IF(AA1439=1,"",INDEX(DATAS,Y1438+1)),INDEX(DATAS,Y1438+1)),"")</f>
        <v/>
      </c>
    </row>
    <row r="1439" customFormat="false" ht="15" hidden="false" customHeight="false" outlineLevel="0" collapsed="false">
      <c r="A1439" s="45" t="n">
        <v>46309</v>
      </c>
      <c r="B1439" s="0" t="n">
        <v>4</v>
      </c>
      <c r="C1439" s="0" t="n">
        <v>5564</v>
      </c>
      <c r="D1439" s="0" t="n">
        <v>236</v>
      </c>
      <c r="E1439" s="0" t="n">
        <v>1</v>
      </c>
      <c r="F1439" s="39" t="s">
        <v>901</v>
      </c>
      <c r="G1439" s="0" t="n">
        <v>42.1</v>
      </c>
      <c r="H1439" s="0" t="n">
        <v>42</v>
      </c>
      <c r="I1439" s="39" t="s">
        <v>109</v>
      </c>
      <c r="J1439" s="0" t="n">
        <v>124</v>
      </c>
      <c r="K1439" s="0" t="n">
        <v>68</v>
      </c>
      <c r="L1439" s="0" t="n">
        <v>112</v>
      </c>
      <c r="P1439" s="0" t="n">
        <v>3.08</v>
      </c>
      <c r="Q1439" s="0" t="n">
        <v>3.43</v>
      </c>
      <c r="R1439" s="0" t="n">
        <v>3221</v>
      </c>
      <c r="S1439" s="0" t="n">
        <v>8498</v>
      </c>
      <c r="T1439" s="0" t="n">
        <v>38.75</v>
      </c>
      <c r="U1439" s="0" t="n">
        <v>879</v>
      </c>
      <c r="V1439" s="0" t="n">
        <v>3</v>
      </c>
      <c r="W1439" s="39" t="n">
        <f aca="false">IF(I1439="Male",0,1)</f>
        <v>1</v>
      </c>
      <c r="X1439" s="39" t="n">
        <f aca="false">IF(OR(I1439="DNB",I1439="Dry DNB"),1,0)</f>
        <v>0</v>
      </c>
      <c r="Y1439" s="39" t="n">
        <f aca="false">MATCH(A1439,DATAS,0)</f>
        <v>1</v>
      </c>
      <c r="Z1439" s="39" t="n">
        <f aca="false">IF(AND(E1439&gt;0,OR(AND(B1439&gt;=1,B1439&lt;=6),B1439=10)),1,0)</f>
        <v>1</v>
      </c>
      <c r="AA1439" s="39" t="n">
        <f aca="false">IF(AND(E1439&gt;0,B1439=10),1,0)</f>
        <v>0</v>
      </c>
      <c r="AB1439" s="0" t="str">
        <f aca="false">IF(AND(C1438=C1439,Y1438=Y1439-1),Z1438,"")</f>
        <v/>
      </c>
      <c r="AC1439" s="0" t="str">
        <f aca="false">IF(AND(C1438=C1439,Y1438=Y1439-1),AA1438,"")</f>
        <v/>
      </c>
      <c r="AD1439" s="0" t="str">
        <f aca="false">IF(Y1439=1,"",IF(AND(Z1439=1,AB1439&lt;&gt;1),1,0))</f>
        <v/>
      </c>
      <c r="AE1439" s="0" t="str">
        <f aca="false">IF(Y1439=1,"",IF(AND(AA1439=1,AC1439&lt;&gt;1),1,0))</f>
        <v/>
      </c>
      <c r="AF1439" s="45" t="str">
        <f aca="false">IF(AND(E1439&gt;0,Y1439&lt;1,NOT(AND(C1440=C1439,Y1440=Y1439+1))),INDEX(DATAS,Y1439+1),"")</f>
        <v/>
      </c>
      <c r="AG1439" s="45" t="str">
        <f aca="false">IF(AND(AA1439=1,Y1439&lt;1),IF(AND(C1440=C1439,Y1440=Y1439+1),IF(AA1440=1,"",INDEX(DATAS,Y1439+1)),INDEX(DATAS,Y1439+1)),"")</f>
        <v/>
      </c>
    </row>
    <row r="1440" customFormat="false" ht="15" hidden="false" customHeight="false" outlineLevel="0" collapsed="false">
      <c r="A1440" s="45" t="n">
        <v>46309</v>
      </c>
      <c r="B1440" s="0" t="n">
        <v>4</v>
      </c>
      <c r="C1440" s="0" t="n">
        <v>5565</v>
      </c>
      <c r="D1440" s="0" t="n">
        <v>132</v>
      </c>
      <c r="E1440" s="0" t="n">
        <v>1</v>
      </c>
      <c r="F1440" s="39" t="s">
        <v>901</v>
      </c>
      <c r="G1440" s="0" t="n">
        <v>52.6</v>
      </c>
      <c r="H1440" s="0" t="n">
        <v>54</v>
      </c>
      <c r="I1440" s="39" t="s">
        <v>138</v>
      </c>
      <c r="J1440" s="0" t="n">
        <v>132</v>
      </c>
      <c r="K1440" s="0" t="n">
        <v>69</v>
      </c>
      <c r="P1440" s="0" t="n">
        <v>3.42</v>
      </c>
      <c r="Q1440" s="0" t="n">
        <v>3.27</v>
      </c>
      <c r="R1440" s="0" t="n">
        <v>4645</v>
      </c>
      <c r="S1440" s="0" t="n">
        <v>9752</v>
      </c>
      <c r="T1440" s="0" t="n">
        <v>47.5</v>
      </c>
      <c r="U1440" s="0" t="n">
        <v>879</v>
      </c>
      <c r="V1440" s="0" t="n">
        <v>2</v>
      </c>
      <c r="W1440" s="39" t="n">
        <f aca="false">IF(I1440="Male",0,1)</f>
        <v>1</v>
      </c>
      <c r="X1440" s="39" t="n">
        <f aca="false">IF(OR(I1440="DNB",I1440="Dry DNB"),1,0)</f>
        <v>0</v>
      </c>
      <c r="Y1440" s="39" t="n">
        <f aca="false">MATCH(A1440,DATAS,0)</f>
        <v>1</v>
      </c>
      <c r="Z1440" s="39" t="n">
        <f aca="false">IF(AND(E1440&gt;0,OR(AND(B1440&gt;=1,B1440&lt;=6),B1440=10)),1,0)</f>
        <v>1</v>
      </c>
      <c r="AA1440" s="39" t="n">
        <f aca="false">IF(AND(E1440&gt;0,B1440=10),1,0)</f>
        <v>0</v>
      </c>
      <c r="AB1440" s="0" t="str">
        <f aca="false">IF(AND(C1439=C1440,Y1439=Y1440-1),Z1439,"")</f>
        <v/>
      </c>
      <c r="AC1440" s="0" t="str">
        <f aca="false">IF(AND(C1439=C1440,Y1439=Y1440-1),AA1439,"")</f>
        <v/>
      </c>
      <c r="AD1440" s="0" t="str">
        <f aca="false">IF(Y1440=1,"",IF(AND(Z1440=1,AB1440&lt;&gt;1),1,0))</f>
        <v/>
      </c>
      <c r="AE1440" s="0" t="str">
        <f aca="false">IF(Y1440=1,"",IF(AND(AA1440=1,AC1440&lt;&gt;1),1,0))</f>
        <v/>
      </c>
      <c r="AF1440" s="45" t="str">
        <f aca="false">IF(AND(E1440&gt;0,Y1440&lt;1,NOT(AND(C1441=C1440,Y1441=Y1440+1))),INDEX(DATAS,Y1440+1),"")</f>
        <v/>
      </c>
      <c r="AG1440" s="45" t="str">
        <f aca="false">IF(AND(AA1440=1,Y1440&lt;1),IF(AND(C1441=C1440,Y1441=Y1440+1),IF(AA1441=1,"",INDEX(DATAS,Y1440+1)),INDEX(DATAS,Y1440+1)),"")</f>
        <v/>
      </c>
    </row>
    <row r="1441" customFormat="false" ht="15" hidden="false" customHeight="false" outlineLevel="0" collapsed="false">
      <c r="A1441" s="45" t="n">
        <v>46309</v>
      </c>
      <c r="B1441" s="0" t="n">
        <v>4</v>
      </c>
      <c r="C1441" s="0" t="n">
        <v>5566</v>
      </c>
      <c r="D1441" s="0" t="n">
        <v>205</v>
      </c>
      <c r="E1441" s="0" t="n">
        <v>1</v>
      </c>
      <c r="F1441" s="39" t="s">
        <v>901</v>
      </c>
      <c r="G1441" s="0" t="n">
        <v>48.9</v>
      </c>
      <c r="H1441" s="0" t="n">
        <v>48</v>
      </c>
      <c r="I1441" s="39" t="s">
        <v>138</v>
      </c>
      <c r="J1441" s="0" t="n">
        <v>205</v>
      </c>
      <c r="K1441" s="0" t="n">
        <v>65</v>
      </c>
      <c r="P1441" s="0" t="n">
        <v>3.29</v>
      </c>
      <c r="Q1441" s="0" t="n">
        <v>3.24</v>
      </c>
      <c r="R1441" s="0" t="n">
        <v>4790</v>
      </c>
      <c r="S1441" s="0" t="n">
        <v>9421</v>
      </c>
      <c r="T1441" s="0" t="n">
        <v>55.2</v>
      </c>
      <c r="U1441" s="0" t="n">
        <v>879</v>
      </c>
      <c r="V1441" s="0" t="n">
        <v>4</v>
      </c>
      <c r="W1441" s="39" t="n">
        <f aca="false">IF(I1441="Male",0,1)</f>
        <v>1</v>
      </c>
      <c r="X1441" s="39" t="n">
        <f aca="false">IF(OR(I1441="DNB",I1441="Dry DNB"),1,0)</f>
        <v>0</v>
      </c>
      <c r="Y1441" s="39" t="n">
        <f aca="false">MATCH(A1441,DATAS,0)</f>
        <v>1</v>
      </c>
      <c r="Z1441" s="39" t="n">
        <f aca="false">IF(AND(E1441&gt;0,OR(AND(B1441&gt;=1,B1441&lt;=6),B1441=10)),1,0)</f>
        <v>1</v>
      </c>
      <c r="AA1441" s="39" t="n">
        <f aca="false">IF(AND(E1441&gt;0,B1441=10),1,0)</f>
        <v>0</v>
      </c>
      <c r="AB1441" s="0" t="str">
        <f aca="false">IF(AND(C1440=C1441,Y1440=Y1441-1),Z1440,"")</f>
        <v/>
      </c>
      <c r="AC1441" s="0" t="str">
        <f aca="false">IF(AND(C1440=C1441,Y1440=Y1441-1),AA1440,"")</f>
        <v/>
      </c>
      <c r="AD1441" s="0" t="str">
        <f aca="false">IF(Y1441=1,"",IF(AND(Z1441=1,AB1441&lt;&gt;1),1,0))</f>
        <v/>
      </c>
      <c r="AE1441" s="0" t="str">
        <f aca="false">IF(Y1441=1,"",IF(AND(AA1441=1,AC1441&lt;&gt;1),1,0))</f>
        <v/>
      </c>
      <c r="AF1441" s="45" t="str">
        <f aca="false">IF(AND(E1441&gt;0,Y1441&lt;1,NOT(AND(C1442=C1441,Y1442=Y1441+1))),INDEX(DATAS,Y1441+1),"")</f>
        <v/>
      </c>
      <c r="AG1441" s="45" t="str">
        <f aca="false">IF(AND(AA1441=1,Y1441&lt;1),IF(AND(C1442=C1441,Y1442=Y1441+1),IF(AA1442=1,"",INDEX(DATAS,Y1441+1)),INDEX(DATAS,Y1441+1)),"")</f>
        <v/>
      </c>
    </row>
    <row r="1442" customFormat="false" ht="15" hidden="false" customHeight="false" outlineLevel="0" collapsed="false">
      <c r="A1442" s="45" t="n">
        <v>46309</v>
      </c>
      <c r="B1442" s="0" t="n">
        <v>4</v>
      </c>
      <c r="C1442" s="0" t="n">
        <v>5567</v>
      </c>
      <c r="D1442" s="0" t="n">
        <v>235</v>
      </c>
      <c r="E1442" s="0" t="n">
        <v>1</v>
      </c>
      <c r="F1442" s="39" t="s">
        <v>901</v>
      </c>
      <c r="G1442" s="0" t="n">
        <v>39.2</v>
      </c>
      <c r="H1442" s="0" t="n">
        <v>44</v>
      </c>
      <c r="I1442" s="39" t="s">
        <v>109</v>
      </c>
      <c r="J1442" s="0" t="n">
        <v>67</v>
      </c>
      <c r="K1442" s="0" t="n">
        <v>67</v>
      </c>
      <c r="L1442" s="0" t="n">
        <v>168</v>
      </c>
      <c r="P1442" s="0" t="n">
        <v>3.47</v>
      </c>
      <c r="Q1442" s="0" t="n">
        <v>3.55</v>
      </c>
      <c r="R1442" s="0" t="n">
        <v>4274</v>
      </c>
      <c r="S1442" s="0" t="n">
        <v>9814</v>
      </c>
      <c r="T1442" s="0" t="n">
        <v>44.85</v>
      </c>
      <c r="U1442" s="0" t="n">
        <v>879</v>
      </c>
      <c r="V1442" s="0" t="n">
        <v>1</v>
      </c>
      <c r="W1442" s="39" t="n">
        <f aca="false">IF(I1442="Male",0,1)</f>
        <v>1</v>
      </c>
      <c r="X1442" s="39" t="n">
        <f aca="false">IF(OR(I1442="DNB",I1442="Dry DNB"),1,0)</f>
        <v>0</v>
      </c>
      <c r="Y1442" s="39" t="n">
        <f aca="false">MATCH(A1442,DATAS,0)</f>
        <v>1</v>
      </c>
      <c r="Z1442" s="39" t="n">
        <f aca="false">IF(AND(E1442&gt;0,OR(AND(B1442&gt;=1,B1442&lt;=6),B1442=10)),1,0)</f>
        <v>1</v>
      </c>
      <c r="AA1442" s="39" t="n">
        <f aca="false">IF(AND(E1442&gt;0,B1442=10),1,0)</f>
        <v>0</v>
      </c>
      <c r="AB1442" s="0" t="str">
        <f aca="false">IF(AND(C1441=C1442,Y1441=Y1442-1),Z1441,"")</f>
        <v/>
      </c>
      <c r="AC1442" s="0" t="str">
        <f aca="false">IF(AND(C1441=C1442,Y1441=Y1442-1),AA1441,"")</f>
        <v/>
      </c>
      <c r="AD1442" s="0" t="str">
        <f aca="false">IF(Y1442=1,"",IF(AND(Z1442=1,AB1442&lt;&gt;1),1,0))</f>
        <v/>
      </c>
      <c r="AE1442" s="0" t="str">
        <f aca="false">IF(Y1442=1,"",IF(AND(AA1442=1,AC1442&lt;&gt;1),1,0))</f>
        <v/>
      </c>
      <c r="AF1442" s="45" t="str">
        <f aca="false">IF(AND(E1442&gt;0,Y1442&lt;1,NOT(AND(C1443=C1442,Y1443=Y1442+1))),INDEX(DATAS,Y1442+1),"")</f>
        <v/>
      </c>
      <c r="AG1442" s="45" t="str">
        <f aca="false">IF(AND(AA1442=1,Y1442&lt;1),IF(AND(C1443=C1442,Y1443=Y1442+1),IF(AA1443=1,"",INDEX(DATAS,Y1442+1)),INDEX(DATAS,Y1442+1)),"")</f>
        <v/>
      </c>
    </row>
    <row r="1443" customFormat="false" ht="15" hidden="false" customHeight="false" outlineLevel="0" collapsed="false">
      <c r="A1443" s="45" t="n">
        <v>46309</v>
      </c>
      <c r="B1443" s="0" t="n">
        <v>6</v>
      </c>
      <c r="C1443" s="0" t="n">
        <v>5568</v>
      </c>
      <c r="D1443" s="0" t="n">
        <v>140</v>
      </c>
      <c r="E1443" s="0" t="n">
        <v>1</v>
      </c>
      <c r="F1443" s="39" t="s">
        <v>901</v>
      </c>
      <c r="G1443" s="0" t="n">
        <v>34.7</v>
      </c>
      <c r="H1443" s="0" t="n">
        <v>31</v>
      </c>
      <c r="I1443" s="39" t="s">
        <v>138</v>
      </c>
      <c r="J1443" s="0" t="n">
        <v>140</v>
      </c>
      <c r="K1443" s="0" t="n">
        <v>77</v>
      </c>
      <c r="P1443" s="0" t="n">
        <v>3.93</v>
      </c>
      <c r="Q1443" s="0" t="n">
        <v>3.28</v>
      </c>
      <c r="R1443" s="0" t="n">
        <v>3574</v>
      </c>
      <c r="S1443" s="0" t="n">
        <v>7818</v>
      </c>
      <c r="T1443" s="0" t="n">
        <v>37.65</v>
      </c>
      <c r="U1443" s="0" t="n">
        <v>879</v>
      </c>
      <c r="V1443" s="0" t="n">
        <v>2</v>
      </c>
      <c r="W1443" s="39" t="n">
        <f aca="false">IF(I1443="Male",0,1)</f>
        <v>1</v>
      </c>
      <c r="X1443" s="39" t="n">
        <f aca="false">IF(OR(I1443="DNB",I1443="Dry DNB"),1,0)</f>
        <v>0</v>
      </c>
      <c r="Y1443" s="39" t="n">
        <f aca="false">MATCH(A1443,DATAS,0)</f>
        <v>1</v>
      </c>
      <c r="Z1443" s="39" t="n">
        <f aca="false">IF(AND(E1443&gt;0,OR(AND(B1443&gt;=1,B1443&lt;=6),B1443=10)),1,0)</f>
        <v>1</v>
      </c>
      <c r="AA1443" s="39" t="n">
        <f aca="false">IF(AND(E1443&gt;0,B1443=10),1,0)</f>
        <v>0</v>
      </c>
      <c r="AB1443" s="0" t="str">
        <f aca="false">IF(AND(C1442=C1443,Y1442=Y1443-1),Z1442,"")</f>
        <v/>
      </c>
      <c r="AC1443" s="0" t="str">
        <f aca="false">IF(AND(C1442=C1443,Y1442=Y1443-1),AA1442,"")</f>
        <v/>
      </c>
      <c r="AD1443" s="0" t="str">
        <f aca="false">IF(Y1443=1,"",IF(AND(Z1443=1,AB1443&lt;&gt;1),1,0))</f>
        <v/>
      </c>
      <c r="AE1443" s="0" t="str">
        <f aca="false">IF(Y1443=1,"",IF(AND(AA1443=1,AC1443&lt;&gt;1),1,0))</f>
        <v/>
      </c>
      <c r="AF1443" s="45" t="str">
        <f aca="false">IF(AND(E1443&gt;0,Y1443&lt;1,NOT(AND(C1444=C1443,Y1444=Y1443+1))),INDEX(DATAS,Y1443+1),"")</f>
        <v/>
      </c>
      <c r="AG1443" s="45" t="str">
        <f aca="false">IF(AND(AA1443=1,Y1443&lt;1),IF(AND(C1444=C1443,Y1444=Y1443+1),IF(AA1444=1,"",INDEX(DATAS,Y1443+1)),INDEX(DATAS,Y1443+1)),"")</f>
        <v/>
      </c>
    </row>
    <row r="1444" customFormat="false" ht="15" hidden="false" customHeight="false" outlineLevel="0" collapsed="false">
      <c r="A1444" s="45" t="n">
        <v>46309</v>
      </c>
      <c r="B1444" s="0" t="n">
        <v>4</v>
      </c>
      <c r="C1444" s="0" t="n">
        <v>5569</v>
      </c>
      <c r="D1444" s="0" t="n">
        <v>172</v>
      </c>
      <c r="E1444" s="0" t="n">
        <v>1</v>
      </c>
      <c r="F1444" s="39" t="s">
        <v>901</v>
      </c>
      <c r="G1444" s="0" t="n">
        <v>46.1</v>
      </c>
      <c r="H1444" s="0" t="n">
        <v>47</v>
      </c>
      <c r="I1444" s="39" t="s">
        <v>109</v>
      </c>
      <c r="J1444" s="0" t="n">
        <v>109</v>
      </c>
      <c r="K1444" s="0" t="n">
        <v>67</v>
      </c>
      <c r="L1444" s="0" t="n">
        <v>63</v>
      </c>
      <c r="P1444" s="0" t="n">
        <v>3.73</v>
      </c>
      <c r="Q1444" s="0" t="n">
        <v>3.45</v>
      </c>
      <c r="R1444" s="0" t="n">
        <v>3596</v>
      </c>
      <c r="S1444" s="0" t="n">
        <v>8077</v>
      </c>
      <c r="T1444" s="0" t="n">
        <v>42</v>
      </c>
      <c r="U1444" s="0" t="n">
        <v>879</v>
      </c>
      <c r="V1444" s="0" t="n">
        <v>2</v>
      </c>
      <c r="W1444" s="39" t="n">
        <f aca="false">IF(I1444="Male",0,1)</f>
        <v>1</v>
      </c>
      <c r="X1444" s="39" t="n">
        <f aca="false">IF(OR(I1444="DNB",I1444="Dry DNB"),1,0)</f>
        <v>0</v>
      </c>
      <c r="Y1444" s="39" t="n">
        <f aca="false">MATCH(A1444,DATAS,0)</f>
        <v>1</v>
      </c>
      <c r="Z1444" s="39" t="n">
        <f aca="false">IF(AND(E1444&gt;0,OR(AND(B1444&gt;=1,B1444&lt;=6),B1444=10)),1,0)</f>
        <v>1</v>
      </c>
      <c r="AA1444" s="39" t="n">
        <f aca="false">IF(AND(E1444&gt;0,B1444=10),1,0)</f>
        <v>0</v>
      </c>
      <c r="AB1444" s="0" t="str">
        <f aca="false">IF(AND(C1443=C1444,Y1443=Y1444-1),Z1443,"")</f>
        <v/>
      </c>
      <c r="AC1444" s="0" t="str">
        <f aca="false">IF(AND(C1443=C1444,Y1443=Y1444-1),AA1443,"")</f>
        <v/>
      </c>
      <c r="AD1444" s="0" t="str">
        <f aca="false">IF(Y1444=1,"",IF(AND(Z1444=1,AB1444&lt;&gt;1),1,0))</f>
        <v/>
      </c>
      <c r="AE1444" s="0" t="str">
        <f aca="false">IF(Y1444=1,"",IF(AND(AA1444=1,AC1444&lt;&gt;1),1,0))</f>
        <v/>
      </c>
      <c r="AF1444" s="45" t="str">
        <f aca="false">IF(AND(E1444&gt;0,Y1444&lt;1,NOT(AND(C1445=C1444,Y1445=Y1444+1))),INDEX(DATAS,Y1444+1),"")</f>
        <v/>
      </c>
      <c r="AG1444" s="45" t="str">
        <f aca="false">IF(AND(AA1444=1,Y1444&lt;1),IF(AND(C1445=C1444,Y1445=Y1444+1),IF(AA1445=1,"",INDEX(DATAS,Y1444+1)),INDEX(DATAS,Y1444+1)),"")</f>
        <v/>
      </c>
    </row>
    <row r="1445" customFormat="false" ht="15" hidden="false" customHeight="false" outlineLevel="0" collapsed="false">
      <c r="A1445" s="45" t="n">
        <v>46309</v>
      </c>
      <c r="B1445" s="0" t="n">
        <v>4</v>
      </c>
      <c r="C1445" s="0" t="n">
        <v>5570</v>
      </c>
      <c r="D1445" s="0" t="n">
        <v>206</v>
      </c>
      <c r="E1445" s="0" t="n">
        <v>1</v>
      </c>
      <c r="F1445" s="39" t="s">
        <v>902</v>
      </c>
      <c r="G1445" s="0" t="n">
        <v>44</v>
      </c>
      <c r="H1445" s="0" t="n">
        <v>42</v>
      </c>
      <c r="I1445" s="39" t="s">
        <v>109</v>
      </c>
      <c r="J1445" s="0" t="n">
        <v>66</v>
      </c>
      <c r="K1445" s="0" t="n">
        <v>73</v>
      </c>
      <c r="L1445" s="0" t="n">
        <v>140</v>
      </c>
      <c r="P1445" s="0" t="n">
        <v>3.87</v>
      </c>
      <c r="Q1445" s="0" t="n">
        <v>3.57</v>
      </c>
      <c r="R1445" s="0" t="n">
        <v>4075</v>
      </c>
      <c r="S1445" s="0" t="n">
        <v>9173</v>
      </c>
      <c r="T1445" s="0" t="n">
        <v>48.8</v>
      </c>
      <c r="U1445" s="0" t="n">
        <v>877</v>
      </c>
      <c r="V1445" s="0" t="n">
        <v>1</v>
      </c>
      <c r="W1445" s="39" t="n">
        <f aca="false">IF(I1445="Male",0,1)</f>
        <v>1</v>
      </c>
      <c r="X1445" s="39" t="n">
        <f aca="false">IF(OR(I1445="DNB",I1445="Dry DNB"),1,0)</f>
        <v>0</v>
      </c>
      <c r="Y1445" s="39" t="n">
        <f aca="false">MATCH(A1445,DATAS,0)</f>
        <v>1</v>
      </c>
      <c r="Z1445" s="39" t="n">
        <f aca="false">IF(AND(E1445&gt;0,OR(AND(B1445&gt;=1,B1445&lt;=6),B1445=10)),1,0)</f>
        <v>1</v>
      </c>
      <c r="AA1445" s="39" t="n">
        <f aca="false">IF(AND(E1445&gt;0,B1445=10),1,0)</f>
        <v>0</v>
      </c>
      <c r="AB1445" s="0" t="str">
        <f aca="false">IF(AND(C1444=C1445,Y1444=Y1445-1),Z1444,"")</f>
        <v/>
      </c>
      <c r="AC1445" s="0" t="str">
        <f aca="false">IF(AND(C1444=C1445,Y1444=Y1445-1),AA1444,"")</f>
        <v/>
      </c>
      <c r="AD1445" s="0" t="str">
        <f aca="false">IF(Y1445=1,"",IF(AND(Z1445=1,AB1445&lt;&gt;1),1,0))</f>
        <v/>
      </c>
      <c r="AE1445" s="0" t="str">
        <f aca="false">IF(Y1445=1,"",IF(AND(AA1445=1,AC1445&lt;&gt;1),1,0))</f>
        <v/>
      </c>
      <c r="AF1445" s="45" t="str">
        <f aca="false">IF(AND(E1445&gt;0,Y1445&lt;1,NOT(AND(C1446=C1445,Y1446=Y1445+1))),INDEX(DATAS,Y1445+1),"")</f>
        <v/>
      </c>
      <c r="AG1445" s="45" t="str">
        <f aca="false">IF(AND(AA1445=1,Y1445&lt;1),IF(AND(C1446=C1445,Y1446=Y1445+1),IF(AA1446=1,"",INDEX(DATAS,Y1445+1)),INDEX(DATAS,Y1445+1)),"")</f>
        <v/>
      </c>
    </row>
    <row r="1446" customFormat="false" ht="15" hidden="false" customHeight="false" outlineLevel="0" collapsed="false">
      <c r="A1446" s="45" t="n">
        <v>46309</v>
      </c>
      <c r="B1446" s="0" t="n">
        <v>4</v>
      </c>
      <c r="C1446" s="0" t="n">
        <v>5571</v>
      </c>
      <c r="D1446" s="0" t="n">
        <v>164</v>
      </c>
      <c r="E1446" s="0" t="n">
        <v>1</v>
      </c>
      <c r="F1446" s="39" t="s">
        <v>902</v>
      </c>
      <c r="G1446" s="0" t="n">
        <v>50.9</v>
      </c>
      <c r="H1446" s="0" t="n">
        <v>48</v>
      </c>
      <c r="I1446" s="39" t="s">
        <v>109</v>
      </c>
      <c r="J1446" s="0" t="n">
        <v>66</v>
      </c>
      <c r="K1446" s="0" t="n">
        <v>66</v>
      </c>
      <c r="L1446" s="0" t="n">
        <v>98</v>
      </c>
      <c r="P1446" s="0" t="n">
        <v>4.41</v>
      </c>
      <c r="Q1446" s="0" t="n">
        <v>3.77</v>
      </c>
      <c r="R1446" s="0" t="n">
        <v>4047</v>
      </c>
      <c r="S1446" s="0" t="n">
        <v>8764</v>
      </c>
      <c r="T1446" s="0" t="n">
        <v>43.05</v>
      </c>
      <c r="U1446" s="0" t="n">
        <v>877</v>
      </c>
      <c r="V1446" s="0" t="n">
        <v>1</v>
      </c>
      <c r="W1446" s="39" t="n">
        <f aca="false">IF(I1446="Male",0,1)</f>
        <v>1</v>
      </c>
      <c r="X1446" s="39" t="n">
        <f aca="false">IF(OR(I1446="DNB",I1446="Dry DNB"),1,0)</f>
        <v>0</v>
      </c>
      <c r="Y1446" s="39" t="n">
        <f aca="false">MATCH(A1446,DATAS,0)</f>
        <v>1</v>
      </c>
      <c r="Z1446" s="39" t="n">
        <f aca="false">IF(AND(E1446&gt;0,OR(AND(B1446&gt;=1,B1446&lt;=6),B1446=10)),1,0)</f>
        <v>1</v>
      </c>
      <c r="AA1446" s="39" t="n">
        <f aca="false">IF(AND(E1446&gt;0,B1446=10),1,0)</f>
        <v>0</v>
      </c>
      <c r="AB1446" s="0" t="str">
        <f aca="false">IF(AND(C1445=C1446,Y1445=Y1446-1),Z1445,"")</f>
        <v/>
      </c>
      <c r="AC1446" s="0" t="str">
        <f aca="false">IF(AND(C1445=C1446,Y1445=Y1446-1),AA1445,"")</f>
        <v/>
      </c>
      <c r="AD1446" s="0" t="str">
        <f aca="false">IF(Y1446=1,"",IF(AND(Z1446=1,AB1446&lt;&gt;1),1,0))</f>
        <v/>
      </c>
      <c r="AE1446" s="0" t="str">
        <f aca="false">IF(Y1446=1,"",IF(AND(AA1446=1,AC1446&lt;&gt;1),1,0))</f>
        <v/>
      </c>
      <c r="AF1446" s="45" t="str">
        <f aca="false">IF(AND(E1446&gt;0,Y1446&lt;1,NOT(AND(C1447=C1446,Y1447=Y1446+1))),INDEX(DATAS,Y1446+1),"")</f>
        <v/>
      </c>
      <c r="AG1446" s="45" t="str">
        <f aca="false">IF(AND(AA1446=1,Y1446&lt;1),IF(AND(C1447=C1446,Y1447=Y1446+1),IF(AA1447=1,"",INDEX(DATAS,Y1446+1)),INDEX(DATAS,Y1446+1)),"")</f>
        <v/>
      </c>
    </row>
    <row r="1447" customFormat="false" ht="15" hidden="false" customHeight="false" outlineLevel="0" collapsed="false">
      <c r="A1447" s="45" t="n">
        <v>46309</v>
      </c>
      <c r="B1447" s="0" t="n">
        <v>10</v>
      </c>
      <c r="C1447" s="0" t="n">
        <v>5572</v>
      </c>
      <c r="D1447" s="0" t="n">
        <v>211</v>
      </c>
      <c r="E1447" s="0" t="n">
        <v>1</v>
      </c>
      <c r="F1447" s="39" t="s">
        <v>902</v>
      </c>
      <c r="G1447" s="0" t="n">
        <v>18.8</v>
      </c>
      <c r="H1447" s="0" t="n">
        <v>25</v>
      </c>
      <c r="I1447" s="39" t="s">
        <v>109</v>
      </c>
      <c r="J1447" s="0" t="n">
        <v>169</v>
      </c>
      <c r="K1447" s="0" t="n">
        <v>64</v>
      </c>
      <c r="L1447" s="0" t="n">
        <v>42</v>
      </c>
      <c r="P1447" s="0" t="n">
        <v>3.4</v>
      </c>
      <c r="Q1447" s="0" t="n">
        <v>3.39</v>
      </c>
      <c r="R1447" s="0" t="n">
        <v>4629</v>
      </c>
      <c r="S1447" s="0" t="n">
        <v>10386</v>
      </c>
      <c r="T1447" s="0" t="n">
        <v>54.15</v>
      </c>
      <c r="U1447" s="0" t="n">
        <v>877</v>
      </c>
      <c r="V1447" s="0" t="n">
        <v>4</v>
      </c>
      <c r="W1447" s="39" t="n">
        <f aca="false">IF(I1447="Male",0,1)</f>
        <v>1</v>
      </c>
      <c r="X1447" s="39" t="n">
        <f aca="false">IF(OR(I1447="DNB",I1447="Dry DNB"),1,0)</f>
        <v>0</v>
      </c>
      <c r="Y1447" s="39" t="n">
        <f aca="false">MATCH(A1447,DATAS,0)</f>
        <v>1</v>
      </c>
      <c r="Z1447" s="39" t="n">
        <f aca="false">IF(AND(E1447&gt;0,OR(AND(B1447&gt;=1,B1447&lt;=6),B1447=10)),1,0)</f>
        <v>1</v>
      </c>
      <c r="AA1447" s="39" t="n">
        <f aca="false">IF(AND(E1447&gt;0,B1447=10),1,0)</f>
        <v>1</v>
      </c>
      <c r="AB1447" s="0" t="str">
        <f aca="false">IF(AND(C1446=C1447,Y1446=Y1447-1),Z1446,"")</f>
        <v/>
      </c>
      <c r="AC1447" s="0" t="str">
        <f aca="false">IF(AND(C1446=C1447,Y1446=Y1447-1),AA1446,"")</f>
        <v/>
      </c>
      <c r="AD1447" s="0" t="str">
        <f aca="false">IF(Y1447=1,"",IF(AND(Z1447=1,AB1447&lt;&gt;1),1,0))</f>
        <v/>
      </c>
      <c r="AE1447" s="0" t="str">
        <f aca="false">IF(Y1447=1,"",IF(AND(AA1447=1,AC1447&lt;&gt;1),1,0))</f>
        <v/>
      </c>
      <c r="AF1447" s="45" t="str">
        <f aca="false">IF(AND(E1447&gt;0,Y1447&lt;1,NOT(AND(C1448=C1447,Y1448=Y1447+1))),INDEX(DATAS,Y1447+1),"")</f>
        <v/>
      </c>
      <c r="AG1447" s="45" t="str">
        <f aca="false">IF(AND(AA1447=1,Y1447&lt;1),IF(AND(C1448=C1447,Y1448=Y1447+1),IF(AA1448=1,"",INDEX(DATAS,Y1447+1)),INDEX(DATAS,Y1447+1)),"")</f>
        <v/>
      </c>
    </row>
    <row r="1448" customFormat="false" ht="15" hidden="false" customHeight="false" outlineLevel="0" collapsed="false">
      <c r="A1448" s="45" t="n">
        <v>46309</v>
      </c>
      <c r="B1448" s="0" t="n">
        <v>4</v>
      </c>
      <c r="C1448" s="0" t="n">
        <v>5573</v>
      </c>
      <c r="D1448" s="0" t="n">
        <v>232</v>
      </c>
      <c r="E1448" s="0" t="n">
        <v>1</v>
      </c>
      <c r="F1448" s="39" t="s">
        <v>902</v>
      </c>
      <c r="G1448" s="0" t="n">
        <v>39.8</v>
      </c>
      <c r="H1448" s="0" t="n">
        <v>39</v>
      </c>
      <c r="I1448" s="39" t="s">
        <v>109</v>
      </c>
      <c r="J1448" s="0" t="n">
        <v>85</v>
      </c>
      <c r="K1448" s="0" t="n">
        <v>64</v>
      </c>
      <c r="L1448" s="0" t="n">
        <v>147</v>
      </c>
      <c r="P1448" s="0" t="n">
        <v>3.51</v>
      </c>
      <c r="Q1448" s="0" t="n">
        <v>3.74</v>
      </c>
      <c r="R1448" s="0" t="n">
        <v>3490</v>
      </c>
      <c r="S1448" s="0" t="n">
        <v>7427</v>
      </c>
      <c r="T1448" s="0" t="n">
        <v>36.9</v>
      </c>
      <c r="U1448" s="0" t="n">
        <v>877</v>
      </c>
      <c r="V1448" s="0" t="n">
        <v>2</v>
      </c>
      <c r="W1448" s="39" t="n">
        <f aca="false">IF(I1448="Male",0,1)</f>
        <v>1</v>
      </c>
      <c r="X1448" s="39" t="n">
        <f aca="false">IF(OR(I1448="DNB",I1448="Dry DNB"),1,0)</f>
        <v>0</v>
      </c>
      <c r="Y1448" s="39" t="n">
        <f aca="false">MATCH(A1448,DATAS,0)</f>
        <v>1</v>
      </c>
      <c r="Z1448" s="39" t="n">
        <f aca="false">IF(AND(E1448&gt;0,OR(AND(B1448&gt;=1,B1448&lt;=6),B1448=10)),1,0)</f>
        <v>1</v>
      </c>
      <c r="AA1448" s="39" t="n">
        <f aca="false">IF(AND(E1448&gt;0,B1448=10),1,0)</f>
        <v>0</v>
      </c>
      <c r="AB1448" s="0" t="str">
        <f aca="false">IF(AND(C1447=C1448,Y1447=Y1448-1),Z1447,"")</f>
        <v/>
      </c>
      <c r="AC1448" s="0" t="str">
        <f aca="false">IF(AND(C1447=C1448,Y1447=Y1448-1),AA1447,"")</f>
        <v/>
      </c>
      <c r="AD1448" s="0" t="str">
        <f aca="false">IF(Y1448=1,"",IF(AND(Z1448=1,AB1448&lt;&gt;1),1,0))</f>
        <v/>
      </c>
      <c r="AE1448" s="0" t="str">
        <f aca="false">IF(Y1448=1,"",IF(AND(AA1448=1,AC1448&lt;&gt;1),1,0))</f>
        <v/>
      </c>
      <c r="AF1448" s="45" t="str">
        <f aca="false">IF(AND(E1448&gt;0,Y1448&lt;1,NOT(AND(C1449=C1448,Y1449=Y1448+1))),INDEX(DATAS,Y1448+1),"")</f>
        <v/>
      </c>
      <c r="AG1448" s="45" t="str">
        <f aca="false">IF(AND(AA1448=1,Y1448&lt;1),IF(AND(C1449=C1448,Y1449=Y1448+1),IF(AA1449=1,"",INDEX(DATAS,Y1448+1)),INDEX(DATAS,Y1448+1)),"")</f>
        <v/>
      </c>
    </row>
    <row r="1449" customFormat="false" ht="15" hidden="false" customHeight="false" outlineLevel="0" collapsed="false">
      <c r="A1449" s="45" t="n">
        <v>46309</v>
      </c>
      <c r="B1449" s="0" t="n">
        <v>4</v>
      </c>
      <c r="C1449" s="0" t="n">
        <v>5574</v>
      </c>
      <c r="D1449" s="0" t="n">
        <v>184</v>
      </c>
      <c r="E1449" s="0" t="n">
        <v>1</v>
      </c>
      <c r="F1449" s="39" t="s">
        <v>902</v>
      </c>
      <c r="G1449" s="0" t="n">
        <v>51.5</v>
      </c>
      <c r="H1449" s="0" t="n">
        <v>54</v>
      </c>
      <c r="I1449" s="39" t="s">
        <v>109</v>
      </c>
      <c r="J1449" s="0" t="n">
        <v>87</v>
      </c>
      <c r="K1449" s="0" t="n">
        <v>65</v>
      </c>
      <c r="L1449" s="0" t="n">
        <v>97</v>
      </c>
      <c r="P1449" s="0" t="n">
        <v>3.84</v>
      </c>
      <c r="Q1449" s="0" t="n">
        <v>3.23</v>
      </c>
      <c r="R1449" s="0" t="n">
        <v>4695</v>
      </c>
      <c r="S1449" s="0" t="n">
        <v>10389</v>
      </c>
      <c r="T1449" s="0" t="n">
        <v>48.65</v>
      </c>
      <c r="U1449" s="0" t="n">
        <v>877</v>
      </c>
      <c r="V1449" s="0" t="n">
        <v>2</v>
      </c>
      <c r="W1449" s="39" t="n">
        <f aca="false">IF(I1449="Male",0,1)</f>
        <v>1</v>
      </c>
      <c r="X1449" s="39" t="n">
        <f aca="false">IF(OR(I1449="DNB",I1449="Dry DNB"),1,0)</f>
        <v>0</v>
      </c>
      <c r="Y1449" s="39" t="n">
        <f aca="false">MATCH(A1449,DATAS,0)</f>
        <v>1</v>
      </c>
      <c r="Z1449" s="39" t="n">
        <f aca="false">IF(AND(E1449&gt;0,OR(AND(B1449&gt;=1,B1449&lt;=6),B1449=10)),1,0)</f>
        <v>1</v>
      </c>
      <c r="AA1449" s="39" t="n">
        <f aca="false">IF(AND(E1449&gt;0,B1449=10),1,0)</f>
        <v>0</v>
      </c>
      <c r="AB1449" s="0" t="str">
        <f aca="false">IF(AND(C1448=C1449,Y1448=Y1449-1),Z1448,"")</f>
        <v/>
      </c>
      <c r="AC1449" s="0" t="str">
        <f aca="false">IF(AND(C1448=C1449,Y1448=Y1449-1),AA1448,"")</f>
        <v/>
      </c>
      <c r="AD1449" s="0" t="str">
        <f aca="false">IF(Y1449=1,"",IF(AND(Z1449=1,AB1449&lt;&gt;1),1,0))</f>
        <v/>
      </c>
      <c r="AE1449" s="0" t="str">
        <f aca="false">IF(Y1449=1,"",IF(AND(AA1449=1,AC1449&lt;&gt;1),1,0))</f>
        <v/>
      </c>
      <c r="AF1449" s="45" t="str">
        <f aca="false">IF(AND(E1449&gt;0,Y1449&lt;1,NOT(AND(C1450=C1449,Y1450=Y1449+1))),INDEX(DATAS,Y1449+1),"")</f>
        <v/>
      </c>
      <c r="AG1449" s="45" t="str">
        <f aca="false">IF(AND(AA1449=1,Y1449&lt;1),IF(AND(C1450=C1449,Y1450=Y1449+1),IF(AA1450=1,"",INDEX(DATAS,Y1449+1)),INDEX(DATAS,Y1449+1)),"")</f>
        <v/>
      </c>
    </row>
    <row r="1450" customFormat="false" ht="15" hidden="false" customHeight="false" outlineLevel="0" collapsed="false">
      <c r="A1450" s="45" t="n">
        <v>46309</v>
      </c>
      <c r="B1450" s="0" t="n">
        <v>4</v>
      </c>
      <c r="C1450" s="0" t="n">
        <v>5575</v>
      </c>
      <c r="D1450" s="0" t="n">
        <v>160</v>
      </c>
      <c r="E1450" s="0" t="n">
        <v>1</v>
      </c>
      <c r="F1450" s="39" t="s">
        <v>902</v>
      </c>
      <c r="G1450" s="0" t="n">
        <v>51.3</v>
      </c>
      <c r="H1450" s="0" t="n">
        <v>48</v>
      </c>
      <c r="I1450" s="39" t="s">
        <v>138</v>
      </c>
      <c r="J1450" s="0" t="n">
        <v>160</v>
      </c>
      <c r="K1450" s="0" t="n">
        <v>76</v>
      </c>
      <c r="P1450" s="0" t="n">
        <v>3.51</v>
      </c>
      <c r="Q1450" s="0" t="n">
        <v>3.28</v>
      </c>
      <c r="R1450" s="0" t="n">
        <v>3538</v>
      </c>
      <c r="S1450" s="0" t="n">
        <v>8254</v>
      </c>
      <c r="T1450" s="0" t="n">
        <v>45.3</v>
      </c>
      <c r="U1450" s="0" t="n">
        <v>877</v>
      </c>
      <c r="V1450" s="0" t="n">
        <v>3</v>
      </c>
      <c r="W1450" s="39" t="n">
        <f aca="false">IF(I1450="Male",0,1)</f>
        <v>1</v>
      </c>
      <c r="X1450" s="39" t="n">
        <f aca="false">IF(OR(I1450="DNB",I1450="Dry DNB"),1,0)</f>
        <v>0</v>
      </c>
      <c r="Y1450" s="39" t="n">
        <f aca="false">MATCH(A1450,DATAS,0)</f>
        <v>1</v>
      </c>
      <c r="Z1450" s="39" t="n">
        <f aca="false">IF(AND(E1450&gt;0,OR(AND(B1450&gt;=1,B1450&lt;=6),B1450=10)),1,0)</f>
        <v>1</v>
      </c>
      <c r="AA1450" s="39" t="n">
        <f aca="false">IF(AND(E1450&gt;0,B1450=10),1,0)</f>
        <v>0</v>
      </c>
      <c r="AB1450" s="0" t="str">
        <f aca="false">IF(AND(C1449=C1450,Y1449=Y1450-1),Z1449,"")</f>
        <v/>
      </c>
      <c r="AC1450" s="0" t="str">
        <f aca="false">IF(AND(C1449=C1450,Y1449=Y1450-1),AA1449,"")</f>
        <v/>
      </c>
      <c r="AD1450" s="0" t="str">
        <f aca="false">IF(Y1450=1,"",IF(AND(Z1450=1,AB1450&lt;&gt;1),1,0))</f>
        <v/>
      </c>
      <c r="AE1450" s="0" t="str">
        <f aca="false">IF(Y1450=1,"",IF(AND(AA1450=1,AC1450&lt;&gt;1),1,0))</f>
        <v/>
      </c>
      <c r="AF1450" s="45" t="str">
        <f aca="false">IF(AND(E1450&gt;0,Y1450&lt;1,NOT(AND(C1451=C1450,Y1451=Y1450+1))),INDEX(DATAS,Y1450+1),"")</f>
        <v/>
      </c>
      <c r="AG1450" s="45" t="str">
        <f aca="false">IF(AND(AA1450=1,Y1450&lt;1),IF(AND(C1451=C1450,Y1451=Y1450+1),IF(AA1451=1,"",INDEX(DATAS,Y1450+1)),INDEX(DATAS,Y1450+1)),"")</f>
        <v/>
      </c>
    </row>
    <row r="1451" customFormat="false" ht="15" hidden="false" customHeight="false" outlineLevel="0" collapsed="false">
      <c r="A1451" s="45" t="n">
        <v>46309</v>
      </c>
      <c r="B1451" s="0" t="n">
        <v>4</v>
      </c>
      <c r="C1451" s="0" t="n">
        <v>5576</v>
      </c>
      <c r="D1451" s="0" t="n">
        <v>213</v>
      </c>
      <c r="E1451" s="0" t="n">
        <v>1</v>
      </c>
      <c r="F1451" s="39" t="s">
        <v>903</v>
      </c>
      <c r="G1451" s="0" t="n">
        <v>32.6</v>
      </c>
      <c r="H1451" s="0" t="n">
        <v>32</v>
      </c>
      <c r="I1451" s="39" t="s">
        <v>109</v>
      </c>
      <c r="J1451" s="0" t="n">
        <v>136</v>
      </c>
      <c r="K1451" s="0" t="n">
        <v>66</v>
      </c>
      <c r="L1451" s="0" t="n">
        <v>77</v>
      </c>
      <c r="P1451" s="0" t="n">
        <v>4.24</v>
      </c>
      <c r="Q1451" s="0" t="n">
        <v>3.52</v>
      </c>
      <c r="R1451" s="0" t="n">
        <v>3326</v>
      </c>
      <c r="S1451" s="0" t="n">
        <v>7062</v>
      </c>
      <c r="T1451" s="0" t="n">
        <v>37.6</v>
      </c>
      <c r="U1451" s="0" t="n">
        <v>876</v>
      </c>
      <c r="V1451" s="0" t="n">
        <v>3</v>
      </c>
      <c r="W1451" s="39" t="n">
        <f aca="false">IF(I1451="Male",0,1)</f>
        <v>1</v>
      </c>
      <c r="X1451" s="39" t="n">
        <f aca="false">IF(OR(I1451="DNB",I1451="Dry DNB"),1,0)</f>
        <v>0</v>
      </c>
      <c r="Y1451" s="39" t="n">
        <f aca="false">MATCH(A1451,DATAS,0)</f>
        <v>1</v>
      </c>
      <c r="Z1451" s="39" t="n">
        <f aca="false">IF(AND(E1451&gt;0,OR(AND(B1451&gt;=1,B1451&lt;=6),B1451=10)),1,0)</f>
        <v>1</v>
      </c>
      <c r="AA1451" s="39" t="n">
        <f aca="false">IF(AND(E1451&gt;0,B1451=10),1,0)</f>
        <v>0</v>
      </c>
      <c r="AB1451" s="0" t="str">
        <f aca="false">IF(AND(C1450=C1451,Y1450=Y1451-1),Z1450,"")</f>
        <v/>
      </c>
      <c r="AC1451" s="0" t="str">
        <f aca="false">IF(AND(C1450=C1451,Y1450=Y1451-1),AA1450,"")</f>
        <v/>
      </c>
      <c r="AD1451" s="0" t="str">
        <f aca="false">IF(Y1451=1,"",IF(AND(Z1451=1,AB1451&lt;&gt;1),1,0))</f>
        <v/>
      </c>
      <c r="AE1451" s="0" t="str">
        <f aca="false">IF(Y1451=1,"",IF(AND(AA1451=1,AC1451&lt;&gt;1),1,0))</f>
        <v/>
      </c>
      <c r="AF1451" s="45" t="str">
        <f aca="false">IF(AND(E1451&gt;0,Y1451&lt;1,NOT(AND(C1452=C1451,Y1452=Y1451+1))),INDEX(DATAS,Y1451+1),"")</f>
        <v/>
      </c>
      <c r="AG1451" s="45" t="str">
        <f aca="false">IF(AND(AA1451=1,Y1451&lt;1),IF(AND(C1452=C1451,Y1452=Y1451+1),IF(AA1452=1,"",INDEX(DATAS,Y1451+1)),INDEX(DATAS,Y1451+1)),"")</f>
        <v/>
      </c>
    </row>
    <row r="1452" customFormat="false" ht="15" hidden="false" customHeight="false" outlineLevel="0" collapsed="false">
      <c r="A1452" s="45" t="n">
        <v>46309</v>
      </c>
      <c r="B1452" s="0" t="n">
        <v>4</v>
      </c>
      <c r="C1452" s="0" t="n">
        <v>5578</v>
      </c>
      <c r="D1452" s="0" t="n">
        <v>196</v>
      </c>
      <c r="E1452" s="0" t="n">
        <v>1</v>
      </c>
      <c r="F1452" s="39" t="s">
        <v>903</v>
      </c>
      <c r="G1452" s="0" t="n">
        <v>47.4</v>
      </c>
      <c r="H1452" s="0" t="n">
        <v>48</v>
      </c>
      <c r="I1452" s="39" t="s">
        <v>109</v>
      </c>
      <c r="J1452" s="0" t="n">
        <v>98</v>
      </c>
      <c r="K1452" s="0" t="n">
        <v>63</v>
      </c>
      <c r="L1452" s="0" t="n">
        <v>98</v>
      </c>
      <c r="P1452" s="0" t="n">
        <v>2.52</v>
      </c>
      <c r="Q1452" s="0" t="n">
        <v>3.7</v>
      </c>
      <c r="R1452" s="0" t="n">
        <v>4700</v>
      </c>
      <c r="S1452" s="0" t="n">
        <v>10276</v>
      </c>
      <c r="T1452" s="0" t="n">
        <v>49.85</v>
      </c>
      <c r="U1452" s="0" t="n">
        <v>876</v>
      </c>
      <c r="V1452" s="0" t="n">
        <v>2</v>
      </c>
      <c r="W1452" s="39" t="n">
        <f aca="false">IF(I1452="Male",0,1)</f>
        <v>1</v>
      </c>
      <c r="X1452" s="39" t="n">
        <f aca="false">IF(OR(I1452="DNB",I1452="Dry DNB"),1,0)</f>
        <v>0</v>
      </c>
      <c r="Y1452" s="39" t="n">
        <f aca="false">MATCH(A1452,DATAS,0)</f>
        <v>1</v>
      </c>
      <c r="Z1452" s="39" t="n">
        <f aca="false">IF(AND(E1452&gt;0,OR(AND(B1452&gt;=1,B1452&lt;=6),B1452=10)),1,0)</f>
        <v>1</v>
      </c>
      <c r="AA1452" s="39" t="n">
        <f aca="false">IF(AND(E1452&gt;0,B1452=10),1,0)</f>
        <v>0</v>
      </c>
      <c r="AB1452" s="0" t="str">
        <f aca="false">IF(AND(C1451=C1452,Y1451=Y1452-1),Z1451,"")</f>
        <v/>
      </c>
      <c r="AC1452" s="0" t="str">
        <f aca="false">IF(AND(C1451=C1452,Y1451=Y1452-1),AA1451,"")</f>
        <v/>
      </c>
      <c r="AD1452" s="0" t="str">
        <f aca="false">IF(Y1452=1,"",IF(AND(Z1452=1,AB1452&lt;&gt;1),1,0))</f>
        <v/>
      </c>
      <c r="AE1452" s="0" t="str">
        <f aca="false">IF(Y1452=1,"",IF(AND(AA1452=1,AC1452&lt;&gt;1),1,0))</f>
        <v/>
      </c>
      <c r="AF1452" s="45" t="str">
        <f aca="false">IF(AND(E1452&gt;0,Y1452&lt;1,NOT(AND(C1453=C1452,Y1453=Y1452+1))),INDEX(DATAS,Y1452+1),"")</f>
        <v/>
      </c>
      <c r="AG1452" s="45" t="str">
        <f aca="false">IF(AND(AA1452=1,Y1452&lt;1),IF(AND(C1453=C1452,Y1453=Y1452+1),IF(AA1453=1,"",INDEX(DATAS,Y1452+1)),INDEX(DATAS,Y1452+1)),"")</f>
        <v/>
      </c>
    </row>
    <row r="1453" customFormat="false" ht="15" hidden="false" customHeight="false" outlineLevel="0" collapsed="false">
      <c r="A1453" s="45" t="n">
        <v>46309</v>
      </c>
      <c r="B1453" s="0" t="n">
        <v>4</v>
      </c>
      <c r="C1453" s="0" t="n">
        <v>5579</v>
      </c>
      <c r="D1453" s="0" t="n">
        <v>205</v>
      </c>
      <c r="E1453" s="0" t="n">
        <v>1</v>
      </c>
      <c r="F1453" s="39" t="s">
        <v>903</v>
      </c>
      <c r="G1453" s="0" t="n">
        <v>43.1</v>
      </c>
      <c r="H1453" s="0" t="n">
        <v>43</v>
      </c>
      <c r="I1453" s="39" t="s">
        <v>109</v>
      </c>
      <c r="J1453" s="0" t="n">
        <v>89</v>
      </c>
      <c r="K1453" s="0" t="n">
        <v>65</v>
      </c>
      <c r="L1453" s="0" t="n">
        <v>116</v>
      </c>
      <c r="P1453" s="0" t="n">
        <v>3.26</v>
      </c>
      <c r="Q1453" s="0" t="n">
        <v>3.42</v>
      </c>
      <c r="R1453" s="0" t="n">
        <v>3317</v>
      </c>
      <c r="S1453" s="0" t="n">
        <v>8331</v>
      </c>
      <c r="T1453" s="0" t="n">
        <v>37.8</v>
      </c>
      <c r="U1453" s="0" t="n">
        <v>876</v>
      </c>
      <c r="V1453" s="0" t="n">
        <v>2</v>
      </c>
      <c r="W1453" s="39" t="n">
        <f aca="false">IF(I1453="Male",0,1)</f>
        <v>1</v>
      </c>
      <c r="X1453" s="39" t="n">
        <f aca="false">IF(OR(I1453="DNB",I1453="Dry DNB"),1,0)</f>
        <v>0</v>
      </c>
      <c r="Y1453" s="39" t="n">
        <f aca="false">MATCH(A1453,DATAS,0)</f>
        <v>1</v>
      </c>
      <c r="Z1453" s="39" t="n">
        <f aca="false">IF(AND(E1453&gt;0,OR(AND(B1453&gt;=1,B1453&lt;=6),B1453=10)),1,0)</f>
        <v>1</v>
      </c>
      <c r="AA1453" s="39" t="n">
        <f aca="false">IF(AND(E1453&gt;0,B1453=10),1,0)</f>
        <v>0</v>
      </c>
      <c r="AB1453" s="0" t="str">
        <f aca="false">IF(AND(C1452=C1453,Y1452=Y1453-1),Z1452,"")</f>
        <v/>
      </c>
      <c r="AC1453" s="0" t="str">
        <f aca="false">IF(AND(C1452=C1453,Y1452=Y1453-1),AA1452,"")</f>
        <v/>
      </c>
      <c r="AD1453" s="0" t="str">
        <f aca="false">IF(Y1453=1,"",IF(AND(Z1453=1,AB1453&lt;&gt;1),1,0))</f>
        <v/>
      </c>
      <c r="AE1453" s="0" t="str">
        <f aca="false">IF(Y1453=1,"",IF(AND(AA1453=1,AC1453&lt;&gt;1),1,0))</f>
        <v/>
      </c>
      <c r="AF1453" s="45" t="str">
        <f aca="false">IF(AND(E1453&gt;0,Y1453&lt;1,NOT(AND(C1454=C1453,Y1454=Y1453+1))),INDEX(DATAS,Y1453+1),"")</f>
        <v/>
      </c>
      <c r="AG1453" s="45" t="str">
        <f aca="false">IF(AND(AA1453=1,Y1453&lt;1),IF(AND(C1454=C1453,Y1454=Y1453+1),IF(AA1454=1,"",INDEX(DATAS,Y1453+1)),INDEX(DATAS,Y1453+1)),"")</f>
        <v/>
      </c>
    </row>
    <row r="1454" customFormat="false" ht="15" hidden="false" customHeight="false" outlineLevel="0" collapsed="false">
      <c r="A1454" s="45" t="n">
        <v>46309</v>
      </c>
      <c r="B1454" s="0" t="n">
        <v>4</v>
      </c>
      <c r="C1454" s="0" t="n">
        <v>5580</v>
      </c>
      <c r="D1454" s="0" t="n">
        <v>184</v>
      </c>
      <c r="E1454" s="0" t="n">
        <v>1</v>
      </c>
      <c r="F1454" s="39" t="s">
        <v>904</v>
      </c>
      <c r="G1454" s="0" t="n">
        <v>53.5</v>
      </c>
      <c r="H1454" s="0" t="n">
        <v>51</v>
      </c>
      <c r="I1454" s="39" t="s">
        <v>109</v>
      </c>
      <c r="J1454" s="0" t="n">
        <v>65</v>
      </c>
      <c r="K1454" s="0" t="n">
        <v>65</v>
      </c>
      <c r="L1454" s="0" t="n">
        <v>119</v>
      </c>
      <c r="P1454" s="0" t="n">
        <v>4.34</v>
      </c>
      <c r="Q1454" s="0" t="n">
        <v>3.55</v>
      </c>
      <c r="R1454" s="0" t="n">
        <v>4020</v>
      </c>
      <c r="S1454" s="0" t="n">
        <v>8903</v>
      </c>
      <c r="T1454" s="0" t="n">
        <v>42.25</v>
      </c>
      <c r="U1454" s="0" t="n">
        <v>875</v>
      </c>
      <c r="V1454" s="0" t="n">
        <v>1</v>
      </c>
      <c r="W1454" s="39" t="n">
        <f aca="false">IF(I1454="Male",0,1)</f>
        <v>1</v>
      </c>
      <c r="X1454" s="39" t="n">
        <f aca="false">IF(OR(I1454="DNB",I1454="Dry DNB"),1,0)</f>
        <v>0</v>
      </c>
      <c r="Y1454" s="39" t="n">
        <f aca="false">MATCH(A1454,DATAS,0)</f>
        <v>1</v>
      </c>
      <c r="Z1454" s="39" t="n">
        <f aca="false">IF(AND(E1454&gt;0,OR(AND(B1454&gt;=1,B1454&lt;=6),B1454=10)),1,0)</f>
        <v>1</v>
      </c>
      <c r="AA1454" s="39" t="n">
        <f aca="false">IF(AND(E1454&gt;0,B1454=10),1,0)</f>
        <v>0</v>
      </c>
      <c r="AB1454" s="0" t="str">
        <f aca="false">IF(AND(C1453=C1454,Y1453=Y1454-1),Z1453,"")</f>
        <v/>
      </c>
      <c r="AC1454" s="0" t="str">
        <f aca="false">IF(AND(C1453=C1454,Y1453=Y1454-1),AA1453,"")</f>
        <v/>
      </c>
      <c r="AD1454" s="0" t="str">
        <f aca="false">IF(Y1454=1,"",IF(AND(Z1454=1,AB1454&lt;&gt;1),1,0))</f>
        <v/>
      </c>
      <c r="AE1454" s="0" t="str">
        <f aca="false">IF(Y1454=1,"",IF(AND(AA1454=1,AC1454&lt;&gt;1),1,0))</f>
        <v/>
      </c>
      <c r="AF1454" s="45" t="str">
        <f aca="false">IF(AND(E1454&gt;0,Y1454&lt;1,NOT(AND(C1455=C1454,Y1455=Y1454+1))),INDEX(DATAS,Y1454+1),"")</f>
        <v/>
      </c>
      <c r="AG1454" s="45" t="str">
        <f aca="false">IF(AND(AA1454=1,Y1454&lt;1),IF(AND(C1455=C1454,Y1455=Y1454+1),IF(AA1455=1,"",INDEX(DATAS,Y1454+1)),INDEX(DATAS,Y1454+1)),"")</f>
        <v/>
      </c>
    </row>
    <row r="1455" customFormat="false" ht="15" hidden="false" customHeight="false" outlineLevel="0" collapsed="false">
      <c r="A1455" s="45" t="n">
        <v>46309</v>
      </c>
      <c r="B1455" s="0" t="n">
        <v>4</v>
      </c>
      <c r="C1455" s="0" t="n">
        <v>5581</v>
      </c>
      <c r="D1455" s="0" t="n">
        <v>171</v>
      </c>
      <c r="E1455" s="0" t="n">
        <v>1</v>
      </c>
      <c r="F1455" s="39" t="s">
        <v>904</v>
      </c>
      <c r="G1455" s="0" t="n">
        <v>53</v>
      </c>
      <c r="H1455" s="0" t="n">
        <v>51</v>
      </c>
      <c r="I1455" s="39" t="s">
        <v>109</v>
      </c>
      <c r="J1455" s="0" t="n">
        <v>66</v>
      </c>
      <c r="K1455" s="0" t="n">
        <v>66</v>
      </c>
      <c r="L1455" s="0" t="n">
        <v>105</v>
      </c>
      <c r="P1455" s="0" t="n">
        <v>3.83</v>
      </c>
      <c r="Q1455" s="0" t="n">
        <v>3.42</v>
      </c>
      <c r="R1455" s="0" t="n">
        <v>4356</v>
      </c>
      <c r="S1455" s="0" t="n">
        <v>9607</v>
      </c>
      <c r="T1455" s="0" t="n">
        <v>47.35</v>
      </c>
      <c r="U1455" s="0" t="n">
        <v>875</v>
      </c>
      <c r="V1455" s="0" t="n">
        <v>1</v>
      </c>
      <c r="W1455" s="39" t="n">
        <f aca="false">IF(I1455="Male",0,1)</f>
        <v>1</v>
      </c>
      <c r="X1455" s="39" t="n">
        <f aca="false">IF(OR(I1455="DNB",I1455="Dry DNB"),1,0)</f>
        <v>0</v>
      </c>
      <c r="Y1455" s="39" t="n">
        <f aca="false">MATCH(A1455,DATAS,0)</f>
        <v>1</v>
      </c>
      <c r="Z1455" s="39" t="n">
        <f aca="false">IF(AND(E1455&gt;0,OR(AND(B1455&gt;=1,B1455&lt;=6),B1455=10)),1,0)</f>
        <v>1</v>
      </c>
      <c r="AA1455" s="39" t="n">
        <f aca="false">IF(AND(E1455&gt;0,B1455=10),1,0)</f>
        <v>0</v>
      </c>
      <c r="AB1455" s="0" t="str">
        <f aca="false">IF(AND(C1454=C1455,Y1454=Y1455-1),Z1454,"")</f>
        <v/>
      </c>
      <c r="AC1455" s="0" t="str">
        <f aca="false">IF(AND(C1454=C1455,Y1454=Y1455-1),AA1454,"")</f>
        <v/>
      </c>
      <c r="AD1455" s="0" t="str">
        <f aca="false">IF(Y1455=1,"",IF(AND(Z1455=1,AB1455&lt;&gt;1),1,0))</f>
        <v/>
      </c>
      <c r="AE1455" s="0" t="str">
        <f aca="false">IF(Y1455=1,"",IF(AND(AA1455=1,AC1455&lt;&gt;1),1,0))</f>
        <v/>
      </c>
      <c r="AF1455" s="45" t="str">
        <f aca="false">IF(AND(E1455&gt;0,Y1455&lt;1,NOT(AND(C1456=C1455,Y1456=Y1455+1))),INDEX(DATAS,Y1455+1),"")</f>
        <v/>
      </c>
      <c r="AG1455" s="45" t="str">
        <f aca="false">IF(AND(AA1455=1,Y1455&lt;1),IF(AND(C1456=C1455,Y1456=Y1455+1),IF(AA1456=1,"",INDEX(DATAS,Y1455+1)),INDEX(DATAS,Y1455+1)),"")</f>
        <v/>
      </c>
    </row>
    <row r="1456" customFormat="false" ht="15" hidden="false" customHeight="false" outlineLevel="0" collapsed="false">
      <c r="A1456" s="45" t="n">
        <v>46309</v>
      </c>
      <c r="B1456" s="0" t="n">
        <v>4</v>
      </c>
      <c r="C1456" s="0" t="n">
        <v>5582</v>
      </c>
      <c r="D1456" s="0" t="n">
        <v>124</v>
      </c>
      <c r="E1456" s="0" t="n">
        <v>1</v>
      </c>
      <c r="F1456" s="39" t="s">
        <v>904</v>
      </c>
      <c r="G1456" s="0" t="n">
        <v>49.8</v>
      </c>
      <c r="H1456" s="0" t="n">
        <v>50</v>
      </c>
      <c r="I1456" s="39" t="s">
        <v>109</v>
      </c>
      <c r="J1456" s="0" t="n">
        <v>75</v>
      </c>
      <c r="K1456" s="0" t="n">
        <v>75</v>
      </c>
      <c r="L1456" s="0" t="n">
        <v>49</v>
      </c>
      <c r="P1456" s="0" t="n">
        <v>2.83</v>
      </c>
      <c r="Q1456" s="0" t="n">
        <v>3.27</v>
      </c>
      <c r="R1456" s="0" t="n">
        <v>4106</v>
      </c>
      <c r="S1456" s="0" t="n">
        <v>8642</v>
      </c>
      <c r="T1456" s="0" t="n">
        <v>46.85</v>
      </c>
      <c r="U1456" s="0" t="n">
        <v>875</v>
      </c>
      <c r="V1456" s="0" t="n">
        <v>1</v>
      </c>
      <c r="W1456" s="39" t="n">
        <f aca="false">IF(I1456="Male",0,1)</f>
        <v>1</v>
      </c>
      <c r="X1456" s="39" t="n">
        <f aca="false">IF(OR(I1456="DNB",I1456="Dry DNB"),1,0)</f>
        <v>0</v>
      </c>
      <c r="Y1456" s="39" t="n">
        <f aca="false">MATCH(A1456,DATAS,0)</f>
        <v>1</v>
      </c>
      <c r="Z1456" s="39" t="n">
        <f aca="false">IF(AND(E1456&gt;0,OR(AND(B1456&gt;=1,B1456&lt;=6),B1456=10)),1,0)</f>
        <v>1</v>
      </c>
      <c r="AA1456" s="39" t="n">
        <f aca="false">IF(AND(E1456&gt;0,B1456=10),1,0)</f>
        <v>0</v>
      </c>
      <c r="AB1456" s="0" t="str">
        <f aca="false">IF(AND(C1455=C1456,Y1455=Y1456-1),Z1455,"")</f>
        <v/>
      </c>
      <c r="AC1456" s="0" t="str">
        <f aca="false">IF(AND(C1455=C1456,Y1455=Y1456-1),AA1455,"")</f>
        <v/>
      </c>
      <c r="AD1456" s="0" t="str">
        <f aca="false">IF(Y1456=1,"",IF(AND(Z1456=1,AB1456&lt;&gt;1),1,0))</f>
        <v/>
      </c>
      <c r="AE1456" s="0" t="str">
        <f aca="false">IF(Y1456=1,"",IF(AND(AA1456=1,AC1456&lt;&gt;1),1,0))</f>
        <v/>
      </c>
      <c r="AF1456" s="45" t="str">
        <f aca="false">IF(AND(E1456&gt;0,Y1456&lt;1,NOT(AND(C1457=C1456,Y1457=Y1456+1))),INDEX(DATAS,Y1456+1),"")</f>
        <v/>
      </c>
      <c r="AG1456" s="45" t="str">
        <f aca="false">IF(AND(AA1456=1,Y1456&lt;1),IF(AND(C1457=C1456,Y1457=Y1456+1),IF(AA1457=1,"",INDEX(DATAS,Y1456+1)),INDEX(DATAS,Y1456+1)),"")</f>
        <v/>
      </c>
    </row>
    <row r="1457" customFormat="false" ht="15" hidden="false" customHeight="false" outlineLevel="0" collapsed="false">
      <c r="A1457" s="45" t="n">
        <v>46309</v>
      </c>
      <c r="B1457" s="0" t="n">
        <v>4</v>
      </c>
      <c r="C1457" s="0" t="n">
        <v>5583</v>
      </c>
      <c r="D1457" s="0" t="n">
        <v>191</v>
      </c>
      <c r="E1457" s="0" t="n">
        <v>1</v>
      </c>
      <c r="F1457" s="39" t="s">
        <v>904</v>
      </c>
      <c r="G1457" s="0" t="n">
        <v>38.7</v>
      </c>
      <c r="H1457" s="0" t="n">
        <v>39</v>
      </c>
      <c r="I1457" s="39" t="s">
        <v>109</v>
      </c>
      <c r="J1457" s="0" t="n">
        <v>65</v>
      </c>
      <c r="K1457" s="0" t="n">
        <v>65</v>
      </c>
      <c r="L1457" s="0" t="n">
        <v>126</v>
      </c>
      <c r="P1457" s="0" t="n">
        <v>3.45</v>
      </c>
      <c r="Q1457" s="0" t="n">
        <v>3.73</v>
      </c>
      <c r="R1457" s="0" t="n">
        <v>3982</v>
      </c>
      <c r="S1457" s="0" t="n">
        <v>8455</v>
      </c>
      <c r="T1457" s="0" t="n">
        <v>45.6</v>
      </c>
      <c r="U1457" s="0" t="n">
        <v>875</v>
      </c>
      <c r="V1457" s="0" t="n">
        <v>1</v>
      </c>
      <c r="W1457" s="39" t="n">
        <f aca="false">IF(I1457="Male",0,1)</f>
        <v>1</v>
      </c>
      <c r="X1457" s="39" t="n">
        <f aca="false">IF(OR(I1457="DNB",I1457="Dry DNB"),1,0)</f>
        <v>0</v>
      </c>
      <c r="Y1457" s="39" t="n">
        <f aca="false">MATCH(A1457,DATAS,0)</f>
        <v>1</v>
      </c>
      <c r="Z1457" s="39" t="n">
        <f aca="false">IF(AND(E1457&gt;0,OR(AND(B1457&gt;=1,B1457&lt;=6),B1457=10)),1,0)</f>
        <v>1</v>
      </c>
      <c r="AA1457" s="39" t="n">
        <f aca="false">IF(AND(E1457&gt;0,B1457=10),1,0)</f>
        <v>0</v>
      </c>
      <c r="AB1457" s="0" t="str">
        <f aca="false">IF(AND(C1456=C1457,Y1456=Y1457-1),Z1456,"")</f>
        <v/>
      </c>
      <c r="AC1457" s="0" t="str">
        <f aca="false">IF(AND(C1456=C1457,Y1456=Y1457-1),AA1456,"")</f>
        <v/>
      </c>
      <c r="AD1457" s="0" t="str">
        <f aca="false">IF(Y1457=1,"",IF(AND(Z1457=1,AB1457&lt;&gt;1),1,0))</f>
        <v/>
      </c>
      <c r="AE1457" s="0" t="str">
        <f aca="false">IF(Y1457=1,"",IF(AND(AA1457=1,AC1457&lt;&gt;1),1,0))</f>
        <v/>
      </c>
      <c r="AF1457" s="45" t="str">
        <f aca="false">IF(AND(E1457&gt;0,Y1457&lt;1,NOT(AND(C1458=C1457,Y1458=Y1457+1))),INDEX(DATAS,Y1457+1),"")</f>
        <v/>
      </c>
      <c r="AG1457" s="45" t="str">
        <f aca="false">IF(AND(AA1457=1,Y1457&lt;1),IF(AND(C1458=C1457,Y1458=Y1457+1),IF(AA1458=1,"",INDEX(DATAS,Y1457+1)),INDEX(DATAS,Y1457+1)),"")</f>
        <v/>
      </c>
    </row>
    <row r="1458" customFormat="false" ht="15" hidden="false" customHeight="false" outlineLevel="0" collapsed="false">
      <c r="A1458" s="45" t="n">
        <v>46309</v>
      </c>
      <c r="B1458" s="0" t="n">
        <v>1</v>
      </c>
      <c r="C1458" s="0" t="n">
        <v>5584</v>
      </c>
      <c r="D1458" s="0" t="n">
        <v>203</v>
      </c>
      <c r="E1458" s="0" t="n">
        <v>1</v>
      </c>
      <c r="F1458" s="39" t="s">
        <v>904</v>
      </c>
      <c r="G1458" s="0" t="n">
        <v>32</v>
      </c>
      <c r="H1458" s="0" t="n">
        <v>34</v>
      </c>
      <c r="I1458" s="39" t="s">
        <v>109</v>
      </c>
      <c r="J1458" s="0" t="n">
        <v>63</v>
      </c>
      <c r="K1458" s="0" t="n">
        <v>63</v>
      </c>
      <c r="L1458" s="0" t="n">
        <v>140</v>
      </c>
      <c r="P1458" s="0" t="n">
        <v>3.17</v>
      </c>
      <c r="Q1458" s="0" t="n">
        <v>3.6</v>
      </c>
      <c r="R1458" s="0" t="n">
        <v>4328</v>
      </c>
      <c r="S1458" s="0" t="n">
        <v>7629</v>
      </c>
      <c r="T1458" s="0" t="n">
        <v>50.5</v>
      </c>
      <c r="U1458" s="0" t="n">
        <v>875</v>
      </c>
      <c r="V1458" s="0" t="n">
        <v>1</v>
      </c>
      <c r="W1458" s="39" t="n">
        <f aca="false">IF(I1458="Male",0,1)</f>
        <v>1</v>
      </c>
      <c r="X1458" s="39" t="n">
        <f aca="false">IF(OR(I1458="DNB",I1458="Dry DNB"),1,0)</f>
        <v>0</v>
      </c>
      <c r="Y1458" s="39" t="n">
        <f aca="false">MATCH(A1458,DATAS,0)</f>
        <v>1</v>
      </c>
      <c r="Z1458" s="39" t="n">
        <f aca="false">IF(AND(E1458&gt;0,OR(AND(B1458&gt;=1,B1458&lt;=6),B1458=10)),1,0)</f>
        <v>1</v>
      </c>
      <c r="AA1458" s="39" t="n">
        <f aca="false">IF(AND(E1458&gt;0,B1458=10),1,0)</f>
        <v>0</v>
      </c>
      <c r="AB1458" s="0" t="str">
        <f aca="false">IF(AND(C1457=C1458,Y1457=Y1458-1),Z1457,"")</f>
        <v/>
      </c>
      <c r="AC1458" s="0" t="str">
        <f aca="false">IF(AND(C1457=C1458,Y1457=Y1458-1),AA1457,"")</f>
        <v/>
      </c>
      <c r="AD1458" s="0" t="str">
        <f aca="false">IF(Y1458=1,"",IF(AND(Z1458=1,AB1458&lt;&gt;1),1,0))</f>
        <v/>
      </c>
      <c r="AE1458" s="0" t="str">
        <f aca="false">IF(Y1458=1,"",IF(AND(AA1458=1,AC1458&lt;&gt;1),1,0))</f>
        <v/>
      </c>
      <c r="AF1458" s="45" t="str">
        <f aca="false">IF(AND(E1458&gt;0,Y1458&lt;1,NOT(AND(C1459=C1458,Y1459=Y1458+1))),INDEX(DATAS,Y1458+1),"")</f>
        <v/>
      </c>
      <c r="AG1458" s="45" t="str">
        <f aca="false">IF(AND(AA1458=1,Y1458&lt;1),IF(AND(C1459=C1458,Y1459=Y1458+1),IF(AA1459=1,"",INDEX(DATAS,Y1458+1)),INDEX(DATAS,Y1458+1)),"")</f>
        <v/>
      </c>
    </row>
    <row r="1459" customFormat="false" ht="15" hidden="false" customHeight="false" outlineLevel="0" collapsed="false">
      <c r="A1459" s="45" t="n">
        <v>46309</v>
      </c>
      <c r="B1459" s="0" t="n">
        <v>4</v>
      </c>
      <c r="C1459" s="0" t="n">
        <v>5585</v>
      </c>
      <c r="D1459" s="0" t="n">
        <v>234</v>
      </c>
      <c r="E1459" s="0" t="n">
        <v>1</v>
      </c>
      <c r="F1459" s="39" t="s">
        <v>904</v>
      </c>
      <c r="G1459" s="0" t="n">
        <v>34.4</v>
      </c>
      <c r="H1459" s="0" t="n">
        <v>33</v>
      </c>
      <c r="I1459" s="39" t="s">
        <v>109</v>
      </c>
      <c r="J1459" s="0" t="n">
        <v>103</v>
      </c>
      <c r="K1459" s="0" t="n">
        <v>80</v>
      </c>
      <c r="L1459" s="0" t="n">
        <v>131</v>
      </c>
      <c r="P1459" s="0" t="n">
        <v>3.26</v>
      </c>
      <c r="Q1459" s="0" t="n">
        <v>3.9</v>
      </c>
      <c r="R1459" s="0" t="n">
        <v>3323</v>
      </c>
      <c r="S1459" s="0" t="n">
        <v>7783</v>
      </c>
      <c r="T1459" s="0" t="n">
        <v>35</v>
      </c>
      <c r="U1459" s="0" t="n">
        <v>875</v>
      </c>
      <c r="V1459" s="0" t="n">
        <v>2</v>
      </c>
      <c r="W1459" s="39" t="n">
        <f aca="false">IF(I1459="Male",0,1)</f>
        <v>1</v>
      </c>
      <c r="X1459" s="39" t="n">
        <f aca="false">IF(OR(I1459="DNB",I1459="Dry DNB"),1,0)</f>
        <v>0</v>
      </c>
      <c r="Y1459" s="39" t="n">
        <f aca="false">MATCH(A1459,DATAS,0)</f>
        <v>1</v>
      </c>
      <c r="Z1459" s="39" t="n">
        <f aca="false">IF(AND(E1459&gt;0,OR(AND(B1459&gt;=1,B1459&lt;=6),B1459=10)),1,0)</f>
        <v>1</v>
      </c>
      <c r="AA1459" s="39" t="n">
        <f aca="false">IF(AND(E1459&gt;0,B1459=10),1,0)</f>
        <v>0</v>
      </c>
      <c r="AB1459" s="0" t="str">
        <f aca="false">IF(AND(C1458=C1459,Y1458=Y1459-1),Z1458,"")</f>
        <v/>
      </c>
      <c r="AC1459" s="0" t="str">
        <f aca="false">IF(AND(C1458=C1459,Y1458=Y1459-1),AA1458,"")</f>
        <v/>
      </c>
      <c r="AD1459" s="0" t="str">
        <f aca="false">IF(Y1459=1,"",IF(AND(Z1459=1,AB1459&lt;&gt;1),1,0))</f>
        <v/>
      </c>
      <c r="AE1459" s="0" t="str">
        <f aca="false">IF(Y1459=1,"",IF(AND(AA1459=1,AC1459&lt;&gt;1),1,0))</f>
        <v/>
      </c>
      <c r="AF1459" s="45" t="str">
        <f aca="false">IF(AND(E1459&gt;0,Y1459&lt;1,NOT(AND(C1460=C1459,Y1460=Y1459+1))),INDEX(DATAS,Y1459+1),"")</f>
        <v/>
      </c>
      <c r="AG1459" s="45" t="str">
        <f aca="false">IF(AND(AA1459=1,Y1459&lt;1),IF(AND(C1460=C1459,Y1460=Y1459+1),IF(AA1460=1,"",INDEX(DATAS,Y1459+1)),INDEX(DATAS,Y1459+1)),"")</f>
        <v/>
      </c>
    </row>
    <row r="1460" customFormat="false" ht="15" hidden="false" customHeight="false" outlineLevel="0" collapsed="false">
      <c r="A1460" s="45" t="n">
        <v>46309</v>
      </c>
      <c r="B1460" s="0" t="n">
        <v>7</v>
      </c>
      <c r="C1460" s="0" t="n">
        <v>5586</v>
      </c>
      <c r="E1460" s="0" t="n">
        <v>0</v>
      </c>
      <c r="F1460" s="39" t="s">
        <v>905</v>
      </c>
      <c r="I1460" s="39" t="s">
        <v>109</v>
      </c>
      <c r="L1460" s="0" t="n">
        <v>224</v>
      </c>
      <c r="U1460" s="0" t="n">
        <v>874</v>
      </c>
      <c r="V1460" s="0" t="n">
        <v>5</v>
      </c>
      <c r="W1460" s="39" t="n">
        <f aca="false">IF(I1460="Male",0,1)</f>
        <v>1</v>
      </c>
      <c r="X1460" s="39" t="n">
        <f aca="false">IF(OR(I1460="DNB",I1460="Dry DNB"),1,0)</f>
        <v>0</v>
      </c>
      <c r="Y1460" s="39" t="n">
        <f aca="false">MATCH(A1460,DATAS,0)</f>
        <v>1</v>
      </c>
      <c r="Z1460" s="39" t="n">
        <f aca="false">IF(AND(E1460&gt;0,OR(AND(B1460&gt;=1,B1460&lt;=6),B1460=10)),1,0)</f>
        <v>0</v>
      </c>
      <c r="AA1460" s="39" t="n">
        <f aca="false">IF(AND(E1460&gt;0,B1460=10),1,0)</f>
        <v>0</v>
      </c>
      <c r="AB1460" s="0" t="str">
        <f aca="false">IF(AND(C1459=C1460,Y1459=Y1460-1),Z1459,"")</f>
        <v/>
      </c>
      <c r="AC1460" s="0" t="str">
        <f aca="false">IF(AND(C1459=C1460,Y1459=Y1460-1),AA1459,"")</f>
        <v/>
      </c>
      <c r="AD1460" s="0" t="str">
        <f aca="false">IF(Y1460=1,"",IF(AND(Z1460=1,AB1460&lt;&gt;1),1,0))</f>
        <v/>
      </c>
      <c r="AE1460" s="0" t="str">
        <f aca="false">IF(Y1460=1,"",IF(AND(AA1460=1,AC1460&lt;&gt;1),1,0))</f>
        <v/>
      </c>
      <c r="AF1460" s="45" t="str">
        <f aca="false">IF(AND(E1460&gt;0,Y1460&lt;1,NOT(AND(C1461=C1460,Y1461=Y1460+1))),INDEX(DATAS,Y1460+1),"")</f>
        <v/>
      </c>
      <c r="AG1460" s="45" t="str">
        <f aca="false">IF(AND(AA1460=1,Y1460&lt;1),IF(AND(C1461=C1460,Y1461=Y1460+1),IF(AA1461=1,"",INDEX(DATAS,Y1460+1)),INDEX(DATAS,Y1460+1)),"")</f>
        <v/>
      </c>
    </row>
    <row r="1461" customFormat="false" ht="15" hidden="false" customHeight="false" outlineLevel="0" collapsed="false">
      <c r="A1461" s="45" t="n">
        <v>46309</v>
      </c>
      <c r="B1461" s="0" t="n">
        <v>4</v>
      </c>
      <c r="C1461" s="0" t="n">
        <v>5587</v>
      </c>
      <c r="D1461" s="0" t="n">
        <v>223</v>
      </c>
      <c r="E1461" s="0" t="n">
        <v>1</v>
      </c>
      <c r="F1461" s="39" t="s">
        <v>906</v>
      </c>
      <c r="G1461" s="0" t="n">
        <v>37.7</v>
      </c>
      <c r="H1461" s="0" t="n">
        <v>38</v>
      </c>
      <c r="I1461" s="39" t="s">
        <v>109</v>
      </c>
      <c r="J1461" s="0" t="n">
        <v>113</v>
      </c>
      <c r="K1461" s="0" t="n">
        <v>69</v>
      </c>
      <c r="L1461" s="0" t="n">
        <v>110</v>
      </c>
      <c r="P1461" s="0" t="n">
        <v>3.79</v>
      </c>
      <c r="Q1461" s="0" t="n">
        <v>3.81</v>
      </c>
      <c r="R1461" s="0" t="n">
        <v>3667</v>
      </c>
      <c r="S1461" s="0" t="n">
        <v>8518</v>
      </c>
      <c r="T1461" s="0" t="n">
        <v>39</v>
      </c>
      <c r="U1461" s="0" t="n">
        <v>873</v>
      </c>
      <c r="V1461" s="0" t="n">
        <v>3</v>
      </c>
      <c r="W1461" s="39" t="n">
        <f aca="false">IF(I1461="Male",0,1)</f>
        <v>1</v>
      </c>
      <c r="X1461" s="39" t="n">
        <f aca="false">IF(OR(I1461="DNB",I1461="Dry DNB"),1,0)</f>
        <v>0</v>
      </c>
      <c r="Y1461" s="39" t="n">
        <f aca="false">MATCH(A1461,DATAS,0)</f>
        <v>1</v>
      </c>
      <c r="Z1461" s="39" t="n">
        <f aca="false">IF(AND(E1461&gt;0,OR(AND(B1461&gt;=1,B1461&lt;=6),B1461=10)),1,0)</f>
        <v>1</v>
      </c>
      <c r="AA1461" s="39" t="n">
        <f aca="false">IF(AND(E1461&gt;0,B1461=10),1,0)</f>
        <v>0</v>
      </c>
      <c r="AB1461" s="0" t="str">
        <f aca="false">IF(AND(C1460=C1461,Y1460=Y1461-1),Z1460,"")</f>
        <v/>
      </c>
      <c r="AC1461" s="0" t="str">
        <f aca="false">IF(AND(C1460=C1461,Y1460=Y1461-1),AA1460,"")</f>
        <v/>
      </c>
      <c r="AD1461" s="0" t="str">
        <f aca="false">IF(Y1461=1,"",IF(AND(Z1461=1,AB1461&lt;&gt;1),1,0))</f>
        <v/>
      </c>
      <c r="AE1461" s="0" t="str">
        <f aca="false">IF(Y1461=1,"",IF(AND(AA1461=1,AC1461&lt;&gt;1),1,0))</f>
        <v/>
      </c>
      <c r="AF1461" s="45" t="str">
        <f aca="false">IF(AND(E1461&gt;0,Y1461&lt;1,NOT(AND(C1462=C1461,Y1462=Y1461+1))),INDEX(DATAS,Y1461+1),"")</f>
        <v/>
      </c>
      <c r="AG1461" s="45" t="str">
        <f aca="false">IF(AND(AA1461=1,Y1461&lt;1),IF(AND(C1462=C1461,Y1462=Y1461+1),IF(AA1462=1,"",INDEX(DATAS,Y1461+1)),INDEX(DATAS,Y1461+1)),"")</f>
        <v/>
      </c>
    </row>
    <row r="1462" customFormat="false" ht="15" hidden="false" customHeight="false" outlineLevel="0" collapsed="false">
      <c r="A1462" s="45" t="n">
        <v>46309</v>
      </c>
      <c r="B1462" s="0" t="n">
        <v>4</v>
      </c>
      <c r="C1462" s="0" t="n">
        <v>5589</v>
      </c>
      <c r="D1462" s="0" t="n">
        <v>210</v>
      </c>
      <c r="E1462" s="0" t="n">
        <v>1</v>
      </c>
      <c r="F1462" s="39" t="s">
        <v>906</v>
      </c>
      <c r="G1462" s="0" t="n">
        <v>46.1</v>
      </c>
      <c r="H1462" s="0" t="n">
        <v>46</v>
      </c>
      <c r="I1462" s="39" t="s">
        <v>109</v>
      </c>
      <c r="J1462" s="0" t="n">
        <v>98</v>
      </c>
      <c r="K1462" s="0" t="n">
        <v>63</v>
      </c>
      <c r="L1462" s="0" t="n">
        <v>112</v>
      </c>
      <c r="P1462" s="0" t="n">
        <v>4.55</v>
      </c>
      <c r="Q1462" s="0" t="n">
        <v>3.65</v>
      </c>
      <c r="R1462" s="0" t="n">
        <v>3989</v>
      </c>
      <c r="S1462" s="0" t="n">
        <v>8587</v>
      </c>
      <c r="T1462" s="0" t="n">
        <v>47.4</v>
      </c>
      <c r="U1462" s="0" t="n">
        <v>873</v>
      </c>
      <c r="V1462" s="0" t="n">
        <v>2</v>
      </c>
      <c r="W1462" s="39" t="n">
        <f aca="false">IF(I1462="Male",0,1)</f>
        <v>1</v>
      </c>
      <c r="X1462" s="39" t="n">
        <f aca="false">IF(OR(I1462="DNB",I1462="Dry DNB"),1,0)</f>
        <v>0</v>
      </c>
      <c r="Y1462" s="39" t="n">
        <f aca="false">MATCH(A1462,DATAS,0)</f>
        <v>1</v>
      </c>
      <c r="Z1462" s="39" t="n">
        <f aca="false">IF(AND(E1462&gt;0,OR(AND(B1462&gt;=1,B1462&lt;=6),B1462=10)),1,0)</f>
        <v>1</v>
      </c>
      <c r="AA1462" s="39" t="n">
        <f aca="false">IF(AND(E1462&gt;0,B1462=10),1,0)</f>
        <v>0</v>
      </c>
      <c r="AB1462" s="0" t="str">
        <f aca="false">IF(AND(C1461=C1462,Y1461=Y1462-1),Z1461,"")</f>
        <v/>
      </c>
      <c r="AC1462" s="0" t="str">
        <f aca="false">IF(AND(C1461=C1462,Y1461=Y1462-1),AA1461,"")</f>
        <v/>
      </c>
      <c r="AD1462" s="0" t="str">
        <f aca="false">IF(Y1462=1,"",IF(AND(Z1462=1,AB1462&lt;&gt;1),1,0))</f>
        <v/>
      </c>
      <c r="AE1462" s="0" t="str">
        <f aca="false">IF(Y1462=1,"",IF(AND(AA1462=1,AC1462&lt;&gt;1),1,0))</f>
        <v/>
      </c>
      <c r="AF1462" s="45" t="str">
        <f aca="false">IF(AND(E1462&gt;0,Y1462&lt;1,NOT(AND(C1463=C1462,Y1463=Y1462+1))),INDEX(DATAS,Y1462+1),"")</f>
        <v/>
      </c>
      <c r="AG1462" s="45" t="str">
        <f aca="false">IF(AND(AA1462=1,Y1462&lt;1),IF(AND(C1463=C1462,Y1463=Y1462+1),IF(AA1463=1,"",INDEX(DATAS,Y1462+1)),INDEX(DATAS,Y1462+1)),"")</f>
        <v/>
      </c>
    </row>
    <row r="1463" customFormat="false" ht="15" hidden="false" customHeight="false" outlineLevel="0" collapsed="false">
      <c r="A1463" s="45" t="n">
        <v>46309</v>
      </c>
      <c r="B1463" s="0" t="n">
        <v>4</v>
      </c>
      <c r="C1463" s="0" t="n">
        <v>5590</v>
      </c>
      <c r="D1463" s="0" t="n">
        <v>228</v>
      </c>
      <c r="E1463" s="0" t="n">
        <v>1</v>
      </c>
      <c r="F1463" s="39" t="s">
        <v>907</v>
      </c>
      <c r="G1463" s="0" t="n">
        <v>36.2</v>
      </c>
      <c r="H1463" s="0" t="n">
        <v>37</v>
      </c>
      <c r="I1463" s="39" t="s">
        <v>109</v>
      </c>
      <c r="J1463" s="0" t="n">
        <v>67</v>
      </c>
      <c r="K1463" s="0" t="n">
        <v>67</v>
      </c>
      <c r="L1463" s="0" t="n">
        <v>161</v>
      </c>
      <c r="P1463" s="0" t="n">
        <v>3.43</v>
      </c>
      <c r="Q1463" s="0" t="n">
        <v>3.55</v>
      </c>
      <c r="R1463" s="0" t="n">
        <v>3107</v>
      </c>
      <c r="S1463" s="0" t="n">
        <v>7643</v>
      </c>
      <c r="T1463" s="0" t="n">
        <v>39.5</v>
      </c>
      <c r="U1463" s="0" t="n">
        <v>872</v>
      </c>
      <c r="V1463" s="0" t="n">
        <v>1</v>
      </c>
      <c r="W1463" s="39" t="n">
        <f aca="false">IF(I1463="Male",0,1)</f>
        <v>1</v>
      </c>
      <c r="X1463" s="39" t="n">
        <f aca="false">IF(OR(I1463="DNB",I1463="Dry DNB"),1,0)</f>
        <v>0</v>
      </c>
      <c r="Y1463" s="39" t="n">
        <f aca="false">MATCH(A1463,DATAS,0)</f>
        <v>1</v>
      </c>
      <c r="Z1463" s="39" t="n">
        <f aca="false">IF(AND(E1463&gt;0,OR(AND(B1463&gt;=1,B1463&lt;=6),B1463=10)),1,0)</f>
        <v>1</v>
      </c>
      <c r="AA1463" s="39" t="n">
        <f aca="false">IF(AND(E1463&gt;0,B1463=10),1,0)</f>
        <v>0</v>
      </c>
      <c r="AB1463" s="0" t="str">
        <f aca="false">IF(AND(C1462=C1463,Y1462=Y1463-1),Z1462,"")</f>
        <v/>
      </c>
      <c r="AC1463" s="0" t="str">
        <f aca="false">IF(AND(C1462=C1463,Y1462=Y1463-1),AA1462,"")</f>
        <v/>
      </c>
      <c r="AD1463" s="0" t="str">
        <f aca="false">IF(Y1463=1,"",IF(AND(Z1463=1,AB1463&lt;&gt;1),1,0))</f>
        <v/>
      </c>
      <c r="AE1463" s="0" t="str">
        <f aca="false">IF(Y1463=1,"",IF(AND(AA1463=1,AC1463&lt;&gt;1),1,0))</f>
        <v/>
      </c>
      <c r="AF1463" s="45" t="str">
        <f aca="false">IF(AND(E1463&gt;0,Y1463&lt;1,NOT(AND(C1464=C1463,Y1464=Y1463+1))),INDEX(DATAS,Y1463+1),"")</f>
        <v/>
      </c>
      <c r="AG1463" s="45" t="str">
        <f aca="false">IF(AND(AA1463=1,Y1463&lt;1),IF(AND(C1464=C1463,Y1464=Y1463+1),IF(AA1464=1,"",INDEX(DATAS,Y1463+1)),INDEX(DATAS,Y1463+1)),"")</f>
        <v/>
      </c>
    </row>
    <row r="1464" customFormat="false" ht="15" hidden="false" customHeight="false" outlineLevel="0" collapsed="false">
      <c r="A1464" s="45" t="n">
        <v>46309</v>
      </c>
      <c r="B1464" s="0" t="n">
        <v>4</v>
      </c>
      <c r="C1464" s="0" t="n">
        <v>5591</v>
      </c>
      <c r="D1464" s="0" t="n">
        <v>120</v>
      </c>
      <c r="E1464" s="0" t="n">
        <v>1</v>
      </c>
      <c r="F1464" s="39" t="s">
        <v>907</v>
      </c>
      <c r="G1464" s="0" t="n">
        <v>33.8</v>
      </c>
      <c r="H1464" s="0" t="n">
        <v>33</v>
      </c>
      <c r="I1464" s="39" t="s">
        <v>138</v>
      </c>
      <c r="J1464" s="0" t="n">
        <v>120</v>
      </c>
      <c r="K1464" s="0" t="n">
        <v>64</v>
      </c>
      <c r="P1464" s="0" t="n">
        <v>4.37</v>
      </c>
      <c r="Q1464" s="0" t="n">
        <v>3.44</v>
      </c>
      <c r="R1464" s="0" t="n">
        <v>2651</v>
      </c>
      <c r="S1464" s="0" t="n">
        <v>5533</v>
      </c>
      <c r="T1464" s="0" t="n">
        <v>29</v>
      </c>
      <c r="U1464" s="0" t="n">
        <v>872</v>
      </c>
      <c r="V1464" s="0" t="n">
        <v>2</v>
      </c>
      <c r="W1464" s="39" t="n">
        <f aca="false">IF(I1464="Male",0,1)</f>
        <v>1</v>
      </c>
      <c r="X1464" s="39" t="n">
        <f aca="false">IF(OR(I1464="DNB",I1464="Dry DNB"),1,0)</f>
        <v>0</v>
      </c>
      <c r="Y1464" s="39" t="n">
        <f aca="false">MATCH(A1464,DATAS,0)</f>
        <v>1</v>
      </c>
      <c r="Z1464" s="39" t="n">
        <f aca="false">IF(AND(E1464&gt;0,OR(AND(B1464&gt;=1,B1464&lt;=6),B1464=10)),1,0)</f>
        <v>1</v>
      </c>
      <c r="AA1464" s="39" t="n">
        <f aca="false">IF(AND(E1464&gt;0,B1464=10),1,0)</f>
        <v>0</v>
      </c>
      <c r="AB1464" s="0" t="str">
        <f aca="false">IF(AND(C1463=C1464,Y1463=Y1464-1),Z1463,"")</f>
        <v/>
      </c>
      <c r="AC1464" s="0" t="str">
        <f aca="false">IF(AND(C1463=C1464,Y1463=Y1464-1),AA1463,"")</f>
        <v/>
      </c>
      <c r="AD1464" s="0" t="str">
        <f aca="false">IF(Y1464=1,"",IF(AND(Z1464=1,AB1464&lt;&gt;1),1,0))</f>
        <v/>
      </c>
      <c r="AE1464" s="0" t="str">
        <f aca="false">IF(Y1464=1,"",IF(AND(AA1464=1,AC1464&lt;&gt;1),1,0))</f>
        <v/>
      </c>
      <c r="AF1464" s="45" t="str">
        <f aca="false">IF(AND(E1464&gt;0,Y1464&lt;1,NOT(AND(C1465=C1464,Y1465=Y1464+1))),INDEX(DATAS,Y1464+1),"")</f>
        <v/>
      </c>
      <c r="AG1464" s="45" t="str">
        <f aca="false">IF(AND(AA1464=1,Y1464&lt;1),IF(AND(C1465=C1464,Y1465=Y1464+1),IF(AA1465=1,"",INDEX(DATAS,Y1464+1)),INDEX(DATAS,Y1464+1)),"")</f>
        <v/>
      </c>
    </row>
    <row r="1465" customFormat="false" ht="15" hidden="false" customHeight="false" outlineLevel="0" collapsed="false">
      <c r="A1465" s="45" t="n">
        <v>46309</v>
      </c>
      <c r="B1465" s="0" t="n">
        <v>4</v>
      </c>
      <c r="C1465" s="0" t="n">
        <v>5592</v>
      </c>
      <c r="D1465" s="0" t="n">
        <v>209</v>
      </c>
      <c r="E1465" s="0" t="n">
        <v>1</v>
      </c>
      <c r="F1465" s="39" t="s">
        <v>908</v>
      </c>
      <c r="G1465" s="0" t="n">
        <v>46.9</v>
      </c>
      <c r="H1465" s="0" t="n">
        <v>46</v>
      </c>
      <c r="I1465" s="39" t="s">
        <v>109</v>
      </c>
      <c r="J1465" s="0" t="n">
        <v>104</v>
      </c>
      <c r="K1465" s="0" t="n">
        <v>69</v>
      </c>
      <c r="L1465" s="0" t="n">
        <v>105</v>
      </c>
      <c r="P1465" s="0" t="n">
        <v>4.1</v>
      </c>
      <c r="Q1465" s="0" t="n">
        <v>3.53</v>
      </c>
      <c r="R1465" s="0" t="n">
        <v>3831</v>
      </c>
      <c r="S1465" s="0" t="n">
        <v>8548</v>
      </c>
      <c r="T1465" s="0" t="n">
        <v>44.7</v>
      </c>
      <c r="U1465" s="0" t="n">
        <v>871</v>
      </c>
      <c r="V1465" s="0" t="n">
        <v>2</v>
      </c>
      <c r="W1465" s="39" t="n">
        <f aca="false">IF(I1465="Male",0,1)</f>
        <v>1</v>
      </c>
      <c r="X1465" s="39" t="n">
        <f aca="false">IF(OR(I1465="DNB",I1465="Dry DNB"),1,0)</f>
        <v>0</v>
      </c>
      <c r="Y1465" s="39" t="n">
        <f aca="false">MATCH(A1465,DATAS,0)</f>
        <v>1</v>
      </c>
      <c r="Z1465" s="39" t="n">
        <f aca="false">IF(AND(E1465&gt;0,OR(AND(B1465&gt;=1,B1465&lt;=6),B1465=10)),1,0)</f>
        <v>1</v>
      </c>
      <c r="AA1465" s="39" t="n">
        <f aca="false">IF(AND(E1465&gt;0,B1465=10),1,0)</f>
        <v>0</v>
      </c>
      <c r="AB1465" s="0" t="str">
        <f aca="false">IF(AND(C1464=C1465,Y1464=Y1465-1),Z1464,"")</f>
        <v/>
      </c>
      <c r="AC1465" s="0" t="str">
        <f aca="false">IF(AND(C1464=C1465,Y1464=Y1465-1),AA1464,"")</f>
        <v/>
      </c>
      <c r="AD1465" s="0" t="str">
        <f aca="false">IF(Y1465=1,"",IF(AND(Z1465=1,AB1465&lt;&gt;1),1,0))</f>
        <v/>
      </c>
      <c r="AE1465" s="0" t="str">
        <f aca="false">IF(Y1465=1,"",IF(AND(AA1465=1,AC1465&lt;&gt;1),1,0))</f>
        <v/>
      </c>
      <c r="AF1465" s="45" t="str">
        <f aca="false">IF(AND(E1465&gt;0,Y1465&lt;1,NOT(AND(C1466=C1465,Y1466=Y1465+1))),INDEX(DATAS,Y1465+1),"")</f>
        <v/>
      </c>
      <c r="AG1465" s="45" t="str">
        <f aca="false">IF(AND(AA1465=1,Y1465&lt;1),IF(AND(C1466=C1465,Y1466=Y1465+1),IF(AA1466=1,"",INDEX(DATAS,Y1465+1)),INDEX(DATAS,Y1465+1)),"")</f>
        <v/>
      </c>
    </row>
    <row r="1466" customFormat="false" ht="15" hidden="false" customHeight="false" outlineLevel="0" collapsed="false">
      <c r="A1466" s="45" t="n">
        <v>46309</v>
      </c>
      <c r="B1466" s="0" t="n">
        <v>10</v>
      </c>
      <c r="C1466" s="0" t="n">
        <v>5593</v>
      </c>
      <c r="D1466" s="0" t="n">
        <v>209</v>
      </c>
      <c r="E1466" s="0" t="n">
        <v>1</v>
      </c>
      <c r="F1466" s="39" t="s">
        <v>908</v>
      </c>
      <c r="H1466" s="0" t="n">
        <v>20</v>
      </c>
      <c r="I1466" s="39" t="s">
        <v>109</v>
      </c>
      <c r="J1466" s="0" t="n">
        <v>69</v>
      </c>
      <c r="K1466" s="0" t="n">
        <v>76</v>
      </c>
      <c r="L1466" s="0" t="n">
        <v>140</v>
      </c>
      <c r="P1466" s="0" t="n">
        <v>4.48</v>
      </c>
      <c r="Q1466" s="0" t="n">
        <v>3.36</v>
      </c>
      <c r="R1466" s="0" t="n">
        <v>3414</v>
      </c>
      <c r="S1466" s="0" t="n">
        <v>7562</v>
      </c>
      <c r="T1466" s="0" t="n">
        <v>39.55</v>
      </c>
      <c r="U1466" s="0" t="n">
        <v>871</v>
      </c>
      <c r="V1466" s="0" t="n">
        <v>1</v>
      </c>
      <c r="W1466" s="39" t="n">
        <f aca="false">IF(I1466="Male",0,1)</f>
        <v>1</v>
      </c>
      <c r="X1466" s="39" t="n">
        <f aca="false">IF(OR(I1466="DNB",I1466="Dry DNB"),1,0)</f>
        <v>0</v>
      </c>
      <c r="Y1466" s="39" t="n">
        <f aca="false">MATCH(A1466,DATAS,0)</f>
        <v>1</v>
      </c>
      <c r="Z1466" s="39" t="n">
        <f aca="false">IF(AND(E1466&gt;0,OR(AND(B1466&gt;=1,B1466&lt;=6),B1466=10)),1,0)</f>
        <v>1</v>
      </c>
      <c r="AA1466" s="39" t="n">
        <f aca="false">IF(AND(E1466&gt;0,B1466=10),1,0)</f>
        <v>1</v>
      </c>
      <c r="AB1466" s="0" t="str">
        <f aca="false">IF(AND(C1465=C1466,Y1465=Y1466-1),Z1465,"")</f>
        <v/>
      </c>
      <c r="AC1466" s="0" t="str">
        <f aca="false">IF(AND(C1465=C1466,Y1465=Y1466-1),AA1465,"")</f>
        <v/>
      </c>
      <c r="AD1466" s="0" t="str">
        <f aca="false">IF(Y1466=1,"",IF(AND(Z1466=1,AB1466&lt;&gt;1),1,0))</f>
        <v/>
      </c>
      <c r="AE1466" s="0" t="str">
        <f aca="false">IF(Y1466=1,"",IF(AND(AA1466=1,AC1466&lt;&gt;1),1,0))</f>
        <v/>
      </c>
      <c r="AF1466" s="45" t="str">
        <f aca="false">IF(AND(E1466&gt;0,Y1466&lt;1,NOT(AND(C1467=C1466,Y1467=Y1466+1))),INDEX(DATAS,Y1466+1),"")</f>
        <v/>
      </c>
      <c r="AG1466" s="45" t="str">
        <f aca="false">IF(AND(AA1466=1,Y1466&lt;1),IF(AND(C1467=C1466,Y1467=Y1466+1),IF(AA1467=1,"",INDEX(DATAS,Y1466+1)),INDEX(DATAS,Y1466+1)),"")</f>
        <v/>
      </c>
    </row>
    <row r="1467" customFormat="false" ht="15" hidden="false" customHeight="false" outlineLevel="0" collapsed="false">
      <c r="A1467" s="45" t="n">
        <v>46309</v>
      </c>
      <c r="B1467" s="0" t="n">
        <v>4</v>
      </c>
      <c r="C1467" s="0" t="n">
        <v>5594</v>
      </c>
      <c r="D1467" s="0" t="n">
        <v>186</v>
      </c>
      <c r="E1467" s="0" t="n">
        <v>1</v>
      </c>
      <c r="F1467" s="39" t="s">
        <v>908</v>
      </c>
      <c r="G1467" s="0" t="n">
        <v>53.4</v>
      </c>
      <c r="H1467" s="0" t="n">
        <v>53</v>
      </c>
      <c r="I1467" s="39" t="s">
        <v>109</v>
      </c>
      <c r="J1467" s="0" t="n">
        <v>67</v>
      </c>
      <c r="K1467" s="0" t="n">
        <v>67</v>
      </c>
      <c r="L1467" s="0" t="n">
        <v>119</v>
      </c>
      <c r="P1467" s="0" t="n">
        <v>3.3</v>
      </c>
      <c r="Q1467" s="0" t="n">
        <v>2.97</v>
      </c>
      <c r="R1467" s="0" t="n">
        <v>4938</v>
      </c>
      <c r="S1467" s="0" t="n">
        <v>9500</v>
      </c>
      <c r="T1467" s="0" t="n">
        <v>51.95</v>
      </c>
      <c r="U1467" s="0" t="n">
        <v>871</v>
      </c>
      <c r="V1467" s="0" t="n">
        <v>1</v>
      </c>
      <c r="W1467" s="39" t="n">
        <f aca="false">IF(I1467="Male",0,1)</f>
        <v>1</v>
      </c>
      <c r="X1467" s="39" t="n">
        <f aca="false">IF(OR(I1467="DNB",I1467="Dry DNB"),1,0)</f>
        <v>0</v>
      </c>
      <c r="Y1467" s="39" t="n">
        <f aca="false">MATCH(A1467,DATAS,0)</f>
        <v>1</v>
      </c>
      <c r="Z1467" s="39" t="n">
        <f aca="false">IF(AND(E1467&gt;0,OR(AND(B1467&gt;=1,B1467&lt;=6),B1467=10)),1,0)</f>
        <v>1</v>
      </c>
      <c r="AA1467" s="39" t="n">
        <f aca="false">IF(AND(E1467&gt;0,B1467=10),1,0)</f>
        <v>0</v>
      </c>
      <c r="AB1467" s="0" t="str">
        <f aca="false">IF(AND(C1466=C1467,Y1466=Y1467-1),Z1466,"")</f>
        <v/>
      </c>
      <c r="AC1467" s="0" t="str">
        <f aca="false">IF(AND(C1466=C1467,Y1466=Y1467-1),AA1466,"")</f>
        <v/>
      </c>
      <c r="AD1467" s="0" t="str">
        <f aca="false">IF(Y1467=1,"",IF(AND(Z1467=1,AB1467&lt;&gt;1),1,0))</f>
        <v/>
      </c>
      <c r="AE1467" s="0" t="str">
        <f aca="false">IF(Y1467=1,"",IF(AND(AA1467=1,AC1467&lt;&gt;1),1,0))</f>
        <v/>
      </c>
      <c r="AF1467" s="45" t="str">
        <f aca="false">IF(AND(E1467&gt;0,Y1467&lt;1,NOT(AND(C1468=C1467,Y1468=Y1467+1))),INDEX(DATAS,Y1467+1),"")</f>
        <v/>
      </c>
      <c r="AG1467" s="45" t="str">
        <f aca="false">IF(AND(AA1467=1,Y1467&lt;1),IF(AND(C1468=C1467,Y1468=Y1467+1),IF(AA1468=1,"",INDEX(DATAS,Y1467+1)),INDEX(DATAS,Y1467+1)),"")</f>
        <v/>
      </c>
    </row>
    <row r="1468" customFormat="false" ht="15" hidden="false" customHeight="false" outlineLevel="0" collapsed="false">
      <c r="A1468" s="45" t="n">
        <v>46309</v>
      </c>
      <c r="B1468" s="0" t="n">
        <v>4</v>
      </c>
      <c r="C1468" s="0" t="n">
        <v>5595</v>
      </c>
      <c r="D1468" s="0" t="n">
        <v>240</v>
      </c>
      <c r="E1468" s="0" t="n">
        <v>1</v>
      </c>
      <c r="F1468" s="39" t="s">
        <v>909</v>
      </c>
      <c r="G1468" s="0" t="n">
        <v>45.4</v>
      </c>
      <c r="H1468" s="0" t="n">
        <v>46</v>
      </c>
      <c r="I1468" s="39" t="s">
        <v>109</v>
      </c>
      <c r="J1468" s="0" t="n">
        <v>65</v>
      </c>
      <c r="K1468" s="0" t="n">
        <v>65</v>
      </c>
      <c r="L1468" s="0" t="n">
        <v>175</v>
      </c>
      <c r="P1468" s="0" t="n">
        <v>3.82</v>
      </c>
      <c r="Q1468" s="0" t="n">
        <v>3.37</v>
      </c>
      <c r="R1468" s="0" t="n">
        <v>4005</v>
      </c>
      <c r="S1468" s="0" t="n">
        <v>9052</v>
      </c>
      <c r="T1468" s="0" t="n">
        <v>44.75</v>
      </c>
      <c r="U1468" s="0" t="n">
        <v>870</v>
      </c>
      <c r="V1468" s="0" t="n">
        <v>1</v>
      </c>
      <c r="W1468" s="39" t="n">
        <f aca="false">IF(I1468="Male",0,1)</f>
        <v>1</v>
      </c>
      <c r="X1468" s="39" t="n">
        <f aca="false">IF(OR(I1468="DNB",I1468="Dry DNB"),1,0)</f>
        <v>0</v>
      </c>
      <c r="Y1468" s="39" t="n">
        <f aca="false">MATCH(A1468,DATAS,0)</f>
        <v>1</v>
      </c>
      <c r="Z1468" s="39" t="n">
        <f aca="false">IF(AND(E1468&gt;0,OR(AND(B1468&gt;=1,B1468&lt;=6),B1468=10)),1,0)</f>
        <v>1</v>
      </c>
      <c r="AA1468" s="39" t="n">
        <f aca="false">IF(AND(E1468&gt;0,B1468=10),1,0)</f>
        <v>0</v>
      </c>
      <c r="AB1468" s="0" t="str">
        <f aca="false">IF(AND(C1467=C1468,Y1467=Y1468-1),Z1467,"")</f>
        <v/>
      </c>
      <c r="AC1468" s="0" t="str">
        <f aca="false">IF(AND(C1467=C1468,Y1467=Y1468-1),AA1467,"")</f>
        <v/>
      </c>
      <c r="AD1468" s="0" t="str">
        <f aca="false">IF(Y1468=1,"",IF(AND(Z1468=1,AB1468&lt;&gt;1),1,0))</f>
        <v/>
      </c>
      <c r="AE1468" s="0" t="str">
        <f aca="false">IF(Y1468=1,"",IF(AND(AA1468=1,AC1468&lt;&gt;1),1,0))</f>
        <v/>
      </c>
      <c r="AF1468" s="45" t="str">
        <f aca="false">IF(AND(E1468&gt;0,Y1468&lt;1,NOT(AND(C1469=C1468,Y1469=Y1468+1))),INDEX(DATAS,Y1468+1),"")</f>
        <v/>
      </c>
      <c r="AG1468" s="45" t="str">
        <f aca="false">IF(AND(AA1468=1,Y1468&lt;1),IF(AND(C1469=C1468,Y1469=Y1468+1),IF(AA1469=1,"",INDEX(DATAS,Y1468+1)),INDEX(DATAS,Y1468+1)),"")</f>
        <v/>
      </c>
    </row>
    <row r="1469" customFormat="false" ht="15" hidden="false" customHeight="false" outlineLevel="0" collapsed="false">
      <c r="A1469" s="45" t="n">
        <v>46309</v>
      </c>
      <c r="B1469" s="0" t="n">
        <v>4</v>
      </c>
      <c r="C1469" s="0" t="n">
        <v>5596</v>
      </c>
      <c r="D1469" s="0" t="n">
        <v>220</v>
      </c>
      <c r="E1469" s="0" t="n">
        <v>1</v>
      </c>
      <c r="F1469" s="39" t="s">
        <v>909</v>
      </c>
      <c r="G1469" s="0" t="n">
        <v>33.4</v>
      </c>
      <c r="H1469" s="0" t="n">
        <v>35</v>
      </c>
      <c r="I1469" s="39" t="s">
        <v>109</v>
      </c>
      <c r="J1469" s="0" t="n">
        <v>164</v>
      </c>
      <c r="K1469" s="0" t="n">
        <v>66</v>
      </c>
      <c r="L1469" s="0" t="n">
        <v>56</v>
      </c>
      <c r="P1469" s="0" t="n">
        <v>4.75</v>
      </c>
      <c r="Q1469" s="0" t="n">
        <v>4.01</v>
      </c>
      <c r="R1469" s="0" t="n">
        <v>4777</v>
      </c>
      <c r="S1469" s="0" t="n">
        <v>8690</v>
      </c>
      <c r="T1469" s="0" t="n">
        <v>51.2</v>
      </c>
      <c r="U1469" s="0" t="n">
        <v>870</v>
      </c>
      <c r="V1469" s="0" t="n">
        <v>4</v>
      </c>
      <c r="W1469" s="39" t="n">
        <f aca="false">IF(I1469="Male",0,1)</f>
        <v>1</v>
      </c>
      <c r="X1469" s="39" t="n">
        <f aca="false">IF(OR(I1469="DNB",I1469="Dry DNB"),1,0)</f>
        <v>0</v>
      </c>
      <c r="Y1469" s="39" t="n">
        <f aca="false">MATCH(A1469,DATAS,0)</f>
        <v>1</v>
      </c>
      <c r="Z1469" s="39" t="n">
        <f aca="false">IF(AND(E1469&gt;0,OR(AND(B1469&gt;=1,B1469&lt;=6),B1469=10)),1,0)</f>
        <v>1</v>
      </c>
      <c r="AA1469" s="39" t="n">
        <f aca="false">IF(AND(E1469&gt;0,B1469=10),1,0)</f>
        <v>0</v>
      </c>
      <c r="AB1469" s="0" t="str">
        <f aca="false">IF(AND(C1468=C1469,Y1468=Y1469-1),Z1468,"")</f>
        <v/>
      </c>
      <c r="AC1469" s="0" t="str">
        <f aca="false">IF(AND(C1468=C1469,Y1468=Y1469-1),AA1468,"")</f>
        <v/>
      </c>
      <c r="AD1469" s="0" t="str">
        <f aca="false">IF(Y1469=1,"",IF(AND(Z1469=1,AB1469&lt;&gt;1),1,0))</f>
        <v/>
      </c>
      <c r="AE1469" s="0" t="str">
        <f aca="false">IF(Y1469=1,"",IF(AND(AA1469=1,AC1469&lt;&gt;1),1,0))</f>
        <v/>
      </c>
      <c r="AF1469" s="45" t="str">
        <f aca="false">IF(AND(E1469&gt;0,Y1469&lt;1,NOT(AND(C1470=C1469,Y1470=Y1469+1))),INDEX(DATAS,Y1469+1),"")</f>
        <v/>
      </c>
      <c r="AG1469" s="45" t="str">
        <f aca="false">IF(AND(AA1469=1,Y1469&lt;1),IF(AND(C1470=C1469,Y1470=Y1469+1),IF(AA1470=1,"",INDEX(DATAS,Y1469+1)),INDEX(DATAS,Y1469+1)),"")</f>
        <v/>
      </c>
    </row>
    <row r="1470" customFormat="false" ht="15" hidden="false" customHeight="false" outlineLevel="0" collapsed="false">
      <c r="A1470" s="45" t="n">
        <v>46309</v>
      </c>
      <c r="B1470" s="0" t="n">
        <v>4</v>
      </c>
      <c r="C1470" s="0" t="n">
        <v>5597</v>
      </c>
      <c r="D1470" s="0" t="n">
        <v>201</v>
      </c>
      <c r="E1470" s="0" t="n">
        <v>1</v>
      </c>
      <c r="F1470" s="39" t="s">
        <v>910</v>
      </c>
      <c r="G1470" s="0" t="n">
        <v>48.7</v>
      </c>
      <c r="H1470" s="0" t="n">
        <v>48</v>
      </c>
      <c r="I1470" s="39" t="s">
        <v>109</v>
      </c>
      <c r="J1470" s="0" t="n">
        <v>90</v>
      </c>
      <c r="K1470" s="0" t="n">
        <v>68</v>
      </c>
      <c r="L1470" s="0" t="n">
        <v>111</v>
      </c>
      <c r="P1470" s="0" t="n">
        <v>3.92</v>
      </c>
      <c r="Q1470" s="0" t="n">
        <v>3.76</v>
      </c>
      <c r="R1470" s="0" t="n">
        <v>4472</v>
      </c>
      <c r="S1470" s="0" t="n">
        <v>9583</v>
      </c>
      <c r="T1470" s="0" t="n">
        <v>48.9</v>
      </c>
      <c r="U1470" s="0" t="n">
        <v>868</v>
      </c>
      <c r="V1470" s="0" t="n">
        <v>2</v>
      </c>
      <c r="W1470" s="39" t="n">
        <f aca="false">IF(I1470="Male",0,1)</f>
        <v>1</v>
      </c>
      <c r="X1470" s="39" t="n">
        <f aca="false">IF(OR(I1470="DNB",I1470="Dry DNB"),1,0)</f>
        <v>0</v>
      </c>
      <c r="Y1470" s="39" t="n">
        <f aca="false">MATCH(A1470,DATAS,0)</f>
        <v>1</v>
      </c>
      <c r="Z1470" s="39" t="n">
        <f aca="false">IF(AND(E1470&gt;0,OR(AND(B1470&gt;=1,B1470&lt;=6),B1470=10)),1,0)</f>
        <v>1</v>
      </c>
      <c r="AA1470" s="39" t="n">
        <f aca="false">IF(AND(E1470&gt;0,B1470=10),1,0)</f>
        <v>0</v>
      </c>
      <c r="AB1470" s="0" t="str">
        <f aca="false">IF(AND(C1469=C1470,Y1469=Y1470-1),Z1469,"")</f>
        <v/>
      </c>
      <c r="AC1470" s="0" t="str">
        <f aca="false">IF(AND(C1469=C1470,Y1469=Y1470-1),AA1469,"")</f>
        <v/>
      </c>
      <c r="AD1470" s="0" t="str">
        <f aca="false">IF(Y1470=1,"",IF(AND(Z1470=1,AB1470&lt;&gt;1),1,0))</f>
        <v/>
      </c>
      <c r="AE1470" s="0" t="str">
        <f aca="false">IF(Y1470=1,"",IF(AND(AA1470=1,AC1470&lt;&gt;1),1,0))</f>
        <v/>
      </c>
      <c r="AF1470" s="45" t="str">
        <f aca="false">IF(AND(E1470&gt;0,Y1470&lt;1,NOT(AND(C1471=C1470,Y1471=Y1470+1))),INDEX(DATAS,Y1470+1),"")</f>
        <v/>
      </c>
      <c r="AG1470" s="45" t="str">
        <f aca="false">IF(AND(AA1470=1,Y1470&lt;1),IF(AND(C1471=C1470,Y1471=Y1470+1),IF(AA1471=1,"",INDEX(DATAS,Y1470+1)),INDEX(DATAS,Y1470+1)),"")</f>
        <v/>
      </c>
    </row>
    <row r="1471" customFormat="false" ht="15" hidden="false" customHeight="false" outlineLevel="0" collapsed="false">
      <c r="A1471" s="45" t="n">
        <v>46309</v>
      </c>
      <c r="B1471" s="0" t="n">
        <v>4</v>
      </c>
      <c r="C1471" s="0" t="n">
        <v>5598</v>
      </c>
      <c r="D1471" s="0" t="n">
        <v>144</v>
      </c>
      <c r="E1471" s="0" t="n">
        <v>1</v>
      </c>
      <c r="F1471" s="39" t="s">
        <v>910</v>
      </c>
      <c r="G1471" s="0" t="n">
        <v>45.4</v>
      </c>
      <c r="H1471" s="0" t="n">
        <v>46</v>
      </c>
      <c r="I1471" s="39" t="s">
        <v>138</v>
      </c>
      <c r="J1471" s="0" t="n">
        <v>144</v>
      </c>
      <c r="K1471" s="0" t="n">
        <v>67</v>
      </c>
      <c r="P1471" s="0" t="n">
        <v>3.47</v>
      </c>
      <c r="Q1471" s="0" t="n">
        <v>3.43</v>
      </c>
      <c r="R1471" s="0" t="n">
        <v>3233</v>
      </c>
      <c r="S1471" s="0" t="n">
        <v>7289</v>
      </c>
      <c r="T1471" s="0" t="n">
        <v>38.25</v>
      </c>
      <c r="U1471" s="0" t="n">
        <v>868</v>
      </c>
      <c r="V1471" s="0" t="n">
        <v>4</v>
      </c>
      <c r="W1471" s="39" t="n">
        <f aca="false">IF(I1471="Male",0,1)</f>
        <v>1</v>
      </c>
      <c r="X1471" s="39" t="n">
        <f aca="false">IF(OR(I1471="DNB",I1471="Dry DNB"),1,0)</f>
        <v>0</v>
      </c>
      <c r="Y1471" s="39" t="n">
        <f aca="false">MATCH(A1471,DATAS,0)</f>
        <v>1</v>
      </c>
      <c r="Z1471" s="39" t="n">
        <f aca="false">IF(AND(E1471&gt;0,OR(AND(B1471&gt;=1,B1471&lt;=6),B1471=10)),1,0)</f>
        <v>1</v>
      </c>
      <c r="AA1471" s="39" t="n">
        <f aca="false">IF(AND(E1471&gt;0,B1471=10),1,0)</f>
        <v>0</v>
      </c>
      <c r="AB1471" s="0" t="str">
        <f aca="false">IF(AND(C1470=C1471,Y1470=Y1471-1),Z1470,"")</f>
        <v/>
      </c>
      <c r="AC1471" s="0" t="str">
        <f aca="false">IF(AND(C1470=C1471,Y1470=Y1471-1),AA1470,"")</f>
        <v/>
      </c>
      <c r="AD1471" s="0" t="str">
        <f aca="false">IF(Y1471=1,"",IF(AND(Z1471=1,AB1471&lt;&gt;1),1,0))</f>
        <v/>
      </c>
      <c r="AE1471" s="0" t="str">
        <f aca="false">IF(Y1471=1,"",IF(AND(AA1471=1,AC1471&lt;&gt;1),1,0))</f>
        <v/>
      </c>
      <c r="AF1471" s="45" t="str">
        <f aca="false">IF(AND(E1471&gt;0,Y1471&lt;1,NOT(AND(C1472=C1471,Y1472=Y1471+1))),INDEX(DATAS,Y1471+1),"")</f>
        <v/>
      </c>
      <c r="AG1471" s="45" t="str">
        <f aca="false">IF(AND(AA1471=1,Y1471&lt;1),IF(AND(C1472=C1471,Y1472=Y1471+1),IF(AA1472=1,"",INDEX(DATAS,Y1471+1)),INDEX(DATAS,Y1471+1)),"")</f>
        <v/>
      </c>
    </row>
    <row r="1472" customFormat="false" ht="15" hidden="false" customHeight="false" outlineLevel="0" collapsed="false">
      <c r="A1472" s="45" t="n">
        <v>46309</v>
      </c>
      <c r="B1472" s="0" t="n">
        <v>4</v>
      </c>
      <c r="C1472" s="0" t="n">
        <v>5599</v>
      </c>
      <c r="D1472" s="0" t="n">
        <v>136</v>
      </c>
      <c r="E1472" s="0" t="n">
        <v>1</v>
      </c>
      <c r="F1472" s="39" t="s">
        <v>911</v>
      </c>
      <c r="G1472" s="0" t="n">
        <v>43.4</v>
      </c>
      <c r="H1472" s="0" t="n">
        <v>44</v>
      </c>
      <c r="I1472" s="39" t="s">
        <v>96</v>
      </c>
      <c r="J1472" s="0" t="n">
        <v>136</v>
      </c>
      <c r="K1472" s="0" t="n">
        <v>66</v>
      </c>
      <c r="P1472" s="0" t="n">
        <v>4.75</v>
      </c>
      <c r="Q1472" s="0" t="n">
        <v>3.41</v>
      </c>
      <c r="R1472" s="0" t="n">
        <v>3420</v>
      </c>
      <c r="S1472" s="0" t="n">
        <v>7584</v>
      </c>
      <c r="T1472" s="0" t="n">
        <v>35.9</v>
      </c>
      <c r="U1472" s="0" t="n">
        <v>867</v>
      </c>
      <c r="V1472" s="0" t="n">
        <v>2</v>
      </c>
      <c r="W1472" s="39" t="n">
        <f aca="false">IF(I1472="Male",0,1)</f>
        <v>1</v>
      </c>
      <c r="X1472" s="39" t="n">
        <f aca="false">IF(OR(I1472="DNB",I1472="Dry DNB"),1,0)</f>
        <v>1</v>
      </c>
      <c r="Y1472" s="39" t="n">
        <f aca="false">MATCH(A1472,DATAS,0)</f>
        <v>1</v>
      </c>
      <c r="Z1472" s="39" t="n">
        <f aca="false">IF(AND(E1472&gt;0,OR(AND(B1472&gt;=1,B1472&lt;=6),B1472=10)),1,0)</f>
        <v>1</v>
      </c>
      <c r="AA1472" s="39" t="n">
        <f aca="false">IF(AND(E1472&gt;0,B1472=10),1,0)</f>
        <v>0</v>
      </c>
      <c r="AB1472" s="0" t="str">
        <f aca="false">IF(AND(C1471=C1472,Y1471=Y1472-1),Z1471,"")</f>
        <v/>
      </c>
      <c r="AC1472" s="0" t="str">
        <f aca="false">IF(AND(C1471=C1472,Y1471=Y1472-1),AA1471,"")</f>
        <v/>
      </c>
      <c r="AD1472" s="0" t="str">
        <f aca="false">IF(Y1472=1,"",IF(AND(Z1472=1,AB1472&lt;&gt;1),1,0))</f>
        <v/>
      </c>
      <c r="AE1472" s="0" t="str">
        <f aca="false">IF(Y1472=1,"",IF(AND(AA1472=1,AC1472&lt;&gt;1),1,0))</f>
        <v/>
      </c>
      <c r="AF1472" s="45" t="str">
        <f aca="false">IF(AND(E1472&gt;0,Y1472&lt;1,NOT(AND(C1473=C1472,Y1473=Y1472+1))),INDEX(DATAS,Y1472+1),"")</f>
        <v/>
      </c>
      <c r="AG1472" s="45" t="str">
        <f aca="false">IF(AND(AA1472=1,Y1472&lt;1),IF(AND(C1473=C1472,Y1473=Y1472+1),IF(AA1473=1,"",INDEX(DATAS,Y1472+1)),INDEX(DATAS,Y1472+1)),"")</f>
        <v/>
      </c>
    </row>
    <row r="1473" customFormat="false" ht="15" hidden="false" customHeight="false" outlineLevel="0" collapsed="false">
      <c r="A1473" s="45" t="n">
        <v>46309</v>
      </c>
      <c r="B1473" s="0" t="n">
        <v>4</v>
      </c>
      <c r="C1473" s="0" t="n">
        <v>5601</v>
      </c>
      <c r="D1473" s="0" t="n">
        <v>172</v>
      </c>
      <c r="E1473" s="0" t="n">
        <v>1</v>
      </c>
      <c r="F1473" s="39" t="s">
        <v>912</v>
      </c>
      <c r="G1473" s="0" t="n">
        <v>55.9</v>
      </c>
      <c r="H1473" s="0" t="n">
        <v>55</v>
      </c>
      <c r="I1473" s="39" t="s">
        <v>109</v>
      </c>
      <c r="J1473" s="0" t="n">
        <v>123</v>
      </c>
      <c r="K1473" s="0" t="n">
        <v>67</v>
      </c>
      <c r="L1473" s="0" t="n">
        <v>49</v>
      </c>
      <c r="P1473" s="0" t="n">
        <v>2.93</v>
      </c>
      <c r="Q1473" s="0" t="n">
        <v>3.28</v>
      </c>
      <c r="R1473" s="0" t="n">
        <v>4619</v>
      </c>
      <c r="S1473" s="0" t="n">
        <v>10151</v>
      </c>
      <c r="T1473" s="0" t="n">
        <v>53.9</v>
      </c>
      <c r="U1473" s="0" t="n">
        <v>866</v>
      </c>
      <c r="V1473" s="0" t="n">
        <v>2</v>
      </c>
      <c r="W1473" s="39" t="n">
        <f aca="false">IF(I1473="Male",0,1)</f>
        <v>1</v>
      </c>
      <c r="X1473" s="39" t="n">
        <f aca="false">IF(OR(I1473="DNB",I1473="Dry DNB"),1,0)</f>
        <v>0</v>
      </c>
      <c r="Y1473" s="39" t="n">
        <f aca="false">MATCH(A1473,DATAS,0)</f>
        <v>1</v>
      </c>
      <c r="Z1473" s="39" t="n">
        <f aca="false">IF(AND(E1473&gt;0,OR(AND(B1473&gt;=1,B1473&lt;=6),B1473=10)),1,0)</f>
        <v>1</v>
      </c>
      <c r="AA1473" s="39" t="n">
        <f aca="false">IF(AND(E1473&gt;0,B1473=10),1,0)</f>
        <v>0</v>
      </c>
      <c r="AB1473" s="0" t="str">
        <f aca="false">IF(AND(C1472=C1473,Y1472=Y1473-1),Z1472,"")</f>
        <v/>
      </c>
      <c r="AC1473" s="0" t="str">
        <f aca="false">IF(AND(C1472=C1473,Y1472=Y1473-1),AA1472,"")</f>
        <v/>
      </c>
      <c r="AD1473" s="0" t="str">
        <f aca="false">IF(Y1473=1,"",IF(AND(Z1473=1,AB1473&lt;&gt;1),1,0))</f>
        <v/>
      </c>
      <c r="AE1473" s="0" t="str">
        <f aca="false">IF(Y1473=1,"",IF(AND(AA1473=1,AC1473&lt;&gt;1),1,0))</f>
        <v/>
      </c>
      <c r="AF1473" s="45" t="str">
        <f aca="false">IF(AND(E1473&gt;0,Y1473&lt;1,NOT(AND(C1474=C1473,Y1474=Y1473+1))),INDEX(DATAS,Y1473+1),"")</f>
        <v/>
      </c>
      <c r="AG1473" s="45" t="str">
        <f aca="false">IF(AND(AA1473=1,Y1473&lt;1),IF(AND(C1474=C1473,Y1474=Y1473+1),IF(AA1474=1,"",INDEX(DATAS,Y1473+1)),INDEX(DATAS,Y1473+1)),"")</f>
        <v/>
      </c>
    </row>
    <row r="1474" customFormat="false" ht="15" hidden="false" customHeight="false" outlineLevel="0" collapsed="false">
      <c r="A1474" s="45" t="n">
        <v>46309</v>
      </c>
      <c r="B1474" s="0" t="n">
        <v>1</v>
      </c>
      <c r="C1474" s="0" t="n">
        <v>5602</v>
      </c>
      <c r="D1474" s="0" t="n">
        <v>75</v>
      </c>
      <c r="E1474" s="0" t="n">
        <v>1</v>
      </c>
      <c r="F1474" s="39" t="s">
        <v>912</v>
      </c>
      <c r="G1474" s="0" t="n">
        <v>48</v>
      </c>
      <c r="H1474" s="0" t="n">
        <v>46</v>
      </c>
      <c r="I1474" s="39" t="s">
        <v>138</v>
      </c>
      <c r="J1474" s="0" t="n">
        <v>75</v>
      </c>
      <c r="K1474" s="0" t="n">
        <v>68</v>
      </c>
      <c r="P1474" s="0" t="n">
        <v>4.19</v>
      </c>
      <c r="Q1474" s="0" t="n">
        <v>3.08</v>
      </c>
      <c r="R1474" s="0" t="n">
        <v>4390</v>
      </c>
      <c r="S1474" s="0" t="n">
        <v>8824</v>
      </c>
      <c r="U1474" s="0" t="n">
        <v>866</v>
      </c>
      <c r="V1474" s="0" t="n">
        <v>1</v>
      </c>
      <c r="W1474" s="39" t="n">
        <f aca="false">IF(I1474="Male",0,1)</f>
        <v>1</v>
      </c>
      <c r="X1474" s="39" t="n">
        <f aca="false">IF(OR(I1474="DNB",I1474="Dry DNB"),1,0)</f>
        <v>0</v>
      </c>
      <c r="Y1474" s="39" t="n">
        <f aca="false">MATCH(A1474,DATAS,0)</f>
        <v>1</v>
      </c>
      <c r="Z1474" s="39" t="n">
        <f aca="false">IF(AND(E1474&gt;0,OR(AND(B1474&gt;=1,B1474&lt;=6),B1474=10)),1,0)</f>
        <v>1</v>
      </c>
      <c r="AA1474" s="39" t="n">
        <f aca="false">IF(AND(E1474&gt;0,B1474=10),1,0)</f>
        <v>0</v>
      </c>
      <c r="AB1474" s="0" t="str">
        <f aca="false">IF(AND(C1473=C1474,Y1473=Y1474-1),Z1473,"")</f>
        <v/>
      </c>
      <c r="AC1474" s="0" t="str">
        <f aca="false">IF(AND(C1473=C1474,Y1473=Y1474-1),AA1473,"")</f>
        <v/>
      </c>
      <c r="AD1474" s="0" t="str">
        <f aca="false">IF(Y1474=1,"",IF(AND(Z1474=1,AB1474&lt;&gt;1),1,0))</f>
        <v/>
      </c>
      <c r="AE1474" s="0" t="str">
        <f aca="false">IF(Y1474=1,"",IF(AND(AA1474=1,AC1474&lt;&gt;1),1,0))</f>
        <v/>
      </c>
      <c r="AF1474" s="45" t="str">
        <f aca="false">IF(AND(E1474&gt;0,Y1474&lt;1,NOT(AND(C1475=C1474,Y1475=Y1474+1))),INDEX(DATAS,Y1474+1),"")</f>
        <v/>
      </c>
      <c r="AG1474" s="45" t="str">
        <f aca="false">IF(AND(AA1474=1,Y1474&lt;1),IF(AND(C1475=C1474,Y1475=Y1474+1),IF(AA1475=1,"",INDEX(DATAS,Y1474+1)),INDEX(DATAS,Y1474+1)),"")</f>
        <v/>
      </c>
    </row>
    <row r="1475" customFormat="false" ht="15" hidden="false" customHeight="false" outlineLevel="0" collapsed="false">
      <c r="A1475" s="45" t="n">
        <v>46309</v>
      </c>
      <c r="B1475" s="0" t="n">
        <v>4</v>
      </c>
      <c r="C1475" s="0" t="n">
        <v>5603</v>
      </c>
      <c r="D1475" s="0" t="n">
        <v>193</v>
      </c>
      <c r="E1475" s="0" t="n">
        <v>1</v>
      </c>
      <c r="F1475" s="39" t="s">
        <v>912</v>
      </c>
      <c r="G1475" s="0" t="n">
        <v>53.1</v>
      </c>
      <c r="H1475" s="0" t="n">
        <v>51</v>
      </c>
      <c r="I1475" s="39" t="s">
        <v>109</v>
      </c>
      <c r="J1475" s="0" t="n">
        <v>67</v>
      </c>
      <c r="K1475" s="0" t="n">
        <v>67</v>
      </c>
      <c r="L1475" s="0" t="n">
        <v>126</v>
      </c>
      <c r="P1475" s="0" t="n">
        <v>3.17</v>
      </c>
      <c r="Q1475" s="0" t="n">
        <v>3.12</v>
      </c>
      <c r="R1475" s="0" t="n">
        <v>4538</v>
      </c>
      <c r="S1475" s="0" t="n">
        <v>9955</v>
      </c>
      <c r="T1475" s="0" t="n">
        <v>48.75</v>
      </c>
      <c r="U1475" s="0" t="n">
        <v>866</v>
      </c>
      <c r="V1475" s="0" t="n">
        <v>1</v>
      </c>
      <c r="W1475" s="39" t="n">
        <f aca="false">IF(I1475="Male",0,1)</f>
        <v>1</v>
      </c>
      <c r="X1475" s="39" t="n">
        <f aca="false">IF(OR(I1475="DNB",I1475="Dry DNB"),1,0)</f>
        <v>0</v>
      </c>
      <c r="Y1475" s="39" t="n">
        <f aca="false">MATCH(A1475,DATAS,0)</f>
        <v>1</v>
      </c>
      <c r="Z1475" s="39" t="n">
        <f aca="false">IF(AND(E1475&gt;0,OR(AND(B1475&gt;=1,B1475&lt;=6),B1475=10)),1,0)</f>
        <v>1</v>
      </c>
      <c r="AA1475" s="39" t="n">
        <f aca="false">IF(AND(E1475&gt;0,B1475=10),1,0)</f>
        <v>0</v>
      </c>
      <c r="AB1475" s="0" t="str">
        <f aca="false">IF(AND(C1474=C1475,Y1474=Y1475-1),Z1474,"")</f>
        <v/>
      </c>
      <c r="AC1475" s="0" t="str">
        <f aca="false">IF(AND(C1474=C1475,Y1474=Y1475-1),AA1474,"")</f>
        <v/>
      </c>
      <c r="AD1475" s="0" t="str">
        <f aca="false">IF(Y1475=1,"",IF(AND(Z1475=1,AB1475&lt;&gt;1),1,0))</f>
        <v/>
      </c>
      <c r="AE1475" s="0" t="str">
        <f aca="false">IF(Y1475=1,"",IF(AND(AA1475=1,AC1475&lt;&gt;1),1,0))</f>
        <v/>
      </c>
      <c r="AF1475" s="45" t="str">
        <f aca="false">IF(AND(E1475&gt;0,Y1475&lt;1,NOT(AND(C1476=C1475,Y1476=Y1475+1))),INDEX(DATAS,Y1475+1),"")</f>
        <v/>
      </c>
      <c r="AG1475" s="45" t="str">
        <f aca="false">IF(AND(AA1475=1,Y1475&lt;1),IF(AND(C1476=C1475,Y1476=Y1475+1),IF(AA1476=1,"",INDEX(DATAS,Y1475+1)),INDEX(DATAS,Y1475+1)),"")</f>
        <v/>
      </c>
    </row>
    <row r="1476" customFormat="false" ht="15" hidden="false" customHeight="false" outlineLevel="0" collapsed="false">
      <c r="A1476" s="45" t="n">
        <v>46309</v>
      </c>
      <c r="B1476" s="0" t="n">
        <v>4</v>
      </c>
      <c r="C1476" s="0" t="n">
        <v>5605</v>
      </c>
      <c r="D1476" s="0" t="n">
        <v>181</v>
      </c>
      <c r="E1476" s="0" t="n">
        <v>1</v>
      </c>
      <c r="F1476" s="39" t="s">
        <v>110</v>
      </c>
      <c r="G1476" s="0" t="n">
        <v>52.3</v>
      </c>
      <c r="H1476" s="0" t="n">
        <v>51</v>
      </c>
      <c r="I1476" s="39" t="s">
        <v>109</v>
      </c>
      <c r="J1476" s="0" t="n">
        <v>69</v>
      </c>
      <c r="K1476" s="0" t="n">
        <v>69</v>
      </c>
      <c r="L1476" s="0" t="n">
        <v>112</v>
      </c>
      <c r="P1476" s="0" t="n">
        <v>3.73</v>
      </c>
      <c r="Q1476" s="0" t="n">
        <v>3.1</v>
      </c>
      <c r="R1476" s="0" t="n">
        <v>3781</v>
      </c>
      <c r="S1476" s="0" t="n">
        <v>9065</v>
      </c>
      <c r="T1476" s="0" t="n">
        <v>38.5</v>
      </c>
      <c r="U1476" s="0" t="n">
        <v>865</v>
      </c>
      <c r="V1476" s="0" t="n">
        <v>1</v>
      </c>
      <c r="W1476" s="39" t="n">
        <f aca="false">IF(I1476="Male",0,1)</f>
        <v>1</v>
      </c>
      <c r="X1476" s="39" t="n">
        <f aca="false">IF(OR(I1476="DNB",I1476="Dry DNB"),1,0)</f>
        <v>0</v>
      </c>
      <c r="Y1476" s="39" t="n">
        <f aca="false">MATCH(A1476,DATAS,0)</f>
        <v>1</v>
      </c>
      <c r="Z1476" s="39" t="n">
        <f aca="false">IF(AND(E1476&gt;0,OR(AND(B1476&gt;=1,B1476&lt;=6),B1476=10)),1,0)</f>
        <v>1</v>
      </c>
      <c r="AA1476" s="39" t="n">
        <f aca="false">IF(AND(E1476&gt;0,B1476=10),1,0)</f>
        <v>0</v>
      </c>
      <c r="AB1476" s="0" t="str">
        <f aca="false">IF(AND(C1475=C1476,Y1475=Y1476-1),Z1475,"")</f>
        <v/>
      </c>
      <c r="AC1476" s="0" t="str">
        <f aca="false">IF(AND(C1475=C1476,Y1475=Y1476-1),AA1475,"")</f>
        <v/>
      </c>
      <c r="AD1476" s="0" t="str">
        <f aca="false">IF(Y1476=1,"",IF(AND(Z1476=1,AB1476&lt;&gt;1),1,0))</f>
        <v/>
      </c>
      <c r="AE1476" s="0" t="str">
        <f aca="false">IF(Y1476=1,"",IF(AND(AA1476=1,AC1476&lt;&gt;1),1,0))</f>
        <v/>
      </c>
      <c r="AF1476" s="45" t="str">
        <f aca="false">IF(AND(E1476&gt;0,Y1476&lt;1,NOT(AND(C1477=C1476,Y1477=Y1476+1))),INDEX(DATAS,Y1476+1),"")</f>
        <v/>
      </c>
      <c r="AG1476" s="45" t="str">
        <f aca="false">IF(AND(AA1476=1,Y1476&lt;1),IF(AND(C1477=C1476,Y1477=Y1476+1),IF(AA1477=1,"",INDEX(DATAS,Y1476+1)),INDEX(DATAS,Y1476+1)),"")</f>
        <v/>
      </c>
    </row>
    <row r="1477" customFormat="false" ht="15" hidden="false" customHeight="false" outlineLevel="0" collapsed="false">
      <c r="A1477" s="45" t="n">
        <v>46309</v>
      </c>
      <c r="B1477" s="0" t="n">
        <v>8</v>
      </c>
      <c r="C1477" s="0" t="n">
        <v>5606</v>
      </c>
      <c r="E1477" s="0" t="n">
        <v>0</v>
      </c>
      <c r="F1477" s="39" t="s">
        <v>110</v>
      </c>
      <c r="I1477" s="39" t="s">
        <v>109</v>
      </c>
      <c r="L1477" s="0" t="n">
        <v>169</v>
      </c>
      <c r="U1477" s="0" t="n">
        <v>865</v>
      </c>
      <c r="V1477" s="0" t="n">
        <v>11</v>
      </c>
      <c r="W1477" s="39" t="n">
        <f aca="false">IF(I1477="Male",0,1)</f>
        <v>1</v>
      </c>
      <c r="X1477" s="39" t="n">
        <f aca="false">IF(OR(I1477="DNB",I1477="Dry DNB"),1,0)</f>
        <v>0</v>
      </c>
      <c r="Y1477" s="39" t="n">
        <f aca="false">MATCH(A1477,DATAS,0)</f>
        <v>1</v>
      </c>
      <c r="Z1477" s="39" t="n">
        <f aca="false">IF(AND(E1477&gt;0,OR(AND(B1477&gt;=1,B1477&lt;=6),B1477=10)),1,0)</f>
        <v>0</v>
      </c>
      <c r="AA1477" s="39" t="n">
        <f aca="false">IF(AND(E1477&gt;0,B1477=10),1,0)</f>
        <v>0</v>
      </c>
      <c r="AB1477" s="0" t="str">
        <f aca="false">IF(AND(C1476=C1477,Y1476=Y1477-1),Z1476,"")</f>
        <v/>
      </c>
      <c r="AC1477" s="0" t="str">
        <f aca="false">IF(AND(C1476=C1477,Y1476=Y1477-1),AA1476,"")</f>
        <v/>
      </c>
      <c r="AD1477" s="0" t="str">
        <f aca="false">IF(Y1477=1,"",IF(AND(Z1477=1,AB1477&lt;&gt;1),1,0))</f>
        <v/>
      </c>
      <c r="AE1477" s="0" t="str">
        <f aca="false">IF(Y1477=1,"",IF(AND(AA1477=1,AC1477&lt;&gt;1),1,0))</f>
        <v/>
      </c>
      <c r="AF1477" s="45" t="str">
        <f aca="false">IF(AND(E1477&gt;0,Y1477&lt;1,NOT(AND(C1478=C1477,Y1478=Y1477+1))),INDEX(DATAS,Y1477+1),"")</f>
        <v/>
      </c>
      <c r="AG1477" s="45" t="str">
        <f aca="false">IF(AND(AA1477=1,Y1477&lt;1),IF(AND(C1478=C1477,Y1478=Y1477+1),IF(AA1478=1,"",INDEX(DATAS,Y1477+1)),INDEX(DATAS,Y1477+1)),"")</f>
        <v/>
      </c>
    </row>
    <row r="1478" customFormat="false" ht="15" hidden="false" customHeight="false" outlineLevel="0" collapsed="false">
      <c r="A1478" s="45" t="n">
        <v>46309</v>
      </c>
      <c r="B1478" s="0" t="n">
        <v>4</v>
      </c>
      <c r="C1478" s="0" t="n">
        <v>5607</v>
      </c>
      <c r="D1478" s="0" t="n">
        <v>198</v>
      </c>
      <c r="E1478" s="0" t="n">
        <v>1</v>
      </c>
      <c r="F1478" s="39" t="s">
        <v>913</v>
      </c>
      <c r="G1478" s="0" t="n">
        <v>48.4</v>
      </c>
      <c r="H1478" s="0" t="n">
        <v>52</v>
      </c>
      <c r="I1478" s="39" t="s">
        <v>109</v>
      </c>
      <c r="J1478" s="0" t="n">
        <v>65</v>
      </c>
      <c r="K1478" s="0" t="n">
        <v>65</v>
      </c>
      <c r="L1478" s="0" t="n">
        <v>133</v>
      </c>
      <c r="P1478" s="0" t="n">
        <v>3.63</v>
      </c>
      <c r="Q1478" s="0" t="n">
        <v>3.74</v>
      </c>
      <c r="R1478" s="0" t="n">
        <v>4525</v>
      </c>
      <c r="S1478" s="0" t="n">
        <v>9680</v>
      </c>
      <c r="T1478" s="0" t="n">
        <v>46.05</v>
      </c>
      <c r="U1478" s="0" t="n">
        <v>864</v>
      </c>
      <c r="V1478" s="0" t="n">
        <v>1</v>
      </c>
      <c r="W1478" s="39" t="n">
        <f aca="false">IF(I1478="Male",0,1)</f>
        <v>1</v>
      </c>
      <c r="X1478" s="39" t="n">
        <f aca="false">IF(OR(I1478="DNB",I1478="Dry DNB"),1,0)</f>
        <v>0</v>
      </c>
      <c r="Y1478" s="39" t="n">
        <f aca="false">MATCH(A1478,DATAS,0)</f>
        <v>1</v>
      </c>
      <c r="Z1478" s="39" t="n">
        <f aca="false">IF(AND(E1478&gt;0,OR(AND(B1478&gt;=1,B1478&lt;=6),B1478=10)),1,0)</f>
        <v>1</v>
      </c>
      <c r="AA1478" s="39" t="n">
        <f aca="false">IF(AND(E1478&gt;0,B1478=10),1,0)</f>
        <v>0</v>
      </c>
      <c r="AB1478" s="0" t="str">
        <f aca="false">IF(AND(C1477=C1478,Y1477=Y1478-1),Z1477,"")</f>
        <v/>
      </c>
      <c r="AC1478" s="0" t="str">
        <f aca="false">IF(AND(C1477=C1478,Y1477=Y1478-1),AA1477,"")</f>
        <v/>
      </c>
      <c r="AD1478" s="0" t="str">
        <f aca="false">IF(Y1478=1,"",IF(AND(Z1478=1,AB1478&lt;&gt;1),1,0))</f>
        <v/>
      </c>
      <c r="AE1478" s="0" t="str">
        <f aca="false">IF(Y1478=1,"",IF(AND(AA1478=1,AC1478&lt;&gt;1),1,0))</f>
        <v/>
      </c>
      <c r="AF1478" s="45" t="str">
        <f aca="false">IF(AND(E1478&gt;0,Y1478&lt;1,NOT(AND(C1479=C1478,Y1479=Y1478+1))),INDEX(DATAS,Y1478+1),"")</f>
        <v/>
      </c>
      <c r="AG1478" s="45" t="str">
        <f aca="false">IF(AND(AA1478=1,Y1478&lt;1),IF(AND(C1479=C1478,Y1479=Y1478+1),IF(AA1479=1,"",INDEX(DATAS,Y1478+1)),INDEX(DATAS,Y1478+1)),"")</f>
        <v/>
      </c>
    </row>
    <row r="1479" customFormat="false" ht="15" hidden="false" customHeight="false" outlineLevel="0" collapsed="false">
      <c r="A1479" s="45" t="n">
        <v>46309</v>
      </c>
      <c r="B1479" s="0" t="n">
        <v>4</v>
      </c>
      <c r="C1479" s="0" t="n">
        <v>5608</v>
      </c>
      <c r="D1479" s="0" t="n">
        <v>224</v>
      </c>
      <c r="E1479" s="0" t="n">
        <v>1</v>
      </c>
      <c r="F1479" s="39" t="s">
        <v>913</v>
      </c>
      <c r="G1479" s="0" t="n">
        <v>38</v>
      </c>
      <c r="H1479" s="0" t="n">
        <v>41</v>
      </c>
      <c r="I1479" s="39" t="s">
        <v>109</v>
      </c>
      <c r="J1479" s="0" t="n">
        <v>84</v>
      </c>
      <c r="K1479" s="0" t="n">
        <v>63</v>
      </c>
      <c r="L1479" s="0" t="n">
        <v>140</v>
      </c>
      <c r="P1479" s="0" t="n">
        <v>4.2</v>
      </c>
      <c r="Q1479" s="0" t="n">
        <v>3.91</v>
      </c>
      <c r="R1479" s="0" t="n">
        <v>4530</v>
      </c>
      <c r="S1479" s="0" t="n">
        <v>9637</v>
      </c>
      <c r="T1479" s="0" t="n">
        <v>52.6</v>
      </c>
      <c r="U1479" s="0" t="n">
        <v>864</v>
      </c>
      <c r="V1479" s="0" t="n">
        <v>2</v>
      </c>
      <c r="W1479" s="39" t="n">
        <f aca="false">IF(I1479="Male",0,1)</f>
        <v>1</v>
      </c>
      <c r="X1479" s="39" t="n">
        <f aca="false">IF(OR(I1479="DNB",I1479="Dry DNB"),1,0)</f>
        <v>0</v>
      </c>
      <c r="Y1479" s="39" t="n">
        <f aca="false">MATCH(A1479,DATAS,0)</f>
        <v>1</v>
      </c>
      <c r="Z1479" s="39" t="n">
        <f aca="false">IF(AND(E1479&gt;0,OR(AND(B1479&gt;=1,B1479&lt;=6),B1479=10)),1,0)</f>
        <v>1</v>
      </c>
      <c r="AA1479" s="39" t="n">
        <f aca="false">IF(AND(E1479&gt;0,B1479=10),1,0)</f>
        <v>0</v>
      </c>
      <c r="AB1479" s="0" t="str">
        <f aca="false">IF(AND(C1478=C1479,Y1478=Y1479-1),Z1478,"")</f>
        <v/>
      </c>
      <c r="AC1479" s="0" t="str">
        <f aca="false">IF(AND(C1478=C1479,Y1478=Y1479-1),AA1478,"")</f>
        <v/>
      </c>
      <c r="AD1479" s="0" t="str">
        <f aca="false">IF(Y1479=1,"",IF(AND(Z1479=1,AB1479&lt;&gt;1),1,0))</f>
        <v/>
      </c>
      <c r="AE1479" s="0" t="str">
        <f aca="false">IF(Y1479=1,"",IF(AND(AA1479=1,AC1479&lt;&gt;1),1,0))</f>
        <v/>
      </c>
      <c r="AF1479" s="45" t="str">
        <f aca="false">IF(AND(E1479&gt;0,Y1479&lt;1,NOT(AND(C1480=C1479,Y1480=Y1479+1))),INDEX(DATAS,Y1479+1),"")</f>
        <v/>
      </c>
      <c r="AG1479" s="45" t="str">
        <f aca="false">IF(AND(AA1479=1,Y1479&lt;1),IF(AND(C1480=C1479,Y1480=Y1479+1),IF(AA1480=1,"",INDEX(DATAS,Y1479+1)),INDEX(DATAS,Y1479+1)),"")</f>
        <v/>
      </c>
    </row>
    <row r="1480" customFormat="false" ht="15" hidden="false" customHeight="false" outlineLevel="0" collapsed="false">
      <c r="A1480" s="45" t="n">
        <v>46309</v>
      </c>
      <c r="B1480" s="0" t="n">
        <v>4</v>
      </c>
      <c r="C1480" s="0" t="n">
        <v>5609</v>
      </c>
      <c r="D1480" s="0" t="n">
        <v>177</v>
      </c>
      <c r="E1480" s="0" t="n">
        <v>1</v>
      </c>
      <c r="F1480" s="39" t="s">
        <v>913</v>
      </c>
      <c r="G1480" s="0" t="n">
        <v>49.5</v>
      </c>
      <c r="H1480" s="0" t="n">
        <v>48</v>
      </c>
      <c r="I1480" s="39" t="s">
        <v>109</v>
      </c>
      <c r="J1480" s="0" t="n">
        <v>88</v>
      </c>
      <c r="K1480" s="0" t="n">
        <v>65</v>
      </c>
      <c r="L1480" s="0" t="n">
        <v>89</v>
      </c>
      <c r="P1480" s="0" t="n">
        <v>3.46</v>
      </c>
      <c r="Q1480" s="0" t="n">
        <v>3.3</v>
      </c>
      <c r="R1480" s="0" t="n">
        <v>4042</v>
      </c>
      <c r="S1480" s="0" t="n">
        <v>8806</v>
      </c>
      <c r="T1480" s="0" t="n">
        <v>44.65</v>
      </c>
      <c r="U1480" s="0" t="n">
        <v>864</v>
      </c>
      <c r="V1480" s="0" t="n">
        <v>2</v>
      </c>
      <c r="W1480" s="39" t="n">
        <f aca="false">IF(I1480="Male",0,1)</f>
        <v>1</v>
      </c>
      <c r="X1480" s="39" t="n">
        <f aca="false">IF(OR(I1480="DNB",I1480="Dry DNB"),1,0)</f>
        <v>0</v>
      </c>
      <c r="Y1480" s="39" t="n">
        <f aca="false">MATCH(A1480,DATAS,0)</f>
        <v>1</v>
      </c>
      <c r="Z1480" s="39" t="n">
        <f aca="false">IF(AND(E1480&gt;0,OR(AND(B1480&gt;=1,B1480&lt;=6),B1480=10)),1,0)</f>
        <v>1</v>
      </c>
      <c r="AA1480" s="39" t="n">
        <f aca="false">IF(AND(E1480&gt;0,B1480=10),1,0)</f>
        <v>0</v>
      </c>
      <c r="AB1480" s="0" t="str">
        <f aca="false">IF(AND(C1479=C1480,Y1479=Y1480-1),Z1479,"")</f>
        <v/>
      </c>
      <c r="AC1480" s="0" t="str">
        <f aca="false">IF(AND(C1479=C1480,Y1479=Y1480-1),AA1479,"")</f>
        <v/>
      </c>
      <c r="AD1480" s="0" t="str">
        <f aca="false">IF(Y1480=1,"",IF(AND(Z1480=1,AB1480&lt;&gt;1),1,0))</f>
        <v/>
      </c>
      <c r="AE1480" s="0" t="str">
        <f aca="false">IF(Y1480=1,"",IF(AND(AA1480=1,AC1480&lt;&gt;1),1,0))</f>
        <v/>
      </c>
      <c r="AF1480" s="45" t="str">
        <f aca="false">IF(AND(E1480&gt;0,Y1480&lt;1,NOT(AND(C1481=C1480,Y1481=Y1480+1))),INDEX(DATAS,Y1480+1),"")</f>
        <v/>
      </c>
      <c r="AG1480" s="45" t="str">
        <f aca="false">IF(AND(AA1480=1,Y1480&lt;1),IF(AND(C1481=C1480,Y1481=Y1480+1),IF(AA1481=1,"",INDEX(DATAS,Y1480+1)),INDEX(DATAS,Y1480+1)),"")</f>
        <v/>
      </c>
    </row>
    <row r="1481" customFormat="false" ht="15" hidden="false" customHeight="false" outlineLevel="0" collapsed="false">
      <c r="A1481" s="45" t="n">
        <v>46309</v>
      </c>
      <c r="B1481" s="0" t="n">
        <v>4</v>
      </c>
      <c r="C1481" s="0" t="n">
        <v>5610</v>
      </c>
      <c r="D1481" s="0" t="n">
        <v>221</v>
      </c>
      <c r="E1481" s="0" t="n">
        <v>1</v>
      </c>
      <c r="F1481" s="39" t="s">
        <v>913</v>
      </c>
      <c r="G1481" s="0" t="n">
        <v>52.4</v>
      </c>
      <c r="H1481" s="0" t="n">
        <v>54</v>
      </c>
      <c r="I1481" s="39" t="s">
        <v>109</v>
      </c>
      <c r="J1481" s="0" t="n">
        <v>67</v>
      </c>
      <c r="K1481" s="0" t="n">
        <v>67</v>
      </c>
      <c r="L1481" s="0" t="n">
        <v>154</v>
      </c>
      <c r="P1481" s="0" t="n">
        <v>1.89</v>
      </c>
      <c r="Q1481" s="0" t="n">
        <v>3.37</v>
      </c>
      <c r="R1481" s="0" t="n">
        <v>5482</v>
      </c>
      <c r="S1481" s="0" t="n">
        <v>11926</v>
      </c>
      <c r="T1481" s="0" t="n">
        <v>60.9</v>
      </c>
      <c r="U1481" s="0" t="n">
        <v>864</v>
      </c>
      <c r="V1481" s="0" t="n">
        <v>1</v>
      </c>
      <c r="W1481" s="39" t="n">
        <f aca="false">IF(I1481="Male",0,1)</f>
        <v>1</v>
      </c>
      <c r="X1481" s="39" t="n">
        <f aca="false">IF(OR(I1481="DNB",I1481="Dry DNB"),1,0)</f>
        <v>0</v>
      </c>
      <c r="Y1481" s="39" t="n">
        <f aca="false">MATCH(A1481,DATAS,0)</f>
        <v>1</v>
      </c>
      <c r="Z1481" s="39" t="n">
        <f aca="false">IF(AND(E1481&gt;0,OR(AND(B1481&gt;=1,B1481&lt;=6),B1481=10)),1,0)</f>
        <v>1</v>
      </c>
      <c r="AA1481" s="39" t="n">
        <f aca="false">IF(AND(E1481&gt;0,B1481=10),1,0)</f>
        <v>0</v>
      </c>
      <c r="AB1481" s="0" t="str">
        <f aca="false">IF(AND(C1480=C1481,Y1480=Y1481-1),Z1480,"")</f>
        <v/>
      </c>
      <c r="AC1481" s="0" t="str">
        <f aca="false">IF(AND(C1480=C1481,Y1480=Y1481-1),AA1480,"")</f>
        <v/>
      </c>
      <c r="AD1481" s="0" t="str">
        <f aca="false">IF(Y1481=1,"",IF(AND(Z1481=1,AB1481&lt;&gt;1),1,0))</f>
        <v/>
      </c>
      <c r="AE1481" s="0" t="str">
        <f aca="false">IF(Y1481=1,"",IF(AND(AA1481=1,AC1481&lt;&gt;1),1,0))</f>
        <v/>
      </c>
      <c r="AF1481" s="45" t="str">
        <f aca="false">IF(AND(E1481&gt;0,Y1481&lt;1,NOT(AND(C1482=C1481,Y1482=Y1481+1))),INDEX(DATAS,Y1481+1),"")</f>
        <v/>
      </c>
      <c r="AG1481" s="45" t="str">
        <f aca="false">IF(AND(AA1481=1,Y1481&lt;1),IF(AND(C1482=C1481,Y1482=Y1481+1),IF(AA1482=1,"",INDEX(DATAS,Y1481+1)),INDEX(DATAS,Y1481+1)),"")</f>
        <v/>
      </c>
    </row>
    <row r="1482" customFormat="false" ht="15" hidden="false" customHeight="false" outlineLevel="0" collapsed="false">
      <c r="A1482" s="45" t="n">
        <v>46309</v>
      </c>
      <c r="B1482" s="0" t="n">
        <v>4</v>
      </c>
      <c r="C1482" s="0" t="n">
        <v>5611</v>
      </c>
      <c r="D1482" s="0" t="n">
        <v>153</v>
      </c>
      <c r="E1482" s="0" t="n">
        <v>1</v>
      </c>
      <c r="F1482" s="39" t="s">
        <v>914</v>
      </c>
      <c r="G1482" s="0" t="n">
        <v>35.2</v>
      </c>
      <c r="H1482" s="0" t="n">
        <v>36</v>
      </c>
      <c r="I1482" s="39" t="s">
        <v>109</v>
      </c>
      <c r="J1482" s="0" t="n">
        <v>98</v>
      </c>
      <c r="K1482" s="0" t="n">
        <v>62</v>
      </c>
      <c r="L1482" s="0" t="n">
        <v>55</v>
      </c>
      <c r="P1482" s="0" t="n">
        <v>4.05</v>
      </c>
      <c r="Q1482" s="0" t="n">
        <v>3.19</v>
      </c>
      <c r="R1482" s="0" t="n">
        <v>2919</v>
      </c>
      <c r="S1482" s="0" t="n">
        <v>6739</v>
      </c>
      <c r="T1482" s="0" t="n">
        <v>26.6</v>
      </c>
      <c r="U1482" s="0" t="n">
        <v>863</v>
      </c>
      <c r="V1482" s="0" t="n">
        <v>2</v>
      </c>
      <c r="W1482" s="39" t="n">
        <f aca="false">IF(I1482="Male",0,1)</f>
        <v>1</v>
      </c>
      <c r="X1482" s="39" t="n">
        <f aca="false">IF(OR(I1482="DNB",I1482="Dry DNB"),1,0)</f>
        <v>0</v>
      </c>
      <c r="Y1482" s="39" t="n">
        <f aca="false">MATCH(A1482,DATAS,0)</f>
        <v>1</v>
      </c>
      <c r="Z1482" s="39" t="n">
        <f aca="false">IF(AND(E1482&gt;0,OR(AND(B1482&gt;=1,B1482&lt;=6),B1482=10)),1,0)</f>
        <v>1</v>
      </c>
      <c r="AA1482" s="39" t="n">
        <f aca="false">IF(AND(E1482&gt;0,B1482=10),1,0)</f>
        <v>0</v>
      </c>
      <c r="AB1482" s="0" t="str">
        <f aca="false">IF(AND(C1481=C1482,Y1481=Y1482-1),Z1481,"")</f>
        <v/>
      </c>
      <c r="AC1482" s="0" t="str">
        <f aca="false">IF(AND(C1481=C1482,Y1481=Y1482-1),AA1481,"")</f>
        <v/>
      </c>
      <c r="AD1482" s="0" t="str">
        <f aca="false">IF(Y1482=1,"",IF(AND(Z1482=1,AB1482&lt;&gt;1),1,0))</f>
        <v/>
      </c>
      <c r="AE1482" s="0" t="str">
        <f aca="false">IF(Y1482=1,"",IF(AND(AA1482=1,AC1482&lt;&gt;1),1,0))</f>
        <v/>
      </c>
      <c r="AF1482" s="45" t="str">
        <f aca="false">IF(AND(E1482&gt;0,Y1482&lt;1,NOT(AND(C1483=C1482,Y1483=Y1482+1))),INDEX(DATAS,Y1482+1),"")</f>
        <v/>
      </c>
      <c r="AG1482" s="45" t="str">
        <f aca="false">IF(AND(AA1482=1,Y1482&lt;1),IF(AND(C1483=C1482,Y1483=Y1482+1),IF(AA1483=1,"",INDEX(DATAS,Y1482+1)),INDEX(DATAS,Y1482+1)),"")</f>
        <v/>
      </c>
    </row>
    <row r="1483" customFormat="false" ht="15" hidden="false" customHeight="false" outlineLevel="0" collapsed="false">
      <c r="A1483" s="45" t="n">
        <v>46309</v>
      </c>
      <c r="B1483" s="0" t="n">
        <v>1</v>
      </c>
      <c r="C1483" s="0" t="n">
        <v>5612</v>
      </c>
      <c r="D1483" s="0" t="n">
        <v>60</v>
      </c>
      <c r="E1483" s="0" t="n">
        <v>1</v>
      </c>
      <c r="F1483" s="39" t="s">
        <v>914</v>
      </c>
      <c r="G1483" s="0" t="n">
        <v>52.2</v>
      </c>
      <c r="H1483" s="0" t="n">
        <v>52</v>
      </c>
      <c r="I1483" s="39" t="s">
        <v>118</v>
      </c>
      <c r="J1483" s="0" t="n">
        <v>60</v>
      </c>
      <c r="P1483" s="0" t="n">
        <v>3.66</v>
      </c>
      <c r="Q1483" s="0" t="n">
        <v>3.04</v>
      </c>
      <c r="R1483" s="0" t="n">
        <v>4506</v>
      </c>
      <c r="S1483" s="0" t="n">
        <v>9057</v>
      </c>
      <c r="U1483" s="0" t="n">
        <v>863</v>
      </c>
      <c r="V1483" s="0" t="n">
        <v>0</v>
      </c>
      <c r="W1483" s="39" t="n">
        <f aca="false">IF(I1483="Male",0,1)</f>
        <v>1</v>
      </c>
      <c r="X1483" s="39" t="n">
        <f aca="false">IF(OR(I1483="DNB",I1483="Dry DNB"),1,0)</f>
        <v>0</v>
      </c>
      <c r="Y1483" s="39" t="n">
        <f aca="false">MATCH(A1483,DATAS,0)</f>
        <v>1</v>
      </c>
      <c r="Z1483" s="39" t="n">
        <f aca="false">IF(AND(E1483&gt;0,OR(AND(B1483&gt;=1,B1483&lt;=6),B1483=10)),1,0)</f>
        <v>1</v>
      </c>
      <c r="AA1483" s="39" t="n">
        <f aca="false">IF(AND(E1483&gt;0,B1483=10),1,0)</f>
        <v>0</v>
      </c>
      <c r="AB1483" s="0" t="str">
        <f aca="false">IF(AND(C1482=C1483,Y1482=Y1483-1),Z1482,"")</f>
        <v/>
      </c>
      <c r="AC1483" s="0" t="str">
        <f aca="false">IF(AND(C1482=C1483,Y1482=Y1483-1),AA1482,"")</f>
        <v/>
      </c>
      <c r="AD1483" s="0" t="str">
        <f aca="false">IF(Y1483=1,"",IF(AND(Z1483=1,AB1483&lt;&gt;1),1,0))</f>
        <v/>
      </c>
      <c r="AE1483" s="0" t="str">
        <f aca="false">IF(Y1483=1,"",IF(AND(AA1483=1,AC1483&lt;&gt;1),1,0))</f>
        <v/>
      </c>
      <c r="AF1483" s="45" t="str">
        <f aca="false">IF(AND(E1483&gt;0,Y1483&lt;1,NOT(AND(C1484=C1483,Y1484=Y1483+1))),INDEX(DATAS,Y1483+1),"")</f>
        <v/>
      </c>
      <c r="AG1483" s="45" t="str">
        <f aca="false">IF(AND(AA1483=1,Y1483&lt;1),IF(AND(C1484=C1483,Y1484=Y1483+1),IF(AA1484=1,"",INDEX(DATAS,Y1483+1)),INDEX(DATAS,Y1483+1)),"")</f>
        <v/>
      </c>
    </row>
    <row r="1484" customFormat="false" ht="15" hidden="false" customHeight="false" outlineLevel="0" collapsed="false">
      <c r="A1484" s="45" t="n">
        <v>46309</v>
      </c>
      <c r="B1484" s="0" t="n">
        <v>4</v>
      </c>
      <c r="C1484" s="0" t="n">
        <v>5614</v>
      </c>
      <c r="D1484" s="0" t="n">
        <v>131</v>
      </c>
      <c r="E1484" s="0" t="n">
        <v>1</v>
      </c>
      <c r="F1484" s="39" t="s">
        <v>915</v>
      </c>
      <c r="G1484" s="0" t="n">
        <v>35.7</v>
      </c>
      <c r="H1484" s="0" t="n">
        <v>39</v>
      </c>
      <c r="I1484" s="39" t="s">
        <v>109</v>
      </c>
      <c r="J1484" s="0" t="n">
        <v>89</v>
      </c>
      <c r="K1484" s="0" t="n">
        <v>68</v>
      </c>
      <c r="L1484" s="0" t="n">
        <v>42</v>
      </c>
      <c r="P1484" s="0" t="n">
        <v>3.04</v>
      </c>
      <c r="Q1484" s="0" t="n">
        <v>3.14</v>
      </c>
      <c r="R1484" s="0" t="n">
        <v>3318</v>
      </c>
      <c r="S1484" s="0" t="n">
        <v>7139</v>
      </c>
      <c r="T1484" s="0" t="n">
        <v>34.05</v>
      </c>
      <c r="U1484" s="0" t="n">
        <v>862</v>
      </c>
      <c r="V1484" s="0" t="n">
        <v>2</v>
      </c>
      <c r="W1484" s="39" t="n">
        <f aca="false">IF(I1484="Male",0,1)</f>
        <v>1</v>
      </c>
      <c r="X1484" s="39" t="n">
        <f aca="false">IF(OR(I1484="DNB",I1484="Dry DNB"),1,0)</f>
        <v>0</v>
      </c>
      <c r="Y1484" s="39" t="n">
        <f aca="false">MATCH(A1484,DATAS,0)</f>
        <v>1</v>
      </c>
      <c r="Z1484" s="39" t="n">
        <f aca="false">IF(AND(E1484&gt;0,OR(AND(B1484&gt;=1,B1484&lt;=6),B1484=10)),1,0)</f>
        <v>1</v>
      </c>
      <c r="AA1484" s="39" t="n">
        <f aca="false">IF(AND(E1484&gt;0,B1484=10),1,0)</f>
        <v>0</v>
      </c>
      <c r="AB1484" s="0" t="str">
        <f aca="false">IF(AND(C1483=C1484,Y1483=Y1484-1),Z1483,"")</f>
        <v/>
      </c>
      <c r="AC1484" s="0" t="str">
        <f aca="false">IF(AND(C1483=C1484,Y1483=Y1484-1),AA1483,"")</f>
        <v/>
      </c>
      <c r="AD1484" s="0" t="str">
        <f aca="false">IF(Y1484=1,"",IF(AND(Z1484=1,AB1484&lt;&gt;1),1,0))</f>
        <v/>
      </c>
      <c r="AE1484" s="0" t="str">
        <f aca="false">IF(Y1484=1,"",IF(AND(AA1484=1,AC1484&lt;&gt;1),1,0))</f>
        <v/>
      </c>
      <c r="AF1484" s="45" t="str">
        <f aca="false">IF(AND(E1484&gt;0,Y1484&lt;1,NOT(AND(C1485=C1484,Y1485=Y1484+1))),INDEX(DATAS,Y1484+1),"")</f>
        <v/>
      </c>
      <c r="AG1484" s="45" t="str">
        <f aca="false">IF(AND(AA1484=1,Y1484&lt;1),IF(AND(C1485=C1484,Y1485=Y1484+1),IF(AA1485=1,"",INDEX(DATAS,Y1484+1)),INDEX(DATAS,Y1484+1)),"")</f>
        <v/>
      </c>
    </row>
    <row r="1485" customFormat="false" ht="15" hidden="false" customHeight="false" outlineLevel="0" collapsed="false">
      <c r="A1485" s="45" t="n">
        <v>46309</v>
      </c>
      <c r="B1485" s="0" t="n">
        <v>4</v>
      </c>
      <c r="C1485" s="0" t="n">
        <v>5615</v>
      </c>
      <c r="D1485" s="0" t="n">
        <v>138</v>
      </c>
      <c r="E1485" s="0" t="n">
        <v>1</v>
      </c>
      <c r="F1485" s="39" t="s">
        <v>915</v>
      </c>
      <c r="G1485" s="0" t="n">
        <v>48.9</v>
      </c>
      <c r="H1485" s="0" t="n">
        <v>50</v>
      </c>
      <c r="I1485" s="39" t="s">
        <v>146</v>
      </c>
      <c r="J1485" s="0" t="n">
        <v>138</v>
      </c>
      <c r="K1485" s="0" t="n">
        <v>68</v>
      </c>
      <c r="P1485" s="0" t="n">
        <v>3.61</v>
      </c>
      <c r="Q1485" s="0" t="n">
        <v>3.42</v>
      </c>
      <c r="R1485" s="0" t="n">
        <v>4797</v>
      </c>
      <c r="S1485" s="0" t="n">
        <v>9877</v>
      </c>
      <c r="T1485" s="0" t="n">
        <v>53.6</v>
      </c>
      <c r="U1485" s="0" t="n">
        <v>862</v>
      </c>
      <c r="V1485" s="0" t="n">
        <v>2</v>
      </c>
      <c r="W1485" s="39" t="n">
        <f aca="false">IF(I1485="Male",0,1)</f>
        <v>1</v>
      </c>
      <c r="X1485" s="39" t="n">
        <f aca="false">IF(OR(I1485="DNB",I1485="Dry DNB"),1,0)</f>
        <v>0</v>
      </c>
      <c r="Y1485" s="39" t="n">
        <f aca="false">MATCH(A1485,DATAS,0)</f>
        <v>1</v>
      </c>
      <c r="Z1485" s="39" t="n">
        <f aca="false">IF(AND(E1485&gt;0,OR(AND(B1485&gt;=1,B1485&lt;=6),B1485=10)),1,0)</f>
        <v>1</v>
      </c>
      <c r="AA1485" s="39" t="n">
        <f aca="false">IF(AND(E1485&gt;0,B1485=10),1,0)</f>
        <v>0</v>
      </c>
      <c r="AB1485" s="0" t="str">
        <f aca="false">IF(AND(C1484=C1485,Y1484=Y1485-1),Z1484,"")</f>
        <v/>
      </c>
      <c r="AC1485" s="0" t="str">
        <f aca="false">IF(AND(C1484=C1485,Y1484=Y1485-1),AA1484,"")</f>
        <v/>
      </c>
      <c r="AD1485" s="0" t="str">
        <f aca="false">IF(Y1485=1,"",IF(AND(Z1485=1,AB1485&lt;&gt;1),1,0))</f>
        <v/>
      </c>
      <c r="AE1485" s="0" t="str">
        <f aca="false">IF(Y1485=1,"",IF(AND(AA1485=1,AC1485&lt;&gt;1),1,0))</f>
        <v/>
      </c>
      <c r="AF1485" s="45" t="str">
        <f aca="false">IF(AND(E1485&gt;0,Y1485&lt;1,NOT(AND(C1486=C1485,Y1486=Y1485+1))),INDEX(DATAS,Y1485+1),"")</f>
        <v/>
      </c>
      <c r="AG1485" s="45" t="str">
        <f aca="false">IF(AND(AA1485=1,Y1485&lt;1),IF(AND(C1486=C1485,Y1486=Y1485+1),IF(AA1486=1,"",INDEX(DATAS,Y1485+1)),INDEX(DATAS,Y1485+1)),"")</f>
        <v/>
      </c>
    </row>
    <row r="1486" customFormat="false" ht="15" hidden="false" customHeight="false" outlineLevel="0" collapsed="false">
      <c r="A1486" s="45" t="n">
        <v>46309</v>
      </c>
      <c r="B1486" s="0" t="n">
        <v>4</v>
      </c>
      <c r="C1486" s="0" t="n">
        <v>5616</v>
      </c>
      <c r="D1486" s="0" t="n">
        <v>209</v>
      </c>
      <c r="E1486" s="0" t="n">
        <v>1</v>
      </c>
      <c r="F1486" s="39" t="s">
        <v>914</v>
      </c>
      <c r="G1486" s="0" t="n">
        <v>50.1</v>
      </c>
      <c r="H1486" s="0" t="n">
        <v>51</v>
      </c>
      <c r="I1486" s="39" t="s">
        <v>109</v>
      </c>
      <c r="J1486" s="0" t="n">
        <v>62</v>
      </c>
      <c r="K1486" s="0" t="n">
        <v>62</v>
      </c>
      <c r="L1486" s="0" t="n">
        <v>147</v>
      </c>
      <c r="P1486" s="0" t="n">
        <v>3.31</v>
      </c>
      <c r="Q1486" s="0" t="n">
        <v>3.37</v>
      </c>
      <c r="R1486" s="0" t="n">
        <v>3798</v>
      </c>
      <c r="S1486" s="0" t="n">
        <v>9007</v>
      </c>
      <c r="T1486" s="0" t="n">
        <v>46.8</v>
      </c>
      <c r="U1486" s="0" t="n">
        <v>863</v>
      </c>
      <c r="V1486" s="0" t="n">
        <v>1</v>
      </c>
      <c r="W1486" s="39" t="n">
        <f aca="false">IF(I1486="Male",0,1)</f>
        <v>1</v>
      </c>
      <c r="X1486" s="39" t="n">
        <f aca="false">IF(OR(I1486="DNB",I1486="Dry DNB"),1,0)</f>
        <v>0</v>
      </c>
      <c r="Y1486" s="39" t="n">
        <f aca="false">MATCH(A1486,DATAS,0)</f>
        <v>1</v>
      </c>
      <c r="Z1486" s="39" t="n">
        <f aca="false">IF(AND(E1486&gt;0,OR(AND(B1486&gt;=1,B1486&lt;=6),B1486=10)),1,0)</f>
        <v>1</v>
      </c>
      <c r="AA1486" s="39" t="n">
        <f aca="false">IF(AND(E1486&gt;0,B1486=10),1,0)</f>
        <v>0</v>
      </c>
      <c r="AB1486" s="0" t="str">
        <f aca="false">IF(AND(C1485=C1486,Y1485=Y1486-1),Z1485,"")</f>
        <v/>
      </c>
      <c r="AC1486" s="0" t="str">
        <f aca="false">IF(AND(C1485=C1486,Y1485=Y1486-1),AA1485,"")</f>
        <v/>
      </c>
      <c r="AD1486" s="0" t="str">
        <f aca="false">IF(Y1486=1,"",IF(AND(Z1486=1,AB1486&lt;&gt;1),1,0))</f>
        <v/>
      </c>
      <c r="AE1486" s="0" t="str">
        <f aca="false">IF(Y1486=1,"",IF(AND(AA1486=1,AC1486&lt;&gt;1),1,0))</f>
        <v/>
      </c>
      <c r="AF1486" s="45" t="str">
        <f aca="false">IF(AND(E1486&gt;0,Y1486&lt;1,NOT(AND(C1487=C1486,Y1487=Y1486+1))),INDEX(DATAS,Y1486+1),"")</f>
        <v/>
      </c>
      <c r="AG1486" s="45" t="str">
        <f aca="false">IF(AND(AA1486=1,Y1486&lt;1),IF(AND(C1487=C1486,Y1487=Y1486+1),IF(AA1487=1,"",INDEX(DATAS,Y1486+1)),INDEX(DATAS,Y1486+1)),"")</f>
        <v/>
      </c>
    </row>
    <row r="1487" customFormat="false" ht="15" hidden="false" customHeight="false" outlineLevel="0" collapsed="false">
      <c r="A1487" s="45" t="n">
        <v>46309</v>
      </c>
      <c r="B1487" s="0" t="n">
        <v>4</v>
      </c>
      <c r="C1487" s="0" t="n">
        <v>5617</v>
      </c>
      <c r="D1487" s="0" t="n">
        <v>216</v>
      </c>
      <c r="E1487" s="0" t="n">
        <v>1</v>
      </c>
      <c r="F1487" s="39" t="s">
        <v>915</v>
      </c>
      <c r="G1487" s="0" t="n">
        <v>42.3</v>
      </c>
      <c r="H1487" s="0" t="n">
        <v>46</v>
      </c>
      <c r="I1487" s="39" t="s">
        <v>109</v>
      </c>
      <c r="J1487" s="0" t="n">
        <v>63</v>
      </c>
      <c r="K1487" s="0" t="n">
        <v>63</v>
      </c>
      <c r="L1487" s="0" t="n">
        <v>153</v>
      </c>
      <c r="P1487" s="0" t="n">
        <v>4.13</v>
      </c>
      <c r="Q1487" s="0" t="n">
        <v>3.45</v>
      </c>
      <c r="R1487" s="0" t="n">
        <v>4137</v>
      </c>
      <c r="S1487" s="0" t="n">
        <v>8968</v>
      </c>
      <c r="T1487" s="0" t="n">
        <v>48.15</v>
      </c>
      <c r="U1487" s="0" t="n">
        <v>862</v>
      </c>
      <c r="V1487" s="0" t="n">
        <v>1</v>
      </c>
      <c r="W1487" s="39" t="n">
        <f aca="false">IF(I1487="Male",0,1)</f>
        <v>1</v>
      </c>
      <c r="X1487" s="39" t="n">
        <f aca="false">IF(OR(I1487="DNB",I1487="Dry DNB"),1,0)</f>
        <v>0</v>
      </c>
      <c r="Y1487" s="39" t="n">
        <f aca="false">MATCH(A1487,DATAS,0)</f>
        <v>1</v>
      </c>
      <c r="Z1487" s="39" t="n">
        <f aca="false">IF(AND(E1487&gt;0,OR(AND(B1487&gt;=1,B1487&lt;=6),B1487=10)),1,0)</f>
        <v>1</v>
      </c>
      <c r="AA1487" s="39" t="n">
        <f aca="false">IF(AND(E1487&gt;0,B1487=10),1,0)</f>
        <v>0</v>
      </c>
      <c r="AB1487" s="0" t="str">
        <f aca="false">IF(AND(C1486=C1487,Y1486=Y1487-1),Z1486,"")</f>
        <v/>
      </c>
      <c r="AC1487" s="0" t="str">
        <f aca="false">IF(AND(C1486=C1487,Y1486=Y1487-1),AA1486,"")</f>
        <v/>
      </c>
      <c r="AD1487" s="0" t="str">
        <f aca="false">IF(Y1487=1,"",IF(AND(Z1487=1,AB1487&lt;&gt;1),1,0))</f>
        <v/>
      </c>
      <c r="AE1487" s="0" t="str">
        <f aca="false">IF(Y1487=1,"",IF(AND(AA1487=1,AC1487&lt;&gt;1),1,0))</f>
        <v/>
      </c>
      <c r="AF1487" s="45" t="str">
        <f aca="false">IF(AND(E1487&gt;0,Y1487&lt;1,NOT(AND(C1488=C1487,Y1488=Y1487+1))),INDEX(DATAS,Y1487+1),"")</f>
        <v/>
      </c>
      <c r="AG1487" s="45" t="str">
        <f aca="false">IF(AND(AA1487=1,Y1487&lt;1),IF(AND(C1488=C1487,Y1488=Y1487+1),IF(AA1488=1,"",INDEX(DATAS,Y1487+1)),INDEX(DATAS,Y1487+1)),"")</f>
        <v/>
      </c>
    </row>
    <row r="1488" customFormat="false" ht="15" hidden="false" customHeight="false" outlineLevel="0" collapsed="false">
      <c r="A1488" s="45" t="n">
        <v>46309</v>
      </c>
      <c r="B1488" s="0" t="n">
        <v>4</v>
      </c>
      <c r="C1488" s="0" t="n">
        <v>5618</v>
      </c>
      <c r="D1488" s="0" t="n">
        <v>155</v>
      </c>
      <c r="E1488" s="0" t="n">
        <v>1</v>
      </c>
      <c r="F1488" s="39" t="s">
        <v>915</v>
      </c>
      <c r="G1488" s="0" t="n">
        <v>59.3</v>
      </c>
      <c r="H1488" s="0" t="n">
        <v>57</v>
      </c>
      <c r="I1488" s="39" t="s">
        <v>138</v>
      </c>
      <c r="J1488" s="0" t="n">
        <v>155</v>
      </c>
      <c r="K1488" s="0" t="n">
        <v>64</v>
      </c>
      <c r="P1488" s="0" t="n">
        <v>3.39</v>
      </c>
      <c r="Q1488" s="0" t="n">
        <v>2.96</v>
      </c>
      <c r="R1488" s="0" t="n">
        <v>5356</v>
      </c>
      <c r="S1488" s="0" t="n">
        <v>11241</v>
      </c>
      <c r="T1488" s="0" t="n">
        <v>59.45</v>
      </c>
      <c r="U1488" s="0" t="n">
        <v>862</v>
      </c>
      <c r="V1488" s="0" t="n">
        <v>4</v>
      </c>
      <c r="W1488" s="39" t="n">
        <f aca="false">IF(I1488="Male",0,1)</f>
        <v>1</v>
      </c>
      <c r="X1488" s="39" t="n">
        <f aca="false">IF(OR(I1488="DNB",I1488="Dry DNB"),1,0)</f>
        <v>0</v>
      </c>
      <c r="Y1488" s="39" t="n">
        <f aca="false">MATCH(A1488,DATAS,0)</f>
        <v>1</v>
      </c>
      <c r="Z1488" s="39" t="n">
        <f aca="false">IF(AND(E1488&gt;0,OR(AND(B1488&gt;=1,B1488&lt;=6),B1488=10)),1,0)</f>
        <v>1</v>
      </c>
      <c r="AA1488" s="39" t="n">
        <f aca="false">IF(AND(E1488&gt;0,B1488=10),1,0)</f>
        <v>0</v>
      </c>
      <c r="AB1488" s="0" t="str">
        <f aca="false">IF(AND(C1487=C1488,Y1487=Y1488-1),Z1487,"")</f>
        <v/>
      </c>
      <c r="AC1488" s="0" t="str">
        <f aca="false">IF(AND(C1487=C1488,Y1487=Y1488-1),AA1487,"")</f>
        <v/>
      </c>
      <c r="AD1488" s="0" t="str">
        <f aca="false">IF(Y1488=1,"",IF(AND(Z1488=1,AB1488&lt;&gt;1),1,0))</f>
        <v/>
      </c>
      <c r="AE1488" s="0" t="str">
        <f aca="false">IF(Y1488=1,"",IF(AND(AA1488=1,AC1488&lt;&gt;1),1,0))</f>
        <v/>
      </c>
      <c r="AF1488" s="45" t="str">
        <f aca="false">IF(AND(E1488&gt;0,Y1488&lt;1,NOT(AND(C1489=C1488,Y1489=Y1488+1))),INDEX(DATAS,Y1488+1),"")</f>
        <v/>
      </c>
      <c r="AG1488" s="45" t="str">
        <f aca="false">IF(AND(AA1488=1,Y1488&lt;1),IF(AND(C1489=C1488,Y1489=Y1488+1),IF(AA1489=1,"",INDEX(DATAS,Y1488+1)),INDEX(DATAS,Y1488+1)),"")</f>
        <v/>
      </c>
    </row>
    <row r="1489" customFormat="false" ht="15" hidden="false" customHeight="false" outlineLevel="0" collapsed="false">
      <c r="A1489" s="45" t="n">
        <v>46309</v>
      </c>
      <c r="B1489" s="0" t="n">
        <v>4</v>
      </c>
      <c r="C1489" s="0" t="n">
        <v>5619</v>
      </c>
      <c r="D1489" s="0" t="n">
        <v>204</v>
      </c>
      <c r="E1489" s="0" t="n">
        <v>1</v>
      </c>
      <c r="F1489" s="39" t="s">
        <v>915</v>
      </c>
      <c r="G1489" s="0" t="n">
        <v>46.6</v>
      </c>
      <c r="H1489" s="0" t="n">
        <v>47</v>
      </c>
      <c r="I1489" s="39" t="s">
        <v>109</v>
      </c>
      <c r="J1489" s="0" t="n">
        <v>64</v>
      </c>
      <c r="K1489" s="0" t="n">
        <v>64</v>
      </c>
      <c r="L1489" s="0" t="n">
        <v>140</v>
      </c>
      <c r="P1489" s="0" t="n">
        <v>3.28</v>
      </c>
      <c r="Q1489" s="0" t="n">
        <v>3.67</v>
      </c>
      <c r="R1489" s="0" t="n">
        <v>3617</v>
      </c>
      <c r="S1489" s="0" t="n">
        <v>8524</v>
      </c>
      <c r="T1489" s="0" t="n">
        <v>43</v>
      </c>
      <c r="U1489" s="0" t="n">
        <v>862</v>
      </c>
      <c r="V1489" s="0" t="n">
        <v>1</v>
      </c>
      <c r="W1489" s="39" t="n">
        <f aca="false">IF(I1489="Male",0,1)</f>
        <v>1</v>
      </c>
      <c r="X1489" s="39" t="n">
        <f aca="false">IF(OR(I1489="DNB",I1489="Dry DNB"),1,0)</f>
        <v>0</v>
      </c>
      <c r="Y1489" s="39" t="n">
        <f aca="false">MATCH(A1489,DATAS,0)</f>
        <v>1</v>
      </c>
      <c r="Z1489" s="39" t="n">
        <f aca="false">IF(AND(E1489&gt;0,OR(AND(B1489&gt;=1,B1489&lt;=6),B1489=10)),1,0)</f>
        <v>1</v>
      </c>
      <c r="AA1489" s="39" t="n">
        <f aca="false">IF(AND(E1489&gt;0,B1489=10),1,0)</f>
        <v>0</v>
      </c>
      <c r="AB1489" s="0" t="str">
        <f aca="false">IF(AND(C1488=C1489,Y1488=Y1489-1),Z1488,"")</f>
        <v/>
      </c>
      <c r="AC1489" s="0" t="str">
        <f aca="false">IF(AND(C1488=C1489,Y1488=Y1489-1),AA1488,"")</f>
        <v/>
      </c>
      <c r="AD1489" s="0" t="str">
        <f aca="false">IF(Y1489=1,"",IF(AND(Z1489=1,AB1489&lt;&gt;1),1,0))</f>
        <v/>
      </c>
      <c r="AE1489" s="0" t="str">
        <f aca="false">IF(Y1489=1,"",IF(AND(AA1489=1,AC1489&lt;&gt;1),1,0))</f>
        <v/>
      </c>
      <c r="AF1489" s="45" t="str">
        <f aca="false">IF(AND(E1489&gt;0,Y1489&lt;1,NOT(AND(C1490=C1489,Y1490=Y1489+1))),INDEX(DATAS,Y1489+1),"")</f>
        <v/>
      </c>
      <c r="AG1489" s="45" t="str">
        <f aca="false">IF(AND(AA1489=1,Y1489&lt;1),IF(AND(C1490=C1489,Y1490=Y1489+1),IF(AA1490=1,"",INDEX(DATAS,Y1489+1)),INDEX(DATAS,Y1489+1)),"")</f>
        <v/>
      </c>
    </row>
    <row r="1490" customFormat="false" ht="15" hidden="false" customHeight="false" outlineLevel="0" collapsed="false">
      <c r="A1490" s="45" t="n">
        <v>46309</v>
      </c>
      <c r="B1490" s="0" t="n">
        <v>4</v>
      </c>
      <c r="C1490" s="0" t="n">
        <v>5620</v>
      </c>
      <c r="D1490" s="0" t="n">
        <v>217</v>
      </c>
      <c r="E1490" s="0" t="n">
        <v>1</v>
      </c>
      <c r="F1490" s="39" t="s">
        <v>915</v>
      </c>
      <c r="G1490" s="0" t="n">
        <v>25.5</v>
      </c>
      <c r="H1490" s="0" t="n">
        <v>37</v>
      </c>
      <c r="I1490" s="39" t="s">
        <v>146</v>
      </c>
      <c r="J1490" s="0" t="n">
        <v>217</v>
      </c>
      <c r="K1490" s="0" t="n">
        <v>63</v>
      </c>
      <c r="P1490" s="0" t="n">
        <v>3.96</v>
      </c>
      <c r="Q1490" s="0" t="n">
        <v>3.64</v>
      </c>
      <c r="R1490" s="0" t="n">
        <v>3666</v>
      </c>
      <c r="S1490" s="0" t="n">
        <v>7693</v>
      </c>
      <c r="T1490" s="0" t="n">
        <v>37.75</v>
      </c>
      <c r="U1490" s="0" t="n">
        <v>862</v>
      </c>
      <c r="V1490" s="0" t="n">
        <v>5</v>
      </c>
      <c r="W1490" s="39" t="n">
        <f aca="false">IF(I1490="Male",0,1)</f>
        <v>1</v>
      </c>
      <c r="X1490" s="39" t="n">
        <f aca="false">IF(OR(I1490="DNB",I1490="Dry DNB"),1,0)</f>
        <v>0</v>
      </c>
      <c r="Y1490" s="39" t="n">
        <f aca="false">MATCH(A1490,DATAS,0)</f>
        <v>1</v>
      </c>
      <c r="Z1490" s="39" t="n">
        <f aca="false">IF(AND(E1490&gt;0,OR(AND(B1490&gt;=1,B1490&lt;=6),B1490=10)),1,0)</f>
        <v>1</v>
      </c>
      <c r="AA1490" s="39" t="n">
        <f aca="false">IF(AND(E1490&gt;0,B1490=10),1,0)</f>
        <v>0</v>
      </c>
      <c r="AB1490" s="0" t="str">
        <f aca="false">IF(AND(C1489=C1490,Y1489=Y1490-1),Z1489,"")</f>
        <v/>
      </c>
      <c r="AC1490" s="0" t="str">
        <f aca="false">IF(AND(C1489=C1490,Y1489=Y1490-1),AA1489,"")</f>
        <v/>
      </c>
      <c r="AD1490" s="0" t="str">
        <f aca="false">IF(Y1490=1,"",IF(AND(Z1490=1,AB1490&lt;&gt;1),1,0))</f>
        <v/>
      </c>
      <c r="AE1490" s="0" t="str">
        <f aca="false">IF(Y1490=1,"",IF(AND(AA1490=1,AC1490&lt;&gt;1),1,0))</f>
        <v/>
      </c>
      <c r="AF1490" s="45" t="str">
        <f aca="false">IF(AND(E1490&gt;0,Y1490&lt;1,NOT(AND(C1491=C1490,Y1491=Y1490+1))),INDEX(DATAS,Y1490+1),"")</f>
        <v/>
      </c>
      <c r="AG1490" s="45" t="str">
        <f aca="false">IF(AND(AA1490=1,Y1490&lt;1),IF(AND(C1491=C1490,Y1491=Y1490+1),IF(AA1491=1,"",INDEX(DATAS,Y1490+1)),INDEX(DATAS,Y1490+1)),"")</f>
        <v/>
      </c>
    </row>
    <row r="1491" customFormat="false" ht="15" hidden="false" customHeight="false" outlineLevel="0" collapsed="false">
      <c r="A1491" s="45" t="n">
        <v>46309</v>
      </c>
      <c r="B1491" s="0" t="n">
        <v>4</v>
      </c>
      <c r="C1491" s="0" t="n">
        <v>5621</v>
      </c>
      <c r="D1491" s="0" t="n">
        <v>202</v>
      </c>
      <c r="E1491" s="0" t="n">
        <v>1</v>
      </c>
      <c r="F1491" s="39" t="s">
        <v>915</v>
      </c>
      <c r="G1491" s="0" t="n">
        <v>51</v>
      </c>
      <c r="H1491" s="0" t="n">
        <v>50</v>
      </c>
      <c r="I1491" s="39" t="s">
        <v>138</v>
      </c>
      <c r="J1491" s="0" t="n">
        <v>202</v>
      </c>
      <c r="K1491" s="0" t="n">
        <v>62</v>
      </c>
      <c r="P1491" s="0" t="n">
        <v>3.56</v>
      </c>
      <c r="Q1491" s="0" t="n">
        <v>3.18</v>
      </c>
      <c r="R1491" s="0" t="n">
        <v>3857</v>
      </c>
      <c r="S1491" s="0" t="n">
        <v>8807</v>
      </c>
      <c r="T1491" s="0" t="n">
        <v>42.55</v>
      </c>
      <c r="U1491" s="0" t="n">
        <v>862</v>
      </c>
      <c r="V1491" s="0" t="n">
        <v>5</v>
      </c>
      <c r="W1491" s="39" t="n">
        <f aca="false">IF(I1491="Male",0,1)</f>
        <v>1</v>
      </c>
      <c r="X1491" s="39" t="n">
        <f aca="false">IF(OR(I1491="DNB",I1491="Dry DNB"),1,0)</f>
        <v>0</v>
      </c>
      <c r="Y1491" s="39" t="n">
        <f aca="false">MATCH(A1491,DATAS,0)</f>
        <v>1</v>
      </c>
      <c r="Z1491" s="39" t="n">
        <f aca="false">IF(AND(E1491&gt;0,OR(AND(B1491&gt;=1,B1491&lt;=6),B1491=10)),1,0)</f>
        <v>1</v>
      </c>
      <c r="AA1491" s="39" t="n">
        <f aca="false">IF(AND(E1491&gt;0,B1491=10),1,0)</f>
        <v>0</v>
      </c>
      <c r="AB1491" s="0" t="str">
        <f aca="false">IF(AND(C1490=C1491,Y1490=Y1491-1),Z1490,"")</f>
        <v/>
      </c>
      <c r="AC1491" s="0" t="str">
        <f aca="false">IF(AND(C1490=C1491,Y1490=Y1491-1),AA1490,"")</f>
        <v/>
      </c>
      <c r="AD1491" s="0" t="str">
        <f aca="false">IF(Y1491=1,"",IF(AND(Z1491=1,AB1491&lt;&gt;1),1,0))</f>
        <v/>
      </c>
      <c r="AE1491" s="0" t="str">
        <f aca="false">IF(Y1491=1,"",IF(AND(AA1491=1,AC1491&lt;&gt;1),1,0))</f>
        <v/>
      </c>
      <c r="AF1491" s="45" t="str">
        <f aca="false">IF(AND(E1491&gt;0,Y1491&lt;1,NOT(AND(C1492=C1491,Y1492=Y1491+1))),INDEX(DATAS,Y1491+1),"")</f>
        <v/>
      </c>
      <c r="AG1491" s="45" t="str">
        <f aca="false">IF(AND(AA1491=1,Y1491&lt;1),IF(AND(C1492=C1491,Y1492=Y1491+1),IF(AA1492=1,"",INDEX(DATAS,Y1491+1)),INDEX(DATAS,Y1491+1)),"")</f>
        <v/>
      </c>
    </row>
    <row r="1492" customFormat="false" ht="15" hidden="false" customHeight="false" outlineLevel="0" collapsed="false">
      <c r="A1492" s="45" t="n">
        <v>46309</v>
      </c>
      <c r="B1492" s="0" t="n">
        <v>4</v>
      </c>
      <c r="C1492" s="0" t="n">
        <v>5622</v>
      </c>
      <c r="D1492" s="0" t="n">
        <v>215</v>
      </c>
      <c r="E1492" s="0" t="n">
        <v>1</v>
      </c>
      <c r="F1492" s="39" t="s">
        <v>916</v>
      </c>
      <c r="G1492" s="0" t="n">
        <v>52.2</v>
      </c>
      <c r="H1492" s="0" t="n">
        <v>54</v>
      </c>
      <c r="I1492" s="39" t="s">
        <v>109</v>
      </c>
      <c r="J1492" s="0" t="n">
        <v>89</v>
      </c>
      <c r="K1492" s="0" t="n">
        <v>68</v>
      </c>
      <c r="L1492" s="0" t="n">
        <v>126</v>
      </c>
      <c r="P1492" s="0" t="n">
        <v>4.01</v>
      </c>
      <c r="Q1492" s="0" t="n">
        <v>3.27</v>
      </c>
      <c r="R1492" s="0" t="n">
        <v>4701</v>
      </c>
      <c r="S1492" s="0" t="n">
        <v>9926</v>
      </c>
      <c r="T1492" s="0" t="n">
        <v>54.6</v>
      </c>
      <c r="U1492" s="0" t="n">
        <v>861</v>
      </c>
      <c r="V1492" s="0" t="n">
        <v>2</v>
      </c>
      <c r="W1492" s="39" t="n">
        <f aca="false">IF(I1492="Male",0,1)</f>
        <v>1</v>
      </c>
      <c r="X1492" s="39" t="n">
        <f aca="false">IF(OR(I1492="DNB",I1492="Dry DNB"),1,0)</f>
        <v>0</v>
      </c>
      <c r="Y1492" s="39" t="n">
        <f aca="false">MATCH(A1492,DATAS,0)</f>
        <v>1</v>
      </c>
      <c r="Z1492" s="39" t="n">
        <f aca="false">IF(AND(E1492&gt;0,OR(AND(B1492&gt;=1,B1492&lt;=6),B1492=10)),1,0)</f>
        <v>1</v>
      </c>
      <c r="AA1492" s="39" t="n">
        <f aca="false">IF(AND(E1492&gt;0,B1492=10),1,0)</f>
        <v>0</v>
      </c>
      <c r="AB1492" s="0" t="str">
        <f aca="false">IF(AND(C1491=C1492,Y1491=Y1492-1),Z1491,"")</f>
        <v/>
      </c>
      <c r="AC1492" s="0" t="str">
        <f aca="false">IF(AND(C1491=C1492,Y1491=Y1492-1),AA1491,"")</f>
        <v/>
      </c>
      <c r="AD1492" s="0" t="str">
        <f aca="false">IF(Y1492=1,"",IF(AND(Z1492=1,AB1492&lt;&gt;1),1,0))</f>
        <v/>
      </c>
      <c r="AE1492" s="0" t="str">
        <f aca="false">IF(Y1492=1,"",IF(AND(AA1492=1,AC1492&lt;&gt;1),1,0))</f>
        <v/>
      </c>
      <c r="AF1492" s="45" t="str">
        <f aca="false">IF(AND(E1492&gt;0,Y1492&lt;1,NOT(AND(C1493=C1492,Y1493=Y1492+1))),INDEX(DATAS,Y1492+1),"")</f>
        <v/>
      </c>
      <c r="AG1492" s="45" t="str">
        <f aca="false">IF(AND(AA1492=1,Y1492&lt;1),IF(AND(C1493=C1492,Y1493=Y1492+1),IF(AA1493=1,"",INDEX(DATAS,Y1492+1)),INDEX(DATAS,Y1492+1)),"")</f>
        <v/>
      </c>
    </row>
    <row r="1493" customFormat="false" ht="15" hidden="false" customHeight="false" outlineLevel="0" collapsed="false">
      <c r="A1493" s="45" t="n">
        <v>46309</v>
      </c>
      <c r="B1493" s="0" t="n">
        <v>4</v>
      </c>
      <c r="C1493" s="0" t="n">
        <v>5623</v>
      </c>
      <c r="D1493" s="0" t="n">
        <v>224</v>
      </c>
      <c r="E1493" s="0" t="n">
        <v>1</v>
      </c>
      <c r="F1493" s="39" t="s">
        <v>916</v>
      </c>
      <c r="G1493" s="0" t="n">
        <v>45.1</v>
      </c>
      <c r="H1493" s="0" t="n">
        <v>44</v>
      </c>
      <c r="I1493" s="39" t="s">
        <v>109</v>
      </c>
      <c r="J1493" s="0" t="n">
        <v>63</v>
      </c>
      <c r="K1493" s="0" t="n">
        <v>63</v>
      </c>
      <c r="L1493" s="0" t="n">
        <v>161</v>
      </c>
      <c r="P1493" s="0" t="n">
        <v>2.52</v>
      </c>
      <c r="Q1493" s="0" t="n">
        <v>3.51</v>
      </c>
      <c r="R1493" s="0" t="n">
        <v>4409</v>
      </c>
      <c r="S1493" s="0" t="n">
        <v>9254</v>
      </c>
      <c r="T1493" s="0" t="n">
        <v>49.6</v>
      </c>
      <c r="U1493" s="0" t="n">
        <v>861</v>
      </c>
      <c r="V1493" s="0" t="n">
        <v>1</v>
      </c>
      <c r="W1493" s="39" t="n">
        <f aca="false">IF(I1493="Male",0,1)</f>
        <v>1</v>
      </c>
      <c r="X1493" s="39" t="n">
        <f aca="false">IF(OR(I1493="DNB",I1493="Dry DNB"),1,0)</f>
        <v>0</v>
      </c>
      <c r="Y1493" s="39" t="n">
        <f aca="false">MATCH(A1493,DATAS,0)</f>
        <v>1</v>
      </c>
      <c r="Z1493" s="39" t="n">
        <f aca="false">IF(AND(E1493&gt;0,OR(AND(B1493&gt;=1,B1493&lt;=6),B1493=10)),1,0)</f>
        <v>1</v>
      </c>
      <c r="AA1493" s="39" t="n">
        <f aca="false">IF(AND(E1493&gt;0,B1493=10),1,0)</f>
        <v>0</v>
      </c>
      <c r="AB1493" s="0" t="str">
        <f aca="false">IF(AND(C1492=C1493,Y1492=Y1493-1),Z1492,"")</f>
        <v/>
      </c>
      <c r="AC1493" s="0" t="str">
        <f aca="false">IF(AND(C1492=C1493,Y1492=Y1493-1),AA1492,"")</f>
        <v/>
      </c>
      <c r="AD1493" s="0" t="str">
        <f aca="false">IF(Y1493=1,"",IF(AND(Z1493=1,AB1493&lt;&gt;1),1,0))</f>
        <v/>
      </c>
      <c r="AE1493" s="0" t="str">
        <f aca="false">IF(Y1493=1,"",IF(AND(AA1493=1,AC1493&lt;&gt;1),1,0))</f>
        <v/>
      </c>
      <c r="AF1493" s="45" t="str">
        <f aca="false">IF(AND(E1493&gt;0,Y1493&lt;1,NOT(AND(C1494=C1493,Y1494=Y1493+1))),INDEX(DATAS,Y1493+1),"")</f>
        <v/>
      </c>
      <c r="AG1493" s="45" t="str">
        <f aca="false">IF(AND(AA1493=1,Y1493&lt;1),IF(AND(C1494=C1493,Y1494=Y1493+1),IF(AA1494=1,"",INDEX(DATAS,Y1493+1)),INDEX(DATAS,Y1493+1)),"")</f>
        <v/>
      </c>
    </row>
    <row r="1494" customFormat="false" ht="15" hidden="false" customHeight="false" outlineLevel="0" collapsed="false">
      <c r="A1494" s="45" t="n">
        <v>46309</v>
      </c>
      <c r="B1494" s="0" t="n">
        <v>4</v>
      </c>
      <c r="C1494" s="0" t="n">
        <v>5624</v>
      </c>
      <c r="D1494" s="0" t="n">
        <v>218</v>
      </c>
      <c r="E1494" s="0" t="n">
        <v>1</v>
      </c>
      <c r="F1494" s="39" t="s">
        <v>916</v>
      </c>
      <c r="G1494" s="0" t="n">
        <v>35</v>
      </c>
      <c r="H1494" s="0" t="n">
        <v>31</v>
      </c>
      <c r="I1494" s="39" t="s">
        <v>109</v>
      </c>
      <c r="J1494" s="0" t="n">
        <v>64</v>
      </c>
      <c r="K1494" s="0" t="n">
        <v>64</v>
      </c>
      <c r="L1494" s="0" t="n">
        <v>154</v>
      </c>
      <c r="P1494" s="0" t="n">
        <v>4.52</v>
      </c>
      <c r="Q1494" s="0" t="n">
        <v>3.54</v>
      </c>
      <c r="R1494" s="0" t="n">
        <v>4010</v>
      </c>
      <c r="S1494" s="0" t="n">
        <v>8561</v>
      </c>
      <c r="T1494" s="0" t="n">
        <v>44</v>
      </c>
      <c r="U1494" s="0" t="n">
        <v>861</v>
      </c>
      <c r="V1494" s="0" t="n">
        <v>1</v>
      </c>
      <c r="W1494" s="39" t="n">
        <f aca="false">IF(I1494="Male",0,1)</f>
        <v>1</v>
      </c>
      <c r="X1494" s="39" t="n">
        <f aca="false">IF(OR(I1494="DNB",I1494="Dry DNB"),1,0)</f>
        <v>0</v>
      </c>
      <c r="Y1494" s="39" t="n">
        <f aca="false">MATCH(A1494,DATAS,0)</f>
        <v>1</v>
      </c>
      <c r="Z1494" s="39" t="n">
        <f aca="false">IF(AND(E1494&gt;0,OR(AND(B1494&gt;=1,B1494&lt;=6),B1494=10)),1,0)</f>
        <v>1</v>
      </c>
      <c r="AA1494" s="39" t="n">
        <f aca="false">IF(AND(E1494&gt;0,B1494=10),1,0)</f>
        <v>0</v>
      </c>
      <c r="AB1494" s="0" t="str">
        <f aca="false">IF(AND(C1493=C1494,Y1493=Y1494-1),Z1493,"")</f>
        <v/>
      </c>
      <c r="AC1494" s="0" t="str">
        <f aca="false">IF(AND(C1493=C1494,Y1493=Y1494-1),AA1493,"")</f>
        <v/>
      </c>
      <c r="AD1494" s="0" t="str">
        <f aca="false">IF(Y1494=1,"",IF(AND(Z1494=1,AB1494&lt;&gt;1),1,0))</f>
        <v/>
      </c>
      <c r="AE1494" s="0" t="str">
        <f aca="false">IF(Y1494=1,"",IF(AND(AA1494=1,AC1494&lt;&gt;1),1,0))</f>
        <v/>
      </c>
      <c r="AF1494" s="45" t="str">
        <f aca="false">IF(AND(E1494&gt;0,Y1494&lt;1,NOT(AND(C1495=C1494,Y1495=Y1494+1))),INDEX(DATAS,Y1494+1),"")</f>
        <v/>
      </c>
      <c r="AG1494" s="45" t="str">
        <f aca="false">IF(AND(AA1494=1,Y1494&lt;1),IF(AND(C1495=C1494,Y1495=Y1494+1),IF(AA1495=1,"",INDEX(DATAS,Y1494+1)),INDEX(DATAS,Y1494+1)),"")</f>
        <v/>
      </c>
    </row>
    <row r="1495" customFormat="false" ht="15" hidden="false" customHeight="false" outlineLevel="0" collapsed="false">
      <c r="A1495" s="45" t="n">
        <v>46309</v>
      </c>
      <c r="B1495" s="0" t="n">
        <v>4</v>
      </c>
      <c r="C1495" s="0" t="n">
        <v>5625</v>
      </c>
      <c r="D1495" s="0" t="n">
        <v>174</v>
      </c>
      <c r="E1495" s="0" t="n">
        <v>1</v>
      </c>
      <c r="F1495" s="39" t="s">
        <v>917</v>
      </c>
      <c r="G1495" s="0" t="n">
        <v>41.8</v>
      </c>
      <c r="H1495" s="0" t="n">
        <v>43</v>
      </c>
      <c r="I1495" s="39" t="s">
        <v>146</v>
      </c>
      <c r="J1495" s="0" t="n">
        <v>174</v>
      </c>
      <c r="K1495" s="0" t="n">
        <v>69</v>
      </c>
      <c r="P1495" s="0" t="n">
        <v>3.98</v>
      </c>
      <c r="Q1495" s="0" t="n">
        <v>3.5</v>
      </c>
      <c r="R1495" s="0" t="n">
        <v>4176</v>
      </c>
      <c r="S1495" s="0" t="n">
        <v>8761</v>
      </c>
      <c r="T1495" s="0" t="n">
        <v>44.65</v>
      </c>
      <c r="U1495" s="0" t="n">
        <v>860</v>
      </c>
      <c r="V1495" s="0" t="n">
        <v>3</v>
      </c>
      <c r="W1495" s="39" t="n">
        <f aca="false">IF(I1495="Male",0,1)</f>
        <v>1</v>
      </c>
      <c r="X1495" s="39" t="n">
        <f aca="false">IF(OR(I1495="DNB",I1495="Dry DNB"),1,0)</f>
        <v>0</v>
      </c>
      <c r="Y1495" s="39" t="n">
        <f aca="false">MATCH(A1495,DATAS,0)</f>
        <v>1</v>
      </c>
      <c r="Z1495" s="39" t="n">
        <f aca="false">IF(AND(E1495&gt;0,OR(AND(B1495&gt;=1,B1495&lt;=6),B1495=10)),1,0)</f>
        <v>1</v>
      </c>
      <c r="AA1495" s="39" t="n">
        <f aca="false">IF(AND(E1495&gt;0,B1495=10),1,0)</f>
        <v>0</v>
      </c>
      <c r="AB1495" s="0" t="str">
        <f aca="false">IF(AND(C1494=C1495,Y1494=Y1495-1),Z1494,"")</f>
        <v/>
      </c>
      <c r="AC1495" s="0" t="str">
        <f aca="false">IF(AND(C1494=C1495,Y1494=Y1495-1),AA1494,"")</f>
        <v/>
      </c>
      <c r="AD1495" s="0" t="str">
        <f aca="false">IF(Y1495=1,"",IF(AND(Z1495=1,AB1495&lt;&gt;1),1,0))</f>
        <v/>
      </c>
      <c r="AE1495" s="0" t="str">
        <f aca="false">IF(Y1495=1,"",IF(AND(AA1495=1,AC1495&lt;&gt;1),1,0))</f>
        <v/>
      </c>
      <c r="AF1495" s="45" t="str">
        <f aca="false">IF(AND(E1495&gt;0,Y1495&lt;1,NOT(AND(C1496=C1495,Y1496=Y1495+1))),INDEX(DATAS,Y1495+1),"")</f>
        <v/>
      </c>
      <c r="AG1495" s="45" t="str">
        <f aca="false">IF(AND(AA1495=1,Y1495&lt;1),IF(AND(C1496=C1495,Y1496=Y1495+1),IF(AA1496=1,"",INDEX(DATAS,Y1495+1)),INDEX(DATAS,Y1495+1)),"")</f>
        <v/>
      </c>
    </row>
    <row r="1496" customFormat="false" ht="15" hidden="false" customHeight="false" outlineLevel="0" collapsed="false">
      <c r="A1496" s="45" t="n">
        <v>46309</v>
      </c>
      <c r="B1496" s="0" t="n">
        <v>4</v>
      </c>
      <c r="C1496" s="0" t="n">
        <v>5626</v>
      </c>
      <c r="D1496" s="0" t="n">
        <v>155</v>
      </c>
      <c r="E1496" s="0" t="n">
        <v>1</v>
      </c>
      <c r="F1496" s="39" t="s">
        <v>917</v>
      </c>
      <c r="G1496" s="0" t="n">
        <v>53.7</v>
      </c>
      <c r="H1496" s="0" t="n">
        <v>54</v>
      </c>
      <c r="I1496" s="39" t="s">
        <v>109</v>
      </c>
      <c r="J1496" s="0" t="n">
        <v>113</v>
      </c>
      <c r="K1496" s="0" t="n">
        <v>71</v>
      </c>
      <c r="L1496" s="0" t="n">
        <v>42</v>
      </c>
      <c r="P1496" s="0" t="n">
        <v>3.28</v>
      </c>
      <c r="Q1496" s="0" t="n">
        <v>3.32</v>
      </c>
      <c r="R1496" s="0" t="n">
        <v>4346</v>
      </c>
      <c r="S1496" s="0" t="n">
        <v>9641</v>
      </c>
      <c r="T1496" s="0" t="n">
        <v>45.7</v>
      </c>
      <c r="U1496" s="0" t="n">
        <v>860</v>
      </c>
      <c r="V1496" s="0" t="n">
        <v>2</v>
      </c>
      <c r="W1496" s="39" t="n">
        <f aca="false">IF(I1496="Male",0,1)</f>
        <v>1</v>
      </c>
      <c r="X1496" s="39" t="n">
        <f aca="false">IF(OR(I1496="DNB",I1496="Dry DNB"),1,0)</f>
        <v>0</v>
      </c>
      <c r="Y1496" s="39" t="n">
        <f aca="false">MATCH(A1496,DATAS,0)</f>
        <v>1</v>
      </c>
      <c r="Z1496" s="39" t="n">
        <f aca="false">IF(AND(E1496&gt;0,OR(AND(B1496&gt;=1,B1496&lt;=6),B1496=10)),1,0)</f>
        <v>1</v>
      </c>
      <c r="AA1496" s="39" t="n">
        <f aca="false">IF(AND(E1496&gt;0,B1496=10),1,0)</f>
        <v>0</v>
      </c>
      <c r="AB1496" s="0" t="str">
        <f aca="false">IF(AND(C1495=C1496,Y1495=Y1496-1),Z1495,"")</f>
        <v/>
      </c>
      <c r="AC1496" s="0" t="str">
        <f aca="false">IF(AND(C1495=C1496,Y1495=Y1496-1),AA1495,"")</f>
        <v/>
      </c>
      <c r="AD1496" s="0" t="str">
        <f aca="false">IF(Y1496=1,"",IF(AND(Z1496=1,AB1496&lt;&gt;1),1,0))</f>
        <v/>
      </c>
      <c r="AE1496" s="0" t="str">
        <f aca="false">IF(Y1496=1,"",IF(AND(AA1496=1,AC1496&lt;&gt;1),1,0))</f>
        <v/>
      </c>
      <c r="AF1496" s="45" t="str">
        <f aca="false">IF(AND(E1496&gt;0,Y1496&lt;1,NOT(AND(C1497=C1496,Y1497=Y1496+1))),INDEX(DATAS,Y1496+1),"")</f>
        <v/>
      </c>
      <c r="AG1496" s="45" t="str">
        <f aca="false">IF(AND(AA1496=1,Y1496&lt;1),IF(AND(C1497=C1496,Y1497=Y1496+1),IF(AA1497=1,"",INDEX(DATAS,Y1496+1)),INDEX(DATAS,Y1496+1)),"")</f>
        <v/>
      </c>
    </row>
    <row r="1497" customFormat="false" ht="15" hidden="false" customHeight="false" outlineLevel="0" collapsed="false">
      <c r="A1497" s="45" t="n">
        <v>46309</v>
      </c>
      <c r="B1497" s="0" t="n">
        <v>4</v>
      </c>
      <c r="C1497" s="0" t="n">
        <v>5628</v>
      </c>
      <c r="D1497" s="0" t="n">
        <v>216</v>
      </c>
      <c r="E1497" s="0" t="n">
        <v>1</v>
      </c>
      <c r="F1497" s="39" t="s">
        <v>917</v>
      </c>
      <c r="G1497" s="0" t="n">
        <v>44.9</v>
      </c>
      <c r="H1497" s="0" t="n">
        <v>45</v>
      </c>
      <c r="I1497" s="39" t="s">
        <v>109</v>
      </c>
      <c r="J1497" s="0" t="n">
        <v>62</v>
      </c>
      <c r="K1497" s="0" t="n">
        <v>62</v>
      </c>
      <c r="L1497" s="0" t="n">
        <v>154</v>
      </c>
      <c r="P1497" s="0" t="n">
        <v>3.7</v>
      </c>
      <c r="Q1497" s="0" t="n">
        <v>3.54</v>
      </c>
      <c r="R1497" s="0" t="n">
        <v>4092</v>
      </c>
      <c r="S1497" s="0" t="n">
        <v>9072</v>
      </c>
      <c r="T1497" s="0" t="n">
        <v>48.95</v>
      </c>
      <c r="U1497" s="0" t="n">
        <v>860</v>
      </c>
      <c r="V1497" s="0" t="n">
        <v>1</v>
      </c>
      <c r="W1497" s="39" t="n">
        <f aca="false">IF(I1497="Male",0,1)</f>
        <v>1</v>
      </c>
      <c r="X1497" s="39" t="n">
        <f aca="false">IF(OR(I1497="DNB",I1497="Dry DNB"),1,0)</f>
        <v>0</v>
      </c>
      <c r="Y1497" s="39" t="n">
        <f aca="false">MATCH(A1497,DATAS,0)</f>
        <v>1</v>
      </c>
      <c r="Z1497" s="39" t="n">
        <f aca="false">IF(AND(E1497&gt;0,OR(AND(B1497&gt;=1,B1497&lt;=6),B1497=10)),1,0)</f>
        <v>1</v>
      </c>
      <c r="AA1497" s="39" t="n">
        <f aca="false">IF(AND(E1497&gt;0,B1497=10),1,0)</f>
        <v>0</v>
      </c>
      <c r="AB1497" s="0" t="str">
        <f aca="false">IF(AND(C1496=C1497,Y1496=Y1497-1),Z1496,"")</f>
        <v/>
      </c>
      <c r="AC1497" s="0" t="str">
        <f aca="false">IF(AND(C1496=C1497,Y1496=Y1497-1),AA1496,"")</f>
        <v/>
      </c>
      <c r="AD1497" s="0" t="str">
        <f aca="false">IF(Y1497=1,"",IF(AND(Z1497=1,AB1497&lt;&gt;1),1,0))</f>
        <v/>
      </c>
      <c r="AE1497" s="0" t="str">
        <f aca="false">IF(Y1497=1,"",IF(AND(AA1497=1,AC1497&lt;&gt;1),1,0))</f>
        <v/>
      </c>
      <c r="AF1497" s="45" t="str">
        <f aca="false">IF(AND(E1497&gt;0,Y1497&lt;1,NOT(AND(C1498=C1497,Y1498=Y1497+1))),INDEX(DATAS,Y1497+1),"")</f>
        <v/>
      </c>
      <c r="AG1497" s="45" t="str">
        <f aca="false">IF(AND(AA1497=1,Y1497&lt;1),IF(AND(C1498=C1497,Y1498=Y1497+1),IF(AA1498=1,"",INDEX(DATAS,Y1497+1)),INDEX(DATAS,Y1497+1)),"")</f>
        <v/>
      </c>
    </row>
    <row r="1498" customFormat="false" ht="15" hidden="false" customHeight="false" outlineLevel="0" collapsed="false">
      <c r="A1498" s="45" t="n">
        <v>46309</v>
      </c>
      <c r="B1498" s="0" t="n">
        <v>4</v>
      </c>
      <c r="C1498" s="0" t="n">
        <v>5629</v>
      </c>
      <c r="D1498" s="0" t="n">
        <v>149</v>
      </c>
      <c r="E1498" s="0" t="n">
        <v>1</v>
      </c>
      <c r="F1498" s="39" t="s">
        <v>917</v>
      </c>
      <c r="G1498" s="0" t="n">
        <v>45.5</v>
      </c>
      <c r="H1498" s="0" t="n">
        <v>46</v>
      </c>
      <c r="I1498" s="39" t="s">
        <v>109</v>
      </c>
      <c r="J1498" s="0" t="n">
        <v>100</v>
      </c>
      <c r="K1498" s="0" t="n">
        <v>65</v>
      </c>
      <c r="L1498" s="0" t="n">
        <v>49</v>
      </c>
      <c r="P1498" s="0" t="n">
        <v>3.52</v>
      </c>
      <c r="Q1498" s="0" t="n">
        <v>3.29</v>
      </c>
      <c r="R1498" s="0" t="n">
        <v>3970</v>
      </c>
      <c r="S1498" s="0" t="n">
        <v>8441</v>
      </c>
      <c r="T1498" s="0" t="n">
        <v>42.35</v>
      </c>
      <c r="U1498" s="0" t="n">
        <v>860</v>
      </c>
      <c r="V1498" s="0" t="n">
        <v>2</v>
      </c>
      <c r="W1498" s="39" t="n">
        <f aca="false">IF(I1498="Male",0,1)</f>
        <v>1</v>
      </c>
      <c r="X1498" s="39" t="n">
        <f aca="false">IF(OR(I1498="DNB",I1498="Dry DNB"),1,0)</f>
        <v>0</v>
      </c>
      <c r="Y1498" s="39" t="n">
        <f aca="false">MATCH(A1498,DATAS,0)</f>
        <v>1</v>
      </c>
      <c r="Z1498" s="39" t="n">
        <f aca="false">IF(AND(E1498&gt;0,OR(AND(B1498&gt;=1,B1498&lt;=6),B1498=10)),1,0)</f>
        <v>1</v>
      </c>
      <c r="AA1498" s="39" t="n">
        <f aca="false">IF(AND(E1498&gt;0,B1498=10),1,0)</f>
        <v>0</v>
      </c>
      <c r="AB1498" s="0" t="str">
        <f aca="false">IF(AND(C1497=C1498,Y1497=Y1498-1),Z1497,"")</f>
        <v/>
      </c>
      <c r="AC1498" s="0" t="str">
        <f aca="false">IF(AND(C1497=C1498,Y1497=Y1498-1),AA1497,"")</f>
        <v/>
      </c>
      <c r="AD1498" s="0" t="str">
        <f aca="false">IF(Y1498=1,"",IF(AND(Z1498=1,AB1498&lt;&gt;1),1,0))</f>
        <v/>
      </c>
      <c r="AE1498" s="0" t="str">
        <f aca="false">IF(Y1498=1,"",IF(AND(AA1498=1,AC1498&lt;&gt;1),1,0))</f>
        <v/>
      </c>
      <c r="AF1498" s="45" t="str">
        <f aca="false">IF(AND(E1498&gt;0,Y1498&lt;1,NOT(AND(C1499=C1498,Y1499=Y1498+1))),INDEX(DATAS,Y1498+1),"")</f>
        <v/>
      </c>
      <c r="AG1498" s="45" t="str">
        <f aca="false">IF(AND(AA1498=1,Y1498&lt;1),IF(AND(C1499=C1498,Y1499=Y1498+1),IF(AA1499=1,"",INDEX(DATAS,Y1498+1)),INDEX(DATAS,Y1498+1)),"")</f>
        <v/>
      </c>
    </row>
    <row r="1499" customFormat="false" ht="15" hidden="false" customHeight="false" outlineLevel="0" collapsed="false">
      <c r="A1499" s="45" t="n">
        <v>46309</v>
      </c>
      <c r="B1499" s="0" t="n">
        <v>4</v>
      </c>
      <c r="C1499" s="0" t="n">
        <v>5630</v>
      </c>
      <c r="D1499" s="0" t="n">
        <v>204</v>
      </c>
      <c r="E1499" s="0" t="n">
        <v>1</v>
      </c>
      <c r="F1499" s="39" t="s">
        <v>918</v>
      </c>
      <c r="G1499" s="0" t="n">
        <v>43.1</v>
      </c>
      <c r="H1499" s="0" t="n">
        <v>42</v>
      </c>
      <c r="I1499" s="39" t="s">
        <v>109</v>
      </c>
      <c r="J1499" s="0" t="n">
        <v>71</v>
      </c>
      <c r="K1499" s="0" t="n">
        <v>71</v>
      </c>
      <c r="L1499" s="0" t="n">
        <v>133</v>
      </c>
      <c r="P1499" s="0" t="n">
        <v>5.45</v>
      </c>
      <c r="Q1499" s="0" t="n">
        <v>4.02</v>
      </c>
      <c r="R1499" s="0" t="n">
        <v>3259</v>
      </c>
      <c r="S1499" s="0" t="n">
        <v>7394</v>
      </c>
      <c r="T1499" s="0" t="n">
        <v>38.7</v>
      </c>
      <c r="U1499" s="0" t="n">
        <v>859</v>
      </c>
      <c r="V1499" s="0" t="n">
        <v>1</v>
      </c>
      <c r="W1499" s="39" t="n">
        <f aca="false">IF(I1499="Male",0,1)</f>
        <v>1</v>
      </c>
      <c r="X1499" s="39" t="n">
        <f aca="false">IF(OR(I1499="DNB",I1499="Dry DNB"),1,0)</f>
        <v>0</v>
      </c>
      <c r="Y1499" s="39" t="n">
        <f aca="false">MATCH(A1499,DATAS,0)</f>
        <v>1</v>
      </c>
      <c r="Z1499" s="39" t="n">
        <f aca="false">IF(AND(E1499&gt;0,OR(AND(B1499&gt;=1,B1499&lt;=6),B1499=10)),1,0)</f>
        <v>1</v>
      </c>
      <c r="AA1499" s="39" t="n">
        <f aca="false">IF(AND(E1499&gt;0,B1499=10),1,0)</f>
        <v>0</v>
      </c>
      <c r="AB1499" s="0" t="str">
        <f aca="false">IF(AND(C1498=C1499,Y1498=Y1499-1),Z1498,"")</f>
        <v/>
      </c>
      <c r="AC1499" s="0" t="str">
        <f aca="false">IF(AND(C1498=C1499,Y1498=Y1499-1),AA1498,"")</f>
        <v/>
      </c>
      <c r="AD1499" s="0" t="str">
        <f aca="false">IF(Y1499=1,"",IF(AND(Z1499=1,AB1499&lt;&gt;1),1,0))</f>
        <v/>
      </c>
      <c r="AE1499" s="0" t="str">
        <f aca="false">IF(Y1499=1,"",IF(AND(AA1499=1,AC1499&lt;&gt;1),1,0))</f>
        <v/>
      </c>
      <c r="AF1499" s="45" t="str">
        <f aca="false">IF(AND(E1499&gt;0,Y1499&lt;1,NOT(AND(C1500=C1499,Y1500=Y1499+1))),INDEX(DATAS,Y1499+1),"")</f>
        <v/>
      </c>
      <c r="AG1499" s="45" t="str">
        <f aca="false">IF(AND(AA1499=1,Y1499&lt;1),IF(AND(C1500=C1499,Y1500=Y1499+1),IF(AA1500=1,"",INDEX(DATAS,Y1499+1)),INDEX(DATAS,Y1499+1)),"")</f>
        <v/>
      </c>
    </row>
    <row r="1500" customFormat="false" ht="15" hidden="false" customHeight="false" outlineLevel="0" collapsed="false">
      <c r="A1500" s="45" t="n">
        <v>46309</v>
      </c>
      <c r="B1500" s="0" t="n">
        <v>4</v>
      </c>
      <c r="C1500" s="0" t="n">
        <v>5632</v>
      </c>
      <c r="D1500" s="0" t="n">
        <v>232</v>
      </c>
      <c r="E1500" s="0" t="n">
        <v>1</v>
      </c>
      <c r="F1500" s="39" t="s">
        <v>919</v>
      </c>
      <c r="G1500" s="0" t="n">
        <v>38.5</v>
      </c>
      <c r="H1500" s="0" t="n">
        <v>41</v>
      </c>
      <c r="I1500" s="39" t="s">
        <v>109</v>
      </c>
      <c r="J1500" s="0" t="n">
        <v>64</v>
      </c>
      <c r="K1500" s="0" t="n">
        <v>64</v>
      </c>
      <c r="L1500" s="0" t="n">
        <v>168</v>
      </c>
      <c r="P1500" s="0" t="n">
        <v>3.89</v>
      </c>
      <c r="Q1500" s="0" t="n">
        <v>3.38</v>
      </c>
      <c r="R1500" s="0" t="n">
        <v>3920</v>
      </c>
      <c r="S1500" s="0" t="n">
        <v>8969</v>
      </c>
      <c r="T1500" s="0" t="n">
        <v>43.5</v>
      </c>
      <c r="U1500" s="0" t="n">
        <v>858</v>
      </c>
      <c r="V1500" s="0" t="n">
        <v>1</v>
      </c>
      <c r="W1500" s="39" t="n">
        <f aca="false">IF(I1500="Male",0,1)</f>
        <v>1</v>
      </c>
      <c r="X1500" s="39" t="n">
        <f aca="false">IF(OR(I1500="DNB",I1500="Dry DNB"),1,0)</f>
        <v>0</v>
      </c>
      <c r="Y1500" s="39" t="n">
        <f aca="false">MATCH(A1500,DATAS,0)</f>
        <v>1</v>
      </c>
      <c r="Z1500" s="39" t="n">
        <f aca="false">IF(AND(E1500&gt;0,OR(AND(B1500&gt;=1,B1500&lt;=6),B1500=10)),1,0)</f>
        <v>1</v>
      </c>
      <c r="AA1500" s="39" t="n">
        <f aca="false">IF(AND(E1500&gt;0,B1500=10),1,0)</f>
        <v>0</v>
      </c>
      <c r="AB1500" s="0" t="str">
        <f aca="false">IF(AND(C1499=C1500,Y1499=Y1500-1),Z1499,"")</f>
        <v/>
      </c>
      <c r="AC1500" s="0" t="str">
        <f aca="false">IF(AND(C1499=C1500,Y1499=Y1500-1),AA1499,"")</f>
        <v/>
      </c>
      <c r="AD1500" s="0" t="str">
        <f aca="false">IF(Y1500=1,"",IF(AND(Z1500=1,AB1500&lt;&gt;1),1,0))</f>
        <v/>
      </c>
      <c r="AE1500" s="0" t="str">
        <f aca="false">IF(Y1500=1,"",IF(AND(AA1500=1,AC1500&lt;&gt;1),1,0))</f>
        <v/>
      </c>
      <c r="AF1500" s="45" t="str">
        <f aca="false">IF(AND(E1500&gt;0,Y1500&lt;1,NOT(AND(C1501=C1500,Y1501=Y1500+1))),INDEX(DATAS,Y1500+1),"")</f>
        <v/>
      </c>
      <c r="AG1500" s="45" t="str">
        <f aca="false">IF(AND(AA1500=1,Y1500&lt;1),IF(AND(C1501=C1500,Y1501=Y1500+1),IF(AA1501=1,"",INDEX(DATAS,Y1500+1)),INDEX(DATAS,Y1500+1)),"")</f>
        <v/>
      </c>
    </row>
    <row r="1501" customFormat="false" ht="15" hidden="false" customHeight="false" outlineLevel="0" collapsed="false">
      <c r="A1501" s="45" t="n">
        <v>46309</v>
      </c>
      <c r="B1501" s="0" t="n">
        <v>4</v>
      </c>
      <c r="C1501" s="0" t="n">
        <v>5634</v>
      </c>
      <c r="D1501" s="0" t="n">
        <v>174</v>
      </c>
      <c r="E1501" s="0" t="n">
        <v>1</v>
      </c>
      <c r="F1501" s="39" t="s">
        <v>920</v>
      </c>
      <c r="G1501" s="0" t="n">
        <v>36.7</v>
      </c>
      <c r="H1501" s="0" t="n">
        <v>38</v>
      </c>
      <c r="I1501" s="39" t="s">
        <v>146</v>
      </c>
      <c r="J1501" s="0" t="n">
        <v>174</v>
      </c>
      <c r="K1501" s="0" t="n">
        <v>62</v>
      </c>
      <c r="P1501" s="0" t="n">
        <v>4.86</v>
      </c>
      <c r="Q1501" s="0" t="n">
        <v>3.67</v>
      </c>
      <c r="R1501" s="0" t="n">
        <v>2579</v>
      </c>
      <c r="S1501" s="0" t="n">
        <v>6029</v>
      </c>
      <c r="T1501" s="0" t="n">
        <v>28.4</v>
      </c>
      <c r="U1501" s="0" t="n">
        <v>857</v>
      </c>
      <c r="V1501" s="0" t="n">
        <v>3</v>
      </c>
      <c r="W1501" s="39" t="n">
        <f aca="false">IF(I1501="Male",0,1)</f>
        <v>1</v>
      </c>
      <c r="X1501" s="39" t="n">
        <f aca="false">IF(OR(I1501="DNB",I1501="Dry DNB"),1,0)</f>
        <v>0</v>
      </c>
      <c r="Y1501" s="39" t="n">
        <f aca="false">MATCH(A1501,DATAS,0)</f>
        <v>1</v>
      </c>
      <c r="Z1501" s="39" t="n">
        <f aca="false">IF(AND(E1501&gt;0,OR(AND(B1501&gt;=1,B1501&lt;=6),B1501=10)),1,0)</f>
        <v>1</v>
      </c>
      <c r="AA1501" s="39" t="n">
        <f aca="false">IF(AND(E1501&gt;0,B1501=10),1,0)</f>
        <v>0</v>
      </c>
      <c r="AB1501" s="0" t="str">
        <f aca="false">IF(AND(C1500=C1501,Y1500=Y1501-1),Z1500,"")</f>
        <v/>
      </c>
      <c r="AC1501" s="0" t="str">
        <f aca="false">IF(AND(C1500=C1501,Y1500=Y1501-1),AA1500,"")</f>
        <v/>
      </c>
      <c r="AD1501" s="0" t="str">
        <f aca="false">IF(Y1501=1,"",IF(AND(Z1501=1,AB1501&lt;&gt;1),1,0))</f>
        <v/>
      </c>
      <c r="AE1501" s="0" t="str">
        <f aca="false">IF(Y1501=1,"",IF(AND(AA1501=1,AC1501&lt;&gt;1),1,0))</f>
        <v/>
      </c>
      <c r="AF1501" s="45" t="str">
        <f aca="false">IF(AND(E1501&gt;0,Y1501&lt;1,NOT(AND(C1502=C1501,Y1502=Y1501+1))),INDEX(DATAS,Y1501+1),"")</f>
        <v/>
      </c>
      <c r="AG1501" s="45" t="str">
        <f aca="false">IF(AND(AA1501=1,Y1501&lt;1),IF(AND(C1502=C1501,Y1502=Y1501+1),IF(AA1502=1,"",INDEX(DATAS,Y1501+1)),INDEX(DATAS,Y1501+1)),"")</f>
        <v/>
      </c>
    </row>
    <row r="1502" customFormat="false" ht="15" hidden="false" customHeight="false" outlineLevel="0" collapsed="false">
      <c r="A1502" s="45" t="n">
        <v>46309</v>
      </c>
      <c r="B1502" s="0" t="n">
        <v>4</v>
      </c>
      <c r="C1502" s="0" t="n">
        <v>5635</v>
      </c>
      <c r="D1502" s="0" t="n">
        <v>210</v>
      </c>
      <c r="E1502" s="0" t="n">
        <v>1</v>
      </c>
      <c r="F1502" s="39" t="s">
        <v>920</v>
      </c>
      <c r="G1502" s="0" t="n">
        <v>33.8</v>
      </c>
      <c r="H1502" s="0" t="n">
        <v>34</v>
      </c>
      <c r="I1502" s="39" t="s">
        <v>138</v>
      </c>
      <c r="J1502" s="0" t="n">
        <v>210</v>
      </c>
      <c r="K1502" s="0" t="n">
        <v>63</v>
      </c>
      <c r="P1502" s="0" t="n">
        <v>3.44</v>
      </c>
      <c r="Q1502" s="0" t="n">
        <v>3.59</v>
      </c>
      <c r="R1502" s="0" t="n">
        <v>3032</v>
      </c>
      <c r="S1502" s="0" t="n">
        <v>6661</v>
      </c>
      <c r="T1502" s="0" t="n">
        <v>35.65</v>
      </c>
      <c r="U1502" s="0" t="n">
        <v>857</v>
      </c>
      <c r="V1502" s="0" t="n">
        <v>4</v>
      </c>
      <c r="W1502" s="39" t="n">
        <f aca="false">IF(I1502="Male",0,1)</f>
        <v>1</v>
      </c>
      <c r="X1502" s="39" t="n">
        <f aca="false">IF(OR(I1502="DNB",I1502="Dry DNB"),1,0)</f>
        <v>0</v>
      </c>
      <c r="Y1502" s="39" t="n">
        <f aca="false">MATCH(A1502,DATAS,0)</f>
        <v>1</v>
      </c>
      <c r="Z1502" s="39" t="n">
        <f aca="false">IF(AND(E1502&gt;0,OR(AND(B1502&gt;=1,B1502&lt;=6),B1502=10)),1,0)</f>
        <v>1</v>
      </c>
      <c r="AA1502" s="39" t="n">
        <f aca="false">IF(AND(E1502&gt;0,B1502=10),1,0)</f>
        <v>0</v>
      </c>
      <c r="AB1502" s="0" t="str">
        <f aca="false">IF(AND(C1501=C1502,Y1501=Y1502-1),Z1501,"")</f>
        <v/>
      </c>
      <c r="AC1502" s="0" t="str">
        <f aca="false">IF(AND(C1501=C1502,Y1501=Y1502-1),AA1501,"")</f>
        <v/>
      </c>
      <c r="AD1502" s="0" t="str">
        <f aca="false">IF(Y1502=1,"",IF(AND(Z1502=1,AB1502&lt;&gt;1),1,0))</f>
        <v/>
      </c>
      <c r="AE1502" s="0" t="str">
        <f aca="false">IF(Y1502=1,"",IF(AND(AA1502=1,AC1502&lt;&gt;1),1,0))</f>
        <v/>
      </c>
      <c r="AF1502" s="45" t="str">
        <f aca="false">IF(AND(E1502&gt;0,Y1502&lt;1,NOT(AND(C1503=C1502,Y1503=Y1502+1))),INDEX(DATAS,Y1502+1),"")</f>
        <v/>
      </c>
      <c r="AG1502" s="45" t="str">
        <f aca="false">IF(AND(AA1502=1,Y1502&lt;1),IF(AND(C1503=C1502,Y1503=Y1502+1),IF(AA1503=1,"",INDEX(DATAS,Y1502+1)),INDEX(DATAS,Y1502+1)),"")</f>
        <v/>
      </c>
    </row>
    <row r="1503" customFormat="false" ht="15" hidden="false" customHeight="false" outlineLevel="0" collapsed="false">
      <c r="A1503" s="45" t="n">
        <v>46309</v>
      </c>
      <c r="B1503" s="0" t="n">
        <v>4</v>
      </c>
      <c r="C1503" s="0" t="n">
        <v>5636</v>
      </c>
      <c r="D1503" s="0" t="n">
        <v>148</v>
      </c>
      <c r="E1503" s="0" t="n">
        <v>1</v>
      </c>
      <c r="F1503" s="39" t="s">
        <v>921</v>
      </c>
      <c r="G1503" s="0" t="n">
        <v>46.5</v>
      </c>
      <c r="H1503" s="0" t="n">
        <v>44</v>
      </c>
      <c r="I1503" s="39" t="s">
        <v>146</v>
      </c>
      <c r="J1503" s="0" t="n">
        <v>148</v>
      </c>
      <c r="K1503" s="0" t="n">
        <v>64</v>
      </c>
      <c r="P1503" s="0" t="n">
        <v>2.78</v>
      </c>
      <c r="Q1503" s="0" t="n">
        <v>3.25</v>
      </c>
      <c r="R1503" s="0" t="n">
        <v>4016</v>
      </c>
      <c r="S1503" s="0" t="n">
        <v>8506</v>
      </c>
      <c r="T1503" s="0" t="n">
        <v>48.5</v>
      </c>
      <c r="U1503" s="0" t="n">
        <v>855</v>
      </c>
      <c r="V1503" s="0" t="n">
        <v>2</v>
      </c>
      <c r="W1503" s="39" t="n">
        <f aca="false">IF(I1503="Male",0,1)</f>
        <v>1</v>
      </c>
      <c r="X1503" s="39" t="n">
        <f aca="false">IF(OR(I1503="DNB",I1503="Dry DNB"),1,0)</f>
        <v>0</v>
      </c>
      <c r="Y1503" s="39" t="n">
        <f aca="false">MATCH(A1503,DATAS,0)</f>
        <v>1</v>
      </c>
      <c r="Z1503" s="39" t="n">
        <f aca="false">IF(AND(E1503&gt;0,OR(AND(B1503&gt;=1,B1503&lt;=6),B1503=10)),1,0)</f>
        <v>1</v>
      </c>
      <c r="AA1503" s="39" t="n">
        <f aca="false">IF(AND(E1503&gt;0,B1503=10),1,0)</f>
        <v>0</v>
      </c>
      <c r="AB1503" s="0" t="str">
        <f aca="false">IF(AND(C1502=C1503,Y1502=Y1503-1),Z1502,"")</f>
        <v/>
      </c>
      <c r="AC1503" s="0" t="str">
        <f aca="false">IF(AND(C1502=C1503,Y1502=Y1503-1),AA1502,"")</f>
        <v/>
      </c>
      <c r="AD1503" s="0" t="str">
        <f aca="false">IF(Y1503=1,"",IF(AND(Z1503=1,AB1503&lt;&gt;1),1,0))</f>
        <v/>
      </c>
      <c r="AE1503" s="0" t="str">
        <f aca="false">IF(Y1503=1,"",IF(AND(AA1503=1,AC1503&lt;&gt;1),1,0))</f>
        <v/>
      </c>
      <c r="AF1503" s="45" t="str">
        <f aca="false">IF(AND(E1503&gt;0,Y1503&lt;1,NOT(AND(C1504=C1503,Y1504=Y1503+1))),INDEX(DATAS,Y1503+1),"")</f>
        <v/>
      </c>
      <c r="AG1503" s="45" t="str">
        <f aca="false">IF(AND(AA1503=1,Y1503&lt;1),IF(AND(C1504=C1503,Y1504=Y1503+1),IF(AA1504=1,"",INDEX(DATAS,Y1503+1)),INDEX(DATAS,Y1503+1)),"")</f>
        <v/>
      </c>
    </row>
    <row r="1504" customFormat="false" ht="15" hidden="false" customHeight="false" outlineLevel="0" collapsed="false">
      <c r="A1504" s="45" t="n">
        <v>46309</v>
      </c>
      <c r="B1504" s="0" t="n">
        <v>4</v>
      </c>
      <c r="C1504" s="0" t="n">
        <v>5637</v>
      </c>
      <c r="D1504" s="0" t="n">
        <v>185</v>
      </c>
      <c r="E1504" s="0" t="n">
        <v>1</v>
      </c>
      <c r="F1504" s="39" t="s">
        <v>921</v>
      </c>
      <c r="G1504" s="0" t="n">
        <v>57.5</v>
      </c>
      <c r="H1504" s="0" t="n">
        <v>56</v>
      </c>
      <c r="I1504" s="39" t="s">
        <v>109</v>
      </c>
      <c r="J1504" s="0" t="n">
        <v>89</v>
      </c>
      <c r="K1504" s="0" t="n">
        <v>66</v>
      </c>
      <c r="L1504" s="0" t="n">
        <v>96</v>
      </c>
      <c r="P1504" s="0" t="n">
        <v>2.8</v>
      </c>
      <c r="Q1504" s="0" t="n">
        <v>3.15</v>
      </c>
      <c r="R1504" s="0" t="n">
        <v>4598</v>
      </c>
      <c r="S1504" s="0" t="n">
        <v>10157</v>
      </c>
      <c r="T1504" s="0" t="n">
        <v>48.15</v>
      </c>
      <c r="U1504" s="0" t="n">
        <v>855</v>
      </c>
      <c r="V1504" s="0" t="n">
        <v>2</v>
      </c>
      <c r="W1504" s="39" t="n">
        <f aca="false">IF(I1504="Male",0,1)</f>
        <v>1</v>
      </c>
      <c r="X1504" s="39" t="n">
        <f aca="false">IF(OR(I1504="DNB",I1504="Dry DNB"),1,0)</f>
        <v>0</v>
      </c>
      <c r="Y1504" s="39" t="n">
        <f aca="false">MATCH(A1504,DATAS,0)</f>
        <v>1</v>
      </c>
      <c r="Z1504" s="39" t="n">
        <f aca="false">IF(AND(E1504&gt;0,OR(AND(B1504&gt;=1,B1504&lt;=6),B1504=10)),1,0)</f>
        <v>1</v>
      </c>
      <c r="AA1504" s="39" t="n">
        <f aca="false">IF(AND(E1504&gt;0,B1504=10),1,0)</f>
        <v>0</v>
      </c>
      <c r="AB1504" s="0" t="str">
        <f aca="false">IF(AND(C1503=C1504,Y1503=Y1504-1),Z1503,"")</f>
        <v/>
      </c>
      <c r="AC1504" s="0" t="str">
        <f aca="false">IF(AND(C1503=C1504,Y1503=Y1504-1),AA1503,"")</f>
        <v/>
      </c>
      <c r="AD1504" s="0" t="str">
        <f aca="false">IF(Y1504=1,"",IF(AND(Z1504=1,AB1504&lt;&gt;1),1,0))</f>
        <v/>
      </c>
      <c r="AE1504" s="0" t="str">
        <f aca="false">IF(Y1504=1,"",IF(AND(AA1504=1,AC1504&lt;&gt;1),1,0))</f>
        <v/>
      </c>
      <c r="AF1504" s="45" t="str">
        <f aca="false">IF(AND(E1504&gt;0,Y1504&lt;1,NOT(AND(C1505=C1504,Y1505=Y1504+1))),INDEX(DATAS,Y1504+1),"")</f>
        <v/>
      </c>
      <c r="AG1504" s="45" t="str">
        <f aca="false">IF(AND(AA1504=1,Y1504&lt;1),IF(AND(C1505=C1504,Y1505=Y1504+1),IF(AA1505=1,"",INDEX(DATAS,Y1504+1)),INDEX(DATAS,Y1504+1)),"")</f>
        <v/>
      </c>
    </row>
    <row r="1505" customFormat="false" ht="15" hidden="false" customHeight="false" outlineLevel="0" collapsed="false">
      <c r="A1505" s="45" t="n">
        <v>46309</v>
      </c>
      <c r="B1505" s="0" t="n">
        <v>4</v>
      </c>
      <c r="C1505" s="0" t="n">
        <v>5639</v>
      </c>
      <c r="D1505" s="0" t="n">
        <v>129</v>
      </c>
      <c r="E1505" s="0" t="n">
        <v>1</v>
      </c>
      <c r="F1505" s="39" t="s">
        <v>921</v>
      </c>
      <c r="G1505" s="0" t="n">
        <v>54.8</v>
      </c>
      <c r="H1505" s="0" t="n">
        <v>53</v>
      </c>
      <c r="I1505" s="39" t="s">
        <v>109</v>
      </c>
      <c r="J1505" s="0" t="n">
        <v>66</v>
      </c>
      <c r="K1505" s="0" t="n">
        <v>66</v>
      </c>
      <c r="L1505" s="0" t="n">
        <v>63</v>
      </c>
      <c r="P1505" s="0" t="n">
        <v>4.5</v>
      </c>
      <c r="Q1505" s="0" t="n">
        <v>2.81</v>
      </c>
      <c r="R1505" s="0" t="n">
        <v>4057</v>
      </c>
      <c r="S1505" s="0" t="n">
        <v>8670</v>
      </c>
      <c r="T1505" s="0" t="n">
        <v>41.95</v>
      </c>
      <c r="U1505" s="0" t="n">
        <v>855</v>
      </c>
      <c r="V1505" s="0" t="n">
        <v>1</v>
      </c>
      <c r="W1505" s="39" t="n">
        <f aca="false">IF(I1505="Male",0,1)</f>
        <v>1</v>
      </c>
      <c r="X1505" s="39" t="n">
        <f aca="false">IF(OR(I1505="DNB",I1505="Dry DNB"),1,0)</f>
        <v>0</v>
      </c>
      <c r="Y1505" s="39" t="n">
        <f aca="false">MATCH(A1505,DATAS,0)</f>
        <v>1</v>
      </c>
      <c r="Z1505" s="39" t="n">
        <f aca="false">IF(AND(E1505&gt;0,OR(AND(B1505&gt;=1,B1505&lt;=6),B1505=10)),1,0)</f>
        <v>1</v>
      </c>
      <c r="AA1505" s="39" t="n">
        <f aca="false">IF(AND(E1505&gt;0,B1505=10),1,0)</f>
        <v>0</v>
      </c>
      <c r="AB1505" s="0" t="str">
        <f aca="false">IF(AND(C1504=C1505,Y1504=Y1505-1),Z1504,"")</f>
        <v/>
      </c>
      <c r="AC1505" s="0" t="str">
        <f aca="false">IF(AND(C1504=C1505,Y1504=Y1505-1),AA1504,"")</f>
        <v/>
      </c>
      <c r="AD1505" s="0" t="str">
        <f aca="false">IF(Y1505=1,"",IF(AND(Z1505=1,AB1505&lt;&gt;1),1,0))</f>
        <v/>
      </c>
      <c r="AE1505" s="0" t="str">
        <f aca="false">IF(Y1505=1,"",IF(AND(AA1505=1,AC1505&lt;&gt;1),1,0))</f>
        <v/>
      </c>
      <c r="AF1505" s="45" t="str">
        <f aca="false">IF(AND(E1505&gt;0,Y1505&lt;1,NOT(AND(C1506=C1505,Y1506=Y1505+1))),INDEX(DATAS,Y1505+1),"")</f>
        <v/>
      </c>
      <c r="AG1505" s="45" t="str">
        <f aca="false">IF(AND(AA1505=1,Y1505&lt;1),IF(AND(C1506=C1505,Y1506=Y1505+1),IF(AA1506=1,"",INDEX(DATAS,Y1505+1)),INDEX(DATAS,Y1505+1)),"")</f>
        <v/>
      </c>
    </row>
    <row r="1506" customFormat="false" ht="15" hidden="false" customHeight="false" outlineLevel="0" collapsed="false">
      <c r="A1506" s="45" t="n">
        <v>46309</v>
      </c>
      <c r="B1506" s="0" t="n">
        <v>4</v>
      </c>
      <c r="C1506" s="0" t="n">
        <v>5640</v>
      </c>
      <c r="D1506" s="0" t="n">
        <v>208</v>
      </c>
      <c r="E1506" s="0" t="n">
        <v>1</v>
      </c>
      <c r="F1506" s="39" t="s">
        <v>922</v>
      </c>
      <c r="G1506" s="0" t="n">
        <v>27.9</v>
      </c>
      <c r="H1506" s="0" t="n">
        <v>28</v>
      </c>
      <c r="I1506" s="39" t="s">
        <v>138</v>
      </c>
      <c r="J1506" s="0" t="n">
        <v>208</v>
      </c>
      <c r="K1506" s="0" t="n">
        <v>68</v>
      </c>
      <c r="P1506" s="0" t="n">
        <v>4.72</v>
      </c>
      <c r="Q1506" s="0" t="n">
        <v>3.54</v>
      </c>
      <c r="R1506" s="0" t="n">
        <v>3136</v>
      </c>
      <c r="S1506" s="0" t="n">
        <v>6637</v>
      </c>
      <c r="T1506" s="0" t="n">
        <v>31.85</v>
      </c>
      <c r="U1506" s="0" t="n">
        <v>854</v>
      </c>
      <c r="V1506" s="0" t="n">
        <v>5</v>
      </c>
      <c r="W1506" s="39" t="n">
        <f aca="false">IF(I1506="Male",0,1)</f>
        <v>1</v>
      </c>
      <c r="X1506" s="39" t="n">
        <f aca="false">IF(OR(I1506="DNB",I1506="Dry DNB"),1,0)</f>
        <v>0</v>
      </c>
      <c r="Y1506" s="39" t="n">
        <f aca="false">MATCH(A1506,DATAS,0)</f>
        <v>1</v>
      </c>
      <c r="Z1506" s="39" t="n">
        <f aca="false">IF(AND(E1506&gt;0,OR(AND(B1506&gt;=1,B1506&lt;=6),B1506=10)),1,0)</f>
        <v>1</v>
      </c>
      <c r="AA1506" s="39" t="n">
        <f aca="false">IF(AND(E1506&gt;0,B1506=10),1,0)</f>
        <v>0</v>
      </c>
      <c r="AB1506" s="0" t="str">
        <f aca="false">IF(AND(C1505=C1506,Y1505=Y1506-1),Z1505,"")</f>
        <v/>
      </c>
      <c r="AC1506" s="0" t="str">
        <f aca="false">IF(AND(C1505=C1506,Y1505=Y1506-1),AA1505,"")</f>
        <v/>
      </c>
      <c r="AD1506" s="0" t="str">
        <f aca="false">IF(Y1506=1,"",IF(AND(Z1506=1,AB1506&lt;&gt;1),1,0))</f>
        <v/>
      </c>
      <c r="AE1506" s="0" t="str">
        <f aca="false">IF(Y1506=1,"",IF(AND(AA1506=1,AC1506&lt;&gt;1),1,0))</f>
        <v/>
      </c>
      <c r="AF1506" s="45" t="str">
        <f aca="false">IF(AND(E1506&gt;0,Y1506&lt;1,NOT(AND(C1507=C1506,Y1507=Y1506+1))),INDEX(DATAS,Y1506+1),"")</f>
        <v/>
      </c>
      <c r="AG1506" s="45" t="str">
        <f aca="false">IF(AND(AA1506=1,Y1506&lt;1),IF(AND(C1507=C1506,Y1507=Y1506+1),IF(AA1507=1,"",INDEX(DATAS,Y1506+1)),INDEX(DATAS,Y1506+1)),"")</f>
        <v/>
      </c>
    </row>
    <row r="1507" customFormat="false" ht="15" hidden="false" customHeight="false" outlineLevel="0" collapsed="false">
      <c r="A1507" s="45" t="n">
        <v>46309</v>
      </c>
      <c r="B1507" s="0" t="n">
        <v>4</v>
      </c>
      <c r="C1507" s="0" t="n">
        <v>5641</v>
      </c>
      <c r="D1507" s="0" t="n">
        <v>122</v>
      </c>
      <c r="E1507" s="0" t="n">
        <v>1</v>
      </c>
      <c r="F1507" s="39" t="s">
        <v>922</v>
      </c>
      <c r="G1507" s="0" t="n">
        <v>52.4</v>
      </c>
      <c r="H1507" s="0" t="n">
        <v>51</v>
      </c>
      <c r="I1507" s="39" t="s">
        <v>138</v>
      </c>
      <c r="J1507" s="0" t="n">
        <v>122</v>
      </c>
      <c r="K1507" s="0" t="n">
        <v>66</v>
      </c>
      <c r="P1507" s="0" t="n">
        <v>3.97</v>
      </c>
      <c r="Q1507" s="0" t="n">
        <v>3.13</v>
      </c>
      <c r="R1507" s="0" t="n">
        <v>4445</v>
      </c>
      <c r="S1507" s="0" t="n">
        <v>9208</v>
      </c>
      <c r="T1507" s="0" t="n">
        <v>44.65</v>
      </c>
      <c r="U1507" s="0" t="n">
        <v>854</v>
      </c>
      <c r="V1507" s="0" t="n">
        <v>2</v>
      </c>
      <c r="W1507" s="39" t="n">
        <f aca="false">IF(I1507="Male",0,1)</f>
        <v>1</v>
      </c>
      <c r="X1507" s="39" t="n">
        <f aca="false">IF(OR(I1507="DNB",I1507="Dry DNB"),1,0)</f>
        <v>0</v>
      </c>
      <c r="Y1507" s="39" t="n">
        <f aca="false">MATCH(A1507,DATAS,0)</f>
        <v>1</v>
      </c>
      <c r="Z1507" s="39" t="n">
        <f aca="false">IF(AND(E1507&gt;0,OR(AND(B1507&gt;=1,B1507&lt;=6),B1507=10)),1,0)</f>
        <v>1</v>
      </c>
      <c r="AA1507" s="39" t="n">
        <f aca="false">IF(AND(E1507&gt;0,B1507=10),1,0)</f>
        <v>0</v>
      </c>
      <c r="AB1507" s="0" t="str">
        <f aca="false">IF(AND(C1506=C1507,Y1506=Y1507-1),Z1506,"")</f>
        <v/>
      </c>
      <c r="AC1507" s="0" t="str">
        <f aca="false">IF(AND(C1506=C1507,Y1506=Y1507-1),AA1506,"")</f>
        <v/>
      </c>
      <c r="AD1507" s="0" t="str">
        <f aca="false">IF(Y1507=1,"",IF(AND(Z1507=1,AB1507&lt;&gt;1),1,0))</f>
        <v/>
      </c>
      <c r="AE1507" s="0" t="str">
        <f aca="false">IF(Y1507=1,"",IF(AND(AA1507=1,AC1507&lt;&gt;1),1,0))</f>
        <v/>
      </c>
      <c r="AF1507" s="45" t="str">
        <f aca="false">IF(AND(E1507&gt;0,Y1507&lt;1,NOT(AND(C1508=C1507,Y1508=Y1507+1))),INDEX(DATAS,Y1507+1),"")</f>
        <v/>
      </c>
      <c r="AG1507" s="45" t="str">
        <f aca="false">IF(AND(AA1507=1,Y1507&lt;1),IF(AND(C1508=C1507,Y1508=Y1507+1),IF(AA1508=1,"",INDEX(DATAS,Y1507+1)),INDEX(DATAS,Y1507+1)),"")</f>
        <v/>
      </c>
    </row>
    <row r="1508" customFormat="false" ht="15" hidden="false" customHeight="false" outlineLevel="0" collapsed="false">
      <c r="A1508" s="45" t="n">
        <v>46309</v>
      </c>
      <c r="B1508" s="0" t="n">
        <v>1</v>
      </c>
      <c r="C1508" s="0" t="n">
        <v>5642</v>
      </c>
      <c r="D1508" s="0" t="n">
        <v>110</v>
      </c>
      <c r="E1508" s="0" t="n">
        <v>1</v>
      </c>
      <c r="F1508" s="39" t="s">
        <v>922</v>
      </c>
      <c r="G1508" s="0" t="n">
        <v>43.7</v>
      </c>
      <c r="H1508" s="0" t="n">
        <v>47</v>
      </c>
      <c r="I1508" s="39" t="s">
        <v>109</v>
      </c>
      <c r="J1508" s="0" t="n">
        <v>70</v>
      </c>
      <c r="K1508" s="0" t="n">
        <v>70</v>
      </c>
      <c r="L1508" s="0" t="n">
        <v>40</v>
      </c>
      <c r="P1508" s="0" t="n">
        <v>2.98</v>
      </c>
      <c r="Q1508" s="0" t="n">
        <v>2.91</v>
      </c>
      <c r="R1508" s="0" t="n">
        <v>3861</v>
      </c>
      <c r="S1508" s="0" t="n">
        <v>7962</v>
      </c>
      <c r="T1508" s="0" t="n">
        <v>44</v>
      </c>
      <c r="U1508" s="0" t="n">
        <v>854</v>
      </c>
      <c r="V1508" s="0" t="n">
        <v>1</v>
      </c>
      <c r="W1508" s="39" t="n">
        <f aca="false">IF(I1508="Male",0,1)</f>
        <v>1</v>
      </c>
      <c r="X1508" s="39" t="n">
        <f aca="false">IF(OR(I1508="DNB",I1508="Dry DNB"),1,0)</f>
        <v>0</v>
      </c>
      <c r="Y1508" s="39" t="n">
        <f aca="false">MATCH(A1508,DATAS,0)</f>
        <v>1</v>
      </c>
      <c r="Z1508" s="39" t="n">
        <f aca="false">IF(AND(E1508&gt;0,OR(AND(B1508&gt;=1,B1508&lt;=6),B1508=10)),1,0)</f>
        <v>1</v>
      </c>
      <c r="AA1508" s="39" t="n">
        <f aca="false">IF(AND(E1508&gt;0,B1508=10),1,0)</f>
        <v>0</v>
      </c>
      <c r="AB1508" s="0" t="str">
        <f aca="false">IF(AND(C1507=C1508,Y1507=Y1508-1),Z1507,"")</f>
        <v/>
      </c>
      <c r="AC1508" s="0" t="str">
        <f aca="false">IF(AND(C1507=C1508,Y1507=Y1508-1),AA1507,"")</f>
        <v/>
      </c>
      <c r="AD1508" s="0" t="str">
        <f aca="false">IF(Y1508=1,"",IF(AND(Z1508=1,AB1508&lt;&gt;1),1,0))</f>
        <v/>
      </c>
      <c r="AE1508" s="0" t="str">
        <f aca="false">IF(Y1508=1,"",IF(AND(AA1508=1,AC1508&lt;&gt;1),1,0))</f>
        <v/>
      </c>
      <c r="AF1508" s="45" t="str">
        <f aca="false">IF(AND(E1508&gt;0,Y1508&lt;1,NOT(AND(C1509=C1508,Y1509=Y1508+1))),INDEX(DATAS,Y1508+1),"")</f>
        <v/>
      </c>
      <c r="AG1508" s="45" t="str">
        <f aca="false">IF(AND(AA1508=1,Y1508&lt;1),IF(AND(C1509=C1508,Y1509=Y1508+1),IF(AA1509=1,"",INDEX(DATAS,Y1508+1)),INDEX(DATAS,Y1508+1)),"")</f>
        <v/>
      </c>
    </row>
    <row r="1509" customFormat="false" ht="15" hidden="false" customHeight="false" outlineLevel="0" collapsed="false">
      <c r="A1509" s="45" t="n">
        <v>46309</v>
      </c>
      <c r="B1509" s="0" t="n">
        <v>4</v>
      </c>
      <c r="C1509" s="0" t="n">
        <v>5643</v>
      </c>
      <c r="D1509" s="0" t="n">
        <v>197</v>
      </c>
      <c r="E1509" s="0" t="n">
        <v>1</v>
      </c>
      <c r="F1509" s="39" t="s">
        <v>923</v>
      </c>
      <c r="G1509" s="0" t="n">
        <v>33.5</v>
      </c>
      <c r="H1509" s="0" t="n">
        <v>31</v>
      </c>
      <c r="I1509" s="39" t="s">
        <v>109</v>
      </c>
      <c r="J1509" s="0" t="n">
        <v>64</v>
      </c>
      <c r="K1509" s="0" t="n">
        <v>64</v>
      </c>
      <c r="L1509" s="0" t="n">
        <v>133</v>
      </c>
      <c r="P1509" s="0" t="n">
        <v>3.45</v>
      </c>
      <c r="Q1509" s="0" t="n">
        <v>3.54</v>
      </c>
      <c r="R1509" s="0" t="n">
        <v>3685</v>
      </c>
      <c r="S1509" s="0" t="n">
        <v>7621</v>
      </c>
      <c r="T1509" s="0" t="n">
        <v>41.45</v>
      </c>
      <c r="U1509" s="0" t="n">
        <v>853</v>
      </c>
      <c r="V1509" s="0" t="n">
        <v>1</v>
      </c>
      <c r="W1509" s="39" t="n">
        <f aca="false">IF(I1509="Male",0,1)</f>
        <v>1</v>
      </c>
      <c r="X1509" s="39" t="n">
        <f aca="false">IF(OR(I1509="DNB",I1509="Dry DNB"),1,0)</f>
        <v>0</v>
      </c>
      <c r="Y1509" s="39" t="n">
        <f aca="false">MATCH(A1509,DATAS,0)</f>
        <v>1</v>
      </c>
      <c r="Z1509" s="39" t="n">
        <f aca="false">IF(AND(E1509&gt;0,OR(AND(B1509&gt;=1,B1509&lt;=6),B1509=10)),1,0)</f>
        <v>1</v>
      </c>
      <c r="AA1509" s="39" t="n">
        <f aca="false">IF(AND(E1509&gt;0,B1509=10),1,0)</f>
        <v>0</v>
      </c>
      <c r="AB1509" s="0" t="str">
        <f aca="false">IF(AND(C1508=C1509,Y1508=Y1509-1),Z1508,"")</f>
        <v/>
      </c>
      <c r="AC1509" s="0" t="str">
        <f aca="false">IF(AND(C1508=C1509,Y1508=Y1509-1),AA1508,"")</f>
        <v/>
      </c>
      <c r="AD1509" s="0" t="str">
        <f aca="false">IF(Y1509=1,"",IF(AND(Z1509=1,AB1509&lt;&gt;1),1,0))</f>
        <v/>
      </c>
      <c r="AE1509" s="0" t="str">
        <f aca="false">IF(Y1509=1,"",IF(AND(AA1509=1,AC1509&lt;&gt;1),1,0))</f>
        <v/>
      </c>
      <c r="AF1509" s="45" t="str">
        <f aca="false">IF(AND(E1509&gt;0,Y1509&lt;1,NOT(AND(C1510=C1509,Y1510=Y1509+1))),INDEX(DATAS,Y1509+1),"")</f>
        <v/>
      </c>
      <c r="AG1509" s="45" t="str">
        <f aca="false">IF(AND(AA1509=1,Y1509&lt;1),IF(AND(C1510=C1509,Y1510=Y1509+1),IF(AA1510=1,"",INDEX(DATAS,Y1509+1)),INDEX(DATAS,Y1509+1)),"")</f>
        <v/>
      </c>
    </row>
    <row r="1510" customFormat="false" ht="15" hidden="false" customHeight="false" outlineLevel="0" collapsed="false">
      <c r="A1510" s="45" t="n">
        <v>46309</v>
      </c>
      <c r="B1510" s="0" t="n">
        <v>4</v>
      </c>
      <c r="C1510" s="0" t="n">
        <v>5645</v>
      </c>
      <c r="D1510" s="0" t="n">
        <v>198</v>
      </c>
      <c r="E1510" s="0" t="n">
        <v>1</v>
      </c>
      <c r="F1510" s="39" t="s">
        <v>924</v>
      </c>
      <c r="G1510" s="0" t="n">
        <v>51.6</v>
      </c>
      <c r="H1510" s="0" t="n">
        <v>53</v>
      </c>
      <c r="I1510" s="39" t="s">
        <v>109</v>
      </c>
      <c r="J1510" s="0" t="n">
        <v>65</v>
      </c>
      <c r="K1510" s="0" t="n">
        <v>65</v>
      </c>
      <c r="L1510" s="0" t="n">
        <v>133</v>
      </c>
      <c r="P1510" s="0" t="n">
        <v>2.99</v>
      </c>
      <c r="Q1510" s="0" t="n">
        <v>3.35</v>
      </c>
      <c r="R1510" s="0" t="n">
        <v>4779</v>
      </c>
      <c r="S1510" s="0" t="n">
        <v>10394</v>
      </c>
      <c r="T1510" s="0" t="n">
        <v>48.8</v>
      </c>
      <c r="U1510" s="0" t="n">
        <v>852</v>
      </c>
      <c r="V1510" s="0" t="n">
        <v>1</v>
      </c>
      <c r="W1510" s="39" t="n">
        <f aca="false">IF(I1510="Male",0,1)</f>
        <v>1</v>
      </c>
      <c r="X1510" s="39" t="n">
        <f aca="false">IF(OR(I1510="DNB",I1510="Dry DNB"),1,0)</f>
        <v>0</v>
      </c>
      <c r="Y1510" s="39" t="n">
        <f aca="false">MATCH(A1510,DATAS,0)</f>
        <v>1</v>
      </c>
      <c r="Z1510" s="39" t="n">
        <f aca="false">IF(AND(E1510&gt;0,OR(AND(B1510&gt;=1,B1510&lt;=6),B1510=10)),1,0)</f>
        <v>1</v>
      </c>
      <c r="AA1510" s="39" t="n">
        <f aca="false">IF(AND(E1510&gt;0,B1510=10),1,0)</f>
        <v>0</v>
      </c>
      <c r="AB1510" s="0" t="str">
        <f aca="false">IF(AND(C1509=C1510,Y1509=Y1510-1),Z1509,"")</f>
        <v/>
      </c>
      <c r="AC1510" s="0" t="str">
        <f aca="false">IF(AND(C1509=C1510,Y1509=Y1510-1),AA1509,"")</f>
        <v/>
      </c>
      <c r="AD1510" s="0" t="str">
        <f aca="false">IF(Y1510=1,"",IF(AND(Z1510=1,AB1510&lt;&gt;1),1,0))</f>
        <v/>
      </c>
      <c r="AE1510" s="0" t="str">
        <f aca="false">IF(Y1510=1,"",IF(AND(AA1510=1,AC1510&lt;&gt;1),1,0))</f>
        <v/>
      </c>
      <c r="AF1510" s="45" t="str">
        <f aca="false">IF(AND(E1510&gt;0,Y1510&lt;1,NOT(AND(C1511=C1510,Y1511=Y1510+1))),INDEX(DATAS,Y1510+1),"")</f>
        <v/>
      </c>
      <c r="AG1510" s="45" t="str">
        <f aca="false">IF(AND(AA1510=1,Y1510&lt;1),IF(AND(C1511=C1510,Y1511=Y1510+1),IF(AA1511=1,"",INDEX(DATAS,Y1510+1)),INDEX(DATAS,Y1510+1)),"")</f>
        <v/>
      </c>
    </row>
    <row r="1511" customFormat="false" ht="15" hidden="false" customHeight="false" outlineLevel="0" collapsed="false">
      <c r="A1511" s="45" t="n">
        <v>46309</v>
      </c>
      <c r="B1511" s="0" t="n">
        <v>4</v>
      </c>
      <c r="C1511" s="0" t="n">
        <v>5646</v>
      </c>
      <c r="D1511" s="0" t="n">
        <v>205</v>
      </c>
      <c r="E1511" s="0" t="n">
        <v>1</v>
      </c>
      <c r="F1511" s="39" t="s">
        <v>924</v>
      </c>
      <c r="G1511" s="0" t="n">
        <v>45.8</v>
      </c>
      <c r="H1511" s="0" t="n">
        <v>42</v>
      </c>
      <c r="I1511" s="39" t="s">
        <v>146</v>
      </c>
      <c r="J1511" s="0" t="n">
        <v>205</v>
      </c>
      <c r="K1511" s="0" t="n">
        <v>65</v>
      </c>
      <c r="P1511" s="0" t="n">
        <v>4.43</v>
      </c>
      <c r="Q1511" s="0" t="n">
        <v>3.63</v>
      </c>
      <c r="R1511" s="0" t="n">
        <v>4720</v>
      </c>
      <c r="S1511" s="0" t="n">
        <v>9704</v>
      </c>
      <c r="T1511" s="0" t="n">
        <v>53.6</v>
      </c>
      <c r="U1511" s="0" t="n">
        <v>852</v>
      </c>
      <c r="V1511" s="0" t="n">
        <v>3</v>
      </c>
      <c r="W1511" s="39" t="n">
        <f aca="false">IF(I1511="Male",0,1)</f>
        <v>1</v>
      </c>
      <c r="X1511" s="39" t="n">
        <f aca="false">IF(OR(I1511="DNB",I1511="Dry DNB"),1,0)</f>
        <v>0</v>
      </c>
      <c r="Y1511" s="39" t="n">
        <f aca="false">MATCH(A1511,DATAS,0)</f>
        <v>1</v>
      </c>
      <c r="Z1511" s="39" t="n">
        <f aca="false">IF(AND(E1511&gt;0,OR(AND(B1511&gt;=1,B1511&lt;=6),B1511=10)),1,0)</f>
        <v>1</v>
      </c>
      <c r="AA1511" s="39" t="n">
        <f aca="false">IF(AND(E1511&gt;0,B1511=10),1,0)</f>
        <v>0</v>
      </c>
      <c r="AB1511" s="0" t="str">
        <f aca="false">IF(AND(C1510=C1511,Y1510=Y1511-1),Z1510,"")</f>
        <v/>
      </c>
      <c r="AC1511" s="0" t="str">
        <f aca="false">IF(AND(C1510=C1511,Y1510=Y1511-1),AA1510,"")</f>
        <v/>
      </c>
      <c r="AD1511" s="0" t="str">
        <f aca="false">IF(Y1511=1,"",IF(AND(Z1511=1,AB1511&lt;&gt;1),1,0))</f>
        <v/>
      </c>
      <c r="AE1511" s="0" t="str">
        <f aca="false">IF(Y1511=1,"",IF(AND(AA1511=1,AC1511&lt;&gt;1),1,0))</f>
        <v/>
      </c>
      <c r="AF1511" s="45" t="str">
        <f aca="false">IF(AND(E1511&gt;0,Y1511&lt;1,NOT(AND(C1512=C1511,Y1512=Y1511+1))),INDEX(DATAS,Y1511+1),"")</f>
        <v/>
      </c>
      <c r="AG1511" s="45" t="str">
        <f aca="false">IF(AND(AA1511=1,Y1511&lt;1),IF(AND(C1512=C1511,Y1512=Y1511+1),IF(AA1512=1,"",INDEX(DATAS,Y1511+1)),INDEX(DATAS,Y1511+1)),"")</f>
        <v/>
      </c>
    </row>
    <row r="1512" customFormat="false" ht="15" hidden="false" customHeight="false" outlineLevel="0" collapsed="false">
      <c r="A1512" s="45" t="n">
        <v>46309</v>
      </c>
      <c r="B1512" s="0" t="n">
        <v>4</v>
      </c>
      <c r="C1512" s="0" t="n">
        <v>5647</v>
      </c>
      <c r="D1512" s="0" t="n">
        <v>146</v>
      </c>
      <c r="E1512" s="0" t="n">
        <v>1</v>
      </c>
      <c r="F1512" s="39" t="s">
        <v>924</v>
      </c>
      <c r="G1512" s="0" t="n">
        <v>40</v>
      </c>
      <c r="H1512" s="0" t="n">
        <v>45</v>
      </c>
      <c r="I1512" s="39" t="s">
        <v>109</v>
      </c>
      <c r="J1512" s="0" t="n">
        <v>69</v>
      </c>
      <c r="K1512" s="0" t="n">
        <v>69</v>
      </c>
      <c r="L1512" s="0" t="n">
        <v>77</v>
      </c>
      <c r="P1512" s="0" t="n">
        <v>2.91</v>
      </c>
      <c r="Q1512" s="0" t="n">
        <v>3.05</v>
      </c>
      <c r="R1512" s="0" t="n">
        <v>4513</v>
      </c>
      <c r="S1512" s="0" t="n">
        <v>9509</v>
      </c>
      <c r="T1512" s="0" t="n">
        <v>50.85</v>
      </c>
      <c r="U1512" s="0" t="n">
        <v>852</v>
      </c>
      <c r="V1512" s="0" t="n">
        <v>1</v>
      </c>
      <c r="W1512" s="39" t="n">
        <f aca="false">IF(I1512="Male",0,1)</f>
        <v>1</v>
      </c>
      <c r="X1512" s="39" t="n">
        <f aca="false">IF(OR(I1512="DNB",I1512="Dry DNB"),1,0)</f>
        <v>0</v>
      </c>
      <c r="Y1512" s="39" t="n">
        <f aca="false">MATCH(A1512,DATAS,0)</f>
        <v>1</v>
      </c>
      <c r="Z1512" s="39" t="n">
        <f aca="false">IF(AND(E1512&gt;0,OR(AND(B1512&gt;=1,B1512&lt;=6),B1512=10)),1,0)</f>
        <v>1</v>
      </c>
      <c r="AA1512" s="39" t="n">
        <f aca="false">IF(AND(E1512&gt;0,B1512=10),1,0)</f>
        <v>0</v>
      </c>
      <c r="AB1512" s="0" t="str">
        <f aca="false">IF(AND(C1511=C1512,Y1511=Y1512-1),Z1511,"")</f>
        <v/>
      </c>
      <c r="AC1512" s="0" t="str">
        <f aca="false">IF(AND(C1511=C1512,Y1511=Y1512-1),AA1511,"")</f>
        <v/>
      </c>
      <c r="AD1512" s="0" t="str">
        <f aca="false">IF(Y1512=1,"",IF(AND(Z1512=1,AB1512&lt;&gt;1),1,0))</f>
        <v/>
      </c>
      <c r="AE1512" s="0" t="str">
        <f aca="false">IF(Y1512=1,"",IF(AND(AA1512=1,AC1512&lt;&gt;1),1,0))</f>
        <v/>
      </c>
      <c r="AF1512" s="45" t="str">
        <f aca="false">IF(AND(E1512&gt;0,Y1512&lt;1,NOT(AND(C1513=C1512,Y1513=Y1512+1))),INDEX(DATAS,Y1512+1),"")</f>
        <v/>
      </c>
      <c r="AG1512" s="45" t="str">
        <f aca="false">IF(AND(AA1512=1,Y1512&lt;1),IF(AND(C1513=C1512,Y1513=Y1512+1),IF(AA1513=1,"",INDEX(DATAS,Y1512+1)),INDEX(DATAS,Y1512+1)),"")</f>
        <v/>
      </c>
    </row>
    <row r="1513" customFormat="false" ht="15" hidden="false" customHeight="false" outlineLevel="0" collapsed="false">
      <c r="A1513" s="45" t="n">
        <v>46309</v>
      </c>
      <c r="B1513" s="0" t="n">
        <v>4</v>
      </c>
      <c r="C1513" s="0" t="n">
        <v>5648</v>
      </c>
      <c r="D1513" s="0" t="n">
        <v>155</v>
      </c>
      <c r="E1513" s="0" t="n">
        <v>1</v>
      </c>
      <c r="F1513" s="39" t="s">
        <v>924</v>
      </c>
      <c r="G1513" s="0" t="n">
        <v>50.6</v>
      </c>
      <c r="H1513" s="0" t="n">
        <v>52</v>
      </c>
      <c r="I1513" s="39" t="s">
        <v>138</v>
      </c>
      <c r="J1513" s="0" t="n">
        <v>155</v>
      </c>
      <c r="K1513" s="0" t="n">
        <v>64</v>
      </c>
      <c r="P1513" s="0" t="n">
        <v>4.47</v>
      </c>
      <c r="Q1513" s="0" t="n">
        <v>3.47</v>
      </c>
      <c r="R1513" s="0" t="n">
        <v>4488</v>
      </c>
      <c r="S1513" s="0" t="n">
        <v>9639</v>
      </c>
      <c r="T1513" s="0" t="n">
        <v>47.05</v>
      </c>
      <c r="U1513" s="0" t="n">
        <v>852</v>
      </c>
      <c r="V1513" s="0" t="n">
        <v>3</v>
      </c>
      <c r="W1513" s="39" t="n">
        <f aca="false">IF(I1513="Male",0,1)</f>
        <v>1</v>
      </c>
      <c r="X1513" s="39" t="n">
        <f aca="false">IF(OR(I1513="DNB",I1513="Dry DNB"),1,0)</f>
        <v>0</v>
      </c>
      <c r="Y1513" s="39" t="n">
        <f aca="false">MATCH(A1513,DATAS,0)</f>
        <v>1</v>
      </c>
      <c r="Z1513" s="39" t="n">
        <f aca="false">IF(AND(E1513&gt;0,OR(AND(B1513&gt;=1,B1513&lt;=6),B1513=10)),1,0)</f>
        <v>1</v>
      </c>
      <c r="AA1513" s="39" t="n">
        <f aca="false">IF(AND(E1513&gt;0,B1513=10),1,0)</f>
        <v>0</v>
      </c>
      <c r="AB1513" s="0" t="str">
        <f aca="false">IF(AND(C1512=C1513,Y1512=Y1513-1),Z1512,"")</f>
        <v/>
      </c>
      <c r="AC1513" s="0" t="str">
        <f aca="false">IF(AND(C1512=C1513,Y1512=Y1513-1),AA1512,"")</f>
        <v/>
      </c>
      <c r="AD1513" s="0" t="str">
        <f aca="false">IF(Y1513=1,"",IF(AND(Z1513=1,AB1513&lt;&gt;1),1,0))</f>
        <v/>
      </c>
      <c r="AE1513" s="0" t="str">
        <f aca="false">IF(Y1513=1,"",IF(AND(AA1513=1,AC1513&lt;&gt;1),1,0))</f>
        <v/>
      </c>
      <c r="AF1513" s="45" t="str">
        <f aca="false">IF(AND(E1513&gt;0,Y1513&lt;1,NOT(AND(C1514=C1513,Y1514=Y1513+1))),INDEX(DATAS,Y1513+1),"")</f>
        <v/>
      </c>
      <c r="AG1513" s="45" t="str">
        <f aca="false">IF(AND(AA1513=1,Y1513&lt;1),IF(AND(C1514=C1513,Y1514=Y1513+1),IF(AA1514=1,"",INDEX(DATAS,Y1513+1)),INDEX(DATAS,Y1513+1)),"")</f>
        <v/>
      </c>
    </row>
    <row r="1514" customFormat="false" ht="15" hidden="false" customHeight="false" outlineLevel="0" collapsed="false">
      <c r="A1514" s="45" t="n">
        <v>46309</v>
      </c>
      <c r="B1514" s="0" t="n">
        <v>6</v>
      </c>
      <c r="C1514" s="0" t="n">
        <v>5649</v>
      </c>
      <c r="D1514" s="0" t="n">
        <v>287</v>
      </c>
      <c r="E1514" s="0" t="n">
        <v>1</v>
      </c>
      <c r="F1514" s="39" t="s">
        <v>925</v>
      </c>
      <c r="H1514" s="0" t="n">
        <v>27</v>
      </c>
      <c r="I1514" s="39" t="s">
        <v>138</v>
      </c>
      <c r="J1514" s="0" t="n">
        <v>287</v>
      </c>
      <c r="K1514" s="0" t="n">
        <v>63</v>
      </c>
      <c r="P1514" s="0" t="n">
        <v>4.57</v>
      </c>
      <c r="Q1514" s="0" t="n">
        <v>3.9</v>
      </c>
      <c r="R1514" s="0" t="n">
        <v>1569</v>
      </c>
      <c r="S1514" s="0" t="n">
        <v>4332</v>
      </c>
      <c r="T1514" s="0" t="n">
        <v>16.4</v>
      </c>
      <c r="U1514" s="0" t="n">
        <v>851</v>
      </c>
      <c r="V1514" s="0" t="n">
        <v>5</v>
      </c>
      <c r="W1514" s="39" t="n">
        <f aca="false">IF(I1514="Male",0,1)</f>
        <v>1</v>
      </c>
      <c r="X1514" s="39" t="n">
        <f aca="false">IF(OR(I1514="DNB",I1514="Dry DNB"),1,0)</f>
        <v>0</v>
      </c>
      <c r="Y1514" s="39" t="n">
        <f aca="false">MATCH(A1514,DATAS,0)</f>
        <v>1</v>
      </c>
      <c r="Z1514" s="39" t="n">
        <f aca="false">IF(AND(E1514&gt;0,OR(AND(B1514&gt;=1,B1514&lt;=6),B1514=10)),1,0)</f>
        <v>1</v>
      </c>
      <c r="AA1514" s="39" t="n">
        <f aca="false">IF(AND(E1514&gt;0,B1514=10),1,0)</f>
        <v>0</v>
      </c>
      <c r="AB1514" s="0" t="str">
        <f aca="false">IF(AND(C1513=C1514,Y1513=Y1514-1),Z1513,"")</f>
        <v/>
      </c>
      <c r="AC1514" s="0" t="str">
        <f aca="false">IF(AND(C1513=C1514,Y1513=Y1514-1),AA1513,"")</f>
        <v/>
      </c>
      <c r="AD1514" s="0" t="str">
        <f aca="false">IF(Y1514=1,"",IF(AND(Z1514=1,AB1514&lt;&gt;1),1,0))</f>
        <v/>
      </c>
      <c r="AE1514" s="0" t="str">
        <f aca="false">IF(Y1514=1,"",IF(AND(AA1514=1,AC1514&lt;&gt;1),1,0))</f>
        <v/>
      </c>
      <c r="AF1514" s="45" t="str">
        <f aca="false">IF(AND(E1514&gt;0,Y1514&lt;1,NOT(AND(C1515=C1514,Y1515=Y1514+1))),INDEX(DATAS,Y1514+1),"")</f>
        <v/>
      </c>
      <c r="AG1514" s="45" t="str">
        <f aca="false">IF(AND(AA1514=1,Y1514&lt;1),IF(AND(C1515=C1514,Y1515=Y1514+1),IF(AA1515=1,"",INDEX(DATAS,Y1514+1)),INDEX(DATAS,Y1514+1)),"")</f>
        <v/>
      </c>
    </row>
    <row r="1515" customFormat="false" ht="15" hidden="false" customHeight="false" outlineLevel="0" collapsed="false">
      <c r="A1515" s="45" t="n">
        <v>46309</v>
      </c>
      <c r="B1515" s="0" t="n">
        <v>4</v>
      </c>
      <c r="C1515" s="0" t="n">
        <v>5650</v>
      </c>
      <c r="D1515" s="0" t="n">
        <v>175</v>
      </c>
      <c r="E1515" s="0" t="n">
        <v>1</v>
      </c>
      <c r="F1515" s="39" t="s">
        <v>925</v>
      </c>
      <c r="G1515" s="0" t="n">
        <v>37.6</v>
      </c>
      <c r="H1515" s="0" t="n">
        <v>42</v>
      </c>
      <c r="I1515" s="39" t="s">
        <v>109</v>
      </c>
      <c r="J1515" s="0" t="n">
        <v>63</v>
      </c>
      <c r="K1515" s="0" t="n">
        <v>63</v>
      </c>
      <c r="L1515" s="0" t="n">
        <v>112</v>
      </c>
      <c r="P1515" s="0" t="n">
        <v>3.65</v>
      </c>
      <c r="Q1515" s="0" t="n">
        <v>3.54</v>
      </c>
      <c r="R1515" s="0" t="n">
        <v>3474</v>
      </c>
      <c r="S1515" s="0" t="n">
        <v>7700</v>
      </c>
      <c r="T1515" s="0" t="n">
        <v>38.6</v>
      </c>
      <c r="U1515" s="0" t="n">
        <v>851</v>
      </c>
      <c r="V1515" s="0" t="n">
        <v>1</v>
      </c>
      <c r="W1515" s="39" t="n">
        <f aca="false">IF(I1515="Male",0,1)</f>
        <v>1</v>
      </c>
      <c r="X1515" s="39" t="n">
        <f aca="false">IF(OR(I1515="DNB",I1515="Dry DNB"),1,0)</f>
        <v>0</v>
      </c>
      <c r="Y1515" s="39" t="n">
        <f aca="false">MATCH(A1515,DATAS,0)</f>
        <v>1</v>
      </c>
      <c r="Z1515" s="39" t="n">
        <f aca="false">IF(AND(E1515&gt;0,OR(AND(B1515&gt;=1,B1515&lt;=6),B1515=10)),1,0)</f>
        <v>1</v>
      </c>
      <c r="AA1515" s="39" t="n">
        <f aca="false">IF(AND(E1515&gt;0,B1515=10),1,0)</f>
        <v>0</v>
      </c>
      <c r="AB1515" s="0" t="str">
        <f aca="false">IF(AND(C1514=C1515,Y1514=Y1515-1),Z1514,"")</f>
        <v/>
      </c>
      <c r="AC1515" s="0" t="str">
        <f aca="false">IF(AND(C1514=C1515,Y1514=Y1515-1),AA1514,"")</f>
        <v/>
      </c>
      <c r="AD1515" s="0" t="str">
        <f aca="false">IF(Y1515=1,"",IF(AND(Z1515=1,AB1515&lt;&gt;1),1,0))</f>
        <v/>
      </c>
      <c r="AE1515" s="0" t="str">
        <f aca="false">IF(Y1515=1,"",IF(AND(AA1515=1,AC1515&lt;&gt;1),1,0))</f>
        <v/>
      </c>
      <c r="AF1515" s="45" t="str">
        <f aca="false">IF(AND(E1515&gt;0,Y1515&lt;1,NOT(AND(C1516=C1515,Y1516=Y1515+1))),INDEX(DATAS,Y1515+1),"")</f>
        <v/>
      </c>
      <c r="AG1515" s="45" t="str">
        <f aca="false">IF(AND(AA1515=1,Y1515&lt;1),IF(AND(C1516=C1515,Y1516=Y1515+1),IF(AA1516=1,"",INDEX(DATAS,Y1515+1)),INDEX(DATAS,Y1515+1)),"")</f>
        <v/>
      </c>
    </row>
    <row r="1516" customFormat="false" ht="15" hidden="false" customHeight="false" outlineLevel="0" collapsed="false">
      <c r="A1516" s="45" t="n">
        <v>46309</v>
      </c>
      <c r="B1516" s="0" t="n">
        <v>1</v>
      </c>
      <c r="C1516" s="0" t="n">
        <v>5651</v>
      </c>
      <c r="D1516" s="0" t="n">
        <v>88</v>
      </c>
      <c r="E1516" s="0" t="n">
        <v>1</v>
      </c>
      <c r="F1516" s="39" t="s">
        <v>925</v>
      </c>
      <c r="G1516" s="0" t="n">
        <v>43.9</v>
      </c>
      <c r="H1516" s="0" t="n">
        <v>43</v>
      </c>
      <c r="I1516" s="39" t="s">
        <v>138</v>
      </c>
      <c r="J1516" s="0" t="n">
        <v>88</v>
      </c>
      <c r="K1516" s="0" t="n">
        <v>67</v>
      </c>
      <c r="P1516" s="0" t="n">
        <v>2.98</v>
      </c>
      <c r="Q1516" s="0" t="n">
        <v>3.04</v>
      </c>
      <c r="R1516" s="0" t="n">
        <v>4138</v>
      </c>
      <c r="S1516" s="0" t="n">
        <v>8318</v>
      </c>
      <c r="U1516" s="0" t="n">
        <v>851</v>
      </c>
      <c r="V1516" s="0" t="n">
        <v>1</v>
      </c>
      <c r="W1516" s="39" t="n">
        <f aca="false">IF(I1516="Male",0,1)</f>
        <v>1</v>
      </c>
      <c r="X1516" s="39" t="n">
        <f aca="false">IF(OR(I1516="DNB",I1516="Dry DNB"),1,0)</f>
        <v>0</v>
      </c>
      <c r="Y1516" s="39" t="n">
        <f aca="false">MATCH(A1516,DATAS,0)</f>
        <v>1</v>
      </c>
      <c r="Z1516" s="39" t="n">
        <f aca="false">IF(AND(E1516&gt;0,OR(AND(B1516&gt;=1,B1516&lt;=6),B1516=10)),1,0)</f>
        <v>1</v>
      </c>
      <c r="AA1516" s="39" t="n">
        <f aca="false">IF(AND(E1516&gt;0,B1516=10),1,0)</f>
        <v>0</v>
      </c>
      <c r="AB1516" s="0" t="str">
        <f aca="false">IF(AND(C1515=C1516,Y1515=Y1516-1),Z1515,"")</f>
        <v/>
      </c>
      <c r="AC1516" s="0" t="str">
        <f aca="false">IF(AND(C1515=C1516,Y1515=Y1516-1),AA1515,"")</f>
        <v/>
      </c>
      <c r="AD1516" s="0" t="str">
        <f aca="false">IF(Y1516=1,"",IF(AND(Z1516=1,AB1516&lt;&gt;1),1,0))</f>
        <v/>
      </c>
      <c r="AE1516" s="0" t="str">
        <f aca="false">IF(Y1516=1,"",IF(AND(AA1516=1,AC1516&lt;&gt;1),1,0))</f>
        <v/>
      </c>
      <c r="AF1516" s="45" t="str">
        <f aca="false">IF(AND(E1516&gt;0,Y1516&lt;1,NOT(AND(C1517=C1516,Y1517=Y1516+1))),INDEX(DATAS,Y1516+1),"")</f>
        <v/>
      </c>
      <c r="AG1516" s="45" t="str">
        <f aca="false">IF(AND(AA1516=1,Y1516&lt;1),IF(AND(C1517=C1516,Y1517=Y1516+1),IF(AA1517=1,"",INDEX(DATAS,Y1516+1)),INDEX(DATAS,Y1516+1)),"")</f>
        <v/>
      </c>
    </row>
    <row r="1517" customFormat="false" ht="15" hidden="false" customHeight="false" outlineLevel="0" collapsed="false">
      <c r="A1517" s="45" t="n">
        <v>46309</v>
      </c>
      <c r="B1517" s="0" t="n">
        <v>1</v>
      </c>
      <c r="C1517" s="0" t="n">
        <v>5652</v>
      </c>
      <c r="D1517" s="0" t="n">
        <v>31</v>
      </c>
      <c r="E1517" s="0" t="n">
        <v>1</v>
      </c>
      <c r="F1517" s="39" t="s">
        <v>926</v>
      </c>
      <c r="G1517" s="0" t="n">
        <v>41.7</v>
      </c>
      <c r="H1517" s="0" t="n">
        <v>40</v>
      </c>
      <c r="I1517" s="39" t="s">
        <v>118</v>
      </c>
      <c r="J1517" s="0" t="n">
        <v>31</v>
      </c>
      <c r="P1517" s="0" t="n">
        <v>7.33</v>
      </c>
      <c r="Q1517" s="0" t="n">
        <v>4.51</v>
      </c>
      <c r="R1517" s="0" t="n">
        <v>3185</v>
      </c>
      <c r="S1517" s="0" t="n">
        <v>6402</v>
      </c>
      <c r="U1517" s="0" t="n">
        <v>849</v>
      </c>
      <c r="V1517" s="0" t="n">
        <v>0</v>
      </c>
      <c r="W1517" s="39" t="n">
        <f aca="false">IF(I1517="Male",0,1)</f>
        <v>1</v>
      </c>
      <c r="X1517" s="39" t="n">
        <f aca="false">IF(OR(I1517="DNB",I1517="Dry DNB"),1,0)</f>
        <v>0</v>
      </c>
      <c r="Y1517" s="39" t="n">
        <f aca="false">MATCH(A1517,DATAS,0)</f>
        <v>1</v>
      </c>
      <c r="Z1517" s="39" t="n">
        <f aca="false">IF(AND(E1517&gt;0,OR(AND(B1517&gt;=1,B1517&lt;=6),B1517=10)),1,0)</f>
        <v>1</v>
      </c>
      <c r="AA1517" s="39" t="n">
        <f aca="false">IF(AND(E1517&gt;0,B1517=10),1,0)</f>
        <v>0</v>
      </c>
      <c r="AB1517" s="0" t="str">
        <f aca="false">IF(AND(C1516=C1517,Y1516=Y1517-1),Z1516,"")</f>
        <v/>
      </c>
      <c r="AC1517" s="0" t="str">
        <f aca="false">IF(AND(C1516=C1517,Y1516=Y1517-1),AA1516,"")</f>
        <v/>
      </c>
      <c r="AD1517" s="0" t="str">
        <f aca="false">IF(Y1517=1,"",IF(AND(Z1517=1,AB1517&lt;&gt;1),1,0))</f>
        <v/>
      </c>
      <c r="AE1517" s="0" t="str">
        <f aca="false">IF(Y1517=1,"",IF(AND(AA1517=1,AC1517&lt;&gt;1),1,0))</f>
        <v/>
      </c>
      <c r="AF1517" s="45" t="str">
        <f aca="false">IF(AND(E1517&gt;0,Y1517&lt;1,NOT(AND(C1518=C1517,Y1518=Y1517+1))),INDEX(DATAS,Y1517+1),"")</f>
        <v/>
      </c>
      <c r="AG1517" s="45" t="str">
        <f aca="false">IF(AND(AA1517=1,Y1517&lt;1),IF(AND(C1518=C1517,Y1518=Y1517+1),IF(AA1518=1,"",INDEX(DATAS,Y1517+1)),INDEX(DATAS,Y1517+1)),"")</f>
        <v/>
      </c>
    </row>
    <row r="1518" customFormat="false" ht="15" hidden="false" customHeight="false" outlineLevel="0" collapsed="false">
      <c r="A1518" s="45" t="n">
        <v>46309</v>
      </c>
      <c r="B1518" s="0" t="n">
        <v>4</v>
      </c>
      <c r="C1518" s="0" t="n">
        <v>5653</v>
      </c>
      <c r="D1518" s="0" t="n">
        <v>197</v>
      </c>
      <c r="E1518" s="0" t="n">
        <v>1</v>
      </c>
      <c r="F1518" s="39" t="s">
        <v>926</v>
      </c>
      <c r="G1518" s="0" t="n">
        <v>44</v>
      </c>
      <c r="H1518" s="0" t="n">
        <v>44</v>
      </c>
      <c r="I1518" s="39" t="s">
        <v>109</v>
      </c>
      <c r="J1518" s="0" t="n">
        <v>64</v>
      </c>
      <c r="K1518" s="0" t="n">
        <v>64</v>
      </c>
      <c r="L1518" s="0" t="n">
        <v>133</v>
      </c>
      <c r="P1518" s="0" t="n">
        <v>3.35</v>
      </c>
      <c r="Q1518" s="0" t="n">
        <v>3.16</v>
      </c>
      <c r="R1518" s="0" t="n">
        <v>4574</v>
      </c>
      <c r="S1518" s="0" t="n">
        <v>9649</v>
      </c>
      <c r="T1518" s="0" t="n">
        <v>48.25</v>
      </c>
      <c r="U1518" s="0" t="n">
        <v>849</v>
      </c>
      <c r="V1518" s="0" t="n">
        <v>1</v>
      </c>
      <c r="W1518" s="39" t="n">
        <f aca="false">IF(I1518="Male",0,1)</f>
        <v>1</v>
      </c>
      <c r="X1518" s="39" t="n">
        <f aca="false">IF(OR(I1518="DNB",I1518="Dry DNB"),1,0)</f>
        <v>0</v>
      </c>
      <c r="Y1518" s="39" t="n">
        <f aca="false">MATCH(A1518,DATAS,0)</f>
        <v>1</v>
      </c>
      <c r="Z1518" s="39" t="n">
        <f aca="false">IF(AND(E1518&gt;0,OR(AND(B1518&gt;=1,B1518&lt;=6),B1518=10)),1,0)</f>
        <v>1</v>
      </c>
      <c r="AA1518" s="39" t="n">
        <f aca="false">IF(AND(E1518&gt;0,B1518=10),1,0)</f>
        <v>0</v>
      </c>
      <c r="AB1518" s="0" t="str">
        <f aca="false">IF(AND(C1517=C1518,Y1517=Y1518-1),Z1517,"")</f>
        <v/>
      </c>
      <c r="AC1518" s="0" t="str">
        <f aca="false">IF(AND(C1517=C1518,Y1517=Y1518-1),AA1517,"")</f>
        <v/>
      </c>
      <c r="AD1518" s="0" t="str">
        <f aca="false">IF(Y1518=1,"",IF(AND(Z1518=1,AB1518&lt;&gt;1),1,0))</f>
        <v/>
      </c>
      <c r="AE1518" s="0" t="str">
        <f aca="false">IF(Y1518=1,"",IF(AND(AA1518=1,AC1518&lt;&gt;1),1,0))</f>
        <v/>
      </c>
      <c r="AF1518" s="45" t="str">
        <f aca="false">IF(AND(E1518&gt;0,Y1518&lt;1,NOT(AND(C1519=C1518,Y1519=Y1518+1))),INDEX(DATAS,Y1518+1),"")</f>
        <v/>
      </c>
      <c r="AG1518" s="45" t="str">
        <f aca="false">IF(AND(AA1518=1,Y1518&lt;1),IF(AND(C1519=C1518,Y1519=Y1518+1),IF(AA1519=1,"",INDEX(DATAS,Y1518+1)),INDEX(DATAS,Y1518+1)),"")</f>
        <v/>
      </c>
    </row>
    <row r="1519" customFormat="false" ht="15" hidden="false" customHeight="false" outlineLevel="0" collapsed="false">
      <c r="A1519" s="45" t="n">
        <v>46309</v>
      </c>
      <c r="B1519" s="0" t="n">
        <v>4</v>
      </c>
      <c r="C1519" s="0" t="n">
        <v>5655</v>
      </c>
      <c r="D1519" s="0" t="n">
        <v>193</v>
      </c>
      <c r="E1519" s="0" t="n">
        <v>1</v>
      </c>
      <c r="F1519" s="39" t="s">
        <v>926</v>
      </c>
      <c r="G1519" s="0" t="n">
        <v>54.2</v>
      </c>
      <c r="H1519" s="0" t="n">
        <v>54</v>
      </c>
      <c r="I1519" s="39" t="s">
        <v>109</v>
      </c>
      <c r="J1519" s="0" t="n">
        <v>67</v>
      </c>
      <c r="K1519" s="0" t="n">
        <v>67</v>
      </c>
      <c r="L1519" s="0" t="n">
        <v>126</v>
      </c>
      <c r="P1519" s="0" t="n">
        <v>3.87</v>
      </c>
      <c r="Q1519" s="0" t="n">
        <v>3.07</v>
      </c>
      <c r="R1519" s="0" t="n">
        <v>3982</v>
      </c>
      <c r="S1519" s="0" t="n">
        <v>9378</v>
      </c>
      <c r="T1519" s="0" t="n">
        <v>44.65</v>
      </c>
      <c r="U1519" s="0" t="n">
        <v>849</v>
      </c>
      <c r="V1519" s="0" t="n">
        <v>1</v>
      </c>
      <c r="W1519" s="39" t="n">
        <f aca="false">IF(I1519="Male",0,1)</f>
        <v>1</v>
      </c>
      <c r="X1519" s="39" t="n">
        <f aca="false">IF(OR(I1519="DNB",I1519="Dry DNB"),1,0)</f>
        <v>0</v>
      </c>
      <c r="Y1519" s="39" t="n">
        <f aca="false">MATCH(A1519,DATAS,0)</f>
        <v>1</v>
      </c>
      <c r="Z1519" s="39" t="n">
        <f aca="false">IF(AND(E1519&gt;0,OR(AND(B1519&gt;=1,B1519&lt;=6),B1519=10)),1,0)</f>
        <v>1</v>
      </c>
      <c r="AA1519" s="39" t="n">
        <f aca="false">IF(AND(E1519&gt;0,B1519=10),1,0)</f>
        <v>0</v>
      </c>
      <c r="AB1519" s="0" t="str">
        <f aca="false">IF(AND(C1518=C1519,Y1518=Y1519-1),Z1518,"")</f>
        <v/>
      </c>
      <c r="AC1519" s="0" t="str">
        <f aca="false">IF(AND(C1518=C1519,Y1518=Y1519-1),AA1518,"")</f>
        <v/>
      </c>
      <c r="AD1519" s="0" t="str">
        <f aca="false">IF(Y1519=1,"",IF(AND(Z1519=1,AB1519&lt;&gt;1),1,0))</f>
        <v/>
      </c>
      <c r="AE1519" s="0" t="str">
        <f aca="false">IF(Y1519=1,"",IF(AND(AA1519=1,AC1519&lt;&gt;1),1,0))</f>
        <v/>
      </c>
      <c r="AF1519" s="45" t="str">
        <f aca="false">IF(AND(E1519&gt;0,Y1519&lt;1,NOT(AND(C1520=C1519,Y1520=Y1519+1))),INDEX(DATAS,Y1519+1),"")</f>
        <v/>
      </c>
      <c r="AG1519" s="45" t="str">
        <f aca="false">IF(AND(AA1519=1,Y1519&lt;1),IF(AND(C1520=C1519,Y1520=Y1519+1),IF(AA1520=1,"",INDEX(DATAS,Y1519+1)),INDEX(DATAS,Y1519+1)),"")</f>
        <v/>
      </c>
    </row>
    <row r="1520" customFormat="false" ht="15" hidden="false" customHeight="false" outlineLevel="0" collapsed="false">
      <c r="A1520" s="45" t="n">
        <v>46309</v>
      </c>
      <c r="B1520" s="0" t="n">
        <v>4</v>
      </c>
      <c r="C1520" s="0" t="n">
        <v>5656</v>
      </c>
      <c r="D1520" s="0" t="n">
        <v>123</v>
      </c>
      <c r="E1520" s="0" t="n">
        <v>1</v>
      </c>
      <c r="F1520" s="39" t="s">
        <v>927</v>
      </c>
      <c r="G1520" s="0" t="n">
        <v>66.8</v>
      </c>
      <c r="H1520" s="0" t="n">
        <v>68</v>
      </c>
      <c r="I1520" s="39" t="s">
        <v>146</v>
      </c>
      <c r="J1520" s="0" t="n">
        <v>123</v>
      </c>
      <c r="K1520" s="0" t="n">
        <v>67</v>
      </c>
      <c r="P1520" s="0" t="n">
        <v>3.1</v>
      </c>
      <c r="Q1520" s="0" t="n">
        <v>2.96</v>
      </c>
      <c r="R1520" s="0" t="n">
        <v>4980</v>
      </c>
      <c r="S1520" s="0" t="n">
        <v>10668</v>
      </c>
      <c r="T1520" s="0" t="n">
        <v>56.25</v>
      </c>
      <c r="U1520" s="0" t="n">
        <v>848</v>
      </c>
      <c r="V1520" s="0" t="n">
        <v>2</v>
      </c>
      <c r="W1520" s="39" t="n">
        <f aca="false">IF(I1520="Male",0,1)</f>
        <v>1</v>
      </c>
      <c r="X1520" s="39" t="n">
        <f aca="false">IF(OR(I1520="DNB",I1520="Dry DNB"),1,0)</f>
        <v>0</v>
      </c>
      <c r="Y1520" s="39" t="n">
        <f aca="false">MATCH(A1520,DATAS,0)</f>
        <v>1</v>
      </c>
      <c r="Z1520" s="39" t="n">
        <f aca="false">IF(AND(E1520&gt;0,OR(AND(B1520&gt;=1,B1520&lt;=6),B1520=10)),1,0)</f>
        <v>1</v>
      </c>
      <c r="AA1520" s="39" t="n">
        <f aca="false">IF(AND(E1520&gt;0,B1520=10),1,0)</f>
        <v>0</v>
      </c>
      <c r="AB1520" s="0" t="str">
        <f aca="false">IF(AND(C1519=C1520,Y1519=Y1520-1),Z1519,"")</f>
        <v/>
      </c>
      <c r="AC1520" s="0" t="str">
        <f aca="false">IF(AND(C1519=C1520,Y1519=Y1520-1),AA1519,"")</f>
        <v/>
      </c>
      <c r="AD1520" s="0" t="str">
        <f aca="false">IF(Y1520=1,"",IF(AND(Z1520=1,AB1520&lt;&gt;1),1,0))</f>
        <v/>
      </c>
      <c r="AE1520" s="0" t="str">
        <f aca="false">IF(Y1520=1,"",IF(AND(AA1520=1,AC1520&lt;&gt;1),1,0))</f>
        <v/>
      </c>
      <c r="AF1520" s="45" t="str">
        <f aca="false">IF(AND(E1520&gt;0,Y1520&lt;1,NOT(AND(C1521=C1520,Y1521=Y1520+1))),INDEX(DATAS,Y1520+1),"")</f>
        <v/>
      </c>
      <c r="AG1520" s="45" t="str">
        <f aca="false">IF(AND(AA1520=1,Y1520&lt;1),IF(AND(C1521=C1520,Y1521=Y1520+1),IF(AA1521=1,"",INDEX(DATAS,Y1520+1)),INDEX(DATAS,Y1520+1)),"")</f>
        <v/>
      </c>
    </row>
    <row r="1521" customFormat="false" ht="15" hidden="false" customHeight="false" outlineLevel="0" collapsed="false">
      <c r="A1521" s="45" t="n">
        <v>46309</v>
      </c>
      <c r="B1521" s="0" t="n">
        <v>4</v>
      </c>
      <c r="C1521" s="0" t="n">
        <v>5657</v>
      </c>
      <c r="D1521" s="0" t="n">
        <v>235</v>
      </c>
      <c r="E1521" s="0" t="n">
        <v>1</v>
      </c>
      <c r="F1521" s="39" t="s">
        <v>927</v>
      </c>
      <c r="G1521" s="0" t="n">
        <v>43.8</v>
      </c>
      <c r="H1521" s="0" t="n">
        <v>47</v>
      </c>
      <c r="I1521" s="39" t="s">
        <v>109</v>
      </c>
      <c r="J1521" s="0" t="n">
        <v>88</v>
      </c>
      <c r="K1521" s="0" t="n">
        <v>67</v>
      </c>
      <c r="L1521" s="0" t="n">
        <v>147</v>
      </c>
      <c r="P1521" s="0" t="n">
        <v>3.56</v>
      </c>
      <c r="Q1521" s="0" t="n">
        <v>3.47</v>
      </c>
      <c r="R1521" s="0" t="n">
        <v>3230</v>
      </c>
      <c r="S1521" s="0" t="n">
        <v>8221</v>
      </c>
      <c r="T1521" s="0" t="n">
        <v>39</v>
      </c>
      <c r="U1521" s="0" t="n">
        <v>848</v>
      </c>
      <c r="V1521" s="0" t="n">
        <v>2</v>
      </c>
      <c r="W1521" s="39" t="n">
        <f aca="false">IF(I1521="Male",0,1)</f>
        <v>1</v>
      </c>
      <c r="X1521" s="39" t="n">
        <f aca="false">IF(OR(I1521="DNB",I1521="Dry DNB"),1,0)</f>
        <v>0</v>
      </c>
      <c r="Y1521" s="39" t="n">
        <f aca="false">MATCH(A1521,DATAS,0)</f>
        <v>1</v>
      </c>
      <c r="Z1521" s="39" t="n">
        <f aca="false">IF(AND(E1521&gt;0,OR(AND(B1521&gt;=1,B1521&lt;=6),B1521=10)),1,0)</f>
        <v>1</v>
      </c>
      <c r="AA1521" s="39" t="n">
        <f aca="false">IF(AND(E1521&gt;0,B1521=10),1,0)</f>
        <v>0</v>
      </c>
      <c r="AB1521" s="0" t="str">
        <f aca="false">IF(AND(C1520=C1521,Y1520=Y1521-1),Z1520,"")</f>
        <v/>
      </c>
      <c r="AC1521" s="0" t="str">
        <f aca="false">IF(AND(C1520=C1521,Y1520=Y1521-1),AA1520,"")</f>
        <v/>
      </c>
      <c r="AD1521" s="0" t="str">
        <f aca="false">IF(Y1521=1,"",IF(AND(Z1521=1,AB1521&lt;&gt;1),1,0))</f>
        <v/>
      </c>
      <c r="AE1521" s="0" t="str">
        <f aca="false">IF(Y1521=1,"",IF(AND(AA1521=1,AC1521&lt;&gt;1),1,0))</f>
        <v/>
      </c>
      <c r="AF1521" s="45" t="str">
        <f aca="false">IF(AND(E1521&gt;0,Y1521&lt;1,NOT(AND(C1522=C1521,Y1522=Y1521+1))),INDEX(DATAS,Y1521+1),"")</f>
        <v/>
      </c>
      <c r="AG1521" s="45" t="str">
        <f aca="false">IF(AND(AA1521=1,Y1521&lt;1),IF(AND(C1522=C1521,Y1522=Y1521+1),IF(AA1522=1,"",INDEX(DATAS,Y1521+1)),INDEX(DATAS,Y1521+1)),"")</f>
        <v/>
      </c>
    </row>
    <row r="1522" customFormat="false" ht="15" hidden="false" customHeight="false" outlineLevel="0" collapsed="false">
      <c r="A1522" s="45" t="n">
        <v>46309</v>
      </c>
      <c r="B1522" s="0" t="n">
        <v>1</v>
      </c>
      <c r="C1522" s="0" t="n">
        <v>5658</v>
      </c>
      <c r="D1522" s="0" t="n">
        <v>90</v>
      </c>
      <c r="E1522" s="0" t="n">
        <v>1</v>
      </c>
      <c r="F1522" s="39" t="s">
        <v>928</v>
      </c>
      <c r="G1522" s="0" t="n">
        <v>45.3</v>
      </c>
      <c r="H1522" s="0" t="n">
        <v>49</v>
      </c>
      <c r="I1522" s="39" t="s">
        <v>138</v>
      </c>
      <c r="J1522" s="0" t="n">
        <v>90</v>
      </c>
      <c r="K1522" s="0" t="n">
        <v>62</v>
      </c>
      <c r="P1522" s="0" t="n">
        <v>4.02</v>
      </c>
      <c r="Q1522" s="0" t="n">
        <v>3.3</v>
      </c>
      <c r="R1522" s="0" t="n">
        <v>4463</v>
      </c>
      <c r="S1522" s="0" t="n">
        <v>8972</v>
      </c>
      <c r="U1522" s="0" t="n">
        <v>847</v>
      </c>
      <c r="V1522" s="0" t="n">
        <v>1</v>
      </c>
      <c r="W1522" s="39" t="n">
        <f aca="false">IF(I1522="Male",0,1)</f>
        <v>1</v>
      </c>
      <c r="X1522" s="39" t="n">
        <f aca="false">IF(OR(I1522="DNB",I1522="Dry DNB"),1,0)</f>
        <v>0</v>
      </c>
      <c r="Y1522" s="39" t="n">
        <f aca="false">MATCH(A1522,DATAS,0)</f>
        <v>1</v>
      </c>
      <c r="Z1522" s="39" t="n">
        <f aca="false">IF(AND(E1522&gt;0,OR(AND(B1522&gt;=1,B1522&lt;=6),B1522=10)),1,0)</f>
        <v>1</v>
      </c>
      <c r="AA1522" s="39" t="n">
        <f aca="false">IF(AND(E1522&gt;0,B1522=10),1,0)</f>
        <v>0</v>
      </c>
      <c r="AB1522" s="0" t="str">
        <f aca="false">IF(AND(C1521=C1522,Y1521=Y1522-1),Z1521,"")</f>
        <v/>
      </c>
      <c r="AC1522" s="0" t="str">
        <f aca="false">IF(AND(C1521=C1522,Y1521=Y1522-1),AA1521,"")</f>
        <v/>
      </c>
      <c r="AD1522" s="0" t="str">
        <f aca="false">IF(Y1522=1,"",IF(AND(Z1522=1,AB1522&lt;&gt;1),1,0))</f>
        <v/>
      </c>
      <c r="AE1522" s="0" t="str">
        <f aca="false">IF(Y1522=1,"",IF(AND(AA1522=1,AC1522&lt;&gt;1),1,0))</f>
        <v/>
      </c>
      <c r="AF1522" s="45" t="str">
        <f aca="false">IF(AND(E1522&gt;0,Y1522&lt;1,NOT(AND(C1523=C1522,Y1523=Y1522+1))),INDEX(DATAS,Y1522+1),"")</f>
        <v/>
      </c>
      <c r="AG1522" s="45" t="str">
        <f aca="false">IF(AND(AA1522=1,Y1522&lt;1),IF(AND(C1523=C1522,Y1523=Y1522+1),IF(AA1523=1,"",INDEX(DATAS,Y1522+1)),INDEX(DATAS,Y1522+1)),"")</f>
        <v/>
      </c>
    </row>
    <row r="1523" customFormat="false" ht="15" hidden="false" customHeight="false" outlineLevel="0" collapsed="false">
      <c r="A1523" s="45" t="n">
        <v>46309</v>
      </c>
      <c r="B1523" s="0" t="n">
        <v>4</v>
      </c>
      <c r="C1523" s="0" t="n">
        <v>5659</v>
      </c>
      <c r="D1523" s="0" t="n">
        <v>142</v>
      </c>
      <c r="E1523" s="0" t="n">
        <v>1</v>
      </c>
      <c r="F1523" s="39" t="s">
        <v>928</v>
      </c>
      <c r="G1523" s="0" t="n">
        <v>54.5</v>
      </c>
      <c r="H1523" s="0" t="n">
        <v>53</v>
      </c>
      <c r="I1523" s="39" t="s">
        <v>109</v>
      </c>
      <c r="J1523" s="0" t="n">
        <v>86</v>
      </c>
      <c r="K1523" s="0" t="n">
        <v>65</v>
      </c>
      <c r="L1523" s="0" t="n">
        <v>56</v>
      </c>
      <c r="P1523" s="0" t="n">
        <v>2.92</v>
      </c>
      <c r="Q1523" s="0" t="n">
        <v>3.34</v>
      </c>
      <c r="R1523" s="0" t="n">
        <v>4573</v>
      </c>
      <c r="S1523" s="0" t="n">
        <v>9921</v>
      </c>
      <c r="T1523" s="0" t="n">
        <v>54.2</v>
      </c>
      <c r="U1523" s="0" t="n">
        <v>847</v>
      </c>
      <c r="V1523" s="0" t="n">
        <v>2</v>
      </c>
      <c r="W1523" s="39" t="n">
        <f aca="false">IF(I1523="Male",0,1)</f>
        <v>1</v>
      </c>
      <c r="X1523" s="39" t="n">
        <f aca="false">IF(OR(I1523="DNB",I1523="Dry DNB"),1,0)</f>
        <v>0</v>
      </c>
      <c r="Y1523" s="39" t="n">
        <f aca="false">MATCH(A1523,DATAS,0)</f>
        <v>1</v>
      </c>
      <c r="Z1523" s="39" t="n">
        <f aca="false">IF(AND(E1523&gt;0,OR(AND(B1523&gt;=1,B1523&lt;=6),B1523=10)),1,0)</f>
        <v>1</v>
      </c>
      <c r="AA1523" s="39" t="n">
        <f aca="false">IF(AND(E1523&gt;0,B1523=10),1,0)</f>
        <v>0</v>
      </c>
      <c r="AB1523" s="0" t="str">
        <f aca="false">IF(AND(C1522=C1523,Y1522=Y1523-1),Z1522,"")</f>
        <v/>
      </c>
      <c r="AC1523" s="0" t="str">
        <f aca="false">IF(AND(C1522=C1523,Y1522=Y1523-1),AA1522,"")</f>
        <v/>
      </c>
      <c r="AD1523" s="0" t="str">
        <f aca="false">IF(Y1523=1,"",IF(AND(Z1523=1,AB1523&lt;&gt;1),1,0))</f>
        <v/>
      </c>
      <c r="AE1523" s="0" t="str">
        <f aca="false">IF(Y1523=1,"",IF(AND(AA1523=1,AC1523&lt;&gt;1),1,0))</f>
        <v/>
      </c>
      <c r="AF1523" s="45" t="str">
        <f aca="false">IF(AND(E1523&gt;0,Y1523&lt;1,NOT(AND(C1524=C1523,Y1524=Y1523+1))),INDEX(DATAS,Y1523+1),"")</f>
        <v/>
      </c>
      <c r="AG1523" s="45" t="str">
        <f aca="false">IF(AND(AA1523=1,Y1523&lt;1),IF(AND(C1524=C1523,Y1524=Y1523+1),IF(AA1524=1,"",INDEX(DATAS,Y1523+1)),INDEX(DATAS,Y1523+1)),"")</f>
        <v/>
      </c>
    </row>
    <row r="1524" customFormat="false" ht="15" hidden="false" customHeight="false" outlineLevel="0" collapsed="false">
      <c r="A1524" s="45" t="n">
        <v>46309</v>
      </c>
      <c r="B1524" s="0" t="n">
        <v>4</v>
      </c>
      <c r="C1524" s="0" t="n">
        <v>5660</v>
      </c>
      <c r="D1524" s="0" t="n">
        <v>206</v>
      </c>
      <c r="E1524" s="0" t="n">
        <v>1</v>
      </c>
      <c r="F1524" s="39" t="s">
        <v>928</v>
      </c>
      <c r="G1524" s="0" t="n">
        <v>48.5</v>
      </c>
      <c r="H1524" s="0" t="n">
        <v>48</v>
      </c>
      <c r="I1524" s="39" t="s">
        <v>109</v>
      </c>
      <c r="J1524" s="0" t="n">
        <v>66</v>
      </c>
      <c r="K1524" s="0" t="n">
        <v>66</v>
      </c>
      <c r="L1524" s="0" t="n">
        <v>140</v>
      </c>
      <c r="P1524" s="0" t="n">
        <v>3.22</v>
      </c>
      <c r="Q1524" s="0" t="n">
        <v>3.61</v>
      </c>
      <c r="R1524" s="0" t="n">
        <v>4130</v>
      </c>
      <c r="S1524" s="0" t="n">
        <v>9264</v>
      </c>
      <c r="T1524" s="0" t="n">
        <v>47.9</v>
      </c>
      <c r="U1524" s="0" t="n">
        <v>847</v>
      </c>
      <c r="V1524" s="0" t="n">
        <v>1</v>
      </c>
      <c r="W1524" s="39" t="n">
        <f aca="false">IF(I1524="Male",0,1)</f>
        <v>1</v>
      </c>
      <c r="X1524" s="39" t="n">
        <f aca="false">IF(OR(I1524="DNB",I1524="Dry DNB"),1,0)</f>
        <v>0</v>
      </c>
      <c r="Y1524" s="39" t="n">
        <f aca="false">MATCH(A1524,DATAS,0)</f>
        <v>1</v>
      </c>
      <c r="Z1524" s="39" t="n">
        <f aca="false">IF(AND(E1524&gt;0,OR(AND(B1524&gt;=1,B1524&lt;=6),B1524=10)),1,0)</f>
        <v>1</v>
      </c>
      <c r="AA1524" s="39" t="n">
        <f aca="false">IF(AND(E1524&gt;0,B1524=10),1,0)</f>
        <v>0</v>
      </c>
      <c r="AB1524" s="0" t="str">
        <f aca="false">IF(AND(C1523=C1524,Y1523=Y1524-1),Z1523,"")</f>
        <v/>
      </c>
      <c r="AC1524" s="0" t="str">
        <f aca="false">IF(AND(C1523=C1524,Y1523=Y1524-1),AA1523,"")</f>
        <v/>
      </c>
      <c r="AD1524" s="0" t="str">
        <f aca="false">IF(Y1524=1,"",IF(AND(Z1524=1,AB1524&lt;&gt;1),1,0))</f>
        <v/>
      </c>
      <c r="AE1524" s="0" t="str">
        <f aca="false">IF(Y1524=1,"",IF(AND(AA1524=1,AC1524&lt;&gt;1),1,0))</f>
        <v/>
      </c>
      <c r="AF1524" s="45" t="str">
        <f aca="false">IF(AND(E1524&gt;0,Y1524&lt;1,NOT(AND(C1525=C1524,Y1525=Y1524+1))),INDEX(DATAS,Y1524+1),"")</f>
        <v/>
      </c>
      <c r="AG1524" s="45" t="str">
        <f aca="false">IF(AND(AA1524=1,Y1524&lt;1),IF(AND(C1525=C1524,Y1525=Y1524+1),IF(AA1525=1,"",INDEX(DATAS,Y1524+1)),INDEX(DATAS,Y1524+1)),"")</f>
        <v/>
      </c>
    </row>
    <row r="1525" customFormat="false" ht="15" hidden="false" customHeight="false" outlineLevel="0" collapsed="false">
      <c r="A1525" s="45" t="n">
        <v>46309</v>
      </c>
      <c r="B1525" s="0" t="n">
        <v>4</v>
      </c>
      <c r="C1525" s="0" t="n">
        <v>5661</v>
      </c>
      <c r="D1525" s="0" t="n">
        <v>171</v>
      </c>
      <c r="E1525" s="0" t="n">
        <v>1</v>
      </c>
      <c r="F1525" s="39" t="s">
        <v>928</v>
      </c>
      <c r="G1525" s="0" t="n">
        <v>41.4</v>
      </c>
      <c r="H1525" s="0" t="n">
        <v>44</v>
      </c>
      <c r="I1525" s="39" t="s">
        <v>146</v>
      </c>
      <c r="J1525" s="0" t="n">
        <v>171</v>
      </c>
      <c r="K1525" s="0" t="n">
        <v>66</v>
      </c>
      <c r="P1525" s="0" t="n">
        <v>3.89</v>
      </c>
      <c r="Q1525" s="0" t="n">
        <v>3.4</v>
      </c>
      <c r="R1525" s="0" t="n">
        <v>3829</v>
      </c>
      <c r="S1525" s="0" t="n">
        <v>8252</v>
      </c>
      <c r="T1525" s="0" t="n">
        <v>43.4</v>
      </c>
      <c r="U1525" s="0" t="n">
        <v>847</v>
      </c>
      <c r="V1525" s="0" t="n">
        <v>3</v>
      </c>
      <c r="W1525" s="39" t="n">
        <f aca="false">IF(I1525="Male",0,1)</f>
        <v>1</v>
      </c>
      <c r="X1525" s="39" t="n">
        <f aca="false">IF(OR(I1525="DNB",I1525="Dry DNB"),1,0)</f>
        <v>0</v>
      </c>
      <c r="Y1525" s="39" t="n">
        <f aca="false">MATCH(A1525,DATAS,0)</f>
        <v>1</v>
      </c>
      <c r="Z1525" s="39" t="n">
        <f aca="false">IF(AND(E1525&gt;0,OR(AND(B1525&gt;=1,B1525&lt;=6),B1525=10)),1,0)</f>
        <v>1</v>
      </c>
      <c r="AA1525" s="39" t="n">
        <f aca="false">IF(AND(E1525&gt;0,B1525=10),1,0)</f>
        <v>0</v>
      </c>
      <c r="AB1525" s="0" t="str">
        <f aca="false">IF(AND(C1524=C1525,Y1524=Y1525-1),Z1524,"")</f>
        <v/>
      </c>
      <c r="AC1525" s="0" t="str">
        <f aca="false">IF(AND(C1524=C1525,Y1524=Y1525-1),AA1524,"")</f>
        <v/>
      </c>
      <c r="AD1525" s="0" t="str">
        <f aca="false">IF(Y1525=1,"",IF(AND(Z1525=1,AB1525&lt;&gt;1),1,0))</f>
        <v/>
      </c>
      <c r="AE1525" s="0" t="str">
        <f aca="false">IF(Y1525=1,"",IF(AND(AA1525=1,AC1525&lt;&gt;1),1,0))</f>
        <v/>
      </c>
      <c r="AF1525" s="45" t="str">
        <f aca="false">IF(AND(E1525&gt;0,Y1525&lt;1,NOT(AND(C1526=C1525,Y1526=Y1525+1))),INDEX(DATAS,Y1525+1),"")</f>
        <v/>
      </c>
      <c r="AG1525" s="45" t="str">
        <f aca="false">IF(AND(AA1525=1,Y1525&lt;1),IF(AND(C1526=C1525,Y1526=Y1525+1),IF(AA1526=1,"",INDEX(DATAS,Y1525+1)),INDEX(DATAS,Y1525+1)),"")</f>
        <v/>
      </c>
    </row>
    <row r="1526" customFormat="false" ht="15" hidden="false" customHeight="false" outlineLevel="0" collapsed="false">
      <c r="A1526" s="45" t="n">
        <v>46309</v>
      </c>
      <c r="B1526" s="0" t="n">
        <v>10</v>
      </c>
      <c r="C1526" s="0" t="n">
        <v>5662</v>
      </c>
      <c r="D1526" s="0" t="n">
        <v>161</v>
      </c>
      <c r="E1526" s="0" t="n">
        <v>1</v>
      </c>
      <c r="F1526" s="39" t="s">
        <v>928</v>
      </c>
      <c r="G1526" s="0" t="n">
        <v>18.1</v>
      </c>
      <c r="H1526" s="0" t="n">
        <v>23</v>
      </c>
      <c r="I1526" s="39" t="s">
        <v>138</v>
      </c>
      <c r="J1526" s="0" t="n">
        <v>161</v>
      </c>
      <c r="K1526" s="0" t="n">
        <v>63</v>
      </c>
      <c r="P1526" s="0" t="n">
        <v>4.17</v>
      </c>
      <c r="Q1526" s="0" t="n">
        <v>3.36</v>
      </c>
      <c r="R1526" s="0" t="n">
        <v>3892</v>
      </c>
      <c r="S1526" s="0" t="n">
        <v>7798</v>
      </c>
      <c r="T1526" s="0" t="n">
        <v>40.95</v>
      </c>
      <c r="U1526" s="0" t="n">
        <v>847</v>
      </c>
      <c r="V1526" s="0" t="n">
        <v>3</v>
      </c>
      <c r="W1526" s="39" t="n">
        <f aca="false">IF(I1526="Male",0,1)</f>
        <v>1</v>
      </c>
      <c r="X1526" s="39" t="n">
        <f aca="false">IF(OR(I1526="DNB",I1526="Dry DNB"),1,0)</f>
        <v>0</v>
      </c>
      <c r="Y1526" s="39" t="n">
        <f aca="false">MATCH(A1526,DATAS,0)</f>
        <v>1</v>
      </c>
      <c r="Z1526" s="39" t="n">
        <f aca="false">IF(AND(E1526&gt;0,OR(AND(B1526&gt;=1,B1526&lt;=6),B1526=10)),1,0)</f>
        <v>1</v>
      </c>
      <c r="AA1526" s="39" t="n">
        <f aca="false">IF(AND(E1526&gt;0,B1526=10),1,0)</f>
        <v>1</v>
      </c>
      <c r="AB1526" s="0" t="str">
        <f aca="false">IF(AND(C1525=C1526,Y1525=Y1526-1),Z1525,"")</f>
        <v/>
      </c>
      <c r="AC1526" s="0" t="str">
        <f aca="false">IF(AND(C1525=C1526,Y1525=Y1526-1),AA1525,"")</f>
        <v/>
      </c>
      <c r="AD1526" s="0" t="str">
        <f aca="false">IF(Y1526=1,"",IF(AND(Z1526=1,AB1526&lt;&gt;1),1,0))</f>
        <v/>
      </c>
      <c r="AE1526" s="0" t="str">
        <f aca="false">IF(Y1526=1,"",IF(AND(AA1526=1,AC1526&lt;&gt;1),1,0))</f>
        <v/>
      </c>
      <c r="AF1526" s="45" t="str">
        <f aca="false">IF(AND(E1526&gt;0,Y1526&lt;1,NOT(AND(C1527=C1526,Y1527=Y1526+1))),INDEX(DATAS,Y1526+1),"")</f>
        <v/>
      </c>
      <c r="AG1526" s="45" t="str">
        <f aca="false">IF(AND(AA1526=1,Y1526&lt;1),IF(AND(C1527=C1526,Y1527=Y1526+1),IF(AA1527=1,"",INDEX(DATAS,Y1526+1)),INDEX(DATAS,Y1526+1)),"")</f>
        <v/>
      </c>
    </row>
    <row r="1527" customFormat="false" ht="15" hidden="false" customHeight="false" outlineLevel="0" collapsed="false">
      <c r="A1527" s="45" t="n">
        <v>46309</v>
      </c>
      <c r="B1527" s="0" t="n">
        <v>4</v>
      </c>
      <c r="C1527" s="0" t="n">
        <v>5663</v>
      </c>
      <c r="D1527" s="0" t="n">
        <v>136</v>
      </c>
      <c r="E1527" s="0" t="n">
        <v>1</v>
      </c>
      <c r="F1527" s="39" t="s">
        <v>928</v>
      </c>
      <c r="G1527" s="0" t="n">
        <v>50.5</v>
      </c>
      <c r="H1527" s="0" t="n">
        <v>50</v>
      </c>
      <c r="I1527" s="39" t="s">
        <v>109</v>
      </c>
      <c r="J1527" s="0" t="n">
        <v>66</v>
      </c>
      <c r="K1527" s="0" t="n">
        <v>66</v>
      </c>
      <c r="L1527" s="0" t="n">
        <v>70</v>
      </c>
      <c r="P1527" s="0" t="n">
        <v>4.48</v>
      </c>
      <c r="Q1527" s="0" t="n">
        <v>3.3</v>
      </c>
      <c r="R1527" s="0" t="n">
        <v>4283</v>
      </c>
      <c r="S1527" s="0" t="n">
        <v>9275</v>
      </c>
      <c r="T1527" s="0" t="n">
        <v>46.65</v>
      </c>
      <c r="U1527" s="0" t="n">
        <v>847</v>
      </c>
      <c r="V1527" s="0" t="n">
        <v>1</v>
      </c>
      <c r="W1527" s="39" t="n">
        <f aca="false">IF(I1527="Male",0,1)</f>
        <v>1</v>
      </c>
      <c r="X1527" s="39" t="n">
        <f aca="false">IF(OR(I1527="DNB",I1527="Dry DNB"),1,0)</f>
        <v>0</v>
      </c>
      <c r="Y1527" s="39" t="n">
        <f aca="false">MATCH(A1527,DATAS,0)</f>
        <v>1</v>
      </c>
      <c r="Z1527" s="39" t="n">
        <f aca="false">IF(AND(E1527&gt;0,OR(AND(B1527&gt;=1,B1527&lt;=6),B1527=10)),1,0)</f>
        <v>1</v>
      </c>
      <c r="AA1527" s="39" t="n">
        <f aca="false">IF(AND(E1527&gt;0,B1527=10),1,0)</f>
        <v>0</v>
      </c>
      <c r="AB1527" s="0" t="str">
        <f aca="false">IF(AND(C1526=C1527,Y1526=Y1527-1),Z1526,"")</f>
        <v/>
      </c>
      <c r="AC1527" s="0" t="str">
        <f aca="false">IF(AND(C1526=C1527,Y1526=Y1527-1),AA1526,"")</f>
        <v/>
      </c>
      <c r="AD1527" s="0" t="str">
        <f aca="false">IF(Y1527=1,"",IF(AND(Z1527=1,AB1527&lt;&gt;1),1,0))</f>
        <v/>
      </c>
      <c r="AE1527" s="0" t="str">
        <f aca="false">IF(Y1527=1,"",IF(AND(AA1527=1,AC1527&lt;&gt;1),1,0))</f>
        <v/>
      </c>
      <c r="AF1527" s="45" t="str">
        <f aca="false">IF(AND(E1527&gt;0,Y1527&lt;1,NOT(AND(C1528=C1527,Y1528=Y1527+1))),INDEX(DATAS,Y1527+1),"")</f>
        <v/>
      </c>
      <c r="AG1527" s="45" t="str">
        <f aca="false">IF(AND(AA1527=1,Y1527&lt;1),IF(AND(C1528=C1527,Y1528=Y1527+1),IF(AA1528=1,"",INDEX(DATAS,Y1527+1)),INDEX(DATAS,Y1527+1)),"")</f>
        <v/>
      </c>
    </row>
    <row r="1528" customFormat="false" ht="15" hidden="false" customHeight="false" outlineLevel="0" collapsed="false">
      <c r="A1528" s="45" t="n">
        <v>46309</v>
      </c>
      <c r="B1528" s="0" t="n">
        <v>4</v>
      </c>
      <c r="C1528" s="0" t="n">
        <v>5664</v>
      </c>
      <c r="D1528" s="0" t="n">
        <v>163</v>
      </c>
      <c r="E1528" s="0" t="n">
        <v>1</v>
      </c>
      <c r="F1528" s="39" t="s">
        <v>928</v>
      </c>
      <c r="G1528" s="0" t="n">
        <v>45.9</v>
      </c>
      <c r="H1528" s="0" t="n">
        <v>42</v>
      </c>
      <c r="I1528" s="39" t="s">
        <v>109</v>
      </c>
      <c r="J1528" s="0" t="n">
        <v>65</v>
      </c>
      <c r="K1528" s="0" t="n">
        <v>65</v>
      </c>
      <c r="L1528" s="0" t="n">
        <v>98</v>
      </c>
      <c r="P1528" s="0" t="n">
        <v>3.43</v>
      </c>
      <c r="Q1528" s="0" t="n">
        <v>3.27</v>
      </c>
      <c r="R1528" s="0" t="n">
        <v>4053</v>
      </c>
      <c r="S1528" s="0" t="n">
        <v>8502</v>
      </c>
      <c r="T1528" s="0" t="n">
        <v>43.15</v>
      </c>
      <c r="U1528" s="0" t="n">
        <v>847</v>
      </c>
      <c r="V1528" s="0" t="n">
        <v>1</v>
      </c>
      <c r="W1528" s="39" t="n">
        <f aca="false">IF(I1528="Male",0,1)</f>
        <v>1</v>
      </c>
      <c r="X1528" s="39" t="n">
        <f aca="false">IF(OR(I1528="DNB",I1528="Dry DNB"),1,0)</f>
        <v>0</v>
      </c>
      <c r="Y1528" s="39" t="n">
        <f aca="false">MATCH(A1528,DATAS,0)</f>
        <v>1</v>
      </c>
      <c r="Z1528" s="39" t="n">
        <f aca="false">IF(AND(E1528&gt;0,OR(AND(B1528&gt;=1,B1528&lt;=6),B1528=10)),1,0)</f>
        <v>1</v>
      </c>
      <c r="AA1528" s="39" t="n">
        <f aca="false">IF(AND(E1528&gt;0,B1528=10),1,0)</f>
        <v>0</v>
      </c>
      <c r="AB1528" s="0" t="str">
        <f aca="false">IF(AND(C1527=C1528,Y1527=Y1528-1),Z1527,"")</f>
        <v/>
      </c>
      <c r="AC1528" s="0" t="str">
        <f aca="false">IF(AND(C1527=C1528,Y1527=Y1528-1),AA1527,"")</f>
        <v/>
      </c>
      <c r="AD1528" s="0" t="str">
        <f aca="false">IF(Y1528=1,"",IF(AND(Z1528=1,AB1528&lt;&gt;1),1,0))</f>
        <v/>
      </c>
      <c r="AE1528" s="0" t="str">
        <f aca="false">IF(Y1528=1,"",IF(AND(AA1528=1,AC1528&lt;&gt;1),1,0))</f>
        <v/>
      </c>
      <c r="AF1528" s="45" t="str">
        <f aca="false">IF(AND(E1528&gt;0,Y1528&lt;1,NOT(AND(C1529=C1528,Y1529=Y1528+1))),INDEX(DATAS,Y1528+1),"")</f>
        <v/>
      </c>
      <c r="AG1528" s="45" t="str">
        <f aca="false">IF(AND(AA1528=1,Y1528&lt;1),IF(AND(C1529=C1528,Y1529=Y1528+1),IF(AA1529=1,"",INDEX(DATAS,Y1528+1)),INDEX(DATAS,Y1528+1)),"")</f>
        <v/>
      </c>
    </row>
    <row r="1529" customFormat="false" ht="15" hidden="false" customHeight="false" outlineLevel="0" collapsed="false">
      <c r="A1529" s="45" t="n">
        <v>46309</v>
      </c>
      <c r="B1529" s="0" t="n">
        <v>4</v>
      </c>
      <c r="C1529" s="0" t="n">
        <v>5665</v>
      </c>
      <c r="D1529" s="0" t="n">
        <v>254</v>
      </c>
      <c r="E1529" s="0" t="n">
        <v>1</v>
      </c>
      <c r="F1529" s="39" t="s">
        <v>928</v>
      </c>
      <c r="G1529" s="0" t="n">
        <v>41.4</v>
      </c>
      <c r="H1529" s="0" t="n">
        <v>41</v>
      </c>
      <c r="I1529" s="39" t="s">
        <v>109</v>
      </c>
      <c r="J1529" s="0" t="n">
        <v>65</v>
      </c>
      <c r="K1529" s="0" t="n">
        <v>65</v>
      </c>
      <c r="L1529" s="0" t="n">
        <v>189</v>
      </c>
      <c r="P1529" s="0" t="n">
        <v>3.95</v>
      </c>
      <c r="Q1529" s="0" t="n">
        <v>3.89</v>
      </c>
      <c r="R1529" s="0" t="n">
        <v>3013</v>
      </c>
      <c r="S1529" s="0" t="n">
        <v>7414</v>
      </c>
      <c r="T1529" s="0" t="n">
        <v>32.2</v>
      </c>
      <c r="U1529" s="0" t="n">
        <v>847</v>
      </c>
      <c r="V1529" s="0" t="n">
        <v>1</v>
      </c>
      <c r="W1529" s="39" t="n">
        <f aca="false">IF(I1529="Male",0,1)</f>
        <v>1</v>
      </c>
      <c r="X1529" s="39" t="n">
        <f aca="false">IF(OR(I1529="DNB",I1529="Dry DNB"),1,0)</f>
        <v>0</v>
      </c>
      <c r="Y1529" s="39" t="n">
        <f aca="false">MATCH(A1529,DATAS,0)</f>
        <v>1</v>
      </c>
      <c r="Z1529" s="39" t="n">
        <f aca="false">IF(AND(E1529&gt;0,OR(AND(B1529&gt;=1,B1529&lt;=6),B1529=10)),1,0)</f>
        <v>1</v>
      </c>
      <c r="AA1529" s="39" t="n">
        <f aca="false">IF(AND(E1529&gt;0,B1529=10),1,0)</f>
        <v>0</v>
      </c>
      <c r="AB1529" s="0" t="str">
        <f aca="false">IF(AND(C1528=C1529,Y1528=Y1529-1),Z1528,"")</f>
        <v/>
      </c>
      <c r="AC1529" s="0" t="str">
        <f aca="false">IF(AND(C1528=C1529,Y1528=Y1529-1),AA1528,"")</f>
        <v/>
      </c>
      <c r="AD1529" s="0" t="str">
        <f aca="false">IF(Y1529=1,"",IF(AND(Z1529=1,AB1529&lt;&gt;1),1,0))</f>
        <v/>
      </c>
      <c r="AE1529" s="0" t="str">
        <f aca="false">IF(Y1529=1,"",IF(AND(AA1529=1,AC1529&lt;&gt;1),1,0))</f>
        <v/>
      </c>
      <c r="AF1529" s="45" t="str">
        <f aca="false">IF(AND(E1529&gt;0,Y1529&lt;1,NOT(AND(C1530=C1529,Y1530=Y1529+1))),INDEX(DATAS,Y1529+1),"")</f>
        <v/>
      </c>
      <c r="AG1529" s="45" t="str">
        <f aca="false">IF(AND(AA1529=1,Y1529&lt;1),IF(AND(C1530=C1529,Y1530=Y1529+1),IF(AA1530=1,"",INDEX(DATAS,Y1529+1)),INDEX(DATAS,Y1529+1)),"")</f>
        <v/>
      </c>
    </row>
    <row r="1530" customFormat="false" ht="15" hidden="false" customHeight="false" outlineLevel="0" collapsed="false">
      <c r="A1530" s="45" t="n">
        <v>46309</v>
      </c>
      <c r="B1530" s="0" t="n">
        <v>4</v>
      </c>
      <c r="C1530" s="0" t="n">
        <v>5666</v>
      </c>
      <c r="D1530" s="0" t="n">
        <v>194</v>
      </c>
      <c r="E1530" s="0" t="n">
        <v>1</v>
      </c>
      <c r="F1530" s="39" t="s">
        <v>928</v>
      </c>
      <c r="G1530" s="0" t="n">
        <v>44</v>
      </c>
      <c r="H1530" s="0" t="n">
        <v>43</v>
      </c>
      <c r="I1530" s="39" t="s">
        <v>109</v>
      </c>
      <c r="J1530" s="0" t="n">
        <v>149</v>
      </c>
      <c r="K1530" s="0" t="n">
        <v>68</v>
      </c>
      <c r="L1530" s="0" t="n">
        <v>45</v>
      </c>
      <c r="P1530" s="0" t="n">
        <v>3.34</v>
      </c>
      <c r="Q1530" s="0" t="n">
        <v>3.62</v>
      </c>
      <c r="R1530" s="0" t="n">
        <v>4217</v>
      </c>
      <c r="S1530" s="0" t="n">
        <v>8803</v>
      </c>
      <c r="T1530" s="0" t="n">
        <v>48.25</v>
      </c>
      <c r="U1530" s="0" t="n">
        <v>847</v>
      </c>
      <c r="V1530" s="0" t="n">
        <v>3</v>
      </c>
      <c r="W1530" s="39" t="n">
        <f aca="false">IF(I1530="Male",0,1)</f>
        <v>1</v>
      </c>
      <c r="X1530" s="39" t="n">
        <f aca="false">IF(OR(I1530="DNB",I1530="Dry DNB"),1,0)</f>
        <v>0</v>
      </c>
      <c r="Y1530" s="39" t="n">
        <f aca="false">MATCH(A1530,DATAS,0)</f>
        <v>1</v>
      </c>
      <c r="Z1530" s="39" t="n">
        <f aca="false">IF(AND(E1530&gt;0,OR(AND(B1530&gt;=1,B1530&lt;=6),B1530=10)),1,0)</f>
        <v>1</v>
      </c>
      <c r="AA1530" s="39" t="n">
        <f aca="false">IF(AND(E1530&gt;0,B1530=10),1,0)</f>
        <v>0</v>
      </c>
      <c r="AB1530" s="0" t="str">
        <f aca="false">IF(AND(C1529=C1530,Y1529=Y1530-1),Z1529,"")</f>
        <v/>
      </c>
      <c r="AC1530" s="0" t="str">
        <f aca="false">IF(AND(C1529=C1530,Y1529=Y1530-1),AA1529,"")</f>
        <v/>
      </c>
      <c r="AD1530" s="0" t="str">
        <f aca="false">IF(Y1530=1,"",IF(AND(Z1530=1,AB1530&lt;&gt;1),1,0))</f>
        <v/>
      </c>
      <c r="AE1530" s="0" t="str">
        <f aca="false">IF(Y1530=1,"",IF(AND(AA1530=1,AC1530&lt;&gt;1),1,0))</f>
        <v/>
      </c>
      <c r="AF1530" s="45" t="str">
        <f aca="false">IF(AND(E1530&gt;0,Y1530&lt;1,NOT(AND(C1531=C1530,Y1531=Y1530+1))),INDEX(DATAS,Y1530+1),"")</f>
        <v/>
      </c>
      <c r="AG1530" s="45" t="str">
        <f aca="false">IF(AND(AA1530=1,Y1530&lt;1),IF(AND(C1531=C1530,Y1531=Y1530+1),IF(AA1531=1,"",INDEX(DATAS,Y1530+1)),INDEX(DATAS,Y1530+1)),"")</f>
        <v/>
      </c>
    </row>
    <row r="1531" customFormat="false" ht="15" hidden="false" customHeight="false" outlineLevel="0" collapsed="false">
      <c r="A1531" s="45" t="n">
        <v>46309</v>
      </c>
      <c r="B1531" s="0" t="n">
        <v>4</v>
      </c>
      <c r="C1531" s="0" t="n">
        <v>5668</v>
      </c>
      <c r="D1531" s="0" t="n">
        <v>167</v>
      </c>
      <c r="E1531" s="0" t="n">
        <v>1</v>
      </c>
      <c r="F1531" s="39" t="s">
        <v>929</v>
      </c>
      <c r="G1531" s="0" t="n">
        <v>47.6</v>
      </c>
      <c r="H1531" s="0" t="n">
        <v>46</v>
      </c>
      <c r="I1531" s="39" t="s">
        <v>109</v>
      </c>
      <c r="J1531" s="0" t="n">
        <v>62</v>
      </c>
      <c r="K1531" s="0" t="n">
        <v>62</v>
      </c>
      <c r="L1531" s="0" t="n">
        <v>105</v>
      </c>
      <c r="P1531" s="0" t="n">
        <v>3.83</v>
      </c>
      <c r="Q1531" s="0" t="n">
        <v>3.31</v>
      </c>
      <c r="R1531" s="0" t="n">
        <v>4445</v>
      </c>
      <c r="S1531" s="0" t="n">
        <v>9135</v>
      </c>
      <c r="T1531" s="0" t="n">
        <v>46.05</v>
      </c>
      <c r="U1531" s="0" t="n">
        <v>846</v>
      </c>
      <c r="V1531" s="0" t="n">
        <v>1</v>
      </c>
      <c r="W1531" s="39" t="n">
        <f aca="false">IF(I1531="Male",0,1)</f>
        <v>1</v>
      </c>
      <c r="X1531" s="39" t="n">
        <f aca="false">IF(OR(I1531="DNB",I1531="Dry DNB"),1,0)</f>
        <v>0</v>
      </c>
      <c r="Y1531" s="39" t="n">
        <f aca="false">MATCH(A1531,DATAS,0)</f>
        <v>1</v>
      </c>
      <c r="Z1531" s="39" t="n">
        <f aca="false">IF(AND(E1531&gt;0,OR(AND(B1531&gt;=1,B1531&lt;=6),B1531=10)),1,0)</f>
        <v>1</v>
      </c>
      <c r="AA1531" s="39" t="n">
        <f aca="false">IF(AND(E1531&gt;0,B1531=10),1,0)</f>
        <v>0</v>
      </c>
      <c r="AB1531" s="0" t="str">
        <f aca="false">IF(AND(C1530=C1531,Y1530=Y1531-1),Z1530,"")</f>
        <v/>
      </c>
      <c r="AC1531" s="0" t="str">
        <f aca="false">IF(AND(C1530=C1531,Y1530=Y1531-1),AA1530,"")</f>
        <v/>
      </c>
      <c r="AD1531" s="0" t="str">
        <f aca="false">IF(Y1531=1,"",IF(AND(Z1531=1,AB1531&lt;&gt;1),1,0))</f>
        <v/>
      </c>
      <c r="AE1531" s="0" t="str">
        <f aca="false">IF(Y1531=1,"",IF(AND(AA1531=1,AC1531&lt;&gt;1),1,0))</f>
        <v/>
      </c>
      <c r="AF1531" s="45" t="str">
        <f aca="false">IF(AND(E1531&gt;0,Y1531&lt;1,NOT(AND(C1532=C1531,Y1532=Y1531+1))),INDEX(DATAS,Y1531+1),"")</f>
        <v/>
      </c>
      <c r="AG1531" s="45" t="str">
        <f aca="false">IF(AND(AA1531=1,Y1531&lt;1),IF(AND(C1532=C1531,Y1532=Y1531+1),IF(AA1532=1,"",INDEX(DATAS,Y1531+1)),INDEX(DATAS,Y1531+1)),"")</f>
        <v/>
      </c>
    </row>
    <row r="1532" customFormat="false" ht="15" hidden="false" customHeight="false" outlineLevel="0" collapsed="false">
      <c r="A1532" s="45" t="n">
        <v>46309</v>
      </c>
      <c r="B1532" s="0" t="n">
        <v>1</v>
      </c>
      <c r="C1532" s="0" t="n">
        <v>5669</v>
      </c>
      <c r="D1532" s="0" t="n">
        <v>104</v>
      </c>
      <c r="E1532" s="0" t="n">
        <v>1</v>
      </c>
      <c r="F1532" s="39" t="s">
        <v>929</v>
      </c>
      <c r="G1532" s="0" t="n">
        <v>31.5</v>
      </c>
      <c r="H1532" s="0" t="n">
        <v>41</v>
      </c>
      <c r="I1532" s="39" t="s">
        <v>146</v>
      </c>
      <c r="J1532" s="0" t="n">
        <v>104</v>
      </c>
      <c r="K1532" s="0" t="n">
        <v>69</v>
      </c>
      <c r="P1532" s="0" t="n">
        <v>4.3</v>
      </c>
      <c r="Q1532" s="0" t="n">
        <v>3.15</v>
      </c>
      <c r="R1532" s="0" t="n">
        <v>4272</v>
      </c>
      <c r="S1532" s="0" t="n">
        <v>8594</v>
      </c>
      <c r="T1532" s="0" t="n">
        <v>47.1</v>
      </c>
      <c r="U1532" s="0" t="n">
        <v>846</v>
      </c>
      <c r="V1532" s="0" t="n">
        <v>1</v>
      </c>
      <c r="W1532" s="39" t="n">
        <f aca="false">IF(I1532="Male",0,1)</f>
        <v>1</v>
      </c>
      <c r="X1532" s="39" t="n">
        <f aca="false">IF(OR(I1532="DNB",I1532="Dry DNB"),1,0)</f>
        <v>0</v>
      </c>
      <c r="Y1532" s="39" t="n">
        <f aca="false">MATCH(A1532,DATAS,0)</f>
        <v>1</v>
      </c>
      <c r="Z1532" s="39" t="n">
        <f aca="false">IF(AND(E1532&gt;0,OR(AND(B1532&gt;=1,B1532&lt;=6),B1532=10)),1,0)</f>
        <v>1</v>
      </c>
      <c r="AA1532" s="39" t="n">
        <f aca="false">IF(AND(E1532&gt;0,B1532=10),1,0)</f>
        <v>0</v>
      </c>
      <c r="AB1532" s="0" t="str">
        <f aca="false">IF(AND(C1531=C1532,Y1531=Y1532-1),Z1531,"")</f>
        <v/>
      </c>
      <c r="AC1532" s="0" t="str">
        <f aca="false">IF(AND(C1531=C1532,Y1531=Y1532-1),AA1531,"")</f>
        <v/>
      </c>
      <c r="AD1532" s="0" t="str">
        <f aca="false">IF(Y1532=1,"",IF(AND(Z1532=1,AB1532&lt;&gt;1),1,0))</f>
        <v/>
      </c>
      <c r="AE1532" s="0" t="str">
        <f aca="false">IF(Y1532=1,"",IF(AND(AA1532=1,AC1532&lt;&gt;1),1,0))</f>
        <v/>
      </c>
      <c r="AF1532" s="45" t="str">
        <f aca="false">IF(AND(E1532&gt;0,Y1532&lt;1,NOT(AND(C1533=C1532,Y1533=Y1532+1))),INDEX(DATAS,Y1532+1),"")</f>
        <v/>
      </c>
      <c r="AG1532" s="45" t="str">
        <f aca="false">IF(AND(AA1532=1,Y1532&lt;1),IF(AND(C1533=C1532,Y1533=Y1532+1),IF(AA1533=1,"",INDEX(DATAS,Y1532+1)),INDEX(DATAS,Y1532+1)),"")</f>
        <v/>
      </c>
    </row>
    <row r="1533" customFormat="false" ht="15" hidden="false" customHeight="false" outlineLevel="0" collapsed="false">
      <c r="A1533" s="45" t="n">
        <v>46309</v>
      </c>
      <c r="B1533" s="0" t="n">
        <v>1</v>
      </c>
      <c r="C1533" s="0" t="n">
        <v>5670</v>
      </c>
      <c r="D1533" s="0" t="n">
        <v>94</v>
      </c>
      <c r="E1533" s="0" t="n">
        <v>1</v>
      </c>
      <c r="F1533" s="39" t="s">
        <v>929</v>
      </c>
      <c r="G1533" s="0" t="n">
        <v>51.5</v>
      </c>
      <c r="H1533" s="0" t="n">
        <v>52</v>
      </c>
      <c r="I1533" s="39" t="s">
        <v>138</v>
      </c>
      <c r="J1533" s="0" t="n">
        <v>94</v>
      </c>
      <c r="K1533" s="0" t="n">
        <v>77</v>
      </c>
      <c r="P1533" s="0" t="n">
        <v>2.83</v>
      </c>
      <c r="Q1533" s="0" t="n">
        <v>2.99</v>
      </c>
      <c r="R1533" s="0" t="n">
        <v>4729</v>
      </c>
      <c r="S1533" s="0" t="n">
        <v>9506</v>
      </c>
      <c r="T1533" s="0" t="n">
        <v>48.9</v>
      </c>
      <c r="U1533" s="0" t="n">
        <v>846</v>
      </c>
      <c r="V1533" s="0" t="n">
        <v>1</v>
      </c>
      <c r="W1533" s="39" t="n">
        <f aca="false">IF(I1533="Male",0,1)</f>
        <v>1</v>
      </c>
      <c r="X1533" s="39" t="n">
        <f aca="false">IF(OR(I1533="DNB",I1533="Dry DNB"),1,0)</f>
        <v>0</v>
      </c>
      <c r="Y1533" s="39" t="n">
        <f aca="false">MATCH(A1533,DATAS,0)</f>
        <v>1</v>
      </c>
      <c r="Z1533" s="39" t="n">
        <f aca="false">IF(AND(E1533&gt;0,OR(AND(B1533&gt;=1,B1533&lt;=6),B1533=10)),1,0)</f>
        <v>1</v>
      </c>
      <c r="AA1533" s="39" t="n">
        <f aca="false">IF(AND(E1533&gt;0,B1533=10),1,0)</f>
        <v>0</v>
      </c>
      <c r="AB1533" s="0" t="str">
        <f aca="false">IF(AND(C1532=C1533,Y1532=Y1533-1),Z1532,"")</f>
        <v/>
      </c>
      <c r="AC1533" s="0" t="str">
        <f aca="false">IF(AND(C1532=C1533,Y1532=Y1533-1),AA1532,"")</f>
        <v/>
      </c>
      <c r="AD1533" s="0" t="str">
        <f aca="false">IF(Y1533=1,"",IF(AND(Z1533=1,AB1533&lt;&gt;1),1,0))</f>
        <v/>
      </c>
      <c r="AE1533" s="0" t="str">
        <f aca="false">IF(Y1533=1,"",IF(AND(AA1533=1,AC1533&lt;&gt;1),1,0))</f>
        <v/>
      </c>
      <c r="AF1533" s="45" t="str">
        <f aca="false">IF(AND(E1533&gt;0,Y1533&lt;1,NOT(AND(C1534=C1533,Y1534=Y1533+1))),INDEX(DATAS,Y1533+1),"")</f>
        <v/>
      </c>
      <c r="AG1533" s="45" t="str">
        <f aca="false">IF(AND(AA1533=1,Y1533&lt;1),IF(AND(C1534=C1533,Y1534=Y1533+1),IF(AA1534=1,"",INDEX(DATAS,Y1533+1)),INDEX(DATAS,Y1533+1)),"")</f>
        <v/>
      </c>
    </row>
    <row r="1534" customFormat="false" ht="15" hidden="false" customHeight="false" outlineLevel="0" collapsed="false">
      <c r="A1534" s="45" t="n">
        <v>46309</v>
      </c>
      <c r="B1534" s="0" t="n">
        <v>4</v>
      </c>
      <c r="C1534" s="0" t="n">
        <v>5672</v>
      </c>
      <c r="D1534" s="0" t="n">
        <v>63</v>
      </c>
      <c r="E1534" s="0" t="n">
        <v>1</v>
      </c>
      <c r="F1534" s="39" t="s">
        <v>929</v>
      </c>
      <c r="G1534" s="0" t="n">
        <v>44.2</v>
      </c>
      <c r="H1534" s="0" t="n">
        <v>45</v>
      </c>
      <c r="I1534" s="39" t="s">
        <v>118</v>
      </c>
      <c r="J1534" s="0" t="n">
        <v>63</v>
      </c>
      <c r="P1534" s="0" t="n">
        <v>3.85</v>
      </c>
      <c r="Q1534" s="0" t="n">
        <v>2.93</v>
      </c>
      <c r="R1534" s="0" t="n">
        <v>4375</v>
      </c>
      <c r="S1534" s="0" t="n">
        <v>8794</v>
      </c>
      <c r="U1534" s="0" t="n">
        <v>846</v>
      </c>
      <c r="V1534" s="0" t="n">
        <v>0</v>
      </c>
      <c r="W1534" s="39" t="n">
        <f aca="false">IF(I1534="Male",0,1)</f>
        <v>1</v>
      </c>
      <c r="X1534" s="39" t="n">
        <f aca="false">IF(OR(I1534="DNB",I1534="Dry DNB"),1,0)</f>
        <v>0</v>
      </c>
      <c r="Y1534" s="39" t="n">
        <f aca="false">MATCH(A1534,DATAS,0)</f>
        <v>1</v>
      </c>
      <c r="Z1534" s="39" t="n">
        <f aca="false">IF(AND(E1534&gt;0,OR(AND(B1534&gt;=1,B1534&lt;=6),B1534=10)),1,0)</f>
        <v>1</v>
      </c>
      <c r="AA1534" s="39" t="n">
        <f aca="false">IF(AND(E1534&gt;0,B1534=10),1,0)</f>
        <v>0</v>
      </c>
      <c r="AB1534" s="0" t="str">
        <f aca="false">IF(AND(C1533=C1534,Y1533=Y1534-1),Z1533,"")</f>
        <v/>
      </c>
      <c r="AC1534" s="0" t="str">
        <f aca="false">IF(AND(C1533=C1534,Y1533=Y1534-1),AA1533,"")</f>
        <v/>
      </c>
      <c r="AD1534" s="0" t="str">
        <f aca="false">IF(Y1534=1,"",IF(AND(Z1534=1,AB1534&lt;&gt;1),1,0))</f>
        <v/>
      </c>
      <c r="AE1534" s="0" t="str">
        <f aca="false">IF(Y1534=1,"",IF(AND(AA1534=1,AC1534&lt;&gt;1),1,0))</f>
        <v/>
      </c>
      <c r="AF1534" s="45" t="str">
        <f aca="false">IF(AND(E1534&gt;0,Y1534&lt;1,NOT(AND(C1535=C1534,Y1535=Y1534+1))),INDEX(DATAS,Y1534+1),"")</f>
        <v/>
      </c>
      <c r="AG1534" s="45" t="str">
        <f aca="false">IF(AND(AA1534=1,Y1534&lt;1),IF(AND(C1535=C1534,Y1535=Y1534+1),IF(AA1535=1,"",INDEX(DATAS,Y1534+1)),INDEX(DATAS,Y1534+1)),"")</f>
        <v/>
      </c>
    </row>
    <row r="1535" customFormat="false" ht="15" hidden="false" customHeight="false" outlineLevel="0" collapsed="false">
      <c r="A1535" s="45" t="n">
        <v>46309</v>
      </c>
      <c r="B1535" s="0" t="n">
        <v>4</v>
      </c>
      <c r="C1535" s="0" t="n">
        <v>5673</v>
      </c>
      <c r="D1535" s="0" t="n">
        <v>164</v>
      </c>
      <c r="E1535" s="0" t="n">
        <v>1</v>
      </c>
      <c r="F1535" s="39" t="s">
        <v>930</v>
      </c>
      <c r="G1535" s="0" t="n">
        <v>49.1</v>
      </c>
      <c r="H1535" s="0" t="n">
        <v>48</v>
      </c>
      <c r="I1535" s="39" t="s">
        <v>138</v>
      </c>
      <c r="J1535" s="0" t="n">
        <v>164</v>
      </c>
      <c r="K1535" s="0" t="n">
        <v>66</v>
      </c>
      <c r="P1535" s="0" t="n">
        <v>3.5</v>
      </c>
      <c r="Q1535" s="0" t="n">
        <v>3.19</v>
      </c>
      <c r="R1535" s="0" t="n">
        <v>4339</v>
      </c>
      <c r="S1535" s="0" t="n">
        <v>9266</v>
      </c>
      <c r="T1535" s="0" t="n">
        <v>47.25</v>
      </c>
      <c r="U1535" s="0" t="n">
        <v>845</v>
      </c>
      <c r="V1535" s="0" t="n">
        <v>4</v>
      </c>
      <c r="W1535" s="39" t="n">
        <f aca="false">IF(I1535="Male",0,1)</f>
        <v>1</v>
      </c>
      <c r="X1535" s="39" t="n">
        <f aca="false">IF(OR(I1535="DNB",I1535="Dry DNB"),1,0)</f>
        <v>0</v>
      </c>
      <c r="Y1535" s="39" t="n">
        <f aca="false">MATCH(A1535,DATAS,0)</f>
        <v>1</v>
      </c>
      <c r="Z1535" s="39" t="n">
        <f aca="false">IF(AND(E1535&gt;0,OR(AND(B1535&gt;=1,B1535&lt;=6),B1535=10)),1,0)</f>
        <v>1</v>
      </c>
      <c r="AA1535" s="39" t="n">
        <f aca="false">IF(AND(E1535&gt;0,B1535=10),1,0)</f>
        <v>0</v>
      </c>
      <c r="AB1535" s="0" t="str">
        <f aca="false">IF(AND(C1534=C1535,Y1534=Y1535-1),Z1534,"")</f>
        <v/>
      </c>
      <c r="AC1535" s="0" t="str">
        <f aca="false">IF(AND(C1534=C1535,Y1534=Y1535-1),AA1534,"")</f>
        <v/>
      </c>
      <c r="AD1535" s="0" t="str">
        <f aca="false">IF(Y1535=1,"",IF(AND(Z1535=1,AB1535&lt;&gt;1),1,0))</f>
        <v/>
      </c>
      <c r="AE1535" s="0" t="str">
        <f aca="false">IF(Y1535=1,"",IF(AND(AA1535=1,AC1535&lt;&gt;1),1,0))</f>
        <v/>
      </c>
      <c r="AF1535" s="45" t="str">
        <f aca="false">IF(AND(E1535&gt;0,Y1535&lt;1,NOT(AND(C1536=C1535,Y1536=Y1535+1))),INDEX(DATAS,Y1535+1),"")</f>
        <v/>
      </c>
      <c r="AG1535" s="45" t="str">
        <f aca="false">IF(AND(AA1535=1,Y1535&lt;1),IF(AND(C1536=C1535,Y1536=Y1535+1),IF(AA1536=1,"",INDEX(DATAS,Y1535+1)),INDEX(DATAS,Y1535+1)),"")</f>
        <v/>
      </c>
    </row>
    <row r="1536" customFormat="false" ht="15" hidden="false" customHeight="false" outlineLevel="0" collapsed="false">
      <c r="A1536" s="45" t="n">
        <v>46309</v>
      </c>
      <c r="B1536" s="0" t="n">
        <v>4</v>
      </c>
      <c r="C1536" s="0" t="n">
        <v>5674</v>
      </c>
      <c r="D1536" s="0" t="n">
        <v>271</v>
      </c>
      <c r="E1536" s="0" t="n">
        <v>1</v>
      </c>
      <c r="F1536" s="39" t="s">
        <v>930</v>
      </c>
      <c r="G1536" s="0" t="n">
        <v>30.8</v>
      </c>
      <c r="H1536" s="0" t="n">
        <v>32</v>
      </c>
      <c r="I1536" s="39" t="s">
        <v>109</v>
      </c>
      <c r="J1536" s="0" t="n">
        <v>68</v>
      </c>
      <c r="K1536" s="0" t="n">
        <v>75</v>
      </c>
      <c r="L1536" s="0" t="n">
        <v>203</v>
      </c>
      <c r="P1536" s="0" t="n">
        <v>3.98</v>
      </c>
      <c r="Q1536" s="0" t="n">
        <v>3.84</v>
      </c>
      <c r="R1536" s="0" t="n">
        <v>2149</v>
      </c>
      <c r="S1536" s="0" t="n">
        <v>5177</v>
      </c>
      <c r="T1536" s="0" t="n">
        <v>23.45</v>
      </c>
      <c r="U1536" s="0" t="n">
        <v>845</v>
      </c>
      <c r="V1536" s="0" t="n">
        <v>1</v>
      </c>
      <c r="W1536" s="39" t="n">
        <f aca="false">IF(I1536="Male",0,1)</f>
        <v>1</v>
      </c>
      <c r="X1536" s="39" t="n">
        <f aca="false">IF(OR(I1536="DNB",I1536="Dry DNB"),1,0)</f>
        <v>0</v>
      </c>
      <c r="Y1536" s="39" t="n">
        <f aca="false">MATCH(A1536,DATAS,0)</f>
        <v>1</v>
      </c>
      <c r="Z1536" s="39" t="n">
        <f aca="false">IF(AND(E1536&gt;0,OR(AND(B1536&gt;=1,B1536&lt;=6),B1536=10)),1,0)</f>
        <v>1</v>
      </c>
      <c r="AA1536" s="39" t="n">
        <f aca="false">IF(AND(E1536&gt;0,B1536=10),1,0)</f>
        <v>0</v>
      </c>
      <c r="AB1536" s="0" t="str">
        <f aca="false">IF(AND(C1535=C1536,Y1535=Y1536-1),Z1535,"")</f>
        <v/>
      </c>
      <c r="AC1536" s="0" t="str">
        <f aca="false">IF(AND(C1535=C1536,Y1535=Y1536-1),AA1535,"")</f>
        <v/>
      </c>
      <c r="AD1536" s="0" t="str">
        <f aca="false">IF(Y1536=1,"",IF(AND(Z1536=1,AB1536&lt;&gt;1),1,0))</f>
        <v/>
      </c>
      <c r="AE1536" s="0" t="str">
        <f aca="false">IF(Y1536=1,"",IF(AND(AA1536=1,AC1536&lt;&gt;1),1,0))</f>
        <v/>
      </c>
      <c r="AF1536" s="45" t="str">
        <f aca="false">IF(AND(E1536&gt;0,Y1536&lt;1,NOT(AND(C1537=C1536,Y1537=Y1536+1))),INDEX(DATAS,Y1536+1),"")</f>
        <v/>
      </c>
      <c r="AG1536" s="45" t="str">
        <f aca="false">IF(AND(AA1536=1,Y1536&lt;1),IF(AND(C1537=C1536,Y1537=Y1536+1),IF(AA1537=1,"",INDEX(DATAS,Y1536+1)),INDEX(DATAS,Y1536+1)),"")</f>
        <v/>
      </c>
    </row>
    <row r="1537" customFormat="false" ht="15" hidden="false" customHeight="false" outlineLevel="0" collapsed="false">
      <c r="A1537" s="45" t="n">
        <v>46309</v>
      </c>
      <c r="B1537" s="0" t="n">
        <v>4</v>
      </c>
      <c r="C1537" s="0" t="n">
        <v>5676</v>
      </c>
      <c r="D1537" s="0" t="n">
        <v>207</v>
      </c>
      <c r="E1537" s="0" t="n">
        <v>1</v>
      </c>
      <c r="F1537" s="39" t="s">
        <v>930</v>
      </c>
      <c r="G1537" s="0" t="n">
        <v>45.4</v>
      </c>
      <c r="H1537" s="0" t="n">
        <v>44</v>
      </c>
      <c r="I1537" s="39" t="s">
        <v>109</v>
      </c>
      <c r="J1537" s="0" t="n">
        <v>88</v>
      </c>
      <c r="K1537" s="0" t="n">
        <v>67</v>
      </c>
      <c r="L1537" s="0" t="n">
        <v>119</v>
      </c>
      <c r="P1537" s="0" t="n">
        <v>3.59</v>
      </c>
      <c r="Q1537" s="0" t="n">
        <v>3.72</v>
      </c>
      <c r="R1537" s="0" t="n">
        <v>3849</v>
      </c>
      <c r="S1537" s="0" t="n">
        <v>8904</v>
      </c>
      <c r="T1537" s="0" t="n">
        <v>44</v>
      </c>
      <c r="U1537" s="0" t="n">
        <v>845</v>
      </c>
      <c r="V1537" s="0" t="n">
        <v>2</v>
      </c>
      <c r="W1537" s="39" t="n">
        <f aca="false">IF(I1537="Male",0,1)</f>
        <v>1</v>
      </c>
      <c r="X1537" s="39" t="n">
        <f aca="false">IF(OR(I1537="DNB",I1537="Dry DNB"),1,0)</f>
        <v>0</v>
      </c>
      <c r="Y1537" s="39" t="n">
        <f aca="false">MATCH(A1537,DATAS,0)</f>
        <v>1</v>
      </c>
      <c r="Z1537" s="39" t="n">
        <f aca="false">IF(AND(E1537&gt;0,OR(AND(B1537&gt;=1,B1537&lt;=6),B1537=10)),1,0)</f>
        <v>1</v>
      </c>
      <c r="AA1537" s="39" t="n">
        <f aca="false">IF(AND(E1537&gt;0,B1537=10),1,0)</f>
        <v>0</v>
      </c>
      <c r="AB1537" s="0" t="str">
        <f aca="false">IF(AND(C1536=C1537,Y1536=Y1537-1),Z1536,"")</f>
        <v/>
      </c>
      <c r="AC1537" s="0" t="str">
        <f aca="false">IF(AND(C1536=C1537,Y1536=Y1537-1),AA1536,"")</f>
        <v/>
      </c>
      <c r="AD1537" s="0" t="str">
        <f aca="false">IF(Y1537=1,"",IF(AND(Z1537=1,AB1537&lt;&gt;1),1,0))</f>
        <v/>
      </c>
      <c r="AE1537" s="0" t="str">
        <f aca="false">IF(Y1537=1,"",IF(AND(AA1537=1,AC1537&lt;&gt;1),1,0))</f>
        <v/>
      </c>
      <c r="AF1537" s="45" t="str">
        <f aca="false">IF(AND(E1537&gt;0,Y1537&lt;1,NOT(AND(C1538=C1537,Y1538=Y1537+1))),INDEX(DATAS,Y1537+1),"")</f>
        <v/>
      </c>
      <c r="AG1537" s="45" t="str">
        <f aca="false">IF(AND(AA1537=1,Y1537&lt;1),IF(AND(C1538=C1537,Y1538=Y1537+1),IF(AA1538=1,"",INDEX(DATAS,Y1537+1)),INDEX(DATAS,Y1537+1)),"")</f>
        <v/>
      </c>
    </row>
    <row r="1538" customFormat="false" ht="15" hidden="false" customHeight="false" outlineLevel="0" collapsed="false">
      <c r="A1538" s="45" t="n">
        <v>46309</v>
      </c>
      <c r="B1538" s="0" t="n">
        <v>4</v>
      </c>
      <c r="C1538" s="0" t="n">
        <v>5677</v>
      </c>
      <c r="D1538" s="0" t="n">
        <v>120</v>
      </c>
      <c r="E1538" s="0" t="n">
        <v>1</v>
      </c>
      <c r="F1538" s="39" t="s">
        <v>930</v>
      </c>
      <c r="G1538" s="0" t="n">
        <v>49.7</v>
      </c>
      <c r="H1538" s="0" t="n">
        <v>48</v>
      </c>
      <c r="I1538" s="39" t="s">
        <v>109</v>
      </c>
      <c r="J1538" s="0" t="n">
        <v>71</v>
      </c>
      <c r="K1538" s="0" t="n">
        <v>64</v>
      </c>
      <c r="L1538" s="0" t="n">
        <v>49</v>
      </c>
      <c r="P1538" s="0" t="n">
        <v>3.59</v>
      </c>
      <c r="Q1538" s="0" t="n">
        <v>2.81</v>
      </c>
      <c r="R1538" s="0" t="n">
        <v>4626</v>
      </c>
      <c r="S1538" s="0" t="n">
        <v>9530</v>
      </c>
      <c r="T1538" s="0" t="n">
        <v>47.25</v>
      </c>
      <c r="U1538" s="0" t="n">
        <v>845</v>
      </c>
      <c r="V1538" s="0" t="n">
        <v>2</v>
      </c>
      <c r="W1538" s="39" t="n">
        <f aca="false">IF(I1538="Male",0,1)</f>
        <v>1</v>
      </c>
      <c r="X1538" s="39" t="n">
        <f aca="false">IF(OR(I1538="DNB",I1538="Dry DNB"),1,0)</f>
        <v>0</v>
      </c>
      <c r="Y1538" s="39" t="n">
        <f aca="false">MATCH(A1538,DATAS,0)</f>
        <v>1</v>
      </c>
      <c r="Z1538" s="39" t="n">
        <f aca="false">IF(AND(E1538&gt;0,OR(AND(B1538&gt;=1,B1538&lt;=6),B1538=10)),1,0)</f>
        <v>1</v>
      </c>
      <c r="AA1538" s="39" t="n">
        <f aca="false">IF(AND(E1538&gt;0,B1538=10),1,0)</f>
        <v>0</v>
      </c>
      <c r="AB1538" s="0" t="str">
        <f aca="false">IF(AND(C1537=C1538,Y1537=Y1538-1),Z1537,"")</f>
        <v/>
      </c>
      <c r="AC1538" s="0" t="str">
        <f aca="false">IF(AND(C1537=C1538,Y1537=Y1538-1),AA1537,"")</f>
        <v/>
      </c>
      <c r="AD1538" s="0" t="str">
        <f aca="false">IF(Y1538=1,"",IF(AND(Z1538=1,AB1538&lt;&gt;1),1,0))</f>
        <v/>
      </c>
      <c r="AE1538" s="0" t="str">
        <f aca="false">IF(Y1538=1,"",IF(AND(AA1538=1,AC1538&lt;&gt;1),1,0))</f>
        <v/>
      </c>
      <c r="AF1538" s="45" t="str">
        <f aca="false">IF(AND(E1538&gt;0,Y1538&lt;1,NOT(AND(C1539=C1538,Y1539=Y1538+1))),INDEX(DATAS,Y1538+1),"")</f>
        <v/>
      </c>
      <c r="AG1538" s="45" t="str">
        <f aca="false">IF(AND(AA1538=1,Y1538&lt;1),IF(AND(C1539=C1538,Y1539=Y1538+1),IF(AA1539=1,"",INDEX(DATAS,Y1538+1)),INDEX(DATAS,Y1538+1)),"")</f>
        <v/>
      </c>
    </row>
    <row r="1539" customFormat="false" ht="15" hidden="false" customHeight="false" outlineLevel="0" collapsed="false">
      <c r="A1539" s="45" t="n">
        <v>46309</v>
      </c>
      <c r="B1539" s="0" t="n">
        <v>4</v>
      </c>
      <c r="C1539" s="0" t="n">
        <v>5678</v>
      </c>
      <c r="D1539" s="0" t="n">
        <v>210</v>
      </c>
      <c r="E1539" s="0" t="n">
        <v>1</v>
      </c>
      <c r="F1539" s="39" t="s">
        <v>930</v>
      </c>
      <c r="G1539" s="0" t="n">
        <v>45.8</v>
      </c>
      <c r="H1539" s="0" t="n">
        <v>47</v>
      </c>
      <c r="I1539" s="39" t="s">
        <v>109</v>
      </c>
      <c r="J1539" s="0" t="n">
        <v>154</v>
      </c>
      <c r="K1539" s="0" t="n">
        <v>63</v>
      </c>
      <c r="L1539" s="0" t="n">
        <v>56</v>
      </c>
      <c r="P1539" s="0" t="n">
        <v>3.35</v>
      </c>
      <c r="Q1539" s="0" t="n">
        <v>3.42</v>
      </c>
      <c r="R1539" s="0" t="n">
        <v>4206</v>
      </c>
      <c r="S1539" s="0" t="n">
        <v>9585</v>
      </c>
      <c r="T1539" s="0" t="n">
        <v>50.15</v>
      </c>
      <c r="U1539" s="0" t="n">
        <v>845</v>
      </c>
      <c r="V1539" s="0" t="n">
        <v>3</v>
      </c>
      <c r="W1539" s="39" t="n">
        <f aca="false">IF(I1539="Male",0,1)</f>
        <v>1</v>
      </c>
      <c r="X1539" s="39" t="n">
        <f aca="false">IF(OR(I1539="DNB",I1539="Dry DNB"),1,0)</f>
        <v>0</v>
      </c>
      <c r="Y1539" s="39" t="n">
        <f aca="false">MATCH(A1539,DATAS,0)</f>
        <v>1</v>
      </c>
      <c r="Z1539" s="39" t="n">
        <f aca="false">IF(AND(E1539&gt;0,OR(AND(B1539&gt;=1,B1539&lt;=6),B1539=10)),1,0)</f>
        <v>1</v>
      </c>
      <c r="AA1539" s="39" t="n">
        <f aca="false">IF(AND(E1539&gt;0,B1539=10),1,0)</f>
        <v>0</v>
      </c>
      <c r="AB1539" s="0" t="str">
        <f aca="false">IF(AND(C1538=C1539,Y1538=Y1539-1),Z1538,"")</f>
        <v/>
      </c>
      <c r="AC1539" s="0" t="str">
        <f aca="false">IF(AND(C1538=C1539,Y1538=Y1539-1),AA1538,"")</f>
        <v/>
      </c>
      <c r="AD1539" s="0" t="str">
        <f aca="false">IF(Y1539=1,"",IF(AND(Z1539=1,AB1539&lt;&gt;1),1,0))</f>
        <v/>
      </c>
      <c r="AE1539" s="0" t="str">
        <f aca="false">IF(Y1539=1,"",IF(AND(AA1539=1,AC1539&lt;&gt;1),1,0))</f>
        <v/>
      </c>
      <c r="AF1539" s="45" t="str">
        <f aca="false">IF(AND(E1539&gt;0,Y1539&lt;1,NOT(AND(C1540=C1539,Y1540=Y1539+1))),INDEX(DATAS,Y1539+1),"")</f>
        <v/>
      </c>
      <c r="AG1539" s="45" t="str">
        <f aca="false">IF(AND(AA1539=1,Y1539&lt;1),IF(AND(C1540=C1539,Y1540=Y1539+1),IF(AA1540=1,"",INDEX(DATAS,Y1539+1)),INDEX(DATAS,Y1539+1)),"")</f>
        <v/>
      </c>
    </row>
    <row r="1540" customFormat="false" ht="15" hidden="false" customHeight="false" outlineLevel="0" collapsed="false">
      <c r="A1540" s="45" t="n">
        <v>46309</v>
      </c>
      <c r="B1540" s="0" t="n">
        <v>6</v>
      </c>
      <c r="C1540" s="0" t="n">
        <v>5680</v>
      </c>
      <c r="D1540" s="0" t="n">
        <v>196</v>
      </c>
      <c r="E1540" s="0" t="n">
        <v>1</v>
      </c>
      <c r="F1540" s="39" t="s">
        <v>931</v>
      </c>
      <c r="G1540" s="0" t="n">
        <v>27.3</v>
      </c>
      <c r="H1540" s="0" t="n">
        <v>39</v>
      </c>
      <c r="I1540" s="39" t="s">
        <v>109</v>
      </c>
      <c r="J1540" s="0" t="n">
        <v>126</v>
      </c>
      <c r="K1540" s="0" t="n">
        <v>63</v>
      </c>
      <c r="L1540" s="0" t="n">
        <v>70</v>
      </c>
      <c r="P1540" s="0" t="n">
        <v>3.18</v>
      </c>
      <c r="Q1540" s="0" t="n">
        <v>3.34</v>
      </c>
      <c r="R1540" s="0" t="n">
        <v>4316</v>
      </c>
      <c r="S1540" s="0" t="n">
        <v>9628</v>
      </c>
      <c r="T1540" s="0" t="n">
        <v>47.15</v>
      </c>
      <c r="U1540" s="0" t="n">
        <v>844</v>
      </c>
      <c r="V1540" s="0" t="n">
        <v>3</v>
      </c>
      <c r="W1540" s="39" t="n">
        <f aca="false">IF(I1540="Male",0,1)</f>
        <v>1</v>
      </c>
      <c r="X1540" s="39" t="n">
        <f aca="false">IF(OR(I1540="DNB",I1540="Dry DNB"),1,0)</f>
        <v>0</v>
      </c>
      <c r="Y1540" s="39" t="n">
        <f aca="false">MATCH(A1540,DATAS,0)</f>
        <v>1</v>
      </c>
      <c r="Z1540" s="39" t="n">
        <f aca="false">IF(AND(E1540&gt;0,OR(AND(B1540&gt;=1,B1540&lt;=6),B1540=10)),1,0)</f>
        <v>1</v>
      </c>
      <c r="AA1540" s="39" t="n">
        <f aca="false">IF(AND(E1540&gt;0,B1540=10),1,0)</f>
        <v>0</v>
      </c>
      <c r="AB1540" s="0" t="str">
        <f aca="false">IF(AND(C1539=C1540,Y1539=Y1540-1),Z1539,"")</f>
        <v/>
      </c>
      <c r="AC1540" s="0" t="str">
        <f aca="false">IF(AND(C1539=C1540,Y1539=Y1540-1),AA1539,"")</f>
        <v/>
      </c>
      <c r="AD1540" s="0" t="str">
        <f aca="false">IF(Y1540=1,"",IF(AND(Z1540=1,AB1540&lt;&gt;1),1,0))</f>
        <v/>
      </c>
      <c r="AE1540" s="0" t="str">
        <f aca="false">IF(Y1540=1,"",IF(AND(AA1540=1,AC1540&lt;&gt;1),1,0))</f>
        <v/>
      </c>
      <c r="AF1540" s="45" t="str">
        <f aca="false">IF(AND(E1540&gt;0,Y1540&lt;1,NOT(AND(C1541=C1540,Y1541=Y1540+1))),INDEX(DATAS,Y1540+1),"")</f>
        <v/>
      </c>
      <c r="AG1540" s="45" t="str">
        <f aca="false">IF(AND(AA1540=1,Y1540&lt;1),IF(AND(C1541=C1540,Y1541=Y1540+1),IF(AA1541=1,"",INDEX(DATAS,Y1540+1)),INDEX(DATAS,Y1540+1)),"")</f>
        <v/>
      </c>
    </row>
    <row r="1541" customFormat="false" ht="15" hidden="false" customHeight="false" outlineLevel="0" collapsed="false">
      <c r="A1541" s="45" t="n">
        <v>46309</v>
      </c>
      <c r="B1541" s="0" t="n">
        <v>4</v>
      </c>
      <c r="C1541" s="0" t="n">
        <v>5682</v>
      </c>
      <c r="D1541" s="0" t="n">
        <v>199</v>
      </c>
      <c r="E1541" s="0" t="n">
        <v>1</v>
      </c>
      <c r="F1541" s="39" t="s">
        <v>932</v>
      </c>
      <c r="G1541" s="0" t="n">
        <v>51.5</v>
      </c>
      <c r="H1541" s="0" t="n">
        <v>51</v>
      </c>
      <c r="I1541" s="39" t="s">
        <v>109</v>
      </c>
      <c r="J1541" s="0" t="n">
        <v>66</v>
      </c>
      <c r="K1541" s="0" t="n">
        <v>66</v>
      </c>
      <c r="L1541" s="0" t="n">
        <v>133</v>
      </c>
      <c r="P1541" s="0" t="n">
        <v>3.31</v>
      </c>
      <c r="Q1541" s="0" t="n">
        <v>3.42</v>
      </c>
      <c r="R1541" s="0" t="n">
        <v>4068</v>
      </c>
      <c r="S1541" s="0" t="n">
        <v>9228</v>
      </c>
      <c r="T1541" s="0" t="n">
        <v>48.6</v>
      </c>
      <c r="U1541" s="0" t="n">
        <v>843</v>
      </c>
      <c r="V1541" s="0" t="n">
        <v>1</v>
      </c>
      <c r="W1541" s="39" t="n">
        <f aca="false">IF(I1541="Male",0,1)</f>
        <v>1</v>
      </c>
      <c r="X1541" s="39" t="n">
        <f aca="false">IF(OR(I1541="DNB",I1541="Dry DNB"),1,0)</f>
        <v>0</v>
      </c>
      <c r="Y1541" s="39" t="n">
        <f aca="false">MATCH(A1541,DATAS,0)</f>
        <v>1</v>
      </c>
      <c r="Z1541" s="39" t="n">
        <f aca="false">IF(AND(E1541&gt;0,OR(AND(B1541&gt;=1,B1541&lt;=6),B1541=10)),1,0)</f>
        <v>1</v>
      </c>
      <c r="AA1541" s="39" t="n">
        <f aca="false">IF(AND(E1541&gt;0,B1541=10),1,0)</f>
        <v>0</v>
      </c>
      <c r="AB1541" s="0" t="str">
        <f aca="false">IF(AND(C1540=C1541,Y1540=Y1541-1),Z1540,"")</f>
        <v/>
      </c>
      <c r="AC1541" s="0" t="str">
        <f aca="false">IF(AND(C1540=C1541,Y1540=Y1541-1),AA1540,"")</f>
        <v/>
      </c>
      <c r="AD1541" s="0" t="str">
        <f aca="false">IF(Y1541=1,"",IF(AND(Z1541=1,AB1541&lt;&gt;1),1,0))</f>
        <v/>
      </c>
      <c r="AE1541" s="0" t="str">
        <f aca="false">IF(Y1541=1,"",IF(AND(AA1541=1,AC1541&lt;&gt;1),1,0))</f>
        <v/>
      </c>
      <c r="AF1541" s="45" t="str">
        <f aca="false">IF(AND(E1541&gt;0,Y1541&lt;1,NOT(AND(C1542=C1541,Y1542=Y1541+1))),INDEX(DATAS,Y1541+1),"")</f>
        <v/>
      </c>
      <c r="AG1541" s="45" t="str">
        <f aca="false">IF(AND(AA1541=1,Y1541&lt;1),IF(AND(C1542=C1541,Y1542=Y1541+1),IF(AA1542=1,"",INDEX(DATAS,Y1541+1)),INDEX(DATAS,Y1541+1)),"")</f>
        <v/>
      </c>
    </row>
    <row r="1542" customFormat="false" ht="15" hidden="false" customHeight="false" outlineLevel="0" collapsed="false">
      <c r="A1542" s="45" t="n">
        <v>46309</v>
      </c>
      <c r="B1542" s="0" t="n">
        <v>4</v>
      </c>
      <c r="C1542" s="0" t="n">
        <v>5683</v>
      </c>
      <c r="D1542" s="0" t="n">
        <v>172</v>
      </c>
      <c r="E1542" s="0" t="n">
        <v>1</v>
      </c>
      <c r="F1542" s="39" t="s">
        <v>933</v>
      </c>
      <c r="G1542" s="0" t="n">
        <v>43.7</v>
      </c>
      <c r="H1542" s="0" t="n">
        <v>39</v>
      </c>
      <c r="I1542" s="39" t="s">
        <v>109</v>
      </c>
      <c r="J1542" s="0" t="n">
        <v>123</v>
      </c>
      <c r="K1542" s="0" t="n">
        <v>67</v>
      </c>
      <c r="L1542" s="0" t="n">
        <v>49</v>
      </c>
      <c r="P1542" s="0" t="n">
        <v>3.32</v>
      </c>
      <c r="Q1542" s="0" t="n">
        <v>3.54</v>
      </c>
      <c r="R1542" s="0" t="n">
        <v>4459</v>
      </c>
      <c r="S1542" s="0" t="n">
        <v>9259</v>
      </c>
      <c r="T1542" s="0" t="n">
        <v>48.85</v>
      </c>
      <c r="U1542" s="0" t="n">
        <v>842</v>
      </c>
      <c r="V1542" s="0" t="n">
        <v>3</v>
      </c>
      <c r="W1542" s="39" t="n">
        <f aca="false">IF(I1542="Male",0,1)</f>
        <v>1</v>
      </c>
      <c r="X1542" s="39" t="n">
        <f aca="false">IF(OR(I1542="DNB",I1542="Dry DNB"),1,0)</f>
        <v>0</v>
      </c>
      <c r="Y1542" s="39" t="n">
        <f aca="false">MATCH(A1542,DATAS,0)</f>
        <v>1</v>
      </c>
      <c r="Z1542" s="39" t="n">
        <f aca="false">IF(AND(E1542&gt;0,OR(AND(B1542&gt;=1,B1542&lt;=6),B1542=10)),1,0)</f>
        <v>1</v>
      </c>
      <c r="AA1542" s="39" t="n">
        <f aca="false">IF(AND(E1542&gt;0,B1542=10),1,0)</f>
        <v>0</v>
      </c>
      <c r="AB1542" s="0" t="str">
        <f aca="false">IF(AND(C1541=C1542,Y1541=Y1542-1),Z1541,"")</f>
        <v/>
      </c>
      <c r="AC1542" s="0" t="str">
        <f aca="false">IF(AND(C1541=C1542,Y1541=Y1542-1),AA1541,"")</f>
        <v/>
      </c>
      <c r="AD1542" s="0" t="str">
        <f aca="false">IF(Y1542=1,"",IF(AND(Z1542=1,AB1542&lt;&gt;1),1,0))</f>
        <v/>
      </c>
      <c r="AE1542" s="0" t="str">
        <f aca="false">IF(Y1542=1,"",IF(AND(AA1542=1,AC1542&lt;&gt;1),1,0))</f>
        <v/>
      </c>
      <c r="AF1542" s="45" t="str">
        <f aca="false">IF(AND(E1542&gt;0,Y1542&lt;1,NOT(AND(C1543=C1542,Y1543=Y1542+1))),INDEX(DATAS,Y1542+1),"")</f>
        <v/>
      </c>
      <c r="AG1542" s="45" t="str">
        <f aca="false">IF(AND(AA1542=1,Y1542&lt;1),IF(AND(C1543=C1542,Y1543=Y1542+1),IF(AA1543=1,"",INDEX(DATAS,Y1542+1)),INDEX(DATAS,Y1542+1)),"")</f>
        <v/>
      </c>
    </row>
    <row r="1543" customFormat="false" ht="15" hidden="false" customHeight="false" outlineLevel="0" collapsed="false">
      <c r="A1543" s="45" t="n">
        <v>46309</v>
      </c>
      <c r="B1543" s="0" t="n">
        <v>4</v>
      </c>
      <c r="C1543" s="0" t="n">
        <v>5684</v>
      </c>
      <c r="D1543" s="0" t="n">
        <v>188</v>
      </c>
      <c r="E1543" s="0" t="n">
        <v>1</v>
      </c>
      <c r="F1543" s="39" t="s">
        <v>933</v>
      </c>
      <c r="G1543" s="0" t="n">
        <v>30.9</v>
      </c>
      <c r="H1543" s="0" t="n">
        <v>29</v>
      </c>
      <c r="I1543" s="39" t="s">
        <v>146</v>
      </c>
      <c r="J1543" s="0" t="n">
        <v>188</v>
      </c>
      <c r="K1543" s="0" t="n">
        <v>62</v>
      </c>
      <c r="P1543" s="0" t="n">
        <v>4.81</v>
      </c>
      <c r="Q1543" s="0" t="n">
        <v>3.33</v>
      </c>
      <c r="R1543" s="0" t="n">
        <v>3586</v>
      </c>
      <c r="S1543" s="0" t="n">
        <v>6486</v>
      </c>
      <c r="T1543" s="0" t="n">
        <v>37.25</v>
      </c>
      <c r="U1543" s="0" t="n">
        <v>842</v>
      </c>
      <c r="V1543" s="0" t="n">
        <v>3</v>
      </c>
      <c r="W1543" s="39" t="n">
        <f aca="false">IF(I1543="Male",0,1)</f>
        <v>1</v>
      </c>
      <c r="X1543" s="39" t="n">
        <f aca="false">IF(OR(I1543="DNB",I1543="Dry DNB"),1,0)</f>
        <v>0</v>
      </c>
      <c r="Y1543" s="39" t="n">
        <f aca="false">MATCH(A1543,DATAS,0)</f>
        <v>1</v>
      </c>
      <c r="Z1543" s="39" t="n">
        <f aca="false">IF(AND(E1543&gt;0,OR(AND(B1543&gt;=1,B1543&lt;=6),B1543=10)),1,0)</f>
        <v>1</v>
      </c>
      <c r="AA1543" s="39" t="n">
        <f aca="false">IF(AND(E1543&gt;0,B1543=10),1,0)</f>
        <v>0</v>
      </c>
      <c r="AB1543" s="0" t="str">
        <f aca="false">IF(AND(C1542=C1543,Y1542=Y1543-1),Z1542,"")</f>
        <v/>
      </c>
      <c r="AC1543" s="0" t="str">
        <f aca="false">IF(AND(C1542=C1543,Y1542=Y1543-1),AA1542,"")</f>
        <v/>
      </c>
      <c r="AD1543" s="0" t="str">
        <f aca="false">IF(Y1543=1,"",IF(AND(Z1543=1,AB1543&lt;&gt;1),1,0))</f>
        <v/>
      </c>
      <c r="AE1543" s="0" t="str">
        <f aca="false">IF(Y1543=1,"",IF(AND(AA1543=1,AC1543&lt;&gt;1),1,0))</f>
        <v/>
      </c>
      <c r="AF1543" s="45" t="str">
        <f aca="false">IF(AND(E1543&gt;0,Y1543&lt;1,NOT(AND(C1544=C1543,Y1544=Y1543+1))),INDEX(DATAS,Y1543+1),"")</f>
        <v/>
      </c>
      <c r="AG1543" s="45" t="str">
        <f aca="false">IF(AND(AA1543=1,Y1543&lt;1),IF(AND(C1544=C1543,Y1544=Y1543+1),IF(AA1544=1,"",INDEX(DATAS,Y1543+1)),INDEX(DATAS,Y1543+1)),"")</f>
        <v/>
      </c>
    </row>
    <row r="1544" customFormat="false" ht="15" hidden="false" customHeight="false" outlineLevel="0" collapsed="false">
      <c r="A1544" s="45" t="n">
        <v>46309</v>
      </c>
      <c r="B1544" s="0" t="n">
        <v>4</v>
      </c>
      <c r="C1544" s="0" t="n">
        <v>5685</v>
      </c>
      <c r="D1544" s="0" t="n">
        <v>192</v>
      </c>
      <c r="E1544" s="0" t="n">
        <v>1</v>
      </c>
      <c r="F1544" s="39" t="s">
        <v>933</v>
      </c>
      <c r="G1544" s="0" t="n">
        <v>53.6</v>
      </c>
      <c r="H1544" s="0" t="n">
        <v>55</v>
      </c>
      <c r="I1544" s="39" t="s">
        <v>109</v>
      </c>
      <c r="J1544" s="0" t="n">
        <v>66</v>
      </c>
      <c r="K1544" s="0" t="n">
        <v>66</v>
      </c>
      <c r="L1544" s="0" t="n">
        <v>126</v>
      </c>
      <c r="P1544" s="0" t="n">
        <v>3.1</v>
      </c>
      <c r="Q1544" s="0" t="n">
        <v>2.97</v>
      </c>
      <c r="R1544" s="0" t="n">
        <v>4784</v>
      </c>
      <c r="S1544" s="0" t="n">
        <v>10713</v>
      </c>
      <c r="T1544" s="0" t="n">
        <v>51.55</v>
      </c>
      <c r="U1544" s="0" t="n">
        <v>842</v>
      </c>
      <c r="V1544" s="0" t="n">
        <v>1</v>
      </c>
      <c r="W1544" s="39" t="n">
        <f aca="false">IF(I1544="Male",0,1)</f>
        <v>1</v>
      </c>
      <c r="X1544" s="39" t="n">
        <f aca="false">IF(OR(I1544="DNB",I1544="Dry DNB"),1,0)</f>
        <v>0</v>
      </c>
      <c r="Y1544" s="39" t="n">
        <f aca="false">MATCH(A1544,DATAS,0)</f>
        <v>1</v>
      </c>
      <c r="Z1544" s="39" t="n">
        <f aca="false">IF(AND(E1544&gt;0,OR(AND(B1544&gt;=1,B1544&lt;=6),B1544=10)),1,0)</f>
        <v>1</v>
      </c>
      <c r="AA1544" s="39" t="n">
        <f aca="false">IF(AND(E1544&gt;0,B1544=10),1,0)</f>
        <v>0</v>
      </c>
      <c r="AB1544" s="0" t="str">
        <f aca="false">IF(AND(C1543=C1544,Y1543=Y1544-1),Z1543,"")</f>
        <v/>
      </c>
      <c r="AC1544" s="0" t="str">
        <f aca="false">IF(AND(C1543=C1544,Y1543=Y1544-1),AA1543,"")</f>
        <v/>
      </c>
      <c r="AD1544" s="0" t="str">
        <f aca="false">IF(Y1544=1,"",IF(AND(Z1544=1,AB1544&lt;&gt;1),1,0))</f>
        <v/>
      </c>
      <c r="AE1544" s="0" t="str">
        <f aca="false">IF(Y1544=1,"",IF(AND(AA1544=1,AC1544&lt;&gt;1),1,0))</f>
        <v/>
      </c>
      <c r="AF1544" s="45" t="str">
        <f aca="false">IF(AND(E1544&gt;0,Y1544&lt;1,NOT(AND(C1545=C1544,Y1545=Y1544+1))),INDEX(DATAS,Y1544+1),"")</f>
        <v/>
      </c>
      <c r="AG1544" s="45" t="str">
        <f aca="false">IF(AND(AA1544=1,Y1544&lt;1),IF(AND(C1545=C1544,Y1545=Y1544+1),IF(AA1545=1,"",INDEX(DATAS,Y1544+1)),INDEX(DATAS,Y1544+1)),"")</f>
        <v/>
      </c>
    </row>
    <row r="1545" customFormat="false" ht="15" hidden="false" customHeight="false" outlineLevel="0" collapsed="false">
      <c r="A1545" s="45" t="n">
        <v>46309</v>
      </c>
      <c r="B1545" s="0" t="n">
        <v>4</v>
      </c>
      <c r="C1545" s="0" t="n">
        <v>5686</v>
      </c>
      <c r="D1545" s="0" t="n">
        <v>182</v>
      </c>
      <c r="E1545" s="0" t="n">
        <v>1</v>
      </c>
      <c r="F1545" s="39" t="s">
        <v>934</v>
      </c>
      <c r="G1545" s="0" t="n">
        <v>59.7</v>
      </c>
      <c r="H1545" s="0" t="n">
        <v>59</v>
      </c>
      <c r="I1545" s="39" t="s">
        <v>138</v>
      </c>
      <c r="J1545" s="0" t="n">
        <v>182</v>
      </c>
      <c r="K1545" s="0" t="n">
        <v>63</v>
      </c>
      <c r="P1545" s="0" t="n">
        <v>3.26</v>
      </c>
      <c r="Q1545" s="0" t="n">
        <v>3.22</v>
      </c>
      <c r="R1545" s="0" t="n">
        <v>5197</v>
      </c>
      <c r="S1545" s="0" t="n">
        <v>11195</v>
      </c>
      <c r="T1545" s="0" t="n">
        <v>60.5</v>
      </c>
      <c r="U1545" s="0" t="n">
        <v>841</v>
      </c>
      <c r="V1545" s="0" t="n">
        <v>6</v>
      </c>
      <c r="W1545" s="39" t="n">
        <f aca="false">IF(I1545="Male",0,1)</f>
        <v>1</v>
      </c>
      <c r="X1545" s="39" t="n">
        <f aca="false">IF(OR(I1545="DNB",I1545="Dry DNB"),1,0)</f>
        <v>0</v>
      </c>
      <c r="Y1545" s="39" t="n">
        <f aca="false">MATCH(A1545,DATAS,0)</f>
        <v>1</v>
      </c>
      <c r="Z1545" s="39" t="n">
        <f aca="false">IF(AND(E1545&gt;0,OR(AND(B1545&gt;=1,B1545&lt;=6),B1545=10)),1,0)</f>
        <v>1</v>
      </c>
      <c r="AA1545" s="39" t="n">
        <f aca="false">IF(AND(E1545&gt;0,B1545=10),1,0)</f>
        <v>0</v>
      </c>
      <c r="AB1545" s="0" t="str">
        <f aca="false">IF(AND(C1544=C1545,Y1544=Y1545-1),Z1544,"")</f>
        <v/>
      </c>
      <c r="AC1545" s="0" t="str">
        <f aca="false">IF(AND(C1544=C1545,Y1544=Y1545-1),AA1544,"")</f>
        <v/>
      </c>
      <c r="AD1545" s="0" t="str">
        <f aca="false">IF(Y1545=1,"",IF(AND(Z1545=1,AB1545&lt;&gt;1),1,0))</f>
        <v/>
      </c>
      <c r="AE1545" s="0" t="str">
        <f aca="false">IF(Y1545=1,"",IF(AND(AA1545=1,AC1545&lt;&gt;1),1,0))</f>
        <v/>
      </c>
      <c r="AF1545" s="45" t="str">
        <f aca="false">IF(AND(E1545&gt;0,Y1545&lt;1,NOT(AND(C1546=C1545,Y1546=Y1545+1))),INDEX(DATAS,Y1545+1),"")</f>
        <v/>
      </c>
      <c r="AG1545" s="45" t="str">
        <f aca="false">IF(AND(AA1545=1,Y1545&lt;1),IF(AND(C1546=C1545,Y1546=Y1545+1),IF(AA1546=1,"",INDEX(DATAS,Y1545+1)),INDEX(DATAS,Y1545+1)),"")</f>
        <v/>
      </c>
    </row>
    <row r="1546" customFormat="false" ht="15" hidden="false" customHeight="false" outlineLevel="0" collapsed="false">
      <c r="A1546" s="45" t="n">
        <v>46309</v>
      </c>
      <c r="B1546" s="0" t="n">
        <v>1</v>
      </c>
      <c r="C1546" s="0" t="n">
        <v>5687</v>
      </c>
      <c r="D1546" s="0" t="n">
        <v>101</v>
      </c>
      <c r="E1546" s="0" t="n">
        <v>1</v>
      </c>
      <c r="F1546" s="39" t="s">
        <v>934</v>
      </c>
      <c r="G1546" s="0" t="n">
        <v>51.6</v>
      </c>
      <c r="H1546" s="0" t="n">
        <v>50</v>
      </c>
      <c r="I1546" s="39" t="s">
        <v>146</v>
      </c>
      <c r="J1546" s="0" t="n">
        <v>101</v>
      </c>
      <c r="K1546" s="0" t="n">
        <v>66</v>
      </c>
      <c r="P1546" s="0" t="n">
        <v>4.58</v>
      </c>
      <c r="Q1546" s="0" t="n">
        <v>3.02</v>
      </c>
      <c r="R1546" s="0" t="n">
        <v>4328</v>
      </c>
      <c r="S1546" s="0" t="n">
        <v>8714</v>
      </c>
      <c r="T1546" s="0" t="n">
        <v>47.55</v>
      </c>
      <c r="U1546" s="0" t="n">
        <v>841</v>
      </c>
      <c r="V1546" s="0" t="n">
        <v>1</v>
      </c>
      <c r="W1546" s="39" t="n">
        <f aca="false">IF(I1546="Male",0,1)</f>
        <v>1</v>
      </c>
      <c r="X1546" s="39" t="n">
        <f aca="false">IF(OR(I1546="DNB",I1546="Dry DNB"),1,0)</f>
        <v>0</v>
      </c>
      <c r="Y1546" s="39" t="n">
        <f aca="false">MATCH(A1546,DATAS,0)</f>
        <v>1</v>
      </c>
      <c r="Z1546" s="39" t="n">
        <f aca="false">IF(AND(E1546&gt;0,OR(AND(B1546&gt;=1,B1546&lt;=6),B1546=10)),1,0)</f>
        <v>1</v>
      </c>
      <c r="AA1546" s="39" t="n">
        <f aca="false">IF(AND(E1546&gt;0,B1546=10),1,0)</f>
        <v>0</v>
      </c>
      <c r="AB1546" s="0" t="str">
        <f aca="false">IF(AND(C1545=C1546,Y1545=Y1546-1),Z1545,"")</f>
        <v/>
      </c>
      <c r="AC1546" s="0" t="str">
        <f aca="false">IF(AND(C1545=C1546,Y1545=Y1546-1),AA1545,"")</f>
        <v/>
      </c>
      <c r="AD1546" s="0" t="str">
        <f aca="false">IF(Y1546=1,"",IF(AND(Z1546=1,AB1546&lt;&gt;1),1,0))</f>
        <v/>
      </c>
      <c r="AE1546" s="0" t="str">
        <f aca="false">IF(Y1546=1,"",IF(AND(AA1546=1,AC1546&lt;&gt;1),1,0))</f>
        <v/>
      </c>
      <c r="AF1546" s="45" t="str">
        <f aca="false">IF(AND(E1546&gt;0,Y1546&lt;1,NOT(AND(C1547=C1546,Y1547=Y1546+1))),INDEX(DATAS,Y1546+1),"")</f>
        <v/>
      </c>
      <c r="AG1546" s="45" t="str">
        <f aca="false">IF(AND(AA1546=1,Y1546&lt;1),IF(AND(C1547=C1546,Y1547=Y1546+1),IF(AA1547=1,"",INDEX(DATAS,Y1546+1)),INDEX(DATAS,Y1546+1)),"")</f>
        <v/>
      </c>
    </row>
    <row r="1547" customFormat="false" ht="15" hidden="false" customHeight="false" outlineLevel="0" collapsed="false">
      <c r="A1547" s="45" t="n">
        <v>46309</v>
      </c>
      <c r="B1547" s="0" t="n">
        <v>4</v>
      </c>
      <c r="C1547" s="0" t="n">
        <v>5688</v>
      </c>
      <c r="D1547" s="0" t="n">
        <v>192</v>
      </c>
      <c r="E1547" s="0" t="n">
        <v>1</v>
      </c>
      <c r="F1547" s="39" t="s">
        <v>934</v>
      </c>
      <c r="G1547" s="0" t="n">
        <v>48.1</v>
      </c>
      <c r="H1547" s="0" t="n">
        <v>49</v>
      </c>
      <c r="I1547" s="39" t="s">
        <v>109</v>
      </c>
      <c r="J1547" s="0" t="n">
        <v>66</v>
      </c>
      <c r="K1547" s="0" t="n">
        <v>66</v>
      </c>
      <c r="L1547" s="0" t="n">
        <v>126</v>
      </c>
      <c r="P1547" s="0" t="n">
        <v>3.02</v>
      </c>
      <c r="Q1547" s="0" t="n">
        <v>3.5</v>
      </c>
      <c r="R1547" s="0" t="n">
        <v>4098</v>
      </c>
      <c r="S1547" s="0" t="n">
        <v>9331</v>
      </c>
      <c r="T1547" s="0" t="n">
        <v>45.05</v>
      </c>
      <c r="U1547" s="0" t="n">
        <v>841</v>
      </c>
      <c r="V1547" s="0" t="n">
        <v>1</v>
      </c>
      <c r="W1547" s="39" t="n">
        <f aca="false">IF(I1547="Male",0,1)</f>
        <v>1</v>
      </c>
      <c r="X1547" s="39" t="n">
        <f aca="false">IF(OR(I1547="DNB",I1547="Dry DNB"),1,0)</f>
        <v>0</v>
      </c>
      <c r="Y1547" s="39" t="n">
        <f aca="false">MATCH(A1547,DATAS,0)</f>
        <v>1</v>
      </c>
      <c r="Z1547" s="39" t="n">
        <f aca="false">IF(AND(E1547&gt;0,OR(AND(B1547&gt;=1,B1547&lt;=6),B1547=10)),1,0)</f>
        <v>1</v>
      </c>
      <c r="AA1547" s="39" t="n">
        <f aca="false">IF(AND(E1547&gt;0,B1547=10),1,0)</f>
        <v>0</v>
      </c>
      <c r="AB1547" s="0" t="str">
        <f aca="false">IF(AND(C1546=C1547,Y1546=Y1547-1),Z1546,"")</f>
        <v/>
      </c>
      <c r="AC1547" s="0" t="str">
        <f aca="false">IF(AND(C1546=C1547,Y1546=Y1547-1),AA1546,"")</f>
        <v/>
      </c>
      <c r="AD1547" s="0" t="str">
        <f aca="false">IF(Y1547=1,"",IF(AND(Z1547=1,AB1547&lt;&gt;1),1,0))</f>
        <v/>
      </c>
      <c r="AE1547" s="0" t="str">
        <f aca="false">IF(Y1547=1,"",IF(AND(AA1547=1,AC1547&lt;&gt;1),1,0))</f>
        <v/>
      </c>
      <c r="AF1547" s="45" t="str">
        <f aca="false">IF(AND(E1547&gt;0,Y1547&lt;1,NOT(AND(C1548=C1547,Y1548=Y1547+1))),INDEX(DATAS,Y1547+1),"")</f>
        <v/>
      </c>
      <c r="AG1547" s="45" t="str">
        <f aca="false">IF(AND(AA1547=1,Y1547&lt;1),IF(AND(C1548=C1547,Y1548=Y1547+1),IF(AA1548=1,"",INDEX(DATAS,Y1547+1)),INDEX(DATAS,Y1547+1)),"")</f>
        <v/>
      </c>
    </row>
    <row r="1548" customFormat="false" ht="15" hidden="false" customHeight="false" outlineLevel="0" collapsed="false">
      <c r="A1548" s="45" t="n">
        <v>46309</v>
      </c>
      <c r="B1548" s="0" t="n">
        <v>4</v>
      </c>
      <c r="C1548" s="0" t="n">
        <v>5690</v>
      </c>
      <c r="D1548" s="0" t="n">
        <v>152</v>
      </c>
      <c r="E1548" s="0" t="n">
        <v>1</v>
      </c>
      <c r="F1548" s="39" t="s">
        <v>934</v>
      </c>
      <c r="G1548" s="0" t="n">
        <v>51.5</v>
      </c>
      <c r="H1548" s="0" t="n">
        <v>48</v>
      </c>
      <c r="I1548" s="39" t="s">
        <v>138</v>
      </c>
      <c r="J1548" s="0" t="n">
        <v>152</v>
      </c>
      <c r="K1548" s="0" t="n">
        <v>68</v>
      </c>
      <c r="P1548" s="0" t="n">
        <v>4.03</v>
      </c>
      <c r="Q1548" s="0" t="n">
        <v>3.05</v>
      </c>
      <c r="R1548" s="0" t="n">
        <v>4882</v>
      </c>
      <c r="S1548" s="0" t="n">
        <v>10242</v>
      </c>
      <c r="T1548" s="0" t="n">
        <v>51.3</v>
      </c>
      <c r="U1548" s="0" t="n">
        <v>841</v>
      </c>
      <c r="V1548" s="0" t="n">
        <v>4</v>
      </c>
      <c r="W1548" s="39" t="n">
        <f aca="false">IF(I1548="Male",0,1)</f>
        <v>1</v>
      </c>
      <c r="X1548" s="39" t="n">
        <f aca="false">IF(OR(I1548="DNB",I1548="Dry DNB"),1,0)</f>
        <v>0</v>
      </c>
      <c r="Y1548" s="39" t="n">
        <f aca="false">MATCH(A1548,DATAS,0)</f>
        <v>1</v>
      </c>
      <c r="Z1548" s="39" t="n">
        <f aca="false">IF(AND(E1548&gt;0,OR(AND(B1548&gt;=1,B1548&lt;=6),B1548=10)),1,0)</f>
        <v>1</v>
      </c>
      <c r="AA1548" s="39" t="n">
        <f aca="false">IF(AND(E1548&gt;0,B1548=10),1,0)</f>
        <v>0</v>
      </c>
      <c r="AB1548" s="0" t="str">
        <f aca="false">IF(AND(C1547=C1548,Y1547=Y1548-1),Z1547,"")</f>
        <v/>
      </c>
      <c r="AC1548" s="0" t="str">
        <f aca="false">IF(AND(C1547=C1548,Y1547=Y1548-1),AA1547,"")</f>
        <v/>
      </c>
      <c r="AD1548" s="0" t="str">
        <f aca="false">IF(Y1548=1,"",IF(AND(Z1548=1,AB1548&lt;&gt;1),1,0))</f>
        <v/>
      </c>
      <c r="AE1548" s="0" t="str">
        <f aca="false">IF(Y1548=1,"",IF(AND(AA1548=1,AC1548&lt;&gt;1),1,0))</f>
        <v/>
      </c>
      <c r="AF1548" s="45" t="str">
        <f aca="false">IF(AND(E1548&gt;0,Y1548&lt;1,NOT(AND(C1549=C1548,Y1549=Y1548+1))),INDEX(DATAS,Y1548+1),"")</f>
        <v/>
      </c>
      <c r="AG1548" s="45" t="str">
        <f aca="false">IF(AND(AA1548=1,Y1548&lt;1),IF(AND(C1549=C1548,Y1549=Y1548+1),IF(AA1549=1,"",INDEX(DATAS,Y1548+1)),INDEX(DATAS,Y1548+1)),"")</f>
        <v/>
      </c>
    </row>
    <row r="1549" customFormat="false" ht="15" hidden="false" customHeight="false" outlineLevel="0" collapsed="false">
      <c r="A1549" s="45" t="n">
        <v>46309</v>
      </c>
      <c r="B1549" s="0" t="n">
        <v>4</v>
      </c>
      <c r="C1549" s="0" t="n">
        <v>5691</v>
      </c>
      <c r="D1549" s="0" t="n">
        <v>201</v>
      </c>
      <c r="E1549" s="0" t="n">
        <v>1</v>
      </c>
      <c r="F1549" s="39" t="s">
        <v>935</v>
      </c>
      <c r="G1549" s="0" t="n">
        <v>56.8</v>
      </c>
      <c r="H1549" s="0" t="n">
        <v>54</v>
      </c>
      <c r="I1549" s="39" t="s">
        <v>109</v>
      </c>
      <c r="J1549" s="0" t="n">
        <v>89</v>
      </c>
      <c r="K1549" s="0" t="n">
        <v>89</v>
      </c>
      <c r="L1549" s="0" t="n">
        <v>112</v>
      </c>
      <c r="P1549" s="0" t="n">
        <v>2.89</v>
      </c>
      <c r="Q1549" s="0" t="n">
        <v>3.67</v>
      </c>
      <c r="R1549" s="0" t="n">
        <v>4409</v>
      </c>
      <c r="S1549" s="0" t="n">
        <v>10018</v>
      </c>
      <c r="T1549" s="0" t="n">
        <v>50.6</v>
      </c>
      <c r="U1549" s="0" t="n">
        <v>840</v>
      </c>
      <c r="V1549" s="0" t="n">
        <v>1</v>
      </c>
      <c r="W1549" s="39" t="n">
        <f aca="false">IF(I1549="Male",0,1)</f>
        <v>1</v>
      </c>
      <c r="X1549" s="39" t="n">
        <f aca="false">IF(OR(I1549="DNB",I1549="Dry DNB"),1,0)</f>
        <v>0</v>
      </c>
      <c r="Y1549" s="39" t="n">
        <f aca="false">MATCH(A1549,DATAS,0)</f>
        <v>1</v>
      </c>
      <c r="Z1549" s="39" t="n">
        <f aca="false">IF(AND(E1549&gt;0,OR(AND(B1549&gt;=1,B1549&lt;=6),B1549=10)),1,0)</f>
        <v>1</v>
      </c>
      <c r="AA1549" s="39" t="n">
        <f aca="false">IF(AND(E1549&gt;0,B1549=10),1,0)</f>
        <v>0</v>
      </c>
      <c r="AB1549" s="0" t="str">
        <f aca="false">IF(AND(C1548=C1549,Y1548=Y1549-1),Z1548,"")</f>
        <v/>
      </c>
      <c r="AC1549" s="0" t="str">
        <f aca="false">IF(AND(C1548=C1549,Y1548=Y1549-1),AA1548,"")</f>
        <v/>
      </c>
      <c r="AD1549" s="0" t="str">
        <f aca="false">IF(Y1549=1,"",IF(AND(Z1549=1,AB1549&lt;&gt;1),1,0))</f>
        <v/>
      </c>
      <c r="AE1549" s="0" t="str">
        <f aca="false">IF(Y1549=1,"",IF(AND(AA1549=1,AC1549&lt;&gt;1),1,0))</f>
        <v/>
      </c>
      <c r="AF1549" s="45" t="str">
        <f aca="false">IF(AND(E1549&gt;0,Y1549&lt;1,NOT(AND(C1550=C1549,Y1550=Y1549+1))),INDEX(DATAS,Y1549+1),"")</f>
        <v/>
      </c>
      <c r="AG1549" s="45" t="str">
        <f aca="false">IF(AND(AA1549=1,Y1549&lt;1),IF(AND(C1550=C1549,Y1550=Y1549+1),IF(AA1550=1,"",INDEX(DATAS,Y1549+1)),INDEX(DATAS,Y1549+1)),"")</f>
        <v/>
      </c>
    </row>
    <row r="1550" customFormat="false" ht="15" hidden="false" customHeight="false" outlineLevel="0" collapsed="false">
      <c r="A1550" s="45" t="n">
        <v>46309</v>
      </c>
      <c r="B1550" s="0" t="n">
        <v>4</v>
      </c>
      <c r="C1550" s="0" t="n">
        <v>5692</v>
      </c>
      <c r="D1550" s="0" t="n">
        <v>192</v>
      </c>
      <c r="E1550" s="0" t="n">
        <v>1</v>
      </c>
      <c r="F1550" s="39" t="s">
        <v>935</v>
      </c>
      <c r="G1550" s="0" t="n">
        <v>41.7</v>
      </c>
      <c r="H1550" s="0" t="n">
        <v>42</v>
      </c>
      <c r="I1550" s="39" t="s">
        <v>109</v>
      </c>
      <c r="J1550" s="0" t="n">
        <v>143</v>
      </c>
      <c r="K1550" s="0" t="n">
        <v>66</v>
      </c>
      <c r="L1550" s="0" t="n">
        <v>49</v>
      </c>
      <c r="P1550" s="0" t="n">
        <v>4.01</v>
      </c>
      <c r="Q1550" s="0" t="n">
        <v>3.34</v>
      </c>
      <c r="R1550" s="0" t="n">
        <v>3517</v>
      </c>
      <c r="S1550" s="0" t="n">
        <v>7952</v>
      </c>
      <c r="T1550" s="0" t="n">
        <v>38.05</v>
      </c>
      <c r="U1550" s="0" t="n">
        <v>840</v>
      </c>
      <c r="V1550" s="0" t="n">
        <v>3</v>
      </c>
      <c r="W1550" s="39" t="n">
        <f aca="false">IF(I1550="Male",0,1)</f>
        <v>1</v>
      </c>
      <c r="X1550" s="39" t="n">
        <f aca="false">IF(OR(I1550="DNB",I1550="Dry DNB"),1,0)</f>
        <v>0</v>
      </c>
      <c r="Y1550" s="39" t="n">
        <f aca="false">MATCH(A1550,DATAS,0)</f>
        <v>1</v>
      </c>
      <c r="Z1550" s="39" t="n">
        <f aca="false">IF(AND(E1550&gt;0,OR(AND(B1550&gt;=1,B1550&lt;=6),B1550=10)),1,0)</f>
        <v>1</v>
      </c>
      <c r="AA1550" s="39" t="n">
        <f aca="false">IF(AND(E1550&gt;0,B1550=10),1,0)</f>
        <v>0</v>
      </c>
      <c r="AB1550" s="0" t="str">
        <f aca="false">IF(AND(C1549=C1550,Y1549=Y1550-1),Z1549,"")</f>
        <v/>
      </c>
      <c r="AC1550" s="0" t="str">
        <f aca="false">IF(AND(C1549=C1550,Y1549=Y1550-1),AA1549,"")</f>
        <v/>
      </c>
      <c r="AD1550" s="0" t="str">
        <f aca="false">IF(Y1550=1,"",IF(AND(Z1550=1,AB1550&lt;&gt;1),1,0))</f>
        <v/>
      </c>
      <c r="AE1550" s="0" t="str">
        <f aca="false">IF(Y1550=1,"",IF(AND(AA1550=1,AC1550&lt;&gt;1),1,0))</f>
        <v/>
      </c>
      <c r="AF1550" s="45" t="str">
        <f aca="false">IF(AND(E1550&gt;0,Y1550&lt;1,NOT(AND(C1551=C1550,Y1551=Y1550+1))),INDEX(DATAS,Y1550+1),"")</f>
        <v/>
      </c>
      <c r="AG1550" s="45" t="str">
        <f aca="false">IF(AND(AA1550=1,Y1550&lt;1),IF(AND(C1551=C1550,Y1551=Y1550+1),IF(AA1551=1,"",INDEX(DATAS,Y1550+1)),INDEX(DATAS,Y1550+1)),"")</f>
        <v/>
      </c>
    </row>
    <row r="1551" customFormat="false" ht="15" hidden="false" customHeight="false" outlineLevel="0" collapsed="false">
      <c r="A1551" s="45" t="n">
        <v>46309</v>
      </c>
      <c r="B1551" s="0" t="n">
        <v>1</v>
      </c>
      <c r="C1551" s="0" t="n">
        <v>5693</v>
      </c>
      <c r="D1551" s="0" t="n">
        <v>100</v>
      </c>
      <c r="E1551" s="0" t="n">
        <v>1</v>
      </c>
      <c r="F1551" s="39" t="s">
        <v>936</v>
      </c>
      <c r="G1551" s="0" t="n">
        <v>37.6</v>
      </c>
      <c r="H1551" s="0" t="n">
        <v>39</v>
      </c>
      <c r="I1551" s="39" t="s">
        <v>146</v>
      </c>
      <c r="J1551" s="0" t="n">
        <v>100</v>
      </c>
      <c r="K1551" s="0" t="n">
        <v>65</v>
      </c>
      <c r="P1551" s="0" t="n">
        <v>3.93</v>
      </c>
      <c r="Q1551" s="0" t="n">
        <v>3.08</v>
      </c>
      <c r="R1551" s="0" t="n">
        <v>3715</v>
      </c>
      <c r="S1551" s="0" t="n">
        <v>7467</v>
      </c>
      <c r="T1551" s="0" t="n">
        <v>43.5</v>
      </c>
      <c r="U1551" s="0" t="n">
        <v>839</v>
      </c>
      <c r="V1551" s="0" t="n">
        <v>1</v>
      </c>
      <c r="W1551" s="39" t="n">
        <f aca="false">IF(I1551="Male",0,1)</f>
        <v>1</v>
      </c>
      <c r="X1551" s="39" t="n">
        <f aca="false">IF(OR(I1551="DNB",I1551="Dry DNB"),1,0)</f>
        <v>0</v>
      </c>
      <c r="Y1551" s="39" t="n">
        <f aca="false">MATCH(A1551,DATAS,0)</f>
        <v>1</v>
      </c>
      <c r="Z1551" s="39" t="n">
        <f aca="false">IF(AND(E1551&gt;0,OR(AND(B1551&gt;=1,B1551&lt;=6),B1551=10)),1,0)</f>
        <v>1</v>
      </c>
      <c r="AA1551" s="39" t="n">
        <f aca="false">IF(AND(E1551&gt;0,B1551=10),1,0)</f>
        <v>0</v>
      </c>
      <c r="AB1551" s="0" t="str">
        <f aca="false">IF(AND(C1550=C1551,Y1550=Y1551-1),Z1550,"")</f>
        <v/>
      </c>
      <c r="AC1551" s="0" t="str">
        <f aca="false">IF(AND(C1550=C1551,Y1550=Y1551-1),AA1550,"")</f>
        <v/>
      </c>
      <c r="AD1551" s="0" t="str">
        <f aca="false">IF(Y1551=1,"",IF(AND(Z1551=1,AB1551&lt;&gt;1),1,0))</f>
        <v/>
      </c>
      <c r="AE1551" s="0" t="str">
        <f aca="false">IF(Y1551=1,"",IF(AND(AA1551=1,AC1551&lt;&gt;1),1,0))</f>
        <v/>
      </c>
      <c r="AF1551" s="45" t="str">
        <f aca="false">IF(AND(E1551&gt;0,Y1551&lt;1,NOT(AND(C1552=C1551,Y1552=Y1551+1))),INDEX(DATAS,Y1551+1),"")</f>
        <v/>
      </c>
      <c r="AG1551" s="45" t="str">
        <f aca="false">IF(AND(AA1551=1,Y1551&lt;1),IF(AND(C1552=C1551,Y1552=Y1551+1),IF(AA1552=1,"",INDEX(DATAS,Y1551+1)),INDEX(DATAS,Y1551+1)),"")</f>
        <v/>
      </c>
    </row>
    <row r="1552" customFormat="false" ht="15" hidden="false" customHeight="false" outlineLevel="0" collapsed="false">
      <c r="A1552" s="45" t="n">
        <v>46309</v>
      </c>
      <c r="B1552" s="0" t="n">
        <v>4</v>
      </c>
      <c r="C1552" s="0" t="n">
        <v>5694</v>
      </c>
      <c r="D1552" s="0" t="n">
        <v>137</v>
      </c>
      <c r="E1552" s="0" t="n">
        <v>1</v>
      </c>
      <c r="F1552" s="39" t="s">
        <v>936</v>
      </c>
      <c r="G1552" s="0" t="n">
        <v>43.9</v>
      </c>
      <c r="H1552" s="0" t="n">
        <v>46</v>
      </c>
      <c r="I1552" s="39" t="s">
        <v>138</v>
      </c>
      <c r="J1552" s="0" t="n">
        <v>137</v>
      </c>
      <c r="K1552" s="0" t="n">
        <v>67</v>
      </c>
      <c r="P1552" s="0" t="n">
        <v>4.27</v>
      </c>
      <c r="Q1552" s="0" t="n">
        <v>3.38</v>
      </c>
      <c r="R1552" s="0" t="n">
        <v>3402</v>
      </c>
      <c r="S1552" s="0" t="n">
        <v>7460</v>
      </c>
      <c r="T1552" s="0" t="n">
        <v>38</v>
      </c>
      <c r="U1552" s="0" t="n">
        <v>839</v>
      </c>
      <c r="V1552" s="0" t="n">
        <v>2</v>
      </c>
      <c r="W1552" s="39" t="n">
        <f aca="false">IF(I1552="Male",0,1)</f>
        <v>1</v>
      </c>
      <c r="X1552" s="39" t="n">
        <f aca="false">IF(OR(I1552="DNB",I1552="Dry DNB"),1,0)</f>
        <v>0</v>
      </c>
      <c r="Y1552" s="39" t="n">
        <f aca="false">MATCH(A1552,DATAS,0)</f>
        <v>1</v>
      </c>
      <c r="Z1552" s="39" t="n">
        <f aca="false">IF(AND(E1552&gt;0,OR(AND(B1552&gt;=1,B1552&lt;=6),B1552=10)),1,0)</f>
        <v>1</v>
      </c>
      <c r="AA1552" s="39" t="n">
        <f aca="false">IF(AND(E1552&gt;0,B1552=10),1,0)</f>
        <v>0</v>
      </c>
      <c r="AB1552" s="0" t="str">
        <f aca="false">IF(AND(C1551=C1552,Y1551=Y1552-1),Z1551,"")</f>
        <v/>
      </c>
      <c r="AC1552" s="0" t="str">
        <f aca="false">IF(AND(C1551=C1552,Y1551=Y1552-1),AA1551,"")</f>
        <v/>
      </c>
      <c r="AD1552" s="0" t="str">
        <f aca="false">IF(Y1552=1,"",IF(AND(Z1552=1,AB1552&lt;&gt;1),1,0))</f>
        <v/>
      </c>
      <c r="AE1552" s="0" t="str">
        <f aca="false">IF(Y1552=1,"",IF(AND(AA1552=1,AC1552&lt;&gt;1),1,0))</f>
        <v/>
      </c>
      <c r="AF1552" s="45" t="str">
        <f aca="false">IF(AND(E1552&gt;0,Y1552&lt;1,NOT(AND(C1553=C1552,Y1553=Y1552+1))),INDEX(DATAS,Y1552+1),"")</f>
        <v/>
      </c>
      <c r="AG1552" s="45" t="str">
        <f aca="false">IF(AND(AA1552=1,Y1552&lt;1),IF(AND(C1553=C1552,Y1553=Y1552+1),IF(AA1553=1,"",INDEX(DATAS,Y1552+1)),INDEX(DATAS,Y1552+1)),"")</f>
        <v/>
      </c>
    </row>
    <row r="1553" customFormat="false" ht="15" hidden="false" customHeight="false" outlineLevel="0" collapsed="false">
      <c r="A1553" s="45" t="n">
        <v>46309</v>
      </c>
      <c r="B1553" s="0" t="n">
        <v>4</v>
      </c>
      <c r="C1553" s="0" t="n">
        <v>5695</v>
      </c>
      <c r="D1553" s="0" t="n">
        <v>199</v>
      </c>
      <c r="E1553" s="0" t="n">
        <v>1</v>
      </c>
      <c r="F1553" s="39" t="s">
        <v>937</v>
      </c>
      <c r="G1553" s="0" t="n">
        <v>49.5</v>
      </c>
      <c r="H1553" s="0" t="n">
        <v>51</v>
      </c>
      <c r="I1553" s="39" t="s">
        <v>109</v>
      </c>
      <c r="J1553" s="0" t="n">
        <v>66</v>
      </c>
      <c r="K1553" s="0" t="n">
        <v>66</v>
      </c>
      <c r="L1553" s="0" t="n">
        <v>133</v>
      </c>
      <c r="P1553" s="0" t="n">
        <v>3.5</v>
      </c>
      <c r="Q1553" s="0" t="n">
        <v>3.33</v>
      </c>
      <c r="R1553" s="0" t="n">
        <v>4271</v>
      </c>
      <c r="S1553" s="0" t="n">
        <v>9621</v>
      </c>
      <c r="T1553" s="0" t="n">
        <v>50.1</v>
      </c>
      <c r="U1553" s="0" t="n">
        <v>838</v>
      </c>
      <c r="V1553" s="0" t="n">
        <v>1</v>
      </c>
      <c r="W1553" s="39" t="n">
        <f aca="false">IF(I1553="Male",0,1)</f>
        <v>1</v>
      </c>
      <c r="X1553" s="39" t="n">
        <f aca="false">IF(OR(I1553="DNB",I1553="Dry DNB"),1,0)</f>
        <v>0</v>
      </c>
      <c r="Y1553" s="39" t="n">
        <f aca="false">MATCH(A1553,DATAS,0)</f>
        <v>1</v>
      </c>
      <c r="Z1553" s="39" t="n">
        <f aca="false">IF(AND(E1553&gt;0,OR(AND(B1553&gt;=1,B1553&lt;=6),B1553=10)),1,0)</f>
        <v>1</v>
      </c>
      <c r="AA1553" s="39" t="n">
        <f aca="false">IF(AND(E1553&gt;0,B1553=10),1,0)</f>
        <v>0</v>
      </c>
      <c r="AB1553" s="0" t="str">
        <f aca="false">IF(AND(C1552=C1553,Y1552=Y1553-1),Z1552,"")</f>
        <v/>
      </c>
      <c r="AC1553" s="0" t="str">
        <f aca="false">IF(AND(C1552=C1553,Y1552=Y1553-1),AA1552,"")</f>
        <v/>
      </c>
      <c r="AD1553" s="0" t="str">
        <f aca="false">IF(Y1553=1,"",IF(AND(Z1553=1,AB1553&lt;&gt;1),1,0))</f>
        <v/>
      </c>
      <c r="AE1553" s="0" t="str">
        <f aca="false">IF(Y1553=1,"",IF(AND(AA1553=1,AC1553&lt;&gt;1),1,0))</f>
        <v/>
      </c>
      <c r="AF1553" s="45" t="str">
        <f aca="false">IF(AND(E1553&gt;0,Y1553&lt;1,NOT(AND(C1554=C1553,Y1554=Y1553+1))),INDEX(DATAS,Y1553+1),"")</f>
        <v/>
      </c>
      <c r="AG1553" s="45" t="str">
        <f aca="false">IF(AND(AA1553=1,Y1553&lt;1),IF(AND(C1554=C1553,Y1554=Y1553+1),IF(AA1554=1,"",INDEX(DATAS,Y1553+1)),INDEX(DATAS,Y1553+1)),"")</f>
        <v/>
      </c>
    </row>
    <row r="1554" customFormat="false" ht="15" hidden="false" customHeight="false" outlineLevel="0" collapsed="false">
      <c r="A1554" s="45" t="n">
        <v>46309</v>
      </c>
      <c r="B1554" s="0" t="n">
        <v>4</v>
      </c>
      <c r="C1554" s="0" t="n">
        <v>5697</v>
      </c>
      <c r="D1554" s="0" t="n">
        <v>202</v>
      </c>
      <c r="E1554" s="0" t="n">
        <v>1</v>
      </c>
      <c r="F1554" s="39" t="s">
        <v>938</v>
      </c>
      <c r="G1554" s="0" t="n">
        <v>46.2</v>
      </c>
      <c r="H1554" s="0" t="n">
        <v>45</v>
      </c>
      <c r="I1554" s="39" t="s">
        <v>109</v>
      </c>
      <c r="J1554" s="0" t="n">
        <v>69</v>
      </c>
      <c r="K1554" s="0" t="n">
        <v>69</v>
      </c>
      <c r="L1554" s="0" t="n">
        <v>133</v>
      </c>
      <c r="P1554" s="0" t="n">
        <v>3.58</v>
      </c>
      <c r="Q1554" s="0" t="n">
        <v>3.59</v>
      </c>
      <c r="R1554" s="0" t="n">
        <v>3409</v>
      </c>
      <c r="S1554" s="0" t="n">
        <v>7782</v>
      </c>
      <c r="T1554" s="0" t="n">
        <v>38.9</v>
      </c>
      <c r="U1554" s="0" t="n">
        <v>837</v>
      </c>
      <c r="V1554" s="0" t="n">
        <v>1</v>
      </c>
      <c r="W1554" s="39" t="n">
        <f aca="false">IF(I1554="Male",0,1)</f>
        <v>1</v>
      </c>
      <c r="X1554" s="39" t="n">
        <f aca="false">IF(OR(I1554="DNB",I1554="Dry DNB"),1,0)</f>
        <v>0</v>
      </c>
      <c r="Y1554" s="39" t="n">
        <f aca="false">MATCH(A1554,DATAS,0)</f>
        <v>1</v>
      </c>
      <c r="Z1554" s="39" t="n">
        <f aca="false">IF(AND(E1554&gt;0,OR(AND(B1554&gt;=1,B1554&lt;=6),B1554=10)),1,0)</f>
        <v>1</v>
      </c>
      <c r="AA1554" s="39" t="n">
        <f aca="false">IF(AND(E1554&gt;0,B1554=10),1,0)</f>
        <v>0</v>
      </c>
      <c r="AB1554" s="0" t="str">
        <f aca="false">IF(AND(C1553=C1554,Y1553=Y1554-1),Z1553,"")</f>
        <v/>
      </c>
      <c r="AC1554" s="0" t="str">
        <f aca="false">IF(AND(C1553=C1554,Y1553=Y1554-1),AA1553,"")</f>
        <v/>
      </c>
      <c r="AD1554" s="0" t="str">
        <f aca="false">IF(Y1554=1,"",IF(AND(Z1554=1,AB1554&lt;&gt;1),1,0))</f>
        <v/>
      </c>
      <c r="AE1554" s="0" t="str">
        <f aca="false">IF(Y1554=1,"",IF(AND(AA1554=1,AC1554&lt;&gt;1),1,0))</f>
        <v/>
      </c>
      <c r="AF1554" s="45" t="str">
        <f aca="false">IF(AND(E1554&gt;0,Y1554&lt;1,NOT(AND(C1555=C1554,Y1555=Y1554+1))),INDEX(DATAS,Y1554+1),"")</f>
        <v/>
      </c>
      <c r="AG1554" s="45" t="str">
        <f aca="false">IF(AND(AA1554=1,Y1554&lt;1),IF(AND(C1555=C1554,Y1555=Y1554+1),IF(AA1555=1,"",INDEX(DATAS,Y1554+1)),INDEX(DATAS,Y1554+1)),"")</f>
        <v/>
      </c>
    </row>
    <row r="1555" customFormat="false" ht="15" hidden="false" customHeight="false" outlineLevel="0" collapsed="false">
      <c r="A1555" s="45" t="n">
        <v>46309</v>
      </c>
      <c r="B1555" s="0" t="n">
        <v>1</v>
      </c>
      <c r="C1555" s="0" t="n">
        <v>5698</v>
      </c>
      <c r="D1555" s="0" t="n">
        <v>91</v>
      </c>
      <c r="E1555" s="0" t="n">
        <v>1</v>
      </c>
      <c r="F1555" s="39" t="s">
        <v>938</v>
      </c>
      <c r="G1555" s="0" t="n">
        <v>53.6</v>
      </c>
      <c r="H1555" s="0" t="n">
        <v>49</v>
      </c>
      <c r="I1555" s="39" t="s">
        <v>138</v>
      </c>
      <c r="J1555" s="0" t="n">
        <v>91</v>
      </c>
      <c r="K1555" s="0" t="n">
        <v>63</v>
      </c>
      <c r="P1555" s="0" t="n">
        <v>3.35</v>
      </c>
      <c r="Q1555" s="0" t="n">
        <v>3</v>
      </c>
      <c r="R1555" s="0" t="n">
        <v>4107</v>
      </c>
      <c r="S1555" s="0" t="n">
        <v>8256</v>
      </c>
      <c r="U1555" s="0" t="n">
        <v>837</v>
      </c>
      <c r="V1555" s="0" t="n">
        <v>2</v>
      </c>
      <c r="W1555" s="39" t="n">
        <f aca="false">IF(I1555="Male",0,1)</f>
        <v>1</v>
      </c>
      <c r="X1555" s="39" t="n">
        <f aca="false">IF(OR(I1555="DNB",I1555="Dry DNB"),1,0)</f>
        <v>0</v>
      </c>
      <c r="Y1555" s="39" t="n">
        <f aca="false">MATCH(A1555,DATAS,0)</f>
        <v>1</v>
      </c>
      <c r="Z1555" s="39" t="n">
        <f aca="false">IF(AND(E1555&gt;0,OR(AND(B1555&gt;=1,B1555&lt;=6),B1555=10)),1,0)</f>
        <v>1</v>
      </c>
      <c r="AA1555" s="39" t="n">
        <f aca="false">IF(AND(E1555&gt;0,B1555=10),1,0)</f>
        <v>0</v>
      </c>
      <c r="AB1555" s="0" t="str">
        <f aca="false">IF(AND(C1554=C1555,Y1554=Y1555-1),Z1554,"")</f>
        <v/>
      </c>
      <c r="AC1555" s="0" t="str">
        <f aca="false">IF(AND(C1554=C1555,Y1554=Y1555-1),AA1554,"")</f>
        <v/>
      </c>
      <c r="AD1555" s="0" t="str">
        <f aca="false">IF(Y1555=1,"",IF(AND(Z1555=1,AB1555&lt;&gt;1),1,0))</f>
        <v/>
      </c>
      <c r="AE1555" s="0" t="str">
        <f aca="false">IF(Y1555=1,"",IF(AND(AA1555=1,AC1555&lt;&gt;1),1,0))</f>
        <v/>
      </c>
      <c r="AF1555" s="45" t="str">
        <f aca="false">IF(AND(E1555&gt;0,Y1555&lt;1,NOT(AND(C1556=C1555,Y1556=Y1555+1))),INDEX(DATAS,Y1555+1),"")</f>
        <v/>
      </c>
      <c r="AG1555" s="45" t="str">
        <f aca="false">IF(AND(AA1555=1,Y1555&lt;1),IF(AND(C1556=C1555,Y1556=Y1555+1),IF(AA1556=1,"",INDEX(DATAS,Y1555+1)),INDEX(DATAS,Y1555+1)),"")</f>
        <v/>
      </c>
    </row>
    <row r="1556" customFormat="false" ht="15" hidden="false" customHeight="false" outlineLevel="0" collapsed="false">
      <c r="A1556" s="45" t="n">
        <v>46309</v>
      </c>
      <c r="B1556" s="0" t="n">
        <v>1</v>
      </c>
      <c r="C1556" s="0" t="n">
        <v>5699</v>
      </c>
      <c r="D1556" s="0" t="n">
        <v>96</v>
      </c>
      <c r="E1556" s="0" t="n">
        <v>1</v>
      </c>
      <c r="F1556" s="39" t="s">
        <v>938</v>
      </c>
      <c r="G1556" s="0" t="n">
        <v>61.1</v>
      </c>
      <c r="H1556" s="0" t="n">
        <v>60</v>
      </c>
      <c r="I1556" s="39" t="s">
        <v>138</v>
      </c>
      <c r="J1556" s="0" t="n">
        <v>96</v>
      </c>
      <c r="K1556" s="0" t="n">
        <v>68</v>
      </c>
      <c r="P1556" s="0" t="n">
        <v>3.58</v>
      </c>
      <c r="Q1556" s="0" t="n">
        <v>2.9</v>
      </c>
      <c r="R1556" s="0" t="n">
        <v>4923</v>
      </c>
      <c r="S1556" s="0" t="n">
        <v>9896</v>
      </c>
      <c r="T1556" s="0" t="n">
        <v>49.35</v>
      </c>
      <c r="U1556" s="0" t="n">
        <v>837</v>
      </c>
      <c r="V1556" s="0" t="n">
        <v>2</v>
      </c>
      <c r="W1556" s="39" t="n">
        <f aca="false">IF(I1556="Male",0,1)</f>
        <v>1</v>
      </c>
      <c r="X1556" s="39" t="n">
        <f aca="false">IF(OR(I1556="DNB",I1556="Dry DNB"),1,0)</f>
        <v>0</v>
      </c>
      <c r="Y1556" s="39" t="n">
        <f aca="false">MATCH(A1556,DATAS,0)</f>
        <v>1</v>
      </c>
      <c r="Z1556" s="39" t="n">
        <f aca="false">IF(AND(E1556&gt;0,OR(AND(B1556&gt;=1,B1556&lt;=6),B1556=10)),1,0)</f>
        <v>1</v>
      </c>
      <c r="AA1556" s="39" t="n">
        <f aca="false">IF(AND(E1556&gt;0,B1556=10),1,0)</f>
        <v>0</v>
      </c>
      <c r="AB1556" s="0" t="str">
        <f aca="false">IF(AND(C1555=C1556,Y1555=Y1556-1),Z1555,"")</f>
        <v/>
      </c>
      <c r="AC1556" s="0" t="str">
        <f aca="false">IF(AND(C1555=C1556,Y1555=Y1556-1),AA1555,"")</f>
        <v/>
      </c>
      <c r="AD1556" s="0" t="str">
        <f aca="false">IF(Y1556=1,"",IF(AND(Z1556=1,AB1556&lt;&gt;1),1,0))</f>
        <v/>
      </c>
      <c r="AE1556" s="0" t="str">
        <f aca="false">IF(Y1556=1,"",IF(AND(AA1556=1,AC1556&lt;&gt;1),1,0))</f>
        <v/>
      </c>
      <c r="AF1556" s="45" t="str">
        <f aca="false">IF(AND(E1556&gt;0,Y1556&lt;1,NOT(AND(C1557=C1556,Y1557=Y1556+1))),INDEX(DATAS,Y1556+1),"")</f>
        <v/>
      </c>
      <c r="AG1556" s="45" t="str">
        <f aca="false">IF(AND(AA1556=1,Y1556&lt;1),IF(AND(C1557=C1556,Y1557=Y1556+1),IF(AA1557=1,"",INDEX(DATAS,Y1556+1)),INDEX(DATAS,Y1556+1)),"")</f>
        <v/>
      </c>
    </row>
    <row r="1557" customFormat="false" ht="15" hidden="false" customHeight="false" outlineLevel="0" collapsed="false">
      <c r="A1557" s="45" t="n">
        <v>46309</v>
      </c>
      <c r="B1557" s="0" t="n">
        <v>4</v>
      </c>
      <c r="C1557" s="0" t="n">
        <v>5700</v>
      </c>
      <c r="D1557" s="0" t="n">
        <v>187</v>
      </c>
      <c r="E1557" s="0" t="n">
        <v>1</v>
      </c>
      <c r="F1557" s="39" t="s">
        <v>938</v>
      </c>
      <c r="G1557" s="0" t="n">
        <v>52.4</v>
      </c>
      <c r="H1557" s="0" t="n">
        <v>54</v>
      </c>
      <c r="I1557" s="39" t="s">
        <v>109</v>
      </c>
      <c r="J1557" s="0" t="n">
        <v>97</v>
      </c>
      <c r="K1557" s="0" t="n">
        <v>75</v>
      </c>
      <c r="L1557" s="0" t="n">
        <v>90</v>
      </c>
      <c r="P1557" s="0" t="n">
        <v>3.04</v>
      </c>
      <c r="Q1557" s="0" t="n">
        <v>3.35</v>
      </c>
      <c r="R1557" s="0" t="n">
        <v>4058</v>
      </c>
      <c r="S1557" s="0" t="n">
        <v>9490</v>
      </c>
      <c r="T1557" s="0" t="n">
        <v>38.95</v>
      </c>
      <c r="U1557" s="0" t="n">
        <v>837</v>
      </c>
      <c r="V1557" s="0" t="n">
        <v>2</v>
      </c>
      <c r="W1557" s="39" t="n">
        <f aca="false">IF(I1557="Male",0,1)</f>
        <v>1</v>
      </c>
      <c r="X1557" s="39" t="n">
        <f aca="false">IF(OR(I1557="DNB",I1557="Dry DNB"),1,0)</f>
        <v>0</v>
      </c>
      <c r="Y1557" s="39" t="n">
        <f aca="false">MATCH(A1557,DATAS,0)</f>
        <v>1</v>
      </c>
      <c r="Z1557" s="39" t="n">
        <f aca="false">IF(AND(E1557&gt;0,OR(AND(B1557&gt;=1,B1557&lt;=6),B1557=10)),1,0)</f>
        <v>1</v>
      </c>
      <c r="AA1557" s="39" t="n">
        <f aca="false">IF(AND(E1557&gt;0,B1557=10),1,0)</f>
        <v>0</v>
      </c>
      <c r="AB1557" s="0" t="str">
        <f aca="false">IF(AND(C1556=C1557,Y1556=Y1557-1),Z1556,"")</f>
        <v/>
      </c>
      <c r="AC1557" s="0" t="str">
        <f aca="false">IF(AND(C1556=C1557,Y1556=Y1557-1),AA1556,"")</f>
        <v/>
      </c>
      <c r="AD1557" s="0" t="str">
        <f aca="false">IF(Y1557=1,"",IF(AND(Z1557=1,AB1557&lt;&gt;1),1,0))</f>
        <v/>
      </c>
      <c r="AE1557" s="0" t="str">
        <f aca="false">IF(Y1557=1,"",IF(AND(AA1557=1,AC1557&lt;&gt;1),1,0))</f>
        <v/>
      </c>
      <c r="AF1557" s="45" t="str">
        <f aca="false">IF(AND(E1557&gt;0,Y1557&lt;1,NOT(AND(C1558=C1557,Y1558=Y1557+1))),INDEX(DATAS,Y1557+1),"")</f>
        <v/>
      </c>
      <c r="AG1557" s="45" t="str">
        <f aca="false">IF(AND(AA1557=1,Y1557&lt;1),IF(AND(C1558=C1557,Y1558=Y1557+1),IF(AA1558=1,"",INDEX(DATAS,Y1557+1)),INDEX(DATAS,Y1557+1)),"")</f>
        <v/>
      </c>
    </row>
    <row r="1558" customFormat="false" ht="15" hidden="false" customHeight="false" outlineLevel="0" collapsed="false">
      <c r="A1558" s="45" t="n">
        <v>46309</v>
      </c>
      <c r="B1558" s="0" t="n">
        <v>4</v>
      </c>
      <c r="C1558" s="0" t="n">
        <v>5701</v>
      </c>
      <c r="D1558" s="0" t="n">
        <v>167</v>
      </c>
      <c r="E1558" s="0" t="n">
        <v>1</v>
      </c>
      <c r="F1558" s="39" t="s">
        <v>939</v>
      </c>
      <c r="G1558" s="0" t="n">
        <v>55.3</v>
      </c>
      <c r="H1558" s="0" t="n">
        <v>53</v>
      </c>
      <c r="I1558" s="39" t="s">
        <v>109</v>
      </c>
      <c r="J1558" s="0" t="n">
        <v>62</v>
      </c>
      <c r="K1558" s="0" t="n">
        <v>62</v>
      </c>
      <c r="L1558" s="0" t="n">
        <v>105</v>
      </c>
      <c r="P1558" s="0" t="n">
        <v>3.62</v>
      </c>
      <c r="Q1558" s="0" t="n">
        <v>3.32</v>
      </c>
      <c r="R1558" s="0" t="n">
        <v>4290</v>
      </c>
      <c r="S1558" s="0" t="n">
        <v>9321</v>
      </c>
      <c r="T1558" s="0" t="n">
        <v>48.8</v>
      </c>
      <c r="U1558" s="0" t="n">
        <v>835</v>
      </c>
      <c r="V1558" s="0" t="n">
        <v>1</v>
      </c>
      <c r="W1558" s="39" t="n">
        <f aca="false">IF(I1558="Male",0,1)</f>
        <v>1</v>
      </c>
      <c r="X1558" s="39" t="n">
        <f aca="false">IF(OR(I1558="DNB",I1558="Dry DNB"),1,0)</f>
        <v>0</v>
      </c>
      <c r="Y1558" s="39" t="n">
        <f aca="false">MATCH(A1558,DATAS,0)</f>
        <v>1</v>
      </c>
      <c r="Z1558" s="39" t="n">
        <f aca="false">IF(AND(E1558&gt;0,OR(AND(B1558&gt;=1,B1558&lt;=6),B1558=10)),1,0)</f>
        <v>1</v>
      </c>
      <c r="AA1558" s="39" t="n">
        <f aca="false">IF(AND(E1558&gt;0,B1558=10),1,0)</f>
        <v>0</v>
      </c>
      <c r="AB1558" s="0" t="str">
        <f aca="false">IF(AND(C1557=C1558,Y1557=Y1558-1),Z1557,"")</f>
        <v/>
      </c>
      <c r="AC1558" s="0" t="str">
        <f aca="false">IF(AND(C1557=C1558,Y1557=Y1558-1),AA1557,"")</f>
        <v/>
      </c>
      <c r="AD1558" s="0" t="str">
        <f aca="false">IF(Y1558=1,"",IF(AND(Z1558=1,AB1558&lt;&gt;1),1,0))</f>
        <v/>
      </c>
      <c r="AE1558" s="0" t="str">
        <f aca="false">IF(Y1558=1,"",IF(AND(AA1558=1,AC1558&lt;&gt;1),1,0))</f>
        <v/>
      </c>
      <c r="AF1558" s="45" t="str">
        <f aca="false">IF(AND(E1558&gt;0,Y1558&lt;1,NOT(AND(C1559=C1558,Y1559=Y1558+1))),INDEX(DATAS,Y1558+1),"")</f>
        <v/>
      </c>
      <c r="AG1558" s="45" t="str">
        <f aca="false">IF(AND(AA1558=1,Y1558&lt;1),IF(AND(C1559=C1558,Y1559=Y1558+1),IF(AA1559=1,"",INDEX(DATAS,Y1558+1)),INDEX(DATAS,Y1558+1)),"")</f>
        <v/>
      </c>
    </row>
    <row r="1559" customFormat="false" ht="15" hidden="false" customHeight="false" outlineLevel="0" collapsed="false">
      <c r="A1559" s="45" t="n">
        <v>46309</v>
      </c>
      <c r="B1559" s="0" t="n">
        <v>1</v>
      </c>
      <c r="C1559" s="0" t="n">
        <v>5704</v>
      </c>
      <c r="D1559" s="0" t="n">
        <v>89</v>
      </c>
      <c r="E1559" s="0" t="n">
        <v>1</v>
      </c>
      <c r="F1559" s="39" t="s">
        <v>940</v>
      </c>
      <c r="G1559" s="0" t="n">
        <v>48.9</v>
      </c>
      <c r="H1559" s="0" t="n">
        <v>48</v>
      </c>
      <c r="I1559" s="39" t="s">
        <v>138</v>
      </c>
      <c r="J1559" s="0" t="n">
        <v>89</v>
      </c>
      <c r="K1559" s="0" t="n">
        <v>68</v>
      </c>
      <c r="P1559" s="0" t="n">
        <v>3.12</v>
      </c>
      <c r="Q1559" s="0" t="n">
        <v>2.98</v>
      </c>
      <c r="R1559" s="0" t="n">
        <v>4640</v>
      </c>
      <c r="S1559" s="0" t="n">
        <v>9326</v>
      </c>
      <c r="U1559" s="0" t="n">
        <v>834</v>
      </c>
      <c r="V1559" s="0" t="n">
        <v>1</v>
      </c>
      <c r="W1559" s="39" t="n">
        <f aca="false">IF(I1559="Male",0,1)</f>
        <v>1</v>
      </c>
      <c r="X1559" s="39" t="n">
        <f aca="false">IF(OR(I1559="DNB",I1559="Dry DNB"),1,0)</f>
        <v>0</v>
      </c>
      <c r="Y1559" s="39" t="n">
        <f aca="false">MATCH(A1559,DATAS,0)</f>
        <v>1</v>
      </c>
      <c r="Z1559" s="39" t="n">
        <f aca="false">IF(AND(E1559&gt;0,OR(AND(B1559&gt;=1,B1559&lt;=6),B1559=10)),1,0)</f>
        <v>1</v>
      </c>
      <c r="AA1559" s="39" t="n">
        <f aca="false">IF(AND(E1559&gt;0,B1559=10),1,0)</f>
        <v>0</v>
      </c>
      <c r="AB1559" s="0" t="str">
        <f aca="false">IF(AND(C1558=C1559,Y1558=Y1559-1),Z1558,"")</f>
        <v/>
      </c>
      <c r="AC1559" s="0" t="str">
        <f aca="false">IF(AND(C1558=C1559,Y1558=Y1559-1),AA1558,"")</f>
        <v/>
      </c>
      <c r="AD1559" s="0" t="str">
        <f aca="false">IF(Y1559=1,"",IF(AND(Z1559=1,AB1559&lt;&gt;1),1,0))</f>
        <v/>
      </c>
      <c r="AE1559" s="0" t="str">
        <f aca="false">IF(Y1559=1,"",IF(AND(AA1559=1,AC1559&lt;&gt;1),1,0))</f>
        <v/>
      </c>
      <c r="AF1559" s="45" t="str">
        <f aca="false">IF(AND(E1559&gt;0,Y1559&lt;1,NOT(AND(C1560=C1559,Y1560=Y1559+1))),INDEX(DATAS,Y1559+1),"")</f>
        <v/>
      </c>
      <c r="AG1559" s="45" t="str">
        <f aca="false">IF(AND(AA1559=1,Y1559&lt;1),IF(AND(C1560=C1559,Y1560=Y1559+1),IF(AA1560=1,"",INDEX(DATAS,Y1559+1)),INDEX(DATAS,Y1559+1)),"")</f>
        <v/>
      </c>
    </row>
    <row r="1560" customFormat="false" ht="15" hidden="false" customHeight="false" outlineLevel="0" collapsed="false">
      <c r="A1560" s="45" t="n">
        <v>46309</v>
      </c>
      <c r="B1560" s="0" t="n">
        <v>4</v>
      </c>
      <c r="C1560" s="0" t="n">
        <v>5705</v>
      </c>
      <c r="D1560" s="0" t="n">
        <v>192</v>
      </c>
      <c r="E1560" s="0" t="n">
        <v>1</v>
      </c>
      <c r="F1560" s="39" t="s">
        <v>941</v>
      </c>
      <c r="G1560" s="0" t="n">
        <v>36.9</v>
      </c>
      <c r="H1560" s="0" t="n">
        <v>36</v>
      </c>
      <c r="I1560" s="39" t="s">
        <v>109</v>
      </c>
      <c r="J1560" s="0" t="n">
        <v>136</v>
      </c>
      <c r="K1560" s="0" t="n">
        <v>66</v>
      </c>
      <c r="L1560" s="0" t="n">
        <v>56</v>
      </c>
      <c r="P1560" s="0" t="n">
        <v>3.81</v>
      </c>
      <c r="Q1560" s="0" t="n">
        <v>3.44</v>
      </c>
      <c r="R1560" s="0" t="n">
        <v>3964</v>
      </c>
      <c r="S1560" s="0" t="n">
        <v>7665</v>
      </c>
      <c r="T1560" s="0" t="n">
        <v>42.1</v>
      </c>
      <c r="U1560" s="0" t="n">
        <v>833</v>
      </c>
      <c r="V1560" s="0" t="n">
        <v>3</v>
      </c>
      <c r="W1560" s="39" t="n">
        <f aca="false">IF(I1560="Male",0,1)</f>
        <v>1</v>
      </c>
      <c r="X1560" s="39" t="n">
        <f aca="false">IF(OR(I1560="DNB",I1560="Dry DNB"),1,0)</f>
        <v>0</v>
      </c>
      <c r="Y1560" s="39" t="n">
        <f aca="false">MATCH(A1560,DATAS,0)</f>
        <v>1</v>
      </c>
      <c r="Z1560" s="39" t="n">
        <f aca="false">IF(AND(E1560&gt;0,OR(AND(B1560&gt;=1,B1560&lt;=6),B1560=10)),1,0)</f>
        <v>1</v>
      </c>
      <c r="AA1560" s="39" t="n">
        <f aca="false">IF(AND(E1560&gt;0,B1560=10),1,0)</f>
        <v>0</v>
      </c>
      <c r="AB1560" s="0" t="str">
        <f aca="false">IF(AND(C1559=C1560,Y1559=Y1560-1),Z1559,"")</f>
        <v/>
      </c>
      <c r="AC1560" s="0" t="str">
        <f aca="false">IF(AND(C1559=C1560,Y1559=Y1560-1),AA1559,"")</f>
        <v/>
      </c>
      <c r="AD1560" s="0" t="str">
        <f aca="false">IF(Y1560=1,"",IF(AND(Z1560=1,AB1560&lt;&gt;1),1,0))</f>
        <v/>
      </c>
      <c r="AE1560" s="0" t="str">
        <f aca="false">IF(Y1560=1,"",IF(AND(AA1560=1,AC1560&lt;&gt;1),1,0))</f>
        <v/>
      </c>
      <c r="AF1560" s="45" t="str">
        <f aca="false">IF(AND(E1560&gt;0,Y1560&lt;1,NOT(AND(C1561=C1560,Y1561=Y1560+1))),INDEX(DATAS,Y1560+1),"")</f>
        <v/>
      </c>
      <c r="AG1560" s="45" t="str">
        <f aca="false">IF(AND(AA1560=1,Y1560&lt;1),IF(AND(C1561=C1560,Y1561=Y1560+1),IF(AA1561=1,"",INDEX(DATAS,Y1560+1)),INDEX(DATAS,Y1560+1)),"")</f>
        <v/>
      </c>
    </row>
    <row r="1561" customFormat="false" ht="15" hidden="false" customHeight="false" outlineLevel="0" collapsed="false">
      <c r="A1561" s="45" t="n">
        <v>46309</v>
      </c>
      <c r="B1561" s="0" t="n">
        <v>4</v>
      </c>
      <c r="C1561" s="0" t="n">
        <v>5707</v>
      </c>
      <c r="D1561" s="0" t="n">
        <v>115</v>
      </c>
      <c r="E1561" s="0" t="n">
        <v>1</v>
      </c>
      <c r="F1561" s="39" t="s">
        <v>941</v>
      </c>
      <c r="G1561" s="0" t="n">
        <v>52.6</v>
      </c>
      <c r="H1561" s="0" t="n">
        <v>49</v>
      </c>
      <c r="I1561" s="39" t="s">
        <v>109</v>
      </c>
      <c r="J1561" s="0" t="n">
        <v>67</v>
      </c>
      <c r="K1561" s="0" t="n">
        <v>67</v>
      </c>
      <c r="L1561" s="0" t="n">
        <v>48</v>
      </c>
      <c r="P1561" s="0" t="n">
        <v>4.68</v>
      </c>
      <c r="Q1561" s="0" t="n">
        <v>2.98</v>
      </c>
      <c r="R1561" s="0" t="n">
        <v>4176</v>
      </c>
      <c r="S1561" s="0" t="n">
        <v>8662</v>
      </c>
      <c r="T1561" s="0" t="n">
        <v>44.55</v>
      </c>
      <c r="U1561" s="0" t="n">
        <v>833</v>
      </c>
      <c r="V1561" s="0" t="n">
        <v>1</v>
      </c>
      <c r="W1561" s="39" t="n">
        <f aca="false">IF(I1561="Male",0,1)</f>
        <v>1</v>
      </c>
      <c r="X1561" s="39" t="n">
        <f aca="false">IF(OR(I1561="DNB",I1561="Dry DNB"),1,0)</f>
        <v>0</v>
      </c>
      <c r="Y1561" s="39" t="n">
        <f aca="false">MATCH(A1561,DATAS,0)</f>
        <v>1</v>
      </c>
      <c r="Z1561" s="39" t="n">
        <f aca="false">IF(AND(E1561&gt;0,OR(AND(B1561&gt;=1,B1561&lt;=6),B1561=10)),1,0)</f>
        <v>1</v>
      </c>
      <c r="AA1561" s="39" t="n">
        <f aca="false">IF(AND(E1561&gt;0,B1561=10),1,0)</f>
        <v>0</v>
      </c>
      <c r="AB1561" s="0" t="str">
        <f aca="false">IF(AND(C1560=C1561,Y1560=Y1561-1),Z1560,"")</f>
        <v/>
      </c>
      <c r="AC1561" s="0" t="str">
        <f aca="false">IF(AND(C1560=C1561,Y1560=Y1561-1),AA1560,"")</f>
        <v/>
      </c>
      <c r="AD1561" s="0" t="str">
        <f aca="false">IF(Y1561=1,"",IF(AND(Z1561=1,AB1561&lt;&gt;1),1,0))</f>
        <v/>
      </c>
      <c r="AE1561" s="0" t="str">
        <f aca="false">IF(Y1561=1,"",IF(AND(AA1561=1,AC1561&lt;&gt;1),1,0))</f>
        <v/>
      </c>
      <c r="AF1561" s="45" t="str">
        <f aca="false">IF(AND(E1561&gt;0,Y1561&lt;1,NOT(AND(C1562=C1561,Y1562=Y1561+1))),INDEX(DATAS,Y1561+1),"")</f>
        <v/>
      </c>
      <c r="AG1561" s="45" t="str">
        <f aca="false">IF(AND(AA1561=1,Y1561&lt;1),IF(AND(C1562=C1561,Y1562=Y1561+1),IF(AA1562=1,"",INDEX(DATAS,Y1561+1)),INDEX(DATAS,Y1561+1)),"")</f>
        <v/>
      </c>
    </row>
    <row r="1562" customFormat="false" ht="15" hidden="false" customHeight="false" outlineLevel="0" collapsed="false">
      <c r="A1562" s="45" t="n">
        <v>46309</v>
      </c>
      <c r="B1562" s="0" t="n">
        <v>1</v>
      </c>
      <c r="C1562" s="0" t="n">
        <v>5708</v>
      </c>
      <c r="D1562" s="0" t="n">
        <v>101</v>
      </c>
      <c r="E1562" s="0" t="n">
        <v>1</v>
      </c>
      <c r="F1562" s="39" t="s">
        <v>941</v>
      </c>
      <c r="G1562" s="0" t="n">
        <v>50.8</v>
      </c>
      <c r="H1562" s="0" t="n">
        <v>51</v>
      </c>
      <c r="I1562" s="39" t="s">
        <v>109</v>
      </c>
      <c r="J1562" s="0" t="n">
        <v>66</v>
      </c>
      <c r="K1562" s="0" t="n">
        <v>66</v>
      </c>
      <c r="L1562" s="0" t="n">
        <v>35</v>
      </c>
      <c r="P1562" s="0" t="n">
        <v>3.84</v>
      </c>
      <c r="Q1562" s="0" t="n">
        <v>3.12</v>
      </c>
      <c r="R1562" s="0" t="n">
        <v>3779</v>
      </c>
      <c r="S1562" s="0" t="n">
        <v>7621</v>
      </c>
      <c r="T1562" s="0" t="n">
        <v>43.8</v>
      </c>
      <c r="U1562" s="0" t="n">
        <v>833</v>
      </c>
      <c r="V1562" s="0" t="n">
        <v>1</v>
      </c>
      <c r="W1562" s="39" t="n">
        <f aca="false">IF(I1562="Male",0,1)</f>
        <v>1</v>
      </c>
      <c r="X1562" s="39" t="n">
        <f aca="false">IF(OR(I1562="DNB",I1562="Dry DNB"),1,0)</f>
        <v>0</v>
      </c>
      <c r="Y1562" s="39" t="n">
        <f aca="false">MATCH(A1562,DATAS,0)</f>
        <v>1</v>
      </c>
      <c r="Z1562" s="39" t="n">
        <f aca="false">IF(AND(E1562&gt;0,OR(AND(B1562&gt;=1,B1562&lt;=6),B1562=10)),1,0)</f>
        <v>1</v>
      </c>
      <c r="AA1562" s="39" t="n">
        <f aca="false">IF(AND(E1562&gt;0,B1562=10),1,0)</f>
        <v>0</v>
      </c>
      <c r="AB1562" s="0" t="str">
        <f aca="false">IF(AND(C1561=C1562,Y1561=Y1562-1),Z1561,"")</f>
        <v/>
      </c>
      <c r="AC1562" s="0" t="str">
        <f aca="false">IF(AND(C1561=C1562,Y1561=Y1562-1),AA1561,"")</f>
        <v/>
      </c>
      <c r="AD1562" s="0" t="str">
        <f aca="false">IF(Y1562=1,"",IF(AND(Z1562=1,AB1562&lt;&gt;1),1,0))</f>
        <v/>
      </c>
      <c r="AE1562" s="0" t="str">
        <f aca="false">IF(Y1562=1,"",IF(AND(AA1562=1,AC1562&lt;&gt;1),1,0))</f>
        <v/>
      </c>
      <c r="AF1562" s="45" t="str">
        <f aca="false">IF(AND(E1562&gt;0,Y1562&lt;1,NOT(AND(C1563=C1562,Y1563=Y1562+1))),INDEX(DATAS,Y1562+1),"")</f>
        <v/>
      </c>
      <c r="AG1562" s="45" t="str">
        <f aca="false">IF(AND(AA1562=1,Y1562&lt;1),IF(AND(C1563=C1562,Y1563=Y1562+1),IF(AA1563=1,"",INDEX(DATAS,Y1562+1)),INDEX(DATAS,Y1562+1)),"")</f>
        <v/>
      </c>
    </row>
    <row r="1563" customFormat="false" ht="15" hidden="false" customHeight="false" outlineLevel="0" collapsed="false">
      <c r="A1563" s="45" t="n">
        <v>46309</v>
      </c>
      <c r="B1563" s="0" t="n">
        <v>8</v>
      </c>
      <c r="C1563" s="0" t="n">
        <v>5709</v>
      </c>
      <c r="E1563" s="0" t="n">
        <v>0</v>
      </c>
      <c r="F1563" s="39" t="s">
        <v>942</v>
      </c>
      <c r="I1563" s="39" t="s">
        <v>109</v>
      </c>
      <c r="L1563" s="0" t="n">
        <v>147</v>
      </c>
      <c r="U1563" s="0" t="n">
        <v>832</v>
      </c>
      <c r="V1563" s="0" t="n">
        <v>9</v>
      </c>
      <c r="W1563" s="39" t="n">
        <f aca="false">IF(I1563="Male",0,1)</f>
        <v>1</v>
      </c>
      <c r="X1563" s="39" t="n">
        <f aca="false">IF(OR(I1563="DNB",I1563="Dry DNB"),1,0)</f>
        <v>0</v>
      </c>
      <c r="Y1563" s="39" t="n">
        <f aca="false">MATCH(A1563,DATAS,0)</f>
        <v>1</v>
      </c>
      <c r="Z1563" s="39" t="n">
        <f aca="false">IF(AND(E1563&gt;0,OR(AND(B1563&gt;=1,B1563&lt;=6),B1563=10)),1,0)</f>
        <v>0</v>
      </c>
      <c r="AA1563" s="39" t="n">
        <f aca="false">IF(AND(E1563&gt;0,B1563=10),1,0)</f>
        <v>0</v>
      </c>
      <c r="AB1563" s="0" t="str">
        <f aca="false">IF(AND(C1562=C1563,Y1562=Y1563-1),Z1562,"")</f>
        <v/>
      </c>
      <c r="AC1563" s="0" t="str">
        <f aca="false">IF(AND(C1562=C1563,Y1562=Y1563-1),AA1562,"")</f>
        <v/>
      </c>
      <c r="AD1563" s="0" t="str">
        <f aca="false">IF(Y1563=1,"",IF(AND(Z1563=1,AB1563&lt;&gt;1),1,0))</f>
        <v/>
      </c>
      <c r="AE1563" s="0" t="str">
        <f aca="false">IF(Y1563=1,"",IF(AND(AA1563=1,AC1563&lt;&gt;1),1,0))</f>
        <v/>
      </c>
      <c r="AF1563" s="45" t="str">
        <f aca="false">IF(AND(E1563&gt;0,Y1563&lt;1,NOT(AND(C1564=C1563,Y1564=Y1563+1))),INDEX(DATAS,Y1563+1),"")</f>
        <v/>
      </c>
      <c r="AG1563" s="45" t="str">
        <f aca="false">IF(AND(AA1563=1,Y1563&lt;1),IF(AND(C1564=C1563,Y1564=Y1563+1),IF(AA1564=1,"",INDEX(DATAS,Y1563+1)),INDEX(DATAS,Y1563+1)),"")</f>
        <v/>
      </c>
    </row>
    <row r="1564" customFormat="false" ht="15" hidden="false" customHeight="false" outlineLevel="0" collapsed="false">
      <c r="A1564" s="45" t="n">
        <v>46309</v>
      </c>
      <c r="B1564" s="0" t="n">
        <v>4</v>
      </c>
      <c r="C1564" s="0" t="n">
        <v>5710</v>
      </c>
      <c r="D1564" s="0" t="n">
        <v>193</v>
      </c>
      <c r="E1564" s="0" t="n">
        <v>1</v>
      </c>
      <c r="F1564" s="39" t="s">
        <v>942</v>
      </c>
      <c r="G1564" s="0" t="n">
        <v>47.4</v>
      </c>
      <c r="H1564" s="0" t="n">
        <v>47</v>
      </c>
      <c r="I1564" s="39" t="s">
        <v>109</v>
      </c>
      <c r="J1564" s="0" t="n">
        <v>92</v>
      </c>
      <c r="K1564" s="0" t="n">
        <v>67</v>
      </c>
      <c r="L1564" s="0" t="n">
        <v>101</v>
      </c>
      <c r="P1564" s="0" t="n">
        <v>4.33</v>
      </c>
      <c r="Q1564" s="0" t="n">
        <v>3.27</v>
      </c>
      <c r="R1564" s="0" t="n">
        <v>3702</v>
      </c>
      <c r="S1564" s="0" t="n">
        <v>8464</v>
      </c>
      <c r="T1564" s="0" t="n">
        <v>44.95</v>
      </c>
      <c r="U1564" s="0" t="n">
        <v>832</v>
      </c>
      <c r="V1564" s="0" t="n">
        <v>2</v>
      </c>
      <c r="W1564" s="39" t="n">
        <f aca="false">IF(I1564="Male",0,1)</f>
        <v>1</v>
      </c>
      <c r="X1564" s="39" t="n">
        <f aca="false">IF(OR(I1564="DNB",I1564="Dry DNB"),1,0)</f>
        <v>0</v>
      </c>
      <c r="Y1564" s="39" t="n">
        <f aca="false">MATCH(A1564,DATAS,0)</f>
        <v>1</v>
      </c>
      <c r="Z1564" s="39" t="n">
        <f aca="false">IF(AND(E1564&gt;0,OR(AND(B1564&gt;=1,B1564&lt;=6),B1564=10)),1,0)</f>
        <v>1</v>
      </c>
      <c r="AA1564" s="39" t="n">
        <f aca="false">IF(AND(E1564&gt;0,B1564=10),1,0)</f>
        <v>0</v>
      </c>
      <c r="AB1564" s="0" t="str">
        <f aca="false">IF(AND(C1563=C1564,Y1563=Y1564-1),Z1563,"")</f>
        <v/>
      </c>
      <c r="AC1564" s="0" t="str">
        <f aca="false">IF(AND(C1563=C1564,Y1563=Y1564-1),AA1563,"")</f>
        <v/>
      </c>
      <c r="AD1564" s="0" t="str">
        <f aca="false">IF(Y1564=1,"",IF(AND(Z1564=1,AB1564&lt;&gt;1),1,0))</f>
        <v/>
      </c>
      <c r="AE1564" s="0" t="str">
        <f aca="false">IF(Y1564=1,"",IF(AND(AA1564=1,AC1564&lt;&gt;1),1,0))</f>
        <v/>
      </c>
      <c r="AF1564" s="45" t="str">
        <f aca="false">IF(AND(E1564&gt;0,Y1564&lt;1,NOT(AND(C1565=C1564,Y1565=Y1564+1))),INDEX(DATAS,Y1564+1),"")</f>
        <v/>
      </c>
      <c r="AG1564" s="45" t="str">
        <f aca="false">IF(AND(AA1564=1,Y1564&lt;1),IF(AND(C1565=C1564,Y1565=Y1564+1),IF(AA1565=1,"",INDEX(DATAS,Y1564+1)),INDEX(DATAS,Y1564+1)),"")</f>
        <v/>
      </c>
    </row>
    <row r="1565" customFormat="false" ht="15" hidden="false" customHeight="false" outlineLevel="0" collapsed="false">
      <c r="A1565" s="45" t="n">
        <v>46309</v>
      </c>
      <c r="B1565" s="0" t="n">
        <v>1</v>
      </c>
      <c r="C1565" s="0" t="n">
        <v>5711</v>
      </c>
      <c r="D1565" s="0" t="n">
        <v>35</v>
      </c>
      <c r="E1565" s="0" t="n">
        <v>1</v>
      </c>
      <c r="F1565" s="39" t="s">
        <v>942</v>
      </c>
      <c r="G1565" s="0" t="n">
        <v>47.8</v>
      </c>
      <c r="H1565" s="0" t="n">
        <v>45</v>
      </c>
      <c r="I1565" s="39" t="s">
        <v>118</v>
      </c>
      <c r="J1565" s="0" t="n">
        <v>35</v>
      </c>
      <c r="P1565" s="0" t="n">
        <v>5.29</v>
      </c>
      <c r="Q1565" s="0" t="n">
        <v>3.36</v>
      </c>
      <c r="R1565" s="0" t="n">
        <v>3633</v>
      </c>
      <c r="S1565" s="0" t="n">
        <v>7303</v>
      </c>
      <c r="U1565" s="0" t="n">
        <v>832</v>
      </c>
      <c r="V1565" s="0" t="n">
        <v>0</v>
      </c>
      <c r="W1565" s="39" t="n">
        <f aca="false">IF(I1565="Male",0,1)</f>
        <v>1</v>
      </c>
      <c r="X1565" s="39" t="n">
        <f aca="false">IF(OR(I1565="DNB",I1565="Dry DNB"),1,0)</f>
        <v>0</v>
      </c>
      <c r="Y1565" s="39" t="n">
        <f aca="false">MATCH(A1565,DATAS,0)</f>
        <v>1</v>
      </c>
      <c r="Z1565" s="39" t="n">
        <f aca="false">IF(AND(E1565&gt;0,OR(AND(B1565&gt;=1,B1565&lt;=6),B1565=10)),1,0)</f>
        <v>1</v>
      </c>
      <c r="AA1565" s="39" t="n">
        <f aca="false">IF(AND(E1565&gt;0,B1565=10),1,0)</f>
        <v>0</v>
      </c>
      <c r="AB1565" s="0" t="str">
        <f aca="false">IF(AND(C1564=C1565,Y1564=Y1565-1),Z1564,"")</f>
        <v/>
      </c>
      <c r="AC1565" s="0" t="str">
        <f aca="false">IF(AND(C1564=C1565,Y1564=Y1565-1),AA1564,"")</f>
        <v/>
      </c>
      <c r="AD1565" s="0" t="str">
        <f aca="false">IF(Y1565=1,"",IF(AND(Z1565=1,AB1565&lt;&gt;1),1,0))</f>
        <v/>
      </c>
      <c r="AE1565" s="0" t="str">
        <f aca="false">IF(Y1565=1,"",IF(AND(AA1565=1,AC1565&lt;&gt;1),1,0))</f>
        <v/>
      </c>
      <c r="AF1565" s="45" t="str">
        <f aca="false">IF(AND(E1565&gt;0,Y1565&lt;1,NOT(AND(C1566=C1565,Y1566=Y1565+1))),INDEX(DATAS,Y1565+1),"")</f>
        <v/>
      </c>
      <c r="AG1565" s="45" t="str">
        <f aca="false">IF(AND(AA1565=1,Y1565&lt;1),IF(AND(C1566=C1565,Y1566=Y1565+1),IF(AA1566=1,"",INDEX(DATAS,Y1565+1)),INDEX(DATAS,Y1565+1)),"")</f>
        <v/>
      </c>
    </row>
    <row r="1566" customFormat="false" ht="15" hidden="false" customHeight="false" outlineLevel="0" collapsed="false">
      <c r="A1566" s="45" t="n">
        <v>46309</v>
      </c>
      <c r="B1566" s="0" t="n">
        <v>4</v>
      </c>
      <c r="C1566" s="0" t="n">
        <v>5712</v>
      </c>
      <c r="D1566" s="0" t="n">
        <v>112</v>
      </c>
      <c r="E1566" s="0" t="n">
        <v>1</v>
      </c>
      <c r="F1566" s="39" t="s">
        <v>943</v>
      </c>
      <c r="G1566" s="0" t="n">
        <v>37.8</v>
      </c>
      <c r="H1566" s="0" t="n">
        <v>37</v>
      </c>
      <c r="I1566" s="39" t="s">
        <v>146</v>
      </c>
      <c r="J1566" s="0" t="n">
        <v>112</v>
      </c>
      <c r="K1566" s="0" t="n">
        <v>64</v>
      </c>
      <c r="P1566" s="0" t="n">
        <v>2.92</v>
      </c>
      <c r="Q1566" s="0" t="n">
        <v>3.27</v>
      </c>
      <c r="R1566" s="0" t="n">
        <v>2441</v>
      </c>
      <c r="S1566" s="0" t="n">
        <v>5275</v>
      </c>
      <c r="T1566" s="0" t="n">
        <v>31</v>
      </c>
      <c r="U1566" s="0" t="n">
        <v>831</v>
      </c>
      <c r="V1566" s="0" t="n">
        <v>1</v>
      </c>
      <c r="W1566" s="39" t="n">
        <f aca="false">IF(I1566="Male",0,1)</f>
        <v>1</v>
      </c>
      <c r="X1566" s="39" t="n">
        <f aca="false">IF(OR(I1566="DNB",I1566="Dry DNB"),1,0)</f>
        <v>0</v>
      </c>
      <c r="Y1566" s="39" t="n">
        <f aca="false">MATCH(A1566,DATAS,0)</f>
        <v>1</v>
      </c>
      <c r="Z1566" s="39" t="n">
        <f aca="false">IF(AND(E1566&gt;0,OR(AND(B1566&gt;=1,B1566&lt;=6),B1566=10)),1,0)</f>
        <v>1</v>
      </c>
      <c r="AA1566" s="39" t="n">
        <f aca="false">IF(AND(E1566&gt;0,B1566=10),1,0)</f>
        <v>0</v>
      </c>
      <c r="AB1566" s="0" t="str">
        <f aca="false">IF(AND(C1565=C1566,Y1565=Y1566-1),Z1565,"")</f>
        <v/>
      </c>
      <c r="AC1566" s="0" t="str">
        <f aca="false">IF(AND(C1565=C1566,Y1565=Y1566-1),AA1565,"")</f>
        <v/>
      </c>
      <c r="AD1566" s="0" t="str">
        <f aca="false">IF(Y1566=1,"",IF(AND(Z1566=1,AB1566&lt;&gt;1),1,0))</f>
        <v/>
      </c>
      <c r="AE1566" s="0" t="str">
        <f aca="false">IF(Y1566=1,"",IF(AND(AA1566=1,AC1566&lt;&gt;1),1,0))</f>
        <v/>
      </c>
      <c r="AF1566" s="45" t="str">
        <f aca="false">IF(AND(E1566&gt;0,Y1566&lt;1,NOT(AND(C1567=C1566,Y1567=Y1566+1))),INDEX(DATAS,Y1566+1),"")</f>
        <v/>
      </c>
      <c r="AG1566" s="45" t="str">
        <f aca="false">IF(AND(AA1566=1,Y1566&lt;1),IF(AND(C1567=C1566,Y1567=Y1566+1),IF(AA1567=1,"",INDEX(DATAS,Y1566+1)),INDEX(DATAS,Y1566+1)),"")</f>
        <v/>
      </c>
    </row>
    <row r="1567" customFormat="false" ht="15" hidden="false" customHeight="false" outlineLevel="0" collapsed="false">
      <c r="A1567" s="45" t="n">
        <v>46309</v>
      </c>
      <c r="B1567" s="0" t="n">
        <v>4</v>
      </c>
      <c r="C1567" s="0" t="n">
        <v>5713</v>
      </c>
      <c r="D1567" s="0" t="n">
        <v>190</v>
      </c>
      <c r="E1567" s="0" t="n">
        <v>1</v>
      </c>
      <c r="F1567" s="39" t="s">
        <v>944</v>
      </c>
      <c r="G1567" s="0" t="n">
        <v>56.3</v>
      </c>
      <c r="H1567" s="0" t="n">
        <v>56</v>
      </c>
      <c r="I1567" s="39" t="s">
        <v>109</v>
      </c>
      <c r="J1567" s="0" t="n">
        <v>64</v>
      </c>
      <c r="K1567" s="0" t="n">
        <v>64</v>
      </c>
      <c r="L1567" s="0" t="n">
        <v>126</v>
      </c>
      <c r="P1567" s="0" t="n">
        <v>3.62</v>
      </c>
      <c r="Q1567" s="0" t="n">
        <v>3.4</v>
      </c>
      <c r="R1567" s="0" t="n">
        <v>5213</v>
      </c>
      <c r="S1567" s="0" t="n">
        <v>11068</v>
      </c>
      <c r="T1567" s="0" t="n">
        <v>54.55</v>
      </c>
      <c r="U1567" s="0" t="n">
        <v>830</v>
      </c>
      <c r="V1567" s="0" t="n">
        <v>1</v>
      </c>
      <c r="W1567" s="39" t="n">
        <f aca="false">IF(I1567="Male",0,1)</f>
        <v>1</v>
      </c>
      <c r="X1567" s="39" t="n">
        <f aca="false">IF(OR(I1567="DNB",I1567="Dry DNB"),1,0)</f>
        <v>0</v>
      </c>
      <c r="Y1567" s="39" t="n">
        <f aca="false">MATCH(A1567,DATAS,0)</f>
        <v>1</v>
      </c>
      <c r="Z1567" s="39" t="n">
        <f aca="false">IF(AND(E1567&gt;0,OR(AND(B1567&gt;=1,B1567&lt;=6),B1567=10)),1,0)</f>
        <v>1</v>
      </c>
      <c r="AA1567" s="39" t="n">
        <f aca="false">IF(AND(E1567&gt;0,B1567=10),1,0)</f>
        <v>0</v>
      </c>
      <c r="AB1567" s="0" t="str">
        <f aca="false">IF(AND(C1566=C1567,Y1566=Y1567-1),Z1566,"")</f>
        <v/>
      </c>
      <c r="AC1567" s="0" t="str">
        <f aca="false">IF(AND(C1566=C1567,Y1566=Y1567-1),AA1566,"")</f>
        <v/>
      </c>
      <c r="AD1567" s="0" t="str">
        <f aca="false">IF(Y1567=1,"",IF(AND(Z1567=1,AB1567&lt;&gt;1),1,0))</f>
        <v/>
      </c>
      <c r="AE1567" s="0" t="str">
        <f aca="false">IF(Y1567=1,"",IF(AND(AA1567=1,AC1567&lt;&gt;1),1,0))</f>
        <v/>
      </c>
      <c r="AF1567" s="45" t="str">
        <f aca="false">IF(AND(E1567&gt;0,Y1567&lt;1,NOT(AND(C1568=C1567,Y1568=Y1567+1))),INDEX(DATAS,Y1567+1),"")</f>
        <v/>
      </c>
      <c r="AG1567" s="45" t="str">
        <f aca="false">IF(AND(AA1567=1,Y1567&lt;1),IF(AND(C1568=C1567,Y1568=Y1567+1),IF(AA1568=1,"",INDEX(DATAS,Y1567+1)),INDEX(DATAS,Y1567+1)),"")</f>
        <v/>
      </c>
    </row>
    <row r="1568" customFormat="false" ht="15" hidden="false" customHeight="false" outlineLevel="0" collapsed="false">
      <c r="A1568" s="45" t="n">
        <v>46309</v>
      </c>
      <c r="B1568" s="0" t="n">
        <v>4</v>
      </c>
      <c r="C1568" s="0" t="n">
        <v>5714</v>
      </c>
      <c r="D1568" s="0" t="n">
        <v>160</v>
      </c>
      <c r="E1568" s="0" t="n">
        <v>1</v>
      </c>
      <c r="F1568" s="39" t="s">
        <v>944</v>
      </c>
      <c r="G1568" s="0" t="n">
        <v>40.6</v>
      </c>
      <c r="H1568" s="0" t="n">
        <v>41</v>
      </c>
      <c r="I1568" s="39" t="s">
        <v>109</v>
      </c>
      <c r="J1568" s="0" t="n">
        <v>118</v>
      </c>
      <c r="K1568" s="0" t="n">
        <v>62</v>
      </c>
      <c r="L1568" s="0" t="n">
        <v>42</v>
      </c>
      <c r="P1568" s="0" t="n">
        <v>3.86</v>
      </c>
      <c r="Q1568" s="0" t="n">
        <v>3.28</v>
      </c>
      <c r="R1568" s="0" t="n">
        <v>2854</v>
      </c>
      <c r="S1568" s="0" t="n">
        <v>6581</v>
      </c>
      <c r="T1568" s="0" t="n">
        <v>28.7</v>
      </c>
      <c r="U1568" s="0" t="n">
        <v>830</v>
      </c>
      <c r="V1568" s="0" t="n">
        <v>4</v>
      </c>
      <c r="W1568" s="39" t="n">
        <f aca="false">IF(I1568="Male",0,1)</f>
        <v>1</v>
      </c>
      <c r="X1568" s="39" t="n">
        <f aca="false">IF(OR(I1568="DNB",I1568="Dry DNB"),1,0)</f>
        <v>0</v>
      </c>
      <c r="Y1568" s="39" t="n">
        <f aca="false">MATCH(A1568,DATAS,0)</f>
        <v>1</v>
      </c>
      <c r="Z1568" s="39" t="n">
        <f aca="false">IF(AND(E1568&gt;0,OR(AND(B1568&gt;=1,B1568&lt;=6),B1568=10)),1,0)</f>
        <v>1</v>
      </c>
      <c r="AA1568" s="39" t="n">
        <f aca="false">IF(AND(E1568&gt;0,B1568=10),1,0)</f>
        <v>0</v>
      </c>
      <c r="AB1568" s="0" t="str">
        <f aca="false">IF(AND(C1567=C1568,Y1567=Y1568-1),Z1567,"")</f>
        <v/>
      </c>
      <c r="AC1568" s="0" t="str">
        <f aca="false">IF(AND(C1567=C1568,Y1567=Y1568-1),AA1567,"")</f>
        <v/>
      </c>
      <c r="AD1568" s="0" t="str">
        <f aca="false">IF(Y1568=1,"",IF(AND(Z1568=1,AB1568&lt;&gt;1),1,0))</f>
        <v/>
      </c>
      <c r="AE1568" s="0" t="str">
        <f aca="false">IF(Y1568=1,"",IF(AND(AA1568=1,AC1568&lt;&gt;1),1,0))</f>
        <v/>
      </c>
      <c r="AF1568" s="45" t="str">
        <f aca="false">IF(AND(E1568&gt;0,Y1568&lt;1,NOT(AND(C1569=C1568,Y1569=Y1568+1))),INDEX(DATAS,Y1568+1),"")</f>
        <v/>
      </c>
      <c r="AG1568" s="45" t="str">
        <f aca="false">IF(AND(AA1568=1,Y1568&lt;1),IF(AND(C1569=C1568,Y1569=Y1568+1),IF(AA1569=1,"",INDEX(DATAS,Y1568+1)),INDEX(DATAS,Y1568+1)),"")</f>
        <v/>
      </c>
    </row>
    <row r="1569" customFormat="false" ht="15" hidden="false" customHeight="false" outlineLevel="0" collapsed="false">
      <c r="A1569" s="45" t="n">
        <v>46309</v>
      </c>
      <c r="B1569" s="0" t="n">
        <v>4</v>
      </c>
      <c r="C1569" s="0" t="n">
        <v>5715</v>
      </c>
      <c r="D1569" s="0" t="n">
        <v>191</v>
      </c>
      <c r="E1569" s="0" t="n">
        <v>1</v>
      </c>
      <c r="F1569" s="39" t="s">
        <v>945</v>
      </c>
      <c r="G1569" s="0" t="n">
        <v>44.2</v>
      </c>
      <c r="H1569" s="0" t="n">
        <v>42</v>
      </c>
      <c r="I1569" s="39" t="s">
        <v>109</v>
      </c>
      <c r="J1569" s="0" t="n">
        <v>110</v>
      </c>
      <c r="K1569" s="0" t="n">
        <v>65</v>
      </c>
      <c r="L1569" s="0" t="n">
        <v>81</v>
      </c>
      <c r="P1569" s="0" t="n">
        <v>2.91</v>
      </c>
      <c r="Q1569" s="0" t="n">
        <v>3.56</v>
      </c>
      <c r="R1569" s="0" t="n">
        <v>4127</v>
      </c>
      <c r="S1569" s="0" t="n">
        <v>8373</v>
      </c>
      <c r="T1569" s="0" t="n">
        <v>43.65</v>
      </c>
      <c r="U1569" s="0" t="n">
        <v>829</v>
      </c>
      <c r="V1569" s="0" t="n">
        <v>3</v>
      </c>
      <c r="W1569" s="39" t="n">
        <f aca="false">IF(I1569="Male",0,1)</f>
        <v>1</v>
      </c>
      <c r="X1569" s="39" t="n">
        <f aca="false">IF(OR(I1569="DNB",I1569="Dry DNB"),1,0)</f>
        <v>0</v>
      </c>
      <c r="Y1569" s="39" t="n">
        <f aca="false">MATCH(A1569,DATAS,0)</f>
        <v>1</v>
      </c>
      <c r="Z1569" s="39" t="n">
        <f aca="false">IF(AND(E1569&gt;0,OR(AND(B1569&gt;=1,B1569&lt;=6),B1569=10)),1,0)</f>
        <v>1</v>
      </c>
      <c r="AA1569" s="39" t="n">
        <f aca="false">IF(AND(E1569&gt;0,B1569=10),1,0)</f>
        <v>0</v>
      </c>
      <c r="AB1569" s="0" t="str">
        <f aca="false">IF(AND(C1568=C1569,Y1568=Y1569-1),Z1568,"")</f>
        <v/>
      </c>
      <c r="AC1569" s="0" t="str">
        <f aca="false">IF(AND(C1568=C1569,Y1568=Y1569-1),AA1568,"")</f>
        <v/>
      </c>
      <c r="AD1569" s="0" t="str">
        <f aca="false">IF(Y1569=1,"",IF(AND(Z1569=1,AB1569&lt;&gt;1),1,0))</f>
        <v/>
      </c>
      <c r="AE1569" s="0" t="str">
        <f aca="false">IF(Y1569=1,"",IF(AND(AA1569=1,AC1569&lt;&gt;1),1,0))</f>
        <v/>
      </c>
      <c r="AF1569" s="45" t="str">
        <f aca="false">IF(AND(E1569&gt;0,Y1569&lt;1,NOT(AND(C1570=C1569,Y1570=Y1569+1))),INDEX(DATAS,Y1569+1),"")</f>
        <v/>
      </c>
      <c r="AG1569" s="45" t="str">
        <f aca="false">IF(AND(AA1569=1,Y1569&lt;1),IF(AND(C1570=C1569,Y1570=Y1569+1),IF(AA1570=1,"",INDEX(DATAS,Y1569+1)),INDEX(DATAS,Y1569+1)),"")</f>
        <v/>
      </c>
    </row>
    <row r="1570" customFormat="false" ht="15" hidden="false" customHeight="false" outlineLevel="0" collapsed="false">
      <c r="A1570" s="45" t="n">
        <v>46309</v>
      </c>
      <c r="B1570" s="0" t="n">
        <v>4</v>
      </c>
      <c r="C1570" s="0" t="n">
        <v>5716</v>
      </c>
      <c r="D1570" s="0" t="n">
        <v>182</v>
      </c>
      <c r="E1570" s="0" t="n">
        <v>1</v>
      </c>
      <c r="F1570" s="39" t="s">
        <v>946</v>
      </c>
      <c r="G1570" s="0" t="n">
        <v>49.8</v>
      </c>
      <c r="H1570" s="0" t="n">
        <v>49</v>
      </c>
      <c r="I1570" s="39" t="s">
        <v>109</v>
      </c>
      <c r="J1570" s="0" t="n">
        <v>84</v>
      </c>
      <c r="K1570" s="0" t="n">
        <v>63</v>
      </c>
      <c r="L1570" s="0" t="n">
        <v>98</v>
      </c>
      <c r="P1570" s="0" t="n">
        <v>3.14</v>
      </c>
      <c r="Q1570" s="0" t="n">
        <v>3.56</v>
      </c>
      <c r="R1570" s="0" t="n">
        <v>4361</v>
      </c>
      <c r="S1570" s="0" t="n">
        <v>9461</v>
      </c>
      <c r="T1570" s="0" t="n">
        <v>46.5</v>
      </c>
      <c r="U1570" s="0" t="n">
        <v>828</v>
      </c>
      <c r="V1570" s="0" t="n">
        <v>2</v>
      </c>
      <c r="W1570" s="39" t="n">
        <f aca="false">IF(I1570="Male",0,1)</f>
        <v>1</v>
      </c>
      <c r="X1570" s="39" t="n">
        <f aca="false">IF(OR(I1570="DNB",I1570="Dry DNB"),1,0)</f>
        <v>0</v>
      </c>
      <c r="Y1570" s="39" t="n">
        <f aca="false">MATCH(A1570,DATAS,0)</f>
        <v>1</v>
      </c>
      <c r="Z1570" s="39" t="n">
        <f aca="false">IF(AND(E1570&gt;0,OR(AND(B1570&gt;=1,B1570&lt;=6),B1570=10)),1,0)</f>
        <v>1</v>
      </c>
      <c r="AA1570" s="39" t="n">
        <f aca="false">IF(AND(E1570&gt;0,B1570=10),1,0)</f>
        <v>0</v>
      </c>
      <c r="AB1570" s="0" t="str">
        <f aca="false">IF(AND(C1569=C1570,Y1569=Y1570-1),Z1569,"")</f>
        <v/>
      </c>
      <c r="AC1570" s="0" t="str">
        <f aca="false">IF(AND(C1569=C1570,Y1569=Y1570-1),AA1569,"")</f>
        <v/>
      </c>
      <c r="AD1570" s="0" t="str">
        <f aca="false">IF(Y1570=1,"",IF(AND(Z1570=1,AB1570&lt;&gt;1),1,0))</f>
        <v/>
      </c>
      <c r="AE1570" s="0" t="str">
        <f aca="false">IF(Y1570=1,"",IF(AND(AA1570=1,AC1570&lt;&gt;1),1,0))</f>
        <v/>
      </c>
      <c r="AF1570" s="45" t="str">
        <f aca="false">IF(AND(E1570&gt;0,Y1570&lt;1,NOT(AND(C1571=C1570,Y1571=Y1570+1))),INDEX(DATAS,Y1570+1),"")</f>
        <v/>
      </c>
      <c r="AG1570" s="45" t="str">
        <f aca="false">IF(AND(AA1570=1,Y1570&lt;1),IF(AND(C1571=C1570,Y1571=Y1570+1),IF(AA1571=1,"",INDEX(DATAS,Y1570+1)),INDEX(DATAS,Y1570+1)),"")</f>
        <v/>
      </c>
    </row>
    <row r="1571" customFormat="false" ht="15" hidden="false" customHeight="false" outlineLevel="0" collapsed="false">
      <c r="A1571" s="45" t="n">
        <v>46309</v>
      </c>
      <c r="B1571" s="0" t="n">
        <v>4</v>
      </c>
      <c r="C1571" s="0" t="n">
        <v>5718</v>
      </c>
      <c r="D1571" s="0" t="n">
        <v>184</v>
      </c>
      <c r="E1571" s="0" t="n">
        <v>1</v>
      </c>
      <c r="F1571" s="39" t="s">
        <v>946</v>
      </c>
      <c r="G1571" s="0" t="n">
        <v>44</v>
      </c>
      <c r="H1571" s="0" t="n">
        <v>46</v>
      </c>
      <c r="I1571" s="39" t="s">
        <v>109</v>
      </c>
      <c r="J1571" s="0" t="n">
        <v>136</v>
      </c>
      <c r="K1571" s="0" t="n">
        <v>65</v>
      </c>
      <c r="L1571" s="0" t="n">
        <v>48</v>
      </c>
      <c r="P1571" s="0" t="n">
        <v>4.5</v>
      </c>
      <c r="Q1571" s="0" t="n">
        <v>3.66</v>
      </c>
      <c r="R1571" s="0" t="n">
        <v>3697</v>
      </c>
      <c r="S1571" s="0" t="n">
        <v>8246</v>
      </c>
      <c r="T1571" s="0" t="n">
        <v>38.35</v>
      </c>
      <c r="U1571" s="0" t="n">
        <v>828</v>
      </c>
      <c r="V1571" s="0" t="n">
        <v>3</v>
      </c>
      <c r="W1571" s="39" t="n">
        <f aca="false">IF(I1571="Male",0,1)</f>
        <v>1</v>
      </c>
      <c r="X1571" s="39" t="n">
        <f aca="false">IF(OR(I1571="DNB",I1571="Dry DNB"),1,0)</f>
        <v>0</v>
      </c>
      <c r="Y1571" s="39" t="n">
        <f aca="false">MATCH(A1571,DATAS,0)</f>
        <v>1</v>
      </c>
      <c r="Z1571" s="39" t="n">
        <f aca="false">IF(AND(E1571&gt;0,OR(AND(B1571&gt;=1,B1571&lt;=6),B1571=10)),1,0)</f>
        <v>1</v>
      </c>
      <c r="AA1571" s="39" t="n">
        <f aca="false">IF(AND(E1571&gt;0,B1571=10),1,0)</f>
        <v>0</v>
      </c>
      <c r="AB1571" s="0" t="str">
        <f aca="false">IF(AND(C1570=C1571,Y1570=Y1571-1),Z1570,"")</f>
        <v/>
      </c>
      <c r="AC1571" s="0" t="str">
        <f aca="false">IF(AND(C1570=C1571,Y1570=Y1571-1),AA1570,"")</f>
        <v/>
      </c>
      <c r="AD1571" s="0" t="str">
        <f aca="false">IF(Y1571=1,"",IF(AND(Z1571=1,AB1571&lt;&gt;1),1,0))</f>
        <v/>
      </c>
      <c r="AE1571" s="0" t="str">
        <f aca="false">IF(Y1571=1,"",IF(AND(AA1571=1,AC1571&lt;&gt;1),1,0))</f>
        <v/>
      </c>
      <c r="AF1571" s="45" t="str">
        <f aca="false">IF(AND(E1571&gt;0,Y1571&lt;1,NOT(AND(C1572=C1571,Y1572=Y1571+1))),INDEX(DATAS,Y1571+1),"")</f>
        <v/>
      </c>
      <c r="AG1571" s="45" t="str">
        <f aca="false">IF(AND(AA1571=1,Y1571&lt;1),IF(AND(C1572=C1571,Y1572=Y1571+1),IF(AA1572=1,"",INDEX(DATAS,Y1571+1)),INDEX(DATAS,Y1571+1)),"")</f>
        <v/>
      </c>
    </row>
    <row r="1572" customFormat="false" ht="15" hidden="false" customHeight="false" outlineLevel="0" collapsed="false">
      <c r="A1572" s="45" t="n">
        <v>46309</v>
      </c>
      <c r="B1572" s="0" t="n">
        <v>4</v>
      </c>
      <c r="C1572" s="0" t="n">
        <v>5719</v>
      </c>
      <c r="D1572" s="0" t="n">
        <v>133</v>
      </c>
      <c r="E1572" s="0" t="n">
        <v>1</v>
      </c>
      <c r="F1572" s="39" t="s">
        <v>947</v>
      </c>
      <c r="G1572" s="0" t="n">
        <v>44.5</v>
      </c>
      <c r="H1572" s="0" t="n">
        <v>43</v>
      </c>
      <c r="I1572" s="39" t="s">
        <v>146</v>
      </c>
      <c r="J1572" s="0" t="n">
        <v>133</v>
      </c>
      <c r="K1572" s="0" t="n">
        <v>63</v>
      </c>
      <c r="P1572" s="0" t="n">
        <v>3.21</v>
      </c>
      <c r="Q1572" s="0" t="n">
        <v>3.29</v>
      </c>
      <c r="R1572" s="0" t="n">
        <v>3877</v>
      </c>
      <c r="S1572" s="0" t="n">
        <v>8065</v>
      </c>
      <c r="T1572" s="0" t="n">
        <v>44.85</v>
      </c>
      <c r="U1572" s="0" t="n">
        <v>826</v>
      </c>
      <c r="V1572" s="0" t="n">
        <v>2</v>
      </c>
      <c r="W1572" s="39" t="n">
        <f aca="false">IF(I1572="Male",0,1)</f>
        <v>1</v>
      </c>
      <c r="X1572" s="39" t="n">
        <f aca="false">IF(OR(I1572="DNB",I1572="Dry DNB"),1,0)</f>
        <v>0</v>
      </c>
      <c r="Y1572" s="39" t="n">
        <f aca="false">MATCH(A1572,DATAS,0)</f>
        <v>1</v>
      </c>
      <c r="Z1572" s="39" t="n">
        <f aca="false">IF(AND(E1572&gt;0,OR(AND(B1572&gt;=1,B1572&lt;=6),B1572=10)),1,0)</f>
        <v>1</v>
      </c>
      <c r="AA1572" s="39" t="n">
        <f aca="false">IF(AND(E1572&gt;0,B1572=10),1,0)</f>
        <v>0</v>
      </c>
      <c r="AB1572" s="0" t="str">
        <f aca="false">IF(AND(C1571=C1572,Y1571=Y1572-1),Z1571,"")</f>
        <v/>
      </c>
      <c r="AC1572" s="0" t="str">
        <f aca="false">IF(AND(C1571=C1572,Y1571=Y1572-1),AA1571,"")</f>
        <v/>
      </c>
      <c r="AD1572" s="0" t="str">
        <f aca="false">IF(Y1572=1,"",IF(AND(Z1572=1,AB1572&lt;&gt;1),1,0))</f>
        <v/>
      </c>
      <c r="AE1572" s="0" t="str">
        <f aca="false">IF(Y1572=1,"",IF(AND(AA1572=1,AC1572&lt;&gt;1),1,0))</f>
        <v/>
      </c>
      <c r="AF1572" s="45" t="str">
        <f aca="false">IF(AND(E1572&gt;0,Y1572&lt;1,NOT(AND(C1573=C1572,Y1573=Y1572+1))),INDEX(DATAS,Y1572+1),"")</f>
        <v/>
      </c>
      <c r="AG1572" s="45" t="str">
        <f aca="false">IF(AND(AA1572=1,Y1572&lt;1),IF(AND(C1573=C1572,Y1573=Y1572+1),IF(AA1573=1,"",INDEX(DATAS,Y1572+1)),INDEX(DATAS,Y1572+1)),"")</f>
        <v/>
      </c>
    </row>
    <row r="1573" customFormat="false" ht="15" hidden="false" customHeight="false" outlineLevel="0" collapsed="false">
      <c r="A1573" s="45" t="n">
        <v>46309</v>
      </c>
      <c r="B1573" s="0" t="n">
        <v>1</v>
      </c>
      <c r="C1573" s="0" t="n">
        <v>5720</v>
      </c>
      <c r="D1573" s="0" t="n">
        <v>106</v>
      </c>
      <c r="E1573" s="0" t="n">
        <v>1</v>
      </c>
      <c r="F1573" s="39" t="s">
        <v>947</v>
      </c>
      <c r="G1573" s="0" t="n">
        <v>57.7</v>
      </c>
      <c r="H1573" s="0" t="n">
        <v>58</v>
      </c>
      <c r="I1573" s="39" t="s">
        <v>109</v>
      </c>
      <c r="J1573" s="0" t="n">
        <v>64</v>
      </c>
      <c r="K1573" s="0" t="n">
        <v>63</v>
      </c>
      <c r="L1573" s="0" t="n">
        <v>42</v>
      </c>
      <c r="P1573" s="0" t="n">
        <v>3.02</v>
      </c>
      <c r="Q1573" s="0" t="n">
        <v>2.88</v>
      </c>
      <c r="R1573" s="0" t="n">
        <v>5018</v>
      </c>
      <c r="S1573" s="0" t="n">
        <v>10181</v>
      </c>
      <c r="T1573" s="0" t="n">
        <v>54.65</v>
      </c>
      <c r="U1573" s="0" t="n">
        <v>826</v>
      </c>
      <c r="V1573" s="0" t="n">
        <v>1</v>
      </c>
      <c r="W1573" s="39" t="n">
        <f aca="false">IF(I1573="Male",0,1)</f>
        <v>1</v>
      </c>
      <c r="X1573" s="39" t="n">
        <f aca="false">IF(OR(I1573="DNB",I1573="Dry DNB"),1,0)</f>
        <v>0</v>
      </c>
      <c r="Y1573" s="39" t="n">
        <f aca="false">MATCH(A1573,DATAS,0)</f>
        <v>1</v>
      </c>
      <c r="Z1573" s="39" t="n">
        <f aca="false">IF(AND(E1573&gt;0,OR(AND(B1573&gt;=1,B1573&lt;=6),B1573=10)),1,0)</f>
        <v>1</v>
      </c>
      <c r="AA1573" s="39" t="n">
        <f aca="false">IF(AND(E1573&gt;0,B1573=10),1,0)</f>
        <v>0</v>
      </c>
      <c r="AB1573" s="0" t="str">
        <f aca="false">IF(AND(C1572=C1573,Y1572=Y1573-1),Z1572,"")</f>
        <v/>
      </c>
      <c r="AC1573" s="0" t="str">
        <f aca="false">IF(AND(C1572=C1573,Y1572=Y1573-1),AA1572,"")</f>
        <v/>
      </c>
      <c r="AD1573" s="0" t="str">
        <f aca="false">IF(Y1573=1,"",IF(AND(Z1573=1,AB1573&lt;&gt;1),1,0))</f>
        <v/>
      </c>
      <c r="AE1573" s="0" t="str">
        <f aca="false">IF(Y1573=1,"",IF(AND(AA1573=1,AC1573&lt;&gt;1),1,0))</f>
        <v/>
      </c>
      <c r="AF1573" s="45" t="str">
        <f aca="false">IF(AND(E1573&gt;0,Y1573&lt;1,NOT(AND(C1574=C1573,Y1574=Y1573+1))),INDEX(DATAS,Y1573+1),"")</f>
        <v/>
      </c>
      <c r="AG1573" s="45" t="str">
        <f aca="false">IF(AND(AA1573=1,Y1573&lt;1),IF(AND(C1574=C1573,Y1574=Y1573+1),IF(AA1574=1,"",INDEX(DATAS,Y1573+1)),INDEX(DATAS,Y1573+1)),"")</f>
        <v/>
      </c>
    </row>
    <row r="1574" customFormat="false" ht="15" hidden="false" customHeight="false" outlineLevel="0" collapsed="false">
      <c r="A1574" s="45" t="n">
        <v>46309</v>
      </c>
      <c r="B1574" s="0" t="n">
        <v>1</v>
      </c>
      <c r="C1574" s="0" t="n">
        <v>5721</v>
      </c>
      <c r="D1574" s="0" t="n">
        <v>75</v>
      </c>
      <c r="E1574" s="0" t="n">
        <v>1</v>
      </c>
      <c r="F1574" s="39" t="s">
        <v>948</v>
      </c>
      <c r="G1574" s="0" t="n">
        <v>45.6</v>
      </c>
      <c r="H1574" s="0" t="n">
        <v>46</v>
      </c>
      <c r="I1574" s="39" t="s">
        <v>138</v>
      </c>
      <c r="J1574" s="0" t="n">
        <v>75</v>
      </c>
      <c r="K1574" s="0" t="n">
        <v>68</v>
      </c>
      <c r="P1574" s="0" t="n">
        <v>4.51</v>
      </c>
      <c r="Q1574" s="0" t="n">
        <v>3.15</v>
      </c>
      <c r="R1574" s="0" t="n">
        <v>4016</v>
      </c>
      <c r="S1574" s="0" t="n">
        <v>8074</v>
      </c>
      <c r="U1574" s="0" t="n">
        <v>824</v>
      </c>
      <c r="V1574" s="0" t="n">
        <v>1</v>
      </c>
      <c r="W1574" s="39" t="n">
        <f aca="false">IF(I1574="Male",0,1)</f>
        <v>1</v>
      </c>
      <c r="X1574" s="39" t="n">
        <f aca="false">IF(OR(I1574="DNB",I1574="Dry DNB"),1,0)</f>
        <v>0</v>
      </c>
      <c r="Y1574" s="39" t="n">
        <f aca="false">MATCH(A1574,DATAS,0)</f>
        <v>1</v>
      </c>
      <c r="Z1574" s="39" t="n">
        <f aca="false">IF(AND(E1574&gt;0,OR(AND(B1574&gt;=1,B1574&lt;=6),B1574=10)),1,0)</f>
        <v>1</v>
      </c>
      <c r="AA1574" s="39" t="n">
        <f aca="false">IF(AND(E1574&gt;0,B1574=10),1,0)</f>
        <v>0</v>
      </c>
      <c r="AB1574" s="0" t="str">
        <f aca="false">IF(AND(C1573=C1574,Y1573=Y1574-1),Z1573,"")</f>
        <v/>
      </c>
      <c r="AC1574" s="0" t="str">
        <f aca="false">IF(AND(C1573=C1574,Y1573=Y1574-1),AA1573,"")</f>
        <v/>
      </c>
      <c r="AD1574" s="0" t="str">
        <f aca="false">IF(Y1574=1,"",IF(AND(Z1574=1,AB1574&lt;&gt;1),1,0))</f>
        <v/>
      </c>
      <c r="AE1574" s="0" t="str">
        <f aca="false">IF(Y1574=1,"",IF(AND(AA1574=1,AC1574&lt;&gt;1),1,0))</f>
        <v/>
      </c>
      <c r="AF1574" s="45" t="str">
        <f aca="false">IF(AND(E1574&gt;0,Y1574&lt;1,NOT(AND(C1575=C1574,Y1575=Y1574+1))),INDEX(DATAS,Y1574+1),"")</f>
        <v/>
      </c>
      <c r="AG1574" s="45" t="str">
        <f aca="false">IF(AND(AA1574=1,Y1574&lt;1),IF(AND(C1575=C1574,Y1575=Y1574+1),IF(AA1575=1,"",INDEX(DATAS,Y1574+1)),INDEX(DATAS,Y1574+1)),"")</f>
        <v/>
      </c>
    </row>
    <row r="1575" customFormat="false" ht="15" hidden="false" customHeight="false" outlineLevel="0" collapsed="false">
      <c r="A1575" s="45" t="n">
        <v>46309</v>
      </c>
      <c r="B1575" s="0" t="n">
        <v>4</v>
      </c>
      <c r="C1575" s="0" t="n">
        <v>5722</v>
      </c>
      <c r="D1575" s="0" t="n">
        <v>188</v>
      </c>
      <c r="E1575" s="0" t="n">
        <v>1</v>
      </c>
      <c r="F1575" s="39" t="s">
        <v>948</v>
      </c>
      <c r="G1575" s="0" t="n">
        <v>49.7</v>
      </c>
      <c r="H1575" s="0" t="n">
        <v>49</v>
      </c>
      <c r="I1575" s="39" t="s">
        <v>109</v>
      </c>
      <c r="J1575" s="0" t="n">
        <v>97</v>
      </c>
      <c r="K1575" s="0" t="n">
        <v>62</v>
      </c>
      <c r="L1575" s="0" t="n">
        <v>91</v>
      </c>
      <c r="P1575" s="0" t="n">
        <v>3.21</v>
      </c>
      <c r="Q1575" s="0" t="n">
        <v>3.59</v>
      </c>
      <c r="R1575" s="0" t="n">
        <v>4515</v>
      </c>
      <c r="S1575" s="0" t="n">
        <v>9684</v>
      </c>
      <c r="T1575" s="0" t="n">
        <v>47.15</v>
      </c>
      <c r="U1575" s="0" t="n">
        <v>824</v>
      </c>
      <c r="V1575" s="0" t="n">
        <v>2</v>
      </c>
      <c r="W1575" s="39" t="n">
        <f aca="false">IF(I1575="Male",0,1)</f>
        <v>1</v>
      </c>
      <c r="X1575" s="39" t="n">
        <f aca="false">IF(OR(I1575="DNB",I1575="Dry DNB"),1,0)</f>
        <v>0</v>
      </c>
      <c r="Y1575" s="39" t="n">
        <f aca="false">MATCH(A1575,DATAS,0)</f>
        <v>1</v>
      </c>
      <c r="Z1575" s="39" t="n">
        <f aca="false">IF(AND(E1575&gt;0,OR(AND(B1575&gt;=1,B1575&lt;=6),B1575=10)),1,0)</f>
        <v>1</v>
      </c>
      <c r="AA1575" s="39" t="n">
        <f aca="false">IF(AND(E1575&gt;0,B1575=10),1,0)</f>
        <v>0</v>
      </c>
      <c r="AB1575" s="0" t="str">
        <f aca="false">IF(AND(C1574=C1575,Y1574=Y1575-1),Z1574,"")</f>
        <v/>
      </c>
      <c r="AC1575" s="0" t="str">
        <f aca="false">IF(AND(C1574=C1575,Y1574=Y1575-1),AA1574,"")</f>
        <v/>
      </c>
      <c r="AD1575" s="0" t="str">
        <f aca="false">IF(Y1575=1,"",IF(AND(Z1575=1,AB1575&lt;&gt;1),1,0))</f>
        <v/>
      </c>
      <c r="AE1575" s="0" t="str">
        <f aca="false">IF(Y1575=1,"",IF(AND(AA1575=1,AC1575&lt;&gt;1),1,0))</f>
        <v/>
      </c>
      <c r="AF1575" s="45" t="str">
        <f aca="false">IF(AND(E1575&gt;0,Y1575&lt;1,NOT(AND(C1576=C1575,Y1576=Y1575+1))),INDEX(DATAS,Y1575+1),"")</f>
        <v/>
      </c>
      <c r="AG1575" s="45" t="str">
        <f aca="false">IF(AND(AA1575=1,Y1575&lt;1),IF(AND(C1576=C1575,Y1576=Y1575+1),IF(AA1576=1,"",INDEX(DATAS,Y1575+1)),INDEX(DATAS,Y1575+1)),"")</f>
        <v/>
      </c>
    </row>
    <row r="1576" customFormat="false" ht="15" hidden="false" customHeight="false" outlineLevel="0" collapsed="false">
      <c r="A1576" s="45" t="n">
        <v>46309</v>
      </c>
      <c r="B1576" s="0" t="n">
        <v>4</v>
      </c>
      <c r="C1576" s="0" t="n">
        <v>5723</v>
      </c>
      <c r="D1576" s="0" t="n">
        <v>151</v>
      </c>
      <c r="E1576" s="0" t="n">
        <v>1</v>
      </c>
      <c r="F1576" s="39" t="s">
        <v>948</v>
      </c>
      <c r="G1576" s="0" t="n">
        <v>48.8</v>
      </c>
      <c r="H1576" s="0" t="n">
        <v>48</v>
      </c>
      <c r="I1576" s="39" t="s">
        <v>146</v>
      </c>
      <c r="J1576" s="0" t="n">
        <v>151</v>
      </c>
      <c r="K1576" s="0" t="n">
        <v>67</v>
      </c>
      <c r="P1576" s="0" t="n">
        <v>4.53</v>
      </c>
      <c r="Q1576" s="0" t="n">
        <v>2.97</v>
      </c>
      <c r="R1576" s="0" t="n">
        <v>5201</v>
      </c>
      <c r="S1576" s="0" t="n">
        <v>10468</v>
      </c>
      <c r="T1576" s="0" t="n">
        <v>53.75</v>
      </c>
      <c r="U1576" s="0" t="n">
        <v>824</v>
      </c>
      <c r="V1576" s="0" t="n">
        <v>2</v>
      </c>
      <c r="W1576" s="39" t="n">
        <f aca="false">IF(I1576="Male",0,1)</f>
        <v>1</v>
      </c>
      <c r="X1576" s="39" t="n">
        <f aca="false">IF(OR(I1576="DNB",I1576="Dry DNB"),1,0)</f>
        <v>0</v>
      </c>
      <c r="Y1576" s="39" t="n">
        <f aca="false">MATCH(A1576,DATAS,0)</f>
        <v>1</v>
      </c>
      <c r="Z1576" s="39" t="n">
        <f aca="false">IF(AND(E1576&gt;0,OR(AND(B1576&gt;=1,B1576&lt;=6),B1576=10)),1,0)</f>
        <v>1</v>
      </c>
      <c r="AA1576" s="39" t="n">
        <f aca="false">IF(AND(E1576&gt;0,B1576=10),1,0)</f>
        <v>0</v>
      </c>
      <c r="AB1576" s="0" t="str">
        <f aca="false">IF(AND(C1575=C1576,Y1575=Y1576-1),Z1575,"")</f>
        <v/>
      </c>
      <c r="AC1576" s="0" t="str">
        <f aca="false">IF(AND(C1575=C1576,Y1575=Y1576-1),AA1575,"")</f>
        <v/>
      </c>
      <c r="AD1576" s="0" t="str">
        <f aca="false">IF(Y1576=1,"",IF(AND(Z1576=1,AB1576&lt;&gt;1),1,0))</f>
        <v/>
      </c>
      <c r="AE1576" s="0" t="str">
        <f aca="false">IF(Y1576=1,"",IF(AND(AA1576=1,AC1576&lt;&gt;1),1,0))</f>
        <v/>
      </c>
      <c r="AF1576" s="45" t="str">
        <f aca="false">IF(AND(E1576&gt;0,Y1576&lt;1,NOT(AND(C1577=C1576,Y1577=Y1576+1))),INDEX(DATAS,Y1576+1),"")</f>
        <v/>
      </c>
      <c r="AG1576" s="45" t="str">
        <f aca="false">IF(AND(AA1576=1,Y1576&lt;1),IF(AND(C1577=C1576,Y1577=Y1576+1),IF(AA1577=1,"",INDEX(DATAS,Y1576+1)),INDEX(DATAS,Y1576+1)),"")</f>
        <v/>
      </c>
    </row>
    <row r="1577" customFormat="false" ht="15" hidden="false" customHeight="false" outlineLevel="0" collapsed="false">
      <c r="A1577" s="45" t="n">
        <v>46309</v>
      </c>
      <c r="B1577" s="0" t="n">
        <v>1</v>
      </c>
      <c r="C1577" s="0" t="n">
        <v>5725</v>
      </c>
      <c r="D1577" s="0" t="n">
        <v>66</v>
      </c>
      <c r="E1577" s="0" t="n">
        <v>1</v>
      </c>
      <c r="F1577" s="39" t="s">
        <v>949</v>
      </c>
      <c r="G1577" s="0" t="n">
        <v>33.6</v>
      </c>
      <c r="H1577" s="0" t="n">
        <v>33</v>
      </c>
      <c r="I1577" s="39" t="s">
        <v>138</v>
      </c>
      <c r="J1577" s="0" t="n">
        <v>66</v>
      </c>
      <c r="K1577" s="0" t="n">
        <v>66</v>
      </c>
      <c r="P1577" s="0" t="n">
        <v>4.23</v>
      </c>
      <c r="Q1577" s="0" t="n">
        <v>3.16</v>
      </c>
      <c r="R1577" s="0" t="n">
        <v>2783</v>
      </c>
      <c r="S1577" s="0" t="n">
        <v>5596</v>
      </c>
      <c r="U1577" s="0" t="n">
        <v>821</v>
      </c>
      <c r="V1577" s="0" t="n">
        <v>1</v>
      </c>
      <c r="W1577" s="39" t="n">
        <f aca="false">IF(I1577="Male",0,1)</f>
        <v>1</v>
      </c>
      <c r="X1577" s="39" t="n">
        <f aca="false">IF(OR(I1577="DNB",I1577="Dry DNB"),1,0)</f>
        <v>0</v>
      </c>
      <c r="Y1577" s="39" t="n">
        <f aca="false">MATCH(A1577,DATAS,0)</f>
        <v>1</v>
      </c>
      <c r="Z1577" s="39" t="n">
        <f aca="false">IF(AND(E1577&gt;0,OR(AND(B1577&gt;=1,B1577&lt;=6),B1577=10)),1,0)</f>
        <v>1</v>
      </c>
      <c r="AA1577" s="39" t="n">
        <f aca="false">IF(AND(E1577&gt;0,B1577=10),1,0)</f>
        <v>0</v>
      </c>
      <c r="AB1577" s="0" t="str">
        <f aca="false">IF(AND(C1576=C1577,Y1576=Y1577-1),Z1576,"")</f>
        <v/>
      </c>
      <c r="AC1577" s="0" t="str">
        <f aca="false">IF(AND(C1576=C1577,Y1576=Y1577-1),AA1576,"")</f>
        <v/>
      </c>
      <c r="AD1577" s="0" t="str">
        <f aca="false">IF(Y1577=1,"",IF(AND(Z1577=1,AB1577&lt;&gt;1),1,0))</f>
        <v/>
      </c>
      <c r="AE1577" s="0" t="str">
        <f aca="false">IF(Y1577=1,"",IF(AND(AA1577=1,AC1577&lt;&gt;1),1,0))</f>
        <v/>
      </c>
      <c r="AF1577" s="45" t="str">
        <f aca="false">IF(AND(E1577&gt;0,Y1577&lt;1,NOT(AND(C1578=C1577,Y1578=Y1577+1))),INDEX(DATAS,Y1577+1),"")</f>
        <v/>
      </c>
      <c r="AG1577" s="45" t="str">
        <f aca="false">IF(AND(AA1577=1,Y1577&lt;1),IF(AND(C1578=C1577,Y1578=Y1577+1),IF(AA1578=1,"",INDEX(DATAS,Y1577+1)),INDEX(DATAS,Y1577+1)),"")</f>
        <v/>
      </c>
    </row>
    <row r="1578" customFormat="false" ht="15" hidden="false" customHeight="false" outlineLevel="0" collapsed="false">
      <c r="A1578" s="45" t="n">
        <v>46309</v>
      </c>
      <c r="B1578" s="0" t="n">
        <v>4</v>
      </c>
      <c r="C1578" s="0" t="n">
        <v>5726</v>
      </c>
      <c r="D1578" s="0" t="n">
        <v>186</v>
      </c>
      <c r="E1578" s="0" t="n">
        <v>1</v>
      </c>
      <c r="F1578" s="39" t="s">
        <v>949</v>
      </c>
      <c r="G1578" s="0" t="n">
        <v>34.8</v>
      </c>
      <c r="H1578" s="0" t="n">
        <v>41</v>
      </c>
      <c r="I1578" s="39" t="s">
        <v>109</v>
      </c>
      <c r="J1578" s="0" t="n">
        <v>67</v>
      </c>
      <c r="K1578" s="0" t="n">
        <v>67</v>
      </c>
      <c r="L1578" s="0" t="n">
        <v>119</v>
      </c>
      <c r="P1578" s="0" t="n">
        <v>3.3</v>
      </c>
      <c r="Q1578" s="0" t="n">
        <v>3.15</v>
      </c>
      <c r="R1578" s="0" t="n">
        <v>3555</v>
      </c>
      <c r="S1578" s="0" t="n">
        <v>7843</v>
      </c>
      <c r="T1578" s="0" t="n">
        <v>39.4</v>
      </c>
      <c r="U1578" s="0" t="n">
        <v>821</v>
      </c>
      <c r="V1578" s="0" t="n">
        <v>1</v>
      </c>
      <c r="W1578" s="39" t="n">
        <f aca="false">IF(I1578="Male",0,1)</f>
        <v>1</v>
      </c>
      <c r="X1578" s="39" t="n">
        <f aca="false">IF(OR(I1578="DNB",I1578="Dry DNB"),1,0)</f>
        <v>0</v>
      </c>
      <c r="Y1578" s="39" t="n">
        <f aca="false">MATCH(A1578,DATAS,0)</f>
        <v>1</v>
      </c>
      <c r="Z1578" s="39" t="n">
        <f aca="false">IF(AND(E1578&gt;0,OR(AND(B1578&gt;=1,B1578&lt;=6),B1578=10)),1,0)</f>
        <v>1</v>
      </c>
      <c r="AA1578" s="39" t="n">
        <f aca="false">IF(AND(E1578&gt;0,B1578=10),1,0)</f>
        <v>0</v>
      </c>
      <c r="AB1578" s="0" t="str">
        <f aca="false">IF(AND(C1577=C1578,Y1577=Y1578-1),Z1577,"")</f>
        <v/>
      </c>
      <c r="AC1578" s="0" t="str">
        <f aca="false">IF(AND(C1577=C1578,Y1577=Y1578-1),AA1577,"")</f>
        <v/>
      </c>
      <c r="AD1578" s="0" t="str">
        <f aca="false">IF(Y1578=1,"",IF(AND(Z1578=1,AB1578&lt;&gt;1),1,0))</f>
        <v/>
      </c>
      <c r="AE1578" s="0" t="str">
        <f aca="false">IF(Y1578=1,"",IF(AND(AA1578=1,AC1578&lt;&gt;1),1,0))</f>
        <v/>
      </c>
      <c r="AF1578" s="45" t="str">
        <f aca="false">IF(AND(E1578&gt;0,Y1578&lt;1,NOT(AND(C1579=C1578,Y1579=Y1578+1))),INDEX(DATAS,Y1578+1),"")</f>
        <v/>
      </c>
      <c r="AG1578" s="45" t="str">
        <f aca="false">IF(AND(AA1578=1,Y1578&lt;1),IF(AND(C1579=C1578,Y1579=Y1578+1),IF(AA1579=1,"",INDEX(DATAS,Y1578+1)),INDEX(DATAS,Y1578+1)),"")</f>
        <v/>
      </c>
    </row>
    <row r="1579" customFormat="false" ht="15" hidden="false" customHeight="false" outlineLevel="0" collapsed="false">
      <c r="A1579" s="45" t="n">
        <v>46309</v>
      </c>
      <c r="B1579" s="0" t="n">
        <v>4</v>
      </c>
      <c r="C1579" s="0" t="n">
        <v>5727</v>
      </c>
      <c r="D1579" s="0" t="n">
        <v>154</v>
      </c>
      <c r="E1579" s="0" t="n">
        <v>1</v>
      </c>
      <c r="F1579" s="39" t="s">
        <v>949</v>
      </c>
      <c r="G1579" s="0" t="n">
        <v>45.2</v>
      </c>
      <c r="H1579" s="0" t="n">
        <v>45</v>
      </c>
      <c r="I1579" s="39" t="s">
        <v>146</v>
      </c>
      <c r="J1579" s="0" t="n">
        <v>154</v>
      </c>
      <c r="K1579" s="0" t="n">
        <v>63</v>
      </c>
      <c r="P1579" s="0" t="n">
        <v>4.95</v>
      </c>
      <c r="Q1579" s="0" t="n">
        <v>3.43</v>
      </c>
      <c r="R1579" s="0" t="n">
        <v>3383</v>
      </c>
      <c r="S1579" s="0" t="n">
        <v>7469</v>
      </c>
      <c r="T1579" s="0" t="n">
        <v>35.2</v>
      </c>
      <c r="U1579" s="0" t="n">
        <v>821</v>
      </c>
      <c r="V1579" s="0" t="n">
        <v>2</v>
      </c>
      <c r="W1579" s="39" t="n">
        <f aca="false">IF(I1579="Male",0,1)</f>
        <v>1</v>
      </c>
      <c r="X1579" s="39" t="n">
        <f aca="false">IF(OR(I1579="DNB",I1579="Dry DNB"),1,0)</f>
        <v>0</v>
      </c>
      <c r="Y1579" s="39" t="n">
        <f aca="false">MATCH(A1579,DATAS,0)</f>
        <v>1</v>
      </c>
      <c r="Z1579" s="39" t="n">
        <f aca="false">IF(AND(E1579&gt;0,OR(AND(B1579&gt;=1,B1579&lt;=6),B1579=10)),1,0)</f>
        <v>1</v>
      </c>
      <c r="AA1579" s="39" t="n">
        <f aca="false">IF(AND(E1579&gt;0,B1579=10),1,0)</f>
        <v>0</v>
      </c>
      <c r="AB1579" s="0" t="str">
        <f aca="false">IF(AND(C1578=C1579,Y1578=Y1579-1),Z1578,"")</f>
        <v/>
      </c>
      <c r="AC1579" s="0" t="str">
        <f aca="false">IF(AND(C1578=C1579,Y1578=Y1579-1),AA1578,"")</f>
        <v/>
      </c>
      <c r="AD1579" s="0" t="str">
        <f aca="false">IF(Y1579=1,"",IF(AND(Z1579=1,AB1579&lt;&gt;1),1,0))</f>
        <v/>
      </c>
      <c r="AE1579" s="0" t="str">
        <f aca="false">IF(Y1579=1,"",IF(AND(AA1579=1,AC1579&lt;&gt;1),1,0))</f>
        <v/>
      </c>
      <c r="AF1579" s="45" t="str">
        <f aca="false">IF(AND(E1579&gt;0,Y1579&lt;1,NOT(AND(C1580=C1579,Y1580=Y1579+1))),INDEX(DATAS,Y1579+1),"")</f>
        <v/>
      </c>
      <c r="AG1579" s="45" t="str">
        <f aca="false">IF(AND(AA1579=1,Y1579&lt;1),IF(AND(C1580=C1579,Y1580=Y1579+1),IF(AA1580=1,"",INDEX(DATAS,Y1579+1)),INDEX(DATAS,Y1579+1)),"")</f>
        <v/>
      </c>
    </row>
    <row r="1580" customFormat="false" ht="15" hidden="false" customHeight="false" outlineLevel="0" collapsed="false">
      <c r="A1580" s="45" t="n">
        <v>46309</v>
      </c>
      <c r="B1580" s="0" t="n">
        <v>4</v>
      </c>
      <c r="C1580" s="0" t="n">
        <v>5728</v>
      </c>
      <c r="D1580" s="0" t="n">
        <v>176</v>
      </c>
      <c r="E1580" s="0" t="n">
        <v>1</v>
      </c>
      <c r="F1580" s="39" t="s">
        <v>950</v>
      </c>
      <c r="G1580" s="0" t="n">
        <v>49.4</v>
      </c>
      <c r="H1580" s="0" t="n">
        <v>53</v>
      </c>
      <c r="I1580" s="39" t="s">
        <v>138</v>
      </c>
      <c r="J1580" s="0" t="n">
        <v>176</v>
      </c>
      <c r="K1580" s="0" t="n">
        <v>64</v>
      </c>
      <c r="P1580" s="0" t="n">
        <v>2.2</v>
      </c>
      <c r="Q1580" s="0" t="n">
        <v>3.17</v>
      </c>
      <c r="R1580" s="0" t="n">
        <v>4707</v>
      </c>
      <c r="S1580" s="0" t="n">
        <v>10075</v>
      </c>
      <c r="T1580" s="0" t="n">
        <v>55.65</v>
      </c>
      <c r="U1580" s="0" t="n">
        <v>820</v>
      </c>
      <c r="V1580" s="0" t="n">
        <v>3</v>
      </c>
      <c r="W1580" s="39" t="n">
        <f aca="false">IF(I1580="Male",0,1)</f>
        <v>1</v>
      </c>
      <c r="X1580" s="39" t="n">
        <f aca="false">IF(OR(I1580="DNB",I1580="Dry DNB"),1,0)</f>
        <v>0</v>
      </c>
      <c r="Y1580" s="39" t="n">
        <f aca="false">MATCH(A1580,DATAS,0)</f>
        <v>1</v>
      </c>
      <c r="Z1580" s="39" t="n">
        <f aca="false">IF(AND(E1580&gt;0,OR(AND(B1580&gt;=1,B1580&lt;=6),B1580=10)),1,0)</f>
        <v>1</v>
      </c>
      <c r="AA1580" s="39" t="n">
        <f aca="false">IF(AND(E1580&gt;0,B1580=10),1,0)</f>
        <v>0</v>
      </c>
      <c r="AB1580" s="0" t="str">
        <f aca="false">IF(AND(C1579=C1580,Y1579=Y1580-1),Z1579,"")</f>
        <v/>
      </c>
      <c r="AC1580" s="0" t="str">
        <f aca="false">IF(AND(C1579=C1580,Y1579=Y1580-1),AA1579,"")</f>
        <v/>
      </c>
      <c r="AD1580" s="0" t="str">
        <f aca="false">IF(Y1580=1,"",IF(AND(Z1580=1,AB1580&lt;&gt;1),1,0))</f>
        <v/>
      </c>
      <c r="AE1580" s="0" t="str">
        <f aca="false">IF(Y1580=1,"",IF(AND(AA1580=1,AC1580&lt;&gt;1),1,0))</f>
        <v/>
      </c>
      <c r="AF1580" s="45" t="str">
        <f aca="false">IF(AND(E1580&gt;0,Y1580&lt;1,NOT(AND(C1581=C1580,Y1581=Y1580+1))),INDEX(DATAS,Y1580+1),"")</f>
        <v/>
      </c>
      <c r="AG1580" s="45" t="str">
        <f aca="false">IF(AND(AA1580=1,Y1580&lt;1),IF(AND(C1581=C1580,Y1581=Y1580+1),IF(AA1581=1,"",INDEX(DATAS,Y1580+1)),INDEX(DATAS,Y1580+1)),"")</f>
        <v/>
      </c>
    </row>
    <row r="1581" customFormat="false" ht="15" hidden="false" customHeight="false" outlineLevel="0" collapsed="false">
      <c r="A1581" s="45" t="n">
        <v>46309</v>
      </c>
      <c r="B1581" s="0" t="n">
        <v>4</v>
      </c>
      <c r="C1581" s="0" t="n">
        <v>5729</v>
      </c>
      <c r="D1581" s="0" t="n">
        <v>160</v>
      </c>
      <c r="E1581" s="0" t="n">
        <v>1</v>
      </c>
      <c r="F1581" s="39" t="s">
        <v>950</v>
      </c>
      <c r="G1581" s="0" t="n">
        <v>25.2</v>
      </c>
      <c r="H1581" s="0" t="n">
        <v>25</v>
      </c>
      <c r="I1581" s="39" t="s">
        <v>138</v>
      </c>
      <c r="J1581" s="0" t="n">
        <v>160</v>
      </c>
      <c r="K1581" s="0" t="n">
        <v>69</v>
      </c>
      <c r="P1581" s="0" t="n">
        <v>6.36</v>
      </c>
      <c r="Q1581" s="0" t="n">
        <v>3.36</v>
      </c>
      <c r="R1581" s="0" t="n">
        <v>4268</v>
      </c>
      <c r="S1581" s="0" t="n">
        <v>8203</v>
      </c>
      <c r="T1581" s="0" t="n">
        <v>48.2</v>
      </c>
      <c r="U1581" s="0" t="n">
        <v>820</v>
      </c>
      <c r="V1581" s="0" t="n">
        <v>3</v>
      </c>
      <c r="W1581" s="39" t="n">
        <f aca="false">IF(I1581="Male",0,1)</f>
        <v>1</v>
      </c>
      <c r="X1581" s="39" t="n">
        <f aca="false">IF(OR(I1581="DNB",I1581="Dry DNB"),1,0)</f>
        <v>0</v>
      </c>
      <c r="Y1581" s="39" t="n">
        <f aca="false">MATCH(A1581,DATAS,0)</f>
        <v>1</v>
      </c>
      <c r="Z1581" s="39" t="n">
        <f aca="false">IF(AND(E1581&gt;0,OR(AND(B1581&gt;=1,B1581&lt;=6),B1581=10)),1,0)</f>
        <v>1</v>
      </c>
      <c r="AA1581" s="39" t="n">
        <f aca="false">IF(AND(E1581&gt;0,B1581=10),1,0)</f>
        <v>0</v>
      </c>
      <c r="AB1581" s="0" t="str">
        <f aca="false">IF(AND(C1580=C1581,Y1580=Y1581-1),Z1580,"")</f>
        <v/>
      </c>
      <c r="AC1581" s="0" t="str">
        <f aca="false">IF(AND(C1580=C1581,Y1580=Y1581-1),AA1580,"")</f>
        <v/>
      </c>
      <c r="AD1581" s="0" t="str">
        <f aca="false">IF(Y1581=1,"",IF(AND(Z1581=1,AB1581&lt;&gt;1),1,0))</f>
        <v/>
      </c>
      <c r="AE1581" s="0" t="str">
        <f aca="false">IF(Y1581=1,"",IF(AND(AA1581=1,AC1581&lt;&gt;1),1,0))</f>
        <v/>
      </c>
      <c r="AF1581" s="45" t="str">
        <f aca="false">IF(AND(E1581&gt;0,Y1581&lt;1,NOT(AND(C1582=C1581,Y1582=Y1581+1))),INDEX(DATAS,Y1581+1),"")</f>
        <v/>
      </c>
      <c r="AG1581" s="45" t="str">
        <f aca="false">IF(AND(AA1581=1,Y1581&lt;1),IF(AND(C1582=C1581,Y1582=Y1581+1),IF(AA1582=1,"",INDEX(DATAS,Y1581+1)),INDEX(DATAS,Y1581+1)),"")</f>
        <v/>
      </c>
    </row>
    <row r="1582" customFormat="false" ht="15" hidden="false" customHeight="false" outlineLevel="0" collapsed="false">
      <c r="A1582" s="45" t="n">
        <v>46309</v>
      </c>
      <c r="B1582" s="0" t="n">
        <v>4</v>
      </c>
      <c r="C1582" s="0" t="n">
        <v>5730</v>
      </c>
      <c r="D1582" s="0" t="n">
        <v>185</v>
      </c>
      <c r="E1582" s="0" t="n">
        <v>1</v>
      </c>
      <c r="F1582" s="39" t="s">
        <v>951</v>
      </c>
      <c r="G1582" s="0" t="n">
        <v>47.9</v>
      </c>
      <c r="H1582" s="0" t="n">
        <v>48</v>
      </c>
      <c r="I1582" s="39" t="s">
        <v>138</v>
      </c>
      <c r="J1582" s="0" t="n">
        <v>185</v>
      </c>
      <c r="K1582" s="0" t="n">
        <v>66</v>
      </c>
      <c r="P1582" s="0" t="n">
        <v>3.09</v>
      </c>
      <c r="Q1582" s="0" t="n">
        <v>3.55</v>
      </c>
      <c r="R1582" s="0" t="n">
        <v>4687</v>
      </c>
      <c r="S1582" s="0" t="n">
        <v>9995</v>
      </c>
      <c r="T1582" s="0" t="n">
        <v>47.4</v>
      </c>
      <c r="U1582" s="0" t="n">
        <v>819</v>
      </c>
      <c r="V1582" s="0" t="n">
        <v>4</v>
      </c>
      <c r="W1582" s="39" t="n">
        <f aca="false">IF(I1582="Male",0,1)</f>
        <v>1</v>
      </c>
      <c r="X1582" s="39" t="n">
        <f aca="false">IF(OR(I1582="DNB",I1582="Dry DNB"),1,0)</f>
        <v>0</v>
      </c>
      <c r="Y1582" s="39" t="n">
        <f aca="false">MATCH(A1582,DATAS,0)</f>
        <v>1</v>
      </c>
      <c r="Z1582" s="39" t="n">
        <f aca="false">IF(AND(E1582&gt;0,OR(AND(B1582&gt;=1,B1582&lt;=6),B1582=10)),1,0)</f>
        <v>1</v>
      </c>
      <c r="AA1582" s="39" t="n">
        <f aca="false">IF(AND(E1582&gt;0,B1582=10),1,0)</f>
        <v>0</v>
      </c>
      <c r="AB1582" s="0" t="str">
        <f aca="false">IF(AND(C1581=C1582,Y1581=Y1582-1),Z1581,"")</f>
        <v/>
      </c>
      <c r="AC1582" s="0" t="str">
        <f aca="false">IF(AND(C1581=C1582,Y1581=Y1582-1),AA1581,"")</f>
        <v/>
      </c>
      <c r="AD1582" s="0" t="str">
        <f aca="false">IF(Y1582=1,"",IF(AND(Z1582=1,AB1582&lt;&gt;1),1,0))</f>
        <v/>
      </c>
      <c r="AE1582" s="0" t="str">
        <f aca="false">IF(Y1582=1,"",IF(AND(AA1582=1,AC1582&lt;&gt;1),1,0))</f>
        <v/>
      </c>
      <c r="AF1582" s="45" t="str">
        <f aca="false">IF(AND(E1582&gt;0,Y1582&lt;1,NOT(AND(C1583=C1582,Y1583=Y1582+1))),INDEX(DATAS,Y1582+1),"")</f>
        <v/>
      </c>
      <c r="AG1582" s="45" t="str">
        <f aca="false">IF(AND(AA1582=1,Y1582&lt;1),IF(AND(C1583=C1582,Y1583=Y1582+1),IF(AA1583=1,"",INDEX(DATAS,Y1582+1)),INDEX(DATAS,Y1582+1)),"")</f>
        <v/>
      </c>
    </row>
    <row r="1583" customFormat="false" ht="15" hidden="false" customHeight="false" outlineLevel="0" collapsed="false">
      <c r="A1583" s="45" t="n">
        <v>46309</v>
      </c>
      <c r="B1583" s="0" t="n">
        <v>4</v>
      </c>
      <c r="C1583" s="0" t="n">
        <v>5731</v>
      </c>
      <c r="D1583" s="0" t="n">
        <v>140</v>
      </c>
      <c r="E1583" s="0" t="n">
        <v>1</v>
      </c>
      <c r="F1583" s="39" t="s">
        <v>951</v>
      </c>
      <c r="G1583" s="0" t="n">
        <v>54.9</v>
      </c>
      <c r="H1583" s="0" t="n">
        <v>54</v>
      </c>
      <c r="I1583" s="39" t="s">
        <v>109</v>
      </c>
      <c r="J1583" s="0" t="n">
        <v>63</v>
      </c>
      <c r="K1583" s="0" t="n">
        <v>63</v>
      </c>
      <c r="L1583" s="0" t="n">
        <v>77</v>
      </c>
      <c r="P1583" s="0" t="n">
        <v>3.75</v>
      </c>
      <c r="Q1583" s="0" t="n">
        <v>3.2</v>
      </c>
      <c r="R1583" s="0" t="n">
        <v>5023</v>
      </c>
      <c r="S1583" s="0" t="n">
        <v>10380</v>
      </c>
      <c r="T1583" s="0" t="n">
        <v>53.45</v>
      </c>
      <c r="U1583" s="0" t="n">
        <v>819</v>
      </c>
      <c r="V1583" s="0" t="n">
        <v>1</v>
      </c>
      <c r="W1583" s="39" t="n">
        <f aca="false">IF(I1583="Male",0,1)</f>
        <v>1</v>
      </c>
      <c r="X1583" s="39" t="n">
        <f aca="false">IF(OR(I1583="DNB",I1583="Dry DNB"),1,0)</f>
        <v>0</v>
      </c>
      <c r="Y1583" s="39" t="n">
        <f aca="false">MATCH(A1583,DATAS,0)</f>
        <v>1</v>
      </c>
      <c r="Z1583" s="39" t="n">
        <f aca="false">IF(AND(E1583&gt;0,OR(AND(B1583&gt;=1,B1583&lt;=6),B1583=10)),1,0)</f>
        <v>1</v>
      </c>
      <c r="AA1583" s="39" t="n">
        <f aca="false">IF(AND(E1583&gt;0,B1583=10),1,0)</f>
        <v>0</v>
      </c>
      <c r="AB1583" s="0" t="str">
        <f aca="false">IF(AND(C1582=C1583,Y1582=Y1583-1),Z1582,"")</f>
        <v/>
      </c>
      <c r="AC1583" s="0" t="str">
        <f aca="false">IF(AND(C1582=C1583,Y1582=Y1583-1),AA1582,"")</f>
        <v/>
      </c>
      <c r="AD1583" s="0" t="str">
        <f aca="false">IF(Y1583=1,"",IF(AND(Z1583=1,AB1583&lt;&gt;1),1,0))</f>
        <v/>
      </c>
      <c r="AE1583" s="0" t="str">
        <f aca="false">IF(Y1583=1,"",IF(AND(AA1583=1,AC1583&lt;&gt;1),1,0))</f>
        <v/>
      </c>
      <c r="AF1583" s="45" t="str">
        <f aca="false">IF(AND(E1583&gt;0,Y1583&lt;1,NOT(AND(C1584=C1583,Y1584=Y1583+1))),INDEX(DATAS,Y1583+1),"")</f>
        <v/>
      </c>
      <c r="AG1583" s="45" t="str">
        <f aca="false">IF(AND(AA1583=1,Y1583&lt;1),IF(AND(C1584=C1583,Y1584=Y1583+1),IF(AA1584=1,"",INDEX(DATAS,Y1583+1)),INDEX(DATAS,Y1583+1)),"")</f>
        <v/>
      </c>
    </row>
    <row r="1584" customFormat="false" ht="15" hidden="false" customHeight="false" outlineLevel="0" collapsed="false">
      <c r="A1584" s="45" t="n">
        <v>46309</v>
      </c>
      <c r="B1584" s="0" t="n">
        <v>4</v>
      </c>
      <c r="C1584" s="0" t="n">
        <v>5732</v>
      </c>
      <c r="D1584" s="0" t="n">
        <v>184</v>
      </c>
      <c r="E1584" s="0" t="n">
        <v>1</v>
      </c>
      <c r="F1584" s="39" t="s">
        <v>952</v>
      </c>
      <c r="G1584" s="0" t="n">
        <v>43.1</v>
      </c>
      <c r="H1584" s="0" t="n">
        <v>40</v>
      </c>
      <c r="I1584" s="39" t="s">
        <v>138</v>
      </c>
      <c r="J1584" s="0" t="n">
        <v>184</v>
      </c>
      <c r="K1584" s="0" t="n">
        <v>65</v>
      </c>
      <c r="P1584" s="0" t="n">
        <v>3.32</v>
      </c>
      <c r="Q1584" s="0" t="n">
        <v>3.44</v>
      </c>
      <c r="R1584" s="0" t="n">
        <v>4064</v>
      </c>
      <c r="S1584" s="0" t="n">
        <v>8737</v>
      </c>
      <c r="T1584" s="0" t="n">
        <v>44.1</v>
      </c>
      <c r="U1584" s="0" t="n">
        <v>818</v>
      </c>
      <c r="V1584" s="0" t="n">
        <v>4</v>
      </c>
      <c r="W1584" s="39" t="n">
        <f aca="false">IF(I1584="Male",0,1)</f>
        <v>1</v>
      </c>
      <c r="X1584" s="39" t="n">
        <f aca="false">IF(OR(I1584="DNB",I1584="Dry DNB"),1,0)</f>
        <v>0</v>
      </c>
      <c r="Y1584" s="39" t="n">
        <f aca="false">MATCH(A1584,DATAS,0)</f>
        <v>1</v>
      </c>
      <c r="Z1584" s="39" t="n">
        <f aca="false">IF(AND(E1584&gt;0,OR(AND(B1584&gt;=1,B1584&lt;=6),B1584=10)),1,0)</f>
        <v>1</v>
      </c>
      <c r="AA1584" s="39" t="n">
        <f aca="false">IF(AND(E1584&gt;0,B1584=10),1,0)</f>
        <v>0</v>
      </c>
      <c r="AB1584" s="0" t="str">
        <f aca="false">IF(AND(C1583=C1584,Y1583=Y1584-1),Z1583,"")</f>
        <v/>
      </c>
      <c r="AC1584" s="0" t="str">
        <f aca="false">IF(AND(C1583=C1584,Y1583=Y1584-1),AA1583,"")</f>
        <v/>
      </c>
      <c r="AD1584" s="0" t="str">
        <f aca="false">IF(Y1584=1,"",IF(AND(Z1584=1,AB1584&lt;&gt;1),1,0))</f>
        <v/>
      </c>
      <c r="AE1584" s="0" t="str">
        <f aca="false">IF(Y1584=1,"",IF(AND(AA1584=1,AC1584&lt;&gt;1),1,0))</f>
        <v/>
      </c>
      <c r="AF1584" s="45" t="str">
        <f aca="false">IF(AND(E1584&gt;0,Y1584&lt;1,NOT(AND(C1585=C1584,Y1585=Y1584+1))),INDEX(DATAS,Y1584+1),"")</f>
        <v/>
      </c>
      <c r="AG1584" s="45" t="str">
        <f aca="false">IF(AND(AA1584=1,Y1584&lt;1),IF(AND(C1585=C1584,Y1585=Y1584+1),IF(AA1585=1,"",INDEX(DATAS,Y1584+1)),INDEX(DATAS,Y1584+1)),"")</f>
        <v/>
      </c>
    </row>
    <row r="1585" customFormat="false" ht="15" hidden="false" customHeight="false" outlineLevel="0" collapsed="false">
      <c r="A1585" s="45" t="n">
        <v>46309</v>
      </c>
      <c r="B1585" s="0" t="n">
        <v>4</v>
      </c>
      <c r="C1585" s="0" t="n">
        <v>5733</v>
      </c>
      <c r="D1585" s="0" t="n">
        <v>180</v>
      </c>
      <c r="E1585" s="0" t="n">
        <v>1</v>
      </c>
      <c r="F1585" s="39" t="s">
        <v>952</v>
      </c>
      <c r="G1585" s="0" t="n">
        <v>30.1</v>
      </c>
      <c r="H1585" s="0" t="n">
        <v>26</v>
      </c>
      <c r="I1585" s="39" t="s">
        <v>146</v>
      </c>
      <c r="J1585" s="0" t="n">
        <v>180</v>
      </c>
      <c r="K1585" s="0" t="n">
        <v>68</v>
      </c>
      <c r="P1585" s="0" t="n">
        <v>3.08</v>
      </c>
      <c r="Q1585" s="0" t="n">
        <v>3.04</v>
      </c>
      <c r="R1585" s="0" t="n">
        <v>4309</v>
      </c>
      <c r="S1585" s="0" t="n">
        <v>8157</v>
      </c>
      <c r="T1585" s="0" t="n">
        <v>49.5</v>
      </c>
      <c r="U1585" s="0" t="n">
        <v>818</v>
      </c>
      <c r="V1585" s="0" t="n">
        <v>5</v>
      </c>
      <c r="W1585" s="39" t="n">
        <f aca="false">IF(I1585="Male",0,1)</f>
        <v>1</v>
      </c>
      <c r="X1585" s="39" t="n">
        <f aca="false">IF(OR(I1585="DNB",I1585="Dry DNB"),1,0)</f>
        <v>0</v>
      </c>
      <c r="Y1585" s="39" t="n">
        <f aca="false">MATCH(A1585,DATAS,0)</f>
        <v>1</v>
      </c>
      <c r="Z1585" s="39" t="n">
        <f aca="false">IF(AND(E1585&gt;0,OR(AND(B1585&gt;=1,B1585&lt;=6),B1585=10)),1,0)</f>
        <v>1</v>
      </c>
      <c r="AA1585" s="39" t="n">
        <f aca="false">IF(AND(E1585&gt;0,B1585=10),1,0)</f>
        <v>0</v>
      </c>
      <c r="AB1585" s="0" t="str">
        <f aca="false">IF(AND(C1584=C1585,Y1584=Y1585-1),Z1584,"")</f>
        <v/>
      </c>
      <c r="AC1585" s="0" t="str">
        <f aca="false">IF(AND(C1584=C1585,Y1584=Y1585-1),AA1584,"")</f>
        <v/>
      </c>
      <c r="AD1585" s="0" t="str">
        <f aca="false">IF(Y1585=1,"",IF(AND(Z1585=1,AB1585&lt;&gt;1),1,0))</f>
        <v/>
      </c>
      <c r="AE1585" s="0" t="str">
        <f aca="false">IF(Y1585=1,"",IF(AND(AA1585=1,AC1585&lt;&gt;1),1,0))</f>
        <v/>
      </c>
      <c r="AF1585" s="45" t="str">
        <f aca="false">IF(AND(E1585&gt;0,Y1585&lt;1,NOT(AND(C1586=C1585,Y1586=Y1585+1))),INDEX(DATAS,Y1585+1),"")</f>
        <v/>
      </c>
      <c r="AG1585" s="45" t="str">
        <f aca="false">IF(AND(AA1585=1,Y1585&lt;1),IF(AND(C1586=C1585,Y1586=Y1585+1),IF(AA1586=1,"",INDEX(DATAS,Y1585+1)),INDEX(DATAS,Y1585+1)),"")</f>
        <v/>
      </c>
    </row>
    <row r="1586" customFormat="false" ht="15" hidden="false" customHeight="false" outlineLevel="0" collapsed="false">
      <c r="A1586" s="45" t="n">
        <v>46309</v>
      </c>
      <c r="B1586" s="0" t="n">
        <v>4</v>
      </c>
      <c r="C1586" s="0" t="n">
        <v>5735</v>
      </c>
      <c r="D1586" s="0" t="n">
        <v>167</v>
      </c>
      <c r="E1586" s="0" t="n">
        <v>1</v>
      </c>
      <c r="F1586" s="39" t="s">
        <v>952</v>
      </c>
      <c r="G1586" s="0" t="n">
        <v>42.4</v>
      </c>
      <c r="H1586" s="0" t="n">
        <v>40</v>
      </c>
      <c r="I1586" s="39" t="s">
        <v>109</v>
      </c>
      <c r="J1586" s="0" t="n">
        <v>106</v>
      </c>
      <c r="K1586" s="0" t="n">
        <v>62</v>
      </c>
      <c r="L1586" s="0" t="n">
        <v>61</v>
      </c>
      <c r="P1586" s="0" t="n">
        <v>5.1</v>
      </c>
      <c r="Q1586" s="0" t="n">
        <v>3.25</v>
      </c>
      <c r="R1586" s="0" t="n">
        <v>3990</v>
      </c>
      <c r="S1586" s="0" t="n">
        <v>8302</v>
      </c>
      <c r="T1586" s="0" t="n">
        <v>40.9</v>
      </c>
      <c r="U1586" s="0" t="n">
        <v>818</v>
      </c>
      <c r="V1586" s="0" t="n">
        <v>3</v>
      </c>
      <c r="W1586" s="39" t="n">
        <f aca="false">IF(I1586="Male",0,1)</f>
        <v>1</v>
      </c>
      <c r="X1586" s="39" t="n">
        <f aca="false">IF(OR(I1586="DNB",I1586="Dry DNB"),1,0)</f>
        <v>0</v>
      </c>
      <c r="Y1586" s="39" t="n">
        <f aca="false">MATCH(A1586,DATAS,0)</f>
        <v>1</v>
      </c>
      <c r="Z1586" s="39" t="n">
        <f aca="false">IF(AND(E1586&gt;0,OR(AND(B1586&gt;=1,B1586&lt;=6),B1586=10)),1,0)</f>
        <v>1</v>
      </c>
      <c r="AA1586" s="39" t="n">
        <f aca="false">IF(AND(E1586&gt;0,B1586=10),1,0)</f>
        <v>0</v>
      </c>
      <c r="AB1586" s="0" t="str">
        <f aca="false">IF(AND(C1585=C1586,Y1585=Y1586-1),Z1585,"")</f>
        <v/>
      </c>
      <c r="AC1586" s="0" t="str">
        <f aca="false">IF(AND(C1585=C1586,Y1585=Y1586-1),AA1585,"")</f>
        <v/>
      </c>
      <c r="AD1586" s="0" t="str">
        <f aca="false">IF(Y1586=1,"",IF(AND(Z1586=1,AB1586&lt;&gt;1),1,0))</f>
        <v/>
      </c>
      <c r="AE1586" s="0" t="str">
        <f aca="false">IF(Y1586=1,"",IF(AND(AA1586=1,AC1586&lt;&gt;1),1,0))</f>
        <v/>
      </c>
      <c r="AF1586" s="45" t="str">
        <f aca="false">IF(AND(E1586&gt;0,Y1586&lt;1,NOT(AND(C1587=C1586,Y1587=Y1586+1))),INDEX(DATAS,Y1586+1),"")</f>
        <v/>
      </c>
      <c r="AG1586" s="45" t="str">
        <f aca="false">IF(AND(AA1586=1,Y1586&lt;1),IF(AND(C1587=C1586,Y1587=Y1586+1),IF(AA1587=1,"",INDEX(DATAS,Y1586+1)),INDEX(DATAS,Y1586+1)),"")</f>
        <v/>
      </c>
    </row>
    <row r="1587" customFormat="false" ht="15" hidden="false" customHeight="false" outlineLevel="0" collapsed="false">
      <c r="A1587" s="45" t="n">
        <v>46309</v>
      </c>
      <c r="B1587" s="0" t="n">
        <v>4</v>
      </c>
      <c r="C1587" s="0" t="n">
        <v>5736</v>
      </c>
      <c r="D1587" s="0" t="n">
        <v>174</v>
      </c>
      <c r="E1587" s="0" t="n">
        <v>1</v>
      </c>
      <c r="F1587" s="39" t="s">
        <v>953</v>
      </c>
      <c r="G1587" s="0" t="n">
        <v>44.3</v>
      </c>
      <c r="H1587" s="0" t="n">
        <v>42</v>
      </c>
      <c r="I1587" s="39" t="s">
        <v>109</v>
      </c>
      <c r="J1587" s="0" t="n">
        <v>85</v>
      </c>
      <c r="K1587" s="0" t="n">
        <v>62</v>
      </c>
      <c r="L1587" s="0" t="n">
        <v>89</v>
      </c>
      <c r="P1587" s="0" t="n">
        <v>3.32</v>
      </c>
      <c r="Q1587" s="0" t="n">
        <v>3.33</v>
      </c>
      <c r="R1587" s="0" t="n">
        <v>4179</v>
      </c>
      <c r="S1587" s="0" t="n">
        <v>8815</v>
      </c>
      <c r="T1587" s="0" t="n">
        <v>46.35</v>
      </c>
      <c r="U1587" s="0" t="n">
        <v>815</v>
      </c>
      <c r="V1587" s="0" t="n">
        <v>2</v>
      </c>
      <c r="W1587" s="39" t="n">
        <f aca="false">IF(I1587="Male",0,1)</f>
        <v>1</v>
      </c>
      <c r="X1587" s="39" t="n">
        <f aca="false">IF(OR(I1587="DNB",I1587="Dry DNB"),1,0)</f>
        <v>0</v>
      </c>
      <c r="Y1587" s="39" t="n">
        <f aca="false">MATCH(A1587,DATAS,0)</f>
        <v>1</v>
      </c>
      <c r="Z1587" s="39" t="n">
        <f aca="false">IF(AND(E1587&gt;0,OR(AND(B1587&gt;=1,B1587&lt;=6),B1587=10)),1,0)</f>
        <v>1</v>
      </c>
      <c r="AA1587" s="39" t="n">
        <f aca="false">IF(AND(E1587&gt;0,B1587=10),1,0)</f>
        <v>0</v>
      </c>
      <c r="AB1587" s="0" t="str">
        <f aca="false">IF(AND(C1586=C1587,Y1586=Y1587-1),Z1586,"")</f>
        <v/>
      </c>
      <c r="AC1587" s="0" t="str">
        <f aca="false">IF(AND(C1586=C1587,Y1586=Y1587-1),AA1586,"")</f>
        <v/>
      </c>
      <c r="AD1587" s="0" t="str">
        <f aca="false">IF(Y1587=1,"",IF(AND(Z1587=1,AB1587&lt;&gt;1),1,0))</f>
        <v/>
      </c>
      <c r="AE1587" s="0" t="str">
        <f aca="false">IF(Y1587=1,"",IF(AND(AA1587=1,AC1587&lt;&gt;1),1,0))</f>
        <v/>
      </c>
      <c r="AF1587" s="45" t="str">
        <f aca="false">IF(AND(E1587&gt;0,Y1587&lt;1,NOT(AND(C1588=C1587,Y1588=Y1587+1))),INDEX(DATAS,Y1587+1),"")</f>
        <v/>
      </c>
      <c r="AG1587" s="45" t="str">
        <f aca="false">IF(AND(AA1587=1,Y1587&lt;1),IF(AND(C1588=C1587,Y1588=Y1587+1),IF(AA1588=1,"",INDEX(DATAS,Y1587+1)),INDEX(DATAS,Y1587+1)),"")</f>
        <v/>
      </c>
    </row>
    <row r="1588" customFormat="false" ht="15" hidden="false" customHeight="false" outlineLevel="0" collapsed="false">
      <c r="A1588" s="45" t="n">
        <v>46309</v>
      </c>
      <c r="B1588" s="0" t="n">
        <v>1</v>
      </c>
      <c r="C1588" s="0" t="n">
        <v>5737</v>
      </c>
      <c r="D1588" s="0" t="n">
        <v>4</v>
      </c>
      <c r="E1588" s="0" t="n">
        <v>1</v>
      </c>
      <c r="F1588" s="39" t="s">
        <v>954</v>
      </c>
      <c r="I1588" s="39" t="s">
        <v>118</v>
      </c>
      <c r="J1588" s="0" t="n">
        <v>4</v>
      </c>
      <c r="U1588" s="0" t="n">
        <v>816</v>
      </c>
      <c r="V1588" s="0" t="n">
        <v>0</v>
      </c>
      <c r="W1588" s="39" t="n">
        <f aca="false">IF(I1588="Male",0,1)</f>
        <v>1</v>
      </c>
      <c r="X1588" s="39" t="n">
        <f aca="false">IF(OR(I1588="DNB",I1588="Dry DNB"),1,0)</f>
        <v>0</v>
      </c>
      <c r="Y1588" s="39" t="n">
        <f aca="false">MATCH(A1588,DATAS,0)</f>
        <v>1</v>
      </c>
      <c r="Z1588" s="39" t="n">
        <f aca="false">IF(AND(E1588&gt;0,OR(AND(B1588&gt;=1,B1588&lt;=6),B1588=10)),1,0)</f>
        <v>1</v>
      </c>
      <c r="AA1588" s="39" t="n">
        <f aca="false">IF(AND(E1588&gt;0,B1588=10),1,0)</f>
        <v>0</v>
      </c>
      <c r="AB1588" s="0" t="str">
        <f aca="false">IF(AND(C1587=C1588,Y1587=Y1588-1),Z1587,"")</f>
        <v/>
      </c>
      <c r="AC1588" s="0" t="str">
        <f aca="false">IF(AND(C1587=C1588,Y1587=Y1588-1),AA1587,"")</f>
        <v/>
      </c>
      <c r="AD1588" s="0" t="str">
        <f aca="false">IF(Y1588=1,"",IF(AND(Z1588=1,AB1588&lt;&gt;1),1,0))</f>
        <v/>
      </c>
      <c r="AE1588" s="0" t="str">
        <f aca="false">IF(Y1588=1,"",IF(AND(AA1588=1,AC1588&lt;&gt;1),1,0))</f>
        <v/>
      </c>
      <c r="AF1588" s="45" t="str">
        <f aca="false">IF(AND(E1588&gt;0,Y1588&lt;1,NOT(AND(C1589=C1588,Y1589=Y1588+1))),INDEX(DATAS,Y1588+1),"")</f>
        <v/>
      </c>
      <c r="AG1588" s="45" t="str">
        <f aca="false">IF(AND(AA1588=1,Y1588&lt;1),IF(AND(C1589=C1588,Y1589=Y1588+1),IF(AA1589=1,"",INDEX(DATAS,Y1588+1)),INDEX(DATAS,Y1588+1)),"")</f>
        <v/>
      </c>
    </row>
    <row r="1589" customFormat="false" ht="15" hidden="false" customHeight="false" outlineLevel="0" collapsed="false">
      <c r="A1589" s="45" t="n">
        <v>46309</v>
      </c>
      <c r="B1589" s="0" t="n">
        <v>4</v>
      </c>
      <c r="C1589" s="0" t="n">
        <v>5738</v>
      </c>
      <c r="D1589" s="0" t="n">
        <v>163</v>
      </c>
      <c r="E1589" s="0" t="n">
        <v>1</v>
      </c>
      <c r="F1589" s="39" t="s">
        <v>953</v>
      </c>
      <c r="G1589" s="0" t="n">
        <v>46.9</v>
      </c>
      <c r="H1589" s="0" t="n">
        <v>46</v>
      </c>
      <c r="I1589" s="39" t="s">
        <v>109</v>
      </c>
      <c r="J1589" s="0" t="n">
        <v>87</v>
      </c>
      <c r="K1589" s="0" t="n">
        <v>65</v>
      </c>
      <c r="L1589" s="0" t="n">
        <v>76</v>
      </c>
      <c r="P1589" s="0" t="n">
        <v>3.2</v>
      </c>
      <c r="Q1589" s="0" t="n">
        <v>3.29</v>
      </c>
      <c r="R1589" s="0" t="n">
        <v>4171</v>
      </c>
      <c r="S1589" s="0" t="n">
        <v>9003</v>
      </c>
      <c r="T1589" s="0" t="n">
        <v>48.75</v>
      </c>
      <c r="U1589" s="0" t="n">
        <v>815</v>
      </c>
      <c r="V1589" s="0" t="n">
        <v>2</v>
      </c>
      <c r="W1589" s="39" t="n">
        <f aca="false">IF(I1589="Male",0,1)</f>
        <v>1</v>
      </c>
      <c r="X1589" s="39" t="n">
        <f aca="false">IF(OR(I1589="DNB",I1589="Dry DNB"),1,0)</f>
        <v>0</v>
      </c>
      <c r="Y1589" s="39" t="n">
        <f aca="false">MATCH(A1589,DATAS,0)</f>
        <v>1</v>
      </c>
      <c r="Z1589" s="39" t="n">
        <f aca="false">IF(AND(E1589&gt;0,OR(AND(B1589&gt;=1,B1589&lt;=6),B1589=10)),1,0)</f>
        <v>1</v>
      </c>
      <c r="AA1589" s="39" t="n">
        <f aca="false">IF(AND(E1589&gt;0,B1589=10),1,0)</f>
        <v>0</v>
      </c>
      <c r="AB1589" s="0" t="str">
        <f aca="false">IF(AND(C1588=C1589,Y1588=Y1589-1),Z1588,"")</f>
        <v/>
      </c>
      <c r="AC1589" s="0" t="str">
        <f aca="false">IF(AND(C1588=C1589,Y1588=Y1589-1),AA1588,"")</f>
        <v/>
      </c>
      <c r="AD1589" s="0" t="str">
        <f aca="false">IF(Y1589=1,"",IF(AND(Z1589=1,AB1589&lt;&gt;1),1,0))</f>
        <v/>
      </c>
      <c r="AE1589" s="0" t="str">
        <f aca="false">IF(Y1589=1,"",IF(AND(AA1589=1,AC1589&lt;&gt;1),1,0))</f>
        <v/>
      </c>
      <c r="AF1589" s="45" t="str">
        <f aca="false">IF(AND(E1589&gt;0,Y1589&lt;1,NOT(AND(C1590=C1589,Y1590=Y1589+1))),INDEX(DATAS,Y1589+1),"")</f>
        <v/>
      </c>
      <c r="AG1589" s="45" t="str">
        <f aca="false">IF(AND(AA1589=1,Y1589&lt;1),IF(AND(C1590=C1589,Y1590=Y1589+1),IF(AA1590=1,"",INDEX(DATAS,Y1589+1)),INDEX(DATAS,Y1589+1)),"")</f>
        <v/>
      </c>
    </row>
    <row r="1590" customFormat="false" ht="15" hidden="false" customHeight="false" outlineLevel="0" collapsed="false">
      <c r="A1590" s="45" t="n">
        <v>46309</v>
      </c>
      <c r="B1590" s="0" t="n">
        <v>4</v>
      </c>
      <c r="C1590" s="0" t="n">
        <v>5739</v>
      </c>
      <c r="D1590" s="0" t="n">
        <v>153</v>
      </c>
      <c r="E1590" s="0" t="n">
        <v>1</v>
      </c>
      <c r="F1590" s="39" t="s">
        <v>953</v>
      </c>
      <c r="G1590" s="0" t="n">
        <v>51</v>
      </c>
      <c r="H1590" s="0" t="n">
        <v>50</v>
      </c>
      <c r="I1590" s="39" t="s">
        <v>109</v>
      </c>
      <c r="J1590" s="0" t="n">
        <v>97</v>
      </c>
      <c r="K1590" s="0" t="n">
        <v>64</v>
      </c>
      <c r="L1590" s="0" t="n">
        <v>56</v>
      </c>
      <c r="P1590" s="0" t="n">
        <v>2.61</v>
      </c>
      <c r="Q1590" s="0" t="n">
        <v>3.31</v>
      </c>
      <c r="R1590" s="0" t="n">
        <v>4608</v>
      </c>
      <c r="S1590" s="0" t="n">
        <v>9695</v>
      </c>
      <c r="T1590" s="0" t="n">
        <v>44.6</v>
      </c>
      <c r="U1590" s="0" t="n">
        <v>815</v>
      </c>
      <c r="V1590" s="0" t="n">
        <v>2</v>
      </c>
      <c r="W1590" s="39" t="n">
        <f aca="false">IF(I1590="Male",0,1)</f>
        <v>1</v>
      </c>
      <c r="X1590" s="39" t="n">
        <f aca="false">IF(OR(I1590="DNB",I1590="Dry DNB"),1,0)</f>
        <v>0</v>
      </c>
      <c r="Y1590" s="39" t="n">
        <f aca="false">MATCH(A1590,DATAS,0)</f>
        <v>1</v>
      </c>
      <c r="Z1590" s="39" t="n">
        <f aca="false">IF(AND(E1590&gt;0,OR(AND(B1590&gt;=1,B1590&lt;=6),B1590=10)),1,0)</f>
        <v>1</v>
      </c>
      <c r="AA1590" s="39" t="n">
        <f aca="false">IF(AND(E1590&gt;0,B1590=10),1,0)</f>
        <v>0</v>
      </c>
      <c r="AB1590" s="0" t="str">
        <f aca="false">IF(AND(C1589=C1590,Y1589=Y1590-1),Z1589,"")</f>
        <v/>
      </c>
      <c r="AC1590" s="0" t="str">
        <f aca="false">IF(AND(C1589=C1590,Y1589=Y1590-1),AA1589,"")</f>
        <v/>
      </c>
      <c r="AD1590" s="0" t="str">
        <f aca="false">IF(Y1590=1,"",IF(AND(Z1590=1,AB1590&lt;&gt;1),1,0))</f>
        <v/>
      </c>
      <c r="AE1590" s="0" t="str">
        <f aca="false">IF(Y1590=1,"",IF(AND(AA1590=1,AC1590&lt;&gt;1),1,0))</f>
        <v/>
      </c>
      <c r="AF1590" s="45" t="str">
        <f aca="false">IF(AND(E1590&gt;0,Y1590&lt;1,NOT(AND(C1591=C1590,Y1591=Y1590+1))),INDEX(DATAS,Y1590+1),"")</f>
        <v/>
      </c>
      <c r="AG1590" s="45" t="str">
        <f aca="false">IF(AND(AA1590=1,Y1590&lt;1),IF(AND(C1591=C1590,Y1591=Y1590+1),IF(AA1591=1,"",INDEX(DATAS,Y1590+1)),INDEX(DATAS,Y1590+1)),"")</f>
        <v/>
      </c>
    </row>
    <row r="1591" customFormat="false" ht="15" hidden="false" customHeight="false" outlineLevel="0" collapsed="false">
      <c r="A1591" s="45" t="n">
        <v>46309</v>
      </c>
      <c r="B1591" s="0" t="n">
        <v>4</v>
      </c>
      <c r="C1591" s="0" t="n">
        <v>5740</v>
      </c>
      <c r="D1591" s="0" t="n">
        <v>170</v>
      </c>
      <c r="E1591" s="0" t="n">
        <v>1</v>
      </c>
      <c r="F1591" s="39" t="s">
        <v>953</v>
      </c>
      <c r="G1591" s="0" t="n">
        <v>53.4</v>
      </c>
      <c r="H1591" s="0" t="n">
        <v>52</v>
      </c>
      <c r="I1591" s="39" t="s">
        <v>109</v>
      </c>
      <c r="J1591" s="0" t="n">
        <v>89</v>
      </c>
      <c r="K1591" s="0" t="n">
        <v>65</v>
      </c>
      <c r="L1591" s="0" t="n">
        <v>81</v>
      </c>
      <c r="P1591" s="0" t="n">
        <v>3.38</v>
      </c>
      <c r="Q1591" s="0" t="n">
        <v>3.35</v>
      </c>
      <c r="R1591" s="0" t="n">
        <v>4552</v>
      </c>
      <c r="S1591" s="0" t="n">
        <v>9537</v>
      </c>
      <c r="T1591" s="0" t="n">
        <v>52.75</v>
      </c>
      <c r="U1591" s="0" t="n">
        <v>815</v>
      </c>
      <c r="V1591" s="0" t="n">
        <v>2</v>
      </c>
      <c r="W1591" s="39" t="n">
        <f aca="false">IF(I1591="Male",0,1)</f>
        <v>1</v>
      </c>
      <c r="X1591" s="39" t="n">
        <f aca="false">IF(OR(I1591="DNB",I1591="Dry DNB"),1,0)</f>
        <v>0</v>
      </c>
      <c r="Y1591" s="39" t="n">
        <f aca="false">MATCH(A1591,DATAS,0)</f>
        <v>1</v>
      </c>
      <c r="Z1591" s="39" t="n">
        <f aca="false">IF(AND(E1591&gt;0,OR(AND(B1591&gt;=1,B1591&lt;=6),B1591=10)),1,0)</f>
        <v>1</v>
      </c>
      <c r="AA1591" s="39" t="n">
        <f aca="false">IF(AND(E1591&gt;0,B1591=10),1,0)</f>
        <v>0</v>
      </c>
      <c r="AB1591" s="0" t="str">
        <f aca="false">IF(AND(C1590=C1591,Y1590=Y1591-1),Z1590,"")</f>
        <v/>
      </c>
      <c r="AC1591" s="0" t="str">
        <f aca="false">IF(AND(C1590=C1591,Y1590=Y1591-1),AA1590,"")</f>
        <v/>
      </c>
      <c r="AD1591" s="0" t="str">
        <f aca="false">IF(Y1591=1,"",IF(AND(Z1591=1,AB1591&lt;&gt;1),1,0))</f>
        <v/>
      </c>
      <c r="AE1591" s="0" t="str">
        <f aca="false">IF(Y1591=1,"",IF(AND(AA1591=1,AC1591&lt;&gt;1),1,0))</f>
        <v/>
      </c>
      <c r="AF1591" s="45" t="str">
        <f aca="false">IF(AND(E1591&gt;0,Y1591&lt;1,NOT(AND(C1592=C1591,Y1592=Y1591+1))),INDEX(DATAS,Y1591+1),"")</f>
        <v/>
      </c>
      <c r="AG1591" s="45" t="str">
        <f aca="false">IF(AND(AA1591=1,Y1591&lt;1),IF(AND(C1592=C1591,Y1592=Y1591+1),IF(AA1592=1,"",INDEX(DATAS,Y1591+1)),INDEX(DATAS,Y1591+1)),"")</f>
        <v/>
      </c>
    </row>
    <row r="1592" customFormat="false" ht="15" hidden="false" customHeight="false" outlineLevel="0" collapsed="false">
      <c r="A1592" s="45" t="n">
        <v>46309</v>
      </c>
      <c r="B1592" s="0" t="n">
        <v>1</v>
      </c>
      <c r="C1592" s="0" t="n">
        <v>5741</v>
      </c>
      <c r="D1592" s="0" t="n">
        <v>55</v>
      </c>
      <c r="E1592" s="0" t="n">
        <v>1</v>
      </c>
      <c r="F1592" s="39" t="s">
        <v>955</v>
      </c>
      <c r="G1592" s="0" t="n">
        <v>21.2</v>
      </c>
      <c r="H1592" s="0" t="n">
        <v>21</v>
      </c>
      <c r="I1592" s="39" t="s">
        <v>118</v>
      </c>
      <c r="J1592" s="0" t="n">
        <v>55</v>
      </c>
      <c r="P1592" s="0" t="n">
        <v>3.96</v>
      </c>
      <c r="Q1592" s="0" t="n">
        <v>3.22</v>
      </c>
      <c r="R1592" s="0" t="n">
        <v>2320</v>
      </c>
      <c r="S1592" s="0" t="n">
        <v>4663</v>
      </c>
      <c r="U1592" s="0" t="n">
        <v>813</v>
      </c>
      <c r="V1592" s="0" t="n">
        <v>0</v>
      </c>
      <c r="W1592" s="39" t="n">
        <f aca="false">IF(I1592="Male",0,1)</f>
        <v>1</v>
      </c>
      <c r="X1592" s="39" t="n">
        <f aca="false">IF(OR(I1592="DNB",I1592="Dry DNB"),1,0)</f>
        <v>0</v>
      </c>
      <c r="Y1592" s="39" t="n">
        <f aca="false">MATCH(A1592,DATAS,0)</f>
        <v>1</v>
      </c>
      <c r="Z1592" s="39" t="n">
        <f aca="false">IF(AND(E1592&gt;0,OR(AND(B1592&gt;=1,B1592&lt;=6),B1592=10)),1,0)</f>
        <v>1</v>
      </c>
      <c r="AA1592" s="39" t="n">
        <f aca="false">IF(AND(E1592&gt;0,B1592=10),1,0)</f>
        <v>0</v>
      </c>
      <c r="AB1592" s="0" t="str">
        <f aca="false">IF(AND(C1591=C1592,Y1591=Y1592-1),Z1591,"")</f>
        <v/>
      </c>
      <c r="AC1592" s="0" t="str">
        <f aca="false">IF(AND(C1591=C1592,Y1591=Y1592-1),AA1591,"")</f>
        <v/>
      </c>
      <c r="AD1592" s="0" t="str">
        <f aca="false">IF(Y1592=1,"",IF(AND(Z1592=1,AB1592&lt;&gt;1),1,0))</f>
        <v/>
      </c>
      <c r="AE1592" s="0" t="str">
        <f aca="false">IF(Y1592=1,"",IF(AND(AA1592=1,AC1592&lt;&gt;1),1,0))</f>
        <v/>
      </c>
      <c r="AF1592" s="45" t="str">
        <f aca="false">IF(AND(E1592&gt;0,Y1592&lt;1,NOT(AND(C1593=C1592,Y1593=Y1592+1))),INDEX(DATAS,Y1592+1),"")</f>
        <v/>
      </c>
      <c r="AG1592" s="45" t="str">
        <f aca="false">IF(AND(AA1592=1,Y1592&lt;1),IF(AND(C1593=C1592,Y1593=Y1592+1),IF(AA1593=1,"",INDEX(DATAS,Y1592+1)),INDEX(DATAS,Y1592+1)),"")</f>
        <v/>
      </c>
    </row>
    <row r="1593" customFormat="false" ht="15" hidden="false" customHeight="false" outlineLevel="0" collapsed="false">
      <c r="A1593" s="45" t="n">
        <v>46309</v>
      </c>
      <c r="B1593" s="0" t="n">
        <v>1</v>
      </c>
      <c r="C1593" s="0" t="n">
        <v>5742</v>
      </c>
      <c r="D1593" s="0" t="n">
        <v>91</v>
      </c>
      <c r="E1593" s="0" t="n">
        <v>1</v>
      </c>
      <c r="F1593" s="39" t="s">
        <v>955</v>
      </c>
      <c r="G1593" s="0" t="n">
        <v>47.5</v>
      </c>
      <c r="H1593" s="0" t="n">
        <v>52</v>
      </c>
      <c r="I1593" s="39" t="s">
        <v>138</v>
      </c>
      <c r="J1593" s="0" t="n">
        <v>91</v>
      </c>
      <c r="K1593" s="0" t="n">
        <v>63</v>
      </c>
      <c r="P1593" s="0" t="n">
        <v>3.39</v>
      </c>
      <c r="Q1593" s="0" t="n">
        <v>2.94</v>
      </c>
      <c r="R1593" s="0" t="n">
        <v>4410</v>
      </c>
      <c r="S1593" s="0" t="n">
        <v>8864</v>
      </c>
      <c r="U1593" s="0" t="n">
        <v>813</v>
      </c>
      <c r="V1593" s="0" t="n">
        <v>1</v>
      </c>
      <c r="W1593" s="39" t="n">
        <f aca="false">IF(I1593="Male",0,1)</f>
        <v>1</v>
      </c>
      <c r="X1593" s="39" t="n">
        <f aca="false">IF(OR(I1593="DNB",I1593="Dry DNB"),1,0)</f>
        <v>0</v>
      </c>
      <c r="Y1593" s="39" t="n">
        <f aca="false">MATCH(A1593,DATAS,0)</f>
        <v>1</v>
      </c>
      <c r="Z1593" s="39" t="n">
        <f aca="false">IF(AND(E1593&gt;0,OR(AND(B1593&gt;=1,B1593&lt;=6),B1593=10)),1,0)</f>
        <v>1</v>
      </c>
      <c r="AA1593" s="39" t="n">
        <f aca="false">IF(AND(E1593&gt;0,B1593=10),1,0)</f>
        <v>0</v>
      </c>
      <c r="AB1593" s="0" t="str">
        <f aca="false">IF(AND(C1592=C1593,Y1592=Y1593-1),Z1592,"")</f>
        <v/>
      </c>
      <c r="AC1593" s="0" t="str">
        <f aca="false">IF(AND(C1592=C1593,Y1592=Y1593-1),AA1592,"")</f>
        <v/>
      </c>
      <c r="AD1593" s="0" t="str">
        <f aca="false">IF(Y1593=1,"",IF(AND(Z1593=1,AB1593&lt;&gt;1),1,0))</f>
        <v/>
      </c>
      <c r="AE1593" s="0" t="str">
        <f aca="false">IF(Y1593=1,"",IF(AND(AA1593=1,AC1593&lt;&gt;1),1,0))</f>
        <v/>
      </c>
      <c r="AF1593" s="45" t="str">
        <f aca="false">IF(AND(E1593&gt;0,Y1593&lt;1,NOT(AND(C1594=C1593,Y1594=Y1593+1))),INDEX(DATAS,Y1593+1),"")</f>
        <v/>
      </c>
      <c r="AG1593" s="45" t="str">
        <f aca="false">IF(AND(AA1593=1,Y1593&lt;1),IF(AND(C1594=C1593,Y1594=Y1593+1),IF(AA1594=1,"",INDEX(DATAS,Y1593+1)),INDEX(DATAS,Y1593+1)),"")</f>
        <v/>
      </c>
    </row>
    <row r="1594" customFormat="false" ht="15" hidden="false" customHeight="false" outlineLevel="0" collapsed="false">
      <c r="A1594" s="45" t="n">
        <v>46309</v>
      </c>
      <c r="B1594" s="0" t="n">
        <v>4</v>
      </c>
      <c r="C1594" s="0" t="n">
        <v>5743</v>
      </c>
      <c r="D1594" s="0" t="n">
        <v>158</v>
      </c>
      <c r="E1594" s="0" t="n">
        <v>1</v>
      </c>
      <c r="F1594" s="39" t="s">
        <v>955</v>
      </c>
      <c r="G1594" s="0" t="n">
        <v>45.1</v>
      </c>
      <c r="H1594" s="0" t="n">
        <v>45</v>
      </c>
      <c r="I1594" s="39" t="s">
        <v>109</v>
      </c>
      <c r="J1594" s="0" t="n">
        <v>123</v>
      </c>
      <c r="K1594" s="0" t="n">
        <v>67</v>
      </c>
      <c r="L1594" s="0" t="n">
        <v>35</v>
      </c>
      <c r="P1594" s="0" t="n">
        <v>3.09</v>
      </c>
      <c r="Q1594" s="0" t="n">
        <v>3.38</v>
      </c>
      <c r="R1594" s="0" t="n">
        <v>5116</v>
      </c>
      <c r="S1594" s="0" t="n">
        <v>10312</v>
      </c>
      <c r="T1594" s="0" t="n">
        <v>53</v>
      </c>
      <c r="U1594" s="0" t="n">
        <v>813</v>
      </c>
      <c r="V1594" s="0" t="n">
        <v>3</v>
      </c>
      <c r="W1594" s="39" t="n">
        <f aca="false">IF(I1594="Male",0,1)</f>
        <v>1</v>
      </c>
      <c r="X1594" s="39" t="n">
        <f aca="false">IF(OR(I1594="DNB",I1594="Dry DNB"),1,0)</f>
        <v>0</v>
      </c>
      <c r="Y1594" s="39" t="n">
        <f aca="false">MATCH(A1594,DATAS,0)</f>
        <v>1</v>
      </c>
      <c r="Z1594" s="39" t="n">
        <f aca="false">IF(AND(E1594&gt;0,OR(AND(B1594&gt;=1,B1594&lt;=6),B1594=10)),1,0)</f>
        <v>1</v>
      </c>
      <c r="AA1594" s="39" t="n">
        <f aca="false">IF(AND(E1594&gt;0,B1594=10),1,0)</f>
        <v>0</v>
      </c>
      <c r="AB1594" s="0" t="str">
        <f aca="false">IF(AND(C1593=C1594,Y1593=Y1594-1),Z1593,"")</f>
        <v/>
      </c>
      <c r="AC1594" s="0" t="str">
        <f aca="false">IF(AND(C1593=C1594,Y1593=Y1594-1),AA1593,"")</f>
        <v/>
      </c>
      <c r="AD1594" s="0" t="str">
        <f aca="false">IF(Y1594=1,"",IF(AND(Z1594=1,AB1594&lt;&gt;1),1,0))</f>
        <v/>
      </c>
      <c r="AE1594" s="0" t="str">
        <f aca="false">IF(Y1594=1,"",IF(AND(AA1594=1,AC1594&lt;&gt;1),1,0))</f>
        <v/>
      </c>
      <c r="AF1594" s="45" t="str">
        <f aca="false">IF(AND(E1594&gt;0,Y1594&lt;1,NOT(AND(C1595=C1594,Y1595=Y1594+1))),INDEX(DATAS,Y1594+1),"")</f>
        <v/>
      </c>
      <c r="AG1594" s="45" t="str">
        <f aca="false">IF(AND(AA1594=1,Y1594&lt;1),IF(AND(C1595=C1594,Y1595=Y1594+1),IF(AA1595=1,"",INDEX(DATAS,Y1594+1)),INDEX(DATAS,Y1594+1)),"")</f>
        <v/>
      </c>
    </row>
    <row r="1595" customFormat="false" ht="15" hidden="false" customHeight="false" outlineLevel="0" collapsed="false">
      <c r="A1595" s="45" t="n">
        <v>46309</v>
      </c>
      <c r="B1595" s="0" t="n">
        <v>4</v>
      </c>
      <c r="C1595" s="0" t="n">
        <v>5744</v>
      </c>
      <c r="D1595" s="0" t="n">
        <v>170</v>
      </c>
      <c r="E1595" s="0" t="n">
        <v>1</v>
      </c>
      <c r="F1595" s="39" t="s">
        <v>956</v>
      </c>
      <c r="G1595" s="0" t="n">
        <v>40.5</v>
      </c>
      <c r="H1595" s="0" t="n">
        <v>41</v>
      </c>
      <c r="I1595" s="39" t="s">
        <v>109</v>
      </c>
      <c r="J1595" s="0" t="n">
        <v>128</v>
      </c>
      <c r="K1595" s="0" t="n">
        <v>65</v>
      </c>
      <c r="L1595" s="0" t="n">
        <v>42</v>
      </c>
      <c r="P1595" s="0" t="n">
        <v>4.06</v>
      </c>
      <c r="Q1595" s="0" t="n">
        <v>3.21</v>
      </c>
      <c r="R1595" s="0" t="n">
        <v>4105</v>
      </c>
      <c r="S1595" s="0" t="n">
        <v>8658</v>
      </c>
      <c r="T1595" s="0" t="n">
        <v>45.35</v>
      </c>
      <c r="U1595" s="0" t="n">
        <v>812</v>
      </c>
      <c r="V1595" s="0" t="n">
        <v>4</v>
      </c>
      <c r="W1595" s="39" t="n">
        <f aca="false">IF(I1595="Male",0,1)</f>
        <v>1</v>
      </c>
      <c r="X1595" s="39" t="n">
        <f aca="false">IF(OR(I1595="DNB",I1595="Dry DNB"),1,0)</f>
        <v>0</v>
      </c>
      <c r="Y1595" s="39" t="n">
        <f aca="false">MATCH(A1595,DATAS,0)</f>
        <v>1</v>
      </c>
      <c r="Z1595" s="39" t="n">
        <f aca="false">IF(AND(E1595&gt;0,OR(AND(B1595&gt;=1,B1595&lt;=6),B1595=10)),1,0)</f>
        <v>1</v>
      </c>
      <c r="AA1595" s="39" t="n">
        <f aca="false">IF(AND(E1595&gt;0,B1595=10),1,0)</f>
        <v>0</v>
      </c>
      <c r="AB1595" s="0" t="str">
        <f aca="false">IF(AND(C1594=C1595,Y1594=Y1595-1),Z1594,"")</f>
        <v/>
      </c>
      <c r="AC1595" s="0" t="str">
        <f aca="false">IF(AND(C1594=C1595,Y1594=Y1595-1),AA1594,"")</f>
        <v/>
      </c>
      <c r="AD1595" s="0" t="str">
        <f aca="false">IF(Y1595=1,"",IF(AND(Z1595=1,AB1595&lt;&gt;1),1,0))</f>
        <v/>
      </c>
      <c r="AE1595" s="0" t="str">
        <f aca="false">IF(Y1595=1,"",IF(AND(AA1595=1,AC1595&lt;&gt;1),1,0))</f>
        <v/>
      </c>
      <c r="AF1595" s="45" t="str">
        <f aca="false">IF(AND(E1595&gt;0,Y1595&lt;1,NOT(AND(C1596=C1595,Y1596=Y1595+1))),INDEX(DATAS,Y1595+1),"")</f>
        <v/>
      </c>
      <c r="AG1595" s="45" t="str">
        <f aca="false">IF(AND(AA1595=1,Y1595&lt;1),IF(AND(C1596=C1595,Y1596=Y1595+1),IF(AA1596=1,"",INDEX(DATAS,Y1595+1)),INDEX(DATAS,Y1595+1)),"")</f>
        <v/>
      </c>
    </row>
    <row r="1596" customFormat="false" ht="15" hidden="false" customHeight="false" outlineLevel="0" collapsed="false">
      <c r="A1596" s="45" t="n">
        <v>46309</v>
      </c>
      <c r="B1596" s="0" t="n">
        <v>4</v>
      </c>
      <c r="C1596" s="0" t="n">
        <v>5745</v>
      </c>
      <c r="D1596" s="0" t="n">
        <v>163</v>
      </c>
      <c r="E1596" s="0" t="n">
        <v>1</v>
      </c>
      <c r="F1596" s="39" t="s">
        <v>956</v>
      </c>
      <c r="G1596" s="0" t="n">
        <v>27.9</v>
      </c>
      <c r="H1596" s="0" t="n">
        <v>26</v>
      </c>
      <c r="I1596" s="39" t="s">
        <v>138</v>
      </c>
      <c r="J1596" s="0" t="n">
        <v>163</v>
      </c>
      <c r="K1596" s="0" t="n">
        <v>67</v>
      </c>
      <c r="P1596" s="0" t="n">
        <v>4.62</v>
      </c>
      <c r="Q1596" s="0" t="n">
        <v>4.24</v>
      </c>
      <c r="R1596" s="0" t="n">
        <v>2861</v>
      </c>
      <c r="S1596" s="0" t="n">
        <v>5829</v>
      </c>
      <c r="T1596" s="0" t="n">
        <v>32.2</v>
      </c>
      <c r="U1596" s="0" t="n">
        <v>812</v>
      </c>
      <c r="V1596" s="0" t="n">
        <v>3</v>
      </c>
      <c r="W1596" s="39" t="n">
        <f aca="false">IF(I1596="Male",0,1)</f>
        <v>1</v>
      </c>
      <c r="X1596" s="39" t="n">
        <f aca="false">IF(OR(I1596="DNB",I1596="Dry DNB"),1,0)</f>
        <v>0</v>
      </c>
      <c r="Y1596" s="39" t="n">
        <f aca="false">MATCH(A1596,DATAS,0)</f>
        <v>1</v>
      </c>
      <c r="Z1596" s="39" t="n">
        <f aca="false">IF(AND(E1596&gt;0,OR(AND(B1596&gt;=1,B1596&lt;=6),B1596=10)),1,0)</f>
        <v>1</v>
      </c>
      <c r="AA1596" s="39" t="n">
        <f aca="false">IF(AND(E1596&gt;0,B1596=10),1,0)</f>
        <v>0</v>
      </c>
      <c r="AB1596" s="0" t="str">
        <f aca="false">IF(AND(C1595=C1596,Y1595=Y1596-1),Z1595,"")</f>
        <v/>
      </c>
      <c r="AC1596" s="0" t="str">
        <f aca="false">IF(AND(C1595=C1596,Y1595=Y1596-1),AA1595,"")</f>
        <v/>
      </c>
      <c r="AD1596" s="0" t="str">
        <f aca="false">IF(Y1596=1,"",IF(AND(Z1596=1,AB1596&lt;&gt;1),1,0))</f>
        <v/>
      </c>
      <c r="AE1596" s="0" t="str">
        <f aca="false">IF(Y1596=1,"",IF(AND(AA1596=1,AC1596&lt;&gt;1),1,0))</f>
        <v/>
      </c>
      <c r="AF1596" s="45" t="str">
        <f aca="false">IF(AND(E1596&gt;0,Y1596&lt;1,NOT(AND(C1597=C1596,Y1597=Y1596+1))),INDEX(DATAS,Y1596+1),"")</f>
        <v/>
      </c>
      <c r="AG1596" s="45" t="str">
        <f aca="false">IF(AND(AA1596=1,Y1596&lt;1),IF(AND(C1597=C1596,Y1597=Y1596+1),IF(AA1597=1,"",INDEX(DATAS,Y1596+1)),INDEX(DATAS,Y1596+1)),"")</f>
        <v/>
      </c>
    </row>
    <row r="1597" customFormat="false" ht="15" hidden="false" customHeight="false" outlineLevel="0" collapsed="false">
      <c r="A1597" s="45" t="n">
        <v>46309</v>
      </c>
      <c r="B1597" s="0" t="n">
        <v>4</v>
      </c>
      <c r="C1597" s="0" t="n">
        <v>5746</v>
      </c>
      <c r="D1597" s="0" t="n">
        <v>169</v>
      </c>
      <c r="E1597" s="0" t="n">
        <v>1</v>
      </c>
      <c r="F1597" s="39" t="s">
        <v>957</v>
      </c>
      <c r="G1597" s="0" t="n">
        <v>53.1</v>
      </c>
      <c r="H1597" s="0" t="n">
        <v>54</v>
      </c>
      <c r="I1597" s="39" t="s">
        <v>109</v>
      </c>
      <c r="J1597" s="0" t="n">
        <v>64</v>
      </c>
      <c r="K1597" s="0" t="n">
        <v>64</v>
      </c>
      <c r="L1597" s="0" t="n">
        <v>105</v>
      </c>
      <c r="P1597" s="0" t="n">
        <v>3.01</v>
      </c>
      <c r="Q1597" s="0" t="n">
        <v>3.44</v>
      </c>
      <c r="R1597" s="0" t="n">
        <v>4296</v>
      </c>
      <c r="S1597" s="0" t="n">
        <v>9135</v>
      </c>
      <c r="T1597" s="0" t="n">
        <v>48.15</v>
      </c>
      <c r="U1597" s="0" t="n">
        <v>811</v>
      </c>
      <c r="V1597" s="0" t="n">
        <v>1</v>
      </c>
      <c r="W1597" s="39" t="n">
        <f aca="false">IF(I1597="Male",0,1)</f>
        <v>1</v>
      </c>
      <c r="X1597" s="39" t="n">
        <f aca="false">IF(OR(I1597="DNB",I1597="Dry DNB"),1,0)</f>
        <v>0</v>
      </c>
      <c r="Y1597" s="39" t="n">
        <f aca="false">MATCH(A1597,DATAS,0)</f>
        <v>1</v>
      </c>
      <c r="Z1597" s="39" t="n">
        <f aca="false">IF(AND(E1597&gt;0,OR(AND(B1597&gt;=1,B1597&lt;=6),B1597=10)),1,0)</f>
        <v>1</v>
      </c>
      <c r="AA1597" s="39" t="n">
        <f aca="false">IF(AND(E1597&gt;0,B1597=10),1,0)</f>
        <v>0</v>
      </c>
      <c r="AB1597" s="0" t="str">
        <f aca="false">IF(AND(C1596=C1597,Y1596=Y1597-1),Z1596,"")</f>
        <v/>
      </c>
      <c r="AC1597" s="0" t="str">
        <f aca="false">IF(AND(C1596=C1597,Y1596=Y1597-1),AA1596,"")</f>
        <v/>
      </c>
      <c r="AD1597" s="0" t="str">
        <f aca="false">IF(Y1597=1,"",IF(AND(Z1597=1,AB1597&lt;&gt;1),1,0))</f>
        <v/>
      </c>
      <c r="AE1597" s="0" t="str">
        <f aca="false">IF(Y1597=1,"",IF(AND(AA1597=1,AC1597&lt;&gt;1),1,0))</f>
        <v/>
      </c>
      <c r="AF1597" s="45" t="str">
        <f aca="false">IF(AND(E1597&gt;0,Y1597&lt;1,NOT(AND(C1598=C1597,Y1598=Y1597+1))),INDEX(DATAS,Y1597+1),"")</f>
        <v/>
      </c>
      <c r="AG1597" s="45" t="str">
        <f aca="false">IF(AND(AA1597=1,Y1597&lt;1),IF(AND(C1598=C1597,Y1598=Y1597+1),IF(AA1598=1,"",INDEX(DATAS,Y1597+1)),INDEX(DATAS,Y1597+1)),"")</f>
        <v/>
      </c>
    </row>
    <row r="1598" customFormat="false" ht="15" hidden="false" customHeight="false" outlineLevel="0" collapsed="false">
      <c r="A1598" s="45" t="n">
        <v>46309</v>
      </c>
      <c r="B1598" s="0" t="n">
        <v>4</v>
      </c>
      <c r="C1598" s="0" t="n">
        <v>5748</v>
      </c>
      <c r="D1598" s="0" t="n">
        <v>154</v>
      </c>
      <c r="E1598" s="0" t="n">
        <v>1</v>
      </c>
      <c r="F1598" s="39" t="s">
        <v>957</v>
      </c>
      <c r="G1598" s="0" t="n">
        <v>51</v>
      </c>
      <c r="H1598" s="0" t="n">
        <v>52</v>
      </c>
      <c r="I1598" s="39" t="s">
        <v>109</v>
      </c>
      <c r="J1598" s="0" t="n">
        <v>101</v>
      </c>
      <c r="K1598" s="0" t="n">
        <v>63</v>
      </c>
      <c r="L1598" s="0" t="n">
        <v>53</v>
      </c>
      <c r="P1598" s="0" t="n">
        <v>3.62</v>
      </c>
      <c r="Q1598" s="0" t="n">
        <v>3.27</v>
      </c>
      <c r="R1598" s="0" t="n">
        <v>4767</v>
      </c>
      <c r="S1598" s="0" t="n">
        <v>10210</v>
      </c>
      <c r="T1598" s="0" t="n">
        <v>50.5</v>
      </c>
      <c r="U1598" s="0" t="n">
        <v>811</v>
      </c>
      <c r="V1598" s="0" t="n">
        <v>3</v>
      </c>
      <c r="W1598" s="39" t="n">
        <f aca="false">IF(I1598="Male",0,1)</f>
        <v>1</v>
      </c>
      <c r="X1598" s="39" t="n">
        <f aca="false">IF(OR(I1598="DNB",I1598="Dry DNB"),1,0)</f>
        <v>0</v>
      </c>
      <c r="Y1598" s="39" t="n">
        <f aca="false">MATCH(A1598,DATAS,0)</f>
        <v>1</v>
      </c>
      <c r="Z1598" s="39" t="n">
        <f aca="false">IF(AND(E1598&gt;0,OR(AND(B1598&gt;=1,B1598&lt;=6),B1598=10)),1,0)</f>
        <v>1</v>
      </c>
      <c r="AA1598" s="39" t="n">
        <f aca="false">IF(AND(E1598&gt;0,B1598=10),1,0)</f>
        <v>0</v>
      </c>
      <c r="AB1598" s="0" t="str">
        <f aca="false">IF(AND(C1597=C1598,Y1597=Y1598-1),Z1597,"")</f>
        <v/>
      </c>
      <c r="AC1598" s="0" t="str">
        <f aca="false">IF(AND(C1597=C1598,Y1597=Y1598-1),AA1597,"")</f>
        <v/>
      </c>
      <c r="AD1598" s="0" t="str">
        <f aca="false">IF(Y1598=1,"",IF(AND(Z1598=1,AB1598&lt;&gt;1),1,0))</f>
        <v/>
      </c>
      <c r="AE1598" s="0" t="str">
        <f aca="false">IF(Y1598=1,"",IF(AND(AA1598=1,AC1598&lt;&gt;1),1,0))</f>
        <v/>
      </c>
      <c r="AF1598" s="45" t="str">
        <f aca="false">IF(AND(E1598&gt;0,Y1598&lt;1,NOT(AND(C1599=C1598,Y1599=Y1598+1))),INDEX(DATAS,Y1598+1),"")</f>
        <v/>
      </c>
      <c r="AG1598" s="45" t="str">
        <f aca="false">IF(AND(AA1598=1,Y1598&lt;1),IF(AND(C1599=C1598,Y1599=Y1598+1),IF(AA1599=1,"",INDEX(DATAS,Y1598+1)),INDEX(DATAS,Y1598+1)),"")</f>
        <v/>
      </c>
    </row>
    <row r="1599" customFormat="false" ht="15" hidden="false" customHeight="false" outlineLevel="0" collapsed="false">
      <c r="A1599" s="45" t="n">
        <v>46309</v>
      </c>
      <c r="B1599" s="0" t="n">
        <v>4</v>
      </c>
      <c r="C1599" s="0" t="n">
        <v>5750</v>
      </c>
      <c r="D1599" s="0" t="n">
        <v>121</v>
      </c>
      <c r="E1599" s="0" t="n">
        <v>1</v>
      </c>
      <c r="F1599" s="39" t="s">
        <v>957</v>
      </c>
      <c r="G1599" s="0" t="n">
        <v>43.4</v>
      </c>
      <c r="H1599" s="0" t="n">
        <v>45</v>
      </c>
      <c r="I1599" s="39" t="s">
        <v>109</v>
      </c>
      <c r="J1599" s="0" t="n">
        <v>65</v>
      </c>
      <c r="K1599" s="0" t="n">
        <v>65</v>
      </c>
      <c r="L1599" s="0" t="n">
        <v>56</v>
      </c>
      <c r="P1599" s="0" t="n">
        <v>4.18</v>
      </c>
      <c r="Q1599" s="0" t="n">
        <v>2.99</v>
      </c>
      <c r="R1599" s="0" t="n">
        <v>3691</v>
      </c>
      <c r="S1599" s="0" t="n">
        <v>7742</v>
      </c>
      <c r="T1599" s="0" t="n">
        <v>39.2</v>
      </c>
      <c r="U1599" s="0" t="n">
        <v>811</v>
      </c>
      <c r="V1599" s="0" t="n">
        <v>1</v>
      </c>
      <c r="W1599" s="39" t="n">
        <f aca="false">IF(I1599="Male",0,1)</f>
        <v>1</v>
      </c>
      <c r="X1599" s="39" t="n">
        <f aca="false">IF(OR(I1599="DNB",I1599="Dry DNB"),1,0)</f>
        <v>0</v>
      </c>
      <c r="Y1599" s="39" t="n">
        <f aca="false">MATCH(A1599,DATAS,0)</f>
        <v>1</v>
      </c>
      <c r="Z1599" s="39" t="n">
        <f aca="false">IF(AND(E1599&gt;0,OR(AND(B1599&gt;=1,B1599&lt;=6),B1599=10)),1,0)</f>
        <v>1</v>
      </c>
      <c r="AA1599" s="39" t="n">
        <f aca="false">IF(AND(E1599&gt;0,B1599=10),1,0)</f>
        <v>0</v>
      </c>
      <c r="AB1599" s="0" t="str">
        <f aca="false">IF(AND(C1598=C1599,Y1598=Y1599-1),Z1598,"")</f>
        <v/>
      </c>
      <c r="AC1599" s="0" t="str">
        <f aca="false">IF(AND(C1598=C1599,Y1598=Y1599-1),AA1598,"")</f>
        <v/>
      </c>
      <c r="AD1599" s="0" t="str">
        <f aca="false">IF(Y1599=1,"",IF(AND(Z1599=1,AB1599&lt;&gt;1),1,0))</f>
        <v/>
      </c>
      <c r="AE1599" s="0" t="str">
        <f aca="false">IF(Y1599=1,"",IF(AND(AA1599=1,AC1599&lt;&gt;1),1,0))</f>
        <v/>
      </c>
      <c r="AF1599" s="45" t="str">
        <f aca="false">IF(AND(E1599&gt;0,Y1599&lt;1,NOT(AND(C1600=C1599,Y1600=Y1599+1))),INDEX(DATAS,Y1599+1),"")</f>
        <v/>
      </c>
      <c r="AG1599" s="45" t="str">
        <f aca="false">IF(AND(AA1599=1,Y1599&lt;1),IF(AND(C1600=C1599,Y1600=Y1599+1),IF(AA1600=1,"",INDEX(DATAS,Y1599+1)),INDEX(DATAS,Y1599+1)),"")</f>
        <v/>
      </c>
    </row>
    <row r="1600" customFormat="false" ht="15" hidden="false" customHeight="false" outlineLevel="0" collapsed="false">
      <c r="A1600" s="45" t="n">
        <v>46309</v>
      </c>
      <c r="B1600" s="0" t="n">
        <v>4</v>
      </c>
      <c r="C1600" s="0" t="n">
        <v>5751</v>
      </c>
      <c r="D1600" s="0" t="n">
        <v>126</v>
      </c>
      <c r="E1600" s="0" t="n">
        <v>1</v>
      </c>
      <c r="F1600" s="39" t="s">
        <v>957</v>
      </c>
      <c r="G1600" s="0" t="n">
        <v>50.1</v>
      </c>
      <c r="H1600" s="0" t="n">
        <v>52</v>
      </c>
      <c r="I1600" s="39" t="s">
        <v>138</v>
      </c>
      <c r="J1600" s="0" t="n">
        <v>126</v>
      </c>
      <c r="K1600" s="0" t="n">
        <v>63</v>
      </c>
      <c r="P1600" s="0" t="n">
        <v>3.59</v>
      </c>
      <c r="Q1600" s="0" t="n">
        <v>3.05</v>
      </c>
      <c r="R1600" s="0" t="n">
        <v>4358</v>
      </c>
      <c r="S1600" s="0" t="n">
        <v>9161</v>
      </c>
      <c r="T1600" s="0" t="n">
        <v>47.15</v>
      </c>
      <c r="U1600" s="0" t="n">
        <v>811</v>
      </c>
      <c r="V1600" s="0" t="n">
        <v>2</v>
      </c>
      <c r="W1600" s="39" t="n">
        <f aca="false">IF(I1600="Male",0,1)</f>
        <v>1</v>
      </c>
      <c r="X1600" s="39" t="n">
        <f aca="false">IF(OR(I1600="DNB",I1600="Dry DNB"),1,0)</f>
        <v>0</v>
      </c>
      <c r="Y1600" s="39" t="n">
        <f aca="false">MATCH(A1600,DATAS,0)</f>
        <v>1</v>
      </c>
      <c r="Z1600" s="39" t="n">
        <f aca="false">IF(AND(E1600&gt;0,OR(AND(B1600&gt;=1,B1600&lt;=6),B1600=10)),1,0)</f>
        <v>1</v>
      </c>
      <c r="AA1600" s="39" t="n">
        <f aca="false">IF(AND(E1600&gt;0,B1600=10),1,0)</f>
        <v>0</v>
      </c>
      <c r="AB1600" s="0" t="str">
        <f aca="false">IF(AND(C1599=C1600,Y1599=Y1600-1),Z1599,"")</f>
        <v/>
      </c>
      <c r="AC1600" s="0" t="str">
        <f aca="false">IF(AND(C1599=C1600,Y1599=Y1600-1),AA1599,"")</f>
        <v/>
      </c>
      <c r="AD1600" s="0" t="str">
        <f aca="false">IF(Y1600=1,"",IF(AND(Z1600=1,AB1600&lt;&gt;1),1,0))</f>
        <v/>
      </c>
      <c r="AE1600" s="0" t="str">
        <f aca="false">IF(Y1600=1,"",IF(AND(AA1600=1,AC1600&lt;&gt;1),1,0))</f>
        <v/>
      </c>
      <c r="AF1600" s="45" t="str">
        <f aca="false">IF(AND(E1600&gt;0,Y1600&lt;1,NOT(AND(C1601=C1600,Y1601=Y1600+1))),INDEX(DATAS,Y1600+1),"")</f>
        <v/>
      </c>
      <c r="AG1600" s="45" t="str">
        <f aca="false">IF(AND(AA1600=1,Y1600&lt;1),IF(AND(C1601=C1600,Y1601=Y1600+1),IF(AA1601=1,"",INDEX(DATAS,Y1600+1)),INDEX(DATAS,Y1600+1)),"")</f>
        <v/>
      </c>
    </row>
    <row r="1601" customFormat="false" ht="15" hidden="false" customHeight="false" outlineLevel="0" collapsed="false">
      <c r="A1601" s="45" t="n">
        <v>46309</v>
      </c>
      <c r="B1601" s="0" t="n">
        <v>4</v>
      </c>
      <c r="C1601" s="0" t="n">
        <v>5752</v>
      </c>
      <c r="D1601" s="0" t="n">
        <v>144</v>
      </c>
      <c r="E1601" s="0" t="n">
        <v>1</v>
      </c>
      <c r="F1601" s="39" t="s">
        <v>958</v>
      </c>
      <c r="G1601" s="0" t="n">
        <v>48.9</v>
      </c>
      <c r="H1601" s="0" t="n">
        <v>49</v>
      </c>
      <c r="I1601" s="39" t="s">
        <v>138</v>
      </c>
      <c r="J1601" s="0" t="n">
        <v>144</v>
      </c>
      <c r="K1601" s="0" t="n">
        <v>67</v>
      </c>
      <c r="P1601" s="0" t="n">
        <v>3.97</v>
      </c>
      <c r="Q1601" s="0" t="n">
        <v>3.3</v>
      </c>
      <c r="R1601" s="0" t="n">
        <v>3981</v>
      </c>
      <c r="S1601" s="0" t="n">
        <v>8575</v>
      </c>
      <c r="T1601" s="0" t="n">
        <v>44.55</v>
      </c>
      <c r="U1601" s="0" t="n">
        <v>810</v>
      </c>
      <c r="V1601" s="0" t="n">
        <v>3</v>
      </c>
      <c r="W1601" s="39" t="n">
        <f aca="false">IF(I1601="Male",0,1)</f>
        <v>1</v>
      </c>
      <c r="X1601" s="39" t="n">
        <f aca="false">IF(OR(I1601="DNB",I1601="Dry DNB"),1,0)</f>
        <v>0</v>
      </c>
      <c r="Y1601" s="39" t="n">
        <f aca="false">MATCH(A1601,DATAS,0)</f>
        <v>1</v>
      </c>
      <c r="Z1601" s="39" t="n">
        <f aca="false">IF(AND(E1601&gt;0,OR(AND(B1601&gt;=1,B1601&lt;=6),B1601=10)),1,0)</f>
        <v>1</v>
      </c>
      <c r="AA1601" s="39" t="n">
        <f aca="false">IF(AND(E1601&gt;0,B1601=10),1,0)</f>
        <v>0</v>
      </c>
      <c r="AB1601" s="0" t="str">
        <f aca="false">IF(AND(C1600=C1601,Y1600=Y1601-1),Z1600,"")</f>
        <v/>
      </c>
      <c r="AC1601" s="0" t="str">
        <f aca="false">IF(AND(C1600=C1601,Y1600=Y1601-1),AA1600,"")</f>
        <v/>
      </c>
      <c r="AD1601" s="0" t="str">
        <f aca="false">IF(Y1601=1,"",IF(AND(Z1601=1,AB1601&lt;&gt;1),1,0))</f>
        <v/>
      </c>
      <c r="AE1601" s="0" t="str">
        <f aca="false">IF(Y1601=1,"",IF(AND(AA1601=1,AC1601&lt;&gt;1),1,0))</f>
        <v/>
      </c>
      <c r="AF1601" s="45" t="str">
        <f aca="false">IF(AND(E1601&gt;0,Y1601&lt;1,NOT(AND(C1602=C1601,Y1602=Y1601+1))),INDEX(DATAS,Y1601+1),"")</f>
        <v/>
      </c>
      <c r="AG1601" s="45" t="str">
        <f aca="false">IF(AND(AA1601=1,Y1601&lt;1),IF(AND(C1602=C1601,Y1602=Y1601+1),IF(AA1602=1,"",INDEX(DATAS,Y1601+1)),INDEX(DATAS,Y1601+1)),"")</f>
        <v/>
      </c>
    </row>
    <row r="1602" customFormat="false" ht="15" hidden="false" customHeight="false" outlineLevel="0" collapsed="false">
      <c r="A1602" s="45" t="n">
        <v>46309</v>
      </c>
      <c r="B1602" s="0" t="n">
        <v>1</v>
      </c>
      <c r="C1602" s="0" t="n">
        <v>5753</v>
      </c>
      <c r="D1602" s="0" t="n">
        <v>106</v>
      </c>
      <c r="E1602" s="0" t="n">
        <v>1</v>
      </c>
      <c r="F1602" s="39" t="s">
        <v>958</v>
      </c>
      <c r="G1602" s="0" t="n">
        <v>50.9</v>
      </c>
      <c r="H1602" s="0" t="n">
        <v>50</v>
      </c>
      <c r="I1602" s="39" t="s">
        <v>109</v>
      </c>
      <c r="J1602" s="0" t="n">
        <v>64</v>
      </c>
      <c r="K1602" s="0" t="n">
        <v>64</v>
      </c>
      <c r="L1602" s="0" t="n">
        <v>42</v>
      </c>
      <c r="P1602" s="0" t="n">
        <v>4.03</v>
      </c>
      <c r="Q1602" s="0" t="n">
        <v>3.03</v>
      </c>
      <c r="R1602" s="0" t="n">
        <v>3947</v>
      </c>
      <c r="S1602" s="0" t="n">
        <v>8054</v>
      </c>
      <c r="T1602" s="0" t="n">
        <v>42.15</v>
      </c>
      <c r="U1602" s="0" t="n">
        <v>810</v>
      </c>
      <c r="V1602" s="0" t="n">
        <v>1</v>
      </c>
      <c r="W1602" s="39" t="n">
        <f aca="false">IF(I1602="Male",0,1)</f>
        <v>1</v>
      </c>
      <c r="X1602" s="39" t="n">
        <f aca="false">IF(OR(I1602="DNB",I1602="Dry DNB"),1,0)</f>
        <v>0</v>
      </c>
      <c r="Y1602" s="39" t="n">
        <f aca="false">MATCH(A1602,DATAS,0)</f>
        <v>1</v>
      </c>
      <c r="Z1602" s="39" t="n">
        <f aca="false">IF(AND(E1602&gt;0,OR(AND(B1602&gt;=1,B1602&lt;=6),B1602=10)),1,0)</f>
        <v>1</v>
      </c>
      <c r="AA1602" s="39" t="n">
        <f aca="false">IF(AND(E1602&gt;0,B1602=10),1,0)</f>
        <v>0</v>
      </c>
      <c r="AB1602" s="0" t="str">
        <f aca="false">IF(AND(C1601=C1602,Y1601=Y1602-1),Z1601,"")</f>
        <v/>
      </c>
      <c r="AC1602" s="0" t="str">
        <f aca="false">IF(AND(C1601=C1602,Y1601=Y1602-1),AA1601,"")</f>
        <v/>
      </c>
      <c r="AD1602" s="0" t="str">
        <f aca="false">IF(Y1602=1,"",IF(AND(Z1602=1,AB1602&lt;&gt;1),1,0))</f>
        <v/>
      </c>
      <c r="AE1602" s="0" t="str">
        <f aca="false">IF(Y1602=1,"",IF(AND(AA1602=1,AC1602&lt;&gt;1),1,0))</f>
        <v/>
      </c>
      <c r="AF1602" s="45" t="str">
        <f aca="false">IF(AND(E1602&gt;0,Y1602&lt;1,NOT(AND(C1603=C1602,Y1603=Y1602+1))),INDEX(DATAS,Y1602+1),"")</f>
        <v/>
      </c>
      <c r="AG1602" s="45" t="str">
        <f aca="false">IF(AND(AA1602=1,Y1602&lt;1),IF(AND(C1603=C1602,Y1603=Y1602+1),IF(AA1603=1,"",INDEX(DATAS,Y1602+1)),INDEX(DATAS,Y1602+1)),"")</f>
        <v/>
      </c>
    </row>
    <row r="1603" customFormat="false" ht="15" hidden="false" customHeight="false" outlineLevel="0" collapsed="false">
      <c r="A1603" s="45" t="n">
        <v>46309</v>
      </c>
      <c r="B1603" s="0" t="n">
        <v>4</v>
      </c>
      <c r="C1603" s="0" t="n">
        <v>5754</v>
      </c>
      <c r="D1603" s="0" t="n">
        <v>137</v>
      </c>
      <c r="E1603" s="0" t="n">
        <v>1</v>
      </c>
      <c r="F1603" s="39" t="s">
        <v>959</v>
      </c>
      <c r="G1603" s="0" t="n">
        <v>46.6</v>
      </c>
      <c r="H1603" s="0" t="n">
        <v>49</v>
      </c>
      <c r="I1603" s="39" t="s">
        <v>109</v>
      </c>
      <c r="J1603" s="0" t="n">
        <v>87</v>
      </c>
      <c r="K1603" s="0" t="n">
        <v>67</v>
      </c>
      <c r="L1603" s="0" t="n">
        <v>50</v>
      </c>
      <c r="P1603" s="0" t="n">
        <v>3.35</v>
      </c>
      <c r="Q1603" s="0" t="n">
        <v>3.08</v>
      </c>
      <c r="R1603" s="0" t="n">
        <v>4343</v>
      </c>
      <c r="S1603" s="0" t="n">
        <v>9251</v>
      </c>
      <c r="T1603" s="0" t="n">
        <v>45.3</v>
      </c>
      <c r="U1603" s="0" t="n">
        <v>809</v>
      </c>
      <c r="V1603" s="0" t="n">
        <v>2</v>
      </c>
      <c r="W1603" s="39" t="n">
        <f aca="false">IF(I1603="Male",0,1)</f>
        <v>1</v>
      </c>
      <c r="X1603" s="39" t="n">
        <f aca="false">IF(OR(I1603="DNB",I1603="Dry DNB"),1,0)</f>
        <v>0</v>
      </c>
      <c r="Y1603" s="39" t="n">
        <f aca="false">MATCH(A1603,DATAS,0)</f>
        <v>1</v>
      </c>
      <c r="Z1603" s="39" t="n">
        <f aca="false">IF(AND(E1603&gt;0,OR(AND(B1603&gt;=1,B1603&lt;=6),B1603=10)),1,0)</f>
        <v>1</v>
      </c>
      <c r="AA1603" s="39" t="n">
        <f aca="false">IF(AND(E1603&gt;0,B1603=10),1,0)</f>
        <v>0</v>
      </c>
      <c r="AB1603" s="0" t="str">
        <f aca="false">IF(AND(C1602=C1603,Y1602=Y1603-1),Z1602,"")</f>
        <v/>
      </c>
      <c r="AC1603" s="0" t="str">
        <f aca="false">IF(AND(C1602=C1603,Y1602=Y1603-1),AA1602,"")</f>
        <v/>
      </c>
      <c r="AD1603" s="0" t="str">
        <f aca="false">IF(Y1603=1,"",IF(AND(Z1603=1,AB1603&lt;&gt;1),1,0))</f>
        <v/>
      </c>
      <c r="AE1603" s="0" t="str">
        <f aca="false">IF(Y1603=1,"",IF(AND(AA1603=1,AC1603&lt;&gt;1),1,0))</f>
        <v/>
      </c>
      <c r="AF1603" s="45" t="str">
        <f aca="false">IF(AND(E1603&gt;0,Y1603&lt;1,NOT(AND(C1604=C1603,Y1604=Y1603+1))),INDEX(DATAS,Y1603+1),"")</f>
        <v/>
      </c>
      <c r="AG1603" s="45" t="str">
        <f aca="false">IF(AND(AA1603=1,Y1603&lt;1),IF(AND(C1604=C1603,Y1604=Y1603+1),IF(AA1604=1,"",INDEX(DATAS,Y1603+1)),INDEX(DATAS,Y1603+1)),"")</f>
        <v/>
      </c>
    </row>
    <row r="1604" customFormat="false" ht="15" hidden="false" customHeight="false" outlineLevel="0" collapsed="false">
      <c r="A1604" s="45" t="n">
        <v>46309</v>
      </c>
      <c r="B1604" s="0" t="n">
        <v>1</v>
      </c>
      <c r="C1604" s="0" t="n">
        <v>5756</v>
      </c>
      <c r="D1604" s="0" t="n">
        <v>106</v>
      </c>
      <c r="E1604" s="0" t="n">
        <v>1</v>
      </c>
      <c r="F1604" s="39" t="s">
        <v>959</v>
      </c>
      <c r="G1604" s="0" t="n">
        <v>49</v>
      </c>
      <c r="H1604" s="0" t="n">
        <v>49</v>
      </c>
      <c r="I1604" s="39" t="s">
        <v>138</v>
      </c>
      <c r="J1604" s="0" t="n">
        <v>106</v>
      </c>
      <c r="K1604" s="0" t="n">
        <v>64</v>
      </c>
      <c r="P1604" s="0" t="n">
        <v>2.98</v>
      </c>
      <c r="Q1604" s="0" t="n">
        <v>3.15</v>
      </c>
      <c r="R1604" s="0" t="n">
        <v>4041</v>
      </c>
      <c r="S1604" s="0" t="n">
        <v>8224</v>
      </c>
      <c r="T1604" s="0" t="n">
        <v>46.6</v>
      </c>
      <c r="U1604" s="0" t="n">
        <v>809</v>
      </c>
      <c r="V1604" s="0" t="n">
        <v>2</v>
      </c>
      <c r="W1604" s="39" t="n">
        <f aca="false">IF(I1604="Male",0,1)</f>
        <v>1</v>
      </c>
      <c r="X1604" s="39" t="n">
        <f aca="false">IF(OR(I1604="DNB",I1604="Dry DNB"),1,0)</f>
        <v>0</v>
      </c>
      <c r="Y1604" s="39" t="n">
        <f aca="false">MATCH(A1604,DATAS,0)</f>
        <v>1</v>
      </c>
      <c r="Z1604" s="39" t="n">
        <f aca="false">IF(AND(E1604&gt;0,OR(AND(B1604&gt;=1,B1604&lt;=6),B1604=10)),1,0)</f>
        <v>1</v>
      </c>
      <c r="AA1604" s="39" t="n">
        <f aca="false">IF(AND(E1604&gt;0,B1604=10),1,0)</f>
        <v>0</v>
      </c>
      <c r="AB1604" s="0" t="str">
        <f aca="false">IF(AND(C1603=C1604,Y1603=Y1604-1),Z1603,"")</f>
        <v/>
      </c>
      <c r="AC1604" s="0" t="str">
        <f aca="false">IF(AND(C1603=C1604,Y1603=Y1604-1),AA1603,"")</f>
        <v/>
      </c>
      <c r="AD1604" s="0" t="str">
        <f aca="false">IF(Y1604=1,"",IF(AND(Z1604=1,AB1604&lt;&gt;1),1,0))</f>
        <v/>
      </c>
      <c r="AE1604" s="0" t="str">
        <f aca="false">IF(Y1604=1,"",IF(AND(AA1604=1,AC1604&lt;&gt;1),1,0))</f>
        <v/>
      </c>
      <c r="AF1604" s="45" t="str">
        <f aca="false">IF(AND(E1604&gt;0,Y1604&lt;1,NOT(AND(C1605=C1604,Y1605=Y1604+1))),INDEX(DATAS,Y1604+1),"")</f>
        <v/>
      </c>
      <c r="AG1604" s="45" t="str">
        <f aca="false">IF(AND(AA1604=1,Y1604&lt;1),IF(AND(C1605=C1604,Y1605=Y1604+1),IF(AA1605=1,"",INDEX(DATAS,Y1604+1)),INDEX(DATAS,Y1604+1)),"")</f>
        <v/>
      </c>
    </row>
    <row r="1605" customFormat="false" ht="15" hidden="false" customHeight="false" outlineLevel="0" collapsed="false">
      <c r="A1605" s="45" t="n">
        <v>46309</v>
      </c>
      <c r="B1605" s="0" t="n">
        <v>4</v>
      </c>
      <c r="C1605" s="0" t="n">
        <v>5757</v>
      </c>
      <c r="D1605" s="0" t="n">
        <v>166</v>
      </c>
      <c r="E1605" s="0" t="n">
        <v>1</v>
      </c>
      <c r="F1605" s="39" t="s">
        <v>960</v>
      </c>
      <c r="G1605" s="0" t="n">
        <v>59.9</v>
      </c>
      <c r="H1605" s="0" t="n">
        <v>58</v>
      </c>
      <c r="I1605" s="39" t="s">
        <v>109</v>
      </c>
      <c r="J1605" s="0" t="n">
        <v>128</v>
      </c>
      <c r="K1605" s="0" t="n">
        <v>68</v>
      </c>
      <c r="L1605" s="0" t="n">
        <v>38</v>
      </c>
      <c r="P1605" s="0" t="n">
        <v>4.44</v>
      </c>
      <c r="Q1605" s="0" t="n">
        <v>3.01</v>
      </c>
      <c r="R1605" s="0" t="n">
        <v>5352</v>
      </c>
      <c r="S1605" s="0" t="n">
        <v>11332</v>
      </c>
      <c r="T1605" s="0" t="n">
        <v>58.8</v>
      </c>
      <c r="U1605" s="0" t="n">
        <v>808</v>
      </c>
      <c r="V1605" s="0" t="n">
        <v>3</v>
      </c>
      <c r="W1605" s="39" t="n">
        <f aca="false">IF(I1605="Male",0,1)</f>
        <v>1</v>
      </c>
      <c r="X1605" s="39" t="n">
        <f aca="false">IF(OR(I1605="DNB",I1605="Dry DNB"),1,0)</f>
        <v>0</v>
      </c>
      <c r="Y1605" s="39" t="n">
        <f aca="false">MATCH(A1605,DATAS,0)</f>
        <v>1</v>
      </c>
      <c r="Z1605" s="39" t="n">
        <f aca="false">IF(AND(E1605&gt;0,OR(AND(B1605&gt;=1,B1605&lt;=6),B1605=10)),1,0)</f>
        <v>1</v>
      </c>
      <c r="AA1605" s="39" t="n">
        <f aca="false">IF(AND(E1605&gt;0,B1605=10),1,0)</f>
        <v>0</v>
      </c>
      <c r="AB1605" s="0" t="str">
        <f aca="false">IF(AND(C1604=C1605,Y1604=Y1605-1),Z1604,"")</f>
        <v/>
      </c>
      <c r="AC1605" s="0" t="str">
        <f aca="false">IF(AND(C1604=C1605,Y1604=Y1605-1),AA1604,"")</f>
        <v/>
      </c>
      <c r="AD1605" s="0" t="str">
        <f aca="false">IF(Y1605=1,"",IF(AND(Z1605=1,AB1605&lt;&gt;1),1,0))</f>
        <v/>
      </c>
      <c r="AE1605" s="0" t="str">
        <f aca="false">IF(Y1605=1,"",IF(AND(AA1605=1,AC1605&lt;&gt;1),1,0))</f>
        <v/>
      </c>
      <c r="AF1605" s="45" t="str">
        <f aca="false">IF(AND(E1605&gt;0,Y1605&lt;1,NOT(AND(C1606=C1605,Y1606=Y1605+1))),INDEX(DATAS,Y1605+1),"")</f>
        <v/>
      </c>
      <c r="AG1605" s="45" t="str">
        <f aca="false">IF(AND(AA1605=1,Y1605&lt;1),IF(AND(C1606=C1605,Y1606=Y1605+1),IF(AA1606=1,"",INDEX(DATAS,Y1605+1)),INDEX(DATAS,Y1605+1)),"")</f>
        <v/>
      </c>
    </row>
    <row r="1606" customFormat="false" ht="15" hidden="false" customHeight="false" outlineLevel="0" collapsed="false">
      <c r="A1606" s="45" t="n">
        <v>46309</v>
      </c>
      <c r="B1606" s="0" t="n">
        <v>4</v>
      </c>
      <c r="C1606" s="0" t="n">
        <v>5758</v>
      </c>
      <c r="D1606" s="0" t="n">
        <v>167</v>
      </c>
      <c r="E1606" s="0" t="n">
        <v>1</v>
      </c>
      <c r="F1606" s="39" t="s">
        <v>960</v>
      </c>
      <c r="G1606" s="0" t="n">
        <v>47.5</v>
      </c>
      <c r="H1606" s="0" t="n">
        <v>49</v>
      </c>
      <c r="I1606" s="39" t="s">
        <v>138</v>
      </c>
      <c r="J1606" s="0" t="n">
        <v>167</v>
      </c>
      <c r="K1606" s="0" t="n">
        <v>69</v>
      </c>
      <c r="P1606" s="0" t="n">
        <v>3.25</v>
      </c>
      <c r="Q1606" s="0" t="n">
        <v>3.3</v>
      </c>
      <c r="R1606" s="0" t="n">
        <v>4459</v>
      </c>
      <c r="S1606" s="0" t="n">
        <v>9227</v>
      </c>
      <c r="T1606" s="0" t="n">
        <v>46.3</v>
      </c>
      <c r="U1606" s="0" t="n">
        <v>808</v>
      </c>
      <c r="V1606" s="0" t="n">
        <v>4</v>
      </c>
      <c r="W1606" s="39" t="n">
        <f aca="false">IF(I1606="Male",0,1)</f>
        <v>1</v>
      </c>
      <c r="X1606" s="39" t="n">
        <f aca="false">IF(OR(I1606="DNB",I1606="Dry DNB"),1,0)</f>
        <v>0</v>
      </c>
      <c r="Y1606" s="39" t="n">
        <f aca="false">MATCH(A1606,DATAS,0)</f>
        <v>1</v>
      </c>
      <c r="Z1606" s="39" t="n">
        <f aca="false">IF(AND(E1606&gt;0,OR(AND(B1606&gt;=1,B1606&lt;=6),B1606=10)),1,0)</f>
        <v>1</v>
      </c>
      <c r="AA1606" s="39" t="n">
        <f aca="false">IF(AND(E1606&gt;0,B1606=10),1,0)</f>
        <v>0</v>
      </c>
      <c r="AB1606" s="0" t="str">
        <f aca="false">IF(AND(C1605=C1606,Y1605=Y1606-1),Z1605,"")</f>
        <v/>
      </c>
      <c r="AC1606" s="0" t="str">
        <f aca="false">IF(AND(C1605=C1606,Y1605=Y1606-1),AA1605,"")</f>
        <v/>
      </c>
      <c r="AD1606" s="0" t="str">
        <f aca="false">IF(Y1606=1,"",IF(AND(Z1606=1,AB1606&lt;&gt;1),1,0))</f>
        <v/>
      </c>
      <c r="AE1606" s="0" t="str">
        <f aca="false">IF(Y1606=1,"",IF(AND(AA1606=1,AC1606&lt;&gt;1),1,0))</f>
        <v/>
      </c>
      <c r="AF1606" s="45" t="str">
        <f aca="false">IF(AND(E1606&gt;0,Y1606&lt;1,NOT(AND(C1607=C1606,Y1607=Y1606+1))),INDEX(DATAS,Y1606+1),"")</f>
        <v/>
      </c>
      <c r="AG1606" s="45" t="str">
        <f aca="false">IF(AND(AA1606=1,Y1606&lt;1),IF(AND(C1607=C1606,Y1607=Y1606+1),IF(AA1607=1,"",INDEX(DATAS,Y1606+1)),INDEX(DATAS,Y1606+1)),"")</f>
        <v/>
      </c>
    </row>
    <row r="1607" customFormat="false" ht="15" hidden="false" customHeight="false" outlineLevel="0" collapsed="false">
      <c r="A1607" s="45" t="n">
        <v>46309</v>
      </c>
      <c r="B1607" s="0" t="n">
        <v>4</v>
      </c>
      <c r="C1607" s="0" t="n">
        <v>5759</v>
      </c>
      <c r="D1607" s="0" t="n">
        <v>126</v>
      </c>
      <c r="E1607" s="0" t="n">
        <v>1</v>
      </c>
      <c r="F1607" s="39" t="s">
        <v>960</v>
      </c>
      <c r="G1607" s="0" t="n">
        <v>45.8</v>
      </c>
      <c r="H1607" s="0" t="n">
        <v>47</v>
      </c>
      <c r="I1607" s="39" t="s">
        <v>109</v>
      </c>
      <c r="J1607" s="0" t="n">
        <v>84</v>
      </c>
      <c r="K1607" s="0" t="n">
        <v>63</v>
      </c>
      <c r="L1607" s="0" t="n">
        <v>42</v>
      </c>
      <c r="P1607" s="0" t="n">
        <v>4.41</v>
      </c>
      <c r="Q1607" s="0" t="n">
        <v>3.23</v>
      </c>
      <c r="R1607" s="0" t="n">
        <v>4014</v>
      </c>
      <c r="S1607" s="0" t="n">
        <v>8353</v>
      </c>
      <c r="T1607" s="0" t="n">
        <v>42.95</v>
      </c>
      <c r="U1607" s="0" t="n">
        <v>808</v>
      </c>
      <c r="V1607" s="0" t="n">
        <v>2</v>
      </c>
      <c r="W1607" s="39" t="n">
        <f aca="false">IF(I1607="Male",0,1)</f>
        <v>1</v>
      </c>
      <c r="X1607" s="39" t="n">
        <f aca="false">IF(OR(I1607="DNB",I1607="Dry DNB"),1,0)</f>
        <v>0</v>
      </c>
      <c r="Y1607" s="39" t="n">
        <f aca="false">MATCH(A1607,DATAS,0)</f>
        <v>1</v>
      </c>
      <c r="Z1607" s="39" t="n">
        <f aca="false">IF(AND(E1607&gt;0,OR(AND(B1607&gt;=1,B1607&lt;=6),B1607=10)),1,0)</f>
        <v>1</v>
      </c>
      <c r="AA1607" s="39" t="n">
        <f aca="false">IF(AND(E1607&gt;0,B1607=10),1,0)</f>
        <v>0</v>
      </c>
      <c r="AB1607" s="0" t="str">
        <f aca="false">IF(AND(C1606=C1607,Y1606=Y1607-1),Z1606,"")</f>
        <v/>
      </c>
      <c r="AC1607" s="0" t="str">
        <f aca="false">IF(AND(C1606=C1607,Y1606=Y1607-1),AA1606,"")</f>
        <v/>
      </c>
      <c r="AD1607" s="0" t="str">
        <f aca="false">IF(Y1607=1,"",IF(AND(Z1607=1,AB1607&lt;&gt;1),1,0))</f>
        <v/>
      </c>
      <c r="AE1607" s="0" t="str">
        <f aca="false">IF(Y1607=1,"",IF(AND(AA1607=1,AC1607&lt;&gt;1),1,0))</f>
        <v/>
      </c>
      <c r="AF1607" s="45" t="str">
        <f aca="false">IF(AND(E1607&gt;0,Y1607&lt;1,NOT(AND(C1608=C1607,Y1608=Y1607+1))),INDEX(DATAS,Y1607+1),"")</f>
        <v/>
      </c>
      <c r="AG1607" s="45" t="str">
        <f aca="false">IF(AND(AA1607=1,Y1607&lt;1),IF(AND(C1608=C1607,Y1608=Y1607+1),IF(AA1608=1,"",INDEX(DATAS,Y1607+1)),INDEX(DATAS,Y1607+1)),"")</f>
        <v/>
      </c>
    </row>
    <row r="1608" customFormat="false" ht="15" hidden="false" customHeight="false" outlineLevel="0" collapsed="false">
      <c r="A1608" s="45" t="n">
        <v>46309</v>
      </c>
      <c r="B1608" s="0" t="n">
        <v>4</v>
      </c>
      <c r="C1608" s="0" t="n">
        <v>5760</v>
      </c>
      <c r="D1608" s="0" t="n">
        <v>165</v>
      </c>
      <c r="E1608" s="0" t="n">
        <v>1</v>
      </c>
      <c r="F1608" s="39" t="s">
        <v>961</v>
      </c>
      <c r="G1608" s="0" t="n">
        <v>37.1</v>
      </c>
      <c r="H1608" s="0" t="n">
        <v>36</v>
      </c>
      <c r="I1608" s="39" t="s">
        <v>109</v>
      </c>
      <c r="J1608" s="0" t="n">
        <v>81</v>
      </c>
      <c r="K1608" s="0" t="n">
        <v>81</v>
      </c>
      <c r="L1608" s="0" t="n">
        <v>84</v>
      </c>
      <c r="P1608" s="0" t="n">
        <v>3.62</v>
      </c>
      <c r="Q1608" s="0" t="n">
        <v>3.63</v>
      </c>
      <c r="R1608" s="0" t="n">
        <v>3998</v>
      </c>
      <c r="S1608" s="0" t="n">
        <v>8136</v>
      </c>
      <c r="T1608" s="0" t="n">
        <v>45.05</v>
      </c>
      <c r="U1608" s="0" t="n">
        <v>807</v>
      </c>
      <c r="V1608" s="0" t="n">
        <v>1</v>
      </c>
      <c r="W1608" s="39" t="n">
        <f aca="false">IF(I1608="Male",0,1)</f>
        <v>1</v>
      </c>
      <c r="X1608" s="39" t="n">
        <f aca="false">IF(OR(I1608="DNB",I1608="Dry DNB"),1,0)</f>
        <v>0</v>
      </c>
      <c r="Y1608" s="39" t="n">
        <f aca="false">MATCH(A1608,DATAS,0)</f>
        <v>1</v>
      </c>
      <c r="Z1608" s="39" t="n">
        <f aca="false">IF(AND(E1608&gt;0,OR(AND(B1608&gt;=1,B1608&lt;=6),B1608=10)),1,0)</f>
        <v>1</v>
      </c>
      <c r="AA1608" s="39" t="n">
        <f aca="false">IF(AND(E1608&gt;0,B1608=10),1,0)</f>
        <v>0</v>
      </c>
      <c r="AB1608" s="0" t="str">
        <f aca="false">IF(AND(C1607=C1608,Y1607=Y1608-1),Z1607,"")</f>
        <v/>
      </c>
      <c r="AC1608" s="0" t="str">
        <f aca="false">IF(AND(C1607=C1608,Y1607=Y1608-1),AA1607,"")</f>
        <v/>
      </c>
      <c r="AD1608" s="0" t="str">
        <f aca="false">IF(Y1608=1,"",IF(AND(Z1608=1,AB1608&lt;&gt;1),1,0))</f>
        <v/>
      </c>
      <c r="AE1608" s="0" t="str">
        <f aca="false">IF(Y1608=1,"",IF(AND(AA1608=1,AC1608&lt;&gt;1),1,0))</f>
        <v/>
      </c>
      <c r="AF1608" s="45" t="str">
        <f aca="false">IF(AND(E1608&gt;0,Y1608&lt;1,NOT(AND(C1609=C1608,Y1609=Y1608+1))),INDEX(DATAS,Y1608+1),"")</f>
        <v/>
      </c>
      <c r="AG1608" s="45" t="str">
        <f aca="false">IF(AND(AA1608=1,Y1608&lt;1),IF(AND(C1609=C1608,Y1609=Y1608+1),IF(AA1609=1,"",INDEX(DATAS,Y1608+1)),INDEX(DATAS,Y1608+1)),"")</f>
        <v/>
      </c>
    </row>
    <row r="1609" customFormat="false" ht="15" hidden="false" customHeight="false" outlineLevel="0" collapsed="false">
      <c r="A1609" s="45" t="n">
        <v>46309</v>
      </c>
      <c r="B1609" s="0" t="n">
        <v>1</v>
      </c>
      <c r="C1609" s="0" t="n">
        <v>5761</v>
      </c>
      <c r="D1609" s="0" t="n">
        <v>42</v>
      </c>
      <c r="E1609" s="0" t="n">
        <v>1</v>
      </c>
      <c r="F1609" s="39" t="s">
        <v>961</v>
      </c>
      <c r="G1609" s="0" t="n">
        <v>45.1</v>
      </c>
      <c r="H1609" s="0" t="n">
        <v>44</v>
      </c>
      <c r="I1609" s="39" t="s">
        <v>118</v>
      </c>
      <c r="J1609" s="0" t="n">
        <v>42</v>
      </c>
      <c r="P1609" s="0" t="n">
        <v>3.81</v>
      </c>
      <c r="Q1609" s="0" t="n">
        <v>3.57</v>
      </c>
      <c r="R1609" s="0" t="n">
        <v>3502</v>
      </c>
      <c r="S1609" s="0" t="n">
        <v>7040</v>
      </c>
      <c r="U1609" s="0" t="n">
        <v>807</v>
      </c>
      <c r="V1609" s="0" t="n">
        <v>0</v>
      </c>
      <c r="W1609" s="39" t="n">
        <f aca="false">IF(I1609="Male",0,1)</f>
        <v>1</v>
      </c>
      <c r="X1609" s="39" t="n">
        <f aca="false">IF(OR(I1609="DNB",I1609="Dry DNB"),1,0)</f>
        <v>0</v>
      </c>
      <c r="Y1609" s="39" t="n">
        <f aca="false">MATCH(A1609,DATAS,0)</f>
        <v>1</v>
      </c>
      <c r="Z1609" s="39" t="n">
        <f aca="false">IF(AND(E1609&gt;0,OR(AND(B1609&gt;=1,B1609&lt;=6),B1609=10)),1,0)</f>
        <v>1</v>
      </c>
      <c r="AA1609" s="39" t="n">
        <f aca="false">IF(AND(E1609&gt;0,B1609=10),1,0)</f>
        <v>0</v>
      </c>
      <c r="AB1609" s="0" t="str">
        <f aca="false">IF(AND(C1608=C1609,Y1608=Y1609-1),Z1608,"")</f>
        <v/>
      </c>
      <c r="AC1609" s="0" t="str">
        <f aca="false">IF(AND(C1608=C1609,Y1608=Y1609-1),AA1608,"")</f>
        <v/>
      </c>
      <c r="AD1609" s="0" t="str">
        <f aca="false">IF(Y1609=1,"",IF(AND(Z1609=1,AB1609&lt;&gt;1),1,0))</f>
        <v/>
      </c>
      <c r="AE1609" s="0" t="str">
        <f aca="false">IF(Y1609=1,"",IF(AND(AA1609=1,AC1609&lt;&gt;1),1,0))</f>
        <v/>
      </c>
      <c r="AF1609" s="45" t="str">
        <f aca="false">IF(AND(E1609&gt;0,Y1609&lt;1,NOT(AND(C1610=C1609,Y1610=Y1609+1))),INDEX(DATAS,Y1609+1),"")</f>
        <v/>
      </c>
      <c r="AG1609" s="45" t="str">
        <f aca="false">IF(AND(AA1609=1,Y1609&lt;1),IF(AND(C1610=C1609,Y1610=Y1609+1),IF(AA1610=1,"",INDEX(DATAS,Y1609+1)),INDEX(DATAS,Y1609+1)),"")</f>
        <v/>
      </c>
    </row>
    <row r="1610" customFormat="false" ht="15" hidden="false" customHeight="false" outlineLevel="0" collapsed="false">
      <c r="A1610" s="45" t="n">
        <v>46309</v>
      </c>
      <c r="B1610" s="0" t="n">
        <v>4</v>
      </c>
      <c r="C1610" s="0" t="n">
        <v>5762</v>
      </c>
      <c r="D1610" s="0" t="n">
        <v>119</v>
      </c>
      <c r="E1610" s="0" t="n">
        <v>1</v>
      </c>
      <c r="F1610" s="39" t="s">
        <v>962</v>
      </c>
      <c r="G1610" s="0" t="n">
        <v>44.4</v>
      </c>
      <c r="H1610" s="0" t="n">
        <v>44</v>
      </c>
      <c r="I1610" s="39" t="s">
        <v>109</v>
      </c>
      <c r="J1610" s="0" t="n">
        <v>84</v>
      </c>
      <c r="K1610" s="0" t="n">
        <v>71</v>
      </c>
      <c r="L1610" s="0" t="n">
        <v>35</v>
      </c>
      <c r="P1610" s="0" t="n">
        <v>3.78</v>
      </c>
      <c r="Q1610" s="0" t="n">
        <v>2.94</v>
      </c>
      <c r="R1610" s="0" t="n">
        <v>4389</v>
      </c>
      <c r="S1610" s="0" t="n">
        <v>8930</v>
      </c>
      <c r="T1610" s="0" t="n">
        <v>47.2</v>
      </c>
      <c r="U1610" s="0" t="n">
        <v>806</v>
      </c>
      <c r="V1610" s="0" t="n">
        <v>2</v>
      </c>
      <c r="W1610" s="39" t="n">
        <f aca="false">IF(I1610="Male",0,1)</f>
        <v>1</v>
      </c>
      <c r="X1610" s="39" t="n">
        <f aca="false">IF(OR(I1610="DNB",I1610="Dry DNB"),1,0)</f>
        <v>0</v>
      </c>
      <c r="Y1610" s="39" t="n">
        <f aca="false">MATCH(A1610,DATAS,0)</f>
        <v>1</v>
      </c>
      <c r="Z1610" s="39" t="n">
        <f aca="false">IF(AND(E1610&gt;0,OR(AND(B1610&gt;=1,B1610&lt;=6),B1610=10)),1,0)</f>
        <v>1</v>
      </c>
      <c r="AA1610" s="39" t="n">
        <f aca="false">IF(AND(E1610&gt;0,B1610=10),1,0)</f>
        <v>0</v>
      </c>
      <c r="AB1610" s="0" t="str">
        <f aca="false">IF(AND(C1609=C1610,Y1609=Y1610-1),Z1609,"")</f>
        <v/>
      </c>
      <c r="AC1610" s="0" t="str">
        <f aca="false">IF(AND(C1609=C1610,Y1609=Y1610-1),AA1609,"")</f>
        <v/>
      </c>
      <c r="AD1610" s="0" t="str">
        <f aca="false">IF(Y1610=1,"",IF(AND(Z1610=1,AB1610&lt;&gt;1),1,0))</f>
        <v/>
      </c>
      <c r="AE1610" s="0" t="str">
        <f aca="false">IF(Y1610=1,"",IF(AND(AA1610=1,AC1610&lt;&gt;1),1,0))</f>
        <v/>
      </c>
      <c r="AF1610" s="45" t="str">
        <f aca="false">IF(AND(E1610&gt;0,Y1610&lt;1,NOT(AND(C1611=C1610,Y1611=Y1610+1))),INDEX(DATAS,Y1610+1),"")</f>
        <v/>
      </c>
      <c r="AG1610" s="45" t="str">
        <f aca="false">IF(AND(AA1610=1,Y1610&lt;1),IF(AND(C1611=C1610,Y1611=Y1610+1),IF(AA1611=1,"",INDEX(DATAS,Y1610+1)),INDEX(DATAS,Y1610+1)),"")</f>
        <v/>
      </c>
    </row>
    <row r="1611" customFormat="false" ht="15" hidden="false" customHeight="false" outlineLevel="0" collapsed="false">
      <c r="A1611" s="45" t="n">
        <v>46309</v>
      </c>
      <c r="B1611" s="0" t="n">
        <v>4</v>
      </c>
      <c r="C1611" s="0" t="n">
        <v>5763</v>
      </c>
      <c r="D1611" s="0" t="n">
        <v>161</v>
      </c>
      <c r="E1611" s="0" t="n">
        <v>1</v>
      </c>
      <c r="F1611" s="39" t="s">
        <v>963</v>
      </c>
      <c r="G1611" s="0" t="n">
        <v>47.1</v>
      </c>
      <c r="H1611" s="0" t="n">
        <v>47</v>
      </c>
      <c r="I1611" s="39" t="s">
        <v>109</v>
      </c>
      <c r="J1611" s="0" t="n">
        <v>63</v>
      </c>
      <c r="K1611" s="0" t="n">
        <v>63</v>
      </c>
      <c r="L1611" s="0" t="n">
        <v>98</v>
      </c>
      <c r="P1611" s="0" t="n">
        <v>4.27</v>
      </c>
      <c r="Q1611" s="0" t="n">
        <v>3.29</v>
      </c>
      <c r="R1611" s="0" t="n">
        <v>4178</v>
      </c>
      <c r="S1611" s="0" t="n">
        <v>8830</v>
      </c>
      <c r="T1611" s="0" t="n">
        <v>38.9</v>
      </c>
      <c r="U1611" s="0" t="n">
        <v>805</v>
      </c>
      <c r="V1611" s="0" t="n">
        <v>1</v>
      </c>
      <c r="W1611" s="39" t="n">
        <f aca="false">IF(I1611="Male",0,1)</f>
        <v>1</v>
      </c>
      <c r="X1611" s="39" t="n">
        <f aca="false">IF(OR(I1611="DNB",I1611="Dry DNB"),1,0)</f>
        <v>0</v>
      </c>
      <c r="Y1611" s="39" t="n">
        <f aca="false">MATCH(A1611,DATAS,0)</f>
        <v>1</v>
      </c>
      <c r="Z1611" s="39" t="n">
        <f aca="false">IF(AND(E1611&gt;0,OR(AND(B1611&gt;=1,B1611&lt;=6),B1611=10)),1,0)</f>
        <v>1</v>
      </c>
      <c r="AA1611" s="39" t="n">
        <f aca="false">IF(AND(E1611&gt;0,B1611=10),1,0)</f>
        <v>0</v>
      </c>
      <c r="AB1611" s="0" t="str">
        <f aca="false">IF(AND(C1610=C1611,Y1610=Y1611-1),Z1610,"")</f>
        <v/>
      </c>
      <c r="AC1611" s="0" t="str">
        <f aca="false">IF(AND(C1610=C1611,Y1610=Y1611-1),AA1610,"")</f>
        <v/>
      </c>
      <c r="AD1611" s="0" t="str">
        <f aca="false">IF(Y1611=1,"",IF(AND(Z1611=1,AB1611&lt;&gt;1),1,0))</f>
        <v/>
      </c>
      <c r="AE1611" s="0" t="str">
        <f aca="false">IF(Y1611=1,"",IF(AND(AA1611=1,AC1611&lt;&gt;1),1,0))</f>
        <v/>
      </c>
      <c r="AF1611" s="45" t="str">
        <f aca="false">IF(AND(E1611&gt;0,Y1611&lt;1,NOT(AND(C1612=C1611,Y1612=Y1611+1))),INDEX(DATAS,Y1611+1),"")</f>
        <v/>
      </c>
      <c r="AG1611" s="45" t="str">
        <f aca="false">IF(AND(AA1611=1,Y1611&lt;1),IF(AND(C1612=C1611,Y1612=Y1611+1),IF(AA1612=1,"",INDEX(DATAS,Y1611+1)),INDEX(DATAS,Y1611+1)),"")</f>
        <v/>
      </c>
    </row>
    <row r="1612" customFormat="false" ht="15" hidden="false" customHeight="false" outlineLevel="0" collapsed="false">
      <c r="A1612" s="45" t="n">
        <v>46309</v>
      </c>
      <c r="B1612" s="0" t="n">
        <v>4</v>
      </c>
      <c r="C1612" s="0" t="n">
        <v>5764</v>
      </c>
      <c r="D1612" s="0" t="n">
        <v>153</v>
      </c>
      <c r="E1612" s="0" t="n">
        <v>1</v>
      </c>
      <c r="F1612" s="39" t="s">
        <v>963</v>
      </c>
      <c r="G1612" s="0" t="n">
        <v>41.6</v>
      </c>
      <c r="H1612" s="0" t="n">
        <v>41</v>
      </c>
      <c r="I1612" s="39" t="s">
        <v>109</v>
      </c>
      <c r="J1612" s="0" t="n">
        <v>69</v>
      </c>
      <c r="K1612" s="0" t="n">
        <v>69</v>
      </c>
      <c r="L1612" s="0" t="n">
        <v>84</v>
      </c>
      <c r="P1612" s="0" t="n">
        <v>3.52</v>
      </c>
      <c r="Q1612" s="0" t="n">
        <v>2.99</v>
      </c>
      <c r="R1612" s="0" t="n">
        <v>4299</v>
      </c>
      <c r="S1612" s="0" t="n">
        <v>8323</v>
      </c>
      <c r="T1612" s="0" t="n">
        <v>46.55</v>
      </c>
      <c r="U1612" s="0" t="n">
        <v>805</v>
      </c>
      <c r="V1612" s="0" t="n">
        <v>1</v>
      </c>
      <c r="W1612" s="39" t="n">
        <f aca="false">IF(I1612="Male",0,1)</f>
        <v>1</v>
      </c>
      <c r="X1612" s="39" t="n">
        <f aca="false">IF(OR(I1612="DNB",I1612="Dry DNB"),1,0)</f>
        <v>0</v>
      </c>
      <c r="Y1612" s="39" t="n">
        <f aca="false">MATCH(A1612,DATAS,0)</f>
        <v>1</v>
      </c>
      <c r="Z1612" s="39" t="n">
        <f aca="false">IF(AND(E1612&gt;0,OR(AND(B1612&gt;=1,B1612&lt;=6),B1612=10)),1,0)</f>
        <v>1</v>
      </c>
      <c r="AA1612" s="39" t="n">
        <f aca="false">IF(AND(E1612&gt;0,B1612=10),1,0)</f>
        <v>0</v>
      </c>
      <c r="AB1612" s="0" t="str">
        <f aca="false">IF(AND(C1611=C1612,Y1611=Y1612-1),Z1611,"")</f>
        <v/>
      </c>
      <c r="AC1612" s="0" t="str">
        <f aca="false">IF(AND(C1611=C1612,Y1611=Y1612-1),AA1611,"")</f>
        <v/>
      </c>
      <c r="AD1612" s="0" t="str">
        <f aca="false">IF(Y1612=1,"",IF(AND(Z1612=1,AB1612&lt;&gt;1),1,0))</f>
        <v/>
      </c>
      <c r="AE1612" s="0" t="str">
        <f aca="false">IF(Y1612=1,"",IF(AND(AA1612=1,AC1612&lt;&gt;1),1,0))</f>
        <v/>
      </c>
      <c r="AF1612" s="45" t="str">
        <f aca="false">IF(AND(E1612&gt;0,Y1612&lt;1,NOT(AND(C1613=C1612,Y1613=Y1612+1))),INDEX(DATAS,Y1612+1),"")</f>
        <v/>
      </c>
      <c r="AG1612" s="45" t="str">
        <f aca="false">IF(AND(AA1612=1,Y1612&lt;1),IF(AND(C1613=C1612,Y1613=Y1612+1),IF(AA1613=1,"",INDEX(DATAS,Y1612+1)),INDEX(DATAS,Y1612+1)),"")</f>
        <v/>
      </c>
    </row>
    <row r="1613" customFormat="false" ht="15" hidden="false" customHeight="false" outlineLevel="0" collapsed="false">
      <c r="A1613" s="45" t="n">
        <v>46309</v>
      </c>
      <c r="B1613" s="0" t="n">
        <v>4</v>
      </c>
      <c r="C1613" s="0" t="n">
        <v>5765</v>
      </c>
      <c r="D1613" s="0" t="n">
        <v>144</v>
      </c>
      <c r="E1613" s="0" t="n">
        <v>1</v>
      </c>
      <c r="F1613" s="39" t="s">
        <v>963</v>
      </c>
      <c r="G1613" s="0" t="n">
        <v>31.5</v>
      </c>
      <c r="H1613" s="0" t="n">
        <v>34</v>
      </c>
      <c r="I1613" s="39" t="s">
        <v>146</v>
      </c>
      <c r="J1613" s="0" t="n">
        <v>144</v>
      </c>
      <c r="K1613" s="0" t="n">
        <v>67</v>
      </c>
      <c r="P1613" s="0" t="n">
        <v>4.97</v>
      </c>
      <c r="Q1613" s="0" t="n">
        <v>3.67</v>
      </c>
      <c r="R1613" s="0" t="n">
        <v>3637</v>
      </c>
      <c r="S1613" s="0" t="n">
        <v>7728</v>
      </c>
      <c r="T1613" s="0" t="n">
        <v>41.6</v>
      </c>
      <c r="U1613" s="0" t="n">
        <v>805</v>
      </c>
      <c r="V1613" s="0" t="n">
        <v>2</v>
      </c>
      <c r="W1613" s="39" t="n">
        <f aca="false">IF(I1613="Male",0,1)</f>
        <v>1</v>
      </c>
      <c r="X1613" s="39" t="n">
        <f aca="false">IF(OR(I1613="DNB",I1613="Dry DNB"),1,0)</f>
        <v>0</v>
      </c>
      <c r="Y1613" s="39" t="n">
        <f aca="false">MATCH(A1613,DATAS,0)</f>
        <v>1</v>
      </c>
      <c r="Z1613" s="39" t="n">
        <f aca="false">IF(AND(E1613&gt;0,OR(AND(B1613&gt;=1,B1613&lt;=6),B1613=10)),1,0)</f>
        <v>1</v>
      </c>
      <c r="AA1613" s="39" t="n">
        <f aca="false">IF(AND(E1613&gt;0,B1613=10),1,0)</f>
        <v>0</v>
      </c>
      <c r="AB1613" s="0" t="str">
        <f aca="false">IF(AND(C1612=C1613,Y1612=Y1613-1),Z1612,"")</f>
        <v/>
      </c>
      <c r="AC1613" s="0" t="str">
        <f aca="false">IF(AND(C1612=C1613,Y1612=Y1613-1),AA1612,"")</f>
        <v/>
      </c>
      <c r="AD1613" s="0" t="str">
        <f aca="false">IF(Y1613=1,"",IF(AND(Z1613=1,AB1613&lt;&gt;1),1,0))</f>
        <v/>
      </c>
      <c r="AE1613" s="0" t="str">
        <f aca="false">IF(Y1613=1,"",IF(AND(AA1613=1,AC1613&lt;&gt;1),1,0))</f>
        <v/>
      </c>
      <c r="AF1613" s="45" t="str">
        <f aca="false">IF(AND(E1613&gt;0,Y1613&lt;1,NOT(AND(C1614=C1613,Y1614=Y1613+1))),INDEX(DATAS,Y1613+1),"")</f>
        <v/>
      </c>
      <c r="AG1613" s="45" t="str">
        <f aca="false">IF(AND(AA1613=1,Y1613&lt;1),IF(AND(C1614=C1613,Y1614=Y1613+1),IF(AA1614=1,"",INDEX(DATAS,Y1613+1)),INDEX(DATAS,Y1613+1)),"")</f>
        <v/>
      </c>
    </row>
    <row r="1614" customFormat="false" ht="15" hidden="false" customHeight="false" outlineLevel="0" collapsed="false">
      <c r="A1614" s="45" t="n">
        <v>46309</v>
      </c>
      <c r="B1614" s="0" t="n">
        <v>4</v>
      </c>
      <c r="C1614" s="0" t="n">
        <v>5767</v>
      </c>
      <c r="D1614" s="0" t="n">
        <v>149</v>
      </c>
      <c r="E1614" s="0" t="n">
        <v>1</v>
      </c>
      <c r="F1614" s="39" t="s">
        <v>963</v>
      </c>
      <c r="G1614" s="0" t="n">
        <v>41.9</v>
      </c>
      <c r="H1614" s="0" t="n">
        <v>43</v>
      </c>
      <c r="I1614" s="39" t="s">
        <v>138</v>
      </c>
      <c r="J1614" s="0" t="n">
        <v>149</v>
      </c>
      <c r="K1614" s="0" t="n">
        <v>65</v>
      </c>
      <c r="P1614" s="0" t="n">
        <v>3.28</v>
      </c>
      <c r="Q1614" s="0" t="n">
        <v>3.86</v>
      </c>
      <c r="R1614" s="0" t="n">
        <v>4622</v>
      </c>
      <c r="S1614" s="0" t="n">
        <v>9190</v>
      </c>
      <c r="T1614" s="0" t="n">
        <v>51.4</v>
      </c>
      <c r="U1614" s="0" t="n">
        <v>805</v>
      </c>
      <c r="V1614" s="0" t="n">
        <v>3</v>
      </c>
      <c r="W1614" s="39" t="n">
        <f aca="false">IF(I1614="Male",0,1)</f>
        <v>1</v>
      </c>
      <c r="X1614" s="39" t="n">
        <f aca="false">IF(OR(I1614="DNB",I1614="Dry DNB"),1,0)</f>
        <v>0</v>
      </c>
      <c r="Y1614" s="39" t="n">
        <f aca="false">MATCH(A1614,DATAS,0)</f>
        <v>1</v>
      </c>
      <c r="Z1614" s="39" t="n">
        <f aca="false">IF(AND(E1614&gt;0,OR(AND(B1614&gt;=1,B1614&lt;=6),B1614=10)),1,0)</f>
        <v>1</v>
      </c>
      <c r="AA1614" s="39" t="n">
        <f aca="false">IF(AND(E1614&gt;0,B1614=10),1,0)</f>
        <v>0</v>
      </c>
      <c r="AB1614" s="0" t="str">
        <f aca="false">IF(AND(C1613=C1614,Y1613=Y1614-1),Z1613,"")</f>
        <v/>
      </c>
      <c r="AC1614" s="0" t="str">
        <f aca="false">IF(AND(C1613=C1614,Y1613=Y1614-1),AA1613,"")</f>
        <v/>
      </c>
      <c r="AD1614" s="0" t="str">
        <f aca="false">IF(Y1614=1,"",IF(AND(Z1614=1,AB1614&lt;&gt;1),1,0))</f>
        <v/>
      </c>
      <c r="AE1614" s="0" t="str">
        <f aca="false">IF(Y1614=1,"",IF(AND(AA1614=1,AC1614&lt;&gt;1),1,0))</f>
        <v/>
      </c>
      <c r="AF1614" s="45" t="str">
        <f aca="false">IF(AND(E1614&gt;0,Y1614&lt;1,NOT(AND(C1615=C1614,Y1615=Y1614+1))),INDEX(DATAS,Y1614+1),"")</f>
        <v/>
      </c>
      <c r="AG1614" s="45" t="str">
        <f aca="false">IF(AND(AA1614=1,Y1614&lt;1),IF(AND(C1615=C1614,Y1615=Y1614+1),IF(AA1615=1,"",INDEX(DATAS,Y1614+1)),INDEX(DATAS,Y1614+1)),"")</f>
        <v/>
      </c>
    </row>
    <row r="1615" customFormat="false" ht="15" hidden="false" customHeight="false" outlineLevel="0" collapsed="false">
      <c r="A1615" s="45" t="n">
        <v>46309</v>
      </c>
      <c r="B1615" s="0" t="n">
        <v>4</v>
      </c>
      <c r="C1615" s="0" t="n">
        <v>5768</v>
      </c>
      <c r="D1615" s="0" t="n">
        <v>142</v>
      </c>
      <c r="E1615" s="0" t="n">
        <v>1</v>
      </c>
      <c r="F1615" s="39" t="s">
        <v>964</v>
      </c>
      <c r="G1615" s="0" t="n">
        <v>52.9</v>
      </c>
      <c r="H1615" s="0" t="n">
        <v>47</v>
      </c>
      <c r="I1615" s="39" t="s">
        <v>109</v>
      </c>
      <c r="J1615" s="0" t="n">
        <v>107</v>
      </c>
      <c r="K1615" s="0" t="n">
        <v>65</v>
      </c>
      <c r="L1615" s="0" t="n">
        <v>35</v>
      </c>
      <c r="P1615" s="0" t="n">
        <v>4.24</v>
      </c>
      <c r="Q1615" s="0" t="n">
        <v>3.05</v>
      </c>
      <c r="R1615" s="0" t="n">
        <v>4115</v>
      </c>
      <c r="S1615" s="0" t="n">
        <v>8986</v>
      </c>
      <c r="T1615" s="0" t="n">
        <v>46.95</v>
      </c>
      <c r="U1615" s="0" t="n">
        <v>803</v>
      </c>
      <c r="V1615" s="0" t="n">
        <v>2</v>
      </c>
      <c r="W1615" s="39" t="n">
        <f aca="false">IF(I1615="Male",0,1)</f>
        <v>1</v>
      </c>
      <c r="X1615" s="39" t="n">
        <f aca="false">IF(OR(I1615="DNB",I1615="Dry DNB"),1,0)</f>
        <v>0</v>
      </c>
      <c r="Y1615" s="39" t="n">
        <f aca="false">MATCH(A1615,DATAS,0)</f>
        <v>1</v>
      </c>
      <c r="Z1615" s="39" t="n">
        <f aca="false">IF(AND(E1615&gt;0,OR(AND(B1615&gt;=1,B1615&lt;=6),B1615=10)),1,0)</f>
        <v>1</v>
      </c>
      <c r="AA1615" s="39" t="n">
        <f aca="false">IF(AND(E1615&gt;0,B1615=10),1,0)</f>
        <v>0</v>
      </c>
      <c r="AB1615" s="0" t="str">
        <f aca="false">IF(AND(C1614=C1615,Y1614=Y1615-1),Z1614,"")</f>
        <v/>
      </c>
      <c r="AC1615" s="0" t="str">
        <f aca="false">IF(AND(C1614=C1615,Y1614=Y1615-1),AA1614,"")</f>
        <v/>
      </c>
      <c r="AD1615" s="0" t="str">
        <f aca="false">IF(Y1615=1,"",IF(AND(Z1615=1,AB1615&lt;&gt;1),1,0))</f>
        <v/>
      </c>
      <c r="AE1615" s="0" t="str">
        <f aca="false">IF(Y1615=1,"",IF(AND(AA1615=1,AC1615&lt;&gt;1),1,0))</f>
        <v/>
      </c>
      <c r="AF1615" s="45" t="str">
        <f aca="false">IF(AND(E1615&gt;0,Y1615&lt;1,NOT(AND(C1616=C1615,Y1616=Y1615+1))),INDEX(DATAS,Y1615+1),"")</f>
        <v/>
      </c>
      <c r="AG1615" s="45" t="str">
        <f aca="false">IF(AND(AA1615=1,Y1615&lt;1),IF(AND(C1616=C1615,Y1616=Y1615+1),IF(AA1616=1,"",INDEX(DATAS,Y1615+1)),INDEX(DATAS,Y1615+1)),"")</f>
        <v/>
      </c>
    </row>
    <row r="1616" customFormat="false" ht="15" hidden="false" customHeight="false" outlineLevel="0" collapsed="false">
      <c r="A1616" s="45" t="n">
        <v>46309</v>
      </c>
      <c r="B1616" s="0" t="n">
        <v>4</v>
      </c>
      <c r="C1616" s="0" t="n">
        <v>5769</v>
      </c>
      <c r="D1616" s="0" t="n">
        <v>166</v>
      </c>
      <c r="E1616" s="0" t="n">
        <v>1</v>
      </c>
      <c r="F1616" s="39" t="s">
        <v>964</v>
      </c>
      <c r="G1616" s="0" t="n">
        <v>44.1</v>
      </c>
      <c r="H1616" s="0" t="n">
        <v>43</v>
      </c>
      <c r="I1616" s="39" t="s">
        <v>109</v>
      </c>
      <c r="J1616" s="0" t="n">
        <v>103</v>
      </c>
      <c r="K1616" s="0" t="n">
        <v>68</v>
      </c>
      <c r="L1616" s="0" t="n">
        <v>63</v>
      </c>
      <c r="P1616" s="0" t="n">
        <v>4.31</v>
      </c>
      <c r="Q1616" s="0" t="n">
        <v>3.58</v>
      </c>
      <c r="R1616" s="0" t="n">
        <v>2914</v>
      </c>
      <c r="S1616" s="0" t="n">
        <v>6810</v>
      </c>
      <c r="T1616" s="0" t="n">
        <v>32.6</v>
      </c>
      <c r="U1616" s="0" t="n">
        <v>803</v>
      </c>
      <c r="V1616" s="0" t="n">
        <v>2</v>
      </c>
      <c r="W1616" s="39" t="n">
        <f aca="false">IF(I1616="Male",0,1)</f>
        <v>1</v>
      </c>
      <c r="X1616" s="39" t="n">
        <f aca="false">IF(OR(I1616="DNB",I1616="Dry DNB"),1,0)</f>
        <v>0</v>
      </c>
      <c r="Y1616" s="39" t="n">
        <f aca="false">MATCH(A1616,DATAS,0)</f>
        <v>1</v>
      </c>
      <c r="Z1616" s="39" t="n">
        <f aca="false">IF(AND(E1616&gt;0,OR(AND(B1616&gt;=1,B1616&lt;=6),B1616=10)),1,0)</f>
        <v>1</v>
      </c>
      <c r="AA1616" s="39" t="n">
        <f aca="false">IF(AND(E1616&gt;0,B1616=10),1,0)</f>
        <v>0</v>
      </c>
      <c r="AB1616" s="0" t="str">
        <f aca="false">IF(AND(C1615=C1616,Y1615=Y1616-1),Z1615,"")</f>
        <v/>
      </c>
      <c r="AC1616" s="0" t="str">
        <f aca="false">IF(AND(C1615=C1616,Y1615=Y1616-1),AA1615,"")</f>
        <v/>
      </c>
      <c r="AD1616" s="0" t="str">
        <f aca="false">IF(Y1616=1,"",IF(AND(Z1616=1,AB1616&lt;&gt;1),1,0))</f>
        <v/>
      </c>
      <c r="AE1616" s="0" t="str">
        <f aca="false">IF(Y1616=1,"",IF(AND(AA1616=1,AC1616&lt;&gt;1),1,0))</f>
        <v/>
      </c>
      <c r="AF1616" s="45" t="str">
        <f aca="false">IF(AND(E1616&gt;0,Y1616&lt;1,NOT(AND(C1617=C1616,Y1617=Y1616+1))),INDEX(DATAS,Y1616+1),"")</f>
        <v/>
      </c>
      <c r="AG1616" s="45" t="str">
        <f aca="false">IF(AND(AA1616=1,Y1616&lt;1),IF(AND(C1617=C1616,Y1617=Y1616+1),IF(AA1617=1,"",INDEX(DATAS,Y1616+1)),INDEX(DATAS,Y1616+1)),"")</f>
        <v/>
      </c>
    </row>
    <row r="1617" customFormat="false" ht="15" hidden="false" customHeight="false" outlineLevel="0" collapsed="false">
      <c r="A1617" s="45" t="n">
        <v>46309</v>
      </c>
      <c r="B1617" s="0" t="n">
        <v>1</v>
      </c>
      <c r="C1617" s="0" t="n">
        <v>5770</v>
      </c>
      <c r="D1617" s="0" t="n">
        <v>100</v>
      </c>
      <c r="E1617" s="0" t="n">
        <v>1</v>
      </c>
      <c r="F1617" s="39" t="s">
        <v>964</v>
      </c>
      <c r="G1617" s="0" t="n">
        <v>50.3</v>
      </c>
      <c r="H1617" s="0" t="n">
        <v>49</v>
      </c>
      <c r="I1617" s="39" t="s">
        <v>138</v>
      </c>
      <c r="J1617" s="0" t="n">
        <v>100</v>
      </c>
      <c r="K1617" s="0" t="n">
        <v>65</v>
      </c>
      <c r="P1617" s="0" t="n">
        <v>2.94</v>
      </c>
      <c r="Q1617" s="0" t="n">
        <v>3.3</v>
      </c>
      <c r="R1617" s="0" t="n">
        <v>4328</v>
      </c>
      <c r="S1617" s="0" t="n">
        <v>8699</v>
      </c>
      <c r="U1617" s="0" t="n">
        <v>803</v>
      </c>
      <c r="V1617" s="0" t="n">
        <v>2</v>
      </c>
      <c r="W1617" s="39" t="n">
        <f aca="false">IF(I1617="Male",0,1)</f>
        <v>1</v>
      </c>
      <c r="X1617" s="39" t="n">
        <f aca="false">IF(OR(I1617="DNB",I1617="Dry DNB"),1,0)</f>
        <v>0</v>
      </c>
      <c r="Y1617" s="39" t="n">
        <f aca="false">MATCH(A1617,DATAS,0)</f>
        <v>1</v>
      </c>
      <c r="Z1617" s="39" t="n">
        <f aca="false">IF(AND(E1617&gt;0,OR(AND(B1617&gt;=1,B1617&lt;=6),B1617=10)),1,0)</f>
        <v>1</v>
      </c>
      <c r="AA1617" s="39" t="n">
        <f aca="false">IF(AND(E1617&gt;0,B1617=10),1,0)</f>
        <v>0</v>
      </c>
      <c r="AB1617" s="0" t="str">
        <f aca="false">IF(AND(C1616=C1617,Y1616=Y1617-1),Z1616,"")</f>
        <v/>
      </c>
      <c r="AC1617" s="0" t="str">
        <f aca="false">IF(AND(C1616=C1617,Y1616=Y1617-1),AA1616,"")</f>
        <v/>
      </c>
      <c r="AD1617" s="0" t="str">
        <f aca="false">IF(Y1617=1,"",IF(AND(Z1617=1,AB1617&lt;&gt;1),1,0))</f>
        <v/>
      </c>
      <c r="AE1617" s="0" t="str">
        <f aca="false">IF(Y1617=1,"",IF(AND(AA1617=1,AC1617&lt;&gt;1),1,0))</f>
        <v/>
      </c>
      <c r="AF1617" s="45" t="str">
        <f aca="false">IF(AND(E1617&gt;0,Y1617&lt;1,NOT(AND(C1618=C1617,Y1618=Y1617+1))),INDEX(DATAS,Y1617+1),"")</f>
        <v/>
      </c>
      <c r="AG1617" s="45" t="str">
        <f aca="false">IF(AND(AA1617=1,Y1617&lt;1),IF(AND(C1618=C1617,Y1618=Y1617+1),IF(AA1618=1,"",INDEX(DATAS,Y1617+1)),INDEX(DATAS,Y1617+1)),"")</f>
        <v/>
      </c>
    </row>
    <row r="1618" customFormat="false" ht="15" hidden="false" customHeight="false" outlineLevel="0" collapsed="false">
      <c r="A1618" s="45" t="n">
        <v>46309</v>
      </c>
      <c r="B1618" s="0" t="n">
        <v>5</v>
      </c>
      <c r="C1618" s="0" t="n">
        <v>5771</v>
      </c>
      <c r="D1618" s="0" t="n">
        <v>143</v>
      </c>
      <c r="E1618" s="0" t="n">
        <v>1</v>
      </c>
      <c r="F1618" s="39" t="s">
        <v>965</v>
      </c>
      <c r="G1618" s="0" t="n">
        <v>37.8</v>
      </c>
      <c r="H1618" s="0" t="n">
        <v>36</v>
      </c>
      <c r="I1618" s="39" t="s">
        <v>138</v>
      </c>
      <c r="J1618" s="0" t="n">
        <v>143</v>
      </c>
      <c r="K1618" s="0" t="n">
        <v>66</v>
      </c>
      <c r="P1618" s="0" t="n">
        <v>3.88</v>
      </c>
      <c r="Q1618" s="0" t="n">
        <v>3.32</v>
      </c>
      <c r="R1618" s="0" t="n">
        <v>4379</v>
      </c>
      <c r="S1618" s="0" t="n">
        <v>9094</v>
      </c>
      <c r="T1618" s="0" t="n">
        <v>50.45</v>
      </c>
      <c r="U1618" s="0" t="n">
        <v>801</v>
      </c>
      <c r="V1618" s="0" t="n">
        <v>3</v>
      </c>
      <c r="W1618" s="39" t="n">
        <f aca="false">IF(I1618="Male",0,1)</f>
        <v>1</v>
      </c>
      <c r="X1618" s="39" t="n">
        <f aca="false">IF(OR(I1618="DNB",I1618="Dry DNB"),1,0)</f>
        <v>0</v>
      </c>
      <c r="Y1618" s="39" t="n">
        <f aca="false">MATCH(A1618,DATAS,0)</f>
        <v>1</v>
      </c>
      <c r="Z1618" s="39" t="n">
        <f aca="false">IF(AND(E1618&gt;0,OR(AND(B1618&gt;=1,B1618&lt;=6),B1618=10)),1,0)</f>
        <v>1</v>
      </c>
      <c r="AA1618" s="39" t="n">
        <f aca="false">IF(AND(E1618&gt;0,B1618=10),1,0)</f>
        <v>0</v>
      </c>
      <c r="AB1618" s="0" t="str">
        <f aca="false">IF(AND(C1617=C1618,Y1617=Y1618-1),Z1617,"")</f>
        <v/>
      </c>
      <c r="AC1618" s="0" t="str">
        <f aca="false">IF(AND(C1617=C1618,Y1617=Y1618-1),AA1617,"")</f>
        <v/>
      </c>
      <c r="AD1618" s="0" t="str">
        <f aca="false">IF(Y1618=1,"",IF(AND(Z1618=1,AB1618&lt;&gt;1),1,0))</f>
        <v/>
      </c>
      <c r="AE1618" s="0" t="str">
        <f aca="false">IF(Y1618=1,"",IF(AND(AA1618=1,AC1618&lt;&gt;1),1,0))</f>
        <v/>
      </c>
      <c r="AF1618" s="45" t="str">
        <f aca="false">IF(AND(E1618&gt;0,Y1618&lt;1,NOT(AND(C1619=C1618,Y1619=Y1618+1))),INDEX(DATAS,Y1618+1),"")</f>
        <v/>
      </c>
      <c r="AG1618" s="45" t="str">
        <f aca="false">IF(AND(AA1618=1,Y1618&lt;1),IF(AND(C1619=C1618,Y1619=Y1618+1),IF(AA1619=1,"",INDEX(DATAS,Y1618+1)),INDEX(DATAS,Y1618+1)),"")</f>
        <v/>
      </c>
    </row>
    <row r="1619" customFormat="false" ht="15" hidden="false" customHeight="false" outlineLevel="0" collapsed="false">
      <c r="A1619" s="45" t="n">
        <v>46309</v>
      </c>
      <c r="B1619" s="0" t="n">
        <v>11</v>
      </c>
      <c r="C1619" s="0" t="n">
        <v>5772</v>
      </c>
      <c r="E1619" s="0" t="n">
        <v>0</v>
      </c>
      <c r="F1619" s="39" t="s">
        <v>965</v>
      </c>
      <c r="I1619" s="39" t="s">
        <v>138</v>
      </c>
      <c r="U1619" s="0" t="n">
        <v>801</v>
      </c>
      <c r="V1619" s="0" t="n">
        <v>13</v>
      </c>
      <c r="W1619" s="39" t="n">
        <f aca="false">IF(I1619="Male",0,1)</f>
        <v>1</v>
      </c>
      <c r="X1619" s="39" t="n">
        <f aca="false">IF(OR(I1619="DNB",I1619="Dry DNB"),1,0)</f>
        <v>0</v>
      </c>
      <c r="Y1619" s="39" t="n">
        <f aca="false">MATCH(A1619,DATAS,0)</f>
        <v>1</v>
      </c>
      <c r="Z1619" s="39" t="n">
        <f aca="false">IF(AND(E1619&gt;0,OR(AND(B1619&gt;=1,B1619&lt;=6),B1619=10)),1,0)</f>
        <v>0</v>
      </c>
      <c r="AA1619" s="39" t="n">
        <f aca="false">IF(AND(E1619&gt;0,B1619=10),1,0)</f>
        <v>0</v>
      </c>
      <c r="AB1619" s="0" t="str">
        <f aca="false">IF(AND(C1618=C1619,Y1618=Y1619-1),Z1618,"")</f>
        <v/>
      </c>
      <c r="AC1619" s="0" t="str">
        <f aca="false">IF(AND(C1618=C1619,Y1618=Y1619-1),AA1618,"")</f>
        <v/>
      </c>
      <c r="AD1619" s="0" t="str">
        <f aca="false">IF(Y1619=1,"",IF(AND(Z1619=1,AB1619&lt;&gt;1),1,0))</f>
        <v/>
      </c>
      <c r="AE1619" s="0" t="str">
        <f aca="false">IF(Y1619=1,"",IF(AND(AA1619=1,AC1619&lt;&gt;1),1,0))</f>
        <v/>
      </c>
      <c r="AF1619" s="45" t="str">
        <f aca="false">IF(AND(E1619&gt;0,Y1619&lt;1,NOT(AND(C1620=C1619,Y1620=Y1619+1))),INDEX(DATAS,Y1619+1),"")</f>
        <v/>
      </c>
      <c r="AG1619" s="45" t="str">
        <f aca="false">IF(AND(AA1619=1,Y1619&lt;1),IF(AND(C1620=C1619,Y1620=Y1619+1),IF(AA1620=1,"",INDEX(DATAS,Y1619+1)),INDEX(DATAS,Y1619+1)),"")</f>
        <v/>
      </c>
    </row>
    <row r="1620" customFormat="false" ht="15" hidden="false" customHeight="false" outlineLevel="0" collapsed="false">
      <c r="A1620" s="45" t="n">
        <v>46309</v>
      </c>
      <c r="B1620" s="0" t="n">
        <v>4</v>
      </c>
      <c r="C1620" s="0" t="n">
        <v>5775</v>
      </c>
      <c r="D1620" s="0" t="n">
        <v>161</v>
      </c>
      <c r="E1620" s="0" t="n">
        <v>1</v>
      </c>
      <c r="F1620" s="39" t="s">
        <v>965</v>
      </c>
      <c r="G1620" s="0" t="n">
        <v>50.6</v>
      </c>
      <c r="H1620" s="0" t="n">
        <v>49</v>
      </c>
      <c r="I1620" s="39" t="s">
        <v>109</v>
      </c>
      <c r="J1620" s="0" t="n">
        <v>63</v>
      </c>
      <c r="K1620" s="0" t="n">
        <v>63</v>
      </c>
      <c r="L1620" s="0" t="n">
        <v>98</v>
      </c>
      <c r="P1620" s="0" t="n">
        <v>4.4</v>
      </c>
      <c r="Q1620" s="0" t="n">
        <v>3.35</v>
      </c>
      <c r="R1620" s="0" t="n">
        <v>4165</v>
      </c>
      <c r="S1620" s="0" t="n">
        <v>9111</v>
      </c>
      <c r="T1620" s="0" t="n">
        <v>45.25</v>
      </c>
      <c r="U1620" s="0" t="n">
        <v>801</v>
      </c>
      <c r="V1620" s="0" t="n">
        <v>1</v>
      </c>
      <c r="W1620" s="39" t="n">
        <f aca="false">IF(I1620="Male",0,1)</f>
        <v>1</v>
      </c>
      <c r="X1620" s="39" t="n">
        <f aca="false">IF(OR(I1620="DNB",I1620="Dry DNB"),1,0)</f>
        <v>0</v>
      </c>
      <c r="Y1620" s="39" t="n">
        <f aca="false">MATCH(A1620,DATAS,0)</f>
        <v>1</v>
      </c>
      <c r="Z1620" s="39" t="n">
        <f aca="false">IF(AND(E1620&gt;0,OR(AND(B1620&gt;=1,B1620&lt;=6),B1620=10)),1,0)</f>
        <v>1</v>
      </c>
      <c r="AA1620" s="39" t="n">
        <f aca="false">IF(AND(E1620&gt;0,B1620=10),1,0)</f>
        <v>0</v>
      </c>
      <c r="AB1620" s="0" t="str">
        <f aca="false">IF(AND(C1619=C1620,Y1619=Y1620-1),Z1619,"")</f>
        <v/>
      </c>
      <c r="AC1620" s="0" t="str">
        <f aca="false">IF(AND(C1619=C1620,Y1619=Y1620-1),AA1619,"")</f>
        <v/>
      </c>
      <c r="AD1620" s="0" t="str">
        <f aca="false">IF(Y1620=1,"",IF(AND(Z1620=1,AB1620&lt;&gt;1),1,0))</f>
        <v/>
      </c>
      <c r="AE1620" s="0" t="str">
        <f aca="false">IF(Y1620=1,"",IF(AND(AA1620=1,AC1620&lt;&gt;1),1,0))</f>
        <v/>
      </c>
      <c r="AF1620" s="45" t="str">
        <f aca="false">IF(AND(E1620&gt;0,Y1620&lt;1,NOT(AND(C1621=C1620,Y1621=Y1620+1))),INDEX(DATAS,Y1620+1),"")</f>
        <v/>
      </c>
      <c r="AG1620" s="45" t="str">
        <f aca="false">IF(AND(AA1620=1,Y1620&lt;1),IF(AND(C1621=C1620,Y1621=Y1620+1),IF(AA1621=1,"",INDEX(DATAS,Y1620+1)),INDEX(DATAS,Y1620+1)),"")</f>
        <v/>
      </c>
    </row>
    <row r="1621" customFormat="false" ht="15" hidden="false" customHeight="false" outlineLevel="0" collapsed="false">
      <c r="A1621" s="45" t="n">
        <v>46309</v>
      </c>
      <c r="B1621" s="0" t="n">
        <v>4</v>
      </c>
      <c r="C1621" s="0" t="n">
        <v>5776</v>
      </c>
      <c r="D1621" s="0" t="n">
        <v>149</v>
      </c>
      <c r="E1621" s="0" t="n">
        <v>1</v>
      </c>
      <c r="F1621" s="39" t="s">
        <v>965</v>
      </c>
      <c r="G1621" s="0" t="n">
        <v>51.5</v>
      </c>
      <c r="H1621" s="0" t="n">
        <v>52</v>
      </c>
      <c r="I1621" s="39" t="s">
        <v>109</v>
      </c>
      <c r="J1621" s="0" t="n">
        <v>86</v>
      </c>
      <c r="K1621" s="0" t="n">
        <v>65</v>
      </c>
      <c r="L1621" s="0" t="n">
        <v>63</v>
      </c>
      <c r="P1621" s="0" t="n">
        <v>3.74</v>
      </c>
      <c r="Q1621" s="0" t="n">
        <v>3.24</v>
      </c>
      <c r="R1621" s="0" t="n">
        <v>4681</v>
      </c>
      <c r="S1621" s="0" t="n">
        <v>9803</v>
      </c>
      <c r="T1621" s="0" t="n">
        <v>49.8</v>
      </c>
      <c r="U1621" s="0" t="n">
        <v>801</v>
      </c>
      <c r="V1621" s="0" t="n">
        <v>2</v>
      </c>
      <c r="W1621" s="39" t="n">
        <f aca="false">IF(I1621="Male",0,1)</f>
        <v>1</v>
      </c>
      <c r="X1621" s="39" t="n">
        <f aca="false">IF(OR(I1621="DNB",I1621="Dry DNB"),1,0)</f>
        <v>0</v>
      </c>
      <c r="Y1621" s="39" t="n">
        <f aca="false">MATCH(A1621,DATAS,0)</f>
        <v>1</v>
      </c>
      <c r="Z1621" s="39" t="n">
        <f aca="false">IF(AND(E1621&gt;0,OR(AND(B1621&gt;=1,B1621&lt;=6),B1621=10)),1,0)</f>
        <v>1</v>
      </c>
      <c r="AA1621" s="39" t="n">
        <f aca="false">IF(AND(E1621&gt;0,B1621=10),1,0)</f>
        <v>0</v>
      </c>
      <c r="AB1621" s="0" t="str">
        <f aca="false">IF(AND(C1620=C1621,Y1620=Y1621-1),Z1620,"")</f>
        <v/>
      </c>
      <c r="AC1621" s="0" t="str">
        <f aca="false">IF(AND(C1620=C1621,Y1620=Y1621-1),AA1620,"")</f>
        <v/>
      </c>
      <c r="AD1621" s="0" t="str">
        <f aca="false">IF(Y1621=1,"",IF(AND(Z1621=1,AB1621&lt;&gt;1),1,0))</f>
        <v/>
      </c>
      <c r="AE1621" s="0" t="str">
        <f aca="false">IF(Y1621=1,"",IF(AND(AA1621=1,AC1621&lt;&gt;1),1,0))</f>
        <v/>
      </c>
      <c r="AF1621" s="45" t="str">
        <f aca="false">IF(AND(E1621&gt;0,Y1621&lt;1,NOT(AND(C1622=C1621,Y1622=Y1621+1))),INDEX(DATAS,Y1621+1),"")</f>
        <v/>
      </c>
      <c r="AG1621" s="45" t="str">
        <f aca="false">IF(AND(AA1621=1,Y1621&lt;1),IF(AND(C1622=C1621,Y1622=Y1621+1),IF(AA1622=1,"",INDEX(DATAS,Y1621+1)),INDEX(DATAS,Y1621+1)),"")</f>
        <v/>
      </c>
    </row>
    <row r="1622" customFormat="false" ht="15" hidden="false" customHeight="false" outlineLevel="0" collapsed="false">
      <c r="A1622" s="45" t="n">
        <v>46309</v>
      </c>
      <c r="B1622" s="0" t="n">
        <v>1</v>
      </c>
      <c r="C1622" s="0" t="n">
        <v>5777</v>
      </c>
      <c r="D1622" s="0" t="n">
        <v>59</v>
      </c>
      <c r="E1622" s="0" t="n">
        <v>1</v>
      </c>
      <c r="F1622" s="39" t="s">
        <v>965</v>
      </c>
      <c r="G1622" s="0" t="n">
        <v>42.3</v>
      </c>
      <c r="H1622" s="0" t="n">
        <v>39</v>
      </c>
      <c r="I1622" s="39" t="s">
        <v>118</v>
      </c>
      <c r="J1622" s="0" t="n">
        <v>59</v>
      </c>
      <c r="P1622" s="0" t="n">
        <v>5.66</v>
      </c>
      <c r="Q1622" s="0" t="n">
        <v>3.21</v>
      </c>
      <c r="R1622" s="0" t="n">
        <v>3345</v>
      </c>
      <c r="S1622" s="0" t="n">
        <v>6725</v>
      </c>
      <c r="U1622" s="0" t="n">
        <v>801</v>
      </c>
      <c r="V1622" s="0" t="n">
        <v>0</v>
      </c>
      <c r="W1622" s="39" t="n">
        <f aca="false">IF(I1622="Male",0,1)</f>
        <v>1</v>
      </c>
      <c r="X1622" s="39" t="n">
        <f aca="false">IF(OR(I1622="DNB",I1622="Dry DNB"),1,0)</f>
        <v>0</v>
      </c>
      <c r="Y1622" s="39" t="n">
        <f aca="false">MATCH(A1622,DATAS,0)</f>
        <v>1</v>
      </c>
      <c r="Z1622" s="39" t="n">
        <f aca="false">IF(AND(E1622&gt;0,OR(AND(B1622&gt;=1,B1622&lt;=6),B1622=10)),1,0)</f>
        <v>1</v>
      </c>
      <c r="AA1622" s="39" t="n">
        <f aca="false">IF(AND(E1622&gt;0,B1622=10),1,0)</f>
        <v>0</v>
      </c>
      <c r="AB1622" s="0" t="str">
        <f aca="false">IF(AND(C1621=C1622,Y1621=Y1622-1),Z1621,"")</f>
        <v/>
      </c>
      <c r="AC1622" s="0" t="str">
        <f aca="false">IF(AND(C1621=C1622,Y1621=Y1622-1),AA1621,"")</f>
        <v/>
      </c>
      <c r="AD1622" s="0" t="str">
        <f aca="false">IF(Y1622=1,"",IF(AND(Z1622=1,AB1622&lt;&gt;1),1,0))</f>
        <v/>
      </c>
      <c r="AE1622" s="0" t="str">
        <f aca="false">IF(Y1622=1,"",IF(AND(AA1622=1,AC1622&lt;&gt;1),1,0))</f>
        <v/>
      </c>
      <c r="AF1622" s="45" t="str">
        <f aca="false">IF(AND(E1622&gt;0,Y1622&lt;1,NOT(AND(C1623=C1622,Y1623=Y1622+1))),INDEX(DATAS,Y1622+1),"")</f>
        <v/>
      </c>
      <c r="AG1622" s="45" t="str">
        <f aca="false">IF(AND(AA1622=1,Y1622&lt;1),IF(AND(C1623=C1622,Y1623=Y1622+1),IF(AA1623=1,"",INDEX(DATAS,Y1622+1)),INDEX(DATAS,Y1622+1)),"")</f>
        <v/>
      </c>
    </row>
    <row r="1623" customFormat="false" ht="15" hidden="false" customHeight="false" outlineLevel="0" collapsed="false">
      <c r="A1623" s="45" t="n">
        <v>46309</v>
      </c>
      <c r="B1623" s="0" t="n">
        <v>4</v>
      </c>
      <c r="C1623" s="0" t="n">
        <v>5778</v>
      </c>
      <c r="D1623" s="0" t="n">
        <v>121</v>
      </c>
      <c r="E1623" s="0" t="n">
        <v>1</v>
      </c>
      <c r="F1623" s="39" t="s">
        <v>965</v>
      </c>
      <c r="G1623" s="0" t="n">
        <v>60.6</v>
      </c>
      <c r="H1623" s="0" t="n">
        <v>59</v>
      </c>
      <c r="I1623" s="39" t="s">
        <v>109</v>
      </c>
      <c r="J1623" s="0" t="n">
        <v>65</v>
      </c>
      <c r="K1623" s="0" t="n">
        <v>65</v>
      </c>
      <c r="L1623" s="0" t="n">
        <v>56</v>
      </c>
      <c r="P1623" s="0" t="n">
        <v>2.87</v>
      </c>
      <c r="Q1623" s="0" t="n">
        <v>3.04</v>
      </c>
      <c r="R1623" s="0" t="n">
        <v>5303</v>
      </c>
      <c r="S1623" s="0" t="n">
        <v>10857</v>
      </c>
      <c r="T1623" s="0" t="n">
        <v>51.2</v>
      </c>
      <c r="U1623" s="0" t="n">
        <v>801</v>
      </c>
      <c r="V1623" s="0" t="n">
        <v>1</v>
      </c>
      <c r="W1623" s="39" t="n">
        <f aca="false">IF(I1623="Male",0,1)</f>
        <v>1</v>
      </c>
      <c r="X1623" s="39" t="n">
        <f aca="false">IF(OR(I1623="DNB",I1623="Dry DNB"),1,0)</f>
        <v>0</v>
      </c>
      <c r="Y1623" s="39" t="n">
        <f aca="false">MATCH(A1623,DATAS,0)</f>
        <v>1</v>
      </c>
      <c r="Z1623" s="39" t="n">
        <f aca="false">IF(AND(E1623&gt;0,OR(AND(B1623&gt;=1,B1623&lt;=6),B1623=10)),1,0)</f>
        <v>1</v>
      </c>
      <c r="AA1623" s="39" t="n">
        <f aca="false">IF(AND(E1623&gt;0,B1623=10),1,0)</f>
        <v>0</v>
      </c>
      <c r="AB1623" s="0" t="str">
        <f aca="false">IF(AND(C1622=C1623,Y1622=Y1623-1),Z1622,"")</f>
        <v/>
      </c>
      <c r="AC1623" s="0" t="str">
        <f aca="false">IF(AND(C1622=C1623,Y1622=Y1623-1),AA1622,"")</f>
        <v/>
      </c>
      <c r="AD1623" s="0" t="str">
        <f aca="false">IF(Y1623=1,"",IF(AND(Z1623=1,AB1623&lt;&gt;1),1,0))</f>
        <v/>
      </c>
      <c r="AE1623" s="0" t="str">
        <f aca="false">IF(Y1623=1,"",IF(AND(AA1623=1,AC1623&lt;&gt;1),1,0))</f>
        <v/>
      </c>
      <c r="AF1623" s="45" t="str">
        <f aca="false">IF(AND(E1623&gt;0,Y1623&lt;1,NOT(AND(C1624=C1623,Y1624=Y1623+1))),INDEX(DATAS,Y1623+1),"")</f>
        <v/>
      </c>
      <c r="AG1623" s="45" t="str">
        <f aca="false">IF(AND(AA1623=1,Y1623&lt;1),IF(AND(C1624=C1623,Y1624=Y1623+1),IF(AA1624=1,"",INDEX(DATAS,Y1623+1)),INDEX(DATAS,Y1623+1)),"")</f>
        <v/>
      </c>
    </row>
    <row r="1624" customFormat="false" ht="15" hidden="false" customHeight="false" outlineLevel="0" collapsed="false">
      <c r="A1624" s="45" t="n">
        <v>46309</v>
      </c>
      <c r="B1624" s="0" t="n">
        <v>4</v>
      </c>
      <c r="C1624" s="0" t="n">
        <v>5779</v>
      </c>
      <c r="D1624" s="0" t="n">
        <v>139</v>
      </c>
      <c r="E1624" s="0" t="n">
        <v>1</v>
      </c>
      <c r="F1624" s="39" t="s">
        <v>965</v>
      </c>
      <c r="G1624" s="0" t="n">
        <v>53.7</v>
      </c>
      <c r="H1624" s="0" t="n">
        <v>54</v>
      </c>
      <c r="I1624" s="39" t="s">
        <v>138</v>
      </c>
      <c r="J1624" s="0" t="n">
        <v>139</v>
      </c>
      <c r="K1624" s="0" t="n">
        <v>69</v>
      </c>
      <c r="P1624" s="0" t="n">
        <v>4.14</v>
      </c>
      <c r="Q1624" s="0" t="n">
        <v>3.07</v>
      </c>
      <c r="R1624" s="0" t="n">
        <v>4673</v>
      </c>
      <c r="S1624" s="0" t="n">
        <v>9991</v>
      </c>
      <c r="T1624" s="0" t="n">
        <v>50.3</v>
      </c>
      <c r="U1624" s="0" t="n">
        <v>801</v>
      </c>
      <c r="V1624" s="0" t="n">
        <v>3</v>
      </c>
      <c r="W1624" s="39" t="n">
        <f aca="false">IF(I1624="Male",0,1)</f>
        <v>1</v>
      </c>
      <c r="X1624" s="39" t="n">
        <f aca="false">IF(OR(I1624="DNB",I1624="Dry DNB"),1,0)</f>
        <v>0</v>
      </c>
      <c r="Y1624" s="39" t="n">
        <f aca="false">MATCH(A1624,DATAS,0)</f>
        <v>1</v>
      </c>
      <c r="Z1624" s="39" t="n">
        <f aca="false">IF(AND(E1624&gt;0,OR(AND(B1624&gt;=1,B1624&lt;=6),B1624=10)),1,0)</f>
        <v>1</v>
      </c>
      <c r="AA1624" s="39" t="n">
        <f aca="false">IF(AND(E1624&gt;0,B1624=10),1,0)</f>
        <v>0</v>
      </c>
      <c r="AB1624" s="0" t="str">
        <f aca="false">IF(AND(C1623=C1624,Y1623=Y1624-1),Z1623,"")</f>
        <v/>
      </c>
      <c r="AC1624" s="0" t="str">
        <f aca="false">IF(AND(C1623=C1624,Y1623=Y1624-1),AA1623,"")</f>
        <v/>
      </c>
      <c r="AD1624" s="0" t="str">
        <f aca="false">IF(Y1624=1,"",IF(AND(Z1624=1,AB1624&lt;&gt;1),1,0))</f>
        <v/>
      </c>
      <c r="AE1624" s="0" t="str">
        <f aca="false">IF(Y1624=1,"",IF(AND(AA1624=1,AC1624&lt;&gt;1),1,0))</f>
        <v/>
      </c>
      <c r="AF1624" s="45" t="str">
        <f aca="false">IF(AND(E1624&gt;0,Y1624&lt;1,NOT(AND(C1625=C1624,Y1625=Y1624+1))),INDEX(DATAS,Y1624+1),"")</f>
        <v/>
      </c>
      <c r="AG1624" s="45" t="str">
        <f aca="false">IF(AND(AA1624=1,Y1624&lt;1),IF(AND(C1625=C1624,Y1625=Y1624+1),IF(AA1625=1,"",INDEX(DATAS,Y1624+1)),INDEX(DATAS,Y1624+1)),"")</f>
        <v/>
      </c>
    </row>
    <row r="1625" customFormat="false" ht="15" hidden="false" customHeight="false" outlineLevel="0" collapsed="false">
      <c r="A1625" s="45" t="n">
        <v>46309</v>
      </c>
      <c r="B1625" s="0" t="n">
        <v>4</v>
      </c>
      <c r="C1625" s="0" t="n">
        <v>5780</v>
      </c>
      <c r="D1625" s="0" t="n">
        <v>154</v>
      </c>
      <c r="E1625" s="0" t="n">
        <v>1</v>
      </c>
      <c r="F1625" s="39" t="s">
        <v>965</v>
      </c>
      <c r="G1625" s="0" t="n">
        <v>43.7</v>
      </c>
      <c r="H1625" s="0" t="n">
        <v>41</v>
      </c>
      <c r="I1625" s="39" t="s">
        <v>109</v>
      </c>
      <c r="J1625" s="0" t="n">
        <v>119</v>
      </c>
      <c r="K1625" s="0" t="n">
        <v>63</v>
      </c>
      <c r="L1625" s="0" t="n">
        <v>35</v>
      </c>
      <c r="P1625" s="0" t="n">
        <v>3.6</v>
      </c>
      <c r="Q1625" s="0" t="n">
        <v>3.48</v>
      </c>
      <c r="R1625" s="0" t="n">
        <v>3615</v>
      </c>
      <c r="S1625" s="0" t="n">
        <v>7981</v>
      </c>
      <c r="T1625" s="0" t="n">
        <v>37.7</v>
      </c>
      <c r="U1625" s="0" t="n">
        <v>801</v>
      </c>
      <c r="V1625" s="0" t="n">
        <v>3</v>
      </c>
      <c r="W1625" s="39" t="n">
        <f aca="false">IF(I1625="Male",0,1)</f>
        <v>1</v>
      </c>
      <c r="X1625" s="39" t="n">
        <f aca="false">IF(OR(I1625="DNB",I1625="Dry DNB"),1,0)</f>
        <v>0</v>
      </c>
      <c r="Y1625" s="39" t="n">
        <f aca="false">MATCH(A1625,DATAS,0)</f>
        <v>1</v>
      </c>
      <c r="Z1625" s="39" t="n">
        <f aca="false">IF(AND(E1625&gt;0,OR(AND(B1625&gt;=1,B1625&lt;=6),B1625=10)),1,0)</f>
        <v>1</v>
      </c>
      <c r="AA1625" s="39" t="n">
        <f aca="false">IF(AND(E1625&gt;0,B1625=10),1,0)</f>
        <v>0</v>
      </c>
      <c r="AB1625" s="0" t="str">
        <f aca="false">IF(AND(C1624=C1625,Y1624=Y1625-1),Z1624,"")</f>
        <v/>
      </c>
      <c r="AC1625" s="0" t="str">
        <f aca="false">IF(AND(C1624=C1625,Y1624=Y1625-1),AA1624,"")</f>
        <v/>
      </c>
      <c r="AD1625" s="0" t="str">
        <f aca="false">IF(Y1625=1,"",IF(AND(Z1625=1,AB1625&lt;&gt;1),1,0))</f>
        <v/>
      </c>
      <c r="AE1625" s="0" t="str">
        <f aca="false">IF(Y1625=1,"",IF(AND(AA1625=1,AC1625&lt;&gt;1),1,0))</f>
        <v/>
      </c>
      <c r="AF1625" s="45" t="str">
        <f aca="false">IF(AND(E1625&gt;0,Y1625&lt;1,NOT(AND(C1626=C1625,Y1626=Y1625+1))),INDEX(DATAS,Y1625+1),"")</f>
        <v/>
      </c>
      <c r="AG1625" s="45" t="str">
        <f aca="false">IF(AND(AA1625=1,Y1625&lt;1),IF(AND(C1626=C1625,Y1626=Y1625+1),IF(AA1626=1,"",INDEX(DATAS,Y1625+1)),INDEX(DATAS,Y1625+1)),"")</f>
        <v/>
      </c>
    </row>
    <row r="1626" customFormat="false" ht="15" hidden="false" customHeight="false" outlineLevel="0" collapsed="false">
      <c r="A1626" s="45" t="n">
        <v>46309</v>
      </c>
      <c r="B1626" s="0" t="n">
        <v>4</v>
      </c>
      <c r="C1626" s="0" t="n">
        <v>5781</v>
      </c>
      <c r="D1626" s="0" t="n">
        <v>134</v>
      </c>
      <c r="E1626" s="0" t="n">
        <v>1</v>
      </c>
      <c r="F1626" s="39" t="s">
        <v>966</v>
      </c>
      <c r="G1626" s="0" t="n">
        <v>48.8</v>
      </c>
      <c r="H1626" s="0" t="n">
        <v>53</v>
      </c>
      <c r="I1626" s="39" t="s">
        <v>109</v>
      </c>
      <c r="J1626" s="0" t="n">
        <v>64</v>
      </c>
      <c r="K1626" s="0" t="n">
        <v>64</v>
      </c>
      <c r="L1626" s="0" t="n">
        <v>70</v>
      </c>
      <c r="P1626" s="0" t="n">
        <v>3.26</v>
      </c>
      <c r="Q1626" s="0" t="n">
        <v>3.06</v>
      </c>
      <c r="R1626" s="0" t="n">
        <v>4534</v>
      </c>
      <c r="S1626" s="0" t="n">
        <v>9546</v>
      </c>
      <c r="T1626" s="0" t="n">
        <v>51.05</v>
      </c>
      <c r="U1626" s="0" t="n">
        <v>800</v>
      </c>
      <c r="V1626" s="0" t="n">
        <v>1</v>
      </c>
      <c r="W1626" s="39" t="n">
        <f aca="false">IF(I1626="Male",0,1)</f>
        <v>1</v>
      </c>
      <c r="X1626" s="39" t="n">
        <f aca="false">IF(OR(I1626="DNB",I1626="Dry DNB"),1,0)</f>
        <v>0</v>
      </c>
      <c r="Y1626" s="39" t="n">
        <f aca="false">MATCH(A1626,DATAS,0)</f>
        <v>1</v>
      </c>
      <c r="Z1626" s="39" t="n">
        <f aca="false">IF(AND(E1626&gt;0,OR(AND(B1626&gt;=1,B1626&lt;=6),B1626=10)),1,0)</f>
        <v>1</v>
      </c>
      <c r="AA1626" s="39" t="n">
        <f aca="false">IF(AND(E1626&gt;0,B1626=10),1,0)</f>
        <v>0</v>
      </c>
      <c r="AB1626" s="0" t="str">
        <f aca="false">IF(AND(C1625=C1626,Y1625=Y1626-1),Z1625,"")</f>
        <v/>
      </c>
      <c r="AC1626" s="0" t="str">
        <f aca="false">IF(AND(C1625=C1626,Y1625=Y1626-1),AA1625,"")</f>
        <v/>
      </c>
      <c r="AD1626" s="0" t="str">
        <f aca="false">IF(Y1626=1,"",IF(AND(Z1626=1,AB1626&lt;&gt;1),1,0))</f>
        <v/>
      </c>
      <c r="AE1626" s="0" t="str">
        <f aca="false">IF(Y1626=1,"",IF(AND(AA1626=1,AC1626&lt;&gt;1),1,0))</f>
        <v/>
      </c>
      <c r="AF1626" s="45" t="str">
        <f aca="false">IF(AND(E1626&gt;0,Y1626&lt;1,NOT(AND(C1627=C1626,Y1627=Y1626+1))),INDEX(DATAS,Y1626+1),"")</f>
        <v/>
      </c>
      <c r="AG1626" s="45" t="str">
        <f aca="false">IF(AND(AA1626=1,Y1626&lt;1),IF(AND(C1627=C1626,Y1627=Y1626+1),IF(AA1627=1,"",INDEX(DATAS,Y1626+1)),INDEX(DATAS,Y1626+1)),"")</f>
        <v/>
      </c>
    </row>
    <row r="1627" customFormat="false" ht="15" hidden="false" customHeight="false" outlineLevel="0" collapsed="false">
      <c r="A1627" s="45" t="n">
        <v>46309</v>
      </c>
      <c r="B1627" s="0" t="n">
        <v>4</v>
      </c>
      <c r="C1627" s="0" t="n">
        <v>5782</v>
      </c>
      <c r="D1627" s="0" t="n">
        <v>153</v>
      </c>
      <c r="E1627" s="0" t="n">
        <v>1</v>
      </c>
      <c r="F1627" s="39" t="s">
        <v>966</v>
      </c>
      <c r="G1627" s="0" t="n">
        <v>51.9</v>
      </c>
      <c r="H1627" s="0" t="n">
        <v>51</v>
      </c>
      <c r="I1627" s="39" t="s">
        <v>109</v>
      </c>
      <c r="J1627" s="0" t="n">
        <v>76</v>
      </c>
      <c r="K1627" s="0" t="n">
        <v>76</v>
      </c>
      <c r="L1627" s="0" t="n">
        <v>77</v>
      </c>
      <c r="P1627" s="0" t="n">
        <v>3.63</v>
      </c>
      <c r="Q1627" s="0" t="n">
        <v>3.27</v>
      </c>
      <c r="R1627" s="0" t="n">
        <v>4398</v>
      </c>
      <c r="S1627" s="0" t="n">
        <v>9408</v>
      </c>
      <c r="T1627" s="0" t="n">
        <v>52</v>
      </c>
      <c r="U1627" s="0" t="n">
        <v>800</v>
      </c>
      <c r="V1627" s="0" t="n">
        <v>1</v>
      </c>
      <c r="W1627" s="39" t="n">
        <f aca="false">IF(I1627="Male",0,1)</f>
        <v>1</v>
      </c>
      <c r="X1627" s="39" t="n">
        <f aca="false">IF(OR(I1627="DNB",I1627="Dry DNB"),1,0)</f>
        <v>0</v>
      </c>
      <c r="Y1627" s="39" t="n">
        <f aca="false">MATCH(A1627,DATAS,0)</f>
        <v>1</v>
      </c>
      <c r="Z1627" s="39" t="n">
        <f aca="false">IF(AND(E1627&gt;0,OR(AND(B1627&gt;=1,B1627&lt;=6),B1627=10)),1,0)</f>
        <v>1</v>
      </c>
      <c r="AA1627" s="39" t="n">
        <f aca="false">IF(AND(E1627&gt;0,B1627=10),1,0)</f>
        <v>0</v>
      </c>
      <c r="AB1627" s="0" t="str">
        <f aca="false">IF(AND(C1626=C1627,Y1626=Y1627-1),Z1626,"")</f>
        <v/>
      </c>
      <c r="AC1627" s="0" t="str">
        <f aca="false">IF(AND(C1626=C1627,Y1626=Y1627-1),AA1626,"")</f>
        <v/>
      </c>
      <c r="AD1627" s="0" t="str">
        <f aca="false">IF(Y1627=1,"",IF(AND(Z1627=1,AB1627&lt;&gt;1),1,0))</f>
        <v/>
      </c>
      <c r="AE1627" s="0" t="str">
        <f aca="false">IF(Y1627=1,"",IF(AND(AA1627=1,AC1627&lt;&gt;1),1,0))</f>
        <v/>
      </c>
      <c r="AF1627" s="45" t="str">
        <f aca="false">IF(AND(E1627&gt;0,Y1627&lt;1,NOT(AND(C1628=C1627,Y1628=Y1627+1))),INDEX(DATAS,Y1627+1),"")</f>
        <v/>
      </c>
      <c r="AG1627" s="45" t="str">
        <f aca="false">IF(AND(AA1627=1,Y1627&lt;1),IF(AND(C1628=C1627,Y1628=Y1627+1),IF(AA1628=1,"",INDEX(DATAS,Y1627+1)),INDEX(DATAS,Y1627+1)),"")</f>
        <v/>
      </c>
    </row>
    <row r="1628" customFormat="false" ht="15" hidden="false" customHeight="false" outlineLevel="0" collapsed="false">
      <c r="A1628" s="45" t="n">
        <v>46309</v>
      </c>
      <c r="B1628" s="0" t="n">
        <v>4</v>
      </c>
      <c r="C1628" s="0" t="n">
        <v>5783</v>
      </c>
      <c r="D1628" s="0" t="n">
        <v>125</v>
      </c>
      <c r="E1628" s="0" t="n">
        <v>1</v>
      </c>
      <c r="F1628" s="39" t="s">
        <v>967</v>
      </c>
      <c r="G1628" s="0" t="n">
        <v>50</v>
      </c>
      <c r="H1628" s="0" t="n">
        <v>51</v>
      </c>
      <c r="I1628" s="39" t="s">
        <v>138</v>
      </c>
      <c r="J1628" s="0" t="n">
        <v>125</v>
      </c>
      <c r="K1628" s="0" t="n">
        <v>62</v>
      </c>
      <c r="P1628" s="0" t="n">
        <v>3.78</v>
      </c>
      <c r="Q1628" s="0" t="n">
        <v>3.15</v>
      </c>
      <c r="R1628" s="0" t="n">
        <v>4341</v>
      </c>
      <c r="S1628" s="0" t="n">
        <v>9165</v>
      </c>
      <c r="T1628" s="0" t="n">
        <v>43.4</v>
      </c>
      <c r="U1628" s="0" t="n">
        <v>798</v>
      </c>
      <c r="V1628" s="0" t="n">
        <v>2</v>
      </c>
      <c r="W1628" s="39" t="n">
        <f aca="false">IF(I1628="Male",0,1)</f>
        <v>1</v>
      </c>
      <c r="X1628" s="39" t="n">
        <f aca="false">IF(OR(I1628="DNB",I1628="Dry DNB"),1,0)</f>
        <v>0</v>
      </c>
      <c r="Y1628" s="39" t="n">
        <f aca="false">MATCH(A1628,DATAS,0)</f>
        <v>1</v>
      </c>
      <c r="Z1628" s="39" t="n">
        <f aca="false">IF(AND(E1628&gt;0,OR(AND(B1628&gt;=1,B1628&lt;=6),B1628=10)),1,0)</f>
        <v>1</v>
      </c>
      <c r="AA1628" s="39" t="n">
        <f aca="false">IF(AND(E1628&gt;0,B1628=10),1,0)</f>
        <v>0</v>
      </c>
      <c r="AB1628" s="0" t="str">
        <f aca="false">IF(AND(C1627=C1628,Y1627=Y1628-1),Z1627,"")</f>
        <v/>
      </c>
      <c r="AC1628" s="0" t="str">
        <f aca="false">IF(AND(C1627=C1628,Y1627=Y1628-1),AA1627,"")</f>
        <v/>
      </c>
      <c r="AD1628" s="0" t="str">
        <f aca="false">IF(Y1628=1,"",IF(AND(Z1628=1,AB1628&lt;&gt;1),1,0))</f>
        <v/>
      </c>
      <c r="AE1628" s="0" t="str">
        <f aca="false">IF(Y1628=1,"",IF(AND(AA1628=1,AC1628&lt;&gt;1),1,0))</f>
        <v/>
      </c>
      <c r="AF1628" s="45" t="str">
        <f aca="false">IF(AND(E1628&gt;0,Y1628&lt;1,NOT(AND(C1629=C1628,Y1629=Y1628+1))),INDEX(DATAS,Y1628+1),"")</f>
        <v/>
      </c>
      <c r="AG1628" s="45" t="str">
        <f aca="false">IF(AND(AA1628=1,Y1628&lt;1),IF(AND(C1629=C1628,Y1629=Y1628+1),IF(AA1629=1,"",INDEX(DATAS,Y1628+1)),INDEX(DATAS,Y1628+1)),"")</f>
        <v/>
      </c>
    </row>
    <row r="1629" customFormat="false" ht="15" hidden="false" customHeight="false" outlineLevel="0" collapsed="false">
      <c r="A1629" s="45" t="n">
        <v>46309</v>
      </c>
      <c r="B1629" s="0" t="n">
        <v>4</v>
      </c>
      <c r="C1629" s="0" t="n">
        <v>5784</v>
      </c>
      <c r="D1629" s="0" t="n">
        <v>154</v>
      </c>
      <c r="E1629" s="0" t="n">
        <v>1</v>
      </c>
      <c r="F1629" s="39" t="s">
        <v>967</v>
      </c>
      <c r="G1629" s="0" t="n">
        <v>47</v>
      </c>
      <c r="H1629" s="0" t="n">
        <v>47</v>
      </c>
      <c r="I1629" s="39" t="s">
        <v>109</v>
      </c>
      <c r="J1629" s="0" t="n">
        <v>63</v>
      </c>
      <c r="K1629" s="0" t="n">
        <v>63</v>
      </c>
      <c r="L1629" s="0" t="n">
        <v>91</v>
      </c>
      <c r="P1629" s="0" t="n">
        <v>3.47</v>
      </c>
      <c r="Q1629" s="0" t="n">
        <v>3.61</v>
      </c>
      <c r="R1629" s="0" t="n">
        <v>4813</v>
      </c>
      <c r="S1629" s="0" t="n">
        <v>9589</v>
      </c>
      <c r="T1629" s="0" t="n">
        <v>48.15</v>
      </c>
      <c r="U1629" s="0" t="n">
        <v>798</v>
      </c>
      <c r="V1629" s="0" t="n">
        <v>1</v>
      </c>
      <c r="W1629" s="39" t="n">
        <f aca="false">IF(I1629="Male",0,1)</f>
        <v>1</v>
      </c>
      <c r="X1629" s="39" t="n">
        <f aca="false">IF(OR(I1629="DNB",I1629="Dry DNB"),1,0)</f>
        <v>0</v>
      </c>
      <c r="Y1629" s="39" t="n">
        <f aca="false">MATCH(A1629,DATAS,0)</f>
        <v>1</v>
      </c>
      <c r="Z1629" s="39" t="n">
        <f aca="false">IF(AND(E1629&gt;0,OR(AND(B1629&gt;=1,B1629&lt;=6),B1629=10)),1,0)</f>
        <v>1</v>
      </c>
      <c r="AA1629" s="39" t="n">
        <f aca="false">IF(AND(E1629&gt;0,B1629=10),1,0)</f>
        <v>0</v>
      </c>
      <c r="AB1629" s="0" t="str">
        <f aca="false">IF(AND(C1628=C1629,Y1628=Y1629-1),Z1628,"")</f>
        <v/>
      </c>
      <c r="AC1629" s="0" t="str">
        <f aca="false">IF(AND(C1628=C1629,Y1628=Y1629-1),AA1628,"")</f>
        <v/>
      </c>
      <c r="AD1629" s="0" t="str">
        <f aca="false">IF(Y1629=1,"",IF(AND(Z1629=1,AB1629&lt;&gt;1),1,0))</f>
        <v/>
      </c>
      <c r="AE1629" s="0" t="str">
        <f aca="false">IF(Y1629=1,"",IF(AND(AA1629=1,AC1629&lt;&gt;1),1,0))</f>
        <v/>
      </c>
      <c r="AF1629" s="45" t="str">
        <f aca="false">IF(AND(E1629&gt;0,Y1629&lt;1,NOT(AND(C1630=C1629,Y1630=Y1629+1))),INDEX(DATAS,Y1629+1),"")</f>
        <v/>
      </c>
      <c r="AG1629" s="45" t="str">
        <f aca="false">IF(AND(AA1629=1,Y1629&lt;1),IF(AND(C1630=C1629,Y1630=Y1629+1),IF(AA1630=1,"",INDEX(DATAS,Y1629+1)),INDEX(DATAS,Y1629+1)),"")</f>
        <v/>
      </c>
    </row>
    <row r="1630" customFormat="false" ht="15" hidden="false" customHeight="false" outlineLevel="0" collapsed="false">
      <c r="A1630" s="45" t="n">
        <v>46309</v>
      </c>
      <c r="B1630" s="0" t="n">
        <v>1</v>
      </c>
      <c r="C1630" s="0" t="n">
        <v>5785</v>
      </c>
      <c r="D1630" s="0" t="n">
        <v>25</v>
      </c>
      <c r="E1630" s="0" t="n">
        <v>1</v>
      </c>
      <c r="F1630" s="39" t="s">
        <v>967</v>
      </c>
      <c r="G1630" s="0" t="n">
        <v>43.2</v>
      </c>
      <c r="H1630" s="0" t="n">
        <v>40</v>
      </c>
      <c r="I1630" s="39" t="s">
        <v>118</v>
      </c>
      <c r="J1630" s="0" t="n">
        <v>25</v>
      </c>
      <c r="R1630" s="0" t="n">
        <v>3547</v>
      </c>
      <c r="S1630" s="0" t="n">
        <v>7130</v>
      </c>
      <c r="U1630" s="0" t="n">
        <v>798</v>
      </c>
      <c r="V1630" s="0" t="n">
        <v>0</v>
      </c>
      <c r="W1630" s="39" t="n">
        <f aca="false">IF(I1630="Male",0,1)</f>
        <v>1</v>
      </c>
      <c r="X1630" s="39" t="n">
        <f aca="false">IF(OR(I1630="DNB",I1630="Dry DNB"),1,0)</f>
        <v>0</v>
      </c>
      <c r="Y1630" s="39" t="n">
        <f aca="false">MATCH(A1630,DATAS,0)</f>
        <v>1</v>
      </c>
      <c r="Z1630" s="39" t="n">
        <f aca="false">IF(AND(E1630&gt;0,OR(AND(B1630&gt;=1,B1630&lt;=6),B1630=10)),1,0)</f>
        <v>1</v>
      </c>
      <c r="AA1630" s="39" t="n">
        <f aca="false">IF(AND(E1630&gt;0,B1630=10),1,0)</f>
        <v>0</v>
      </c>
      <c r="AB1630" s="0" t="str">
        <f aca="false">IF(AND(C1629=C1630,Y1629=Y1630-1),Z1629,"")</f>
        <v/>
      </c>
      <c r="AC1630" s="0" t="str">
        <f aca="false">IF(AND(C1629=C1630,Y1629=Y1630-1),AA1629,"")</f>
        <v/>
      </c>
      <c r="AD1630" s="0" t="str">
        <f aca="false">IF(Y1630=1,"",IF(AND(Z1630=1,AB1630&lt;&gt;1),1,0))</f>
        <v/>
      </c>
      <c r="AE1630" s="0" t="str">
        <f aca="false">IF(Y1630=1,"",IF(AND(AA1630=1,AC1630&lt;&gt;1),1,0))</f>
        <v/>
      </c>
      <c r="AF1630" s="45" t="str">
        <f aca="false">IF(AND(E1630&gt;0,Y1630&lt;1,NOT(AND(C1631=C1630,Y1631=Y1630+1))),INDEX(DATAS,Y1630+1),"")</f>
        <v/>
      </c>
      <c r="AG1630" s="45" t="str">
        <f aca="false">IF(AND(AA1630=1,Y1630&lt;1),IF(AND(C1631=C1630,Y1631=Y1630+1),IF(AA1631=1,"",INDEX(DATAS,Y1630+1)),INDEX(DATAS,Y1630+1)),"")</f>
        <v/>
      </c>
    </row>
    <row r="1631" customFormat="false" ht="15" hidden="false" customHeight="false" outlineLevel="0" collapsed="false">
      <c r="A1631" s="45" t="n">
        <v>46309</v>
      </c>
      <c r="B1631" s="0" t="n">
        <v>1</v>
      </c>
      <c r="C1631" s="0" t="n">
        <v>5786</v>
      </c>
      <c r="D1631" s="0" t="n">
        <v>68</v>
      </c>
      <c r="E1631" s="0" t="n">
        <v>1</v>
      </c>
      <c r="F1631" s="39" t="s">
        <v>967</v>
      </c>
      <c r="G1631" s="0" t="n">
        <v>43.5</v>
      </c>
      <c r="H1631" s="0" t="n">
        <v>49</v>
      </c>
      <c r="I1631" s="39" t="s">
        <v>138</v>
      </c>
      <c r="J1631" s="0" t="n">
        <v>68</v>
      </c>
      <c r="K1631" s="0" t="n">
        <v>68</v>
      </c>
      <c r="P1631" s="0" t="n">
        <v>3.7</v>
      </c>
      <c r="Q1631" s="0" t="n">
        <v>3.18</v>
      </c>
      <c r="R1631" s="0" t="n">
        <v>4118</v>
      </c>
      <c r="S1631" s="0" t="n">
        <v>8278</v>
      </c>
      <c r="U1631" s="0" t="n">
        <v>798</v>
      </c>
      <c r="V1631" s="0" t="n">
        <v>1</v>
      </c>
      <c r="W1631" s="39" t="n">
        <f aca="false">IF(I1631="Male",0,1)</f>
        <v>1</v>
      </c>
      <c r="X1631" s="39" t="n">
        <f aca="false">IF(OR(I1631="DNB",I1631="Dry DNB"),1,0)</f>
        <v>0</v>
      </c>
      <c r="Y1631" s="39" t="n">
        <f aca="false">MATCH(A1631,DATAS,0)</f>
        <v>1</v>
      </c>
      <c r="Z1631" s="39" t="n">
        <f aca="false">IF(AND(E1631&gt;0,OR(AND(B1631&gt;=1,B1631&lt;=6),B1631=10)),1,0)</f>
        <v>1</v>
      </c>
      <c r="AA1631" s="39" t="n">
        <f aca="false">IF(AND(E1631&gt;0,B1631=10),1,0)</f>
        <v>0</v>
      </c>
      <c r="AB1631" s="0" t="str">
        <f aca="false">IF(AND(C1630=C1631,Y1630=Y1631-1),Z1630,"")</f>
        <v/>
      </c>
      <c r="AC1631" s="0" t="str">
        <f aca="false">IF(AND(C1630=C1631,Y1630=Y1631-1),AA1630,"")</f>
        <v/>
      </c>
      <c r="AD1631" s="0" t="str">
        <f aca="false">IF(Y1631=1,"",IF(AND(Z1631=1,AB1631&lt;&gt;1),1,0))</f>
        <v/>
      </c>
      <c r="AE1631" s="0" t="str">
        <f aca="false">IF(Y1631=1,"",IF(AND(AA1631=1,AC1631&lt;&gt;1),1,0))</f>
        <v/>
      </c>
      <c r="AF1631" s="45" t="str">
        <f aca="false">IF(AND(E1631&gt;0,Y1631&lt;1,NOT(AND(C1632=C1631,Y1632=Y1631+1))),INDEX(DATAS,Y1631+1),"")</f>
        <v/>
      </c>
      <c r="AG1631" s="45" t="str">
        <f aca="false">IF(AND(AA1631=1,Y1631&lt;1),IF(AND(C1632=C1631,Y1632=Y1631+1),IF(AA1632=1,"",INDEX(DATAS,Y1631+1)),INDEX(DATAS,Y1631+1)),"")</f>
        <v/>
      </c>
    </row>
    <row r="1632" customFormat="false" ht="15" hidden="false" customHeight="false" outlineLevel="0" collapsed="false">
      <c r="A1632" s="45" t="n">
        <v>46309</v>
      </c>
      <c r="B1632" s="0" t="n">
        <v>4</v>
      </c>
      <c r="C1632" s="0" t="n">
        <v>5787</v>
      </c>
      <c r="D1632" s="0" t="n">
        <v>211</v>
      </c>
      <c r="E1632" s="0" t="n">
        <v>1</v>
      </c>
      <c r="F1632" s="39" t="s">
        <v>967</v>
      </c>
      <c r="G1632" s="0" t="n">
        <v>27.9</v>
      </c>
      <c r="H1632" s="0" t="n">
        <v>32</v>
      </c>
      <c r="I1632" s="39" t="s">
        <v>109</v>
      </c>
      <c r="J1632" s="0" t="n">
        <v>64</v>
      </c>
      <c r="K1632" s="0" t="n">
        <v>64</v>
      </c>
      <c r="L1632" s="0" t="n">
        <v>147</v>
      </c>
      <c r="P1632" s="0" t="n">
        <v>3.21</v>
      </c>
      <c r="Q1632" s="0" t="n">
        <v>3.58</v>
      </c>
      <c r="R1632" s="0" t="n">
        <v>2193</v>
      </c>
      <c r="S1632" s="0" t="n">
        <v>5634</v>
      </c>
      <c r="T1632" s="0" t="n">
        <v>26.9</v>
      </c>
      <c r="U1632" s="0" t="n">
        <v>798</v>
      </c>
      <c r="V1632" s="0" t="n">
        <v>1</v>
      </c>
      <c r="W1632" s="39" t="n">
        <f aca="false">IF(I1632="Male",0,1)</f>
        <v>1</v>
      </c>
      <c r="X1632" s="39" t="n">
        <f aca="false">IF(OR(I1632="DNB",I1632="Dry DNB"),1,0)</f>
        <v>0</v>
      </c>
      <c r="Y1632" s="39" t="n">
        <f aca="false">MATCH(A1632,DATAS,0)</f>
        <v>1</v>
      </c>
      <c r="Z1632" s="39" t="n">
        <f aca="false">IF(AND(E1632&gt;0,OR(AND(B1632&gt;=1,B1632&lt;=6),B1632=10)),1,0)</f>
        <v>1</v>
      </c>
      <c r="AA1632" s="39" t="n">
        <f aca="false">IF(AND(E1632&gt;0,B1632=10),1,0)</f>
        <v>0</v>
      </c>
      <c r="AB1632" s="0" t="str">
        <f aca="false">IF(AND(C1631=C1632,Y1631=Y1632-1),Z1631,"")</f>
        <v/>
      </c>
      <c r="AC1632" s="0" t="str">
        <f aca="false">IF(AND(C1631=C1632,Y1631=Y1632-1),AA1631,"")</f>
        <v/>
      </c>
      <c r="AD1632" s="0" t="str">
        <f aca="false">IF(Y1632=1,"",IF(AND(Z1632=1,AB1632&lt;&gt;1),1,0))</f>
        <v/>
      </c>
      <c r="AE1632" s="0" t="str">
        <f aca="false">IF(Y1632=1,"",IF(AND(AA1632=1,AC1632&lt;&gt;1),1,0))</f>
        <v/>
      </c>
      <c r="AF1632" s="45" t="str">
        <f aca="false">IF(AND(E1632&gt;0,Y1632&lt;1,NOT(AND(C1633=C1632,Y1633=Y1632+1))),INDEX(DATAS,Y1632+1),"")</f>
        <v/>
      </c>
      <c r="AG1632" s="45" t="str">
        <f aca="false">IF(AND(AA1632=1,Y1632&lt;1),IF(AND(C1633=C1632,Y1633=Y1632+1),IF(AA1633=1,"",INDEX(DATAS,Y1632+1)),INDEX(DATAS,Y1632+1)),"")</f>
        <v/>
      </c>
    </row>
    <row r="1633" customFormat="false" ht="15" hidden="false" customHeight="false" outlineLevel="0" collapsed="false">
      <c r="A1633" s="45" t="n">
        <v>46309</v>
      </c>
      <c r="B1633" s="0" t="n">
        <v>1</v>
      </c>
      <c r="C1633" s="0" t="n">
        <v>5788</v>
      </c>
      <c r="D1633" s="0" t="n">
        <v>106</v>
      </c>
      <c r="E1633" s="0" t="n">
        <v>1</v>
      </c>
      <c r="F1633" s="39" t="s">
        <v>967</v>
      </c>
      <c r="G1633" s="0" t="n">
        <v>46.4</v>
      </c>
      <c r="H1633" s="0" t="n">
        <v>45</v>
      </c>
      <c r="I1633" s="39" t="s">
        <v>138</v>
      </c>
      <c r="J1633" s="0" t="n">
        <v>106</v>
      </c>
      <c r="K1633" s="0" t="n">
        <v>64</v>
      </c>
      <c r="P1633" s="0" t="n">
        <v>3.47</v>
      </c>
      <c r="Q1633" s="0" t="n">
        <v>2.95</v>
      </c>
      <c r="R1633" s="0" t="n">
        <v>4038</v>
      </c>
      <c r="S1633" s="0" t="n">
        <v>8160</v>
      </c>
      <c r="T1633" s="0" t="n">
        <v>45.85</v>
      </c>
      <c r="U1633" s="0" t="n">
        <v>798</v>
      </c>
      <c r="V1633" s="0" t="n">
        <v>2</v>
      </c>
      <c r="W1633" s="39" t="n">
        <f aca="false">IF(I1633="Male",0,1)</f>
        <v>1</v>
      </c>
      <c r="X1633" s="39" t="n">
        <f aca="false">IF(OR(I1633="DNB",I1633="Dry DNB"),1,0)</f>
        <v>0</v>
      </c>
      <c r="Y1633" s="39" t="n">
        <f aca="false">MATCH(A1633,DATAS,0)</f>
        <v>1</v>
      </c>
      <c r="Z1633" s="39" t="n">
        <f aca="false">IF(AND(E1633&gt;0,OR(AND(B1633&gt;=1,B1633&lt;=6),B1633=10)),1,0)</f>
        <v>1</v>
      </c>
      <c r="AA1633" s="39" t="n">
        <f aca="false">IF(AND(E1633&gt;0,B1633=10),1,0)</f>
        <v>0</v>
      </c>
      <c r="AB1633" s="0" t="str">
        <f aca="false">IF(AND(C1632=C1633,Y1632=Y1633-1),Z1632,"")</f>
        <v/>
      </c>
      <c r="AC1633" s="0" t="str">
        <f aca="false">IF(AND(C1632=C1633,Y1632=Y1633-1),AA1632,"")</f>
        <v/>
      </c>
      <c r="AD1633" s="0" t="str">
        <f aca="false">IF(Y1633=1,"",IF(AND(Z1633=1,AB1633&lt;&gt;1),1,0))</f>
        <v/>
      </c>
      <c r="AE1633" s="0" t="str">
        <f aca="false">IF(Y1633=1,"",IF(AND(AA1633=1,AC1633&lt;&gt;1),1,0))</f>
        <v/>
      </c>
      <c r="AF1633" s="45" t="str">
        <f aca="false">IF(AND(E1633&gt;0,Y1633&lt;1,NOT(AND(C1634=C1633,Y1634=Y1633+1))),INDEX(DATAS,Y1633+1),"")</f>
        <v/>
      </c>
      <c r="AG1633" s="45" t="str">
        <f aca="false">IF(AND(AA1633=1,Y1633&lt;1),IF(AND(C1634=C1633,Y1634=Y1633+1),IF(AA1634=1,"",INDEX(DATAS,Y1633+1)),INDEX(DATAS,Y1633+1)),"")</f>
        <v/>
      </c>
    </row>
    <row r="1634" customFormat="false" ht="15" hidden="false" customHeight="false" outlineLevel="0" collapsed="false">
      <c r="A1634" s="45" t="n">
        <v>46309</v>
      </c>
      <c r="B1634" s="0" t="n">
        <v>4</v>
      </c>
      <c r="C1634" s="0" t="n">
        <v>5789</v>
      </c>
      <c r="D1634" s="0" t="n">
        <v>157</v>
      </c>
      <c r="E1634" s="0" t="n">
        <v>1</v>
      </c>
      <c r="F1634" s="39" t="s">
        <v>968</v>
      </c>
      <c r="G1634" s="0" t="n">
        <v>43.2</v>
      </c>
      <c r="H1634" s="0" t="n">
        <v>43</v>
      </c>
      <c r="I1634" s="39" t="s">
        <v>109</v>
      </c>
      <c r="J1634" s="0" t="n">
        <v>101</v>
      </c>
      <c r="K1634" s="0" t="n">
        <v>73</v>
      </c>
      <c r="L1634" s="0" t="n">
        <v>56</v>
      </c>
      <c r="P1634" s="0" t="n">
        <v>3.45</v>
      </c>
      <c r="Q1634" s="0" t="n">
        <v>3.21</v>
      </c>
      <c r="R1634" s="0" t="n">
        <v>3474</v>
      </c>
      <c r="S1634" s="0" t="n">
        <v>7563</v>
      </c>
      <c r="T1634" s="0" t="n">
        <v>37.45</v>
      </c>
      <c r="U1634" s="0" t="n">
        <v>797</v>
      </c>
      <c r="V1634" s="0" t="n">
        <v>2</v>
      </c>
      <c r="W1634" s="39" t="n">
        <f aca="false">IF(I1634="Male",0,1)</f>
        <v>1</v>
      </c>
      <c r="X1634" s="39" t="n">
        <f aca="false">IF(OR(I1634="DNB",I1634="Dry DNB"),1,0)</f>
        <v>0</v>
      </c>
      <c r="Y1634" s="39" t="n">
        <f aca="false">MATCH(A1634,DATAS,0)</f>
        <v>1</v>
      </c>
      <c r="Z1634" s="39" t="n">
        <f aca="false">IF(AND(E1634&gt;0,OR(AND(B1634&gt;=1,B1634&lt;=6),B1634=10)),1,0)</f>
        <v>1</v>
      </c>
      <c r="AA1634" s="39" t="n">
        <f aca="false">IF(AND(E1634&gt;0,B1634=10),1,0)</f>
        <v>0</v>
      </c>
      <c r="AB1634" s="0" t="str">
        <f aca="false">IF(AND(C1633=C1634,Y1633=Y1634-1),Z1633,"")</f>
        <v/>
      </c>
      <c r="AC1634" s="0" t="str">
        <f aca="false">IF(AND(C1633=C1634,Y1633=Y1634-1),AA1633,"")</f>
        <v/>
      </c>
      <c r="AD1634" s="0" t="str">
        <f aca="false">IF(Y1634=1,"",IF(AND(Z1634=1,AB1634&lt;&gt;1),1,0))</f>
        <v/>
      </c>
      <c r="AE1634" s="0" t="str">
        <f aca="false">IF(Y1634=1,"",IF(AND(AA1634=1,AC1634&lt;&gt;1),1,0))</f>
        <v/>
      </c>
      <c r="AF1634" s="45" t="str">
        <f aca="false">IF(AND(E1634&gt;0,Y1634&lt;1,NOT(AND(C1635=C1634,Y1635=Y1634+1))),INDEX(DATAS,Y1634+1),"")</f>
        <v/>
      </c>
      <c r="AG1634" s="45" t="str">
        <f aca="false">IF(AND(AA1634=1,Y1634&lt;1),IF(AND(C1635=C1634,Y1635=Y1634+1),IF(AA1635=1,"",INDEX(DATAS,Y1634+1)),INDEX(DATAS,Y1634+1)),"")</f>
        <v/>
      </c>
    </row>
    <row r="1635" customFormat="false" ht="15" hidden="false" customHeight="false" outlineLevel="0" collapsed="false">
      <c r="A1635" s="45" t="n">
        <v>46309</v>
      </c>
      <c r="B1635" s="0" t="n">
        <v>10</v>
      </c>
      <c r="C1635" s="0" t="n">
        <v>5791</v>
      </c>
      <c r="D1635" s="0" t="n">
        <v>23</v>
      </c>
      <c r="E1635" s="0" t="n">
        <v>1</v>
      </c>
      <c r="F1635" s="39" t="s">
        <v>969</v>
      </c>
      <c r="I1635" s="39" t="s">
        <v>138</v>
      </c>
      <c r="J1635" s="0" t="n">
        <v>23</v>
      </c>
      <c r="K1635" s="0" t="n">
        <v>16</v>
      </c>
      <c r="U1635" s="0" t="n">
        <v>795</v>
      </c>
      <c r="V1635" s="0" t="n">
        <v>1</v>
      </c>
      <c r="W1635" s="39" t="n">
        <f aca="false">IF(I1635="Male",0,1)</f>
        <v>1</v>
      </c>
      <c r="X1635" s="39" t="n">
        <f aca="false">IF(OR(I1635="DNB",I1635="Dry DNB"),1,0)</f>
        <v>0</v>
      </c>
      <c r="Y1635" s="39" t="n">
        <f aca="false">MATCH(A1635,DATAS,0)</f>
        <v>1</v>
      </c>
      <c r="Z1635" s="39" t="n">
        <f aca="false">IF(AND(E1635&gt;0,OR(AND(B1635&gt;=1,B1635&lt;=6),B1635=10)),1,0)</f>
        <v>1</v>
      </c>
      <c r="AA1635" s="39" t="n">
        <f aca="false">IF(AND(E1635&gt;0,B1635=10),1,0)</f>
        <v>1</v>
      </c>
      <c r="AB1635" s="0" t="str">
        <f aca="false">IF(AND(C1634=C1635,Y1634=Y1635-1),Z1634,"")</f>
        <v/>
      </c>
      <c r="AC1635" s="0" t="str">
        <f aca="false">IF(AND(C1634=C1635,Y1634=Y1635-1),AA1634,"")</f>
        <v/>
      </c>
      <c r="AD1635" s="0" t="str">
        <f aca="false">IF(Y1635=1,"",IF(AND(Z1635=1,AB1635&lt;&gt;1),1,0))</f>
        <v/>
      </c>
      <c r="AE1635" s="0" t="str">
        <f aca="false">IF(Y1635=1,"",IF(AND(AA1635=1,AC1635&lt;&gt;1),1,0))</f>
        <v/>
      </c>
      <c r="AF1635" s="45" t="str">
        <f aca="false">IF(AND(E1635&gt;0,Y1635&lt;1,NOT(AND(C1636=C1635,Y1636=Y1635+1))),INDEX(DATAS,Y1635+1),"")</f>
        <v/>
      </c>
      <c r="AG1635" s="45" t="str">
        <f aca="false">IF(AND(AA1635=1,Y1635&lt;1),IF(AND(C1636=C1635,Y1636=Y1635+1),IF(AA1636=1,"",INDEX(DATAS,Y1635+1)),INDEX(DATAS,Y1635+1)),"")</f>
        <v/>
      </c>
    </row>
    <row r="1636" customFormat="false" ht="15" hidden="false" customHeight="false" outlineLevel="0" collapsed="false">
      <c r="A1636" s="45" t="n">
        <v>46309</v>
      </c>
      <c r="B1636" s="0" t="n">
        <v>1</v>
      </c>
      <c r="C1636" s="0" t="n">
        <v>5792</v>
      </c>
      <c r="D1636" s="0" t="n">
        <v>57</v>
      </c>
      <c r="E1636" s="0" t="n">
        <v>1</v>
      </c>
      <c r="F1636" s="39" t="s">
        <v>969</v>
      </c>
      <c r="G1636" s="0" t="n">
        <v>47.2</v>
      </c>
      <c r="H1636" s="0" t="n">
        <v>50</v>
      </c>
      <c r="I1636" s="39" t="s">
        <v>118</v>
      </c>
      <c r="J1636" s="0" t="n">
        <v>57</v>
      </c>
      <c r="P1636" s="0" t="n">
        <v>3.65</v>
      </c>
      <c r="Q1636" s="0" t="n">
        <v>2.93</v>
      </c>
      <c r="R1636" s="0" t="n">
        <v>4061</v>
      </c>
      <c r="S1636" s="0" t="n">
        <v>8164</v>
      </c>
      <c r="U1636" s="0" t="n">
        <v>795</v>
      </c>
      <c r="V1636" s="0" t="n">
        <v>0</v>
      </c>
      <c r="W1636" s="39" t="n">
        <f aca="false">IF(I1636="Male",0,1)</f>
        <v>1</v>
      </c>
      <c r="X1636" s="39" t="n">
        <f aca="false">IF(OR(I1636="DNB",I1636="Dry DNB"),1,0)</f>
        <v>0</v>
      </c>
      <c r="Y1636" s="39" t="n">
        <f aca="false">MATCH(A1636,DATAS,0)</f>
        <v>1</v>
      </c>
      <c r="Z1636" s="39" t="n">
        <f aca="false">IF(AND(E1636&gt;0,OR(AND(B1636&gt;=1,B1636&lt;=6),B1636=10)),1,0)</f>
        <v>1</v>
      </c>
      <c r="AA1636" s="39" t="n">
        <f aca="false">IF(AND(E1636&gt;0,B1636=10),1,0)</f>
        <v>0</v>
      </c>
      <c r="AB1636" s="0" t="str">
        <f aca="false">IF(AND(C1635=C1636,Y1635=Y1636-1),Z1635,"")</f>
        <v/>
      </c>
      <c r="AC1636" s="0" t="str">
        <f aca="false">IF(AND(C1635=C1636,Y1635=Y1636-1),AA1635,"")</f>
        <v/>
      </c>
      <c r="AD1636" s="0" t="str">
        <f aca="false">IF(Y1636=1,"",IF(AND(Z1636=1,AB1636&lt;&gt;1),1,0))</f>
        <v/>
      </c>
      <c r="AE1636" s="0" t="str">
        <f aca="false">IF(Y1636=1,"",IF(AND(AA1636=1,AC1636&lt;&gt;1),1,0))</f>
        <v/>
      </c>
      <c r="AF1636" s="45" t="str">
        <f aca="false">IF(AND(E1636&gt;0,Y1636&lt;1,NOT(AND(C1637=C1636,Y1637=Y1636+1))),INDEX(DATAS,Y1636+1),"")</f>
        <v/>
      </c>
      <c r="AG1636" s="45" t="str">
        <f aca="false">IF(AND(AA1636=1,Y1636&lt;1),IF(AND(C1637=C1636,Y1637=Y1636+1),IF(AA1637=1,"",INDEX(DATAS,Y1636+1)),INDEX(DATAS,Y1636+1)),"")</f>
        <v/>
      </c>
    </row>
    <row r="1637" customFormat="false" ht="15" hidden="false" customHeight="false" outlineLevel="0" collapsed="false">
      <c r="A1637" s="45" t="n">
        <v>46309</v>
      </c>
      <c r="B1637" s="0" t="n">
        <v>4</v>
      </c>
      <c r="C1637" s="0" t="n">
        <v>5793</v>
      </c>
      <c r="D1637" s="0" t="n">
        <v>153</v>
      </c>
      <c r="E1637" s="0" t="n">
        <v>1</v>
      </c>
      <c r="F1637" s="39" t="s">
        <v>969</v>
      </c>
      <c r="G1637" s="0" t="n">
        <v>58.1</v>
      </c>
      <c r="H1637" s="0" t="n">
        <v>59</v>
      </c>
      <c r="I1637" s="39" t="s">
        <v>146</v>
      </c>
      <c r="J1637" s="0" t="n">
        <v>153</v>
      </c>
      <c r="K1637" s="0" t="n">
        <v>62</v>
      </c>
      <c r="P1637" s="0" t="n">
        <v>3.08</v>
      </c>
      <c r="Q1637" s="0" t="n">
        <v>2.85</v>
      </c>
      <c r="R1637" s="0" t="n">
        <v>5491</v>
      </c>
      <c r="S1637" s="0" t="n">
        <v>11742</v>
      </c>
      <c r="T1637" s="0" t="n">
        <v>53.65</v>
      </c>
      <c r="U1637" s="0" t="n">
        <v>795</v>
      </c>
      <c r="V1637" s="0" t="n">
        <v>4</v>
      </c>
      <c r="W1637" s="39" t="n">
        <f aca="false">IF(I1637="Male",0,1)</f>
        <v>1</v>
      </c>
      <c r="X1637" s="39" t="n">
        <f aca="false">IF(OR(I1637="DNB",I1637="Dry DNB"),1,0)</f>
        <v>0</v>
      </c>
      <c r="Y1637" s="39" t="n">
        <f aca="false">MATCH(A1637,DATAS,0)</f>
        <v>1</v>
      </c>
      <c r="Z1637" s="39" t="n">
        <f aca="false">IF(AND(E1637&gt;0,OR(AND(B1637&gt;=1,B1637&lt;=6),B1637=10)),1,0)</f>
        <v>1</v>
      </c>
      <c r="AA1637" s="39" t="n">
        <f aca="false">IF(AND(E1637&gt;0,B1637=10),1,0)</f>
        <v>0</v>
      </c>
      <c r="AB1637" s="0" t="str">
        <f aca="false">IF(AND(C1636=C1637,Y1636=Y1637-1),Z1636,"")</f>
        <v/>
      </c>
      <c r="AC1637" s="0" t="str">
        <f aca="false">IF(AND(C1636=C1637,Y1636=Y1637-1),AA1636,"")</f>
        <v/>
      </c>
      <c r="AD1637" s="0" t="str">
        <f aca="false">IF(Y1637=1,"",IF(AND(Z1637=1,AB1637&lt;&gt;1),1,0))</f>
        <v/>
      </c>
      <c r="AE1637" s="0" t="str">
        <f aca="false">IF(Y1637=1,"",IF(AND(AA1637=1,AC1637&lt;&gt;1),1,0))</f>
        <v/>
      </c>
      <c r="AF1637" s="45" t="str">
        <f aca="false">IF(AND(E1637&gt;0,Y1637&lt;1,NOT(AND(C1638=C1637,Y1638=Y1637+1))),INDEX(DATAS,Y1637+1),"")</f>
        <v/>
      </c>
      <c r="AG1637" s="45" t="str">
        <f aca="false">IF(AND(AA1637=1,Y1637&lt;1),IF(AND(C1638=C1637,Y1638=Y1637+1),IF(AA1638=1,"",INDEX(DATAS,Y1637+1)),INDEX(DATAS,Y1637+1)),"")</f>
        <v/>
      </c>
    </row>
    <row r="1638" customFormat="false" ht="15" hidden="false" customHeight="false" outlineLevel="0" collapsed="false">
      <c r="A1638" s="45" t="n">
        <v>46309</v>
      </c>
      <c r="B1638" s="0" t="n">
        <v>4</v>
      </c>
      <c r="C1638" s="0" t="n">
        <v>5794</v>
      </c>
      <c r="D1638" s="0" t="n">
        <v>127</v>
      </c>
      <c r="E1638" s="0" t="n">
        <v>1</v>
      </c>
      <c r="F1638" s="39" t="s">
        <v>969</v>
      </c>
      <c r="G1638" s="0" t="n">
        <v>50.3</v>
      </c>
      <c r="H1638" s="0" t="n">
        <v>52</v>
      </c>
      <c r="I1638" s="39" t="s">
        <v>146</v>
      </c>
      <c r="J1638" s="0" t="n">
        <v>127</v>
      </c>
      <c r="K1638" s="0" t="n">
        <v>64</v>
      </c>
      <c r="P1638" s="0" t="n">
        <v>3.66</v>
      </c>
      <c r="Q1638" s="0" t="n">
        <v>2.94</v>
      </c>
      <c r="R1638" s="0" t="n">
        <v>4656</v>
      </c>
      <c r="S1638" s="0" t="n">
        <v>9706</v>
      </c>
      <c r="T1638" s="0" t="n">
        <v>50.3</v>
      </c>
      <c r="U1638" s="0" t="n">
        <v>795</v>
      </c>
      <c r="V1638" s="0" t="n">
        <v>2</v>
      </c>
      <c r="W1638" s="39" t="n">
        <f aca="false">IF(I1638="Male",0,1)</f>
        <v>1</v>
      </c>
      <c r="X1638" s="39" t="n">
        <f aca="false">IF(OR(I1638="DNB",I1638="Dry DNB"),1,0)</f>
        <v>0</v>
      </c>
      <c r="Y1638" s="39" t="n">
        <f aca="false">MATCH(A1638,DATAS,0)</f>
        <v>1</v>
      </c>
      <c r="Z1638" s="39" t="n">
        <f aca="false">IF(AND(E1638&gt;0,OR(AND(B1638&gt;=1,B1638&lt;=6),B1638=10)),1,0)</f>
        <v>1</v>
      </c>
      <c r="AA1638" s="39" t="n">
        <f aca="false">IF(AND(E1638&gt;0,B1638=10),1,0)</f>
        <v>0</v>
      </c>
      <c r="AB1638" s="0" t="str">
        <f aca="false">IF(AND(C1637=C1638,Y1637=Y1638-1),Z1637,"")</f>
        <v/>
      </c>
      <c r="AC1638" s="0" t="str">
        <f aca="false">IF(AND(C1637=C1638,Y1637=Y1638-1),AA1637,"")</f>
        <v/>
      </c>
      <c r="AD1638" s="0" t="str">
        <f aca="false">IF(Y1638=1,"",IF(AND(Z1638=1,AB1638&lt;&gt;1),1,0))</f>
        <v/>
      </c>
      <c r="AE1638" s="0" t="str">
        <f aca="false">IF(Y1638=1,"",IF(AND(AA1638=1,AC1638&lt;&gt;1),1,0))</f>
        <v/>
      </c>
      <c r="AF1638" s="45" t="str">
        <f aca="false">IF(AND(E1638&gt;0,Y1638&lt;1,NOT(AND(C1639=C1638,Y1639=Y1638+1))),INDEX(DATAS,Y1638+1),"")</f>
        <v/>
      </c>
      <c r="AG1638" s="45" t="str">
        <f aca="false">IF(AND(AA1638=1,Y1638&lt;1),IF(AND(C1639=C1638,Y1639=Y1638+1),IF(AA1639=1,"",INDEX(DATAS,Y1638+1)),INDEX(DATAS,Y1638+1)),"")</f>
        <v/>
      </c>
    </row>
    <row r="1639" customFormat="false" ht="15" hidden="false" customHeight="false" outlineLevel="0" collapsed="false">
      <c r="A1639" s="45" t="n">
        <v>46309</v>
      </c>
      <c r="B1639" s="0" t="n">
        <v>4</v>
      </c>
      <c r="C1639" s="0" t="n">
        <v>5795</v>
      </c>
      <c r="D1639" s="0" t="n">
        <v>133</v>
      </c>
      <c r="E1639" s="0" t="n">
        <v>1</v>
      </c>
      <c r="F1639" s="39" t="s">
        <v>969</v>
      </c>
      <c r="G1639" s="0" t="n">
        <v>55.9</v>
      </c>
      <c r="H1639" s="0" t="n">
        <v>54</v>
      </c>
      <c r="I1639" s="39" t="s">
        <v>109</v>
      </c>
      <c r="J1639" s="0" t="n">
        <v>63</v>
      </c>
      <c r="K1639" s="0" t="n">
        <v>63</v>
      </c>
      <c r="L1639" s="0" t="n">
        <v>70</v>
      </c>
      <c r="P1639" s="0" t="n">
        <v>3.77</v>
      </c>
      <c r="Q1639" s="0" t="n">
        <v>2.89</v>
      </c>
      <c r="R1639" s="0" t="n">
        <v>4848</v>
      </c>
      <c r="S1639" s="0" t="n">
        <v>10251</v>
      </c>
      <c r="T1639" s="0" t="n">
        <v>49.85</v>
      </c>
      <c r="U1639" s="0" t="n">
        <v>795</v>
      </c>
      <c r="V1639" s="0" t="n">
        <v>1</v>
      </c>
      <c r="W1639" s="39" t="n">
        <f aca="false">IF(I1639="Male",0,1)</f>
        <v>1</v>
      </c>
      <c r="X1639" s="39" t="n">
        <f aca="false">IF(OR(I1639="DNB",I1639="Dry DNB"),1,0)</f>
        <v>0</v>
      </c>
      <c r="Y1639" s="39" t="n">
        <f aca="false">MATCH(A1639,DATAS,0)</f>
        <v>1</v>
      </c>
      <c r="Z1639" s="39" t="n">
        <f aca="false">IF(AND(E1639&gt;0,OR(AND(B1639&gt;=1,B1639&lt;=6),B1639=10)),1,0)</f>
        <v>1</v>
      </c>
      <c r="AA1639" s="39" t="n">
        <f aca="false">IF(AND(E1639&gt;0,B1639=10),1,0)</f>
        <v>0</v>
      </c>
      <c r="AB1639" s="0" t="str">
        <f aca="false">IF(AND(C1638=C1639,Y1638=Y1639-1),Z1638,"")</f>
        <v/>
      </c>
      <c r="AC1639" s="0" t="str">
        <f aca="false">IF(AND(C1638=C1639,Y1638=Y1639-1),AA1638,"")</f>
        <v/>
      </c>
      <c r="AD1639" s="0" t="str">
        <f aca="false">IF(Y1639=1,"",IF(AND(Z1639=1,AB1639&lt;&gt;1),1,0))</f>
        <v/>
      </c>
      <c r="AE1639" s="0" t="str">
        <f aca="false">IF(Y1639=1,"",IF(AND(AA1639=1,AC1639&lt;&gt;1),1,0))</f>
        <v/>
      </c>
      <c r="AF1639" s="45" t="str">
        <f aca="false">IF(AND(E1639&gt;0,Y1639&lt;1,NOT(AND(C1640=C1639,Y1640=Y1639+1))),INDEX(DATAS,Y1639+1),"")</f>
        <v/>
      </c>
      <c r="AG1639" s="45" t="str">
        <f aca="false">IF(AND(AA1639=1,Y1639&lt;1),IF(AND(C1640=C1639,Y1640=Y1639+1),IF(AA1640=1,"",INDEX(DATAS,Y1639+1)),INDEX(DATAS,Y1639+1)),"")</f>
        <v/>
      </c>
    </row>
    <row r="1640" customFormat="false" ht="15" hidden="false" customHeight="false" outlineLevel="0" collapsed="false">
      <c r="A1640" s="45" t="n">
        <v>46309</v>
      </c>
      <c r="B1640" s="0" t="n">
        <v>4</v>
      </c>
      <c r="C1640" s="0" t="n">
        <v>5796</v>
      </c>
      <c r="D1640" s="0" t="n">
        <v>118</v>
      </c>
      <c r="E1640" s="0" t="n">
        <v>1</v>
      </c>
      <c r="F1640" s="39" t="s">
        <v>969</v>
      </c>
      <c r="G1640" s="0" t="n">
        <v>49</v>
      </c>
      <c r="H1640" s="0" t="n">
        <v>48</v>
      </c>
      <c r="I1640" s="39" t="s">
        <v>138</v>
      </c>
      <c r="J1640" s="0" t="n">
        <v>118</v>
      </c>
      <c r="K1640" s="0" t="n">
        <v>69</v>
      </c>
      <c r="P1640" s="0" t="n">
        <v>4.24</v>
      </c>
      <c r="Q1640" s="0" t="n">
        <v>3.28</v>
      </c>
      <c r="R1640" s="0" t="n">
        <v>4369</v>
      </c>
      <c r="S1640" s="0" t="n">
        <v>9015</v>
      </c>
      <c r="T1640" s="0" t="n">
        <v>49.5</v>
      </c>
      <c r="U1640" s="0" t="n">
        <v>795</v>
      </c>
      <c r="V1640" s="0" t="n">
        <v>2</v>
      </c>
      <c r="W1640" s="39" t="n">
        <f aca="false">IF(I1640="Male",0,1)</f>
        <v>1</v>
      </c>
      <c r="X1640" s="39" t="n">
        <f aca="false">IF(OR(I1640="DNB",I1640="Dry DNB"),1,0)</f>
        <v>0</v>
      </c>
      <c r="Y1640" s="39" t="n">
        <f aca="false">MATCH(A1640,DATAS,0)</f>
        <v>1</v>
      </c>
      <c r="Z1640" s="39" t="n">
        <f aca="false">IF(AND(E1640&gt;0,OR(AND(B1640&gt;=1,B1640&lt;=6),B1640=10)),1,0)</f>
        <v>1</v>
      </c>
      <c r="AA1640" s="39" t="n">
        <f aca="false">IF(AND(E1640&gt;0,B1640=10),1,0)</f>
        <v>0</v>
      </c>
      <c r="AB1640" s="0" t="str">
        <f aca="false">IF(AND(C1639=C1640,Y1639=Y1640-1),Z1639,"")</f>
        <v/>
      </c>
      <c r="AC1640" s="0" t="str">
        <f aca="false">IF(AND(C1639=C1640,Y1639=Y1640-1),AA1639,"")</f>
        <v/>
      </c>
      <c r="AD1640" s="0" t="str">
        <f aca="false">IF(Y1640=1,"",IF(AND(Z1640=1,AB1640&lt;&gt;1),1,0))</f>
        <v/>
      </c>
      <c r="AE1640" s="0" t="str">
        <f aca="false">IF(Y1640=1,"",IF(AND(AA1640=1,AC1640&lt;&gt;1),1,0))</f>
        <v/>
      </c>
      <c r="AF1640" s="45" t="str">
        <f aca="false">IF(AND(E1640&gt;0,Y1640&lt;1,NOT(AND(C1641=C1640,Y1641=Y1640+1))),INDEX(DATAS,Y1640+1),"")</f>
        <v/>
      </c>
      <c r="AG1640" s="45" t="str">
        <f aca="false">IF(AND(AA1640=1,Y1640&lt;1),IF(AND(C1641=C1640,Y1641=Y1640+1),IF(AA1641=1,"",INDEX(DATAS,Y1640+1)),INDEX(DATAS,Y1640+1)),"")</f>
        <v/>
      </c>
    </row>
    <row r="1641" customFormat="false" ht="15" hidden="false" customHeight="false" outlineLevel="0" collapsed="false">
      <c r="A1641" s="45" t="n">
        <v>46309</v>
      </c>
      <c r="B1641" s="0" t="n">
        <v>4</v>
      </c>
      <c r="C1641" s="0" t="n">
        <v>5798</v>
      </c>
      <c r="D1641" s="0" t="n">
        <v>150</v>
      </c>
      <c r="E1641" s="0" t="n">
        <v>1</v>
      </c>
      <c r="F1641" s="39" t="s">
        <v>969</v>
      </c>
      <c r="G1641" s="0" t="n">
        <v>57.9</v>
      </c>
      <c r="H1641" s="0" t="n">
        <v>54</v>
      </c>
      <c r="I1641" s="39" t="s">
        <v>138</v>
      </c>
      <c r="J1641" s="0" t="n">
        <v>150</v>
      </c>
      <c r="K1641" s="0" t="n">
        <v>66</v>
      </c>
      <c r="P1641" s="0" t="n">
        <v>3.69</v>
      </c>
      <c r="Q1641" s="0" t="n">
        <v>2.94</v>
      </c>
      <c r="R1641" s="0" t="n">
        <v>4869</v>
      </c>
      <c r="S1641" s="0" t="n">
        <v>10447</v>
      </c>
      <c r="T1641" s="0" t="n">
        <v>51.4</v>
      </c>
      <c r="U1641" s="0" t="n">
        <v>795</v>
      </c>
      <c r="V1641" s="0" t="n">
        <v>3</v>
      </c>
      <c r="W1641" s="39" t="n">
        <f aca="false">IF(I1641="Male",0,1)</f>
        <v>1</v>
      </c>
      <c r="X1641" s="39" t="n">
        <f aca="false">IF(OR(I1641="DNB",I1641="Dry DNB"),1,0)</f>
        <v>0</v>
      </c>
      <c r="Y1641" s="39" t="n">
        <f aca="false">MATCH(A1641,DATAS,0)</f>
        <v>1</v>
      </c>
      <c r="Z1641" s="39" t="n">
        <f aca="false">IF(AND(E1641&gt;0,OR(AND(B1641&gt;=1,B1641&lt;=6),B1641=10)),1,0)</f>
        <v>1</v>
      </c>
      <c r="AA1641" s="39" t="n">
        <f aca="false">IF(AND(E1641&gt;0,B1641=10),1,0)</f>
        <v>0</v>
      </c>
      <c r="AB1641" s="0" t="str">
        <f aca="false">IF(AND(C1640=C1641,Y1640=Y1641-1),Z1640,"")</f>
        <v/>
      </c>
      <c r="AC1641" s="0" t="str">
        <f aca="false">IF(AND(C1640=C1641,Y1640=Y1641-1),AA1640,"")</f>
        <v/>
      </c>
      <c r="AD1641" s="0" t="str">
        <f aca="false">IF(Y1641=1,"",IF(AND(Z1641=1,AB1641&lt;&gt;1),1,0))</f>
        <v/>
      </c>
      <c r="AE1641" s="0" t="str">
        <f aca="false">IF(Y1641=1,"",IF(AND(AA1641=1,AC1641&lt;&gt;1),1,0))</f>
        <v/>
      </c>
      <c r="AF1641" s="45" t="str">
        <f aca="false">IF(AND(E1641&gt;0,Y1641&lt;1,NOT(AND(C1642=C1641,Y1642=Y1641+1))),INDEX(DATAS,Y1641+1),"")</f>
        <v/>
      </c>
      <c r="AG1641" s="45" t="str">
        <f aca="false">IF(AND(AA1641=1,Y1641&lt;1),IF(AND(C1642=C1641,Y1642=Y1641+1),IF(AA1642=1,"",INDEX(DATAS,Y1641+1)),INDEX(DATAS,Y1641+1)),"")</f>
        <v/>
      </c>
    </row>
    <row r="1642" customFormat="false" ht="15" hidden="false" customHeight="false" outlineLevel="0" collapsed="false">
      <c r="A1642" s="45" t="n">
        <v>46309</v>
      </c>
      <c r="B1642" s="0" t="n">
        <v>1</v>
      </c>
      <c r="C1642" s="0" t="n">
        <v>5799</v>
      </c>
      <c r="D1642" s="0" t="n">
        <v>103</v>
      </c>
      <c r="E1642" s="0" t="n">
        <v>1</v>
      </c>
      <c r="F1642" s="39" t="s">
        <v>969</v>
      </c>
      <c r="G1642" s="0" t="n">
        <v>51.9</v>
      </c>
      <c r="H1642" s="0" t="n">
        <v>51</v>
      </c>
      <c r="I1642" s="39" t="s">
        <v>146</v>
      </c>
      <c r="J1642" s="0" t="n">
        <v>103</v>
      </c>
      <c r="K1642" s="0" t="n">
        <v>68</v>
      </c>
      <c r="P1642" s="0" t="n">
        <v>3.13</v>
      </c>
      <c r="Q1642" s="0" t="n">
        <v>2.84</v>
      </c>
      <c r="R1642" s="0" t="n">
        <v>4587</v>
      </c>
      <c r="S1642" s="0" t="n">
        <v>9249</v>
      </c>
      <c r="T1642" s="0" t="n">
        <v>49.75</v>
      </c>
      <c r="U1642" s="0" t="n">
        <v>795</v>
      </c>
      <c r="V1642" s="0" t="n">
        <v>1</v>
      </c>
      <c r="W1642" s="39" t="n">
        <f aca="false">IF(I1642="Male",0,1)</f>
        <v>1</v>
      </c>
      <c r="X1642" s="39" t="n">
        <f aca="false">IF(OR(I1642="DNB",I1642="Dry DNB"),1,0)</f>
        <v>0</v>
      </c>
      <c r="Y1642" s="39" t="n">
        <f aca="false">MATCH(A1642,DATAS,0)</f>
        <v>1</v>
      </c>
      <c r="Z1642" s="39" t="n">
        <f aca="false">IF(AND(E1642&gt;0,OR(AND(B1642&gt;=1,B1642&lt;=6),B1642=10)),1,0)</f>
        <v>1</v>
      </c>
      <c r="AA1642" s="39" t="n">
        <f aca="false">IF(AND(E1642&gt;0,B1642=10),1,0)</f>
        <v>0</v>
      </c>
      <c r="AB1642" s="0" t="str">
        <f aca="false">IF(AND(C1641=C1642,Y1641=Y1642-1),Z1641,"")</f>
        <v/>
      </c>
      <c r="AC1642" s="0" t="str">
        <f aca="false">IF(AND(C1641=C1642,Y1641=Y1642-1),AA1641,"")</f>
        <v/>
      </c>
      <c r="AD1642" s="0" t="str">
        <f aca="false">IF(Y1642=1,"",IF(AND(Z1642=1,AB1642&lt;&gt;1),1,0))</f>
        <v/>
      </c>
      <c r="AE1642" s="0" t="str">
        <f aca="false">IF(Y1642=1,"",IF(AND(AA1642=1,AC1642&lt;&gt;1),1,0))</f>
        <v/>
      </c>
      <c r="AF1642" s="45" t="str">
        <f aca="false">IF(AND(E1642&gt;0,Y1642&lt;1,NOT(AND(C1643=C1642,Y1643=Y1642+1))),INDEX(DATAS,Y1642+1),"")</f>
        <v/>
      </c>
      <c r="AG1642" s="45" t="str">
        <f aca="false">IF(AND(AA1642=1,Y1642&lt;1),IF(AND(C1643=C1642,Y1643=Y1642+1),IF(AA1643=1,"",INDEX(DATAS,Y1642+1)),INDEX(DATAS,Y1642+1)),"")</f>
        <v/>
      </c>
    </row>
    <row r="1643" customFormat="false" ht="15" hidden="false" customHeight="false" outlineLevel="0" collapsed="false">
      <c r="A1643" s="45" t="n">
        <v>46309</v>
      </c>
      <c r="B1643" s="0" t="n">
        <v>4</v>
      </c>
      <c r="C1643" s="0" t="n">
        <v>5800</v>
      </c>
      <c r="D1643" s="0" t="n">
        <v>141</v>
      </c>
      <c r="E1643" s="0" t="n">
        <v>1</v>
      </c>
      <c r="F1643" s="39" t="s">
        <v>969</v>
      </c>
      <c r="G1643" s="0" t="n">
        <v>53.2</v>
      </c>
      <c r="H1643" s="0" t="n">
        <v>54</v>
      </c>
      <c r="I1643" s="39" t="s">
        <v>146</v>
      </c>
      <c r="J1643" s="0" t="n">
        <v>141</v>
      </c>
      <c r="K1643" s="0" t="n">
        <v>64</v>
      </c>
      <c r="P1643" s="0" t="n">
        <v>3.39</v>
      </c>
      <c r="Q1643" s="0" t="n">
        <v>3.27</v>
      </c>
      <c r="R1643" s="0" t="n">
        <v>5078</v>
      </c>
      <c r="S1643" s="0" t="n">
        <v>10676</v>
      </c>
      <c r="T1643" s="0" t="n">
        <v>54.3</v>
      </c>
      <c r="U1643" s="0" t="n">
        <v>795</v>
      </c>
      <c r="V1643" s="0" t="n">
        <v>2</v>
      </c>
      <c r="W1643" s="39" t="n">
        <f aca="false">IF(I1643="Male",0,1)</f>
        <v>1</v>
      </c>
      <c r="X1643" s="39" t="n">
        <f aca="false">IF(OR(I1643="DNB",I1643="Dry DNB"),1,0)</f>
        <v>0</v>
      </c>
      <c r="Y1643" s="39" t="n">
        <f aca="false">MATCH(A1643,DATAS,0)</f>
        <v>1</v>
      </c>
      <c r="Z1643" s="39" t="n">
        <f aca="false">IF(AND(E1643&gt;0,OR(AND(B1643&gt;=1,B1643&lt;=6),B1643=10)),1,0)</f>
        <v>1</v>
      </c>
      <c r="AA1643" s="39" t="n">
        <f aca="false">IF(AND(E1643&gt;0,B1643=10),1,0)</f>
        <v>0</v>
      </c>
      <c r="AB1643" s="0" t="str">
        <f aca="false">IF(AND(C1642=C1643,Y1642=Y1643-1),Z1642,"")</f>
        <v/>
      </c>
      <c r="AC1643" s="0" t="str">
        <f aca="false">IF(AND(C1642=C1643,Y1642=Y1643-1),AA1642,"")</f>
        <v/>
      </c>
      <c r="AD1643" s="0" t="str">
        <f aca="false">IF(Y1643=1,"",IF(AND(Z1643=1,AB1643&lt;&gt;1),1,0))</f>
        <v/>
      </c>
      <c r="AE1643" s="0" t="str">
        <f aca="false">IF(Y1643=1,"",IF(AND(AA1643=1,AC1643&lt;&gt;1),1,0))</f>
        <v/>
      </c>
      <c r="AF1643" s="45" t="str">
        <f aca="false">IF(AND(E1643&gt;0,Y1643&lt;1,NOT(AND(C1644=C1643,Y1644=Y1643+1))),INDEX(DATAS,Y1643+1),"")</f>
        <v/>
      </c>
      <c r="AG1643" s="45" t="str">
        <f aca="false">IF(AND(AA1643=1,Y1643&lt;1),IF(AND(C1644=C1643,Y1644=Y1643+1),IF(AA1644=1,"",INDEX(DATAS,Y1643+1)),INDEX(DATAS,Y1643+1)),"")</f>
        <v/>
      </c>
    </row>
    <row r="1644" customFormat="false" ht="15" hidden="false" customHeight="false" outlineLevel="0" collapsed="false">
      <c r="A1644" s="45" t="n">
        <v>46309</v>
      </c>
      <c r="B1644" s="0" t="n">
        <v>4</v>
      </c>
      <c r="C1644" s="0" t="n">
        <v>5803</v>
      </c>
      <c r="D1644" s="0" t="n">
        <v>120</v>
      </c>
      <c r="E1644" s="0" t="n">
        <v>1</v>
      </c>
      <c r="F1644" s="39" t="s">
        <v>970</v>
      </c>
      <c r="G1644" s="0" t="n">
        <v>58.1</v>
      </c>
      <c r="H1644" s="0" t="n">
        <v>56</v>
      </c>
      <c r="I1644" s="39" t="s">
        <v>138</v>
      </c>
      <c r="J1644" s="0" t="n">
        <v>120</v>
      </c>
      <c r="K1644" s="0" t="n">
        <v>64</v>
      </c>
      <c r="P1644" s="0" t="n">
        <v>2.98</v>
      </c>
      <c r="Q1644" s="0" t="n">
        <v>2.9</v>
      </c>
      <c r="R1644" s="0" t="n">
        <v>4977</v>
      </c>
      <c r="S1644" s="0" t="n">
        <v>10297</v>
      </c>
      <c r="T1644" s="0" t="n">
        <v>54.05</v>
      </c>
      <c r="U1644" s="0" t="n">
        <v>794</v>
      </c>
      <c r="V1644" s="0" t="n">
        <v>3</v>
      </c>
      <c r="W1644" s="39" t="n">
        <f aca="false">IF(I1644="Male",0,1)</f>
        <v>1</v>
      </c>
      <c r="X1644" s="39" t="n">
        <f aca="false">IF(OR(I1644="DNB",I1644="Dry DNB"),1,0)</f>
        <v>0</v>
      </c>
      <c r="Y1644" s="39" t="n">
        <f aca="false">MATCH(A1644,DATAS,0)</f>
        <v>1</v>
      </c>
      <c r="Z1644" s="39" t="n">
        <f aca="false">IF(AND(E1644&gt;0,OR(AND(B1644&gt;=1,B1644&lt;=6),B1644=10)),1,0)</f>
        <v>1</v>
      </c>
      <c r="AA1644" s="39" t="n">
        <f aca="false">IF(AND(E1644&gt;0,B1644=10),1,0)</f>
        <v>0</v>
      </c>
      <c r="AB1644" s="0" t="str">
        <f aca="false">IF(AND(C1643=C1644,Y1643=Y1644-1),Z1643,"")</f>
        <v/>
      </c>
      <c r="AC1644" s="0" t="str">
        <f aca="false">IF(AND(C1643=C1644,Y1643=Y1644-1),AA1643,"")</f>
        <v/>
      </c>
      <c r="AD1644" s="0" t="str">
        <f aca="false">IF(Y1644=1,"",IF(AND(Z1644=1,AB1644&lt;&gt;1),1,0))</f>
        <v/>
      </c>
      <c r="AE1644" s="0" t="str">
        <f aca="false">IF(Y1644=1,"",IF(AND(AA1644=1,AC1644&lt;&gt;1),1,0))</f>
        <v/>
      </c>
      <c r="AF1644" s="45" t="str">
        <f aca="false">IF(AND(E1644&gt;0,Y1644&lt;1,NOT(AND(C1645=C1644,Y1645=Y1644+1))),INDEX(DATAS,Y1644+1),"")</f>
        <v/>
      </c>
      <c r="AG1644" s="45" t="str">
        <f aca="false">IF(AND(AA1644=1,Y1644&lt;1),IF(AND(C1645=C1644,Y1645=Y1644+1),IF(AA1645=1,"",INDEX(DATAS,Y1644+1)),INDEX(DATAS,Y1644+1)),"")</f>
        <v/>
      </c>
    </row>
    <row r="1645" customFormat="false" ht="15" hidden="false" customHeight="false" outlineLevel="0" collapsed="false">
      <c r="A1645" s="45" t="n">
        <v>46309</v>
      </c>
      <c r="B1645" s="0" t="n">
        <v>4</v>
      </c>
      <c r="C1645" s="0" t="n">
        <v>5804</v>
      </c>
      <c r="D1645" s="0" t="n">
        <v>139</v>
      </c>
      <c r="E1645" s="0" t="n">
        <v>1</v>
      </c>
      <c r="F1645" s="39" t="s">
        <v>971</v>
      </c>
      <c r="G1645" s="0" t="n">
        <v>44.5</v>
      </c>
      <c r="H1645" s="0" t="n">
        <v>42</v>
      </c>
      <c r="I1645" s="39" t="s">
        <v>109</v>
      </c>
      <c r="J1645" s="0" t="n">
        <v>92</v>
      </c>
      <c r="K1645" s="0" t="n">
        <v>69</v>
      </c>
      <c r="L1645" s="0" t="n">
        <v>47</v>
      </c>
      <c r="P1645" s="0" t="n">
        <v>4.43</v>
      </c>
      <c r="Q1645" s="0" t="n">
        <v>3.2</v>
      </c>
      <c r="R1645" s="0" t="n">
        <v>4143</v>
      </c>
      <c r="S1645" s="0" t="n">
        <v>8782</v>
      </c>
      <c r="T1645" s="0" t="n">
        <v>43.75</v>
      </c>
      <c r="U1645" s="0" t="n">
        <v>793</v>
      </c>
      <c r="V1645" s="0" t="n">
        <v>2</v>
      </c>
      <c r="W1645" s="39" t="n">
        <f aca="false">IF(I1645="Male",0,1)</f>
        <v>1</v>
      </c>
      <c r="X1645" s="39" t="n">
        <f aca="false">IF(OR(I1645="DNB",I1645="Dry DNB"),1,0)</f>
        <v>0</v>
      </c>
      <c r="Y1645" s="39" t="n">
        <f aca="false">MATCH(A1645,DATAS,0)</f>
        <v>1</v>
      </c>
      <c r="Z1645" s="39" t="n">
        <f aca="false">IF(AND(E1645&gt;0,OR(AND(B1645&gt;=1,B1645&lt;=6),B1645=10)),1,0)</f>
        <v>1</v>
      </c>
      <c r="AA1645" s="39" t="n">
        <f aca="false">IF(AND(E1645&gt;0,B1645=10),1,0)</f>
        <v>0</v>
      </c>
      <c r="AB1645" s="0" t="str">
        <f aca="false">IF(AND(C1644=C1645,Y1644=Y1645-1),Z1644,"")</f>
        <v/>
      </c>
      <c r="AC1645" s="0" t="str">
        <f aca="false">IF(AND(C1644=C1645,Y1644=Y1645-1),AA1644,"")</f>
        <v/>
      </c>
      <c r="AD1645" s="0" t="str">
        <f aca="false">IF(Y1645=1,"",IF(AND(Z1645=1,AB1645&lt;&gt;1),1,0))</f>
        <v/>
      </c>
      <c r="AE1645" s="0" t="str">
        <f aca="false">IF(Y1645=1,"",IF(AND(AA1645=1,AC1645&lt;&gt;1),1,0))</f>
        <v/>
      </c>
      <c r="AF1645" s="45" t="str">
        <f aca="false">IF(AND(E1645&gt;0,Y1645&lt;1,NOT(AND(C1646=C1645,Y1646=Y1645+1))),INDEX(DATAS,Y1645+1),"")</f>
        <v/>
      </c>
      <c r="AG1645" s="45" t="str">
        <f aca="false">IF(AND(AA1645=1,Y1645&lt;1),IF(AND(C1646=C1645,Y1646=Y1645+1),IF(AA1646=1,"",INDEX(DATAS,Y1645+1)),INDEX(DATAS,Y1645+1)),"")</f>
        <v/>
      </c>
    </row>
    <row r="1646" customFormat="false" ht="15" hidden="false" customHeight="false" outlineLevel="0" collapsed="false">
      <c r="A1646" s="45" t="n">
        <v>46309</v>
      </c>
      <c r="B1646" s="0" t="n">
        <v>1</v>
      </c>
      <c r="C1646" s="0" t="n">
        <v>5805</v>
      </c>
      <c r="D1646" s="0" t="n">
        <v>83</v>
      </c>
      <c r="E1646" s="0" t="n">
        <v>1</v>
      </c>
      <c r="F1646" s="39" t="s">
        <v>971</v>
      </c>
      <c r="G1646" s="0" t="n">
        <v>53.3</v>
      </c>
      <c r="H1646" s="0" t="n">
        <v>52</v>
      </c>
      <c r="I1646" s="39" t="s">
        <v>138</v>
      </c>
      <c r="J1646" s="0" t="n">
        <v>83</v>
      </c>
      <c r="K1646" s="0" t="n">
        <v>62</v>
      </c>
      <c r="P1646" s="0" t="n">
        <v>3.86</v>
      </c>
      <c r="Q1646" s="0" t="n">
        <v>3.16</v>
      </c>
      <c r="R1646" s="0" t="n">
        <v>4151</v>
      </c>
      <c r="S1646" s="0" t="n">
        <v>8344</v>
      </c>
      <c r="U1646" s="0" t="n">
        <v>793</v>
      </c>
      <c r="V1646" s="0" t="n">
        <v>1</v>
      </c>
      <c r="W1646" s="39" t="n">
        <f aca="false">IF(I1646="Male",0,1)</f>
        <v>1</v>
      </c>
      <c r="X1646" s="39" t="n">
        <f aca="false">IF(OR(I1646="DNB",I1646="Dry DNB"),1,0)</f>
        <v>0</v>
      </c>
      <c r="Y1646" s="39" t="n">
        <f aca="false">MATCH(A1646,DATAS,0)</f>
        <v>1</v>
      </c>
      <c r="Z1646" s="39" t="n">
        <f aca="false">IF(AND(E1646&gt;0,OR(AND(B1646&gt;=1,B1646&lt;=6),B1646=10)),1,0)</f>
        <v>1</v>
      </c>
      <c r="AA1646" s="39" t="n">
        <f aca="false">IF(AND(E1646&gt;0,B1646=10),1,0)</f>
        <v>0</v>
      </c>
      <c r="AB1646" s="0" t="str">
        <f aca="false">IF(AND(C1645=C1646,Y1645=Y1646-1),Z1645,"")</f>
        <v/>
      </c>
      <c r="AC1646" s="0" t="str">
        <f aca="false">IF(AND(C1645=C1646,Y1645=Y1646-1),AA1645,"")</f>
        <v/>
      </c>
      <c r="AD1646" s="0" t="str">
        <f aca="false">IF(Y1646=1,"",IF(AND(Z1646=1,AB1646&lt;&gt;1),1,0))</f>
        <v/>
      </c>
      <c r="AE1646" s="0" t="str">
        <f aca="false">IF(Y1646=1,"",IF(AND(AA1646=1,AC1646&lt;&gt;1),1,0))</f>
        <v/>
      </c>
      <c r="AF1646" s="45" t="str">
        <f aca="false">IF(AND(E1646&gt;0,Y1646&lt;1,NOT(AND(C1647=C1646,Y1647=Y1646+1))),INDEX(DATAS,Y1646+1),"")</f>
        <v/>
      </c>
      <c r="AG1646" s="45" t="str">
        <f aca="false">IF(AND(AA1646=1,Y1646&lt;1),IF(AND(C1647=C1646,Y1647=Y1646+1),IF(AA1647=1,"",INDEX(DATAS,Y1646+1)),INDEX(DATAS,Y1646+1)),"")</f>
        <v/>
      </c>
    </row>
    <row r="1647" customFormat="false" ht="15" hidden="false" customHeight="false" outlineLevel="0" collapsed="false">
      <c r="A1647" s="45" t="n">
        <v>46309</v>
      </c>
      <c r="B1647" s="0" t="n">
        <v>4</v>
      </c>
      <c r="C1647" s="0" t="n">
        <v>5806</v>
      </c>
      <c r="D1647" s="0" t="n">
        <v>133</v>
      </c>
      <c r="E1647" s="0" t="n">
        <v>1</v>
      </c>
      <c r="F1647" s="39" t="s">
        <v>971</v>
      </c>
      <c r="G1647" s="0" t="n">
        <v>24.9</v>
      </c>
      <c r="H1647" s="0" t="n">
        <v>27</v>
      </c>
      <c r="I1647" s="39" t="s">
        <v>138</v>
      </c>
      <c r="J1647" s="0" t="n">
        <v>133</v>
      </c>
      <c r="K1647" s="0" t="n">
        <v>63</v>
      </c>
      <c r="P1647" s="0" t="n">
        <v>3.88</v>
      </c>
      <c r="Q1647" s="0" t="n">
        <v>3.53</v>
      </c>
      <c r="R1647" s="0" t="n">
        <v>1978</v>
      </c>
      <c r="S1647" s="0" t="n">
        <v>4246</v>
      </c>
      <c r="T1647" s="0" t="n">
        <v>22.6</v>
      </c>
      <c r="U1647" s="0" t="n">
        <v>793</v>
      </c>
      <c r="V1647" s="0" t="n">
        <v>4</v>
      </c>
      <c r="W1647" s="39" t="n">
        <f aca="false">IF(I1647="Male",0,1)</f>
        <v>1</v>
      </c>
      <c r="X1647" s="39" t="n">
        <f aca="false">IF(OR(I1647="DNB",I1647="Dry DNB"),1,0)</f>
        <v>0</v>
      </c>
      <c r="Y1647" s="39" t="n">
        <f aca="false">MATCH(A1647,DATAS,0)</f>
        <v>1</v>
      </c>
      <c r="Z1647" s="39" t="n">
        <f aca="false">IF(AND(E1647&gt;0,OR(AND(B1647&gt;=1,B1647&lt;=6),B1647=10)),1,0)</f>
        <v>1</v>
      </c>
      <c r="AA1647" s="39" t="n">
        <f aca="false">IF(AND(E1647&gt;0,B1647=10),1,0)</f>
        <v>0</v>
      </c>
      <c r="AB1647" s="0" t="str">
        <f aca="false">IF(AND(C1646=C1647,Y1646=Y1647-1),Z1646,"")</f>
        <v/>
      </c>
      <c r="AC1647" s="0" t="str">
        <f aca="false">IF(AND(C1646=C1647,Y1646=Y1647-1),AA1646,"")</f>
        <v/>
      </c>
      <c r="AD1647" s="0" t="str">
        <f aca="false">IF(Y1647=1,"",IF(AND(Z1647=1,AB1647&lt;&gt;1),1,0))</f>
        <v/>
      </c>
      <c r="AE1647" s="0" t="str">
        <f aca="false">IF(Y1647=1,"",IF(AND(AA1647=1,AC1647&lt;&gt;1),1,0))</f>
        <v/>
      </c>
      <c r="AF1647" s="45" t="str">
        <f aca="false">IF(AND(E1647&gt;0,Y1647&lt;1,NOT(AND(C1648=C1647,Y1648=Y1647+1))),INDEX(DATAS,Y1647+1),"")</f>
        <v/>
      </c>
      <c r="AG1647" s="45" t="str">
        <f aca="false">IF(AND(AA1647=1,Y1647&lt;1),IF(AND(C1648=C1647,Y1648=Y1647+1),IF(AA1648=1,"",INDEX(DATAS,Y1647+1)),INDEX(DATAS,Y1647+1)),"")</f>
        <v/>
      </c>
    </row>
    <row r="1648" customFormat="false" ht="15" hidden="false" customHeight="false" outlineLevel="0" collapsed="false">
      <c r="A1648" s="45" t="n">
        <v>46309</v>
      </c>
      <c r="B1648" s="0" t="n">
        <v>7</v>
      </c>
      <c r="C1648" s="0" t="n">
        <v>5807</v>
      </c>
      <c r="E1648" s="0" t="n">
        <v>0</v>
      </c>
      <c r="F1648" s="39" t="s">
        <v>972</v>
      </c>
      <c r="I1648" s="39" t="s">
        <v>109</v>
      </c>
      <c r="L1648" s="0" t="n">
        <v>196</v>
      </c>
      <c r="U1648" s="0" t="n">
        <v>792</v>
      </c>
      <c r="V1648" s="0" t="n">
        <v>5</v>
      </c>
      <c r="W1648" s="39" t="n">
        <f aca="false">IF(I1648="Male",0,1)</f>
        <v>1</v>
      </c>
      <c r="X1648" s="39" t="n">
        <f aca="false">IF(OR(I1648="DNB",I1648="Dry DNB"),1,0)</f>
        <v>0</v>
      </c>
      <c r="Y1648" s="39" t="n">
        <f aca="false">MATCH(A1648,DATAS,0)</f>
        <v>1</v>
      </c>
      <c r="Z1648" s="39" t="n">
        <f aca="false">IF(AND(E1648&gt;0,OR(AND(B1648&gt;=1,B1648&lt;=6),B1648=10)),1,0)</f>
        <v>0</v>
      </c>
      <c r="AA1648" s="39" t="n">
        <f aca="false">IF(AND(E1648&gt;0,B1648=10),1,0)</f>
        <v>0</v>
      </c>
      <c r="AB1648" s="0" t="str">
        <f aca="false">IF(AND(C1647=C1648,Y1647=Y1648-1),Z1647,"")</f>
        <v/>
      </c>
      <c r="AC1648" s="0" t="str">
        <f aca="false">IF(AND(C1647=C1648,Y1647=Y1648-1),AA1647,"")</f>
        <v/>
      </c>
      <c r="AD1648" s="0" t="str">
        <f aca="false">IF(Y1648=1,"",IF(AND(Z1648=1,AB1648&lt;&gt;1),1,0))</f>
        <v/>
      </c>
      <c r="AE1648" s="0" t="str">
        <f aca="false">IF(Y1648=1,"",IF(AND(AA1648=1,AC1648&lt;&gt;1),1,0))</f>
        <v/>
      </c>
      <c r="AF1648" s="45" t="str">
        <f aca="false">IF(AND(E1648&gt;0,Y1648&lt;1,NOT(AND(C1649=C1648,Y1649=Y1648+1))),INDEX(DATAS,Y1648+1),"")</f>
        <v/>
      </c>
      <c r="AG1648" s="45" t="str">
        <f aca="false">IF(AND(AA1648=1,Y1648&lt;1),IF(AND(C1649=C1648,Y1649=Y1648+1),IF(AA1649=1,"",INDEX(DATAS,Y1648+1)),INDEX(DATAS,Y1648+1)),"")</f>
        <v/>
      </c>
    </row>
    <row r="1649" customFormat="false" ht="15" hidden="false" customHeight="false" outlineLevel="0" collapsed="false">
      <c r="A1649" s="45" t="n">
        <v>46309</v>
      </c>
      <c r="B1649" s="0" t="n">
        <v>14</v>
      </c>
      <c r="C1649" s="0" t="n">
        <v>5808</v>
      </c>
      <c r="E1649" s="0" t="n">
        <v>0</v>
      </c>
      <c r="F1649" s="39" t="s">
        <v>972</v>
      </c>
      <c r="I1649" s="39" t="s">
        <v>109</v>
      </c>
      <c r="L1649" s="0" t="n">
        <v>266</v>
      </c>
      <c r="U1649" s="0" t="n">
        <v>792</v>
      </c>
      <c r="V1649" s="0" t="n">
        <v>4</v>
      </c>
      <c r="W1649" s="39" t="n">
        <f aca="false">IF(I1649="Male",0,1)</f>
        <v>1</v>
      </c>
      <c r="X1649" s="39" t="n">
        <f aca="false">IF(OR(I1649="DNB",I1649="Dry DNB"),1,0)</f>
        <v>0</v>
      </c>
      <c r="Y1649" s="39" t="n">
        <f aca="false">MATCH(A1649,DATAS,0)</f>
        <v>1</v>
      </c>
      <c r="Z1649" s="39" t="n">
        <f aca="false">IF(AND(E1649&gt;0,OR(AND(B1649&gt;=1,B1649&lt;=6),B1649=10)),1,0)</f>
        <v>0</v>
      </c>
      <c r="AA1649" s="39" t="n">
        <f aca="false">IF(AND(E1649&gt;0,B1649=10),1,0)</f>
        <v>0</v>
      </c>
      <c r="AB1649" s="0" t="str">
        <f aca="false">IF(AND(C1648=C1649,Y1648=Y1649-1),Z1648,"")</f>
        <v/>
      </c>
      <c r="AC1649" s="0" t="str">
        <f aca="false">IF(AND(C1648=C1649,Y1648=Y1649-1),AA1648,"")</f>
        <v/>
      </c>
      <c r="AD1649" s="0" t="str">
        <f aca="false">IF(Y1649=1,"",IF(AND(Z1649=1,AB1649&lt;&gt;1),1,0))</f>
        <v/>
      </c>
      <c r="AE1649" s="0" t="str">
        <f aca="false">IF(Y1649=1,"",IF(AND(AA1649=1,AC1649&lt;&gt;1),1,0))</f>
        <v/>
      </c>
      <c r="AF1649" s="45" t="str">
        <f aca="false">IF(AND(E1649&gt;0,Y1649&lt;1,NOT(AND(C1650=C1649,Y1650=Y1649+1))),INDEX(DATAS,Y1649+1),"")</f>
        <v/>
      </c>
      <c r="AG1649" s="45" t="str">
        <f aca="false">IF(AND(AA1649=1,Y1649&lt;1),IF(AND(C1650=C1649,Y1650=Y1649+1),IF(AA1650=1,"",INDEX(DATAS,Y1649+1)),INDEX(DATAS,Y1649+1)),"")</f>
        <v/>
      </c>
    </row>
    <row r="1650" customFormat="false" ht="15" hidden="false" customHeight="false" outlineLevel="0" collapsed="false">
      <c r="A1650" s="45" t="n">
        <v>46309</v>
      </c>
      <c r="B1650" s="0" t="n">
        <v>1</v>
      </c>
      <c r="C1650" s="0" t="n">
        <v>5809</v>
      </c>
      <c r="D1650" s="0" t="n">
        <v>65</v>
      </c>
      <c r="E1650" s="0" t="n">
        <v>1</v>
      </c>
      <c r="F1650" s="39" t="s">
        <v>972</v>
      </c>
      <c r="G1650" s="0" t="n">
        <v>46.9</v>
      </c>
      <c r="H1650" s="0" t="n">
        <v>44</v>
      </c>
      <c r="I1650" s="39" t="s">
        <v>138</v>
      </c>
      <c r="J1650" s="0" t="n">
        <v>65</v>
      </c>
      <c r="K1650" s="0" t="n">
        <v>65</v>
      </c>
      <c r="P1650" s="0" t="n">
        <v>4.48</v>
      </c>
      <c r="Q1650" s="0" t="n">
        <v>2.85</v>
      </c>
      <c r="R1650" s="0" t="n">
        <v>4342</v>
      </c>
      <c r="S1650" s="0" t="n">
        <v>8729</v>
      </c>
      <c r="U1650" s="0" t="n">
        <v>792</v>
      </c>
      <c r="V1650" s="0" t="n">
        <v>1</v>
      </c>
      <c r="W1650" s="39" t="n">
        <f aca="false">IF(I1650="Male",0,1)</f>
        <v>1</v>
      </c>
      <c r="X1650" s="39" t="n">
        <f aca="false">IF(OR(I1650="DNB",I1650="Dry DNB"),1,0)</f>
        <v>0</v>
      </c>
      <c r="Y1650" s="39" t="n">
        <f aca="false">MATCH(A1650,DATAS,0)</f>
        <v>1</v>
      </c>
      <c r="Z1650" s="39" t="n">
        <f aca="false">IF(AND(E1650&gt;0,OR(AND(B1650&gt;=1,B1650&lt;=6),B1650=10)),1,0)</f>
        <v>1</v>
      </c>
      <c r="AA1650" s="39" t="n">
        <f aca="false">IF(AND(E1650&gt;0,B1650=10),1,0)</f>
        <v>0</v>
      </c>
      <c r="AB1650" s="0" t="str">
        <f aca="false">IF(AND(C1649=C1650,Y1649=Y1650-1),Z1649,"")</f>
        <v/>
      </c>
      <c r="AC1650" s="0" t="str">
        <f aca="false">IF(AND(C1649=C1650,Y1649=Y1650-1),AA1649,"")</f>
        <v/>
      </c>
      <c r="AD1650" s="0" t="str">
        <f aca="false">IF(Y1650=1,"",IF(AND(Z1650=1,AB1650&lt;&gt;1),1,0))</f>
        <v/>
      </c>
      <c r="AE1650" s="0" t="str">
        <f aca="false">IF(Y1650=1,"",IF(AND(AA1650=1,AC1650&lt;&gt;1),1,0))</f>
        <v/>
      </c>
      <c r="AF1650" s="45" t="str">
        <f aca="false">IF(AND(E1650&gt;0,Y1650&lt;1,NOT(AND(C1651=C1650,Y1651=Y1650+1))),INDEX(DATAS,Y1650+1),"")</f>
        <v/>
      </c>
      <c r="AG1650" s="45" t="str">
        <f aca="false">IF(AND(AA1650=1,Y1650&lt;1),IF(AND(C1651=C1650,Y1651=Y1650+1),IF(AA1651=1,"",INDEX(DATAS,Y1650+1)),INDEX(DATAS,Y1650+1)),"")</f>
        <v/>
      </c>
    </row>
    <row r="1651" customFormat="false" ht="15" hidden="false" customHeight="false" outlineLevel="0" collapsed="false">
      <c r="A1651" s="45" t="n">
        <v>46309</v>
      </c>
      <c r="B1651" s="0" t="n">
        <v>4</v>
      </c>
      <c r="C1651" s="0" t="n">
        <v>5810</v>
      </c>
      <c r="D1651" s="0" t="n">
        <v>246</v>
      </c>
      <c r="E1651" s="0" t="n">
        <v>1</v>
      </c>
      <c r="F1651" s="39" t="s">
        <v>973</v>
      </c>
      <c r="G1651" s="0" t="n">
        <v>46</v>
      </c>
      <c r="H1651" s="0" t="n">
        <v>44</v>
      </c>
      <c r="I1651" s="39" t="s">
        <v>109</v>
      </c>
      <c r="J1651" s="0" t="n">
        <v>211</v>
      </c>
      <c r="K1651" s="0" t="n">
        <v>64</v>
      </c>
      <c r="L1651" s="0" t="n">
        <v>35</v>
      </c>
      <c r="P1651" s="0" t="n">
        <v>4.68</v>
      </c>
      <c r="Q1651" s="0" t="n">
        <v>3.27</v>
      </c>
      <c r="R1651" s="0" t="n">
        <v>2706</v>
      </c>
      <c r="S1651" s="0" t="n">
        <v>7165</v>
      </c>
      <c r="T1651" s="0" t="n">
        <v>28.75</v>
      </c>
      <c r="U1651" s="0" t="n">
        <v>790</v>
      </c>
      <c r="V1651" s="0" t="n">
        <v>5</v>
      </c>
      <c r="W1651" s="39" t="n">
        <f aca="false">IF(I1651="Male",0,1)</f>
        <v>1</v>
      </c>
      <c r="X1651" s="39" t="n">
        <f aca="false">IF(OR(I1651="DNB",I1651="Dry DNB"),1,0)</f>
        <v>0</v>
      </c>
      <c r="Y1651" s="39" t="n">
        <f aca="false">MATCH(A1651,DATAS,0)</f>
        <v>1</v>
      </c>
      <c r="Z1651" s="39" t="n">
        <f aca="false">IF(AND(E1651&gt;0,OR(AND(B1651&gt;=1,B1651&lt;=6),B1651=10)),1,0)</f>
        <v>1</v>
      </c>
      <c r="AA1651" s="39" t="n">
        <f aca="false">IF(AND(E1651&gt;0,B1651=10),1,0)</f>
        <v>0</v>
      </c>
      <c r="AB1651" s="0" t="str">
        <f aca="false">IF(AND(C1650=C1651,Y1650=Y1651-1),Z1650,"")</f>
        <v/>
      </c>
      <c r="AC1651" s="0" t="str">
        <f aca="false">IF(AND(C1650=C1651,Y1650=Y1651-1),AA1650,"")</f>
        <v/>
      </c>
      <c r="AD1651" s="0" t="str">
        <f aca="false">IF(Y1651=1,"",IF(AND(Z1651=1,AB1651&lt;&gt;1),1,0))</f>
        <v/>
      </c>
      <c r="AE1651" s="0" t="str">
        <f aca="false">IF(Y1651=1,"",IF(AND(AA1651=1,AC1651&lt;&gt;1),1,0))</f>
        <v/>
      </c>
      <c r="AF1651" s="45" t="str">
        <f aca="false">IF(AND(E1651&gt;0,Y1651&lt;1,NOT(AND(C1652=C1651,Y1652=Y1651+1))),INDEX(DATAS,Y1651+1),"")</f>
        <v/>
      </c>
      <c r="AG1651" s="45" t="str">
        <f aca="false">IF(AND(AA1651=1,Y1651&lt;1),IF(AND(C1652=C1651,Y1652=Y1651+1),IF(AA1652=1,"",INDEX(DATAS,Y1651+1)),INDEX(DATAS,Y1651+1)),"")</f>
        <v/>
      </c>
    </row>
    <row r="1652" customFormat="false" ht="15" hidden="false" customHeight="false" outlineLevel="0" collapsed="false">
      <c r="A1652" s="45" t="n">
        <v>46309</v>
      </c>
      <c r="B1652" s="0" t="n">
        <v>1</v>
      </c>
      <c r="C1652" s="0" t="n">
        <v>5811</v>
      </c>
      <c r="D1652" s="0" t="n">
        <v>106</v>
      </c>
      <c r="E1652" s="0" t="n">
        <v>1</v>
      </c>
      <c r="F1652" s="39" t="s">
        <v>973</v>
      </c>
      <c r="G1652" s="0" t="n">
        <v>55.5</v>
      </c>
      <c r="H1652" s="0" t="n">
        <v>56</v>
      </c>
      <c r="I1652" s="39" t="s">
        <v>109</v>
      </c>
      <c r="J1652" s="0" t="n">
        <v>64</v>
      </c>
      <c r="K1652" s="0" t="n">
        <v>64</v>
      </c>
      <c r="L1652" s="0" t="n">
        <v>42</v>
      </c>
      <c r="P1652" s="0" t="n">
        <v>2.89</v>
      </c>
      <c r="Q1652" s="0" t="n">
        <v>2.86</v>
      </c>
      <c r="R1652" s="0" t="n">
        <v>5358</v>
      </c>
      <c r="S1652" s="0" t="n">
        <v>10806</v>
      </c>
      <c r="T1652" s="0" t="n">
        <v>59.4</v>
      </c>
      <c r="U1652" s="0" t="n">
        <v>790</v>
      </c>
      <c r="V1652" s="0" t="n">
        <v>1</v>
      </c>
      <c r="W1652" s="39" t="n">
        <f aca="false">IF(I1652="Male",0,1)</f>
        <v>1</v>
      </c>
      <c r="X1652" s="39" t="n">
        <f aca="false">IF(OR(I1652="DNB",I1652="Dry DNB"),1,0)</f>
        <v>0</v>
      </c>
      <c r="Y1652" s="39" t="n">
        <f aca="false">MATCH(A1652,DATAS,0)</f>
        <v>1</v>
      </c>
      <c r="Z1652" s="39" t="n">
        <f aca="false">IF(AND(E1652&gt;0,OR(AND(B1652&gt;=1,B1652&lt;=6),B1652=10)),1,0)</f>
        <v>1</v>
      </c>
      <c r="AA1652" s="39" t="n">
        <f aca="false">IF(AND(E1652&gt;0,B1652=10),1,0)</f>
        <v>0</v>
      </c>
      <c r="AB1652" s="0" t="str">
        <f aca="false">IF(AND(C1651=C1652,Y1651=Y1652-1),Z1651,"")</f>
        <v/>
      </c>
      <c r="AC1652" s="0" t="str">
        <f aca="false">IF(AND(C1651=C1652,Y1651=Y1652-1),AA1651,"")</f>
        <v/>
      </c>
      <c r="AD1652" s="0" t="str">
        <f aca="false">IF(Y1652=1,"",IF(AND(Z1652=1,AB1652&lt;&gt;1),1,0))</f>
        <v/>
      </c>
      <c r="AE1652" s="0" t="str">
        <f aca="false">IF(Y1652=1,"",IF(AND(AA1652=1,AC1652&lt;&gt;1),1,0))</f>
        <v/>
      </c>
      <c r="AF1652" s="45" t="str">
        <f aca="false">IF(AND(E1652&gt;0,Y1652&lt;1,NOT(AND(C1653=C1652,Y1653=Y1652+1))),INDEX(DATAS,Y1652+1),"")</f>
        <v/>
      </c>
      <c r="AG1652" s="45" t="str">
        <f aca="false">IF(AND(AA1652=1,Y1652&lt;1),IF(AND(C1653=C1652,Y1653=Y1652+1),IF(AA1653=1,"",INDEX(DATAS,Y1652+1)),INDEX(DATAS,Y1652+1)),"")</f>
        <v/>
      </c>
    </row>
    <row r="1653" customFormat="false" ht="15" hidden="false" customHeight="false" outlineLevel="0" collapsed="false">
      <c r="A1653" s="45" t="n">
        <v>46309</v>
      </c>
      <c r="B1653" s="0" t="n">
        <v>1</v>
      </c>
      <c r="C1653" s="0" t="n">
        <v>5812</v>
      </c>
      <c r="D1653" s="0" t="n">
        <v>111</v>
      </c>
      <c r="E1653" s="0" t="n">
        <v>1</v>
      </c>
      <c r="F1653" s="39" t="s">
        <v>973</v>
      </c>
      <c r="G1653" s="0" t="n">
        <v>63.7</v>
      </c>
      <c r="H1653" s="0" t="n">
        <v>62</v>
      </c>
      <c r="I1653" s="39" t="s">
        <v>109</v>
      </c>
      <c r="J1653" s="0" t="n">
        <v>62</v>
      </c>
      <c r="K1653" s="0" t="n">
        <v>62</v>
      </c>
      <c r="L1653" s="0" t="n">
        <v>49</v>
      </c>
      <c r="P1653" s="0" t="n">
        <v>3.43</v>
      </c>
      <c r="Q1653" s="0" t="n">
        <v>3.05</v>
      </c>
      <c r="R1653" s="0" t="n">
        <v>5250</v>
      </c>
      <c r="S1653" s="0" t="n">
        <v>10749</v>
      </c>
      <c r="T1653" s="0" t="n">
        <v>54.6</v>
      </c>
      <c r="U1653" s="0" t="n">
        <v>790</v>
      </c>
      <c r="V1653" s="0" t="n">
        <v>1</v>
      </c>
      <c r="W1653" s="39" t="n">
        <f aca="false">IF(I1653="Male",0,1)</f>
        <v>1</v>
      </c>
      <c r="X1653" s="39" t="n">
        <f aca="false">IF(OR(I1653="DNB",I1653="Dry DNB"),1,0)</f>
        <v>0</v>
      </c>
      <c r="Y1653" s="39" t="n">
        <f aca="false">MATCH(A1653,DATAS,0)</f>
        <v>1</v>
      </c>
      <c r="Z1653" s="39" t="n">
        <f aca="false">IF(AND(E1653&gt;0,OR(AND(B1653&gt;=1,B1653&lt;=6),B1653=10)),1,0)</f>
        <v>1</v>
      </c>
      <c r="AA1653" s="39" t="n">
        <f aca="false">IF(AND(E1653&gt;0,B1653=10),1,0)</f>
        <v>0</v>
      </c>
      <c r="AB1653" s="0" t="str">
        <f aca="false">IF(AND(C1652=C1653,Y1652=Y1653-1),Z1652,"")</f>
        <v/>
      </c>
      <c r="AC1653" s="0" t="str">
        <f aca="false">IF(AND(C1652=C1653,Y1652=Y1653-1),AA1652,"")</f>
        <v/>
      </c>
      <c r="AD1653" s="0" t="str">
        <f aca="false">IF(Y1653=1,"",IF(AND(Z1653=1,AB1653&lt;&gt;1),1,0))</f>
        <v/>
      </c>
      <c r="AE1653" s="0" t="str">
        <f aca="false">IF(Y1653=1,"",IF(AND(AA1653=1,AC1653&lt;&gt;1),1,0))</f>
        <v/>
      </c>
      <c r="AF1653" s="45" t="str">
        <f aca="false">IF(AND(E1653&gt;0,Y1653&lt;1,NOT(AND(C1654=C1653,Y1654=Y1653+1))),INDEX(DATAS,Y1653+1),"")</f>
        <v/>
      </c>
      <c r="AG1653" s="45" t="str">
        <f aca="false">IF(AND(AA1653=1,Y1653&lt;1),IF(AND(C1654=C1653,Y1654=Y1653+1),IF(AA1654=1,"",INDEX(DATAS,Y1653+1)),INDEX(DATAS,Y1653+1)),"")</f>
        <v/>
      </c>
    </row>
    <row r="1654" customFormat="false" ht="15" hidden="false" customHeight="false" outlineLevel="0" collapsed="false">
      <c r="A1654" s="45" t="n">
        <v>46309</v>
      </c>
      <c r="B1654" s="0" t="n">
        <v>4</v>
      </c>
      <c r="C1654" s="0" t="n">
        <v>5813</v>
      </c>
      <c r="D1654" s="0" t="n">
        <v>131</v>
      </c>
      <c r="E1654" s="0" t="n">
        <v>1</v>
      </c>
      <c r="F1654" s="39" t="s">
        <v>973</v>
      </c>
      <c r="G1654" s="0" t="n">
        <v>52.9</v>
      </c>
      <c r="H1654" s="0" t="n">
        <v>54</v>
      </c>
      <c r="I1654" s="39" t="s">
        <v>109</v>
      </c>
      <c r="J1654" s="0" t="n">
        <v>68</v>
      </c>
      <c r="K1654" s="0" t="n">
        <v>68</v>
      </c>
      <c r="L1654" s="0" t="n">
        <v>63</v>
      </c>
      <c r="P1654" s="0" t="n">
        <v>2.47</v>
      </c>
      <c r="Q1654" s="0" t="n">
        <v>3.12</v>
      </c>
      <c r="R1654" s="0" t="n">
        <v>4267</v>
      </c>
      <c r="S1654" s="0" t="n">
        <v>9164</v>
      </c>
      <c r="T1654" s="0" t="n">
        <v>43.85</v>
      </c>
      <c r="U1654" s="0" t="n">
        <v>790</v>
      </c>
      <c r="V1654" s="0" t="n">
        <v>1</v>
      </c>
      <c r="W1654" s="39" t="n">
        <f aca="false">IF(I1654="Male",0,1)</f>
        <v>1</v>
      </c>
      <c r="X1654" s="39" t="n">
        <f aca="false">IF(OR(I1654="DNB",I1654="Dry DNB"),1,0)</f>
        <v>0</v>
      </c>
      <c r="Y1654" s="39" t="n">
        <f aca="false">MATCH(A1654,DATAS,0)</f>
        <v>1</v>
      </c>
      <c r="Z1654" s="39" t="n">
        <f aca="false">IF(AND(E1654&gt;0,OR(AND(B1654&gt;=1,B1654&lt;=6),B1654=10)),1,0)</f>
        <v>1</v>
      </c>
      <c r="AA1654" s="39" t="n">
        <f aca="false">IF(AND(E1654&gt;0,B1654=10),1,0)</f>
        <v>0</v>
      </c>
      <c r="AB1654" s="0" t="str">
        <f aca="false">IF(AND(C1653=C1654,Y1653=Y1654-1),Z1653,"")</f>
        <v/>
      </c>
      <c r="AC1654" s="0" t="str">
        <f aca="false">IF(AND(C1653=C1654,Y1653=Y1654-1),AA1653,"")</f>
        <v/>
      </c>
      <c r="AD1654" s="0" t="str">
        <f aca="false">IF(Y1654=1,"",IF(AND(Z1654=1,AB1654&lt;&gt;1),1,0))</f>
        <v/>
      </c>
      <c r="AE1654" s="0" t="str">
        <f aca="false">IF(Y1654=1,"",IF(AND(AA1654=1,AC1654&lt;&gt;1),1,0))</f>
        <v/>
      </c>
      <c r="AF1654" s="45" t="str">
        <f aca="false">IF(AND(E1654&gt;0,Y1654&lt;1,NOT(AND(C1655=C1654,Y1655=Y1654+1))),INDEX(DATAS,Y1654+1),"")</f>
        <v/>
      </c>
      <c r="AG1654" s="45" t="str">
        <f aca="false">IF(AND(AA1654=1,Y1654&lt;1),IF(AND(C1655=C1654,Y1655=Y1654+1),IF(AA1655=1,"",INDEX(DATAS,Y1654+1)),INDEX(DATAS,Y1654+1)),"")</f>
        <v/>
      </c>
    </row>
    <row r="1655" customFormat="false" ht="15" hidden="false" customHeight="false" outlineLevel="0" collapsed="false">
      <c r="A1655" s="45" t="n">
        <v>46309</v>
      </c>
      <c r="B1655" s="0" t="n">
        <v>1</v>
      </c>
      <c r="C1655" s="0" t="n">
        <v>5814</v>
      </c>
      <c r="D1655" s="0" t="n">
        <v>65</v>
      </c>
      <c r="E1655" s="0" t="n">
        <v>1</v>
      </c>
      <c r="F1655" s="39" t="s">
        <v>974</v>
      </c>
      <c r="G1655" s="0" t="n">
        <v>48.6</v>
      </c>
      <c r="H1655" s="0" t="n">
        <v>53</v>
      </c>
      <c r="I1655" s="39" t="s">
        <v>138</v>
      </c>
      <c r="J1655" s="0" t="n">
        <v>65</v>
      </c>
      <c r="K1655" s="0" t="n">
        <v>65</v>
      </c>
      <c r="P1655" s="0" t="n">
        <v>3.44</v>
      </c>
      <c r="Q1655" s="0" t="n">
        <v>3.11</v>
      </c>
      <c r="R1655" s="0" t="n">
        <v>4609</v>
      </c>
      <c r="S1655" s="0" t="n">
        <v>9265</v>
      </c>
      <c r="U1655" s="0" t="n">
        <v>789</v>
      </c>
      <c r="V1655" s="0" t="n">
        <v>1</v>
      </c>
      <c r="W1655" s="39" t="n">
        <f aca="false">IF(I1655="Male",0,1)</f>
        <v>1</v>
      </c>
      <c r="X1655" s="39" t="n">
        <f aca="false">IF(OR(I1655="DNB",I1655="Dry DNB"),1,0)</f>
        <v>0</v>
      </c>
      <c r="Y1655" s="39" t="n">
        <f aca="false">MATCH(A1655,DATAS,0)</f>
        <v>1</v>
      </c>
      <c r="Z1655" s="39" t="n">
        <f aca="false">IF(AND(E1655&gt;0,OR(AND(B1655&gt;=1,B1655&lt;=6),B1655=10)),1,0)</f>
        <v>1</v>
      </c>
      <c r="AA1655" s="39" t="n">
        <f aca="false">IF(AND(E1655&gt;0,B1655=10),1,0)</f>
        <v>0</v>
      </c>
      <c r="AB1655" s="0" t="str">
        <f aca="false">IF(AND(C1654=C1655,Y1654=Y1655-1),Z1654,"")</f>
        <v/>
      </c>
      <c r="AC1655" s="0" t="str">
        <f aca="false">IF(AND(C1654=C1655,Y1654=Y1655-1),AA1654,"")</f>
        <v/>
      </c>
      <c r="AD1655" s="0" t="str">
        <f aca="false">IF(Y1655=1,"",IF(AND(Z1655=1,AB1655&lt;&gt;1),1,0))</f>
        <v/>
      </c>
      <c r="AE1655" s="0" t="str">
        <f aca="false">IF(Y1655=1,"",IF(AND(AA1655=1,AC1655&lt;&gt;1),1,0))</f>
        <v/>
      </c>
      <c r="AF1655" s="45" t="str">
        <f aca="false">IF(AND(E1655&gt;0,Y1655&lt;1,NOT(AND(C1656=C1655,Y1656=Y1655+1))),INDEX(DATAS,Y1655+1),"")</f>
        <v/>
      </c>
      <c r="AG1655" s="45" t="str">
        <f aca="false">IF(AND(AA1655=1,Y1655&lt;1),IF(AND(C1656=C1655,Y1656=Y1655+1),IF(AA1656=1,"",INDEX(DATAS,Y1655+1)),INDEX(DATAS,Y1655+1)),"")</f>
        <v/>
      </c>
    </row>
    <row r="1656" customFormat="false" ht="15" hidden="false" customHeight="false" outlineLevel="0" collapsed="false">
      <c r="A1656" s="45" t="n">
        <v>46309</v>
      </c>
      <c r="B1656" s="0" t="n">
        <v>1</v>
      </c>
      <c r="C1656" s="0" t="n">
        <v>5816</v>
      </c>
      <c r="D1656" s="0" t="n">
        <v>59</v>
      </c>
      <c r="E1656" s="0" t="n">
        <v>1</v>
      </c>
      <c r="F1656" s="39" t="s">
        <v>974</v>
      </c>
      <c r="G1656" s="0" t="n">
        <v>31.7</v>
      </c>
      <c r="H1656" s="0" t="n">
        <v>29</v>
      </c>
      <c r="I1656" s="39" t="s">
        <v>118</v>
      </c>
      <c r="J1656" s="0" t="n">
        <v>59</v>
      </c>
      <c r="P1656" s="0" t="n">
        <v>3.33</v>
      </c>
      <c r="Q1656" s="0" t="n">
        <v>3.4</v>
      </c>
      <c r="R1656" s="0" t="n">
        <v>2736</v>
      </c>
      <c r="S1656" s="0" t="n">
        <v>5500</v>
      </c>
      <c r="U1656" s="0" t="n">
        <v>789</v>
      </c>
      <c r="V1656" s="0" t="n">
        <v>0</v>
      </c>
      <c r="W1656" s="39" t="n">
        <f aca="false">IF(I1656="Male",0,1)</f>
        <v>1</v>
      </c>
      <c r="X1656" s="39" t="n">
        <f aca="false">IF(OR(I1656="DNB",I1656="Dry DNB"),1,0)</f>
        <v>0</v>
      </c>
      <c r="Y1656" s="39" t="n">
        <f aca="false">MATCH(A1656,DATAS,0)</f>
        <v>1</v>
      </c>
      <c r="Z1656" s="39" t="n">
        <f aca="false">IF(AND(E1656&gt;0,OR(AND(B1656&gt;=1,B1656&lt;=6),B1656=10)),1,0)</f>
        <v>1</v>
      </c>
      <c r="AA1656" s="39" t="n">
        <f aca="false">IF(AND(E1656&gt;0,B1656=10),1,0)</f>
        <v>0</v>
      </c>
      <c r="AB1656" s="0" t="str">
        <f aca="false">IF(AND(C1655=C1656,Y1655=Y1656-1),Z1655,"")</f>
        <v/>
      </c>
      <c r="AC1656" s="0" t="str">
        <f aca="false">IF(AND(C1655=C1656,Y1655=Y1656-1),AA1655,"")</f>
        <v/>
      </c>
      <c r="AD1656" s="0" t="str">
        <f aca="false">IF(Y1656=1,"",IF(AND(Z1656=1,AB1656&lt;&gt;1),1,0))</f>
        <v/>
      </c>
      <c r="AE1656" s="0" t="str">
        <f aca="false">IF(Y1656=1,"",IF(AND(AA1656=1,AC1656&lt;&gt;1),1,0))</f>
        <v/>
      </c>
      <c r="AF1656" s="45" t="str">
        <f aca="false">IF(AND(E1656&gt;0,Y1656&lt;1,NOT(AND(C1657=C1656,Y1657=Y1656+1))),INDEX(DATAS,Y1656+1),"")</f>
        <v/>
      </c>
      <c r="AG1656" s="45" t="str">
        <f aca="false">IF(AND(AA1656=1,Y1656&lt;1),IF(AND(C1657=C1656,Y1657=Y1656+1),IF(AA1657=1,"",INDEX(DATAS,Y1656+1)),INDEX(DATAS,Y1656+1)),"")</f>
        <v/>
      </c>
    </row>
    <row r="1657" customFormat="false" ht="15" hidden="false" customHeight="false" outlineLevel="0" collapsed="false">
      <c r="A1657" s="45" t="n">
        <v>46309</v>
      </c>
      <c r="B1657" s="0" t="n">
        <v>1</v>
      </c>
      <c r="C1657" s="0" t="n">
        <v>5818</v>
      </c>
      <c r="D1657" s="0" t="n">
        <v>3</v>
      </c>
      <c r="E1657" s="0" t="n">
        <v>1</v>
      </c>
      <c r="F1657" s="39" t="s">
        <v>975</v>
      </c>
      <c r="G1657" s="0" t="n">
        <v>20</v>
      </c>
      <c r="H1657" s="0" t="n">
        <v>17</v>
      </c>
      <c r="I1657" s="39" t="s">
        <v>118</v>
      </c>
      <c r="J1657" s="0" t="n">
        <v>3</v>
      </c>
      <c r="R1657" s="0" t="n">
        <v>1955</v>
      </c>
      <c r="S1657" s="0" t="n">
        <v>3930</v>
      </c>
      <c r="U1657" s="0" t="n">
        <v>788</v>
      </c>
      <c r="V1657" s="0" t="n">
        <v>0</v>
      </c>
      <c r="W1657" s="39" t="n">
        <f aca="false">IF(I1657="Male",0,1)</f>
        <v>1</v>
      </c>
      <c r="X1657" s="39" t="n">
        <f aca="false">IF(OR(I1657="DNB",I1657="Dry DNB"),1,0)</f>
        <v>0</v>
      </c>
      <c r="Y1657" s="39" t="n">
        <f aca="false">MATCH(A1657,DATAS,0)</f>
        <v>1</v>
      </c>
      <c r="Z1657" s="39" t="n">
        <f aca="false">IF(AND(E1657&gt;0,OR(AND(B1657&gt;=1,B1657&lt;=6),B1657=10)),1,0)</f>
        <v>1</v>
      </c>
      <c r="AA1657" s="39" t="n">
        <f aca="false">IF(AND(E1657&gt;0,B1657=10),1,0)</f>
        <v>0</v>
      </c>
      <c r="AB1657" s="0" t="str">
        <f aca="false">IF(AND(C1656=C1657,Y1656=Y1657-1),Z1656,"")</f>
        <v/>
      </c>
      <c r="AC1657" s="0" t="str">
        <f aca="false">IF(AND(C1656=C1657,Y1656=Y1657-1),AA1656,"")</f>
        <v/>
      </c>
      <c r="AD1657" s="0" t="str">
        <f aca="false">IF(Y1657=1,"",IF(AND(Z1657=1,AB1657&lt;&gt;1),1,0))</f>
        <v/>
      </c>
      <c r="AE1657" s="0" t="str">
        <f aca="false">IF(Y1657=1,"",IF(AND(AA1657=1,AC1657&lt;&gt;1),1,0))</f>
        <v/>
      </c>
      <c r="AF1657" s="45" t="str">
        <f aca="false">IF(AND(E1657&gt;0,Y1657&lt;1,NOT(AND(C1658=C1657,Y1658=Y1657+1))),INDEX(DATAS,Y1657+1),"")</f>
        <v/>
      </c>
      <c r="AG1657" s="45" t="str">
        <f aca="false">IF(AND(AA1657=1,Y1657&lt;1),IF(AND(C1658=C1657,Y1658=Y1657+1),IF(AA1658=1,"",INDEX(DATAS,Y1657+1)),INDEX(DATAS,Y1657+1)),"")</f>
        <v/>
      </c>
    </row>
    <row r="1658" customFormat="false" ht="15" hidden="false" customHeight="false" outlineLevel="0" collapsed="false">
      <c r="A1658" s="45" t="n">
        <v>46309</v>
      </c>
      <c r="B1658" s="0" t="n">
        <v>10</v>
      </c>
      <c r="C1658" s="0" t="n">
        <v>5819</v>
      </c>
      <c r="D1658" s="0" t="n">
        <v>15</v>
      </c>
      <c r="E1658" s="0" t="n">
        <v>1</v>
      </c>
      <c r="F1658" s="39" t="s">
        <v>975</v>
      </c>
      <c r="I1658" s="39" t="s">
        <v>118</v>
      </c>
      <c r="J1658" s="0" t="n">
        <v>15</v>
      </c>
      <c r="U1658" s="0" t="n">
        <v>788</v>
      </c>
      <c r="V1658" s="0" t="n">
        <v>0</v>
      </c>
      <c r="W1658" s="39" t="n">
        <f aca="false">IF(I1658="Male",0,1)</f>
        <v>1</v>
      </c>
      <c r="X1658" s="39" t="n">
        <f aca="false">IF(OR(I1658="DNB",I1658="Dry DNB"),1,0)</f>
        <v>0</v>
      </c>
      <c r="Y1658" s="39" t="n">
        <f aca="false">MATCH(A1658,DATAS,0)</f>
        <v>1</v>
      </c>
      <c r="Z1658" s="39" t="n">
        <f aca="false">IF(AND(E1658&gt;0,OR(AND(B1658&gt;=1,B1658&lt;=6),B1658=10)),1,0)</f>
        <v>1</v>
      </c>
      <c r="AA1658" s="39" t="n">
        <f aca="false">IF(AND(E1658&gt;0,B1658=10),1,0)</f>
        <v>1</v>
      </c>
      <c r="AB1658" s="0" t="str">
        <f aca="false">IF(AND(C1657=C1658,Y1657=Y1658-1),Z1657,"")</f>
        <v/>
      </c>
      <c r="AC1658" s="0" t="str">
        <f aca="false">IF(AND(C1657=C1658,Y1657=Y1658-1),AA1657,"")</f>
        <v/>
      </c>
      <c r="AD1658" s="0" t="str">
        <f aca="false">IF(Y1658=1,"",IF(AND(Z1658=1,AB1658&lt;&gt;1),1,0))</f>
        <v/>
      </c>
      <c r="AE1658" s="0" t="str">
        <f aca="false">IF(Y1658=1,"",IF(AND(AA1658=1,AC1658&lt;&gt;1),1,0))</f>
        <v/>
      </c>
      <c r="AF1658" s="45" t="str">
        <f aca="false">IF(AND(E1658&gt;0,Y1658&lt;1,NOT(AND(C1659=C1658,Y1659=Y1658+1))),INDEX(DATAS,Y1658+1),"")</f>
        <v/>
      </c>
      <c r="AG1658" s="45" t="str">
        <f aca="false">IF(AND(AA1658=1,Y1658&lt;1),IF(AND(C1659=C1658,Y1659=Y1658+1),IF(AA1659=1,"",INDEX(DATAS,Y1658+1)),INDEX(DATAS,Y1658+1)),"")</f>
        <v/>
      </c>
    </row>
    <row r="1659" customFormat="false" ht="15" hidden="false" customHeight="false" outlineLevel="0" collapsed="false">
      <c r="A1659" s="45" t="n">
        <v>46309</v>
      </c>
      <c r="B1659" s="0" t="n">
        <v>1</v>
      </c>
      <c r="C1659" s="0" t="n">
        <v>5820</v>
      </c>
      <c r="D1659" s="0" t="n">
        <v>111</v>
      </c>
      <c r="E1659" s="0" t="n">
        <v>1</v>
      </c>
      <c r="F1659" s="39" t="s">
        <v>976</v>
      </c>
      <c r="G1659" s="0" t="n">
        <v>48.4</v>
      </c>
      <c r="H1659" s="0" t="n">
        <v>49</v>
      </c>
      <c r="I1659" s="39" t="s">
        <v>138</v>
      </c>
      <c r="J1659" s="0" t="n">
        <v>111</v>
      </c>
      <c r="K1659" s="0" t="n">
        <v>65</v>
      </c>
      <c r="P1659" s="0" t="n">
        <v>4.14</v>
      </c>
      <c r="Q1659" s="0" t="n">
        <v>3.04</v>
      </c>
      <c r="R1659" s="0" t="n">
        <v>4577</v>
      </c>
      <c r="S1659" s="0" t="n">
        <v>9286</v>
      </c>
      <c r="T1659" s="0" t="n">
        <v>46.3</v>
      </c>
      <c r="U1659" s="0" t="n">
        <v>786</v>
      </c>
      <c r="V1659" s="0" t="n">
        <v>2</v>
      </c>
      <c r="W1659" s="39" t="n">
        <f aca="false">IF(I1659="Male",0,1)</f>
        <v>1</v>
      </c>
      <c r="X1659" s="39" t="n">
        <f aca="false">IF(OR(I1659="DNB",I1659="Dry DNB"),1,0)</f>
        <v>0</v>
      </c>
      <c r="Y1659" s="39" t="n">
        <f aca="false">MATCH(A1659,DATAS,0)</f>
        <v>1</v>
      </c>
      <c r="Z1659" s="39" t="n">
        <f aca="false">IF(AND(E1659&gt;0,OR(AND(B1659&gt;=1,B1659&lt;=6),B1659=10)),1,0)</f>
        <v>1</v>
      </c>
      <c r="AA1659" s="39" t="n">
        <f aca="false">IF(AND(E1659&gt;0,B1659=10),1,0)</f>
        <v>0</v>
      </c>
      <c r="AB1659" s="0" t="str">
        <f aca="false">IF(AND(C1658=C1659,Y1658=Y1659-1),Z1658,"")</f>
        <v/>
      </c>
      <c r="AC1659" s="0" t="str">
        <f aca="false">IF(AND(C1658=C1659,Y1658=Y1659-1),AA1658,"")</f>
        <v/>
      </c>
      <c r="AD1659" s="0" t="str">
        <f aca="false">IF(Y1659=1,"",IF(AND(Z1659=1,AB1659&lt;&gt;1),1,0))</f>
        <v/>
      </c>
      <c r="AE1659" s="0" t="str">
        <f aca="false">IF(Y1659=1,"",IF(AND(AA1659=1,AC1659&lt;&gt;1),1,0))</f>
        <v/>
      </c>
      <c r="AF1659" s="45" t="str">
        <f aca="false">IF(AND(E1659&gt;0,Y1659&lt;1,NOT(AND(C1660=C1659,Y1660=Y1659+1))),INDEX(DATAS,Y1659+1),"")</f>
        <v/>
      </c>
      <c r="AG1659" s="45" t="str">
        <f aca="false">IF(AND(AA1659=1,Y1659&lt;1),IF(AND(C1660=C1659,Y1660=Y1659+1),IF(AA1660=1,"",INDEX(DATAS,Y1659+1)),INDEX(DATAS,Y1659+1)),"")</f>
        <v/>
      </c>
    </row>
    <row r="1660" customFormat="false" ht="15" hidden="false" customHeight="false" outlineLevel="0" collapsed="false">
      <c r="A1660" s="45" t="n">
        <v>46309</v>
      </c>
      <c r="B1660" s="0" t="n">
        <v>1</v>
      </c>
      <c r="C1660" s="0" t="n">
        <v>5821</v>
      </c>
      <c r="D1660" s="0" t="n">
        <v>100</v>
      </c>
      <c r="E1660" s="0" t="n">
        <v>1</v>
      </c>
      <c r="F1660" s="39" t="s">
        <v>976</v>
      </c>
      <c r="G1660" s="0" t="n">
        <v>50.5</v>
      </c>
      <c r="H1660" s="0" t="n">
        <v>50</v>
      </c>
      <c r="I1660" s="39" t="s">
        <v>109</v>
      </c>
      <c r="J1660" s="0" t="n">
        <v>65</v>
      </c>
      <c r="K1660" s="0" t="n">
        <v>65</v>
      </c>
      <c r="L1660" s="0" t="n">
        <v>35</v>
      </c>
      <c r="P1660" s="0" t="n">
        <v>3.26</v>
      </c>
      <c r="Q1660" s="0" t="n">
        <v>3.19</v>
      </c>
      <c r="R1660" s="0" t="n">
        <v>4051</v>
      </c>
      <c r="S1660" s="0" t="n">
        <v>8144</v>
      </c>
      <c r="T1660" s="0" t="n">
        <v>43.35</v>
      </c>
      <c r="U1660" s="0" t="n">
        <v>786</v>
      </c>
      <c r="V1660" s="0" t="n">
        <v>1</v>
      </c>
      <c r="W1660" s="39" t="n">
        <f aca="false">IF(I1660="Male",0,1)</f>
        <v>1</v>
      </c>
      <c r="X1660" s="39" t="n">
        <f aca="false">IF(OR(I1660="DNB",I1660="Dry DNB"),1,0)</f>
        <v>0</v>
      </c>
      <c r="Y1660" s="39" t="n">
        <f aca="false">MATCH(A1660,DATAS,0)</f>
        <v>1</v>
      </c>
      <c r="Z1660" s="39" t="n">
        <f aca="false">IF(AND(E1660&gt;0,OR(AND(B1660&gt;=1,B1660&lt;=6),B1660=10)),1,0)</f>
        <v>1</v>
      </c>
      <c r="AA1660" s="39" t="n">
        <f aca="false">IF(AND(E1660&gt;0,B1660=10),1,0)</f>
        <v>0</v>
      </c>
      <c r="AB1660" s="0" t="str">
        <f aca="false">IF(AND(C1659=C1660,Y1659=Y1660-1),Z1659,"")</f>
        <v/>
      </c>
      <c r="AC1660" s="0" t="str">
        <f aca="false">IF(AND(C1659=C1660,Y1659=Y1660-1),AA1659,"")</f>
        <v/>
      </c>
      <c r="AD1660" s="0" t="str">
        <f aca="false">IF(Y1660=1,"",IF(AND(Z1660=1,AB1660&lt;&gt;1),1,0))</f>
        <v/>
      </c>
      <c r="AE1660" s="0" t="str">
        <f aca="false">IF(Y1660=1,"",IF(AND(AA1660=1,AC1660&lt;&gt;1),1,0))</f>
        <v/>
      </c>
      <c r="AF1660" s="45" t="str">
        <f aca="false">IF(AND(E1660&gt;0,Y1660&lt;1,NOT(AND(C1661=C1660,Y1661=Y1660+1))),INDEX(DATAS,Y1660+1),"")</f>
        <v/>
      </c>
      <c r="AG1660" s="45" t="str">
        <f aca="false">IF(AND(AA1660=1,Y1660&lt;1),IF(AND(C1661=C1660,Y1661=Y1660+1),IF(AA1661=1,"",INDEX(DATAS,Y1660+1)),INDEX(DATAS,Y1660+1)),"")</f>
        <v/>
      </c>
    </row>
    <row r="1661" customFormat="false" ht="15" hidden="false" customHeight="false" outlineLevel="0" collapsed="false">
      <c r="A1661" s="45" t="n">
        <v>46309</v>
      </c>
      <c r="B1661" s="0" t="n">
        <v>4</v>
      </c>
      <c r="C1661" s="0" t="n">
        <v>5822</v>
      </c>
      <c r="D1661" s="0" t="n">
        <v>140</v>
      </c>
      <c r="E1661" s="0" t="n">
        <v>1</v>
      </c>
      <c r="F1661" s="39" t="s">
        <v>976</v>
      </c>
      <c r="G1661" s="0" t="n">
        <v>47.7</v>
      </c>
      <c r="H1661" s="0" t="n">
        <v>49</v>
      </c>
      <c r="I1661" s="39" t="s">
        <v>138</v>
      </c>
      <c r="J1661" s="0" t="n">
        <v>140</v>
      </c>
      <c r="K1661" s="0" t="n">
        <v>63</v>
      </c>
      <c r="P1661" s="0" t="n">
        <v>2.67</v>
      </c>
      <c r="Q1661" s="0" t="n">
        <v>3.15</v>
      </c>
      <c r="R1661" s="0" t="n">
        <v>4000</v>
      </c>
      <c r="S1661" s="0" t="n">
        <v>8420</v>
      </c>
      <c r="T1661" s="0" t="n">
        <v>43.1</v>
      </c>
      <c r="U1661" s="0" t="n">
        <v>786</v>
      </c>
      <c r="V1661" s="0" t="n">
        <v>3</v>
      </c>
      <c r="W1661" s="39" t="n">
        <f aca="false">IF(I1661="Male",0,1)</f>
        <v>1</v>
      </c>
      <c r="X1661" s="39" t="n">
        <f aca="false">IF(OR(I1661="DNB",I1661="Dry DNB"),1,0)</f>
        <v>0</v>
      </c>
      <c r="Y1661" s="39" t="n">
        <f aca="false">MATCH(A1661,DATAS,0)</f>
        <v>1</v>
      </c>
      <c r="Z1661" s="39" t="n">
        <f aca="false">IF(AND(E1661&gt;0,OR(AND(B1661&gt;=1,B1661&lt;=6),B1661=10)),1,0)</f>
        <v>1</v>
      </c>
      <c r="AA1661" s="39" t="n">
        <f aca="false">IF(AND(E1661&gt;0,B1661=10),1,0)</f>
        <v>0</v>
      </c>
      <c r="AB1661" s="0" t="str">
        <f aca="false">IF(AND(C1660=C1661,Y1660=Y1661-1),Z1660,"")</f>
        <v/>
      </c>
      <c r="AC1661" s="0" t="str">
        <f aca="false">IF(AND(C1660=C1661,Y1660=Y1661-1),AA1660,"")</f>
        <v/>
      </c>
      <c r="AD1661" s="0" t="str">
        <f aca="false">IF(Y1661=1,"",IF(AND(Z1661=1,AB1661&lt;&gt;1),1,0))</f>
        <v/>
      </c>
      <c r="AE1661" s="0" t="str">
        <f aca="false">IF(Y1661=1,"",IF(AND(AA1661=1,AC1661&lt;&gt;1),1,0))</f>
        <v/>
      </c>
      <c r="AF1661" s="45" t="str">
        <f aca="false">IF(AND(E1661&gt;0,Y1661&lt;1,NOT(AND(C1662=C1661,Y1662=Y1661+1))),INDEX(DATAS,Y1661+1),"")</f>
        <v/>
      </c>
      <c r="AG1661" s="45" t="str">
        <f aca="false">IF(AND(AA1661=1,Y1661&lt;1),IF(AND(C1662=C1661,Y1662=Y1661+1),IF(AA1662=1,"",INDEX(DATAS,Y1661+1)),INDEX(DATAS,Y1661+1)),"")</f>
        <v/>
      </c>
    </row>
    <row r="1662" customFormat="false" ht="15" hidden="false" customHeight="false" outlineLevel="0" collapsed="false">
      <c r="A1662" s="45" t="n">
        <v>46309</v>
      </c>
      <c r="B1662" s="0" t="n">
        <v>1</v>
      </c>
      <c r="C1662" s="0" t="n">
        <v>5824</v>
      </c>
      <c r="D1662" s="0" t="n">
        <v>65</v>
      </c>
      <c r="E1662" s="0" t="n">
        <v>1</v>
      </c>
      <c r="F1662" s="39" t="s">
        <v>977</v>
      </c>
      <c r="G1662" s="0" t="n">
        <v>56.1</v>
      </c>
      <c r="H1662" s="0" t="n">
        <v>55</v>
      </c>
      <c r="I1662" s="39" t="s">
        <v>138</v>
      </c>
      <c r="J1662" s="0" t="n">
        <v>65</v>
      </c>
      <c r="K1662" s="0" t="n">
        <v>65</v>
      </c>
      <c r="P1662" s="0" t="n">
        <v>3.12</v>
      </c>
      <c r="Q1662" s="0" t="n">
        <v>3.21</v>
      </c>
      <c r="R1662" s="0" t="n">
        <v>4679</v>
      </c>
      <c r="S1662" s="0" t="n">
        <v>9405</v>
      </c>
      <c r="U1662" s="0" t="n">
        <v>784</v>
      </c>
      <c r="V1662" s="0" t="n">
        <v>1</v>
      </c>
      <c r="W1662" s="39" t="n">
        <f aca="false">IF(I1662="Male",0,1)</f>
        <v>1</v>
      </c>
      <c r="X1662" s="39" t="n">
        <f aca="false">IF(OR(I1662="DNB",I1662="Dry DNB"),1,0)</f>
        <v>0</v>
      </c>
      <c r="Y1662" s="39" t="n">
        <f aca="false">MATCH(A1662,DATAS,0)</f>
        <v>1</v>
      </c>
      <c r="Z1662" s="39" t="n">
        <f aca="false">IF(AND(E1662&gt;0,OR(AND(B1662&gt;=1,B1662&lt;=6),B1662=10)),1,0)</f>
        <v>1</v>
      </c>
      <c r="AA1662" s="39" t="n">
        <f aca="false">IF(AND(E1662&gt;0,B1662=10),1,0)</f>
        <v>0</v>
      </c>
      <c r="AB1662" s="0" t="str">
        <f aca="false">IF(AND(C1661=C1662,Y1661=Y1662-1),Z1661,"")</f>
        <v/>
      </c>
      <c r="AC1662" s="0" t="str">
        <f aca="false">IF(AND(C1661=C1662,Y1661=Y1662-1),AA1661,"")</f>
        <v/>
      </c>
      <c r="AD1662" s="0" t="str">
        <f aca="false">IF(Y1662=1,"",IF(AND(Z1662=1,AB1662&lt;&gt;1),1,0))</f>
        <v/>
      </c>
      <c r="AE1662" s="0" t="str">
        <f aca="false">IF(Y1662=1,"",IF(AND(AA1662=1,AC1662&lt;&gt;1),1,0))</f>
        <v/>
      </c>
      <c r="AF1662" s="45" t="str">
        <f aca="false">IF(AND(E1662&gt;0,Y1662&lt;1,NOT(AND(C1663=C1662,Y1663=Y1662+1))),INDEX(DATAS,Y1662+1),"")</f>
        <v/>
      </c>
      <c r="AG1662" s="45" t="str">
        <f aca="false">IF(AND(AA1662=1,Y1662&lt;1),IF(AND(C1663=C1662,Y1663=Y1662+1),IF(AA1663=1,"",INDEX(DATAS,Y1662+1)),INDEX(DATAS,Y1662+1)),"")</f>
        <v/>
      </c>
    </row>
    <row r="1663" customFormat="false" ht="15" hidden="false" customHeight="false" outlineLevel="0" collapsed="false">
      <c r="A1663" s="45" t="n">
        <v>46309</v>
      </c>
      <c r="B1663" s="0" t="n">
        <v>4</v>
      </c>
      <c r="C1663" s="0" t="n">
        <v>5826</v>
      </c>
      <c r="D1663" s="0" t="n">
        <v>179</v>
      </c>
      <c r="E1663" s="0" t="n">
        <v>1</v>
      </c>
      <c r="F1663" s="39" t="s">
        <v>978</v>
      </c>
      <c r="G1663" s="0" t="n">
        <v>47.7</v>
      </c>
      <c r="H1663" s="0" t="n">
        <v>49</v>
      </c>
      <c r="I1663" s="39" t="s">
        <v>109</v>
      </c>
      <c r="J1663" s="0" t="n">
        <v>67</v>
      </c>
      <c r="K1663" s="0" t="n">
        <v>67</v>
      </c>
      <c r="L1663" s="0" t="n">
        <v>112</v>
      </c>
      <c r="P1663" s="0" t="n">
        <v>3.61</v>
      </c>
      <c r="Q1663" s="0" t="n">
        <v>3.18</v>
      </c>
      <c r="R1663" s="0" t="n">
        <v>3656</v>
      </c>
      <c r="S1663" s="0" t="n">
        <v>8218</v>
      </c>
      <c r="T1663" s="0" t="n">
        <v>39.95</v>
      </c>
      <c r="U1663" s="0" t="n">
        <v>782</v>
      </c>
      <c r="V1663" s="0" t="n">
        <v>1</v>
      </c>
      <c r="W1663" s="39" t="n">
        <f aca="false">IF(I1663="Male",0,1)</f>
        <v>1</v>
      </c>
      <c r="X1663" s="39" t="n">
        <f aca="false">IF(OR(I1663="DNB",I1663="Dry DNB"),1,0)</f>
        <v>0</v>
      </c>
      <c r="Y1663" s="39" t="n">
        <f aca="false">MATCH(A1663,DATAS,0)</f>
        <v>1</v>
      </c>
      <c r="Z1663" s="39" t="n">
        <f aca="false">IF(AND(E1663&gt;0,OR(AND(B1663&gt;=1,B1663&lt;=6),B1663=10)),1,0)</f>
        <v>1</v>
      </c>
      <c r="AA1663" s="39" t="n">
        <f aca="false">IF(AND(E1663&gt;0,B1663=10),1,0)</f>
        <v>0</v>
      </c>
      <c r="AB1663" s="0" t="str">
        <f aca="false">IF(AND(C1662=C1663,Y1662=Y1663-1),Z1662,"")</f>
        <v/>
      </c>
      <c r="AC1663" s="0" t="str">
        <f aca="false">IF(AND(C1662=C1663,Y1662=Y1663-1),AA1662,"")</f>
        <v/>
      </c>
      <c r="AD1663" s="0" t="str">
        <f aca="false">IF(Y1663=1,"",IF(AND(Z1663=1,AB1663&lt;&gt;1),1,0))</f>
        <v/>
      </c>
      <c r="AE1663" s="0" t="str">
        <f aca="false">IF(Y1663=1,"",IF(AND(AA1663=1,AC1663&lt;&gt;1),1,0))</f>
        <v/>
      </c>
      <c r="AF1663" s="45" t="str">
        <f aca="false">IF(AND(E1663&gt;0,Y1663&lt;1,NOT(AND(C1664=C1663,Y1664=Y1663+1))),INDEX(DATAS,Y1663+1),"")</f>
        <v/>
      </c>
      <c r="AG1663" s="45" t="str">
        <f aca="false">IF(AND(AA1663=1,Y1663&lt;1),IF(AND(C1664=C1663,Y1664=Y1663+1),IF(AA1664=1,"",INDEX(DATAS,Y1663+1)),INDEX(DATAS,Y1663+1)),"")</f>
        <v/>
      </c>
    </row>
    <row r="1664" customFormat="false" ht="15" hidden="false" customHeight="false" outlineLevel="0" collapsed="false">
      <c r="A1664" s="45" t="n">
        <v>46309</v>
      </c>
      <c r="B1664" s="0" t="n">
        <v>7</v>
      </c>
      <c r="C1664" s="0" t="n">
        <v>5827</v>
      </c>
      <c r="E1664" s="0" t="n">
        <v>0</v>
      </c>
      <c r="F1664" s="39" t="s">
        <v>978</v>
      </c>
      <c r="I1664" s="39" t="s">
        <v>109</v>
      </c>
      <c r="L1664" s="0" t="n">
        <v>252</v>
      </c>
      <c r="U1664" s="0" t="n">
        <v>782</v>
      </c>
      <c r="V1664" s="0" t="n">
        <v>8</v>
      </c>
      <c r="W1664" s="39" t="n">
        <f aca="false">IF(I1664="Male",0,1)</f>
        <v>1</v>
      </c>
      <c r="X1664" s="39" t="n">
        <f aca="false">IF(OR(I1664="DNB",I1664="Dry DNB"),1,0)</f>
        <v>0</v>
      </c>
      <c r="Y1664" s="39" t="n">
        <f aca="false">MATCH(A1664,DATAS,0)</f>
        <v>1</v>
      </c>
      <c r="Z1664" s="39" t="n">
        <f aca="false">IF(AND(E1664&gt;0,OR(AND(B1664&gt;=1,B1664&lt;=6),B1664=10)),1,0)</f>
        <v>0</v>
      </c>
      <c r="AA1664" s="39" t="n">
        <f aca="false">IF(AND(E1664&gt;0,B1664=10),1,0)</f>
        <v>0</v>
      </c>
      <c r="AB1664" s="0" t="str">
        <f aca="false">IF(AND(C1663=C1664,Y1663=Y1664-1),Z1663,"")</f>
        <v/>
      </c>
      <c r="AC1664" s="0" t="str">
        <f aca="false">IF(AND(C1663=C1664,Y1663=Y1664-1),AA1663,"")</f>
        <v/>
      </c>
      <c r="AD1664" s="0" t="str">
        <f aca="false">IF(Y1664=1,"",IF(AND(Z1664=1,AB1664&lt;&gt;1),1,0))</f>
        <v/>
      </c>
      <c r="AE1664" s="0" t="str">
        <f aca="false">IF(Y1664=1,"",IF(AND(AA1664=1,AC1664&lt;&gt;1),1,0))</f>
        <v/>
      </c>
      <c r="AF1664" s="45" t="str">
        <f aca="false">IF(AND(E1664&gt;0,Y1664&lt;1,NOT(AND(C1665=C1664,Y1665=Y1664+1))),INDEX(DATAS,Y1664+1),"")</f>
        <v/>
      </c>
      <c r="AG1664" s="45" t="str">
        <f aca="false">IF(AND(AA1664=1,Y1664&lt;1),IF(AND(C1665=C1664,Y1665=Y1664+1),IF(AA1665=1,"",INDEX(DATAS,Y1664+1)),INDEX(DATAS,Y1664+1)),"")</f>
        <v/>
      </c>
    </row>
    <row r="1665" customFormat="false" ht="15" hidden="false" customHeight="false" outlineLevel="0" collapsed="false">
      <c r="A1665" s="45" t="n">
        <v>46309</v>
      </c>
      <c r="B1665" s="0" t="n">
        <v>14</v>
      </c>
      <c r="C1665" s="0" t="n">
        <v>5828</v>
      </c>
      <c r="E1665" s="0" t="n">
        <v>0</v>
      </c>
      <c r="F1665" s="39" t="s">
        <v>978</v>
      </c>
      <c r="I1665" s="39" t="s">
        <v>109</v>
      </c>
      <c r="L1665" s="0" t="n">
        <v>266</v>
      </c>
      <c r="U1665" s="0" t="n">
        <v>782</v>
      </c>
      <c r="V1665" s="0" t="n">
        <v>3</v>
      </c>
      <c r="W1665" s="39" t="n">
        <f aca="false">IF(I1665="Male",0,1)</f>
        <v>1</v>
      </c>
      <c r="X1665" s="39" t="n">
        <f aca="false">IF(OR(I1665="DNB",I1665="Dry DNB"),1,0)</f>
        <v>0</v>
      </c>
      <c r="Y1665" s="39" t="n">
        <f aca="false">MATCH(A1665,DATAS,0)</f>
        <v>1</v>
      </c>
      <c r="Z1665" s="39" t="n">
        <f aca="false">IF(AND(E1665&gt;0,OR(AND(B1665&gt;=1,B1665&lt;=6),B1665=10)),1,0)</f>
        <v>0</v>
      </c>
      <c r="AA1665" s="39" t="n">
        <f aca="false">IF(AND(E1665&gt;0,B1665=10),1,0)</f>
        <v>0</v>
      </c>
      <c r="AB1665" s="0" t="str">
        <f aca="false">IF(AND(C1664=C1665,Y1664=Y1665-1),Z1664,"")</f>
        <v/>
      </c>
      <c r="AC1665" s="0" t="str">
        <f aca="false">IF(AND(C1664=C1665,Y1664=Y1665-1),AA1664,"")</f>
        <v/>
      </c>
      <c r="AD1665" s="0" t="str">
        <f aca="false">IF(Y1665=1,"",IF(AND(Z1665=1,AB1665&lt;&gt;1),1,0))</f>
        <v/>
      </c>
      <c r="AE1665" s="0" t="str">
        <f aca="false">IF(Y1665=1,"",IF(AND(AA1665=1,AC1665&lt;&gt;1),1,0))</f>
        <v/>
      </c>
      <c r="AF1665" s="45" t="str">
        <f aca="false">IF(AND(E1665&gt;0,Y1665&lt;1,NOT(AND(C1666=C1665,Y1666=Y1665+1))),INDEX(DATAS,Y1665+1),"")</f>
        <v/>
      </c>
      <c r="AG1665" s="45" t="str">
        <f aca="false">IF(AND(AA1665=1,Y1665&lt;1),IF(AND(C1666=C1665,Y1666=Y1665+1),IF(AA1666=1,"",INDEX(DATAS,Y1665+1)),INDEX(DATAS,Y1665+1)),"")</f>
        <v/>
      </c>
    </row>
    <row r="1666" customFormat="false" ht="15" hidden="false" customHeight="false" outlineLevel="0" collapsed="false">
      <c r="A1666" s="45" t="n">
        <v>46309</v>
      </c>
      <c r="B1666" s="0" t="n">
        <v>4</v>
      </c>
      <c r="C1666" s="0" t="n">
        <v>5829</v>
      </c>
      <c r="D1666" s="0" t="n">
        <v>142</v>
      </c>
      <c r="E1666" s="0" t="n">
        <v>1</v>
      </c>
      <c r="F1666" s="39" t="s">
        <v>979</v>
      </c>
      <c r="G1666" s="0" t="n">
        <v>32</v>
      </c>
      <c r="H1666" s="0" t="n">
        <v>38</v>
      </c>
      <c r="I1666" s="39" t="s">
        <v>146</v>
      </c>
      <c r="J1666" s="0" t="n">
        <v>142</v>
      </c>
      <c r="K1666" s="0" t="n">
        <v>66</v>
      </c>
      <c r="P1666" s="0" t="n">
        <v>4.2</v>
      </c>
      <c r="Q1666" s="0" t="n">
        <v>3.31</v>
      </c>
      <c r="R1666" s="0" t="n">
        <v>3016</v>
      </c>
      <c r="S1666" s="0" t="n">
        <v>6610</v>
      </c>
      <c r="T1666" s="0" t="n">
        <v>33.1</v>
      </c>
      <c r="U1666" s="0" t="n">
        <v>781</v>
      </c>
      <c r="V1666" s="0" t="n">
        <v>2</v>
      </c>
      <c r="W1666" s="39" t="n">
        <f aca="false">IF(I1666="Male",0,1)</f>
        <v>1</v>
      </c>
      <c r="X1666" s="39" t="n">
        <f aca="false">IF(OR(I1666="DNB",I1666="Dry DNB"),1,0)</f>
        <v>0</v>
      </c>
      <c r="Y1666" s="39" t="n">
        <f aca="false">MATCH(A1666,DATAS,0)</f>
        <v>1</v>
      </c>
      <c r="Z1666" s="39" t="n">
        <f aca="false">IF(AND(E1666&gt;0,OR(AND(B1666&gt;=1,B1666&lt;=6),B1666=10)),1,0)</f>
        <v>1</v>
      </c>
      <c r="AA1666" s="39" t="n">
        <f aca="false">IF(AND(E1666&gt;0,B1666=10),1,0)</f>
        <v>0</v>
      </c>
      <c r="AB1666" s="0" t="str">
        <f aca="false">IF(AND(C1665=C1666,Y1665=Y1666-1),Z1665,"")</f>
        <v/>
      </c>
      <c r="AC1666" s="0" t="str">
        <f aca="false">IF(AND(C1665=C1666,Y1665=Y1666-1),AA1665,"")</f>
        <v/>
      </c>
      <c r="AD1666" s="0" t="str">
        <f aca="false">IF(Y1666=1,"",IF(AND(Z1666=1,AB1666&lt;&gt;1),1,0))</f>
        <v/>
      </c>
      <c r="AE1666" s="0" t="str">
        <f aca="false">IF(Y1666=1,"",IF(AND(AA1666=1,AC1666&lt;&gt;1),1,0))</f>
        <v/>
      </c>
      <c r="AF1666" s="45" t="str">
        <f aca="false">IF(AND(E1666&gt;0,Y1666&lt;1,NOT(AND(C1667=C1666,Y1667=Y1666+1))),INDEX(DATAS,Y1666+1),"")</f>
        <v/>
      </c>
      <c r="AG1666" s="45" t="str">
        <f aca="false">IF(AND(AA1666=1,Y1666&lt;1),IF(AND(C1667=C1666,Y1667=Y1666+1),IF(AA1667=1,"",INDEX(DATAS,Y1666+1)),INDEX(DATAS,Y1666+1)),"")</f>
        <v/>
      </c>
    </row>
    <row r="1667" customFormat="false" ht="15" hidden="false" customHeight="false" outlineLevel="0" collapsed="false">
      <c r="A1667" s="45" t="n">
        <v>46309</v>
      </c>
      <c r="B1667" s="0" t="n">
        <v>10</v>
      </c>
      <c r="C1667" s="0" t="n">
        <v>5833</v>
      </c>
      <c r="D1667" s="0" t="n">
        <v>112</v>
      </c>
      <c r="E1667" s="0" t="n">
        <v>1</v>
      </c>
      <c r="F1667" s="39" t="s">
        <v>979</v>
      </c>
      <c r="G1667" s="0" t="n">
        <v>27.5</v>
      </c>
      <c r="H1667" s="0" t="n">
        <v>32</v>
      </c>
      <c r="I1667" s="39" t="s">
        <v>138</v>
      </c>
      <c r="J1667" s="0" t="n">
        <v>112</v>
      </c>
      <c r="K1667" s="0" t="n">
        <v>64</v>
      </c>
      <c r="P1667" s="0" t="n">
        <v>4.42</v>
      </c>
      <c r="Q1667" s="0" t="n">
        <v>3.08</v>
      </c>
      <c r="R1667" s="0" t="n">
        <v>4104</v>
      </c>
      <c r="S1667" s="0" t="n">
        <v>8349</v>
      </c>
      <c r="T1667" s="0" t="n">
        <v>44.75</v>
      </c>
      <c r="U1667" s="0" t="n">
        <v>781</v>
      </c>
      <c r="V1667" s="0" t="n">
        <v>2</v>
      </c>
      <c r="W1667" s="39" t="n">
        <f aca="false">IF(I1667="Male",0,1)</f>
        <v>1</v>
      </c>
      <c r="X1667" s="39" t="n">
        <f aca="false">IF(OR(I1667="DNB",I1667="Dry DNB"),1,0)</f>
        <v>0</v>
      </c>
      <c r="Y1667" s="39" t="n">
        <f aca="false">MATCH(A1667,DATAS,0)</f>
        <v>1</v>
      </c>
      <c r="Z1667" s="39" t="n">
        <f aca="false">IF(AND(E1667&gt;0,OR(AND(B1667&gt;=1,B1667&lt;=6),B1667=10)),1,0)</f>
        <v>1</v>
      </c>
      <c r="AA1667" s="39" t="n">
        <f aca="false">IF(AND(E1667&gt;0,B1667=10),1,0)</f>
        <v>1</v>
      </c>
      <c r="AB1667" s="0" t="str">
        <f aca="false">IF(AND(C1666=C1667,Y1666=Y1667-1),Z1666,"")</f>
        <v/>
      </c>
      <c r="AC1667" s="0" t="str">
        <f aca="false">IF(AND(C1666=C1667,Y1666=Y1667-1),AA1666,"")</f>
        <v/>
      </c>
      <c r="AD1667" s="0" t="str">
        <f aca="false">IF(Y1667=1,"",IF(AND(Z1667=1,AB1667&lt;&gt;1),1,0))</f>
        <v/>
      </c>
      <c r="AE1667" s="0" t="str">
        <f aca="false">IF(Y1667=1,"",IF(AND(AA1667=1,AC1667&lt;&gt;1),1,0))</f>
        <v/>
      </c>
      <c r="AF1667" s="45" t="str">
        <f aca="false">IF(AND(E1667&gt;0,Y1667&lt;1,NOT(AND(C1668=C1667,Y1668=Y1667+1))),INDEX(DATAS,Y1667+1),"")</f>
        <v/>
      </c>
      <c r="AG1667" s="45" t="str">
        <f aca="false">IF(AND(AA1667=1,Y1667&lt;1),IF(AND(C1668=C1667,Y1668=Y1667+1),IF(AA1668=1,"",INDEX(DATAS,Y1667+1)),INDEX(DATAS,Y1667+1)),"")</f>
        <v/>
      </c>
    </row>
    <row r="1668" customFormat="false" ht="15" hidden="false" customHeight="false" outlineLevel="0" collapsed="false">
      <c r="A1668" s="45" t="n">
        <v>46309</v>
      </c>
      <c r="B1668" s="0" t="n">
        <v>1</v>
      </c>
      <c r="C1668" s="0" t="n">
        <v>5834</v>
      </c>
      <c r="D1668" s="0" t="n">
        <v>89</v>
      </c>
      <c r="E1668" s="0" t="n">
        <v>1</v>
      </c>
      <c r="F1668" s="39" t="s">
        <v>979</v>
      </c>
      <c r="G1668" s="0" t="n">
        <v>56.7</v>
      </c>
      <c r="H1668" s="0" t="n">
        <v>57</v>
      </c>
      <c r="I1668" s="39" t="s">
        <v>138</v>
      </c>
      <c r="J1668" s="0" t="n">
        <v>89</v>
      </c>
      <c r="K1668" s="0" t="n">
        <v>68</v>
      </c>
      <c r="P1668" s="0" t="n">
        <v>4.14</v>
      </c>
      <c r="Q1668" s="0" t="n">
        <v>3.1</v>
      </c>
      <c r="R1668" s="0" t="n">
        <v>4913</v>
      </c>
      <c r="S1668" s="0" t="n">
        <v>9877</v>
      </c>
      <c r="U1668" s="0" t="n">
        <v>781</v>
      </c>
      <c r="V1668" s="0" t="n">
        <v>1</v>
      </c>
      <c r="W1668" s="39" t="n">
        <f aca="false">IF(I1668="Male",0,1)</f>
        <v>1</v>
      </c>
      <c r="X1668" s="39" t="n">
        <f aca="false">IF(OR(I1668="DNB",I1668="Dry DNB"),1,0)</f>
        <v>0</v>
      </c>
      <c r="Y1668" s="39" t="n">
        <f aca="false">MATCH(A1668,DATAS,0)</f>
        <v>1</v>
      </c>
      <c r="Z1668" s="39" t="n">
        <f aca="false">IF(AND(E1668&gt;0,OR(AND(B1668&gt;=1,B1668&lt;=6),B1668=10)),1,0)</f>
        <v>1</v>
      </c>
      <c r="AA1668" s="39" t="n">
        <f aca="false">IF(AND(E1668&gt;0,B1668=10),1,0)</f>
        <v>0</v>
      </c>
      <c r="AB1668" s="0" t="str">
        <f aca="false">IF(AND(C1667=C1668,Y1667=Y1668-1),Z1667,"")</f>
        <v/>
      </c>
      <c r="AC1668" s="0" t="str">
        <f aca="false">IF(AND(C1667=C1668,Y1667=Y1668-1),AA1667,"")</f>
        <v/>
      </c>
      <c r="AD1668" s="0" t="str">
        <f aca="false">IF(Y1668=1,"",IF(AND(Z1668=1,AB1668&lt;&gt;1),1,0))</f>
        <v/>
      </c>
      <c r="AE1668" s="0" t="str">
        <f aca="false">IF(Y1668=1,"",IF(AND(AA1668=1,AC1668&lt;&gt;1),1,0))</f>
        <v/>
      </c>
      <c r="AF1668" s="45" t="str">
        <f aca="false">IF(AND(E1668&gt;0,Y1668&lt;1,NOT(AND(C1669=C1668,Y1669=Y1668+1))),INDEX(DATAS,Y1668+1),"")</f>
        <v/>
      </c>
      <c r="AG1668" s="45" t="str">
        <f aca="false">IF(AND(AA1668=1,Y1668&lt;1),IF(AND(C1669=C1668,Y1669=Y1668+1),IF(AA1669=1,"",INDEX(DATAS,Y1668+1)),INDEX(DATAS,Y1668+1)),"")</f>
        <v/>
      </c>
    </row>
    <row r="1669" customFormat="false" ht="15" hidden="false" customHeight="false" outlineLevel="0" collapsed="false">
      <c r="A1669" s="45" t="n">
        <v>46309</v>
      </c>
      <c r="B1669" s="0" t="n">
        <v>6</v>
      </c>
      <c r="C1669" s="0" t="n">
        <v>5835</v>
      </c>
      <c r="D1669" s="0" t="n">
        <v>142</v>
      </c>
      <c r="E1669" s="0" t="n">
        <v>1</v>
      </c>
      <c r="F1669" s="39" t="s">
        <v>980</v>
      </c>
      <c r="G1669" s="0" t="n">
        <v>31.1</v>
      </c>
      <c r="H1669" s="0" t="n">
        <v>41</v>
      </c>
      <c r="I1669" s="39" t="s">
        <v>109</v>
      </c>
      <c r="J1669" s="0" t="n">
        <v>100</v>
      </c>
      <c r="K1669" s="0" t="n">
        <v>65</v>
      </c>
      <c r="L1669" s="0" t="n">
        <v>42</v>
      </c>
      <c r="P1669" s="0" t="n">
        <v>3.35</v>
      </c>
      <c r="Q1669" s="0" t="n">
        <v>3.22</v>
      </c>
      <c r="R1669" s="0" t="n">
        <v>3978</v>
      </c>
      <c r="S1669" s="0" t="n">
        <v>8724</v>
      </c>
      <c r="T1669" s="0" t="n">
        <v>47.1</v>
      </c>
      <c r="U1669" s="0" t="n">
        <v>780</v>
      </c>
      <c r="V1669" s="0" t="n">
        <v>2</v>
      </c>
      <c r="W1669" s="39" t="n">
        <f aca="false">IF(I1669="Male",0,1)</f>
        <v>1</v>
      </c>
      <c r="X1669" s="39" t="n">
        <f aca="false">IF(OR(I1669="DNB",I1669="Dry DNB"),1,0)</f>
        <v>0</v>
      </c>
      <c r="Y1669" s="39" t="n">
        <f aca="false">MATCH(A1669,DATAS,0)</f>
        <v>1</v>
      </c>
      <c r="Z1669" s="39" t="n">
        <f aca="false">IF(AND(E1669&gt;0,OR(AND(B1669&gt;=1,B1669&lt;=6),B1669=10)),1,0)</f>
        <v>1</v>
      </c>
      <c r="AA1669" s="39" t="n">
        <f aca="false">IF(AND(E1669&gt;0,B1669=10),1,0)</f>
        <v>0</v>
      </c>
      <c r="AB1669" s="0" t="str">
        <f aca="false">IF(AND(C1668=C1669,Y1668=Y1669-1),Z1668,"")</f>
        <v/>
      </c>
      <c r="AC1669" s="0" t="str">
        <f aca="false">IF(AND(C1668=C1669,Y1668=Y1669-1),AA1668,"")</f>
        <v/>
      </c>
      <c r="AD1669" s="0" t="str">
        <f aca="false">IF(Y1669=1,"",IF(AND(Z1669=1,AB1669&lt;&gt;1),1,0))</f>
        <v/>
      </c>
      <c r="AE1669" s="0" t="str">
        <f aca="false">IF(Y1669=1,"",IF(AND(AA1669=1,AC1669&lt;&gt;1),1,0))</f>
        <v/>
      </c>
      <c r="AF1669" s="45" t="str">
        <f aca="false">IF(AND(E1669&gt;0,Y1669&lt;1,NOT(AND(C1670=C1669,Y1670=Y1669+1))),INDEX(DATAS,Y1669+1),"")</f>
        <v/>
      </c>
      <c r="AG1669" s="45" t="str">
        <f aca="false">IF(AND(AA1669=1,Y1669&lt;1),IF(AND(C1670=C1669,Y1670=Y1669+1),IF(AA1670=1,"",INDEX(DATAS,Y1669+1)),INDEX(DATAS,Y1669+1)),"")</f>
        <v/>
      </c>
    </row>
    <row r="1670" customFormat="false" ht="15" hidden="false" customHeight="false" outlineLevel="0" collapsed="false">
      <c r="A1670" s="45" t="n">
        <v>46309</v>
      </c>
      <c r="B1670" s="0" t="n">
        <v>4</v>
      </c>
      <c r="C1670" s="0" t="n">
        <v>5836</v>
      </c>
      <c r="D1670" s="0" t="n">
        <v>135</v>
      </c>
      <c r="E1670" s="0" t="n">
        <v>1</v>
      </c>
      <c r="F1670" s="39" t="s">
        <v>980</v>
      </c>
      <c r="G1670" s="0" t="n">
        <v>43.7</v>
      </c>
      <c r="H1670" s="0" t="n">
        <v>45</v>
      </c>
      <c r="I1670" s="39" t="s">
        <v>146</v>
      </c>
      <c r="J1670" s="0" t="n">
        <v>135</v>
      </c>
      <c r="K1670" s="0" t="n">
        <v>65</v>
      </c>
      <c r="P1670" s="0" t="n">
        <v>3.75</v>
      </c>
      <c r="Q1670" s="0" t="n">
        <v>3.43</v>
      </c>
      <c r="R1670" s="0" t="n">
        <v>3510</v>
      </c>
      <c r="S1670" s="0" t="n">
        <v>7783</v>
      </c>
      <c r="T1670" s="0" t="n">
        <v>40.5</v>
      </c>
      <c r="U1670" s="0" t="n">
        <v>780</v>
      </c>
      <c r="V1670" s="0" t="n">
        <v>2</v>
      </c>
      <c r="W1670" s="39" t="n">
        <f aca="false">IF(I1670="Male",0,1)</f>
        <v>1</v>
      </c>
      <c r="X1670" s="39" t="n">
        <f aca="false">IF(OR(I1670="DNB",I1670="Dry DNB"),1,0)</f>
        <v>0</v>
      </c>
      <c r="Y1670" s="39" t="n">
        <f aca="false">MATCH(A1670,DATAS,0)</f>
        <v>1</v>
      </c>
      <c r="Z1670" s="39" t="n">
        <f aca="false">IF(AND(E1670&gt;0,OR(AND(B1670&gt;=1,B1670&lt;=6),B1670=10)),1,0)</f>
        <v>1</v>
      </c>
      <c r="AA1670" s="39" t="n">
        <f aca="false">IF(AND(E1670&gt;0,B1670=10),1,0)</f>
        <v>0</v>
      </c>
      <c r="AB1670" s="0" t="str">
        <f aca="false">IF(AND(C1669=C1670,Y1669=Y1670-1),Z1669,"")</f>
        <v/>
      </c>
      <c r="AC1670" s="0" t="str">
        <f aca="false">IF(AND(C1669=C1670,Y1669=Y1670-1),AA1669,"")</f>
        <v/>
      </c>
      <c r="AD1670" s="0" t="str">
        <f aca="false">IF(Y1670=1,"",IF(AND(Z1670=1,AB1670&lt;&gt;1),1,0))</f>
        <v/>
      </c>
      <c r="AE1670" s="0" t="str">
        <f aca="false">IF(Y1670=1,"",IF(AND(AA1670=1,AC1670&lt;&gt;1),1,0))</f>
        <v/>
      </c>
      <c r="AF1670" s="45" t="str">
        <f aca="false">IF(AND(E1670&gt;0,Y1670&lt;1,NOT(AND(C1671=C1670,Y1671=Y1670+1))),INDEX(DATAS,Y1670+1),"")</f>
        <v/>
      </c>
      <c r="AG1670" s="45" t="str">
        <f aca="false">IF(AND(AA1670=1,Y1670&lt;1),IF(AND(C1671=C1670,Y1671=Y1670+1),IF(AA1671=1,"",INDEX(DATAS,Y1670+1)),INDEX(DATAS,Y1670+1)),"")</f>
        <v/>
      </c>
    </row>
    <row r="1671" customFormat="false" ht="15" hidden="false" customHeight="false" outlineLevel="0" collapsed="false">
      <c r="A1671" s="45" t="n">
        <v>46309</v>
      </c>
      <c r="B1671" s="0" t="n">
        <v>4</v>
      </c>
      <c r="C1671" s="0" t="n">
        <v>5837</v>
      </c>
      <c r="D1671" s="0" t="n">
        <v>114</v>
      </c>
      <c r="E1671" s="0" t="n">
        <v>1</v>
      </c>
      <c r="F1671" s="39" t="s">
        <v>981</v>
      </c>
      <c r="G1671" s="0" t="n">
        <v>59.5</v>
      </c>
      <c r="H1671" s="0" t="n">
        <v>58</v>
      </c>
      <c r="I1671" s="39" t="s">
        <v>109</v>
      </c>
      <c r="J1671" s="0" t="n">
        <v>65</v>
      </c>
      <c r="K1671" s="0" t="n">
        <v>65</v>
      </c>
      <c r="L1671" s="0" t="n">
        <v>49</v>
      </c>
      <c r="P1671" s="0" t="n">
        <v>2.93</v>
      </c>
      <c r="Q1671" s="0" t="n">
        <v>3.12</v>
      </c>
      <c r="R1671" s="0" t="n">
        <v>4597</v>
      </c>
      <c r="S1671" s="0" t="n">
        <v>9562</v>
      </c>
      <c r="T1671" s="0" t="n">
        <v>52.35</v>
      </c>
      <c r="U1671" s="0" t="n">
        <v>779</v>
      </c>
      <c r="V1671" s="0" t="n">
        <v>1</v>
      </c>
      <c r="W1671" s="39" t="n">
        <f aca="false">IF(I1671="Male",0,1)</f>
        <v>1</v>
      </c>
      <c r="X1671" s="39" t="n">
        <f aca="false">IF(OR(I1671="DNB",I1671="Dry DNB"),1,0)</f>
        <v>0</v>
      </c>
      <c r="Y1671" s="39" t="n">
        <f aca="false">MATCH(A1671,DATAS,0)</f>
        <v>1</v>
      </c>
      <c r="Z1671" s="39" t="n">
        <f aca="false">IF(AND(E1671&gt;0,OR(AND(B1671&gt;=1,B1671&lt;=6),B1671=10)),1,0)</f>
        <v>1</v>
      </c>
      <c r="AA1671" s="39" t="n">
        <f aca="false">IF(AND(E1671&gt;0,B1671=10),1,0)</f>
        <v>0</v>
      </c>
      <c r="AB1671" s="0" t="str">
        <f aca="false">IF(AND(C1670=C1671,Y1670=Y1671-1),Z1670,"")</f>
        <v/>
      </c>
      <c r="AC1671" s="0" t="str">
        <f aca="false">IF(AND(C1670=C1671,Y1670=Y1671-1),AA1670,"")</f>
        <v/>
      </c>
      <c r="AD1671" s="0" t="str">
        <f aca="false">IF(Y1671=1,"",IF(AND(Z1671=1,AB1671&lt;&gt;1),1,0))</f>
        <v/>
      </c>
      <c r="AE1671" s="0" t="str">
        <f aca="false">IF(Y1671=1,"",IF(AND(AA1671=1,AC1671&lt;&gt;1),1,0))</f>
        <v/>
      </c>
      <c r="AF1671" s="45" t="str">
        <f aca="false">IF(AND(E1671&gt;0,Y1671&lt;1,NOT(AND(C1672=C1671,Y1672=Y1671+1))),INDEX(DATAS,Y1671+1),"")</f>
        <v/>
      </c>
      <c r="AG1671" s="45" t="str">
        <f aca="false">IF(AND(AA1671=1,Y1671&lt;1),IF(AND(C1672=C1671,Y1672=Y1671+1),IF(AA1672=1,"",INDEX(DATAS,Y1671+1)),INDEX(DATAS,Y1671+1)),"")</f>
        <v/>
      </c>
    </row>
    <row r="1672" customFormat="false" ht="15" hidden="false" customHeight="false" outlineLevel="0" collapsed="false">
      <c r="A1672" s="45" t="n">
        <v>46309</v>
      </c>
      <c r="B1672" s="0" t="n">
        <v>4</v>
      </c>
      <c r="C1672" s="0" t="n">
        <v>5838</v>
      </c>
      <c r="D1672" s="0" t="n">
        <v>142</v>
      </c>
      <c r="E1672" s="0" t="n">
        <v>1</v>
      </c>
      <c r="F1672" s="39" t="s">
        <v>982</v>
      </c>
      <c r="G1672" s="0" t="n">
        <v>62.6</v>
      </c>
      <c r="H1672" s="0" t="n">
        <v>62</v>
      </c>
      <c r="I1672" s="39" t="s">
        <v>138</v>
      </c>
      <c r="J1672" s="0" t="n">
        <v>142</v>
      </c>
      <c r="K1672" s="0" t="n">
        <v>65</v>
      </c>
      <c r="P1672" s="0" t="n">
        <v>3.6</v>
      </c>
      <c r="Q1672" s="0" t="n">
        <v>2.72</v>
      </c>
      <c r="R1672" s="0" t="n">
        <v>4615</v>
      </c>
      <c r="S1672" s="0" t="n">
        <v>10032</v>
      </c>
      <c r="T1672" s="0" t="n">
        <v>52.75</v>
      </c>
      <c r="U1672" s="0" t="n">
        <v>778</v>
      </c>
      <c r="V1672" s="0" t="n">
        <v>2</v>
      </c>
      <c r="W1672" s="39" t="n">
        <f aca="false">IF(I1672="Male",0,1)</f>
        <v>1</v>
      </c>
      <c r="X1672" s="39" t="n">
        <f aca="false">IF(OR(I1672="DNB",I1672="Dry DNB"),1,0)</f>
        <v>0</v>
      </c>
      <c r="Y1672" s="39" t="n">
        <f aca="false">MATCH(A1672,DATAS,0)</f>
        <v>1</v>
      </c>
      <c r="Z1672" s="39" t="n">
        <f aca="false">IF(AND(E1672&gt;0,OR(AND(B1672&gt;=1,B1672&lt;=6),B1672=10)),1,0)</f>
        <v>1</v>
      </c>
      <c r="AA1672" s="39" t="n">
        <f aca="false">IF(AND(E1672&gt;0,B1672=10),1,0)</f>
        <v>0</v>
      </c>
      <c r="AB1672" s="0" t="str">
        <f aca="false">IF(AND(C1671=C1672,Y1671=Y1672-1),Z1671,"")</f>
        <v/>
      </c>
      <c r="AC1672" s="0" t="str">
        <f aca="false">IF(AND(C1671=C1672,Y1671=Y1672-1),AA1671,"")</f>
        <v/>
      </c>
      <c r="AD1672" s="0" t="str">
        <f aca="false">IF(Y1672=1,"",IF(AND(Z1672=1,AB1672&lt;&gt;1),1,0))</f>
        <v/>
      </c>
      <c r="AE1672" s="0" t="str">
        <f aca="false">IF(Y1672=1,"",IF(AND(AA1672=1,AC1672&lt;&gt;1),1,0))</f>
        <v/>
      </c>
      <c r="AF1672" s="45" t="str">
        <f aca="false">IF(AND(E1672&gt;0,Y1672&lt;1,NOT(AND(C1673=C1672,Y1673=Y1672+1))),INDEX(DATAS,Y1672+1),"")</f>
        <v/>
      </c>
      <c r="AG1672" s="45" t="str">
        <f aca="false">IF(AND(AA1672=1,Y1672&lt;1),IF(AND(C1673=C1672,Y1673=Y1672+1),IF(AA1673=1,"",INDEX(DATAS,Y1672+1)),INDEX(DATAS,Y1672+1)),"")</f>
        <v/>
      </c>
    </row>
    <row r="1673" customFormat="false" ht="15" hidden="false" customHeight="false" outlineLevel="0" collapsed="false">
      <c r="A1673" s="45" t="n">
        <v>46309</v>
      </c>
      <c r="B1673" s="0" t="n">
        <v>1</v>
      </c>
      <c r="C1673" s="0" t="n">
        <v>5839</v>
      </c>
      <c r="D1673" s="0" t="n">
        <v>101</v>
      </c>
      <c r="E1673" s="0" t="n">
        <v>1</v>
      </c>
      <c r="F1673" s="39" t="s">
        <v>982</v>
      </c>
      <c r="G1673" s="0" t="n">
        <v>49.1</v>
      </c>
      <c r="H1673" s="0" t="n">
        <v>47</v>
      </c>
      <c r="I1673" s="39" t="s">
        <v>138</v>
      </c>
      <c r="J1673" s="0" t="n">
        <v>101</v>
      </c>
      <c r="K1673" s="0" t="n">
        <v>66</v>
      </c>
      <c r="P1673" s="0" t="n">
        <v>3.7</v>
      </c>
      <c r="Q1673" s="0" t="n">
        <v>3.37</v>
      </c>
      <c r="R1673" s="0" t="n">
        <v>4280</v>
      </c>
      <c r="S1673" s="0" t="n">
        <v>8613</v>
      </c>
      <c r="T1673" s="0" t="n">
        <v>47.8</v>
      </c>
      <c r="U1673" s="0" t="n">
        <v>778</v>
      </c>
      <c r="V1673" s="0" t="n">
        <v>2</v>
      </c>
      <c r="W1673" s="39" t="n">
        <f aca="false">IF(I1673="Male",0,1)</f>
        <v>1</v>
      </c>
      <c r="X1673" s="39" t="n">
        <f aca="false">IF(OR(I1673="DNB",I1673="Dry DNB"),1,0)</f>
        <v>0</v>
      </c>
      <c r="Y1673" s="39" t="n">
        <f aca="false">MATCH(A1673,DATAS,0)</f>
        <v>1</v>
      </c>
      <c r="Z1673" s="39" t="n">
        <f aca="false">IF(AND(E1673&gt;0,OR(AND(B1673&gt;=1,B1673&lt;=6),B1673=10)),1,0)</f>
        <v>1</v>
      </c>
      <c r="AA1673" s="39" t="n">
        <f aca="false">IF(AND(E1673&gt;0,B1673=10),1,0)</f>
        <v>0</v>
      </c>
      <c r="AB1673" s="0" t="str">
        <f aca="false">IF(AND(C1672=C1673,Y1672=Y1673-1),Z1672,"")</f>
        <v/>
      </c>
      <c r="AC1673" s="0" t="str">
        <f aca="false">IF(AND(C1672=C1673,Y1672=Y1673-1),AA1672,"")</f>
        <v/>
      </c>
      <c r="AD1673" s="0" t="str">
        <f aca="false">IF(Y1673=1,"",IF(AND(Z1673=1,AB1673&lt;&gt;1),1,0))</f>
        <v/>
      </c>
      <c r="AE1673" s="0" t="str">
        <f aca="false">IF(Y1673=1,"",IF(AND(AA1673=1,AC1673&lt;&gt;1),1,0))</f>
        <v/>
      </c>
      <c r="AF1673" s="45" t="str">
        <f aca="false">IF(AND(E1673&gt;0,Y1673&lt;1,NOT(AND(C1674=C1673,Y1674=Y1673+1))),INDEX(DATAS,Y1673+1),"")</f>
        <v/>
      </c>
      <c r="AG1673" s="45" t="str">
        <f aca="false">IF(AND(AA1673=1,Y1673&lt;1),IF(AND(C1674=C1673,Y1674=Y1673+1),IF(AA1674=1,"",INDEX(DATAS,Y1673+1)),INDEX(DATAS,Y1673+1)),"")</f>
        <v/>
      </c>
    </row>
    <row r="1674" customFormat="false" ht="15" hidden="false" customHeight="false" outlineLevel="0" collapsed="false">
      <c r="A1674" s="45" t="n">
        <v>46309</v>
      </c>
      <c r="B1674" s="0" t="n">
        <v>1</v>
      </c>
      <c r="C1674" s="0" t="n">
        <v>5840</v>
      </c>
      <c r="D1674" s="0" t="n">
        <v>88</v>
      </c>
      <c r="E1674" s="0" t="n">
        <v>1</v>
      </c>
      <c r="F1674" s="39" t="s">
        <v>982</v>
      </c>
      <c r="G1674" s="0" t="n">
        <v>58.1</v>
      </c>
      <c r="H1674" s="0" t="n">
        <v>57</v>
      </c>
      <c r="I1674" s="39" t="s">
        <v>138</v>
      </c>
      <c r="J1674" s="0" t="n">
        <v>88</v>
      </c>
      <c r="K1674" s="0" t="n">
        <v>67</v>
      </c>
      <c r="P1674" s="0" t="n">
        <v>3.16</v>
      </c>
      <c r="Q1674" s="0" t="n">
        <v>3.18</v>
      </c>
      <c r="R1674" s="0" t="n">
        <v>4593</v>
      </c>
      <c r="S1674" s="0" t="n">
        <v>9233</v>
      </c>
      <c r="U1674" s="0" t="n">
        <v>778</v>
      </c>
      <c r="V1674" s="0" t="n">
        <v>1</v>
      </c>
      <c r="W1674" s="39" t="n">
        <f aca="false">IF(I1674="Male",0,1)</f>
        <v>1</v>
      </c>
      <c r="X1674" s="39" t="n">
        <f aca="false">IF(OR(I1674="DNB",I1674="Dry DNB"),1,0)</f>
        <v>0</v>
      </c>
      <c r="Y1674" s="39" t="n">
        <f aca="false">MATCH(A1674,DATAS,0)</f>
        <v>1</v>
      </c>
      <c r="Z1674" s="39" t="n">
        <f aca="false">IF(AND(E1674&gt;0,OR(AND(B1674&gt;=1,B1674&lt;=6),B1674=10)),1,0)</f>
        <v>1</v>
      </c>
      <c r="AA1674" s="39" t="n">
        <f aca="false">IF(AND(E1674&gt;0,B1674=10),1,0)</f>
        <v>0</v>
      </c>
      <c r="AB1674" s="0" t="str">
        <f aca="false">IF(AND(C1673=C1674,Y1673=Y1674-1),Z1673,"")</f>
        <v/>
      </c>
      <c r="AC1674" s="0" t="str">
        <f aca="false">IF(AND(C1673=C1674,Y1673=Y1674-1),AA1673,"")</f>
        <v/>
      </c>
      <c r="AD1674" s="0" t="str">
        <f aca="false">IF(Y1674=1,"",IF(AND(Z1674=1,AB1674&lt;&gt;1),1,0))</f>
        <v/>
      </c>
      <c r="AE1674" s="0" t="str">
        <f aca="false">IF(Y1674=1,"",IF(AND(AA1674=1,AC1674&lt;&gt;1),1,0))</f>
        <v/>
      </c>
      <c r="AF1674" s="45" t="str">
        <f aca="false">IF(AND(E1674&gt;0,Y1674&lt;1,NOT(AND(C1675=C1674,Y1675=Y1674+1))),INDEX(DATAS,Y1674+1),"")</f>
        <v/>
      </c>
      <c r="AG1674" s="45" t="str">
        <f aca="false">IF(AND(AA1674=1,Y1674&lt;1),IF(AND(C1675=C1674,Y1675=Y1674+1),IF(AA1675=1,"",INDEX(DATAS,Y1674+1)),INDEX(DATAS,Y1674+1)),"")</f>
        <v/>
      </c>
    </row>
    <row r="1675" customFormat="false" ht="15" hidden="false" customHeight="false" outlineLevel="0" collapsed="false">
      <c r="A1675" s="45" t="n">
        <v>46309</v>
      </c>
      <c r="B1675" s="0" t="n">
        <v>4</v>
      </c>
      <c r="C1675" s="0" t="n">
        <v>5841</v>
      </c>
      <c r="D1675" s="0" t="n">
        <v>116</v>
      </c>
      <c r="E1675" s="0" t="n">
        <v>1</v>
      </c>
      <c r="F1675" s="39" t="s">
        <v>982</v>
      </c>
      <c r="G1675" s="0" t="n">
        <v>53</v>
      </c>
      <c r="H1675" s="0" t="n">
        <v>59</v>
      </c>
      <c r="I1675" s="39" t="s">
        <v>138</v>
      </c>
      <c r="J1675" s="0" t="n">
        <v>116</v>
      </c>
      <c r="K1675" s="0" t="n">
        <v>67</v>
      </c>
      <c r="P1675" s="0" t="n">
        <v>3.47</v>
      </c>
      <c r="Q1675" s="0" t="n">
        <v>3.12</v>
      </c>
      <c r="R1675" s="0" t="n">
        <v>4627</v>
      </c>
      <c r="S1675" s="0" t="n">
        <v>9689</v>
      </c>
      <c r="T1675" s="0" t="n">
        <v>53.25</v>
      </c>
      <c r="U1675" s="0" t="n">
        <v>778</v>
      </c>
      <c r="V1675" s="0" t="n">
        <v>2</v>
      </c>
      <c r="W1675" s="39" t="n">
        <f aca="false">IF(I1675="Male",0,1)</f>
        <v>1</v>
      </c>
      <c r="X1675" s="39" t="n">
        <f aca="false">IF(OR(I1675="DNB",I1675="Dry DNB"),1,0)</f>
        <v>0</v>
      </c>
      <c r="Y1675" s="39" t="n">
        <f aca="false">MATCH(A1675,DATAS,0)</f>
        <v>1</v>
      </c>
      <c r="Z1675" s="39" t="n">
        <f aca="false">IF(AND(E1675&gt;0,OR(AND(B1675&gt;=1,B1675&lt;=6),B1675=10)),1,0)</f>
        <v>1</v>
      </c>
      <c r="AA1675" s="39" t="n">
        <f aca="false">IF(AND(E1675&gt;0,B1675=10),1,0)</f>
        <v>0</v>
      </c>
      <c r="AB1675" s="0" t="str">
        <f aca="false">IF(AND(C1674=C1675,Y1674=Y1675-1),Z1674,"")</f>
        <v/>
      </c>
      <c r="AC1675" s="0" t="str">
        <f aca="false">IF(AND(C1674=C1675,Y1674=Y1675-1),AA1674,"")</f>
        <v/>
      </c>
      <c r="AD1675" s="0" t="str">
        <f aca="false">IF(Y1675=1,"",IF(AND(Z1675=1,AB1675&lt;&gt;1),1,0))</f>
        <v/>
      </c>
      <c r="AE1675" s="0" t="str">
        <f aca="false">IF(Y1675=1,"",IF(AND(AA1675=1,AC1675&lt;&gt;1),1,0))</f>
        <v/>
      </c>
      <c r="AF1675" s="45" t="str">
        <f aca="false">IF(AND(E1675&gt;0,Y1675&lt;1,NOT(AND(C1676=C1675,Y1676=Y1675+1))),INDEX(DATAS,Y1675+1),"")</f>
        <v/>
      </c>
      <c r="AG1675" s="45" t="str">
        <f aca="false">IF(AND(AA1675=1,Y1675&lt;1),IF(AND(C1676=C1675,Y1676=Y1675+1),IF(AA1676=1,"",INDEX(DATAS,Y1675+1)),INDEX(DATAS,Y1675+1)),"")</f>
        <v/>
      </c>
    </row>
    <row r="1676" customFormat="false" ht="15" hidden="false" customHeight="false" outlineLevel="0" collapsed="false">
      <c r="A1676" s="45" t="n">
        <v>46309</v>
      </c>
      <c r="B1676" s="0" t="n">
        <v>4</v>
      </c>
      <c r="C1676" s="0" t="n">
        <v>5842</v>
      </c>
      <c r="D1676" s="0" t="n">
        <v>111</v>
      </c>
      <c r="E1676" s="0" t="n">
        <v>1</v>
      </c>
      <c r="F1676" s="39" t="s">
        <v>983</v>
      </c>
      <c r="G1676" s="0" t="n">
        <v>38.9</v>
      </c>
      <c r="H1676" s="0" t="n">
        <v>46</v>
      </c>
      <c r="I1676" s="39" t="s">
        <v>146</v>
      </c>
      <c r="J1676" s="0" t="n">
        <v>111</v>
      </c>
      <c r="K1676" s="0" t="n">
        <v>69</v>
      </c>
      <c r="P1676" s="0" t="n">
        <v>4.53</v>
      </c>
      <c r="Q1676" s="0" t="n">
        <v>3.16</v>
      </c>
      <c r="R1676" s="0" t="n">
        <v>3834</v>
      </c>
      <c r="S1676" s="0" t="n">
        <v>7863</v>
      </c>
      <c r="T1676" s="0" t="n">
        <v>43.75</v>
      </c>
      <c r="U1676" s="0" t="n">
        <v>777</v>
      </c>
      <c r="V1676" s="0" t="n">
        <v>1</v>
      </c>
      <c r="W1676" s="39" t="n">
        <f aca="false">IF(I1676="Male",0,1)</f>
        <v>1</v>
      </c>
      <c r="X1676" s="39" t="n">
        <f aca="false">IF(OR(I1676="DNB",I1676="Dry DNB"),1,0)</f>
        <v>0</v>
      </c>
      <c r="Y1676" s="39" t="n">
        <f aca="false">MATCH(A1676,DATAS,0)</f>
        <v>1</v>
      </c>
      <c r="Z1676" s="39" t="n">
        <f aca="false">IF(AND(E1676&gt;0,OR(AND(B1676&gt;=1,B1676&lt;=6),B1676=10)),1,0)</f>
        <v>1</v>
      </c>
      <c r="AA1676" s="39" t="n">
        <f aca="false">IF(AND(E1676&gt;0,B1676=10),1,0)</f>
        <v>0</v>
      </c>
      <c r="AB1676" s="0" t="str">
        <f aca="false">IF(AND(C1675=C1676,Y1675=Y1676-1),Z1675,"")</f>
        <v/>
      </c>
      <c r="AC1676" s="0" t="str">
        <f aca="false">IF(AND(C1675=C1676,Y1675=Y1676-1),AA1675,"")</f>
        <v/>
      </c>
      <c r="AD1676" s="0" t="str">
        <f aca="false">IF(Y1676=1,"",IF(AND(Z1676=1,AB1676&lt;&gt;1),1,0))</f>
        <v/>
      </c>
      <c r="AE1676" s="0" t="str">
        <f aca="false">IF(Y1676=1,"",IF(AND(AA1676=1,AC1676&lt;&gt;1),1,0))</f>
        <v/>
      </c>
      <c r="AF1676" s="45" t="str">
        <f aca="false">IF(AND(E1676&gt;0,Y1676&lt;1,NOT(AND(C1677=C1676,Y1677=Y1676+1))),INDEX(DATAS,Y1676+1),"")</f>
        <v/>
      </c>
      <c r="AG1676" s="45" t="str">
        <f aca="false">IF(AND(AA1676=1,Y1676&lt;1),IF(AND(C1677=C1676,Y1677=Y1676+1),IF(AA1677=1,"",INDEX(DATAS,Y1676+1)),INDEX(DATAS,Y1676+1)),"")</f>
        <v/>
      </c>
    </row>
    <row r="1677" customFormat="false" ht="15" hidden="false" customHeight="false" outlineLevel="0" collapsed="false">
      <c r="A1677" s="45" t="n">
        <v>46309</v>
      </c>
      <c r="B1677" s="0" t="n">
        <v>4</v>
      </c>
      <c r="C1677" s="0" t="n">
        <v>5843</v>
      </c>
      <c r="D1677" s="0" t="n">
        <v>115</v>
      </c>
      <c r="E1677" s="0" t="n">
        <v>1</v>
      </c>
      <c r="F1677" s="39" t="s">
        <v>983</v>
      </c>
      <c r="G1677" s="0" t="n">
        <v>50.3</v>
      </c>
      <c r="H1677" s="0" t="n">
        <v>50</v>
      </c>
      <c r="I1677" s="39" t="s">
        <v>109</v>
      </c>
      <c r="J1677" s="0" t="n">
        <v>66</v>
      </c>
      <c r="K1677" s="0" t="n">
        <v>66</v>
      </c>
      <c r="L1677" s="0" t="n">
        <v>49</v>
      </c>
      <c r="P1677" s="0" t="n">
        <v>2.72</v>
      </c>
      <c r="Q1677" s="0" t="n">
        <v>2.95</v>
      </c>
      <c r="R1677" s="0" t="n">
        <v>4111</v>
      </c>
      <c r="S1677" s="0" t="n">
        <v>8512</v>
      </c>
      <c r="T1677" s="0" t="n">
        <v>48.35</v>
      </c>
      <c r="U1677" s="0" t="n">
        <v>777</v>
      </c>
      <c r="V1677" s="0" t="n">
        <v>1</v>
      </c>
      <c r="W1677" s="39" t="n">
        <f aca="false">IF(I1677="Male",0,1)</f>
        <v>1</v>
      </c>
      <c r="X1677" s="39" t="n">
        <f aca="false">IF(OR(I1677="DNB",I1677="Dry DNB"),1,0)</f>
        <v>0</v>
      </c>
      <c r="Y1677" s="39" t="n">
        <f aca="false">MATCH(A1677,DATAS,0)</f>
        <v>1</v>
      </c>
      <c r="Z1677" s="39" t="n">
        <f aca="false">IF(AND(E1677&gt;0,OR(AND(B1677&gt;=1,B1677&lt;=6),B1677=10)),1,0)</f>
        <v>1</v>
      </c>
      <c r="AA1677" s="39" t="n">
        <f aca="false">IF(AND(E1677&gt;0,B1677=10),1,0)</f>
        <v>0</v>
      </c>
      <c r="AB1677" s="0" t="str">
        <f aca="false">IF(AND(C1676=C1677,Y1676=Y1677-1),Z1676,"")</f>
        <v/>
      </c>
      <c r="AC1677" s="0" t="str">
        <f aca="false">IF(AND(C1676=C1677,Y1676=Y1677-1),AA1676,"")</f>
        <v/>
      </c>
      <c r="AD1677" s="0" t="str">
        <f aca="false">IF(Y1677=1,"",IF(AND(Z1677=1,AB1677&lt;&gt;1),1,0))</f>
        <v/>
      </c>
      <c r="AE1677" s="0" t="str">
        <f aca="false">IF(Y1677=1,"",IF(AND(AA1677=1,AC1677&lt;&gt;1),1,0))</f>
        <v/>
      </c>
      <c r="AF1677" s="45" t="str">
        <f aca="false">IF(AND(E1677&gt;0,Y1677&lt;1,NOT(AND(C1678=C1677,Y1678=Y1677+1))),INDEX(DATAS,Y1677+1),"")</f>
        <v/>
      </c>
      <c r="AG1677" s="45" t="str">
        <f aca="false">IF(AND(AA1677=1,Y1677&lt;1),IF(AND(C1678=C1677,Y1678=Y1677+1),IF(AA1678=1,"",INDEX(DATAS,Y1677+1)),INDEX(DATAS,Y1677+1)),"")</f>
        <v/>
      </c>
    </row>
    <row r="1678" customFormat="false" ht="15" hidden="false" customHeight="false" outlineLevel="0" collapsed="false">
      <c r="A1678" s="45" t="n">
        <v>46309</v>
      </c>
      <c r="B1678" s="0" t="n">
        <v>1</v>
      </c>
      <c r="C1678" s="0" t="n">
        <v>5846</v>
      </c>
      <c r="D1678" s="0" t="n">
        <v>41</v>
      </c>
      <c r="E1678" s="0" t="n">
        <v>1</v>
      </c>
      <c r="F1678" s="39" t="s">
        <v>983</v>
      </c>
      <c r="G1678" s="0" t="n">
        <v>47.5</v>
      </c>
      <c r="H1678" s="0" t="n">
        <v>46</v>
      </c>
      <c r="I1678" s="39" t="s">
        <v>118</v>
      </c>
      <c r="J1678" s="0" t="n">
        <v>41</v>
      </c>
      <c r="P1678" s="0" t="n">
        <v>4.23</v>
      </c>
      <c r="Q1678" s="0" t="n">
        <v>3.55</v>
      </c>
      <c r="R1678" s="0" t="n">
        <v>3952</v>
      </c>
      <c r="S1678" s="0" t="n">
        <v>7945</v>
      </c>
      <c r="U1678" s="0" t="n">
        <v>777</v>
      </c>
      <c r="V1678" s="0" t="n">
        <v>0</v>
      </c>
      <c r="W1678" s="39" t="n">
        <f aca="false">IF(I1678="Male",0,1)</f>
        <v>1</v>
      </c>
      <c r="X1678" s="39" t="n">
        <f aca="false">IF(OR(I1678="DNB",I1678="Dry DNB"),1,0)</f>
        <v>0</v>
      </c>
      <c r="Y1678" s="39" t="n">
        <f aca="false">MATCH(A1678,DATAS,0)</f>
        <v>1</v>
      </c>
      <c r="Z1678" s="39" t="n">
        <f aca="false">IF(AND(E1678&gt;0,OR(AND(B1678&gt;=1,B1678&lt;=6),B1678=10)),1,0)</f>
        <v>1</v>
      </c>
      <c r="AA1678" s="39" t="n">
        <f aca="false">IF(AND(E1678&gt;0,B1678=10),1,0)</f>
        <v>0</v>
      </c>
      <c r="AB1678" s="0" t="str">
        <f aca="false">IF(AND(C1677=C1678,Y1677=Y1678-1),Z1677,"")</f>
        <v/>
      </c>
      <c r="AC1678" s="0" t="str">
        <f aca="false">IF(AND(C1677=C1678,Y1677=Y1678-1),AA1677,"")</f>
        <v/>
      </c>
      <c r="AD1678" s="0" t="str">
        <f aca="false">IF(Y1678=1,"",IF(AND(Z1678=1,AB1678&lt;&gt;1),1,0))</f>
        <v/>
      </c>
      <c r="AE1678" s="0" t="str">
        <f aca="false">IF(Y1678=1,"",IF(AND(AA1678=1,AC1678&lt;&gt;1),1,0))</f>
        <v/>
      </c>
      <c r="AF1678" s="45" t="str">
        <f aca="false">IF(AND(E1678&gt;0,Y1678&lt;1,NOT(AND(C1679=C1678,Y1679=Y1678+1))),INDEX(DATAS,Y1678+1),"")</f>
        <v/>
      </c>
      <c r="AG1678" s="45" t="str">
        <f aca="false">IF(AND(AA1678=1,Y1678&lt;1),IF(AND(C1679=C1678,Y1679=Y1678+1),IF(AA1679=1,"",INDEX(DATAS,Y1678+1)),INDEX(DATAS,Y1678+1)),"")</f>
        <v/>
      </c>
    </row>
    <row r="1679" customFormat="false" ht="15" hidden="false" customHeight="false" outlineLevel="0" collapsed="false">
      <c r="A1679" s="45" t="n">
        <v>46309</v>
      </c>
      <c r="B1679" s="0" t="n">
        <v>4</v>
      </c>
      <c r="C1679" s="0" t="n">
        <v>5847</v>
      </c>
      <c r="D1679" s="0" t="n">
        <v>132</v>
      </c>
      <c r="E1679" s="0" t="n">
        <v>1</v>
      </c>
      <c r="F1679" s="39" t="s">
        <v>983</v>
      </c>
      <c r="G1679" s="0" t="n">
        <v>45.6</v>
      </c>
      <c r="H1679" s="0" t="n">
        <v>44</v>
      </c>
      <c r="I1679" s="39" t="s">
        <v>138</v>
      </c>
      <c r="J1679" s="0" t="n">
        <v>132</v>
      </c>
      <c r="K1679" s="0" t="n">
        <v>62</v>
      </c>
      <c r="P1679" s="0" t="n">
        <v>3.27</v>
      </c>
      <c r="Q1679" s="0" t="n">
        <v>3.62</v>
      </c>
      <c r="R1679" s="0" t="n">
        <v>4152</v>
      </c>
      <c r="S1679" s="0" t="n">
        <v>8617</v>
      </c>
      <c r="T1679" s="0" t="n">
        <v>43.45</v>
      </c>
      <c r="U1679" s="0" t="n">
        <v>777</v>
      </c>
      <c r="V1679" s="0" t="n">
        <v>3</v>
      </c>
      <c r="W1679" s="39" t="n">
        <f aca="false">IF(I1679="Male",0,1)</f>
        <v>1</v>
      </c>
      <c r="X1679" s="39" t="n">
        <f aca="false">IF(OR(I1679="DNB",I1679="Dry DNB"),1,0)</f>
        <v>0</v>
      </c>
      <c r="Y1679" s="39" t="n">
        <f aca="false">MATCH(A1679,DATAS,0)</f>
        <v>1</v>
      </c>
      <c r="Z1679" s="39" t="n">
        <f aca="false">IF(AND(E1679&gt;0,OR(AND(B1679&gt;=1,B1679&lt;=6),B1679=10)),1,0)</f>
        <v>1</v>
      </c>
      <c r="AA1679" s="39" t="n">
        <f aca="false">IF(AND(E1679&gt;0,B1679=10),1,0)</f>
        <v>0</v>
      </c>
      <c r="AB1679" s="0" t="str">
        <f aca="false">IF(AND(C1678=C1679,Y1678=Y1679-1),Z1678,"")</f>
        <v/>
      </c>
      <c r="AC1679" s="0" t="str">
        <f aca="false">IF(AND(C1678=C1679,Y1678=Y1679-1),AA1678,"")</f>
        <v/>
      </c>
      <c r="AD1679" s="0" t="str">
        <f aca="false">IF(Y1679=1,"",IF(AND(Z1679=1,AB1679&lt;&gt;1),1,0))</f>
        <v/>
      </c>
      <c r="AE1679" s="0" t="str">
        <f aca="false">IF(Y1679=1,"",IF(AND(AA1679=1,AC1679&lt;&gt;1),1,0))</f>
        <v/>
      </c>
      <c r="AF1679" s="45" t="str">
        <f aca="false">IF(AND(E1679&gt;0,Y1679&lt;1,NOT(AND(C1680=C1679,Y1680=Y1679+1))),INDEX(DATAS,Y1679+1),"")</f>
        <v/>
      </c>
      <c r="AG1679" s="45" t="str">
        <f aca="false">IF(AND(AA1679=1,Y1679&lt;1),IF(AND(C1680=C1679,Y1680=Y1679+1),IF(AA1680=1,"",INDEX(DATAS,Y1679+1)),INDEX(DATAS,Y1679+1)),"")</f>
        <v/>
      </c>
    </row>
    <row r="1680" customFormat="false" ht="15" hidden="false" customHeight="false" outlineLevel="0" collapsed="false">
      <c r="A1680" s="45" t="n">
        <v>46309</v>
      </c>
      <c r="B1680" s="0" t="n">
        <v>4</v>
      </c>
      <c r="C1680" s="0" t="n">
        <v>5848</v>
      </c>
      <c r="D1680" s="0" t="n">
        <v>141</v>
      </c>
      <c r="E1680" s="0" t="n">
        <v>1</v>
      </c>
      <c r="F1680" s="39" t="s">
        <v>984</v>
      </c>
      <c r="G1680" s="0" t="n">
        <v>57.8</v>
      </c>
      <c r="H1680" s="0" t="n">
        <v>56</v>
      </c>
      <c r="I1680" s="39" t="s">
        <v>109</v>
      </c>
      <c r="J1680" s="0" t="n">
        <v>109</v>
      </c>
      <c r="K1680" s="0" t="n">
        <v>64</v>
      </c>
      <c r="L1680" s="0" t="n">
        <v>32</v>
      </c>
      <c r="P1680" s="0" t="n">
        <v>2.37</v>
      </c>
      <c r="Q1680" s="0" t="n">
        <v>3.17</v>
      </c>
      <c r="R1680" s="0" t="n">
        <v>4943</v>
      </c>
      <c r="S1680" s="0" t="n">
        <v>10422</v>
      </c>
      <c r="T1680" s="0" t="n">
        <v>60.5</v>
      </c>
      <c r="U1680" s="0" t="n">
        <v>776</v>
      </c>
      <c r="V1680" s="0" t="n">
        <v>3</v>
      </c>
      <c r="W1680" s="39" t="n">
        <f aca="false">IF(I1680="Male",0,1)</f>
        <v>1</v>
      </c>
      <c r="X1680" s="39" t="n">
        <f aca="false">IF(OR(I1680="DNB",I1680="Dry DNB"),1,0)</f>
        <v>0</v>
      </c>
      <c r="Y1680" s="39" t="n">
        <f aca="false">MATCH(A1680,DATAS,0)</f>
        <v>1</v>
      </c>
      <c r="Z1680" s="39" t="n">
        <f aca="false">IF(AND(E1680&gt;0,OR(AND(B1680&gt;=1,B1680&lt;=6),B1680=10)),1,0)</f>
        <v>1</v>
      </c>
      <c r="AA1680" s="39" t="n">
        <f aca="false">IF(AND(E1680&gt;0,B1680=10),1,0)</f>
        <v>0</v>
      </c>
      <c r="AB1680" s="0" t="str">
        <f aca="false">IF(AND(C1679=C1680,Y1679=Y1680-1),Z1679,"")</f>
        <v/>
      </c>
      <c r="AC1680" s="0" t="str">
        <f aca="false">IF(AND(C1679=C1680,Y1679=Y1680-1),AA1679,"")</f>
        <v/>
      </c>
      <c r="AD1680" s="0" t="str">
        <f aca="false">IF(Y1680=1,"",IF(AND(Z1680=1,AB1680&lt;&gt;1),1,0))</f>
        <v/>
      </c>
      <c r="AE1680" s="0" t="str">
        <f aca="false">IF(Y1680=1,"",IF(AND(AA1680=1,AC1680&lt;&gt;1),1,0))</f>
        <v/>
      </c>
      <c r="AF1680" s="45" t="str">
        <f aca="false">IF(AND(E1680&gt;0,Y1680&lt;1,NOT(AND(C1681=C1680,Y1681=Y1680+1))),INDEX(DATAS,Y1680+1),"")</f>
        <v/>
      </c>
      <c r="AG1680" s="45" t="str">
        <f aca="false">IF(AND(AA1680=1,Y1680&lt;1),IF(AND(C1681=C1680,Y1681=Y1680+1),IF(AA1681=1,"",INDEX(DATAS,Y1680+1)),INDEX(DATAS,Y1680+1)),"")</f>
        <v/>
      </c>
    </row>
    <row r="1681" customFormat="false" ht="15" hidden="false" customHeight="false" outlineLevel="0" collapsed="false">
      <c r="A1681" s="45" t="n">
        <v>46309</v>
      </c>
      <c r="B1681" s="0" t="n">
        <v>4</v>
      </c>
      <c r="C1681" s="0" t="n">
        <v>5849</v>
      </c>
      <c r="D1681" s="0" t="n">
        <v>136</v>
      </c>
      <c r="E1681" s="0" t="n">
        <v>1</v>
      </c>
      <c r="F1681" s="39" t="s">
        <v>985</v>
      </c>
      <c r="G1681" s="0" t="n">
        <v>46</v>
      </c>
      <c r="H1681" s="0" t="n">
        <v>48</v>
      </c>
      <c r="I1681" s="39" t="s">
        <v>146</v>
      </c>
      <c r="J1681" s="0" t="n">
        <v>136</v>
      </c>
      <c r="K1681" s="0" t="n">
        <v>66</v>
      </c>
      <c r="P1681" s="0" t="n">
        <v>3.26</v>
      </c>
      <c r="Q1681" s="0" t="n">
        <v>3.41</v>
      </c>
      <c r="R1681" s="0" t="n">
        <v>4887</v>
      </c>
      <c r="S1681" s="0" t="n">
        <v>9982</v>
      </c>
      <c r="T1681" s="0" t="n">
        <v>53.25</v>
      </c>
      <c r="U1681" s="0" t="n">
        <v>775</v>
      </c>
      <c r="V1681" s="0" t="n">
        <v>2</v>
      </c>
      <c r="W1681" s="39" t="n">
        <f aca="false">IF(I1681="Male",0,1)</f>
        <v>1</v>
      </c>
      <c r="X1681" s="39" t="n">
        <f aca="false">IF(OR(I1681="DNB",I1681="Dry DNB"),1,0)</f>
        <v>0</v>
      </c>
      <c r="Y1681" s="39" t="n">
        <f aca="false">MATCH(A1681,DATAS,0)</f>
        <v>1</v>
      </c>
      <c r="Z1681" s="39" t="n">
        <f aca="false">IF(AND(E1681&gt;0,OR(AND(B1681&gt;=1,B1681&lt;=6),B1681=10)),1,0)</f>
        <v>1</v>
      </c>
      <c r="AA1681" s="39" t="n">
        <f aca="false">IF(AND(E1681&gt;0,B1681=10),1,0)</f>
        <v>0</v>
      </c>
      <c r="AB1681" s="0" t="str">
        <f aca="false">IF(AND(C1680=C1681,Y1680=Y1681-1),Z1680,"")</f>
        <v/>
      </c>
      <c r="AC1681" s="0" t="str">
        <f aca="false">IF(AND(C1680=C1681,Y1680=Y1681-1),AA1680,"")</f>
        <v/>
      </c>
      <c r="AD1681" s="0" t="str">
        <f aca="false">IF(Y1681=1,"",IF(AND(Z1681=1,AB1681&lt;&gt;1),1,0))</f>
        <v/>
      </c>
      <c r="AE1681" s="0" t="str">
        <f aca="false">IF(Y1681=1,"",IF(AND(AA1681=1,AC1681&lt;&gt;1),1,0))</f>
        <v/>
      </c>
      <c r="AF1681" s="45" t="str">
        <f aca="false">IF(AND(E1681&gt;0,Y1681&lt;1,NOT(AND(C1682=C1681,Y1682=Y1681+1))),INDEX(DATAS,Y1681+1),"")</f>
        <v/>
      </c>
      <c r="AG1681" s="45" t="str">
        <f aca="false">IF(AND(AA1681=1,Y1681&lt;1),IF(AND(C1682=C1681,Y1682=Y1681+1),IF(AA1682=1,"",INDEX(DATAS,Y1681+1)),INDEX(DATAS,Y1681+1)),"")</f>
        <v/>
      </c>
    </row>
    <row r="1682" customFormat="false" ht="15" hidden="false" customHeight="false" outlineLevel="0" collapsed="false">
      <c r="A1682" s="45" t="n">
        <v>46309</v>
      </c>
      <c r="B1682" s="0" t="n">
        <v>1</v>
      </c>
      <c r="C1682" s="0" t="n">
        <v>5850</v>
      </c>
      <c r="D1682" s="0" t="n">
        <v>53</v>
      </c>
      <c r="E1682" s="0" t="n">
        <v>1</v>
      </c>
      <c r="F1682" s="39" t="s">
        <v>985</v>
      </c>
      <c r="G1682" s="0" t="n">
        <v>50.8</v>
      </c>
      <c r="H1682" s="0" t="n">
        <v>51</v>
      </c>
      <c r="I1682" s="39" t="s">
        <v>118</v>
      </c>
      <c r="J1682" s="0" t="n">
        <v>53</v>
      </c>
      <c r="P1682" s="0" t="n">
        <v>3.84</v>
      </c>
      <c r="Q1682" s="0" t="n">
        <v>3.1</v>
      </c>
      <c r="R1682" s="0" t="n">
        <v>4275</v>
      </c>
      <c r="S1682" s="0" t="n">
        <v>8594</v>
      </c>
      <c r="U1682" s="0" t="n">
        <v>775</v>
      </c>
      <c r="V1682" s="0" t="n">
        <v>0</v>
      </c>
      <c r="W1682" s="39" t="n">
        <f aca="false">IF(I1682="Male",0,1)</f>
        <v>1</v>
      </c>
      <c r="X1682" s="39" t="n">
        <f aca="false">IF(OR(I1682="DNB",I1682="Dry DNB"),1,0)</f>
        <v>0</v>
      </c>
      <c r="Y1682" s="39" t="n">
        <f aca="false">MATCH(A1682,DATAS,0)</f>
        <v>1</v>
      </c>
      <c r="Z1682" s="39" t="n">
        <f aca="false">IF(AND(E1682&gt;0,OR(AND(B1682&gt;=1,B1682&lt;=6),B1682=10)),1,0)</f>
        <v>1</v>
      </c>
      <c r="AA1682" s="39" t="n">
        <f aca="false">IF(AND(E1682&gt;0,B1682=10),1,0)</f>
        <v>0</v>
      </c>
      <c r="AB1682" s="0" t="str">
        <f aca="false">IF(AND(C1681=C1682,Y1681=Y1682-1),Z1681,"")</f>
        <v/>
      </c>
      <c r="AC1682" s="0" t="str">
        <f aca="false">IF(AND(C1681=C1682,Y1681=Y1682-1),AA1681,"")</f>
        <v/>
      </c>
      <c r="AD1682" s="0" t="str">
        <f aca="false">IF(Y1682=1,"",IF(AND(Z1682=1,AB1682&lt;&gt;1),1,0))</f>
        <v/>
      </c>
      <c r="AE1682" s="0" t="str">
        <f aca="false">IF(Y1682=1,"",IF(AND(AA1682=1,AC1682&lt;&gt;1),1,0))</f>
        <v/>
      </c>
      <c r="AF1682" s="45" t="str">
        <f aca="false">IF(AND(E1682&gt;0,Y1682&lt;1,NOT(AND(C1683=C1682,Y1683=Y1682+1))),INDEX(DATAS,Y1682+1),"")</f>
        <v/>
      </c>
      <c r="AG1682" s="45" t="str">
        <f aca="false">IF(AND(AA1682=1,Y1682&lt;1),IF(AND(C1683=C1682,Y1683=Y1682+1),IF(AA1683=1,"",INDEX(DATAS,Y1682+1)),INDEX(DATAS,Y1682+1)),"")</f>
        <v/>
      </c>
    </row>
    <row r="1683" customFormat="false" ht="15" hidden="false" customHeight="false" outlineLevel="0" collapsed="false">
      <c r="A1683" s="45" t="n">
        <v>46309</v>
      </c>
      <c r="B1683" s="0" t="n">
        <v>4</v>
      </c>
      <c r="C1683" s="0" t="n">
        <v>5853</v>
      </c>
      <c r="D1683" s="0" t="n">
        <v>118</v>
      </c>
      <c r="E1683" s="0" t="n">
        <v>1</v>
      </c>
      <c r="F1683" s="39" t="s">
        <v>986</v>
      </c>
      <c r="G1683" s="0" t="n">
        <v>42.6</v>
      </c>
      <c r="H1683" s="0" t="n">
        <v>37</v>
      </c>
      <c r="I1683" s="39" t="s">
        <v>109</v>
      </c>
      <c r="J1683" s="0" t="n">
        <v>62</v>
      </c>
      <c r="K1683" s="0" t="n">
        <v>62</v>
      </c>
      <c r="L1683" s="0" t="n">
        <v>56</v>
      </c>
      <c r="P1683" s="0" t="n">
        <v>3.6</v>
      </c>
      <c r="Q1683" s="0" t="n">
        <v>2.94</v>
      </c>
      <c r="R1683" s="0" t="n">
        <v>4106</v>
      </c>
      <c r="S1683" s="0" t="n">
        <v>8353</v>
      </c>
      <c r="T1683" s="0" t="n">
        <v>45.6</v>
      </c>
      <c r="U1683" s="0" t="n">
        <v>773</v>
      </c>
      <c r="V1683" s="0" t="n">
        <v>1</v>
      </c>
      <c r="W1683" s="39" t="n">
        <f aca="false">IF(I1683="Male",0,1)</f>
        <v>1</v>
      </c>
      <c r="X1683" s="39" t="n">
        <f aca="false">IF(OR(I1683="DNB",I1683="Dry DNB"),1,0)</f>
        <v>0</v>
      </c>
      <c r="Y1683" s="39" t="n">
        <f aca="false">MATCH(A1683,DATAS,0)</f>
        <v>1</v>
      </c>
      <c r="Z1683" s="39" t="n">
        <f aca="false">IF(AND(E1683&gt;0,OR(AND(B1683&gt;=1,B1683&lt;=6),B1683=10)),1,0)</f>
        <v>1</v>
      </c>
      <c r="AA1683" s="39" t="n">
        <f aca="false">IF(AND(E1683&gt;0,B1683=10),1,0)</f>
        <v>0</v>
      </c>
      <c r="AB1683" s="0" t="str">
        <f aca="false">IF(AND(C1682=C1683,Y1682=Y1683-1),Z1682,"")</f>
        <v/>
      </c>
      <c r="AC1683" s="0" t="str">
        <f aca="false">IF(AND(C1682=C1683,Y1682=Y1683-1),AA1682,"")</f>
        <v/>
      </c>
      <c r="AD1683" s="0" t="str">
        <f aca="false">IF(Y1683=1,"",IF(AND(Z1683=1,AB1683&lt;&gt;1),1,0))</f>
        <v/>
      </c>
      <c r="AE1683" s="0" t="str">
        <f aca="false">IF(Y1683=1,"",IF(AND(AA1683=1,AC1683&lt;&gt;1),1,0))</f>
        <v/>
      </c>
      <c r="AF1683" s="45" t="str">
        <f aca="false">IF(AND(E1683&gt;0,Y1683&lt;1,NOT(AND(C1684=C1683,Y1684=Y1683+1))),INDEX(DATAS,Y1683+1),"")</f>
        <v/>
      </c>
      <c r="AG1683" s="45" t="str">
        <f aca="false">IF(AND(AA1683=1,Y1683&lt;1),IF(AND(C1684=C1683,Y1684=Y1683+1),IF(AA1684=1,"",INDEX(DATAS,Y1683+1)),INDEX(DATAS,Y1683+1)),"")</f>
        <v/>
      </c>
    </row>
    <row r="1684" customFormat="false" ht="15" hidden="false" customHeight="false" outlineLevel="0" collapsed="false">
      <c r="A1684" s="45" t="n">
        <v>46309</v>
      </c>
      <c r="B1684" s="0" t="n">
        <v>1</v>
      </c>
      <c r="C1684" s="0" t="n">
        <v>5854</v>
      </c>
      <c r="D1684" s="0" t="n">
        <v>102</v>
      </c>
      <c r="E1684" s="0" t="n">
        <v>1</v>
      </c>
      <c r="F1684" s="39" t="s">
        <v>986</v>
      </c>
      <c r="G1684" s="0" t="n">
        <v>46.9</v>
      </c>
      <c r="H1684" s="0" t="n">
        <v>48</v>
      </c>
      <c r="I1684" s="39" t="s">
        <v>109</v>
      </c>
      <c r="J1684" s="0" t="n">
        <v>67</v>
      </c>
      <c r="K1684" s="0" t="n">
        <v>67</v>
      </c>
      <c r="L1684" s="0" t="n">
        <v>35</v>
      </c>
      <c r="P1684" s="0" t="n">
        <v>3.44</v>
      </c>
      <c r="Q1684" s="0" t="n">
        <v>3.15</v>
      </c>
      <c r="R1684" s="0" t="n">
        <v>3991</v>
      </c>
      <c r="S1684" s="0" t="n">
        <v>8052</v>
      </c>
      <c r="T1684" s="0" t="n">
        <v>46.55</v>
      </c>
      <c r="U1684" s="0" t="n">
        <v>773</v>
      </c>
      <c r="V1684" s="0" t="n">
        <v>1</v>
      </c>
      <c r="W1684" s="39" t="n">
        <f aca="false">IF(I1684="Male",0,1)</f>
        <v>1</v>
      </c>
      <c r="X1684" s="39" t="n">
        <f aca="false">IF(OR(I1684="DNB",I1684="Dry DNB"),1,0)</f>
        <v>0</v>
      </c>
      <c r="Y1684" s="39" t="n">
        <f aca="false">MATCH(A1684,DATAS,0)</f>
        <v>1</v>
      </c>
      <c r="Z1684" s="39" t="n">
        <f aca="false">IF(AND(E1684&gt;0,OR(AND(B1684&gt;=1,B1684&lt;=6),B1684=10)),1,0)</f>
        <v>1</v>
      </c>
      <c r="AA1684" s="39" t="n">
        <f aca="false">IF(AND(E1684&gt;0,B1684=10),1,0)</f>
        <v>0</v>
      </c>
      <c r="AB1684" s="0" t="str">
        <f aca="false">IF(AND(C1683=C1684,Y1683=Y1684-1),Z1683,"")</f>
        <v/>
      </c>
      <c r="AC1684" s="0" t="str">
        <f aca="false">IF(AND(C1683=C1684,Y1683=Y1684-1),AA1683,"")</f>
        <v/>
      </c>
      <c r="AD1684" s="0" t="str">
        <f aca="false">IF(Y1684=1,"",IF(AND(Z1684=1,AB1684&lt;&gt;1),1,0))</f>
        <v/>
      </c>
      <c r="AE1684" s="0" t="str">
        <f aca="false">IF(Y1684=1,"",IF(AND(AA1684=1,AC1684&lt;&gt;1),1,0))</f>
        <v/>
      </c>
      <c r="AF1684" s="45" t="str">
        <f aca="false">IF(AND(E1684&gt;0,Y1684&lt;1,NOT(AND(C1685=C1684,Y1685=Y1684+1))),INDEX(DATAS,Y1684+1),"")</f>
        <v/>
      </c>
      <c r="AG1684" s="45" t="str">
        <f aca="false">IF(AND(AA1684=1,Y1684&lt;1),IF(AND(C1685=C1684,Y1685=Y1684+1),IF(AA1685=1,"",INDEX(DATAS,Y1684+1)),INDEX(DATAS,Y1684+1)),"")</f>
        <v/>
      </c>
    </row>
    <row r="1685" customFormat="false" ht="15" hidden="false" customHeight="false" outlineLevel="0" collapsed="false">
      <c r="A1685" s="45" t="n">
        <v>46309</v>
      </c>
      <c r="B1685" s="0" t="n">
        <v>4</v>
      </c>
      <c r="C1685" s="0" t="n">
        <v>5855</v>
      </c>
      <c r="D1685" s="0" t="n">
        <v>135</v>
      </c>
      <c r="E1685" s="0" t="n">
        <v>1</v>
      </c>
      <c r="F1685" s="39" t="s">
        <v>986</v>
      </c>
      <c r="G1685" s="0" t="n">
        <v>54</v>
      </c>
      <c r="H1685" s="0" t="n">
        <v>51</v>
      </c>
      <c r="I1685" s="39" t="s">
        <v>109</v>
      </c>
      <c r="J1685" s="0" t="n">
        <v>65</v>
      </c>
      <c r="K1685" s="0" t="n">
        <v>65</v>
      </c>
      <c r="L1685" s="0" t="n">
        <v>70</v>
      </c>
      <c r="P1685" s="0" t="n">
        <v>4.03</v>
      </c>
      <c r="Q1685" s="0" t="n">
        <v>3.33</v>
      </c>
      <c r="R1685" s="0" t="n">
        <v>4249</v>
      </c>
      <c r="S1685" s="0" t="n">
        <v>9069</v>
      </c>
      <c r="T1685" s="0" t="n">
        <v>45.6</v>
      </c>
      <c r="U1685" s="0" t="n">
        <v>773</v>
      </c>
      <c r="V1685" s="0" t="n">
        <v>1</v>
      </c>
      <c r="W1685" s="39" t="n">
        <f aca="false">IF(I1685="Male",0,1)</f>
        <v>1</v>
      </c>
      <c r="X1685" s="39" t="n">
        <f aca="false">IF(OR(I1685="DNB",I1685="Dry DNB"),1,0)</f>
        <v>0</v>
      </c>
      <c r="Y1685" s="39" t="n">
        <f aca="false">MATCH(A1685,DATAS,0)</f>
        <v>1</v>
      </c>
      <c r="Z1685" s="39" t="n">
        <f aca="false">IF(AND(E1685&gt;0,OR(AND(B1685&gt;=1,B1685&lt;=6),B1685=10)),1,0)</f>
        <v>1</v>
      </c>
      <c r="AA1685" s="39" t="n">
        <f aca="false">IF(AND(E1685&gt;0,B1685=10),1,0)</f>
        <v>0</v>
      </c>
      <c r="AB1685" s="0" t="str">
        <f aca="false">IF(AND(C1684=C1685,Y1684=Y1685-1),Z1684,"")</f>
        <v/>
      </c>
      <c r="AC1685" s="0" t="str">
        <f aca="false">IF(AND(C1684=C1685,Y1684=Y1685-1),AA1684,"")</f>
        <v/>
      </c>
      <c r="AD1685" s="0" t="str">
        <f aca="false">IF(Y1685=1,"",IF(AND(Z1685=1,AB1685&lt;&gt;1),1,0))</f>
        <v/>
      </c>
      <c r="AE1685" s="0" t="str">
        <f aca="false">IF(Y1685=1,"",IF(AND(AA1685=1,AC1685&lt;&gt;1),1,0))</f>
        <v/>
      </c>
      <c r="AF1685" s="45" t="str">
        <f aca="false">IF(AND(E1685&gt;0,Y1685&lt;1,NOT(AND(C1686=C1685,Y1686=Y1685+1))),INDEX(DATAS,Y1685+1),"")</f>
        <v/>
      </c>
      <c r="AG1685" s="45" t="str">
        <f aca="false">IF(AND(AA1685=1,Y1685&lt;1),IF(AND(C1686=C1685,Y1686=Y1685+1),IF(AA1686=1,"",INDEX(DATAS,Y1685+1)),INDEX(DATAS,Y1685+1)),"")</f>
        <v/>
      </c>
    </row>
    <row r="1686" customFormat="false" ht="15" hidden="false" customHeight="false" outlineLevel="0" collapsed="false">
      <c r="A1686" s="45" t="n">
        <v>46309</v>
      </c>
      <c r="B1686" s="0" t="n">
        <v>4</v>
      </c>
      <c r="C1686" s="0" t="n">
        <v>5856</v>
      </c>
      <c r="D1686" s="0" t="n">
        <v>136</v>
      </c>
      <c r="E1686" s="0" t="n">
        <v>1</v>
      </c>
      <c r="F1686" s="39" t="s">
        <v>987</v>
      </c>
      <c r="G1686" s="0" t="n">
        <v>57.3</v>
      </c>
      <c r="H1686" s="0" t="n">
        <v>55</v>
      </c>
      <c r="I1686" s="39" t="s">
        <v>109</v>
      </c>
      <c r="J1686" s="0" t="n">
        <v>66</v>
      </c>
      <c r="K1686" s="0" t="n">
        <v>66</v>
      </c>
      <c r="L1686" s="0" t="n">
        <v>70</v>
      </c>
      <c r="P1686" s="0" t="n">
        <v>3.34</v>
      </c>
      <c r="Q1686" s="0" t="n">
        <v>3.23</v>
      </c>
      <c r="R1686" s="0" t="n">
        <v>5251</v>
      </c>
      <c r="S1686" s="0" t="n">
        <v>10674</v>
      </c>
      <c r="T1686" s="0" t="n">
        <v>56.35</v>
      </c>
      <c r="U1686" s="0" t="n">
        <v>772</v>
      </c>
      <c r="V1686" s="0" t="n">
        <v>1</v>
      </c>
      <c r="W1686" s="39" t="n">
        <f aca="false">IF(I1686="Male",0,1)</f>
        <v>1</v>
      </c>
      <c r="X1686" s="39" t="n">
        <f aca="false">IF(OR(I1686="DNB",I1686="Dry DNB"),1,0)</f>
        <v>0</v>
      </c>
      <c r="Y1686" s="39" t="n">
        <f aca="false">MATCH(A1686,DATAS,0)</f>
        <v>1</v>
      </c>
      <c r="Z1686" s="39" t="n">
        <f aca="false">IF(AND(E1686&gt;0,OR(AND(B1686&gt;=1,B1686&lt;=6),B1686=10)),1,0)</f>
        <v>1</v>
      </c>
      <c r="AA1686" s="39" t="n">
        <f aca="false">IF(AND(E1686&gt;0,B1686=10),1,0)</f>
        <v>0</v>
      </c>
      <c r="AB1686" s="0" t="str">
        <f aca="false">IF(AND(C1685=C1686,Y1685=Y1686-1),Z1685,"")</f>
        <v/>
      </c>
      <c r="AC1686" s="0" t="str">
        <f aca="false">IF(AND(C1685=C1686,Y1685=Y1686-1),AA1685,"")</f>
        <v/>
      </c>
      <c r="AD1686" s="0" t="str">
        <f aca="false">IF(Y1686=1,"",IF(AND(Z1686=1,AB1686&lt;&gt;1),1,0))</f>
        <v/>
      </c>
      <c r="AE1686" s="0" t="str">
        <f aca="false">IF(Y1686=1,"",IF(AND(AA1686=1,AC1686&lt;&gt;1),1,0))</f>
        <v/>
      </c>
      <c r="AF1686" s="45" t="str">
        <f aca="false">IF(AND(E1686&gt;0,Y1686&lt;1,NOT(AND(C1687=C1686,Y1687=Y1686+1))),INDEX(DATAS,Y1686+1),"")</f>
        <v/>
      </c>
      <c r="AG1686" s="45" t="str">
        <f aca="false">IF(AND(AA1686=1,Y1686&lt;1),IF(AND(C1687=C1686,Y1687=Y1686+1),IF(AA1687=1,"",INDEX(DATAS,Y1686+1)),INDEX(DATAS,Y1686+1)),"")</f>
        <v/>
      </c>
    </row>
    <row r="1687" customFormat="false" ht="15" hidden="false" customHeight="false" outlineLevel="0" collapsed="false">
      <c r="A1687" s="45" t="n">
        <v>46309</v>
      </c>
      <c r="B1687" s="0" t="n">
        <v>4</v>
      </c>
      <c r="C1687" s="0" t="n">
        <v>5857</v>
      </c>
      <c r="D1687" s="0" t="n">
        <v>111</v>
      </c>
      <c r="E1687" s="0" t="n">
        <v>1</v>
      </c>
      <c r="F1687" s="39" t="s">
        <v>987</v>
      </c>
      <c r="G1687" s="0" t="n">
        <v>51.5</v>
      </c>
      <c r="H1687" s="0" t="n">
        <v>51</v>
      </c>
      <c r="I1687" s="39" t="s">
        <v>109</v>
      </c>
      <c r="J1687" s="0" t="n">
        <v>69</v>
      </c>
      <c r="K1687" s="0" t="n">
        <v>69</v>
      </c>
      <c r="L1687" s="0" t="n">
        <v>42</v>
      </c>
      <c r="P1687" s="0" t="n">
        <v>3.63</v>
      </c>
      <c r="Q1687" s="0" t="n">
        <v>3.19</v>
      </c>
      <c r="R1687" s="0" t="n">
        <v>4852</v>
      </c>
      <c r="S1687" s="0" t="n">
        <v>9870</v>
      </c>
      <c r="T1687" s="0" t="n">
        <v>50.8</v>
      </c>
      <c r="U1687" s="0" t="n">
        <v>772</v>
      </c>
      <c r="V1687" s="0" t="n">
        <v>1</v>
      </c>
      <c r="W1687" s="39" t="n">
        <f aca="false">IF(I1687="Male",0,1)</f>
        <v>1</v>
      </c>
      <c r="X1687" s="39" t="n">
        <f aca="false">IF(OR(I1687="DNB",I1687="Dry DNB"),1,0)</f>
        <v>0</v>
      </c>
      <c r="Y1687" s="39" t="n">
        <f aca="false">MATCH(A1687,DATAS,0)</f>
        <v>1</v>
      </c>
      <c r="Z1687" s="39" t="n">
        <f aca="false">IF(AND(E1687&gt;0,OR(AND(B1687&gt;=1,B1687&lt;=6),B1687=10)),1,0)</f>
        <v>1</v>
      </c>
      <c r="AA1687" s="39" t="n">
        <f aca="false">IF(AND(E1687&gt;0,B1687=10),1,0)</f>
        <v>0</v>
      </c>
      <c r="AB1687" s="0" t="str">
        <f aca="false">IF(AND(C1686=C1687,Y1686=Y1687-1),Z1686,"")</f>
        <v/>
      </c>
      <c r="AC1687" s="0" t="str">
        <f aca="false">IF(AND(C1686=C1687,Y1686=Y1687-1),AA1686,"")</f>
        <v/>
      </c>
      <c r="AD1687" s="0" t="str">
        <f aca="false">IF(Y1687=1,"",IF(AND(Z1687=1,AB1687&lt;&gt;1),1,0))</f>
        <v/>
      </c>
      <c r="AE1687" s="0" t="str">
        <f aca="false">IF(Y1687=1,"",IF(AND(AA1687=1,AC1687&lt;&gt;1),1,0))</f>
        <v/>
      </c>
      <c r="AF1687" s="45" t="str">
        <f aca="false">IF(AND(E1687&gt;0,Y1687&lt;1,NOT(AND(C1688=C1687,Y1688=Y1687+1))),INDEX(DATAS,Y1687+1),"")</f>
        <v/>
      </c>
      <c r="AG1687" s="45" t="str">
        <f aca="false">IF(AND(AA1687=1,Y1687&lt;1),IF(AND(C1688=C1687,Y1688=Y1687+1),IF(AA1688=1,"",INDEX(DATAS,Y1687+1)),INDEX(DATAS,Y1687+1)),"")</f>
        <v/>
      </c>
    </row>
    <row r="1688" customFormat="false" ht="15" hidden="false" customHeight="false" outlineLevel="0" collapsed="false">
      <c r="A1688" s="45" t="n">
        <v>46309</v>
      </c>
      <c r="B1688" s="0" t="n">
        <v>1</v>
      </c>
      <c r="C1688" s="0" t="n">
        <v>5858</v>
      </c>
      <c r="D1688" s="0" t="n">
        <v>42</v>
      </c>
      <c r="E1688" s="0" t="n">
        <v>1</v>
      </c>
      <c r="F1688" s="39" t="s">
        <v>988</v>
      </c>
      <c r="G1688" s="0" t="n">
        <v>15.7</v>
      </c>
      <c r="H1688" s="0" t="n">
        <v>15</v>
      </c>
      <c r="I1688" s="39" t="s">
        <v>118</v>
      </c>
      <c r="J1688" s="0" t="n">
        <v>42</v>
      </c>
      <c r="P1688" s="0" t="n">
        <v>6.36</v>
      </c>
      <c r="Q1688" s="0" t="n">
        <v>2.75</v>
      </c>
      <c r="R1688" s="0" t="n">
        <v>1228</v>
      </c>
      <c r="S1688" s="0" t="n">
        <v>2470</v>
      </c>
      <c r="U1688" s="0" t="n">
        <v>771</v>
      </c>
      <c r="V1688" s="0" t="n">
        <v>0</v>
      </c>
      <c r="W1688" s="39" t="n">
        <f aca="false">IF(I1688="Male",0,1)</f>
        <v>1</v>
      </c>
      <c r="X1688" s="39" t="n">
        <f aca="false">IF(OR(I1688="DNB",I1688="Dry DNB"),1,0)</f>
        <v>0</v>
      </c>
      <c r="Y1688" s="39" t="n">
        <f aca="false">MATCH(A1688,DATAS,0)</f>
        <v>1</v>
      </c>
      <c r="Z1688" s="39" t="n">
        <f aca="false">IF(AND(E1688&gt;0,OR(AND(B1688&gt;=1,B1688&lt;=6),B1688=10)),1,0)</f>
        <v>1</v>
      </c>
      <c r="AA1688" s="39" t="n">
        <f aca="false">IF(AND(E1688&gt;0,B1688=10),1,0)</f>
        <v>0</v>
      </c>
      <c r="AB1688" s="0" t="str">
        <f aca="false">IF(AND(C1687=C1688,Y1687=Y1688-1),Z1687,"")</f>
        <v/>
      </c>
      <c r="AC1688" s="0" t="str">
        <f aca="false">IF(AND(C1687=C1688,Y1687=Y1688-1),AA1687,"")</f>
        <v/>
      </c>
      <c r="AD1688" s="0" t="str">
        <f aca="false">IF(Y1688=1,"",IF(AND(Z1688=1,AB1688&lt;&gt;1),1,0))</f>
        <v/>
      </c>
      <c r="AE1688" s="0" t="str">
        <f aca="false">IF(Y1688=1,"",IF(AND(AA1688=1,AC1688&lt;&gt;1),1,0))</f>
        <v/>
      </c>
      <c r="AF1688" s="45" t="str">
        <f aca="false">IF(AND(E1688&gt;0,Y1688&lt;1,NOT(AND(C1689=C1688,Y1689=Y1688+1))),INDEX(DATAS,Y1688+1),"")</f>
        <v/>
      </c>
      <c r="AG1688" s="45" t="str">
        <f aca="false">IF(AND(AA1688=1,Y1688&lt;1),IF(AND(C1689=C1688,Y1689=Y1688+1),IF(AA1689=1,"",INDEX(DATAS,Y1688+1)),INDEX(DATAS,Y1688+1)),"")</f>
        <v/>
      </c>
    </row>
    <row r="1689" customFormat="false" ht="15" hidden="false" customHeight="false" outlineLevel="0" collapsed="false">
      <c r="A1689" s="45" t="n">
        <v>46309</v>
      </c>
      <c r="B1689" s="0" t="n">
        <v>7</v>
      </c>
      <c r="C1689" s="0" t="n">
        <v>5859</v>
      </c>
      <c r="E1689" s="0" t="n">
        <v>0</v>
      </c>
      <c r="F1689" s="39" t="s">
        <v>988</v>
      </c>
      <c r="I1689" s="39" t="s">
        <v>109</v>
      </c>
      <c r="L1689" s="0" t="n">
        <v>171</v>
      </c>
      <c r="U1689" s="0" t="n">
        <v>771</v>
      </c>
      <c r="V1689" s="0" t="n">
        <v>2</v>
      </c>
      <c r="W1689" s="39" t="n">
        <f aca="false">IF(I1689="Male",0,1)</f>
        <v>1</v>
      </c>
      <c r="X1689" s="39" t="n">
        <f aca="false">IF(OR(I1689="DNB",I1689="Dry DNB"),1,0)</f>
        <v>0</v>
      </c>
      <c r="Y1689" s="39" t="n">
        <f aca="false">MATCH(A1689,DATAS,0)</f>
        <v>1</v>
      </c>
      <c r="Z1689" s="39" t="n">
        <f aca="false">IF(AND(E1689&gt;0,OR(AND(B1689&gt;=1,B1689&lt;=6),B1689=10)),1,0)</f>
        <v>0</v>
      </c>
      <c r="AA1689" s="39" t="n">
        <f aca="false">IF(AND(E1689&gt;0,B1689=10),1,0)</f>
        <v>0</v>
      </c>
      <c r="AB1689" s="0" t="str">
        <f aca="false">IF(AND(C1688=C1689,Y1688=Y1689-1),Z1688,"")</f>
        <v/>
      </c>
      <c r="AC1689" s="0" t="str">
        <f aca="false">IF(AND(C1688=C1689,Y1688=Y1689-1),AA1688,"")</f>
        <v/>
      </c>
      <c r="AD1689" s="0" t="str">
        <f aca="false">IF(Y1689=1,"",IF(AND(Z1689=1,AB1689&lt;&gt;1),1,0))</f>
        <v/>
      </c>
      <c r="AE1689" s="0" t="str">
        <f aca="false">IF(Y1689=1,"",IF(AND(AA1689=1,AC1689&lt;&gt;1),1,0))</f>
        <v/>
      </c>
      <c r="AF1689" s="45" t="str">
        <f aca="false">IF(AND(E1689&gt;0,Y1689&lt;1,NOT(AND(C1690=C1689,Y1690=Y1689+1))),INDEX(DATAS,Y1689+1),"")</f>
        <v/>
      </c>
      <c r="AG1689" s="45" t="str">
        <f aca="false">IF(AND(AA1689=1,Y1689&lt;1),IF(AND(C1690=C1689,Y1690=Y1689+1),IF(AA1690=1,"",INDEX(DATAS,Y1689+1)),INDEX(DATAS,Y1689+1)),"")</f>
        <v/>
      </c>
    </row>
    <row r="1690" customFormat="false" ht="15" hidden="false" customHeight="false" outlineLevel="0" collapsed="false">
      <c r="A1690" s="45" t="n">
        <v>46309</v>
      </c>
      <c r="B1690" s="0" t="n">
        <v>1</v>
      </c>
      <c r="C1690" s="0" t="n">
        <v>5862</v>
      </c>
      <c r="D1690" s="0" t="n">
        <v>106</v>
      </c>
      <c r="E1690" s="0" t="n">
        <v>1</v>
      </c>
      <c r="F1690" s="39" t="s">
        <v>989</v>
      </c>
      <c r="G1690" s="0" t="n">
        <v>22.8</v>
      </c>
      <c r="H1690" s="0" t="n">
        <v>22</v>
      </c>
      <c r="I1690" s="39" t="s">
        <v>109</v>
      </c>
      <c r="J1690" s="0" t="n">
        <v>64</v>
      </c>
      <c r="K1690" s="0" t="n">
        <v>64</v>
      </c>
      <c r="L1690" s="0" t="n">
        <v>42</v>
      </c>
      <c r="P1690" s="0" t="n">
        <v>5.36</v>
      </c>
      <c r="Q1690" s="0" t="n">
        <v>2.96</v>
      </c>
      <c r="R1690" s="0" t="n">
        <v>2982</v>
      </c>
      <c r="S1690" s="0" t="n">
        <v>5929</v>
      </c>
      <c r="T1690" s="0" t="n">
        <v>32.5</v>
      </c>
      <c r="U1690" s="0" t="n">
        <v>769</v>
      </c>
      <c r="V1690" s="0" t="n">
        <v>1</v>
      </c>
      <c r="W1690" s="39" t="n">
        <f aca="false">IF(I1690="Male",0,1)</f>
        <v>1</v>
      </c>
      <c r="X1690" s="39" t="n">
        <f aca="false">IF(OR(I1690="DNB",I1690="Dry DNB"),1,0)</f>
        <v>0</v>
      </c>
      <c r="Y1690" s="39" t="n">
        <f aca="false">MATCH(A1690,DATAS,0)</f>
        <v>1</v>
      </c>
      <c r="Z1690" s="39" t="n">
        <f aca="false">IF(AND(E1690&gt;0,OR(AND(B1690&gt;=1,B1690&lt;=6),B1690=10)),1,0)</f>
        <v>1</v>
      </c>
      <c r="AA1690" s="39" t="n">
        <f aca="false">IF(AND(E1690&gt;0,B1690=10),1,0)</f>
        <v>0</v>
      </c>
      <c r="AB1690" s="0" t="str">
        <f aca="false">IF(AND(C1689=C1690,Y1689=Y1690-1),Z1689,"")</f>
        <v/>
      </c>
      <c r="AC1690" s="0" t="str">
        <f aca="false">IF(AND(C1689=C1690,Y1689=Y1690-1),AA1689,"")</f>
        <v/>
      </c>
      <c r="AD1690" s="0" t="str">
        <f aca="false">IF(Y1690=1,"",IF(AND(Z1690=1,AB1690&lt;&gt;1),1,0))</f>
        <v/>
      </c>
      <c r="AE1690" s="0" t="str">
        <f aca="false">IF(Y1690=1,"",IF(AND(AA1690=1,AC1690&lt;&gt;1),1,0))</f>
        <v/>
      </c>
      <c r="AF1690" s="45" t="str">
        <f aca="false">IF(AND(E1690&gt;0,Y1690&lt;1,NOT(AND(C1691=C1690,Y1691=Y1690+1))),INDEX(DATAS,Y1690+1),"")</f>
        <v/>
      </c>
      <c r="AG1690" s="45" t="str">
        <f aca="false">IF(AND(AA1690=1,Y1690&lt;1),IF(AND(C1691=C1690,Y1691=Y1690+1),IF(AA1691=1,"",INDEX(DATAS,Y1690+1)),INDEX(DATAS,Y1690+1)),"")</f>
        <v/>
      </c>
    </row>
    <row r="1691" customFormat="false" ht="15" hidden="false" customHeight="false" outlineLevel="0" collapsed="false">
      <c r="A1691" s="45" t="n">
        <v>46309</v>
      </c>
      <c r="B1691" s="0" t="n">
        <v>4</v>
      </c>
      <c r="C1691" s="0" t="n">
        <v>5863</v>
      </c>
      <c r="D1691" s="0" t="n">
        <v>131</v>
      </c>
      <c r="E1691" s="0" t="n">
        <v>1</v>
      </c>
      <c r="F1691" s="39" t="s">
        <v>990</v>
      </c>
      <c r="G1691" s="0" t="n">
        <v>51.6</v>
      </c>
      <c r="H1691" s="0" t="n">
        <v>50</v>
      </c>
      <c r="I1691" s="39" t="s">
        <v>109</v>
      </c>
      <c r="J1691" s="0" t="n">
        <v>88</v>
      </c>
      <c r="K1691" s="0" t="n">
        <v>68</v>
      </c>
      <c r="L1691" s="0" t="n">
        <v>43</v>
      </c>
      <c r="P1691" s="0" t="n">
        <v>4.15</v>
      </c>
      <c r="Q1691" s="0" t="n">
        <v>3.12</v>
      </c>
      <c r="R1691" s="0" t="n">
        <v>4101</v>
      </c>
      <c r="S1691" s="0" t="n">
        <v>8800</v>
      </c>
      <c r="T1691" s="0" t="n">
        <v>48.35</v>
      </c>
      <c r="U1691" s="0" t="n">
        <v>768</v>
      </c>
      <c r="V1691" s="0" t="n">
        <v>2</v>
      </c>
      <c r="W1691" s="39" t="n">
        <f aca="false">IF(I1691="Male",0,1)</f>
        <v>1</v>
      </c>
      <c r="X1691" s="39" t="n">
        <f aca="false">IF(OR(I1691="DNB",I1691="Dry DNB"),1,0)</f>
        <v>0</v>
      </c>
      <c r="Y1691" s="39" t="n">
        <f aca="false">MATCH(A1691,DATAS,0)</f>
        <v>1</v>
      </c>
      <c r="Z1691" s="39" t="n">
        <f aca="false">IF(AND(E1691&gt;0,OR(AND(B1691&gt;=1,B1691&lt;=6),B1691=10)),1,0)</f>
        <v>1</v>
      </c>
      <c r="AA1691" s="39" t="n">
        <f aca="false">IF(AND(E1691&gt;0,B1691=10),1,0)</f>
        <v>0</v>
      </c>
      <c r="AB1691" s="0" t="str">
        <f aca="false">IF(AND(C1690=C1691,Y1690=Y1691-1),Z1690,"")</f>
        <v/>
      </c>
      <c r="AC1691" s="0" t="str">
        <f aca="false">IF(AND(C1690=C1691,Y1690=Y1691-1),AA1690,"")</f>
        <v/>
      </c>
      <c r="AD1691" s="0" t="str">
        <f aca="false">IF(Y1691=1,"",IF(AND(Z1691=1,AB1691&lt;&gt;1),1,0))</f>
        <v/>
      </c>
      <c r="AE1691" s="0" t="str">
        <f aca="false">IF(Y1691=1,"",IF(AND(AA1691=1,AC1691&lt;&gt;1),1,0))</f>
        <v/>
      </c>
      <c r="AF1691" s="45" t="str">
        <f aca="false">IF(AND(E1691&gt;0,Y1691&lt;1,NOT(AND(C1692=C1691,Y1692=Y1691+1))),INDEX(DATAS,Y1691+1),"")</f>
        <v/>
      </c>
      <c r="AG1691" s="45" t="str">
        <f aca="false">IF(AND(AA1691=1,Y1691&lt;1),IF(AND(C1692=C1691,Y1692=Y1691+1),IF(AA1692=1,"",INDEX(DATAS,Y1691+1)),INDEX(DATAS,Y1691+1)),"")</f>
        <v/>
      </c>
    </row>
    <row r="1692" customFormat="false" ht="15" hidden="false" customHeight="false" outlineLevel="0" collapsed="false">
      <c r="A1692" s="45" t="n">
        <v>46309</v>
      </c>
      <c r="B1692" s="0" t="n">
        <v>1</v>
      </c>
      <c r="C1692" s="0" t="n">
        <v>5866</v>
      </c>
      <c r="D1692" s="0" t="n">
        <v>38</v>
      </c>
      <c r="E1692" s="0" t="n">
        <v>1</v>
      </c>
      <c r="F1692" s="39" t="s">
        <v>991</v>
      </c>
      <c r="G1692" s="0" t="n">
        <v>50</v>
      </c>
      <c r="H1692" s="0" t="n">
        <v>47</v>
      </c>
      <c r="I1692" s="39" t="s">
        <v>118</v>
      </c>
      <c r="J1692" s="0" t="n">
        <v>38</v>
      </c>
      <c r="P1692" s="0" t="n">
        <v>4.71</v>
      </c>
      <c r="Q1692" s="0" t="n">
        <v>3.2</v>
      </c>
      <c r="R1692" s="0" t="n">
        <v>4287</v>
      </c>
      <c r="S1692" s="0" t="n">
        <v>8617</v>
      </c>
      <c r="U1692" s="0" t="n">
        <v>766</v>
      </c>
      <c r="V1692" s="0" t="n">
        <v>0</v>
      </c>
      <c r="W1692" s="39" t="n">
        <f aca="false">IF(I1692="Male",0,1)</f>
        <v>1</v>
      </c>
      <c r="X1692" s="39" t="n">
        <f aca="false">IF(OR(I1692="DNB",I1692="Dry DNB"),1,0)</f>
        <v>0</v>
      </c>
      <c r="Y1692" s="39" t="n">
        <f aca="false">MATCH(A1692,DATAS,0)</f>
        <v>1</v>
      </c>
      <c r="Z1692" s="39" t="n">
        <f aca="false">IF(AND(E1692&gt;0,OR(AND(B1692&gt;=1,B1692&lt;=6),B1692=10)),1,0)</f>
        <v>1</v>
      </c>
      <c r="AA1692" s="39" t="n">
        <f aca="false">IF(AND(E1692&gt;0,B1692=10),1,0)</f>
        <v>0</v>
      </c>
      <c r="AB1692" s="0" t="str">
        <f aca="false">IF(AND(C1691=C1692,Y1691=Y1692-1),Z1691,"")</f>
        <v/>
      </c>
      <c r="AC1692" s="0" t="str">
        <f aca="false">IF(AND(C1691=C1692,Y1691=Y1692-1),AA1691,"")</f>
        <v/>
      </c>
      <c r="AD1692" s="0" t="str">
        <f aca="false">IF(Y1692=1,"",IF(AND(Z1692=1,AB1692&lt;&gt;1),1,0))</f>
        <v/>
      </c>
      <c r="AE1692" s="0" t="str">
        <f aca="false">IF(Y1692=1,"",IF(AND(AA1692=1,AC1692&lt;&gt;1),1,0))</f>
        <v/>
      </c>
      <c r="AF1692" s="45" t="str">
        <f aca="false">IF(AND(E1692&gt;0,Y1692&lt;1,NOT(AND(C1693=C1692,Y1693=Y1692+1))),INDEX(DATAS,Y1692+1),"")</f>
        <v/>
      </c>
      <c r="AG1692" s="45" t="str">
        <f aca="false">IF(AND(AA1692=1,Y1692&lt;1),IF(AND(C1693=C1692,Y1693=Y1692+1),IF(AA1693=1,"",INDEX(DATAS,Y1692+1)),INDEX(DATAS,Y1692+1)),"")</f>
        <v/>
      </c>
    </row>
    <row r="1693" customFormat="false" ht="15" hidden="false" customHeight="false" outlineLevel="0" collapsed="false">
      <c r="A1693" s="45" t="n">
        <v>46309</v>
      </c>
      <c r="B1693" s="0" t="n">
        <v>4</v>
      </c>
      <c r="C1693" s="0" t="n">
        <v>5867</v>
      </c>
      <c r="D1693" s="0" t="n">
        <v>63</v>
      </c>
      <c r="E1693" s="0" t="n">
        <v>1</v>
      </c>
      <c r="F1693" s="39" t="s">
        <v>991</v>
      </c>
      <c r="G1693" s="0" t="n">
        <v>44</v>
      </c>
      <c r="H1693" s="0" t="n">
        <v>43</v>
      </c>
      <c r="I1693" s="39" t="s">
        <v>118</v>
      </c>
      <c r="J1693" s="0" t="n">
        <v>63</v>
      </c>
      <c r="P1693" s="0" t="n">
        <v>2.82</v>
      </c>
      <c r="Q1693" s="0" t="n">
        <v>2.93</v>
      </c>
      <c r="R1693" s="0" t="n">
        <v>3748</v>
      </c>
      <c r="S1693" s="0" t="n">
        <v>7534</v>
      </c>
      <c r="U1693" s="0" t="n">
        <v>766</v>
      </c>
      <c r="V1693" s="0" t="n">
        <v>0</v>
      </c>
      <c r="W1693" s="39" t="n">
        <f aca="false">IF(I1693="Male",0,1)</f>
        <v>1</v>
      </c>
      <c r="X1693" s="39" t="n">
        <f aca="false">IF(OR(I1693="DNB",I1693="Dry DNB"),1,0)</f>
        <v>0</v>
      </c>
      <c r="Y1693" s="39" t="n">
        <f aca="false">MATCH(A1693,DATAS,0)</f>
        <v>1</v>
      </c>
      <c r="Z1693" s="39" t="n">
        <f aca="false">IF(AND(E1693&gt;0,OR(AND(B1693&gt;=1,B1693&lt;=6),B1693=10)),1,0)</f>
        <v>1</v>
      </c>
      <c r="AA1693" s="39" t="n">
        <f aca="false">IF(AND(E1693&gt;0,B1693=10),1,0)</f>
        <v>0</v>
      </c>
      <c r="AB1693" s="0" t="str">
        <f aca="false">IF(AND(C1692=C1693,Y1692=Y1693-1),Z1692,"")</f>
        <v/>
      </c>
      <c r="AC1693" s="0" t="str">
        <f aca="false">IF(AND(C1692=C1693,Y1692=Y1693-1),AA1692,"")</f>
        <v/>
      </c>
      <c r="AD1693" s="0" t="str">
        <f aca="false">IF(Y1693=1,"",IF(AND(Z1693=1,AB1693&lt;&gt;1),1,0))</f>
        <v/>
      </c>
      <c r="AE1693" s="0" t="str">
        <f aca="false">IF(Y1693=1,"",IF(AND(AA1693=1,AC1693&lt;&gt;1),1,0))</f>
        <v/>
      </c>
      <c r="AF1693" s="45" t="str">
        <f aca="false">IF(AND(E1693&gt;0,Y1693&lt;1,NOT(AND(C1694=C1693,Y1694=Y1693+1))),INDEX(DATAS,Y1693+1),"")</f>
        <v/>
      </c>
      <c r="AG1693" s="45" t="str">
        <f aca="false">IF(AND(AA1693=1,Y1693&lt;1),IF(AND(C1694=C1693,Y1694=Y1693+1),IF(AA1694=1,"",INDEX(DATAS,Y1693+1)),INDEX(DATAS,Y1693+1)),"")</f>
        <v/>
      </c>
    </row>
    <row r="1694" customFormat="false" ht="15" hidden="false" customHeight="false" outlineLevel="0" collapsed="false">
      <c r="A1694" s="45" t="n">
        <v>46309</v>
      </c>
      <c r="B1694" s="0" t="n">
        <v>1</v>
      </c>
      <c r="C1694" s="0" t="n">
        <v>5868</v>
      </c>
      <c r="D1694" s="0" t="n">
        <v>108</v>
      </c>
      <c r="E1694" s="0" t="n">
        <v>1</v>
      </c>
      <c r="F1694" s="39" t="s">
        <v>991</v>
      </c>
      <c r="G1694" s="0" t="n">
        <v>42.3</v>
      </c>
      <c r="H1694" s="0" t="n">
        <v>41</v>
      </c>
      <c r="I1694" s="39" t="s">
        <v>109</v>
      </c>
      <c r="J1694" s="0" t="n">
        <v>66</v>
      </c>
      <c r="K1694" s="0" t="n">
        <v>66</v>
      </c>
      <c r="L1694" s="0" t="n">
        <v>42</v>
      </c>
      <c r="P1694" s="0" t="n">
        <v>2.84</v>
      </c>
      <c r="Q1694" s="0" t="n">
        <v>3.05</v>
      </c>
      <c r="R1694" s="0" t="n">
        <v>3478</v>
      </c>
      <c r="S1694" s="0" t="n">
        <v>7112</v>
      </c>
      <c r="T1694" s="0" t="n">
        <v>38.75</v>
      </c>
      <c r="U1694" s="0" t="n">
        <v>766</v>
      </c>
      <c r="V1694" s="0" t="n">
        <v>1</v>
      </c>
      <c r="W1694" s="39" t="n">
        <f aca="false">IF(I1694="Male",0,1)</f>
        <v>1</v>
      </c>
      <c r="X1694" s="39" t="n">
        <f aca="false">IF(OR(I1694="DNB",I1694="Dry DNB"),1,0)</f>
        <v>0</v>
      </c>
      <c r="Y1694" s="39" t="n">
        <f aca="false">MATCH(A1694,DATAS,0)</f>
        <v>1</v>
      </c>
      <c r="Z1694" s="39" t="n">
        <f aca="false">IF(AND(E1694&gt;0,OR(AND(B1694&gt;=1,B1694&lt;=6),B1694=10)),1,0)</f>
        <v>1</v>
      </c>
      <c r="AA1694" s="39" t="n">
        <f aca="false">IF(AND(E1694&gt;0,B1694=10),1,0)</f>
        <v>0</v>
      </c>
      <c r="AB1694" s="0" t="str">
        <f aca="false">IF(AND(C1693=C1694,Y1693=Y1694-1),Z1693,"")</f>
        <v/>
      </c>
      <c r="AC1694" s="0" t="str">
        <f aca="false">IF(AND(C1693=C1694,Y1693=Y1694-1),AA1693,"")</f>
        <v/>
      </c>
      <c r="AD1694" s="0" t="str">
        <f aca="false">IF(Y1694=1,"",IF(AND(Z1694=1,AB1694&lt;&gt;1),1,0))</f>
        <v/>
      </c>
      <c r="AE1694" s="0" t="str">
        <f aca="false">IF(Y1694=1,"",IF(AND(AA1694=1,AC1694&lt;&gt;1),1,0))</f>
        <v/>
      </c>
      <c r="AF1694" s="45" t="str">
        <f aca="false">IF(AND(E1694&gt;0,Y1694&lt;1,NOT(AND(C1695=C1694,Y1695=Y1694+1))),INDEX(DATAS,Y1694+1),"")</f>
        <v/>
      </c>
      <c r="AG1694" s="45" t="str">
        <f aca="false">IF(AND(AA1694=1,Y1694&lt;1),IF(AND(C1695=C1694,Y1695=Y1694+1),IF(AA1695=1,"",INDEX(DATAS,Y1694+1)),INDEX(DATAS,Y1694+1)),"")</f>
        <v/>
      </c>
    </row>
    <row r="1695" customFormat="false" ht="15" hidden="false" customHeight="false" outlineLevel="0" collapsed="false">
      <c r="A1695" s="45" t="n">
        <v>46309</v>
      </c>
      <c r="B1695" s="0" t="n">
        <v>1</v>
      </c>
      <c r="C1695" s="0" t="n">
        <v>5869</v>
      </c>
      <c r="D1695" s="0" t="n">
        <v>31</v>
      </c>
      <c r="E1695" s="0" t="n">
        <v>1</v>
      </c>
      <c r="F1695" s="39" t="s">
        <v>991</v>
      </c>
      <c r="G1695" s="0" t="n">
        <v>36.8</v>
      </c>
      <c r="H1695" s="0" t="n">
        <v>31</v>
      </c>
      <c r="I1695" s="39" t="s">
        <v>118</v>
      </c>
      <c r="J1695" s="0" t="n">
        <v>31</v>
      </c>
      <c r="P1695" s="0" t="n">
        <v>3.3</v>
      </c>
      <c r="Q1695" s="0" t="n">
        <v>4.71</v>
      </c>
      <c r="R1695" s="0" t="n">
        <v>1723</v>
      </c>
      <c r="S1695" s="0" t="n">
        <v>3465</v>
      </c>
      <c r="U1695" s="0" t="n">
        <v>766</v>
      </c>
      <c r="V1695" s="0" t="n">
        <v>0</v>
      </c>
      <c r="W1695" s="39" t="n">
        <f aca="false">IF(I1695="Male",0,1)</f>
        <v>1</v>
      </c>
      <c r="X1695" s="39" t="n">
        <f aca="false">IF(OR(I1695="DNB",I1695="Dry DNB"),1,0)</f>
        <v>0</v>
      </c>
      <c r="Y1695" s="39" t="n">
        <f aca="false">MATCH(A1695,DATAS,0)</f>
        <v>1</v>
      </c>
      <c r="Z1695" s="39" t="n">
        <f aca="false">IF(AND(E1695&gt;0,OR(AND(B1695&gt;=1,B1695&lt;=6),B1695=10)),1,0)</f>
        <v>1</v>
      </c>
      <c r="AA1695" s="39" t="n">
        <f aca="false">IF(AND(E1695&gt;0,B1695=10),1,0)</f>
        <v>0</v>
      </c>
      <c r="AB1695" s="0" t="str">
        <f aca="false">IF(AND(C1694=C1695,Y1694=Y1695-1),Z1694,"")</f>
        <v/>
      </c>
      <c r="AC1695" s="0" t="str">
        <f aca="false">IF(AND(C1694=C1695,Y1694=Y1695-1),AA1694,"")</f>
        <v/>
      </c>
      <c r="AD1695" s="0" t="str">
        <f aca="false">IF(Y1695=1,"",IF(AND(Z1695=1,AB1695&lt;&gt;1),1,0))</f>
        <v/>
      </c>
      <c r="AE1695" s="0" t="str">
        <f aca="false">IF(Y1695=1,"",IF(AND(AA1695=1,AC1695&lt;&gt;1),1,0))</f>
        <v/>
      </c>
      <c r="AF1695" s="45" t="str">
        <f aca="false">IF(AND(E1695&gt;0,Y1695&lt;1,NOT(AND(C1696=C1695,Y1696=Y1695+1))),INDEX(DATAS,Y1695+1),"")</f>
        <v/>
      </c>
      <c r="AG1695" s="45" t="str">
        <f aca="false">IF(AND(AA1695=1,Y1695&lt;1),IF(AND(C1696=C1695,Y1696=Y1695+1),IF(AA1696=1,"",INDEX(DATAS,Y1695+1)),INDEX(DATAS,Y1695+1)),"")</f>
        <v/>
      </c>
    </row>
    <row r="1696" customFormat="false" ht="15" hidden="false" customHeight="false" outlineLevel="0" collapsed="false">
      <c r="A1696" s="45" t="n">
        <v>46309</v>
      </c>
      <c r="B1696" s="0" t="n">
        <v>1</v>
      </c>
      <c r="C1696" s="0" t="n">
        <v>5871</v>
      </c>
      <c r="D1696" s="0" t="n">
        <v>75</v>
      </c>
      <c r="E1696" s="0" t="n">
        <v>1</v>
      </c>
      <c r="F1696" s="39" t="s">
        <v>992</v>
      </c>
      <c r="G1696" s="0" t="n">
        <v>52.7</v>
      </c>
      <c r="H1696" s="0" t="n">
        <v>45</v>
      </c>
      <c r="I1696" s="39" t="s">
        <v>138</v>
      </c>
      <c r="J1696" s="0" t="n">
        <v>75</v>
      </c>
      <c r="K1696" s="0" t="n">
        <v>68</v>
      </c>
      <c r="P1696" s="0" t="n">
        <v>3.56</v>
      </c>
      <c r="Q1696" s="0" t="n">
        <v>3.01</v>
      </c>
      <c r="R1696" s="0" t="n">
        <v>4193</v>
      </c>
      <c r="S1696" s="0" t="n">
        <v>8429</v>
      </c>
      <c r="U1696" s="0" t="n">
        <v>764</v>
      </c>
      <c r="V1696" s="0" t="n">
        <v>1</v>
      </c>
      <c r="W1696" s="39" t="n">
        <f aca="false">IF(I1696="Male",0,1)</f>
        <v>1</v>
      </c>
      <c r="X1696" s="39" t="n">
        <f aca="false">IF(OR(I1696="DNB",I1696="Dry DNB"),1,0)</f>
        <v>0</v>
      </c>
      <c r="Y1696" s="39" t="n">
        <f aca="false">MATCH(A1696,DATAS,0)</f>
        <v>1</v>
      </c>
      <c r="Z1696" s="39" t="n">
        <f aca="false">IF(AND(E1696&gt;0,OR(AND(B1696&gt;=1,B1696&lt;=6),B1696=10)),1,0)</f>
        <v>1</v>
      </c>
      <c r="AA1696" s="39" t="n">
        <f aca="false">IF(AND(E1696&gt;0,B1696=10),1,0)</f>
        <v>0</v>
      </c>
      <c r="AB1696" s="0" t="str">
        <f aca="false">IF(AND(C1695=C1696,Y1695=Y1696-1),Z1695,"")</f>
        <v/>
      </c>
      <c r="AC1696" s="0" t="str">
        <f aca="false">IF(AND(C1695=C1696,Y1695=Y1696-1),AA1695,"")</f>
        <v/>
      </c>
      <c r="AD1696" s="0" t="str">
        <f aca="false">IF(Y1696=1,"",IF(AND(Z1696=1,AB1696&lt;&gt;1),1,0))</f>
        <v/>
      </c>
      <c r="AE1696" s="0" t="str">
        <f aca="false">IF(Y1696=1,"",IF(AND(AA1696=1,AC1696&lt;&gt;1),1,0))</f>
        <v/>
      </c>
      <c r="AF1696" s="45" t="str">
        <f aca="false">IF(AND(E1696&gt;0,Y1696&lt;1,NOT(AND(C1697=C1696,Y1697=Y1696+1))),INDEX(DATAS,Y1696+1),"")</f>
        <v/>
      </c>
      <c r="AG1696" s="45" t="str">
        <f aca="false">IF(AND(AA1696=1,Y1696&lt;1),IF(AND(C1697=C1696,Y1697=Y1696+1),IF(AA1697=1,"",INDEX(DATAS,Y1696+1)),INDEX(DATAS,Y1696+1)),"")</f>
        <v/>
      </c>
    </row>
    <row r="1697" customFormat="false" ht="15" hidden="false" customHeight="false" outlineLevel="0" collapsed="false">
      <c r="A1697" s="45" t="n">
        <v>46309</v>
      </c>
      <c r="B1697" s="0" t="n">
        <v>1</v>
      </c>
      <c r="C1697" s="0" t="n">
        <v>5872</v>
      </c>
      <c r="D1697" s="0" t="n">
        <v>65</v>
      </c>
      <c r="E1697" s="0" t="n">
        <v>1</v>
      </c>
      <c r="F1697" s="39" t="s">
        <v>992</v>
      </c>
      <c r="G1697" s="0" t="n">
        <v>45.3</v>
      </c>
      <c r="H1697" s="0" t="n">
        <v>44</v>
      </c>
      <c r="I1697" s="39" t="s">
        <v>138</v>
      </c>
      <c r="J1697" s="0" t="n">
        <v>65</v>
      </c>
      <c r="K1697" s="0" t="n">
        <v>65</v>
      </c>
      <c r="P1697" s="0" t="n">
        <v>4.02</v>
      </c>
      <c r="Q1697" s="0" t="n">
        <v>3.32</v>
      </c>
      <c r="R1697" s="0" t="n">
        <v>3470</v>
      </c>
      <c r="S1697" s="0" t="n">
        <v>6976</v>
      </c>
      <c r="U1697" s="0" t="n">
        <v>764</v>
      </c>
      <c r="V1697" s="0" t="n">
        <v>1</v>
      </c>
      <c r="W1697" s="39" t="n">
        <f aca="false">IF(I1697="Male",0,1)</f>
        <v>1</v>
      </c>
      <c r="X1697" s="39" t="n">
        <f aca="false">IF(OR(I1697="DNB",I1697="Dry DNB"),1,0)</f>
        <v>0</v>
      </c>
      <c r="Y1697" s="39" t="n">
        <f aca="false">MATCH(A1697,DATAS,0)</f>
        <v>1</v>
      </c>
      <c r="Z1697" s="39" t="n">
        <f aca="false">IF(AND(E1697&gt;0,OR(AND(B1697&gt;=1,B1697&lt;=6),B1697=10)),1,0)</f>
        <v>1</v>
      </c>
      <c r="AA1697" s="39" t="n">
        <f aca="false">IF(AND(E1697&gt;0,B1697=10),1,0)</f>
        <v>0</v>
      </c>
      <c r="AB1697" s="0" t="str">
        <f aca="false">IF(AND(C1696=C1697,Y1696=Y1697-1),Z1696,"")</f>
        <v/>
      </c>
      <c r="AC1697" s="0" t="str">
        <f aca="false">IF(AND(C1696=C1697,Y1696=Y1697-1),AA1696,"")</f>
        <v/>
      </c>
      <c r="AD1697" s="0" t="str">
        <f aca="false">IF(Y1697=1,"",IF(AND(Z1697=1,AB1697&lt;&gt;1),1,0))</f>
        <v/>
      </c>
      <c r="AE1697" s="0" t="str">
        <f aca="false">IF(Y1697=1,"",IF(AND(AA1697=1,AC1697&lt;&gt;1),1,0))</f>
        <v/>
      </c>
      <c r="AF1697" s="45" t="str">
        <f aca="false">IF(AND(E1697&gt;0,Y1697&lt;1,NOT(AND(C1698=C1697,Y1698=Y1697+1))),INDEX(DATAS,Y1697+1),"")</f>
        <v/>
      </c>
      <c r="AG1697" s="45" t="str">
        <f aca="false">IF(AND(AA1697=1,Y1697&lt;1),IF(AND(C1698=C1697,Y1698=Y1697+1),IF(AA1698=1,"",INDEX(DATAS,Y1697+1)),INDEX(DATAS,Y1697+1)),"")</f>
        <v/>
      </c>
    </row>
    <row r="1698" customFormat="false" ht="15" hidden="false" customHeight="false" outlineLevel="0" collapsed="false">
      <c r="A1698" s="45" t="n">
        <v>46309</v>
      </c>
      <c r="B1698" s="0" t="n">
        <v>1</v>
      </c>
      <c r="C1698" s="0" t="n">
        <v>5873</v>
      </c>
      <c r="D1698" s="0" t="n">
        <v>39</v>
      </c>
      <c r="E1698" s="0" t="n">
        <v>1</v>
      </c>
      <c r="F1698" s="39" t="s">
        <v>993</v>
      </c>
      <c r="G1698" s="0" t="n">
        <v>50.2</v>
      </c>
      <c r="H1698" s="0" t="n">
        <v>53</v>
      </c>
      <c r="I1698" s="39" t="s">
        <v>118</v>
      </c>
      <c r="J1698" s="0" t="n">
        <v>39</v>
      </c>
      <c r="P1698" s="0" t="n">
        <v>4.47</v>
      </c>
      <c r="Q1698" s="0" t="n">
        <v>3.22</v>
      </c>
      <c r="R1698" s="0" t="n">
        <v>5021</v>
      </c>
      <c r="S1698" s="0" t="n">
        <v>10093</v>
      </c>
      <c r="U1698" s="0" t="n">
        <v>763</v>
      </c>
      <c r="V1698" s="0" t="n">
        <v>0</v>
      </c>
      <c r="W1698" s="39" t="n">
        <f aca="false">IF(I1698="Male",0,1)</f>
        <v>1</v>
      </c>
      <c r="X1698" s="39" t="n">
        <f aca="false">IF(OR(I1698="DNB",I1698="Dry DNB"),1,0)</f>
        <v>0</v>
      </c>
      <c r="Y1698" s="39" t="n">
        <f aca="false">MATCH(A1698,DATAS,0)</f>
        <v>1</v>
      </c>
      <c r="Z1698" s="39" t="n">
        <f aca="false">IF(AND(E1698&gt;0,OR(AND(B1698&gt;=1,B1698&lt;=6),B1698=10)),1,0)</f>
        <v>1</v>
      </c>
      <c r="AA1698" s="39" t="n">
        <f aca="false">IF(AND(E1698&gt;0,B1698=10),1,0)</f>
        <v>0</v>
      </c>
      <c r="AB1698" s="0" t="str">
        <f aca="false">IF(AND(C1697=C1698,Y1697=Y1698-1),Z1697,"")</f>
        <v/>
      </c>
      <c r="AC1698" s="0" t="str">
        <f aca="false">IF(AND(C1697=C1698,Y1697=Y1698-1),AA1697,"")</f>
        <v/>
      </c>
      <c r="AD1698" s="0" t="str">
        <f aca="false">IF(Y1698=1,"",IF(AND(Z1698=1,AB1698&lt;&gt;1),1,0))</f>
        <v/>
      </c>
      <c r="AE1698" s="0" t="str">
        <f aca="false">IF(Y1698=1,"",IF(AND(AA1698=1,AC1698&lt;&gt;1),1,0))</f>
        <v/>
      </c>
      <c r="AF1698" s="45" t="str">
        <f aca="false">IF(AND(E1698&gt;0,Y1698&lt;1,NOT(AND(C1699=C1698,Y1699=Y1698+1))),INDEX(DATAS,Y1698+1),"")</f>
        <v/>
      </c>
      <c r="AG1698" s="45" t="str">
        <f aca="false">IF(AND(AA1698=1,Y1698&lt;1),IF(AND(C1699=C1698,Y1699=Y1698+1),IF(AA1699=1,"",INDEX(DATAS,Y1698+1)),INDEX(DATAS,Y1698+1)),"")</f>
        <v/>
      </c>
    </row>
    <row r="1699" customFormat="false" ht="15" hidden="false" customHeight="false" outlineLevel="0" collapsed="false">
      <c r="A1699" s="45" t="n">
        <v>46309</v>
      </c>
      <c r="B1699" s="0" t="n">
        <v>1</v>
      </c>
      <c r="C1699" s="0" t="n">
        <v>5874</v>
      </c>
      <c r="D1699" s="0" t="n">
        <v>46</v>
      </c>
      <c r="E1699" s="0" t="n">
        <v>1</v>
      </c>
      <c r="F1699" s="39" t="s">
        <v>993</v>
      </c>
      <c r="G1699" s="0" t="n">
        <v>39.8</v>
      </c>
      <c r="H1699" s="0" t="n">
        <v>38</v>
      </c>
      <c r="I1699" s="39" t="s">
        <v>118</v>
      </c>
      <c r="J1699" s="0" t="n">
        <v>46</v>
      </c>
      <c r="P1699" s="0" t="n">
        <v>3.9</v>
      </c>
      <c r="Q1699" s="0" t="n">
        <v>3.48</v>
      </c>
      <c r="R1699" s="0" t="n">
        <v>3218</v>
      </c>
      <c r="S1699" s="0" t="n">
        <v>6469</v>
      </c>
      <c r="U1699" s="0" t="n">
        <v>763</v>
      </c>
      <c r="V1699" s="0" t="n">
        <v>0</v>
      </c>
      <c r="W1699" s="39" t="n">
        <f aca="false">IF(I1699="Male",0,1)</f>
        <v>1</v>
      </c>
      <c r="X1699" s="39" t="n">
        <f aca="false">IF(OR(I1699="DNB",I1699="Dry DNB"),1,0)</f>
        <v>0</v>
      </c>
      <c r="Y1699" s="39" t="n">
        <f aca="false">MATCH(A1699,DATAS,0)</f>
        <v>1</v>
      </c>
      <c r="Z1699" s="39" t="n">
        <f aca="false">IF(AND(E1699&gt;0,OR(AND(B1699&gt;=1,B1699&lt;=6),B1699=10)),1,0)</f>
        <v>1</v>
      </c>
      <c r="AA1699" s="39" t="n">
        <f aca="false">IF(AND(E1699&gt;0,B1699=10),1,0)</f>
        <v>0</v>
      </c>
      <c r="AB1699" s="0" t="str">
        <f aca="false">IF(AND(C1698=C1699,Y1698=Y1699-1),Z1698,"")</f>
        <v/>
      </c>
      <c r="AC1699" s="0" t="str">
        <f aca="false">IF(AND(C1698=C1699,Y1698=Y1699-1),AA1698,"")</f>
        <v/>
      </c>
      <c r="AD1699" s="0" t="str">
        <f aca="false">IF(Y1699=1,"",IF(AND(Z1699=1,AB1699&lt;&gt;1),1,0))</f>
        <v/>
      </c>
      <c r="AE1699" s="0" t="str">
        <f aca="false">IF(Y1699=1,"",IF(AND(AA1699=1,AC1699&lt;&gt;1),1,0))</f>
        <v/>
      </c>
      <c r="AF1699" s="45" t="str">
        <f aca="false">IF(AND(E1699&gt;0,Y1699&lt;1,NOT(AND(C1700=C1699,Y1700=Y1699+1))),INDEX(DATAS,Y1699+1),"")</f>
        <v/>
      </c>
      <c r="AG1699" s="45" t="str">
        <f aca="false">IF(AND(AA1699=1,Y1699&lt;1),IF(AND(C1700=C1699,Y1700=Y1699+1),IF(AA1700=1,"",INDEX(DATAS,Y1699+1)),INDEX(DATAS,Y1699+1)),"")</f>
        <v/>
      </c>
    </row>
    <row r="1700" customFormat="false" ht="15" hidden="false" customHeight="false" outlineLevel="0" collapsed="false">
      <c r="A1700" s="45" t="n">
        <v>46309</v>
      </c>
      <c r="B1700" s="0" t="n">
        <v>1</v>
      </c>
      <c r="C1700" s="0" t="n">
        <v>5875</v>
      </c>
      <c r="D1700" s="0" t="n">
        <v>78</v>
      </c>
      <c r="E1700" s="0" t="n">
        <v>1</v>
      </c>
      <c r="F1700" s="39" t="s">
        <v>993</v>
      </c>
      <c r="G1700" s="0" t="n">
        <v>48.1</v>
      </c>
      <c r="H1700" s="0" t="n">
        <v>51</v>
      </c>
      <c r="I1700" s="39" t="s">
        <v>138</v>
      </c>
      <c r="J1700" s="0" t="n">
        <v>78</v>
      </c>
      <c r="K1700" s="0" t="n">
        <v>64</v>
      </c>
      <c r="P1700" s="0" t="n">
        <v>3.51</v>
      </c>
      <c r="Q1700" s="0" t="n">
        <v>3.29</v>
      </c>
      <c r="R1700" s="0" t="n">
        <v>4151</v>
      </c>
      <c r="S1700" s="0" t="n">
        <v>8345</v>
      </c>
      <c r="U1700" s="0" t="n">
        <v>763</v>
      </c>
      <c r="V1700" s="0" t="n">
        <v>1</v>
      </c>
      <c r="W1700" s="39" t="n">
        <f aca="false">IF(I1700="Male",0,1)</f>
        <v>1</v>
      </c>
      <c r="X1700" s="39" t="n">
        <f aca="false">IF(OR(I1700="DNB",I1700="Dry DNB"),1,0)</f>
        <v>0</v>
      </c>
      <c r="Y1700" s="39" t="n">
        <f aca="false">MATCH(A1700,DATAS,0)</f>
        <v>1</v>
      </c>
      <c r="Z1700" s="39" t="n">
        <f aca="false">IF(AND(E1700&gt;0,OR(AND(B1700&gt;=1,B1700&lt;=6),B1700=10)),1,0)</f>
        <v>1</v>
      </c>
      <c r="AA1700" s="39" t="n">
        <f aca="false">IF(AND(E1700&gt;0,B1700=10),1,0)</f>
        <v>0</v>
      </c>
      <c r="AB1700" s="0" t="str">
        <f aca="false">IF(AND(C1699=C1700,Y1699=Y1700-1),Z1699,"")</f>
        <v/>
      </c>
      <c r="AC1700" s="0" t="str">
        <f aca="false">IF(AND(C1699=C1700,Y1699=Y1700-1),AA1699,"")</f>
        <v/>
      </c>
      <c r="AD1700" s="0" t="str">
        <f aca="false">IF(Y1700=1,"",IF(AND(Z1700=1,AB1700&lt;&gt;1),1,0))</f>
        <v/>
      </c>
      <c r="AE1700" s="0" t="str">
        <f aca="false">IF(Y1700=1,"",IF(AND(AA1700=1,AC1700&lt;&gt;1),1,0))</f>
        <v/>
      </c>
      <c r="AF1700" s="45" t="str">
        <f aca="false">IF(AND(E1700&gt;0,Y1700&lt;1,NOT(AND(C1701=C1700,Y1701=Y1700+1))),INDEX(DATAS,Y1700+1),"")</f>
        <v/>
      </c>
      <c r="AG1700" s="45" t="str">
        <f aca="false">IF(AND(AA1700=1,Y1700&lt;1),IF(AND(C1701=C1700,Y1701=Y1700+1),IF(AA1701=1,"",INDEX(DATAS,Y1700+1)),INDEX(DATAS,Y1700+1)),"")</f>
        <v/>
      </c>
    </row>
    <row r="1701" customFormat="false" ht="15" hidden="false" customHeight="false" outlineLevel="0" collapsed="false">
      <c r="A1701" s="45" t="n">
        <v>46309</v>
      </c>
      <c r="B1701" s="0" t="n">
        <v>1</v>
      </c>
      <c r="C1701" s="0" t="n">
        <v>5876</v>
      </c>
      <c r="D1701" s="0" t="n">
        <v>106</v>
      </c>
      <c r="E1701" s="0" t="n">
        <v>1</v>
      </c>
      <c r="F1701" s="39" t="s">
        <v>993</v>
      </c>
      <c r="G1701" s="0" t="n">
        <v>60.5</v>
      </c>
      <c r="H1701" s="0" t="n">
        <v>61</v>
      </c>
      <c r="I1701" s="39" t="s">
        <v>109</v>
      </c>
      <c r="J1701" s="0" t="n">
        <v>64</v>
      </c>
      <c r="K1701" s="0" t="n">
        <v>64</v>
      </c>
      <c r="L1701" s="0" t="n">
        <v>42</v>
      </c>
      <c r="P1701" s="0" t="n">
        <v>2.99</v>
      </c>
      <c r="Q1701" s="0" t="n">
        <v>3.12</v>
      </c>
      <c r="R1701" s="0" t="n">
        <v>4523</v>
      </c>
      <c r="S1701" s="0" t="n">
        <v>9285</v>
      </c>
      <c r="T1701" s="0" t="n">
        <v>54</v>
      </c>
      <c r="U1701" s="0" t="n">
        <v>763</v>
      </c>
      <c r="V1701" s="0" t="n">
        <v>1</v>
      </c>
      <c r="W1701" s="39" t="n">
        <f aca="false">IF(I1701="Male",0,1)</f>
        <v>1</v>
      </c>
      <c r="X1701" s="39" t="n">
        <f aca="false">IF(OR(I1701="DNB",I1701="Dry DNB"),1,0)</f>
        <v>0</v>
      </c>
      <c r="Y1701" s="39" t="n">
        <f aca="false">MATCH(A1701,DATAS,0)</f>
        <v>1</v>
      </c>
      <c r="Z1701" s="39" t="n">
        <f aca="false">IF(AND(E1701&gt;0,OR(AND(B1701&gt;=1,B1701&lt;=6),B1701=10)),1,0)</f>
        <v>1</v>
      </c>
      <c r="AA1701" s="39" t="n">
        <f aca="false">IF(AND(E1701&gt;0,B1701=10),1,0)</f>
        <v>0</v>
      </c>
      <c r="AB1701" s="0" t="str">
        <f aca="false">IF(AND(C1700=C1701,Y1700=Y1701-1),Z1700,"")</f>
        <v/>
      </c>
      <c r="AC1701" s="0" t="str">
        <f aca="false">IF(AND(C1700=C1701,Y1700=Y1701-1),AA1700,"")</f>
        <v/>
      </c>
      <c r="AD1701" s="0" t="str">
        <f aca="false">IF(Y1701=1,"",IF(AND(Z1701=1,AB1701&lt;&gt;1),1,0))</f>
        <v/>
      </c>
      <c r="AE1701" s="0" t="str">
        <f aca="false">IF(Y1701=1,"",IF(AND(AA1701=1,AC1701&lt;&gt;1),1,0))</f>
        <v/>
      </c>
      <c r="AF1701" s="45" t="str">
        <f aca="false">IF(AND(E1701&gt;0,Y1701&lt;1,NOT(AND(C1702=C1701,Y1702=Y1701+1))),INDEX(DATAS,Y1701+1),"")</f>
        <v/>
      </c>
      <c r="AG1701" s="45" t="str">
        <f aca="false">IF(AND(AA1701=1,Y1701&lt;1),IF(AND(C1702=C1701,Y1702=Y1701+1),IF(AA1702=1,"",INDEX(DATAS,Y1701+1)),INDEX(DATAS,Y1701+1)),"")</f>
        <v/>
      </c>
    </row>
    <row r="1702" customFormat="false" ht="15" hidden="false" customHeight="false" outlineLevel="0" collapsed="false">
      <c r="A1702" s="45" t="n">
        <v>46309</v>
      </c>
      <c r="B1702" s="0" t="n">
        <v>4</v>
      </c>
      <c r="C1702" s="0" t="n">
        <v>5877</v>
      </c>
      <c r="D1702" s="0" t="n">
        <v>113</v>
      </c>
      <c r="E1702" s="0" t="n">
        <v>1</v>
      </c>
      <c r="F1702" s="39" t="s">
        <v>994</v>
      </c>
      <c r="G1702" s="0" t="n">
        <v>76.6</v>
      </c>
      <c r="H1702" s="0" t="n">
        <v>71</v>
      </c>
      <c r="I1702" s="39" t="s">
        <v>138</v>
      </c>
      <c r="J1702" s="0" t="n">
        <v>113</v>
      </c>
      <c r="K1702" s="0" t="n">
        <v>64</v>
      </c>
      <c r="P1702" s="0" t="n">
        <v>3.41</v>
      </c>
      <c r="Q1702" s="0" t="n">
        <v>2.73</v>
      </c>
      <c r="R1702" s="0" t="n">
        <v>5666</v>
      </c>
      <c r="S1702" s="0" t="n">
        <v>11712</v>
      </c>
      <c r="T1702" s="0" t="n">
        <v>64.85</v>
      </c>
      <c r="U1702" s="0" t="n">
        <v>762</v>
      </c>
      <c r="V1702" s="0" t="n">
        <v>2</v>
      </c>
      <c r="W1702" s="39" t="n">
        <f aca="false">IF(I1702="Male",0,1)</f>
        <v>1</v>
      </c>
      <c r="X1702" s="39" t="n">
        <f aca="false">IF(OR(I1702="DNB",I1702="Dry DNB"),1,0)</f>
        <v>0</v>
      </c>
      <c r="Y1702" s="39" t="n">
        <f aca="false">MATCH(A1702,DATAS,0)</f>
        <v>1</v>
      </c>
      <c r="Z1702" s="39" t="n">
        <f aca="false">IF(AND(E1702&gt;0,OR(AND(B1702&gt;=1,B1702&lt;=6),B1702=10)),1,0)</f>
        <v>1</v>
      </c>
      <c r="AA1702" s="39" t="n">
        <f aca="false">IF(AND(E1702&gt;0,B1702=10),1,0)</f>
        <v>0</v>
      </c>
      <c r="AB1702" s="0" t="str">
        <f aca="false">IF(AND(C1701=C1702,Y1701=Y1702-1),Z1701,"")</f>
        <v/>
      </c>
      <c r="AC1702" s="0" t="str">
        <f aca="false">IF(AND(C1701=C1702,Y1701=Y1702-1),AA1701,"")</f>
        <v/>
      </c>
      <c r="AD1702" s="0" t="str">
        <f aca="false">IF(Y1702=1,"",IF(AND(Z1702=1,AB1702&lt;&gt;1),1,0))</f>
        <v/>
      </c>
      <c r="AE1702" s="0" t="str">
        <f aca="false">IF(Y1702=1,"",IF(AND(AA1702=1,AC1702&lt;&gt;1),1,0))</f>
        <v/>
      </c>
      <c r="AF1702" s="45" t="str">
        <f aca="false">IF(AND(E1702&gt;0,Y1702&lt;1,NOT(AND(C1703=C1702,Y1703=Y1702+1))),INDEX(DATAS,Y1702+1),"")</f>
        <v/>
      </c>
      <c r="AG1702" s="45" t="str">
        <f aca="false">IF(AND(AA1702=1,Y1702&lt;1),IF(AND(C1703=C1702,Y1703=Y1702+1),IF(AA1703=1,"",INDEX(DATAS,Y1702+1)),INDEX(DATAS,Y1702+1)),"")</f>
        <v/>
      </c>
    </row>
    <row r="1703" customFormat="false" ht="15" hidden="false" customHeight="false" outlineLevel="0" collapsed="false">
      <c r="A1703" s="45" t="n">
        <v>46309</v>
      </c>
      <c r="B1703" s="0" t="n">
        <v>1</v>
      </c>
      <c r="C1703" s="0" t="n">
        <v>5878</v>
      </c>
      <c r="D1703" s="0" t="n">
        <v>64</v>
      </c>
      <c r="E1703" s="0" t="n">
        <v>1</v>
      </c>
      <c r="F1703" s="39" t="s">
        <v>994</v>
      </c>
      <c r="G1703" s="0" t="n">
        <v>48.4</v>
      </c>
      <c r="H1703" s="0" t="n">
        <v>51</v>
      </c>
      <c r="I1703" s="39" t="s">
        <v>118</v>
      </c>
      <c r="J1703" s="0" t="n">
        <v>64</v>
      </c>
      <c r="P1703" s="0" t="n">
        <v>3.73</v>
      </c>
      <c r="Q1703" s="0" t="n">
        <v>3.29</v>
      </c>
      <c r="R1703" s="0" t="n">
        <v>4355</v>
      </c>
      <c r="S1703" s="0" t="n">
        <v>8754</v>
      </c>
      <c r="U1703" s="0" t="n">
        <v>762</v>
      </c>
      <c r="V1703" s="0" t="n">
        <v>0</v>
      </c>
      <c r="W1703" s="39" t="n">
        <f aca="false">IF(I1703="Male",0,1)</f>
        <v>1</v>
      </c>
      <c r="X1703" s="39" t="n">
        <f aca="false">IF(OR(I1703="DNB",I1703="Dry DNB"),1,0)</f>
        <v>0</v>
      </c>
      <c r="Y1703" s="39" t="n">
        <f aca="false">MATCH(A1703,DATAS,0)</f>
        <v>1</v>
      </c>
      <c r="Z1703" s="39" t="n">
        <f aca="false">IF(AND(E1703&gt;0,OR(AND(B1703&gt;=1,B1703&lt;=6),B1703=10)),1,0)</f>
        <v>1</v>
      </c>
      <c r="AA1703" s="39" t="n">
        <f aca="false">IF(AND(E1703&gt;0,B1703=10),1,0)</f>
        <v>0</v>
      </c>
      <c r="AB1703" s="0" t="str">
        <f aca="false">IF(AND(C1702=C1703,Y1702=Y1703-1),Z1702,"")</f>
        <v/>
      </c>
      <c r="AC1703" s="0" t="str">
        <f aca="false">IF(AND(C1702=C1703,Y1702=Y1703-1),AA1702,"")</f>
        <v/>
      </c>
      <c r="AD1703" s="0" t="str">
        <f aca="false">IF(Y1703=1,"",IF(AND(Z1703=1,AB1703&lt;&gt;1),1,0))</f>
        <v/>
      </c>
      <c r="AE1703" s="0" t="str">
        <f aca="false">IF(Y1703=1,"",IF(AND(AA1703=1,AC1703&lt;&gt;1),1,0))</f>
        <v/>
      </c>
      <c r="AF1703" s="45" t="str">
        <f aca="false">IF(AND(E1703&gt;0,Y1703&lt;1,NOT(AND(C1704=C1703,Y1704=Y1703+1))),INDEX(DATAS,Y1703+1),"")</f>
        <v/>
      </c>
      <c r="AG1703" s="45" t="str">
        <f aca="false">IF(AND(AA1703=1,Y1703&lt;1),IF(AND(C1704=C1703,Y1704=Y1703+1),IF(AA1704=1,"",INDEX(DATAS,Y1703+1)),INDEX(DATAS,Y1703+1)),"")</f>
        <v/>
      </c>
    </row>
    <row r="1704" customFormat="false" ht="15" hidden="false" customHeight="false" outlineLevel="0" collapsed="false">
      <c r="A1704" s="45" t="n">
        <v>46309</v>
      </c>
      <c r="B1704" s="0" t="n">
        <v>6</v>
      </c>
      <c r="C1704" s="0" t="n">
        <v>5879</v>
      </c>
      <c r="D1704" s="0" t="n">
        <v>126</v>
      </c>
      <c r="E1704" s="0" t="n">
        <v>1</v>
      </c>
      <c r="F1704" s="39" t="s">
        <v>995</v>
      </c>
      <c r="G1704" s="0" t="n">
        <v>27.8</v>
      </c>
      <c r="H1704" s="0" t="n">
        <v>25</v>
      </c>
      <c r="I1704" s="39" t="s">
        <v>138</v>
      </c>
      <c r="J1704" s="0" t="n">
        <v>126</v>
      </c>
      <c r="K1704" s="0" t="n">
        <v>119</v>
      </c>
      <c r="P1704" s="0" t="n">
        <v>4.61</v>
      </c>
      <c r="Q1704" s="0" t="n">
        <v>3.3</v>
      </c>
      <c r="R1704" s="0" t="n">
        <v>3270</v>
      </c>
      <c r="S1704" s="0" t="n">
        <v>6395</v>
      </c>
      <c r="T1704" s="0" t="n">
        <v>35.9</v>
      </c>
      <c r="U1704" s="0" t="n">
        <v>761</v>
      </c>
      <c r="V1704" s="0" t="n">
        <v>1</v>
      </c>
      <c r="W1704" s="39" t="n">
        <f aca="false">IF(I1704="Male",0,1)</f>
        <v>1</v>
      </c>
      <c r="X1704" s="39" t="n">
        <f aca="false">IF(OR(I1704="DNB",I1704="Dry DNB"),1,0)</f>
        <v>0</v>
      </c>
      <c r="Y1704" s="39" t="n">
        <f aca="false">MATCH(A1704,DATAS,0)</f>
        <v>1</v>
      </c>
      <c r="Z1704" s="39" t="n">
        <f aca="false">IF(AND(E1704&gt;0,OR(AND(B1704&gt;=1,B1704&lt;=6),B1704=10)),1,0)</f>
        <v>1</v>
      </c>
      <c r="AA1704" s="39" t="n">
        <f aca="false">IF(AND(E1704&gt;0,B1704=10),1,0)</f>
        <v>0</v>
      </c>
      <c r="AB1704" s="0" t="str">
        <f aca="false">IF(AND(C1703=C1704,Y1703=Y1704-1),Z1703,"")</f>
        <v/>
      </c>
      <c r="AC1704" s="0" t="str">
        <f aca="false">IF(AND(C1703=C1704,Y1703=Y1704-1),AA1703,"")</f>
        <v/>
      </c>
      <c r="AD1704" s="0" t="str">
        <f aca="false">IF(Y1704=1,"",IF(AND(Z1704=1,AB1704&lt;&gt;1),1,0))</f>
        <v/>
      </c>
      <c r="AE1704" s="0" t="str">
        <f aca="false">IF(Y1704=1,"",IF(AND(AA1704=1,AC1704&lt;&gt;1),1,0))</f>
        <v/>
      </c>
      <c r="AF1704" s="45" t="str">
        <f aca="false">IF(AND(E1704&gt;0,Y1704&lt;1,NOT(AND(C1705=C1704,Y1705=Y1704+1))),INDEX(DATAS,Y1704+1),"")</f>
        <v/>
      </c>
      <c r="AG1704" s="45" t="str">
        <f aca="false">IF(AND(AA1704=1,Y1704&lt;1),IF(AND(C1705=C1704,Y1705=Y1704+1),IF(AA1705=1,"",INDEX(DATAS,Y1704+1)),INDEX(DATAS,Y1704+1)),"")</f>
        <v/>
      </c>
    </row>
    <row r="1705" customFormat="false" ht="15" hidden="false" customHeight="false" outlineLevel="0" collapsed="false">
      <c r="A1705" s="45" t="n">
        <v>46309</v>
      </c>
      <c r="B1705" s="0" t="n">
        <v>1</v>
      </c>
      <c r="C1705" s="0" t="n">
        <v>5881</v>
      </c>
      <c r="D1705" s="0" t="n">
        <v>75</v>
      </c>
      <c r="E1705" s="0" t="n">
        <v>1</v>
      </c>
      <c r="F1705" s="39" t="s">
        <v>996</v>
      </c>
      <c r="G1705" s="0" t="n">
        <v>42.1</v>
      </c>
      <c r="H1705" s="0" t="n">
        <v>49</v>
      </c>
      <c r="I1705" s="39" t="s">
        <v>138</v>
      </c>
      <c r="J1705" s="0" t="n">
        <v>75</v>
      </c>
      <c r="K1705" s="0" t="n">
        <v>75</v>
      </c>
      <c r="P1705" s="0" t="n">
        <v>3.9</v>
      </c>
      <c r="Q1705" s="0" t="n">
        <v>3.16</v>
      </c>
      <c r="R1705" s="0" t="n">
        <v>4381</v>
      </c>
      <c r="S1705" s="0" t="n">
        <v>8806</v>
      </c>
      <c r="U1705" s="0" t="n">
        <v>759</v>
      </c>
      <c r="V1705" s="0" t="n">
        <v>1</v>
      </c>
      <c r="W1705" s="39" t="n">
        <f aca="false">IF(I1705="Male",0,1)</f>
        <v>1</v>
      </c>
      <c r="X1705" s="39" t="n">
        <f aca="false">IF(OR(I1705="DNB",I1705="Dry DNB"),1,0)</f>
        <v>0</v>
      </c>
      <c r="Y1705" s="39" t="n">
        <f aca="false">MATCH(A1705,DATAS,0)</f>
        <v>1</v>
      </c>
      <c r="Z1705" s="39" t="n">
        <f aca="false">IF(AND(E1705&gt;0,OR(AND(B1705&gt;=1,B1705&lt;=6),B1705=10)),1,0)</f>
        <v>1</v>
      </c>
      <c r="AA1705" s="39" t="n">
        <f aca="false">IF(AND(E1705&gt;0,B1705=10),1,0)</f>
        <v>0</v>
      </c>
      <c r="AB1705" s="0" t="str">
        <f aca="false">IF(AND(C1704=C1705,Y1704=Y1705-1),Z1704,"")</f>
        <v/>
      </c>
      <c r="AC1705" s="0" t="str">
        <f aca="false">IF(AND(C1704=C1705,Y1704=Y1705-1),AA1704,"")</f>
        <v/>
      </c>
      <c r="AD1705" s="0" t="str">
        <f aca="false">IF(Y1705=1,"",IF(AND(Z1705=1,AB1705&lt;&gt;1),1,0))</f>
        <v/>
      </c>
      <c r="AE1705" s="0" t="str">
        <f aca="false">IF(Y1705=1,"",IF(AND(AA1705=1,AC1705&lt;&gt;1),1,0))</f>
        <v/>
      </c>
      <c r="AF1705" s="45" t="str">
        <f aca="false">IF(AND(E1705&gt;0,Y1705&lt;1,NOT(AND(C1706=C1705,Y1706=Y1705+1))),INDEX(DATAS,Y1705+1),"")</f>
        <v/>
      </c>
      <c r="AG1705" s="45" t="str">
        <f aca="false">IF(AND(AA1705=1,Y1705&lt;1),IF(AND(C1706=C1705,Y1706=Y1705+1),IF(AA1706=1,"",INDEX(DATAS,Y1705+1)),INDEX(DATAS,Y1705+1)),"")</f>
        <v/>
      </c>
    </row>
    <row r="1706" customFormat="false" ht="15" hidden="false" customHeight="false" outlineLevel="0" collapsed="false">
      <c r="A1706" s="45" t="n">
        <v>46309</v>
      </c>
      <c r="B1706" s="0" t="n">
        <v>4</v>
      </c>
      <c r="C1706" s="0" t="n">
        <v>5882</v>
      </c>
      <c r="D1706" s="0" t="n">
        <v>132</v>
      </c>
      <c r="E1706" s="0" t="n">
        <v>1</v>
      </c>
      <c r="F1706" s="39" t="s">
        <v>996</v>
      </c>
      <c r="G1706" s="0" t="n">
        <v>38.4</v>
      </c>
      <c r="H1706" s="0" t="n">
        <v>38</v>
      </c>
      <c r="I1706" s="39" t="s">
        <v>138</v>
      </c>
      <c r="J1706" s="0" t="n">
        <v>132</v>
      </c>
      <c r="K1706" s="0" t="n">
        <v>69</v>
      </c>
      <c r="P1706" s="0" t="n">
        <v>4.27</v>
      </c>
      <c r="Q1706" s="0" t="n">
        <v>3.13</v>
      </c>
      <c r="R1706" s="0" t="n">
        <v>3762</v>
      </c>
      <c r="S1706" s="0" t="n">
        <v>7644</v>
      </c>
      <c r="T1706" s="0" t="n">
        <v>41.55</v>
      </c>
      <c r="U1706" s="0" t="n">
        <v>759</v>
      </c>
      <c r="V1706" s="0" t="n">
        <v>3</v>
      </c>
      <c r="W1706" s="39" t="n">
        <f aca="false">IF(I1706="Male",0,1)</f>
        <v>1</v>
      </c>
      <c r="X1706" s="39" t="n">
        <f aca="false">IF(OR(I1706="DNB",I1706="Dry DNB"),1,0)</f>
        <v>0</v>
      </c>
      <c r="Y1706" s="39" t="n">
        <f aca="false">MATCH(A1706,DATAS,0)</f>
        <v>1</v>
      </c>
      <c r="Z1706" s="39" t="n">
        <f aca="false">IF(AND(E1706&gt;0,OR(AND(B1706&gt;=1,B1706&lt;=6),B1706=10)),1,0)</f>
        <v>1</v>
      </c>
      <c r="AA1706" s="39" t="n">
        <f aca="false">IF(AND(E1706&gt;0,B1706=10),1,0)</f>
        <v>0</v>
      </c>
      <c r="AB1706" s="0" t="str">
        <f aca="false">IF(AND(C1705=C1706,Y1705=Y1706-1),Z1705,"")</f>
        <v/>
      </c>
      <c r="AC1706" s="0" t="str">
        <f aca="false">IF(AND(C1705=C1706,Y1705=Y1706-1),AA1705,"")</f>
        <v/>
      </c>
      <c r="AD1706" s="0" t="str">
        <f aca="false">IF(Y1706=1,"",IF(AND(Z1706=1,AB1706&lt;&gt;1),1,0))</f>
        <v/>
      </c>
      <c r="AE1706" s="0" t="str">
        <f aca="false">IF(Y1706=1,"",IF(AND(AA1706=1,AC1706&lt;&gt;1),1,0))</f>
        <v/>
      </c>
      <c r="AF1706" s="45" t="str">
        <f aca="false">IF(AND(E1706&gt;0,Y1706&lt;1,NOT(AND(C1707=C1706,Y1707=Y1706+1))),INDEX(DATAS,Y1706+1),"")</f>
        <v/>
      </c>
      <c r="AG1706" s="45" t="str">
        <f aca="false">IF(AND(AA1706=1,Y1706&lt;1),IF(AND(C1707=C1706,Y1707=Y1706+1),IF(AA1707=1,"",INDEX(DATAS,Y1706+1)),INDEX(DATAS,Y1706+1)),"")</f>
        <v/>
      </c>
    </row>
    <row r="1707" customFormat="false" ht="15" hidden="false" customHeight="false" outlineLevel="0" collapsed="false">
      <c r="A1707" s="45" t="n">
        <v>46309</v>
      </c>
      <c r="B1707" s="0" t="n">
        <v>4</v>
      </c>
      <c r="C1707" s="0" t="n">
        <v>5883</v>
      </c>
      <c r="D1707" s="0" t="n">
        <v>130</v>
      </c>
      <c r="E1707" s="0" t="n">
        <v>1</v>
      </c>
      <c r="F1707" s="39" t="s">
        <v>996</v>
      </c>
      <c r="G1707" s="0" t="n">
        <v>40.7</v>
      </c>
      <c r="H1707" s="0" t="n">
        <v>41</v>
      </c>
      <c r="I1707" s="39" t="s">
        <v>109</v>
      </c>
      <c r="J1707" s="0" t="n">
        <v>67</v>
      </c>
      <c r="K1707" s="0" t="n">
        <v>67</v>
      </c>
      <c r="L1707" s="0" t="n">
        <v>63</v>
      </c>
      <c r="P1707" s="0" t="n">
        <v>3.18</v>
      </c>
      <c r="Q1707" s="0" t="n">
        <v>3.44</v>
      </c>
      <c r="R1707" s="0" t="n">
        <v>3466</v>
      </c>
      <c r="S1707" s="0" t="n">
        <v>7339</v>
      </c>
      <c r="T1707" s="0" t="n">
        <v>37.65</v>
      </c>
      <c r="U1707" s="0" t="n">
        <v>759</v>
      </c>
      <c r="V1707" s="0" t="n">
        <v>1</v>
      </c>
      <c r="W1707" s="39" t="n">
        <f aca="false">IF(I1707="Male",0,1)</f>
        <v>1</v>
      </c>
      <c r="X1707" s="39" t="n">
        <f aca="false">IF(OR(I1707="DNB",I1707="Dry DNB"),1,0)</f>
        <v>0</v>
      </c>
      <c r="Y1707" s="39" t="n">
        <f aca="false">MATCH(A1707,DATAS,0)</f>
        <v>1</v>
      </c>
      <c r="Z1707" s="39" t="n">
        <f aca="false">IF(AND(E1707&gt;0,OR(AND(B1707&gt;=1,B1707&lt;=6),B1707=10)),1,0)</f>
        <v>1</v>
      </c>
      <c r="AA1707" s="39" t="n">
        <f aca="false">IF(AND(E1707&gt;0,B1707=10),1,0)</f>
        <v>0</v>
      </c>
      <c r="AB1707" s="0" t="str">
        <f aca="false">IF(AND(C1706=C1707,Y1706=Y1707-1),Z1706,"")</f>
        <v/>
      </c>
      <c r="AC1707" s="0" t="str">
        <f aca="false">IF(AND(C1706=C1707,Y1706=Y1707-1),AA1706,"")</f>
        <v/>
      </c>
      <c r="AD1707" s="0" t="str">
        <f aca="false">IF(Y1707=1,"",IF(AND(Z1707=1,AB1707&lt;&gt;1),1,0))</f>
        <v/>
      </c>
      <c r="AE1707" s="0" t="str">
        <f aca="false">IF(Y1707=1,"",IF(AND(AA1707=1,AC1707&lt;&gt;1),1,0))</f>
        <v/>
      </c>
      <c r="AF1707" s="45" t="str">
        <f aca="false">IF(AND(E1707&gt;0,Y1707&lt;1,NOT(AND(C1708=C1707,Y1708=Y1707+1))),INDEX(DATAS,Y1707+1),"")</f>
        <v/>
      </c>
      <c r="AG1707" s="45" t="str">
        <f aca="false">IF(AND(AA1707=1,Y1707&lt;1),IF(AND(C1708=C1707,Y1708=Y1707+1),IF(AA1708=1,"",INDEX(DATAS,Y1707+1)),INDEX(DATAS,Y1707+1)),"")</f>
        <v/>
      </c>
    </row>
    <row r="1708" customFormat="false" ht="15" hidden="false" customHeight="false" outlineLevel="0" collapsed="false">
      <c r="A1708" s="45" t="n">
        <v>46309</v>
      </c>
      <c r="B1708" s="0" t="n">
        <v>4</v>
      </c>
      <c r="C1708" s="0" t="n">
        <v>5884</v>
      </c>
      <c r="D1708" s="0" t="n">
        <v>119</v>
      </c>
      <c r="E1708" s="0" t="n">
        <v>1</v>
      </c>
      <c r="F1708" s="39" t="s">
        <v>996</v>
      </c>
      <c r="G1708" s="0" t="n">
        <v>42.6</v>
      </c>
      <c r="H1708" s="0" t="n">
        <v>42</v>
      </c>
      <c r="I1708" s="39" t="s">
        <v>109</v>
      </c>
      <c r="J1708" s="0" t="n">
        <v>63</v>
      </c>
      <c r="K1708" s="0" t="n">
        <v>63</v>
      </c>
      <c r="L1708" s="0" t="n">
        <v>56</v>
      </c>
      <c r="P1708" s="0" t="n">
        <v>3.35</v>
      </c>
      <c r="Q1708" s="0" t="n">
        <v>3.38</v>
      </c>
      <c r="R1708" s="0" t="n">
        <v>3873</v>
      </c>
      <c r="S1708" s="0" t="n">
        <v>7888</v>
      </c>
      <c r="T1708" s="0" t="n">
        <v>44.65</v>
      </c>
      <c r="U1708" s="0" t="n">
        <v>759</v>
      </c>
      <c r="V1708" s="0" t="n">
        <v>1</v>
      </c>
      <c r="W1708" s="39" t="n">
        <f aca="false">IF(I1708="Male",0,1)</f>
        <v>1</v>
      </c>
      <c r="X1708" s="39" t="n">
        <f aca="false">IF(OR(I1708="DNB",I1708="Dry DNB"),1,0)</f>
        <v>0</v>
      </c>
      <c r="Y1708" s="39" t="n">
        <f aca="false">MATCH(A1708,DATAS,0)</f>
        <v>1</v>
      </c>
      <c r="Z1708" s="39" t="n">
        <f aca="false">IF(AND(E1708&gt;0,OR(AND(B1708&gt;=1,B1708&lt;=6),B1708=10)),1,0)</f>
        <v>1</v>
      </c>
      <c r="AA1708" s="39" t="n">
        <f aca="false">IF(AND(E1708&gt;0,B1708=10),1,0)</f>
        <v>0</v>
      </c>
      <c r="AB1708" s="0" t="str">
        <f aca="false">IF(AND(C1707=C1708,Y1707=Y1708-1),Z1707,"")</f>
        <v/>
      </c>
      <c r="AC1708" s="0" t="str">
        <f aca="false">IF(AND(C1707=C1708,Y1707=Y1708-1),AA1707,"")</f>
        <v/>
      </c>
      <c r="AD1708" s="0" t="str">
        <f aca="false">IF(Y1708=1,"",IF(AND(Z1708=1,AB1708&lt;&gt;1),1,0))</f>
        <v/>
      </c>
      <c r="AE1708" s="0" t="str">
        <f aca="false">IF(Y1708=1,"",IF(AND(AA1708=1,AC1708&lt;&gt;1),1,0))</f>
        <v/>
      </c>
      <c r="AF1708" s="45" t="str">
        <f aca="false">IF(AND(E1708&gt;0,Y1708&lt;1,NOT(AND(C1709=C1708,Y1709=Y1708+1))),INDEX(DATAS,Y1708+1),"")</f>
        <v/>
      </c>
      <c r="AG1708" s="45" t="str">
        <f aca="false">IF(AND(AA1708=1,Y1708&lt;1),IF(AND(C1709=C1708,Y1709=Y1708+1),IF(AA1709=1,"",INDEX(DATAS,Y1708+1)),INDEX(DATAS,Y1708+1)),"")</f>
        <v/>
      </c>
    </row>
    <row r="1709" customFormat="false" ht="15" hidden="false" customHeight="false" outlineLevel="0" collapsed="false">
      <c r="A1709" s="45" t="n">
        <v>46309</v>
      </c>
      <c r="B1709" s="0" t="n">
        <v>1</v>
      </c>
      <c r="C1709" s="0" t="n">
        <v>5885</v>
      </c>
      <c r="D1709" s="0" t="n">
        <v>90</v>
      </c>
      <c r="E1709" s="0" t="n">
        <v>1</v>
      </c>
      <c r="F1709" s="39" t="s">
        <v>997</v>
      </c>
      <c r="G1709" s="0" t="n">
        <v>33.3</v>
      </c>
      <c r="H1709" s="0" t="n">
        <v>34</v>
      </c>
      <c r="I1709" s="39" t="s">
        <v>138</v>
      </c>
      <c r="J1709" s="0" t="n">
        <v>90</v>
      </c>
      <c r="K1709" s="0" t="n">
        <v>69</v>
      </c>
      <c r="P1709" s="0" t="n">
        <v>3.62</v>
      </c>
      <c r="Q1709" s="0" t="n">
        <v>3</v>
      </c>
      <c r="R1709" s="0" t="n">
        <v>3180</v>
      </c>
      <c r="S1709" s="0" t="n">
        <v>6393</v>
      </c>
      <c r="U1709" s="0" t="n">
        <v>758</v>
      </c>
      <c r="V1709" s="0" t="n">
        <v>1</v>
      </c>
      <c r="W1709" s="39" t="n">
        <f aca="false">IF(I1709="Male",0,1)</f>
        <v>1</v>
      </c>
      <c r="X1709" s="39" t="n">
        <f aca="false">IF(OR(I1709="DNB",I1709="Dry DNB"),1,0)</f>
        <v>0</v>
      </c>
      <c r="Y1709" s="39" t="n">
        <f aca="false">MATCH(A1709,DATAS,0)</f>
        <v>1</v>
      </c>
      <c r="Z1709" s="39" t="n">
        <f aca="false">IF(AND(E1709&gt;0,OR(AND(B1709&gt;=1,B1709&lt;=6),B1709=10)),1,0)</f>
        <v>1</v>
      </c>
      <c r="AA1709" s="39" t="n">
        <f aca="false">IF(AND(E1709&gt;0,B1709=10),1,0)</f>
        <v>0</v>
      </c>
      <c r="AB1709" s="0" t="str">
        <f aca="false">IF(AND(C1708=C1709,Y1708=Y1709-1),Z1708,"")</f>
        <v/>
      </c>
      <c r="AC1709" s="0" t="str">
        <f aca="false">IF(AND(C1708=C1709,Y1708=Y1709-1),AA1708,"")</f>
        <v/>
      </c>
      <c r="AD1709" s="0" t="str">
        <f aca="false">IF(Y1709=1,"",IF(AND(Z1709=1,AB1709&lt;&gt;1),1,0))</f>
        <v/>
      </c>
      <c r="AE1709" s="0" t="str">
        <f aca="false">IF(Y1709=1,"",IF(AND(AA1709=1,AC1709&lt;&gt;1),1,0))</f>
        <v/>
      </c>
      <c r="AF1709" s="45" t="str">
        <f aca="false">IF(AND(E1709&gt;0,Y1709&lt;1,NOT(AND(C1710=C1709,Y1710=Y1709+1))),INDEX(DATAS,Y1709+1),"")</f>
        <v/>
      </c>
      <c r="AG1709" s="45" t="str">
        <f aca="false">IF(AND(AA1709=1,Y1709&lt;1),IF(AND(C1710=C1709,Y1710=Y1709+1),IF(AA1710=1,"",INDEX(DATAS,Y1709+1)),INDEX(DATAS,Y1709+1)),"")</f>
        <v/>
      </c>
    </row>
    <row r="1710" customFormat="false" ht="15" hidden="false" customHeight="false" outlineLevel="0" collapsed="false">
      <c r="A1710" s="45" t="n">
        <v>46309</v>
      </c>
      <c r="B1710" s="0" t="n">
        <v>1</v>
      </c>
      <c r="C1710" s="0" t="n">
        <v>5886</v>
      </c>
      <c r="D1710" s="0" t="n">
        <v>108</v>
      </c>
      <c r="E1710" s="0" t="n">
        <v>1</v>
      </c>
      <c r="F1710" s="39" t="s">
        <v>997</v>
      </c>
      <c r="G1710" s="0" t="n">
        <v>49.1</v>
      </c>
      <c r="H1710" s="0" t="n">
        <v>52</v>
      </c>
      <c r="I1710" s="39" t="s">
        <v>109</v>
      </c>
      <c r="J1710" s="0" t="n">
        <v>66</v>
      </c>
      <c r="K1710" s="0" t="n">
        <v>66</v>
      </c>
      <c r="L1710" s="0" t="n">
        <v>42</v>
      </c>
      <c r="P1710" s="0" t="n">
        <v>2.88</v>
      </c>
      <c r="Q1710" s="0" t="n">
        <v>3.18</v>
      </c>
      <c r="R1710" s="0" t="n">
        <v>4803</v>
      </c>
      <c r="S1710" s="0" t="n">
        <v>9744</v>
      </c>
      <c r="T1710" s="0" t="n">
        <v>51.5</v>
      </c>
      <c r="U1710" s="0" t="n">
        <v>758</v>
      </c>
      <c r="V1710" s="0" t="n">
        <v>1</v>
      </c>
      <c r="W1710" s="39" t="n">
        <f aca="false">IF(I1710="Male",0,1)</f>
        <v>1</v>
      </c>
      <c r="X1710" s="39" t="n">
        <f aca="false">IF(OR(I1710="DNB",I1710="Dry DNB"),1,0)</f>
        <v>0</v>
      </c>
      <c r="Y1710" s="39" t="n">
        <f aca="false">MATCH(A1710,DATAS,0)</f>
        <v>1</v>
      </c>
      <c r="Z1710" s="39" t="n">
        <f aca="false">IF(AND(E1710&gt;0,OR(AND(B1710&gt;=1,B1710&lt;=6),B1710=10)),1,0)</f>
        <v>1</v>
      </c>
      <c r="AA1710" s="39" t="n">
        <f aca="false">IF(AND(E1710&gt;0,B1710=10),1,0)</f>
        <v>0</v>
      </c>
      <c r="AB1710" s="0" t="str">
        <f aca="false">IF(AND(C1709=C1710,Y1709=Y1710-1),Z1709,"")</f>
        <v/>
      </c>
      <c r="AC1710" s="0" t="str">
        <f aca="false">IF(AND(C1709=C1710,Y1709=Y1710-1),AA1709,"")</f>
        <v/>
      </c>
      <c r="AD1710" s="0" t="str">
        <f aca="false">IF(Y1710=1,"",IF(AND(Z1710=1,AB1710&lt;&gt;1),1,0))</f>
        <v/>
      </c>
      <c r="AE1710" s="0" t="str">
        <f aca="false">IF(Y1710=1,"",IF(AND(AA1710=1,AC1710&lt;&gt;1),1,0))</f>
        <v/>
      </c>
      <c r="AF1710" s="45" t="str">
        <f aca="false">IF(AND(E1710&gt;0,Y1710&lt;1,NOT(AND(C1711=C1710,Y1711=Y1710+1))),INDEX(DATAS,Y1710+1),"")</f>
        <v/>
      </c>
      <c r="AG1710" s="45" t="str">
        <f aca="false">IF(AND(AA1710=1,Y1710&lt;1),IF(AND(C1711=C1710,Y1711=Y1710+1),IF(AA1711=1,"",INDEX(DATAS,Y1710+1)),INDEX(DATAS,Y1710+1)),"")</f>
        <v/>
      </c>
    </row>
    <row r="1711" customFormat="false" ht="15" hidden="false" customHeight="false" outlineLevel="0" collapsed="false">
      <c r="A1711" s="45" t="n">
        <v>46309</v>
      </c>
      <c r="B1711" s="0" t="n">
        <v>1</v>
      </c>
      <c r="C1711" s="0" t="n">
        <v>5887</v>
      </c>
      <c r="D1711" s="0" t="n">
        <v>22</v>
      </c>
      <c r="E1711" s="0" t="n">
        <v>1</v>
      </c>
      <c r="F1711" s="39" t="s">
        <v>111</v>
      </c>
      <c r="G1711" s="0" t="n">
        <v>36.6</v>
      </c>
      <c r="H1711" s="0" t="n">
        <v>35</v>
      </c>
      <c r="I1711" s="39" t="s">
        <v>118</v>
      </c>
      <c r="J1711" s="0" t="n">
        <v>22</v>
      </c>
      <c r="R1711" s="0" t="n">
        <v>2784</v>
      </c>
      <c r="S1711" s="0" t="n">
        <v>5596</v>
      </c>
      <c r="U1711" s="0" t="n">
        <v>757</v>
      </c>
      <c r="V1711" s="0" t="n">
        <v>0</v>
      </c>
      <c r="W1711" s="39" t="n">
        <f aca="false">IF(I1711="Male",0,1)</f>
        <v>1</v>
      </c>
      <c r="X1711" s="39" t="n">
        <f aca="false">IF(OR(I1711="DNB",I1711="Dry DNB"),1,0)</f>
        <v>0</v>
      </c>
      <c r="Y1711" s="39" t="n">
        <f aca="false">MATCH(A1711,DATAS,0)</f>
        <v>1</v>
      </c>
      <c r="Z1711" s="39" t="n">
        <f aca="false">IF(AND(E1711&gt;0,OR(AND(B1711&gt;=1,B1711&lt;=6),B1711=10)),1,0)</f>
        <v>1</v>
      </c>
      <c r="AA1711" s="39" t="n">
        <f aca="false">IF(AND(E1711&gt;0,B1711=10),1,0)</f>
        <v>0</v>
      </c>
      <c r="AB1711" s="0" t="str">
        <f aca="false">IF(AND(C1710=C1711,Y1710=Y1711-1),Z1710,"")</f>
        <v/>
      </c>
      <c r="AC1711" s="0" t="str">
        <f aca="false">IF(AND(C1710=C1711,Y1710=Y1711-1),AA1710,"")</f>
        <v/>
      </c>
      <c r="AD1711" s="0" t="str">
        <f aca="false">IF(Y1711=1,"",IF(AND(Z1711=1,AB1711&lt;&gt;1),1,0))</f>
        <v/>
      </c>
      <c r="AE1711" s="0" t="str">
        <f aca="false">IF(Y1711=1,"",IF(AND(AA1711=1,AC1711&lt;&gt;1),1,0))</f>
        <v/>
      </c>
      <c r="AF1711" s="45" t="str">
        <f aca="false">IF(AND(E1711&gt;0,Y1711&lt;1,NOT(AND(C1712=C1711,Y1712=Y1711+1))),INDEX(DATAS,Y1711+1),"")</f>
        <v/>
      </c>
      <c r="AG1711" s="45" t="str">
        <f aca="false">IF(AND(AA1711=1,Y1711&lt;1),IF(AND(C1712=C1711,Y1712=Y1711+1),IF(AA1712=1,"",INDEX(DATAS,Y1711+1)),INDEX(DATAS,Y1711+1)),"")</f>
        <v/>
      </c>
    </row>
    <row r="1712" customFormat="false" ht="15" hidden="false" customHeight="false" outlineLevel="0" collapsed="false">
      <c r="A1712" s="45" t="n">
        <v>46309</v>
      </c>
      <c r="B1712" s="0" t="n">
        <v>1</v>
      </c>
      <c r="C1712" s="0" t="n">
        <v>5889</v>
      </c>
      <c r="D1712" s="0" t="n">
        <v>13</v>
      </c>
      <c r="E1712" s="0" t="n">
        <v>1</v>
      </c>
      <c r="F1712" s="39" t="s">
        <v>111</v>
      </c>
      <c r="G1712" s="0" t="n">
        <v>18.1</v>
      </c>
      <c r="H1712" s="0" t="n">
        <v>21</v>
      </c>
      <c r="I1712" s="39" t="s">
        <v>118</v>
      </c>
      <c r="J1712" s="0" t="n">
        <v>13</v>
      </c>
      <c r="R1712" s="0" t="n">
        <v>2305</v>
      </c>
      <c r="S1712" s="0" t="n">
        <v>4634</v>
      </c>
      <c r="U1712" s="0" t="n">
        <v>757</v>
      </c>
      <c r="V1712" s="0" t="n">
        <v>0</v>
      </c>
      <c r="W1712" s="39" t="n">
        <f aca="false">IF(I1712="Male",0,1)</f>
        <v>1</v>
      </c>
      <c r="X1712" s="39" t="n">
        <f aca="false">IF(OR(I1712="DNB",I1712="Dry DNB"),1,0)</f>
        <v>0</v>
      </c>
      <c r="Y1712" s="39" t="n">
        <f aca="false">MATCH(A1712,DATAS,0)</f>
        <v>1</v>
      </c>
      <c r="Z1712" s="39" t="n">
        <f aca="false">IF(AND(E1712&gt;0,OR(AND(B1712&gt;=1,B1712&lt;=6),B1712=10)),1,0)</f>
        <v>1</v>
      </c>
      <c r="AA1712" s="39" t="n">
        <f aca="false">IF(AND(E1712&gt;0,B1712=10),1,0)</f>
        <v>0</v>
      </c>
      <c r="AB1712" s="0" t="str">
        <f aca="false">IF(AND(C1711=C1712,Y1711=Y1712-1),Z1711,"")</f>
        <v/>
      </c>
      <c r="AC1712" s="0" t="str">
        <f aca="false">IF(AND(C1711=C1712,Y1711=Y1712-1),AA1711,"")</f>
        <v/>
      </c>
      <c r="AD1712" s="0" t="str">
        <f aca="false">IF(Y1712=1,"",IF(AND(Z1712=1,AB1712&lt;&gt;1),1,0))</f>
        <v/>
      </c>
      <c r="AE1712" s="0" t="str">
        <f aca="false">IF(Y1712=1,"",IF(AND(AA1712=1,AC1712&lt;&gt;1),1,0))</f>
        <v/>
      </c>
      <c r="AF1712" s="45" t="str">
        <f aca="false">IF(AND(E1712&gt;0,Y1712&lt;1,NOT(AND(C1713=C1712,Y1713=Y1712+1))),INDEX(DATAS,Y1712+1),"")</f>
        <v/>
      </c>
      <c r="AG1712" s="45" t="str">
        <f aca="false">IF(AND(AA1712=1,Y1712&lt;1),IF(AND(C1713=C1712,Y1713=Y1712+1),IF(AA1713=1,"",INDEX(DATAS,Y1712+1)),INDEX(DATAS,Y1712+1)),"")</f>
        <v/>
      </c>
    </row>
    <row r="1713" customFormat="false" ht="15" hidden="false" customHeight="false" outlineLevel="0" collapsed="false">
      <c r="A1713" s="45" t="n">
        <v>46309</v>
      </c>
      <c r="B1713" s="0" t="n">
        <v>1</v>
      </c>
      <c r="C1713" s="0" t="n">
        <v>5890</v>
      </c>
      <c r="D1713" s="0" t="n">
        <v>73</v>
      </c>
      <c r="E1713" s="0" t="n">
        <v>1</v>
      </c>
      <c r="F1713" s="39" t="s">
        <v>998</v>
      </c>
      <c r="G1713" s="0" t="n">
        <v>46.8</v>
      </c>
      <c r="H1713" s="0" t="n">
        <v>46</v>
      </c>
      <c r="I1713" s="39" t="s">
        <v>138</v>
      </c>
      <c r="J1713" s="0" t="n">
        <v>73</v>
      </c>
      <c r="K1713" s="0" t="n">
        <v>66</v>
      </c>
      <c r="P1713" s="0" t="n">
        <v>3.35</v>
      </c>
      <c r="Q1713" s="0" t="n">
        <v>3.14</v>
      </c>
      <c r="R1713" s="0" t="n">
        <v>4175</v>
      </c>
      <c r="S1713" s="0" t="n">
        <v>8394</v>
      </c>
      <c r="U1713" s="0" t="n">
        <v>756</v>
      </c>
      <c r="V1713" s="0" t="n">
        <v>1</v>
      </c>
      <c r="W1713" s="39" t="n">
        <f aca="false">IF(I1713="Male",0,1)</f>
        <v>1</v>
      </c>
      <c r="X1713" s="39" t="n">
        <f aca="false">IF(OR(I1713="DNB",I1713="Dry DNB"),1,0)</f>
        <v>0</v>
      </c>
      <c r="Y1713" s="39" t="n">
        <f aca="false">MATCH(A1713,DATAS,0)</f>
        <v>1</v>
      </c>
      <c r="Z1713" s="39" t="n">
        <f aca="false">IF(AND(E1713&gt;0,OR(AND(B1713&gt;=1,B1713&lt;=6),B1713=10)),1,0)</f>
        <v>1</v>
      </c>
      <c r="AA1713" s="39" t="n">
        <f aca="false">IF(AND(E1713&gt;0,B1713=10),1,0)</f>
        <v>0</v>
      </c>
      <c r="AB1713" s="0" t="str">
        <f aca="false">IF(AND(C1712=C1713,Y1712=Y1713-1),Z1712,"")</f>
        <v/>
      </c>
      <c r="AC1713" s="0" t="str">
        <f aca="false">IF(AND(C1712=C1713,Y1712=Y1713-1),AA1712,"")</f>
        <v/>
      </c>
      <c r="AD1713" s="0" t="str">
        <f aca="false">IF(Y1713=1,"",IF(AND(Z1713=1,AB1713&lt;&gt;1),1,0))</f>
        <v/>
      </c>
      <c r="AE1713" s="0" t="str">
        <f aca="false">IF(Y1713=1,"",IF(AND(AA1713=1,AC1713&lt;&gt;1),1,0))</f>
        <v/>
      </c>
      <c r="AF1713" s="45" t="str">
        <f aca="false">IF(AND(E1713&gt;0,Y1713&lt;1,NOT(AND(C1714=C1713,Y1714=Y1713+1))),INDEX(DATAS,Y1713+1),"")</f>
        <v/>
      </c>
      <c r="AG1713" s="45" t="str">
        <f aca="false">IF(AND(AA1713=1,Y1713&lt;1),IF(AND(C1714=C1713,Y1714=Y1713+1),IF(AA1714=1,"",INDEX(DATAS,Y1713+1)),INDEX(DATAS,Y1713+1)),"")</f>
        <v/>
      </c>
    </row>
    <row r="1714" customFormat="false" ht="15" hidden="false" customHeight="false" outlineLevel="0" collapsed="false">
      <c r="A1714" s="45" t="n">
        <v>46309</v>
      </c>
      <c r="B1714" s="0" t="n">
        <v>1</v>
      </c>
      <c r="C1714" s="0" t="n">
        <v>5891</v>
      </c>
      <c r="D1714" s="0" t="n">
        <v>26</v>
      </c>
      <c r="E1714" s="0" t="n">
        <v>1</v>
      </c>
      <c r="F1714" s="39" t="s">
        <v>998</v>
      </c>
      <c r="G1714" s="0" t="n">
        <v>47.3</v>
      </c>
      <c r="H1714" s="0" t="n">
        <v>44</v>
      </c>
      <c r="I1714" s="39" t="s">
        <v>118</v>
      </c>
      <c r="J1714" s="0" t="n">
        <v>26</v>
      </c>
      <c r="R1714" s="0" t="n">
        <v>3339</v>
      </c>
      <c r="S1714" s="0" t="n">
        <v>6712</v>
      </c>
      <c r="U1714" s="0" t="n">
        <v>756</v>
      </c>
      <c r="V1714" s="0" t="n">
        <v>0</v>
      </c>
      <c r="W1714" s="39" t="n">
        <f aca="false">IF(I1714="Male",0,1)</f>
        <v>1</v>
      </c>
      <c r="X1714" s="39" t="n">
        <f aca="false">IF(OR(I1714="DNB",I1714="Dry DNB"),1,0)</f>
        <v>0</v>
      </c>
      <c r="Y1714" s="39" t="n">
        <f aca="false">MATCH(A1714,DATAS,0)</f>
        <v>1</v>
      </c>
      <c r="Z1714" s="39" t="n">
        <f aca="false">IF(AND(E1714&gt;0,OR(AND(B1714&gt;=1,B1714&lt;=6),B1714=10)),1,0)</f>
        <v>1</v>
      </c>
      <c r="AA1714" s="39" t="n">
        <f aca="false">IF(AND(E1714&gt;0,B1714=10),1,0)</f>
        <v>0</v>
      </c>
      <c r="AB1714" s="0" t="str">
        <f aca="false">IF(AND(C1713=C1714,Y1713=Y1714-1),Z1713,"")</f>
        <v/>
      </c>
      <c r="AC1714" s="0" t="str">
        <f aca="false">IF(AND(C1713=C1714,Y1713=Y1714-1),AA1713,"")</f>
        <v/>
      </c>
      <c r="AD1714" s="0" t="str">
        <f aca="false">IF(Y1714=1,"",IF(AND(Z1714=1,AB1714&lt;&gt;1),1,0))</f>
        <v/>
      </c>
      <c r="AE1714" s="0" t="str">
        <f aca="false">IF(Y1714=1,"",IF(AND(AA1714=1,AC1714&lt;&gt;1),1,0))</f>
        <v/>
      </c>
      <c r="AF1714" s="45" t="str">
        <f aca="false">IF(AND(E1714&gt;0,Y1714&lt;1,NOT(AND(C1715=C1714,Y1715=Y1714+1))),INDEX(DATAS,Y1714+1),"")</f>
        <v/>
      </c>
      <c r="AG1714" s="45" t="str">
        <f aca="false">IF(AND(AA1714=1,Y1714&lt;1),IF(AND(C1715=C1714,Y1715=Y1714+1),IF(AA1715=1,"",INDEX(DATAS,Y1714+1)),INDEX(DATAS,Y1714+1)),"")</f>
        <v/>
      </c>
    </row>
    <row r="1715" customFormat="false" ht="15" hidden="false" customHeight="false" outlineLevel="0" collapsed="false">
      <c r="A1715" s="45" t="n">
        <v>46309</v>
      </c>
      <c r="B1715" s="0" t="n">
        <v>4</v>
      </c>
      <c r="C1715" s="0" t="n">
        <v>5892</v>
      </c>
      <c r="D1715" s="0" t="n">
        <v>117</v>
      </c>
      <c r="E1715" s="0" t="n">
        <v>1</v>
      </c>
      <c r="F1715" s="39" t="s">
        <v>998</v>
      </c>
      <c r="G1715" s="0" t="n">
        <v>18.5</v>
      </c>
      <c r="H1715" s="0" t="n">
        <v>19</v>
      </c>
      <c r="I1715" s="39" t="s">
        <v>138</v>
      </c>
      <c r="J1715" s="0" t="n">
        <v>117</v>
      </c>
      <c r="K1715" s="0" t="n">
        <v>89</v>
      </c>
      <c r="P1715" s="0" t="n">
        <v>5.35</v>
      </c>
      <c r="Q1715" s="0" t="n">
        <v>3.8</v>
      </c>
      <c r="R1715" s="0" t="n">
        <v>1793</v>
      </c>
      <c r="S1715" s="0" t="n">
        <v>3737</v>
      </c>
      <c r="T1715" s="0" t="n">
        <v>19.55</v>
      </c>
      <c r="U1715" s="0" t="n">
        <v>756</v>
      </c>
      <c r="V1715" s="0" t="n">
        <v>2</v>
      </c>
      <c r="W1715" s="39" t="n">
        <f aca="false">IF(I1715="Male",0,1)</f>
        <v>1</v>
      </c>
      <c r="X1715" s="39" t="n">
        <f aca="false">IF(OR(I1715="DNB",I1715="Dry DNB"),1,0)</f>
        <v>0</v>
      </c>
      <c r="Y1715" s="39" t="n">
        <f aca="false">MATCH(A1715,DATAS,0)</f>
        <v>1</v>
      </c>
      <c r="Z1715" s="39" t="n">
        <f aca="false">IF(AND(E1715&gt;0,OR(AND(B1715&gt;=1,B1715&lt;=6),B1715=10)),1,0)</f>
        <v>1</v>
      </c>
      <c r="AA1715" s="39" t="n">
        <f aca="false">IF(AND(E1715&gt;0,B1715=10),1,0)</f>
        <v>0</v>
      </c>
      <c r="AB1715" s="0" t="str">
        <f aca="false">IF(AND(C1714=C1715,Y1714=Y1715-1),Z1714,"")</f>
        <v/>
      </c>
      <c r="AC1715" s="0" t="str">
        <f aca="false">IF(AND(C1714=C1715,Y1714=Y1715-1),AA1714,"")</f>
        <v/>
      </c>
      <c r="AD1715" s="0" t="str">
        <f aca="false">IF(Y1715=1,"",IF(AND(Z1715=1,AB1715&lt;&gt;1),1,0))</f>
        <v/>
      </c>
      <c r="AE1715" s="0" t="str">
        <f aca="false">IF(Y1715=1,"",IF(AND(AA1715=1,AC1715&lt;&gt;1),1,0))</f>
        <v/>
      </c>
      <c r="AF1715" s="45" t="str">
        <f aca="false">IF(AND(E1715&gt;0,Y1715&lt;1,NOT(AND(C1716=C1715,Y1716=Y1715+1))),INDEX(DATAS,Y1715+1),"")</f>
        <v/>
      </c>
      <c r="AG1715" s="45" t="str">
        <f aca="false">IF(AND(AA1715=1,Y1715&lt;1),IF(AND(C1716=C1715,Y1716=Y1715+1),IF(AA1716=1,"",INDEX(DATAS,Y1715+1)),INDEX(DATAS,Y1715+1)),"")</f>
        <v/>
      </c>
    </row>
    <row r="1716" customFormat="false" ht="15" hidden="false" customHeight="false" outlineLevel="0" collapsed="false">
      <c r="A1716" s="45" t="n">
        <v>46309</v>
      </c>
      <c r="B1716" s="0" t="n">
        <v>1</v>
      </c>
      <c r="C1716" s="0" t="n">
        <v>5893</v>
      </c>
      <c r="D1716" s="0" t="n">
        <v>77</v>
      </c>
      <c r="E1716" s="0" t="n">
        <v>1</v>
      </c>
      <c r="F1716" s="39" t="s">
        <v>998</v>
      </c>
      <c r="G1716" s="0" t="n">
        <v>51.5</v>
      </c>
      <c r="H1716" s="0" t="n">
        <v>51</v>
      </c>
      <c r="I1716" s="39" t="s">
        <v>138</v>
      </c>
      <c r="J1716" s="0" t="n">
        <v>77</v>
      </c>
      <c r="K1716" s="0" t="n">
        <v>63</v>
      </c>
      <c r="P1716" s="0" t="n">
        <v>3.95</v>
      </c>
      <c r="Q1716" s="0" t="n">
        <v>2.85</v>
      </c>
      <c r="R1716" s="0" t="n">
        <v>4384</v>
      </c>
      <c r="S1716" s="0" t="n">
        <v>8813</v>
      </c>
      <c r="U1716" s="0" t="n">
        <v>756</v>
      </c>
      <c r="V1716" s="0" t="n">
        <v>1</v>
      </c>
      <c r="W1716" s="39" t="n">
        <f aca="false">IF(I1716="Male",0,1)</f>
        <v>1</v>
      </c>
      <c r="X1716" s="39" t="n">
        <f aca="false">IF(OR(I1716="DNB",I1716="Dry DNB"),1,0)</f>
        <v>0</v>
      </c>
      <c r="Y1716" s="39" t="n">
        <f aca="false">MATCH(A1716,DATAS,0)</f>
        <v>1</v>
      </c>
      <c r="Z1716" s="39" t="n">
        <f aca="false">IF(AND(E1716&gt;0,OR(AND(B1716&gt;=1,B1716&lt;=6),B1716=10)),1,0)</f>
        <v>1</v>
      </c>
      <c r="AA1716" s="39" t="n">
        <f aca="false">IF(AND(E1716&gt;0,B1716=10),1,0)</f>
        <v>0</v>
      </c>
      <c r="AB1716" s="0" t="str">
        <f aca="false">IF(AND(C1715=C1716,Y1715=Y1716-1),Z1715,"")</f>
        <v/>
      </c>
      <c r="AC1716" s="0" t="str">
        <f aca="false">IF(AND(C1715=C1716,Y1715=Y1716-1),AA1715,"")</f>
        <v/>
      </c>
      <c r="AD1716" s="0" t="str">
        <f aca="false">IF(Y1716=1,"",IF(AND(Z1716=1,AB1716&lt;&gt;1),1,0))</f>
        <v/>
      </c>
      <c r="AE1716" s="0" t="str">
        <f aca="false">IF(Y1716=1,"",IF(AND(AA1716=1,AC1716&lt;&gt;1),1,0))</f>
        <v/>
      </c>
      <c r="AF1716" s="45" t="str">
        <f aca="false">IF(AND(E1716&gt;0,Y1716&lt;1,NOT(AND(C1717=C1716,Y1717=Y1716+1))),INDEX(DATAS,Y1716+1),"")</f>
        <v/>
      </c>
      <c r="AG1716" s="45" t="str">
        <f aca="false">IF(AND(AA1716=1,Y1716&lt;1),IF(AND(C1717=C1716,Y1717=Y1716+1),IF(AA1717=1,"",INDEX(DATAS,Y1716+1)),INDEX(DATAS,Y1716+1)),"")</f>
        <v/>
      </c>
    </row>
    <row r="1717" customFormat="false" ht="15" hidden="false" customHeight="false" outlineLevel="0" collapsed="false">
      <c r="A1717" s="45" t="n">
        <v>46309</v>
      </c>
      <c r="B1717" s="0" t="n">
        <v>1</v>
      </c>
      <c r="C1717" s="0" t="n">
        <v>5894</v>
      </c>
      <c r="D1717" s="0" t="n">
        <v>56</v>
      </c>
      <c r="E1717" s="0" t="n">
        <v>1</v>
      </c>
      <c r="F1717" s="39" t="s">
        <v>998</v>
      </c>
      <c r="G1717" s="0" t="n">
        <v>51</v>
      </c>
      <c r="H1717" s="0" t="n">
        <v>49</v>
      </c>
      <c r="I1717" s="39" t="s">
        <v>118</v>
      </c>
      <c r="J1717" s="0" t="n">
        <v>56</v>
      </c>
      <c r="P1717" s="0" t="n">
        <v>5.03</v>
      </c>
      <c r="Q1717" s="0" t="n">
        <v>3.23</v>
      </c>
      <c r="R1717" s="0" t="n">
        <v>3597</v>
      </c>
      <c r="S1717" s="0" t="n">
        <v>7231</v>
      </c>
      <c r="U1717" s="0" t="n">
        <v>756</v>
      </c>
      <c r="V1717" s="0" t="n">
        <v>0</v>
      </c>
      <c r="W1717" s="39" t="n">
        <f aca="false">IF(I1717="Male",0,1)</f>
        <v>1</v>
      </c>
      <c r="X1717" s="39" t="n">
        <f aca="false">IF(OR(I1717="DNB",I1717="Dry DNB"),1,0)</f>
        <v>0</v>
      </c>
      <c r="Y1717" s="39" t="n">
        <f aca="false">MATCH(A1717,DATAS,0)</f>
        <v>1</v>
      </c>
      <c r="Z1717" s="39" t="n">
        <f aca="false">IF(AND(E1717&gt;0,OR(AND(B1717&gt;=1,B1717&lt;=6),B1717=10)),1,0)</f>
        <v>1</v>
      </c>
      <c r="AA1717" s="39" t="n">
        <f aca="false">IF(AND(E1717&gt;0,B1717=10),1,0)</f>
        <v>0</v>
      </c>
      <c r="AB1717" s="0" t="str">
        <f aca="false">IF(AND(C1716=C1717,Y1716=Y1717-1),Z1716,"")</f>
        <v/>
      </c>
      <c r="AC1717" s="0" t="str">
        <f aca="false">IF(AND(C1716=C1717,Y1716=Y1717-1),AA1716,"")</f>
        <v/>
      </c>
      <c r="AD1717" s="0" t="str">
        <f aca="false">IF(Y1717=1,"",IF(AND(Z1717=1,AB1717&lt;&gt;1),1,0))</f>
        <v/>
      </c>
      <c r="AE1717" s="0" t="str">
        <f aca="false">IF(Y1717=1,"",IF(AND(AA1717=1,AC1717&lt;&gt;1),1,0))</f>
        <v/>
      </c>
      <c r="AF1717" s="45" t="str">
        <f aca="false">IF(AND(E1717&gt;0,Y1717&lt;1,NOT(AND(C1718=C1717,Y1718=Y1717+1))),INDEX(DATAS,Y1717+1),"")</f>
        <v/>
      </c>
      <c r="AG1717" s="45" t="str">
        <f aca="false">IF(AND(AA1717=1,Y1717&lt;1),IF(AND(C1718=C1717,Y1718=Y1717+1),IF(AA1718=1,"",INDEX(DATAS,Y1717+1)),INDEX(DATAS,Y1717+1)),"")</f>
        <v/>
      </c>
    </row>
    <row r="1718" customFormat="false" ht="15" hidden="false" customHeight="false" outlineLevel="0" collapsed="false">
      <c r="A1718" s="45" t="n">
        <v>46309</v>
      </c>
      <c r="B1718" s="0" t="n">
        <v>8</v>
      </c>
      <c r="C1718" s="0" t="n">
        <v>5895</v>
      </c>
      <c r="E1718" s="0" t="n">
        <v>0</v>
      </c>
      <c r="F1718" s="39" t="s">
        <v>998</v>
      </c>
      <c r="I1718" s="39" t="s">
        <v>109</v>
      </c>
      <c r="L1718" s="0" t="n">
        <v>226</v>
      </c>
      <c r="U1718" s="0" t="n">
        <v>756</v>
      </c>
      <c r="V1718" s="0" t="n">
        <v>2</v>
      </c>
      <c r="W1718" s="39" t="n">
        <f aca="false">IF(I1718="Male",0,1)</f>
        <v>1</v>
      </c>
      <c r="X1718" s="39" t="n">
        <f aca="false">IF(OR(I1718="DNB",I1718="Dry DNB"),1,0)</f>
        <v>0</v>
      </c>
      <c r="Y1718" s="39" t="n">
        <f aca="false">MATCH(A1718,DATAS,0)</f>
        <v>1</v>
      </c>
      <c r="Z1718" s="39" t="n">
        <f aca="false">IF(AND(E1718&gt;0,OR(AND(B1718&gt;=1,B1718&lt;=6),B1718=10)),1,0)</f>
        <v>0</v>
      </c>
      <c r="AA1718" s="39" t="n">
        <f aca="false">IF(AND(E1718&gt;0,B1718=10),1,0)</f>
        <v>0</v>
      </c>
      <c r="AB1718" s="0" t="str">
        <f aca="false">IF(AND(C1717=C1718,Y1717=Y1718-1),Z1717,"")</f>
        <v/>
      </c>
      <c r="AC1718" s="0" t="str">
        <f aca="false">IF(AND(C1717=C1718,Y1717=Y1718-1),AA1717,"")</f>
        <v/>
      </c>
      <c r="AD1718" s="0" t="str">
        <f aca="false">IF(Y1718=1,"",IF(AND(Z1718=1,AB1718&lt;&gt;1),1,0))</f>
        <v/>
      </c>
      <c r="AE1718" s="0" t="str">
        <f aca="false">IF(Y1718=1,"",IF(AND(AA1718=1,AC1718&lt;&gt;1),1,0))</f>
        <v/>
      </c>
      <c r="AF1718" s="45" t="str">
        <f aca="false">IF(AND(E1718&gt;0,Y1718&lt;1,NOT(AND(C1719=C1718,Y1719=Y1718+1))),INDEX(DATAS,Y1718+1),"")</f>
        <v/>
      </c>
      <c r="AG1718" s="45" t="str">
        <f aca="false">IF(AND(AA1718=1,Y1718&lt;1),IF(AND(C1719=C1718,Y1719=Y1718+1),IF(AA1719=1,"",INDEX(DATAS,Y1718+1)),INDEX(DATAS,Y1718+1)),"")</f>
        <v/>
      </c>
    </row>
    <row r="1719" customFormat="false" ht="15" hidden="false" customHeight="false" outlineLevel="0" collapsed="false">
      <c r="A1719" s="45" t="n">
        <v>46309</v>
      </c>
      <c r="B1719" s="0" t="n">
        <v>10</v>
      </c>
      <c r="C1719" s="0" t="n">
        <v>5896</v>
      </c>
      <c r="D1719" s="0" t="n">
        <v>106</v>
      </c>
      <c r="E1719" s="0" t="n">
        <v>1</v>
      </c>
      <c r="F1719" s="39" t="s">
        <v>998</v>
      </c>
      <c r="G1719" s="0" t="n">
        <v>3.6</v>
      </c>
      <c r="H1719" s="0" t="n">
        <v>8</v>
      </c>
      <c r="I1719" s="39" t="s">
        <v>138</v>
      </c>
      <c r="J1719" s="0" t="n">
        <v>106</v>
      </c>
      <c r="K1719" s="0" t="n">
        <v>85</v>
      </c>
      <c r="P1719" s="0" t="n">
        <v>2.65</v>
      </c>
      <c r="Q1719" s="0" t="n">
        <v>3.48</v>
      </c>
      <c r="R1719" s="0" t="n">
        <v>2817</v>
      </c>
      <c r="S1719" s="0" t="n">
        <v>5587</v>
      </c>
      <c r="T1719" s="0" t="n">
        <v>30.2</v>
      </c>
      <c r="U1719" s="0" t="n">
        <v>756</v>
      </c>
      <c r="V1719" s="0" t="n">
        <v>1</v>
      </c>
      <c r="W1719" s="39" t="n">
        <f aca="false">IF(I1719="Male",0,1)</f>
        <v>1</v>
      </c>
      <c r="X1719" s="39" t="n">
        <f aca="false">IF(OR(I1719="DNB",I1719="Dry DNB"),1,0)</f>
        <v>0</v>
      </c>
      <c r="Y1719" s="39" t="n">
        <f aca="false">MATCH(A1719,DATAS,0)</f>
        <v>1</v>
      </c>
      <c r="Z1719" s="39" t="n">
        <f aca="false">IF(AND(E1719&gt;0,OR(AND(B1719&gt;=1,B1719&lt;=6),B1719=10)),1,0)</f>
        <v>1</v>
      </c>
      <c r="AA1719" s="39" t="n">
        <f aca="false">IF(AND(E1719&gt;0,B1719=10),1,0)</f>
        <v>1</v>
      </c>
      <c r="AB1719" s="0" t="str">
        <f aca="false">IF(AND(C1718=C1719,Y1718=Y1719-1),Z1718,"")</f>
        <v/>
      </c>
      <c r="AC1719" s="0" t="str">
        <f aca="false">IF(AND(C1718=C1719,Y1718=Y1719-1),AA1718,"")</f>
        <v/>
      </c>
      <c r="AD1719" s="0" t="str">
        <f aca="false">IF(Y1719=1,"",IF(AND(Z1719=1,AB1719&lt;&gt;1),1,0))</f>
        <v/>
      </c>
      <c r="AE1719" s="0" t="str">
        <f aca="false">IF(Y1719=1,"",IF(AND(AA1719=1,AC1719&lt;&gt;1),1,0))</f>
        <v/>
      </c>
      <c r="AF1719" s="45" t="str">
        <f aca="false">IF(AND(E1719&gt;0,Y1719&lt;1,NOT(AND(C1720=C1719,Y1720=Y1719+1))),INDEX(DATAS,Y1719+1),"")</f>
        <v/>
      </c>
      <c r="AG1719" s="45" t="str">
        <f aca="false">IF(AND(AA1719=1,Y1719&lt;1),IF(AND(C1720=C1719,Y1720=Y1719+1),IF(AA1720=1,"",INDEX(DATAS,Y1719+1)),INDEX(DATAS,Y1719+1)),"")</f>
        <v/>
      </c>
    </row>
    <row r="1720" customFormat="false" ht="15" hidden="false" customHeight="false" outlineLevel="0" collapsed="false">
      <c r="A1720" s="45" t="n">
        <v>46309</v>
      </c>
      <c r="B1720" s="0" t="n">
        <v>1</v>
      </c>
      <c r="C1720" s="0" t="n">
        <v>5897</v>
      </c>
      <c r="D1720" s="0" t="n">
        <v>105</v>
      </c>
      <c r="E1720" s="0" t="n">
        <v>1</v>
      </c>
      <c r="F1720" s="39" t="s">
        <v>998</v>
      </c>
      <c r="G1720" s="0" t="n">
        <v>50.2</v>
      </c>
      <c r="H1720" s="0" t="n">
        <v>47</v>
      </c>
      <c r="I1720" s="39" t="s">
        <v>146</v>
      </c>
      <c r="J1720" s="0" t="n">
        <v>105</v>
      </c>
      <c r="K1720" s="0" t="n">
        <v>63</v>
      </c>
      <c r="P1720" s="0" t="n">
        <v>4.34</v>
      </c>
      <c r="Q1720" s="0" t="n">
        <v>2.87</v>
      </c>
      <c r="R1720" s="0" t="n">
        <v>4130</v>
      </c>
      <c r="S1720" s="0" t="n">
        <v>8355</v>
      </c>
      <c r="T1720" s="0" t="n">
        <v>47.35</v>
      </c>
      <c r="U1720" s="0" t="n">
        <v>756</v>
      </c>
      <c r="V1720" s="0" t="n">
        <v>1</v>
      </c>
      <c r="W1720" s="39" t="n">
        <f aca="false">IF(I1720="Male",0,1)</f>
        <v>1</v>
      </c>
      <c r="X1720" s="39" t="n">
        <f aca="false">IF(OR(I1720="DNB",I1720="Dry DNB"),1,0)</f>
        <v>0</v>
      </c>
      <c r="Y1720" s="39" t="n">
        <f aca="false">MATCH(A1720,DATAS,0)</f>
        <v>1</v>
      </c>
      <c r="Z1720" s="39" t="n">
        <f aca="false">IF(AND(E1720&gt;0,OR(AND(B1720&gt;=1,B1720&lt;=6),B1720=10)),1,0)</f>
        <v>1</v>
      </c>
      <c r="AA1720" s="39" t="n">
        <f aca="false">IF(AND(E1720&gt;0,B1720=10),1,0)</f>
        <v>0</v>
      </c>
      <c r="AB1720" s="0" t="str">
        <f aca="false">IF(AND(C1719=C1720,Y1719=Y1720-1),Z1719,"")</f>
        <v/>
      </c>
      <c r="AC1720" s="0" t="str">
        <f aca="false">IF(AND(C1719=C1720,Y1719=Y1720-1),AA1719,"")</f>
        <v/>
      </c>
      <c r="AD1720" s="0" t="str">
        <f aca="false">IF(Y1720=1,"",IF(AND(Z1720=1,AB1720&lt;&gt;1),1,0))</f>
        <v/>
      </c>
      <c r="AE1720" s="0" t="str">
        <f aca="false">IF(Y1720=1,"",IF(AND(AA1720=1,AC1720&lt;&gt;1),1,0))</f>
        <v/>
      </c>
      <c r="AF1720" s="45" t="str">
        <f aca="false">IF(AND(E1720&gt;0,Y1720&lt;1,NOT(AND(C1721=C1720,Y1721=Y1720+1))),INDEX(DATAS,Y1720+1),"")</f>
        <v/>
      </c>
      <c r="AG1720" s="45" t="str">
        <f aca="false">IF(AND(AA1720=1,Y1720&lt;1),IF(AND(C1721=C1720,Y1721=Y1720+1),IF(AA1721=1,"",INDEX(DATAS,Y1720+1)),INDEX(DATAS,Y1720+1)),"")</f>
        <v/>
      </c>
    </row>
    <row r="1721" customFormat="false" ht="15" hidden="false" customHeight="false" outlineLevel="0" collapsed="false">
      <c r="A1721" s="45" t="n">
        <v>46309</v>
      </c>
      <c r="B1721" s="0" t="n">
        <v>1</v>
      </c>
      <c r="C1721" s="0" t="n">
        <v>5898</v>
      </c>
      <c r="D1721" s="0" t="n">
        <v>69</v>
      </c>
      <c r="E1721" s="0" t="n">
        <v>1</v>
      </c>
      <c r="F1721" s="39" t="s">
        <v>999</v>
      </c>
      <c r="G1721" s="0" t="n">
        <v>58.5</v>
      </c>
      <c r="H1721" s="0" t="n">
        <v>55</v>
      </c>
      <c r="I1721" s="39" t="s">
        <v>138</v>
      </c>
      <c r="J1721" s="0" t="n">
        <v>69</v>
      </c>
      <c r="K1721" s="0" t="n">
        <v>62</v>
      </c>
      <c r="P1721" s="0" t="n">
        <v>4.38</v>
      </c>
      <c r="Q1721" s="0" t="n">
        <v>3.19</v>
      </c>
      <c r="R1721" s="0" t="n">
        <v>4703</v>
      </c>
      <c r="S1721" s="0" t="n">
        <v>9454</v>
      </c>
      <c r="U1721" s="0" t="n">
        <v>755</v>
      </c>
      <c r="V1721" s="0" t="n">
        <v>1</v>
      </c>
      <c r="W1721" s="39" t="n">
        <f aca="false">IF(I1721="Male",0,1)</f>
        <v>1</v>
      </c>
      <c r="X1721" s="39" t="n">
        <f aca="false">IF(OR(I1721="DNB",I1721="Dry DNB"),1,0)</f>
        <v>0</v>
      </c>
      <c r="Y1721" s="39" t="n">
        <f aca="false">MATCH(A1721,DATAS,0)</f>
        <v>1</v>
      </c>
      <c r="Z1721" s="39" t="n">
        <f aca="false">IF(AND(E1721&gt;0,OR(AND(B1721&gt;=1,B1721&lt;=6),B1721=10)),1,0)</f>
        <v>1</v>
      </c>
      <c r="AA1721" s="39" t="n">
        <f aca="false">IF(AND(E1721&gt;0,B1721=10),1,0)</f>
        <v>0</v>
      </c>
      <c r="AB1721" s="0" t="str">
        <f aca="false">IF(AND(C1720=C1721,Y1720=Y1721-1),Z1720,"")</f>
        <v/>
      </c>
      <c r="AC1721" s="0" t="str">
        <f aca="false">IF(AND(C1720=C1721,Y1720=Y1721-1),AA1720,"")</f>
        <v/>
      </c>
      <c r="AD1721" s="0" t="str">
        <f aca="false">IF(Y1721=1,"",IF(AND(Z1721=1,AB1721&lt;&gt;1),1,0))</f>
        <v/>
      </c>
      <c r="AE1721" s="0" t="str">
        <f aca="false">IF(Y1721=1,"",IF(AND(AA1721=1,AC1721&lt;&gt;1),1,0))</f>
        <v/>
      </c>
      <c r="AF1721" s="45" t="str">
        <f aca="false">IF(AND(E1721&gt;0,Y1721&lt;1,NOT(AND(C1722=C1721,Y1722=Y1721+1))),INDEX(DATAS,Y1721+1),"")</f>
        <v/>
      </c>
      <c r="AG1721" s="45" t="str">
        <f aca="false">IF(AND(AA1721=1,Y1721&lt;1),IF(AND(C1722=C1721,Y1722=Y1721+1),IF(AA1722=1,"",INDEX(DATAS,Y1721+1)),INDEX(DATAS,Y1721+1)),"")</f>
        <v/>
      </c>
    </row>
    <row r="1722" customFormat="false" ht="15" hidden="false" customHeight="false" outlineLevel="0" collapsed="false">
      <c r="A1722" s="45" t="n">
        <v>46309</v>
      </c>
      <c r="B1722" s="0" t="n">
        <v>1</v>
      </c>
      <c r="C1722" s="0" t="n">
        <v>5899</v>
      </c>
      <c r="D1722" s="0" t="n">
        <v>37</v>
      </c>
      <c r="E1722" s="0" t="n">
        <v>1</v>
      </c>
      <c r="F1722" s="39" t="s">
        <v>999</v>
      </c>
      <c r="I1722" s="39" t="s">
        <v>118</v>
      </c>
      <c r="J1722" s="0" t="n">
        <v>37</v>
      </c>
      <c r="U1722" s="0" t="n">
        <v>755</v>
      </c>
      <c r="V1722" s="0" t="n">
        <v>0</v>
      </c>
      <c r="W1722" s="39" t="n">
        <f aca="false">IF(I1722="Male",0,1)</f>
        <v>1</v>
      </c>
      <c r="X1722" s="39" t="n">
        <f aca="false">IF(OR(I1722="DNB",I1722="Dry DNB"),1,0)</f>
        <v>0</v>
      </c>
      <c r="Y1722" s="39" t="n">
        <f aca="false">MATCH(A1722,DATAS,0)</f>
        <v>1</v>
      </c>
      <c r="Z1722" s="39" t="n">
        <f aca="false">IF(AND(E1722&gt;0,OR(AND(B1722&gt;=1,B1722&lt;=6),B1722=10)),1,0)</f>
        <v>1</v>
      </c>
      <c r="AA1722" s="39" t="n">
        <f aca="false">IF(AND(E1722&gt;0,B1722=10),1,0)</f>
        <v>0</v>
      </c>
      <c r="AB1722" s="0" t="str">
        <f aca="false">IF(AND(C1721=C1722,Y1721=Y1722-1),Z1721,"")</f>
        <v/>
      </c>
      <c r="AC1722" s="0" t="str">
        <f aca="false">IF(AND(C1721=C1722,Y1721=Y1722-1),AA1721,"")</f>
        <v/>
      </c>
      <c r="AD1722" s="0" t="str">
        <f aca="false">IF(Y1722=1,"",IF(AND(Z1722=1,AB1722&lt;&gt;1),1,0))</f>
        <v/>
      </c>
      <c r="AE1722" s="0" t="str">
        <f aca="false">IF(Y1722=1,"",IF(AND(AA1722=1,AC1722&lt;&gt;1),1,0))</f>
        <v/>
      </c>
      <c r="AF1722" s="45" t="str">
        <f aca="false">IF(AND(E1722&gt;0,Y1722&lt;1,NOT(AND(C1723=C1722,Y1723=Y1722+1))),INDEX(DATAS,Y1722+1),"")</f>
        <v/>
      </c>
      <c r="AG1722" s="45" t="str">
        <f aca="false">IF(AND(AA1722=1,Y1722&lt;1),IF(AND(C1723=C1722,Y1723=Y1722+1),IF(AA1723=1,"",INDEX(DATAS,Y1722+1)),INDEX(DATAS,Y1722+1)),"")</f>
        <v/>
      </c>
    </row>
    <row r="1723" customFormat="false" ht="15" hidden="false" customHeight="false" outlineLevel="0" collapsed="false">
      <c r="A1723" s="45" t="n">
        <v>46309</v>
      </c>
      <c r="B1723" s="0" t="n">
        <v>1</v>
      </c>
      <c r="C1723" s="0" t="n">
        <v>5900</v>
      </c>
      <c r="D1723" s="0" t="n">
        <v>45</v>
      </c>
      <c r="E1723" s="0" t="n">
        <v>1</v>
      </c>
      <c r="F1723" s="39" t="s">
        <v>1000</v>
      </c>
      <c r="G1723" s="0" t="n">
        <v>34.5</v>
      </c>
      <c r="H1723" s="0" t="n">
        <v>35</v>
      </c>
      <c r="I1723" s="39" t="s">
        <v>118</v>
      </c>
      <c r="J1723" s="0" t="n">
        <v>45</v>
      </c>
      <c r="P1723" s="0" t="n">
        <v>4.98</v>
      </c>
      <c r="Q1723" s="0" t="n">
        <v>3.07</v>
      </c>
      <c r="R1723" s="0" t="n">
        <v>3276</v>
      </c>
      <c r="S1723" s="0" t="n">
        <v>6586</v>
      </c>
      <c r="U1723" s="0" t="n">
        <v>754</v>
      </c>
      <c r="V1723" s="0" t="n">
        <v>0</v>
      </c>
      <c r="W1723" s="39" t="n">
        <f aca="false">IF(I1723="Male",0,1)</f>
        <v>1</v>
      </c>
      <c r="X1723" s="39" t="n">
        <f aca="false">IF(OR(I1723="DNB",I1723="Dry DNB"),1,0)</f>
        <v>0</v>
      </c>
      <c r="Y1723" s="39" t="n">
        <f aca="false">MATCH(A1723,DATAS,0)</f>
        <v>1</v>
      </c>
      <c r="Z1723" s="39" t="n">
        <f aca="false">IF(AND(E1723&gt;0,OR(AND(B1723&gt;=1,B1723&lt;=6),B1723=10)),1,0)</f>
        <v>1</v>
      </c>
      <c r="AA1723" s="39" t="n">
        <f aca="false">IF(AND(E1723&gt;0,B1723=10),1,0)</f>
        <v>0</v>
      </c>
      <c r="AB1723" s="0" t="str">
        <f aca="false">IF(AND(C1722=C1723,Y1722=Y1723-1),Z1722,"")</f>
        <v/>
      </c>
      <c r="AC1723" s="0" t="str">
        <f aca="false">IF(AND(C1722=C1723,Y1722=Y1723-1),AA1722,"")</f>
        <v/>
      </c>
      <c r="AD1723" s="0" t="str">
        <f aca="false">IF(Y1723=1,"",IF(AND(Z1723=1,AB1723&lt;&gt;1),1,0))</f>
        <v/>
      </c>
      <c r="AE1723" s="0" t="str">
        <f aca="false">IF(Y1723=1,"",IF(AND(AA1723=1,AC1723&lt;&gt;1),1,0))</f>
        <v/>
      </c>
      <c r="AF1723" s="45" t="str">
        <f aca="false">IF(AND(E1723&gt;0,Y1723&lt;1,NOT(AND(C1724=C1723,Y1724=Y1723+1))),INDEX(DATAS,Y1723+1),"")</f>
        <v/>
      </c>
      <c r="AG1723" s="45" t="str">
        <f aca="false">IF(AND(AA1723=1,Y1723&lt;1),IF(AND(C1724=C1723,Y1724=Y1723+1),IF(AA1724=1,"",INDEX(DATAS,Y1723+1)),INDEX(DATAS,Y1723+1)),"")</f>
        <v/>
      </c>
    </row>
    <row r="1724" customFormat="false" ht="15" hidden="false" customHeight="false" outlineLevel="0" collapsed="false">
      <c r="A1724" s="45" t="n">
        <v>46309</v>
      </c>
      <c r="B1724" s="0" t="n">
        <v>1</v>
      </c>
      <c r="C1724" s="0" t="n">
        <v>5901</v>
      </c>
      <c r="D1724" s="0" t="n">
        <v>110</v>
      </c>
      <c r="E1724" s="0" t="n">
        <v>1</v>
      </c>
      <c r="F1724" s="39" t="s">
        <v>1000</v>
      </c>
      <c r="G1724" s="0" t="n">
        <v>47.7</v>
      </c>
      <c r="H1724" s="0" t="n">
        <v>49</v>
      </c>
      <c r="I1724" s="39" t="s">
        <v>109</v>
      </c>
      <c r="J1724" s="0" t="n">
        <v>68</v>
      </c>
      <c r="K1724" s="0" t="n">
        <v>68</v>
      </c>
      <c r="L1724" s="0" t="n">
        <v>42</v>
      </c>
      <c r="P1724" s="0" t="n">
        <v>3.71</v>
      </c>
      <c r="Q1724" s="0" t="n">
        <v>3.46</v>
      </c>
      <c r="R1724" s="0" t="n">
        <v>3752</v>
      </c>
      <c r="S1724" s="0" t="n">
        <v>7770</v>
      </c>
      <c r="T1724" s="0" t="n">
        <v>44.15</v>
      </c>
      <c r="U1724" s="0" t="n">
        <v>754</v>
      </c>
      <c r="V1724" s="0" t="n">
        <v>1</v>
      </c>
      <c r="W1724" s="39" t="n">
        <f aca="false">IF(I1724="Male",0,1)</f>
        <v>1</v>
      </c>
      <c r="X1724" s="39" t="n">
        <f aca="false">IF(OR(I1724="DNB",I1724="Dry DNB"),1,0)</f>
        <v>0</v>
      </c>
      <c r="Y1724" s="39" t="n">
        <f aca="false">MATCH(A1724,DATAS,0)</f>
        <v>1</v>
      </c>
      <c r="Z1724" s="39" t="n">
        <f aca="false">IF(AND(E1724&gt;0,OR(AND(B1724&gt;=1,B1724&lt;=6),B1724=10)),1,0)</f>
        <v>1</v>
      </c>
      <c r="AA1724" s="39" t="n">
        <f aca="false">IF(AND(E1724&gt;0,B1724=10),1,0)</f>
        <v>0</v>
      </c>
      <c r="AB1724" s="0" t="str">
        <f aca="false">IF(AND(C1723=C1724,Y1723=Y1724-1),Z1723,"")</f>
        <v/>
      </c>
      <c r="AC1724" s="0" t="str">
        <f aca="false">IF(AND(C1723=C1724,Y1723=Y1724-1),AA1723,"")</f>
        <v/>
      </c>
      <c r="AD1724" s="0" t="str">
        <f aca="false">IF(Y1724=1,"",IF(AND(Z1724=1,AB1724&lt;&gt;1),1,0))</f>
        <v/>
      </c>
      <c r="AE1724" s="0" t="str">
        <f aca="false">IF(Y1724=1,"",IF(AND(AA1724=1,AC1724&lt;&gt;1),1,0))</f>
        <v/>
      </c>
      <c r="AF1724" s="45" t="str">
        <f aca="false">IF(AND(E1724&gt;0,Y1724&lt;1,NOT(AND(C1725=C1724,Y1725=Y1724+1))),INDEX(DATAS,Y1724+1),"")</f>
        <v/>
      </c>
      <c r="AG1724" s="45" t="str">
        <f aca="false">IF(AND(AA1724=1,Y1724&lt;1),IF(AND(C1725=C1724,Y1725=Y1724+1),IF(AA1725=1,"",INDEX(DATAS,Y1724+1)),INDEX(DATAS,Y1724+1)),"")</f>
        <v/>
      </c>
    </row>
    <row r="1725" customFormat="false" ht="15" hidden="false" customHeight="false" outlineLevel="0" collapsed="false">
      <c r="A1725" s="45" t="n">
        <v>46309</v>
      </c>
      <c r="B1725" s="0" t="n">
        <v>1</v>
      </c>
      <c r="C1725" s="0" t="n">
        <v>5902</v>
      </c>
      <c r="D1725" s="0" t="n">
        <v>78</v>
      </c>
      <c r="E1725" s="0" t="n">
        <v>1</v>
      </c>
      <c r="F1725" s="39" t="s">
        <v>1000</v>
      </c>
      <c r="G1725" s="0" t="n">
        <v>49.1</v>
      </c>
      <c r="H1725" s="0" t="n">
        <v>46</v>
      </c>
      <c r="I1725" s="39" t="s">
        <v>138</v>
      </c>
      <c r="J1725" s="0" t="n">
        <v>78</v>
      </c>
      <c r="K1725" s="0" t="n">
        <v>64</v>
      </c>
      <c r="P1725" s="0" t="n">
        <v>2.86</v>
      </c>
      <c r="Q1725" s="0" t="n">
        <v>2.97</v>
      </c>
      <c r="R1725" s="0" t="n">
        <v>4063</v>
      </c>
      <c r="S1725" s="0" t="n">
        <v>8168</v>
      </c>
      <c r="U1725" s="0" t="n">
        <v>754</v>
      </c>
      <c r="V1725" s="0" t="n">
        <v>1</v>
      </c>
      <c r="W1725" s="39" t="n">
        <f aca="false">IF(I1725="Male",0,1)</f>
        <v>1</v>
      </c>
      <c r="X1725" s="39" t="n">
        <f aca="false">IF(OR(I1725="DNB",I1725="Dry DNB"),1,0)</f>
        <v>0</v>
      </c>
      <c r="Y1725" s="39" t="n">
        <f aca="false">MATCH(A1725,DATAS,0)</f>
        <v>1</v>
      </c>
      <c r="Z1725" s="39" t="n">
        <f aca="false">IF(AND(E1725&gt;0,OR(AND(B1725&gt;=1,B1725&lt;=6),B1725=10)),1,0)</f>
        <v>1</v>
      </c>
      <c r="AA1725" s="39" t="n">
        <f aca="false">IF(AND(E1725&gt;0,B1725=10),1,0)</f>
        <v>0</v>
      </c>
      <c r="AB1725" s="0" t="str">
        <f aca="false">IF(AND(C1724=C1725,Y1724=Y1725-1),Z1724,"")</f>
        <v/>
      </c>
      <c r="AC1725" s="0" t="str">
        <f aca="false">IF(AND(C1724=C1725,Y1724=Y1725-1),AA1724,"")</f>
        <v/>
      </c>
      <c r="AD1725" s="0" t="str">
        <f aca="false">IF(Y1725=1,"",IF(AND(Z1725=1,AB1725&lt;&gt;1),1,0))</f>
        <v/>
      </c>
      <c r="AE1725" s="0" t="str">
        <f aca="false">IF(Y1725=1,"",IF(AND(AA1725=1,AC1725&lt;&gt;1),1,0))</f>
        <v/>
      </c>
      <c r="AF1725" s="45" t="str">
        <f aca="false">IF(AND(E1725&gt;0,Y1725&lt;1,NOT(AND(C1726=C1725,Y1726=Y1725+1))),INDEX(DATAS,Y1725+1),"")</f>
        <v/>
      </c>
      <c r="AG1725" s="45" t="str">
        <f aca="false">IF(AND(AA1725=1,Y1725&lt;1),IF(AND(C1726=C1725,Y1726=Y1725+1),IF(AA1726=1,"",INDEX(DATAS,Y1725+1)),INDEX(DATAS,Y1725+1)),"")</f>
        <v/>
      </c>
    </row>
    <row r="1726" customFormat="false" ht="15" hidden="false" customHeight="false" outlineLevel="0" collapsed="false">
      <c r="A1726" s="45" t="n">
        <v>46309</v>
      </c>
      <c r="B1726" s="0" t="n">
        <v>1</v>
      </c>
      <c r="C1726" s="0" t="n">
        <v>5903</v>
      </c>
      <c r="D1726" s="0" t="n">
        <v>29</v>
      </c>
      <c r="E1726" s="0" t="n">
        <v>1</v>
      </c>
      <c r="F1726" s="39" t="s">
        <v>1000</v>
      </c>
      <c r="G1726" s="0" t="n">
        <v>22.2</v>
      </c>
      <c r="H1726" s="0" t="n">
        <v>25</v>
      </c>
      <c r="I1726" s="39" t="s">
        <v>118</v>
      </c>
      <c r="J1726" s="0" t="n">
        <v>29</v>
      </c>
      <c r="R1726" s="0" t="n">
        <v>2568</v>
      </c>
      <c r="S1726" s="0" t="n">
        <v>5162</v>
      </c>
      <c r="U1726" s="0" t="n">
        <v>754</v>
      </c>
      <c r="V1726" s="0" t="n">
        <v>0</v>
      </c>
      <c r="W1726" s="39" t="n">
        <f aca="false">IF(I1726="Male",0,1)</f>
        <v>1</v>
      </c>
      <c r="X1726" s="39" t="n">
        <f aca="false">IF(OR(I1726="DNB",I1726="Dry DNB"),1,0)</f>
        <v>0</v>
      </c>
      <c r="Y1726" s="39" t="n">
        <f aca="false">MATCH(A1726,DATAS,0)</f>
        <v>1</v>
      </c>
      <c r="Z1726" s="39" t="n">
        <f aca="false">IF(AND(E1726&gt;0,OR(AND(B1726&gt;=1,B1726&lt;=6),B1726=10)),1,0)</f>
        <v>1</v>
      </c>
      <c r="AA1726" s="39" t="n">
        <f aca="false">IF(AND(E1726&gt;0,B1726=10),1,0)</f>
        <v>0</v>
      </c>
      <c r="AB1726" s="0" t="str">
        <f aca="false">IF(AND(C1725=C1726,Y1725=Y1726-1),Z1725,"")</f>
        <v/>
      </c>
      <c r="AC1726" s="0" t="str">
        <f aca="false">IF(AND(C1725=C1726,Y1725=Y1726-1),AA1725,"")</f>
        <v/>
      </c>
      <c r="AD1726" s="0" t="str">
        <f aca="false">IF(Y1726=1,"",IF(AND(Z1726=1,AB1726&lt;&gt;1),1,0))</f>
        <v/>
      </c>
      <c r="AE1726" s="0" t="str">
        <f aca="false">IF(Y1726=1,"",IF(AND(AA1726=1,AC1726&lt;&gt;1),1,0))</f>
        <v/>
      </c>
      <c r="AF1726" s="45" t="str">
        <f aca="false">IF(AND(E1726&gt;0,Y1726&lt;1,NOT(AND(C1727=C1726,Y1727=Y1726+1))),INDEX(DATAS,Y1726+1),"")</f>
        <v/>
      </c>
      <c r="AG1726" s="45" t="str">
        <f aca="false">IF(AND(AA1726=1,Y1726&lt;1),IF(AND(C1727=C1726,Y1727=Y1726+1),IF(AA1727=1,"",INDEX(DATAS,Y1726+1)),INDEX(DATAS,Y1726+1)),"")</f>
        <v/>
      </c>
    </row>
    <row r="1727" customFormat="false" ht="15" hidden="false" customHeight="false" outlineLevel="0" collapsed="false">
      <c r="A1727" s="45" t="n">
        <v>46309</v>
      </c>
      <c r="B1727" s="0" t="n">
        <v>4</v>
      </c>
      <c r="C1727" s="0" t="n">
        <v>5904</v>
      </c>
      <c r="D1727" s="0" t="n">
        <v>112</v>
      </c>
      <c r="E1727" s="0" t="n">
        <v>1</v>
      </c>
      <c r="F1727" s="39" t="s">
        <v>1000</v>
      </c>
      <c r="G1727" s="0" t="n">
        <v>45.4</v>
      </c>
      <c r="H1727" s="0" t="n">
        <v>40</v>
      </c>
      <c r="I1727" s="39" t="s">
        <v>138</v>
      </c>
      <c r="J1727" s="0" t="n">
        <v>112</v>
      </c>
      <c r="K1727" s="0" t="n">
        <v>63</v>
      </c>
      <c r="P1727" s="0" t="n">
        <v>3.76</v>
      </c>
      <c r="Q1727" s="0" t="n">
        <v>3.33</v>
      </c>
      <c r="R1727" s="0" t="n">
        <v>3740</v>
      </c>
      <c r="S1727" s="0" t="n">
        <v>7611</v>
      </c>
      <c r="T1727" s="0" t="n">
        <v>39.95</v>
      </c>
      <c r="U1727" s="0" t="n">
        <v>754</v>
      </c>
      <c r="V1727" s="0" t="n">
        <v>2</v>
      </c>
      <c r="W1727" s="39" t="n">
        <f aca="false">IF(I1727="Male",0,1)</f>
        <v>1</v>
      </c>
      <c r="X1727" s="39" t="n">
        <f aca="false">IF(OR(I1727="DNB",I1727="Dry DNB"),1,0)</f>
        <v>0</v>
      </c>
      <c r="Y1727" s="39" t="n">
        <f aca="false">MATCH(A1727,DATAS,0)</f>
        <v>1</v>
      </c>
      <c r="Z1727" s="39" t="n">
        <f aca="false">IF(AND(E1727&gt;0,OR(AND(B1727&gt;=1,B1727&lt;=6),B1727=10)),1,0)</f>
        <v>1</v>
      </c>
      <c r="AA1727" s="39" t="n">
        <f aca="false">IF(AND(E1727&gt;0,B1727=10),1,0)</f>
        <v>0</v>
      </c>
      <c r="AB1727" s="0" t="str">
        <f aca="false">IF(AND(C1726=C1727,Y1726=Y1727-1),Z1726,"")</f>
        <v/>
      </c>
      <c r="AC1727" s="0" t="str">
        <f aca="false">IF(AND(C1726=C1727,Y1726=Y1727-1),AA1726,"")</f>
        <v/>
      </c>
      <c r="AD1727" s="0" t="str">
        <f aca="false">IF(Y1727=1,"",IF(AND(Z1727=1,AB1727&lt;&gt;1),1,0))</f>
        <v/>
      </c>
      <c r="AE1727" s="0" t="str">
        <f aca="false">IF(Y1727=1,"",IF(AND(AA1727=1,AC1727&lt;&gt;1),1,0))</f>
        <v/>
      </c>
      <c r="AF1727" s="45" t="str">
        <f aca="false">IF(AND(E1727&gt;0,Y1727&lt;1,NOT(AND(C1728=C1727,Y1728=Y1727+1))),INDEX(DATAS,Y1727+1),"")</f>
        <v/>
      </c>
      <c r="AG1727" s="45" t="str">
        <f aca="false">IF(AND(AA1727=1,Y1727&lt;1),IF(AND(C1728=C1727,Y1728=Y1727+1),IF(AA1728=1,"",INDEX(DATAS,Y1727+1)),INDEX(DATAS,Y1727+1)),"")</f>
        <v/>
      </c>
    </row>
    <row r="1728" customFormat="false" ht="15" hidden="false" customHeight="false" outlineLevel="0" collapsed="false">
      <c r="A1728" s="45" t="n">
        <v>46309</v>
      </c>
      <c r="B1728" s="0" t="n">
        <v>9</v>
      </c>
      <c r="C1728" s="0" t="n">
        <v>5906</v>
      </c>
      <c r="E1728" s="0" t="n">
        <v>0</v>
      </c>
      <c r="F1728" s="39" t="s">
        <v>1000</v>
      </c>
      <c r="I1728" s="39" t="s">
        <v>109</v>
      </c>
      <c r="L1728" s="0" t="n">
        <v>273</v>
      </c>
      <c r="U1728" s="0" t="n">
        <v>754</v>
      </c>
      <c r="V1728" s="0" t="n">
        <v>4</v>
      </c>
      <c r="W1728" s="39" t="n">
        <f aca="false">IF(I1728="Male",0,1)</f>
        <v>1</v>
      </c>
      <c r="X1728" s="39" t="n">
        <f aca="false">IF(OR(I1728="DNB",I1728="Dry DNB"),1,0)</f>
        <v>0</v>
      </c>
      <c r="Y1728" s="39" t="n">
        <f aca="false">MATCH(A1728,DATAS,0)</f>
        <v>1</v>
      </c>
      <c r="Z1728" s="39" t="n">
        <f aca="false">IF(AND(E1728&gt;0,OR(AND(B1728&gt;=1,B1728&lt;=6),B1728=10)),1,0)</f>
        <v>0</v>
      </c>
      <c r="AA1728" s="39" t="n">
        <f aca="false">IF(AND(E1728&gt;0,B1728=10),1,0)</f>
        <v>0</v>
      </c>
      <c r="AB1728" s="0" t="str">
        <f aca="false">IF(AND(C1727=C1728,Y1727=Y1728-1),Z1727,"")</f>
        <v/>
      </c>
      <c r="AC1728" s="0" t="str">
        <f aca="false">IF(AND(C1727=C1728,Y1727=Y1728-1),AA1727,"")</f>
        <v/>
      </c>
      <c r="AD1728" s="0" t="str">
        <f aca="false">IF(Y1728=1,"",IF(AND(Z1728=1,AB1728&lt;&gt;1),1,0))</f>
        <v/>
      </c>
      <c r="AE1728" s="0" t="str">
        <f aca="false">IF(Y1728=1,"",IF(AND(AA1728=1,AC1728&lt;&gt;1),1,0))</f>
        <v/>
      </c>
      <c r="AF1728" s="45" t="str">
        <f aca="false">IF(AND(E1728&gt;0,Y1728&lt;1,NOT(AND(C1729=C1728,Y1729=Y1728+1))),INDEX(DATAS,Y1728+1),"")</f>
        <v/>
      </c>
      <c r="AG1728" s="45" t="str">
        <f aca="false">IF(AND(AA1728=1,Y1728&lt;1),IF(AND(C1729=C1728,Y1729=Y1728+1),IF(AA1729=1,"",INDEX(DATAS,Y1728+1)),INDEX(DATAS,Y1728+1)),"")</f>
        <v/>
      </c>
    </row>
    <row r="1729" customFormat="false" ht="15" hidden="false" customHeight="false" outlineLevel="0" collapsed="false">
      <c r="A1729" s="45" t="n">
        <v>46309</v>
      </c>
      <c r="B1729" s="0" t="n">
        <v>1</v>
      </c>
      <c r="C1729" s="0" t="n">
        <v>5907</v>
      </c>
      <c r="D1729" s="0" t="n">
        <v>26</v>
      </c>
      <c r="E1729" s="0" t="n">
        <v>1</v>
      </c>
      <c r="F1729" s="39" t="s">
        <v>1001</v>
      </c>
      <c r="G1729" s="0" t="n">
        <v>33.3</v>
      </c>
      <c r="H1729" s="0" t="n">
        <v>37</v>
      </c>
      <c r="I1729" s="39" t="s">
        <v>118</v>
      </c>
      <c r="J1729" s="0" t="n">
        <v>26</v>
      </c>
      <c r="R1729" s="0" t="n">
        <v>3250</v>
      </c>
      <c r="S1729" s="0" t="n">
        <v>6533</v>
      </c>
      <c r="U1729" s="0" t="n">
        <v>753</v>
      </c>
      <c r="V1729" s="0" t="n">
        <v>0</v>
      </c>
      <c r="W1729" s="39" t="n">
        <f aca="false">IF(I1729="Male",0,1)</f>
        <v>1</v>
      </c>
      <c r="X1729" s="39" t="n">
        <f aca="false">IF(OR(I1729="DNB",I1729="Dry DNB"),1,0)</f>
        <v>0</v>
      </c>
      <c r="Y1729" s="39" t="n">
        <f aca="false">MATCH(A1729,DATAS,0)</f>
        <v>1</v>
      </c>
      <c r="Z1729" s="39" t="n">
        <f aca="false">IF(AND(E1729&gt;0,OR(AND(B1729&gt;=1,B1729&lt;=6),B1729=10)),1,0)</f>
        <v>1</v>
      </c>
      <c r="AA1729" s="39" t="n">
        <f aca="false">IF(AND(E1729&gt;0,B1729=10),1,0)</f>
        <v>0</v>
      </c>
      <c r="AB1729" s="0" t="str">
        <f aca="false">IF(AND(C1728=C1729,Y1728=Y1729-1),Z1728,"")</f>
        <v/>
      </c>
      <c r="AC1729" s="0" t="str">
        <f aca="false">IF(AND(C1728=C1729,Y1728=Y1729-1),AA1728,"")</f>
        <v/>
      </c>
      <c r="AD1729" s="0" t="str">
        <f aca="false">IF(Y1729=1,"",IF(AND(Z1729=1,AB1729&lt;&gt;1),1,0))</f>
        <v/>
      </c>
      <c r="AE1729" s="0" t="str">
        <f aca="false">IF(Y1729=1,"",IF(AND(AA1729=1,AC1729&lt;&gt;1),1,0))</f>
        <v/>
      </c>
      <c r="AF1729" s="45" t="str">
        <f aca="false">IF(AND(E1729&gt;0,Y1729&lt;1,NOT(AND(C1730=C1729,Y1730=Y1729+1))),INDEX(DATAS,Y1729+1),"")</f>
        <v/>
      </c>
      <c r="AG1729" s="45" t="str">
        <f aca="false">IF(AND(AA1729=1,Y1729&lt;1),IF(AND(C1730=C1729,Y1730=Y1729+1),IF(AA1730=1,"",INDEX(DATAS,Y1729+1)),INDEX(DATAS,Y1729+1)),"")</f>
        <v/>
      </c>
    </row>
    <row r="1730" customFormat="false" ht="15" hidden="false" customHeight="false" outlineLevel="0" collapsed="false">
      <c r="A1730" s="45" t="n">
        <v>46309</v>
      </c>
      <c r="B1730" s="0" t="n">
        <v>4</v>
      </c>
      <c r="C1730" s="0" t="n">
        <v>5908</v>
      </c>
      <c r="D1730" s="0" t="n">
        <v>117</v>
      </c>
      <c r="E1730" s="0" t="n">
        <v>1</v>
      </c>
      <c r="F1730" s="39" t="s">
        <v>1001</v>
      </c>
      <c r="G1730" s="0" t="n">
        <v>30.8</v>
      </c>
      <c r="H1730" s="0" t="n">
        <v>36</v>
      </c>
      <c r="I1730" s="39" t="s">
        <v>109</v>
      </c>
      <c r="J1730" s="0" t="n">
        <v>68</v>
      </c>
      <c r="K1730" s="0" t="n">
        <v>68</v>
      </c>
      <c r="L1730" s="0" t="n">
        <v>49</v>
      </c>
      <c r="P1730" s="0" t="n">
        <v>3.21</v>
      </c>
      <c r="Q1730" s="0" t="n">
        <v>3.14</v>
      </c>
      <c r="R1730" s="0" t="n">
        <v>3454</v>
      </c>
      <c r="S1730" s="0" t="n">
        <v>7112</v>
      </c>
      <c r="T1730" s="0" t="n">
        <v>40.15</v>
      </c>
      <c r="U1730" s="0" t="n">
        <v>753</v>
      </c>
      <c r="V1730" s="0" t="n">
        <v>1</v>
      </c>
      <c r="W1730" s="39" t="n">
        <f aca="false">IF(I1730="Male",0,1)</f>
        <v>1</v>
      </c>
      <c r="X1730" s="39" t="n">
        <f aca="false">IF(OR(I1730="DNB",I1730="Dry DNB"),1,0)</f>
        <v>0</v>
      </c>
      <c r="Y1730" s="39" t="n">
        <f aca="false">MATCH(A1730,DATAS,0)</f>
        <v>1</v>
      </c>
      <c r="Z1730" s="39" t="n">
        <f aca="false">IF(AND(E1730&gt;0,OR(AND(B1730&gt;=1,B1730&lt;=6),B1730=10)),1,0)</f>
        <v>1</v>
      </c>
      <c r="AA1730" s="39" t="n">
        <f aca="false">IF(AND(E1730&gt;0,B1730=10),1,0)</f>
        <v>0</v>
      </c>
      <c r="AB1730" s="0" t="str">
        <f aca="false">IF(AND(C1729=C1730,Y1729=Y1730-1),Z1729,"")</f>
        <v/>
      </c>
      <c r="AC1730" s="0" t="str">
        <f aca="false">IF(AND(C1729=C1730,Y1729=Y1730-1),AA1729,"")</f>
        <v/>
      </c>
      <c r="AD1730" s="0" t="str">
        <f aca="false">IF(Y1730=1,"",IF(AND(Z1730=1,AB1730&lt;&gt;1),1,0))</f>
        <v/>
      </c>
      <c r="AE1730" s="0" t="str">
        <f aca="false">IF(Y1730=1,"",IF(AND(AA1730=1,AC1730&lt;&gt;1),1,0))</f>
        <v/>
      </c>
      <c r="AF1730" s="45" t="str">
        <f aca="false">IF(AND(E1730&gt;0,Y1730&lt;1,NOT(AND(C1731=C1730,Y1731=Y1730+1))),INDEX(DATAS,Y1730+1),"")</f>
        <v/>
      </c>
      <c r="AG1730" s="45" t="str">
        <f aca="false">IF(AND(AA1730=1,Y1730&lt;1),IF(AND(C1731=C1730,Y1731=Y1730+1),IF(AA1731=1,"",INDEX(DATAS,Y1730+1)),INDEX(DATAS,Y1730+1)),"")</f>
        <v/>
      </c>
    </row>
    <row r="1731" customFormat="false" ht="15" hidden="false" customHeight="false" outlineLevel="0" collapsed="false">
      <c r="A1731" s="45" t="n">
        <v>46309</v>
      </c>
      <c r="B1731" s="0" t="n">
        <v>1</v>
      </c>
      <c r="C1731" s="0" t="n">
        <v>5910</v>
      </c>
      <c r="D1731" s="0" t="n">
        <v>68</v>
      </c>
      <c r="E1731" s="0" t="n">
        <v>1</v>
      </c>
      <c r="F1731" s="39" t="s">
        <v>1001</v>
      </c>
      <c r="G1731" s="0" t="n">
        <v>37.1</v>
      </c>
      <c r="H1731" s="0" t="n">
        <v>35</v>
      </c>
      <c r="I1731" s="39" t="s">
        <v>138</v>
      </c>
      <c r="J1731" s="0" t="n">
        <v>68</v>
      </c>
      <c r="K1731" s="0" t="n">
        <v>68</v>
      </c>
      <c r="P1731" s="0" t="n">
        <v>4.96</v>
      </c>
      <c r="Q1731" s="0" t="n">
        <v>3.02</v>
      </c>
      <c r="R1731" s="0" t="n">
        <v>2118</v>
      </c>
      <c r="S1731" s="0" t="n">
        <v>4257</v>
      </c>
      <c r="U1731" s="0" t="n">
        <v>753</v>
      </c>
      <c r="V1731" s="0" t="n">
        <v>1</v>
      </c>
      <c r="W1731" s="39" t="n">
        <f aca="false">IF(I1731="Male",0,1)</f>
        <v>1</v>
      </c>
      <c r="X1731" s="39" t="n">
        <f aca="false">IF(OR(I1731="DNB",I1731="Dry DNB"),1,0)</f>
        <v>0</v>
      </c>
      <c r="Y1731" s="39" t="n">
        <f aca="false">MATCH(A1731,DATAS,0)</f>
        <v>1</v>
      </c>
      <c r="Z1731" s="39" t="n">
        <f aca="false">IF(AND(E1731&gt;0,OR(AND(B1731&gt;=1,B1731&lt;=6),B1731=10)),1,0)</f>
        <v>1</v>
      </c>
      <c r="AA1731" s="39" t="n">
        <f aca="false">IF(AND(E1731&gt;0,B1731=10),1,0)</f>
        <v>0</v>
      </c>
      <c r="AB1731" s="0" t="str">
        <f aca="false">IF(AND(C1730=C1731,Y1730=Y1731-1),Z1730,"")</f>
        <v/>
      </c>
      <c r="AC1731" s="0" t="str">
        <f aca="false">IF(AND(C1730=C1731,Y1730=Y1731-1),AA1730,"")</f>
        <v/>
      </c>
      <c r="AD1731" s="0" t="str">
        <f aca="false">IF(Y1731=1,"",IF(AND(Z1731=1,AB1731&lt;&gt;1),1,0))</f>
        <v/>
      </c>
      <c r="AE1731" s="0" t="str">
        <f aca="false">IF(Y1731=1,"",IF(AND(AA1731=1,AC1731&lt;&gt;1),1,0))</f>
        <v/>
      </c>
      <c r="AF1731" s="45" t="str">
        <f aca="false">IF(AND(E1731&gt;0,Y1731&lt;1,NOT(AND(C1732=C1731,Y1732=Y1731+1))),INDEX(DATAS,Y1731+1),"")</f>
        <v/>
      </c>
      <c r="AG1731" s="45" t="str">
        <f aca="false">IF(AND(AA1731=1,Y1731&lt;1),IF(AND(C1732=C1731,Y1732=Y1731+1),IF(AA1732=1,"",INDEX(DATAS,Y1731+1)),INDEX(DATAS,Y1731+1)),"")</f>
        <v/>
      </c>
    </row>
    <row r="1732" customFormat="false" ht="15" hidden="false" customHeight="false" outlineLevel="0" collapsed="false">
      <c r="A1732" s="45" t="n">
        <v>46309</v>
      </c>
      <c r="B1732" s="0" t="n">
        <v>1</v>
      </c>
      <c r="C1732" s="0" t="n">
        <v>5911</v>
      </c>
      <c r="D1732" s="0" t="n">
        <v>31</v>
      </c>
      <c r="E1732" s="0" t="n">
        <v>1</v>
      </c>
      <c r="F1732" s="39" t="s">
        <v>1001</v>
      </c>
      <c r="G1732" s="0" t="n">
        <v>33.5</v>
      </c>
      <c r="H1732" s="0" t="n">
        <v>39</v>
      </c>
      <c r="I1732" s="39" t="s">
        <v>118</v>
      </c>
      <c r="J1732" s="0" t="n">
        <v>31</v>
      </c>
      <c r="P1732" s="0" t="n">
        <v>5.04</v>
      </c>
      <c r="Q1732" s="0" t="n">
        <v>3.7</v>
      </c>
      <c r="R1732" s="0" t="n">
        <v>3713</v>
      </c>
      <c r="S1732" s="0" t="n">
        <v>7464</v>
      </c>
      <c r="U1732" s="0" t="n">
        <v>753</v>
      </c>
      <c r="V1732" s="0" t="n">
        <v>0</v>
      </c>
      <c r="W1732" s="39" t="n">
        <f aca="false">IF(I1732="Male",0,1)</f>
        <v>1</v>
      </c>
      <c r="X1732" s="39" t="n">
        <f aca="false">IF(OR(I1732="DNB",I1732="Dry DNB"),1,0)</f>
        <v>0</v>
      </c>
      <c r="Y1732" s="39" t="n">
        <f aca="false">MATCH(A1732,DATAS,0)</f>
        <v>1</v>
      </c>
      <c r="Z1732" s="39" t="n">
        <f aca="false">IF(AND(E1732&gt;0,OR(AND(B1732&gt;=1,B1732&lt;=6),B1732=10)),1,0)</f>
        <v>1</v>
      </c>
      <c r="AA1732" s="39" t="n">
        <f aca="false">IF(AND(E1732&gt;0,B1732=10),1,0)</f>
        <v>0</v>
      </c>
      <c r="AB1732" s="0" t="str">
        <f aca="false">IF(AND(C1731=C1732,Y1731=Y1732-1),Z1731,"")</f>
        <v/>
      </c>
      <c r="AC1732" s="0" t="str">
        <f aca="false">IF(AND(C1731=C1732,Y1731=Y1732-1),AA1731,"")</f>
        <v/>
      </c>
      <c r="AD1732" s="0" t="str">
        <f aca="false">IF(Y1732=1,"",IF(AND(Z1732=1,AB1732&lt;&gt;1),1,0))</f>
        <v/>
      </c>
      <c r="AE1732" s="0" t="str">
        <f aca="false">IF(Y1732=1,"",IF(AND(AA1732=1,AC1732&lt;&gt;1),1,0))</f>
        <v/>
      </c>
      <c r="AF1732" s="45" t="str">
        <f aca="false">IF(AND(E1732&gt;0,Y1732&lt;1,NOT(AND(C1733=C1732,Y1733=Y1732+1))),INDEX(DATAS,Y1732+1),"")</f>
        <v/>
      </c>
      <c r="AG1732" s="45" t="str">
        <f aca="false">IF(AND(AA1732=1,Y1732&lt;1),IF(AND(C1733=C1732,Y1733=Y1732+1),IF(AA1733=1,"",INDEX(DATAS,Y1732+1)),INDEX(DATAS,Y1732+1)),"")</f>
        <v/>
      </c>
    </row>
    <row r="1733" customFormat="false" ht="15" hidden="false" customHeight="false" outlineLevel="0" collapsed="false">
      <c r="A1733" s="45" t="n">
        <v>46309</v>
      </c>
      <c r="B1733" s="0" t="n">
        <v>1</v>
      </c>
      <c r="C1733" s="0" t="n">
        <v>5913</v>
      </c>
      <c r="D1733" s="0" t="n">
        <v>96</v>
      </c>
      <c r="E1733" s="0" t="n">
        <v>1</v>
      </c>
      <c r="F1733" s="39" t="s">
        <v>1002</v>
      </c>
      <c r="G1733" s="0" t="n">
        <v>46.4</v>
      </c>
      <c r="H1733" s="0" t="n">
        <v>40</v>
      </c>
      <c r="I1733" s="39" t="s">
        <v>138</v>
      </c>
      <c r="J1733" s="0" t="n">
        <v>96</v>
      </c>
      <c r="K1733" s="0" t="n">
        <v>68</v>
      </c>
      <c r="P1733" s="0" t="n">
        <v>3.9</v>
      </c>
      <c r="Q1733" s="0" t="n">
        <v>2.99</v>
      </c>
      <c r="R1733" s="0" t="n">
        <v>3899</v>
      </c>
      <c r="S1733" s="0" t="n">
        <v>7838</v>
      </c>
      <c r="T1733" s="0" t="n">
        <v>43.85</v>
      </c>
      <c r="U1733" s="0" t="n">
        <v>751</v>
      </c>
      <c r="V1733" s="0" t="n">
        <v>2</v>
      </c>
      <c r="W1733" s="39" t="n">
        <f aca="false">IF(I1733="Male",0,1)</f>
        <v>1</v>
      </c>
      <c r="X1733" s="39" t="n">
        <f aca="false">IF(OR(I1733="DNB",I1733="Dry DNB"),1,0)</f>
        <v>0</v>
      </c>
      <c r="Y1733" s="39" t="n">
        <f aca="false">MATCH(A1733,DATAS,0)</f>
        <v>1</v>
      </c>
      <c r="Z1733" s="39" t="n">
        <f aca="false">IF(AND(E1733&gt;0,OR(AND(B1733&gt;=1,B1733&lt;=6),B1733=10)),1,0)</f>
        <v>1</v>
      </c>
      <c r="AA1733" s="39" t="n">
        <f aca="false">IF(AND(E1733&gt;0,B1733=10),1,0)</f>
        <v>0</v>
      </c>
      <c r="AB1733" s="0" t="str">
        <f aca="false">IF(AND(C1732=C1733,Y1732=Y1733-1),Z1732,"")</f>
        <v/>
      </c>
      <c r="AC1733" s="0" t="str">
        <f aca="false">IF(AND(C1732=C1733,Y1732=Y1733-1),AA1732,"")</f>
        <v/>
      </c>
      <c r="AD1733" s="0" t="str">
        <f aca="false">IF(Y1733=1,"",IF(AND(Z1733=1,AB1733&lt;&gt;1),1,0))</f>
        <v/>
      </c>
      <c r="AE1733" s="0" t="str">
        <f aca="false">IF(Y1733=1,"",IF(AND(AA1733=1,AC1733&lt;&gt;1),1,0))</f>
        <v/>
      </c>
      <c r="AF1733" s="45" t="str">
        <f aca="false">IF(AND(E1733&gt;0,Y1733&lt;1,NOT(AND(C1734=C1733,Y1734=Y1733+1))),INDEX(DATAS,Y1733+1),"")</f>
        <v/>
      </c>
      <c r="AG1733" s="45" t="str">
        <f aca="false">IF(AND(AA1733=1,Y1733&lt;1),IF(AND(C1734=C1733,Y1734=Y1733+1),IF(AA1734=1,"",INDEX(DATAS,Y1733+1)),INDEX(DATAS,Y1733+1)),"")</f>
        <v/>
      </c>
    </row>
    <row r="1734" customFormat="false" ht="15" hidden="false" customHeight="false" outlineLevel="0" collapsed="false">
      <c r="A1734" s="45" t="n">
        <v>46309</v>
      </c>
      <c r="B1734" s="0" t="n">
        <v>1</v>
      </c>
      <c r="C1734" s="0" t="n">
        <v>5914</v>
      </c>
      <c r="D1734" s="0" t="n">
        <v>86</v>
      </c>
      <c r="E1734" s="0" t="n">
        <v>1</v>
      </c>
      <c r="F1734" s="39" t="s">
        <v>1002</v>
      </c>
      <c r="G1734" s="0" t="n">
        <v>66.6</v>
      </c>
      <c r="H1734" s="0" t="n">
        <v>66</v>
      </c>
      <c r="I1734" s="39" t="s">
        <v>138</v>
      </c>
      <c r="J1734" s="0" t="n">
        <v>86</v>
      </c>
      <c r="K1734" s="0" t="n">
        <v>65</v>
      </c>
      <c r="P1734" s="0" t="n">
        <v>3.29</v>
      </c>
      <c r="Q1734" s="0" t="n">
        <v>2.88</v>
      </c>
      <c r="R1734" s="0" t="n">
        <v>5809</v>
      </c>
      <c r="S1734" s="0" t="n">
        <v>11677</v>
      </c>
      <c r="U1734" s="0" t="n">
        <v>751</v>
      </c>
      <c r="V1734" s="0" t="n">
        <v>1</v>
      </c>
      <c r="W1734" s="39" t="n">
        <f aca="false">IF(I1734="Male",0,1)</f>
        <v>1</v>
      </c>
      <c r="X1734" s="39" t="n">
        <f aca="false">IF(OR(I1734="DNB",I1734="Dry DNB"),1,0)</f>
        <v>0</v>
      </c>
      <c r="Y1734" s="39" t="n">
        <f aca="false">MATCH(A1734,DATAS,0)</f>
        <v>1</v>
      </c>
      <c r="Z1734" s="39" t="n">
        <f aca="false">IF(AND(E1734&gt;0,OR(AND(B1734&gt;=1,B1734&lt;=6),B1734=10)),1,0)</f>
        <v>1</v>
      </c>
      <c r="AA1734" s="39" t="n">
        <f aca="false">IF(AND(E1734&gt;0,B1734=10),1,0)</f>
        <v>0</v>
      </c>
      <c r="AB1734" s="0" t="str">
        <f aca="false">IF(AND(C1733=C1734,Y1733=Y1734-1),Z1733,"")</f>
        <v/>
      </c>
      <c r="AC1734" s="0" t="str">
        <f aca="false">IF(AND(C1733=C1734,Y1733=Y1734-1),AA1733,"")</f>
        <v/>
      </c>
      <c r="AD1734" s="0" t="str">
        <f aca="false">IF(Y1734=1,"",IF(AND(Z1734=1,AB1734&lt;&gt;1),1,0))</f>
        <v/>
      </c>
      <c r="AE1734" s="0" t="str">
        <f aca="false">IF(Y1734=1,"",IF(AND(AA1734=1,AC1734&lt;&gt;1),1,0))</f>
        <v/>
      </c>
      <c r="AF1734" s="45" t="str">
        <f aca="false">IF(AND(E1734&gt;0,Y1734&lt;1,NOT(AND(C1735=C1734,Y1735=Y1734+1))),INDEX(DATAS,Y1734+1),"")</f>
        <v/>
      </c>
      <c r="AG1734" s="45" t="str">
        <f aca="false">IF(AND(AA1734=1,Y1734&lt;1),IF(AND(C1735=C1734,Y1735=Y1734+1),IF(AA1735=1,"",INDEX(DATAS,Y1734+1)),INDEX(DATAS,Y1734+1)),"")</f>
        <v/>
      </c>
    </row>
    <row r="1735" customFormat="false" ht="15" hidden="false" customHeight="false" outlineLevel="0" collapsed="false">
      <c r="A1735" s="45" t="n">
        <v>46309</v>
      </c>
      <c r="B1735" s="0" t="n">
        <v>8</v>
      </c>
      <c r="C1735" s="0" t="n">
        <v>5915</v>
      </c>
      <c r="E1735" s="0" t="n">
        <v>0</v>
      </c>
      <c r="F1735" s="39" t="s">
        <v>1003</v>
      </c>
      <c r="I1735" s="39" t="s">
        <v>109</v>
      </c>
      <c r="L1735" s="0" t="n">
        <v>126</v>
      </c>
      <c r="U1735" s="0" t="n">
        <v>750</v>
      </c>
      <c r="V1735" s="0" t="n">
        <v>6</v>
      </c>
      <c r="W1735" s="39" t="n">
        <f aca="false">IF(I1735="Male",0,1)</f>
        <v>1</v>
      </c>
      <c r="X1735" s="39" t="n">
        <f aca="false">IF(OR(I1735="DNB",I1735="Dry DNB"),1,0)</f>
        <v>0</v>
      </c>
      <c r="Y1735" s="39" t="n">
        <f aca="false">MATCH(A1735,DATAS,0)</f>
        <v>1</v>
      </c>
      <c r="Z1735" s="39" t="n">
        <f aca="false">IF(AND(E1735&gt;0,OR(AND(B1735&gt;=1,B1735&lt;=6),B1735=10)),1,0)</f>
        <v>0</v>
      </c>
      <c r="AA1735" s="39" t="n">
        <f aca="false">IF(AND(E1735&gt;0,B1735=10),1,0)</f>
        <v>0</v>
      </c>
      <c r="AB1735" s="0" t="str">
        <f aca="false">IF(AND(C1734=C1735,Y1734=Y1735-1),Z1734,"")</f>
        <v/>
      </c>
      <c r="AC1735" s="0" t="str">
        <f aca="false">IF(AND(C1734=C1735,Y1734=Y1735-1),AA1734,"")</f>
        <v/>
      </c>
      <c r="AD1735" s="0" t="str">
        <f aca="false">IF(Y1735=1,"",IF(AND(Z1735=1,AB1735&lt;&gt;1),1,0))</f>
        <v/>
      </c>
      <c r="AE1735" s="0" t="str">
        <f aca="false">IF(Y1735=1,"",IF(AND(AA1735=1,AC1735&lt;&gt;1),1,0))</f>
        <v/>
      </c>
      <c r="AF1735" s="45" t="str">
        <f aca="false">IF(AND(E1735&gt;0,Y1735&lt;1,NOT(AND(C1736=C1735,Y1736=Y1735+1))),INDEX(DATAS,Y1735+1),"")</f>
        <v/>
      </c>
      <c r="AG1735" s="45" t="str">
        <f aca="false">IF(AND(AA1735=1,Y1735&lt;1),IF(AND(C1736=C1735,Y1736=Y1735+1),IF(AA1736=1,"",INDEX(DATAS,Y1735+1)),INDEX(DATAS,Y1735+1)),"")</f>
        <v/>
      </c>
    </row>
    <row r="1736" customFormat="false" ht="15" hidden="false" customHeight="false" outlineLevel="0" collapsed="false">
      <c r="A1736" s="45" t="n">
        <v>46309</v>
      </c>
      <c r="B1736" s="0" t="n">
        <v>1</v>
      </c>
      <c r="C1736" s="0" t="n">
        <v>5916</v>
      </c>
      <c r="D1736" s="0" t="n">
        <v>9</v>
      </c>
      <c r="E1736" s="0" t="n">
        <v>1</v>
      </c>
      <c r="F1736" s="39" t="s">
        <v>1004</v>
      </c>
      <c r="G1736" s="0" t="n">
        <v>28.2</v>
      </c>
      <c r="H1736" s="0" t="n">
        <v>23</v>
      </c>
      <c r="I1736" s="39" t="s">
        <v>118</v>
      </c>
      <c r="J1736" s="0" t="n">
        <v>9</v>
      </c>
      <c r="R1736" s="0" t="n">
        <v>2235</v>
      </c>
      <c r="S1736" s="0" t="n">
        <v>4494</v>
      </c>
      <c r="U1736" s="0" t="n">
        <v>748</v>
      </c>
      <c r="V1736" s="0" t="n">
        <v>0</v>
      </c>
      <c r="W1736" s="39" t="n">
        <f aca="false">IF(I1736="Male",0,1)</f>
        <v>1</v>
      </c>
      <c r="X1736" s="39" t="n">
        <f aca="false">IF(OR(I1736="DNB",I1736="Dry DNB"),1,0)</f>
        <v>0</v>
      </c>
      <c r="Y1736" s="39" t="n">
        <f aca="false">MATCH(A1736,DATAS,0)</f>
        <v>1</v>
      </c>
      <c r="Z1736" s="39" t="n">
        <f aca="false">IF(AND(E1736&gt;0,OR(AND(B1736&gt;=1,B1736&lt;=6),B1736=10)),1,0)</f>
        <v>1</v>
      </c>
      <c r="AA1736" s="39" t="n">
        <f aca="false">IF(AND(E1736&gt;0,B1736=10),1,0)</f>
        <v>0</v>
      </c>
      <c r="AB1736" s="0" t="str">
        <f aca="false">IF(AND(C1735=C1736,Y1735=Y1736-1),Z1735,"")</f>
        <v/>
      </c>
      <c r="AC1736" s="0" t="str">
        <f aca="false">IF(AND(C1735=C1736,Y1735=Y1736-1),AA1735,"")</f>
        <v/>
      </c>
      <c r="AD1736" s="0" t="str">
        <f aca="false">IF(Y1736=1,"",IF(AND(Z1736=1,AB1736&lt;&gt;1),1,0))</f>
        <v/>
      </c>
      <c r="AE1736" s="0" t="str">
        <f aca="false">IF(Y1736=1,"",IF(AND(AA1736=1,AC1736&lt;&gt;1),1,0))</f>
        <v/>
      </c>
      <c r="AF1736" s="45" t="str">
        <f aca="false">IF(AND(E1736&gt;0,Y1736&lt;1,NOT(AND(C1737=C1736,Y1737=Y1736+1))),INDEX(DATAS,Y1736+1),"")</f>
        <v/>
      </c>
      <c r="AG1736" s="45" t="str">
        <f aca="false">IF(AND(AA1736=1,Y1736&lt;1),IF(AND(C1737=C1736,Y1737=Y1736+1),IF(AA1737=1,"",INDEX(DATAS,Y1736+1)),INDEX(DATAS,Y1736+1)),"")</f>
        <v/>
      </c>
    </row>
    <row r="1737" customFormat="false" ht="15" hidden="false" customHeight="false" outlineLevel="0" collapsed="false">
      <c r="A1737" s="45" t="n">
        <v>46309</v>
      </c>
      <c r="B1737" s="0" t="n">
        <v>4</v>
      </c>
      <c r="C1737" s="0" t="n">
        <v>5917</v>
      </c>
      <c r="D1737" s="0" t="n">
        <v>111</v>
      </c>
      <c r="E1737" s="0" t="n">
        <v>1</v>
      </c>
      <c r="F1737" s="39" t="s">
        <v>1004</v>
      </c>
      <c r="G1737" s="0" t="n">
        <v>42.7</v>
      </c>
      <c r="H1737" s="0" t="n">
        <v>42</v>
      </c>
      <c r="I1737" s="39" t="s">
        <v>138</v>
      </c>
      <c r="J1737" s="0" t="n">
        <v>111</v>
      </c>
      <c r="K1737" s="0" t="n">
        <v>62</v>
      </c>
      <c r="P1737" s="0" t="n">
        <v>4.14</v>
      </c>
      <c r="Q1737" s="0" t="n">
        <v>2.59</v>
      </c>
      <c r="R1737" s="0" t="n">
        <v>4202</v>
      </c>
      <c r="S1737" s="0" t="n">
        <v>8457</v>
      </c>
      <c r="T1737" s="0" t="n">
        <v>47.65</v>
      </c>
      <c r="U1737" s="0" t="n">
        <v>748</v>
      </c>
      <c r="V1737" s="0" t="n">
        <v>2</v>
      </c>
      <c r="W1737" s="39" t="n">
        <f aca="false">IF(I1737="Male",0,1)</f>
        <v>1</v>
      </c>
      <c r="X1737" s="39" t="n">
        <f aca="false">IF(OR(I1737="DNB",I1737="Dry DNB"),1,0)</f>
        <v>0</v>
      </c>
      <c r="Y1737" s="39" t="n">
        <f aca="false">MATCH(A1737,DATAS,0)</f>
        <v>1</v>
      </c>
      <c r="Z1737" s="39" t="n">
        <f aca="false">IF(AND(E1737&gt;0,OR(AND(B1737&gt;=1,B1737&lt;=6),B1737=10)),1,0)</f>
        <v>1</v>
      </c>
      <c r="AA1737" s="39" t="n">
        <f aca="false">IF(AND(E1737&gt;0,B1737=10),1,0)</f>
        <v>0</v>
      </c>
      <c r="AB1737" s="0" t="str">
        <f aca="false">IF(AND(C1736=C1737,Y1736=Y1737-1),Z1736,"")</f>
        <v/>
      </c>
      <c r="AC1737" s="0" t="str">
        <f aca="false">IF(AND(C1736=C1737,Y1736=Y1737-1),AA1736,"")</f>
        <v/>
      </c>
      <c r="AD1737" s="0" t="str">
        <f aca="false">IF(Y1737=1,"",IF(AND(Z1737=1,AB1737&lt;&gt;1),1,0))</f>
        <v/>
      </c>
      <c r="AE1737" s="0" t="str">
        <f aca="false">IF(Y1737=1,"",IF(AND(AA1737=1,AC1737&lt;&gt;1),1,0))</f>
        <v/>
      </c>
      <c r="AF1737" s="45" t="str">
        <f aca="false">IF(AND(E1737&gt;0,Y1737&lt;1,NOT(AND(C1738=C1737,Y1738=Y1737+1))),INDEX(DATAS,Y1737+1),"")</f>
        <v/>
      </c>
      <c r="AG1737" s="45" t="str">
        <f aca="false">IF(AND(AA1737=1,Y1737&lt;1),IF(AND(C1738=C1737,Y1738=Y1737+1),IF(AA1738=1,"",INDEX(DATAS,Y1737+1)),INDEX(DATAS,Y1737+1)),"")</f>
        <v/>
      </c>
    </row>
    <row r="1738" customFormat="false" ht="15" hidden="false" customHeight="false" outlineLevel="0" collapsed="false">
      <c r="A1738" s="45" t="n">
        <v>46309</v>
      </c>
      <c r="B1738" s="0" t="n">
        <v>1</v>
      </c>
      <c r="C1738" s="0" t="n">
        <v>5918</v>
      </c>
      <c r="D1738" s="0" t="n">
        <v>24</v>
      </c>
      <c r="E1738" s="0" t="n">
        <v>1</v>
      </c>
      <c r="F1738" s="39" t="s">
        <v>1004</v>
      </c>
      <c r="G1738" s="0" t="n">
        <v>39.9</v>
      </c>
      <c r="H1738" s="0" t="n">
        <v>38</v>
      </c>
      <c r="I1738" s="39" t="s">
        <v>118</v>
      </c>
      <c r="J1738" s="0" t="n">
        <v>24</v>
      </c>
      <c r="R1738" s="0" t="n">
        <v>3154</v>
      </c>
      <c r="S1738" s="0" t="n">
        <v>6341</v>
      </c>
      <c r="U1738" s="0" t="n">
        <v>748</v>
      </c>
      <c r="V1738" s="0" t="n">
        <v>0</v>
      </c>
      <c r="W1738" s="39" t="n">
        <f aca="false">IF(I1738="Male",0,1)</f>
        <v>1</v>
      </c>
      <c r="X1738" s="39" t="n">
        <f aca="false">IF(OR(I1738="DNB",I1738="Dry DNB"),1,0)</f>
        <v>0</v>
      </c>
      <c r="Y1738" s="39" t="n">
        <f aca="false">MATCH(A1738,DATAS,0)</f>
        <v>1</v>
      </c>
      <c r="Z1738" s="39" t="n">
        <f aca="false">IF(AND(E1738&gt;0,OR(AND(B1738&gt;=1,B1738&lt;=6),B1738=10)),1,0)</f>
        <v>1</v>
      </c>
      <c r="AA1738" s="39" t="n">
        <f aca="false">IF(AND(E1738&gt;0,B1738=10),1,0)</f>
        <v>0</v>
      </c>
      <c r="AB1738" s="0" t="str">
        <f aca="false">IF(AND(C1737=C1738,Y1737=Y1738-1),Z1737,"")</f>
        <v/>
      </c>
      <c r="AC1738" s="0" t="str">
        <f aca="false">IF(AND(C1737=C1738,Y1737=Y1738-1),AA1737,"")</f>
        <v/>
      </c>
      <c r="AD1738" s="0" t="str">
        <f aca="false">IF(Y1738=1,"",IF(AND(Z1738=1,AB1738&lt;&gt;1),1,0))</f>
        <v/>
      </c>
      <c r="AE1738" s="0" t="str">
        <f aca="false">IF(Y1738=1,"",IF(AND(AA1738=1,AC1738&lt;&gt;1),1,0))</f>
        <v/>
      </c>
      <c r="AF1738" s="45" t="str">
        <f aca="false">IF(AND(E1738&gt;0,Y1738&lt;1,NOT(AND(C1739=C1738,Y1739=Y1738+1))),INDEX(DATAS,Y1738+1),"")</f>
        <v/>
      </c>
      <c r="AG1738" s="45" t="str">
        <f aca="false">IF(AND(AA1738=1,Y1738&lt;1),IF(AND(C1739=C1738,Y1739=Y1738+1),IF(AA1739=1,"",INDEX(DATAS,Y1738+1)),INDEX(DATAS,Y1738+1)),"")</f>
        <v/>
      </c>
    </row>
    <row r="1739" customFormat="false" ht="15" hidden="false" customHeight="false" outlineLevel="0" collapsed="false">
      <c r="A1739" s="45" t="n">
        <v>46309</v>
      </c>
      <c r="B1739" s="0" t="n">
        <v>1</v>
      </c>
      <c r="C1739" s="0" t="n">
        <v>5919</v>
      </c>
      <c r="D1739" s="0" t="n">
        <v>97</v>
      </c>
      <c r="E1739" s="0" t="n">
        <v>1</v>
      </c>
      <c r="F1739" s="39" t="s">
        <v>1004</v>
      </c>
      <c r="G1739" s="0" t="n">
        <v>40.9</v>
      </c>
      <c r="H1739" s="0" t="n">
        <v>38</v>
      </c>
      <c r="I1739" s="39" t="s">
        <v>109</v>
      </c>
      <c r="J1739" s="0" t="n">
        <v>62</v>
      </c>
      <c r="K1739" s="0" t="n">
        <v>62</v>
      </c>
      <c r="L1739" s="0" t="n">
        <v>35</v>
      </c>
      <c r="P1739" s="0" t="n">
        <v>4.25</v>
      </c>
      <c r="Q1739" s="0" t="n">
        <v>3.26</v>
      </c>
      <c r="R1739" s="0" t="n">
        <v>2723</v>
      </c>
      <c r="S1739" s="0" t="n">
        <v>5475</v>
      </c>
      <c r="T1739" s="0" t="n">
        <v>26.5</v>
      </c>
      <c r="U1739" s="0" t="n">
        <v>748</v>
      </c>
      <c r="V1739" s="0" t="n">
        <v>1</v>
      </c>
      <c r="W1739" s="39" t="n">
        <f aca="false">IF(I1739="Male",0,1)</f>
        <v>1</v>
      </c>
      <c r="X1739" s="39" t="n">
        <f aca="false">IF(OR(I1739="DNB",I1739="Dry DNB"),1,0)</f>
        <v>0</v>
      </c>
      <c r="Y1739" s="39" t="n">
        <f aca="false">MATCH(A1739,DATAS,0)</f>
        <v>1</v>
      </c>
      <c r="Z1739" s="39" t="n">
        <f aca="false">IF(AND(E1739&gt;0,OR(AND(B1739&gt;=1,B1739&lt;=6),B1739=10)),1,0)</f>
        <v>1</v>
      </c>
      <c r="AA1739" s="39" t="n">
        <f aca="false">IF(AND(E1739&gt;0,B1739=10),1,0)</f>
        <v>0</v>
      </c>
      <c r="AB1739" s="0" t="str">
        <f aca="false">IF(AND(C1738=C1739,Y1738=Y1739-1),Z1738,"")</f>
        <v/>
      </c>
      <c r="AC1739" s="0" t="str">
        <f aca="false">IF(AND(C1738=C1739,Y1738=Y1739-1),AA1738,"")</f>
        <v/>
      </c>
      <c r="AD1739" s="0" t="str">
        <f aca="false">IF(Y1739=1,"",IF(AND(Z1739=1,AB1739&lt;&gt;1),1,0))</f>
        <v/>
      </c>
      <c r="AE1739" s="0" t="str">
        <f aca="false">IF(Y1739=1,"",IF(AND(AA1739=1,AC1739&lt;&gt;1),1,0))</f>
        <v/>
      </c>
      <c r="AF1739" s="45" t="str">
        <f aca="false">IF(AND(E1739&gt;0,Y1739&lt;1,NOT(AND(C1740=C1739,Y1740=Y1739+1))),INDEX(DATAS,Y1739+1),"")</f>
        <v/>
      </c>
      <c r="AG1739" s="45" t="str">
        <f aca="false">IF(AND(AA1739=1,Y1739&lt;1),IF(AND(C1740=C1739,Y1740=Y1739+1),IF(AA1740=1,"",INDEX(DATAS,Y1739+1)),INDEX(DATAS,Y1739+1)),"")</f>
        <v/>
      </c>
    </row>
    <row r="1740" customFormat="false" ht="15" hidden="false" customHeight="false" outlineLevel="0" collapsed="false">
      <c r="A1740" s="45" t="n">
        <v>46309</v>
      </c>
      <c r="B1740" s="0" t="n">
        <v>1</v>
      </c>
      <c r="C1740" s="0" t="n">
        <v>5920</v>
      </c>
      <c r="D1740" s="0" t="n">
        <v>101</v>
      </c>
      <c r="E1740" s="0" t="n">
        <v>1</v>
      </c>
      <c r="F1740" s="39" t="s">
        <v>1005</v>
      </c>
      <c r="G1740" s="0" t="n">
        <v>44.6</v>
      </c>
      <c r="H1740" s="0" t="n">
        <v>43</v>
      </c>
      <c r="I1740" s="39" t="s">
        <v>109</v>
      </c>
      <c r="J1740" s="0" t="n">
        <v>66</v>
      </c>
      <c r="K1740" s="0" t="n">
        <v>66</v>
      </c>
      <c r="L1740" s="0" t="n">
        <v>35</v>
      </c>
      <c r="P1740" s="0" t="n">
        <v>4.16</v>
      </c>
      <c r="Q1740" s="0" t="n">
        <v>3.13</v>
      </c>
      <c r="R1740" s="0" t="n">
        <v>3804</v>
      </c>
      <c r="S1740" s="0" t="n">
        <v>7656</v>
      </c>
      <c r="T1740" s="0" t="n">
        <v>44.8</v>
      </c>
      <c r="U1740" s="0" t="n">
        <v>747</v>
      </c>
      <c r="V1740" s="0" t="n">
        <v>1</v>
      </c>
      <c r="W1740" s="39" t="n">
        <f aca="false">IF(I1740="Male",0,1)</f>
        <v>1</v>
      </c>
      <c r="X1740" s="39" t="n">
        <f aca="false">IF(OR(I1740="DNB",I1740="Dry DNB"),1,0)</f>
        <v>0</v>
      </c>
      <c r="Y1740" s="39" t="n">
        <f aca="false">MATCH(A1740,DATAS,0)</f>
        <v>1</v>
      </c>
      <c r="Z1740" s="39" t="n">
        <f aca="false">IF(AND(E1740&gt;0,OR(AND(B1740&gt;=1,B1740&lt;=6),B1740=10)),1,0)</f>
        <v>1</v>
      </c>
      <c r="AA1740" s="39" t="n">
        <f aca="false">IF(AND(E1740&gt;0,B1740=10),1,0)</f>
        <v>0</v>
      </c>
      <c r="AB1740" s="0" t="str">
        <f aca="false">IF(AND(C1739=C1740,Y1739=Y1740-1),Z1739,"")</f>
        <v/>
      </c>
      <c r="AC1740" s="0" t="str">
        <f aca="false">IF(AND(C1739=C1740,Y1739=Y1740-1),AA1739,"")</f>
        <v/>
      </c>
      <c r="AD1740" s="0" t="str">
        <f aca="false">IF(Y1740=1,"",IF(AND(Z1740=1,AB1740&lt;&gt;1),1,0))</f>
        <v/>
      </c>
      <c r="AE1740" s="0" t="str">
        <f aca="false">IF(Y1740=1,"",IF(AND(AA1740=1,AC1740&lt;&gt;1),1,0))</f>
        <v/>
      </c>
      <c r="AF1740" s="45" t="str">
        <f aca="false">IF(AND(E1740&gt;0,Y1740&lt;1,NOT(AND(C1741=C1740,Y1741=Y1740+1))),INDEX(DATAS,Y1740+1),"")</f>
        <v/>
      </c>
      <c r="AG1740" s="45" t="str">
        <f aca="false">IF(AND(AA1740=1,Y1740&lt;1),IF(AND(C1741=C1740,Y1741=Y1740+1),IF(AA1741=1,"",INDEX(DATAS,Y1740+1)),INDEX(DATAS,Y1740+1)),"")</f>
        <v/>
      </c>
    </row>
    <row r="1741" customFormat="false" ht="15" hidden="false" customHeight="false" outlineLevel="0" collapsed="false">
      <c r="A1741" s="45" t="n">
        <v>46309</v>
      </c>
      <c r="B1741" s="0" t="n">
        <v>1</v>
      </c>
      <c r="C1741" s="0" t="n">
        <v>5921</v>
      </c>
      <c r="D1741" s="0" t="n">
        <v>99</v>
      </c>
      <c r="E1741" s="0" t="n">
        <v>1</v>
      </c>
      <c r="F1741" s="39" t="s">
        <v>1005</v>
      </c>
      <c r="G1741" s="0" t="n">
        <v>50.5</v>
      </c>
      <c r="H1741" s="0" t="n">
        <v>50</v>
      </c>
      <c r="I1741" s="39" t="s">
        <v>138</v>
      </c>
      <c r="J1741" s="0" t="n">
        <v>99</v>
      </c>
      <c r="K1741" s="0" t="n">
        <v>64</v>
      </c>
      <c r="P1741" s="0" t="n">
        <v>2.98</v>
      </c>
      <c r="Q1741" s="0" t="n">
        <v>3.06</v>
      </c>
      <c r="R1741" s="0" t="n">
        <v>4097</v>
      </c>
      <c r="S1741" s="0" t="n">
        <v>8237</v>
      </c>
      <c r="T1741" s="0" t="n">
        <v>42.65</v>
      </c>
      <c r="U1741" s="0" t="n">
        <v>747</v>
      </c>
      <c r="V1741" s="0" t="n">
        <v>2</v>
      </c>
      <c r="W1741" s="39" t="n">
        <f aca="false">IF(I1741="Male",0,1)</f>
        <v>1</v>
      </c>
      <c r="X1741" s="39" t="n">
        <f aca="false">IF(OR(I1741="DNB",I1741="Dry DNB"),1,0)</f>
        <v>0</v>
      </c>
      <c r="Y1741" s="39" t="n">
        <f aca="false">MATCH(A1741,DATAS,0)</f>
        <v>1</v>
      </c>
      <c r="Z1741" s="39" t="n">
        <f aca="false">IF(AND(E1741&gt;0,OR(AND(B1741&gt;=1,B1741&lt;=6),B1741=10)),1,0)</f>
        <v>1</v>
      </c>
      <c r="AA1741" s="39" t="n">
        <f aca="false">IF(AND(E1741&gt;0,B1741=10),1,0)</f>
        <v>0</v>
      </c>
      <c r="AB1741" s="0" t="str">
        <f aca="false">IF(AND(C1740=C1741,Y1740=Y1741-1),Z1740,"")</f>
        <v/>
      </c>
      <c r="AC1741" s="0" t="str">
        <f aca="false">IF(AND(C1740=C1741,Y1740=Y1741-1),AA1740,"")</f>
        <v/>
      </c>
      <c r="AD1741" s="0" t="str">
        <f aca="false">IF(Y1741=1,"",IF(AND(Z1741=1,AB1741&lt;&gt;1),1,0))</f>
        <v/>
      </c>
      <c r="AE1741" s="0" t="str">
        <f aca="false">IF(Y1741=1,"",IF(AND(AA1741=1,AC1741&lt;&gt;1),1,0))</f>
        <v/>
      </c>
      <c r="AF1741" s="45" t="str">
        <f aca="false">IF(AND(E1741&gt;0,Y1741&lt;1,NOT(AND(C1742=C1741,Y1742=Y1741+1))),INDEX(DATAS,Y1741+1),"")</f>
        <v/>
      </c>
      <c r="AG1741" s="45" t="str">
        <f aca="false">IF(AND(AA1741=1,Y1741&lt;1),IF(AND(C1742=C1741,Y1742=Y1741+1),IF(AA1742=1,"",INDEX(DATAS,Y1741+1)),INDEX(DATAS,Y1741+1)),"")</f>
        <v/>
      </c>
    </row>
    <row r="1742" customFormat="false" ht="15" hidden="false" customHeight="false" outlineLevel="0" collapsed="false">
      <c r="A1742" s="45" t="n">
        <v>46309</v>
      </c>
      <c r="B1742" s="0" t="n">
        <v>1</v>
      </c>
      <c r="C1742" s="0" t="n">
        <v>5922</v>
      </c>
      <c r="D1742" s="0" t="n">
        <v>103</v>
      </c>
      <c r="E1742" s="0" t="n">
        <v>1</v>
      </c>
      <c r="F1742" s="39" t="s">
        <v>1006</v>
      </c>
      <c r="G1742" s="0" t="n">
        <v>51.1</v>
      </c>
      <c r="H1742" s="0" t="n">
        <v>31</v>
      </c>
      <c r="I1742" s="39" t="s">
        <v>109</v>
      </c>
      <c r="J1742" s="0" t="n">
        <v>68</v>
      </c>
      <c r="K1742" s="0" t="n">
        <v>68</v>
      </c>
      <c r="L1742" s="0" t="n">
        <v>35</v>
      </c>
      <c r="P1742" s="0" t="n">
        <v>2.63</v>
      </c>
      <c r="Q1742" s="0" t="n">
        <v>3.08</v>
      </c>
      <c r="R1742" s="0" t="n">
        <v>4272</v>
      </c>
      <c r="S1742" s="0" t="n">
        <v>8506</v>
      </c>
      <c r="T1742" s="0" t="n">
        <v>44.15</v>
      </c>
      <c r="U1742" s="0" t="n">
        <v>746</v>
      </c>
      <c r="V1742" s="0" t="n">
        <v>1</v>
      </c>
      <c r="W1742" s="39" t="n">
        <f aca="false">IF(I1742="Male",0,1)</f>
        <v>1</v>
      </c>
      <c r="X1742" s="39" t="n">
        <f aca="false">IF(OR(I1742="DNB",I1742="Dry DNB"),1,0)</f>
        <v>0</v>
      </c>
      <c r="Y1742" s="39" t="n">
        <f aca="false">MATCH(A1742,DATAS,0)</f>
        <v>1</v>
      </c>
      <c r="Z1742" s="39" t="n">
        <f aca="false">IF(AND(E1742&gt;0,OR(AND(B1742&gt;=1,B1742&lt;=6),B1742=10)),1,0)</f>
        <v>1</v>
      </c>
      <c r="AA1742" s="39" t="n">
        <f aca="false">IF(AND(E1742&gt;0,B1742=10),1,0)</f>
        <v>0</v>
      </c>
      <c r="AB1742" s="0" t="str">
        <f aca="false">IF(AND(C1741=C1742,Y1741=Y1742-1),Z1741,"")</f>
        <v/>
      </c>
      <c r="AC1742" s="0" t="str">
        <f aca="false">IF(AND(C1741=C1742,Y1741=Y1742-1),AA1741,"")</f>
        <v/>
      </c>
      <c r="AD1742" s="0" t="str">
        <f aca="false">IF(Y1742=1,"",IF(AND(Z1742=1,AB1742&lt;&gt;1),1,0))</f>
        <v/>
      </c>
      <c r="AE1742" s="0" t="str">
        <f aca="false">IF(Y1742=1,"",IF(AND(AA1742=1,AC1742&lt;&gt;1),1,0))</f>
        <v/>
      </c>
      <c r="AF1742" s="45" t="str">
        <f aca="false">IF(AND(E1742&gt;0,Y1742&lt;1,NOT(AND(C1743=C1742,Y1743=Y1742+1))),INDEX(DATAS,Y1742+1),"")</f>
        <v/>
      </c>
      <c r="AG1742" s="45" t="str">
        <f aca="false">IF(AND(AA1742=1,Y1742&lt;1),IF(AND(C1743=C1742,Y1743=Y1742+1),IF(AA1743=1,"",INDEX(DATAS,Y1742+1)),INDEX(DATAS,Y1742+1)),"")</f>
        <v/>
      </c>
    </row>
    <row r="1743" customFormat="false" ht="15" hidden="false" customHeight="false" outlineLevel="0" collapsed="false">
      <c r="A1743" s="45" t="n">
        <v>46309</v>
      </c>
      <c r="B1743" s="0" t="n">
        <v>1</v>
      </c>
      <c r="C1743" s="0" t="n">
        <v>5923</v>
      </c>
      <c r="D1743" s="0" t="n">
        <v>75</v>
      </c>
      <c r="E1743" s="0" t="n">
        <v>1</v>
      </c>
      <c r="F1743" s="39" t="s">
        <v>1007</v>
      </c>
      <c r="G1743" s="0" t="n">
        <v>52.8</v>
      </c>
      <c r="H1743" s="0" t="n">
        <v>52</v>
      </c>
      <c r="I1743" s="39" t="s">
        <v>138</v>
      </c>
      <c r="J1743" s="0" t="n">
        <v>75</v>
      </c>
      <c r="K1743" s="0" t="n">
        <v>68</v>
      </c>
      <c r="P1743" s="0" t="n">
        <v>3.65</v>
      </c>
      <c r="Q1743" s="0" t="n">
        <v>3.16</v>
      </c>
      <c r="R1743" s="0" t="n">
        <v>4784</v>
      </c>
      <c r="S1743" s="0" t="n">
        <v>9617</v>
      </c>
      <c r="U1743" s="0" t="n">
        <v>744</v>
      </c>
      <c r="V1743" s="0" t="n">
        <v>1</v>
      </c>
      <c r="W1743" s="39" t="n">
        <f aca="false">IF(I1743="Male",0,1)</f>
        <v>1</v>
      </c>
      <c r="X1743" s="39" t="n">
        <f aca="false">IF(OR(I1743="DNB",I1743="Dry DNB"),1,0)</f>
        <v>0</v>
      </c>
      <c r="Y1743" s="39" t="n">
        <f aca="false">MATCH(A1743,DATAS,0)</f>
        <v>1</v>
      </c>
      <c r="Z1743" s="39" t="n">
        <f aca="false">IF(AND(E1743&gt;0,OR(AND(B1743&gt;=1,B1743&lt;=6),B1743=10)),1,0)</f>
        <v>1</v>
      </c>
      <c r="AA1743" s="39" t="n">
        <f aca="false">IF(AND(E1743&gt;0,B1743=10),1,0)</f>
        <v>0</v>
      </c>
      <c r="AB1743" s="0" t="str">
        <f aca="false">IF(AND(C1742=C1743,Y1742=Y1743-1),Z1742,"")</f>
        <v/>
      </c>
      <c r="AC1743" s="0" t="str">
        <f aca="false">IF(AND(C1742=C1743,Y1742=Y1743-1),AA1742,"")</f>
        <v/>
      </c>
      <c r="AD1743" s="0" t="str">
        <f aca="false">IF(Y1743=1,"",IF(AND(Z1743=1,AB1743&lt;&gt;1),1,0))</f>
        <v/>
      </c>
      <c r="AE1743" s="0" t="str">
        <f aca="false">IF(Y1743=1,"",IF(AND(AA1743=1,AC1743&lt;&gt;1),1,0))</f>
        <v/>
      </c>
      <c r="AF1743" s="45" t="str">
        <f aca="false">IF(AND(E1743&gt;0,Y1743&lt;1,NOT(AND(C1744=C1743,Y1744=Y1743+1))),INDEX(DATAS,Y1743+1),"")</f>
        <v/>
      </c>
      <c r="AG1743" s="45" t="str">
        <f aca="false">IF(AND(AA1743=1,Y1743&lt;1),IF(AND(C1744=C1743,Y1744=Y1743+1),IF(AA1744=1,"",INDEX(DATAS,Y1743+1)),INDEX(DATAS,Y1743+1)),"")</f>
        <v/>
      </c>
    </row>
    <row r="1744" customFormat="false" ht="15" hidden="false" customHeight="false" outlineLevel="0" collapsed="false">
      <c r="A1744" s="45" t="n">
        <v>46309</v>
      </c>
      <c r="B1744" s="0" t="n">
        <v>1</v>
      </c>
      <c r="C1744" s="0" t="n">
        <v>5924</v>
      </c>
      <c r="D1744" s="0" t="n">
        <v>106</v>
      </c>
      <c r="E1744" s="0" t="n">
        <v>1</v>
      </c>
      <c r="F1744" s="39" t="s">
        <v>1007</v>
      </c>
      <c r="G1744" s="0" t="n">
        <v>51.6</v>
      </c>
      <c r="H1744" s="0" t="n">
        <v>52</v>
      </c>
      <c r="I1744" s="39" t="s">
        <v>138</v>
      </c>
      <c r="J1744" s="0" t="n">
        <v>106</v>
      </c>
      <c r="K1744" s="0" t="n">
        <v>64</v>
      </c>
      <c r="P1744" s="0" t="n">
        <v>3.05</v>
      </c>
      <c r="Q1744" s="0" t="n">
        <v>3.24</v>
      </c>
      <c r="R1744" s="0" t="n">
        <v>4724</v>
      </c>
      <c r="S1744" s="0" t="n">
        <v>9549</v>
      </c>
      <c r="T1744" s="0" t="n">
        <v>53.7</v>
      </c>
      <c r="U1744" s="0" t="n">
        <v>744</v>
      </c>
      <c r="V1744" s="0" t="n">
        <v>2</v>
      </c>
      <c r="W1744" s="39" t="n">
        <f aca="false">IF(I1744="Male",0,1)</f>
        <v>1</v>
      </c>
      <c r="X1744" s="39" t="n">
        <f aca="false">IF(OR(I1744="DNB",I1744="Dry DNB"),1,0)</f>
        <v>0</v>
      </c>
      <c r="Y1744" s="39" t="n">
        <f aca="false">MATCH(A1744,DATAS,0)</f>
        <v>1</v>
      </c>
      <c r="Z1744" s="39" t="n">
        <f aca="false">IF(AND(E1744&gt;0,OR(AND(B1744&gt;=1,B1744&lt;=6),B1744=10)),1,0)</f>
        <v>1</v>
      </c>
      <c r="AA1744" s="39" t="n">
        <f aca="false">IF(AND(E1744&gt;0,B1744=10),1,0)</f>
        <v>0</v>
      </c>
      <c r="AB1744" s="0" t="str">
        <f aca="false">IF(AND(C1743=C1744,Y1743=Y1744-1),Z1743,"")</f>
        <v/>
      </c>
      <c r="AC1744" s="0" t="str">
        <f aca="false">IF(AND(C1743=C1744,Y1743=Y1744-1),AA1743,"")</f>
        <v/>
      </c>
      <c r="AD1744" s="0" t="str">
        <f aca="false">IF(Y1744=1,"",IF(AND(Z1744=1,AB1744&lt;&gt;1),1,0))</f>
        <v/>
      </c>
      <c r="AE1744" s="0" t="str">
        <f aca="false">IF(Y1744=1,"",IF(AND(AA1744=1,AC1744&lt;&gt;1),1,0))</f>
        <v/>
      </c>
      <c r="AF1744" s="45" t="str">
        <f aca="false">IF(AND(E1744&gt;0,Y1744&lt;1,NOT(AND(C1745=C1744,Y1745=Y1744+1))),INDEX(DATAS,Y1744+1),"")</f>
        <v/>
      </c>
      <c r="AG1744" s="45" t="str">
        <f aca="false">IF(AND(AA1744=1,Y1744&lt;1),IF(AND(C1745=C1744,Y1745=Y1744+1),IF(AA1745=1,"",INDEX(DATAS,Y1744+1)),INDEX(DATAS,Y1744+1)),"")</f>
        <v/>
      </c>
    </row>
    <row r="1745" customFormat="false" ht="15" hidden="false" customHeight="false" outlineLevel="0" collapsed="false">
      <c r="A1745" s="45" t="n">
        <v>46309</v>
      </c>
      <c r="B1745" s="0" t="n">
        <v>4</v>
      </c>
      <c r="C1745" s="0" t="n">
        <v>5925</v>
      </c>
      <c r="D1745" s="0" t="n">
        <v>121</v>
      </c>
      <c r="E1745" s="0" t="n">
        <v>1</v>
      </c>
      <c r="F1745" s="39" t="s">
        <v>1007</v>
      </c>
      <c r="G1745" s="0" t="n">
        <v>33.6</v>
      </c>
      <c r="H1745" s="0" t="n">
        <v>33</v>
      </c>
      <c r="I1745" s="39" t="s">
        <v>109</v>
      </c>
      <c r="J1745" s="0" t="n">
        <v>65</v>
      </c>
      <c r="K1745" s="0" t="n">
        <v>65</v>
      </c>
      <c r="L1745" s="0" t="n">
        <v>56</v>
      </c>
      <c r="P1745" s="0" t="n">
        <v>6.32</v>
      </c>
      <c r="Q1745" s="0" t="n">
        <v>3.39</v>
      </c>
      <c r="R1745" s="0" t="n">
        <v>2043</v>
      </c>
      <c r="S1745" s="0" t="n">
        <v>4710</v>
      </c>
      <c r="U1745" s="0" t="n">
        <v>744</v>
      </c>
      <c r="V1745" s="0" t="n">
        <v>1</v>
      </c>
      <c r="W1745" s="39" t="n">
        <f aca="false">IF(I1745="Male",0,1)</f>
        <v>1</v>
      </c>
      <c r="X1745" s="39" t="n">
        <f aca="false">IF(OR(I1745="DNB",I1745="Dry DNB"),1,0)</f>
        <v>0</v>
      </c>
      <c r="Y1745" s="39" t="n">
        <f aca="false">MATCH(A1745,DATAS,0)</f>
        <v>1</v>
      </c>
      <c r="Z1745" s="39" t="n">
        <f aca="false">IF(AND(E1745&gt;0,OR(AND(B1745&gt;=1,B1745&lt;=6),B1745=10)),1,0)</f>
        <v>1</v>
      </c>
      <c r="AA1745" s="39" t="n">
        <f aca="false">IF(AND(E1745&gt;0,B1745=10),1,0)</f>
        <v>0</v>
      </c>
      <c r="AB1745" s="0" t="str">
        <f aca="false">IF(AND(C1744=C1745,Y1744=Y1745-1),Z1744,"")</f>
        <v/>
      </c>
      <c r="AC1745" s="0" t="str">
        <f aca="false">IF(AND(C1744=C1745,Y1744=Y1745-1),AA1744,"")</f>
        <v/>
      </c>
      <c r="AD1745" s="0" t="str">
        <f aca="false">IF(Y1745=1,"",IF(AND(Z1745=1,AB1745&lt;&gt;1),1,0))</f>
        <v/>
      </c>
      <c r="AE1745" s="0" t="str">
        <f aca="false">IF(Y1745=1,"",IF(AND(AA1745=1,AC1745&lt;&gt;1),1,0))</f>
        <v/>
      </c>
      <c r="AF1745" s="45" t="str">
        <f aca="false">IF(AND(E1745&gt;0,Y1745&lt;1,NOT(AND(C1746=C1745,Y1746=Y1745+1))),INDEX(DATAS,Y1745+1),"")</f>
        <v/>
      </c>
      <c r="AG1745" s="45" t="str">
        <f aca="false">IF(AND(AA1745=1,Y1745&lt;1),IF(AND(C1746=C1745,Y1746=Y1745+1),IF(AA1746=1,"",INDEX(DATAS,Y1745+1)),INDEX(DATAS,Y1745+1)),"")</f>
        <v/>
      </c>
    </row>
    <row r="1746" customFormat="false" ht="15" hidden="false" customHeight="false" outlineLevel="0" collapsed="false">
      <c r="A1746" s="45" t="n">
        <v>46309</v>
      </c>
      <c r="B1746" s="0" t="n">
        <v>1</v>
      </c>
      <c r="C1746" s="0" t="n">
        <v>5926</v>
      </c>
      <c r="D1746" s="0" t="n">
        <v>84</v>
      </c>
      <c r="E1746" s="0" t="n">
        <v>1</v>
      </c>
      <c r="F1746" s="39" t="s">
        <v>1007</v>
      </c>
      <c r="G1746" s="0" t="n">
        <v>50.9</v>
      </c>
      <c r="H1746" s="0" t="n">
        <v>48</v>
      </c>
      <c r="I1746" s="39" t="s">
        <v>138</v>
      </c>
      <c r="J1746" s="0" t="n">
        <v>84</v>
      </c>
      <c r="K1746" s="0" t="n">
        <v>63</v>
      </c>
      <c r="P1746" s="0" t="n">
        <v>3.21</v>
      </c>
      <c r="Q1746" s="0" t="n">
        <v>3.11</v>
      </c>
      <c r="R1746" s="0" t="n">
        <v>4341</v>
      </c>
      <c r="S1746" s="0" t="n">
        <v>8726</v>
      </c>
      <c r="U1746" s="0" t="n">
        <v>744</v>
      </c>
      <c r="V1746" s="0" t="n">
        <v>1</v>
      </c>
      <c r="W1746" s="39" t="n">
        <f aca="false">IF(I1746="Male",0,1)</f>
        <v>1</v>
      </c>
      <c r="X1746" s="39" t="n">
        <f aca="false">IF(OR(I1746="DNB",I1746="Dry DNB"),1,0)</f>
        <v>0</v>
      </c>
      <c r="Y1746" s="39" t="n">
        <f aca="false">MATCH(A1746,DATAS,0)</f>
        <v>1</v>
      </c>
      <c r="Z1746" s="39" t="n">
        <f aca="false">IF(AND(E1746&gt;0,OR(AND(B1746&gt;=1,B1746&lt;=6),B1746=10)),1,0)</f>
        <v>1</v>
      </c>
      <c r="AA1746" s="39" t="n">
        <f aca="false">IF(AND(E1746&gt;0,B1746=10),1,0)</f>
        <v>0</v>
      </c>
      <c r="AB1746" s="0" t="str">
        <f aca="false">IF(AND(C1745=C1746,Y1745=Y1746-1),Z1745,"")</f>
        <v/>
      </c>
      <c r="AC1746" s="0" t="str">
        <f aca="false">IF(AND(C1745=C1746,Y1745=Y1746-1),AA1745,"")</f>
        <v/>
      </c>
      <c r="AD1746" s="0" t="str">
        <f aca="false">IF(Y1746=1,"",IF(AND(Z1746=1,AB1746&lt;&gt;1),1,0))</f>
        <v/>
      </c>
      <c r="AE1746" s="0" t="str">
        <f aca="false">IF(Y1746=1,"",IF(AND(AA1746=1,AC1746&lt;&gt;1),1,0))</f>
        <v/>
      </c>
      <c r="AF1746" s="45" t="str">
        <f aca="false">IF(AND(E1746&gt;0,Y1746&lt;1,NOT(AND(C1747=C1746,Y1747=Y1746+1))),INDEX(DATAS,Y1746+1),"")</f>
        <v/>
      </c>
      <c r="AG1746" s="45" t="str">
        <f aca="false">IF(AND(AA1746=1,Y1746&lt;1),IF(AND(C1747=C1746,Y1747=Y1746+1),IF(AA1747=1,"",INDEX(DATAS,Y1746+1)),INDEX(DATAS,Y1746+1)),"")</f>
        <v/>
      </c>
    </row>
    <row r="1747" customFormat="false" ht="15" hidden="false" customHeight="false" outlineLevel="0" collapsed="false">
      <c r="A1747" s="45" t="n">
        <v>46309</v>
      </c>
      <c r="B1747" s="0" t="n">
        <v>1</v>
      </c>
      <c r="C1747" s="0" t="n">
        <v>5927</v>
      </c>
      <c r="D1747" s="0" t="n">
        <v>74</v>
      </c>
      <c r="E1747" s="0" t="n">
        <v>1</v>
      </c>
      <c r="F1747" s="39" t="s">
        <v>1008</v>
      </c>
      <c r="G1747" s="0" t="n">
        <v>47.3</v>
      </c>
      <c r="H1747" s="0" t="n">
        <v>52</v>
      </c>
      <c r="I1747" s="39" t="s">
        <v>138</v>
      </c>
      <c r="J1747" s="0" t="n">
        <v>74</v>
      </c>
      <c r="K1747" s="0" t="n">
        <v>67</v>
      </c>
      <c r="P1747" s="0" t="n">
        <v>3.26</v>
      </c>
      <c r="Q1747" s="0" t="n">
        <v>2.93</v>
      </c>
      <c r="R1747" s="0" t="n">
        <v>4416</v>
      </c>
      <c r="S1747" s="0" t="n">
        <v>8877</v>
      </c>
      <c r="U1747" s="0" t="n">
        <v>743</v>
      </c>
      <c r="V1747" s="0" t="n">
        <v>1</v>
      </c>
      <c r="W1747" s="39" t="n">
        <f aca="false">IF(I1747="Male",0,1)</f>
        <v>1</v>
      </c>
      <c r="X1747" s="39" t="n">
        <f aca="false">IF(OR(I1747="DNB",I1747="Dry DNB"),1,0)</f>
        <v>0</v>
      </c>
      <c r="Y1747" s="39" t="n">
        <f aca="false">MATCH(A1747,DATAS,0)</f>
        <v>1</v>
      </c>
      <c r="Z1747" s="39" t="n">
        <f aca="false">IF(AND(E1747&gt;0,OR(AND(B1747&gt;=1,B1747&lt;=6),B1747=10)),1,0)</f>
        <v>1</v>
      </c>
      <c r="AA1747" s="39" t="n">
        <f aca="false">IF(AND(E1747&gt;0,B1747=10),1,0)</f>
        <v>0</v>
      </c>
      <c r="AB1747" s="0" t="str">
        <f aca="false">IF(AND(C1746=C1747,Y1746=Y1747-1),Z1746,"")</f>
        <v/>
      </c>
      <c r="AC1747" s="0" t="str">
        <f aca="false">IF(AND(C1746=C1747,Y1746=Y1747-1),AA1746,"")</f>
        <v/>
      </c>
      <c r="AD1747" s="0" t="str">
        <f aca="false">IF(Y1747=1,"",IF(AND(Z1747=1,AB1747&lt;&gt;1),1,0))</f>
        <v/>
      </c>
      <c r="AE1747" s="0" t="str">
        <f aca="false">IF(Y1747=1,"",IF(AND(AA1747=1,AC1747&lt;&gt;1),1,0))</f>
        <v/>
      </c>
      <c r="AF1747" s="45" t="str">
        <f aca="false">IF(AND(E1747&gt;0,Y1747&lt;1,NOT(AND(C1748=C1747,Y1748=Y1747+1))),INDEX(DATAS,Y1747+1),"")</f>
        <v/>
      </c>
      <c r="AG1747" s="45" t="str">
        <f aca="false">IF(AND(AA1747=1,Y1747&lt;1),IF(AND(C1748=C1747,Y1748=Y1747+1),IF(AA1748=1,"",INDEX(DATAS,Y1747+1)),INDEX(DATAS,Y1747+1)),"")</f>
        <v/>
      </c>
    </row>
    <row r="1748" customFormat="false" ht="15" hidden="false" customHeight="false" outlineLevel="0" collapsed="false">
      <c r="A1748" s="45" t="n">
        <v>46309</v>
      </c>
      <c r="B1748" s="0" t="n">
        <v>14</v>
      </c>
      <c r="C1748" s="0" t="n">
        <v>5928</v>
      </c>
      <c r="E1748" s="0" t="n">
        <v>0</v>
      </c>
      <c r="F1748" s="39" t="s">
        <v>1008</v>
      </c>
      <c r="I1748" s="39" t="s">
        <v>109</v>
      </c>
      <c r="L1748" s="0" t="n">
        <v>266</v>
      </c>
      <c r="U1748" s="0" t="n">
        <v>743</v>
      </c>
      <c r="V1748" s="0" t="n">
        <v>4</v>
      </c>
      <c r="W1748" s="39" t="n">
        <f aca="false">IF(I1748="Male",0,1)</f>
        <v>1</v>
      </c>
      <c r="X1748" s="39" t="n">
        <f aca="false">IF(OR(I1748="DNB",I1748="Dry DNB"),1,0)</f>
        <v>0</v>
      </c>
      <c r="Y1748" s="39" t="n">
        <f aca="false">MATCH(A1748,DATAS,0)</f>
        <v>1</v>
      </c>
      <c r="Z1748" s="39" t="n">
        <f aca="false">IF(AND(E1748&gt;0,OR(AND(B1748&gt;=1,B1748&lt;=6),B1748=10)),1,0)</f>
        <v>0</v>
      </c>
      <c r="AA1748" s="39" t="n">
        <f aca="false">IF(AND(E1748&gt;0,B1748=10),1,0)</f>
        <v>0</v>
      </c>
      <c r="AB1748" s="0" t="str">
        <f aca="false">IF(AND(C1747=C1748,Y1747=Y1748-1),Z1747,"")</f>
        <v/>
      </c>
      <c r="AC1748" s="0" t="str">
        <f aca="false">IF(AND(C1747=C1748,Y1747=Y1748-1),AA1747,"")</f>
        <v/>
      </c>
      <c r="AD1748" s="0" t="str">
        <f aca="false">IF(Y1748=1,"",IF(AND(Z1748=1,AB1748&lt;&gt;1),1,0))</f>
        <v/>
      </c>
      <c r="AE1748" s="0" t="str">
        <f aca="false">IF(Y1748=1,"",IF(AND(AA1748=1,AC1748&lt;&gt;1),1,0))</f>
        <v/>
      </c>
      <c r="AF1748" s="45" t="str">
        <f aca="false">IF(AND(E1748&gt;0,Y1748&lt;1,NOT(AND(C1749=C1748,Y1749=Y1748+1))),INDEX(DATAS,Y1748+1),"")</f>
        <v/>
      </c>
      <c r="AG1748" s="45" t="str">
        <f aca="false">IF(AND(AA1748=1,Y1748&lt;1),IF(AND(C1749=C1748,Y1749=Y1748+1),IF(AA1749=1,"",INDEX(DATAS,Y1748+1)),INDEX(DATAS,Y1748+1)),"")</f>
        <v/>
      </c>
    </row>
    <row r="1749" customFormat="false" ht="15" hidden="false" customHeight="false" outlineLevel="0" collapsed="false">
      <c r="A1749" s="45" t="n">
        <v>46309</v>
      </c>
      <c r="B1749" s="0" t="n">
        <v>1</v>
      </c>
      <c r="C1749" s="0" t="n">
        <v>5929</v>
      </c>
      <c r="D1749" s="0" t="n">
        <v>102</v>
      </c>
      <c r="E1749" s="0" t="n">
        <v>1</v>
      </c>
      <c r="F1749" s="39" t="s">
        <v>1009</v>
      </c>
      <c r="G1749" s="0" t="n">
        <v>52.1</v>
      </c>
      <c r="H1749" s="0" t="n">
        <v>50</v>
      </c>
      <c r="I1749" s="39" t="s">
        <v>109</v>
      </c>
      <c r="J1749" s="0" t="n">
        <v>67</v>
      </c>
      <c r="K1749" s="0" t="n">
        <v>67</v>
      </c>
      <c r="L1749" s="0" t="n">
        <v>35</v>
      </c>
      <c r="P1749" s="0" t="n">
        <v>4.9</v>
      </c>
      <c r="Q1749" s="0" t="n">
        <v>3.1</v>
      </c>
      <c r="R1749" s="0" t="n">
        <v>3567</v>
      </c>
      <c r="S1749" s="0" t="n">
        <v>7229</v>
      </c>
      <c r="U1749" s="0" t="n">
        <v>742</v>
      </c>
      <c r="V1749" s="0" t="n">
        <v>1</v>
      </c>
      <c r="W1749" s="39" t="n">
        <f aca="false">IF(I1749="Male",0,1)</f>
        <v>1</v>
      </c>
      <c r="X1749" s="39" t="n">
        <f aca="false">IF(OR(I1749="DNB",I1749="Dry DNB"),1,0)</f>
        <v>0</v>
      </c>
      <c r="Y1749" s="39" t="n">
        <f aca="false">MATCH(A1749,DATAS,0)</f>
        <v>1</v>
      </c>
      <c r="Z1749" s="39" t="n">
        <f aca="false">IF(AND(E1749&gt;0,OR(AND(B1749&gt;=1,B1749&lt;=6),B1749=10)),1,0)</f>
        <v>1</v>
      </c>
      <c r="AA1749" s="39" t="n">
        <f aca="false">IF(AND(E1749&gt;0,B1749=10),1,0)</f>
        <v>0</v>
      </c>
      <c r="AB1749" s="0" t="str">
        <f aca="false">IF(AND(C1748=C1749,Y1748=Y1749-1),Z1748,"")</f>
        <v/>
      </c>
      <c r="AC1749" s="0" t="str">
        <f aca="false">IF(AND(C1748=C1749,Y1748=Y1749-1),AA1748,"")</f>
        <v/>
      </c>
      <c r="AD1749" s="0" t="str">
        <f aca="false">IF(Y1749=1,"",IF(AND(Z1749=1,AB1749&lt;&gt;1),1,0))</f>
        <v/>
      </c>
      <c r="AE1749" s="0" t="str">
        <f aca="false">IF(Y1749=1,"",IF(AND(AA1749=1,AC1749&lt;&gt;1),1,0))</f>
        <v/>
      </c>
      <c r="AF1749" s="45" t="str">
        <f aca="false">IF(AND(E1749&gt;0,Y1749&lt;1,NOT(AND(C1750=C1749,Y1750=Y1749+1))),INDEX(DATAS,Y1749+1),"")</f>
        <v/>
      </c>
      <c r="AG1749" s="45" t="str">
        <f aca="false">IF(AND(AA1749=1,Y1749&lt;1),IF(AND(C1750=C1749,Y1750=Y1749+1),IF(AA1750=1,"",INDEX(DATAS,Y1749+1)),INDEX(DATAS,Y1749+1)),"")</f>
        <v/>
      </c>
    </row>
    <row r="1750" customFormat="false" ht="15" hidden="false" customHeight="false" outlineLevel="0" collapsed="false">
      <c r="A1750" s="45" t="n">
        <v>46309</v>
      </c>
      <c r="B1750" s="0" t="n">
        <v>1</v>
      </c>
      <c r="C1750" s="0" t="n">
        <v>5931</v>
      </c>
      <c r="D1750" s="0" t="n">
        <v>65</v>
      </c>
      <c r="E1750" s="0" t="n">
        <v>1</v>
      </c>
      <c r="F1750" s="39" t="s">
        <v>1010</v>
      </c>
      <c r="G1750" s="0" t="n">
        <v>53.3</v>
      </c>
      <c r="H1750" s="0" t="n">
        <v>47</v>
      </c>
      <c r="I1750" s="39" t="s">
        <v>138</v>
      </c>
      <c r="J1750" s="0" t="n">
        <v>65</v>
      </c>
      <c r="K1750" s="0" t="n">
        <v>65</v>
      </c>
      <c r="P1750" s="0" t="n">
        <v>3.33</v>
      </c>
      <c r="Q1750" s="0" t="n">
        <v>3.13</v>
      </c>
      <c r="R1750" s="0" t="n">
        <v>4102</v>
      </c>
      <c r="S1750" s="0" t="n">
        <v>8246</v>
      </c>
      <c r="U1750" s="0" t="n">
        <v>741</v>
      </c>
      <c r="V1750" s="0" t="n">
        <v>1</v>
      </c>
      <c r="W1750" s="39" t="n">
        <f aca="false">IF(I1750="Male",0,1)</f>
        <v>1</v>
      </c>
      <c r="X1750" s="39" t="n">
        <f aca="false">IF(OR(I1750="DNB",I1750="Dry DNB"),1,0)</f>
        <v>0</v>
      </c>
      <c r="Y1750" s="39" t="n">
        <f aca="false">MATCH(A1750,DATAS,0)</f>
        <v>1</v>
      </c>
      <c r="Z1750" s="39" t="n">
        <f aca="false">IF(AND(E1750&gt;0,OR(AND(B1750&gt;=1,B1750&lt;=6),B1750=10)),1,0)</f>
        <v>1</v>
      </c>
      <c r="AA1750" s="39" t="n">
        <f aca="false">IF(AND(E1750&gt;0,B1750=10),1,0)</f>
        <v>0</v>
      </c>
      <c r="AB1750" s="0" t="str">
        <f aca="false">IF(AND(C1749=C1750,Y1749=Y1750-1),Z1749,"")</f>
        <v/>
      </c>
      <c r="AC1750" s="0" t="str">
        <f aca="false">IF(AND(C1749=C1750,Y1749=Y1750-1),AA1749,"")</f>
        <v/>
      </c>
      <c r="AD1750" s="0" t="str">
        <f aca="false">IF(Y1750=1,"",IF(AND(Z1750=1,AB1750&lt;&gt;1),1,0))</f>
        <v/>
      </c>
      <c r="AE1750" s="0" t="str">
        <f aca="false">IF(Y1750=1,"",IF(AND(AA1750=1,AC1750&lt;&gt;1),1,0))</f>
        <v/>
      </c>
      <c r="AF1750" s="45" t="str">
        <f aca="false">IF(AND(E1750&gt;0,Y1750&lt;1,NOT(AND(C1751=C1750,Y1751=Y1750+1))),INDEX(DATAS,Y1750+1),"")</f>
        <v/>
      </c>
      <c r="AG1750" s="45" t="str">
        <f aca="false">IF(AND(AA1750=1,Y1750&lt;1),IF(AND(C1751=C1750,Y1751=Y1750+1),IF(AA1751=1,"",INDEX(DATAS,Y1750+1)),INDEX(DATAS,Y1750+1)),"")</f>
        <v/>
      </c>
    </row>
    <row r="1751" customFormat="false" ht="15" hidden="false" customHeight="false" outlineLevel="0" collapsed="false">
      <c r="A1751" s="45" t="n">
        <v>46309</v>
      </c>
      <c r="B1751" s="0" t="n">
        <v>1</v>
      </c>
      <c r="C1751" s="0" t="n">
        <v>5932</v>
      </c>
      <c r="D1751" s="0" t="n">
        <v>95</v>
      </c>
      <c r="E1751" s="0" t="n">
        <v>1</v>
      </c>
      <c r="F1751" s="39" t="s">
        <v>1010</v>
      </c>
      <c r="G1751" s="0" t="n">
        <v>55</v>
      </c>
      <c r="H1751" s="0" t="n">
        <v>54</v>
      </c>
      <c r="I1751" s="39" t="s">
        <v>138</v>
      </c>
      <c r="J1751" s="0" t="n">
        <v>95</v>
      </c>
      <c r="K1751" s="0" t="n">
        <v>67</v>
      </c>
      <c r="P1751" s="0" t="n">
        <v>3.93</v>
      </c>
      <c r="Q1751" s="0" t="n">
        <v>2.98</v>
      </c>
      <c r="R1751" s="0" t="n">
        <v>4594</v>
      </c>
      <c r="S1751" s="0" t="n">
        <v>9234</v>
      </c>
      <c r="T1751" s="0" t="n">
        <v>49.3</v>
      </c>
      <c r="U1751" s="0" t="n">
        <v>741</v>
      </c>
      <c r="V1751" s="0" t="n">
        <v>2</v>
      </c>
      <c r="W1751" s="39" t="n">
        <f aca="false">IF(I1751="Male",0,1)</f>
        <v>1</v>
      </c>
      <c r="X1751" s="39" t="n">
        <f aca="false">IF(OR(I1751="DNB",I1751="Dry DNB"),1,0)</f>
        <v>0</v>
      </c>
      <c r="Y1751" s="39" t="n">
        <f aca="false">MATCH(A1751,DATAS,0)</f>
        <v>1</v>
      </c>
      <c r="Z1751" s="39" t="n">
        <f aca="false">IF(AND(E1751&gt;0,OR(AND(B1751&gt;=1,B1751&lt;=6),B1751=10)),1,0)</f>
        <v>1</v>
      </c>
      <c r="AA1751" s="39" t="n">
        <f aca="false">IF(AND(E1751&gt;0,B1751=10),1,0)</f>
        <v>0</v>
      </c>
      <c r="AB1751" s="0" t="str">
        <f aca="false">IF(AND(C1750=C1751,Y1750=Y1751-1),Z1750,"")</f>
        <v/>
      </c>
      <c r="AC1751" s="0" t="str">
        <f aca="false">IF(AND(C1750=C1751,Y1750=Y1751-1),AA1750,"")</f>
        <v/>
      </c>
      <c r="AD1751" s="0" t="str">
        <f aca="false">IF(Y1751=1,"",IF(AND(Z1751=1,AB1751&lt;&gt;1),1,0))</f>
        <v/>
      </c>
      <c r="AE1751" s="0" t="str">
        <f aca="false">IF(Y1751=1,"",IF(AND(AA1751=1,AC1751&lt;&gt;1),1,0))</f>
        <v/>
      </c>
      <c r="AF1751" s="45" t="str">
        <f aca="false">IF(AND(E1751&gt;0,Y1751&lt;1,NOT(AND(C1752=C1751,Y1752=Y1751+1))),INDEX(DATAS,Y1751+1),"")</f>
        <v/>
      </c>
      <c r="AG1751" s="45" t="str">
        <f aca="false">IF(AND(AA1751=1,Y1751&lt;1),IF(AND(C1752=C1751,Y1752=Y1751+1),IF(AA1752=1,"",INDEX(DATAS,Y1751+1)),INDEX(DATAS,Y1751+1)),"")</f>
        <v/>
      </c>
    </row>
    <row r="1752" customFormat="false" ht="15" hidden="false" customHeight="false" outlineLevel="0" collapsed="false">
      <c r="A1752" s="45" t="n">
        <v>46309</v>
      </c>
      <c r="B1752" s="0" t="n">
        <v>1</v>
      </c>
      <c r="C1752" s="0" t="n">
        <v>5933</v>
      </c>
      <c r="D1752" s="0" t="n">
        <v>71</v>
      </c>
      <c r="E1752" s="0" t="n">
        <v>1</v>
      </c>
      <c r="F1752" s="39" t="s">
        <v>1010</v>
      </c>
      <c r="G1752" s="0" t="n">
        <v>47.8</v>
      </c>
      <c r="H1752" s="0" t="n">
        <v>46</v>
      </c>
      <c r="I1752" s="39" t="s">
        <v>138</v>
      </c>
      <c r="J1752" s="0" t="n">
        <v>71</v>
      </c>
      <c r="K1752" s="0" t="n">
        <v>64</v>
      </c>
      <c r="P1752" s="0" t="n">
        <v>4.3</v>
      </c>
      <c r="Q1752" s="0" t="n">
        <v>3.22</v>
      </c>
      <c r="R1752" s="0" t="n">
        <v>4618</v>
      </c>
      <c r="S1752" s="0" t="n">
        <v>9284</v>
      </c>
      <c r="U1752" s="0" t="n">
        <v>741</v>
      </c>
      <c r="V1752" s="0" t="n">
        <v>1</v>
      </c>
      <c r="W1752" s="39" t="n">
        <f aca="false">IF(I1752="Male",0,1)</f>
        <v>1</v>
      </c>
      <c r="X1752" s="39" t="n">
        <f aca="false">IF(OR(I1752="DNB",I1752="Dry DNB"),1,0)</f>
        <v>0</v>
      </c>
      <c r="Y1752" s="39" t="n">
        <f aca="false">MATCH(A1752,DATAS,0)</f>
        <v>1</v>
      </c>
      <c r="Z1752" s="39" t="n">
        <f aca="false">IF(AND(E1752&gt;0,OR(AND(B1752&gt;=1,B1752&lt;=6),B1752=10)),1,0)</f>
        <v>1</v>
      </c>
      <c r="AA1752" s="39" t="n">
        <f aca="false">IF(AND(E1752&gt;0,B1752=10),1,0)</f>
        <v>0</v>
      </c>
      <c r="AB1752" s="0" t="str">
        <f aca="false">IF(AND(C1751=C1752,Y1751=Y1752-1),Z1751,"")</f>
        <v/>
      </c>
      <c r="AC1752" s="0" t="str">
        <f aca="false">IF(AND(C1751=C1752,Y1751=Y1752-1),AA1751,"")</f>
        <v/>
      </c>
      <c r="AD1752" s="0" t="str">
        <f aca="false">IF(Y1752=1,"",IF(AND(Z1752=1,AB1752&lt;&gt;1),1,0))</f>
        <v/>
      </c>
      <c r="AE1752" s="0" t="str">
        <f aca="false">IF(Y1752=1,"",IF(AND(AA1752=1,AC1752&lt;&gt;1),1,0))</f>
        <v/>
      </c>
      <c r="AF1752" s="45" t="str">
        <f aca="false">IF(AND(E1752&gt;0,Y1752&lt;1,NOT(AND(C1753=C1752,Y1753=Y1752+1))),INDEX(DATAS,Y1752+1),"")</f>
        <v/>
      </c>
      <c r="AG1752" s="45" t="str">
        <f aca="false">IF(AND(AA1752=1,Y1752&lt;1),IF(AND(C1753=C1752,Y1753=Y1752+1),IF(AA1753=1,"",INDEX(DATAS,Y1752+1)),INDEX(DATAS,Y1752+1)),"")</f>
        <v/>
      </c>
    </row>
    <row r="1753" customFormat="false" ht="15" hidden="false" customHeight="false" outlineLevel="0" collapsed="false">
      <c r="A1753" s="45" t="n">
        <v>46309</v>
      </c>
      <c r="B1753" s="0" t="n">
        <v>1</v>
      </c>
      <c r="C1753" s="0" t="n">
        <v>5934</v>
      </c>
      <c r="D1753" s="0" t="n">
        <v>58</v>
      </c>
      <c r="E1753" s="0" t="n">
        <v>1</v>
      </c>
      <c r="F1753" s="39" t="s">
        <v>1011</v>
      </c>
      <c r="G1753" s="0" t="n">
        <v>42</v>
      </c>
      <c r="H1753" s="0" t="n">
        <v>38</v>
      </c>
      <c r="I1753" s="39" t="s">
        <v>118</v>
      </c>
      <c r="J1753" s="0" t="n">
        <v>58</v>
      </c>
      <c r="P1753" s="0" t="n">
        <v>3.63</v>
      </c>
      <c r="Q1753" s="0" t="n">
        <v>2.96</v>
      </c>
      <c r="R1753" s="0" t="n">
        <v>4114</v>
      </c>
      <c r="S1753" s="0" t="n">
        <v>8270</v>
      </c>
      <c r="U1753" s="0" t="n">
        <v>740</v>
      </c>
      <c r="V1753" s="0" t="n">
        <v>0</v>
      </c>
      <c r="W1753" s="39" t="n">
        <f aca="false">IF(I1753="Male",0,1)</f>
        <v>1</v>
      </c>
      <c r="X1753" s="39" t="n">
        <f aca="false">IF(OR(I1753="DNB",I1753="Dry DNB"),1,0)</f>
        <v>0</v>
      </c>
      <c r="Y1753" s="39" t="n">
        <f aca="false">MATCH(A1753,DATAS,0)</f>
        <v>1</v>
      </c>
      <c r="Z1753" s="39" t="n">
        <f aca="false">IF(AND(E1753&gt;0,OR(AND(B1753&gt;=1,B1753&lt;=6),B1753=10)),1,0)</f>
        <v>1</v>
      </c>
      <c r="AA1753" s="39" t="n">
        <f aca="false">IF(AND(E1753&gt;0,B1753=10),1,0)</f>
        <v>0</v>
      </c>
      <c r="AB1753" s="0" t="str">
        <f aca="false">IF(AND(C1752=C1753,Y1752=Y1753-1),Z1752,"")</f>
        <v/>
      </c>
      <c r="AC1753" s="0" t="str">
        <f aca="false">IF(AND(C1752=C1753,Y1752=Y1753-1),AA1752,"")</f>
        <v/>
      </c>
      <c r="AD1753" s="0" t="str">
        <f aca="false">IF(Y1753=1,"",IF(AND(Z1753=1,AB1753&lt;&gt;1),1,0))</f>
        <v/>
      </c>
      <c r="AE1753" s="0" t="str">
        <f aca="false">IF(Y1753=1,"",IF(AND(AA1753=1,AC1753&lt;&gt;1),1,0))</f>
        <v/>
      </c>
      <c r="AF1753" s="45" t="str">
        <f aca="false">IF(AND(E1753&gt;0,Y1753&lt;1,NOT(AND(C1754=C1753,Y1754=Y1753+1))),INDEX(DATAS,Y1753+1),"")</f>
        <v/>
      </c>
      <c r="AG1753" s="45" t="str">
        <f aca="false">IF(AND(AA1753=1,Y1753&lt;1),IF(AND(C1754=C1753,Y1754=Y1753+1),IF(AA1754=1,"",INDEX(DATAS,Y1753+1)),INDEX(DATAS,Y1753+1)),"")</f>
        <v/>
      </c>
    </row>
    <row r="1754" customFormat="false" ht="15" hidden="false" customHeight="false" outlineLevel="0" collapsed="false">
      <c r="A1754" s="45" t="n">
        <v>46309</v>
      </c>
      <c r="B1754" s="0" t="n">
        <v>1</v>
      </c>
      <c r="C1754" s="0" t="n">
        <v>5935</v>
      </c>
      <c r="D1754" s="0" t="n">
        <v>53</v>
      </c>
      <c r="E1754" s="0" t="n">
        <v>1</v>
      </c>
      <c r="F1754" s="39" t="s">
        <v>1011</v>
      </c>
      <c r="G1754" s="0" t="n">
        <v>34.3</v>
      </c>
      <c r="H1754" s="0" t="n">
        <v>37</v>
      </c>
      <c r="I1754" s="39" t="s">
        <v>118</v>
      </c>
      <c r="J1754" s="0" t="n">
        <v>53</v>
      </c>
      <c r="P1754" s="0" t="n">
        <v>3.9</v>
      </c>
      <c r="Q1754" s="0" t="n">
        <v>3.29</v>
      </c>
      <c r="R1754" s="0" t="n">
        <v>2851</v>
      </c>
      <c r="S1754" s="0" t="n">
        <v>5731</v>
      </c>
      <c r="U1754" s="0" t="n">
        <v>740</v>
      </c>
      <c r="V1754" s="0" t="n">
        <v>0</v>
      </c>
      <c r="W1754" s="39" t="n">
        <f aca="false">IF(I1754="Male",0,1)</f>
        <v>1</v>
      </c>
      <c r="X1754" s="39" t="n">
        <f aca="false">IF(OR(I1754="DNB",I1754="Dry DNB"),1,0)</f>
        <v>0</v>
      </c>
      <c r="Y1754" s="39" t="n">
        <f aca="false">MATCH(A1754,DATAS,0)</f>
        <v>1</v>
      </c>
      <c r="Z1754" s="39" t="n">
        <f aca="false">IF(AND(E1754&gt;0,OR(AND(B1754&gt;=1,B1754&lt;=6),B1754=10)),1,0)</f>
        <v>1</v>
      </c>
      <c r="AA1754" s="39" t="n">
        <f aca="false">IF(AND(E1754&gt;0,B1754=10),1,0)</f>
        <v>0</v>
      </c>
      <c r="AB1754" s="0" t="str">
        <f aca="false">IF(AND(C1753=C1754,Y1753=Y1754-1),Z1753,"")</f>
        <v/>
      </c>
      <c r="AC1754" s="0" t="str">
        <f aca="false">IF(AND(C1753=C1754,Y1753=Y1754-1),AA1753,"")</f>
        <v/>
      </c>
      <c r="AD1754" s="0" t="str">
        <f aca="false">IF(Y1754=1,"",IF(AND(Z1754=1,AB1754&lt;&gt;1),1,0))</f>
        <v/>
      </c>
      <c r="AE1754" s="0" t="str">
        <f aca="false">IF(Y1754=1,"",IF(AND(AA1754=1,AC1754&lt;&gt;1),1,0))</f>
        <v/>
      </c>
      <c r="AF1754" s="45" t="str">
        <f aca="false">IF(AND(E1754&gt;0,Y1754&lt;1,NOT(AND(C1755=C1754,Y1755=Y1754+1))),INDEX(DATAS,Y1754+1),"")</f>
        <v/>
      </c>
      <c r="AG1754" s="45" t="str">
        <f aca="false">IF(AND(AA1754=1,Y1754&lt;1),IF(AND(C1755=C1754,Y1755=Y1754+1),IF(AA1755=1,"",INDEX(DATAS,Y1754+1)),INDEX(DATAS,Y1754+1)),"")</f>
        <v/>
      </c>
    </row>
    <row r="1755" customFormat="false" ht="15" hidden="false" customHeight="false" outlineLevel="0" collapsed="false">
      <c r="A1755" s="45" t="n">
        <v>46309</v>
      </c>
      <c r="B1755" s="0" t="n">
        <v>1</v>
      </c>
      <c r="C1755" s="0" t="n">
        <v>5937</v>
      </c>
      <c r="D1755" s="0" t="n">
        <v>46</v>
      </c>
      <c r="E1755" s="0" t="n">
        <v>1</v>
      </c>
      <c r="F1755" s="39" t="s">
        <v>1011</v>
      </c>
      <c r="I1755" s="39" t="s">
        <v>118</v>
      </c>
      <c r="J1755" s="0" t="n">
        <v>46</v>
      </c>
      <c r="U1755" s="0" t="n">
        <v>740</v>
      </c>
      <c r="V1755" s="0" t="n">
        <v>0</v>
      </c>
      <c r="W1755" s="39" t="n">
        <f aca="false">IF(I1755="Male",0,1)</f>
        <v>1</v>
      </c>
      <c r="X1755" s="39" t="n">
        <f aca="false">IF(OR(I1755="DNB",I1755="Dry DNB"),1,0)</f>
        <v>0</v>
      </c>
      <c r="Y1755" s="39" t="n">
        <f aca="false">MATCH(A1755,DATAS,0)</f>
        <v>1</v>
      </c>
      <c r="Z1755" s="39" t="n">
        <f aca="false">IF(AND(E1755&gt;0,OR(AND(B1755&gt;=1,B1755&lt;=6),B1755=10)),1,0)</f>
        <v>1</v>
      </c>
      <c r="AA1755" s="39" t="n">
        <f aca="false">IF(AND(E1755&gt;0,B1755=10),1,0)</f>
        <v>0</v>
      </c>
      <c r="AB1755" s="0" t="str">
        <f aca="false">IF(AND(C1754=C1755,Y1754=Y1755-1),Z1754,"")</f>
        <v/>
      </c>
      <c r="AC1755" s="0" t="str">
        <f aca="false">IF(AND(C1754=C1755,Y1754=Y1755-1),AA1754,"")</f>
        <v/>
      </c>
      <c r="AD1755" s="0" t="str">
        <f aca="false">IF(Y1755=1,"",IF(AND(Z1755=1,AB1755&lt;&gt;1),1,0))</f>
        <v/>
      </c>
      <c r="AE1755" s="0" t="str">
        <f aca="false">IF(Y1755=1,"",IF(AND(AA1755=1,AC1755&lt;&gt;1),1,0))</f>
        <v/>
      </c>
      <c r="AF1755" s="45" t="str">
        <f aca="false">IF(AND(E1755&gt;0,Y1755&lt;1,NOT(AND(C1756=C1755,Y1756=Y1755+1))),INDEX(DATAS,Y1755+1),"")</f>
        <v/>
      </c>
      <c r="AG1755" s="45" t="str">
        <f aca="false">IF(AND(AA1755=1,Y1755&lt;1),IF(AND(C1756=C1755,Y1756=Y1755+1),IF(AA1756=1,"",INDEX(DATAS,Y1755+1)),INDEX(DATAS,Y1755+1)),"")</f>
        <v/>
      </c>
    </row>
    <row r="1756" customFormat="false" ht="15" hidden="false" customHeight="false" outlineLevel="0" collapsed="false">
      <c r="A1756" s="45" t="n">
        <v>46309</v>
      </c>
      <c r="B1756" s="0" t="n">
        <v>1</v>
      </c>
      <c r="C1756" s="0" t="n">
        <v>5940</v>
      </c>
      <c r="D1756" s="0" t="n">
        <v>96</v>
      </c>
      <c r="E1756" s="0" t="n">
        <v>1</v>
      </c>
      <c r="F1756" s="39" t="s">
        <v>1012</v>
      </c>
      <c r="G1756" s="0" t="n">
        <v>55.4</v>
      </c>
      <c r="H1756" s="0" t="n">
        <v>57</v>
      </c>
      <c r="I1756" s="39" t="s">
        <v>138</v>
      </c>
      <c r="J1756" s="0" t="n">
        <v>96</v>
      </c>
      <c r="K1756" s="0" t="n">
        <v>68</v>
      </c>
      <c r="P1756" s="0" t="n">
        <v>4.19</v>
      </c>
      <c r="Q1756" s="0" t="n">
        <v>3.23</v>
      </c>
      <c r="R1756" s="0" t="n">
        <v>4845</v>
      </c>
      <c r="S1756" s="0" t="n">
        <v>9739</v>
      </c>
      <c r="T1756" s="0" t="n">
        <v>50.65</v>
      </c>
      <c r="U1756" s="0" t="n">
        <v>736</v>
      </c>
      <c r="V1756" s="0" t="n">
        <v>1</v>
      </c>
      <c r="W1756" s="39" t="n">
        <f aca="false">IF(I1756="Male",0,1)</f>
        <v>1</v>
      </c>
      <c r="X1756" s="39" t="n">
        <f aca="false">IF(OR(I1756="DNB",I1756="Dry DNB"),1,0)</f>
        <v>0</v>
      </c>
      <c r="Y1756" s="39" t="n">
        <f aca="false">MATCH(A1756,DATAS,0)</f>
        <v>1</v>
      </c>
      <c r="Z1756" s="39" t="n">
        <f aca="false">IF(AND(E1756&gt;0,OR(AND(B1756&gt;=1,B1756&lt;=6),B1756=10)),1,0)</f>
        <v>1</v>
      </c>
      <c r="AA1756" s="39" t="n">
        <f aca="false">IF(AND(E1756&gt;0,B1756=10),1,0)</f>
        <v>0</v>
      </c>
      <c r="AB1756" s="0" t="str">
        <f aca="false">IF(AND(C1755=C1756,Y1755=Y1756-1),Z1755,"")</f>
        <v/>
      </c>
      <c r="AC1756" s="0" t="str">
        <f aca="false">IF(AND(C1755=C1756,Y1755=Y1756-1),AA1755,"")</f>
        <v/>
      </c>
      <c r="AD1756" s="0" t="str">
        <f aca="false">IF(Y1756=1,"",IF(AND(Z1756=1,AB1756&lt;&gt;1),1,0))</f>
        <v/>
      </c>
      <c r="AE1756" s="0" t="str">
        <f aca="false">IF(Y1756=1,"",IF(AND(AA1756=1,AC1756&lt;&gt;1),1,0))</f>
        <v/>
      </c>
      <c r="AF1756" s="45" t="str">
        <f aca="false">IF(AND(E1756&gt;0,Y1756&lt;1,NOT(AND(C1757=C1756,Y1757=Y1756+1))),INDEX(DATAS,Y1756+1),"")</f>
        <v/>
      </c>
      <c r="AG1756" s="45" t="str">
        <f aca="false">IF(AND(AA1756=1,Y1756&lt;1),IF(AND(C1757=C1756,Y1757=Y1756+1),IF(AA1757=1,"",INDEX(DATAS,Y1756+1)),INDEX(DATAS,Y1756+1)),"")</f>
        <v/>
      </c>
    </row>
    <row r="1757" customFormat="false" ht="15" hidden="false" customHeight="false" outlineLevel="0" collapsed="false">
      <c r="A1757" s="45" t="n">
        <v>46309</v>
      </c>
      <c r="B1757" s="0" t="n">
        <v>1</v>
      </c>
      <c r="C1757" s="0" t="n">
        <v>5941</v>
      </c>
      <c r="D1757" s="0" t="n">
        <v>108</v>
      </c>
      <c r="E1757" s="0" t="n">
        <v>1</v>
      </c>
      <c r="F1757" s="39" t="s">
        <v>1013</v>
      </c>
      <c r="G1757" s="0" t="n">
        <v>39.1</v>
      </c>
      <c r="H1757" s="0" t="n">
        <v>42</v>
      </c>
      <c r="I1757" s="39" t="s">
        <v>138</v>
      </c>
      <c r="J1757" s="0" t="n">
        <v>108</v>
      </c>
      <c r="K1757" s="0" t="n">
        <v>66</v>
      </c>
      <c r="P1757" s="0" t="n">
        <v>3.47</v>
      </c>
      <c r="Q1757" s="0" t="n">
        <v>3.19</v>
      </c>
      <c r="R1757" s="0" t="n">
        <v>3057</v>
      </c>
      <c r="S1757" s="0" t="n">
        <v>6348</v>
      </c>
      <c r="T1757" s="0" t="n">
        <v>36.1</v>
      </c>
      <c r="U1757" s="0" t="n">
        <v>739</v>
      </c>
      <c r="V1757" s="0" t="n">
        <v>2</v>
      </c>
      <c r="W1757" s="39" t="n">
        <f aca="false">IF(I1757="Male",0,1)</f>
        <v>1</v>
      </c>
      <c r="X1757" s="39" t="n">
        <f aca="false">IF(OR(I1757="DNB",I1757="Dry DNB"),1,0)</f>
        <v>0</v>
      </c>
      <c r="Y1757" s="39" t="n">
        <f aca="false">MATCH(A1757,DATAS,0)</f>
        <v>1</v>
      </c>
      <c r="Z1757" s="39" t="n">
        <f aca="false">IF(AND(E1757&gt;0,OR(AND(B1757&gt;=1,B1757&lt;=6),B1757=10)),1,0)</f>
        <v>1</v>
      </c>
      <c r="AA1757" s="39" t="n">
        <f aca="false">IF(AND(E1757&gt;0,B1757=10),1,0)</f>
        <v>0</v>
      </c>
      <c r="AB1757" s="0" t="str">
        <f aca="false">IF(AND(C1756=C1757,Y1756=Y1757-1),Z1756,"")</f>
        <v/>
      </c>
      <c r="AC1757" s="0" t="str">
        <f aca="false">IF(AND(C1756=C1757,Y1756=Y1757-1),AA1756,"")</f>
        <v/>
      </c>
      <c r="AD1757" s="0" t="str">
        <f aca="false">IF(Y1757=1,"",IF(AND(Z1757=1,AB1757&lt;&gt;1),1,0))</f>
        <v/>
      </c>
      <c r="AE1757" s="0" t="str">
        <f aca="false">IF(Y1757=1,"",IF(AND(AA1757=1,AC1757&lt;&gt;1),1,0))</f>
        <v/>
      </c>
      <c r="AF1757" s="45" t="str">
        <f aca="false">IF(AND(E1757&gt;0,Y1757&lt;1,NOT(AND(C1758=C1757,Y1758=Y1757+1))),INDEX(DATAS,Y1757+1),"")</f>
        <v/>
      </c>
      <c r="AG1757" s="45" t="str">
        <f aca="false">IF(AND(AA1757=1,Y1757&lt;1),IF(AND(C1758=C1757,Y1758=Y1757+1),IF(AA1758=1,"",INDEX(DATAS,Y1757+1)),INDEX(DATAS,Y1757+1)),"")</f>
        <v/>
      </c>
    </row>
    <row r="1758" customFormat="false" ht="15" hidden="false" customHeight="false" outlineLevel="0" collapsed="false">
      <c r="A1758" s="45" t="n">
        <v>46309</v>
      </c>
      <c r="B1758" s="0" t="n">
        <v>8</v>
      </c>
      <c r="C1758" s="0" t="n">
        <v>5942</v>
      </c>
      <c r="E1758" s="0" t="n">
        <v>0</v>
      </c>
      <c r="F1758" s="39" t="s">
        <v>1014</v>
      </c>
      <c r="I1758" s="39" t="s">
        <v>109</v>
      </c>
      <c r="L1758" s="0" t="n">
        <v>91</v>
      </c>
      <c r="U1758" s="0" t="n">
        <v>738</v>
      </c>
      <c r="V1758" s="0" t="n">
        <v>10</v>
      </c>
      <c r="W1758" s="39" t="n">
        <f aca="false">IF(I1758="Male",0,1)</f>
        <v>1</v>
      </c>
      <c r="X1758" s="39" t="n">
        <f aca="false">IF(OR(I1758="DNB",I1758="Dry DNB"),1,0)</f>
        <v>0</v>
      </c>
      <c r="Y1758" s="39" t="n">
        <f aca="false">MATCH(A1758,DATAS,0)</f>
        <v>1</v>
      </c>
      <c r="Z1758" s="39" t="n">
        <f aca="false">IF(AND(E1758&gt;0,OR(AND(B1758&gt;=1,B1758&lt;=6),B1758=10)),1,0)</f>
        <v>0</v>
      </c>
      <c r="AA1758" s="39" t="n">
        <f aca="false">IF(AND(E1758&gt;0,B1758=10),1,0)</f>
        <v>0</v>
      </c>
      <c r="AB1758" s="0" t="str">
        <f aca="false">IF(AND(C1757=C1758,Y1757=Y1758-1),Z1757,"")</f>
        <v/>
      </c>
      <c r="AC1758" s="0" t="str">
        <f aca="false">IF(AND(C1757=C1758,Y1757=Y1758-1),AA1757,"")</f>
        <v/>
      </c>
      <c r="AD1758" s="0" t="str">
        <f aca="false">IF(Y1758=1,"",IF(AND(Z1758=1,AB1758&lt;&gt;1),1,0))</f>
        <v/>
      </c>
      <c r="AE1758" s="0" t="str">
        <f aca="false">IF(Y1758=1,"",IF(AND(AA1758=1,AC1758&lt;&gt;1),1,0))</f>
        <v/>
      </c>
      <c r="AF1758" s="45" t="str">
        <f aca="false">IF(AND(E1758&gt;0,Y1758&lt;1,NOT(AND(C1759=C1758,Y1759=Y1758+1))),INDEX(DATAS,Y1758+1),"")</f>
        <v/>
      </c>
      <c r="AG1758" s="45" t="str">
        <f aca="false">IF(AND(AA1758=1,Y1758&lt;1),IF(AND(C1759=C1758,Y1759=Y1758+1),IF(AA1759=1,"",INDEX(DATAS,Y1758+1)),INDEX(DATAS,Y1758+1)),"")</f>
        <v/>
      </c>
    </row>
    <row r="1759" customFormat="false" ht="15" hidden="false" customHeight="false" outlineLevel="0" collapsed="false">
      <c r="A1759" s="45" t="n">
        <v>46309</v>
      </c>
      <c r="B1759" s="0" t="n">
        <v>1</v>
      </c>
      <c r="C1759" s="0" t="n">
        <v>5943</v>
      </c>
      <c r="D1759" s="0" t="n">
        <v>99</v>
      </c>
      <c r="E1759" s="0" t="n">
        <v>1</v>
      </c>
      <c r="F1759" s="39" t="s">
        <v>1014</v>
      </c>
      <c r="G1759" s="0" t="n">
        <v>53.7</v>
      </c>
      <c r="H1759" s="0" t="n">
        <v>57</v>
      </c>
      <c r="I1759" s="39" t="s">
        <v>146</v>
      </c>
      <c r="J1759" s="0" t="n">
        <v>99</v>
      </c>
      <c r="K1759" s="0" t="n">
        <v>64</v>
      </c>
      <c r="P1759" s="0" t="n">
        <v>3.33</v>
      </c>
      <c r="Q1759" s="0" t="n">
        <v>3.07</v>
      </c>
      <c r="R1759" s="0" t="n">
        <v>5309</v>
      </c>
      <c r="S1759" s="0" t="n">
        <v>10672</v>
      </c>
      <c r="T1759" s="0" t="n">
        <v>54.9</v>
      </c>
      <c r="U1759" s="0" t="n">
        <v>738</v>
      </c>
      <c r="V1759" s="0" t="n">
        <v>1</v>
      </c>
      <c r="W1759" s="39" t="n">
        <f aca="false">IF(I1759="Male",0,1)</f>
        <v>1</v>
      </c>
      <c r="X1759" s="39" t="n">
        <f aca="false">IF(OR(I1759="DNB",I1759="Dry DNB"),1,0)</f>
        <v>0</v>
      </c>
      <c r="Y1759" s="39" t="n">
        <f aca="false">MATCH(A1759,DATAS,0)</f>
        <v>1</v>
      </c>
      <c r="Z1759" s="39" t="n">
        <f aca="false">IF(AND(E1759&gt;0,OR(AND(B1759&gt;=1,B1759&lt;=6),B1759=10)),1,0)</f>
        <v>1</v>
      </c>
      <c r="AA1759" s="39" t="n">
        <f aca="false">IF(AND(E1759&gt;0,B1759=10),1,0)</f>
        <v>0</v>
      </c>
      <c r="AB1759" s="0" t="str">
        <f aca="false">IF(AND(C1758=C1759,Y1758=Y1759-1),Z1758,"")</f>
        <v/>
      </c>
      <c r="AC1759" s="0" t="str">
        <f aca="false">IF(AND(C1758=C1759,Y1758=Y1759-1),AA1758,"")</f>
        <v/>
      </c>
      <c r="AD1759" s="0" t="str">
        <f aca="false">IF(Y1759=1,"",IF(AND(Z1759=1,AB1759&lt;&gt;1),1,0))</f>
        <v/>
      </c>
      <c r="AE1759" s="0" t="str">
        <f aca="false">IF(Y1759=1,"",IF(AND(AA1759=1,AC1759&lt;&gt;1),1,0))</f>
        <v/>
      </c>
      <c r="AF1759" s="45" t="str">
        <f aca="false">IF(AND(E1759&gt;0,Y1759&lt;1,NOT(AND(C1760=C1759,Y1760=Y1759+1))),INDEX(DATAS,Y1759+1),"")</f>
        <v/>
      </c>
      <c r="AG1759" s="45" t="str">
        <f aca="false">IF(AND(AA1759=1,Y1759&lt;1),IF(AND(C1760=C1759,Y1760=Y1759+1),IF(AA1760=1,"",INDEX(DATAS,Y1759+1)),INDEX(DATAS,Y1759+1)),"")</f>
        <v/>
      </c>
    </row>
    <row r="1760" customFormat="false" ht="15" hidden="false" customHeight="false" outlineLevel="0" collapsed="false">
      <c r="A1760" s="45" t="n">
        <v>46309</v>
      </c>
      <c r="B1760" s="0" t="n">
        <v>1</v>
      </c>
      <c r="C1760" s="0" t="n">
        <v>5944</v>
      </c>
      <c r="D1760" s="0" t="n">
        <v>42</v>
      </c>
      <c r="E1760" s="0" t="n">
        <v>1</v>
      </c>
      <c r="F1760" s="39" t="s">
        <v>1014</v>
      </c>
      <c r="G1760" s="0" t="n">
        <v>43.2</v>
      </c>
      <c r="H1760" s="0" t="n">
        <v>45</v>
      </c>
      <c r="I1760" s="39" t="s">
        <v>118</v>
      </c>
      <c r="J1760" s="0" t="n">
        <v>42</v>
      </c>
      <c r="P1760" s="0" t="n">
        <v>4.51</v>
      </c>
      <c r="Q1760" s="0" t="n">
        <v>3.4</v>
      </c>
      <c r="R1760" s="0" t="n">
        <v>3696</v>
      </c>
      <c r="S1760" s="0" t="n">
        <v>7430</v>
      </c>
      <c r="U1760" s="0" t="n">
        <v>738</v>
      </c>
      <c r="V1760" s="0" t="n">
        <v>0</v>
      </c>
      <c r="W1760" s="39" t="n">
        <f aca="false">IF(I1760="Male",0,1)</f>
        <v>1</v>
      </c>
      <c r="X1760" s="39" t="n">
        <f aca="false">IF(OR(I1760="DNB",I1760="Dry DNB"),1,0)</f>
        <v>0</v>
      </c>
      <c r="Y1760" s="39" t="n">
        <f aca="false">MATCH(A1760,DATAS,0)</f>
        <v>1</v>
      </c>
      <c r="Z1760" s="39" t="n">
        <f aca="false">IF(AND(E1760&gt;0,OR(AND(B1760&gt;=1,B1760&lt;=6),B1760=10)),1,0)</f>
        <v>1</v>
      </c>
      <c r="AA1760" s="39" t="n">
        <f aca="false">IF(AND(E1760&gt;0,B1760=10),1,0)</f>
        <v>0</v>
      </c>
      <c r="AB1760" s="0" t="str">
        <f aca="false">IF(AND(C1759=C1760,Y1759=Y1760-1),Z1759,"")</f>
        <v/>
      </c>
      <c r="AC1760" s="0" t="str">
        <f aca="false">IF(AND(C1759=C1760,Y1759=Y1760-1),AA1759,"")</f>
        <v/>
      </c>
      <c r="AD1760" s="0" t="str">
        <f aca="false">IF(Y1760=1,"",IF(AND(Z1760=1,AB1760&lt;&gt;1),1,0))</f>
        <v/>
      </c>
      <c r="AE1760" s="0" t="str">
        <f aca="false">IF(Y1760=1,"",IF(AND(AA1760=1,AC1760&lt;&gt;1),1,0))</f>
        <v/>
      </c>
      <c r="AF1760" s="45" t="str">
        <f aca="false">IF(AND(E1760&gt;0,Y1760&lt;1,NOT(AND(C1761=C1760,Y1761=Y1760+1))),INDEX(DATAS,Y1760+1),"")</f>
        <v/>
      </c>
      <c r="AG1760" s="45" t="str">
        <f aca="false">IF(AND(AA1760=1,Y1760&lt;1),IF(AND(C1761=C1760,Y1761=Y1760+1),IF(AA1761=1,"",INDEX(DATAS,Y1760+1)),INDEX(DATAS,Y1760+1)),"")</f>
        <v/>
      </c>
    </row>
    <row r="1761" customFormat="false" ht="15" hidden="false" customHeight="false" outlineLevel="0" collapsed="false">
      <c r="A1761" s="45" t="n">
        <v>46309</v>
      </c>
      <c r="B1761" s="0" t="n">
        <v>9</v>
      </c>
      <c r="C1761" s="0" t="n">
        <v>5945</v>
      </c>
      <c r="E1761" s="0" t="n">
        <v>0</v>
      </c>
      <c r="F1761" s="39" t="s">
        <v>1015</v>
      </c>
      <c r="I1761" s="39" t="s">
        <v>109</v>
      </c>
      <c r="L1761" s="0" t="n">
        <v>258</v>
      </c>
      <c r="U1761" s="0" t="n">
        <v>737</v>
      </c>
      <c r="V1761" s="0" t="n">
        <v>4</v>
      </c>
      <c r="W1761" s="39" t="n">
        <f aca="false">IF(I1761="Male",0,1)</f>
        <v>1</v>
      </c>
      <c r="X1761" s="39" t="n">
        <f aca="false">IF(OR(I1761="DNB",I1761="Dry DNB"),1,0)</f>
        <v>0</v>
      </c>
      <c r="Y1761" s="39" t="n">
        <f aca="false">MATCH(A1761,DATAS,0)</f>
        <v>1</v>
      </c>
      <c r="Z1761" s="39" t="n">
        <f aca="false">IF(AND(E1761&gt;0,OR(AND(B1761&gt;=1,B1761&lt;=6),B1761=10)),1,0)</f>
        <v>0</v>
      </c>
      <c r="AA1761" s="39" t="n">
        <f aca="false">IF(AND(E1761&gt;0,B1761=10),1,0)</f>
        <v>0</v>
      </c>
      <c r="AB1761" s="0" t="str">
        <f aca="false">IF(AND(C1760=C1761,Y1760=Y1761-1),Z1760,"")</f>
        <v/>
      </c>
      <c r="AC1761" s="0" t="str">
        <f aca="false">IF(AND(C1760=C1761,Y1760=Y1761-1),AA1760,"")</f>
        <v/>
      </c>
      <c r="AD1761" s="0" t="str">
        <f aca="false">IF(Y1761=1,"",IF(AND(Z1761=1,AB1761&lt;&gt;1),1,0))</f>
        <v/>
      </c>
      <c r="AE1761" s="0" t="str">
        <f aca="false">IF(Y1761=1,"",IF(AND(AA1761=1,AC1761&lt;&gt;1),1,0))</f>
        <v/>
      </c>
      <c r="AF1761" s="45" t="str">
        <f aca="false">IF(AND(E1761&gt;0,Y1761&lt;1,NOT(AND(C1762=C1761,Y1762=Y1761+1))),INDEX(DATAS,Y1761+1),"")</f>
        <v/>
      </c>
      <c r="AG1761" s="45" t="str">
        <f aca="false">IF(AND(AA1761=1,Y1761&lt;1),IF(AND(C1762=C1761,Y1762=Y1761+1),IF(AA1762=1,"",INDEX(DATAS,Y1761+1)),INDEX(DATAS,Y1761+1)),"")</f>
        <v/>
      </c>
    </row>
    <row r="1762" customFormat="false" ht="15" hidden="false" customHeight="false" outlineLevel="0" collapsed="false">
      <c r="A1762" s="45" t="n">
        <v>46309</v>
      </c>
      <c r="B1762" s="0" t="n">
        <v>1</v>
      </c>
      <c r="C1762" s="0" t="n">
        <v>5946</v>
      </c>
      <c r="D1762" s="0" t="n">
        <v>68</v>
      </c>
      <c r="E1762" s="0" t="n">
        <v>1</v>
      </c>
      <c r="F1762" s="39" t="s">
        <v>1015</v>
      </c>
      <c r="G1762" s="0" t="n">
        <v>37.5</v>
      </c>
      <c r="H1762" s="0" t="n">
        <v>45</v>
      </c>
      <c r="I1762" s="39" t="s">
        <v>138</v>
      </c>
      <c r="J1762" s="0" t="n">
        <v>68</v>
      </c>
      <c r="K1762" s="0" t="n">
        <v>68</v>
      </c>
      <c r="P1762" s="0" t="n">
        <v>3.93</v>
      </c>
      <c r="Q1762" s="0" t="n">
        <v>3.09</v>
      </c>
      <c r="R1762" s="0" t="n">
        <v>4255</v>
      </c>
      <c r="S1762" s="0" t="n">
        <v>8553</v>
      </c>
      <c r="U1762" s="0" t="n">
        <v>737</v>
      </c>
      <c r="V1762" s="0" t="n">
        <v>1</v>
      </c>
      <c r="W1762" s="39" t="n">
        <f aca="false">IF(I1762="Male",0,1)</f>
        <v>1</v>
      </c>
      <c r="X1762" s="39" t="n">
        <f aca="false">IF(OR(I1762="DNB",I1762="Dry DNB"),1,0)</f>
        <v>0</v>
      </c>
      <c r="Y1762" s="39" t="n">
        <f aca="false">MATCH(A1762,DATAS,0)</f>
        <v>1</v>
      </c>
      <c r="Z1762" s="39" t="n">
        <f aca="false">IF(AND(E1762&gt;0,OR(AND(B1762&gt;=1,B1762&lt;=6),B1762=10)),1,0)</f>
        <v>1</v>
      </c>
      <c r="AA1762" s="39" t="n">
        <f aca="false">IF(AND(E1762&gt;0,B1762=10),1,0)</f>
        <v>0</v>
      </c>
      <c r="AB1762" s="0" t="str">
        <f aca="false">IF(AND(C1761=C1762,Y1761=Y1762-1),Z1761,"")</f>
        <v/>
      </c>
      <c r="AC1762" s="0" t="str">
        <f aca="false">IF(AND(C1761=C1762,Y1761=Y1762-1),AA1761,"")</f>
        <v/>
      </c>
      <c r="AD1762" s="0" t="str">
        <f aca="false">IF(Y1762=1,"",IF(AND(Z1762=1,AB1762&lt;&gt;1),1,0))</f>
        <v/>
      </c>
      <c r="AE1762" s="0" t="str">
        <f aca="false">IF(Y1762=1,"",IF(AND(AA1762=1,AC1762&lt;&gt;1),1,0))</f>
        <v/>
      </c>
      <c r="AF1762" s="45" t="str">
        <f aca="false">IF(AND(E1762&gt;0,Y1762&lt;1,NOT(AND(C1763=C1762,Y1763=Y1762+1))),INDEX(DATAS,Y1762+1),"")</f>
        <v/>
      </c>
      <c r="AG1762" s="45" t="str">
        <f aca="false">IF(AND(AA1762=1,Y1762&lt;1),IF(AND(C1763=C1762,Y1763=Y1762+1),IF(AA1763=1,"",INDEX(DATAS,Y1762+1)),INDEX(DATAS,Y1762+1)),"")</f>
        <v/>
      </c>
    </row>
    <row r="1763" customFormat="false" ht="15" hidden="false" customHeight="false" outlineLevel="0" collapsed="false">
      <c r="A1763" s="45" t="n">
        <v>46309</v>
      </c>
      <c r="B1763" s="0" t="n">
        <v>1</v>
      </c>
      <c r="C1763" s="0" t="n">
        <v>5947</v>
      </c>
      <c r="D1763" s="0" t="n">
        <v>103</v>
      </c>
      <c r="E1763" s="0" t="n">
        <v>1</v>
      </c>
      <c r="F1763" s="39" t="s">
        <v>1015</v>
      </c>
      <c r="G1763" s="0" t="n">
        <v>39.9</v>
      </c>
      <c r="H1763" s="0" t="n">
        <v>38</v>
      </c>
      <c r="I1763" s="39" t="s">
        <v>146</v>
      </c>
      <c r="J1763" s="0" t="n">
        <v>103</v>
      </c>
      <c r="K1763" s="0" t="n">
        <v>68</v>
      </c>
      <c r="P1763" s="0" t="n">
        <v>4.59</v>
      </c>
      <c r="Q1763" s="0" t="n">
        <v>3.31</v>
      </c>
      <c r="R1763" s="0" t="n">
        <v>3623</v>
      </c>
      <c r="S1763" s="0" t="n">
        <v>7293</v>
      </c>
      <c r="T1763" s="0" t="n">
        <v>37.8</v>
      </c>
      <c r="U1763" s="0" t="n">
        <v>737</v>
      </c>
      <c r="V1763" s="0" t="n">
        <v>1</v>
      </c>
      <c r="W1763" s="39" t="n">
        <f aca="false">IF(I1763="Male",0,1)</f>
        <v>1</v>
      </c>
      <c r="X1763" s="39" t="n">
        <f aca="false">IF(OR(I1763="DNB",I1763="Dry DNB"),1,0)</f>
        <v>0</v>
      </c>
      <c r="Y1763" s="39" t="n">
        <f aca="false">MATCH(A1763,DATAS,0)</f>
        <v>1</v>
      </c>
      <c r="Z1763" s="39" t="n">
        <f aca="false">IF(AND(E1763&gt;0,OR(AND(B1763&gt;=1,B1763&lt;=6),B1763=10)),1,0)</f>
        <v>1</v>
      </c>
      <c r="AA1763" s="39" t="n">
        <f aca="false">IF(AND(E1763&gt;0,B1763=10),1,0)</f>
        <v>0</v>
      </c>
      <c r="AB1763" s="0" t="str">
        <f aca="false">IF(AND(C1762=C1763,Y1762=Y1763-1),Z1762,"")</f>
        <v/>
      </c>
      <c r="AC1763" s="0" t="str">
        <f aca="false">IF(AND(C1762=C1763,Y1762=Y1763-1),AA1762,"")</f>
        <v/>
      </c>
      <c r="AD1763" s="0" t="str">
        <f aca="false">IF(Y1763=1,"",IF(AND(Z1763=1,AB1763&lt;&gt;1),1,0))</f>
        <v/>
      </c>
      <c r="AE1763" s="0" t="str">
        <f aca="false">IF(Y1763=1,"",IF(AND(AA1763=1,AC1763&lt;&gt;1),1,0))</f>
        <v/>
      </c>
      <c r="AF1763" s="45" t="str">
        <f aca="false">IF(AND(E1763&gt;0,Y1763&lt;1,NOT(AND(C1764=C1763,Y1764=Y1763+1))),INDEX(DATAS,Y1763+1),"")</f>
        <v/>
      </c>
      <c r="AG1763" s="45" t="str">
        <f aca="false">IF(AND(AA1763=1,Y1763&lt;1),IF(AND(C1764=C1763,Y1764=Y1763+1),IF(AA1764=1,"",INDEX(DATAS,Y1763+1)),INDEX(DATAS,Y1763+1)),"")</f>
        <v/>
      </c>
    </row>
    <row r="1764" customFormat="false" ht="15" hidden="false" customHeight="false" outlineLevel="0" collapsed="false">
      <c r="A1764" s="45" t="n">
        <v>46309</v>
      </c>
      <c r="B1764" s="0" t="n">
        <v>1</v>
      </c>
      <c r="C1764" s="0" t="n">
        <v>5950</v>
      </c>
      <c r="D1764" s="0" t="n">
        <v>69</v>
      </c>
      <c r="E1764" s="0" t="n">
        <v>1</v>
      </c>
      <c r="F1764" s="39" t="s">
        <v>1015</v>
      </c>
      <c r="G1764" s="0" t="n">
        <v>33.4</v>
      </c>
      <c r="H1764" s="0" t="n">
        <v>39</v>
      </c>
      <c r="I1764" s="39" t="s">
        <v>138</v>
      </c>
      <c r="J1764" s="0" t="n">
        <v>69</v>
      </c>
      <c r="K1764" s="0" t="n">
        <v>62</v>
      </c>
      <c r="P1764" s="0" t="n">
        <v>4.77</v>
      </c>
      <c r="Q1764" s="0" t="n">
        <v>3.46</v>
      </c>
      <c r="R1764" s="0" t="n">
        <v>3306</v>
      </c>
      <c r="S1764" s="0" t="n">
        <v>6647</v>
      </c>
      <c r="U1764" s="0" t="n">
        <v>737</v>
      </c>
      <c r="V1764" s="0" t="n">
        <v>1</v>
      </c>
      <c r="W1764" s="39" t="n">
        <f aca="false">IF(I1764="Male",0,1)</f>
        <v>1</v>
      </c>
      <c r="X1764" s="39" t="n">
        <f aca="false">IF(OR(I1764="DNB",I1764="Dry DNB"),1,0)</f>
        <v>0</v>
      </c>
      <c r="Y1764" s="39" t="n">
        <f aca="false">MATCH(A1764,DATAS,0)</f>
        <v>1</v>
      </c>
      <c r="Z1764" s="39" t="n">
        <f aca="false">IF(AND(E1764&gt;0,OR(AND(B1764&gt;=1,B1764&lt;=6),B1764=10)),1,0)</f>
        <v>1</v>
      </c>
      <c r="AA1764" s="39" t="n">
        <f aca="false">IF(AND(E1764&gt;0,B1764=10),1,0)</f>
        <v>0</v>
      </c>
      <c r="AB1764" s="0" t="str">
        <f aca="false">IF(AND(C1763=C1764,Y1763=Y1764-1),Z1763,"")</f>
        <v/>
      </c>
      <c r="AC1764" s="0" t="str">
        <f aca="false">IF(AND(C1763=C1764,Y1763=Y1764-1),AA1763,"")</f>
        <v/>
      </c>
      <c r="AD1764" s="0" t="str">
        <f aca="false">IF(Y1764=1,"",IF(AND(Z1764=1,AB1764&lt;&gt;1),1,0))</f>
        <v/>
      </c>
      <c r="AE1764" s="0" t="str">
        <f aca="false">IF(Y1764=1,"",IF(AND(AA1764=1,AC1764&lt;&gt;1),1,0))</f>
        <v/>
      </c>
      <c r="AF1764" s="45" t="str">
        <f aca="false">IF(AND(E1764&gt;0,Y1764&lt;1,NOT(AND(C1765=C1764,Y1765=Y1764+1))),INDEX(DATAS,Y1764+1),"")</f>
        <v/>
      </c>
      <c r="AG1764" s="45" t="str">
        <f aca="false">IF(AND(AA1764=1,Y1764&lt;1),IF(AND(C1765=C1764,Y1765=Y1764+1),IF(AA1765=1,"",INDEX(DATAS,Y1764+1)),INDEX(DATAS,Y1764+1)),"")</f>
        <v/>
      </c>
    </row>
    <row r="1765" customFormat="false" ht="15" hidden="false" customHeight="false" outlineLevel="0" collapsed="false">
      <c r="A1765" s="45" t="n">
        <v>46309</v>
      </c>
      <c r="B1765" s="0" t="n">
        <v>1</v>
      </c>
      <c r="C1765" s="0" t="n">
        <v>5951</v>
      </c>
      <c r="D1765" s="0" t="n">
        <v>1</v>
      </c>
      <c r="E1765" s="0" t="n">
        <v>1</v>
      </c>
      <c r="F1765" s="39" t="s">
        <v>1015</v>
      </c>
      <c r="I1765" s="39" t="s">
        <v>118</v>
      </c>
      <c r="J1765" s="0" t="n">
        <v>1</v>
      </c>
      <c r="U1765" s="0" t="n">
        <v>737</v>
      </c>
      <c r="V1765" s="0" t="n">
        <v>0</v>
      </c>
      <c r="W1765" s="39" t="n">
        <f aca="false">IF(I1765="Male",0,1)</f>
        <v>1</v>
      </c>
      <c r="X1765" s="39" t="n">
        <f aca="false">IF(OR(I1765="DNB",I1765="Dry DNB"),1,0)</f>
        <v>0</v>
      </c>
      <c r="Y1765" s="39" t="n">
        <f aca="false">MATCH(A1765,DATAS,0)</f>
        <v>1</v>
      </c>
      <c r="Z1765" s="39" t="n">
        <f aca="false">IF(AND(E1765&gt;0,OR(AND(B1765&gt;=1,B1765&lt;=6),B1765=10)),1,0)</f>
        <v>1</v>
      </c>
      <c r="AA1765" s="39" t="n">
        <f aca="false">IF(AND(E1765&gt;0,B1765=10),1,0)</f>
        <v>0</v>
      </c>
      <c r="AB1765" s="0" t="str">
        <f aca="false">IF(AND(C1764=C1765,Y1764=Y1765-1),Z1764,"")</f>
        <v/>
      </c>
      <c r="AC1765" s="0" t="str">
        <f aca="false">IF(AND(C1764=C1765,Y1764=Y1765-1),AA1764,"")</f>
        <v/>
      </c>
      <c r="AD1765" s="0" t="str">
        <f aca="false">IF(Y1765=1,"",IF(AND(Z1765=1,AB1765&lt;&gt;1),1,0))</f>
        <v/>
      </c>
      <c r="AE1765" s="0" t="str">
        <f aca="false">IF(Y1765=1,"",IF(AND(AA1765=1,AC1765&lt;&gt;1),1,0))</f>
        <v/>
      </c>
      <c r="AF1765" s="45" t="str">
        <f aca="false">IF(AND(E1765&gt;0,Y1765&lt;1,NOT(AND(C1766=C1765,Y1766=Y1765+1))),INDEX(DATAS,Y1765+1),"")</f>
        <v/>
      </c>
      <c r="AG1765" s="45" t="str">
        <f aca="false">IF(AND(AA1765=1,Y1765&lt;1),IF(AND(C1766=C1765,Y1766=Y1765+1),IF(AA1766=1,"",INDEX(DATAS,Y1765+1)),INDEX(DATAS,Y1765+1)),"")</f>
        <v/>
      </c>
    </row>
    <row r="1766" customFormat="false" ht="15" hidden="false" customHeight="false" outlineLevel="0" collapsed="false">
      <c r="A1766" s="45" t="n">
        <v>46309</v>
      </c>
      <c r="B1766" s="0" t="n">
        <v>1</v>
      </c>
      <c r="C1766" s="0" t="n">
        <v>5952</v>
      </c>
      <c r="D1766" s="0" t="n">
        <v>58</v>
      </c>
      <c r="E1766" s="0" t="n">
        <v>1</v>
      </c>
      <c r="F1766" s="39" t="s">
        <v>1012</v>
      </c>
      <c r="G1766" s="0" t="n">
        <v>61.4</v>
      </c>
      <c r="H1766" s="0" t="n">
        <v>62</v>
      </c>
      <c r="I1766" s="39" t="s">
        <v>118</v>
      </c>
      <c r="J1766" s="0" t="n">
        <v>58</v>
      </c>
      <c r="P1766" s="0" t="n">
        <v>3.98</v>
      </c>
      <c r="Q1766" s="0" t="n">
        <v>2.54</v>
      </c>
      <c r="R1766" s="0" t="n">
        <v>5477</v>
      </c>
      <c r="S1766" s="0" t="n">
        <v>11010</v>
      </c>
      <c r="U1766" s="0" t="n">
        <v>736</v>
      </c>
      <c r="V1766" s="0" t="n">
        <v>0</v>
      </c>
      <c r="W1766" s="39" t="n">
        <f aca="false">IF(I1766="Male",0,1)</f>
        <v>1</v>
      </c>
      <c r="X1766" s="39" t="n">
        <f aca="false">IF(OR(I1766="DNB",I1766="Dry DNB"),1,0)</f>
        <v>0</v>
      </c>
      <c r="Y1766" s="39" t="n">
        <f aca="false">MATCH(A1766,DATAS,0)</f>
        <v>1</v>
      </c>
      <c r="Z1766" s="39" t="n">
        <f aca="false">IF(AND(E1766&gt;0,OR(AND(B1766&gt;=1,B1766&lt;=6),B1766=10)),1,0)</f>
        <v>1</v>
      </c>
      <c r="AA1766" s="39" t="n">
        <f aca="false">IF(AND(E1766&gt;0,B1766=10),1,0)</f>
        <v>0</v>
      </c>
      <c r="AB1766" s="0" t="str">
        <f aca="false">IF(AND(C1765=C1766,Y1765=Y1766-1),Z1765,"")</f>
        <v/>
      </c>
      <c r="AC1766" s="0" t="str">
        <f aca="false">IF(AND(C1765=C1766,Y1765=Y1766-1),AA1765,"")</f>
        <v/>
      </c>
      <c r="AD1766" s="0" t="str">
        <f aca="false">IF(Y1766=1,"",IF(AND(Z1766=1,AB1766&lt;&gt;1),1,0))</f>
        <v/>
      </c>
      <c r="AE1766" s="0" t="str">
        <f aca="false">IF(Y1766=1,"",IF(AND(AA1766=1,AC1766&lt;&gt;1),1,0))</f>
        <v/>
      </c>
      <c r="AF1766" s="45" t="str">
        <f aca="false">IF(AND(E1766&gt;0,Y1766&lt;1,NOT(AND(C1767=C1766,Y1767=Y1766+1))),INDEX(DATAS,Y1766+1),"")</f>
        <v/>
      </c>
      <c r="AG1766" s="45" t="str">
        <f aca="false">IF(AND(AA1766=1,Y1766&lt;1),IF(AND(C1767=C1766,Y1767=Y1766+1),IF(AA1767=1,"",INDEX(DATAS,Y1766+1)),INDEX(DATAS,Y1766+1)),"")</f>
        <v/>
      </c>
    </row>
    <row r="1767" customFormat="false" ht="15" hidden="false" customHeight="false" outlineLevel="0" collapsed="false">
      <c r="A1767" s="45" t="n">
        <v>46309</v>
      </c>
      <c r="B1767" s="0" t="n">
        <v>1</v>
      </c>
      <c r="C1767" s="0" t="n">
        <v>5955</v>
      </c>
      <c r="D1767" s="0" t="n">
        <v>65</v>
      </c>
      <c r="E1767" s="0" t="n">
        <v>1</v>
      </c>
      <c r="F1767" s="39" t="s">
        <v>1016</v>
      </c>
      <c r="G1767" s="0" t="n">
        <v>45.9</v>
      </c>
      <c r="H1767" s="0" t="n">
        <v>50</v>
      </c>
      <c r="I1767" s="39" t="s">
        <v>146</v>
      </c>
      <c r="J1767" s="0" t="n">
        <v>65</v>
      </c>
      <c r="P1767" s="0" t="n">
        <v>3.29</v>
      </c>
      <c r="Q1767" s="0" t="n">
        <v>3.04</v>
      </c>
      <c r="R1767" s="0" t="n">
        <v>4392</v>
      </c>
      <c r="S1767" s="0" t="n">
        <v>8829</v>
      </c>
      <c r="U1767" s="0" t="n">
        <v>735</v>
      </c>
      <c r="V1767" s="0" t="n">
        <v>0</v>
      </c>
      <c r="W1767" s="39" t="n">
        <f aca="false">IF(I1767="Male",0,1)</f>
        <v>1</v>
      </c>
      <c r="X1767" s="39" t="n">
        <f aca="false">IF(OR(I1767="DNB",I1767="Dry DNB"),1,0)</f>
        <v>0</v>
      </c>
      <c r="Y1767" s="39" t="n">
        <f aca="false">MATCH(A1767,DATAS,0)</f>
        <v>1</v>
      </c>
      <c r="Z1767" s="39" t="n">
        <f aca="false">IF(AND(E1767&gt;0,OR(AND(B1767&gt;=1,B1767&lt;=6),B1767=10)),1,0)</f>
        <v>1</v>
      </c>
      <c r="AA1767" s="39" t="n">
        <f aca="false">IF(AND(E1767&gt;0,B1767=10),1,0)</f>
        <v>0</v>
      </c>
      <c r="AB1767" s="0" t="str">
        <f aca="false">IF(AND(C1766=C1767,Y1766=Y1767-1),Z1766,"")</f>
        <v/>
      </c>
      <c r="AC1767" s="0" t="str">
        <f aca="false">IF(AND(C1766=C1767,Y1766=Y1767-1),AA1766,"")</f>
        <v/>
      </c>
      <c r="AD1767" s="0" t="str">
        <f aca="false">IF(Y1767=1,"",IF(AND(Z1767=1,AB1767&lt;&gt;1),1,0))</f>
        <v/>
      </c>
      <c r="AE1767" s="0" t="str">
        <f aca="false">IF(Y1767=1,"",IF(AND(AA1767=1,AC1767&lt;&gt;1),1,0))</f>
        <v/>
      </c>
      <c r="AF1767" s="45" t="str">
        <f aca="false">IF(AND(E1767&gt;0,Y1767&lt;1,NOT(AND(C1768=C1767,Y1768=Y1767+1))),INDEX(DATAS,Y1767+1),"")</f>
        <v/>
      </c>
      <c r="AG1767" s="45" t="str">
        <f aca="false">IF(AND(AA1767=1,Y1767&lt;1),IF(AND(C1768=C1767,Y1768=Y1767+1),IF(AA1768=1,"",INDEX(DATAS,Y1767+1)),INDEX(DATAS,Y1767+1)),"")</f>
        <v/>
      </c>
    </row>
    <row r="1768" customFormat="false" ht="15" hidden="false" customHeight="false" outlineLevel="0" collapsed="false">
      <c r="A1768" s="45" t="n">
        <v>46309</v>
      </c>
      <c r="B1768" s="0" t="n">
        <v>8</v>
      </c>
      <c r="C1768" s="0" t="n">
        <v>5956</v>
      </c>
      <c r="E1768" s="0" t="n">
        <v>0</v>
      </c>
      <c r="F1768" s="39" t="s">
        <v>1016</v>
      </c>
      <c r="I1768" s="39" t="s">
        <v>109</v>
      </c>
      <c r="L1768" s="0" t="n">
        <v>152</v>
      </c>
      <c r="U1768" s="0" t="n">
        <v>735</v>
      </c>
      <c r="V1768" s="0" t="n">
        <v>4</v>
      </c>
      <c r="W1768" s="39" t="n">
        <f aca="false">IF(I1768="Male",0,1)</f>
        <v>1</v>
      </c>
      <c r="X1768" s="39" t="n">
        <f aca="false">IF(OR(I1768="DNB",I1768="Dry DNB"),1,0)</f>
        <v>0</v>
      </c>
      <c r="Y1768" s="39" t="n">
        <f aca="false">MATCH(A1768,DATAS,0)</f>
        <v>1</v>
      </c>
      <c r="Z1768" s="39" t="n">
        <f aca="false">IF(AND(E1768&gt;0,OR(AND(B1768&gt;=1,B1768&lt;=6),B1768=10)),1,0)</f>
        <v>0</v>
      </c>
      <c r="AA1768" s="39" t="n">
        <f aca="false">IF(AND(E1768&gt;0,B1768=10),1,0)</f>
        <v>0</v>
      </c>
      <c r="AB1768" s="0" t="str">
        <f aca="false">IF(AND(C1767=C1768,Y1767=Y1768-1),Z1767,"")</f>
        <v/>
      </c>
      <c r="AC1768" s="0" t="str">
        <f aca="false">IF(AND(C1767=C1768,Y1767=Y1768-1),AA1767,"")</f>
        <v/>
      </c>
      <c r="AD1768" s="0" t="str">
        <f aca="false">IF(Y1768=1,"",IF(AND(Z1768=1,AB1768&lt;&gt;1),1,0))</f>
        <v/>
      </c>
      <c r="AE1768" s="0" t="str">
        <f aca="false">IF(Y1768=1,"",IF(AND(AA1768=1,AC1768&lt;&gt;1),1,0))</f>
        <v/>
      </c>
      <c r="AF1768" s="45" t="str">
        <f aca="false">IF(AND(E1768&gt;0,Y1768&lt;1,NOT(AND(C1769=C1768,Y1769=Y1768+1))),INDEX(DATAS,Y1768+1),"")</f>
        <v/>
      </c>
      <c r="AG1768" s="45" t="str">
        <f aca="false">IF(AND(AA1768=1,Y1768&lt;1),IF(AND(C1769=C1768,Y1769=Y1768+1),IF(AA1769=1,"",INDEX(DATAS,Y1768+1)),INDEX(DATAS,Y1768+1)),"")</f>
        <v/>
      </c>
    </row>
    <row r="1769" customFormat="false" ht="15" hidden="false" customHeight="false" outlineLevel="0" collapsed="false">
      <c r="A1769" s="45" t="n">
        <v>46309</v>
      </c>
      <c r="B1769" s="0" t="n">
        <v>13</v>
      </c>
      <c r="C1769" s="0" t="n">
        <v>5957</v>
      </c>
      <c r="E1769" s="0" t="n">
        <v>0</v>
      </c>
      <c r="F1769" s="39" t="s">
        <v>1016</v>
      </c>
      <c r="I1769" s="39" t="s">
        <v>146</v>
      </c>
      <c r="U1769" s="0" t="n">
        <v>735</v>
      </c>
      <c r="V1769" s="0" t="n">
        <v>0</v>
      </c>
      <c r="W1769" s="39" t="n">
        <f aca="false">IF(I1769="Male",0,1)</f>
        <v>1</v>
      </c>
      <c r="X1769" s="39" t="n">
        <f aca="false">IF(OR(I1769="DNB",I1769="Dry DNB"),1,0)</f>
        <v>0</v>
      </c>
      <c r="Y1769" s="39" t="n">
        <f aca="false">MATCH(A1769,DATAS,0)</f>
        <v>1</v>
      </c>
      <c r="Z1769" s="39" t="n">
        <f aca="false">IF(AND(E1769&gt;0,OR(AND(B1769&gt;=1,B1769&lt;=6),B1769=10)),1,0)</f>
        <v>0</v>
      </c>
      <c r="AA1769" s="39" t="n">
        <f aca="false">IF(AND(E1769&gt;0,B1769=10),1,0)</f>
        <v>0</v>
      </c>
      <c r="AB1769" s="0" t="str">
        <f aca="false">IF(AND(C1768=C1769,Y1768=Y1769-1),Z1768,"")</f>
        <v/>
      </c>
      <c r="AC1769" s="0" t="str">
        <f aca="false">IF(AND(C1768=C1769,Y1768=Y1769-1),AA1768,"")</f>
        <v/>
      </c>
      <c r="AD1769" s="0" t="str">
        <f aca="false">IF(Y1769=1,"",IF(AND(Z1769=1,AB1769&lt;&gt;1),1,0))</f>
        <v/>
      </c>
      <c r="AE1769" s="0" t="str">
        <f aca="false">IF(Y1769=1,"",IF(AND(AA1769=1,AC1769&lt;&gt;1),1,0))</f>
        <v/>
      </c>
      <c r="AF1769" s="45" t="str">
        <f aca="false">IF(AND(E1769&gt;0,Y1769&lt;1,NOT(AND(C1770=C1769,Y1770=Y1769+1))),INDEX(DATAS,Y1769+1),"")</f>
        <v/>
      </c>
      <c r="AG1769" s="45" t="str">
        <f aca="false">IF(AND(AA1769=1,Y1769&lt;1),IF(AND(C1770=C1769,Y1770=Y1769+1),IF(AA1770=1,"",INDEX(DATAS,Y1769+1)),INDEX(DATAS,Y1769+1)),"")</f>
        <v/>
      </c>
    </row>
    <row r="1770" customFormat="false" ht="15" hidden="false" customHeight="false" outlineLevel="0" collapsed="false">
      <c r="A1770" s="45" t="n">
        <v>46309</v>
      </c>
      <c r="B1770" s="0" t="n">
        <v>8</v>
      </c>
      <c r="C1770" s="0" t="n">
        <v>5958</v>
      </c>
      <c r="E1770" s="0" t="n">
        <v>0</v>
      </c>
      <c r="F1770" s="39" t="s">
        <v>1016</v>
      </c>
      <c r="I1770" s="39" t="s">
        <v>109</v>
      </c>
      <c r="L1770" s="0" t="n">
        <v>63</v>
      </c>
      <c r="U1770" s="0" t="n">
        <v>735</v>
      </c>
      <c r="V1770" s="0" t="n">
        <v>12</v>
      </c>
      <c r="W1770" s="39" t="n">
        <f aca="false">IF(I1770="Male",0,1)</f>
        <v>1</v>
      </c>
      <c r="X1770" s="39" t="n">
        <f aca="false">IF(OR(I1770="DNB",I1770="Dry DNB"),1,0)</f>
        <v>0</v>
      </c>
      <c r="Y1770" s="39" t="n">
        <f aca="false">MATCH(A1770,DATAS,0)</f>
        <v>1</v>
      </c>
      <c r="Z1770" s="39" t="n">
        <f aca="false">IF(AND(E1770&gt;0,OR(AND(B1770&gt;=1,B1770&lt;=6),B1770=10)),1,0)</f>
        <v>0</v>
      </c>
      <c r="AA1770" s="39" t="n">
        <f aca="false">IF(AND(E1770&gt;0,B1770=10),1,0)</f>
        <v>0</v>
      </c>
      <c r="AB1770" s="0" t="str">
        <f aca="false">IF(AND(C1769=C1770,Y1769=Y1770-1),Z1769,"")</f>
        <v/>
      </c>
      <c r="AC1770" s="0" t="str">
        <f aca="false">IF(AND(C1769=C1770,Y1769=Y1770-1),AA1769,"")</f>
        <v/>
      </c>
      <c r="AD1770" s="0" t="str">
        <f aca="false">IF(Y1770=1,"",IF(AND(Z1770=1,AB1770&lt;&gt;1),1,0))</f>
        <v/>
      </c>
      <c r="AE1770" s="0" t="str">
        <f aca="false">IF(Y1770=1,"",IF(AND(AA1770=1,AC1770&lt;&gt;1),1,0))</f>
        <v/>
      </c>
      <c r="AF1770" s="45" t="str">
        <f aca="false">IF(AND(E1770&gt;0,Y1770&lt;1,NOT(AND(C1771=C1770,Y1771=Y1770+1))),INDEX(DATAS,Y1770+1),"")</f>
        <v/>
      </c>
      <c r="AG1770" s="45" t="str">
        <f aca="false">IF(AND(AA1770=1,Y1770&lt;1),IF(AND(C1771=C1770,Y1771=Y1770+1),IF(AA1771=1,"",INDEX(DATAS,Y1770+1)),INDEX(DATAS,Y1770+1)),"")</f>
        <v/>
      </c>
    </row>
    <row r="1771" customFormat="false" ht="15" hidden="false" customHeight="false" outlineLevel="0" collapsed="false">
      <c r="A1771" s="45" t="n">
        <v>46309</v>
      </c>
      <c r="B1771" s="0" t="n">
        <v>1</v>
      </c>
      <c r="C1771" s="0" t="n">
        <v>5959</v>
      </c>
      <c r="D1771" s="0" t="n">
        <v>90</v>
      </c>
      <c r="E1771" s="0" t="n">
        <v>1</v>
      </c>
      <c r="F1771" s="39" t="s">
        <v>1016</v>
      </c>
      <c r="G1771" s="0" t="n">
        <v>56.7</v>
      </c>
      <c r="H1771" s="0" t="n">
        <v>57</v>
      </c>
      <c r="I1771" s="39" t="s">
        <v>138</v>
      </c>
      <c r="J1771" s="0" t="n">
        <v>90</v>
      </c>
      <c r="K1771" s="0" t="n">
        <v>69</v>
      </c>
      <c r="P1771" s="0" t="n">
        <v>3.37</v>
      </c>
      <c r="Q1771" s="0" t="n">
        <v>3.08</v>
      </c>
      <c r="R1771" s="0" t="n">
        <v>4891</v>
      </c>
      <c r="S1771" s="0" t="n">
        <v>9833</v>
      </c>
      <c r="U1771" s="0" t="n">
        <v>735</v>
      </c>
      <c r="V1771" s="0" t="n">
        <v>2</v>
      </c>
      <c r="W1771" s="39" t="n">
        <f aca="false">IF(I1771="Male",0,1)</f>
        <v>1</v>
      </c>
      <c r="X1771" s="39" t="n">
        <f aca="false">IF(OR(I1771="DNB",I1771="Dry DNB"),1,0)</f>
        <v>0</v>
      </c>
      <c r="Y1771" s="39" t="n">
        <f aca="false">MATCH(A1771,DATAS,0)</f>
        <v>1</v>
      </c>
      <c r="Z1771" s="39" t="n">
        <f aca="false">IF(AND(E1771&gt;0,OR(AND(B1771&gt;=1,B1771&lt;=6),B1771=10)),1,0)</f>
        <v>1</v>
      </c>
      <c r="AA1771" s="39" t="n">
        <f aca="false">IF(AND(E1771&gt;0,B1771=10),1,0)</f>
        <v>0</v>
      </c>
      <c r="AB1771" s="0" t="str">
        <f aca="false">IF(AND(C1770=C1771,Y1770=Y1771-1),Z1770,"")</f>
        <v/>
      </c>
      <c r="AC1771" s="0" t="str">
        <f aca="false">IF(AND(C1770=C1771,Y1770=Y1771-1),AA1770,"")</f>
        <v/>
      </c>
      <c r="AD1771" s="0" t="str">
        <f aca="false">IF(Y1771=1,"",IF(AND(Z1771=1,AB1771&lt;&gt;1),1,0))</f>
        <v/>
      </c>
      <c r="AE1771" s="0" t="str">
        <f aca="false">IF(Y1771=1,"",IF(AND(AA1771=1,AC1771&lt;&gt;1),1,0))</f>
        <v/>
      </c>
      <c r="AF1771" s="45" t="str">
        <f aca="false">IF(AND(E1771&gt;0,Y1771&lt;1,NOT(AND(C1772=C1771,Y1772=Y1771+1))),INDEX(DATAS,Y1771+1),"")</f>
        <v/>
      </c>
      <c r="AG1771" s="45" t="str">
        <f aca="false">IF(AND(AA1771=1,Y1771&lt;1),IF(AND(C1772=C1771,Y1772=Y1771+1),IF(AA1772=1,"",INDEX(DATAS,Y1771+1)),INDEX(DATAS,Y1771+1)),"")</f>
        <v/>
      </c>
    </row>
    <row r="1772" customFormat="false" ht="15" hidden="false" customHeight="false" outlineLevel="0" collapsed="false">
      <c r="A1772" s="45" t="n">
        <v>46309</v>
      </c>
      <c r="B1772" s="0" t="n">
        <v>1</v>
      </c>
      <c r="C1772" s="0" t="n">
        <v>5960</v>
      </c>
      <c r="D1772" s="0" t="n">
        <v>48</v>
      </c>
      <c r="E1772" s="0" t="n">
        <v>1</v>
      </c>
      <c r="F1772" s="39" t="s">
        <v>1017</v>
      </c>
      <c r="G1772" s="0" t="n">
        <v>52</v>
      </c>
      <c r="H1772" s="0" t="n">
        <v>50</v>
      </c>
      <c r="I1772" s="39" t="s">
        <v>118</v>
      </c>
      <c r="J1772" s="0" t="n">
        <v>48</v>
      </c>
      <c r="P1772" s="0" t="n">
        <v>3.6</v>
      </c>
      <c r="Q1772" s="0" t="n">
        <v>3.17</v>
      </c>
      <c r="R1772" s="0" t="n">
        <v>3930</v>
      </c>
      <c r="S1772" s="0" t="n">
        <v>7900</v>
      </c>
      <c r="U1772" s="0" t="n">
        <v>734</v>
      </c>
      <c r="V1772" s="0" t="n">
        <v>0</v>
      </c>
      <c r="W1772" s="39" t="n">
        <f aca="false">IF(I1772="Male",0,1)</f>
        <v>1</v>
      </c>
      <c r="X1772" s="39" t="n">
        <f aca="false">IF(OR(I1772="DNB",I1772="Dry DNB"),1,0)</f>
        <v>0</v>
      </c>
      <c r="Y1772" s="39" t="n">
        <f aca="false">MATCH(A1772,DATAS,0)</f>
        <v>1</v>
      </c>
      <c r="Z1772" s="39" t="n">
        <f aca="false">IF(AND(E1772&gt;0,OR(AND(B1772&gt;=1,B1772&lt;=6),B1772=10)),1,0)</f>
        <v>1</v>
      </c>
      <c r="AA1772" s="39" t="n">
        <f aca="false">IF(AND(E1772&gt;0,B1772=10),1,0)</f>
        <v>0</v>
      </c>
      <c r="AB1772" s="0" t="str">
        <f aca="false">IF(AND(C1771=C1772,Y1771=Y1772-1),Z1771,"")</f>
        <v/>
      </c>
      <c r="AC1772" s="0" t="str">
        <f aca="false">IF(AND(C1771=C1772,Y1771=Y1772-1),AA1771,"")</f>
        <v/>
      </c>
      <c r="AD1772" s="0" t="str">
        <f aca="false">IF(Y1772=1,"",IF(AND(Z1772=1,AB1772&lt;&gt;1),1,0))</f>
        <v/>
      </c>
      <c r="AE1772" s="0" t="str">
        <f aca="false">IF(Y1772=1,"",IF(AND(AA1772=1,AC1772&lt;&gt;1),1,0))</f>
        <v/>
      </c>
      <c r="AF1772" s="45" t="str">
        <f aca="false">IF(AND(E1772&gt;0,Y1772&lt;1,NOT(AND(C1773=C1772,Y1773=Y1772+1))),INDEX(DATAS,Y1772+1),"")</f>
        <v/>
      </c>
      <c r="AG1772" s="45" t="str">
        <f aca="false">IF(AND(AA1772=1,Y1772&lt;1),IF(AND(C1773=C1772,Y1773=Y1772+1),IF(AA1773=1,"",INDEX(DATAS,Y1772+1)),INDEX(DATAS,Y1772+1)),"")</f>
        <v/>
      </c>
    </row>
    <row r="1773" customFormat="false" ht="15" hidden="false" customHeight="false" outlineLevel="0" collapsed="false">
      <c r="A1773" s="45" t="n">
        <v>46309</v>
      </c>
      <c r="B1773" s="0" t="n">
        <v>1</v>
      </c>
      <c r="C1773" s="0" t="n">
        <v>5961</v>
      </c>
      <c r="D1773" s="0" t="n">
        <v>49</v>
      </c>
      <c r="E1773" s="0" t="n">
        <v>1</v>
      </c>
      <c r="F1773" s="39" t="s">
        <v>1017</v>
      </c>
      <c r="G1773" s="0" t="n">
        <v>46.4</v>
      </c>
      <c r="H1773" s="0" t="n">
        <v>47</v>
      </c>
      <c r="I1773" s="39" t="s">
        <v>118</v>
      </c>
      <c r="J1773" s="0" t="n">
        <v>49</v>
      </c>
      <c r="P1773" s="0" t="n">
        <v>4.02</v>
      </c>
      <c r="Q1773" s="0" t="n">
        <v>2.92</v>
      </c>
      <c r="R1773" s="0" t="n">
        <v>4153</v>
      </c>
      <c r="S1773" s="0" t="n">
        <v>8348</v>
      </c>
      <c r="U1773" s="0" t="n">
        <v>734</v>
      </c>
      <c r="V1773" s="0" t="n">
        <v>0</v>
      </c>
      <c r="W1773" s="39" t="n">
        <f aca="false">IF(I1773="Male",0,1)</f>
        <v>1</v>
      </c>
      <c r="X1773" s="39" t="n">
        <f aca="false">IF(OR(I1773="DNB",I1773="Dry DNB"),1,0)</f>
        <v>0</v>
      </c>
      <c r="Y1773" s="39" t="n">
        <f aca="false">MATCH(A1773,DATAS,0)</f>
        <v>1</v>
      </c>
      <c r="Z1773" s="39" t="n">
        <f aca="false">IF(AND(E1773&gt;0,OR(AND(B1773&gt;=1,B1773&lt;=6),B1773=10)),1,0)</f>
        <v>1</v>
      </c>
      <c r="AA1773" s="39" t="n">
        <f aca="false">IF(AND(E1773&gt;0,B1773=10),1,0)</f>
        <v>0</v>
      </c>
      <c r="AB1773" s="0" t="str">
        <f aca="false">IF(AND(C1772=C1773,Y1772=Y1773-1),Z1772,"")</f>
        <v/>
      </c>
      <c r="AC1773" s="0" t="str">
        <f aca="false">IF(AND(C1772=C1773,Y1772=Y1773-1),AA1772,"")</f>
        <v/>
      </c>
      <c r="AD1773" s="0" t="str">
        <f aca="false">IF(Y1773=1,"",IF(AND(Z1773=1,AB1773&lt;&gt;1),1,0))</f>
        <v/>
      </c>
      <c r="AE1773" s="0" t="str">
        <f aca="false">IF(Y1773=1,"",IF(AND(AA1773=1,AC1773&lt;&gt;1),1,0))</f>
        <v/>
      </c>
      <c r="AF1773" s="45" t="str">
        <f aca="false">IF(AND(E1773&gt;0,Y1773&lt;1,NOT(AND(C1774=C1773,Y1774=Y1773+1))),INDEX(DATAS,Y1773+1),"")</f>
        <v/>
      </c>
      <c r="AG1773" s="45" t="str">
        <f aca="false">IF(AND(AA1773=1,Y1773&lt;1),IF(AND(C1774=C1773,Y1774=Y1773+1),IF(AA1774=1,"",INDEX(DATAS,Y1773+1)),INDEX(DATAS,Y1773+1)),"")</f>
        <v/>
      </c>
    </row>
    <row r="1774" customFormat="false" ht="15" hidden="false" customHeight="false" outlineLevel="0" collapsed="false">
      <c r="A1774" s="45" t="n">
        <v>46309</v>
      </c>
      <c r="B1774" s="0" t="n">
        <v>14</v>
      </c>
      <c r="C1774" s="0" t="n">
        <v>5962</v>
      </c>
      <c r="E1774" s="0" t="n">
        <v>0</v>
      </c>
      <c r="F1774" s="39" t="s">
        <v>1017</v>
      </c>
      <c r="I1774" s="39" t="s">
        <v>109</v>
      </c>
      <c r="L1774" s="0" t="n">
        <v>259</v>
      </c>
      <c r="U1774" s="0" t="n">
        <v>734</v>
      </c>
      <c r="V1774" s="0" t="n">
        <v>4</v>
      </c>
      <c r="W1774" s="39" t="n">
        <f aca="false">IF(I1774="Male",0,1)</f>
        <v>1</v>
      </c>
      <c r="X1774" s="39" t="n">
        <f aca="false">IF(OR(I1774="DNB",I1774="Dry DNB"),1,0)</f>
        <v>0</v>
      </c>
      <c r="Y1774" s="39" t="n">
        <f aca="false">MATCH(A1774,DATAS,0)</f>
        <v>1</v>
      </c>
      <c r="Z1774" s="39" t="n">
        <f aca="false">IF(AND(E1774&gt;0,OR(AND(B1774&gt;=1,B1774&lt;=6),B1774=10)),1,0)</f>
        <v>0</v>
      </c>
      <c r="AA1774" s="39" t="n">
        <f aca="false">IF(AND(E1774&gt;0,B1774=10),1,0)</f>
        <v>0</v>
      </c>
      <c r="AB1774" s="0" t="str">
        <f aca="false">IF(AND(C1773=C1774,Y1773=Y1774-1),Z1773,"")</f>
        <v/>
      </c>
      <c r="AC1774" s="0" t="str">
        <f aca="false">IF(AND(C1773=C1774,Y1773=Y1774-1),AA1773,"")</f>
        <v/>
      </c>
      <c r="AD1774" s="0" t="str">
        <f aca="false">IF(Y1774=1,"",IF(AND(Z1774=1,AB1774&lt;&gt;1),1,0))</f>
        <v/>
      </c>
      <c r="AE1774" s="0" t="str">
        <f aca="false">IF(Y1774=1,"",IF(AND(AA1774=1,AC1774&lt;&gt;1),1,0))</f>
        <v/>
      </c>
      <c r="AF1774" s="45" t="str">
        <f aca="false">IF(AND(E1774&gt;0,Y1774&lt;1,NOT(AND(C1775=C1774,Y1775=Y1774+1))),INDEX(DATAS,Y1774+1),"")</f>
        <v/>
      </c>
      <c r="AG1774" s="45" t="str">
        <f aca="false">IF(AND(AA1774=1,Y1774&lt;1),IF(AND(C1775=C1774,Y1775=Y1774+1),IF(AA1775=1,"",INDEX(DATAS,Y1774+1)),INDEX(DATAS,Y1774+1)),"")</f>
        <v/>
      </c>
    </row>
    <row r="1775" customFormat="false" ht="15" hidden="false" customHeight="false" outlineLevel="0" collapsed="false">
      <c r="A1775" s="45" t="n">
        <v>46309</v>
      </c>
      <c r="B1775" s="0" t="n">
        <v>8</v>
      </c>
      <c r="C1775" s="0" t="n">
        <v>5963</v>
      </c>
      <c r="E1775" s="0" t="n">
        <v>0</v>
      </c>
      <c r="F1775" s="39" t="s">
        <v>1017</v>
      </c>
      <c r="I1775" s="39" t="s">
        <v>109</v>
      </c>
      <c r="L1775" s="0" t="n">
        <v>205</v>
      </c>
      <c r="U1775" s="0" t="n">
        <v>734</v>
      </c>
      <c r="V1775" s="0" t="n">
        <v>7</v>
      </c>
      <c r="W1775" s="39" t="n">
        <f aca="false">IF(I1775="Male",0,1)</f>
        <v>1</v>
      </c>
      <c r="X1775" s="39" t="n">
        <f aca="false">IF(OR(I1775="DNB",I1775="Dry DNB"),1,0)</f>
        <v>0</v>
      </c>
      <c r="Y1775" s="39" t="n">
        <f aca="false">MATCH(A1775,DATAS,0)</f>
        <v>1</v>
      </c>
      <c r="Z1775" s="39" t="n">
        <f aca="false">IF(AND(E1775&gt;0,OR(AND(B1775&gt;=1,B1775&lt;=6),B1775=10)),1,0)</f>
        <v>0</v>
      </c>
      <c r="AA1775" s="39" t="n">
        <f aca="false">IF(AND(E1775&gt;0,B1775=10),1,0)</f>
        <v>0</v>
      </c>
      <c r="AB1775" s="0" t="str">
        <f aca="false">IF(AND(C1774=C1775,Y1774=Y1775-1),Z1774,"")</f>
        <v/>
      </c>
      <c r="AC1775" s="0" t="str">
        <f aca="false">IF(AND(C1774=C1775,Y1774=Y1775-1),AA1774,"")</f>
        <v/>
      </c>
      <c r="AD1775" s="0" t="str">
        <f aca="false">IF(Y1775=1,"",IF(AND(Z1775=1,AB1775&lt;&gt;1),1,0))</f>
        <v/>
      </c>
      <c r="AE1775" s="0" t="str">
        <f aca="false">IF(Y1775=1,"",IF(AND(AA1775=1,AC1775&lt;&gt;1),1,0))</f>
        <v/>
      </c>
      <c r="AF1775" s="45" t="str">
        <f aca="false">IF(AND(E1775&gt;0,Y1775&lt;1,NOT(AND(C1776=C1775,Y1776=Y1775+1))),INDEX(DATAS,Y1775+1),"")</f>
        <v/>
      </c>
      <c r="AG1775" s="45" t="str">
        <f aca="false">IF(AND(AA1775=1,Y1775&lt;1),IF(AND(C1776=C1775,Y1776=Y1775+1),IF(AA1776=1,"",INDEX(DATAS,Y1775+1)),INDEX(DATAS,Y1775+1)),"")</f>
        <v/>
      </c>
    </row>
    <row r="1776" customFormat="false" ht="15" hidden="false" customHeight="false" outlineLevel="0" collapsed="false">
      <c r="A1776" s="45" t="n">
        <v>46309</v>
      </c>
      <c r="B1776" s="0" t="n">
        <v>1</v>
      </c>
      <c r="C1776" s="0" t="n">
        <v>5965</v>
      </c>
      <c r="D1776" s="0" t="n">
        <v>19</v>
      </c>
      <c r="E1776" s="0" t="n">
        <v>1</v>
      </c>
      <c r="F1776" s="39" t="s">
        <v>1018</v>
      </c>
      <c r="G1776" s="0" t="n">
        <v>33.3</v>
      </c>
      <c r="H1776" s="0" t="n">
        <v>33</v>
      </c>
      <c r="I1776" s="39" t="s">
        <v>118</v>
      </c>
      <c r="J1776" s="0" t="n">
        <v>19</v>
      </c>
      <c r="R1776" s="0" t="n">
        <v>2848</v>
      </c>
      <c r="S1776" s="0" t="n">
        <v>5726</v>
      </c>
      <c r="U1776" s="0" t="n">
        <v>733</v>
      </c>
      <c r="V1776" s="0" t="n">
        <v>0</v>
      </c>
      <c r="W1776" s="39" t="n">
        <f aca="false">IF(I1776="Male",0,1)</f>
        <v>1</v>
      </c>
      <c r="X1776" s="39" t="n">
        <f aca="false">IF(OR(I1776="DNB",I1776="Dry DNB"),1,0)</f>
        <v>0</v>
      </c>
      <c r="Y1776" s="39" t="n">
        <f aca="false">MATCH(A1776,DATAS,0)</f>
        <v>1</v>
      </c>
      <c r="Z1776" s="39" t="n">
        <f aca="false">IF(AND(E1776&gt;0,OR(AND(B1776&gt;=1,B1776&lt;=6),B1776=10)),1,0)</f>
        <v>1</v>
      </c>
      <c r="AA1776" s="39" t="n">
        <f aca="false">IF(AND(E1776&gt;0,B1776=10),1,0)</f>
        <v>0</v>
      </c>
      <c r="AB1776" s="0" t="str">
        <f aca="false">IF(AND(C1775=C1776,Y1775=Y1776-1),Z1775,"")</f>
        <v/>
      </c>
      <c r="AC1776" s="0" t="str">
        <f aca="false">IF(AND(C1775=C1776,Y1775=Y1776-1),AA1775,"")</f>
        <v/>
      </c>
      <c r="AD1776" s="0" t="str">
        <f aca="false">IF(Y1776=1,"",IF(AND(Z1776=1,AB1776&lt;&gt;1),1,0))</f>
        <v/>
      </c>
      <c r="AE1776" s="0" t="str">
        <f aca="false">IF(Y1776=1,"",IF(AND(AA1776=1,AC1776&lt;&gt;1),1,0))</f>
        <v/>
      </c>
      <c r="AF1776" s="45" t="str">
        <f aca="false">IF(AND(E1776&gt;0,Y1776&lt;1,NOT(AND(C1777=C1776,Y1777=Y1776+1))),INDEX(DATAS,Y1776+1),"")</f>
        <v/>
      </c>
      <c r="AG1776" s="45" t="str">
        <f aca="false">IF(AND(AA1776=1,Y1776&lt;1),IF(AND(C1777=C1776,Y1777=Y1776+1),IF(AA1777=1,"",INDEX(DATAS,Y1776+1)),INDEX(DATAS,Y1776+1)),"")</f>
        <v/>
      </c>
    </row>
    <row r="1777" customFormat="false" ht="15" hidden="false" customHeight="false" outlineLevel="0" collapsed="false">
      <c r="A1777" s="45" t="n">
        <v>46309</v>
      </c>
      <c r="B1777" s="0" t="n">
        <v>1</v>
      </c>
      <c r="C1777" s="0" t="n">
        <v>5966</v>
      </c>
      <c r="D1777" s="0" t="n">
        <v>82</v>
      </c>
      <c r="E1777" s="0" t="n">
        <v>1</v>
      </c>
      <c r="F1777" s="39" t="s">
        <v>1019</v>
      </c>
      <c r="G1777" s="0" t="n">
        <v>52.3</v>
      </c>
      <c r="H1777" s="0" t="n">
        <v>56</v>
      </c>
      <c r="I1777" s="39" t="s">
        <v>138</v>
      </c>
      <c r="J1777" s="0" t="n">
        <v>82</v>
      </c>
      <c r="K1777" s="0" t="n">
        <v>68</v>
      </c>
      <c r="P1777" s="0" t="n">
        <v>3.71</v>
      </c>
      <c r="Q1777" s="0" t="n">
        <v>2.88</v>
      </c>
      <c r="R1777" s="0" t="n">
        <v>4673</v>
      </c>
      <c r="S1777" s="0" t="n">
        <v>9395</v>
      </c>
      <c r="U1777" s="0" t="n">
        <v>732</v>
      </c>
      <c r="V1777" s="0" t="n">
        <v>1</v>
      </c>
      <c r="W1777" s="39" t="n">
        <f aca="false">IF(I1777="Male",0,1)</f>
        <v>1</v>
      </c>
      <c r="X1777" s="39" t="n">
        <f aca="false">IF(OR(I1777="DNB",I1777="Dry DNB"),1,0)</f>
        <v>0</v>
      </c>
      <c r="Y1777" s="39" t="n">
        <f aca="false">MATCH(A1777,DATAS,0)</f>
        <v>1</v>
      </c>
      <c r="Z1777" s="39" t="n">
        <f aca="false">IF(AND(E1777&gt;0,OR(AND(B1777&gt;=1,B1777&lt;=6),B1777=10)),1,0)</f>
        <v>1</v>
      </c>
      <c r="AA1777" s="39" t="n">
        <f aca="false">IF(AND(E1777&gt;0,B1777=10),1,0)</f>
        <v>0</v>
      </c>
      <c r="AB1777" s="0" t="str">
        <f aca="false">IF(AND(C1776=C1777,Y1776=Y1777-1),Z1776,"")</f>
        <v/>
      </c>
      <c r="AC1777" s="0" t="str">
        <f aca="false">IF(AND(C1776=C1777,Y1776=Y1777-1),AA1776,"")</f>
        <v/>
      </c>
      <c r="AD1777" s="0" t="str">
        <f aca="false">IF(Y1777=1,"",IF(AND(Z1777=1,AB1777&lt;&gt;1),1,0))</f>
        <v/>
      </c>
      <c r="AE1777" s="0" t="str">
        <f aca="false">IF(Y1777=1,"",IF(AND(AA1777=1,AC1777&lt;&gt;1),1,0))</f>
        <v/>
      </c>
      <c r="AF1777" s="45" t="str">
        <f aca="false">IF(AND(E1777&gt;0,Y1777&lt;1,NOT(AND(C1778=C1777,Y1778=Y1777+1))),INDEX(DATAS,Y1777+1),"")</f>
        <v/>
      </c>
      <c r="AG1777" s="45" t="str">
        <f aca="false">IF(AND(AA1777=1,Y1777&lt;1),IF(AND(C1778=C1777,Y1778=Y1777+1),IF(AA1778=1,"",INDEX(DATAS,Y1777+1)),INDEX(DATAS,Y1777+1)),"")</f>
        <v/>
      </c>
    </row>
    <row r="1778" customFormat="false" ht="15" hidden="false" customHeight="false" outlineLevel="0" collapsed="false">
      <c r="A1778" s="45" t="n">
        <v>46309</v>
      </c>
      <c r="B1778" s="0" t="n">
        <v>7</v>
      </c>
      <c r="C1778" s="0" t="n">
        <v>5968</v>
      </c>
      <c r="E1778" s="0" t="n">
        <v>0</v>
      </c>
      <c r="F1778" s="39" t="s">
        <v>1019</v>
      </c>
      <c r="I1778" s="39" t="s">
        <v>109</v>
      </c>
      <c r="L1778" s="0" t="n">
        <v>182</v>
      </c>
      <c r="U1778" s="0" t="n">
        <v>732</v>
      </c>
      <c r="V1778" s="0" t="n">
        <v>2</v>
      </c>
      <c r="W1778" s="39" t="n">
        <f aca="false">IF(I1778="Male",0,1)</f>
        <v>1</v>
      </c>
      <c r="X1778" s="39" t="n">
        <f aca="false">IF(OR(I1778="DNB",I1778="Dry DNB"),1,0)</f>
        <v>0</v>
      </c>
      <c r="Y1778" s="39" t="n">
        <f aca="false">MATCH(A1778,DATAS,0)</f>
        <v>1</v>
      </c>
      <c r="Z1778" s="39" t="n">
        <f aca="false">IF(AND(E1778&gt;0,OR(AND(B1778&gt;=1,B1778&lt;=6),B1778=10)),1,0)</f>
        <v>0</v>
      </c>
      <c r="AA1778" s="39" t="n">
        <f aca="false">IF(AND(E1778&gt;0,B1778=10),1,0)</f>
        <v>0</v>
      </c>
      <c r="AB1778" s="0" t="str">
        <f aca="false">IF(AND(C1777=C1778,Y1777=Y1778-1),Z1777,"")</f>
        <v/>
      </c>
      <c r="AC1778" s="0" t="str">
        <f aca="false">IF(AND(C1777=C1778,Y1777=Y1778-1),AA1777,"")</f>
        <v/>
      </c>
      <c r="AD1778" s="0" t="str">
        <f aca="false">IF(Y1778=1,"",IF(AND(Z1778=1,AB1778&lt;&gt;1),1,0))</f>
        <v/>
      </c>
      <c r="AE1778" s="0" t="str">
        <f aca="false">IF(Y1778=1,"",IF(AND(AA1778=1,AC1778&lt;&gt;1),1,0))</f>
        <v/>
      </c>
      <c r="AF1778" s="45" t="str">
        <f aca="false">IF(AND(E1778&gt;0,Y1778&lt;1,NOT(AND(C1779=C1778,Y1779=Y1778+1))),INDEX(DATAS,Y1778+1),"")</f>
        <v/>
      </c>
      <c r="AG1778" s="45" t="str">
        <f aca="false">IF(AND(AA1778=1,Y1778&lt;1),IF(AND(C1779=C1778,Y1779=Y1778+1),IF(AA1779=1,"",INDEX(DATAS,Y1778+1)),INDEX(DATAS,Y1778+1)),"")</f>
        <v/>
      </c>
    </row>
    <row r="1779" customFormat="false" ht="15" hidden="false" customHeight="false" outlineLevel="0" collapsed="false">
      <c r="A1779" s="45" t="n">
        <v>46309</v>
      </c>
      <c r="B1779" s="0" t="n">
        <v>1</v>
      </c>
      <c r="C1779" s="0" t="n">
        <v>5969</v>
      </c>
      <c r="D1779" s="0" t="n">
        <v>15</v>
      </c>
      <c r="E1779" s="0" t="n">
        <v>1</v>
      </c>
      <c r="F1779" s="39" t="s">
        <v>1020</v>
      </c>
      <c r="G1779" s="0" t="n">
        <v>21.6</v>
      </c>
      <c r="H1779" s="0" t="n">
        <v>20</v>
      </c>
      <c r="I1779" s="39" t="s">
        <v>118</v>
      </c>
      <c r="J1779" s="0" t="n">
        <v>15</v>
      </c>
      <c r="R1779" s="0" t="n">
        <v>1849</v>
      </c>
      <c r="S1779" s="0" t="n">
        <v>3717</v>
      </c>
      <c r="U1779" s="0" t="n">
        <v>731</v>
      </c>
      <c r="V1779" s="0" t="n">
        <v>0</v>
      </c>
      <c r="W1779" s="39" t="n">
        <f aca="false">IF(I1779="Male",0,1)</f>
        <v>1</v>
      </c>
      <c r="X1779" s="39" t="n">
        <f aca="false">IF(OR(I1779="DNB",I1779="Dry DNB"),1,0)</f>
        <v>0</v>
      </c>
      <c r="Y1779" s="39" t="n">
        <f aca="false">MATCH(A1779,DATAS,0)</f>
        <v>1</v>
      </c>
      <c r="Z1779" s="39" t="n">
        <f aca="false">IF(AND(E1779&gt;0,OR(AND(B1779&gt;=1,B1779&lt;=6),B1779=10)),1,0)</f>
        <v>1</v>
      </c>
      <c r="AA1779" s="39" t="n">
        <f aca="false">IF(AND(E1779&gt;0,B1779=10),1,0)</f>
        <v>0</v>
      </c>
      <c r="AB1779" s="0" t="str">
        <f aca="false">IF(AND(C1778=C1779,Y1778=Y1779-1),Z1778,"")</f>
        <v/>
      </c>
      <c r="AC1779" s="0" t="str">
        <f aca="false">IF(AND(C1778=C1779,Y1778=Y1779-1),AA1778,"")</f>
        <v/>
      </c>
      <c r="AD1779" s="0" t="str">
        <f aca="false">IF(Y1779=1,"",IF(AND(Z1779=1,AB1779&lt;&gt;1),1,0))</f>
        <v/>
      </c>
      <c r="AE1779" s="0" t="str">
        <f aca="false">IF(Y1779=1,"",IF(AND(AA1779=1,AC1779&lt;&gt;1),1,0))</f>
        <v/>
      </c>
      <c r="AF1779" s="45" t="str">
        <f aca="false">IF(AND(E1779&gt;0,Y1779&lt;1,NOT(AND(C1780=C1779,Y1780=Y1779+1))),INDEX(DATAS,Y1779+1),"")</f>
        <v/>
      </c>
      <c r="AG1779" s="45" t="str">
        <f aca="false">IF(AND(AA1779=1,Y1779&lt;1),IF(AND(C1780=C1779,Y1780=Y1779+1),IF(AA1780=1,"",INDEX(DATAS,Y1779+1)),INDEX(DATAS,Y1779+1)),"")</f>
        <v/>
      </c>
    </row>
    <row r="1780" customFormat="false" ht="15" hidden="false" customHeight="false" outlineLevel="0" collapsed="false">
      <c r="A1780" s="45" t="n">
        <v>46309</v>
      </c>
      <c r="B1780" s="0" t="n">
        <v>1</v>
      </c>
      <c r="C1780" s="0" t="n">
        <v>5971</v>
      </c>
      <c r="D1780" s="0" t="n">
        <v>102</v>
      </c>
      <c r="E1780" s="0" t="n">
        <v>1</v>
      </c>
      <c r="F1780" s="39" t="s">
        <v>1021</v>
      </c>
      <c r="G1780" s="0" t="n">
        <v>59.8</v>
      </c>
      <c r="H1780" s="0" t="n">
        <v>58</v>
      </c>
      <c r="I1780" s="39" t="s">
        <v>109</v>
      </c>
      <c r="J1780" s="0" t="n">
        <v>67</v>
      </c>
      <c r="K1780" s="0" t="n">
        <v>67</v>
      </c>
      <c r="L1780" s="0" t="n">
        <v>35</v>
      </c>
      <c r="P1780" s="0" t="n">
        <v>3.55</v>
      </c>
      <c r="Q1780" s="0" t="n">
        <v>2.95</v>
      </c>
      <c r="R1780" s="0" t="n">
        <v>4699</v>
      </c>
      <c r="S1780" s="0" t="n">
        <v>9492</v>
      </c>
      <c r="T1780" s="0" t="n">
        <v>54</v>
      </c>
      <c r="U1780" s="0" t="n">
        <v>730</v>
      </c>
      <c r="V1780" s="0" t="n">
        <v>1</v>
      </c>
      <c r="W1780" s="39" t="n">
        <f aca="false">IF(I1780="Male",0,1)</f>
        <v>1</v>
      </c>
      <c r="X1780" s="39" t="n">
        <f aca="false">IF(OR(I1780="DNB",I1780="Dry DNB"),1,0)</f>
        <v>0</v>
      </c>
      <c r="Y1780" s="39" t="n">
        <f aca="false">MATCH(A1780,DATAS,0)</f>
        <v>1</v>
      </c>
      <c r="Z1780" s="39" t="n">
        <f aca="false">IF(AND(E1780&gt;0,OR(AND(B1780&gt;=1,B1780&lt;=6),B1780=10)),1,0)</f>
        <v>1</v>
      </c>
      <c r="AA1780" s="39" t="n">
        <f aca="false">IF(AND(E1780&gt;0,B1780=10),1,0)</f>
        <v>0</v>
      </c>
      <c r="AB1780" s="0" t="str">
        <f aca="false">IF(AND(C1779=C1780,Y1779=Y1780-1),Z1779,"")</f>
        <v/>
      </c>
      <c r="AC1780" s="0" t="str">
        <f aca="false">IF(AND(C1779=C1780,Y1779=Y1780-1),AA1779,"")</f>
        <v/>
      </c>
      <c r="AD1780" s="0" t="str">
        <f aca="false">IF(Y1780=1,"",IF(AND(Z1780=1,AB1780&lt;&gt;1),1,0))</f>
        <v/>
      </c>
      <c r="AE1780" s="0" t="str">
        <f aca="false">IF(Y1780=1,"",IF(AND(AA1780=1,AC1780&lt;&gt;1),1,0))</f>
        <v/>
      </c>
      <c r="AF1780" s="45" t="str">
        <f aca="false">IF(AND(E1780&gt;0,Y1780&lt;1,NOT(AND(C1781=C1780,Y1781=Y1780+1))),INDEX(DATAS,Y1780+1),"")</f>
        <v/>
      </c>
      <c r="AG1780" s="45" t="str">
        <f aca="false">IF(AND(AA1780=1,Y1780&lt;1),IF(AND(C1781=C1780,Y1781=Y1780+1),IF(AA1781=1,"",INDEX(DATAS,Y1780+1)),INDEX(DATAS,Y1780+1)),"")</f>
        <v/>
      </c>
    </row>
    <row r="1781" customFormat="false" ht="15" hidden="false" customHeight="false" outlineLevel="0" collapsed="false">
      <c r="A1781" s="45" t="n">
        <v>46309</v>
      </c>
      <c r="B1781" s="0" t="n">
        <v>1</v>
      </c>
      <c r="C1781" s="0" t="n">
        <v>5973</v>
      </c>
      <c r="D1781" s="0" t="n">
        <v>93</v>
      </c>
      <c r="E1781" s="0" t="n">
        <v>1</v>
      </c>
      <c r="F1781" s="39" t="s">
        <v>1021</v>
      </c>
      <c r="G1781" s="0" t="n">
        <v>51.8</v>
      </c>
      <c r="H1781" s="0" t="n">
        <v>54</v>
      </c>
      <c r="I1781" s="39" t="s">
        <v>138</v>
      </c>
      <c r="J1781" s="0" t="n">
        <v>93</v>
      </c>
      <c r="K1781" s="0" t="n">
        <v>65</v>
      </c>
      <c r="P1781" s="0" t="n">
        <v>3.23</v>
      </c>
      <c r="Q1781" s="0" t="n">
        <v>3.44</v>
      </c>
      <c r="R1781" s="0" t="n">
        <v>4858</v>
      </c>
      <c r="S1781" s="0" t="n">
        <v>9766</v>
      </c>
      <c r="T1781" s="0" t="n">
        <v>52.7</v>
      </c>
      <c r="U1781" s="0" t="n">
        <v>730</v>
      </c>
      <c r="V1781" s="0" t="n">
        <v>1</v>
      </c>
      <c r="W1781" s="39" t="n">
        <f aca="false">IF(I1781="Male",0,1)</f>
        <v>1</v>
      </c>
      <c r="X1781" s="39" t="n">
        <f aca="false">IF(OR(I1781="DNB",I1781="Dry DNB"),1,0)</f>
        <v>0</v>
      </c>
      <c r="Y1781" s="39" t="n">
        <f aca="false">MATCH(A1781,DATAS,0)</f>
        <v>1</v>
      </c>
      <c r="Z1781" s="39" t="n">
        <f aca="false">IF(AND(E1781&gt;0,OR(AND(B1781&gt;=1,B1781&lt;=6),B1781=10)),1,0)</f>
        <v>1</v>
      </c>
      <c r="AA1781" s="39" t="n">
        <f aca="false">IF(AND(E1781&gt;0,B1781=10),1,0)</f>
        <v>0</v>
      </c>
      <c r="AB1781" s="0" t="str">
        <f aca="false">IF(AND(C1780=C1781,Y1780=Y1781-1),Z1780,"")</f>
        <v/>
      </c>
      <c r="AC1781" s="0" t="str">
        <f aca="false">IF(AND(C1780=C1781,Y1780=Y1781-1),AA1780,"")</f>
        <v/>
      </c>
      <c r="AD1781" s="0" t="str">
        <f aca="false">IF(Y1781=1,"",IF(AND(Z1781=1,AB1781&lt;&gt;1),1,0))</f>
        <v/>
      </c>
      <c r="AE1781" s="0" t="str">
        <f aca="false">IF(Y1781=1,"",IF(AND(AA1781=1,AC1781&lt;&gt;1),1,0))</f>
        <v/>
      </c>
      <c r="AF1781" s="45" t="str">
        <f aca="false">IF(AND(E1781&gt;0,Y1781&lt;1,NOT(AND(C1782=C1781,Y1782=Y1781+1))),INDEX(DATAS,Y1781+1),"")</f>
        <v/>
      </c>
      <c r="AG1781" s="45" t="str">
        <f aca="false">IF(AND(AA1781=1,Y1781&lt;1),IF(AND(C1782=C1781,Y1782=Y1781+1),IF(AA1782=1,"",INDEX(DATAS,Y1781+1)),INDEX(DATAS,Y1781+1)),"")</f>
        <v/>
      </c>
    </row>
    <row r="1782" customFormat="false" ht="15" hidden="false" customHeight="false" outlineLevel="0" collapsed="false">
      <c r="A1782" s="45" t="n">
        <v>46309</v>
      </c>
      <c r="B1782" s="0" t="n">
        <v>14</v>
      </c>
      <c r="C1782" s="0" t="n">
        <v>5974</v>
      </c>
      <c r="E1782" s="0" t="n">
        <v>0</v>
      </c>
      <c r="F1782" s="39" t="s">
        <v>1021</v>
      </c>
      <c r="I1782" s="39" t="s">
        <v>109</v>
      </c>
      <c r="L1782" s="0" t="n">
        <v>274</v>
      </c>
      <c r="U1782" s="0" t="n">
        <v>730</v>
      </c>
      <c r="V1782" s="0" t="n">
        <v>4</v>
      </c>
      <c r="W1782" s="39" t="n">
        <f aca="false">IF(I1782="Male",0,1)</f>
        <v>1</v>
      </c>
      <c r="X1782" s="39" t="n">
        <f aca="false">IF(OR(I1782="DNB",I1782="Dry DNB"),1,0)</f>
        <v>0</v>
      </c>
      <c r="Y1782" s="39" t="n">
        <f aca="false">MATCH(A1782,DATAS,0)</f>
        <v>1</v>
      </c>
      <c r="Z1782" s="39" t="n">
        <f aca="false">IF(AND(E1782&gt;0,OR(AND(B1782&gt;=1,B1782&lt;=6),B1782=10)),1,0)</f>
        <v>0</v>
      </c>
      <c r="AA1782" s="39" t="n">
        <f aca="false">IF(AND(E1782&gt;0,B1782=10),1,0)</f>
        <v>0</v>
      </c>
      <c r="AB1782" s="0" t="str">
        <f aca="false">IF(AND(C1781=C1782,Y1781=Y1782-1),Z1781,"")</f>
        <v/>
      </c>
      <c r="AC1782" s="0" t="str">
        <f aca="false">IF(AND(C1781=C1782,Y1781=Y1782-1),AA1781,"")</f>
        <v/>
      </c>
      <c r="AD1782" s="0" t="str">
        <f aca="false">IF(Y1782=1,"",IF(AND(Z1782=1,AB1782&lt;&gt;1),1,0))</f>
        <v/>
      </c>
      <c r="AE1782" s="0" t="str">
        <f aca="false">IF(Y1782=1,"",IF(AND(AA1782=1,AC1782&lt;&gt;1),1,0))</f>
        <v/>
      </c>
      <c r="AF1782" s="45" t="str">
        <f aca="false">IF(AND(E1782&gt;0,Y1782&lt;1,NOT(AND(C1783=C1782,Y1783=Y1782+1))),INDEX(DATAS,Y1782+1),"")</f>
        <v/>
      </c>
      <c r="AG1782" s="45" t="str">
        <f aca="false">IF(AND(AA1782=1,Y1782&lt;1),IF(AND(C1783=C1782,Y1783=Y1782+1),IF(AA1783=1,"",INDEX(DATAS,Y1782+1)),INDEX(DATAS,Y1782+1)),"")</f>
        <v/>
      </c>
    </row>
    <row r="1783" customFormat="false" ht="15" hidden="false" customHeight="false" outlineLevel="0" collapsed="false">
      <c r="A1783" s="45" t="n">
        <v>46309</v>
      </c>
      <c r="B1783" s="0" t="n">
        <v>11</v>
      </c>
      <c r="C1783" s="0" t="n">
        <v>5976</v>
      </c>
      <c r="E1783" s="0" t="n">
        <v>0</v>
      </c>
      <c r="F1783" s="39" t="s">
        <v>1022</v>
      </c>
      <c r="I1783" s="39" t="s">
        <v>146</v>
      </c>
      <c r="U1783" s="0" t="n">
        <v>729</v>
      </c>
      <c r="V1783" s="0" t="n">
        <v>10</v>
      </c>
      <c r="W1783" s="39" t="n">
        <f aca="false">IF(I1783="Male",0,1)</f>
        <v>1</v>
      </c>
      <c r="X1783" s="39" t="n">
        <f aca="false">IF(OR(I1783="DNB",I1783="Dry DNB"),1,0)</f>
        <v>0</v>
      </c>
      <c r="Y1783" s="39" t="n">
        <f aca="false">MATCH(A1783,DATAS,0)</f>
        <v>1</v>
      </c>
      <c r="Z1783" s="39" t="n">
        <f aca="false">IF(AND(E1783&gt;0,OR(AND(B1783&gt;=1,B1783&lt;=6),B1783=10)),1,0)</f>
        <v>0</v>
      </c>
      <c r="AA1783" s="39" t="n">
        <f aca="false">IF(AND(E1783&gt;0,B1783=10),1,0)</f>
        <v>0</v>
      </c>
      <c r="AB1783" s="0" t="str">
        <f aca="false">IF(AND(C1782=C1783,Y1782=Y1783-1),Z1782,"")</f>
        <v/>
      </c>
      <c r="AC1783" s="0" t="str">
        <f aca="false">IF(AND(C1782=C1783,Y1782=Y1783-1),AA1782,"")</f>
        <v/>
      </c>
      <c r="AD1783" s="0" t="str">
        <f aca="false">IF(Y1783=1,"",IF(AND(Z1783=1,AB1783&lt;&gt;1),1,0))</f>
        <v/>
      </c>
      <c r="AE1783" s="0" t="str">
        <f aca="false">IF(Y1783=1,"",IF(AND(AA1783=1,AC1783&lt;&gt;1),1,0))</f>
        <v/>
      </c>
      <c r="AF1783" s="45" t="str">
        <f aca="false">IF(AND(E1783&gt;0,Y1783&lt;1,NOT(AND(C1784=C1783,Y1784=Y1783+1))),INDEX(DATAS,Y1783+1),"")</f>
        <v/>
      </c>
      <c r="AG1783" s="45" t="str">
        <f aca="false">IF(AND(AA1783=1,Y1783&lt;1),IF(AND(C1784=C1783,Y1784=Y1783+1),IF(AA1784=1,"",INDEX(DATAS,Y1783+1)),INDEX(DATAS,Y1783+1)),"")</f>
        <v/>
      </c>
    </row>
    <row r="1784" customFormat="false" ht="15" hidden="false" customHeight="false" outlineLevel="0" collapsed="false">
      <c r="A1784" s="45" t="n">
        <v>46309</v>
      </c>
      <c r="B1784" s="0" t="n">
        <v>8</v>
      </c>
      <c r="C1784" s="0" t="n">
        <v>5978</v>
      </c>
      <c r="E1784" s="0" t="n">
        <v>0</v>
      </c>
      <c r="F1784" s="39" t="s">
        <v>1022</v>
      </c>
      <c r="I1784" s="39" t="s">
        <v>109</v>
      </c>
      <c r="L1784" s="0" t="n">
        <v>219</v>
      </c>
      <c r="U1784" s="0" t="n">
        <v>729</v>
      </c>
      <c r="V1784" s="0" t="n">
        <v>5</v>
      </c>
      <c r="W1784" s="39" t="n">
        <f aca="false">IF(I1784="Male",0,1)</f>
        <v>1</v>
      </c>
      <c r="X1784" s="39" t="n">
        <f aca="false">IF(OR(I1784="DNB",I1784="Dry DNB"),1,0)</f>
        <v>0</v>
      </c>
      <c r="Y1784" s="39" t="n">
        <f aca="false">MATCH(A1784,DATAS,0)</f>
        <v>1</v>
      </c>
      <c r="Z1784" s="39" t="n">
        <f aca="false">IF(AND(E1784&gt;0,OR(AND(B1784&gt;=1,B1784&lt;=6),B1784=10)),1,0)</f>
        <v>0</v>
      </c>
      <c r="AA1784" s="39" t="n">
        <f aca="false">IF(AND(E1784&gt;0,B1784=10),1,0)</f>
        <v>0</v>
      </c>
      <c r="AB1784" s="0" t="str">
        <f aca="false">IF(AND(C1783=C1784,Y1783=Y1784-1),Z1783,"")</f>
        <v/>
      </c>
      <c r="AC1784" s="0" t="str">
        <f aca="false">IF(AND(C1783=C1784,Y1783=Y1784-1),AA1783,"")</f>
        <v/>
      </c>
      <c r="AD1784" s="0" t="str">
        <f aca="false">IF(Y1784=1,"",IF(AND(Z1784=1,AB1784&lt;&gt;1),1,0))</f>
        <v/>
      </c>
      <c r="AE1784" s="0" t="str">
        <f aca="false">IF(Y1784=1,"",IF(AND(AA1784=1,AC1784&lt;&gt;1),1,0))</f>
        <v/>
      </c>
      <c r="AF1784" s="45" t="str">
        <f aca="false">IF(AND(E1784&gt;0,Y1784&lt;1,NOT(AND(C1785=C1784,Y1785=Y1784+1))),INDEX(DATAS,Y1784+1),"")</f>
        <v/>
      </c>
      <c r="AG1784" s="45" t="str">
        <f aca="false">IF(AND(AA1784=1,Y1784&lt;1),IF(AND(C1785=C1784,Y1785=Y1784+1),IF(AA1785=1,"",INDEX(DATAS,Y1784+1)),INDEX(DATAS,Y1784+1)),"")</f>
        <v/>
      </c>
    </row>
    <row r="1785" customFormat="false" ht="15" hidden="false" customHeight="false" outlineLevel="0" collapsed="false">
      <c r="A1785" s="45" t="n">
        <v>46309</v>
      </c>
      <c r="B1785" s="0" t="n">
        <v>1</v>
      </c>
      <c r="C1785" s="0" t="n">
        <v>5979</v>
      </c>
      <c r="D1785" s="0" t="n">
        <v>65</v>
      </c>
      <c r="E1785" s="0" t="n">
        <v>1</v>
      </c>
      <c r="F1785" s="39" t="s">
        <v>1023</v>
      </c>
      <c r="H1785" s="0" t="n">
        <v>20</v>
      </c>
      <c r="I1785" s="39" t="s">
        <v>138</v>
      </c>
      <c r="J1785" s="0" t="n">
        <v>65</v>
      </c>
      <c r="K1785" s="0" t="n">
        <v>65</v>
      </c>
      <c r="P1785" s="0" t="n">
        <v>3.95</v>
      </c>
      <c r="Q1785" s="0" t="n">
        <v>3.38</v>
      </c>
      <c r="R1785" s="0" t="n">
        <v>1682</v>
      </c>
      <c r="S1785" s="0" t="n">
        <v>3381</v>
      </c>
      <c r="U1785" s="0" t="n">
        <v>728</v>
      </c>
      <c r="V1785" s="0" t="n">
        <v>1</v>
      </c>
      <c r="W1785" s="39" t="n">
        <f aca="false">IF(I1785="Male",0,1)</f>
        <v>1</v>
      </c>
      <c r="X1785" s="39" t="n">
        <f aca="false">IF(OR(I1785="DNB",I1785="Dry DNB"),1,0)</f>
        <v>0</v>
      </c>
      <c r="Y1785" s="39" t="n">
        <f aca="false">MATCH(A1785,DATAS,0)</f>
        <v>1</v>
      </c>
      <c r="Z1785" s="39" t="n">
        <f aca="false">IF(AND(E1785&gt;0,OR(AND(B1785&gt;=1,B1785&lt;=6),B1785=10)),1,0)</f>
        <v>1</v>
      </c>
      <c r="AA1785" s="39" t="n">
        <f aca="false">IF(AND(E1785&gt;0,B1785=10),1,0)</f>
        <v>0</v>
      </c>
      <c r="AB1785" s="0" t="str">
        <f aca="false">IF(AND(C1784=C1785,Y1784=Y1785-1),Z1784,"")</f>
        <v/>
      </c>
      <c r="AC1785" s="0" t="str">
        <f aca="false">IF(AND(C1784=C1785,Y1784=Y1785-1),AA1784,"")</f>
        <v/>
      </c>
      <c r="AD1785" s="0" t="str">
        <f aca="false">IF(Y1785=1,"",IF(AND(Z1785=1,AB1785&lt;&gt;1),1,0))</f>
        <v/>
      </c>
      <c r="AE1785" s="0" t="str">
        <f aca="false">IF(Y1785=1,"",IF(AND(AA1785=1,AC1785&lt;&gt;1),1,0))</f>
        <v/>
      </c>
      <c r="AF1785" s="45" t="str">
        <f aca="false">IF(AND(E1785&gt;0,Y1785&lt;1,NOT(AND(C1786=C1785,Y1786=Y1785+1))),INDEX(DATAS,Y1785+1),"")</f>
        <v/>
      </c>
      <c r="AG1785" s="45" t="str">
        <f aca="false">IF(AND(AA1785=1,Y1785&lt;1),IF(AND(C1786=C1785,Y1786=Y1785+1),IF(AA1786=1,"",INDEX(DATAS,Y1785+1)),INDEX(DATAS,Y1785+1)),"")</f>
        <v/>
      </c>
    </row>
    <row r="1786" customFormat="false" ht="15" hidden="false" customHeight="false" outlineLevel="0" collapsed="false">
      <c r="A1786" s="45" t="n">
        <v>46309</v>
      </c>
      <c r="B1786" s="0" t="n">
        <v>1</v>
      </c>
      <c r="C1786" s="0" t="n">
        <v>5980</v>
      </c>
      <c r="D1786" s="0" t="n">
        <v>51</v>
      </c>
      <c r="E1786" s="0" t="n">
        <v>1</v>
      </c>
      <c r="F1786" s="39" t="s">
        <v>1023</v>
      </c>
      <c r="G1786" s="0" t="n">
        <v>43.9</v>
      </c>
      <c r="H1786" s="0" t="n">
        <v>49</v>
      </c>
      <c r="I1786" s="39" t="s">
        <v>118</v>
      </c>
      <c r="J1786" s="0" t="n">
        <v>51</v>
      </c>
      <c r="P1786" s="0" t="n">
        <v>3.48</v>
      </c>
      <c r="Q1786" s="0" t="n">
        <v>3.18</v>
      </c>
      <c r="R1786" s="0" t="n">
        <v>4137</v>
      </c>
      <c r="S1786" s="0" t="n">
        <v>8317</v>
      </c>
      <c r="U1786" s="0" t="n">
        <v>728</v>
      </c>
      <c r="V1786" s="0" t="n">
        <v>0</v>
      </c>
      <c r="W1786" s="39" t="n">
        <f aca="false">IF(I1786="Male",0,1)</f>
        <v>1</v>
      </c>
      <c r="X1786" s="39" t="n">
        <f aca="false">IF(OR(I1786="DNB",I1786="Dry DNB"),1,0)</f>
        <v>0</v>
      </c>
      <c r="Y1786" s="39" t="n">
        <f aca="false">MATCH(A1786,DATAS,0)</f>
        <v>1</v>
      </c>
      <c r="Z1786" s="39" t="n">
        <f aca="false">IF(AND(E1786&gt;0,OR(AND(B1786&gt;=1,B1786&lt;=6),B1786=10)),1,0)</f>
        <v>1</v>
      </c>
      <c r="AA1786" s="39" t="n">
        <f aca="false">IF(AND(E1786&gt;0,B1786=10),1,0)</f>
        <v>0</v>
      </c>
      <c r="AB1786" s="0" t="str">
        <f aca="false">IF(AND(C1785=C1786,Y1785=Y1786-1),Z1785,"")</f>
        <v/>
      </c>
      <c r="AC1786" s="0" t="str">
        <f aca="false">IF(AND(C1785=C1786,Y1785=Y1786-1),AA1785,"")</f>
        <v/>
      </c>
      <c r="AD1786" s="0" t="str">
        <f aca="false">IF(Y1786=1,"",IF(AND(Z1786=1,AB1786&lt;&gt;1),1,0))</f>
        <v/>
      </c>
      <c r="AE1786" s="0" t="str">
        <f aca="false">IF(Y1786=1,"",IF(AND(AA1786=1,AC1786&lt;&gt;1),1,0))</f>
        <v/>
      </c>
      <c r="AF1786" s="45" t="str">
        <f aca="false">IF(AND(E1786&gt;0,Y1786&lt;1,NOT(AND(C1787=C1786,Y1787=Y1786+1))),INDEX(DATAS,Y1786+1),"")</f>
        <v/>
      </c>
      <c r="AG1786" s="45" t="str">
        <f aca="false">IF(AND(AA1786=1,Y1786&lt;1),IF(AND(C1787=C1786,Y1787=Y1786+1),IF(AA1787=1,"",INDEX(DATAS,Y1786+1)),INDEX(DATAS,Y1786+1)),"")</f>
        <v/>
      </c>
    </row>
    <row r="1787" customFormat="false" ht="15" hidden="false" customHeight="false" outlineLevel="0" collapsed="false">
      <c r="A1787" s="45" t="n">
        <v>46309</v>
      </c>
      <c r="B1787" s="0" t="n">
        <v>1</v>
      </c>
      <c r="C1787" s="0" t="n">
        <v>5983</v>
      </c>
      <c r="D1787" s="0" t="n">
        <v>99</v>
      </c>
      <c r="E1787" s="0" t="n">
        <v>1</v>
      </c>
      <c r="F1787" s="39" t="s">
        <v>1024</v>
      </c>
      <c r="G1787" s="0" t="n">
        <v>50.8</v>
      </c>
      <c r="H1787" s="0" t="n">
        <v>47</v>
      </c>
      <c r="I1787" s="39" t="s">
        <v>146</v>
      </c>
      <c r="J1787" s="0" t="n">
        <v>99</v>
      </c>
      <c r="K1787" s="0" t="n">
        <v>64</v>
      </c>
      <c r="P1787" s="0" t="n">
        <v>3.5</v>
      </c>
      <c r="Q1787" s="0" t="n">
        <v>2.94</v>
      </c>
      <c r="R1787" s="0" t="n">
        <v>4193</v>
      </c>
      <c r="S1787" s="0" t="n">
        <v>8428</v>
      </c>
      <c r="T1787" s="0" t="n">
        <v>47</v>
      </c>
      <c r="U1787" s="0" t="n">
        <v>727</v>
      </c>
      <c r="V1787" s="0" t="n">
        <v>1</v>
      </c>
      <c r="W1787" s="39" t="n">
        <f aca="false">IF(I1787="Male",0,1)</f>
        <v>1</v>
      </c>
      <c r="X1787" s="39" t="n">
        <f aca="false">IF(OR(I1787="DNB",I1787="Dry DNB"),1,0)</f>
        <v>0</v>
      </c>
      <c r="Y1787" s="39" t="n">
        <f aca="false">MATCH(A1787,DATAS,0)</f>
        <v>1</v>
      </c>
      <c r="Z1787" s="39" t="n">
        <f aca="false">IF(AND(E1787&gt;0,OR(AND(B1787&gt;=1,B1787&lt;=6),B1787=10)),1,0)</f>
        <v>1</v>
      </c>
      <c r="AA1787" s="39" t="n">
        <f aca="false">IF(AND(E1787&gt;0,B1787=10),1,0)</f>
        <v>0</v>
      </c>
      <c r="AB1787" s="0" t="str">
        <f aca="false">IF(AND(C1786=C1787,Y1786=Y1787-1),Z1786,"")</f>
        <v/>
      </c>
      <c r="AC1787" s="0" t="str">
        <f aca="false">IF(AND(C1786=C1787,Y1786=Y1787-1),AA1786,"")</f>
        <v/>
      </c>
      <c r="AD1787" s="0" t="str">
        <f aca="false">IF(Y1787=1,"",IF(AND(Z1787=1,AB1787&lt;&gt;1),1,0))</f>
        <v/>
      </c>
      <c r="AE1787" s="0" t="str">
        <f aca="false">IF(Y1787=1,"",IF(AND(AA1787=1,AC1787&lt;&gt;1),1,0))</f>
        <v/>
      </c>
      <c r="AF1787" s="45" t="str">
        <f aca="false">IF(AND(E1787&gt;0,Y1787&lt;1,NOT(AND(C1788=C1787,Y1788=Y1787+1))),INDEX(DATAS,Y1787+1),"")</f>
        <v/>
      </c>
      <c r="AG1787" s="45" t="str">
        <f aca="false">IF(AND(AA1787=1,Y1787&lt;1),IF(AND(C1788=C1787,Y1788=Y1787+1),IF(AA1788=1,"",INDEX(DATAS,Y1787+1)),INDEX(DATAS,Y1787+1)),"")</f>
        <v/>
      </c>
    </row>
    <row r="1788" customFormat="false" ht="15" hidden="false" customHeight="false" outlineLevel="0" collapsed="false">
      <c r="A1788" s="45" t="n">
        <v>46309</v>
      </c>
      <c r="B1788" s="0" t="n">
        <v>7</v>
      </c>
      <c r="C1788" s="0" t="n">
        <v>5984</v>
      </c>
      <c r="E1788" s="0" t="n">
        <v>0</v>
      </c>
      <c r="F1788" s="39" t="s">
        <v>1024</v>
      </c>
      <c r="I1788" s="39" t="s">
        <v>109</v>
      </c>
      <c r="L1788" s="0" t="n">
        <v>203</v>
      </c>
      <c r="U1788" s="0" t="n">
        <v>727</v>
      </c>
      <c r="V1788" s="0" t="n">
        <v>5</v>
      </c>
      <c r="W1788" s="39" t="n">
        <f aca="false">IF(I1788="Male",0,1)</f>
        <v>1</v>
      </c>
      <c r="X1788" s="39" t="n">
        <f aca="false">IF(OR(I1788="DNB",I1788="Dry DNB"),1,0)</f>
        <v>0</v>
      </c>
      <c r="Y1788" s="39" t="n">
        <f aca="false">MATCH(A1788,DATAS,0)</f>
        <v>1</v>
      </c>
      <c r="Z1788" s="39" t="n">
        <f aca="false">IF(AND(E1788&gt;0,OR(AND(B1788&gt;=1,B1788&lt;=6),B1788=10)),1,0)</f>
        <v>0</v>
      </c>
      <c r="AA1788" s="39" t="n">
        <f aca="false">IF(AND(E1788&gt;0,B1788=10),1,0)</f>
        <v>0</v>
      </c>
      <c r="AB1788" s="0" t="str">
        <f aca="false">IF(AND(C1787=C1788,Y1787=Y1788-1),Z1787,"")</f>
        <v/>
      </c>
      <c r="AC1788" s="0" t="str">
        <f aca="false">IF(AND(C1787=C1788,Y1787=Y1788-1),AA1787,"")</f>
        <v/>
      </c>
      <c r="AD1788" s="0" t="str">
        <f aca="false">IF(Y1788=1,"",IF(AND(Z1788=1,AB1788&lt;&gt;1),1,0))</f>
        <v/>
      </c>
      <c r="AE1788" s="0" t="str">
        <f aca="false">IF(Y1788=1,"",IF(AND(AA1788=1,AC1788&lt;&gt;1),1,0))</f>
        <v/>
      </c>
      <c r="AF1788" s="45" t="str">
        <f aca="false">IF(AND(E1788&gt;0,Y1788&lt;1,NOT(AND(C1789=C1788,Y1789=Y1788+1))),INDEX(DATAS,Y1788+1),"")</f>
        <v/>
      </c>
      <c r="AG1788" s="45" t="str">
        <f aca="false">IF(AND(AA1788=1,Y1788&lt;1),IF(AND(C1789=C1788,Y1789=Y1788+1),IF(AA1789=1,"",INDEX(DATAS,Y1788+1)),INDEX(DATAS,Y1788+1)),"")</f>
        <v/>
      </c>
    </row>
    <row r="1789" customFormat="false" ht="15" hidden="false" customHeight="false" outlineLevel="0" collapsed="false">
      <c r="A1789" s="45" t="n">
        <v>46309</v>
      </c>
      <c r="B1789" s="0" t="n">
        <v>1</v>
      </c>
      <c r="C1789" s="0" t="n">
        <v>5985</v>
      </c>
      <c r="D1789" s="0" t="n">
        <v>100</v>
      </c>
      <c r="E1789" s="0" t="n">
        <v>1</v>
      </c>
      <c r="F1789" s="39" t="s">
        <v>1024</v>
      </c>
      <c r="G1789" s="0" t="n">
        <v>39.7</v>
      </c>
      <c r="H1789" s="0" t="n">
        <v>40</v>
      </c>
      <c r="I1789" s="39" t="s">
        <v>109</v>
      </c>
      <c r="J1789" s="0" t="n">
        <v>65</v>
      </c>
      <c r="K1789" s="0" t="n">
        <v>65</v>
      </c>
      <c r="L1789" s="0" t="n">
        <v>35</v>
      </c>
      <c r="P1789" s="0" t="n">
        <v>4.1</v>
      </c>
      <c r="Q1789" s="0" t="n">
        <v>3.51</v>
      </c>
      <c r="R1789" s="0" t="n">
        <v>3425</v>
      </c>
      <c r="S1789" s="0" t="n">
        <v>6885</v>
      </c>
      <c r="T1789" s="0" t="n">
        <v>37.55</v>
      </c>
      <c r="U1789" s="0" t="n">
        <v>727</v>
      </c>
      <c r="V1789" s="0" t="n">
        <v>1</v>
      </c>
      <c r="W1789" s="39" t="n">
        <f aca="false">IF(I1789="Male",0,1)</f>
        <v>1</v>
      </c>
      <c r="X1789" s="39" t="n">
        <f aca="false">IF(OR(I1789="DNB",I1789="Dry DNB"),1,0)</f>
        <v>0</v>
      </c>
      <c r="Y1789" s="39" t="n">
        <f aca="false">MATCH(A1789,DATAS,0)</f>
        <v>1</v>
      </c>
      <c r="Z1789" s="39" t="n">
        <f aca="false">IF(AND(E1789&gt;0,OR(AND(B1789&gt;=1,B1789&lt;=6),B1789=10)),1,0)</f>
        <v>1</v>
      </c>
      <c r="AA1789" s="39" t="n">
        <f aca="false">IF(AND(E1789&gt;0,B1789=10),1,0)</f>
        <v>0</v>
      </c>
      <c r="AB1789" s="0" t="str">
        <f aca="false">IF(AND(C1788=C1789,Y1788=Y1789-1),Z1788,"")</f>
        <v/>
      </c>
      <c r="AC1789" s="0" t="str">
        <f aca="false">IF(AND(C1788=C1789,Y1788=Y1789-1),AA1788,"")</f>
        <v/>
      </c>
      <c r="AD1789" s="0" t="str">
        <f aca="false">IF(Y1789=1,"",IF(AND(Z1789=1,AB1789&lt;&gt;1),1,0))</f>
        <v/>
      </c>
      <c r="AE1789" s="0" t="str">
        <f aca="false">IF(Y1789=1,"",IF(AND(AA1789=1,AC1789&lt;&gt;1),1,0))</f>
        <v/>
      </c>
      <c r="AF1789" s="45" t="str">
        <f aca="false">IF(AND(E1789&gt;0,Y1789&lt;1,NOT(AND(C1790=C1789,Y1790=Y1789+1))),INDEX(DATAS,Y1789+1),"")</f>
        <v/>
      </c>
      <c r="AG1789" s="45" t="str">
        <f aca="false">IF(AND(AA1789=1,Y1789&lt;1),IF(AND(C1790=C1789,Y1790=Y1789+1),IF(AA1790=1,"",INDEX(DATAS,Y1789+1)),INDEX(DATAS,Y1789+1)),"")</f>
        <v/>
      </c>
    </row>
    <row r="1790" customFormat="false" ht="15" hidden="false" customHeight="false" outlineLevel="0" collapsed="false">
      <c r="A1790" s="45" t="n">
        <v>46309</v>
      </c>
      <c r="B1790" s="0" t="n">
        <v>1</v>
      </c>
      <c r="C1790" s="0" t="n">
        <v>5986</v>
      </c>
      <c r="D1790" s="0" t="n">
        <v>98</v>
      </c>
      <c r="E1790" s="0" t="n">
        <v>1</v>
      </c>
      <c r="F1790" s="39" t="s">
        <v>1024</v>
      </c>
      <c r="G1790" s="0" t="n">
        <v>44.2</v>
      </c>
      <c r="H1790" s="0" t="n">
        <v>43</v>
      </c>
      <c r="I1790" s="39" t="s">
        <v>109</v>
      </c>
      <c r="J1790" s="0" t="n">
        <v>63</v>
      </c>
      <c r="K1790" s="0" t="n">
        <v>63</v>
      </c>
      <c r="L1790" s="0" t="n">
        <v>35</v>
      </c>
      <c r="P1790" s="0" t="n">
        <v>3.19</v>
      </c>
      <c r="Q1790" s="0" t="n">
        <v>3.22</v>
      </c>
      <c r="R1790" s="0" t="n">
        <v>3494</v>
      </c>
      <c r="S1790" s="0" t="n">
        <v>7023</v>
      </c>
      <c r="T1790" s="0" t="n">
        <v>39.25</v>
      </c>
      <c r="U1790" s="0" t="n">
        <v>727</v>
      </c>
      <c r="V1790" s="0" t="n">
        <v>1</v>
      </c>
      <c r="W1790" s="39" t="n">
        <f aca="false">IF(I1790="Male",0,1)</f>
        <v>1</v>
      </c>
      <c r="X1790" s="39" t="n">
        <f aca="false">IF(OR(I1790="DNB",I1790="Dry DNB"),1,0)</f>
        <v>0</v>
      </c>
      <c r="Y1790" s="39" t="n">
        <f aca="false">MATCH(A1790,DATAS,0)</f>
        <v>1</v>
      </c>
      <c r="Z1790" s="39" t="n">
        <f aca="false">IF(AND(E1790&gt;0,OR(AND(B1790&gt;=1,B1790&lt;=6),B1790=10)),1,0)</f>
        <v>1</v>
      </c>
      <c r="AA1790" s="39" t="n">
        <f aca="false">IF(AND(E1790&gt;0,B1790=10),1,0)</f>
        <v>0</v>
      </c>
      <c r="AB1790" s="0" t="str">
        <f aca="false">IF(AND(C1789=C1790,Y1789=Y1790-1),Z1789,"")</f>
        <v/>
      </c>
      <c r="AC1790" s="0" t="str">
        <f aca="false">IF(AND(C1789=C1790,Y1789=Y1790-1),AA1789,"")</f>
        <v/>
      </c>
      <c r="AD1790" s="0" t="str">
        <f aca="false">IF(Y1790=1,"",IF(AND(Z1790=1,AB1790&lt;&gt;1),1,0))</f>
        <v/>
      </c>
      <c r="AE1790" s="0" t="str">
        <f aca="false">IF(Y1790=1,"",IF(AND(AA1790=1,AC1790&lt;&gt;1),1,0))</f>
        <v/>
      </c>
      <c r="AF1790" s="45" t="str">
        <f aca="false">IF(AND(E1790&gt;0,Y1790&lt;1,NOT(AND(C1791=C1790,Y1791=Y1790+1))),INDEX(DATAS,Y1790+1),"")</f>
        <v/>
      </c>
      <c r="AG1790" s="45" t="str">
        <f aca="false">IF(AND(AA1790=1,Y1790&lt;1),IF(AND(C1791=C1790,Y1791=Y1790+1),IF(AA1791=1,"",INDEX(DATAS,Y1790+1)),INDEX(DATAS,Y1790+1)),"")</f>
        <v/>
      </c>
    </row>
    <row r="1791" customFormat="false" ht="15" hidden="false" customHeight="false" outlineLevel="0" collapsed="false">
      <c r="A1791" s="45" t="n">
        <v>46309</v>
      </c>
      <c r="B1791" s="0" t="n">
        <v>14</v>
      </c>
      <c r="C1791" s="0" t="n">
        <v>5987</v>
      </c>
      <c r="E1791" s="0" t="n">
        <v>0</v>
      </c>
      <c r="F1791" s="39" t="s">
        <v>1025</v>
      </c>
      <c r="I1791" s="39" t="s">
        <v>109</v>
      </c>
      <c r="L1791" s="0" t="n">
        <v>266</v>
      </c>
      <c r="U1791" s="0" t="n">
        <v>726</v>
      </c>
      <c r="V1791" s="0" t="n">
        <v>3</v>
      </c>
      <c r="W1791" s="39" t="n">
        <f aca="false">IF(I1791="Male",0,1)</f>
        <v>1</v>
      </c>
      <c r="X1791" s="39" t="n">
        <f aca="false">IF(OR(I1791="DNB",I1791="Dry DNB"),1,0)</f>
        <v>0</v>
      </c>
      <c r="Y1791" s="39" t="n">
        <f aca="false">MATCH(A1791,DATAS,0)</f>
        <v>1</v>
      </c>
      <c r="Z1791" s="39" t="n">
        <f aca="false">IF(AND(E1791&gt;0,OR(AND(B1791&gt;=1,B1791&lt;=6),B1791=10)),1,0)</f>
        <v>0</v>
      </c>
      <c r="AA1791" s="39" t="n">
        <f aca="false">IF(AND(E1791&gt;0,B1791=10),1,0)</f>
        <v>0</v>
      </c>
      <c r="AB1791" s="0" t="str">
        <f aca="false">IF(AND(C1790=C1791,Y1790=Y1791-1),Z1790,"")</f>
        <v/>
      </c>
      <c r="AC1791" s="0" t="str">
        <f aca="false">IF(AND(C1790=C1791,Y1790=Y1791-1),AA1790,"")</f>
        <v/>
      </c>
      <c r="AD1791" s="0" t="str">
        <f aca="false">IF(Y1791=1,"",IF(AND(Z1791=1,AB1791&lt;&gt;1),1,0))</f>
        <v/>
      </c>
      <c r="AE1791" s="0" t="str">
        <f aca="false">IF(Y1791=1,"",IF(AND(AA1791=1,AC1791&lt;&gt;1),1,0))</f>
        <v/>
      </c>
      <c r="AF1791" s="45" t="str">
        <f aca="false">IF(AND(E1791&gt;0,Y1791&lt;1,NOT(AND(C1792=C1791,Y1792=Y1791+1))),INDEX(DATAS,Y1791+1),"")</f>
        <v/>
      </c>
      <c r="AG1791" s="45" t="str">
        <f aca="false">IF(AND(AA1791=1,Y1791&lt;1),IF(AND(C1792=C1791,Y1792=Y1791+1),IF(AA1792=1,"",INDEX(DATAS,Y1791+1)),INDEX(DATAS,Y1791+1)),"")</f>
        <v/>
      </c>
    </row>
    <row r="1792" customFormat="false" ht="15" hidden="false" customHeight="false" outlineLevel="0" collapsed="false">
      <c r="A1792" s="45" t="n">
        <v>46309</v>
      </c>
      <c r="B1792" s="0" t="n">
        <v>1</v>
      </c>
      <c r="C1792" s="0" t="n">
        <v>5989</v>
      </c>
      <c r="D1792" s="0" t="n">
        <v>98</v>
      </c>
      <c r="E1792" s="0" t="n">
        <v>1</v>
      </c>
      <c r="F1792" s="39" t="s">
        <v>1025</v>
      </c>
      <c r="G1792" s="0" t="n">
        <v>40.8</v>
      </c>
      <c r="H1792" s="0" t="n">
        <v>48</v>
      </c>
      <c r="I1792" s="39" t="s">
        <v>138</v>
      </c>
      <c r="J1792" s="0" t="n">
        <v>98</v>
      </c>
      <c r="K1792" s="0" t="n">
        <v>63</v>
      </c>
      <c r="P1792" s="0" t="n">
        <v>3.76</v>
      </c>
      <c r="Q1792" s="0" t="n">
        <v>2.74</v>
      </c>
      <c r="R1792" s="0" t="n">
        <v>4210</v>
      </c>
      <c r="S1792" s="0" t="n">
        <v>8463</v>
      </c>
      <c r="T1792" s="0" t="n">
        <v>46.95</v>
      </c>
      <c r="U1792" s="0" t="n">
        <v>726</v>
      </c>
      <c r="V1792" s="0" t="n">
        <v>2</v>
      </c>
      <c r="W1792" s="39" t="n">
        <f aca="false">IF(I1792="Male",0,1)</f>
        <v>1</v>
      </c>
      <c r="X1792" s="39" t="n">
        <f aca="false">IF(OR(I1792="DNB",I1792="Dry DNB"),1,0)</f>
        <v>0</v>
      </c>
      <c r="Y1792" s="39" t="n">
        <f aca="false">MATCH(A1792,DATAS,0)</f>
        <v>1</v>
      </c>
      <c r="Z1792" s="39" t="n">
        <f aca="false">IF(AND(E1792&gt;0,OR(AND(B1792&gt;=1,B1792&lt;=6),B1792=10)),1,0)</f>
        <v>1</v>
      </c>
      <c r="AA1792" s="39" t="n">
        <f aca="false">IF(AND(E1792&gt;0,B1792=10),1,0)</f>
        <v>0</v>
      </c>
      <c r="AB1792" s="0" t="str">
        <f aca="false">IF(AND(C1791=C1792,Y1791=Y1792-1),Z1791,"")</f>
        <v/>
      </c>
      <c r="AC1792" s="0" t="str">
        <f aca="false">IF(AND(C1791=C1792,Y1791=Y1792-1),AA1791,"")</f>
        <v/>
      </c>
      <c r="AD1792" s="0" t="str">
        <f aca="false">IF(Y1792=1,"",IF(AND(Z1792=1,AB1792&lt;&gt;1),1,0))</f>
        <v/>
      </c>
      <c r="AE1792" s="0" t="str">
        <f aca="false">IF(Y1792=1,"",IF(AND(AA1792=1,AC1792&lt;&gt;1),1,0))</f>
        <v/>
      </c>
      <c r="AF1792" s="45" t="str">
        <f aca="false">IF(AND(E1792&gt;0,Y1792&lt;1,NOT(AND(C1793=C1792,Y1793=Y1792+1))),INDEX(DATAS,Y1792+1),"")</f>
        <v/>
      </c>
      <c r="AG1792" s="45" t="str">
        <f aca="false">IF(AND(AA1792=1,Y1792&lt;1),IF(AND(C1793=C1792,Y1793=Y1792+1),IF(AA1793=1,"",INDEX(DATAS,Y1792+1)),INDEX(DATAS,Y1792+1)),"")</f>
        <v/>
      </c>
    </row>
    <row r="1793" customFormat="false" ht="15" hidden="false" customHeight="false" outlineLevel="0" collapsed="false">
      <c r="A1793" s="45" t="n">
        <v>46309</v>
      </c>
      <c r="B1793" s="0" t="n">
        <v>1</v>
      </c>
      <c r="C1793" s="0" t="n">
        <v>5991</v>
      </c>
      <c r="D1793" s="0" t="n">
        <v>43</v>
      </c>
      <c r="E1793" s="0" t="n">
        <v>1</v>
      </c>
      <c r="F1793" s="39" t="s">
        <v>1026</v>
      </c>
      <c r="G1793" s="0" t="n">
        <v>46</v>
      </c>
      <c r="H1793" s="0" t="n">
        <v>44</v>
      </c>
      <c r="I1793" s="39" t="s">
        <v>118</v>
      </c>
      <c r="J1793" s="0" t="n">
        <v>43</v>
      </c>
      <c r="P1793" s="0" t="n">
        <v>4.95</v>
      </c>
      <c r="Q1793" s="0" t="n">
        <v>3.74</v>
      </c>
      <c r="R1793" s="0" t="n">
        <v>3927</v>
      </c>
      <c r="S1793" s="0" t="n">
        <v>7895</v>
      </c>
      <c r="U1793" s="0" t="n">
        <v>724</v>
      </c>
      <c r="V1793" s="0" t="n">
        <v>0</v>
      </c>
      <c r="W1793" s="39" t="n">
        <f aca="false">IF(I1793="Male",0,1)</f>
        <v>1</v>
      </c>
      <c r="X1793" s="39" t="n">
        <f aca="false">IF(OR(I1793="DNB",I1793="Dry DNB"),1,0)</f>
        <v>0</v>
      </c>
      <c r="Y1793" s="39" t="n">
        <f aca="false">MATCH(A1793,DATAS,0)</f>
        <v>1</v>
      </c>
      <c r="Z1793" s="39" t="n">
        <f aca="false">IF(AND(E1793&gt;0,OR(AND(B1793&gt;=1,B1793&lt;=6),B1793=10)),1,0)</f>
        <v>1</v>
      </c>
      <c r="AA1793" s="39" t="n">
        <f aca="false">IF(AND(E1793&gt;0,B1793=10),1,0)</f>
        <v>0</v>
      </c>
      <c r="AB1793" s="0" t="str">
        <f aca="false">IF(AND(C1792=C1793,Y1792=Y1793-1),Z1792,"")</f>
        <v/>
      </c>
      <c r="AC1793" s="0" t="str">
        <f aca="false">IF(AND(C1792=C1793,Y1792=Y1793-1),AA1792,"")</f>
        <v/>
      </c>
      <c r="AD1793" s="0" t="str">
        <f aca="false">IF(Y1793=1,"",IF(AND(Z1793=1,AB1793&lt;&gt;1),1,0))</f>
        <v/>
      </c>
      <c r="AE1793" s="0" t="str">
        <f aca="false">IF(Y1793=1,"",IF(AND(AA1793=1,AC1793&lt;&gt;1),1,0))</f>
        <v/>
      </c>
      <c r="AF1793" s="45" t="str">
        <f aca="false">IF(AND(E1793&gt;0,Y1793&lt;1,NOT(AND(C1794=C1793,Y1794=Y1793+1))),INDEX(DATAS,Y1793+1),"")</f>
        <v/>
      </c>
      <c r="AG1793" s="45" t="str">
        <f aca="false">IF(AND(AA1793=1,Y1793&lt;1),IF(AND(C1794=C1793,Y1794=Y1793+1),IF(AA1794=1,"",INDEX(DATAS,Y1793+1)),INDEX(DATAS,Y1793+1)),"")</f>
        <v/>
      </c>
    </row>
    <row r="1794" customFormat="false" ht="15" hidden="false" customHeight="false" outlineLevel="0" collapsed="false">
      <c r="A1794" s="45" t="n">
        <v>46309</v>
      </c>
      <c r="B1794" s="0" t="n">
        <v>1</v>
      </c>
      <c r="C1794" s="0" t="n">
        <v>5993</v>
      </c>
      <c r="D1794" s="0" t="n">
        <v>92</v>
      </c>
      <c r="E1794" s="0" t="n">
        <v>1</v>
      </c>
      <c r="F1794" s="39" t="s">
        <v>1026</v>
      </c>
      <c r="G1794" s="0" t="n">
        <v>56.2</v>
      </c>
      <c r="H1794" s="0" t="n">
        <v>57</v>
      </c>
      <c r="I1794" s="39" t="s">
        <v>138</v>
      </c>
      <c r="J1794" s="0" t="n">
        <v>92</v>
      </c>
      <c r="K1794" s="0" t="n">
        <v>64</v>
      </c>
      <c r="P1794" s="0" t="n">
        <v>3.71</v>
      </c>
      <c r="Q1794" s="0" t="n">
        <v>2.9</v>
      </c>
      <c r="R1794" s="0" t="n">
        <v>4722</v>
      </c>
      <c r="S1794" s="0" t="n">
        <v>9493</v>
      </c>
      <c r="T1794" s="0" t="n">
        <v>50.3</v>
      </c>
      <c r="U1794" s="0" t="n">
        <v>724</v>
      </c>
      <c r="V1794" s="0" t="n">
        <v>1</v>
      </c>
      <c r="W1794" s="39" t="n">
        <f aca="false">IF(I1794="Male",0,1)</f>
        <v>1</v>
      </c>
      <c r="X1794" s="39" t="n">
        <f aca="false">IF(OR(I1794="DNB",I1794="Dry DNB"),1,0)</f>
        <v>0</v>
      </c>
      <c r="Y1794" s="39" t="n">
        <f aca="false">MATCH(A1794,DATAS,0)</f>
        <v>1</v>
      </c>
      <c r="Z1794" s="39" t="n">
        <f aca="false">IF(AND(E1794&gt;0,OR(AND(B1794&gt;=1,B1794&lt;=6),B1794=10)),1,0)</f>
        <v>1</v>
      </c>
      <c r="AA1794" s="39" t="n">
        <f aca="false">IF(AND(E1794&gt;0,B1794=10),1,0)</f>
        <v>0</v>
      </c>
      <c r="AB1794" s="0" t="str">
        <f aca="false">IF(AND(C1793=C1794,Y1793=Y1794-1),Z1793,"")</f>
        <v/>
      </c>
      <c r="AC1794" s="0" t="str">
        <f aca="false">IF(AND(C1793=C1794,Y1793=Y1794-1),AA1793,"")</f>
        <v/>
      </c>
      <c r="AD1794" s="0" t="str">
        <f aca="false">IF(Y1794=1,"",IF(AND(Z1794=1,AB1794&lt;&gt;1),1,0))</f>
        <v/>
      </c>
      <c r="AE1794" s="0" t="str">
        <f aca="false">IF(Y1794=1,"",IF(AND(AA1794=1,AC1794&lt;&gt;1),1,0))</f>
        <v/>
      </c>
      <c r="AF1794" s="45" t="str">
        <f aca="false">IF(AND(E1794&gt;0,Y1794&lt;1,NOT(AND(C1795=C1794,Y1795=Y1794+1))),INDEX(DATAS,Y1794+1),"")</f>
        <v/>
      </c>
      <c r="AG1794" s="45" t="str">
        <f aca="false">IF(AND(AA1794=1,Y1794&lt;1),IF(AND(C1795=C1794,Y1795=Y1794+1),IF(AA1795=1,"",INDEX(DATAS,Y1794+1)),INDEX(DATAS,Y1794+1)),"")</f>
        <v/>
      </c>
    </row>
    <row r="1795" customFormat="false" ht="15" hidden="false" customHeight="false" outlineLevel="0" collapsed="false">
      <c r="A1795" s="45" t="n">
        <v>46309</v>
      </c>
      <c r="B1795" s="0" t="n">
        <v>1</v>
      </c>
      <c r="C1795" s="0" t="n">
        <v>5994</v>
      </c>
      <c r="D1795" s="0" t="n">
        <v>65</v>
      </c>
      <c r="E1795" s="0" t="n">
        <v>1</v>
      </c>
      <c r="F1795" s="39" t="s">
        <v>1026</v>
      </c>
      <c r="G1795" s="0" t="n">
        <v>46.9</v>
      </c>
      <c r="H1795" s="0" t="n">
        <v>44</v>
      </c>
      <c r="I1795" s="39" t="s">
        <v>138</v>
      </c>
      <c r="J1795" s="0" t="n">
        <v>65</v>
      </c>
      <c r="K1795" s="0" t="n">
        <v>65</v>
      </c>
      <c r="P1795" s="0" t="n">
        <v>4.16</v>
      </c>
      <c r="Q1795" s="0" t="n">
        <v>3.17</v>
      </c>
      <c r="R1795" s="0" t="n">
        <v>3856</v>
      </c>
      <c r="S1795" s="0" t="n">
        <v>7752</v>
      </c>
      <c r="U1795" s="0" t="n">
        <v>724</v>
      </c>
      <c r="V1795" s="0" t="n">
        <v>1</v>
      </c>
      <c r="W1795" s="39" t="n">
        <f aca="false">IF(I1795="Male",0,1)</f>
        <v>1</v>
      </c>
      <c r="X1795" s="39" t="n">
        <f aca="false">IF(OR(I1795="DNB",I1795="Dry DNB"),1,0)</f>
        <v>0</v>
      </c>
      <c r="Y1795" s="39" t="n">
        <f aca="false">MATCH(A1795,DATAS,0)</f>
        <v>1</v>
      </c>
      <c r="Z1795" s="39" t="n">
        <f aca="false">IF(AND(E1795&gt;0,OR(AND(B1795&gt;=1,B1795&lt;=6),B1795=10)),1,0)</f>
        <v>1</v>
      </c>
      <c r="AA1795" s="39" t="n">
        <f aca="false">IF(AND(E1795&gt;0,B1795=10),1,0)</f>
        <v>0</v>
      </c>
      <c r="AB1795" s="0" t="str">
        <f aca="false">IF(AND(C1794=C1795,Y1794=Y1795-1),Z1794,"")</f>
        <v/>
      </c>
      <c r="AC1795" s="0" t="str">
        <f aca="false">IF(AND(C1794=C1795,Y1794=Y1795-1),AA1794,"")</f>
        <v/>
      </c>
      <c r="AD1795" s="0" t="str">
        <f aca="false">IF(Y1795=1,"",IF(AND(Z1795=1,AB1795&lt;&gt;1),1,0))</f>
        <v/>
      </c>
      <c r="AE1795" s="0" t="str">
        <f aca="false">IF(Y1795=1,"",IF(AND(AA1795=1,AC1795&lt;&gt;1),1,0))</f>
        <v/>
      </c>
      <c r="AF1795" s="45" t="str">
        <f aca="false">IF(AND(E1795&gt;0,Y1795&lt;1,NOT(AND(C1796=C1795,Y1796=Y1795+1))),INDEX(DATAS,Y1795+1),"")</f>
        <v/>
      </c>
      <c r="AG1795" s="45" t="str">
        <f aca="false">IF(AND(AA1795=1,Y1795&lt;1),IF(AND(C1796=C1795,Y1796=Y1795+1),IF(AA1796=1,"",INDEX(DATAS,Y1795+1)),INDEX(DATAS,Y1795+1)),"")</f>
        <v/>
      </c>
    </row>
    <row r="1796" customFormat="false" ht="15" hidden="false" customHeight="false" outlineLevel="0" collapsed="false">
      <c r="A1796" s="45" t="n">
        <v>46309</v>
      </c>
      <c r="B1796" s="0" t="n">
        <v>1</v>
      </c>
      <c r="C1796" s="0" t="n">
        <v>5995</v>
      </c>
      <c r="D1796" s="0" t="n">
        <v>51</v>
      </c>
      <c r="E1796" s="0" t="n">
        <v>1</v>
      </c>
      <c r="F1796" s="39" t="s">
        <v>1026</v>
      </c>
      <c r="G1796" s="0" t="n">
        <v>42.5</v>
      </c>
      <c r="H1796" s="0" t="n">
        <v>40</v>
      </c>
      <c r="I1796" s="39" t="s">
        <v>118</v>
      </c>
      <c r="J1796" s="0" t="n">
        <v>51</v>
      </c>
      <c r="P1796" s="0" t="n">
        <v>5.38</v>
      </c>
      <c r="Q1796" s="0" t="n">
        <v>2.98</v>
      </c>
      <c r="R1796" s="0" t="n">
        <v>3644</v>
      </c>
      <c r="S1796" s="0" t="n">
        <v>7325</v>
      </c>
      <c r="U1796" s="0" t="n">
        <v>724</v>
      </c>
      <c r="V1796" s="0" t="n">
        <v>0</v>
      </c>
      <c r="W1796" s="39" t="n">
        <f aca="false">IF(I1796="Male",0,1)</f>
        <v>1</v>
      </c>
      <c r="X1796" s="39" t="n">
        <f aca="false">IF(OR(I1796="DNB",I1796="Dry DNB"),1,0)</f>
        <v>0</v>
      </c>
      <c r="Y1796" s="39" t="n">
        <f aca="false">MATCH(A1796,DATAS,0)</f>
        <v>1</v>
      </c>
      <c r="Z1796" s="39" t="n">
        <f aca="false">IF(AND(E1796&gt;0,OR(AND(B1796&gt;=1,B1796&lt;=6),B1796=10)),1,0)</f>
        <v>1</v>
      </c>
      <c r="AA1796" s="39" t="n">
        <f aca="false">IF(AND(E1796&gt;0,B1796=10),1,0)</f>
        <v>0</v>
      </c>
      <c r="AB1796" s="0" t="str">
        <f aca="false">IF(AND(C1795=C1796,Y1795=Y1796-1),Z1795,"")</f>
        <v/>
      </c>
      <c r="AC1796" s="0" t="str">
        <f aca="false">IF(AND(C1795=C1796,Y1795=Y1796-1),AA1795,"")</f>
        <v/>
      </c>
      <c r="AD1796" s="0" t="str">
        <f aca="false">IF(Y1796=1,"",IF(AND(Z1796=1,AB1796&lt;&gt;1),1,0))</f>
        <v/>
      </c>
      <c r="AE1796" s="0" t="str">
        <f aca="false">IF(Y1796=1,"",IF(AND(AA1796=1,AC1796&lt;&gt;1),1,0))</f>
        <v/>
      </c>
      <c r="AF1796" s="45" t="str">
        <f aca="false">IF(AND(E1796&gt;0,Y1796&lt;1,NOT(AND(C1797=C1796,Y1797=Y1796+1))),INDEX(DATAS,Y1796+1),"")</f>
        <v/>
      </c>
      <c r="AG1796" s="45" t="str">
        <f aca="false">IF(AND(AA1796=1,Y1796&lt;1),IF(AND(C1797=C1796,Y1797=Y1796+1),IF(AA1797=1,"",INDEX(DATAS,Y1796+1)),INDEX(DATAS,Y1796+1)),"")</f>
        <v/>
      </c>
    </row>
    <row r="1797" customFormat="false" ht="15" hidden="false" customHeight="false" outlineLevel="0" collapsed="false">
      <c r="A1797" s="45" t="n">
        <v>46309</v>
      </c>
      <c r="B1797" s="0" t="n">
        <v>11</v>
      </c>
      <c r="C1797" s="0" t="n">
        <v>5996</v>
      </c>
      <c r="E1797" s="0" t="n">
        <v>0</v>
      </c>
      <c r="F1797" s="39" t="s">
        <v>1027</v>
      </c>
      <c r="I1797" s="39" t="s">
        <v>138</v>
      </c>
      <c r="U1797" s="0" t="n">
        <v>723</v>
      </c>
      <c r="V1797" s="0" t="n">
        <v>12</v>
      </c>
      <c r="W1797" s="39" t="n">
        <f aca="false">IF(I1797="Male",0,1)</f>
        <v>1</v>
      </c>
      <c r="X1797" s="39" t="n">
        <f aca="false">IF(OR(I1797="DNB",I1797="Dry DNB"),1,0)</f>
        <v>0</v>
      </c>
      <c r="Y1797" s="39" t="n">
        <f aca="false">MATCH(A1797,DATAS,0)</f>
        <v>1</v>
      </c>
      <c r="Z1797" s="39" t="n">
        <f aca="false">IF(AND(E1797&gt;0,OR(AND(B1797&gt;=1,B1797&lt;=6),B1797=10)),1,0)</f>
        <v>0</v>
      </c>
      <c r="AA1797" s="39" t="n">
        <f aca="false">IF(AND(E1797&gt;0,B1797=10),1,0)</f>
        <v>0</v>
      </c>
      <c r="AB1797" s="0" t="str">
        <f aca="false">IF(AND(C1796=C1797,Y1796=Y1797-1),Z1796,"")</f>
        <v/>
      </c>
      <c r="AC1797" s="0" t="str">
        <f aca="false">IF(AND(C1796=C1797,Y1796=Y1797-1),AA1796,"")</f>
        <v/>
      </c>
      <c r="AD1797" s="0" t="str">
        <f aca="false">IF(Y1797=1,"",IF(AND(Z1797=1,AB1797&lt;&gt;1),1,0))</f>
        <v/>
      </c>
      <c r="AE1797" s="0" t="str">
        <f aca="false">IF(Y1797=1,"",IF(AND(AA1797=1,AC1797&lt;&gt;1),1,0))</f>
        <v/>
      </c>
      <c r="AF1797" s="45" t="str">
        <f aca="false">IF(AND(E1797&gt;0,Y1797&lt;1,NOT(AND(C1798=C1797,Y1798=Y1797+1))),INDEX(DATAS,Y1797+1),"")</f>
        <v/>
      </c>
      <c r="AG1797" s="45" t="str">
        <f aca="false">IF(AND(AA1797=1,Y1797&lt;1),IF(AND(C1798=C1797,Y1798=Y1797+1),IF(AA1798=1,"",INDEX(DATAS,Y1797+1)),INDEX(DATAS,Y1797+1)),"")</f>
        <v/>
      </c>
    </row>
    <row r="1798" customFormat="false" ht="15" hidden="false" customHeight="false" outlineLevel="0" collapsed="false">
      <c r="A1798" s="45" t="n">
        <v>46309</v>
      </c>
      <c r="B1798" s="0" t="n">
        <v>8</v>
      </c>
      <c r="C1798" s="0" t="n">
        <v>5997</v>
      </c>
      <c r="E1798" s="0" t="n">
        <v>0</v>
      </c>
      <c r="F1798" s="39" t="s">
        <v>1027</v>
      </c>
      <c r="I1798" s="39" t="s">
        <v>109</v>
      </c>
      <c r="L1798" s="0" t="n">
        <v>126</v>
      </c>
      <c r="U1798" s="0" t="n">
        <v>723</v>
      </c>
      <c r="V1798" s="0" t="n">
        <v>7</v>
      </c>
      <c r="W1798" s="39" t="n">
        <f aca="false">IF(I1798="Male",0,1)</f>
        <v>1</v>
      </c>
      <c r="X1798" s="39" t="n">
        <f aca="false">IF(OR(I1798="DNB",I1798="Dry DNB"),1,0)</f>
        <v>0</v>
      </c>
      <c r="Y1798" s="39" t="n">
        <f aca="false">MATCH(A1798,DATAS,0)</f>
        <v>1</v>
      </c>
      <c r="Z1798" s="39" t="n">
        <f aca="false">IF(AND(E1798&gt;0,OR(AND(B1798&gt;=1,B1798&lt;=6),B1798=10)),1,0)</f>
        <v>0</v>
      </c>
      <c r="AA1798" s="39" t="n">
        <f aca="false">IF(AND(E1798&gt;0,B1798=10),1,0)</f>
        <v>0</v>
      </c>
      <c r="AB1798" s="0" t="str">
        <f aca="false">IF(AND(C1797=C1798,Y1797=Y1798-1),Z1797,"")</f>
        <v/>
      </c>
      <c r="AC1798" s="0" t="str">
        <f aca="false">IF(AND(C1797=C1798,Y1797=Y1798-1),AA1797,"")</f>
        <v/>
      </c>
      <c r="AD1798" s="0" t="str">
        <f aca="false">IF(Y1798=1,"",IF(AND(Z1798=1,AB1798&lt;&gt;1),1,0))</f>
        <v/>
      </c>
      <c r="AE1798" s="0" t="str">
        <f aca="false">IF(Y1798=1,"",IF(AND(AA1798=1,AC1798&lt;&gt;1),1,0))</f>
        <v/>
      </c>
      <c r="AF1798" s="45" t="str">
        <f aca="false">IF(AND(E1798&gt;0,Y1798&lt;1,NOT(AND(C1799=C1798,Y1799=Y1798+1))),INDEX(DATAS,Y1798+1),"")</f>
        <v/>
      </c>
      <c r="AG1798" s="45" t="str">
        <f aca="false">IF(AND(AA1798=1,Y1798&lt;1),IF(AND(C1799=C1798,Y1799=Y1798+1),IF(AA1799=1,"",INDEX(DATAS,Y1798+1)),INDEX(DATAS,Y1798+1)),"")</f>
        <v/>
      </c>
    </row>
    <row r="1799" customFormat="false" ht="15" hidden="false" customHeight="false" outlineLevel="0" collapsed="false">
      <c r="A1799" s="45" t="n">
        <v>46309</v>
      </c>
      <c r="B1799" s="0" t="n">
        <v>1</v>
      </c>
      <c r="C1799" s="0" t="n">
        <v>5998</v>
      </c>
      <c r="D1799" s="0" t="n">
        <v>65</v>
      </c>
      <c r="E1799" s="0" t="n">
        <v>1</v>
      </c>
      <c r="F1799" s="39" t="s">
        <v>1027</v>
      </c>
      <c r="G1799" s="0" t="n">
        <v>45.9</v>
      </c>
      <c r="H1799" s="0" t="n">
        <v>47</v>
      </c>
      <c r="I1799" s="39" t="s">
        <v>138</v>
      </c>
      <c r="J1799" s="0" t="n">
        <v>65</v>
      </c>
      <c r="K1799" s="0" t="n">
        <v>65</v>
      </c>
      <c r="P1799" s="0" t="n">
        <v>3.63</v>
      </c>
      <c r="Q1799" s="0" t="n">
        <v>2.89</v>
      </c>
      <c r="R1799" s="0" t="n">
        <v>4869</v>
      </c>
      <c r="S1799" s="0" t="n">
        <v>9787</v>
      </c>
      <c r="U1799" s="0" t="n">
        <v>723</v>
      </c>
      <c r="V1799" s="0" t="n">
        <v>1</v>
      </c>
      <c r="W1799" s="39" t="n">
        <f aca="false">IF(I1799="Male",0,1)</f>
        <v>1</v>
      </c>
      <c r="X1799" s="39" t="n">
        <f aca="false">IF(OR(I1799="DNB",I1799="Dry DNB"),1,0)</f>
        <v>0</v>
      </c>
      <c r="Y1799" s="39" t="n">
        <f aca="false">MATCH(A1799,DATAS,0)</f>
        <v>1</v>
      </c>
      <c r="Z1799" s="39" t="n">
        <f aca="false">IF(AND(E1799&gt;0,OR(AND(B1799&gt;=1,B1799&lt;=6),B1799=10)),1,0)</f>
        <v>1</v>
      </c>
      <c r="AA1799" s="39" t="n">
        <f aca="false">IF(AND(E1799&gt;0,B1799=10),1,0)</f>
        <v>0</v>
      </c>
      <c r="AB1799" s="0" t="str">
        <f aca="false">IF(AND(C1798=C1799,Y1798=Y1799-1),Z1798,"")</f>
        <v/>
      </c>
      <c r="AC1799" s="0" t="str">
        <f aca="false">IF(AND(C1798=C1799,Y1798=Y1799-1),AA1798,"")</f>
        <v/>
      </c>
      <c r="AD1799" s="0" t="str">
        <f aca="false">IF(Y1799=1,"",IF(AND(Z1799=1,AB1799&lt;&gt;1),1,0))</f>
        <v/>
      </c>
      <c r="AE1799" s="0" t="str">
        <f aca="false">IF(Y1799=1,"",IF(AND(AA1799=1,AC1799&lt;&gt;1),1,0))</f>
        <v/>
      </c>
      <c r="AF1799" s="45" t="str">
        <f aca="false">IF(AND(E1799&gt;0,Y1799&lt;1,NOT(AND(C1800=C1799,Y1800=Y1799+1))),INDEX(DATAS,Y1799+1),"")</f>
        <v/>
      </c>
      <c r="AG1799" s="45" t="str">
        <f aca="false">IF(AND(AA1799=1,Y1799&lt;1),IF(AND(C1800=C1799,Y1800=Y1799+1),IF(AA1800=1,"",INDEX(DATAS,Y1799+1)),INDEX(DATAS,Y1799+1)),"")</f>
        <v/>
      </c>
    </row>
    <row r="1800" customFormat="false" ht="15" hidden="false" customHeight="false" outlineLevel="0" collapsed="false">
      <c r="A1800" s="45" t="n">
        <v>46309</v>
      </c>
      <c r="B1800" s="0" t="n">
        <v>1</v>
      </c>
      <c r="C1800" s="0" t="n">
        <v>5999</v>
      </c>
      <c r="D1800" s="0" t="n">
        <v>89</v>
      </c>
      <c r="E1800" s="0" t="n">
        <v>1</v>
      </c>
      <c r="F1800" s="39" t="s">
        <v>1028</v>
      </c>
      <c r="G1800" s="0" t="n">
        <v>49.4</v>
      </c>
      <c r="H1800" s="0" t="n">
        <v>50</v>
      </c>
      <c r="I1800" s="39" t="s">
        <v>138</v>
      </c>
      <c r="J1800" s="0" t="n">
        <v>89</v>
      </c>
      <c r="K1800" s="0" t="n">
        <v>68</v>
      </c>
      <c r="P1800" s="0" t="n">
        <v>2.81</v>
      </c>
      <c r="Q1800" s="0" t="n">
        <v>3.26</v>
      </c>
      <c r="R1800" s="0" t="n">
        <v>3839</v>
      </c>
      <c r="S1800" s="0" t="n">
        <v>7717</v>
      </c>
      <c r="U1800" s="0" t="n">
        <v>722</v>
      </c>
      <c r="V1800" s="0" t="n">
        <v>1</v>
      </c>
      <c r="W1800" s="39" t="n">
        <f aca="false">IF(I1800="Male",0,1)</f>
        <v>1</v>
      </c>
      <c r="X1800" s="39" t="n">
        <f aca="false">IF(OR(I1800="DNB",I1800="Dry DNB"),1,0)</f>
        <v>0</v>
      </c>
      <c r="Y1800" s="39" t="n">
        <f aca="false">MATCH(A1800,DATAS,0)</f>
        <v>1</v>
      </c>
      <c r="Z1800" s="39" t="n">
        <f aca="false">IF(AND(E1800&gt;0,OR(AND(B1800&gt;=1,B1800&lt;=6),B1800=10)),1,0)</f>
        <v>1</v>
      </c>
      <c r="AA1800" s="39" t="n">
        <f aca="false">IF(AND(E1800&gt;0,B1800=10),1,0)</f>
        <v>0</v>
      </c>
      <c r="AB1800" s="0" t="str">
        <f aca="false">IF(AND(C1799=C1800,Y1799=Y1800-1),Z1799,"")</f>
        <v/>
      </c>
      <c r="AC1800" s="0" t="str">
        <f aca="false">IF(AND(C1799=C1800,Y1799=Y1800-1),AA1799,"")</f>
        <v/>
      </c>
      <c r="AD1800" s="0" t="str">
        <f aca="false">IF(Y1800=1,"",IF(AND(Z1800=1,AB1800&lt;&gt;1),1,0))</f>
        <v/>
      </c>
      <c r="AE1800" s="0" t="str">
        <f aca="false">IF(Y1800=1,"",IF(AND(AA1800=1,AC1800&lt;&gt;1),1,0))</f>
        <v/>
      </c>
      <c r="AF1800" s="45" t="str">
        <f aca="false">IF(AND(E1800&gt;0,Y1800&lt;1,NOT(AND(C1801=C1800,Y1801=Y1800+1))),INDEX(DATAS,Y1800+1),"")</f>
        <v/>
      </c>
      <c r="AG1800" s="45" t="str">
        <f aca="false">IF(AND(AA1800=1,Y1800&lt;1),IF(AND(C1801=C1800,Y1801=Y1800+1),IF(AA1801=1,"",INDEX(DATAS,Y1800+1)),INDEX(DATAS,Y1800+1)),"")</f>
        <v/>
      </c>
    </row>
    <row r="1801" customFormat="false" ht="15" hidden="false" customHeight="false" outlineLevel="0" collapsed="false">
      <c r="A1801" s="45" t="n">
        <v>46309</v>
      </c>
      <c r="B1801" s="0" t="n">
        <v>1</v>
      </c>
      <c r="C1801" s="0" t="n">
        <v>6003</v>
      </c>
      <c r="D1801" s="0" t="n">
        <v>53</v>
      </c>
      <c r="E1801" s="0" t="n">
        <v>1</v>
      </c>
      <c r="F1801" s="39" t="s">
        <v>1029</v>
      </c>
      <c r="G1801" s="0" t="n">
        <v>51.4</v>
      </c>
      <c r="H1801" s="0" t="n">
        <v>46</v>
      </c>
      <c r="I1801" s="39" t="s">
        <v>118</v>
      </c>
      <c r="J1801" s="0" t="n">
        <v>53</v>
      </c>
      <c r="P1801" s="0" t="n">
        <v>3.18</v>
      </c>
      <c r="Q1801" s="0" t="n">
        <v>3.13</v>
      </c>
      <c r="R1801" s="0" t="n">
        <v>4137</v>
      </c>
      <c r="S1801" s="0" t="n">
        <v>8316</v>
      </c>
      <c r="U1801" s="0" t="n">
        <v>720</v>
      </c>
      <c r="V1801" s="0" t="n">
        <v>0</v>
      </c>
      <c r="W1801" s="39" t="n">
        <f aca="false">IF(I1801="Male",0,1)</f>
        <v>1</v>
      </c>
      <c r="X1801" s="39" t="n">
        <f aca="false">IF(OR(I1801="DNB",I1801="Dry DNB"),1,0)</f>
        <v>0</v>
      </c>
      <c r="Y1801" s="39" t="n">
        <f aca="false">MATCH(A1801,DATAS,0)</f>
        <v>1</v>
      </c>
      <c r="Z1801" s="39" t="n">
        <f aca="false">IF(AND(E1801&gt;0,OR(AND(B1801&gt;=1,B1801&lt;=6),B1801=10)),1,0)</f>
        <v>1</v>
      </c>
      <c r="AA1801" s="39" t="n">
        <f aca="false">IF(AND(E1801&gt;0,B1801=10),1,0)</f>
        <v>0</v>
      </c>
      <c r="AB1801" s="0" t="str">
        <f aca="false">IF(AND(C1800=C1801,Y1800=Y1801-1),Z1800,"")</f>
        <v/>
      </c>
      <c r="AC1801" s="0" t="str">
        <f aca="false">IF(AND(C1800=C1801,Y1800=Y1801-1),AA1800,"")</f>
        <v/>
      </c>
      <c r="AD1801" s="0" t="str">
        <f aca="false">IF(Y1801=1,"",IF(AND(Z1801=1,AB1801&lt;&gt;1),1,0))</f>
        <v/>
      </c>
      <c r="AE1801" s="0" t="str">
        <f aca="false">IF(Y1801=1,"",IF(AND(AA1801=1,AC1801&lt;&gt;1),1,0))</f>
        <v/>
      </c>
      <c r="AF1801" s="45" t="str">
        <f aca="false">IF(AND(E1801&gt;0,Y1801&lt;1,NOT(AND(C1802=C1801,Y1802=Y1801+1))),INDEX(DATAS,Y1801+1),"")</f>
        <v/>
      </c>
      <c r="AG1801" s="45" t="str">
        <f aca="false">IF(AND(AA1801=1,Y1801&lt;1),IF(AND(C1802=C1801,Y1802=Y1801+1),IF(AA1802=1,"",INDEX(DATAS,Y1801+1)),INDEX(DATAS,Y1801+1)),"")</f>
        <v/>
      </c>
    </row>
    <row r="1802" customFormat="false" ht="15" hidden="false" customHeight="false" outlineLevel="0" collapsed="false">
      <c r="A1802" s="45" t="n">
        <v>46309</v>
      </c>
      <c r="B1802" s="0" t="n">
        <v>1</v>
      </c>
      <c r="C1802" s="0" t="n">
        <v>6004</v>
      </c>
      <c r="D1802" s="0" t="n">
        <v>60</v>
      </c>
      <c r="E1802" s="0" t="n">
        <v>1</v>
      </c>
      <c r="F1802" s="39" t="s">
        <v>1029</v>
      </c>
      <c r="G1802" s="0" t="n">
        <v>47.1</v>
      </c>
      <c r="H1802" s="0" t="n">
        <v>50</v>
      </c>
      <c r="I1802" s="39" t="s">
        <v>118</v>
      </c>
      <c r="J1802" s="0" t="n">
        <v>60</v>
      </c>
      <c r="P1802" s="0" t="n">
        <v>4.21</v>
      </c>
      <c r="Q1802" s="0" t="n">
        <v>3.08</v>
      </c>
      <c r="R1802" s="0" t="n">
        <v>4554</v>
      </c>
      <c r="S1802" s="0" t="n">
        <v>9155</v>
      </c>
      <c r="U1802" s="0" t="n">
        <v>720</v>
      </c>
      <c r="V1802" s="0" t="n">
        <v>0</v>
      </c>
      <c r="W1802" s="39" t="n">
        <f aca="false">IF(I1802="Male",0,1)</f>
        <v>1</v>
      </c>
      <c r="X1802" s="39" t="n">
        <f aca="false">IF(OR(I1802="DNB",I1802="Dry DNB"),1,0)</f>
        <v>0</v>
      </c>
      <c r="Y1802" s="39" t="n">
        <f aca="false">MATCH(A1802,DATAS,0)</f>
        <v>1</v>
      </c>
      <c r="Z1802" s="39" t="n">
        <f aca="false">IF(AND(E1802&gt;0,OR(AND(B1802&gt;=1,B1802&lt;=6),B1802=10)),1,0)</f>
        <v>1</v>
      </c>
      <c r="AA1802" s="39" t="n">
        <f aca="false">IF(AND(E1802&gt;0,B1802=10),1,0)</f>
        <v>0</v>
      </c>
      <c r="AB1802" s="0" t="str">
        <f aca="false">IF(AND(C1801=C1802,Y1801=Y1802-1),Z1801,"")</f>
        <v/>
      </c>
      <c r="AC1802" s="0" t="str">
        <f aca="false">IF(AND(C1801=C1802,Y1801=Y1802-1),AA1801,"")</f>
        <v/>
      </c>
      <c r="AD1802" s="0" t="str">
        <f aca="false">IF(Y1802=1,"",IF(AND(Z1802=1,AB1802&lt;&gt;1),1,0))</f>
        <v/>
      </c>
      <c r="AE1802" s="0" t="str">
        <f aca="false">IF(Y1802=1,"",IF(AND(AA1802=1,AC1802&lt;&gt;1),1,0))</f>
        <v/>
      </c>
      <c r="AF1802" s="45" t="str">
        <f aca="false">IF(AND(E1802&gt;0,Y1802&lt;1,NOT(AND(C1803=C1802,Y1803=Y1802+1))),INDEX(DATAS,Y1802+1),"")</f>
        <v/>
      </c>
      <c r="AG1802" s="45" t="str">
        <f aca="false">IF(AND(AA1802=1,Y1802&lt;1),IF(AND(C1803=C1802,Y1803=Y1802+1),IF(AA1803=1,"",INDEX(DATAS,Y1802+1)),INDEX(DATAS,Y1802+1)),"")</f>
        <v/>
      </c>
    </row>
    <row r="1803" customFormat="false" ht="15" hidden="false" customHeight="false" outlineLevel="0" collapsed="false">
      <c r="A1803" s="45" t="n">
        <v>46309</v>
      </c>
      <c r="B1803" s="0" t="n">
        <v>8</v>
      </c>
      <c r="C1803" s="0" t="n">
        <v>6005</v>
      </c>
      <c r="E1803" s="0" t="n">
        <v>0</v>
      </c>
      <c r="F1803" s="39" t="s">
        <v>1029</v>
      </c>
      <c r="I1803" s="39" t="s">
        <v>109</v>
      </c>
      <c r="L1803" s="0" t="n">
        <v>35</v>
      </c>
      <c r="U1803" s="0" t="n">
        <v>720</v>
      </c>
      <c r="V1803" s="0" t="n">
        <v>7</v>
      </c>
      <c r="W1803" s="39" t="n">
        <f aca="false">IF(I1803="Male",0,1)</f>
        <v>1</v>
      </c>
      <c r="X1803" s="39" t="n">
        <f aca="false">IF(OR(I1803="DNB",I1803="Dry DNB"),1,0)</f>
        <v>0</v>
      </c>
      <c r="Y1803" s="39" t="n">
        <f aca="false">MATCH(A1803,DATAS,0)</f>
        <v>1</v>
      </c>
      <c r="Z1803" s="39" t="n">
        <f aca="false">IF(AND(E1803&gt;0,OR(AND(B1803&gt;=1,B1803&lt;=6),B1803=10)),1,0)</f>
        <v>0</v>
      </c>
      <c r="AA1803" s="39" t="n">
        <f aca="false">IF(AND(E1803&gt;0,B1803=10),1,0)</f>
        <v>0</v>
      </c>
      <c r="AB1803" s="0" t="str">
        <f aca="false">IF(AND(C1802=C1803,Y1802=Y1803-1),Z1802,"")</f>
        <v/>
      </c>
      <c r="AC1803" s="0" t="str">
        <f aca="false">IF(AND(C1802=C1803,Y1802=Y1803-1),AA1802,"")</f>
        <v/>
      </c>
      <c r="AD1803" s="0" t="str">
        <f aca="false">IF(Y1803=1,"",IF(AND(Z1803=1,AB1803&lt;&gt;1),1,0))</f>
        <v/>
      </c>
      <c r="AE1803" s="0" t="str">
        <f aca="false">IF(Y1803=1,"",IF(AND(AA1803=1,AC1803&lt;&gt;1),1,0))</f>
        <v/>
      </c>
      <c r="AF1803" s="45" t="str">
        <f aca="false">IF(AND(E1803&gt;0,Y1803&lt;1,NOT(AND(C1804=C1803,Y1804=Y1803+1))),INDEX(DATAS,Y1803+1),"")</f>
        <v/>
      </c>
      <c r="AG1803" s="45" t="str">
        <f aca="false">IF(AND(AA1803=1,Y1803&lt;1),IF(AND(C1804=C1803,Y1804=Y1803+1),IF(AA1804=1,"",INDEX(DATAS,Y1803+1)),INDEX(DATAS,Y1803+1)),"")</f>
        <v/>
      </c>
    </row>
    <row r="1804" customFormat="false" ht="15" hidden="false" customHeight="false" outlineLevel="0" collapsed="false">
      <c r="A1804" s="45" t="n">
        <v>46309</v>
      </c>
      <c r="B1804" s="0" t="n">
        <v>1</v>
      </c>
      <c r="C1804" s="0" t="n">
        <v>6006</v>
      </c>
      <c r="D1804" s="0" t="n">
        <v>35</v>
      </c>
      <c r="E1804" s="0" t="n">
        <v>1</v>
      </c>
      <c r="F1804" s="39" t="s">
        <v>1030</v>
      </c>
      <c r="I1804" s="39" t="s">
        <v>118</v>
      </c>
      <c r="J1804" s="0" t="n">
        <v>35</v>
      </c>
      <c r="U1804" s="0" t="n">
        <v>719</v>
      </c>
      <c r="V1804" s="0" t="n">
        <v>0</v>
      </c>
      <c r="W1804" s="39" t="n">
        <f aca="false">IF(I1804="Male",0,1)</f>
        <v>1</v>
      </c>
      <c r="X1804" s="39" t="n">
        <f aca="false">IF(OR(I1804="DNB",I1804="Dry DNB"),1,0)</f>
        <v>0</v>
      </c>
      <c r="Y1804" s="39" t="n">
        <f aca="false">MATCH(A1804,DATAS,0)</f>
        <v>1</v>
      </c>
      <c r="Z1804" s="39" t="n">
        <f aca="false">IF(AND(E1804&gt;0,OR(AND(B1804&gt;=1,B1804&lt;=6),B1804=10)),1,0)</f>
        <v>1</v>
      </c>
      <c r="AA1804" s="39" t="n">
        <f aca="false">IF(AND(E1804&gt;0,B1804=10),1,0)</f>
        <v>0</v>
      </c>
      <c r="AB1804" s="0" t="str">
        <f aca="false">IF(AND(C1803=C1804,Y1803=Y1804-1),Z1803,"")</f>
        <v/>
      </c>
      <c r="AC1804" s="0" t="str">
        <f aca="false">IF(AND(C1803=C1804,Y1803=Y1804-1),AA1803,"")</f>
        <v/>
      </c>
      <c r="AD1804" s="0" t="str">
        <f aca="false">IF(Y1804=1,"",IF(AND(Z1804=1,AB1804&lt;&gt;1),1,0))</f>
        <v/>
      </c>
      <c r="AE1804" s="0" t="str">
        <f aca="false">IF(Y1804=1,"",IF(AND(AA1804=1,AC1804&lt;&gt;1),1,0))</f>
        <v/>
      </c>
      <c r="AF1804" s="45" t="str">
        <f aca="false">IF(AND(E1804&gt;0,Y1804&lt;1,NOT(AND(C1805=C1804,Y1805=Y1804+1))),INDEX(DATAS,Y1804+1),"")</f>
        <v/>
      </c>
      <c r="AG1804" s="45" t="str">
        <f aca="false">IF(AND(AA1804=1,Y1804&lt;1),IF(AND(C1805=C1804,Y1805=Y1804+1),IF(AA1805=1,"",INDEX(DATAS,Y1804+1)),INDEX(DATAS,Y1804+1)),"")</f>
        <v/>
      </c>
    </row>
    <row r="1805" customFormat="false" ht="15" hidden="false" customHeight="false" outlineLevel="0" collapsed="false">
      <c r="A1805" s="45" t="n">
        <v>46309</v>
      </c>
      <c r="B1805" s="0" t="n">
        <v>1</v>
      </c>
      <c r="C1805" s="0" t="n">
        <v>6007</v>
      </c>
      <c r="D1805" s="0" t="n">
        <v>56</v>
      </c>
      <c r="E1805" s="0" t="n">
        <v>1</v>
      </c>
      <c r="F1805" s="39" t="s">
        <v>1030</v>
      </c>
      <c r="G1805" s="0" t="n">
        <v>49.1</v>
      </c>
      <c r="H1805" s="0" t="n">
        <v>49</v>
      </c>
      <c r="I1805" s="39" t="s">
        <v>118</v>
      </c>
      <c r="J1805" s="0" t="n">
        <v>56</v>
      </c>
      <c r="P1805" s="0" t="n">
        <v>5.21</v>
      </c>
      <c r="Q1805" s="0" t="n">
        <v>2.78</v>
      </c>
      <c r="R1805" s="0" t="n">
        <v>4111</v>
      </c>
      <c r="S1805" s="0" t="n">
        <v>8265</v>
      </c>
      <c r="U1805" s="0" t="n">
        <v>719</v>
      </c>
      <c r="V1805" s="0" t="n">
        <v>0</v>
      </c>
      <c r="W1805" s="39" t="n">
        <f aca="false">IF(I1805="Male",0,1)</f>
        <v>1</v>
      </c>
      <c r="X1805" s="39" t="n">
        <f aca="false">IF(OR(I1805="DNB",I1805="Dry DNB"),1,0)</f>
        <v>0</v>
      </c>
      <c r="Y1805" s="39" t="n">
        <f aca="false">MATCH(A1805,DATAS,0)</f>
        <v>1</v>
      </c>
      <c r="Z1805" s="39" t="n">
        <f aca="false">IF(AND(E1805&gt;0,OR(AND(B1805&gt;=1,B1805&lt;=6),B1805=10)),1,0)</f>
        <v>1</v>
      </c>
      <c r="AA1805" s="39" t="n">
        <f aca="false">IF(AND(E1805&gt;0,B1805=10),1,0)</f>
        <v>0</v>
      </c>
      <c r="AB1805" s="0" t="str">
        <f aca="false">IF(AND(C1804=C1805,Y1804=Y1805-1),Z1804,"")</f>
        <v/>
      </c>
      <c r="AC1805" s="0" t="str">
        <f aca="false">IF(AND(C1804=C1805,Y1804=Y1805-1),AA1804,"")</f>
        <v/>
      </c>
      <c r="AD1805" s="0" t="str">
        <f aca="false">IF(Y1805=1,"",IF(AND(Z1805=1,AB1805&lt;&gt;1),1,0))</f>
        <v/>
      </c>
      <c r="AE1805" s="0" t="str">
        <f aca="false">IF(Y1805=1,"",IF(AND(AA1805=1,AC1805&lt;&gt;1),1,0))</f>
        <v/>
      </c>
      <c r="AF1805" s="45" t="str">
        <f aca="false">IF(AND(E1805&gt;0,Y1805&lt;1,NOT(AND(C1806=C1805,Y1806=Y1805+1))),INDEX(DATAS,Y1805+1),"")</f>
        <v/>
      </c>
      <c r="AG1805" s="45" t="str">
        <f aca="false">IF(AND(AA1805=1,Y1805&lt;1),IF(AND(C1806=C1805,Y1806=Y1805+1),IF(AA1806=1,"",INDEX(DATAS,Y1805+1)),INDEX(DATAS,Y1805+1)),"")</f>
        <v/>
      </c>
    </row>
    <row r="1806" customFormat="false" ht="15" hidden="false" customHeight="false" outlineLevel="0" collapsed="false">
      <c r="A1806" s="45" t="n">
        <v>46309</v>
      </c>
      <c r="B1806" s="0" t="n">
        <v>1</v>
      </c>
      <c r="C1806" s="0" t="n">
        <v>6009</v>
      </c>
      <c r="D1806" s="0" t="n">
        <v>78</v>
      </c>
      <c r="E1806" s="0" t="n">
        <v>1</v>
      </c>
      <c r="F1806" s="39" t="s">
        <v>1031</v>
      </c>
      <c r="G1806" s="0" t="n">
        <v>52.3</v>
      </c>
      <c r="H1806" s="0" t="n">
        <v>51</v>
      </c>
      <c r="I1806" s="39" t="s">
        <v>138</v>
      </c>
      <c r="J1806" s="0" t="n">
        <v>78</v>
      </c>
      <c r="K1806" s="0" t="n">
        <v>64</v>
      </c>
      <c r="P1806" s="0" t="n">
        <v>3.85</v>
      </c>
      <c r="Q1806" s="0" t="n">
        <v>2.94</v>
      </c>
      <c r="R1806" s="0" t="n">
        <v>4460</v>
      </c>
      <c r="S1806" s="0" t="n">
        <v>8965</v>
      </c>
      <c r="U1806" s="0" t="n">
        <v>718</v>
      </c>
      <c r="V1806" s="0" t="n">
        <v>2</v>
      </c>
      <c r="W1806" s="39" t="n">
        <f aca="false">IF(I1806="Male",0,1)</f>
        <v>1</v>
      </c>
      <c r="X1806" s="39" t="n">
        <f aca="false">IF(OR(I1806="DNB",I1806="Dry DNB"),1,0)</f>
        <v>0</v>
      </c>
      <c r="Y1806" s="39" t="n">
        <f aca="false">MATCH(A1806,DATAS,0)</f>
        <v>1</v>
      </c>
      <c r="Z1806" s="39" t="n">
        <f aca="false">IF(AND(E1806&gt;0,OR(AND(B1806&gt;=1,B1806&lt;=6),B1806=10)),1,0)</f>
        <v>1</v>
      </c>
      <c r="AA1806" s="39" t="n">
        <f aca="false">IF(AND(E1806&gt;0,B1806=10),1,0)</f>
        <v>0</v>
      </c>
      <c r="AB1806" s="0" t="str">
        <f aca="false">IF(AND(C1805=C1806,Y1805=Y1806-1),Z1805,"")</f>
        <v/>
      </c>
      <c r="AC1806" s="0" t="str">
        <f aca="false">IF(AND(C1805=C1806,Y1805=Y1806-1),AA1805,"")</f>
        <v/>
      </c>
      <c r="AD1806" s="0" t="str">
        <f aca="false">IF(Y1806=1,"",IF(AND(Z1806=1,AB1806&lt;&gt;1),1,0))</f>
        <v/>
      </c>
      <c r="AE1806" s="0" t="str">
        <f aca="false">IF(Y1806=1,"",IF(AND(AA1806=1,AC1806&lt;&gt;1),1,0))</f>
        <v/>
      </c>
      <c r="AF1806" s="45" t="str">
        <f aca="false">IF(AND(E1806&gt;0,Y1806&lt;1,NOT(AND(C1807=C1806,Y1807=Y1806+1))),INDEX(DATAS,Y1806+1),"")</f>
        <v/>
      </c>
      <c r="AG1806" s="45" t="str">
        <f aca="false">IF(AND(AA1806=1,Y1806&lt;1),IF(AND(C1807=C1806,Y1807=Y1806+1),IF(AA1807=1,"",INDEX(DATAS,Y1806+1)),INDEX(DATAS,Y1806+1)),"")</f>
        <v/>
      </c>
    </row>
    <row r="1807" customFormat="false" ht="15" hidden="false" customHeight="false" outlineLevel="0" collapsed="false">
      <c r="A1807" s="45" t="n">
        <v>46309</v>
      </c>
      <c r="B1807" s="0" t="n">
        <v>1</v>
      </c>
      <c r="C1807" s="0" t="n">
        <v>6010</v>
      </c>
      <c r="D1807" s="0" t="n">
        <v>18</v>
      </c>
      <c r="E1807" s="0" t="n">
        <v>1</v>
      </c>
      <c r="F1807" s="39" t="s">
        <v>1031</v>
      </c>
      <c r="G1807" s="0" t="n">
        <v>24.4</v>
      </c>
      <c r="H1807" s="0" t="n">
        <v>28</v>
      </c>
      <c r="I1807" s="39" t="s">
        <v>118</v>
      </c>
      <c r="J1807" s="0" t="n">
        <v>18</v>
      </c>
      <c r="R1807" s="0" t="n">
        <v>2092</v>
      </c>
      <c r="S1807" s="0" t="n">
        <v>4206</v>
      </c>
      <c r="U1807" s="0" t="n">
        <v>718</v>
      </c>
      <c r="V1807" s="0" t="n">
        <v>0</v>
      </c>
      <c r="W1807" s="39" t="n">
        <f aca="false">IF(I1807="Male",0,1)</f>
        <v>1</v>
      </c>
      <c r="X1807" s="39" t="n">
        <f aca="false">IF(OR(I1807="DNB",I1807="Dry DNB"),1,0)</f>
        <v>0</v>
      </c>
      <c r="Y1807" s="39" t="n">
        <f aca="false">MATCH(A1807,DATAS,0)</f>
        <v>1</v>
      </c>
      <c r="Z1807" s="39" t="n">
        <f aca="false">IF(AND(E1807&gt;0,OR(AND(B1807&gt;=1,B1807&lt;=6),B1807=10)),1,0)</f>
        <v>1</v>
      </c>
      <c r="AA1807" s="39" t="n">
        <f aca="false">IF(AND(E1807&gt;0,B1807=10),1,0)</f>
        <v>0</v>
      </c>
      <c r="AB1807" s="0" t="str">
        <f aca="false">IF(AND(C1806=C1807,Y1806=Y1807-1),Z1806,"")</f>
        <v/>
      </c>
      <c r="AC1807" s="0" t="str">
        <f aca="false">IF(AND(C1806=C1807,Y1806=Y1807-1),AA1806,"")</f>
        <v/>
      </c>
      <c r="AD1807" s="0" t="str">
        <f aca="false">IF(Y1807=1,"",IF(AND(Z1807=1,AB1807&lt;&gt;1),1,0))</f>
        <v/>
      </c>
      <c r="AE1807" s="0" t="str">
        <f aca="false">IF(Y1807=1,"",IF(AND(AA1807=1,AC1807&lt;&gt;1),1,0))</f>
        <v/>
      </c>
      <c r="AF1807" s="45" t="str">
        <f aca="false">IF(AND(E1807&gt;0,Y1807&lt;1,NOT(AND(C1808=C1807,Y1808=Y1807+1))),INDEX(DATAS,Y1807+1),"")</f>
        <v/>
      </c>
      <c r="AG1807" s="45" t="str">
        <f aca="false">IF(AND(AA1807=1,Y1807&lt;1),IF(AND(C1808=C1807,Y1808=Y1807+1),IF(AA1808=1,"",INDEX(DATAS,Y1807+1)),INDEX(DATAS,Y1807+1)),"")</f>
        <v/>
      </c>
    </row>
    <row r="1808" customFormat="false" ht="15" hidden="false" customHeight="false" outlineLevel="0" collapsed="false">
      <c r="A1808" s="45" t="n">
        <v>46309</v>
      </c>
      <c r="B1808" s="0" t="n">
        <v>1</v>
      </c>
      <c r="C1808" s="0" t="n">
        <v>6011</v>
      </c>
      <c r="D1808" s="0" t="n">
        <v>71</v>
      </c>
      <c r="E1808" s="0" t="n">
        <v>1</v>
      </c>
      <c r="F1808" s="39" t="s">
        <v>1031</v>
      </c>
      <c r="G1808" s="0" t="n">
        <v>49</v>
      </c>
      <c r="H1808" s="0" t="n">
        <v>44</v>
      </c>
      <c r="I1808" s="39" t="s">
        <v>138</v>
      </c>
      <c r="J1808" s="0" t="n">
        <v>71</v>
      </c>
      <c r="K1808" s="0" t="n">
        <v>64</v>
      </c>
      <c r="P1808" s="0" t="n">
        <v>2.87</v>
      </c>
      <c r="Q1808" s="0" t="n">
        <v>2.97</v>
      </c>
      <c r="R1808" s="0" t="n">
        <v>4224</v>
      </c>
      <c r="S1808" s="0" t="n">
        <v>8491</v>
      </c>
      <c r="U1808" s="0" t="n">
        <v>718</v>
      </c>
      <c r="V1808" s="0" t="n">
        <v>1</v>
      </c>
      <c r="W1808" s="39" t="n">
        <f aca="false">IF(I1808="Male",0,1)</f>
        <v>1</v>
      </c>
      <c r="X1808" s="39" t="n">
        <f aca="false">IF(OR(I1808="DNB",I1808="Dry DNB"),1,0)</f>
        <v>0</v>
      </c>
      <c r="Y1808" s="39" t="n">
        <f aca="false">MATCH(A1808,DATAS,0)</f>
        <v>1</v>
      </c>
      <c r="Z1808" s="39" t="n">
        <f aca="false">IF(AND(E1808&gt;0,OR(AND(B1808&gt;=1,B1808&lt;=6),B1808=10)),1,0)</f>
        <v>1</v>
      </c>
      <c r="AA1808" s="39" t="n">
        <f aca="false">IF(AND(E1808&gt;0,B1808=10),1,0)</f>
        <v>0</v>
      </c>
      <c r="AB1808" s="0" t="str">
        <f aca="false">IF(AND(C1807=C1808,Y1807=Y1808-1),Z1807,"")</f>
        <v/>
      </c>
      <c r="AC1808" s="0" t="str">
        <f aca="false">IF(AND(C1807=C1808,Y1807=Y1808-1),AA1807,"")</f>
        <v/>
      </c>
      <c r="AD1808" s="0" t="str">
        <f aca="false">IF(Y1808=1,"",IF(AND(Z1808=1,AB1808&lt;&gt;1),1,0))</f>
        <v/>
      </c>
      <c r="AE1808" s="0" t="str">
        <f aca="false">IF(Y1808=1,"",IF(AND(AA1808=1,AC1808&lt;&gt;1),1,0))</f>
        <v/>
      </c>
      <c r="AF1808" s="45" t="str">
        <f aca="false">IF(AND(E1808&gt;0,Y1808&lt;1,NOT(AND(C1809=C1808,Y1809=Y1808+1))),INDEX(DATAS,Y1808+1),"")</f>
        <v/>
      </c>
      <c r="AG1808" s="45" t="str">
        <f aca="false">IF(AND(AA1808=1,Y1808&lt;1),IF(AND(C1809=C1808,Y1809=Y1808+1),IF(AA1809=1,"",INDEX(DATAS,Y1808+1)),INDEX(DATAS,Y1808+1)),"")</f>
        <v/>
      </c>
    </row>
    <row r="1809" customFormat="false" ht="15" hidden="false" customHeight="false" outlineLevel="0" collapsed="false">
      <c r="A1809" s="45" t="n">
        <v>46309</v>
      </c>
      <c r="B1809" s="0" t="n">
        <v>1</v>
      </c>
      <c r="C1809" s="0" t="n">
        <v>6012</v>
      </c>
      <c r="D1809" s="0" t="n">
        <v>34</v>
      </c>
      <c r="E1809" s="0" t="n">
        <v>1</v>
      </c>
      <c r="F1809" s="39" t="s">
        <v>1032</v>
      </c>
      <c r="G1809" s="0" t="n">
        <v>53.4</v>
      </c>
      <c r="H1809" s="0" t="n">
        <v>51</v>
      </c>
      <c r="I1809" s="39" t="s">
        <v>118</v>
      </c>
      <c r="J1809" s="0" t="n">
        <v>34</v>
      </c>
      <c r="P1809" s="0" t="n">
        <v>5.6</v>
      </c>
      <c r="Q1809" s="0" t="n">
        <v>3.4</v>
      </c>
      <c r="R1809" s="0" t="n">
        <v>4397</v>
      </c>
      <c r="S1809" s="0" t="n">
        <v>8838</v>
      </c>
      <c r="U1809" s="0" t="n">
        <v>715</v>
      </c>
      <c r="V1809" s="0" t="n">
        <v>0</v>
      </c>
      <c r="W1809" s="39" t="n">
        <f aca="false">IF(I1809="Male",0,1)</f>
        <v>1</v>
      </c>
      <c r="X1809" s="39" t="n">
        <f aca="false">IF(OR(I1809="DNB",I1809="Dry DNB"),1,0)</f>
        <v>0</v>
      </c>
      <c r="Y1809" s="39" t="n">
        <f aca="false">MATCH(A1809,DATAS,0)</f>
        <v>1</v>
      </c>
      <c r="Z1809" s="39" t="n">
        <f aca="false">IF(AND(E1809&gt;0,OR(AND(B1809&gt;=1,B1809&lt;=6),B1809=10)),1,0)</f>
        <v>1</v>
      </c>
      <c r="AA1809" s="39" t="n">
        <f aca="false">IF(AND(E1809&gt;0,B1809=10),1,0)</f>
        <v>0</v>
      </c>
      <c r="AB1809" s="0" t="str">
        <f aca="false">IF(AND(C1808=C1809,Y1808=Y1809-1),Z1808,"")</f>
        <v/>
      </c>
      <c r="AC1809" s="0" t="str">
        <f aca="false">IF(AND(C1808=C1809,Y1808=Y1809-1),AA1808,"")</f>
        <v/>
      </c>
      <c r="AD1809" s="0" t="str">
        <f aca="false">IF(Y1809=1,"",IF(AND(Z1809=1,AB1809&lt;&gt;1),1,0))</f>
        <v/>
      </c>
      <c r="AE1809" s="0" t="str">
        <f aca="false">IF(Y1809=1,"",IF(AND(AA1809=1,AC1809&lt;&gt;1),1,0))</f>
        <v/>
      </c>
      <c r="AF1809" s="45" t="str">
        <f aca="false">IF(AND(E1809&gt;0,Y1809&lt;1,NOT(AND(C1810=C1809,Y1810=Y1809+1))),INDEX(DATAS,Y1809+1),"")</f>
        <v/>
      </c>
      <c r="AG1809" s="45" t="str">
        <f aca="false">IF(AND(AA1809=1,Y1809&lt;1),IF(AND(C1810=C1809,Y1810=Y1809+1),IF(AA1810=1,"",INDEX(DATAS,Y1809+1)),INDEX(DATAS,Y1809+1)),"")</f>
        <v/>
      </c>
    </row>
    <row r="1810" customFormat="false" ht="15" hidden="false" customHeight="false" outlineLevel="0" collapsed="false">
      <c r="A1810" s="45" t="n">
        <v>46309</v>
      </c>
      <c r="B1810" s="0" t="n">
        <v>1</v>
      </c>
      <c r="C1810" s="0" t="n">
        <v>6014</v>
      </c>
      <c r="D1810" s="0" t="n">
        <v>49</v>
      </c>
      <c r="E1810" s="0" t="n">
        <v>1</v>
      </c>
      <c r="F1810" s="39" t="s">
        <v>1032</v>
      </c>
      <c r="G1810" s="0" t="n">
        <v>38.7</v>
      </c>
      <c r="H1810" s="0" t="n">
        <v>38</v>
      </c>
      <c r="I1810" s="39" t="s">
        <v>118</v>
      </c>
      <c r="J1810" s="0" t="n">
        <v>49</v>
      </c>
      <c r="P1810" s="0" t="n">
        <v>3.89</v>
      </c>
      <c r="Q1810" s="0" t="n">
        <v>3.32</v>
      </c>
      <c r="R1810" s="0" t="n">
        <v>3142</v>
      </c>
      <c r="S1810" s="0" t="n">
        <v>6317</v>
      </c>
      <c r="U1810" s="0" t="n">
        <v>715</v>
      </c>
      <c r="V1810" s="0" t="n">
        <v>0</v>
      </c>
      <c r="W1810" s="39" t="n">
        <f aca="false">IF(I1810="Male",0,1)</f>
        <v>1</v>
      </c>
      <c r="X1810" s="39" t="n">
        <f aca="false">IF(OR(I1810="DNB",I1810="Dry DNB"),1,0)</f>
        <v>0</v>
      </c>
      <c r="Y1810" s="39" t="n">
        <f aca="false">MATCH(A1810,DATAS,0)</f>
        <v>1</v>
      </c>
      <c r="Z1810" s="39" t="n">
        <f aca="false">IF(AND(E1810&gt;0,OR(AND(B1810&gt;=1,B1810&lt;=6),B1810=10)),1,0)</f>
        <v>1</v>
      </c>
      <c r="AA1810" s="39" t="n">
        <f aca="false">IF(AND(E1810&gt;0,B1810=10),1,0)</f>
        <v>0</v>
      </c>
      <c r="AB1810" s="0" t="str">
        <f aca="false">IF(AND(C1809=C1810,Y1809=Y1810-1),Z1809,"")</f>
        <v/>
      </c>
      <c r="AC1810" s="0" t="str">
        <f aca="false">IF(AND(C1809=C1810,Y1809=Y1810-1),AA1809,"")</f>
        <v/>
      </c>
      <c r="AD1810" s="0" t="str">
        <f aca="false">IF(Y1810=1,"",IF(AND(Z1810=1,AB1810&lt;&gt;1),1,0))</f>
        <v/>
      </c>
      <c r="AE1810" s="0" t="str">
        <f aca="false">IF(Y1810=1,"",IF(AND(AA1810=1,AC1810&lt;&gt;1),1,0))</f>
        <v/>
      </c>
      <c r="AF1810" s="45" t="str">
        <f aca="false">IF(AND(E1810&gt;0,Y1810&lt;1,NOT(AND(C1811=C1810,Y1811=Y1810+1))),INDEX(DATAS,Y1810+1),"")</f>
        <v/>
      </c>
      <c r="AG1810" s="45" t="str">
        <f aca="false">IF(AND(AA1810=1,Y1810&lt;1),IF(AND(C1811=C1810,Y1811=Y1810+1),IF(AA1811=1,"",INDEX(DATAS,Y1810+1)),INDEX(DATAS,Y1810+1)),"")</f>
        <v/>
      </c>
    </row>
    <row r="1811" customFormat="false" ht="15" hidden="false" customHeight="false" outlineLevel="0" collapsed="false">
      <c r="A1811" s="45" t="n">
        <v>46309</v>
      </c>
      <c r="B1811" s="0" t="n">
        <v>14</v>
      </c>
      <c r="C1811" s="0" t="n">
        <v>6015</v>
      </c>
      <c r="E1811" s="0" t="n">
        <v>0</v>
      </c>
      <c r="F1811" s="39" t="s">
        <v>1032</v>
      </c>
      <c r="I1811" s="39" t="s">
        <v>109</v>
      </c>
      <c r="L1811" s="0" t="n">
        <v>255</v>
      </c>
      <c r="U1811" s="0" t="n">
        <v>715</v>
      </c>
      <c r="V1811" s="0" t="n">
        <v>4</v>
      </c>
      <c r="W1811" s="39" t="n">
        <f aca="false">IF(I1811="Male",0,1)</f>
        <v>1</v>
      </c>
      <c r="X1811" s="39" t="n">
        <f aca="false">IF(OR(I1811="DNB",I1811="Dry DNB"),1,0)</f>
        <v>0</v>
      </c>
      <c r="Y1811" s="39" t="n">
        <f aca="false">MATCH(A1811,DATAS,0)</f>
        <v>1</v>
      </c>
      <c r="Z1811" s="39" t="n">
        <f aca="false">IF(AND(E1811&gt;0,OR(AND(B1811&gt;=1,B1811&lt;=6),B1811=10)),1,0)</f>
        <v>0</v>
      </c>
      <c r="AA1811" s="39" t="n">
        <f aca="false">IF(AND(E1811&gt;0,B1811=10),1,0)</f>
        <v>0</v>
      </c>
      <c r="AB1811" s="0" t="str">
        <f aca="false">IF(AND(C1810=C1811,Y1810=Y1811-1),Z1810,"")</f>
        <v/>
      </c>
      <c r="AC1811" s="0" t="str">
        <f aca="false">IF(AND(C1810=C1811,Y1810=Y1811-1),AA1810,"")</f>
        <v/>
      </c>
      <c r="AD1811" s="0" t="str">
        <f aca="false">IF(Y1811=1,"",IF(AND(Z1811=1,AB1811&lt;&gt;1),1,0))</f>
        <v/>
      </c>
      <c r="AE1811" s="0" t="str">
        <f aca="false">IF(Y1811=1,"",IF(AND(AA1811=1,AC1811&lt;&gt;1),1,0))</f>
        <v/>
      </c>
      <c r="AF1811" s="45" t="str">
        <f aca="false">IF(AND(E1811&gt;0,Y1811&lt;1,NOT(AND(C1812=C1811,Y1812=Y1811+1))),INDEX(DATAS,Y1811+1),"")</f>
        <v/>
      </c>
      <c r="AG1811" s="45" t="str">
        <f aca="false">IF(AND(AA1811=1,Y1811&lt;1),IF(AND(C1812=C1811,Y1812=Y1811+1),IF(AA1812=1,"",INDEX(DATAS,Y1811+1)),INDEX(DATAS,Y1811+1)),"")</f>
        <v/>
      </c>
    </row>
    <row r="1812" customFormat="false" ht="15" hidden="false" customHeight="false" outlineLevel="0" collapsed="false">
      <c r="A1812" s="45" t="n">
        <v>46309</v>
      </c>
      <c r="B1812" s="0" t="n">
        <v>1</v>
      </c>
      <c r="C1812" s="0" t="n">
        <v>6017</v>
      </c>
      <c r="D1812" s="0" t="n">
        <v>30</v>
      </c>
      <c r="E1812" s="0" t="n">
        <v>1</v>
      </c>
      <c r="F1812" s="39" t="s">
        <v>1032</v>
      </c>
      <c r="G1812" s="0" t="n">
        <v>35.7</v>
      </c>
      <c r="H1812" s="0" t="n">
        <v>34</v>
      </c>
      <c r="I1812" s="39" t="s">
        <v>118</v>
      </c>
      <c r="J1812" s="0" t="n">
        <v>30</v>
      </c>
      <c r="P1812" s="0" t="n">
        <v>5.1</v>
      </c>
      <c r="Q1812" s="0" t="n">
        <v>4.08</v>
      </c>
      <c r="R1812" s="0" t="n">
        <v>3275</v>
      </c>
      <c r="S1812" s="0" t="n">
        <v>6583</v>
      </c>
      <c r="U1812" s="0" t="n">
        <v>715</v>
      </c>
      <c r="V1812" s="0" t="n">
        <v>0</v>
      </c>
      <c r="W1812" s="39" t="n">
        <f aca="false">IF(I1812="Male",0,1)</f>
        <v>1</v>
      </c>
      <c r="X1812" s="39" t="n">
        <f aca="false">IF(OR(I1812="DNB",I1812="Dry DNB"),1,0)</f>
        <v>0</v>
      </c>
      <c r="Y1812" s="39" t="n">
        <f aca="false">MATCH(A1812,DATAS,0)</f>
        <v>1</v>
      </c>
      <c r="Z1812" s="39" t="n">
        <f aca="false">IF(AND(E1812&gt;0,OR(AND(B1812&gt;=1,B1812&lt;=6),B1812=10)),1,0)</f>
        <v>1</v>
      </c>
      <c r="AA1812" s="39" t="n">
        <f aca="false">IF(AND(E1812&gt;0,B1812=10),1,0)</f>
        <v>0</v>
      </c>
      <c r="AB1812" s="0" t="str">
        <f aca="false">IF(AND(C1811=C1812,Y1811=Y1812-1),Z1811,"")</f>
        <v/>
      </c>
      <c r="AC1812" s="0" t="str">
        <f aca="false">IF(AND(C1811=C1812,Y1811=Y1812-1),AA1811,"")</f>
        <v/>
      </c>
      <c r="AD1812" s="0" t="str">
        <f aca="false">IF(Y1812=1,"",IF(AND(Z1812=1,AB1812&lt;&gt;1),1,0))</f>
        <v/>
      </c>
      <c r="AE1812" s="0" t="str">
        <f aca="false">IF(Y1812=1,"",IF(AND(AA1812=1,AC1812&lt;&gt;1),1,0))</f>
        <v/>
      </c>
      <c r="AF1812" s="45" t="str">
        <f aca="false">IF(AND(E1812&gt;0,Y1812&lt;1,NOT(AND(C1813=C1812,Y1813=Y1812+1))),INDEX(DATAS,Y1812+1),"")</f>
        <v/>
      </c>
      <c r="AG1812" s="45" t="str">
        <f aca="false">IF(AND(AA1812=1,Y1812&lt;1),IF(AND(C1813=C1812,Y1813=Y1812+1),IF(AA1813=1,"",INDEX(DATAS,Y1812+1)),INDEX(DATAS,Y1812+1)),"")</f>
        <v/>
      </c>
    </row>
    <row r="1813" customFormat="false" ht="15" hidden="false" customHeight="false" outlineLevel="0" collapsed="false">
      <c r="A1813" s="45" t="n">
        <v>46309</v>
      </c>
      <c r="B1813" s="0" t="n">
        <v>1</v>
      </c>
      <c r="C1813" s="0" t="n">
        <v>6018</v>
      </c>
      <c r="D1813" s="0" t="n">
        <v>55</v>
      </c>
      <c r="E1813" s="0" t="n">
        <v>1</v>
      </c>
      <c r="F1813" s="39" t="s">
        <v>1032</v>
      </c>
      <c r="G1813" s="0" t="n">
        <v>41.8</v>
      </c>
      <c r="H1813" s="0" t="n">
        <v>45</v>
      </c>
      <c r="I1813" s="39" t="s">
        <v>118</v>
      </c>
      <c r="J1813" s="0" t="n">
        <v>55</v>
      </c>
      <c r="P1813" s="0" t="n">
        <v>4.53</v>
      </c>
      <c r="Q1813" s="0" t="n">
        <v>3.39</v>
      </c>
      <c r="R1813" s="0" t="n">
        <v>3964</v>
      </c>
      <c r="S1813" s="0" t="n">
        <v>7969</v>
      </c>
      <c r="U1813" s="0" t="n">
        <v>715</v>
      </c>
      <c r="V1813" s="0" t="n">
        <v>0</v>
      </c>
      <c r="W1813" s="39" t="n">
        <f aca="false">IF(I1813="Male",0,1)</f>
        <v>1</v>
      </c>
      <c r="X1813" s="39" t="n">
        <f aca="false">IF(OR(I1813="DNB",I1813="Dry DNB"),1,0)</f>
        <v>0</v>
      </c>
      <c r="Y1813" s="39" t="n">
        <f aca="false">MATCH(A1813,DATAS,0)</f>
        <v>1</v>
      </c>
      <c r="Z1813" s="39" t="n">
        <f aca="false">IF(AND(E1813&gt;0,OR(AND(B1813&gt;=1,B1813&lt;=6),B1813=10)),1,0)</f>
        <v>1</v>
      </c>
      <c r="AA1813" s="39" t="n">
        <f aca="false">IF(AND(E1813&gt;0,B1813=10),1,0)</f>
        <v>0</v>
      </c>
      <c r="AB1813" s="0" t="str">
        <f aca="false">IF(AND(C1812=C1813,Y1812=Y1813-1),Z1812,"")</f>
        <v/>
      </c>
      <c r="AC1813" s="0" t="str">
        <f aca="false">IF(AND(C1812=C1813,Y1812=Y1813-1),AA1812,"")</f>
        <v/>
      </c>
      <c r="AD1813" s="0" t="str">
        <f aca="false">IF(Y1813=1,"",IF(AND(Z1813=1,AB1813&lt;&gt;1),1,0))</f>
        <v/>
      </c>
      <c r="AE1813" s="0" t="str">
        <f aca="false">IF(Y1813=1,"",IF(AND(AA1813=1,AC1813&lt;&gt;1),1,0))</f>
        <v/>
      </c>
      <c r="AF1813" s="45" t="str">
        <f aca="false">IF(AND(E1813&gt;0,Y1813&lt;1,NOT(AND(C1814=C1813,Y1814=Y1813+1))),INDEX(DATAS,Y1813+1),"")</f>
        <v/>
      </c>
      <c r="AG1813" s="45" t="str">
        <f aca="false">IF(AND(AA1813=1,Y1813&lt;1),IF(AND(C1814=C1813,Y1814=Y1813+1),IF(AA1814=1,"",INDEX(DATAS,Y1813+1)),INDEX(DATAS,Y1813+1)),"")</f>
        <v/>
      </c>
    </row>
    <row r="1814" customFormat="false" ht="15" hidden="false" customHeight="false" outlineLevel="0" collapsed="false">
      <c r="A1814" s="45" t="n">
        <v>46309</v>
      </c>
      <c r="B1814" s="0" t="n">
        <v>14</v>
      </c>
      <c r="C1814" s="0" t="n">
        <v>6021</v>
      </c>
      <c r="E1814" s="0" t="n">
        <v>0</v>
      </c>
      <c r="F1814" s="39" t="s">
        <v>1033</v>
      </c>
      <c r="I1814" s="39" t="s">
        <v>109</v>
      </c>
      <c r="L1814" s="0" t="n">
        <v>260</v>
      </c>
      <c r="U1814" s="0" t="n">
        <v>714</v>
      </c>
      <c r="V1814" s="0" t="n">
        <v>4</v>
      </c>
      <c r="W1814" s="39" t="n">
        <f aca="false">IF(I1814="Male",0,1)</f>
        <v>1</v>
      </c>
      <c r="X1814" s="39" t="n">
        <f aca="false">IF(OR(I1814="DNB",I1814="Dry DNB"),1,0)</f>
        <v>0</v>
      </c>
      <c r="Y1814" s="39" t="n">
        <f aca="false">MATCH(A1814,DATAS,0)</f>
        <v>1</v>
      </c>
      <c r="Z1814" s="39" t="n">
        <f aca="false">IF(AND(E1814&gt;0,OR(AND(B1814&gt;=1,B1814&lt;=6),B1814=10)),1,0)</f>
        <v>0</v>
      </c>
      <c r="AA1814" s="39" t="n">
        <f aca="false">IF(AND(E1814&gt;0,B1814=10),1,0)</f>
        <v>0</v>
      </c>
      <c r="AB1814" s="0" t="str">
        <f aca="false">IF(AND(C1813=C1814,Y1813=Y1814-1),Z1813,"")</f>
        <v/>
      </c>
      <c r="AC1814" s="0" t="str">
        <f aca="false">IF(AND(C1813=C1814,Y1813=Y1814-1),AA1813,"")</f>
        <v/>
      </c>
      <c r="AD1814" s="0" t="str">
        <f aca="false">IF(Y1814=1,"",IF(AND(Z1814=1,AB1814&lt;&gt;1),1,0))</f>
        <v/>
      </c>
      <c r="AE1814" s="0" t="str">
        <f aca="false">IF(Y1814=1,"",IF(AND(AA1814=1,AC1814&lt;&gt;1),1,0))</f>
        <v/>
      </c>
      <c r="AF1814" s="45" t="str">
        <f aca="false">IF(AND(E1814&gt;0,Y1814&lt;1,NOT(AND(C1815=C1814,Y1815=Y1814+1))),INDEX(DATAS,Y1814+1),"")</f>
        <v/>
      </c>
      <c r="AG1814" s="45" t="str">
        <f aca="false">IF(AND(AA1814=1,Y1814&lt;1),IF(AND(C1815=C1814,Y1815=Y1814+1),IF(AA1815=1,"",INDEX(DATAS,Y1814+1)),INDEX(DATAS,Y1814+1)),"")</f>
        <v/>
      </c>
    </row>
    <row r="1815" customFormat="false" ht="15" hidden="false" customHeight="false" outlineLevel="0" collapsed="false">
      <c r="A1815" s="45" t="n">
        <v>46309</v>
      </c>
      <c r="B1815" s="0" t="n">
        <v>1</v>
      </c>
      <c r="C1815" s="0" t="n">
        <v>6024</v>
      </c>
      <c r="D1815" s="0" t="n">
        <v>53</v>
      </c>
      <c r="E1815" s="0" t="n">
        <v>1</v>
      </c>
      <c r="F1815" s="39" t="s">
        <v>1034</v>
      </c>
      <c r="G1815" s="0" t="n">
        <v>47.4</v>
      </c>
      <c r="H1815" s="0" t="n">
        <v>48</v>
      </c>
      <c r="I1815" s="39" t="s">
        <v>118</v>
      </c>
      <c r="J1815" s="0" t="n">
        <v>53</v>
      </c>
      <c r="P1815" s="0" t="n">
        <v>3.51</v>
      </c>
      <c r="Q1815" s="0" t="n">
        <v>3.01</v>
      </c>
      <c r="R1815" s="0" t="n">
        <v>3671</v>
      </c>
      <c r="S1815" s="0" t="n">
        <v>7379</v>
      </c>
      <c r="U1815" s="0" t="n">
        <v>713</v>
      </c>
      <c r="V1815" s="0" t="n">
        <v>0</v>
      </c>
      <c r="W1815" s="39" t="n">
        <f aca="false">IF(I1815="Male",0,1)</f>
        <v>1</v>
      </c>
      <c r="X1815" s="39" t="n">
        <f aca="false">IF(OR(I1815="DNB",I1815="Dry DNB"),1,0)</f>
        <v>0</v>
      </c>
      <c r="Y1815" s="39" t="n">
        <f aca="false">MATCH(A1815,DATAS,0)</f>
        <v>1</v>
      </c>
      <c r="Z1815" s="39" t="n">
        <f aca="false">IF(AND(E1815&gt;0,OR(AND(B1815&gt;=1,B1815&lt;=6),B1815=10)),1,0)</f>
        <v>1</v>
      </c>
      <c r="AA1815" s="39" t="n">
        <f aca="false">IF(AND(E1815&gt;0,B1815=10),1,0)</f>
        <v>0</v>
      </c>
      <c r="AB1815" s="0" t="str">
        <f aca="false">IF(AND(C1814=C1815,Y1814=Y1815-1),Z1814,"")</f>
        <v/>
      </c>
      <c r="AC1815" s="0" t="str">
        <f aca="false">IF(AND(C1814=C1815,Y1814=Y1815-1),AA1814,"")</f>
        <v/>
      </c>
      <c r="AD1815" s="0" t="str">
        <f aca="false">IF(Y1815=1,"",IF(AND(Z1815=1,AB1815&lt;&gt;1),1,0))</f>
        <v/>
      </c>
      <c r="AE1815" s="0" t="str">
        <f aca="false">IF(Y1815=1,"",IF(AND(AA1815=1,AC1815&lt;&gt;1),1,0))</f>
        <v/>
      </c>
      <c r="AF1815" s="45" t="str">
        <f aca="false">IF(AND(E1815&gt;0,Y1815&lt;1,NOT(AND(C1816=C1815,Y1816=Y1815+1))),INDEX(DATAS,Y1815+1),"")</f>
        <v/>
      </c>
      <c r="AG1815" s="45" t="str">
        <f aca="false">IF(AND(AA1815=1,Y1815&lt;1),IF(AND(C1816=C1815,Y1816=Y1815+1),IF(AA1816=1,"",INDEX(DATAS,Y1815+1)),INDEX(DATAS,Y1815+1)),"")</f>
        <v/>
      </c>
    </row>
    <row r="1816" customFormat="false" ht="15" hidden="false" customHeight="false" outlineLevel="0" collapsed="false">
      <c r="A1816" s="45" t="n">
        <v>46309</v>
      </c>
      <c r="B1816" s="0" t="n">
        <v>1</v>
      </c>
      <c r="C1816" s="0" t="n">
        <v>6025</v>
      </c>
      <c r="D1816" s="0" t="n">
        <v>63</v>
      </c>
      <c r="E1816" s="0" t="n">
        <v>1</v>
      </c>
      <c r="F1816" s="39" t="s">
        <v>1035</v>
      </c>
      <c r="G1816" s="0" t="n">
        <v>43</v>
      </c>
      <c r="H1816" s="0" t="n">
        <v>42</v>
      </c>
      <c r="I1816" s="39" t="s">
        <v>138</v>
      </c>
      <c r="J1816" s="0" t="n">
        <v>63</v>
      </c>
      <c r="K1816" s="0" t="n">
        <v>63</v>
      </c>
      <c r="P1816" s="0" t="n">
        <v>3.9</v>
      </c>
      <c r="Q1816" s="0" t="n">
        <v>3</v>
      </c>
      <c r="R1816" s="0" t="n">
        <v>3505</v>
      </c>
      <c r="S1816" s="0" t="n">
        <v>7046</v>
      </c>
      <c r="U1816" s="0" t="n">
        <v>712</v>
      </c>
      <c r="V1816" s="0" t="n">
        <v>1</v>
      </c>
      <c r="W1816" s="39" t="n">
        <f aca="false">IF(I1816="Male",0,1)</f>
        <v>1</v>
      </c>
      <c r="X1816" s="39" t="n">
        <f aca="false">IF(OR(I1816="DNB",I1816="Dry DNB"),1,0)</f>
        <v>0</v>
      </c>
      <c r="Y1816" s="39" t="n">
        <f aca="false">MATCH(A1816,DATAS,0)</f>
        <v>1</v>
      </c>
      <c r="Z1816" s="39" t="n">
        <f aca="false">IF(AND(E1816&gt;0,OR(AND(B1816&gt;=1,B1816&lt;=6),B1816=10)),1,0)</f>
        <v>1</v>
      </c>
      <c r="AA1816" s="39" t="n">
        <f aca="false">IF(AND(E1816&gt;0,B1816=10),1,0)</f>
        <v>0</v>
      </c>
      <c r="AB1816" s="0" t="str">
        <f aca="false">IF(AND(C1815=C1816,Y1815=Y1816-1),Z1815,"")</f>
        <v/>
      </c>
      <c r="AC1816" s="0" t="str">
        <f aca="false">IF(AND(C1815=C1816,Y1815=Y1816-1),AA1815,"")</f>
        <v/>
      </c>
      <c r="AD1816" s="0" t="str">
        <f aca="false">IF(Y1816=1,"",IF(AND(Z1816=1,AB1816&lt;&gt;1),1,0))</f>
        <v/>
      </c>
      <c r="AE1816" s="0" t="str">
        <f aca="false">IF(Y1816=1,"",IF(AND(AA1816=1,AC1816&lt;&gt;1),1,0))</f>
        <v/>
      </c>
      <c r="AF1816" s="45" t="str">
        <f aca="false">IF(AND(E1816&gt;0,Y1816&lt;1,NOT(AND(C1817=C1816,Y1817=Y1816+1))),INDEX(DATAS,Y1816+1),"")</f>
        <v/>
      </c>
      <c r="AG1816" s="45" t="str">
        <f aca="false">IF(AND(AA1816=1,Y1816&lt;1),IF(AND(C1817=C1816,Y1817=Y1816+1),IF(AA1817=1,"",INDEX(DATAS,Y1816+1)),INDEX(DATAS,Y1816+1)),"")</f>
        <v/>
      </c>
    </row>
    <row r="1817" customFormat="false" ht="15" hidden="false" customHeight="false" outlineLevel="0" collapsed="false">
      <c r="A1817" s="45" t="n">
        <v>46309</v>
      </c>
      <c r="B1817" s="0" t="n">
        <v>1</v>
      </c>
      <c r="C1817" s="0" t="n">
        <v>6026</v>
      </c>
      <c r="D1817" s="0" t="n">
        <v>66</v>
      </c>
      <c r="E1817" s="0" t="n">
        <v>1</v>
      </c>
      <c r="F1817" s="39" t="s">
        <v>1035</v>
      </c>
      <c r="G1817" s="0" t="n">
        <v>46.2</v>
      </c>
      <c r="H1817" s="0" t="n">
        <v>42</v>
      </c>
      <c r="I1817" s="39" t="s">
        <v>138</v>
      </c>
      <c r="J1817" s="0" t="n">
        <v>66</v>
      </c>
      <c r="K1817" s="0" t="n">
        <v>66</v>
      </c>
      <c r="P1817" s="0" t="n">
        <v>4.16</v>
      </c>
      <c r="Q1817" s="0" t="n">
        <v>3.48</v>
      </c>
      <c r="R1817" s="0" t="n">
        <v>3631</v>
      </c>
      <c r="S1817" s="0" t="n">
        <v>7300</v>
      </c>
      <c r="U1817" s="0" t="n">
        <v>712</v>
      </c>
      <c r="V1817" s="0" t="n">
        <v>1</v>
      </c>
      <c r="W1817" s="39" t="n">
        <f aca="false">IF(I1817="Male",0,1)</f>
        <v>1</v>
      </c>
      <c r="X1817" s="39" t="n">
        <f aca="false">IF(OR(I1817="DNB",I1817="Dry DNB"),1,0)</f>
        <v>0</v>
      </c>
      <c r="Y1817" s="39" t="n">
        <f aca="false">MATCH(A1817,DATAS,0)</f>
        <v>1</v>
      </c>
      <c r="Z1817" s="39" t="n">
        <f aca="false">IF(AND(E1817&gt;0,OR(AND(B1817&gt;=1,B1817&lt;=6),B1817=10)),1,0)</f>
        <v>1</v>
      </c>
      <c r="AA1817" s="39" t="n">
        <f aca="false">IF(AND(E1817&gt;0,B1817=10),1,0)</f>
        <v>0</v>
      </c>
      <c r="AB1817" s="0" t="str">
        <f aca="false">IF(AND(C1816=C1817,Y1816=Y1817-1),Z1816,"")</f>
        <v/>
      </c>
      <c r="AC1817" s="0" t="str">
        <f aca="false">IF(AND(C1816=C1817,Y1816=Y1817-1),AA1816,"")</f>
        <v/>
      </c>
      <c r="AD1817" s="0" t="str">
        <f aca="false">IF(Y1817=1,"",IF(AND(Z1817=1,AB1817&lt;&gt;1),1,0))</f>
        <v/>
      </c>
      <c r="AE1817" s="0" t="str">
        <f aca="false">IF(Y1817=1,"",IF(AND(AA1817=1,AC1817&lt;&gt;1),1,0))</f>
        <v/>
      </c>
      <c r="AF1817" s="45" t="str">
        <f aca="false">IF(AND(E1817&gt;0,Y1817&lt;1,NOT(AND(C1818=C1817,Y1818=Y1817+1))),INDEX(DATAS,Y1817+1),"")</f>
        <v/>
      </c>
      <c r="AG1817" s="45" t="str">
        <f aca="false">IF(AND(AA1817=1,Y1817&lt;1),IF(AND(C1818=C1817,Y1818=Y1817+1),IF(AA1818=1,"",INDEX(DATAS,Y1817+1)),INDEX(DATAS,Y1817+1)),"")</f>
        <v/>
      </c>
    </row>
    <row r="1818" customFormat="false" ht="15" hidden="false" customHeight="false" outlineLevel="0" collapsed="false">
      <c r="A1818" s="45" t="n">
        <v>46309</v>
      </c>
      <c r="B1818" s="0" t="n">
        <v>1</v>
      </c>
      <c r="C1818" s="0" t="n">
        <v>6027</v>
      </c>
      <c r="D1818" s="0" t="n">
        <v>74</v>
      </c>
      <c r="E1818" s="0" t="n">
        <v>1</v>
      </c>
      <c r="F1818" s="39" t="s">
        <v>1035</v>
      </c>
      <c r="G1818" s="0" t="n">
        <v>57.9</v>
      </c>
      <c r="H1818" s="0" t="n">
        <v>55</v>
      </c>
      <c r="I1818" s="39" t="s">
        <v>138</v>
      </c>
      <c r="J1818" s="0" t="n">
        <v>74</v>
      </c>
      <c r="K1818" s="0" t="n">
        <v>67</v>
      </c>
      <c r="P1818" s="0" t="n">
        <v>3.05</v>
      </c>
      <c r="Q1818" s="0" t="n">
        <v>2.82</v>
      </c>
      <c r="R1818" s="0" t="n">
        <v>5155</v>
      </c>
      <c r="S1818" s="0" t="n">
        <v>10362</v>
      </c>
      <c r="U1818" s="0" t="n">
        <v>712</v>
      </c>
      <c r="V1818" s="0" t="n">
        <v>1</v>
      </c>
      <c r="W1818" s="39" t="n">
        <f aca="false">IF(I1818="Male",0,1)</f>
        <v>1</v>
      </c>
      <c r="X1818" s="39" t="n">
        <f aca="false">IF(OR(I1818="DNB",I1818="Dry DNB"),1,0)</f>
        <v>0</v>
      </c>
      <c r="Y1818" s="39" t="n">
        <f aca="false">MATCH(A1818,DATAS,0)</f>
        <v>1</v>
      </c>
      <c r="Z1818" s="39" t="n">
        <f aca="false">IF(AND(E1818&gt;0,OR(AND(B1818&gt;=1,B1818&lt;=6),B1818=10)),1,0)</f>
        <v>1</v>
      </c>
      <c r="AA1818" s="39" t="n">
        <f aca="false">IF(AND(E1818&gt;0,B1818=10),1,0)</f>
        <v>0</v>
      </c>
      <c r="AB1818" s="0" t="str">
        <f aca="false">IF(AND(C1817=C1818,Y1817=Y1818-1),Z1817,"")</f>
        <v/>
      </c>
      <c r="AC1818" s="0" t="str">
        <f aca="false">IF(AND(C1817=C1818,Y1817=Y1818-1),AA1817,"")</f>
        <v/>
      </c>
      <c r="AD1818" s="0" t="str">
        <f aca="false">IF(Y1818=1,"",IF(AND(Z1818=1,AB1818&lt;&gt;1),1,0))</f>
        <v/>
      </c>
      <c r="AE1818" s="0" t="str">
        <f aca="false">IF(Y1818=1,"",IF(AND(AA1818=1,AC1818&lt;&gt;1),1,0))</f>
        <v/>
      </c>
      <c r="AF1818" s="45" t="str">
        <f aca="false">IF(AND(E1818&gt;0,Y1818&lt;1,NOT(AND(C1819=C1818,Y1819=Y1818+1))),INDEX(DATAS,Y1818+1),"")</f>
        <v/>
      </c>
      <c r="AG1818" s="45" t="str">
        <f aca="false">IF(AND(AA1818=1,Y1818&lt;1),IF(AND(C1819=C1818,Y1819=Y1818+1),IF(AA1819=1,"",INDEX(DATAS,Y1818+1)),INDEX(DATAS,Y1818+1)),"")</f>
        <v/>
      </c>
    </row>
    <row r="1819" customFormat="false" ht="15" hidden="false" customHeight="false" outlineLevel="0" collapsed="false">
      <c r="A1819" s="45" t="n">
        <v>46309</v>
      </c>
      <c r="B1819" s="0" t="n">
        <v>8</v>
      </c>
      <c r="C1819" s="0" t="n">
        <v>6028</v>
      </c>
      <c r="E1819" s="0" t="n">
        <v>0</v>
      </c>
      <c r="F1819" s="39" t="s">
        <v>1035</v>
      </c>
      <c r="I1819" s="39" t="s">
        <v>109</v>
      </c>
      <c r="L1819" s="0" t="n">
        <v>42</v>
      </c>
      <c r="U1819" s="0" t="n">
        <v>712</v>
      </c>
      <c r="V1819" s="0" t="n">
        <v>5</v>
      </c>
      <c r="W1819" s="39" t="n">
        <f aca="false">IF(I1819="Male",0,1)</f>
        <v>1</v>
      </c>
      <c r="X1819" s="39" t="n">
        <f aca="false">IF(OR(I1819="DNB",I1819="Dry DNB"),1,0)</f>
        <v>0</v>
      </c>
      <c r="Y1819" s="39" t="n">
        <f aca="false">MATCH(A1819,DATAS,0)</f>
        <v>1</v>
      </c>
      <c r="Z1819" s="39" t="n">
        <f aca="false">IF(AND(E1819&gt;0,OR(AND(B1819&gt;=1,B1819&lt;=6),B1819=10)),1,0)</f>
        <v>0</v>
      </c>
      <c r="AA1819" s="39" t="n">
        <f aca="false">IF(AND(E1819&gt;0,B1819=10),1,0)</f>
        <v>0</v>
      </c>
      <c r="AB1819" s="0" t="str">
        <f aca="false">IF(AND(C1818=C1819,Y1818=Y1819-1),Z1818,"")</f>
        <v/>
      </c>
      <c r="AC1819" s="0" t="str">
        <f aca="false">IF(AND(C1818=C1819,Y1818=Y1819-1),AA1818,"")</f>
        <v/>
      </c>
      <c r="AD1819" s="0" t="str">
        <f aca="false">IF(Y1819=1,"",IF(AND(Z1819=1,AB1819&lt;&gt;1),1,0))</f>
        <v/>
      </c>
      <c r="AE1819" s="0" t="str">
        <f aca="false">IF(Y1819=1,"",IF(AND(AA1819=1,AC1819&lt;&gt;1),1,0))</f>
        <v/>
      </c>
      <c r="AF1819" s="45" t="str">
        <f aca="false">IF(AND(E1819&gt;0,Y1819&lt;1,NOT(AND(C1820=C1819,Y1820=Y1819+1))),INDEX(DATAS,Y1819+1),"")</f>
        <v/>
      </c>
      <c r="AG1819" s="45" t="str">
        <f aca="false">IF(AND(AA1819=1,Y1819&lt;1),IF(AND(C1820=C1819,Y1820=Y1819+1),IF(AA1820=1,"",INDEX(DATAS,Y1819+1)),INDEX(DATAS,Y1819+1)),"")</f>
        <v/>
      </c>
    </row>
    <row r="1820" customFormat="false" ht="15" hidden="false" customHeight="false" outlineLevel="0" collapsed="false">
      <c r="A1820" s="45" t="n">
        <v>46309</v>
      </c>
      <c r="B1820" s="0" t="n">
        <v>1</v>
      </c>
      <c r="C1820" s="0" t="n">
        <v>6029</v>
      </c>
      <c r="D1820" s="0" t="n">
        <v>25</v>
      </c>
      <c r="E1820" s="0" t="n">
        <v>1</v>
      </c>
      <c r="F1820" s="39" t="s">
        <v>1036</v>
      </c>
      <c r="G1820" s="0" t="n">
        <v>33.1</v>
      </c>
      <c r="H1820" s="0" t="n">
        <v>30</v>
      </c>
      <c r="I1820" s="39" t="s">
        <v>118</v>
      </c>
      <c r="J1820" s="0" t="n">
        <v>25</v>
      </c>
      <c r="R1820" s="0" t="n">
        <v>2467</v>
      </c>
      <c r="S1820" s="0" t="n">
        <v>4959</v>
      </c>
      <c r="U1820" s="0" t="n">
        <v>711</v>
      </c>
      <c r="V1820" s="0" t="n">
        <v>0</v>
      </c>
      <c r="W1820" s="39" t="n">
        <f aca="false">IF(I1820="Male",0,1)</f>
        <v>1</v>
      </c>
      <c r="X1820" s="39" t="n">
        <f aca="false">IF(OR(I1820="DNB",I1820="Dry DNB"),1,0)</f>
        <v>0</v>
      </c>
      <c r="Y1820" s="39" t="n">
        <f aca="false">MATCH(A1820,DATAS,0)</f>
        <v>1</v>
      </c>
      <c r="Z1820" s="39" t="n">
        <f aca="false">IF(AND(E1820&gt;0,OR(AND(B1820&gt;=1,B1820&lt;=6),B1820=10)),1,0)</f>
        <v>1</v>
      </c>
      <c r="AA1820" s="39" t="n">
        <f aca="false">IF(AND(E1820&gt;0,B1820=10),1,0)</f>
        <v>0</v>
      </c>
      <c r="AB1820" s="0" t="str">
        <f aca="false">IF(AND(C1819=C1820,Y1819=Y1820-1),Z1819,"")</f>
        <v/>
      </c>
      <c r="AC1820" s="0" t="str">
        <f aca="false">IF(AND(C1819=C1820,Y1819=Y1820-1),AA1819,"")</f>
        <v/>
      </c>
      <c r="AD1820" s="0" t="str">
        <f aca="false">IF(Y1820=1,"",IF(AND(Z1820=1,AB1820&lt;&gt;1),1,0))</f>
        <v/>
      </c>
      <c r="AE1820" s="0" t="str">
        <f aca="false">IF(Y1820=1,"",IF(AND(AA1820=1,AC1820&lt;&gt;1),1,0))</f>
        <v/>
      </c>
      <c r="AF1820" s="45" t="str">
        <f aca="false">IF(AND(E1820&gt;0,Y1820&lt;1,NOT(AND(C1821=C1820,Y1821=Y1820+1))),INDEX(DATAS,Y1820+1),"")</f>
        <v/>
      </c>
      <c r="AG1820" s="45" t="str">
        <f aca="false">IF(AND(AA1820=1,Y1820&lt;1),IF(AND(C1821=C1820,Y1821=Y1820+1),IF(AA1821=1,"",INDEX(DATAS,Y1820+1)),INDEX(DATAS,Y1820+1)),"")</f>
        <v/>
      </c>
    </row>
    <row r="1821" customFormat="false" ht="15" hidden="false" customHeight="false" outlineLevel="0" collapsed="false">
      <c r="A1821" s="45" t="n">
        <v>46309</v>
      </c>
      <c r="B1821" s="0" t="n">
        <v>1</v>
      </c>
      <c r="C1821" s="0" t="n">
        <v>6030</v>
      </c>
      <c r="D1821" s="0" t="n">
        <v>59</v>
      </c>
      <c r="E1821" s="0" t="n">
        <v>1</v>
      </c>
      <c r="F1821" s="39" t="s">
        <v>1036</v>
      </c>
      <c r="G1821" s="0" t="n">
        <v>48.9</v>
      </c>
      <c r="H1821" s="0" t="n">
        <v>47</v>
      </c>
      <c r="I1821" s="39" t="s">
        <v>118</v>
      </c>
      <c r="J1821" s="0" t="n">
        <v>59</v>
      </c>
      <c r="P1821" s="0" t="n">
        <v>3.38</v>
      </c>
      <c r="Q1821" s="0" t="n">
        <v>2.89</v>
      </c>
      <c r="R1821" s="0" t="n">
        <v>4380</v>
      </c>
      <c r="S1821" s="0" t="n">
        <v>8804</v>
      </c>
      <c r="U1821" s="0" t="n">
        <v>711</v>
      </c>
      <c r="V1821" s="0" t="n">
        <v>0</v>
      </c>
      <c r="W1821" s="39" t="n">
        <f aca="false">IF(I1821="Male",0,1)</f>
        <v>1</v>
      </c>
      <c r="X1821" s="39" t="n">
        <f aca="false">IF(OR(I1821="DNB",I1821="Dry DNB"),1,0)</f>
        <v>0</v>
      </c>
      <c r="Y1821" s="39" t="n">
        <f aca="false">MATCH(A1821,DATAS,0)</f>
        <v>1</v>
      </c>
      <c r="Z1821" s="39" t="n">
        <f aca="false">IF(AND(E1821&gt;0,OR(AND(B1821&gt;=1,B1821&lt;=6),B1821=10)),1,0)</f>
        <v>1</v>
      </c>
      <c r="AA1821" s="39" t="n">
        <f aca="false">IF(AND(E1821&gt;0,B1821=10),1,0)</f>
        <v>0</v>
      </c>
      <c r="AB1821" s="0" t="str">
        <f aca="false">IF(AND(C1820=C1821,Y1820=Y1821-1),Z1820,"")</f>
        <v/>
      </c>
      <c r="AC1821" s="0" t="str">
        <f aca="false">IF(AND(C1820=C1821,Y1820=Y1821-1),AA1820,"")</f>
        <v/>
      </c>
      <c r="AD1821" s="0" t="str">
        <f aca="false">IF(Y1821=1,"",IF(AND(Z1821=1,AB1821&lt;&gt;1),1,0))</f>
        <v/>
      </c>
      <c r="AE1821" s="0" t="str">
        <f aca="false">IF(Y1821=1,"",IF(AND(AA1821=1,AC1821&lt;&gt;1),1,0))</f>
        <v/>
      </c>
      <c r="AF1821" s="45" t="str">
        <f aca="false">IF(AND(E1821&gt;0,Y1821&lt;1,NOT(AND(C1822=C1821,Y1822=Y1821+1))),INDEX(DATAS,Y1821+1),"")</f>
        <v/>
      </c>
      <c r="AG1821" s="45" t="str">
        <f aca="false">IF(AND(AA1821=1,Y1821&lt;1),IF(AND(C1822=C1821,Y1822=Y1821+1),IF(AA1822=1,"",INDEX(DATAS,Y1821+1)),INDEX(DATAS,Y1821+1)),"")</f>
        <v/>
      </c>
    </row>
    <row r="1822" customFormat="false" ht="15" hidden="false" customHeight="false" outlineLevel="0" collapsed="false">
      <c r="A1822" s="45" t="n">
        <v>46309</v>
      </c>
      <c r="B1822" s="0" t="n">
        <v>1</v>
      </c>
      <c r="C1822" s="0" t="n">
        <v>6033</v>
      </c>
      <c r="D1822" s="0" t="n">
        <v>67</v>
      </c>
      <c r="E1822" s="0" t="n">
        <v>1</v>
      </c>
      <c r="F1822" s="39" t="s">
        <v>1037</v>
      </c>
      <c r="G1822" s="0" t="n">
        <v>34.2</v>
      </c>
      <c r="H1822" s="0" t="n">
        <v>36</v>
      </c>
      <c r="I1822" s="39" t="s">
        <v>138</v>
      </c>
      <c r="J1822" s="0" t="n">
        <v>67</v>
      </c>
      <c r="K1822" s="0" t="n">
        <v>67</v>
      </c>
      <c r="P1822" s="0" t="n">
        <v>4.5</v>
      </c>
      <c r="Q1822" s="0" t="n">
        <v>3.31</v>
      </c>
      <c r="R1822" s="0" t="n">
        <v>3822</v>
      </c>
      <c r="S1822" s="0" t="n">
        <v>7682</v>
      </c>
      <c r="U1822" s="0" t="n">
        <v>708</v>
      </c>
      <c r="V1822" s="0" t="n">
        <v>1</v>
      </c>
      <c r="W1822" s="39" t="n">
        <f aca="false">IF(I1822="Male",0,1)</f>
        <v>1</v>
      </c>
      <c r="X1822" s="39" t="n">
        <f aca="false">IF(OR(I1822="DNB",I1822="Dry DNB"),1,0)</f>
        <v>0</v>
      </c>
      <c r="Y1822" s="39" t="n">
        <f aca="false">MATCH(A1822,DATAS,0)</f>
        <v>1</v>
      </c>
      <c r="Z1822" s="39" t="n">
        <f aca="false">IF(AND(E1822&gt;0,OR(AND(B1822&gt;=1,B1822&lt;=6),B1822=10)),1,0)</f>
        <v>1</v>
      </c>
      <c r="AA1822" s="39" t="n">
        <f aca="false">IF(AND(E1822&gt;0,B1822=10),1,0)</f>
        <v>0</v>
      </c>
      <c r="AB1822" s="0" t="str">
        <f aca="false">IF(AND(C1821=C1822,Y1821=Y1822-1),Z1821,"")</f>
        <v/>
      </c>
      <c r="AC1822" s="0" t="str">
        <f aca="false">IF(AND(C1821=C1822,Y1821=Y1822-1),AA1821,"")</f>
        <v/>
      </c>
      <c r="AD1822" s="0" t="str">
        <f aca="false">IF(Y1822=1,"",IF(AND(Z1822=1,AB1822&lt;&gt;1),1,0))</f>
        <v/>
      </c>
      <c r="AE1822" s="0" t="str">
        <f aca="false">IF(Y1822=1,"",IF(AND(AA1822=1,AC1822&lt;&gt;1),1,0))</f>
        <v/>
      </c>
      <c r="AF1822" s="45" t="str">
        <f aca="false">IF(AND(E1822&gt;0,Y1822&lt;1,NOT(AND(C1823=C1822,Y1823=Y1822+1))),INDEX(DATAS,Y1822+1),"")</f>
        <v/>
      </c>
      <c r="AG1822" s="45" t="str">
        <f aca="false">IF(AND(AA1822=1,Y1822&lt;1),IF(AND(C1823=C1822,Y1823=Y1822+1),IF(AA1823=1,"",INDEX(DATAS,Y1822+1)),INDEX(DATAS,Y1822+1)),"")</f>
        <v/>
      </c>
    </row>
    <row r="1823" customFormat="false" ht="15" hidden="false" customHeight="false" outlineLevel="0" collapsed="false">
      <c r="A1823" s="45" t="n">
        <v>46309</v>
      </c>
      <c r="B1823" s="0" t="n">
        <v>8</v>
      </c>
      <c r="C1823" s="0" t="n">
        <v>6034</v>
      </c>
      <c r="E1823" s="0" t="n">
        <v>0</v>
      </c>
      <c r="F1823" s="39" t="s">
        <v>1037</v>
      </c>
      <c r="I1823" s="39" t="s">
        <v>109</v>
      </c>
      <c r="L1823" s="0" t="n">
        <v>224</v>
      </c>
      <c r="U1823" s="0" t="n">
        <v>708</v>
      </c>
      <c r="V1823" s="0" t="n">
        <v>4</v>
      </c>
      <c r="W1823" s="39" t="n">
        <f aca="false">IF(I1823="Male",0,1)</f>
        <v>1</v>
      </c>
      <c r="X1823" s="39" t="n">
        <f aca="false">IF(OR(I1823="DNB",I1823="Dry DNB"),1,0)</f>
        <v>0</v>
      </c>
      <c r="Y1823" s="39" t="n">
        <f aca="false">MATCH(A1823,DATAS,0)</f>
        <v>1</v>
      </c>
      <c r="Z1823" s="39" t="n">
        <f aca="false">IF(AND(E1823&gt;0,OR(AND(B1823&gt;=1,B1823&lt;=6),B1823=10)),1,0)</f>
        <v>0</v>
      </c>
      <c r="AA1823" s="39" t="n">
        <f aca="false">IF(AND(E1823&gt;0,B1823=10),1,0)</f>
        <v>0</v>
      </c>
      <c r="AB1823" s="0" t="str">
        <f aca="false">IF(AND(C1822=C1823,Y1822=Y1823-1),Z1822,"")</f>
        <v/>
      </c>
      <c r="AC1823" s="0" t="str">
        <f aca="false">IF(AND(C1822=C1823,Y1822=Y1823-1),AA1822,"")</f>
        <v/>
      </c>
      <c r="AD1823" s="0" t="str">
        <f aca="false">IF(Y1823=1,"",IF(AND(Z1823=1,AB1823&lt;&gt;1),1,0))</f>
        <v/>
      </c>
      <c r="AE1823" s="0" t="str">
        <f aca="false">IF(Y1823=1,"",IF(AND(AA1823=1,AC1823&lt;&gt;1),1,0))</f>
        <v/>
      </c>
      <c r="AF1823" s="45" t="str">
        <f aca="false">IF(AND(E1823&gt;0,Y1823&lt;1,NOT(AND(C1824=C1823,Y1824=Y1823+1))),INDEX(DATAS,Y1823+1),"")</f>
        <v/>
      </c>
      <c r="AG1823" s="45" t="str">
        <f aca="false">IF(AND(AA1823=1,Y1823&lt;1),IF(AND(C1824=C1823,Y1824=Y1823+1),IF(AA1824=1,"",INDEX(DATAS,Y1823+1)),INDEX(DATAS,Y1823+1)),"")</f>
        <v/>
      </c>
    </row>
    <row r="1824" customFormat="false" ht="15" hidden="false" customHeight="false" outlineLevel="0" collapsed="false">
      <c r="A1824" s="45" t="n">
        <v>46309</v>
      </c>
      <c r="B1824" s="0" t="n">
        <v>1</v>
      </c>
      <c r="C1824" s="0" t="n">
        <v>6035</v>
      </c>
      <c r="D1824" s="0" t="n">
        <v>35</v>
      </c>
      <c r="E1824" s="0" t="n">
        <v>1</v>
      </c>
      <c r="F1824" s="39" t="s">
        <v>1037</v>
      </c>
      <c r="G1824" s="0" t="n">
        <v>48.3</v>
      </c>
      <c r="H1824" s="0" t="n">
        <v>47</v>
      </c>
      <c r="I1824" s="39" t="s">
        <v>118</v>
      </c>
      <c r="J1824" s="0" t="n">
        <v>35</v>
      </c>
      <c r="P1824" s="0" t="n">
        <v>5.72</v>
      </c>
      <c r="Q1824" s="0" t="n">
        <v>3.37</v>
      </c>
      <c r="R1824" s="0" t="n">
        <v>4218</v>
      </c>
      <c r="S1824" s="0" t="n">
        <v>8480</v>
      </c>
      <c r="U1824" s="0" t="n">
        <v>708</v>
      </c>
      <c r="V1824" s="0" t="n">
        <v>0</v>
      </c>
      <c r="W1824" s="39" t="n">
        <f aca="false">IF(I1824="Male",0,1)</f>
        <v>1</v>
      </c>
      <c r="X1824" s="39" t="n">
        <f aca="false">IF(OR(I1824="DNB",I1824="Dry DNB"),1,0)</f>
        <v>0</v>
      </c>
      <c r="Y1824" s="39" t="n">
        <f aca="false">MATCH(A1824,DATAS,0)</f>
        <v>1</v>
      </c>
      <c r="Z1824" s="39" t="n">
        <f aca="false">IF(AND(E1824&gt;0,OR(AND(B1824&gt;=1,B1824&lt;=6),B1824=10)),1,0)</f>
        <v>1</v>
      </c>
      <c r="AA1824" s="39" t="n">
        <f aca="false">IF(AND(E1824&gt;0,B1824=10),1,0)</f>
        <v>0</v>
      </c>
      <c r="AB1824" s="0" t="str">
        <f aca="false">IF(AND(C1823=C1824,Y1823=Y1824-1),Z1823,"")</f>
        <v/>
      </c>
      <c r="AC1824" s="0" t="str">
        <f aca="false">IF(AND(C1823=C1824,Y1823=Y1824-1),AA1823,"")</f>
        <v/>
      </c>
      <c r="AD1824" s="0" t="str">
        <f aca="false">IF(Y1824=1,"",IF(AND(Z1824=1,AB1824&lt;&gt;1),1,0))</f>
        <v/>
      </c>
      <c r="AE1824" s="0" t="str">
        <f aca="false">IF(Y1824=1,"",IF(AND(AA1824=1,AC1824&lt;&gt;1),1,0))</f>
        <v/>
      </c>
      <c r="AF1824" s="45" t="str">
        <f aca="false">IF(AND(E1824&gt;0,Y1824&lt;1,NOT(AND(C1825=C1824,Y1825=Y1824+1))),INDEX(DATAS,Y1824+1),"")</f>
        <v/>
      </c>
      <c r="AG1824" s="45" t="str">
        <f aca="false">IF(AND(AA1824=1,Y1824&lt;1),IF(AND(C1825=C1824,Y1825=Y1824+1),IF(AA1825=1,"",INDEX(DATAS,Y1824+1)),INDEX(DATAS,Y1824+1)),"")</f>
        <v/>
      </c>
    </row>
    <row r="1825" customFormat="false" ht="15" hidden="false" customHeight="false" outlineLevel="0" collapsed="false">
      <c r="A1825" s="45" t="n">
        <v>46309</v>
      </c>
      <c r="B1825" s="0" t="n">
        <v>1</v>
      </c>
      <c r="C1825" s="0" t="n">
        <v>6037</v>
      </c>
      <c r="D1825" s="0" t="n">
        <v>44</v>
      </c>
      <c r="E1825" s="0" t="n">
        <v>1</v>
      </c>
      <c r="F1825" s="39" t="s">
        <v>1037</v>
      </c>
      <c r="G1825" s="0" t="n">
        <v>47.1</v>
      </c>
      <c r="H1825" s="0" t="n">
        <v>47</v>
      </c>
      <c r="I1825" s="39" t="s">
        <v>118</v>
      </c>
      <c r="J1825" s="0" t="n">
        <v>44</v>
      </c>
      <c r="P1825" s="0" t="n">
        <v>4.1</v>
      </c>
      <c r="Q1825" s="0" t="n">
        <v>3.44</v>
      </c>
      <c r="R1825" s="0" t="n">
        <v>3959</v>
      </c>
      <c r="S1825" s="0" t="n">
        <v>7959</v>
      </c>
      <c r="U1825" s="0" t="n">
        <v>708</v>
      </c>
      <c r="V1825" s="0" t="n">
        <v>0</v>
      </c>
      <c r="W1825" s="39" t="n">
        <f aca="false">IF(I1825="Male",0,1)</f>
        <v>1</v>
      </c>
      <c r="X1825" s="39" t="n">
        <f aca="false">IF(OR(I1825="DNB",I1825="Dry DNB"),1,0)</f>
        <v>0</v>
      </c>
      <c r="Y1825" s="39" t="n">
        <f aca="false">MATCH(A1825,DATAS,0)</f>
        <v>1</v>
      </c>
      <c r="Z1825" s="39" t="n">
        <f aca="false">IF(AND(E1825&gt;0,OR(AND(B1825&gt;=1,B1825&lt;=6),B1825=10)),1,0)</f>
        <v>1</v>
      </c>
      <c r="AA1825" s="39" t="n">
        <f aca="false">IF(AND(E1825&gt;0,B1825=10),1,0)</f>
        <v>0</v>
      </c>
      <c r="AB1825" s="0" t="str">
        <f aca="false">IF(AND(C1824=C1825,Y1824=Y1825-1),Z1824,"")</f>
        <v/>
      </c>
      <c r="AC1825" s="0" t="str">
        <f aca="false">IF(AND(C1824=C1825,Y1824=Y1825-1),AA1824,"")</f>
        <v/>
      </c>
      <c r="AD1825" s="0" t="str">
        <f aca="false">IF(Y1825=1,"",IF(AND(Z1825=1,AB1825&lt;&gt;1),1,0))</f>
        <v/>
      </c>
      <c r="AE1825" s="0" t="str">
        <f aca="false">IF(Y1825=1,"",IF(AND(AA1825=1,AC1825&lt;&gt;1),1,0))</f>
        <v/>
      </c>
      <c r="AF1825" s="45" t="str">
        <f aca="false">IF(AND(E1825&gt;0,Y1825&lt;1,NOT(AND(C1826=C1825,Y1826=Y1825+1))),INDEX(DATAS,Y1825+1),"")</f>
        <v/>
      </c>
      <c r="AG1825" s="45" t="str">
        <f aca="false">IF(AND(AA1825=1,Y1825&lt;1),IF(AND(C1826=C1825,Y1826=Y1825+1),IF(AA1826=1,"",INDEX(DATAS,Y1825+1)),INDEX(DATAS,Y1825+1)),"")</f>
        <v/>
      </c>
    </row>
    <row r="1826" customFormat="false" ht="15" hidden="false" customHeight="false" outlineLevel="0" collapsed="false">
      <c r="A1826" s="45" t="n">
        <v>46309</v>
      </c>
      <c r="B1826" s="0" t="n">
        <v>7</v>
      </c>
      <c r="C1826" s="0" t="n">
        <v>6038</v>
      </c>
      <c r="E1826" s="0" t="n">
        <v>0</v>
      </c>
      <c r="F1826" s="39" t="s">
        <v>1038</v>
      </c>
      <c r="I1826" s="39" t="s">
        <v>109</v>
      </c>
      <c r="L1826" s="0" t="n">
        <v>128</v>
      </c>
      <c r="U1826" s="0" t="n">
        <v>707</v>
      </c>
      <c r="V1826" s="0" t="n">
        <v>8</v>
      </c>
      <c r="W1826" s="39" t="n">
        <f aca="false">IF(I1826="Male",0,1)</f>
        <v>1</v>
      </c>
      <c r="X1826" s="39" t="n">
        <f aca="false">IF(OR(I1826="DNB",I1826="Dry DNB"),1,0)</f>
        <v>0</v>
      </c>
      <c r="Y1826" s="39" t="n">
        <f aca="false">MATCH(A1826,DATAS,0)</f>
        <v>1</v>
      </c>
      <c r="Z1826" s="39" t="n">
        <f aca="false">IF(AND(E1826&gt;0,OR(AND(B1826&gt;=1,B1826&lt;=6),B1826=10)),1,0)</f>
        <v>0</v>
      </c>
      <c r="AA1826" s="39" t="n">
        <f aca="false">IF(AND(E1826&gt;0,B1826=10),1,0)</f>
        <v>0</v>
      </c>
      <c r="AB1826" s="0" t="str">
        <f aca="false">IF(AND(C1825=C1826,Y1825=Y1826-1),Z1825,"")</f>
        <v/>
      </c>
      <c r="AC1826" s="0" t="str">
        <f aca="false">IF(AND(C1825=C1826,Y1825=Y1826-1),AA1825,"")</f>
        <v/>
      </c>
      <c r="AD1826" s="0" t="str">
        <f aca="false">IF(Y1826=1,"",IF(AND(Z1826=1,AB1826&lt;&gt;1),1,0))</f>
        <v/>
      </c>
      <c r="AE1826" s="0" t="str">
        <f aca="false">IF(Y1826=1,"",IF(AND(AA1826=1,AC1826&lt;&gt;1),1,0))</f>
        <v/>
      </c>
      <c r="AF1826" s="45" t="str">
        <f aca="false">IF(AND(E1826&gt;0,Y1826&lt;1,NOT(AND(C1827=C1826,Y1827=Y1826+1))),INDEX(DATAS,Y1826+1),"")</f>
        <v/>
      </c>
      <c r="AG1826" s="45" t="str">
        <f aca="false">IF(AND(AA1826=1,Y1826&lt;1),IF(AND(C1827=C1826,Y1827=Y1826+1),IF(AA1827=1,"",INDEX(DATAS,Y1826+1)),INDEX(DATAS,Y1826+1)),"")</f>
        <v/>
      </c>
    </row>
    <row r="1827" customFormat="false" ht="15" hidden="false" customHeight="false" outlineLevel="0" collapsed="false">
      <c r="A1827" s="45" t="n">
        <v>46309</v>
      </c>
      <c r="B1827" s="0" t="n">
        <v>7</v>
      </c>
      <c r="C1827" s="0" t="n">
        <v>6039</v>
      </c>
      <c r="E1827" s="0" t="n">
        <v>0</v>
      </c>
      <c r="F1827" s="39" t="s">
        <v>1039</v>
      </c>
      <c r="I1827" s="39" t="s">
        <v>109</v>
      </c>
      <c r="L1827" s="0" t="n">
        <v>215</v>
      </c>
      <c r="U1827" s="0" t="n">
        <v>706</v>
      </c>
      <c r="V1827" s="0" t="n">
        <v>4</v>
      </c>
      <c r="W1827" s="39" t="n">
        <f aca="false">IF(I1827="Male",0,1)</f>
        <v>1</v>
      </c>
      <c r="X1827" s="39" t="n">
        <f aca="false">IF(OR(I1827="DNB",I1827="Dry DNB"),1,0)</f>
        <v>0</v>
      </c>
      <c r="Y1827" s="39" t="n">
        <f aca="false">MATCH(A1827,DATAS,0)</f>
        <v>1</v>
      </c>
      <c r="Z1827" s="39" t="n">
        <f aca="false">IF(AND(E1827&gt;0,OR(AND(B1827&gt;=1,B1827&lt;=6),B1827=10)),1,0)</f>
        <v>0</v>
      </c>
      <c r="AA1827" s="39" t="n">
        <f aca="false">IF(AND(E1827&gt;0,B1827=10),1,0)</f>
        <v>0</v>
      </c>
      <c r="AB1827" s="0" t="str">
        <f aca="false">IF(AND(C1826=C1827,Y1826=Y1827-1),Z1826,"")</f>
        <v/>
      </c>
      <c r="AC1827" s="0" t="str">
        <f aca="false">IF(AND(C1826=C1827,Y1826=Y1827-1),AA1826,"")</f>
        <v/>
      </c>
      <c r="AD1827" s="0" t="str">
        <f aca="false">IF(Y1827=1,"",IF(AND(Z1827=1,AB1827&lt;&gt;1),1,0))</f>
        <v/>
      </c>
      <c r="AE1827" s="0" t="str">
        <f aca="false">IF(Y1827=1,"",IF(AND(AA1827=1,AC1827&lt;&gt;1),1,0))</f>
        <v/>
      </c>
      <c r="AF1827" s="45" t="str">
        <f aca="false">IF(AND(E1827&gt;0,Y1827&lt;1,NOT(AND(C1828=C1827,Y1828=Y1827+1))),INDEX(DATAS,Y1827+1),"")</f>
        <v/>
      </c>
      <c r="AG1827" s="45" t="str">
        <f aca="false">IF(AND(AA1827=1,Y1827&lt;1),IF(AND(C1828=C1827,Y1828=Y1827+1),IF(AA1828=1,"",INDEX(DATAS,Y1827+1)),INDEX(DATAS,Y1827+1)),"")</f>
        <v/>
      </c>
    </row>
    <row r="1828" customFormat="false" ht="15" hidden="false" customHeight="false" outlineLevel="0" collapsed="false">
      <c r="A1828" s="45" t="n">
        <v>46309</v>
      </c>
      <c r="B1828" s="0" t="n">
        <v>1</v>
      </c>
      <c r="C1828" s="0" t="n">
        <v>6040</v>
      </c>
      <c r="D1828" s="0" t="n">
        <v>40</v>
      </c>
      <c r="E1828" s="0" t="n">
        <v>1</v>
      </c>
      <c r="F1828" s="39" t="s">
        <v>1039</v>
      </c>
      <c r="G1828" s="0" t="n">
        <v>44.1</v>
      </c>
      <c r="H1828" s="0" t="n">
        <v>49</v>
      </c>
      <c r="I1828" s="39" t="s">
        <v>118</v>
      </c>
      <c r="J1828" s="0" t="n">
        <v>40</v>
      </c>
      <c r="P1828" s="0" t="n">
        <v>4.34</v>
      </c>
      <c r="Q1828" s="0" t="n">
        <v>3.44</v>
      </c>
      <c r="R1828" s="0" t="n">
        <v>4040</v>
      </c>
      <c r="S1828" s="0" t="n">
        <v>8121</v>
      </c>
      <c r="U1828" s="0" t="n">
        <v>706</v>
      </c>
      <c r="V1828" s="0" t="n">
        <v>0</v>
      </c>
      <c r="W1828" s="39" t="n">
        <f aca="false">IF(I1828="Male",0,1)</f>
        <v>1</v>
      </c>
      <c r="X1828" s="39" t="n">
        <f aca="false">IF(OR(I1828="DNB",I1828="Dry DNB"),1,0)</f>
        <v>0</v>
      </c>
      <c r="Y1828" s="39" t="n">
        <f aca="false">MATCH(A1828,DATAS,0)</f>
        <v>1</v>
      </c>
      <c r="Z1828" s="39" t="n">
        <f aca="false">IF(AND(E1828&gt;0,OR(AND(B1828&gt;=1,B1828&lt;=6),B1828=10)),1,0)</f>
        <v>1</v>
      </c>
      <c r="AA1828" s="39" t="n">
        <f aca="false">IF(AND(E1828&gt;0,B1828=10),1,0)</f>
        <v>0</v>
      </c>
      <c r="AB1828" s="0" t="str">
        <f aca="false">IF(AND(C1827=C1828,Y1827=Y1828-1),Z1827,"")</f>
        <v/>
      </c>
      <c r="AC1828" s="0" t="str">
        <f aca="false">IF(AND(C1827=C1828,Y1827=Y1828-1),AA1827,"")</f>
        <v/>
      </c>
      <c r="AD1828" s="0" t="str">
        <f aca="false">IF(Y1828=1,"",IF(AND(Z1828=1,AB1828&lt;&gt;1),1,0))</f>
        <v/>
      </c>
      <c r="AE1828" s="0" t="str">
        <f aca="false">IF(Y1828=1,"",IF(AND(AA1828=1,AC1828&lt;&gt;1),1,0))</f>
        <v/>
      </c>
      <c r="AF1828" s="45" t="str">
        <f aca="false">IF(AND(E1828&gt;0,Y1828&lt;1,NOT(AND(C1829=C1828,Y1829=Y1828+1))),INDEX(DATAS,Y1828+1),"")</f>
        <v/>
      </c>
      <c r="AG1828" s="45" t="str">
        <f aca="false">IF(AND(AA1828=1,Y1828&lt;1),IF(AND(C1829=C1828,Y1829=Y1828+1),IF(AA1829=1,"",INDEX(DATAS,Y1828+1)),INDEX(DATAS,Y1828+1)),"")</f>
        <v/>
      </c>
    </row>
    <row r="1829" customFormat="false" ht="15" hidden="false" customHeight="false" outlineLevel="0" collapsed="false">
      <c r="A1829" s="45" t="n">
        <v>46309</v>
      </c>
      <c r="B1829" s="0" t="n">
        <v>7</v>
      </c>
      <c r="C1829" s="0" t="n">
        <v>6041</v>
      </c>
      <c r="E1829" s="0" t="n">
        <v>0</v>
      </c>
      <c r="F1829" s="39" t="s">
        <v>1040</v>
      </c>
      <c r="I1829" s="39" t="s">
        <v>109</v>
      </c>
      <c r="L1829" s="0" t="n">
        <v>231</v>
      </c>
      <c r="U1829" s="0" t="n">
        <v>705</v>
      </c>
      <c r="V1829" s="0" t="n">
        <v>3</v>
      </c>
      <c r="W1829" s="39" t="n">
        <f aca="false">IF(I1829="Male",0,1)</f>
        <v>1</v>
      </c>
      <c r="X1829" s="39" t="n">
        <f aca="false">IF(OR(I1829="DNB",I1829="Dry DNB"),1,0)</f>
        <v>0</v>
      </c>
      <c r="Y1829" s="39" t="n">
        <f aca="false">MATCH(A1829,DATAS,0)</f>
        <v>1</v>
      </c>
      <c r="Z1829" s="39" t="n">
        <f aca="false">IF(AND(E1829&gt;0,OR(AND(B1829&gt;=1,B1829&lt;=6),B1829=10)),1,0)</f>
        <v>0</v>
      </c>
      <c r="AA1829" s="39" t="n">
        <f aca="false">IF(AND(E1829&gt;0,B1829=10),1,0)</f>
        <v>0</v>
      </c>
      <c r="AB1829" s="0" t="str">
        <f aca="false">IF(AND(C1828=C1829,Y1828=Y1829-1),Z1828,"")</f>
        <v/>
      </c>
      <c r="AC1829" s="0" t="str">
        <f aca="false">IF(AND(C1828=C1829,Y1828=Y1829-1),AA1828,"")</f>
        <v/>
      </c>
      <c r="AD1829" s="0" t="str">
        <f aca="false">IF(Y1829=1,"",IF(AND(Z1829=1,AB1829&lt;&gt;1),1,0))</f>
        <v/>
      </c>
      <c r="AE1829" s="0" t="str">
        <f aca="false">IF(Y1829=1,"",IF(AND(AA1829=1,AC1829&lt;&gt;1),1,0))</f>
        <v/>
      </c>
      <c r="AF1829" s="45" t="str">
        <f aca="false">IF(AND(E1829&gt;0,Y1829&lt;1,NOT(AND(C1830=C1829,Y1830=Y1829+1))),INDEX(DATAS,Y1829+1),"")</f>
        <v/>
      </c>
      <c r="AG1829" s="45" t="str">
        <f aca="false">IF(AND(AA1829=1,Y1829&lt;1),IF(AND(C1830=C1829,Y1830=Y1829+1),IF(AA1830=1,"",INDEX(DATAS,Y1829+1)),INDEX(DATAS,Y1829+1)),"")</f>
        <v/>
      </c>
    </row>
    <row r="1830" customFormat="false" ht="15" hidden="false" customHeight="false" outlineLevel="0" collapsed="false">
      <c r="A1830" s="45" t="n">
        <v>46309</v>
      </c>
      <c r="B1830" s="0" t="n">
        <v>14</v>
      </c>
      <c r="C1830" s="0" t="n">
        <v>6042</v>
      </c>
      <c r="E1830" s="0" t="n">
        <v>0</v>
      </c>
      <c r="F1830" s="39" t="s">
        <v>1040</v>
      </c>
      <c r="I1830" s="39" t="s">
        <v>109</v>
      </c>
      <c r="L1830" s="0" t="n">
        <v>256</v>
      </c>
      <c r="U1830" s="0" t="n">
        <v>705</v>
      </c>
      <c r="V1830" s="0" t="n">
        <v>1</v>
      </c>
      <c r="W1830" s="39" t="n">
        <f aca="false">IF(I1830="Male",0,1)</f>
        <v>1</v>
      </c>
      <c r="X1830" s="39" t="n">
        <f aca="false">IF(OR(I1830="DNB",I1830="Dry DNB"),1,0)</f>
        <v>0</v>
      </c>
      <c r="Y1830" s="39" t="n">
        <f aca="false">MATCH(A1830,DATAS,0)</f>
        <v>1</v>
      </c>
      <c r="Z1830" s="39" t="n">
        <f aca="false">IF(AND(E1830&gt;0,OR(AND(B1830&gt;=1,B1830&lt;=6),B1830=10)),1,0)</f>
        <v>0</v>
      </c>
      <c r="AA1830" s="39" t="n">
        <f aca="false">IF(AND(E1830&gt;0,B1830=10),1,0)</f>
        <v>0</v>
      </c>
      <c r="AB1830" s="0" t="str">
        <f aca="false">IF(AND(C1829=C1830,Y1829=Y1830-1),Z1829,"")</f>
        <v/>
      </c>
      <c r="AC1830" s="0" t="str">
        <f aca="false">IF(AND(C1829=C1830,Y1829=Y1830-1),AA1829,"")</f>
        <v/>
      </c>
      <c r="AD1830" s="0" t="str">
        <f aca="false">IF(Y1830=1,"",IF(AND(Z1830=1,AB1830&lt;&gt;1),1,0))</f>
        <v/>
      </c>
      <c r="AE1830" s="0" t="str">
        <f aca="false">IF(Y1830=1,"",IF(AND(AA1830=1,AC1830&lt;&gt;1),1,0))</f>
        <v/>
      </c>
      <c r="AF1830" s="45" t="str">
        <f aca="false">IF(AND(E1830&gt;0,Y1830&lt;1,NOT(AND(C1831=C1830,Y1831=Y1830+1))),INDEX(DATAS,Y1830+1),"")</f>
        <v/>
      </c>
      <c r="AG1830" s="45" t="str">
        <f aca="false">IF(AND(AA1830=1,Y1830&lt;1),IF(AND(C1831=C1830,Y1831=Y1830+1),IF(AA1831=1,"",INDEX(DATAS,Y1830+1)),INDEX(DATAS,Y1830+1)),"")</f>
        <v/>
      </c>
    </row>
    <row r="1831" customFormat="false" ht="15" hidden="false" customHeight="false" outlineLevel="0" collapsed="false">
      <c r="A1831" s="45" t="n">
        <v>46309</v>
      </c>
      <c r="B1831" s="0" t="n">
        <v>1</v>
      </c>
      <c r="C1831" s="0" t="n">
        <v>6043</v>
      </c>
      <c r="D1831" s="0" t="n">
        <v>72</v>
      </c>
      <c r="E1831" s="0" t="n">
        <v>1</v>
      </c>
      <c r="F1831" s="39" t="s">
        <v>1040</v>
      </c>
      <c r="G1831" s="0" t="n">
        <v>35.4</v>
      </c>
      <c r="H1831" s="0" t="n">
        <v>35</v>
      </c>
      <c r="I1831" s="39" t="s">
        <v>138</v>
      </c>
      <c r="J1831" s="0" t="n">
        <v>72</v>
      </c>
      <c r="K1831" s="0" t="n">
        <v>65</v>
      </c>
      <c r="P1831" s="0" t="n">
        <v>2.87</v>
      </c>
      <c r="Q1831" s="0" t="n">
        <v>2.73</v>
      </c>
      <c r="R1831" s="0" t="n">
        <v>3003</v>
      </c>
      <c r="S1831" s="0" t="n">
        <v>6037</v>
      </c>
      <c r="U1831" s="0" t="n">
        <v>705</v>
      </c>
      <c r="V1831" s="0" t="n">
        <v>1</v>
      </c>
      <c r="W1831" s="39" t="n">
        <f aca="false">IF(I1831="Male",0,1)</f>
        <v>1</v>
      </c>
      <c r="X1831" s="39" t="n">
        <f aca="false">IF(OR(I1831="DNB",I1831="Dry DNB"),1,0)</f>
        <v>0</v>
      </c>
      <c r="Y1831" s="39" t="n">
        <f aca="false">MATCH(A1831,DATAS,0)</f>
        <v>1</v>
      </c>
      <c r="Z1831" s="39" t="n">
        <f aca="false">IF(AND(E1831&gt;0,OR(AND(B1831&gt;=1,B1831&lt;=6),B1831=10)),1,0)</f>
        <v>1</v>
      </c>
      <c r="AA1831" s="39" t="n">
        <f aca="false">IF(AND(E1831&gt;0,B1831=10),1,0)</f>
        <v>0</v>
      </c>
      <c r="AB1831" s="0" t="str">
        <f aca="false">IF(AND(C1830=C1831,Y1830=Y1831-1),Z1830,"")</f>
        <v/>
      </c>
      <c r="AC1831" s="0" t="str">
        <f aca="false">IF(AND(C1830=C1831,Y1830=Y1831-1),AA1830,"")</f>
        <v/>
      </c>
      <c r="AD1831" s="0" t="str">
        <f aca="false">IF(Y1831=1,"",IF(AND(Z1831=1,AB1831&lt;&gt;1),1,0))</f>
        <v/>
      </c>
      <c r="AE1831" s="0" t="str">
        <f aca="false">IF(Y1831=1,"",IF(AND(AA1831=1,AC1831&lt;&gt;1),1,0))</f>
        <v/>
      </c>
      <c r="AF1831" s="45" t="str">
        <f aca="false">IF(AND(E1831&gt;0,Y1831&lt;1,NOT(AND(C1832=C1831,Y1832=Y1831+1))),INDEX(DATAS,Y1831+1),"")</f>
        <v/>
      </c>
      <c r="AG1831" s="45" t="str">
        <f aca="false">IF(AND(AA1831=1,Y1831&lt;1),IF(AND(C1832=C1831,Y1832=Y1831+1),IF(AA1832=1,"",INDEX(DATAS,Y1831+1)),INDEX(DATAS,Y1831+1)),"")</f>
        <v/>
      </c>
    </row>
    <row r="1832" customFormat="false" ht="15" hidden="false" customHeight="false" outlineLevel="0" collapsed="false">
      <c r="A1832" s="45" t="n">
        <v>46309</v>
      </c>
      <c r="B1832" s="0" t="n">
        <v>1</v>
      </c>
      <c r="C1832" s="0" t="n">
        <v>6046</v>
      </c>
      <c r="D1832" s="0" t="n">
        <v>17</v>
      </c>
      <c r="E1832" s="0" t="n">
        <v>1</v>
      </c>
      <c r="F1832" s="39" t="s">
        <v>1041</v>
      </c>
      <c r="G1832" s="0" t="n">
        <v>38.4</v>
      </c>
      <c r="H1832" s="0" t="n">
        <v>36</v>
      </c>
      <c r="I1832" s="39" t="s">
        <v>118</v>
      </c>
      <c r="J1832" s="0" t="n">
        <v>17</v>
      </c>
      <c r="R1832" s="0" t="n">
        <v>2808</v>
      </c>
      <c r="S1832" s="0" t="n">
        <v>5645</v>
      </c>
      <c r="U1832" s="0" t="n">
        <v>704</v>
      </c>
      <c r="V1832" s="0" t="n">
        <v>0</v>
      </c>
      <c r="W1832" s="39" t="n">
        <f aca="false">IF(I1832="Male",0,1)</f>
        <v>1</v>
      </c>
      <c r="X1832" s="39" t="n">
        <f aca="false">IF(OR(I1832="DNB",I1832="Dry DNB"),1,0)</f>
        <v>0</v>
      </c>
      <c r="Y1832" s="39" t="n">
        <f aca="false">MATCH(A1832,DATAS,0)</f>
        <v>1</v>
      </c>
      <c r="Z1832" s="39" t="n">
        <f aca="false">IF(AND(E1832&gt;0,OR(AND(B1832&gt;=1,B1832&lt;=6),B1832=10)),1,0)</f>
        <v>1</v>
      </c>
      <c r="AA1832" s="39" t="n">
        <f aca="false">IF(AND(E1832&gt;0,B1832=10),1,0)</f>
        <v>0</v>
      </c>
      <c r="AB1832" s="0" t="str">
        <f aca="false">IF(AND(C1831=C1832,Y1831=Y1832-1),Z1831,"")</f>
        <v/>
      </c>
      <c r="AC1832" s="0" t="str">
        <f aca="false">IF(AND(C1831=C1832,Y1831=Y1832-1),AA1831,"")</f>
        <v/>
      </c>
      <c r="AD1832" s="0" t="str">
        <f aca="false">IF(Y1832=1,"",IF(AND(Z1832=1,AB1832&lt;&gt;1),1,0))</f>
        <v/>
      </c>
      <c r="AE1832" s="0" t="str">
        <f aca="false">IF(Y1832=1,"",IF(AND(AA1832=1,AC1832&lt;&gt;1),1,0))</f>
        <v/>
      </c>
      <c r="AF1832" s="45" t="str">
        <f aca="false">IF(AND(E1832&gt;0,Y1832&lt;1,NOT(AND(C1833=C1832,Y1833=Y1832+1))),INDEX(DATAS,Y1832+1),"")</f>
        <v/>
      </c>
      <c r="AG1832" s="45" t="str">
        <f aca="false">IF(AND(AA1832=1,Y1832&lt;1),IF(AND(C1833=C1832,Y1833=Y1832+1),IF(AA1833=1,"",INDEX(DATAS,Y1832+1)),INDEX(DATAS,Y1832+1)),"")</f>
        <v/>
      </c>
    </row>
    <row r="1833" customFormat="false" ht="15" hidden="false" customHeight="false" outlineLevel="0" collapsed="false">
      <c r="A1833" s="45" t="n">
        <v>46309</v>
      </c>
      <c r="B1833" s="0" t="n">
        <v>1</v>
      </c>
      <c r="C1833" s="0" t="n">
        <v>6047</v>
      </c>
      <c r="D1833" s="0" t="n">
        <v>59</v>
      </c>
      <c r="E1833" s="0" t="n">
        <v>1</v>
      </c>
      <c r="F1833" s="39" t="s">
        <v>1041</v>
      </c>
      <c r="G1833" s="0" t="n">
        <v>44.2</v>
      </c>
      <c r="H1833" s="0" t="n">
        <v>41</v>
      </c>
      <c r="I1833" s="39" t="s">
        <v>118</v>
      </c>
      <c r="J1833" s="0" t="n">
        <v>59</v>
      </c>
      <c r="P1833" s="0" t="n">
        <v>4.35</v>
      </c>
      <c r="Q1833" s="0" t="n">
        <v>3.09</v>
      </c>
      <c r="R1833" s="0" t="n">
        <v>3255</v>
      </c>
      <c r="S1833" s="0" t="n">
        <v>6544</v>
      </c>
      <c r="U1833" s="0" t="n">
        <v>704</v>
      </c>
      <c r="V1833" s="0" t="n">
        <v>0</v>
      </c>
      <c r="W1833" s="39" t="n">
        <f aca="false">IF(I1833="Male",0,1)</f>
        <v>1</v>
      </c>
      <c r="X1833" s="39" t="n">
        <f aca="false">IF(OR(I1833="DNB",I1833="Dry DNB"),1,0)</f>
        <v>0</v>
      </c>
      <c r="Y1833" s="39" t="n">
        <f aca="false">MATCH(A1833,DATAS,0)</f>
        <v>1</v>
      </c>
      <c r="Z1833" s="39" t="n">
        <f aca="false">IF(AND(E1833&gt;0,OR(AND(B1833&gt;=1,B1833&lt;=6),B1833=10)),1,0)</f>
        <v>1</v>
      </c>
      <c r="AA1833" s="39" t="n">
        <f aca="false">IF(AND(E1833&gt;0,B1833=10),1,0)</f>
        <v>0</v>
      </c>
      <c r="AB1833" s="0" t="str">
        <f aca="false">IF(AND(C1832=C1833,Y1832=Y1833-1),Z1832,"")</f>
        <v/>
      </c>
      <c r="AC1833" s="0" t="str">
        <f aca="false">IF(AND(C1832=C1833,Y1832=Y1833-1),AA1832,"")</f>
        <v/>
      </c>
      <c r="AD1833" s="0" t="str">
        <f aca="false">IF(Y1833=1,"",IF(AND(Z1833=1,AB1833&lt;&gt;1),1,0))</f>
        <v/>
      </c>
      <c r="AE1833" s="0" t="str">
        <f aca="false">IF(Y1833=1,"",IF(AND(AA1833=1,AC1833&lt;&gt;1),1,0))</f>
        <v/>
      </c>
      <c r="AF1833" s="45" t="str">
        <f aca="false">IF(AND(E1833&gt;0,Y1833&lt;1,NOT(AND(C1834=C1833,Y1834=Y1833+1))),INDEX(DATAS,Y1833+1),"")</f>
        <v/>
      </c>
      <c r="AG1833" s="45" t="str">
        <f aca="false">IF(AND(AA1833=1,Y1833&lt;1),IF(AND(C1834=C1833,Y1834=Y1833+1),IF(AA1834=1,"",INDEX(DATAS,Y1833+1)),INDEX(DATAS,Y1833+1)),"")</f>
        <v/>
      </c>
    </row>
    <row r="1834" customFormat="false" ht="15" hidden="false" customHeight="false" outlineLevel="0" collapsed="false">
      <c r="A1834" s="45" t="n">
        <v>46309</v>
      </c>
      <c r="B1834" s="0" t="n">
        <v>1</v>
      </c>
      <c r="C1834" s="0" t="n">
        <v>6048</v>
      </c>
      <c r="D1834" s="0" t="n">
        <v>58</v>
      </c>
      <c r="E1834" s="0" t="n">
        <v>1</v>
      </c>
      <c r="F1834" s="39" t="s">
        <v>1042</v>
      </c>
      <c r="G1834" s="0" t="n">
        <v>37</v>
      </c>
      <c r="H1834" s="0" t="n">
        <v>42</v>
      </c>
      <c r="I1834" s="39" t="s">
        <v>118</v>
      </c>
      <c r="J1834" s="0" t="n">
        <v>58</v>
      </c>
      <c r="P1834" s="0" t="n">
        <v>3.31</v>
      </c>
      <c r="Q1834" s="0" t="n">
        <v>3.07</v>
      </c>
      <c r="R1834" s="0" t="n">
        <v>3810</v>
      </c>
      <c r="S1834" s="0" t="n">
        <v>7659</v>
      </c>
      <c r="U1834" s="0" t="n">
        <v>703</v>
      </c>
      <c r="V1834" s="0" t="n">
        <v>0</v>
      </c>
      <c r="W1834" s="39" t="n">
        <f aca="false">IF(I1834="Male",0,1)</f>
        <v>1</v>
      </c>
      <c r="X1834" s="39" t="n">
        <f aca="false">IF(OR(I1834="DNB",I1834="Dry DNB"),1,0)</f>
        <v>0</v>
      </c>
      <c r="Y1834" s="39" t="n">
        <f aca="false">MATCH(A1834,DATAS,0)</f>
        <v>1</v>
      </c>
      <c r="Z1834" s="39" t="n">
        <f aca="false">IF(AND(E1834&gt;0,OR(AND(B1834&gt;=1,B1834&lt;=6),B1834=10)),1,0)</f>
        <v>1</v>
      </c>
      <c r="AA1834" s="39" t="n">
        <f aca="false">IF(AND(E1834&gt;0,B1834=10),1,0)</f>
        <v>0</v>
      </c>
      <c r="AB1834" s="0" t="str">
        <f aca="false">IF(AND(C1833=C1834,Y1833=Y1834-1),Z1833,"")</f>
        <v/>
      </c>
      <c r="AC1834" s="0" t="str">
        <f aca="false">IF(AND(C1833=C1834,Y1833=Y1834-1),AA1833,"")</f>
        <v/>
      </c>
      <c r="AD1834" s="0" t="str">
        <f aca="false">IF(Y1834=1,"",IF(AND(Z1834=1,AB1834&lt;&gt;1),1,0))</f>
        <v/>
      </c>
      <c r="AE1834" s="0" t="str">
        <f aca="false">IF(Y1834=1,"",IF(AND(AA1834=1,AC1834&lt;&gt;1),1,0))</f>
        <v/>
      </c>
      <c r="AF1834" s="45" t="str">
        <f aca="false">IF(AND(E1834&gt;0,Y1834&lt;1,NOT(AND(C1835=C1834,Y1835=Y1834+1))),INDEX(DATAS,Y1834+1),"")</f>
        <v/>
      </c>
      <c r="AG1834" s="45" t="str">
        <f aca="false">IF(AND(AA1834=1,Y1834&lt;1),IF(AND(C1835=C1834,Y1835=Y1834+1),IF(AA1835=1,"",INDEX(DATAS,Y1834+1)),INDEX(DATAS,Y1834+1)),"")</f>
        <v/>
      </c>
    </row>
    <row r="1835" customFormat="false" ht="15" hidden="false" customHeight="false" outlineLevel="0" collapsed="false">
      <c r="A1835" s="45" t="n">
        <v>46309</v>
      </c>
      <c r="B1835" s="0" t="n">
        <v>1</v>
      </c>
      <c r="C1835" s="0" t="n">
        <v>6049</v>
      </c>
      <c r="D1835" s="0" t="n">
        <v>56</v>
      </c>
      <c r="E1835" s="0" t="n">
        <v>1</v>
      </c>
      <c r="F1835" s="39" t="s">
        <v>1042</v>
      </c>
      <c r="G1835" s="0" t="n">
        <v>41.9</v>
      </c>
      <c r="H1835" s="0" t="n">
        <v>40</v>
      </c>
      <c r="I1835" s="39" t="s">
        <v>118</v>
      </c>
      <c r="J1835" s="0" t="n">
        <v>56</v>
      </c>
      <c r="P1835" s="0" t="n">
        <v>4.16</v>
      </c>
      <c r="Q1835" s="0" t="n">
        <v>3.23</v>
      </c>
      <c r="R1835" s="0" t="n">
        <v>4043</v>
      </c>
      <c r="S1835" s="0" t="n">
        <v>8128</v>
      </c>
      <c r="U1835" s="0" t="n">
        <v>703</v>
      </c>
      <c r="V1835" s="0" t="n">
        <v>0</v>
      </c>
      <c r="W1835" s="39" t="n">
        <f aca="false">IF(I1835="Male",0,1)</f>
        <v>1</v>
      </c>
      <c r="X1835" s="39" t="n">
        <f aca="false">IF(OR(I1835="DNB",I1835="Dry DNB"),1,0)</f>
        <v>0</v>
      </c>
      <c r="Y1835" s="39" t="n">
        <f aca="false">MATCH(A1835,DATAS,0)</f>
        <v>1</v>
      </c>
      <c r="Z1835" s="39" t="n">
        <f aca="false">IF(AND(E1835&gt;0,OR(AND(B1835&gt;=1,B1835&lt;=6),B1835=10)),1,0)</f>
        <v>1</v>
      </c>
      <c r="AA1835" s="39" t="n">
        <f aca="false">IF(AND(E1835&gt;0,B1835=10),1,0)</f>
        <v>0</v>
      </c>
      <c r="AB1835" s="0" t="str">
        <f aca="false">IF(AND(C1834=C1835,Y1834=Y1835-1),Z1834,"")</f>
        <v/>
      </c>
      <c r="AC1835" s="0" t="str">
        <f aca="false">IF(AND(C1834=C1835,Y1834=Y1835-1),AA1834,"")</f>
        <v/>
      </c>
      <c r="AD1835" s="0" t="str">
        <f aca="false">IF(Y1835=1,"",IF(AND(Z1835=1,AB1835&lt;&gt;1),1,0))</f>
        <v/>
      </c>
      <c r="AE1835" s="0" t="str">
        <f aca="false">IF(Y1835=1,"",IF(AND(AA1835=1,AC1835&lt;&gt;1),1,0))</f>
        <v/>
      </c>
      <c r="AF1835" s="45" t="str">
        <f aca="false">IF(AND(E1835&gt;0,Y1835&lt;1,NOT(AND(C1836=C1835,Y1836=Y1835+1))),INDEX(DATAS,Y1835+1),"")</f>
        <v/>
      </c>
      <c r="AG1835" s="45" t="str">
        <f aca="false">IF(AND(AA1835=1,Y1835&lt;1),IF(AND(C1836=C1835,Y1836=Y1835+1),IF(AA1836=1,"",INDEX(DATAS,Y1835+1)),INDEX(DATAS,Y1835+1)),"")</f>
        <v/>
      </c>
    </row>
    <row r="1836" customFormat="false" ht="15" hidden="false" customHeight="false" outlineLevel="0" collapsed="false">
      <c r="A1836" s="45" t="n">
        <v>46309</v>
      </c>
      <c r="B1836" s="0" t="n">
        <v>8</v>
      </c>
      <c r="C1836" s="0" t="n">
        <v>6050</v>
      </c>
      <c r="E1836" s="0" t="n">
        <v>0</v>
      </c>
      <c r="F1836" s="39" t="s">
        <v>1042</v>
      </c>
      <c r="I1836" s="39" t="s">
        <v>109</v>
      </c>
      <c r="L1836" s="0" t="n">
        <v>182</v>
      </c>
      <c r="U1836" s="0" t="n">
        <v>703</v>
      </c>
      <c r="V1836" s="0" t="n">
        <v>4</v>
      </c>
      <c r="W1836" s="39" t="n">
        <f aca="false">IF(I1836="Male",0,1)</f>
        <v>1</v>
      </c>
      <c r="X1836" s="39" t="n">
        <f aca="false">IF(OR(I1836="DNB",I1836="Dry DNB"),1,0)</f>
        <v>0</v>
      </c>
      <c r="Y1836" s="39" t="n">
        <f aca="false">MATCH(A1836,DATAS,0)</f>
        <v>1</v>
      </c>
      <c r="Z1836" s="39" t="n">
        <f aca="false">IF(AND(E1836&gt;0,OR(AND(B1836&gt;=1,B1836&lt;=6),B1836=10)),1,0)</f>
        <v>0</v>
      </c>
      <c r="AA1836" s="39" t="n">
        <f aca="false">IF(AND(E1836&gt;0,B1836=10),1,0)</f>
        <v>0</v>
      </c>
      <c r="AB1836" s="0" t="str">
        <f aca="false">IF(AND(C1835=C1836,Y1835=Y1836-1),Z1835,"")</f>
        <v/>
      </c>
      <c r="AC1836" s="0" t="str">
        <f aca="false">IF(AND(C1835=C1836,Y1835=Y1836-1),AA1835,"")</f>
        <v/>
      </c>
      <c r="AD1836" s="0" t="str">
        <f aca="false">IF(Y1836=1,"",IF(AND(Z1836=1,AB1836&lt;&gt;1),1,0))</f>
        <v/>
      </c>
      <c r="AE1836" s="0" t="str">
        <f aca="false">IF(Y1836=1,"",IF(AND(AA1836=1,AC1836&lt;&gt;1),1,0))</f>
        <v/>
      </c>
      <c r="AF1836" s="45" t="str">
        <f aca="false">IF(AND(E1836&gt;0,Y1836&lt;1,NOT(AND(C1837=C1836,Y1837=Y1836+1))),INDEX(DATAS,Y1836+1),"")</f>
        <v/>
      </c>
      <c r="AG1836" s="45" t="str">
        <f aca="false">IF(AND(AA1836=1,Y1836&lt;1),IF(AND(C1837=C1836,Y1837=Y1836+1),IF(AA1837=1,"",INDEX(DATAS,Y1836+1)),INDEX(DATAS,Y1836+1)),"")</f>
        <v/>
      </c>
    </row>
    <row r="1837" customFormat="false" ht="15" hidden="false" customHeight="false" outlineLevel="0" collapsed="false">
      <c r="A1837" s="45" t="n">
        <v>46309</v>
      </c>
      <c r="B1837" s="0" t="n">
        <v>1</v>
      </c>
      <c r="C1837" s="0" t="n">
        <v>6051</v>
      </c>
      <c r="D1837" s="0" t="n">
        <v>3</v>
      </c>
      <c r="E1837" s="0" t="n">
        <v>1</v>
      </c>
      <c r="F1837" s="39" t="s">
        <v>1043</v>
      </c>
      <c r="H1837" s="0" t="n">
        <v>17</v>
      </c>
      <c r="I1837" s="39" t="s">
        <v>118</v>
      </c>
      <c r="J1837" s="0" t="n">
        <v>3</v>
      </c>
      <c r="U1837" s="0" t="n">
        <v>702</v>
      </c>
      <c r="V1837" s="0" t="n">
        <v>0</v>
      </c>
      <c r="W1837" s="39" t="n">
        <f aca="false">IF(I1837="Male",0,1)</f>
        <v>1</v>
      </c>
      <c r="X1837" s="39" t="n">
        <f aca="false">IF(OR(I1837="DNB",I1837="Dry DNB"),1,0)</f>
        <v>0</v>
      </c>
      <c r="Y1837" s="39" t="n">
        <f aca="false">MATCH(A1837,DATAS,0)</f>
        <v>1</v>
      </c>
      <c r="Z1837" s="39" t="n">
        <f aca="false">IF(AND(E1837&gt;0,OR(AND(B1837&gt;=1,B1837&lt;=6),B1837=10)),1,0)</f>
        <v>1</v>
      </c>
      <c r="AA1837" s="39" t="n">
        <f aca="false">IF(AND(E1837&gt;0,B1837=10),1,0)</f>
        <v>0</v>
      </c>
      <c r="AB1837" s="0" t="str">
        <f aca="false">IF(AND(C1836=C1837,Y1836=Y1837-1),Z1836,"")</f>
        <v/>
      </c>
      <c r="AC1837" s="0" t="str">
        <f aca="false">IF(AND(C1836=C1837,Y1836=Y1837-1),AA1836,"")</f>
        <v/>
      </c>
      <c r="AD1837" s="0" t="str">
        <f aca="false">IF(Y1837=1,"",IF(AND(Z1837=1,AB1837&lt;&gt;1),1,0))</f>
        <v/>
      </c>
      <c r="AE1837" s="0" t="str">
        <f aca="false">IF(Y1837=1,"",IF(AND(AA1837=1,AC1837&lt;&gt;1),1,0))</f>
        <v/>
      </c>
      <c r="AF1837" s="45" t="str">
        <f aca="false">IF(AND(E1837&gt;0,Y1837&lt;1,NOT(AND(C1838=C1837,Y1838=Y1837+1))),INDEX(DATAS,Y1837+1),"")</f>
        <v/>
      </c>
      <c r="AG1837" s="45" t="str">
        <f aca="false">IF(AND(AA1837=1,Y1837&lt;1),IF(AND(C1838=C1837,Y1838=Y1837+1),IF(AA1838=1,"",INDEX(DATAS,Y1837+1)),INDEX(DATAS,Y1837+1)),"")</f>
        <v/>
      </c>
    </row>
    <row r="1838" customFormat="false" ht="15" hidden="false" customHeight="false" outlineLevel="0" collapsed="false">
      <c r="A1838" s="45" t="n">
        <v>46309</v>
      </c>
      <c r="B1838" s="0" t="n">
        <v>1</v>
      </c>
      <c r="C1838" s="0" t="n">
        <v>6052</v>
      </c>
      <c r="D1838" s="0" t="n">
        <v>51</v>
      </c>
      <c r="E1838" s="0" t="n">
        <v>1</v>
      </c>
      <c r="F1838" s="39" t="s">
        <v>1043</v>
      </c>
      <c r="G1838" s="0" t="n">
        <v>42.3</v>
      </c>
      <c r="H1838" s="0" t="n">
        <v>44</v>
      </c>
      <c r="I1838" s="39" t="s">
        <v>118</v>
      </c>
      <c r="J1838" s="0" t="n">
        <v>51</v>
      </c>
      <c r="P1838" s="0" t="n">
        <v>3.96</v>
      </c>
      <c r="Q1838" s="0" t="n">
        <v>2.95</v>
      </c>
      <c r="R1838" s="0" t="n">
        <v>3760</v>
      </c>
      <c r="S1838" s="0" t="n">
        <v>7558</v>
      </c>
      <c r="U1838" s="0" t="n">
        <v>702</v>
      </c>
      <c r="V1838" s="0" t="n">
        <v>0</v>
      </c>
      <c r="W1838" s="39" t="n">
        <f aca="false">IF(I1838="Male",0,1)</f>
        <v>1</v>
      </c>
      <c r="X1838" s="39" t="n">
        <f aca="false">IF(OR(I1838="DNB",I1838="Dry DNB"),1,0)</f>
        <v>0</v>
      </c>
      <c r="Y1838" s="39" t="n">
        <f aca="false">MATCH(A1838,DATAS,0)</f>
        <v>1</v>
      </c>
      <c r="Z1838" s="39" t="n">
        <f aca="false">IF(AND(E1838&gt;0,OR(AND(B1838&gt;=1,B1838&lt;=6),B1838=10)),1,0)</f>
        <v>1</v>
      </c>
      <c r="AA1838" s="39" t="n">
        <f aca="false">IF(AND(E1838&gt;0,B1838=10),1,0)</f>
        <v>0</v>
      </c>
      <c r="AB1838" s="0" t="str">
        <f aca="false">IF(AND(C1837=C1838,Y1837=Y1838-1),Z1837,"")</f>
        <v/>
      </c>
      <c r="AC1838" s="0" t="str">
        <f aca="false">IF(AND(C1837=C1838,Y1837=Y1838-1),AA1837,"")</f>
        <v/>
      </c>
      <c r="AD1838" s="0" t="str">
        <f aca="false">IF(Y1838=1,"",IF(AND(Z1838=1,AB1838&lt;&gt;1),1,0))</f>
        <v/>
      </c>
      <c r="AE1838" s="0" t="str">
        <f aca="false">IF(Y1838=1,"",IF(AND(AA1838=1,AC1838&lt;&gt;1),1,0))</f>
        <v/>
      </c>
      <c r="AF1838" s="45" t="str">
        <f aca="false">IF(AND(E1838&gt;0,Y1838&lt;1,NOT(AND(C1839=C1838,Y1839=Y1838+1))),INDEX(DATAS,Y1838+1),"")</f>
        <v/>
      </c>
      <c r="AG1838" s="45" t="str">
        <f aca="false">IF(AND(AA1838=1,Y1838&lt;1),IF(AND(C1839=C1838,Y1839=Y1838+1),IF(AA1839=1,"",INDEX(DATAS,Y1838+1)),INDEX(DATAS,Y1838+1)),"")</f>
        <v/>
      </c>
    </row>
    <row r="1839" customFormat="false" ht="15" hidden="false" customHeight="false" outlineLevel="0" collapsed="false">
      <c r="A1839" s="45" t="n">
        <v>46309</v>
      </c>
      <c r="B1839" s="0" t="n">
        <v>1</v>
      </c>
      <c r="C1839" s="0" t="n">
        <v>6053</v>
      </c>
      <c r="D1839" s="0" t="n">
        <v>52</v>
      </c>
      <c r="E1839" s="0" t="n">
        <v>1</v>
      </c>
      <c r="F1839" s="39" t="s">
        <v>1044</v>
      </c>
      <c r="G1839" s="0" t="n">
        <v>46.1</v>
      </c>
      <c r="H1839" s="0" t="n">
        <v>47</v>
      </c>
      <c r="I1839" s="39" t="s">
        <v>118</v>
      </c>
      <c r="J1839" s="0" t="n">
        <v>52</v>
      </c>
      <c r="P1839" s="0" t="n">
        <v>4.02</v>
      </c>
      <c r="Q1839" s="0" t="n">
        <v>3.13</v>
      </c>
      <c r="R1839" s="0" t="n">
        <v>4254</v>
      </c>
      <c r="S1839" s="0" t="n">
        <v>8552</v>
      </c>
      <c r="U1839" s="0" t="n">
        <v>701</v>
      </c>
      <c r="V1839" s="0" t="n">
        <v>0</v>
      </c>
      <c r="W1839" s="39" t="n">
        <f aca="false">IF(I1839="Male",0,1)</f>
        <v>1</v>
      </c>
      <c r="X1839" s="39" t="n">
        <f aca="false">IF(OR(I1839="DNB",I1839="Dry DNB"),1,0)</f>
        <v>0</v>
      </c>
      <c r="Y1839" s="39" t="n">
        <f aca="false">MATCH(A1839,DATAS,0)</f>
        <v>1</v>
      </c>
      <c r="Z1839" s="39" t="n">
        <f aca="false">IF(AND(E1839&gt;0,OR(AND(B1839&gt;=1,B1839&lt;=6),B1839=10)),1,0)</f>
        <v>1</v>
      </c>
      <c r="AA1839" s="39" t="n">
        <f aca="false">IF(AND(E1839&gt;0,B1839=10),1,0)</f>
        <v>0</v>
      </c>
      <c r="AB1839" s="0" t="str">
        <f aca="false">IF(AND(C1838=C1839,Y1838=Y1839-1),Z1838,"")</f>
        <v/>
      </c>
      <c r="AC1839" s="0" t="str">
        <f aca="false">IF(AND(C1838=C1839,Y1838=Y1839-1),AA1838,"")</f>
        <v/>
      </c>
      <c r="AD1839" s="0" t="str">
        <f aca="false">IF(Y1839=1,"",IF(AND(Z1839=1,AB1839&lt;&gt;1),1,0))</f>
        <v/>
      </c>
      <c r="AE1839" s="0" t="str">
        <f aca="false">IF(Y1839=1,"",IF(AND(AA1839=1,AC1839&lt;&gt;1),1,0))</f>
        <v/>
      </c>
      <c r="AF1839" s="45" t="str">
        <f aca="false">IF(AND(E1839&gt;0,Y1839&lt;1,NOT(AND(C1840=C1839,Y1840=Y1839+1))),INDEX(DATAS,Y1839+1),"")</f>
        <v/>
      </c>
      <c r="AG1839" s="45" t="str">
        <f aca="false">IF(AND(AA1839=1,Y1839&lt;1),IF(AND(C1840=C1839,Y1840=Y1839+1),IF(AA1840=1,"",INDEX(DATAS,Y1839+1)),INDEX(DATAS,Y1839+1)),"")</f>
        <v/>
      </c>
    </row>
    <row r="1840" customFormat="false" ht="15" hidden="false" customHeight="false" outlineLevel="0" collapsed="false">
      <c r="A1840" s="45" t="n">
        <v>46309</v>
      </c>
      <c r="B1840" s="0" t="n">
        <v>7</v>
      </c>
      <c r="C1840" s="0" t="n">
        <v>6054</v>
      </c>
      <c r="E1840" s="0" t="n">
        <v>0</v>
      </c>
      <c r="F1840" s="39" t="s">
        <v>1044</v>
      </c>
      <c r="I1840" s="39" t="s">
        <v>109</v>
      </c>
      <c r="L1840" s="0" t="n">
        <v>177</v>
      </c>
      <c r="U1840" s="0" t="n">
        <v>701</v>
      </c>
      <c r="V1840" s="0" t="n">
        <v>7</v>
      </c>
      <c r="W1840" s="39" t="n">
        <f aca="false">IF(I1840="Male",0,1)</f>
        <v>1</v>
      </c>
      <c r="X1840" s="39" t="n">
        <f aca="false">IF(OR(I1840="DNB",I1840="Dry DNB"),1,0)</f>
        <v>0</v>
      </c>
      <c r="Y1840" s="39" t="n">
        <f aca="false">MATCH(A1840,DATAS,0)</f>
        <v>1</v>
      </c>
      <c r="Z1840" s="39" t="n">
        <f aca="false">IF(AND(E1840&gt;0,OR(AND(B1840&gt;=1,B1840&lt;=6),B1840=10)),1,0)</f>
        <v>0</v>
      </c>
      <c r="AA1840" s="39" t="n">
        <f aca="false">IF(AND(E1840&gt;0,B1840=10),1,0)</f>
        <v>0</v>
      </c>
      <c r="AB1840" s="0" t="str">
        <f aca="false">IF(AND(C1839=C1840,Y1839=Y1840-1),Z1839,"")</f>
        <v/>
      </c>
      <c r="AC1840" s="0" t="str">
        <f aca="false">IF(AND(C1839=C1840,Y1839=Y1840-1),AA1839,"")</f>
        <v/>
      </c>
      <c r="AD1840" s="0" t="str">
        <f aca="false">IF(Y1840=1,"",IF(AND(Z1840=1,AB1840&lt;&gt;1),1,0))</f>
        <v/>
      </c>
      <c r="AE1840" s="0" t="str">
        <f aca="false">IF(Y1840=1,"",IF(AND(AA1840=1,AC1840&lt;&gt;1),1,0))</f>
        <v/>
      </c>
      <c r="AF1840" s="45" t="str">
        <f aca="false">IF(AND(E1840&gt;0,Y1840&lt;1,NOT(AND(C1841=C1840,Y1841=Y1840+1))),INDEX(DATAS,Y1840+1),"")</f>
        <v/>
      </c>
      <c r="AG1840" s="45" t="str">
        <f aca="false">IF(AND(AA1840=1,Y1840&lt;1),IF(AND(C1841=C1840,Y1841=Y1840+1),IF(AA1841=1,"",INDEX(DATAS,Y1840+1)),INDEX(DATAS,Y1840+1)),"")</f>
        <v/>
      </c>
    </row>
    <row r="1841" customFormat="false" ht="15" hidden="false" customHeight="false" outlineLevel="0" collapsed="false">
      <c r="A1841" s="45" t="n">
        <v>46309</v>
      </c>
      <c r="B1841" s="0" t="n">
        <v>1</v>
      </c>
      <c r="C1841" s="0" t="n">
        <v>6056</v>
      </c>
      <c r="D1841" s="0" t="n">
        <v>68</v>
      </c>
      <c r="E1841" s="0" t="n">
        <v>1</v>
      </c>
      <c r="F1841" s="39" t="s">
        <v>1044</v>
      </c>
      <c r="G1841" s="0" t="n">
        <v>45.7</v>
      </c>
      <c r="H1841" s="0" t="n">
        <v>47</v>
      </c>
      <c r="I1841" s="39" t="s">
        <v>138</v>
      </c>
      <c r="J1841" s="0" t="n">
        <v>68</v>
      </c>
      <c r="K1841" s="0" t="n">
        <v>68</v>
      </c>
      <c r="P1841" s="0" t="n">
        <v>4.07</v>
      </c>
      <c r="Q1841" s="0" t="n">
        <v>3.15</v>
      </c>
      <c r="R1841" s="0" t="n">
        <v>3957</v>
      </c>
      <c r="S1841" s="0" t="n">
        <v>7954</v>
      </c>
      <c r="U1841" s="0" t="n">
        <v>701</v>
      </c>
      <c r="V1841" s="0" t="n">
        <v>1</v>
      </c>
      <c r="W1841" s="39" t="n">
        <f aca="false">IF(I1841="Male",0,1)</f>
        <v>1</v>
      </c>
      <c r="X1841" s="39" t="n">
        <f aca="false">IF(OR(I1841="DNB",I1841="Dry DNB"),1,0)</f>
        <v>0</v>
      </c>
      <c r="Y1841" s="39" t="n">
        <f aca="false">MATCH(A1841,DATAS,0)</f>
        <v>1</v>
      </c>
      <c r="Z1841" s="39" t="n">
        <f aca="false">IF(AND(E1841&gt;0,OR(AND(B1841&gt;=1,B1841&lt;=6),B1841=10)),1,0)</f>
        <v>1</v>
      </c>
      <c r="AA1841" s="39" t="n">
        <f aca="false">IF(AND(E1841&gt;0,B1841=10),1,0)</f>
        <v>0</v>
      </c>
      <c r="AB1841" s="0" t="str">
        <f aca="false">IF(AND(C1840=C1841,Y1840=Y1841-1),Z1840,"")</f>
        <v/>
      </c>
      <c r="AC1841" s="0" t="str">
        <f aca="false">IF(AND(C1840=C1841,Y1840=Y1841-1),AA1840,"")</f>
        <v/>
      </c>
      <c r="AD1841" s="0" t="str">
        <f aca="false">IF(Y1841=1,"",IF(AND(Z1841=1,AB1841&lt;&gt;1),1,0))</f>
        <v/>
      </c>
      <c r="AE1841" s="0" t="str">
        <f aca="false">IF(Y1841=1,"",IF(AND(AA1841=1,AC1841&lt;&gt;1),1,0))</f>
        <v/>
      </c>
      <c r="AF1841" s="45" t="str">
        <f aca="false">IF(AND(E1841&gt;0,Y1841&lt;1,NOT(AND(C1842=C1841,Y1842=Y1841+1))),INDEX(DATAS,Y1841+1),"")</f>
        <v/>
      </c>
      <c r="AG1841" s="45" t="str">
        <f aca="false">IF(AND(AA1841=1,Y1841&lt;1),IF(AND(C1842=C1841,Y1842=Y1841+1),IF(AA1842=1,"",INDEX(DATAS,Y1841+1)),INDEX(DATAS,Y1841+1)),"")</f>
        <v/>
      </c>
    </row>
    <row r="1842" customFormat="false" ht="15" hidden="false" customHeight="false" outlineLevel="0" collapsed="false">
      <c r="A1842" s="45" t="n">
        <v>46309</v>
      </c>
      <c r="B1842" s="0" t="n">
        <v>1</v>
      </c>
      <c r="C1842" s="0" t="n">
        <v>6057</v>
      </c>
      <c r="D1842" s="0" t="n">
        <v>12</v>
      </c>
      <c r="E1842" s="0" t="n">
        <v>1</v>
      </c>
      <c r="F1842" s="39" t="s">
        <v>1044</v>
      </c>
      <c r="G1842" s="0" t="n">
        <v>41.2</v>
      </c>
      <c r="H1842" s="0" t="n">
        <v>36</v>
      </c>
      <c r="I1842" s="39" t="s">
        <v>118</v>
      </c>
      <c r="J1842" s="0" t="n">
        <v>12</v>
      </c>
      <c r="R1842" s="0" t="n">
        <v>3417</v>
      </c>
      <c r="S1842" s="0" t="n">
        <v>6868</v>
      </c>
      <c r="U1842" s="0" t="n">
        <v>701</v>
      </c>
      <c r="V1842" s="0" t="n">
        <v>0</v>
      </c>
      <c r="W1842" s="39" t="n">
        <f aca="false">IF(I1842="Male",0,1)</f>
        <v>1</v>
      </c>
      <c r="X1842" s="39" t="n">
        <f aca="false">IF(OR(I1842="DNB",I1842="Dry DNB"),1,0)</f>
        <v>0</v>
      </c>
      <c r="Y1842" s="39" t="n">
        <f aca="false">MATCH(A1842,DATAS,0)</f>
        <v>1</v>
      </c>
      <c r="Z1842" s="39" t="n">
        <f aca="false">IF(AND(E1842&gt;0,OR(AND(B1842&gt;=1,B1842&lt;=6),B1842=10)),1,0)</f>
        <v>1</v>
      </c>
      <c r="AA1842" s="39" t="n">
        <f aca="false">IF(AND(E1842&gt;0,B1842=10),1,0)</f>
        <v>0</v>
      </c>
      <c r="AB1842" s="0" t="str">
        <f aca="false">IF(AND(C1841=C1842,Y1841=Y1842-1),Z1841,"")</f>
        <v/>
      </c>
      <c r="AC1842" s="0" t="str">
        <f aca="false">IF(AND(C1841=C1842,Y1841=Y1842-1),AA1841,"")</f>
        <v/>
      </c>
      <c r="AD1842" s="0" t="str">
        <f aca="false">IF(Y1842=1,"",IF(AND(Z1842=1,AB1842&lt;&gt;1),1,0))</f>
        <v/>
      </c>
      <c r="AE1842" s="0" t="str">
        <f aca="false">IF(Y1842=1,"",IF(AND(AA1842=1,AC1842&lt;&gt;1),1,0))</f>
        <v/>
      </c>
      <c r="AF1842" s="45" t="str">
        <f aca="false">IF(AND(E1842&gt;0,Y1842&lt;1,NOT(AND(C1843=C1842,Y1843=Y1842+1))),INDEX(DATAS,Y1842+1),"")</f>
        <v/>
      </c>
      <c r="AG1842" s="45" t="str">
        <f aca="false">IF(AND(AA1842=1,Y1842&lt;1),IF(AND(C1843=C1842,Y1843=Y1842+1),IF(AA1843=1,"",INDEX(DATAS,Y1842+1)),INDEX(DATAS,Y1842+1)),"")</f>
        <v/>
      </c>
    </row>
    <row r="1843" customFormat="false" ht="15" hidden="false" customHeight="false" outlineLevel="0" collapsed="false">
      <c r="A1843" s="45" t="n">
        <v>46309</v>
      </c>
      <c r="B1843" s="0" t="n">
        <v>6</v>
      </c>
      <c r="C1843" s="0" t="n">
        <v>6058</v>
      </c>
      <c r="D1843" s="0" t="n">
        <v>56</v>
      </c>
      <c r="E1843" s="0" t="n">
        <v>1</v>
      </c>
      <c r="F1843" s="39" t="s">
        <v>1044</v>
      </c>
      <c r="G1843" s="0" t="n">
        <v>28.9</v>
      </c>
      <c r="H1843" s="0" t="n">
        <v>27</v>
      </c>
      <c r="I1843" s="39" t="s">
        <v>118</v>
      </c>
      <c r="J1843" s="0" t="n">
        <v>56</v>
      </c>
      <c r="P1843" s="0" t="n">
        <v>4.42</v>
      </c>
      <c r="Q1843" s="0" t="n">
        <v>3.39</v>
      </c>
      <c r="R1843" s="0" t="n">
        <v>2123</v>
      </c>
      <c r="S1843" s="0" t="n">
        <v>4269</v>
      </c>
      <c r="U1843" s="0" t="n">
        <v>701</v>
      </c>
      <c r="V1843" s="0" t="n">
        <v>0</v>
      </c>
      <c r="W1843" s="39" t="n">
        <f aca="false">IF(I1843="Male",0,1)</f>
        <v>1</v>
      </c>
      <c r="X1843" s="39" t="n">
        <f aca="false">IF(OR(I1843="DNB",I1843="Dry DNB"),1,0)</f>
        <v>0</v>
      </c>
      <c r="Y1843" s="39" t="n">
        <f aca="false">MATCH(A1843,DATAS,0)</f>
        <v>1</v>
      </c>
      <c r="Z1843" s="39" t="n">
        <f aca="false">IF(AND(E1843&gt;0,OR(AND(B1843&gt;=1,B1843&lt;=6),B1843=10)),1,0)</f>
        <v>1</v>
      </c>
      <c r="AA1843" s="39" t="n">
        <f aca="false">IF(AND(E1843&gt;0,B1843=10),1,0)</f>
        <v>0</v>
      </c>
      <c r="AB1843" s="0" t="str">
        <f aca="false">IF(AND(C1842=C1843,Y1842=Y1843-1),Z1842,"")</f>
        <v/>
      </c>
      <c r="AC1843" s="0" t="str">
        <f aca="false">IF(AND(C1842=C1843,Y1842=Y1843-1),AA1842,"")</f>
        <v/>
      </c>
      <c r="AD1843" s="0" t="str">
        <f aca="false">IF(Y1843=1,"",IF(AND(Z1843=1,AB1843&lt;&gt;1),1,0))</f>
        <v/>
      </c>
      <c r="AE1843" s="0" t="str">
        <f aca="false">IF(Y1843=1,"",IF(AND(AA1843=1,AC1843&lt;&gt;1),1,0))</f>
        <v/>
      </c>
      <c r="AF1843" s="45" t="str">
        <f aca="false">IF(AND(E1843&gt;0,Y1843&lt;1,NOT(AND(C1844=C1843,Y1844=Y1843+1))),INDEX(DATAS,Y1843+1),"")</f>
        <v/>
      </c>
      <c r="AG1843" s="45" t="str">
        <f aca="false">IF(AND(AA1843=1,Y1843&lt;1),IF(AND(C1844=C1843,Y1844=Y1843+1),IF(AA1844=1,"",INDEX(DATAS,Y1843+1)),INDEX(DATAS,Y1843+1)),"")</f>
        <v/>
      </c>
    </row>
    <row r="1844" customFormat="false" ht="15" hidden="false" customHeight="false" outlineLevel="0" collapsed="false">
      <c r="A1844" s="45" t="n">
        <v>46309</v>
      </c>
      <c r="B1844" s="0" t="n">
        <v>1</v>
      </c>
      <c r="C1844" s="0" t="n">
        <v>6059</v>
      </c>
      <c r="D1844" s="0" t="n">
        <v>55</v>
      </c>
      <c r="E1844" s="0" t="n">
        <v>1</v>
      </c>
      <c r="F1844" s="39" t="s">
        <v>1044</v>
      </c>
      <c r="G1844" s="0" t="n">
        <v>50.9</v>
      </c>
      <c r="H1844" s="0" t="n">
        <v>52</v>
      </c>
      <c r="I1844" s="39" t="s">
        <v>118</v>
      </c>
      <c r="J1844" s="0" t="n">
        <v>55</v>
      </c>
      <c r="P1844" s="0" t="n">
        <v>3.19</v>
      </c>
      <c r="Q1844" s="0" t="n">
        <v>3.08</v>
      </c>
      <c r="R1844" s="0" t="n">
        <v>4564</v>
      </c>
      <c r="S1844" s="0" t="n">
        <v>9176</v>
      </c>
      <c r="U1844" s="0" t="n">
        <v>701</v>
      </c>
      <c r="V1844" s="0" t="n">
        <v>0</v>
      </c>
      <c r="W1844" s="39" t="n">
        <f aca="false">IF(I1844="Male",0,1)</f>
        <v>1</v>
      </c>
      <c r="X1844" s="39" t="n">
        <f aca="false">IF(OR(I1844="DNB",I1844="Dry DNB"),1,0)</f>
        <v>0</v>
      </c>
      <c r="Y1844" s="39" t="n">
        <f aca="false">MATCH(A1844,DATAS,0)</f>
        <v>1</v>
      </c>
      <c r="Z1844" s="39" t="n">
        <f aca="false">IF(AND(E1844&gt;0,OR(AND(B1844&gt;=1,B1844&lt;=6),B1844=10)),1,0)</f>
        <v>1</v>
      </c>
      <c r="AA1844" s="39" t="n">
        <f aca="false">IF(AND(E1844&gt;0,B1844=10),1,0)</f>
        <v>0</v>
      </c>
      <c r="AB1844" s="0" t="str">
        <f aca="false">IF(AND(C1843=C1844,Y1843=Y1844-1),Z1843,"")</f>
        <v/>
      </c>
      <c r="AC1844" s="0" t="str">
        <f aca="false">IF(AND(C1843=C1844,Y1843=Y1844-1),AA1843,"")</f>
        <v/>
      </c>
      <c r="AD1844" s="0" t="str">
        <f aca="false">IF(Y1844=1,"",IF(AND(Z1844=1,AB1844&lt;&gt;1),1,0))</f>
        <v/>
      </c>
      <c r="AE1844" s="0" t="str">
        <f aca="false">IF(Y1844=1,"",IF(AND(AA1844=1,AC1844&lt;&gt;1),1,0))</f>
        <v/>
      </c>
      <c r="AF1844" s="45" t="str">
        <f aca="false">IF(AND(E1844&gt;0,Y1844&lt;1,NOT(AND(C1845=C1844,Y1845=Y1844+1))),INDEX(DATAS,Y1844+1),"")</f>
        <v/>
      </c>
      <c r="AG1844" s="45" t="str">
        <f aca="false">IF(AND(AA1844=1,Y1844&lt;1),IF(AND(C1845=C1844,Y1845=Y1844+1),IF(AA1845=1,"",INDEX(DATAS,Y1844+1)),INDEX(DATAS,Y1844+1)),"")</f>
        <v/>
      </c>
    </row>
    <row r="1845" customFormat="false" ht="15" hidden="false" customHeight="false" outlineLevel="0" collapsed="false">
      <c r="A1845" s="45" t="n">
        <v>46309</v>
      </c>
      <c r="B1845" s="0" t="n">
        <v>14</v>
      </c>
      <c r="C1845" s="0" t="n">
        <v>6060</v>
      </c>
      <c r="E1845" s="0" t="n">
        <v>0</v>
      </c>
      <c r="F1845" s="39" t="s">
        <v>1045</v>
      </c>
      <c r="I1845" s="39" t="s">
        <v>109</v>
      </c>
      <c r="L1845" s="0" t="n">
        <v>273</v>
      </c>
      <c r="U1845" s="0" t="n">
        <v>700</v>
      </c>
      <c r="V1845" s="0" t="n">
        <v>3</v>
      </c>
      <c r="W1845" s="39" t="n">
        <f aca="false">IF(I1845="Male",0,1)</f>
        <v>1</v>
      </c>
      <c r="X1845" s="39" t="n">
        <f aca="false">IF(OR(I1845="DNB",I1845="Dry DNB"),1,0)</f>
        <v>0</v>
      </c>
      <c r="Y1845" s="39" t="n">
        <f aca="false">MATCH(A1845,DATAS,0)</f>
        <v>1</v>
      </c>
      <c r="Z1845" s="39" t="n">
        <f aca="false">IF(AND(E1845&gt;0,OR(AND(B1845&gt;=1,B1845&lt;=6),B1845=10)),1,0)</f>
        <v>0</v>
      </c>
      <c r="AA1845" s="39" t="n">
        <f aca="false">IF(AND(E1845&gt;0,B1845=10),1,0)</f>
        <v>0</v>
      </c>
      <c r="AB1845" s="0" t="str">
        <f aca="false">IF(AND(C1844=C1845,Y1844=Y1845-1),Z1844,"")</f>
        <v/>
      </c>
      <c r="AC1845" s="0" t="str">
        <f aca="false">IF(AND(C1844=C1845,Y1844=Y1845-1),AA1844,"")</f>
        <v/>
      </c>
      <c r="AD1845" s="0" t="str">
        <f aca="false">IF(Y1845=1,"",IF(AND(Z1845=1,AB1845&lt;&gt;1),1,0))</f>
        <v/>
      </c>
      <c r="AE1845" s="0" t="str">
        <f aca="false">IF(Y1845=1,"",IF(AND(AA1845=1,AC1845&lt;&gt;1),1,0))</f>
        <v/>
      </c>
      <c r="AF1845" s="45" t="str">
        <f aca="false">IF(AND(E1845&gt;0,Y1845&lt;1,NOT(AND(C1846=C1845,Y1846=Y1845+1))),INDEX(DATAS,Y1845+1),"")</f>
        <v/>
      </c>
      <c r="AG1845" s="45" t="str">
        <f aca="false">IF(AND(AA1845=1,Y1845&lt;1),IF(AND(C1846=C1845,Y1846=Y1845+1),IF(AA1846=1,"",INDEX(DATAS,Y1845+1)),INDEX(DATAS,Y1845+1)),"")</f>
        <v/>
      </c>
    </row>
    <row r="1846" customFormat="false" ht="15" hidden="false" customHeight="false" outlineLevel="0" collapsed="false">
      <c r="A1846" s="45" t="n">
        <v>46309</v>
      </c>
      <c r="B1846" s="0" t="n">
        <v>1</v>
      </c>
      <c r="C1846" s="0" t="n">
        <v>6062</v>
      </c>
      <c r="D1846" s="0" t="n">
        <v>62</v>
      </c>
      <c r="E1846" s="0" t="n">
        <v>1</v>
      </c>
      <c r="F1846" s="39" t="s">
        <v>1046</v>
      </c>
      <c r="G1846" s="0" t="n">
        <v>37.2</v>
      </c>
      <c r="H1846" s="0" t="n">
        <v>38</v>
      </c>
      <c r="I1846" s="39" t="s">
        <v>138</v>
      </c>
      <c r="J1846" s="0" t="n">
        <v>62</v>
      </c>
      <c r="K1846" s="0" t="n">
        <v>62</v>
      </c>
      <c r="P1846" s="0" t="n">
        <v>4.41</v>
      </c>
      <c r="Q1846" s="0" t="n">
        <v>3.12</v>
      </c>
      <c r="R1846" s="0" t="n">
        <v>3550</v>
      </c>
      <c r="S1846" s="0" t="n">
        <v>7136</v>
      </c>
      <c r="U1846" s="0" t="n">
        <v>699</v>
      </c>
      <c r="V1846" s="0" t="n">
        <v>1</v>
      </c>
      <c r="W1846" s="39" t="n">
        <f aca="false">IF(I1846="Male",0,1)</f>
        <v>1</v>
      </c>
      <c r="X1846" s="39" t="n">
        <f aca="false">IF(OR(I1846="DNB",I1846="Dry DNB"),1,0)</f>
        <v>0</v>
      </c>
      <c r="Y1846" s="39" t="n">
        <f aca="false">MATCH(A1846,DATAS,0)</f>
        <v>1</v>
      </c>
      <c r="Z1846" s="39" t="n">
        <f aca="false">IF(AND(E1846&gt;0,OR(AND(B1846&gt;=1,B1846&lt;=6),B1846=10)),1,0)</f>
        <v>1</v>
      </c>
      <c r="AA1846" s="39" t="n">
        <f aca="false">IF(AND(E1846&gt;0,B1846=10),1,0)</f>
        <v>0</v>
      </c>
      <c r="AB1846" s="0" t="str">
        <f aca="false">IF(AND(C1845=C1846,Y1845=Y1846-1),Z1845,"")</f>
        <v/>
      </c>
      <c r="AC1846" s="0" t="str">
        <f aca="false">IF(AND(C1845=C1846,Y1845=Y1846-1),AA1845,"")</f>
        <v/>
      </c>
      <c r="AD1846" s="0" t="str">
        <f aca="false">IF(Y1846=1,"",IF(AND(Z1846=1,AB1846&lt;&gt;1),1,0))</f>
        <v/>
      </c>
      <c r="AE1846" s="0" t="str">
        <f aca="false">IF(Y1846=1,"",IF(AND(AA1846=1,AC1846&lt;&gt;1),1,0))</f>
        <v/>
      </c>
      <c r="AF1846" s="45" t="str">
        <f aca="false">IF(AND(E1846&gt;0,Y1846&lt;1,NOT(AND(C1847=C1846,Y1847=Y1846+1))),INDEX(DATAS,Y1846+1),"")</f>
        <v/>
      </c>
      <c r="AG1846" s="45" t="str">
        <f aca="false">IF(AND(AA1846=1,Y1846&lt;1),IF(AND(C1847=C1846,Y1847=Y1846+1),IF(AA1847=1,"",INDEX(DATAS,Y1846+1)),INDEX(DATAS,Y1846+1)),"")</f>
        <v/>
      </c>
    </row>
    <row r="1847" customFormat="false" ht="15" hidden="false" customHeight="false" outlineLevel="0" collapsed="false">
      <c r="A1847" s="45" t="n">
        <v>46309</v>
      </c>
      <c r="B1847" s="0" t="n">
        <v>14</v>
      </c>
      <c r="C1847" s="0" t="n">
        <v>6063</v>
      </c>
      <c r="E1847" s="0" t="n">
        <v>0</v>
      </c>
      <c r="F1847" s="39" t="s">
        <v>1046</v>
      </c>
      <c r="I1847" s="39" t="s">
        <v>109</v>
      </c>
      <c r="L1847" s="0" t="n">
        <v>259</v>
      </c>
      <c r="U1847" s="0" t="n">
        <v>699</v>
      </c>
      <c r="V1847" s="0" t="n">
        <v>4</v>
      </c>
      <c r="W1847" s="39" t="n">
        <f aca="false">IF(I1847="Male",0,1)</f>
        <v>1</v>
      </c>
      <c r="X1847" s="39" t="n">
        <f aca="false">IF(OR(I1847="DNB",I1847="Dry DNB"),1,0)</f>
        <v>0</v>
      </c>
      <c r="Y1847" s="39" t="n">
        <f aca="false">MATCH(A1847,DATAS,0)</f>
        <v>1</v>
      </c>
      <c r="Z1847" s="39" t="n">
        <f aca="false">IF(AND(E1847&gt;0,OR(AND(B1847&gt;=1,B1847&lt;=6),B1847=10)),1,0)</f>
        <v>0</v>
      </c>
      <c r="AA1847" s="39" t="n">
        <f aca="false">IF(AND(E1847&gt;0,B1847=10),1,0)</f>
        <v>0</v>
      </c>
      <c r="AB1847" s="0" t="str">
        <f aca="false">IF(AND(C1846=C1847,Y1846=Y1847-1),Z1846,"")</f>
        <v/>
      </c>
      <c r="AC1847" s="0" t="str">
        <f aca="false">IF(AND(C1846=C1847,Y1846=Y1847-1),AA1846,"")</f>
        <v/>
      </c>
      <c r="AD1847" s="0" t="str">
        <f aca="false">IF(Y1847=1,"",IF(AND(Z1847=1,AB1847&lt;&gt;1),1,0))</f>
        <v/>
      </c>
      <c r="AE1847" s="0" t="str">
        <f aca="false">IF(Y1847=1,"",IF(AND(AA1847=1,AC1847&lt;&gt;1),1,0))</f>
        <v/>
      </c>
      <c r="AF1847" s="45" t="str">
        <f aca="false">IF(AND(E1847&gt;0,Y1847&lt;1,NOT(AND(C1848=C1847,Y1848=Y1847+1))),INDEX(DATAS,Y1847+1),"")</f>
        <v/>
      </c>
      <c r="AG1847" s="45" t="str">
        <f aca="false">IF(AND(AA1847=1,Y1847&lt;1),IF(AND(C1848=C1847,Y1848=Y1847+1),IF(AA1848=1,"",INDEX(DATAS,Y1847+1)),INDEX(DATAS,Y1847+1)),"")</f>
        <v/>
      </c>
    </row>
    <row r="1848" customFormat="false" ht="15" hidden="false" customHeight="false" outlineLevel="0" collapsed="false">
      <c r="A1848" s="45" t="n">
        <v>46309</v>
      </c>
      <c r="B1848" s="0" t="n">
        <v>1</v>
      </c>
      <c r="C1848" s="0" t="n">
        <v>6064</v>
      </c>
      <c r="D1848" s="0" t="n">
        <v>53</v>
      </c>
      <c r="E1848" s="0" t="n">
        <v>1</v>
      </c>
      <c r="F1848" s="39" t="s">
        <v>1046</v>
      </c>
      <c r="G1848" s="0" t="n">
        <v>48.4</v>
      </c>
      <c r="H1848" s="0" t="n">
        <v>46</v>
      </c>
      <c r="I1848" s="39" t="s">
        <v>118</v>
      </c>
      <c r="J1848" s="0" t="n">
        <v>53</v>
      </c>
      <c r="P1848" s="0" t="n">
        <v>3.69</v>
      </c>
      <c r="Q1848" s="0" t="n">
        <v>3.25</v>
      </c>
      <c r="R1848" s="0" t="n">
        <v>3937</v>
      </c>
      <c r="S1848" s="0" t="n">
        <v>7914</v>
      </c>
      <c r="U1848" s="0" t="n">
        <v>699</v>
      </c>
      <c r="V1848" s="0" t="n">
        <v>0</v>
      </c>
      <c r="W1848" s="39" t="n">
        <f aca="false">IF(I1848="Male",0,1)</f>
        <v>1</v>
      </c>
      <c r="X1848" s="39" t="n">
        <f aca="false">IF(OR(I1848="DNB",I1848="Dry DNB"),1,0)</f>
        <v>0</v>
      </c>
      <c r="Y1848" s="39" t="n">
        <f aca="false">MATCH(A1848,DATAS,0)</f>
        <v>1</v>
      </c>
      <c r="Z1848" s="39" t="n">
        <f aca="false">IF(AND(E1848&gt;0,OR(AND(B1848&gt;=1,B1848&lt;=6),B1848=10)),1,0)</f>
        <v>1</v>
      </c>
      <c r="AA1848" s="39" t="n">
        <f aca="false">IF(AND(E1848&gt;0,B1848=10),1,0)</f>
        <v>0</v>
      </c>
      <c r="AB1848" s="0" t="str">
        <f aca="false">IF(AND(C1847=C1848,Y1847=Y1848-1),Z1847,"")</f>
        <v/>
      </c>
      <c r="AC1848" s="0" t="str">
        <f aca="false">IF(AND(C1847=C1848,Y1847=Y1848-1),AA1847,"")</f>
        <v/>
      </c>
      <c r="AD1848" s="0" t="str">
        <f aca="false">IF(Y1848=1,"",IF(AND(Z1848=1,AB1848&lt;&gt;1),1,0))</f>
        <v/>
      </c>
      <c r="AE1848" s="0" t="str">
        <f aca="false">IF(Y1848=1,"",IF(AND(AA1848=1,AC1848&lt;&gt;1),1,0))</f>
        <v/>
      </c>
      <c r="AF1848" s="45" t="str">
        <f aca="false">IF(AND(E1848&gt;0,Y1848&lt;1,NOT(AND(C1849=C1848,Y1849=Y1848+1))),INDEX(DATAS,Y1848+1),"")</f>
        <v/>
      </c>
      <c r="AG1848" s="45" t="str">
        <f aca="false">IF(AND(AA1848=1,Y1848&lt;1),IF(AND(C1849=C1848,Y1849=Y1848+1),IF(AA1849=1,"",INDEX(DATAS,Y1848+1)),INDEX(DATAS,Y1848+1)),"")</f>
        <v/>
      </c>
    </row>
    <row r="1849" customFormat="false" ht="15" hidden="false" customHeight="false" outlineLevel="0" collapsed="false">
      <c r="A1849" s="45" t="n">
        <v>46309</v>
      </c>
      <c r="B1849" s="0" t="n">
        <v>8</v>
      </c>
      <c r="C1849" s="0" t="n">
        <v>6065</v>
      </c>
      <c r="E1849" s="0" t="n">
        <v>0</v>
      </c>
      <c r="F1849" s="39" t="s">
        <v>1046</v>
      </c>
      <c r="I1849" s="39" t="s">
        <v>109</v>
      </c>
      <c r="L1849" s="0" t="n">
        <v>178</v>
      </c>
      <c r="U1849" s="0" t="n">
        <v>699</v>
      </c>
      <c r="V1849" s="0" t="n">
        <v>2</v>
      </c>
      <c r="W1849" s="39" t="n">
        <f aca="false">IF(I1849="Male",0,1)</f>
        <v>1</v>
      </c>
      <c r="X1849" s="39" t="n">
        <f aca="false">IF(OR(I1849="DNB",I1849="Dry DNB"),1,0)</f>
        <v>0</v>
      </c>
      <c r="Y1849" s="39" t="n">
        <f aca="false">MATCH(A1849,DATAS,0)</f>
        <v>1</v>
      </c>
      <c r="Z1849" s="39" t="n">
        <f aca="false">IF(AND(E1849&gt;0,OR(AND(B1849&gt;=1,B1849&lt;=6),B1849=10)),1,0)</f>
        <v>0</v>
      </c>
      <c r="AA1849" s="39" t="n">
        <f aca="false">IF(AND(E1849&gt;0,B1849=10),1,0)</f>
        <v>0</v>
      </c>
      <c r="AB1849" s="0" t="str">
        <f aca="false">IF(AND(C1848=C1849,Y1848=Y1849-1),Z1848,"")</f>
        <v/>
      </c>
      <c r="AC1849" s="0" t="str">
        <f aca="false">IF(AND(C1848=C1849,Y1848=Y1849-1),AA1848,"")</f>
        <v/>
      </c>
      <c r="AD1849" s="0" t="str">
        <f aca="false">IF(Y1849=1,"",IF(AND(Z1849=1,AB1849&lt;&gt;1),1,0))</f>
        <v/>
      </c>
      <c r="AE1849" s="0" t="str">
        <f aca="false">IF(Y1849=1,"",IF(AND(AA1849=1,AC1849&lt;&gt;1),1,0))</f>
        <v/>
      </c>
      <c r="AF1849" s="45" t="str">
        <f aca="false">IF(AND(E1849&gt;0,Y1849&lt;1,NOT(AND(C1850=C1849,Y1850=Y1849+1))),INDEX(DATAS,Y1849+1),"")</f>
        <v/>
      </c>
      <c r="AG1849" s="45" t="str">
        <f aca="false">IF(AND(AA1849=1,Y1849&lt;1),IF(AND(C1850=C1849,Y1850=Y1849+1),IF(AA1850=1,"",INDEX(DATAS,Y1849+1)),INDEX(DATAS,Y1849+1)),"")</f>
        <v/>
      </c>
    </row>
    <row r="1850" customFormat="false" ht="15" hidden="false" customHeight="false" outlineLevel="0" collapsed="false">
      <c r="A1850" s="45" t="n">
        <v>46309</v>
      </c>
      <c r="B1850" s="0" t="n">
        <v>1</v>
      </c>
      <c r="C1850" s="0" t="n">
        <v>6066</v>
      </c>
      <c r="D1850" s="0" t="n">
        <v>37</v>
      </c>
      <c r="E1850" s="0" t="n">
        <v>1</v>
      </c>
      <c r="F1850" s="39" t="s">
        <v>1046</v>
      </c>
      <c r="G1850" s="0" t="n">
        <v>48.1</v>
      </c>
      <c r="H1850" s="0" t="n">
        <v>47</v>
      </c>
      <c r="I1850" s="39" t="s">
        <v>118</v>
      </c>
      <c r="J1850" s="0" t="n">
        <v>37</v>
      </c>
      <c r="P1850" s="0" t="n">
        <v>5.01</v>
      </c>
      <c r="Q1850" s="0" t="n">
        <v>3.79</v>
      </c>
      <c r="R1850" s="0" t="n">
        <v>3767</v>
      </c>
      <c r="S1850" s="0" t="n">
        <v>7573</v>
      </c>
      <c r="U1850" s="0" t="n">
        <v>699</v>
      </c>
      <c r="V1850" s="0" t="n">
        <v>0</v>
      </c>
      <c r="W1850" s="39" t="n">
        <f aca="false">IF(I1850="Male",0,1)</f>
        <v>1</v>
      </c>
      <c r="X1850" s="39" t="n">
        <f aca="false">IF(OR(I1850="DNB",I1850="Dry DNB"),1,0)</f>
        <v>0</v>
      </c>
      <c r="Y1850" s="39" t="n">
        <f aca="false">MATCH(A1850,DATAS,0)</f>
        <v>1</v>
      </c>
      <c r="Z1850" s="39" t="n">
        <f aca="false">IF(AND(E1850&gt;0,OR(AND(B1850&gt;=1,B1850&lt;=6),B1850=10)),1,0)</f>
        <v>1</v>
      </c>
      <c r="AA1850" s="39" t="n">
        <f aca="false">IF(AND(E1850&gt;0,B1850=10),1,0)</f>
        <v>0</v>
      </c>
      <c r="AB1850" s="0" t="str">
        <f aca="false">IF(AND(C1849=C1850,Y1849=Y1850-1),Z1849,"")</f>
        <v/>
      </c>
      <c r="AC1850" s="0" t="str">
        <f aca="false">IF(AND(C1849=C1850,Y1849=Y1850-1),AA1849,"")</f>
        <v/>
      </c>
      <c r="AD1850" s="0" t="str">
        <f aca="false">IF(Y1850=1,"",IF(AND(Z1850=1,AB1850&lt;&gt;1),1,0))</f>
        <v/>
      </c>
      <c r="AE1850" s="0" t="str">
        <f aca="false">IF(Y1850=1,"",IF(AND(AA1850=1,AC1850&lt;&gt;1),1,0))</f>
        <v/>
      </c>
      <c r="AF1850" s="45" t="str">
        <f aca="false">IF(AND(E1850&gt;0,Y1850&lt;1,NOT(AND(C1851=C1850,Y1851=Y1850+1))),INDEX(DATAS,Y1850+1),"")</f>
        <v/>
      </c>
      <c r="AG1850" s="45" t="str">
        <f aca="false">IF(AND(AA1850=1,Y1850&lt;1),IF(AND(C1851=C1850,Y1851=Y1850+1),IF(AA1851=1,"",INDEX(DATAS,Y1850+1)),INDEX(DATAS,Y1850+1)),"")</f>
        <v/>
      </c>
    </row>
    <row r="1851" customFormat="false" ht="15" hidden="false" customHeight="false" outlineLevel="0" collapsed="false">
      <c r="A1851" s="45" t="n">
        <v>46309</v>
      </c>
      <c r="B1851" s="0" t="n">
        <v>8</v>
      </c>
      <c r="C1851" s="0" t="n">
        <v>6067</v>
      </c>
      <c r="E1851" s="0" t="n">
        <v>0</v>
      </c>
      <c r="F1851" s="39" t="s">
        <v>1046</v>
      </c>
      <c r="I1851" s="39" t="s">
        <v>109</v>
      </c>
      <c r="L1851" s="0" t="n">
        <v>219</v>
      </c>
      <c r="U1851" s="0" t="n">
        <v>699</v>
      </c>
      <c r="V1851" s="0" t="n">
        <v>5</v>
      </c>
      <c r="W1851" s="39" t="n">
        <f aca="false">IF(I1851="Male",0,1)</f>
        <v>1</v>
      </c>
      <c r="X1851" s="39" t="n">
        <f aca="false">IF(OR(I1851="DNB",I1851="Dry DNB"),1,0)</f>
        <v>0</v>
      </c>
      <c r="Y1851" s="39" t="n">
        <f aca="false">MATCH(A1851,DATAS,0)</f>
        <v>1</v>
      </c>
      <c r="Z1851" s="39" t="n">
        <f aca="false">IF(AND(E1851&gt;0,OR(AND(B1851&gt;=1,B1851&lt;=6),B1851=10)),1,0)</f>
        <v>0</v>
      </c>
      <c r="AA1851" s="39" t="n">
        <f aca="false">IF(AND(E1851&gt;0,B1851=10),1,0)</f>
        <v>0</v>
      </c>
      <c r="AB1851" s="0" t="str">
        <f aca="false">IF(AND(C1850=C1851,Y1850=Y1851-1),Z1850,"")</f>
        <v/>
      </c>
      <c r="AC1851" s="0" t="str">
        <f aca="false">IF(AND(C1850=C1851,Y1850=Y1851-1),AA1850,"")</f>
        <v/>
      </c>
      <c r="AD1851" s="0" t="str">
        <f aca="false">IF(Y1851=1,"",IF(AND(Z1851=1,AB1851&lt;&gt;1),1,0))</f>
        <v/>
      </c>
      <c r="AE1851" s="0" t="str">
        <f aca="false">IF(Y1851=1,"",IF(AND(AA1851=1,AC1851&lt;&gt;1),1,0))</f>
        <v/>
      </c>
      <c r="AF1851" s="45" t="str">
        <f aca="false">IF(AND(E1851&gt;0,Y1851&lt;1,NOT(AND(C1852=C1851,Y1852=Y1851+1))),INDEX(DATAS,Y1851+1),"")</f>
        <v/>
      </c>
      <c r="AG1851" s="45" t="str">
        <f aca="false">IF(AND(AA1851=1,Y1851&lt;1),IF(AND(C1852=C1851,Y1852=Y1851+1),IF(AA1852=1,"",INDEX(DATAS,Y1851+1)),INDEX(DATAS,Y1851+1)),"")</f>
        <v/>
      </c>
    </row>
    <row r="1852" customFormat="false" ht="15" hidden="false" customHeight="false" outlineLevel="0" collapsed="false">
      <c r="A1852" s="45" t="n">
        <v>46309</v>
      </c>
      <c r="B1852" s="0" t="n">
        <v>1</v>
      </c>
      <c r="C1852" s="0" t="n">
        <v>6068</v>
      </c>
      <c r="D1852" s="0" t="n">
        <v>24</v>
      </c>
      <c r="E1852" s="0" t="n">
        <v>1</v>
      </c>
      <c r="F1852" s="39" t="s">
        <v>1047</v>
      </c>
      <c r="G1852" s="0" t="n">
        <v>35.2</v>
      </c>
      <c r="H1852" s="0" t="n">
        <v>30</v>
      </c>
      <c r="I1852" s="39" t="s">
        <v>118</v>
      </c>
      <c r="J1852" s="0" t="n">
        <v>24</v>
      </c>
      <c r="R1852" s="0" t="n">
        <v>2718</v>
      </c>
      <c r="S1852" s="0" t="n">
        <v>5463</v>
      </c>
      <c r="U1852" s="0" t="n">
        <v>698</v>
      </c>
      <c r="V1852" s="0" t="n">
        <v>0</v>
      </c>
      <c r="W1852" s="39" t="n">
        <f aca="false">IF(I1852="Male",0,1)</f>
        <v>1</v>
      </c>
      <c r="X1852" s="39" t="n">
        <f aca="false">IF(OR(I1852="DNB",I1852="Dry DNB"),1,0)</f>
        <v>0</v>
      </c>
      <c r="Y1852" s="39" t="n">
        <f aca="false">MATCH(A1852,DATAS,0)</f>
        <v>1</v>
      </c>
      <c r="Z1852" s="39" t="n">
        <f aca="false">IF(AND(E1852&gt;0,OR(AND(B1852&gt;=1,B1852&lt;=6),B1852=10)),1,0)</f>
        <v>1</v>
      </c>
      <c r="AA1852" s="39" t="n">
        <f aca="false">IF(AND(E1852&gt;0,B1852=10),1,0)</f>
        <v>0</v>
      </c>
      <c r="AB1852" s="0" t="str">
        <f aca="false">IF(AND(C1851=C1852,Y1851=Y1852-1),Z1851,"")</f>
        <v/>
      </c>
      <c r="AC1852" s="0" t="str">
        <f aca="false">IF(AND(C1851=C1852,Y1851=Y1852-1),AA1851,"")</f>
        <v/>
      </c>
      <c r="AD1852" s="0" t="str">
        <f aca="false">IF(Y1852=1,"",IF(AND(Z1852=1,AB1852&lt;&gt;1),1,0))</f>
        <v/>
      </c>
      <c r="AE1852" s="0" t="str">
        <f aca="false">IF(Y1852=1,"",IF(AND(AA1852=1,AC1852&lt;&gt;1),1,0))</f>
        <v/>
      </c>
      <c r="AF1852" s="45" t="str">
        <f aca="false">IF(AND(E1852&gt;0,Y1852&lt;1,NOT(AND(C1853=C1852,Y1853=Y1852+1))),INDEX(DATAS,Y1852+1),"")</f>
        <v/>
      </c>
      <c r="AG1852" s="45" t="str">
        <f aca="false">IF(AND(AA1852=1,Y1852&lt;1),IF(AND(C1853=C1852,Y1853=Y1852+1),IF(AA1853=1,"",INDEX(DATAS,Y1852+1)),INDEX(DATAS,Y1852+1)),"")</f>
        <v/>
      </c>
    </row>
    <row r="1853" customFormat="false" ht="15" hidden="false" customHeight="false" outlineLevel="0" collapsed="false">
      <c r="A1853" s="45" t="n">
        <v>46309</v>
      </c>
      <c r="B1853" s="0" t="n">
        <v>1</v>
      </c>
      <c r="C1853" s="0" t="n">
        <v>6071</v>
      </c>
      <c r="D1853" s="0" t="n">
        <v>52</v>
      </c>
      <c r="E1853" s="0" t="n">
        <v>1</v>
      </c>
      <c r="F1853" s="39" t="s">
        <v>1047</v>
      </c>
      <c r="G1853" s="0" t="n">
        <v>51.4</v>
      </c>
      <c r="H1853" s="0" t="n">
        <v>49</v>
      </c>
      <c r="I1853" s="39" t="s">
        <v>118</v>
      </c>
      <c r="J1853" s="0" t="n">
        <v>52</v>
      </c>
      <c r="P1853" s="0" t="n">
        <v>3.64</v>
      </c>
      <c r="Q1853" s="0" t="n">
        <v>3.32</v>
      </c>
      <c r="R1853" s="0" t="n">
        <v>3870</v>
      </c>
      <c r="S1853" s="0" t="n">
        <v>7780</v>
      </c>
      <c r="U1853" s="0" t="n">
        <v>698</v>
      </c>
      <c r="V1853" s="0" t="n">
        <v>0</v>
      </c>
      <c r="W1853" s="39" t="n">
        <f aca="false">IF(I1853="Male",0,1)</f>
        <v>1</v>
      </c>
      <c r="X1853" s="39" t="n">
        <f aca="false">IF(OR(I1853="DNB",I1853="Dry DNB"),1,0)</f>
        <v>0</v>
      </c>
      <c r="Y1853" s="39" t="n">
        <f aca="false">MATCH(A1853,DATAS,0)</f>
        <v>1</v>
      </c>
      <c r="Z1853" s="39" t="n">
        <f aca="false">IF(AND(E1853&gt;0,OR(AND(B1853&gt;=1,B1853&lt;=6),B1853=10)),1,0)</f>
        <v>1</v>
      </c>
      <c r="AA1853" s="39" t="n">
        <f aca="false">IF(AND(E1853&gt;0,B1853=10),1,0)</f>
        <v>0</v>
      </c>
      <c r="AB1853" s="0" t="str">
        <f aca="false">IF(AND(C1852=C1853,Y1852=Y1853-1),Z1852,"")</f>
        <v/>
      </c>
      <c r="AC1853" s="0" t="str">
        <f aca="false">IF(AND(C1852=C1853,Y1852=Y1853-1),AA1852,"")</f>
        <v/>
      </c>
      <c r="AD1853" s="0" t="str">
        <f aca="false">IF(Y1853=1,"",IF(AND(Z1853=1,AB1853&lt;&gt;1),1,0))</f>
        <v/>
      </c>
      <c r="AE1853" s="0" t="str">
        <f aca="false">IF(Y1853=1,"",IF(AND(AA1853=1,AC1853&lt;&gt;1),1,0))</f>
        <v/>
      </c>
      <c r="AF1853" s="45" t="str">
        <f aca="false">IF(AND(E1853&gt;0,Y1853&lt;1,NOT(AND(C1854=C1853,Y1854=Y1853+1))),INDEX(DATAS,Y1853+1),"")</f>
        <v/>
      </c>
      <c r="AG1853" s="45" t="str">
        <f aca="false">IF(AND(AA1853=1,Y1853&lt;1),IF(AND(C1854=C1853,Y1854=Y1853+1),IF(AA1854=1,"",INDEX(DATAS,Y1853+1)),INDEX(DATAS,Y1853+1)),"")</f>
        <v/>
      </c>
    </row>
    <row r="1854" customFormat="false" ht="15" hidden="false" customHeight="false" outlineLevel="0" collapsed="false">
      <c r="A1854" s="45" t="n">
        <v>46309</v>
      </c>
      <c r="B1854" s="0" t="n">
        <v>8</v>
      </c>
      <c r="C1854" s="0" t="n">
        <v>6072</v>
      </c>
      <c r="E1854" s="0" t="n">
        <v>0</v>
      </c>
      <c r="F1854" s="39" t="s">
        <v>1048</v>
      </c>
      <c r="I1854" s="39" t="s">
        <v>109</v>
      </c>
      <c r="L1854" s="0" t="n">
        <v>252</v>
      </c>
      <c r="U1854" s="0" t="n">
        <v>697</v>
      </c>
      <c r="V1854" s="0" t="n">
        <v>5</v>
      </c>
      <c r="W1854" s="39" t="n">
        <f aca="false">IF(I1854="Male",0,1)</f>
        <v>1</v>
      </c>
      <c r="X1854" s="39" t="n">
        <f aca="false">IF(OR(I1854="DNB",I1854="Dry DNB"),1,0)</f>
        <v>0</v>
      </c>
      <c r="Y1854" s="39" t="n">
        <f aca="false">MATCH(A1854,DATAS,0)</f>
        <v>1</v>
      </c>
      <c r="Z1854" s="39" t="n">
        <f aca="false">IF(AND(E1854&gt;0,OR(AND(B1854&gt;=1,B1854&lt;=6),B1854=10)),1,0)</f>
        <v>0</v>
      </c>
      <c r="AA1854" s="39" t="n">
        <f aca="false">IF(AND(E1854&gt;0,B1854=10),1,0)</f>
        <v>0</v>
      </c>
      <c r="AB1854" s="0" t="str">
        <f aca="false">IF(AND(C1853=C1854,Y1853=Y1854-1),Z1853,"")</f>
        <v/>
      </c>
      <c r="AC1854" s="0" t="str">
        <f aca="false">IF(AND(C1853=C1854,Y1853=Y1854-1),AA1853,"")</f>
        <v/>
      </c>
      <c r="AD1854" s="0" t="str">
        <f aca="false">IF(Y1854=1,"",IF(AND(Z1854=1,AB1854&lt;&gt;1),1,0))</f>
        <v/>
      </c>
      <c r="AE1854" s="0" t="str">
        <f aca="false">IF(Y1854=1,"",IF(AND(AA1854=1,AC1854&lt;&gt;1),1,0))</f>
        <v/>
      </c>
      <c r="AF1854" s="45" t="str">
        <f aca="false">IF(AND(E1854&gt;0,Y1854&lt;1,NOT(AND(C1855=C1854,Y1855=Y1854+1))),INDEX(DATAS,Y1854+1),"")</f>
        <v/>
      </c>
      <c r="AG1854" s="45" t="str">
        <f aca="false">IF(AND(AA1854=1,Y1854&lt;1),IF(AND(C1855=C1854,Y1855=Y1854+1),IF(AA1855=1,"",INDEX(DATAS,Y1854+1)),INDEX(DATAS,Y1854+1)),"")</f>
        <v/>
      </c>
    </row>
    <row r="1855" customFormat="false" ht="15" hidden="false" customHeight="false" outlineLevel="0" collapsed="false">
      <c r="A1855" s="45" t="n">
        <v>46309</v>
      </c>
      <c r="B1855" s="0" t="n">
        <v>1</v>
      </c>
      <c r="C1855" s="0" t="n">
        <v>6073</v>
      </c>
      <c r="D1855" s="0" t="n">
        <v>30</v>
      </c>
      <c r="E1855" s="0" t="n">
        <v>1</v>
      </c>
      <c r="F1855" s="39" t="s">
        <v>1048</v>
      </c>
      <c r="G1855" s="0" t="n">
        <v>45.1</v>
      </c>
      <c r="H1855" s="0" t="n">
        <v>43</v>
      </c>
      <c r="I1855" s="39" t="s">
        <v>118</v>
      </c>
      <c r="J1855" s="0" t="n">
        <v>30</v>
      </c>
      <c r="R1855" s="0" t="n">
        <v>3903</v>
      </c>
      <c r="S1855" s="0" t="n">
        <v>7845</v>
      </c>
      <c r="U1855" s="0" t="n">
        <v>697</v>
      </c>
      <c r="V1855" s="0" t="n">
        <v>0</v>
      </c>
      <c r="W1855" s="39" t="n">
        <f aca="false">IF(I1855="Male",0,1)</f>
        <v>1</v>
      </c>
      <c r="X1855" s="39" t="n">
        <f aca="false">IF(OR(I1855="DNB",I1855="Dry DNB"),1,0)</f>
        <v>0</v>
      </c>
      <c r="Y1855" s="39" t="n">
        <f aca="false">MATCH(A1855,DATAS,0)</f>
        <v>1</v>
      </c>
      <c r="Z1855" s="39" t="n">
        <f aca="false">IF(AND(E1855&gt;0,OR(AND(B1855&gt;=1,B1855&lt;=6),B1855=10)),1,0)</f>
        <v>1</v>
      </c>
      <c r="AA1855" s="39" t="n">
        <f aca="false">IF(AND(E1855&gt;0,B1855=10),1,0)</f>
        <v>0</v>
      </c>
      <c r="AB1855" s="0" t="str">
        <f aca="false">IF(AND(C1854=C1855,Y1854=Y1855-1),Z1854,"")</f>
        <v/>
      </c>
      <c r="AC1855" s="0" t="str">
        <f aca="false">IF(AND(C1854=C1855,Y1854=Y1855-1),AA1854,"")</f>
        <v/>
      </c>
      <c r="AD1855" s="0" t="str">
        <f aca="false">IF(Y1855=1,"",IF(AND(Z1855=1,AB1855&lt;&gt;1),1,0))</f>
        <v/>
      </c>
      <c r="AE1855" s="0" t="str">
        <f aca="false">IF(Y1855=1,"",IF(AND(AA1855=1,AC1855&lt;&gt;1),1,0))</f>
        <v/>
      </c>
      <c r="AF1855" s="45" t="str">
        <f aca="false">IF(AND(E1855&gt;0,Y1855&lt;1,NOT(AND(C1856=C1855,Y1856=Y1855+1))),INDEX(DATAS,Y1855+1),"")</f>
        <v/>
      </c>
      <c r="AG1855" s="45" t="str">
        <f aca="false">IF(AND(AA1855=1,Y1855&lt;1),IF(AND(C1856=C1855,Y1856=Y1855+1),IF(AA1856=1,"",INDEX(DATAS,Y1855+1)),INDEX(DATAS,Y1855+1)),"")</f>
        <v/>
      </c>
    </row>
    <row r="1856" customFormat="false" ht="15" hidden="false" customHeight="false" outlineLevel="0" collapsed="false">
      <c r="A1856" s="45" t="n">
        <v>46309</v>
      </c>
      <c r="B1856" s="0" t="n">
        <v>1</v>
      </c>
      <c r="C1856" s="0" t="n">
        <v>6075</v>
      </c>
      <c r="D1856" s="0" t="n">
        <v>54</v>
      </c>
      <c r="E1856" s="0" t="n">
        <v>1</v>
      </c>
      <c r="F1856" s="39" t="s">
        <v>1049</v>
      </c>
      <c r="G1856" s="0" t="n">
        <v>44.7</v>
      </c>
      <c r="H1856" s="0" t="n">
        <v>44</v>
      </c>
      <c r="I1856" s="39" t="s">
        <v>118</v>
      </c>
      <c r="J1856" s="0" t="n">
        <v>54</v>
      </c>
      <c r="P1856" s="0" t="n">
        <v>4.75</v>
      </c>
      <c r="Q1856" s="0" t="n">
        <v>3.1</v>
      </c>
      <c r="R1856" s="0" t="n">
        <v>4207</v>
      </c>
      <c r="S1856" s="0" t="n">
        <v>8458</v>
      </c>
      <c r="U1856" s="0" t="n">
        <v>695</v>
      </c>
      <c r="V1856" s="0" t="n">
        <v>0</v>
      </c>
      <c r="W1856" s="39" t="n">
        <f aca="false">IF(I1856="Male",0,1)</f>
        <v>1</v>
      </c>
      <c r="X1856" s="39" t="n">
        <f aca="false">IF(OR(I1856="DNB",I1856="Dry DNB"),1,0)</f>
        <v>0</v>
      </c>
      <c r="Y1856" s="39" t="n">
        <f aca="false">MATCH(A1856,DATAS,0)</f>
        <v>1</v>
      </c>
      <c r="Z1856" s="39" t="n">
        <f aca="false">IF(AND(E1856&gt;0,OR(AND(B1856&gt;=1,B1856&lt;=6),B1856=10)),1,0)</f>
        <v>1</v>
      </c>
      <c r="AA1856" s="39" t="n">
        <f aca="false">IF(AND(E1856&gt;0,B1856=10),1,0)</f>
        <v>0</v>
      </c>
      <c r="AB1856" s="0" t="str">
        <f aca="false">IF(AND(C1855=C1856,Y1855=Y1856-1),Z1855,"")</f>
        <v/>
      </c>
      <c r="AC1856" s="0" t="str">
        <f aca="false">IF(AND(C1855=C1856,Y1855=Y1856-1),AA1855,"")</f>
        <v/>
      </c>
      <c r="AD1856" s="0" t="str">
        <f aca="false">IF(Y1856=1,"",IF(AND(Z1856=1,AB1856&lt;&gt;1),1,0))</f>
        <v/>
      </c>
      <c r="AE1856" s="0" t="str">
        <f aca="false">IF(Y1856=1,"",IF(AND(AA1856=1,AC1856&lt;&gt;1),1,0))</f>
        <v/>
      </c>
      <c r="AF1856" s="45" t="str">
        <f aca="false">IF(AND(E1856&gt;0,Y1856&lt;1,NOT(AND(C1857=C1856,Y1857=Y1856+1))),INDEX(DATAS,Y1856+1),"")</f>
        <v/>
      </c>
      <c r="AG1856" s="45" t="str">
        <f aca="false">IF(AND(AA1856=1,Y1856&lt;1),IF(AND(C1857=C1856,Y1857=Y1856+1),IF(AA1857=1,"",INDEX(DATAS,Y1856+1)),INDEX(DATAS,Y1856+1)),"")</f>
        <v/>
      </c>
    </row>
    <row r="1857" customFormat="false" ht="15" hidden="false" customHeight="false" outlineLevel="0" collapsed="false">
      <c r="A1857" s="45" t="n">
        <v>46309</v>
      </c>
      <c r="B1857" s="0" t="n">
        <v>1</v>
      </c>
      <c r="C1857" s="0" t="n">
        <v>6076</v>
      </c>
      <c r="D1857" s="0" t="n">
        <v>32</v>
      </c>
      <c r="E1857" s="0" t="n">
        <v>1</v>
      </c>
      <c r="F1857" s="39" t="s">
        <v>1050</v>
      </c>
      <c r="G1857" s="0" t="n">
        <v>61.2</v>
      </c>
      <c r="H1857" s="0" t="n">
        <v>60</v>
      </c>
      <c r="I1857" s="39" t="s">
        <v>118</v>
      </c>
      <c r="J1857" s="0" t="n">
        <v>32</v>
      </c>
      <c r="P1857" s="0" t="n">
        <v>4.68</v>
      </c>
      <c r="Q1857" s="0" t="n">
        <v>3.9</v>
      </c>
      <c r="R1857" s="0" t="n">
        <v>4835</v>
      </c>
      <c r="S1857" s="0" t="n">
        <v>9720</v>
      </c>
      <c r="U1857" s="0" t="n">
        <v>694</v>
      </c>
      <c r="V1857" s="0" t="n">
        <v>0</v>
      </c>
      <c r="W1857" s="39" t="n">
        <f aca="false">IF(I1857="Male",0,1)</f>
        <v>1</v>
      </c>
      <c r="X1857" s="39" t="n">
        <f aca="false">IF(OR(I1857="DNB",I1857="Dry DNB"),1,0)</f>
        <v>0</v>
      </c>
      <c r="Y1857" s="39" t="n">
        <f aca="false">MATCH(A1857,DATAS,0)</f>
        <v>1</v>
      </c>
      <c r="Z1857" s="39" t="n">
        <f aca="false">IF(AND(E1857&gt;0,OR(AND(B1857&gt;=1,B1857&lt;=6),B1857=10)),1,0)</f>
        <v>1</v>
      </c>
      <c r="AA1857" s="39" t="n">
        <f aca="false">IF(AND(E1857&gt;0,B1857=10),1,0)</f>
        <v>0</v>
      </c>
      <c r="AB1857" s="0" t="str">
        <f aca="false">IF(AND(C1856=C1857,Y1856=Y1857-1),Z1856,"")</f>
        <v/>
      </c>
      <c r="AC1857" s="0" t="str">
        <f aca="false">IF(AND(C1856=C1857,Y1856=Y1857-1),AA1856,"")</f>
        <v/>
      </c>
      <c r="AD1857" s="0" t="str">
        <f aca="false">IF(Y1857=1,"",IF(AND(Z1857=1,AB1857&lt;&gt;1),1,0))</f>
        <v/>
      </c>
      <c r="AE1857" s="0" t="str">
        <f aca="false">IF(Y1857=1,"",IF(AND(AA1857=1,AC1857&lt;&gt;1),1,0))</f>
        <v/>
      </c>
      <c r="AF1857" s="45" t="str">
        <f aca="false">IF(AND(E1857&gt;0,Y1857&lt;1,NOT(AND(C1858=C1857,Y1858=Y1857+1))),INDEX(DATAS,Y1857+1),"")</f>
        <v/>
      </c>
      <c r="AG1857" s="45" t="str">
        <f aca="false">IF(AND(AA1857=1,Y1857&lt;1),IF(AND(C1858=C1857,Y1858=Y1857+1),IF(AA1858=1,"",INDEX(DATAS,Y1857+1)),INDEX(DATAS,Y1857+1)),"")</f>
        <v/>
      </c>
    </row>
    <row r="1858" customFormat="false" ht="15" hidden="false" customHeight="false" outlineLevel="0" collapsed="false">
      <c r="A1858" s="45" t="n">
        <v>46309</v>
      </c>
      <c r="B1858" s="0" t="n">
        <v>7</v>
      </c>
      <c r="C1858" s="0" t="n">
        <v>6077</v>
      </c>
      <c r="E1858" s="0" t="n">
        <v>0</v>
      </c>
      <c r="F1858" s="39" t="s">
        <v>1050</v>
      </c>
      <c r="I1858" s="39" t="s">
        <v>109</v>
      </c>
      <c r="L1858" s="0" t="n">
        <v>246</v>
      </c>
      <c r="U1858" s="0" t="n">
        <v>694</v>
      </c>
      <c r="V1858" s="0" t="n">
        <v>2</v>
      </c>
      <c r="W1858" s="39" t="n">
        <f aca="false">IF(I1858="Male",0,1)</f>
        <v>1</v>
      </c>
      <c r="X1858" s="39" t="n">
        <f aca="false">IF(OR(I1858="DNB",I1858="Dry DNB"),1,0)</f>
        <v>0</v>
      </c>
      <c r="Y1858" s="39" t="n">
        <f aca="false">MATCH(A1858,DATAS,0)</f>
        <v>1</v>
      </c>
      <c r="Z1858" s="39" t="n">
        <f aca="false">IF(AND(E1858&gt;0,OR(AND(B1858&gt;=1,B1858&lt;=6),B1858=10)),1,0)</f>
        <v>0</v>
      </c>
      <c r="AA1858" s="39" t="n">
        <f aca="false">IF(AND(E1858&gt;0,B1858=10),1,0)</f>
        <v>0</v>
      </c>
      <c r="AB1858" s="0" t="str">
        <f aca="false">IF(AND(C1857=C1858,Y1857=Y1858-1),Z1857,"")</f>
        <v/>
      </c>
      <c r="AC1858" s="0" t="str">
        <f aca="false">IF(AND(C1857=C1858,Y1857=Y1858-1),AA1857,"")</f>
        <v/>
      </c>
      <c r="AD1858" s="0" t="str">
        <f aca="false">IF(Y1858=1,"",IF(AND(Z1858=1,AB1858&lt;&gt;1),1,0))</f>
        <v/>
      </c>
      <c r="AE1858" s="0" t="str">
        <f aca="false">IF(Y1858=1,"",IF(AND(AA1858=1,AC1858&lt;&gt;1),1,0))</f>
        <v/>
      </c>
      <c r="AF1858" s="45" t="str">
        <f aca="false">IF(AND(E1858&gt;0,Y1858&lt;1,NOT(AND(C1859=C1858,Y1859=Y1858+1))),INDEX(DATAS,Y1858+1),"")</f>
        <v/>
      </c>
      <c r="AG1858" s="45" t="str">
        <f aca="false">IF(AND(AA1858=1,Y1858&lt;1),IF(AND(C1859=C1858,Y1859=Y1858+1),IF(AA1859=1,"",INDEX(DATAS,Y1858+1)),INDEX(DATAS,Y1858+1)),"")</f>
        <v/>
      </c>
    </row>
    <row r="1859" customFormat="false" ht="15" hidden="false" customHeight="false" outlineLevel="0" collapsed="false">
      <c r="A1859" s="45" t="n">
        <v>46309</v>
      </c>
      <c r="B1859" s="0" t="n">
        <v>8</v>
      </c>
      <c r="C1859" s="0" t="n">
        <v>6080</v>
      </c>
      <c r="E1859" s="0" t="n">
        <v>0</v>
      </c>
      <c r="F1859" s="39" t="s">
        <v>1051</v>
      </c>
      <c r="I1859" s="39" t="s">
        <v>109</v>
      </c>
      <c r="L1859" s="0" t="n">
        <v>147</v>
      </c>
      <c r="U1859" s="0" t="n">
        <v>693</v>
      </c>
      <c r="V1859" s="0" t="n">
        <v>7</v>
      </c>
      <c r="W1859" s="39" t="n">
        <f aca="false">IF(I1859="Male",0,1)</f>
        <v>1</v>
      </c>
      <c r="X1859" s="39" t="n">
        <f aca="false">IF(OR(I1859="DNB",I1859="Dry DNB"),1,0)</f>
        <v>0</v>
      </c>
      <c r="Y1859" s="39" t="n">
        <f aca="false">MATCH(A1859,DATAS,0)</f>
        <v>1</v>
      </c>
      <c r="Z1859" s="39" t="n">
        <f aca="false">IF(AND(E1859&gt;0,OR(AND(B1859&gt;=1,B1859&lt;=6),B1859=10)),1,0)</f>
        <v>0</v>
      </c>
      <c r="AA1859" s="39" t="n">
        <f aca="false">IF(AND(E1859&gt;0,B1859=10),1,0)</f>
        <v>0</v>
      </c>
      <c r="AB1859" s="0" t="str">
        <f aca="false">IF(AND(C1858=C1859,Y1858=Y1859-1),Z1858,"")</f>
        <v/>
      </c>
      <c r="AC1859" s="0" t="str">
        <f aca="false">IF(AND(C1858=C1859,Y1858=Y1859-1),AA1858,"")</f>
        <v/>
      </c>
      <c r="AD1859" s="0" t="str">
        <f aca="false">IF(Y1859=1,"",IF(AND(Z1859=1,AB1859&lt;&gt;1),1,0))</f>
        <v/>
      </c>
      <c r="AE1859" s="0" t="str">
        <f aca="false">IF(Y1859=1,"",IF(AND(AA1859=1,AC1859&lt;&gt;1),1,0))</f>
        <v/>
      </c>
      <c r="AF1859" s="45" t="str">
        <f aca="false">IF(AND(E1859&gt;0,Y1859&lt;1,NOT(AND(C1860=C1859,Y1860=Y1859+1))),INDEX(DATAS,Y1859+1),"")</f>
        <v/>
      </c>
      <c r="AG1859" s="45" t="str">
        <f aca="false">IF(AND(AA1859=1,Y1859&lt;1),IF(AND(C1860=C1859,Y1860=Y1859+1),IF(AA1860=1,"",INDEX(DATAS,Y1859+1)),INDEX(DATAS,Y1859+1)),"")</f>
        <v/>
      </c>
    </row>
    <row r="1860" customFormat="false" ht="15" hidden="false" customHeight="false" outlineLevel="0" collapsed="false">
      <c r="A1860" s="45" t="n">
        <v>46309</v>
      </c>
      <c r="B1860" s="0" t="n">
        <v>1</v>
      </c>
      <c r="C1860" s="0" t="n">
        <v>6081</v>
      </c>
      <c r="D1860" s="0" t="n">
        <v>45</v>
      </c>
      <c r="E1860" s="0" t="n">
        <v>1</v>
      </c>
      <c r="F1860" s="39" t="s">
        <v>1052</v>
      </c>
      <c r="G1860" s="0" t="n">
        <v>45.8</v>
      </c>
      <c r="H1860" s="0" t="n">
        <v>45</v>
      </c>
      <c r="I1860" s="39" t="s">
        <v>118</v>
      </c>
      <c r="J1860" s="0" t="n">
        <v>45</v>
      </c>
      <c r="P1860" s="0" t="n">
        <v>4.02</v>
      </c>
      <c r="Q1860" s="0" t="n">
        <v>3.53</v>
      </c>
      <c r="R1860" s="0" t="n">
        <v>3895</v>
      </c>
      <c r="S1860" s="0" t="n">
        <v>7829</v>
      </c>
      <c r="U1860" s="0" t="n">
        <v>692</v>
      </c>
      <c r="V1860" s="0" t="n">
        <v>0</v>
      </c>
      <c r="W1860" s="39" t="n">
        <f aca="false">IF(I1860="Male",0,1)</f>
        <v>1</v>
      </c>
      <c r="X1860" s="39" t="n">
        <f aca="false">IF(OR(I1860="DNB",I1860="Dry DNB"),1,0)</f>
        <v>0</v>
      </c>
      <c r="Y1860" s="39" t="n">
        <f aca="false">MATCH(A1860,DATAS,0)</f>
        <v>1</v>
      </c>
      <c r="Z1860" s="39" t="n">
        <f aca="false">IF(AND(E1860&gt;0,OR(AND(B1860&gt;=1,B1860&lt;=6),B1860=10)),1,0)</f>
        <v>1</v>
      </c>
      <c r="AA1860" s="39" t="n">
        <f aca="false">IF(AND(E1860&gt;0,B1860=10),1,0)</f>
        <v>0</v>
      </c>
      <c r="AB1860" s="0" t="str">
        <f aca="false">IF(AND(C1859=C1860,Y1859=Y1860-1),Z1859,"")</f>
        <v/>
      </c>
      <c r="AC1860" s="0" t="str">
        <f aca="false">IF(AND(C1859=C1860,Y1859=Y1860-1),AA1859,"")</f>
        <v/>
      </c>
      <c r="AD1860" s="0" t="str">
        <f aca="false">IF(Y1860=1,"",IF(AND(Z1860=1,AB1860&lt;&gt;1),1,0))</f>
        <v/>
      </c>
      <c r="AE1860" s="0" t="str">
        <f aca="false">IF(Y1860=1,"",IF(AND(AA1860=1,AC1860&lt;&gt;1),1,0))</f>
        <v/>
      </c>
      <c r="AF1860" s="45" t="str">
        <f aca="false">IF(AND(E1860&gt;0,Y1860&lt;1,NOT(AND(C1861=C1860,Y1861=Y1860+1))),INDEX(DATAS,Y1860+1),"")</f>
        <v/>
      </c>
      <c r="AG1860" s="45" t="str">
        <f aca="false">IF(AND(AA1860=1,Y1860&lt;1),IF(AND(C1861=C1860,Y1861=Y1860+1),IF(AA1861=1,"",INDEX(DATAS,Y1860+1)),INDEX(DATAS,Y1860+1)),"")</f>
        <v/>
      </c>
    </row>
    <row r="1861" customFormat="false" ht="15" hidden="false" customHeight="false" outlineLevel="0" collapsed="false">
      <c r="A1861" s="45" t="n">
        <v>46309</v>
      </c>
      <c r="B1861" s="0" t="n">
        <v>1</v>
      </c>
      <c r="C1861" s="0" t="n">
        <v>6082</v>
      </c>
      <c r="D1861" s="0" t="n">
        <v>51</v>
      </c>
      <c r="E1861" s="0" t="n">
        <v>1</v>
      </c>
      <c r="F1861" s="39" t="s">
        <v>1052</v>
      </c>
      <c r="G1861" s="0" t="n">
        <v>37.7</v>
      </c>
      <c r="H1861" s="0" t="n">
        <v>36</v>
      </c>
      <c r="I1861" s="39" t="s">
        <v>118</v>
      </c>
      <c r="J1861" s="0" t="n">
        <v>51</v>
      </c>
      <c r="P1861" s="0" t="n">
        <v>3.42</v>
      </c>
      <c r="Q1861" s="0" t="n">
        <v>3.32</v>
      </c>
      <c r="R1861" s="0" t="n">
        <v>3042</v>
      </c>
      <c r="S1861" s="0" t="n">
        <v>6116</v>
      </c>
      <c r="U1861" s="0" t="n">
        <v>692</v>
      </c>
      <c r="V1861" s="0" t="n">
        <v>0</v>
      </c>
      <c r="W1861" s="39" t="n">
        <f aca="false">IF(I1861="Male",0,1)</f>
        <v>1</v>
      </c>
      <c r="X1861" s="39" t="n">
        <f aca="false">IF(OR(I1861="DNB",I1861="Dry DNB"),1,0)</f>
        <v>0</v>
      </c>
      <c r="Y1861" s="39" t="n">
        <f aca="false">MATCH(A1861,DATAS,0)</f>
        <v>1</v>
      </c>
      <c r="Z1861" s="39" t="n">
        <f aca="false">IF(AND(E1861&gt;0,OR(AND(B1861&gt;=1,B1861&lt;=6),B1861=10)),1,0)</f>
        <v>1</v>
      </c>
      <c r="AA1861" s="39" t="n">
        <f aca="false">IF(AND(E1861&gt;0,B1861=10),1,0)</f>
        <v>0</v>
      </c>
      <c r="AB1861" s="0" t="str">
        <f aca="false">IF(AND(C1860=C1861,Y1860=Y1861-1),Z1860,"")</f>
        <v/>
      </c>
      <c r="AC1861" s="0" t="str">
        <f aca="false">IF(AND(C1860=C1861,Y1860=Y1861-1),AA1860,"")</f>
        <v/>
      </c>
      <c r="AD1861" s="0" t="str">
        <f aca="false">IF(Y1861=1,"",IF(AND(Z1861=1,AB1861&lt;&gt;1),1,0))</f>
        <v/>
      </c>
      <c r="AE1861" s="0" t="str">
        <f aca="false">IF(Y1861=1,"",IF(AND(AA1861=1,AC1861&lt;&gt;1),1,0))</f>
        <v/>
      </c>
      <c r="AF1861" s="45" t="str">
        <f aca="false">IF(AND(E1861&gt;0,Y1861&lt;1,NOT(AND(C1862=C1861,Y1862=Y1861+1))),INDEX(DATAS,Y1861+1),"")</f>
        <v/>
      </c>
      <c r="AG1861" s="45" t="str">
        <f aca="false">IF(AND(AA1861=1,Y1861&lt;1),IF(AND(C1862=C1861,Y1862=Y1861+1),IF(AA1862=1,"",INDEX(DATAS,Y1861+1)),INDEX(DATAS,Y1861+1)),"")</f>
        <v/>
      </c>
    </row>
    <row r="1862" customFormat="false" ht="15" hidden="false" customHeight="false" outlineLevel="0" collapsed="false">
      <c r="A1862" s="45" t="n">
        <v>46309</v>
      </c>
      <c r="B1862" s="0" t="n">
        <v>8</v>
      </c>
      <c r="C1862" s="0" t="n">
        <v>6083</v>
      </c>
      <c r="E1862" s="0" t="n">
        <v>0</v>
      </c>
      <c r="F1862" s="39" t="s">
        <v>1053</v>
      </c>
      <c r="I1862" s="39" t="s">
        <v>109</v>
      </c>
      <c r="L1862" s="0" t="n">
        <v>235</v>
      </c>
      <c r="U1862" s="0" t="n">
        <v>691</v>
      </c>
      <c r="V1862" s="0" t="n">
        <v>3</v>
      </c>
      <c r="W1862" s="39" t="n">
        <f aca="false">IF(I1862="Male",0,1)</f>
        <v>1</v>
      </c>
      <c r="X1862" s="39" t="n">
        <f aca="false">IF(OR(I1862="DNB",I1862="Dry DNB"),1,0)</f>
        <v>0</v>
      </c>
      <c r="Y1862" s="39" t="n">
        <f aca="false">MATCH(A1862,DATAS,0)</f>
        <v>1</v>
      </c>
      <c r="Z1862" s="39" t="n">
        <f aca="false">IF(AND(E1862&gt;0,OR(AND(B1862&gt;=1,B1862&lt;=6),B1862=10)),1,0)</f>
        <v>0</v>
      </c>
      <c r="AA1862" s="39" t="n">
        <f aca="false">IF(AND(E1862&gt;0,B1862=10),1,0)</f>
        <v>0</v>
      </c>
      <c r="AB1862" s="0" t="str">
        <f aca="false">IF(AND(C1861=C1862,Y1861=Y1862-1),Z1861,"")</f>
        <v/>
      </c>
      <c r="AC1862" s="0" t="str">
        <f aca="false">IF(AND(C1861=C1862,Y1861=Y1862-1),AA1861,"")</f>
        <v/>
      </c>
      <c r="AD1862" s="0" t="str">
        <f aca="false">IF(Y1862=1,"",IF(AND(Z1862=1,AB1862&lt;&gt;1),1,0))</f>
        <v/>
      </c>
      <c r="AE1862" s="0" t="str">
        <f aca="false">IF(Y1862=1,"",IF(AND(AA1862=1,AC1862&lt;&gt;1),1,0))</f>
        <v/>
      </c>
      <c r="AF1862" s="45" t="str">
        <f aca="false">IF(AND(E1862&gt;0,Y1862&lt;1,NOT(AND(C1863=C1862,Y1863=Y1862+1))),INDEX(DATAS,Y1862+1),"")</f>
        <v/>
      </c>
      <c r="AG1862" s="45" t="str">
        <f aca="false">IF(AND(AA1862=1,Y1862&lt;1),IF(AND(C1863=C1862,Y1863=Y1862+1),IF(AA1863=1,"",INDEX(DATAS,Y1862+1)),INDEX(DATAS,Y1862+1)),"")</f>
        <v/>
      </c>
    </row>
    <row r="1863" customFormat="false" ht="15" hidden="false" customHeight="false" outlineLevel="0" collapsed="false">
      <c r="A1863" s="45" t="n">
        <v>46309</v>
      </c>
      <c r="B1863" s="0" t="n">
        <v>8</v>
      </c>
      <c r="C1863" s="0" t="n">
        <v>6085</v>
      </c>
      <c r="E1863" s="0" t="n">
        <v>0</v>
      </c>
      <c r="F1863" s="39" t="s">
        <v>1053</v>
      </c>
      <c r="I1863" s="39" t="s">
        <v>109</v>
      </c>
      <c r="L1863" s="0" t="n">
        <v>154</v>
      </c>
      <c r="U1863" s="0" t="n">
        <v>691</v>
      </c>
      <c r="V1863" s="0" t="n">
        <v>8</v>
      </c>
      <c r="W1863" s="39" t="n">
        <f aca="false">IF(I1863="Male",0,1)</f>
        <v>1</v>
      </c>
      <c r="X1863" s="39" t="n">
        <f aca="false">IF(OR(I1863="DNB",I1863="Dry DNB"),1,0)</f>
        <v>0</v>
      </c>
      <c r="Y1863" s="39" t="n">
        <f aca="false">MATCH(A1863,DATAS,0)</f>
        <v>1</v>
      </c>
      <c r="Z1863" s="39" t="n">
        <f aca="false">IF(AND(E1863&gt;0,OR(AND(B1863&gt;=1,B1863&lt;=6),B1863=10)),1,0)</f>
        <v>0</v>
      </c>
      <c r="AA1863" s="39" t="n">
        <f aca="false">IF(AND(E1863&gt;0,B1863=10),1,0)</f>
        <v>0</v>
      </c>
      <c r="AB1863" s="0" t="str">
        <f aca="false">IF(AND(C1862=C1863,Y1862=Y1863-1),Z1862,"")</f>
        <v/>
      </c>
      <c r="AC1863" s="0" t="str">
        <f aca="false">IF(AND(C1862=C1863,Y1862=Y1863-1),AA1862,"")</f>
        <v/>
      </c>
      <c r="AD1863" s="0" t="str">
        <f aca="false">IF(Y1863=1,"",IF(AND(Z1863=1,AB1863&lt;&gt;1),1,0))</f>
        <v/>
      </c>
      <c r="AE1863" s="0" t="str">
        <f aca="false">IF(Y1863=1,"",IF(AND(AA1863=1,AC1863&lt;&gt;1),1,0))</f>
        <v/>
      </c>
      <c r="AF1863" s="45" t="str">
        <f aca="false">IF(AND(E1863&gt;0,Y1863&lt;1,NOT(AND(C1864=C1863,Y1864=Y1863+1))),INDEX(DATAS,Y1863+1),"")</f>
        <v/>
      </c>
      <c r="AG1863" s="45" t="str">
        <f aca="false">IF(AND(AA1863=1,Y1863&lt;1),IF(AND(C1864=C1863,Y1864=Y1863+1),IF(AA1864=1,"",INDEX(DATAS,Y1863+1)),INDEX(DATAS,Y1863+1)),"")</f>
        <v/>
      </c>
    </row>
    <row r="1864" customFormat="false" ht="15" hidden="false" customHeight="false" outlineLevel="0" collapsed="false">
      <c r="A1864" s="45" t="n">
        <v>46309</v>
      </c>
      <c r="B1864" s="0" t="n">
        <v>1</v>
      </c>
      <c r="C1864" s="0" t="n">
        <v>6086</v>
      </c>
      <c r="D1864" s="0" t="n">
        <v>62</v>
      </c>
      <c r="E1864" s="0" t="n">
        <v>1</v>
      </c>
      <c r="F1864" s="39" t="s">
        <v>1053</v>
      </c>
      <c r="G1864" s="0" t="n">
        <v>59.4</v>
      </c>
      <c r="H1864" s="0" t="n">
        <v>54</v>
      </c>
      <c r="I1864" s="39" t="s">
        <v>118</v>
      </c>
      <c r="J1864" s="0" t="n">
        <v>62</v>
      </c>
      <c r="P1864" s="0" t="n">
        <v>2.52</v>
      </c>
      <c r="Q1864" s="0" t="n">
        <v>3.05</v>
      </c>
      <c r="R1864" s="0" t="n">
        <v>4623</v>
      </c>
      <c r="S1864" s="0" t="n">
        <v>9293</v>
      </c>
      <c r="U1864" s="0" t="n">
        <v>691</v>
      </c>
      <c r="V1864" s="0" t="n">
        <v>0</v>
      </c>
      <c r="W1864" s="39" t="n">
        <f aca="false">IF(I1864="Male",0,1)</f>
        <v>1</v>
      </c>
      <c r="X1864" s="39" t="n">
        <f aca="false">IF(OR(I1864="DNB",I1864="Dry DNB"),1,0)</f>
        <v>0</v>
      </c>
      <c r="Y1864" s="39" t="n">
        <f aca="false">MATCH(A1864,DATAS,0)</f>
        <v>1</v>
      </c>
      <c r="Z1864" s="39" t="n">
        <f aca="false">IF(AND(E1864&gt;0,OR(AND(B1864&gt;=1,B1864&lt;=6),B1864=10)),1,0)</f>
        <v>1</v>
      </c>
      <c r="AA1864" s="39" t="n">
        <f aca="false">IF(AND(E1864&gt;0,B1864=10),1,0)</f>
        <v>0</v>
      </c>
      <c r="AB1864" s="0" t="str">
        <f aca="false">IF(AND(C1863=C1864,Y1863=Y1864-1),Z1863,"")</f>
        <v/>
      </c>
      <c r="AC1864" s="0" t="str">
        <f aca="false">IF(AND(C1863=C1864,Y1863=Y1864-1),AA1863,"")</f>
        <v/>
      </c>
      <c r="AD1864" s="0" t="str">
        <f aca="false">IF(Y1864=1,"",IF(AND(Z1864=1,AB1864&lt;&gt;1),1,0))</f>
        <v/>
      </c>
      <c r="AE1864" s="0" t="str">
        <f aca="false">IF(Y1864=1,"",IF(AND(AA1864=1,AC1864&lt;&gt;1),1,0))</f>
        <v/>
      </c>
      <c r="AF1864" s="45" t="str">
        <f aca="false">IF(AND(E1864&gt;0,Y1864&lt;1,NOT(AND(C1865=C1864,Y1865=Y1864+1))),INDEX(DATAS,Y1864+1),"")</f>
        <v/>
      </c>
      <c r="AG1864" s="45" t="str">
        <f aca="false">IF(AND(AA1864=1,Y1864&lt;1),IF(AND(C1865=C1864,Y1865=Y1864+1),IF(AA1865=1,"",INDEX(DATAS,Y1864+1)),INDEX(DATAS,Y1864+1)),"")</f>
        <v/>
      </c>
    </row>
    <row r="1865" customFormat="false" ht="15" hidden="false" customHeight="false" outlineLevel="0" collapsed="false">
      <c r="A1865" s="45" t="n">
        <v>46309</v>
      </c>
      <c r="B1865" s="0" t="n">
        <v>1</v>
      </c>
      <c r="C1865" s="0" t="n">
        <v>6087</v>
      </c>
      <c r="D1865" s="0" t="n">
        <v>2</v>
      </c>
      <c r="E1865" s="0" t="n">
        <v>1</v>
      </c>
      <c r="F1865" s="39" t="s">
        <v>1053</v>
      </c>
      <c r="I1865" s="39" t="s">
        <v>118</v>
      </c>
      <c r="J1865" s="0" t="n">
        <v>2</v>
      </c>
      <c r="U1865" s="0" t="n">
        <v>691</v>
      </c>
      <c r="V1865" s="0" t="n">
        <v>0</v>
      </c>
      <c r="W1865" s="39" t="n">
        <f aca="false">IF(I1865="Male",0,1)</f>
        <v>1</v>
      </c>
      <c r="X1865" s="39" t="n">
        <f aca="false">IF(OR(I1865="DNB",I1865="Dry DNB"),1,0)</f>
        <v>0</v>
      </c>
      <c r="Y1865" s="39" t="n">
        <f aca="false">MATCH(A1865,DATAS,0)</f>
        <v>1</v>
      </c>
      <c r="Z1865" s="39" t="n">
        <f aca="false">IF(AND(E1865&gt;0,OR(AND(B1865&gt;=1,B1865&lt;=6),B1865=10)),1,0)</f>
        <v>1</v>
      </c>
      <c r="AA1865" s="39" t="n">
        <f aca="false">IF(AND(E1865&gt;0,B1865=10),1,0)</f>
        <v>0</v>
      </c>
      <c r="AB1865" s="0" t="str">
        <f aca="false">IF(AND(C1864=C1865,Y1864=Y1865-1),Z1864,"")</f>
        <v/>
      </c>
      <c r="AC1865" s="0" t="str">
        <f aca="false">IF(AND(C1864=C1865,Y1864=Y1865-1),AA1864,"")</f>
        <v/>
      </c>
      <c r="AD1865" s="0" t="str">
        <f aca="false">IF(Y1865=1,"",IF(AND(Z1865=1,AB1865&lt;&gt;1),1,0))</f>
        <v/>
      </c>
      <c r="AE1865" s="0" t="str">
        <f aca="false">IF(Y1865=1,"",IF(AND(AA1865=1,AC1865&lt;&gt;1),1,0))</f>
        <v/>
      </c>
      <c r="AF1865" s="45" t="str">
        <f aca="false">IF(AND(E1865&gt;0,Y1865&lt;1,NOT(AND(C1866=C1865,Y1866=Y1865+1))),INDEX(DATAS,Y1865+1),"")</f>
        <v/>
      </c>
      <c r="AG1865" s="45" t="str">
        <f aca="false">IF(AND(AA1865=1,Y1865&lt;1),IF(AND(C1866=C1865,Y1866=Y1865+1),IF(AA1866=1,"",INDEX(DATAS,Y1865+1)),INDEX(DATAS,Y1865+1)),"")</f>
        <v/>
      </c>
    </row>
    <row r="1866" customFormat="false" ht="15" hidden="false" customHeight="false" outlineLevel="0" collapsed="false">
      <c r="A1866" s="45" t="n">
        <v>46309</v>
      </c>
      <c r="B1866" s="0" t="n">
        <v>1</v>
      </c>
      <c r="C1866" s="0" t="n">
        <v>6088</v>
      </c>
      <c r="D1866" s="0" t="n">
        <v>50</v>
      </c>
      <c r="E1866" s="0" t="n">
        <v>1</v>
      </c>
      <c r="F1866" s="39" t="s">
        <v>1054</v>
      </c>
      <c r="G1866" s="0" t="n">
        <v>51.1</v>
      </c>
      <c r="H1866" s="0" t="n">
        <v>48</v>
      </c>
      <c r="I1866" s="39" t="s">
        <v>118</v>
      </c>
      <c r="J1866" s="0" t="n">
        <v>50</v>
      </c>
      <c r="P1866" s="0" t="n">
        <v>4.83</v>
      </c>
      <c r="Q1866" s="0" t="n">
        <v>3.33</v>
      </c>
      <c r="R1866" s="0" t="n">
        <v>3679</v>
      </c>
      <c r="S1866" s="0" t="n">
        <v>7396</v>
      </c>
      <c r="U1866" s="0" t="n">
        <v>690</v>
      </c>
      <c r="V1866" s="0" t="n">
        <v>0</v>
      </c>
      <c r="W1866" s="39" t="n">
        <f aca="false">IF(I1866="Male",0,1)</f>
        <v>1</v>
      </c>
      <c r="X1866" s="39" t="n">
        <f aca="false">IF(OR(I1866="DNB",I1866="Dry DNB"),1,0)</f>
        <v>0</v>
      </c>
      <c r="Y1866" s="39" t="n">
        <f aca="false">MATCH(A1866,DATAS,0)</f>
        <v>1</v>
      </c>
      <c r="Z1866" s="39" t="n">
        <f aca="false">IF(AND(E1866&gt;0,OR(AND(B1866&gt;=1,B1866&lt;=6),B1866=10)),1,0)</f>
        <v>1</v>
      </c>
      <c r="AA1866" s="39" t="n">
        <f aca="false">IF(AND(E1866&gt;0,B1866=10),1,0)</f>
        <v>0</v>
      </c>
      <c r="AB1866" s="0" t="str">
        <f aca="false">IF(AND(C1865=C1866,Y1865=Y1866-1),Z1865,"")</f>
        <v/>
      </c>
      <c r="AC1866" s="0" t="str">
        <f aca="false">IF(AND(C1865=C1866,Y1865=Y1866-1),AA1865,"")</f>
        <v/>
      </c>
      <c r="AD1866" s="0" t="str">
        <f aca="false">IF(Y1866=1,"",IF(AND(Z1866=1,AB1866&lt;&gt;1),1,0))</f>
        <v/>
      </c>
      <c r="AE1866" s="0" t="str">
        <f aca="false">IF(Y1866=1,"",IF(AND(AA1866=1,AC1866&lt;&gt;1),1,0))</f>
        <v/>
      </c>
      <c r="AF1866" s="45" t="str">
        <f aca="false">IF(AND(E1866&gt;0,Y1866&lt;1,NOT(AND(C1867=C1866,Y1867=Y1866+1))),INDEX(DATAS,Y1866+1),"")</f>
        <v/>
      </c>
      <c r="AG1866" s="45" t="str">
        <f aca="false">IF(AND(AA1866=1,Y1866&lt;1),IF(AND(C1867=C1866,Y1867=Y1866+1),IF(AA1867=1,"",INDEX(DATAS,Y1866+1)),INDEX(DATAS,Y1866+1)),"")</f>
        <v/>
      </c>
    </row>
    <row r="1867" customFormat="false" ht="15" hidden="false" customHeight="false" outlineLevel="0" collapsed="false">
      <c r="A1867" s="45" t="n">
        <v>46309</v>
      </c>
      <c r="B1867" s="0" t="n">
        <v>8</v>
      </c>
      <c r="C1867" s="0" t="n">
        <v>6089</v>
      </c>
      <c r="E1867" s="0" t="n">
        <v>0</v>
      </c>
      <c r="F1867" s="39" t="s">
        <v>1055</v>
      </c>
      <c r="I1867" s="39" t="s">
        <v>109</v>
      </c>
      <c r="L1867" s="0" t="n">
        <v>169</v>
      </c>
      <c r="U1867" s="0" t="n">
        <v>689</v>
      </c>
      <c r="V1867" s="0" t="n">
        <v>8</v>
      </c>
      <c r="W1867" s="39" t="n">
        <f aca="false">IF(I1867="Male",0,1)</f>
        <v>1</v>
      </c>
      <c r="X1867" s="39" t="n">
        <f aca="false">IF(OR(I1867="DNB",I1867="Dry DNB"),1,0)</f>
        <v>0</v>
      </c>
      <c r="Y1867" s="39" t="n">
        <f aca="false">MATCH(A1867,DATAS,0)</f>
        <v>1</v>
      </c>
      <c r="Z1867" s="39" t="n">
        <f aca="false">IF(AND(E1867&gt;0,OR(AND(B1867&gt;=1,B1867&lt;=6),B1867=10)),1,0)</f>
        <v>0</v>
      </c>
      <c r="AA1867" s="39" t="n">
        <f aca="false">IF(AND(E1867&gt;0,B1867=10),1,0)</f>
        <v>0</v>
      </c>
      <c r="AB1867" s="0" t="str">
        <f aca="false">IF(AND(C1866=C1867,Y1866=Y1867-1),Z1866,"")</f>
        <v/>
      </c>
      <c r="AC1867" s="0" t="str">
        <f aca="false">IF(AND(C1866=C1867,Y1866=Y1867-1),AA1866,"")</f>
        <v/>
      </c>
      <c r="AD1867" s="0" t="str">
        <f aca="false">IF(Y1867=1,"",IF(AND(Z1867=1,AB1867&lt;&gt;1),1,0))</f>
        <v/>
      </c>
      <c r="AE1867" s="0" t="str">
        <f aca="false">IF(Y1867=1,"",IF(AND(AA1867=1,AC1867&lt;&gt;1),1,0))</f>
        <v/>
      </c>
      <c r="AF1867" s="45" t="str">
        <f aca="false">IF(AND(E1867&gt;0,Y1867&lt;1,NOT(AND(C1868=C1867,Y1868=Y1867+1))),INDEX(DATAS,Y1867+1),"")</f>
        <v/>
      </c>
      <c r="AG1867" s="45" t="str">
        <f aca="false">IF(AND(AA1867=1,Y1867&lt;1),IF(AND(C1868=C1867,Y1868=Y1867+1),IF(AA1868=1,"",INDEX(DATAS,Y1867+1)),INDEX(DATAS,Y1867+1)),"")</f>
        <v/>
      </c>
    </row>
    <row r="1868" customFormat="false" ht="15" hidden="false" customHeight="false" outlineLevel="0" collapsed="false">
      <c r="A1868" s="45" t="n">
        <v>46309</v>
      </c>
      <c r="B1868" s="0" t="n">
        <v>7</v>
      </c>
      <c r="C1868" s="0" t="n">
        <v>6090</v>
      </c>
      <c r="E1868" s="0" t="n">
        <v>0</v>
      </c>
      <c r="F1868" s="39" t="s">
        <v>1056</v>
      </c>
      <c r="I1868" s="39" t="s">
        <v>109</v>
      </c>
      <c r="L1868" s="0" t="n">
        <v>214</v>
      </c>
      <c r="U1868" s="0" t="n">
        <v>687</v>
      </c>
      <c r="V1868" s="0" t="n">
        <v>5</v>
      </c>
      <c r="W1868" s="39" t="n">
        <f aca="false">IF(I1868="Male",0,1)</f>
        <v>1</v>
      </c>
      <c r="X1868" s="39" t="n">
        <f aca="false">IF(OR(I1868="DNB",I1868="Dry DNB"),1,0)</f>
        <v>0</v>
      </c>
      <c r="Y1868" s="39" t="n">
        <f aca="false">MATCH(A1868,DATAS,0)</f>
        <v>1</v>
      </c>
      <c r="Z1868" s="39" t="n">
        <f aca="false">IF(AND(E1868&gt;0,OR(AND(B1868&gt;=1,B1868&lt;=6),B1868=10)),1,0)</f>
        <v>0</v>
      </c>
      <c r="AA1868" s="39" t="n">
        <f aca="false">IF(AND(E1868&gt;0,B1868=10),1,0)</f>
        <v>0</v>
      </c>
      <c r="AB1868" s="0" t="str">
        <f aca="false">IF(AND(C1867=C1868,Y1867=Y1868-1),Z1867,"")</f>
        <v/>
      </c>
      <c r="AC1868" s="0" t="str">
        <f aca="false">IF(AND(C1867=C1868,Y1867=Y1868-1),AA1867,"")</f>
        <v/>
      </c>
      <c r="AD1868" s="0" t="str">
        <f aca="false">IF(Y1868=1,"",IF(AND(Z1868=1,AB1868&lt;&gt;1),1,0))</f>
        <v/>
      </c>
      <c r="AE1868" s="0" t="str">
        <f aca="false">IF(Y1868=1,"",IF(AND(AA1868=1,AC1868&lt;&gt;1),1,0))</f>
        <v/>
      </c>
      <c r="AF1868" s="45" t="str">
        <f aca="false">IF(AND(E1868&gt;0,Y1868&lt;1,NOT(AND(C1869=C1868,Y1869=Y1868+1))),INDEX(DATAS,Y1868+1),"")</f>
        <v/>
      </c>
      <c r="AG1868" s="45" t="str">
        <f aca="false">IF(AND(AA1868=1,Y1868&lt;1),IF(AND(C1869=C1868,Y1869=Y1868+1),IF(AA1869=1,"",INDEX(DATAS,Y1868+1)),INDEX(DATAS,Y1868+1)),"")</f>
        <v/>
      </c>
    </row>
    <row r="1869" customFormat="false" ht="15" hidden="false" customHeight="false" outlineLevel="0" collapsed="false">
      <c r="A1869" s="45" t="n">
        <v>46309</v>
      </c>
      <c r="B1869" s="0" t="n">
        <v>1</v>
      </c>
      <c r="C1869" s="0" t="n">
        <v>6092</v>
      </c>
      <c r="D1869" s="0" t="n">
        <v>51</v>
      </c>
      <c r="E1869" s="0" t="n">
        <v>1</v>
      </c>
      <c r="F1869" s="39" t="s">
        <v>1057</v>
      </c>
      <c r="G1869" s="0" t="n">
        <v>37</v>
      </c>
      <c r="H1869" s="0" t="n">
        <v>31</v>
      </c>
      <c r="I1869" s="39" t="s">
        <v>118</v>
      </c>
      <c r="J1869" s="0" t="n">
        <v>51</v>
      </c>
      <c r="P1869" s="0" t="n">
        <v>4.23</v>
      </c>
      <c r="Q1869" s="0" t="n">
        <v>3.25</v>
      </c>
      <c r="R1869" s="0" t="n">
        <v>3118</v>
      </c>
      <c r="S1869" s="0" t="n">
        <v>6268</v>
      </c>
      <c r="U1869" s="0" t="n">
        <v>686</v>
      </c>
      <c r="V1869" s="0" t="n">
        <v>0</v>
      </c>
      <c r="W1869" s="39" t="n">
        <f aca="false">IF(I1869="Male",0,1)</f>
        <v>1</v>
      </c>
      <c r="X1869" s="39" t="n">
        <f aca="false">IF(OR(I1869="DNB",I1869="Dry DNB"),1,0)</f>
        <v>0</v>
      </c>
      <c r="Y1869" s="39" t="n">
        <f aca="false">MATCH(A1869,DATAS,0)</f>
        <v>1</v>
      </c>
      <c r="Z1869" s="39" t="n">
        <f aca="false">IF(AND(E1869&gt;0,OR(AND(B1869&gt;=1,B1869&lt;=6),B1869=10)),1,0)</f>
        <v>1</v>
      </c>
      <c r="AA1869" s="39" t="n">
        <f aca="false">IF(AND(E1869&gt;0,B1869=10),1,0)</f>
        <v>0</v>
      </c>
      <c r="AB1869" s="0" t="str">
        <f aca="false">IF(AND(C1868=C1869,Y1868=Y1869-1),Z1868,"")</f>
        <v/>
      </c>
      <c r="AC1869" s="0" t="str">
        <f aca="false">IF(AND(C1868=C1869,Y1868=Y1869-1),AA1868,"")</f>
        <v/>
      </c>
      <c r="AD1869" s="0" t="str">
        <f aca="false">IF(Y1869=1,"",IF(AND(Z1869=1,AB1869&lt;&gt;1),1,0))</f>
        <v/>
      </c>
      <c r="AE1869" s="0" t="str">
        <f aca="false">IF(Y1869=1,"",IF(AND(AA1869=1,AC1869&lt;&gt;1),1,0))</f>
        <v/>
      </c>
      <c r="AF1869" s="45" t="str">
        <f aca="false">IF(AND(E1869&gt;0,Y1869&lt;1,NOT(AND(C1870=C1869,Y1870=Y1869+1))),INDEX(DATAS,Y1869+1),"")</f>
        <v/>
      </c>
      <c r="AG1869" s="45" t="str">
        <f aca="false">IF(AND(AA1869=1,Y1869&lt;1),IF(AND(C1870=C1869,Y1870=Y1869+1),IF(AA1870=1,"",INDEX(DATAS,Y1869+1)),INDEX(DATAS,Y1869+1)),"")</f>
        <v/>
      </c>
    </row>
    <row r="1870" customFormat="false" ht="15" hidden="false" customHeight="false" outlineLevel="0" collapsed="false">
      <c r="A1870" s="45" t="n">
        <v>46309</v>
      </c>
      <c r="B1870" s="0" t="n">
        <v>1</v>
      </c>
      <c r="C1870" s="0" t="n">
        <v>6093</v>
      </c>
      <c r="D1870" s="0" t="n">
        <v>25</v>
      </c>
      <c r="E1870" s="0" t="n">
        <v>1</v>
      </c>
      <c r="F1870" s="39" t="s">
        <v>1057</v>
      </c>
      <c r="G1870" s="0" t="n">
        <v>40.1</v>
      </c>
      <c r="H1870" s="0" t="n">
        <v>37</v>
      </c>
      <c r="I1870" s="39" t="s">
        <v>118</v>
      </c>
      <c r="J1870" s="0" t="n">
        <v>25</v>
      </c>
      <c r="R1870" s="0" t="n">
        <v>3248</v>
      </c>
      <c r="S1870" s="0" t="n">
        <v>6530</v>
      </c>
      <c r="U1870" s="0" t="n">
        <v>686</v>
      </c>
      <c r="V1870" s="0" t="n">
        <v>0</v>
      </c>
      <c r="W1870" s="39" t="n">
        <f aca="false">IF(I1870="Male",0,1)</f>
        <v>1</v>
      </c>
      <c r="X1870" s="39" t="n">
        <f aca="false">IF(OR(I1870="DNB",I1870="Dry DNB"),1,0)</f>
        <v>0</v>
      </c>
      <c r="Y1870" s="39" t="n">
        <f aca="false">MATCH(A1870,DATAS,0)</f>
        <v>1</v>
      </c>
      <c r="Z1870" s="39" t="n">
        <f aca="false">IF(AND(E1870&gt;0,OR(AND(B1870&gt;=1,B1870&lt;=6),B1870=10)),1,0)</f>
        <v>1</v>
      </c>
      <c r="AA1870" s="39" t="n">
        <f aca="false">IF(AND(E1870&gt;0,B1870=10),1,0)</f>
        <v>0</v>
      </c>
      <c r="AB1870" s="0" t="str">
        <f aca="false">IF(AND(C1869=C1870,Y1869=Y1870-1),Z1869,"")</f>
        <v/>
      </c>
      <c r="AC1870" s="0" t="str">
        <f aca="false">IF(AND(C1869=C1870,Y1869=Y1870-1),AA1869,"")</f>
        <v/>
      </c>
      <c r="AD1870" s="0" t="str">
        <f aca="false">IF(Y1870=1,"",IF(AND(Z1870=1,AB1870&lt;&gt;1),1,0))</f>
        <v/>
      </c>
      <c r="AE1870" s="0" t="str">
        <f aca="false">IF(Y1870=1,"",IF(AND(AA1870=1,AC1870&lt;&gt;1),1,0))</f>
        <v/>
      </c>
      <c r="AF1870" s="45" t="str">
        <f aca="false">IF(AND(E1870&gt;0,Y1870&lt;1,NOT(AND(C1871=C1870,Y1871=Y1870+1))),INDEX(DATAS,Y1870+1),"")</f>
        <v/>
      </c>
      <c r="AG1870" s="45" t="str">
        <f aca="false">IF(AND(AA1870=1,Y1870&lt;1),IF(AND(C1871=C1870,Y1871=Y1870+1),IF(AA1871=1,"",INDEX(DATAS,Y1870+1)),INDEX(DATAS,Y1870+1)),"")</f>
        <v/>
      </c>
    </row>
    <row r="1871" customFormat="false" ht="15" hidden="false" customHeight="false" outlineLevel="0" collapsed="false">
      <c r="A1871" s="45" t="n">
        <v>46309</v>
      </c>
      <c r="B1871" s="0" t="n">
        <v>14</v>
      </c>
      <c r="C1871" s="0" t="n">
        <v>6096</v>
      </c>
      <c r="E1871" s="0" t="n">
        <v>0</v>
      </c>
      <c r="F1871" s="39" t="s">
        <v>1058</v>
      </c>
      <c r="I1871" s="39" t="s">
        <v>109</v>
      </c>
      <c r="L1871" s="0" t="n">
        <v>259</v>
      </c>
      <c r="U1871" s="0" t="n">
        <v>685</v>
      </c>
      <c r="V1871" s="0" t="n">
        <v>2</v>
      </c>
      <c r="W1871" s="39" t="n">
        <f aca="false">IF(I1871="Male",0,1)</f>
        <v>1</v>
      </c>
      <c r="X1871" s="39" t="n">
        <f aca="false">IF(OR(I1871="DNB",I1871="Dry DNB"),1,0)</f>
        <v>0</v>
      </c>
      <c r="Y1871" s="39" t="n">
        <f aca="false">MATCH(A1871,DATAS,0)</f>
        <v>1</v>
      </c>
      <c r="Z1871" s="39" t="n">
        <f aca="false">IF(AND(E1871&gt;0,OR(AND(B1871&gt;=1,B1871&lt;=6),B1871=10)),1,0)</f>
        <v>0</v>
      </c>
      <c r="AA1871" s="39" t="n">
        <f aca="false">IF(AND(E1871&gt;0,B1871=10),1,0)</f>
        <v>0</v>
      </c>
      <c r="AB1871" s="0" t="str">
        <f aca="false">IF(AND(C1870=C1871,Y1870=Y1871-1),Z1870,"")</f>
        <v/>
      </c>
      <c r="AC1871" s="0" t="str">
        <f aca="false">IF(AND(C1870=C1871,Y1870=Y1871-1),AA1870,"")</f>
        <v/>
      </c>
      <c r="AD1871" s="0" t="str">
        <f aca="false">IF(Y1871=1,"",IF(AND(Z1871=1,AB1871&lt;&gt;1),1,0))</f>
        <v/>
      </c>
      <c r="AE1871" s="0" t="str">
        <f aca="false">IF(Y1871=1,"",IF(AND(AA1871=1,AC1871&lt;&gt;1),1,0))</f>
        <v/>
      </c>
      <c r="AF1871" s="45" t="str">
        <f aca="false">IF(AND(E1871&gt;0,Y1871&lt;1,NOT(AND(C1872=C1871,Y1872=Y1871+1))),INDEX(DATAS,Y1871+1),"")</f>
        <v/>
      </c>
      <c r="AG1871" s="45" t="str">
        <f aca="false">IF(AND(AA1871=1,Y1871&lt;1),IF(AND(C1872=C1871,Y1872=Y1871+1),IF(AA1872=1,"",INDEX(DATAS,Y1871+1)),INDEX(DATAS,Y1871+1)),"")</f>
        <v/>
      </c>
    </row>
    <row r="1872" customFormat="false" ht="15" hidden="false" customHeight="false" outlineLevel="0" collapsed="false">
      <c r="A1872" s="45" t="n">
        <v>46309</v>
      </c>
      <c r="B1872" s="0" t="n">
        <v>14</v>
      </c>
      <c r="C1872" s="0" t="n">
        <v>6098</v>
      </c>
      <c r="E1872" s="0" t="n">
        <v>0</v>
      </c>
      <c r="F1872" s="39" t="s">
        <v>1059</v>
      </c>
      <c r="I1872" s="39" t="s">
        <v>109</v>
      </c>
      <c r="L1872" s="0" t="n">
        <v>265</v>
      </c>
      <c r="U1872" s="0" t="n">
        <v>684</v>
      </c>
      <c r="V1872" s="0" t="n">
        <v>3</v>
      </c>
      <c r="W1872" s="39" t="n">
        <f aca="false">IF(I1872="Male",0,1)</f>
        <v>1</v>
      </c>
      <c r="X1872" s="39" t="n">
        <f aca="false">IF(OR(I1872="DNB",I1872="Dry DNB"),1,0)</f>
        <v>0</v>
      </c>
      <c r="Y1872" s="39" t="n">
        <f aca="false">MATCH(A1872,DATAS,0)</f>
        <v>1</v>
      </c>
      <c r="Z1872" s="39" t="n">
        <f aca="false">IF(AND(E1872&gt;0,OR(AND(B1872&gt;=1,B1872&lt;=6),B1872=10)),1,0)</f>
        <v>0</v>
      </c>
      <c r="AA1872" s="39" t="n">
        <f aca="false">IF(AND(E1872&gt;0,B1872=10),1,0)</f>
        <v>0</v>
      </c>
      <c r="AB1872" s="0" t="str">
        <f aca="false">IF(AND(C1871=C1872,Y1871=Y1872-1),Z1871,"")</f>
        <v/>
      </c>
      <c r="AC1872" s="0" t="str">
        <f aca="false">IF(AND(C1871=C1872,Y1871=Y1872-1),AA1871,"")</f>
        <v/>
      </c>
      <c r="AD1872" s="0" t="str">
        <f aca="false">IF(Y1872=1,"",IF(AND(Z1872=1,AB1872&lt;&gt;1),1,0))</f>
        <v/>
      </c>
      <c r="AE1872" s="0" t="str">
        <f aca="false">IF(Y1872=1,"",IF(AND(AA1872=1,AC1872&lt;&gt;1),1,0))</f>
        <v/>
      </c>
      <c r="AF1872" s="45" t="str">
        <f aca="false">IF(AND(E1872&gt;0,Y1872&lt;1,NOT(AND(C1873=C1872,Y1873=Y1872+1))),INDEX(DATAS,Y1872+1),"")</f>
        <v/>
      </c>
      <c r="AG1872" s="45" t="str">
        <f aca="false">IF(AND(AA1872=1,Y1872&lt;1),IF(AND(C1873=C1872,Y1873=Y1872+1),IF(AA1873=1,"",INDEX(DATAS,Y1872+1)),INDEX(DATAS,Y1872+1)),"")</f>
        <v/>
      </c>
    </row>
    <row r="1873" customFormat="false" ht="15" hidden="false" customHeight="false" outlineLevel="0" collapsed="false">
      <c r="A1873" s="45" t="n">
        <v>46309</v>
      </c>
      <c r="B1873" s="0" t="n">
        <v>14</v>
      </c>
      <c r="C1873" s="0" t="n">
        <v>6099</v>
      </c>
      <c r="E1873" s="0" t="n">
        <v>0</v>
      </c>
      <c r="F1873" s="39" t="s">
        <v>1060</v>
      </c>
      <c r="I1873" s="39" t="s">
        <v>109</v>
      </c>
      <c r="L1873" s="0" t="n">
        <v>266</v>
      </c>
      <c r="U1873" s="0" t="n">
        <v>682</v>
      </c>
      <c r="V1873" s="0" t="n">
        <v>2</v>
      </c>
      <c r="W1873" s="39" t="n">
        <f aca="false">IF(I1873="Male",0,1)</f>
        <v>1</v>
      </c>
      <c r="X1873" s="39" t="n">
        <f aca="false">IF(OR(I1873="DNB",I1873="Dry DNB"),1,0)</f>
        <v>0</v>
      </c>
      <c r="Y1873" s="39" t="n">
        <f aca="false">MATCH(A1873,DATAS,0)</f>
        <v>1</v>
      </c>
      <c r="Z1873" s="39" t="n">
        <f aca="false">IF(AND(E1873&gt;0,OR(AND(B1873&gt;=1,B1873&lt;=6),B1873=10)),1,0)</f>
        <v>0</v>
      </c>
      <c r="AA1873" s="39" t="n">
        <f aca="false">IF(AND(E1873&gt;0,B1873=10),1,0)</f>
        <v>0</v>
      </c>
      <c r="AB1873" s="0" t="str">
        <f aca="false">IF(AND(C1872=C1873,Y1872=Y1873-1),Z1872,"")</f>
        <v/>
      </c>
      <c r="AC1873" s="0" t="str">
        <f aca="false">IF(AND(C1872=C1873,Y1872=Y1873-1),AA1872,"")</f>
        <v/>
      </c>
      <c r="AD1873" s="0" t="str">
        <f aca="false">IF(Y1873=1,"",IF(AND(Z1873=1,AB1873&lt;&gt;1),1,0))</f>
        <v/>
      </c>
      <c r="AE1873" s="0" t="str">
        <f aca="false">IF(Y1873=1,"",IF(AND(AA1873=1,AC1873&lt;&gt;1),1,0))</f>
        <v/>
      </c>
      <c r="AF1873" s="45" t="str">
        <f aca="false">IF(AND(E1873&gt;0,Y1873&lt;1,NOT(AND(C1874=C1873,Y1874=Y1873+1))),INDEX(DATAS,Y1873+1),"")</f>
        <v/>
      </c>
      <c r="AG1873" s="45" t="str">
        <f aca="false">IF(AND(AA1873=1,Y1873&lt;1),IF(AND(C1874=C1873,Y1874=Y1873+1),IF(AA1874=1,"",INDEX(DATAS,Y1873+1)),INDEX(DATAS,Y1873+1)),"")</f>
        <v/>
      </c>
    </row>
    <row r="1874" customFormat="false" ht="15" hidden="false" customHeight="false" outlineLevel="0" collapsed="false">
      <c r="A1874" s="45" t="n">
        <v>46309</v>
      </c>
      <c r="B1874" s="0" t="n">
        <v>7</v>
      </c>
      <c r="C1874" s="0" t="n">
        <v>6100</v>
      </c>
      <c r="E1874" s="0" t="n">
        <v>0</v>
      </c>
      <c r="F1874" s="39" t="s">
        <v>1061</v>
      </c>
      <c r="I1874" s="39" t="s">
        <v>109</v>
      </c>
      <c r="L1874" s="0" t="n">
        <v>246</v>
      </c>
      <c r="U1874" s="0" t="n">
        <v>681</v>
      </c>
      <c r="V1874" s="0" t="n">
        <v>3</v>
      </c>
      <c r="W1874" s="39" t="n">
        <f aca="false">IF(I1874="Male",0,1)</f>
        <v>1</v>
      </c>
      <c r="X1874" s="39" t="n">
        <f aca="false">IF(OR(I1874="DNB",I1874="Dry DNB"),1,0)</f>
        <v>0</v>
      </c>
      <c r="Y1874" s="39" t="n">
        <f aca="false">MATCH(A1874,DATAS,0)</f>
        <v>1</v>
      </c>
      <c r="Z1874" s="39" t="n">
        <f aca="false">IF(AND(E1874&gt;0,OR(AND(B1874&gt;=1,B1874&lt;=6),B1874=10)),1,0)</f>
        <v>0</v>
      </c>
      <c r="AA1874" s="39" t="n">
        <f aca="false">IF(AND(E1874&gt;0,B1874=10),1,0)</f>
        <v>0</v>
      </c>
      <c r="AB1874" s="0" t="str">
        <f aca="false">IF(AND(C1873=C1874,Y1873=Y1874-1),Z1873,"")</f>
        <v/>
      </c>
      <c r="AC1874" s="0" t="str">
        <f aca="false">IF(AND(C1873=C1874,Y1873=Y1874-1),AA1873,"")</f>
        <v/>
      </c>
      <c r="AD1874" s="0" t="str">
        <f aca="false">IF(Y1874=1,"",IF(AND(Z1874=1,AB1874&lt;&gt;1),1,0))</f>
        <v/>
      </c>
      <c r="AE1874" s="0" t="str">
        <f aca="false">IF(Y1874=1,"",IF(AND(AA1874=1,AC1874&lt;&gt;1),1,0))</f>
        <v/>
      </c>
      <c r="AF1874" s="45" t="str">
        <f aca="false">IF(AND(E1874&gt;0,Y1874&lt;1,NOT(AND(C1875=C1874,Y1875=Y1874+1))),INDEX(DATAS,Y1874+1),"")</f>
        <v/>
      </c>
      <c r="AG1874" s="45" t="str">
        <f aca="false">IF(AND(AA1874=1,Y1874&lt;1),IF(AND(C1875=C1874,Y1875=Y1874+1),IF(AA1875=1,"",INDEX(DATAS,Y1874+1)),INDEX(DATAS,Y1874+1)),"")</f>
        <v/>
      </c>
    </row>
    <row r="1875" customFormat="false" ht="15" hidden="false" customHeight="false" outlineLevel="0" collapsed="false">
      <c r="A1875" s="45" t="n">
        <v>46309</v>
      </c>
      <c r="B1875" s="0" t="n">
        <v>1</v>
      </c>
      <c r="C1875" s="0" t="n">
        <v>6102</v>
      </c>
      <c r="D1875" s="0" t="n">
        <v>36</v>
      </c>
      <c r="E1875" s="0" t="n">
        <v>1</v>
      </c>
      <c r="F1875" s="39" t="s">
        <v>1062</v>
      </c>
      <c r="G1875" s="0" t="n">
        <v>51.4</v>
      </c>
      <c r="H1875" s="0" t="n">
        <v>49</v>
      </c>
      <c r="I1875" s="39" t="s">
        <v>118</v>
      </c>
      <c r="J1875" s="0" t="n">
        <v>36</v>
      </c>
      <c r="P1875" s="0" t="n">
        <v>5.59</v>
      </c>
      <c r="Q1875" s="0" t="n">
        <v>3.29</v>
      </c>
      <c r="R1875" s="0" t="n">
        <v>3949</v>
      </c>
      <c r="S1875" s="0" t="n">
        <v>7939</v>
      </c>
      <c r="U1875" s="0" t="n">
        <v>680</v>
      </c>
      <c r="V1875" s="0" t="n">
        <v>0</v>
      </c>
      <c r="W1875" s="39" t="n">
        <f aca="false">IF(I1875="Male",0,1)</f>
        <v>1</v>
      </c>
      <c r="X1875" s="39" t="n">
        <f aca="false">IF(OR(I1875="DNB",I1875="Dry DNB"),1,0)</f>
        <v>0</v>
      </c>
      <c r="Y1875" s="39" t="n">
        <f aca="false">MATCH(A1875,DATAS,0)</f>
        <v>1</v>
      </c>
      <c r="Z1875" s="39" t="n">
        <f aca="false">IF(AND(E1875&gt;0,OR(AND(B1875&gt;=1,B1875&lt;=6),B1875=10)),1,0)</f>
        <v>1</v>
      </c>
      <c r="AA1875" s="39" t="n">
        <f aca="false">IF(AND(E1875&gt;0,B1875=10),1,0)</f>
        <v>0</v>
      </c>
      <c r="AB1875" s="0" t="str">
        <f aca="false">IF(AND(C1874=C1875,Y1874=Y1875-1),Z1874,"")</f>
        <v/>
      </c>
      <c r="AC1875" s="0" t="str">
        <f aca="false">IF(AND(C1874=C1875,Y1874=Y1875-1),AA1874,"")</f>
        <v/>
      </c>
      <c r="AD1875" s="0" t="str">
        <f aca="false">IF(Y1875=1,"",IF(AND(Z1875=1,AB1875&lt;&gt;1),1,0))</f>
        <v/>
      </c>
      <c r="AE1875" s="0" t="str">
        <f aca="false">IF(Y1875=1,"",IF(AND(AA1875=1,AC1875&lt;&gt;1),1,0))</f>
        <v/>
      </c>
      <c r="AF1875" s="45" t="str">
        <f aca="false">IF(AND(E1875&gt;0,Y1875&lt;1,NOT(AND(C1876=C1875,Y1876=Y1875+1))),INDEX(DATAS,Y1875+1),"")</f>
        <v/>
      </c>
      <c r="AG1875" s="45" t="str">
        <f aca="false">IF(AND(AA1875=1,Y1875&lt;1),IF(AND(C1876=C1875,Y1876=Y1875+1),IF(AA1876=1,"",INDEX(DATAS,Y1875+1)),INDEX(DATAS,Y1875+1)),"")</f>
        <v/>
      </c>
    </row>
    <row r="1876" customFormat="false" ht="15" hidden="false" customHeight="false" outlineLevel="0" collapsed="false">
      <c r="A1876" s="45" t="n">
        <v>46309</v>
      </c>
      <c r="B1876" s="0" t="n">
        <v>7</v>
      </c>
      <c r="C1876" s="0" t="n">
        <v>6103</v>
      </c>
      <c r="E1876" s="0" t="n">
        <v>0</v>
      </c>
      <c r="F1876" s="39" t="s">
        <v>1063</v>
      </c>
      <c r="I1876" s="39" t="s">
        <v>109</v>
      </c>
      <c r="L1876" s="0" t="n">
        <v>192</v>
      </c>
      <c r="U1876" s="0" t="n">
        <v>678</v>
      </c>
      <c r="V1876" s="0" t="n">
        <v>4</v>
      </c>
      <c r="W1876" s="39" t="n">
        <f aca="false">IF(I1876="Male",0,1)</f>
        <v>1</v>
      </c>
      <c r="X1876" s="39" t="n">
        <f aca="false">IF(OR(I1876="DNB",I1876="Dry DNB"),1,0)</f>
        <v>0</v>
      </c>
      <c r="Y1876" s="39" t="n">
        <f aca="false">MATCH(A1876,DATAS,0)</f>
        <v>1</v>
      </c>
      <c r="Z1876" s="39" t="n">
        <f aca="false">IF(AND(E1876&gt;0,OR(AND(B1876&gt;=1,B1876&lt;=6),B1876=10)),1,0)</f>
        <v>0</v>
      </c>
      <c r="AA1876" s="39" t="n">
        <f aca="false">IF(AND(E1876&gt;0,B1876=10),1,0)</f>
        <v>0</v>
      </c>
      <c r="AB1876" s="0" t="str">
        <f aca="false">IF(AND(C1875=C1876,Y1875=Y1876-1),Z1875,"")</f>
        <v/>
      </c>
      <c r="AC1876" s="0" t="str">
        <f aca="false">IF(AND(C1875=C1876,Y1875=Y1876-1),AA1875,"")</f>
        <v/>
      </c>
      <c r="AD1876" s="0" t="str">
        <f aca="false">IF(Y1876=1,"",IF(AND(Z1876=1,AB1876&lt;&gt;1),1,0))</f>
        <v/>
      </c>
      <c r="AE1876" s="0" t="str">
        <f aca="false">IF(Y1876=1,"",IF(AND(AA1876=1,AC1876&lt;&gt;1),1,0))</f>
        <v/>
      </c>
      <c r="AF1876" s="45" t="str">
        <f aca="false">IF(AND(E1876&gt;0,Y1876&lt;1,NOT(AND(C1877=C1876,Y1877=Y1876+1))),INDEX(DATAS,Y1876+1),"")</f>
        <v/>
      </c>
      <c r="AG1876" s="45" t="str">
        <f aca="false">IF(AND(AA1876=1,Y1876&lt;1),IF(AND(C1877=C1876,Y1877=Y1876+1),IF(AA1877=1,"",INDEX(DATAS,Y1876+1)),INDEX(DATAS,Y1876+1)),"")</f>
        <v/>
      </c>
    </row>
    <row r="1877" customFormat="false" ht="15" hidden="false" customHeight="false" outlineLevel="0" collapsed="false">
      <c r="A1877" s="45" t="n">
        <v>46309</v>
      </c>
      <c r="B1877" s="0" t="n">
        <v>1</v>
      </c>
      <c r="C1877" s="0" t="n">
        <v>6105</v>
      </c>
      <c r="D1877" s="0" t="n">
        <v>35</v>
      </c>
      <c r="E1877" s="0" t="n">
        <v>1</v>
      </c>
      <c r="F1877" s="39" t="s">
        <v>1063</v>
      </c>
      <c r="G1877" s="0" t="n">
        <v>49.4</v>
      </c>
      <c r="H1877" s="0" t="n">
        <v>50</v>
      </c>
      <c r="I1877" s="39" t="s">
        <v>118</v>
      </c>
      <c r="J1877" s="0" t="n">
        <v>35</v>
      </c>
      <c r="P1877" s="0" t="n">
        <v>5.32</v>
      </c>
      <c r="Q1877" s="0" t="n">
        <v>3.6</v>
      </c>
      <c r="R1877" s="0" t="n">
        <v>4303</v>
      </c>
      <c r="S1877" s="0" t="n">
        <v>8651</v>
      </c>
      <c r="U1877" s="0" t="n">
        <v>678</v>
      </c>
      <c r="V1877" s="0" t="n">
        <v>0</v>
      </c>
      <c r="W1877" s="39" t="n">
        <f aca="false">IF(I1877="Male",0,1)</f>
        <v>1</v>
      </c>
      <c r="X1877" s="39" t="n">
        <f aca="false">IF(OR(I1877="DNB",I1877="Dry DNB"),1,0)</f>
        <v>0</v>
      </c>
      <c r="Y1877" s="39" t="n">
        <f aca="false">MATCH(A1877,DATAS,0)</f>
        <v>1</v>
      </c>
      <c r="Z1877" s="39" t="n">
        <f aca="false">IF(AND(E1877&gt;0,OR(AND(B1877&gt;=1,B1877&lt;=6),B1877=10)),1,0)</f>
        <v>1</v>
      </c>
      <c r="AA1877" s="39" t="n">
        <f aca="false">IF(AND(E1877&gt;0,B1877=10),1,0)</f>
        <v>0</v>
      </c>
      <c r="AB1877" s="0" t="str">
        <f aca="false">IF(AND(C1876=C1877,Y1876=Y1877-1),Z1876,"")</f>
        <v/>
      </c>
      <c r="AC1877" s="0" t="str">
        <f aca="false">IF(AND(C1876=C1877,Y1876=Y1877-1),AA1876,"")</f>
        <v/>
      </c>
      <c r="AD1877" s="0" t="str">
        <f aca="false">IF(Y1877=1,"",IF(AND(Z1877=1,AB1877&lt;&gt;1),1,0))</f>
        <v/>
      </c>
      <c r="AE1877" s="0" t="str">
        <f aca="false">IF(Y1877=1,"",IF(AND(AA1877=1,AC1877&lt;&gt;1),1,0))</f>
        <v/>
      </c>
      <c r="AF1877" s="45" t="str">
        <f aca="false">IF(AND(E1877&gt;0,Y1877&lt;1,NOT(AND(C1878=C1877,Y1878=Y1877+1))),INDEX(DATAS,Y1877+1),"")</f>
        <v/>
      </c>
      <c r="AG1877" s="45" t="str">
        <f aca="false">IF(AND(AA1877=1,Y1877&lt;1),IF(AND(C1878=C1877,Y1878=Y1877+1),IF(AA1878=1,"",INDEX(DATAS,Y1877+1)),INDEX(DATAS,Y1877+1)),"")</f>
        <v/>
      </c>
    </row>
    <row r="1878" customFormat="false" ht="15" hidden="false" customHeight="false" outlineLevel="0" collapsed="false">
      <c r="A1878" s="45" t="n">
        <v>46309</v>
      </c>
      <c r="B1878" s="0" t="n">
        <v>7</v>
      </c>
      <c r="C1878" s="0" t="n">
        <v>6106</v>
      </c>
      <c r="E1878" s="0" t="n">
        <v>0</v>
      </c>
      <c r="F1878" s="39" t="s">
        <v>1064</v>
      </c>
      <c r="I1878" s="39" t="s">
        <v>109</v>
      </c>
      <c r="L1878" s="0" t="n">
        <v>219</v>
      </c>
      <c r="U1878" s="0" t="n">
        <v>677</v>
      </c>
      <c r="V1878" s="0" t="n">
        <v>4</v>
      </c>
      <c r="W1878" s="39" t="n">
        <f aca="false">IF(I1878="Male",0,1)</f>
        <v>1</v>
      </c>
      <c r="X1878" s="39" t="n">
        <f aca="false">IF(OR(I1878="DNB",I1878="Dry DNB"),1,0)</f>
        <v>0</v>
      </c>
      <c r="Y1878" s="39" t="n">
        <f aca="false">MATCH(A1878,DATAS,0)</f>
        <v>1</v>
      </c>
      <c r="Z1878" s="39" t="n">
        <f aca="false">IF(AND(E1878&gt;0,OR(AND(B1878&gt;=1,B1878&lt;=6),B1878=10)),1,0)</f>
        <v>0</v>
      </c>
      <c r="AA1878" s="39" t="n">
        <f aca="false">IF(AND(E1878&gt;0,B1878=10),1,0)</f>
        <v>0</v>
      </c>
      <c r="AB1878" s="0" t="str">
        <f aca="false">IF(AND(C1877=C1878,Y1877=Y1878-1),Z1877,"")</f>
        <v/>
      </c>
      <c r="AC1878" s="0" t="str">
        <f aca="false">IF(AND(C1877=C1878,Y1877=Y1878-1),AA1877,"")</f>
        <v/>
      </c>
      <c r="AD1878" s="0" t="str">
        <f aca="false">IF(Y1878=1,"",IF(AND(Z1878=1,AB1878&lt;&gt;1),1,0))</f>
        <v/>
      </c>
      <c r="AE1878" s="0" t="str">
        <f aca="false">IF(Y1878=1,"",IF(AND(AA1878=1,AC1878&lt;&gt;1),1,0))</f>
        <v/>
      </c>
      <c r="AF1878" s="45" t="str">
        <f aca="false">IF(AND(E1878&gt;0,Y1878&lt;1,NOT(AND(C1879=C1878,Y1879=Y1878+1))),INDEX(DATAS,Y1878+1),"")</f>
        <v/>
      </c>
      <c r="AG1878" s="45" t="str">
        <f aca="false">IF(AND(AA1878=1,Y1878&lt;1),IF(AND(C1879=C1878,Y1879=Y1878+1),IF(AA1879=1,"",INDEX(DATAS,Y1878+1)),INDEX(DATAS,Y1878+1)),"")</f>
        <v/>
      </c>
    </row>
    <row r="1879" customFormat="false" ht="15" hidden="false" customHeight="false" outlineLevel="0" collapsed="false">
      <c r="A1879" s="45" t="n">
        <v>46309</v>
      </c>
      <c r="B1879" s="0" t="n">
        <v>7</v>
      </c>
      <c r="C1879" s="0" t="n">
        <v>6107</v>
      </c>
      <c r="E1879" s="0" t="n">
        <v>0</v>
      </c>
      <c r="F1879" s="39" t="s">
        <v>1064</v>
      </c>
      <c r="I1879" s="39" t="s">
        <v>109</v>
      </c>
      <c r="L1879" s="0" t="n">
        <v>231</v>
      </c>
      <c r="U1879" s="0" t="n">
        <v>677</v>
      </c>
      <c r="V1879" s="0" t="n">
        <v>2</v>
      </c>
      <c r="W1879" s="39" t="n">
        <f aca="false">IF(I1879="Male",0,1)</f>
        <v>1</v>
      </c>
      <c r="X1879" s="39" t="n">
        <f aca="false">IF(OR(I1879="DNB",I1879="Dry DNB"),1,0)</f>
        <v>0</v>
      </c>
      <c r="Y1879" s="39" t="n">
        <f aca="false">MATCH(A1879,DATAS,0)</f>
        <v>1</v>
      </c>
      <c r="Z1879" s="39" t="n">
        <f aca="false">IF(AND(E1879&gt;0,OR(AND(B1879&gt;=1,B1879&lt;=6),B1879=10)),1,0)</f>
        <v>0</v>
      </c>
      <c r="AA1879" s="39" t="n">
        <f aca="false">IF(AND(E1879&gt;0,B1879=10),1,0)</f>
        <v>0</v>
      </c>
      <c r="AB1879" s="0" t="str">
        <f aca="false">IF(AND(C1878=C1879,Y1878=Y1879-1),Z1878,"")</f>
        <v/>
      </c>
      <c r="AC1879" s="0" t="str">
        <f aca="false">IF(AND(C1878=C1879,Y1878=Y1879-1),AA1878,"")</f>
        <v/>
      </c>
      <c r="AD1879" s="0" t="str">
        <f aca="false">IF(Y1879=1,"",IF(AND(Z1879=1,AB1879&lt;&gt;1),1,0))</f>
        <v/>
      </c>
      <c r="AE1879" s="0" t="str">
        <f aca="false">IF(Y1879=1,"",IF(AND(AA1879=1,AC1879&lt;&gt;1),1,0))</f>
        <v/>
      </c>
      <c r="AF1879" s="45" t="str">
        <f aca="false">IF(AND(E1879&gt;0,Y1879&lt;1,NOT(AND(C1880=C1879,Y1880=Y1879+1))),INDEX(DATAS,Y1879+1),"")</f>
        <v/>
      </c>
      <c r="AG1879" s="45" t="str">
        <f aca="false">IF(AND(AA1879=1,Y1879&lt;1),IF(AND(C1880=C1879,Y1880=Y1879+1),IF(AA1880=1,"",INDEX(DATAS,Y1879+1)),INDEX(DATAS,Y1879+1)),"")</f>
        <v/>
      </c>
    </row>
    <row r="1880" customFormat="false" ht="15" hidden="false" customHeight="false" outlineLevel="0" collapsed="false">
      <c r="A1880" s="45" t="n">
        <v>46309</v>
      </c>
      <c r="B1880" s="0" t="n">
        <v>1</v>
      </c>
      <c r="C1880" s="0" t="n">
        <v>6108</v>
      </c>
      <c r="D1880" s="0" t="n">
        <v>44</v>
      </c>
      <c r="E1880" s="0" t="n">
        <v>1</v>
      </c>
      <c r="F1880" s="39" t="s">
        <v>1064</v>
      </c>
      <c r="G1880" s="0" t="n">
        <v>33.8</v>
      </c>
      <c r="H1880" s="0" t="n">
        <v>31</v>
      </c>
      <c r="I1880" s="39" t="s">
        <v>118</v>
      </c>
      <c r="J1880" s="0" t="n">
        <v>44</v>
      </c>
      <c r="P1880" s="0" t="n">
        <v>4.82</v>
      </c>
      <c r="Q1880" s="0" t="n">
        <v>3.95</v>
      </c>
      <c r="R1880" s="0" t="n">
        <v>2258</v>
      </c>
      <c r="S1880" s="0" t="n">
        <v>4540</v>
      </c>
      <c r="U1880" s="0" t="n">
        <v>677</v>
      </c>
      <c r="V1880" s="0" t="n">
        <v>0</v>
      </c>
      <c r="W1880" s="39" t="n">
        <f aca="false">IF(I1880="Male",0,1)</f>
        <v>1</v>
      </c>
      <c r="X1880" s="39" t="n">
        <f aca="false">IF(OR(I1880="DNB",I1880="Dry DNB"),1,0)</f>
        <v>0</v>
      </c>
      <c r="Y1880" s="39" t="n">
        <f aca="false">MATCH(A1880,DATAS,0)</f>
        <v>1</v>
      </c>
      <c r="Z1880" s="39" t="n">
        <f aca="false">IF(AND(E1880&gt;0,OR(AND(B1880&gt;=1,B1880&lt;=6),B1880=10)),1,0)</f>
        <v>1</v>
      </c>
      <c r="AA1880" s="39" t="n">
        <f aca="false">IF(AND(E1880&gt;0,B1880=10),1,0)</f>
        <v>0</v>
      </c>
      <c r="AB1880" s="0" t="str">
        <f aca="false">IF(AND(C1879=C1880,Y1879=Y1880-1),Z1879,"")</f>
        <v/>
      </c>
      <c r="AC1880" s="0" t="str">
        <f aca="false">IF(AND(C1879=C1880,Y1879=Y1880-1),AA1879,"")</f>
        <v/>
      </c>
      <c r="AD1880" s="0" t="str">
        <f aca="false">IF(Y1880=1,"",IF(AND(Z1880=1,AB1880&lt;&gt;1),1,0))</f>
        <v/>
      </c>
      <c r="AE1880" s="0" t="str">
        <f aca="false">IF(Y1880=1,"",IF(AND(AA1880=1,AC1880&lt;&gt;1),1,0))</f>
        <v/>
      </c>
      <c r="AF1880" s="45" t="str">
        <f aca="false">IF(AND(E1880&gt;0,Y1880&lt;1,NOT(AND(C1881=C1880,Y1881=Y1880+1))),INDEX(DATAS,Y1880+1),"")</f>
        <v/>
      </c>
      <c r="AG1880" s="45" t="str">
        <f aca="false">IF(AND(AA1880=1,Y1880&lt;1),IF(AND(C1881=C1880,Y1881=Y1880+1),IF(AA1881=1,"",INDEX(DATAS,Y1880+1)),INDEX(DATAS,Y1880+1)),"")</f>
        <v/>
      </c>
    </row>
    <row r="1881" customFormat="false" ht="15" hidden="false" customHeight="false" outlineLevel="0" collapsed="false">
      <c r="A1881" s="45" t="n">
        <v>46309</v>
      </c>
      <c r="B1881" s="0" t="n">
        <v>7</v>
      </c>
      <c r="C1881" s="0" t="n">
        <v>6109</v>
      </c>
      <c r="E1881" s="0" t="n">
        <v>0</v>
      </c>
      <c r="F1881" s="39" t="s">
        <v>1065</v>
      </c>
      <c r="I1881" s="39" t="s">
        <v>109</v>
      </c>
      <c r="L1881" s="0" t="n">
        <v>253</v>
      </c>
      <c r="U1881" s="0" t="n">
        <v>676</v>
      </c>
      <c r="V1881" s="0" t="n">
        <v>3</v>
      </c>
      <c r="W1881" s="39" t="n">
        <f aca="false">IF(I1881="Male",0,1)</f>
        <v>1</v>
      </c>
      <c r="X1881" s="39" t="n">
        <f aca="false">IF(OR(I1881="DNB",I1881="Dry DNB"),1,0)</f>
        <v>0</v>
      </c>
      <c r="Y1881" s="39" t="n">
        <f aca="false">MATCH(A1881,DATAS,0)</f>
        <v>1</v>
      </c>
      <c r="Z1881" s="39" t="n">
        <f aca="false">IF(AND(E1881&gt;0,OR(AND(B1881&gt;=1,B1881&lt;=6),B1881=10)),1,0)</f>
        <v>0</v>
      </c>
      <c r="AA1881" s="39" t="n">
        <f aca="false">IF(AND(E1881&gt;0,B1881=10),1,0)</f>
        <v>0</v>
      </c>
      <c r="AB1881" s="0" t="str">
        <f aca="false">IF(AND(C1880=C1881,Y1880=Y1881-1),Z1880,"")</f>
        <v/>
      </c>
      <c r="AC1881" s="0" t="str">
        <f aca="false">IF(AND(C1880=C1881,Y1880=Y1881-1),AA1880,"")</f>
        <v/>
      </c>
      <c r="AD1881" s="0" t="str">
        <f aca="false">IF(Y1881=1,"",IF(AND(Z1881=1,AB1881&lt;&gt;1),1,0))</f>
        <v/>
      </c>
      <c r="AE1881" s="0" t="str">
        <f aca="false">IF(Y1881=1,"",IF(AND(AA1881=1,AC1881&lt;&gt;1),1,0))</f>
        <v/>
      </c>
      <c r="AF1881" s="45" t="str">
        <f aca="false">IF(AND(E1881&gt;0,Y1881&lt;1,NOT(AND(C1882=C1881,Y1882=Y1881+1))),INDEX(DATAS,Y1881+1),"")</f>
        <v/>
      </c>
      <c r="AG1881" s="45" t="str">
        <f aca="false">IF(AND(AA1881=1,Y1881&lt;1),IF(AND(C1882=C1881,Y1882=Y1881+1),IF(AA1882=1,"",INDEX(DATAS,Y1881+1)),INDEX(DATAS,Y1881+1)),"")</f>
        <v/>
      </c>
    </row>
    <row r="1882" customFormat="false" ht="15" hidden="false" customHeight="false" outlineLevel="0" collapsed="false">
      <c r="A1882" s="45" t="n">
        <v>46309</v>
      </c>
      <c r="B1882" s="0" t="n">
        <v>8</v>
      </c>
      <c r="C1882" s="0" t="n">
        <v>6110</v>
      </c>
      <c r="E1882" s="0" t="n">
        <v>0</v>
      </c>
      <c r="F1882" s="39" t="s">
        <v>1065</v>
      </c>
      <c r="I1882" s="39" t="s">
        <v>109</v>
      </c>
      <c r="L1882" s="0" t="n">
        <v>273</v>
      </c>
      <c r="U1882" s="0" t="n">
        <v>676</v>
      </c>
      <c r="V1882" s="0" t="n">
        <v>2</v>
      </c>
      <c r="W1882" s="39" t="n">
        <f aca="false">IF(I1882="Male",0,1)</f>
        <v>1</v>
      </c>
      <c r="X1882" s="39" t="n">
        <f aca="false">IF(OR(I1882="DNB",I1882="Dry DNB"),1,0)</f>
        <v>0</v>
      </c>
      <c r="Y1882" s="39" t="n">
        <f aca="false">MATCH(A1882,DATAS,0)</f>
        <v>1</v>
      </c>
      <c r="Z1882" s="39" t="n">
        <f aca="false">IF(AND(E1882&gt;0,OR(AND(B1882&gt;=1,B1882&lt;=6),B1882=10)),1,0)</f>
        <v>0</v>
      </c>
      <c r="AA1882" s="39" t="n">
        <f aca="false">IF(AND(E1882&gt;0,B1882=10),1,0)</f>
        <v>0</v>
      </c>
      <c r="AB1882" s="0" t="str">
        <f aca="false">IF(AND(C1881=C1882,Y1881=Y1882-1),Z1881,"")</f>
        <v/>
      </c>
      <c r="AC1882" s="0" t="str">
        <f aca="false">IF(AND(C1881=C1882,Y1881=Y1882-1),AA1881,"")</f>
        <v/>
      </c>
      <c r="AD1882" s="0" t="str">
        <f aca="false">IF(Y1882=1,"",IF(AND(Z1882=1,AB1882&lt;&gt;1),1,0))</f>
        <v/>
      </c>
      <c r="AE1882" s="0" t="str">
        <f aca="false">IF(Y1882=1,"",IF(AND(AA1882=1,AC1882&lt;&gt;1),1,0))</f>
        <v/>
      </c>
      <c r="AF1882" s="45" t="str">
        <f aca="false">IF(AND(E1882&gt;0,Y1882&lt;1,NOT(AND(C1883=C1882,Y1883=Y1882+1))),INDEX(DATAS,Y1882+1),"")</f>
        <v/>
      </c>
      <c r="AG1882" s="45" t="str">
        <f aca="false">IF(AND(AA1882=1,Y1882&lt;1),IF(AND(C1883=C1882,Y1883=Y1882+1),IF(AA1883=1,"",INDEX(DATAS,Y1882+1)),INDEX(DATAS,Y1882+1)),"")</f>
        <v/>
      </c>
    </row>
    <row r="1883" customFormat="false" ht="15" hidden="false" customHeight="false" outlineLevel="0" collapsed="false">
      <c r="A1883" s="45" t="n">
        <v>46309</v>
      </c>
      <c r="B1883" s="0" t="n">
        <v>1</v>
      </c>
      <c r="C1883" s="0" t="n">
        <v>6111</v>
      </c>
      <c r="D1883" s="0" t="n">
        <v>36</v>
      </c>
      <c r="E1883" s="0" t="n">
        <v>1</v>
      </c>
      <c r="F1883" s="39" t="s">
        <v>1065</v>
      </c>
      <c r="G1883" s="0" t="n">
        <v>41</v>
      </c>
      <c r="H1883" s="0" t="n">
        <v>38</v>
      </c>
      <c r="I1883" s="39" t="s">
        <v>118</v>
      </c>
      <c r="J1883" s="0" t="n">
        <v>36</v>
      </c>
      <c r="P1883" s="0" t="n">
        <v>4.11</v>
      </c>
      <c r="Q1883" s="0" t="n">
        <v>3.2</v>
      </c>
      <c r="R1883" s="0" t="n">
        <v>3111</v>
      </c>
      <c r="S1883" s="0" t="n">
        <v>6254</v>
      </c>
      <c r="U1883" s="0" t="n">
        <v>676</v>
      </c>
      <c r="V1883" s="0" t="n">
        <v>0</v>
      </c>
      <c r="W1883" s="39" t="n">
        <f aca="false">IF(I1883="Male",0,1)</f>
        <v>1</v>
      </c>
      <c r="X1883" s="39" t="n">
        <f aca="false">IF(OR(I1883="DNB",I1883="Dry DNB"),1,0)</f>
        <v>0</v>
      </c>
      <c r="Y1883" s="39" t="n">
        <f aca="false">MATCH(A1883,DATAS,0)</f>
        <v>1</v>
      </c>
      <c r="Z1883" s="39" t="n">
        <f aca="false">IF(AND(E1883&gt;0,OR(AND(B1883&gt;=1,B1883&lt;=6),B1883=10)),1,0)</f>
        <v>1</v>
      </c>
      <c r="AA1883" s="39" t="n">
        <f aca="false">IF(AND(E1883&gt;0,B1883=10),1,0)</f>
        <v>0</v>
      </c>
      <c r="AB1883" s="0" t="str">
        <f aca="false">IF(AND(C1882=C1883,Y1882=Y1883-1),Z1882,"")</f>
        <v/>
      </c>
      <c r="AC1883" s="0" t="str">
        <f aca="false">IF(AND(C1882=C1883,Y1882=Y1883-1),AA1882,"")</f>
        <v/>
      </c>
      <c r="AD1883" s="0" t="str">
        <f aca="false">IF(Y1883=1,"",IF(AND(Z1883=1,AB1883&lt;&gt;1),1,0))</f>
        <v/>
      </c>
      <c r="AE1883" s="0" t="str">
        <f aca="false">IF(Y1883=1,"",IF(AND(AA1883=1,AC1883&lt;&gt;1),1,0))</f>
        <v/>
      </c>
      <c r="AF1883" s="45" t="str">
        <f aca="false">IF(AND(E1883&gt;0,Y1883&lt;1,NOT(AND(C1884=C1883,Y1884=Y1883+1))),INDEX(DATAS,Y1883+1),"")</f>
        <v/>
      </c>
      <c r="AG1883" s="45" t="str">
        <f aca="false">IF(AND(AA1883=1,Y1883&lt;1),IF(AND(C1884=C1883,Y1884=Y1883+1),IF(AA1884=1,"",INDEX(DATAS,Y1883+1)),INDEX(DATAS,Y1883+1)),"")</f>
        <v/>
      </c>
    </row>
    <row r="1884" customFormat="false" ht="15" hidden="false" customHeight="false" outlineLevel="0" collapsed="false">
      <c r="A1884" s="45" t="n">
        <v>46309</v>
      </c>
      <c r="B1884" s="0" t="n">
        <v>1</v>
      </c>
      <c r="C1884" s="0" t="n">
        <v>6112</v>
      </c>
      <c r="D1884" s="0" t="n">
        <v>8</v>
      </c>
      <c r="E1884" s="0" t="n">
        <v>1</v>
      </c>
      <c r="F1884" s="39" t="s">
        <v>1065</v>
      </c>
      <c r="G1884" s="0" t="n">
        <v>26.1</v>
      </c>
      <c r="H1884" s="0" t="n">
        <v>24</v>
      </c>
      <c r="I1884" s="39" t="s">
        <v>118</v>
      </c>
      <c r="J1884" s="0" t="n">
        <v>8</v>
      </c>
      <c r="R1884" s="0" t="n">
        <v>2564</v>
      </c>
      <c r="S1884" s="0" t="n">
        <v>5154</v>
      </c>
      <c r="U1884" s="0" t="n">
        <v>676</v>
      </c>
      <c r="V1884" s="0" t="n">
        <v>0</v>
      </c>
      <c r="W1884" s="39" t="n">
        <f aca="false">IF(I1884="Male",0,1)</f>
        <v>1</v>
      </c>
      <c r="X1884" s="39" t="n">
        <f aca="false">IF(OR(I1884="DNB",I1884="Dry DNB"),1,0)</f>
        <v>0</v>
      </c>
      <c r="Y1884" s="39" t="n">
        <f aca="false">MATCH(A1884,DATAS,0)</f>
        <v>1</v>
      </c>
      <c r="Z1884" s="39" t="n">
        <f aca="false">IF(AND(E1884&gt;0,OR(AND(B1884&gt;=1,B1884&lt;=6),B1884=10)),1,0)</f>
        <v>1</v>
      </c>
      <c r="AA1884" s="39" t="n">
        <f aca="false">IF(AND(E1884&gt;0,B1884=10),1,0)</f>
        <v>0</v>
      </c>
      <c r="AB1884" s="0" t="str">
        <f aca="false">IF(AND(C1883=C1884,Y1883=Y1884-1),Z1883,"")</f>
        <v/>
      </c>
      <c r="AC1884" s="0" t="str">
        <f aca="false">IF(AND(C1883=C1884,Y1883=Y1884-1),AA1883,"")</f>
        <v/>
      </c>
      <c r="AD1884" s="0" t="str">
        <f aca="false">IF(Y1884=1,"",IF(AND(Z1884=1,AB1884&lt;&gt;1),1,0))</f>
        <v/>
      </c>
      <c r="AE1884" s="0" t="str">
        <f aca="false">IF(Y1884=1,"",IF(AND(AA1884=1,AC1884&lt;&gt;1),1,0))</f>
        <v/>
      </c>
      <c r="AF1884" s="45" t="str">
        <f aca="false">IF(AND(E1884&gt;0,Y1884&lt;1,NOT(AND(C1885=C1884,Y1885=Y1884+1))),INDEX(DATAS,Y1884+1),"")</f>
        <v/>
      </c>
      <c r="AG1884" s="45" t="str">
        <f aca="false">IF(AND(AA1884=1,Y1884&lt;1),IF(AND(C1885=C1884,Y1885=Y1884+1),IF(AA1885=1,"",INDEX(DATAS,Y1884+1)),INDEX(DATAS,Y1884+1)),"")</f>
        <v/>
      </c>
    </row>
    <row r="1885" customFormat="false" ht="15" hidden="false" customHeight="false" outlineLevel="0" collapsed="false">
      <c r="A1885" s="45" t="n">
        <v>46309</v>
      </c>
      <c r="B1885" s="0" t="n">
        <v>8</v>
      </c>
      <c r="C1885" s="0" t="n">
        <v>6113</v>
      </c>
      <c r="E1885" s="0" t="n">
        <v>0</v>
      </c>
      <c r="F1885" s="39" t="s">
        <v>1066</v>
      </c>
      <c r="I1885" s="39" t="s">
        <v>109</v>
      </c>
      <c r="L1885" s="0" t="n">
        <v>246</v>
      </c>
      <c r="U1885" s="0" t="n">
        <v>675</v>
      </c>
      <c r="V1885" s="0" t="n">
        <v>4</v>
      </c>
      <c r="W1885" s="39" t="n">
        <f aca="false">IF(I1885="Male",0,1)</f>
        <v>1</v>
      </c>
      <c r="X1885" s="39" t="n">
        <f aca="false">IF(OR(I1885="DNB",I1885="Dry DNB"),1,0)</f>
        <v>0</v>
      </c>
      <c r="Y1885" s="39" t="n">
        <f aca="false">MATCH(A1885,DATAS,0)</f>
        <v>1</v>
      </c>
      <c r="Z1885" s="39" t="n">
        <f aca="false">IF(AND(E1885&gt;0,OR(AND(B1885&gt;=1,B1885&lt;=6),B1885=10)),1,0)</f>
        <v>0</v>
      </c>
      <c r="AA1885" s="39" t="n">
        <f aca="false">IF(AND(E1885&gt;0,B1885=10),1,0)</f>
        <v>0</v>
      </c>
      <c r="AB1885" s="0" t="str">
        <f aca="false">IF(AND(C1884=C1885,Y1884=Y1885-1),Z1884,"")</f>
        <v/>
      </c>
      <c r="AC1885" s="0" t="str">
        <f aca="false">IF(AND(C1884=C1885,Y1884=Y1885-1),AA1884,"")</f>
        <v/>
      </c>
      <c r="AD1885" s="0" t="str">
        <f aca="false">IF(Y1885=1,"",IF(AND(Z1885=1,AB1885&lt;&gt;1),1,0))</f>
        <v/>
      </c>
      <c r="AE1885" s="0" t="str">
        <f aca="false">IF(Y1885=1,"",IF(AND(AA1885=1,AC1885&lt;&gt;1),1,0))</f>
        <v/>
      </c>
      <c r="AF1885" s="45" t="str">
        <f aca="false">IF(AND(E1885&gt;0,Y1885&lt;1,NOT(AND(C1886=C1885,Y1886=Y1885+1))),INDEX(DATAS,Y1885+1),"")</f>
        <v/>
      </c>
      <c r="AG1885" s="45" t="str">
        <f aca="false">IF(AND(AA1885=1,Y1885&lt;1),IF(AND(C1886=C1885,Y1886=Y1885+1),IF(AA1886=1,"",INDEX(DATAS,Y1885+1)),INDEX(DATAS,Y1885+1)),"")</f>
        <v/>
      </c>
    </row>
    <row r="1886" customFormat="false" ht="15" hidden="false" customHeight="false" outlineLevel="0" collapsed="false">
      <c r="A1886" s="45" t="n">
        <v>46309</v>
      </c>
      <c r="B1886" s="0" t="n">
        <v>1</v>
      </c>
      <c r="C1886" s="0" t="n">
        <v>6114</v>
      </c>
      <c r="D1886" s="0" t="n">
        <v>25</v>
      </c>
      <c r="E1886" s="0" t="n">
        <v>1</v>
      </c>
      <c r="F1886" s="39" t="s">
        <v>1066</v>
      </c>
      <c r="G1886" s="0" t="n">
        <v>37.3</v>
      </c>
      <c r="H1886" s="0" t="n">
        <v>36</v>
      </c>
      <c r="I1886" s="39" t="s">
        <v>118</v>
      </c>
      <c r="J1886" s="0" t="n">
        <v>25</v>
      </c>
      <c r="R1886" s="0" t="n">
        <v>3096</v>
      </c>
      <c r="S1886" s="0" t="n">
        <v>6223</v>
      </c>
      <c r="U1886" s="0" t="n">
        <v>675</v>
      </c>
      <c r="V1886" s="0" t="n">
        <v>0</v>
      </c>
      <c r="W1886" s="39" t="n">
        <f aca="false">IF(I1886="Male",0,1)</f>
        <v>1</v>
      </c>
      <c r="X1886" s="39" t="n">
        <f aca="false">IF(OR(I1886="DNB",I1886="Dry DNB"),1,0)</f>
        <v>0</v>
      </c>
      <c r="Y1886" s="39" t="n">
        <f aca="false">MATCH(A1886,DATAS,0)</f>
        <v>1</v>
      </c>
      <c r="Z1886" s="39" t="n">
        <f aca="false">IF(AND(E1886&gt;0,OR(AND(B1886&gt;=1,B1886&lt;=6),B1886=10)),1,0)</f>
        <v>1</v>
      </c>
      <c r="AA1886" s="39" t="n">
        <f aca="false">IF(AND(E1886&gt;0,B1886=10),1,0)</f>
        <v>0</v>
      </c>
      <c r="AB1886" s="0" t="str">
        <f aca="false">IF(AND(C1885=C1886,Y1885=Y1886-1),Z1885,"")</f>
        <v/>
      </c>
      <c r="AC1886" s="0" t="str">
        <f aca="false">IF(AND(C1885=C1886,Y1885=Y1886-1),AA1885,"")</f>
        <v/>
      </c>
      <c r="AD1886" s="0" t="str">
        <f aca="false">IF(Y1886=1,"",IF(AND(Z1886=1,AB1886&lt;&gt;1),1,0))</f>
        <v/>
      </c>
      <c r="AE1886" s="0" t="str">
        <f aca="false">IF(Y1886=1,"",IF(AND(AA1886=1,AC1886&lt;&gt;1),1,0))</f>
        <v/>
      </c>
      <c r="AF1886" s="45" t="str">
        <f aca="false">IF(AND(E1886&gt;0,Y1886&lt;1,NOT(AND(C1887=C1886,Y1887=Y1886+1))),INDEX(DATAS,Y1886+1),"")</f>
        <v/>
      </c>
      <c r="AG1886" s="45" t="str">
        <f aca="false">IF(AND(AA1886=1,Y1886&lt;1),IF(AND(C1887=C1886,Y1887=Y1886+1),IF(AA1887=1,"",INDEX(DATAS,Y1886+1)),INDEX(DATAS,Y1886+1)),"")</f>
        <v/>
      </c>
    </row>
    <row r="1887" customFormat="false" ht="15" hidden="false" customHeight="false" outlineLevel="0" collapsed="false">
      <c r="A1887" s="45" t="n">
        <v>46309</v>
      </c>
      <c r="B1887" s="0" t="n">
        <v>1</v>
      </c>
      <c r="C1887" s="0" t="n">
        <v>6116</v>
      </c>
      <c r="D1887" s="0" t="n">
        <v>25</v>
      </c>
      <c r="E1887" s="0" t="n">
        <v>1</v>
      </c>
      <c r="F1887" s="39" t="s">
        <v>1067</v>
      </c>
      <c r="G1887" s="0" t="n">
        <v>29.6</v>
      </c>
      <c r="H1887" s="0" t="n">
        <v>28</v>
      </c>
      <c r="I1887" s="39" t="s">
        <v>118</v>
      </c>
      <c r="J1887" s="0" t="n">
        <v>25</v>
      </c>
      <c r="R1887" s="0" t="n">
        <v>2526</v>
      </c>
      <c r="S1887" s="0" t="n">
        <v>5077</v>
      </c>
      <c r="U1887" s="0" t="n">
        <v>673</v>
      </c>
      <c r="V1887" s="0" t="n">
        <v>0</v>
      </c>
      <c r="W1887" s="39" t="n">
        <f aca="false">IF(I1887="Male",0,1)</f>
        <v>1</v>
      </c>
      <c r="X1887" s="39" t="n">
        <f aca="false">IF(OR(I1887="DNB",I1887="Dry DNB"),1,0)</f>
        <v>0</v>
      </c>
      <c r="Y1887" s="39" t="n">
        <f aca="false">MATCH(A1887,DATAS,0)</f>
        <v>1</v>
      </c>
      <c r="Z1887" s="39" t="n">
        <f aca="false">IF(AND(E1887&gt;0,OR(AND(B1887&gt;=1,B1887&lt;=6),B1887=10)),1,0)</f>
        <v>1</v>
      </c>
      <c r="AA1887" s="39" t="n">
        <f aca="false">IF(AND(E1887&gt;0,B1887=10),1,0)</f>
        <v>0</v>
      </c>
      <c r="AB1887" s="0" t="str">
        <f aca="false">IF(AND(C1886=C1887,Y1886=Y1887-1),Z1886,"")</f>
        <v/>
      </c>
      <c r="AC1887" s="0" t="str">
        <f aca="false">IF(AND(C1886=C1887,Y1886=Y1887-1),AA1886,"")</f>
        <v/>
      </c>
      <c r="AD1887" s="0" t="str">
        <f aca="false">IF(Y1887=1,"",IF(AND(Z1887=1,AB1887&lt;&gt;1),1,0))</f>
        <v/>
      </c>
      <c r="AE1887" s="0" t="str">
        <f aca="false">IF(Y1887=1,"",IF(AND(AA1887=1,AC1887&lt;&gt;1),1,0))</f>
        <v/>
      </c>
      <c r="AF1887" s="45" t="str">
        <f aca="false">IF(AND(E1887&gt;0,Y1887&lt;1,NOT(AND(C1888=C1887,Y1888=Y1887+1))),INDEX(DATAS,Y1887+1),"")</f>
        <v/>
      </c>
      <c r="AG1887" s="45" t="str">
        <f aca="false">IF(AND(AA1887=1,Y1887&lt;1),IF(AND(C1888=C1887,Y1888=Y1887+1),IF(AA1888=1,"",INDEX(DATAS,Y1887+1)),INDEX(DATAS,Y1887+1)),"")</f>
        <v/>
      </c>
    </row>
    <row r="1888" customFormat="false" ht="15" hidden="false" customHeight="false" outlineLevel="0" collapsed="false">
      <c r="A1888" s="45" t="n">
        <v>46309</v>
      </c>
      <c r="B1888" s="0" t="n">
        <v>7</v>
      </c>
      <c r="C1888" s="0" t="n">
        <v>6117</v>
      </c>
      <c r="E1888" s="0" t="n">
        <v>0</v>
      </c>
      <c r="F1888" s="39" t="s">
        <v>1067</v>
      </c>
      <c r="I1888" s="39" t="s">
        <v>109</v>
      </c>
      <c r="L1888" s="0" t="n">
        <v>248</v>
      </c>
      <c r="U1888" s="0" t="n">
        <v>673</v>
      </c>
      <c r="V1888" s="0" t="n">
        <v>3</v>
      </c>
      <c r="W1888" s="39" t="n">
        <f aca="false">IF(I1888="Male",0,1)</f>
        <v>1</v>
      </c>
      <c r="X1888" s="39" t="n">
        <f aca="false">IF(OR(I1888="DNB",I1888="Dry DNB"),1,0)</f>
        <v>0</v>
      </c>
      <c r="Y1888" s="39" t="n">
        <f aca="false">MATCH(A1888,DATAS,0)</f>
        <v>1</v>
      </c>
      <c r="Z1888" s="39" t="n">
        <f aca="false">IF(AND(E1888&gt;0,OR(AND(B1888&gt;=1,B1888&lt;=6),B1888=10)),1,0)</f>
        <v>0</v>
      </c>
      <c r="AA1888" s="39" t="n">
        <f aca="false">IF(AND(E1888&gt;0,B1888=10),1,0)</f>
        <v>0</v>
      </c>
      <c r="AB1888" s="0" t="str">
        <f aca="false">IF(AND(C1887=C1888,Y1887=Y1888-1),Z1887,"")</f>
        <v/>
      </c>
      <c r="AC1888" s="0" t="str">
        <f aca="false">IF(AND(C1887=C1888,Y1887=Y1888-1),AA1887,"")</f>
        <v/>
      </c>
      <c r="AD1888" s="0" t="str">
        <f aca="false">IF(Y1888=1,"",IF(AND(Z1888=1,AB1888&lt;&gt;1),1,0))</f>
        <v/>
      </c>
      <c r="AE1888" s="0" t="str">
        <f aca="false">IF(Y1888=1,"",IF(AND(AA1888=1,AC1888&lt;&gt;1),1,0))</f>
        <v/>
      </c>
      <c r="AF1888" s="45" t="str">
        <f aca="false">IF(AND(E1888&gt;0,Y1888&lt;1,NOT(AND(C1889=C1888,Y1889=Y1888+1))),INDEX(DATAS,Y1888+1),"")</f>
        <v/>
      </c>
      <c r="AG1888" s="45" t="str">
        <f aca="false">IF(AND(AA1888=1,Y1888&lt;1),IF(AND(C1889=C1888,Y1889=Y1888+1),IF(AA1889=1,"",INDEX(DATAS,Y1888+1)),INDEX(DATAS,Y1888+1)),"")</f>
        <v/>
      </c>
    </row>
    <row r="1889" customFormat="false" ht="15" hidden="false" customHeight="false" outlineLevel="0" collapsed="false">
      <c r="A1889" s="45" t="n">
        <v>46309</v>
      </c>
      <c r="B1889" s="0" t="n">
        <v>10</v>
      </c>
      <c r="C1889" s="0" t="n">
        <v>6118</v>
      </c>
      <c r="D1889" s="0" t="n">
        <v>30</v>
      </c>
      <c r="E1889" s="0" t="n">
        <v>1</v>
      </c>
      <c r="F1889" s="39" t="s">
        <v>1067</v>
      </c>
      <c r="G1889" s="0" t="n">
        <v>28.2</v>
      </c>
      <c r="H1889" s="0" t="n">
        <v>34</v>
      </c>
      <c r="I1889" s="39" t="s">
        <v>118</v>
      </c>
      <c r="J1889" s="0" t="n">
        <v>30</v>
      </c>
      <c r="R1889" s="0" t="n">
        <v>3405</v>
      </c>
      <c r="S1889" s="0" t="n">
        <v>6845</v>
      </c>
      <c r="U1889" s="0" t="n">
        <v>673</v>
      </c>
      <c r="V1889" s="0" t="n">
        <v>0</v>
      </c>
      <c r="W1889" s="39" t="n">
        <f aca="false">IF(I1889="Male",0,1)</f>
        <v>1</v>
      </c>
      <c r="X1889" s="39" t="n">
        <f aca="false">IF(OR(I1889="DNB",I1889="Dry DNB"),1,0)</f>
        <v>0</v>
      </c>
      <c r="Y1889" s="39" t="n">
        <f aca="false">MATCH(A1889,DATAS,0)</f>
        <v>1</v>
      </c>
      <c r="Z1889" s="39" t="n">
        <f aca="false">IF(AND(E1889&gt;0,OR(AND(B1889&gt;=1,B1889&lt;=6),B1889=10)),1,0)</f>
        <v>1</v>
      </c>
      <c r="AA1889" s="39" t="n">
        <f aca="false">IF(AND(E1889&gt;0,B1889=10),1,0)</f>
        <v>1</v>
      </c>
      <c r="AB1889" s="0" t="str">
        <f aca="false">IF(AND(C1888=C1889,Y1888=Y1889-1),Z1888,"")</f>
        <v/>
      </c>
      <c r="AC1889" s="0" t="str">
        <f aca="false">IF(AND(C1888=C1889,Y1888=Y1889-1),AA1888,"")</f>
        <v/>
      </c>
      <c r="AD1889" s="0" t="str">
        <f aca="false">IF(Y1889=1,"",IF(AND(Z1889=1,AB1889&lt;&gt;1),1,0))</f>
        <v/>
      </c>
      <c r="AE1889" s="0" t="str">
        <f aca="false">IF(Y1889=1,"",IF(AND(AA1889=1,AC1889&lt;&gt;1),1,0))</f>
        <v/>
      </c>
      <c r="AF1889" s="45" t="str">
        <f aca="false">IF(AND(E1889&gt;0,Y1889&lt;1,NOT(AND(C1890=C1889,Y1890=Y1889+1))),INDEX(DATAS,Y1889+1),"")</f>
        <v/>
      </c>
      <c r="AG1889" s="45" t="str">
        <f aca="false">IF(AND(AA1889=1,Y1889&lt;1),IF(AND(C1890=C1889,Y1890=Y1889+1),IF(AA1890=1,"",INDEX(DATAS,Y1889+1)),INDEX(DATAS,Y1889+1)),"")</f>
        <v/>
      </c>
    </row>
    <row r="1890" customFormat="false" ht="15" hidden="false" customHeight="false" outlineLevel="0" collapsed="false">
      <c r="A1890" s="45" t="n">
        <v>46309</v>
      </c>
      <c r="B1890" s="0" t="n">
        <v>14</v>
      </c>
      <c r="C1890" s="0" t="n">
        <v>6120</v>
      </c>
      <c r="E1890" s="0" t="n">
        <v>0</v>
      </c>
      <c r="F1890" s="39" t="s">
        <v>1068</v>
      </c>
      <c r="I1890" s="39" t="s">
        <v>109</v>
      </c>
      <c r="L1890" s="0" t="n">
        <v>262</v>
      </c>
      <c r="U1890" s="0" t="n">
        <v>672</v>
      </c>
      <c r="V1890" s="0" t="n">
        <v>3</v>
      </c>
      <c r="W1890" s="39" t="n">
        <f aca="false">IF(I1890="Male",0,1)</f>
        <v>1</v>
      </c>
      <c r="X1890" s="39" t="n">
        <f aca="false">IF(OR(I1890="DNB",I1890="Dry DNB"),1,0)</f>
        <v>0</v>
      </c>
      <c r="Y1890" s="39" t="n">
        <f aca="false">MATCH(A1890,DATAS,0)</f>
        <v>1</v>
      </c>
      <c r="Z1890" s="39" t="n">
        <f aca="false">IF(AND(E1890&gt;0,OR(AND(B1890&gt;=1,B1890&lt;=6),B1890=10)),1,0)</f>
        <v>0</v>
      </c>
      <c r="AA1890" s="39" t="n">
        <f aca="false">IF(AND(E1890&gt;0,B1890=10),1,0)</f>
        <v>0</v>
      </c>
      <c r="AB1890" s="0" t="str">
        <f aca="false">IF(AND(C1889=C1890,Y1889=Y1890-1),Z1889,"")</f>
        <v/>
      </c>
      <c r="AC1890" s="0" t="str">
        <f aca="false">IF(AND(C1889=C1890,Y1889=Y1890-1),AA1889,"")</f>
        <v/>
      </c>
      <c r="AD1890" s="0" t="str">
        <f aca="false">IF(Y1890=1,"",IF(AND(Z1890=1,AB1890&lt;&gt;1),1,0))</f>
        <v/>
      </c>
      <c r="AE1890" s="0" t="str">
        <f aca="false">IF(Y1890=1,"",IF(AND(AA1890=1,AC1890&lt;&gt;1),1,0))</f>
        <v/>
      </c>
      <c r="AF1890" s="45" t="str">
        <f aca="false">IF(AND(E1890&gt;0,Y1890&lt;1,NOT(AND(C1891=C1890,Y1891=Y1890+1))),INDEX(DATAS,Y1890+1),"")</f>
        <v/>
      </c>
      <c r="AG1890" s="45" t="str">
        <f aca="false">IF(AND(AA1890=1,Y1890&lt;1),IF(AND(C1891=C1890,Y1891=Y1890+1),IF(AA1891=1,"",INDEX(DATAS,Y1890+1)),INDEX(DATAS,Y1890+1)),"")</f>
        <v/>
      </c>
    </row>
    <row r="1891" customFormat="false" ht="15" hidden="false" customHeight="false" outlineLevel="0" collapsed="false">
      <c r="A1891" s="45" t="n">
        <v>46309</v>
      </c>
      <c r="B1891" s="0" t="n">
        <v>8</v>
      </c>
      <c r="C1891" s="0" t="n">
        <v>6121</v>
      </c>
      <c r="E1891" s="0" t="n">
        <v>0</v>
      </c>
      <c r="F1891" s="39" t="s">
        <v>1068</v>
      </c>
      <c r="I1891" s="39" t="s">
        <v>109</v>
      </c>
      <c r="L1891" s="0" t="n">
        <v>112</v>
      </c>
      <c r="U1891" s="0" t="n">
        <v>672</v>
      </c>
      <c r="V1891" s="0" t="n">
        <v>5</v>
      </c>
      <c r="W1891" s="39" t="n">
        <f aca="false">IF(I1891="Male",0,1)</f>
        <v>1</v>
      </c>
      <c r="X1891" s="39" t="n">
        <f aca="false">IF(OR(I1891="DNB",I1891="Dry DNB"),1,0)</f>
        <v>0</v>
      </c>
      <c r="Y1891" s="39" t="n">
        <f aca="false">MATCH(A1891,DATAS,0)</f>
        <v>1</v>
      </c>
      <c r="Z1891" s="39" t="n">
        <f aca="false">IF(AND(E1891&gt;0,OR(AND(B1891&gt;=1,B1891&lt;=6),B1891=10)),1,0)</f>
        <v>0</v>
      </c>
      <c r="AA1891" s="39" t="n">
        <f aca="false">IF(AND(E1891&gt;0,B1891=10),1,0)</f>
        <v>0</v>
      </c>
      <c r="AB1891" s="0" t="str">
        <f aca="false">IF(AND(C1890=C1891,Y1890=Y1891-1),Z1890,"")</f>
        <v/>
      </c>
      <c r="AC1891" s="0" t="str">
        <f aca="false">IF(AND(C1890=C1891,Y1890=Y1891-1),AA1890,"")</f>
        <v/>
      </c>
      <c r="AD1891" s="0" t="str">
        <f aca="false">IF(Y1891=1,"",IF(AND(Z1891=1,AB1891&lt;&gt;1),1,0))</f>
        <v/>
      </c>
      <c r="AE1891" s="0" t="str">
        <f aca="false">IF(Y1891=1,"",IF(AND(AA1891=1,AC1891&lt;&gt;1),1,0))</f>
        <v/>
      </c>
      <c r="AF1891" s="45" t="str">
        <f aca="false">IF(AND(E1891&gt;0,Y1891&lt;1,NOT(AND(C1892=C1891,Y1892=Y1891+1))),INDEX(DATAS,Y1891+1),"")</f>
        <v/>
      </c>
      <c r="AG1891" s="45" t="str">
        <f aca="false">IF(AND(AA1891=1,Y1891&lt;1),IF(AND(C1892=C1891,Y1892=Y1891+1),IF(AA1892=1,"",INDEX(DATAS,Y1891+1)),INDEX(DATAS,Y1891+1)),"")</f>
        <v/>
      </c>
    </row>
    <row r="1892" customFormat="false" ht="15" hidden="false" customHeight="false" outlineLevel="0" collapsed="false">
      <c r="A1892" s="45" t="n">
        <v>46309</v>
      </c>
      <c r="B1892" s="0" t="n">
        <v>1</v>
      </c>
      <c r="C1892" s="0" t="n">
        <v>6122</v>
      </c>
      <c r="D1892" s="0" t="n">
        <v>33</v>
      </c>
      <c r="E1892" s="0" t="n">
        <v>1</v>
      </c>
      <c r="F1892" s="39" t="s">
        <v>1068</v>
      </c>
      <c r="G1892" s="0" t="n">
        <v>34.9</v>
      </c>
      <c r="H1892" s="0" t="n">
        <v>37</v>
      </c>
      <c r="I1892" s="39" t="s">
        <v>118</v>
      </c>
      <c r="J1892" s="0" t="n">
        <v>33</v>
      </c>
      <c r="P1892" s="0" t="n">
        <v>6.77</v>
      </c>
      <c r="Q1892" s="0" t="n">
        <v>3.73</v>
      </c>
      <c r="R1892" s="0" t="n">
        <v>2997</v>
      </c>
      <c r="S1892" s="0" t="n">
        <v>6025</v>
      </c>
      <c r="U1892" s="0" t="n">
        <v>672</v>
      </c>
      <c r="V1892" s="0" t="n">
        <v>0</v>
      </c>
      <c r="W1892" s="39" t="n">
        <f aca="false">IF(I1892="Male",0,1)</f>
        <v>1</v>
      </c>
      <c r="X1892" s="39" t="n">
        <f aca="false">IF(OR(I1892="DNB",I1892="Dry DNB"),1,0)</f>
        <v>0</v>
      </c>
      <c r="Y1892" s="39" t="n">
        <f aca="false">MATCH(A1892,DATAS,0)</f>
        <v>1</v>
      </c>
      <c r="Z1892" s="39" t="n">
        <f aca="false">IF(AND(E1892&gt;0,OR(AND(B1892&gt;=1,B1892&lt;=6),B1892=10)),1,0)</f>
        <v>1</v>
      </c>
      <c r="AA1892" s="39" t="n">
        <f aca="false">IF(AND(E1892&gt;0,B1892=10),1,0)</f>
        <v>0</v>
      </c>
      <c r="AB1892" s="0" t="str">
        <f aca="false">IF(AND(C1891=C1892,Y1891=Y1892-1),Z1891,"")</f>
        <v/>
      </c>
      <c r="AC1892" s="0" t="str">
        <f aca="false">IF(AND(C1891=C1892,Y1891=Y1892-1),AA1891,"")</f>
        <v/>
      </c>
      <c r="AD1892" s="0" t="str">
        <f aca="false">IF(Y1892=1,"",IF(AND(Z1892=1,AB1892&lt;&gt;1),1,0))</f>
        <v/>
      </c>
      <c r="AE1892" s="0" t="str">
        <f aca="false">IF(Y1892=1,"",IF(AND(AA1892=1,AC1892&lt;&gt;1),1,0))</f>
        <v/>
      </c>
      <c r="AF1892" s="45" t="str">
        <f aca="false">IF(AND(E1892&gt;0,Y1892&lt;1,NOT(AND(C1893=C1892,Y1893=Y1892+1))),INDEX(DATAS,Y1892+1),"")</f>
        <v/>
      </c>
      <c r="AG1892" s="45" t="str">
        <f aca="false">IF(AND(AA1892=1,Y1892&lt;1),IF(AND(C1893=C1892,Y1893=Y1892+1),IF(AA1893=1,"",INDEX(DATAS,Y1892+1)),INDEX(DATAS,Y1892+1)),"")</f>
        <v/>
      </c>
    </row>
    <row r="1893" customFormat="false" ht="15" hidden="false" customHeight="false" outlineLevel="0" collapsed="false">
      <c r="A1893" s="45" t="n">
        <v>46309</v>
      </c>
      <c r="B1893" s="0" t="n">
        <v>1</v>
      </c>
      <c r="C1893" s="0" t="n">
        <v>6123</v>
      </c>
      <c r="D1893" s="0" t="n">
        <v>25</v>
      </c>
      <c r="E1893" s="0" t="n">
        <v>1</v>
      </c>
      <c r="F1893" s="39" t="s">
        <v>1068</v>
      </c>
      <c r="G1893" s="0" t="n">
        <v>42.1</v>
      </c>
      <c r="H1893" s="0" t="n">
        <v>42</v>
      </c>
      <c r="I1893" s="39" t="s">
        <v>118</v>
      </c>
      <c r="J1893" s="0" t="n">
        <v>25</v>
      </c>
      <c r="R1893" s="0" t="n">
        <v>3693</v>
      </c>
      <c r="S1893" s="0" t="n">
        <v>7423</v>
      </c>
      <c r="U1893" s="0" t="n">
        <v>672</v>
      </c>
      <c r="V1893" s="0" t="n">
        <v>0</v>
      </c>
      <c r="W1893" s="39" t="n">
        <f aca="false">IF(I1893="Male",0,1)</f>
        <v>1</v>
      </c>
      <c r="X1893" s="39" t="n">
        <f aca="false">IF(OR(I1893="DNB",I1893="Dry DNB"),1,0)</f>
        <v>0</v>
      </c>
      <c r="Y1893" s="39" t="n">
        <f aca="false">MATCH(A1893,DATAS,0)</f>
        <v>1</v>
      </c>
      <c r="Z1893" s="39" t="n">
        <f aca="false">IF(AND(E1893&gt;0,OR(AND(B1893&gt;=1,B1893&lt;=6),B1893=10)),1,0)</f>
        <v>1</v>
      </c>
      <c r="AA1893" s="39" t="n">
        <f aca="false">IF(AND(E1893&gt;0,B1893=10),1,0)</f>
        <v>0</v>
      </c>
      <c r="AB1893" s="0" t="str">
        <f aca="false">IF(AND(C1892=C1893,Y1892=Y1893-1),Z1892,"")</f>
        <v/>
      </c>
      <c r="AC1893" s="0" t="str">
        <f aca="false">IF(AND(C1892=C1893,Y1892=Y1893-1),AA1892,"")</f>
        <v/>
      </c>
      <c r="AD1893" s="0" t="str">
        <f aca="false">IF(Y1893=1,"",IF(AND(Z1893=1,AB1893&lt;&gt;1),1,0))</f>
        <v/>
      </c>
      <c r="AE1893" s="0" t="str">
        <f aca="false">IF(Y1893=1,"",IF(AND(AA1893=1,AC1893&lt;&gt;1),1,0))</f>
        <v/>
      </c>
      <c r="AF1893" s="45" t="str">
        <f aca="false">IF(AND(E1893&gt;0,Y1893&lt;1,NOT(AND(C1894=C1893,Y1894=Y1893+1))),INDEX(DATAS,Y1893+1),"")</f>
        <v/>
      </c>
      <c r="AG1893" s="45" t="str">
        <f aca="false">IF(AND(AA1893=1,Y1893&lt;1),IF(AND(C1894=C1893,Y1894=Y1893+1),IF(AA1894=1,"",INDEX(DATAS,Y1893+1)),INDEX(DATAS,Y1893+1)),"")</f>
        <v/>
      </c>
    </row>
    <row r="1894" customFormat="false" ht="15" hidden="false" customHeight="false" outlineLevel="0" collapsed="false">
      <c r="A1894" s="45" t="n">
        <v>46309</v>
      </c>
      <c r="B1894" s="0" t="n">
        <v>1</v>
      </c>
      <c r="C1894" s="0" t="n">
        <v>6124</v>
      </c>
      <c r="D1894" s="0" t="n">
        <v>29</v>
      </c>
      <c r="E1894" s="0" t="n">
        <v>1</v>
      </c>
      <c r="F1894" s="39" t="s">
        <v>1069</v>
      </c>
      <c r="G1894" s="0" t="n">
        <v>41.4</v>
      </c>
      <c r="H1894" s="0" t="n">
        <v>39</v>
      </c>
      <c r="I1894" s="39" t="s">
        <v>118</v>
      </c>
      <c r="J1894" s="0" t="n">
        <v>29</v>
      </c>
      <c r="P1894" s="0" t="n">
        <v>5.28</v>
      </c>
      <c r="Q1894" s="0" t="n">
        <v>4.19</v>
      </c>
      <c r="R1894" s="0" t="n">
        <v>3029</v>
      </c>
      <c r="S1894" s="0" t="n">
        <v>6089</v>
      </c>
      <c r="U1894" s="0" t="n">
        <v>671</v>
      </c>
      <c r="V1894" s="0" t="n">
        <v>0</v>
      </c>
      <c r="W1894" s="39" t="n">
        <f aca="false">IF(I1894="Male",0,1)</f>
        <v>1</v>
      </c>
      <c r="X1894" s="39" t="n">
        <f aca="false">IF(OR(I1894="DNB",I1894="Dry DNB"),1,0)</f>
        <v>0</v>
      </c>
      <c r="Y1894" s="39" t="n">
        <f aca="false">MATCH(A1894,DATAS,0)</f>
        <v>1</v>
      </c>
      <c r="Z1894" s="39" t="n">
        <f aca="false">IF(AND(E1894&gt;0,OR(AND(B1894&gt;=1,B1894&lt;=6),B1894=10)),1,0)</f>
        <v>1</v>
      </c>
      <c r="AA1894" s="39" t="n">
        <f aca="false">IF(AND(E1894&gt;0,B1894=10),1,0)</f>
        <v>0</v>
      </c>
      <c r="AB1894" s="0" t="str">
        <f aca="false">IF(AND(C1893=C1894,Y1893=Y1894-1),Z1893,"")</f>
        <v/>
      </c>
      <c r="AC1894" s="0" t="str">
        <f aca="false">IF(AND(C1893=C1894,Y1893=Y1894-1),AA1893,"")</f>
        <v/>
      </c>
      <c r="AD1894" s="0" t="str">
        <f aca="false">IF(Y1894=1,"",IF(AND(Z1894=1,AB1894&lt;&gt;1),1,0))</f>
        <v/>
      </c>
      <c r="AE1894" s="0" t="str">
        <f aca="false">IF(Y1894=1,"",IF(AND(AA1894=1,AC1894&lt;&gt;1),1,0))</f>
        <v/>
      </c>
      <c r="AF1894" s="45" t="str">
        <f aca="false">IF(AND(E1894&gt;0,Y1894&lt;1,NOT(AND(C1895=C1894,Y1895=Y1894+1))),INDEX(DATAS,Y1894+1),"")</f>
        <v/>
      </c>
      <c r="AG1894" s="45" t="str">
        <f aca="false">IF(AND(AA1894=1,Y1894&lt;1),IF(AND(C1895=C1894,Y1895=Y1894+1),IF(AA1895=1,"",INDEX(DATAS,Y1894+1)),INDEX(DATAS,Y1894+1)),"")</f>
        <v/>
      </c>
    </row>
    <row r="1895" customFormat="false" ht="15" hidden="false" customHeight="false" outlineLevel="0" collapsed="false">
      <c r="A1895" s="45" t="n">
        <v>46309</v>
      </c>
      <c r="B1895" s="0" t="n">
        <v>1</v>
      </c>
      <c r="C1895" s="0" t="n">
        <v>6125</v>
      </c>
      <c r="D1895" s="0" t="n">
        <v>39</v>
      </c>
      <c r="E1895" s="0" t="n">
        <v>1</v>
      </c>
      <c r="F1895" s="39" t="s">
        <v>1069</v>
      </c>
      <c r="G1895" s="0" t="n">
        <v>39.9</v>
      </c>
      <c r="H1895" s="0" t="n">
        <v>40</v>
      </c>
      <c r="I1895" s="39" t="s">
        <v>118</v>
      </c>
      <c r="J1895" s="0" t="n">
        <v>39</v>
      </c>
      <c r="P1895" s="0" t="n">
        <v>3.93</v>
      </c>
      <c r="Q1895" s="0" t="n">
        <v>3.73</v>
      </c>
      <c r="R1895" s="0" t="n">
        <v>3648</v>
      </c>
      <c r="S1895" s="0" t="n">
        <v>7334</v>
      </c>
      <c r="U1895" s="0" t="n">
        <v>671</v>
      </c>
      <c r="V1895" s="0" t="n">
        <v>0</v>
      </c>
      <c r="W1895" s="39" t="n">
        <f aca="false">IF(I1895="Male",0,1)</f>
        <v>1</v>
      </c>
      <c r="X1895" s="39" t="n">
        <f aca="false">IF(OR(I1895="DNB",I1895="Dry DNB"),1,0)</f>
        <v>0</v>
      </c>
      <c r="Y1895" s="39" t="n">
        <f aca="false">MATCH(A1895,DATAS,0)</f>
        <v>1</v>
      </c>
      <c r="Z1895" s="39" t="n">
        <f aca="false">IF(AND(E1895&gt;0,OR(AND(B1895&gt;=1,B1895&lt;=6),B1895=10)),1,0)</f>
        <v>1</v>
      </c>
      <c r="AA1895" s="39" t="n">
        <f aca="false">IF(AND(E1895&gt;0,B1895=10),1,0)</f>
        <v>0</v>
      </c>
      <c r="AB1895" s="0" t="str">
        <f aca="false">IF(AND(C1894=C1895,Y1894=Y1895-1),Z1894,"")</f>
        <v/>
      </c>
      <c r="AC1895" s="0" t="str">
        <f aca="false">IF(AND(C1894=C1895,Y1894=Y1895-1),AA1894,"")</f>
        <v/>
      </c>
      <c r="AD1895" s="0" t="str">
        <f aca="false">IF(Y1895=1,"",IF(AND(Z1895=1,AB1895&lt;&gt;1),1,0))</f>
        <v/>
      </c>
      <c r="AE1895" s="0" t="str">
        <f aca="false">IF(Y1895=1,"",IF(AND(AA1895=1,AC1895&lt;&gt;1),1,0))</f>
        <v/>
      </c>
      <c r="AF1895" s="45" t="str">
        <f aca="false">IF(AND(E1895&gt;0,Y1895&lt;1,NOT(AND(C1896=C1895,Y1896=Y1895+1))),INDEX(DATAS,Y1895+1),"")</f>
        <v/>
      </c>
      <c r="AG1895" s="45" t="str">
        <f aca="false">IF(AND(AA1895=1,Y1895&lt;1),IF(AND(C1896=C1895,Y1896=Y1895+1),IF(AA1896=1,"",INDEX(DATAS,Y1895+1)),INDEX(DATAS,Y1895+1)),"")</f>
        <v/>
      </c>
    </row>
    <row r="1896" customFormat="false" ht="15" hidden="false" customHeight="false" outlineLevel="0" collapsed="false">
      <c r="A1896" s="45" t="n">
        <v>46309</v>
      </c>
      <c r="B1896" s="0" t="n">
        <v>7</v>
      </c>
      <c r="C1896" s="0" t="n">
        <v>6126</v>
      </c>
      <c r="E1896" s="0" t="n">
        <v>0</v>
      </c>
      <c r="F1896" s="39" t="s">
        <v>1069</v>
      </c>
      <c r="I1896" s="39" t="s">
        <v>109</v>
      </c>
      <c r="L1896" s="0" t="n">
        <v>243</v>
      </c>
      <c r="U1896" s="0" t="n">
        <v>671</v>
      </c>
      <c r="V1896" s="0" t="n">
        <v>3</v>
      </c>
      <c r="W1896" s="39" t="n">
        <f aca="false">IF(I1896="Male",0,1)</f>
        <v>1</v>
      </c>
      <c r="X1896" s="39" t="n">
        <f aca="false">IF(OR(I1896="DNB",I1896="Dry DNB"),1,0)</f>
        <v>0</v>
      </c>
      <c r="Y1896" s="39" t="n">
        <f aca="false">MATCH(A1896,DATAS,0)</f>
        <v>1</v>
      </c>
      <c r="Z1896" s="39" t="n">
        <f aca="false">IF(AND(E1896&gt;0,OR(AND(B1896&gt;=1,B1896&lt;=6),B1896=10)),1,0)</f>
        <v>0</v>
      </c>
      <c r="AA1896" s="39" t="n">
        <f aca="false">IF(AND(E1896&gt;0,B1896=10),1,0)</f>
        <v>0</v>
      </c>
      <c r="AB1896" s="0" t="str">
        <f aca="false">IF(AND(C1895=C1896,Y1895=Y1896-1),Z1895,"")</f>
        <v/>
      </c>
      <c r="AC1896" s="0" t="str">
        <f aca="false">IF(AND(C1895=C1896,Y1895=Y1896-1),AA1895,"")</f>
        <v/>
      </c>
      <c r="AD1896" s="0" t="str">
        <f aca="false">IF(Y1896=1,"",IF(AND(Z1896=1,AB1896&lt;&gt;1),1,0))</f>
        <v/>
      </c>
      <c r="AE1896" s="0" t="str">
        <f aca="false">IF(Y1896=1,"",IF(AND(AA1896=1,AC1896&lt;&gt;1),1,0))</f>
        <v/>
      </c>
      <c r="AF1896" s="45" t="str">
        <f aca="false">IF(AND(E1896&gt;0,Y1896&lt;1,NOT(AND(C1897=C1896,Y1897=Y1896+1))),INDEX(DATAS,Y1896+1),"")</f>
        <v/>
      </c>
      <c r="AG1896" s="45" t="str">
        <f aca="false">IF(AND(AA1896=1,Y1896&lt;1),IF(AND(C1897=C1896,Y1897=Y1896+1),IF(AA1897=1,"",INDEX(DATAS,Y1896+1)),INDEX(DATAS,Y1896+1)),"")</f>
        <v/>
      </c>
    </row>
    <row r="1897" customFormat="false" ht="15" hidden="false" customHeight="false" outlineLevel="0" collapsed="false">
      <c r="A1897" s="45" t="n">
        <v>46309</v>
      </c>
      <c r="B1897" s="0" t="n">
        <v>8</v>
      </c>
      <c r="C1897" s="0" t="n">
        <v>6127</v>
      </c>
      <c r="E1897" s="0" t="n">
        <v>0</v>
      </c>
      <c r="F1897" s="39" t="s">
        <v>1069</v>
      </c>
      <c r="I1897" s="39" t="s">
        <v>109</v>
      </c>
      <c r="L1897" s="0" t="n">
        <v>119</v>
      </c>
      <c r="U1897" s="0" t="n">
        <v>671</v>
      </c>
      <c r="V1897" s="0" t="n">
        <v>7</v>
      </c>
      <c r="W1897" s="39" t="n">
        <f aca="false">IF(I1897="Male",0,1)</f>
        <v>1</v>
      </c>
      <c r="X1897" s="39" t="n">
        <f aca="false">IF(OR(I1897="DNB",I1897="Dry DNB"),1,0)</f>
        <v>0</v>
      </c>
      <c r="Y1897" s="39" t="n">
        <f aca="false">MATCH(A1897,DATAS,0)</f>
        <v>1</v>
      </c>
      <c r="Z1897" s="39" t="n">
        <f aca="false">IF(AND(E1897&gt;0,OR(AND(B1897&gt;=1,B1897&lt;=6),B1897=10)),1,0)</f>
        <v>0</v>
      </c>
      <c r="AA1897" s="39" t="n">
        <f aca="false">IF(AND(E1897&gt;0,B1897=10),1,0)</f>
        <v>0</v>
      </c>
      <c r="AB1897" s="0" t="str">
        <f aca="false">IF(AND(C1896=C1897,Y1896=Y1897-1),Z1896,"")</f>
        <v/>
      </c>
      <c r="AC1897" s="0" t="str">
        <f aca="false">IF(AND(C1896=C1897,Y1896=Y1897-1),AA1896,"")</f>
        <v/>
      </c>
      <c r="AD1897" s="0" t="str">
        <f aca="false">IF(Y1897=1,"",IF(AND(Z1897=1,AB1897&lt;&gt;1),1,0))</f>
        <v/>
      </c>
      <c r="AE1897" s="0" t="str">
        <f aca="false">IF(Y1897=1,"",IF(AND(AA1897=1,AC1897&lt;&gt;1),1,0))</f>
        <v/>
      </c>
      <c r="AF1897" s="45" t="str">
        <f aca="false">IF(AND(E1897&gt;0,Y1897&lt;1,NOT(AND(C1898=C1897,Y1898=Y1897+1))),INDEX(DATAS,Y1897+1),"")</f>
        <v/>
      </c>
      <c r="AG1897" s="45" t="str">
        <f aca="false">IF(AND(AA1897=1,Y1897&lt;1),IF(AND(C1898=C1897,Y1898=Y1897+1),IF(AA1898=1,"",INDEX(DATAS,Y1897+1)),INDEX(DATAS,Y1897+1)),"")</f>
        <v/>
      </c>
    </row>
    <row r="1898" customFormat="false" ht="15" hidden="false" customHeight="false" outlineLevel="0" collapsed="false">
      <c r="A1898" s="45" t="n">
        <v>46309</v>
      </c>
      <c r="B1898" s="0" t="n">
        <v>1</v>
      </c>
      <c r="C1898" s="0" t="n">
        <v>6128</v>
      </c>
      <c r="D1898" s="0" t="n">
        <v>31</v>
      </c>
      <c r="E1898" s="0" t="n">
        <v>1</v>
      </c>
      <c r="F1898" s="39" t="s">
        <v>1070</v>
      </c>
      <c r="G1898" s="0" t="n">
        <v>42.6</v>
      </c>
      <c r="H1898" s="0" t="n">
        <v>39</v>
      </c>
      <c r="I1898" s="39" t="s">
        <v>118</v>
      </c>
      <c r="J1898" s="0" t="n">
        <v>31</v>
      </c>
      <c r="P1898" s="0" t="n">
        <v>4.36</v>
      </c>
      <c r="Q1898" s="0" t="n">
        <v>3.68</v>
      </c>
      <c r="R1898" s="0" t="n">
        <v>2950</v>
      </c>
      <c r="S1898" s="0" t="n">
        <v>5930</v>
      </c>
      <c r="U1898" s="0" t="n">
        <v>670</v>
      </c>
      <c r="V1898" s="0" t="n">
        <v>0</v>
      </c>
      <c r="W1898" s="39" t="n">
        <f aca="false">IF(I1898="Male",0,1)</f>
        <v>1</v>
      </c>
      <c r="X1898" s="39" t="n">
        <f aca="false">IF(OR(I1898="DNB",I1898="Dry DNB"),1,0)</f>
        <v>0</v>
      </c>
      <c r="Y1898" s="39" t="n">
        <f aca="false">MATCH(A1898,DATAS,0)</f>
        <v>1</v>
      </c>
      <c r="Z1898" s="39" t="n">
        <f aca="false">IF(AND(E1898&gt;0,OR(AND(B1898&gt;=1,B1898&lt;=6),B1898=10)),1,0)</f>
        <v>1</v>
      </c>
      <c r="AA1898" s="39" t="n">
        <f aca="false">IF(AND(E1898&gt;0,B1898=10),1,0)</f>
        <v>0</v>
      </c>
      <c r="AB1898" s="0" t="str">
        <f aca="false">IF(AND(C1897=C1898,Y1897=Y1898-1),Z1897,"")</f>
        <v/>
      </c>
      <c r="AC1898" s="0" t="str">
        <f aca="false">IF(AND(C1897=C1898,Y1897=Y1898-1),AA1897,"")</f>
        <v/>
      </c>
      <c r="AD1898" s="0" t="str">
        <f aca="false">IF(Y1898=1,"",IF(AND(Z1898=1,AB1898&lt;&gt;1),1,0))</f>
        <v/>
      </c>
      <c r="AE1898" s="0" t="str">
        <f aca="false">IF(Y1898=1,"",IF(AND(AA1898=1,AC1898&lt;&gt;1),1,0))</f>
        <v/>
      </c>
      <c r="AF1898" s="45" t="str">
        <f aca="false">IF(AND(E1898&gt;0,Y1898&lt;1,NOT(AND(C1899=C1898,Y1899=Y1898+1))),INDEX(DATAS,Y1898+1),"")</f>
        <v/>
      </c>
      <c r="AG1898" s="45" t="str">
        <f aca="false">IF(AND(AA1898=1,Y1898&lt;1),IF(AND(C1899=C1898,Y1899=Y1898+1),IF(AA1899=1,"",INDEX(DATAS,Y1898+1)),INDEX(DATAS,Y1898+1)),"")</f>
        <v/>
      </c>
    </row>
    <row r="1899" customFormat="false" ht="15" hidden="false" customHeight="false" outlineLevel="0" collapsed="false">
      <c r="A1899" s="45" t="n">
        <v>46309</v>
      </c>
      <c r="B1899" s="0" t="n">
        <v>1</v>
      </c>
      <c r="C1899" s="0" t="n">
        <v>6130</v>
      </c>
      <c r="D1899" s="0" t="n">
        <v>17</v>
      </c>
      <c r="E1899" s="0" t="n">
        <v>1</v>
      </c>
      <c r="F1899" s="39" t="s">
        <v>1070</v>
      </c>
      <c r="G1899" s="0" t="n">
        <v>34.5</v>
      </c>
      <c r="H1899" s="0" t="n">
        <v>34</v>
      </c>
      <c r="I1899" s="39" t="s">
        <v>118</v>
      </c>
      <c r="J1899" s="0" t="n">
        <v>17</v>
      </c>
      <c r="R1899" s="0" t="n">
        <v>3474</v>
      </c>
      <c r="S1899" s="0" t="n">
        <v>6984</v>
      </c>
      <c r="U1899" s="0" t="n">
        <v>670</v>
      </c>
      <c r="V1899" s="0" t="n">
        <v>0</v>
      </c>
      <c r="W1899" s="39" t="n">
        <f aca="false">IF(I1899="Male",0,1)</f>
        <v>1</v>
      </c>
      <c r="X1899" s="39" t="n">
        <f aca="false">IF(OR(I1899="DNB",I1899="Dry DNB"),1,0)</f>
        <v>0</v>
      </c>
      <c r="Y1899" s="39" t="n">
        <f aca="false">MATCH(A1899,DATAS,0)</f>
        <v>1</v>
      </c>
      <c r="Z1899" s="39" t="n">
        <f aca="false">IF(AND(E1899&gt;0,OR(AND(B1899&gt;=1,B1899&lt;=6),B1899=10)),1,0)</f>
        <v>1</v>
      </c>
      <c r="AA1899" s="39" t="n">
        <f aca="false">IF(AND(E1899&gt;0,B1899=10),1,0)</f>
        <v>0</v>
      </c>
      <c r="AB1899" s="0" t="str">
        <f aca="false">IF(AND(C1898=C1899,Y1898=Y1899-1),Z1898,"")</f>
        <v/>
      </c>
      <c r="AC1899" s="0" t="str">
        <f aca="false">IF(AND(C1898=C1899,Y1898=Y1899-1),AA1898,"")</f>
        <v/>
      </c>
      <c r="AD1899" s="0" t="str">
        <f aca="false">IF(Y1899=1,"",IF(AND(Z1899=1,AB1899&lt;&gt;1),1,0))</f>
        <v/>
      </c>
      <c r="AE1899" s="0" t="str">
        <f aca="false">IF(Y1899=1,"",IF(AND(AA1899=1,AC1899&lt;&gt;1),1,0))</f>
        <v/>
      </c>
      <c r="AF1899" s="45" t="str">
        <f aca="false">IF(AND(E1899&gt;0,Y1899&lt;1,NOT(AND(C1900=C1899,Y1900=Y1899+1))),INDEX(DATAS,Y1899+1),"")</f>
        <v/>
      </c>
      <c r="AG1899" s="45" t="str">
        <f aca="false">IF(AND(AA1899=1,Y1899&lt;1),IF(AND(C1900=C1899,Y1900=Y1899+1),IF(AA1900=1,"",INDEX(DATAS,Y1899+1)),INDEX(DATAS,Y1899+1)),"")</f>
        <v/>
      </c>
    </row>
    <row r="1900" customFormat="false" ht="15" hidden="false" customHeight="false" outlineLevel="0" collapsed="false">
      <c r="A1900" s="45" t="n">
        <v>46309</v>
      </c>
      <c r="B1900" s="0" t="n">
        <v>1</v>
      </c>
      <c r="C1900" s="0" t="n">
        <v>6131</v>
      </c>
      <c r="D1900" s="0" t="n">
        <v>16</v>
      </c>
      <c r="E1900" s="0" t="n">
        <v>1</v>
      </c>
      <c r="F1900" s="39" t="s">
        <v>1071</v>
      </c>
      <c r="G1900" s="0" t="n">
        <v>34.9</v>
      </c>
      <c r="H1900" s="0" t="n">
        <v>33</v>
      </c>
      <c r="I1900" s="39" t="s">
        <v>118</v>
      </c>
      <c r="J1900" s="0" t="n">
        <v>16</v>
      </c>
      <c r="R1900" s="0" t="n">
        <v>3293</v>
      </c>
      <c r="S1900" s="0" t="n">
        <v>6621</v>
      </c>
      <c r="U1900" s="0" t="n">
        <v>668</v>
      </c>
      <c r="V1900" s="0" t="n">
        <v>0</v>
      </c>
      <c r="W1900" s="39" t="n">
        <f aca="false">IF(I1900="Male",0,1)</f>
        <v>1</v>
      </c>
      <c r="X1900" s="39" t="n">
        <f aca="false">IF(OR(I1900="DNB",I1900="Dry DNB"),1,0)</f>
        <v>0</v>
      </c>
      <c r="Y1900" s="39" t="n">
        <f aca="false">MATCH(A1900,DATAS,0)</f>
        <v>1</v>
      </c>
      <c r="Z1900" s="39" t="n">
        <f aca="false">IF(AND(E1900&gt;0,OR(AND(B1900&gt;=1,B1900&lt;=6),B1900=10)),1,0)</f>
        <v>1</v>
      </c>
      <c r="AA1900" s="39" t="n">
        <f aca="false">IF(AND(E1900&gt;0,B1900=10),1,0)</f>
        <v>0</v>
      </c>
      <c r="AB1900" s="0" t="str">
        <f aca="false">IF(AND(C1899=C1900,Y1899=Y1900-1),Z1899,"")</f>
        <v/>
      </c>
      <c r="AC1900" s="0" t="str">
        <f aca="false">IF(AND(C1899=C1900,Y1899=Y1900-1),AA1899,"")</f>
        <v/>
      </c>
      <c r="AD1900" s="0" t="str">
        <f aca="false">IF(Y1900=1,"",IF(AND(Z1900=1,AB1900&lt;&gt;1),1,0))</f>
        <v/>
      </c>
      <c r="AE1900" s="0" t="str">
        <f aca="false">IF(Y1900=1,"",IF(AND(AA1900=1,AC1900&lt;&gt;1),1,0))</f>
        <v/>
      </c>
      <c r="AF1900" s="45" t="str">
        <f aca="false">IF(AND(E1900&gt;0,Y1900&lt;1,NOT(AND(C1901=C1900,Y1901=Y1900+1))),INDEX(DATAS,Y1900+1),"")</f>
        <v/>
      </c>
      <c r="AG1900" s="45" t="str">
        <f aca="false">IF(AND(AA1900=1,Y1900&lt;1),IF(AND(C1901=C1900,Y1901=Y1900+1),IF(AA1901=1,"",INDEX(DATAS,Y1900+1)),INDEX(DATAS,Y1900+1)),"")</f>
        <v/>
      </c>
    </row>
    <row r="1901" customFormat="false" ht="15" hidden="false" customHeight="false" outlineLevel="0" collapsed="false">
      <c r="A1901" s="45" t="n">
        <v>46309</v>
      </c>
      <c r="B1901" s="0" t="n">
        <v>8</v>
      </c>
      <c r="C1901" s="0" t="n">
        <v>6132</v>
      </c>
      <c r="E1901" s="0" t="n">
        <v>0</v>
      </c>
      <c r="F1901" s="39" t="s">
        <v>1072</v>
      </c>
      <c r="I1901" s="39" t="s">
        <v>109</v>
      </c>
      <c r="L1901" s="0" t="n">
        <v>231</v>
      </c>
      <c r="U1901" s="0" t="n">
        <v>667</v>
      </c>
      <c r="V1901" s="0" t="n">
        <v>3</v>
      </c>
      <c r="W1901" s="39" t="n">
        <f aca="false">IF(I1901="Male",0,1)</f>
        <v>1</v>
      </c>
      <c r="X1901" s="39" t="n">
        <f aca="false">IF(OR(I1901="DNB",I1901="Dry DNB"),1,0)</f>
        <v>0</v>
      </c>
      <c r="Y1901" s="39" t="n">
        <f aca="false">MATCH(A1901,DATAS,0)</f>
        <v>1</v>
      </c>
      <c r="Z1901" s="39" t="n">
        <f aca="false">IF(AND(E1901&gt;0,OR(AND(B1901&gt;=1,B1901&lt;=6),B1901=10)),1,0)</f>
        <v>0</v>
      </c>
      <c r="AA1901" s="39" t="n">
        <f aca="false">IF(AND(E1901&gt;0,B1901=10),1,0)</f>
        <v>0</v>
      </c>
      <c r="AB1901" s="0" t="str">
        <f aca="false">IF(AND(C1900=C1901,Y1900=Y1901-1),Z1900,"")</f>
        <v/>
      </c>
      <c r="AC1901" s="0" t="str">
        <f aca="false">IF(AND(C1900=C1901,Y1900=Y1901-1),AA1900,"")</f>
        <v/>
      </c>
      <c r="AD1901" s="0" t="str">
        <f aca="false">IF(Y1901=1,"",IF(AND(Z1901=1,AB1901&lt;&gt;1),1,0))</f>
        <v/>
      </c>
      <c r="AE1901" s="0" t="str">
        <f aca="false">IF(Y1901=1,"",IF(AND(AA1901=1,AC1901&lt;&gt;1),1,0))</f>
        <v/>
      </c>
      <c r="AF1901" s="45" t="str">
        <f aca="false">IF(AND(E1901&gt;0,Y1901&lt;1,NOT(AND(C1902=C1901,Y1902=Y1901+1))),INDEX(DATAS,Y1901+1),"")</f>
        <v/>
      </c>
      <c r="AG1901" s="45" t="str">
        <f aca="false">IF(AND(AA1901=1,Y1901&lt;1),IF(AND(C1902=C1901,Y1902=Y1901+1),IF(AA1902=1,"",INDEX(DATAS,Y1901+1)),INDEX(DATAS,Y1901+1)),"")</f>
        <v/>
      </c>
    </row>
    <row r="1902" customFormat="false" ht="15" hidden="false" customHeight="false" outlineLevel="0" collapsed="false">
      <c r="A1902" s="45" t="n">
        <v>46309</v>
      </c>
      <c r="B1902" s="0" t="n">
        <v>14</v>
      </c>
      <c r="C1902" s="0" t="n">
        <v>6134</v>
      </c>
      <c r="E1902" s="0" t="n">
        <v>0</v>
      </c>
      <c r="F1902" s="39" t="s">
        <v>1072</v>
      </c>
      <c r="I1902" s="39" t="s">
        <v>109</v>
      </c>
      <c r="L1902" s="0" t="n">
        <v>256</v>
      </c>
      <c r="U1902" s="0" t="n">
        <v>667</v>
      </c>
      <c r="V1902" s="0" t="n">
        <v>3</v>
      </c>
      <c r="W1902" s="39" t="n">
        <f aca="false">IF(I1902="Male",0,1)</f>
        <v>1</v>
      </c>
      <c r="X1902" s="39" t="n">
        <f aca="false">IF(OR(I1902="DNB",I1902="Dry DNB"),1,0)</f>
        <v>0</v>
      </c>
      <c r="Y1902" s="39" t="n">
        <f aca="false">MATCH(A1902,DATAS,0)</f>
        <v>1</v>
      </c>
      <c r="Z1902" s="39" t="n">
        <f aca="false">IF(AND(E1902&gt;0,OR(AND(B1902&gt;=1,B1902&lt;=6),B1902=10)),1,0)</f>
        <v>0</v>
      </c>
      <c r="AA1902" s="39" t="n">
        <f aca="false">IF(AND(E1902&gt;0,B1902=10),1,0)</f>
        <v>0</v>
      </c>
      <c r="AB1902" s="0" t="str">
        <f aca="false">IF(AND(C1901=C1902,Y1901=Y1902-1),Z1901,"")</f>
        <v/>
      </c>
      <c r="AC1902" s="0" t="str">
        <f aca="false">IF(AND(C1901=C1902,Y1901=Y1902-1),AA1901,"")</f>
        <v/>
      </c>
      <c r="AD1902" s="0" t="str">
        <f aca="false">IF(Y1902=1,"",IF(AND(Z1902=1,AB1902&lt;&gt;1),1,0))</f>
        <v/>
      </c>
      <c r="AE1902" s="0" t="str">
        <f aca="false">IF(Y1902=1,"",IF(AND(AA1902=1,AC1902&lt;&gt;1),1,0))</f>
        <v/>
      </c>
      <c r="AF1902" s="45" t="str">
        <f aca="false">IF(AND(E1902&gt;0,Y1902&lt;1,NOT(AND(C1903=C1902,Y1903=Y1902+1))),INDEX(DATAS,Y1902+1),"")</f>
        <v/>
      </c>
      <c r="AG1902" s="45" t="str">
        <f aca="false">IF(AND(AA1902=1,Y1902&lt;1),IF(AND(C1903=C1902,Y1903=Y1902+1),IF(AA1903=1,"",INDEX(DATAS,Y1902+1)),INDEX(DATAS,Y1902+1)),"")</f>
        <v/>
      </c>
    </row>
    <row r="1903" customFormat="false" ht="15" hidden="false" customHeight="false" outlineLevel="0" collapsed="false">
      <c r="A1903" s="45" t="n">
        <v>46309</v>
      </c>
      <c r="B1903" s="0" t="n">
        <v>14</v>
      </c>
      <c r="C1903" s="0" t="n">
        <v>6135</v>
      </c>
      <c r="E1903" s="0" t="n">
        <v>0</v>
      </c>
      <c r="F1903" s="39" t="s">
        <v>1072</v>
      </c>
      <c r="I1903" s="39" t="s">
        <v>109</v>
      </c>
      <c r="L1903" s="0" t="n">
        <v>280</v>
      </c>
      <c r="U1903" s="0" t="n">
        <v>667</v>
      </c>
      <c r="V1903" s="0" t="n">
        <v>1</v>
      </c>
      <c r="W1903" s="39" t="n">
        <f aca="false">IF(I1903="Male",0,1)</f>
        <v>1</v>
      </c>
      <c r="X1903" s="39" t="n">
        <f aca="false">IF(OR(I1903="DNB",I1903="Dry DNB"),1,0)</f>
        <v>0</v>
      </c>
      <c r="Y1903" s="39" t="n">
        <f aca="false">MATCH(A1903,DATAS,0)</f>
        <v>1</v>
      </c>
      <c r="Z1903" s="39" t="n">
        <f aca="false">IF(AND(E1903&gt;0,OR(AND(B1903&gt;=1,B1903&lt;=6),B1903=10)),1,0)</f>
        <v>0</v>
      </c>
      <c r="AA1903" s="39" t="n">
        <f aca="false">IF(AND(E1903&gt;0,B1903=10),1,0)</f>
        <v>0</v>
      </c>
      <c r="AB1903" s="0" t="str">
        <f aca="false">IF(AND(C1902=C1903,Y1902=Y1903-1),Z1902,"")</f>
        <v/>
      </c>
      <c r="AC1903" s="0" t="str">
        <f aca="false">IF(AND(C1902=C1903,Y1902=Y1903-1),AA1902,"")</f>
        <v/>
      </c>
      <c r="AD1903" s="0" t="str">
        <f aca="false">IF(Y1903=1,"",IF(AND(Z1903=1,AB1903&lt;&gt;1),1,0))</f>
        <v/>
      </c>
      <c r="AE1903" s="0" t="str">
        <f aca="false">IF(Y1903=1,"",IF(AND(AA1903=1,AC1903&lt;&gt;1),1,0))</f>
        <v/>
      </c>
      <c r="AF1903" s="45" t="str">
        <f aca="false">IF(AND(E1903&gt;0,Y1903&lt;1,NOT(AND(C1904=C1903,Y1904=Y1903+1))),INDEX(DATAS,Y1903+1),"")</f>
        <v/>
      </c>
      <c r="AG1903" s="45" t="str">
        <f aca="false">IF(AND(AA1903=1,Y1903&lt;1),IF(AND(C1904=C1903,Y1904=Y1903+1),IF(AA1904=1,"",INDEX(DATAS,Y1903+1)),INDEX(DATAS,Y1903+1)),"")</f>
        <v/>
      </c>
    </row>
    <row r="1904" customFormat="false" ht="15" hidden="false" customHeight="false" outlineLevel="0" collapsed="false">
      <c r="A1904" s="45" t="n">
        <v>46309</v>
      </c>
      <c r="B1904" s="0" t="n">
        <v>1</v>
      </c>
      <c r="C1904" s="0" t="n">
        <v>6138</v>
      </c>
      <c r="D1904" s="0" t="n">
        <v>25</v>
      </c>
      <c r="E1904" s="0" t="n">
        <v>1</v>
      </c>
      <c r="F1904" s="39" t="s">
        <v>1073</v>
      </c>
      <c r="G1904" s="0" t="n">
        <v>40.6</v>
      </c>
      <c r="H1904" s="0" t="n">
        <v>41</v>
      </c>
      <c r="I1904" s="39" t="s">
        <v>118</v>
      </c>
      <c r="J1904" s="0" t="n">
        <v>25</v>
      </c>
      <c r="R1904" s="0" t="n">
        <v>3689</v>
      </c>
      <c r="S1904" s="0" t="n">
        <v>7415</v>
      </c>
      <c r="U1904" s="0" t="n">
        <v>666</v>
      </c>
      <c r="V1904" s="0" t="n">
        <v>0</v>
      </c>
      <c r="W1904" s="39" t="n">
        <f aca="false">IF(I1904="Male",0,1)</f>
        <v>1</v>
      </c>
      <c r="X1904" s="39" t="n">
        <f aca="false">IF(OR(I1904="DNB",I1904="Dry DNB"),1,0)</f>
        <v>0</v>
      </c>
      <c r="Y1904" s="39" t="n">
        <f aca="false">MATCH(A1904,DATAS,0)</f>
        <v>1</v>
      </c>
      <c r="Z1904" s="39" t="n">
        <f aca="false">IF(AND(E1904&gt;0,OR(AND(B1904&gt;=1,B1904&lt;=6),B1904=10)),1,0)</f>
        <v>1</v>
      </c>
      <c r="AA1904" s="39" t="n">
        <f aca="false">IF(AND(E1904&gt;0,B1904=10),1,0)</f>
        <v>0</v>
      </c>
      <c r="AB1904" s="0" t="str">
        <f aca="false">IF(AND(C1903=C1904,Y1903=Y1904-1),Z1903,"")</f>
        <v/>
      </c>
      <c r="AC1904" s="0" t="str">
        <f aca="false">IF(AND(C1903=C1904,Y1903=Y1904-1),AA1903,"")</f>
        <v/>
      </c>
      <c r="AD1904" s="0" t="str">
        <f aca="false">IF(Y1904=1,"",IF(AND(Z1904=1,AB1904&lt;&gt;1),1,0))</f>
        <v/>
      </c>
      <c r="AE1904" s="0" t="str">
        <f aca="false">IF(Y1904=1,"",IF(AND(AA1904=1,AC1904&lt;&gt;1),1,0))</f>
        <v/>
      </c>
      <c r="AF1904" s="45" t="str">
        <f aca="false">IF(AND(E1904&gt;0,Y1904&lt;1,NOT(AND(C1905=C1904,Y1905=Y1904+1))),INDEX(DATAS,Y1904+1),"")</f>
        <v/>
      </c>
      <c r="AG1904" s="45" t="str">
        <f aca="false">IF(AND(AA1904=1,Y1904&lt;1),IF(AND(C1905=C1904,Y1905=Y1904+1),IF(AA1905=1,"",INDEX(DATAS,Y1904+1)),INDEX(DATAS,Y1904+1)),"")</f>
        <v/>
      </c>
    </row>
    <row r="1905" customFormat="false" ht="15" hidden="false" customHeight="false" outlineLevel="0" collapsed="false">
      <c r="A1905" s="45" t="n">
        <v>46309</v>
      </c>
      <c r="B1905" s="0" t="n">
        <v>8</v>
      </c>
      <c r="C1905" s="0" t="n">
        <v>6139</v>
      </c>
      <c r="E1905" s="0" t="n">
        <v>0</v>
      </c>
      <c r="F1905" s="39" t="s">
        <v>1073</v>
      </c>
      <c r="I1905" s="39" t="s">
        <v>109</v>
      </c>
      <c r="L1905" s="0" t="n">
        <v>212</v>
      </c>
      <c r="U1905" s="0" t="n">
        <v>666</v>
      </c>
      <c r="V1905" s="0" t="n">
        <v>5</v>
      </c>
      <c r="W1905" s="39" t="n">
        <f aca="false">IF(I1905="Male",0,1)</f>
        <v>1</v>
      </c>
      <c r="X1905" s="39" t="n">
        <f aca="false">IF(OR(I1905="DNB",I1905="Dry DNB"),1,0)</f>
        <v>0</v>
      </c>
      <c r="Y1905" s="39" t="n">
        <f aca="false">MATCH(A1905,DATAS,0)</f>
        <v>1</v>
      </c>
      <c r="Z1905" s="39" t="n">
        <f aca="false">IF(AND(E1905&gt;0,OR(AND(B1905&gt;=1,B1905&lt;=6),B1905=10)),1,0)</f>
        <v>0</v>
      </c>
      <c r="AA1905" s="39" t="n">
        <f aca="false">IF(AND(E1905&gt;0,B1905=10),1,0)</f>
        <v>0</v>
      </c>
      <c r="AB1905" s="0" t="str">
        <f aca="false">IF(AND(C1904=C1905,Y1904=Y1905-1),Z1904,"")</f>
        <v/>
      </c>
      <c r="AC1905" s="0" t="str">
        <f aca="false">IF(AND(C1904=C1905,Y1904=Y1905-1),AA1904,"")</f>
        <v/>
      </c>
      <c r="AD1905" s="0" t="str">
        <f aca="false">IF(Y1905=1,"",IF(AND(Z1905=1,AB1905&lt;&gt;1),1,0))</f>
        <v/>
      </c>
      <c r="AE1905" s="0" t="str">
        <f aca="false">IF(Y1905=1,"",IF(AND(AA1905=1,AC1905&lt;&gt;1),1,0))</f>
        <v/>
      </c>
      <c r="AF1905" s="45" t="str">
        <f aca="false">IF(AND(E1905&gt;0,Y1905&lt;1,NOT(AND(C1906=C1905,Y1906=Y1905+1))),INDEX(DATAS,Y1905+1),"")</f>
        <v/>
      </c>
      <c r="AG1905" s="45" t="str">
        <f aca="false">IF(AND(AA1905=1,Y1905&lt;1),IF(AND(C1906=C1905,Y1906=Y1905+1),IF(AA1906=1,"",INDEX(DATAS,Y1905+1)),INDEX(DATAS,Y1905+1)),"")</f>
        <v/>
      </c>
    </row>
    <row r="1906" customFormat="false" ht="15" hidden="false" customHeight="false" outlineLevel="0" collapsed="false">
      <c r="A1906" s="45" t="n">
        <v>46309</v>
      </c>
      <c r="B1906" s="0" t="n">
        <v>8</v>
      </c>
      <c r="C1906" s="0" t="n">
        <v>6140</v>
      </c>
      <c r="E1906" s="0" t="n">
        <v>0</v>
      </c>
      <c r="F1906" s="39" t="s">
        <v>1073</v>
      </c>
      <c r="I1906" s="39" t="s">
        <v>109</v>
      </c>
      <c r="L1906" s="0" t="n">
        <v>216</v>
      </c>
      <c r="U1906" s="0" t="n">
        <v>666</v>
      </c>
      <c r="V1906" s="0" t="n">
        <v>4</v>
      </c>
      <c r="W1906" s="39" t="n">
        <f aca="false">IF(I1906="Male",0,1)</f>
        <v>1</v>
      </c>
      <c r="X1906" s="39" t="n">
        <f aca="false">IF(OR(I1906="DNB",I1906="Dry DNB"),1,0)</f>
        <v>0</v>
      </c>
      <c r="Y1906" s="39" t="n">
        <f aca="false">MATCH(A1906,DATAS,0)</f>
        <v>1</v>
      </c>
      <c r="Z1906" s="39" t="n">
        <f aca="false">IF(AND(E1906&gt;0,OR(AND(B1906&gt;=1,B1906&lt;=6),B1906=10)),1,0)</f>
        <v>0</v>
      </c>
      <c r="AA1906" s="39" t="n">
        <f aca="false">IF(AND(E1906&gt;0,B1906=10),1,0)</f>
        <v>0</v>
      </c>
      <c r="AB1906" s="0" t="str">
        <f aca="false">IF(AND(C1905=C1906,Y1905=Y1906-1),Z1905,"")</f>
        <v/>
      </c>
      <c r="AC1906" s="0" t="str">
        <f aca="false">IF(AND(C1905=C1906,Y1905=Y1906-1),AA1905,"")</f>
        <v/>
      </c>
      <c r="AD1906" s="0" t="str">
        <f aca="false">IF(Y1906=1,"",IF(AND(Z1906=1,AB1906&lt;&gt;1),1,0))</f>
        <v/>
      </c>
      <c r="AE1906" s="0" t="str">
        <f aca="false">IF(Y1906=1,"",IF(AND(AA1906=1,AC1906&lt;&gt;1),1,0))</f>
        <v/>
      </c>
      <c r="AF1906" s="45" t="str">
        <f aca="false">IF(AND(E1906&gt;0,Y1906&lt;1,NOT(AND(C1907=C1906,Y1907=Y1906+1))),INDEX(DATAS,Y1906+1),"")</f>
        <v/>
      </c>
      <c r="AG1906" s="45" t="str">
        <f aca="false">IF(AND(AA1906=1,Y1906&lt;1),IF(AND(C1907=C1906,Y1907=Y1906+1),IF(AA1907=1,"",INDEX(DATAS,Y1906+1)),INDEX(DATAS,Y1906+1)),"")</f>
        <v/>
      </c>
    </row>
    <row r="1907" customFormat="false" ht="15" hidden="false" customHeight="false" outlineLevel="0" collapsed="false">
      <c r="A1907" s="45" t="n">
        <v>46309</v>
      </c>
      <c r="B1907" s="0" t="n">
        <v>8</v>
      </c>
      <c r="C1907" s="0" t="n">
        <v>6142</v>
      </c>
      <c r="E1907" s="0" t="n">
        <v>0</v>
      </c>
      <c r="F1907" s="39" t="s">
        <v>1073</v>
      </c>
      <c r="I1907" s="39" t="s">
        <v>109</v>
      </c>
      <c r="L1907" s="0" t="n">
        <v>175</v>
      </c>
      <c r="U1907" s="0" t="n">
        <v>666</v>
      </c>
      <c r="V1907" s="0" t="n">
        <v>6</v>
      </c>
      <c r="W1907" s="39" t="n">
        <f aca="false">IF(I1907="Male",0,1)</f>
        <v>1</v>
      </c>
      <c r="X1907" s="39" t="n">
        <f aca="false">IF(OR(I1907="DNB",I1907="Dry DNB"),1,0)</f>
        <v>0</v>
      </c>
      <c r="Y1907" s="39" t="n">
        <f aca="false">MATCH(A1907,DATAS,0)</f>
        <v>1</v>
      </c>
      <c r="Z1907" s="39" t="n">
        <f aca="false">IF(AND(E1907&gt;0,OR(AND(B1907&gt;=1,B1907&lt;=6),B1907=10)),1,0)</f>
        <v>0</v>
      </c>
      <c r="AA1907" s="39" t="n">
        <f aca="false">IF(AND(E1907&gt;0,B1907=10),1,0)</f>
        <v>0</v>
      </c>
      <c r="AB1907" s="0" t="str">
        <f aca="false">IF(AND(C1906=C1907,Y1906=Y1907-1),Z1906,"")</f>
        <v/>
      </c>
      <c r="AC1907" s="0" t="str">
        <f aca="false">IF(AND(C1906=C1907,Y1906=Y1907-1),AA1906,"")</f>
        <v/>
      </c>
      <c r="AD1907" s="0" t="str">
        <f aca="false">IF(Y1907=1,"",IF(AND(Z1907=1,AB1907&lt;&gt;1),1,0))</f>
        <v/>
      </c>
      <c r="AE1907" s="0" t="str">
        <f aca="false">IF(Y1907=1,"",IF(AND(AA1907=1,AC1907&lt;&gt;1),1,0))</f>
        <v/>
      </c>
      <c r="AF1907" s="45" t="str">
        <f aca="false">IF(AND(E1907&gt;0,Y1907&lt;1,NOT(AND(C1908=C1907,Y1908=Y1907+1))),INDEX(DATAS,Y1907+1),"")</f>
        <v/>
      </c>
      <c r="AG1907" s="45" t="str">
        <f aca="false">IF(AND(AA1907=1,Y1907&lt;1),IF(AND(C1908=C1907,Y1908=Y1907+1),IF(AA1908=1,"",INDEX(DATAS,Y1907+1)),INDEX(DATAS,Y1907+1)),"")</f>
        <v/>
      </c>
    </row>
    <row r="1908" customFormat="false" ht="15" hidden="false" customHeight="false" outlineLevel="0" collapsed="false">
      <c r="A1908" s="45" t="n">
        <v>46309</v>
      </c>
      <c r="B1908" s="0" t="n">
        <v>1</v>
      </c>
      <c r="C1908" s="0" t="n">
        <v>6143</v>
      </c>
      <c r="D1908" s="0" t="n">
        <v>21</v>
      </c>
      <c r="E1908" s="0" t="n">
        <v>1</v>
      </c>
      <c r="F1908" s="39" t="s">
        <v>1074</v>
      </c>
      <c r="G1908" s="0" t="n">
        <v>31.8</v>
      </c>
      <c r="H1908" s="0" t="n">
        <v>30</v>
      </c>
      <c r="I1908" s="39" t="s">
        <v>118</v>
      </c>
      <c r="J1908" s="0" t="n">
        <v>21</v>
      </c>
      <c r="R1908" s="0" t="n">
        <v>2879</v>
      </c>
      <c r="S1908" s="0" t="n">
        <v>5788</v>
      </c>
      <c r="U1908" s="0" t="n">
        <v>665</v>
      </c>
      <c r="V1908" s="0" t="n">
        <v>0</v>
      </c>
      <c r="W1908" s="39" t="n">
        <f aca="false">IF(I1908="Male",0,1)</f>
        <v>1</v>
      </c>
      <c r="X1908" s="39" t="n">
        <f aca="false">IF(OR(I1908="DNB",I1908="Dry DNB"),1,0)</f>
        <v>0</v>
      </c>
      <c r="Y1908" s="39" t="n">
        <f aca="false">MATCH(A1908,DATAS,0)</f>
        <v>1</v>
      </c>
      <c r="Z1908" s="39" t="n">
        <f aca="false">IF(AND(E1908&gt;0,OR(AND(B1908&gt;=1,B1908&lt;=6),B1908=10)),1,0)</f>
        <v>1</v>
      </c>
      <c r="AA1908" s="39" t="n">
        <f aca="false">IF(AND(E1908&gt;0,B1908=10),1,0)</f>
        <v>0</v>
      </c>
      <c r="AB1908" s="0" t="str">
        <f aca="false">IF(AND(C1907=C1908,Y1907=Y1908-1),Z1907,"")</f>
        <v/>
      </c>
      <c r="AC1908" s="0" t="str">
        <f aca="false">IF(AND(C1907=C1908,Y1907=Y1908-1),AA1907,"")</f>
        <v/>
      </c>
      <c r="AD1908" s="0" t="str">
        <f aca="false">IF(Y1908=1,"",IF(AND(Z1908=1,AB1908&lt;&gt;1),1,0))</f>
        <v/>
      </c>
      <c r="AE1908" s="0" t="str">
        <f aca="false">IF(Y1908=1,"",IF(AND(AA1908=1,AC1908&lt;&gt;1),1,0))</f>
        <v/>
      </c>
      <c r="AF1908" s="45" t="str">
        <f aca="false">IF(AND(E1908&gt;0,Y1908&lt;1,NOT(AND(C1909=C1908,Y1909=Y1908+1))),INDEX(DATAS,Y1908+1),"")</f>
        <v/>
      </c>
      <c r="AG1908" s="45" t="str">
        <f aca="false">IF(AND(AA1908=1,Y1908&lt;1),IF(AND(C1909=C1908,Y1909=Y1908+1),IF(AA1909=1,"",INDEX(DATAS,Y1908+1)),INDEX(DATAS,Y1908+1)),"")</f>
        <v/>
      </c>
    </row>
    <row r="1909" customFormat="false" ht="15" hidden="false" customHeight="false" outlineLevel="0" collapsed="false">
      <c r="A1909" s="45" t="n">
        <v>46309</v>
      </c>
      <c r="B1909" s="0" t="n">
        <v>1</v>
      </c>
      <c r="C1909" s="0" t="n">
        <v>6145</v>
      </c>
      <c r="D1909" s="0" t="n">
        <v>20</v>
      </c>
      <c r="E1909" s="0" t="n">
        <v>1</v>
      </c>
      <c r="F1909" s="39" t="s">
        <v>1074</v>
      </c>
      <c r="G1909" s="0" t="n">
        <v>43.5</v>
      </c>
      <c r="H1909" s="0" t="n">
        <v>43</v>
      </c>
      <c r="I1909" s="39" t="s">
        <v>118</v>
      </c>
      <c r="J1909" s="0" t="n">
        <v>20</v>
      </c>
      <c r="R1909" s="0" t="n">
        <v>3740</v>
      </c>
      <c r="S1909" s="0" t="n">
        <v>7518</v>
      </c>
      <c r="U1909" s="0" t="n">
        <v>665</v>
      </c>
      <c r="V1909" s="0" t="n">
        <v>0</v>
      </c>
      <c r="W1909" s="39" t="n">
        <f aca="false">IF(I1909="Male",0,1)</f>
        <v>1</v>
      </c>
      <c r="X1909" s="39" t="n">
        <f aca="false">IF(OR(I1909="DNB",I1909="Dry DNB"),1,0)</f>
        <v>0</v>
      </c>
      <c r="Y1909" s="39" t="n">
        <f aca="false">MATCH(A1909,DATAS,0)</f>
        <v>1</v>
      </c>
      <c r="Z1909" s="39" t="n">
        <f aca="false">IF(AND(E1909&gt;0,OR(AND(B1909&gt;=1,B1909&lt;=6),B1909=10)),1,0)</f>
        <v>1</v>
      </c>
      <c r="AA1909" s="39" t="n">
        <f aca="false">IF(AND(E1909&gt;0,B1909=10),1,0)</f>
        <v>0</v>
      </c>
      <c r="AB1909" s="0" t="str">
        <f aca="false">IF(AND(C1908=C1909,Y1908=Y1909-1),Z1908,"")</f>
        <v/>
      </c>
      <c r="AC1909" s="0" t="str">
        <f aca="false">IF(AND(C1908=C1909,Y1908=Y1909-1),AA1908,"")</f>
        <v/>
      </c>
      <c r="AD1909" s="0" t="str">
        <f aca="false">IF(Y1909=1,"",IF(AND(Z1909=1,AB1909&lt;&gt;1),1,0))</f>
        <v/>
      </c>
      <c r="AE1909" s="0" t="str">
        <f aca="false">IF(Y1909=1,"",IF(AND(AA1909=1,AC1909&lt;&gt;1),1,0))</f>
        <v/>
      </c>
      <c r="AF1909" s="45" t="str">
        <f aca="false">IF(AND(E1909&gt;0,Y1909&lt;1,NOT(AND(C1910=C1909,Y1910=Y1909+1))),INDEX(DATAS,Y1909+1),"")</f>
        <v/>
      </c>
      <c r="AG1909" s="45" t="str">
        <f aca="false">IF(AND(AA1909=1,Y1909&lt;1),IF(AND(C1910=C1909,Y1910=Y1909+1),IF(AA1910=1,"",INDEX(DATAS,Y1909+1)),INDEX(DATAS,Y1909+1)),"")</f>
        <v/>
      </c>
    </row>
    <row r="1910" customFormat="false" ht="15" hidden="false" customHeight="false" outlineLevel="0" collapsed="false">
      <c r="A1910" s="45" t="n">
        <v>46309</v>
      </c>
      <c r="B1910" s="0" t="n">
        <v>8</v>
      </c>
      <c r="C1910" s="0" t="n">
        <v>6146</v>
      </c>
      <c r="E1910" s="0" t="n">
        <v>0</v>
      </c>
      <c r="F1910" s="39" t="s">
        <v>1074</v>
      </c>
      <c r="I1910" s="39" t="s">
        <v>109</v>
      </c>
      <c r="L1910" s="0" t="n">
        <v>201</v>
      </c>
      <c r="U1910" s="0" t="n">
        <v>665</v>
      </c>
      <c r="V1910" s="0" t="n">
        <v>4</v>
      </c>
      <c r="W1910" s="39" t="n">
        <f aca="false">IF(I1910="Male",0,1)</f>
        <v>1</v>
      </c>
      <c r="X1910" s="39" t="n">
        <f aca="false">IF(OR(I1910="DNB",I1910="Dry DNB"),1,0)</f>
        <v>0</v>
      </c>
      <c r="Y1910" s="39" t="n">
        <f aca="false">MATCH(A1910,DATAS,0)</f>
        <v>1</v>
      </c>
      <c r="Z1910" s="39" t="n">
        <f aca="false">IF(AND(E1910&gt;0,OR(AND(B1910&gt;=1,B1910&lt;=6),B1910=10)),1,0)</f>
        <v>0</v>
      </c>
      <c r="AA1910" s="39" t="n">
        <f aca="false">IF(AND(E1910&gt;0,B1910=10),1,0)</f>
        <v>0</v>
      </c>
      <c r="AB1910" s="0" t="str">
        <f aca="false">IF(AND(C1909=C1910,Y1909=Y1910-1),Z1909,"")</f>
        <v/>
      </c>
      <c r="AC1910" s="0" t="str">
        <f aca="false">IF(AND(C1909=C1910,Y1909=Y1910-1),AA1909,"")</f>
        <v/>
      </c>
      <c r="AD1910" s="0" t="str">
        <f aca="false">IF(Y1910=1,"",IF(AND(Z1910=1,AB1910&lt;&gt;1),1,0))</f>
        <v/>
      </c>
      <c r="AE1910" s="0" t="str">
        <f aca="false">IF(Y1910=1,"",IF(AND(AA1910=1,AC1910&lt;&gt;1),1,0))</f>
        <v/>
      </c>
      <c r="AF1910" s="45" t="str">
        <f aca="false">IF(AND(E1910&gt;0,Y1910&lt;1,NOT(AND(C1911=C1910,Y1911=Y1910+1))),INDEX(DATAS,Y1910+1),"")</f>
        <v/>
      </c>
      <c r="AG1910" s="45" t="str">
        <f aca="false">IF(AND(AA1910=1,Y1910&lt;1),IF(AND(C1911=C1910,Y1911=Y1910+1),IF(AA1911=1,"",INDEX(DATAS,Y1910+1)),INDEX(DATAS,Y1910+1)),"")</f>
        <v/>
      </c>
    </row>
    <row r="1911" customFormat="false" ht="15" hidden="false" customHeight="false" outlineLevel="0" collapsed="false">
      <c r="A1911" s="45" t="n">
        <v>46309</v>
      </c>
      <c r="B1911" s="0" t="n">
        <v>1</v>
      </c>
      <c r="C1911" s="0" t="n">
        <v>6147</v>
      </c>
      <c r="D1911" s="0" t="n">
        <v>26</v>
      </c>
      <c r="E1911" s="0" t="n">
        <v>1</v>
      </c>
      <c r="F1911" s="39" t="s">
        <v>1074</v>
      </c>
      <c r="G1911" s="0" t="n">
        <v>29.6</v>
      </c>
      <c r="H1911" s="0" t="n">
        <v>29</v>
      </c>
      <c r="I1911" s="39" t="s">
        <v>118</v>
      </c>
      <c r="J1911" s="0" t="n">
        <v>26</v>
      </c>
      <c r="R1911" s="0" t="n">
        <v>2590</v>
      </c>
      <c r="S1911" s="0" t="n">
        <v>5208</v>
      </c>
      <c r="U1911" s="0" t="n">
        <v>665</v>
      </c>
      <c r="V1911" s="0" t="n">
        <v>0</v>
      </c>
      <c r="W1911" s="39" t="n">
        <f aca="false">IF(I1911="Male",0,1)</f>
        <v>1</v>
      </c>
      <c r="X1911" s="39" t="n">
        <f aca="false">IF(OR(I1911="DNB",I1911="Dry DNB"),1,0)</f>
        <v>0</v>
      </c>
      <c r="Y1911" s="39" t="n">
        <f aca="false">MATCH(A1911,DATAS,0)</f>
        <v>1</v>
      </c>
      <c r="Z1911" s="39" t="n">
        <f aca="false">IF(AND(E1911&gt;0,OR(AND(B1911&gt;=1,B1911&lt;=6),B1911=10)),1,0)</f>
        <v>1</v>
      </c>
      <c r="AA1911" s="39" t="n">
        <f aca="false">IF(AND(E1911&gt;0,B1911=10),1,0)</f>
        <v>0</v>
      </c>
      <c r="AB1911" s="0" t="str">
        <f aca="false">IF(AND(C1910=C1911,Y1910=Y1911-1),Z1910,"")</f>
        <v/>
      </c>
      <c r="AC1911" s="0" t="str">
        <f aca="false">IF(AND(C1910=C1911,Y1910=Y1911-1),AA1910,"")</f>
        <v/>
      </c>
      <c r="AD1911" s="0" t="str">
        <f aca="false">IF(Y1911=1,"",IF(AND(Z1911=1,AB1911&lt;&gt;1),1,0))</f>
        <v/>
      </c>
      <c r="AE1911" s="0" t="str">
        <f aca="false">IF(Y1911=1,"",IF(AND(AA1911=1,AC1911&lt;&gt;1),1,0))</f>
        <v/>
      </c>
      <c r="AF1911" s="45" t="str">
        <f aca="false">IF(AND(E1911&gt;0,Y1911&lt;1,NOT(AND(C1912=C1911,Y1912=Y1911+1))),INDEX(DATAS,Y1911+1),"")</f>
        <v/>
      </c>
      <c r="AG1911" s="45" t="str">
        <f aca="false">IF(AND(AA1911=1,Y1911&lt;1),IF(AND(C1912=C1911,Y1912=Y1911+1),IF(AA1912=1,"",INDEX(DATAS,Y1911+1)),INDEX(DATAS,Y1911+1)),"")</f>
        <v/>
      </c>
    </row>
    <row r="1912" customFormat="false" ht="15" hidden="false" customHeight="false" outlineLevel="0" collapsed="false">
      <c r="A1912" s="45" t="n">
        <v>46309</v>
      </c>
      <c r="B1912" s="0" t="n">
        <v>8</v>
      </c>
      <c r="C1912" s="0" t="n">
        <v>6148</v>
      </c>
      <c r="E1912" s="0" t="n">
        <v>0</v>
      </c>
      <c r="F1912" s="39" t="s">
        <v>1074</v>
      </c>
      <c r="I1912" s="39" t="s">
        <v>109</v>
      </c>
      <c r="L1912" s="0" t="n">
        <v>232</v>
      </c>
      <c r="U1912" s="0" t="n">
        <v>665</v>
      </c>
      <c r="V1912" s="0" t="n">
        <v>4</v>
      </c>
      <c r="W1912" s="39" t="n">
        <f aca="false">IF(I1912="Male",0,1)</f>
        <v>1</v>
      </c>
      <c r="X1912" s="39" t="n">
        <f aca="false">IF(OR(I1912="DNB",I1912="Dry DNB"),1,0)</f>
        <v>0</v>
      </c>
      <c r="Y1912" s="39" t="n">
        <f aca="false">MATCH(A1912,DATAS,0)</f>
        <v>1</v>
      </c>
      <c r="Z1912" s="39" t="n">
        <f aca="false">IF(AND(E1912&gt;0,OR(AND(B1912&gt;=1,B1912&lt;=6),B1912=10)),1,0)</f>
        <v>0</v>
      </c>
      <c r="AA1912" s="39" t="n">
        <f aca="false">IF(AND(E1912&gt;0,B1912=10),1,0)</f>
        <v>0</v>
      </c>
      <c r="AB1912" s="0" t="str">
        <f aca="false">IF(AND(C1911=C1912,Y1911=Y1912-1),Z1911,"")</f>
        <v/>
      </c>
      <c r="AC1912" s="0" t="str">
        <f aca="false">IF(AND(C1911=C1912,Y1911=Y1912-1),AA1911,"")</f>
        <v/>
      </c>
      <c r="AD1912" s="0" t="str">
        <f aca="false">IF(Y1912=1,"",IF(AND(Z1912=1,AB1912&lt;&gt;1),1,0))</f>
        <v/>
      </c>
      <c r="AE1912" s="0" t="str">
        <f aca="false">IF(Y1912=1,"",IF(AND(AA1912=1,AC1912&lt;&gt;1),1,0))</f>
        <v/>
      </c>
      <c r="AF1912" s="45" t="str">
        <f aca="false">IF(AND(E1912&gt;0,Y1912&lt;1,NOT(AND(C1913=C1912,Y1913=Y1912+1))),INDEX(DATAS,Y1912+1),"")</f>
        <v/>
      </c>
      <c r="AG1912" s="45" t="str">
        <f aca="false">IF(AND(AA1912=1,Y1912&lt;1),IF(AND(C1913=C1912,Y1913=Y1912+1),IF(AA1913=1,"",INDEX(DATAS,Y1912+1)),INDEX(DATAS,Y1912+1)),"")</f>
        <v/>
      </c>
    </row>
    <row r="1913" customFormat="false" ht="15" hidden="false" customHeight="false" outlineLevel="0" collapsed="false">
      <c r="A1913" s="45" t="n">
        <v>46309</v>
      </c>
      <c r="B1913" s="0" t="n">
        <v>1</v>
      </c>
      <c r="C1913" s="0" t="n">
        <v>6149</v>
      </c>
      <c r="D1913" s="0" t="n">
        <v>6</v>
      </c>
      <c r="E1913" s="0" t="n">
        <v>1</v>
      </c>
      <c r="F1913" s="39" t="s">
        <v>1075</v>
      </c>
      <c r="I1913" s="39" t="s">
        <v>118</v>
      </c>
      <c r="J1913" s="0" t="n">
        <v>6</v>
      </c>
      <c r="U1913" s="0" t="n">
        <v>664</v>
      </c>
      <c r="V1913" s="0" t="n">
        <v>0</v>
      </c>
      <c r="W1913" s="39" t="n">
        <f aca="false">IF(I1913="Male",0,1)</f>
        <v>1</v>
      </c>
      <c r="X1913" s="39" t="n">
        <f aca="false">IF(OR(I1913="DNB",I1913="Dry DNB"),1,0)</f>
        <v>0</v>
      </c>
      <c r="Y1913" s="39" t="n">
        <f aca="false">MATCH(A1913,DATAS,0)</f>
        <v>1</v>
      </c>
      <c r="Z1913" s="39" t="n">
        <f aca="false">IF(AND(E1913&gt;0,OR(AND(B1913&gt;=1,B1913&lt;=6),B1913=10)),1,0)</f>
        <v>1</v>
      </c>
      <c r="AA1913" s="39" t="n">
        <f aca="false">IF(AND(E1913&gt;0,B1913=10),1,0)</f>
        <v>0</v>
      </c>
      <c r="AB1913" s="0" t="str">
        <f aca="false">IF(AND(C1912=C1913,Y1912=Y1913-1),Z1912,"")</f>
        <v/>
      </c>
      <c r="AC1913" s="0" t="str">
        <f aca="false">IF(AND(C1912=C1913,Y1912=Y1913-1),AA1912,"")</f>
        <v/>
      </c>
      <c r="AD1913" s="0" t="str">
        <f aca="false">IF(Y1913=1,"",IF(AND(Z1913=1,AB1913&lt;&gt;1),1,0))</f>
        <v/>
      </c>
      <c r="AE1913" s="0" t="str">
        <f aca="false">IF(Y1913=1,"",IF(AND(AA1913=1,AC1913&lt;&gt;1),1,0))</f>
        <v/>
      </c>
      <c r="AF1913" s="45" t="str">
        <f aca="false">IF(AND(E1913&gt;0,Y1913&lt;1,NOT(AND(C1914=C1913,Y1914=Y1913+1))),INDEX(DATAS,Y1913+1),"")</f>
        <v/>
      </c>
      <c r="AG1913" s="45" t="str">
        <f aca="false">IF(AND(AA1913=1,Y1913&lt;1),IF(AND(C1914=C1913,Y1914=Y1913+1),IF(AA1914=1,"",INDEX(DATAS,Y1913+1)),INDEX(DATAS,Y1913+1)),"")</f>
        <v/>
      </c>
    </row>
    <row r="1914" customFormat="false" ht="15" hidden="false" customHeight="false" outlineLevel="0" collapsed="false">
      <c r="A1914" s="45" t="n">
        <v>46309</v>
      </c>
      <c r="B1914" s="0" t="n">
        <v>1</v>
      </c>
      <c r="C1914" s="0" t="n">
        <v>6150</v>
      </c>
      <c r="D1914" s="0" t="n">
        <v>21</v>
      </c>
      <c r="E1914" s="0" t="n">
        <v>1</v>
      </c>
      <c r="F1914" s="39" t="s">
        <v>1075</v>
      </c>
      <c r="G1914" s="0" t="n">
        <v>54.3</v>
      </c>
      <c r="H1914" s="0" t="n">
        <v>51</v>
      </c>
      <c r="I1914" s="39" t="s">
        <v>118</v>
      </c>
      <c r="J1914" s="0" t="n">
        <v>21</v>
      </c>
      <c r="R1914" s="0" t="n">
        <v>4225</v>
      </c>
      <c r="S1914" s="0" t="n">
        <v>8494</v>
      </c>
      <c r="U1914" s="0" t="n">
        <v>664</v>
      </c>
      <c r="V1914" s="0" t="n">
        <v>0</v>
      </c>
      <c r="W1914" s="39" t="n">
        <f aca="false">IF(I1914="Male",0,1)</f>
        <v>1</v>
      </c>
      <c r="X1914" s="39" t="n">
        <f aca="false">IF(OR(I1914="DNB",I1914="Dry DNB"),1,0)</f>
        <v>0</v>
      </c>
      <c r="Y1914" s="39" t="n">
        <f aca="false">MATCH(A1914,DATAS,0)</f>
        <v>1</v>
      </c>
      <c r="Z1914" s="39" t="n">
        <f aca="false">IF(AND(E1914&gt;0,OR(AND(B1914&gt;=1,B1914&lt;=6),B1914=10)),1,0)</f>
        <v>1</v>
      </c>
      <c r="AA1914" s="39" t="n">
        <f aca="false">IF(AND(E1914&gt;0,B1914=10),1,0)</f>
        <v>0</v>
      </c>
      <c r="AB1914" s="0" t="str">
        <f aca="false">IF(AND(C1913=C1914,Y1913=Y1914-1),Z1913,"")</f>
        <v/>
      </c>
      <c r="AC1914" s="0" t="str">
        <f aca="false">IF(AND(C1913=C1914,Y1913=Y1914-1),AA1913,"")</f>
        <v/>
      </c>
      <c r="AD1914" s="0" t="str">
        <f aca="false">IF(Y1914=1,"",IF(AND(Z1914=1,AB1914&lt;&gt;1),1,0))</f>
        <v/>
      </c>
      <c r="AE1914" s="0" t="str">
        <f aca="false">IF(Y1914=1,"",IF(AND(AA1914=1,AC1914&lt;&gt;1),1,0))</f>
        <v/>
      </c>
      <c r="AF1914" s="45" t="str">
        <f aca="false">IF(AND(E1914&gt;0,Y1914&lt;1,NOT(AND(C1915=C1914,Y1915=Y1914+1))),INDEX(DATAS,Y1914+1),"")</f>
        <v/>
      </c>
      <c r="AG1914" s="45" t="str">
        <f aca="false">IF(AND(AA1914=1,Y1914&lt;1),IF(AND(C1915=C1914,Y1915=Y1914+1),IF(AA1915=1,"",INDEX(DATAS,Y1914+1)),INDEX(DATAS,Y1914+1)),"")</f>
        <v/>
      </c>
    </row>
    <row r="1915" customFormat="false" ht="15" hidden="false" customHeight="false" outlineLevel="0" collapsed="false">
      <c r="A1915" s="45" t="n">
        <v>46309</v>
      </c>
      <c r="B1915" s="0" t="n">
        <v>14</v>
      </c>
      <c r="C1915" s="0" t="n">
        <v>6151</v>
      </c>
      <c r="E1915" s="0" t="n">
        <v>0</v>
      </c>
      <c r="F1915" s="39" t="s">
        <v>1075</v>
      </c>
      <c r="I1915" s="39" t="s">
        <v>109</v>
      </c>
      <c r="L1915" s="0" t="n">
        <v>273</v>
      </c>
      <c r="U1915" s="0" t="n">
        <v>664</v>
      </c>
      <c r="V1915" s="0" t="n">
        <v>1</v>
      </c>
      <c r="W1915" s="39" t="n">
        <f aca="false">IF(I1915="Male",0,1)</f>
        <v>1</v>
      </c>
      <c r="X1915" s="39" t="n">
        <f aca="false">IF(OR(I1915="DNB",I1915="Dry DNB"),1,0)</f>
        <v>0</v>
      </c>
      <c r="Y1915" s="39" t="n">
        <f aca="false">MATCH(A1915,DATAS,0)</f>
        <v>1</v>
      </c>
      <c r="Z1915" s="39" t="n">
        <f aca="false">IF(AND(E1915&gt;0,OR(AND(B1915&gt;=1,B1915&lt;=6),B1915=10)),1,0)</f>
        <v>0</v>
      </c>
      <c r="AA1915" s="39" t="n">
        <f aca="false">IF(AND(E1915&gt;0,B1915=10),1,0)</f>
        <v>0</v>
      </c>
      <c r="AB1915" s="0" t="str">
        <f aca="false">IF(AND(C1914=C1915,Y1914=Y1915-1),Z1914,"")</f>
        <v/>
      </c>
      <c r="AC1915" s="0" t="str">
        <f aca="false">IF(AND(C1914=C1915,Y1914=Y1915-1),AA1914,"")</f>
        <v/>
      </c>
      <c r="AD1915" s="0" t="str">
        <f aca="false">IF(Y1915=1,"",IF(AND(Z1915=1,AB1915&lt;&gt;1),1,0))</f>
        <v/>
      </c>
      <c r="AE1915" s="0" t="str">
        <f aca="false">IF(Y1915=1,"",IF(AND(AA1915=1,AC1915&lt;&gt;1),1,0))</f>
        <v/>
      </c>
      <c r="AF1915" s="45" t="str">
        <f aca="false">IF(AND(E1915&gt;0,Y1915&lt;1,NOT(AND(C1916=C1915,Y1916=Y1915+1))),INDEX(DATAS,Y1915+1),"")</f>
        <v/>
      </c>
      <c r="AG1915" s="45" t="str">
        <f aca="false">IF(AND(AA1915=1,Y1915&lt;1),IF(AND(C1916=C1915,Y1916=Y1915+1),IF(AA1916=1,"",INDEX(DATAS,Y1915+1)),INDEX(DATAS,Y1915+1)),"")</f>
        <v/>
      </c>
    </row>
    <row r="1916" customFormat="false" ht="15" hidden="false" customHeight="false" outlineLevel="0" collapsed="false">
      <c r="A1916" s="45" t="n">
        <v>46309</v>
      </c>
      <c r="B1916" s="0" t="n">
        <v>1</v>
      </c>
      <c r="C1916" s="0" t="n">
        <v>6152</v>
      </c>
      <c r="D1916" s="0" t="n">
        <v>26</v>
      </c>
      <c r="E1916" s="0" t="n">
        <v>1</v>
      </c>
      <c r="F1916" s="39" t="s">
        <v>1076</v>
      </c>
      <c r="G1916" s="0" t="n">
        <v>37.8</v>
      </c>
      <c r="H1916" s="0" t="n">
        <v>36</v>
      </c>
      <c r="I1916" s="39" t="s">
        <v>118</v>
      </c>
      <c r="J1916" s="0" t="n">
        <v>26</v>
      </c>
      <c r="R1916" s="0" t="n">
        <v>3204</v>
      </c>
      <c r="S1916" s="0" t="n">
        <v>6440</v>
      </c>
      <c r="U1916" s="0" t="n">
        <v>663</v>
      </c>
      <c r="V1916" s="0" t="n">
        <v>0</v>
      </c>
      <c r="W1916" s="39" t="n">
        <f aca="false">IF(I1916="Male",0,1)</f>
        <v>1</v>
      </c>
      <c r="X1916" s="39" t="n">
        <f aca="false">IF(OR(I1916="DNB",I1916="Dry DNB"),1,0)</f>
        <v>0</v>
      </c>
      <c r="Y1916" s="39" t="n">
        <f aca="false">MATCH(A1916,DATAS,0)</f>
        <v>1</v>
      </c>
      <c r="Z1916" s="39" t="n">
        <f aca="false">IF(AND(E1916&gt;0,OR(AND(B1916&gt;=1,B1916&lt;=6),B1916=10)),1,0)</f>
        <v>1</v>
      </c>
      <c r="AA1916" s="39" t="n">
        <f aca="false">IF(AND(E1916&gt;0,B1916=10),1,0)</f>
        <v>0</v>
      </c>
      <c r="AB1916" s="0" t="str">
        <f aca="false">IF(AND(C1915=C1916,Y1915=Y1916-1),Z1915,"")</f>
        <v/>
      </c>
      <c r="AC1916" s="0" t="str">
        <f aca="false">IF(AND(C1915=C1916,Y1915=Y1916-1),AA1915,"")</f>
        <v/>
      </c>
      <c r="AD1916" s="0" t="str">
        <f aca="false">IF(Y1916=1,"",IF(AND(Z1916=1,AB1916&lt;&gt;1),1,0))</f>
        <v/>
      </c>
      <c r="AE1916" s="0" t="str">
        <f aca="false">IF(Y1916=1,"",IF(AND(AA1916=1,AC1916&lt;&gt;1),1,0))</f>
        <v/>
      </c>
      <c r="AF1916" s="45" t="str">
        <f aca="false">IF(AND(E1916&gt;0,Y1916&lt;1,NOT(AND(C1917=C1916,Y1917=Y1916+1))),INDEX(DATAS,Y1916+1),"")</f>
        <v/>
      </c>
      <c r="AG1916" s="45" t="str">
        <f aca="false">IF(AND(AA1916=1,Y1916&lt;1),IF(AND(C1917=C1916,Y1917=Y1916+1),IF(AA1917=1,"",INDEX(DATAS,Y1916+1)),INDEX(DATAS,Y1916+1)),"")</f>
        <v/>
      </c>
    </row>
    <row r="1917" customFormat="false" ht="15" hidden="false" customHeight="false" outlineLevel="0" collapsed="false">
      <c r="A1917" s="45" t="n">
        <v>46309</v>
      </c>
      <c r="B1917" s="0" t="n">
        <v>8</v>
      </c>
      <c r="C1917" s="0" t="n">
        <v>6153</v>
      </c>
      <c r="E1917" s="0" t="n">
        <v>0</v>
      </c>
      <c r="F1917" s="39" t="s">
        <v>1076</v>
      </c>
      <c r="I1917" s="39" t="s">
        <v>109</v>
      </c>
      <c r="L1917" s="0" t="n">
        <v>127</v>
      </c>
      <c r="U1917" s="0" t="n">
        <v>663</v>
      </c>
      <c r="V1917" s="0" t="n">
        <v>8</v>
      </c>
      <c r="W1917" s="39" t="n">
        <f aca="false">IF(I1917="Male",0,1)</f>
        <v>1</v>
      </c>
      <c r="X1917" s="39" t="n">
        <f aca="false">IF(OR(I1917="DNB",I1917="Dry DNB"),1,0)</f>
        <v>0</v>
      </c>
      <c r="Y1917" s="39" t="n">
        <f aca="false">MATCH(A1917,DATAS,0)</f>
        <v>1</v>
      </c>
      <c r="Z1917" s="39" t="n">
        <f aca="false">IF(AND(E1917&gt;0,OR(AND(B1917&gt;=1,B1917&lt;=6),B1917=10)),1,0)</f>
        <v>0</v>
      </c>
      <c r="AA1917" s="39" t="n">
        <f aca="false">IF(AND(E1917&gt;0,B1917=10),1,0)</f>
        <v>0</v>
      </c>
      <c r="AB1917" s="0" t="str">
        <f aca="false">IF(AND(C1916=C1917,Y1916=Y1917-1),Z1916,"")</f>
        <v/>
      </c>
      <c r="AC1917" s="0" t="str">
        <f aca="false">IF(AND(C1916=C1917,Y1916=Y1917-1),AA1916,"")</f>
        <v/>
      </c>
      <c r="AD1917" s="0" t="str">
        <f aca="false">IF(Y1917=1,"",IF(AND(Z1917=1,AB1917&lt;&gt;1),1,0))</f>
        <v/>
      </c>
      <c r="AE1917" s="0" t="str">
        <f aca="false">IF(Y1917=1,"",IF(AND(AA1917=1,AC1917&lt;&gt;1),1,0))</f>
        <v/>
      </c>
      <c r="AF1917" s="45" t="str">
        <f aca="false">IF(AND(E1917&gt;0,Y1917&lt;1,NOT(AND(C1918=C1917,Y1918=Y1917+1))),INDEX(DATAS,Y1917+1),"")</f>
        <v/>
      </c>
      <c r="AG1917" s="45" t="str">
        <f aca="false">IF(AND(AA1917=1,Y1917&lt;1),IF(AND(C1918=C1917,Y1918=Y1917+1),IF(AA1918=1,"",INDEX(DATAS,Y1917+1)),INDEX(DATAS,Y1917+1)),"")</f>
        <v/>
      </c>
    </row>
    <row r="1918" customFormat="false" ht="15" hidden="false" customHeight="false" outlineLevel="0" collapsed="false">
      <c r="A1918" s="45" t="n">
        <v>46309</v>
      </c>
      <c r="B1918" s="0" t="n">
        <v>14</v>
      </c>
      <c r="C1918" s="0" t="n">
        <v>6155</v>
      </c>
      <c r="E1918" s="0" t="n">
        <v>0</v>
      </c>
      <c r="F1918" s="39" t="s">
        <v>1077</v>
      </c>
      <c r="G1918" s="0" t="n">
        <v>23.8</v>
      </c>
      <c r="H1918" s="0" t="n">
        <v>28</v>
      </c>
      <c r="I1918" s="39" t="s">
        <v>109</v>
      </c>
      <c r="L1918" s="0" t="n">
        <v>288</v>
      </c>
      <c r="U1918" s="0" t="n">
        <v>662</v>
      </c>
      <c r="V1918" s="0" t="n">
        <v>1</v>
      </c>
      <c r="W1918" s="39" t="n">
        <f aca="false">IF(I1918="Male",0,1)</f>
        <v>1</v>
      </c>
      <c r="X1918" s="39" t="n">
        <f aca="false">IF(OR(I1918="DNB",I1918="Dry DNB"),1,0)</f>
        <v>0</v>
      </c>
      <c r="Y1918" s="39" t="n">
        <f aca="false">MATCH(A1918,DATAS,0)</f>
        <v>1</v>
      </c>
      <c r="Z1918" s="39" t="n">
        <f aca="false">IF(AND(E1918&gt;0,OR(AND(B1918&gt;=1,B1918&lt;=6),B1918=10)),1,0)</f>
        <v>0</v>
      </c>
      <c r="AA1918" s="39" t="n">
        <f aca="false">IF(AND(E1918&gt;0,B1918=10),1,0)</f>
        <v>0</v>
      </c>
      <c r="AB1918" s="0" t="str">
        <f aca="false">IF(AND(C1917=C1918,Y1917=Y1918-1),Z1917,"")</f>
        <v/>
      </c>
      <c r="AC1918" s="0" t="str">
        <f aca="false">IF(AND(C1917=C1918,Y1917=Y1918-1),AA1917,"")</f>
        <v/>
      </c>
      <c r="AD1918" s="0" t="str">
        <f aca="false">IF(Y1918=1,"",IF(AND(Z1918=1,AB1918&lt;&gt;1),1,0))</f>
        <v/>
      </c>
      <c r="AE1918" s="0" t="str">
        <f aca="false">IF(Y1918=1,"",IF(AND(AA1918=1,AC1918&lt;&gt;1),1,0))</f>
        <v/>
      </c>
      <c r="AF1918" s="45" t="str">
        <f aca="false">IF(AND(E1918&gt;0,Y1918&lt;1,NOT(AND(C1919=C1918,Y1919=Y1918+1))),INDEX(DATAS,Y1918+1),"")</f>
        <v/>
      </c>
      <c r="AG1918" s="45" t="str">
        <f aca="false">IF(AND(AA1918=1,Y1918&lt;1),IF(AND(C1919=C1918,Y1919=Y1918+1),IF(AA1919=1,"",INDEX(DATAS,Y1918+1)),INDEX(DATAS,Y1918+1)),"")</f>
        <v/>
      </c>
    </row>
    <row r="1919" customFormat="false" ht="15" hidden="false" customHeight="false" outlineLevel="0" collapsed="false">
      <c r="A1919" s="45" t="n">
        <v>46309</v>
      </c>
      <c r="B1919" s="0" t="n">
        <v>1</v>
      </c>
      <c r="C1919" s="0" t="n">
        <v>6156</v>
      </c>
      <c r="D1919" s="0" t="n">
        <v>5</v>
      </c>
      <c r="E1919" s="0" t="n">
        <v>1</v>
      </c>
      <c r="F1919" s="39" t="s">
        <v>1077</v>
      </c>
      <c r="H1919" s="0" t="n">
        <v>17</v>
      </c>
      <c r="I1919" s="39" t="s">
        <v>118</v>
      </c>
      <c r="J1919" s="0" t="n">
        <v>5</v>
      </c>
      <c r="U1919" s="0" t="n">
        <v>662</v>
      </c>
      <c r="V1919" s="0" t="n">
        <v>0</v>
      </c>
      <c r="W1919" s="39" t="n">
        <f aca="false">IF(I1919="Male",0,1)</f>
        <v>1</v>
      </c>
      <c r="X1919" s="39" t="n">
        <f aca="false">IF(OR(I1919="DNB",I1919="Dry DNB"),1,0)</f>
        <v>0</v>
      </c>
      <c r="Y1919" s="39" t="n">
        <f aca="false">MATCH(A1919,DATAS,0)</f>
        <v>1</v>
      </c>
      <c r="Z1919" s="39" t="n">
        <f aca="false">IF(AND(E1919&gt;0,OR(AND(B1919&gt;=1,B1919&lt;=6),B1919=10)),1,0)</f>
        <v>1</v>
      </c>
      <c r="AA1919" s="39" t="n">
        <f aca="false">IF(AND(E1919&gt;0,B1919=10),1,0)</f>
        <v>0</v>
      </c>
      <c r="AB1919" s="0" t="str">
        <f aca="false">IF(AND(C1918=C1919,Y1918=Y1919-1),Z1918,"")</f>
        <v/>
      </c>
      <c r="AC1919" s="0" t="str">
        <f aca="false">IF(AND(C1918=C1919,Y1918=Y1919-1),AA1918,"")</f>
        <v/>
      </c>
      <c r="AD1919" s="0" t="str">
        <f aca="false">IF(Y1919=1,"",IF(AND(Z1919=1,AB1919&lt;&gt;1),1,0))</f>
        <v/>
      </c>
      <c r="AE1919" s="0" t="str">
        <f aca="false">IF(Y1919=1,"",IF(AND(AA1919=1,AC1919&lt;&gt;1),1,0))</f>
        <v/>
      </c>
      <c r="AF1919" s="45" t="str">
        <f aca="false">IF(AND(E1919&gt;0,Y1919&lt;1,NOT(AND(C1920=C1919,Y1920=Y1919+1))),INDEX(DATAS,Y1919+1),"")</f>
        <v/>
      </c>
      <c r="AG1919" s="45" t="str">
        <f aca="false">IF(AND(AA1919=1,Y1919&lt;1),IF(AND(C1920=C1919,Y1920=Y1919+1),IF(AA1920=1,"",INDEX(DATAS,Y1919+1)),INDEX(DATAS,Y1919+1)),"")</f>
        <v/>
      </c>
    </row>
    <row r="1920" customFormat="false" ht="15" hidden="false" customHeight="false" outlineLevel="0" collapsed="false">
      <c r="A1920" s="45" t="n">
        <v>46309</v>
      </c>
      <c r="B1920" s="0" t="n">
        <v>8</v>
      </c>
      <c r="C1920" s="0" t="n">
        <v>6158</v>
      </c>
      <c r="E1920" s="0" t="n">
        <v>0</v>
      </c>
      <c r="F1920" s="39" t="s">
        <v>1077</v>
      </c>
      <c r="I1920" s="39" t="s">
        <v>109</v>
      </c>
      <c r="L1920" s="0" t="n">
        <v>231</v>
      </c>
      <c r="U1920" s="0" t="n">
        <v>662</v>
      </c>
      <c r="V1920" s="0" t="n">
        <v>3</v>
      </c>
      <c r="W1920" s="39" t="n">
        <f aca="false">IF(I1920="Male",0,1)</f>
        <v>1</v>
      </c>
      <c r="X1920" s="39" t="n">
        <f aca="false">IF(OR(I1920="DNB",I1920="Dry DNB"),1,0)</f>
        <v>0</v>
      </c>
      <c r="Y1920" s="39" t="n">
        <f aca="false">MATCH(A1920,DATAS,0)</f>
        <v>1</v>
      </c>
      <c r="Z1920" s="39" t="n">
        <f aca="false">IF(AND(E1920&gt;0,OR(AND(B1920&gt;=1,B1920&lt;=6),B1920=10)),1,0)</f>
        <v>0</v>
      </c>
      <c r="AA1920" s="39" t="n">
        <f aca="false">IF(AND(E1920&gt;0,B1920=10),1,0)</f>
        <v>0</v>
      </c>
      <c r="AB1920" s="0" t="str">
        <f aca="false">IF(AND(C1919=C1920,Y1919=Y1920-1),Z1919,"")</f>
        <v/>
      </c>
      <c r="AC1920" s="0" t="str">
        <f aca="false">IF(AND(C1919=C1920,Y1919=Y1920-1),AA1919,"")</f>
        <v/>
      </c>
      <c r="AD1920" s="0" t="str">
        <f aca="false">IF(Y1920=1,"",IF(AND(Z1920=1,AB1920&lt;&gt;1),1,0))</f>
        <v/>
      </c>
      <c r="AE1920" s="0" t="str">
        <f aca="false">IF(Y1920=1,"",IF(AND(AA1920=1,AC1920&lt;&gt;1),1,0))</f>
        <v/>
      </c>
      <c r="AF1920" s="45" t="str">
        <f aca="false">IF(AND(E1920&gt;0,Y1920&lt;1,NOT(AND(C1921=C1920,Y1921=Y1920+1))),INDEX(DATAS,Y1920+1),"")</f>
        <v/>
      </c>
      <c r="AG1920" s="45" t="str">
        <f aca="false">IF(AND(AA1920=1,Y1920&lt;1),IF(AND(C1921=C1920,Y1921=Y1920+1),IF(AA1921=1,"",INDEX(DATAS,Y1920+1)),INDEX(DATAS,Y1920+1)),"")</f>
        <v/>
      </c>
    </row>
    <row r="1921" customFormat="false" ht="15" hidden="false" customHeight="false" outlineLevel="0" collapsed="false">
      <c r="A1921" s="45" t="n">
        <v>46309</v>
      </c>
      <c r="B1921" s="0" t="n">
        <v>8</v>
      </c>
      <c r="C1921" s="0" t="n">
        <v>6159</v>
      </c>
      <c r="E1921" s="0" t="n">
        <v>0</v>
      </c>
      <c r="F1921" s="39" t="s">
        <v>1077</v>
      </c>
      <c r="I1921" s="39" t="s">
        <v>109</v>
      </c>
      <c r="L1921" s="0" t="n">
        <v>98</v>
      </c>
      <c r="U1921" s="0" t="n">
        <v>662</v>
      </c>
      <c r="V1921" s="0" t="n">
        <v>7</v>
      </c>
      <c r="W1921" s="39" t="n">
        <f aca="false">IF(I1921="Male",0,1)</f>
        <v>1</v>
      </c>
      <c r="X1921" s="39" t="n">
        <f aca="false">IF(OR(I1921="DNB",I1921="Dry DNB"),1,0)</f>
        <v>0</v>
      </c>
      <c r="Y1921" s="39" t="n">
        <f aca="false">MATCH(A1921,DATAS,0)</f>
        <v>1</v>
      </c>
      <c r="Z1921" s="39" t="n">
        <f aca="false">IF(AND(E1921&gt;0,OR(AND(B1921&gt;=1,B1921&lt;=6),B1921=10)),1,0)</f>
        <v>0</v>
      </c>
      <c r="AA1921" s="39" t="n">
        <f aca="false">IF(AND(E1921&gt;0,B1921=10),1,0)</f>
        <v>0</v>
      </c>
      <c r="AB1921" s="0" t="str">
        <f aca="false">IF(AND(C1920=C1921,Y1920=Y1921-1),Z1920,"")</f>
        <v/>
      </c>
      <c r="AC1921" s="0" t="str">
        <f aca="false">IF(AND(C1920=C1921,Y1920=Y1921-1),AA1920,"")</f>
        <v/>
      </c>
      <c r="AD1921" s="0" t="str">
        <f aca="false">IF(Y1921=1,"",IF(AND(Z1921=1,AB1921&lt;&gt;1),1,0))</f>
        <v/>
      </c>
      <c r="AE1921" s="0" t="str">
        <f aca="false">IF(Y1921=1,"",IF(AND(AA1921=1,AC1921&lt;&gt;1),1,0))</f>
        <v/>
      </c>
      <c r="AF1921" s="45" t="str">
        <f aca="false">IF(AND(E1921&gt;0,Y1921&lt;1,NOT(AND(C1922=C1921,Y1922=Y1921+1))),INDEX(DATAS,Y1921+1),"")</f>
        <v/>
      </c>
      <c r="AG1921" s="45" t="str">
        <f aca="false">IF(AND(AA1921=1,Y1921&lt;1),IF(AND(C1922=C1921,Y1922=Y1921+1),IF(AA1922=1,"",INDEX(DATAS,Y1921+1)),INDEX(DATAS,Y1921+1)),"")</f>
        <v/>
      </c>
    </row>
    <row r="1922" customFormat="false" ht="15" hidden="false" customHeight="false" outlineLevel="0" collapsed="false">
      <c r="A1922" s="45" t="n">
        <v>46309</v>
      </c>
      <c r="B1922" s="0" t="n">
        <v>1</v>
      </c>
      <c r="C1922" s="0" t="n">
        <v>6161</v>
      </c>
      <c r="D1922" s="0" t="n">
        <v>7</v>
      </c>
      <c r="E1922" s="0" t="n">
        <v>1</v>
      </c>
      <c r="F1922" s="39" t="s">
        <v>1078</v>
      </c>
      <c r="G1922" s="0" t="n">
        <v>18.1</v>
      </c>
      <c r="H1922" s="0" t="n">
        <v>17</v>
      </c>
      <c r="I1922" s="39" t="s">
        <v>118</v>
      </c>
      <c r="J1922" s="0" t="n">
        <v>7</v>
      </c>
      <c r="R1922" s="0" t="n">
        <v>1920</v>
      </c>
      <c r="S1922" s="0" t="n">
        <v>3860</v>
      </c>
      <c r="U1922" s="0" t="n">
        <v>660</v>
      </c>
      <c r="V1922" s="0" t="n">
        <v>0</v>
      </c>
      <c r="W1922" s="39" t="n">
        <f aca="false">IF(I1922="Male",0,1)</f>
        <v>1</v>
      </c>
      <c r="X1922" s="39" t="n">
        <f aca="false">IF(OR(I1922="DNB",I1922="Dry DNB"),1,0)</f>
        <v>0</v>
      </c>
      <c r="Y1922" s="39" t="n">
        <f aca="false">MATCH(A1922,DATAS,0)</f>
        <v>1</v>
      </c>
      <c r="Z1922" s="39" t="n">
        <f aca="false">IF(AND(E1922&gt;0,OR(AND(B1922&gt;=1,B1922&lt;=6),B1922=10)),1,0)</f>
        <v>1</v>
      </c>
      <c r="AA1922" s="39" t="n">
        <f aca="false">IF(AND(E1922&gt;0,B1922=10),1,0)</f>
        <v>0</v>
      </c>
      <c r="AB1922" s="0" t="str">
        <f aca="false">IF(AND(C1921=C1922,Y1921=Y1922-1),Z1921,"")</f>
        <v/>
      </c>
      <c r="AC1922" s="0" t="str">
        <f aca="false">IF(AND(C1921=C1922,Y1921=Y1922-1),AA1921,"")</f>
        <v/>
      </c>
      <c r="AD1922" s="0" t="str">
        <f aca="false">IF(Y1922=1,"",IF(AND(Z1922=1,AB1922&lt;&gt;1),1,0))</f>
        <v/>
      </c>
      <c r="AE1922" s="0" t="str">
        <f aca="false">IF(Y1922=1,"",IF(AND(AA1922=1,AC1922&lt;&gt;1),1,0))</f>
        <v/>
      </c>
      <c r="AF1922" s="45" t="str">
        <f aca="false">IF(AND(E1922&gt;0,Y1922&lt;1,NOT(AND(C1923=C1922,Y1923=Y1922+1))),INDEX(DATAS,Y1922+1),"")</f>
        <v/>
      </c>
      <c r="AG1922" s="45" t="str">
        <f aca="false">IF(AND(AA1922=1,Y1922&lt;1),IF(AND(C1923=C1922,Y1923=Y1922+1),IF(AA1923=1,"",INDEX(DATAS,Y1922+1)),INDEX(DATAS,Y1922+1)),"")</f>
        <v/>
      </c>
    </row>
    <row r="1923" customFormat="false" ht="15" hidden="false" customHeight="false" outlineLevel="0" collapsed="false">
      <c r="A1923" s="45" t="n">
        <v>46309</v>
      </c>
      <c r="B1923" s="0" t="n">
        <v>1</v>
      </c>
      <c r="C1923" s="0" t="n">
        <v>6162</v>
      </c>
      <c r="D1923" s="0" t="n">
        <v>10</v>
      </c>
      <c r="E1923" s="0" t="n">
        <v>1</v>
      </c>
      <c r="F1923" s="39" t="s">
        <v>1078</v>
      </c>
      <c r="G1923" s="0" t="n">
        <v>32</v>
      </c>
      <c r="H1923" s="0" t="n">
        <v>28</v>
      </c>
      <c r="I1923" s="39" t="s">
        <v>118</v>
      </c>
      <c r="J1923" s="0" t="n">
        <v>10</v>
      </c>
      <c r="R1923" s="0" t="n">
        <v>2482</v>
      </c>
      <c r="S1923" s="0" t="n">
        <v>4989</v>
      </c>
      <c r="U1923" s="0" t="n">
        <v>660</v>
      </c>
      <c r="V1923" s="0" t="n">
        <v>0</v>
      </c>
      <c r="W1923" s="39" t="n">
        <f aca="false">IF(I1923="Male",0,1)</f>
        <v>1</v>
      </c>
      <c r="X1923" s="39" t="n">
        <f aca="false">IF(OR(I1923="DNB",I1923="Dry DNB"),1,0)</f>
        <v>0</v>
      </c>
      <c r="Y1923" s="39" t="n">
        <f aca="false">MATCH(A1923,DATAS,0)</f>
        <v>1</v>
      </c>
      <c r="Z1923" s="39" t="n">
        <f aca="false">IF(AND(E1923&gt;0,OR(AND(B1923&gt;=1,B1923&lt;=6),B1923=10)),1,0)</f>
        <v>1</v>
      </c>
      <c r="AA1923" s="39" t="n">
        <f aca="false">IF(AND(E1923&gt;0,B1923=10),1,0)</f>
        <v>0</v>
      </c>
      <c r="AB1923" s="0" t="str">
        <f aca="false">IF(AND(C1922=C1923,Y1922=Y1923-1),Z1922,"")</f>
        <v/>
      </c>
      <c r="AC1923" s="0" t="str">
        <f aca="false">IF(AND(C1922=C1923,Y1922=Y1923-1),AA1922,"")</f>
        <v/>
      </c>
      <c r="AD1923" s="0" t="str">
        <f aca="false">IF(Y1923=1,"",IF(AND(Z1923=1,AB1923&lt;&gt;1),1,0))</f>
        <v/>
      </c>
      <c r="AE1923" s="0" t="str">
        <f aca="false">IF(Y1923=1,"",IF(AND(AA1923=1,AC1923&lt;&gt;1),1,0))</f>
        <v/>
      </c>
      <c r="AF1923" s="45" t="str">
        <f aca="false">IF(AND(E1923&gt;0,Y1923&lt;1,NOT(AND(C1924=C1923,Y1924=Y1923+1))),INDEX(DATAS,Y1923+1),"")</f>
        <v/>
      </c>
      <c r="AG1923" s="45" t="str">
        <f aca="false">IF(AND(AA1923=1,Y1923&lt;1),IF(AND(C1924=C1923,Y1924=Y1923+1),IF(AA1924=1,"",INDEX(DATAS,Y1923+1)),INDEX(DATAS,Y1923+1)),"")</f>
        <v/>
      </c>
    </row>
    <row r="1924" customFormat="false" ht="15" hidden="false" customHeight="false" outlineLevel="0" collapsed="false">
      <c r="A1924" s="45" t="n">
        <v>46309</v>
      </c>
      <c r="B1924" s="0" t="n">
        <v>1</v>
      </c>
      <c r="C1924" s="0" t="n">
        <v>6163</v>
      </c>
      <c r="D1924" s="0" t="n">
        <v>1</v>
      </c>
      <c r="E1924" s="0" t="n">
        <v>1</v>
      </c>
      <c r="F1924" s="39" t="s">
        <v>1079</v>
      </c>
      <c r="I1924" s="39" t="s">
        <v>118</v>
      </c>
      <c r="J1924" s="0" t="n">
        <v>1</v>
      </c>
      <c r="U1924" s="0" t="n">
        <v>325</v>
      </c>
      <c r="V1924" s="0" t="n">
        <v>0</v>
      </c>
      <c r="W1924" s="39" t="n">
        <f aca="false">IF(I1924="Male",0,1)</f>
        <v>1</v>
      </c>
      <c r="X1924" s="39" t="n">
        <f aca="false">IF(OR(I1924="DNB",I1924="Dry DNB"),1,0)</f>
        <v>0</v>
      </c>
      <c r="Y1924" s="39" t="n">
        <f aca="false">MATCH(A1924,DATAS,0)</f>
        <v>1</v>
      </c>
      <c r="Z1924" s="39" t="n">
        <f aca="false">IF(AND(E1924&gt;0,OR(AND(B1924&gt;=1,B1924&lt;=6),B1924=10)),1,0)</f>
        <v>1</v>
      </c>
      <c r="AA1924" s="39" t="n">
        <f aca="false">IF(AND(E1924&gt;0,B1924=10),1,0)</f>
        <v>0</v>
      </c>
      <c r="AB1924" s="0" t="str">
        <f aca="false">IF(AND(C1923=C1924,Y1923=Y1924-1),Z1923,"")</f>
        <v/>
      </c>
      <c r="AC1924" s="0" t="str">
        <f aca="false">IF(AND(C1923=C1924,Y1923=Y1924-1),AA1923,"")</f>
        <v/>
      </c>
      <c r="AD1924" s="0" t="str">
        <f aca="false">IF(Y1924=1,"",IF(AND(Z1924=1,AB1924&lt;&gt;1),1,0))</f>
        <v/>
      </c>
      <c r="AE1924" s="0" t="str">
        <f aca="false">IF(Y1924=1,"",IF(AND(AA1924=1,AC1924&lt;&gt;1),1,0))</f>
        <v/>
      </c>
      <c r="AF1924" s="45" t="str">
        <f aca="false">IF(AND(E1924&gt;0,Y1924&lt;1,NOT(AND(C1925=C1924,Y1925=Y1924+1))),INDEX(DATAS,Y1924+1),"")</f>
        <v/>
      </c>
      <c r="AG1924" s="45" t="str">
        <f aca="false">IF(AND(AA1924=1,Y1924&lt;1),IF(AND(C1925=C1924,Y1925=Y1924+1),IF(AA1925=1,"",INDEX(DATAS,Y1924+1)),INDEX(DATAS,Y1924+1)),"")</f>
        <v/>
      </c>
    </row>
    <row r="1925" customFormat="false" ht="15" hidden="false" customHeight="false" outlineLevel="0" collapsed="false">
      <c r="A1925" s="45" t="n">
        <v>46309</v>
      </c>
      <c r="B1925" s="0" t="n">
        <v>1</v>
      </c>
      <c r="C1925" s="0" t="n">
        <v>6164</v>
      </c>
      <c r="D1925" s="0" t="n">
        <v>8</v>
      </c>
      <c r="E1925" s="0" t="n">
        <v>1</v>
      </c>
      <c r="F1925" s="39" t="s">
        <v>1078</v>
      </c>
      <c r="H1925" s="0" t="n">
        <v>21</v>
      </c>
      <c r="I1925" s="39" t="s">
        <v>118</v>
      </c>
      <c r="J1925" s="0" t="n">
        <v>8</v>
      </c>
      <c r="R1925" s="0" t="n">
        <v>2049</v>
      </c>
      <c r="S1925" s="0" t="n">
        <v>4119</v>
      </c>
      <c r="U1925" s="0" t="n">
        <v>660</v>
      </c>
      <c r="V1925" s="0" t="n">
        <v>0</v>
      </c>
      <c r="W1925" s="39" t="n">
        <f aca="false">IF(I1925="Male",0,1)</f>
        <v>1</v>
      </c>
      <c r="X1925" s="39" t="n">
        <f aca="false">IF(OR(I1925="DNB",I1925="Dry DNB"),1,0)</f>
        <v>0</v>
      </c>
      <c r="Y1925" s="39" t="n">
        <f aca="false">MATCH(A1925,DATAS,0)</f>
        <v>1</v>
      </c>
      <c r="Z1925" s="39" t="n">
        <f aca="false">IF(AND(E1925&gt;0,OR(AND(B1925&gt;=1,B1925&lt;=6),B1925=10)),1,0)</f>
        <v>1</v>
      </c>
      <c r="AA1925" s="39" t="n">
        <f aca="false">IF(AND(E1925&gt;0,B1925=10),1,0)</f>
        <v>0</v>
      </c>
      <c r="AB1925" s="0" t="str">
        <f aca="false">IF(AND(C1924=C1925,Y1924=Y1925-1),Z1924,"")</f>
        <v/>
      </c>
      <c r="AC1925" s="0" t="str">
        <f aca="false">IF(AND(C1924=C1925,Y1924=Y1925-1),AA1924,"")</f>
        <v/>
      </c>
      <c r="AD1925" s="0" t="str">
        <f aca="false">IF(Y1925=1,"",IF(AND(Z1925=1,AB1925&lt;&gt;1),1,0))</f>
        <v/>
      </c>
      <c r="AE1925" s="0" t="str">
        <f aca="false">IF(Y1925=1,"",IF(AND(AA1925=1,AC1925&lt;&gt;1),1,0))</f>
        <v/>
      </c>
      <c r="AF1925" s="45" t="str">
        <f aca="false">IF(AND(E1925&gt;0,Y1925&lt;1,NOT(AND(C1926=C1925,Y1926=Y1925+1))),INDEX(DATAS,Y1925+1),"")</f>
        <v/>
      </c>
      <c r="AG1925" s="45" t="str">
        <f aca="false">IF(AND(AA1925=1,Y1925&lt;1),IF(AND(C1926=C1925,Y1926=Y1925+1),IF(AA1926=1,"",INDEX(DATAS,Y1925+1)),INDEX(DATAS,Y1925+1)),"")</f>
        <v/>
      </c>
    </row>
    <row r="1926" customFormat="false" ht="15" hidden="false" customHeight="false" outlineLevel="0" collapsed="false">
      <c r="A1926" s="45" t="n">
        <v>46309</v>
      </c>
      <c r="B1926" s="0" t="n">
        <v>1</v>
      </c>
      <c r="C1926" s="0" t="n">
        <v>6165</v>
      </c>
      <c r="D1926" s="0" t="n">
        <v>10</v>
      </c>
      <c r="E1926" s="0" t="n">
        <v>1</v>
      </c>
      <c r="F1926" s="39" t="s">
        <v>1080</v>
      </c>
      <c r="G1926" s="0" t="n">
        <v>20.7</v>
      </c>
      <c r="H1926" s="0" t="n">
        <v>19</v>
      </c>
      <c r="I1926" s="39" t="s">
        <v>118</v>
      </c>
      <c r="J1926" s="0" t="n">
        <v>10</v>
      </c>
      <c r="R1926" s="0" t="n">
        <v>1916</v>
      </c>
      <c r="S1926" s="0" t="n">
        <v>3851</v>
      </c>
      <c r="U1926" s="0" t="n">
        <v>659</v>
      </c>
      <c r="V1926" s="0" t="n">
        <v>0</v>
      </c>
      <c r="W1926" s="39" t="n">
        <f aca="false">IF(I1926="Male",0,1)</f>
        <v>1</v>
      </c>
      <c r="X1926" s="39" t="n">
        <f aca="false">IF(OR(I1926="DNB",I1926="Dry DNB"),1,0)</f>
        <v>0</v>
      </c>
      <c r="Y1926" s="39" t="n">
        <f aca="false">MATCH(A1926,DATAS,0)</f>
        <v>1</v>
      </c>
      <c r="Z1926" s="39" t="n">
        <f aca="false">IF(AND(E1926&gt;0,OR(AND(B1926&gt;=1,B1926&lt;=6),B1926=10)),1,0)</f>
        <v>1</v>
      </c>
      <c r="AA1926" s="39" t="n">
        <f aca="false">IF(AND(E1926&gt;0,B1926=10),1,0)</f>
        <v>0</v>
      </c>
      <c r="AB1926" s="0" t="str">
        <f aca="false">IF(AND(C1925=C1926,Y1925=Y1926-1),Z1925,"")</f>
        <v/>
      </c>
      <c r="AC1926" s="0" t="str">
        <f aca="false">IF(AND(C1925=C1926,Y1925=Y1926-1),AA1925,"")</f>
        <v/>
      </c>
      <c r="AD1926" s="0" t="str">
        <f aca="false">IF(Y1926=1,"",IF(AND(Z1926=1,AB1926&lt;&gt;1),1,0))</f>
        <v/>
      </c>
      <c r="AE1926" s="0" t="str">
        <f aca="false">IF(Y1926=1,"",IF(AND(AA1926=1,AC1926&lt;&gt;1),1,0))</f>
        <v/>
      </c>
      <c r="AF1926" s="45" t="str">
        <f aca="false">IF(AND(E1926&gt;0,Y1926&lt;1,NOT(AND(C1927=C1926,Y1927=Y1926+1))),INDEX(DATAS,Y1926+1),"")</f>
        <v/>
      </c>
      <c r="AG1926" s="45" t="str">
        <f aca="false">IF(AND(AA1926=1,Y1926&lt;1),IF(AND(C1927=C1926,Y1927=Y1926+1),IF(AA1927=1,"",INDEX(DATAS,Y1926+1)),INDEX(DATAS,Y1926+1)),"")</f>
        <v/>
      </c>
    </row>
    <row r="1927" customFormat="false" ht="15" hidden="false" customHeight="false" outlineLevel="0" collapsed="false">
      <c r="A1927" s="45" t="n">
        <v>46309</v>
      </c>
      <c r="B1927" s="0" t="n">
        <v>8</v>
      </c>
      <c r="C1927" s="0" t="n">
        <v>6166</v>
      </c>
      <c r="E1927" s="0" t="n">
        <v>0</v>
      </c>
      <c r="F1927" s="39" t="s">
        <v>1081</v>
      </c>
      <c r="I1927" s="39" t="s">
        <v>109</v>
      </c>
      <c r="L1927" s="0" t="n">
        <v>233</v>
      </c>
      <c r="U1927" s="0" t="n">
        <v>658</v>
      </c>
      <c r="V1927" s="0" t="n">
        <v>4</v>
      </c>
      <c r="W1927" s="39" t="n">
        <f aca="false">IF(I1927="Male",0,1)</f>
        <v>1</v>
      </c>
      <c r="X1927" s="39" t="n">
        <f aca="false">IF(OR(I1927="DNB",I1927="Dry DNB"),1,0)</f>
        <v>0</v>
      </c>
      <c r="Y1927" s="39" t="n">
        <f aca="false">MATCH(A1927,DATAS,0)</f>
        <v>1</v>
      </c>
      <c r="Z1927" s="39" t="n">
        <f aca="false">IF(AND(E1927&gt;0,OR(AND(B1927&gt;=1,B1927&lt;=6),B1927=10)),1,0)</f>
        <v>0</v>
      </c>
      <c r="AA1927" s="39" t="n">
        <f aca="false">IF(AND(E1927&gt;0,B1927=10),1,0)</f>
        <v>0</v>
      </c>
      <c r="AB1927" s="0" t="str">
        <f aca="false">IF(AND(C1926=C1927,Y1926=Y1927-1),Z1926,"")</f>
        <v/>
      </c>
      <c r="AC1927" s="0" t="str">
        <f aca="false">IF(AND(C1926=C1927,Y1926=Y1927-1),AA1926,"")</f>
        <v/>
      </c>
      <c r="AD1927" s="0" t="str">
        <f aca="false">IF(Y1927=1,"",IF(AND(Z1927=1,AB1927&lt;&gt;1),1,0))</f>
        <v/>
      </c>
      <c r="AE1927" s="0" t="str">
        <f aca="false">IF(Y1927=1,"",IF(AND(AA1927=1,AC1927&lt;&gt;1),1,0))</f>
        <v/>
      </c>
      <c r="AF1927" s="45" t="str">
        <f aca="false">IF(AND(E1927&gt;0,Y1927&lt;1,NOT(AND(C1928=C1927,Y1928=Y1927+1))),INDEX(DATAS,Y1927+1),"")</f>
        <v/>
      </c>
      <c r="AG1927" s="45" t="str">
        <f aca="false">IF(AND(AA1927=1,Y1927&lt;1),IF(AND(C1928=C1927,Y1928=Y1927+1),IF(AA1928=1,"",INDEX(DATAS,Y1927+1)),INDEX(DATAS,Y1927+1)),"")</f>
        <v/>
      </c>
    </row>
    <row r="1928" customFormat="false" ht="15" hidden="false" customHeight="false" outlineLevel="0" collapsed="false">
      <c r="A1928" s="45" t="n">
        <v>46309</v>
      </c>
      <c r="B1928" s="0" t="n">
        <v>7</v>
      </c>
      <c r="C1928" s="0" t="n">
        <v>6167</v>
      </c>
      <c r="E1928" s="0" t="n">
        <v>0</v>
      </c>
      <c r="F1928" s="39" t="s">
        <v>1081</v>
      </c>
      <c r="I1928" s="39" t="s">
        <v>109</v>
      </c>
      <c r="L1928" s="0" t="n">
        <v>252</v>
      </c>
      <c r="U1928" s="0" t="n">
        <v>658</v>
      </c>
      <c r="V1928" s="0" t="n">
        <v>2</v>
      </c>
      <c r="W1928" s="39" t="n">
        <f aca="false">IF(I1928="Male",0,1)</f>
        <v>1</v>
      </c>
      <c r="X1928" s="39" t="n">
        <f aca="false">IF(OR(I1928="DNB",I1928="Dry DNB"),1,0)</f>
        <v>0</v>
      </c>
      <c r="Y1928" s="39" t="n">
        <f aca="false">MATCH(A1928,DATAS,0)</f>
        <v>1</v>
      </c>
      <c r="Z1928" s="39" t="n">
        <f aca="false">IF(AND(E1928&gt;0,OR(AND(B1928&gt;=1,B1928&lt;=6),B1928=10)),1,0)</f>
        <v>0</v>
      </c>
      <c r="AA1928" s="39" t="n">
        <f aca="false">IF(AND(E1928&gt;0,B1928=10),1,0)</f>
        <v>0</v>
      </c>
      <c r="AB1928" s="0" t="str">
        <f aca="false">IF(AND(C1927=C1928,Y1927=Y1928-1),Z1927,"")</f>
        <v/>
      </c>
      <c r="AC1928" s="0" t="str">
        <f aca="false">IF(AND(C1927=C1928,Y1927=Y1928-1),AA1927,"")</f>
        <v/>
      </c>
      <c r="AD1928" s="0" t="str">
        <f aca="false">IF(Y1928=1,"",IF(AND(Z1928=1,AB1928&lt;&gt;1),1,0))</f>
        <v/>
      </c>
      <c r="AE1928" s="0" t="str">
        <f aca="false">IF(Y1928=1,"",IF(AND(AA1928=1,AC1928&lt;&gt;1),1,0))</f>
        <v/>
      </c>
      <c r="AF1928" s="45" t="str">
        <f aca="false">IF(AND(E1928&gt;0,Y1928&lt;1,NOT(AND(C1929=C1928,Y1929=Y1928+1))),INDEX(DATAS,Y1928+1),"")</f>
        <v/>
      </c>
      <c r="AG1928" s="45" t="str">
        <f aca="false">IF(AND(AA1928=1,Y1928&lt;1),IF(AND(C1929=C1928,Y1929=Y1928+1),IF(AA1929=1,"",INDEX(DATAS,Y1928+1)),INDEX(DATAS,Y1928+1)),"")</f>
        <v/>
      </c>
    </row>
    <row r="1929" customFormat="false" ht="15" hidden="false" customHeight="false" outlineLevel="0" collapsed="false">
      <c r="A1929" s="45" t="n">
        <v>46309</v>
      </c>
      <c r="B1929" s="0" t="n">
        <v>1</v>
      </c>
      <c r="C1929" s="0" t="n">
        <v>6168</v>
      </c>
      <c r="D1929" s="0" t="n">
        <v>8</v>
      </c>
      <c r="E1929" s="0" t="n">
        <v>1</v>
      </c>
      <c r="F1929" s="39" t="s">
        <v>1081</v>
      </c>
      <c r="G1929" s="0" t="n">
        <v>28.4</v>
      </c>
      <c r="H1929" s="0" t="n">
        <v>22</v>
      </c>
      <c r="I1929" s="39" t="s">
        <v>118</v>
      </c>
      <c r="J1929" s="0" t="n">
        <v>8</v>
      </c>
      <c r="R1929" s="0" t="n">
        <v>2058</v>
      </c>
      <c r="S1929" s="0" t="n">
        <v>4138</v>
      </c>
      <c r="U1929" s="0" t="n">
        <v>658</v>
      </c>
      <c r="V1929" s="0" t="n">
        <v>0</v>
      </c>
      <c r="W1929" s="39" t="n">
        <f aca="false">IF(I1929="Male",0,1)</f>
        <v>1</v>
      </c>
      <c r="X1929" s="39" t="n">
        <f aca="false">IF(OR(I1929="DNB",I1929="Dry DNB"),1,0)</f>
        <v>0</v>
      </c>
      <c r="Y1929" s="39" t="n">
        <f aca="false">MATCH(A1929,DATAS,0)</f>
        <v>1</v>
      </c>
      <c r="Z1929" s="39" t="n">
        <f aca="false">IF(AND(E1929&gt;0,OR(AND(B1929&gt;=1,B1929&lt;=6),B1929=10)),1,0)</f>
        <v>1</v>
      </c>
      <c r="AA1929" s="39" t="n">
        <f aca="false">IF(AND(E1929&gt;0,B1929=10),1,0)</f>
        <v>0</v>
      </c>
      <c r="AB1929" s="0" t="str">
        <f aca="false">IF(AND(C1928=C1929,Y1928=Y1929-1),Z1928,"")</f>
        <v/>
      </c>
      <c r="AC1929" s="0" t="str">
        <f aca="false">IF(AND(C1928=C1929,Y1928=Y1929-1),AA1928,"")</f>
        <v/>
      </c>
      <c r="AD1929" s="0" t="str">
        <f aca="false">IF(Y1929=1,"",IF(AND(Z1929=1,AB1929&lt;&gt;1),1,0))</f>
        <v/>
      </c>
      <c r="AE1929" s="0" t="str">
        <f aca="false">IF(Y1929=1,"",IF(AND(AA1929=1,AC1929&lt;&gt;1),1,0))</f>
        <v/>
      </c>
      <c r="AF1929" s="45" t="str">
        <f aca="false">IF(AND(E1929&gt;0,Y1929&lt;1,NOT(AND(C1930=C1929,Y1930=Y1929+1))),INDEX(DATAS,Y1929+1),"")</f>
        <v/>
      </c>
      <c r="AG1929" s="45" t="str">
        <f aca="false">IF(AND(AA1929=1,Y1929&lt;1),IF(AND(C1930=C1929,Y1930=Y1929+1),IF(AA1930=1,"",INDEX(DATAS,Y1929+1)),INDEX(DATAS,Y1929+1)),"")</f>
        <v/>
      </c>
    </row>
    <row r="1930" customFormat="false" ht="15" hidden="false" customHeight="false" outlineLevel="0" collapsed="false">
      <c r="A1930" s="45" t="n">
        <v>46309</v>
      </c>
      <c r="B1930" s="0" t="n">
        <v>8</v>
      </c>
      <c r="C1930" s="0" t="n">
        <v>6169</v>
      </c>
      <c r="E1930" s="0" t="n">
        <v>0</v>
      </c>
      <c r="F1930" s="39" t="s">
        <v>1081</v>
      </c>
      <c r="I1930" s="39" t="s">
        <v>109</v>
      </c>
      <c r="L1930" s="0" t="n">
        <v>161</v>
      </c>
      <c r="U1930" s="0" t="n">
        <v>658</v>
      </c>
      <c r="V1930" s="0" t="n">
        <v>7</v>
      </c>
      <c r="W1930" s="39" t="n">
        <f aca="false">IF(I1930="Male",0,1)</f>
        <v>1</v>
      </c>
      <c r="X1930" s="39" t="n">
        <f aca="false">IF(OR(I1930="DNB",I1930="Dry DNB"),1,0)</f>
        <v>0</v>
      </c>
      <c r="Y1930" s="39" t="n">
        <f aca="false">MATCH(A1930,DATAS,0)</f>
        <v>1</v>
      </c>
      <c r="Z1930" s="39" t="n">
        <f aca="false">IF(AND(E1930&gt;0,OR(AND(B1930&gt;=1,B1930&lt;=6),B1930=10)),1,0)</f>
        <v>0</v>
      </c>
      <c r="AA1930" s="39" t="n">
        <f aca="false">IF(AND(E1930&gt;0,B1930=10),1,0)</f>
        <v>0</v>
      </c>
      <c r="AB1930" s="0" t="str">
        <f aca="false">IF(AND(C1929=C1930,Y1929=Y1930-1),Z1929,"")</f>
        <v/>
      </c>
      <c r="AC1930" s="0" t="str">
        <f aca="false">IF(AND(C1929=C1930,Y1929=Y1930-1),AA1929,"")</f>
        <v/>
      </c>
      <c r="AD1930" s="0" t="str">
        <f aca="false">IF(Y1930=1,"",IF(AND(Z1930=1,AB1930&lt;&gt;1),1,0))</f>
        <v/>
      </c>
      <c r="AE1930" s="0" t="str">
        <f aca="false">IF(Y1930=1,"",IF(AND(AA1930=1,AC1930&lt;&gt;1),1,0))</f>
        <v/>
      </c>
      <c r="AF1930" s="45" t="str">
        <f aca="false">IF(AND(E1930&gt;0,Y1930&lt;1,NOT(AND(C1931=C1930,Y1931=Y1930+1))),INDEX(DATAS,Y1930+1),"")</f>
        <v/>
      </c>
      <c r="AG1930" s="45" t="str">
        <f aca="false">IF(AND(AA1930=1,Y1930&lt;1),IF(AND(C1931=C1930,Y1931=Y1930+1),IF(AA1931=1,"",INDEX(DATAS,Y1930+1)),INDEX(DATAS,Y1930+1)),"")</f>
        <v/>
      </c>
    </row>
    <row r="1931" customFormat="false" ht="15" hidden="false" customHeight="false" outlineLevel="0" collapsed="false">
      <c r="A1931" s="45" t="n">
        <v>46309</v>
      </c>
      <c r="B1931" s="0" t="n">
        <v>1</v>
      </c>
      <c r="C1931" s="0" t="n">
        <v>6171</v>
      </c>
      <c r="D1931" s="0" t="n">
        <v>15</v>
      </c>
      <c r="E1931" s="0" t="n">
        <v>1</v>
      </c>
      <c r="F1931" s="39" t="s">
        <v>1081</v>
      </c>
      <c r="G1931" s="0" t="n">
        <v>33</v>
      </c>
      <c r="H1931" s="0" t="n">
        <v>28</v>
      </c>
      <c r="I1931" s="39" t="s">
        <v>118</v>
      </c>
      <c r="J1931" s="0" t="n">
        <v>15</v>
      </c>
      <c r="R1931" s="0" t="n">
        <v>2643</v>
      </c>
      <c r="S1931" s="0" t="n">
        <v>5313</v>
      </c>
      <c r="U1931" s="0" t="n">
        <v>658</v>
      </c>
      <c r="V1931" s="0" t="n">
        <v>0</v>
      </c>
      <c r="W1931" s="39" t="n">
        <f aca="false">IF(I1931="Male",0,1)</f>
        <v>1</v>
      </c>
      <c r="X1931" s="39" t="n">
        <f aca="false">IF(OR(I1931="DNB",I1931="Dry DNB"),1,0)</f>
        <v>0</v>
      </c>
      <c r="Y1931" s="39" t="n">
        <f aca="false">MATCH(A1931,DATAS,0)</f>
        <v>1</v>
      </c>
      <c r="Z1931" s="39" t="n">
        <f aca="false">IF(AND(E1931&gt;0,OR(AND(B1931&gt;=1,B1931&lt;=6),B1931=10)),1,0)</f>
        <v>1</v>
      </c>
      <c r="AA1931" s="39" t="n">
        <f aca="false">IF(AND(E1931&gt;0,B1931=10),1,0)</f>
        <v>0</v>
      </c>
      <c r="AB1931" s="0" t="str">
        <f aca="false">IF(AND(C1930=C1931,Y1930=Y1931-1),Z1930,"")</f>
        <v/>
      </c>
      <c r="AC1931" s="0" t="str">
        <f aca="false">IF(AND(C1930=C1931,Y1930=Y1931-1),AA1930,"")</f>
        <v/>
      </c>
      <c r="AD1931" s="0" t="str">
        <f aca="false">IF(Y1931=1,"",IF(AND(Z1931=1,AB1931&lt;&gt;1),1,0))</f>
        <v/>
      </c>
      <c r="AE1931" s="0" t="str">
        <f aca="false">IF(Y1931=1,"",IF(AND(AA1931=1,AC1931&lt;&gt;1),1,0))</f>
        <v/>
      </c>
      <c r="AF1931" s="45" t="str">
        <f aca="false">IF(AND(E1931&gt;0,Y1931&lt;1,NOT(AND(C1932=C1931,Y1932=Y1931+1))),INDEX(DATAS,Y1931+1),"")</f>
        <v/>
      </c>
      <c r="AG1931" s="45" t="str">
        <f aca="false">IF(AND(AA1931=1,Y1931&lt;1),IF(AND(C1932=C1931,Y1932=Y1931+1),IF(AA1932=1,"",INDEX(DATAS,Y1931+1)),INDEX(DATAS,Y1931+1)),"")</f>
        <v/>
      </c>
    </row>
    <row r="1932" customFormat="false" ht="15" hidden="false" customHeight="false" outlineLevel="0" collapsed="false">
      <c r="A1932" s="45" t="n">
        <v>46309</v>
      </c>
      <c r="B1932" s="0" t="n">
        <v>1</v>
      </c>
      <c r="C1932" s="0" t="n">
        <v>6173</v>
      </c>
      <c r="D1932" s="0" t="n">
        <v>10</v>
      </c>
      <c r="E1932" s="0" t="n">
        <v>1</v>
      </c>
      <c r="F1932" s="39" t="s">
        <v>1082</v>
      </c>
      <c r="G1932" s="0" t="n">
        <v>7.3</v>
      </c>
      <c r="H1932" s="0" t="n">
        <v>10</v>
      </c>
      <c r="I1932" s="39" t="s">
        <v>118</v>
      </c>
      <c r="J1932" s="0" t="n">
        <v>10</v>
      </c>
      <c r="R1932" s="0" t="n">
        <v>1111</v>
      </c>
      <c r="S1932" s="0" t="n">
        <v>2233</v>
      </c>
      <c r="U1932" s="0" t="n">
        <v>657</v>
      </c>
      <c r="V1932" s="0" t="n">
        <v>0</v>
      </c>
      <c r="W1932" s="39" t="n">
        <f aca="false">IF(I1932="Male",0,1)</f>
        <v>1</v>
      </c>
      <c r="X1932" s="39" t="n">
        <f aca="false">IF(OR(I1932="DNB",I1932="Dry DNB"),1,0)</f>
        <v>0</v>
      </c>
      <c r="Y1932" s="39" t="n">
        <f aca="false">MATCH(A1932,DATAS,0)</f>
        <v>1</v>
      </c>
      <c r="Z1932" s="39" t="n">
        <f aca="false">IF(AND(E1932&gt;0,OR(AND(B1932&gt;=1,B1932&lt;=6),B1932=10)),1,0)</f>
        <v>1</v>
      </c>
      <c r="AA1932" s="39" t="n">
        <f aca="false">IF(AND(E1932&gt;0,B1932=10),1,0)</f>
        <v>0</v>
      </c>
      <c r="AB1932" s="0" t="str">
        <f aca="false">IF(AND(C1931=C1932,Y1931=Y1932-1),Z1931,"")</f>
        <v/>
      </c>
      <c r="AC1932" s="0" t="str">
        <f aca="false">IF(AND(C1931=C1932,Y1931=Y1932-1),AA1931,"")</f>
        <v/>
      </c>
      <c r="AD1932" s="0" t="str">
        <f aca="false">IF(Y1932=1,"",IF(AND(Z1932=1,AB1932&lt;&gt;1),1,0))</f>
        <v/>
      </c>
      <c r="AE1932" s="0" t="str">
        <f aca="false">IF(Y1932=1,"",IF(AND(AA1932=1,AC1932&lt;&gt;1),1,0))</f>
        <v/>
      </c>
      <c r="AF1932" s="45" t="str">
        <f aca="false">IF(AND(E1932&gt;0,Y1932&lt;1,NOT(AND(C1933=C1932,Y1933=Y1932+1))),INDEX(DATAS,Y1932+1),"")</f>
        <v/>
      </c>
      <c r="AG1932" s="45" t="str">
        <f aca="false">IF(AND(AA1932=1,Y1932&lt;1),IF(AND(C1933=C1932,Y1933=Y1932+1),IF(AA1933=1,"",INDEX(DATAS,Y1932+1)),INDEX(DATAS,Y1932+1)),"")</f>
        <v/>
      </c>
    </row>
    <row r="1933" customFormat="false" ht="15" hidden="false" customHeight="false" outlineLevel="0" collapsed="false">
      <c r="A1933" s="45" t="n">
        <v>46309</v>
      </c>
      <c r="B1933" s="0" t="n">
        <v>8</v>
      </c>
      <c r="C1933" s="0" t="n">
        <v>6174</v>
      </c>
      <c r="E1933" s="0" t="n">
        <v>0</v>
      </c>
      <c r="F1933" s="39" t="s">
        <v>1082</v>
      </c>
      <c r="I1933" s="39" t="s">
        <v>109</v>
      </c>
      <c r="L1933" s="0" t="n">
        <v>238</v>
      </c>
      <c r="U1933" s="0" t="n">
        <v>657</v>
      </c>
      <c r="V1933" s="0" t="n">
        <v>3</v>
      </c>
      <c r="W1933" s="39" t="n">
        <f aca="false">IF(I1933="Male",0,1)</f>
        <v>1</v>
      </c>
      <c r="X1933" s="39" t="n">
        <f aca="false">IF(OR(I1933="DNB",I1933="Dry DNB"),1,0)</f>
        <v>0</v>
      </c>
      <c r="Y1933" s="39" t="n">
        <f aca="false">MATCH(A1933,DATAS,0)</f>
        <v>1</v>
      </c>
      <c r="Z1933" s="39" t="n">
        <f aca="false">IF(AND(E1933&gt;0,OR(AND(B1933&gt;=1,B1933&lt;=6),B1933=10)),1,0)</f>
        <v>0</v>
      </c>
      <c r="AA1933" s="39" t="n">
        <f aca="false">IF(AND(E1933&gt;0,B1933=10),1,0)</f>
        <v>0</v>
      </c>
      <c r="AB1933" s="0" t="str">
        <f aca="false">IF(AND(C1932=C1933,Y1932=Y1933-1),Z1932,"")</f>
        <v/>
      </c>
      <c r="AC1933" s="0" t="str">
        <f aca="false">IF(AND(C1932=C1933,Y1932=Y1933-1),AA1932,"")</f>
        <v/>
      </c>
      <c r="AD1933" s="0" t="str">
        <f aca="false">IF(Y1933=1,"",IF(AND(Z1933=1,AB1933&lt;&gt;1),1,0))</f>
        <v/>
      </c>
      <c r="AE1933" s="0" t="str">
        <f aca="false">IF(Y1933=1,"",IF(AND(AA1933=1,AC1933&lt;&gt;1),1,0))</f>
        <v/>
      </c>
      <c r="AF1933" s="45" t="str">
        <f aca="false">IF(AND(E1933&gt;0,Y1933&lt;1,NOT(AND(C1934=C1933,Y1934=Y1933+1))),INDEX(DATAS,Y1933+1),"")</f>
        <v/>
      </c>
      <c r="AG1933" s="45" t="str">
        <f aca="false">IF(AND(AA1933=1,Y1933&lt;1),IF(AND(C1934=C1933,Y1934=Y1933+1),IF(AA1934=1,"",INDEX(DATAS,Y1933+1)),INDEX(DATAS,Y1933+1)),"")</f>
        <v/>
      </c>
    </row>
    <row r="1934" customFormat="false" ht="15" hidden="false" customHeight="false" outlineLevel="0" collapsed="false">
      <c r="A1934" s="45" t="n">
        <v>46309</v>
      </c>
      <c r="B1934" s="0" t="n">
        <v>7</v>
      </c>
      <c r="C1934" s="0" t="n">
        <v>6175</v>
      </c>
      <c r="E1934" s="0" t="n">
        <v>0</v>
      </c>
      <c r="F1934" s="39" t="s">
        <v>1082</v>
      </c>
      <c r="I1934" s="39" t="s">
        <v>109</v>
      </c>
      <c r="L1934" s="0" t="n">
        <v>224</v>
      </c>
      <c r="U1934" s="0" t="n">
        <v>657</v>
      </c>
      <c r="V1934" s="0" t="n">
        <v>3</v>
      </c>
      <c r="W1934" s="39" t="n">
        <f aca="false">IF(I1934="Male",0,1)</f>
        <v>1</v>
      </c>
      <c r="X1934" s="39" t="n">
        <f aca="false">IF(OR(I1934="DNB",I1934="Dry DNB"),1,0)</f>
        <v>0</v>
      </c>
      <c r="Y1934" s="39" t="n">
        <f aca="false">MATCH(A1934,DATAS,0)</f>
        <v>1</v>
      </c>
      <c r="Z1934" s="39" t="n">
        <f aca="false">IF(AND(E1934&gt;0,OR(AND(B1934&gt;=1,B1934&lt;=6),B1934=10)),1,0)</f>
        <v>0</v>
      </c>
      <c r="AA1934" s="39" t="n">
        <f aca="false">IF(AND(E1934&gt;0,B1934=10),1,0)</f>
        <v>0</v>
      </c>
      <c r="AB1934" s="0" t="str">
        <f aca="false">IF(AND(C1933=C1934,Y1933=Y1934-1),Z1933,"")</f>
        <v/>
      </c>
      <c r="AC1934" s="0" t="str">
        <f aca="false">IF(AND(C1933=C1934,Y1933=Y1934-1),AA1933,"")</f>
        <v/>
      </c>
      <c r="AD1934" s="0" t="str">
        <f aca="false">IF(Y1934=1,"",IF(AND(Z1934=1,AB1934&lt;&gt;1),1,0))</f>
        <v/>
      </c>
      <c r="AE1934" s="0" t="str">
        <f aca="false">IF(Y1934=1,"",IF(AND(AA1934=1,AC1934&lt;&gt;1),1,0))</f>
        <v/>
      </c>
      <c r="AF1934" s="45" t="str">
        <f aca="false">IF(AND(E1934&gt;0,Y1934&lt;1,NOT(AND(C1935=C1934,Y1935=Y1934+1))),INDEX(DATAS,Y1934+1),"")</f>
        <v/>
      </c>
      <c r="AG1934" s="45" t="str">
        <f aca="false">IF(AND(AA1934=1,Y1934&lt;1),IF(AND(C1935=C1934,Y1935=Y1934+1),IF(AA1935=1,"",INDEX(DATAS,Y1934+1)),INDEX(DATAS,Y1934+1)),"")</f>
        <v/>
      </c>
    </row>
    <row r="1935" customFormat="false" ht="15" hidden="false" customHeight="false" outlineLevel="0" collapsed="false">
      <c r="A1935" s="45" t="n">
        <v>46309</v>
      </c>
      <c r="B1935" s="0" t="n">
        <v>8</v>
      </c>
      <c r="C1935" s="0" t="n">
        <v>6176</v>
      </c>
      <c r="E1935" s="0" t="n">
        <v>0</v>
      </c>
      <c r="F1935" s="39" t="s">
        <v>1082</v>
      </c>
      <c r="I1935" s="39" t="s">
        <v>109</v>
      </c>
      <c r="L1935" s="0" t="n">
        <v>231</v>
      </c>
      <c r="U1935" s="0" t="n">
        <v>657</v>
      </c>
      <c r="V1935" s="0" t="n">
        <v>4</v>
      </c>
      <c r="W1935" s="39" t="n">
        <f aca="false">IF(I1935="Male",0,1)</f>
        <v>1</v>
      </c>
      <c r="X1935" s="39" t="n">
        <f aca="false">IF(OR(I1935="DNB",I1935="Dry DNB"),1,0)</f>
        <v>0</v>
      </c>
      <c r="Y1935" s="39" t="n">
        <f aca="false">MATCH(A1935,DATAS,0)</f>
        <v>1</v>
      </c>
      <c r="Z1935" s="39" t="n">
        <f aca="false">IF(AND(E1935&gt;0,OR(AND(B1935&gt;=1,B1935&lt;=6),B1935=10)),1,0)</f>
        <v>0</v>
      </c>
      <c r="AA1935" s="39" t="n">
        <f aca="false">IF(AND(E1935&gt;0,B1935=10),1,0)</f>
        <v>0</v>
      </c>
      <c r="AB1935" s="0" t="str">
        <f aca="false">IF(AND(C1934=C1935,Y1934=Y1935-1),Z1934,"")</f>
        <v/>
      </c>
      <c r="AC1935" s="0" t="str">
        <f aca="false">IF(AND(C1934=C1935,Y1934=Y1935-1),AA1934,"")</f>
        <v/>
      </c>
      <c r="AD1935" s="0" t="str">
        <f aca="false">IF(Y1935=1,"",IF(AND(Z1935=1,AB1935&lt;&gt;1),1,0))</f>
        <v/>
      </c>
      <c r="AE1935" s="0" t="str">
        <f aca="false">IF(Y1935=1,"",IF(AND(AA1935=1,AC1935&lt;&gt;1),1,0))</f>
        <v/>
      </c>
      <c r="AF1935" s="45" t="str">
        <f aca="false">IF(AND(E1935&gt;0,Y1935&lt;1,NOT(AND(C1936=C1935,Y1936=Y1935+1))),INDEX(DATAS,Y1935+1),"")</f>
        <v/>
      </c>
      <c r="AG1935" s="45" t="str">
        <f aca="false">IF(AND(AA1935=1,Y1935&lt;1),IF(AND(C1936=C1935,Y1936=Y1935+1),IF(AA1936=1,"",INDEX(DATAS,Y1935+1)),INDEX(DATAS,Y1935+1)),"")</f>
        <v/>
      </c>
    </row>
    <row r="1936" customFormat="false" ht="15" hidden="false" customHeight="false" outlineLevel="0" collapsed="false">
      <c r="A1936" s="45" t="n">
        <v>46309</v>
      </c>
      <c r="B1936" s="0" t="n">
        <v>7</v>
      </c>
      <c r="C1936" s="0" t="n">
        <v>6177</v>
      </c>
      <c r="E1936" s="0" t="n">
        <v>0</v>
      </c>
      <c r="F1936" s="39" t="s">
        <v>1082</v>
      </c>
      <c r="I1936" s="39" t="s">
        <v>109</v>
      </c>
      <c r="L1936" s="0" t="n">
        <v>246</v>
      </c>
      <c r="U1936" s="0" t="n">
        <v>657</v>
      </c>
      <c r="V1936" s="0" t="n">
        <v>2</v>
      </c>
      <c r="W1936" s="39" t="n">
        <f aca="false">IF(I1936="Male",0,1)</f>
        <v>1</v>
      </c>
      <c r="X1936" s="39" t="n">
        <f aca="false">IF(OR(I1936="DNB",I1936="Dry DNB"),1,0)</f>
        <v>0</v>
      </c>
      <c r="Y1936" s="39" t="n">
        <f aca="false">MATCH(A1936,DATAS,0)</f>
        <v>1</v>
      </c>
      <c r="Z1936" s="39" t="n">
        <f aca="false">IF(AND(E1936&gt;0,OR(AND(B1936&gt;=1,B1936&lt;=6),B1936=10)),1,0)</f>
        <v>0</v>
      </c>
      <c r="AA1936" s="39" t="n">
        <f aca="false">IF(AND(E1936&gt;0,B1936=10),1,0)</f>
        <v>0</v>
      </c>
      <c r="AB1936" s="0" t="str">
        <f aca="false">IF(AND(C1935=C1936,Y1935=Y1936-1),Z1935,"")</f>
        <v/>
      </c>
      <c r="AC1936" s="0" t="str">
        <f aca="false">IF(AND(C1935=C1936,Y1935=Y1936-1),AA1935,"")</f>
        <v/>
      </c>
      <c r="AD1936" s="0" t="str">
        <f aca="false">IF(Y1936=1,"",IF(AND(Z1936=1,AB1936&lt;&gt;1),1,0))</f>
        <v/>
      </c>
      <c r="AE1936" s="0" t="str">
        <f aca="false">IF(Y1936=1,"",IF(AND(AA1936=1,AC1936&lt;&gt;1),1,0))</f>
        <v/>
      </c>
      <c r="AF1936" s="45" t="str">
        <f aca="false">IF(AND(E1936&gt;0,Y1936&lt;1,NOT(AND(C1937=C1936,Y1937=Y1936+1))),INDEX(DATAS,Y1936+1),"")</f>
        <v/>
      </c>
      <c r="AG1936" s="45" t="str">
        <f aca="false">IF(AND(AA1936=1,Y1936&lt;1),IF(AND(C1937=C1936,Y1937=Y1936+1),IF(AA1937=1,"",INDEX(DATAS,Y1936+1)),INDEX(DATAS,Y1936+1)),"")</f>
        <v/>
      </c>
    </row>
    <row r="1937" customFormat="false" ht="15" hidden="false" customHeight="false" outlineLevel="0" collapsed="false">
      <c r="A1937" s="45" t="n">
        <v>46309</v>
      </c>
      <c r="B1937" s="0" t="n">
        <v>11</v>
      </c>
      <c r="C1937" s="0" t="n">
        <v>6178</v>
      </c>
      <c r="E1937" s="0" t="n">
        <v>0</v>
      </c>
      <c r="F1937" s="39" t="s">
        <v>1082</v>
      </c>
      <c r="I1937" s="39" t="s">
        <v>138</v>
      </c>
      <c r="U1937" s="0" t="n">
        <v>657</v>
      </c>
      <c r="V1937" s="0" t="n">
        <v>12</v>
      </c>
      <c r="W1937" s="39" t="n">
        <f aca="false">IF(I1937="Male",0,1)</f>
        <v>1</v>
      </c>
      <c r="X1937" s="39" t="n">
        <f aca="false">IF(OR(I1937="DNB",I1937="Dry DNB"),1,0)</f>
        <v>0</v>
      </c>
      <c r="Y1937" s="39" t="n">
        <f aca="false">MATCH(A1937,DATAS,0)</f>
        <v>1</v>
      </c>
      <c r="Z1937" s="39" t="n">
        <f aca="false">IF(AND(E1937&gt;0,OR(AND(B1937&gt;=1,B1937&lt;=6),B1937=10)),1,0)</f>
        <v>0</v>
      </c>
      <c r="AA1937" s="39" t="n">
        <f aca="false">IF(AND(E1937&gt;0,B1937=10),1,0)</f>
        <v>0</v>
      </c>
      <c r="AB1937" s="0" t="str">
        <f aca="false">IF(AND(C1936=C1937,Y1936=Y1937-1),Z1936,"")</f>
        <v/>
      </c>
      <c r="AC1937" s="0" t="str">
        <f aca="false">IF(AND(C1936=C1937,Y1936=Y1937-1),AA1936,"")</f>
        <v/>
      </c>
      <c r="AD1937" s="0" t="str">
        <f aca="false">IF(Y1937=1,"",IF(AND(Z1937=1,AB1937&lt;&gt;1),1,0))</f>
        <v/>
      </c>
      <c r="AE1937" s="0" t="str">
        <f aca="false">IF(Y1937=1,"",IF(AND(AA1937=1,AC1937&lt;&gt;1),1,0))</f>
        <v/>
      </c>
      <c r="AF1937" s="45" t="str">
        <f aca="false">IF(AND(E1937&gt;0,Y1937&lt;1,NOT(AND(C1938=C1937,Y1938=Y1937+1))),INDEX(DATAS,Y1937+1),"")</f>
        <v/>
      </c>
      <c r="AG1937" s="45" t="str">
        <f aca="false">IF(AND(AA1937=1,Y1937&lt;1),IF(AND(C1938=C1937,Y1938=Y1937+1),IF(AA1938=1,"",INDEX(DATAS,Y1937+1)),INDEX(DATAS,Y1937+1)),"")</f>
        <v/>
      </c>
    </row>
    <row r="1938" customFormat="false" ht="15" hidden="false" customHeight="false" outlineLevel="0" collapsed="false">
      <c r="A1938" s="45" t="n">
        <v>46309</v>
      </c>
      <c r="B1938" s="0" t="n">
        <v>1</v>
      </c>
      <c r="C1938" s="0" t="n">
        <v>6180</v>
      </c>
      <c r="D1938" s="0" t="n">
        <v>58</v>
      </c>
      <c r="E1938" s="0" t="n">
        <v>1</v>
      </c>
      <c r="F1938" s="39" t="s">
        <v>1083</v>
      </c>
      <c r="G1938" s="0" t="n">
        <v>26.9</v>
      </c>
      <c r="H1938" s="0" t="n">
        <v>26</v>
      </c>
      <c r="I1938" s="39" t="s">
        <v>118</v>
      </c>
      <c r="J1938" s="0" t="n">
        <v>58</v>
      </c>
      <c r="P1938" s="0" t="n">
        <v>4.37</v>
      </c>
      <c r="Q1938" s="0" t="n">
        <v>3.66</v>
      </c>
      <c r="R1938" s="0" t="n">
        <v>2044</v>
      </c>
      <c r="S1938" s="0" t="n">
        <v>4110</v>
      </c>
      <c r="U1938" s="0" t="n">
        <v>656</v>
      </c>
      <c r="V1938" s="0" t="n">
        <v>0</v>
      </c>
      <c r="W1938" s="39" t="n">
        <f aca="false">IF(I1938="Male",0,1)</f>
        <v>1</v>
      </c>
      <c r="X1938" s="39" t="n">
        <f aca="false">IF(OR(I1938="DNB",I1938="Dry DNB"),1,0)</f>
        <v>0</v>
      </c>
      <c r="Y1938" s="39" t="n">
        <f aca="false">MATCH(A1938,DATAS,0)</f>
        <v>1</v>
      </c>
      <c r="Z1938" s="39" t="n">
        <f aca="false">IF(AND(E1938&gt;0,OR(AND(B1938&gt;=1,B1938&lt;=6),B1938=10)),1,0)</f>
        <v>1</v>
      </c>
      <c r="AA1938" s="39" t="n">
        <f aca="false">IF(AND(E1938&gt;0,B1938=10),1,0)</f>
        <v>0</v>
      </c>
      <c r="AB1938" s="0" t="str">
        <f aca="false">IF(AND(C1937=C1938,Y1937=Y1938-1),Z1937,"")</f>
        <v/>
      </c>
      <c r="AC1938" s="0" t="str">
        <f aca="false">IF(AND(C1937=C1938,Y1937=Y1938-1),AA1937,"")</f>
        <v/>
      </c>
      <c r="AD1938" s="0" t="str">
        <f aca="false">IF(Y1938=1,"",IF(AND(Z1938=1,AB1938&lt;&gt;1),1,0))</f>
        <v/>
      </c>
      <c r="AE1938" s="0" t="str">
        <f aca="false">IF(Y1938=1,"",IF(AND(AA1938=1,AC1938&lt;&gt;1),1,0))</f>
        <v/>
      </c>
      <c r="AF1938" s="45" t="str">
        <f aca="false">IF(AND(E1938&gt;0,Y1938&lt;1,NOT(AND(C1939=C1938,Y1939=Y1938+1))),INDEX(DATAS,Y1938+1),"")</f>
        <v/>
      </c>
      <c r="AG1938" s="45" t="str">
        <f aca="false">IF(AND(AA1938=1,Y1938&lt;1),IF(AND(C1939=C1938,Y1939=Y1938+1),IF(AA1939=1,"",INDEX(DATAS,Y1938+1)),INDEX(DATAS,Y1938+1)),"")</f>
        <v/>
      </c>
    </row>
    <row r="1939" customFormat="false" ht="15" hidden="false" customHeight="false" outlineLevel="0" collapsed="false">
      <c r="A1939" s="45" t="n">
        <v>46309</v>
      </c>
      <c r="B1939" s="0" t="n">
        <v>8</v>
      </c>
      <c r="C1939" s="0" t="n">
        <v>6181</v>
      </c>
      <c r="E1939" s="0" t="n">
        <v>0</v>
      </c>
      <c r="F1939" s="39" t="s">
        <v>1083</v>
      </c>
      <c r="I1939" s="39" t="s">
        <v>109</v>
      </c>
      <c r="L1939" s="0" t="n">
        <v>201</v>
      </c>
      <c r="U1939" s="0" t="n">
        <v>656</v>
      </c>
      <c r="V1939" s="0" t="n">
        <v>4</v>
      </c>
      <c r="W1939" s="39" t="n">
        <f aca="false">IF(I1939="Male",0,1)</f>
        <v>1</v>
      </c>
      <c r="X1939" s="39" t="n">
        <f aca="false">IF(OR(I1939="DNB",I1939="Dry DNB"),1,0)</f>
        <v>0</v>
      </c>
      <c r="Y1939" s="39" t="n">
        <f aca="false">MATCH(A1939,DATAS,0)</f>
        <v>1</v>
      </c>
      <c r="Z1939" s="39" t="n">
        <f aca="false">IF(AND(E1939&gt;0,OR(AND(B1939&gt;=1,B1939&lt;=6),B1939=10)),1,0)</f>
        <v>0</v>
      </c>
      <c r="AA1939" s="39" t="n">
        <f aca="false">IF(AND(E1939&gt;0,B1939=10),1,0)</f>
        <v>0</v>
      </c>
      <c r="AB1939" s="0" t="str">
        <f aca="false">IF(AND(C1938=C1939,Y1938=Y1939-1),Z1938,"")</f>
        <v/>
      </c>
      <c r="AC1939" s="0" t="str">
        <f aca="false">IF(AND(C1938=C1939,Y1938=Y1939-1),AA1938,"")</f>
        <v/>
      </c>
      <c r="AD1939" s="0" t="str">
        <f aca="false">IF(Y1939=1,"",IF(AND(Z1939=1,AB1939&lt;&gt;1),1,0))</f>
        <v/>
      </c>
      <c r="AE1939" s="0" t="str">
        <f aca="false">IF(Y1939=1,"",IF(AND(AA1939=1,AC1939&lt;&gt;1),1,0))</f>
        <v/>
      </c>
      <c r="AF1939" s="45" t="str">
        <f aca="false">IF(AND(E1939&gt;0,Y1939&lt;1,NOT(AND(C1940=C1939,Y1940=Y1939+1))),INDEX(DATAS,Y1939+1),"")</f>
        <v/>
      </c>
      <c r="AG1939" s="45" t="str">
        <f aca="false">IF(AND(AA1939=1,Y1939&lt;1),IF(AND(C1940=C1939,Y1940=Y1939+1),IF(AA1940=1,"",INDEX(DATAS,Y1939+1)),INDEX(DATAS,Y1939+1)),"")</f>
        <v/>
      </c>
    </row>
    <row r="1940" customFormat="false" ht="15" hidden="false" customHeight="false" outlineLevel="0" collapsed="false">
      <c r="A1940" s="45" t="n">
        <v>46309</v>
      </c>
      <c r="B1940" s="0" t="n">
        <v>8</v>
      </c>
      <c r="C1940" s="0" t="n">
        <v>6183</v>
      </c>
      <c r="E1940" s="0" t="n">
        <v>0</v>
      </c>
      <c r="F1940" s="39" t="s">
        <v>1084</v>
      </c>
      <c r="I1940" s="39" t="s">
        <v>109</v>
      </c>
      <c r="L1940" s="0" t="n">
        <v>248</v>
      </c>
      <c r="U1940" s="0" t="n">
        <v>655</v>
      </c>
      <c r="V1940" s="0" t="n">
        <v>2</v>
      </c>
      <c r="W1940" s="39" t="n">
        <f aca="false">IF(I1940="Male",0,1)</f>
        <v>1</v>
      </c>
      <c r="X1940" s="39" t="n">
        <f aca="false">IF(OR(I1940="DNB",I1940="Dry DNB"),1,0)</f>
        <v>0</v>
      </c>
      <c r="Y1940" s="39" t="n">
        <f aca="false">MATCH(A1940,DATAS,0)</f>
        <v>1</v>
      </c>
      <c r="Z1940" s="39" t="n">
        <f aca="false">IF(AND(E1940&gt;0,OR(AND(B1940&gt;=1,B1940&lt;=6),B1940=10)),1,0)</f>
        <v>0</v>
      </c>
      <c r="AA1940" s="39" t="n">
        <f aca="false">IF(AND(E1940&gt;0,B1940=10),1,0)</f>
        <v>0</v>
      </c>
      <c r="AB1940" s="0" t="str">
        <f aca="false">IF(AND(C1939=C1940,Y1939=Y1940-1),Z1939,"")</f>
        <v/>
      </c>
      <c r="AC1940" s="0" t="str">
        <f aca="false">IF(AND(C1939=C1940,Y1939=Y1940-1),AA1939,"")</f>
        <v/>
      </c>
      <c r="AD1940" s="0" t="str">
        <f aca="false">IF(Y1940=1,"",IF(AND(Z1940=1,AB1940&lt;&gt;1),1,0))</f>
        <v/>
      </c>
      <c r="AE1940" s="0" t="str">
        <f aca="false">IF(Y1940=1,"",IF(AND(AA1940=1,AC1940&lt;&gt;1),1,0))</f>
        <v/>
      </c>
      <c r="AF1940" s="45" t="str">
        <f aca="false">IF(AND(E1940&gt;0,Y1940&lt;1,NOT(AND(C1941=C1940,Y1941=Y1940+1))),INDEX(DATAS,Y1940+1),"")</f>
        <v/>
      </c>
      <c r="AG1940" s="45" t="str">
        <f aca="false">IF(AND(AA1940=1,Y1940&lt;1),IF(AND(C1941=C1940,Y1941=Y1940+1),IF(AA1941=1,"",INDEX(DATAS,Y1940+1)),INDEX(DATAS,Y1940+1)),"")</f>
        <v/>
      </c>
    </row>
    <row r="1941" customFormat="false" ht="15" hidden="false" customHeight="false" outlineLevel="0" collapsed="false">
      <c r="A1941" s="45" t="n">
        <v>46309</v>
      </c>
      <c r="B1941" s="0" t="n">
        <v>14</v>
      </c>
      <c r="C1941" s="0" t="n">
        <v>6185</v>
      </c>
      <c r="E1941" s="0" t="n">
        <v>0</v>
      </c>
      <c r="F1941" s="39" t="s">
        <v>1085</v>
      </c>
      <c r="I1941" s="39" t="s">
        <v>109</v>
      </c>
      <c r="L1941" s="0" t="n">
        <v>259</v>
      </c>
      <c r="U1941" s="0" t="n">
        <v>654</v>
      </c>
      <c r="V1941" s="0" t="n">
        <v>2</v>
      </c>
      <c r="W1941" s="39" t="n">
        <f aca="false">IF(I1941="Male",0,1)</f>
        <v>1</v>
      </c>
      <c r="X1941" s="39" t="n">
        <f aca="false">IF(OR(I1941="DNB",I1941="Dry DNB"),1,0)</f>
        <v>0</v>
      </c>
      <c r="Y1941" s="39" t="n">
        <f aca="false">MATCH(A1941,DATAS,0)</f>
        <v>1</v>
      </c>
      <c r="Z1941" s="39" t="n">
        <f aca="false">IF(AND(E1941&gt;0,OR(AND(B1941&gt;=1,B1941&lt;=6),B1941=10)),1,0)</f>
        <v>0</v>
      </c>
      <c r="AA1941" s="39" t="n">
        <f aca="false">IF(AND(E1941&gt;0,B1941=10),1,0)</f>
        <v>0</v>
      </c>
      <c r="AB1941" s="0" t="str">
        <f aca="false">IF(AND(C1940=C1941,Y1940=Y1941-1),Z1940,"")</f>
        <v/>
      </c>
      <c r="AC1941" s="0" t="str">
        <f aca="false">IF(AND(C1940=C1941,Y1940=Y1941-1),AA1940,"")</f>
        <v/>
      </c>
      <c r="AD1941" s="0" t="str">
        <f aca="false">IF(Y1941=1,"",IF(AND(Z1941=1,AB1941&lt;&gt;1),1,0))</f>
        <v/>
      </c>
      <c r="AE1941" s="0" t="str">
        <f aca="false">IF(Y1941=1,"",IF(AND(AA1941=1,AC1941&lt;&gt;1),1,0))</f>
        <v/>
      </c>
      <c r="AF1941" s="45" t="str">
        <f aca="false">IF(AND(E1941&gt;0,Y1941&lt;1,NOT(AND(C1942=C1941,Y1942=Y1941+1))),INDEX(DATAS,Y1941+1),"")</f>
        <v/>
      </c>
      <c r="AG1941" s="45" t="str">
        <f aca="false">IF(AND(AA1941=1,Y1941&lt;1),IF(AND(C1942=C1941,Y1942=Y1941+1),IF(AA1942=1,"",INDEX(DATAS,Y1941+1)),INDEX(DATAS,Y1941+1)),"")</f>
        <v/>
      </c>
    </row>
    <row r="1942" customFormat="false" ht="15" hidden="false" customHeight="false" outlineLevel="0" collapsed="false">
      <c r="A1942" s="45" t="n">
        <v>46309</v>
      </c>
      <c r="B1942" s="0" t="n">
        <v>8</v>
      </c>
      <c r="C1942" s="0" t="n">
        <v>6186</v>
      </c>
      <c r="E1942" s="0" t="n">
        <v>0</v>
      </c>
      <c r="F1942" s="39" t="s">
        <v>1086</v>
      </c>
      <c r="I1942" s="39" t="s">
        <v>109</v>
      </c>
      <c r="L1942" s="0" t="n">
        <v>141</v>
      </c>
      <c r="U1942" s="0" t="n">
        <v>653</v>
      </c>
      <c r="V1942" s="0" t="n">
        <v>7</v>
      </c>
      <c r="W1942" s="39" t="n">
        <f aca="false">IF(I1942="Male",0,1)</f>
        <v>1</v>
      </c>
      <c r="X1942" s="39" t="n">
        <f aca="false">IF(OR(I1942="DNB",I1942="Dry DNB"),1,0)</f>
        <v>0</v>
      </c>
      <c r="Y1942" s="39" t="n">
        <f aca="false">MATCH(A1942,DATAS,0)</f>
        <v>1</v>
      </c>
      <c r="Z1942" s="39" t="n">
        <f aca="false">IF(AND(E1942&gt;0,OR(AND(B1942&gt;=1,B1942&lt;=6),B1942=10)),1,0)</f>
        <v>0</v>
      </c>
      <c r="AA1942" s="39" t="n">
        <f aca="false">IF(AND(E1942&gt;0,B1942=10),1,0)</f>
        <v>0</v>
      </c>
      <c r="AB1942" s="0" t="str">
        <f aca="false">IF(AND(C1941=C1942,Y1941=Y1942-1),Z1941,"")</f>
        <v/>
      </c>
      <c r="AC1942" s="0" t="str">
        <f aca="false">IF(AND(C1941=C1942,Y1941=Y1942-1),AA1941,"")</f>
        <v/>
      </c>
      <c r="AD1942" s="0" t="str">
        <f aca="false">IF(Y1942=1,"",IF(AND(Z1942=1,AB1942&lt;&gt;1),1,0))</f>
        <v/>
      </c>
      <c r="AE1942" s="0" t="str">
        <f aca="false">IF(Y1942=1,"",IF(AND(AA1942=1,AC1942&lt;&gt;1),1,0))</f>
        <v/>
      </c>
      <c r="AF1942" s="45" t="str">
        <f aca="false">IF(AND(E1942&gt;0,Y1942&lt;1,NOT(AND(C1943=C1942,Y1943=Y1942+1))),INDEX(DATAS,Y1942+1),"")</f>
        <v/>
      </c>
      <c r="AG1942" s="45" t="str">
        <f aca="false">IF(AND(AA1942=1,Y1942&lt;1),IF(AND(C1943=C1942,Y1943=Y1942+1),IF(AA1943=1,"",INDEX(DATAS,Y1942+1)),INDEX(DATAS,Y1942+1)),"")</f>
        <v/>
      </c>
    </row>
    <row r="1943" customFormat="false" ht="15" hidden="false" customHeight="false" outlineLevel="0" collapsed="false">
      <c r="A1943" s="45" t="n">
        <v>46309</v>
      </c>
      <c r="B1943" s="0" t="n">
        <v>8</v>
      </c>
      <c r="C1943" s="0" t="n">
        <v>6187</v>
      </c>
      <c r="E1943" s="0" t="n">
        <v>0</v>
      </c>
      <c r="F1943" s="39" t="s">
        <v>1086</v>
      </c>
      <c r="I1943" s="39" t="s">
        <v>109</v>
      </c>
      <c r="L1943" s="0" t="n">
        <v>185</v>
      </c>
      <c r="U1943" s="0" t="n">
        <v>653</v>
      </c>
      <c r="V1943" s="0" t="n">
        <v>5</v>
      </c>
      <c r="W1943" s="39" t="n">
        <f aca="false">IF(I1943="Male",0,1)</f>
        <v>1</v>
      </c>
      <c r="X1943" s="39" t="n">
        <f aca="false">IF(OR(I1943="DNB",I1943="Dry DNB"),1,0)</f>
        <v>0</v>
      </c>
      <c r="Y1943" s="39" t="n">
        <f aca="false">MATCH(A1943,DATAS,0)</f>
        <v>1</v>
      </c>
      <c r="Z1943" s="39" t="n">
        <f aca="false">IF(AND(E1943&gt;0,OR(AND(B1943&gt;=1,B1943&lt;=6),B1943=10)),1,0)</f>
        <v>0</v>
      </c>
      <c r="AA1943" s="39" t="n">
        <f aca="false">IF(AND(E1943&gt;0,B1943=10),1,0)</f>
        <v>0</v>
      </c>
      <c r="AB1943" s="0" t="str">
        <f aca="false">IF(AND(C1942=C1943,Y1942=Y1943-1),Z1942,"")</f>
        <v/>
      </c>
      <c r="AC1943" s="0" t="str">
        <f aca="false">IF(AND(C1942=C1943,Y1942=Y1943-1),AA1942,"")</f>
        <v/>
      </c>
      <c r="AD1943" s="0" t="str">
        <f aca="false">IF(Y1943=1,"",IF(AND(Z1943=1,AB1943&lt;&gt;1),1,0))</f>
        <v/>
      </c>
      <c r="AE1943" s="0" t="str">
        <f aca="false">IF(Y1943=1,"",IF(AND(AA1943=1,AC1943&lt;&gt;1),1,0))</f>
        <v/>
      </c>
      <c r="AF1943" s="45" t="str">
        <f aca="false">IF(AND(E1943&gt;0,Y1943&lt;1,NOT(AND(C1944=C1943,Y1944=Y1943+1))),INDEX(DATAS,Y1943+1),"")</f>
        <v/>
      </c>
      <c r="AG1943" s="45" t="str">
        <f aca="false">IF(AND(AA1943=1,Y1943&lt;1),IF(AND(C1944=C1943,Y1944=Y1943+1),IF(AA1944=1,"",INDEX(DATAS,Y1943+1)),INDEX(DATAS,Y1943+1)),"")</f>
        <v/>
      </c>
    </row>
    <row r="1944" customFormat="false" ht="15" hidden="false" customHeight="false" outlineLevel="0" collapsed="false">
      <c r="A1944" s="45" t="n">
        <v>46309</v>
      </c>
      <c r="B1944" s="0" t="n">
        <v>1</v>
      </c>
      <c r="C1944" s="0" t="n">
        <v>6188</v>
      </c>
      <c r="D1944" s="0" t="n">
        <v>18</v>
      </c>
      <c r="E1944" s="0" t="n">
        <v>1</v>
      </c>
      <c r="F1944" s="39" t="s">
        <v>1086</v>
      </c>
      <c r="G1944" s="0" t="n">
        <v>39.2</v>
      </c>
      <c r="H1944" s="0" t="n">
        <v>40</v>
      </c>
      <c r="I1944" s="39" t="s">
        <v>118</v>
      </c>
      <c r="J1944" s="0" t="n">
        <v>18</v>
      </c>
      <c r="R1944" s="0" t="n">
        <v>3430</v>
      </c>
      <c r="S1944" s="0" t="n">
        <v>6896</v>
      </c>
      <c r="U1944" s="0" t="n">
        <v>653</v>
      </c>
      <c r="V1944" s="0" t="n">
        <v>0</v>
      </c>
      <c r="W1944" s="39" t="n">
        <f aca="false">IF(I1944="Male",0,1)</f>
        <v>1</v>
      </c>
      <c r="X1944" s="39" t="n">
        <f aca="false">IF(OR(I1944="DNB",I1944="Dry DNB"),1,0)</f>
        <v>0</v>
      </c>
      <c r="Y1944" s="39" t="n">
        <f aca="false">MATCH(A1944,DATAS,0)</f>
        <v>1</v>
      </c>
      <c r="Z1944" s="39" t="n">
        <f aca="false">IF(AND(E1944&gt;0,OR(AND(B1944&gt;=1,B1944&lt;=6),B1944=10)),1,0)</f>
        <v>1</v>
      </c>
      <c r="AA1944" s="39" t="n">
        <f aca="false">IF(AND(E1944&gt;0,B1944=10),1,0)</f>
        <v>0</v>
      </c>
      <c r="AB1944" s="0" t="str">
        <f aca="false">IF(AND(C1943=C1944,Y1943=Y1944-1),Z1943,"")</f>
        <v/>
      </c>
      <c r="AC1944" s="0" t="str">
        <f aca="false">IF(AND(C1943=C1944,Y1943=Y1944-1),AA1943,"")</f>
        <v/>
      </c>
      <c r="AD1944" s="0" t="str">
        <f aca="false">IF(Y1944=1,"",IF(AND(Z1944=1,AB1944&lt;&gt;1),1,0))</f>
        <v/>
      </c>
      <c r="AE1944" s="0" t="str">
        <f aca="false">IF(Y1944=1,"",IF(AND(AA1944=1,AC1944&lt;&gt;1),1,0))</f>
        <v/>
      </c>
      <c r="AF1944" s="45" t="str">
        <f aca="false">IF(AND(E1944&gt;0,Y1944&lt;1,NOT(AND(C1945=C1944,Y1945=Y1944+1))),INDEX(DATAS,Y1944+1),"")</f>
        <v/>
      </c>
      <c r="AG1944" s="45" t="str">
        <f aca="false">IF(AND(AA1944=1,Y1944&lt;1),IF(AND(C1945=C1944,Y1945=Y1944+1),IF(AA1945=1,"",INDEX(DATAS,Y1944+1)),INDEX(DATAS,Y1944+1)),"")</f>
        <v/>
      </c>
    </row>
    <row r="1945" customFormat="false" ht="15" hidden="false" customHeight="false" outlineLevel="0" collapsed="false">
      <c r="A1945" s="45" t="n">
        <v>46309</v>
      </c>
      <c r="B1945" s="0" t="n">
        <v>8</v>
      </c>
      <c r="C1945" s="0" t="n">
        <v>6189</v>
      </c>
      <c r="E1945" s="0" t="n">
        <v>0</v>
      </c>
      <c r="F1945" s="39" t="s">
        <v>1086</v>
      </c>
      <c r="I1945" s="39" t="s">
        <v>109</v>
      </c>
      <c r="L1945" s="0" t="n">
        <v>210</v>
      </c>
      <c r="U1945" s="0" t="n">
        <v>653</v>
      </c>
      <c r="V1945" s="0" t="n">
        <v>3</v>
      </c>
      <c r="W1945" s="39" t="n">
        <f aca="false">IF(I1945="Male",0,1)</f>
        <v>1</v>
      </c>
      <c r="X1945" s="39" t="n">
        <f aca="false">IF(OR(I1945="DNB",I1945="Dry DNB"),1,0)</f>
        <v>0</v>
      </c>
      <c r="Y1945" s="39" t="n">
        <f aca="false">MATCH(A1945,DATAS,0)</f>
        <v>1</v>
      </c>
      <c r="Z1945" s="39" t="n">
        <f aca="false">IF(AND(E1945&gt;0,OR(AND(B1945&gt;=1,B1945&lt;=6),B1945=10)),1,0)</f>
        <v>0</v>
      </c>
      <c r="AA1945" s="39" t="n">
        <f aca="false">IF(AND(E1945&gt;0,B1945=10),1,0)</f>
        <v>0</v>
      </c>
      <c r="AB1945" s="0" t="str">
        <f aca="false">IF(AND(C1944=C1945,Y1944=Y1945-1),Z1944,"")</f>
        <v/>
      </c>
      <c r="AC1945" s="0" t="str">
        <f aca="false">IF(AND(C1944=C1945,Y1944=Y1945-1),AA1944,"")</f>
        <v/>
      </c>
      <c r="AD1945" s="0" t="str">
        <f aca="false">IF(Y1945=1,"",IF(AND(Z1945=1,AB1945&lt;&gt;1),1,0))</f>
        <v/>
      </c>
      <c r="AE1945" s="0" t="str">
        <f aca="false">IF(Y1945=1,"",IF(AND(AA1945=1,AC1945&lt;&gt;1),1,0))</f>
        <v/>
      </c>
      <c r="AF1945" s="45" t="str">
        <f aca="false">IF(AND(E1945&gt;0,Y1945&lt;1,NOT(AND(C1946=C1945,Y1946=Y1945+1))),INDEX(DATAS,Y1945+1),"")</f>
        <v/>
      </c>
      <c r="AG1945" s="45" t="str">
        <f aca="false">IF(AND(AA1945=1,Y1945&lt;1),IF(AND(C1946=C1945,Y1946=Y1945+1),IF(AA1946=1,"",INDEX(DATAS,Y1945+1)),INDEX(DATAS,Y1945+1)),"")</f>
        <v/>
      </c>
    </row>
    <row r="1946" customFormat="false" ht="15" hidden="false" customHeight="false" outlineLevel="0" collapsed="false">
      <c r="A1946" s="45" t="n">
        <v>46309</v>
      </c>
      <c r="B1946" s="0" t="n">
        <v>8</v>
      </c>
      <c r="C1946" s="0" t="n">
        <v>6190</v>
      </c>
      <c r="E1946" s="0" t="n">
        <v>0</v>
      </c>
      <c r="F1946" s="39" t="s">
        <v>1087</v>
      </c>
      <c r="I1946" s="39" t="s">
        <v>109</v>
      </c>
      <c r="L1946" s="0" t="n">
        <v>160</v>
      </c>
      <c r="U1946" s="0" t="n">
        <v>652</v>
      </c>
      <c r="V1946" s="0" t="n">
        <v>4</v>
      </c>
      <c r="W1946" s="39" t="n">
        <f aca="false">IF(I1946="Male",0,1)</f>
        <v>1</v>
      </c>
      <c r="X1946" s="39" t="n">
        <f aca="false">IF(OR(I1946="DNB",I1946="Dry DNB"),1,0)</f>
        <v>0</v>
      </c>
      <c r="Y1946" s="39" t="n">
        <f aca="false">MATCH(A1946,DATAS,0)</f>
        <v>1</v>
      </c>
      <c r="Z1946" s="39" t="n">
        <f aca="false">IF(AND(E1946&gt;0,OR(AND(B1946&gt;=1,B1946&lt;=6),B1946=10)),1,0)</f>
        <v>0</v>
      </c>
      <c r="AA1946" s="39" t="n">
        <f aca="false">IF(AND(E1946&gt;0,B1946=10),1,0)</f>
        <v>0</v>
      </c>
      <c r="AB1946" s="0" t="str">
        <f aca="false">IF(AND(C1945=C1946,Y1945=Y1946-1),Z1945,"")</f>
        <v/>
      </c>
      <c r="AC1946" s="0" t="str">
        <f aca="false">IF(AND(C1945=C1946,Y1945=Y1946-1),AA1945,"")</f>
        <v/>
      </c>
      <c r="AD1946" s="0" t="str">
        <f aca="false">IF(Y1946=1,"",IF(AND(Z1946=1,AB1946&lt;&gt;1),1,0))</f>
        <v/>
      </c>
      <c r="AE1946" s="0" t="str">
        <f aca="false">IF(Y1946=1,"",IF(AND(AA1946=1,AC1946&lt;&gt;1),1,0))</f>
        <v/>
      </c>
      <c r="AF1946" s="45" t="str">
        <f aca="false">IF(AND(E1946&gt;0,Y1946&lt;1,NOT(AND(C1947=C1946,Y1947=Y1946+1))),INDEX(DATAS,Y1946+1),"")</f>
        <v/>
      </c>
      <c r="AG1946" s="45" t="str">
        <f aca="false">IF(AND(AA1946=1,Y1946&lt;1),IF(AND(C1947=C1946,Y1947=Y1946+1),IF(AA1947=1,"",INDEX(DATAS,Y1946+1)),INDEX(DATAS,Y1946+1)),"")</f>
        <v/>
      </c>
    </row>
    <row r="1947" customFormat="false" ht="15" hidden="false" customHeight="false" outlineLevel="0" collapsed="false">
      <c r="A1947" s="45" t="n">
        <v>46309</v>
      </c>
      <c r="B1947" s="0" t="n">
        <v>8</v>
      </c>
      <c r="C1947" s="0" t="n">
        <v>6191</v>
      </c>
      <c r="E1947" s="0" t="n">
        <v>0</v>
      </c>
      <c r="F1947" s="39" t="s">
        <v>1088</v>
      </c>
      <c r="I1947" s="39" t="s">
        <v>109</v>
      </c>
      <c r="L1947" s="0" t="n">
        <v>109</v>
      </c>
      <c r="U1947" s="0" t="n">
        <v>651</v>
      </c>
      <c r="V1947" s="0" t="n">
        <v>6</v>
      </c>
      <c r="W1947" s="39" t="n">
        <f aca="false">IF(I1947="Male",0,1)</f>
        <v>1</v>
      </c>
      <c r="X1947" s="39" t="n">
        <f aca="false">IF(OR(I1947="DNB",I1947="Dry DNB"),1,0)</f>
        <v>0</v>
      </c>
      <c r="Y1947" s="39" t="n">
        <f aca="false">MATCH(A1947,DATAS,0)</f>
        <v>1</v>
      </c>
      <c r="Z1947" s="39" t="n">
        <f aca="false">IF(AND(E1947&gt;0,OR(AND(B1947&gt;=1,B1947&lt;=6),B1947=10)),1,0)</f>
        <v>0</v>
      </c>
      <c r="AA1947" s="39" t="n">
        <f aca="false">IF(AND(E1947&gt;0,B1947=10),1,0)</f>
        <v>0</v>
      </c>
      <c r="AB1947" s="0" t="str">
        <f aca="false">IF(AND(C1946=C1947,Y1946=Y1947-1),Z1946,"")</f>
        <v/>
      </c>
      <c r="AC1947" s="0" t="str">
        <f aca="false">IF(AND(C1946=C1947,Y1946=Y1947-1),AA1946,"")</f>
        <v/>
      </c>
      <c r="AD1947" s="0" t="str">
        <f aca="false">IF(Y1947=1,"",IF(AND(Z1947=1,AB1947&lt;&gt;1),1,0))</f>
        <v/>
      </c>
      <c r="AE1947" s="0" t="str">
        <f aca="false">IF(Y1947=1,"",IF(AND(AA1947=1,AC1947&lt;&gt;1),1,0))</f>
        <v/>
      </c>
      <c r="AF1947" s="45" t="str">
        <f aca="false">IF(AND(E1947&gt;0,Y1947&lt;1,NOT(AND(C1948=C1947,Y1948=Y1947+1))),INDEX(DATAS,Y1947+1),"")</f>
        <v/>
      </c>
      <c r="AG1947" s="45" t="str">
        <f aca="false">IF(AND(AA1947=1,Y1947&lt;1),IF(AND(C1948=C1947,Y1948=Y1947+1),IF(AA1948=1,"",INDEX(DATAS,Y1947+1)),INDEX(DATAS,Y1947+1)),"")</f>
        <v/>
      </c>
    </row>
    <row r="1948" customFormat="false" ht="15" hidden="false" customHeight="false" outlineLevel="0" collapsed="false">
      <c r="A1948" s="45" t="n">
        <v>46309</v>
      </c>
      <c r="B1948" s="0" t="n">
        <v>1</v>
      </c>
      <c r="C1948" s="0" t="n">
        <v>6193</v>
      </c>
      <c r="D1948" s="0" t="n">
        <v>7</v>
      </c>
      <c r="E1948" s="0" t="n">
        <v>1</v>
      </c>
      <c r="F1948" s="39" t="s">
        <v>1088</v>
      </c>
      <c r="G1948" s="0" t="n">
        <v>29.3</v>
      </c>
      <c r="H1948" s="0" t="n">
        <v>24</v>
      </c>
      <c r="I1948" s="39" t="s">
        <v>118</v>
      </c>
      <c r="J1948" s="0" t="n">
        <v>7</v>
      </c>
      <c r="R1948" s="0" t="n">
        <v>2505</v>
      </c>
      <c r="S1948" s="0" t="n">
        <v>5035</v>
      </c>
      <c r="U1948" s="0" t="n">
        <v>651</v>
      </c>
      <c r="V1948" s="0" t="n">
        <v>0</v>
      </c>
      <c r="W1948" s="39" t="n">
        <f aca="false">IF(I1948="Male",0,1)</f>
        <v>1</v>
      </c>
      <c r="X1948" s="39" t="n">
        <f aca="false">IF(OR(I1948="DNB",I1948="Dry DNB"),1,0)</f>
        <v>0</v>
      </c>
      <c r="Y1948" s="39" t="n">
        <f aca="false">MATCH(A1948,DATAS,0)</f>
        <v>1</v>
      </c>
      <c r="Z1948" s="39" t="n">
        <f aca="false">IF(AND(E1948&gt;0,OR(AND(B1948&gt;=1,B1948&lt;=6),B1948=10)),1,0)</f>
        <v>1</v>
      </c>
      <c r="AA1948" s="39" t="n">
        <f aca="false">IF(AND(E1948&gt;0,B1948=10),1,0)</f>
        <v>0</v>
      </c>
      <c r="AB1948" s="0" t="str">
        <f aca="false">IF(AND(C1947=C1948,Y1947=Y1948-1),Z1947,"")</f>
        <v/>
      </c>
      <c r="AC1948" s="0" t="str">
        <f aca="false">IF(AND(C1947=C1948,Y1947=Y1948-1),AA1947,"")</f>
        <v/>
      </c>
      <c r="AD1948" s="0" t="str">
        <f aca="false">IF(Y1948=1,"",IF(AND(Z1948=1,AB1948&lt;&gt;1),1,0))</f>
        <v/>
      </c>
      <c r="AE1948" s="0" t="str">
        <f aca="false">IF(Y1948=1,"",IF(AND(AA1948=1,AC1948&lt;&gt;1),1,0))</f>
        <v/>
      </c>
      <c r="AF1948" s="45" t="str">
        <f aca="false">IF(AND(E1948&gt;0,Y1948&lt;1,NOT(AND(C1949=C1948,Y1949=Y1948+1))),INDEX(DATAS,Y1948+1),"")</f>
        <v/>
      </c>
      <c r="AG1948" s="45" t="str">
        <f aca="false">IF(AND(AA1948=1,Y1948&lt;1),IF(AND(C1949=C1948,Y1949=Y1948+1),IF(AA1949=1,"",INDEX(DATAS,Y1948+1)),INDEX(DATAS,Y1948+1)),"")</f>
        <v/>
      </c>
    </row>
    <row r="1949" customFormat="false" ht="15" hidden="false" customHeight="false" outlineLevel="0" collapsed="false">
      <c r="A1949" s="45" t="n">
        <v>46309</v>
      </c>
      <c r="B1949" s="0" t="n">
        <v>1</v>
      </c>
      <c r="C1949" s="0" t="n">
        <v>6195</v>
      </c>
      <c r="D1949" s="0" t="n">
        <v>24</v>
      </c>
      <c r="E1949" s="0" t="n">
        <v>1</v>
      </c>
      <c r="F1949" s="39" t="s">
        <v>1088</v>
      </c>
      <c r="G1949" s="0" t="n">
        <v>16.3</v>
      </c>
      <c r="H1949" s="0" t="n">
        <v>13</v>
      </c>
      <c r="I1949" s="39" t="s">
        <v>118</v>
      </c>
      <c r="J1949" s="0" t="n">
        <v>24</v>
      </c>
      <c r="R1949" s="0" t="n">
        <v>865</v>
      </c>
      <c r="S1949" s="0" t="n">
        <v>1739</v>
      </c>
      <c r="U1949" s="0" t="n">
        <v>651</v>
      </c>
      <c r="V1949" s="0" t="n">
        <v>0</v>
      </c>
      <c r="W1949" s="39" t="n">
        <f aca="false">IF(I1949="Male",0,1)</f>
        <v>1</v>
      </c>
      <c r="X1949" s="39" t="n">
        <f aca="false">IF(OR(I1949="DNB",I1949="Dry DNB"),1,0)</f>
        <v>0</v>
      </c>
      <c r="Y1949" s="39" t="n">
        <f aca="false">MATCH(A1949,DATAS,0)</f>
        <v>1</v>
      </c>
      <c r="Z1949" s="39" t="n">
        <f aca="false">IF(AND(E1949&gt;0,OR(AND(B1949&gt;=1,B1949&lt;=6),B1949=10)),1,0)</f>
        <v>1</v>
      </c>
      <c r="AA1949" s="39" t="n">
        <f aca="false">IF(AND(E1949&gt;0,B1949=10),1,0)</f>
        <v>0</v>
      </c>
      <c r="AB1949" s="0" t="str">
        <f aca="false">IF(AND(C1948=C1949,Y1948=Y1949-1),Z1948,"")</f>
        <v/>
      </c>
      <c r="AC1949" s="0" t="str">
        <f aca="false">IF(AND(C1948=C1949,Y1948=Y1949-1),AA1948,"")</f>
        <v/>
      </c>
      <c r="AD1949" s="0" t="str">
        <f aca="false">IF(Y1949=1,"",IF(AND(Z1949=1,AB1949&lt;&gt;1),1,0))</f>
        <v/>
      </c>
      <c r="AE1949" s="0" t="str">
        <f aca="false">IF(Y1949=1,"",IF(AND(AA1949=1,AC1949&lt;&gt;1),1,0))</f>
        <v/>
      </c>
      <c r="AF1949" s="45" t="str">
        <f aca="false">IF(AND(E1949&gt;0,Y1949&lt;1,NOT(AND(C1950=C1949,Y1950=Y1949+1))),INDEX(DATAS,Y1949+1),"")</f>
        <v/>
      </c>
      <c r="AG1949" s="45" t="str">
        <f aca="false">IF(AND(AA1949=1,Y1949&lt;1),IF(AND(C1950=C1949,Y1950=Y1949+1),IF(AA1950=1,"",INDEX(DATAS,Y1949+1)),INDEX(DATAS,Y1949+1)),"")</f>
        <v/>
      </c>
    </row>
    <row r="1950" customFormat="false" ht="15" hidden="false" customHeight="false" outlineLevel="0" collapsed="false">
      <c r="A1950" s="45" t="n">
        <v>46309</v>
      </c>
      <c r="B1950" s="0" t="n">
        <v>13</v>
      </c>
      <c r="C1950" s="0" t="n">
        <v>6196</v>
      </c>
      <c r="E1950" s="0" t="n">
        <v>0</v>
      </c>
      <c r="F1950" s="39" t="s">
        <v>1089</v>
      </c>
      <c r="I1950" s="39" t="s">
        <v>146</v>
      </c>
      <c r="U1950" s="0" t="n">
        <v>649</v>
      </c>
      <c r="V1950" s="0" t="n">
        <v>0</v>
      </c>
      <c r="W1950" s="39" t="n">
        <f aca="false">IF(I1950="Male",0,1)</f>
        <v>1</v>
      </c>
      <c r="X1950" s="39" t="n">
        <f aca="false">IF(OR(I1950="DNB",I1950="Dry DNB"),1,0)</f>
        <v>0</v>
      </c>
      <c r="Y1950" s="39" t="n">
        <f aca="false">MATCH(A1950,DATAS,0)</f>
        <v>1</v>
      </c>
      <c r="Z1950" s="39" t="n">
        <f aca="false">IF(AND(E1950&gt;0,OR(AND(B1950&gt;=1,B1950&lt;=6),B1950=10)),1,0)</f>
        <v>0</v>
      </c>
      <c r="AA1950" s="39" t="n">
        <f aca="false">IF(AND(E1950&gt;0,B1950=10),1,0)</f>
        <v>0</v>
      </c>
      <c r="AB1950" s="0" t="str">
        <f aca="false">IF(AND(C1949=C1950,Y1949=Y1950-1),Z1949,"")</f>
        <v/>
      </c>
      <c r="AC1950" s="0" t="str">
        <f aca="false">IF(AND(C1949=C1950,Y1949=Y1950-1),AA1949,"")</f>
        <v/>
      </c>
      <c r="AD1950" s="0" t="str">
        <f aca="false">IF(Y1950=1,"",IF(AND(Z1950=1,AB1950&lt;&gt;1),1,0))</f>
        <v/>
      </c>
      <c r="AE1950" s="0" t="str">
        <f aca="false">IF(Y1950=1,"",IF(AND(AA1950=1,AC1950&lt;&gt;1),1,0))</f>
        <v/>
      </c>
      <c r="AF1950" s="45" t="str">
        <f aca="false">IF(AND(E1950&gt;0,Y1950&lt;1,NOT(AND(C1951=C1950,Y1951=Y1950+1))),INDEX(DATAS,Y1950+1),"")</f>
        <v/>
      </c>
      <c r="AG1950" s="45" t="str">
        <f aca="false">IF(AND(AA1950=1,Y1950&lt;1),IF(AND(C1951=C1950,Y1951=Y1950+1),IF(AA1951=1,"",INDEX(DATAS,Y1950+1)),INDEX(DATAS,Y1950+1)),"")</f>
        <v/>
      </c>
    </row>
    <row r="1951" customFormat="false" ht="15" hidden="false" customHeight="false" outlineLevel="0" collapsed="false">
      <c r="A1951" s="45" t="n">
        <v>46309</v>
      </c>
      <c r="B1951" s="0" t="n">
        <v>8</v>
      </c>
      <c r="C1951" s="0" t="n">
        <v>6197</v>
      </c>
      <c r="E1951" s="0" t="n">
        <v>0</v>
      </c>
      <c r="F1951" s="39" t="s">
        <v>1089</v>
      </c>
      <c r="I1951" s="39" t="s">
        <v>109</v>
      </c>
      <c r="L1951" s="0" t="n">
        <v>78</v>
      </c>
      <c r="U1951" s="0" t="n">
        <v>649</v>
      </c>
      <c r="V1951" s="0" t="n">
        <v>7</v>
      </c>
      <c r="W1951" s="39" t="n">
        <f aca="false">IF(I1951="Male",0,1)</f>
        <v>1</v>
      </c>
      <c r="X1951" s="39" t="n">
        <f aca="false">IF(OR(I1951="DNB",I1951="Dry DNB"),1,0)</f>
        <v>0</v>
      </c>
      <c r="Y1951" s="39" t="n">
        <f aca="false">MATCH(A1951,DATAS,0)</f>
        <v>1</v>
      </c>
      <c r="Z1951" s="39" t="n">
        <f aca="false">IF(AND(E1951&gt;0,OR(AND(B1951&gt;=1,B1951&lt;=6),B1951=10)),1,0)</f>
        <v>0</v>
      </c>
      <c r="AA1951" s="39" t="n">
        <f aca="false">IF(AND(E1951&gt;0,B1951=10),1,0)</f>
        <v>0</v>
      </c>
      <c r="AB1951" s="0" t="str">
        <f aca="false">IF(AND(C1950=C1951,Y1950=Y1951-1),Z1950,"")</f>
        <v/>
      </c>
      <c r="AC1951" s="0" t="str">
        <f aca="false">IF(AND(C1950=C1951,Y1950=Y1951-1),AA1950,"")</f>
        <v/>
      </c>
      <c r="AD1951" s="0" t="str">
        <f aca="false">IF(Y1951=1,"",IF(AND(Z1951=1,AB1951&lt;&gt;1),1,0))</f>
        <v/>
      </c>
      <c r="AE1951" s="0" t="str">
        <f aca="false">IF(Y1951=1,"",IF(AND(AA1951=1,AC1951&lt;&gt;1),1,0))</f>
        <v/>
      </c>
      <c r="AF1951" s="45" t="str">
        <f aca="false">IF(AND(E1951&gt;0,Y1951&lt;1,NOT(AND(C1952=C1951,Y1952=Y1951+1))),INDEX(DATAS,Y1951+1),"")</f>
        <v/>
      </c>
      <c r="AG1951" s="45" t="str">
        <f aca="false">IF(AND(AA1951=1,Y1951&lt;1),IF(AND(C1952=C1951,Y1952=Y1951+1),IF(AA1952=1,"",INDEX(DATAS,Y1951+1)),INDEX(DATAS,Y1951+1)),"")</f>
        <v/>
      </c>
    </row>
    <row r="1952" customFormat="false" ht="15" hidden="false" customHeight="false" outlineLevel="0" collapsed="false">
      <c r="A1952" s="45" t="n">
        <v>46309</v>
      </c>
      <c r="B1952" s="0" t="n">
        <v>10</v>
      </c>
      <c r="C1952" s="0" t="n">
        <v>6199</v>
      </c>
      <c r="D1952" s="0" t="n">
        <v>11</v>
      </c>
      <c r="E1952" s="0" t="n">
        <v>1</v>
      </c>
      <c r="F1952" s="39" t="s">
        <v>1090</v>
      </c>
      <c r="H1952" s="0" t="n">
        <v>21</v>
      </c>
      <c r="I1952" s="39" t="s">
        <v>118</v>
      </c>
      <c r="J1952" s="0" t="n">
        <v>11</v>
      </c>
      <c r="R1952" s="0" t="n">
        <v>1906</v>
      </c>
      <c r="S1952" s="0" t="n">
        <v>3831</v>
      </c>
      <c r="U1952" s="0" t="n">
        <v>647</v>
      </c>
      <c r="V1952" s="0" t="n">
        <v>0</v>
      </c>
      <c r="W1952" s="39" t="n">
        <f aca="false">IF(I1952="Male",0,1)</f>
        <v>1</v>
      </c>
      <c r="X1952" s="39" t="n">
        <f aca="false">IF(OR(I1952="DNB",I1952="Dry DNB"),1,0)</f>
        <v>0</v>
      </c>
      <c r="Y1952" s="39" t="n">
        <f aca="false">MATCH(A1952,DATAS,0)</f>
        <v>1</v>
      </c>
      <c r="Z1952" s="39" t="n">
        <f aca="false">IF(AND(E1952&gt;0,OR(AND(B1952&gt;=1,B1952&lt;=6),B1952=10)),1,0)</f>
        <v>1</v>
      </c>
      <c r="AA1952" s="39" t="n">
        <f aca="false">IF(AND(E1952&gt;0,B1952=10),1,0)</f>
        <v>1</v>
      </c>
      <c r="AB1952" s="0" t="str">
        <f aca="false">IF(AND(C1951=C1952,Y1951=Y1952-1),Z1951,"")</f>
        <v/>
      </c>
      <c r="AC1952" s="0" t="str">
        <f aca="false">IF(AND(C1951=C1952,Y1951=Y1952-1),AA1951,"")</f>
        <v/>
      </c>
      <c r="AD1952" s="0" t="str">
        <f aca="false">IF(Y1952=1,"",IF(AND(Z1952=1,AB1952&lt;&gt;1),1,0))</f>
        <v/>
      </c>
      <c r="AE1952" s="0" t="str">
        <f aca="false">IF(Y1952=1,"",IF(AND(AA1952=1,AC1952&lt;&gt;1),1,0))</f>
        <v/>
      </c>
      <c r="AF1952" s="45" t="str">
        <f aca="false">IF(AND(E1952&gt;0,Y1952&lt;1,NOT(AND(C1953=C1952,Y1953=Y1952+1))),INDEX(DATAS,Y1952+1),"")</f>
        <v/>
      </c>
      <c r="AG1952" s="45" t="str">
        <f aca="false">IF(AND(AA1952=1,Y1952&lt;1),IF(AND(C1953=C1952,Y1953=Y1952+1),IF(AA1953=1,"",INDEX(DATAS,Y1952+1)),INDEX(DATAS,Y1952+1)),"")</f>
        <v/>
      </c>
    </row>
    <row r="1953" customFormat="false" ht="15" hidden="false" customHeight="false" outlineLevel="0" collapsed="false">
      <c r="A1953" s="45" t="n">
        <v>46309</v>
      </c>
      <c r="B1953" s="0" t="n">
        <v>14</v>
      </c>
      <c r="C1953" s="0" t="n">
        <v>6200</v>
      </c>
      <c r="E1953" s="0" t="n">
        <v>0</v>
      </c>
      <c r="F1953" s="39" t="s">
        <v>1090</v>
      </c>
      <c r="I1953" s="39" t="s">
        <v>109</v>
      </c>
      <c r="L1953" s="0" t="n">
        <v>283</v>
      </c>
      <c r="U1953" s="0" t="n">
        <v>647</v>
      </c>
      <c r="V1953" s="0" t="n">
        <v>1</v>
      </c>
      <c r="W1953" s="39" t="n">
        <f aca="false">IF(I1953="Male",0,1)</f>
        <v>1</v>
      </c>
      <c r="X1953" s="39" t="n">
        <f aca="false">IF(OR(I1953="DNB",I1953="Dry DNB"),1,0)</f>
        <v>0</v>
      </c>
      <c r="Y1953" s="39" t="n">
        <f aca="false">MATCH(A1953,DATAS,0)</f>
        <v>1</v>
      </c>
      <c r="Z1953" s="39" t="n">
        <f aca="false">IF(AND(E1953&gt;0,OR(AND(B1953&gt;=1,B1953&lt;=6),B1953=10)),1,0)</f>
        <v>0</v>
      </c>
      <c r="AA1953" s="39" t="n">
        <f aca="false">IF(AND(E1953&gt;0,B1953=10),1,0)</f>
        <v>0</v>
      </c>
      <c r="AB1953" s="0" t="str">
        <f aca="false">IF(AND(C1952=C1953,Y1952=Y1953-1),Z1952,"")</f>
        <v/>
      </c>
      <c r="AC1953" s="0" t="str">
        <f aca="false">IF(AND(C1952=C1953,Y1952=Y1953-1),AA1952,"")</f>
        <v/>
      </c>
      <c r="AD1953" s="0" t="str">
        <f aca="false">IF(Y1953=1,"",IF(AND(Z1953=1,AB1953&lt;&gt;1),1,0))</f>
        <v/>
      </c>
      <c r="AE1953" s="0" t="str">
        <f aca="false">IF(Y1953=1,"",IF(AND(AA1953=1,AC1953&lt;&gt;1),1,0))</f>
        <v/>
      </c>
      <c r="AF1953" s="45" t="str">
        <f aca="false">IF(AND(E1953&gt;0,Y1953&lt;1,NOT(AND(C1954=C1953,Y1954=Y1953+1))),INDEX(DATAS,Y1953+1),"")</f>
        <v/>
      </c>
      <c r="AG1953" s="45" t="str">
        <f aca="false">IF(AND(AA1953=1,Y1953&lt;1),IF(AND(C1954=C1953,Y1954=Y1953+1),IF(AA1954=1,"",INDEX(DATAS,Y1953+1)),INDEX(DATAS,Y1953+1)),"")</f>
        <v/>
      </c>
    </row>
    <row r="1954" customFormat="false" ht="15" hidden="false" customHeight="false" outlineLevel="0" collapsed="false">
      <c r="A1954" s="45" t="n">
        <v>46309</v>
      </c>
      <c r="B1954" s="0" t="n">
        <v>1</v>
      </c>
      <c r="C1954" s="0" t="n">
        <v>6202</v>
      </c>
      <c r="D1954" s="0" t="n">
        <v>5</v>
      </c>
      <c r="E1954" s="0" t="n">
        <v>1</v>
      </c>
      <c r="F1954" s="39" t="s">
        <v>1090</v>
      </c>
      <c r="G1954" s="0" t="n">
        <v>27.2</v>
      </c>
      <c r="H1954" s="0" t="n">
        <v>24</v>
      </c>
      <c r="I1954" s="39" t="s">
        <v>118</v>
      </c>
      <c r="J1954" s="0" t="n">
        <v>5</v>
      </c>
      <c r="R1954" s="0" t="n">
        <v>2658</v>
      </c>
      <c r="S1954" s="0" t="n">
        <v>5343</v>
      </c>
      <c r="U1954" s="0" t="n">
        <v>647</v>
      </c>
      <c r="V1954" s="0" t="n">
        <v>0</v>
      </c>
      <c r="W1954" s="39" t="n">
        <f aca="false">IF(I1954="Male",0,1)</f>
        <v>1</v>
      </c>
      <c r="X1954" s="39" t="n">
        <f aca="false">IF(OR(I1954="DNB",I1954="Dry DNB"),1,0)</f>
        <v>0</v>
      </c>
      <c r="Y1954" s="39" t="n">
        <f aca="false">MATCH(A1954,DATAS,0)</f>
        <v>1</v>
      </c>
      <c r="Z1954" s="39" t="n">
        <f aca="false">IF(AND(E1954&gt;0,OR(AND(B1954&gt;=1,B1954&lt;=6),B1954=10)),1,0)</f>
        <v>1</v>
      </c>
      <c r="AA1954" s="39" t="n">
        <f aca="false">IF(AND(E1954&gt;0,B1954=10),1,0)</f>
        <v>0</v>
      </c>
      <c r="AB1954" s="0" t="str">
        <f aca="false">IF(AND(C1953=C1954,Y1953=Y1954-1),Z1953,"")</f>
        <v/>
      </c>
      <c r="AC1954" s="0" t="str">
        <f aca="false">IF(AND(C1953=C1954,Y1953=Y1954-1),AA1953,"")</f>
        <v/>
      </c>
      <c r="AD1954" s="0" t="str">
        <f aca="false">IF(Y1954=1,"",IF(AND(Z1954=1,AB1954&lt;&gt;1),1,0))</f>
        <v/>
      </c>
      <c r="AE1954" s="0" t="str">
        <f aca="false">IF(Y1954=1,"",IF(AND(AA1954=1,AC1954&lt;&gt;1),1,0))</f>
        <v/>
      </c>
      <c r="AF1954" s="45" t="str">
        <f aca="false">IF(AND(E1954&gt;0,Y1954&lt;1,NOT(AND(C1955=C1954,Y1955=Y1954+1))),INDEX(DATAS,Y1954+1),"")</f>
        <v/>
      </c>
      <c r="AG1954" s="45" t="str">
        <f aca="false">IF(AND(AA1954=1,Y1954&lt;1),IF(AND(C1955=C1954,Y1955=Y1954+1),IF(AA1955=1,"",INDEX(DATAS,Y1954+1)),INDEX(DATAS,Y1954+1)),"")</f>
        <v/>
      </c>
    </row>
    <row r="1955" customFormat="false" ht="15" hidden="false" customHeight="false" outlineLevel="0" collapsed="false">
      <c r="A1955" s="45" t="n">
        <v>46309</v>
      </c>
      <c r="B1955" s="0" t="n">
        <v>1</v>
      </c>
      <c r="C1955" s="0" t="n">
        <v>6203</v>
      </c>
      <c r="D1955" s="0" t="n">
        <v>14</v>
      </c>
      <c r="E1955" s="0" t="n">
        <v>1</v>
      </c>
      <c r="F1955" s="39" t="s">
        <v>1090</v>
      </c>
      <c r="I1955" s="39" t="s">
        <v>118</v>
      </c>
      <c r="J1955" s="0" t="n">
        <v>14</v>
      </c>
      <c r="U1955" s="0" t="n">
        <v>647</v>
      </c>
      <c r="V1955" s="0" t="n">
        <v>0</v>
      </c>
      <c r="W1955" s="39" t="n">
        <f aca="false">IF(I1955="Male",0,1)</f>
        <v>1</v>
      </c>
      <c r="X1955" s="39" t="n">
        <f aca="false">IF(OR(I1955="DNB",I1955="Dry DNB"),1,0)</f>
        <v>0</v>
      </c>
      <c r="Y1955" s="39" t="n">
        <f aca="false">MATCH(A1955,DATAS,0)</f>
        <v>1</v>
      </c>
      <c r="Z1955" s="39" t="n">
        <f aca="false">IF(AND(E1955&gt;0,OR(AND(B1955&gt;=1,B1955&lt;=6),B1955=10)),1,0)</f>
        <v>1</v>
      </c>
      <c r="AA1955" s="39" t="n">
        <f aca="false">IF(AND(E1955&gt;0,B1955=10),1,0)</f>
        <v>0</v>
      </c>
      <c r="AB1955" s="0" t="str">
        <f aca="false">IF(AND(C1954=C1955,Y1954=Y1955-1),Z1954,"")</f>
        <v/>
      </c>
      <c r="AC1955" s="0" t="str">
        <f aca="false">IF(AND(C1954=C1955,Y1954=Y1955-1),AA1954,"")</f>
        <v/>
      </c>
      <c r="AD1955" s="0" t="str">
        <f aca="false">IF(Y1955=1,"",IF(AND(Z1955=1,AB1955&lt;&gt;1),1,0))</f>
        <v/>
      </c>
      <c r="AE1955" s="0" t="str">
        <f aca="false">IF(Y1955=1,"",IF(AND(AA1955=1,AC1955&lt;&gt;1),1,0))</f>
        <v/>
      </c>
      <c r="AF1955" s="45" t="str">
        <f aca="false">IF(AND(E1955&gt;0,Y1955&lt;1,NOT(AND(C1956=C1955,Y1956=Y1955+1))),INDEX(DATAS,Y1955+1),"")</f>
        <v/>
      </c>
      <c r="AG1955" s="45" t="str">
        <f aca="false">IF(AND(AA1955=1,Y1955&lt;1),IF(AND(C1956=C1955,Y1956=Y1955+1),IF(AA1956=1,"",INDEX(DATAS,Y1955+1)),INDEX(DATAS,Y1955+1)),"")</f>
        <v/>
      </c>
    </row>
    <row r="1956" customFormat="false" ht="15" hidden="false" customHeight="false" outlineLevel="0" collapsed="false">
      <c r="A1956" s="45" t="n">
        <v>46309</v>
      </c>
      <c r="B1956" s="0" t="n">
        <v>1</v>
      </c>
      <c r="C1956" s="0" t="n">
        <v>6206</v>
      </c>
      <c r="D1956" s="0" t="n">
        <v>11</v>
      </c>
      <c r="E1956" s="0" t="n">
        <v>1</v>
      </c>
      <c r="F1956" s="39" t="s">
        <v>1091</v>
      </c>
      <c r="I1956" s="39" t="s">
        <v>118</v>
      </c>
      <c r="J1956" s="0" t="n">
        <v>11</v>
      </c>
      <c r="U1956" s="0" t="n">
        <v>646</v>
      </c>
      <c r="V1956" s="0" t="n">
        <v>0</v>
      </c>
      <c r="W1956" s="39" t="n">
        <f aca="false">IF(I1956="Male",0,1)</f>
        <v>1</v>
      </c>
      <c r="X1956" s="39" t="n">
        <f aca="false">IF(OR(I1956="DNB",I1956="Dry DNB"),1,0)</f>
        <v>0</v>
      </c>
      <c r="Y1956" s="39" t="n">
        <f aca="false">MATCH(A1956,DATAS,0)</f>
        <v>1</v>
      </c>
      <c r="Z1956" s="39" t="n">
        <f aca="false">IF(AND(E1956&gt;0,OR(AND(B1956&gt;=1,B1956&lt;=6),B1956=10)),1,0)</f>
        <v>1</v>
      </c>
      <c r="AA1956" s="39" t="n">
        <f aca="false">IF(AND(E1956&gt;0,B1956=10),1,0)</f>
        <v>0</v>
      </c>
      <c r="AB1956" s="0" t="str">
        <f aca="false">IF(AND(C1955=C1956,Y1955=Y1956-1),Z1955,"")</f>
        <v/>
      </c>
      <c r="AC1956" s="0" t="str">
        <f aca="false">IF(AND(C1955=C1956,Y1955=Y1956-1),AA1955,"")</f>
        <v/>
      </c>
      <c r="AD1956" s="0" t="str">
        <f aca="false">IF(Y1956=1,"",IF(AND(Z1956=1,AB1956&lt;&gt;1),1,0))</f>
        <v/>
      </c>
      <c r="AE1956" s="0" t="str">
        <f aca="false">IF(Y1956=1,"",IF(AND(AA1956=1,AC1956&lt;&gt;1),1,0))</f>
        <v/>
      </c>
      <c r="AF1956" s="45" t="str">
        <f aca="false">IF(AND(E1956&gt;0,Y1956&lt;1,NOT(AND(C1957=C1956,Y1957=Y1956+1))),INDEX(DATAS,Y1956+1),"")</f>
        <v/>
      </c>
      <c r="AG1956" s="45" t="str">
        <f aca="false">IF(AND(AA1956=1,Y1956&lt;1),IF(AND(C1957=C1956,Y1957=Y1956+1),IF(AA1957=1,"",INDEX(DATAS,Y1956+1)),INDEX(DATAS,Y1956+1)),"")</f>
        <v/>
      </c>
    </row>
    <row r="1957" customFormat="false" ht="15" hidden="false" customHeight="false" outlineLevel="0" collapsed="false">
      <c r="A1957" s="45" t="n">
        <v>46309</v>
      </c>
      <c r="B1957" s="0" t="n">
        <v>14</v>
      </c>
      <c r="C1957" s="0" t="n">
        <v>6209</v>
      </c>
      <c r="E1957" s="0" t="n">
        <v>0</v>
      </c>
      <c r="F1957" s="39" t="s">
        <v>1092</v>
      </c>
      <c r="I1957" s="39" t="s">
        <v>109</v>
      </c>
      <c r="L1957" s="0" t="n">
        <v>261</v>
      </c>
      <c r="U1957" s="0" t="n">
        <v>644</v>
      </c>
      <c r="V1957" s="0" t="n">
        <v>1</v>
      </c>
      <c r="W1957" s="39" t="n">
        <f aca="false">IF(I1957="Male",0,1)</f>
        <v>1</v>
      </c>
      <c r="X1957" s="39" t="n">
        <f aca="false">IF(OR(I1957="DNB",I1957="Dry DNB"),1,0)</f>
        <v>0</v>
      </c>
      <c r="Y1957" s="39" t="n">
        <f aca="false">MATCH(A1957,DATAS,0)</f>
        <v>1</v>
      </c>
      <c r="Z1957" s="39" t="n">
        <f aca="false">IF(AND(E1957&gt;0,OR(AND(B1957&gt;=1,B1957&lt;=6),B1957=10)),1,0)</f>
        <v>0</v>
      </c>
      <c r="AA1957" s="39" t="n">
        <f aca="false">IF(AND(E1957&gt;0,B1957=10),1,0)</f>
        <v>0</v>
      </c>
      <c r="AB1957" s="0" t="str">
        <f aca="false">IF(AND(C1956=C1957,Y1956=Y1957-1),Z1956,"")</f>
        <v/>
      </c>
      <c r="AC1957" s="0" t="str">
        <f aca="false">IF(AND(C1956=C1957,Y1956=Y1957-1),AA1956,"")</f>
        <v/>
      </c>
      <c r="AD1957" s="0" t="str">
        <f aca="false">IF(Y1957=1,"",IF(AND(Z1957=1,AB1957&lt;&gt;1),1,0))</f>
        <v/>
      </c>
      <c r="AE1957" s="0" t="str">
        <f aca="false">IF(Y1957=1,"",IF(AND(AA1957=1,AC1957&lt;&gt;1),1,0))</f>
        <v/>
      </c>
      <c r="AF1957" s="45" t="str">
        <f aca="false">IF(AND(E1957&gt;0,Y1957&lt;1,NOT(AND(C1958=C1957,Y1958=Y1957+1))),INDEX(DATAS,Y1957+1),"")</f>
        <v/>
      </c>
      <c r="AG1957" s="45" t="str">
        <f aca="false">IF(AND(AA1957=1,Y1957&lt;1),IF(AND(C1958=C1957,Y1958=Y1957+1),IF(AA1958=1,"",INDEX(DATAS,Y1957+1)),INDEX(DATAS,Y1957+1)),"")</f>
        <v/>
      </c>
    </row>
    <row r="1958" customFormat="false" ht="15" hidden="false" customHeight="false" outlineLevel="0" collapsed="false">
      <c r="A1958" s="45" t="n">
        <v>46309</v>
      </c>
      <c r="B1958" s="0" t="n">
        <v>14</v>
      </c>
      <c r="C1958" s="0" t="n">
        <v>6211</v>
      </c>
      <c r="E1958" s="0" t="n">
        <v>0</v>
      </c>
      <c r="F1958" s="39" t="s">
        <v>1093</v>
      </c>
      <c r="I1958" s="39" t="s">
        <v>109</v>
      </c>
      <c r="L1958" s="0" t="n">
        <v>265</v>
      </c>
      <c r="U1958" s="0" t="n">
        <v>643</v>
      </c>
      <c r="V1958" s="0" t="n">
        <v>1</v>
      </c>
      <c r="W1958" s="39" t="n">
        <f aca="false">IF(I1958="Male",0,1)</f>
        <v>1</v>
      </c>
      <c r="X1958" s="39" t="n">
        <f aca="false">IF(OR(I1958="DNB",I1958="Dry DNB"),1,0)</f>
        <v>0</v>
      </c>
      <c r="Y1958" s="39" t="n">
        <f aca="false">MATCH(A1958,DATAS,0)</f>
        <v>1</v>
      </c>
      <c r="Z1958" s="39" t="n">
        <f aca="false">IF(AND(E1958&gt;0,OR(AND(B1958&gt;=1,B1958&lt;=6),B1958=10)),1,0)</f>
        <v>0</v>
      </c>
      <c r="AA1958" s="39" t="n">
        <f aca="false">IF(AND(E1958&gt;0,B1958=10),1,0)</f>
        <v>0</v>
      </c>
      <c r="AB1958" s="0" t="str">
        <f aca="false">IF(AND(C1957=C1958,Y1957=Y1958-1),Z1957,"")</f>
        <v/>
      </c>
      <c r="AC1958" s="0" t="str">
        <f aca="false">IF(AND(C1957=C1958,Y1957=Y1958-1),AA1957,"")</f>
        <v/>
      </c>
      <c r="AD1958" s="0" t="str">
        <f aca="false">IF(Y1958=1,"",IF(AND(Z1958=1,AB1958&lt;&gt;1),1,0))</f>
        <v/>
      </c>
      <c r="AE1958" s="0" t="str">
        <f aca="false">IF(Y1958=1,"",IF(AND(AA1958=1,AC1958&lt;&gt;1),1,0))</f>
        <v/>
      </c>
      <c r="AF1958" s="45" t="str">
        <f aca="false">IF(AND(E1958&gt;0,Y1958&lt;1,NOT(AND(C1959=C1958,Y1959=Y1958+1))),INDEX(DATAS,Y1958+1),"")</f>
        <v/>
      </c>
      <c r="AG1958" s="45" t="str">
        <f aca="false">IF(AND(AA1958=1,Y1958&lt;1),IF(AND(C1959=C1958,Y1959=Y1958+1),IF(AA1959=1,"",INDEX(DATAS,Y1958+1)),INDEX(DATAS,Y1958+1)),"")</f>
        <v/>
      </c>
    </row>
    <row r="1959" customFormat="false" ht="15" hidden="false" customHeight="false" outlineLevel="0" collapsed="false">
      <c r="A1959" s="45" t="n">
        <v>46309</v>
      </c>
      <c r="B1959" s="0" t="n">
        <v>8</v>
      </c>
      <c r="C1959" s="0" t="n">
        <v>6212</v>
      </c>
      <c r="E1959" s="0" t="n">
        <v>0</v>
      </c>
      <c r="F1959" s="39" t="s">
        <v>1093</v>
      </c>
      <c r="I1959" s="39" t="s">
        <v>109</v>
      </c>
      <c r="L1959" s="0" t="n">
        <v>212</v>
      </c>
      <c r="U1959" s="0" t="n">
        <v>643</v>
      </c>
      <c r="V1959" s="0" t="n">
        <v>4</v>
      </c>
      <c r="W1959" s="39" t="n">
        <f aca="false">IF(I1959="Male",0,1)</f>
        <v>1</v>
      </c>
      <c r="X1959" s="39" t="n">
        <f aca="false">IF(OR(I1959="DNB",I1959="Dry DNB"),1,0)</f>
        <v>0</v>
      </c>
      <c r="Y1959" s="39" t="n">
        <f aca="false">MATCH(A1959,DATAS,0)</f>
        <v>1</v>
      </c>
      <c r="Z1959" s="39" t="n">
        <f aca="false">IF(AND(E1959&gt;0,OR(AND(B1959&gt;=1,B1959&lt;=6),B1959=10)),1,0)</f>
        <v>0</v>
      </c>
      <c r="AA1959" s="39" t="n">
        <f aca="false">IF(AND(E1959&gt;0,B1959=10),1,0)</f>
        <v>0</v>
      </c>
      <c r="AB1959" s="0" t="str">
        <f aca="false">IF(AND(C1958=C1959,Y1958=Y1959-1),Z1958,"")</f>
        <v/>
      </c>
      <c r="AC1959" s="0" t="str">
        <f aca="false">IF(AND(C1958=C1959,Y1958=Y1959-1),AA1958,"")</f>
        <v/>
      </c>
      <c r="AD1959" s="0" t="str">
        <f aca="false">IF(Y1959=1,"",IF(AND(Z1959=1,AB1959&lt;&gt;1),1,0))</f>
        <v/>
      </c>
      <c r="AE1959" s="0" t="str">
        <f aca="false">IF(Y1959=1,"",IF(AND(AA1959=1,AC1959&lt;&gt;1),1,0))</f>
        <v/>
      </c>
      <c r="AF1959" s="45" t="str">
        <f aca="false">IF(AND(E1959&gt;0,Y1959&lt;1,NOT(AND(C1960=C1959,Y1960=Y1959+1))),INDEX(DATAS,Y1959+1),"")</f>
        <v/>
      </c>
      <c r="AG1959" s="45" t="str">
        <f aca="false">IF(AND(AA1959=1,Y1959&lt;1),IF(AND(C1960=C1959,Y1960=Y1959+1),IF(AA1960=1,"",INDEX(DATAS,Y1959+1)),INDEX(DATAS,Y1959+1)),"")</f>
        <v/>
      </c>
    </row>
    <row r="1960" customFormat="false" ht="15" hidden="false" customHeight="false" outlineLevel="0" collapsed="false">
      <c r="A1960" s="45" t="n">
        <v>46309</v>
      </c>
      <c r="B1960" s="0" t="n">
        <v>8</v>
      </c>
      <c r="C1960" s="0" t="n">
        <v>6213</v>
      </c>
      <c r="E1960" s="0" t="n">
        <v>0</v>
      </c>
      <c r="F1960" s="39" t="s">
        <v>1094</v>
      </c>
      <c r="I1960" s="39" t="s">
        <v>109</v>
      </c>
      <c r="L1960" s="0" t="n">
        <v>49</v>
      </c>
      <c r="U1960" s="0" t="n">
        <v>642</v>
      </c>
      <c r="V1960" s="0" t="n">
        <v>7</v>
      </c>
      <c r="W1960" s="39" t="n">
        <f aca="false">IF(I1960="Male",0,1)</f>
        <v>1</v>
      </c>
      <c r="X1960" s="39" t="n">
        <f aca="false">IF(OR(I1960="DNB",I1960="Dry DNB"),1,0)</f>
        <v>0</v>
      </c>
      <c r="Y1960" s="39" t="n">
        <f aca="false">MATCH(A1960,DATAS,0)</f>
        <v>1</v>
      </c>
      <c r="Z1960" s="39" t="n">
        <f aca="false">IF(AND(E1960&gt;0,OR(AND(B1960&gt;=1,B1960&lt;=6),B1960=10)),1,0)</f>
        <v>0</v>
      </c>
      <c r="AA1960" s="39" t="n">
        <f aca="false">IF(AND(E1960&gt;0,B1960=10),1,0)</f>
        <v>0</v>
      </c>
      <c r="AB1960" s="0" t="str">
        <f aca="false">IF(AND(C1959=C1960,Y1959=Y1960-1),Z1959,"")</f>
        <v/>
      </c>
      <c r="AC1960" s="0" t="str">
        <f aca="false">IF(AND(C1959=C1960,Y1959=Y1960-1),AA1959,"")</f>
        <v/>
      </c>
      <c r="AD1960" s="0" t="str">
        <f aca="false">IF(Y1960=1,"",IF(AND(Z1960=1,AB1960&lt;&gt;1),1,0))</f>
        <v/>
      </c>
      <c r="AE1960" s="0" t="str">
        <f aca="false">IF(Y1960=1,"",IF(AND(AA1960=1,AC1960&lt;&gt;1),1,0))</f>
        <v/>
      </c>
      <c r="AF1960" s="45" t="str">
        <f aca="false">IF(AND(E1960&gt;0,Y1960&lt;1,NOT(AND(C1961=C1960,Y1961=Y1960+1))),INDEX(DATAS,Y1960+1),"")</f>
        <v/>
      </c>
      <c r="AG1960" s="45" t="str">
        <f aca="false">IF(AND(AA1960=1,Y1960&lt;1),IF(AND(C1961=C1960,Y1961=Y1960+1),IF(AA1961=1,"",INDEX(DATAS,Y1960+1)),INDEX(DATAS,Y1960+1)),"")</f>
        <v/>
      </c>
    </row>
    <row r="1961" customFormat="false" ht="15" hidden="false" customHeight="false" outlineLevel="0" collapsed="false">
      <c r="A1961" s="45" t="n">
        <v>46309</v>
      </c>
      <c r="B1961" s="0" t="n">
        <v>8</v>
      </c>
      <c r="C1961" s="0" t="n">
        <v>6214</v>
      </c>
      <c r="E1961" s="0" t="n">
        <v>0</v>
      </c>
      <c r="F1961" s="39" t="s">
        <v>1094</v>
      </c>
      <c r="I1961" s="39" t="s">
        <v>109</v>
      </c>
      <c r="L1961" s="0" t="n">
        <v>128</v>
      </c>
      <c r="U1961" s="0" t="n">
        <v>642</v>
      </c>
      <c r="V1961" s="0" t="n">
        <v>7</v>
      </c>
      <c r="W1961" s="39" t="n">
        <f aca="false">IF(I1961="Male",0,1)</f>
        <v>1</v>
      </c>
      <c r="X1961" s="39" t="n">
        <f aca="false">IF(OR(I1961="DNB",I1961="Dry DNB"),1,0)</f>
        <v>0</v>
      </c>
      <c r="Y1961" s="39" t="n">
        <f aca="false">MATCH(A1961,DATAS,0)</f>
        <v>1</v>
      </c>
      <c r="Z1961" s="39" t="n">
        <f aca="false">IF(AND(E1961&gt;0,OR(AND(B1961&gt;=1,B1961&lt;=6),B1961=10)),1,0)</f>
        <v>0</v>
      </c>
      <c r="AA1961" s="39" t="n">
        <f aca="false">IF(AND(E1961&gt;0,B1961=10),1,0)</f>
        <v>0</v>
      </c>
      <c r="AB1961" s="0" t="str">
        <f aca="false">IF(AND(C1960=C1961,Y1960=Y1961-1),Z1960,"")</f>
        <v/>
      </c>
      <c r="AC1961" s="0" t="str">
        <f aca="false">IF(AND(C1960=C1961,Y1960=Y1961-1),AA1960,"")</f>
        <v/>
      </c>
      <c r="AD1961" s="0" t="str">
        <f aca="false">IF(Y1961=1,"",IF(AND(Z1961=1,AB1961&lt;&gt;1),1,0))</f>
        <v/>
      </c>
      <c r="AE1961" s="0" t="str">
        <f aca="false">IF(Y1961=1,"",IF(AND(AA1961=1,AC1961&lt;&gt;1),1,0))</f>
        <v/>
      </c>
      <c r="AF1961" s="45" t="str">
        <f aca="false">IF(AND(E1961&gt;0,Y1961&lt;1,NOT(AND(C1962=C1961,Y1962=Y1961+1))),INDEX(DATAS,Y1961+1),"")</f>
        <v/>
      </c>
      <c r="AG1961" s="45" t="str">
        <f aca="false">IF(AND(AA1961=1,Y1961&lt;1),IF(AND(C1962=C1961,Y1962=Y1961+1),IF(AA1962=1,"",INDEX(DATAS,Y1961+1)),INDEX(DATAS,Y1961+1)),"")</f>
        <v/>
      </c>
    </row>
    <row r="1962" customFormat="false" ht="15" hidden="false" customHeight="false" outlineLevel="0" collapsed="false">
      <c r="A1962" s="45" t="n">
        <v>46309</v>
      </c>
      <c r="B1962" s="0" t="n">
        <v>8</v>
      </c>
      <c r="C1962" s="0" t="n">
        <v>6216</v>
      </c>
      <c r="E1962" s="0" t="n">
        <v>0</v>
      </c>
      <c r="F1962" s="39" t="s">
        <v>1095</v>
      </c>
      <c r="I1962" s="39" t="s">
        <v>109</v>
      </c>
      <c r="L1962" s="0" t="n">
        <v>100</v>
      </c>
      <c r="U1962" s="0" t="n">
        <v>641</v>
      </c>
      <c r="V1962" s="0" t="n">
        <v>9</v>
      </c>
      <c r="W1962" s="39" t="n">
        <f aca="false">IF(I1962="Male",0,1)</f>
        <v>1</v>
      </c>
      <c r="X1962" s="39" t="n">
        <f aca="false">IF(OR(I1962="DNB",I1962="Dry DNB"),1,0)</f>
        <v>0</v>
      </c>
      <c r="Y1962" s="39" t="n">
        <f aca="false">MATCH(A1962,DATAS,0)</f>
        <v>1</v>
      </c>
      <c r="Z1962" s="39" t="n">
        <f aca="false">IF(AND(E1962&gt;0,OR(AND(B1962&gt;=1,B1962&lt;=6),B1962=10)),1,0)</f>
        <v>0</v>
      </c>
      <c r="AA1962" s="39" t="n">
        <f aca="false">IF(AND(E1962&gt;0,B1962=10),1,0)</f>
        <v>0</v>
      </c>
      <c r="AB1962" s="0" t="str">
        <f aca="false">IF(AND(C1961=C1962,Y1961=Y1962-1),Z1961,"")</f>
        <v/>
      </c>
      <c r="AC1962" s="0" t="str">
        <f aca="false">IF(AND(C1961=C1962,Y1961=Y1962-1),AA1961,"")</f>
        <v/>
      </c>
      <c r="AD1962" s="0" t="str">
        <f aca="false">IF(Y1962=1,"",IF(AND(Z1962=1,AB1962&lt;&gt;1),1,0))</f>
        <v/>
      </c>
      <c r="AE1962" s="0" t="str">
        <f aca="false">IF(Y1962=1,"",IF(AND(AA1962=1,AC1962&lt;&gt;1),1,0))</f>
        <v/>
      </c>
      <c r="AF1962" s="45" t="str">
        <f aca="false">IF(AND(E1962&gt;0,Y1962&lt;1,NOT(AND(C1963=C1962,Y1963=Y1962+1))),INDEX(DATAS,Y1962+1),"")</f>
        <v/>
      </c>
      <c r="AG1962" s="45" t="str">
        <f aca="false">IF(AND(AA1962=1,Y1962&lt;1),IF(AND(C1963=C1962,Y1963=Y1962+1),IF(AA1963=1,"",INDEX(DATAS,Y1962+1)),INDEX(DATAS,Y1962+1)),"")</f>
        <v/>
      </c>
    </row>
    <row r="1963" customFormat="false" ht="15" hidden="false" customHeight="false" outlineLevel="0" collapsed="false">
      <c r="A1963" s="45" t="n">
        <v>46309</v>
      </c>
      <c r="B1963" s="0" t="n">
        <v>10</v>
      </c>
      <c r="C1963" s="0" t="n">
        <v>6217</v>
      </c>
      <c r="D1963" s="0" t="n">
        <v>10</v>
      </c>
      <c r="E1963" s="0" t="n">
        <v>1</v>
      </c>
      <c r="F1963" s="39" t="s">
        <v>1096</v>
      </c>
      <c r="G1963" s="0" t="n">
        <v>29.4</v>
      </c>
      <c r="H1963" s="0" t="n">
        <v>23</v>
      </c>
      <c r="I1963" s="39" t="s">
        <v>118</v>
      </c>
      <c r="J1963" s="0" t="n">
        <v>10</v>
      </c>
      <c r="R1963" s="0" t="n">
        <v>2054</v>
      </c>
      <c r="S1963" s="0" t="n">
        <v>4129</v>
      </c>
      <c r="U1963" s="0" t="n">
        <v>640</v>
      </c>
      <c r="V1963" s="0" t="n">
        <v>0</v>
      </c>
      <c r="W1963" s="39" t="n">
        <f aca="false">IF(I1963="Male",0,1)</f>
        <v>1</v>
      </c>
      <c r="X1963" s="39" t="n">
        <f aca="false">IF(OR(I1963="DNB",I1963="Dry DNB"),1,0)</f>
        <v>0</v>
      </c>
      <c r="Y1963" s="39" t="n">
        <f aca="false">MATCH(A1963,DATAS,0)</f>
        <v>1</v>
      </c>
      <c r="Z1963" s="39" t="n">
        <f aca="false">IF(AND(E1963&gt;0,OR(AND(B1963&gt;=1,B1963&lt;=6),B1963=10)),1,0)</f>
        <v>1</v>
      </c>
      <c r="AA1963" s="39" t="n">
        <f aca="false">IF(AND(E1963&gt;0,B1963=10),1,0)</f>
        <v>1</v>
      </c>
      <c r="AB1963" s="0" t="str">
        <f aca="false">IF(AND(C1962=C1963,Y1962=Y1963-1),Z1962,"")</f>
        <v/>
      </c>
      <c r="AC1963" s="0" t="str">
        <f aca="false">IF(AND(C1962=C1963,Y1962=Y1963-1),AA1962,"")</f>
        <v/>
      </c>
      <c r="AD1963" s="0" t="str">
        <f aca="false">IF(Y1963=1,"",IF(AND(Z1963=1,AB1963&lt;&gt;1),1,0))</f>
        <v/>
      </c>
      <c r="AE1963" s="0" t="str">
        <f aca="false">IF(Y1963=1,"",IF(AND(AA1963=1,AC1963&lt;&gt;1),1,0))</f>
        <v/>
      </c>
      <c r="AF1963" s="45" t="str">
        <f aca="false">IF(AND(E1963&gt;0,Y1963&lt;1,NOT(AND(C1964=C1963,Y1964=Y1963+1))),INDEX(DATAS,Y1963+1),"")</f>
        <v/>
      </c>
      <c r="AG1963" s="45" t="str">
        <f aca="false">IF(AND(AA1963=1,Y1963&lt;1),IF(AND(C1964=C1963,Y1964=Y1963+1),IF(AA1964=1,"",INDEX(DATAS,Y1963+1)),INDEX(DATAS,Y1963+1)),"")</f>
        <v/>
      </c>
    </row>
    <row r="1964" customFormat="false" ht="15" hidden="false" customHeight="false" outlineLevel="0" collapsed="false">
      <c r="A1964" s="45" t="n">
        <v>46309</v>
      </c>
      <c r="B1964" s="0" t="n">
        <v>7</v>
      </c>
      <c r="C1964" s="0" t="n">
        <v>6218</v>
      </c>
      <c r="E1964" s="0" t="n">
        <v>0</v>
      </c>
      <c r="F1964" s="39" t="s">
        <v>1096</v>
      </c>
      <c r="I1964" s="39" t="s">
        <v>109</v>
      </c>
      <c r="L1964" s="0" t="n">
        <v>246</v>
      </c>
      <c r="U1964" s="0" t="n">
        <v>640</v>
      </c>
      <c r="V1964" s="0" t="n">
        <v>1</v>
      </c>
      <c r="W1964" s="39" t="n">
        <f aca="false">IF(I1964="Male",0,1)</f>
        <v>1</v>
      </c>
      <c r="X1964" s="39" t="n">
        <f aca="false">IF(OR(I1964="DNB",I1964="Dry DNB"),1,0)</f>
        <v>0</v>
      </c>
      <c r="Y1964" s="39" t="n">
        <f aca="false">MATCH(A1964,DATAS,0)</f>
        <v>1</v>
      </c>
      <c r="Z1964" s="39" t="n">
        <f aca="false">IF(AND(E1964&gt;0,OR(AND(B1964&gt;=1,B1964&lt;=6),B1964=10)),1,0)</f>
        <v>0</v>
      </c>
      <c r="AA1964" s="39" t="n">
        <f aca="false">IF(AND(E1964&gt;0,B1964=10),1,0)</f>
        <v>0</v>
      </c>
      <c r="AB1964" s="0" t="str">
        <f aca="false">IF(AND(C1963=C1964,Y1963=Y1964-1),Z1963,"")</f>
        <v/>
      </c>
      <c r="AC1964" s="0" t="str">
        <f aca="false">IF(AND(C1963=C1964,Y1963=Y1964-1),AA1963,"")</f>
        <v/>
      </c>
      <c r="AD1964" s="0" t="str">
        <f aca="false">IF(Y1964=1,"",IF(AND(Z1964=1,AB1964&lt;&gt;1),1,0))</f>
        <v/>
      </c>
      <c r="AE1964" s="0" t="str">
        <f aca="false">IF(Y1964=1,"",IF(AND(AA1964=1,AC1964&lt;&gt;1),1,0))</f>
        <v/>
      </c>
      <c r="AF1964" s="45" t="str">
        <f aca="false">IF(AND(E1964&gt;0,Y1964&lt;1,NOT(AND(C1965=C1964,Y1965=Y1964+1))),INDEX(DATAS,Y1964+1),"")</f>
        <v/>
      </c>
      <c r="AG1964" s="45" t="str">
        <f aca="false">IF(AND(AA1964=1,Y1964&lt;1),IF(AND(C1965=C1964,Y1965=Y1964+1),IF(AA1965=1,"",INDEX(DATAS,Y1964+1)),INDEX(DATAS,Y1964+1)),"")</f>
        <v/>
      </c>
    </row>
    <row r="1965" customFormat="false" ht="15" hidden="false" customHeight="false" outlineLevel="0" collapsed="false">
      <c r="A1965" s="45" t="n">
        <v>46309</v>
      </c>
      <c r="B1965" s="0" t="n">
        <v>8</v>
      </c>
      <c r="C1965" s="0" t="n">
        <v>6219</v>
      </c>
      <c r="E1965" s="0" t="n">
        <v>0</v>
      </c>
      <c r="F1965" s="39" t="s">
        <v>1097</v>
      </c>
      <c r="I1965" s="39" t="s">
        <v>109</v>
      </c>
      <c r="L1965" s="0" t="n">
        <v>182</v>
      </c>
      <c r="U1965" s="0" t="n">
        <v>639</v>
      </c>
      <c r="V1965" s="0" t="n">
        <v>4</v>
      </c>
      <c r="W1965" s="39" t="n">
        <f aca="false">IF(I1965="Male",0,1)</f>
        <v>1</v>
      </c>
      <c r="X1965" s="39" t="n">
        <f aca="false">IF(OR(I1965="DNB",I1965="Dry DNB"),1,0)</f>
        <v>0</v>
      </c>
      <c r="Y1965" s="39" t="n">
        <f aca="false">MATCH(A1965,DATAS,0)</f>
        <v>1</v>
      </c>
      <c r="Z1965" s="39" t="n">
        <f aca="false">IF(AND(E1965&gt;0,OR(AND(B1965&gt;=1,B1965&lt;=6),B1965=10)),1,0)</f>
        <v>0</v>
      </c>
      <c r="AA1965" s="39" t="n">
        <f aca="false">IF(AND(E1965&gt;0,B1965=10),1,0)</f>
        <v>0</v>
      </c>
      <c r="AB1965" s="0" t="str">
        <f aca="false">IF(AND(C1964=C1965,Y1964=Y1965-1),Z1964,"")</f>
        <v/>
      </c>
      <c r="AC1965" s="0" t="str">
        <f aca="false">IF(AND(C1964=C1965,Y1964=Y1965-1),AA1964,"")</f>
        <v/>
      </c>
      <c r="AD1965" s="0" t="str">
        <f aca="false">IF(Y1965=1,"",IF(AND(Z1965=1,AB1965&lt;&gt;1),1,0))</f>
        <v/>
      </c>
      <c r="AE1965" s="0" t="str">
        <f aca="false">IF(Y1965=1,"",IF(AND(AA1965=1,AC1965&lt;&gt;1),1,0))</f>
        <v/>
      </c>
      <c r="AF1965" s="45" t="str">
        <f aca="false">IF(AND(E1965&gt;0,Y1965&lt;1,NOT(AND(C1966=C1965,Y1966=Y1965+1))),INDEX(DATAS,Y1965+1),"")</f>
        <v/>
      </c>
      <c r="AG1965" s="45" t="str">
        <f aca="false">IF(AND(AA1965=1,Y1965&lt;1),IF(AND(C1966=C1965,Y1966=Y1965+1),IF(AA1966=1,"",INDEX(DATAS,Y1965+1)),INDEX(DATAS,Y1965+1)),"")</f>
        <v/>
      </c>
    </row>
    <row r="1966" customFormat="false" ht="15" hidden="false" customHeight="false" outlineLevel="0" collapsed="false">
      <c r="A1966" s="45" t="n">
        <v>46309</v>
      </c>
      <c r="B1966" s="0" t="n">
        <v>14</v>
      </c>
      <c r="C1966" s="0" t="n">
        <v>6220</v>
      </c>
      <c r="E1966" s="0" t="n">
        <v>0</v>
      </c>
      <c r="F1966" s="39" t="s">
        <v>1097</v>
      </c>
      <c r="I1966" s="39" t="s">
        <v>109</v>
      </c>
      <c r="L1966" s="0" t="n">
        <v>267</v>
      </c>
      <c r="U1966" s="0" t="n">
        <v>639</v>
      </c>
      <c r="V1966" s="0" t="n">
        <v>1</v>
      </c>
      <c r="W1966" s="39" t="n">
        <f aca="false">IF(I1966="Male",0,1)</f>
        <v>1</v>
      </c>
      <c r="X1966" s="39" t="n">
        <f aca="false">IF(OR(I1966="DNB",I1966="Dry DNB"),1,0)</f>
        <v>0</v>
      </c>
      <c r="Y1966" s="39" t="n">
        <f aca="false">MATCH(A1966,DATAS,0)</f>
        <v>1</v>
      </c>
      <c r="Z1966" s="39" t="n">
        <f aca="false">IF(AND(E1966&gt;0,OR(AND(B1966&gt;=1,B1966&lt;=6),B1966=10)),1,0)</f>
        <v>0</v>
      </c>
      <c r="AA1966" s="39" t="n">
        <f aca="false">IF(AND(E1966&gt;0,B1966=10),1,0)</f>
        <v>0</v>
      </c>
      <c r="AB1966" s="0" t="str">
        <f aca="false">IF(AND(C1965=C1966,Y1965=Y1966-1),Z1965,"")</f>
        <v/>
      </c>
      <c r="AC1966" s="0" t="str">
        <f aca="false">IF(AND(C1965=C1966,Y1965=Y1966-1),AA1965,"")</f>
        <v/>
      </c>
      <c r="AD1966" s="0" t="str">
        <f aca="false">IF(Y1966=1,"",IF(AND(Z1966=1,AB1966&lt;&gt;1),1,0))</f>
        <v/>
      </c>
      <c r="AE1966" s="0" t="str">
        <f aca="false">IF(Y1966=1,"",IF(AND(AA1966=1,AC1966&lt;&gt;1),1,0))</f>
        <v/>
      </c>
      <c r="AF1966" s="45" t="str">
        <f aca="false">IF(AND(E1966&gt;0,Y1966&lt;1,NOT(AND(C1967=C1966,Y1967=Y1966+1))),INDEX(DATAS,Y1966+1),"")</f>
        <v/>
      </c>
      <c r="AG1966" s="45" t="str">
        <f aca="false">IF(AND(AA1966=1,Y1966&lt;1),IF(AND(C1967=C1966,Y1967=Y1966+1),IF(AA1967=1,"",INDEX(DATAS,Y1966+1)),INDEX(DATAS,Y1966+1)),"")</f>
        <v/>
      </c>
    </row>
    <row r="1967" customFormat="false" ht="15" hidden="false" customHeight="false" outlineLevel="0" collapsed="false">
      <c r="A1967" s="45" t="n">
        <v>46309</v>
      </c>
      <c r="B1967" s="0" t="n">
        <v>8</v>
      </c>
      <c r="C1967" s="0" t="n">
        <v>6221</v>
      </c>
      <c r="E1967" s="0" t="n">
        <v>0</v>
      </c>
      <c r="F1967" s="39" t="s">
        <v>1098</v>
      </c>
      <c r="I1967" s="39" t="s">
        <v>109</v>
      </c>
      <c r="L1967" s="0" t="n">
        <v>259</v>
      </c>
      <c r="U1967" s="0" t="n">
        <v>638</v>
      </c>
      <c r="V1967" s="0" t="n">
        <v>1</v>
      </c>
      <c r="W1967" s="39" t="n">
        <f aca="false">IF(I1967="Male",0,1)</f>
        <v>1</v>
      </c>
      <c r="X1967" s="39" t="n">
        <f aca="false">IF(OR(I1967="DNB",I1967="Dry DNB"),1,0)</f>
        <v>0</v>
      </c>
      <c r="Y1967" s="39" t="n">
        <f aca="false">MATCH(A1967,DATAS,0)</f>
        <v>1</v>
      </c>
      <c r="Z1967" s="39" t="n">
        <f aca="false">IF(AND(E1967&gt;0,OR(AND(B1967&gt;=1,B1967&lt;=6),B1967=10)),1,0)</f>
        <v>0</v>
      </c>
      <c r="AA1967" s="39" t="n">
        <f aca="false">IF(AND(E1967&gt;0,B1967=10),1,0)</f>
        <v>0</v>
      </c>
      <c r="AB1967" s="0" t="str">
        <f aca="false">IF(AND(C1966=C1967,Y1966=Y1967-1),Z1966,"")</f>
        <v/>
      </c>
      <c r="AC1967" s="0" t="str">
        <f aca="false">IF(AND(C1966=C1967,Y1966=Y1967-1),AA1966,"")</f>
        <v/>
      </c>
      <c r="AD1967" s="0" t="str">
        <f aca="false">IF(Y1967=1,"",IF(AND(Z1967=1,AB1967&lt;&gt;1),1,0))</f>
        <v/>
      </c>
      <c r="AE1967" s="0" t="str">
        <f aca="false">IF(Y1967=1,"",IF(AND(AA1967=1,AC1967&lt;&gt;1),1,0))</f>
        <v/>
      </c>
      <c r="AF1967" s="45" t="str">
        <f aca="false">IF(AND(E1967&gt;0,Y1967&lt;1,NOT(AND(C1968=C1967,Y1968=Y1967+1))),INDEX(DATAS,Y1967+1),"")</f>
        <v/>
      </c>
      <c r="AG1967" s="45" t="str">
        <f aca="false">IF(AND(AA1967=1,Y1967&lt;1),IF(AND(C1968=C1967,Y1968=Y1967+1),IF(AA1968=1,"",INDEX(DATAS,Y1967+1)),INDEX(DATAS,Y1967+1)),"")</f>
        <v/>
      </c>
    </row>
    <row r="1968" customFormat="false" ht="15" hidden="false" customHeight="false" outlineLevel="0" collapsed="false">
      <c r="A1968" s="45" t="n">
        <v>46309</v>
      </c>
      <c r="B1968" s="0" t="n">
        <v>8</v>
      </c>
      <c r="C1968" s="0" t="n">
        <v>6222</v>
      </c>
      <c r="E1968" s="0" t="n">
        <v>0</v>
      </c>
      <c r="F1968" s="39" t="s">
        <v>1098</v>
      </c>
      <c r="I1968" s="39" t="s">
        <v>109</v>
      </c>
      <c r="L1968" s="0" t="n">
        <v>150</v>
      </c>
      <c r="U1968" s="0" t="n">
        <v>638</v>
      </c>
      <c r="V1968" s="0" t="n">
        <v>4</v>
      </c>
      <c r="W1968" s="39" t="n">
        <f aca="false">IF(I1968="Male",0,1)</f>
        <v>1</v>
      </c>
      <c r="X1968" s="39" t="n">
        <f aca="false">IF(OR(I1968="DNB",I1968="Dry DNB"),1,0)</f>
        <v>0</v>
      </c>
      <c r="Y1968" s="39" t="n">
        <f aca="false">MATCH(A1968,DATAS,0)</f>
        <v>1</v>
      </c>
      <c r="Z1968" s="39" t="n">
        <f aca="false">IF(AND(E1968&gt;0,OR(AND(B1968&gt;=1,B1968&lt;=6),B1968=10)),1,0)</f>
        <v>0</v>
      </c>
      <c r="AA1968" s="39" t="n">
        <f aca="false">IF(AND(E1968&gt;0,B1968=10),1,0)</f>
        <v>0</v>
      </c>
      <c r="AB1968" s="0" t="str">
        <f aca="false">IF(AND(C1967=C1968,Y1967=Y1968-1),Z1967,"")</f>
        <v/>
      </c>
      <c r="AC1968" s="0" t="str">
        <f aca="false">IF(AND(C1967=C1968,Y1967=Y1968-1),AA1967,"")</f>
        <v/>
      </c>
      <c r="AD1968" s="0" t="str">
        <f aca="false">IF(Y1968=1,"",IF(AND(Z1968=1,AB1968&lt;&gt;1),1,0))</f>
        <v/>
      </c>
      <c r="AE1968" s="0" t="str">
        <f aca="false">IF(Y1968=1,"",IF(AND(AA1968=1,AC1968&lt;&gt;1),1,0))</f>
        <v/>
      </c>
      <c r="AF1968" s="45" t="str">
        <f aca="false">IF(AND(E1968&gt;0,Y1968&lt;1,NOT(AND(C1969=C1968,Y1969=Y1968+1))),INDEX(DATAS,Y1968+1),"")</f>
        <v/>
      </c>
      <c r="AG1968" s="45" t="str">
        <f aca="false">IF(AND(AA1968=1,Y1968&lt;1),IF(AND(C1969=C1968,Y1969=Y1968+1),IF(AA1969=1,"",INDEX(DATAS,Y1968+1)),INDEX(DATAS,Y1968+1)),"")</f>
        <v/>
      </c>
    </row>
    <row r="1969" customFormat="false" ht="15" hidden="false" customHeight="false" outlineLevel="0" collapsed="false">
      <c r="A1969" s="45" t="n">
        <v>46309</v>
      </c>
      <c r="B1969" s="0" t="n">
        <v>14</v>
      </c>
      <c r="C1969" s="0" t="n">
        <v>6223</v>
      </c>
      <c r="E1969" s="0" t="n">
        <v>0</v>
      </c>
      <c r="F1969" s="39" t="s">
        <v>1098</v>
      </c>
      <c r="I1969" s="39" t="s">
        <v>109</v>
      </c>
      <c r="L1969" s="0" t="n">
        <v>262</v>
      </c>
      <c r="U1969" s="0" t="n">
        <v>638</v>
      </c>
      <c r="V1969" s="0" t="n">
        <v>1</v>
      </c>
      <c r="W1969" s="39" t="n">
        <f aca="false">IF(I1969="Male",0,1)</f>
        <v>1</v>
      </c>
      <c r="X1969" s="39" t="n">
        <f aca="false">IF(OR(I1969="DNB",I1969="Dry DNB"),1,0)</f>
        <v>0</v>
      </c>
      <c r="Y1969" s="39" t="n">
        <f aca="false">MATCH(A1969,DATAS,0)</f>
        <v>1</v>
      </c>
      <c r="Z1969" s="39" t="n">
        <f aca="false">IF(AND(E1969&gt;0,OR(AND(B1969&gt;=1,B1969&lt;=6),B1969=10)),1,0)</f>
        <v>0</v>
      </c>
      <c r="AA1969" s="39" t="n">
        <f aca="false">IF(AND(E1969&gt;0,B1969=10),1,0)</f>
        <v>0</v>
      </c>
      <c r="AB1969" s="0" t="str">
        <f aca="false">IF(AND(C1968=C1969,Y1968=Y1969-1),Z1968,"")</f>
        <v/>
      </c>
      <c r="AC1969" s="0" t="str">
        <f aca="false">IF(AND(C1968=C1969,Y1968=Y1969-1),AA1968,"")</f>
        <v/>
      </c>
      <c r="AD1969" s="0" t="str">
        <f aca="false">IF(Y1969=1,"",IF(AND(Z1969=1,AB1969&lt;&gt;1),1,0))</f>
        <v/>
      </c>
      <c r="AE1969" s="0" t="str">
        <f aca="false">IF(Y1969=1,"",IF(AND(AA1969=1,AC1969&lt;&gt;1),1,0))</f>
        <v/>
      </c>
      <c r="AF1969" s="45" t="str">
        <f aca="false">IF(AND(E1969&gt;0,Y1969&lt;1,NOT(AND(C1970=C1969,Y1970=Y1969+1))),INDEX(DATAS,Y1969+1),"")</f>
        <v/>
      </c>
      <c r="AG1969" s="45" t="str">
        <f aca="false">IF(AND(AA1969=1,Y1969&lt;1),IF(AND(C1970=C1969,Y1970=Y1969+1),IF(AA1970=1,"",INDEX(DATAS,Y1969+1)),INDEX(DATAS,Y1969+1)),"")</f>
        <v/>
      </c>
    </row>
    <row r="1970" customFormat="false" ht="15" hidden="false" customHeight="false" outlineLevel="0" collapsed="false">
      <c r="A1970" s="45" t="n">
        <v>46309</v>
      </c>
      <c r="B1970" s="0" t="n">
        <v>8</v>
      </c>
      <c r="C1970" s="0" t="n">
        <v>6224</v>
      </c>
      <c r="E1970" s="0" t="n">
        <v>0</v>
      </c>
      <c r="F1970" s="39" t="s">
        <v>1099</v>
      </c>
      <c r="I1970" s="39" t="s">
        <v>109</v>
      </c>
      <c r="L1970" s="0" t="n">
        <v>183</v>
      </c>
      <c r="U1970" s="0" t="n">
        <v>637</v>
      </c>
      <c r="V1970" s="0" t="n">
        <v>4</v>
      </c>
      <c r="W1970" s="39" t="n">
        <f aca="false">IF(I1970="Male",0,1)</f>
        <v>1</v>
      </c>
      <c r="X1970" s="39" t="n">
        <f aca="false">IF(OR(I1970="DNB",I1970="Dry DNB"),1,0)</f>
        <v>0</v>
      </c>
      <c r="Y1970" s="39" t="n">
        <f aca="false">MATCH(A1970,DATAS,0)</f>
        <v>1</v>
      </c>
      <c r="Z1970" s="39" t="n">
        <f aca="false">IF(AND(E1970&gt;0,OR(AND(B1970&gt;=1,B1970&lt;=6),B1970=10)),1,0)</f>
        <v>0</v>
      </c>
      <c r="AA1970" s="39" t="n">
        <f aca="false">IF(AND(E1970&gt;0,B1970=10),1,0)</f>
        <v>0</v>
      </c>
      <c r="AB1970" s="0" t="str">
        <f aca="false">IF(AND(C1969=C1970,Y1969=Y1970-1),Z1969,"")</f>
        <v/>
      </c>
      <c r="AC1970" s="0" t="str">
        <f aca="false">IF(AND(C1969=C1970,Y1969=Y1970-1),AA1969,"")</f>
        <v/>
      </c>
      <c r="AD1970" s="0" t="str">
        <f aca="false">IF(Y1970=1,"",IF(AND(Z1970=1,AB1970&lt;&gt;1),1,0))</f>
        <v/>
      </c>
      <c r="AE1970" s="0" t="str">
        <f aca="false">IF(Y1970=1,"",IF(AND(AA1970=1,AC1970&lt;&gt;1),1,0))</f>
        <v/>
      </c>
      <c r="AF1970" s="45" t="str">
        <f aca="false">IF(AND(E1970&gt;0,Y1970&lt;1,NOT(AND(C1971=C1970,Y1971=Y1970+1))),INDEX(DATAS,Y1970+1),"")</f>
        <v/>
      </c>
      <c r="AG1970" s="45" t="str">
        <f aca="false">IF(AND(AA1970=1,Y1970&lt;1),IF(AND(C1971=C1970,Y1971=Y1970+1),IF(AA1971=1,"",INDEX(DATAS,Y1970+1)),INDEX(DATAS,Y1970+1)),"")</f>
        <v/>
      </c>
    </row>
    <row r="1971" customFormat="false" ht="15" hidden="false" customHeight="false" outlineLevel="0" collapsed="false">
      <c r="A1971" s="45" t="n">
        <v>46309</v>
      </c>
      <c r="B1971" s="0" t="n">
        <v>8</v>
      </c>
      <c r="C1971" s="0" t="n">
        <v>6225</v>
      </c>
      <c r="E1971" s="0" t="n">
        <v>0</v>
      </c>
      <c r="F1971" s="39" t="s">
        <v>1100</v>
      </c>
      <c r="I1971" s="39" t="s">
        <v>109</v>
      </c>
      <c r="L1971" s="0" t="n">
        <v>143</v>
      </c>
      <c r="U1971" s="0" t="n">
        <v>636</v>
      </c>
      <c r="V1971" s="0" t="n">
        <v>4</v>
      </c>
      <c r="W1971" s="39" t="n">
        <f aca="false">IF(I1971="Male",0,1)</f>
        <v>1</v>
      </c>
      <c r="X1971" s="39" t="n">
        <f aca="false">IF(OR(I1971="DNB",I1971="Dry DNB"),1,0)</f>
        <v>0</v>
      </c>
      <c r="Y1971" s="39" t="n">
        <f aca="false">MATCH(A1971,DATAS,0)</f>
        <v>1</v>
      </c>
      <c r="Z1971" s="39" t="n">
        <f aca="false">IF(AND(E1971&gt;0,OR(AND(B1971&gt;=1,B1971&lt;=6),B1971=10)),1,0)</f>
        <v>0</v>
      </c>
      <c r="AA1971" s="39" t="n">
        <f aca="false">IF(AND(E1971&gt;0,B1971=10),1,0)</f>
        <v>0</v>
      </c>
      <c r="AB1971" s="0" t="str">
        <f aca="false">IF(AND(C1970=C1971,Y1970=Y1971-1),Z1970,"")</f>
        <v/>
      </c>
      <c r="AC1971" s="0" t="str">
        <f aca="false">IF(AND(C1970=C1971,Y1970=Y1971-1),AA1970,"")</f>
        <v/>
      </c>
      <c r="AD1971" s="0" t="str">
        <f aca="false">IF(Y1971=1,"",IF(AND(Z1971=1,AB1971&lt;&gt;1),1,0))</f>
        <v/>
      </c>
      <c r="AE1971" s="0" t="str">
        <f aca="false">IF(Y1971=1,"",IF(AND(AA1971=1,AC1971&lt;&gt;1),1,0))</f>
        <v/>
      </c>
      <c r="AF1971" s="45" t="str">
        <f aca="false">IF(AND(E1971&gt;0,Y1971&lt;1,NOT(AND(C1972=C1971,Y1972=Y1971+1))),INDEX(DATAS,Y1971+1),"")</f>
        <v/>
      </c>
      <c r="AG1971" s="45" t="str">
        <f aca="false">IF(AND(AA1971=1,Y1971&lt;1),IF(AND(C1972=C1971,Y1972=Y1971+1),IF(AA1972=1,"",INDEX(DATAS,Y1971+1)),INDEX(DATAS,Y1971+1)),"")</f>
        <v/>
      </c>
    </row>
    <row r="1972" customFormat="false" ht="15" hidden="false" customHeight="false" outlineLevel="0" collapsed="false">
      <c r="A1972" s="45" t="n">
        <v>46309</v>
      </c>
      <c r="B1972" s="0" t="n">
        <v>8</v>
      </c>
      <c r="C1972" s="0" t="n">
        <v>6227</v>
      </c>
      <c r="E1972" s="0" t="n">
        <v>0</v>
      </c>
      <c r="F1972" s="39" t="s">
        <v>1101</v>
      </c>
      <c r="I1972" s="39" t="s">
        <v>109</v>
      </c>
      <c r="L1972" s="0" t="n">
        <v>188</v>
      </c>
      <c r="U1972" s="0" t="n">
        <v>635</v>
      </c>
      <c r="V1972" s="0" t="n">
        <v>2</v>
      </c>
      <c r="W1972" s="39" t="n">
        <f aca="false">IF(I1972="Male",0,1)</f>
        <v>1</v>
      </c>
      <c r="X1972" s="39" t="n">
        <f aca="false">IF(OR(I1972="DNB",I1972="Dry DNB"),1,0)</f>
        <v>0</v>
      </c>
      <c r="Y1972" s="39" t="n">
        <f aca="false">MATCH(A1972,DATAS,0)</f>
        <v>1</v>
      </c>
      <c r="Z1972" s="39" t="n">
        <f aca="false">IF(AND(E1972&gt;0,OR(AND(B1972&gt;=1,B1972&lt;=6),B1972=10)),1,0)</f>
        <v>0</v>
      </c>
      <c r="AA1972" s="39" t="n">
        <f aca="false">IF(AND(E1972&gt;0,B1972=10),1,0)</f>
        <v>0</v>
      </c>
      <c r="AB1972" s="0" t="str">
        <f aca="false">IF(AND(C1971=C1972,Y1971=Y1972-1),Z1971,"")</f>
        <v/>
      </c>
      <c r="AC1972" s="0" t="str">
        <f aca="false">IF(AND(C1971=C1972,Y1971=Y1972-1),AA1971,"")</f>
        <v/>
      </c>
      <c r="AD1972" s="0" t="str">
        <f aca="false">IF(Y1972=1,"",IF(AND(Z1972=1,AB1972&lt;&gt;1),1,0))</f>
        <v/>
      </c>
      <c r="AE1972" s="0" t="str">
        <f aca="false">IF(Y1972=1,"",IF(AND(AA1972=1,AC1972&lt;&gt;1),1,0))</f>
        <v/>
      </c>
      <c r="AF1972" s="45" t="str">
        <f aca="false">IF(AND(E1972&gt;0,Y1972&lt;1,NOT(AND(C1973=C1972,Y1973=Y1972+1))),INDEX(DATAS,Y1972+1),"")</f>
        <v/>
      </c>
      <c r="AG1972" s="45" t="str">
        <f aca="false">IF(AND(AA1972=1,Y1972&lt;1),IF(AND(C1973=C1972,Y1973=Y1972+1),IF(AA1973=1,"",INDEX(DATAS,Y1972+1)),INDEX(DATAS,Y1972+1)),"")</f>
        <v/>
      </c>
    </row>
    <row r="1973" customFormat="false" ht="15" hidden="false" customHeight="false" outlineLevel="0" collapsed="false">
      <c r="A1973" s="45" t="n">
        <v>46309</v>
      </c>
      <c r="B1973" s="0" t="n">
        <v>7</v>
      </c>
      <c r="C1973" s="0" t="n">
        <v>6228</v>
      </c>
      <c r="E1973" s="0" t="n">
        <v>0</v>
      </c>
      <c r="F1973" s="39" t="s">
        <v>1101</v>
      </c>
      <c r="I1973" s="39" t="s">
        <v>109</v>
      </c>
      <c r="L1973" s="0" t="n">
        <v>247</v>
      </c>
      <c r="U1973" s="0" t="n">
        <v>635</v>
      </c>
      <c r="V1973" s="0" t="n">
        <v>2</v>
      </c>
      <c r="W1973" s="39" t="n">
        <f aca="false">IF(I1973="Male",0,1)</f>
        <v>1</v>
      </c>
      <c r="X1973" s="39" t="n">
        <f aca="false">IF(OR(I1973="DNB",I1973="Dry DNB"),1,0)</f>
        <v>0</v>
      </c>
      <c r="Y1973" s="39" t="n">
        <f aca="false">MATCH(A1973,DATAS,0)</f>
        <v>1</v>
      </c>
      <c r="Z1973" s="39" t="n">
        <f aca="false">IF(AND(E1973&gt;0,OR(AND(B1973&gt;=1,B1973&lt;=6),B1973=10)),1,0)</f>
        <v>0</v>
      </c>
      <c r="AA1973" s="39" t="n">
        <f aca="false">IF(AND(E1973&gt;0,B1973=10),1,0)</f>
        <v>0</v>
      </c>
      <c r="AB1973" s="0" t="str">
        <f aca="false">IF(AND(C1972=C1973,Y1972=Y1973-1),Z1972,"")</f>
        <v/>
      </c>
      <c r="AC1973" s="0" t="str">
        <f aca="false">IF(AND(C1972=C1973,Y1972=Y1973-1),AA1972,"")</f>
        <v/>
      </c>
      <c r="AD1973" s="0" t="str">
        <f aca="false">IF(Y1973=1,"",IF(AND(Z1973=1,AB1973&lt;&gt;1),1,0))</f>
        <v/>
      </c>
      <c r="AE1973" s="0" t="str">
        <f aca="false">IF(Y1973=1,"",IF(AND(AA1973=1,AC1973&lt;&gt;1),1,0))</f>
        <v/>
      </c>
      <c r="AF1973" s="45" t="str">
        <f aca="false">IF(AND(E1973&gt;0,Y1973&lt;1,NOT(AND(C1974=C1973,Y1974=Y1973+1))),INDEX(DATAS,Y1973+1),"")</f>
        <v/>
      </c>
      <c r="AG1973" s="45" t="str">
        <f aca="false">IF(AND(AA1973=1,Y1973&lt;1),IF(AND(C1974=C1973,Y1974=Y1973+1),IF(AA1974=1,"",INDEX(DATAS,Y1973+1)),INDEX(DATAS,Y1973+1)),"")</f>
        <v/>
      </c>
    </row>
    <row r="1974" customFormat="false" ht="15" hidden="false" customHeight="false" outlineLevel="0" collapsed="false">
      <c r="A1974" s="45" t="n">
        <v>46309</v>
      </c>
      <c r="B1974" s="0" t="n">
        <v>14</v>
      </c>
      <c r="C1974" s="0" t="n">
        <v>6232</v>
      </c>
      <c r="E1974" s="0" t="n">
        <v>0</v>
      </c>
      <c r="F1974" s="39" t="s">
        <v>1101</v>
      </c>
      <c r="I1974" s="39" t="s">
        <v>109</v>
      </c>
      <c r="L1974" s="0" t="n">
        <v>265</v>
      </c>
      <c r="U1974" s="0" t="n">
        <v>635</v>
      </c>
      <c r="V1974" s="0" t="n">
        <v>1</v>
      </c>
      <c r="W1974" s="39" t="n">
        <f aca="false">IF(I1974="Male",0,1)</f>
        <v>1</v>
      </c>
      <c r="X1974" s="39" t="n">
        <f aca="false">IF(OR(I1974="DNB",I1974="Dry DNB"),1,0)</f>
        <v>0</v>
      </c>
      <c r="Y1974" s="39" t="n">
        <f aca="false">MATCH(A1974,DATAS,0)</f>
        <v>1</v>
      </c>
      <c r="Z1974" s="39" t="n">
        <f aca="false">IF(AND(E1974&gt;0,OR(AND(B1974&gt;=1,B1974&lt;=6),B1974=10)),1,0)</f>
        <v>0</v>
      </c>
      <c r="AA1974" s="39" t="n">
        <f aca="false">IF(AND(E1974&gt;0,B1974=10),1,0)</f>
        <v>0</v>
      </c>
      <c r="AB1974" s="0" t="str">
        <f aca="false">IF(AND(C1973=C1974,Y1973=Y1974-1),Z1973,"")</f>
        <v/>
      </c>
      <c r="AC1974" s="0" t="str">
        <f aca="false">IF(AND(C1973=C1974,Y1973=Y1974-1),AA1973,"")</f>
        <v/>
      </c>
      <c r="AD1974" s="0" t="str">
        <f aca="false">IF(Y1974=1,"",IF(AND(Z1974=1,AB1974&lt;&gt;1),1,0))</f>
        <v/>
      </c>
      <c r="AE1974" s="0" t="str">
        <f aca="false">IF(Y1974=1,"",IF(AND(AA1974=1,AC1974&lt;&gt;1),1,0))</f>
        <v/>
      </c>
      <c r="AF1974" s="45" t="str">
        <f aca="false">IF(AND(E1974&gt;0,Y1974&lt;1,NOT(AND(C1975=C1974,Y1975=Y1974+1))),INDEX(DATAS,Y1974+1),"")</f>
        <v/>
      </c>
      <c r="AG1974" s="45" t="str">
        <f aca="false">IF(AND(AA1974=1,Y1974&lt;1),IF(AND(C1975=C1974,Y1975=Y1974+1),IF(AA1975=1,"",INDEX(DATAS,Y1974+1)),INDEX(DATAS,Y1974+1)),"")</f>
        <v/>
      </c>
    </row>
    <row r="1975" customFormat="false" ht="15" hidden="false" customHeight="false" outlineLevel="0" collapsed="false">
      <c r="A1975" s="45" t="n">
        <v>46309</v>
      </c>
      <c r="B1975" s="0" t="n">
        <v>14</v>
      </c>
      <c r="C1975" s="0" t="n">
        <v>6233</v>
      </c>
      <c r="E1975" s="0" t="n">
        <v>0</v>
      </c>
      <c r="F1975" s="39" t="s">
        <v>1102</v>
      </c>
      <c r="I1975" s="39" t="s">
        <v>109</v>
      </c>
      <c r="L1975" s="0" t="n">
        <v>269</v>
      </c>
      <c r="U1975" s="0" t="n">
        <v>633</v>
      </c>
      <c r="V1975" s="0" t="n">
        <v>1</v>
      </c>
      <c r="W1975" s="39" t="n">
        <f aca="false">IF(I1975="Male",0,1)</f>
        <v>1</v>
      </c>
      <c r="X1975" s="39" t="n">
        <f aca="false">IF(OR(I1975="DNB",I1975="Dry DNB"),1,0)</f>
        <v>0</v>
      </c>
      <c r="Y1975" s="39" t="n">
        <f aca="false">MATCH(A1975,DATAS,0)</f>
        <v>1</v>
      </c>
      <c r="Z1975" s="39" t="n">
        <f aca="false">IF(AND(E1975&gt;0,OR(AND(B1975&gt;=1,B1975&lt;=6),B1975=10)),1,0)</f>
        <v>0</v>
      </c>
      <c r="AA1975" s="39" t="n">
        <f aca="false">IF(AND(E1975&gt;0,B1975=10),1,0)</f>
        <v>0</v>
      </c>
      <c r="AB1975" s="0" t="str">
        <f aca="false">IF(AND(C1974=C1975,Y1974=Y1975-1),Z1974,"")</f>
        <v/>
      </c>
      <c r="AC1975" s="0" t="str">
        <f aca="false">IF(AND(C1974=C1975,Y1974=Y1975-1),AA1974,"")</f>
        <v/>
      </c>
      <c r="AD1975" s="0" t="str">
        <f aca="false">IF(Y1975=1,"",IF(AND(Z1975=1,AB1975&lt;&gt;1),1,0))</f>
        <v/>
      </c>
      <c r="AE1975" s="0" t="str">
        <f aca="false">IF(Y1975=1,"",IF(AND(AA1975=1,AC1975&lt;&gt;1),1,0))</f>
        <v/>
      </c>
      <c r="AF1975" s="45" t="str">
        <f aca="false">IF(AND(E1975&gt;0,Y1975&lt;1,NOT(AND(C1976=C1975,Y1976=Y1975+1))),INDEX(DATAS,Y1975+1),"")</f>
        <v/>
      </c>
      <c r="AG1975" s="45" t="str">
        <f aca="false">IF(AND(AA1975=1,Y1975&lt;1),IF(AND(C1976=C1975,Y1976=Y1975+1),IF(AA1976=1,"",INDEX(DATAS,Y1975+1)),INDEX(DATAS,Y1975+1)),"")</f>
        <v/>
      </c>
    </row>
    <row r="1976" customFormat="false" ht="15" hidden="false" customHeight="false" outlineLevel="0" collapsed="false">
      <c r="A1976" s="45" t="n">
        <v>46309</v>
      </c>
      <c r="B1976" s="0" t="n">
        <v>7</v>
      </c>
      <c r="C1976" s="0" t="n">
        <v>6234</v>
      </c>
      <c r="E1976" s="0" t="n">
        <v>0</v>
      </c>
      <c r="F1976" s="39" t="s">
        <v>1094</v>
      </c>
      <c r="I1976" s="39" t="s">
        <v>109</v>
      </c>
      <c r="L1976" s="0" t="n">
        <v>252</v>
      </c>
      <c r="U1976" s="0" t="n">
        <v>642</v>
      </c>
      <c r="V1976" s="0" t="n">
        <v>1</v>
      </c>
      <c r="W1976" s="39" t="n">
        <f aca="false">IF(I1976="Male",0,1)</f>
        <v>1</v>
      </c>
      <c r="X1976" s="39" t="n">
        <f aca="false">IF(OR(I1976="DNB",I1976="Dry DNB"),1,0)</f>
        <v>0</v>
      </c>
      <c r="Y1976" s="39" t="n">
        <f aca="false">MATCH(A1976,DATAS,0)</f>
        <v>1</v>
      </c>
      <c r="Z1976" s="39" t="n">
        <f aca="false">IF(AND(E1976&gt;0,OR(AND(B1976&gt;=1,B1976&lt;=6),B1976=10)),1,0)</f>
        <v>0</v>
      </c>
      <c r="AA1976" s="39" t="n">
        <f aca="false">IF(AND(E1976&gt;0,B1976=10),1,0)</f>
        <v>0</v>
      </c>
      <c r="AB1976" s="0" t="str">
        <f aca="false">IF(AND(C1975=C1976,Y1975=Y1976-1),Z1975,"")</f>
        <v/>
      </c>
      <c r="AC1976" s="0" t="str">
        <f aca="false">IF(AND(C1975=C1976,Y1975=Y1976-1),AA1975,"")</f>
        <v/>
      </c>
      <c r="AD1976" s="0" t="str">
        <f aca="false">IF(Y1976=1,"",IF(AND(Z1976=1,AB1976&lt;&gt;1),1,0))</f>
        <v/>
      </c>
      <c r="AE1976" s="0" t="str">
        <f aca="false">IF(Y1976=1,"",IF(AND(AA1976=1,AC1976&lt;&gt;1),1,0))</f>
        <v/>
      </c>
      <c r="AF1976" s="45" t="str">
        <f aca="false">IF(AND(E1976&gt;0,Y1976&lt;1,NOT(AND(C1977=C1976,Y1977=Y1976+1))),INDEX(DATAS,Y1976+1),"")</f>
        <v/>
      </c>
      <c r="AG1976" s="45" t="str">
        <f aca="false">IF(AND(AA1976=1,Y1976&lt;1),IF(AND(C1977=C1976,Y1977=Y1976+1),IF(AA1977=1,"",INDEX(DATAS,Y1976+1)),INDEX(DATAS,Y1976+1)),"")</f>
        <v/>
      </c>
    </row>
    <row r="1977" customFormat="false" ht="15" hidden="false" customHeight="false" outlineLevel="0" collapsed="false">
      <c r="A1977" s="45" t="n">
        <v>46309</v>
      </c>
      <c r="B1977" s="0" t="n">
        <v>8</v>
      </c>
      <c r="C1977" s="0" t="n">
        <v>6235</v>
      </c>
      <c r="E1977" s="0" t="n">
        <v>0</v>
      </c>
      <c r="F1977" s="39" t="s">
        <v>1103</v>
      </c>
      <c r="I1977" s="39" t="s">
        <v>109</v>
      </c>
      <c r="L1977" s="0" t="n">
        <v>212</v>
      </c>
      <c r="U1977" s="0" t="n">
        <v>632</v>
      </c>
      <c r="V1977" s="0" t="n">
        <v>2</v>
      </c>
      <c r="W1977" s="39" t="n">
        <f aca="false">IF(I1977="Male",0,1)</f>
        <v>1</v>
      </c>
      <c r="X1977" s="39" t="n">
        <f aca="false">IF(OR(I1977="DNB",I1977="Dry DNB"),1,0)</f>
        <v>0</v>
      </c>
      <c r="Y1977" s="39" t="n">
        <f aca="false">MATCH(A1977,DATAS,0)</f>
        <v>1</v>
      </c>
      <c r="Z1977" s="39" t="n">
        <f aca="false">IF(AND(E1977&gt;0,OR(AND(B1977&gt;=1,B1977&lt;=6),B1977=10)),1,0)</f>
        <v>0</v>
      </c>
      <c r="AA1977" s="39" t="n">
        <f aca="false">IF(AND(E1977&gt;0,B1977=10),1,0)</f>
        <v>0</v>
      </c>
      <c r="AB1977" s="0" t="str">
        <f aca="false">IF(AND(C1976=C1977,Y1976=Y1977-1),Z1976,"")</f>
        <v/>
      </c>
      <c r="AC1977" s="0" t="str">
        <f aca="false">IF(AND(C1976=C1977,Y1976=Y1977-1),AA1976,"")</f>
        <v/>
      </c>
      <c r="AD1977" s="0" t="str">
        <f aca="false">IF(Y1977=1,"",IF(AND(Z1977=1,AB1977&lt;&gt;1),1,0))</f>
        <v/>
      </c>
      <c r="AE1977" s="0" t="str">
        <f aca="false">IF(Y1977=1,"",IF(AND(AA1977=1,AC1977&lt;&gt;1),1,0))</f>
        <v/>
      </c>
      <c r="AF1977" s="45" t="str">
        <f aca="false">IF(AND(E1977&gt;0,Y1977&lt;1,NOT(AND(C1978=C1977,Y1978=Y1977+1))),INDEX(DATAS,Y1977+1),"")</f>
        <v/>
      </c>
      <c r="AG1977" s="45" t="str">
        <f aca="false">IF(AND(AA1977=1,Y1977&lt;1),IF(AND(C1978=C1977,Y1978=Y1977+1),IF(AA1978=1,"",INDEX(DATAS,Y1977+1)),INDEX(DATAS,Y1977+1)),"")</f>
        <v/>
      </c>
    </row>
    <row r="1978" customFormat="false" ht="15" hidden="false" customHeight="false" outlineLevel="0" collapsed="false">
      <c r="A1978" s="45" t="n">
        <v>46309</v>
      </c>
      <c r="B1978" s="0" t="n">
        <v>10</v>
      </c>
      <c r="C1978" s="0" t="n">
        <v>6237</v>
      </c>
      <c r="D1978" s="0" t="n">
        <v>10</v>
      </c>
      <c r="E1978" s="0" t="n">
        <v>1</v>
      </c>
      <c r="F1978" s="39" t="s">
        <v>1104</v>
      </c>
      <c r="H1978" s="0" t="n">
        <v>20</v>
      </c>
      <c r="I1978" s="39" t="s">
        <v>118</v>
      </c>
      <c r="J1978" s="0" t="n">
        <v>10</v>
      </c>
      <c r="R1978" s="0" t="n">
        <v>1726</v>
      </c>
      <c r="S1978" s="0" t="n">
        <v>3469</v>
      </c>
      <c r="U1978" s="0" t="n">
        <v>630</v>
      </c>
      <c r="V1978" s="0" t="n">
        <v>0</v>
      </c>
      <c r="W1978" s="39" t="n">
        <f aca="false">IF(I1978="Male",0,1)</f>
        <v>1</v>
      </c>
      <c r="X1978" s="39" t="n">
        <f aca="false">IF(OR(I1978="DNB",I1978="Dry DNB"),1,0)</f>
        <v>0</v>
      </c>
      <c r="Y1978" s="39" t="n">
        <f aca="false">MATCH(A1978,DATAS,0)</f>
        <v>1</v>
      </c>
      <c r="Z1978" s="39" t="n">
        <f aca="false">IF(AND(E1978&gt;0,OR(AND(B1978&gt;=1,B1978&lt;=6),B1978=10)),1,0)</f>
        <v>1</v>
      </c>
      <c r="AA1978" s="39" t="n">
        <f aca="false">IF(AND(E1978&gt;0,B1978=10),1,0)</f>
        <v>1</v>
      </c>
      <c r="AB1978" s="0" t="str">
        <f aca="false">IF(AND(C1977=C1978,Y1977=Y1978-1),Z1977,"")</f>
        <v/>
      </c>
      <c r="AC1978" s="0" t="str">
        <f aca="false">IF(AND(C1977=C1978,Y1977=Y1978-1),AA1977,"")</f>
        <v/>
      </c>
      <c r="AD1978" s="0" t="str">
        <f aca="false">IF(Y1978=1,"",IF(AND(Z1978=1,AB1978&lt;&gt;1),1,0))</f>
        <v/>
      </c>
      <c r="AE1978" s="0" t="str">
        <f aca="false">IF(Y1978=1,"",IF(AND(AA1978=1,AC1978&lt;&gt;1),1,0))</f>
        <v/>
      </c>
      <c r="AF1978" s="45" t="str">
        <f aca="false">IF(AND(E1978&gt;0,Y1978&lt;1,NOT(AND(C1979=C1978,Y1979=Y1978+1))),INDEX(DATAS,Y1978+1),"")</f>
        <v/>
      </c>
      <c r="AG1978" s="45" t="str">
        <f aca="false">IF(AND(AA1978=1,Y1978&lt;1),IF(AND(C1979=C1978,Y1979=Y1978+1),IF(AA1979=1,"",INDEX(DATAS,Y1978+1)),INDEX(DATAS,Y1978+1)),"")</f>
        <v/>
      </c>
    </row>
    <row r="1979" customFormat="false" ht="15" hidden="false" customHeight="false" outlineLevel="0" collapsed="false">
      <c r="A1979" s="45" t="n">
        <v>46309</v>
      </c>
      <c r="B1979" s="0" t="n">
        <v>14</v>
      </c>
      <c r="C1979" s="0" t="n">
        <v>6239</v>
      </c>
      <c r="E1979" s="0" t="n">
        <v>0</v>
      </c>
      <c r="F1979" s="39" t="s">
        <v>1104</v>
      </c>
      <c r="I1979" s="39" t="s">
        <v>109</v>
      </c>
      <c r="L1979" s="0" t="n">
        <v>271</v>
      </c>
      <c r="U1979" s="0" t="n">
        <v>630</v>
      </c>
      <c r="V1979" s="0" t="n">
        <v>1</v>
      </c>
      <c r="W1979" s="39" t="n">
        <f aca="false">IF(I1979="Male",0,1)</f>
        <v>1</v>
      </c>
      <c r="X1979" s="39" t="n">
        <f aca="false">IF(OR(I1979="DNB",I1979="Dry DNB"),1,0)</f>
        <v>0</v>
      </c>
      <c r="Y1979" s="39" t="n">
        <f aca="false">MATCH(A1979,DATAS,0)</f>
        <v>1</v>
      </c>
      <c r="Z1979" s="39" t="n">
        <f aca="false">IF(AND(E1979&gt;0,OR(AND(B1979&gt;=1,B1979&lt;=6),B1979=10)),1,0)</f>
        <v>0</v>
      </c>
      <c r="AA1979" s="39" t="n">
        <f aca="false">IF(AND(E1979&gt;0,B1979=10),1,0)</f>
        <v>0</v>
      </c>
      <c r="AB1979" s="0" t="str">
        <f aca="false">IF(AND(C1978=C1979,Y1978=Y1979-1),Z1978,"")</f>
        <v/>
      </c>
      <c r="AC1979" s="0" t="str">
        <f aca="false">IF(AND(C1978=C1979,Y1978=Y1979-1),AA1978,"")</f>
        <v/>
      </c>
      <c r="AD1979" s="0" t="str">
        <f aca="false">IF(Y1979=1,"",IF(AND(Z1979=1,AB1979&lt;&gt;1),1,0))</f>
        <v/>
      </c>
      <c r="AE1979" s="0" t="str">
        <f aca="false">IF(Y1979=1,"",IF(AND(AA1979=1,AC1979&lt;&gt;1),1,0))</f>
        <v/>
      </c>
      <c r="AF1979" s="45" t="str">
        <f aca="false">IF(AND(E1979&gt;0,Y1979&lt;1,NOT(AND(C1980=C1979,Y1980=Y1979+1))),INDEX(DATAS,Y1979+1),"")</f>
        <v/>
      </c>
      <c r="AG1979" s="45" t="str">
        <f aca="false">IF(AND(AA1979=1,Y1979&lt;1),IF(AND(C1980=C1979,Y1980=Y1979+1),IF(AA1980=1,"",INDEX(DATAS,Y1979+1)),INDEX(DATAS,Y1979+1)),"")</f>
        <v/>
      </c>
    </row>
    <row r="1980" customFormat="false" ht="15" hidden="false" customHeight="false" outlineLevel="0" collapsed="false">
      <c r="A1980" s="45" t="n">
        <v>46309</v>
      </c>
      <c r="B1980" s="0" t="n">
        <v>8</v>
      </c>
      <c r="C1980" s="0" t="n">
        <v>6240</v>
      </c>
      <c r="E1980" s="0" t="n">
        <v>0</v>
      </c>
      <c r="F1980" s="39" t="s">
        <v>1104</v>
      </c>
      <c r="I1980" s="39" t="s">
        <v>109</v>
      </c>
      <c r="L1980" s="0" t="n">
        <v>162</v>
      </c>
      <c r="U1980" s="0" t="n">
        <v>630</v>
      </c>
      <c r="V1980" s="0" t="n">
        <v>5</v>
      </c>
      <c r="W1980" s="39" t="n">
        <f aca="false">IF(I1980="Male",0,1)</f>
        <v>1</v>
      </c>
      <c r="X1980" s="39" t="n">
        <f aca="false">IF(OR(I1980="DNB",I1980="Dry DNB"),1,0)</f>
        <v>0</v>
      </c>
      <c r="Y1980" s="39" t="n">
        <f aca="false">MATCH(A1980,DATAS,0)</f>
        <v>1</v>
      </c>
      <c r="Z1980" s="39" t="n">
        <f aca="false">IF(AND(E1980&gt;0,OR(AND(B1980&gt;=1,B1980&lt;=6),B1980=10)),1,0)</f>
        <v>0</v>
      </c>
      <c r="AA1980" s="39" t="n">
        <f aca="false">IF(AND(E1980&gt;0,B1980=10),1,0)</f>
        <v>0</v>
      </c>
      <c r="AB1980" s="0" t="str">
        <f aca="false">IF(AND(C1979=C1980,Y1979=Y1980-1),Z1979,"")</f>
        <v/>
      </c>
      <c r="AC1980" s="0" t="str">
        <f aca="false">IF(AND(C1979=C1980,Y1979=Y1980-1),AA1979,"")</f>
        <v/>
      </c>
      <c r="AD1980" s="0" t="str">
        <f aca="false">IF(Y1980=1,"",IF(AND(Z1980=1,AB1980&lt;&gt;1),1,0))</f>
        <v/>
      </c>
      <c r="AE1980" s="0" t="str">
        <f aca="false">IF(Y1980=1,"",IF(AND(AA1980=1,AC1980&lt;&gt;1),1,0))</f>
        <v/>
      </c>
      <c r="AF1980" s="45" t="str">
        <f aca="false">IF(AND(E1980&gt;0,Y1980&lt;1,NOT(AND(C1981=C1980,Y1981=Y1980+1))),INDEX(DATAS,Y1980+1),"")</f>
        <v/>
      </c>
      <c r="AG1980" s="45" t="str">
        <f aca="false">IF(AND(AA1980=1,Y1980&lt;1),IF(AND(C1981=C1980,Y1981=Y1980+1),IF(AA1981=1,"",INDEX(DATAS,Y1980+1)),INDEX(DATAS,Y1980+1)),"")</f>
        <v/>
      </c>
    </row>
    <row r="1981" customFormat="false" ht="15" hidden="false" customHeight="false" outlineLevel="0" collapsed="false">
      <c r="A1981" s="45" t="n">
        <v>46309</v>
      </c>
      <c r="B1981" s="0" t="n">
        <v>8</v>
      </c>
      <c r="C1981" s="0" t="n">
        <v>6241</v>
      </c>
      <c r="E1981" s="0" t="n">
        <v>0</v>
      </c>
      <c r="F1981" s="39" t="s">
        <v>1104</v>
      </c>
      <c r="I1981" s="39" t="s">
        <v>109</v>
      </c>
      <c r="L1981" s="0" t="n">
        <v>209</v>
      </c>
      <c r="U1981" s="0" t="n">
        <v>630</v>
      </c>
      <c r="V1981" s="0" t="n">
        <v>3</v>
      </c>
      <c r="W1981" s="39" t="n">
        <f aca="false">IF(I1981="Male",0,1)</f>
        <v>1</v>
      </c>
      <c r="X1981" s="39" t="n">
        <f aca="false">IF(OR(I1981="DNB",I1981="Dry DNB"),1,0)</f>
        <v>0</v>
      </c>
      <c r="Y1981" s="39" t="n">
        <f aca="false">MATCH(A1981,DATAS,0)</f>
        <v>1</v>
      </c>
      <c r="Z1981" s="39" t="n">
        <f aca="false">IF(AND(E1981&gt;0,OR(AND(B1981&gt;=1,B1981&lt;=6),B1981=10)),1,0)</f>
        <v>0</v>
      </c>
      <c r="AA1981" s="39" t="n">
        <f aca="false">IF(AND(E1981&gt;0,B1981=10),1,0)</f>
        <v>0</v>
      </c>
      <c r="AB1981" s="0" t="str">
        <f aca="false">IF(AND(C1980=C1981,Y1980=Y1981-1),Z1980,"")</f>
        <v/>
      </c>
      <c r="AC1981" s="0" t="str">
        <f aca="false">IF(AND(C1980=C1981,Y1980=Y1981-1),AA1980,"")</f>
        <v/>
      </c>
      <c r="AD1981" s="0" t="str">
        <f aca="false">IF(Y1981=1,"",IF(AND(Z1981=1,AB1981&lt;&gt;1),1,0))</f>
        <v/>
      </c>
      <c r="AE1981" s="0" t="str">
        <f aca="false">IF(Y1981=1,"",IF(AND(AA1981=1,AC1981&lt;&gt;1),1,0))</f>
        <v/>
      </c>
      <c r="AF1981" s="45" t="str">
        <f aca="false">IF(AND(E1981&gt;0,Y1981&lt;1,NOT(AND(C1982=C1981,Y1982=Y1981+1))),INDEX(DATAS,Y1981+1),"")</f>
        <v/>
      </c>
      <c r="AG1981" s="45" t="str">
        <f aca="false">IF(AND(AA1981=1,Y1981&lt;1),IF(AND(C1982=C1981,Y1982=Y1981+1),IF(AA1982=1,"",INDEX(DATAS,Y1981+1)),INDEX(DATAS,Y1981+1)),"")</f>
        <v/>
      </c>
    </row>
    <row r="1982" customFormat="false" ht="15" hidden="false" customHeight="false" outlineLevel="0" collapsed="false">
      <c r="A1982" s="45" t="n">
        <v>46309</v>
      </c>
      <c r="B1982" s="0" t="n">
        <v>11</v>
      </c>
      <c r="C1982" s="0" t="n">
        <v>6242</v>
      </c>
      <c r="E1982" s="0" t="n">
        <v>0</v>
      </c>
      <c r="F1982" s="39" t="s">
        <v>1104</v>
      </c>
      <c r="I1982" s="39" t="s">
        <v>138</v>
      </c>
      <c r="U1982" s="0" t="n">
        <v>630</v>
      </c>
      <c r="V1982" s="0" t="n">
        <v>7</v>
      </c>
      <c r="W1982" s="39" t="n">
        <f aca="false">IF(I1982="Male",0,1)</f>
        <v>1</v>
      </c>
      <c r="X1982" s="39" t="n">
        <f aca="false">IF(OR(I1982="DNB",I1982="Dry DNB"),1,0)</f>
        <v>0</v>
      </c>
      <c r="Y1982" s="39" t="n">
        <f aca="false">MATCH(A1982,DATAS,0)</f>
        <v>1</v>
      </c>
      <c r="Z1982" s="39" t="n">
        <f aca="false">IF(AND(E1982&gt;0,OR(AND(B1982&gt;=1,B1982&lt;=6),B1982=10)),1,0)</f>
        <v>0</v>
      </c>
      <c r="AA1982" s="39" t="n">
        <f aca="false">IF(AND(E1982&gt;0,B1982=10),1,0)</f>
        <v>0</v>
      </c>
      <c r="AB1982" s="0" t="str">
        <f aca="false">IF(AND(C1981=C1982,Y1981=Y1982-1),Z1981,"")</f>
        <v/>
      </c>
      <c r="AC1982" s="0" t="str">
        <f aca="false">IF(AND(C1981=C1982,Y1981=Y1982-1),AA1981,"")</f>
        <v/>
      </c>
      <c r="AD1982" s="0" t="str">
        <f aca="false">IF(Y1982=1,"",IF(AND(Z1982=1,AB1982&lt;&gt;1),1,0))</f>
        <v/>
      </c>
      <c r="AE1982" s="0" t="str">
        <f aca="false">IF(Y1982=1,"",IF(AND(AA1982=1,AC1982&lt;&gt;1),1,0))</f>
        <v/>
      </c>
      <c r="AF1982" s="45" t="str">
        <f aca="false">IF(AND(E1982&gt;0,Y1982&lt;1,NOT(AND(C1983=C1982,Y1983=Y1982+1))),INDEX(DATAS,Y1982+1),"")</f>
        <v/>
      </c>
      <c r="AG1982" s="45" t="str">
        <f aca="false">IF(AND(AA1982=1,Y1982&lt;1),IF(AND(C1983=C1982,Y1983=Y1982+1),IF(AA1983=1,"",INDEX(DATAS,Y1982+1)),INDEX(DATAS,Y1982+1)),"")</f>
        <v/>
      </c>
    </row>
    <row r="1983" customFormat="false" ht="15" hidden="false" customHeight="false" outlineLevel="0" collapsed="false">
      <c r="A1983" s="45" t="n">
        <v>46309</v>
      </c>
      <c r="B1983" s="0" t="n">
        <v>14</v>
      </c>
      <c r="C1983" s="0" t="n">
        <v>6243</v>
      </c>
      <c r="E1983" s="0" t="n">
        <v>0</v>
      </c>
      <c r="F1983" s="39" t="s">
        <v>112</v>
      </c>
      <c r="I1983" s="39" t="s">
        <v>109</v>
      </c>
      <c r="L1983" s="0" t="n">
        <v>255</v>
      </c>
      <c r="U1983" s="0" t="n">
        <v>629</v>
      </c>
      <c r="V1983" s="0" t="n">
        <v>1</v>
      </c>
      <c r="W1983" s="39" t="n">
        <f aca="false">IF(I1983="Male",0,1)</f>
        <v>1</v>
      </c>
      <c r="X1983" s="39" t="n">
        <f aca="false">IF(OR(I1983="DNB",I1983="Dry DNB"),1,0)</f>
        <v>0</v>
      </c>
      <c r="Y1983" s="39" t="n">
        <f aca="false">MATCH(A1983,DATAS,0)</f>
        <v>1</v>
      </c>
      <c r="Z1983" s="39" t="n">
        <f aca="false">IF(AND(E1983&gt;0,OR(AND(B1983&gt;=1,B1983&lt;=6),B1983=10)),1,0)</f>
        <v>0</v>
      </c>
      <c r="AA1983" s="39" t="n">
        <f aca="false">IF(AND(E1983&gt;0,B1983=10),1,0)</f>
        <v>0</v>
      </c>
      <c r="AB1983" s="0" t="str">
        <f aca="false">IF(AND(C1982=C1983,Y1982=Y1983-1),Z1982,"")</f>
        <v/>
      </c>
      <c r="AC1983" s="0" t="str">
        <f aca="false">IF(AND(C1982=C1983,Y1982=Y1983-1),AA1982,"")</f>
        <v/>
      </c>
      <c r="AD1983" s="0" t="str">
        <f aca="false">IF(Y1983=1,"",IF(AND(Z1983=1,AB1983&lt;&gt;1),1,0))</f>
        <v/>
      </c>
      <c r="AE1983" s="0" t="str">
        <f aca="false">IF(Y1983=1,"",IF(AND(AA1983=1,AC1983&lt;&gt;1),1,0))</f>
        <v/>
      </c>
      <c r="AF1983" s="45" t="str">
        <f aca="false">IF(AND(E1983&gt;0,Y1983&lt;1,NOT(AND(C1984=C1983,Y1984=Y1983+1))),INDEX(DATAS,Y1983+1),"")</f>
        <v/>
      </c>
      <c r="AG1983" s="45" t="str">
        <f aca="false">IF(AND(AA1983=1,Y1983&lt;1),IF(AND(C1984=C1983,Y1984=Y1983+1),IF(AA1984=1,"",INDEX(DATAS,Y1983+1)),INDEX(DATAS,Y1983+1)),"")</f>
        <v/>
      </c>
    </row>
    <row r="1984" customFormat="false" ht="15" hidden="false" customHeight="false" outlineLevel="0" collapsed="false">
      <c r="A1984" s="45" t="n">
        <v>46309</v>
      </c>
      <c r="B1984" s="0" t="n">
        <v>8</v>
      </c>
      <c r="C1984" s="0" t="n">
        <v>6244</v>
      </c>
      <c r="E1984" s="0" t="n">
        <v>0</v>
      </c>
      <c r="F1984" s="39" t="s">
        <v>112</v>
      </c>
      <c r="I1984" s="39" t="s">
        <v>109</v>
      </c>
      <c r="L1984" s="0" t="n">
        <v>260</v>
      </c>
      <c r="U1984" s="0" t="n">
        <v>629</v>
      </c>
      <c r="V1984" s="0" t="n">
        <v>1</v>
      </c>
      <c r="W1984" s="39" t="n">
        <f aca="false">IF(I1984="Male",0,1)</f>
        <v>1</v>
      </c>
      <c r="X1984" s="39" t="n">
        <f aca="false">IF(OR(I1984="DNB",I1984="Dry DNB"),1,0)</f>
        <v>0</v>
      </c>
      <c r="Y1984" s="39" t="n">
        <f aca="false">MATCH(A1984,DATAS,0)</f>
        <v>1</v>
      </c>
      <c r="Z1984" s="39" t="n">
        <f aca="false">IF(AND(E1984&gt;0,OR(AND(B1984&gt;=1,B1984&lt;=6),B1984=10)),1,0)</f>
        <v>0</v>
      </c>
      <c r="AA1984" s="39" t="n">
        <f aca="false">IF(AND(E1984&gt;0,B1984=10),1,0)</f>
        <v>0</v>
      </c>
      <c r="AB1984" s="0" t="str">
        <f aca="false">IF(AND(C1983=C1984,Y1983=Y1984-1),Z1983,"")</f>
        <v/>
      </c>
      <c r="AC1984" s="0" t="str">
        <f aca="false">IF(AND(C1983=C1984,Y1983=Y1984-1),AA1983,"")</f>
        <v/>
      </c>
      <c r="AD1984" s="0" t="str">
        <f aca="false">IF(Y1984=1,"",IF(AND(Z1984=1,AB1984&lt;&gt;1),1,0))</f>
        <v/>
      </c>
      <c r="AE1984" s="0" t="str">
        <f aca="false">IF(Y1984=1,"",IF(AND(AA1984=1,AC1984&lt;&gt;1),1,0))</f>
        <v/>
      </c>
      <c r="AF1984" s="45" t="str">
        <f aca="false">IF(AND(E1984&gt;0,Y1984&lt;1,NOT(AND(C1985=C1984,Y1985=Y1984+1))),INDEX(DATAS,Y1984+1),"")</f>
        <v/>
      </c>
      <c r="AG1984" s="45" t="str">
        <f aca="false">IF(AND(AA1984=1,Y1984&lt;1),IF(AND(C1985=C1984,Y1985=Y1984+1),IF(AA1985=1,"",INDEX(DATAS,Y1984+1)),INDEX(DATAS,Y1984+1)),"")</f>
        <v/>
      </c>
    </row>
    <row r="1985" customFormat="false" ht="15" hidden="false" customHeight="false" outlineLevel="0" collapsed="false">
      <c r="A1985" s="45" t="n">
        <v>46309</v>
      </c>
      <c r="B1985" s="0" t="n">
        <v>7</v>
      </c>
      <c r="C1985" s="0" t="n">
        <v>6245</v>
      </c>
      <c r="E1985" s="0" t="n">
        <v>0</v>
      </c>
      <c r="F1985" s="39" t="s">
        <v>112</v>
      </c>
      <c r="I1985" s="39" t="s">
        <v>109</v>
      </c>
      <c r="L1985" s="0" t="n">
        <v>253</v>
      </c>
      <c r="U1985" s="0" t="n">
        <v>629</v>
      </c>
      <c r="V1985" s="0" t="n">
        <v>1</v>
      </c>
      <c r="W1985" s="39" t="n">
        <f aca="false">IF(I1985="Male",0,1)</f>
        <v>1</v>
      </c>
      <c r="X1985" s="39" t="n">
        <f aca="false">IF(OR(I1985="DNB",I1985="Dry DNB"),1,0)</f>
        <v>0</v>
      </c>
      <c r="Y1985" s="39" t="n">
        <f aca="false">MATCH(A1985,DATAS,0)</f>
        <v>1</v>
      </c>
      <c r="Z1985" s="39" t="n">
        <f aca="false">IF(AND(E1985&gt;0,OR(AND(B1985&gt;=1,B1985&lt;=6),B1985=10)),1,0)</f>
        <v>0</v>
      </c>
      <c r="AA1985" s="39" t="n">
        <f aca="false">IF(AND(E1985&gt;0,B1985=10),1,0)</f>
        <v>0</v>
      </c>
      <c r="AB1985" s="0" t="str">
        <f aca="false">IF(AND(C1984=C1985,Y1984=Y1985-1),Z1984,"")</f>
        <v/>
      </c>
      <c r="AC1985" s="0" t="str">
        <f aca="false">IF(AND(C1984=C1985,Y1984=Y1985-1),AA1984,"")</f>
        <v/>
      </c>
      <c r="AD1985" s="0" t="str">
        <f aca="false">IF(Y1985=1,"",IF(AND(Z1985=1,AB1985&lt;&gt;1),1,0))</f>
        <v/>
      </c>
      <c r="AE1985" s="0" t="str">
        <f aca="false">IF(Y1985=1,"",IF(AND(AA1985=1,AC1985&lt;&gt;1),1,0))</f>
        <v/>
      </c>
      <c r="AF1985" s="45" t="str">
        <f aca="false">IF(AND(E1985&gt;0,Y1985&lt;1,NOT(AND(C1986=C1985,Y1986=Y1985+1))),INDEX(DATAS,Y1985+1),"")</f>
        <v/>
      </c>
      <c r="AG1985" s="45" t="str">
        <f aca="false">IF(AND(AA1985=1,Y1985&lt;1),IF(AND(C1986=C1985,Y1986=Y1985+1),IF(AA1986=1,"",INDEX(DATAS,Y1985+1)),INDEX(DATAS,Y1985+1)),"")</f>
        <v/>
      </c>
    </row>
    <row r="1986" customFormat="false" ht="15" hidden="false" customHeight="false" outlineLevel="0" collapsed="false">
      <c r="A1986" s="45" t="n">
        <v>46309</v>
      </c>
      <c r="B1986" s="0" t="n">
        <v>13</v>
      </c>
      <c r="C1986" s="0" t="n">
        <v>6246</v>
      </c>
      <c r="E1986" s="0" t="n">
        <v>0</v>
      </c>
      <c r="F1986" s="39" t="s">
        <v>112</v>
      </c>
      <c r="I1986" s="39" t="s">
        <v>146</v>
      </c>
      <c r="U1986" s="0" t="n">
        <v>629</v>
      </c>
      <c r="V1986" s="0" t="n">
        <v>0</v>
      </c>
      <c r="W1986" s="39" t="n">
        <f aca="false">IF(I1986="Male",0,1)</f>
        <v>1</v>
      </c>
      <c r="X1986" s="39" t="n">
        <f aca="false">IF(OR(I1986="DNB",I1986="Dry DNB"),1,0)</f>
        <v>0</v>
      </c>
      <c r="Y1986" s="39" t="n">
        <f aca="false">MATCH(A1986,DATAS,0)</f>
        <v>1</v>
      </c>
      <c r="Z1986" s="39" t="n">
        <f aca="false">IF(AND(E1986&gt;0,OR(AND(B1986&gt;=1,B1986&lt;=6),B1986=10)),1,0)</f>
        <v>0</v>
      </c>
      <c r="AA1986" s="39" t="n">
        <f aca="false">IF(AND(E1986&gt;0,B1986=10),1,0)</f>
        <v>0</v>
      </c>
      <c r="AB1986" s="0" t="str">
        <f aca="false">IF(AND(C1985=C1986,Y1985=Y1986-1),Z1985,"")</f>
        <v/>
      </c>
      <c r="AC1986" s="0" t="str">
        <f aca="false">IF(AND(C1985=C1986,Y1985=Y1986-1),AA1985,"")</f>
        <v/>
      </c>
      <c r="AD1986" s="0" t="str">
        <f aca="false">IF(Y1986=1,"",IF(AND(Z1986=1,AB1986&lt;&gt;1),1,0))</f>
        <v/>
      </c>
      <c r="AE1986" s="0" t="str">
        <f aca="false">IF(Y1986=1,"",IF(AND(AA1986=1,AC1986&lt;&gt;1),1,0))</f>
        <v/>
      </c>
      <c r="AF1986" s="45" t="str">
        <f aca="false">IF(AND(E1986&gt;0,Y1986&lt;1,NOT(AND(C1987=C1986,Y1987=Y1986+1))),INDEX(DATAS,Y1986+1),"")</f>
        <v/>
      </c>
      <c r="AG1986" s="45" t="str">
        <f aca="false">IF(AND(AA1986=1,Y1986&lt;1),IF(AND(C1987=C1986,Y1987=Y1986+1),IF(AA1987=1,"",INDEX(DATAS,Y1986+1)),INDEX(DATAS,Y1986+1)),"")</f>
        <v/>
      </c>
    </row>
    <row r="1987" customFormat="false" ht="15" hidden="false" customHeight="false" outlineLevel="0" collapsed="false">
      <c r="A1987" s="45" t="n">
        <v>46309</v>
      </c>
      <c r="B1987" s="0" t="n">
        <v>14</v>
      </c>
      <c r="C1987" s="0" t="n">
        <v>6249</v>
      </c>
      <c r="E1987" s="0" t="n">
        <v>0</v>
      </c>
      <c r="F1987" s="39" t="s">
        <v>1105</v>
      </c>
      <c r="I1987" s="39" t="s">
        <v>109</v>
      </c>
      <c r="L1987" s="0" t="n">
        <v>260</v>
      </c>
      <c r="U1987" s="0" t="n">
        <v>628</v>
      </c>
      <c r="V1987" s="0" t="n">
        <v>1</v>
      </c>
      <c r="W1987" s="39" t="n">
        <f aca="false">IF(I1987="Male",0,1)</f>
        <v>1</v>
      </c>
      <c r="X1987" s="39" t="n">
        <f aca="false">IF(OR(I1987="DNB",I1987="Dry DNB"),1,0)</f>
        <v>0</v>
      </c>
      <c r="Y1987" s="39" t="n">
        <f aca="false">MATCH(A1987,DATAS,0)</f>
        <v>1</v>
      </c>
      <c r="Z1987" s="39" t="n">
        <f aca="false">IF(AND(E1987&gt;0,OR(AND(B1987&gt;=1,B1987&lt;=6),B1987=10)),1,0)</f>
        <v>0</v>
      </c>
      <c r="AA1987" s="39" t="n">
        <f aca="false">IF(AND(E1987&gt;0,B1987=10),1,0)</f>
        <v>0</v>
      </c>
      <c r="AB1987" s="0" t="str">
        <f aca="false">IF(AND(C1986=C1987,Y1986=Y1987-1),Z1986,"")</f>
        <v/>
      </c>
      <c r="AC1987" s="0" t="str">
        <f aca="false">IF(AND(C1986=C1987,Y1986=Y1987-1),AA1986,"")</f>
        <v/>
      </c>
      <c r="AD1987" s="0" t="str">
        <f aca="false">IF(Y1987=1,"",IF(AND(Z1987=1,AB1987&lt;&gt;1),1,0))</f>
        <v/>
      </c>
      <c r="AE1987" s="0" t="str">
        <f aca="false">IF(Y1987=1,"",IF(AND(AA1987=1,AC1987&lt;&gt;1),1,0))</f>
        <v/>
      </c>
      <c r="AF1987" s="45" t="str">
        <f aca="false">IF(AND(E1987&gt;0,Y1987&lt;1,NOT(AND(C1988=C1987,Y1988=Y1987+1))),INDEX(DATAS,Y1987+1),"")</f>
        <v/>
      </c>
      <c r="AG1987" s="45" t="str">
        <f aca="false">IF(AND(AA1987=1,Y1987&lt;1),IF(AND(C1988=C1987,Y1988=Y1987+1),IF(AA1988=1,"",INDEX(DATAS,Y1987+1)),INDEX(DATAS,Y1987+1)),"")</f>
        <v/>
      </c>
    </row>
    <row r="1988" customFormat="false" ht="15" hidden="false" customHeight="false" outlineLevel="0" collapsed="false">
      <c r="A1988" s="45" t="n">
        <v>46309</v>
      </c>
      <c r="B1988" s="0" t="n">
        <v>8</v>
      </c>
      <c r="C1988" s="0" t="n">
        <v>6250</v>
      </c>
      <c r="E1988" s="0" t="n">
        <v>0</v>
      </c>
      <c r="F1988" s="39" t="s">
        <v>1106</v>
      </c>
      <c r="I1988" s="39" t="s">
        <v>109</v>
      </c>
      <c r="L1988" s="0" t="n">
        <v>215</v>
      </c>
      <c r="U1988" s="0" t="n">
        <v>627</v>
      </c>
      <c r="V1988" s="0" t="n">
        <v>2</v>
      </c>
      <c r="W1988" s="39" t="n">
        <f aca="false">IF(I1988="Male",0,1)</f>
        <v>1</v>
      </c>
      <c r="X1988" s="39" t="n">
        <f aca="false">IF(OR(I1988="DNB",I1988="Dry DNB"),1,0)</f>
        <v>0</v>
      </c>
      <c r="Y1988" s="39" t="n">
        <f aca="false">MATCH(A1988,DATAS,0)</f>
        <v>1</v>
      </c>
      <c r="Z1988" s="39" t="n">
        <f aca="false">IF(AND(E1988&gt;0,OR(AND(B1988&gt;=1,B1988&lt;=6),B1988=10)),1,0)</f>
        <v>0</v>
      </c>
      <c r="AA1988" s="39" t="n">
        <f aca="false">IF(AND(E1988&gt;0,B1988=10),1,0)</f>
        <v>0</v>
      </c>
      <c r="AB1988" s="0" t="str">
        <f aca="false">IF(AND(C1987=C1988,Y1987=Y1988-1),Z1987,"")</f>
        <v/>
      </c>
      <c r="AC1988" s="0" t="str">
        <f aca="false">IF(AND(C1987=C1988,Y1987=Y1988-1),AA1987,"")</f>
        <v/>
      </c>
      <c r="AD1988" s="0" t="str">
        <f aca="false">IF(Y1988=1,"",IF(AND(Z1988=1,AB1988&lt;&gt;1),1,0))</f>
        <v/>
      </c>
      <c r="AE1988" s="0" t="str">
        <f aca="false">IF(Y1988=1,"",IF(AND(AA1988=1,AC1988&lt;&gt;1),1,0))</f>
        <v/>
      </c>
      <c r="AF1988" s="45" t="str">
        <f aca="false">IF(AND(E1988&gt;0,Y1988&lt;1,NOT(AND(C1989=C1988,Y1989=Y1988+1))),INDEX(DATAS,Y1988+1),"")</f>
        <v/>
      </c>
      <c r="AG1988" s="45" t="str">
        <f aca="false">IF(AND(AA1988=1,Y1988&lt;1),IF(AND(C1989=C1988,Y1989=Y1988+1),IF(AA1989=1,"",INDEX(DATAS,Y1988+1)),INDEX(DATAS,Y1988+1)),"")</f>
        <v/>
      </c>
    </row>
    <row r="1989" customFormat="false" ht="15" hidden="false" customHeight="false" outlineLevel="0" collapsed="false">
      <c r="A1989" s="45" t="n">
        <v>46309</v>
      </c>
      <c r="B1989" s="0" t="n">
        <v>8</v>
      </c>
      <c r="C1989" s="0" t="n">
        <v>6251</v>
      </c>
      <c r="E1989" s="0" t="n">
        <v>0</v>
      </c>
      <c r="F1989" s="39" t="s">
        <v>1106</v>
      </c>
      <c r="I1989" s="39" t="s">
        <v>109</v>
      </c>
      <c r="L1989" s="0" t="n">
        <v>140</v>
      </c>
      <c r="U1989" s="0" t="n">
        <v>627</v>
      </c>
      <c r="V1989" s="0" t="n">
        <v>3</v>
      </c>
      <c r="W1989" s="39" t="n">
        <f aca="false">IF(I1989="Male",0,1)</f>
        <v>1</v>
      </c>
      <c r="X1989" s="39" t="n">
        <f aca="false">IF(OR(I1989="DNB",I1989="Dry DNB"),1,0)</f>
        <v>0</v>
      </c>
      <c r="Y1989" s="39" t="n">
        <f aca="false">MATCH(A1989,DATAS,0)</f>
        <v>1</v>
      </c>
      <c r="Z1989" s="39" t="n">
        <f aca="false">IF(AND(E1989&gt;0,OR(AND(B1989&gt;=1,B1989&lt;=6),B1989=10)),1,0)</f>
        <v>0</v>
      </c>
      <c r="AA1989" s="39" t="n">
        <f aca="false">IF(AND(E1989&gt;0,B1989=10),1,0)</f>
        <v>0</v>
      </c>
      <c r="AB1989" s="0" t="str">
        <f aca="false">IF(AND(C1988=C1989,Y1988=Y1989-1),Z1988,"")</f>
        <v/>
      </c>
      <c r="AC1989" s="0" t="str">
        <f aca="false">IF(AND(C1988=C1989,Y1988=Y1989-1),AA1988,"")</f>
        <v/>
      </c>
      <c r="AD1989" s="0" t="str">
        <f aca="false">IF(Y1989=1,"",IF(AND(Z1989=1,AB1989&lt;&gt;1),1,0))</f>
        <v/>
      </c>
      <c r="AE1989" s="0" t="str">
        <f aca="false">IF(Y1989=1,"",IF(AND(AA1989=1,AC1989&lt;&gt;1),1,0))</f>
        <v/>
      </c>
      <c r="AF1989" s="45" t="str">
        <f aca="false">IF(AND(E1989&gt;0,Y1989&lt;1,NOT(AND(C1990=C1989,Y1990=Y1989+1))),INDEX(DATAS,Y1989+1),"")</f>
        <v/>
      </c>
      <c r="AG1989" s="45" t="str">
        <f aca="false">IF(AND(AA1989=1,Y1989&lt;1),IF(AND(C1990=C1989,Y1990=Y1989+1),IF(AA1990=1,"",INDEX(DATAS,Y1989+1)),INDEX(DATAS,Y1989+1)),"")</f>
        <v/>
      </c>
    </row>
    <row r="1990" customFormat="false" ht="15" hidden="false" customHeight="false" outlineLevel="0" collapsed="false">
      <c r="A1990" s="45" t="n">
        <v>46309</v>
      </c>
      <c r="B1990" s="0" t="n">
        <v>8</v>
      </c>
      <c r="C1990" s="0" t="n">
        <v>6252</v>
      </c>
      <c r="E1990" s="0" t="n">
        <v>0</v>
      </c>
      <c r="F1990" s="39" t="s">
        <v>1106</v>
      </c>
      <c r="I1990" s="39" t="s">
        <v>109</v>
      </c>
      <c r="L1990" s="0" t="n">
        <v>217</v>
      </c>
      <c r="U1990" s="0" t="n">
        <v>627</v>
      </c>
      <c r="V1990" s="0" t="n">
        <v>3</v>
      </c>
      <c r="W1990" s="39" t="n">
        <f aca="false">IF(I1990="Male",0,1)</f>
        <v>1</v>
      </c>
      <c r="X1990" s="39" t="n">
        <f aca="false">IF(OR(I1990="DNB",I1990="Dry DNB"),1,0)</f>
        <v>0</v>
      </c>
      <c r="Y1990" s="39" t="n">
        <f aca="false">MATCH(A1990,DATAS,0)</f>
        <v>1</v>
      </c>
      <c r="Z1990" s="39" t="n">
        <f aca="false">IF(AND(E1990&gt;0,OR(AND(B1990&gt;=1,B1990&lt;=6),B1990=10)),1,0)</f>
        <v>0</v>
      </c>
      <c r="AA1990" s="39" t="n">
        <f aca="false">IF(AND(E1990&gt;0,B1990=10),1,0)</f>
        <v>0</v>
      </c>
      <c r="AB1990" s="0" t="str">
        <f aca="false">IF(AND(C1989=C1990,Y1989=Y1990-1),Z1989,"")</f>
        <v/>
      </c>
      <c r="AC1990" s="0" t="str">
        <f aca="false">IF(AND(C1989=C1990,Y1989=Y1990-1),AA1989,"")</f>
        <v/>
      </c>
      <c r="AD1990" s="0" t="str">
        <f aca="false">IF(Y1990=1,"",IF(AND(Z1990=1,AB1990&lt;&gt;1),1,0))</f>
        <v/>
      </c>
      <c r="AE1990" s="0" t="str">
        <f aca="false">IF(Y1990=1,"",IF(AND(AA1990=1,AC1990&lt;&gt;1),1,0))</f>
        <v/>
      </c>
      <c r="AF1990" s="45" t="str">
        <f aca="false">IF(AND(E1990&gt;0,Y1990&lt;1,NOT(AND(C1991=C1990,Y1991=Y1990+1))),INDEX(DATAS,Y1990+1),"")</f>
        <v/>
      </c>
      <c r="AG1990" s="45" t="str">
        <f aca="false">IF(AND(AA1990=1,Y1990&lt;1),IF(AND(C1991=C1990,Y1991=Y1990+1),IF(AA1991=1,"",INDEX(DATAS,Y1990+1)),INDEX(DATAS,Y1990+1)),"")</f>
        <v/>
      </c>
    </row>
    <row r="1991" customFormat="false" ht="15" hidden="false" customHeight="false" outlineLevel="0" collapsed="false">
      <c r="A1991" s="45" t="n">
        <v>46309</v>
      </c>
      <c r="B1991" s="0" t="n">
        <v>8</v>
      </c>
      <c r="C1991" s="0" t="n">
        <v>6254</v>
      </c>
      <c r="E1991" s="0" t="n">
        <v>0</v>
      </c>
      <c r="F1991" s="39" t="s">
        <v>1107</v>
      </c>
      <c r="I1991" s="39" t="s">
        <v>109</v>
      </c>
      <c r="L1991" s="0" t="n">
        <v>183</v>
      </c>
      <c r="U1991" s="0" t="n">
        <v>626</v>
      </c>
      <c r="V1991" s="0" t="n">
        <v>2</v>
      </c>
      <c r="W1991" s="39" t="n">
        <f aca="false">IF(I1991="Male",0,1)</f>
        <v>1</v>
      </c>
      <c r="X1991" s="39" t="n">
        <f aca="false">IF(OR(I1991="DNB",I1991="Dry DNB"),1,0)</f>
        <v>0</v>
      </c>
      <c r="Y1991" s="39" t="n">
        <f aca="false">MATCH(A1991,DATAS,0)</f>
        <v>1</v>
      </c>
      <c r="Z1991" s="39" t="n">
        <f aca="false">IF(AND(E1991&gt;0,OR(AND(B1991&gt;=1,B1991&lt;=6),B1991=10)),1,0)</f>
        <v>0</v>
      </c>
      <c r="AA1991" s="39" t="n">
        <f aca="false">IF(AND(E1991&gt;0,B1991=10),1,0)</f>
        <v>0</v>
      </c>
      <c r="AB1991" s="0" t="str">
        <f aca="false">IF(AND(C1990=C1991,Y1990=Y1991-1),Z1990,"")</f>
        <v/>
      </c>
      <c r="AC1991" s="0" t="str">
        <f aca="false">IF(AND(C1990=C1991,Y1990=Y1991-1),AA1990,"")</f>
        <v/>
      </c>
      <c r="AD1991" s="0" t="str">
        <f aca="false">IF(Y1991=1,"",IF(AND(Z1991=1,AB1991&lt;&gt;1),1,0))</f>
        <v/>
      </c>
      <c r="AE1991" s="0" t="str">
        <f aca="false">IF(Y1991=1,"",IF(AND(AA1991=1,AC1991&lt;&gt;1),1,0))</f>
        <v/>
      </c>
      <c r="AF1991" s="45" t="str">
        <f aca="false">IF(AND(E1991&gt;0,Y1991&lt;1,NOT(AND(C1992=C1991,Y1992=Y1991+1))),INDEX(DATAS,Y1991+1),"")</f>
        <v/>
      </c>
      <c r="AG1991" s="45" t="str">
        <f aca="false">IF(AND(AA1991=1,Y1991&lt;1),IF(AND(C1992=C1991,Y1992=Y1991+1),IF(AA1992=1,"",INDEX(DATAS,Y1991+1)),INDEX(DATAS,Y1991+1)),"")</f>
        <v/>
      </c>
    </row>
    <row r="1992" customFormat="false" ht="15" hidden="false" customHeight="false" outlineLevel="0" collapsed="false">
      <c r="A1992" s="45" t="n">
        <v>46309</v>
      </c>
      <c r="B1992" s="0" t="n">
        <v>7</v>
      </c>
      <c r="C1992" s="0" t="n">
        <v>6256</v>
      </c>
      <c r="E1992" s="0" t="n">
        <v>0</v>
      </c>
      <c r="F1992" s="39" t="s">
        <v>1107</v>
      </c>
      <c r="I1992" s="39" t="s">
        <v>109</v>
      </c>
      <c r="L1992" s="0" t="n">
        <v>234</v>
      </c>
      <c r="U1992" s="0" t="n">
        <v>626</v>
      </c>
      <c r="V1992" s="0" t="n">
        <v>2</v>
      </c>
      <c r="W1992" s="39" t="n">
        <f aca="false">IF(I1992="Male",0,1)</f>
        <v>1</v>
      </c>
      <c r="X1992" s="39" t="n">
        <f aca="false">IF(OR(I1992="DNB",I1992="Dry DNB"),1,0)</f>
        <v>0</v>
      </c>
      <c r="Y1992" s="39" t="n">
        <f aca="false">MATCH(A1992,DATAS,0)</f>
        <v>1</v>
      </c>
      <c r="Z1992" s="39" t="n">
        <f aca="false">IF(AND(E1992&gt;0,OR(AND(B1992&gt;=1,B1992&lt;=6),B1992=10)),1,0)</f>
        <v>0</v>
      </c>
      <c r="AA1992" s="39" t="n">
        <f aca="false">IF(AND(E1992&gt;0,B1992=10),1,0)</f>
        <v>0</v>
      </c>
      <c r="AB1992" s="0" t="str">
        <f aca="false">IF(AND(C1991=C1992,Y1991=Y1992-1),Z1991,"")</f>
        <v/>
      </c>
      <c r="AC1992" s="0" t="str">
        <f aca="false">IF(AND(C1991=C1992,Y1991=Y1992-1),AA1991,"")</f>
        <v/>
      </c>
      <c r="AD1992" s="0" t="str">
        <f aca="false">IF(Y1992=1,"",IF(AND(Z1992=1,AB1992&lt;&gt;1),1,0))</f>
        <v/>
      </c>
      <c r="AE1992" s="0" t="str">
        <f aca="false">IF(Y1992=1,"",IF(AND(AA1992=1,AC1992&lt;&gt;1),1,0))</f>
        <v/>
      </c>
      <c r="AF1992" s="45" t="str">
        <f aca="false">IF(AND(E1992&gt;0,Y1992&lt;1,NOT(AND(C1993=C1992,Y1993=Y1992+1))),INDEX(DATAS,Y1992+1),"")</f>
        <v/>
      </c>
      <c r="AG1992" s="45" t="str">
        <f aca="false">IF(AND(AA1992=1,Y1992&lt;1),IF(AND(C1993=C1992,Y1993=Y1992+1),IF(AA1993=1,"",INDEX(DATAS,Y1992+1)),INDEX(DATAS,Y1992+1)),"")</f>
        <v/>
      </c>
    </row>
    <row r="1993" customFormat="false" ht="15" hidden="false" customHeight="false" outlineLevel="0" collapsed="false">
      <c r="A1993" s="45" t="n">
        <v>46309</v>
      </c>
      <c r="B1993" s="0" t="n">
        <v>14</v>
      </c>
      <c r="C1993" s="0" t="n">
        <v>6257</v>
      </c>
      <c r="E1993" s="0" t="n">
        <v>0</v>
      </c>
      <c r="F1993" s="39" t="s">
        <v>1108</v>
      </c>
      <c r="I1993" s="39" t="s">
        <v>109</v>
      </c>
      <c r="L1993" s="0" t="n">
        <v>263</v>
      </c>
      <c r="U1993" s="0" t="n">
        <v>625</v>
      </c>
      <c r="V1993" s="0" t="n">
        <v>1</v>
      </c>
      <c r="W1993" s="39" t="n">
        <f aca="false">IF(I1993="Male",0,1)</f>
        <v>1</v>
      </c>
      <c r="X1993" s="39" t="n">
        <f aca="false">IF(OR(I1993="DNB",I1993="Dry DNB"),1,0)</f>
        <v>0</v>
      </c>
      <c r="Y1993" s="39" t="n">
        <f aca="false">MATCH(A1993,DATAS,0)</f>
        <v>1</v>
      </c>
      <c r="Z1993" s="39" t="n">
        <f aca="false">IF(AND(E1993&gt;0,OR(AND(B1993&gt;=1,B1993&lt;=6),B1993=10)),1,0)</f>
        <v>0</v>
      </c>
      <c r="AA1993" s="39" t="n">
        <f aca="false">IF(AND(E1993&gt;0,B1993=10),1,0)</f>
        <v>0</v>
      </c>
      <c r="AB1993" s="0" t="str">
        <f aca="false">IF(AND(C1992=C1993,Y1992=Y1993-1),Z1992,"")</f>
        <v/>
      </c>
      <c r="AC1993" s="0" t="str">
        <f aca="false">IF(AND(C1992=C1993,Y1992=Y1993-1),AA1992,"")</f>
        <v/>
      </c>
      <c r="AD1993" s="0" t="str">
        <f aca="false">IF(Y1993=1,"",IF(AND(Z1993=1,AB1993&lt;&gt;1),1,0))</f>
        <v/>
      </c>
      <c r="AE1993" s="0" t="str">
        <f aca="false">IF(Y1993=1,"",IF(AND(AA1993=1,AC1993&lt;&gt;1),1,0))</f>
        <v/>
      </c>
      <c r="AF1993" s="45" t="str">
        <f aca="false">IF(AND(E1993&gt;0,Y1993&lt;1,NOT(AND(C1994=C1993,Y1994=Y1993+1))),INDEX(DATAS,Y1993+1),"")</f>
        <v/>
      </c>
      <c r="AG1993" s="45" t="str">
        <f aca="false">IF(AND(AA1993=1,Y1993&lt;1),IF(AND(C1994=C1993,Y1994=Y1993+1),IF(AA1994=1,"",INDEX(DATAS,Y1993+1)),INDEX(DATAS,Y1993+1)),"")</f>
        <v/>
      </c>
    </row>
    <row r="1994" customFormat="false" ht="15" hidden="false" customHeight="false" outlineLevel="0" collapsed="false">
      <c r="A1994" s="45" t="n">
        <v>46309</v>
      </c>
      <c r="B1994" s="0" t="n">
        <v>7</v>
      </c>
      <c r="C1994" s="0" t="n">
        <v>6258</v>
      </c>
      <c r="E1994" s="0" t="n">
        <v>0</v>
      </c>
      <c r="F1994" s="39" t="s">
        <v>1109</v>
      </c>
      <c r="I1994" s="39" t="s">
        <v>109</v>
      </c>
      <c r="L1994" s="0" t="n">
        <v>237</v>
      </c>
      <c r="U1994" s="0" t="n">
        <v>623</v>
      </c>
      <c r="V1994" s="0" t="n">
        <v>2</v>
      </c>
      <c r="W1994" s="39" t="n">
        <f aca="false">IF(I1994="Male",0,1)</f>
        <v>1</v>
      </c>
      <c r="X1994" s="39" t="n">
        <f aca="false">IF(OR(I1994="DNB",I1994="Dry DNB"),1,0)</f>
        <v>0</v>
      </c>
      <c r="Y1994" s="39" t="n">
        <f aca="false">MATCH(A1994,DATAS,0)</f>
        <v>1</v>
      </c>
      <c r="Z1994" s="39" t="n">
        <f aca="false">IF(AND(E1994&gt;0,OR(AND(B1994&gt;=1,B1994&lt;=6),B1994=10)),1,0)</f>
        <v>0</v>
      </c>
      <c r="AA1994" s="39" t="n">
        <f aca="false">IF(AND(E1994&gt;0,B1994=10),1,0)</f>
        <v>0</v>
      </c>
      <c r="AB1994" s="0" t="str">
        <f aca="false">IF(AND(C1993=C1994,Y1993=Y1994-1),Z1993,"")</f>
        <v/>
      </c>
      <c r="AC1994" s="0" t="str">
        <f aca="false">IF(AND(C1993=C1994,Y1993=Y1994-1),AA1993,"")</f>
        <v/>
      </c>
      <c r="AD1994" s="0" t="str">
        <f aca="false">IF(Y1994=1,"",IF(AND(Z1994=1,AB1994&lt;&gt;1),1,0))</f>
        <v/>
      </c>
      <c r="AE1994" s="0" t="str">
        <f aca="false">IF(Y1994=1,"",IF(AND(AA1994=1,AC1994&lt;&gt;1),1,0))</f>
        <v/>
      </c>
      <c r="AF1994" s="45" t="str">
        <f aca="false">IF(AND(E1994&gt;0,Y1994&lt;1,NOT(AND(C1995=C1994,Y1995=Y1994+1))),INDEX(DATAS,Y1994+1),"")</f>
        <v/>
      </c>
      <c r="AG1994" s="45" t="str">
        <f aca="false">IF(AND(AA1994=1,Y1994&lt;1),IF(AND(C1995=C1994,Y1995=Y1994+1),IF(AA1995=1,"",INDEX(DATAS,Y1994+1)),INDEX(DATAS,Y1994+1)),"")</f>
        <v/>
      </c>
    </row>
    <row r="1995" customFormat="false" ht="15" hidden="false" customHeight="false" outlineLevel="0" collapsed="false">
      <c r="A1995" s="45" t="n">
        <v>46309</v>
      </c>
      <c r="B1995" s="0" t="n">
        <v>8</v>
      </c>
      <c r="C1995" s="0" t="n">
        <v>6260</v>
      </c>
      <c r="E1995" s="0" t="n">
        <v>0</v>
      </c>
      <c r="F1995" s="39" t="s">
        <v>1109</v>
      </c>
      <c r="I1995" s="39" t="s">
        <v>109</v>
      </c>
      <c r="L1995" s="0" t="n">
        <v>232</v>
      </c>
      <c r="U1995" s="0" t="n">
        <v>623</v>
      </c>
      <c r="V1995" s="0" t="n">
        <v>2</v>
      </c>
      <c r="W1995" s="39" t="n">
        <f aca="false">IF(I1995="Male",0,1)</f>
        <v>1</v>
      </c>
      <c r="X1995" s="39" t="n">
        <f aca="false">IF(OR(I1995="DNB",I1995="Dry DNB"),1,0)</f>
        <v>0</v>
      </c>
      <c r="Y1995" s="39" t="n">
        <f aca="false">MATCH(A1995,DATAS,0)</f>
        <v>1</v>
      </c>
      <c r="Z1995" s="39" t="n">
        <f aca="false">IF(AND(E1995&gt;0,OR(AND(B1995&gt;=1,B1995&lt;=6),B1995=10)),1,0)</f>
        <v>0</v>
      </c>
      <c r="AA1995" s="39" t="n">
        <f aca="false">IF(AND(E1995&gt;0,B1995=10),1,0)</f>
        <v>0</v>
      </c>
      <c r="AB1995" s="0" t="str">
        <f aca="false">IF(AND(C1994=C1995,Y1994=Y1995-1),Z1994,"")</f>
        <v/>
      </c>
      <c r="AC1995" s="0" t="str">
        <f aca="false">IF(AND(C1994=C1995,Y1994=Y1995-1),AA1994,"")</f>
        <v/>
      </c>
      <c r="AD1995" s="0" t="str">
        <f aca="false">IF(Y1995=1,"",IF(AND(Z1995=1,AB1995&lt;&gt;1),1,0))</f>
        <v/>
      </c>
      <c r="AE1995" s="0" t="str">
        <f aca="false">IF(Y1995=1,"",IF(AND(AA1995=1,AC1995&lt;&gt;1),1,0))</f>
        <v/>
      </c>
      <c r="AF1995" s="45" t="str">
        <f aca="false">IF(AND(E1995&gt;0,Y1995&lt;1,NOT(AND(C1996=C1995,Y1996=Y1995+1))),INDEX(DATAS,Y1995+1),"")</f>
        <v/>
      </c>
      <c r="AG1995" s="45" t="str">
        <f aca="false">IF(AND(AA1995=1,Y1995&lt;1),IF(AND(C1996=C1995,Y1996=Y1995+1),IF(AA1996=1,"",INDEX(DATAS,Y1995+1)),INDEX(DATAS,Y1995+1)),"")</f>
        <v/>
      </c>
    </row>
    <row r="1996" customFormat="false" ht="15" hidden="false" customHeight="false" outlineLevel="0" collapsed="false">
      <c r="A1996" s="45" t="n">
        <v>46309</v>
      </c>
      <c r="B1996" s="0" t="n">
        <v>14</v>
      </c>
      <c r="C1996" s="0" t="n">
        <v>6262</v>
      </c>
      <c r="E1996" s="0" t="n">
        <v>0</v>
      </c>
      <c r="F1996" s="39" t="s">
        <v>1109</v>
      </c>
      <c r="I1996" s="39" t="s">
        <v>109</v>
      </c>
      <c r="L1996" s="0" t="n">
        <v>260</v>
      </c>
      <c r="U1996" s="0" t="n">
        <v>623</v>
      </c>
      <c r="V1996" s="0" t="n">
        <v>1</v>
      </c>
      <c r="W1996" s="39" t="n">
        <f aca="false">IF(I1996="Male",0,1)</f>
        <v>1</v>
      </c>
      <c r="X1996" s="39" t="n">
        <f aca="false">IF(OR(I1996="DNB",I1996="Dry DNB"),1,0)</f>
        <v>0</v>
      </c>
      <c r="Y1996" s="39" t="n">
        <f aca="false">MATCH(A1996,DATAS,0)</f>
        <v>1</v>
      </c>
      <c r="Z1996" s="39" t="n">
        <f aca="false">IF(AND(E1996&gt;0,OR(AND(B1996&gt;=1,B1996&lt;=6),B1996=10)),1,0)</f>
        <v>0</v>
      </c>
      <c r="AA1996" s="39" t="n">
        <f aca="false">IF(AND(E1996&gt;0,B1996=10),1,0)</f>
        <v>0</v>
      </c>
      <c r="AB1996" s="0" t="str">
        <f aca="false">IF(AND(C1995=C1996,Y1995=Y1996-1),Z1995,"")</f>
        <v/>
      </c>
      <c r="AC1996" s="0" t="str">
        <f aca="false">IF(AND(C1995=C1996,Y1995=Y1996-1),AA1995,"")</f>
        <v/>
      </c>
      <c r="AD1996" s="0" t="str">
        <f aca="false">IF(Y1996=1,"",IF(AND(Z1996=1,AB1996&lt;&gt;1),1,0))</f>
        <v/>
      </c>
      <c r="AE1996" s="0" t="str">
        <f aca="false">IF(Y1996=1,"",IF(AND(AA1996=1,AC1996&lt;&gt;1),1,0))</f>
        <v/>
      </c>
      <c r="AF1996" s="45" t="str">
        <f aca="false">IF(AND(E1996&gt;0,Y1996&lt;1,NOT(AND(C1997=C1996,Y1997=Y1996+1))),INDEX(DATAS,Y1996+1),"")</f>
        <v/>
      </c>
      <c r="AG1996" s="45" t="str">
        <f aca="false">IF(AND(AA1996=1,Y1996&lt;1),IF(AND(C1997=C1996,Y1997=Y1996+1),IF(AA1997=1,"",INDEX(DATAS,Y1996+1)),INDEX(DATAS,Y1996+1)),"")</f>
        <v/>
      </c>
    </row>
    <row r="1997" customFormat="false" ht="15" hidden="false" customHeight="false" outlineLevel="0" collapsed="false">
      <c r="A1997" s="45" t="n">
        <v>46309</v>
      </c>
      <c r="B1997" s="0" t="n">
        <v>8</v>
      </c>
      <c r="C1997" s="0" t="n">
        <v>6263</v>
      </c>
      <c r="E1997" s="0" t="n">
        <v>0</v>
      </c>
      <c r="F1997" s="39" t="s">
        <v>1110</v>
      </c>
      <c r="I1997" s="39" t="s">
        <v>109</v>
      </c>
      <c r="L1997" s="0" t="n">
        <v>173</v>
      </c>
      <c r="U1997" s="0" t="n">
        <v>622</v>
      </c>
      <c r="V1997" s="0" t="n">
        <v>3</v>
      </c>
      <c r="W1997" s="39" t="n">
        <f aca="false">IF(I1997="Male",0,1)</f>
        <v>1</v>
      </c>
      <c r="X1997" s="39" t="n">
        <f aca="false">IF(OR(I1997="DNB",I1997="Dry DNB"),1,0)</f>
        <v>0</v>
      </c>
      <c r="Y1997" s="39" t="n">
        <f aca="false">MATCH(A1997,DATAS,0)</f>
        <v>1</v>
      </c>
      <c r="Z1997" s="39" t="n">
        <f aca="false">IF(AND(E1997&gt;0,OR(AND(B1997&gt;=1,B1997&lt;=6),B1997=10)),1,0)</f>
        <v>0</v>
      </c>
      <c r="AA1997" s="39" t="n">
        <f aca="false">IF(AND(E1997&gt;0,B1997=10),1,0)</f>
        <v>0</v>
      </c>
      <c r="AB1997" s="0" t="str">
        <f aca="false">IF(AND(C1996=C1997,Y1996=Y1997-1),Z1996,"")</f>
        <v/>
      </c>
      <c r="AC1997" s="0" t="str">
        <f aca="false">IF(AND(C1996=C1997,Y1996=Y1997-1),AA1996,"")</f>
        <v/>
      </c>
      <c r="AD1997" s="0" t="str">
        <f aca="false">IF(Y1997=1,"",IF(AND(Z1997=1,AB1997&lt;&gt;1),1,0))</f>
        <v/>
      </c>
      <c r="AE1997" s="0" t="str">
        <f aca="false">IF(Y1997=1,"",IF(AND(AA1997=1,AC1997&lt;&gt;1),1,0))</f>
        <v/>
      </c>
      <c r="AF1997" s="45" t="str">
        <f aca="false">IF(AND(E1997&gt;0,Y1997&lt;1,NOT(AND(C1998=C1997,Y1998=Y1997+1))),INDEX(DATAS,Y1997+1),"")</f>
        <v/>
      </c>
      <c r="AG1997" s="45" t="str">
        <f aca="false">IF(AND(AA1997=1,Y1997&lt;1),IF(AND(C1998=C1997,Y1998=Y1997+1),IF(AA1998=1,"",INDEX(DATAS,Y1997+1)),INDEX(DATAS,Y1997+1)),"")</f>
        <v/>
      </c>
    </row>
    <row r="1998" customFormat="false" ht="15" hidden="false" customHeight="false" outlineLevel="0" collapsed="false">
      <c r="A1998" s="45" t="n">
        <v>46309</v>
      </c>
      <c r="B1998" s="0" t="n">
        <v>14</v>
      </c>
      <c r="C1998" s="0" t="n">
        <v>6264</v>
      </c>
      <c r="E1998" s="0" t="n">
        <v>0</v>
      </c>
      <c r="F1998" s="39" t="s">
        <v>1110</v>
      </c>
      <c r="I1998" s="39" t="s">
        <v>109</v>
      </c>
      <c r="L1998" s="0" t="n">
        <v>255</v>
      </c>
      <c r="U1998" s="0" t="n">
        <v>622</v>
      </c>
      <c r="V1998" s="0" t="n">
        <v>1</v>
      </c>
      <c r="W1998" s="39" t="n">
        <f aca="false">IF(I1998="Male",0,1)</f>
        <v>1</v>
      </c>
      <c r="X1998" s="39" t="n">
        <f aca="false">IF(OR(I1998="DNB",I1998="Dry DNB"),1,0)</f>
        <v>0</v>
      </c>
      <c r="Y1998" s="39" t="n">
        <f aca="false">MATCH(A1998,DATAS,0)</f>
        <v>1</v>
      </c>
      <c r="Z1998" s="39" t="n">
        <f aca="false">IF(AND(E1998&gt;0,OR(AND(B1998&gt;=1,B1998&lt;=6),B1998=10)),1,0)</f>
        <v>0</v>
      </c>
      <c r="AA1998" s="39" t="n">
        <f aca="false">IF(AND(E1998&gt;0,B1998=10),1,0)</f>
        <v>0</v>
      </c>
      <c r="AB1998" s="0" t="str">
        <f aca="false">IF(AND(C1997=C1998,Y1997=Y1998-1),Z1997,"")</f>
        <v/>
      </c>
      <c r="AC1998" s="0" t="str">
        <f aca="false">IF(AND(C1997=C1998,Y1997=Y1998-1),AA1997,"")</f>
        <v/>
      </c>
      <c r="AD1998" s="0" t="str">
        <f aca="false">IF(Y1998=1,"",IF(AND(Z1998=1,AB1998&lt;&gt;1),1,0))</f>
        <v/>
      </c>
      <c r="AE1998" s="0" t="str">
        <f aca="false">IF(Y1998=1,"",IF(AND(AA1998=1,AC1998&lt;&gt;1),1,0))</f>
        <v/>
      </c>
      <c r="AF1998" s="45" t="str">
        <f aca="false">IF(AND(E1998&gt;0,Y1998&lt;1,NOT(AND(C1999=C1998,Y1999=Y1998+1))),INDEX(DATAS,Y1998+1),"")</f>
        <v/>
      </c>
      <c r="AG1998" s="45" t="str">
        <f aca="false">IF(AND(AA1998=1,Y1998&lt;1),IF(AND(C1999=C1998,Y1999=Y1998+1),IF(AA1999=1,"",INDEX(DATAS,Y1998+1)),INDEX(DATAS,Y1998+1)),"")</f>
        <v/>
      </c>
    </row>
    <row r="1999" customFormat="false" ht="15" hidden="false" customHeight="false" outlineLevel="0" collapsed="false">
      <c r="A1999" s="45" t="n">
        <v>46309</v>
      </c>
      <c r="B1999" s="0" t="n">
        <v>8</v>
      </c>
      <c r="C1999" s="0" t="n">
        <v>6265</v>
      </c>
      <c r="E1999" s="0" t="n">
        <v>0</v>
      </c>
      <c r="F1999" s="39" t="s">
        <v>1110</v>
      </c>
      <c r="I1999" s="39" t="s">
        <v>109</v>
      </c>
      <c r="L1999" s="0" t="n">
        <v>119</v>
      </c>
      <c r="U1999" s="0" t="n">
        <v>622</v>
      </c>
      <c r="V1999" s="0" t="n">
        <v>2</v>
      </c>
      <c r="W1999" s="39" t="n">
        <f aca="false">IF(I1999="Male",0,1)</f>
        <v>1</v>
      </c>
      <c r="X1999" s="39" t="n">
        <f aca="false">IF(OR(I1999="DNB",I1999="Dry DNB"),1,0)</f>
        <v>0</v>
      </c>
      <c r="Y1999" s="39" t="n">
        <f aca="false">MATCH(A1999,DATAS,0)</f>
        <v>1</v>
      </c>
      <c r="Z1999" s="39" t="n">
        <f aca="false">IF(AND(E1999&gt;0,OR(AND(B1999&gt;=1,B1999&lt;=6),B1999=10)),1,0)</f>
        <v>0</v>
      </c>
      <c r="AA1999" s="39" t="n">
        <f aca="false">IF(AND(E1999&gt;0,B1999=10),1,0)</f>
        <v>0</v>
      </c>
      <c r="AB1999" s="0" t="str">
        <f aca="false">IF(AND(C1998=C1999,Y1998=Y1999-1),Z1998,"")</f>
        <v/>
      </c>
      <c r="AC1999" s="0" t="str">
        <f aca="false">IF(AND(C1998=C1999,Y1998=Y1999-1),AA1998,"")</f>
        <v/>
      </c>
      <c r="AD1999" s="0" t="str">
        <f aca="false">IF(Y1999=1,"",IF(AND(Z1999=1,AB1999&lt;&gt;1),1,0))</f>
        <v/>
      </c>
      <c r="AE1999" s="0" t="str">
        <f aca="false">IF(Y1999=1,"",IF(AND(AA1999=1,AC1999&lt;&gt;1),1,0))</f>
        <v/>
      </c>
      <c r="AF1999" s="45" t="str">
        <f aca="false">IF(AND(E1999&gt;0,Y1999&lt;1,NOT(AND(C2000=C1999,Y2000=Y1999+1))),INDEX(DATAS,Y1999+1),"")</f>
        <v/>
      </c>
      <c r="AG1999" s="45" t="str">
        <f aca="false">IF(AND(AA1999=1,Y1999&lt;1),IF(AND(C2000=C1999,Y2000=Y1999+1),IF(AA2000=1,"",INDEX(DATAS,Y1999+1)),INDEX(DATAS,Y1999+1)),"")</f>
        <v/>
      </c>
    </row>
    <row r="2000" customFormat="false" ht="15" hidden="false" customHeight="false" outlineLevel="0" collapsed="false">
      <c r="A2000" s="45" t="n">
        <v>46309</v>
      </c>
      <c r="B2000" s="0" t="n">
        <v>8</v>
      </c>
      <c r="C2000" s="0" t="n">
        <v>6266</v>
      </c>
      <c r="E2000" s="0" t="n">
        <v>0</v>
      </c>
      <c r="F2000" s="39" t="s">
        <v>1111</v>
      </c>
      <c r="I2000" s="39" t="s">
        <v>109</v>
      </c>
      <c r="L2000" s="0" t="n">
        <v>161</v>
      </c>
      <c r="U2000" s="0" t="n">
        <v>621</v>
      </c>
      <c r="V2000" s="0" t="n">
        <v>3</v>
      </c>
      <c r="W2000" s="39" t="n">
        <f aca="false">IF(I2000="Male",0,1)</f>
        <v>1</v>
      </c>
      <c r="X2000" s="39" t="n">
        <f aca="false">IF(OR(I2000="DNB",I2000="Dry DNB"),1,0)</f>
        <v>0</v>
      </c>
      <c r="Y2000" s="39" t="n">
        <f aca="false">MATCH(A2000,DATAS,0)</f>
        <v>1</v>
      </c>
      <c r="Z2000" s="39" t="n">
        <f aca="false">IF(AND(E2000&gt;0,OR(AND(B2000&gt;=1,B2000&lt;=6),B2000=10)),1,0)</f>
        <v>0</v>
      </c>
      <c r="AA2000" s="39" t="n">
        <f aca="false">IF(AND(E2000&gt;0,B2000=10),1,0)</f>
        <v>0</v>
      </c>
      <c r="AB2000" s="0" t="str">
        <f aca="false">IF(AND(C1999=C2000,Y1999=Y2000-1),Z1999,"")</f>
        <v/>
      </c>
      <c r="AC2000" s="0" t="str">
        <f aca="false">IF(AND(C1999=C2000,Y1999=Y2000-1),AA1999,"")</f>
        <v/>
      </c>
      <c r="AD2000" s="0" t="str">
        <f aca="false">IF(Y2000=1,"",IF(AND(Z2000=1,AB2000&lt;&gt;1),1,0))</f>
        <v/>
      </c>
      <c r="AE2000" s="0" t="str">
        <f aca="false">IF(Y2000=1,"",IF(AND(AA2000=1,AC2000&lt;&gt;1),1,0))</f>
        <v/>
      </c>
      <c r="AF2000" s="45" t="str">
        <f aca="false">IF(AND(E2000&gt;0,Y2000&lt;1,NOT(AND(C2001=C2000,Y2001=Y2000+1))),INDEX(DATAS,Y2000+1),"")</f>
        <v/>
      </c>
      <c r="AG2000" s="45" t="str">
        <f aca="false">IF(AND(AA2000=1,Y2000&lt;1),IF(AND(C2001=C2000,Y2001=Y2000+1),IF(AA2001=1,"",INDEX(DATAS,Y2000+1)),INDEX(DATAS,Y2000+1)),"")</f>
        <v/>
      </c>
    </row>
    <row r="2001" customFormat="false" ht="15" hidden="false" customHeight="false" outlineLevel="0" collapsed="false">
      <c r="A2001" s="45" t="n">
        <v>46309</v>
      </c>
      <c r="B2001" s="0" t="n">
        <v>8</v>
      </c>
      <c r="C2001" s="0" t="n">
        <v>6267</v>
      </c>
      <c r="E2001" s="0" t="n">
        <v>0</v>
      </c>
      <c r="F2001" s="39" t="s">
        <v>1111</v>
      </c>
      <c r="I2001" s="39" t="s">
        <v>109</v>
      </c>
      <c r="L2001" s="0" t="n">
        <v>210</v>
      </c>
      <c r="U2001" s="0" t="n">
        <v>621</v>
      </c>
      <c r="V2001" s="0" t="n">
        <v>3</v>
      </c>
      <c r="W2001" s="39" t="n">
        <f aca="false">IF(I2001="Male",0,1)</f>
        <v>1</v>
      </c>
      <c r="X2001" s="39" t="n">
        <f aca="false">IF(OR(I2001="DNB",I2001="Dry DNB"),1,0)</f>
        <v>0</v>
      </c>
      <c r="Y2001" s="39" t="n">
        <f aca="false">MATCH(A2001,DATAS,0)</f>
        <v>1</v>
      </c>
      <c r="Z2001" s="39" t="n">
        <f aca="false">IF(AND(E2001&gt;0,OR(AND(B2001&gt;=1,B2001&lt;=6),B2001=10)),1,0)</f>
        <v>0</v>
      </c>
      <c r="AA2001" s="39" t="n">
        <f aca="false">IF(AND(E2001&gt;0,B2001=10),1,0)</f>
        <v>0</v>
      </c>
      <c r="AB2001" s="0" t="str">
        <f aca="false">IF(AND(C2000=C2001,Y2000=Y2001-1),Z2000,"")</f>
        <v/>
      </c>
      <c r="AC2001" s="0" t="str">
        <f aca="false">IF(AND(C2000=C2001,Y2000=Y2001-1),AA2000,"")</f>
        <v/>
      </c>
      <c r="AD2001" s="0" t="str">
        <f aca="false">IF(Y2001=1,"",IF(AND(Z2001=1,AB2001&lt;&gt;1),1,0))</f>
        <v/>
      </c>
      <c r="AE2001" s="0" t="str">
        <f aca="false">IF(Y2001=1,"",IF(AND(AA2001=1,AC2001&lt;&gt;1),1,0))</f>
        <v/>
      </c>
      <c r="AF2001" s="45" t="str">
        <f aca="false">IF(AND(E2001&gt;0,Y2001&lt;1,NOT(AND(C2002=C2001,Y2002=Y2001+1))),INDEX(DATAS,Y2001+1),"")</f>
        <v/>
      </c>
      <c r="AG2001" s="45" t="str">
        <f aca="false">IF(AND(AA2001=1,Y2001&lt;1),IF(AND(C2002=C2001,Y2002=Y2001+1),IF(AA2002=1,"",INDEX(DATAS,Y2001+1)),INDEX(DATAS,Y2001+1)),"")</f>
        <v/>
      </c>
    </row>
    <row r="2002" customFormat="false" ht="15" hidden="false" customHeight="false" outlineLevel="0" collapsed="false">
      <c r="A2002" s="45" t="n">
        <v>46309</v>
      </c>
      <c r="B2002" s="0" t="n">
        <v>14</v>
      </c>
      <c r="C2002" s="0" t="n">
        <v>6268</v>
      </c>
      <c r="E2002" s="0" t="n">
        <v>0</v>
      </c>
      <c r="F2002" s="39" t="s">
        <v>1111</v>
      </c>
      <c r="I2002" s="39" t="s">
        <v>109</v>
      </c>
      <c r="L2002" s="0" t="n">
        <v>263</v>
      </c>
      <c r="U2002" s="0" t="n">
        <v>621</v>
      </c>
      <c r="V2002" s="0" t="n">
        <v>1</v>
      </c>
      <c r="W2002" s="39" t="n">
        <f aca="false">IF(I2002="Male",0,1)</f>
        <v>1</v>
      </c>
      <c r="X2002" s="39" t="n">
        <f aca="false">IF(OR(I2002="DNB",I2002="Dry DNB"),1,0)</f>
        <v>0</v>
      </c>
      <c r="Y2002" s="39" t="n">
        <f aca="false">MATCH(A2002,DATAS,0)</f>
        <v>1</v>
      </c>
      <c r="Z2002" s="39" t="n">
        <f aca="false">IF(AND(E2002&gt;0,OR(AND(B2002&gt;=1,B2002&lt;=6),B2002=10)),1,0)</f>
        <v>0</v>
      </c>
      <c r="AA2002" s="39" t="n">
        <f aca="false">IF(AND(E2002&gt;0,B2002=10),1,0)</f>
        <v>0</v>
      </c>
      <c r="AB2002" s="0" t="str">
        <f aca="false">IF(AND(C2001=C2002,Y2001=Y2002-1),Z2001,"")</f>
        <v/>
      </c>
      <c r="AC2002" s="0" t="str">
        <f aca="false">IF(AND(C2001=C2002,Y2001=Y2002-1),AA2001,"")</f>
        <v/>
      </c>
      <c r="AD2002" s="0" t="str">
        <f aca="false">IF(Y2002=1,"",IF(AND(Z2002=1,AB2002&lt;&gt;1),1,0))</f>
        <v/>
      </c>
      <c r="AE2002" s="0" t="str">
        <f aca="false">IF(Y2002=1,"",IF(AND(AA2002=1,AC2002&lt;&gt;1),1,0))</f>
        <v/>
      </c>
      <c r="AF2002" s="45" t="str">
        <f aca="false">IF(AND(E2002&gt;0,Y2002&lt;1,NOT(AND(C2003=C2002,Y2003=Y2002+1))),INDEX(DATAS,Y2002+1),"")</f>
        <v/>
      </c>
      <c r="AG2002" s="45" t="str">
        <f aca="false">IF(AND(AA2002=1,Y2002&lt;1),IF(AND(C2003=C2002,Y2003=Y2002+1),IF(AA2003=1,"",INDEX(DATAS,Y2002+1)),INDEX(DATAS,Y2002+1)),"")</f>
        <v/>
      </c>
    </row>
    <row r="2003" customFormat="false" ht="15" hidden="false" customHeight="false" outlineLevel="0" collapsed="false">
      <c r="A2003" s="45" t="n">
        <v>46309</v>
      </c>
      <c r="B2003" s="0" t="n">
        <v>8</v>
      </c>
      <c r="C2003" s="0" t="n">
        <v>6269</v>
      </c>
      <c r="E2003" s="0" t="n">
        <v>0</v>
      </c>
      <c r="F2003" s="39" t="s">
        <v>1111</v>
      </c>
      <c r="I2003" s="39" t="s">
        <v>109</v>
      </c>
      <c r="L2003" s="0" t="n">
        <v>212</v>
      </c>
      <c r="U2003" s="0" t="n">
        <v>621</v>
      </c>
      <c r="V2003" s="0" t="n">
        <v>3</v>
      </c>
      <c r="W2003" s="39" t="n">
        <f aca="false">IF(I2003="Male",0,1)</f>
        <v>1</v>
      </c>
      <c r="X2003" s="39" t="n">
        <f aca="false">IF(OR(I2003="DNB",I2003="Dry DNB"),1,0)</f>
        <v>0</v>
      </c>
      <c r="Y2003" s="39" t="n">
        <f aca="false">MATCH(A2003,DATAS,0)</f>
        <v>1</v>
      </c>
      <c r="Z2003" s="39" t="n">
        <f aca="false">IF(AND(E2003&gt;0,OR(AND(B2003&gt;=1,B2003&lt;=6),B2003=10)),1,0)</f>
        <v>0</v>
      </c>
      <c r="AA2003" s="39" t="n">
        <f aca="false">IF(AND(E2003&gt;0,B2003=10),1,0)</f>
        <v>0</v>
      </c>
      <c r="AB2003" s="0" t="str">
        <f aca="false">IF(AND(C2002=C2003,Y2002=Y2003-1),Z2002,"")</f>
        <v/>
      </c>
      <c r="AC2003" s="0" t="str">
        <f aca="false">IF(AND(C2002=C2003,Y2002=Y2003-1),AA2002,"")</f>
        <v/>
      </c>
      <c r="AD2003" s="0" t="str">
        <f aca="false">IF(Y2003=1,"",IF(AND(Z2003=1,AB2003&lt;&gt;1),1,0))</f>
        <v/>
      </c>
      <c r="AE2003" s="0" t="str">
        <f aca="false">IF(Y2003=1,"",IF(AND(AA2003=1,AC2003&lt;&gt;1),1,0))</f>
        <v/>
      </c>
      <c r="AF2003" s="45" t="str">
        <f aca="false">IF(AND(E2003&gt;0,Y2003&lt;1,NOT(AND(C2004=C2003,Y2004=Y2003+1))),INDEX(DATAS,Y2003+1),"")</f>
        <v/>
      </c>
      <c r="AG2003" s="45" t="str">
        <f aca="false">IF(AND(AA2003=1,Y2003&lt;1),IF(AND(C2004=C2003,Y2004=Y2003+1),IF(AA2004=1,"",INDEX(DATAS,Y2003+1)),INDEX(DATAS,Y2003+1)),"")</f>
        <v/>
      </c>
    </row>
    <row r="2004" customFormat="false" ht="15" hidden="false" customHeight="false" outlineLevel="0" collapsed="false">
      <c r="A2004" s="45" t="n">
        <v>46309</v>
      </c>
      <c r="B2004" s="0" t="n">
        <v>8</v>
      </c>
      <c r="C2004" s="0" t="n">
        <v>6270</v>
      </c>
      <c r="E2004" s="0" t="n">
        <v>0</v>
      </c>
      <c r="F2004" s="39" t="s">
        <v>1112</v>
      </c>
      <c r="I2004" s="39" t="s">
        <v>109</v>
      </c>
      <c r="L2004" s="0" t="n">
        <v>133</v>
      </c>
      <c r="U2004" s="0" t="n">
        <v>620</v>
      </c>
      <c r="V2004" s="0" t="n">
        <v>2</v>
      </c>
      <c r="W2004" s="39" t="n">
        <f aca="false">IF(I2004="Male",0,1)</f>
        <v>1</v>
      </c>
      <c r="X2004" s="39" t="n">
        <f aca="false">IF(OR(I2004="DNB",I2004="Dry DNB"),1,0)</f>
        <v>0</v>
      </c>
      <c r="Y2004" s="39" t="n">
        <f aca="false">MATCH(A2004,DATAS,0)</f>
        <v>1</v>
      </c>
      <c r="Z2004" s="39" t="n">
        <f aca="false">IF(AND(E2004&gt;0,OR(AND(B2004&gt;=1,B2004&lt;=6),B2004=10)),1,0)</f>
        <v>0</v>
      </c>
      <c r="AA2004" s="39" t="n">
        <f aca="false">IF(AND(E2004&gt;0,B2004=10),1,0)</f>
        <v>0</v>
      </c>
      <c r="AB2004" s="0" t="str">
        <f aca="false">IF(AND(C2003=C2004,Y2003=Y2004-1),Z2003,"")</f>
        <v/>
      </c>
      <c r="AC2004" s="0" t="str">
        <f aca="false">IF(AND(C2003=C2004,Y2003=Y2004-1),AA2003,"")</f>
        <v/>
      </c>
      <c r="AD2004" s="0" t="str">
        <f aca="false">IF(Y2004=1,"",IF(AND(Z2004=1,AB2004&lt;&gt;1),1,0))</f>
        <v/>
      </c>
      <c r="AE2004" s="0" t="str">
        <f aca="false">IF(Y2004=1,"",IF(AND(AA2004=1,AC2004&lt;&gt;1),1,0))</f>
        <v/>
      </c>
      <c r="AF2004" s="45" t="str">
        <f aca="false">IF(AND(E2004&gt;0,Y2004&lt;1,NOT(AND(C2005=C2004,Y2005=Y2004+1))),INDEX(DATAS,Y2004+1),"")</f>
        <v/>
      </c>
      <c r="AG2004" s="45" t="str">
        <f aca="false">IF(AND(AA2004=1,Y2004&lt;1),IF(AND(C2005=C2004,Y2005=Y2004+1),IF(AA2005=1,"",INDEX(DATAS,Y2004+1)),INDEX(DATAS,Y2004+1)),"")</f>
        <v/>
      </c>
    </row>
    <row r="2005" customFormat="false" ht="15" hidden="false" customHeight="false" outlineLevel="0" collapsed="false">
      <c r="A2005" s="45" t="n">
        <v>46309</v>
      </c>
      <c r="B2005" s="0" t="n">
        <v>8</v>
      </c>
      <c r="C2005" s="0" t="n">
        <v>6272</v>
      </c>
      <c r="E2005" s="0" t="n">
        <v>0</v>
      </c>
      <c r="F2005" s="39" t="s">
        <v>1113</v>
      </c>
      <c r="I2005" s="39" t="s">
        <v>109</v>
      </c>
      <c r="L2005" s="0" t="n">
        <v>231</v>
      </c>
      <c r="U2005" s="0" t="n">
        <v>619</v>
      </c>
      <c r="V2005" s="0" t="n">
        <v>1</v>
      </c>
      <c r="W2005" s="39" t="n">
        <f aca="false">IF(I2005="Male",0,1)</f>
        <v>1</v>
      </c>
      <c r="X2005" s="39" t="n">
        <f aca="false">IF(OR(I2005="DNB",I2005="Dry DNB"),1,0)</f>
        <v>0</v>
      </c>
      <c r="Y2005" s="39" t="n">
        <f aca="false">MATCH(A2005,DATAS,0)</f>
        <v>1</v>
      </c>
      <c r="Z2005" s="39" t="n">
        <f aca="false">IF(AND(E2005&gt;0,OR(AND(B2005&gt;=1,B2005&lt;=6),B2005=10)),1,0)</f>
        <v>0</v>
      </c>
      <c r="AA2005" s="39" t="n">
        <f aca="false">IF(AND(E2005&gt;0,B2005=10),1,0)</f>
        <v>0</v>
      </c>
      <c r="AB2005" s="0" t="str">
        <f aca="false">IF(AND(C2004=C2005,Y2004=Y2005-1),Z2004,"")</f>
        <v/>
      </c>
      <c r="AC2005" s="0" t="str">
        <f aca="false">IF(AND(C2004=C2005,Y2004=Y2005-1),AA2004,"")</f>
        <v/>
      </c>
      <c r="AD2005" s="0" t="str">
        <f aca="false">IF(Y2005=1,"",IF(AND(Z2005=1,AB2005&lt;&gt;1),1,0))</f>
        <v/>
      </c>
      <c r="AE2005" s="0" t="str">
        <f aca="false">IF(Y2005=1,"",IF(AND(AA2005=1,AC2005&lt;&gt;1),1,0))</f>
        <v/>
      </c>
      <c r="AF2005" s="45" t="str">
        <f aca="false">IF(AND(E2005&gt;0,Y2005&lt;1,NOT(AND(C2006=C2005,Y2006=Y2005+1))),INDEX(DATAS,Y2005+1),"")</f>
        <v/>
      </c>
      <c r="AG2005" s="45" t="str">
        <f aca="false">IF(AND(AA2005=1,Y2005&lt;1),IF(AND(C2006=C2005,Y2006=Y2005+1),IF(AA2006=1,"",INDEX(DATAS,Y2005+1)),INDEX(DATAS,Y2005+1)),"")</f>
        <v/>
      </c>
    </row>
    <row r="2006" customFormat="false" ht="15" hidden="false" customHeight="false" outlineLevel="0" collapsed="false">
      <c r="A2006" s="45" t="n">
        <v>46309</v>
      </c>
      <c r="B2006" s="0" t="n">
        <v>7</v>
      </c>
      <c r="C2006" s="0" t="n">
        <v>6274</v>
      </c>
      <c r="E2006" s="0" t="n">
        <v>0</v>
      </c>
      <c r="F2006" s="39" t="s">
        <v>1114</v>
      </c>
      <c r="I2006" s="39" t="s">
        <v>109</v>
      </c>
      <c r="L2006" s="0" t="n">
        <v>246</v>
      </c>
      <c r="U2006" s="0" t="n">
        <v>618</v>
      </c>
      <c r="V2006" s="0" t="n">
        <v>1</v>
      </c>
      <c r="W2006" s="39" t="n">
        <f aca="false">IF(I2006="Male",0,1)</f>
        <v>1</v>
      </c>
      <c r="X2006" s="39" t="n">
        <f aca="false">IF(OR(I2006="DNB",I2006="Dry DNB"),1,0)</f>
        <v>0</v>
      </c>
      <c r="Y2006" s="39" t="n">
        <f aca="false">MATCH(A2006,DATAS,0)</f>
        <v>1</v>
      </c>
      <c r="Z2006" s="39" t="n">
        <f aca="false">IF(AND(E2006&gt;0,OR(AND(B2006&gt;=1,B2006&lt;=6),B2006=10)),1,0)</f>
        <v>0</v>
      </c>
      <c r="AA2006" s="39" t="n">
        <f aca="false">IF(AND(E2006&gt;0,B2006=10),1,0)</f>
        <v>0</v>
      </c>
      <c r="AB2006" s="0" t="str">
        <f aca="false">IF(AND(C2005=C2006,Y2005=Y2006-1),Z2005,"")</f>
        <v/>
      </c>
      <c r="AC2006" s="0" t="str">
        <f aca="false">IF(AND(C2005=C2006,Y2005=Y2006-1),AA2005,"")</f>
        <v/>
      </c>
      <c r="AD2006" s="0" t="str">
        <f aca="false">IF(Y2006=1,"",IF(AND(Z2006=1,AB2006&lt;&gt;1),1,0))</f>
        <v/>
      </c>
      <c r="AE2006" s="0" t="str">
        <f aca="false">IF(Y2006=1,"",IF(AND(AA2006=1,AC2006&lt;&gt;1),1,0))</f>
        <v/>
      </c>
      <c r="AF2006" s="45" t="str">
        <f aca="false">IF(AND(E2006&gt;0,Y2006&lt;1,NOT(AND(C2007=C2006,Y2007=Y2006+1))),INDEX(DATAS,Y2006+1),"")</f>
        <v/>
      </c>
      <c r="AG2006" s="45" t="str">
        <f aca="false">IF(AND(AA2006=1,Y2006&lt;1),IF(AND(C2007=C2006,Y2007=Y2006+1),IF(AA2007=1,"",INDEX(DATAS,Y2006+1)),INDEX(DATAS,Y2006+1)),"")</f>
        <v/>
      </c>
    </row>
    <row r="2007" customFormat="false" ht="15" hidden="false" customHeight="false" outlineLevel="0" collapsed="false">
      <c r="A2007" s="45" t="n">
        <v>46309</v>
      </c>
      <c r="B2007" s="0" t="n">
        <v>8</v>
      </c>
      <c r="C2007" s="0" t="n">
        <v>6275</v>
      </c>
      <c r="E2007" s="0" t="n">
        <v>0</v>
      </c>
      <c r="F2007" s="39" t="s">
        <v>1115</v>
      </c>
      <c r="I2007" s="39" t="s">
        <v>109</v>
      </c>
      <c r="L2007" s="0" t="n">
        <v>184</v>
      </c>
      <c r="U2007" s="0" t="n">
        <v>617</v>
      </c>
      <c r="V2007" s="0" t="n">
        <v>4</v>
      </c>
      <c r="W2007" s="39" t="n">
        <f aca="false">IF(I2007="Male",0,1)</f>
        <v>1</v>
      </c>
      <c r="X2007" s="39" t="n">
        <f aca="false">IF(OR(I2007="DNB",I2007="Dry DNB"),1,0)</f>
        <v>0</v>
      </c>
      <c r="Y2007" s="39" t="n">
        <f aca="false">MATCH(A2007,DATAS,0)</f>
        <v>1</v>
      </c>
      <c r="Z2007" s="39" t="n">
        <f aca="false">IF(AND(E2007&gt;0,OR(AND(B2007&gt;=1,B2007&lt;=6),B2007=10)),1,0)</f>
        <v>0</v>
      </c>
      <c r="AA2007" s="39" t="n">
        <f aca="false">IF(AND(E2007&gt;0,B2007=10),1,0)</f>
        <v>0</v>
      </c>
      <c r="AB2007" s="0" t="str">
        <f aca="false">IF(AND(C2006=C2007,Y2006=Y2007-1),Z2006,"")</f>
        <v/>
      </c>
      <c r="AC2007" s="0" t="str">
        <f aca="false">IF(AND(C2006=C2007,Y2006=Y2007-1),AA2006,"")</f>
        <v/>
      </c>
      <c r="AD2007" s="0" t="str">
        <f aca="false">IF(Y2007=1,"",IF(AND(Z2007=1,AB2007&lt;&gt;1),1,0))</f>
        <v/>
      </c>
      <c r="AE2007" s="0" t="str">
        <f aca="false">IF(Y2007=1,"",IF(AND(AA2007=1,AC2007&lt;&gt;1),1,0))</f>
        <v/>
      </c>
      <c r="AF2007" s="45" t="str">
        <f aca="false">IF(AND(E2007&gt;0,Y2007&lt;1,NOT(AND(C2008=C2007,Y2008=Y2007+1))),INDEX(DATAS,Y2007+1),"")</f>
        <v/>
      </c>
      <c r="AG2007" s="45" t="str">
        <f aca="false">IF(AND(AA2007=1,Y2007&lt;1),IF(AND(C2008=C2007,Y2008=Y2007+1),IF(AA2008=1,"",INDEX(DATAS,Y2007+1)),INDEX(DATAS,Y2007+1)),"")</f>
        <v/>
      </c>
    </row>
    <row r="2008" customFormat="false" ht="15" hidden="false" customHeight="false" outlineLevel="0" collapsed="false">
      <c r="A2008" s="45" t="n">
        <v>46309</v>
      </c>
      <c r="B2008" s="0" t="n">
        <v>8</v>
      </c>
      <c r="C2008" s="0" t="n">
        <v>6276</v>
      </c>
      <c r="E2008" s="0" t="n">
        <v>0</v>
      </c>
      <c r="F2008" s="39" t="s">
        <v>1115</v>
      </c>
      <c r="I2008" s="39" t="s">
        <v>109</v>
      </c>
      <c r="L2008" s="0" t="n">
        <v>234</v>
      </c>
      <c r="U2008" s="0" t="n">
        <v>617</v>
      </c>
      <c r="V2008" s="0" t="n">
        <v>2</v>
      </c>
      <c r="W2008" s="39" t="n">
        <f aca="false">IF(I2008="Male",0,1)</f>
        <v>1</v>
      </c>
      <c r="X2008" s="39" t="n">
        <f aca="false">IF(OR(I2008="DNB",I2008="Dry DNB"),1,0)</f>
        <v>0</v>
      </c>
      <c r="Y2008" s="39" t="n">
        <f aca="false">MATCH(A2008,DATAS,0)</f>
        <v>1</v>
      </c>
      <c r="Z2008" s="39" t="n">
        <f aca="false">IF(AND(E2008&gt;0,OR(AND(B2008&gt;=1,B2008&lt;=6),B2008=10)),1,0)</f>
        <v>0</v>
      </c>
      <c r="AA2008" s="39" t="n">
        <f aca="false">IF(AND(E2008&gt;0,B2008=10),1,0)</f>
        <v>0</v>
      </c>
      <c r="AB2008" s="0" t="str">
        <f aca="false">IF(AND(C2007=C2008,Y2007=Y2008-1),Z2007,"")</f>
        <v/>
      </c>
      <c r="AC2008" s="0" t="str">
        <f aca="false">IF(AND(C2007=C2008,Y2007=Y2008-1),AA2007,"")</f>
        <v/>
      </c>
      <c r="AD2008" s="0" t="str">
        <f aca="false">IF(Y2008=1,"",IF(AND(Z2008=1,AB2008&lt;&gt;1),1,0))</f>
        <v/>
      </c>
      <c r="AE2008" s="0" t="str">
        <f aca="false">IF(Y2008=1,"",IF(AND(AA2008=1,AC2008&lt;&gt;1),1,0))</f>
        <v/>
      </c>
      <c r="AF2008" s="45" t="str">
        <f aca="false">IF(AND(E2008&gt;0,Y2008&lt;1,NOT(AND(C2009=C2008,Y2009=Y2008+1))),INDEX(DATAS,Y2008+1),"")</f>
        <v/>
      </c>
      <c r="AG2008" s="45" t="str">
        <f aca="false">IF(AND(AA2008=1,Y2008&lt;1),IF(AND(C2009=C2008,Y2009=Y2008+1),IF(AA2009=1,"",INDEX(DATAS,Y2008+1)),INDEX(DATAS,Y2008+1)),"")</f>
        <v/>
      </c>
    </row>
    <row r="2009" customFormat="false" ht="15" hidden="false" customHeight="false" outlineLevel="0" collapsed="false">
      <c r="A2009" s="45" t="n">
        <v>46309</v>
      </c>
      <c r="B2009" s="0" t="n">
        <v>8</v>
      </c>
      <c r="C2009" s="0" t="n">
        <v>6278</v>
      </c>
      <c r="E2009" s="0" t="n">
        <v>0</v>
      </c>
      <c r="F2009" s="39" t="s">
        <v>1115</v>
      </c>
      <c r="I2009" s="39" t="s">
        <v>109</v>
      </c>
      <c r="L2009" s="0" t="n">
        <v>203</v>
      </c>
      <c r="U2009" s="0" t="n">
        <v>617</v>
      </c>
      <c r="V2009" s="0" t="n">
        <v>2</v>
      </c>
      <c r="W2009" s="39" t="n">
        <f aca="false">IF(I2009="Male",0,1)</f>
        <v>1</v>
      </c>
      <c r="X2009" s="39" t="n">
        <f aca="false">IF(OR(I2009="DNB",I2009="Dry DNB"),1,0)</f>
        <v>0</v>
      </c>
      <c r="Y2009" s="39" t="n">
        <f aca="false">MATCH(A2009,DATAS,0)</f>
        <v>1</v>
      </c>
      <c r="Z2009" s="39" t="n">
        <f aca="false">IF(AND(E2009&gt;0,OR(AND(B2009&gt;=1,B2009&lt;=6),B2009=10)),1,0)</f>
        <v>0</v>
      </c>
      <c r="AA2009" s="39" t="n">
        <f aca="false">IF(AND(E2009&gt;0,B2009=10),1,0)</f>
        <v>0</v>
      </c>
      <c r="AB2009" s="0" t="str">
        <f aca="false">IF(AND(C2008=C2009,Y2008=Y2009-1),Z2008,"")</f>
        <v/>
      </c>
      <c r="AC2009" s="0" t="str">
        <f aca="false">IF(AND(C2008=C2009,Y2008=Y2009-1),AA2008,"")</f>
        <v/>
      </c>
      <c r="AD2009" s="0" t="str">
        <f aca="false">IF(Y2009=1,"",IF(AND(Z2009=1,AB2009&lt;&gt;1),1,0))</f>
        <v/>
      </c>
      <c r="AE2009" s="0" t="str">
        <f aca="false">IF(Y2009=1,"",IF(AND(AA2009=1,AC2009&lt;&gt;1),1,0))</f>
        <v/>
      </c>
      <c r="AF2009" s="45" t="str">
        <f aca="false">IF(AND(E2009&gt;0,Y2009&lt;1,NOT(AND(C2010=C2009,Y2010=Y2009+1))),INDEX(DATAS,Y2009+1),"")</f>
        <v/>
      </c>
      <c r="AG2009" s="45" t="str">
        <f aca="false">IF(AND(AA2009=1,Y2009&lt;1),IF(AND(C2010=C2009,Y2010=Y2009+1),IF(AA2010=1,"",INDEX(DATAS,Y2009+1)),INDEX(DATAS,Y2009+1)),"")</f>
        <v/>
      </c>
    </row>
    <row r="2010" customFormat="false" ht="15" hidden="false" customHeight="false" outlineLevel="0" collapsed="false">
      <c r="A2010" s="45" t="n">
        <v>46309</v>
      </c>
      <c r="B2010" s="0" t="n">
        <v>7</v>
      </c>
      <c r="C2010" s="0" t="n">
        <v>6280</v>
      </c>
      <c r="E2010" s="0" t="n">
        <v>0</v>
      </c>
      <c r="F2010" s="39" t="s">
        <v>1116</v>
      </c>
      <c r="I2010" s="39" t="s">
        <v>109</v>
      </c>
      <c r="L2010" s="0" t="n">
        <v>250</v>
      </c>
      <c r="U2010" s="0" t="n">
        <v>616</v>
      </c>
      <c r="V2010" s="0" t="n">
        <v>1</v>
      </c>
      <c r="W2010" s="39" t="n">
        <f aca="false">IF(I2010="Male",0,1)</f>
        <v>1</v>
      </c>
      <c r="X2010" s="39" t="n">
        <f aca="false">IF(OR(I2010="DNB",I2010="Dry DNB"),1,0)</f>
        <v>0</v>
      </c>
      <c r="Y2010" s="39" t="n">
        <f aca="false">MATCH(A2010,DATAS,0)</f>
        <v>1</v>
      </c>
      <c r="Z2010" s="39" t="n">
        <f aca="false">IF(AND(E2010&gt;0,OR(AND(B2010&gt;=1,B2010&lt;=6),B2010=10)),1,0)</f>
        <v>0</v>
      </c>
      <c r="AA2010" s="39" t="n">
        <f aca="false">IF(AND(E2010&gt;0,B2010=10),1,0)</f>
        <v>0</v>
      </c>
      <c r="AB2010" s="0" t="str">
        <f aca="false">IF(AND(C2009=C2010,Y2009=Y2010-1),Z2009,"")</f>
        <v/>
      </c>
      <c r="AC2010" s="0" t="str">
        <f aca="false">IF(AND(C2009=C2010,Y2009=Y2010-1),AA2009,"")</f>
        <v/>
      </c>
      <c r="AD2010" s="0" t="str">
        <f aca="false">IF(Y2010=1,"",IF(AND(Z2010=1,AB2010&lt;&gt;1),1,0))</f>
        <v/>
      </c>
      <c r="AE2010" s="0" t="str">
        <f aca="false">IF(Y2010=1,"",IF(AND(AA2010=1,AC2010&lt;&gt;1),1,0))</f>
        <v/>
      </c>
      <c r="AF2010" s="45" t="str">
        <f aca="false">IF(AND(E2010&gt;0,Y2010&lt;1,NOT(AND(C2011=C2010,Y2011=Y2010+1))),INDEX(DATAS,Y2010+1),"")</f>
        <v/>
      </c>
      <c r="AG2010" s="45" t="str">
        <f aca="false">IF(AND(AA2010=1,Y2010&lt;1),IF(AND(C2011=C2010,Y2011=Y2010+1),IF(AA2011=1,"",INDEX(DATAS,Y2010+1)),INDEX(DATAS,Y2010+1)),"")</f>
        <v/>
      </c>
    </row>
    <row r="2011" customFormat="false" ht="15" hidden="false" customHeight="false" outlineLevel="0" collapsed="false">
      <c r="A2011" s="45" t="n">
        <v>46309</v>
      </c>
      <c r="B2011" s="0" t="n">
        <v>8</v>
      </c>
      <c r="C2011" s="0" t="n">
        <v>6281</v>
      </c>
      <c r="E2011" s="0" t="n">
        <v>0</v>
      </c>
      <c r="F2011" s="39" t="s">
        <v>1117</v>
      </c>
      <c r="I2011" s="39" t="s">
        <v>109</v>
      </c>
      <c r="L2011" s="0" t="n">
        <v>248</v>
      </c>
      <c r="U2011" s="0" t="n">
        <v>615</v>
      </c>
      <c r="V2011" s="0" t="n">
        <v>1</v>
      </c>
      <c r="W2011" s="39" t="n">
        <f aca="false">IF(I2011="Male",0,1)</f>
        <v>1</v>
      </c>
      <c r="X2011" s="39" t="n">
        <f aca="false">IF(OR(I2011="DNB",I2011="Dry DNB"),1,0)</f>
        <v>0</v>
      </c>
      <c r="Y2011" s="39" t="n">
        <f aca="false">MATCH(A2011,DATAS,0)</f>
        <v>1</v>
      </c>
      <c r="Z2011" s="39" t="n">
        <f aca="false">IF(AND(E2011&gt;0,OR(AND(B2011&gt;=1,B2011&lt;=6),B2011=10)),1,0)</f>
        <v>0</v>
      </c>
      <c r="AA2011" s="39" t="n">
        <f aca="false">IF(AND(E2011&gt;0,B2011=10),1,0)</f>
        <v>0</v>
      </c>
      <c r="AB2011" s="0" t="str">
        <f aca="false">IF(AND(C2010=C2011,Y2010=Y2011-1),Z2010,"")</f>
        <v/>
      </c>
      <c r="AC2011" s="0" t="str">
        <f aca="false">IF(AND(C2010=C2011,Y2010=Y2011-1),AA2010,"")</f>
        <v/>
      </c>
      <c r="AD2011" s="0" t="str">
        <f aca="false">IF(Y2011=1,"",IF(AND(Z2011=1,AB2011&lt;&gt;1),1,0))</f>
        <v/>
      </c>
      <c r="AE2011" s="0" t="str">
        <f aca="false">IF(Y2011=1,"",IF(AND(AA2011=1,AC2011&lt;&gt;1),1,0))</f>
        <v/>
      </c>
      <c r="AF2011" s="45" t="str">
        <f aca="false">IF(AND(E2011&gt;0,Y2011&lt;1,NOT(AND(C2012=C2011,Y2012=Y2011+1))),INDEX(DATAS,Y2011+1),"")</f>
        <v/>
      </c>
      <c r="AG2011" s="45" t="str">
        <f aca="false">IF(AND(AA2011=1,Y2011&lt;1),IF(AND(C2012=C2011,Y2012=Y2011+1),IF(AA2012=1,"",INDEX(DATAS,Y2011+1)),INDEX(DATAS,Y2011+1)),"")</f>
        <v/>
      </c>
    </row>
    <row r="2012" customFormat="false" ht="15" hidden="false" customHeight="false" outlineLevel="0" collapsed="false">
      <c r="A2012" s="45" t="n">
        <v>46309</v>
      </c>
      <c r="B2012" s="0" t="n">
        <v>7</v>
      </c>
      <c r="C2012" s="0" t="n">
        <v>6282</v>
      </c>
      <c r="E2012" s="0" t="n">
        <v>0</v>
      </c>
      <c r="F2012" s="39" t="s">
        <v>1117</v>
      </c>
      <c r="I2012" s="39" t="s">
        <v>109</v>
      </c>
      <c r="L2012" s="0" t="n">
        <v>220</v>
      </c>
      <c r="U2012" s="0" t="n">
        <v>615</v>
      </c>
      <c r="V2012" s="0" t="n">
        <v>1</v>
      </c>
      <c r="W2012" s="39" t="n">
        <f aca="false">IF(I2012="Male",0,1)</f>
        <v>1</v>
      </c>
      <c r="X2012" s="39" t="n">
        <f aca="false">IF(OR(I2012="DNB",I2012="Dry DNB"),1,0)</f>
        <v>0</v>
      </c>
      <c r="Y2012" s="39" t="n">
        <f aca="false">MATCH(A2012,DATAS,0)</f>
        <v>1</v>
      </c>
      <c r="Z2012" s="39" t="n">
        <f aca="false">IF(AND(E2012&gt;0,OR(AND(B2012&gt;=1,B2012&lt;=6),B2012=10)),1,0)</f>
        <v>0</v>
      </c>
      <c r="AA2012" s="39" t="n">
        <f aca="false">IF(AND(E2012&gt;0,B2012=10),1,0)</f>
        <v>0</v>
      </c>
      <c r="AB2012" s="0" t="str">
        <f aca="false">IF(AND(C2011=C2012,Y2011=Y2012-1),Z2011,"")</f>
        <v/>
      </c>
      <c r="AC2012" s="0" t="str">
        <f aca="false">IF(AND(C2011=C2012,Y2011=Y2012-1),AA2011,"")</f>
        <v/>
      </c>
      <c r="AD2012" s="0" t="str">
        <f aca="false">IF(Y2012=1,"",IF(AND(Z2012=1,AB2012&lt;&gt;1),1,0))</f>
        <v/>
      </c>
      <c r="AE2012" s="0" t="str">
        <f aca="false">IF(Y2012=1,"",IF(AND(AA2012=1,AC2012&lt;&gt;1),1,0))</f>
        <v/>
      </c>
      <c r="AF2012" s="45" t="str">
        <f aca="false">IF(AND(E2012&gt;0,Y2012&lt;1,NOT(AND(C2013=C2012,Y2013=Y2012+1))),INDEX(DATAS,Y2012+1),"")</f>
        <v/>
      </c>
      <c r="AG2012" s="45" t="str">
        <f aca="false">IF(AND(AA2012=1,Y2012&lt;1),IF(AND(C2013=C2012,Y2013=Y2012+1),IF(AA2013=1,"",INDEX(DATAS,Y2012+1)),INDEX(DATAS,Y2012+1)),"")</f>
        <v/>
      </c>
    </row>
    <row r="2013" customFormat="false" ht="15" hidden="false" customHeight="false" outlineLevel="0" collapsed="false">
      <c r="A2013" s="45" t="n">
        <v>46309</v>
      </c>
      <c r="B2013" s="0" t="n">
        <v>8</v>
      </c>
      <c r="C2013" s="0" t="n">
        <v>6283</v>
      </c>
      <c r="E2013" s="0" t="n">
        <v>0</v>
      </c>
      <c r="F2013" s="39" t="s">
        <v>1117</v>
      </c>
      <c r="I2013" s="39" t="s">
        <v>109</v>
      </c>
      <c r="L2013" s="0" t="n">
        <v>246</v>
      </c>
      <c r="U2013" s="0" t="n">
        <v>615</v>
      </c>
      <c r="V2013" s="0" t="n">
        <v>1</v>
      </c>
      <c r="W2013" s="39" t="n">
        <f aca="false">IF(I2013="Male",0,1)</f>
        <v>1</v>
      </c>
      <c r="X2013" s="39" t="n">
        <f aca="false">IF(OR(I2013="DNB",I2013="Dry DNB"),1,0)</f>
        <v>0</v>
      </c>
      <c r="Y2013" s="39" t="n">
        <f aca="false">MATCH(A2013,DATAS,0)</f>
        <v>1</v>
      </c>
      <c r="Z2013" s="39" t="n">
        <f aca="false">IF(AND(E2013&gt;0,OR(AND(B2013&gt;=1,B2013&lt;=6),B2013=10)),1,0)</f>
        <v>0</v>
      </c>
      <c r="AA2013" s="39" t="n">
        <f aca="false">IF(AND(E2013&gt;0,B2013=10),1,0)</f>
        <v>0</v>
      </c>
      <c r="AB2013" s="0" t="str">
        <f aca="false">IF(AND(C2012=C2013,Y2012=Y2013-1),Z2012,"")</f>
        <v/>
      </c>
      <c r="AC2013" s="0" t="str">
        <f aca="false">IF(AND(C2012=C2013,Y2012=Y2013-1),AA2012,"")</f>
        <v/>
      </c>
      <c r="AD2013" s="0" t="str">
        <f aca="false">IF(Y2013=1,"",IF(AND(Z2013=1,AB2013&lt;&gt;1),1,0))</f>
        <v/>
      </c>
      <c r="AE2013" s="0" t="str">
        <f aca="false">IF(Y2013=1,"",IF(AND(AA2013=1,AC2013&lt;&gt;1),1,0))</f>
        <v/>
      </c>
      <c r="AF2013" s="45" t="str">
        <f aca="false">IF(AND(E2013&gt;0,Y2013&lt;1,NOT(AND(C2014=C2013,Y2014=Y2013+1))),INDEX(DATAS,Y2013+1),"")</f>
        <v/>
      </c>
      <c r="AG2013" s="45" t="str">
        <f aca="false">IF(AND(AA2013=1,Y2013&lt;1),IF(AND(C2014=C2013,Y2014=Y2013+1),IF(AA2014=1,"",INDEX(DATAS,Y2013+1)),INDEX(DATAS,Y2013+1)),"")</f>
        <v/>
      </c>
    </row>
    <row r="2014" customFormat="false" ht="15" hidden="false" customHeight="false" outlineLevel="0" collapsed="false">
      <c r="A2014" s="45" t="n">
        <v>46309</v>
      </c>
      <c r="B2014" s="0" t="n">
        <v>8</v>
      </c>
      <c r="C2014" s="0" t="n">
        <v>6284</v>
      </c>
      <c r="E2014" s="0" t="n">
        <v>0</v>
      </c>
      <c r="F2014" s="39" t="s">
        <v>1117</v>
      </c>
      <c r="I2014" s="39" t="s">
        <v>109</v>
      </c>
      <c r="L2014" s="0" t="n">
        <v>234</v>
      </c>
      <c r="U2014" s="0" t="n">
        <v>615</v>
      </c>
      <c r="V2014" s="0" t="n">
        <v>1</v>
      </c>
      <c r="W2014" s="39" t="n">
        <f aca="false">IF(I2014="Male",0,1)</f>
        <v>1</v>
      </c>
      <c r="X2014" s="39" t="n">
        <f aca="false">IF(OR(I2014="DNB",I2014="Dry DNB"),1,0)</f>
        <v>0</v>
      </c>
      <c r="Y2014" s="39" t="n">
        <f aca="false">MATCH(A2014,DATAS,0)</f>
        <v>1</v>
      </c>
      <c r="Z2014" s="39" t="n">
        <f aca="false">IF(AND(E2014&gt;0,OR(AND(B2014&gt;=1,B2014&lt;=6),B2014=10)),1,0)</f>
        <v>0</v>
      </c>
      <c r="AA2014" s="39" t="n">
        <f aca="false">IF(AND(E2014&gt;0,B2014=10),1,0)</f>
        <v>0</v>
      </c>
      <c r="AB2014" s="0" t="str">
        <f aca="false">IF(AND(C2013=C2014,Y2013=Y2014-1),Z2013,"")</f>
        <v/>
      </c>
      <c r="AC2014" s="0" t="str">
        <f aca="false">IF(AND(C2013=C2014,Y2013=Y2014-1),AA2013,"")</f>
        <v/>
      </c>
      <c r="AD2014" s="0" t="str">
        <f aca="false">IF(Y2014=1,"",IF(AND(Z2014=1,AB2014&lt;&gt;1),1,0))</f>
        <v/>
      </c>
      <c r="AE2014" s="0" t="str">
        <f aca="false">IF(Y2014=1,"",IF(AND(AA2014=1,AC2014&lt;&gt;1),1,0))</f>
        <v/>
      </c>
      <c r="AF2014" s="45" t="str">
        <f aca="false">IF(AND(E2014&gt;0,Y2014&lt;1,NOT(AND(C2015=C2014,Y2015=Y2014+1))),INDEX(DATAS,Y2014+1),"")</f>
        <v/>
      </c>
      <c r="AG2014" s="45" t="str">
        <f aca="false">IF(AND(AA2014=1,Y2014&lt;1),IF(AND(C2015=C2014,Y2015=Y2014+1),IF(AA2015=1,"",INDEX(DATAS,Y2014+1)),INDEX(DATAS,Y2014+1)),"")</f>
        <v/>
      </c>
    </row>
    <row r="2015" customFormat="false" ht="15" hidden="false" customHeight="false" outlineLevel="0" collapsed="false">
      <c r="A2015" s="45" t="n">
        <v>46309</v>
      </c>
      <c r="B2015" s="0" t="n">
        <v>8</v>
      </c>
      <c r="C2015" s="0" t="n">
        <v>6286</v>
      </c>
      <c r="E2015" s="0" t="n">
        <v>0</v>
      </c>
      <c r="F2015" s="39" t="s">
        <v>1117</v>
      </c>
      <c r="I2015" s="39" t="s">
        <v>109</v>
      </c>
      <c r="L2015" s="0" t="n">
        <v>140</v>
      </c>
      <c r="U2015" s="0" t="n">
        <v>615</v>
      </c>
      <c r="V2015" s="0" t="n">
        <v>4</v>
      </c>
      <c r="W2015" s="39" t="n">
        <f aca="false">IF(I2015="Male",0,1)</f>
        <v>1</v>
      </c>
      <c r="X2015" s="39" t="n">
        <f aca="false">IF(OR(I2015="DNB",I2015="Dry DNB"),1,0)</f>
        <v>0</v>
      </c>
      <c r="Y2015" s="39" t="n">
        <f aca="false">MATCH(A2015,DATAS,0)</f>
        <v>1</v>
      </c>
      <c r="Z2015" s="39" t="n">
        <f aca="false">IF(AND(E2015&gt;0,OR(AND(B2015&gt;=1,B2015&lt;=6),B2015=10)),1,0)</f>
        <v>0</v>
      </c>
      <c r="AA2015" s="39" t="n">
        <f aca="false">IF(AND(E2015&gt;0,B2015=10),1,0)</f>
        <v>0</v>
      </c>
      <c r="AB2015" s="0" t="str">
        <f aca="false">IF(AND(C2014=C2015,Y2014=Y2015-1),Z2014,"")</f>
        <v/>
      </c>
      <c r="AC2015" s="0" t="str">
        <f aca="false">IF(AND(C2014=C2015,Y2014=Y2015-1),AA2014,"")</f>
        <v/>
      </c>
      <c r="AD2015" s="0" t="str">
        <f aca="false">IF(Y2015=1,"",IF(AND(Z2015=1,AB2015&lt;&gt;1),1,0))</f>
        <v/>
      </c>
      <c r="AE2015" s="0" t="str">
        <f aca="false">IF(Y2015=1,"",IF(AND(AA2015=1,AC2015&lt;&gt;1),1,0))</f>
        <v/>
      </c>
      <c r="AF2015" s="45" t="str">
        <f aca="false">IF(AND(E2015&gt;0,Y2015&lt;1,NOT(AND(C2016=C2015,Y2016=Y2015+1))),INDEX(DATAS,Y2015+1),"")</f>
        <v/>
      </c>
      <c r="AG2015" s="45" t="str">
        <f aca="false">IF(AND(AA2015=1,Y2015&lt;1),IF(AND(C2016=C2015,Y2016=Y2015+1),IF(AA2016=1,"",INDEX(DATAS,Y2015+1)),INDEX(DATAS,Y2015+1)),"")</f>
        <v/>
      </c>
    </row>
    <row r="2016" customFormat="false" ht="15" hidden="false" customHeight="false" outlineLevel="0" collapsed="false">
      <c r="A2016" s="45" t="n">
        <v>46309</v>
      </c>
      <c r="B2016" s="0" t="n">
        <v>7</v>
      </c>
      <c r="C2016" s="0" t="n">
        <v>6287</v>
      </c>
      <c r="E2016" s="0" t="n">
        <v>0</v>
      </c>
      <c r="F2016" s="39" t="s">
        <v>1118</v>
      </c>
      <c r="I2016" s="39" t="s">
        <v>109</v>
      </c>
      <c r="L2016" s="0" t="n">
        <v>246</v>
      </c>
      <c r="U2016" s="0" t="n">
        <v>614</v>
      </c>
      <c r="V2016" s="0" t="n">
        <v>1</v>
      </c>
      <c r="W2016" s="39" t="n">
        <f aca="false">IF(I2016="Male",0,1)</f>
        <v>1</v>
      </c>
      <c r="X2016" s="39" t="n">
        <f aca="false">IF(OR(I2016="DNB",I2016="Dry DNB"),1,0)</f>
        <v>0</v>
      </c>
      <c r="Y2016" s="39" t="n">
        <f aca="false">MATCH(A2016,DATAS,0)</f>
        <v>1</v>
      </c>
      <c r="Z2016" s="39" t="n">
        <f aca="false">IF(AND(E2016&gt;0,OR(AND(B2016&gt;=1,B2016&lt;=6),B2016=10)),1,0)</f>
        <v>0</v>
      </c>
      <c r="AA2016" s="39" t="n">
        <f aca="false">IF(AND(E2016&gt;0,B2016=10),1,0)</f>
        <v>0</v>
      </c>
      <c r="AB2016" s="0" t="str">
        <f aca="false">IF(AND(C2015=C2016,Y2015=Y2016-1),Z2015,"")</f>
        <v/>
      </c>
      <c r="AC2016" s="0" t="str">
        <f aca="false">IF(AND(C2015=C2016,Y2015=Y2016-1),AA2015,"")</f>
        <v/>
      </c>
      <c r="AD2016" s="0" t="str">
        <f aca="false">IF(Y2016=1,"",IF(AND(Z2016=1,AB2016&lt;&gt;1),1,0))</f>
        <v/>
      </c>
      <c r="AE2016" s="0" t="str">
        <f aca="false">IF(Y2016=1,"",IF(AND(AA2016=1,AC2016&lt;&gt;1),1,0))</f>
        <v/>
      </c>
      <c r="AF2016" s="45" t="str">
        <f aca="false">IF(AND(E2016&gt;0,Y2016&lt;1,NOT(AND(C2017=C2016,Y2017=Y2016+1))),INDEX(DATAS,Y2016+1),"")</f>
        <v/>
      </c>
      <c r="AG2016" s="45" t="str">
        <f aca="false">IF(AND(AA2016=1,Y2016&lt;1),IF(AND(C2017=C2016,Y2017=Y2016+1),IF(AA2017=1,"",INDEX(DATAS,Y2016+1)),INDEX(DATAS,Y2016+1)),"")</f>
        <v/>
      </c>
    </row>
    <row r="2017" customFormat="false" ht="15" hidden="false" customHeight="false" outlineLevel="0" collapsed="false">
      <c r="A2017" s="45" t="n">
        <v>46309</v>
      </c>
      <c r="B2017" s="0" t="n">
        <v>7</v>
      </c>
      <c r="C2017" s="0" t="n">
        <v>6288</v>
      </c>
      <c r="E2017" s="0" t="n">
        <v>0</v>
      </c>
      <c r="F2017" s="39" t="s">
        <v>1118</v>
      </c>
      <c r="I2017" s="39" t="s">
        <v>109</v>
      </c>
      <c r="L2017" s="0" t="n">
        <v>253</v>
      </c>
      <c r="U2017" s="0" t="n">
        <v>614</v>
      </c>
      <c r="V2017" s="0" t="n">
        <v>1</v>
      </c>
      <c r="W2017" s="39" t="n">
        <f aca="false">IF(I2017="Male",0,1)</f>
        <v>1</v>
      </c>
      <c r="X2017" s="39" t="n">
        <f aca="false">IF(OR(I2017="DNB",I2017="Dry DNB"),1,0)</f>
        <v>0</v>
      </c>
      <c r="Y2017" s="39" t="n">
        <f aca="false">MATCH(A2017,DATAS,0)</f>
        <v>1</v>
      </c>
      <c r="Z2017" s="39" t="n">
        <f aca="false">IF(AND(E2017&gt;0,OR(AND(B2017&gt;=1,B2017&lt;=6),B2017=10)),1,0)</f>
        <v>0</v>
      </c>
      <c r="AA2017" s="39" t="n">
        <f aca="false">IF(AND(E2017&gt;0,B2017=10),1,0)</f>
        <v>0</v>
      </c>
      <c r="AB2017" s="0" t="str">
        <f aca="false">IF(AND(C2016=C2017,Y2016=Y2017-1),Z2016,"")</f>
        <v/>
      </c>
      <c r="AC2017" s="0" t="str">
        <f aca="false">IF(AND(C2016=C2017,Y2016=Y2017-1),AA2016,"")</f>
        <v/>
      </c>
      <c r="AD2017" s="0" t="str">
        <f aca="false">IF(Y2017=1,"",IF(AND(Z2017=1,AB2017&lt;&gt;1),1,0))</f>
        <v/>
      </c>
      <c r="AE2017" s="0" t="str">
        <f aca="false">IF(Y2017=1,"",IF(AND(AA2017=1,AC2017&lt;&gt;1),1,0))</f>
        <v/>
      </c>
      <c r="AF2017" s="45" t="str">
        <f aca="false">IF(AND(E2017&gt;0,Y2017&lt;1,NOT(AND(C2018=C2017,Y2018=Y2017+1))),INDEX(DATAS,Y2017+1),"")</f>
        <v/>
      </c>
      <c r="AG2017" s="45" t="str">
        <f aca="false">IF(AND(AA2017=1,Y2017&lt;1),IF(AND(C2018=C2017,Y2018=Y2017+1),IF(AA2018=1,"",INDEX(DATAS,Y2017+1)),INDEX(DATAS,Y2017+1)),"")</f>
        <v/>
      </c>
    </row>
    <row r="2018" customFormat="false" ht="15" hidden="false" customHeight="false" outlineLevel="0" collapsed="false">
      <c r="A2018" s="45" t="n">
        <v>46309</v>
      </c>
      <c r="B2018" s="0" t="n">
        <v>7</v>
      </c>
      <c r="C2018" s="0" t="n">
        <v>6289</v>
      </c>
      <c r="E2018" s="0" t="n">
        <v>0</v>
      </c>
      <c r="F2018" s="39" t="s">
        <v>1118</v>
      </c>
      <c r="I2018" s="39" t="s">
        <v>109</v>
      </c>
      <c r="L2018" s="0" t="n">
        <v>244</v>
      </c>
      <c r="U2018" s="0" t="n">
        <v>614</v>
      </c>
      <c r="V2018" s="0" t="n">
        <v>1</v>
      </c>
      <c r="W2018" s="39" t="n">
        <f aca="false">IF(I2018="Male",0,1)</f>
        <v>1</v>
      </c>
      <c r="X2018" s="39" t="n">
        <f aca="false">IF(OR(I2018="DNB",I2018="Dry DNB"),1,0)</f>
        <v>0</v>
      </c>
      <c r="Y2018" s="39" t="n">
        <f aca="false">MATCH(A2018,DATAS,0)</f>
        <v>1</v>
      </c>
      <c r="Z2018" s="39" t="n">
        <f aca="false">IF(AND(E2018&gt;0,OR(AND(B2018&gt;=1,B2018&lt;=6),B2018=10)),1,0)</f>
        <v>0</v>
      </c>
      <c r="AA2018" s="39" t="n">
        <f aca="false">IF(AND(E2018&gt;0,B2018=10),1,0)</f>
        <v>0</v>
      </c>
      <c r="AB2018" s="0" t="str">
        <f aca="false">IF(AND(C2017=C2018,Y2017=Y2018-1),Z2017,"")</f>
        <v/>
      </c>
      <c r="AC2018" s="0" t="str">
        <f aca="false">IF(AND(C2017=C2018,Y2017=Y2018-1),AA2017,"")</f>
        <v/>
      </c>
      <c r="AD2018" s="0" t="str">
        <f aca="false">IF(Y2018=1,"",IF(AND(Z2018=1,AB2018&lt;&gt;1),1,0))</f>
        <v/>
      </c>
      <c r="AE2018" s="0" t="str">
        <f aca="false">IF(Y2018=1,"",IF(AND(AA2018=1,AC2018&lt;&gt;1),1,0))</f>
        <v/>
      </c>
      <c r="AF2018" s="45" t="str">
        <f aca="false">IF(AND(E2018&gt;0,Y2018&lt;1,NOT(AND(C2019=C2018,Y2019=Y2018+1))),INDEX(DATAS,Y2018+1),"")</f>
        <v/>
      </c>
      <c r="AG2018" s="45" t="str">
        <f aca="false">IF(AND(AA2018=1,Y2018&lt;1),IF(AND(C2019=C2018,Y2019=Y2018+1),IF(AA2019=1,"",INDEX(DATAS,Y2018+1)),INDEX(DATAS,Y2018+1)),"")</f>
        <v/>
      </c>
    </row>
    <row r="2019" customFormat="false" ht="15" hidden="false" customHeight="false" outlineLevel="0" collapsed="false">
      <c r="A2019" s="45" t="n">
        <v>46309</v>
      </c>
      <c r="B2019" s="0" t="n">
        <v>8</v>
      </c>
      <c r="C2019" s="0" t="n">
        <v>6290</v>
      </c>
      <c r="E2019" s="0" t="n">
        <v>0</v>
      </c>
      <c r="F2019" s="39" t="s">
        <v>1119</v>
      </c>
      <c r="I2019" s="39" t="s">
        <v>109</v>
      </c>
      <c r="L2019" s="0" t="n">
        <v>145</v>
      </c>
      <c r="U2019" s="0" t="n">
        <v>613</v>
      </c>
      <c r="V2019" s="0" t="n">
        <v>4</v>
      </c>
      <c r="W2019" s="39" t="n">
        <f aca="false">IF(I2019="Male",0,1)</f>
        <v>1</v>
      </c>
      <c r="X2019" s="39" t="n">
        <f aca="false">IF(OR(I2019="DNB",I2019="Dry DNB"),1,0)</f>
        <v>0</v>
      </c>
      <c r="Y2019" s="39" t="n">
        <f aca="false">MATCH(A2019,DATAS,0)</f>
        <v>1</v>
      </c>
      <c r="Z2019" s="39" t="n">
        <f aca="false">IF(AND(E2019&gt;0,OR(AND(B2019&gt;=1,B2019&lt;=6),B2019=10)),1,0)</f>
        <v>0</v>
      </c>
      <c r="AA2019" s="39" t="n">
        <f aca="false">IF(AND(E2019&gt;0,B2019=10),1,0)</f>
        <v>0</v>
      </c>
      <c r="AB2019" s="0" t="str">
        <f aca="false">IF(AND(C2018=C2019,Y2018=Y2019-1),Z2018,"")</f>
        <v/>
      </c>
      <c r="AC2019" s="0" t="str">
        <f aca="false">IF(AND(C2018=C2019,Y2018=Y2019-1),AA2018,"")</f>
        <v/>
      </c>
      <c r="AD2019" s="0" t="str">
        <f aca="false">IF(Y2019=1,"",IF(AND(Z2019=1,AB2019&lt;&gt;1),1,0))</f>
        <v/>
      </c>
      <c r="AE2019" s="0" t="str">
        <f aca="false">IF(Y2019=1,"",IF(AND(AA2019=1,AC2019&lt;&gt;1),1,0))</f>
        <v/>
      </c>
      <c r="AF2019" s="45" t="str">
        <f aca="false">IF(AND(E2019&gt;0,Y2019&lt;1,NOT(AND(C2020=C2019,Y2020=Y2019+1))),INDEX(DATAS,Y2019+1),"")</f>
        <v/>
      </c>
      <c r="AG2019" s="45" t="str">
        <f aca="false">IF(AND(AA2019=1,Y2019&lt;1),IF(AND(C2020=C2019,Y2020=Y2019+1),IF(AA2020=1,"",INDEX(DATAS,Y2019+1)),INDEX(DATAS,Y2019+1)),"")</f>
        <v/>
      </c>
    </row>
    <row r="2020" customFormat="false" ht="15" hidden="false" customHeight="false" outlineLevel="0" collapsed="false">
      <c r="A2020" s="45" t="n">
        <v>46309</v>
      </c>
      <c r="B2020" s="0" t="n">
        <v>8</v>
      </c>
      <c r="C2020" s="0" t="n">
        <v>6292</v>
      </c>
      <c r="E2020" s="0" t="n">
        <v>0</v>
      </c>
      <c r="F2020" s="39" t="s">
        <v>1120</v>
      </c>
      <c r="I2020" s="39" t="s">
        <v>109</v>
      </c>
      <c r="L2020" s="0" t="n">
        <v>188</v>
      </c>
      <c r="U2020" s="0" t="n">
        <v>611</v>
      </c>
      <c r="V2020" s="0" t="n">
        <v>4</v>
      </c>
      <c r="W2020" s="39" t="n">
        <f aca="false">IF(I2020="Male",0,1)</f>
        <v>1</v>
      </c>
      <c r="X2020" s="39" t="n">
        <f aca="false">IF(OR(I2020="DNB",I2020="Dry DNB"),1,0)</f>
        <v>0</v>
      </c>
      <c r="Y2020" s="39" t="n">
        <f aca="false">MATCH(A2020,DATAS,0)</f>
        <v>1</v>
      </c>
      <c r="Z2020" s="39" t="n">
        <f aca="false">IF(AND(E2020&gt;0,OR(AND(B2020&gt;=1,B2020&lt;=6),B2020=10)),1,0)</f>
        <v>0</v>
      </c>
      <c r="AA2020" s="39" t="n">
        <f aca="false">IF(AND(E2020&gt;0,B2020=10),1,0)</f>
        <v>0</v>
      </c>
      <c r="AB2020" s="0" t="str">
        <f aca="false">IF(AND(C2019=C2020,Y2019=Y2020-1),Z2019,"")</f>
        <v/>
      </c>
      <c r="AC2020" s="0" t="str">
        <f aca="false">IF(AND(C2019=C2020,Y2019=Y2020-1),AA2019,"")</f>
        <v/>
      </c>
      <c r="AD2020" s="0" t="str">
        <f aca="false">IF(Y2020=1,"",IF(AND(Z2020=1,AB2020&lt;&gt;1),1,0))</f>
        <v/>
      </c>
      <c r="AE2020" s="0" t="str">
        <f aca="false">IF(Y2020=1,"",IF(AND(AA2020=1,AC2020&lt;&gt;1),1,0))</f>
        <v/>
      </c>
      <c r="AF2020" s="45" t="str">
        <f aca="false">IF(AND(E2020&gt;0,Y2020&lt;1,NOT(AND(C2021=C2020,Y2021=Y2020+1))),INDEX(DATAS,Y2020+1),"")</f>
        <v/>
      </c>
      <c r="AG2020" s="45" t="str">
        <f aca="false">IF(AND(AA2020=1,Y2020&lt;1),IF(AND(C2021=C2020,Y2021=Y2020+1),IF(AA2021=1,"",INDEX(DATAS,Y2020+1)),INDEX(DATAS,Y2020+1)),"")</f>
        <v/>
      </c>
    </row>
    <row r="2021" customFormat="false" ht="15" hidden="false" customHeight="false" outlineLevel="0" collapsed="false">
      <c r="A2021" s="45" t="n">
        <v>46309</v>
      </c>
      <c r="B2021" s="0" t="n">
        <v>8</v>
      </c>
      <c r="C2021" s="0" t="n">
        <v>6293</v>
      </c>
      <c r="E2021" s="0" t="n">
        <v>0</v>
      </c>
      <c r="F2021" s="39" t="s">
        <v>1120</v>
      </c>
      <c r="I2021" s="39" t="s">
        <v>109</v>
      </c>
      <c r="L2021" s="0" t="n">
        <v>202</v>
      </c>
      <c r="U2021" s="0" t="n">
        <v>611</v>
      </c>
      <c r="V2021" s="0" t="n">
        <v>3</v>
      </c>
      <c r="W2021" s="39" t="n">
        <f aca="false">IF(I2021="Male",0,1)</f>
        <v>1</v>
      </c>
      <c r="X2021" s="39" t="n">
        <f aca="false">IF(OR(I2021="DNB",I2021="Dry DNB"),1,0)</f>
        <v>0</v>
      </c>
      <c r="Y2021" s="39" t="n">
        <f aca="false">MATCH(A2021,DATAS,0)</f>
        <v>1</v>
      </c>
      <c r="Z2021" s="39" t="n">
        <f aca="false">IF(AND(E2021&gt;0,OR(AND(B2021&gt;=1,B2021&lt;=6),B2021=10)),1,0)</f>
        <v>0</v>
      </c>
      <c r="AA2021" s="39" t="n">
        <f aca="false">IF(AND(E2021&gt;0,B2021=10),1,0)</f>
        <v>0</v>
      </c>
      <c r="AB2021" s="0" t="str">
        <f aca="false">IF(AND(C2020=C2021,Y2020=Y2021-1),Z2020,"")</f>
        <v/>
      </c>
      <c r="AC2021" s="0" t="str">
        <f aca="false">IF(AND(C2020=C2021,Y2020=Y2021-1),AA2020,"")</f>
        <v/>
      </c>
      <c r="AD2021" s="0" t="str">
        <f aca="false">IF(Y2021=1,"",IF(AND(Z2021=1,AB2021&lt;&gt;1),1,0))</f>
        <v/>
      </c>
      <c r="AE2021" s="0" t="str">
        <f aca="false">IF(Y2021=1,"",IF(AND(AA2021=1,AC2021&lt;&gt;1),1,0))</f>
        <v/>
      </c>
      <c r="AF2021" s="45" t="str">
        <f aca="false">IF(AND(E2021&gt;0,Y2021&lt;1,NOT(AND(C2022=C2021,Y2022=Y2021+1))),INDEX(DATAS,Y2021+1),"")</f>
        <v/>
      </c>
      <c r="AG2021" s="45" t="str">
        <f aca="false">IF(AND(AA2021=1,Y2021&lt;1),IF(AND(C2022=C2021,Y2022=Y2021+1),IF(AA2022=1,"",INDEX(DATAS,Y2021+1)),INDEX(DATAS,Y2021+1)),"")</f>
        <v/>
      </c>
    </row>
    <row r="2022" customFormat="false" ht="15" hidden="false" customHeight="false" outlineLevel="0" collapsed="false">
      <c r="A2022" s="45" t="n">
        <v>46309</v>
      </c>
      <c r="B2022" s="0" t="n">
        <v>8</v>
      </c>
      <c r="C2022" s="0" t="n">
        <v>6294</v>
      </c>
      <c r="E2022" s="0" t="n">
        <v>0</v>
      </c>
      <c r="F2022" s="39" t="s">
        <v>1121</v>
      </c>
      <c r="I2022" s="39" t="s">
        <v>109</v>
      </c>
      <c r="L2022" s="0" t="n">
        <v>213</v>
      </c>
      <c r="U2022" s="0" t="n">
        <v>610</v>
      </c>
      <c r="V2022" s="0" t="n">
        <v>1</v>
      </c>
      <c r="W2022" s="39" t="n">
        <f aca="false">IF(I2022="Male",0,1)</f>
        <v>1</v>
      </c>
      <c r="X2022" s="39" t="n">
        <f aca="false">IF(OR(I2022="DNB",I2022="Dry DNB"),1,0)</f>
        <v>0</v>
      </c>
      <c r="Y2022" s="39" t="n">
        <f aca="false">MATCH(A2022,DATAS,0)</f>
        <v>1</v>
      </c>
      <c r="Z2022" s="39" t="n">
        <f aca="false">IF(AND(E2022&gt;0,OR(AND(B2022&gt;=1,B2022&lt;=6),B2022=10)),1,0)</f>
        <v>0</v>
      </c>
      <c r="AA2022" s="39" t="n">
        <f aca="false">IF(AND(E2022&gt;0,B2022=10),1,0)</f>
        <v>0</v>
      </c>
      <c r="AB2022" s="0" t="str">
        <f aca="false">IF(AND(C2021=C2022,Y2021=Y2022-1),Z2021,"")</f>
        <v/>
      </c>
      <c r="AC2022" s="0" t="str">
        <f aca="false">IF(AND(C2021=C2022,Y2021=Y2022-1),AA2021,"")</f>
        <v/>
      </c>
      <c r="AD2022" s="0" t="str">
        <f aca="false">IF(Y2022=1,"",IF(AND(Z2022=1,AB2022&lt;&gt;1),1,0))</f>
        <v/>
      </c>
      <c r="AE2022" s="0" t="str">
        <f aca="false">IF(Y2022=1,"",IF(AND(AA2022=1,AC2022&lt;&gt;1),1,0))</f>
        <v/>
      </c>
      <c r="AF2022" s="45" t="str">
        <f aca="false">IF(AND(E2022&gt;0,Y2022&lt;1,NOT(AND(C2023=C2022,Y2023=Y2022+1))),INDEX(DATAS,Y2022+1),"")</f>
        <v/>
      </c>
      <c r="AG2022" s="45" t="str">
        <f aca="false">IF(AND(AA2022=1,Y2022&lt;1),IF(AND(C2023=C2022,Y2023=Y2022+1),IF(AA2023=1,"",INDEX(DATAS,Y2022+1)),INDEX(DATAS,Y2022+1)),"")</f>
        <v/>
      </c>
    </row>
    <row r="2023" customFormat="false" ht="15" hidden="false" customHeight="false" outlineLevel="0" collapsed="false">
      <c r="A2023" s="45" t="n">
        <v>46309</v>
      </c>
      <c r="B2023" s="0" t="n">
        <v>8</v>
      </c>
      <c r="C2023" s="0" t="n">
        <v>6295</v>
      </c>
      <c r="E2023" s="0" t="n">
        <v>0</v>
      </c>
      <c r="F2023" s="39" t="s">
        <v>1121</v>
      </c>
      <c r="I2023" s="39" t="s">
        <v>109</v>
      </c>
      <c r="L2023" s="0" t="n">
        <v>246</v>
      </c>
      <c r="U2023" s="0" t="n">
        <v>610</v>
      </c>
      <c r="V2023" s="0" t="n">
        <v>1</v>
      </c>
      <c r="W2023" s="39" t="n">
        <f aca="false">IF(I2023="Male",0,1)</f>
        <v>1</v>
      </c>
      <c r="X2023" s="39" t="n">
        <f aca="false">IF(OR(I2023="DNB",I2023="Dry DNB"),1,0)</f>
        <v>0</v>
      </c>
      <c r="Y2023" s="39" t="n">
        <f aca="false">MATCH(A2023,DATAS,0)</f>
        <v>1</v>
      </c>
      <c r="Z2023" s="39" t="n">
        <f aca="false">IF(AND(E2023&gt;0,OR(AND(B2023&gt;=1,B2023&lt;=6),B2023=10)),1,0)</f>
        <v>0</v>
      </c>
      <c r="AA2023" s="39" t="n">
        <f aca="false">IF(AND(E2023&gt;0,B2023=10),1,0)</f>
        <v>0</v>
      </c>
      <c r="AB2023" s="0" t="str">
        <f aca="false">IF(AND(C2022=C2023,Y2022=Y2023-1),Z2022,"")</f>
        <v/>
      </c>
      <c r="AC2023" s="0" t="str">
        <f aca="false">IF(AND(C2022=C2023,Y2022=Y2023-1),AA2022,"")</f>
        <v/>
      </c>
      <c r="AD2023" s="0" t="str">
        <f aca="false">IF(Y2023=1,"",IF(AND(Z2023=1,AB2023&lt;&gt;1),1,0))</f>
        <v/>
      </c>
      <c r="AE2023" s="0" t="str">
        <f aca="false">IF(Y2023=1,"",IF(AND(AA2023=1,AC2023&lt;&gt;1),1,0))</f>
        <v/>
      </c>
      <c r="AF2023" s="45" t="str">
        <f aca="false">IF(AND(E2023&gt;0,Y2023&lt;1,NOT(AND(C2024=C2023,Y2024=Y2023+1))),INDEX(DATAS,Y2023+1),"")</f>
        <v/>
      </c>
      <c r="AG2023" s="45" t="str">
        <f aca="false">IF(AND(AA2023=1,Y2023&lt;1),IF(AND(C2024=C2023,Y2024=Y2023+1),IF(AA2024=1,"",INDEX(DATAS,Y2023+1)),INDEX(DATAS,Y2023+1)),"")</f>
        <v/>
      </c>
    </row>
    <row r="2024" customFormat="false" ht="15" hidden="false" customHeight="false" outlineLevel="0" collapsed="false">
      <c r="A2024" s="45" t="n">
        <v>46309</v>
      </c>
      <c r="B2024" s="0" t="n">
        <v>8</v>
      </c>
      <c r="C2024" s="0" t="n">
        <v>6296</v>
      </c>
      <c r="E2024" s="0" t="n">
        <v>0</v>
      </c>
      <c r="F2024" s="39" t="s">
        <v>1122</v>
      </c>
      <c r="I2024" s="39" t="s">
        <v>109</v>
      </c>
      <c r="L2024" s="0" t="n">
        <v>69</v>
      </c>
      <c r="U2024" s="0" t="n">
        <v>609</v>
      </c>
      <c r="V2024" s="0" t="n">
        <v>7</v>
      </c>
      <c r="W2024" s="39" t="n">
        <f aca="false">IF(I2024="Male",0,1)</f>
        <v>1</v>
      </c>
      <c r="X2024" s="39" t="n">
        <f aca="false">IF(OR(I2024="DNB",I2024="Dry DNB"),1,0)</f>
        <v>0</v>
      </c>
      <c r="Y2024" s="39" t="n">
        <f aca="false">MATCH(A2024,DATAS,0)</f>
        <v>1</v>
      </c>
      <c r="Z2024" s="39" t="n">
        <f aca="false">IF(AND(E2024&gt;0,OR(AND(B2024&gt;=1,B2024&lt;=6),B2024=10)),1,0)</f>
        <v>0</v>
      </c>
      <c r="AA2024" s="39" t="n">
        <f aca="false">IF(AND(E2024&gt;0,B2024=10),1,0)</f>
        <v>0</v>
      </c>
      <c r="AB2024" s="0" t="str">
        <f aca="false">IF(AND(C2023=C2024,Y2023=Y2024-1),Z2023,"")</f>
        <v/>
      </c>
      <c r="AC2024" s="0" t="str">
        <f aca="false">IF(AND(C2023=C2024,Y2023=Y2024-1),AA2023,"")</f>
        <v/>
      </c>
      <c r="AD2024" s="0" t="str">
        <f aca="false">IF(Y2024=1,"",IF(AND(Z2024=1,AB2024&lt;&gt;1),1,0))</f>
        <v/>
      </c>
      <c r="AE2024" s="0" t="str">
        <f aca="false">IF(Y2024=1,"",IF(AND(AA2024=1,AC2024&lt;&gt;1),1,0))</f>
        <v/>
      </c>
      <c r="AF2024" s="45" t="str">
        <f aca="false">IF(AND(E2024&gt;0,Y2024&lt;1,NOT(AND(C2025=C2024,Y2025=Y2024+1))),INDEX(DATAS,Y2024+1),"")</f>
        <v/>
      </c>
      <c r="AG2024" s="45" t="str">
        <f aca="false">IF(AND(AA2024=1,Y2024&lt;1),IF(AND(C2025=C2024,Y2025=Y2024+1),IF(AA2025=1,"",INDEX(DATAS,Y2024+1)),INDEX(DATAS,Y2024+1)),"")</f>
        <v/>
      </c>
    </row>
    <row r="2025" customFormat="false" ht="15" hidden="false" customHeight="false" outlineLevel="0" collapsed="false">
      <c r="A2025" s="45" t="n">
        <v>46309</v>
      </c>
      <c r="B2025" s="0" t="n">
        <v>7</v>
      </c>
      <c r="C2025" s="0" t="n">
        <v>6297</v>
      </c>
      <c r="E2025" s="0" t="n">
        <v>0</v>
      </c>
      <c r="F2025" s="39" t="s">
        <v>1122</v>
      </c>
      <c r="I2025" s="39" t="s">
        <v>109</v>
      </c>
      <c r="L2025" s="0" t="n">
        <v>248</v>
      </c>
      <c r="U2025" s="0" t="n">
        <v>609</v>
      </c>
      <c r="V2025" s="0" t="n">
        <v>1</v>
      </c>
      <c r="W2025" s="39" t="n">
        <f aca="false">IF(I2025="Male",0,1)</f>
        <v>1</v>
      </c>
      <c r="X2025" s="39" t="n">
        <f aca="false">IF(OR(I2025="DNB",I2025="Dry DNB"),1,0)</f>
        <v>0</v>
      </c>
      <c r="Y2025" s="39" t="n">
        <f aca="false">MATCH(A2025,DATAS,0)</f>
        <v>1</v>
      </c>
      <c r="Z2025" s="39" t="n">
        <f aca="false">IF(AND(E2025&gt;0,OR(AND(B2025&gt;=1,B2025&lt;=6),B2025=10)),1,0)</f>
        <v>0</v>
      </c>
      <c r="AA2025" s="39" t="n">
        <f aca="false">IF(AND(E2025&gt;0,B2025=10),1,0)</f>
        <v>0</v>
      </c>
      <c r="AB2025" s="0" t="str">
        <f aca="false">IF(AND(C2024=C2025,Y2024=Y2025-1),Z2024,"")</f>
        <v/>
      </c>
      <c r="AC2025" s="0" t="str">
        <f aca="false">IF(AND(C2024=C2025,Y2024=Y2025-1),AA2024,"")</f>
        <v/>
      </c>
      <c r="AD2025" s="0" t="str">
        <f aca="false">IF(Y2025=1,"",IF(AND(Z2025=1,AB2025&lt;&gt;1),1,0))</f>
        <v/>
      </c>
      <c r="AE2025" s="0" t="str">
        <f aca="false">IF(Y2025=1,"",IF(AND(AA2025=1,AC2025&lt;&gt;1),1,0))</f>
        <v/>
      </c>
      <c r="AF2025" s="45" t="str">
        <f aca="false">IF(AND(E2025&gt;0,Y2025&lt;1,NOT(AND(C2026=C2025,Y2026=Y2025+1))),INDEX(DATAS,Y2025+1),"")</f>
        <v/>
      </c>
      <c r="AG2025" s="45" t="str">
        <f aca="false">IF(AND(AA2025=1,Y2025&lt;1),IF(AND(C2026=C2025,Y2026=Y2025+1),IF(AA2026=1,"",INDEX(DATAS,Y2025+1)),INDEX(DATAS,Y2025+1)),"")</f>
        <v/>
      </c>
    </row>
    <row r="2026" customFormat="false" ht="15" hidden="false" customHeight="false" outlineLevel="0" collapsed="false">
      <c r="A2026" s="45" t="n">
        <v>46309</v>
      </c>
      <c r="B2026" s="0" t="n">
        <v>8</v>
      </c>
      <c r="C2026" s="0" t="n">
        <v>6298</v>
      </c>
      <c r="E2026" s="0" t="n">
        <v>0</v>
      </c>
      <c r="F2026" s="39" t="s">
        <v>1122</v>
      </c>
      <c r="I2026" s="39" t="s">
        <v>109</v>
      </c>
      <c r="L2026" s="0" t="n">
        <v>212</v>
      </c>
      <c r="U2026" s="0" t="n">
        <v>609</v>
      </c>
      <c r="V2026" s="0" t="n">
        <v>1</v>
      </c>
      <c r="W2026" s="39" t="n">
        <f aca="false">IF(I2026="Male",0,1)</f>
        <v>1</v>
      </c>
      <c r="X2026" s="39" t="n">
        <f aca="false">IF(OR(I2026="DNB",I2026="Dry DNB"),1,0)</f>
        <v>0</v>
      </c>
      <c r="Y2026" s="39" t="n">
        <f aca="false">MATCH(A2026,DATAS,0)</f>
        <v>1</v>
      </c>
      <c r="Z2026" s="39" t="n">
        <f aca="false">IF(AND(E2026&gt;0,OR(AND(B2026&gt;=1,B2026&lt;=6),B2026=10)),1,0)</f>
        <v>0</v>
      </c>
      <c r="AA2026" s="39" t="n">
        <f aca="false">IF(AND(E2026&gt;0,B2026=10),1,0)</f>
        <v>0</v>
      </c>
      <c r="AB2026" s="0" t="str">
        <f aca="false">IF(AND(C2025=C2026,Y2025=Y2026-1),Z2025,"")</f>
        <v/>
      </c>
      <c r="AC2026" s="0" t="str">
        <f aca="false">IF(AND(C2025=C2026,Y2025=Y2026-1),AA2025,"")</f>
        <v/>
      </c>
      <c r="AD2026" s="0" t="str">
        <f aca="false">IF(Y2026=1,"",IF(AND(Z2026=1,AB2026&lt;&gt;1),1,0))</f>
        <v/>
      </c>
      <c r="AE2026" s="0" t="str">
        <f aca="false">IF(Y2026=1,"",IF(AND(AA2026=1,AC2026&lt;&gt;1),1,0))</f>
        <v/>
      </c>
      <c r="AF2026" s="45" t="str">
        <f aca="false">IF(AND(E2026&gt;0,Y2026&lt;1,NOT(AND(C2027=C2026,Y2027=Y2026+1))),INDEX(DATAS,Y2026+1),"")</f>
        <v/>
      </c>
      <c r="AG2026" s="45" t="str">
        <f aca="false">IF(AND(AA2026=1,Y2026&lt;1),IF(AND(C2027=C2026,Y2027=Y2026+1),IF(AA2027=1,"",INDEX(DATAS,Y2026+1)),INDEX(DATAS,Y2026+1)),"")</f>
        <v/>
      </c>
    </row>
    <row r="2027" customFormat="false" ht="15" hidden="false" customHeight="false" outlineLevel="0" collapsed="false">
      <c r="A2027" s="45" t="n">
        <v>46309</v>
      </c>
      <c r="B2027" s="0" t="n">
        <v>8</v>
      </c>
      <c r="C2027" s="0" t="n">
        <v>6299</v>
      </c>
      <c r="E2027" s="0" t="n">
        <v>0</v>
      </c>
      <c r="F2027" s="39" t="s">
        <v>1123</v>
      </c>
      <c r="I2027" s="39" t="s">
        <v>109</v>
      </c>
      <c r="L2027" s="0" t="n">
        <v>211</v>
      </c>
      <c r="U2027" s="0" t="n">
        <v>608</v>
      </c>
      <c r="V2027" s="0" t="n">
        <v>1</v>
      </c>
      <c r="W2027" s="39" t="n">
        <f aca="false">IF(I2027="Male",0,1)</f>
        <v>1</v>
      </c>
      <c r="X2027" s="39" t="n">
        <f aca="false">IF(OR(I2027="DNB",I2027="Dry DNB"),1,0)</f>
        <v>0</v>
      </c>
      <c r="Y2027" s="39" t="n">
        <f aca="false">MATCH(A2027,DATAS,0)</f>
        <v>1</v>
      </c>
      <c r="Z2027" s="39" t="n">
        <f aca="false">IF(AND(E2027&gt;0,OR(AND(B2027&gt;=1,B2027&lt;=6),B2027=10)),1,0)</f>
        <v>0</v>
      </c>
      <c r="AA2027" s="39" t="n">
        <f aca="false">IF(AND(E2027&gt;0,B2027=10),1,0)</f>
        <v>0</v>
      </c>
      <c r="AB2027" s="0" t="str">
        <f aca="false">IF(AND(C2026=C2027,Y2026=Y2027-1),Z2026,"")</f>
        <v/>
      </c>
      <c r="AC2027" s="0" t="str">
        <f aca="false">IF(AND(C2026=C2027,Y2026=Y2027-1),AA2026,"")</f>
        <v/>
      </c>
      <c r="AD2027" s="0" t="str">
        <f aca="false">IF(Y2027=1,"",IF(AND(Z2027=1,AB2027&lt;&gt;1),1,0))</f>
        <v/>
      </c>
      <c r="AE2027" s="0" t="str">
        <f aca="false">IF(Y2027=1,"",IF(AND(AA2027=1,AC2027&lt;&gt;1),1,0))</f>
        <v/>
      </c>
      <c r="AF2027" s="45" t="str">
        <f aca="false">IF(AND(E2027&gt;0,Y2027&lt;1,NOT(AND(C2028=C2027,Y2028=Y2027+1))),INDEX(DATAS,Y2027+1),"")</f>
        <v/>
      </c>
      <c r="AG2027" s="45" t="str">
        <f aca="false">IF(AND(AA2027=1,Y2027&lt;1),IF(AND(C2028=C2027,Y2028=Y2027+1),IF(AA2028=1,"",INDEX(DATAS,Y2027+1)),INDEX(DATAS,Y2027+1)),"")</f>
        <v/>
      </c>
    </row>
    <row r="2028" customFormat="false" ht="15" hidden="false" customHeight="false" outlineLevel="0" collapsed="false">
      <c r="A2028" s="45" t="n">
        <v>46309</v>
      </c>
      <c r="B2028" s="0" t="n">
        <v>8</v>
      </c>
      <c r="C2028" s="0" t="n">
        <v>6302</v>
      </c>
      <c r="E2028" s="0" t="n">
        <v>0</v>
      </c>
      <c r="F2028" s="39" t="s">
        <v>1124</v>
      </c>
      <c r="I2028" s="39" t="s">
        <v>109</v>
      </c>
      <c r="L2028" s="0" t="n">
        <v>220</v>
      </c>
      <c r="U2028" s="0" t="n">
        <v>607</v>
      </c>
      <c r="V2028" s="0" t="n">
        <v>1</v>
      </c>
      <c r="W2028" s="39" t="n">
        <f aca="false">IF(I2028="Male",0,1)</f>
        <v>1</v>
      </c>
      <c r="X2028" s="39" t="n">
        <f aca="false">IF(OR(I2028="DNB",I2028="Dry DNB"),1,0)</f>
        <v>0</v>
      </c>
      <c r="Y2028" s="39" t="n">
        <f aca="false">MATCH(A2028,DATAS,0)</f>
        <v>1</v>
      </c>
      <c r="Z2028" s="39" t="n">
        <f aca="false">IF(AND(E2028&gt;0,OR(AND(B2028&gt;=1,B2028&lt;=6),B2028=10)),1,0)</f>
        <v>0</v>
      </c>
      <c r="AA2028" s="39" t="n">
        <f aca="false">IF(AND(E2028&gt;0,B2028=10),1,0)</f>
        <v>0</v>
      </c>
      <c r="AB2028" s="0" t="str">
        <f aca="false">IF(AND(C2027=C2028,Y2027=Y2028-1),Z2027,"")</f>
        <v/>
      </c>
      <c r="AC2028" s="0" t="str">
        <f aca="false">IF(AND(C2027=C2028,Y2027=Y2028-1),AA2027,"")</f>
        <v/>
      </c>
      <c r="AD2028" s="0" t="str">
        <f aca="false">IF(Y2028=1,"",IF(AND(Z2028=1,AB2028&lt;&gt;1),1,0))</f>
        <v/>
      </c>
      <c r="AE2028" s="0" t="str">
        <f aca="false">IF(Y2028=1,"",IF(AND(AA2028=1,AC2028&lt;&gt;1),1,0))</f>
        <v/>
      </c>
      <c r="AF2028" s="45" t="str">
        <f aca="false">IF(AND(E2028&gt;0,Y2028&lt;1,NOT(AND(C2029=C2028,Y2029=Y2028+1))),INDEX(DATAS,Y2028+1),"")</f>
        <v/>
      </c>
      <c r="AG2028" s="45" t="str">
        <f aca="false">IF(AND(AA2028=1,Y2028&lt;1),IF(AND(C2029=C2028,Y2029=Y2028+1),IF(AA2029=1,"",INDEX(DATAS,Y2028+1)),INDEX(DATAS,Y2028+1)),"")</f>
        <v/>
      </c>
    </row>
    <row r="2029" customFormat="false" ht="15" hidden="false" customHeight="false" outlineLevel="0" collapsed="false">
      <c r="A2029" s="45" t="n">
        <v>46309</v>
      </c>
      <c r="B2029" s="0" t="n">
        <v>8</v>
      </c>
      <c r="C2029" s="0" t="n">
        <v>6303</v>
      </c>
      <c r="E2029" s="0" t="n">
        <v>0</v>
      </c>
      <c r="F2029" s="39" t="s">
        <v>1124</v>
      </c>
      <c r="I2029" s="39" t="s">
        <v>109</v>
      </c>
      <c r="L2029" s="0" t="n">
        <v>188</v>
      </c>
      <c r="U2029" s="0" t="n">
        <v>607</v>
      </c>
      <c r="V2029" s="0" t="n">
        <v>1</v>
      </c>
      <c r="W2029" s="39" t="n">
        <f aca="false">IF(I2029="Male",0,1)</f>
        <v>1</v>
      </c>
      <c r="X2029" s="39" t="n">
        <f aca="false">IF(OR(I2029="DNB",I2029="Dry DNB"),1,0)</f>
        <v>0</v>
      </c>
      <c r="Y2029" s="39" t="n">
        <f aca="false">MATCH(A2029,DATAS,0)</f>
        <v>1</v>
      </c>
      <c r="Z2029" s="39" t="n">
        <f aca="false">IF(AND(E2029&gt;0,OR(AND(B2029&gt;=1,B2029&lt;=6),B2029=10)),1,0)</f>
        <v>0</v>
      </c>
      <c r="AA2029" s="39" t="n">
        <f aca="false">IF(AND(E2029&gt;0,B2029=10),1,0)</f>
        <v>0</v>
      </c>
      <c r="AB2029" s="0" t="str">
        <f aca="false">IF(AND(C2028=C2029,Y2028=Y2029-1),Z2028,"")</f>
        <v/>
      </c>
      <c r="AC2029" s="0" t="str">
        <f aca="false">IF(AND(C2028=C2029,Y2028=Y2029-1),AA2028,"")</f>
        <v/>
      </c>
      <c r="AD2029" s="0" t="str">
        <f aca="false">IF(Y2029=1,"",IF(AND(Z2029=1,AB2029&lt;&gt;1),1,0))</f>
        <v/>
      </c>
      <c r="AE2029" s="0" t="str">
        <f aca="false">IF(Y2029=1,"",IF(AND(AA2029=1,AC2029&lt;&gt;1),1,0))</f>
        <v/>
      </c>
      <c r="AF2029" s="45" t="str">
        <f aca="false">IF(AND(E2029&gt;0,Y2029&lt;1,NOT(AND(C2030=C2029,Y2030=Y2029+1))),INDEX(DATAS,Y2029+1),"")</f>
        <v/>
      </c>
      <c r="AG2029" s="45" t="str">
        <f aca="false">IF(AND(AA2029=1,Y2029&lt;1),IF(AND(C2030=C2029,Y2030=Y2029+1),IF(AA2030=1,"",INDEX(DATAS,Y2029+1)),INDEX(DATAS,Y2029+1)),"")</f>
        <v/>
      </c>
    </row>
    <row r="2030" customFormat="false" ht="15" hidden="false" customHeight="false" outlineLevel="0" collapsed="false">
      <c r="A2030" s="45" t="n">
        <v>46309</v>
      </c>
      <c r="B2030" s="0" t="n">
        <v>8</v>
      </c>
      <c r="C2030" s="0" t="n">
        <v>6304</v>
      </c>
      <c r="E2030" s="0" t="n">
        <v>0</v>
      </c>
      <c r="F2030" s="39" t="s">
        <v>1124</v>
      </c>
      <c r="I2030" s="39" t="s">
        <v>109</v>
      </c>
      <c r="L2030" s="0" t="n">
        <v>178</v>
      </c>
      <c r="U2030" s="0" t="n">
        <v>607</v>
      </c>
      <c r="V2030" s="0" t="n">
        <v>3</v>
      </c>
      <c r="W2030" s="39" t="n">
        <f aca="false">IF(I2030="Male",0,1)</f>
        <v>1</v>
      </c>
      <c r="X2030" s="39" t="n">
        <f aca="false">IF(OR(I2030="DNB",I2030="Dry DNB"),1,0)</f>
        <v>0</v>
      </c>
      <c r="Y2030" s="39" t="n">
        <f aca="false">MATCH(A2030,DATAS,0)</f>
        <v>1</v>
      </c>
      <c r="Z2030" s="39" t="n">
        <f aca="false">IF(AND(E2030&gt;0,OR(AND(B2030&gt;=1,B2030&lt;=6),B2030=10)),1,0)</f>
        <v>0</v>
      </c>
      <c r="AA2030" s="39" t="n">
        <f aca="false">IF(AND(E2030&gt;0,B2030=10),1,0)</f>
        <v>0</v>
      </c>
      <c r="AB2030" s="0" t="str">
        <f aca="false">IF(AND(C2029=C2030,Y2029=Y2030-1),Z2029,"")</f>
        <v/>
      </c>
      <c r="AC2030" s="0" t="str">
        <f aca="false">IF(AND(C2029=C2030,Y2029=Y2030-1),AA2029,"")</f>
        <v/>
      </c>
      <c r="AD2030" s="0" t="str">
        <f aca="false">IF(Y2030=1,"",IF(AND(Z2030=1,AB2030&lt;&gt;1),1,0))</f>
        <v/>
      </c>
      <c r="AE2030" s="0" t="str">
        <f aca="false">IF(Y2030=1,"",IF(AND(AA2030=1,AC2030&lt;&gt;1),1,0))</f>
        <v/>
      </c>
      <c r="AF2030" s="45" t="str">
        <f aca="false">IF(AND(E2030&gt;0,Y2030&lt;1,NOT(AND(C2031=C2030,Y2031=Y2030+1))),INDEX(DATAS,Y2030+1),"")</f>
        <v/>
      </c>
      <c r="AG2030" s="45" t="str">
        <f aca="false">IF(AND(AA2030=1,Y2030&lt;1),IF(AND(C2031=C2030,Y2031=Y2030+1),IF(AA2031=1,"",INDEX(DATAS,Y2030+1)),INDEX(DATAS,Y2030+1)),"")</f>
        <v/>
      </c>
    </row>
    <row r="2031" customFormat="false" ht="15" hidden="false" customHeight="false" outlineLevel="0" collapsed="false">
      <c r="A2031" s="45" t="n">
        <v>46309</v>
      </c>
      <c r="B2031" s="0" t="n">
        <v>8</v>
      </c>
      <c r="C2031" s="0" t="n">
        <v>6305</v>
      </c>
      <c r="E2031" s="0" t="n">
        <v>0</v>
      </c>
      <c r="F2031" s="39" t="s">
        <v>1125</v>
      </c>
      <c r="I2031" s="39" t="s">
        <v>109</v>
      </c>
      <c r="L2031" s="0" t="n">
        <v>210</v>
      </c>
      <c r="U2031" s="0" t="n">
        <v>606</v>
      </c>
      <c r="V2031" s="0" t="n">
        <v>1</v>
      </c>
      <c r="W2031" s="39" t="n">
        <f aca="false">IF(I2031="Male",0,1)</f>
        <v>1</v>
      </c>
      <c r="X2031" s="39" t="n">
        <f aca="false">IF(OR(I2031="DNB",I2031="Dry DNB"),1,0)</f>
        <v>0</v>
      </c>
      <c r="Y2031" s="39" t="n">
        <f aca="false">MATCH(A2031,DATAS,0)</f>
        <v>1</v>
      </c>
      <c r="Z2031" s="39" t="n">
        <f aca="false">IF(AND(E2031&gt;0,OR(AND(B2031&gt;=1,B2031&lt;=6),B2031=10)),1,0)</f>
        <v>0</v>
      </c>
      <c r="AA2031" s="39" t="n">
        <f aca="false">IF(AND(E2031&gt;0,B2031=10),1,0)</f>
        <v>0</v>
      </c>
      <c r="AB2031" s="0" t="str">
        <f aca="false">IF(AND(C2030=C2031,Y2030=Y2031-1),Z2030,"")</f>
        <v/>
      </c>
      <c r="AC2031" s="0" t="str">
        <f aca="false">IF(AND(C2030=C2031,Y2030=Y2031-1),AA2030,"")</f>
        <v/>
      </c>
      <c r="AD2031" s="0" t="str">
        <f aca="false">IF(Y2031=1,"",IF(AND(Z2031=1,AB2031&lt;&gt;1),1,0))</f>
        <v/>
      </c>
      <c r="AE2031" s="0" t="str">
        <f aca="false">IF(Y2031=1,"",IF(AND(AA2031=1,AC2031&lt;&gt;1),1,0))</f>
        <v/>
      </c>
      <c r="AF2031" s="45" t="str">
        <f aca="false">IF(AND(E2031&gt;0,Y2031&lt;1,NOT(AND(C2032=C2031,Y2032=Y2031+1))),INDEX(DATAS,Y2031+1),"")</f>
        <v/>
      </c>
      <c r="AG2031" s="45" t="str">
        <f aca="false">IF(AND(AA2031=1,Y2031&lt;1),IF(AND(C2032=C2031,Y2032=Y2031+1),IF(AA2032=1,"",INDEX(DATAS,Y2031+1)),INDEX(DATAS,Y2031+1)),"")</f>
        <v/>
      </c>
    </row>
    <row r="2032" customFormat="false" ht="15" hidden="false" customHeight="false" outlineLevel="0" collapsed="false">
      <c r="A2032" s="45" t="n">
        <v>46309</v>
      </c>
      <c r="B2032" s="0" t="n">
        <v>8</v>
      </c>
      <c r="C2032" s="0" t="n">
        <v>6306</v>
      </c>
      <c r="E2032" s="0" t="n">
        <v>0</v>
      </c>
      <c r="F2032" s="39" t="s">
        <v>1126</v>
      </c>
      <c r="I2032" s="39" t="s">
        <v>109</v>
      </c>
      <c r="L2032" s="0" t="n">
        <v>209</v>
      </c>
      <c r="U2032" s="0" t="n">
        <v>605</v>
      </c>
      <c r="V2032" s="0" t="n">
        <v>1</v>
      </c>
      <c r="W2032" s="39" t="n">
        <f aca="false">IF(I2032="Male",0,1)</f>
        <v>1</v>
      </c>
      <c r="X2032" s="39" t="n">
        <f aca="false">IF(OR(I2032="DNB",I2032="Dry DNB"),1,0)</f>
        <v>0</v>
      </c>
      <c r="Y2032" s="39" t="n">
        <f aca="false">MATCH(A2032,DATAS,0)</f>
        <v>1</v>
      </c>
      <c r="Z2032" s="39" t="n">
        <f aca="false">IF(AND(E2032&gt;0,OR(AND(B2032&gt;=1,B2032&lt;=6),B2032=10)),1,0)</f>
        <v>0</v>
      </c>
      <c r="AA2032" s="39" t="n">
        <f aca="false">IF(AND(E2032&gt;0,B2032=10),1,0)</f>
        <v>0</v>
      </c>
      <c r="AB2032" s="0" t="str">
        <f aca="false">IF(AND(C2031=C2032,Y2031=Y2032-1),Z2031,"")</f>
        <v/>
      </c>
      <c r="AC2032" s="0" t="str">
        <f aca="false">IF(AND(C2031=C2032,Y2031=Y2032-1),AA2031,"")</f>
        <v/>
      </c>
      <c r="AD2032" s="0" t="str">
        <f aca="false">IF(Y2032=1,"",IF(AND(Z2032=1,AB2032&lt;&gt;1),1,0))</f>
        <v/>
      </c>
      <c r="AE2032" s="0" t="str">
        <f aca="false">IF(Y2032=1,"",IF(AND(AA2032=1,AC2032&lt;&gt;1),1,0))</f>
        <v/>
      </c>
      <c r="AF2032" s="45" t="str">
        <f aca="false">IF(AND(E2032&gt;0,Y2032&lt;1,NOT(AND(C2033=C2032,Y2033=Y2032+1))),INDEX(DATAS,Y2032+1),"")</f>
        <v/>
      </c>
      <c r="AG2032" s="45" t="str">
        <f aca="false">IF(AND(AA2032=1,Y2032&lt;1),IF(AND(C2033=C2032,Y2033=Y2032+1),IF(AA2033=1,"",INDEX(DATAS,Y2032+1)),INDEX(DATAS,Y2032+1)),"")</f>
        <v/>
      </c>
    </row>
    <row r="2033" customFormat="false" ht="15" hidden="false" customHeight="false" outlineLevel="0" collapsed="false">
      <c r="A2033" s="45" t="n">
        <v>46309</v>
      </c>
      <c r="B2033" s="0" t="n">
        <v>8</v>
      </c>
      <c r="C2033" s="0" t="n">
        <v>6307</v>
      </c>
      <c r="E2033" s="0" t="n">
        <v>0</v>
      </c>
      <c r="F2033" s="39" t="s">
        <v>1126</v>
      </c>
      <c r="I2033" s="39" t="s">
        <v>109</v>
      </c>
      <c r="L2033" s="0" t="n">
        <v>215</v>
      </c>
      <c r="U2033" s="0" t="n">
        <v>605</v>
      </c>
      <c r="V2033" s="0" t="n">
        <v>1</v>
      </c>
      <c r="W2033" s="39" t="n">
        <f aca="false">IF(I2033="Male",0,1)</f>
        <v>1</v>
      </c>
      <c r="X2033" s="39" t="n">
        <f aca="false">IF(OR(I2033="DNB",I2033="Dry DNB"),1,0)</f>
        <v>0</v>
      </c>
      <c r="Y2033" s="39" t="n">
        <f aca="false">MATCH(A2033,DATAS,0)</f>
        <v>1</v>
      </c>
      <c r="Z2033" s="39" t="n">
        <f aca="false">IF(AND(E2033&gt;0,OR(AND(B2033&gt;=1,B2033&lt;=6),B2033=10)),1,0)</f>
        <v>0</v>
      </c>
      <c r="AA2033" s="39" t="n">
        <f aca="false">IF(AND(E2033&gt;0,B2033=10),1,0)</f>
        <v>0</v>
      </c>
      <c r="AB2033" s="0" t="str">
        <f aca="false">IF(AND(C2032=C2033,Y2032=Y2033-1),Z2032,"")</f>
        <v/>
      </c>
      <c r="AC2033" s="0" t="str">
        <f aca="false">IF(AND(C2032=C2033,Y2032=Y2033-1),AA2032,"")</f>
        <v/>
      </c>
      <c r="AD2033" s="0" t="str">
        <f aca="false">IF(Y2033=1,"",IF(AND(Z2033=1,AB2033&lt;&gt;1),1,0))</f>
        <v/>
      </c>
      <c r="AE2033" s="0" t="str">
        <f aca="false">IF(Y2033=1,"",IF(AND(AA2033=1,AC2033&lt;&gt;1),1,0))</f>
        <v/>
      </c>
      <c r="AF2033" s="45" t="str">
        <f aca="false">IF(AND(E2033&gt;0,Y2033&lt;1,NOT(AND(C2034=C2033,Y2034=Y2033+1))),INDEX(DATAS,Y2033+1),"")</f>
        <v/>
      </c>
      <c r="AG2033" s="45" t="str">
        <f aca="false">IF(AND(AA2033=1,Y2033&lt;1),IF(AND(C2034=C2033,Y2034=Y2033+1),IF(AA2034=1,"",INDEX(DATAS,Y2033+1)),INDEX(DATAS,Y2033+1)),"")</f>
        <v/>
      </c>
    </row>
    <row r="2034" customFormat="false" ht="15" hidden="false" customHeight="false" outlineLevel="0" collapsed="false">
      <c r="A2034" s="45" t="n">
        <v>46309</v>
      </c>
      <c r="B2034" s="0" t="n">
        <v>8</v>
      </c>
      <c r="C2034" s="0" t="n">
        <v>6308</v>
      </c>
      <c r="E2034" s="0" t="n">
        <v>0</v>
      </c>
      <c r="F2034" s="39" t="s">
        <v>1126</v>
      </c>
      <c r="I2034" s="39" t="s">
        <v>109</v>
      </c>
      <c r="L2034" s="0" t="n">
        <v>191</v>
      </c>
      <c r="U2034" s="0" t="n">
        <v>605</v>
      </c>
      <c r="V2034" s="0" t="n">
        <v>2</v>
      </c>
      <c r="W2034" s="39" t="n">
        <f aca="false">IF(I2034="Male",0,1)</f>
        <v>1</v>
      </c>
      <c r="X2034" s="39" t="n">
        <f aca="false">IF(OR(I2034="DNB",I2034="Dry DNB"),1,0)</f>
        <v>0</v>
      </c>
      <c r="Y2034" s="39" t="n">
        <f aca="false">MATCH(A2034,DATAS,0)</f>
        <v>1</v>
      </c>
      <c r="Z2034" s="39" t="n">
        <f aca="false">IF(AND(E2034&gt;0,OR(AND(B2034&gt;=1,B2034&lt;=6),B2034=10)),1,0)</f>
        <v>0</v>
      </c>
      <c r="AA2034" s="39" t="n">
        <f aca="false">IF(AND(E2034&gt;0,B2034=10),1,0)</f>
        <v>0</v>
      </c>
      <c r="AB2034" s="0" t="str">
        <f aca="false">IF(AND(C2033=C2034,Y2033=Y2034-1),Z2033,"")</f>
        <v/>
      </c>
      <c r="AC2034" s="0" t="str">
        <f aca="false">IF(AND(C2033=C2034,Y2033=Y2034-1),AA2033,"")</f>
        <v/>
      </c>
      <c r="AD2034" s="0" t="str">
        <f aca="false">IF(Y2034=1,"",IF(AND(Z2034=1,AB2034&lt;&gt;1),1,0))</f>
        <v/>
      </c>
      <c r="AE2034" s="0" t="str">
        <f aca="false">IF(Y2034=1,"",IF(AND(AA2034=1,AC2034&lt;&gt;1),1,0))</f>
        <v/>
      </c>
      <c r="AF2034" s="45" t="str">
        <f aca="false">IF(AND(E2034&gt;0,Y2034&lt;1,NOT(AND(C2035=C2034,Y2035=Y2034+1))),INDEX(DATAS,Y2034+1),"")</f>
        <v/>
      </c>
      <c r="AG2034" s="45" t="str">
        <f aca="false">IF(AND(AA2034=1,Y2034&lt;1),IF(AND(C2035=C2034,Y2035=Y2034+1),IF(AA2035=1,"",INDEX(DATAS,Y2034+1)),INDEX(DATAS,Y2034+1)),"")</f>
        <v/>
      </c>
    </row>
    <row r="2035" customFormat="false" ht="15" hidden="false" customHeight="false" outlineLevel="0" collapsed="false">
      <c r="A2035" s="45" t="n">
        <v>46309</v>
      </c>
      <c r="B2035" s="0" t="n">
        <v>8</v>
      </c>
      <c r="C2035" s="0" t="n">
        <v>6310</v>
      </c>
      <c r="E2035" s="0" t="n">
        <v>0</v>
      </c>
      <c r="F2035" s="39" t="s">
        <v>1126</v>
      </c>
      <c r="I2035" s="39" t="s">
        <v>109</v>
      </c>
      <c r="L2035" s="0" t="n">
        <v>165</v>
      </c>
      <c r="U2035" s="0" t="n">
        <v>605</v>
      </c>
      <c r="V2035" s="0" t="n">
        <v>1</v>
      </c>
      <c r="W2035" s="39" t="n">
        <f aca="false">IF(I2035="Male",0,1)</f>
        <v>1</v>
      </c>
      <c r="X2035" s="39" t="n">
        <f aca="false">IF(OR(I2035="DNB",I2035="Dry DNB"),1,0)</f>
        <v>0</v>
      </c>
      <c r="Y2035" s="39" t="n">
        <f aca="false">MATCH(A2035,DATAS,0)</f>
        <v>1</v>
      </c>
      <c r="Z2035" s="39" t="n">
        <f aca="false">IF(AND(E2035&gt;0,OR(AND(B2035&gt;=1,B2035&lt;=6),B2035=10)),1,0)</f>
        <v>0</v>
      </c>
      <c r="AA2035" s="39" t="n">
        <f aca="false">IF(AND(E2035&gt;0,B2035=10),1,0)</f>
        <v>0</v>
      </c>
      <c r="AB2035" s="0" t="str">
        <f aca="false">IF(AND(C2034=C2035,Y2034=Y2035-1),Z2034,"")</f>
        <v/>
      </c>
      <c r="AC2035" s="0" t="str">
        <f aca="false">IF(AND(C2034=C2035,Y2034=Y2035-1),AA2034,"")</f>
        <v/>
      </c>
      <c r="AD2035" s="0" t="str">
        <f aca="false">IF(Y2035=1,"",IF(AND(Z2035=1,AB2035&lt;&gt;1),1,0))</f>
        <v/>
      </c>
      <c r="AE2035" s="0" t="str">
        <f aca="false">IF(Y2035=1,"",IF(AND(AA2035=1,AC2035&lt;&gt;1),1,0))</f>
        <v/>
      </c>
      <c r="AF2035" s="45" t="str">
        <f aca="false">IF(AND(E2035&gt;0,Y2035&lt;1,NOT(AND(C2036=C2035,Y2036=Y2035+1))),INDEX(DATAS,Y2035+1),"")</f>
        <v/>
      </c>
      <c r="AG2035" s="45" t="str">
        <f aca="false">IF(AND(AA2035=1,Y2035&lt;1),IF(AND(C2036=C2035,Y2036=Y2035+1),IF(AA2036=1,"",INDEX(DATAS,Y2035+1)),INDEX(DATAS,Y2035+1)),"")</f>
        <v/>
      </c>
    </row>
    <row r="2036" customFormat="false" ht="15" hidden="false" customHeight="false" outlineLevel="0" collapsed="false">
      <c r="A2036" s="45" t="n">
        <v>46309</v>
      </c>
      <c r="B2036" s="0" t="n">
        <v>8</v>
      </c>
      <c r="C2036" s="0" t="n">
        <v>6311</v>
      </c>
      <c r="E2036" s="0" t="n">
        <v>0</v>
      </c>
      <c r="F2036" s="39" t="s">
        <v>1127</v>
      </c>
      <c r="I2036" s="39" t="s">
        <v>109</v>
      </c>
      <c r="L2036" s="0" t="n">
        <v>192</v>
      </c>
      <c r="U2036" s="0" t="n">
        <v>602</v>
      </c>
      <c r="V2036" s="0" t="n">
        <v>2</v>
      </c>
      <c r="W2036" s="39" t="n">
        <f aca="false">IF(I2036="Male",0,1)</f>
        <v>1</v>
      </c>
      <c r="X2036" s="39" t="n">
        <f aca="false">IF(OR(I2036="DNB",I2036="Dry DNB"),1,0)</f>
        <v>0</v>
      </c>
      <c r="Y2036" s="39" t="n">
        <f aca="false">MATCH(A2036,DATAS,0)</f>
        <v>1</v>
      </c>
      <c r="Z2036" s="39" t="n">
        <f aca="false">IF(AND(E2036&gt;0,OR(AND(B2036&gt;=1,B2036&lt;=6),B2036=10)),1,0)</f>
        <v>0</v>
      </c>
      <c r="AA2036" s="39" t="n">
        <f aca="false">IF(AND(E2036&gt;0,B2036=10),1,0)</f>
        <v>0</v>
      </c>
      <c r="AB2036" s="0" t="str">
        <f aca="false">IF(AND(C2035=C2036,Y2035=Y2036-1),Z2035,"")</f>
        <v/>
      </c>
      <c r="AC2036" s="0" t="str">
        <f aca="false">IF(AND(C2035=C2036,Y2035=Y2036-1),AA2035,"")</f>
        <v/>
      </c>
      <c r="AD2036" s="0" t="str">
        <f aca="false">IF(Y2036=1,"",IF(AND(Z2036=1,AB2036&lt;&gt;1),1,0))</f>
        <v/>
      </c>
      <c r="AE2036" s="0" t="str">
        <f aca="false">IF(Y2036=1,"",IF(AND(AA2036=1,AC2036&lt;&gt;1),1,0))</f>
        <v/>
      </c>
      <c r="AF2036" s="45" t="str">
        <f aca="false">IF(AND(E2036&gt;0,Y2036&lt;1,NOT(AND(C2037=C2036,Y2037=Y2036+1))),INDEX(DATAS,Y2036+1),"")</f>
        <v/>
      </c>
      <c r="AG2036" s="45" t="str">
        <f aca="false">IF(AND(AA2036=1,Y2036&lt;1),IF(AND(C2037=C2036,Y2037=Y2036+1),IF(AA2037=1,"",INDEX(DATAS,Y2036+1)),INDEX(DATAS,Y2036+1)),"")</f>
        <v/>
      </c>
    </row>
    <row r="2037" customFormat="false" ht="15" hidden="false" customHeight="false" outlineLevel="0" collapsed="false">
      <c r="A2037" s="45" t="n">
        <v>46309</v>
      </c>
      <c r="B2037" s="0" t="n">
        <v>8</v>
      </c>
      <c r="C2037" s="0" t="n">
        <v>6312</v>
      </c>
      <c r="E2037" s="0" t="n">
        <v>0</v>
      </c>
      <c r="F2037" s="39" t="s">
        <v>1127</v>
      </c>
      <c r="I2037" s="39" t="s">
        <v>109</v>
      </c>
      <c r="L2037" s="0" t="n">
        <v>184</v>
      </c>
      <c r="U2037" s="0" t="n">
        <v>602</v>
      </c>
      <c r="V2037" s="0" t="n">
        <v>2</v>
      </c>
      <c r="W2037" s="39" t="n">
        <f aca="false">IF(I2037="Male",0,1)</f>
        <v>1</v>
      </c>
      <c r="X2037" s="39" t="n">
        <f aca="false">IF(OR(I2037="DNB",I2037="Dry DNB"),1,0)</f>
        <v>0</v>
      </c>
      <c r="Y2037" s="39" t="n">
        <f aca="false">MATCH(A2037,DATAS,0)</f>
        <v>1</v>
      </c>
      <c r="Z2037" s="39" t="n">
        <f aca="false">IF(AND(E2037&gt;0,OR(AND(B2037&gt;=1,B2037&lt;=6),B2037=10)),1,0)</f>
        <v>0</v>
      </c>
      <c r="AA2037" s="39" t="n">
        <f aca="false">IF(AND(E2037&gt;0,B2037=10),1,0)</f>
        <v>0</v>
      </c>
      <c r="AB2037" s="0" t="str">
        <f aca="false">IF(AND(C2036=C2037,Y2036=Y2037-1),Z2036,"")</f>
        <v/>
      </c>
      <c r="AC2037" s="0" t="str">
        <f aca="false">IF(AND(C2036=C2037,Y2036=Y2037-1),AA2036,"")</f>
        <v/>
      </c>
      <c r="AD2037" s="0" t="str">
        <f aca="false">IF(Y2037=1,"",IF(AND(Z2037=1,AB2037&lt;&gt;1),1,0))</f>
        <v/>
      </c>
      <c r="AE2037" s="0" t="str">
        <f aca="false">IF(Y2037=1,"",IF(AND(AA2037=1,AC2037&lt;&gt;1),1,0))</f>
        <v/>
      </c>
      <c r="AF2037" s="45" t="str">
        <f aca="false">IF(AND(E2037&gt;0,Y2037&lt;1,NOT(AND(C2038=C2037,Y2038=Y2037+1))),INDEX(DATAS,Y2037+1),"")</f>
        <v/>
      </c>
      <c r="AG2037" s="45" t="str">
        <f aca="false">IF(AND(AA2037=1,Y2037&lt;1),IF(AND(C2038=C2037,Y2038=Y2037+1),IF(AA2038=1,"",INDEX(DATAS,Y2037+1)),INDEX(DATAS,Y2037+1)),"")</f>
        <v/>
      </c>
    </row>
    <row r="2038" customFormat="false" ht="15" hidden="false" customHeight="false" outlineLevel="0" collapsed="false">
      <c r="A2038" s="45" t="n">
        <v>46309</v>
      </c>
      <c r="B2038" s="0" t="n">
        <v>8</v>
      </c>
      <c r="C2038" s="0" t="n">
        <v>6314</v>
      </c>
      <c r="E2038" s="0" t="n">
        <v>0</v>
      </c>
      <c r="F2038" s="39" t="s">
        <v>1127</v>
      </c>
      <c r="I2038" s="39" t="s">
        <v>109</v>
      </c>
      <c r="L2038" s="0" t="n">
        <v>163</v>
      </c>
      <c r="U2038" s="0" t="n">
        <v>602</v>
      </c>
      <c r="V2038" s="0" t="n">
        <v>3</v>
      </c>
      <c r="W2038" s="39" t="n">
        <f aca="false">IF(I2038="Male",0,1)</f>
        <v>1</v>
      </c>
      <c r="X2038" s="39" t="n">
        <f aca="false">IF(OR(I2038="DNB",I2038="Dry DNB"),1,0)</f>
        <v>0</v>
      </c>
      <c r="Y2038" s="39" t="n">
        <f aca="false">MATCH(A2038,DATAS,0)</f>
        <v>1</v>
      </c>
      <c r="Z2038" s="39" t="n">
        <f aca="false">IF(AND(E2038&gt;0,OR(AND(B2038&gt;=1,B2038&lt;=6),B2038=10)),1,0)</f>
        <v>0</v>
      </c>
      <c r="AA2038" s="39" t="n">
        <f aca="false">IF(AND(E2038&gt;0,B2038=10),1,0)</f>
        <v>0</v>
      </c>
      <c r="AB2038" s="0" t="str">
        <f aca="false">IF(AND(C2037=C2038,Y2037=Y2038-1),Z2037,"")</f>
        <v/>
      </c>
      <c r="AC2038" s="0" t="str">
        <f aca="false">IF(AND(C2037=C2038,Y2037=Y2038-1),AA2037,"")</f>
        <v/>
      </c>
      <c r="AD2038" s="0" t="str">
        <f aca="false">IF(Y2038=1,"",IF(AND(Z2038=1,AB2038&lt;&gt;1),1,0))</f>
        <v/>
      </c>
      <c r="AE2038" s="0" t="str">
        <f aca="false">IF(Y2038=1,"",IF(AND(AA2038=1,AC2038&lt;&gt;1),1,0))</f>
        <v/>
      </c>
      <c r="AF2038" s="45" t="str">
        <f aca="false">IF(AND(E2038&gt;0,Y2038&lt;1,NOT(AND(C2039=C2038,Y2039=Y2038+1))),INDEX(DATAS,Y2038+1),"")</f>
        <v/>
      </c>
      <c r="AG2038" s="45" t="str">
        <f aca="false">IF(AND(AA2038=1,Y2038&lt;1),IF(AND(C2039=C2038,Y2039=Y2038+1),IF(AA2039=1,"",INDEX(DATAS,Y2038+1)),INDEX(DATAS,Y2038+1)),"")</f>
        <v/>
      </c>
    </row>
    <row r="2039" customFormat="false" ht="15" hidden="false" customHeight="false" outlineLevel="0" collapsed="false">
      <c r="A2039" s="45" t="n">
        <v>46309</v>
      </c>
      <c r="B2039" s="0" t="n">
        <v>8</v>
      </c>
      <c r="C2039" s="0" t="n">
        <v>6315</v>
      </c>
      <c r="E2039" s="0" t="n">
        <v>0</v>
      </c>
      <c r="F2039" s="39" t="s">
        <v>1127</v>
      </c>
      <c r="I2039" s="39" t="s">
        <v>109</v>
      </c>
      <c r="L2039" s="0" t="n">
        <v>206</v>
      </c>
      <c r="U2039" s="0" t="n">
        <v>602</v>
      </c>
      <c r="V2039" s="0" t="n">
        <v>1</v>
      </c>
      <c r="W2039" s="39" t="n">
        <f aca="false">IF(I2039="Male",0,1)</f>
        <v>1</v>
      </c>
      <c r="X2039" s="39" t="n">
        <f aca="false">IF(OR(I2039="DNB",I2039="Dry DNB"),1,0)</f>
        <v>0</v>
      </c>
      <c r="Y2039" s="39" t="n">
        <f aca="false">MATCH(A2039,DATAS,0)</f>
        <v>1</v>
      </c>
      <c r="Z2039" s="39" t="n">
        <f aca="false">IF(AND(E2039&gt;0,OR(AND(B2039&gt;=1,B2039&lt;=6),B2039=10)),1,0)</f>
        <v>0</v>
      </c>
      <c r="AA2039" s="39" t="n">
        <f aca="false">IF(AND(E2039&gt;0,B2039=10),1,0)</f>
        <v>0</v>
      </c>
      <c r="AB2039" s="0" t="str">
        <f aca="false">IF(AND(C2038=C2039,Y2038=Y2039-1),Z2038,"")</f>
        <v/>
      </c>
      <c r="AC2039" s="0" t="str">
        <f aca="false">IF(AND(C2038=C2039,Y2038=Y2039-1),AA2038,"")</f>
        <v/>
      </c>
      <c r="AD2039" s="0" t="str">
        <f aca="false">IF(Y2039=1,"",IF(AND(Z2039=1,AB2039&lt;&gt;1),1,0))</f>
        <v/>
      </c>
      <c r="AE2039" s="0" t="str">
        <f aca="false">IF(Y2039=1,"",IF(AND(AA2039=1,AC2039&lt;&gt;1),1,0))</f>
        <v/>
      </c>
      <c r="AF2039" s="45" t="str">
        <f aca="false">IF(AND(E2039&gt;0,Y2039&lt;1,NOT(AND(C2040=C2039,Y2040=Y2039+1))),INDEX(DATAS,Y2039+1),"")</f>
        <v/>
      </c>
      <c r="AG2039" s="45" t="str">
        <f aca="false">IF(AND(AA2039=1,Y2039&lt;1),IF(AND(C2040=C2039,Y2040=Y2039+1),IF(AA2040=1,"",INDEX(DATAS,Y2039+1)),INDEX(DATAS,Y2039+1)),"")</f>
        <v/>
      </c>
    </row>
    <row r="2040" customFormat="false" ht="15" hidden="false" customHeight="false" outlineLevel="0" collapsed="false">
      <c r="A2040" s="45" t="n">
        <v>46309</v>
      </c>
      <c r="B2040" s="0" t="n">
        <v>8</v>
      </c>
      <c r="C2040" s="0" t="n">
        <v>6316</v>
      </c>
      <c r="E2040" s="0" t="n">
        <v>0</v>
      </c>
      <c r="F2040" s="39" t="s">
        <v>1127</v>
      </c>
      <c r="I2040" s="39" t="s">
        <v>109</v>
      </c>
      <c r="L2040" s="0" t="n">
        <v>207</v>
      </c>
      <c r="U2040" s="0" t="n">
        <v>602</v>
      </c>
      <c r="V2040" s="0" t="n">
        <v>1</v>
      </c>
      <c r="W2040" s="39" t="n">
        <f aca="false">IF(I2040="Male",0,1)</f>
        <v>1</v>
      </c>
      <c r="X2040" s="39" t="n">
        <f aca="false">IF(OR(I2040="DNB",I2040="Dry DNB"),1,0)</f>
        <v>0</v>
      </c>
      <c r="Y2040" s="39" t="n">
        <f aca="false">MATCH(A2040,DATAS,0)</f>
        <v>1</v>
      </c>
      <c r="Z2040" s="39" t="n">
        <f aca="false">IF(AND(E2040&gt;0,OR(AND(B2040&gt;=1,B2040&lt;=6),B2040=10)),1,0)</f>
        <v>0</v>
      </c>
      <c r="AA2040" s="39" t="n">
        <f aca="false">IF(AND(E2040&gt;0,B2040=10),1,0)</f>
        <v>0</v>
      </c>
      <c r="AB2040" s="0" t="str">
        <f aca="false">IF(AND(C2039=C2040,Y2039=Y2040-1),Z2039,"")</f>
        <v/>
      </c>
      <c r="AC2040" s="0" t="str">
        <f aca="false">IF(AND(C2039=C2040,Y2039=Y2040-1),AA2039,"")</f>
        <v/>
      </c>
      <c r="AD2040" s="0" t="str">
        <f aca="false">IF(Y2040=1,"",IF(AND(Z2040=1,AB2040&lt;&gt;1),1,0))</f>
        <v/>
      </c>
      <c r="AE2040" s="0" t="str">
        <f aca="false">IF(Y2040=1,"",IF(AND(AA2040=1,AC2040&lt;&gt;1),1,0))</f>
        <v/>
      </c>
      <c r="AF2040" s="45" t="str">
        <f aca="false">IF(AND(E2040&gt;0,Y2040&lt;1,NOT(AND(C2041=C2040,Y2041=Y2040+1))),INDEX(DATAS,Y2040+1),"")</f>
        <v/>
      </c>
      <c r="AG2040" s="45" t="str">
        <f aca="false">IF(AND(AA2040=1,Y2040&lt;1),IF(AND(C2041=C2040,Y2041=Y2040+1),IF(AA2041=1,"",INDEX(DATAS,Y2040+1)),INDEX(DATAS,Y2040+1)),"")</f>
        <v/>
      </c>
    </row>
    <row r="2041" customFormat="false" ht="15" hidden="false" customHeight="false" outlineLevel="0" collapsed="false">
      <c r="A2041" s="45" t="n">
        <v>46309</v>
      </c>
      <c r="B2041" s="0" t="n">
        <v>8</v>
      </c>
      <c r="C2041" s="0" t="n">
        <v>6317</v>
      </c>
      <c r="E2041" s="0" t="n">
        <v>0</v>
      </c>
      <c r="F2041" s="39" t="s">
        <v>1127</v>
      </c>
      <c r="I2041" s="39" t="s">
        <v>109</v>
      </c>
      <c r="L2041" s="0" t="n">
        <v>155</v>
      </c>
      <c r="U2041" s="0" t="n">
        <v>602</v>
      </c>
      <c r="V2041" s="0" t="n">
        <v>3</v>
      </c>
      <c r="W2041" s="39" t="n">
        <f aca="false">IF(I2041="Male",0,1)</f>
        <v>1</v>
      </c>
      <c r="X2041" s="39" t="n">
        <f aca="false">IF(OR(I2041="DNB",I2041="Dry DNB"),1,0)</f>
        <v>0</v>
      </c>
      <c r="Y2041" s="39" t="n">
        <f aca="false">MATCH(A2041,DATAS,0)</f>
        <v>1</v>
      </c>
      <c r="Z2041" s="39" t="n">
        <f aca="false">IF(AND(E2041&gt;0,OR(AND(B2041&gt;=1,B2041&lt;=6),B2041=10)),1,0)</f>
        <v>0</v>
      </c>
      <c r="AA2041" s="39" t="n">
        <f aca="false">IF(AND(E2041&gt;0,B2041=10),1,0)</f>
        <v>0</v>
      </c>
      <c r="AB2041" s="0" t="str">
        <f aca="false">IF(AND(C2040=C2041,Y2040=Y2041-1),Z2040,"")</f>
        <v/>
      </c>
      <c r="AC2041" s="0" t="str">
        <f aca="false">IF(AND(C2040=C2041,Y2040=Y2041-1),AA2040,"")</f>
        <v/>
      </c>
      <c r="AD2041" s="0" t="str">
        <f aca="false">IF(Y2041=1,"",IF(AND(Z2041=1,AB2041&lt;&gt;1),1,0))</f>
        <v/>
      </c>
      <c r="AE2041" s="0" t="str">
        <f aca="false">IF(Y2041=1,"",IF(AND(AA2041=1,AC2041&lt;&gt;1),1,0))</f>
        <v/>
      </c>
      <c r="AF2041" s="45" t="str">
        <f aca="false">IF(AND(E2041&gt;0,Y2041&lt;1,NOT(AND(C2042=C2041,Y2042=Y2041+1))),INDEX(DATAS,Y2041+1),"")</f>
        <v/>
      </c>
      <c r="AG2041" s="45" t="str">
        <f aca="false">IF(AND(AA2041=1,Y2041&lt;1),IF(AND(C2042=C2041,Y2042=Y2041+1),IF(AA2042=1,"",INDEX(DATAS,Y2041+1)),INDEX(DATAS,Y2041+1)),"")</f>
        <v/>
      </c>
    </row>
    <row r="2042" customFormat="false" ht="15" hidden="false" customHeight="false" outlineLevel="0" collapsed="false">
      <c r="A2042" s="45" t="n">
        <v>46309</v>
      </c>
      <c r="B2042" s="0" t="n">
        <v>8</v>
      </c>
      <c r="C2042" s="0" t="n">
        <v>6318</v>
      </c>
      <c r="E2042" s="0" t="n">
        <v>0</v>
      </c>
      <c r="F2042" s="39" t="s">
        <v>1127</v>
      </c>
      <c r="I2042" s="39" t="s">
        <v>109</v>
      </c>
      <c r="L2042" s="0" t="n">
        <v>126</v>
      </c>
      <c r="U2042" s="0" t="n">
        <v>602</v>
      </c>
      <c r="V2042" s="0" t="n">
        <v>4</v>
      </c>
      <c r="W2042" s="39" t="n">
        <f aca="false">IF(I2042="Male",0,1)</f>
        <v>1</v>
      </c>
      <c r="X2042" s="39" t="n">
        <f aca="false">IF(OR(I2042="DNB",I2042="Dry DNB"),1,0)</f>
        <v>0</v>
      </c>
      <c r="Y2042" s="39" t="n">
        <f aca="false">MATCH(A2042,DATAS,0)</f>
        <v>1</v>
      </c>
      <c r="Z2042" s="39" t="n">
        <f aca="false">IF(AND(E2042&gt;0,OR(AND(B2042&gt;=1,B2042&lt;=6),B2042=10)),1,0)</f>
        <v>0</v>
      </c>
      <c r="AA2042" s="39" t="n">
        <f aca="false">IF(AND(E2042&gt;0,B2042=10),1,0)</f>
        <v>0</v>
      </c>
      <c r="AB2042" s="0" t="str">
        <f aca="false">IF(AND(C2041=C2042,Y2041=Y2042-1),Z2041,"")</f>
        <v/>
      </c>
      <c r="AC2042" s="0" t="str">
        <f aca="false">IF(AND(C2041=C2042,Y2041=Y2042-1),AA2041,"")</f>
        <v/>
      </c>
      <c r="AD2042" s="0" t="str">
        <f aca="false">IF(Y2042=1,"",IF(AND(Z2042=1,AB2042&lt;&gt;1),1,0))</f>
        <v/>
      </c>
      <c r="AE2042" s="0" t="str">
        <f aca="false">IF(Y2042=1,"",IF(AND(AA2042=1,AC2042&lt;&gt;1),1,0))</f>
        <v/>
      </c>
      <c r="AF2042" s="45" t="str">
        <f aca="false">IF(AND(E2042&gt;0,Y2042&lt;1,NOT(AND(C2043=C2042,Y2043=Y2042+1))),INDEX(DATAS,Y2042+1),"")</f>
        <v/>
      </c>
      <c r="AG2042" s="45" t="str">
        <f aca="false">IF(AND(AA2042=1,Y2042&lt;1),IF(AND(C2043=C2042,Y2043=Y2042+1),IF(AA2043=1,"",INDEX(DATAS,Y2042+1)),INDEX(DATAS,Y2042+1)),"")</f>
        <v/>
      </c>
    </row>
    <row r="2043" customFormat="false" ht="15" hidden="false" customHeight="false" outlineLevel="0" collapsed="false">
      <c r="A2043" s="45" t="n">
        <v>46309</v>
      </c>
      <c r="B2043" s="0" t="n">
        <v>8</v>
      </c>
      <c r="C2043" s="0" t="n">
        <v>6319</v>
      </c>
      <c r="E2043" s="0" t="n">
        <v>0</v>
      </c>
      <c r="F2043" s="39" t="s">
        <v>1127</v>
      </c>
      <c r="I2043" s="39" t="s">
        <v>109</v>
      </c>
      <c r="L2043" s="0" t="n">
        <v>169</v>
      </c>
      <c r="U2043" s="0" t="n">
        <v>602</v>
      </c>
      <c r="V2043" s="0" t="n">
        <v>2</v>
      </c>
      <c r="W2043" s="39" t="n">
        <f aca="false">IF(I2043="Male",0,1)</f>
        <v>1</v>
      </c>
      <c r="X2043" s="39" t="n">
        <f aca="false">IF(OR(I2043="DNB",I2043="Dry DNB"),1,0)</f>
        <v>0</v>
      </c>
      <c r="Y2043" s="39" t="n">
        <f aca="false">MATCH(A2043,DATAS,0)</f>
        <v>1</v>
      </c>
      <c r="Z2043" s="39" t="n">
        <f aca="false">IF(AND(E2043&gt;0,OR(AND(B2043&gt;=1,B2043&lt;=6),B2043=10)),1,0)</f>
        <v>0</v>
      </c>
      <c r="AA2043" s="39" t="n">
        <f aca="false">IF(AND(E2043&gt;0,B2043=10),1,0)</f>
        <v>0</v>
      </c>
      <c r="AB2043" s="0" t="str">
        <f aca="false">IF(AND(C2042=C2043,Y2042=Y2043-1),Z2042,"")</f>
        <v/>
      </c>
      <c r="AC2043" s="0" t="str">
        <f aca="false">IF(AND(C2042=C2043,Y2042=Y2043-1),AA2042,"")</f>
        <v/>
      </c>
      <c r="AD2043" s="0" t="str">
        <f aca="false">IF(Y2043=1,"",IF(AND(Z2043=1,AB2043&lt;&gt;1),1,0))</f>
        <v/>
      </c>
      <c r="AE2043" s="0" t="str">
        <f aca="false">IF(Y2043=1,"",IF(AND(AA2043=1,AC2043&lt;&gt;1),1,0))</f>
        <v/>
      </c>
      <c r="AF2043" s="45" t="str">
        <f aca="false">IF(AND(E2043&gt;0,Y2043&lt;1,NOT(AND(C2044=C2043,Y2044=Y2043+1))),INDEX(DATAS,Y2043+1),"")</f>
        <v/>
      </c>
      <c r="AG2043" s="45" t="str">
        <f aca="false">IF(AND(AA2043=1,Y2043&lt;1),IF(AND(C2044=C2043,Y2044=Y2043+1),IF(AA2044=1,"",INDEX(DATAS,Y2043+1)),INDEX(DATAS,Y2043+1)),"")</f>
        <v/>
      </c>
    </row>
    <row r="2044" customFormat="false" ht="15" hidden="false" customHeight="false" outlineLevel="0" collapsed="false">
      <c r="A2044" s="45" t="n">
        <v>46309</v>
      </c>
      <c r="B2044" s="0" t="n">
        <v>8</v>
      </c>
      <c r="C2044" s="0" t="n">
        <v>6320</v>
      </c>
      <c r="E2044" s="0" t="n">
        <v>0</v>
      </c>
      <c r="F2044" s="39" t="s">
        <v>1127</v>
      </c>
      <c r="I2044" s="39" t="s">
        <v>109</v>
      </c>
      <c r="L2044" s="0" t="n">
        <v>192</v>
      </c>
      <c r="U2044" s="0" t="n">
        <v>602</v>
      </c>
      <c r="V2044" s="0" t="n">
        <v>1</v>
      </c>
      <c r="W2044" s="39" t="n">
        <f aca="false">IF(I2044="Male",0,1)</f>
        <v>1</v>
      </c>
      <c r="X2044" s="39" t="n">
        <f aca="false">IF(OR(I2044="DNB",I2044="Dry DNB"),1,0)</f>
        <v>0</v>
      </c>
      <c r="Y2044" s="39" t="n">
        <f aca="false">MATCH(A2044,DATAS,0)</f>
        <v>1</v>
      </c>
      <c r="Z2044" s="39" t="n">
        <f aca="false">IF(AND(E2044&gt;0,OR(AND(B2044&gt;=1,B2044&lt;=6),B2044=10)),1,0)</f>
        <v>0</v>
      </c>
      <c r="AA2044" s="39" t="n">
        <f aca="false">IF(AND(E2044&gt;0,B2044=10),1,0)</f>
        <v>0</v>
      </c>
      <c r="AB2044" s="0" t="str">
        <f aca="false">IF(AND(C2043=C2044,Y2043=Y2044-1),Z2043,"")</f>
        <v/>
      </c>
      <c r="AC2044" s="0" t="str">
        <f aca="false">IF(AND(C2043=C2044,Y2043=Y2044-1),AA2043,"")</f>
        <v/>
      </c>
      <c r="AD2044" s="0" t="str">
        <f aca="false">IF(Y2044=1,"",IF(AND(Z2044=1,AB2044&lt;&gt;1),1,0))</f>
        <v/>
      </c>
      <c r="AE2044" s="0" t="str">
        <f aca="false">IF(Y2044=1,"",IF(AND(AA2044=1,AC2044&lt;&gt;1),1,0))</f>
        <v/>
      </c>
      <c r="AF2044" s="45" t="str">
        <f aca="false">IF(AND(E2044&gt;0,Y2044&lt;1,NOT(AND(C2045=C2044,Y2045=Y2044+1))),INDEX(DATAS,Y2044+1),"")</f>
        <v/>
      </c>
      <c r="AG2044" s="45" t="str">
        <f aca="false">IF(AND(AA2044=1,Y2044&lt;1),IF(AND(C2045=C2044,Y2045=Y2044+1),IF(AA2045=1,"",INDEX(DATAS,Y2044+1)),INDEX(DATAS,Y2044+1)),"")</f>
        <v/>
      </c>
    </row>
    <row r="2045" customFormat="false" ht="15" hidden="false" customHeight="false" outlineLevel="0" collapsed="false">
      <c r="A2045" s="45" t="n">
        <v>46309</v>
      </c>
      <c r="B2045" s="0" t="n">
        <v>8</v>
      </c>
      <c r="C2045" s="0" t="n">
        <v>6322</v>
      </c>
      <c r="E2045" s="0" t="n">
        <v>0</v>
      </c>
      <c r="F2045" s="39" t="s">
        <v>1127</v>
      </c>
      <c r="I2045" s="39" t="s">
        <v>109</v>
      </c>
      <c r="L2045" s="0" t="n">
        <v>210</v>
      </c>
      <c r="U2045" s="0" t="n">
        <v>602</v>
      </c>
      <c r="V2045" s="0" t="n">
        <v>1</v>
      </c>
      <c r="W2045" s="39" t="n">
        <f aca="false">IF(I2045="Male",0,1)</f>
        <v>1</v>
      </c>
      <c r="X2045" s="39" t="n">
        <f aca="false">IF(OR(I2045="DNB",I2045="Dry DNB"),1,0)</f>
        <v>0</v>
      </c>
      <c r="Y2045" s="39" t="n">
        <f aca="false">MATCH(A2045,DATAS,0)</f>
        <v>1</v>
      </c>
      <c r="Z2045" s="39" t="n">
        <f aca="false">IF(AND(E2045&gt;0,OR(AND(B2045&gt;=1,B2045&lt;=6),B2045=10)),1,0)</f>
        <v>0</v>
      </c>
      <c r="AA2045" s="39" t="n">
        <f aca="false">IF(AND(E2045&gt;0,B2045=10),1,0)</f>
        <v>0</v>
      </c>
      <c r="AB2045" s="0" t="str">
        <f aca="false">IF(AND(C2044=C2045,Y2044=Y2045-1),Z2044,"")</f>
        <v/>
      </c>
      <c r="AC2045" s="0" t="str">
        <f aca="false">IF(AND(C2044=C2045,Y2044=Y2045-1),AA2044,"")</f>
        <v/>
      </c>
      <c r="AD2045" s="0" t="str">
        <f aca="false">IF(Y2045=1,"",IF(AND(Z2045=1,AB2045&lt;&gt;1),1,0))</f>
        <v/>
      </c>
      <c r="AE2045" s="0" t="str">
        <f aca="false">IF(Y2045=1,"",IF(AND(AA2045=1,AC2045&lt;&gt;1),1,0))</f>
        <v/>
      </c>
      <c r="AF2045" s="45" t="str">
        <f aca="false">IF(AND(E2045&gt;0,Y2045&lt;1,NOT(AND(C2046=C2045,Y2046=Y2045+1))),INDEX(DATAS,Y2045+1),"")</f>
        <v/>
      </c>
      <c r="AG2045" s="45" t="str">
        <f aca="false">IF(AND(AA2045=1,Y2045&lt;1),IF(AND(C2046=C2045,Y2046=Y2045+1),IF(AA2046=1,"",INDEX(DATAS,Y2045+1)),INDEX(DATAS,Y2045+1)),"")</f>
        <v/>
      </c>
    </row>
    <row r="2046" customFormat="false" ht="15" hidden="false" customHeight="false" outlineLevel="0" collapsed="false">
      <c r="A2046" s="45" t="n">
        <v>46309</v>
      </c>
      <c r="B2046" s="0" t="n">
        <v>8</v>
      </c>
      <c r="C2046" s="0" t="n">
        <v>6324</v>
      </c>
      <c r="E2046" s="0" t="n">
        <v>0</v>
      </c>
      <c r="F2046" s="39" t="s">
        <v>1128</v>
      </c>
      <c r="I2046" s="39" t="s">
        <v>109</v>
      </c>
      <c r="L2046" s="0" t="n">
        <v>204</v>
      </c>
      <c r="U2046" s="0" t="n">
        <v>600</v>
      </c>
      <c r="V2046" s="0" t="n">
        <v>1</v>
      </c>
      <c r="W2046" s="39" t="n">
        <f aca="false">IF(I2046="Male",0,1)</f>
        <v>1</v>
      </c>
      <c r="X2046" s="39" t="n">
        <f aca="false">IF(OR(I2046="DNB",I2046="Dry DNB"),1,0)</f>
        <v>0</v>
      </c>
      <c r="Y2046" s="39" t="n">
        <f aca="false">MATCH(A2046,DATAS,0)</f>
        <v>1</v>
      </c>
      <c r="Z2046" s="39" t="n">
        <f aca="false">IF(AND(E2046&gt;0,OR(AND(B2046&gt;=1,B2046&lt;=6),B2046=10)),1,0)</f>
        <v>0</v>
      </c>
      <c r="AA2046" s="39" t="n">
        <f aca="false">IF(AND(E2046&gt;0,B2046=10),1,0)</f>
        <v>0</v>
      </c>
      <c r="AB2046" s="0" t="str">
        <f aca="false">IF(AND(C2045=C2046,Y2045=Y2046-1),Z2045,"")</f>
        <v/>
      </c>
      <c r="AC2046" s="0" t="str">
        <f aca="false">IF(AND(C2045=C2046,Y2045=Y2046-1),AA2045,"")</f>
        <v/>
      </c>
      <c r="AD2046" s="0" t="str">
        <f aca="false">IF(Y2046=1,"",IF(AND(Z2046=1,AB2046&lt;&gt;1),1,0))</f>
        <v/>
      </c>
      <c r="AE2046" s="0" t="str">
        <f aca="false">IF(Y2046=1,"",IF(AND(AA2046=1,AC2046&lt;&gt;1),1,0))</f>
        <v/>
      </c>
      <c r="AF2046" s="45" t="str">
        <f aca="false">IF(AND(E2046&gt;0,Y2046&lt;1,NOT(AND(C2047=C2046,Y2047=Y2046+1))),INDEX(DATAS,Y2046+1),"")</f>
        <v/>
      </c>
      <c r="AG2046" s="45" t="str">
        <f aca="false">IF(AND(AA2046=1,Y2046&lt;1),IF(AND(C2047=C2046,Y2047=Y2046+1),IF(AA2047=1,"",INDEX(DATAS,Y2046+1)),INDEX(DATAS,Y2046+1)),"")</f>
        <v/>
      </c>
    </row>
    <row r="2047" customFormat="false" ht="15" hidden="false" customHeight="false" outlineLevel="0" collapsed="false">
      <c r="A2047" s="45" t="n">
        <v>46309</v>
      </c>
      <c r="B2047" s="0" t="n">
        <v>8</v>
      </c>
      <c r="C2047" s="0" t="n">
        <v>6325</v>
      </c>
      <c r="E2047" s="0" t="n">
        <v>0</v>
      </c>
      <c r="F2047" s="39" t="s">
        <v>1128</v>
      </c>
      <c r="I2047" s="39" t="s">
        <v>109</v>
      </c>
      <c r="L2047" s="0" t="n">
        <v>161</v>
      </c>
      <c r="U2047" s="0" t="n">
        <v>600</v>
      </c>
      <c r="V2047" s="0" t="n">
        <v>1</v>
      </c>
      <c r="W2047" s="39" t="n">
        <f aca="false">IF(I2047="Male",0,1)</f>
        <v>1</v>
      </c>
      <c r="X2047" s="39" t="n">
        <f aca="false">IF(OR(I2047="DNB",I2047="Dry DNB"),1,0)</f>
        <v>0</v>
      </c>
      <c r="Y2047" s="39" t="n">
        <f aca="false">MATCH(A2047,DATAS,0)</f>
        <v>1</v>
      </c>
      <c r="Z2047" s="39" t="n">
        <f aca="false">IF(AND(E2047&gt;0,OR(AND(B2047&gt;=1,B2047&lt;=6),B2047=10)),1,0)</f>
        <v>0</v>
      </c>
      <c r="AA2047" s="39" t="n">
        <f aca="false">IF(AND(E2047&gt;0,B2047=10),1,0)</f>
        <v>0</v>
      </c>
      <c r="AB2047" s="0" t="str">
        <f aca="false">IF(AND(C2046=C2047,Y2046=Y2047-1),Z2046,"")</f>
        <v/>
      </c>
      <c r="AC2047" s="0" t="str">
        <f aca="false">IF(AND(C2046=C2047,Y2046=Y2047-1),AA2046,"")</f>
        <v/>
      </c>
      <c r="AD2047" s="0" t="str">
        <f aca="false">IF(Y2047=1,"",IF(AND(Z2047=1,AB2047&lt;&gt;1),1,0))</f>
        <v/>
      </c>
      <c r="AE2047" s="0" t="str">
        <f aca="false">IF(Y2047=1,"",IF(AND(AA2047=1,AC2047&lt;&gt;1),1,0))</f>
        <v/>
      </c>
      <c r="AF2047" s="45" t="str">
        <f aca="false">IF(AND(E2047&gt;0,Y2047&lt;1,NOT(AND(C2048=C2047,Y2048=Y2047+1))),INDEX(DATAS,Y2047+1),"")</f>
        <v/>
      </c>
      <c r="AG2047" s="45" t="str">
        <f aca="false">IF(AND(AA2047=1,Y2047&lt;1),IF(AND(C2048=C2047,Y2048=Y2047+1),IF(AA2048=1,"",INDEX(DATAS,Y2047+1)),INDEX(DATAS,Y2047+1)),"")</f>
        <v/>
      </c>
    </row>
    <row r="2048" customFormat="false" ht="15" hidden="false" customHeight="false" outlineLevel="0" collapsed="false">
      <c r="A2048" s="45" t="n">
        <v>46309</v>
      </c>
      <c r="B2048" s="0" t="n">
        <v>8</v>
      </c>
      <c r="C2048" s="0" t="n">
        <v>6326</v>
      </c>
      <c r="E2048" s="0" t="n">
        <v>0</v>
      </c>
      <c r="F2048" s="39" t="s">
        <v>1128</v>
      </c>
      <c r="I2048" s="39" t="s">
        <v>109</v>
      </c>
      <c r="L2048" s="0" t="n">
        <v>201</v>
      </c>
      <c r="U2048" s="0" t="n">
        <v>600</v>
      </c>
      <c r="V2048" s="0" t="n">
        <v>1</v>
      </c>
      <c r="W2048" s="39" t="n">
        <f aca="false">IF(I2048="Male",0,1)</f>
        <v>1</v>
      </c>
      <c r="X2048" s="39" t="n">
        <f aca="false">IF(OR(I2048="DNB",I2048="Dry DNB"),1,0)</f>
        <v>0</v>
      </c>
      <c r="Y2048" s="39" t="n">
        <f aca="false">MATCH(A2048,DATAS,0)</f>
        <v>1</v>
      </c>
      <c r="Z2048" s="39" t="n">
        <f aca="false">IF(AND(E2048&gt;0,OR(AND(B2048&gt;=1,B2048&lt;=6),B2048=10)),1,0)</f>
        <v>0</v>
      </c>
      <c r="AA2048" s="39" t="n">
        <f aca="false">IF(AND(E2048&gt;0,B2048=10),1,0)</f>
        <v>0</v>
      </c>
      <c r="AB2048" s="0" t="str">
        <f aca="false">IF(AND(C2047=C2048,Y2047=Y2048-1),Z2047,"")</f>
        <v/>
      </c>
      <c r="AC2048" s="0" t="str">
        <f aca="false">IF(AND(C2047=C2048,Y2047=Y2048-1),AA2047,"")</f>
        <v/>
      </c>
      <c r="AD2048" s="0" t="str">
        <f aca="false">IF(Y2048=1,"",IF(AND(Z2048=1,AB2048&lt;&gt;1),1,0))</f>
        <v/>
      </c>
      <c r="AE2048" s="0" t="str">
        <f aca="false">IF(Y2048=1,"",IF(AND(AA2048=1,AC2048&lt;&gt;1),1,0))</f>
        <v/>
      </c>
      <c r="AF2048" s="45" t="str">
        <f aca="false">IF(AND(E2048&gt;0,Y2048&lt;1,NOT(AND(C2049=C2048,Y2049=Y2048+1))),INDEX(DATAS,Y2048+1),"")</f>
        <v/>
      </c>
      <c r="AG2048" s="45" t="str">
        <f aca="false">IF(AND(AA2048=1,Y2048&lt;1),IF(AND(C2049=C2048,Y2049=Y2048+1),IF(AA2049=1,"",INDEX(DATAS,Y2048+1)),INDEX(DATAS,Y2048+1)),"")</f>
        <v/>
      </c>
    </row>
    <row r="2049" customFormat="false" ht="15" hidden="false" customHeight="false" outlineLevel="0" collapsed="false">
      <c r="A2049" s="45" t="n">
        <v>46309</v>
      </c>
      <c r="B2049" s="0" t="n">
        <v>8</v>
      </c>
      <c r="C2049" s="0" t="n">
        <v>6327</v>
      </c>
      <c r="E2049" s="0" t="n">
        <v>0</v>
      </c>
      <c r="F2049" s="39" t="s">
        <v>1129</v>
      </c>
      <c r="I2049" s="39" t="s">
        <v>109</v>
      </c>
      <c r="L2049" s="0" t="n">
        <v>119</v>
      </c>
      <c r="U2049" s="0" t="n">
        <v>597</v>
      </c>
      <c r="V2049" s="0" t="n">
        <v>2</v>
      </c>
      <c r="W2049" s="39" t="n">
        <f aca="false">IF(I2049="Male",0,1)</f>
        <v>1</v>
      </c>
      <c r="X2049" s="39" t="n">
        <f aca="false">IF(OR(I2049="DNB",I2049="Dry DNB"),1,0)</f>
        <v>0</v>
      </c>
      <c r="Y2049" s="39" t="n">
        <f aca="false">MATCH(A2049,DATAS,0)</f>
        <v>1</v>
      </c>
      <c r="Z2049" s="39" t="n">
        <f aca="false">IF(AND(E2049&gt;0,OR(AND(B2049&gt;=1,B2049&lt;=6),B2049=10)),1,0)</f>
        <v>0</v>
      </c>
      <c r="AA2049" s="39" t="n">
        <f aca="false">IF(AND(E2049&gt;0,B2049=10),1,0)</f>
        <v>0</v>
      </c>
      <c r="AB2049" s="0" t="str">
        <f aca="false">IF(AND(C2048=C2049,Y2048=Y2049-1),Z2048,"")</f>
        <v/>
      </c>
      <c r="AC2049" s="0" t="str">
        <f aca="false">IF(AND(C2048=C2049,Y2048=Y2049-1),AA2048,"")</f>
        <v/>
      </c>
      <c r="AD2049" s="0" t="str">
        <f aca="false">IF(Y2049=1,"",IF(AND(Z2049=1,AB2049&lt;&gt;1),1,0))</f>
        <v/>
      </c>
      <c r="AE2049" s="0" t="str">
        <f aca="false">IF(Y2049=1,"",IF(AND(AA2049=1,AC2049&lt;&gt;1),1,0))</f>
        <v/>
      </c>
      <c r="AF2049" s="45" t="str">
        <f aca="false">IF(AND(E2049&gt;0,Y2049&lt;1,NOT(AND(C2050=C2049,Y2050=Y2049+1))),INDEX(DATAS,Y2049+1),"")</f>
        <v/>
      </c>
      <c r="AG2049" s="45" t="str">
        <f aca="false">IF(AND(AA2049=1,Y2049&lt;1),IF(AND(C2050=C2049,Y2050=Y2049+1),IF(AA2050=1,"",INDEX(DATAS,Y2049+1)),INDEX(DATAS,Y2049+1)),"")</f>
        <v/>
      </c>
    </row>
    <row r="2050" customFormat="false" ht="15" hidden="false" customHeight="false" outlineLevel="0" collapsed="false">
      <c r="A2050" s="45" t="n">
        <v>46309</v>
      </c>
      <c r="B2050" s="0" t="n">
        <v>8</v>
      </c>
      <c r="C2050" s="0" t="n">
        <v>6328</v>
      </c>
      <c r="E2050" s="0" t="n">
        <v>0</v>
      </c>
      <c r="F2050" s="39" t="s">
        <v>1129</v>
      </c>
      <c r="I2050" s="39" t="s">
        <v>109</v>
      </c>
      <c r="L2050" s="0" t="n">
        <v>206</v>
      </c>
      <c r="U2050" s="0" t="n">
        <v>597</v>
      </c>
      <c r="V2050" s="0" t="n">
        <v>1</v>
      </c>
      <c r="W2050" s="39" t="n">
        <f aca="false">IF(I2050="Male",0,1)</f>
        <v>1</v>
      </c>
      <c r="X2050" s="39" t="n">
        <f aca="false">IF(OR(I2050="DNB",I2050="Dry DNB"),1,0)</f>
        <v>0</v>
      </c>
      <c r="Y2050" s="39" t="n">
        <f aca="false">MATCH(A2050,DATAS,0)</f>
        <v>1</v>
      </c>
      <c r="Z2050" s="39" t="n">
        <f aca="false">IF(AND(E2050&gt;0,OR(AND(B2050&gt;=1,B2050&lt;=6),B2050=10)),1,0)</f>
        <v>0</v>
      </c>
      <c r="AA2050" s="39" t="n">
        <f aca="false">IF(AND(E2050&gt;0,B2050=10),1,0)</f>
        <v>0</v>
      </c>
      <c r="AB2050" s="0" t="str">
        <f aca="false">IF(AND(C2049=C2050,Y2049=Y2050-1),Z2049,"")</f>
        <v/>
      </c>
      <c r="AC2050" s="0" t="str">
        <f aca="false">IF(AND(C2049=C2050,Y2049=Y2050-1),AA2049,"")</f>
        <v/>
      </c>
      <c r="AD2050" s="0" t="str">
        <f aca="false">IF(Y2050=1,"",IF(AND(Z2050=1,AB2050&lt;&gt;1),1,0))</f>
        <v/>
      </c>
      <c r="AE2050" s="0" t="str">
        <f aca="false">IF(Y2050=1,"",IF(AND(AA2050=1,AC2050&lt;&gt;1),1,0))</f>
        <v/>
      </c>
      <c r="AF2050" s="45" t="str">
        <f aca="false">IF(AND(E2050&gt;0,Y2050&lt;1,NOT(AND(C2051=C2050,Y2051=Y2050+1))),INDEX(DATAS,Y2050+1),"")</f>
        <v/>
      </c>
      <c r="AG2050" s="45" t="str">
        <f aca="false">IF(AND(AA2050=1,Y2050&lt;1),IF(AND(C2051=C2050,Y2051=Y2050+1),IF(AA2051=1,"",INDEX(DATAS,Y2050+1)),INDEX(DATAS,Y2050+1)),"")</f>
        <v/>
      </c>
    </row>
    <row r="2051" customFormat="false" ht="15" hidden="false" customHeight="false" outlineLevel="0" collapsed="false">
      <c r="A2051" s="45" t="n">
        <v>46309</v>
      </c>
      <c r="B2051" s="0" t="n">
        <v>8</v>
      </c>
      <c r="C2051" s="0" t="n">
        <v>6329</v>
      </c>
      <c r="E2051" s="0" t="n">
        <v>0</v>
      </c>
      <c r="F2051" s="39" t="s">
        <v>1129</v>
      </c>
      <c r="I2051" s="39" t="s">
        <v>109</v>
      </c>
      <c r="L2051" s="0" t="n">
        <v>51</v>
      </c>
      <c r="U2051" s="0" t="n">
        <v>597</v>
      </c>
      <c r="V2051" s="0" t="n">
        <v>7</v>
      </c>
      <c r="W2051" s="39" t="n">
        <f aca="false">IF(I2051="Male",0,1)</f>
        <v>1</v>
      </c>
      <c r="X2051" s="39" t="n">
        <f aca="false">IF(OR(I2051="DNB",I2051="Dry DNB"),1,0)</f>
        <v>0</v>
      </c>
      <c r="Y2051" s="39" t="n">
        <f aca="false">MATCH(A2051,DATAS,0)</f>
        <v>1</v>
      </c>
      <c r="Z2051" s="39" t="n">
        <f aca="false">IF(AND(E2051&gt;0,OR(AND(B2051&gt;=1,B2051&lt;=6),B2051=10)),1,0)</f>
        <v>0</v>
      </c>
      <c r="AA2051" s="39" t="n">
        <f aca="false">IF(AND(E2051&gt;0,B2051=10),1,0)</f>
        <v>0</v>
      </c>
      <c r="AB2051" s="0" t="str">
        <f aca="false">IF(AND(C2050=C2051,Y2050=Y2051-1),Z2050,"")</f>
        <v/>
      </c>
      <c r="AC2051" s="0" t="str">
        <f aca="false">IF(AND(C2050=C2051,Y2050=Y2051-1),AA2050,"")</f>
        <v/>
      </c>
      <c r="AD2051" s="0" t="str">
        <f aca="false">IF(Y2051=1,"",IF(AND(Z2051=1,AB2051&lt;&gt;1),1,0))</f>
        <v/>
      </c>
      <c r="AE2051" s="0" t="str">
        <f aca="false">IF(Y2051=1,"",IF(AND(AA2051=1,AC2051&lt;&gt;1),1,0))</f>
        <v/>
      </c>
      <c r="AF2051" s="45" t="str">
        <f aca="false">IF(AND(E2051&gt;0,Y2051&lt;1,NOT(AND(C2052=C2051,Y2052=Y2051+1))),INDEX(DATAS,Y2051+1),"")</f>
        <v/>
      </c>
      <c r="AG2051" s="45" t="str">
        <f aca="false">IF(AND(AA2051=1,Y2051&lt;1),IF(AND(C2052=C2051,Y2052=Y2051+1),IF(AA2052=1,"",INDEX(DATAS,Y2051+1)),INDEX(DATAS,Y2051+1)),"")</f>
        <v/>
      </c>
    </row>
    <row r="2052" customFormat="false" ht="15" hidden="false" customHeight="false" outlineLevel="0" collapsed="false">
      <c r="A2052" s="45" t="n">
        <v>46309</v>
      </c>
      <c r="B2052" s="0" t="n">
        <v>8</v>
      </c>
      <c r="C2052" s="0" t="n">
        <v>6330</v>
      </c>
      <c r="E2052" s="0" t="n">
        <v>0</v>
      </c>
      <c r="F2052" s="39" t="s">
        <v>1129</v>
      </c>
      <c r="I2052" s="39" t="s">
        <v>109</v>
      </c>
      <c r="L2052" s="0" t="n">
        <v>119</v>
      </c>
      <c r="U2052" s="0" t="n">
        <v>597</v>
      </c>
      <c r="V2052" s="0" t="n">
        <v>3</v>
      </c>
      <c r="W2052" s="39" t="n">
        <f aca="false">IF(I2052="Male",0,1)</f>
        <v>1</v>
      </c>
      <c r="X2052" s="39" t="n">
        <f aca="false">IF(OR(I2052="DNB",I2052="Dry DNB"),1,0)</f>
        <v>0</v>
      </c>
      <c r="Y2052" s="39" t="n">
        <f aca="false">MATCH(A2052,DATAS,0)</f>
        <v>1</v>
      </c>
      <c r="Z2052" s="39" t="n">
        <f aca="false">IF(AND(E2052&gt;0,OR(AND(B2052&gt;=1,B2052&lt;=6),B2052=10)),1,0)</f>
        <v>0</v>
      </c>
      <c r="AA2052" s="39" t="n">
        <f aca="false">IF(AND(E2052&gt;0,B2052=10),1,0)</f>
        <v>0</v>
      </c>
      <c r="AB2052" s="0" t="str">
        <f aca="false">IF(AND(C2051=C2052,Y2051=Y2052-1),Z2051,"")</f>
        <v/>
      </c>
      <c r="AC2052" s="0" t="str">
        <f aca="false">IF(AND(C2051=C2052,Y2051=Y2052-1),AA2051,"")</f>
        <v/>
      </c>
      <c r="AD2052" s="0" t="str">
        <f aca="false">IF(Y2052=1,"",IF(AND(Z2052=1,AB2052&lt;&gt;1),1,0))</f>
        <v/>
      </c>
      <c r="AE2052" s="0" t="str">
        <f aca="false">IF(Y2052=1,"",IF(AND(AA2052=1,AC2052&lt;&gt;1),1,0))</f>
        <v/>
      </c>
      <c r="AF2052" s="45" t="str">
        <f aca="false">IF(AND(E2052&gt;0,Y2052&lt;1,NOT(AND(C2053=C2052,Y2053=Y2052+1))),INDEX(DATAS,Y2052+1),"")</f>
        <v/>
      </c>
      <c r="AG2052" s="45" t="str">
        <f aca="false">IF(AND(AA2052=1,Y2052&lt;1),IF(AND(C2053=C2052,Y2053=Y2052+1),IF(AA2053=1,"",INDEX(DATAS,Y2052+1)),INDEX(DATAS,Y2052+1)),"")</f>
        <v/>
      </c>
    </row>
    <row r="2053" customFormat="false" ht="15" hidden="false" customHeight="false" outlineLevel="0" collapsed="false">
      <c r="A2053" s="45" t="n">
        <v>46309</v>
      </c>
      <c r="B2053" s="0" t="n">
        <v>8</v>
      </c>
      <c r="C2053" s="0" t="n">
        <v>6331</v>
      </c>
      <c r="E2053" s="0" t="n">
        <v>0</v>
      </c>
      <c r="F2053" s="39" t="s">
        <v>1130</v>
      </c>
      <c r="I2053" s="39" t="s">
        <v>109</v>
      </c>
      <c r="L2053" s="0" t="n">
        <v>203</v>
      </c>
      <c r="U2053" s="0" t="n">
        <v>596</v>
      </c>
      <c r="V2053" s="0" t="n">
        <v>1</v>
      </c>
      <c r="W2053" s="39" t="n">
        <f aca="false">IF(I2053="Male",0,1)</f>
        <v>1</v>
      </c>
      <c r="X2053" s="39" t="n">
        <f aca="false">IF(OR(I2053="DNB",I2053="Dry DNB"),1,0)</f>
        <v>0</v>
      </c>
      <c r="Y2053" s="39" t="n">
        <f aca="false">MATCH(A2053,DATAS,0)</f>
        <v>1</v>
      </c>
      <c r="Z2053" s="39" t="n">
        <f aca="false">IF(AND(E2053&gt;0,OR(AND(B2053&gt;=1,B2053&lt;=6),B2053=10)),1,0)</f>
        <v>0</v>
      </c>
      <c r="AA2053" s="39" t="n">
        <f aca="false">IF(AND(E2053&gt;0,B2053=10),1,0)</f>
        <v>0</v>
      </c>
      <c r="AB2053" s="0" t="str">
        <f aca="false">IF(AND(C2052=C2053,Y2052=Y2053-1),Z2052,"")</f>
        <v/>
      </c>
      <c r="AC2053" s="0" t="str">
        <f aca="false">IF(AND(C2052=C2053,Y2052=Y2053-1),AA2052,"")</f>
        <v/>
      </c>
      <c r="AD2053" s="0" t="str">
        <f aca="false">IF(Y2053=1,"",IF(AND(Z2053=1,AB2053&lt;&gt;1),1,0))</f>
        <v/>
      </c>
      <c r="AE2053" s="0" t="str">
        <f aca="false">IF(Y2053=1,"",IF(AND(AA2053=1,AC2053&lt;&gt;1),1,0))</f>
        <v/>
      </c>
      <c r="AF2053" s="45" t="str">
        <f aca="false">IF(AND(E2053&gt;0,Y2053&lt;1,NOT(AND(C2054=C2053,Y2054=Y2053+1))),INDEX(DATAS,Y2053+1),"")</f>
        <v/>
      </c>
      <c r="AG2053" s="45" t="str">
        <f aca="false">IF(AND(AA2053=1,Y2053&lt;1),IF(AND(C2054=C2053,Y2054=Y2053+1),IF(AA2054=1,"",INDEX(DATAS,Y2053+1)),INDEX(DATAS,Y2053+1)),"")</f>
        <v/>
      </c>
    </row>
    <row r="2054" customFormat="false" ht="15" hidden="false" customHeight="false" outlineLevel="0" collapsed="false">
      <c r="A2054" s="45" t="n">
        <v>46309</v>
      </c>
      <c r="B2054" s="0" t="n">
        <v>8</v>
      </c>
      <c r="C2054" s="0" t="n">
        <v>6332</v>
      </c>
      <c r="E2054" s="0" t="n">
        <v>0</v>
      </c>
      <c r="F2054" s="39" t="s">
        <v>1130</v>
      </c>
      <c r="I2054" s="39" t="s">
        <v>109</v>
      </c>
      <c r="L2054" s="0" t="n">
        <v>155</v>
      </c>
      <c r="U2054" s="0" t="n">
        <v>596</v>
      </c>
      <c r="V2054" s="0" t="n">
        <v>2</v>
      </c>
      <c r="W2054" s="39" t="n">
        <f aca="false">IF(I2054="Male",0,1)</f>
        <v>1</v>
      </c>
      <c r="X2054" s="39" t="n">
        <f aca="false">IF(OR(I2054="DNB",I2054="Dry DNB"),1,0)</f>
        <v>0</v>
      </c>
      <c r="Y2054" s="39" t="n">
        <f aca="false">MATCH(A2054,DATAS,0)</f>
        <v>1</v>
      </c>
      <c r="Z2054" s="39" t="n">
        <f aca="false">IF(AND(E2054&gt;0,OR(AND(B2054&gt;=1,B2054&lt;=6),B2054=10)),1,0)</f>
        <v>0</v>
      </c>
      <c r="AA2054" s="39" t="n">
        <f aca="false">IF(AND(E2054&gt;0,B2054=10),1,0)</f>
        <v>0</v>
      </c>
      <c r="AB2054" s="0" t="str">
        <f aca="false">IF(AND(C2053=C2054,Y2053=Y2054-1),Z2053,"")</f>
        <v/>
      </c>
      <c r="AC2054" s="0" t="str">
        <f aca="false">IF(AND(C2053=C2054,Y2053=Y2054-1),AA2053,"")</f>
        <v/>
      </c>
      <c r="AD2054" s="0" t="str">
        <f aca="false">IF(Y2054=1,"",IF(AND(Z2054=1,AB2054&lt;&gt;1),1,0))</f>
        <v/>
      </c>
      <c r="AE2054" s="0" t="str">
        <f aca="false">IF(Y2054=1,"",IF(AND(AA2054=1,AC2054&lt;&gt;1),1,0))</f>
        <v/>
      </c>
      <c r="AF2054" s="45" t="str">
        <f aca="false">IF(AND(E2054&gt;0,Y2054&lt;1,NOT(AND(C2055=C2054,Y2055=Y2054+1))),INDEX(DATAS,Y2054+1),"")</f>
        <v/>
      </c>
      <c r="AG2054" s="45" t="str">
        <f aca="false">IF(AND(AA2054=1,Y2054&lt;1),IF(AND(C2055=C2054,Y2055=Y2054+1),IF(AA2055=1,"",INDEX(DATAS,Y2054+1)),INDEX(DATAS,Y2054+1)),"")</f>
        <v/>
      </c>
    </row>
    <row r="2055" customFormat="false" ht="15" hidden="false" customHeight="false" outlineLevel="0" collapsed="false">
      <c r="A2055" s="45" t="n">
        <v>46309</v>
      </c>
      <c r="B2055" s="0" t="n">
        <v>8</v>
      </c>
      <c r="C2055" s="0" t="n">
        <v>6333</v>
      </c>
      <c r="E2055" s="0" t="n">
        <v>0</v>
      </c>
      <c r="F2055" s="39" t="s">
        <v>1130</v>
      </c>
      <c r="I2055" s="39" t="s">
        <v>109</v>
      </c>
      <c r="L2055" s="0" t="n">
        <v>175</v>
      </c>
      <c r="U2055" s="0" t="n">
        <v>596</v>
      </c>
      <c r="V2055" s="0" t="n">
        <v>2</v>
      </c>
      <c r="W2055" s="39" t="n">
        <f aca="false">IF(I2055="Male",0,1)</f>
        <v>1</v>
      </c>
      <c r="X2055" s="39" t="n">
        <f aca="false">IF(OR(I2055="DNB",I2055="Dry DNB"),1,0)</f>
        <v>0</v>
      </c>
      <c r="Y2055" s="39" t="n">
        <f aca="false">MATCH(A2055,DATAS,0)</f>
        <v>1</v>
      </c>
      <c r="Z2055" s="39" t="n">
        <f aca="false">IF(AND(E2055&gt;0,OR(AND(B2055&gt;=1,B2055&lt;=6),B2055=10)),1,0)</f>
        <v>0</v>
      </c>
      <c r="AA2055" s="39" t="n">
        <f aca="false">IF(AND(E2055&gt;0,B2055=10),1,0)</f>
        <v>0</v>
      </c>
      <c r="AB2055" s="0" t="str">
        <f aca="false">IF(AND(C2054=C2055,Y2054=Y2055-1),Z2054,"")</f>
        <v/>
      </c>
      <c r="AC2055" s="0" t="str">
        <f aca="false">IF(AND(C2054=C2055,Y2054=Y2055-1),AA2054,"")</f>
        <v/>
      </c>
      <c r="AD2055" s="0" t="str">
        <f aca="false">IF(Y2055=1,"",IF(AND(Z2055=1,AB2055&lt;&gt;1),1,0))</f>
        <v/>
      </c>
      <c r="AE2055" s="0" t="str">
        <f aca="false">IF(Y2055=1,"",IF(AND(AA2055=1,AC2055&lt;&gt;1),1,0))</f>
        <v/>
      </c>
      <c r="AF2055" s="45" t="str">
        <f aca="false">IF(AND(E2055&gt;0,Y2055&lt;1,NOT(AND(C2056=C2055,Y2056=Y2055+1))),INDEX(DATAS,Y2055+1),"")</f>
        <v/>
      </c>
      <c r="AG2055" s="45" t="str">
        <f aca="false">IF(AND(AA2055=1,Y2055&lt;1),IF(AND(C2056=C2055,Y2056=Y2055+1),IF(AA2056=1,"",INDEX(DATAS,Y2055+1)),INDEX(DATAS,Y2055+1)),"")</f>
        <v/>
      </c>
    </row>
    <row r="2056" customFormat="false" ht="15" hidden="false" customHeight="false" outlineLevel="0" collapsed="false">
      <c r="A2056" s="45" t="n">
        <v>46309</v>
      </c>
      <c r="B2056" s="0" t="n">
        <v>8</v>
      </c>
      <c r="C2056" s="0" t="n">
        <v>6334</v>
      </c>
      <c r="E2056" s="0" t="n">
        <v>0</v>
      </c>
      <c r="F2056" s="39" t="s">
        <v>1130</v>
      </c>
      <c r="I2056" s="39" t="s">
        <v>109</v>
      </c>
      <c r="L2056" s="0" t="n">
        <v>188</v>
      </c>
      <c r="U2056" s="0" t="n">
        <v>596</v>
      </c>
      <c r="V2056" s="0" t="n">
        <v>1</v>
      </c>
      <c r="W2056" s="39" t="n">
        <f aca="false">IF(I2056="Male",0,1)</f>
        <v>1</v>
      </c>
      <c r="X2056" s="39" t="n">
        <f aca="false">IF(OR(I2056="DNB",I2056="Dry DNB"),1,0)</f>
        <v>0</v>
      </c>
      <c r="Y2056" s="39" t="n">
        <f aca="false">MATCH(A2056,DATAS,0)</f>
        <v>1</v>
      </c>
      <c r="Z2056" s="39" t="n">
        <f aca="false">IF(AND(E2056&gt;0,OR(AND(B2056&gt;=1,B2056&lt;=6),B2056=10)),1,0)</f>
        <v>0</v>
      </c>
      <c r="AA2056" s="39" t="n">
        <f aca="false">IF(AND(E2056&gt;0,B2056=10),1,0)</f>
        <v>0</v>
      </c>
      <c r="AB2056" s="0" t="str">
        <f aca="false">IF(AND(C2055=C2056,Y2055=Y2056-1),Z2055,"")</f>
        <v/>
      </c>
      <c r="AC2056" s="0" t="str">
        <f aca="false">IF(AND(C2055=C2056,Y2055=Y2056-1),AA2055,"")</f>
        <v/>
      </c>
      <c r="AD2056" s="0" t="str">
        <f aca="false">IF(Y2056=1,"",IF(AND(Z2056=1,AB2056&lt;&gt;1),1,0))</f>
        <v/>
      </c>
      <c r="AE2056" s="0" t="str">
        <f aca="false">IF(Y2056=1,"",IF(AND(AA2056=1,AC2056&lt;&gt;1),1,0))</f>
        <v/>
      </c>
      <c r="AF2056" s="45" t="str">
        <f aca="false">IF(AND(E2056&gt;0,Y2056&lt;1,NOT(AND(C2057=C2056,Y2057=Y2056+1))),INDEX(DATAS,Y2056+1),"")</f>
        <v/>
      </c>
      <c r="AG2056" s="45" t="str">
        <f aca="false">IF(AND(AA2056=1,Y2056&lt;1),IF(AND(C2057=C2056,Y2057=Y2056+1),IF(AA2057=1,"",INDEX(DATAS,Y2056+1)),INDEX(DATAS,Y2056+1)),"")</f>
        <v/>
      </c>
    </row>
    <row r="2057" customFormat="false" ht="15" hidden="false" customHeight="false" outlineLevel="0" collapsed="false">
      <c r="A2057" s="45" t="n">
        <v>46309</v>
      </c>
      <c r="B2057" s="0" t="n">
        <v>8</v>
      </c>
      <c r="C2057" s="0" t="n">
        <v>6335</v>
      </c>
      <c r="E2057" s="0" t="n">
        <v>0</v>
      </c>
      <c r="F2057" s="39" t="s">
        <v>1131</v>
      </c>
      <c r="I2057" s="39" t="s">
        <v>109</v>
      </c>
      <c r="L2057" s="0" t="n">
        <v>198</v>
      </c>
      <c r="U2057" s="0" t="n">
        <v>595</v>
      </c>
      <c r="V2057" s="0" t="n">
        <v>1</v>
      </c>
      <c r="W2057" s="39" t="n">
        <f aca="false">IF(I2057="Male",0,1)</f>
        <v>1</v>
      </c>
      <c r="X2057" s="39" t="n">
        <f aca="false">IF(OR(I2057="DNB",I2057="Dry DNB"),1,0)</f>
        <v>0</v>
      </c>
      <c r="Y2057" s="39" t="n">
        <f aca="false">MATCH(A2057,DATAS,0)</f>
        <v>1</v>
      </c>
      <c r="Z2057" s="39" t="n">
        <f aca="false">IF(AND(E2057&gt;0,OR(AND(B2057&gt;=1,B2057&lt;=6),B2057=10)),1,0)</f>
        <v>0</v>
      </c>
      <c r="AA2057" s="39" t="n">
        <f aca="false">IF(AND(E2057&gt;0,B2057=10),1,0)</f>
        <v>0</v>
      </c>
      <c r="AB2057" s="0" t="str">
        <f aca="false">IF(AND(C2056=C2057,Y2056=Y2057-1),Z2056,"")</f>
        <v/>
      </c>
      <c r="AC2057" s="0" t="str">
        <f aca="false">IF(AND(C2056=C2057,Y2056=Y2057-1),AA2056,"")</f>
        <v/>
      </c>
      <c r="AD2057" s="0" t="str">
        <f aca="false">IF(Y2057=1,"",IF(AND(Z2057=1,AB2057&lt;&gt;1),1,0))</f>
        <v/>
      </c>
      <c r="AE2057" s="0" t="str">
        <f aca="false">IF(Y2057=1,"",IF(AND(AA2057=1,AC2057&lt;&gt;1),1,0))</f>
        <v/>
      </c>
      <c r="AF2057" s="45" t="str">
        <f aca="false">IF(AND(E2057&gt;0,Y2057&lt;1,NOT(AND(C2058=C2057,Y2058=Y2057+1))),INDEX(DATAS,Y2057+1),"")</f>
        <v/>
      </c>
      <c r="AG2057" s="45" t="str">
        <f aca="false">IF(AND(AA2057=1,Y2057&lt;1),IF(AND(C2058=C2057,Y2058=Y2057+1),IF(AA2058=1,"",INDEX(DATAS,Y2057+1)),INDEX(DATAS,Y2057+1)),"")</f>
        <v/>
      </c>
    </row>
    <row r="2058" customFormat="false" ht="15" hidden="false" customHeight="false" outlineLevel="0" collapsed="false">
      <c r="A2058" s="45" t="n">
        <v>46309</v>
      </c>
      <c r="B2058" s="0" t="n">
        <v>8</v>
      </c>
      <c r="C2058" s="0" t="n">
        <v>6336</v>
      </c>
      <c r="E2058" s="0" t="n">
        <v>0</v>
      </c>
      <c r="F2058" s="39" t="s">
        <v>1131</v>
      </c>
      <c r="I2058" s="39" t="s">
        <v>109</v>
      </c>
      <c r="L2058" s="0" t="n">
        <v>197</v>
      </c>
      <c r="U2058" s="0" t="n">
        <v>595</v>
      </c>
      <c r="V2058" s="0" t="n">
        <v>1</v>
      </c>
      <c r="W2058" s="39" t="n">
        <f aca="false">IF(I2058="Male",0,1)</f>
        <v>1</v>
      </c>
      <c r="X2058" s="39" t="n">
        <f aca="false">IF(OR(I2058="DNB",I2058="Dry DNB"),1,0)</f>
        <v>0</v>
      </c>
      <c r="Y2058" s="39" t="n">
        <f aca="false">MATCH(A2058,DATAS,0)</f>
        <v>1</v>
      </c>
      <c r="Z2058" s="39" t="n">
        <f aca="false">IF(AND(E2058&gt;0,OR(AND(B2058&gt;=1,B2058&lt;=6),B2058=10)),1,0)</f>
        <v>0</v>
      </c>
      <c r="AA2058" s="39" t="n">
        <f aca="false">IF(AND(E2058&gt;0,B2058=10),1,0)</f>
        <v>0</v>
      </c>
      <c r="AB2058" s="0" t="str">
        <f aca="false">IF(AND(C2057=C2058,Y2057=Y2058-1),Z2057,"")</f>
        <v/>
      </c>
      <c r="AC2058" s="0" t="str">
        <f aca="false">IF(AND(C2057=C2058,Y2057=Y2058-1),AA2057,"")</f>
        <v/>
      </c>
      <c r="AD2058" s="0" t="str">
        <f aca="false">IF(Y2058=1,"",IF(AND(Z2058=1,AB2058&lt;&gt;1),1,0))</f>
        <v/>
      </c>
      <c r="AE2058" s="0" t="str">
        <f aca="false">IF(Y2058=1,"",IF(AND(AA2058=1,AC2058&lt;&gt;1),1,0))</f>
        <v/>
      </c>
      <c r="AF2058" s="45" t="str">
        <f aca="false">IF(AND(E2058&gt;0,Y2058&lt;1,NOT(AND(C2059=C2058,Y2059=Y2058+1))),INDEX(DATAS,Y2058+1),"")</f>
        <v/>
      </c>
      <c r="AG2058" s="45" t="str">
        <f aca="false">IF(AND(AA2058=1,Y2058&lt;1),IF(AND(C2059=C2058,Y2059=Y2058+1),IF(AA2059=1,"",INDEX(DATAS,Y2058+1)),INDEX(DATAS,Y2058+1)),"")</f>
        <v/>
      </c>
    </row>
    <row r="2059" customFormat="false" ht="15" hidden="false" customHeight="false" outlineLevel="0" collapsed="false">
      <c r="A2059" s="45" t="n">
        <v>46309</v>
      </c>
      <c r="B2059" s="0" t="n">
        <v>8</v>
      </c>
      <c r="C2059" s="0" t="n">
        <v>6337</v>
      </c>
      <c r="E2059" s="0" t="n">
        <v>0</v>
      </c>
      <c r="F2059" s="39" t="s">
        <v>1131</v>
      </c>
      <c r="I2059" s="39" t="s">
        <v>109</v>
      </c>
      <c r="L2059" s="0" t="n">
        <v>197</v>
      </c>
      <c r="U2059" s="0" t="n">
        <v>595</v>
      </c>
      <c r="V2059" s="0" t="n">
        <v>1</v>
      </c>
      <c r="W2059" s="39" t="n">
        <f aca="false">IF(I2059="Male",0,1)</f>
        <v>1</v>
      </c>
      <c r="X2059" s="39" t="n">
        <f aca="false">IF(OR(I2059="DNB",I2059="Dry DNB"),1,0)</f>
        <v>0</v>
      </c>
      <c r="Y2059" s="39" t="n">
        <f aca="false">MATCH(A2059,DATAS,0)</f>
        <v>1</v>
      </c>
      <c r="Z2059" s="39" t="n">
        <f aca="false">IF(AND(E2059&gt;0,OR(AND(B2059&gt;=1,B2059&lt;=6),B2059=10)),1,0)</f>
        <v>0</v>
      </c>
      <c r="AA2059" s="39" t="n">
        <f aca="false">IF(AND(E2059&gt;0,B2059=10),1,0)</f>
        <v>0</v>
      </c>
      <c r="AB2059" s="0" t="str">
        <f aca="false">IF(AND(C2058=C2059,Y2058=Y2059-1),Z2058,"")</f>
        <v/>
      </c>
      <c r="AC2059" s="0" t="str">
        <f aca="false">IF(AND(C2058=C2059,Y2058=Y2059-1),AA2058,"")</f>
        <v/>
      </c>
      <c r="AD2059" s="0" t="str">
        <f aca="false">IF(Y2059=1,"",IF(AND(Z2059=1,AB2059&lt;&gt;1),1,0))</f>
        <v/>
      </c>
      <c r="AE2059" s="0" t="str">
        <f aca="false">IF(Y2059=1,"",IF(AND(AA2059=1,AC2059&lt;&gt;1),1,0))</f>
        <v/>
      </c>
      <c r="AF2059" s="45" t="str">
        <f aca="false">IF(AND(E2059&gt;0,Y2059&lt;1,NOT(AND(C2060=C2059,Y2060=Y2059+1))),INDEX(DATAS,Y2059+1),"")</f>
        <v/>
      </c>
      <c r="AG2059" s="45" t="str">
        <f aca="false">IF(AND(AA2059=1,Y2059&lt;1),IF(AND(C2060=C2059,Y2060=Y2059+1),IF(AA2060=1,"",INDEX(DATAS,Y2059+1)),INDEX(DATAS,Y2059+1)),"")</f>
        <v/>
      </c>
    </row>
    <row r="2060" customFormat="false" ht="15" hidden="false" customHeight="false" outlineLevel="0" collapsed="false">
      <c r="A2060" s="45" t="n">
        <v>46309</v>
      </c>
      <c r="B2060" s="0" t="n">
        <v>8</v>
      </c>
      <c r="C2060" s="0" t="n">
        <v>6338</v>
      </c>
      <c r="E2060" s="0" t="n">
        <v>0</v>
      </c>
      <c r="F2060" s="39" t="s">
        <v>1131</v>
      </c>
      <c r="I2060" s="39" t="s">
        <v>109</v>
      </c>
      <c r="L2060" s="0" t="n">
        <v>197</v>
      </c>
      <c r="U2060" s="0" t="n">
        <v>595</v>
      </c>
      <c r="V2060" s="0" t="n">
        <v>1</v>
      </c>
      <c r="W2060" s="39" t="n">
        <f aca="false">IF(I2060="Male",0,1)</f>
        <v>1</v>
      </c>
      <c r="X2060" s="39" t="n">
        <f aca="false">IF(OR(I2060="DNB",I2060="Dry DNB"),1,0)</f>
        <v>0</v>
      </c>
      <c r="Y2060" s="39" t="n">
        <f aca="false">MATCH(A2060,DATAS,0)</f>
        <v>1</v>
      </c>
      <c r="Z2060" s="39" t="n">
        <f aca="false">IF(AND(E2060&gt;0,OR(AND(B2060&gt;=1,B2060&lt;=6),B2060=10)),1,0)</f>
        <v>0</v>
      </c>
      <c r="AA2060" s="39" t="n">
        <f aca="false">IF(AND(E2060&gt;0,B2060=10),1,0)</f>
        <v>0</v>
      </c>
      <c r="AB2060" s="0" t="str">
        <f aca="false">IF(AND(C2059=C2060,Y2059=Y2060-1),Z2059,"")</f>
        <v/>
      </c>
      <c r="AC2060" s="0" t="str">
        <f aca="false">IF(AND(C2059=C2060,Y2059=Y2060-1),AA2059,"")</f>
        <v/>
      </c>
      <c r="AD2060" s="0" t="str">
        <f aca="false">IF(Y2060=1,"",IF(AND(Z2060=1,AB2060&lt;&gt;1),1,0))</f>
        <v/>
      </c>
      <c r="AE2060" s="0" t="str">
        <f aca="false">IF(Y2060=1,"",IF(AND(AA2060=1,AC2060&lt;&gt;1),1,0))</f>
        <v/>
      </c>
      <c r="AF2060" s="45" t="str">
        <f aca="false">IF(AND(E2060&gt;0,Y2060&lt;1,NOT(AND(C2061=C2060,Y2061=Y2060+1))),INDEX(DATAS,Y2060+1),"")</f>
        <v/>
      </c>
      <c r="AG2060" s="45" t="str">
        <f aca="false">IF(AND(AA2060=1,Y2060&lt;1),IF(AND(C2061=C2060,Y2061=Y2060+1),IF(AA2061=1,"",INDEX(DATAS,Y2060+1)),INDEX(DATAS,Y2060+1)),"")</f>
        <v/>
      </c>
    </row>
    <row r="2061" customFormat="false" ht="15" hidden="false" customHeight="false" outlineLevel="0" collapsed="false">
      <c r="A2061" s="45" t="n">
        <v>46309</v>
      </c>
      <c r="B2061" s="0" t="n">
        <v>8</v>
      </c>
      <c r="C2061" s="0" t="n">
        <v>6339</v>
      </c>
      <c r="E2061" s="0" t="n">
        <v>0</v>
      </c>
      <c r="F2061" s="39" t="s">
        <v>1132</v>
      </c>
      <c r="I2061" s="39" t="s">
        <v>109</v>
      </c>
      <c r="L2061" s="0" t="n">
        <v>176</v>
      </c>
      <c r="U2061" s="0" t="n">
        <v>594</v>
      </c>
      <c r="V2061" s="0" t="n">
        <v>2</v>
      </c>
      <c r="W2061" s="39" t="n">
        <f aca="false">IF(I2061="Male",0,1)</f>
        <v>1</v>
      </c>
      <c r="X2061" s="39" t="n">
        <f aca="false">IF(OR(I2061="DNB",I2061="Dry DNB"),1,0)</f>
        <v>0</v>
      </c>
      <c r="Y2061" s="39" t="n">
        <f aca="false">MATCH(A2061,DATAS,0)</f>
        <v>1</v>
      </c>
      <c r="Z2061" s="39" t="n">
        <f aca="false">IF(AND(E2061&gt;0,OR(AND(B2061&gt;=1,B2061&lt;=6),B2061=10)),1,0)</f>
        <v>0</v>
      </c>
      <c r="AA2061" s="39" t="n">
        <f aca="false">IF(AND(E2061&gt;0,B2061=10),1,0)</f>
        <v>0</v>
      </c>
      <c r="AB2061" s="0" t="str">
        <f aca="false">IF(AND(C2060=C2061,Y2060=Y2061-1),Z2060,"")</f>
        <v/>
      </c>
      <c r="AC2061" s="0" t="str">
        <f aca="false">IF(AND(C2060=C2061,Y2060=Y2061-1),AA2060,"")</f>
        <v/>
      </c>
      <c r="AD2061" s="0" t="str">
        <f aca="false">IF(Y2061=1,"",IF(AND(Z2061=1,AB2061&lt;&gt;1),1,0))</f>
        <v/>
      </c>
      <c r="AE2061" s="0" t="str">
        <f aca="false">IF(Y2061=1,"",IF(AND(AA2061=1,AC2061&lt;&gt;1),1,0))</f>
        <v/>
      </c>
      <c r="AF2061" s="45" t="str">
        <f aca="false">IF(AND(E2061&gt;0,Y2061&lt;1,NOT(AND(C2062=C2061,Y2062=Y2061+1))),INDEX(DATAS,Y2061+1),"")</f>
        <v/>
      </c>
      <c r="AG2061" s="45" t="str">
        <f aca="false">IF(AND(AA2061=1,Y2061&lt;1),IF(AND(C2062=C2061,Y2062=Y2061+1),IF(AA2062=1,"",INDEX(DATAS,Y2061+1)),INDEX(DATAS,Y2061+1)),"")</f>
        <v/>
      </c>
    </row>
    <row r="2062" customFormat="false" ht="15" hidden="false" customHeight="false" outlineLevel="0" collapsed="false">
      <c r="A2062" s="45" t="n">
        <v>46309</v>
      </c>
      <c r="B2062" s="0" t="n">
        <v>8</v>
      </c>
      <c r="C2062" s="0" t="n">
        <v>6340</v>
      </c>
      <c r="E2062" s="0" t="n">
        <v>0</v>
      </c>
      <c r="F2062" s="39" t="s">
        <v>1132</v>
      </c>
      <c r="I2062" s="39" t="s">
        <v>109</v>
      </c>
      <c r="L2062" s="0" t="n">
        <v>62</v>
      </c>
      <c r="U2062" s="0" t="n">
        <v>594</v>
      </c>
      <c r="V2062" s="0" t="n">
        <v>4</v>
      </c>
      <c r="W2062" s="39" t="n">
        <f aca="false">IF(I2062="Male",0,1)</f>
        <v>1</v>
      </c>
      <c r="X2062" s="39" t="n">
        <f aca="false">IF(OR(I2062="DNB",I2062="Dry DNB"),1,0)</f>
        <v>0</v>
      </c>
      <c r="Y2062" s="39" t="n">
        <f aca="false">MATCH(A2062,DATAS,0)</f>
        <v>1</v>
      </c>
      <c r="Z2062" s="39" t="n">
        <f aca="false">IF(AND(E2062&gt;0,OR(AND(B2062&gt;=1,B2062&lt;=6),B2062=10)),1,0)</f>
        <v>0</v>
      </c>
      <c r="AA2062" s="39" t="n">
        <f aca="false">IF(AND(E2062&gt;0,B2062=10),1,0)</f>
        <v>0</v>
      </c>
      <c r="AB2062" s="0" t="str">
        <f aca="false">IF(AND(C2061=C2062,Y2061=Y2062-1),Z2061,"")</f>
        <v/>
      </c>
      <c r="AC2062" s="0" t="str">
        <f aca="false">IF(AND(C2061=C2062,Y2061=Y2062-1),AA2061,"")</f>
        <v/>
      </c>
      <c r="AD2062" s="0" t="str">
        <f aca="false">IF(Y2062=1,"",IF(AND(Z2062=1,AB2062&lt;&gt;1),1,0))</f>
        <v/>
      </c>
      <c r="AE2062" s="0" t="str">
        <f aca="false">IF(Y2062=1,"",IF(AND(AA2062=1,AC2062&lt;&gt;1),1,0))</f>
        <v/>
      </c>
      <c r="AF2062" s="45" t="str">
        <f aca="false">IF(AND(E2062&gt;0,Y2062&lt;1,NOT(AND(C2063=C2062,Y2063=Y2062+1))),INDEX(DATAS,Y2062+1),"")</f>
        <v/>
      </c>
      <c r="AG2062" s="45" t="str">
        <f aca="false">IF(AND(AA2062=1,Y2062&lt;1),IF(AND(C2063=C2062,Y2063=Y2062+1),IF(AA2063=1,"",INDEX(DATAS,Y2062+1)),INDEX(DATAS,Y2062+1)),"")</f>
        <v/>
      </c>
    </row>
    <row r="2063" customFormat="false" ht="15" hidden="false" customHeight="false" outlineLevel="0" collapsed="false">
      <c r="A2063" s="45" t="n">
        <v>46309</v>
      </c>
      <c r="B2063" s="0" t="n">
        <v>8</v>
      </c>
      <c r="C2063" s="0" t="n">
        <v>6341</v>
      </c>
      <c r="E2063" s="0" t="n">
        <v>0</v>
      </c>
      <c r="F2063" s="39" t="s">
        <v>1132</v>
      </c>
      <c r="I2063" s="39" t="s">
        <v>109</v>
      </c>
      <c r="L2063" s="0" t="n">
        <v>202</v>
      </c>
      <c r="U2063" s="0" t="n">
        <v>594</v>
      </c>
      <c r="V2063" s="0" t="n">
        <v>1</v>
      </c>
      <c r="W2063" s="39" t="n">
        <f aca="false">IF(I2063="Male",0,1)</f>
        <v>1</v>
      </c>
      <c r="X2063" s="39" t="n">
        <f aca="false">IF(OR(I2063="DNB",I2063="Dry DNB"),1,0)</f>
        <v>0</v>
      </c>
      <c r="Y2063" s="39" t="n">
        <f aca="false">MATCH(A2063,DATAS,0)</f>
        <v>1</v>
      </c>
      <c r="Z2063" s="39" t="n">
        <f aca="false">IF(AND(E2063&gt;0,OR(AND(B2063&gt;=1,B2063&lt;=6),B2063=10)),1,0)</f>
        <v>0</v>
      </c>
      <c r="AA2063" s="39" t="n">
        <f aca="false">IF(AND(E2063&gt;0,B2063=10),1,0)</f>
        <v>0</v>
      </c>
      <c r="AB2063" s="0" t="str">
        <f aca="false">IF(AND(C2062=C2063,Y2062=Y2063-1),Z2062,"")</f>
        <v/>
      </c>
      <c r="AC2063" s="0" t="str">
        <f aca="false">IF(AND(C2062=C2063,Y2062=Y2063-1),AA2062,"")</f>
        <v/>
      </c>
      <c r="AD2063" s="0" t="str">
        <f aca="false">IF(Y2063=1,"",IF(AND(Z2063=1,AB2063&lt;&gt;1),1,0))</f>
        <v/>
      </c>
      <c r="AE2063" s="0" t="str">
        <f aca="false">IF(Y2063=1,"",IF(AND(AA2063=1,AC2063&lt;&gt;1),1,0))</f>
        <v/>
      </c>
      <c r="AF2063" s="45" t="str">
        <f aca="false">IF(AND(E2063&gt;0,Y2063&lt;1,NOT(AND(C2064=C2063,Y2064=Y2063+1))),INDEX(DATAS,Y2063+1),"")</f>
        <v/>
      </c>
      <c r="AG2063" s="45" t="str">
        <f aca="false">IF(AND(AA2063=1,Y2063&lt;1),IF(AND(C2064=C2063,Y2064=Y2063+1),IF(AA2064=1,"",INDEX(DATAS,Y2063+1)),INDEX(DATAS,Y2063+1)),"")</f>
        <v/>
      </c>
    </row>
    <row r="2064" customFormat="false" ht="15" hidden="false" customHeight="false" outlineLevel="0" collapsed="false">
      <c r="A2064" s="45" t="n">
        <v>46309</v>
      </c>
      <c r="B2064" s="0" t="n">
        <v>8</v>
      </c>
      <c r="C2064" s="0" t="n">
        <v>6342</v>
      </c>
      <c r="E2064" s="0" t="n">
        <v>0</v>
      </c>
      <c r="F2064" s="39" t="s">
        <v>1133</v>
      </c>
      <c r="I2064" s="39" t="s">
        <v>109</v>
      </c>
      <c r="L2064" s="0" t="n">
        <v>83</v>
      </c>
      <c r="U2064" s="0" t="n">
        <v>593</v>
      </c>
      <c r="V2064" s="0" t="n">
        <v>4</v>
      </c>
      <c r="W2064" s="39" t="n">
        <f aca="false">IF(I2064="Male",0,1)</f>
        <v>1</v>
      </c>
      <c r="X2064" s="39" t="n">
        <f aca="false">IF(OR(I2064="DNB",I2064="Dry DNB"),1,0)</f>
        <v>0</v>
      </c>
      <c r="Y2064" s="39" t="n">
        <f aca="false">MATCH(A2064,DATAS,0)</f>
        <v>1</v>
      </c>
      <c r="Z2064" s="39" t="n">
        <f aca="false">IF(AND(E2064&gt;0,OR(AND(B2064&gt;=1,B2064&lt;=6),B2064=10)),1,0)</f>
        <v>0</v>
      </c>
      <c r="AA2064" s="39" t="n">
        <f aca="false">IF(AND(E2064&gt;0,B2064=10),1,0)</f>
        <v>0</v>
      </c>
      <c r="AB2064" s="0" t="str">
        <f aca="false">IF(AND(C2063=C2064,Y2063=Y2064-1),Z2063,"")</f>
        <v/>
      </c>
      <c r="AC2064" s="0" t="str">
        <f aca="false">IF(AND(C2063=C2064,Y2063=Y2064-1),AA2063,"")</f>
        <v/>
      </c>
      <c r="AD2064" s="0" t="str">
        <f aca="false">IF(Y2064=1,"",IF(AND(Z2064=1,AB2064&lt;&gt;1),1,0))</f>
        <v/>
      </c>
      <c r="AE2064" s="0" t="str">
        <f aca="false">IF(Y2064=1,"",IF(AND(AA2064=1,AC2064&lt;&gt;1),1,0))</f>
        <v/>
      </c>
      <c r="AF2064" s="45" t="str">
        <f aca="false">IF(AND(E2064&gt;0,Y2064&lt;1,NOT(AND(C2065=C2064,Y2065=Y2064+1))),INDEX(DATAS,Y2064+1),"")</f>
        <v/>
      </c>
      <c r="AG2064" s="45" t="str">
        <f aca="false">IF(AND(AA2064=1,Y2064&lt;1),IF(AND(C2065=C2064,Y2065=Y2064+1),IF(AA2065=1,"",INDEX(DATAS,Y2064+1)),INDEX(DATAS,Y2064+1)),"")</f>
        <v/>
      </c>
    </row>
    <row r="2065" customFormat="false" ht="15" hidden="false" customHeight="false" outlineLevel="0" collapsed="false">
      <c r="A2065" s="45" t="n">
        <v>46309</v>
      </c>
      <c r="B2065" s="0" t="n">
        <v>8</v>
      </c>
      <c r="C2065" s="0" t="n">
        <v>6343</v>
      </c>
      <c r="E2065" s="0" t="n">
        <v>0</v>
      </c>
      <c r="F2065" s="39" t="s">
        <v>1133</v>
      </c>
      <c r="I2065" s="39" t="s">
        <v>109</v>
      </c>
      <c r="L2065" s="0" t="n">
        <v>150</v>
      </c>
      <c r="U2065" s="0" t="n">
        <v>593</v>
      </c>
      <c r="V2065" s="0" t="n">
        <v>2</v>
      </c>
      <c r="W2065" s="39" t="n">
        <f aca="false">IF(I2065="Male",0,1)</f>
        <v>1</v>
      </c>
      <c r="X2065" s="39" t="n">
        <f aca="false">IF(OR(I2065="DNB",I2065="Dry DNB"),1,0)</f>
        <v>0</v>
      </c>
      <c r="Y2065" s="39" t="n">
        <f aca="false">MATCH(A2065,DATAS,0)</f>
        <v>1</v>
      </c>
      <c r="Z2065" s="39" t="n">
        <f aca="false">IF(AND(E2065&gt;0,OR(AND(B2065&gt;=1,B2065&lt;=6),B2065=10)),1,0)</f>
        <v>0</v>
      </c>
      <c r="AA2065" s="39" t="n">
        <f aca="false">IF(AND(E2065&gt;0,B2065=10),1,0)</f>
        <v>0</v>
      </c>
      <c r="AB2065" s="0" t="str">
        <f aca="false">IF(AND(C2064=C2065,Y2064=Y2065-1),Z2064,"")</f>
        <v/>
      </c>
      <c r="AC2065" s="0" t="str">
        <f aca="false">IF(AND(C2064=C2065,Y2064=Y2065-1),AA2064,"")</f>
        <v/>
      </c>
      <c r="AD2065" s="0" t="str">
        <f aca="false">IF(Y2065=1,"",IF(AND(Z2065=1,AB2065&lt;&gt;1),1,0))</f>
        <v/>
      </c>
      <c r="AE2065" s="0" t="str">
        <f aca="false">IF(Y2065=1,"",IF(AND(AA2065=1,AC2065&lt;&gt;1),1,0))</f>
        <v/>
      </c>
      <c r="AF2065" s="45" t="str">
        <f aca="false">IF(AND(E2065&gt;0,Y2065&lt;1,NOT(AND(C2066=C2065,Y2066=Y2065+1))),INDEX(DATAS,Y2065+1),"")</f>
        <v/>
      </c>
      <c r="AG2065" s="45" t="str">
        <f aca="false">IF(AND(AA2065=1,Y2065&lt;1),IF(AND(C2066=C2065,Y2066=Y2065+1),IF(AA2066=1,"",INDEX(DATAS,Y2065+1)),INDEX(DATAS,Y2065+1)),"")</f>
        <v/>
      </c>
    </row>
    <row r="2066" customFormat="false" ht="15" hidden="false" customHeight="false" outlineLevel="0" collapsed="false">
      <c r="A2066" s="45" t="n">
        <v>46309</v>
      </c>
      <c r="B2066" s="0" t="n">
        <v>8</v>
      </c>
      <c r="C2066" s="0" t="n">
        <v>6344</v>
      </c>
      <c r="E2066" s="0" t="n">
        <v>0</v>
      </c>
      <c r="F2066" s="39" t="s">
        <v>1133</v>
      </c>
      <c r="I2066" s="39" t="s">
        <v>109</v>
      </c>
      <c r="L2066" s="0" t="n">
        <v>182</v>
      </c>
      <c r="U2066" s="0" t="n">
        <v>593</v>
      </c>
      <c r="V2066" s="0" t="n">
        <v>1</v>
      </c>
      <c r="W2066" s="39" t="n">
        <f aca="false">IF(I2066="Male",0,1)</f>
        <v>1</v>
      </c>
      <c r="X2066" s="39" t="n">
        <f aca="false">IF(OR(I2066="DNB",I2066="Dry DNB"),1,0)</f>
        <v>0</v>
      </c>
      <c r="Y2066" s="39" t="n">
        <f aca="false">MATCH(A2066,DATAS,0)</f>
        <v>1</v>
      </c>
      <c r="Z2066" s="39" t="n">
        <f aca="false">IF(AND(E2066&gt;0,OR(AND(B2066&gt;=1,B2066&lt;=6),B2066=10)),1,0)</f>
        <v>0</v>
      </c>
      <c r="AA2066" s="39" t="n">
        <f aca="false">IF(AND(E2066&gt;0,B2066=10),1,0)</f>
        <v>0</v>
      </c>
      <c r="AB2066" s="0" t="str">
        <f aca="false">IF(AND(C2065=C2066,Y2065=Y2066-1),Z2065,"")</f>
        <v/>
      </c>
      <c r="AC2066" s="0" t="str">
        <f aca="false">IF(AND(C2065=C2066,Y2065=Y2066-1),AA2065,"")</f>
        <v/>
      </c>
      <c r="AD2066" s="0" t="str">
        <f aca="false">IF(Y2066=1,"",IF(AND(Z2066=1,AB2066&lt;&gt;1),1,0))</f>
        <v/>
      </c>
      <c r="AE2066" s="0" t="str">
        <f aca="false">IF(Y2066=1,"",IF(AND(AA2066=1,AC2066&lt;&gt;1),1,0))</f>
        <v/>
      </c>
      <c r="AF2066" s="45" t="str">
        <f aca="false">IF(AND(E2066&gt;0,Y2066&lt;1,NOT(AND(C2067=C2066,Y2067=Y2066+1))),INDEX(DATAS,Y2066+1),"")</f>
        <v/>
      </c>
      <c r="AG2066" s="45" t="str">
        <f aca="false">IF(AND(AA2066=1,Y2066&lt;1),IF(AND(C2067=C2066,Y2067=Y2066+1),IF(AA2067=1,"",INDEX(DATAS,Y2066+1)),INDEX(DATAS,Y2066+1)),"")</f>
        <v/>
      </c>
    </row>
    <row r="2067" customFormat="false" ht="15" hidden="false" customHeight="false" outlineLevel="0" collapsed="false">
      <c r="A2067" s="45" t="n">
        <v>46309</v>
      </c>
      <c r="B2067" s="0" t="n">
        <v>8</v>
      </c>
      <c r="C2067" s="0" t="n">
        <v>6345</v>
      </c>
      <c r="E2067" s="0" t="n">
        <v>0</v>
      </c>
      <c r="F2067" s="39" t="s">
        <v>1134</v>
      </c>
      <c r="I2067" s="39" t="s">
        <v>109</v>
      </c>
      <c r="L2067" s="0" t="n">
        <v>192</v>
      </c>
      <c r="U2067" s="0" t="n">
        <v>592</v>
      </c>
      <c r="V2067" s="0" t="n">
        <v>1</v>
      </c>
      <c r="W2067" s="39" t="n">
        <f aca="false">IF(I2067="Male",0,1)</f>
        <v>1</v>
      </c>
      <c r="X2067" s="39" t="n">
        <f aca="false">IF(OR(I2067="DNB",I2067="Dry DNB"),1,0)</f>
        <v>0</v>
      </c>
      <c r="Y2067" s="39" t="n">
        <f aca="false">MATCH(A2067,DATAS,0)</f>
        <v>1</v>
      </c>
      <c r="Z2067" s="39" t="n">
        <f aca="false">IF(AND(E2067&gt;0,OR(AND(B2067&gt;=1,B2067&lt;=6),B2067=10)),1,0)</f>
        <v>0</v>
      </c>
      <c r="AA2067" s="39" t="n">
        <f aca="false">IF(AND(E2067&gt;0,B2067=10),1,0)</f>
        <v>0</v>
      </c>
      <c r="AB2067" s="0" t="str">
        <f aca="false">IF(AND(C2066=C2067,Y2066=Y2067-1),Z2066,"")</f>
        <v/>
      </c>
      <c r="AC2067" s="0" t="str">
        <f aca="false">IF(AND(C2066=C2067,Y2066=Y2067-1),AA2066,"")</f>
        <v/>
      </c>
      <c r="AD2067" s="0" t="str">
        <f aca="false">IF(Y2067=1,"",IF(AND(Z2067=1,AB2067&lt;&gt;1),1,0))</f>
        <v/>
      </c>
      <c r="AE2067" s="0" t="str">
        <f aca="false">IF(Y2067=1,"",IF(AND(AA2067=1,AC2067&lt;&gt;1),1,0))</f>
        <v/>
      </c>
      <c r="AF2067" s="45" t="str">
        <f aca="false">IF(AND(E2067&gt;0,Y2067&lt;1,NOT(AND(C2068=C2067,Y2068=Y2067+1))),INDEX(DATAS,Y2067+1),"")</f>
        <v/>
      </c>
      <c r="AG2067" s="45" t="str">
        <f aca="false">IF(AND(AA2067=1,Y2067&lt;1),IF(AND(C2068=C2067,Y2068=Y2067+1),IF(AA2068=1,"",INDEX(DATAS,Y2067+1)),INDEX(DATAS,Y2067+1)),"")</f>
        <v/>
      </c>
    </row>
    <row r="2068" customFormat="false" ht="15" hidden="false" customHeight="false" outlineLevel="0" collapsed="false">
      <c r="A2068" s="45" t="n">
        <v>46309</v>
      </c>
      <c r="B2068" s="0" t="n">
        <v>8</v>
      </c>
      <c r="C2068" s="0" t="n">
        <v>6346</v>
      </c>
      <c r="E2068" s="0" t="n">
        <v>0</v>
      </c>
      <c r="F2068" s="39" t="s">
        <v>1135</v>
      </c>
      <c r="I2068" s="39" t="s">
        <v>109</v>
      </c>
      <c r="L2068" s="0" t="n">
        <v>177</v>
      </c>
      <c r="U2068" s="0" t="n">
        <v>590</v>
      </c>
      <c r="V2068" s="0" t="n">
        <v>2</v>
      </c>
      <c r="W2068" s="39" t="n">
        <f aca="false">IF(I2068="Male",0,1)</f>
        <v>1</v>
      </c>
      <c r="X2068" s="39" t="n">
        <f aca="false">IF(OR(I2068="DNB",I2068="Dry DNB"),1,0)</f>
        <v>0</v>
      </c>
      <c r="Y2068" s="39" t="n">
        <f aca="false">MATCH(A2068,DATAS,0)</f>
        <v>1</v>
      </c>
      <c r="Z2068" s="39" t="n">
        <f aca="false">IF(AND(E2068&gt;0,OR(AND(B2068&gt;=1,B2068&lt;=6),B2068=10)),1,0)</f>
        <v>0</v>
      </c>
      <c r="AA2068" s="39" t="n">
        <f aca="false">IF(AND(E2068&gt;0,B2068=10),1,0)</f>
        <v>0</v>
      </c>
      <c r="AB2068" s="0" t="str">
        <f aca="false">IF(AND(C2067=C2068,Y2067=Y2068-1),Z2067,"")</f>
        <v/>
      </c>
      <c r="AC2068" s="0" t="str">
        <f aca="false">IF(AND(C2067=C2068,Y2067=Y2068-1),AA2067,"")</f>
        <v/>
      </c>
      <c r="AD2068" s="0" t="str">
        <f aca="false">IF(Y2068=1,"",IF(AND(Z2068=1,AB2068&lt;&gt;1),1,0))</f>
        <v/>
      </c>
      <c r="AE2068" s="0" t="str">
        <f aca="false">IF(Y2068=1,"",IF(AND(AA2068=1,AC2068&lt;&gt;1),1,0))</f>
        <v/>
      </c>
      <c r="AF2068" s="45" t="str">
        <f aca="false">IF(AND(E2068&gt;0,Y2068&lt;1,NOT(AND(C2069=C2068,Y2069=Y2068+1))),INDEX(DATAS,Y2068+1),"")</f>
        <v/>
      </c>
      <c r="AG2068" s="45" t="str">
        <f aca="false">IF(AND(AA2068=1,Y2068&lt;1),IF(AND(C2069=C2068,Y2069=Y2068+1),IF(AA2069=1,"",INDEX(DATAS,Y2068+1)),INDEX(DATAS,Y2068+1)),"")</f>
        <v/>
      </c>
    </row>
    <row r="2069" customFormat="false" ht="15" hidden="false" customHeight="false" outlineLevel="0" collapsed="false">
      <c r="A2069" s="45" t="n">
        <v>46309</v>
      </c>
      <c r="B2069" s="0" t="n">
        <v>8</v>
      </c>
      <c r="C2069" s="0" t="n">
        <v>6347</v>
      </c>
      <c r="E2069" s="0" t="n">
        <v>0</v>
      </c>
      <c r="F2069" s="39" t="s">
        <v>1135</v>
      </c>
      <c r="I2069" s="39" t="s">
        <v>109</v>
      </c>
      <c r="L2069" s="0" t="n">
        <v>188</v>
      </c>
      <c r="U2069" s="0" t="n">
        <v>590</v>
      </c>
      <c r="V2069" s="0" t="n">
        <v>1</v>
      </c>
      <c r="W2069" s="39" t="n">
        <f aca="false">IF(I2069="Male",0,1)</f>
        <v>1</v>
      </c>
      <c r="X2069" s="39" t="n">
        <f aca="false">IF(OR(I2069="DNB",I2069="Dry DNB"),1,0)</f>
        <v>0</v>
      </c>
      <c r="Y2069" s="39" t="n">
        <f aca="false">MATCH(A2069,DATAS,0)</f>
        <v>1</v>
      </c>
      <c r="Z2069" s="39" t="n">
        <f aca="false">IF(AND(E2069&gt;0,OR(AND(B2069&gt;=1,B2069&lt;=6),B2069=10)),1,0)</f>
        <v>0</v>
      </c>
      <c r="AA2069" s="39" t="n">
        <f aca="false">IF(AND(E2069&gt;0,B2069=10),1,0)</f>
        <v>0</v>
      </c>
      <c r="AB2069" s="0" t="str">
        <f aca="false">IF(AND(C2068=C2069,Y2068=Y2069-1),Z2068,"")</f>
        <v/>
      </c>
      <c r="AC2069" s="0" t="str">
        <f aca="false">IF(AND(C2068=C2069,Y2068=Y2069-1),AA2068,"")</f>
        <v/>
      </c>
      <c r="AD2069" s="0" t="str">
        <f aca="false">IF(Y2069=1,"",IF(AND(Z2069=1,AB2069&lt;&gt;1),1,0))</f>
        <v/>
      </c>
      <c r="AE2069" s="0" t="str">
        <f aca="false">IF(Y2069=1,"",IF(AND(AA2069=1,AC2069&lt;&gt;1),1,0))</f>
        <v/>
      </c>
      <c r="AF2069" s="45" t="str">
        <f aca="false">IF(AND(E2069&gt;0,Y2069&lt;1,NOT(AND(C2070=C2069,Y2070=Y2069+1))),INDEX(DATAS,Y2069+1),"")</f>
        <v/>
      </c>
      <c r="AG2069" s="45" t="str">
        <f aca="false">IF(AND(AA2069=1,Y2069&lt;1),IF(AND(C2070=C2069,Y2070=Y2069+1),IF(AA2070=1,"",INDEX(DATAS,Y2069+1)),INDEX(DATAS,Y2069+1)),"")</f>
        <v/>
      </c>
    </row>
    <row r="2070" customFormat="false" ht="15" hidden="false" customHeight="false" outlineLevel="0" collapsed="false">
      <c r="A2070" s="45" t="n">
        <v>46309</v>
      </c>
      <c r="B2070" s="0" t="n">
        <v>8</v>
      </c>
      <c r="C2070" s="0" t="n">
        <v>6348</v>
      </c>
      <c r="E2070" s="0" t="n">
        <v>0</v>
      </c>
      <c r="F2070" s="39" t="s">
        <v>1135</v>
      </c>
      <c r="I2070" s="39" t="s">
        <v>109</v>
      </c>
      <c r="L2070" s="0" t="n">
        <v>163</v>
      </c>
      <c r="U2070" s="0" t="n">
        <v>590</v>
      </c>
      <c r="V2070" s="0" t="n">
        <v>2</v>
      </c>
      <c r="W2070" s="39" t="n">
        <f aca="false">IF(I2070="Male",0,1)</f>
        <v>1</v>
      </c>
      <c r="X2070" s="39" t="n">
        <f aca="false">IF(OR(I2070="DNB",I2070="Dry DNB"),1,0)</f>
        <v>0</v>
      </c>
      <c r="Y2070" s="39" t="n">
        <f aca="false">MATCH(A2070,DATAS,0)</f>
        <v>1</v>
      </c>
      <c r="Z2070" s="39" t="n">
        <f aca="false">IF(AND(E2070&gt;0,OR(AND(B2070&gt;=1,B2070&lt;=6),B2070=10)),1,0)</f>
        <v>0</v>
      </c>
      <c r="AA2070" s="39" t="n">
        <f aca="false">IF(AND(E2070&gt;0,B2070=10),1,0)</f>
        <v>0</v>
      </c>
      <c r="AB2070" s="0" t="str">
        <f aca="false">IF(AND(C2069=C2070,Y2069=Y2070-1),Z2069,"")</f>
        <v/>
      </c>
      <c r="AC2070" s="0" t="str">
        <f aca="false">IF(AND(C2069=C2070,Y2069=Y2070-1),AA2069,"")</f>
        <v/>
      </c>
      <c r="AD2070" s="0" t="str">
        <f aca="false">IF(Y2070=1,"",IF(AND(Z2070=1,AB2070&lt;&gt;1),1,0))</f>
        <v/>
      </c>
      <c r="AE2070" s="0" t="str">
        <f aca="false">IF(Y2070=1,"",IF(AND(AA2070=1,AC2070&lt;&gt;1),1,0))</f>
        <v/>
      </c>
      <c r="AF2070" s="45" t="str">
        <f aca="false">IF(AND(E2070&gt;0,Y2070&lt;1,NOT(AND(C2071=C2070,Y2071=Y2070+1))),INDEX(DATAS,Y2070+1),"")</f>
        <v/>
      </c>
      <c r="AG2070" s="45" t="str">
        <f aca="false">IF(AND(AA2070=1,Y2070&lt;1),IF(AND(C2071=C2070,Y2071=Y2070+1),IF(AA2071=1,"",INDEX(DATAS,Y2070+1)),INDEX(DATAS,Y2070+1)),"")</f>
        <v/>
      </c>
    </row>
    <row r="2071" customFormat="false" ht="15" hidden="false" customHeight="false" outlineLevel="0" collapsed="false">
      <c r="A2071" s="45" t="n">
        <v>46309</v>
      </c>
      <c r="B2071" s="0" t="n">
        <v>8</v>
      </c>
      <c r="C2071" s="0" t="n">
        <v>6349</v>
      </c>
      <c r="E2071" s="0" t="n">
        <v>0</v>
      </c>
      <c r="F2071" s="39" t="s">
        <v>1135</v>
      </c>
      <c r="I2071" s="39" t="s">
        <v>109</v>
      </c>
      <c r="L2071" s="0" t="n">
        <v>133</v>
      </c>
      <c r="U2071" s="0" t="n">
        <v>590</v>
      </c>
      <c r="V2071" s="0" t="n">
        <v>3</v>
      </c>
      <c r="W2071" s="39" t="n">
        <f aca="false">IF(I2071="Male",0,1)</f>
        <v>1</v>
      </c>
      <c r="X2071" s="39" t="n">
        <f aca="false">IF(OR(I2071="DNB",I2071="Dry DNB"),1,0)</f>
        <v>0</v>
      </c>
      <c r="Y2071" s="39" t="n">
        <f aca="false">MATCH(A2071,DATAS,0)</f>
        <v>1</v>
      </c>
      <c r="Z2071" s="39" t="n">
        <f aca="false">IF(AND(E2071&gt;0,OR(AND(B2071&gt;=1,B2071&lt;=6),B2071=10)),1,0)</f>
        <v>0</v>
      </c>
      <c r="AA2071" s="39" t="n">
        <f aca="false">IF(AND(E2071&gt;0,B2071=10),1,0)</f>
        <v>0</v>
      </c>
      <c r="AB2071" s="0" t="str">
        <f aca="false">IF(AND(C2070=C2071,Y2070=Y2071-1),Z2070,"")</f>
        <v/>
      </c>
      <c r="AC2071" s="0" t="str">
        <f aca="false">IF(AND(C2070=C2071,Y2070=Y2071-1),AA2070,"")</f>
        <v/>
      </c>
      <c r="AD2071" s="0" t="str">
        <f aca="false">IF(Y2071=1,"",IF(AND(Z2071=1,AB2071&lt;&gt;1),1,0))</f>
        <v/>
      </c>
      <c r="AE2071" s="0" t="str">
        <f aca="false">IF(Y2071=1,"",IF(AND(AA2071=1,AC2071&lt;&gt;1),1,0))</f>
        <v/>
      </c>
      <c r="AF2071" s="45" t="str">
        <f aca="false">IF(AND(E2071&gt;0,Y2071&lt;1,NOT(AND(C2072=C2071,Y2072=Y2071+1))),INDEX(DATAS,Y2071+1),"")</f>
        <v/>
      </c>
      <c r="AG2071" s="45" t="str">
        <f aca="false">IF(AND(AA2071=1,Y2071&lt;1),IF(AND(C2072=C2071,Y2072=Y2071+1),IF(AA2072=1,"",INDEX(DATAS,Y2071+1)),INDEX(DATAS,Y2071+1)),"")</f>
        <v/>
      </c>
    </row>
    <row r="2072" customFormat="false" ht="15" hidden="false" customHeight="false" outlineLevel="0" collapsed="false">
      <c r="A2072" s="45" t="n">
        <v>46309</v>
      </c>
      <c r="B2072" s="0" t="n">
        <v>8</v>
      </c>
      <c r="C2072" s="0" t="n">
        <v>6350</v>
      </c>
      <c r="E2072" s="0" t="n">
        <v>0</v>
      </c>
      <c r="F2072" s="39" t="s">
        <v>1135</v>
      </c>
      <c r="I2072" s="39" t="s">
        <v>109</v>
      </c>
      <c r="L2072" s="0" t="n">
        <v>94</v>
      </c>
      <c r="U2072" s="0" t="n">
        <v>590</v>
      </c>
      <c r="V2072" s="0" t="n">
        <v>5</v>
      </c>
      <c r="W2072" s="39" t="n">
        <f aca="false">IF(I2072="Male",0,1)</f>
        <v>1</v>
      </c>
      <c r="X2072" s="39" t="n">
        <f aca="false">IF(OR(I2072="DNB",I2072="Dry DNB"),1,0)</f>
        <v>0</v>
      </c>
      <c r="Y2072" s="39" t="n">
        <f aca="false">MATCH(A2072,DATAS,0)</f>
        <v>1</v>
      </c>
      <c r="Z2072" s="39" t="n">
        <f aca="false">IF(AND(E2072&gt;0,OR(AND(B2072&gt;=1,B2072&lt;=6),B2072=10)),1,0)</f>
        <v>0</v>
      </c>
      <c r="AA2072" s="39" t="n">
        <f aca="false">IF(AND(E2072&gt;0,B2072=10),1,0)</f>
        <v>0</v>
      </c>
      <c r="AB2072" s="0" t="str">
        <f aca="false">IF(AND(C2071=C2072,Y2071=Y2072-1),Z2071,"")</f>
        <v/>
      </c>
      <c r="AC2072" s="0" t="str">
        <f aca="false">IF(AND(C2071=C2072,Y2071=Y2072-1),AA2071,"")</f>
        <v/>
      </c>
      <c r="AD2072" s="0" t="str">
        <f aca="false">IF(Y2072=1,"",IF(AND(Z2072=1,AB2072&lt;&gt;1),1,0))</f>
        <v/>
      </c>
      <c r="AE2072" s="0" t="str">
        <f aca="false">IF(Y2072=1,"",IF(AND(AA2072=1,AC2072&lt;&gt;1),1,0))</f>
        <v/>
      </c>
      <c r="AF2072" s="45" t="str">
        <f aca="false">IF(AND(E2072&gt;0,Y2072&lt;1,NOT(AND(C2073=C2072,Y2073=Y2072+1))),INDEX(DATAS,Y2072+1),"")</f>
        <v/>
      </c>
      <c r="AG2072" s="45" t="str">
        <f aca="false">IF(AND(AA2072=1,Y2072&lt;1),IF(AND(C2073=C2072,Y2073=Y2072+1),IF(AA2073=1,"",INDEX(DATAS,Y2072+1)),INDEX(DATAS,Y2072+1)),"")</f>
        <v/>
      </c>
    </row>
    <row r="2073" customFormat="false" ht="15" hidden="false" customHeight="false" outlineLevel="0" collapsed="false">
      <c r="A2073" s="45" t="n">
        <v>46309</v>
      </c>
      <c r="B2073" s="0" t="n">
        <v>8</v>
      </c>
      <c r="C2073" s="0" t="n">
        <v>6351</v>
      </c>
      <c r="E2073" s="0" t="n">
        <v>0</v>
      </c>
      <c r="F2073" s="39" t="s">
        <v>1135</v>
      </c>
      <c r="I2073" s="39" t="s">
        <v>109</v>
      </c>
      <c r="L2073" s="0" t="n">
        <v>163</v>
      </c>
      <c r="U2073" s="0" t="n">
        <v>590</v>
      </c>
      <c r="V2073" s="0" t="n">
        <v>2</v>
      </c>
      <c r="W2073" s="39" t="n">
        <f aca="false">IF(I2073="Male",0,1)</f>
        <v>1</v>
      </c>
      <c r="X2073" s="39" t="n">
        <f aca="false">IF(OR(I2073="DNB",I2073="Dry DNB"),1,0)</f>
        <v>0</v>
      </c>
      <c r="Y2073" s="39" t="n">
        <f aca="false">MATCH(A2073,DATAS,0)</f>
        <v>1</v>
      </c>
      <c r="Z2073" s="39" t="n">
        <f aca="false">IF(AND(E2073&gt;0,OR(AND(B2073&gt;=1,B2073&lt;=6),B2073=10)),1,0)</f>
        <v>0</v>
      </c>
      <c r="AA2073" s="39" t="n">
        <f aca="false">IF(AND(E2073&gt;0,B2073=10),1,0)</f>
        <v>0</v>
      </c>
      <c r="AB2073" s="0" t="str">
        <f aca="false">IF(AND(C2072=C2073,Y2072=Y2073-1),Z2072,"")</f>
        <v/>
      </c>
      <c r="AC2073" s="0" t="str">
        <f aca="false">IF(AND(C2072=C2073,Y2072=Y2073-1),AA2072,"")</f>
        <v/>
      </c>
      <c r="AD2073" s="0" t="str">
        <f aca="false">IF(Y2073=1,"",IF(AND(Z2073=1,AB2073&lt;&gt;1),1,0))</f>
        <v/>
      </c>
      <c r="AE2073" s="0" t="str">
        <f aca="false">IF(Y2073=1,"",IF(AND(AA2073=1,AC2073&lt;&gt;1),1,0))</f>
        <v/>
      </c>
      <c r="AF2073" s="45" t="str">
        <f aca="false">IF(AND(E2073&gt;0,Y2073&lt;1,NOT(AND(C2074=C2073,Y2074=Y2073+1))),INDEX(DATAS,Y2073+1),"")</f>
        <v/>
      </c>
      <c r="AG2073" s="45" t="str">
        <f aca="false">IF(AND(AA2073=1,Y2073&lt;1),IF(AND(C2074=C2073,Y2074=Y2073+1),IF(AA2074=1,"",INDEX(DATAS,Y2073+1)),INDEX(DATAS,Y2073+1)),"")</f>
        <v/>
      </c>
    </row>
    <row r="2074" customFormat="false" ht="15" hidden="false" customHeight="false" outlineLevel="0" collapsed="false">
      <c r="A2074" s="45" t="n">
        <v>46309</v>
      </c>
      <c r="B2074" s="0" t="n">
        <v>8</v>
      </c>
      <c r="C2074" s="0" t="n">
        <v>6353</v>
      </c>
      <c r="E2074" s="0" t="n">
        <v>0</v>
      </c>
      <c r="F2074" s="39" t="s">
        <v>1135</v>
      </c>
      <c r="I2074" s="39" t="s">
        <v>109</v>
      </c>
      <c r="L2074" s="0" t="n">
        <v>133</v>
      </c>
      <c r="U2074" s="0" t="n">
        <v>590</v>
      </c>
      <c r="V2074" s="0" t="n">
        <v>2</v>
      </c>
      <c r="W2074" s="39" t="n">
        <f aca="false">IF(I2074="Male",0,1)</f>
        <v>1</v>
      </c>
      <c r="X2074" s="39" t="n">
        <f aca="false">IF(OR(I2074="DNB",I2074="Dry DNB"),1,0)</f>
        <v>0</v>
      </c>
      <c r="Y2074" s="39" t="n">
        <f aca="false">MATCH(A2074,DATAS,0)</f>
        <v>1</v>
      </c>
      <c r="Z2074" s="39" t="n">
        <f aca="false">IF(AND(E2074&gt;0,OR(AND(B2074&gt;=1,B2074&lt;=6),B2074=10)),1,0)</f>
        <v>0</v>
      </c>
      <c r="AA2074" s="39" t="n">
        <f aca="false">IF(AND(E2074&gt;0,B2074=10),1,0)</f>
        <v>0</v>
      </c>
      <c r="AB2074" s="0" t="str">
        <f aca="false">IF(AND(C2073=C2074,Y2073=Y2074-1),Z2073,"")</f>
        <v/>
      </c>
      <c r="AC2074" s="0" t="str">
        <f aca="false">IF(AND(C2073=C2074,Y2073=Y2074-1),AA2073,"")</f>
        <v/>
      </c>
      <c r="AD2074" s="0" t="str">
        <f aca="false">IF(Y2074=1,"",IF(AND(Z2074=1,AB2074&lt;&gt;1),1,0))</f>
        <v/>
      </c>
      <c r="AE2074" s="0" t="str">
        <f aca="false">IF(Y2074=1,"",IF(AND(AA2074=1,AC2074&lt;&gt;1),1,0))</f>
        <v/>
      </c>
      <c r="AF2074" s="45" t="str">
        <f aca="false">IF(AND(E2074&gt;0,Y2074&lt;1,NOT(AND(C2075=C2074,Y2075=Y2074+1))),INDEX(DATAS,Y2074+1),"")</f>
        <v/>
      </c>
      <c r="AG2074" s="45" t="str">
        <f aca="false">IF(AND(AA2074=1,Y2074&lt;1),IF(AND(C2075=C2074,Y2075=Y2074+1),IF(AA2075=1,"",INDEX(DATAS,Y2074+1)),INDEX(DATAS,Y2074+1)),"")</f>
        <v/>
      </c>
    </row>
    <row r="2075" customFormat="false" ht="15" hidden="false" customHeight="false" outlineLevel="0" collapsed="false">
      <c r="A2075" s="45" t="n">
        <v>46309</v>
      </c>
      <c r="B2075" s="0" t="n">
        <v>8</v>
      </c>
      <c r="C2075" s="0" t="n">
        <v>6355</v>
      </c>
      <c r="E2075" s="0" t="n">
        <v>0</v>
      </c>
      <c r="F2075" s="39" t="s">
        <v>1135</v>
      </c>
      <c r="I2075" s="39" t="s">
        <v>109</v>
      </c>
      <c r="L2075" s="0" t="n">
        <v>191</v>
      </c>
      <c r="U2075" s="0" t="n">
        <v>590</v>
      </c>
      <c r="V2075" s="0" t="n">
        <v>1</v>
      </c>
      <c r="W2075" s="39" t="n">
        <f aca="false">IF(I2075="Male",0,1)</f>
        <v>1</v>
      </c>
      <c r="X2075" s="39" t="n">
        <f aca="false">IF(OR(I2075="DNB",I2075="Dry DNB"),1,0)</f>
        <v>0</v>
      </c>
      <c r="Y2075" s="39" t="n">
        <f aca="false">MATCH(A2075,DATAS,0)</f>
        <v>1</v>
      </c>
      <c r="Z2075" s="39" t="n">
        <f aca="false">IF(AND(E2075&gt;0,OR(AND(B2075&gt;=1,B2075&lt;=6),B2075=10)),1,0)</f>
        <v>0</v>
      </c>
      <c r="AA2075" s="39" t="n">
        <f aca="false">IF(AND(E2075&gt;0,B2075=10),1,0)</f>
        <v>0</v>
      </c>
      <c r="AB2075" s="0" t="str">
        <f aca="false">IF(AND(C2074=C2075,Y2074=Y2075-1),Z2074,"")</f>
        <v/>
      </c>
      <c r="AC2075" s="0" t="str">
        <f aca="false">IF(AND(C2074=C2075,Y2074=Y2075-1),AA2074,"")</f>
        <v/>
      </c>
      <c r="AD2075" s="0" t="str">
        <f aca="false">IF(Y2075=1,"",IF(AND(Z2075=1,AB2075&lt;&gt;1),1,0))</f>
        <v/>
      </c>
      <c r="AE2075" s="0" t="str">
        <f aca="false">IF(Y2075=1,"",IF(AND(AA2075=1,AC2075&lt;&gt;1),1,0))</f>
        <v/>
      </c>
      <c r="AF2075" s="45" t="str">
        <f aca="false">IF(AND(E2075&gt;0,Y2075&lt;1,NOT(AND(C2076=C2075,Y2076=Y2075+1))),INDEX(DATAS,Y2075+1),"")</f>
        <v/>
      </c>
      <c r="AG2075" s="45" t="str">
        <f aca="false">IF(AND(AA2075=1,Y2075&lt;1),IF(AND(C2076=C2075,Y2076=Y2075+1),IF(AA2076=1,"",INDEX(DATAS,Y2075+1)),INDEX(DATAS,Y2075+1)),"")</f>
        <v/>
      </c>
    </row>
    <row r="2076" customFormat="false" ht="15" hidden="false" customHeight="false" outlineLevel="0" collapsed="false">
      <c r="A2076" s="45" t="n">
        <v>46309</v>
      </c>
      <c r="B2076" s="0" t="n">
        <v>8</v>
      </c>
      <c r="C2076" s="0" t="n">
        <v>6356</v>
      </c>
      <c r="E2076" s="0" t="n">
        <v>0</v>
      </c>
      <c r="F2076" s="39" t="s">
        <v>1135</v>
      </c>
      <c r="I2076" s="39" t="s">
        <v>109</v>
      </c>
      <c r="L2076" s="0" t="n">
        <v>150</v>
      </c>
      <c r="U2076" s="0" t="n">
        <v>590</v>
      </c>
      <c r="V2076" s="0" t="n">
        <v>2</v>
      </c>
      <c r="W2076" s="39" t="n">
        <f aca="false">IF(I2076="Male",0,1)</f>
        <v>1</v>
      </c>
      <c r="X2076" s="39" t="n">
        <f aca="false">IF(OR(I2076="DNB",I2076="Dry DNB"),1,0)</f>
        <v>0</v>
      </c>
      <c r="Y2076" s="39" t="n">
        <f aca="false">MATCH(A2076,DATAS,0)</f>
        <v>1</v>
      </c>
      <c r="Z2076" s="39" t="n">
        <f aca="false">IF(AND(E2076&gt;0,OR(AND(B2076&gt;=1,B2076&lt;=6),B2076=10)),1,0)</f>
        <v>0</v>
      </c>
      <c r="AA2076" s="39" t="n">
        <f aca="false">IF(AND(E2076&gt;0,B2076=10),1,0)</f>
        <v>0</v>
      </c>
      <c r="AB2076" s="0" t="str">
        <f aca="false">IF(AND(C2075=C2076,Y2075=Y2076-1),Z2075,"")</f>
        <v/>
      </c>
      <c r="AC2076" s="0" t="str">
        <f aca="false">IF(AND(C2075=C2076,Y2075=Y2076-1),AA2075,"")</f>
        <v/>
      </c>
      <c r="AD2076" s="0" t="str">
        <f aca="false">IF(Y2076=1,"",IF(AND(Z2076=1,AB2076&lt;&gt;1),1,0))</f>
        <v/>
      </c>
      <c r="AE2076" s="0" t="str">
        <f aca="false">IF(Y2076=1,"",IF(AND(AA2076=1,AC2076&lt;&gt;1),1,0))</f>
        <v/>
      </c>
      <c r="AF2076" s="45" t="str">
        <f aca="false">IF(AND(E2076&gt;0,Y2076&lt;1,NOT(AND(C2077=C2076,Y2077=Y2076+1))),INDEX(DATAS,Y2076+1),"")</f>
        <v/>
      </c>
      <c r="AG2076" s="45" t="str">
        <f aca="false">IF(AND(AA2076=1,Y2076&lt;1),IF(AND(C2077=C2076,Y2077=Y2076+1),IF(AA2077=1,"",INDEX(DATAS,Y2076+1)),INDEX(DATAS,Y2076+1)),"")</f>
        <v/>
      </c>
    </row>
    <row r="2077" customFormat="false" ht="15" hidden="false" customHeight="false" outlineLevel="0" collapsed="false">
      <c r="A2077" s="45" t="n">
        <v>46309</v>
      </c>
      <c r="B2077" s="0" t="n">
        <v>8</v>
      </c>
      <c r="C2077" s="0" t="n">
        <v>6357</v>
      </c>
      <c r="E2077" s="0" t="n">
        <v>0</v>
      </c>
      <c r="F2077" s="39" t="s">
        <v>1136</v>
      </c>
      <c r="I2077" s="39" t="s">
        <v>109</v>
      </c>
      <c r="L2077" s="0" t="n">
        <v>184</v>
      </c>
      <c r="U2077" s="0" t="n">
        <v>589</v>
      </c>
      <c r="V2077" s="0" t="n">
        <v>1</v>
      </c>
      <c r="W2077" s="39" t="n">
        <f aca="false">IF(I2077="Male",0,1)</f>
        <v>1</v>
      </c>
      <c r="X2077" s="39" t="n">
        <f aca="false">IF(OR(I2077="DNB",I2077="Dry DNB"),1,0)</f>
        <v>0</v>
      </c>
      <c r="Y2077" s="39" t="n">
        <f aca="false">MATCH(A2077,DATAS,0)</f>
        <v>1</v>
      </c>
      <c r="Z2077" s="39" t="n">
        <f aca="false">IF(AND(E2077&gt;0,OR(AND(B2077&gt;=1,B2077&lt;=6),B2077=10)),1,0)</f>
        <v>0</v>
      </c>
      <c r="AA2077" s="39" t="n">
        <f aca="false">IF(AND(E2077&gt;0,B2077=10),1,0)</f>
        <v>0</v>
      </c>
      <c r="AB2077" s="0" t="str">
        <f aca="false">IF(AND(C2076=C2077,Y2076=Y2077-1),Z2076,"")</f>
        <v/>
      </c>
      <c r="AC2077" s="0" t="str">
        <f aca="false">IF(AND(C2076=C2077,Y2076=Y2077-1),AA2076,"")</f>
        <v/>
      </c>
      <c r="AD2077" s="0" t="str">
        <f aca="false">IF(Y2077=1,"",IF(AND(Z2077=1,AB2077&lt;&gt;1),1,0))</f>
        <v/>
      </c>
      <c r="AE2077" s="0" t="str">
        <f aca="false">IF(Y2077=1,"",IF(AND(AA2077=1,AC2077&lt;&gt;1),1,0))</f>
        <v/>
      </c>
      <c r="AF2077" s="45" t="str">
        <f aca="false">IF(AND(E2077&gt;0,Y2077&lt;1,NOT(AND(C2078=C2077,Y2078=Y2077+1))),INDEX(DATAS,Y2077+1),"")</f>
        <v/>
      </c>
      <c r="AG2077" s="45" t="str">
        <f aca="false">IF(AND(AA2077=1,Y2077&lt;1),IF(AND(C2078=C2077,Y2078=Y2077+1),IF(AA2078=1,"",INDEX(DATAS,Y2077+1)),INDEX(DATAS,Y2077+1)),"")</f>
        <v/>
      </c>
    </row>
    <row r="2078" customFormat="false" ht="15" hidden="false" customHeight="false" outlineLevel="0" collapsed="false">
      <c r="A2078" s="45" t="n">
        <v>46309</v>
      </c>
      <c r="B2078" s="0" t="n">
        <v>8</v>
      </c>
      <c r="C2078" s="0" t="n">
        <v>6358</v>
      </c>
      <c r="E2078" s="0" t="n">
        <v>0</v>
      </c>
      <c r="F2078" s="39" t="s">
        <v>1136</v>
      </c>
      <c r="I2078" s="39" t="s">
        <v>109</v>
      </c>
      <c r="L2078" s="0" t="n">
        <v>182</v>
      </c>
      <c r="U2078" s="0" t="n">
        <v>589</v>
      </c>
      <c r="V2078" s="0" t="n">
        <v>1</v>
      </c>
      <c r="W2078" s="39" t="n">
        <f aca="false">IF(I2078="Male",0,1)</f>
        <v>1</v>
      </c>
      <c r="X2078" s="39" t="n">
        <f aca="false">IF(OR(I2078="DNB",I2078="Dry DNB"),1,0)</f>
        <v>0</v>
      </c>
      <c r="Y2078" s="39" t="n">
        <f aca="false">MATCH(A2078,DATAS,0)</f>
        <v>1</v>
      </c>
      <c r="Z2078" s="39" t="n">
        <f aca="false">IF(AND(E2078&gt;0,OR(AND(B2078&gt;=1,B2078&lt;=6),B2078=10)),1,0)</f>
        <v>0</v>
      </c>
      <c r="AA2078" s="39" t="n">
        <f aca="false">IF(AND(E2078&gt;0,B2078=10),1,0)</f>
        <v>0</v>
      </c>
      <c r="AB2078" s="0" t="str">
        <f aca="false">IF(AND(C2077=C2078,Y2077=Y2078-1),Z2077,"")</f>
        <v/>
      </c>
      <c r="AC2078" s="0" t="str">
        <f aca="false">IF(AND(C2077=C2078,Y2077=Y2078-1),AA2077,"")</f>
        <v/>
      </c>
      <c r="AD2078" s="0" t="str">
        <f aca="false">IF(Y2078=1,"",IF(AND(Z2078=1,AB2078&lt;&gt;1),1,0))</f>
        <v/>
      </c>
      <c r="AE2078" s="0" t="str">
        <f aca="false">IF(Y2078=1,"",IF(AND(AA2078=1,AC2078&lt;&gt;1),1,0))</f>
        <v/>
      </c>
      <c r="AF2078" s="45" t="str">
        <f aca="false">IF(AND(E2078&gt;0,Y2078&lt;1,NOT(AND(C2079=C2078,Y2079=Y2078+1))),INDEX(DATAS,Y2078+1),"")</f>
        <v/>
      </c>
      <c r="AG2078" s="45" t="str">
        <f aca="false">IF(AND(AA2078=1,Y2078&lt;1),IF(AND(C2079=C2078,Y2079=Y2078+1),IF(AA2079=1,"",INDEX(DATAS,Y2078+1)),INDEX(DATAS,Y2078+1)),"")</f>
        <v/>
      </c>
    </row>
    <row r="2079" customFormat="false" ht="15" hidden="false" customHeight="false" outlineLevel="0" collapsed="false">
      <c r="A2079" s="45" t="n">
        <v>46309</v>
      </c>
      <c r="B2079" s="0" t="n">
        <v>8</v>
      </c>
      <c r="C2079" s="0" t="n">
        <v>6359</v>
      </c>
      <c r="E2079" s="0" t="n">
        <v>0</v>
      </c>
      <c r="F2079" s="39" t="s">
        <v>1137</v>
      </c>
      <c r="I2079" s="39" t="s">
        <v>109</v>
      </c>
      <c r="L2079" s="0" t="n">
        <v>160</v>
      </c>
      <c r="U2079" s="0" t="n">
        <v>587</v>
      </c>
      <c r="V2079" s="0" t="n">
        <v>2</v>
      </c>
      <c r="W2079" s="39" t="n">
        <f aca="false">IF(I2079="Male",0,1)</f>
        <v>1</v>
      </c>
      <c r="X2079" s="39" t="n">
        <f aca="false">IF(OR(I2079="DNB",I2079="Dry DNB"),1,0)</f>
        <v>0</v>
      </c>
      <c r="Y2079" s="39" t="n">
        <f aca="false">MATCH(A2079,DATAS,0)</f>
        <v>1</v>
      </c>
      <c r="Z2079" s="39" t="n">
        <f aca="false">IF(AND(E2079&gt;0,OR(AND(B2079&gt;=1,B2079&lt;=6),B2079=10)),1,0)</f>
        <v>0</v>
      </c>
      <c r="AA2079" s="39" t="n">
        <f aca="false">IF(AND(E2079&gt;0,B2079=10),1,0)</f>
        <v>0</v>
      </c>
      <c r="AB2079" s="0" t="str">
        <f aca="false">IF(AND(C2078=C2079,Y2078=Y2079-1),Z2078,"")</f>
        <v/>
      </c>
      <c r="AC2079" s="0" t="str">
        <f aca="false">IF(AND(C2078=C2079,Y2078=Y2079-1),AA2078,"")</f>
        <v/>
      </c>
      <c r="AD2079" s="0" t="str">
        <f aca="false">IF(Y2079=1,"",IF(AND(Z2079=1,AB2079&lt;&gt;1),1,0))</f>
        <v/>
      </c>
      <c r="AE2079" s="0" t="str">
        <f aca="false">IF(Y2079=1,"",IF(AND(AA2079=1,AC2079&lt;&gt;1),1,0))</f>
        <v/>
      </c>
      <c r="AF2079" s="45" t="str">
        <f aca="false">IF(AND(E2079&gt;0,Y2079&lt;1,NOT(AND(C2080=C2079,Y2080=Y2079+1))),INDEX(DATAS,Y2079+1),"")</f>
        <v/>
      </c>
      <c r="AG2079" s="45" t="str">
        <f aca="false">IF(AND(AA2079=1,Y2079&lt;1),IF(AND(C2080=C2079,Y2080=Y2079+1),IF(AA2080=1,"",INDEX(DATAS,Y2079+1)),INDEX(DATAS,Y2079+1)),"")</f>
        <v/>
      </c>
    </row>
    <row r="2080" customFormat="false" ht="15" hidden="false" customHeight="false" outlineLevel="0" collapsed="false">
      <c r="A2080" s="45" t="n">
        <v>46309</v>
      </c>
      <c r="B2080" s="0" t="n">
        <v>8</v>
      </c>
      <c r="C2080" s="0" t="n">
        <v>6360</v>
      </c>
      <c r="E2080" s="0" t="n">
        <v>0</v>
      </c>
      <c r="F2080" s="39" t="s">
        <v>1137</v>
      </c>
      <c r="I2080" s="39" t="s">
        <v>109</v>
      </c>
      <c r="L2080" s="0" t="n">
        <v>122</v>
      </c>
      <c r="U2080" s="0" t="n">
        <v>587</v>
      </c>
      <c r="V2080" s="0" t="n">
        <v>4</v>
      </c>
      <c r="W2080" s="39" t="n">
        <f aca="false">IF(I2080="Male",0,1)</f>
        <v>1</v>
      </c>
      <c r="X2080" s="39" t="n">
        <f aca="false">IF(OR(I2080="DNB",I2080="Dry DNB"),1,0)</f>
        <v>0</v>
      </c>
      <c r="Y2080" s="39" t="n">
        <f aca="false">MATCH(A2080,DATAS,0)</f>
        <v>1</v>
      </c>
      <c r="Z2080" s="39" t="n">
        <f aca="false">IF(AND(E2080&gt;0,OR(AND(B2080&gt;=1,B2080&lt;=6),B2080=10)),1,0)</f>
        <v>0</v>
      </c>
      <c r="AA2080" s="39" t="n">
        <f aca="false">IF(AND(E2080&gt;0,B2080=10),1,0)</f>
        <v>0</v>
      </c>
      <c r="AB2080" s="0" t="str">
        <f aca="false">IF(AND(C2079=C2080,Y2079=Y2080-1),Z2079,"")</f>
        <v/>
      </c>
      <c r="AC2080" s="0" t="str">
        <f aca="false">IF(AND(C2079=C2080,Y2079=Y2080-1),AA2079,"")</f>
        <v/>
      </c>
      <c r="AD2080" s="0" t="str">
        <f aca="false">IF(Y2080=1,"",IF(AND(Z2080=1,AB2080&lt;&gt;1),1,0))</f>
        <v/>
      </c>
      <c r="AE2080" s="0" t="str">
        <f aca="false">IF(Y2080=1,"",IF(AND(AA2080=1,AC2080&lt;&gt;1),1,0))</f>
        <v/>
      </c>
      <c r="AF2080" s="45" t="str">
        <f aca="false">IF(AND(E2080&gt;0,Y2080&lt;1,NOT(AND(C2081=C2080,Y2081=Y2080+1))),INDEX(DATAS,Y2080+1),"")</f>
        <v/>
      </c>
      <c r="AG2080" s="45" t="str">
        <f aca="false">IF(AND(AA2080=1,Y2080&lt;1),IF(AND(C2081=C2080,Y2081=Y2080+1),IF(AA2081=1,"",INDEX(DATAS,Y2080+1)),INDEX(DATAS,Y2080+1)),"")</f>
        <v/>
      </c>
    </row>
    <row r="2081" customFormat="false" ht="15" hidden="false" customHeight="false" outlineLevel="0" collapsed="false">
      <c r="A2081" s="45" t="n">
        <v>46309</v>
      </c>
      <c r="B2081" s="0" t="n">
        <v>8</v>
      </c>
      <c r="C2081" s="0" t="n">
        <v>6361</v>
      </c>
      <c r="E2081" s="0" t="n">
        <v>0</v>
      </c>
      <c r="F2081" s="39" t="s">
        <v>1137</v>
      </c>
      <c r="I2081" s="39" t="s">
        <v>109</v>
      </c>
      <c r="L2081" s="0" t="n">
        <v>147</v>
      </c>
      <c r="U2081" s="0" t="n">
        <v>587</v>
      </c>
      <c r="V2081" s="0" t="n">
        <v>1</v>
      </c>
      <c r="W2081" s="39" t="n">
        <f aca="false">IF(I2081="Male",0,1)</f>
        <v>1</v>
      </c>
      <c r="X2081" s="39" t="n">
        <f aca="false">IF(OR(I2081="DNB",I2081="Dry DNB"),1,0)</f>
        <v>0</v>
      </c>
      <c r="Y2081" s="39" t="n">
        <f aca="false">MATCH(A2081,DATAS,0)</f>
        <v>1</v>
      </c>
      <c r="Z2081" s="39" t="n">
        <f aca="false">IF(AND(E2081&gt;0,OR(AND(B2081&gt;=1,B2081&lt;=6),B2081=10)),1,0)</f>
        <v>0</v>
      </c>
      <c r="AA2081" s="39" t="n">
        <f aca="false">IF(AND(E2081&gt;0,B2081=10),1,0)</f>
        <v>0</v>
      </c>
      <c r="AB2081" s="0" t="str">
        <f aca="false">IF(AND(C2080=C2081,Y2080=Y2081-1),Z2080,"")</f>
        <v/>
      </c>
      <c r="AC2081" s="0" t="str">
        <f aca="false">IF(AND(C2080=C2081,Y2080=Y2081-1),AA2080,"")</f>
        <v/>
      </c>
      <c r="AD2081" s="0" t="str">
        <f aca="false">IF(Y2081=1,"",IF(AND(Z2081=1,AB2081&lt;&gt;1),1,0))</f>
        <v/>
      </c>
      <c r="AE2081" s="0" t="str">
        <f aca="false">IF(Y2081=1,"",IF(AND(AA2081=1,AC2081&lt;&gt;1),1,0))</f>
        <v/>
      </c>
      <c r="AF2081" s="45" t="str">
        <f aca="false">IF(AND(E2081&gt;0,Y2081&lt;1,NOT(AND(C2082=C2081,Y2082=Y2081+1))),INDEX(DATAS,Y2081+1),"")</f>
        <v/>
      </c>
      <c r="AG2081" s="45" t="str">
        <f aca="false">IF(AND(AA2081=1,Y2081&lt;1),IF(AND(C2082=C2081,Y2082=Y2081+1),IF(AA2082=1,"",INDEX(DATAS,Y2081+1)),INDEX(DATAS,Y2081+1)),"")</f>
        <v/>
      </c>
    </row>
    <row r="2082" customFormat="false" ht="15" hidden="false" customHeight="false" outlineLevel="0" collapsed="false">
      <c r="A2082" s="45" t="n">
        <v>46309</v>
      </c>
      <c r="B2082" s="0" t="n">
        <v>8</v>
      </c>
      <c r="C2082" s="0" t="n">
        <v>6362</v>
      </c>
      <c r="E2082" s="0" t="n">
        <v>0</v>
      </c>
      <c r="F2082" s="39" t="s">
        <v>1137</v>
      </c>
      <c r="I2082" s="39" t="s">
        <v>109</v>
      </c>
      <c r="L2082" s="0" t="n">
        <v>184</v>
      </c>
      <c r="U2082" s="0" t="n">
        <v>587</v>
      </c>
      <c r="V2082" s="0" t="n">
        <v>1</v>
      </c>
      <c r="W2082" s="39" t="n">
        <f aca="false">IF(I2082="Male",0,1)</f>
        <v>1</v>
      </c>
      <c r="X2082" s="39" t="n">
        <f aca="false">IF(OR(I2082="DNB",I2082="Dry DNB"),1,0)</f>
        <v>0</v>
      </c>
      <c r="Y2082" s="39" t="n">
        <f aca="false">MATCH(A2082,DATAS,0)</f>
        <v>1</v>
      </c>
      <c r="Z2082" s="39" t="n">
        <f aca="false">IF(AND(E2082&gt;0,OR(AND(B2082&gt;=1,B2082&lt;=6),B2082=10)),1,0)</f>
        <v>0</v>
      </c>
      <c r="AA2082" s="39" t="n">
        <f aca="false">IF(AND(E2082&gt;0,B2082=10),1,0)</f>
        <v>0</v>
      </c>
      <c r="AB2082" s="0" t="str">
        <f aca="false">IF(AND(C2081=C2082,Y2081=Y2082-1),Z2081,"")</f>
        <v/>
      </c>
      <c r="AC2082" s="0" t="str">
        <f aca="false">IF(AND(C2081=C2082,Y2081=Y2082-1),AA2081,"")</f>
        <v/>
      </c>
      <c r="AD2082" s="0" t="str">
        <f aca="false">IF(Y2082=1,"",IF(AND(Z2082=1,AB2082&lt;&gt;1),1,0))</f>
        <v/>
      </c>
      <c r="AE2082" s="0" t="str">
        <f aca="false">IF(Y2082=1,"",IF(AND(AA2082=1,AC2082&lt;&gt;1),1,0))</f>
        <v/>
      </c>
      <c r="AF2082" s="45" t="str">
        <f aca="false">IF(AND(E2082&gt;0,Y2082&lt;1,NOT(AND(C2083=C2082,Y2083=Y2082+1))),INDEX(DATAS,Y2082+1),"")</f>
        <v/>
      </c>
      <c r="AG2082" s="45" t="str">
        <f aca="false">IF(AND(AA2082=1,Y2082&lt;1),IF(AND(C2083=C2082,Y2083=Y2082+1),IF(AA2083=1,"",INDEX(DATAS,Y2082+1)),INDEX(DATAS,Y2082+1)),"")</f>
        <v/>
      </c>
    </row>
    <row r="2083" customFormat="false" ht="15" hidden="false" customHeight="false" outlineLevel="0" collapsed="false">
      <c r="A2083" s="45" t="n">
        <v>46309</v>
      </c>
      <c r="B2083" s="0" t="n">
        <v>8</v>
      </c>
      <c r="C2083" s="0" t="n">
        <v>6363</v>
      </c>
      <c r="E2083" s="0" t="n">
        <v>0</v>
      </c>
      <c r="F2083" s="39" t="s">
        <v>1137</v>
      </c>
      <c r="I2083" s="39" t="s">
        <v>109</v>
      </c>
      <c r="L2083" s="0" t="n">
        <v>190</v>
      </c>
      <c r="U2083" s="0" t="n">
        <v>587</v>
      </c>
      <c r="V2083" s="0" t="n">
        <v>1</v>
      </c>
      <c r="W2083" s="39" t="n">
        <f aca="false">IF(I2083="Male",0,1)</f>
        <v>1</v>
      </c>
      <c r="X2083" s="39" t="n">
        <f aca="false">IF(OR(I2083="DNB",I2083="Dry DNB"),1,0)</f>
        <v>0</v>
      </c>
      <c r="Y2083" s="39" t="n">
        <f aca="false">MATCH(A2083,DATAS,0)</f>
        <v>1</v>
      </c>
      <c r="Z2083" s="39" t="n">
        <f aca="false">IF(AND(E2083&gt;0,OR(AND(B2083&gt;=1,B2083&lt;=6),B2083=10)),1,0)</f>
        <v>0</v>
      </c>
      <c r="AA2083" s="39" t="n">
        <f aca="false">IF(AND(E2083&gt;0,B2083=10),1,0)</f>
        <v>0</v>
      </c>
      <c r="AB2083" s="0" t="str">
        <f aca="false">IF(AND(C2082=C2083,Y2082=Y2083-1),Z2082,"")</f>
        <v/>
      </c>
      <c r="AC2083" s="0" t="str">
        <f aca="false">IF(AND(C2082=C2083,Y2082=Y2083-1),AA2082,"")</f>
        <v/>
      </c>
      <c r="AD2083" s="0" t="str">
        <f aca="false">IF(Y2083=1,"",IF(AND(Z2083=1,AB2083&lt;&gt;1),1,0))</f>
        <v/>
      </c>
      <c r="AE2083" s="0" t="str">
        <f aca="false">IF(Y2083=1,"",IF(AND(AA2083=1,AC2083&lt;&gt;1),1,0))</f>
        <v/>
      </c>
      <c r="AF2083" s="45" t="str">
        <f aca="false">IF(AND(E2083&gt;0,Y2083&lt;1,NOT(AND(C2084=C2083,Y2084=Y2083+1))),INDEX(DATAS,Y2083+1),"")</f>
        <v/>
      </c>
      <c r="AG2083" s="45" t="str">
        <f aca="false">IF(AND(AA2083=1,Y2083&lt;1),IF(AND(C2084=C2083,Y2084=Y2083+1),IF(AA2084=1,"",INDEX(DATAS,Y2083+1)),INDEX(DATAS,Y2083+1)),"")</f>
        <v/>
      </c>
    </row>
    <row r="2084" customFormat="false" ht="15" hidden="false" customHeight="false" outlineLevel="0" collapsed="false">
      <c r="A2084" s="45" t="n">
        <v>46309</v>
      </c>
      <c r="B2084" s="0" t="n">
        <v>8</v>
      </c>
      <c r="C2084" s="0" t="n">
        <v>6364</v>
      </c>
      <c r="E2084" s="0" t="n">
        <v>0</v>
      </c>
      <c r="F2084" s="39" t="s">
        <v>1138</v>
      </c>
      <c r="I2084" s="39" t="s">
        <v>109</v>
      </c>
      <c r="L2084" s="0" t="n">
        <v>182</v>
      </c>
      <c r="U2084" s="0" t="n">
        <v>586</v>
      </c>
      <c r="V2084" s="0" t="n">
        <v>1</v>
      </c>
      <c r="W2084" s="39" t="n">
        <f aca="false">IF(I2084="Male",0,1)</f>
        <v>1</v>
      </c>
      <c r="X2084" s="39" t="n">
        <f aca="false">IF(OR(I2084="DNB",I2084="Dry DNB"),1,0)</f>
        <v>0</v>
      </c>
      <c r="Y2084" s="39" t="n">
        <f aca="false">MATCH(A2084,DATAS,0)</f>
        <v>1</v>
      </c>
      <c r="Z2084" s="39" t="n">
        <f aca="false">IF(AND(E2084&gt;0,OR(AND(B2084&gt;=1,B2084&lt;=6),B2084=10)),1,0)</f>
        <v>0</v>
      </c>
      <c r="AA2084" s="39" t="n">
        <f aca="false">IF(AND(E2084&gt;0,B2084=10),1,0)</f>
        <v>0</v>
      </c>
      <c r="AB2084" s="0" t="str">
        <f aca="false">IF(AND(C2083=C2084,Y2083=Y2084-1),Z2083,"")</f>
        <v/>
      </c>
      <c r="AC2084" s="0" t="str">
        <f aca="false">IF(AND(C2083=C2084,Y2083=Y2084-1),AA2083,"")</f>
        <v/>
      </c>
      <c r="AD2084" s="0" t="str">
        <f aca="false">IF(Y2084=1,"",IF(AND(Z2084=1,AB2084&lt;&gt;1),1,0))</f>
        <v/>
      </c>
      <c r="AE2084" s="0" t="str">
        <f aca="false">IF(Y2084=1,"",IF(AND(AA2084=1,AC2084&lt;&gt;1),1,0))</f>
        <v/>
      </c>
      <c r="AF2084" s="45" t="str">
        <f aca="false">IF(AND(E2084&gt;0,Y2084&lt;1,NOT(AND(C2085=C2084,Y2085=Y2084+1))),INDEX(DATAS,Y2084+1),"")</f>
        <v/>
      </c>
      <c r="AG2084" s="45" t="str">
        <f aca="false">IF(AND(AA2084=1,Y2084&lt;1),IF(AND(C2085=C2084,Y2085=Y2084+1),IF(AA2085=1,"",INDEX(DATAS,Y2084+1)),INDEX(DATAS,Y2084+1)),"")</f>
        <v/>
      </c>
    </row>
    <row r="2085" customFormat="false" ht="15" hidden="false" customHeight="false" outlineLevel="0" collapsed="false">
      <c r="A2085" s="45" t="n">
        <v>46309</v>
      </c>
      <c r="B2085" s="0" t="n">
        <v>8</v>
      </c>
      <c r="C2085" s="0" t="n">
        <v>6365</v>
      </c>
      <c r="E2085" s="0" t="n">
        <v>0</v>
      </c>
      <c r="F2085" s="39" t="s">
        <v>1138</v>
      </c>
      <c r="I2085" s="39" t="s">
        <v>109</v>
      </c>
      <c r="L2085" s="0" t="n">
        <v>192</v>
      </c>
      <c r="U2085" s="0" t="n">
        <v>586</v>
      </c>
      <c r="V2085" s="0" t="n">
        <v>1</v>
      </c>
      <c r="W2085" s="39" t="n">
        <f aca="false">IF(I2085="Male",0,1)</f>
        <v>1</v>
      </c>
      <c r="X2085" s="39" t="n">
        <f aca="false">IF(OR(I2085="DNB",I2085="Dry DNB"),1,0)</f>
        <v>0</v>
      </c>
      <c r="Y2085" s="39" t="n">
        <f aca="false">MATCH(A2085,DATAS,0)</f>
        <v>1</v>
      </c>
      <c r="Z2085" s="39" t="n">
        <f aca="false">IF(AND(E2085&gt;0,OR(AND(B2085&gt;=1,B2085&lt;=6),B2085=10)),1,0)</f>
        <v>0</v>
      </c>
      <c r="AA2085" s="39" t="n">
        <f aca="false">IF(AND(E2085&gt;0,B2085=10),1,0)</f>
        <v>0</v>
      </c>
      <c r="AB2085" s="0" t="str">
        <f aca="false">IF(AND(C2084=C2085,Y2084=Y2085-1),Z2084,"")</f>
        <v/>
      </c>
      <c r="AC2085" s="0" t="str">
        <f aca="false">IF(AND(C2084=C2085,Y2084=Y2085-1),AA2084,"")</f>
        <v/>
      </c>
      <c r="AD2085" s="0" t="str">
        <f aca="false">IF(Y2085=1,"",IF(AND(Z2085=1,AB2085&lt;&gt;1),1,0))</f>
        <v/>
      </c>
      <c r="AE2085" s="0" t="str">
        <f aca="false">IF(Y2085=1,"",IF(AND(AA2085=1,AC2085&lt;&gt;1),1,0))</f>
        <v/>
      </c>
      <c r="AF2085" s="45" t="str">
        <f aca="false">IF(AND(E2085&gt;0,Y2085&lt;1,NOT(AND(C2086=C2085,Y2086=Y2085+1))),INDEX(DATAS,Y2085+1),"")</f>
        <v/>
      </c>
      <c r="AG2085" s="45" t="str">
        <f aca="false">IF(AND(AA2085=1,Y2085&lt;1),IF(AND(C2086=C2085,Y2086=Y2085+1),IF(AA2086=1,"",INDEX(DATAS,Y2085+1)),INDEX(DATAS,Y2085+1)),"")</f>
        <v/>
      </c>
    </row>
    <row r="2086" customFormat="false" ht="15" hidden="false" customHeight="false" outlineLevel="0" collapsed="false">
      <c r="A2086" s="45" t="n">
        <v>46309</v>
      </c>
      <c r="B2086" s="0" t="n">
        <v>8</v>
      </c>
      <c r="C2086" s="0" t="n">
        <v>6366</v>
      </c>
      <c r="E2086" s="0" t="n">
        <v>0</v>
      </c>
      <c r="F2086" s="39" t="s">
        <v>1139</v>
      </c>
      <c r="I2086" s="39" t="s">
        <v>109</v>
      </c>
      <c r="L2086" s="0" t="n">
        <v>182</v>
      </c>
      <c r="U2086" s="0" t="n">
        <v>585</v>
      </c>
      <c r="V2086" s="0" t="n">
        <v>1</v>
      </c>
      <c r="W2086" s="39" t="n">
        <f aca="false">IF(I2086="Male",0,1)</f>
        <v>1</v>
      </c>
      <c r="X2086" s="39" t="n">
        <f aca="false">IF(OR(I2086="DNB",I2086="Dry DNB"),1,0)</f>
        <v>0</v>
      </c>
      <c r="Y2086" s="39" t="n">
        <f aca="false">MATCH(A2086,DATAS,0)</f>
        <v>1</v>
      </c>
      <c r="Z2086" s="39" t="n">
        <f aca="false">IF(AND(E2086&gt;0,OR(AND(B2086&gt;=1,B2086&lt;=6),B2086=10)),1,0)</f>
        <v>0</v>
      </c>
      <c r="AA2086" s="39" t="n">
        <f aca="false">IF(AND(E2086&gt;0,B2086=10),1,0)</f>
        <v>0</v>
      </c>
      <c r="AB2086" s="0" t="str">
        <f aca="false">IF(AND(C2085=C2086,Y2085=Y2086-1),Z2085,"")</f>
        <v/>
      </c>
      <c r="AC2086" s="0" t="str">
        <f aca="false">IF(AND(C2085=C2086,Y2085=Y2086-1),AA2085,"")</f>
        <v/>
      </c>
      <c r="AD2086" s="0" t="str">
        <f aca="false">IF(Y2086=1,"",IF(AND(Z2086=1,AB2086&lt;&gt;1),1,0))</f>
        <v/>
      </c>
      <c r="AE2086" s="0" t="str">
        <f aca="false">IF(Y2086=1,"",IF(AND(AA2086=1,AC2086&lt;&gt;1),1,0))</f>
        <v/>
      </c>
      <c r="AF2086" s="45" t="str">
        <f aca="false">IF(AND(E2086&gt;0,Y2086&lt;1,NOT(AND(C2087=C2086,Y2087=Y2086+1))),INDEX(DATAS,Y2086+1),"")</f>
        <v/>
      </c>
      <c r="AG2086" s="45" t="str">
        <f aca="false">IF(AND(AA2086=1,Y2086&lt;1),IF(AND(C2087=C2086,Y2087=Y2086+1),IF(AA2087=1,"",INDEX(DATAS,Y2086+1)),INDEX(DATAS,Y2086+1)),"")</f>
        <v/>
      </c>
    </row>
    <row r="2087" customFormat="false" ht="15" hidden="false" customHeight="false" outlineLevel="0" collapsed="false">
      <c r="A2087" s="45" t="n">
        <v>46309</v>
      </c>
      <c r="B2087" s="0" t="n">
        <v>8</v>
      </c>
      <c r="C2087" s="0" t="n">
        <v>6367</v>
      </c>
      <c r="E2087" s="0" t="n">
        <v>0</v>
      </c>
      <c r="F2087" s="39" t="s">
        <v>1139</v>
      </c>
      <c r="I2087" s="39" t="s">
        <v>109</v>
      </c>
      <c r="L2087" s="0" t="n">
        <v>169</v>
      </c>
      <c r="U2087" s="0" t="n">
        <v>585</v>
      </c>
      <c r="V2087" s="0" t="n">
        <v>2</v>
      </c>
      <c r="W2087" s="39" t="n">
        <f aca="false">IF(I2087="Male",0,1)</f>
        <v>1</v>
      </c>
      <c r="X2087" s="39" t="n">
        <f aca="false">IF(OR(I2087="DNB",I2087="Dry DNB"),1,0)</f>
        <v>0</v>
      </c>
      <c r="Y2087" s="39" t="n">
        <f aca="false">MATCH(A2087,DATAS,0)</f>
        <v>1</v>
      </c>
      <c r="Z2087" s="39" t="n">
        <f aca="false">IF(AND(E2087&gt;0,OR(AND(B2087&gt;=1,B2087&lt;=6),B2087=10)),1,0)</f>
        <v>0</v>
      </c>
      <c r="AA2087" s="39" t="n">
        <f aca="false">IF(AND(E2087&gt;0,B2087=10),1,0)</f>
        <v>0</v>
      </c>
      <c r="AB2087" s="0" t="str">
        <f aca="false">IF(AND(C2086=C2087,Y2086=Y2087-1),Z2086,"")</f>
        <v/>
      </c>
      <c r="AC2087" s="0" t="str">
        <f aca="false">IF(AND(C2086=C2087,Y2086=Y2087-1),AA2086,"")</f>
        <v/>
      </c>
      <c r="AD2087" s="0" t="str">
        <f aca="false">IF(Y2087=1,"",IF(AND(Z2087=1,AB2087&lt;&gt;1),1,0))</f>
        <v/>
      </c>
      <c r="AE2087" s="0" t="str">
        <f aca="false">IF(Y2087=1,"",IF(AND(AA2087=1,AC2087&lt;&gt;1),1,0))</f>
        <v/>
      </c>
      <c r="AF2087" s="45" t="str">
        <f aca="false">IF(AND(E2087&gt;0,Y2087&lt;1,NOT(AND(C2088=C2087,Y2088=Y2087+1))),INDEX(DATAS,Y2087+1),"")</f>
        <v/>
      </c>
      <c r="AG2087" s="45" t="str">
        <f aca="false">IF(AND(AA2087=1,Y2087&lt;1),IF(AND(C2088=C2087,Y2088=Y2087+1),IF(AA2088=1,"",INDEX(DATAS,Y2087+1)),INDEX(DATAS,Y2087+1)),"")</f>
        <v/>
      </c>
    </row>
    <row r="2088" customFormat="false" ht="15" hidden="false" customHeight="false" outlineLevel="0" collapsed="false">
      <c r="A2088" s="45" t="n">
        <v>46309</v>
      </c>
      <c r="B2088" s="0" t="n">
        <v>8</v>
      </c>
      <c r="C2088" s="0" t="n">
        <v>6368</v>
      </c>
      <c r="E2088" s="0" t="n">
        <v>0</v>
      </c>
      <c r="F2088" s="39" t="s">
        <v>1139</v>
      </c>
      <c r="I2088" s="39" t="s">
        <v>109</v>
      </c>
      <c r="L2088" s="0" t="n">
        <v>170</v>
      </c>
      <c r="U2088" s="0" t="n">
        <v>585</v>
      </c>
      <c r="V2088" s="0" t="n">
        <v>2</v>
      </c>
      <c r="W2088" s="39" t="n">
        <f aca="false">IF(I2088="Male",0,1)</f>
        <v>1</v>
      </c>
      <c r="X2088" s="39" t="n">
        <f aca="false">IF(OR(I2088="DNB",I2088="Dry DNB"),1,0)</f>
        <v>0</v>
      </c>
      <c r="Y2088" s="39" t="n">
        <f aca="false">MATCH(A2088,DATAS,0)</f>
        <v>1</v>
      </c>
      <c r="Z2088" s="39" t="n">
        <f aca="false">IF(AND(E2088&gt;0,OR(AND(B2088&gt;=1,B2088&lt;=6),B2088=10)),1,0)</f>
        <v>0</v>
      </c>
      <c r="AA2088" s="39" t="n">
        <f aca="false">IF(AND(E2088&gt;0,B2088=10),1,0)</f>
        <v>0</v>
      </c>
      <c r="AB2088" s="0" t="str">
        <f aca="false">IF(AND(C2087=C2088,Y2087=Y2088-1),Z2087,"")</f>
        <v/>
      </c>
      <c r="AC2088" s="0" t="str">
        <f aca="false">IF(AND(C2087=C2088,Y2087=Y2088-1),AA2087,"")</f>
        <v/>
      </c>
      <c r="AD2088" s="0" t="str">
        <f aca="false">IF(Y2088=1,"",IF(AND(Z2088=1,AB2088&lt;&gt;1),1,0))</f>
        <v/>
      </c>
      <c r="AE2088" s="0" t="str">
        <f aca="false">IF(Y2088=1,"",IF(AND(AA2088=1,AC2088&lt;&gt;1),1,0))</f>
        <v/>
      </c>
      <c r="AF2088" s="45" t="str">
        <f aca="false">IF(AND(E2088&gt;0,Y2088&lt;1,NOT(AND(C2089=C2088,Y2089=Y2088+1))),INDEX(DATAS,Y2088+1),"")</f>
        <v/>
      </c>
      <c r="AG2088" s="45" t="str">
        <f aca="false">IF(AND(AA2088=1,Y2088&lt;1),IF(AND(C2089=C2088,Y2089=Y2088+1),IF(AA2089=1,"",INDEX(DATAS,Y2088+1)),INDEX(DATAS,Y2088+1)),"")</f>
        <v/>
      </c>
    </row>
    <row r="2089" customFormat="false" ht="15" hidden="false" customHeight="false" outlineLevel="0" collapsed="false">
      <c r="A2089" s="45" t="n">
        <v>46309</v>
      </c>
      <c r="B2089" s="0" t="n">
        <v>8</v>
      </c>
      <c r="C2089" s="0" t="n">
        <v>6369</v>
      </c>
      <c r="E2089" s="0" t="n">
        <v>0</v>
      </c>
      <c r="F2089" s="39" t="s">
        <v>1140</v>
      </c>
      <c r="I2089" s="39" t="s">
        <v>109</v>
      </c>
      <c r="L2089" s="0" t="n">
        <v>181</v>
      </c>
      <c r="U2089" s="0" t="n">
        <v>584</v>
      </c>
      <c r="V2089" s="0" t="n">
        <v>1</v>
      </c>
      <c r="W2089" s="39" t="n">
        <f aca="false">IF(I2089="Male",0,1)</f>
        <v>1</v>
      </c>
      <c r="X2089" s="39" t="n">
        <f aca="false">IF(OR(I2089="DNB",I2089="Dry DNB"),1,0)</f>
        <v>0</v>
      </c>
      <c r="Y2089" s="39" t="n">
        <f aca="false">MATCH(A2089,DATAS,0)</f>
        <v>1</v>
      </c>
      <c r="Z2089" s="39" t="n">
        <f aca="false">IF(AND(E2089&gt;0,OR(AND(B2089&gt;=1,B2089&lt;=6),B2089=10)),1,0)</f>
        <v>0</v>
      </c>
      <c r="AA2089" s="39" t="n">
        <f aca="false">IF(AND(E2089&gt;0,B2089=10),1,0)</f>
        <v>0</v>
      </c>
      <c r="AB2089" s="0" t="str">
        <f aca="false">IF(AND(C2088=C2089,Y2088=Y2089-1),Z2088,"")</f>
        <v/>
      </c>
      <c r="AC2089" s="0" t="str">
        <f aca="false">IF(AND(C2088=C2089,Y2088=Y2089-1),AA2088,"")</f>
        <v/>
      </c>
      <c r="AD2089" s="0" t="str">
        <f aca="false">IF(Y2089=1,"",IF(AND(Z2089=1,AB2089&lt;&gt;1),1,0))</f>
        <v/>
      </c>
      <c r="AE2089" s="0" t="str">
        <f aca="false">IF(Y2089=1,"",IF(AND(AA2089=1,AC2089&lt;&gt;1),1,0))</f>
        <v/>
      </c>
      <c r="AF2089" s="45" t="str">
        <f aca="false">IF(AND(E2089&gt;0,Y2089&lt;1,NOT(AND(C2090=C2089,Y2090=Y2089+1))),INDEX(DATAS,Y2089+1),"")</f>
        <v/>
      </c>
      <c r="AG2089" s="45" t="str">
        <f aca="false">IF(AND(AA2089=1,Y2089&lt;1),IF(AND(C2090=C2089,Y2090=Y2089+1),IF(AA2090=1,"",INDEX(DATAS,Y2089+1)),INDEX(DATAS,Y2089+1)),"")</f>
        <v/>
      </c>
    </row>
    <row r="2090" customFormat="false" ht="15" hidden="false" customHeight="false" outlineLevel="0" collapsed="false">
      <c r="A2090" s="45" t="n">
        <v>46309</v>
      </c>
      <c r="B2090" s="0" t="n">
        <v>8</v>
      </c>
      <c r="C2090" s="0" t="n">
        <v>6371</v>
      </c>
      <c r="E2090" s="0" t="n">
        <v>0</v>
      </c>
      <c r="F2090" s="39" t="s">
        <v>1140</v>
      </c>
      <c r="I2090" s="39" t="s">
        <v>109</v>
      </c>
      <c r="L2090" s="0" t="n">
        <v>119</v>
      </c>
      <c r="U2090" s="0" t="n">
        <v>584</v>
      </c>
      <c r="V2090" s="0" t="n">
        <v>2</v>
      </c>
      <c r="W2090" s="39" t="n">
        <f aca="false">IF(I2090="Male",0,1)</f>
        <v>1</v>
      </c>
      <c r="X2090" s="39" t="n">
        <f aca="false">IF(OR(I2090="DNB",I2090="Dry DNB"),1,0)</f>
        <v>0</v>
      </c>
      <c r="Y2090" s="39" t="n">
        <f aca="false">MATCH(A2090,DATAS,0)</f>
        <v>1</v>
      </c>
      <c r="Z2090" s="39" t="n">
        <f aca="false">IF(AND(E2090&gt;0,OR(AND(B2090&gt;=1,B2090&lt;=6),B2090=10)),1,0)</f>
        <v>0</v>
      </c>
      <c r="AA2090" s="39" t="n">
        <f aca="false">IF(AND(E2090&gt;0,B2090=10),1,0)</f>
        <v>0</v>
      </c>
      <c r="AB2090" s="0" t="str">
        <f aca="false">IF(AND(C2089=C2090,Y2089=Y2090-1),Z2089,"")</f>
        <v/>
      </c>
      <c r="AC2090" s="0" t="str">
        <f aca="false">IF(AND(C2089=C2090,Y2089=Y2090-1),AA2089,"")</f>
        <v/>
      </c>
      <c r="AD2090" s="0" t="str">
        <f aca="false">IF(Y2090=1,"",IF(AND(Z2090=1,AB2090&lt;&gt;1),1,0))</f>
        <v/>
      </c>
      <c r="AE2090" s="0" t="str">
        <f aca="false">IF(Y2090=1,"",IF(AND(AA2090=1,AC2090&lt;&gt;1),1,0))</f>
        <v/>
      </c>
      <c r="AF2090" s="45" t="str">
        <f aca="false">IF(AND(E2090&gt;0,Y2090&lt;1,NOT(AND(C2091=C2090,Y2091=Y2090+1))),INDEX(DATAS,Y2090+1),"")</f>
        <v/>
      </c>
      <c r="AG2090" s="45" t="str">
        <f aca="false">IF(AND(AA2090=1,Y2090&lt;1),IF(AND(C2091=C2090,Y2091=Y2090+1),IF(AA2091=1,"",INDEX(DATAS,Y2090+1)),INDEX(DATAS,Y2090+1)),"")</f>
        <v/>
      </c>
    </row>
    <row r="2091" customFormat="false" ht="15" hidden="false" customHeight="false" outlineLevel="0" collapsed="false">
      <c r="A2091" s="45" t="n">
        <v>46309</v>
      </c>
      <c r="B2091" s="0" t="n">
        <v>13</v>
      </c>
      <c r="C2091" s="0" t="n">
        <v>6372</v>
      </c>
      <c r="E2091" s="0" t="n">
        <v>0</v>
      </c>
      <c r="F2091" s="39" t="s">
        <v>1141</v>
      </c>
      <c r="I2091" s="39" t="s">
        <v>146</v>
      </c>
      <c r="U2091" s="0" t="n">
        <v>583</v>
      </c>
      <c r="V2091" s="0" t="n">
        <v>0</v>
      </c>
      <c r="W2091" s="39" t="n">
        <f aca="false">IF(I2091="Male",0,1)</f>
        <v>1</v>
      </c>
      <c r="X2091" s="39" t="n">
        <f aca="false">IF(OR(I2091="DNB",I2091="Dry DNB"),1,0)</f>
        <v>0</v>
      </c>
      <c r="Y2091" s="39" t="n">
        <f aca="false">MATCH(A2091,DATAS,0)</f>
        <v>1</v>
      </c>
      <c r="Z2091" s="39" t="n">
        <f aca="false">IF(AND(E2091&gt;0,OR(AND(B2091&gt;=1,B2091&lt;=6),B2091=10)),1,0)</f>
        <v>0</v>
      </c>
      <c r="AA2091" s="39" t="n">
        <f aca="false">IF(AND(E2091&gt;0,B2091=10),1,0)</f>
        <v>0</v>
      </c>
      <c r="AB2091" s="0" t="str">
        <f aca="false">IF(AND(C2090=C2091,Y2090=Y2091-1),Z2090,"")</f>
        <v/>
      </c>
      <c r="AC2091" s="0" t="str">
        <f aca="false">IF(AND(C2090=C2091,Y2090=Y2091-1),AA2090,"")</f>
        <v/>
      </c>
      <c r="AD2091" s="0" t="str">
        <f aca="false">IF(Y2091=1,"",IF(AND(Z2091=1,AB2091&lt;&gt;1),1,0))</f>
        <v/>
      </c>
      <c r="AE2091" s="0" t="str">
        <f aca="false">IF(Y2091=1,"",IF(AND(AA2091=1,AC2091&lt;&gt;1),1,0))</f>
        <v/>
      </c>
      <c r="AF2091" s="45" t="str">
        <f aca="false">IF(AND(E2091&gt;0,Y2091&lt;1,NOT(AND(C2092=C2091,Y2092=Y2091+1))),INDEX(DATAS,Y2091+1),"")</f>
        <v/>
      </c>
      <c r="AG2091" s="45" t="str">
        <f aca="false">IF(AND(AA2091=1,Y2091&lt;1),IF(AND(C2092=C2091,Y2092=Y2091+1),IF(AA2092=1,"",INDEX(DATAS,Y2091+1)),INDEX(DATAS,Y2091+1)),"")</f>
        <v/>
      </c>
    </row>
    <row r="2092" customFormat="false" ht="15" hidden="false" customHeight="false" outlineLevel="0" collapsed="false">
      <c r="A2092" s="45" t="n">
        <v>46309</v>
      </c>
      <c r="B2092" s="0" t="n">
        <v>8</v>
      </c>
      <c r="C2092" s="0" t="n">
        <v>6373</v>
      </c>
      <c r="E2092" s="0" t="n">
        <v>0</v>
      </c>
      <c r="F2092" s="39" t="s">
        <v>1141</v>
      </c>
      <c r="I2092" s="39" t="s">
        <v>109</v>
      </c>
      <c r="L2092" s="0" t="n">
        <v>180</v>
      </c>
      <c r="U2092" s="0" t="n">
        <v>583</v>
      </c>
      <c r="V2092" s="0" t="n">
        <v>1</v>
      </c>
      <c r="W2092" s="39" t="n">
        <f aca="false">IF(I2092="Male",0,1)</f>
        <v>1</v>
      </c>
      <c r="X2092" s="39" t="n">
        <f aca="false">IF(OR(I2092="DNB",I2092="Dry DNB"),1,0)</f>
        <v>0</v>
      </c>
      <c r="Y2092" s="39" t="n">
        <f aca="false">MATCH(A2092,DATAS,0)</f>
        <v>1</v>
      </c>
      <c r="Z2092" s="39" t="n">
        <f aca="false">IF(AND(E2092&gt;0,OR(AND(B2092&gt;=1,B2092&lt;=6),B2092=10)),1,0)</f>
        <v>0</v>
      </c>
      <c r="AA2092" s="39" t="n">
        <f aca="false">IF(AND(E2092&gt;0,B2092=10),1,0)</f>
        <v>0</v>
      </c>
      <c r="AB2092" s="0" t="str">
        <f aca="false">IF(AND(C2091=C2092,Y2091=Y2092-1),Z2091,"")</f>
        <v/>
      </c>
      <c r="AC2092" s="0" t="str">
        <f aca="false">IF(AND(C2091=C2092,Y2091=Y2092-1),AA2091,"")</f>
        <v/>
      </c>
      <c r="AD2092" s="0" t="str">
        <f aca="false">IF(Y2092=1,"",IF(AND(Z2092=1,AB2092&lt;&gt;1),1,0))</f>
        <v/>
      </c>
      <c r="AE2092" s="0" t="str">
        <f aca="false">IF(Y2092=1,"",IF(AND(AA2092=1,AC2092&lt;&gt;1),1,0))</f>
        <v/>
      </c>
      <c r="AF2092" s="45" t="str">
        <f aca="false">IF(AND(E2092&gt;0,Y2092&lt;1,NOT(AND(C2093=C2092,Y2093=Y2092+1))),INDEX(DATAS,Y2092+1),"")</f>
        <v/>
      </c>
      <c r="AG2092" s="45" t="str">
        <f aca="false">IF(AND(AA2092=1,Y2092&lt;1),IF(AND(C2093=C2092,Y2093=Y2092+1),IF(AA2093=1,"",INDEX(DATAS,Y2092+1)),INDEX(DATAS,Y2092+1)),"")</f>
        <v/>
      </c>
    </row>
    <row r="2093" customFormat="false" ht="15" hidden="false" customHeight="false" outlineLevel="0" collapsed="false">
      <c r="A2093" s="45" t="n">
        <v>46309</v>
      </c>
      <c r="B2093" s="0" t="n">
        <v>11</v>
      </c>
      <c r="C2093" s="0" t="n">
        <v>6374</v>
      </c>
      <c r="E2093" s="0" t="n">
        <v>0</v>
      </c>
      <c r="F2093" s="39" t="s">
        <v>1141</v>
      </c>
      <c r="I2093" s="39" t="s">
        <v>138</v>
      </c>
      <c r="U2093" s="0" t="n">
        <v>583</v>
      </c>
      <c r="V2093" s="0" t="n">
        <v>6</v>
      </c>
      <c r="W2093" s="39" t="n">
        <f aca="false">IF(I2093="Male",0,1)</f>
        <v>1</v>
      </c>
      <c r="X2093" s="39" t="n">
        <f aca="false">IF(OR(I2093="DNB",I2093="Dry DNB"),1,0)</f>
        <v>0</v>
      </c>
      <c r="Y2093" s="39" t="n">
        <f aca="false">MATCH(A2093,DATAS,0)</f>
        <v>1</v>
      </c>
      <c r="Z2093" s="39" t="n">
        <f aca="false">IF(AND(E2093&gt;0,OR(AND(B2093&gt;=1,B2093&lt;=6),B2093=10)),1,0)</f>
        <v>0</v>
      </c>
      <c r="AA2093" s="39" t="n">
        <f aca="false">IF(AND(E2093&gt;0,B2093=10),1,0)</f>
        <v>0</v>
      </c>
      <c r="AB2093" s="0" t="str">
        <f aca="false">IF(AND(C2092=C2093,Y2092=Y2093-1),Z2092,"")</f>
        <v/>
      </c>
      <c r="AC2093" s="0" t="str">
        <f aca="false">IF(AND(C2092=C2093,Y2092=Y2093-1),AA2092,"")</f>
        <v/>
      </c>
      <c r="AD2093" s="0" t="str">
        <f aca="false">IF(Y2093=1,"",IF(AND(Z2093=1,AB2093&lt;&gt;1),1,0))</f>
        <v/>
      </c>
      <c r="AE2093" s="0" t="str">
        <f aca="false">IF(Y2093=1,"",IF(AND(AA2093=1,AC2093&lt;&gt;1),1,0))</f>
        <v/>
      </c>
      <c r="AF2093" s="45" t="str">
        <f aca="false">IF(AND(E2093&gt;0,Y2093&lt;1,NOT(AND(C2094=C2093,Y2094=Y2093+1))),INDEX(DATAS,Y2093+1),"")</f>
        <v/>
      </c>
      <c r="AG2093" s="45" t="str">
        <f aca="false">IF(AND(AA2093=1,Y2093&lt;1),IF(AND(C2094=C2093,Y2094=Y2093+1),IF(AA2094=1,"",INDEX(DATAS,Y2093+1)),INDEX(DATAS,Y2093+1)),"")</f>
        <v/>
      </c>
    </row>
    <row r="2094" customFormat="false" ht="15" hidden="false" customHeight="false" outlineLevel="0" collapsed="false">
      <c r="A2094" s="45" t="n">
        <v>46309</v>
      </c>
      <c r="B2094" s="0" t="n">
        <v>8</v>
      </c>
      <c r="C2094" s="0" t="n">
        <v>6375</v>
      </c>
      <c r="E2094" s="0" t="n">
        <v>0</v>
      </c>
      <c r="F2094" s="39" t="s">
        <v>1142</v>
      </c>
      <c r="I2094" s="39" t="s">
        <v>109</v>
      </c>
      <c r="L2094" s="0" t="n">
        <v>185</v>
      </c>
      <c r="U2094" s="0" t="n">
        <v>582</v>
      </c>
      <c r="V2094" s="0" t="n">
        <v>1</v>
      </c>
      <c r="W2094" s="39" t="n">
        <f aca="false">IF(I2094="Male",0,1)</f>
        <v>1</v>
      </c>
      <c r="X2094" s="39" t="n">
        <f aca="false">IF(OR(I2094="DNB",I2094="Dry DNB"),1,0)</f>
        <v>0</v>
      </c>
      <c r="Y2094" s="39" t="n">
        <f aca="false">MATCH(A2094,DATAS,0)</f>
        <v>1</v>
      </c>
      <c r="Z2094" s="39" t="n">
        <f aca="false">IF(AND(E2094&gt;0,OR(AND(B2094&gt;=1,B2094&lt;=6),B2094=10)),1,0)</f>
        <v>0</v>
      </c>
      <c r="AA2094" s="39" t="n">
        <f aca="false">IF(AND(E2094&gt;0,B2094=10),1,0)</f>
        <v>0</v>
      </c>
      <c r="AB2094" s="0" t="str">
        <f aca="false">IF(AND(C2093=C2094,Y2093=Y2094-1),Z2093,"")</f>
        <v/>
      </c>
      <c r="AC2094" s="0" t="str">
        <f aca="false">IF(AND(C2093=C2094,Y2093=Y2094-1),AA2093,"")</f>
        <v/>
      </c>
      <c r="AD2094" s="0" t="str">
        <f aca="false">IF(Y2094=1,"",IF(AND(Z2094=1,AB2094&lt;&gt;1),1,0))</f>
        <v/>
      </c>
      <c r="AE2094" s="0" t="str">
        <f aca="false">IF(Y2094=1,"",IF(AND(AA2094=1,AC2094&lt;&gt;1),1,0))</f>
        <v/>
      </c>
      <c r="AF2094" s="45" t="str">
        <f aca="false">IF(AND(E2094&gt;0,Y2094&lt;1,NOT(AND(C2095=C2094,Y2095=Y2094+1))),INDEX(DATAS,Y2094+1),"")</f>
        <v/>
      </c>
      <c r="AG2094" s="45" t="str">
        <f aca="false">IF(AND(AA2094=1,Y2094&lt;1),IF(AND(C2095=C2094,Y2095=Y2094+1),IF(AA2095=1,"",INDEX(DATAS,Y2094+1)),INDEX(DATAS,Y2094+1)),"")</f>
        <v/>
      </c>
    </row>
    <row r="2095" customFormat="false" ht="15" hidden="false" customHeight="false" outlineLevel="0" collapsed="false">
      <c r="A2095" s="45" t="n">
        <v>46309</v>
      </c>
      <c r="B2095" s="0" t="n">
        <v>8</v>
      </c>
      <c r="C2095" s="0" t="n">
        <v>6376</v>
      </c>
      <c r="E2095" s="0" t="n">
        <v>0</v>
      </c>
      <c r="F2095" s="39" t="s">
        <v>1142</v>
      </c>
      <c r="I2095" s="39" t="s">
        <v>109</v>
      </c>
      <c r="L2095" s="0" t="n">
        <v>162</v>
      </c>
      <c r="U2095" s="0" t="n">
        <v>582</v>
      </c>
      <c r="V2095" s="0" t="n">
        <v>2</v>
      </c>
      <c r="W2095" s="39" t="n">
        <f aca="false">IF(I2095="Male",0,1)</f>
        <v>1</v>
      </c>
      <c r="X2095" s="39" t="n">
        <f aca="false">IF(OR(I2095="DNB",I2095="Dry DNB"),1,0)</f>
        <v>0</v>
      </c>
      <c r="Y2095" s="39" t="n">
        <f aca="false">MATCH(A2095,DATAS,0)</f>
        <v>1</v>
      </c>
      <c r="Z2095" s="39" t="n">
        <f aca="false">IF(AND(E2095&gt;0,OR(AND(B2095&gt;=1,B2095&lt;=6),B2095=10)),1,0)</f>
        <v>0</v>
      </c>
      <c r="AA2095" s="39" t="n">
        <f aca="false">IF(AND(E2095&gt;0,B2095=10),1,0)</f>
        <v>0</v>
      </c>
      <c r="AB2095" s="0" t="str">
        <f aca="false">IF(AND(C2094=C2095,Y2094=Y2095-1),Z2094,"")</f>
        <v/>
      </c>
      <c r="AC2095" s="0" t="str">
        <f aca="false">IF(AND(C2094=C2095,Y2094=Y2095-1),AA2094,"")</f>
        <v/>
      </c>
      <c r="AD2095" s="0" t="str">
        <f aca="false">IF(Y2095=1,"",IF(AND(Z2095=1,AB2095&lt;&gt;1),1,0))</f>
        <v/>
      </c>
      <c r="AE2095" s="0" t="str">
        <f aca="false">IF(Y2095=1,"",IF(AND(AA2095=1,AC2095&lt;&gt;1),1,0))</f>
        <v/>
      </c>
      <c r="AF2095" s="45" t="str">
        <f aca="false">IF(AND(E2095&gt;0,Y2095&lt;1,NOT(AND(C2096=C2095,Y2096=Y2095+1))),INDEX(DATAS,Y2095+1),"")</f>
        <v/>
      </c>
      <c r="AG2095" s="45" t="str">
        <f aca="false">IF(AND(AA2095=1,Y2095&lt;1),IF(AND(C2096=C2095,Y2096=Y2095+1),IF(AA2096=1,"",INDEX(DATAS,Y2095+1)),INDEX(DATAS,Y2095+1)),"")</f>
        <v/>
      </c>
    </row>
    <row r="2096" customFormat="false" ht="15" hidden="false" customHeight="false" outlineLevel="0" collapsed="false">
      <c r="A2096" s="45" t="n">
        <v>46309</v>
      </c>
      <c r="B2096" s="0" t="n">
        <v>8</v>
      </c>
      <c r="C2096" s="0" t="n">
        <v>6377</v>
      </c>
      <c r="E2096" s="0" t="n">
        <v>0</v>
      </c>
      <c r="F2096" s="39" t="s">
        <v>1142</v>
      </c>
      <c r="I2096" s="39" t="s">
        <v>109</v>
      </c>
      <c r="L2096" s="0" t="n">
        <v>169</v>
      </c>
      <c r="U2096" s="0" t="n">
        <v>582</v>
      </c>
      <c r="V2096" s="0" t="n">
        <v>1</v>
      </c>
      <c r="W2096" s="39" t="n">
        <f aca="false">IF(I2096="Male",0,1)</f>
        <v>1</v>
      </c>
      <c r="X2096" s="39" t="n">
        <f aca="false">IF(OR(I2096="DNB",I2096="Dry DNB"),1,0)</f>
        <v>0</v>
      </c>
      <c r="Y2096" s="39" t="n">
        <f aca="false">MATCH(A2096,DATAS,0)</f>
        <v>1</v>
      </c>
      <c r="Z2096" s="39" t="n">
        <f aca="false">IF(AND(E2096&gt;0,OR(AND(B2096&gt;=1,B2096&lt;=6),B2096=10)),1,0)</f>
        <v>0</v>
      </c>
      <c r="AA2096" s="39" t="n">
        <f aca="false">IF(AND(E2096&gt;0,B2096=10),1,0)</f>
        <v>0</v>
      </c>
      <c r="AB2096" s="0" t="str">
        <f aca="false">IF(AND(C2095=C2096,Y2095=Y2096-1),Z2095,"")</f>
        <v/>
      </c>
      <c r="AC2096" s="0" t="str">
        <f aca="false">IF(AND(C2095=C2096,Y2095=Y2096-1),AA2095,"")</f>
        <v/>
      </c>
      <c r="AD2096" s="0" t="str">
        <f aca="false">IF(Y2096=1,"",IF(AND(Z2096=1,AB2096&lt;&gt;1),1,0))</f>
        <v/>
      </c>
      <c r="AE2096" s="0" t="str">
        <f aca="false">IF(Y2096=1,"",IF(AND(AA2096=1,AC2096&lt;&gt;1),1,0))</f>
        <v/>
      </c>
      <c r="AF2096" s="45" t="str">
        <f aca="false">IF(AND(E2096&gt;0,Y2096&lt;1,NOT(AND(C2097=C2096,Y2097=Y2096+1))),INDEX(DATAS,Y2096+1),"")</f>
        <v/>
      </c>
      <c r="AG2096" s="45" t="str">
        <f aca="false">IF(AND(AA2096=1,Y2096&lt;1),IF(AND(C2097=C2096,Y2097=Y2096+1),IF(AA2097=1,"",INDEX(DATAS,Y2096+1)),INDEX(DATAS,Y2096+1)),"")</f>
        <v/>
      </c>
    </row>
    <row r="2097" customFormat="false" ht="15" hidden="false" customHeight="false" outlineLevel="0" collapsed="false">
      <c r="A2097" s="45" t="n">
        <v>46309</v>
      </c>
      <c r="B2097" s="0" t="n">
        <v>8</v>
      </c>
      <c r="C2097" s="0" t="n">
        <v>6378</v>
      </c>
      <c r="E2097" s="0" t="n">
        <v>0</v>
      </c>
      <c r="F2097" s="39" t="s">
        <v>1143</v>
      </c>
      <c r="I2097" s="39" t="s">
        <v>109</v>
      </c>
      <c r="L2097" s="0" t="n">
        <v>182</v>
      </c>
      <c r="U2097" s="0" t="n">
        <v>581</v>
      </c>
      <c r="V2097" s="0" t="n">
        <v>1</v>
      </c>
      <c r="W2097" s="39" t="n">
        <f aca="false">IF(I2097="Male",0,1)</f>
        <v>1</v>
      </c>
      <c r="X2097" s="39" t="n">
        <f aca="false">IF(OR(I2097="DNB",I2097="Dry DNB"),1,0)</f>
        <v>0</v>
      </c>
      <c r="Y2097" s="39" t="n">
        <f aca="false">MATCH(A2097,DATAS,0)</f>
        <v>1</v>
      </c>
      <c r="Z2097" s="39" t="n">
        <f aca="false">IF(AND(E2097&gt;0,OR(AND(B2097&gt;=1,B2097&lt;=6),B2097=10)),1,0)</f>
        <v>0</v>
      </c>
      <c r="AA2097" s="39" t="n">
        <f aca="false">IF(AND(E2097&gt;0,B2097=10),1,0)</f>
        <v>0</v>
      </c>
      <c r="AB2097" s="0" t="str">
        <f aca="false">IF(AND(C2096=C2097,Y2096=Y2097-1),Z2096,"")</f>
        <v/>
      </c>
      <c r="AC2097" s="0" t="str">
        <f aca="false">IF(AND(C2096=C2097,Y2096=Y2097-1),AA2096,"")</f>
        <v/>
      </c>
      <c r="AD2097" s="0" t="str">
        <f aca="false">IF(Y2097=1,"",IF(AND(Z2097=1,AB2097&lt;&gt;1),1,0))</f>
        <v/>
      </c>
      <c r="AE2097" s="0" t="str">
        <f aca="false">IF(Y2097=1,"",IF(AND(AA2097=1,AC2097&lt;&gt;1),1,0))</f>
        <v/>
      </c>
      <c r="AF2097" s="45" t="str">
        <f aca="false">IF(AND(E2097&gt;0,Y2097&lt;1,NOT(AND(C2098=C2097,Y2098=Y2097+1))),INDEX(DATAS,Y2097+1),"")</f>
        <v/>
      </c>
      <c r="AG2097" s="45" t="str">
        <f aca="false">IF(AND(AA2097=1,Y2097&lt;1),IF(AND(C2098=C2097,Y2098=Y2097+1),IF(AA2098=1,"",INDEX(DATAS,Y2097+1)),INDEX(DATAS,Y2097+1)),"")</f>
        <v/>
      </c>
    </row>
    <row r="2098" customFormat="false" ht="15" hidden="false" customHeight="false" outlineLevel="0" collapsed="false">
      <c r="A2098" s="45" t="n">
        <v>46309</v>
      </c>
      <c r="B2098" s="0" t="n">
        <v>8</v>
      </c>
      <c r="C2098" s="0" t="n">
        <v>6379</v>
      </c>
      <c r="E2098" s="0" t="n">
        <v>0</v>
      </c>
      <c r="F2098" s="39" t="s">
        <v>1143</v>
      </c>
      <c r="I2098" s="39" t="s">
        <v>109</v>
      </c>
      <c r="L2098" s="0" t="n">
        <v>190</v>
      </c>
      <c r="U2098" s="0" t="n">
        <v>581</v>
      </c>
      <c r="V2098" s="0" t="n">
        <v>1</v>
      </c>
      <c r="W2098" s="39" t="n">
        <f aca="false">IF(I2098="Male",0,1)</f>
        <v>1</v>
      </c>
      <c r="X2098" s="39" t="n">
        <f aca="false">IF(OR(I2098="DNB",I2098="Dry DNB"),1,0)</f>
        <v>0</v>
      </c>
      <c r="Y2098" s="39" t="n">
        <f aca="false">MATCH(A2098,DATAS,0)</f>
        <v>1</v>
      </c>
      <c r="Z2098" s="39" t="n">
        <f aca="false">IF(AND(E2098&gt;0,OR(AND(B2098&gt;=1,B2098&lt;=6),B2098=10)),1,0)</f>
        <v>0</v>
      </c>
      <c r="AA2098" s="39" t="n">
        <f aca="false">IF(AND(E2098&gt;0,B2098=10),1,0)</f>
        <v>0</v>
      </c>
      <c r="AB2098" s="0" t="str">
        <f aca="false">IF(AND(C2097=C2098,Y2097=Y2098-1),Z2097,"")</f>
        <v/>
      </c>
      <c r="AC2098" s="0" t="str">
        <f aca="false">IF(AND(C2097=C2098,Y2097=Y2098-1),AA2097,"")</f>
        <v/>
      </c>
      <c r="AD2098" s="0" t="str">
        <f aca="false">IF(Y2098=1,"",IF(AND(Z2098=1,AB2098&lt;&gt;1),1,0))</f>
        <v/>
      </c>
      <c r="AE2098" s="0" t="str">
        <f aca="false">IF(Y2098=1,"",IF(AND(AA2098=1,AC2098&lt;&gt;1),1,0))</f>
        <v/>
      </c>
      <c r="AF2098" s="45" t="str">
        <f aca="false">IF(AND(E2098&gt;0,Y2098&lt;1,NOT(AND(C2099=C2098,Y2099=Y2098+1))),INDEX(DATAS,Y2098+1),"")</f>
        <v/>
      </c>
      <c r="AG2098" s="45" t="str">
        <f aca="false">IF(AND(AA2098=1,Y2098&lt;1),IF(AND(C2099=C2098,Y2099=Y2098+1),IF(AA2099=1,"",INDEX(DATAS,Y2098+1)),INDEX(DATAS,Y2098+1)),"")</f>
        <v/>
      </c>
    </row>
    <row r="2099" customFormat="false" ht="15" hidden="false" customHeight="false" outlineLevel="0" collapsed="false">
      <c r="A2099" s="45" t="n">
        <v>46309</v>
      </c>
      <c r="B2099" s="0" t="n">
        <v>8</v>
      </c>
      <c r="C2099" s="0" t="n">
        <v>6380</v>
      </c>
      <c r="E2099" s="0" t="n">
        <v>0</v>
      </c>
      <c r="F2099" s="39" t="s">
        <v>1144</v>
      </c>
      <c r="I2099" s="39" t="s">
        <v>109</v>
      </c>
      <c r="L2099" s="0" t="n">
        <v>101</v>
      </c>
      <c r="U2099" s="0" t="n">
        <v>580</v>
      </c>
      <c r="V2099" s="0" t="n">
        <v>3</v>
      </c>
      <c r="W2099" s="39" t="n">
        <f aca="false">IF(I2099="Male",0,1)</f>
        <v>1</v>
      </c>
      <c r="X2099" s="39" t="n">
        <f aca="false">IF(OR(I2099="DNB",I2099="Dry DNB"),1,0)</f>
        <v>0</v>
      </c>
      <c r="Y2099" s="39" t="n">
        <f aca="false">MATCH(A2099,DATAS,0)</f>
        <v>1</v>
      </c>
      <c r="Z2099" s="39" t="n">
        <f aca="false">IF(AND(E2099&gt;0,OR(AND(B2099&gt;=1,B2099&lt;=6),B2099=10)),1,0)</f>
        <v>0</v>
      </c>
      <c r="AA2099" s="39" t="n">
        <f aca="false">IF(AND(E2099&gt;0,B2099=10),1,0)</f>
        <v>0</v>
      </c>
      <c r="AB2099" s="0" t="str">
        <f aca="false">IF(AND(C2098=C2099,Y2098=Y2099-1),Z2098,"")</f>
        <v/>
      </c>
      <c r="AC2099" s="0" t="str">
        <f aca="false">IF(AND(C2098=C2099,Y2098=Y2099-1),AA2098,"")</f>
        <v/>
      </c>
      <c r="AD2099" s="0" t="str">
        <f aca="false">IF(Y2099=1,"",IF(AND(Z2099=1,AB2099&lt;&gt;1),1,0))</f>
        <v/>
      </c>
      <c r="AE2099" s="0" t="str">
        <f aca="false">IF(Y2099=1,"",IF(AND(AA2099=1,AC2099&lt;&gt;1),1,0))</f>
        <v/>
      </c>
      <c r="AF2099" s="45" t="str">
        <f aca="false">IF(AND(E2099&gt;0,Y2099&lt;1,NOT(AND(C2100=C2099,Y2100=Y2099+1))),INDEX(DATAS,Y2099+1),"")</f>
        <v/>
      </c>
      <c r="AG2099" s="45" t="str">
        <f aca="false">IF(AND(AA2099=1,Y2099&lt;1),IF(AND(C2100=C2099,Y2100=Y2099+1),IF(AA2100=1,"",INDEX(DATAS,Y2099+1)),INDEX(DATAS,Y2099+1)),"")</f>
        <v/>
      </c>
    </row>
    <row r="2100" customFormat="false" ht="15" hidden="false" customHeight="false" outlineLevel="0" collapsed="false">
      <c r="A2100" s="45" t="n">
        <v>46309</v>
      </c>
      <c r="B2100" s="0" t="n">
        <v>8</v>
      </c>
      <c r="C2100" s="0" t="n">
        <v>6381</v>
      </c>
      <c r="E2100" s="0" t="n">
        <v>0</v>
      </c>
      <c r="F2100" s="39" t="s">
        <v>1144</v>
      </c>
      <c r="I2100" s="39" t="s">
        <v>109</v>
      </c>
      <c r="L2100" s="0" t="n">
        <v>162</v>
      </c>
      <c r="U2100" s="0" t="n">
        <v>580</v>
      </c>
      <c r="V2100" s="0" t="n">
        <v>1</v>
      </c>
      <c r="W2100" s="39" t="n">
        <f aca="false">IF(I2100="Male",0,1)</f>
        <v>1</v>
      </c>
      <c r="X2100" s="39" t="n">
        <f aca="false">IF(OR(I2100="DNB",I2100="Dry DNB"),1,0)</f>
        <v>0</v>
      </c>
      <c r="Y2100" s="39" t="n">
        <f aca="false">MATCH(A2100,DATAS,0)</f>
        <v>1</v>
      </c>
      <c r="Z2100" s="39" t="n">
        <f aca="false">IF(AND(E2100&gt;0,OR(AND(B2100&gt;=1,B2100&lt;=6),B2100=10)),1,0)</f>
        <v>0</v>
      </c>
      <c r="AA2100" s="39" t="n">
        <f aca="false">IF(AND(E2100&gt;0,B2100=10),1,0)</f>
        <v>0</v>
      </c>
      <c r="AB2100" s="0" t="str">
        <f aca="false">IF(AND(C2099=C2100,Y2099=Y2100-1),Z2099,"")</f>
        <v/>
      </c>
      <c r="AC2100" s="0" t="str">
        <f aca="false">IF(AND(C2099=C2100,Y2099=Y2100-1),AA2099,"")</f>
        <v/>
      </c>
      <c r="AD2100" s="0" t="str">
        <f aca="false">IF(Y2100=1,"",IF(AND(Z2100=1,AB2100&lt;&gt;1),1,0))</f>
        <v/>
      </c>
      <c r="AE2100" s="0" t="str">
        <f aca="false">IF(Y2100=1,"",IF(AND(AA2100=1,AC2100&lt;&gt;1),1,0))</f>
        <v/>
      </c>
      <c r="AF2100" s="45" t="str">
        <f aca="false">IF(AND(E2100&gt;0,Y2100&lt;1,NOT(AND(C2101=C2100,Y2101=Y2100+1))),INDEX(DATAS,Y2100+1),"")</f>
        <v/>
      </c>
      <c r="AG2100" s="45" t="str">
        <f aca="false">IF(AND(AA2100=1,Y2100&lt;1),IF(AND(C2101=C2100,Y2101=Y2100+1),IF(AA2101=1,"",INDEX(DATAS,Y2100+1)),INDEX(DATAS,Y2100+1)),"")</f>
        <v/>
      </c>
    </row>
    <row r="2101" customFormat="false" ht="15" hidden="false" customHeight="false" outlineLevel="0" collapsed="false">
      <c r="A2101" s="45" t="n">
        <v>46309</v>
      </c>
      <c r="B2101" s="0" t="n">
        <v>8</v>
      </c>
      <c r="C2101" s="0" t="n">
        <v>6383</v>
      </c>
      <c r="E2101" s="0" t="n">
        <v>0</v>
      </c>
      <c r="F2101" s="39" t="s">
        <v>1145</v>
      </c>
      <c r="I2101" s="39" t="s">
        <v>109</v>
      </c>
      <c r="L2101" s="0" t="n">
        <v>118</v>
      </c>
      <c r="U2101" s="0" t="n">
        <v>579</v>
      </c>
      <c r="V2101" s="0" t="n">
        <v>2</v>
      </c>
      <c r="W2101" s="39" t="n">
        <f aca="false">IF(I2101="Male",0,1)</f>
        <v>1</v>
      </c>
      <c r="X2101" s="39" t="n">
        <f aca="false">IF(OR(I2101="DNB",I2101="Dry DNB"),1,0)</f>
        <v>0</v>
      </c>
      <c r="Y2101" s="39" t="n">
        <f aca="false">MATCH(A2101,DATAS,0)</f>
        <v>1</v>
      </c>
      <c r="Z2101" s="39" t="n">
        <f aca="false">IF(AND(E2101&gt;0,OR(AND(B2101&gt;=1,B2101&lt;=6),B2101=10)),1,0)</f>
        <v>0</v>
      </c>
      <c r="AA2101" s="39" t="n">
        <f aca="false">IF(AND(E2101&gt;0,B2101=10),1,0)</f>
        <v>0</v>
      </c>
      <c r="AB2101" s="0" t="str">
        <f aca="false">IF(AND(C2100=C2101,Y2100=Y2101-1),Z2100,"")</f>
        <v/>
      </c>
      <c r="AC2101" s="0" t="str">
        <f aca="false">IF(AND(C2100=C2101,Y2100=Y2101-1),AA2100,"")</f>
        <v/>
      </c>
      <c r="AD2101" s="0" t="str">
        <f aca="false">IF(Y2101=1,"",IF(AND(Z2101=1,AB2101&lt;&gt;1),1,0))</f>
        <v/>
      </c>
      <c r="AE2101" s="0" t="str">
        <f aca="false">IF(Y2101=1,"",IF(AND(AA2101=1,AC2101&lt;&gt;1),1,0))</f>
        <v/>
      </c>
      <c r="AF2101" s="45" t="str">
        <f aca="false">IF(AND(E2101&gt;0,Y2101&lt;1,NOT(AND(C2102=C2101,Y2102=Y2101+1))),INDEX(DATAS,Y2101+1),"")</f>
        <v/>
      </c>
      <c r="AG2101" s="45" t="str">
        <f aca="false">IF(AND(AA2101=1,Y2101&lt;1),IF(AND(C2102=C2101,Y2102=Y2101+1),IF(AA2102=1,"",INDEX(DATAS,Y2101+1)),INDEX(DATAS,Y2101+1)),"")</f>
        <v/>
      </c>
    </row>
    <row r="2102" customFormat="false" ht="15" hidden="false" customHeight="false" outlineLevel="0" collapsed="false">
      <c r="A2102" s="45" t="n">
        <v>46309</v>
      </c>
      <c r="B2102" s="0" t="n">
        <v>11</v>
      </c>
      <c r="C2102" s="0" t="n">
        <v>6384</v>
      </c>
      <c r="E2102" s="0" t="n">
        <v>0</v>
      </c>
      <c r="F2102" s="39" t="s">
        <v>1145</v>
      </c>
      <c r="I2102" s="39" t="s">
        <v>138</v>
      </c>
      <c r="U2102" s="0" t="n">
        <v>579</v>
      </c>
      <c r="V2102" s="0" t="n">
        <v>6</v>
      </c>
      <c r="W2102" s="39" t="n">
        <f aca="false">IF(I2102="Male",0,1)</f>
        <v>1</v>
      </c>
      <c r="X2102" s="39" t="n">
        <f aca="false">IF(OR(I2102="DNB",I2102="Dry DNB"),1,0)</f>
        <v>0</v>
      </c>
      <c r="Y2102" s="39" t="n">
        <f aca="false">MATCH(A2102,DATAS,0)</f>
        <v>1</v>
      </c>
      <c r="Z2102" s="39" t="n">
        <f aca="false">IF(AND(E2102&gt;0,OR(AND(B2102&gt;=1,B2102&lt;=6),B2102=10)),1,0)</f>
        <v>0</v>
      </c>
      <c r="AA2102" s="39" t="n">
        <f aca="false">IF(AND(E2102&gt;0,B2102=10),1,0)</f>
        <v>0</v>
      </c>
      <c r="AB2102" s="0" t="str">
        <f aca="false">IF(AND(C2101=C2102,Y2101=Y2102-1),Z2101,"")</f>
        <v/>
      </c>
      <c r="AC2102" s="0" t="str">
        <f aca="false">IF(AND(C2101=C2102,Y2101=Y2102-1),AA2101,"")</f>
        <v/>
      </c>
      <c r="AD2102" s="0" t="str">
        <f aca="false">IF(Y2102=1,"",IF(AND(Z2102=1,AB2102&lt;&gt;1),1,0))</f>
        <v/>
      </c>
      <c r="AE2102" s="0" t="str">
        <f aca="false">IF(Y2102=1,"",IF(AND(AA2102=1,AC2102&lt;&gt;1),1,0))</f>
        <v/>
      </c>
      <c r="AF2102" s="45" t="str">
        <f aca="false">IF(AND(E2102&gt;0,Y2102&lt;1,NOT(AND(C2103=C2102,Y2103=Y2102+1))),INDEX(DATAS,Y2102+1),"")</f>
        <v/>
      </c>
      <c r="AG2102" s="45" t="str">
        <f aca="false">IF(AND(AA2102=1,Y2102&lt;1),IF(AND(C2103=C2102,Y2103=Y2102+1),IF(AA2103=1,"",INDEX(DATAS,Y2102+1)),INDEX(DATAS,Y2102+1)),"")</f>
        <v/>
      </c>
    </row>
    <row r="2103" customFormat="false" ht="15" hidden="false" customHeight="false" outlineLevel="0" collapsed="false">
      <c r="A2103" s="45" t="n">
        <v>46309</v>
      </c>
      <c r="B2103" s="0" t="n">
        <v>8</v>
      </c>
      <c r="C2103" s="0" t="n">
        <v>6385</v>
      </c>
      <c r="E2103" s="0" t="n">
        <v>0</v>
      </c>
      <c r="F2103" s="39" t="s">
        <v>1146</v>
      </c>
      <c r="I2103" s="39" t="s">
        <v>109</v>
      </c>
      <c r="L2103" s="0" t="n">
        <v>123</v>
      </c>
      <c r="U2103" s="0" t="n">
        <v>577</v>
      </c>
      <c r="V2103" s="0" t="n">
        <v>4</v>
      </c>
      <c r="W2103" s="39" t="n">
        <f aca="false">IF(I2103="Male",0,1)</f>
        <v>1</v>
      </c>
      <c r="X2103" s="39" t="n">
        <f aca="false">IF(OR(I2103="DNB",I2103="Dry DNB"),1,0)</f>
        <v>0</v>
      </c>
      <c r="Y2103" s="39" t="n">
        <f aca="false">MATCH(A2103,DATAS,0)</f>
        <v>1</v>
      </c>
      <c r="Z2103" s="39" t="n">
        <f aca="false">IF(AND(E2103&gt;0,OR(AND(B2103&gt;=1,B2103&lt;=6),B2103=10)),1,0)</f>
        <v>0</v>
      </c>
      <c r="AA2103" s="39" t="n">
        <f aca="false">IF(AND(E2103&gt;0,B2103=10),1,0)</f>
        <v>0</v>
      </c>
      <c r="AB2103" s="0" t="str">
        <f aca="false">IF(AND(C2102=C2103,Y2102=Y2103-1),Z2102,"")</f>
        <v/>
      </c>
      <c r="AC2103" s="0" t="str">
        <f aca="false">IF(AND(C2102=C2103,Y2102=Y2103-1),AA2102,"")</f>
        <v/>
      </c>
      <c r="AD2103" s="0" t="str">
        <f aca="false">IF(Y2103=1,"",IF(AND(Z2103=1,AB2103&lt;&gt;1),1,0))</f>
        <v/>
      </c>
      <c r="AE2103" s="0" t="str">
        <f aca="false">IF(Y2103=1,"",IF(AND(AA2103=1,AC2103&lt;&gt;1),1,0))</f>
        <v/>
      </c>
      <c r="AF2103" s="45" t="str">
        <f aca="false">IF(AND(E2103&gt;0,Y2103&lt;1,NOT(AND(C2104=C2103,Y2104=Y2103+1))),INDEX(DATAS,Y2103+1),"")</f>
        <v/>
      </c>
      <c r="AG2103" s="45" t="str">
        <f aca="false">IF(AND(AA2103=1,Y2103&lt;1),IF(AND(C2104=C2103,Y2104=Y2103+1),IF(AA2104=1,"",INDEX(DATAS,Y2103+1)),INDEX(DATAS,Y2103+1)),"")</f>
        <v/>
      </c>
    </row>
    <row r="2104" customFormat="false" ht="15" hidden="false" customHeight="false" outlineLevel="0" collapsed="false">
      <c r="A2104" s="45" t="n">
        <v>46309</v>
      </c>
      <c r="B2104" s="0" t="n">
        <v>8</v>
      </c>
      <c r="C2104" s="0" t="n">
        <v>6386</v>
      </c>
      <c r="E2104" s="0" t="n">
        <v>0</v>
      </c>
      <c r="F2104" s="39" t="s">
        <v>1146</v>
      </c>
      <c r="I2104" s="39" t="s">
        <v>109</v>
      </c>
      <c r="L2104" s="0" t="n">
        <v>175</v>
      </c>
      <c r="U2104" s="0" t="n">
        <v>577</v>
      </c>
      <c r="V2104" s="0" t="n">
        <v>1</v>
      </c>
      <c r="W2104" s="39" t="n">
        <f aca="false">IF(I2104="Male",0,1)</f>
        <v>1</v>
      </c>
      <c r="X2104" s="39" t="n">
        <f aca="false">IF(OR(I2104="DNB",I2104="Dry DNB"),1,0)</f>
        <v>0</v>
      </c>
      <c r="Y2104" s="39" t="n">
        <f aca="false">MATCH(A2104,DATAS,0)</f>
        <v>1</v>
      </c>
      <c r="Z2104" s="39" t="n">
        <f aca="false">IF(AND(E2104&gt;0,OR(AND(B2104&gt;=1,B2104&lt;=6),B2104=10)),1,0)</f>
        <v>0</v>
      </c>
      <c r="AA2104" s="39" t="n">
        <f aca="false">IF(AND(E2104&gt;0,B2104=10),1,0)</f>
        <v>0</v>
      </c>
      <c r="AB2104" s="0" t="str">
        <f aca="false">IF(AND(C2103=C2104,Y2103=Y2104-1),Z2103,"")</f>
        <v/>
      </c>
      <c r="AC2104" s="0" t="str">
        <f aca="false">IF(AND(C2103=C2104,Y2103=Y2104-1),AA2103,"")</f>
        <v/>
      </c>
      <c r="AD2104" s="0" t="str">
        <f aca="false">IF(Y2104=1,"",IF(AND(Z2104=1,AB2104&lt;&gt;1),1,0))</f>
        <v/>
      </c>
      <c r="AE2104" s="0" t="str">
        <f aca="false">IF(Y2104=1,"",IF(AND(AA2104=1,AC2104&lt;&gt;1),1,0))</f>
        <v/>
      </c>
      <c r="AF2104" s="45" t="str">
        <f aca="false">IF(AND(E2104&gt;0,Y2104&lt;1,NOT(AND(C2105=C2104,Y2105=Y2104+1))),INDEX(DATAS,Y2104+1),"")</f>
        <v/>
      </c>
      <c r="AG2104" s="45" t="str">
        <f aca="false">IF(AND(AA2104=1,Y2104&lt;1),IF(AND(C2105=C2104,Y2105=Y2104+1),IF(AA2105=1,"",INDEX(DATAS,Y2104+1)),INDEX(DATAS,Y2104+1)),"")</f>
        <v/>
      </c>
    </row>
    <row r="2105" customFormat="false" ht="15" hidden="false" customHeight="false" outlineLevel="0" collapsed="false">
      <c r="A2105" s="45" t="n">
        <v>46309</v>
      </c>
      <c r="B2105" s="0" t="n">
        <v>8</v>
      </c>
      <c r="C2105" s="0" t="n">
        <v>6387</v>
      </c>
      <c r="E2105" s="0" t="n">
        <v>0</v>
      </c>
      <c r="F2105" s="39" t="s">
        <v>1147</v>
      </c>
      <c r="I2105" s="39" t="s">
        <v>109</v>
      </c>
      <c r="L2105" s="0" t="n">
        <v>175</v>
      </c>
      <c r="U2105" s="0" t="n">
        <v>578</v>
      </c>
      <c r="V2105" s="0" t="n">
        <v>1</v>
      </c>
      <c r="W2105" s="39" t="n">
        <f aca="false">IF(I2105="Male",0,1)</f>
        <v>1</v>
      </c>
      <c r="X2105" s="39" t="n">
        <f aca="false">IF(OR(I2105="DNB",I2105="Dry DNB"),1,0)</f>
        <v>0</v>
      </c>
      <c r="Y2105" s="39" t="n">
        <f aca="false">MATCH(A2105,DATAS,0)</f>
        <v>1</v>
      </c>
      <c r="Z2105" s="39" t="n">
        <f aca="false">IF(AND(E2105&gt;0,OR(AND(B2105&gt;=1,B2105&lt;=6),B2105=10)),1,0)</f>
        <v>0</v>
      </c>
      <c r="AA2105" s="39" t="n">
        <f aca="false">IF(AND(E2105&gt;0,B2105=10),1,0)</f>
        <v>0</v>
      </c>
      <c r="AB2105" s="0" t="str">
        <f aca="false">IF(AND(C2104=C2105,Y2104=Y2105-1),Z2104,"")</f>
        <v/>
      </c>
      <c r="AC2105" s="0" t="str">
        <f aca="false">IF(AND(C2104=C2105,Y2104=Y2105-1),AA2104,"")</f>
        <v/>
      </c>
      <c r="AD2105" s="0" t="str">
        <f aca="false">IF(Y2105=1,"",IF(AND(Z2105=1,AB2105&lt;&gt;1),1,0))</f>
        <v/>
      </c>
      <c r="AE2105" s="0" t="str">
        <f aca="false">IF(Y2105=1,"",IF(AND(AA2105=1,AC2105&lt;&gt;1),1,0))</f>
        <v/>
      </c>
      <c r="AF2105" s="45" t="str">
        <f aca="false">IF(AND(E2105&gt;0,Y2105&lt;1,NOT(AND(C2106=C2105,Y2106=Y2105+1))),INDEX(DATAS,Y2105+1),"")</f>
        <v/>
      </c>
      <c r="AG2105" s="45" t="str">
        <f aca="false">IF(AND(AA2105=1,Y2105&lt;1),IF(AND(C2106=C2105,Y2106=Y2105+1),IF(AA2106=1,"",INDEX(DATAS,Y2105+1)),INDEX(DATAS,Y2105+1)),"")</f>
        <v/>
      </c>
    </row>
    <row r="2106" customFormat="false" ht="15" hidden="false" customHeight="false" outlineLevel="0" collapsed="false">
      <c r="A2106" s="45" t="n">
        <v>46309</v>
      </c>
      <c r="B2106" s="0" t="n">
        <v>8</v>
      </c>
      <c r="C2106" s="0" t="n">
        <v>6388</v>
      </c>
      <c r="E2106" s="0" t="n">
        <v>0</v>
      </c>
      <c r="F2106" s="39" t="s">
        <v>1146</v>
      </c>
      <c r="I2106" s="39" t="s">
        <v>109</v>
      </c>
      <c r="L2106" s="0" t="n">
        <v>157</v>
      </c>
      <c r="U2106" s="0" t="n">
        <v>577</v>
      </c>
      <c r="V2106" s="0" t="n">
        <v>1</v>
      </c>
      <c r="W2106" s="39" t="n">
        <f aca="false">IF(I2106="Male",0,1)</f>
        <v>1</v>
      </c>
      <c r="X2106" s="39" t="n">
        <f aca="false">IF(OR(I2106="DNB",I2106="Dry DNB"),1,0)</f>
        <v>0</v>
      </c>
      <c r="Y2106" s="39" t="n">
        <f aca="false">MATCH(A2106,DATAS,0)</f>
        <v>1</v>
      </c>
      <c r="Z2106" s="39" t="n">
        <f aca="false">IF(AND(E2106&gt;0,OR(AND(B2106&gt;=1,B2106&lt;=6),B2106=10)),1,0)</f>
        <v>0</v>
      </c>
      <c r="AA2106" s="39" t="n">
        <f aca="false">IF(AND(E2106&gt;0,B2106=10),1,0)</f>
        <v>0</v>
      </c>
      <c r="AB2106" s="0" t="str">
        <f aca="false">IF(AND(C2105=C2106,Y2105=Y2106-1),Z2105,"")</f>
        <v/>
      </c>
      <c r="AC2106" s="0" t="str">
        <f aca="false">IF(AND(C2105=C2106,Y2105=Y2106-1),AA2105,"")</f>
        <v/>
      </c>
      <c r="AD2106" s="0" t="str">
        <f aca="false">IF(Y2106=1,"",IF(AND(Z2106=1,AB2106&lt;&gt;1),1,0))</f>
        <v/>
      </c>
      <c r="AE2106" s="0" t="str">
        <f aca="false">IF(Y2106=1,"",IF(AND(AA2106=1,AC2106&lt;&gt;1),1,0))</f>
        <v/>
      </c>
      <c r="AF2106" s="45" t="str">
        <f aca="false">IF(AND(E2106&gt;0,Y2106&lt;1,NOT(AND(C2107=C2106,Y2107=Y2106+1))),INDEX(DATAS,Y2106+1),"")</f>
        <v/>
      </c>
      <c r="AG2106" s="45" t="str">
        <f aca="false">IF(AND(AA2106=1,Y2106&lt;1),IF(AND(C2107=C2106,Y2107=Y2106+1),IF(AA2107=1,"",INDEX(DATAS,Y2106+1)),INDEX(DATAS,Y2106+1)),"")</f>
        <v/>
      </c>
    </row>
    <row r="2107" customFormat="false" ht="15" hidden="false" customHeight="false" outlineLevel="0" collapsed="false">
      <c r="A2107" s="45" t="n">
        <v>46309</v>
      </c>
      <c r="B2107" s="0" t="n">
        <v>8</v>
      </c>
      <c r="C2107" s="0" t="n">
        <v>6389</v>
      </c>
      <c r="E2107" s="0" t="n">
        <v>0</v>
      </c>
      <c r="F2107" s="39" t="s">
        <v>1146</v>
      </c>
      <c r="I2107" s="39" t="s">
        <v>109</v>
      </c>
      <c r="L2107" s="0" t="n">
        <v>176</v>
      </c>
      <c r="U2107" s="0" t="n">
        <v>577</v>
      </c>
      <c r="V2107" s="0" t="n">
        <v>1</v>
      </c>
      <c r="W2107" s="39" t="n">
        <f aca="false">IF(I2107="Male",0,1)</f>
        <v>1</v>
      </c>
      <c r="X2107" s="39" t="n">
        <f aca="false">IF(OR(I2107="DNB",I2107="Dry DNB"),1,0)</f>
        <v>0</v>
      </c>
      <c r="Y2107" s="39" t="n">
        <f aca="false">MATCH(A2107,DATAS,0)</f>
        <v>1</v>
      </c>
      <c r="Z2107" s="39" t="n">
        <f aca="false">IF(AND(E2107&gt;0,OR(AND(B2107&gt;=1,B2107&lt;=6),B2107=10)),1,0)</f>
        <v>0</v>
      </c>
      <c r="AA2107" s="39" t="n">
        <f aca="false">IF(AND(E2107&gt;0,B2107=10),1,0)</f>
        <v>0</v>
      </c>
      <c r="AB2107" s="0" t="str">
        <f aca="false">IF(AND(C2106=C2107,Y2106=Y2107-1),Z2106,"")</f>
        <v/>
      </c>
      <c r="AC2107" s="0" t="str">
        <f aca="false">IF(AND(C2106=C2107,Y2106=Y2107-1),AA2106,"")</f>
        <v/>
      </c>
      <c r="AD2107" s="0" t="str">
        <f aca="false">IF(Y2107=1,"",IF(AND(Z2107=1,AB2107&lt;&gt;1),1,0))</f>
        <v/>
      </c>
      <c r="AE2107" s="0" t="str">
        <f aca="false">IF(Y2107=1,"",IF(AND(AA2107=1,AC2107&lt;&gt;1),1,0))</f>
        <v/>
      </c>
      <c r="AF2107" s="45" t="str">
        <f aca="false">IF(AND(E2107&gt;0,Y2107&lt;1,NOT(AND(C2108=C2107,Y2108=Y2107+1))),INDEX(DATAS,Y2107+1),"")</f>
        <v/>
      </c>
      <c r="AG2107" s="45" t="str">
        <f aca="false">IF(AND(AA2107=1,Y2107&lt;1),IF(AND(C2108=C2107,Y2108=Y2107+1),IF(AA2108=1,"",INDEX(DATAS,Y2107+1)),INDEX(DATAS,Y2107+1)),"")</f>
        <v/>
      </c>
    </row>
    <row r="2108" customFormat="false" ht="15" hidden="false" customHeight="false" outlineLevel="0" collapsed="false">
      <c r="A2108" s="45" t="n">
        <v>46309</v>
      </c>
      <c r="B2108" s="0" t="n">
        <v>8</v>
      </c>
      <c r="C2108" s="0" t="n">
        <v>6391</v>
      </c>
      <c r="E2108" s="0" t="n">
        <v>0</v>
      </c>
      <c r="F2108" s="39" t="s">
        <v>1148</v>
      </c>
      <c r="I2108" s="39" t="s">
        <v>109</v>
      </c>
      <c r="L2108" s="0" t="n">
        <v>153</v>
      </c>
      <c r="U2108" s="0" t="n">
        <v>576</v>
      </c>
      <c r="V2108" s="0" t="n">
        <v>1</v>
      </c>
      <c r="W2108" s="39" t="n">
        <f aca="false">IF(I2108="Male",0,1)</f>
        <v>1</v>
      </c>
      <c r="X2108" s="39" t="n">
        <f aca="false">IF(OR(I2108="DNB",I2108="Dry DNB"),1,0)</f>
        <v>0</v>
      </c>
      <c r="Y2108" s="39" t="n">
        <f aca="false">MATCH(A2108,DATAS,0)</f>
        <v>1</v>
      </c>
      <c r="Z2108" s="39" t="n">
        <f aca="false">IF(AND(E2108&gt;0,OR(AND(B2108&gt;=1,B2108&lt;=6),B2108=10)),1,0)</f>
        <v>0</v>
      </c>
      <c r="AA2108" s="39" t="n">
        <f aca="false">IF(AND(E2108&gt;0,B2108=10),1,0)</f>
        <v>0</v>
      </c>
      <c r="AB2108" s="0" t="str">
        <f aca="false">IF(AND(C2107=C2108,Y2107=Y2108-1),Z2107,"")</f>
        <v/>
      </c>
      <c r="AC2108" s="0" t="str">
        <f aca="false">IF(AND(C2107=C2108,Y2107=Y2108-1),AA2107,"")</f>
        <v/>
      </c>
      <c r="AD2108" s="0" t="str">
        <f aca="false">IF(Y2108=1,"",IF(AND(Z2108=1,AB2108&lt;&gt;1),1,0))</f>
        <v/>
      </c>
      <c r="AE2108" s="0" t="str">
        <f aca="false">IF(Y2108=1,"",IF(AND(AA2108=1,AC2108&lt;&gt;1),1,0))</f>
        <v/>
      </c>
      <c r="AF2108" s="45" t="str">
        <f aca="false">IF(AND(E2108&gt;0,Y2108&lt;1,NOT(AND(C2109=C2108,Y2109=Y2108+1))),INDEX(DATAS,Y2108+1),"")</f>
        <v/>
      </c>
      <c r="AG2108" s="45" t="str">
        <f aca="false">IF(AND(AA2108=1,Y2108&lt;1),IF(AND(C2109=C2108,Y2109=Y2108+1),IF(AA2109=1,"",INDEX(DATAS,Y2108+1)),INDEX(DATAS,Y2108+1)),"")</f>
        <v/>
      </c>
    </row>
    <row r="2109" customFormat="false" ht="15" hidden="false" customHeight="false" outlineLevel="0" collapsed="false">
      <c r="A2109" s="45" t="n">
        <v>46309</v>
      </c>
      <c r="B2109" s="0" t="n">
        <v>8</v>
      </c>
      <c r="C2109" s="0" t="n">
        <v>6392</v>
      </c>
      <c r="E2109" s="0" t="n">
        <v>0</v>
      </c>
      <c r="F2109" s="39" t="s">
        <v>1148</v>
      </c>
      <c r="I2109" s="39" t="s">
        <v>109</v>
      </c>
      <c r="L2109" s="0" t="n">
        <v>162</v>
      </c>
      <c r="U2109" s="0" t="n">
        <v>576</v>
      </c>
      <c r="V2109" s="0" t="n">
        <v>1</v>
      </c>
      <c r="W2109" s="39" t="n">
        <f aca="false">IF(I2109="Male",0,1)</f>
        <v>1</v>
      </c>
      <c r="X2109" s="39" t="n">
        <f aca="false">IF(OR(I2109="DNB",I2109="Dry DNB"),1,0)</f>
        <v>0</v>
      </c>
      <c r="Y2109" s="39" t="n">
        <f aca="false">MATCH(A2109,DATAS,0)</f>
        <v>1</v>
      </c>
      <c r="Z2109" s="39" t="n">
        <f aca="false">IF(AND(E2109&gt;0,OR(AND(B2109&gt;=1,B2109&lt;=6),B2109=10)),1,0)</f>
        <v>0</v>
      </c>
      <c r="AA2109" s="39" t="n">
        <f aca="false">IF(AND(E2109&gt;0,B2109=10),1,0)</f>
        <v>0</v>
      </c>
      <c r="AB2109" s="0" t="str">
        <f aca="false">IF(AND(C2108=C2109,Y2108=Y2109-1),Z2108,"")</f>
        <v/>
      </c>
      <c r="AC2109" s="0" t="str">
        <f aca="false">IF(AND(C2108=C2109,Y2108=Y2109-1),AA2108,"")</f>
        <v/>
      </c>
      <c r="AD2109" s="0" t="str">
        <f aca="false">IF(Y2109=1,"",IF(AND(Z2109=1,AB2109&lt;&gt;1),1,0))</f>
        <v/>
      </c>
      <c r="AE2109" s="0" t="str">
        <f aca="false">IF(Y2109=1,"",IF(AND(AA2109=1,AC2109&lt;&gt;1),1,0))</f>
        <v/>
      </c>
      <c r="AF2109" s="45" t="str">
        <f aca="false">IF(AND(E2109&gt;0,Y2109&lt;1,NOT(AND(C2110=C2109,Y2110=Y2109+1))),INDEX(DATAS,Y2109+1),"")</f>
        <v/>
      </c>
      <c r="AG2109" s="45" t="str">
        <f aca="false">IF(AND(AA2109=1,Y2109&lt;1),IF(AND(C2110=C2109,Y2110=Y2109+1),IF(AA2110=1,"",INDEX(DATAS,Y2109+1)),INDEX(DATAS,Y2109+1)),"")</f>
        <v/>
      </c>
    </row>
    <row r="2110" customFormat="false" ht="15" hidden="false" customHeight="false" outlineLevel="0" collapsed="false">
      <c r="A2110" s="45" t="n">
        <v>46309</v>
      </c>
      <c r="B2110" s="0" t="n">
        <v>8</v>
      </c>
      <c r="C2110" s="0" t="n">
        <v>6393</v>
      </c>
      <c r="E2110" s="0" t="n">
        <v>0</v>
      </c>
      <c r="F2110" s="39" t="s">
        <v>1148</v>
      </c>
      <c r="I2110" s="39" t="s">
        <v>109</v>
      </c>
      <c r="L2110" s="0" t="n">
        <v>175</v>
      </c>
      <c r="U2110" s="0" t="n">
        <v>576</v>
      </c>
      <c r="V2110" s="0" t="n">
        <v>1</v>
      </c>
      <c r="W2110" s="39" t="n">
        <f aca="false">IF(I2110="Male",0,1)</f>
        <v>1</v>
      </c>
      <c r="X2110" s="39" t="n">
        <f aca="false">IF(OR(I2110="DNB",I2110="Dry DNB"),1,0)</f>
        <v>0</v>
      </c>
      <c r="Y2110" s="39" t="n">
        <f aca="false">MATCH(A2110,DATAS,0)</f>
        <v>1</v>
      </c>
      <c r="Z2110" s="39" t="n">
        <f aca="false">IF(AND(E2110&gt;0,OR(AND(B2110&gt;=1,B2110&lt;=6),B2110=10)),1,0)</f>
        <v>0</v>
      </c>
      <c r="AA2110" s="39" t="n">
        <f aca="false">IF(AND(E2110&gt;0,B2110=10),1,0)</f>
        <v>0</v>
      </c>
      <c r="AB2110" s="0" t="str">
        <f aca="false">IF(AND(C2109=C2110,Y2109=Y2110-1),Z2109,"")</f>
        <v/>
      </c>
      <c r="AC2110" s="0" t="str">
        <f aca="false">IF(AND(C2109=C2110,Y2109=Y2110-1),AA2109,"")</f>
        <v/>
      </c>
      <c r="AD2110" s="0" t="str">
        <f aca="false">IF(Y2110=1,"",IF(AND(Z2110=1,AB2110&lt;&gt;1),1,0))</f>
        <v/>
      </c>
      <c r="AE2110" s="0" t="str">
        <f aca="false">IF(Y2110=1,"",IF(AND(AA2110=1,AC2110&lt;&gt;1),1,0))</f>
        <v/>
      </c>
      <c r="AF2110" s="45" t="str">
        <f aca="false">IF(AND(E2110&gt;0,Y2110&lt;1,NOT(AND(C2111=C2110,Y2111=Y2110+1))),INDEX(DATAS,Y2110+1),"")</f>
        <v/>
      </c>
      <c r="AG2110" s="45" t="str">
        <f aca="false">IF(AND(AA2110=1,Y2110&lt;1),IF(AND(C2111=C2110,Y2111=Y2110+1),IF(AA2111=1,"",INDEX(DATAS,Y2110+1)),INDEX(DATAS,Y2110+1)),"")</f>
        <v/>
      </c>
    </row>
    <row r="2111" customFormat="false" ht="15" hidden="false" customHeight="false" outlineLevel="0" collapsed="false">
      <c r="A2111" s="45" t="n">
        <v>46309</v>
      </c>
      <c r="B2111" s="0" t="n">
        <v>8</v>
      </c>
      <c r="C2111" s="0" t="n">
        <v>6394</v>
      </c>
      <c r="E2111" s="0" t="n">
        <v>0</v>
      </c>
      <c r="F2111" s="39" t="s">
        <v>1149</v>
      </c>
      <c r="I2111" s="39" t="s">
        <v>109</v>
      </c>
      <c r="L2111" s="0" t="n">
        <v>181</v>
      </c>
      <c r="U2111" s="0" t="n">
        <v>575</v>
      </c>
      <c r="V2111" s="0" t="n">
        <v>1</v>
      </c>
      <c r="W2111" s="39" t="n">
        <f aca="false">IF(I2111="Male",0,1)</f>
        <v>1</v>
      </c>
      <c r="X2111" s="39" t="n">
        <f aca="false">IF(OR(I2111="DNB",I2111="Dry DNB"),1,0)</f>
        <v>0</v>
      </c>
      <c r="Y2111" s="39" t="n">
        <f aca="false">MATCH(A2111,DATAS,0)</f>
        <v>1</v>
      </c>
      <c r="Z2111" s="39" t="n">
        <f aca="false">IF(AND(E2111&gt;0,OR(AND(B2111&gt;=1,B2111&lt;=6),B2111=10)),1,0)</f>
        <v>0</v>
      </c>
      <c r="AA2111" s="39" t="n">
        <f aca="false">IF(AND(E2111&gt;0,B2111=10),1,0)</f>
        <v>0</v>
      </c>
      <c r="AB2111" s="0" t="str">
        <f aca="false">IF(AND(C2110=C2111,Y2110=Y2111-1),Z2110,"")</f>
        <v/>
      </c>
      <c r="AC2111" s="0" t="str">
        <f aca="false">IF(AND(C2110=C2111,Y2110=Y2111-1),AA2110,"")</f>
        <v/>
      </c>
      <c r="AD2111" s="0" t="str">
        <f aca="false">IF(Y2111=1,"",IF(AND(Z2111=1,AB2111&lt;&gt;1),1,0))</f>
        <v/>
      </c>
      <c r="AE2111" s="0" t="str">
        <f aca="false">IF(Y2111=1,"",IF(AND(AA2111=1,AC2111&lt;&gt;1),1,0))</f>
        <v/>
      </c>
      <c r="AF2111" s="45" t="str">
        <f aca="false">IF(AND(E2111&gt;0,Y2111&lt;1,NOT(AND(C2112=C2111,Y2112=Y2111+1))),INDEX(DATAS,Y2111+1),"")</f>
        <v/>
      </c>
      <c r="AG2111" s="45" t="str">
        <f aca="false">IF(AND(AA2111=1,Y2111&lt;1),IF(AND(C2112=C2111,Y2112=Y2111+1),IF(AA2112=1,"",INDEX(DATAS,Y2111+1)),INDEX(DATAS,Y2111+1)),"")</f>
        <v/>
      </c>
    </row>
    <row r="2112" customFormat="false" ht="15" hidden="false" customHeight="false" outlineLevel="0" collapsed="false">
      <c r="A2112" s="45" t="n">
        <v>46309</v>
      </c>
      <c r="B2112" s="0" t="n">
        <v>8</v>
      </c>
      <c r="C2112" s="0" t="n">
        <v>6395</v>
      </c>
      <c r="E2112" s="0" t="n">
        <v>0</v>
      </c>
      <c r="F2112" s="39" t="s">
        <v>1149</v>
      </c>
      <c r="I2112" s="39" t="s">
        <v>109</v>
      </c>
      <c r="L2112" s="0" t="n">
        <v>152</v>
      </c>
      <c r="U2112" s="0" t="n">
        <v>575</v>
      </c>
      <c r="V2112" s="0" t="n">
        <v>2</v>
      </c>
      <c r="W2112" s="39" t="n">
        <f aca="false">IF(I2112="Male",0,1)</f>
        <v>1</v>
      </c>
      <c r="X2112" s="39" t="n">
        <f aca="false">IF(OR(I2112="DNB",I2112="Dry DNB"),1,0)</f>
        <v>0</v>
      </c>
      <c r="Y2112" s="39" t="n">
        <f aca="false">MATCH(A2112,DATAS,0)</f>
        <v>1</v>
      </c>
      <c r="Z2112" s="39" t="n">
        <f aca="false">IF(AND(E2112&gt;0,OR(AND(B2112&gt;=1,B2112&lt;=6),B2112=10)),1,0)</f>
        <v>0</v>
      </c>
      <c r="AA2112" s="39" t="n">
        <f aca="false">IF(AND(E2112&gt;0,B2112=10),1,0)</f>
        <v>0</v>
      </c>
      <c r="AB2112" s="0" t="str">
        <f aca="false">IF(AND(C2111=C2112,Y2111=Y2112-1),Z2111,"")</f>
        <v/>
      </c>
      <c r="AC2112" s="0" t="str">
        <f aca="false">IF(AND(C2111=C2112,Y2111=Y2112-1),AA2111,"")</f>
        <v/>
      </c>
      <c r="AD2112" s="0" t="str">
        <f aca="false">IF(Y2112=1,"",IF(AND(Z2112=1,AB2112&lt;&gt;1),1,0))</f>
        <v/>
      </c>
      <c r="AE2112" s="0" t="str">
        <f aca="false">IF(Y2112=1,"",IF(AND(AA2112=1,AC2112&lt;&gt;1),1,0))</f>
        <v/>
      </c>
      <c r="AF2112" s="45" t="str">
        <f aca="false">IF(AND(E2112&gt;0,Y2112&lt;1,NOT(AND(C2113=C2112,Y2113=Y2112+1))),INDEX(DATAS,Y2112+1),"")</f>
        <v/>
      </c>
      <c r="AG2112" s="45" t="str">
        <f aca="false">IF(AND(AA2112=1,Y2112&lt;1),IF(AND(C2113=C2112,Y2113=Y2112+1),IF(AA2113=1,"",INDEX(DATAS,Y2112+1)),INDEX(DATAS,Y2112+1)),"")</f>
        <v/>
      </c>
    </row>
    <row r="2113" customFormat="false" ht="15" hidden="false" customHeight="false" outlineLevel="0" collapsed="false">
      <c r="A2113" s="45" t="n">
        <v>46309</v>
      </c>
      <c r="B2113" s="0" t="n">
        <v>8</v>
      </c>
      <c r="C2113" s="0" t="n">
        <v>6396</v>
      </c>
      <c r="E2113" s="0" t="n">
        <v>0</v>
      </c>
      <c r="F2113" s="39" t="s">
        <v>1149</v>
      </c>
      <c r="I2113" s="39" t="s">
        <v>109</v>
      </c>
      <c r="L2113" s="0" t="n">
        <v>50</v>
      </c>
      <c r="U2113" s="0" t="n">
        <v>575</v>
      </c>
      <c r="V2113" s="0" t="n">
        <v>3</v>
      </c>
      <c r="W2113" s="39" t="n">
        <f aca="false">IF(I2113="Male",0,1)</f>
        <v>1</v>
      </c>
      <c r="X2113" s="39" t="n">
        <f aca="false">IF(OR(I2113="DNB",I2113="Dry DNB"),1,0)</f>
        <v>0</v>
      </c>
      <c r="Y2113" s="39" t="n">
        <f aca="false">MATCH(A2113,DATAS,0)</f>
        <v>1</v>
      </c>
      <c r="Z2113" s="39" t="n">
        <f aca="false">IF(AND(E2113&gt;0,OR(AND(B2113&gt;=1,B2113&lt;=6),B2113=10)),1,0)</f>
        <v>0</v>
      </c>
      <c r="AA2113" s="39" t="n">
        <f aca="false">IF(AND(E2113&gt;0,B2113=10),1,0)</f>
        <v>0</v>
      </c>
      <c r="AB2113" s="0" t="str">
        <f aca="false">IF(AND(C2112=C2113,Y2112=Y2113-1),Z2112,"")</f>
        <v/>
      </c>
      <c r="AC2113" s="0" t="str">
        <f aca="false">IF(AND(C2112=C2113,Y2112=Y2113-1),AA2112,"")</f>
        <v/>
      </c>
      <c r="AD2113" s="0" t="str">
        <f aca="false">IF(Y2113=1,"",IF(AND(Z2113=1,AB2113&lt;&gt;1),1,0))</f>
        <v/>
      </c>
      <c r="AE2113" s="0" t="str">
        <f aca="false">IF(Y2113=1,"",IF(AND(AA2113=1,AC2113&lt;&gt;1),1,0))</f>
        <v/>
      </c>
      <c r="AF2113" s="45" t="str">
        <f aca="false">IF(AND(E2113&gt;0,Y2113&lt;1,NOT(AND(C2114=C2113,Y2114=Y2113+1))),INDEX(DATAS,Y2113+1),"")</f>
        <v/>
      </c>
      <c r="AG2113" s="45" t="str">
        <f aca="false">IF(AND(AA2113=1,Y2113&lt;1),IF(AND(C2114=C2113,Y2114=Y2113+1),IF(AA2114=1,"",INDEX(DATAS,Y2113+1)),INDEX(DATAS,Y2113+1)),"")</f>
        <v/>
      </c>
    </row>
    <row r="2114" customFormat="false" ht="15" hidden="false" customHeight="false" outlineLevel="0" collapsed="false">
      <c r="A2114" s="45" t="n">
        <v>46309</v>
      </c>
      <c r="B2114" s="0" t="n">
        <v>8</v>
      </c>
      <c r="C2114" s="0" t="n">
        <v>6397</v>
      </c>
      <c r="E2114" s="0" t="n">
        <v>0</v>
      </c>
      <c r="F2114" s="39" t="s">
        <v>1149</v>
      </c>
      <c r="I2114" s="39" t="s">
        <v>109</v>
      </c>
      <c r="L2114" s="0" t="n">
        <v>169</v>
      </c>
      <c r="U2114" s="0" t="n">
        <v>575</v>
      </c>
      <c r="V2114" s="0" t="n">
        <v>1</v>
      </c>
      <c r="W2114" s="39" t="n">
        <f aca="false">IF(I2114="Male",0,1)</f>
        <v>1</v>
      </c>
      <c r="X2114" s="39" t="n">
        <f aca="false">IF(OR(I2114="DNB",I2114="Dry DNB"),1,0)</f>
        <v>0</v>
      </c>
      <c r="Y2114" s="39" t="n">
        <f aca="false">MATCH(A2114,DATAS,0)</f>
        <v>1</v>
      </c>
      <c r="Z2114" s="39" t="n">
        <f aca="false">IF(AND(E2114&gt;0,OR(AND(B2114&gt;=1,B2114&lt;=6),B2114=10)),1,0)</f>
        <v>0</v>
      </c>
      <c r="AA2114" s="39" t="n">
        <f aca="false">IF(AND(E2114&gt;0,B2114=10),1,0)</f>
        <v>0</v>
      </c>
      <c r="AB2114" s="0" t="str">
        <f aca="false">IF(AND(C2113=C2114,Y2113=Y2114-1),Z2113,"")</f>
        <v/>
      </c>
      <c r="AC2114" s="0" t="str">
        <f aca="false">IF(AND(C2113=C2114,Y2113=Y2114-1),AA2113,"")</f>
        <v/>
      </c>
      <c r="AD2114" s="0" t="str">
        <f aca="false">IF(Y2114=1,"",IF(AND(Z2114=1,AB2114&lt;&gt;1),1,0))</f>
        <v/>
      </c>
      <c r="AE2114" s="0" t="str">
        <f aca="false">IF(Y2114=1,"",IF(AND(AA2114=1,AC2114&lt;&gt;1),1,0))</f>
        <v/>
      </c>
      <c r="AF2114" s="45" t="str">
        <f aca="false">IF(AND(E2114&gt;0,Y2114&lt;1,NOT(AND(C2115=C2114,Y2115=Y2114+1))),INDEX(DATAS,Y2114+1),"")</f>
        <v/>
      </c>
      <c r="AG2114" s="45" t="str">
        <f aca="false">IF(AND(AA2114=1,Y2114&lt;1),IF(AND(C2115=C2114,Y2115=Y2114+1),IF(AA2115=1,"",INDEX(DATAS,Y2114+1)),INDEX(DATAS,Y2114+1)),"")</f>
        <v/>
      </c>
    </row>
    <row r="2115" customFormat="false" ht="15" hidden="false" customHeight="false" outlineLevel="0" collapsed="false">
      <c r="A2115" s="45" t="n">
        <v>46309</v>
      </c>
      <c r="B2115" s="0" t="n">
        <v>8</v>
      </c>
      <c r="C2115" s="0" t="n">
        <v>6398</v>
      </c>
      <c r="E2115" s="0" t="n">
        <v>0</v>
      </c>
      <c r="F2115" s="39" t="s">
        <v>1149</v>
      </c>
      <c r="I2115" s="39" t="s">
        <v>109</v>
      </c>
      <c r="L2115" s="0" t="n">
        <v>176</v>
      </c>
      <c r="U2115" s="0" t="n">
        <v>575</v>
      </c>
      <c r="V2115" s="0" t="n">
        <v>1</v>
      </c>
      <c r="W2115" s="39" t="n">
        <f aca="false">IF(I2115="Male",0,1)</f>
        <v>1</v>
      </c>
      <c r="X2115" s="39" t="n">
        <f aca="false">IF(OR(I2115="DNB",I2115="Dry DNB"),1,0)</f>
        <v>0</v>
      </c>
      <c r="Y2115" s="39" t="n">
        <f aca="false">MATCH(A2115,DATAS,0)</f>
        <v>1</v>
      </c>
      <c r="Z2115" s="39" t="n">
        <f aca="false">IF(AND(E2115&gt;0,OR(AND(B2115&gt;=1,B2115&lt;=6),B2115=10)),1,0)</f>
        <v>0</v>
      </c>
      <c r="AA2115" s="39" t="n">
        <f aca="false">IF(AND(E2115&gt;0,B2115=10),1,0)</f>
        <v>0</v>
      </c>
      <c r="AB2115" s="0" t="str">
        <f aca="false">IF(AND(C2114=C2115,Y2114=Y2115-1),Z2114,"")</f>
        <v/>
      </c>
      <c r="AC2115" s="0" t="str">
        <f aca="false">IF(AND(C2114=C2115,Y2114=Y2115-1),AA2114,"")</f>
        <v/>
      </c>
      <c r="AD2115" s="0" t="str">
        <f aca="false">IF(Y2115=1,"",IF(AND(Z2115=1,AB2115&lt;&gt;1),1,0))</f>
        <v/>
      </c>
      <c r="AE2115" s="0" t="str">
        <f aca="false">IF(Y2115=1,"",IF(AND(AA2115=1,AC2115&lt;&gt;1),1,0))</f>
        <v/>
      </c>
      <c r="AF2115" s="45" t="str">
        <f aca="false">IF(AND(E2115&gt;0,Y2115&lt;1,NOT(AND(C2116=C2115,Y2116=Y2115+1))),INDEX(DATAS,Y2115+1),"")</f>
        <v/>
      </c>
      <c r="AG2115" s="45" t="str">
        <f aca="false">IF(AND(AA2115=1,Y2115&lt;1),IF(AND(C2116=C2115,Y2116=Y2115+1),IF(AA2116=1,"",INDEX(DATAS,Y2115+1)),INDEX(DATAS,Y2115+1)),"")</f>
        <v/>
      </c>
    </row>
    <row r="2116" customFormat="false" ht="15" hidden="false" customHeight="false" outlineLevel="0" collapsed="false">
      <c r="A2116" s="45" t="n">
        <v>46309</v>
      </c>
      <c r="B2116" s="0" t="n">
        <v>8</v>
      </c>
      <c r="C2116" s="0" t="n">
        <v>6399</v>
      </c>
      <c r="E2116" s="0" t="n">
        <v>0</v>
      </c>
      <c r="F2116" s="39" t="s">
        <v>1150</v>
      </c>
      <c r="I2116" s="39" t="s">
        <v>109</v>
      </c>
      <c r="L2116" s="0" t="n">
        <v>176</v>
      </c>
      <c r="U2116" s="0" t="n">
        <v>573</v>
      </c>
      <c r="V2116" s="0" t="n">
        <v>1</v>
      </c>
      <c r="W2116" s="39" t="n">
        <f aca="false">IF(I2116="Male",0,1)</f>
        <v>1</v>
      </c>
      <c r="X2116" s="39" t="n">
        <f aca="false">IF(OR(I2116="DNB",I2116="Dry DNB"),1,0)</f>
        <v>0</v>
      </c>
      <c r="Y2116" s="39" t="n">
        <f aca="false">MATCH(A2116,DATAS,0)</f>
        <v>1</v>
      </c>
      <c r="Z2116" s="39" t="n">
        <f aca="false">IF(AND(E2116&gt;0,OR(AND(B2116&gt;=1,B2116&lt;=6),B2116=10)),1,0)</f>
        <v>0</v>
      </c>
      <c r="AA2116" s="39" t="n">
        <f aca="false">IF(AND(E2116&gt;0,B2116=10),1,0)</f>
        <v>0</v>
      </c>
      <c r="AB2116" s="0" t="str">
        <f aca="false">IF(AND(C2115=C2116,Y2115=Y2116-1),Z2115,"")</f>
        <v/>
      </c>
      <c r="AC2116" s="0" t="str">
        <f aca="false">IF(AND(C2115=C2116,Y2115=Y2116-1),AA2115,"")</f>
        <v/>
      </c>
      <c r="AD2116" s="0" t="str">
        <f aca="false">IF(Y2116=1,"",IF(AND(Z2116=1,AB2116&lt;&gt;1),1,0))</f>
        <v/>
      </c>
      <c r="AE2116" s="0" t="str">
        <f aca="false">IF(Y2116=1,"",IF(AND(AA2116=1,AC2116&lt;&gt;1),1,0))</f>
        <v/>
      </c>
      <c r="AF2116" s="45" t="str">
        <f aca="false">IF(AND(E2116&gt;0,Y2116&lt;1,NOT(AND(C2117=C2116,Y2117=Y2116+1))),INDEX(DATAS,Y2116+1),"")</f>
        <v/>
      </c>
      <c r="AG2116" s="45" t="str">
        <f aca="false">IF(AND(AA2116=1,Y2116&lt;1),IF(AND(C2117=C2116,Y2117=Y2116+1),IF(AA2117=1,"",INDEX(DATAS,Y2116+1)),INDEX(DATAS,Y2116+1)),"")</f>
        <v/>
      </c>
    </row>
    <row r="2117" customFormat="false" ht="15" hidden="false" customHeight="false" outlineLevel="0" collapsed="false">
      <c r="A2117" s="45" t="n">
        <v>46309</v>
      </c>
      <c r="B2117" s="0" t="n">
        <v>8</v>
      </c>
      <c r="C2117" s="0" t="n">
        <v>6400</v>
      </c>
      <c r="E2117" s="0" t="n">
        <v>0</v>
      </c>
      <c r="F2117" s="39" t="s">
        <v>1150</v>
      </c>
      <c r="I2117" s="39" t="s">
        <v>109</v>
      </c>
      <c r="L2117" s="0" t="n">
        <v>145</v>
      </c>
      <c r="U2117" s="0" t="n">
        <v>573</v>
      </c>
      <c r="V2117" s="0" t="n">
        <v>2</v>
      </c>
      <c r="W2117" s="39" t="n">
        <f aca="false">IF(I2117="Male",0,1)</f>
        <v>1</v>
      </c>
      <c r="X2117" s="39" t="n">
        <f aca="false">IF(OR(I2117="DNB",I2117="Dry DNB"),1,0)</f>
        <v>0</v>
      </c>
      <c r="Y2117" s="39" t="n">
        <f aca="false">MATCH(A2117,DATAS,0)</f>
        <v>1</v>
      </c>
      <c r="Z2117" s="39" t="n">
        <f aca="false">IF(AND(E2117&gt;0,OR(AND(B2117&gt;=1,B2117&lt;=6),B2117=10)),1,0)</f>
        <v>0</v>
      </c>
      <c r="AA2117" s="39" t="n">
        <f aca="false">IF(AND(E2117&gt;0,B2117=10),1,0)</f>
        <v>0</v>
      </c>
      <c r="AB2117" s="0" t="str">
        <f aca="false">IF(AND(C2116=C2117,Y2116=Y2117-1),Z2116,"")</f>
        <v/>
      </c>
      <c r="AC2117" s="0" t="str">
        <f aca="false">IF(AND(C2116=C2117,Y2116=Y2117-1),AA2116,"")</f>
        <v/>
      </c>
      <c r="AD2117" s="0" t="str">
        <f aca="false">IF(Y2117=1,"",IF(AND(Z2117=1,AB2117&lt;&gt;1),1,0))</f>
        <v/>
      </c>
      <c r="AE2117" s="0" t="str">
        <f aca="false">IF(Y2117=1,"",IF(AND(AA2117=1,AC2117&lt;&gt;1),1,0))</f>
        <v/>
      </c>
      <c r="AF2117" s="45" t="str">
        <f aca="false">IF(AND(E2117&gt;0,Y2117&lt;1,NOT(AND(C2118=C2117,Y2118=Y2117+1))),INDEX(DATAS,Y2117+1),"")</f>
        <v/>
      </c>
      <c r="AG2117" s="45" t="str">
        <f aca="false">IF(AND(AA2117=1,Y2117&lt;1),IF(AND(C2118=C2117,Y2118=Y2117+1),IF(AA2118=1,"",INDEX(DATAS,Y2117+1)),INDEX(DATAS,Y2117+1)),"")</f>
        <v/>
      </c>
    </row>
    <row r="2118" customFormat="false" ht="15" hidden="false" customHeight="false" outlineLevel="0" collapsed="false">
      <c r="A2118" s="45" t="n">
        <v>46309</v>
      </c>
      <c r="B2118" s="0" t="n">
        <v>8</v>
      </c>
      <c r="C2118" s="0" t="n">
        <v>6401</v>
      </c>
      <c r="E2118" s="0" t="n">
        <v>0</v>
      </c>
      <c r="F2118" s="39" t="s">
        <v>1150</v>
      </c>
      <c r="I2118" s="39" t="s">
        <v>109</v>
      </c>
      <c r="L2118" s="0" t="n">
        <v>162</v>
      </c>
      <c r="U2118" s="0" t="n">
        <v>573</v>
      </c>
      <c r="V2118" s="0" t="n">
        <v>1</v>
      </c>
      <c r="W2118" s="39" t="n">
        <f aca="false">IF(I2118="Male",0,1)</f>
        <v>1</v>
      </c>
      <c r="X2118" s="39" t="n">
        <f aca="false">IF(OR(I2118="DNB",I2118="Dry DNB"),1,0)</f>
        <v>0</v>
      </c>
      <c r="Y2118" s="39" t="n">
        <f aca="false">MATCH(A2118,DATAS,0)</f>
        <v>1</v>
      </c>
      <c r="Z2118" s="39" t="n">
        <f aca="false">IF(AND(E2118&gt;0,OR(AND(B2118&gt;=1,B2118&lt;=6),B2118=10)),1,0)</f>
        <v>0</v>
      </c>
      <c r="AA2118" s="39" t="n">
        <f aca="false">IF(AND(E2118&gt;0,B2118=10),1,0)</f>
        <v>0</v>
      </c>
      <c r="AB2118" s="0" t="str">
        <f aca="false">IF(AND(C2117=C2118,Y2117=Y2118-1),Z2117,"")</f>
        <v/>
      </c>
      <c r="AC2118" s="0" t="str">
        <f aca="false">IF(AND(C2117=C2118,Y2117=Y2118-1),AA2117,"")</f>
        <v/>
      </c>
      <c r="AD2118" s="0" t="str">
        <f aca="false">IF(Y2118=1,"",IF(AND(Z2118=1,AB2118&lt;&gt;1),1,0))</f>
        <v/>
      </c>
      <c r="AE2118" s="0" t="str">
        <f aca="false">IF(Y2118=1,"",IF(AND(AA2118=1,AC2118&lt;&gt;1),1,0))</f>
        <v/>
      </c>
      <c r="AF2118" s="45" t="str">
        <f aca="false">IF(AND(E2118&gt;0,Y2118&lt;1,NOT(AND(C2119=C2118,Y2119=Y2118+1))),INDEX(DATAS,Y2118+1),"")</f>
        <v/>
      </c>
      <c r="AG2118" s="45" t="str">
        <f aca="false">IF(AND(AA2118=1,Y2118&lt;1),IF(AND(C2119=C2118,Y2119=Y2118+1),IF(AA2119=1,"",INDEX(DATAS,Y2118+1)),INDEX(DATAS,Y2118+1)),"")</f>
        <v/>
      </c>
    </row>
    <row r="2119" customFormat="false" ht="15" hidden="false" customHeight="false" outlineLevel="0" collapsed="false">
      <c r="A2119" s="45" t="n">
        <v>46309</v>
      </c>
      <c r="B2119" s="0" t="n">
        <v>8</v>
      </c>
      <c r="C2119" s="0" t="n">
        <v>6402</v>
      </c>
      <c r="E2119" s="0" t="n">
        <v>0</v>
      </c>
      <c r="F2119" s="39" t="s">
        <v>1150</v>
      </c>
      <c r="I2119" s="39" t="s">
        <v>109</v>
      </c>
      <c r="L2119" s="0" t="n">
        <v>167</v>
      </c>
      <c r="U2119" s="0" t="n">
        <v>573</v>
      </c>
      <c r="V2119" s="0" t="n">
        <v>1</v>
      </c>
      <c r="W2119" s="39" t="n">
        <f aca="false">IF(I2119="Male",0,1)</f>
        <v>1</v>
      </c>
      <c r="X2119" s="39" t="n">
        <f aca="false">IF(OR(I2119="DNB",I2119="Dry DNB"),1,0)</f>
        <v>0</v>
      </c>
      <c r="Y2119" s="39" t="n">
        <f aca="false">MATCH(A2119,DATAS,0)</f>
        <v>1</v>
      </c>
      <c r="Z2119" s="39" t="n">
        <f aca="false">IF(AND(E2119&gt;0,OR(AND(B2119&gt;=1,B2119&lt;=6),B2119=10)),1,0)</f>
        <v>0</v>
      </c>
      <c r="AA2119" s="39" t="n">
        <f aca="false">IF(AND(E2119&gt;0,B2119=10),1,0)</f>
        <v>0</v>
      </c>
      <c r="AB2119" s="0" t="str">
        <f aca="false">IF(AND(C2118=C2119,Y2118=Y2119-1),Z2118,"")</f>
        <v/>
      </c>
      <c r="AC2119" s="0" t="str">
        <f aca="false">IF(AND(C2118=C2119,Y2118=Y2119-1),AA2118,"")</f>
        <v/>
      </c>
      <c r="AD2119" s="0" t="str">
        <f aca="false">IF(Y2119=1,"",IF(AND(Z2119=1,AB2119&lt;&gt;1),1,0))</f>
        <v/>
      </c>
      <c r="AE2119" s="0" t="str">
        <f aca="false">IF(Y2119=1,"",IF(AND(AA2119=1,AC2119&lt;&gt;1),1,0))</f>
        <v/>
      </c>
      <c r="AF2119" s="45" t="str">
        <f aca="false">IF(AND(E2119&gt;0,Y2119&lt;1,NOT(AND(C2120=C2119,Y2120=Y2119+1))),INDEX(DATAS,Y2119+1),"")</f>
        <v/>
      </c>
      <c r="AG2119" s="45" t="str">
        <f aca="false">IF(AND(AA2119=1,Y2119&lt;1),IF(AND(C2120=C2119,Y2120=Y2119+1),IF(AA2120=1,"",INDEX(DATAS,Y2119+1)),INDEX(DATAS,Y2119+1)),"")</f>
        <v/>
      </c>
    </row>
    <row r="2120" customFormat="false" ht="15" hidden="false" customHeight="false" outlineLevel="0" collapsed="false">
      <c r="A2120" s="45" t="n">
        <v>46309</v>
      </c>
      <c r="B2120" s="0" t="n">
        <v>8</v>
      </c>
      <c r="C2120" s="0" t="n">
        <v>6403</v>
      </c>
      <c r="E2120" s="0" t="n">
        <v>0</v>
      </c>
      <c r="F2120" s="39" t="s">
        <v>1151</v>
      </c>
      <c r="I2120" s="39" t="s">
        <v>109</v>
      </c>
      <c r="L2120" s="0" t="n">
        <v>154</v>
      </c>
      <c r="U2120" s="0" t="n">
        <v>570</v>
      </c>
      <c r="V2120" s="0" t="n">
        <v>1</v>
      </c>
      <c r="W2120" s="39" t="n">
        <f aca="false">IF(I2120="Male",0,1)</f>
        <v>1</v>
      </c>
      <c r="X2120" s="39" t="n">
        <f aca="false">IF(OR(I2120="DNB",I2120="Dry DNB"),1,0)</f>
        <v>0</v>
      </c>
      <c r="Y2120" s="39" t="n">
        <f aca="false">MATCH(A2120,DATAS,0)</f>
        <v>1</v>
      </c>
      <c r="Z2120" s="39" t="n">
        <f aca="false">IF(AND(E2120&gt;0,OR(AND(B2120&gt;=1,B2120&lt;=6),B2120=10)),1,0)</f>
        <v>0</v>
      </c>
      <c r="AA2120" s="39" t="n">
        <f aca="false">IF(AND(E2120&gt;0,B2120=10),1,0)</f>
        <v>0</v>
      </c>
      <c r="AB2120" s="0" t="str">
        <f aca="false">IF(AND(C2119=C2120,Y2119=Y2120-1),Z2119,"")</f>
        <v/>
      </c>
      <c r="AC2120" s="0" t="str">
        <f aca="false">IF(AND(C2119=C2120,Y2119=Y2120-1),AA2119,"")</f>
        <v/>
      </c>
      <c r="AD2120" s="0" t="str">
        <f aca="false">IF(Y2120=1,"",IF(AND(Z2120=1,AB2120&lt;&gt;1),1,0))</f>
        <v/>
      </c>
      <c r="AE2120" s="0" t="str">
        <f aca="false">IF(Y2120=1,"",IF(AND(AA2120=1,AC2120&lt;&gt;1),1,0))</f>
        <v/>
      </c>
      <c r="AF2120" s="45" t="str">
        <f aca="false">IF(AND(E2120&gt;0,Y2120&lt;1,NOT(AND(C2121=C2120,Y2121=Y2120+1))),INDEX(DATAS,Y2120+1),"")</f>
        <v/>
      </c>
      <c r="AG2120" s="45" t="str">
        <f aca="false">IF(AND(AA2120=1,Y2120&lt;1),IF(AND(C2121=C2120,Y2121=Y2120+1),IF(AA2121=1,"",INDEX(DATAS,Y2120+1)),INDEX(DATAS,Y2120+1)),"")</f>
        <v/>
      </c>
    </row>
    <row r="2121" customFormat="false" ht="15" hidden="false" customHeight="false" outlineLevel="0" collapsed="false">
      <c r="A2121" s="45" t="n">
        <v>46309</v>
      </c>
      <c r="B2121" s="0" t="n">
        <v>8</v>
      </c>
      <c r="C2121" s="0" t="n">
        <v>6404</v>
      </c>
      <c r="E2121" s="0" t="n">
        <v>0</v>
      </c>
      <c r="F2121" s="39" t="s">
        <v>1151</v>
      </c>
      <c r="I2121" s="39" t="s">
        <v>109</v>
      </c>
      <c r="L2121" s="0" t="n">
        <v>111</v>
      </c>
      <c r="U2121" s="0" t="n">
        <v>570</v>
      </c>
      <c r="V2121" s="0" t="n">
        <v>4</v>
      </c>
      <c r="W2121" s="39" t="n">
        <f aca="false">IF(I2121="Male",0,1)</f>
        <v>1</v>
      </c>
      <c r="X2121" s="39" t="n">
        <f aca="false">IF(OR(I2121="DNB",I2121="Dry DNB"),1,0)</f>
        <v>0</v>
      </c>
      <c r="Y2121" s="39" t="n">
        <f aca="false">MATCH(A2121,DATAS,0)</f>
        <v>1</v>
      </c>
      <c r="Z2121" s="39" t="n">
        <f aca="false">IF(AND(E2121&gt;0,OR(AND(B2121&gt;=1,B2121&lt;=6),B2121=10)),1,0)</f>
        <v>0</v>
      </c>
      <c r="AA2121" s="39" t="n">
        <f aca="false">IF(AND(E2121&gt;0,B2121=10),1,0)</f>
        <v>0</v>
      </c>
      <c r="AB2121" s="0" t="str">
        <f aca="false">IF(AND(C2120=C2121,Y2120=Y2121-1),Z2120,"")</f>
        <v/>
      </c>
      <c r="AC2121" s="0" t="str">
        <f aca="false">IF(AND(C2120=C2121,Y2120=Y2121-1),AA2120,"")</f>
        <v/>
      </c>
      <c r="AD2121" s="0" t="str">
        <f aca="false">IF(Y2121=1,"",IF(AND(Z2121=1,AB2121&lt;&gt;1),1,0))</f>
        <v/>
      </c>
      <c r="AE2121" s="0" t="str">
        <f aca="false">IF(Y2121=1,"",IF(AND(AA2121=1,AC2121&lt;&gt;1),1,0))</f>
        <v/>
      </c>
      <c r="AF2121" s="45" t="str">
        <f aca="false">IF(AND(E2121&gt;0,Y2121&lt;1,NOT(AND(C2122=C2121,Y2122=Y2121+1))),INDEX(DATAS,Y2121+1),"")</f>
        <v/>
      </c>
      <c r="AG2121" s="45" t="str">
        <f aca="false">IF(AND(AA2121=1,Y2121&lt;1),IF(AND(C2122=C2121,Y2122=Y2121+1),IF(AA2122=1,"",INDEX(DATAS,Y2121+1)),INDEX(DATAS,Y2121+1)),"")</f>
        <v/>
      </c>
    </row>
    <row r="2122" customFormat="false" ht="15" hidden="false" customHeight="false" outlineLevel="0" collapsed="false">
      <c r="A2122" s="45" t="n">
        <v>46309</v>
      </c>
      <c r="B2122" s="0" t="n">
        <v>8</v>
      </c>
      <c r="C2122" s="0" t="n">
        <v>6405</v>
      </c>
      <c r="E2122" s="0" t="n">
        <v>0</v>
      </c>
      <c r="F2122" s="39" t="s">
        <v>1151</v>
      </c>
      <c r="I2122" s="39" t="s">
        <v>109</v>
      </c>
      <c r="L2122" s="0" t="n">
        <v>169</v>
      </c>
      <c r="U2122" s="0" t="n">
        <v>570</v>
      </c>
      <c r="V2122" s="0" t="n">
        <v>1</v>
      </c>
      <c r="W2122" s="39" t="n">
        <f aca="false">IF(I2122="Male",0,1)</f>
        <v>1</v>
      </c>
      <c r="X2122" s="39" t="n">
        <f aca="false">IF(OR(I2122="DNB",I2122="Dry DNB"),1,0)</f>
        <v>0</v>
      </c>
      <c r="Y2122" s="39" t="n">
        <f aca="false">MATCH(A2122,DATAS,0)</f>
        <v>1</v>
      </c>
      <c r="Z2122" s="39" t="n">
        <f aca="false">IF(AND(E2122&gt;0,OR(AND(B2122&gt;=1,B2122&lt;=6),B2122=10)),1,0)</f>
        <v>0</v>
      </c>
      <c r="AA2122" s="39" t="n">
        <f aca="false">IF(AND(E2122&gt;0,B2122=10),1,0)</f>
        <v>0</v>
      </c>
      <c r="AB2122" s="0" t="str">
        <f aca="false">IF(AND(C2121=C2122,Y2121=Y2122-1),Z2121,"")</f>
        <v/>
      </c>
      <c r="AC2122" s="0" t="str">
        <f aca="false">IF(AND(C2121=C2122,Y2121=Y2122-1),AA2121,"")</f>
        <v/>
      </c>
      <c r="AD2122" s="0" t="str">
        <f aca="false">IF(Y2122=1,"",IF(AND(Z2122=1,AB2122&lt;&gt;1),1,0))</f>
        <v/>
      </c>
      <c r="AE2122" s="0" t="str">
        <f aca="false">IF(Y2122=1,"",IF(AND(AA2122=1,AC2122&lt;&gt;1),1,0))</f>
        <v/>
      </c>
      <c r="AF2122" s="45" t="str">
        <f aca="false">IF(AND(E2122&gt;0,Y2122&lt;1,NOT(AND(C2123=C2122,Y2123=Y2122+1))),INDEX(DATAS,Y2122+1),"")</f>
        <v/>
      </c>
      <c r="AG2122" s="45" t="str">
        <f aca="false">IF(AND(AA2122=1,Y2122&lt;1),IF(AND(C2123=C2122,Y2123=Y2122+1),IF(AA2123=1,"",INDEX(DATAS,Y2122+1)),INDEX(DATAS,Y2122+1)),"")</f>
        <v/>
      </c>
    </row>
    <row r="2123" customFormat="false" ht="15" hidden="false" customHeight="false" outlineLevel="0" collapsed="false">
      <c r="A2123" s="45" t="n">
        <v>46309</v>
      </c>
      <c r="B2123" s="0" t="n">
        <v>8</v>
      </c>
      <c r="C2123" s="0" t="n">
        <v>6406</v>
      </c>
      <c r="E2123" s="0" t="n">
        <v>0</v>
      </c>
      <c r="F2123" s="39" t="s">
        <v>1151</v>
      </c>
      <c r="I2123" s="39" t="s">
        <v>109</v>
      </c>
      <c r="L2123" s="0" t="n">
        <v>169</v>
      </c>
      <c r="U2123" s="0" t="n">
        <v>570</v>
      </c>
      <c r="V2123" s="0" t="n">
        <v>1</v>
      </c>
      <c r="W2123" s="39" t="n">
        <f aca="false">IF(I2123="Male",0,1)</f>
        <v>1</v>
      </c>
      <c r="X2123" s="39" t="n">
        <f aca="false">IF(OR(I2123="DNB",I2123="Dry DNB"),1,0)</f>
        <v>0</v>
      </c>
      <c r="Y2123" s="39" t="n">
        <f aca="false">MATCH(A2123,DATAS,0)</f>
        <v>1</v>
      </c>
      <c r="Z2123" s="39" t="n">
        <f aca="false">IF(AND(E2123&gt;0,OR(AND(B2123&gt;=1,B2123&lt;=6),B2123=10)),1,0)</f>
        <v>0</v>
      </c>
      <c r="AA2123" s="39" t="n">
        <f aca="false">IF(AND(E2123&gt;0,B2123=10),1,0)</f>
        <v>0</v>
      </c>
      <c r="AB2123" s="0" t="str">
        <f aca="false">IF(AND(C2122=C2123,Y2122=Y2123-1),Z2122,"")</f>
        <v/>
      </c>
      <c r="AC2123" s="0" t="str">
        <f aca="false">IF(AND(C2122=C2123,Y2122=Y2123-1),AA2122,"")</f>
        <v/>
      </c>
      <c r="AD2123" s="0" t="str">
        <f aca="false">IF(Y2123=1,"",IF(AND(Z2123=1,AB2123&lt;&gt;1),1,0))</f>
        <v/>
      </c>
      <c r="AE2123" s="0" t="str">
        <f aca="false">IF(Y2123=1,"",IF(AND(AA2123=1,AC2123&lt;&gt;1),1,0))</f>
        <v/>
      </c>
      <c r="AF2123" s="45" t="str">
        <f aca="false">IF(AND(E2123&gt;0,Y2123&lt;1,NOT(AND(C2124=C2123,Y2124=Y2123+1))),INDEX(DATAS,Y2123+1),"")</f>
        <v/>
      </c>
      <c r="AG2123" s="45" t="str">
        <f aca="false">IF(AND(AA2123=1,Y2123&lt;1),IF(AND(C2124=C2123,Y2124=Y2123+1),IF(AA2124=1,"",INDEX(DATAS,Y2123+1)),INDEX(DATAS,Y2123+1)),"")</f>
        <v/>
      </c>
    </row>
    <row r="2124" customFormat="false" ht="15" hidden="false" customHeight="false" outlineLevel="0" collapsed="false">
      <c r="A2124" s="45" t="n">
        <v>46309</v>
      </c>
      <c r="B2124" s="0" t="n">
        <v>8</v>
      </c>
      <c r="C2124" s="0" t="n">
        <v>6407</v>
      </c>
      <c r="E2124" s="0" t="n">
        <v>0</v>
      </c>
      <c r="F2124" s="39" t="s">
        <v>1151</v>
      </c>
      <c r="I2124" s="39" t="s">
        <v>109</v>
      </c>
      <c r="L2124" s="0" t="n">
        <v>170</v>
      </c>
      <c r="U2124" s="0" t="n">
        <v>570</v>
      </c>
      <c r="V2124" s="0" t="n">
        <v>1</v>
      </c>
      <c r="W2124" s="39" t="n">
        <f aca="false">IF(I2124="Male",0,1)</f>
        <v>1</v>
      </c>
      <c r="X2124" s="39" t="n">
        <f aca="false">IF(OR(I2124="DNB",I2124="Dry DNB"),1,0)</f>
        <v>0</v>
      </c>
      <c r="Y2124" s="39" t="n">
        <f aca="false">MATCH(A2124,DATAS,0)</f>
        <v>1</v>
      </c>
      <c r="Z2124" s="39" t="n">
        <f aca="false">IF(AND(E2124&gt;0,OR(AND(B2124&gt;=1,B2124&lt;=6),B2124=10)),1,0)</f>
        <v>0</v>
      </c>
      <c r="AA2124" s="39" t="n">
        <f aca="false">IF(AND(E2124&gt;0,B2124=10),1,0)</f>
        <v>0</v>
      </c>
      <c r="AB2124" s="0" t="str">
        <f aca="false">IF(AND(C2123=C2124,Y2123=Y2124-1),Z2123,"")</f>
        <v/>
      </c>
      <c r="AC2124" s="0" t="str">
        <f aca="false">IF(AND(C2123=C2124,Y2123=Y2124-1),AA2123,"")</f>
        <v/>
      </c>
      <c r="AD2124" s="0" t="str">
        <f aca="false">IF(Y2124=1,"",IF(AND(Z2124=1,AB2124&lt;&gt;1),1,0))</f>
        <v/>
      </c>
      <c r="AE2124" s="0" t="str">
        <f aca="false">IF(Y2124=1,"",IF(AND(AA2124=1,AC2124&lt;&gt;1),1,0))</f>
        <v/>
      </c>
      <c r="AF2124" s="45" t="str">
        <f aca="false">IF(AND(E2124&gt;0,Y2124&lt;1,NOT(AND(C2125=C2124,Y2125=Y2124+1))),INDEX(DATAS,Y2124+1),"")</f>
        <v/>
      </c>
      <c r="AG2124" s="45" t="str">
        <f aca="false">IF(AND(AA2124=1,Y2124&lt;1),IF(AND(C2125=C2124,Y2125=Y2124+1),IF(AA2125=1,"",INDEX(DATAS,Y2124+1)),INDEX(DATAS,Y2124+1)),"")</f>
        <v/>
      </c>
    </row>
    <row r="2125" customFormat="false" ht="15" hidden="false" customHeight="false" outlineLevel="0" collapsed="false">
      <c r="A2125" s="45" t="n">
        <v>46309</v>
      </c>
      <c r="B2125" s="0" t="n">
        <v>8</v>
      </c>
      <c r="C2125" s="0" t="n">
        <v>6408</v>
      </c>
      <c r="E2125" s="0" t="n">
        <v>0</v>
      </c>
      <c r="F2125" s="39" t="s">
        <v>1151</v>
      </c>
      <c r="I2125" s="39" t="s">
        <v>109</v>
      </c>
      <c r="L2125" s="0" t="n">
        <v>169</v>
      </c>
      <c r="U2125" s="0" t="n">
        <v>570</v>
      </c>
      <c r="V2125" s="0" t="n">
        <v>1</v>
      </c>
      <c r="W2125" s="39" t="n">
        <f aca="false">IF(I2125="Male",0,1)</f>
        <v>1</v>
      </c>
      <c r="X2125" s="39" t="n">
        <f aca="false">IF(OR(I2125="DNB",I2125="Dry DNB"),1,0)</f>
        <v>0</v>
      </c>
      <c r="Y2125" s="39" t="n">
        <f aca="false">MATCH(A2125,DATAS,0)</f>
        <v>1</v>
      </c>
      <c r="Z2125" s="39" t="n">
        <f aca="false">IF(AND(E2125&gt;0,OR(AND(B2125&gt;=1,B2125&lt;=6),B2125=10)),1,0)</f>
        <v>0</v>
      </c>
      <c r="AA2125" s="39" t="n">
        <f aca="false">IF(AND(E2125&gt;0,B2125=10),1,0)</f>
        <v>0</v>
      </c>
      <c r="AB2125" s="0" t="str">
        <f aca="false">IF(AND(C2124=C2125,Y2124=Y2125-1),Z2124,"")</f>
        <v/>
      </c>
      <c r="AC2125" s="0" t="str">
        <f aca="false">IF(AND(C2124=C2125,Y2124=Y2125-1),AA2124,"")</f>
        <v/>
      </c>
      <c r="AD2125" s="0" t="str">
        <f aca="false">IF(Y2125=1,"",IF(AND(Z2125=1,AB2125&lt;&gt;1),1,0))</f>
        <v/>
      </c>
      <c r="AE2125" s="0" t="str">
        <f aca="false">IF(Y2125=1,"",IF(AND(AA2125=1,AC2125&lt;&gt;1),1,0))</f>
        <v/>
      </c>
      <c r="AF2125" s="45" t="str">
        <f aca="false">IF(AND(E2125&gt;0,Y2125&lt;1,NOT(AND(C2126=C2125,Y2126=Y2125+1))),INDEX(DATAS,Y2125+1),"")</f>
        <v/>
      </c>
      <c r="AG2125" s="45" t="str">
        <f aca="false">IF(AND(AA2125=1,Y2125&lt;1),IF(AND(C2126=C2125,Y2126=Y2125+1),IF(AA2126=1,"",INDEX(DATAS,Y2125+1)),INDEX(DATAS,Y2125+1)),"")</f>
        <v/>
      </c>
    </row>
    <row r="2126" customFormat="false" ht="15" hidden="false" customHeight="false" outlineLevel="0" collapsed="false">
      <c r="A2126" s="45" t="n">
        <v>46309</v>
      </c>
      <c r="B2126" s="0" t="n">
        <v>11</v>
      </c>
      <c r="C2126" s="0" t="n">
        <v>6409</v>
      </c>
      <c r="E2126" s="0" t="n">
        <v>0</v>
      </c>
      <c r="F2126" s="39" t="s">
        <v>1151</v>
      </c>
      <c r="I2126" s="39" t="s">
        <v>138</v>
      </c>
      <c r="U2126" s="0" t="n">
        <v>570</v>
      </c>
      <c r="V2126" s="0" t="n">
        <v>5</v>
      </c>
      <c r="W2126" s="39" t="n">
        <f aca="false">IF(I2126="Male",0,1)</f>
        <v>1</v>
      </c>
      <c r="X2126" s="39" t="n">
        <f aca="false">IF(OR(I2126="DNB",I2126="Dry DNB"),1,0)</f>
        <v>0</v>
      </c>
      <c r="Y2126" s="39" t="n">
        <f aca="false">MATCH(A2126,DATAS,0)</f>
        <v>1</v>
      </c>
      <c r="Z2126" s="39" t="n">
        <f aca="false">IF(AND(E2126&gt;0,OR(AND(B2126&gt;=1,B2126&lt;=6),B2126=10)),1,0)</f>
        <v>0</v>
      </c>
      <c r="AA2126" s="39" t="n">
        <f aca="false">IF(AND(E2126&gt;0,B2126=10),1,0)</f>
        <v>0</v>
      </c>
      <c r="AB2126" s="0" t="str">
        <f aca="false">IF(AND(C2125=C2126,Y2125=Y2126-1),Z2125,"")</f>
        <v/>
      </c>
      <c r="AC2126" s="0" t="str">
        <f aca="false">IF(AND(C2125=C2126,Y2125=Y2126-1),AA2125,"")</f>
        <v/>
      </c>
      <c r="AD2126" s="0" t="str">
        <f aca="false">IF(Y2126=1,"",IF(AND(Z2126=1,AB2126&lt;&gt;1),1,0))</f>
        <v/>
      </c>
      <c r="AE2126" s="0" t="str">
        <f aca="false">IF(Y2126=1,"",IF(AND(AA2126=1,AC2126&lt;&gt;1),1,0))</f>
        <v/>
      </c>
      <c r="AF2126" s="45" t="str">
        <f aca="false">IF(AND(E2126&gt;0,Y2126&lt;1,NOT(AND(C2127=C2126,Y2127=Y2126+1))),INDEX(DATAS,Y2126+1),"")</f>
        <v/>
      </c>
      <c r="AG2126" s="45" t="str">
        <f aca="false">IF(AND(AA2126=1,Y2126&lt;1),IF(AND(C2127=C2126,Y2127=Y2126+1),IF(AA2127=1,"",INDEX(DATAS,Y2126+1)),INDEX(DATAS,Y2126+1)),"")</f>
        <v/>
      </c>
    </row>
    <row r="2127" customFormat="false" ht="15" hidden="false" customHeight="false" outlineLevel="0" collapsed="false">
      <c r="A2127" s="45" t="n">
        <v>46309</v>
      </c>
      <c r="B2127" s="0" t="n">
        <v>8</v>
      </c>
      <c r="C2127" s="0" t="n">
        <v>6410</v>
      </c>
      <c r="E2127" s="0" t="n">
        <v>0</v>
      </c>
      <c r="F2127" s="39" t="s">
        <v>1152</v>
      </c>
      <c r="I2127" s="39" t="s">
        <v>109</v>
      </c>
      <c r="L2127" s="0" t="n">
        <v>169</v>
      </c>
      <c r="U2127" s="0" t="n">
        <v>568</v>
      </c>
      <c r="V2127" s="0" t="n">
        <v>1</v>
      </c>
      <c r="W2127" s="39" t="n">
        <f aca="false">IF(I2127="Male",0,1)</f>
        <v>1</v>
      </c>
      <c r="X2127" s="39" t="n">
        <f aca="false">IF(OR(I2127="DNB",I2127="Dry DNB"),1,0)</f>
        <v>0</v>
      </c>
      <c r="Y2127" s="39" t="n">
        <f aca="false">MATCH(A2127,DATAS,0)</f>
        <v>1</v>
      </c>
      <c r="Z2127" s="39" t="n">
        <f aca="false">IF(AND(E2127&gt;0,OR(AND(B2127&gt;=1,B2127&lt;=6),B2127=10)),1,0)</f>
        <v>0</v>
      </c>
      <c r="AA2127" s="39" t="n">
        <f aca="false">IF(AND(E2127&gt;0,B2127=10),1,0)</f>
        <v>0</v>
      </c>
      <c r="AB2127" s="0" t="str">
        <f aca="false">IF(AND(C2126=C2127,Y2126=Y2127-1),Z2126,"")</f>
        <v/>
      </c>
      <c r="AC2127" s="0" t="str">
        <f aca="false">IF(AND(C2126=C2127,Y2126=Y2127-1),AA2126,"")</f>
        <v/>
      </c>
      <c r="AD2127" s="0" t="str">
        <f aca="false">IF(Y2127=1,"",IF(AND(Z2127=1,AB2127&lt;&gt;1),1,0))</f>
        <v/>
      </c>
      <c r="AE2127" s="0" t="str">
        <f aca="false">IF(Y2127=1,"",IF(AND(AA2127=1,AC2127&lt;&gt;1),1,0))</f>
        <v/>
      </c>
      <c r="AF2127" s="45" t="str">
        <f aca="false">IF(AND(E2127&gt;0,Y2127&lt;1,NOT(AND(C2128=C2127,Y2128=Y2127+1))),INDEX(DATAS,Y2127+1),"")</f>
        <v/>
      </c>
      <c r="AG2127" s="45" t="str">
        <f aca="false">IF(AND(AA2127=1,Y2127&lt;1),IF(AND(C2128=C2127,Y2128=Y2127+1),IF(AA2128=1,"",INDEX(DATAS,Y2127+1)),INDEX(DATAS,Y2127+1)),"")</f>
        <v/>
      </c>
    </row>
    <row r="2128" customFormat="false" ht="15" hidden="false" customHeight="false" outlineLevel="0" collapsed="false">
      <c r="A2128" s="45" t="n">
        <v>46309</v>
      </c>
      <c r="B2128" s="0" t="n">
        <v>8</v>
      </c>
      <c r="C2128" s="0" t="n">
        <v>6411</v>
      </c>
      <c r="E2128" s="0" t="n">
        <v>0</v>
      </c>
      <c r="F2128" s="39" t="s">
        <v>1152</v>
      </c>
      <c r="I2128" s="39" t="s">
        <v>109</v>
      </c>
      <c r="L2128" s="0" t="n">
        <v>169</v>
      </c>
      <c r="U2128" s="0" t="n">
        <v>568</v>
      </c>
      <c r="V2128" s="0" t="n">
        <v>1</v>
      </c>
      <c r="W2128" s="39" t="n">
        <f aca="false">IF(I2128="Male",0,1)</f>
        <v>1</v>
      </c>
      <c r="X2128" s="39" t="n">
        <f aca="false">IF(OR(I2128="DNB",I2128="Dry DNB"),1,0)</f>
        <v>0</v>
      </c>
      <c r="Y2128" s="39" t="n">
        <f aca="false">MATCH(A2128,DATAS,0)</f>
        <v>1</v>
      </c>
      <c r="Z2128" s="39" t="n">
        <f aca="false">IF(AND(E2128&gt;0,OR(AND(B2128&gt;=1,B2128&lt;=6),B2128=10)),1,0)</f>
        <v>0</v>
      </c>
      <c r="AA2128" s="39" t="n">
        <f aca="false">IF(AND(E2128&gt;0,B2128=10),1,0)</f>
        <v>0</v>
      </c>
      <c r="AB2128" s="0" t="str">
        <f aca="false">IF(AND(C2127=C2128,Y2127=Y2128-1),Z2127,"")</f>
        <v/>
      </c>
      <c r="AC2128" s="0" t="str">
        <f aca="false">IF(AND(C2127=C2128,Y2127=Y2128-1),AA2127,"")</f>
        <v/>
      </c>
      <c r="AD2128" s="0" t="str">
        <f aca="false">IF(Y2128=1,"",IF(AND(Z2128=1,AB2128&lt;&gt;1),1,0))</f>
        <v/>
      </c>
      <c r="AE2128" s="0" t="str">
        <f aca="false">IF(Y2128=1,"",IF(AND(AA2128=1,AC2128&lt;&gt;1),1,0))</f>
        <v/>
      </c>
      <c r="AF2128" s="45" t="str">
        <f aca="false">IF(AND(E2128&gt;0,Y2128&lt;1,NOT(AND(C2129=C2128,Y2129=Y2128+1))),INDEX(DATAS,Y2128+1),"")</f>
        <v/>
      </c>
      <c r="AG2128" s="45" t="str">
        <f aca="false">IF(AND(AA2128=1,Y2128&lt;1),IF(AND(C2129=C2128,Y2129=Y2128+1),IF(AA2129=1,"",INDEX(DATAS,Y2128+1)),INDEX(DATAS,Y2128+1)),"")</f>
        <v/>
      </c>
    </row>
    <row r="2129" customFormat="false" ht="15" hidden="false" customHeight="false" outlineLevel="0" collapsed="false">
      <c r="A2129" s="45" t="n">
        <v>46309</v>
      </c>
      <c r="B2129" s="0" t="n">
        <v>8</v>
      </c>
      <c r="C2129" s="0" t="n">
        <v>6412</v>
      </c>
      <c r="E2129" s="0" t="n">
        <v>0</v>
      </c>
      <c r="F2129" s="39" t="s">
        <v>1152</v>
      </c>
      <c r="I2129" s="39" t="s">
        <v>109</v>
      </c>
      <c r="L2129" s="0" t="n">
        <v>147</v>
      </c>
      <c r="U2129" s="0" t="n">
        <v>568</v>
      </c>
      <c r="V2129" s="0" t="n">
        <v>2</v>
      </c>
      <c r="W2129" s="39" t="n">
        <f aca="false">IF(I2129="Male",0,1)</f>
        <v>1</v>
      </c>
      <c r="X2129" s="39" t="n">
        <f aca="false">IF(OR(I2129="DNB",I2129="Dry DNB"),1,0)</f>
        <v>0</v>
      </c>
      <c r="Y2129" s="39" t="n">
        <f aca="false">MATCH(A2129,DATAS,0)</f>
        <v>1</v>
      </c>
      <c r="Z2129" s="39" t="n">
        <f aca="false">IF(AND(E2129&gt;0,OR(AND(B2129&gt;=1,B2129&lt;=6),B2129=10)),1,0)</f>
        <v>0</v>
      </c>
      <c r="AA2129" s="39" t="n">
        <f aca="false">IF(AND(E2129&gt;0,B2129=10),1,0)</f>
        <v>0</v>
      </c>
      <c r="AB2129" s="0" t="str">
        <f aca="false">IF(AND(C2128=C2129,Y2128=Y2129-1),Z2128,"")</f>
        <v/>
      </c>
      <c r="AC2129" s="0" t="str">
        <f aca="false">IF(AND(C2128=C2129,Y2128=Y2129-1),AA2128,"")</f>
        <v/>
      </c>
      <c r="AD2129" s="0" t="str">
        <f aca="false">IF(Y2129=1,"",IF(AND(Z2129=1,AB2129&lt;&gt;1),1,0))</f>
        <v/>
      </c>
      <c r="AE2129" s="0" t="str">
        <f aca="false">IF(Y2129=1,"",IF(AND(AA2129=1,AC2129&lt;&gt;1),1,0))</f>
        <v/>
      </c>
      <c r="AF2129" s="45" t="str">
        <f aca="false">IF(AND(E2129&gt;0,Y2129&lt;1,NOT(AND(C2130=C2129,Y2130=Y2129+1))),INDEX(DATAS,Y2129+1),"")</f>
        <v/>
      </c>
      <c r="AG2129" s="45" t="str">
        <f aca="false">IF(AND(AA2129=1,Y2129&lt;1),IF(AND(C2130=C2129,Y2130=Y2129+1),IF(AA2130=1,"",INDEX(DATAS,Y2129+1)),INDEX(DATAS,Y2129+1)),"")</f>
        <v/>
      </c>
    </row>
    <row r="2130" customFormat="false" ht="15" hidden="false" customHeight="false" outlineLevel="0" collapsed="false">
      <c r="A2130" s="45" t="n">
        <v>46309</v>
      </c>
      <c r="B2130" s="0" t="n">
        <v>8</v>
      </c>
      <c r="C2130" s="0" t="n">
        <v>6413</v>
      </c>
      <c r="E2130" s="0" t="n">
        <v>0</v>
      </c>
      <c r="F2130" s="39" t="s">
        <v>1153</v>
      </c>
      <c r="I2130" s="39" t="s">
        <v>109</v>
      </c>
      <c r="L2130" s="0" t="n">
        <v>166</v>
      </c>
      <c r="U2130" s="0" t="n">
        <v>567</v>
      </c>
      <c r="V2130" s="0" t="n">
        <v>1</v>
      </c>
      <c r="W2130" s="39" t="n">
        <f aca="false">IF(I2130="Male",0,1)</f>
        <v>1</v>
      </c>
      <c r="X2130" s="39" t="n">
        <f aca="false">IF(OR(I2130="DNB",I2130="Dry DNB"),1,0)</f>
        <v>0</v>
      </c>
      <c r="Y2130" s="39" t="n">
        <f aca="false">MATCH(A2130,DATAS,0)</f>
        <v>1</v>
      </c>
      <c r="Z2130" s="39" t="n">
        <f aca="false">IF(AND(E2130&gt;0,OR(AND(B2130&gt;=1,B2130&lt;=6),B2130=10)),1,0)</f>
        <v>0</v>
      </c>
      <c r="AA2130" s="39" t="n">
        <f aca="false">IF(AND(E2130&gt;0,B2130=10),1,0)</f>
        <v>0</v>
      </c>
      <c r="AB2130" s="0" t="str">
        <f aca="false">IF(AND(C2129=C2130,Y2129=Y2130-1),Z2129,"")</f>
        <v/>
      </c>
      <c r="AC2130" s="0" t="str">
        <f aca="false">IF(AND(C2129=C2130,Y2129=Y2130-1),AA2129,"")</f>
        <v/>
      </c>
      <c r="AD2130" s="0" t="str">
        <f aca="false">IF(Y2130=1,"",IF(AND(Z2130=1,AB2130&lt;&gt;1),1,0))</f>
        <v/>
      </c>
      <c r="AE2130" s="0" t="str">
        <f aca="false">IF(Y2130=1,"",IF(AND(AA2130=1,AC2130&lt;&gt;1),1,0))</f>
        <v/>
      </c>
      <c r="AF2130" s="45" t="str">
        <f aca="false">IF(AND(E2130&gt;0,Y2130&lt;1,NOT(AND(C2131=C2130,Y2131=Y2130+1))),INDEX(DATAS,Y2130+1),"")</f>
        <v/>
      </c>
      <c r="AG2130" s="45" t="str">
        <f aca="false">IF(AND(AA2130=1,Y2130&lt;1),IF(AND(C2131=C2130,Y2131=Y2130+1),IF(AA2131=1,"",INDEX(DATAS,Y2130+1)),INDEX(DATAS,Y2130+1)),"")</f>
        <v/>
      </c>
    </row>
    <row r="2131" customFormat="false" ht="15" hidden="false" customHeight="false" outlineLevel="0" collapsed="false">
      <c r="A2131" s="45" t="n">
        <v>46309</v>
      </c>
      <c r="B2131" s="0" t="n">
        <v>8</v>
      </c>
      <c r="C2131" s="0" t="n">
        <v>6414</v>
      </c>
      <c r="E2131" s="0" t="n">
        <v>0</v>
      </c>
      <c r="F2131" s="39" t="s">
        <v>1153</v>
      </c>
      <c r="I2131" s="39" t="s">
        <v>109</v>
      </c>
      <c r="L2131" s="0" t="n">
        <v>167</v>
      </c>
      <c r="U2131" s="0" t="n">
        <v>567</v>
      </c>
      <c r="V2131" s="0" t="n">
        <v>1</v>
      </c>
      <c r="W2131" s="39" t="n">
        <f aca="false">IF(I2131="Male",0,1)</f>
        <v>1</v>
      </c>
      <c r="X2131" s="39" t="n">
        <f aca="false">IF(OR(I2131="DNB",I2131="Dry DNB"),1,0)</f>
        <v>0</v>
      </c>
      <c r="Y2131" s="39" t="n">
        <f aca="false">MATCH(A2131,DATAS,0)</f>
        <v>1</v>
      </c>
      <c r="Z2131" s="39" t="n">
        <f aca="false">IF(AND(E2131&gt;0,OR(AND(B2131&gt;=1,B2131&lt;=6),B2131=10)),1,0)</f>
        <v>0</v>
      </c>
      <c r="AA2131" s="39" t="n">
        <f aca="false">IF(AND(E2131&gt;0,B2131=10),1,0)</f>
        <v>0</v>
      </c>
      <c r="AB2131" s="0" t="str">
        <f aca="false">IF(AND(C2130=C2131,Y2130=Y2131-1),Z2130,"")</f>
        <v/>
      </c>
      <c r="AC2131" s="0" t="str">
        <f aca="false">IF(AND(C2130=C2131,Y2130=Y2131-1),AA2130,"")</f>
        <v/>
      </c>
      <c r="AD2131" s="0" t="str">
        <f aca="false">IF(Y2131=1,"",IF(AND(Z2131=1,AB2131&lt;&gt;1),1,0))</f>
        <v/>
      </c>
      <c r="AE2131" s="0" t="str">
        <f aca="false">IF(Y2131=1,"",IF(AND(AA2131=1,AC2131&lt;&gt;1),1,0))</f>
        <v/>
      </c>
      <c r="AF2131" s="45" t="str">
        <f aca="false">IF(AND(E2131&gt;0,Y2131&lt;1,NOT(AND(C2132=C2131,Y2132=Y2131+1))),INDEX(DATAS,Y2131+1),"")</f>
        <v/>
      </c>
      <c r="AG2131" s="45" t="str">
        <f aca="false">IF(AND(AA2131=1,Y2131&lt;1),IF(AND(C2132=C2131,Y2132=Y2131+1),IF(AA2132=1,"",INDEX(DATAS,Y2131+1)),INDEX(DATAS,Y2131+1)),"")</f>
        <v/>
      </c>
    </row>
    <row r="2132" customFormat="false" ht="15" hidden="false" customHeight="false" outlineLevel="0" collapsed="false">
      <c r="A2132" s="45" t="n">
        <v>46309</v>
      </c>
      <c r="B2132" s="0" t="n">
        <v>8</v>
      </c>
      <c r="C2132" s="0" t="n">
        <v>6415</v>
      </c>
      <c r="E2132" s="0" t="n">
        <v>0</v>
      </c>
      <c r="F2132" s="39" t="s">
        <v>1153</v>
      </c>
      <c r="I2132" s="39" t="s">
        <v>109</v>
      </c>
      <c r="L2132" s="0" t="n">
        <v>168</v>
      </c>
      <c r="U2132" s="0" t="n">
        <v>567</v>
      </c>
      <c r="V2132" s="0" t="n">
        <v>1</v>
      </c>
      <c r="W2132" s="39" t="n">
        <f aca="false">IF(I2132="Male",0,1)</f>
        <v>1</v>
      </c>
      <c r="X2132" s="39" t="n">
        <f aca="false">IF(OR(I2132="DNB",I2132="Dry DNB"),1,0)</f>
        <v>0</v>
      </c>
      <c r="Y2132" s="39" t="n">
        <f aca="false">MATCH(A2132,DATAS,0)</f>
        <v>1</v>
      </c>
      <c r="Z2132" s="39" t="n">
        <f aca="false">IF(AND(E2132&gt;0,OR(AND(B2132&gt;=1,B2132&lt;=6),B2132=10)),1,0)</f>
        <v>0</v>
      </c>
      <c r="AA2132" s="39" t="n">
        <f aca="false">IF(AND(E2132&gt;0,B2132=10),1,0)</f>
        <v>0</v>
      </c>
      <c r="AB2132" s="0" t="str">
        <f aca="false">IF(AND(C2131=C2132,Y2131=Y2132-1),Z2131,"")</f>
        <v/>
      </c>
      <c r="AC2132" s="0" t="str">
        <f aca="false">IF(AND(C2131=C2132,Y2131=Y2132-1),AA2131,"")</f>
        <v/>
      </c>
      <c r="AD2132" s="0" t="str">
        <f aca="false">IF(Y2132=1,"",IF(AND(Z2132=1,AB2132&lt;&gt;1),1,0))</f>
        <v/>
      </c>
      <c r="AE2132" s="0" t="str">
        <f aca="false">IF(Y2132=1,"",IF(AND(AA2132=1,AC2132&lt;&gt;1),1,0))</f>
        <v/>
      </c>
      <c r="AF2132" s="45" t="str">
        <f aca="false">IF(AND(E2132&gt;0,Y2132&lt;1,NOT(AND(C2133=C2132,Y2133=Y2132+1))),INDEX(DATAS,Y2132+1),"")</f>
        <v/>
      </c>
      <c r="AG2132" s="45" t="str">
        <f aca="false">IF(AND(AA2132=1,Y2132&lt;1),IF(AND(C2133=C2132,Y2133=Y2132+1),IF(AA2133=1,"",INDEX(DATAS,Y2132+1)),INDEX(DATAS,Y2132+1)),"")</f>
        <v/>
      </c>
    </row>
    <row r="2133" customFormat="false" ht="15" hidden="false" customHeight="false" outlineLevel="0" collapsed="false">
      <c r="A2133" s="45" t="n">
        <v>46309</v>
      </c>
      <c r="B2133" s="0" t="n">
        <v>8</v>
      </c>
      <c r="C2133" s="0" t="n">
        <v>6416</v>
      </c>
      <c r="E2133" s="0" t="n">
        <v>0</v>
      </c>
      <c r="F2133" s="39" t="s">
        <v>1154</v>
      </c>
      <c r="I2133" s="39" t="s">
        <v>109</v>
      </c>
      <c r="L2133" s="0" t="n">
        <v>150</v>
      </c>
      <c r="U2133" s="0" t="n">
        <v>565</v>
      </c>
      <c r="V2133" s="0" t="n">
        <v>1</v>
      </c>
      <c r="W2133" s="39" t="n">
        <f aca="false">IF(I2133="Male",0,1)</f>
        <v>1</v>
      </c>
      <c r="X2133" s="39" t="n">
        <f aca="false">IF(OR(I2133="DNB",I2133="Dry DNB"),1,0)</f>
        <v>0</v>
      </c>
      <c r="Y2133" s="39" t="n">
        <f aca="false">MATCH(A2133,DATAS,0)</f>
        <v>1</v>
      </c>
      <c r="Z2133" s="39" t="n">
        <f aca="false">IF(AND(E2133&gt;0,OR(AND(B2133&gt;=1,B2133&lt;=6),B2133=10)),1,0)</f>
        <v>0</v>
      </c>
      <c r="AA2133" s="39" t="n">
        <f aca="false">IF(AND(E2133&gt;0,B2133=10),1,0)</f>
        <v>0</v>
      </c>
      <c r="AB2133" s="0" t="str">
        <f aca="false">IF(AND(C2132=C2133,Y2132=Y2133-1),Z2132,"")</f>
        <v/>
      </c>
      <c r="AC2133" s="0" t="str">
        <f aca="false">IF(AND(C2132=C2133,Y2132=Y2133-1),AA2132,"")</f>
        <v/>
      </c>
      <c r="AD2133" s="0" t="str">
        <f aca="false">IF(Y2133=1,"",IF(AND(Z2133=1,AB2133&lt;&gt;1),1,0))</f>
        <v/>
      </c>
      <c r="AE2133" s="0" t="str">
        <f aca="false">IF(Y2133=1,"",IF(AND(AA2133=1,AC2133&lt;&gt;1),1,0))</f>
        <v/>
      </c>
      <c r="AF2133" s="45" t="str">
        <f aca="false">IF(AND(E2133&gt;0,Y2133&lt;1,NOT(AND(C2134=C2133,Y2134=Y2133+1))),INDEX(DATAS,Y2133+1),"")</f>
        <v/>
      </c>
      <c r="AG2133" s="45" t="str">
        <f aca="false">IF(AND(AA2133=1,Y2133&lt;1),IF(AND(C2134=C2133,Y2134=Y2133+1),IF(AA2134=1,"",INDEX(DATAS,Y2133+1)),INDEX(DATAS,Y2133+1)),"")</f>
        <v/>
      </c>
    </row>
    <row r="2134" customFormat="false" ht="15" hidden="false" customHeight="false" outlineLevel="0" collapsed="false">
      <c r="A2134" s="45" t="n">
        <v>46309</v>
      </c>
      <c r="B2134" s="0" t="n">
        <v>8</v>
      </c>
      <c r="C2134" s="0" t="n">
        <v>6417</v>
      </c>
      <c r="E2134" s="0" t="n">
        <v>0</v>
      </c>
      <c r="F2134" s="39" t="s">
        <v>1154</v>
      </c>
      <c r="I2134" s="39" t="s">
        <v>109</v>
      </c>
      <c r="L2134" s="0" t="n">
        <v>145</v>
      </c>
      <c r="U2134" s="0" t="n">
        <v>565</v>
      </c>
      <c r="V2134" s="0" t="n">
        <v>2</v>
      </c>
      <c r="W2134" s="39" t="n">
        <f aca="false">IF(I2134="Male",0,1)</f>
        <v>1</v>
      </c>
      <c r="X2134" s="39" t="n">
        <f aca="false">IF(OR(I2134="DNB",I2134="Dry DNB"),1,0)</f>
        <v>0</v>
      </c>
      <c r="Y2134" s="39" t="n">
        <f aca="false">MATCH(A2134,DATAS,0)</f>
        <v>1</v>
      </c>
      <c r="Z2134" s="39" t="n">
        <f aca="false">IF(AND(E2134&gt;0,OR(AND(B2134&gt;=1,B2134&lt;=6),B2134=10)),1,0)</f>
        <v>0</v>
      </c>
      <c r="AA2134" s="39" t="n">
        <f aca="false">IF(AND(E2134&gt;0,B2134=10),1,0)</f>
        <v>0</v>
      </c>
      <c r="AB2134" s="0" t="str">
        <f aca="false">IF(AND(C2133=C2134,Y2133=Y2134-1),Z2133,"")</f>
        <v/>
      </c>
      <c r="AC2134" s="0" t="str">
        <f aca="false">IF(AND(C2133=C2134,Y2133=Y2134-1),AA2133,"")</f>
        <v/>
      </c>
      <c r="AD2134" s="0" t="str">
        <f aca="false">IF(Y2134=1,"",IF(AND(Z2134=1,AB2134&lt;&gt;1),1,0))</f>
        <v/>
      </c>
      <c r="AE2134" s="0" t="str">
        <f aca="false">IF(Y2134=1,"",IF(AND(AA2134=1,AC2134&lt;&gt;1),1,0))</f>
        <v/>
      </c>
      <c r="AF2134" s="45" t="str">
        <f aca="false">IF(AND(E2134&gt;0,Y2134&lt;1,NOT(AND(C2135=C2134,Y2135=Y2134+1))),INDEX(DATAS,Y2134+1),"")</f>
        <v/>
      </c>
      <c r="AG2134" s="45" t="str">
        <f aca="false">IF(AND(AA2134=1,Y2134&lt;1),IF(AND(C2135=C2134,Y2135=Y2134+1),IF(AA2135=1,"",INDEX(DATAS,Y2134+1)),INDEX(DATAS,Y2134+1)),"")</f>
        <v/>
      </c>
    </row>
    <row r="2135" customFormat="false" ht="15" hidden="false" customHeight="false" outlineLevel="0" collapsed="false">
      <c r="A2135" s="45" t="n">
        <v>46309</v>
      </c>
      <c r="B2135" s="0" t="n">
        <v>8</v>
      </c>
      <c r="C2135" s="0" t="n">
        <v>6418</v>
      </c>
      <c r="E2135" s="0" t="n">
        <v>0</v>
      </c>
      <c r="F2135" s="39" t="s">
        <v>1154</v>
      </c>
      <c r="I2135" s="39" t="s">
        <v>109</v>
      </c>
      <c r="L2135" s="0" t="n">
        <v>55</v>
      </c>
      <c r="U2135" s="0" t="n">
        <v>565</v>
      </c>
      <c r="V2135" s="0" t="n">
        <v>3</v>
      </c>
      <c r="W2135" s="39" t="n">
        <f aca="false">IF(I2135="Male",0,1)</f>
        <v>1</v>
      </c>
      <c r="X2135" s="39" t="n">
        <f aca="false">IF(OR(I2135="DNB",I2135="Dry DNB"),1,0)</f>
        <v>0</v>
      </c>
      <c r="Y2135" s="39" t="n">
        <f aca="false">MATCH(A2135,DATAS,0)</f>
        <v>1</v>
      </c>
      <c r="Z2135" s="39" t="n">
        <f aca="false">IF(AND(E2135&gt;0,OR(AND(B2135&gt;=1,B2135&lt;=6),B2135=10)),1,0)</f>
        <v>0</v>
      </c>
      <c r="AA2135" s="39" t="n">
        <f aca="false">IF(AND(E2135&gt;0,B2135=10),1,0)</f>
        <v>0</v>
      </c>
      <c r="AB2135" s="0" t="str">
        <f aca="false">IF(AND(C2134=C2135,Y2134=Y2135-1),Z2134,"")</f>
        <v/>
      </c>
      <c r="AC2135" s="0" t="str">
        <f aca="false">IF(AND(C2134=C2135,Y2134=Y2135-1),AA2134,"")</f>
        <v/>
      </c>
      <c r="AD2135" s="0" t="str">
        <f aca="false">IF(Y2135=1,"",IF(AND(Z2135=1,AB2135&lt;&gt;1),1,0))</f>
        <v/>
      </c>
      <c r="AE2135" s="0" t="str">
        <f aca="false">IF(Y2135=1,"",IF(AND(AA2135=1,AC2135&lt;&gt;1),1,0))</f>
        <v/>
      </c>
      <c r="AF2135" s="45" t="str">
        <f aca="false">IF(AND(E2135&gt;0,Y2135&lt;1,NOT(AND(C2136=C2135,Y2136=Y2135+1))),INDEX(DATAS,Y2135+1),"")</f>
        <v/>
      </c>
      <c r="AG2135" s="45" t="str">
        <f aca="false">IF(AND(AA2135=1,Y2135&lt;1),IF(AND(C2136=C2135,Y2136=Y2135+1),IF(AA2136=1,"",INDEX(DATAS,Y2135+1)),INDEX(DATAS,Y2135+1)),"")</f>
        <v/>
      </c>
    </row>
    <row r="2136" customFormat="false" ht="15" hidden="false" customHeight="false" outlineLevel="0" collapsed="false">
      <c r="A2136" s="45" t="n">
        <v>46309</v>
      </c>
      <c r="B2136" s="0" t="n">
        <v>8</v>
      </c>
      <c r="C2136" s="0" t="n">
        <v>6419</v>
      </c>
      <c r="E2136" s="0" t="n">
        <v>0</v>
      </c>
      <c r="F2136" s="39" t="s">
        <v>1154</v>
      </c>
      <c r="I2136" s="39" t="s">
        <v>109</v>
      </c>
      <c r="L2136" s="0" t="n">
        <v>161</v>
      </c>
      <c r="U2136" s="0" t="n">
        <v>565</v>
      </c>
      <c r="V2136" s="0" t="n">
        <v>1</v>
      </c>
      <c r="W2136" s="39" t="n">
        <f aca="false">IF(I2136="Male",0,1)</f>
        <v>1</v>
      </c>
      <c r="X2136" s="39" t="n">
        <f aca="false">IF(OR(I2136="DNB",I2136="Dry DNB"),1,0)</f>
        <v>0</v>
      </c>
      <c r="Y2136" s="39" t="n">
        <f aca="false">MATCH(A2136,DATAS,0)</f>
        <v>1</v>
      </c>
      <c r="Z2136" s="39" t="n">
        <f aca="false">IF(AND(E2136&gt;0,OR(AND(B2136&gt;=1,B2136&lt;=6),B2136=10)),1,0)</f>
        <v>0</v>
      </c>
      <c r="AA2136" s="39" t="n">
        <f aca="false">IF(AND(E2136&gt;0,B2136=10),1,0)</f>
        <v>0</v>
      </c>
      <c r="AB2136" s="0" t="str">
        <f aca="false">IF(AND(C2135=C2136,Y2135=Y2136-1),Z2135,"")</f>
        <v/>
      </c>
      <c r="AC2136" s="0" t="str">
        <f aca="false">IF(AND(C2135=C2136,Y2135=Y2136-1),AA2135,"")</f>
        <v/>
      </c>
      <c r="AD2136" s="0" t="str">
        <f aca="false">IF(Y2136=1,"",IF(AND(Z2136=1,AB2136&lt;&gt;1),1,0))</f>
        <v/>
      </c>
      <c r="AE2136" s="0" t="str">
        <f aca="false">IF(Y2136=1,"",IF(AND(AA2136=1,AC2136&lt;&gt;1),1,0))</f>
        <v/>
      </c>
      <c r="AF2136" s="45" t="str">
        <f aca="false">IF(AND(E2136&gt;0,Y2136&lt;1,NOT(AND(C2137=C2136,Y2137=Y2136+1))),INDEX(DATAS,Y2136+1),"")</f>
        <v/>
      </c>
      <c r="AG2136" s="45" t="str">
        <f aca="false">IF(AND(AA2136=1,Y2136&lt;1),IF(AND(C2137=C2136,Y2137=Y2136+1),IF(AA2137=1,"",INDEX(DATAS,Y2136+1)),INDEX(DATAS,Y2136+1)),"")</f>
        <v/>
      </c>
    </row>
    <row r="2137" customFormat="false" ht="15" hidden="false" customHeight="false" outlineLevel="0" collapsed="false">
      <c r="A2137" s="45" t="n">
        <v>46309</v>
      </c>
      <c r="B2137" s="0" t="n">
        <v>11</v>
      </c>
      <c r="C2137" s="0" t="n">
        <v>6420</v>
      </c>
      <c r="E2137" s="0" t="n">
        <v>0</v>
      </c>
      <c r="F2137" s="39" t="s">
        <v>1154</v>
      </c>
      <c r="I2137" s="39" t="s">
        <v>138</v>
      </c>
      <c r="U2137" s="0" t="n">
        <v>565</v>
      </c>
      <c r="V2137" s="0" t="n">
        <v>4</v>
      </c>
      <c r="W2137" s="39" t="n">
        <f aca="false">IF(I2137="Male",0,1)</f>
        <v>1</v>
      </c>
      <c r="X2137" s="39" t="n">
        <f aca="false">IF(OR(I2137="DNB",I2137="Dry DNB"),1,0)</f>
        <v>0</v>
      </c>
      <c r="Y2137" s="39" t="n">
        <f aca="false">MATCH(A2137,DATAS,0)</f>
        <v>1</v>
      </c>
      <c r="Z2137" s="39" t="n">
        <f aca="false">IF(AND(E2137&gt;0,OR(AND(B2137&gt;=1,B2137&lt;=6),B2137=10)),1,0)</f>
        <v>0</v>
      </c>
      <c r="AA2137" s="39" t="n">
        <f aca="false">IF(AND(E2137&gt;0,B2137=10),1,0)</f>
        <v>0</v>
      </c>
      <c r="AB2137" s="0" t="str">
        <f aca="false">IF(AND(C2136=C2137,Y2136=Y2137-1),Z2136,"")</f>
        <v/>
      </c>
      <c r="AC2137" s="0" t="str">
        <f aca="false">IF(AND(C2136=C2137,Y2136=Y2137-1),AA2136,"")</f>
        <v/>
      </c>
      <c r="AD2137" s="0" t="str">
        <f aca="false">IF(Y2137=1,"",IF(AND(Z2137=1,AB2137&lt;&gt;1),1,0))</f>
        <v/>
      </c>
      <c r="AE2137" s="0" t="str">
        <f aca="false">IF(Y2137=1,"",IF(AND(AA2137=1,AC2137&lt;&gt;1),1,0))</f>
        <v/>
      </c>
      <c r="AF2137" s="45" t="str">
        <f aca="false">IF(AND(E2137&gt;0,Y2137&lt;1,NOT(AND(C2138=C2137,Y2138=Y2137+1))),INDEX(DATAS,Y2137+1),"")</f>
        <v/>
      </c>
      <c r="AG2137" s="45" t="str">
        <f aca="false">IF(AND(AA2137=1,Y2137&lt;1),IF(AND(C2138=C2137,Y2138=Y2137+1),IF(AA2138=1,"",INDEX(DATAS,Y2137+1)),INDEX(DATAS,Y2137+1)),"")</f>
        <v/>
      </c>
    </row>
    <row r="2138" customFormat="false" ht="15" hidden="false" customHeight="false" outlineLevel="0" collapsed="false">
      <c r="A2138" s="45" t="n">
        <v>46309</v>
      </c>
      <c r="B2138" s="0" t="n">
        <v>8</v>
      </c>
      <c r="C2138" s="0" t="n">
        <v>6421</v>
      </c>
      <c r="E2138" s="0" t="n">
        <v>0</v>
      </c>
      <c r="F2138" s="39" t="s">
        <v>1154</v>
      </c>
      <c r="I2138" s="39" t="s">
        <v>109</v>
      </c>
      <c r="L2138" s="0" t="n">
        <v>121</v>
      </c>
      <c r="U2138" s="0" t="n">
        <v>565</v>
      </c>
      <c r="V2138" s="0" t="n">
        <v>3</v>
      </c>
      <c r="W2138" s="39" t="n">
        <f aca="false">IF(I2138="Male",0,1)</f>
        <v>1</v>
      </c>
      <c r="X2138" s="39" t="n">
        <f aca="false">IF(OR(I2138="DNB",I2138="Dry DNB"),1,0)</f>
        <v>0</v>
      </c>
      <c r="Y2138" s="39" t="n">
        <f aca="false">MATCH(A2138,DATAS,0)</f>
        <v>1</v>
      </c>
      <c r="Z2138" s="39" t="n">
        <f aca="false">IF(AND(E2138&gt;0,OR(AND(B2138&gt;=1,B2138&lt;=6),B2138=10)),1,0)</f>
        <v>0</v>
      </c>
      <c r="AA2138" s="39" t="n">
        <f aca="false">IF(AND(E2138&gt;0,B2138=10),1,0)</f>
        <v>0</v>
      </c>
      <c r="AB2138" s="0" t="str">
        <f aca="false">IF(AND(C2137=C2138,Y2137=Y2138-1),Z2137,"")</f>
        <v/>
      </c>
      <c r="AC2138" s="0" t="str">
        <f aca="false">IF(AND(C2137=C2138,Y2137=Y2138-1),AA2137,"")</f>
        <v/>
      </c>
      <c r="AD2138" s="0" t="str">
        <f aca="false">IF(Y2138=1,"",IF(AND(Z2138=1,AB2138&lt;&gt;1),1,0))</f>
        <v/>
      </c>
      <c r="AE2138" s="0" t="str">
        <f aca="false">IF(Y2138=1,"",IF(AND(AA2138=1,AC2138&lt;&gt;1),1,0))</f>
        <v/>
      </c>
      <c r="AF2138" s="45" t="str">
        <f aca="false">IF(AND(E2138&gt;0,Y2138&lt;1,NOT(AND(C2139=C2138,Y2139=Y2138+1))),INDEX(DATAS,Y2138+1),"")</f>
        <v/>
      </c>
      <c r="AG2138" s="45" t="str">
        <f aca="false">IF(AND(AA2138=1,Y2138&lt;1),IF(AND(C2139=C2138,Y2139=Y2138+1),IF(AA2139=1,"",INDEX(DATAS,Y2138+1)),INDEX(DATAS,Y2138+1)),"")</f>
        <v/>
      </c>
    </row>
    <row r="2139" customFormat="false" ht="15" hidden="false" customHeight="false" outlineLevel="0" collapsed="false">
      <c r="A2139" s="45" t="n">
        <v>46309</v>
      </c>
      <c r="B2139" s="0" t="n">
        <v>8</v>
      </c>
      <c r="C2139" s="0" t="n">
        <v>6423</v>
      </c>
      <c r="E2139" s="0" t="n">
        <v>0</v>
      </c>
      <c r="F2139" s="39" t="s">
        <v>1155</v>
      </c>
      <c r="I2139" s="39" t="s">
        <v>109</v>
      </c>
      <c r="L2139" s="0" t="n">
        <v>164</v>
      </c>
      <c r="U2139" s="0" t="n">
        <v>564</v>
      </c>
      <c r="V2139" s="0" t="n">
        <v>1</v>
      </c>
      <c r="W2139" s="39" t="n">
        <f aca="false">IF(I2139="Male",0,1)</f>
        <v>1</v>
      </c>
      <c r="X2139" s="39" t="n">
        <f aca="false">IF(OR(I2139="DNB",I2139="Dry DNB"),1,0)</f>
        <v>0</v>
      </c>
      <c r="Y2139" s="39" t="n">
        <f aca="false">MATCH(A2139,DATAS,0)</f>
        <v>1</v>
      </c>
      <c r="Z2139" s="39" t="n">
        <f aca="false">IF(AND(E2139&gt;0,OR(AND(B2139&gt;=1,B2139&lt;=6),B2139=10)),1,0)</f>
        <v>0</v>
      </c>
      <c r="AA2139" s="39" t="n">
        <f aca="false">IF(AND(E2139&gt;0,B2139=10),1,0)</f>
        <v>0</v>
      </c>
      <c r="AB2139" s="0" t="str">
        <f aca="false">IF(AND(C2138=C2139,Y2138=Y2139-1),Z2138,"")</f>
        <v/>
      </c>
      <c r="AC2139" s="0" t="str">
        <f aca="false">IF(AND(C2138=C2139,Y2138=Y2139-1),AA2138,"")</f>
        <v/>
      </c>
      <c r="AD2139" s="0" t="str">
        <f aca="false">IF(Y2139=1,"",IF(AND(Z2139=1,AB2139&lt;&gt;1),1,0))</f>
        <v/>
      </c>
      <c r="AE2139" s="0" t="str">
        <f aca="false">IF(Y2139=1,"",IF(AND(AA2139=1,AC2139&lt;&gt;1),1,0))</f>
        <v/>
      </c>
      <c r="AF2139" s="45" t="str">
        <f aca="false">IF(AND(E2139&gt;0,Y2139&lt;1,NOT(AND(C2140=C2139,Y2140=Y2139+1))),INDEX(DATAS,Y2139+1),"")</f>
        <v/>
      </c>
      <c r="AG2139" s="45" t="str">
        <f aca="false">IF(AND(AA2139=1,Y2139&lt;1),IF(AND(C2140=C2139,Y2140=Y2139+1),IF(AA2140=1,"",INDEX(DATAS,Y2139+1)),INDEX(DATAS,Y2139+1)),"")</f>
        <v/>
      </c>
    </row>
    <row r="2140" customFormat="false" ht="15" hidden="false" customHeight="false" outlineLevel="0" collapsed="false">
      <c r="A2140" s="45" t="n">
        <v>46309</v>
      </c>
      <c r="B2140" s="0" t="n">
        <v>8</v>
      </c>
      <c r="C2140" s="0" t="n">
        <v>6424</v>
      </c>
      <c r="E2140" s="0" t="n">
        <v>0</v>
      </c>
      <c r="F2140" s="39" t="s">
        <v>1156</v>
      </c>
      <c r="I2140" s="39" t="s">
        <v>109</v>
      </c>
      <c r="L2140" s="0" t="n">
        <v>77</v>
      </c>
      <c r="U2140" s="0" t="n">
        <v>563</v>
      </c>
      <c r="V2140" s="0" t="n">
        <v>2</v>
      </c>
      <c r="W2140" s="39" t="n">
        <f aca="false">IF(I2140="Male",0,1)</f>
        <v>1</v>
      </c>
      <c r="X2140" s="39" t="n">
        <f aca="false">IF(OR(I2140="DNB",I2140="Dry DNB"),1,0)</f>
        <v>0</v>
      </c>
      <c r="Y2140" s="39" t="n">
        <f aca="false">MATCH(A2140,DATAS,0)</f>
        <v>1</v>
      </c>
      <c r="Z2140" s="39" t="n">
        <f aca="false">IF(AND(E2140&gt;0,OR(AND(B2140&gt;=1,B2140&lt;=6),B2140=10)),1,0)</f>
        <v>0</v>
      </c>
      <c r="AA2140" s="39" t="n">
        <f aca="false">IF(AND(E2140&gt;0,B2140=10),1,0)</f>
        <v>0</v>
      </c>
      <c r="AB2140" s="0" t="str">
        <f aca="false">IF(AND(C2139=C2140,Y2139=Y2140-1),Z2139,"")</f>
        <v/>
      </c>
      <c r="AC2140" s="0" t="str">
        <f aca="false">IF(AND(C2139=C2140,Y2139=Y2140-1),AA2139,"")</f>
        <v/>
      </c>
      <c r="AD2140" s="0" t="str">
        <f aca="false">IF(Y2140=1,"",IF(AND(Z2140=1,AB2140&lt;&gt;1),1,0))</f>
        <v/>
      </c>
      <c r="AE2140" s="0" t="str">
        <f aca="false">IF(Y2140=1,"",IF(AND(AA2140=1,AC2140&lt;&gt;1),1,0))</f>
        <v/>
      </c>
      <c r="AF2140" s="45" t="str">
        <f aca="false">IF(AND(E2140&gt;0,Y2140&lt;1,NOT(AND(C2141=C2140,Y2141=Y2140+1))),INDEX(DATAS,Y2140+1),"")</f>
        <v/>
      </c>
      <c r="AG2140" s="45" t="str">
        <f aca="false">IF(AND(AA2140=1,Y2140&lt;1),IF(AND(C2141=C2140,Y2141=Y2140+1),IF(AA2141=1,"",INDEX(DATAS,Y2140+1)),INDEX(DATAS,Y2140+1)),"")</f>
        <v/>
      </c>
    </row>
    <row r="2141" customFormat="false" ht="15" hidden="false" customHeight="false" outlineLevel="0" collapsed="false">
      <c r="A2141" s="45" t="n">
        <v>46309</v>
      </c>
      <c r="B2141" s="0" t="n">
        <v>8</v>
      </c>
      <c r="C2141" s="0" t="n">
        <v>6425</v>
      </c>
      <c r="E2141" s="0" t="n">
        <v>0</v>
      </c>
      <c r="F2141" s="39" t="s">
        <v>1156</v>
      </c>
      <c r="I2141" s="39" t="s">
        <v>109</v>
      </c>
      <c r="L2141" s="0" t="n">
        <v>93</v>
      </c>
      <c r="U2141" s="0" t="n">
        <v>563</v>
      </c>
      <c r="V2141" s="0" t="n">
        <v>5</v>
      </c>
      <c r="W2141" s="39" t="n">
        <f aca="false">IF(I2141="Male",0,1)</f>
        <v>1</v>
      </c>
      <c r="X2141" s="39" t="n">
        <f aca="false">IF(OR(I2141="DNB",I2141="Dry DNB"),1,0)</f>
        <v>0</v>
      </c>
      <c r="Y2141" s="39" t="n">
        <f aca="false">MATCH(A2141,DATAS,0)</f>
        <v>1</v>
      </c>
      <c r="Z2141" s="39" t="n">
        <f aca="false">IF(AND(E2141&gt;0,OR(AND(B2141&gt;=1,B2141&lt;=6),B2141=10)),1,0)</f>
        <v>0</v>
      </c>
      <c r="AA2141" s="39" t="n">
        <f aca="false">IF(AND(E2141&gt;0,B2141=10),1,0)</f>
        <v>0</v>
      </c>
      <c r="AB2141" s="0" t="str">
        <f aca="false">IF(AND(C2140=C2141,Y2140=Y2141-1),Z2140,"")</f>
        <v/>
      </c>
      <c r="AC2141" s="0" t="str">
        <f aca="false">IF(AND(C2140=C2141,Y2140=Y2141-1),AA2140,"")</f>
        <v/>
      </c>
      <c r="AD2141" s="0" t="str">
        <f aca="false">IF(Y2141=1,"",IF(AND(Z2141=1,AB2141&lt;&gt;1),1,0))</f>
        <v/>
      </c>
      <c r="AE2141" s="0" t="str">
        <f aca="false">IF(Y2141=1,"",IF(AND(AA2141=1,AC2141&lt;&gt;1),1,0))</f>
        <v/>
      </c>
      <c r="AF2141" s="45" t="str">
        <f aca="false">IF(AND(E2141&gt;0,Y2141&lt;1,NOT(AND(C2142=C2141,Y2142=Y2141+1))),INDEX(DATAS,Y2141+1),"")</f>
        <v/>
      </c>
      <c r="AG2141" s="45" t="str">
        <f aca="false">IF(AND(AA2141=1,Y2141&lt;1),IF(AND(C2142=C2141,Y2142=Y2141+1),IF(AA2142=1,"",INDEX(DATAS,Y2141+1)),INDEX(DATAS,Y2141+1)),"")</f>
        <v/>
      </c>
    </row>
    <row r="2142" customFormat="false" ht="15" hidden="false" customHeight="false" outlineLevel="0" collapsed="false">
      <c r="A2142" s="45" t="n">
        <v>46309</v>
      </c>
      <c r="B2142" s="0" t="n">
        <v>8</v>
      </c>
      <c r="C2142" s="0" t="n">
        <v>6426</v>
      </c>
      <c r="E2142" s="0" t="n">
        <v>0</v>
      </c>
      <c r="F2142" s="39" t="s">
        <v>1156</v>
      </c>
      <c r="I2142" s="39" t="s">
        <v>109</v>
      </c>
      <c r="L2142" s="0" t="n">
        <v>169</v>
      </c>
      <c r="U2142" s="0" t="n">
        <v>563</v>
      </c>
      <c r="V2142" s="0" t="n">
        <v>1</v>
      </c>
      <c r="W2142" s="39" t="n">
        <f aca="false">IF(I2142="Male",0,1)</f>
        <v>1</v>
      </c>
      <c r="X2142" s="39" t="n">
        <f aca="false">IF(OR(I2142="DNB",I2142="Dry DNB"),1,0)</f>
        <v>0</v>
      </c>
      <c r="Y2142" s="39" t="n">
        <f aca="false">MATCH(A2142,DATAS,0)</f>
        <v>1</v>
      </c>
      <c r="Z2142" s="39" t="n">
        <f aca="false">IF(AND(E2142&gt;0,OR(AND(B2142&gt;=1,B2142&lt;=6),B2142=10)),1,0)</f>
        <v>0</v>
      </c>
      <c r="AA2142" s="39" t="n">
        <f aca="false">IF(AND(E2142&gt;0,B2142=10),1,0)</f>
        <v>0</v>
      </c>
      <c r="AB2142" s="0" t="str">
        <f aca="false">IF(AND(C2141=C2142,Y2141=Y2142-1),Z2141,"")</f>
        <v/>
      </c>
      <c r="AC2142" s="0" t="str">
        <f aca="false">IF(AND(C2141=C2142,Y2141=Y2142-1),AA2141,"")</f>
        <v/>
      </c>
      <c r="AD2142" s="0" t="str">
        <f aca="false">IF(Y2142=1,"",IF(AND(Z2142=1,AB2142&lt;&gt;1),1,0))</f>
        <v/>
      </c>
      <c r="AE2142" s="0" t="str">
        <f aca="false">IF(Y2142=1,"",IF(AND(AA2142=1,AC2142&lt;&gt;1),1,0))</f>
        <v/>
      </c>
      <c r="AF2142" s="45" t="str">
        <f aca="false">IF(AND(E2142&gt;0,Y2142&lt;1,NOT(AND(C2143=C2142,Y2143=Y2142+1))),INDEX(DATAS,Y2142+1),"")</f>
        <v/>
      </c>
      <c r="AG2142" s="45" t="str">
        <f aca="false">IF(AND(AA2142=1,Y2142&lt;1),IF(AND(C2143=C2142,Y2143=Y2142+1),IF(AA2143=1,"",INDEX(DATAS,Y2142+1)),INDEX(DATAS,Y2142+1)),"")</f>
        <v/>
      </c>
    </row>
    <row r="2143" customFormat="false" ht="15" hidden="false" customHeight="false" outlineLevel="0" collapsed="false">
      <c r="A2143" s="45" t="n">
        <v>46309</v>
      </c>
      <c r="B2143" s="0" t="n">
        <v>11</v>
      </c>
      <c r="C2143" s="0" t="n">
        <v>6427</v>
      </c>
      <c r="E2143" s="0" t="n">
        <v>0</v>
      </c>
      <c r="F2143" s="39" t="s">
        <v>1157</v>
      </c>
      <c r="I2143" s="39" t="s">
        <v>138</v>
      </c>
      <c r="U2143" s="0" t="n">
        <v>562</v>
      </c>
      <c r="V2143" s="0" t="n">
        <v>7</v>
      </c>
      <c r="W2143" s="39" t="n">
        <f aca="false">IF(I2143="Male",0,1)</f>
        <v>1</v>
      </c>
      <c r="X2143" s="39" t="n">
        <f aca="false">IF(OR(I2143="DNB",I2143="Dry DNB"),1,0)</f>
        <v>0</v>
      </c>
      <c r="Y2143" s="39" t="n">
        <f aca="false">MATCH(A2143,DATAS,0)</f>
        <v>1</v>
      </c>
      <c r="Z2143" s="39" t="n">
        <f aca="false">IF(AND(E2143&gt;0,OR(AND(B2143&gt;=1,B2143&lt;=6),B2143=10)),1,0)</f>
        <v>0</v>
      </c>
      <c r="AA2143" s="39" t="n">
        <f aca="false">IF(AND(E2143&gt;0,B2143=10),1,0)</f>
        <v>0</v>
      </c>
      <c r="AB2143" s="0" t="str">
        <f aca="false">IF(AND(C2142=C2143,Y2142=Y2143-1),Z2142,"")</f>
        <v/>
      </c>
      <c r="AC2143" s="0" t="str">
        <f aca="false">IF(AND(C2142=C2143,Y2142=Y2143-1),AA2142,"")</f>
        <v/>
      </c>
      <c r="AD2143" s="0" t="str">
        <f aca="false">IF(Y2143=1,"",IF(AND(Z2143=1,AB2143&lt;&gt;1),1,0))</f>
        <v/>
      </c>
      <c r="AE2143" s="0" t="str">
        <f aca="false">IF(Y2143=1,"",IF(AND(AA2143=1,AC2143&lt;&gt;1),1,0))</f>
        <v/>
      </c>
      <c r="AF2143" s="45" t="str">
        <f aca="false">IF(AND(E2143&gt;0,Y2143&lt;1,NOT(AND(C2144=C2143,Y2144=Y2143+1))),INDEX(DATAS,Y2143+1),"")</f>
        <v/>
      </c>
      <c r="AG2143" s="45" t="str">
        <f aca="false">IF(AND(AA2143=1,Y2143&lt;1),IF(AND(C2144=C2143,Y2144=Y2143+1),IF(AA2144=1,"",INDEX(DATAS,Y2143+1)),INDEX(DATAS,Y2143+1)),"")</f>
        <v/>
      </c>
    </row>
    <row r="2144" customFormat="false" ht="15" hidden="false" customHeight="false" outlineLevel="0" collapsed="false">
      <c r="A2144" s="45" t="n">
        <v>46309</v>
      </c>
      <c r="B2144" s="0" t="n">
        <v>8</v>
      </c>
      <c r="C2144" s="0" t="n">
        <v>6428</v>
      </c>
      <c r="E2144" s="0" t="n">
        <v>0</v>
      </c>
      <c r="F2144" s="39" t="s">
        <v>1157</v>
      </c>
      <c r="I2144" s="39" t="s">
        <v>109</v>
      </c>
      <c r="L2144" s="0" t="n">
        <v>135</v>
      </c>
      <c r="U2144" s="0" t="n">
        <v>562</v>
      </c>
      <c r="V2144" s="0" t="n">
        <v>1</v>
      </c>
      <c r="W2144" s="39" t="n">
        <f aca="false">IF(I2144="Male",0,1)</f>
        <v>1</v>
      </c>
      <c r="X2144" s="39" t="n">
        <f aca="false">IF(OR(I2144="DNB",I2144="Dry DNB"),1,0)</f>
        <v>0</v>
      </c>
      <c r="Y2144" s="39" t="n">
        <f aca="false">MATCH(A2144,DATAS,0)</f>
        <v>1</v>
      </c>
      <c r="Z2144" s="39" t="n">
        <f aca="false">IF(AND(E2144&gt;0,OR(AND(B2144&gt;=1,B2144&lt;=6),B2144=10)),1,0)</f>
        <v>0</v>
      </c>
      <c r="AA2144" s="39" t="n">
        <f aca="false">IF(AND(E2144&gt;0,B2144=10),1,0)</f>
        <v>0</v>
      </c>
      <c r="AB2144" s="0" t="str">
        <f aca="false">IF(AND(C2143=C2144,Y2143=Y2144-1),Z2143,"")</f>
        <v/>
      </c>
      <c r="AC2144" s="0" t="str">
        <f aca="false">IF(AND(C2143=C2144,Y2143=Y2144-1),AA2143,"")</f>
        <v/>
      </c>
      <c r="AD2144" s="0" t="str">
        <f aca="false">IF(Y2144=1,"",IF(AND(Z2144=1,AB2144&lt;&gt;1),1,0))</f>
        <v/>
      </c>
      <c r="AE2144" s="0" t="str">
        <f aca="false">IF(Y2144=1,"",IF(AND(AA2144=1,AC2144&lt;&gt;1),1,0))</f>
        <v/>
      </c>
      <c r="AF2144" s="45" t="str">
        <f aca="false">IF(AND(E2144&gt;0,Y2144&lt;1,NOT(AND(C2145=C2144,Y2145=Y2144+1))),INDEX(DATAS,Y2144+1),"")</f>
        <v/>
      </c>
      <c r="AG2144" s="45" t="str">
        <f aca="false">IF(AND(AA2144=1,Y2144&lt;1),IF(AND(C2145=C2144,Y2145=Y2144+1),IF(AA2145=1,"",INDEX(DATAS,Y2144+1)),INDEX(DATAS,Y2144+1)),"")</f>
        <v/>
      </c>
    </row>
    <row r="2145" customFormat="false" ht="15" hidden="false" customHeight="false" outlineLevel="0" collapsed="false">
      <c r="A2145" s="45" t="n">
        <v>46309</v>
      </c>
      <c r="B2145" s="0" t="n">
        <v>8</v>
      </c>
      <c r="C2145" s="0" t="n">
        <v>6429</v>
      </c>
      <c r="E2145" s="0" t="n">
        <v>0</v>
      </c>
      <c r="F2145" s="39" t="s">
        <v>1157</v>
      </c>
      <c r="I2145" s="39" t="s">
        <v>109</v>
      </c>
      <c r="L2145" s="0" t="n">
        <v>149</v>
      </c>
      <c r="U2145" s="0" t="n">
        <v>562</v>
      </c>
      <c r="V2145" s="0" t="n">
        <v>2</v>
      </c>
      <c r="W2145" s="39" t="n">
        <f aca="false">IF(I2145="Male",0,1)</f>
        <v>1</v>
      </c>
      <c r="X2145" s="39" t="n">
        <f aca="false">IF(OR(I2145="DNB",I2145="Dry DNB"),1,0)</f>
        <v>0</v>
      </c>
      <c r="Y2145" s="39" t="n">
        <f aca="false">MATCH(A2145,DATAS,0)</f>
        <v>1</v>
      </c>
      <c r="Z2145" s="39" t="n">
        <f aca="false">IF(AND(E2145&gt;0,OR(AND(B2145&gt;=1,B2145&lt;=6),B2145=10)),1,0)</f>
        <v>0</v>
      </c>
      <c r="AA2145" s="39" t="n">
        <f aca="false">IF(AND(E2145&gt;0,B2145=10),1,0)</f>
        <v>0</v>
      </c>
      <c r="AB2145" s="0" t="str">
        <f aca="false">IF(AND(C2144=C2145,Y2144=Y2145-1),Z2144,"")</f>
        <v/>
      </c>
      <c r="AC2145" s="0" t="str">
        <f aca="false">IF(AND(C2144=C2145,Y2144=Y2145-1),AA2144,"")</f>
        <v/>
      </c>
      <c r="AD2145" s="0" t="str">
        <f aca="false">IF(Y2145=1,"",IF(AND(Z2145=1,AB2145&lt;&gt;1),1,0))</f>
        <v/>
      </c>
      <c r="AE2145" s="0" t="str">
        <f aca="false">IF(Y2145=1,"",IF(AND(AA2145=1,AC2145&lt;&gt;1),1,0))</f>
        <v/>
      </c>
      <c r="AF2145" s="45" t="str">
        <f aca="false">IF(AND(E2145&gt;0,Y2145&lt;1,NOT(AND(C2146=C2145,Y2146=Y2145+1))),INDEX(DATAS,Y2145+1),"")</f>
        <v/>
      </c>
      <c r="AG2145" s="45" t="str">
        <f aca="false">IF(AND(AA2145=1,Y2145&lt;1),IF(AND(C2146=C2145,Y2146=Y2145+1),IF(AA2146=1,"",INDEX(DATAS,Y2145+1)),INDEX(DATAS,Y2145+1)),"")</f>
        <v/>
      </c>
    </row>
    <row r="2146" customFormat="false" ht="15" hidden="false" customHeight="false" outlineLevel="0" collapsed="false">
      <c r="A2146" s="45" t="n">
        <v>46309</v>
      </c>
      <c r="B2146" s="0" t="n">
        <v>8</v>
      </c>
      <c r="C2146" s="0" t="n">
        <v>6430</v>
      </c>
      <c r="E2146" s="0" t="n">
        <v>0</v>
      </c>
      <c r="F2146" s="39" t="s">
        <v>1158</v>
      </c>
      <c r="I2146" s="39" t="s">
        <v>109</v>
      </c>
      <c r="L2146" s="0" t="n">
        <v>152</v>
      </c>
      <c r="U2146" s="0" t="n">
        <v>561</v>
      </c>
      <c r="V2146" s="0" t="n">
        <v>1</v>
      </c>
      <c r="W2146" s="39" t="n">
        <f aca="false">IF(I2146="Male",0,1)</f>
        <v>1</v>
      </c>
      <c r="X2146" s="39" t="n">
        <f aca="false">IF(OR(I2146="DNB",I2146="Dry DNB"),1,0)</f>
        <v>0</v>
      </c>
      <c r="Y2146" s="39" t="n">
        <f aca="false">MATCH(A2146,DATAS,0)</f>
        <v>1</v>
      </c>
      <c r="Z2146" s="39" t="n">
        <f aca="false">IF(AND(E2146&gt;0,OR(AND(B2146&gt;=1,B2146&lt;=6),B2146=10)),1,0)</f>
        <v>0</v>
      </c>
      <c r="AA2146" s="39" t="n">
        <f aca="false">IF(AND(E2146&gt;0,B2146=10),1,0)</f>
        <v>0</v>
      </c>
      <c r="AB2146" s="0" t="str">
        <f aca="false">IF(AND(C2145=C2146,Y2145=Y2146-1),Z2145,"")</f>
        <v/>
      </c>
      <c r="AC2146" s="0" t="str">
        <f aca="false">IF(AND(C2145=C2146,Y2145=Y2146-1),AA2145,"")</f>
        <v/>
      </c>
      <c r="AD2146" s="0" t="str">
        <f aca="false">IF(Y2146=1,"",IF(AND(Z2146=1,AB2146&lt;&gt;1),1,0))</f>
        <v/>
      </c>
      <c r="AE2146" s="0" t="str">
        <f aca="false">IF(Y2146=1,"",IF(AND(AA2146=1,AC2146&lt;&gt;1),1,0))</f>
        <v/>
      </c>
      <c r="AF2146" s="45" t="str">
        <f aca="false">IF(AND(E2146&gt;0,Y2146&lt;1,NOT(AND(C2147=C2146,Y2147=Y2146+1))),INDEX(DATAS,Y2146+1),"")</f>
        <v/>
      </c>
      <c r="AG2146" s="45" t="str">
        <f aca="false">IF(AND(AA2146=1,Y2146&lt;1),IF(AND(C2147=C2146,Y2147=Y2146+1),IF(AA2147=1,"",INDEX(DATAS,Y2146+1)),INDEX(DATAS,Y2146+1)),"")</f>
        <v/>
      </c>
    </row>
    <row r="2147" customFormat="false" ht="15" hidden="false" customHeight="false" outlineLevel="0" collapsed="false">
      <c r="A2147" s="45" t="n">
        <v>46309</v>
      </c>
      <c r="B2147" s="0" t="n">
        <v>8</v>
      </c>
      <c r="C2147" s="0" t="n">
        <v>6431</v>
      </c>
      <c r="E2147" s="0" t="n">
        <v>0</v>
      </c>
      <c r="F2147" s="39" t="s">
        <v>1159</v>
      </c>
      <c r="I2147" s="39" t="s">
        <v>109</v>
      </c>
      <c r="L2147" s="0" t="n">
        <v>86</v>
      </c>
      <c r="U2147" s="0" t="n">
        <v>560</v>
      </c>
      <c r="V2147" s="0" t="n">
        <v>4</v>
      </c>
      <c r="W2147" s="39" t="n">
        <f aca="false">IF(I2147="Male",0,1)</f>
        <v>1</v>
      </c>
      <c r="X2147" s="39" t="n">
        <f aca="false">IF(OR(I2147="DNB",I2147="Dry DNB"),1,0)</f>
        <v>0</v>
      </c>
      <c r="Y2147" s="39" t="n">
        <f aca="false">MATCH(A2147,DATAS,0)</f>
        <v>1</v>
      </c>
      <c r="Z2147" s="39" t="n">
        <f aca="false">IF(AND(E2147&gt;0,OR(AND(B2147&gt;=1,B2147&lt;=6),B2147=10)),1,0)</f>
        <v>0</v>
      </c>
      <c r="AA2147" s="39" t="n">
        <f aca="false">IF(AND(E2147&gt;0,B2147=10),1,0)</f>
        <v>0</v>
      </c>
      <c r="AB2147" s="0" t="str">
        <f aca="false">IF(AND(C2146=C2147,Y2146=Y2147-1),Z2146,"")</f>
        <v/>
      </c>
      <c r="AC2147" s="0" t="str">
        <f aca="false">IF(AND(C2146=C2147,Y2146=Y2147-1),AA2146,"")</f>
        <v/>
      </c>
      <c r="AD2147" s="0" t="str">
        <f aca="false">IF(Y2147=1,"",IF(AND(Z2147=1,AB2147&lt;&gt;1),1,0))</f>
        <v/>
      </c>
      <c r="AE2147" s="0" t="str">
        <f aca="false">IF(Y2147=1,"",IF(AND(AA2147=1,AC2147&lt;&gt;1),1,0))</f>
        <v/>
      </c>
      <c r="AF2147" s="45" t="str">
        <f aca="false">IF(AND(E2147&gt;0,Y2147&lt;1,NOT(AND(C2148=C2147,Y2148=Y2147+1))),INDEX(DATAS,Y2147+1),"")</f>
        <v/>
      </c>
      <c r="AG2147" s="45" t="str">
        <f aca="false">IF(AND(AA2147=1,Y2147&lt;1),IF(AND(C2148=C2147,Y2148=Y2147+1),IF(AA2148=1,"",INDEX(DATAS,Y2147+1)),INDEX(DATAS,Y2147+1)),"")</f>
        <v/>
      </c>
    </row>
    <row r="2148" customFormat="false" ht="15" hidden="false" customHeight="false" outlineLevel="0" collapsed="false">
      <c r="A2148" s="45" t="n">
        <v>46309</v>
      </c>
      <c r="B2148" s="0" t="n">
        <v>8</v>
      </c>
      <c r="C2148" s="0" t="n">
        <v>6432</v>
      </c>
      <c r="E2148" s="0" t="n">
        <v>0</v>
      </c>
      <c r="F2148" s="39" t="s">
        <v>1159</v>
      </c>
      <c r="I2148" s="39" t="s">
        <v>109</v>
      </c>
      <c r="L2148" s="0" t="n">
        <v>146</v>
      </c>
      <c r="U2148" s="0" t="n">
        <v>560</v>
      </c>
      <c r="V2148" s="0" t="n">
        <v>2</v>
      </c>
      <c r="W2148" s="39" t="n">
        <f aca="false">IF(I2148="Male",0,1)</f>
        <v>1</v>
      </c>
      <c r="X2148" s="39" t="n">
        <f aca="false">IF(OR(I2148="DNB",I2148="Dry DNB"),1,0)</f>
        <v>0</v>
      </c>
      <c r="Y2148" s="39" t="n">
        <f aca="false">MATCH(A2148,DATAS,0)</f>
        <v>1</v>
      </c>
      <c r="Z2148" s="39" t="n">
        <f aca="false">IF(AND(E2148&gt;0,OR(AND(B2148&gt;=1,B2148&lt;=6),B2148=10)),1,0)</f>
        <v>0</v>
      </c>
      <c r="AA2148" s="39" t="n">
        <f aca="false">IF(AND(E2148&gt;0,B2148=10),1,0)</f>
        <v>0</v>
      </c>
      <c r="AB2148" s="0" t="str">
        <f aca="false">IF(AND(C2147=C2148,Y2147=Y2148-1),Z2147,"")</f>
        <v/>
      </c>
      <c r="AC2148" s="0" t="str">
        <f aca="false">IF(AND(C2147=C2148,Y2147=Y2148-1),AA2147,"")</f>
        <v/>
      </c>
      <c r="AD2148" s="0" t="str">
        <f aca="false">IF(Y2148=1,"",IF(AND(Z2148=1,AB2148&lt;&gt;1),1,0))</f>
        <v/>
      </c>
      <c r="AE2148" s="0" t="str">
        <f aca="false">IF(Y2148=1,"",IF(AND(AA2148=1,AC2148&lt;&gt;1),1,0))</f>
        <v/>
      </c>
      <c r="AF2148" s="45" t="str">
        <f aca="false">IF(AND(E2148&gt;0,Y2148&lt;1,NOT(AND(C2149=C2148,Y2149=Y2148+1))),INDEX(DATAS,Y2148+1),"")</f>
        <v/>
      </c>
      <c r="AG2148" s="45" t="str">
        <f aca="false">IF(AND(AA2148=1,Y2148&lt;1),IF(AND(C2149=C2148,Y2149=Y2148+1),IF(AA2149=1,"",INDEX(DATAS,Y2148+1)),INDEX(DATAS,Y2148+1)),"")</f>
        <v/>
      </c>
    </row>
    <row r="2149" customFormat="false" ht="15" hidden="false" customHeight="false" outlineLevel="0" collapsed="false">
      <c r="A2149" s="45" t="n">
        <v>46309</v>
      </c>
      <c r="B2149" s="0" t="n">
        <v>8</v>
      </c>
      <c r="C2149" s="0" t="n">
        <v>6433</v>
      </c>
      <c r="E2149" s="0" t="n">
        <v>0</v>
      </c>
      <c r="F2149" s="39" t="s">
        <v>1159</v>
      </c>
      <c r="I2149" s="39" t="s">
        <v>109</v>
      </c>
      <c r="L2149" s="0" t="n">
        <v>65</v>
      </c>
      <c r="U2149" s="0" t="n">
        <v>560</v>
      </c>
      <c r="V2149" s="0" t="n">
        <v>5</v>
      </c>
      <c r="W2149" s="39" t="n">
        <f aca="false">IF(I2149="Male",0,1)</f>
        <v>1</v>
      </c>
      <c r="X2149" s="39" t="n">
        <f aca="false">IF(OR(I2149="DNB",I2149="Dry DNB"),1,0)</f>
        <v>0</v>
      </c>
      <c r="Y2149" s="39" t="n">
        <f aca="false">MATCH(A2149,DATAS,0)</f>
        <v>1</v>
      </c>
      <c r="Z2149" s="39" t="n">
        <f aca="false">IF(AND(E2149&gt;0,OR(AND(B2149&gt;=1,B2149&lt;=6),B2149=10)),1,0)</f>
        <v>0</v>
      </c>
      <c r="AA2149" s="39" t="n">
        <f aca="false">IF(AND(E2149&gt;0,B2149=10),1,0)</f>
        <v>0</v>
      </c>
      <c r="AB2149" s="0" t="str">
        <f aca="false">IF(AND(C2148=C2149,Y2148=Y2149-1),Z2148,"")</f>
        <v/>
      </c>
      <c r="AC2149" s="0" t="str">
        <f aca="false">IF(AND(C2148=C2149,Y2148=Y2149-1),AA2148,"")</f>
        <v/>
      </c>
      <c r="AD2149" s="0" t="str">
        <f aca="false">IF(Y2149=1,"",IF(AND(Z2149=1,AB2149&lt;&gt;1),1,0))</f>
        <v/>
      </c>
      <c r="AE2149" s="0" t="str">
        <f aca="false">IF(Y2149=1,"",IF(AND(AA2149=1,AC2149&lt;&gt;1),1,0))</f>
        <v/>
      </c>
      <c r="AF2149" s="45" t="str">
        <f aca="false">IF(AND(E2149&gt;0,Y2149&lt;1,NOT(AND(C2150=C2149,Y2150=Y2149+1))),INDEX(DATAS,Y2149+1),"")</f>
        <v/>
      </c>
      <c r="AG2149" s="45" t="str">
        <f aca="false">IF(AND(AA2149=1,Y2149&lt;1),IF(AND(C2150=C2149,Y2150=Y2149+1),IF(AA2150=1,"",INDEX(DATAS,Y2149+1)),INDEX(DATAS,Y2149+1)),"")</f>
        <v/>
      </c>
    </row>
    <row r="2150" customFormat="false" ht="15" hidden="false" customHeight="false" outlineLevel="0" collapsed="false">
      <c r="A2150" s="45" t="n">
        <v>46309</v>
      </c>
      <c r="B2150" s="0" t="n">
        <v>8</v>
      </c>
      <c r="C2150" s="0" t="n">
        <v>6434</v>
      </c>
      <c r="E2150" s="0" t="n">
        <v>0</v>
      </c>
      <c r="F2150" s="39" t="s">
        <v>1159</v>
      </c>
      <c r="I2150" s="39" t="s">
        <v>109</v>
      </c>
      <c r="L2150" s="0" t="n">
        <v>146</v>
      </c>
      <c r="U2150" s="0" t="n">
        <v>560</v>
      </c>
      <c r="V2150" s="0" t="n">
        <v>1</v>
      </c>
      <c r="W2150" s="39" t="n">
        <f aca="false">IF(I2150="Male",0,1)</f>
        <v>1</v>
      </c>
      <c r="X2150" s="39" t="n">
        <f aca="false">IF(OR(I2150="DNB",I2150="Dry DNB"),1,0)</f>
        <v>0</v>
      </c>
      <c r="Y2150" s="39" t="n">
        <f aca="false">MATCH(A2150,DATAS,0)</f>
        <v>1</v>
      </c>
      <c r="Z2150" s="39" t="n">
        <f aca="false">IF(AND(E2150&gt;0,OR(AND(B2150&gt;=1,B2150&lt;=6),B2150=10)),1,0)</f>
        <v>0</v>
      </c>
      <c r="AA2150" s="39" t="n">
        <f aca="false">IF(AND(E2150&gt;0,B2150=10),1,0)</f>
        <v>0</v>
      </c>
      <c r="AB2150" s="0" t="str">
        <f aca="false">IF(AND(C2149=C2150,Y2149=Y2150-1),Z2149,"")</f>
        <v/>
      </c>
      <c r="AC2150" s="0" t="str">
        <f aca="false">IF(AND(C2149=C2150,Y2149=Y2150-1),AA2149,"")</f>
        <v/>
      </c>
      <c r="AD2150" s="0" t="str">
        <f aca="false">IF(Y2150=1,"",IF(AND(Z2150=1,AB2150&lt;&gt;1),1,0))</f>
        <v/>
      </c>
      <c r="AE2150" s="0" t="str">
        <f aca="false">IF(Y2150=1,"",IF(AND(AA2150=1,AC2150&lt;&gt;1),1,0))</f>
        <v/>
      </c>
      <c r="AF2150" s="45" t="str">
        <f aca="false">IF(AND(E2150&gt;0,Y2150&lt;1,NOT(AND(C2151=C2150,Y2151=Y2150+1))),INDEX(DATAS,Y2150+1),"")</f>
        <v/>
      </c>
      <c r="AG2150" s="45" t="str">
        <f aca="false">IF(AND(AA2150=1,Y2150&lt;1),IF(AND(C2151=C2150,Y2151=Y2150+1),IF(AA2151=1,"",INDEX(DATAS,Y2150+1)),INDEX(DATAS,Y2150+1)),"")</f>
        <v/>
      </c>
    </row>
    <row r="2151" customFormat="false" ht="15" hidden="false" customHeight="false" outlineLevel="0" collapsed="false">
      <c r="A2151" s="45" t="n">
        <v>46309</v>
      </c>
      <c r="B2151" s="0" t="n">
        <v>8</v>
      </c>
      <c r="C2151" s="0" t="n">
        <v>6435</v>
      </c>
      <c r="E2151" s="0" t="n">
        <v>0</v>
      </c>
      <c r="F2151" s="39" t="s">
        <v>1159</v>
      </c>
      <c r="I2151" s="39" t="s">
        <v>109</v>
      </c>
      <c r="L2151" s="0" t="n">
        <v>160</v>
      </c>
      <c r="U2151" s="0" t="n">
        <v>560</v>
      </c>
      <c r="V2151" s="0" t="n">
        <v>1</v>
      </c>
      <c r="W2151" s="39" t="n">
        <f aca="false">IF(I2151="Male",0,1)</f>
        <v>1</v>
      </c>
      <c r="X2151" s="39" t="n">
        <f aca="false">IF(OR(I2151="DNB",I2151="Dry DNB"),1,0)</f>
        <v>0</v>
      </c>
      <c r="Y2151" s="39" t="n">
        <f aca="false">MATCH(A2151,DATAS,0)</f>
        <v>1</v>
      </c>
      <c r="Z2151" s="39" t="n">
        <f aca="false">IF(AND(E2151&gt;0,OR(AND(B2151&gt;=1,B2151&lt;=6),B2151=10)),1,0)</f>
        <v>0</v>
      </c>
      <c r="AA2151" s="39" t="n">
        <f aca="false">IF(AND(E2151&gt;0,B2151=10),1,0)</f>
        <v>0</v>
      </c>
      <c r="AB2151" s="0" t="str">
        <f aca="false">IF(AND(C2150=C2151,Y2150=Y2151-1),Z2150,"")</f>
        <v/>
      </c>
      <c r="AC2151" s="0" t="str">
        <f aca="false">IF(AND(C2150=C2151,Y2150=Y2151-1),AA2150,"")</f>
        <v/>
      </c>
      <c r="AD2151" s="0" t="str">
        <f aca="false">IF(Y2151=1,"",IF(AND(Z2151=1,AB2151&lt;&gt;1),1,0))</f>
        <v/>
      </c>
      <c r="AE2151" s="0" t="str">
        <f aca="false">IF(Y2151=1,"",IF(AND(AA2151=1,AC2151&lt;&gt;1),1,0))</f>
        <v/>
      </c>
      <c r="AF2151" s="45" t="str">
        <f aca="false">IF(AND(E2151&gt;0,Y2151&lt;1,NOT(AND(C2152=C2151,Y2152=Y2151+1))),INDEX(DATAS,Y2151+1),"")</f>
        <v/>
      </c>
      <c r="AG2151" s="45" t="str">
        <f aca="false">IF(AND(AA2151=1,Y2151&lt;1),IF(AND(C2152=C2151,Y2152=Y2151+1),IF(AA2152=1,"",INDEX(DATAS,Y2151+1)),INDEX(DATAS,Y2151+1)),"")</f>
        <v/>
      </c>
    </row>
    <row r="2152" customFormat="false" ht="15" hidden="false" customHeight="false" outlineLevel="0" collapsed="false">
      <c r="A2152" s="45" t="n">
        <v>46309</v>
      </c>
      <c r="B2152" s="0" t="n">
        <v>8</v>
      </c>
      <c r="C2152" s="0" t="n">
        <v>6436</v>
      </c>
      <c r="E2152" s="0" t="n">
        <v>0</v>
      </c>
      <c r="F2152" s="39" t="s">
        <v>1160</v>
      </c>
      <c r="I2152" s="39" t="s">
        <v>109</v>
      </c>
      <c r="L2152" s="0" t="n">
        <v>161</v>
      </c>
      <c r="U2152" s="0" t="n">
        <v>557</v>
      </c>
      <c r="V2152" s="0" t="n">
        <v>1</v>
      </c>
      <c r="W2152" s="39" t="n">
        <f aca="false">IF(I2152="Male",0,1)</f>
        <v>1</v>
      </c>
      <c r="X2152" s="39" t="n">
        <f aca="false">IF(OR(I2152="DNB",I2152="Dry DNB"),1,0)</f>
        <v>0</v>
      </c>
      <c r="Y2152" s="39" t="n">
        <f aca="false">MATCH(A2152,DATAS,0)</f>
        <v>1</v>
      </c>
      <c r="Z2152" s="39" t="n">
        <f aca="false">IF(AND(E2152&gt;0,OR(AND(B2152&gt;=1,B2152&lt;=6),B2152=10)),1,0)</f>
        <v>0</v>
      </c>
      <c r="AA2152" s="39" t="n">
        <f aca="false">IF(AND(E2152&gt;0,B2152=10),1,0)</f>
        <v>0</v>
      </c>
      <c r="AB2152" s="0" t="str">
        <f aca="false">IF(AND(C2151=C2152,Y2151=Y2152-1),Z2151,"")</f>
        <v/>
      </c>
      <c r="AC2152" s="0" t="str">
        <f aca="false">IF(AND(C2151=C2152,Y2151=Y2152-1),AA2151,"")</f>
        <v/>
      </c>
      <c r="AD2152" s="0" t="str">
        <f aca="false">IF(Y2152=1,"",IF(AND(Z2152=1,AB2152&lt;&gt;1),1,0))</f>
        <v/>
      </c>
      <c r="AE2152" s="0" t="str">
        <f aca="false">IF(Y2152=1,"",IF(AND(AA2152=1,AC2152&lt;&gt;1),1,0))</f>
        <v/>
      </c>
      <c r="AF2152" s="45" t="str">
        <f aca="false">IF(AND(E2152&gt;0,Y2152&lt;1,NOT(AND(C2153=C2152,Y2153=Y2152+1))),INDEX(DATAS,Y2152+1),"")</f>
        <v/>
      </c>
      <c r="AG2152" s="45" t="str">
        <f aca="false">IF(AND(AA2152=1,Y2152&lt;1),IF(AND(C2153=C2152,Y2153=Y2152+1),IF(AA2153=1,"",INDEX(DATAS,Y2152+1)),INDEX(DATAS,Y2152+1)),"")</f>
        <v/>
      </c>
    </row>
    <row r="2153" customFormat="false" ht="15" hidden="false" customHeight="false" outlineLevel="0" collapsed="false">
      <c r="A2153" s="45" t="n">
        <v>46309</v>
      </c>
      <c r="B2153" s="0" t="n">
        <v>8</v>
      </c>
      <c r="C2153" s="0" t="n">
        <v>6437</v>
      </c>
      <c r="E2153" s="0" t="n">
        <v>0</v>
      </c>
      <c r="F2153" s="39" t="s">
        <v>1160</v>
      </c>
      <c r="I2153" s="39" t="s">
        <v>109</v>
      </c>
      <c r="L2153" s="0" t="n">
        <v>142</v>
      </c>
      <c r="U2153" s="0" t="n">
        <v>557</v>
      </c>
      <c r="V2153" s="0" t="n">
        <v>2</v>
      </c>
      <c r="W2153" s="39" t="n">
        <f aca="false">IF(I2153="Male",0,1)</f>
        <v>1</v>
      </c>
      <c r="X2153" s="39" t="n">
        <f aca="false">IF(OR(I2153="DNB",I2153="Dry DNB"),1,0)</f>
        <v>0</v>
      </c>
      <c r="Y2153" s="39" t="n">
        <f aca="false">MATCH(A2153,DATAS,0)</f>
        <v>1</v>
      </c>
      <c r="Z2153" s="39" t="n">
        <f aca="false">IF(AND(E2153&gt;0,OR(AND(B2153&gt;=1,B2153&lt;=6),B2153=10)),1,0)</f>
        <v>0</v>
      </c>
      <c r="AA2153" s="39" t="n">
        <f aca="false">IF(AND(E2153&gt;0,B2153=10),1,0)</f>
        <v>0</v>
      </c>
      <c r="AB2153" s="0" t="str">
        <f aca="false">IF(AND(C2152=C2153,Y2152=Y2153-1),Z2152,"")</f>
        <v/>
      </c>
      <c r="AC2153" s="0" t="str">
        <f aca="false">IF(AND(C2152=C2153,Y2152=Y2153-1),AA2152,"")</f>
        <v/>
      </c>
      <c r="AD2153" s="0" t="str">
        <f aca="false">IF(Y2153=1,"",IF(AND(Z2153=1,AB2153&lt;&gt;1),1,0))</f>
        <v/>
      </c>
      <c r="AE2153" s="0" t="str">
        <f aca="false">IF(Y2153=1,"",IF(AND(AA2153=1,AC2153&lt;&gt;1),1,0))</f>
        <v/>
      </c>
      <c r="AF2153" s="45" t="str">
        <f aca="false">IF(AND(E2153&gt;0,Y2153&lt;1,NOT(AND(C2154=C2153,Y2154=Y2153+1))),INDEX(DATAS,Y2153+1),"")</f>
        <v/>
      </c>
      <c r="AG2153" s="45" t="str">
        <f aca="false">IF(AND(AA2153=1,Y2153&lt;1),IF(AND(C2154=C2153,Y2154=Y2153+1),IF(AA2154=1,"",INDEX(DATAS,Y2153+1)),INDEX(DATAS,Y2153+1)),"")</f>
        <v/>
      </c>
    </row>
    <row r="2154" customFormat="false" ht="15" hidden="false" customHeight="false" outlineLevel="0" collapsed="false">
      <c r="A2154" s="45" t="n">
        <v>46309</v>
      </c>
      <c r="B2154" s="0" t="n">
        <v>8</v>
      </c>
      <c r="C2154" s="0" t="n">
        <v>6438</v>
      </c>
      <c r="E2154" s="0" t="n">
        <v>0</v>
      </c>
      <c r="F2154" s="39" t="s">
        <v>1160</v>
      </c>
      <c r="I2154" s="39" t="s">
        <v>109</v>
      </c>
      <c r="L2154" s="0" t="n">
        <v>139</v>
      </c>
      <c r="U2154" s="0" t="n">
        <v>557</v>
      </c>
      <c r="V2154" s="0" t="n">
        <v>1</v>
      </c>
      <c r="W2154" s="39" t="n">
        <f aca="false">IF(I2154="Male",0,1)</f>
        <v>1</v>
      </c>
      <c r="X2154" s="39" t="n">
        <f aca="false">IF(OR(I2154="DNB",I2154="Dry DNB"),1,0)</f>
        <v>0</v>
      </c>
      <c r="Y2154" s="39" t="n">
        <f aca="false">MATCH(A2154,DATAS,0)</f>
        <v>1</v>
      </c>
      <c r="Z2154" s="39" t="n">
        <f aca="false">IF(AND(E2154&gt;0,OR(AND(B2154&gt;=1,B2154&lt;=6),B2154=10)),1,0)</f>
        <v>0</v>
      </c>
      <c r="AA2154" s="39" t="n">
        <f aca="false">IF(AND(E2154&gt;0,B2154=10),1,0)</f>
        <v>0</v>
      </c>
      <c r="AB2154" s="0" t="str">
        <f aca="false">IF(AND(C2153=C2154,Y2153=Y2154-1),Z2153,"")</f>
        <v/>
      </c>
      <c r="AC2154" s="0" t="str">
        <f aca="false">IF(AND(C2153=C2154,Y2153=Y2154-1),AA2153,"")</f>
        <v/>
      </c>
      <c r="AD2154" s="0" t="str">
        <f aca="false">IF(Y2154=1,"",IF(AND(Z2154=1,AB2154&lt;&gt;1),1,0))</f>
        <v/>
      </c>
      <c r="AE2154" s="0" t="str">
        <f aca="false">IF(Y2154=1,"",IF(AND(AA2154=1,AC2154&lt;&gt;1),1,0))</f>
        <v/>
      </c>
      <c r="AF2154" s="45" t="str">
        <f aca="false">IF(AND(E2154&gt;0,Y2154&lt;1,NOT(AND(C2155=C2154,Y2155=Y2154+1))),INDEX(DATAS,Y2154+1),"")</f>
        <v/>
      </c>
      <c r="AG2154" s="45" t="str">
        <f aca="false">IF(AND(AA2154=1,Y2154&lt;1),IF(AND(C2155=C2154,Y2155=Y2154+1),IF(AA2155=1,"",INDEX(DATAS,Y2154+1)),INDEX(DATAS,Y2154+1)),"")</f>
        <v/>
      </c>
    </row>
    <row r="2155" customFormat="false" ht="15" hidden="false" customHeight="false" outlineLevel="0" collapsed="false">
      <c r="A2155" s="45" t="n">
        <v>46309</v>
      </c>
      <c r="B2155" s="0" t="n">
        <v>8</v>
      </c>
      <c r="C2155" s="0" t="n">
        <v>6439</v>
      </c>
      <c r="E2155" s="0" t="n">
        <v>0</v>
      </c>
      <c r="F2155" s="39" t="s">
        <v>1160</v>
      </c>
      <c r="I2155" s="39" t="s">
        <v>109</v>
      </c>
      <c r="L2155" s="0" t="n">
        <v>118</v>
      </c>
      <c r="U2155" s="0" t="n">
        <v>557</v>
      </c>
      <c r="V2155" s="0" t="n">
        <v>3</v>
      </c>
      <c r="W2155" s="39" t="n">
        <f aca="false">IF(I2155="Male",0,1)</f>
        <v>1</v>
      </c>
      <c r="X2155" s="39" t="n">
        <f aca="false">IF(OR(I2155="DNB",I2155="Dry DNB"),1,0)</f>
        <v>0</v>
      </c>
      <c r="Y2155" s="39" t="n">
        <f aca="false">MATCH(A2155,DATAS,0)</f>
        <v>1</v>
      </c>
      <c r="Z2155" s="39" t="n">
        <f aca="false">IF(AND(E2155&gt;0,OR(AND(B2155&gt;=1,B2155&lt;=6),B2155=10)),1,0)</f>
        <v>0</v>
      </c>
      <c r="AA2155" s="39" t="n">
        <f aca="false">IF(AND(E2155&gt;0,B2155=10),1,0)</f>
        <v>0</v>
      </c>
      <c r="AB2155" s="0" t="str">
        <f aca="false">IF(AND(C2154=C2155,Y2154=Y2155-1),Z2154,"")</f>
        <v/>
      </c>
      <c r="AC2155" s="0" t="str">
        <f aca="false">IF(AND(C2154=C2155,Y2154=Y2155-1),AA2154,"")</f>
        <v/>
      </c>
      <c r="AD2155" s="0" t="str">
        <f aca="false">IF(Y2155=1,"",IF(AND(Z2155=1,AB2155&lt;&gt;1),1,0))</f>
        <v/>
      </c>
      <c r="AE2155" s="0" t="str">
        <f aca="false">IF(Y2155=1,"",IF(AND(AA2155=1,AC2155&lt;&gt;1),1,0))</f>
        <v/>
      </c>
      <c r="AF2155" s="45" t="str">
        <f aca="false">IF(AND(E2155&gt;0,Y2155&lt;1,NOT(AND(C2156=C2155,Y2156=Y2155+1))),INDEX(DATAS,Y2155+1),"")</f>
        <v/>
      </c>
      <c r="AG2155" s="45" t="str">
        <f aca="false">IF(AND(AA2155=1,Y2155&lt;1),IF(AND(C2156=C2155,Y2156=Y2155+1),IF(AA2156=1,"",INDEX(DATAS,Y2155+1)),INDEX(DATAS,Y2155+1)),"")</f>
        <v/>
      </c>
    </row>
    <row r="2156" customFormat="false" ht="15" hidden="false" customHeight="false" outlineLevel="0" collapsed="false">
      <c r="A2156" s="45" t="n">
        <v>46309</v>
      </c>
      <c r="B2156" s="0" t="n">
        <v>8</v>
      </c>
      <c r="C2156" s="0" t="n">
        <v>6440</v>
      </c>
      <c r="E2156" s="0" t="n">
        <v>0</v>
      </c>
      <c r="F2156" s="39" t="s">
        <v>1160</v>
      </c>
      <c r="I2156" s="39" t="s">
        <v>109</v>
      </c>
      <c r="L2156" s="0" t="n">
        <v>106</v>
      </c>
      <c r="U2156" s="0" t="n">
        <v>557</v>
      </c>
      <c r="V2156" s="0" t="n">
        <v>2</v>
      </c>
      <c r="W2156" s="39" t="n">
        <f aca="false">IF(I2156="Male",0,1)</f>
        <v>1</v>
      </c>
      <c r="X2156" s="39" t="n">
        <f aca="false">IF(OR(I2156="DNB",I2156="Dry DNB"),1,0)</f>
        <v>0</v>
      </c>
      <c r="Y2156" s="39" t="n">
        <f aca="false">MATCH(A2156,DATAS,0)</f>
        <v>1</v>
      </c>
      <c r="Z2156" s="39" t="n">
        <f aca="false">IF(AND(E2156&gt;0,OR(AND(B2156&gt;=1,B2156&lt;=6),B2156=10)),1,0)</f>
        <v>0</v>
      </c>
      <c r="AA2156" s="39" t="n">
        <f aca="false">IF(AND(E2156&gt;0,B2156=10),1,0)</f>
        <v>0</v>
      </c>
      <c r="AB2156" s="0" t="str">
        <f aca="false">IF(AND(C2155=C2156,Y2155=Y2156-1),Z2155,"")</f>
        <v/>
      </c>
      <c r="AC2156" s="0" t="str">
        <f aca="false">IF(AND(C2155=C2156,Y2155=Y2156-1),AA2155,"")</f>
        <v/>
      </c>
      <c r="AD2156" s="0" t="str">
        <f aca="false">IF(Y2156=1,"",IF(AND(Z2156=1,AB2156&lt;&gt;1),1,0))</f>
        <v/>
      </c>
      <c r="AE2156" s="0" t="str">
        <f aca="false">IF(Y2156=1,"",IF(AND(AA2156=1,AC2156&lt;&gt;1),1,0))</f>
        <v/>
      </c>
      <c r="AF2156" s="45" t="str">
        <f aca="false">IF(AND(E2156&gt;0,Y2156&lt;1,NOT(AND(C2157=C2156,Y2157=Y2156+1))),INDEX(DATAS,Y2156+1),"")</f>
        <v/>
      </c>
      <c r="AG2156" s="45" t="str">
        <f aca="false">IF(AND(AA2156=1,Y2156&lt;1),IF(AND(C2157=C2156,Y2157=Y2156+1),IF(AA2157=1,"",INDEX(DATAS,Y2156+1)),INDEX(DATAS,Y2156+1)),"")</f>
        <v/>
      </c>
    </row>
    <row r="2157" customFormat="false" ht="15" hidden="false" customHeight="false" outlineLevel="0" collapsed="false">
      <c r="A2157" s="45" t="n">
        <v>46309</v>
      </c>
      <c r="B2157" s="0" t="n">
        <v>8</v>
      </c>
      <c r="C2157" s="0" t="n">
        <v>6441</v>
      </c>
      <c r="E2157" s="0" t="n">
        <v>0</v>
      </c>
      <c r="F2157" s="39" t="s">
        <v>1160</v>
      </c>
      <c r="I2157" s="39" t="s">
        <v>109</v>
      </c>
      <c r="L2157" s="0" t="n">
        <v>142</v>
      </c>
      <c r="U2157" s="0" t="n">
        <v>557</v>
      </c>
      <c r="V2157" s="0" t="n">
        <v>2</v>
      </c>
      <c r="W2157" s="39" t="n">
        <f aca="false">IF(I2157="Male",0,1)</f>
        <v>1</v>
      </c>
      <c r="X2157" s="39" t="n">
        <f aca="false">IF(OR(I2157="DNB",I2157="Dry DNB"),1,0)</f>
        <v>0</v>
      </c>
      <c r="Y2157" s="39" t="n">
        <f aca="false">MATCH(A2157,DATAS,0)</f>
        <v>1</v>
      </c>
      <c r="Z2157" s="39" t="n">
        <f aca="false">IF(AND(E2157&gt;0,OR(AND(B2157&gt;=1,B2157&lt;=6),B2157=10)),1,0)</f>
        <v>0</v>
      </c>
      <c r="AA2157" s="39" t="n">
        <f aca="false">IF(AND(E2157&gt;0,B2157=10),1,0)</f>
        <v>0</v>
      </c>
      <c r="AB2157" s="0" t="str">
        <f aca="false">IF(AND(C2156=C2157,Y2156=Y2157-1),Z2156,"")</f>
        <v/>
      </c>
      <c r="AC2157" s="0" t="str">
        <f aca="false">IF(AND(C2156=C2157,Y2156=Y2157-1),AA2156,"")</f>
        <v/>
      </c>
      <c r="AD2157" s="0" t="str">
        <f aca="false">IF(Y2157=1,"",IF(AND(Z2157=1,AB2157&lt;&gt;1),1,0))</f>
        <v/>
      </c>
      <c r="AE2157" s="0" t="str">
        <f aca="false">IF(Y2157=1,"",IF(AND(AA2157=1,AC2157&lt;&gt;1),1,0))</f>
        <v/>
      </c>
      <c r="AF2157" s="45" t="str">
        <f aca="false">IF(AND(E2157&gt;0,Y2157&lt;1,NOT(AND(C2158=C2157,Y2158=Y2157+1))),INDEX(DATAS,Y2157+1),"")</f>
        <v/>
      </c>
      <c r="AG2157" s="45" t="str">
        <f aca="false">IF(AND(AA2157=1,Y2157&lt;1),IF(AND(C2158=C2157,Y2158=Y2157+1),IF(AA2158=1,"",INDEX(DATAS,Y2157+1)),INDEX(DATAS,Y2157+1)),"")</f>
        <v/>
      </c>
    </row>
    <row r="2158" customFormat="false" ht="15" hidden="false" customHeight="false" outlineLevel="0" collapsed="false">
      <c r="A2158" s="45" t="n">
        <v>46309</v>
      </c>
      <c r="B2158" s="0" t="n">
        <v>8</v>
      </c>
      <c r="C2158" s="0" t="n">
        <v>6442</v>
      </c>
      <c r="E2158" s="0" t="n">
        <v>0</v>
      </c>
      <c r="F2158" s="39" t="s">
        <v>1160</v>
      </c>
      <c r="I2158" s="39" t="s">
        <v>109</v>
      </c>
      <c r="L2158" s="0" t="n">
        <v>147</v>
      </c>
      <c r="U2158" s="0" t="n">
        <v>557</v>
      </c>
      <c r="V2158" s="0" t="n">
        <v>1</v>
      </c>
      <c r="W2158" s="39" t="n">
        <f aca="false">IF(I2158="Male",0,1)</f>
        <v>1</v>
      </c>
      <c r="X2158" s="39" t="n">
        <f aca="false">IF(OR(I2158="DNB",I2158="Dry DNB"),1,0)</f>
        <v>0</v>
      </c>
      <c r="Y2158" s="39" t="n">
        <f aca="false">MATCH(A2158,DATAS,0)</f>
        <v>1</v>
      </c>
      <c r="Z2158" s="39" t="n">
        <f aca="false">IF(AND(E2158&gt;0,OR(AND(B2158&gt;=1,B2158&lt;=6),B2158=10)),1,0)</f>
        <v>0</v>
      </c>
      <c r="AA2158" s="39" t="n">
        <f aca="false">IF(AND(E2158&gt;0,B2158=10),1,0)</f>
        <v>0</v>
      </c>
      <c r="AB2158" s="0" t="str">
        <f aca="false">IF(AND(C2157=C2158,Y2157=Y2158-1),Z2157,"")</f>
        <v/>
      </c>
      <c r="AC2158" s="0" t="str">
        <f aca="false">IF(AND(C2157=C2158,Y2157=Y2158-1),AA2157,"")</f>
        <v/>
      </c>
      <c r="AD2158" s="0" t="str">
        <f aca="false">IF(Y2158=1,"",IF(AND(Z2158=1,AB2158&lt;&gt;1),1,0))</f>
        <v/>
      </c>
      <c r="AE2158" s="0" t="str">
        <f aca="false">IF(Y2158=1,"",IF(AND(AA2158=1,AC2158&lt;&gt;1),1,0))</f>
        <v/>
      </c>
      <c r="AF2158" s="45" t="str">
        <f aca="false">IF(AND(E2158&gt;0,Y2158&lt;1,NOT(AND(C2159=C2158,Y2159=Y2158+1))),INDEX(DATAS,Y2158+1),"")</f>
        <v/>
      </c>
      <c r="AG2158" s="45" t="str">
        <f aca="false">IF(AND(AA2158=1,Y2158&lt;1),IF(AND(C2159=C2158,Y2159=Y2158+1),IF(AA2159=1,"",INDEX(DATAS,Y2158+1)),INDEX(DATAS,Y2158+1)),"")</f>
        <v/>
      </c>
    </row>
    <row r="2159" customFormat="false" ht="15" hidden="false" customHeight="false" outlineLevel="0" collapsed="false">
      <c r="A2159" s="45" t="n">
        <v>46309</v>
      </c>
      <c r="B2159" s="0" t="n">
        <v>8</v>
      </c>
      <c r="C2159" s="0" t="n">
        <v>6443</v>
      </c>
      <c r="E2159" s="0" t="n">
        <v>0</v>
      </c>
      <c r="F2159" s="39" t="s">
        <v>1161</v>
      </c>
      <c r="I2159" s="39" t="s">
        <v>109</v>
      </c>
      <c r="L2159" s="0" t="n">
        <v>154</v>
      </c>
      <c r="U2159" s="0" t="n">
        <v>555</v>
      </c>
      <c r="V2159" s="0" t="n">
        <v>1</v>
      </c>
      <c r="W2159" s="39" t="n">
        <f aca="false">IF(I2159="Male",0,1)</f>
        <v>1</v>
      </c>
      <c r="X2159" s="39" t="n">
        <f aca="false">IF(OR(I2159="DNB",I2159="Dry DNB"),1,0)</f>
        <v>0</v>
      </c>
      <c r="Y2159" s="39" t="n">
        <f aca="false">MATCH(A2159,DATAS,0)</f>
        <v>1</v>
      </c>
      <c r="Z2159" s="39" t="n">
        <f aca="false">IF(AND(E2159&gt;0,OR(AND(B2159&gt;=1,B2159&lt;=6),B2159=10)),1,0)</f>
        <v>0</v>
      </c>
      <c r="AA2159" s="39" t="n">
        <f aca="false">IF(AND(E2159&gt;0,B2159=10),1,0)</f>
        <v>0</v>
      </c>
      <c r="AB2159" s="0" t="str">
        <f aca="false">IF(AND(C2158=C2159,Y2158=Y2159-1),Z2158,"")</f>
        <v/>
      </c>
      <c r="AC2159" s="0" t="str">
        <f aca="false">IF(AND(C2158=C2159,Y2158=Y2159-1),AA2158,"")</f>
        <v/>
      </c>
      <c r="AD2159" s="0" t="str">
        <f aca="false">IF(Y2159=1,"",IF(AND(Z2159=1,AB2159&lt;&gt;1),1,0))</f>
        <v/>
      </c>
      <c r="AE2159" s="0" t="str">
        <f aca="false">IF(Y2159=1,"",IF(AND(AA2159=1,AC2159&lt;&gt;1),1,0))</f>
        <v/>
      </c>
      <c r="AF2159" s="45" t="str">
        <f aca="false">IF(AND(E2159&gt;0,Y2159&lt;1,NOT(AND(C2160=C2159,Y2160=Y2159+1))),INDEX(DATAS,Y2159+1),"")</f>
        <v/>
      </c>
      <c r="AG2159" s="45" t="str">
        <f aca="false">IF(AND(AA2159=1,Y2159&lt;1),IF(AND(C2160=C2159,Y2160=Y2159+1),IF(AA2160=1,"",INDEX(DATAS,Y2159+1)),INDEX(DATAS,Y2159+1)),"")</f>
        <v/>
      </c>
    </row>
    <row r="2160" customFormat="false" ht="15" hidden="false" customHeight="false" outlineLevel="0" collapsed="false">
      <c r="A2160" s="45" t="n">
        <v>46309</v>
      </c>
      <c r="B2160" s="0" t="n">
        <v>8</v>
      </c>
      <c r="C2160" s="0" t="n">
        <v>6444</v>
      </c>
      <c r="E2160" s="0" t="n">
        <v>0</v>
      </c>
      <c r="F2160" s="39" t="s">
        <v>1161</v>
      </c>
      <c r="I2160" s="39" t="s">
        <v>109</v>
      </c>
      <c r="L2160" s="0" t="n">
        <v>162</v>
      </c>
      <c r="U2160" s="0" t="n">
        <v>555</v>
      </c>
      <c r="V2160" s="0" t="n">
        <v>1</v>
      </c>
      <c r="W2160" s="39" t="n">
        <f aca="false">IF(I2160="Male",0,1)</f>
        <v>1</v>
      </c>
      <c r="X2160" s="39" t="n">
        <f aca="false">IF(OR(I2160="DNB",I2160="Dry DNB"),1,0)</f>
        <v>0</v>
      </c>
      <c r="Y2160" s="39" t="n">
        <f aca="false">MATCH(A2160,DATAS,0)</f>
        <v>1</v>
      </c>
      <c r="Z2160" s="39" t="n">
        <f aca="false">IF(AND(E2160&gt;0,OR(AND(B2160&gt;=1,B2160&lt;=6),B2160=10)),1,0)</f>
        <v>0</v>
      </c>
      <c r="AA2160" s="39" t="n">
        <f aca="false">IF(AND(E2160&gt;0,B2160=10),1,0)</f>
        <v>0</v>
      </c>
      <c r="AB2160" s="0" t="str">
        <f aca="false">IF(AND(C2159=C2160,Y2159=Y2160-1),Z2159,"")</f>
        <v/>
      </c>
      <c r="AC2160" s="0" t="str">
        <f aca="false">IF(AND(C2159=C2160,Y2159=Y2160-1),AA2159,"")</f>
        <v/>
      </c>
      <c r="AD2160" s="0" t="str">
        <f aca="false">IF(Y2160=1,"",IF(AND(Z2160=1,AB2160&lt;&gt;1),1,0))</f>
        <v/>
      </c>
      <c r="AE2160" s="0" t="str">
        <f aca="false">IF(Y2160=1,"",IF(AND(AA2160=1,AC2160&lt;&gt;1),1,0))</f>
        <v/>
      </c>
      <c r="AF2160" s="45" t="str">
        <f aca="false">IF(AND(E2160&gt;0,Y2160&lt;1,NOT(AND(C2161=C2160,Y2161=Y2160+1))),INDEX(DATAS,Y2160+1),"")</f>
        <v/>
      </c>
      <c r="AG2160" s="45" t="str">
        <f aca="false">IF(AND(AA2160=1,Y2160&lt;1),IF(AND(C2161=C2160,Y2161=Y2160+1),IF(AA2161=1,"",INDEX(DATAS,Y2160+1)),INDEX(DATAS,Y2160+1)),"")</f>
        <v/>
      </c>
    </row>
    <row r="2161" customFormat="false" ht="15" hidden="false" customHeight="false" outlineLevel="0" collapsed="false">
      <c r="A2161" s="45" t="n">
        <v>46309</v>
      </c>
      <c r="B2161" s="0" t="n">
        <v>8</v>
      </c>
      <c r="C2161" s="0" t="n">
        <v>6445</v>
      </c>
      <c r="E2161" s="0" t="n">
        <v>0</v>
      </c>
      <c r="F2161" s="39" t="s">
        <v>1161</v>
      </c>
      <c r="I2161" s="39" t="s">
        <v>109</v>
      </c>
      <c r="L2161" s="0" t="n">
        <v>139</v>
      </c>
      <c r="U2161" s="0" t="n">
        <v>555</v>
      </c>
      <c r="V2161" s="0" t="n">
        <v>1</v>
      </c>
      <c r="W2161" s="39" t="n">
        <f aca="false">IF(I2161="Male",0,1)</f>
        <v>1</v>
      </c>
      <c r="X2161" s="39" t="n">
        <f aca="false">IF(OR(I2161="DNB",I2161="Dry DNB"),1,0)</f>
        <v>0</v>
      </c>
      <c r="Y2161" s="39" t="n">
        <f aca="false">MATCH(A2161,DATAS,0)</f>
        <v>1</v>
      </c>
      <c r="Z2161" s="39" t="n">
        <f aca="false">IF(AND(E2161&gt;0,OR(AND(B2161&gt;=1,B2161&lt;=6),B2161=10)),1,0)</f>
        <v>0</v>
      </c>
      <c r="AA2161" s="39" t="n">
        <f aca="false">IF(AND(E2161&gt;0,B2161=10),1,0)</f>
        <v>0</v>
      </c>
      <c r="AB2161" s="0" t="str">
        <f aca="false">IF(AND(C2160=C2161,Y2160=Y2161-1),Z2160,"")</f>
        <v/>
      </c>
      <c r="AC2161" s="0" t="str">
        <f aca="false">IF(AND(C2160=C2161,Y2160=Y2161-1),AA2160,"")</f>
        <v/>
      </c>
      <c r="AD2161" s="0" t="str">
        <f aca="false">IF(Y2161=1,"",IF(AND(Z2161=1,AB2161&lt;&gt;1),1,0))</f>
        <v/>
      </c>
      <c r="AE2161" s="0" t="str">
        <f aca="false">IF(Y2161=1,"",IF(AND(AA2161=1,AC2161&lt;&gt;1),1,0))</f>
        <v/>
      </c>
      <c r="AF2161" s="45" t="str">
        <f aca="false">IF(AND(E2161&gt;0,Y2161&lt;1,NOT(AND(C2162=C2161,Y2162=Y2161+1))),INDEX(DATAS,Y2161+1),"")</f>
        <v/>
      </c>
      <c r="AG2161" s="45" t="str">
        <f aca="false">IF(AND(AA2161=1,Y2161&lt;1),IF(AND(C2162=C2161,Y2162=Y2161+1),IF(AA2162=1,"",INDEX(DATAS,Y2161+1)),INDEX(DATAS,Y2161+1)),"")</f>
        <v/>
      </c>
    </row>
    <row r="2162" customFormat="false" ht="15" hidden="false" customHeight="false" outlineLevel="0" collapsed="false">
      <c r="A2162" s="45" t="n">
        <v>46309</v>
      </c>
      <c r="B2162" s="0" t="n">
        <v>13</v>
      </c>
      <c r="C2162" s="0" t="n">
        <v>6446</v>
      </c>
      <c r="E2162" s="0" t="n">
        <v>0</v>
      </c>
      <c r="F2162" s="39" t="s">
        <v>1162</v>
      </c>
      <c r="I2162" s="39" t="s">
        <v>107</v>
      </c>
      <c r="U2162" s="0" t="n">
        <v>556</v>
      </c>
      <c r="V2162" s="0" t="n">
        <v>0</v>
      </c>
      <c r="W2162" s="39" t="n">
        <f aca="false">IF(I2162="Male",0,1)</f>
        <v>0</v>
      </c>
      <c r="X2162" s="39" t="n">
        <f aca="false">IF(OR(I2162="DNB",I2162="Dry DNB"),1,0)</f>
        <v>0</v>
      </c>
      <c r="Y2162" s="39" t="n">
        <f aca="false">MATCH(A2162,DATAS,0)</f>
        <v>1</v>
      </c>
      <c r="Z2162" s="39" t="n">
        <f aca="false">IF(AND(E2162&gt;0,OR(AND(B2162&gt;=1,B2162&lt;=6),B2162=10)),1,0)</f>
        <v>0</v>
      </c>
      <c r="AA2162" s="39" t="n">
        <f aca="false">IF(AND(E2162&gt;0,B2162=10),1,0)</f>
        <v>0</v>
      </c>
      <c r="AB2162" s="0" t="str">
        <f aca="false">IF(AND(C2161=C2162,Y2161=Y2162-1),Z2161,"")</f>
        <v/>
      </c>
      <c r="AC2162" s="0" t="str">
        <f aca="false">IF(AND(C2161=C2162,Y2161=Y2162-1),AA2161,"")</f>
        <v/>
      </c>
      <c r="AD2162" s="0" t="str">
        <f aca="false">IF(Y2162=1,"",IF(AND(Z2162=1,AB2162&lt;&gt;1),1,0))</f>
        <v/>
      </c>
      <c r="AE2162" s="0" t="str">
        <f aca="false">IF(Y2162=1,"",IF(AND(AA2162=1,AC2162&lt;&gt;1),1,0))</f>
        <v/>
      </c>
      <c r="AF2162" s="45" t="str">
        <f aca="false">IF(AND(E2162&gt;0,Y2162&lt;1,NOT(AND(C2163=C2162,Y2163=Y2162+1))),INDEX(DATAS,Y2162+1),"")</f>
        <v/>
      </c>
      <c r="AG2162" s="45" t="str">
        <f aca="false">IF(AND(AA2162=1,Y2162&lt;1),IF(AND(C2163=C2162,Y2163=Y2162+1),IF(AA2163=1,"",INDEX(DATAS,Y2162+1)),INDEX(DATAS,Y2162+1)),"")</f>
        <v/>
      </c>
    </row>
    <row r="2163" customFormat="false" ht="15" hidden="false" customHeight="false" outlineLevel="0" collapsed="false">
      <c r="A2163" s="45" t="n">
        <v>46309</v>
      </c>
      <c r="B2163" s="0" t="n">
        <v>8</v>
      </c>
      <c r="C2163" s="0" t="n">
        <v>6447</v>
      </c>
      <c r="E2163" s="0" t="n">
        <v>0</v>
      </c>
      <c r="F2163" s="39" t="s">
        <v>1161</v>
      </c>
      <c r="I2163" s="39" t="s">
        <v>109</v>
      </c>
      <c r="L2163" s="0" t="n">
        <v>148</v>
      </c>
      <c r="U2163" s="0" t="n">
        <v>555</v>
      </c>
      <c r="V2163" s="0" t="n">
        <v>1</v>
      </c>
      <c r="W2163" s="39" t="n">
        <f aca="false">IF(I2163="Male",0,1)</f>
        <v>1</v>
      </c>
      <c r="X2163" s="39" t="n">
        <f aca="false">IF(OR(I2163="DNB",I2163="Dry DNB"),1,0)</f>
        <v>0</v>
      </c>
      <c r="Y2163" s="39" t="n">
        <f aca="false">MATCH(A2163,DATAS,0)</f>
        <v>1</v>
      </c>
      <c r="Z2163" s="39" t="n">
        <f aca="false">IF(AND(E2163&gt;0,OR(AND(B2163&gt;=1,B2163&lt;=6),B2163=10)),1,0)</f>
        <v>0</v>
      </c>
      <c r="AA2163" s="39" t="n">
        <f aca="false">IF(AND(E2163&gt;0,B2163=10),1,0)</f>
        <v>0</v>
      </c>
      <c r="AB2163" s="0" t="str">
        <f aca="false">IF(AND(C2162=C2163,Y2162=Y2163-1),Z2162,"")</f>
        <v/>
      </c>
      <c r="AC2163" s="0" t="str">
        <f aca="false">IF(AND(C2162=C2163,Y2162=Y2163-1),AA2162,"")</f>
        <v/>
      </c>
      <c r="AD2163" s="0" t="str">
        <f aca="false">IF(Y2163=1,"",IF(AND(Z2163=1,AB2163&lt;&gt;1),1,0))</f>
        <v/>
      </c>
      <c r="AE2163" s="0" t="str">
        <f aca="false">IF(Y2163=1,"",IF(AND(AA2163=1,AC2163&lt;&gt;1),1,0))</f>
        <v/>
      </c>
      <c r="AF2163" s="45" t="str">
        <f aca="false">IF(AND(E2163&gt;0,Y2163&lt;1,NOT(AND(C2164=C2163,Y2164=Y2163+1))),INDEX(DATAS,Y2163+1),"")</f>
        <v/>
      </c>
      <c r="AG2163" s="45" t="str">
        <f aca="false">IF(AND(AA2163=1,Y2163&lt;1),IF(AND(C2164=C2163,Y2164=Y2163+1),IF(AA2164=1,"",INDEX(DATAS,Y2163+1)),INDEX(DATAS,Y2163+1)),"")</f>
        <v/>
      </c>
    </row>
    <row r="2164" customFormat="false" ht="15" hidden="false" customHeight="false" outlineLevel="0" collapsed="false">
      <c r="A2164" s="45" t="n">
        <v>46309</v>
      </c>
      <c r="B2164" s="0" t="n">
        <v>8</v>
      </c>
      <c r="C2164" s="0" t="n">
        <v>6448</v>
      </c>
      <c r="E2164" s="0" t="n">
        <v>0</v>
      </c>
      <c r="F2164" s="39" t="s">
        <v>1161</v>
      </c>
      <c r="I2164" s="39" t="s">
        <v>109</v>
      </c>
      <c r="L2164" s="0" t="n">
        <v>121</v>
      </c>
      <c r="U2164" s="0" t="n">
        <v>555</v>
      </c>
      <c r="V2164" s="0" t="n">
        <v>2</v>
      </c>
      <c r="W2164" s="39" t="n">
        <f aca="false">IF(I2164="Male",0,1)</f>
        <v>1</v>
      </c>
      <c r="X2164" s="39" t="n">
        <f aca="false">IF(OR(I2164="DNB",I2164="Dry DNB"),1,0)</f>
        <v>0</v>
      </c>
      <c r="Y2164" s="39" t="n">
        <f aca="false">MATCH(A2164,DATAS,0)</f>
        <v>1</v>
      </c>
      <c r="Z2164" s="39" t="n">
        <f aca="false">IF(AND(E2164&gt;0,OR(AND(B2164&gt;=1,B2164&lt;=6),B2164=10)),1,0)</f>
        <v>0</v>
      </c>
      <c r="AA2164" s="39" t="n">
        <f aca="false">IF(AND(E2164&gt;0,B2164=10),1,0)</f>
        <v>0</v>
      </c>
      <c r="AB2164" s="0" t="str">
        <f aca="false">IF(AND(C2163=C2164,Y2163=Y2164-1),Z2163,"")</f>
        <v/>
      </c>
      <c r="AC2164" s="0" t="str">
        <f aca="false">IF(AND(C2163=C2164,Y2163=Y2164-1),AA2163,"")</f>
        <v/>
      </c>
      <c r="AD2164" s="0" t="str">
        <f aca="false">IF(Y2164=1,"",IF(AND(Z2164=1,AB2164&lt;&gt;1),1,0))</f>
        <v/>
      </c>
      <c r="AE2164" s="0" t="str">
        <f aca="false">IF(Y2164=1,"",IF(AND(AA2164=1,AC2164&lt;&gt;1),1,0))</f>
        <v/>
      </c>
      <c r="AF2164" s="45" t="str">
        <f aca="false">IF(AND(E2164&gt;0,Y2164&lt;1,NOT(AND(C2165=C2164,Y2165=Y2164+1))),INDEX(DATAS,Y2164+1),"")</f>
        <v/>
      </c>
      <c r="AG2164" s="45" t="str">
        <f aca="false">IF(AND(AA2164=1,Y2164&lt;1),IF(AND(C2165=C2164,Y2165=Y2164+1),IF(AA2165=1,"",INDEX(DATAS,Y2164+1)),INDEX(DATAS,Y2164+1)),"")</f>
        <v/>
      </c>
    </row>
    <row r="2165" customFormat="false" ht="15" hidden="false" customHeight="false" outlineLevel="0" collapsed="false">
      <c r="A2165" s="45" t="n">
        <v>46309</v>
      </c>
      <c r="B2165" s="0" t="n">
        <v>8</v>
      </c>
      <c r="C2165" s="0" t="n">
        <v>6449</v>
      </c>
      <c r="E2165" s="0" t="n">
        <v>0</v>
      </c>
      <c r="F2165" s="39" t="s">
        <v>1161</v>
      </c>
      <c r="I2165" s="39" t="s">
        <v>109</v>
      </c>
      <c r="L2165" s="0" t="n">
        <v>139</v>
      </c>
      <c r="U2165" s="0" t="n">
        <v>555</v>
      </c>
      <c r="V2165" s="0" t="n">
        <v>1</v>
      </c>
      <c r="W2165" s="39" t="n">
        <f aca="false">IF(I2165="Male",0,1)</f>
        <v>1</v>
      </c>
      <c r="X2165" s="39" t="n">
        <f aca="false">IF(OR(I2165="DNB",I2165="Dry DNB"),1,0)</f>
        <v>0</v>
      </c>
      <c r="Y2165" s="39" t="n">
        <f aca="false">MATCH(A2165,DATAS,0)</f>
        <v>1</v>
      </c>
      <c r="Z2165" s="39" t="n">
        <f aca="false">IF(AND(E2165&gt;0,OR(AND(B2165&gt;=1,B2165&lt;=6),B2165=10)),1,0)</f>
        <v>0</v>
      </c>
      <c r="AA2165" s="39" t="n">
        <f aca="false">IF(AND(E2165&gt;0,B2165=10),1,0)</f>
        <v>0</v>
      </c>
      <c r="AB2165" s="0" t="str">
        <f aca="false">IF(AND(C2164=C2165,Y2164=Y2165-1),Z2164,"")</f>
        <v/>
      </c>
      <c r="AC2165" s="0" t="str">
        <f aca="false">IF(AND(C2164=C2165,Y2164=Y2165-1),AA2164,"")</f>
        <v/>
      </c>
      <c r="AD2165" s="0" t="str">
        <f aca="false">IF(Y2165=1,"",IF(AND(Z2165=1,AB2165&lt;&gt;1),1,0))</f>
        <v/>
      </c>
      <c r="AE2165" s="0" t="str">
        <f aca="false">IF(Y2165=1,"",IF(AND(AA2165=1,AC2165&lt;&gt;1),1,0))</f>
        <v/>
      </c>
      <c r="AF2165" s="45" t="str">
        <f aca="false">IF(AND(E2165&gt;0,Y2165&lt;1,NOT(AND(C2166=C2165,Y2166=Y2165+1))),INDEX(DATAS,Y2165+1),"")</f>
        <v/>
      </c>
      <c r="AG2165" s="45" t="str">
        <f aca="false">IF(AND(AA2165=1,Y2165&lt;1),IF(AND(C2166=C2165,Y2166=Y2165+1),IF(AA2166=1,"",INDEX(DATAS,Y2165+1)),INDEX(DATAS,Y2165+1)),"")</f>
        <v/>
      </c>
    </row>
    <row r="2166" customFormat="false" ht="15" hidden="false" customHeight="false" outlineLevel="0" collapsed="false">
      <c r="A2166" s="45" t="n">
        <v>46309</v>
      </c>
      <c r="B2166" s="0" t="n">
        <v>13</v>
      </c>
      <c r="C2166" s="0" t="n">
        <v>6450</v>
      </c>
      <c r="E2166" s="0" t="n">
        <v>0</v>
      </c>
      <c r="F2166" s="39" t="s">
        <v>1161</v>
      </c>
      <c r="I2166" s="39" t="s">
        <v>146</v>
      </c>
      <c r="U2166" s="0" t="n">
        <v>555</v>
      </c>
      <c r="V2166" s="0" t="n">
        <v>0</v>
      </c>
      <c r="W2166" s="39" t="n">
        <f aca="false">IF(I2166="Male",0,1)</f>
        <v>1</v>
      </c>
      <c r="X2166" s="39" t="n">
        <f aca="false">IF(OR(I2166="DNB",I2166="Dry DNB"),1,0)</f>
        <v>0</v>
      </c>
      <c r="Y2166" s="39" t="n">
        <f aca="false">MATCH(A2166,DATAS,0)</f>
        <v>1</v>
      </c>
      <c r="Z2166" s="39" t="n">
        <f aca="false">IF(AND(E2166&gt;0,OR(AND(B2166&gt;=1,B2166&lt;=6),B2166=10)),1,0)</f>
        <v>0</v>
      </c>
      <c r="AA2166" s="39" t="n">
        <f aca="false">IF(AND(E2166&gt;0,B2166=10),1,0)</f>
        <v>0</v>
      </c>
      <c r="AB2166" s="0" t="str">
        <f aca="false">IF(AND(C2165=C2166,Y2165=Y2166-1),Z2165,"")</f>
        <v/>
      </c>
      <c r="AC2166" s="0" t="str">
        <f aca="false">IF(AND(C2165=C2166,Y2165=Y2166-1),AA2165,"")</f>
        <v/>
      </c>
      <c r="AD2166" s="0" t="str">
        <f aca="false">IF(Y2166=1,"",IF(AND(Z2166=1,AB2166&lt;&gt;1),1,0))</f>
        <v/>
      </c>
      <c r="AE2166" s="0" t="str">
        <f aca="false">IF(Y2166=1,"",IF(AND(AA2166=1,AC2166&lt;&gt;1),1,0))</f>
        <v/>
      </c>
      <c r="AF2166" s="45" t="str">
        <f aca="false">IF(AND(E2166&gt;0,Y2166&lt;1,NOT(AND(C2167=C2166,Y2167=Y2166+1))),INDEX(DATAS,Y2166+1),"")</f>
        <v/>
      </c>
      <c r="AG2166" s="45" t="str">
        <f aca="false">IF(AND(AA2166=1,Y2166&lt;1),IF(AND(C2167=C2166,Y2167=Y2166+1),IF(AA2167=1,"",INDEX(DATAS,Y2166+1)),INDEX(DATAS,Y2166+1)),"")</f>
        <v/>
      </c>
    </row>
    <row r="2167" customFormat="false" ht="15" hidden="false" customHeight="false" outlineLevel="0" collapsed="false">
      <c r="A2167" s="45" t="n">
        <v>46309</v>
      </c>
      <c r="B2167" s="0" t="n">
        <v>11</v>
      </c>
      <c r="C2167" s="0" t="n">
        <v>6451</v>
      </c>
      <c r="E2167" s="0" t="n">
        <v>0</v>
      </c>
      <c r="F2167" s="39" t="s">
        <v>1161</v>
      </c>
      <c r="I2167" s="39" t="s">
        <v>138</v>
      </c>
      <c r="U2167" s="0" t="n">
        <v>555</v>
      </c>
      <c r="V2167" s="0" t="n">
        <v>6</v>
      </c>
      <c r="W2167" s="39" t="n">
        <f aca="false">IF(I2167="Male",0,1)</f>
        <v>1</v>
      </c>
      <c r="X2167" s="39" t="n">
        <f aca="false">IF(OR(I2167="DNB",I2167="Dry DNB"),1,0)</f>
        <v>0</v>
      </c>
      <c r="Y2167" s="39" t="n">
        <f aca="false">MATCH(A2167,DATAS,0)</f>
        <v>1</v>
      </c>
      <c r="Z2167" s="39" t="n">
        <f aca="false">IF(AND(E2167&gt;0,OR(AND(B2167&gt;=1,B2167&lt;=6),B2167=10)),1,0)</f>
        <v>0</v>
      </c>
      <c r="AA2167" s="39" t="n">
        <f aca="false">IF(AND(E2167&gt;0,B2167=10),1,0)</f>
        <v>0</v>
      </c>
      <c r="AB2167" s="0" t="str">
        <f aca="false">IF(AND(C2166=C2167,Y2166=Y2167-1),Z2166,"")</f>
        <v/>
      </c>
      <c r="AC2167" s="0" t="str">
        <f aca="false">IF(AND(C2166=C2167,Y2166=Y2167-1),AA2166,"")</f>
        <v/>
      </c>
      <c r="AD2167" s="0" t="str">
        <f aca="false">IF(Y2167=1,"",IF(AND(Z2167=1,AB2167&lt;&gt;1),1,0))</f>
        <v/>
      </c>
      <c r="AE2167" s="0" t="str">
        <f aca="false">IF(Y2167=1,"",IF(AND(AA2167=1,AC2167&lt;&gt;1),1,0))</f>
        <v/>
      </c>
      <c r="AF2167" s="45" t="str">
        <f aca="false">IF(AND(E2167&gt;0,Y2167&lt;1,NOT(AND(C2168=C2167,Y2168=Y2167+1))),INDEX(DATAS,Y2167+1),"")</f>
        <v/>
      </c>
      <c r="AG2167" s="45" t="str">
        <f aca="false">IF(AND(AA2167=1,Y2167&lt;1),IF(AND(C2168=C2167,Y2168=Y2167+1),IF(AA2168=1,"",INDEX(DATAS,Y2167+1)),INDEX(DATAS,Y2167+1)),"")</f>
        <v/>
      </c>
    </row>
    <row r="2168" customFormat="false" ht="15" hidden="false" customHeight="false" outlineLevel="0" collapsed="false">
      <c r="A2168" s="45" t="n">
        <v>46309</v>
      </c>
      <c r="B2168" s="0" t="n">
        <v>11</v>
      </c>
      <c r="C2168" s="0" t="n">
        <v>6452</v>
      </c>
      <c r="E2168" s="0" t="n">
        <v>0</v>
      </c>
      <c r="F2168" s="39" t="s">
        <v>1163</v>
      </c>
      <c r="I2168" s="39" t="s">
        <v>138</v>
      </c>
      <c r="U2168" s="0" t="n">
        <v>554</v>
      </c>
      <c r="V2168" s="0" t="n">
        <v>6</v>
      </c>
      <c r="W2168" s="39" t="n">
        <f aca="false">IF(I2168="Male",0,1)</f>
        <v>1</v>
      </c>
      <c r="X2168" s="39" t="n">
        <f aca="false">IF(OR(I2168="DNB",I2168="Dry DNB"),1,0)</f>
        <v>0</v>
      </c>
      <c r="Y2168" s="39" t="n">
        <f aca="false">MATCH(A2168,DATAS,0)</f>
        <v>1</v>
      </c>
      <c r="Z2168" s="39" t="n">
        <f aca="false">IF(AND(E2168&gt;0,OR(AND(B2168&gt;=1,B2168&lt;=6),B2168=10)),1,0)</f>
        <v>0</v>
      </c>
      <c r="AA2168" s="39" t="n">
        <f aca="false">IF(AND(E2168&gt;0,B2168=10),1,0)</f>
        <v>0</v>
      </c>
      <c r="AB2168" s="0" t="str">
        <f aca="false">IF(AND(C2167=C2168,Y2167=Y2168-1),Z2167,"")</f>
        <v/>
      </c>
      <c r="AC2168" s="0" t="str">
        <f aca="false">IF(AND(C2167=C2168,Y2167=Y2168-1),AA2167,"")</f>
        <v/>
      </c>
      <c r="AD2168" s="0" t="str">
        <f aca="false">IF(Y2168=1,"",IF(AND(Z2168=1,AB2168&lt;&gt;1),1,0))</f>
        <v/>
      </c>
      <c r="AE2168" s="0" t="str">
        <f aca="false">IF(Y2168=1,"",IF(AND(AA2168=1,AC2168&lt;&gt;1),1,0))</f>
        <v/>
      </c>
      <c r="AF2168" s="45" t="str">
        <f aca="false">IF(AND(E2168&gt;0,Y2168&lt;1,NOT(AND(C2169=C2168,Y2169=Y2168+1))),INDEX(DATAS,Y2168+1),"")</f>
        <v/>
      </c>
      <c r="AG2168" s="45" t="str">
        <f aca="false">IF(AND(AA2168=1,Y2168&lt;1),IF(AND(C2169=C2168,Y2169=Y2168+1),IF(AA2169=1,"",INDEX(DATAS,Y2168+1)),INDEX(DATAS,Y2168+1)),"")</f>
        <v/>
      </c>
    </row>
    <row r="2169" customFormat="false" ht="15" hidden="false" customHeight="false" outlineLevel="0" collapsed="false">
      <c r="A2169" s="45" t="n">
        <v>46309</v>
      </c>
      <c r="B2169" s="0" t="n">
        <v>8</v>
      </c>
      <c r="C2169" s="0" t="n">
        <v>6453</v>
      </c>
      <c r="E2169" s="0" t="n">
        <v>0</v>
      </c>
      <c r="F2169" s="39" t="s">
        <v>1164</v>
      </c>
      <c r="I2169" s="39" t="s">
        <v>109</v>
      </c>
      <c r="L2169" s="0" t="n">
        <v>150</v>
      </c>
      <c r="U2169" s="0" t="n">
        <v>553</v>
      </c>
      <c r="V2169" s="0" t="n">
        <v>1</v>
      </c>
      <c r="W2169" s="39" t="n">
        <f aca="false">IF(I2169="Male",0,1)</f>
        <v>1</v>
      </c>
      <c r="X2169" s="39" t="n">
        <f aca="false">IF(OR(I2169="DNB",I2169="Dry DNB"),1,0)</f>
        <v>0</v>
      </c>
      <c r="Y2169" s="39" t="n">
        <f aca="false">MATCH(A2169,DATAS,0)</f>
        <v>1</v>
      </c>
      <c r="Z2169" s="39" t="n">
        <f aca="false">IF(AND(E2169&gt;0,OR(AND(B2169&gt;=1,B2169&lt;=6),B2169=10)),1,0)</f>
        <v>0</v>
      </c>
      <c r="AA2169" s="39" t="n">
        <f aca="false">IF(AND(E2169&gt;0,B2169=10),1,0)</f>
        <v>0</v>
      </c>
      <c r="AB2169" s="0" t="str">
        <f aca="false">IF(AND(C2168=C2169,Y2168=Y2169-1),Z2168,"")</f>
        <v/>
      </c>
      <c r="AC2169" s="0" t="str">
        <f aca="false">IF(AND(C2168=C2169,Y2168=Y2169-1),AA2168,"")</f>
        <v/>
      </c>
      <c r="AD2169" s="0" t="str">
        <f aca="false">IF(Y2169=1,"",IF(AND(Z2169=1,AB2169&lt;&gt;1),1,0))</f>
        <v/>
      </c>
      <c r="AE2169" s="0" t="str">
        <f aca="false">IF(Y2169=1,"",IF(AND(AA2169=1,AC2169&lt;&gt;1),1,0))</f>
        <v/>
      </c>
      <c r="AF2169" s="45" t="str">
        <f aca="false">IF(AND(E2169&gt;0,Y2169&lt;1,NOT(AND(C2170=C2169,Y2170=Y2169+1))),INDEX(DATAS,Y2169+1),"")</f>
        <v/>
      </c>
      <c r="AG2169" s="45" t="str">
        <f aca="false">IF(AND(AA2169=1,Y2169&lt;1),IF(AND(C2170=C2169,Y2170=Y2169+1),IF(AA2170=1,"",INDEX(DATAS,Y2169+1)),INDEX(DATAS,Y2169+1)),"")</f>
        <v/>
      </c>
    </row>
    <row r="2170" customFormat="false" ht="15" hidden="false" customHeight="false" outlineLevel="0" collapsed="false">
      <c r="A2170" s="45" t="n">
        <v>46309</v>
      </c>
      <c r="B2170" s="0" t="n">
        <v>8</v>
      </c>
      <c r="C2170" s="0" t="n">
        <v>6454</v>
      </c>
      <c r="E2170" s="0" t="n">
        <v>0</v>
      </c>
      <c r="F2170" s="39" t="s">
        <v>1164</v>
      </c>
      <c r="I2170" s="39" t="s">
        <v>109</v>
      </c>
      <c r="L2170" s="0" t="n">
        <v>150</v>
      </c>
      <c r="U2170" s="0" t="n">
        <v>553</v>
      </c>
      <c r="V2170" s="0" t="n">
        <v>1</v>
      </c>
      <c r="W2170" s="39" t="n">
        <f aca="false">IF(I2170="Male",0,1)</f>
        <v>1</v>
      </c>
      <c r="X2170" s="39" t="n">
        <f aca="false">IF(OR(I2170="DNB",I2170="Dry DNB"),1,0)</f>
        <v>0</v>
      </c>
      <c r="Y2170" s="39" t="n">
        <f aca="false">MATCH(A2170,DATAS,0)</f>
        <v>1</v>
      </c>
      <c r="Z2170" s="39" t="n">
        <f aca="false">IF(AND(E2170&gt;0,OR(AND(B2170&gt;=1,B2170&lt;=6),B2170=10)),1,0)</f>
        <v>0</v>
      </c>
      <c r="AA2170" s="39" t="n">
        <f aca="false">IF(AND(E2170&gt;0,B2170=10),1,0)</f>
        <v>0</v>
      </c>
      <c r="AB2170" s="0" t="str">
        <f aca="false">IF(AND(C2169=C2170,Y2169=Y2170-1),Z2169,"")</f>
        <v/>
      </c>
      <c r="AC2170" s="0" t="str">
        <f aca="false">IF(AND(C2169=C2170,Y2169=Y2170-1),AA2169,"")</f>
        <v/>
      </c>
      <c r="AD2170" s="0" t="str">
        <f aca="false">IF(Y2170=1,"",IF(AND(Z2170=1,AB2170&lt;&gt;1),1,0))</f>
        <v/>
      </c>
      <c r="AE2170" s="0" t="str">
        <f aca="false">IF(Y2170=1,"",IF(AND(AA2170=1,AC2170&lt;&gt;1),1,0))</f>
        <v/>
      </c>
      <c r="AF2170" s="45" t="str">
        <f aca="false">IF(AND(E2170&gt;0,Y2170&lt;1,NOT(AND(C2171=C2170,Y2171=Y2170+1))),INDEX(DATAS,Y2170+1),"")</f>
        <v/>
      </c>
      <c r="AG2170" s="45" t="str">
        <f aca="false">IF(AND(AA2170=1,Y2170&lt;1),IF(AND(C2171=C2170,Y2171=Y2170+1),IF(AA2171=1,"",INDEX(DATAS,Y2170+1)),INDEX(DATAS,Y2170+1)),"")</f>
        <v/>
      </c>
    </row>
    <row r="2171" customFormat="false" ht="15" hidden="false" customHeight="false" outlineLevel="0" collapsed="false">
      <c r="A2171" s="45" t="n">
        <v>46309</v>
      </c>
      <c r="B2171" s="0" t="n">
        <v>8</v>
      </c>
      <c r="C2171" s="0" t="n">
        <v>6455</v>
      </c>
      <c r="E2171" s="0" t="n">
        <v>0</v>
      </c>
      <c r="F2171" s="39" t="s">
        <v>1164</v>
      </c>
      <c r="I2171" s="39" t="s">
        <v>109</v>
      </c>
      <c r="L2171" s="0" t="n">
        <v>150</v>
      </c>
      <c r="U2171" s="0" t="n">
        <v>553</v>
      </c>
      <c r="V2171" s="0" t="n">
        <v>1</v>
      </c>
      <c r="W2171" s="39" t="n">
        <f aca="false">IF(I2171="Male",0,1)</f>
        <v>1</v>
      </c>
      <c r="X2171" s="39" t="n">
        <f aca="false">IF(OR(I2171="DNB",I2171="Dry DNB"),1,0)</f>
        <v>0</v>
      </c>
      <c r="Y2171" s="39" t="n">
        <f aca="false">MATCH(A2171,DATAS,0)</f>
        <v>1</v>
      </c>
      <c r="Z2171" s="39" t="n">
        <f aca="false">IF(AND(E2171&gt;0,OR(AND(B2171&gt;=1,B2171&lt;=6),B2171=10)),1,0)</f>
        <v>0</v>
      </c>
      <c r="AA2171" s="39" t="n">
        <f aca="false">IF(AND(E2171&gt;0,B2171=10),1,0)</f>
        <v>0</v>
      </c>
      <c r="AB2171" s="0" t="str">
        <f aca="false">IF(AND(C2170=C2171,Y2170=Y2171-1),Z2170,"")</f>
        <v/>
      </c>
      <c r="AC2171" s="0" t="str">
        <f aca="false">IF(AND(C2170=C2171,Y2170=Y2171-1),AA2170,"")</f>
        <v/>
      </c>
      <c r="AD2171" s="0" t="str">
        <f aca="false">IF(Y2171=1,"",IF(AND(Z2171=1,AB2171&lt;&gt;1),1,0))</f>
        <v/>
      </c>
      <c r="AE2171" s="0" t="str">
        <f aca="false">IF(Y2171=1,"",IF(AND(AA2171=1,AC2171&lt;&gt;1),1,0))</f>
        <v/>
      </c>
      <c r="AF2171" s="45" t="str">
        <f aca="false">IF(AND(E2171&gt;0,Y2171&lt;1,NOT(AND(C2172=C2171,Y2172=Y2171+1))),INDEX(DATAS,Y2171+1),"")</f>
        <v/>
      </c>
      <c r="AG2171" s="45" t="str">
        <f aca="false">IF(AND(AA2171=1,Y2171&lt;1),IF(AND(C2172=C2171,Y2172=Y2171+1),IF(AA2172=1,"",INDEX(DATAS,Y2171+1)),INDEX(DATAS,Y2171+1)),"")</f>
        <v/>
      </c>
    </row>
    <row r="2172" customFormat="false" ht="15" hidden="false" customHeight="false" outlineLevel="0" collapsed="false">
      <c r="A2172" s="45" t="n">
        <v>46309</v>
      </c>
      <c r="B2172" s="0" t="n">
        <v>8</v>
      </c>
      <c r="C2172" s="0" t="n">
        <v>6456</v>
      </c>
      <c r="E2172" s="0" t="n">
        <v>0</v>
      </c>
      <c r="F2172" s="39" t="s">
        <v>1164</v>
      </c>
      <c r="I2172" s="39" t="s">
        <v>109</v>
      </c>
      <c r="L2172" s="0" t="n">
        <v>150</v>
      </c>
      <c r="U2172" s="0" t="n">
        <v>553</v>
      </c>
      <c r="V2172" s="0" t="n">
        <v>1</v>
      </c>
      <c r="W2172" s="39" t="n">
        <f aca="false">IF(I2172="Male",0,1)</f>
        <v>1</v>
      </c>
      <c r="X2172" s="39" t="n">
        <f aca="false">IF(OR(I2172="DNB",I2172="Dry DNB"),1,0)</f>
        <v>0</v>
      </c>
      <c r="Y2172" s="39" t="n">
        <f aca="false">MATCH(A2172,DATAS,0)</f>
        <v>1</v>
      </c>
      <c r="Z2172" s="39" t="n">
        <f aca="false">IF(AND(E2172&gt;0,OR(AND(B2172&gt;=1,B2172&lt;=6),B2172=10)),1,0)</f>
        <v>0</v>
      </c>
      <c r="AA2172" s="39" t="n">
        <f aca="false">IF(AND(E2172&gt;0,B2172=10),1,0)</f>
        <v>0</v>
      </c>
      <c r="AB2172" s="0" t="str">
        <f aca="false">IF(AND(C2171=C2172,Y2171=Y2172-1),Z2171,"")</f>
        <v/>
      </c>
      <c r="AC2172" s="0" t="str">
        <f aca="false">IF(AND(C2171=C2172,Y2171=Y2172-1),AA2171,"")</f>
        <v/>
      </c>
      <c r="AD2172" s="0" t="str">
        <f aca="false">IF(Y2172=1,"",IF(AND(Z2172=1,AB2172&lt;&gt;1),1,0))</f>
        <v/>
      </c>
      <c r="AE2172" s="0" t="str">
        <f aca="false">IF(Y2172=1,"",IF(AND(AA2172=1,AC2172&lt;&gt;1),1,0))</f>
        <v/>
      </c>
      <c r="AF2172" s="45" t="str">
        <f aca="false">IF(AND(E2172&gt;0,Y2172&lt;1,NOT(AND(C2173=C2172,Y2173=Y2172+1))),INDEX(DATAS,Y2172+1),"")</f>
        <v/>
      </c>
      <c r="AG2172" s="45" t="str">
        <f aca="false">IF(AND(AA2172=1,Y2172&lt;1),IF(AND(C2173=C2172,Y2173=Y2172+1),IF(AA2173=1,"",INDEX(DATAS,Y2172+1)),INDEX(DATAS,Y2172+1)),"")</f>
        <v/>
      </c>
    </row>
    <row r="2173" customFormat="false" ht="15" hidden="false" customHeight="false" outlineLevel="0" collapsed="false">
      <c r="A2173" s="45" t="n">
        <v>46309</v>
      </c>
      <c r="B2173" s="0" t="n">
        <v>8</v>
      </c>
      <c r="C2173" s="0" t="n">
        <v>6457</v>
      </c>
      <c r="E2173" s="0" t="n">
        <v>0</v>
      </c>
      <c r="F2173" s="39" t="s">
        <v>1164</v>
      </c>
      <c r="I2173" s="39" t="s">
        <v>109</v>
      </c>
      <c r="L2173" s="0" t="n">
        <v>134</v>
      </c>
      <c r="U2173" s="0" t="n">
        <v>553</v>
      </c>
      <c r="V2173" s="0" t="n">
        <v>2</v>
      </c>
      <c r="W2173" s="39" t="n">
        <f aca="false">IF(I2173="Male",0,1)</f>
        <v>1</v>
      </c>
      <c r="X2173" s="39" t="n">
        <f aca="false">IF(OR(I2173="DNB",I2173="Dry DNB"),1,0)</f>
        <v>0</v>
      </c>
      <c r="Y2173" s="39" t="n">
        <f aca="false">MATCH(A2173,DATAS,0)</f>
        <v>1</v>
      </c>
      <c r="Z2173" s="39" t="n">
        <f aca="false">IF(AND(E2173&gt;0,OR(AND(B2173&gt;=1,B2173&lt;=6),B2173=10)),1,0)</f>
        <v>0</v>
      </c>
      <c r="AA2173" s="39" t="n">
        <f aca="false">IF(AND(E2173&gt;0,B2173=10),1,0)</f>
        <v>0</v>
      </c>
      <c r="AB2173" s="0" t="str">
        <f aca="false">IF(AND(C2172=C2173,Y2172=Y2173-1),Z2172,"")</f>
        <v/>
      </c>
      <c r="AC2173" s="0" t="str">
        <f aca="false">IF(AND(C2172=C2173,Y2172=Y2173-1),AA2172,"")</f>
        <v/>
      </c>
      <c r="AD2173" s="0" t="str">
        <f aca="false">IF(Y2173=1,"",IF(AND(Z2173=1,AB2173&lt;&gt;1),1,0))</f>
        <v/>
      </c>
      <c r="AE2173" s="0" t="str">
        <f aca="false">IF(Y2173=1,"",IF(AND(AA2173=1,AC2173&lt;&gt;1),1,0))</f>
        <v/>
      </c>
      <c r="AF2173" s="45" t="str">
        <f aca="false">IF(AND(E2173&gt;0,Y2173&lt;1,NOT(AND(C2174=C2173,Y2174=Y2173+1))),INDEX(DATAS,Y2173+1),"")</f>
        <v/>
      </c>
      <c r="AG2173" s="45" t="str">
        <f aca="false">IF(AND(AA2173=1,Y2173&lt;1),IF(AND(C2174=C2173,Y2174=Y2173+1),IF(AA2174=1,"",INDEX(DATAS,Y2173+1)),INDEX(DATAS,Y2173+1)),"")</f>
        <v/>
      </c>
    </row>
    <row r="2174" customFormat="false" ht="15" hidden="false" customHeight="false" outlineLevel="0" collapsed="false">
      <c r="A2174" s="45" t="n">
        <v>46309</v>
      </c>
      <c r="B2174" s="0" t="n">
        <v>8</v>
      </c>
      <c r="C2174" s="0" t="n">
        <v>6458</v>
      </c>
      <c r="E2174" s="0" t="n">
        <v>0</v>
      </c>
      <c r="F2174" s="39" t="s">
        <v>1164</v>
      </c>
      <c r="I2174" s="39" t="s">
        <v>109</v>
      </c>
      <c r="L2174" s="0" t="n">
        <v>141</v>
      </c>
      <c r="U2174" s="0" t="n">
        <v>553</v>
      </c>
      <c r="V2174" s="0" t="n">
        <v>2</v>
      </c>
      <c r="W2174" s="39" t="n">
        <f aca="false">IF(I2174="Male",0,1)</f>
        <v>1</v>
      </c>
      <c r="X2174" s="39" t="n">
        <f aca="false">IF(OR(I2174="DNB",I2174="Dry DNB"),1,0)</f>
        <v>0</v>
      </c>
      <c r="Y2174" s="39" t="n">
        <f aca="false">MATCH(A2174,DATAS,0)</f>
        <v>1</v>
      </c>
      <c r="Z2174" s="39" t="n">
        <f aca="false">IF(AND(E2174&gt;0,OR(AND(B2174&gt;=1,B2174&lt;=6),B2174=10)),1,0)</f>
        <v>0</v>
      </c>
      <c r="AA2174" s="39" t="n">
        <f aca="false">IF(AND(E2174&gt;0,B2174=10),1,0)</f>
        <v>0</v>
      </c>
      <c r="AB2174" s="0" t="str">
        <f aca="false">IF(AND(C2173=C2174,Y2173=Y2174-1),Z2173,"")</f>
        <v/>
      </c>
      <c r="AC2174" s="0" t="str">
        <f aca="false">IF(AND(C2173=C2174,Y2173=Y2174-1),AA2173,"")</f>
        <v/>
      </c>
      <c r="AD2174" s="0" t="str">
        <f aca="false">IF(Y2174=1,"",IF(AND(Z2174=1,AB2174&lt;&gt;1),1,0))</f>
        <v/>
      </c>
      <c r="AE2174" s="0" t="str">
        <f aca="false">IF(Y2174=1,"",IF(AND(AA2174=1,AC2174&lt;&gt;1),1,0))</f>
        <v/>
      </c>
      <c r="AF2174" s="45" t="str">
        <f aca="false">IF(AND(E2174&gt;0,Y2174&lt;1,NOT(AND(C2175=C2174,Y2175=Y2174+1))),INDEX(DATAS,Y2174+1),"")</f>
        <v/>
      </c>
      <c r="AG2174" s="45" t="str">
        <f aca="false">IF(AND(AA2174=1,Y2174&lt;1),IF(AND(C2175=C2174,Y2175=Y2174+1),IF(AA2175=1,"",INDEX(DATAS,Y2174+1)),INDEX(DATAS,Y2174+1)),"")</f>
        <v/>
      </c>
    </row>
    <row r="2175" customFormat="false" ht="15" hidden="false" customHeight="false" outlineLevel="0" collapsed="false">
      <c r="A2175" s="45" t="n">
        <v>46309</v>
      </c>
      <c r="B2175" s="0" t="n">
        <v>8</v>
      </c>
      <c r="C2175" s="0" t="n">
        <v>6459</v>
      </c>
      <c r="E2175" s="0" t="n">
        <v>0</v>
      </c>
      <c r="F2175" s="39" t="s">
        <v>1164</v>
      </c>
      <c r="I2175" s="39" t="s">
        <v>109</v>
      </c>
      <c r="L2175" s="0" t="n">
        <v>84</v>
      </c>
      <c r="U2175" s="0" t="n">
        <v>553</v>
      </c>
      <c r="V2175" s="0" t="n">
        <v>3</v>
      </c>
      <c r="W2175" s="39" t="n">
        <f aca="false">IF(I2175="Male",0,1)</f>
        <v>1</v>
      </c>
      <c r="X2175" s="39" t="n">
        <f aca="false">IF(OR(I2175="DNB",I2175="Dry DNB"),1,0)</f>
        <v>0</v>
      </c>
      <c r="Y2175" s="39" t="n">
        <f aca="false">MATCH(A2175,DATAS,0)</f>
        <v>1</v>
      </c>
      <c r="Z2175" s="39" t="n">
        <f aca="false">IF(AND(E2175&gt;0,OR(AND(B2175&gt;=1,B2175&lt;=6),B2175=10)),1,0)</f>
        <v>0</v>
      </c>
      <c r="AA2175" s="39" t="n">
        <f aca="false">IF(AND(E2175&gt;0,B2175=10),1,0)</f>
        <v>0</v>
      </c>
      <c r="AB2175" s="0" t="str">
        <f aca="false">IF(AND(C2174=C2175,Y2174=Y2175-1),Z2174,"")</f>
        <v/>
      </c>
      <c r="AC2175" s="0" t="str">
        <f aca="false">IF(AND(C2174=C2175,Y2174=Y2175-1),AA2174,"")</f>
        <v/>
      </c>
      <c r="AD2175" s="0" t="str">
        <f aca="false">IF(Y2175=1,"",IF(AND(Z2175=1,AB2175&lt;&gt;1),1,0))</f>
        <v/>
      </c>
      <c r="AE2175" s="0" t="str">
        <f aca="false">IF(Y2175=1,"",IF(AND(AA2175=1,AC2175&lt;&gt;1),1,0))</f>
        <v/>
      </c>
      <c r="AF2175" s="45" t="str">
        <f aca="false">IF(AND(E2175&gt;0,Y2175&lt;1,NOT(AND(C2176=C2175,Y2176=Y2175+1))),INDEX(DATAS,Y2175+1),"")</f>
        <v/>
      </c>
      <c r="AG2175" s="45" t="str">
        <f aca="false">IF(AND(AA2175=1,Y2175&lt;1),IF(AND(C2176=C2175,Y2176=Y2175+1),IF(AA2176=1,"",INDEX(DATAS,Y2175+1)),INDEX(DATAS,Y2175+1)),"")</f>
        <v/>
      </c>
    </row>
    <row r="2176" customFormat="false" ht="15" hidden="false" customHeight="false" outlineLevel="0" collapsed="false">
      <c r="A2176" s="45" t="n">
        <v>46309</v>
      </c>
      <c r="B2176" s="0" t="n">
        <v>8</v>
      </c>
      <c r="C2176" s="0" t="n">
        <v>6460</v>
      </c>
      <c r="E2176" s="0" t="n">
        <v>0</v>
      </c>
      <c r="F2176" s="39" t="s">
        <v>1165</v>
      </c>
      <c r="I2176" s="39" t="s">
        <v>109</v>
      </c>
      <c r="L2176" s="0" t="n">
        <v>128</v>
      </c>
      <c r="U2176" s="0" t="n">
        <v>552</v>
      </c>
      <c r="V2176" s="0" t="n">
        <v>2</v>
      </c>
      <c r="W2176" s="39" t="n">
        <f aca="false">IF(I2176="Male",0,1)</f>
        <v>1</v>
      </c>
      <c r="X2176" s="39" t="n">
        <f aca="false">IF(OR(I2176="DNB",I2176="Dry DNB"),1,0)</f>
        <v>0</v>
      </c>
      <c r="Y2176" s="39" t="n">
        <f aca="false">MATCH(A2176,DATAS,0)</f>
        <v>1</v>
      </c>
      <c r="Z2176" s="39" t="n">
        <f aca="false">IF(AND(E2176&gt;0,OR(AND(B2176&gt;=1,B2176&lt;=6),B2176=10)),1,0)</f>
        <v>0</v>
      </c>
      <c r="AA2176" s="39" t="n">
        <f aca="false">IF(AND(E2176&gt;0,B2176=10),1,0)</f>
        <v>0</v>
      </c>
      <c r="AB2176" s="0" t="str">
        <f aca="false">IF(AND(C2175=C2176,Y2175=Y2176-1),Z2175,"")</f>
        <v/>
      </c>
      <c r="AC2176" s="0" t="str">
        <f aca="false">IF(AND(C2175=C2176,Y2175=Y2176-1),AA2175,"")</f>
        <v/>
      </c>
      <c r="AD2176" s="0" t="str">
        <f aca="false">IF(Y2176=1,"",IF(AND(Z2176=1,AB2176&lt;&gt;1),1,0))</f>
        <v/>
      </c>
      <c r="AE2176" s="0" t="str">
        <f aca="false">IF(Y2176=1,"",IF(AND(AA2176=1,AC2176&lt;&gt;1),1,0))</f>
        <v/>
      </c>
      <c r="AF2176" s="45" t="str">
        <f aca="false">IF(AND(E2176&gt;0,Y2176&lt;1,NOT(AND(C2177=C2176,Y2177=Y2176+1))),INDEX(DATAS,Y2176+1),"")</f>
        <v/>
      </c>
      <c r="AG2176" s="45" t="str">
        <f aca="false">IF(AND(AA2176=1,Y2176&lt;1),IF(AND(C2177=C2176,Y2177=Y2176+1),IF(AA2177=1,"",INDEX(DATAS,Y2176+1)),INDEX(DATAS,Y2176+1)),"")</f>
        <v/>
      </c>
    </row>
    <row r="2177" customFormat="false" ht="15" hidden="false" customHeight="false" outlineLevel="0" collapsed="false">
      <c r="A2177" s="45" t="n">
        <v>46309</v>
      </c>
      <c r="B2177" s="0" t="n">
        <v>8</v>
      </c>
      <c r="C2177" s="0" t="n">
        <v>6461</v>
      </c>
      <c r="E2177" s="0" t="n">
        <v>0</v>
      </c>
      <c r="F2177" s="39" t="s">
        <v>1165</v>
      </c>
      <c r="I2177" s="39" t="s">
        <v>109</v>
      </c>
      <c r="L2177" s="0" t="n">
        <v>154</v>
      </c>
      <c r="U2177" s="0" t="n">
        <v>552</v>
      </c>
      <c r="V2177" s="0" t="n">
        <v>1</v>
      </c>
      <c r="W2177" s="39" t="n">
        <f aca="false">IF(I2177="Male",0,1)</f>
        <v>1</v>
      </c>
      <c r="X2177" s="39" t="n">
        <f aca="false">IF(OR(I2177="DNB",I2177="Dry DNB"),1,0)</f>
        <v>0</v>
      </c>
      <c r="Y2177" s="39" t="n">
        <f aca="false">MATCH(A2177,DATAS,0)</f>
        <v>1</v>
      </c>
      <c r="Z2177" s="39" t="n">
        <f aca="false">IF(AND(E2177&gt;0,OR(AND(B2177&gt;=1,B2177&lt;=6),B2177=10)),1,0)</f>
        <v>0</v>
      </c>
      <c r="AA2177" s="39" t="n">
        <f aca="false">IF(AND(E2177&gt;0,B2177=10),1,0)</f>
        <v>0</v>
      </c>
      <c r="AB2177" s="0" t="str">
        <f aca="false">IF(AND(C2176=C2177,Y2176=Y2177-1),Z2176,"")</f>
        <v/>
      </c>
      <c r="AC2177" s="0" t="str">
        <f aca="false">IF(AND(C2176=C2177,Y2176=Y2177-1),AA2176,"")</f>
        <v/>
      </c>
      <c r="AD2177" s="0" t="str">
        <f aca="false">IF(Y2177=1,"",IF(AND(Z2177=1,AB2177&lt;&gt;1),1,0))</f>
        <v/>
      </c>
      <c r="AE2177" s="0" t="str">
        <f aca="false">IF(Y2177=1,"",IF(AND(AA2177=1,AC2177&lt;&gt;1),1,0))</f>
        <v/>
      </c>
      <c r="AF2177" s="45" t="str">
        <f aca="false">IF(AND(E2177&gt;0,Y2177&lt;1,NOT(AND(C2178=C2177,Y2178=Y2177+1))),INDEX(DATAS,Y2177+1),"")</f>
        <v/>
      </c>
      <c r="AG2177" s="45" t="str">
        <f aca="false">IF(AND(AA2177=1,Y2177&lt;1),IF(AND(C2178=C2177,Y2178=Y2177+1),IF(AA2178=1,"",INDEX(DATAS,Y2177+1)),INDEX(DATAS,Y2177+1)),"")</f>
        <v/>
      </c>
    </row>
    <row r="2178" customFormat="false" ht="15" hidden="false" customHeight="false" outlineLevel="0" collapsed="false">
      <c r="A2178" s="45" t="n">
        <v>46309</v>
      </c>
      <c r="B2178" s="0" t="n">
        <v>8</v>
      </c>
      <c r="C2178" s="0" t="n">
        <v>6462</v>
      </c>
      <c r="E2178" s="0" t="n">
        <v>0</v>
      </c>
      <c r="F2178" s="39" t="s">
        <v>1166</v>
      </c>
      <c r="I2178" s="39" t="s">
        <v>109</v>
      </c>
      <c r="L2178" s="0" t="n">
        <v>148</v>
      </c>
      <c r="U2178" s="0" t="n">
        <v>551</v>
      </c>
      <c r="V2178" s="0" t="n">
        <v>1</v>
      </c>
      <c r="W2178" s="39" t="n">
        <f aca="false">IF(I2178="Male",0,1)</f>
        <v>1</v>
      </c>
      <c r="X2178" s="39" t="n">
        <f aca="false">IF(OR(I2178="DNB",I2178="Dry DNB"),1,0)</f>
        <v>0</v>
      </c>
      <c r="Y2178" s="39" t="n">
        <f aca="false">MATCH(A2178,DATAS,0)</f>
        <v>1</v>
      </c>
      <c r="Z2178" s="39" t="n">
        <f aca="false">IF(AND(E2178&gt;0,OR(AND(B2178&gt;=1,B2178&lt;=6),B2178=10)),1,0)</f>
        <v>0</v>
      </c>
      <c r="AA2178" s="39" t="n">
        <f aca="false">IF(AND(E2178&gt;0,B2178=10),1,0)</f>
        <v>0</v>
      </c>
      <c r="AB2178" s="0" t="str">
        <f aca="false">IF(AND(C2177=C2178,Y2177=Y2178-1),Z2177,"")</f>
        <v/>
      </c>
      <c r="AC2178" s="0" t="str">
        <f aca="false">IF(AND(C2177=C2178,Y2177=Y2178-1),AA2177,"")</f>
        <v/>
      </c>
      <c r="AD2178" s="0" t="str">
        <f aca="false">IF(Y2178=1,"",IF(AND(Z2178=1,AB2178&lt;&gt;1),1,0))</f>
        <v/>
      </c>
      <c r="AE2178" s="0" t="str">
        <f aca="false">IF(Y2178=1,"",IF(AND(AA2178=1,AC2178&lt;&gt;1),1,0))</f>
        <v/>
      </c>
      <c r="AF2178" s="45" t="str">
        <f aca="false">IF(AND(E2178&gt;0,Y2178&lt;1,NOT(AND(C2179=C2178,Y2179=Y2178+1))),INDEX(DATAS,Y2178+1),"")</f>
        <v/>
      </c>
      <c r="AG2178" s="45" t="str">
        <f aca="false">IF(AND(AA2178=1,Y2178&lt;1),IF(AND(C2179=C2178,Y2179=Y2178+1),IF(AA2179=1,"",INDEX(DATAS,Y2178+1)),INDEX(DATAS,Y2178+1)),"")</f>
        <v/>
      </c>
    </row>
    <row r="2179" customFormat="false" ht="15" hidden="false" customHeight="false" outlineLevel="0" collapsed="false">
      <c r="A2179" s="45" t="n">
        <v>46309</v>
      </c>
      <c r="B2179" s="0" t="n">
        <v>8</v>
      </c>
      <c r="C2179" s="0" t="n">
        <v>6463</v>
      </c>
      <c r="E2179" s="0" t="n">
        <v>0</v>
      </c>
      <c r="F2179" s="39" t="s">
        <v>1166</v>
      </c>
      <c r="I2179" s="39" t="s">
        <v>109</v>
      </c>
      <c r="L2179" s="0" t="n">
        <v>62</v>
      </c>
      <c r="U2179" s="0" t="n">
        <v>551</v>
      </c>
      <c r="V2179" s="0" t="n">
        <v>4</v>
      </c>
      <c r="W2179" s="39" t="n">
        <f aca="false">IF(I2179="Male",0,1)</f>
        <v>1</v>
      </c>
      <c r="X2179" s="39" t="n">
        <f aca="false">IF(OR(I2179="DNB",I2179="Dry DNB"),1,0)</f>
        <v>0</v>
      </c>
      <c r="Y2179" s="39" t="n">
        <f aca="false">MATCH(A2179,DATAS,0)</f>
        <v>1</v>
      </c>
      <c r="Z2179" s="39" t="n">
        <f aca="false">IF(AND(E2179&gt;0,OR(AND(B2179&gt;=1,B2179&lt;=6),B2179=10)),1,0)</f>
        <v>0</v>
      </c>
      <c r="AA2179" s="39" t="n">
        <f aca="false">IF(AND(E2179&gt;0,B2179=10),1,0)</f>
        <v>0</v>
      </c>
      <c r="AB2179" s="0" t="str">
        <f aca="false">IF(AND(C2178=C2179,Y2178=Y2179-1),Z2178,"")</f>
        <v/>
      </c>
      <c r="AC2179" s="0" t="str">
        <f aca="false">IF(AND(C2178=C2179,Y2178=Y2179-1),AA2178,"")</f>
        <v/>
      </c>
      <c r="AD2179" s="0" t="str">
        <f aca="false">IF(Y2179=1,"",IF(AND(Z2179=1,AB2179&lt;&gt;1),1,0))</f>
        <v/>
      </c>
      <c r="AE2179" s="0" t="str">
        <f aca="false">IF(Y2179=1,"",IF(AND(AA2179=1,AC2179&lt;&gt;1),1,0))</f>
        <v/>
      </c>
      <c r="AF2179" s="45" t="str">
        <f aca="false">IF(AND(E2179&gt;0,Y2179&lt;1,NOT(AND(C2180=C2179,Y2180=Y2179+1))),INDEX(DATAS,Y2179+1),"")</f>
        <v/>
      </c>
      <c r="AG2179" s="45" t="str">
        <f aca="false">IF(AND(AA2179=1,Y2179&lt;1),IF(AND(C2180=C2179,Y2180=Y2179+1),IF(AA2180=1,"",INDEX(DATAS,Y2179+1)),INDEX(DATAS,Y2179+1)),"")</f>
        <v/>
      </c>
    </row>
    <row r="2180" customFormat="false" ht="15" hidden="false" customHeight="false" outlineLevel="0" collapsed="false">
      <c r="A2180" s="45" t="n">
        <v>46309</v>
      </c>
      <c r="B2180" s="0" t="n">
        <v>8</v>
      </c>
      <c r="C2180" s="0" t="n">
        <v>6464</v>
      </c>
      <c r="E2180" s="0" t="n">
        <v>0</v>
      </c>
      <c r="F2180" s="39" t="s">
        <v>1167</v>
      </c>
      <c r="I2180" s="39" t="s">
        <v>109</v>
      </c>
      <c r="L2180" s="0" t="n">
        <v>93</v>
      </c>
      <c r="U2180" s="0" t="n">
        <v>550</v>
      </c>
      <c r="V2180" s="0" t="n">
        <v>4</v>
      </c>
      <c r="W2180" s="39" t="n">
        <f aca="false">IF(I2180="Male",0,1)</f>
        <v>1</v>
      </c>
      <c r="X2180" s="39" t="n">
        <f aca="false">IF(OR(I2180="DNB",I2180="Dry DNB"),1,0)</f>
        <v>0</v>
      </c>
      <c r="Y2180" s="39" t="n">
        <f aca="false">MATCH(A2180,DATAS,0)</f>
        <v>1</v>
      </c>
      <c r="Z2180" s="39" t="n">
        <f aca="false">IF(AND(E2180&gt;0,OR(AND(B2180&gt;=1,B2180&lt;=6),B2180=10)),1,0)</f>
        <v>0</v>
      </c>
      <c r="AA2180" s="39" t="n">
        <f aca="false">IF(AND(E2180&gt;0,B2180=10),1,0)</f>
        <v>0</v>
      </c>
      <c r="AB2180" s="0" t="str">
        <f aca="false">IF(AND(C2179=C2180,Y2179=Y2180-1),Z2179,"")</f>
        <v/>
      </c>
      <c r="AC2180" s="0" t="str">
        <f aca="false">IF(AND(C2179=C2180,Y2179=Y2180-1),AA2179,"")</f>
        <v/>
      </c>
      <c r="AD2180" s="0" t="str">
        <f aca="false">IF(Y2180=1,"",IF(AND(Z2180=1,AB2180&lt;&gt;1),1,0))</f>
        <v/>
      </c>
      <c r="AE2180" s="0" t="str">
        <f aca="false">IF(Y2180=1,"",IF(AND(AA2180=1,AC2180&lt;&gt;1),1,0))</f>
        <v/>
      </c>
      <c r="AF2180" s="45" t="str">
        <f aca="false">IF(AND(E2180&gt;0,Y2180&lt;1,NOT(AND(C2181=C2180,Y2181=Y2180+1))),INDEX(DATAS,Y2180+1),"")</f>
        <v/>
      </c>
      <c r="AG2180" s="45" t="str">
        <f aca="false">IF(AND(AA2180=1,Y2180&lt;1),IF(AND(C2181=C2180,Y2181=Y2180+1),IF(AA2181=1,"",INDEX(DATAS,Y2180+1)),INDEX(DATAS,Y2180+1)),"")</f>
        <v/>
      </c>
    </row>
    <row r="2181" customFormat="false" ht="15" hidden="false" customHeight="false" outlineLevel="0" collapsed="false">
      <c r="A2181" s="45" t="n">
        <v>46309</v>
      </c>
      <c r="B2181" s="0" t="n">
        <v>8</v>
      </c>
      <c r="C2181" s="0" t="n">
        <v>6465</v>
      </c>
      <c r="E2181" s="0" t="n">
        <v>0</v>
      </c>
      <c r="F2181" s="39" t="s">
        <v>1167</v>
      </c>
      <c r="I2181" s="39" t="s">
        <v>109</v>
      </c>
      <c r="L2181" s="0" t="n">
        <v>126</v>
      </c>
      <c r="U2181" s="0" t="n">
        <v>550</v>
      </c>
      <c r="V2181" s="0" t="n">
        <v>2</v>
      </c>
      <c r="W2181" s="39" t="n">
        <f aca="false">IF(I2181="Male",0,1)</f>
        <v>1</v>
      </c>
      <c r="X2181" s="39" t="n">
        <f aca="false">IF(OR(I2181="DNB",I2181="Dry DNB"),1,0)</f>
        <v>0</v>
      </c>
      <c r="Y2181" s="39" t="n">
        <f aca="false">MATCH(A2181,DATAS,0)</f>
        <v>1</v>
      </c>
      <c r="Z2181" s="39" t="n">
        <f aca="false">IF(AND(E2181&gt;0,OR(AND(B2181&gt;=1,B2181&lt;=6),B2181=10)),1,0)</f>
        <v>0</v>
      </c>
      <c r="AA2181" s="39" t="n">
        <f aca="false">IF(AND(E2181&gt;0,B2181=10),1,0)</f>
        <v>0</v>
      </c>
      <c r="AB2181" s="0" t="str">
        <f aca="false">IF(AND(C2180=C2181,Y2180=Y2181-1),Z2180,"")</f>
        <v/>
      </c>
      <c r="AC2181" s="0" t="str">
        <f aca="false">IF(AND(C2180=C2181,Y2180=Y2181-1),AA2180,"")</f>
        <v/>
      </c>
      <c r="AD2181" s="0" t="str">
        <f aca="false">IF(Y2181=1,"",IF(AND(Z2181=1,AB2181&lt;&gt;1),1,0))</f>
        <v/>
      </c>
      <c r="AE2181" s="0" t="str">
        <f aca="false">IF(Y2181=1,"",IF(AND(AA2181=1,AC2181&lt;&gt;1),1,0))</f>
        <v/>
      </c>
      <c r="AF2181" s="45" t="str">
        <f aca="false">IF(AND(E2181&gt;0,Y2181&lt;1,NOT(AND(C2182=C2181,Y2182=Y2181+1))),INDEX(DATAS,Y2181+1),"")</f>
        <v/>
      </c>
      <c r="AG2181" s="45" t="str">
        <f aca="false">IF(AND(AA2181=1,Y2181&lt;1),IF(AND(C2182=C2181,Y2182=Y2181+1),IF(AA2182=1,"",INDEX(DATAS,Y2181+1)),INDEX(DATAS,Y2181+1)),"")</f>
        <v/>
      </c>
    </row>
    <row r="2182" customFormat="false" ht="15" hidden="false" customHeight="false" outlineLevel="0" collapsed="false">
      <c r="A2182" s="45" t="n">
        <v>46309</v>
      </c>
      <c r="B2182" s="0" t="n">
        <v>8</v>
      </c>
      <c r="C2182" s="0" t="n">
        <v>6466</v>
      </c>
      <c r="E2182" s="0" t="n">
        <v>0</v>
      </c>
      <c r="F2182" s="39" t="s">
        <v>1167</v>
      </c>
      <c r="I2182" s="39" t="s">
        <v>109</v>
      </c>
      <c r="L2182" s="0" t="n">
        <v>142</v>
      </c>
      <c r="U2182" s="0" t="n">
        <v>550</v>
      </c>
      <c r="V2182" s="0" t="n">
        <v>1</v>
      </c>
      <c r="W2182" s="39" t="n">
        <f aca="false">IF(I2182="Male",0,1)</f>
        <v>1</v>
      </c>
      <c r="X2182" s="39" t="n">
        <f aca="false">IF(OR(I2182="DNB",I2182="Dry DNB"),1,0)</f>
        <v>0</v>
      </c>
      <c r="Y2182" s="39" t="n">
        <f aca="false">MATCH(A2182,DATAS,0)</f>
        <v>1</v>
      </c>
      <c r="Z2182" s="39" t="n">
        <f aca="false">IF(AND(E2182&gt;0,OR(AND(B2182&gt;=1,B2182&lt;=6),B2182=10)),1,0)</f>
        <v>0</v>
      </c>
      <c r="AA2182" s="39" t="n">
        <f aca="false">IF(AND(E2182&gt;0,B2182=10),1,0)</f>
        <v>0</v>
      </c>
      <c r="AB2182" s="0" t="str">
        <f aca="false">IF(AND(C2181=C2182,Y2181=Y2182-1),Z2181,"")</f>
        <v/>
      </c>
      <c r="AC2182" s="0" t="str">
        <f aca="false">IF(AND(C2181=C2182,Y2181=Y2182-1),AA2181,"")</f>
        <v/>
      </c>
      <c r="AD2182" s="0" t="str">
        <f aca="false">IF(Y2182=1,"",IF(AND(Z2182=1,AB2182&lt;&gt;1),1,0))</f>
        <v/>
      </c>
      <c r="AE2182" s="0" t="str">
        <f aca="false">IF(Y2182=1,"",IF(AND(AA2182=1,AC2182&lt;&gt;1),1,0))</f>
        <v/>
      </c>
      <c r="AF2182" s="45" t="str">
        <f aca="false">IF(AND(E2182&gt;0,Y2182&lt;1,NOT(AND(C2183=C2182,Y2183=Y2182+1))),INDEX(DATAS,Y2182+1),"")</f>
        <v/>
      </c>
      <c r="AG2182" s="45" t="str">
        <f aca="false">IF(AND(AA2182=1,Y2182&lt;1),IF(AND(C2183=C2182,Y2183=Y2182+1),IF(AA2183=1,"",INDEX(DATAS,Y2182+1)),INDEX(DATAS,Y2182+1)),"")</f>
        <v/>
      </c>
    </row>
    <row r="2183" customFormat="false" ht="15" hidden="false" customHeight="false" outlineLevel="0" collapsed="false">
      <c r="A2183" s="45" t="n">
        <v>46309</v>
      </c>
      <c r="B2183" s="0" t="n">
        <v>8</v>
      </c>
      <c r="C2183" s="0" t="n">
        <v>6467</v>
      </c>
      <c r="E2183" s="0" t="n">
        <v>0</v>
      </c>
      <c r="F2183" s="39" t="s">
        <v>1168</v>
      </c>
      <c r="I2183" s="39" t="s">
        <v>109</v>
      </c>
      <c r="L2183" s="0" t="n">
        <v>145</v>
      </c>
      <c r="U2183" s="0" t="n">
        <v>549</v>
      </c>
      <c r="V2183" s="0" t="n">
        <v>1</v>
      </c>
      <c r="W2183" s="39" t="n">
        <f aca="false">IF(I2183="Male",0,1)</f>
        <v>1</v>
      </c>
      <c r="X2183" s="39" t="n">
        <f aca="false">IF(OR(I2183="DNB",I2183="Dry DNB"),1,0)</f>
        <v>0</v>
      </c>
      <c r="Y2183" s="39" t="n">
        <f aca="false">MATCH(A2183,DATAS,0)</f>
        <v>1</v>
      </c>
      <c r="Z2183" s="39" t="n">
        <f aca="false">IF(AND(E2183&gt;0,OR(AND(B2183&gt;=1,B2183&lt;=6),B2183=10)),1,0)</f>
        <v>0</v>
      </c>
      <c r="AA2183" s="39" t="n">
        <f aca="false">IF(AND(E2183&gt;0,B2183=10),1,0)</f>
        <v>0</v>
      </c>
      <c r="AB2183" s="0" t="str">
        <f aca="false">IF(AND(C2182=C2183,Y2182=Y2183-1),Z2182,"")</f>
        <v/>
      </c>
      <c r="AC2183" s="0" t="str">
        <f aca="false">IF(AND(C2182=C2183,Y2182=Y2183-1),AA2182,"")</f>
        <v/>
      </c>
      <c r="AD2183" s="0" t="str">
        <f aca="false">IF(Y2183=1,"",IF(AND(Z2183=1,AB2183&lt;&gt;1),1,0))</f>
        <v/>
      </c>
      <c r="AE2183" s="0" t="str">
        <f aca="false">IF(Y2183=1,"",IF(AND(AA2183=1,AC2183&lt;&gt;1),1,0))</f>
        <v/>
      </c>
      <c r="AF2183" s="45" t="str">
        <f aca="false">IF(AND(E2183&gt;0,Y2183&lt;1,NOT(AND(C2184=C2183,Y2184=Y2183+1))),INDEX(DATAS,Y2183+1),"")</f>
        <v/>
      </c>
      <c r="AG2183" s="45" t="str">
        <f aca="false">IF(AND(AA2183=1,Y2183&lt;1),IF(AND(C2184=C2183,Y2184=Y2183+1),IF(AA2184=1,"",INDEX(DATAS,Y2183+1)),INDEX(DATAS,Y2183+1)),"")</f>
        <v/>
      </c>
    </row>
    <row r="2184" customFormat="false" ht="15" hidden="false" customHeight="false" outlineLevel="0" collapsed="false">
      <c r="A2184" s="45" t="n">
        <v>46309</v>
      </c>
      <c r="B2184" s="0" t="n">
        <v>8</v>
      </c>
      <c r="C2184" s="0" t="n">
        <v>6468</v>
      </c>
      <c r="E2184" s="0" t="n">
        <v>0</v>
      </c>
      <c r="F2184" s="39" t="s">
        <v>1169</v>
      </c>
      <c r="I2184" s="39" t="s">
        <v>109</v>
      </c>
      <c r="L2184" s="0" t="n">
        <v>139</v>
      </c>
      <c r="U2184" s="0" t="n">
        <v>547</v>
      </c>
      <c r="V2184" s="0" t="n">
        <v>1</v>
      </c>
      <c r="W2184" s="39" t="n">
        <f aca="false">IF(I2184="Male",0,1)</f>
        <v>1</v>
      </c>
      <c r="X2184" s="39" t="n">
        <f aca="false">IF(OR(I2184="DNB",I2184="Dry DNB"),1,0)</f>
        <v>0</v>
      </c>
      <c r="Y2184" s="39" t="n">
        <f aca="false">MATCH(A2184,DATAS,0)</f>
        <v>1</v>
      </c>
      <c r="Z2184" s="39" t="n">
        <f aca="false">IF(AND(E2184&gt;0,OR(AND(B2184&gt;=1,B2184&lt;=6),B2184=10)),1,0)</f>
        <v>0</v>
      </c>
      <c r="AA2184" s="39" t="n">
        <f aca="false">IF(AND(E2184&gt;0,B2184=10),1,0)</f>
        <v>0</v>
      </c>
      <c r="AB2184" s="0" t="str">
        <f aca="false">IF(AND(C2183=C2184,Y2183=Y2184-1),Z2183,"")</f>
        <v/>
      </c>
      <c r="AC2184" s="0" t="str">
        <f aca="false">IF(AND(C2183=C2184,Y2183=Y2184-1),AA2183,"")</f>
        <v/>
      </c>
      <c r="AD2184" s="0" t="str">
        <f aca="false">IF(Y2184=1,"",IF(AND(Z2184=1,AB2184&lt;&gt;1),1,0))</f>
        <v/>
      </c>
      <c r="AE2184" s="0" t="str">
        <f aca="false">IF(Y2184=1,"",IF(AND(AA2184=1,AC2184&lt;&gt;1),1,0))</f>
        <v/>
      </c>
      <c r="AF2184" s="45" t="str">
        <f aca="false">IF(AND(E2184&gt;0,Y2184&lt;1,NOT(AND(C2185=C2184,Y2185=Y2184+1))),INDEX(DATAS,Y2184+1),"")</f>
        <v/>
      </c>
      <c r="AG2184" s="45" t="str">
        <f aca="false">IF(AND(AA2184=1,Y2184&lt;1),IF(AND(C2185=C2184,Y2185=Y2184+1),IF(AA2185=1,"",INDEX(DATAS,Y2184+1)),INDEX(DATAS,Y2184+1)),"")</f>
        <v/>
      </c>
    </row>
    <row r="2185" customFormat="false" ht="15" hidden="false" customHeight="false" outlineLevel="0" collapsed="false">
      <c r="A2185" s="45" t="n">
        <v>46309</v>
      </c>
      <c r="B2185" s="0" t="n">
        <v>8</v>
      </c>
      <c r="C2185" s="0" t="n">
        <v>6469</v>
      </c>
      <c r="E2185" s="0" t="n">
        <v>0</v>
      </c>
      <c r="F2185" s="39" t="s">
        <v>1169</v>
      </c>
      <c r="I2185" s="39" t="s">
        <v>109</v>
      </c>
      <c r="L2185" s="0" t="n">
        <v>147</v>
      </c>
      <c r="U2185" s="0" t="n">
        <v>547</v>
      </c>
      <c r="V2185" s="0" t="n">
        <v>1</v>
      </c>
      <c r="W2185" s="39" t="n">
        <f aca="false">IF(I2185="Male",0,1)</f>
        <v>1</v>
      </c>
      <c r="X2185" s="39" t="n">
        <f aca="false">IF(OR(I2185="DNB",I2185="Dry DNB"),1,0)</f>
        <v>0</v>
      </c>
      <c r="Y2185" s="39" t="n">
        <f aca="false">MATCH(A2185,DATAS,0)</f>
        <v>1</v>
      </c>
      <c r="Z2185" s="39" t="n">
        <f aca="false">IF(AND(E2185&gt;0,OR(AND(B2185&gt;=1,B2185&lt;=6),B2185=10)),1,0)</f>
        <v>0</v>
      </c>
      <c r="AA2185" s="39" t="n">
        <f aca="false">IF(AND(E2185&gt;0,B2185=10),1,0)</f>
        <v>0</v>
      </c>
      <c r="AB2185" s="0" t="str">
        <f aca="false">IF(AND(C2184=C2185,Y2184=Y2185-1),Z2184,"")</f>
        <v/>
      </c>
      <c r="AC2185" s="0" t="str">
        <f aca="false">IF(AND(C2184=C2185,Y2184=Y2185-1),AA2184,"")</f>
        <v/>
      </c>
      <c r="AD2185" s="0" t="str">
        <f aca="false">IF(Y2185=1,"",IF(AND(Z2185=1,AB2185&lt;&gt;1),1,0))</f>
        <v/>
      </c>
      <c r="AE2185" s="0" t="str">
        <f aca="false">IF(Y2185=1,"",IF(AND(AA2185=1,AC2185&lt;&gt;1),1,0))</f>
        <v/>
      </c>
      <c r="AF2185" s="45" t="str">
        <f aca="false">IF(AND(E2185&gt;0,Y2185&lt;1,NOT(AND(C2186=C2185,Y2186=Y2185+1))),INDEX(DATAS,Y2185+1),"")</f>
        <v/>
      </c>
      <c r="AG2185" s="45" t="str">
        <f aca="false">IF(AND(AA2185=1,Y2185&lt;1),IF(AND(C2186=C2185,Y2186=Y2185+1),IF(AA2186=1,"",INDEX(DATAS,Y2185+1)),INDEX(DATAS,Y2185+1)),"")</f>
        <v/>
      </c>
    </row>
    <row r="2186" customFormat="false" ht="15" hidden="false" customHeight="false" outlineLevel="0" collapsed="false">
      <c r="A2186" s="45" t="n">
        <v>46309</v>
      </c>
      <c r="B2186" s="0" t="n">
        <v>8</v>
      </c>
      <c r="C2186" s="0" t="n">
        <v>6470</v>
      </c>
      <c r="E2186" s="0" t="n">
        <v>0</v>
      </c>
      <c r="F2186" s="39" t="s">
        <v>1169</v>
      </c>
      <c r="I2186" s="39" t="s">
        <v>109</v>
      </c>
      <c r="L2186" s="0" t="n">
        <v>92</v>
      </c>
      <c r="U2186" s="0" t="n">
        <v>547</v>
      </c>
      <c r="V2186" s="0" t="n">
        <v>3</v>
      </c>
      <c r="W2186" s="39" t="n">
        <f aca="false">IF(I2186="Male",0,1)</f>
        <v>1</v>
      </c>
      <c r="X2186" s="39" t="n">
        <f aca="false">IF(OR(I2186="DNB",I2186="Dry DNB"),1,0)</f>
        <v>0</v>
      </c>
      <c r="Y2186" s="39" t="n">
        <f aca="false">MATCH(A2186,DATAS,0)</f>
        <v>1</v>
      </c>
      <c r="Z2186" s="39" t="n">
        <f aca="false">IF(AND(E2186&gt;0,OR(AND(B2186&gt;=1,B2186&lt;=6),B2186=10)),1,0)</f>
        <v>0</v>
      </c>
      <c r="AA2186" s="39" t="n">
        <f aca="false">IF(AND(E2186&gt;0,B2186=10),1,0)</f>
        <v>0</v>
      </c>
      <c r="AB2186" s="0" t="str">
        <f aca="false">IF(AND(C2185=C2186,Y2185=Y2186-1),Z2185,"")</f>
        <v/>
      </c>
      <c r="AC2186" s="0" t="str">
        <f aca="false">IF(AND(C2185=C2186,Y2185=Y2186-1),AA2185,"")</f>
        <v/>
      </c>
      <c r="AD2186" s="0" t="str">
        <f aca="false">IF(Y2186=1,"",IF(AND(Z2186=1,AB2186&lt;&gt;1),1,0))</f>
        <v/>
      </c>
      <c r="AE2186" s="0" t="str">
        <f aca="false">IF(Y2186=1,"",IF(AND(AA2186=1,AC2186&lt;&gt;1),1,0))</f>
        <v/>
      </c>
      <c r="AF2186" s="45" t="str">
        <f aca="false">IF(AND(E2186&gt;0,Y2186&lt;1,NOT(AND(C2187=C2186,Y2187=Y2186+1))),INDEX(DATAS,Y2186+1),"")</f>
        <v/>
      </c>
      <c r="AG2186" s="45" t="str">
        <f aca="false">IF(AND(AA2186=1,Y2186&lt;1),IF(AND(C2187=C2186,Y2187=Y2186+1),IF(AA2187=1,"",INDEX(DATAS,Y2186+1)),INDEX(DATAS,Y2186+1)),"")</f>
        <v/>
      </c>
    </row>
    <row r="2187" customFormat="false" ht="15" hidden="false" customHeight="false" outlineLevel="0" collapsed="false">
      <c r="A2187" s="45" t="n">
        <v>46309</v>
      </c>
      <c r="B2187" s="0" t="n">
        <v>8</v>
      </c>
      <c r="C2187" s="0" t="n">
        <v>6471</v>
      </c>
      <c r="E2187" s="0" t="n">
        <v>0</v>
      </c>
      <c r="F2187" s="39" t="s">
        <v>1169</v>
      </c>
      <c r="I2187" s="39" t="s">
        <v>109</v>
      </c>
      <c r="L2187" s="0" t="n">
        <v>70</v>
      </c>
      <c r="U2187" s="0" t="n">
        <v>547</v>
      </c>
      <c r="V2187" s="0" t="n">
        <v>4</v>
      </c>
      <c r="W2187" s="39" t="n">
        <f aca="false">IF(I2187="Male",0,1)</f>
        <v>1</v>
      </c>
      <c r="X2187" s="39" t="n">
        <f aca="false">IF(OR(I2187="DNB",I2187="Dry DNB"),1,0)</f>
        <v>0</v>
      </c>
      <c r="Y2187" s="39" t="n">
        <f aca="false">MATCH(A2187,DATAS,0)</f>
        <v>1</v>
      </c>
      <c r="Z2187" s="39" t="n">
        <f aca="false">IF(AND(E2187&gt;0,OR(AND(B2187&gt;=1,B2187&lt;=6),B2187=10)),1,0)</f>
        <v>0</v>
      </c>
      <c r="AA2187" s="39" t="n">
        <f aca="false">IF(AND(E2187&gt;0,B2187=10),1,0)</f>
        <v>0</v>
      </c>
      <c r="AB2187" s="0" t="str">
        <f aca="false">IF(AND(C2186=C2187,Y2186=Y2187-1),Z2186,"")</f>
        <v/>
      </c>
      <c r="AC2187" s="0" t="str">
        <f aca="false">IF(AND(C2186=C2187,Y2186=Y2187-1),AA2186,"")</f>
        <v/>
      </c>
      <c r="AD2187" s="0" t="str">
        <f aca="false">IF(Y2187=1,"",IF(AND(Z2187=1,AB2187&lt;&gt;1),1,0))</f>
        <v/>
      </c>
      <c r="AE2187" s="0" t="str">
        <f aca="false">IF(Y2187=1,"",IF(AND(AA2187=1,AC2187&lt;&gt;1),1,0))</f>
        <v/>
      </c>
      <c r="AF2187" s="45" t="str">
        <f aca="false">IF(AND(E2187&gt;0,Y2187&lt;1,NOT(AND(C2188=C2187,Y2188=Y2187+1))),INDEX(DATAS,Y2187+1),"")</f>
        <v/>
      </c>
      <c r="AG2187" s="45" t="str">
        <f aca="false">IF(AND(AA2187=1,Y2187&lt;1),IF(AND(C2188=C2187,Y2188=Y2187+1),IF(AA2188=1,"",INDEX(DATAS,Y2187+1)),INDEX(DATAS,Y2187+1)),"")</f>
        <v/>
      </c>
    </row>
    <row r="2188" customFormat="false" ht="15" hidden="false" customHeight="false" outlineLevel="0" collapsed="false">
      <c r="A2188" s="45" t="n">
        <v>46309</v>
      </c>
      <c r="B2188" s="0" t="n">
        <v>8</v>
      </c>
      <c r="C2188" s="0" t="n">
        <v>6472</v>
      </c>
      <c r="E2188" s="0" t="n">
        <v>0</v>
      </c>
      <c r="F2188" s="39" t="s">
        <v>1169</v>
      </c>
      <c r="I2188" s="39" t="s">
        <v>109</v>
      </c>
      <c r="L2188" s="0" t="n">
        <v>149</v>
      </c>
      <c r="U2188" s="0" t="n">
        <v>547</v>
      </c>
      <c r="V2188" s="0" t="n">
        <v>1</v>
      </c>
      <c r="W2188" s="39" t="n">
        <f aca="false">IF(I2188="Male",0,1)</f>
        <v>1</v>
      </c>
      <c r="X2188" s="39" t="n">
        <f aca="false">IF(OR(I2188="DNB",I2188="Dry DNB"),1,0)</f>
        <v>0</v>
      </c>
      <c r="Y2188" s="39" t="n">
        <f aca="false">MATCH(A2188,DATAS,0)</f>
        <v>1</v>
      </c>
      <c r="Z2188" s="39" t="n">
        <f aca="false">IF(AND(E2188&gt;0,OR(AND(B2188&gt;=1,B2188&lt;=6),B2188=10)),1,0)</f>
        <v>0</v>
      </c>
      <c r="AA2188" s="39" t="n">
        <f aca="false">IF(AND(E2188&gt;0,B2188=10),1,0)</f>
        <v>0</v>
      </c>
      <c r="AB2188" s="0" t="str">
        <f aca="false">IF(AND(C2187=C2188,Y2187=Y2188-1),Z2187,"")</f>
        <v/>
      </c>
      <c r="AC2188" s="0" t="str">
        <f aca="false">IF(AND(C2187=C2188,Y2187=Y2188-1),AA2187,"")</f>
        <v/>
      </c>
      <c r="AD2188" s="0" t="str">
        <f aca="false">IF(Y2188=1,"",IF(AND(Z2188=1,AB2188&lt;&gt;1),1,0))</f>
        <v/>
      </c>
      <c r="AE2188" s="0" t="str">
        <f aca="false">IF(Y2188=1,"",IF(AND(AA2188=1,AC2188&lt;&gt;1),1,0))</f>
        <v/>
      </c>
      <c r="AF2188" s="45" t="str">
        <f aca="false">IF(AND(E2188&gt;0,Y2188&lt;1,NOT(AND(C2189=C2188,Y2189=Y2188+1))),INDEX(DATAS,Y2188+1),"")</f>
        <v/>
      </c>
      <c r="AG2188" s="45" t="str">
        <f aca="false">IF(AND(AA2188=1,Y2188&lt;1),IF(AND(C2189=C2188,Y2189=Y2188+1),IF(AA2189=1,"",INDEX(DATAS,Y2188+1)),INDEX(DATAS,Y2188+1)),"")</f>
        <v/>
      </c>
    </row>
    <row r="2189" customFormat="false" ht="15" hidden="false" customHeight="false" outlineLevel="0" collapsed="false">
      <c r="A2189" s="45" t="n">
        <v>46309</v>
      </c>
      <c r="B2189" s="0" t="n">
        <v>8</v>
      </c>
      <c r="C2189" s="0" t="n">
        <v>6473</v>
      </c>
      <c r="E2189" s="0" t="n">
        <v>0</v>
      </c>
      <c r="F2189" s="39" t="s">
        <v>1170</v>
      </c>
      <c r="I2189" s="39" t="s">
        <v>109</v>
      </c>
      <c r="L2189" s="0" t="n">
        <v>153</v>
      </c>
      <c r="U2189" s="0" t="n">
        <v>545</v>
      </c>
      <c r="V2189" s="0" t="n">
        <v>1</v>
      </c>
      <c r="W2189" s="39" t="n">
        <f aca="false">IF(I2189="Male",0,1)</f>
        <v>1</v>
      </c>
      <c r="X2189" s="39" t="n">
        <f aca="false">IF(OR(I2189="DNB",I2189="Dry DNB"),1,0)</f>
        <v>0</v>
      </c>
      <c r="Y2189" s="39" t="n">
        <f aca="false">MATCH(A2189,DATAS,0)</f>
        <v>1</v>
      </c>
      <c r="Z2189" s="39" t="n">
        <f aca="false">IF(AND(E2189&gt;0,OR(AND(B2189&gt;=1,B2189&lt;=6),B2189=10)),1,0)</f>
        <v>0</v>
      </c>
      <c r="AA2189" s="39" t="n">
        <f aca="false">IF(AND(E2189&gt;0,B2189=10),1,0)</f>
        <v>0</v>
      </c>
      <c r="AB2189" s="0" t="str">
        <f aca="false">IF(AND(C2188=C2189,Y2188=Y2189-1),Z2188,"")</f>
        <v/>
      </c>
      <c r="AC2189" s="0" t="str">
        <f aca="false">IF(AND(C2188=C2189,Y2188=Y2189-1),AA2188,"")</f>
        <v/>
      </c>
      <c r="AD2189" s="0" t="str">
        <f aca="false">IF(Y2189=1,"",IF(AND(Z2189=1,AB2189&lt;&gt;1),1,0))</f>
        <v/>
      </c>
      <c r="AE2189" s="0" t="str">
        <f aca="false">IF(Y2189=1,"",IF(AND(AA2189=1,AC2189&lt;&gt;1),1,0))</f>
        <v/>
      </c>
      <c r="AF2189" s="45" t="str">
        <f aca="false">IF(AND(E2189&gt;0,Y2189&lt;1,NOT(AND(C2190=C2189,Y2190=Y2189+1))),INDEX(DATAS,Y2189+1),"")</f>
        <v/>
      </c>
      <c r="AG2189" s="45" t="str">
        <f aca="false">IF(AND(AA2189=1,Y2189&lt;1),IF(AND(C2190=C2189,Y2190=Y2189+1),IF(AA2190=1,"",INDEX(DATAS,Y2189+1)),INDEX(DATAS,Y2189+1)),"")</f>
        <v/>
      </c>
    </row>
    <row r="2190" customFormat="false" ht="15" hidden="false" customHeight="false" outlineLevel="0" collapsed="false">
      <c r="A2190" s="45" t="n">
        <v>46309</v>
      </c>
      <c r="B2190" s="0" t="n">
        <v>8</v>
      </c>
      <c r="C2190" s="0" t="n">
        <v>6474</v>
      </c>
      <c r="E2190" s="0" t="n">
        <v>0</v>
      </c>
      <c r="F2190" s="39" t="s">
        <v>1170</v>
      </c>
      <c r="I2190" s="39" t="s">
        <v>109</v>
      </c>
      <c r="L2190" s="0" t="n">
        <v>140</v>
      </c>
      <c r="U2190" s="0" t="n">
        <v>545</v>
      </c>
      <c r="V2190" s="0" t="n">
        <v>1</v>
      </c>
      <c r="W2190" s="39" t="n">
        <f aca="false">IF(I2190="Male",0,1)</f>
        <v>1</v>
      </c>
      <c r="X2190" s="39" t="n">
        <f aca="false">IF(OR(I2190="DNB",I2190="Dry DNB"),1,0)</f>
        <v>0</v>
      </c>
      <c r="Y2190" s="39" t="n">
        <f aca="false">MATCH(A2190,DATAS,0)</f>
        <v>1</v>
      </c>
      <c r="Z2190" s="39" t="n">
        <f aca="false">IF(AND(E2190&gt;0,OR(AND(B2190&gt;=1,B2190&lt;=6),B2190=10)),1,0)</f>
        <v>0</v>
      </c>
      <c r="AA2190" s="39" t="n">
        <f aca="false">IF(AND(E2190&gt;0,B2190=10),1,0)</f>
        <v>0</v>
      </c>
      <c r="AB2190" s="0" t="str">
        <f aca="false">IF(AND(C2189=C2190,Y2189=Y2190-1),Z2189,"")</f>
        <v/>
      </c>
      <c r="AC2190" s="0" t="str">
        <f aca="false">IF(AND(C2189=C2190,Y2189=Y2190-1),AA2189,"")</f>
        <v/>
      </c>
      <c r="AD2190" s="0" t="str">
        <f aca="false">IF(Y2190=1,"",IF(AND(Z2190=1,AB2190&lt;&gt;1),1,0))</f>
        <v/>
      </c>
      <c r="AE2190" s="0" t="str">
        <f aca="false">IF(Y2190=1,"",IF(AND(AA2190=1,AC2190&lt;&gt;1),1,0))</f>
        <v/>
      </c>
      <c r="AF2190" s="45" t="str">
        <f aca="false">IF(AND(E2190&gt;0,Y2190&lt;1,NOT(AND(C2191=C2190,Y2191=Y2190+1))),INDEX(DATAS,Y2190+1),"")</f>
        <v/>
      </c>
      <c r="AG2190" s="45" t="str">
        <f aca="false">IF(AND(AA2190=1,Y2190&lt;1),IF(AND(C2191=C2190,Y2191=Y2190+1),IF(AA2191=1,"",INDEX(DATAS,Y2190+1)),INDEX(DATAS,Y2190+1)),"")</f>
        <v/>
      </c>
    </row>
    <row r="2191" customFormat="false" ht="15" hidden="false" customHeight="false" outlineLevel="0" collapsed="false">
      <c r="A2191" s="45" t="n">
        <v>46309</v>
      </c>
      <c r="B2191" s="0" t="n">
        <v>8</v>
      </c>
      <c r="C2191" s="0" t="n">
        <v>6475</v>
      </c>
      <c r="E2191" s="0" t="n">
        <v>0</v>
      </c>
      <c r="F2191" s="39" t="s">
        <v>1170</v>
      </c>
      <c r="I2191" s="39" t="s">
        <v>109</v>
      </c>
      <c r="L2191" s="0" t="n">
        <v>153</v>
      </c>
      <c r="U2191" s="0" t="n">
        <v>545</v>
      </c>
      <c r="V2191" s="0" t="n">
        <v>1</v>
      </c>
      <c r="W2191" s="39" t="n">
        <f aca="false">IF(I2191="Male",0,1)</f>
        <v>1</v>
      </c>
      <c r="X2191" s="39" t="n">
        <f aca="false">IF(OR(I2191="DNB",I2191="Dry DNB"),1,0)</f>
        <v>0</v>
      </c>
      <c r="Y2191" s="39" t="n">
        <f aca="false">MATCH(A2191,DATAS,0)</f>
        <v>1</v>
      </c>
      <c r="Z2191" s="39" t="n">
        <f aca="false">IF(AND(E2191&gt;0,OR(AND(B2191&gt;=1,B2191&lt;=6),B2191=10)),1,0)</f>
        <v>0</v>
      </c>
      <c r="AA2191" s="39" t="n">
        <f aca="false">IF(AND(E2191&gt;0,B2191=10),1,0)</f>
        <v>0</v>
      </c>
      <c r="AB2191" s="0" t="str">
        <f aca="false">IF(AND(C2190=C2191,Y2190=Y2191-1),Z2190,"")</f>
        <v/>
      </c>
      <c r="AC2191" s="0" t="str">
        <f aca="false">IF(AND(C2190=C2191,Y2190=Y2191-1),AA2190,"")</f>
        <v/>
      </c>
      <c r="AD2191" s="0" t="str">
        <f aca="false">IF(Y2191=1,"",IF(AND(Z2191=1,AB2191&lt;&gt;1),1,0))</f>
        <v/>
      </c>
      <c r="AE2191" s="0" t="str">
        <f aca="false">IF(Y2191=1,"",IF(AND(AA2191=1,AC2191&lt;&gt;1),1,0))</f>
        <v/>
      </c>
      <c r="AF2191" s="45" t="str">
        <f aca="false">IF(AND(E2191&gt;0,Y2191&lt;1,NOT(AND(C2192=C2191,Y2192=Y2191+1))),INDEX(DATAS,Y2191+1),"")</f>
        <v/>
      </c>
      <c r="AG2191" s="45" t="str">
        <f aca="false">IF(AND(AA2191=1,Y2191&lt;1),IF(AND(C2192=C2191,Y2192=Y2191+1),IF(AA2192=1,"",INDEX(DATAS,Y2191+1)),INDEX(DATAS,Y2191+1)),"")</f>
        <v/>
      </c>
    </row>
    <row r="2192" customFormat="false" ht="15" hidden="false" customHeight="false" outlineLevel="0" collapsed="false">
      <c r="A2192" s="45" t="n">
        <v>46309</v>
      </c>
      <c r="B2192" s="0" t="n">
        <v>8</v>
      </c>
      <c r="C2192" s="0" t="n">
        <v>6476</v>
      </c>
      <c r="E2192" s="0" t="n">
        <v>0</v>
      </c>
      <c r="F2192" s="39" t="s">
        <v>1170</v>
      </c>
      <c r="I2192" s="39" t="s">
        <v>109</v>
      </c>
      <c r="L2192" s="0" t="n">
        <v>79</v>
      </c>
      <c r="U2192" s="0" t="n">
        <v>545</v>
      </c>
      <c r="V2192" s="0" t="n">
        <v>3</v>
      </c>
      <c r="W2192" s="39" t="n">
        <f aca="false">IF(I2192="Male",0,1)</f>
        <v>1</v>
      </c>
      <c r="X2192" s="39" t="n">
        <f aca="false">IF(OR(I2192="DNB",I2192="Dry DNB"),1,0)</f>
        <v>0</v>
      </c>
      <c r="Y2192" s="39" t="n">
        <f aca="false">MATCH(A2192,DATAS,0)</f>
        <v>1</v>
      </c>
      <c r="Z2192" s="39" t="n">
        <f aca="false">IF(AND(E2192&gt;0,OR(AND(B2192&gt;=1,B2192&lt;=6),B2192=10)),1,0)</f>
        <v>0</v>
      </c>
      <c r="AA2192" s="39" t="n">
        <f aca="false">IF(AND(E2192&gt;0,B2192=10),1,0)</f>
        <v>0</v>
      </c>
      <c r="AB2192" s="0" t="str">
        <f aca="false">IF(AND(C2191=C2192,Y2191=Y2192-1),Z2191,"")</f>
        <v/>
      </c>
      <c r="AC2192" s="0" t="str">
        <f aca="false">IF(AND(C2191=C2192,Y2191=Y2192-1),AA2191,"")</f>
        <v/>
      </c>
      <c r="AD2192" s="0" t="str">
        <f aca="false">IF(Y2192=1,"",IF(AND(Z2192=1,AB2192&lt;&gt;1),1,0))</f>
        <v/>
      </c>
      <c r="AE2192" s="0" t="str">
        <f aca="false">IF(Y2192=1,"",IF(AND(AA2192=1,AC2192&lt;&gt;1),1,0))</f>
        <v/>
      </c>
      <c r="AF2192" s="45" t="str">
        <f aca="false">IF(AND(E2192&gt;0,Y2192&lt;1,NOT(AND(C2193=C2192,Y2193=Y2192+1))),INDEX(DATAS,Y2192+1),"")</f>
        <v/>
      </c>
      <c r="AG2192" s="45" t="str">
        <f aca="false">IF(AND(AA2192=1,Y2192&lt;1),IF(AND(C2193=C2192,Y2193=Y2192+1),IF(AA2193=1,"",INDEX(DATAS,Y2192+1)),INDEX(DATAS,Y2192+1)),"")</f>
        <v/>
      </c>
    </row>
    <row r="2193" customFormat="false" ht="15" hidden="false" customHeight="false" outlineLevel="0" collapsed="false">
      <c r="A2193" s="45" t="n">
        <v>46309</v>
      </c>
      <c r="B2193" s="0" t="n">
        <v>8</v>
      </c>
      <c r="C2193" s="0" t="n">
        <v>6477</v>
      </c>
      <c r="E2193" s="0" t="n">
        <v>0</v>
      </c>
      <c r="F2193" s="39" t="s">
        <v>1170</v>
      </c>
      <c r="I2193" s="39" t="s">
        <v>109</v>
      </c>
      <c r="L2193" s="0" t="n">
        <v>146</v>
      </c>
      <c r="U2193" s="0" t="n">
        <v>545</v>
      </c>
      <c r="V2193" s="0" t="n">
        <v>1</v>
      </c>
      <c r="W2193" s="39" t="n">
        <f aca="false">IF(I2193="Male",0,1)</f>
        <v>1</v>
      </c>
      <c r="X2193" s="39" t="n">
        <f aca="false">IF(OR(I2193="DNB",I2193="Dry DNB"),1,0)</f>
        <v>0</v>
      </c>
      <c r="Y2193" s="39" t="n">
        <f aca="false">MATCH(A2193,DATAS,0)</f>
        <v>1</v>
      </c>
      <c r="Z2193" s="39" t="n">
        <f aca="false">IF(AND(E2193&gt;0,OR(AND(B2193&gt;=1,B2193&lt;=6),B2193=10)),1,0)</f>
        <v>0</v>
      </c>
      <c r="AA2193" s="39" t="n">
        <f aca="false">IF(AND(E2193&gt;0,B2193=10),1,0)</f>
        <v>0</v>
      </c>
      <c r="AB2193" s="0" t="str">
        <f aca="false">IF(AND(C2192=C2193,Y2192=Y2193-1),Z2192,"")</f>
        <v/>
      </c>
      <c r="AC2193" s="0" t="str">
        <f aca="false">IF(AND(C2192=C2193,Y2192=Y2193-1),AA2192,"")</f>
        <v/>
      </c>
      <c r="AD2193" s="0" t="str">
        <f aca="false">IF(Y2193=1,"",IF(AND(Z2193=1,AB2193&lt;&gt;1),1,0))</f>
        <v/>
      </c>
      <c r="AE2193" s="0" t="str">
        <f aca="false">IF(Y2193=1,"",IF(AND(AA2193=1,AC2193&lt;&gt;1),1,0))</f>
        <v/>
      </c>
      <c r="AF2193" s="45" t="str">
        <f aca="false">IF(AND(E2193&gt;0,Y2193&lt;1,NOT(AND(C2194=C2193,Y2194=Y2193+1))),INDEX(DATAS,Y2193+1),"")</f>
        <v/>
      </c>
      <c r="AG2193" s="45" t="str">
        <f aca="false">IF(AND(AA2193=1,Y2193&lt;1),IF(AND(C2194=C2193,Y2194=Y2193+1),IF(AA2194=1,"",INDEX(DATAS,Y2193+1)),INDEX(DATAS,Y2193+1)),"")</f>
        <v/>
      </c>
    </row>
    <row r="2194" customFormat="false" ht="15" hidden="false" customHeight="false" outlineLevel="0" collapsed="false">
      <c r="A2194" s="45" t="n">
        <v>46309</v>
      </c>
      <c r="B2194" s="0" t="n">
        <v>8</v>
      </c>
      <c r="C2194" s="0" t="n">
        <v>6478</v>
      </c>
      <c r="E2194" s="0" t="n">
        <v>0</v>
      </c>
      <c r="F2194" s="39" t="s">
        <v>1171</v>
      </c>
      <c r="I2194" s="39" t="s">
        <v>109</v>
      </c>
      <c r="L2194" s="0" t="n">
        <v>140</v>
      </c>
      <c r="U2194" s="0" t="n">
        <v>544</v>
      </c>
      <c r="V2194" s="0" t="n">
        <v>1</v>
      </c>
      <c r="W2194" s="39" t="n">
        <f aca="false">IF(I2194="Male",0,1)</f>
        <v>1</v>
      </c>
      <c r="X2194" s="39" t="n">
        <f aca="false">IF(OR(I2194="DNB",I2194="Dry DNB"),1,0)</f>
        <v>0</v>
      </c>
      <c r="Y2194" s="39" t="n">
        <f aca="false">MATCH(A2194,DATAS,0)</f>
        <v>1</v>
      </c>
      <c r="Z2194" s="39" t="n">
        <f aca="false">IF(AND(E2194&gt;0,OR(AND(B2194&gt;=1,B2194&lt;=6),B2194=10)),1,0)</f>
        <v>0</v>
      </c>
      <c r="AA2194" s="39" t="n">
        <f aca="false">IF(AND(E2194&gt;0,B2194=10),1,0)</f>
        <v>0</v>
      </c>
      <c r="AB2194" s="0" t="str">
        <f aca="false">IF(AND(C2193=C2194,Y2193=Y2194-1),Z2193,"")</f>
        <v/>
      </c>
      <c r="AC2194" s="0" t="str">
        <f aca="false">IF(AND(C2193=C2194,Y2193=Y2194-1),AA2193,"")</f>
        <v/>
      </c>
      <c r="AD2194" s="0" t="str">
        <f aca="false">IF(Y2194=1,"",IF(AND(Z2194=1,AB2194&lt;&gt;1),1,0))</f>
        <v/>
      </c>
      <c r="AE2194" s="0" t="str">
        <f aca="false">IF(Y2194=1,"",IF(AND(AA2194=1,AC2194&lt;&gt;1),1,0))</f>
        <v/>
      </c>
      <c r="AF2194" s="45" t="str">
        <f aca="false">IF(AND(E2194&gt;0,Y2194&lt;1,NOT(AND(C2195=C2194,Y2195=Y2194+1))),INDEX(DATAS,Y2194+1),"")</f>
        <v/>
      </c>
      <c r="AG2194" s="45" t="str">
        <f aca="false">IF(AND(AA2194=1,Y2194&lt;1),IF(AND(C2195=C2194,Y2195=Y2194+1),IF(AA2195=1,"",INDEX(DATAS,Y2194+1)),INDEX(DATAS,Y2194+1)),"")</f>
        <v/>
      </c>
    </row>
    <row r="2195" customFormat="false" ht="15" hidden="false" customHeight="false" outlineLevel="0" collapsed="false">
      <c r="A2195" s="45" t="n">
        <v>46309</v>
      </c>
      <c r="B2195" s="0" t="n">
        <v>8</v>
      </c>
      <c r="C2195" s="0" t="n">
        <v>6479</v>
      </c>
      <c r="E2195" s="0" t="n">
        <v>0</v>
      </c>
      <c r="F2195" s="39" t="s">
        <v>1171</v>
      </c>
      <c r="I2195" s="39" t="s">
        <v>109</v>
      </c>
      <c r="L2195" s="0" t="n">
        <v>77</v>
      </c>
      <c r="U2195" s="0" t="n">
        <v>544</v>
      </c>
      <c r="V2195" s="0" t="n">
        <v>1</v>
      </c>
      <c r="W2195" s="39" t="n">
        <f aca="false">IF(I2195="Male",0,1)</f>
        <v>1</v>
      </c>
      <c r="X2195" s="39" t="n">
        <f aca="false">IF(OR(I2195="DNB",I2195="Dry DNB"),1,0)</f>
        <v>0</v>
      </c>
      <c r="Y2195" s="39" t="n">
        <f aca="false">MATCH(A2195,DATAS,0)</f>
        <v>1</v>
      </c>
      <c r="Z2195" s="39" t="n">
        <f aca="false">IF(AND(E2195&gt;0,OR(AND(B2195&gt;=1,B2195&lt;=6),B2195=10)),1,0)</f>
        <v>0</v>
      </c>
      <c r="AA2195" s="39" t="n">
        <f aca="false">IF(AND(E2195&gt;0,B2195=10),1,0)</f>
        <v>0</v>
      </c>
      <c r="AB2195" s="0" t="str">
        <f aca="false">IF(AND(C2194=C2195,Y2194=Y2195-1),Z2194,"")</f>
        <v/>
      </c>
      <c r="AC2195" s="0" t="str">
        <f aca="false">IF(AND(C2194=C2195,Y2194=Y2195-1),AA2194,"")</f>
        <v/>
      </c>
      <c r="AD2195" s="0" t="str">
        <f aca="false">IF(Y2195=1,"",IF(AND(Z2195=1,AB2195&lt;&gt;1),1,0))</f>
        <v/>
      </c>
      <c r="AE2195" s="0" t="str">
        <f aca="false">IF(Y2195=1,"",IF(AND(AA2195=1,AC2195&lt;&gt;1),1,0))</f>
        <v/>
      </c>
      <c r="AF2195" s="45" t="str">
        <f aca="false">IF(AND(E2195&gt;0,Y2195&lt;1,NOT(AND(C2196=C2195,Y2196=Y2195+1))),INDEX(DATAS,Y2195+1),"")</f>
        <v/>
      </c>
      <c r="AG2195" s="45" t="str">
        <f aca="false">IF(AND(AA2195=1,Y2195&lt;1),IF(AND(C2196=C2195,Y2196=Y2195+1),IF(AA2196=1,"",INDEX(DATAS,Y2195+1)),INDEX(DATAS,Y2195+1)),"")</f>
        <v/>
      </c>
    </row>
    <row r="2196" customFormat="false" ht="15" hidden="false" customHeight="false" outlineLevel="0" collapsed="false">
      <c r="A2196" s="45" t="n">
        <v>46309</v>
      </c>
      <c r="B2196" s="0" t="n">
        <v>8</v>
      </c>
      <c r="C2196" s="0" t="n">
        <v>6480</v>
      </c>
      <c r="E2196" s="0" t="n">
        <v>0</v>
      </c>
      <c r="F2196" s="39" t="s">
        <v>1171</v>
      </c>
      <c r="I2196" s="39" t="s">
        <v>109</v>
      </c>
      <c r="L2196" s="0" t="n">
        <v>133</v>
      </c>
      <c r="U2196" s="0" t="n">
        <v>544</v>
      </c>
      <c r="V2196" s="0" t="n">
        <v>1</v>
      </c>
      <c r="W2196" s="39" t="n">
        <f aca="false">IF(I2196="Male",0,1)</f>
        <v>1</v>
      </c>
      <c r="X2196" s="39" t="n">
        <f aca="false">IF(OR(I2196="DNB",I2196="Dry DNB"),1,0)</f>
        <v>0</v>
      </c>
      <c r="Y2196" s="39" t="n">
        <f aca="false">MATCH(A2196,DATAS,0)</f>
        <v>1</v>
      </c>
      <c r="Z2196" s="39" t="n">
        <f aca="false">IF(AND(E2196&gt;0,OR(AND(B2196&gt;=1,B2196&lt;=6),B2196=10)),1,0)</f>
        <v>0</v>
      </c>
      <c r="AA2196" s="39" t="n">
        <f aca="false">IF(AND(E2196&gt;0,B2196=10),1,0)</f>
        <v>0</v>
      </c>
      <c r="AB2196" s="0" t="str">
        <f aca="false">IF(AND(C2195=C2196,Y2195=Y2196-1),Z2195,"")</f>
        <v/>
      </c>
      <c r="AC2196" s="0" t="str">
        <f aca="false">IF(AND(C2195=C2196,Y2195=Y2196-1),AA2195,"")</f>
        <v/>
      </c>
      <c r="AD2196" s="0" t="str">
        <f aca="false">IF(Y2196=1,"",IF(AND(Z2196=1,AB2196&lt;&gt;1),1,0))</f>
        <v/>
      </c>
      <c r="AE2196" s="0" t="str">
        <f aca="false">IF(Y2196=1,"",IF(AND(AA2196=1,AC2196&lt;&gt;1),1,0))</f>
        <v/>
      </c>
      <c r="AF2196" s="45" t="str">
        <f aca="false">IF(AND(E2196&gt;0,Y2196&lt;1,NOT(AND(C2197=C2196,Y2197=Y2196+1))),INDEX(DATAS,Y2196+1),"")</f>
        <v/>
      </c>
      <c r="AG2196" s="45" t="str">
        <f aca="false">IF(AND(AA2196=1,Y2196&lt;1),IF(AND(C2197=C2196,Y2197=Y2196+1),IF(AA2197=1,"",INDEX(DATAS,Y2196+1)),INDEX(DATAS,Y2196+1)),"")</f>
        <v/>
      </c>
    </row>
    <row r="2197" customFormat="false" ht="15" hidden="false" customHeight="false" outlineLevel="0" collapsed="false">
      <c r="A2197" s="45" t="n">
        <v>46309</v>
      </c>
      <c r="B2197" s="0" t="n">
        <v>8</v>
      </c>
      <c r="C2197" s="0" t="n">
        <v>6481</v>
      </c>
      <c r="E2197" s="0" t="n">
        <v>0</v>
      </c>
      <c r="F2197" s="39" t="s">
        <v>1171</v>
      </c>
      <c r="I2197" s="39" t="s">
        <v>109</v>
      </c>
      <c r="L2197" s="0" t="n">
        <v>143</v>
      </c>
      <c r="U2197" s="0" t="n">
        <v>544</v>
      </c>
      <c r="V2197" s="0" t="n">
        <v>1</v>
      </c>
      <c r="W2197" s="39" t="n">
        <f aca="false">IF(I2197="Male",0,1)</f>
        <v>1</v>
      </c>
      <c r="X2197" s="39" t="n">
        <f aca="false">IF(OR(I2197="DNB",I2197="Dry DNB"),1,0)</f>
        <v>0</v>
      </c>
      <c r="Y2197" s="39" t="n">
        <f aca="false">MATCH(A2197,DATAS,0)</f>
        <v>1</v>
      </c>
      <c r="Z2197" s="39" t="n">
        <f aca="false">IF(AND(E2197&gt;0,OR(AND(B2197&gt;=1,B2197&lt;=6),B2197=10)),1,0)</f>
        <v>0</v>
      </c>
      <c r="AA2197" s="39" t="n">
        <f aca="false">IF(AND(E2197&gt;0,B2197=10),1,0)</f>
        <v>0</v>
      </c>
      <c r="AB2197" s="0" t="str">
        <f aca="false">IF(AND(C2196=C2197,Y2196=Y2197-1),Z2196,"")</f>
        <v/>
      </c>
      <c r="AC2197" s="0" t="str">
        <f aca="false">IF(AND(C2196=C2197,Y2196=Y2197-1),AA2196,"")</f>
        <v/>
      </c>
      <c r="AD2197" s="0" t="str">
        <f aca="false">IF(Y2197=1,"",IF(AND(Z2197=1,AB2197&lt;&gt;1),1,0))</f>
        <v/>
      </c>
      <c r="AE2197" s="0" t="str">
        <f aca="false">IF(Y2197=1,"",IF(AND(AA2197=1,AC2197&lt;&gt;1),1,0))</f>
        <v/>
      </c>
      <c r="AF2197" s="45" t="str">
        <f aca="false">IF(AND(E2197&gt;0,Y2197&lt;1,NOT(AND(C2198=C2197,Y2198=Y2197+1))),INDEX(DATAS,Y2197+1),"")</f>
        <v/>
      </c>
      <c r="AG2197" s="45" t="str">
        <f aca="false">IF(AND(AA2197=1,Y2197&lt;1),IF(AND(C2198=C2197,Y2198=Y2197+1),IF(AA2198=1,"",INDEX(DATAS,Y2197+1)),INDEX(DATAS,Y2197+1)),"")</f>
        <v/>
      </c>
    </row>
    <row r="2198" customFormat="false" ht="15" hidden="false" customHeight="false" outlineLevel="0" collapsed="false">
      <c r="A2198" s="45" t="n">
        <v>46309</v>
      </c>
      <c r="B2198" s="0" t="n">
        <v>8</v>
      </c>
      <c r="C2198" s="0" t="n">
        <v>6482</v>
      </c>
      <c r="E2198" s="0" t="n">
        <v>0</v>
      </c>
      <c r="F2198" s="39" t="s">
        <v>1171</v>
      </c>
      <c r="I2198" s="39" t="s">
        <v>109</v>
      </c>
      <c r="L2198" s="0" t="n">
        <v>143</v>
      </c>
      <c r="U2198" s="0" t="n">
        <v>544</v>
      </c>
      <c r="V2198" s="0" t="n">
        <v>1</v>
      </c>
      <c r="W2198" s="39" t="n">
        <f aca="false">IF(I2198="Male",0,1)</f>
        <v>1</v>
      </c>
      <c r="X2198" s="39" t="n">
        <f aca="false">IF(OR(I2198="DNB",I2198="Dry DNB"),1,0)</f>
        <v>0</v>
      </c>
      <c r="Y2198" s="39" t="n">
        <f aca="false">MATCH(A2198,DATAS,0)</f>
        <v>1</v>
      </c>
      <c r="Z2198" s="39" t="n">
        <f aca="false">IF(AND(E2198&gt;0,OR(AND(B2198&gt;=1,B2198&lt;=6),B2198=10)),1,0)</f>
        <v>0</v>
      </c>
      <c r="AA2198" s="39" t="n">
        <f aca="false">IF(AND(E2198&gt;0,B2198=10),1,0)</f>
        <v>0</v>
      </c>
      <c r="AB2198" s="0" t="str">
        <f aca="false">IF(AND(C2197=C2198,Y2197=Y2198-1),Z2197,"")</f>
        <v/>
      </c>
      <c r="AC2198" s="0" t="str">
        <f aca="false">IF(AND(C2197=C2198,Y2197=Y2198-1),AA2197,"")</f>
        <v/>
      </c>
      <c r="AD2198" s="0" t="str">
        <f aca="false">IF(Y2198=1,"",IF(AND(Z2198=1,AB2198&lt;&gt;1),1,0))</f>
        <v/>
      </c>
      <c r="AE2198" s="0" t="str">
        <f aca="false">IF(Y2198=1,"",IF(AND(AA2198=1,AC2198&lt;&gt;1),1,0))</f>
        <v/>
      </c>
      <c r="AF2198" s="45" t="str">
        <f aca="false">IF(AND(E2198&gt;0,Y2198&lt;1,NOT(AND(C2199=C2198,Y2199=Y2198+1))),INDEX(DATAS,Y2198+1),"")</f>
        <v/>
      </c>
      <c r="AG2198" s="45" t="str">
        <f aca="false">IF(AND(AA2198=1,Y2198&lt;1),IF(AND(C2199=C2198,Y2199=Y2198+1),IF(AA2199=1,"",INDEX(DATAS,Y2198+1)),INDEX(DATAS,Y2198+1)),"")</f>
        <v/>
      </c>
    </row>
    <row r="2199" customFormat="false" ht="15" hidden="false" customHeight="false" outlineLevel="0" collapsed="false">
      <c r="A2199" s="45" t="n">
        <v>46309</v>
      </c>
      <c r="B2199" s="0" t="n">
        <v>8</v>
      </c>
      <c r="C2199" s="0" t="n">
        <v>6483</v>
      </c>
      <c r="E2199" s="0" t="n">
        <v>0</v>
      </c>
      <c r="F2199" s="39" t="s">
        <v>1172</v>
      </c>
      <c r="I2199" s="39" t="s">
        <v>109</v>
      </c>
      <c r="L2199" s="0" t="n">
        <v>55</v>
      </c>
      <c r="U2199" s="0" t="n">
        <v>543</v>
      </c>
      <c r="V2199" s="0" t="n">
        <v>3</v>
      </c>
      <c r="W2199" s="39" t="n">
        <f aca="false">IF(I2199="Male",0,1)</f>
        <v>1</v>
      </c>
      <c r="X2199" s="39" t="n">
        <f aca="false">IF(OR(I2199="DNB",I2199="Dry DNB"),1,0)</f>
        <v>0</v>
      </c>
      <c r="Y2199" s="39" t="n">
        <f aca="false">MATCH(A2199,DATAS,0)</f>
        <v>1</v>
      </c>
      <c r="Z2199" s="39" t="n">
        <f aca="false">IF(AND(E2199&gt;0,OR(AND(B2199&gt;=1,B2199&lt;=6),B2199=10)),1,0)</f>
        <v>0</v>
      </c>
      <c r="AA2199" s="39" t="n">
        <f aca="false">IF(AND(E2199&gt;0,B2199=10),1,0)</f>
        <v>0</v>
      </c>
      <c r="AB2199" s="0" t="str">
        <f aca="false">IF(AND(C2198=C2199,Y2198=Y2199-1),Z2198,"")</f>
        <v/>
      </c>
      <c r="AC2199" s="0" t="str">
        <f aca="false">IF(AND(C2198=C2199,Y2198=Y2199-1),AA2198,"")</f>
        <v/>
      </c>
      <c r="AD2199" s="0" t="str">
        <f aca="false">IF(Y2199=1,"",IF(AND(Z2199=1,AB2199&lt;&gt;1),1,0))</f>
        <v/>
      </c>
      <c r="AE2199" s="0" t="str">
        <f aca="false">IF(Y2199=1,"",IF(AND(AA2199=1,AC2199&lt;&gt;1),1,0))</f>
        <v/>
      </c>
      <c r="AF2199" s="45" t="str">
        <f aca="false">IF(AND(E2199&gt;0,Y2199&lt;1,NOT(AND(C2200=C2199,Y2200=Y2199+1))),INDEX(DATAS,Y2199+1),"")</f>
        <v/>
      </c>
      <c r="AG2199" s="45" t="str">
        <f aca="false">IF(AND(AA2199=1,Y2199&lt;1),IF(AND(C2200=C2199,Y2200=Y2199+1),IF(AA2200=1,"",INDEX(DATAS,Y2199+1)),INDEX(DATAS,Y2199+1)),"")</f>
        <v/>
      </c>
    </row>
    <row r="2200" customFormat="false" ht="15" hidden="false" customHeight="false" outlineLevel="0" collapsed="false">
      <c r="A2200" s="45" t="n">
        <v>46309</v>
      </c>
      <c r="B2200" s="0" t="n">
        <v>8</v>
      </c>
      <c r="C2200" s="0" t="n">
        <v>6484</v>
      </c>
      <c r="E2200" s="0" t="n">
        <v>0</v>
      </c>
      <c r="F2200" s="39" t="s">
        <v>1172</v>
      </c>
      <c r="I2200" s="39" t="s">
        <v>109</v>
      </c>
      <c r="L2200" s="0" t="n">
        <v>149</v>
      </c>
      <c r="U2200" s="0" t="n">
        <v>543</v>
      </c>
      <c r="V2200" s="0" t="n">
        <v>1</v>
      </c>
      <c r="W2200" s="39" t="n">
        <f aca="false">IF(I2200="Male",0,1)</f>
        <v>1</v>
      </c>
      <c r="X2200" s="39" t="n">
        <f aca="false">IF(OR(I2200="DNB",I2200="Dry DNB"),1,0)</f>
        <v>0</v>
      </c>
      <c r="Y2200" s="39" t="n">
        <f aca="false">MATCH(A2200,DATAS,0)</f>
        <v>1</v>
      </c>
      <c r="Z2200" s="39" t="n">
        <f aca="false">IF(AND(E2200&gt;0,OR(AND(B2200&gt;=1,B2200&lt;=6),B2200=10)),1,0)</f>
        <v>0</v>
      </c>
      <c r="AA2200" s="39" t="n">
        <f aca="false">IF(AND(E2200&gt;0,B2200=10),1,0)</f>
        <v>0</v>
      </c>
      <c r="AB2200" s="0" t="str">
        <f aca="false">IF(AND(C2199=C2200,Y2199=Y2200-1),Z2199,"")</f>
        <v/>
      </c>
      <c r="AC2200" s="0" t="str">
        <f aca="false">IF(AND(C2199=C2200,Y2199=Y2200-1),AA2199,"")</f>
        <v/>
      </c>
      <c r="AD2200" s="0" t="str">
        <f aca="false">IF(Y2200=1,"",IF(AND(Z2200=1,AB2200&lt;&gt;1),1,0))</f>
        <v/>
      </c>
      <c r="AE2200" s="0" t="str">
        <f aca="false">IF(Y2200=1,"",IF(AND(AA2200=1,AC2200&lt;&gt;1),1,0))</f>
        <v/>
      </c>
      <c r="AF2200" s="45" t="str">
        <f aca="false">IF(AND(E2200&gt;0,Y2200&lt;1,NOT(AND(C2201=C2200,Y2201=Y2200+1))),INDEX(DATAS,Y2200+1),"")</f>
        <v/>
      </c>
      <c r="AG2200" s="45" t="str">
        <f aca="false">IF(AND(AA2200=1,Y2200&lt;1),IF(AND(C2201=C2200,Y2201=Y2200+1),IF(AA2201=1,"",INDEX(DATAS,Y2200+1)),INDEX(DATAS,Y2200+1)),"")</f>
        <v/>
      </c>
    </row>
    <row r="2201" customFormat="false" ht="15" hidden="false" customHeight="false" outlineLevel="0" collapsed="false">
      <c r="A2201" s="45" t="n">
        <v>46309</v>
      </c>
      <c r="B2201" s="0" t="n">
        <v>8</v>
      </c>
      <c r="C2201" s="0" t="n">
        <v>6485</v>
      </c>
      <c r="E2201" s="0" t="n">
        <v>0</v>
      </c>
      <c r="F2201" s="39" t="s">
        <v>1173</v>
      </c>
      <c r="I2201" s="39" t="s">
        <v>109</v>
      </c>
      <c r="L2201" s="0" t="n">
        <v>61</v>
      </c>
      <c r="U2201" s="0" t="n">
        <v>542</v>
      </c>
      <c r="V2201" s="0" t="n">
        <v>4</v>
      </c>
      <c r="W2201" s="39" t="n">
        <f aca="false">IF(I2201="Male",0,1)</f>
        <v>1</v>
      </c>
      <c r="X2201" s="39" t="n">
        <f aca="false">IF(OR(I2201="DNB",I2201="Dry DNB"),1,0)</f>
        <v>0</v>
      </c>
      <c r="Y2201" s="39" t="n">
        <f aca="false">MATCH(A2201,DATAS,0)</f>
        <v>1</v>
      </c>
      <c r="Z2201" s="39" t="n">
        <f aca="false">IF(AND(E2201&gt;0,OR(AND(B2201&gt;=1,B2201&lt;=6),B2201=10)),1,0)</f>
        <v>0</v>
      </c>
      <c r="AA2201" s="39" t="n">
        <f aca="false">IF(AND(E2201&gt;0,B2201=10),1,0)</f>
        <v>0</v>
      </c>
      <c r="AB2201" s="0" t="str">
        <f aca="false">IF(AND(C2200=C2201,Y2200=Y2201-1),Z2200,"")</f>
        <v/>
      </c>
      <c r="AC2201" s="0" t="str">
        <f aca="false">IF(AND(C2200=C2201,Y2200=Y2201-1),AA2200,"")</f>
        <v/>
      </c>
      <c r="AD2201" s="0" t="str">
        <f aca="false">IF(Y2201=1,"",IF(AND(Z2201=1,AB2201&lt;&gt;1),1,0))</f>
        <v/>
      </c>
      <c r="AE2201" s="0" t="str">
        <f aca="false">IF(Y2201=1,"",IF(AND(AA2201=1,AC2201&lt;&gt;1),1,0))</f>
        <v/>
      </c>
      <c r="AF2201" s="45" t="str">
        <f aca="false">IF(AND(E2201&gt;0,Y2201&lt;1,NOT(AND(C2202=C2201,Y2202=Y2201+1))),INDEX(DATAS,Y2201+1),"")</f>
        <v/>
      </c>
      <c r="AG2201" s="45" t="str">
        <f aca="false">IF(AND(AA2201=1,Y2201&lt;1),IF(AND(C2202=C2201,Y2202=Y2201+1),IF(AA2202=1,"",INDEX(DATAS,Y2201+1)),INDEX(DATAS,Y2201+1)),"")</f>
        <v/>
      </c>
    </row>
    <row r="2202" customFormat="false" ht="15" hidden="false" customHeight="false" outlineLevel="0" collapsed="false">
      <c r="A2202" s="45" t="n">
        <v>46309</v>
      </c>
      <c r="B2202" s="0" t="n">
        <v>8</v>
      </c>
      <c r="C2202" s="0" t="n">
        <v>6486</v>
      </c>
      <c r="E2202" s="0" t="n">
        <v>0</v>
      </c>
      <c r="F2202" s="39" t="s">
        <v>1173</v>
      </c>
      <c r="I2202" s="39" t="s">
        <v>109</v>
      </c>
      <c r="L2202" s="0" t="n">
        <v>145</v>
      </c>
      <c r="U2202" s="0" t="n">
        <v>542</v>
      </c>
      <c r="V2202" s="0" t="n">
        <v>1</v>
      </c>
      <c r="W2202" s="39" t="n">
        <f aca="false">IF(I2202="Male",0,1)</f>
        <v>1</v>
      </c>
      <c r="X2202" s="39" t="n">
        <f aca="false">IF(OR(I2202="DNB",I2202="Dry DNB"),1,0)</f>
        <v>0</v>
      </c>
      <c r="Y2202" s="39" t="n">
        <f aca="false">MATCH(A2202,DATAS,0)</f>
        <v>1</v>
      </c>
      <c r="Z2202" s="39" t="n">
        <f aca="false">IF(AND(E2202&gt;0,OR(AND(B2202&gt;=1,B2202&lt;=6),B2202=10)),1,0)</f>
        <v>0</v>
      </c>
      <c r="AA2202" s="39" t="n">
        <f aca="false">IF(AND(E2202&gt;0,B2202=10),1,0)</f>
        <v>0</v>
      </c>
      <c r="AB2202" s="0" t="str">
        <f aca="false">IF(AND(C2201=C2202,Y2201=Y2202-1),Z2201,"")</f>
        <v/>
      </c>
      <c r="AC2202" s="0" t="str">
        <f aca="false">IF(AND(C2201=C2202,Y2201=Y2202-1),AA2201,"")</f>
        <v/>
      </c>
      <c r="AD2202" s="0" t="str">
        <f aca="false">IF(Y2202=1,"",IF(AND(Z2202=1,AB2202&lt;&gt;1),1,0))</f>
        <v/>
      </c>
      <c r="AE2202" s="0" t="str">
        <f aca="false">IF(Y2202=1,"",IF(AND(AA2202=1,AC2202&lt;&gt;1),1,0))</f>
        <v/>
      </c>
      <c r="AF2202" s="45" t="str">
        <f aca="false">IF(AND(E2202&gt;0,Y2202&lt;1,NOT(AND(C2203=C2202,Y2203=Y2202+1))),INDEX(DATAS,Y2202+1),"")</f>
        <v/>
      </c>
      <c r="AG2202" s="45" t="str">
        <f aca="false">IF(AND(AA2202=1,Y2202&lt;1),IF(AND(C2203=C2202,Y2203=Y2202+1),IF(AA2203=1,"",INDEX(DATAS,Y2202+1)),INDEX(DATAS,Y2202+1)),"")</f>
        <v/>
      </c>
    </row>
    <row r="2203" customFormat="false" ht="15" hidden="false" customHeight="false" outlineLevel="0" collapsed="false">
      <c r="A2203" s="45" t="n">
        <v>46309</v>
      </c>
      <c r="B2203" s="0" t="n">
        <v>8</v>
      </c>
      <c r="C2203" s="0" t="n">
        <v>6487</v>
      </c>
      <c r="E2203" s="0" t="n">
        <v>0</v>
      </c>
      <c r="F2203" s="39" t="s">
        <v>1173</v>
      </c>
      <c r="I2203" s="39" t="s">
        <v>109</v>
      </c>
      <c r="L2203" s="0" t="n">
        <v>118</v>
      </c>
      <c r="U2203" s="0" t="n">
        <v>542</v>
      </c>
      <c r="V2203" s="0" t="n">
        <v>2</v>
      </c>
      <c r="W2203" s="39" t="n">
        <f aca="false">IF(I2203="Male",0,1)</f>
        <v>1</v>
      </c>
      <c r="X2203" s="39" t="n">
        <f aca="false">IF(OR(I2203="DNB",I2203="Dry DNB"),1,0)</f>
        <v>0</v>
      </c>
      <c r="Y2203" s="39" t="n">
        <f aca="false">MATCH(A2203,DATAS,0)</f>
        <v>1</v>
      </c>
      <c r="Z2203" s="39" t="n">
        <f aca="false">IF(AND(E2203&gt;0,OR(AND(B2203&gt;=1,B2203&lt;=6),B2203=10)),1,0)</f>
        <v>0</v>
      </c>
      <c r="AA2203" s="39" t="n">
        <f aca="false">IF(AND(E2203&gt;0,B2203=10),1,0)</f>
        <v>0</v>
      </c>
      <c r="AB2203" s="0" t="str">
        <f aca="false">IF(AND(C2202=C2203,Y2202=Y2203-1),Z2202,"")</f>
        <v/>
      </c>
      <c r="AC2203" s="0" t="str">
        <f aca="false">IF(AND(C2202=C2203,Y2202=Y2203-1),AA2202,"")</f>
        <v/>
      </c>
      <c r="AD2203" s="0" t="str">
        <f aca="false">IF(Y2203=1,"",IF(AND(Z2203=1,AB2203&lt;&gt;1),1,0))</f>
        <v/>
      </c>
      <c r="AE2203" s="0" t="str">
        <f aca="false">IF(Y2203=1,"",IF(AND(AA2203=1,AC2203&lt;&gt;1),1,0))</f>
        <v/>
      </c>
      <c r="AF2203" s="45" t="str">
        <f aca="false">IF(AND(E2203&gt;0,Y2203&lt;1,NOT(AND(C2204=C2203,Y2204=Y2203+1))),INDEX(DATAS,Y2203+1),"")</f>
        <v/>
      </c>
      <c r="AG2203" s="45" t="str">
        <f aca="false">IF(AND(AA2203=1,Y2203&lt;1),IF(AND(C2204=C2203,Y2204=Y2203+1),IF(AA2204=1,"",INDEX(DATAS,Y2203+1)),INDEX(DATAS,Y2203+1)),"")</f>
        <v/>
      </c>
    </row>
    <row r="2204" customFormat="false" ht="15" hidden="false" customHeight="false" outlineLevel="0" collapsed="false">
      <c r="A2204" s="45" t="n">
        <v>46309</v>
      </c>
      <c r="B2204" s="0" t="n">
        <v>8</v>
      </c>
      <c r="C2204" s="0" t="n">
        <v>6488</v>
      </c>
      <c r="E2204" s="0" t="n">
        <v>0</v>
      </c>
      <c r="F2204" s="39" t="s">
        <v>1173</v>
      </c>
      <c r="I2204" s="39" t="s">
        <v>109</v>
      </c>
      <c r="L2204" s="0" t="n">
        <v>147</v>
      </c>
      <c r="U2204" s="0" t="n">
        <v>542</v>
      </c>
      <c r="V2204" s="0" t="n">
        <v>1</v>
      </c>
      <c r="W2204" s="39" t="n">
        <f aca="false">IF(I2204="Male",0,1)</f>
        <v>1</v>
      </c>
      <c r="X2204" s="39" t="n">
        <f aca="false">IF(OR(I2204="DNB",I2204="Dry DNB"),1,0)</f>
        <v>0</v>
      </c>
      <c r="Y2204" s="39" t="n">
        <f aca="false">MATCH(A2204,DATAS,0)</f>
        <v>1</v>
      </c>
      <c r="Z2204" s="39" t="n">
        <f aca="false">IF(AND(E2204&gt;0,OR(AND(B2204&gt;=1,B2204&lt;=6),B2204=10)),1,0)</f>
        <v>0</v>
      </c>
      <c r="AA2204" s="39" t="n">
        <f aca="false">IF(AND(E2204&gt;0,B2204=10),1,0)</f>
        <v>0</v>
      </c>
      <c r="AB2204" s="0" t="str">
        <f aca="false">IF(AND(C2203=C2204,Y2203=Y2204-1),Z2203,"")</f>
        <v/>
      </c>
      <c r="AC2204" s="0" t="str">
        <f aca="false">IF(AND(C2203=C2204,Y2203=Y2204-1),AA2203,"")</f>
        <v/>
      </c>
      <c r="AD2204" s="0" t="str">
        <f aca="false">IF(Y2204=1,"",IF(AND(Z2204=1,AB2204&lt;&gt;1),1,0))</f>
        <v/>
      </c>
      <c r="AE2204" s="0" t="str">
        <f aca="false">IF(Y2204=1,"",IF(AND(AA2204=1,AC2204&lt;&gt;1),1,0))</f>
        <v/>
      </c>
      <c r="AF2204" s="45" t="str">
        <f aca="false">IF(AND(E2204&gt;0,Y2204&lt;1,NOT(AND(C2205=C2204,Y2205=Y2204+1))),INDEX(DATAS,Y2204+1),"")</f>
        <v/>
      </c>
      <c r="AG2204" s="45" t="str">
        <f aca="false">IF(AND(AA2204=1,Y2204&lt;1),IF(AND(C2205=C2204,Y2205=Y2204+1),IF(AA2205=1,"",INDEX(DATAS,Y2204+1)),INDEX(DATAS,Y2204+1)),"")</f>
        <v/>
      </c>
    </row>
    <row r="2205" customFormat="false" ht="15" hidden="false" customHeight="false" outlineLevel="0" collapsed="false">
      <c r="A2205" s="45" t="n">
        <v>46309</v>
      </c>
      <c r="B2205" s="0" t="n">
        <v>8</v>
      </c>
      <c r="C2205" s="0" t="n">
        <v>6489</v>
      </c>
      <c r="E2205" s="0" t="n">
        <v>0</v>
      </c>
      <c r="F2205" s="39" t="s">
        <v>1173</v>
      </c>
      <c r="I2205" s="39" t="s">
        <v>109</v>
      </c>
      <c r="L2205" s="0" t="n">
        <v>139</v>
      </c>
      <c r="U2205" s="0" t="n">
        <v>542</v>
      </c>
      <c r="V2205" s="0" t="n">
        <v>1</v>
      </c>
      <c r="W2205" s="39" t="n">
        <f aca="false">IF(I2205="Male",0,1)</f>
        <v>1</v>
      </c>
      <c r="X2205" s="39" t="n">
        <f aca="false">IF(OR(I2205="DNB",I2205="Dry DNB"),1,0)</f>
        <v>0</v>
      </c>
      <c r="Y2205" s="39" t="n">
        <f aca="false">MATCH(A2205,DATAS,0)</f>
        <v>1</v>
      </c>
      <c r="Z2205" s="39" t="n">
        <f aca="false">IF(AND(E2205&gt;0,OR(AND(B2205&gt;=1,B2205&lt;=6),B2205=10)),1,0)</f>
        <v>0</v>
      </c>
      <c r="AA2205" s="39" t="n">
        <f aca="false">IF(AND(E2205&gt;0,B2205=10),1,0)</f>
        <v>0</v>
      </c>
      <c r="AB2205" s="0" t="str">
        <f aca="false">IF(AND(C2204=C2205,Y2204=Y2205-1),Z2204,"")</f>
        <v/>
      </c>
      <c r="AC2205" s="0" t="str">
        <f aca="false">IF(AND(C2204=C2205,Y2204=Y2205-1),AA2204,"")</f>
        <v/>
      </c>
      <c r="AD2205" s="0" t="str">
        <f aca="false">IF(Y2205=1,"",IF(AND(Z2205=1,AB2205&lt;&gt;1),1,0))</f>
        <v/>
      </c>
      <c r="AE2205" s="0" t="str">
        <f aca="false">IF(Y2205=1,"",IF(AND(AA2205=1,AC2205&lt;&gt;1),1,0))</f>
        <v/>
      </c>
      <c r="AF2205" s="45" t="str">
        <f aca="false">IF(AND(E2205&gt;0,Y2205&lt;1,NOT(AND(C2206=C2205,Y2206=Y2205+1))),INDEX(DATAS,Y2205+1),"")</f>
        <v/>
      </c>
      <c r="AG2205" s="45" t="str">
        <f aca="false">IF(AND(AA2205=1,Y2205&lt;1),IF(AND(C2206=C2205,Y2206=Y2205+1),IF(AA2206=1,"",INDEX(DATAS,Y2205+1)),INDEX(DATAS,Y2205+1)),"")</f>
        <v/>
      </c>
    </row>
    <row r="2206" customFormat="false" ht="15" hidden="false" customHeight="false" outlineLevel="0" collapsed="false">
      <c r="A2206" s="45" t="n">
        <v>46309</v>
      </c>
      <c r="B2206" s="0" t="n">
        <v>8</v>
      </c>
      <c r="C2206" s="0" t="n">
        <v>6490</v>
      </c>
      <c r="E2206" s="0" t="n">
        <v>0</v>
      </c>
      <c r="F2206" s="39" t="s">
        <v>1174</v>
      </c>
      <c r="I2206" s="39" t="s">
        <v>109</v>
      </c>
      <c r="L2206" s="0" t="n">
        <v>105</v>
      </c>
      <c r="U2206" s="0" t="n">
        <v>540</v>
      </c>
      <c r="V2206" s="0" t="n">
        <v>3</v>
      </c>
      <c r="W2206" s="39" t="n">
        <f aca="false">IF(I2206="Male",0,1)</f>
        <v>1</v>
      </c>
      <c r="X2206" s="39" t="n">
        <f aca="false">IF(OR(I2206="DNB",I2206="Dry DNB"),1,0)</f>
        <v>0</v>
      </c>
      <c r="Y2206" s="39" t="n">
        <f aca="false">MATCH(A2206,DATAS,0)</f>
        <v>1</v>
      </c>
      <c r="Z2206" s="39" t="n">
        <f aca="false">IF(AND(E2206&gt;0,OR(AND(B2206&gt;=1,B2206&lt;=6),B2206=10)),1,0)</f>
        <v>0</v>
      </c>
      <c r="AA2206" s="39" t="n">
        <f aca="false">IF(AND(E2206&gt;0,B2206=10),1,0)</f>
        <v>0</v>
      </c>
      <c r="AB2206" s="0" t="str">
        <f aca="false">IF(AND(C2205=C2206,Y2205=Y2206-1),Z2205,"")</f>
        <v/>
      </c>
      <c r="AC2206" s="0" t="str">
        <f aca="false">IF(AND(C2205=C2206,Y2205=Y2206-1),AA2205,"")</f>
        <v/>
      </c>
      <c r="AD2206" s="0" t="str">
        <f aca="false">IF(Y2206=1,"",IF(AND(Z2206=1,AB2206&lt;&gt;1),1,0))</f>
        <v/>
      </c>
      <c r="AE2206" s="0" t="str">
        <f aca="false">IF(Y2206=1,"",IF(AND(AA2206=1,AC2206&lt;&gt;1),1,0))</f>
        <v/>
      </c>
      <c r="AF2206" s="45" t="str">
        <f aca="false">IF(AND(E2206&gt;0,Y2206&lt;1,NOT(AND(C2207=C2206,Y2207=Y2206+1))),INDEX(DATAS,Y2206+1),"")</f>
        <v/>
      </c>
      <c r="AG2206" s="45" t="str">
        <f aca="false">IF(AND(AA2206=1,Y2206&lt;1),IF(AND(C2207=C2206,Y2207=Y2206+1),IF(AA2207=1,"",INDEX(DATAS,Y2206+1)),INDEX(DATAS,Y2206+1)),"")</f>
        <v/>
      </c>
    </row>
    <row r="2207" customFormat="false" ht="15" hidden="false" customHeight="false" outlineLevel="0" collapsed="false">
      <c r="A2207" s="45" t="n">
        <v>46309</v>
      </c>
      <c r="B2207" s="0" t="n">
        <v>8</v>
      </c>
      <c r="C2207" s="0" t="n">
        <v>6491</v>
      </c>
      <c r="E2207" s="0" t="n">
        <v>0</v>
      </c>
      <c r="F2207" s="39" t="s">
        <v>1174</v>
      </c>
      <c r="I2207" s="39" t="s">
        <v>109</v>
      </c>
      <c r="L2207" s="0" t="n">
        <v>81</v>
      </c>
      <c r="U2207" s="0" t="n">
        <v>540</v>
      </c>
      <c r="V2207" s="0" t="n">
        <v>4</v>
      </c>
      <c r="W2207" s="39" t="n">
        <f aca="false">IF(I2207="Male",0,1)</f>
        <v>1</v>
      </c>
      <c r="X2207" s="39" t="n">
        <f aca="false">IF(OR(I2207="DNB",I2207="Dry DNB"),1,0)</f>
        <v>0</v>
      </c>
      <c r="Y2207" s="39" t="n">
        <f aca="false">MATCH(A2207,DATAS,0)</f>
        <v>1</v>
      </c>
      <c r="Z2207" s="39" t="n">
        <f aca="false">IF(AND(E2207&gt;0,OR(AND(B2207&gt;=1,B2207&lt;=6),B2207=10)),1,0)</f>
        <v>0</v>
      </c>
      <c r="AA2207" s="39" t="n">
        <f aca="false">IF(AND(E2207&gt;0,B2207=10),1,0)</f>
        <v>0</v>
      </c>
      <c r="AB2207" s="0" t="str">
        <f aca="false">IF(AND(C2206=C2207,Y2206=Y2207-1),Z2206,"")</f>
        <v/>
      </c>
      <c r="AC2207" s="0" t="str">
        <f aca="false">IF(AND(C2206=C2207,Y2206=Y2207-1),AA2206,"")</f>
        <v/>
      </c>
      <c r="AD2207" s="0" t="str">
        <f aca="false">IF(Y2207=1,"",IF(AND(Z2207=1,AB2207&lt;&gt;1),1,0))</f>
        <v/>
      </c>
      <c r="AE2207" s="0" t="str">
        <f aca="false">IF(Y2207=1,"",IF(AND(AA2207=1,AC2207&lt;&gt;1),1,0))</f>
        <v/>
      </c>
      <c r="AF2207" s="45" t="str">
        <f aca="false">IF(AND(E2207&gt;0,Y2207&lt;1,NOT(AND(C2208=C2207,Y2208=Y2207+1))),INDEX(DATAS,Y2207+1),"")</f>
        <v/>
      </c>
      <c r="AG2207" s="45" t="str">
        <f aca="false">IF(AND(AA2207=1,Y2207&lt;1),IF(AND(C2208=C2207,Y2208=Y2207+1),IF(AA2208=1,"",INDEX(DATAS,Y2207+1)),INDEX(DATAS,Y2207+1)),"")</f>
        <v/>
      </c>
    </row>
    <row r="2208" customFormat="false" ht="15" hidden="false" customHeight="false" outlineLevel="0" collapsed="false">
      <c r="A2208" s="45" t="n">
        <v>46309</v>
      </c>
      <c r="B2208" s="0" t="n">
        <v>11</v>
      </c>
      <c r="C2208" s="0" t="n">
        <v>6492</v>
      </c>
      <c r="E2208" s="0" t="n">
        <v>0</v>
      </c>
      <c r="F2208" s="39" t="s">
        <v>1174</v>
      </c>
      <c r="I2208" s="39" t="s">
        <v>138</v>
      </c>
      <c r="U2208" s="0" t="n">
        <v>540</v>
      </c>
      <c r="V2208" s="0" t="n">
        <v>3</v>
      </c>
      <c r="W2208" s="39" t="n">
        <f aca="false">IF(I2208="Male",0,1)</f>
        <v>1</v>
      </c>
      <c r="X2208" s="39" t="n">
        <f aca="false">IF(OR(I2208="DNB",I2208="Dry DNB"),1,0)</f>
        <v>0</v>
      </c>
      <c r="Y2208" s="39" t="n">
        <f aca="false">MATCH(A2208,DATAS,0)</f>
        <v>1</v>
      </c>
      <c r="Z2208" s="39" t="n">
        <f aca="false">IF(AND(E2208&gt;0,OR(AND(B2208&gt;=1,B2208&lt;=6),B2208=10)),1,0)</f>
        <v>0</v>
      </c>
      <c r="AA2208" s="39" t="n">
        <f aca="false">IF(AND(E2208&gt;0,B2208=10),1,0)</f>
        <v>0</v>
      </c>
      <c r="AB2208" s="0" t="str">
        <f aca="false">IF(AND(C2207=C2208,Y2207=Y2208-1),Z2207,"")</f>
        <v/>
      </c>
      <c r="AC2208" s="0" t="str">
        <f aca="false">IF(AND(C2207=C2208,Y2207=Y2208-1),AA2207,"")</f>
        <v/>
      </c>
      <c r="AD2208" s="0" t="str">
        <f aca="false">IF(Y2208=1,"",IF(AND(Z2208=1,AB2208&lt;&gt;1),1,0))</f>
        <v/>
      </c>
      <c r="AE2208" s="0" t="str">
        <f aca="false">IF(Y2208=1,"",IF(AND(AA2208=1,AC2208&lt;&gt;1),1,0))</f>
        <v/>
      </c>
      <c r="AF2208" s="45" t="str">
        <f aca="false">IF(AND(E2208&gt;0,Y2208&lt;1,NOT(AND(C2209=C2208,Y2209=Y2208+1))),INDEX(DATAS,Y2208+1),"")</f>
        <v/>
      </c>
      <c r="AG2208" s="45" t="str">
        <f aca="false">IF(AND(AA2208=1,Y2208&lt;1),IF(AND(C2209=C2208,Y2209=Y2208+1),IF(AA2209=1,"",INDEX(DATAS,Y2208+1)),INDEX(DATAS,Y2208+1)),"")</f>
        <v/>
      </c>
    </row>
    <row r="2209" customFormat="false" ht="15" hidden="false" customHeight="false" outlineLevel="0" collapsed="false">
      <c r="A2209" s="45" t="n">
        <v>46309</v>
      </c>
      <c r="B2209" s="0" t="n">
        <v>8</v>
      </c>
      <c r="C2209" s="0" t="n">
        <v>6493</v>
      </c>
      <c r="E2209" s="0" t="n">
        <v>0</v>
      </c>
      <c r="F2209" s="39" t="s">
        <v>1174</v>
      </c>
      <c r="I2209" s="39" t="s">
        <v>109</v>
      </c>
      <c r="L2209" s="0" t="n">
        <v>140</v>
      </c>
      <c r="U2209" s="0" t="n">
        <v>540</v>
      </c>
      <c r="V2209" s="0" t="n">
        <v>1</v>
      </c>
      <c r="W2209" s="39" t="n">
        <f aca="false">IF(I2209="Male",0,1)</f>
        <v>1</v>
      </c>
      <c r="X2209" s="39" t="n">
        <f aca="false">IF(OR(I2209="DNB",I2209="Dry DNB"),1,0)</f>
        <v>0</v>
      </c>
      <c r="Y2209" s="39" t="n">
        <f aca="false">MATCH(A2209,DATAS,0)</f>
        <v>1</v>
      </c>
      <c r="Z2209" s="39" t="n">
        <f aca="false">IF(AND(E2209&gt;0,OR(AND(B2209&gt;=1,B2209&lt;=6),B2209=10)),1,0)</f>
        <v>0</v>
      </c>
      <c r="AA2209" s="39" t="n">
        <f aca="false">IF(AND(E2209&gt;0,B2209=10),1,0)</f>
        <v>0</v>
      </c>
      <c r="AB2209" s="0" t="str">
        <f aca="false">IF(AND(C2208=C2209,Y2208=Y2209-1),Z2208,"")</f>
        <v/>
      </c>
      <c r="AC2209" s="0" t="str">
        <f aca="false">IF(AND(C2208=C2209,Y2208=Y2209-1),AA2208,"")</f>
        <v/>
      </c>
      <c r="AD2209" s="0" t="str">
        <f aca="false">IF(Y2209=1,"",IF(AND(Z2209=1,AB2209&lt;&gt;1),1,0))</f>
        <v/>
      </c>
      <c r="AE2209" s="0" t="str">
        <f aca="false">IF(Y2209=1,"",IF(AND(AA2209=1,AC2209&lt;&gt;1),1,0))</f>
        <v/>
      </c>
      <c r="AF2209" s="45" t="str">
        <f aca="false">IF(AND(E2209&gt;0,Y2209&lt;1,NOT(AND(C2210=C2209,Y2210=Y2209+1))),INDEX(DATAS,Y2209+1),"")</f>
        <v/>
      </c>
      <c r="AG2209" s="45" t="str">
        <f aca="false">IF(AND(AA2209=1,Y2209&lt;1),IF(AND(C2210=C2209,Y2210=Y2209+1),IF(AA2210=1,"",INDEX(DATAS,Y2209+1)),INDEX(DATAS,Y2209+1)),"")</f>
        <v/>
      </c>
    </row>
    <row r="2210" customFormat="false" ht="15" hidden="false" customHeight="false" outlineLevel="0" collapsed="false">
      <c r="A2210" s="45" t="n">
        <v>46309</v>
      </c>
      <c r="B2210" s="0" t="n">
        <v>8</v>
      </c>
      <c r="C2210" s="0" t="n">
        <v>6494</v>
      </c>
      <c r="E2210" s="0" t="n">
        <v>0</v>
      </c>
      <c r="F2210" s="39" t="s">
        <v>1174</v>
      </c>
      <c r="I2210" s="39" t="s">
        <v>109</v>
      </c>
      <c r="L2210" s="0" t="n">
        <v>131</v>
      </c>
      <c r="U2210" s="0" t="n">
        <v>540</v>
      </c>
      <c r="V2210" s="0" t="n">
        <v>1</v>
      </c>
      <c r="W2210" s="39" t="n">
        <f aca="false">IF(I2210="Male",0,1)</f>
        <v>1</v>
      </c>
      <c r="X2210" s="39" t="n">
        <f aca="false">IF(OR(I2210="DNB",I2210="Dry DNB"),1,0)</f>
        <v>0</v>
      </c>
      <c r="Y2210" s="39" t="n">
        <f aca="false">MATCH(A2210,DATAS,0)</f>
        <v>1</v>
      </c>
      <c r="Z2210" s="39" t="n">
        <f aca="false">IF(AND(E2210&gt;0,OR(AND(B2210&gt;=1,B2210&lt;=6),B2210=10)),1,0)</f>
        <v>0</v>
      </c>
      <c r="AA2210" s="39" t="n">
        <f aca="false">IF(AND(E2210&gt;0,B2210=10),1,0)</f>
        <v>0</v>
      </c>
      <c r="AB2210" s="0" t="str">
        <f aca="false">IF(AND(C2209=C2210,Y2209=Y2210-1),Z2209,"")</f>
        <v/>
      </c>
      <c r="AC2210" s="0" t="str">
        <f aca="false">IF(AND(C2209=C2210,Y2209=Y2210-1),AA2209,"")</f>
        <v/>
      </c>
      <c r="AD2210" s="0" t="str">
        <f aca="false">IF(Y2210=1,"",IF(AND(Z2210=1,AB2210&lt;&gt;1),1,0))</f>
        <v/>
      </c>
      <c r="AE2210" s="0" t="str">
        <f aca="false">IF(Y2210=1,"",IF(AND(AA2210=1,AC2210&lt;&gt;1),1,0))</f>
        <v/>
      </c>
      <c r="AF2210" s="45" t="str">
        <f aca="false">IF(AND(E2210&gt;0,Y2210&lt;1,NOT(AND(C2211=C2210,Y2211=Y2210+1))),INDEX(DATAS,Y2210+1),"")</f>
        <v/>
      </c>
      <c r="AG2210" s="45" t="str">
        <f aca="false">IF(AND(AA2210=1,Y2210&lt;1),IF(AND(C2211=C2210,Y2211=Y2210+1),IF(AA2211=1,"",INDEX(DATAS,Y2210+1)),INDEX(DATAS,Y2210+1)),"")</f>
        <v/>
      </c>
    </row>
    <row r="2211" customFormat="false" ht="15" hidden="false" customHeight="false" outlineLevel="0" collapsed="false">
      <c r="A2211" s="45" t="n">
        <v>46309</v>
      </c>
      <c r="B2211" s="0" t="n">
        <v>8</v>
      </c>
      <c r="C2211" s="0" t="n">
        <v>6495</v>
      </c>
      <c r="E2211" s="0" t="n">
        <v>0</v>
      </c>
      <c r="F2211" s="39" t="s">
        <v>1174</v>
      </c>
      <c r="I2211" s="39" t="s">
        <v>109</v>
      </c>
      <c r="L2211" s="0" t="n">
        <v>105</v>
      </c>
      <c r="U2211" s="0" t="n">
        <v>540</v>
      </c>
      <c r="V2211" s="0" t="n">
        <v>1</v>
      </c>
      <c r="W2211" s="39" t="n">
        <f aca="false">IF(I2211="Male",0,1)</f>
        <v>1</v>
      </c>
      <c r="X2211" s="39" t="n">
        <f aca="false">IF(OR(I2211="DNB",I2211="Dry DNB"),1,0)</f>
        <v>0</v>
      </c>
      <c r="Y2211" s="39" t="n">
        <f aca="false">MATCH(A2211,DATAS,0)</f>
        <v>1</v>
      </c>
      <c r="Z2211" s="39" t="n">
        <f aca="false">IF(AND(E2211&gt;0,OR(AND(B2211&gt;=1,B2211&lt;=6),B2211=10)),1,0)</f>
        <v>0</v>
      </c>
      <c r="AA2211" s="39" t="n">
        <f aca="false">IF(AND(E2211&gt;0,B2211=10),1,0)</f>
        <v>0</v>
      </c>
      <c r="AB2211" s="0" t="str">
        <f aca="false">IF(AND(C2210=C2211,Y2210=Y2211-1),Z2210,"")</f>
        <v/>
      </c>
      <c r="AC2211" s="0" t="str">
        <f aca="false">IF(AND(C2210=C2211,Y2210=Y2211-1),AA2210,"")</f>
        <v/>
      </c>
      <c r="AD2211" s="0" t="str">
        <f aca="false">IF(Y2211=1,"",IF(AND(Z2211=1,AB2211&lt;&gt;1),1,0))</f>
        <v/>
      </c>
      <c r="AE2211" s="0" t="str">
        <f aca="false">IF(Y2211=1,"",IF(AND(AA2211=1,AC2211&lt;&gt;1),1,0))</f>
        <v/>
      </c>
      <c r="AF2211" s="45" t="str">
        <f aca="false">IF(AND(E2211&gt;0,Y2211&lt;1,NOT(AND(C2212=C2211,Y2212=Y2211+1))),INDEX(DATAS,Y2211+1),"")</f>
        <v/>
      </c>
      <c r="AG2211" s="45" t="str">
        <f aca="false">IF(AND(AA2211=1,Y2211&lt;1),IF(AND(C2212=C2211,Y2212=Y2211+1),IF(AA2212=1,"",INDEX(DATAS,Y2211+1)),INDEX(DATAS,Y2211+1)),"")</f>
        <v/>
      </c>
    </row>
    <row r="2212" customFormat="false" ht="15" hidden="false" customHeight="false" outlineLevel="0" collapsed="false">
      <c r="A2212" s="45" t="n">
        <v>46309</v>
      </c>
      <c r="B2212" s="0" t="n">
        <v>8</v>
      </c>
      <c r="C2212" s="0" t="n">
        <v>6496</v>
      </c>
      <c r="E2212" s="0" t="n">
        <v>0</v>
      </c>
      <c r="F2212" s="39" t="s">
        <v>1174</v>
      </c>
      <c r="I2212" s="39" t="s">
        <v>109</v>
      </c>
      <c r="L2212" s="0" t="n">
        <v>122</v>
      </c>
      <c r="U2212" s="0" t="n">
        <v>540</v>
      </c>
      <c r="V2212" s="0" t="n">
        <v>2</v>
      </c>
      <c r="W2212" s="39" t="n">
        <f aca="false">IF(I2212="Male",0,1)</f>
        <v>1</v>
      </c>
      <c r="X2212" s="39" t="n">
        <f aca="false">IF(OR(I2212="DNB",I2212="Dry DNB"),1,0)</f>
        <v>0</v>
      </c>
      <c r="Y2212" s="39" t="n">
        <f aca="false">MATCH(A2212,DATAS,0)</f>
        <v>1</v>
      </c>
      <c r="Z2212" s="39" t="n">
        <f aca="false">IF(AND(E2212&gt;0,OR(AND(B2212&gt;=1,B2212&lt;=6),B2212=10)),1,0)</f>
        <v>0</v>
      </c>
      <c r="AA2212" s="39" t="n">
        <f aca="false">IF(AND(E2212&gt;0,B2212=10),1,0)</f>
        <v>0</v>
      </c>
      <c r="AB2212" s="0" t="str">
        <f aca="false">IF(AND(C2211=C2212,Y2211=Y2212-1),Z2211,"")</f>
        <v/>
      </c>
      <c r="AC2212" s="0" t="str">
        <f aca="false">IF(AND(C2211=C2212,Y2211=Y2212-1),AA2211,"")</f>
        <v/>
      </c>
      <c r="AD2212" s="0" t="str">
        <f aca="false">IF(Y2212=1,"",IF(AND(Z2212=1,AB2212&lt;&gt;1),1,0))</f>
        <v/>
      </c>
      <c r="AE2212" s="0" t="str">
        <f aca="false">IF(Y2212=1,"",IF(AND(AA2212=1,AC2212&lt;&gt;1),1,0))</f>
        <v/>
      </c>
      <c r="AF2212" s="45" t="str">
        <f aca="false">IF(AND(E2212&gt;0,Y2212&lt;1,NOT(AND(C2213=C2212,Y2213=Y2212+1))),INDEX(DATAS,Y2212+1),"")</f>
        <v/>
      </c>
      <c r="AG2212" s="45" t="str">
        <f aca="false">IF(AND(AA2212=1,Y2212&lt;1),IF(AND(C2213=C2212,Y2213=Y2212+1),IF(AA2213=1,"",INDEX(DATAS,Y2212+1)),INDEX(DATAS,Y2212+1)),"")</f>
        <v/>
      </c>
    </row>
    <row r="2213" customFormat="false" ht="15" hidden="false" customHeight="false" outlineLevel="0" collapsed="false">
      <c r="A2213" s="45" t="n">
        <v>46309</v>
      </c>
      <c r="B2213" s="0" t="n">
        <v>8</v>
      </c>
      <c r="C2213" s="0" t="n">
        <v>6497</v>
      </c>
      <c r="E2213" s="0" t="n">
        <v>0</v>
      </c>
      <c r="F2213" s="39" t="s">
        <v>1174</v>
      </c>
      <c r="I2213" s="39" t="s">
        <v>109</v>
      </c>
      <c r="L2213" s="0" t="n">
        <v>65</v>
      </c>
      <c r="U2213" s="0" t="n">
        <v>540</v>
      </c>
      <c r="V2213" s="0" t="n">
        <v>4</v>
      </c>
      <c r="W2213" s="39" t="n">
        <f aca="false">IF(I2213="Male",0,1)</f>
        <v>1</v>
      </c>
      <c r="X2213" s="39" t="n">
        <f aca="false">IF(OR(I2213="DNB",I2213="Dry DNB"),1,0)</f>
        <v>0</v>
      </c>
      <c r="Y2213" s="39" t="n">
        <f aca="false">MATCH(A2213,DATAS,0)</f>
        <v>1</v>
      </c>
      <c r="Z2213" s="39" t="n">
        <f aca="false">IF(AND(E2213&gt;0,OR(AND(B2213&gt;=1,B2213&lt;=6),B2213=10)),1,0)</f>
        <v>0</v>
      </c>
      <c r="AA2213" s="39" t="n">
        <f aca="false">IF(AND(E2213&gt;0,B2213=10),1,0)</f>
        <v>0</v>
      </c>
      <c r="AB2213" s="0" t="str">
        <f aca="false">IF(AND(C2212=C2213,Y2212=Y2213-1),Z2212,"")</f>
        <v/>
      </c>
      <c r="AC2213" s="0" t="str">
        <f aca="false">IF(AND(C2212=C2213,Y2212=Y2213-1),AA2212,"")</f>
        <v/>
      </c>
      <c r="AD2213" s="0" t="str">
        <f aca="false">IF(Y2213=1,"",IF(AND(Z2213=1,AB2213&lt;&gt;1),1,0))</f>
        <v/>
      </c>
      <c r="AE2213" s="0" t="str">
        <f aca="false">IF(Y2213=1,"",IF(AND(AA2213=1,AC2213&lt;&gt;1),1,0))</f>
        <v/>
      </c>
      <c r="AF2213" s="45" t="str">
        <f aca="false">IF(AND(E2213&gt;0,Y2213&lt;1,NOT(AND(C2214=C2213,Y2214=Y2213+1))),INDEX(DATAS,Y2213+1),"")</f>
        <v/>
      </c>
      <c r="AG2213" s="45" t="str">
        <f aca="false">IF(AND(AA2213=1,Y2213&lt;1),IF(AND(C2214=C2213,Y2214=Y2213+1),IF(AA2214=1,"",INDEX(DATAS,Y2213+1)),INDEX(DATAS,Y2213+1)),"")</f>
        <v/>
      </c>
    </row>
    <row r="2214" customFormat="false" ht="15" hidden="false" customHeight="false" outlineLevel="0" collapsed="false">
      <c r="A2214" s="45" t="n">
        <v>46309</v>
      </c>
      <c r="B2214" s="0" t="n">
        <v>8</v>
      </c>
      <c r="C2214" s="0" t="n">
        <v>6498</v>
      </c>
      <c r="E2214" s="0" t="n">
        <v>0</v>
      </c>
      <c r="F2214" s="39" t="s">
        <v>1175</v>
      </c>
      <c r="I2214" s="39" t="s">
        <v>109</v>
      </c>
      <c r="L2214" s="0" t="n">
        <v>103</v>
      </c>
      <c r="U2214" s="0" t="n">
        <v>539</v>
      </c>
      <c r="V2214" s="0" t="n">
        <v>2</v>
      </c>
      <c r="W2214" s="39" t="n">
        <f aca="false">IF(I2214="Male",0,1)</f>
        <v>1</v>
      </c>
      <c r="X2214" s="39" t="n">
        <f aca="false">IF(OR(I2214="DNB",I2214="Dry DNB"),1,0)</f>
        <v>0</v>
      </c>
      <c r="Y2214" s="39" t="n">
        <f aca="false">MATCH(A2214,DATAS,0)</f>
        <v>1</v>
      </c>
      <c r="Z2214" s="39" t="n">
        <f aca="false">IF(AND(E2214&gt;0,OR(AND(B2214&gt;=1,B2214&lt;=6),B2214=10)),1,0)</f>
        <v>0</v>
      </c>
      <c r="AA2214" s="39" t="n">
        <f aca="false">IF(AND(E2214&gt;0,B2214=10),1,0)</f>
        <v>0</v>
      </c>
      <c r="AB2214" s="0" t="str">
        <f aca="false">IF(AND(C2213=C2214,Y2213=Y2214-1),Z2213,"")</f>
        <v/>
      </c>
      <c r="AC2214" s="0" t="str">
        <f aca="false">IF(AND(C2213=C2214,Y2213=Y2214-1),AA2213,"")</f>
        <v/>
      </c>
      <c r="AD2214" s="0" t="str">
        <f aca="false">IF(Y2214=1,"",IF(AND(Z2214=1,AB2214&lt;&gt;1),1,0))</f>
        <v/>
      </c>
      <c r="AE2214" s="0" t="str">
        <f aca="false">IF(Y2214=1,"",IF(AND(AA2214=1,AC2214&lt;&gt;1),1,0))</f>
        <v/>
      </c>
      <c r="AF2214" s="45" t="str">
        <f aca="false">IF(AND(E2214&gt;0,Y2214&lt;1,NOT(AND(C2215=C2214,Y2215=Y2214+1))),INDEX(DATAS,Y2214+1),"")</f>
        <v/>
      </c>
      <c r="AG2214" s="45" t="str">
        <f aca="false">IF(AND(AA2214=1,Y2214&lt;1),IF(AND(C2215=C2214,Y2215=Y2214+1),IF(AA2215=1,"",INDEX(DATAS,Y2214+1)),INDEX(DATAS,Y2214+1)),"")</f>
        <v/>
      </c>
    </row>
    <row r="2215" customFormat="false" ht="15" hidden="false" customHeight="false" outlineLevel="0" collapsed="false">
      <c r="A2215" s="45" t="n">
        <v>46309</v>
      </c>
      <c r="B2215" s="0" t="n">
        <v>8</v>
      </c>
      <c r="C2215" s="0" t="n">
        <v>6499</v>
      </c>
      <c r="E2215" s="0" t="n">
        <v>0</v>
      </c>
      <c r="F2215" s="39" t="s">
        <v>1175</v>
      </c>
      <c r="I2215" s="39" t="s">
        <v>109</v>
      </c>
      <c r="L2215" s="0" t="n">
        <v>135</v>
      </c>
      <c r="U2215" s="0" t="n">
        <v>539</v>
      </c>
      <c r="V2215" s="0" t="n">
        <v>1</v>
      </c>
      <c r="W2215" s="39" t="n">
        <f aca="false">IF(I2215="Male",0,1)</f>
        <v>1</v>
      </c>
      <c r="X2215" s="39" t="n">
        <f aca="false">IF(OR(I2215="DNB",I2215="Dry DNB"),1,0)</f>
        <v>0</v>
      </c>
      <c r="Y2215" s="39" t="n">
        <f aca="false">MATCH(A2215,DATAS,0)</f>
        <v>1</v>
      </c>
      <c r="Z2215" s="39" t="n">
        <f aca="false">IF(AND(E2215&gt;0,OR(AND(B2215&gt;=1,B2215&lt;=6),B2215=10)),1,0)</f>
        <v>0</v>
      </c>
      <c r="AA2215" s="39" t="n">
        <f aca="false">IF(AND(E2215&gt;0,B2215=10),1,0)</f>
        <v>0</v>
      </c>
      <c r="AB2215" s="0" t="str">
        <f aca="false">IF(AND(C2214=C2215,Y2214=Y2215-1),Z2214,"")</f>
        <v/>
      </c>
      <c r="AC2215" s="0" t="str">
        <f aca="false">IF(AND(C2214=C2215,Y2214=Y2215-1),AA2214,"")</f>
        <v/>
      </c>
      <c r="AD2215" s="0" t="str">
        <f aca="false">IF(Y2215=1,"",IF(AND(Z2215=1,AB2215&lt;&gt;1),1,0))</f>
        <v/>
      </c>
      <c r="AE2215" s="0" t="str">
        <f aca="false">IF(Y2215=1,"",IF(AND(AA2215=1,AC2215&lt;&gt;1),1,0))</f>
        <v/>
      </c>
      <c r="AF2215" s="45" t="str">
        <f aca="false">IF(AND(E2215&gt;0,Y2215&lt;1,NOT(AND(C2216=C2215,Y2216=Y2215+1))),INDEX(DATAS,Y2215+1),"")</f>
        <v/>
      </c>
      <c r="AG2215" s="45" t="str">
        <f aca="false">IF(AND(AA2215=1,Y2215&lt;1),IF(AND(C2216=C2215,Y2216=Y2215+1),IF(AA2216=1,"",INDEX(DATAS,Y2215+1)),INDEX(DATAS,Y2215+1)),"")</f>
        <v/>
      </c>
    </row>
    <row r="2216" customFormat="false" ht="15" hidden="false" customHeight="false" outlineLevel="0" collapsed="false">
      <c r="A2216" s="45" t="n">
        <v>46309</v>
      </c>
      <c r="B2216" s="0" t="n">
        <v>8</v>
      </c>
      <c r="C2216" s="0" t="n">
        <v>6500</v>
      </c>
      <c r="E2216" s="0" t="n">
        <v>0</v>
      </c>
      <c r="F2216" s="39" t="s">
        <v>1175</v>
      </c>
      <c r="I2216" s="39" t="s">
        <v>109</v>
      </c>
      <c r="L2216" s="0" t="n">
        <v>126</v>
      </c>
      <c r="U2216" s="0" t="n">
        <v>539</v>
      </c>
      <c r="V2216" s="0" t="n">
        <v>1</v>
      </c>
      <c r="W2216" s="39" t="n">
        <f aca="false">IF(I2216="Male",0,1)</f>
        <v>1</v>
      </c>
      <c r="X2216" s="39" t="n">
        <f aca="false">IF(OR(I2216="DNB",I2216="Dry DNB"),1,0)</f>
        <v>0</v>
      </c>
      <c r="Y2216" s="39" t="n">
        <f aca="false">MATCH(A2216,DATAS,0)</f>
        <v>1</v>
      </c>
      <c r="Z2216" s="39" t="n">
        <f aca="false">IF(AND(E2216&gt;0,OR(AND(B2216&gt;=1,B2216&lt;=6),B2216=10)),1,0)</f>
        <v>0</v>
      </c>
      <c r="AA2216" s="39" t="n">
        <f aca="false">IF(AND(E2216&gt;0,B2216=10),1,0)</f>
        <v>0</v>
      </c>
      <c r="AB2216" s="0" t="str">
        <f aca="false">IF(AND(C2215=C2216,Y2215=Y2216-1),Z2215,"")</f>
        <v/>
      </c>
      <c r="AC2216" s="0" t="str">
        <f aca="false">IF(AND(C2215=C2216,Y2215=Y2216-1),AA2215,"")</f>
        <v/>
      </c>
      <c r="AD2216" s="0" t="str">
        <f aca="false">IF(Y2216=1,"",IF(AND(Z2216=1,AB2216&lt;&gt;1),1,0))</f>
        <v/>
      </c>
      <c r="AE2216" s="0" t="str">
        <f aca="false">IF(Y2216=1,"",IF(AND(AA2216=1,AC2216&lt;&gt;1),1,0))</f>
        <v/>
      </c>
      <c r="AF2216" s="45" t="str">
        <f aca="false">IF(AND(E2216&gt;0,Y2216&lt;1,NOT(AND(C2217=C2216,Y2217=Y2216+1))),INDEX(DATAS,Y2216+1),"")</f>
        <v/>
      </c>
      <c r="AG2216" s="45" t="str">
        <f aca="false">IF(AND(AA2216=1,Y2216&lt;1),IF(AND(C2217=C2216,Y2217=Y2216+1),IF(AA2217=1,"",INDEX(DATAS,Y2216+1)),INDEX(DATAS,Y2216+1)),"")</f>
        <v/>
      </c>
    </row>
    <row r="2217" customFormat="false" ht="15" hidden="false" customHeight="false" outlineLevel="0" collapsed="false">
      <c r="A2217" s="45" t="n">
        <v>46309</v>
      </c>
      <c r="B2217" s="0" t="n">
        <v>8</v>
      </c>
      <c r="C2217" s="0" t="n">
        <v>6501</v>
      </c>
      <c r="E2217" s="0" t="n">
        <v>0</v>
      </c>
      <c r="F2217" s="39" t="s">
        <v>1175</v>
      </c>
      <c r="I2217" s="39" t="s">
        <v>109</v>
      </c>
      <c r="L2217" s="0" t="n">
        <v>140</v>
      </c>
      <c r="U2217" s="0" t="n">
        <v>539</v>
      </c>
      <c r="V2217" s="0" t="n">
        <v>1</v>
      </c>
      <c r="W2217" s="39" t="n">
        <f aca="false">IF(I2217="Male",0,1)</f>
        <v>1</v>
      </c>
      <c r="X2217" s="39" t="n">
        <f aca="false">IF(OR(I2217="DNB",I2217="Dry DNB"),1,0)</f>
        <v>0</v>
      </c>
      <c r="Y2217" s="39" t="n">
        <f aca="false">MATCH(A2217,DATAS,0)</f>
        <v>1</v>
      </c>
      <c r="Z2217" s="39" t="n">
        <f aca="false">IF(AND(E2217&gt;0,OR(AND(B2217&gt;=1,B2217&lt;=6),B2217=10)),1,0)</f>
        <v>0</v>
      </c>
      <c r="AA2217" s="39" t="n">
        <f aca="false">IF(AND(E2217&gt;0,B2217=10),1,0)</f>
        <v>0</v>
      </c>
      <c r="AB2217" s="0" t="str">
        <f aca="false">IF(AND(C2216=C2217,Y2216=Y2217-1),Z2216,"")</f>
        <v/>
      </c>
      <c r="AC2217" s="0" t="str">
        <f aca="false">IF(AND(C2216=C2217,Y2216=Y2217-1),AA2216,"")</f>
        <v/>
      </c>
      <c r="AD2217" s="0" t="str">
        <f aca="false">IF(Y2217=1,"",IF(AND(Z2217=1,AB2217&lt;&gt;1),1,0))</f>
        <v/>
      </c>
      <c r="AE2217" s="0" t="str">
        <f aca="false">IF(Y2217=1,"",IF(AND(AA2217=1,AC2217&lt;&gt;1),1,0))</f>
        <v/>
      </c>
      <c r="AF2217" s="45" t="str">
        <f aca="false">IF(AND(E2217&gt;0,Y2217&lt;1,NOT(AND(C2218=C2217,Y2218=Y2217+1))),INDEX(DATAS,Y2217+1),"")</f>
        <v/>
      </c>
      <c r="AG2217" s="45" t="str">
        <f aca="false">IF(AND(AA2217=1,Y2217&lt;1),IF(AND(C2218=C2217,Y2218=Y2217+1),IF(AA2218=1,"",INDEX(DATAS,Y2217+1)),INDEX(DATAS,Y2217+1)),"")</f>
        <v/>
      </c>
    </row>
    <row r="2218" customFormat="false" ht="15" hidden="false" customHeight="false" outlineLevel="0" collapsed="false">
      <c r="A2218" s="45" t="n">
        <v>46309</v>
      </c>
      <c r="B2218" s="0" t="n">
        <v>8</v>
      </c>
      <c r="C2218" s="0" t="n">
        <v>6502</v>
      </c>
      <c r="E2218" s="0" t="n">
        <v>0</v>
      </c>
      <c r="F2218" s="39" t="s">
        <v>1175</v>
      </c>
      <c r="I2218" s="39" t="s">
        <v>109</v>
      </c>
      <c r="L2218" s="0" t="n">
        <v>98</v>
      </c>
      <c r="U2218" s="0" t="n">
        <v>539</v>
      </c>
      <c r="V2218" s="0" t="n">
        <v>3</v>
      </c>
      <c r="W2218" s="39" t="n">
        <f aca="false">IF(I2218="Male",0,1)</f>
        <v>1</v>
      </c>
      <c r="X2218" s="39" t="n">
        <f aca="false">IF(OR(I2218="DNB",I2218="Dry DNB"),1,0)</f>
        <v>0</v>
      </c>
      <c r="Y2218" s="39" t="n">
        <f aca="false">MATCH(A2218,DATAS,0)</f>
        <v>1</v>
      </c>
      <c r="Z2218" s="39" t="n">
        <f aca="false">IF(AND(E2218&gt;0,OR(AND(B2218&gt;=1,B2218&lt;=6),B2218=10)),1,0)</f>
        <v>0</v>
      </c>
      <c r="AA2218" s="39" t="n">
        <f aca="false">IF(AND(E2218&gt;0,B2218=10),1,0)</f>
        <v>0</v>
      </c>
      <c r="AB2218" s="0" t="str">
        <f aca="false">IF(AND(C2217=C2218,Y2217=Y2218-1),Z2217,"")</f>
        <v/>
      </c>
      <c r="AC2218" s="0" t="str">
        <f aca="false">IF(AND(C2217=C2218,Y2217=Y2218-1),AA2217,"")</f>
        <v/>
      </c>
      <c r="AD2218" s="0" t="str">
        <f aca="false">IF(Y2218=1,"",IF(AND(Z2218=1,AB2218&lt;&gt;1),1,0))</f>
        <v/>
      </c>
      <c r="AE2218" s="0" t="str">
        <f aca="false">IF(Y2218=1,"",IF(AND(AA2218=1,AC2218&lt;&gt;1),1,0))</f>
        <v/>
      </c>
      <c r="AF2218" s="45" t="str">
        <f aca="false">IF(AND(E2218&gt;0,Y2218&lt;1,NOT(AND(C2219=C2218,Y2219=Y2218+1))),INDEX(DATAS,Y2218+1),"")</f>
        <v/>
      </c>
      <c r="AG2218" s="45" t="str">
        <f aca="false">IF(AND(AA2218=1,Y2218&lt;1),IF(AND(C2219=C2218,Y2219=Y2218+1),IF(AA2219=1,"",INDEX(DATAS,Y2218+1)),INDEX(DATAS,Y2218+1)),"")</f>
        <v/>
      </c>
    </row>
    <row r="2219" customFormat="false" ht="15" hidden="false" customHeight="false" outlineLevel="0" collapsed="false">
      <c r="A2219" s="45" t="n">
        <v>46309</v>
      </c>
      <c r="B2219" s="0" t="n">
        <v>8</v>
      </c>
      <c r="C2219" s="0" t="n">
        <v>6503</v>
      </c>
      <c r="E2219" s="0" t="n">
        <v>0</v>
      </c>
      <c r="F2219" s="39" t="s">
        <v>1176</v>
      </c>
      <c r="I2219" s="39" t="s">
        <v>109</v>
      </c>
      <c r="L2219" s="0" t="n">
        <v>43</v>
      </c>
      <c r="U2219" s="0" t="n">
        <v>538</v>
      </c>
      <c r="V2219" s="0" t="n">
        <v>3</v>
      </c>
      <c r="W2219" s="39" t="n">
        <f aca="false">IF(I2219="Male",0,1)</f>
        <v>1</v>
      </c>
      <c r="X2219" s="39" t="n">
        <f aca="false">IF(OR(I2219="DNB",I2219="Dry DNB"),1,0)</f>
        <v>0</v>
      </c>
      <c r="Y2219" s="39" t="n">
        <f aca="false">MATCH(A2219,DATAS,0)</f>
        <v>1</v>
      </c>
      <c r="Z2219" s="39" t="n">
        <f aca="false">IF(AND(E2219&gt;0,OR(AND(B2219&gt;=1,B2219&lt;=6),B2219=10)),1,0)</f>
        <v>0</v>
      </c>
      <c r="AA2219" s="39" t="n">
        <f aca="false">IF(AND(E2219&gt;0,B2219=10),1,0)</f>
        <v>0</v>
      </c>
      <c r="AB2219" s="0" t="str">
        <f aca="false">IF(AND(C2218=C2219,Y2218=Y2219-1),Z2218,"")</f>
        <v/>
      </c>
      <c r="AC2219" s="0" t="str">
        <f aca="false">IF(AND(C2218=C2219,Y2218=Y2219-1),AA2218,"")</f>
        <v/>
      </c>
      <c r="AD2219" s="0" t="str">
        <f aca="false">IF(Y2219=1,"",IF(AND(Z2219=1,AB2219&lt;&gt;1),1,0))</f>
        <v/>
      </c>
      <c r="AE2219" s="0" t="str">
        <f aca="false">IF(Y2219=1,"",IF(AND(AA2219=1,AC2219&lt;&gt;1),1,0))</f>
        <v/>
      </c>
      <c r="AF2219" s="45" t="str">
        <f aca="false">IF(AND(E2219&gt;0,Y2219&lt;1,NOT(AND(C2220=C2219,Y2220=Y2219+1))),INDEX(DATAS,Y2219+1),"")</f>
        <v/>
      </c>
      <c r="AG2219" s="45" t="str">
        <f aca="false">IF(AND(AA2219=1,Y2219&lt;1),IF(AND(C2220=C2219,Y2220=Y2219+1),IF(AA2220=1,"",INDEX(DATAS,Y2219+1)),INDEX(DATAS,Y2219+1)),"")</f>
        <v/>
      </c>
    </row>
    <row r="2220" customFormat="false" ht="15" hidden="false" customHeight="false" outlineLevel="0" collapsed="false">
      <c r="A2220" s="45" t="n">
        <v>46309</v>
      </c>
      <c r="B2220" s="0" t="n">
        <v>8</v>
      </c>
      <c r="C2220" s="0" t="n">
        <v>6504</v>
      </c>
      <c r="E2220" s="0" t="n">
        <v>0</v>
      </c>
      <c r="F2220" s="39" t="s">
        <v>1177</v>
      </c>
      <c r="I2220" s="39" t="s">
        <v>109</v>
      </c>
      <c r="L2220" s="0" t="n">
        <v>55</v>
      </c>
      <c r="U2220" s="0" t="n">
        <v>537</v>
      </c>
      <c r="V2220" s="0" t="n">
        <v>2</v>
      </c>
      <c r="W2220" s="39" t="n">
        <f aca="false">IF(I2220="Male",0,1)</f>
        <v>1</v>
      </c>
      <c r="X2220" s="39" t="n">
        <f aca="false">IF(OR(I2220="DNB",I2220="Dry DNB"),1,0)</f>
        <v>0</v>
      </c>
      <c r="Y2220" s="39" t="n">
        <f aca="false">MATCH(A2220,DATAS,0)</f>
        <v>1</v>
      </c>
      <c r="Z2220" s="39" t="n">
        <f aca="false">IF(AND(E2220&gt;0,OR(AND(B2220&gt;=1,B2220&lt;=6),B2220=10)),1,0)</f>
        <v>0</v>
      </c>
      <c r="AA2220" s="39" t="n">
        <f aca="false">IF(AND(E2220&gt;0,B2220=10),1,0)</f>
        <v>0</v>
      </c>
      <c r="AB2220" s="0" t="str">
        <f aca="false">IF(AND(C2219=C2220,Y2219=Y2220-1),Z2219,"")</f>
        <v/>
      </c>
      <c r="AC2220" s="0" t="str">
        <f aca="false">IF(AND(C2219=C2220,Y2219=Y2220-1),AA2219,"")</f>
        <v/>
      </c>
      <c r="AD2220" s="0" t="str">
        <f aca="false">IF(Y2220=1,"",IF(AND(Z2220=1,AB2220&lt;&gt;1),1,0))</f>
        <v/>
      </c>
      <c r="AE2220" s="0" t="str">
        <f aca="false">IF(Y2220=1,"",IF(AND(AA2220=1,AC2220&lt;&gt;1),1,0))</f>
        <v/>
      </c>
      <c r="AF2220" s="45" t="str">
        <f aca="false">IF(AND(E2220&gt;0,Y2220&lt;1,NOT(AND(C2221=C2220,Y2221=Y2220+1))),INDEX(DATAS,Y2220+1),"")</f>
        <v/>
      </c>
      <c r="AG2220" s="45" t="str">
        <f aca="false">IF(AND(AA2220=1,Y2220&lt;1),IF(AND(C2221=C2220,Y2221=Y2220+1),IF(AA2221=1,"",INDEX(DATAS,Y2220+1)),INDEX(DATAS,Y2220+1)),"")</f>
        <v/>
      </c>
    </row>
    <row r="2221" customFormat="false" ht="15" hidden="false" customHeight="false" outlineLevel="0" collapsed="false">
      <c r="A2221" s="45" t="n">
        <v>46309</v>
      </c>
      <c r="B2221" s="0" t="n">
        <v>8</v>
      </c>
      <c r="C2221" s="0" t="n">
        <v>6505</v>
      </c>
      <c r="E2221" s="0" t="n">
        <v>0</v>
      </c>
      <c r="F2221" s="39" t="s">
        <v>1177</v>
      </c>
      <c r="I2221" s="39" t="s">
        <v>109</v>
      </c>
      <c r="L2221" s="0" t="n">
        <v>133</v>
      </c>
      <c r="U2221" s="0" t="n">
        <v>537</v>
      </c>
      <c r="V2221" s="0" t="n">
        <v>1</v>
      </c>
      <c r="W2221" s="39" t="n">
        <f aca="false">IF(I2221="Male",0,1)</f>
        <v>1</v>
      </c>
      <c r="X2221" s="39" t="n">
        <f aca="false">IF(OR(I2221="DNB",I2221="Dry DNB"),1,0)</f>
        <v>0</v>
      </c>
      <c r="Y2221" s="39" t="n">
        <f aca="false">MATCH(A2221,DATAS,0)</f>
        <v>1</v>
      </c>
      <c r="Z2221" s="39" t="n">
        <f aca="false">IF(AND(E2221&gt;0,OR(AND(B2221&gt;=1,B2221&lt;=6),B2221=10)),1,0)</f>
        <v>0</v>
      </c>
      <c r="AA2221" s="39" t="n">
        <f aca="false">IF(AND(E2221&gt;0,B2221=10),1,0)</f>
        <v>0</v>
      </c>
      <c r="AB2221" s="0" t="str">
        <f aca="false">IF(AND(C2220=C2221,Y2220=Y2221-1),Z2220,"")</f>
        <v/>
      </c>
      <c r="AC2221" s="0" t="str">
        <f aca="false">IF(AND(C2220=C2221,Y2220=Y2221-1),AA2220,"")</f>
        <v/>
      </c>
      <c r="AD2221" s="0" t="str">
        <f aca="false">IF(Y2221=1,"",IF(AND(Z2221=1,AB2221&lt;&gt;1),1,0))</f>
        <v/>
      </c>
      <c r="AE2221" s="0" t="str">
        <f aca="false">IF(Y2221=1,"",IF(AND(AA2221=1,AC2221&lt;&gt;1),1,0))</f>
        <v/>
      </c>
      <c r="AF2221" s="45" t="str">
        <f aca="false">IF(AND(E2221&gt;0,Y2221&lt;1,NOT(AND(C2222=C2221,Y2222=Y2221+1))),INDEX(DATAS,Y2221+1),"")</f>
        <v/>
      </c>
      <c r="AG2221" s="45" t="str">
        <f aca="false">IF(AND(AA2221=1,Y2221&lt;1),IF(AND(C2222=C2221,Y2222=Y2221+1),IF(AA2222=1,"",INDEX(DATAS,Y2221+1)),INDEX(DATAS,Y2221+1)),"")</f>
        <v/>
      </c>
    </row>
    <row r="2222" customFormat="false" ht="15" hidden="false" customHeight="false" outlineLevel="0" collapsed="false">
      <c r="A2222" s="45" t="n">
        <v>46309</v>
      </c>
      <c r="B2222" s="0" t="n">
        <v>8</v>
      </c>
      <c r="C2222" s="0" t="n">
        <v>6506</v>
      </c>
      <c r="E2222" s="0" t="n">
        <v>0</v>
      </c>
      <c r="F2222" s="39" t="s">
        <v>1178</v>
      </c>
      <c r="I2222" s="39" t="s">
        <v>109</v>
      </c>
      <c r="L2222" s="0" t="n">
        <v>133</v>
      </c>
      <c r="U2222" s="0" t="n">
        <v>533</v>
      </c>
      <c r="V2222" s="0" t="n">
        <v>1</v>
      </c>
      <c r="W2222" s="39" t="n">
        <f aca="false">IF(I2222="Male",0,1)</f>
        <v>1</v>
      </c>
      <c r="X2222" s="39" t="n">
        <f aca="false">IF(OR(I2222="DNB",I2222="Dry DNB"),1,0)</f>
        <v>0</v>
      </c>
      <c r="Y2222" s="39" t="n">
        <f aca="false">MATCH(A2222,DATAS,0)</f>
        <v>1</v>
      </c>
      <c r="Z2222" s="39" t="n">
        <f aca="false">IF(AND(E2222&gt;0,OR(AND(B2222&gt;=1,B2222&lt;=6),B2222=10)),1,0)</f>
        <v>0</v>
      </c>
      <c r="AA2222" s="39" t="n">
        <f aca="false">IF(AND(E2222&gt;0,B2222=10),1,0)</f>
        <v>0</v>
      </c>
      <c r="AB2222" s="0" t="str">
        <f aca="false">IF(AND(C2221=C2222,Y2221=Y2222-1),Z2221,"")</f>
        <v/>
      </c>
      <c r="AC2222" s="0" t="str">
        <f aca="false">IF(AND(C2221=C2222,Y2221=Y2222-1),AA2221,"")</f>
        <v/>
      </c>
      <c r="AD2222" s="0" t="str">
        <f aca="false">IF(Y2222=1,"",IF(AND(Z2222=1,AB2222&lt;&gt;1),1,0))</f>
        <v/>
      </c>
      <c r="AE2222" s="0" t="str">
        <f aca="false">IF(Y2222=1,"",IF(AND(AA2222=1,AC2222&lt;&gt;1),1,0))</f>
        <v/>
      </c>
      <c r="AF2222" s="45" t="str">
        <f aca="false">IF(AND(E2222&gt;0,Y2222&lt;1,NOT(AND(C2223=C2222,Y2223=Y2222+1))),INDEX(DATAS,Y2222+1),"")</f>
        <v/>
      </c>
      <c r="AG2222" s="45" t="str">
        <f aca="false">IF(AND(AA2222=1,Y2222&lt;1),IF(AND(C2223=C2222,Y2223=Y2222+1),IF(AA2223=1,"",INDEX(DATAS,Y2222+1)),INDEX(DATAS,Y2222+1)),"")</f>
        <v/>
      </c>
    </row>
    <row r="2223" customFormat="false" ht="15" hidden="false" customHeight="false" outlineLevel="0" collapsed="false">
      <c r="A2223" s="45" t="n">
        <v>46309</v>
      </c>
      <c r="B2223" s="0" t="n">
        <v>8</v>
      </c>
      <c r="C2223" s="0" t="n">
        <v>6507</v>
      </c>
      <c r="E2223" s="0" t="n">
        <v>0</v>
      </c>
      <c r="F2223" s="39" t="s">
        <v>1178</v>
      </c>
      <c r="I2223" s="39" t="s">
        <v>109</v>
      </c>
      <c r="L2223" s="0" t="n">
        <v>105</v>
      </c>
      <c r="U2223" s="0" t="n">
        <v>533</v>
      </c>
      <c r="V2223" s="0" t="n">
        <v>2</v>
      </c>
      <c r="W2223" s="39" t="n">
        <f aca="false">IF(I2223="Male",0,1)</f>
        <v>1</v>
      </c>
      <c r="X2223" s="39" t="n">
        <f aca="false">IF(OR(I2223="DNB",I2223="Dry DNB"),1,0)</f>
        <v>0</v>
      </c>
      <c r="Y2223" s="39" t="n">
        <f aca="false">MATCH(A2223,DATAS,0)</f>
        <v>1</v>
      </c>
      <c r="Z2223" s="39" t="n">
        <f aca="false">IF(AND(E2223&gt;0,OR(AND(B2223&gt;=1,B2223&lt;=6),B2223=10)),1,0)</f>
        <v>0</v>
      </c>
      <c r="AA2223" s="39" t="n">
        <f aca="false">IF(AND(E2223&gt;0,B2223=10),1,0)</f>
        <v>0</v>
      </c>
      <c r="AB2223" s="0" t="str">
        <f aca="false">IF(AND(C2222=C2223,Y2222=Y2223-1),Z2222,"")</f>
        <v/>
      </c>
      <c r="AC2223" s="0" t="str">
        <f aca="false">IF(AND(C2222=C2223,Y2222=Y2223-1),AA2222,"")</f>
        <v/>
      </c>
      <c r="AD2223" s="0" t="str">
        <f aca="false">IF(Y2223=1,"",IF(AND(Z2223=1,AB2223&lt;&gt;1),1,0))</f>
        <v/>
      </c>
      <c r="AE2223" s="0" t="str">
        <f aca="false">IF(Y2223=1,"",IF(AND(AA2223=1,AC2223&lt;&gt;1),1,0))</f>
        <v/>
      </c>
      <c r="AF2223" s="45" t="str">
        <f aca="false">IF(AND(E2223&gt;0,Y2223&lt;1,NOT(AND(C2224=C2223,Y2224=Y2223+1))),INDEX(DATAS,Y2223+1),"")</f>
        <v/>
      </c>
      <c r="AG2223" s="45" t="str">
        <f aca="false">IF(AND(AA2223=1,Y2223&lt;1),IF(AND(C2224=C2223,Y2224=Y2223+1),IF(AA2224=1,"",INDEX(DATAS,Y2223+1)),INDEX(DATAS,Y2223+1)),"")</f>
        <v/>
      </c>
    </row>
    <row r="2224" customFormat="false" ht="15" hidden="false" customHeight="false" outlineLevel="0" collapsed="false">
      <c r="A2224" s="45" t="n">
        <v>46309</v>
      </c>
      <c r="B2224" s="0" t="n">
        <v>8</v>
      </c>
      <c r="C2224" s="0" t="n">
        <v>6508</v>
      </c>
      <c r="E2224" s="0" t="n">
        <v>0</v>
      </c>
      <c r="F2224" s="39" t="s">
        <v>1178</v>
      </c>
      <c r="I2224" s="39" t="s">
        <v>109</v>
      </c>
      <c r="L2224" s="0" t="n">
        <v>118</v>
      </c>
      <c r="U2224" s="0" t="n">
        <v>533</v>
      </c>
      <c r="V2224" s="0" t="n">
        <v>2</v>
      </c>
      <c r="W2224" s="39" t="n">
        <f aca="false">IF(I2224="Male",0,1)</f>
        <v>1</v>
      </c>
      <c r="X2224" s="39" t="n">
        <f aca="false">IF(OR(I2224="DNB",I2224="Dry DNB"),1,0)</f>
        <v>0</v>
      </c>
      <c r="Y2224" s="39" t="n">
        <f aca="false">MATCH(A2224,DATAS,0)</f>
        <v>1</v>
      </c>
      <c r="Z2224" s="39" t="n">
        <f aca="false">IF(AND(E2224&gt;0,OR(AND(B2224&gt;=1,B2224&lt;=6),B2224=10)),1,0)</f>
        <v>0</v>
      </c>
      <c r="AA2224" s="39" t="n">
        <f aca="false">IF(AND(E2224&gt;0,B2224=10),1,0)</f>
        <v>0</v>
      </c>
      <c r="AB2224" s="0" t="str">
        <f aca="false">IF(AND(C2223=C2224,Y2223=Y2224-1),Z2223,"")</f>
        <v/>
      </c>
      <c r="AC2224" s="0" t="str">
        <f aca="false">IF(AND(C2223=C2224,Y2223=Y2224-1),AA2223,"")</f>
        <v/>
      </c>
      <c r="AD2224" s="0" t="str">
        <f aca="false">IF(Y2224=1,"",IF(AND(Z2224=1,AB2224&lt;&gt;1),1,0))</f>
        <v/>
      </c>
      <c r="AE2224" s="0" t="str">
        <f aca="false">IF(Y2224=1,"",IF(AND(AA2224=1,AC2224&lt;&gt;1),1,0))</f>
        <v/>
      </c>
      <c r="AF2224" s="45" t="str">
        <f aca="false">IF(AND(E2224&gt;0,Y2224&lt;1,NOT(AND(C2225=C2224,Y2225=Y2224+1))),INDEX(DATAS,Y2224+1),"")</f>
        <v/>
      </c>
      <c r="AG2224" s="45" t="str">
        <f aca="false">IF(AND(AA2224=1,Y2224&lt;1),IF(AND(C2225=C2224,Y2225=Y2224+1),IF(AA2225=1,"",INDEX(DATAS,Y2224+1)),INDEX(DATAS,Y2224+1)),"")</f>
        <v/>
      </c>
    </row>
    <row r="2225" customFormat="false" ht="15" hidden="false" customHeight="false" outlineLevel="0" collapsed="false">
      <c r="A2225" s="45" t="n">
        <v>46309</v>
      </c>
      <c r="B2225" s="0" t="n">
        <v>8</v>
      </c>
      <c r="C2225" s="0" t="n">
        <v>6509</v>
      </c>
      <c r="E2225" s="0" t="n">
        <v>0</v>
      </c>
      <c r="F2225" s="39" t="s">
        <v>1179</v>
      </c>
      <c r="I2225" s="39" t="s">
        <v>109</v>
      </c>
      <c r="L2225" s="0" t="n">
        <v>43</v>
      </c>
      <c r="U2225" s="0" t="n">
        <v>532</v>
      </c>
      <c r="V2225" s="0" t="n">
        <v>3</v>
      </c>
      <c r="W2225" s="39" t="n">
        <f aca="false">IF(I2225="Male",0,1)</f>
        <v>1</v>
      </c>
      <c r="X2225" s="39" t="n">
        <f aca="false">IF(OR(I2225="DNB",I2225="Dry DNB"),1,0)</f>
        <v>0</v>
      </c>
      <c r="Y2225" s="39" t="n">
        <f aca="false">MATCH(A2225,DATAS,0)</f>
        <v>1</v>
      </c>
      <c r="Z2225" s="39" t="n">
        <f aca="false">IF(AND(E2225&gt;0,OR(AND(B2225&gt;=1,B2225&lt;=6),B2225=10)),1,0)</f>
        <v>0</v>
      </c>
      <c r="AA2225" s="39" t="n">
        <f aca="false">IF(AND(E2225&gt;0,B2225=10),1,0)</f>
        <v>0</v>
      </c>
      <c r="AB2225" s="0" t="str">
        <f aca="false">IF(AND(C2224=C2225,Y2224=Y2225-1),Z2224,"")</f>
        <v/>
      </c>
      <c r="AC2225" s="0" t="str">
        <f aca="false">IF(AND(C2224=C2225,Y2224=Y2225-1),AA2224,"")</f>
        <v/>
      </c>
      <c r="AD2225" s="0" t="str">
        <f aca="false">IF(Y2225=1,"",IF(AND(Z2225=1,AB2225&lt;&gt;1),1,0))</f>
        <v/>
      </c>
      <c r="AE2225" s="0" t="str">
        <f aca="false">IF(Y2225=1,"",IF(AND(AA2225=1,AC2225&lt;&gt;1),1,0))</f>
        <v/>
      </c>
      <c r="AF2225" s="45" t="str">
        <f aca="false">IF(AND(E2225&gt;0,Y2225&lt;1,NOT(AND(C2226=C2225,Y2226=Y2225+1))),INDEX(DATAS,Y2225+1),"")</f>
        <v/>
      </c>
      <c r="AG2225" s="45" t="str">
        <f aca="false">IF(AND(AA2225=1,Y2225&lt;1),IF(AND(C2226=C2225,Y2226=Y2225+1),IF(AA2226=1,"",INDEX(DATAS,Y2225+1)),INDEX(DATAS,Y2225+1)),"")</f>
        <v/>
      </c>
    </row>
    <row r="2226" customFormat="false" ht="15" hidden="false" customHeight="false" outlineLevel="0" collapsed="false">
      <c r="A2226" s="45" t="n">
        <v>46309</v>
      </c>
      <c r="B2226" s="0" t="n">
        <v>8</v>
      </c>
      <c r="C2226" s="0" t="n">
        <v>6510</v>
      </c>
      <c r="E2226" s="0" t="n">
        <v>0</v>
      </c>
      <c r="F2226" s="39" t="s">
        <v>1179</v>
      </c>
      <c r="I2226" s="39" t="s">
        <v>109</v>
      </c>
      <c r="L2226" s="0" t="n">
        <v>134</v>
      </c>
      <c r="U2226" s="0" t="n">
        <v>532</v>
      </c>
      <c r="V2226" s="0" t="n">
        <v>1</v>
      </c>
      <c r="W2226" s="39" t="n">
        <f aca="false">IF(I2226="Male",0,1)</f>
        <v>1</v>
      </c>
      <c r="X2226" s="39" t="n">
        <f aca="false">IF(OR(I2226="DNB",I2226="Dry DNB"),1,0)</f>
        <v>0</v>
      </c>
      <c r="Y2226" s="39" t="n">
        <f aca="false">MATCH(A2226,DATAS,0)</f>
        <v>1</v>
      </c>
      <c r="Z2226" s="39" t="n">
        <f aca="false">IF(AND(E2226&gt;0,OR(AND(B2226&gt;=1,B2226&lt;=6),B2226=10)),1,0)</f>
        <v>0</v>
      </c>
      <c r="AA2226" s="39" t="n">
        <f aca="false">IF(AND(E2226&gt;0,B2226=10),1,0)</f>
        <v>0</v>
      </c>
      <c r="AB2226" s="0" t="str">
        <f aca="false">IF(AND(C2225=C2226,Y2225=Y2226-1),Z2225,"")</f>
        <v/>
      </c>
      <c r="AC2226" s="0" t="str">
        <f aca="false">IF(AND(C2225=C2226,Y2225=Y2226-1),AA2225,"")</f>
        <v/>
      </c>
      <c r="AD2226" s="0" t="str">
        <f aca="false">IF(Y2226=1,"",IF(AND(Z2226=1,AB2226&lt;&gt;1),1,0))</f>
        <v/>
      </c>
      <c r="AE2226" s="0" t="str">
        <f aca="false">IF(Y2226=1,"",IF(AND(AA2226=1,AC2226&lt;&gt;1),1,0))</f>
        <v/>
      </c>
      <c r="AF2226" s="45" t="str">
        <f aca="false">IF(AND(E2226&gt;0,Y2226&lt;1,NOT(AND(C2227=C2226,Y2227=Y2226+1))),INDEX(DATAS,Y2226+1),"")</f>
        <v/>
      </c>
      <c r="AG2226" s="45" t="str">
        <f aca="false">IF(AND(AA2226=1,Y2226&lt;1),IF(AND(C2227=C2226,Y2227=Y2226+1),IF(AA2227=1,"",INDEX(DATAS,Y2226+1)),INDEX(DATAS,Y2226+1)),"")</f>
        <v/>
      </c>
    </row>
    <row r="2227" customFormat="false" ht="15" hidden="false" customHeight="false" outlineLevel="0" collapsed="false">
      <c r="A2227" s="45" t="n">
        <v>46309</v>
      </c>
      <c r="B2227" s="0" t="n">
        <v>8</v>
      </c>
      <c r="C2227" s="0" t="n">
        <v>6511</v>
      </c>
      <c r="E2227" s="0" t="n">
        <v>0</v>
      </c>
      <c r="F2227" s="39" t="s">
        <v>1180</v>
      </c>
      <c r="I2227" s="39" t="s">
        <v>109</v>
      </c>
      <c r="L2227" s="0" t="n">
        <v>134</v>
      </c>
      <c r="U2227" s="0" t="n">
        <v>531</v>
      </c>
      <c r="V2227" s="0" t="n">
        <v>1</v>
      </c>
      <c r="W2227" s="39" t="n">
        <f aca="false">IF(I2227="Male",0,1)</f>
        <v>1</v>
      </c>
      <c r="X2227" s="39" t="n">
        <f aca="false">IF(OR(I2227="DNB",I2227="Dry DNB"),1,0)</f>
        <v>0</v>
      </c>
      <c r="Y2227" s="39" t="n">
        <f aca="false">MATCH(A2227,DATAS,0)</f>
        <v>1</v>
      </c>
      <c r="Z2227" s="39" t="n">
        <f aca="false">IF(AND(E2227&gt;0,OR(AND(B2227&gt;=1,B2227&lt;=6),B2227=10)),1,0)</f>
        <v>0</v>
      </c>
      <c r="AA2227" s="39" t="n">
        <f aca="false">IF(AND(E2227&gt;0,B2227=10),1,0)</f>
        <v>0</v>
      </c>
      <c r="AB2227" s="0" t="str">
        <f aca="false">IF(AND(C2226=C2227,Y2226=Y2227-1),Z2226,"")</f>
        <v/>
      </c>
      <c r="AC2227" s="0" t="str">
        <f aca="false">IF(AND(C2226=C2227,Y2226=Y2227-1),AA2226,"")</f>
        <v/>
      </c>
      <c r="AD2227" s="0" t="str">
        <f aca="false">IF(Y2227=1,"",IF(AND(Z2227=1,AB2227&lt;&gt;1),1,0))</f>
        <v/>
      </c>
      <c r="AE2227" s="0" t="str">
        <f aca="false">IF(Y2227=1,"",IF(AND(AA2227=1,AC2227&lt;&gt;1),1,0))</f>
        <v/>
      </c>
      <c r="AF2227" s="45" t="str">
        <f aca="false">IF(AND(E2227&gt;0,Y2227&lt;1,NOT(AND(C2228=C2227,Y2228=Y2227+1))),INDEX(DATAS,Y2227+1),"")</f>
        <v/>
      </c>
      <c r="AG2227" s="45" t="str">
        <f aca="false">IF(AND(AA2227=1,Y2227&lt;1),IF(AND(C2228=C2227,Y2228=Y2227+1),IF(AA2228=1,"",INDEX(DATAS,Y2227+1)),INDEX(DATAS,Y2227+1)),"")</f>
        <v/>
      </c>
    </row>
    <row r="2228" customFormat="false" ht="15" hidden="false" customHeight="false" outlineLevel="0" collapsed="false">
      <c r="A2228" s="45" t="n">
        <v>46309</v>
      </c>
      <c r="B2228" s="0" t="n">
        <v>8</v>
      </c>
      <c r="C2228" s="0" t="n">
        <v>6512</v>
      </c>
      <c r="E2228" s="0" t="n">
        <v>0</v>
      </c>
      <c r="F2228" s="39" t="s">
        <v>1180</v>
      </c>
      <c r="I2228" s="39" t="s">
        <v>109</v>
      </c>
      <c r="L2228" s="0" t="n">
        <v>133</v>
      </c>
      <c r="U2228" s="0" t="n">
        <v>531</v>
      </c>
      <c r="V2228" s="0" t="n">
        <v>1</v>
      </c>
      <c r="W2228" s="39" t="n">
        <f aca="false">IF(I2228="Male",0,1)</f>
        <v>1</v>
      </c>
      <c r="X2228" s="39" t="n">
        <f aca="false">IF(OR(I2228="DNB",I2228="Dry DNB"),1,0)</f>
        <v>0</v>
      </c>
      <c r="Y2228" s="39" t="n">
        <f aca="false">MATCH(A2228,DATAS,0)</f>
        <v>1</v>
      </c>
      <c r="Z2228" s="39" t="n">
        <f aca="false">IF(AND(E2228&gt;0,OR(AND(B2228&gt;=1,B2228&lt;=6),B2228=10)),1,0)</f>
        <v>0</v>
      </c>
      <c r="AA2228" s="39" t="n">
        <f aca="false">IF(AND(E2228&gt;0,B2228=10),1,0)</f>
        <v>0</v>
      </c>
      <c r="AB2228" s="0" t="str">
        <f aca="false">IF(AND(C2227=C2228,Y2227=Y2228-1),Z2227,"")</f>
        <v/>
      </c>
      <c r="AC2228" s="0" t="str">
        <f aca="false">IF(AND(C2227=C2228,Y2227=Y2228-1),AA2227,"")</f>
        <v/>
      </c>
      <c r="AD2228" s="0" t="str">
        <f aca="false">IF(Y2228=1,"",IF(AND(Z2228=1,AB2228&lt;&gt;1),1,0))</f>
        <v/>
      </c>
      <c r="AE2228" s="0" t="str">
        <f aca="false">IF(Y2228=1,"",IF(AND(AA2228=1,AC2228&lt;&gt;1),1,0))</f>
        <v/>
      </c>
      <c r="AF2228" s="45" t="str">
        <f aca="false">IF(AND(E2228&gt;0,Y2228&lt;1,NOT(AND(C2229=C2228,Y2229=Y2228+1))),INDEX(DATAS,Y2228+1),"")</f>
        <v/>
      </c>
      <c r="AG2228" s="45" t="str">
        <f aca="false">IF(AND(AA2228=1,Y2228&lt;1),IF(AND(C2229=C2228,Y2229=Y2228+1),IF(AA2229=1,"",INDEX(DATAS,Y2228+1)),INDEX(DATAS,Y2228+1)),"")</f>
        <v/>
      </c>
    </row>
    <row r="2229" customFormat="false" ht="15" hidden="false" customHeight="false" outlineLevel="0" collapsed="false">
      <c r="A2229" s="45" t="n">
        <v>46309</v>
      </c>
      <c r="B2229" s="0" t="n">
        <v>8</v>
      </c>
      <c r="C2229" s="0" t="n">
        <v>6513</v>
      </c>
      <c r="E2229" s="0" t="n">
        <v>0</v>
      </c>
      <c r="F2229" s="39" t="s">
        <v>1180</v>
      </c>
      <c r="I2229" s="39" t="s">
        <v>109</v>
      </c>
      <c r="L2229" s="0" t="n">
        <v>84</v>
      </c>
      <c r="U2229" s="0" t="n">
        <v>531</v>
      </c>
      <c r="V2229" s="0" t="n">
        <v>3</v>
      </c>
      <c r="W2229" s="39" t="n">
        <f aca="false">IF(I2229="Male",0,1)</f>
        <v>1</v>
      </c>
      <c r="X2229" s="39" t="n">
        <f aca="false">IF(OR(I2229="DNB",I2229="Dry DNB"),1,0)</f>
        <v>0</v>
      </c>
      <c r="Y2229" s="39" t="n">
        <f aca="false">MATCH(A2229,DATAS,0)</f>
        <v>1</v>
      </c>
      <c r="Z2229" s="39" t="n">
        <f aca="false">IF(AND(E2229&gt;0,OR(AND(B2229&gt;=1,B2229&lt;=6),B2229=10)),1,0)</f>
        <v>0</v>
      </c>
      <c r="AA2229" s="39" t="n">
        <f aca="false">IF(AND(E2229&gt;0,B2229=10),1,0)</f>
        <v>0</v>
      </c>
      <c r="AB2229" s="0" t="str">
        <f aca="false">IF(AND(C2228=C2229,Y2228=Y2229-1),Z2228,"")</f>
        <v/>
      </c>
      <c r="AC2229" s="0" t="str">
        <f aca="false">IF(AND(C2228=C2229,Y2228=Y2229-1),AA2228,"")</f>
        <v/>
      </c>
      <c r="AD2229" s="0" t="str">
        <f aca="false">IF(Y2229=1,"",IF(AND(Z2229=1,AB2229&lt;&gt;1),1,0))</f>
        <v/>
      </c>
      <c r="AE2229" s="0" t="str">
        <f aca="false">IF(Y2229=1,"",IF(AND(AA2229=1,AC2229&lt;&gt;1),1,0))</f>
        <v/>
      </c>
      <c r="AF2229" s="45" t="str">
        <f aca="false">IF(AND(E2229&gt;0,Y2229&lt;1,NOT(AND(C2230=C2229,Y2230=Y2229+1))),INDEX(DATAS,Y2229+1),"")</f>
        <v/>
      </c>
      <c r="AG2229" s="45" t="str">
        <f aca="false">IF(AND(AA2229=1,Y2229&lt;1),IF(AND(C2230=C2229,Y2230=Y2229+1),IF(AA2230=1,"",INDEX(DATAS,Y2229+1)),INDEX(DATAS,Y2229+1)),"")</f>
        <v/>
      </c>
    </row>
    <row r="2230" customFormat="false" ht="15" hidden="false" customHeight="false" outlineLevel="0" collapsed="false">
      <c r="A2230" s="45" t="n">
        <v>46309</v>
      </c>
      <c r="B2230" s="0" t="n">
        <v>8</v>
      </c>
      <c r="C2230" s="0" t="n">
        <v>6514</v>
      </c>
      <c r="E2230" s="0" t="n">
        <v>0</v>
      </c>
      <c r="F2230" s="39" t="s">
        <v>1180</v>
      </c>
      <c r="I2230" s="39" t="s">
        <v>109</v>
      </c>
      <c r="L2230" s="0" t="n">
        <v>111</v>
      </c>
      <c r="U2230" s="0" t="n">
        <v>531</v>
      </c>
      <c r="V2230" s="0" t="n">
        <v>2</v>
      </c>
      <c r="W2230" s="39" t="n">
        <f aca="false">IF(I2230="Male",0,1)</f>
        <v>1</v>
      </c>
      <c r="X2230" s="39" t="n">
        <f aca="false">IF(OR(I2230="DNB",I2230="Dry DNB"),1,0)</f>
        <v>0</v>
      </c>
      <c r="Y2230" s="39" t="n">
        <f aca="false">MATCH(A2230,DATAS,0)</f>
        <v>1</v>
      </c>
      <c r="Z2230" s="39" t="n">
        <f aca="false">IF(AND(E2230&gt;0,OR(AND(B2230&gt;=1,B2230&lt;=6),B2230=10)),1,0)</f>
        <v>0</v>
      </c>
      <c r="AA2230" s="39" t="n">
        <f aca="false">IF(AND(E2230&gt;0,B2230=10),1,0)</f>
        <v>0</v>
      </c>
      <c r="AB2230" s="0" t="str">
        <f aca="false">IF(AND(C2229=C2230,Y2229=Y2230-1),Z2229,"")</f>
        <v/>
      </c>
      <c r="AC2230" s="0" t="str">
        <f aca="false">IF(AND(C2229=C2230,Y2229=Y2230-1),AA2229,"")</f>
        <v/>
      </c>
      <c r="AD2230" s="0" t="str">
        <f aca="false">IF(Y2230=1,"",IF(AND(Z2230=1,AB2230&lt;&gt;1),1,0))</f>
        <v/>
      </c>
      <c r="AE2230" s="0" t="str">
        <f aca="false">IF(Y2230=1,"",IF(AND(AA2230=1,AC2230&lt;&gt;1),1,0))</f>
        <v/>
      </c>
      <c r="AF2230" s="45" t="str">
        <f aca="false">IF(AND(E2230&gt;0,Y2230&lt;1,NOT(AND(C2231=C2230,Y2231=Y2230+1))),INDEX(DATAS,Y2230+1),"")</f>
        <v/>
      </c>
      <c r="AG2230" s="45" t="str">
        <f aca="false">IF(AND(AA2230=1,Y2230&lt;1),IF(AND(C2231=C2230,Y2231=Y2230+1),IF(AA2231=1,"",INDEX(DATAS,Y2230+1)),INDEX(DATAS,Y2230+1)),"")</f>
        <v/>
      </c>
    </row>
    <row r="2231" customFormat="false" ht="15" hidden="false" customHeight="false" outlineLevel="0" collapsed="false">
      <c r="A2231" s="45" t="n">
        <v>46309</v>
      </c>
      <c r="B2231" s="0" t="n">
        <v>8</v>
      </c>
      <c r="C2231" s="0" t="n">
        <v>6515</v>
      </c>
      <c r="E2231" s="0" t="n">
        <v>0</v>
      </c>
      <c r="F2231" s="39" t="s">
        <v>1181</v>
      </c>
      <c r="I2231" s="39" t="s">
        <v>109</v>
      </c>
      <c r="L2231" s="0" t="n">
        <v>112</v>
      </c>
      <c r="U2231" s="0" t="n">
        <v>530</v>
      </c>
      <c r="V2231" s="0" t="n">
        <v>1</v>
      </c>
      <c r="W2231" s="39" t="n">
        <f aca="false">IF(I2231="Male",0,1)</f>
        <v>1</v>
      </c>
      <c r="X2231" s="39" t="n">
        <f aca="false">IF(OR(I2231="DNB",I2231="Dry DNB"),1,0)</f>
        <v>0</v>
      </c>
      <c r="Y2231" s="39" t="n">
        <f aca="false">MATCH(A2231,DATAS,0)</f>
        <v>1</v>
      </c>
      <c r="Z2231" s="39" t="n">
        <f aca="false">IF(AND(E2231&gt;0,OR(AND(B2231&gt;=1,B2231&lt;=6),B2231=10)),1,0)</f>
        <v>0</v>
      </c>
      <c r="AA2231" s="39" t="n">
        <f aca="false">IF(AND(E2231&gt;0,B2231=10),1,0)</f>
        <v>0</v>
      </c>
      <c r="AB2231" s="0" t="str">
        <f aca="false">IF(AND(C2230=C2231,Y2230=Y2231-1),Z2230,"")</f>
        <v/>
      </c>
      <c r="AC2231" s="0" t="str">
        <f aca="false">IF(AND(C2230=C2231,Y2230=Y2231-1),AA2230,"")</f>
        <v/>
      </c>
      <c r="AD2231" s="0" t="str">
        <f aca="false">IF(Y2231=1,"",IF(AND(Z2231=1,AB2231&lt;&gt;1),1,0))</f>
        <v/>
      </c>
      <c r="AE2231" s="0" t="str">
        <f aca="false">IF(Y2231=1,"",IF(AND(AA2231=1,AC2231&lt;&gt;1),1,0))</f>
        <v/>
      </c>
      <c r="AF2231" s="45" t="str">
        <f aca="false">IF(AND(E2231&gt;0,Y2231&lt;1,NOT(AND(C2232=C2231,Y2232=Y2231+1))),INDEX(DATAS,Y2231+1),"")</f>
        <v/>
      </c>
      <c r="AG2231" s="45" t="str">
        <f aca="false">IF(AND(AA2231=1,Y2231&lt;1),IF(AND(C2232=C2231,Y2232=Y2231+1),IF(AA2232=1,"",INDEX(DATAS,Y2231+1)),INDEX(DATAS,Y2231+1)),"")</f>
        <v/>
      </c>
    </row>
    <row r="2232" customFormat="false" ht="15" hidden="false" customHeight="false" outlineLevel="0" collapsed="false">
      <c r="A2232" s="45" t="n">
        <v>46309</v>
      </c>
      <c r="B2232" s="0" t="n">
        <v>8</v>
      </c>
      <c r="C2232" s="0" t="n">
        <v>6516</v>
      </c>
      <c r="E2232" s="0" t="n">
        <v>0</v>
      </c>
      <c r="F2232" s="39" t="s">
        <v>1182</v>
      </c>
      <c r="I2232" s="39" t="s">
        <v>109</v>
      </c>
      <c r="L2232" s="0" t="n">
        <v>85</v>
      </c>
      <c r="U2232" s="0" t="n">
        <v>527</v>
      </c>
      <c r="V2232" s="0" t="n">
        <v>3</v>
      </c>
      <c r="W2232" s="39" t="n">
        <f aca="false">IF(I2232="Male",0,1)</f>
        <v>1</v>
      </c>
      <c r="X2232" s="39" t="n">
        <f aca="false">IF(OR(I2232="DNB",I2232="Dry DNB"),1,0)</f>
        <v>0</v>
      </c>
      <c r="Y2232" s="39" t="n">
        <f aca="false">MATCH(A2232,DATAS,0)</f>
        <v>1</v>
      </c>
      <c r="Z2232" s="39" t="n">
        <f aca="false">IF(AND(E2232&gt;0,OR(AND(B2232&gt;=1,B2232&lt;=6),B2232=10)),1,0)</f>
        <v>0</v>
      </c>
      <c r="AA2232" s="39" t="n">
        <f aca="false">IF(AND(E2232&gt;0,B2232=10),1,0)</f>
        <v>0</v>
      </c>
      <c r="AB2232" s="0" t="str">
        <f aca="false">IF(AND(C2231=C2232,Y2231=Y2232-1),Z2231,"")</f>
        <v/>
      </c>
      <c r="AC2232" s="0" t="str">
        <f aca="false">IF(AND(C2231=C2232,Y2231=Y2232-1),AA2231,"")</f>
        <v/>
      </c>
      <c r="AD2232" s="0" t="str">
        <f aca="false">IF(Y2232=1,"",IF(AND(Z2232=1,AB2232&lt;&gt;1),1,0))</f>
        <v/>
      </c>
      <c r="AE2232" s="0" t="str">
        <f aca="false">IF(Y2232=1,"",IF(AND(AA2232=1,AC2232&lt;&gt;1),1,0))</f>
        <v/>
      </c>
      <c r="AF2232" s="45" t="str">
        <f aca="false">IF(AND(E2232&gt;0,Y2232&lt;1,NOT(AND(C2233=C2232,Y2233=Y2232+1))),INDEX(DATAS,Y2232+1),"")</f>
        <v/>
      </c>
      <c r="AG2232" s="45" t="str">
        <f aca="false">IF(AND(AA2232=1,Y2232&lt;1),IF(AND(C2233=C2232,Y2233=Y2232+1),IF(AA2233=1,"",INDEX(DATAS,Y2232+1)),INDEX(DATAS,Y2232+1)),"")</f>
        <v/>
      </c>
    </row>
    <row r="2233" customFormat="false" ht="15" hidden="false" customHeight="false" outlineLevel="0" collapsed="false">
      <c r="A2233" s="45" t="n">
        <v>46309</v>
      </c>
      <c r="B2233" s="0" t="n">
        <v>8</v>
      </c>
      <c r="C2233" s="0" t="n">
        <v>6517</v>
      </c>
      <c r="E2233" s="0" t="n">
        <v>0</v>
      </c>
      <c r="F2233" s="39" t="s">
        <v>1182</v>
      </c>
      <c r="I2233" s="39" t="s">
        <v>109</v>
      </c>
      <c r="L2233" s="0" t="n">
        <v>125</v>
      </c>
      <c r="U2233" s="0" t="n">
        <v>527</v>
      </c>
      <c r="V2233" s="0" t="n">
        <v>1</v>
      </c>
      <c r="W2233" s="39" t="n">
        <f aca="false">IF(I2233="Male",0,1)</f>
        <v>1</v>
      </c>
      <c r="X2233" s="39" t="n">
        <f aca="false">IF(OR(I2233="DNB",I2233="Dry DNB"),1,0)</f>
        <v>0</v>
      </c>
      <c r="Y2233" s="39" t="n">
        <f aca="false">MATCH(A2233,DATAS,0)</f>
        <v>1</v>
      </c>
      <c r="Z2233" s="39" t="n">
        <f aca="false">IF(AND(E2233&gt;0,OR(AND(B2233&gt;=1,B2233&lt;=6),B2233=10)),1,0)</f>
        <v>0</v>
      </c>
      <c r="AA2233" s="39" t="n">
        <f aca="false">IF(AND(E2233&gt;0,B2233=10),1,0)</f>
        <v>0</v>
      </c>
      <c r="AB2233" s="0" t="str">
        <f aca="false">IF(AND(C2232=C2233,Y2232=Y2233-1),Z2232,"")</f>
        <v/>
      </c>
      <c r="AC2233" s="0" t="str">
        <f aca="false">IF(AND(C2232=C2233,Y2232=Y2233-1),AA2232,"")</f>
        <v/>
      </c>
      <c r="AD2233" s="0" t="str">
        <f aca="false">IF(Y2233=1,"",IF(AND(Z2233=1,AB2233&lt;&gt;1),1,0))</f>
        <v/>
      </c>
      <c r="AE2233" s="0" t="str">
        <f aca="false">IF(Y2233=1,"",IF(AND(AA2233=1,AC2233&lt;&gt;1),1,0))</f>
        <v/>
      </c>
      <c r="AF2233" s="45" t="str">
        <f aca="false">IF(AND(E2233&gt;0,Y2233&lt;1,NOT(AND(C2234=C2233,Y2234=Y2233+1))),INDEX(DATAS,Y2233+1),"")</f>
        <v/>
      </c>
      <c r="AG2233" s="45" t="str">
        <f aca="false">IF(AND(AA2233=1,Y2233&lt;1),IF(AND(C2234=C2233,Y2234=Y2233+1),IF(AA2234=1,"",INDEX(DATAS,Y2233+1)),INDEX(DATAS,Y2233+1)),"")</f>
        <v/>
      </c>
    </row>
    <row r="2234" customFormat="false" ht="15" hidden="false" customHeight="false" outlineLevel="0" collapsed="false">
      <c r="A2234" s="45" t="n">
        <v>46309</v>
      </c>
      <c r="B2234" s="0" t="n">
        <v>11</v>
      </c>
      <c r="C2234" s="0" t="n">
        <v>6518</v>
      </c>
      <c r="E2234" s="0" t="n">
        <v>0</v>
      </c>
      <c r="F2234" s="39" t="s">
        <v>1182</v>
      </c>
      <c r="I2234" s="39" t="s">
        <v>138</v>
      </c>
      <c r="U2234" s="0" t="n">
        <v>527</v>
      </c>
      <c r="V2234" s="0" t="n">
        <v>4</v>
      </c>
      <c r="W2234" s="39" t="n">
        <f aca="false">IF(I2234="Male",0,1)</f>
        <v>1</v>
      </c>
      <c r="X2234" s="39" t="n">
        <f aca="false">IF(OR(I2234="DNB",I2234="Dry DNB"),1,0)</f>
        <v>0</v>
      </c>
      <c r="Y2234" s="39" t="n">
        <f aca="false">MATCH(A2234,DATAS,0)</f>
        <v>1</v>
      </c>
      <c r="Z2234" s="39" t="n">
        <f aca="false">IF(AND(E2234&gt;0,OR(AND(B2234&gt;=1,B2234&lt;=6),B2234=10)),1,0)</f>
        <v>0</v>
      </c>
      <c r="AA2234" s="39" t="n">
        <f aca="false">IF(AND(E2234&gt;0,B2234=10),1,0)</f>
        <v>0</v>
      </c>
      <c r="AB2234" s="0" t="str">
        <f aca="false">IF(AND(C2233=C2234,Y2233=Y2234-1),Z2233,"")</f>
        <v/>
      </c>
      <c r="AC2234" s="0" t="str">
        <f aca="false">IF(AND(C2233=C2234,Y2233=Y2234-1),AA2233,"")</f>
        <v/>
      </c>
      <c r="AD2234" s="0" t="str">
        <f aca="false">IF(Y2234=1,"",IF(AND(Z2234=1,AB2234&lt;&gt;1),1,0))</f>
        <v/>
      </c>
      <c r="AE2234" s="0" t="str">
        <f aca="false">IF(Y2234=1,"",IF(AND(AA2234=1,AC2234&lt;&gt;1),1,0))</f>
        <v/>
      </c>
      <c r="AF2234" s="45" t="str">
        <f aca="false">IF(AND(E2234&gt;0,Y2234&lt;1,NOT(AND(C2235=C2234,Y2235=Y2234+1))),INDEX(DATAS,Y2234+1),"")</f>
        <v/>
      </c>
      <c r="AG2234" s="45" t="str">
        <f aca="false">IF(AND(AA2234=1,Y2234&lt;1),IF(AND(C2235=C2234,Y2235=Y2234+1),IF(AA2235=1,"",INDEX(DATAS,Y2234+1)),INDEX(DATAS,Y2234+1)),"")</f>
        <v/>
      </c>
    </row>
    <row r="2235" customFormat="false" ht="15" hidden="false" customHeight="false" outlineLevel="0" collapsed="false">
      <c r="A2235" s="45" t="n">
        <v>46309</v>
      </c>
      <c r="B2235" s="0" t="n">
        <v>11</v>
      </c>
      <c r="C2235" s="0" t="n">
        <v>6519</v>
      </c>
      <c r="E2235" s="0" t="n">
        <v>0</v>
      </c>
      <c r="F2235" s="39" t="s">
        <v>1182</v>
      </c>
      <c r="I2235" s="39" t="s">
        <v>138</v>
      </c>
      <c r="U2235" s="0" t="n">
        <v>527</v>
      </c>
      <c r="V2235" s="0" t="n">
        <v>2</v>
      </c>
      <c r="W2235" s="39" t="n">
        <f aca="false">IF(I2235="Male",0,1)</f>
        <v>1</v>
      </c>
      <c r="X2235" s="39" t="n">
        <f aca="false">IF(OR(I2235="DNB",I2235="Dry DNB"),1,0)</f>
        <v>0</v>
      </c>
      <c r="Y2235" s="39" t="n">
        <f aca="false">MATCH(A2235,DATAS,0)</f>
        <v>1</v>
      </c>
      <c r="Z2235" s="39" t="n">
        <f aca="false">IF(AND(E2235&gt;0,OR(AND(B2235&gt;=1,B2235&lt;=6),B2235=10)),1,0)</f>
        <v>0</v>
      </c>
      <c r="AA2235" s="39" t="n">
        <f aca="false">IF(AND(E2235&gt;0,B2235=10),1,0)</f>
        <v>0</v>
      </c>
      <c r="AB2235" s="0" t="str">
        <f aca="false">IF(AND(C2234=C2235,Y2234=Y2235-1),Z2234,"")</f>
        <v/>
      </c>
      <c r="AC2235" s="0" t="str">
        <f aca="false">IF(AND(C2234=C2235,Y2234=Y2235-1),AA2234,"")</f>
        <v/>
      </c>
      <c r="AD2235" s="0" t="str">
        <f aca="false">IF(Y2235=1,"",IF(AND(Z2235=1,AB2235&lt;&gt;1),1,0))</f>
        <v/>
      </c>
      <c r="AE2235" s="0" t="str">
        <f aca="false">IF(Y2235=1,"",IF(AND(AA2235=1,AC2235&lt;&gt;1),1,0))</f>
        <v/>
      </c>
      <c r="AF2235" s="45" t="str">
        <f aca="false">IF(AND(E2235&gt;0,Y2235&lt;1,NOT(AND(C2236=C2235,Y2236=Y2235+1))),INDEX(DATAS,Y2235+1),"")</f>
        <v/>
      </c>
      <c r="AG2235" s="45" t="str">
        <f aca="false">IF(AND(AA2235=1,Y2235&lt;1),IF(AND(C2236=C2235,Y2236=Y2235+1),IF(AA2236=1,"",INDEX(DATAS,Y2235+1)),INDEX(DATAS,Y2235+1)),"")</f>
        <v/>
      </c>
    </row>
    <row r="2236" customFormat="false" ht="15" hidden="false" customHeight="false" outlineLevel="0" collapsed="false">
      <c r="A2236" s="45" t="n">
        <v>46309</v>
      </c>
      <c r="B2236" s="0" t="n">
        <v>8</v>
      </c>
      <c r="C2236" s="0" t="n">
        <v>6520</v>
      </c>
      <c r="E2236" s="0" t="n">
        <v>0</v>
      </c>
      <c r="F2236" s="39" t="s">
        <v>1182</v>
      </c>
      <c r="I2236" s="39" t="s">
        <v>109</v>
      </c>
      <c r="L2236" s="0" t="n">
        <v>35</v>
      </c>
      <c r="U2236" s="0" t="n">
        <v>527</v>
      </c>
      <c r="V2236" s="0" t="n">
        <v>2</v>
      </c>
      <c r="W2236" s="39" t="n">
        <f aca="false">IF(I2236="Male",0,1)</f>
        <v>1</v>
      </c>
      <c r="X2236" s="39" t="n">
        <f aca="false">IF(OR(I2236="DNB",I2236="Dry DNB"),1,0)</f>
        <v>0</v>
      </c>
      <c r="Y2236" s="39" t="n">
        <f aca="false">MATCH(A2236,DATAS,0)</f>
        <v>1</v>
      </c>
      <c r="Z2236" s="39" t="n">
        <f aca="false">IF(AND(E2236&gt;0,OR(AND(B2236&gt;=1,B2236&lt;=6),B2236=10)),1,0)</f>
        <v>0</v>
      </c>
      <c r="AA2236" s="39" t="n">
        <f aca="false">IF(AND(E2236&gt;0,B2236=10),1,0)</f>
        <v>0</v>
      </c>
      <c r="AB2236" s="0" t="str">
        <f aca="false">IF(AND(C2235=C2236,Y2235=Y2236-1),Z2235,"")</f>
        <v/>
      </c>
      <c r="AC2236" s="0" t="str">
        <f aca="false">IF(AND(C2235=C2236,Y2235=Y2236-1),AA2235,"")</f>
        <v/>
      </c>
      <c r="AD2236" s="0" t="str">
        <f aca="false">IF(Y2236=1,"",IF(AND(Z2236=1,AB2236&lt;&gt;1),1,0))</f>
        <v/>
      </c>
      <c r="AE2236" s="0" t="str">
        <f aca="false">IF(Y2236=1,"",IF(AND(AA2236=1,AC2236&lt;&gt;1),1,0))</f>
        <v/>
      </c>
      <c r="AF2236" s="45" t="str">
        <f aca="false">IF(AND(E2236&gt;0,Y2236&lt;1,NOT(AND(C2237=C2236,Y2237=Y2236+1))),INDEX(DATAS,Y2236+1),"")</f>
        <v/>
      </c>
      <c r="AG2236" s="45" t="str">
        <f aca="false">IF(AND(AA2236=1,Y2236&lt;1),IF(AND(C2237=C2236,Y2237=Y2236+1),IF(AA2237=1,"",INDEX(DATAS,Y2236+1)),INDEX(DATAS,Y2236+1)),"")</f>
        <v/>
      </c>
    </row>
    <row r="2237" customFormat="false" ht="15" hidden="false" customHeight="false" outlineLevel="0" collapsed="false">
      <c r="A2237" s="45" t="n">
        <v>46309</v>
      </c>
      <c r="B2237" s="0" t="n">
        <v>8</v>
      </c>
      <c r="C2237" s="0" t="n">
        <v>6522</v>
      </c>
      <c r="E2237" s="0" t="n">
        <v>0</v>
      </c>
      <c r="F2237" s="39" t="s">
        <v>1182</v>
      </c>
      <c r="I2237" s="39" t="s">
        <v>109</v>
      </c>
      <c r="L2237" s="0" t="n">
        <v>109</v>
      </c>
      <c r="U2237" s="0" t="n">
        <v>527</v>
      </c>
      <c r="V2237" s="0" t="n">
        <v>2</v>
      </c>
      <c r="W2237" s="39" t="n">
        <f aca="false">IF(I2237="Male",0,1)</f>
        <v>1</v>
      </c>
      <c r="X2237" s="39" t="n">
        <f aca="false">IF(OR(I2237="DNB",I2237="Dry DNB"),1,0)</f>
        <v>0</v>
      </c>
      <c r="Y2237" s="39" t="n">
        <f aca="false">MATCH(A2237,DATAS,0)</f>
        <v>1</v>
      </c>
      <c r="Z2237" s="39" t="n">
        <f aca="false">IF(AND(E2237&gt;0,OR(AND(B2237&gt;=1,B2237&lt;=6),B2237=10)),1,0)</f>
        <v>0</v>
      </c>
      <c r="AA2237" s="39" t="n">
        <f aca="false">IF(AND(E2237&gt;0,B2237=10),1,0)</f>
        <v>0</v>
      </c>
      <c r="AB2237" s="0" t="str">
        <f aca="false">IF(AND(C2236=C2237,Y2236=Y2237-1),Z2236,"")</f>
        <v/>
      </c>
      <c r="AC2237" s="0" t="str">
        <f aca="false">IF(AND(C2236=C2237,Y2236=Y2237-1),AA2236,"")</f>
        <v/>
      </c>
      <c r="AD2237" s="0" t="str">
        <f aca="false">IF(Y2237=1,"",IF(AND(Z2237=1,AB2237&lt;&gt;1),1,0))</f>
        <v/>
      </c>
      <c r="AE2237" s="0" t="str">
        <f aca="false">IF(Y2237=1,"",IF(AND(AA2237=1,AC2237&lt;&gt;1),1,0))</f>
        <v/>
      </c>
      <c r="AF2237" s="45" t="str">
        <f aca="false">IF(AND(E2237&gt;0,Y2237&lt;1,NOT(AND(C2238=C2237,Y2238=Y2237+1))),INDEX(DATAS,Y2237+1),"")</f>
        <v/>
      </c>
      <c r="AG2237" s="45" t="str">
        <f aca="false">IF(AND(AA2237=1,Y2237&lt;1),IF(AND(C2238=C2237,Y2238=Y2237+1),IF(AA2238=1,"",INDEX(DATAS,Y2237+1)),INDEX(DATAS,Y2237+1)),"")</f>
        <v/>
      </c>
    </row>
    <row r="2238" customFormat="false" ht="15" hidden="false" customHeight="false" outlineLevel="0" collapsed="false">
      <c r="A2238" s="45" t="n">
        <v>46309</v>
      </c>
      <c r="B2238" s="0" t="n">
        <v>8</v>
      </c>
      <c r="C2238" s="0" t="n">
        <v>6523</v>
      </c>
      <c r="E2238" s="0" t="n">
        <v>0</v>
      </c>
      <c r="F2238" s="39" t="s">
        <v>1183</v>
      </c>
      <c r="I2238" s="39" t="s">
        <v>109</v>
      </c>
      <c r="L2238" s="0" t="n">
        <v>133</v>
      </c>
      <c r="U2238" s="0" t="n">
        <v>525</v>
      </c>
      <c r="V2238" s="0" t="n">
        <v>1</v>
      </c>
      <c r="W2238" s="39" t="n">
        <f aca="false">IF(I2238="Male",0,1)</f>
        <v>1</v>
      </c>
      <c r="X2238" s="39" t="n">
        <f aca="false">IF(OR(I2238="DNB",I2238="Dry DNB"),1,0)</f>
        <v>0</v>
      </c>
      <c r="Y2238" s="39" t="n">
        <f aca="false">MATCH(A2238,DATAS,0)</f>
        <v>1</v>
      </c>
      <c r="Z2238" s="39" t="n">
        <f aca="false">IF(AND(E2238&gt;0,OR(AND(B2238&gt;=1,B2238&lt;=6),B2238=10)),1,0)</f>
        <v>0</v>
      </c>
      <c r="AA2238" s="39" t="n">
        <f aca="false">IF(AND(E2238&gt;0,B2238=10),1,0)</f>
        <v>0</v>
      </c>
      <c r="AB2238" s="0" t="str">
        <f aca="false">IF(AND(C2237=C2238,Y2237=Y2238-1),Z2237,"")</f>
        <v/>
      </c>
      <c r="AC2238" s="0" t="str">
        <f aca="false">IF(AND(C2237=C2238,Y2237=Y2238-1),AA2237,"")</f>
        <v/>
      </c>
      <c r="AD2238" s="0" t="str">
        <f aca="false">IF(Y2238=1,"",IF(AND(Z2238=1,AB2238&lt;&gt;1),1,0))</f>
        <v/>
      </c>
      <c r="AE2238" s="0" t="str">
        <f aca="false">IF(Y2238=1,"",IF(AND(AA2238=1,AC2238&lt;&gt;1),1,0))</f>
        <v/>
      </c>
      <c r="AF2238" s="45" t="str">
        <f aca="false">IF(AND(E2238&gt;0,Y2238&lt;1,NOT(AND(C2239=C2238,Y2239=Y2238+1))),INDEX(DATAS,Y2238+1),"")</f>
        <v/>
      </c>
      <c r="AG2238" s="45" t="str">
        <f aca="false">IF(AND(AA2238=1,Y2238&lt;1),IF(AND(C2239=C2238,Y2239=Y2238+1),IF(AA2239=1,"",INDEX(DATAS,Y2238+1)),INDEX(DATAS,Y2238+1)),"")</f>
        <v/>
      </c>
    </row>
    <row r="2239" customFormat="false" ht="15" hidden="false" customHeight="false" outlineLevel="0" collapsed="false">
      <c r="A2239" s="45" t="n">
        <v>46309</v>
      </c>
      <c r="B2239" s="0" t="n">
        <v>8</v>
      </c>
      <c r="C2239" s="0" t="n">
        <v>6524</v>
      </c>
      <c r="E2239" s="0" t="n">
        <v>0</v>
      </c>
      <c r="F2239" s="39" t="s">
        <v>1183</v>
      </c>
      <c r="I2239" s="39" t="s">
        <v>109</v>
      </c>
      <c r="L2239" s="0" t="n">
        <v>108</v>
      </c>
      <c r="U2239" s="0" t="n">
        <v>525</v>
      </c>
      <c r="V2239" s="0" t="n">
        <v>2</v>
      </c>
      <c r="W2239" s="39" t="n">
        <f aca="false">IF(I2239="Male",0,1)</f>
        <v>1</v>
      </c>
      <c r="X2239" s="39" t="n">
        <f aca="false">IF(OR(I2239="DNB",I2239="Dry DNB"),1,0)</f>
        <v>0</v>
      </c>
      <c r="Y2239" s="39" t="n">
        <f aca="false">MATCH(A2239,DATAS,0)</f>
        <v>1</v>
      </c>
      <c r="Z2239" s="39" t="n">
        <f aca="false">IF(AND(E2239&gt;0,OR(AND(B2239&gt;=1,B2239&lt;=6),B2239=10)),1,0)</f>
        <v>0</v>
      </c>
      <c r="AA2239" s="39" t="n">
        <f aca="false">IF(AND(E2239&gt;0,B2239=10),1,0)</f>
        <v>0</v>
      </c>
      <c r="AB2239" s="0" t="str">
        <f aca="false">IF(AND(C2238=C2239,Y2238=Y2239-1),Z2238,"")</f>
        <v/>
      </c>
      <c r="AC2239" s="0" t="str">
        <f aca="false">IF(AND(C2238=C2239,Y2238=Y2239-1),AA2238,"")</f>
        <v/>
      </c>
      <c r="AD2239" s="0" t="str">
        <f aca="false">IF(Y2239=1,"",IF(AND(Z2239=1,AB2239&lt;&gt;1),1,0))</f>
        <v/>
      </c>
      <c r="AE2239" s="0" t="str">
        <f aca="false">IF(Y2239=1,"",IF(AND(AA2239=1,AC2239&lt;&gt;1),1,0))</f>
        <v/>
      </c>
      <c r="AF2239" s="45" t="str">
        <f aca="false">IF(AND(E2239&gt;0,Y2239&lt;1,NOT(AND(C2240=C2239,Y2240=Y2239+1))),INDEX(DATAS,Y2239+1),"")</f>
        <v/>
      </c>
      <c r="AG2239" s="45" t="str">
        <f aca="false">IF(AND(AA2239=1,Y2239&lt;1),IF(AND(C2240=C2239,Y2240=Y2239+1),IF(AA2240=1,"",INDEX(DATAS,Y2239+1)),INDEX(DATAS,Y2239+1)),"")</f>
        <v/>
      </c>
    </row>
    <row r="2240" customFormat="false" ht="15" hidden="false" customHeight="false" outlineLevel="0" collapsed="false">
      <c r="A2240" s="45" t="n">
        <v>46309</v>
      </c>
      <c r="B2240" s="0" t="n">
        <v>8</v>
      </c>
      <c r="C2240" s="0" t="n">
        <v>6525</v>
      </c>
      <c r="E2240" s="0" t="n">
        <v>0</v>
      </c>
      <c r="F2240" s="39" t="s">
        <v>1184</v>
      </c>
      <c r="I2240" s="39" t="s">
        <v>109</v>
      </c>
      <c r="L2240" s="0" t="n">
        <v>125</v>
      </c>
      <c r="U2240" s="0" t="n">
        <v>524</v>
      </c>
      <c r="V2240" s="0" t="n">
        <v>1</v>
      </c>
      <c r="W2240" s="39" t="n">
        <f aca="false">IF(I2240="Male",0,1)</f>
        <v>1</v>
      </c>
      <c r="X2240" s="39" t="n">
        <f aca="false">IF(OR(I2240="DNB",I2240="Dry DNB"),1,0)</f>
        <v>0</v>
      </c>
      <c r="Y2240" s="39" t="n">
        <f aca="false">MATCH(A2240,DATAS,0)</f>
        <v>1</v>
      </c>
      <c r="Z2240" s="39" t="n">
        <f aca="false">IF(AND(E2240&gt;0,OR(AND(B2240&gt;=1,B2240&lt;=6),B2240=10)),1,0)</f>
        <v>0</v>
      </c>
      <c r="AA2240" s="39" t="n">
        <f aca="false">IF(AND(E2240&gt;0,B2240=10),1,0)</f>
        <v>0</v>
      </c>
      <c r="AB2240" s="0" t="str">
        <f aca="false">IF(AND(C2239=C2240,Y2239=Y2240-1),Z2239,"")</f>
        <v/>
      </c>
      <c r="AC2240" s="0" t="str">
        <f aca="false">IF(AND(C2239=C2240,Y2239=Y2240-1),AA2239,"")</f>
        <v/>
      </c>
      <c r="AD2240" s="0" t="str">
        <f aca="false">IF(Y2240=1,"",IF(AND(Z2240=1,AB2240&lt;&gt;1),1,0))</f>
        <v/>
      </c>
      <c r="AE2240" s="0" t="str">
        <f aca="false">IF(Y2240=1,"",IF(AND(AA2240=1,AC2240&lt;&gt;1),1,0))</f>
        <v/>
      </c>
      <c r="AF2240" s="45" t="str">
        <f aca="false">IF(AND(E2240&gt;0,Y2240&lt;1,NOT(AND(C2241=C2240,Y2241=Y2240+1))),INDEX(DATAS,Y2240+1),"")</f>
        <v/>
      </c>
      <c r="AG2240" s="45" t="str">
        <f aca="false">IF(AND(AA2240=1,Y2240&lt;1),IF(AND(C2241=C2240,Y2241=Y2240+1),IF(AA2241=1,"",INDEX(DATAS,Y2240+1)),INDEX(DATAS,Y2240+1)),"")</f>
        <v/>
      </c>
    </row>
    <row r="2241" customFormat="false" ht="15" hidden="false" customHeight="false" outlineLevel="0" collapsed="false">
      <c r="A2241" s="45" t="n">
        <v>46309</v>
      </c>
      <c r="B2241" s="0" t="n">
        <v>8</v>
      </c>
      <c r="C2241" s="0" t="n">
        <v>6526</v>
      </c>
      <c r="E2241" s="0" t="n">
        <v>0</v>
      </c>
      <c r="F2241" s="39" t="s">
        <v>1184</v>
      </c>
      <c r="I2241" s="39" t="s">
        <v>109</v>
      </c>
      <c r="L2241" s="0" t="n">
        <v>120</v>
      </c>
      <c r="U2241" s="0" t="n">
        <v>524</v>
      </c>
      <c r="V2241" s="0" t="n">
        <v>1</v>
      </c>
      <c r="W2241" s="39" t="n">
        <f aca="false">IF(I2241="Male",0,1)</f>
        <v>1</v>
      </c>
      <c r="X2241" s="39" t="n">
        <f aca="false">IF(OR(I2241="DNB",I2241="Dry DNB"),1,0)</f>
        <v>0</v>
      </c>
      <c r="Y2241" s="39" t="n">
        <f aca="false">MATCH(A2241,DATAS,0)</f>
        <v>1</v>
      </c>
      <c r="Z2241" s="39" t="n">
        <f aca="false">IF(AND(E2241&gt;0,OR(AND(B2241&gt;=1,B2241&lt;=6),B2241=10)),1,0)</f>
        <v>0</v>
      </c>
      <c r="AA2241" s="39" t="n">
        <f aca="false">IF(AND(E2241&gt;0,B2241=10),1,0)</f>
        <v>0</v>
      </c>
      <c r="AB2241" s="0" t="str">
        <f aca="false">IF(AND(C2240=C2241,Y2240=Y2241-1),Z2240,"")</f>
        <v/>
      </c>
      <c r="AC2241" s="0" t="str">
        <f aca="false">IF(AND(C2240=C2241,Y2240=Y2241-1),AA2240,"")</f>
        <v/>
      </c>
      <c r="AD2241" s="0" t="str">
        <f aca="false">IF(Y2241=1,"",IF(AND(Z2241=1,AB2241&lt;&gt;1),1,0))</f>
        <v/>
      </c>
      <c r="AE2241" s="0" t="str">
        <f aca="false">IF(Y2241=1,"",IF(AND(AA2241=1,AC2241&lt;&gt;1),1,0))</f>
        <v/>
      </c>
      <c r="AF2241" s="45" t="str">
        <f aca="false">IF(AND(E2241&gt;0,Y2241&lt;1,NOT(AND(C2242=C2241,Y2242=Y2241+1))),INDEX(DATAS,Y2241+1),"")</f>
        <v/>
      </c>
      <c r="AG2241" s="45" t="str">
        <f aca="false">IF(AND(AA2241=1,Y2241&lt;1),IF(AND(C2242=C2241,Y2242=Y2241+1),IF(AA2242=1,"",INDEX(DATAS,Y2241+1)),INDEX(DATAS,Y2241+1)),"")</f>
        <v/>
      </c>
    </row>
    <row r="2242" customFormat="false" ht="15" hidden="false" customHeight="false" outlineLevel="0" collapsed="false">
      <c r="A2242" s="45" t="n">
        <v>46309</v>
      </c>
      <c r="B2242" s="0" t="n">
        <v>8</v>
      </c>
      <c r="C2242" s="0" t="n">
        <v>6527</v>
      </c>
      <c r="E2242" s="0" t="n">
        <v>0</v>
      </c>
      <c r="F2242" s="39" t="s">
        <v>1184</v>
      </c>
      <c r="I2242" s="39" t="s">
        <v>109</v>
      </c>
      <c r="L2242" s="0" t="n">
        <v>125</v>
      </c>
      <c r="U2242" s="0" t="n">
        <v>524</v>
      </c>
      <c r="V2242" s="0" t="n">
        <v>1</v>
      </c>
      <c r="W2242" s="39" t="n">
        <f aca="false">IF(I2242="Male",0,1)</f>
        <v>1</v>
      </c>
      <c r="X2242" s="39" t="n">
        <f aca="false">IF(OR(I2242="DNB",I2242="Dry DNB"),1,0)</f>
        <v>0</v>
      </c>
      <c r="Y2242" s="39" t="n">
        <f aca="false">MATCH(A2242,DATAS,0)</f>
        <v>1</v>
      </c>
      <c r="Z2242" s="39" t="n">
        <f aca="false">IF(AND(E2242&gt;0,OR(AND(B2242&gt;=1,B2242&lt;=6),B2242=10)),1,0)</f>
        <v>0</v>
      </c>
      <c r="AA2242" s="39" t="n">
        <f aca="false">IF(AND(E2242&gt;0,B2242=10),1,0)</f>
        <v>0</v>
      </c>
      <c r="AB2242" s="0" t="str">
        <f aca="false">IF(AND(C2241=C2242,Y2241=Y2242-1),Z2241,"")</f>
        <v/>
      </c>
      <c r="AC2242" s="0" t="str">
        <f aca="false">IF(AND(C2241=C2242,Y2241=Y2242-1),AA2241,"")</f>
        <v/>
      </c>
      <c r="AD2242" s="0" t="str">
        <f aca="false">IF(Y2242=1,"",IF(AND(Z2242=1,AB2242&lt;&gt;1),1,0))</f>
        <v/>
      </c>
      <c r="AE2242" s="0" t="str">
        <f aca="false">IF(Y2242=1,"",IF(AND(AA2242=1,AC2242&lt;&gt;1),1,0))</f>
        <v/>
      </c>
      <c r="AF2242" s="45" t="str">
        <f aca="false">IF(AND(E2242&gt;0,Y2242&lt;1,NOT(AND(C2243=C2242,Y2243=Y2242+1))),INDEX(DATAS,Y2242+1),"")</f>
        <v/>
      </c>
      <c r="AG2242" s="45" t="str">
        <f aca="false">IF(AND(AA2242=1,Y2242&lt;1),IF(AND(C2243=C2242,Y2243=Y2242+1),IF(AA2243=1,"",INDEX(DATAS,Y2242+1)),INDEX(DATAS,Y2242+1)),"")</f>
        <v/>
      </c>
    </row>
    <row r="2243" customFormat="false" ht="15" hidden="false" customHeight="false" outlineLevel="0" collapsed="false">
      <c r="A2243" s="45" t="n">
        <v>46309</v>
      </c>
      <c r="B2243" s="0" t="n">
        <v>8</v>
      </c>
      <c r="C2243" s="0" t="n">
        <v>6529</v>
      </c>
      <c r="E2243" s="0" t="n">
        <v>0</v>
      </c>
      <c r="F2243" s="39" t="s">
        <v>1185</v>
      </c>
      <c r="I2243" s="39" t="s">
        <v>109</v>
      </c>
      <c r="L2243" s="0" t="n">
        <v>126</v>
      </c>
      <c r="U2243" s="0" t="n">
        <v>523</v>
      </c>
      <c r="V2243" s="0" t="n">
        <v>1</v>
      </c>
      <c r="W2243" s="39" t="n">
        <f aca="false">IF(I2243="Male",0,1)</f>
        <v>1</v>
      </c>
      <c r="X2243" s="39" t="n">
        <f aca="false">IF(OR(I2243="DNB",I2243="Dry DNB"),1,0)</f>
        <v>0</v>
      </c>
      <c r="Y2243" s="39" t="n">
        <f aca="false">MATCH(A2243,DATAS,0)</f>
        <v>1</v>
      </c>
      <c r="Z2243" s="39" t="n">
        <f aca="false">IF(AND(E2243&gt;0,OR(AND(B2243&gt;=1,B2243&lt;=6),B2243=10)),1,0)</f>
        <v>0</v>
      </c>
      <c r="AA2243" s="39" t="n">
        <f aca="false">IF(AND(E2243&gt;0,B2243=10),1,0)</f>
        <v>0</v>
      </c>
      <c r="AB2243" s="0" t="str">
        <f aca="false">IF(AND(C2242=C2243,Y2242=Y2243-1),Z2242,"")</f>
        <v/>
      </c>
      <c r="AC2243" s="0" t="str">
        <f aca="false">IF(AND(C2242=C2243,Y2242=Y2243-1),AA2242,"")</f>
        <v/>
      </c>
      <c r="AD2243" s="0" t="str">
        <f aca="false">IF(Y2243=1,"",IF(AND(Z2243=1,AB2243&lt;&gt;1),1,0))</f>
        <v/>
      </c>
      <c r="AE2243" s="0" t="str">
        <f aca="false">IF(Y2243=1,"",IF(AND(AA2243=1,AC2243&lt;&gt;1),1,0))</f>
        <v/>
      </c>
      <c r="AF2243" s="45" t="str">
        <f aca="false">IF(AND(E2243&gt;0,Y2243&lt;1,NOT(AND(C2244=C2243,Y2244=Y2243+1))),INDEX(DATAS,Y2243+1),"")</f>
        <v/>
      </c>
      <c r="AG2243" s="45" t="str">
        <f aca="false">IF(AND(AA2243=1,Y2243&lt;1),IF(AND(C2244=C2243,Y2244=Y2243+1),IF(AA2244=1,"",INDEX(DATAS,Y2243+1)),INDEX(DATAS,Y2243+1)),"")</f>
        <v/>
      </c>
    </row>
    <row r="2244" customFormat="false" ht="15" hidden="false" customHeight="false" outlineLevel="0" collapsed="false">
      <c r="A2244" s="45" t="n">
        <v>46309</v>
      </c>
      <c r="B2244" s="0" t="n">
        <v>8</v>
      </c>
      <c r="C2244" s="0" t="n">
        <v>6530</v>
      </c>
      <c r="E2244" s="0" t="n">
        <v>0</v>
      </c>
      <c r="F2244" s="39" t="s">
        <v>1185</v>
      </c>
      <c r="I2244" s="39" t="s">
        <v>109</v>
      </c>
      <c r="L2244" s="0" t="n">
        <v>87</v>
      </c>
      <c r="U2244" s="0" t="n">
        <v>523</v>
      </c>
      <c r="V2244" s="0" t="n">
        <v>3</v>
      </c>
      <c r="W2244" s="39" t="n">
        <f aca="false">IF(I2244="Male",0,1)</f>
        <v>1</v>
      </c>
      <c r="X2244" s="39" t="n">
        <f aca="false">IF(OR(I2244="DNB",I2244="Dry DNB"),1,0)</f>
        <v>0</v>
      </c>
      <c r="Y2244" s="39" t="n">
        <f aca="false">MATCH(A2244,DATAS,0)</f>
        <v>1</v>
      </c>
      <c r="Z2244" s="39" t="n">
        <f aca="false">IF(AND(E2244&gt;0,OR(AND(B2244&gt;=1,B2244&lt;=6),B2244=10)),1,0)</f>
        <v>0</v>
      </c>
      <c r="AA2244" s="39" t="n">
        <f aca="false">IF(AND(E2244&gt;0,B2244=10),1,0)</f>
        <v>0</v>
      </c>
      <c r="AB2244" s="0" t="str">
        <f aca="false">IF(AND(C2243=C2244,Y2243=Y2244-1),Z2243,"")</f>
        <v/>
      </c>
      <c r="AC2244" s="0" t="str">
        <f aca="false">IF(AND(C2243=C2244,Y2243=Y2244-1),AA2243,"")</f>
        <v/>
      </c>
      <c r="AD2244" s="0" t="str">
        <f aca="false">IF(Y2244=1,"",IF(AND(Z2244=1,AB2244&lt;&gt;1),1,0))</f>
        <v/>
      </c>
      <c r="AE2244" s="0" t="str">
        <f aca="false">IF(Y2244=1,"",IF(AND(AA2244=1,AC2244&lt;&gt;1),1,0))</f>
        <v/>
      </c>
      <c r="AF2244" s="45" t="str">
        <f aca="false">IF(AND(E2244&gt;0,Y2244&lt;1,NOT(AND(C2245=C2244,Y2245=Y2244+1))),INDEX(DATAS,Y2244+1),"")</f>
        <v/>
      </c>
      <c r="AG2244" s="45" t="str">
        <f aca="false">IF(AND(AA2244=1,Y2244&lt;1),IF(AND(C2245=C2244,Y2245=Y2244+1),IF(AA2245=1,"",INDEX(DATAS,Y2244+1)),INDEX(DATAS,Y2244+1)),"")</f>
        <v/>
      </c>
    </row>
    <row r="2245" customFormat="false" ht="15" hidden="false" customHeight="false" outlineLevel="0" collapsed="false">
      <c r="A2245" s="45" t="n">
        <v>46309</v>
      </c>
      <c r="B2245" s="0" t="n">
        <v>8</v>
      </c>
      <c r="C2245" s="0" t="n">
        <v>6531</v>
      </c>
      <c r="E2245" s="0" t="n">
        <v>0</v>
      </c>
      <c r="F2245" s="39" t="s">
        <v>1186</v>
      </c>
      <c r="I2245" s="39" t="s">
        <v>109</v>
      </c>
      <c r="L2245" s="0" t="n">
        <v>66</v>
      </c>
      <c r="U2245" s="0" t="n">
        <v>519</v>
      </c>
      <c r="V2245" s="0" t="n">
        <v>4</v>
      </c>
      <c r="W2245" s="39" t="n">
        <f aca="false">IF(I2245="Male",0,1)</f>
        <v>1</v>
      </c>
      <c r="X2245" s="39" t="n">
        <f aca="false">IF(OR(I2245="DNB",I2245="Dry DNB"),1,0)</f>
        <v>0</v>
      </c>
      <c r="Y2245" s="39" t="n">
        <f aca="false">MATCH(A2245,DATAS,0)</f>
        <v>1</v>
      </c>
      <c r="Z2245" s="39" t="n">
        <f aca="false">IF(AND(E2245&gt;0,OR(AND(B2245&gt;=1,B2245&lt;=6),B2245=10)),1,0)</f>
        <v>0</v>
      </c>
      <c r="AA2245" s="39" t="n">
        <f aca="false">IF(AND(E2245&gt;0,B2245=10),1,0)</f>
        <v>0</v>
      </c>
      <c r="AB2245" s="0" t="str">
        <f aca="false">IF(AND(C2244=C2245,Y2244=Y2245-1),Z2244,"")</f>
        <v/>
      </c>
      <c r="AC2245" s="0" t="str">
        <f aca="false">IF(AND(C2244=C2245,Y2244=Y2245-1),AA2244,"")</f>
        <v/>
      </c>
      <c r="AD2245" s="0" t="str">
        <f aca="false">IF(Y2245=1,"",IF(AND(Z2245=1,AB2245&lt;&gt;1),1,0))</f>
        <v/>
      </c>
      <c r="AE2245" s="0" t="str">
        <f aca="false">IF(Y2245=1,"",IF(AND(AA2245=1,AC2245&lt;&gt;1),1,0))</f>
        <v/>
      </c>
      <c r="AF2245" s="45" t="str">
        <f aca="false">IF(AND(E2245&gt;0,Y2245&lt;1,NOT(AND(C2246=C2245,Y2246=Y2245+1))),INDEX(DATAS,Y2245+1),"")</f>
        <v/>
      </c>
      <c r="AG2245" s="45" t="str">
        <f aca="false">IF(AND(AA2245=1,Y2245&lt;1),IF(AND(C2246=C2245,Y2246=Y2245+1),IF(AA2246=1,"",INDEX(DATAS,Y2245+1)),INDEX(DATAS,Y2245+1)),"")</f>
        <v/>
      </c>
    </row>
    <row r="2246" customFormat="false" ht="15" hidden="false" customHeight="false" outlineLevel="0" collapsed="false">
      <c r="A2246" s="45" t="n">
        <v>46309</v>
      </c>
      <c r="B2246" s="0" t="n">
        <v>8</v>
      </c>
      <c r="C2246" s="0" t="n">
        <v>6532</v>
      </c>
      <c r="E2246" s="0" t="n">
        <v>0</v>
      </c>
      <c r="F2246" s="39" t="s">
        <v>1187</v>
      </c>
      <c r="I2246" s="39" t="s">
        <v>109</v>
      </c>
      <c r="L2246" s="0" t="n">
        <v>101</v>
      </c>
      <c r="U2246" s="0" t="n">
        <v>522</v>
      </c>
      <c r="V2246" s="0" t="n">
        <v>2</v>
      </c>
      <c r="W2246" s="39" t="n">
        <f aca="false">IF(I2246="Male",0,1)</f>
        <v>1</v>
      </c>
      <c r="X2246" s="39" t="n">
        <f aca="false">IF(OR(I2246="DNB",I2246="Dry DNB"),1,0)</f>
        <v>0</v>
      </c>
      <c r="Y2246" s="39" t="n">
        <f aca="false">MATCH(A2246,DATAS,0)</f>
        <v>1</v>
      </c>
      <c r="Z2246" s="39" t="n">
        <f aca="false">IF(AND(E2246&gt;0,OR(AND(B2246&gt;=1,B2246&lt;=6),B2246=10)),1,0)</f>
        <v>0</v>
      </c>
      <c r="AA2246" s="39" t="n">
        <f aca="false">IF(AND(E2246&gt;0,B2246=10),1,0)</f>
        <v>0</v>
      </c>
      <c r="AB2246" s="0" t="str">
        <f aca="false">IF(AND(C2245=C2246,Y2245=Y2246-1),Z2245,"")</f>
        <v/>
      </c>
      <c r="AC2246" s="0" t="str">
        <f aca="false">IF(AND(C2245=C2246,Y2245=Y2246-1),AA2245,"")</f>
        <v/>
      </c>
      <c r="AD2246" s="0" t="str">
        <f aca="false">IF(Y2246=1,"",IF(AND(Z2246=1,AB2246&lt;&gt;1),1,0))</f>
        <v/>
      </c>
      <c r="AE2246" s="0" t="str">
        <f aca="false">IF(Y2246=1,"",IF(AND(AA2246=1,AC2246&lt;&gt;1),1,0))</f>
        <v/>
      </c>
      <c r="AF2246" s="45" t="str">
        <f aca="false">IF(AND(E2246&gt;0,Y2246&lt;1,NOT(AND(C2247=C2246,Y2247=Y2246+1))),INDEX(DATAS,Y2246+1),"")</f>
        <v/>
      </c>
      <c r="AG2246" s="45" t="str">
        <f aca="false">IF(AND(AA2246=1,Y2246&lt;1),IF(AND(C2247=C2246,Y2247=Y2246+1),IF(AA2247=1,"",INDEX(DATAS,Y2246+1)),INDEX(DATAS,Y2246+1)),"")</f>
        <v/>
      </c>
    </row>
    <row r="2247" customFormat="false" ht="15" hidden="false" customHeight="false" outlineLevel="0" collapsed="false">
      <c r="A2247" s="45" t="n">
        <v>46309</v>
      </c>
      <c r="B2247" s="0" t="n">
        <v>8</v>
      </c>
      <c r="C2247" s="0" t="n">
        <v>6533</v>
      </c>
      <c r="E2247" s="0" t="n">
        <v>0</v>
      </c>
      <c r="F2247" s="39" t="s">
        <v>1187</v>
      </c>
      <c r="I2247" s="39" t="s">
        <v>109</v>
      </c>
      <c r="L2247" s="0" t="n">
        <v>63</v>
      </c>
      <c r="U2247" s="0" t="n">
        <v>522</v>
      </c>
      <c r="V2247" s="0" t="n">
        <v>1</v>
      </c>
      <c r="W2247" s="39" t="n">
        <f aca="false">IF(I2247="Male",0,1)</f>
        <v>1</v>
      </c>
      <c r="X2247" s="39" t="n">
        <f aca="false">IF(OR(I2247="DNB",I2247="Dry DNB"),1,0)</f>
        <v>0</v>
      </c>
      <c r="Y2247" s="39" t="n">
        <f aca="false">MATCH(A2247,DATAS,0)</f>
        <v>1</v>
      </c>
      <c r="Z2247" s="39" t="n">
        <f aca="false">IF(AND(E2247&gt;0,OR(AND(B2247&gt;=1,B2247&lt;=6),B2247=10)),1,0)</f>
        <v>0</v>
      </c>
      <c r="AA2247" s="39" t="n">
        <f aca="false">IF(AND(E2247&gt;0,B2247=10),1,0)</f>
        <v>0</v>
      </c>
      <c r="AB2247" s="0" t="str">
        <f aca="false">IF(AND(C2246=C2247,Y2246=Y2247-1),Z2246,"")</f>
        <v/>
      </c>
      <c r="AC2247" s="0" t="str">
        <f aca="false">IF(AND(C2246=C2247,Y2246=Y2247-1),AA2246,"")</f>
        <v/>
      </c>
      <c r="AD2247" s="0" t="str">
        <f aca="false">IF(Y2247=1,"",IF(AND(Z2247=1,AB2247&lt;&gt;1),1,0))</f>
        <v/>
      </c>
      <c r="AE2247" s="0" t="str">
        <f aca="false">IF(Y2247=1,"",IF(AND(AA2247=1,AC2247&lt;&gt;1),1,0))</f>
        <v/>
      </c>
      <c r="AF2247" s="45" t="str">
        <f aca="false">IF(AND(E2247&gt;0,Y2247&lt;1,NOT(AND(C2248=C2247,Y2248=Y2247+1))),INDEX(DATAS,Y2247+1),"")</f>
        <v/>
      </c>
      <c r="AG2247" s="45" t="str">
        <f aca="false">IF(AND(AA2247=1,Y2247&lt;1),IF(AND(C2248=C2247,Y2248=Y2247+1),IF(AA2248=1,"",INDEX(DATAS,Y2247+1)),INDEX(DATAS,Y2247+1)),"")</f>
        <v/>
      </c>
    </row>
    <row r="2248" customFormat="false" ht="15" hidden="false" customHeight="false" outlineLevel="0" collapsed="false">
      <c r="A2248" s="45" t="n">
        <v>46309</v>
      </c>
      <c r="B2248" s="0" t="n">
        <v>8</v>
      </c>
      <c r="C2248" s="0" t="n">
        <v>6534</v>
      </c>
      <c r="E2248" s="0" t="n">
        <v>0</v>
      </c>
      <c r="F2248" s="39" t="s">
        <v>1187</v>
      </c>
      <c r="I2248" s="39" t="s">
        <v>109</v>
      </c>
      <c r="L2248" s="0" t="n">
        <v>105</v>
      </c>
      <c r="U2248" s="0" t="n">
        <v>522</v>
      </c>
      <c r="V2248" s="0" t="n">
        <v>2</v>
      </c>
      <c r="W2248" s="39" t="n">
        <f aca="false">IF(I2248="Male",0,1)</f>
        <v>1</v>
      </c>
      <c r="X2248" s="39" t="n">
        <f aca="false">IF(OR(I2248="DNB",I2248="Dry DNB"),1,0)</f>
        <v>0</v>
      </c>
      <c r="Y2248" s="39" t="n">
        <f aca="false">MATCH(A2248,DATAS,0)</f>
        <v>1</v>
      </c>
      <c r="Z2248" s="39" t="n">
        <f aca="false">IF(AND(E2248&gt;0,OR(AND(B2248&gt;=1,B2248&lt;=6),B2248=10)),1,0)</f>
        <v>0</v>
      </c>
      <c r="AA2248" s="39" t="n">
        <f aca="false">IF(AND(E2248&gt;0,B2248=10),1,0)</f>
        <v>0</v>
      </c>
      <c r="AB2248" s="0" t="str">
        <f aca="false">IF(AND(C2247=C2248,Y2247=Y2248-1),Z2247,"")</f>
        <v/>
      </c>
      <c r="AC2248" s="0" t="str">
        <f aca="false">IF(AND(C2247=C2248,Y2247=Y2248-1),AA2247,"")</f>
        <v/>
      </c>
      <c r="AD2248" s="0" t="str">
        <f aca="false">IF(Y2248=1,"",IF(AND(Z2248=1,AB2248&lt;&gt;1),1,0))</f>
        <v/>
      </c>
      <c r="AE2248" s="0" t="str">
        <f aca="false">IF(Y2248=1,"",IF(AND(AA2248=1,AC2248&lt;&gt;1),1,0))</f>
        <v/>
      </c>
      <c r="AF2248" s="45" t="str">
        <f aca="false">IF(AND(E2248&gt;0,Y2248&lt;1,NOT(AND(C2249=C2248,Y2249=Y2248+1))),INDEX(DATAS,Y2248+1),"")</f>
        <v/>
      </c>
      <c r="AG2248" s="45" t="str">
        <f aca="false">IF(AND(AA2248=1,Y2248&lt;1),IF(AND(C2249=C2248,Y2249=Y2248+1),IF(AA2249=1,"",INDEX(DATAS,Y2248+1)),INDEX(DATAS,Y2248+1)),"")</f>
        <v/>
      </c>
    </row>
    <row r="2249" customFormat="false" ht="15" hidden="false" customHeight="false" outlineLevel="0" collapsed="false">
      <c r="A2249" s="45" t="n">
        <v>46309</v>
      </c>
      <c r="B2249" s="0" t="n">
        <v>8</v>
      </c>
      <c r="C2249" s="0" t="n">
        <v>6535</v>
      </c>
      <c r="E2249" s="0" t="n">
        <v>0</v>
      </c>
      <c r="F2249" s="39" t="s">
        <v>1188</v>
      </c>
      <c r="I2249" s="39" t="s">
        <v>109</v>
      </c>
      <c r="L2249" s="0" t="n">
        <v>92</v>
      </c>
      <c r="U2249" s="0" t="n">
        <v>521</v>
      </c>
      <c r="V2249" s="0" t="n">
        <v>2</v>
      </c>
      <c r="W2249" s="39" t="n">
        <f aca="false">IF(I2249="Male",0,1)</f>
        <v>1</v>
      </c>
      <c r="X2249" s="39" t="n">
        <f aca="false">IF(OR(I2249="DNB",I2249="Dry DNB"),1,0)</f>
        <v>0</v>
      </c>
      <c r="Y2249" s="39" t="n">
        <f aca="false">MATCH(A2249,DATAS,0)</f>
        <v>1</v>
      </c>
      <c r="Z2249" s="39" t="n">
        <f aca="false">IF(AND(E2249&gt;0,OR(AND(B2249&gt;=1,B2249&lt;=6),B2249=10)),1,0)</f>
        <v>0</v>
      </c>
      <c r="AA2249" s="39" t="n">
        <f aca="false">IF(AND(E2249&gt;0,B2249=10),1,0)</f>
        <v>0</v>
      </c>
      <c r="AB2249" s="0" t="str">
        <f aca="false">IF(AND(C2248=C2249,Y2248=Y2249-1),Z2248,"")</f>
        <v/>
      </c>
      <c r="AC2249" s="0" t="str">
        <f aca="false">IF(AND(C2248=C2249,Y2248=Y2249-1),AA2248,"")</f>
        <v/>
      </c>
      <c r="AD2249" s="0" t="str">
        <f aca="false">IF(Y2249=1,"",IF(AND(Z2249=1,AB2249&lt;&gt;1),1,0))</f>
        <v/>
      </c>
      <c r="AE2249" s="0" t="str">
        <f aca="false">IF(Y2249=1,"",IF(AND(AA2249=1,AC2249&lt;&gt;1),1,0))</f>
        <v/>
      </c>
      <c r="AF2249" s="45" t="str">
        <f aca="false">IF(AND(E2249&gt;0,Y2249&lt;1,NOT(AND(C2250=C2249,Y2250=Y2249+1))),INDEX(DATAS,Y2249+1),"")</f>
        <v/>
      </c>
      <c r="AG2249" s="45" t="str">
        <f aca="false">IF(AND(AA2249=1,Y2249&lt;1),IF(AND(C2250=C2249,Y2250=Y2249+1),IF(AA2250=1,"",INDEX(DATAS,Y2249+1)),INDEX(DATAS,Y2249+1)),"")</f>
        <v/>
      </c>
    </row>
    <row r="2250" customFormat="false" ht="15" hidden="false" customHeight="false" outlineLevel="0" collapsed="false">
      <c r="A2250" s="45" t="n">
        <v>46309</v>
      </c>
      <c r="B2250" s="0" t="n">
        <v>8</v>
      </c>
      <c r="C2250" s="0" t="n">
        <v>6536</v>
      </c>
      <c r="E2250" s="0" t="n">
        <v>0</v>
      </c>
      <c r="F2250" s="39" t="s">
        <v>1188</v>
      </c>
      <c r="I2250" s="39" t="s">
        <v>109</v>
      </c>
      <c r="L2250" s="0" t="n">
        <v>86</v>
      </c>
      <c r="U2250" s="0" t="n">
        <v>521</v>
      </c>
      <c r="V2250" s="0" t="n">
        <v>2</v>
      </c>
      <c r="W2250" s="39" t="n">
        <f aca="false">IF(I2250="Male",0,1)</f>
        <v>1</v>
      </c>
      <c r="X2250" s="39" t="n">
        <f aca="false">IF(OR(I2250="DNB",I2250="Dry DNB"),1,0)</f>
        <v>0</v>
      </c>
      <c r="Y2250" s="39" t="n">
        <f aca="false">MATCH(A2250,DATAS,0)</f>
        <v>1</v>
      </c>
      <c r="Z2250" s="39" t="n">
        <f aca="false">IF(AND(E2250&gt;0,OR(AND(B2250&gt;=1,B2250&lt;=6),B2250=10)),1,0)</f>
        <v>0</v>
      </c>
      <c r="AA2250" s="39" t="n">
        <f aca="false">IF(AND(E2250&gt;0,B2250=10),1,0)</f>
        <v>0</v>
      </c>
      <c r="AB2250" s="0" t="str">
        <f aca="false">IF(AND(C2249=C2250,Y2249=Y2250-1),Z2249,"")</f>
        <v/>
      </c>
      <c r="AC2250" s="0" t="str">
        <f aca="false">IF(AND(C2249=C2250,Y2249=Y2250-1),AA2249,"")</f>
        <v/>
      </c>
      <c r="AD2250" s="0" t="str">
        <f aca="false">IF(Y2250=1,"",IF(AND(Z2250=1,AB2250&lt;&gt;1),1,0))</f>
        <v/>
      </c>
      <c r="AE2250" s="0" t="str">
        <f aca="false">IF(Y2250=1,"",IF(AND(AA2250=1,AC2250&lt;&gt;1),1,0))</f>
        <v/>
      </c>
      <c r="AF2250" s="45" t="str">
        <f aca="false">IF(AND(E2250&gt;0,Y2250&lt;1,NOT(AND(C2251=C2250,Y2251=Y2250+1))),INDEX(DATAS,Y2250+1),"")</f>
        <v/>
      </c>
      <c r="AG2250" s="45" t="str">
        <f aca="false">IF(AND(AA2250=1,Y2250&lt;1),IF(AND(C2251=C2250,Y2251=Y2250+1),IF(AA2251=1,"",INDEX(DATAS,Y2250+1)),INDEX(DATAS,Y2250+1)),"")</f>
        <v/>
      </c>
    </row>
    <row r="2251" customFormat="false" ht="15" hidden="false" customHeight="false" outlineLevel="0" collapsed="false">
      <c r="A2251" s="45" t="n">
        <v>46309</v>
      </c>
      <c r="B2251" s="0" t="n">
        <v>8</v>
      </c>
      <c r="C2251" s="0" t="n">
        <v>6537</v>
      </c>
      <c r="E2251" s="0" t="n">
        <v>0</v>
      </c>
      <c r="F2251" s="39" t="s">
        <v>1188</v>
      </c>
      <c r="I2251" s="39" t="s">
        <v>109</v>
      </c>
      <c r="L2251" s="0" t="n">
        <v>63</v>
      </c>
      <c r="U2251" s="0" t="n">
        <v>521</v>
      </c>
      <c r="V2251" s="0" t="n">
        <v>3</v>
      </c>
      <c r="W2251" s="39" t="n">
        <f aca="false">IF(I2251="Male",0,1)</f>
        <v>1</v>
      </c>
      <c r="X2251" s="39" t="n">
        <f aca="false">IF(OR(I2251="DNB",I2251="Dry DNB"),1,0)</f>
        <v>0</v>
      </c>
      <c r="Y2251" s="39" t="n">
        <f aca="false">MATCH(A2251,DATAS,0)</f>
        <v>1</v>
      </c>
      <c r="Z2251" s="39" t="n">
        <f aca="false">IF(AND(E2251&gt;0,OR(AND(B2251&gt;=1,B2251&lt;=6),B2251=10)),1,0)</f>
        <v>0</v>
      </c>
      <c r="AA2251" s="39" t="n">
        <f aca="false">IF(AND(E2251&gt;0,B2251=10),1,0)</f>
        <v>0</v>
      </c>
      <c r="AB2251" s="0" t="str">
        <f aca="false">IF(AND(C2250=C2251,Y2250=Y2251-1),Z2250,"")</f>
        <v/>
      </c>
      <c r="AC2251" s="0" t="str">
        <f aca="false">IF(AND(C2250=C2251,Y2250=Y2251-1),AA2250,"")</f>
        <v/>
      </c>
      <c r="AD2251" s="0" t="str">
        <f aca="false">IF(Y2251=1,"",IF(AND(Z2251=1,AB2251&lt;&gt;1),1,0))</f>
        <v/>
      </c>
      <c r="AE2251" s="0" t="str">
        <f aca="false">IF(Y2251=1,"",IF(AND(AA2251=1,AC2251&lt;&gt;1),1,0))</f>
        <v/>
      </c>
      <c r="AF2251" s="45" t="str">
        <f aca="false">IF(AND(E2251&gt;0,Y2251&lt;1,NOT(AND(C2252=C2251,Y2252=Y2251+1))),INDEX(DATAS,Y2251+1),"")</f>
        <v/>
      </c>
      <c r="AG2251" s="45" t="str">
        <f aca="false">IF(AND(AA2251=1,Y2251&lt;1),IF(AND(C2252=C2251,Y2252=Y2251+1),IF(AA2252=1,"",INDEX(DATAS,Y2251+1)),INDEX(DATAS,Y2251+1)),"")</f>
        <v/>
      </c>
    </row>
    <row r="2252" customFormat="false" ht="15" hidden="false" customHeight="false" outlineLevel="0" collapsed="false">
      <c r="A2252" s="45" t="n">
        <v>46309</v>
      </c>
      <c r="B2252" s="0" t="n">
        <v>8</v>
      </c>
      <c r="C2252" s="0" t="n">
        <v>6538</v>
      </c>
      <c r="E2252" s="0" t="n">
        <v>0</v>
      </c>
      <c r="F2252" s="39" t="s">
        <v>1189</v>
      </c>
      <c r="I2252" s="39" t="s">
        <v>109</v>
      </c>
      <c r="L2252" s="0" t="n">
        <v>105</v>
      </c>
      <c r="U2252" s="0" t="n">
        <v>520</v>
      </c>
      <c r="V2252" s="0" t="n">
        <v>1</v>
      </c>
      <c r="W2252" s="39" t="n">
        <f aca="false">IF(I2252="Male",0,1)</f>
        <v>1</v>
      </c>
      <c r="X2252" s="39" t="n">
        <f aca="false">IF(OR(I2252="DNB",I2252="Dry DNB"),1,0)</f>
        <v>0</v>
      </c>
      <c r="Y2252" s="39" t="n">
        <f aca="false">MATCH(A2252,DATAS,0)</f>
        <v>1</v>
      </c>
      <c r="Z2252" s="39" t="n">
        <f aca="false">IF(AND(E2252&gt;0,OR(AND(B2252&gt;=1,B2252&lt;=6),B2252=10)),1,0)</f>
        <v>0</v>
      </c>
      <c r="AA2252" s="39" t="n">
        <f aca="false">IF(AND(E2252&gt;0,B2252=10),1,0)</f>
        <v>0</v>
      </c>
      <c r="AB2252" s="0" t="str">
        <f aca="false">IF(AND(C2251=C2252,Y2251=Y2252-1),Z2251,"")</f>
        <v/>
      </c>
      <c r="AC2252" s="0" t="str">
        <f aca="false">IF(AND(C2251=C2252,Y2251=Y2252-1),AA2251,"")</f>
        <v/>
      </c>
      <c r="AD2252" s="0" t="str">
        <f aca="false">IF(Y2252=1,"",IF(AND(Z2252=1,AB2252&lt;&gt;1),1,0))</f>
        <v/>
      </c>
      <c r="AE2252" s="0" t="str">
        <f aca="false">IF(Y2252=1,"",IF(AND(AA2252=1,AC2252&lt;&gt;1),1,0))</f>
        <v/>
      </c>
      <c r="AF2252" s="45" t="str">
        <f aca="false">IF(AND(E2252&gt;0,Y2252&lt;1,NOT(AND(C2253=C2252,Y2253=Y2252+1))),INDEX(DATAS,Y2252+1),"")</f>
        <v/>
      </c>
      <c r="AG2252" s="45" t="str">
        <f aca="false">IF(AND(AA2252=1,Y2252&lt;1),IF(AND(C2253=C2252,Y2253=Y2252+1),IF(AA2253=1,"",INDEX(DATAS,Y2252+1)),INDEX(DATAS,Y2252+1)),"")</f>
        <v/>
      </c>
    </row>
    <row r="2253" customFormat="false" ht="15" hidden="false" customHeight="false" outlineLevel="0" collapsed="false">
      <c r="A2253" s="45" t="n">
        <v>46309</v>
      </c>
      <c r="B2253" s="0" t="n">
        <v>8</v>
      </c>
      <c r="C2253" s="0" t="n">
        <v>6539</v>
      </c>
      <c r="E2253" s="0" t="n">
        <v>0</v>
      </c>
      <c r="F2253" s="39" t="s">
        <v>1186</v>
      </c>
      <c r="I2253" s="39" t="s">
        <v>109</v>
      </c>
      <c r="L2253" s="0" t="n">
        <v>120</v>
      </c>
      <c r="U2253" s="0" t="n">
        <v>519</v>
      </c>
      <c r="V2253" s="0" t="n">
        <v>1</v>
      </c>
      <c r="W2253" s="39" t="n">
        <f aca="false">IF(I2253="Male",0,1)</f>
        <v>1</v>
      </c>
      <c r="X2253" s="39" t="n">
        <f aca="false">IF(OR(I2253="DNB",I2253="Dry DNB"),1,0)</f>
        <v>0</v>
      </c>
      <c r="Y2253" s="39" t="n">
        <f aca="false">MATCH(A2253,DATAS,0)</f>
        <v>1</v>
      </c>
      <c r="Z2253" s="39" t="n">
        <f aca="false">IF(AND(E2253&gt;0,OR(AND(B2253&gt;=1,B2253&lt;=6),B2253=10)),1,0)</f>
        <v>0</v>
      </c>
      <c r="AA2253" s="39" t="n">
        <f aca="false">IF(AND(E2253&gt;0,B2253=10),1,0)</f>
        <v>0</v>
      </c>
      <c r="AB2253" s="0" t="str">
        <f aca="false">IF(AND(C2252=C2253,Y2252=Y2253-1),Z2252,"")</f>
        <v/>
      </c>
      <c r="AC2253" s="0" t="str">
        <f aca="false">IF(AND(C2252=C2253,Y2252=Y2253-1),AA2252,"")</f>
        <v/>
      </c>
      <c r="AD2253" s="0" t="str">
        <f aca="false">IF(Y2253=1,"",IF(AND(Z2253=1,AB2253&lt;&gt;1),1,0))</f>
        <v/>
      </c>
      <c r="AE2253" s="0" t="str">
        <f aca="false">IF(Y2253=1,"",IF(AND(AA2253=1,AC2253&lt;&gt;1),1,0))</f>
        <v/>
      </c>
      <c r="AF2253" s="45" t="str">
        <f aca="false">IF(AND(E2253&gt;0,Y2253&lt;1,NOT(AND(C2254=C2253,Y2254=Y2253+1))),INDEX(DATAS,Y2253+1),"")</f>
        <v/>
      </c>
      <c r="AG2253" s="45" t="str">
        <f aca="false">IF(AND(AA2253=1,Y2253&lt;1),IF(AND(C2254=C2253,Y2254=Y2253+1),IF(AA2254=1,"",INDEX(DATAS,Y2253+1)),INDEX(DATAS,Y2253+1)),"")</f>
        <v/>
      </c>
    </row>
    <row r="2254" customFormat="false" ht="15" hidden="false" customHeight="false" outlineLevel="0" collapsed="false">
      <c r="A2254" s="45" t="n">
        <v>46309</v>
      </c>
      <c r="B2254" s="0" t="n">
        <v>8</v>
      </c>
      <c r="C2254" s="0" t="n">
        <v>6540</v>
      </c>
      <c r="E2254" s="0" t="n">
        <v>0</v>
      </c>
      <c r="F2254" s="39" t="s">
        <v>1186</v>
      </c>
      <c r="I2254" s="39" t="s">
        <v>109</v>
      </c>
      <c r="L2254" s="0" t="n">
        <v>82</v>
      </c>
      <c r="U2254" s="0" t="n">
        <v>519</v>
      </c>
      <c r="V2254" s="0" t="n">
        <v>3</v>
      </c>
      <c r="W2254" s="39" t="n">
        <f aca="false">IF(I2254="Male",0,1)</f>
        <v>1</v>
      </c>
      <c r="X2254" s="39" t="n">
        <f aca="false">IF(OR(I2254="DNB",I2254="Dry DNB"),1,0)</f>
        <v>0</v>
      </c>
      <c r="Y2254" s="39" t="n">
        <f aca="false">MATCH(A2254,DATAS,0)</f>
        <v>1</v>
      </c>
      <c r="Z2254" s="39" t="n">
        <f aca="false">IF(AND(E2254&gt;0,OR(AND(B2254&gt;=1,B2254&lt;=6),B2254=10)),1,0)</f>
        <v>0</v>
      </c>
      <c r="AA2254" s="39" t="n">
        <f aca="false">IF(AND(E2254&gt;0,B2254=10),1,0)</f>
        <v>0</v>
      </c>
      <c r="AB2254" s="0" t="str">
        <f aca="false">IF(AND(C2253=C2254,Y2253=Y2254-1),Z2253,"")</f>
        <v/>
      </c>
      <c r="AC2254" s="0" t="str">
        <f aca="false">IF(AND(C2253=C2254,Y2253=Y2254-1),AA2253,"")</f>
        <v/>
      </c>
      <c r="AD2254" s="0" t="str">
        <f aca="false">IF(Y2254=1,"",IF(AND(Z2254=1,AB2254&lt;&gt;1),1,0))</f>
        <v/>
      </c>
      <c r="AE2254" s="0" t="str">
        <f aca="false">IF(Y2254=1,"",IF(AND(AA2254=1,AC2254&lt;&gt;1),1,0))</f>
        <v/>
      </c>
      <c r="AF2254" s="45" t="str">
        <f aca="false">IF(AND(E2254&gt;0,Y2254&lt;1,NOT(AND(C2255=C2254,Y2255=Y2254+1))),INDEX(DATAS,Y2254+1),"")</f>
        <v/>
      </c>
      <c r="AG2254" s="45" t="str">
        <f aca="false">IF(AND(AA2254=1,Y2254&lt;1),IF(AND(C2255=C2254,Y2255=Y2254+1),IF(AA2255=1,"",INDEX(DATAS,Y2254+1)),INDEX(DATAS,Y2254+1)),"")</f>
        <v/>
      </c>
    </row>
    <row r="2255" customFormat="false" ht="15" hidden="false" customHeight="false" outlineLevel="0" collapsed="false">
      <c r="A2255" s="45" t="n">
        <v>46309</v>
      </c>
      <c r="B2255" s="0" t="n">
        <v>8</v>
      </c>
      <c r="C2255" s="0" t="n">
        <v>6541</v>
      </c>
      <c r="E2255" s="0" t="n">
        <v>0</v>
      </c>
      <c r="F2255" s="39" t="s">
        <v>1186</v>
      </c>
      <c r="I2255" s="39" t="s">
        <v>109</v>
      </c>
      <c r="L2255" s="0" t="n">
        <v>120</v>
      </c>
      <c r="U2255" s="0" t="n">
        <v>519</v>
      </c>
      <c r="V2255" s="0" t="n">
        <v>1</v>
      </c>
      <c r="W2255" s="39" t="n">
        <f aca="false">IF(I2255="Male",0,1)</f>
        <v>1</v>
      </c>
      <c r="X2255" s="39" t="n">
        <f aca="false">IF(OR(I2255="DNB",I2255="Dry DNB"),1,0)</f>
        <v>0</v>
      </c>
      <c r="Y2255" s="39" t="n">
        <f aca="false">MATCH(A2255,DATAS,0)</f>
        <v>1</v>
      </c>
      <c r="Z2255" s="39" t="n">
        <f aca="false">IF(AND(E2255&gt;0,OR(AND(B2255&gt;=1,B2255&lt;=6),B2255=10)),1,0)</f>
        <v>0</v>
      </c>
      <c r="AA2255" s="39" t="n">
        <f aca="false">IF(AND(E2255&gt;0,B2255=10),1,0)</f>
        <v>0</v>
      </c>
      <c r="AB2255" s="0" t="str">
        <f aca="false">IF(AND(C2254=C2255,Y2254=Y2255-1),Z2254,"")</f>
        <v/>
      </c>
      <c r="AC2255" s="0" t="str">
        <f aca="false">IF(AND(C2254=C2255,Y2254=Y2255-1),AA2254,"")</f>
        <v/>
      </c>
      <c r="AD2255" s="0" t="str">
        <f aca="false">IF(Y2255=1,"",IF(AND(Z2255=1,AB2255&lt;&gt;1),1,0))</f>
        <v/>
      </c>
      <c r="AE2255" s="0" t="str">
        <f aca="false">IF(Y2255=1,"",IF(AND(AA2255=1,AC2255&lt;&gt;1),1,0))</f>
        <v/>
      </c>
      <c r="AF2255" s="45" t="str">
        <f aca="false">IF(AND(E2255&gt;0,Y2255&lt;1,NOT(AND(C2256=C2255,Y2256=Y2255+1))),INDEX(DATAS,Y2255+1),"")</f>
        <v/>
      </c>
      <c r="AG2255" s="45" t="str">
        <f aca="false">IF(AND(AA2255=1,Y2255&lt;1),IF(AND(C2256=C2255,Y2256=Y2255+1),IF(AA2256=1,"",INDEX(DATAS,Y2255+1)),INDEX(DATAS,Y2255+1)),"")</f>
        <v/>
      </c>
    </row>
    <row r="2256" customFormat="false" ht="15" hidden="false" customHeight="false" outlineLevel="0" collapsed="false">
      <c r="A2256" s="45" t="n">
        <v>46309</v>
      </c>
      <c r="B2256" s="0" t="n">
        <v>8</v>
      </c>
      <c r="C2256" s="0" t="n">
        <v>6542</v>
      </c>
      <c r="E2256" s="0" t="n">
        <v>0</v>
      </c>
      <c r="F2256" s="39" t="s">
        <v>1186</v>
      </c>
      <c r="I2256" s="39" t="s">
        <v>109</v>
      </c>
      <c r="L2256" s="0" t="n">
        <v>43</v>
      </c>
      <c r="U2256" s="0" t="n">
        <v>519</v>
      </c>
      <c r="V2256" s="0" t="n">
        <v>3</v>
      </c>
      <c r="W2256" s="39" t="n">
        <f aca="false">IF(I2256="Male",0,1)</f>
        <v>1</v>
      </c>
      <c r="X2256" s="39" t="n">
        <f aca="false">IF(OR(I2256="DNB",I2256="Dry DNB"),1,0)</f>
        <v>0</v>
      </c>
      <c r="Y2256" s="39" t="n">
        <f aca="false">MATCH(A2256,DATAS,0)</f>
        <v>1</v>
      </c>
      <c r="Z2256" s="39" t="n">
        <f aca="false">IF(AND(E2256&gt;0,OR(AND(B2256&gt;=1,B2256&lt;=6),B2256=10)),1,0)</f>
        <v>0</v>
      </c>
      <c r="AA2256" s="39" t="n">
        <f aca="false">IF(AND(E2256&gt;0,B2256=10),1,0)</f>
        <v>0</v>
      </c>
      <c r="AB2256" s="0" t="str">
        <f aca="false">IF(AND(C2255=C2256,Y2255=Y2256-1),Z2255,"")</f>
        <v/>
      </c>
      <c r="AC2256" s="0" t="str">
        <f aca="false">IF(AND(C2255=C2256,Y2255=Y2256-1),AA2255,"")</f>
        <v/>
      </c>
      <c r="AD2256" s="0" t="str">
        <f aca="false">IF(Y2256=1,"",IF(AND(Z2256=1,AB2256&lt;&gt;1),1,0))</f>
        <v/>
      </c>
      <c r="AE2256" s="0" t="str">
        <f aca="false">IF(Y2256=1,"",IF(AND(AA2256=1,AC2256&lt;&gt;1),1,0))</f>
        <v/>
      </c>
      <c r="AF2256" s="45" t="str">
        <f aca="false">IF(AND(E2256&gt;0,Y2256&lt;1,NOT(AND(C2257=C2256,Y2257=Y2256+1))),INDEX(DATAS,Y2256+1),"")</f>
        <v/>
      </c>
      <c r="AG2256" s="45" t="str">
        <f aca="false">IF(AND(AA2256=1,Y2256&lt;1),IF(AND(C2257=C2256,Y2257=Y2256+1),IF(AA2257=1,"",INDEX(DATAS,Y2256+1)),INDEX(DATAS,Y2256+1)),"")</f>
        <v/>
      </c>
    </row>
    <row r="2257" customFormat="false" ht="15" hidden="false" customHeight="false" outlineLevel="0" collapsed="false">
      <c r="A2257" s="45" t="n">
        <v>46309</v>
      </c>
      <c r="B2257" s="0" t="n">
        <v>11</v>
      </c>
      <c r="C2257" s="0" t="n">
        <v>6543</v>
      </c>
      <c r="E2257" s="0" t="n">
        <v>0</v>
      </c>
      <c r="F2257" s="39" t="s">
        <v>1186</v>
      </c>
      <c r="I2257" s="39" t="s">
        <v>138</v>
      </c>
      <c r="U2257" s="0" t="n">
        <v>519</v>
      </c>
      <c r="V2257" s="0" t="n">
        <v>4</v>
      </c>
      <c r="W2257" s="39" t="n">
        <f aca="false">IF(I2257="Male",0,1)</f>
        <v>1</v>
      </c>
      <c r="X2257" s="39" t="n">
        <f aca="false">IF(OR(I2257="DNB",I2257="Dry DNB"),1,0)</f>
        <v>0</v>
      </c>
      <c r="Y2257" s="39" t="n">
        <f aca="false">MATCH(A2257,DATAS,0)</f>
        <v>1</v>
      </c>
      <c r="Z2257" s="39" t="n">
        <f aca="false">IF(AND(E2257&gt;0,OR(AND(B2257&gt;=1,B2257&lt;=6),B2257=10)),1,0)</f>
        <v>0</v>
      </c>
      <c r="AA2257" s="39" t="n">
        <f aca="false">IF(AND(E2257&gt;0,B2257=10),1,0)</f>
        <v>0</v>
      </c>
      <c r="AB2257" s="0" t="str">
        <f aca="false">IF(AND(C2256=C2257,Y2256=Y2257-1),Z2256,"")</f>
        <v/>
      </c>
      <c r="AC2257" s="0" t="str">
        <f aca="false">IF(AND(C2256=C2257,Y2256=Y2257-1),AA2256,"")</f>
        <v/>
      </c>
      <c r="AD2257" s="0" t="str">
        <f aca="false">IF(Y2257=1,"",IF(AND(Z2257=1,AB2257&lt;&gt;1),1,0))</f>
        <v/>
      </c>
      <c r="AE2257" s="0" t="str">
        <f aca="false">IF(Y2257=1,"",IF(AND(AA2257=1,AC2257&lt;&gt;1),1,0))</f>
        <v/>
      </c>
      <c r="AF2257" s="45" t="str">
        <f aca="false">IF(AND(E2257&gt;0,Y2257&lt;1,NOT(AND(C2258=C2257,Y2258=Y2257+1))),INDEX(DATAS,Y2257+1),"")</f>
        <v/>
      </c>
      <c r="AG2257" s="45" t="str">
        <f aca="false">IF(AND(AA2257=1,Y2257&lt;1),IF(AND(C2258=C2257,Y2258=Y2257+1),IF(AA2258=1,"",INDEX(DATAS,Y2257+1)),INDEX(DATAS,Y2257+1)),"")</f>
        <v/>
      </c>
    </row>
    <row r="2258" customFormat="false" ht="15" hidden="false" customHeight="false" outlineLevel="0" collapsed="false">
      <c r="A2258" s="45" t="n">
        <v>46309</v>
      </c>
      <c r="B2258" s="0" t="n">
        <v>8</v>
      </c>
      <c r="C2258" s="0" t="n">
        <v>6544</v>
      </c>
      <c r="E2258" s="0" t="n">
        <v>0</v>
      </c>
      <c r="F2258" s="39" t="s">
        <v>1186</v>
      </c>
      <c r="I2258" s="39" t="s">
        <v>109</v>
      </c>
      <c r="L2258" s="0" t="n">
        <v>59</v>
      </c>
      <c r="U2258" s="0" t="n">
        <v>519</v>
      </c>
      <c r="V2258" s="0" t="n">
        <v>4</v>
      </c>
      <c r="W2258" s="39" t="n">
        <f aca="false">IF(I2258="Male",0,1)</f>
        <v>1</v>
      </c>
      <c r="X2258" s="39" t="n">
        <f aca="false">IF(OR(I2258="DNB",I2258="Dry DNB"),1,0)</f>
        <v>0</v>
      </c>
      <c r="Y2258" s="39" t="n">
        <f aca="false">MATCH(A2258,DATAS,0)</f>
        <v>1</v>
      </c>
      <c r="Z2258" s="39" t="n">
        <f aca="false">IF(AND(E2258&gt;0,OR(AND(B2258&gt;=1,B2258&lt;=6),B2258=10)),1,0)</f>
        <v>0</v>
      </c>
      <c r="AA2258" s="39" t="n">
        <f aca="false">IF(AND(E2258&gt;0,B2258=10),1,0)</f>
        <v>0</v>
      </c>
      <c r="AB2258" s="0" t="str">
        <f aca="false">IF(AND(C2257=C2258,Y2257=Y2258-1),Z2257,"")</f>
        <v/>
      </c>
      <c r="AC2258" s="0" t="str">
        <f aca="false">IF(AND(C2257=C2258,Y2257=Y2258-1),AA2257,"")</f>
        <v/>
      </c>
      <c r="AD2258" s="0" t="str">
        <f aca="false">IF(Y2258=1,"",IF(AND(Z2258=1,AB2258&lt;&gt;1),1,0))</f>
        <v/>
      </c>
      <c r="AE2258" s="0" t="str">
        <f aca="false">IF(Y2258=1,"",IF(AND(AA2258=1,AC2258&lt;&gt;1),1,0))</f>
        <v/>
      </c>
      <c r="AF2258" s="45" t="str">
        <f aca="false">IF(AND(E2258&gt;0,Y2258&lt;1,NOT(AND(C2259=C2258,Y2259=Y2258+1))),INDEX(DATAS,Y2258+1),"")</f>
        <v/>
      </c>
      <c r="AG2258" s="45" t="str">
        <f aca="false">IF(AND(AA2258=1,Y2258&lt;1),IF(AND(C2259=C2258,Y2259=Y2258+1),IF(AA2259=1,"",INDEX(DATAS,Y2258+1)),INDEX(DATAS,Y2258+1)),"")</f>
        <v/>
      </c>
    </row>
    <row r="2259" customFormat="false" ht="15" hidden="false" customHeight="false" outlineLevel="0" collapsed="false">
      <c r="A2259" s="45" t="n">
        <v>46309</v>
      </c>
      <c r="B2259" s="0" t="n">
        <v>8</v>
      </c>
      <c r="C2259" s="0" t="n">
        <v>6545</v>
      </c>
      <c r="E2259" s="0" t="n">
        <v>0</v>
      </c>
      <c r="F2259" s="39" t="s">
        <v>1186</v>
      </c>
      <c r="I2259" s="39" t="s">
        <v>109</v>
      </c>
      <c r="L2259" s="0" t="n">
        <v>120</v>
      </c>
      <c r="U2259" s="0" t="n">
        <v>519</v>
      </c>
      <c r="V2259" s="0" t="n">
        <v>1</v>
      </c>
      <c r="W2259" s="39" t="n">
        <f aca="false">IF(I2259="Male",0,1)</f>
        <v>1</v>
      </c>
      <c r="X2259" s="39" t="n">
        <f aca="false">IF(OR(I2259="DNB",I2259="Dry DNB"),1,0)</f>
        <v>0</v>
      </c>
      <c r="Y2259" s="39" t="n">
        <f aca="false">MATCH(A2259,DATAS,0)</f>
        <v>1</v>
      </c>
      <c r="Z2259" s="39" t="n">
        <f aca="false">IF(AND(E2259&gt;0,OR(AND(B2259&gt;=1,B2259&lt;=6),B2259=10)),1,0)</f>
        <v>0</v>
      </c>
      <c r="AA2259" s="39" t="n">
        <f aca="false">IF(AND(E2259&gt;0,B2259=10),1,0)</f>
        <v>0</v>
      </c>
      <c r="AB2259" s="0" t="str">
        <f aca="false">IF(AND(C2258=C2259,Y2258=Y2259-1),Z2258,"")</f>
        <v/>
      </c>
      <c r="AC2259" s="0" t="str">
        <f aca="false">IF(AND(C2258=C2259,Y2258=Y2259-1),AA2258,"")</f>
        <v/>
      </c>
      <c r="AD2259" s="0" t="str">
        <f aca="false">IF(Y2259=1,"",IF(AND(Z2259=1,AB2259&lt;&gt;1),1,0))</f>
        <v/>
      </c>
      <c r="AE2259" s="0" t="str">
        <f aca="false">IF(Y2259=1,"",IF(AND(AA2259=1,AC2259&lt;&gt;1),1,0))</f>
        <v/>
      </c>
      <c r="AF2259" s="45" t="str">
        <f aca="false">IF(AND(E2259&gt;0,Y2259&lt;1,NOT(AND(C2260=C2259,Y2260=Y2259+1))),INDEX(DATAS,Y2259+1),"")</f>
        <v/>
      </c>
      <c r="AG2259" s="45" t="str">
        <f aca="false">IF(AND(AA2259=1,Y2259&lt;1),IF(AND(C2260=C2259,Y2260=Y2259+1),IF(AA2260=1,"",INDEX(DATAS,Y2259+1)),INDEX(DATAS,Y2259+1)),"")</f>
        <v/>
      </c>
    </row>
    <row r="2260" customFormat="false" ht="15" hidden="false" customHeight="false" outlineLevel="0" collapsed="false">
      <c r="A2260" s="45" t="n">
        <v>46309</v>
      </c>
      <c r="B2260" s="0" t="n">
        <v>8</v>
      </c>
      <c r="C2260" s="0" t="n">
        <v>6546</v>
      </c>
      <c r="E2260" s="0" t="n">
        <v>0</v>
      </c>
      <c r="F2260" s="39" t="s">
        <v>1190</v>
      </c>
      <c r="I2260" s="39" t="s">
        <v>109</v>
      </c>
      <c r="L2260" s="0" t="n">
        <v>120</v>
      </c>
      <c r="U2260" s="0" t="n">
        <v>518</v>
      </c>
      <c r="V2260" s="0" t="n">
        <v>1</v>
      </c>
      <c r="W2260" s="39" t="n">
        <f aca="false">IF(I2260="Male",0,1)</f>
        <v>1</v>
      </c>
      <c r="X2260" s="39" t="n">
        <f aca="false">IF(OR(I2260="DNB",I2260="Dry DNB"),1,0)</f>
        <v>0</v>
      </c>
      <c r="Y2260" s="39" t="n">
        <f aca="false">MATCH(A2260,DATAS,0)</f>
        <v>1</v>
      </c>
      <c r="Z2260" s="39" t="n">
        <f aca="false">IF(AND(E2260&gt;0,OR(AND(B2260&gt;=1,B2260&lt;=6),B2260=10)),1,0)</f>
        <v>0</v>
      </c>
      <c r="AA2260" s="39" t="n">
        <f aca="false">IF(AND(E2260&gt;0,B2260=10),1,0)</f>
        <v>0</v>
      </c>
      <c r="AB2260" s="0" t="str">
        <f aca="false">IF(AND(C2259=C2260,Y2259=Y2260-1),Z2259,"")</f>
        <v/>
      </c>
      <c r="AC2260" s="0" t="str">
        <f aca="false">IF(AND(C2259=C2260,Y2259=Y2260-1),AA2259,"")</f>
        <v/>
      </c>
      <c r="AD2260" s="0" t="str">
        <f aca="false">IF(Y2260=1,"",IF(AND(Z2260=1,AB2260&lt;&gt;1),1,0))</f>
        <v/>
      </c>
      <c r="AE2260" s="0" t="str">
        <f aca="false">IF(Y2260=1,"",IF(AND(AA2260=1,AC2260&lt;&gt;1),1,0))</f>
        <v/>
      </c>
      <c r="AF2260" s="45" t="str">
        <f aca="false">IF(AND(E2260&gt;0,Y2260&lt;1,NOT(AND(C2261=C2260,Y2261=Y2260+1))),INDEX(DATAS,Y2260+1),"")</f>
        <v/>
      </c>
      <c r="AG2260" s="45" t="str">
        <f aca="false">IF(AND(AA2260=1,Y2260&lt;1),IF(AND(C2261=C2260,Y2261=Y2260+1),IF(AA2261=1,"",INDEX(DATAS,Y2260+1)),INDEX(DATAS,Y2260+1)),"")</f>
        <v/>
      </c>
    </row>
    <row r="2261" customFormat="false" ht="15" hidden="false" customHeight="false" outlineLevel="0" collapsed="false">
      <c r="A2261" s="45" t="n">
        <v>46309</v>
      </c>
      <c r="B2261" s="0" t="n">
        <v>8</v>
      </c>
      <c r="C2261" s="0" t="n">
        <v>6547</v>
      </c>
      <c r="E2261" s="0" t="n">
        <v>0</v>
      </c>
      <c r="F2261" s="39" t="s">
        <v>1190</v>
      </c>
      <c r="I2261" s="39" t="s">
        <v>109</v>
      </c>
      <c r="L2261" s="0" t="n">
        <v>84</v>
      </c>
      <c r="U2261" s="0" t="n">
        <v>518</v>
      </c>
      <c r="V2261" s="0" t="n">
        <v>2</v>
      </c>
      <c r="W2261" s="39" t="n">
        <f aca="false">IF(I2261="Male",0,1)</f>
        <v>1</v>
      </c>
      <c r="X2261" s="39" t="n">
        <f aca="false">IF(OR(I2261="DNB",I2261="Dry DNB"),1,0)</f>
        <v>0</v>
      </c>
      <c r="Y2261" s="39" t="n">
        <f aca="false">MATCH(A2261,DATAS,0)</f>
        <v>1</v>
      </c>
      <c r="Z2261" s="39" t="n">
        <f aca="false">IF(AND(E2261&gt;0,OR(AND(B2261&gt;=1,B2261&lt;=6),B2261=10)),1,0)</f>
        <v>0</v>
      </c>
      <c r="AA2261" s="39" t="n">
        <f aca="false">IF(AND(E2261&gt;0,B2261=10),1,0)</f>
        <v>0</v>
      </c>
      <c r="AB2261" s="0" t="str">
        <f aca="false">IF(AND(C2260=C2261,Y2260=Y2261-1),Z2260,"")</f>
        <v/>
      </c>
      <c r="AC2261" s="0" t="str">
        <f aca="false">IF(AND(C2260=C2261,Y2260=Y2261-1),AA2260,"")</f>
        <v/>
      </c>
      <c r="AD2261" s="0" t="str">
        <f aca="false">IF(Y2261=1,"",IF(AND(Z2261=1,AB2261&lt;&gt;1),1,0))</f>
        <v/>
      </c>
      <c r="AE2261" s="0" t="str">
        <f aca="false">IF(Y2261=1,"",IF(AND(AA2261=1,AC2261&lt;&gt;1),1,0))</f>
        <v/>
      </c>
      <c r="AF2261" s="45" t="str">
        <f aca="false">IF(AND(E2261&gt;0,Y2261&lt;1,NOT(AND(C2262=C2261,Y2262=Y2261+1))),INDEX(DATAS,Y2261+1),"")</f>
        <v/>
      </c>
      <c r="AG2261" s="45" t="str">
        <f aca="false">IF(AND(AA2261=1,Y2261&lt;1),IF(AND(C2262=C2261,Y2262=Y2261+1),IF(AA2262=1,"",INDEX(DATAS,Y2261+1)),INDEX(DATAS,Y2261+1)),"")</f>
        <v/>
      </c>
    </row>
    <row r="2262" customFormat="false" ht="15" hidden="false" customHeight="false" outlineLevel="0" collapsed="false">
      <c r="A2262" s="45" t="n">
        <v>46309</v>
      </c>
      <c r="B2262" s="0" t="n">
        <v>8</v>
      </c>
      <c r="C2262" s="0" t="n">
        <v>6548</v>
      </c>
      <c r="E2262" s="0" t="n">
        <v>0</v>
      </c>
      <c r="F2262" s="39" t="s">
        <v>1190</v>
      </c>
      <c r="I2262" s="39" t="s">
        <v>109</v>
      </c>
      <c r="L2262" s="0" t="n">
        <v>111</v>
      </c>
      <c r="U2262" s="0" t="n">
        <v>518</v>
      </c>
      <c r="V2262" s="0" t="n">
        <v>1</v>
      </c>
      <c r="W2262" s="39" t="n">
        <f aca="false">IF(I2262="Male",0,1)</f>
        <v>1</v>
      </c>
      <c r="X2262" s="39" t="n">
        <f aca="false">IF(OR(I2262="DNB",I2262="Dry DNB"),1,0)</f>
        <v>0</v>
      </c>
      <c r="Y2262" s="39" t="n">
        <f aca="false">MATCH(A2262,DATAS,0)</f>
        <v>1</v>
      </c>
      <c r="Z2262" s="39" t="n">
        <f aca="false">IF(AND(E2262&gt;0,OR(AND(B2262&gt;=1,B2262&lt;=6),B2262=10)),1,0)</f>
        <v>0</v>
      </c>
      <c r="AA2262" s="39" t="n">
        <f aca="false">IF(AND(E2262&gt;0,B2262=10),1,0)</f>
        <v>0</v>
      </c>
      <c r="AB2262" s="0" t="str">
        <f aca="false">IF(AND(C2261=C2262,Y2261=Y2262-1),Z2261,"")</f>
        <v/>
      </c>
      <c r="AC2262" s="0" t="str">
        <f aca="false">IF(AND(C2261=C2262,Y2261=Y2262-1),AA2261,"")</f>
        <v/>
      </c>
      <c r="AD2262" s="0" t="str">
        <f aca="false">IF(Y2262=1,"",IF(AND(Z2262=1,AB2262&lt;&gt;1),1,0))</f>
        <v/>
      </c>
      <c r="AE2262" s="0" t="str">
        <f aca="false">IF(Y2262=1,"",IF(AND(AA2262=1,AC2262&lt;&gt;1),1,0))</f>
        <v/>
      </c>
      <c r="AF2262" s="45" t="str">
        <f aca="false">IF(AND(E2262&gt;0,Y2262&lt;1,NOT(AND(C2263=C2262,Y2263=Y2262+1))),INDEX(DATAS,Y2262+1),"")</f>
        <v/>
      </c>
      <c r="AG2262" s="45" t="str">
        <f aca="false">IF(AND(AA2262=1,Y2262&lt;1),IF(AND(C2263=C2262,Y2263=Y2262+1),IF(AA2263=1,"",INDEX(DATAS,Y2262+1)),INDEX(DATAS,Y2262+1)),"")</f>
        <v/>
      </c>
    </row>
    <row r="2263" customFormat="false" ht="15" hidden="false" customHeight="false" outlineLevel="0" collapsed="false">
      <c r="A2263" s="45" t="n">
        <v>46309</v>
      </c>
      <c r="B2263" s="0" t="n">
        <v>8</v>
      </c>
      <c r="C2263" s="0" t="n">
        <v>6549</v>
      </c>
      <c r="E2263" s="0" t="n">
        <v>0</v>
      </c>
      <c r="F2263" s="39" t="s">
        <v>1191</v>
      </c>
      <c r="I2263" s="39" t="s">
        <v>109</v>
      </c>
      <c r="L2263" s="0" t="n">
        <v>106</v>
      </c>
      <c r="U2263" s="0" t="n">
        <v>517</v>
      </c>
      <c r="V2263" s="0" t="n">
        <v>1</v>
      </c>
      <c r="W2263" s="39" t="n">
        <f aca="false">IF(I2263="Male",0,1)</f>
        <v>1</v>
      </c>
      <c r="X2263" s="39" t="n">
        <f aca="false">IF(OR(I2263="DNB",I2263="Dry DNB"),1,0)</f>
        <v>0</v>
      </c>
      <c r="Y2263" s="39" t="n">
        <f aca="false">MATCH(A2263,DATAS,0)</f>
        <v>1</v>
      </c>
      <c r="Z2263" s="39" t="n">
        <f aca="false">IF(AND(E2263&gt;0,OR(AND(B2263&gt;=1,B2263&lt;=6),B2263=10)),1,0)</f>
        <v>0</v>
      </c>
      <c r="AA2263" s="39" t="n">
        <f aca="false">IF(AND(E2263&gt;0,B2263=10),1,0)</f>
        <v>0</v>
      </c>
      <c r="AB2263" s="0" t="str">
        <f aca="false">IF(AND(C2262=C2263,Y2262=Y2263-1),Z2262,"")</f>
        <v/>
      </c>
      <c r="AC2263" s="0" t="str">
        <f aca="false">IF(AND(C2262=C2263,Y2262=Y2263-1),AA2262,"")</f>
        <v/>
      </c>
      <c r="AD2263" s="0" t="str">
        <f aca="false">IF(Y2263=1,"",IF(AND(Z2263=1,AB2263&lt;&gt;1),1,0))</f>
        <v/>
      </c>
      <c r="AE2263" s="0" t="str">
        <f aca="false">IF(Y2263=1,"",IF(AND(AA2263=1,AC2263&lt;&gt;1),1,0))</f>
        <v/>
      </c>
      <c r="AF2263" s="45" t="str">
        <f aca="false">IF(AND(E2263&gt;0,Y2263&lt;1,NOT(AND(C2264=C2263,Y2264=Y2263+1))),INDEX(DATAS,Y2263+1),"")</f>
        <v/>
      </c>
      <c r="AG2263" s="45" t="str">
        <f aca="false">IF(AND(AA2263=1,Y2263&lt;1),IF(AND(C2264=C2263,Y2264=Y2263+1),IF(AA2264=1,"",INDEX(DATAS,Y2263+1)),INDEX(DATAS,Y2263+1)),"")</f>
        <v/>
      </c>
    </row>
    <row r="2264" customFormat="false" ht="15" hidden="false" customHeight="false" outlineLevel="0" collapsed="false">
      <c r="A2264" s="45" t="n">
        <v>46309</v>
      </c>
      <c r="B2264" s="0" t="n">
        <v>8</v>
      </c>
      <c r="C2264" s="0" t="n">
        <v>6550</v>
      </c>
      <c r="E2264" s="0" t="n">
        <v>0</v>
      </c>
      <c r="F2264" s="39" t="s">
        <v>1191</v>
      </c>
      <c r="I2264" s="39" t="s">
        <v>109</v>
      </c>
      <c r="L2264" s="0" t="n">
        <v>84</v>
      </c>
      <c r="U2264" s="0" t="n">
        <v>517</v>
      </c>
      <c r="V2264" s="0" t="n">
        <v>2</v>
      </c>
      <c r="W2264" s="39" t="n">
        <f aca="false">IF(I2264="Male",0,1)</f>
        <v>1</v>
      </c>
      <c r="X2264" s="39" t="n">
        <f aca="false">IF(OR(I2264="DNB",I2264="Dry DNB"),1,0)</f>
        <v>0</v>
      </c>
      <c r="Y2264" s="39" t="n">
        <f aca="false">MATCH(A2264,DATAS,0)</f>
        <v>1</v>
      </c>
      <c r="Z2264" s="39" t="n">
        <f aca="false">IF(AND(E2264&gt;0,OR(AND(B2264&gt;=1,B2264&lt;=6),B2264=10)),1,0)</f>
        <v>0</v>
      </c>
      <c r="AA2264" s="39" t="n">
        <f aca="false">IF(AND(E2264&gt;0,B2264=10),1,0)</f>
        <v>0</v>
      </c>
      <c r="AB2264" s="0" t="str">
        <f aca="false">IF(AND(C2263=C2264,Y2263=Y2264-1),Z2263,"")</f>
        <v/>
      </c>
      <c r="AC2264" s="0" t="str">
        <f aca="false">IF(AND(C2263=C2264,Y2263=Y2264-1),AA2263,"")</f>
        <v/>
      </c>
      <c r="AD2264" s="0" t="str">
        <f aca="false">IF(Y2264=1,"",IF(AND(Z2264=1,AB2264&lt;&gt;1),1,0))</f>
        <v/>
      </c>
      <c r="AE2264" s="0" t="str">
        <f aca="false">IF(Y2264=1,"",IF(AND(AA2264=1,AC2264&lt;&gt;1),1,0))</f>
        <v/>
      </c>
      <c r="AF2264" s="45" t="str">
        <f aca="false">IF(AND(E2264&gt;0,Y2264&lt;1,NOT(AND(C2265=C2264,Y2265=Y2264+1))),INDEX(DATAS,Y2264+1),"")</f>
        <v/>
      </c>
      <c r="AG2264" s="45" t="str">
        <f aca="false">IF(AND(AA2264=1,Y2264&lt;1),IF(AND(C2265=C2264,Y2265=Y2264+1),IF(AA2265=1,"",INDEX(DATAS,Y2264+1)),INDEX(DATAS,Y2264+1)),"")</f>
        <v/>
      </c>
    </row>
    <row r="2265" customFormat="false" ht="15" hidden="false" customHeight="false" outlineLevel="0" collapsed="false">
      <c r="A2265" s="45" t="n">
        <v>46309</v>
      </c>
      <c r="B2265" s="0" t="n">
        <v>8</v>
      </c>
      <c r="C2265" s="0" t="n">
        <v>6551</v>
      </c>
      <c r="E2265" s="0" t="n">
        <v>0</v>
      </c>
      <c r="F2265" s="39" t="s">
        <v>1191</v>
      </c>
      <c r="I2265" s="39" t="s">
        <v>109</v>
      </c>
      <c r="L2265" s="0" t="n">
        <v>118</v>
      </c>
      <c r="U2265" s="0" t="n">
        <v>517</v>
      </c>
      <c r="V2265" s="0" t="n">
        <v>1</v>
      </c>
      <c r="W2265" s="39" t="n">
        <f aca="false">IF(I2265="Male",0,1)</f>
        <v>1</v>
      </c>
      <c r="X2265" s="39" t="n">
        <f aca="false">IF(OR(I2265="DNB",I2265="Dry DNB"),1,0)</f>
        <v>0</v>
      </c>
      <c r="Y2265" s="39" t="n">
        <f aca="false">MATCH(A2265,DATAS,0)</f>
        <v>1</v>
      </c>
      <c r="Z2265" s="39" t="n">
        <f aca="false">IF(AND(E2265&gt;0,OR(AND(B2265&gt;=1,B2265&lt;=6),B2265=10)),1,0)</f>
        <v>0</v>
      </c>
      <c r="AA2265" s="39" t="n">
        <f aca="false">IF(AND(E2265&gt;0,B2265=10),1,0)</f>
        <v>0</v>
      </c>
      <c r="AB2265" s="0" t="str">
        <f aca="false">IF(AND(C2264=C2265,Y2264=Y2265-1),Z2264,"")</f>
        <v/>
      </c>
      <c r="AC2265" s="0" t="str">
        <f aca="false">IF(AND(C2264=C2265,Y2264=Y2265-1),AA2264,"")</f>
        <v/>
      </c>
      <c r="AD2265" s="0" t="str">
        <f aca="false">IF(Y2265=1,"",IF(AND(Z2265=1,AB2265&lt;&gt;1),1,0))</f>
        <v/>
      </c>
      <c r="AE2265" s="0" t="str">
        <f aca="false">IF(Y2265=1,"",IF(AND(AA2265=1,AC2265&lt;&gt;1),1,0))</f>
        <v/>
      </c>
      <c r="AF2265" s="45" t="str">
        <f aca="false">IF(AND(E2265&gt;0,Y2265&lt;1,NOT(AND(C2266=C2265,Y2266=Y2265+1))),INDEX(DATAS,Y2265+1),"")</f>
        <v/>
      </c>
      <c r="AG2265" s="45" t="str">
        <f aca="false">IF(AND(AA2265=1,Y2265&lt;1),IF(AND(C2266=C2265,Y2266=Y2265+1),IF(AA2266=1,"",INDEX(DATAS,Y2265+1)),INDEX(DATAS,Y2265+1)),"")</f>
        <v/>
      </c>
    </row>
    <row r="2266" customFormat="false" ht="15" hidden="false" customHeight="false" outlineLevel="0" collapsed="false">
      <c r="A2266" s="45" t="n">
        <v>46309</v>
      </c>
      <c r="B2266" s="0" t="n">
        <v>8</v>
      </c>
      <c r="C2266" s="0" t="n">
        <v>6552</v>
      </c>
      <c r="E2266" s="0" t="n">
        <v>0</v>
      </c>
      <c r="F2266" s="39" t="s">
        <v>1192</v>
      </c>
      <c r="I2266" s="39" t="s">
        <v>109</v>
      </c>
      <c r="L2266" s="0" t="n">
        <v>109</v>
      </c>
      <c r="U2266" s="0" t="n">
        <v>516</v>
      </c>
      <c r="V2266" s="0" t="n">
        <v>1</v>
      </c>
      <c r="W2266" s="39" t="n">
        <f aca="false">IF(I2266="Male",0,1)</f>
        <v>1</v>
      </c>
      <c r="X2266" s="39" t="n">
        <f aca="false">IF(OR(I2266="DNB",I2266="Dry DNB"),1,0)</f>
        <v>0</v>
      </c>
      <c r="Y2266" s="39" t="n">
        <f aca="false">MATCH(A2266,DATAS,0)</f>
        <v>1</v>
      </c>
      <c r="Z2266" s="39" t="n">
        <f aca="false">IF(AND(E2266&gt;0,OR(AND(B2266&gt;=1,B2266&lt;=6),B2266=10)),1,0)</f>
        <v>0</v>
      </c>
      <c r="AA2266" s="39" t="n">
        <f aca="false">IF(AND(E2266&gt;0,B2266=10),1,0)</f>
        <v>0</v>
      </c>
      <c r="AB2266" s="0" t="str">
        <f aca="false">IF(AND(C2265=C2266,Y2265=Y2266-1),Z2265,"")</f>
        <v/>
      </c>
      <c r="AC2266" s="0" t="str">
        <f aca="false">IF(AND(C2265=C2266,Y2265=Y2266-1),AA2265,"")</f>
        <v/>
      </c>
      <c r="AD2266" s="0" t="str">
        <f aca="false">IF(Y2266=1,"",IF(AND(Z2266=1,AB2266&lt;&gt;1),1,0))</f>
        <v/>
      </c>
      <c r="AE2266" s="0" t="str">
        <f aca="false">IF(Y2266=1,"",IF(AND(AA2266=1,AC2266&lt;&gt;1),1,0))</f>
        <v/>
      </c>
      <c r="AF2266" s="45" t="str">
        <f aca="false">IF(AND(E2266&gt;0,Y2266&lt;1,NOT(AND(C2267=C2266,Y2267=Y2266+1))),INDEX(DATAS,Y2266+1),"")</f>
        <v/>
      </c>
      <c r="AG2266" s="45" t="str">
        <f aca="false">IF(AND(AA2266=1,Y2266&lt;1),IF(AND(C2267=C2266,Y2267=Y2266+1),IF(AA2267=1,"",INDEX(DATAS,Y2266+1)),INDEX(DATAS,Y2266+1)),"")</f>
        <v/>
      </c>
    </row>
    <row r="2267" customFormat="false" ht="15" hidden="false" customHeight="false" outlineLevel="0" collapsed="false">
      <c r="A2267" s="45" t="n">
        <v>46309</v>
      </c>
      <c r="B2267" s="0" t="n">
        <v>8</v>
      </c>
      <c r="C2267" s="0" t="n">
        <v>6553</v>
      </c>
      <c r="E2267" s="0" t="n">
        <v>0</v>
      </c>
      <c r="F2267" s="39" t="s">
        <v>1192</v>
      </c>
      <c r="I2267" s="39" t="s">
        <v>109</v>
      </c>
      <c r="L2267" s="0" t="n">
        <v>64</v>
      </c>
      <c r="U2267" s="0" t="n">
        <v>516</v>
      </c>
      <c r="V2267" s="0" t="n">
        <v>3</v>
      </c>
      <c r="W2267" s="39" t="n">
        <f aca="false">IF(I2267="Male",0,1)</f>
        <v>1</v>
      </c>
      <c r="X2267" s="39" t="n">
        <f aca="false">IF(OR(I2267="DNB",I2267="Dry DNB"),1,0)</f>
        <v>0</v>
      </c>
      <c r="Y2267" s="39" t="n">
        <f aca="false">MATCH(A2267,DATAS,0)</f>
        <v>1</v>
      </c>
      <c r="Z2267" s="39" t="n">
        <f aca="false">IF(AND(E2267&gt;0,OR(AND(B2267&gt;=1,B2267&lt;=6),B2267=10)),1,0)</f>
        <v>0</v>
      </c>
      <c r="AA2267" s="39" t="n">
        <f aca="false">IF(AND(E2267&gt;0,B2267=10),1,0)</f>
        <v>0</v>
      </c>
      <c r="AB2267" s="0" t="str">
        <f aca="false">IF(AND(C2266=C2267,Y2266=Y2267-1),Z2266,"")</f>
        <v/>
      </c>
      <c r="AC2267" s="0" t="str">
        <f aca="false">IF(AND(C2266=C2267,Y2266=Y2267-1),AA2266,"")</f>
        <v/>
      </c>
      <c r="AD2267" s="0" t="str">
        <f aca="false">IF(Y2267=1,"",IF(AND(Z2267=1,AB2267&lt;&gt;1),1,0))</f>
        <v/>
      </c>
      <c r="AE2267" s="0" t="str">
        <f aca="false">IF(Y2267=1,"",IF(AND(AA2267=1,AC2267&lt;&gt;1),1,0))</f>
        <v/>
      </c>
      <c r="AF2267" s="45" t="str">
        <f aca="false">IF(AND(E2267&gt;0,Y2267&lt;1,NOT(AND(C2268=C2267,Y2268=Y2267+1))),INDEX(DATAS,Y2267+1),"")</f>
        <v/>
      </c>
      <c r="AG2267" s="45" t="str">
        <f aca="false">IF(AND(AA2267=1,Y2267&lt;1),IF(AND(C2268=C2267,Y2268=Y2267+1),IF(AA2268=1,"",INDEX(DATAS,Y2267+1)),INDEX(DATAS,Y2267+1)),"")</f>
        <v/>
      </c>
    </row>
    <row r="2268" customFormat="false" ht="15" hidden="false" customHeight="false" outlineLevel="0" collapsed="false">
      <c r="A2268" s="45" t="n">
        <v>46309</v>
      </c>
      <c r="B2268" s="0" t="n">
        <v>8</v>
      </c>
      <c r="C2268" s="0" t="n">
        <v>6555</v>
      </c>
      <c r="E2268" s="0" t="n">
        <v>0</v>
      </c>
      <c r="F2268" s="39" t="s">
        <v>1192</v>
      </c>
      <c r="I2268" s="39" t="s">
        <v>109</v>
      </c>
      <c r="L2268" s="0" t="n">
        <v>94</v>
      </c>
      <c r="U2268" s="0" t="n">
        <v>516</v>
      </c>
      <c r="V2268" s="0" t="n">
        <v>2</v>
      </c>
      <c r="W2268" s="39" t="n">
        <f aca="false">IF(I2268="Male",0,1)</f>
        <v>1</v>
      </c>
      <c r="X2268" s="39" t="n">
        <f aca="false">IF(OR(I2268="DNB",I2268="Dry DNB"),1,0)</f>
        <v>0</v>
      </c>
      <c r="Y2268" s="39" t="n">
        <f aca="false">MATCH(A2268,DATAS,0)</f>
        <v>1</v>
      </c>
      <c r="Z2268" s="39" t="n">
        <f aca="false">IF(AND(E2268&gt;0,OR(AND(B2268&gt;=1,B2268&lt;=6),B2268=10)),1,0)</f>
        <v>0</v>
      </c>
      <c r="AA2268" s="39" t="n">
        <f aca="false">IF(AND(E2268&gt;0,B2268=10),1,0)</f>
        <v>0</v>
      </c>
      <c r="AB2268" s="0" t="str">
        <f aca="false">IF(AND(C2267=C2268,Y2267=Y2268-1),Z2267,"")</f>
        <v/>
      </c>
      <c r="AC2268" s="0" t="str">
        <f aca="false">IF(AND(C2267=C2268,Y2267=Y2268-1),AA2267,"")</f>
        <v/>
      </c>
      <c r="AD2268" s="0" t="str">
        <f aca="false">IF(Y2268=1,"",IF(AND(Z2268=1,AB2268&lt;&gt;1),1,0))</f>
        <v/>
      </c>
      <c r="AE2268" s="0" t="str">
        <f aca="false">IF(Y2268=1,"",IF(AND(AA2268=1,AC2268&lt;&gt;1),1,0))</f>
        <v/>
      </c>
      <c r="AF2268" s="45" t="str">
        <f aca="false">IF(AND(E2268&gt;0,Y2268&lt;1,NOT(AND(C2269=C2268,Y2269=Y2268+1))),INDEX(DATAS,Y2268+1),"")</f>
        <v/>
      </c>
      <c r="AG2268" s="45" t="str">
        <f aca="false">IF(AND(AA2268=1,Y2268&lt;1),IF(AND(C2269=C2268,Y2269=Y2268+1),IF(AA2269=1,"",INDEX(DATAS,Y2268+1)),INDEX(DATAS,Y2268+1)),"")</f>
        <v/>
      </c>
    </row>
    <row r="2269" customFormat="false" ht="15" hidden="false" customHeight="false" outlineLevel="0" collapsed="false">
      <c r="A2269" s="45" t="n">
        <v>46309</v>
      </c>
      <c r="B2269" s="0" t="n">
        <v>8</v>
      </c>
      <c r="C2269" s="0" t="n">
        <v>6557</v>
      </c>
      <c r="E2269" s="0" t="n">
        <v>0</v>
      </c>
      <c r="F2269" s="39" t="s">
        <v>1192</v>
      </c>
      <c r="I2269" s="39" t="s">
        <v>109</v>
      </c>
      <c r="L2269" s="0" t="n">
        <v>93</v>
      </c>
      <c r="U2269" s="0" t="n">
        <v>516</v>
      </c>
      <c r="V2269" s="0" t="n">
        <v>1</v>
      </c>
      <c r="W2269" s="39" t="n">
        <f aca="false">IF(I2269="Male",0,1)</f>
        <v>1</v>
      </c>
      <c r="X2269" s="39" t="n">
        <f aca="false">IF(OR(I2269="DNB",I2269="Dry DNB"),1,0)</f>
        <v>0</v>
      </c>
      <c r="Y2269" s="39" t="n">
        <f aca="false">MATCH(A2269,DATAS,0)</f>
        <v>1</v>
      </c>
      <c r="Z2269" s="39" t="n">
        <f aca="false">IF(AND(E2269&gt;0,OR(AND(B2269&gt;=1,B2269&lt;=6),B2269=10)),1,0)</f>
        <v>0</v>
      </c>
      <c r="AA2269" s="39" t="n">
        <f aca="false">IF(AND(E2269&gt;0,B2269=10),1,0)</f>
        <v>0</v>
      </c>
      <c r="AB2269" s="0" t="str">
        <f aca="false">IF(AND(C2268=C2269,Y2268=Y2269-1),Z2268,"")</f>
        <v/>
      </c>
      <c r="AC2269" s="0" t="str">
        <f aca="false">IF(AND(C2268=C2269,Y2268=Y2269-1),AA2268,"")</f>
        <v/>
      </c>
      <c r="AD2269" s="0" t="str">
        <f aca="false">IF(Y2269=1,"",IF(AND(Z2269=1,AB2269&lt;&gt;1),1,0))</f>
        <v/>
      </c>
      <c r="AE2269" s="0" t="str">
        <f aca="false">IF(Y2269=1,"",IF(AND(AA2269=1,AC2269&lt;&gt;1),1,0))</f>
        <v/>
      </c>
      <c r="AF2269" s="45" t="str">
        <f aca="false">IF(AND(E2269&gt;0,Y2269&lt;1,NOT(AND(C2270=C2269,Y2270=Y2269+1))),INDEX(DATAS,Y2269+1),"")</f>
        <v/>
      </c>
      <c r="AG2269" s="45" t="str">
        <f aca="false">IF(AND(AA2269=1,Y2269&lt;1),IF(AND(C2270=C2269,Y2270=Y2269+1),IF(AA2270=1,"",INDEX(DATAS,Y2269+1)),INDEX(DATAS,Y2269+1)),"")</f>
        <v/>
      </c>
    </row>
    <row r="2270" customFormat="false" ht="15" hidden="false" customHeight="false" outlineLevel="0" collapsed="false">
      <c r="A2270" s="45" t="n">
        <v>46309</v>
      </c>
      <c r="B2270" s="0" t="n">
        <v>8</v>
      </c>
      <c r="C2270" s="0" t="n">
        <v>6558</v>
      </c>
      <c r="E2270" s="0" t="n">
        <v>0</v>
      </c>
      <c r="F2270" s="39" t="s">
        <v>1192</v>
      </c>
      <c r="I2270" s="39" t="s">
        <v>109</v>
      </c>
      <c r="L2270" s="0" t="n">
        <v>48</v>
      </c>
      <c r="U2270" s="0" t="n">
        <v>516</v>
      </c>
      <c r="V2270" s="0" t="n">
        <v>4</v>
      </c>
      <c r="W2270" s="39" t="n">
        <f aca="false">IF(I2270="Male",0,1)</f>
        <v>1</v>
      </c>
      <c r="X2270" s="39" t="n">
        <f aca="false">IF(OR(I2270="DNB",I2270="Dry DNB"),1,0)</f>
        <v>0</v>
      </c>
      <c r="Y2270" s="39" t="n">
        <f aca="false">MATCH(A2270,DATAS,0)</f>
        <v>1</v>
      </c>
      <c r="Z2270" s="39" t="n">
        <f aca="false">IF(AND(E2270&gt;0,OR(AND(B2270&gt;=1,B2270&lt;=6),B2270=10)),1,0)</f>
        <v>0</v>
      </c>
      <c r="AA2270" s="39" t="n">
        <f aca="false">IF(AND(E2270&gt;0,B2270=10),1,0)</f>
        <v>0</v>
      </c>
      <c r="AB2270" s="0" t="str">
        <f aca="false">IF(AND(C2269=C2270,Y2269=Y2270-1),Z2269,"")</f>
        <v/>
      </c>
      <c r="AC2270" s="0" t="str">
        <f aca="false">IF(AND(C2269=C2270,Y2269=Y2270-1),AA2269,"")</f>
        <v/>
      </c>
      <c r="AD2270" s="0" t="str">
        <f aca="false">IF(Y2270=1,"",IF(AND(Z2270=1,AB2270&lt;&gt;1),1,0))</f>
        <v/>
      </c>
      <c r="AE2270" s="0" t="str">
        <f aca="false">IF(Y2270=1,"",IF(AND(AA2270=1,AC2270&lt;&gt;1),1,0))</f>
        <v/>
      </c>
      <c r="AF2270" s="45" t="str">
        <f aca="false">IF(AND(E2270&gt;0,Y2270&lt;1,NOT(AND(C2271=C2270,Y2271=Y2270+1))),INDEX(DATAS,Y2270+1),"")</f>
        <v/>
      </c>
      <c r="AG2270" s="45" t="str">
        <f aca="false">IF(AND(AA2270=1,Y2270&lt;1),IF(AND(C2271=C2270,Y2271=Y2270+1),IF(AA2271=1,"",INDEX(DATAS,Y2270+1)),INDEX(DATAS,Y2270+1)),"")</f>
        <v/>
      </c>
    </row>
    <row r="2271" customFormat="false" ht="15" hidden="false" customHeight="false" outlineLevel="0" collapsed="false">
      <c r="A2271" s="45" t="n">
        <v>46309</v>
      </c>
      <c r="B2271" s="0" t="n">
        <v>8</v>
      </c>
      <c r="C2271" s="0" t="n">
        <v>6559</v>
      </c>
      <c r="E2271" s="0" t="n">
        <v>0</v>
      </c>
      <c r="F2271" s="39" t="s">
        <v>1192</v>
      </c>
      <c r="I2271" s="39" t="s">
        <v>109</v>
      </c>
      <c r="L2271" s="0" t="n">
        <v>110</v>
      </c>
      <c r="U2271" s="0" t="n">
        <v>516</v>
      </c>
      <c r="V2271" s="0" t="n">
        <v>1</v>
      </c>
      <c r="W2271" s="39" t="n">
        <f aca="false">IF(I2271="Male",0,1)</f>
        <v>1</v>
      </c>
      <c r="X2271" s="39" t="n">
        <f aca="false">IF(OR(I2271="DNB",I2271="Dry DNB"),1,0)</f>
        <v>0</v>
      </c>
      <c r="Y2271" s="39" t="n">
        <f aca="false">MATCH(A2271,DATAS,0)</f>
        <v>1</v>
      </c>
      <c r="Z2271" s="39" t="n">
        <f aca="false">IF(AND(E2271&gt;0,OR(AND(B2271&gt;=1,B2271&lt;=6),B2271=10)),1,0)</f>
        <v>0</v>
      </c>
      <c r="AA2271" s="39" t="n">
        <f aca="false">IF(AND(E2271&gt;0,B2271=10),1,0)</f>
        <v>0</v>
      </c>
      <c r="AB2271" s="0" t="str">
        <f aca="false">IF(AND(C2270=C2271,Y2270=Y2271-1),Z2270,"")</f>
        <v/>
      </c>
      <c r="AC2271" s="0" t="str">
        <f aca="false">IF(AND(C2270=C2271,Y2270=Y2271-1),AA2270,"")</f>
        <v/>
      </c>
      <c r="AD2271" s="0" t="str">
        <f aca="false">IF(Y2271=1,"",IF(AND(Z2271=1,AB2271&lt;&gt;1),1,0))</f>
        <v/>
      </c>
      <c r="AE2271" s="0" t="str">
        <f aca="false">IF(Y2271=1,"",IF(AND(AA2271=1,AC2271&lt;&gt;1),1,0))</f>
        <v/>
      </c>
      <c r="AF2271" s="45" t="str">
        <f aca="false">IF(AND(E2271&gt;0,Y2271&lt;1,NOT(AND(C2272=C2271,Y2272=Y2271+1))),INDEX(DATAS,Y2271+1),"")</f>
        <v/>
      </c>
      <c r="AG2271" s="45" t="str">
        <f aca="false">IF(AND(AA2271=1,Y2271&lt;1),IF(AND(C2272=C2271,Y2272=Y2271+1),IF(AA2272=1,"",INDEX(DATAS,Y2271+1)),INDEX(DATAS,Y2271+1)),"")</f>
        <v/>
      </c>
    </row>
    <row r="2272" customFormat="false" ht="15" hidden="false" customHeight="false" outlineLevel="0" collapsed="false">
      <c r="A2272" s="45" t="n">
        <v>46309</v>
      </c>
      <c r="B2272" s="0" t="n">
        <v>8</v>
      </c>
      <c r="C2272" s="0" t="n">
        <v>6560</v>
      </c>
      <c r="E2272" s="0" t="n">
        <v>0</v>
      </c>
      <c r="F2272" s="39" t="s">
        <v>1193</v>
      </c>
      <c r="I2272" s="39" t="s">
        <v>109</v>
      </c>
      <c r="L2272" s="0" t="n">
        <v>122</v>
      </c>
      <c r="U2272" s="0" t="n">
        <v>515</v>
      </c>
      <c r="V2272" s="0" t="n">
        <v>1</v>
      </c>
      <c r="W2272" s="39" t="n">
        <f aca="false">IF(I2272="Male",0,1)</f>
        <v>1</v>
      </c>
      <c r="X2272" s="39" t="n">
        <f aca="false">IF(OR(I2272="DNB",I2272="Dry DNB"),1,0)</f>
        <v>0</v>
      </c>
      <c r="Y2272" s="39" t="n">
        <f aca="false">MATCH(A2272,DATAS,0)</f>
        <v>1</v>
      </c>
      <c r="Z2272" s="39" t="n">
        <f aca="false">IF(AND(E2272&gt;0,OR(AND(B2272&gt;=1,B2272&lt;=6),B2272=10)),1,0)</f>
        <v>0</v>
      </c>
      <c r="AA2272" s="39" t="n">
        <f aca="false">IF(AND(E2272&gt;0,B2272=10),1,0)</f>
        <v>0</v>
      </c>
      <c r="AB2272" s="0" t="str">
        <f aca="false">IF(AND(C2271=C2272,Y2271=Y2272-1),Z2271,"")</f>
        <v/>
      </c>
      <c r="AC2272" s="0" t="str">
        <f aca="false">IF(AND(C2271=C2272,Y2271=Y2272-1),AA2271,"")</f>
        <v/>
      </c>
      <c r="AD2272" s="0" t="str">
        <f aca="false">IF(Y2272=1,"",IF(AND(Z2272=1,AB2272&lt;&gt;1),1,0))</f>
        <v/>
      </c>
      <c r="AE2272" s="0" t="str">
        <f aca="false">IF(Y2272=1,"",IF(AND(AA2272=1,AC2272&lt;&gt;1),1,0))</f>
        <v/>
      </c>
      <c r="AF2272" s="45" t="str">
        <f aca="false">IF(AND(E2272&gt;0,Y2272&lt;1,NOT(AND(C2273=C2272,Y2273=Y2272+1))),INDEX(DATAS,Y2272+1),"")</f>
        <v/>
      </c>
      <c r="AG2272" s="45" t="str">
        <f aca="false">IF(AND(AA2272=1,Y2272&lt;1),IF(AND(C2273=C2272,Y2273=Y2272+1),IF(AA2273=1,"",INDEX(DATAS,Y2272+1)),INDEX(DATAS,Y2272+1)),"")</f>
        <v/>
      </c>
    </row>
    <row r="2273" customFormat="false" ht="15" hidden="false" customHeight="false" outlineLevel="0" collapsed="false">
      <c r="A2273" s="45" t="n">
        <v>46309</v>
      </c>
      <c r="B2273" s="0" t="n">
        <v>8</v>
      </c>
      <c r="C2273" s="0" t="n">
        <v>6561</v>
      </c>
      <c r="E2273" s="0" t="n">
        <v>0</v>
      </c>
      <c r="F2273" s="39" t="s">
        <v>1193</v>
      </c>
      <c r="I2273" s="39" t="s">
        <v>109</v>
      </c>
      <c r="L2273" s="0" t="n">
        <v>93</v>
      </c>
      <c r="U2273" s="0" t="n">
        <v>515</v>
      </c>
      <c r="V2273" s="0" t="n">
        <v>2</v>
      </c>
      <c r="W2273" s="39" t="n">
        <f aca="false">IF(I2273="Male",0,1)</f>
        <v>1</v>
      </c>
      <c r="X2273" s="39" t="n">
        <f aca="false">IF(OR(I2273="DNB",I2273="Dry DNB"),1,0)</f>
        <v>0</v>
      </c>
      <c r="Y2273" s="39" t="n">
        <f aca="false">MATCH(A2273,DATAS,0)</f>
        <v>1</v>
      </c>
      <c r="Z2273" s="39" t="n">
        <f aca="false">IF(AND(E2273&gt;0,OR(AND(B2273&gt;=1,B2273&lt;=6),B2273=10)),1,0)</f>
        <v>0</v>
      </c>
      <c r="AA2273" s="39" t="n">
        <f aca="false">IF(AND(E2273&gt;0,B2273=10),1,0)</f>
        <v>0</v>
      </c>
      <c r="AB2273" s="0" t="str">
        <f aca="false">IF(AND(C2272=C2273,Y2272=Y2273-1),Z2272,"")</f>
        <v/>
      </c>
      <c r="AC2273" s="0" t="str">
        <f aca="false">IF(AND(C2272=C2273,Y2272=Y2273-1),AA2272,"")</f>
        <v/>
      </c>
      <c r="AD2273" s="0" t="str">
        <f aca="false">IF(Y2273=1,"",IF(AND(Z2273=1,AB2273&lt;&gt;1),1,0))</f>
        <v/>
      </c>
      <c r="AE2273" s="0" t="str">
        <f aca="false">IF(Y2273=1,"",IF(AND(AA2273=1,AC2273&lt;&gt;1),1,0))</f>
        <v/>
      </c>
      <c r="AF2273" s="45" t="str">
        <f aca="false">IF(AND(E2273&gt;0,Y2273&lt;1,NOT(AND(C2274=C2273,Y2274=Y2273+1))),INDEX(DATAS,Y2273+1),"")</f>
        <v/>
      </c>
      <c r="AG2273" s="45" t="str">
        <f aca="false">IF(AND(AA2273=1,Y2273&lt;1),IF(AND(C2274=C2273,Y2274=Y2273+1),IF(AA2274=1,"",INDEX(DATAS,Y2273+1)),INDEX(DATAS,Y2273+1)),"")</f>
        <v/>
      </c>
    </row>
    <row r="2274" customFormat="false" ht="15" hidden="false" customHeight="false" outlineLevel="0" collapsed="false">
      <c r="A2274" s="45" t="n">
        <v>46309</v>
      </c>
      <c r="B2274" s="0" t="n">
        <v>11</v>
      </c>
      <c r="C2274" s="0" t="n">
        <v>6562</v>
      </c>
      <c r="E2274" s="0" t="n">
        <v>0</v>
      </c>
      <c r="F2274" s="39" t="s">
        <v>1193</v>
      </c>
      <c r="I2274" s="39" t="s">
        <v>138</v>
      </c>
      <c r="U2274" s="0" t="n">
        <v>515</v>
      </c>
      <c r="V2274" s="0" t="n">
        <v>4</v>
      </c>
      <c r="W2274" s="39" t="n">
        <f aca="false">IF(I2274="Male",0,1)</f>
        <v>1</v>
      </c>
      <c r="X2274" s="39" t="n">
        <f aca="false">IF(OR(I2274="DNB",I2274="Dry DNB"),1,0)</f>
        <v>0</v>
      </c>
      <c r="Y2274" s="39" t="n">
        <f aca="false">MATCH(A2274,DATAS,0)</f>
        <v>1</v>
      </c>
      <c r="Z2274" s="39" t="n">
        <f aca="false">IF(AND(E2274&gt;0,OR(AND(B2274&gt;=1,B2274&lt;=6),B2274=10)),1,0)</f>
        <v>0</v>
      </c>
      <c r="AA2274" s="39" t="n">
        <f aca="false">IF(AND(E2274&gt;0,B2274=10),1,0)</f>
        <v>0</v>
      </c>
      <c r="AB2274" s="0" t="str">
        <f aca="false">IF(AND(C2273=C2274,Y2273=Y2274-1),Z2273,"")</f>
        <v/>
      </c>
      <c r="AC2274" s="0" t="str">
        <f aca="false">IF(AND(C2273=C2274,Y2273=Y2274-1),AA2273,"")</f>
        <v/>
      </c>
      <c r="AD2274" s="0" t="str">
        <f aca="false">IF(Y2274=1,"",IF(AND(Z2274=1,AB2274&lt;&gt;1),1,0))</f>
        <v/>
      </c>
      <c r="AE2274" s="0" t="str">
        <f aca="false">IF(Y2274=1,"",IF(AND(AA2274=1,AC2274&lt;&gt;1),1,0))</f>
        <v/>
      </c>
      <c r="AF2274" s="45" t="str">
        <f aca="false">IF(AND(E2274&gt;0,Y2274&lt;1,NOT(AND(C2275=C2274,Y2275=Y2274+1))),INDEX(DATAS,Y2274+1),"")</f>
        <v/>
      </c>
      <c r="AG2274" s="45" t="str">
        <f aca="false">IF(AND(AA2274=1,Y2274&lt;1),IF(AND(C2275=C2274,Y2275=Y2274+1),IF(AA2275=1,"",INDEX(DATAS,Y2274+1)),INDEX(DATAS,Y2274+1)),"")</f>
        <v/>
      </c>
    </row>
    <row r="2275" customFormat="false" ht="15" hidden="false" customHeight="false" outlineLevel="0" collapsed="false">
      <c r="A2275" s="45" t="n">
        <v>46309</v>
      </c>
      <c r="B2275" s="0" t="n">
        <v>8</v>
      </c>
      <c r="C2275" s="0" t="n">
        <v>6563</v>
      </c>
      <c r="E2275" s="0" t="n">
        <v>0</v>
      </c>
      <c r="F2275" s="39" t="s">
        <v>1193</v>
      </c>
      <c r="I2275" s="39" t="s">
        <v>109</v>
      </c>
      <c r="L2275" s="0" t="n">
        <v>95</v>
      </c>
      <c r="U2275" s="0" t="n">
        <v>515</v>
      </c>
      <c r="V2275" s="0" t="n">
        <v>2</v>
      </c>
      <c r="W2275" s="39" t="n">
        <f aca="false">IF(I2275="Male",0,1)</f>
        <v>1</v>
      </c>
      <c r="X2275" s="39" t="n">
        <f aca="false">IF(OR(I2275="DNB",I2275="Dry DNB"),1,0)</f>
        <v>0</v>
      </c>
      <c r="Y2275" s="39" t="n">
        <f aca="false">MATCH(A2275,DATAS,0)</f>
        <v>1</v>
      </c>
      <c r="Z2275" s="39" t="n">
        <f aca="false">IF(AND(E2275&gt;0,OR(AND(B2275&gt;=1,B2275&lt;=6),B2275=10)),1,0)</f>
        <v>0</v>
      </c>
      <c r="AA2275" s="39" t="n">
        <f aca="false">IF(AND(E2275&gt;0,B2275=10),1,0)</f>
        <v>0</v>
      </c>
      <c r="AB2275" s="0" t="str">
        <f aca="false">IF(AND(C2274=C2275,Y2274=Y2275-1),Z2274,"")</f>
        <v/>
      </c>
      <c r="AC2275" s="0" t="str">
        <f aca="false">IF(AND(C2274=C2275,Y2274=Y2275-1),AA2274,"")</f>
        <v/>
      </c>
      <c r="AD2275" s="0" t="str">
        <f aca="false">IF(Y2275=1,"",IF(AND(Z2275=1,AB2275&lt;&gt;1),1,0))</f>
        <v/>
      </c>
      <c r="AE2275" s="0" t="str">
        <f aca="false">IF(Y2275=1,"",IF(AND(AA2275=1,AC2275&lt;&gt;1),1,0))</f>
        <v/>
      </c>
      <c r="AF2275" s="45" t="str">
        <f aca="false">IF(AND(E2275&gt;0,Y2275&lt;1,NOT(AND(C2276=C2275,Y2276=Y2275+1))),INDEX(DATAS,Y2275+1),"")</f>
        <v/>
      </c>
      <c r="AG2275" s="45" t="str">
        <f aca="false">IF(AND(AA2275=1,Y2275&lt;1),IF(AND(C2276=C2275,Y2276=Y2275+1),IF(AA2276=1,"",INDEX(DATAS,Y2275+1)),INDEX(DATAS,Y2275+1)),"")</f>
        <v/>
      </c>
    </row>
    <row r="2276" customFormat="false" ht="15" hidden="false" customHeight="false" outlineLevel="0" collapsed="false">
      <c r="A2276" s="45" t="n">
        <v>46309</v>
      </c>
      <c r="B2276" s="0" t="n">
        <v>8</v>
      </c>
      <c r="C2276" s="0" t="n">
        <v>6564</v>
      </c>
      <c r="E2276" s="0" t="n">
        <v>0</v>
      </c>
      <c r="F2276" s="39" t="s">
        <v>1194</v>
      </c>
      <c r="I2276" s="39" t="s">
        <v>109</v>
      </c>
      <c r="L2276" s="0" t="n">
        <v>69</v>
      </c>
      <c r="U2276" s="0" t="n">
        <v>514</v>
      </c>
      <c r="V2276" s="0" t="n">
        <v>3</v>
      </c>
      <c r="W2276" s="39" t="n">
        <f aca="false">IF(I2276="Male",0,1)</f>
        <v>1</v>
      </c>
      <c r="X2276" s="39" t="n">
        <f aca="false">IF(OR(I2276="DNB",I2276="Dry DNB"),1,0)</f>
        <v>0</v>
      </c>
      <c r="Y2276" s="39" t="n">
        <f aca="false">MATCH(A2276,DATAS,0)</f>
        <v>1</v>
      </c>
      <c r="Z2276" s="39" t="n">
        <f aca="false">IF(AND(E2276&gt;0,OR(AND(B2276&gt;=1,B2276&lt;=6),B2276=10)),1,0)</f>
        <v>0</v>
      </c>
      <c r="AA2276" s="39" t="n">
        <f aca="false">IF(AND(E2276&gt;0,B2276=10),1,0)</f>
        <v>0</v>
      </c>
      <c r="AB2276" s="0" t="str">
        <f aca="false">IF(AND(C2275=C2276,Y2275=Y2276-1),Z2275,"")</f>
        <v/>
      </c>
      <c r="AC2276" s="0" t="str">
        <f aca="false">IF(AND(C2275=C2276,Y2275=Y2276-1),AA2275,"")</f>
        <v/>
      </c>
      <c r="AD2276" s="0" t="str">
        <f aca="false">IF(Y2276=1,"",IF(AND(Z2276=1,AB2276&lt;&gt;1),1,0))</f>
        <v/>
      </c>
      <c r="AE2276" s="0" t="str">
        <f aca="false">IF(Y2276=1,"",IF(AND(AA2276=1,AC2276&lt;&gt;1),1,0))</f>
        <v/>
      </c>
      <c r="AF2276" s="45" t="str">
        <f aca="false">IF(AND(E2276&gt;0,Y2276&lt;1,NOT(AND(C2277=C2276,Y2277=Y2276+1))),INDEX(DATAS,Y2276+1),"")</f>
        <v/>
      </c>
      <c r="AG2276" s="45" t="str">
        <f aca="false">IF(AND(AA2276=1,Y2276&lt;1),IF(AND(C2277=C2276,Y2277=Y2276+1),IF(AA2277=1,"",INDEX(DATAS,Y2276+1)),INDEX(DATAS,Y2276+1)),"")</f>
        <v/>
      </c>
    </row>
    <row r="2277" customFormat="false" ht="15" hidden="false" customHeight="false" outlineLevel="0" collapsed="false">
      <c r="A2277" s="45" t="n">
        <v>46309</v>
      </c>
      <c r="B2277" s="0" t="n">
        <v>11</v>
      </c>
      <c r="C2277" s="0" t="n">
        <v>6565</v>
      </c>
      <c r="E2277" s="0" t="n">
        <v>0</v>
      </c>
      <c r="F2277" s="39" t="s">
        <v>1194</v>
      </c>
      <c r="I2277" s="39" t="s">
        <v>138</v>
      </c>
      <c r="U2277" s="0" t="n">
        <v>514</v>
      </c>
      <c r="V2277" s="0" t="n">
        <v>4</v>
      </c>
      <c r="W2277" s="39" t="n">
        <f aca="false">IF(I2277="Male",0,1)</f>
        <v>1</v>
      </c>
      <c r="X2277" s="39" t="n">
        <f aca="false">IF(OR(I2277="DNB",I2277="Dry DNB"),1,0)</f>
        <v>0</v>
      </c>
      <c r="Y2277" s="39" t="n">
        <f aca="false">MATCH(A2277,DATAS,0)</f>
        <v>1</v>
      </c>
      <c r="Z2277" s="39" t="n">
        <f aca="false">IF(AND(E2277&gt;0,OR(AND(B2277&gt;=1,B2277&lt;=6),B2277=10)),1,0)</f>
        <v>0</v>
      </c>
      <c r="AA2277" s="39" t="n">
        <f aca="false">IF(AND(E2277&gt;0,B2277=10),1,0)</f>
        <v>0</v>
      </c>
      <c r="AB2277" s="0" t="str">
        <f aca="false">IF(AND(C2276=C2277,Y2276=Y2277-1),Z2276,"")</f>
        <v/>
      </c>
      <c r="AC2277" s="0" t="str">
        <f aca="false">IF(AND(C2276=C2277,Y2276=Y2277-1),AA2276,"")</f>
        <v/>
      </c>
      <c r="AD2277" s="0" t="str">
        <f aca="false">IF(Y2277=1,"",IF(AND(Z2277=1,AB2277&lt;&gt;1),1,0))</f>
        <v/>
      </c>
      <c r="AE2277" s="0" t="str">
        <f aca="false">IF(Y2277=1,"",IF(AND(AA2277=1,AC2277&lt;&gt;1),1,0))</f>
        <v/>
      </c>
      <c r="AF2277" s="45" t="str">
        <f aca="false">IF(AND(E2277&gt;0,Y2277&lt;1,NOT(AND(C2278=C2277,Y2278=Y2277+1))),INDEX(DATAS,Y2277+1),"")</f>
        <v/>
      </c>
      <c r="AG2277" s="45" t="str">
        <f aca="false">IF(AND(AA2277=1,Y2277&lt;1),IF(AND(C2278=C2277,Y2278=Y2277+1),IF(AA2278=1,"",INDEX(DATAS,Y2277+1)),INDEX(DATAS,Y2277+1)),"")</f>
        <v/>
      </c>
    </row>
    <row r="2278" customFormat="false" ht="15" hidden="false" customHeight="false" outlineLevel="0" collapsed="false">
      <c r="A2278" s="45" t="n">
        <v>46309</v>
      </c>
      <c r="B2278" s="0" t="n">
        <v>8</v>
      </c>
      <c r="C2278" s="0" t="n">
        <v>6566</v>
      </c>
      <c r="E2278" s="0" t="n">
        <v>0</v>
      </c>
      <c r="F2278" s="39" t="s">
        <v>1194</v>
      </c>
      <c r="I2278" s="39" t="s">
        <v>109</v>
      </c>
      <c r="L2278" s="0" t="n">
        <v>110</v>
      </c>
      <c r="U2278" s="0" t="n">
        <v>514</v>
      </c>
      <c r="V2278" s="0" t="n">
        <v>1</v>
      </c>
      <c r="W2278" s="39" t="n">
        <f aca="false">IF(I2278="Male",0,1)</f>
        <v>1</v>
      </c>
      <c r="X2278" s="39" t="n">
        <f aca="false">IF(OR(I2278="DNB",I2278="Dry DNB"),1,0)</f>
        <v>0</v>
      </c>
      <c r="Y2278" s="39" t="n">
        <f aca="false">MATCH(A2278,DATAS,0)</f>
        <v>1</v>
      </c>
      <c r="Z2278" s="39" t="n">
        <f aca="false">IF(AND(E2278&gt;0,OR(AND(B2278&gt;=1,B2278&lt;=6),B2278=10)),1,0)</f>
        <v>0</v>
      </c>
      <c r="AA2278" s="39" t="n">
        <f aca="false">IF(AND(E2278&gt;0,B2278=10),1,0)</f>
        <v>0</v>
      </c>
      <c r="AB2278" s="0" t="str">
        <f aca="false">IF(AND(C2277=C2278,Y2277=Y2278-1),Z2277,"")</f>
        <v/>
      </c>
      <c r="AC2278" s="0" t="str">
        <f aca="false">IF(AND(C2277=C2278,Y2277=Y2278-1),AA2277,"")</f>
        <v/>
      </c>
      <c r="AD2278" s="0" t="str">
        <f aca="false">IF(Y2278=1,"",IF(AND(Z2278=1,AB2278&lt;&gt;1),1,0))</f>
        <v/>
      </c>
      <c r="AE2278" s="0" t="str">
        <f aca="false">IF(Y2278=1,"",IF(AND(AA2278=1,AC2278&lt;&gt;1),1,0))</f>
        <v/>
      </c>
      <c r="AF2278" s="45" t="str">
        <f aca="false">IF(AND(E2278&gt;0,Y2278&lt;1,NOT(AND(C2279=C2278,Y2279=Y2278+1))),INDEX(DATAS,Y2278+1),"")</f>
        <v/>
      </c>
      <c r="AG2278" s="45" t="str">
        <f aca="false">IF(AND(AA2278=1,Y2278&lt;1),IF(AND(C2279=C2278,Y2279=Y2278+1),IF(AA2279=1,"",INDEX(DATAS,Y2278+1)),INDEX(DATAS,Y2278+1)),"")</f>
        <v/>
      </c>
    </row>
    <row r="2279" customFormat="false" ht="15" hidden="false" customHeight="false" outlineLevel="0" collapsed="false">
      <c r="A2279" s="45" t="n">
        <v>46309</v>
      </c>
      <c r="B2279" s="0" t="n">
        <v>8</v>
      </c>
      <c r="C2279" s="0" t="n">
        <v>6567</v>
      </c>
      <c r="E2279" s="0" t="n">
        <v>0</v>
      </c>
      <c r="F2279" s="39" t="s">
        <v>1194</v>
      </c>
      <c r="I2279" s="39" t="s">
        <v>109</v>
      </c>
      <c r="L2279" s="0" t="n">
        <v>49</v>
      </c>
      <c r="U2279" s="0" t="n">
        <v>514</v>
      </c>
      <c r="V2279" s="0" t="n">
        <v>2</v>
      </c>
      <c r="W2279" s="39" t="n">
        <f aca="false">IF(I2279="Male",0,1)</f>
        <v>1</v>
      </c>
      <c r="X2279" s="39" t="n">
        <f aca="false">IF(OR(I2279="DNB",I2279="Dry DNB"),1,0)</f>
        <v>0</v>
      </c>
      <c r="Y2279" s="39" t="n">
        <f aca="false">MATCH(A2279,DATAS,0)</f>
        <v>1</v>
      </c>
      <c r="Z2279" s="39" t="n">
        <f aca="false">IF(AND(E2279&gt;0,OR(AND(B2279&gt;=1,B2279&lt;=6),B2279=10)),1,0)</f>
        <v>0</v>
      </c>
      <c r="AA2279" s="39" t="n">
        <f aca="false">IF(AND(E2279&gt;0,B2279=10),1,0)</f>
        <v>0</v>
      </c>
      <c r="AB2279" s="0" t="str">
        <f aca="false">IF(AND(C2278=C2279,Y2278=Y2279-1),Z2278,"")</f>
        <v/>
      </c>
      <c r="AC2279" s="0" t="str">
        <f aca="false">IF(AND(C2278=C2279,Y2278=Y2279-1),AA2278,"")</f>
        <v/>
      </c>
      <c r="AD2279" s="0" t="str">
        <f aca="false">IF(Y2279=1,"",IF(AND(Z2279=1,AB2279&lt;&gt;1),1,0))</f>
        <v/>
      </c>
      <c r="AE2279" s="0" t="str">
        <f aca="false">IF(Y2279=1,"",IF(AND(AA2279=1,AC2279&lt;&gt;1),1,0))</f>
        <v/>
      </c>
      <c r="AF2279" s="45" t="str">
        <f aca="false">IF(AND(E2279&gt;0,Y2279&lt;1,NOT(AND(C2280=C2279,Y2280=Y2279+1))),INDEX(DATAS,Y2279+1),"")</f>
        <v/>
      </c>
      <c r="AG2279" s="45" t="str">
        <f aca="false">IF(AND(AA2279=1,Y2279&lt;1),IF(AND(C2280=C2279,Y2280=Y2279+1),IF(AA2280=1,"",INDEX(DATAS,Y2279+1)),INDEX(DATAS,Y2279+1)),"")</f>
        <v/>
      </c>
    </row>
    <row r="2280" customFormat="false" ht="15" hidden="false" customHeight="false" outlineLevel="0" collapsed="false">
      <c r="A2280" s="45" t="n">
        <v>46309</v>
      </c>
      <c r="B2280" s="0" t="n">
        <v>8</v>
      </c>
      <c r="C2280" s="0" t="n">
        <v>6568</v>
      </c>
      <c r="E2280" s="0" t="n">
        <v>0</v>
      </c>
      <c r="F2280" s="39" t="s">
        <v>1194</v>
      </c>
      <c r="I2280" s="39" t="s">
        <v>109</v>
      </c>
      <c r="L2280" s="0" t="n">
        <v>28</v>
      </c>
      <c r="U2280" s="0" t="n">
        <v>514</v>
      </c>
      <c r="V2280" s="0" t="n">
        <v>1</v>
      </c>
      <c r="W2280" s="39" t="n">
        <f aca="false">IF(I2280="Male",0,1)</f>
        <v>1</v>
      </c>
      <c r="X2280" s="39" t="n">
        <f aca="false">IF(OR(I2280="DNB",I2280="Dry DNB"),1,0)</f>
        <v>0</v>
      </c>
      <c r="Y2280" s="39" t="n">
        <f aca="false">MATCH(A2280,DATAS,0)</f>
        <v>1</v>
      </c>
      <c r="Z2280" s="39" t="n">
        <f aca="false">IF(AND(E2280&gt;0,OR(AND(B2280&gt;=1,B2280&lt;=6),B2280=10)),1,0)</f>
        <v>0</v>
      </c>
      <c r="AA2280" s="39" t="n">
        <f aca="false">IF(AND(E2280&gt;0,B2280=10),1,0)</f>
        <v>0</v>
      </c>
      <c r="AB2280" s="0" t="str">
        <f aca="false">IF(AND(C2279=C2280,Y2279=Y2280-1),Z2279,"")</f>
        <v/>
      </c>
      <c r="AC2280" s="0" t="str">
        <f aca="false">IF(AND(C2279=C2280,Y2279=Y2280-1),AA2279,"")</f>
        <v/>
      </c>
      <c r="AD2280" s="0" t="str">
        <f aca="false">IF(Y2280=1,"",IF(AND(Z2280=1,AB2280&lt;&gt;1),1,0))</f>
        <v/>
      </c>
      <c r="AE2280" s="0" t="str">
        <f aca="false">IF(Y2280=1,"",IF(AND(AA2280=1,AC2280&lt;&gt;1),1,0))</f>
        <v/>
      </c>
      <c r="AF2280" s="45" t="str">
        <f aca="false">IF(AND(E2280&gt;0,Y2280&lt;1,NOT(AND(C2281=C2280,Y2281=Y2280+1))),INDEX(DATAS,Y2280+1),"")</f>
        <v/>
      </c>
      <c r="AG2280" s="45" t="str">
        <f aca="false">IF(AND(AA2280=1,Y2280&lt;1),IF(AND(C2281=C2280,Y2281=Y2280+1),IF(AA2281=1,"",INDEX(DATAS,Y2280+1)),INDEX(DATAS,Y2280+1)),"")</f>
        <v/>
      </c>
    </row>
    <row r="2281" customFormat="false" ht="15" hidden="false" customHeight="false" outlineLevel="0" collapsed="false">
      <c r="A2281" s="45" t="n">
        <v>46309</v>
      </c>
      <c r="B2281" s="0" t="n">
        <v>11</v>
      </c>
      <c r="C2281" s="0" t="n">
        <v>6569</v>
      </c>
      <c r="E2281" s="0" t="n">
        <v>0</v>
      </c>
      <c r="F2281" s="39" t="s">
        <v>1194</v>
      </c>
      <c r="I2281" s="39" t="s">
        <v>138</v>
      </c>
      <c r="U2281" s="0" t="n">
        <v>514</v>
      </c>
      <c r="V2281" s="0" t="n">
        <v>5</v>
      </c>
      <c r="W2281" s="39" t="n">
        <f aca="false">IF(I2281="Male",0,1)</f>
        <v>1</v>
      </c>
      <c r="X2281" s="39" t="n">
        <f aca="false">IF(OR(I2281="DNB",I2281="Dry DNB"),1,0)</f>
        <v>0</v>
      </c>
      <c r="Y2281" s="39" t="n">
        <f aca="false">MATCH(A2281,DATAS,0)</f>
        <v>1</v>
      </c>
      <c r="Z2281" s="39" t="n">
        <f aca="false">IF(AND(E2281&gt;0,OR(AND(B2281&gt;=1,B2281&lt;=6),B2281=10)),1,0)</f>
        <v>0</v>
      </c>
      <c r="AA2281" s="39" t="n">
        <f aca="false">IF(AND(E2281&gt;0,B2281=10),1,0)</f>
        <v>0</v>
      </c>
      <c r="AB2281" s="0" t="str">
        <f aca="false">IF(AND(C2280=C2281,Y2280=Y2281-1),Z2280,"")</f>
        <v/>
      </c>
      <c r="AC2281" s="0" t="str">
        <f aca="false">IF(AND(C2280=C2281,Y2280=Y2281-1),AA2280,"")</f>
        <v/>
      </c>
      <c r="AD2281" s="0" t="str">
        <f aca="false">IF(Y2281=1,"",IF(AND(Z2281=1,AB2281&lt;&gt;1),1,0))</f>
        <v/>
      </c>
      <c r="AE2281" s="0" t="str">
        <f aca="false">IF(Y2281=1,"",IF(AND(AA2281=1,AC2281&lt;&gt;1),1,0))</f>
        <v/>
      </c>
      <c r="AF2281" s="45" t="str">
        <f aca="false">IF(AND(E2281&gt;0,Y2281&lt;1,NOT(AND(C2282=C2281,Y2282=Y2281+1))),INDEX(DATAS,Y2281+1),"")</f>
        <v/>
      </c>
      <c r="AG2281" s="45" t="str">
        <f aca="false">IF(AND(AA2281=1,Y2281&lt;1),IF(AND(C2282=C2281,Y2282=Y2281+1),IF(AA2282=1,"",INDEX(DATAS,Y2281+1)),INDEX(DATAS,Y2281+1)),"")</f>
        <v/>
      </c>
    </row>
    <row r="2282" customFormat="false" ht="15" hidden="false" customHeight="false" outlineLevel="0" collapsed="false">
      <c r="A2282" s="45" t="n">
        <v>46309</v>
      </c>
      <c r="B2282" s="0" t="n">
        <v>8</v>
      </c>
      <c r="C2282" s="0" t="n">
        <v>6571</v>
      </c>
      <c r="E2282" s="0" t="n">
        <v>0</v>
      </c>
      <c r="F2282" s="39" t="s">
        <v>1195</v>
      </c>
      <c r="I2282" s="39" t="s">
        <v>109</v>
      </c>
      <c r="L2282" s="0" t="n">
        <v>42</v>
      </c>
      <c r="U2282" s="0" t="n">
        <v>513</v>
      </c>
      <c r="V2282" s="0" t="n">
        <v>2</v>
      </c>
      <c r="W2282" s="39" t="n">
        <f aca="false">IF(I2282="Male",0,1)</f>
        <v>1</v>
      </c>
      <c r="X2282" s="39" t="n">
        <f aca="false">IF(OR(I2282="DNB",I2282="Dry DNB"),1,0)</f>
        <v>0</v>
      </c>
      <c r="Y2282" s="39" t="n">
        <f aca="false">MATCH(A2282,DATAS,0)</f>
        <v>1</v>
      </c>
      <c r="Z2282" s="39" t="n">
        <f aca="false">IF(AND(E2282&gt;0,OR(AND(B2282&gt;=1,B2282&lt;=6),B2282=10)),1,0)</f>
        <v>0</v>
      </c>
      <c r="AA2282" s="39" t="n">
        <f aca="false">IF(AND(E2282&gt;0,B2282=10),1,0)</f>
        <v>0</v>
      </c>
      <c r="AB2282" s="0" t="str">
        <f aca="false">IF(AND(C2281=C2282,Y2281=Y2282-1),Z2281,"")</f>
        <v/>
      </c>
      <c r="AC2282" s="0" t="str">
        <f aca="false">IF(AND(C2281=C2282,Y2281=Y2282-1),AA2281,"")</f>
        <v/>
      </c>
      <c r="AD2282" s="0" t="str">
        <f aca="false">IF(Y2282=1,"",IF(AND(Z2282=1,AB2282&lt;&gt;1),1,0))</f>
        <v/>
      </c>
      <c r="AE2282" s="0" t="str">
        <f aca="false">IF(Y2282=1,"",IF(AND(AA2282=1,AC2282&lt;&gt;1),1,0))</f>
        <v/>
      </c>
      <c r="AF2282" s="45" t="str">
        <f aca="false">IF(AND(E2282&gt;0,Y2282&lt;1,NOT(AND(C2283=C2282,Y2283=Y2282+1))),INDEX(DATAS,Y2282+1),"")</f>
        <v/>
      </c>
      <c r="AG2282" s="45" t="str">
        <f aca="false">IF(AND(AA2282=1,Y2282&lt;1),IF(AND(C2283=C2282,Y2283=Y2282+1),IF(AA2283=1,"",INDEX(DATAS,Y2282+1)),INDEX(DATAS,Y2282+1)),"")</f>
        <v/>
      </c>
    </row>
    <row r="2283" customFormat="false" ht="15" hidden="false" customHeight="false" outlineLevel="0" collapsed="false">
      <c r="A2283" s="45" t="n">
        <v>46309</v>
      </c>
      <c r="B2283" s="0" t="n">
        <v>8</v>
      </c>
      <c r="C2283" s="0" t="n">
        <v>6572</v>
      </c>
      <c r="E2283" s="0" t="n">
        <v>0</v>
      </c>
      <c r="F2283" s="39" t="s">
        <v>1195</v>
      </c>
      <c r="I2283" s="39" t="s">
        <v>109</v>
      </c>
      <c r="L2283" s="0" t="n">
        <v>86</v>
      </c>
      <c r="U2283" s="0" t="n">
        <v>513</v>
      </c>
      <c r="V2283" s="0" t="n">
        <v>2</v>
      </c>
      <c r="W2283" s="39" t="n">
        <f aca="false">IF(I2283="Male",0,1)</f>
        <v>1</v>
      </c>
      <c r="X2283" s="39" t="n">
        <f aca="false">IF(OR(I2283="DNB",I2283="Dry DNB"),1,0)</f>
        <v>0</v>
      </c>
      <c r="Y2283" s="39" t="n">
        <f aca="false">MATCH(A2283,DATAS,0)</f>
        <v>1</v>
      </c>
      <c r="Z2283" s="39" t="n">
        <f aca="false">IF(AND(E2283&gt;0,OR(AND(B2283&gt;=1,B2283&lt;=6),B2283=10)),1,0)</f>
        <v>0</v>
      </c>
      <c r="AA2283" s="39" t="n">
        <f aca="false">IF(AND(E2283&gt;0,B2283=10),1,0)</f>
        <v>0</v>
      </c>
      <c r="AB2283" s="0" t="str">
        <f aca="false">IF(AND(C2282=C2283,Y2282=Y2283-1),Z2282,"")</f>
        <v/>
      </c>
      <c r="AC2283" s="0" t="str">
        <f aca="false">IF(AND(C2282=C2283,Y2282=Y2283-1),AA2282,"")</f>
        <v/>
      </c>
      <c r="AD2283" s="0" t="str">
        <f aca="false">IF(Y2283=1,"",IF(AND(Z2283=1,AB2283&lt;&gt;1),1,0))</f>
        <v/>
      </c>
      <c r="AE2283" s="0" t="str">
        <f aca="false">IF(Y2283=1,"",IF(AND(AA2283=1,AC2283&lt;&gt;1),1,0))</f>
        <v/>
      </c>
      <c r="AF2283" s="45" t="str">
        <f aca="false">IF(AND(E2283&gt;0,Y2283&lt;1,NOT(AND(C2284=C2283,Y2284=Y2283+1))),INDEX(DATAS,Y2283+1),"")</f>
        <v/>
      </c>
      <c r="AG2283" s="45" t="str">
        <f aca="false">IF(AND(AA2283=1,Y2283&lt;1),IF(AND(C2284=C2283,Y2284=Y2283+1),IF(AA2284=1,"",INDEX(DATAS,Y2283+1)),INDEX(DATAS,Y2283+1)),"")</f>
        <v/>
      </c>
    </row>
    <row r="2284" customFormat="false" ht="15" hidden="false" customHeight="false" outlineLevel="0" collapsed="false">
      <c r="A2284" s="45" t="n">
        <v>46309</v>
      </c>
      <c r="B2284" s="0" t="n">
        <v>8</v>
      </c>
      <c r="C2284" s="0" t="n">
        <v>6573</v>
      </c>
      <c r="E2284" s="0" t="n">
        <v>0</v>
      </c>
      <c r="F2284" s="39" t="s">
        <v>1195</v>
      </c>
      <c r="I2284" s="39" t="s">
        <v>109</v>
      </c>
      <c r="L2284" s="0" t="n">
        <v>114</v>
      </c>
      <c r="U2284" s="0" t="n">
        <v>513</v>
      </c>
      <c r="V2284" s="0" t="n">
        <v>1</v>
      </c>
      <c r="W2284" s="39" t="n">
        <f aca="false">IF(I2284="Male",0,1)</f>
        <v>1</v>
      </c>
      <c r="X2284" s="39" t="n">
        <f aca="false">IF(OR(I2284="DNB",I2284="Dry DNB"),1,0)</f>
        <v>0</v>
      </c>
      <c r="Y2284" s="39" t="n">
        <f aca="false">MATCH(A2284,DATAS,0)</f>
        <v>1</v>
      </c>
      <c r="Z2284" s="39" t="n">
        <f aca="false">IF(AND(E2284&gt;0,OR(AND(B2284&gt;=1,B2284&lt;=6),B2284=10)),1,0)</f>
        <v>0</v>
      </c>
      <c r="AA2284" s="39" t="n">
        <f aca="false">IF(AND(E2284&gt;0,B2284=10),1,0)</f>
        <v>0</v>
      </c>
      <c r="AB2284" s="0" t="str">
        <f aca="false">IF(AND(C2283=C2284,Y2283=Y2284-1),Z2283,"")</f>
        <v/>
      </c>
      <c r="AC2284" s="0" t="str">
        <f aca="false">IF(AND(C2283=C2284,Y2283=Y2284-1),AA2283,"")</f>
        <v/>
      </c>
      <c r="AD2284" s="0" t="str">
        <f aca="false">IF(Y2284=1,"",IF(AND(Z2284=1,AB2284&lt;&gt;1),1,0))</f>
        <v/>
      </c>
      <c r="AE2284" s="0" t="str">
        <f aca="false">IF(Y2284=1,"",IF(AND(AA2284=1,AC2284&lt;&gt;1),1,0))</f>
        <v/>
      </c>
      <c r="AF2284" s="45" t="str">
        <f aca="false">IF(AND(E2284&gt;0,Y2284&lt;1,NOT(AND(C2285=C2284,Y2285=Y2284+1))),INDEX(DATAS,Y2284+1),"")</f>
        <v/>
      </c>
      <c r="AG2284" s="45" t="str">
        <f aca="false">IF(AND(AA2284=1,Y2284&lt;1),IF(AND(C2285=C2284,Y2285=Y2284+1),IF(AA2285=1,"",INDEX(DATAS,Y2284+1)),INDEX(DATAS,Y2284+1)),"")</f>
        <v/>
      </c>
    </row>
    <row r="2285" customFormat="false" ht="15" hidden="false" customHeight="false" outlineLevel="0" collapsed="false">
      <c r="A2285" s="45" t="n">
        <v>46309</v>
      </c>
      <c r="B2285" s="0" t="n">
        <v>8</v>
      </c>
      <c r="C2285" s="0" t="n">
        <v>6575</v>
      </c>
      <c r="E2285" s="0" t="n">
        <v>0</v>
      </c>
      <c r="F2285" s="39" t="s">
        <v>1195</v>
      </c>
      <c r="I2285" s="39" t="s">
        <v>109</v>
      </c>
      <c r="L2285" s="0" t="n">
        <v>109</v>
      </c>
      <c r="U2285" s="0" t="n">
        <v>513</v>
      </c>
      <c r="V2285" s="0" t="n">
        <v>1</v>
      </c>
      <c r="W2285" s="39" t="n">
        <f aca="false">IF(I2285="Male",0,1)</f>
        <v>1</v>
      </c>
      <c r="X2285" s="39" t="n">
        <f aca="false">IF(OR(I2285="DNB",I2285="Dry DNB"),1,0)</f>
        <v>0</v>
      </c>
      <c r="Y2285" s="39" t="n">
        <f aca="false">MATCH(A2285,DATAS,0)</f>
        <v>1</v>
      </c>
      <c r="Z2285" s="39" t="n">
        <f aca="false">IF(AND(E2285&gt;0,OR(AND(B2285&gt;=1,B2285&lt;=6),B2285=10)),1,0)</f>
        <v>0</v>
      </c>
      <c r="AA2285" s="39" t="n">
        <f aca="false">IF(AND(E2285&gt;0,B2285=10),1,0)</f>
        <v>0</v>
      </c>
      <c r="AB2285" s="0" t="str">
        <f aca="false">IF(AND(C2284=C2285,Y2284=Y2285-1),Z2284,"")</f>
        <v/>
      </c>
      <c r="AC2285" s="0" t="str">
        <f aca="false">IF(AND(C2284=C2285,Y2284=Y2285-1),AA2284,"")</f>
        <v/>
      </c>
      <c r="AD2285" s="0" t="str">
        <f aca="false">IF(Y2285=1,"",IF(AND(Z2285=1,AB2285&lt;&gt;1),1,0))</f>
        <v/>
      </c>
      <c r="AE2285" s="0" t="str">
        <f aca="false">IF(Y2285=1,"",IF(AND(AA2285=1,AC2285&lt;&gt;1),1,0))</f>
        <v/>
      </c>
      <c r="AF2285" s="45" t="str">
        <f aca="false">IF(AND(E2285&gt;0,Y2285&lt;1,NOT(AND(C2286=C2285,Y2286=Y2285+1))),INDEX(DATAS,Y2285+1),"")</f>
        <v/>
      </c>
      <c r="AG2285" s="45" t="str">
        <f aca="false">IF(AND(AA2285=1,Y2285&lt;1),IF(AND(C2286=C2285,Y2286=Y2285+1),IF(AA2286=1,"",INDEX(DATAS,Y2285+1)),INDEX(DATAS,Y2285+1)),"")</f>
        <v/>
      </c>
    </row>
    <row r="2286" customFormat="false" ht="15" hidden="false" customHeight="false" outlineLevel="0" collapsed="false">
      <c r="A2286" s="45" t="n">
        <v>46309</v>
      </c>
      <c r="B2286" s="0" t="n">
        <v>8</v>
      </c>
      <c r="C2286" s="0" t="n">
        <v>6576</v>
      </c>
      <c r="E2286" s="0" t="n">
        <v>0</v>
      </c>
      <c r="F2286" s="39" t="s">
        <v>1196</v>
      </c>
      <c r="I2286" s="39" t="s">
        <v>109</v>
      </c>
      <c r="L2286" s="0" t="n">
        <v>91</v>
      </c>
      <c r="U2286" s="0" t="n">
        <v>511</v>
      </c>
      <c r="V2286" s="0" t="n">
        <v>1</v>
      </c>
      <c r="W2286" s="39" t="n">
        <f aca="false">IF(I2286="Male",0,1)</f>
        <v>1</v>
      </c>
      <c r="X2286" s="39" t="n">
        <f aca="false">IF(OR(I2286="DNB",I2286="Dry DNB"),1,0)</f>
        <v>0</v>
      </c>
      <c r="Y2286" s="39" t="n">
        <f aca="false">MATCH(A2286,DATAS,0)</f>
        <v>1</v>
      </c>
      <c r="Z2286" s="39" t="n">
        <f aca="false">IF(AND(E2286&gt;0,OR(AND(B2286&gt;=1,B2286&lt;=6),B2286=10)),1,0)</f>
        <v>0</v>
      </c>
      <c r="AA2286" s="39" t="n">
        <f aca="false">IF(AND(E2286&gt;0,B2286=10),1,0)</f>
        <v>0</v>
      </c>
      <c r="AB2286" s="0" t="str">
        <f aca="false">IF(AND(C2285=C2286,Y2285=Y2286-1),Z2285,"")</f>
        <v/>
      </c>
      <c r="AC2286" s="0" t="str">
        <f aca="false">IF(AND(C2285=C2286,Y2285=Y2286-1),AA2285,"")</f>
        <v/>
      </c>
      <c r="AD2286" s="0" t="str">
        <f aca="false">IF(Y2286=1,"",IF(AND(Z2286=1,AB2286&lt;&gt;1),1,0))</f>
        <v/>
      </c>
      <c r="AE2286" s="0" t="str">
        <f aca="false">IF(Y2286=1,"",IF(AND(AA2286=1,AC2286&lt;&gt;1),1,0))</f>
        <v/>
      </c>
      <c r="AF2286" s="45" t="str">
        <f aca="false">IF(AND(E2286&gt;0,Y2286&lt;1,NOT(AND(C2287=C2286,Y2287=Y2286+1))),INDEX(DATAS,Y2286+1),"")</f>
        <v/>
      </c>
      <c r="AG2286" s="45" t="str">
        <f aca="false">IF(AND(AA2286=1,Y2286&lt;1),IF(AND(C2287=C2286,Y2287=Y2286+1),IF(AA2287=1,"",INDEX(DATAS,Y2286+1)),INDEX(DATAS,Y2286+1)),"")</f>
        <v/>
      </c>
    </row>
    <row r="2287" customFormat="false" ht="15" hidden="false" customHeight="false" outlineLevel="0" collapsed="false">
      <c r="A2287" s="45" t="n">
        <v>46309</v>
      </c>
      <c r="B2287" s="0" t="n">
        <v>11</v>
      </c>
      <c r="C2287" s="0" t="n">
        <v>6577</v>
      </c>
      <c r="E2287" s="0" t="n">
        <v>0</v>
      </c>
      <c r="F2287" s="39" t="s">
        <v>1197</v>
      </c>
      <c r="I2287" s="39" t="s">
        <v>138</v>
      </c>
      <c r="U2287" s="0" t="n">
        <v>510</v>
      </c>
      <c r="V2287" s="0" t="n">
        <v>4</v>
      </c>
      <c r="W2287" s="39" t="n">
        <f aca="false">IF(I2287="Male",0,1)</f>
        <v>1</v>
      </c>
      <c r="X2287" s="39" t="n">
        <f aca="false">IF(OR(I2287="DNB",I2287="Dry DNB"),1,0)</f>
        <v>0</v>
      </c>
      <c r="Y2287" s="39" t="n">
        <f aca="false">MATCH(A2287,DATAS,0)</f>
        <v>1</v>
      </c>
      <c r="Z2287" s="39" t="n">
        <f aca="false">IF(AND(E2287&gt;0,OR(AND(B2287&gt;=1,B2287&lt;=6),B2287=10)),1,0)</f>
        <v>0</v>
      </c>
      <c r="AA2287" s="39" t="n">
        <f aca="false">IF(AND(E2287&gt;0,B2287=10),1,0)</f>
        <v>0</v>
      </c>
      <c r="AB2287" s="0" t="str">
        <f aca="false">IF(AND(C2286=C2287,Y2286=Y2287-1),Z2286,"")</f>
        <v/>
      </c>
      <c r="AC2287" s="0" t="str">
        <f aca="false">IF(AND(C2286=C2287,Y2286=Y2287-1),AA2286,"")</f>
        <v/>
      </c>
      <c r="AD2287" s="0" t="str">
        <f aca="false">IF(Y2287=1,"",IF(AND(Z2287=1,AB2287&lt;&gt;1),1,0))</f>
        <v/>
      </c>
      <c r="AE2287" s="0" t="str">
        <f aca="false">IF(Y2287=1,"",IF(AND(AA2287=1,AC2287&lt;&gt;1),1,0))</f>
        <v/>
      </c>
      <c r="AF2287" s="45" t="str">
        <f aca="false">IF(AND(E2287&gt;0,Y2287&lt;1,NOT(AND(C2288=C2287,Y2288=Y2287+1))),INDEX(DATAS,Y2287+1),"")</f>
        <v/>
      </c>
      <c r="AG2287" s="45" t="str">
        <f aca="false">IF(AND(AA2287=1,Y2287&lt;1),IF(AND(C2288=C2287,Y2288=Y2287+1),IF(AA2288=1,"",INDEX(DATAS,Y2287+1)),INDEX(DATAS,Y2287+1)),"")</f>
        <v/>
      </c>
    </row>
    <row r="2288" customFormat="false" ht="15" hidden="false" customHeight="false" outlineLevel="0" collapsed="false">
      <c r="A2288" s="45" t="n">
        <v>46309</v>
      </c>
      <c r="B2288" s="0" t="n">
        <v>8</v>
      </c>
      <c r="C2288" s="0" t="n">
        <v>6578</v>
      </c>
      <c r="E2288" s="0" t="n">
        <v>0</v>
      </c>
      <c r="F2288" s="39" t="s">
        <v>1197</v>
      </c>
      <c r="I2288" s="39" t="s">
        <v>109</v>
      </c>
      <c r="L2288" s="0" t="n">
        <v>73</v>
      </c>
      <c r="U2288" s="0" t="n">
        <v>510</v>
      </c>
      <c r="V2288" s="0" t="n">
        <v>3</v>
      </c>
      <c r="W2288" s="39" t="n">
        <f aca="false">IF(I2288="Male",0,1)</f>
        <v>1</v>
      </c>
      <c r="X2288" s="39" t="n">
        <f aca="false">IF(OR(I2288="DNB",I2288="Dry DNB"),1,0)</f>
        <v>0</v>
      </c>
      <c r="Y2288" s="39" t="n">
        <f aca="false">MATCH(A2288,DATAS,0)</f>
        <v>1</v>
      </c>
      <c r="Z2288" s="39" t="n">
        <f aca="false">IF(AND(E2288&gt;0,OR(AND(B2288&gt;=1,B2288&lt;=6),B2288=10)),1,0)</f>
        <v>0</v>
      </c>
      <c r="AA2288" s="39" t="n">
        <f aca="false">IF(AND(E2288&gt;0,B2288=10),1,0)</f>
        <v>0</v>
      </c>
      <c r="AB2288" s="0" t="str">
        <f aca="false">IF(AND(C2287=C2288,Y2287=Y2288-1),Z2287,"")</f>
        <v/>
      </c>
      <c r="AC2288" s="0" t="str">
        <f aca="false">IF(AND(C2287=C2288,Y2287=Y2288-1),AA2287,"")</f>
        <v/>
      </c>
      <c r="AD2288" s="0" t="str">
        <f aca="false">IF(Y2288=1,"",IF(AND(Z2288=1,AB2288&lt;&gt;1),1,0))</f>
        <v/>
      </c>
      <c r="AE2288" s="0" t="str">
        <f aca="false">IF(Y2288=1,"",IF(AND(AA2288=1,AC2288&lt;&gt;1),1,0))</f>
        <v/>
      </c>
      <c r="AF2288" s="45" t="str">
        <f aca="false">IF(AND(E2288&gt;0,Y2288&lt;1,NOT(AND(C2289=C2288,Y2289=Y2288+1))),INDEX(DATAS,Y2288+1),"")</f>
        <v/>
      </c>
      <c r="AG2288" s="45" t="str">
        <f aca="false">IF(AND(AA2288=1,Y2288&lt;1),IF(AND(C2289=C2288,Y2289=Y2288+1),IF(AA2289=1,"",INDEX(DATAS,Y2288+1)),INDEX(DATAS,Y2288+1)),"")</f>
        <v/>
      </c>
    </row>
    <row r="2289" customFormat="false" ht="15" hidden="false" customHeight="false" outlineLevel="0" collapsed="false">
      <c r="A2289" s="45" t="n">
        <v>46309</v>
      </c>
      <c r="B2289" s="0" t="n">
        <v>8</v>
      </c>
      <c r="C2289" s="0" t="n">
        <v>6579</v>
      </c>
      <c r="E2289" s="0" t="n">
        <v>0</v>
      </c>
      <c r="F2289" s="39" t="s">
        <v>1197</v>
      </c>
      <c r="I2289" s="39" t="s">
        <v>109</v>
      </c>
      <c r="L2289" s="0" t="n">
        <v>111</v>
      </c>
      <c r="U2289" s="0" t="n">
        <v>510</v>
      </c>
      <c r="V2289" s="0" t="n">
        <v>1</v>
      </c>
      <c r="W2289" s="39" t="n">
        <f aca="false">IF(I2289="Male",0,1)</f>
        <v>1</v>
      </c>
      <c r="X2289" s="39" t="n">
        <f aca="false">IF(OR(I2289="DNB",I2289="Dry DNB"),1,0)</f>
        <v>0</v>
      </c>
      <c r="Y2289" s="39" t="n">
        <f aca="false">MATCH(A2289,DATAS,0)</f>
        <v>1</v>
      </c>
      <c r="Z2289" s="39" t="n">
        <f aca="false">IF(AND(E2289&gt;0,OR(AND(B2289&gt;=1,B2289&lt;=6),B2289=10)),1,0)</f>
        <v>0</v>
      </c>
      <c r="AA2289" s="39" t="n">
        <f aca="false">IF(AND(E2289&gt;0,B2289=10),1,0)</f>
        <v>0</v>
      </c>
      <c r="AB2289" s="0" t="str">
        <f aca="false">IF(AND(C2288=C2289,Y2288=Y2289-1),Z2288,"")</f>
        <v/>
      </c>
      <c r="AC2289" s="0" t="str">
        <f aca="false">IF(AND(C2288=C2289,Y2288=Y2289-1),AA2288,"")</f>
        <v/>
      </c>
      <c r="AD2289" s="0" t="str">
        <f aca="false">IF(Y2289=1,"",IF(AND(Z2289=1,AB2289&lt;&gt;1),1,0))</f>
        <v/>
      </c>
      <c r="AE2289" s="0" t="str">
        <f aca="false">IF(Y2289=1,"",IF(AND(AA2289=1,AC2289&lt;&gt;1),1,0))</f>
        <v/>
      </c>
      <c r="AF2289" s="45" t="str">
        <f aca="false">IF(AND(E2289&gt;0,Y2289&lt;1,NOT(AND(C2290=C2289,Y2290=Y2289+1))),INDEX(DATAS,Y2289+1),"")</f>
        <v/>
      </c>
      <c r="AG2289" s="45" t="str">
        <f aca="false">IF(AND(AA2289=1,Y2289&lt;1),IF(AND(C2290=C2289,Y2290=Y2289+1),IF(AA2290=1,"",INDEX(DATAS,Y2289+1)),INDEX(DATAS,Y2289+1)),"")</f>
        <v/>
      </c>
    </row>
    <row r="2290" customFormat="false" ht="15" hidden="false" customHeight="false" outlineLevel="0" collapsed="false">
      <c r="A2290" s="45" t="n">
        <v>46309</v>
      </c>
      <c r="B2290" s="0" t="n">
        <v>8</v>
      </c>
      <c r="C2290" s="0" t="n">
        <v>6580</v>
      </c>
      <c r="E2290" s="0" t="n">
        <v>0</v>
      </c>
      <c r="F2290" s="39" t="s">
        <v>1197</v>
      </c>
      <c r="I2290" s="39" t="s">
        <v>109</v>
      </c>
      <c r="L2290" s="0" t="n">
        <v>63</v>
      </c>
      <c r="U2290" s="0" t="n">
        <v>510</v>
      </c>
      <c r="V2290" s="0" t="n">
        <v>1</v>
      </c>
      <c r="W2290" s="39" t="n">
        <f aca="false">IF(I2290="Male",0,1)</f>
        <v>1</v>
      </c>
      <c r="X2290" s="39" t="n">
        <f aca="false">IF(OR(I2290="DNB",I2290="Dry DNB"),1,0)</f>
        <v>0</v>
      </c>
      <c r="Y2290" s="39" t="n">
        <f aca="false">MATCH(A2290,DATAS,0)</f>
        <v>1</v>
      </c>
      <c r="Z2290" s="39" t="n">
        <f aca="false">IF(AND(E2290&gt;0,OR(AND(B2290&gt;=1,B2290&lt;=6),B2290=10)),1,0)</f>
        <v>0</v>
      </c>
      <c r="AA2290" s="39" t="n">
        <f aca="false">IF(AND(E2290&gt;0,B2290=10),1,0)</f>
        <v>0</v>
      </c>
      <c r="AB2290" s="0" t="str">
        <f aca="false">IF(AND(C2289=C2290,Y2289=Y2290-1),Z2289,"")</f>
        <v/>
      </c>
      <c r="AC2290" s="0" t="str">
        <f aca="false">IF(AND(C2289=C2290,Y2289=Y2290-1),AA2289,"")</f>
        <v/>
      </c>
      <c r="AD2290" s="0" t="str">
        <f aca="false">IF(Y2290=1,"",IF(AND(Z2290=1,AB2290&lt;&gt;1),1,0))</f>
        <v/>
      </c>
      <c r="AE2290" s="0" t="str">
        <f aca="false">IF(Y2290=1,"",IF(AND(AA2290=1,AC2290&lt;&gt;1),1,0))</f>
        <v/>
      </c>
      <c r="AF2290" s="45" t="str">
        <f aca="false">IF(AND(E2290&gt;0,Y2290&lt;1,NOT(AND(C2291=C2290,Y2291=Y2290+1))),INDEX(DATAS,Y2290+1),"")</f>
        <v/>
      </c>
      <c r="AG2290" s="45" t="str">
        <f aca="false">IF(AND(AA2290=1,Y2290&lt;1),IF(AND(C2291=C2290,Y2291=Y2290+1),IF(AA2291=1,"",INDEX(DATAS,Y2290+1)),INDEX(DATAS,Y2290+1)),"")</f>
        <v/>
      </c>
    </row>
    <row r="2291" customFormat="false" ht="15" hidden="false" customHeight="false" outlineLevel="0" collapsed="false">
      <c r="A2291" s="45" t="n">
        <v>46309</v>
      </c>
      <c r="B2291" s="0" t="n">
        <v>8</v>
      </c>
      <c r="C2291" s="0" t="n">
        <v>6581</v>
      </c>
      <c r="E2291" s="0" t="n">
        <v>0</v>
      </c>
      <c r="F2291" s="39" t="s">
        <v>1197</v>
      </c>
      <c r="I2291" s="39" t="s">
        <v>109</v>
      </c>
      <c r="L2291" s="0" t="n">
        <v>91</v>
      </c>
      <c r="U2291" s="0" t="n">
        <v>510</v>
      </c>
      <c r="V2291" s="0" t="n">
        <v>2</v>
      </c>
      <c r="W2291" s="39" t="n">
        <f aca="false">IF(I2291="Male",0,1)</f>
        <v>1</v>
      </c>
      <c r="X2291" s="39" t="n">
        <f aca="false">IF(OR(I2291="DNB",I2291="Dry DNB"),1,0)</f>
        <v>0</v>
      </c>
      <c r="Y2291" s="39" t="n">
        <f aca="false">MATCH(A2291,DATAS,0)</f>
        <v>1</v>
      </c>
      <c r="Z2291" s="39" t="n">
        <f aca="false">IF(AND(E2291&gt;0,OR(AND(B2291&gt;=1,B2291&lt;=6),B2291=10)),1,0)</f>
        <v>0</v>
      </c>
      <c r="AA2291" s="39" t="n">
        <f aca="false">IF(AND(E2291&gt;0,B2291=10),1,0)</f>
        <v>0</v>
      </c>
      <c r="AB2291" s="0" t="str">
        <f aca="false">IF(AND(C2290=C2291,Y2290=Y2291-1),Z2290,"")</f>
        <v/>
      </c>
      <c r="AC2291" s="0" t="str">
        <f aca="false">IF(AND(C2290=C2291,Y2290=Y2291-1),AA2290,"")</f>
        <v/>
      </c>
      <c r="AD2291" s="0" t="str">
        <f aca="false">IF(Y2291=1,"",IF(AND(Z2291=1,AB2291&lt;&gt;1),1,0))</f>
        <v/>
      </c>
      <c r="AE2291" s="0" t="str">
        <f aca="false">IF(Y2291=1,"",IF(AND(AA2291=1,AC2291&lt;&gt;1),1,0))</f>
        <v/>
      </c>
      <c r="AF2291" s="45" t="str">
        <f aca="false">IF(AND(E2291&gt;0,Y2291&lt;1,NOT(AND(C2292=C2291,Y2292=Y2291+1))),INDEX(DATAS,Y2291+1),"")</f>
        <v/>
      </c>
      <c r="AG2291" s="45" t="str">
        <f aca="false">IF(AND(AA2291=1,Y2291&lt;1),IF(AND(C2292=C2291,Y2292=Y2291+1),IF(AA2292=1,"",INDEX(DATAS,Y2291+1)),INDEX(DATAS,Y2291+1)),"")</f>
        <v/>
      </c>
    </row>
    <row r="2292" customFormat="false" ht="15" hidden="false" customHeight="false" outlineLevel="0" collapsed="false">
      <c r="A2292" s="45" t="n">
        <v>46309</v>
      </c>
      <c r="B2292" s="0" t="n">
        <v>11</v>
      </c>
      <c r="C2292" s="0" t="n">
        <v>6582</v>
      </c>
      <c r="E2292" s="0" t="n">
        <v>0</v>
      </c>
      <c r="F2292" s="39" t="s">
        <v>1198</v>
      </c>
      <c r="I2292" s="39" t="s">
        <v>138</v>
      </c>
      <c r="U2292" s="0" t="n">
        <v>507</v>
      </c>
      <c r="V2292" s="0" t="n">
        <v>5</v>
      </c>
      <c r="W2292" s="39" t="n">
        <f aca="false">IF(I2292="Male",0,1)</f>
        <v>1</v>
      </c>
      <c r="X2292" s="39" t="n">
        <f aca="false">IF(OR(I2292="DNB",I2292="Dry DNB"),1,0)</f>
        <v>0</v>
      </c>
      <c r="Y2292" s="39" t="n">
        <f aca="false">MATCH(A2292,DATAS,0)</f>
        <v>1</v>
      </c>
      <c r="Z2292" s="39" t="n">
        <f aca="false">IF(AND(E2292&gt;0,OR(AND(B2292&gt;=1,B2292&lt;=6),B2292=10)),1,0)</f>
        <v>0</v>
      </c>
      <c r="AA2292" s="39" t="n">
        <f aca="false">IF(AND(E2292&gt;0,B2292=10),1,0)</f>
        <v>0</v>
      </c>
      <c r="AB2292" s="0" t="str">
        <f aca="false">IF(AND(C2291=C2292,Y2291=Y2292-1),Z2291,"")</f>
        <v/>
      </c>
      <c r="AC2292" s="0" t="str">
        <f aca="false">IF(AND(C2291=C2292,Y2291=Y2292-1),AA2291,"")</f>
        <v/>
      </c>
      <c r="AD2292" s="0" t="str">
        <f aca="false">IF(Y2292=1,"",IF(AND(Z2292=1,AB2292&lt;&gt;1),1,0))</f>
        <v/>
      </c>
      <c r="AE2292" s="0" t="str">
        <f aca="false">IF(Y2292=1,"",IF(AND(AA2292=1,AC2292&lt;&gt;1),1,0))</f>
        <v/>
      </c>
      <c r="AF2292" s="45" t="str">
        <f aca="false">IF(AND(E2292&gt;0,Y2292&lt;1,NOT(AND(C2293=C2292,Y2293=Y2292+1))),INDEX(DATAS,Y2292+1),"")</f>
        <v/>
      </c>
      <c r="AG2292" s="45" t="str">
        <f aca="false">IF(AND(AA2292=1,Y2292&lt;1),IF(AND(C2293=C2292,Y2293=Y2292+1),IF(AA2293=1,"",INDEX(DATAS,Y2292+1)),INDEX(DATAS,Y2292+1)),"")</f>
        <v/>
      </c>
    </row>
    <row r="2293" customFormat="false" ht="15" hidden="false" customHeight="false" outlineLevel="0" collapsed="false">
      <c r="A2293" s="45" t="n">
        <v>46309</v>
      </c>
      <c r="B2293" s="0" t="n">
        <v>11</v>
      </c>
      <c r="C2293" s="0" t="n">
        <v>6583</v>
      </c>
      <c r="E2293" s="0" t="n">
        <v>0</v>
      </c>
      <c r="F2293" s="39" t="s">
        <v>1198</v>
      </c>
      <c r="I2293" s="39" t="s">
        <v>138</v>
      </c>
      <c r="U2293" s="0" t="n">
        <v>507</v>
      </c>
      <c r="V2293" s="0" t="n">
        <v>4</v>
      </c>
      <c r="W2293" s="39" t="n">
        <f aca="false">IF(I2293="Male",0,1)</f>
        <v>1</v>
      </c>
      <c r="X2293" s="39" t="n">
        <f aca="false">IF(OR(I2293="DNB",I2293="Dry DNB"),1,0)</f>
        <v>0</v>
      </c>
      <c r="Y2293" s="39" t="n">
        <f aca="false">MATCH(A2293,DATAS,0)</f>
        <v>1</v>
      </c>
      <c r="Z2293" s="39" t="n">
        <f aca="false">IF(AND(E2293&gt;0,OR(AND(B2293&gt;=1,B2293&lt;=6),B2293=10)),1,0)</f>
        <v>0</v>
      </c>
      <c r="AA2293" s="39" t="n">
        <f aca="false">IF(AND(E2293&gt;0,B2293=10),1,0)</f>
        <v>0</v>
      </c>
      <c r="AB2293" s="0" t="str">
        <f aca="false">IF(AND(C2292=C2293,Y2292=Y2293-1),Z2292,"")</f>
        <v/>
      </c>
      <c r="AC2293" s="0" t="str">
        <f aca="false">IF(AND(C2292=C2293,Y2292=Y2293-1),AA2292,"")</f>
        <v/>
      </c>
      <c r="AD2293" s="0" t="str">
        <f aca="false">IF(Y2293=1,"",IF(AND(Z2293=1,AB2293&lt;&gt;1),1,0))</f>
        <v/>
      </c>
      <c r="AE2293" s="0" t="str">
        <f aca="false">IF(Y2293=1,"",IF(AND(AA2293=1,AC2293&lt;&gt;1),1,0))</f>
        <v/>
      </c>
      <c r="AF2293" s="45" t="str">
        <f aca="false">IF(AND(E2293&gt;0,Y2293&lt;1,NOT(AND(C2294=C2293,Y2294=Y2293+1))),INDEX(DATAS,Y2293+1),"")</f>
        <v/>
      </c>
      <c r="AG2293" s="45" t="str">
        <f aca="false">IF(AND(AA2293=1,Y2293&lt;1),IF(AND(C2294=C2293,Y2294=Y2293+1),IF(AA2294=1,"",INDEX(DATAS,Y2293+1)),INDEX(DATAS,Y2293+1)),"")</f>
        <v/>
      </c>
    </row>
    <row r="2294" customFormat="false" ht="15" hidden="false" customHeight="false" outlineLevel="0" collapsed="false">
      <c r="A2294" s="45" t="n">
        <v>46309</v>
      </c>
      <c r="B2294" s="0" t="n">
        <v>8</v>
      </c>
      <c r="C2294" s="0" t="n">
        <v>6584</v>
      </c>
      <c r="E2294" s="0" t="n">
        <v>0</v>
      </c>
      <c r="F2294" s="39" t="s">
        <v>1198</v>
      </c>
      <c r="I2294" s="39" t="s">
        <v>109</v>
      </c>
      <c r="L2294" s="0" t="n">
        <v>105</v>
      </c>
      <c r="U2294" s="0" t="n">
        <v>507</v>
      </c>
      <c r="V2294" s="0" t="n">
        <v>1</v>
      </c>
      <c r="W2294" s="39" t="n">
        <f aca="false">IF(I2294="Male",0,1)</f>
        <v>1</v>
      </c>
      <c r="X2294" s="39" t="n">
        <f aca="false">IF(OR(I2294="DNB",I2294="Dry DNB"),1,0)</f>
        <v>0</v>
      </c>
      <c r="Y2294" s="39" t="n">
        <f aca="false">MATCH(A2294,DATAS,0)</f>
        <v>1</v>
      </c>
      <c r="Z2294" s="39" t="n">
        <f aca="false">IF(AND(E2294&gt;0,OR(AND(B2294&gt;=1,B2294&lt;=6),B2294=10)),1,0)</f>
        <v>0</v>
      </c>
      <c r="AA2294" s="39" t="n">
        <f aca="false">IF(AND(E2294&gt;0,B2294=10),1,0)</f>
        <v>0</v>
      </c>
      <c r="AB2294" s="0" t="str">
        <f aca="false">IF(AND(C2293=C2294,Y2293=Y2294-1),Z2293,"")</f>
        <v/>
      </c>
      <c r="AC2294" s="0" t="str">
        <f aca="false">IF(AND(C2293=C2294,Y2293=Y2294-1),AA2293,"")</f>
        <v/>
      </c>
      <c r="AD2294" s="0" t="str">
        <f aca="false">IF(Y2294=1,"",IF(AND(Z2294=1,AB2294&lt;&gt;1),1,0))</f>
        <v/>
      </c>
      <c r="AE2294" s="0" t="str">
        <f aca="false">IF(Y2294=1,"",IF(AND(AA2294=1,AC2294&lt;&gt;1),1,0))</f>
        <v/>
      </c>
      <c r="AF2294" s="45" t="str">
        <f aca="false">IF(AND(E2294&gt;0,Y2294&lt;1,NOT(AND(C2295=C2294,Y2295=Y2294+1))),INDEX(DATAS,Y2294+1),"")</f>
        <v/>
      </c>
      <c r="AG2294" s="45" t="str">
        <f aca="false">IF(AND(AA2294=1,Y2294&lt;1),IF(AND(C2295=C2294,Y2295=Y2294+1),IF(AA2295=1,"",INDEX(DATAS,Y2294+1)),INDEX(DATAS,Y2294+1)),"")</f>
        <v/>
      </c>
    </row>
    <row r="2295" customFormat="false" ht="15" hidden="false" customHeight="false" outlineLevel="0" collapsed="false">
      <c r="A2295" s="45" t="n">
        <v>46309</v>
      </c>
      <c r="B2295" s="0" t="n">
        <v>13</v>
      </c>
      <c r="C2295" s="0" t="n">
        <v>6585</v>
      </c>
      <c r="E2295" s="0" t="n">
        <v>0</v>
      </c>
      <c r="F2295" s="39" t="s">
        <v>1198</v>
      </c>
      <c r="I2295" s="39" t="s">
        <v>146</v>
      </c>
      <c r="U2295" s="0" t="n">
        <v>507</v>
      </c>
      <c r="V2295" s="0" t="n">
        <v>0</v>
      </c>
      <c r="W2295" s="39" t="n">
        <f aca="false">IF(I2295="Male",0,1)</f>
        <v>1</v>
      </c>
      <c r="X2295" s="39" t="n">
        <f aca="false">IF(OR(I2295="DNB",I2295="Dry DNB"),1,0)</f>
        <v>0</v>
      </c>
      <c r="Y2295" s="39" t="n">
        <f aca="false">MATCH(A2295,DATAS,0)</f>
        <v>1</v>
      </c>
      <c r="Z2295" s="39" t="n">
        <f aca="false">IF(AND(E2295&gt;0,OR(AND(B2295&gt;=1,B2295&lt;=6),B2295=10)),1,0)</f>
        <v>0</v>
      </c>
      <c r="AA2295" s="39" t="n">
        <f aca="false">IF(AND(E2295&gt;0,B2295=10),1,0)</f>
        <v>0</v>
      </c>
      <c r="AB2295" s="0" t="str">
        <f aca="false">IF(AND(C2294=C2295,Y2294=Y2295-1),Z2294,"")</f>
        <v/>
      </c>
      <c r="AC2295" s="0" t="str">
        <f aca="false">IF(AND(C2294=C2295,Y2294=Y2295-1),AA2294,"")</f>
        <v/>
      </c>
      <c r="AD2295" s="0" t="str">
        <f aca="false">IF(Y2295=1,"",IF(AND(Z2295=1,AB2295&lt;&gt;1),1,0))</f>
        <v/>
      </c>
      <c r="AE2295" s="0" t="str">
        <f aca="false">IF(Y2295=1,"",IF(AND(AA2295=1,AC2295&lt;&gt;1),1,0))</f>
        <v/>
      </c>
      <c r="AF2295" s="45" t="str">
        <f aca="false">IF(AND(E2295&gt;0,Y2295&lt;1,NOT(AND(C2296=C2295,Y2296=Y2295+1))),INDEX(DATAS,Y2295+1),"")</f>
        <v/>
      </c>
      <c r="AG2295" s="45" t="str">
        <f aca="false">IF(AND(AA2295=1,Y2295&lt;1),IF(AND(C2296=C2295,Y2296=Y2295+1),IF(AA2296=1,"",INDEX(DATAS,Y2295+1)),INDEX(DATAS,Y2295+1)),"")</f>
        <v/>
      </c>
    </row>
    <row r="2296" customFormat="false" ht="15" hidden="false" customHeight="false" outlineLevel="0" collapsed="false">
      <c r="A2296" s="45" t="n">
        <v>46309</v>
      </c>
      <c r="B2296" s="0" t="n">
        <v>8</v>
      </c>
      <c r="C2296" s="0" t="n">
        <v>6586</v>
      </c>
      <c r="E2296" s="0" t="n">
        <v>0</v>
      </c>
      <c r="F2296" s="39" t="s">
        <v>1198</v>
      </c>
      <c r="I2296" s="39" t="s">
        <v>109</v>
      </c>
      <c r="L2296" s="0" t="n">
        <v>87</v>
      </c>
      <c r="U2296" s="0" t="n">
        <v>507</v>
      </c>
      <c r="V2296" s="0" t="n">
        <v>2</v>
      </c>
      <c r="W2296" s="39" t="n">
        <f aca="false">IF(I2296="Male",0,1)</f>
        <v>1</v>
      </c>
      <c r="X2296" s="39" t="n">
        <f aca="false">IF(OR(I2296="DNB",I2296="Dry DNB"),1,0)</f>
        <v>0</v>
      </c>
      <c r="Y2296" s="39" t="n">
        <f aca="false">MATCH(A2296,DATAS,0)</f>
        <v>1</v>
      </c>
      <c r="Z2296" s="39" t="n">
        <f aca="false">IF(AND(E2296&gt;0,OR(AND(B2296&gt;=1,B2296&lt;=6),B2296=10)),1,0)</f>
        <v>0</v>
      </c>
      <c r="AA2296" s="39" t="n">
        <f aca="false">IF(AND(E2296&gt;0,B2296=10),1,0)</f>
        <v>0</v>
      </c>
      <c r="AB2296" s="0" t="str">
        <f aca="false">IF(AND(C2295=C2296,Y2295=Y2296-1),Z2295,"")</f>
        <v/>
      </c>
      <c r="AC2296" s="0" t="str">
        <f aca="false">IF(AND(C2295=C2296,Y2295=Y2296-1),AA2295,"")</f>
        <v/>
      </c>
      <c r="AD2296" s="0" t="str">
        <f aca="false">IF(Y2296=1,"",IF(AND(Z2296=1,AB2296&lt;&gt;1),1,0))</f>
        <v/>
      </c>
      <c r="AE2296" s="0" t="str">
        <f aca="false">IF(Y2296=1,"",IF(AND(AA2296=1,AC2296&lt;&gt;1),1,0))</f>
        <v/>
      </c>
      <c r="AF2296" s="45" t="str">
        <f aca="false">IF(AND(E2296&gt;0,Y2296&lt;1,NOT(AND(C2297=C2296,Y2297=Y2296+1))),INDEX(DATAS,Y2296+1),"")</f>
        <v/>
      </c>
      <c r="AG2296" s="45" t="str">
        <f aca="false">IF(AND(AA2296=1,Y2296&lt;1),IF(AND(C2297=C2296,Y2297=Y2296+1),IF(AA2297=1,"",INDEX(DATAS,Y2296+1)),INDEX(DATAS,Y2296+1)),"")</f>
        <v/>
      </c>
    </row>
    <row r="2297" customFormat="false" ht="15" hidden="false" customHeight="false" outlineLevel="0" collapsed="false">
      <c r="A2297" s="45" t="n">
        <v>46309</v>
      </c>
      <c r="B2297" s="0" t="n">
        <v>8</v>
      </c>
      <c r="C2297" s="0" t="n">
        <v>6587</v>
      </c>
      <c r="E2297" s="0" t="n">
        <v>0</v>
      </c>
      <c r="F2297" s="39" t="s">
        <v>1198</v>
      </c>
      <c r="I2297" s="39" t="s">
        <v>109</v>
      </c>
      <c r="L2297" s="0" t="n">
        <v>95</v>
      </c>
      <c r="U2297" s="0" t="n">
        <v>507</v>
      </c>
      <c r="V2297" s="0" t="n">
        <v>1</v>
      </c>
      <c r="W2297" s="39" t="n">
        <f aca="false">IF(I2297="Male",0,1)</f>
        <v>1</v>
      </c>
      <c r="X2297" s="39" t="n">
        <f aca="false">IF(OR(I2297="DNB",I2297="Dry DNB"),1,0)</f>
        <v>0</v>
      </c>
      <c r="Y2297" s="39" t="n">
        <f aca="false">MATCH(A2297,DATAS,0)</f>
        <v>1</v>
      </c>
      <c r="Z2297" s="39" t="n">
        <f aca="false">IF(AND(E2297&gt;0,OR(AND(B2297&gt;=1,B2297&lt;=6),B2297=10)),1,0)</f>
        <v>0</v>
      </c>
      <c r="AA2297" s="39" t="n">
        <f aca="false">IF(AND(E2297&gt;0,B2297=10),1,0)</f>
        <v>0</v>
      </c>
      <c r="AB2297" s="0" t="str">
        <f aca="false">IF(AND(C2296=C2297,Y2296=Y2297-1),Z2296,"")</f>
        <v/>
      </c>
      <c r="AC2297" s="0" t="str">
        <f aca="false">IF(AND(C2296=C2297,Y2296=Y2297-1),AA2296,"")</f>
        <v/>
      </c>
      <c r="AD2297" s="0" t="str">
        <f aca="false">IF(Y2297=1,"",IF(AND(Z2297=1,AB2297&lt;&gt;1),1,0))</f>
        <v/>
      </c>
      <c r="AE2297" s="0" t="str">
        <f aca="false">IF(Y2297=1,"",IF(AND(AA2297=1,AC2297&lt;&gt;1),1,0))</f>
        <v/>
      </c>
      <c r="AF2297" s="45" t="str">
        <f aca="false">IF(AND(E2297&gt;0,Y2297&lt;1,NOT(AND(C2298=C2297,Y2298=Y2297+1))),INDEX(DATAS,Y2297+1),"")</f>
        <v/>
      </c>
      <c r="AG2297" s="45" t="str">
        <f aca="false">IF(AND(AA2297=1,Y2297&lt;1),IF(AND(C2298=C2297,Y2298=Y2297+1),IF(AA2298=1,"",INDEX(DATAS,Y2297+1)),INDEX(DATAS,Y2297+1)),"")</f>
        <v/>
      </c>
    </row>
    <row r="2298" customFormat="false" ht="15" hidden="false" customHeight="false" outlineLevel="0" collapsed="false">
      <c r="A2298" s="45" t="n">
        <v>46309</v>
      </c>
      <c r="B2298" s="0" t="n">
        <v>11</v>
      </c>
      <c r="C2298" s="0" t="n">
        <v>6588</v>
      </c>
      <c r="E2298" s="0" t="n">
        <v>0</v>
      </c>
      <c r="F2298" s="39" t="s">
        <v>1198</v>
      </c>
      <c r="I2298" s="39" t="s">
        <v>146</v>
      </c>
      <c r="U2298" s="0" t="n">
        <v>507</v>
      </c>
      <c r="V2298" s="0" t="n">
        <v>2</v>
      </c>
      <c r="W2298" s="39" t="n">
        <f aca="false">IF(I2298="Male",0,1)</f>
        <v>1</v>
      </c>
      <c r="X2298" s="39" t="n">
        <f aca="false">IF(OR(I2298="DNB",I2298="Dry DNB"),1,0)</f>
        <v>0</v>
      </c>
      <c r="Y2298" s="39" t="n">
        <f aca="false">MATCH(A2298,DATAS,0)</f>
        <v>1</v>
      </c>
      <c r="Z2298" s="39" t="n">
        <f aca="false">IF(AND(E2298&gt;0,OR(AND(B2298&gt;=1,B2298&lt;=6),B2298=10)),1,0)</f>
        <v>0</v>
      </c>
      <c r="AA2298" s="39" t="n">
        <f aca="false">IF(AND(E2298&gt;0,B2298=10),1,0)</f>
        <v>0</v>
      </c>
      <c r="AB2298" s="0" t="str">
        <f aca="false">IF(AND(C2297=C2298,Y2297=Y2298-1),Z2297,"")</f>
        <v/>
      </c>
      <c r="AC2298" s="0" t="str">
        <f aca="false">IF(AND(C2297=C2298,Y2297=Y2298-1),AA2297,"")</f>
        <v/>
      </c>
      <c r="AD2298" s="0" t="str">
        <f aca="false">IF(Y2298=1,"",IF(AND(Z2298=1,AB2298&lt;&gt;1),1,0))</f>
        <v/>
      </c>
      <c r="AE2298" s="0" t="str">
        <f aca="false">IF(Y2298=1,"",IF(AND(AA2298=1,AC2298&lt;&gt;1),1,0))</f>
        <v/>
      </c>
      <c r="AF2298" s="45" t="str">
        <f aca="false">IF(AND(E2298&gt;0,Y2298&lt;1,NOT(AND(C2299=C2298,Y2299=Y2298+1))),INDEX(DATAS,Y2298+1),"")</f>
        <v/>
      </c>
      <c r="AG2298" s="45" t="str">
        <f aca="false">IF(AND(AA2298=1,Y2298&lt;1),IF(AND(C2299=C2298,Y2299=Y2298+1),IF(AA2299=1,"",INDEX(DATAS,Y2298+1)),INDEX(DATAS,Y2298+1)),"")</f>
        <v/>
      </c>
    </row>
    <row r="2299" customFormat="false" ht="15" hidden="false" customHeight="false" outlineLevel="0" collapsed="false">
      <c r="A2299" s="45" t="n">
        <v>46309</v>
      </c>
      <c r="B2299" s="0" t="n">
        <v>8</v>
      </c>
      <c r="C2299" s="0" t="n">
        <v>6590</v>
      </c>
      <c r="E2299" s="0" t="n">
        <v>0</v>
      </c>
      <c r="F2299" s="39" t="s">
        <v>1198</v>
      </c>
      <c r="I2299" s="39" t="s">
        <v>109</v>
      </c>
      <c r="L2299" s="0" t="n">
        <v>105</v>
      </c>
      <c r="U2299" s="0" t="n">
        <v>507</v>
      </c>
      <c r="V2299" s="0" t="n">
        <v>1</v>
      </c>
      <c r="W2299" s="39" t="n">
        <f aca="false">IF(I2299="Male",0,1)</f>
        <v>1</v>
      </c>
      <c r="X2299" s="39" t="n">
        <f aca="false">IF(OR(I2299="DNB",I2299="Dry DNB"),1,0)</f>
        <v>0</v>
      </c>
      <c r="Y2299" s="39" t="n">
        <f aca="false">MATCH(A2299,DATAS,0)</f>
        <v>1</v>
      </c>
      <c r="Z2299" s="39" t="n">
        <f aca="false">IF(AND(E2299&gt;0,OR(AND(B2299&gt;=1,B2299&lt;=6),B2299=10)),1,0)</f>
        <v>0</v>
      </c>
      <c r="AA2299" s="39" t="n">
        <f aca="false">IF(AND(E2299&gt;0,B2299=10),1,0)</f>
        <v>0</v>
      </c>
      <c r="AB2299" s="0" t="str">
        <f aca="false">IF(AND(C2298=C2299,Y2298=Y2299-1),Z2298,"")</f>
        <v/>
      </c>
      <c r="AC2299" s="0" t="str">
        <f aca="false">IF(AND(C2298=C2299,Y2298=Y2299-1),AA2298,"")</f>
        <v/>
      </c>
      <c r="AD2299" s="0" t="str">
        <f aca="false">IF(Y2299=1,"",IF(AND(Z2299=1,AB2299&lt;&gt;1),1,0))</f>
        <v/>
      </c>
      <c r="AE2299" s="0" t="str">
        <f aca="false">IF(Y2299=1,"",IF(AND(AA2299=1,AC2299&lt;&gt;1),1,0))</f>
        <v/>
      </c>
      <c r="AF2299" s="45" t="str">
        <f aca="false">IF(AND(E2299&gt;0,Y2299&lt;1,NOT(AND(C2300=C2299,Y2300=Y2299+1))),INDEX(DATAS,Y2299+1),"")</f>
        <v/>
      </c>
      <c r="AG2299" s="45" t="str">
        <f aca="false">IF(AND(AA2299=1,Y2299&lt;1),IF(AND(C2300=C2299,Y2300=Y2299+1),IF(AA2300=1,"",INDEX(DATAS,Y2299+1)),INDEX(DATAS,Y2299+1)),"")</f>
        <v/>
      </c>
    </row>
    <row r="2300" customFormat="false" ht="15" hidden="false" customHeight="false" outlineLevel="0" collapsed="false">
      <c r="A2300" s="45" t="n">
        <v>46309</v>
      </c>
      <c r="B2300" s="0" t="n">
        <v>8</v>
      </c>
      <c r="C2300" s="0" t="n">
        <v>6591</v>
      </c>
      <c r="E2300" s="0" t="n">
        <v>0</v>
      </c>
      <c r="F2300" s="39" t="s">
        <v>1198</v>
      </c>
      <c r="I2300" s="39" t="s">
        <v>109</v>
      </c>
      <c r="L2300" s="0" t="n">
        <v>105</v>
      </c>
      <c r="U2300" s="0" t="n">
        <v>507</v>
      </c>
      <c r="V2300" s="0" t="n">
        <v>1</v>
      </c>
      <c r="W2300" s="39" t="n">
        <f aca="false">IF(I2300="Male",0,1)</f>
        <v>1</v>
      </c>
      <c r="X2300" s="39" t="n">
        <f aca="false">IF(OR(I2300="DNB",I2300="Dry DNB"),1,0)</f>
        <v>0</v>
      </c>
      <c r="Y2300" s="39" t="n">
        <f aca="false">MATCH(A2300,DATAS,0)</f>
        <v>1</v>
      </c>
      <c r="Z2300" s="39" t="n">
        <f aca="false">IF(AND(E2300&gt;0,OR(AND(B2300&gt;=1,B2300&lt;=6),B2300=10)),1,0)</f>
        <v>0</v>
      </c>
      <c r="AA2300" s="39" t="n">
        <f aca="false">IF(AND(E2300&gt;0,B2300=10),1,0)</f>
        <v>0</v>
      </c>
      <c r="AB2300" s="0" t="str">
        <f aca="false">IF(AND(C2299=C2300,Y2299=Y2300-1),Z2299,"")</f>
        <v/>
      </c>
      <c r="AC2300" s="0" t="str">
        <f aca="false">IF(AND(C2299=C2300,Y2299=Y2300-1),AA2299,"")</f>
        <v/>
      </c>
      <c r="AD2300" s="0" t="str">
        <f aca="false">IF(Y2300=1,"",IF(AND(Z2300=1,AB2300&lt;&gt;1),1,0))</f>
        <v/>
      </c>
      <c r="AE2300" s="0" t="str">
        <f aca="false">IF(Y2300=1,"",IF(AND(AA2300=1,AC2300&lt;&gt;1),1,0))</f>
        <v/>
      </c>
      <c r="AF2300" s="45" t="str">
        <f aca="false">IF(AND(E2300&gt;0,Y2300&lt;1,NOT(AND(C2301=C2300,Y2301=Y2300+1))),INDEX(DATAS,Y2300+1),"")</f>
        <v/>
      </c>
      <c r="AG2300" s="45" t="str">
        <f aca="false">IF(AND(AA2300=1,Y2300&lt;1),IF(AND(C2301=C2300,Y2301=Y2300+1),IF(AA2301=1,"",INDEX(DATAS,Y2300+1)),INDEX(DATAS,Y2300+1)),"")</f>
        <v/>
      </c>
    </row>
    <row r="2301" customFormat="false" ht="15" hidden="false" customHeight="false" outlineLevel="0" collapsed="false">
      <c r="A2301" s="45" t="n">
        <v>46309</v>
      </c>
      <c r="B2301" s="0" t="n">
        <v>8</v>
      </c>
      <c r="C2301" s="0" t="n">
        <v>6592</v>
      </c>
      <c r="E2301" s="0" t="n">
        <v>0</v>
      </c>
      <c r="F2301" s="39" t="s">
        <v>1198</v>
      </c>
      <c r="I2301" s="39" t="s">
        <v>109</v>
      </c>
      <c r="L2301" s="0" t="n">
        <v>97</v>
      </c>
      <c r="U2301" s="0" t="n">
        <v>507</v>
      </c>
      <c r="V2301" s="0" t="n">
        <v>1</v>
      </c>
      <c r="W2301" s="39" t="n">
        <f aca="false">IF(I2301="Male",0,1)</f>
        <v>1</v>
      </c>
      <c r="X2301" s="39" t="n">
        <f aca="false">IF(OR(I2301="DNB",I2301="Dry DNB"),1,0)</f>
        <v>0</v>
      </c>
      <c r="Y2301" s="39" t="n">
        <f aca="false">MATCH(A2301,DATAS,0)</f>
        <v>1</v>
      </c>
      <c r="Z2301" s="39" t="n">
        <f aca="false">IF(AND(E2301&gt;0,OR(AND(B2301&gt;=1,B2301&lt;=6),B2301=10)),1,0)</f>
        <v>0</v>
      </c>
      <c r="AA2301" s="39" t="n">
        <f aca="false">IF(AND(E2301&gt;0,B2301=10),1,0)</f>
        <v>0</v>
      </c>
      <c r="AB2301" s="0" t="str">
        <f aca="false">IF(AND(C2300=C2301,Y2300=Y2301-1),Z2300,"")</f>
        <v/>
      </c>
      <c r="AC2301" s="0" t="str">
        <f aca="false">IF(AND(C2300=C2301,Y2300=Y2301-1),AA2300,"")</f>
        <v/>
      </c>
      <c r="AD2301" s="0" t="str">
        <f aca="false">IF(Y2301=1,"",IF(AND(Z2301=1,AB2301&lt;&gt;1),1,0))</f>
        <v/>
      </c>
      <c r="AE2301" s="0" t="str">
        <f aca="false">IF(Y2301=1,"",IF(AND(AA2301=1,AC2301&lt;&gt;1),1,0))</f>
        <v/>
      </c>
      <c r="AF2301" s="45" t="str">
        <f aca="false">IF(AND(E2301&gt;0,Y2301&lt;1,NOT(AND(C2302=C2301,Y2302=Y2301+1))),INDEX(DATAS,Y2301+1),"")</f>
        <v/>
      </c>
      <c r="AG2301" s="45" t="str">
        <f aca="false">IF(AND(AA2301=1,Y2301&lt;1),IF(AND(C2302=C2301,Y2302=Y2301+1),IF(AA2302=1,"",INDEX(DATAS,Y2301+1)),INDEX(DATAS,Y2301+1)),"")</f>
        <v/>
      </c>
    </row>
    <row r="2302" customFormat="false" ht="15" hidden="false" customHeight="false" outlineLevel="0" collapsed="false">
      <c r="A2302" s="45" t="n">
        <v>46309</v>
      </c>
      <c r="B2302" s="0" t="n">
        <v>11</v>
      </c>
      <c r="C2302" s="0" t="n">
        <v>6593</v>
      </c>
      <c r="E2302" s="0" t="n">
        <v>0</v>
      </c>
      <c r="F2302" s="39" t="s">
        <v>1199</v>
      </c>
      <c r="I2302" s="39" t="s">
        <v>146</v>
      </c>
      <c r="U2302" s="0" t="n">
        <v>506</v>
      </c>
      <c r="V2302" s="0" t="n">
        <v>2</v>
      </c>
      <c r="W2302" s="39" t="n">
        <f aca="false">IF(I2302="Male",0,1)</f>
        <v>1</v>
      </c>
      <c r="X2302" s="39" t="n">
        <f aca="false">IF(OR(I2302="DNB",I2302="Dry DNB"),1,0)</f>
        <v>0</v>
      </c>
      <c r="Y2302" s="39" t="n">
        <f aca="false">MATCH(A2302,DATAS,0)</f>
        <v>1</v>
      </c>
      <c r="Z2302" s="39" t="n">
        <f aca="false">IF(AND(E2302&gt;0,OR(AND(B2302&gt;=1,B2302&lt;=6),B2302=10)),1,0)</f>
        <v>0</v>
      </c>
      <c r="AA2302" s="39" t="n">
        <f aca="false">IF(AND(E2302&gt;0,B2302=10),1,0)</f>
        <v>0</v>
      </c>
      <c r="AB2302" s="0" t="str">
        <f aca="false">IF(AND(C2301=C2302,Y2301=Y2302-1),Z2301,"")</f>
        <v/>
      </c>
      <c r="AC2302" s="0" t="str">
        <f aca="false">IF(AND(C2301=C2302,Y2301=Y2302-1),AA2301,"")</f>
        <v/>
      </c>
      <c r="AD2302" s="0" t="str">
        <f aca="false">IF(Y2302=1,"",IF(AND(Z2302=1,AB2302&lt;&gt;1),1,0))</f>
        <v/>
      </c>
      <c r="AE2302" s="0" t="str">
        <f aca="false">IF(Y2302=1,"",IF(AND(AA2302=1,AC2302&lt;&gt;1),1,0))</f>
        <v/>
      </c>
      <c r="AF2302" s="45" t="str">
        <f aca="false">IF(AND(E2302&gt;0,Y2302&lt;1,NOT(AND(C2303=C2302,Y2303=Y2302+1))),INDEX(DATAS,Y2302+1),"")</f>
        <v/>
      </c>
      <c r="AG2302" s="45" t="str">
        <f aca="false">IF(AND(AA2302=1,Y2302&lt;1),IF(AND(C2303=C2302,Y2303=Y2302+1),IF(AA2303=1,"",INDEX(DATAS,Y2302+1)),INDEX(DATAS,Y2302+1)),"")</f>
        <v/>
      </c>
    </row>
    <row r="2303" customFormat="false" ht="15" hidden="false" customHeight="false" outlineLevel="0" collapsed="false">
      <c r="A2303" s="45" t="n">
        <v>46309</v>
      </c>
      <c r="B2303" s="0" t="n">
        <v>11</v>
      </c>
      <c r="C2303" s="0" t="n">
        <v>6594</v>
      </c>
      <c r="E2303" s="0" t="n">
        <v>0</v>
      </c>
      <c r="F2303" s="39" t="s">
        <v>1200</v>
      </c>
      <c r="I2303" s="39" t="s">
        <v>138</v>
      </c>
      <c r="U2303" s="0" t="n">
        <v>505</v>
      </c>
      <c r="V2303" s="0" t="n">
        <v>2</v>
      </c>
      <c r="W2303" s="39" t="n">
        <f aca="false">IF(I2303="Male",0,1)</f>
        <v>1</v>
      </c>
      <c r="X2303" s="39" t="n">
        <f aca="false">IF(OR(I2303="DNB",I2303="Dry DNB"),1,0)</f>
        <v>0</v>
      </c>
      <c r="Y2303" s="39" t="n">
        <f aca="false">MATCH(A2303,DATAS,0)</f>
        <v>1</v>
      </c>
      <c r="Z2303" s="39" t="n">
        <f aca="false">IF(AND(E2303&gt;0,OR(AND(B2303&gt;=1,B2303&lt;=6),B2303=10)),1,0)</f>
        <v>0</v>
      </c>
      <c r="AA2303" s="39" t="n">
        <f aca="false">IF(AND(E2303&gt;0,B2303=10),1,0)</f>
        <v>0</v>
      </c>
      <c r="AB2303" s="0" t="str">
        <f aca="false">IF(AND(C2302=C2303,Y2302=Y2303-1),Z2302,"")</f>
        <v/>
      </c>
      <c r="AC2303" s="0" t="str">
        <f aca="false">IF(AND(C2302=C2303,Y2302=Y2303-1),AA2302,"")</f>
        <v/>
      </c>
      <c r="AD2303" s="0" t="str">
        <f aca="false">IF(Y2303=1,"",IF(AND(Z2303=1,AB2303&lt;&gt;1),1,0))</f>
        <v/>
      </c>
      <c r="AE2303" s="0" t="str">
        <f aca="false">IF(Y2303=1,"",IF(AND(AA2303=1,AC2303&lt;&gt;1),1,0))</f>
        <v/>
      </c>
      <c r="AF2303" s="45" t="str">
        <f aca="false">IF(AND(E2303&gt;0,Y2303&lt;1,NOT(AND(C2304=C2303,Y2304=Y2303+1))),INDEX(DATAS,Y2303+1),"")</f>
        <v/>
      </c>
      <c r="AG2303" s="45" t="str">
        <f aca="false">IF(AND(AA2303=1,Y2303&lt;1),IF(AND(C2304=C2303,Y2304=Y2303+1),IF(AA2304=1,"",INDEX(DATAS,Y2303+1)),INDEX(DATAS,Y2303+1)),"")</f>
        <v/>
      </c>
    </row>
    <row r="2304" customFormat="false" ht="15" hidden="false" customHeight="false" outlineLevel="0" collapsed="false">
      <c r="A2304" s="45" t="n">
        <v>46309</v>
      </c>
      <c r="B2304" s="0" t="n">
        <v>11</v>
      </c>
      <c r="C2304" s="0" t="n">
        <v>6595</v>
      </c>
      <c r="E2304" s="0" t="n">
        <v>0</v>
      </c>
      <c r="F2304" s="39" t="s">
        <v>1200</v>
      </c>
      <c r="I2304" s="39" t="s">
        <v>138</v>
      </c>
      <c r="U2304" s="0" t="n">
        <v>505</v>
      </c>
      <c r="V2304" s="0" t="n">
        <v>4</v>
      </c>
      <c r="W2304" s="39" t="n">
        <f aca="false">IF(I2304="Male",0,1)</f>
        <v>1</v>
      </c>
      <c r="X2304" s="39" t="n">
        <f aca="false">IF(OR(I2304="DNB",I2304="Dry DNB"),1,0)</f>
        <v>0</v>
      </c>
      <c r="Y2304" s="39" t="n">
        <f aca="false">MATCH(A2304,DATAS,0)</f>
        <v>1</v>
      </c>
      <c r="Z2304" s="39" t="n">
        <f aca="false">IF(AND(E2304&gt;0,OR(AND(B2304&gt;=1,B2304&lt;=6),B2304=10)),1,0)</f>
        <v>0</v>
      </c>
      <c r="AA2304" s="39" t="n">
        <f aca="false">IF(AND(E2304&gt;0,B2304=10),1,0)</f>
        <v>0</v>
      </c>
      <c r="AB2304" s="0" t="str">
        <f aca="false">IF(AND(C2303=C2304,Y2303=Y2304-1),Z2303,"")</f>
        <v/>
      </c>
      <c r="AC2304" s="0" t="str">
        <f aca="false">IF(AND(C2303=C2304,Y2303=Y2304-1),AA2303,"")</f>
        <v/>
      </c>
      <c r="AD2304" s="0" t="str">
        <f aca="false">IF(Y2304=1,"",IF(AND(Z2304=1,AB2304&lt;&gt;1),1,0))</f>
        <v/>
      </c>
      <c r="AE2304" s="0" t="str">
        <f aca="false">IF(Y2304=1,"",IF(AND(AA2304=1,AC2304&lt;&gt;1),1,0))</f>
        <v/>
      </c>
      <c r="AF2304" s="45" t="str">
        <f aca="false">IF(AND(E2304&gt;0,Y2304&lt;1,NOT(AND(C2305=C2304,Y2305=Y2304+1))),INDEX(DATAS,Y2304+1),"")</f>
        <v/>
      </c>
      <c r="AG2304" s="45" t="str">
        <f aca="false">IF(AND(AA2304=1,Y2304&lt;1),IF(AND(C2305=C2304,Y2305=Y2304+1),IF(AA2305=1,"",INDEX(DATAS,Y2304+1)),INDEX(DATAS,Y2304+1)),"")</f>
        <v/>
      </c>
    </row>
    <row r="2305" customFormat="false" ht="15" hidden="false" customHeight="false" outlineLevel="0" collapsed="false">
      <c r="A2305" s="45" t="n">
        <v>46309</v>
      </c>
      <c r="B2305" s="0" t="n">
        <v>8</v>
      </c>
      <c r="C2305" s="0" t="n">
        <v>6596</v>
      </c>
      <c r="E2305" s="0" t="n">
        <v>0</v>
      </c>
      <c r="F2305" s="39" t="s">
        <v>1200</v>
      </c>
      <c r="I2305" s="39" t="s">
        <v>109</v>
      </c>
      <c r="L2305" s="0" t="n">
        <v>105</v>
      </c>
      <c r="U2305" s="0" t="n">
        <v>505</v>
      </c>
      <c r="V2305" s="0" t="n">
        <v>1</v>
      </c>
      <c r="W2305" s="39" t="n">
        <f aca="false">IF(I2305="Male",0,1)</f>
        <v>1</v>
      </c>
      <c r="X2305" s="39" t="n">
        <f aca="false">IF(OR(I2305="DNB",I2305="Dry DNB"),1,0)</f>
        <v>0</v>
      </c>
      <c r="Y2305" s="39" t="n">
        <f aca="false">MATCH(A2305,DATAS,0)</f>
        <v>1</v>
      </c>
      <c r="Z2305" s="39" t="n">
        <f aca="false">IF(AND(E2305&gt;0,OR(AND(B2305&gt;=1,B2305&lt;=6),B2305=10)),1,0)</f>
        <v>0</v>
      </c>
      <c r="AA2305" s="39" t="n">
        <f aca="false">IF(AND(E2305&gt;0,B2305=10),1,0)</f>
        <v>0</v>
      </c>
      <c r="AB2305" s="0" t="str">
        <f aca="false">IF(AND(C2304=C2305,Y2304=Y2305-1),Z2304,"")</f>
        <v/>
      </c>
      <c r="AC2305" s="0" t="str">
        <f aca="false">IF(AND(C2304=C2305,Y2304=Y2305-1),AA2304,"")</f>
        <v/>
      </c>
      <c r="AD2305" s="0" t="str">
        <f aca="false">IF(Y2305=1,"",IF(AND(Z2305=1,AB2305&lt;&gt;1),1,0))</f>
        <v/>
      </c>
      <c r="AE2305" s="0" t="str">
        <f aca="false">IF(Y2305=1,"",IF(AND(AA2305=1,AC2305&lt;&gt;1),1,0))</f>
        <v/>
      </c>
      <c r="AF2305" s="45" t="str">
        <f aca="false">IF(AND(E2305&gt;0,Y2305&lt;1,NOT(AND(C2306=C2305,Y2306=Y2305+1))),INDEX(DATAS,Y2305+1),"")</f>
        <v/>
      </c>
      <c r="AG2305" s="45" t="str">
        <f aca="false">IF(AND(AA2305=1,Y2305&lt;1),IF(AND(C2306=C2305,Y2306=Y2305+1),IF(AA2306=1,"",INDEX(DATAS,Y2305+1)),INDEX(DATAS,Y2305+1)),"")</f>
        <v/>
      </c>
    </row>
    <row r="2306" customFormat="false" ht="15" hidden="false" customHeight="false" outlineLevel="0" collapsed="false">
      <c r="A2306" s="45" t="n">
        <v>46309</v>
      </c>
      <c r="B2306" s="0" t="n">
        <v>8</v>
      </c>
      <c r="C2306" s="0" t="n">
        <v>6598</v>
      </c>
      <c r="E2306" s="0" t="n">
        <v>0</v>
      </c>
      <c r="F2306" s="39" t="s">
        <v>1201</v>
      </c>
      <c r="I2306" s="39" t="s">
        <v>109</v>
      </c>
      <c r="L2306" s="0" t="n">
        <v>88</v>
      </c>
      <c r="U2306" s="0" t="n">
        <v>503</v>
      </c>
      <c r="V2306" s="0" t="n">
        <v>2</v>
      </c>
      <c r="W2306" s="39" t="n">
        <f aca="false">IF(I2306="Male",0,1)</f>
        <v>1</v>
      </c>
      <c r="X2306" s="39" t="n">
        <f aca="false">IF(OR(I2306="DNB",I2306="Dry DNB"),1,0)</f>
        <v>0</v>
      </c>
      <c r="Y2306" s="39" t="n">
        <f aca="false">MATCH(A2306,DATAS,0)</f>
        <v>1</v>
      </c>
      <c r="Z2306" s="39" t="n">
        <f aca="false">IF(AND(E2306&gt;0,OR(AND(B2306&gt;=1,B2306&lt;=6),B2306=10)),1,0)</f>
        <v>0</v>
      </c>
      <c r="AA2306" s="39" t="n">
        <f aca="false">IF(AND(E2306&gt;0,B2306=10),1,0)</f>
        <v>0</v>
      </c>
      <c r="AB2306" s="0" t="str">
        <f aca="false">IF(AND(C2305=C2306,Y2305=Y2306-1),Z2305,"")</f>
        <v/>
      </c>
      <c r="AC2306" s="0" t="str">
        <f aca="false">IF(AND(C2305=C2306,Y2305=Y2306-1),AA2305,"")</f>
        <v/>
      </c>
      <c r="AD2306" s="0" t="str">
        <f aca="false">IF(Y2306=1,"",IF(AND(Z2306=1,AB2306&lt;&gt;1),1,0))</f>
        <v/>
      </c>
      <c r="AE2306" s="0" t="str">
        <f aca="false">IF(Y2306=1,"",IF(AND(AA2306=1,AC2306&lt;&gt;1),1,0))</f>
        <v/>
      </c>
      <c r="AF2306" s="45" t="str">
        <f aca="false">IF(AND(E2306&gt;0,Y2306&lt;1,NOT(AND(C2307=C2306,Y2307=Y2306+1))),INDEX(DATAS,Y2306+1),"")</f>
        <v/>
      </c>
      <c r="AG2306" s="45" t="str">
        <f aca="false">IF(AND(AA2306=1,Y2306&lt;1),IF(AND(C2307=C2306,Y2307=Y2306+1),IF(AA2307=1,"",INDEX(DATAS,Y2306+1)),INDEX(DATAS,Y2306+1)),"")</f>
        <v/>
      </c>
    </row>
    <row r="2307" customFormat="false" ht="15" hidden="false" customHeight="false" outlineLevel="0" collapsed="false">
      <c r="A2307" s="45" t="n">
        <v>46309</v>
      </c>
      <c r="B2307" s="0" t="n">
        <v>11</v>
      </c>
      <c r="C2307" s="0" t="n">
        <v>6599</v>
      </c>
      <c r="E2307" s="0" t="n">
        <v>0</v>
      </c>
      <c r="F2307" s="39" t="s">
        <v>1201</v>
      </c>
      <c r="I2307" s="39" t="s">
        <v>138</v>
      </c>
      <c r="U2307" s="0" t="n">
        <v>503</v>
      </c>
      <c r="V2307" s="0" t="n">
        <v>4</v>
      </c>
      <c r="W2307" s="39" t="n">
        <f aca="false">IF(I2307="Male",0,1)</f>
        <v>1</v>
      </c>
      <c r="X2307" s="39" t="n">
        <f aca="false">IF(OR(I2307="DNB",I2307="Dry DNB"),1,0)</f>
        <v>0</v>
      </c>
      <c r="Y2307" s="39" t="n">
        <f aca="false">MATCH(A2307,DATAS,0)</f>
        <v>1</v>
      </c>
      <c r="Z2307" s="39" t="n">
        <f aca="false">IF(AND(E2307&gt;0,OR(AND(B2307&gt;=1,B2307&lt;=6),B2307=10)),1,0)</f>
        <v>0</v>
      </c>
      <c r="AA2307" s="39" t="n">
        <f aca="false">IF(AND(E2307&gt;0,B2307=10),1,0)</f>
        <v>0</v>
      </c>
      <c r="AB2307" s="0" t="str">
        <f aca="false">IF(AND(C2306=C2307,Y2306=Y2307-1),Z2306,"")</f>
        <v/>
      </c>
      <c r="AC2307" s="0" t="str">
        <f aca="false">IF(AND(C2306=C2307,Y2306=Y2307-1),AA2306,"")</f>
        <v/>
      </c>
      <c r="AD2307" s="0" t="str">
        <f aca="false">IF(Y2307=1,"",IF(AND(Z2307=1,AB2307&lt;&gt;1),1,0))</f>
        <v/>
      </c>
      <c r="AE2307" s="0" t="str">
        <f aca="false">IF(Y2307=1,"",IF(AND(AA2307=1,AC2307&lt;&gt;1),1,0))</f>
        <v/>
      </c>
      <c r="AF2307" s="45" t="str">
        <f aca="false">IF(AND(E2307&gt;0,Y2307&lt;1,NOT(AND(C2308=C2307,Y2308=Y2307+1))),INDEX(DATAS,Y2307+1),"")</f>
        <v/>
      </c>
      <c r="AG2307" s="45" t="str">
        <f aca="false">IF(AND(AA2307=1,Y2307&lt;1),IF(AND(C2308=C2307,Y2308=Y2307+1),IF(AA2308=1,"",INDEX(DATAS,Y2307+1)),INDEX(DATAS,Y2307+1)),"")</f>
        <v/>
      </c>
    </row>
    <row r="2308" customFormat="false" ht="15" hidden="false" customHeight="false" outlineLevel="0" collapsed="false">
      <c r="A2308" s="45" t="n">
        <v>46309</v>
      </c>
      <c r="B2308" s="0" t="n">
        <v>8</v>
      </c>
      <c r="C2308" s="0" t="n">
        <v>6600</v>
      </c>
      <c r="E2308" s="0" t="n">
        <v>0</v>
      </c>
      <c r="F2308" s="39" t="s">
        <v>1202</v>
      </c>
      <c r="I2308" s="39" t="s">
        <v>109</v>
      </c>
      <c r="L2308" s="0" t="n">
        <v>70</v>
      </c>
      <c r="U2308" s="0" t="n">
        <v>502</v>
      </c>
      <c r="V2308" s="0" t="n">
        <v>2</v>
      </c>
      <c r="W2308" s="39" t="n">
        <f aca="false">IF(I2308="Male",0,1)</f>
        <v>1</v>
      </c>
      <c r="X2308" s="39" t="n">
        <f aca="false">IF(OR(I2308="DNB",I2308="Dry DNB"),1,0)</f>
        <v>0</v>
      </c>
      <c r="Y2308" s="39" t="n">
        <f aca="false">MATCH(A2308,DATAS,0)</f>
        <v>1</v>
      </c>
      <c r="Z2308" s="39" t="n">
        <f aca="false">IF(AND(E2308&gt;0,OR(AND(B2308&gt;=1,B2308&lt;=6),B2308=10)),1,0)</f>
        <v>0</v>
      </c>
      <c r="AA2308" s="39" t="n">
        <f aca="false">IF(AND(E2308&gt;0,B2308=10),1,0)</f>
        <v>0</v>
      </c>
      <c r="AB2308" s="0" t="str">
        <f aca="false">IF(AND(C2307=C2308,Y2307=Y2308-1),Z2307,"")</f>
        <v/>
      </c>
      <c r="AC2308" s="0" t="str">
        <f aca="false">IF(AND(C2307=C2308,Y2307=Y2308-1),AA2307,"")</f>
        <v/>
      </c>
      <c r="AD2308" s="0" t="str">
        <f aca="false">IF(Y2308=1,"",IF(AND(Z2308=1,AB2308&lt;&gt;1),1,0))</f>
        <v/>
      </c>
      <c r="AE2308" s="0" t="str">
        <f aca="false">IF(Y2308=1,"",IF(AND(AA2308=1,AC2308&lt;&gt;1),1,0))</f>
        <v/>
      </c>
      <c r="AF2308" s="45" t="str">
        <f aca="false">IF(AND(E2308&gt;0,Y2308&lt;1,NOT(AND(C2309=C2308,Y2309=Y2308+1))),INDEX(DATAS,Y2308+1),"")</f>
        <v/>
      </c>
      <c r="AG2308" s="45" t="str">
        <f aca="false">IF(AND(AA2308=1,Y2308&lt;1),IF(AND(C2309=C2308,Y2309=Y2308+1),IF(AA2309=1,"",INDEX(DATAS,Y2308+1)),INDEX(DATAS,Y2308+1)),"")</f>
        <v/>
      </c>
    </row>
    <row r="2309" customFormat="false" ht="15" hidden="false" customHeight="false" outlineLevel="0" collapsed="false">
      <c r="A2309" s="45" t="n">
        <v>46309</v>
      </c>
      <c r="B2309" s="0" t="n">
        <v>8</v>
      </c>
      <c r="C2309" s="0" t="n">
        <v>6601</v>
      </c>
      <c r="E2309" s="0" t="n">
        <v>0</v>
      </c>
      <c r="F2309" s="39" t="s">
        <v>1202</v>
      </c>
      <c r="I2309" s="39" t="s">
        <v>109</v>
      </c>
      <c r="L2309" s="0" t="n">
        <v>103</v>
      </c>
      <c r="U2309" s="0" t="n">
        <v>502</v>
      </c>
      <c r="V2309" s="0" t="n">
        <v>1</v>
      </c>
      <c r="W2309" s="39" t="n">
        <f aca="false">IF(I2309="Male",0,1)</f>
        <v>1</v>
      </c>
      <c r="X2309" s="39" t="n">
        <f aca="false">IF(OR(I2309="DNB",I2309="Dry DNB"),1,0)</f>
        <v>0</v>
      </c>
      <c r="Y2309" s="39" t="n">
        <f aca="false">MATCH(A2309,DATAS,0)</f>
        <v>1</v>
      </c>
      <c r="Z2309" s="39" t="n">
        <f aca="false">IF(AND(E2309&gt;0,OR(AND(B2309&gt;=1,B2309&lt;=6),B2309=10)),1,0)</f>
        <v>0</v>
      </c>
      <c r="AA2309" s="39" t="n">
        <f aca="false">IF(AND(E2309&gt;0,B2309=10),1,0)</f>
        <v>0</v>
      </c>
      <c r="AB2309" s="0" t="str">
        <f aca="false">IF(AND(C2308=C2309,Y2308=Y2309-1),Z2308,"")</f>
        <v/>
      </c>
      <c r="AC2309" s="0" t="str">
        <f aca="false">IF(AND(C2308=C2309,Y2308=Y2309-1),AA2308,"")</f>
        <v/>
      </c>
      <c r="AD2309" s="0" t="str">
        <f aca="false">IF(Y2309=1,"",IF(AND(Z2309=1,AB2309&lt;&gt;1),1,0))</f>
        <v/>
      </c>
      <c r="AE2309" s="0" t="str">
        <f aca="false">IF(Y2309=1,"",IF(AND(AA2309=1,AC2309&lt;&gt;1),1,0))</f>
        <v/>
      </c>
      <c r="AF2309" s="45" t="str">
        <f aca="false">IF(AND(E2309&gt;0,Y2309&lt;1,NOT(AND(C2310=C2309,Y2310=Y2309+1))),INDEX(DATAS,Y2309+1),"")</f>
        <v/>
      </c>
      <c r="AG2309" s="45" t="str">
        <f aca="false">IF(AND(AA2309=1,Y2309&lt;1),IF(AND(C2310=C2309,Y2310=Y2309+1),IF(AA2310=1,"",INDEX(DATAS,Y2309+1)),INDEX(DATAS,Y2309+1)),"")</f>
        <v/>
      </c>
    </row>
    <row r="2310" customFormat="false" ht="15" hidden="false" customHeight="false" outlineLevel="0" collapsed="false">
      <c r="A2310" s="45" t="n">
        <v>46309</v>
      </c>
      <c r="B2310" s="0" t="n">
        <v>8</v>
      </c>
      <c r="C2310" s="0" t="n">
        <v>6602</v>
      </c>
      <c r="E2310" s="0" t="n">
        <v>0</v>
      </c>
      <c r="F2310" s="39" t="s">
        <v>1202</v>
      </c>
      <c r="I2310" s="39" t="s">
        <v>109</v>
      </c>
      <c r="L2310" s="0" t="n">
        <v>89</v>
      </c>
      <c r="U2310" s="0" t="n">
        <v>502</v>
      </c>
      <c r="V2310" s="0" t="n">
        <v>1</v>
      </c>
      <c r="W2310" s="39" t="n">
        <f aca="false">IF(I2310="Male",0,1)</f>
        <v>1</v>
      </c>
      <c r="X2310" s="39" t="n">
        <f aca="false">IF(OR(I2310="DNB",I2310="Dry DNB"),1,0)</f>
        <v>0</v>
      </c>
      <c r="Y2310" s="39" t="n">
        <f aca="false">MATCH(A2310,DATAS,0)</f>
        <v>1</v>
      </c>
      <c r="Z2310" s="39" t="n">
        <f aca="false">IF(AND(E2310&gt;0,OR(AND(B2310&gt;=1,B2310&lt;=6),B2310=10)),1,0)</f>
        <v>0</v>
      </c>
      <c r="AA2310" s="39" t="n">
        <f aca="false">IF(AND(E2310&gt;0,B2310=10),1,0)</f>
        <v>0</v>
      </c>
      <c r="AB2310" s="0" t="str">
        <f aca="false">IF(AND(C2309=C2310,Y2309=Y2310-1),Z2309,"")</f>
        <v/>
      </c>
      <c r="AC2310" s="0" t="str">
        <f aca="false">IF(AND(C2309=C2310,Y2309=Y2310-1),AA2309,"")</f>
        <v/>
      </c>
      <c r="AD2310" s="0" t="str">
        <f aca="false">IF(Y2310=1,"",IF(AND(Z2310=1,AB2310&lt;&gt;1),1,0))</f>
        <v/>
      </c>
      <c r="AE2310" s="0" t="str">
        <f aca="false">IF(Y2310=1,"",IF(AND(AA2310=1,AC2310&lt;&gt;1),1,0))</f>
        <v/>
      </c>
      <c r="AF2310" s="45" t="str">
        <f aca="false">IF(AND(E2310&gt;0,Y2310&lt;1,NOT(AND(C2311=C2310,Y2311=Y2310+1))),INDEX(DATAS,Y2310+1),"")</f>
        <v/>
      </c>
      <c r="AG2310" s="45" t="str">
        <f aca="false">IF(AND(AA2310=1,Y2310&lt;1),IF(AND(C2311=C2310,Y2311=Y2310+1),IF(AA2311=1,"",INDEX(DATAS,Y2310+1)),INDEX(DATAS,Y2310+1)),"")</f>
        <v/>
      </c>
    </row>
    <row r="2311" customFormat="false" ht="15" hidden="false" customHeight="false" outlineLevel="0" collapsed="false">
      <c r="A2311" s="45" t="n">
        <v>46309</v>
      </c>
      <c r="B2311" s="0" t="n">
        <v>8</v>
      </c>
      <c r="C2311" s="0" t="n">
        <v>6603</v>
      </c>
      <c r="E2311" s="0" t="n">
        <v>0</v>
      </c>
      <c r="F2311" s="39" t="s">
        <v>1202</v>
      </c>
      <c r="I2311" s="39" t="s">
        <v>109</v>
      </c>
      <c r="L2311" s="0" t="n">
        <v>104</v>
      </c>
      <c r="U2311" s="0" t="n">
        <v>502</v>
      </c>
      <c r="V2311" s="0" t="n">
        <v>1</v>
      </c>
      <c r="W2311" s="39" t="n">
        <f aca="false">IF(I2311="Male",0,1)</f>
        <v>1</v>
      </c>
      <c r="X2311" s="39" t="n">
        <f aca="false">IF(OR(I2311="DNB",I2311="Dry DNB"),1,0)</f>
        <v>0</v>
      </c>
      <c r="Y2311" s="39" t="n">
        <f aca="false">MATCH(A2311,DATAS,0)</f>
        <v>1</v>
      </c>
      <c r="Z2311" s="39" t="n">
        <f aca="false">IF(AND(E2311&gt;0,OR(AND(B2311&gt;=1,B2311&lt;=6),B2311=10)),1,0)</f>
        <v>0</v>
      </c>
      <c r="AA2311" s="39" t="n">
        <f aca="false">IF(AND(E2311&gt;0,B2311=10),1,0)</f>
        <v>0</v>
      </c>
      <c r="AB2311" s="0" t="str">
        <f aca="false">IF(AND(C2310=C2311,Y2310=Y2311-1),Z2310,"")</f>
        <v/>
      </c>
      <c r="AC2311" s="0" t="str">
        <f aca="false">IF(AND(C2310=C2311,Y2310=Y2311-1),AA2310,"")</f>
        <v/>
      </c>
      <c r="AD2311" s="0" t="str">
        <f aca="false">IF(Y2311=1,"",IF(AND(Z2311=1,AB2311&lt;&gt;1),1,0))</f>
        <v/>
      </c>
      <c r="AE2311" s="0" t="str">
        <f aca="false">IF(Y2311=1,"",IF(AND(AA2311=1,AC2311&lt;&gt;1),1,0))</f>
        <v/>
      </c>
      <c r="AF2311" s="45" t="str">
        <f aca="false">IF(AND(E2311&gt;0,Y2311&lt;1,NOT(AND(C2312=C2311,Y2312=Y2311+1))),INDEX(DATAS,Y2311+1),"")</f>
        <v/>
      </c>
      <c r="AG2311" s="45" t="str">
        <f aca="false">IF(AND(AA2311=1,Y2311&lt;1),IF(AND(C2312=C2311,Y2312=Y2311+1),IF(AA2312=1,"",INDEX(DATAS,Y2311+1)),INDEX(DATAS,Y2311+1)),"")</f>
        <v/>
      </c>
    </row>
    <row r="2312" customFormat="false" ht="15" hidden="false" customHeight="false" outlineLevel="0" collapsed="false">
      <c r="A2312" s="45" t="n">
        <v>46309</v>
      </c>
      <c r="B2312" s="0" t="n">
        <v>8</v>
      </c>
      <c r="C2312" s="0" t="n">
        <v>6604</v>
      </c>
      <c r="E2312" s="0" t="n">
        <v>0</v>
      </c>
      <c r="F2312" s="39" t="s">
        <v>1202</v>
      </c>
      <c r="I2312" s="39" t="s">
        <v>109</v>
      </c>
      <c r="L2312" s="0" t="n">
        <v>70</v>
      </c>
      <c r="U2312" s="0" t="n">
        <v>502</v>
      </c>
      <c r="V2312" s="0" t="n">
        <v>1</v>
      </c>
      <c r="W2312" s="39" t="n">
        <f aca="false">IF(I2312="Male",0,1)</f>
        <v>1</v>
      </c>
      <c r="X2312" s="39" t="n">
        <f aca="false">IF(OR(I2312="DNB",I2312="Dry DNB"),1,0)</f>
        <v>0</v>
      </c>
      <c r="Y2312" s="39" t="n">
        <f aca="false">MATCH(A2312,DATAS,0)</f>
        <v>1</v>
      </c>
      <c r="Z2312" s="39" t="n">
        <f aca="false">IF(AND(E2312&gt;0,OR(AND(B2312&gt;=1,B2312&lt;=6),B2312=10)),1,0)</f>
        <v>0</v>
      </c>
      <c r="AA2312" s="39" t="n">
        <f aca="false">IF(AND(E2312&gt;0,B2312=10),1,0)</f>
        <v>0</v>
      </c>
      <c r="AB2312" s="0" t="str">
        <f aca="false">IF(AND(C2311=C2312,Y2311=Y2312-1),Z2311,"")</f>
        <v/>
      </c>
      <c r="AC2312" s="0" t="str">
        <f aca="false">IF(AND(C2311=C2312,Y2311=Y2312-1),AA2311,"")</f>
        <v/>
      </c>
      <c r="AD2312" s="0" t="str">
        <f aca="false">IF(Y2312=1,"",IF(AND(Z2312=1,AB2312&lt;&gt;1),1,0))</f>
        <v/>
      </c>
      <c r="AE2312" s="0" t="str">
        <f aca="false">IF(Y2312=1,"",IF(AND(AA2312=1,AC2312&lt;&gt;1),1,0))</f>
        <v/>
      </c>
      <c r="AF2312" s="45" t="str">
        <f aca="false">IF(AND(E2312&gt;0,Y2312&lt;1,NOT(AND(C2313=C2312,Y2313=Y2312+1))),INDEX(DATAS,Y2312+1),"")</f>
        <v/>
      </c>
      <c r="AG2312" s="45" t="str">
        <f aca="false">IF(AND(AA2312=1,Y2312&lt;1),IF(AND(C2313=C2312,Y2313=Y2312+1),IF(AA2313=1,"",INDEX(DATAS,Y2312+1)),INDEX(DATAS,Y2312+1)),"")</f>
        <v/>
      </c>
    </row>
    <row r="2313" customFormat="false" ht="15" hidden="false" customHeight="false" outlineLevel="0" collapsed="false">
      <c r="A2313" s="45" t="n">
        <v>46309</v>
      </c>
      <c r="B2313" s="0" t="n">
        <v>8</v>
      </c>
      <c r="C2313" s="0" t="n">
        <v>6605</v>
      </c>
      <c r="E2313" s="0" t="n">
        <v>0</v>
      </c>
      <c r="F2313" s="39" t="s">
        <v>1202</v>
      </c>
      <c r="I2313" s="39" t="s">
        <v>109</v>
      </c>
      <c r="L2313" s="0" t="n">
        <v>81</v>
      </c>
      <c r="U2313" s="0" t="n">
        <v>502</v>
      </c>
      <c r="V2313" s="0" t="n">
        <v>2</v>
      </c>
      <c r="W2313" s="39" t="n">
        <f aca="false">IF(I2313="Male",0,1)</f>
        <v>1</v>
      </c>
      <c r="X2313" s="39" t="n">
        <f aca="false">IF(OR(I2313="DNB",I2313="Dry DNB"),1,0)</f>
        <v>0</v>
      </c>
      <c r="Y2313" s="39" t="n">
        <f aca="false">MATCH(A2313,DATAS,0)</f>
        <v>1</v>
      </c>
      <c r="Z2313" s="39" t="n">
        <f aca="false">IF(AND(E2313&gt;0,OR(AND(B2313&gt;=1,B2313&lt;=6),B2313=10)),1,0)</f>
        <v>0</v>
      </c>
      <c r="AA2313" s="39" t="n">
        <f aca="false">IF(AND(E2313&gt;0,B2313=10),1,0)</f>
        <v>0</v>
      </c>
      <c r="AB2313" s="0" t="str">
        <f aca="false">IF(AND(C2312=C2313,Y2312=Y2313-1),Z2312,"")</f>
        <v/>
      </c>
      <c r="AC2313" s="0" t="str">
        <f aca="false">IF(AND(C2312=C2313,Y2312=Y2313-1),AA2312,"")</f>
        <v/>
      </c>
      <c r="AD2313" s="0" t="str">
        <f aca="false">IF(Y2313=1,"",IF(AND(Z2313=1,AB2313&lt;&gt;1),1,0))</f>
        <v/>
      </c>
      <c r="AE2313" s="0" t="str">
        <f aca="false">IF(Y2313=1,"",IF(AND(AA2313=1,AC2313&lt;&gt;1),1,0))</f>
        <v/>
      </c>
      <c r="AF2313" s="45" t="str">
        <f aca="false">IF(AND(E2313&gt;0,Y2313&lt;1,NOT(AND(C2314=C2313,Y2314=Y2313+1))),INDEX(DATAS,Y2313+1),"")</f>
        <v/>
      </c>
      <c r="AG2313" s="45" t="str">
        <f aca="false">IF(AND(AA2313=1,Y2313&lt;1),IF(AND(C2314=C2313,Y2314=Y2313+1),IF(AA2314=1,"",INDEX(DATAS,Y2313+1)),INDEX(DATAS,Y2313+1)),"")</f>
        <v/>
      </c>
    </row>
    <row r="2314" customFormat="false" ht="15" hidden="false" customHeight="false" outlineLevel="0" collapsed="false">
      <c r="A2314" s="45" t="n">
        <v>46309</v>
      </c>
      <c r="B2314" s="0" t="n">
        <v>8</v>
      </c>
      <c r="C2314" s="0" t="n">
        <v>6607</v>
      </c>
      <c r="E2314" s="0" t="n">
        <v>0</v>
      </c>
      <c r="F2314" s="39" t="s">
        <v>1203</v>
      </c>
      <c r="I2314" s="39" t="s">
        <v>109</v>
      </c>
      <c r="L2314" s="0" t="n">
        <v>106</v>
      </c>
      <c r="U2314" s="0" t="n">
        <v>501</v>
      </c>
      <c r="V2314" s="0" t="n">
        <v>1</v>
      </c>
      <c r="W2314" s="39" t="n">
        <f aca="false">IF(I2314="Male",0,1)</f>
        <v>1</v>
      </c>
      <c r="X2314" s="39" t="n">
        <f aca="false">IF(OR(I2314="DNB",I2314="Dry DNB"),1,0)</f>
        <v>0</v>
      </c>
      <c r="Y2314" s="39" t="n">
        <f aca="false">MATCH(A2314,DATAS,0)</f>
        <v>1</v>
      </c>
      <c r="Z2314" s="39" t="n">
        <f aca="false">IF(AND(E2314&gt;0,OR(AND(B2314&gt;=1,B2314&lt;=6),B2314=10)),1,0)</f>
        <v>0</v>
      </c>
      <c r="AA2314" s="39" t="n">
        <f aca="false">IF(AND(E2314&gt;0,B2314=10),1,0)</f>
        <v>0</v>
      </c>
      <c r="AB2314" s="0" t="str">
        <f aca="false">IF(AND(C2313=C2314,Y2313=Y2314-1),Z2313,"")</f>
        <v/>
      </c>
      <c r="AC2314" s="0" t="str">
        <f aca="false">IF(AND(C2313=C2314,Y2313=Y2314-1),AA2313,"")</f>
        <v/>
      </c>
      <c r="AD2314" s="0" t="str">
        <f aca="false">IF(Y2314=1,"",IF(AND(Z2314=1,AB2314&lt;&gt;1),1,0))</f>
        <v/>
      </c>
      <c r="AE2314" s="0" t="str">
        <f aca="false">IF(Y2314=1,"",IF(AND(AA2314=1,AC2314&lt;&gt;1),1,0))</f>
        <v/>
      </c>
      <c r="AF2314" s="45" t="str">
        <f aca="false">IF(AND(E2314&gt;0,Y2314&lt;1,NOT(AND(C2315=C2314,Y2315=Y2314+1))),INDEX(DATAS,Y2314+1),"")</f>
        <v/>
      </c>
      <c r="AG2314" s="45" t="str">
        <f aca="false">IF(AND(AA2314=1,Y2314&lt;1),IF(AND(C2315=C2314,Y2315=Y2314+1),IF(AA2315=1,"",INDEX(DATAS,Y2314+1)),INDEX(DATAS,Y2314+1)),"")</f>
        <v/>
      </c>
    </row>
    <row r="2315" customFormat="false" ht="15" hidden="false" customHeight="false" outlineLevel="0" collapsed="false">
      <c r="A2315" s="45" t="n">
        <v>46309</v>
      </c>
      <c r="B2315" s="0" t="n">
        <v>8</v>
      </c>
      <c r="C2315" s="0" t="n">
        <v>6608</v>
      </c>
      <c r="E2315" s="0" t="n">
        <v>0</v>
      </c>
      <c r="F2315" s="39" t="s">
        <v>1204</v>
      </c>
      <c r="I2315" s="39" t="s">
        <v>109</v>
      </c>
      <c r="L2315" s="0" t="n">
        <v>72</v>
      </c>
      <c r="U2315" s="0" t="n">
        <v>500</v>
      </c>
      <c r="V2315" s="0" t="n">
        <v>1</v>
      </c>
      <c r="W2315" s="39" t="n">
        <f aca="false">IF(I2315="Male",0,1)</f>
        <v>1</v>
      </c>
      <c r="X2315" s="39" t="n">
        <f aca="false">IF(OR(I2315="DNB",I2315="Dry DNB"),1,0)</f>
        <v>0</v>
      </c>
      <c r="Y2315" s="39" t="n">
        <f aca="false">MATCH(A2315,DATAS,0)</f>
        <v>1</v>
      </c>
      <c r="Z2315" s="39" t="n">
        <f aca="false">IF(AND(E2315&gt;0,OR(AND(B2315&gt;=1,B2315&lt;=6),B2315=10)),1,0)</f>
        <v>0</v>
      </c>
      <c r="AA2315" s="39" t="n">
        <f aca="false">IF(AND(E2315&gt;0,B2315=10),1,0)</f>
        <v>0</v>
      </c>
      <c r="AB2315" s="0" t="str">
        <f aca="false">IF(AND(C2314=C2315,Y2314=Y2315-1),Z2314,"")</f>
        <v/>
      </c>
      <c r="AC2315" s="0" t="str">
        <f aca="false">IF(AND(C2314=C2315,Y2314=Y2315-1),AA2314,"")</f>
        <v/>
      </c>
      <c r="AD2315" s="0" t="str">
        <f aca="false">IF(Y2315=1,"",IF(AND(Z2315=1,AB2315&lt;&gt;1),1,0))</f>
        <v/>
      </c>
      <c r="AE2315" s="0" t="str">
        <f aca="false">IF(Y2315=1,"",IF(AND(AA2315=1,AC2315&lt;&gt;1),1,0))</f>
        <v/>
      </c>
      <c r="AF2315" s="45" t="str">
        <f aca="false">IF(AND(E2315&gt;0,Y2315&lt;1,NOT(AND(C2316=C2315,Y2316=Y2315+1))),INDEX(DATAS,Y2315+1),"")</f>
        <v/>
      </c>
      <c r="AG2315" s="45" t="str">
        <f aca="false">IF(AND(AA2315=1,Y2315&lt;1),IF(AND(C2316=C2315,Y2316=Y2315+1),IF(AA2316=1,"",INDEX(DATAS,Y2315+1)),INDEX(DATAS,Y2315+1)),"")</f>
        <v/>
      </c>
    </row>
    <row r="2316" customFormat="false" ht="15" hidden="false" customHeight="false" outlineLevel="0" collapsed="false">
      <c r="A2316" s="45" t="n">
        <v>46309</v>
      </c>
      <c r="B2316" s="0" t="n">
        <v>8</v>
      </c>
      <c r="C2316" s="0" t="n">
        <v>6609</v>
      </c>
      <c r="E2316" s="0" t="n">
        <v>0</v>
      </c>
      <c r="F2316" s="39" t="s">
        <v>1203</v>
      </c>
      <c r="I2316" s="39" t="s">
        <v>109</v>
      </c>
      <c r="L2316" s="0" t="n">
        <v>103</v>
      </c>
      <c r="U2316" s="0" t="n">
        <v>501</v>
      </c>
      <c r="V2316" s="0" t="n">
        <v>1</v>
      </c>
      <c r="W2316" s="39" t="n">
        <f aca="false">IF(I2316="Male",0,1)</f>
        <v>1</v>
      </c>
      <c r="X2316" s="39" t="n">
        <f aca="false">IF(OR(I2316="DNB",I2316="Dry DNB"),1,0)</f>
        <v>0</v>
      </c>
      <c r="Y2316" s="39" t="n">
        <f aca="false">MATCH(A2316,DATAS,0)</f>
        <v>1</v>
      </c>
      <c r="Z2316" s="39" t="n">
        <f aca="false">IF(AND(E2316&gt;0,OR(AND(B2316&gt;=1,B2316&lt;=6),B2316=10)),1,0)</f>
        <v>0</v>
      </c>
      <c r="AA2316" s="39" t="n">
        <f aca="false">IF(AND(E2316&gt;0,B2316=10),1,0)</f>
        <v>0</v>
      </c>
      <c r="AB2316" s="0" t="str">
        <f aca="false">IF(AND(C2315=C2316,Y2315=Y2316-1),Z2315,"")</f>
        <v/>
      </c>
      <c r="AC2316" s="0" t="str">
        <f aca="false">IF(AND(C2315=C2316,Y2315=Y2316-1),AA2315,"")</f>
        <v/>
      </c>
      <c r="AD2316" s="0" t="str">
        <f aca="false">IF(Y2316=1,"",IF(AND(Z2316=1,AB2316&lt;&gt;1),1,0))</f>
        <v/>
      </c>
      <c r="AE2316" s="0" t="str">
        <f aca="false">IF(Y2316=1,"",IF(AND(AA2316=1,AC2316&lt;&gt;1),1,0))</f>
        <v/>
      </c>
      <c r="AF2316" s="45" t="str">
        <f aca="false">IF(AND(E2316&gt;0,Y2316&lt;1,NOT(AND(C2317=C2316,Y2317=Y2316+1))),INDEX(DATAS,Y2316+1),"")</f>
        <v/>
      </c>
      <c r="AG2316" s="45" t="str">
        <f aca="false">IF(AND(AA2316=1,Y2316&lt;1),IF(AND(C2317=C2316,Y2317=Y2316+1),IF(AA2317=1,"",INDEX(DATAS,Y2316+1)),INDEX(DATAS,Y2316+1)),"")</f>
        <v/>
      </c>
    </row>
    <row r="2317" customFormat="false" ht="15" hidden="false" customHeight="false" outlineLevel="0" collapsed="false">
      <c r="A2317" s="45" t="n">
        <v>46309</v>
      </c>
      <c r="B2317" s="0" t="n">
        <v>8</v>
      </c>
      <c r="C2317" s="0" t="n">
        <v>6611</v>
      </c>
      <c r="E2317" s="0" t="n">
        <v>0</v>
      </c>
      <c r="F2317" s="39" t="s">
        <v>1203</v>
      </c>
      <c r="I2317" s="39" t="s">
        <v>109</v>
      </c>
      <c r="L2317" s="0" t="n">
        <v>72</v>
      </c>
      <c r="U2317" s="0" t="n">
        <v>501</v>
      </c>
      <c r="V2317" s="0" t="n">
        <v>2</v>
      </c>
      <c r="W2317" s="39" t="n">
        <f aca="false">IF(I2317="Male",0,1)</f>
        <v>1</v>
      </c>
      <c r="X2317" s="39" t="n">
        <f aca="false">IF(OR(I2317="DNB",I2317="Dry DNB"),1,0)</f>
        <v>0</v>
      </c>
      <c r="Y2317" s="39" t="n">
        <f aca="false">MATCH(A2317,DATAS,0)</f>
        <v>1</v>
      </c>
      <c r="Z2317" s="39" t="n">
        <f aca="false">IF(AND(E2317&gt;0,OR(AND(B2317&gt;=1,B2317&lt;=6),B2317=10)),1,0)</f>
        <v>0</v>
      </c>
      <c r="AA2317" s="39" t="n">
        <f aca="false">IF(AND(E2317&gt;0,B2317=10),1,0)</f>
        <v>0</v>
      </c>
      <c r="AB2317" s="0" t="str">
        <f aca="false">IF(AND(C2316=C2317,Y2316=Y2317-1),Z2316,"")</f>
        <v/>
      </c>
      <c r="AC2317" s="0" t="str">
        <f aca="false">IF(AND(C2316=C2317,Y2316=Y2317-1),AA2316,"")</f>
        <v/>
      </c>
      <c r="AD2317" s="0" t="str">
        <f aca="false">IF(Y2317=1,"",IF(AND(Z2317=1,AB2317&lt;&gt;1),1,0))</f>
        <v/>
      </c>
      <c r="AE2317" s="0" t="str">
        <f aca="false">IF(Y2317=1,"",IF(AND(AA2317=1,AC2317&lt;&gt;1),1,0))</f>
        <v/>
      </c>
      <c r="AF2317" s="45" t="str">
        <f aca="false">IF(AND(E2317&gt;0,Y2317&lt;1,NOT(AND(C2318=C2317,Y2318=Y2317+1))),INDEX(DATAS,Y2317+1),"")</f>
        <v/>
      </c>
      <c r="AG2317" s="45" t="str">
        <f aca="false">IF(AND(AA2317=1,Y2317&lt;1),IF(AND(C2318=C2317,Y2318=Y2317+1),IF(AA2318=1,"",INDEX(DATAS,Y2317+1)),INDEX(DATAS,Y2317+1)),"")</f>
        <v/>
      </c>
    </row>
    <row r="2318" customFormat="false" ht="15" hidden="false" customHeight="false" outlineLevel="0" collapsed="false">
      <c r="A2318" s="45" t="n">
        <v>46309</v>
      </c>
      <c r="B2318" s="0" t="n">
        <v>8</v>
      </c>
      <c r="C2318" s="0" t="n">
        <v>6613</v>
      </c>
      <c r="E2318" s="0" t="n">
        <v>0</v>
      </c>
      <c r="F2318" s="39" t="s">
        <v>1205</v>
      </c>
      <c r="I2318" s="39" t="s">
        <v>109</v>
      </c>
      <c r="L2318" s="0" t="n">
        <v>63</v>
      </c>
      <c r="U2318" s="0" t="n">
        <v>499</v>
      </c>
      <c r="V2318" s="0" t="n">
        <v>1</v>
      </c>
      <c r="W2318" s="39" t="n">
        <f aca="false">IF(I2318="Male",0,1)</f>
        <v>1</v>
      </c>
      <c r="X2318" s="39" t="n">
        <f aca="false">IF(OR(I2318="DNB",I2318="Dry DNB"),1,0)</f>
        <v>0</v>
      </c>
      <c r="Y2318" s="39" t="n">
        <f aca="false">MATCH(A2318,DATAS,0)</f>
        <v>1</v>
      </c>
      <c r="Z2318" s="39" t="n">
        <f aca="false">IF(AND(E2318&gt;0,OR(AND(B2318&gt;=1,B2318&lt;=6),B2318=10)),1,0)</f>
        <v>0</v>
      </c>
      <c r="AA2318" s="39" t="n">
        <f aca="false">IF(AND(E2318&gt;0,B2318=10),1,0)</f>
        <v>0</v>
      </c>
      <c r="AB2318" s="0" t="str">
        <f aca="false">IF(AND(C2317=C2318,Y2317=Y2318-1),Z2317,"")</f>
        <v/>
      </c>
      <c r="AC2318" s="0" t="str">
        <f aca="false">IF(AND(C2317=C2318,Y2317=Y2318-1),AA2317,"")</f>
        <v/>
      </c>
      <c r="AD2318" s="0" t="str">
        <f aca="false">IF(Y2318=1,"",IF(AND(Z2318=1,AB2318&lt;&gt;1),1,0))</f>
        <v/>
      </c>
      <c r="AE2318" s="0" t="str">
        <f aca="false">IF(Y2318=1,"",IF(AND(AA2318=1,AC2318&lt;&gt;1),1,0))</f>
        <v/>
      </c>
      <c r="AF2318" s="45" t="str">
        <f aca="false">IF(AND(E2318&gt;0,Y2318&lt;1,NOT(AND(C2319=C2318,Y2319=Y2318+1))),INDEX(DATAS,Y2318+1),"")</f>
        <v/>
      </c>
      <c r="AG2318" s="45" t="str">
        <f aca="false">IF(AND(AA2318=1,Y2318&lt;1),IF(AND(C2319=C2318,Y2319=Y2318+1),IF(AA2319=1,"",INDEX(DATAS,Y2318+1)),INDEX(DATAS,Y2318+1)),"")</f>
        <v/>
      </c>
    </row>
    <row r="2319" customFormat="false" ht="15" hidden="false" customHeight="false" outlineLevel="0" collapsed="false">
      <c r="A2319" s="45" t="n">
        <v>46309</v>
      </c>
      <c r="B2319" s="0" t="n">
        <v>8</v>
      </c>
      <c r="C2319" s="0" t="n">
        <v>6614</v>
      </c>
      <c r="E2319" s="0" t="n">
        <v>0</v>
      </c>
      <c r="F2319" s="39" t="s">
        <v>1205</v>
      </c>
      <c r="I2319" s="39" t="s">
        <v>109</v>
      </c>
      <c r="L2319" s="0" t="n">
        <v>84</v>
      </c>
      <c r="U2319" s="0" t="n">
        <v>499</v>
      </c>
      <c r="V2319" s="0" t="n">
        <v>1</v>
      </c>
      <c r="W2319" s="39" t="n">
        <f aca="false">IF(I2319="Male",0,1)</f>
        <v>1</v>
      </c>
      <c r="X2319" s="39" t="n">
        <f aca="false">IF(OR(I2319="DNB",I2319="Dry DNB"),1,0)</f>
        <v>0</v>
      </c>
      <c r="Y2319" s="39" t="n">
        <f aca="false">MATCH(A2319,DATAS,0)</f>
        <v>1</v>
      </c>
      <c r="Z2319" s="39" t="n">
        <f aca="false">IF(AND(E2319&gt;0,OR(AND(B2319&gt;=1,B2319&lt;=6),B2319=10)),1,0)</f>
        <v>0</v>
      </c>
      <c r="AA2319" s="39" t="n">
        <f aca="false">IF(AND(E2319&gt;0,B2319=10),1,0)</f>
        <v>0</v>
      </c>
      <c r="AB2319" s="0" t="str">
        <f aca="false">IF(AND(C2318=C2319,Y2318=Y2319-1),Z2318,"")</f>
        <v/>
      </c>
      <c r="AC2319" s="0" t="str">
        <f aca="false">IF(AND(C2318=C2319,Y2318=Y2319-1),AA2318,"")</f>
        <v/>
      </c>
      <c r="AD2319" s="0" t="str">
        <f aca="false">IF(Y2319=1,"",IF(AND(Z2319=1,AB2319&lt;&gt;1),1,0))</f>
        <v/>
      </c>
      <c r="AE2319" s="0" t="str">
        <f aca="false">IF(Y2319=1,"",IF(AND(AA2319=1,AC2319&lt;&gt;1),1,0))</f>
        <v/>
      </c>
      <c r="AF2319" s="45" t="str">
        <f aca="false">IF(AND(E2319&gt;0,Y2319&lt;1,NOT(AND(C2320=C2319,Y2320=Y2319+1))),INDEX(DATAS,Y2319+1),"")</f>
        <v/>
      </c>
      <c r="AG2319" s="45" t="str">
        <f aca="false">IF(AND(AA2319=1,Y2319&lt;1),IF(AND(C2320=C2319,Y2320=Y2319+1),IF(AA2320=1,"",INDEX(DATAS,Y2319+1)),INDEX(DATAS,Y2319+1)),"")</f>
        <v/>
      </c>
    </row>
    <row r="2320" customFormat="false" ht="15" hidden="false" customHeight="false" outlineLevel="0" collapsed="false">
      <c r="A2320" s="45" t="n">
        <v>46309</v>
      </c>
      <c r="B2320" s="0" t="n">
        <v>8</v>
      </c>
      <c r="C2320" s="0" t="n">
        <v>6615</v>
      </c>
      <c r="E2320" s="0" t="n">
        <v>0</v>
      </c>
      <c r="F2320" s="39" t="s">
        <v>1206</v>
      </c>
      <c r="I2320" s="39" t="s">
        <v>109</v>
      </c>
      <c r="L2320" s="0" t="n">
        <v>62</v>
      </c>
      <c r="U2320" s="0" t="n">
        <v>498</v>
      </c>
      <c r="V2320" s="0" t="n">
        <v>1</v>
      </c>
      <c r="W2320" s="39" t="n">
        <f aca="false">IF(I2320="Male",0,1)</f>
        <v>1</v>
      </c>
      <c r="X2320" s="39" t="n">
        <f aca="false">IF(OR(I2320="DNB",I2320="Dry DNB"),1,0)</f>
        <v>0</v>
      </c>
      <c r="Y2320" s="39" t="n">
        <f aca="false">MATCH(A2320,DATAS,0)</f>
        <v>1</v>
      </c>
      <c r="Z2320" s="39" t="n">
        <f aca="false">IF(AND(E2320&gt;0,OR(AND(B2320&gt;=1,B2320&lt;=6),B2320=10)),1,0)</f>
        <v>0</v>
      </c>
      <c r="AA2320" s="39" t="n">
        <f aca="false">IF(AND(E2320&gt;0,B2320=10),1,0)</f>
        <v>0</v>
      </c>
      <c r="AB2320" s="0" t="str">
        <f aca="false">IF(AND(C2319=C2320,Y2319=Y2320-1),Z2319,"")</f>
        <v/>
      </c>
      <c r="AC2320" s="0" t="str">
        <f aca="false">IF(AND(C2319=C2320,Y2319=Y2320-1),AA2319,"")</f>
        <v/>
      </c>
      <c r="AD2320" s="0" t="str">
        <f aca="false">IF(Y2320=1,"",IF(AND(Z2320=1,AB2320&lt;&gt;1),1,0))</f>
        <v/>
      </c>
      <c r="AE2320" s="0" t="str">
        <f aca="false">IF(Y2320=1,"",IF(AND(AA2320=1,AC2320&lt;&gt;1),1,0))</f>
        <v/>
      </c>
      <c r="AF2320" s="45" t="str">
        <f aca="false">IF(AND(E2320&gt;0,Y2320&lt;1,NOT(AND(C2321=C2320,Y2321=Y2320+1))),INDEX(DATAS,Y2320+1),"")</f>
        <v/>
      </c>
      <c r="AG2320" s="45" t="str">
        <f aca="false">IF(AND(AA2320=1,Y2320&lt;1),IF(AND(C2321=C2320,Y2321=Y2320+1),IF(AA2321=1,"",INDEX(DATAS,Y2320+1)),INDEX(DATAS,Y2320+1)),"")</f>
        <v/>
      </c>
    </row>
    <row r="2321" customFormat="false" ht="15" hidden="false" customHeight="false" outlineLevel="0" collapsed="false">
      <c r="A2321" s="45" t="n">
        <v>46309</v>
      </c>
      <c r="B2321" s="0" t="n">
        <v>8</v>
      </c>
      <c r="C2321" s="0" t="n">
        <v>6616</v>
      </c>
      <c r="E2321" s="0" t="n">
        <v>0</v>
      </c>
      <c r="F2321" s="39" t="s">
        <v>1206</v>
      </c>
      <c r="I2321" s="39" t="s">
        <v>109</v>
      </c>
      <c r="L2321" s="0" t="n">
        <v>77</v>
      </c>
      <c r="U2321" s="0" t="n">
        <v>498</v>
      </c>
      <c r="V2321" s="0" t="n">
        <v>1</v>
      </c>
      <c r="W2321" s="39" t="n">
        <f aca="false">IF(I2321="Male",0,1)</f>
        <v>1</v>
      </c>
      <c r="X2321" s="39" t="n">
        <f aca="false">IF(OR(I2321="DNB",I2321="Dry DNB"),1,0)</f>
        <v>0</v>
      </c>
      <c r="Y2321" s="39" t="n">
        <f aca="false">MATCH(A2321,DATAS,0)</f>
        <v>1</v>
      </c>
      <c r="Z2321" s="39" t="n">
        <f aca="false">IF(AND(E2321&gt;0,OR(AND(B2321&gt;=1,B2321&lt;=6),B2321=10)),1,0)</f>
        <v>0</v>
      </c>
      <c r="AA2321" s="39" t="n">
        <f aca="false">IF(AND(E2321&gt;0,B2321=10),1,0)</f>
        <v>0</v>
      </c>
      <c r="AB2321" s="0" t="str">
        <f aca="false">IF(AND(C2320=C2321,Y2320=Y2321-1),Z2320,"")</f>
        <v/>
      </c>
      <c r="AC2321" s="0" t="str">
        <f aca="false">IF(AND(C2320=C2321,Y2320=Y2321-1),AA2320,"")</f>
        <v/>
      </c>
      <c r="AD2321" s="0" t="str">
        <f aca="false">IF(Y2321=1,"",IF(AND(Z2321=1,AB2321&lt;&gt;1),1,0))</f>
        <v/>
      </c>
      <c r="AE2321" s="0" t="str">
        <f aca="false">IF(Y2321=1,"",IF(AND(AA2321=1,AC2321&lt;&gt;1),1,0))</f>
        <v/>
      </c>
      <c r="AF2321" s="45" t="str">
        <f aca="false">IF(AND(E2321&gt;0,Y2321&lt;1,NOT(AND(C2322=C2321,Y2322=Y2321+1))),INDEX(DATAS,Y2321+1),"")</f>
        <v/>
      </c>
      <c r="AG2321" s="45" t="str">
        <f aca="false">IF(AND(AA2321=1,Y2321&lt;1),IF(AND(C2322=C2321,Y2322=Y2321+1),IF(AA2322=1,"",INDEX(DATAS,Y2321+1)),INDEX(DATAS,Y2321+1)),"")</f>
        <v/>
      </c>
    </row>
    <row r="2322" customFormat="false" ht="15" hidden="false" customHeight="false" outlineLevel="0" collapsed="false">
      <c r="A2322" s="45" t="n">
        <v>46309</v>
      </c>
      <c r="B2322" s="0" t="n">
        <v>8</v>
      </c>
      <c r="C2322" s="0" t="n">
        <v>6617</v>
      </c>
      <c r="E2322" s="0" t="n">
        <v>0</v>
      </c>
      <c r="F2322" s="39" t="s">
        <v>1206</v>
      </c>
      <c r="I2322" s="39" t="s">
        <v>109</v>
      </c>
      <c r="L2322" s="0" t="n">
        <v>98</v>
      </c>
      <c r="U2322" s="0" t="n">
        <v>498</v>
      </c>
      <c r="V2322" s="0" t="n">
        <v>1</v>
      </c>
      <c r="W2322" s="39" t="n">
        <f aca="false">IF(I2322="Male",0,1)</f>
        <v>1</v>
      </c>
      <c r="X2322" s="39" t="n">
        <f aca="false">IF(OR(I2322="DNB",I2322="Dry DNB"),1,0)</f>
        <v>0</v>
      </c>
      <c r="Y2322" s="39" t="n">
        <f aca="false">MATCH(A2322,DATAS,0)</f>
        <v>1</v>
      </c>
      <c r="Z2322" s="39" t="n">
        <f aca="false">IF(AND(E2322&gt;0,OR(AND(B2322&gt;=1,B2322&lt;=6),B2322=10)),1,0)</f>
        <v>0</v>
      </c>
      <c r="AA2322" s="39" t="n">
        <f aca="false">IF(AND(E2322&gt;0,B2322=10),1,0)</f>
        <v>0</v>
      </c>
      <c r="AB2322" s="0" t="str">
        <f aca="false">IF(AND(C2321=C2322,Y2321=Y2322-1),Z2321,"")</f>
        <v/>
      </c>
      <c r="AC2322" s="0" t="str">
        <f aca="false">IF(AND(C2321=C2322,Y2321=Y2322-1),AA2321,"")</f>
        <v/>
      </c>
      <c r="AD2322" s="0" t="str">
        <f aca="false">IF(Y2322=1,"",IF(AND(Z2322=1,AB2322&lt;&gt;1),1,0))</f>
        <v/>
      </c>
      <c r="AE2322" s="0" t="str">
        <f aca="false">IF(Y2322=1,"",IF(AND(AA2322=1,AC2322&lt;&gt;1),1,0))</f>
        <v/>
      </c>
      <c r="AF2322" s="45" t="str">
        <f aca="false">IF(AND(E2322&gt;0,Y2322&lt;1,NOT(AND(C2323=C2322,Y2323=Y2322+1))),INDEX(DATAS,Y2322+1),"")</f>
        <v/>
      </c>
      <c r="AG2322" s="45" t="str">
        <f aca="false">IF(AND(AA2322=1,Y2322&lt;1),IF(AND(C2323=C2322,Y2323=Y2322+1),IF(AA2323=1,"",INDEX(DATAS,Y2322+1)),INDEX(DATAS,Y2322+1)),"")</f>
        <v/>
      </c>
    </row>
    <row r="2323" customFormat="false" ht="15" hidden="false" customHeight="false" outlineLevel="0" collapsed="false">
      <c r="A2323" s="45" t="n">
        <v>46309</v>
      </c>
      <c r="B2323" s="0" t="n">
        <v>8</v>
      </c>
      <c r="C2323" s="0" t="n">
        <v>6618</v>
      </c>
      <c r="E2323" s="0" t="n">
        <v>0</v>
      </c>
      <c r="F2323" s="39" t="s">
        <v>1206</v>
      </c>
      <c r="I2323" s="39" t="s">
        <v>109</v>
      </c>
      <c r="L2323" s="0" t="n">
        <v>96</v>
      </c>
      <c r="U2323" s="0" t="n">
        <v>498</v>
      </c>
      <c r="V2323" s="0" t="n">
        <v>1</v>
      </c>
      <c r="W2323" s="39" t="n">
        <f aca="false">IF(I2323="Male",0,1)</f>
        <v>1</v>
      </c>
      <c r="X2323" s="39" t="n">
        <f aca="false">IF(OR(I2323="DNB",I2323="Dry DNB"),1,0)</f>
        <v>0</v>
      </c>
      <c r="Y2323" s="39" t="n">
        <f aca="false">MATCH(A2323,DATAS,0)</f>
        <v>1</v>
      </c>
      <c r="Z2323" s="39" t="n">
        <f aca="false">IF(AND(E2323&gt;0,OR(AND(B2323&gt;=1,B2323&lt;=6),B2323=10)),1,0)</f>
        <v>0</v>
      </c>
      <c r="AA2323" s="39" t="n">
        <f aca="false">IF(AND(E2323&gt;0,B2323=10),1,0)</f>
        <v>0</v>
      </c>
      <c r="AB2323" s="0" t="str">
        <f aca="false">IF(AND(C2322=C2323,Y2322=Y2323-1),Z2322,"")</f>
        <v/>
      </c>
      <c r="AC2323" s="0" t="str">
        <f aca="false">IF(AND(C2322=C2323,Y2322=Y2323-1),AA2322,"")</f>
        <v/>
      </c>
      <c r="AD2323" s="0" t="str">
        <f aca="false">IF(Y2323=1,"",IF(AND(Z2323=1,AB2323&lt;&gt;1),1,0))</f>
        <v/>
      </c>
      <c r="AE2323" s="0" t="str">
        <f aca="false">IF(Y2323=1,"",IF(AND(AA2323=1,AC2323&lt;&gt;1),1,0))</f>
        <v/>
      </c>
      <c r="AF2323" s="45" t="str">
        <f aca="false">IF(AND(E2323&gt;0,Y2323&lt;1,NOT(AND(C2324=C2323,Y2324=Y2323+1))),INDEX(DATAS,Y2323+1),"")</f>
        <v/>
      </c>
      <c r="AG2323" s="45" t="str">
        <f aca="false">IF(AND(AA2323=1,Y2323&lt;1),IF(AND(C2324=C2323,Y2324=Y2323+1),IF(AA2324=1,"",INDEX(DATAS,Y2323+1)),INDEX(DATAS,Y2323+1)),"")</f>
        <v/>
      </c>
    </row>
    <row r="2324" customFormat="false" ht="15" hidden="false" customHeight="false" outlineLevel="0" collapsed="false">
      <c r="A2324" s="45" t="n">
        <v>46309</v>
      </c>
      <c r="B2324" s="0" t="n">
        <v>8</v>
      </c>
      <c r="C2324" s="0" t="n">
        <v>6619</v>
      </c>
      <c r="E2324" s="0" t="n">
        <v>0</v>
      </c>
      <c r="F2324" s="39" t="s">
        <v>1207</v>
      </c>
      <c r="I2324" s="39" t="s">
        <v>109</v>
      </c>
      <c r="L2324" s="0" t="n">
        <v>92</v>
      </c>
      <c r="U2324" s="0" t="n">
        <v>496</v>
      </c>
      <c r="V2324" s="0" t="n">
        <v>1</v>
      </c>
      <c r="W2324" s="39" t="n">
        <f aca="false">IF(I2324="Male",0,1)</f>
        <v>1</v>
      </c>
      <c r="X2324" s="39" t="n">
        <f aca="false">IF(OR(I2324="DNB",I2324="Dry DNB"),1,0)</f>
        <v>0</v>
      </c>
      <c r="Y2324" s="39" t="n">
        <f aca="false">MATCH(A2324,DATAS,0)</f>
        <v>1</v>
      </c>
      <c r="Z2324" s="39" t="n">
        <f aca="false">IF(AND(E2324&gt;0,OR(AND(B2324&gt;=1,B2324&lt;=6),B2324=10)),1,0)</f>
        <v>0</v>
      </c>
      <c r="AA2324" s="39" t="n">
        <f aca="false">IF(AND(E2324&gt;0,B2324=10),1,0)</f>
        <v>0</v>
      </c>
      <c r="AB2324" s="0" t="str">
        <f aca="false">IF(AND(C2323=C2324,Y2323=Y2324-1),Z2323,"")</f>
        <v/>
      </c>
      <c r="AC2324" s="0" t="str">
        <f aca="false">IF(AND(C2323=C2324,Y2323=Y2324-1),AA2323,"")</f>
        <v/>
      </c>
      <c r="AD2324" s="0" t="str">
        <f aca="false">IF(Y2324=1,"",IF(AND(Z2324=1,AB2324&lt;&gt;1),1,0))</f>
        <v/>
      </c>
      <c r="AE2324" s="0" t="str">
        <f aca="false">IF(Y2324=1,"",IF(AND(AA2324=1,AC2324&lt;&gt;1),1,0))</f>
        <v/>
      </c>
      <c r="AF2324" s="45" t="str">
        <f aca="false">IF(AND(E2324&gt;0,Y2324&lt;1,NOT(AND(C2325=C2324,Y2325=Y2324+1))),INDEX(DATAS,Y2324+1),"")</f>
        <v/>
      </c>
      <c r="AG2324" s="45" t="str">
        <f aca="false">IF(AND(AA2324=1,Y2324&lt;1),IF(AND(C2325=C2324,Y2325=Y2324+1),IF(AA2325=1,"",INDEX(DATAS,Y2324+1)),INDEX(DATAS,Y2324+1)),"")</f>
        <v/>
      </c>
    </row>
    <row r="2325" customFormat="false" ht="15" hidden="false" customHeight="false" outlineLevel="0" collapsed="false">
      <c r="A2325" s="45" t="n">
        <v>46309</v>
      </c>
      <c r="B2325" s="0" t="n">
        <v>8</v>
      </c>
      <c r="C2325" s="0" t="n">
        <v>6620</v>
      </c>
      <c r="E2325" s="0" t="n">
        <v>0</v>
      </c>
      <c r="F2325" s="39" t="s">
        <v>1207</v>
      </c>
      <c r="I2325" s="39" t="s">
        <v>109</v>
      </c>
      <c r="L2325" s="0" t="n">
        <v>85</v>
      </c>
      <c r="U2325" s="0" t="n">
        <v>496</v>
      </c>
      <c r="V2325" s="0" t="n">
        <v>2</v>
      </c>
      <c r="W2325" s="39" t="n">
        <f aca="false">IF(I2325="Male",0,1)</f>
        <v>1</v>
      </c>
      <c r="X2325" s="39" t="n">
        <f aca="false">IF(OR(I2325="DNB",I2325="Dry DNB"),1,0)</f>
        <v>0</v>
      </c>
      <c r="Y2325" s="39" t="n">
        <f aca="false">MATCH(A2325,DATAS,0)</f>
        <v>1</v>
      </c>
      <c r="Z2325" s="39" t="n">
        <f aca="false">IF(AND(E2325&gt;0,OR(AND(B2325&gt;=1,B2325&lt;=6),B2325=10)),1,0)</f>
        <v>0</v>
      </c>
      <c r="AA2325" s="39" t="n">
        <f aca="false">IF(AND(E2325&gt;0,B2325=10),1,0)</f>
        <v>0</v>
      </c>
      <c r="AB2325" s="0" t="str">
        <f aca="false">IF(AND(C2324=C2325,Y2324=Y2325-1),Z2324,"")</f>
        <v/>
      </c>
      <c r="AC2325" s="0" t="str">
        <f aca="false">IF(AND(C2324=C2325,Y2324=Y2325-1),AA2324,"")</f>
        <v/>
      </c>
      <c r="AD2325" s="0" t="str">
        <f aca="false">IF(Y2325=1,"",IF(AND(Z2325=1,AB2325&lt;&gt;1),1,0))</f>
        <v/>
      </c>
      <c r="AE2325" s="0" t="str">
        <f aca="false">IF(Y2325=1,"",IF(AND(AA2325=1,AC2325&lt;&gt;1),1,0))</f>
        <v/>
      </c>
      <c r="AF2325" s="45" t="str">
        <f aca="false">IF(AND(E2325&gt;0,Y2325&lt;1,NOT(AND(C2326=C2325,Y2326=Y2325+1))),INDEX(DATAS,Y2325+1),"")</f>
        <v/>
      </c>
      <c r="AG2325" s="45" t="str">
        <f aca="false">IF(AND(AA2325=1,Y2325&lt;1),IF(AND(C2326=C2325,Y2326=Y2325+1),IF(AA2326=1,"",INDEX(DATAS,Y2325+1)),INDEX(DATAS,Y2325+1)),"")</f>
        <v/>
      </c>
    </row>
    <row r="2326" customFormat="false" ht="15" hidden="false" customHeight="false" outlineLevel="0" collapsed="false">
      <c r="A2326" s="45" t="n">
        <v>46309</v>
      </c>
      <c r="B2326" s="0" t="n">
        <v>11</v>
      </c>
      <c r="C2326" s="0" t="n">
        <v>6621</v>
      </c>
      <c r="E2326" s="0" t="n">
        <v>0</v>
      </c>
      <c r="F2326" s="39" t="s">
        <v>1207</v>
      </c>
      <c r="I2326" s="39" t="s">
        <v>138</v>
      </c>
      <c r="U2326" s="0" t="n">
        <v>496</v>
      </c>
      <c r="V2326" s="0" t="n">
        <v>4</v>
      </c>
      <c r="W2326" s="39" t="n">
        <f aca="false">IF(I2326="Male",0,1)</f>
        <v>1</v>
      </c>
      <c r="X2326" s="39" t="n">
        <f aca="false">IF(OR(I2326="DNB",I2326="Dry DNB"),1,0)</f>
        <v>0</v>
      </c>
      <c r="Y2326" s="39" t="n">
        <f aca="false">MATCH(A2326,DATAS,0)</f>
        <v>1</v>
      </c>
      <c r="Z2326" s="39" t="n">
        <f aca="false">IF(AND(E2326&gt;0,OR(AND(B2326&gt;=1,B2326&lt;=6),B2326=10)),1,0)</f>
        <v>0</v>
      </c>
      <c r="AA2326" s="39" t="n">
        <f aca="false">IF(AND(E2326&gt;0,B2326=10),1,0)</f>
        <v>0</v>
      </c>
      <c r="AB2326" s="0" t="str">
        <f aca="false">IF(AND(C2325=C2326,Y2325=Y2326-1),Z2325,"")</f>
        <v/>
      </c>
      <c r="AC2326" s="0" t="str">
        <f aca="false">IF(AND(C2325=C2326,Y2325=Y2326-1),AA2325,"")</f>
        <v/>
      </c>
      <c r="AD2326" s="0" t="str">
        <f aca="false">IF(Y2326=1,"",IF(AND(Z2326=1,AB2326&lt;&gt;1),1,0))</f>
        <v/>
      </c>
      <c r="AE2326" s="0" t="str">
        <f aca="false">IF(Y2326=1,"",IF(AND(AA2326=1,AC2326&lt;&gt;1),1,0))</f>
        <v/>
      </c>
      <c r="AF2326" s="45" t="str">
        <f aca="false">IF(AND(E2326&gt;0,Y2326&lt;1,NOT(AND(C2327=C2326,Y2327=Y2326+1))),INDEX(DATAS,Y2326+1),"")</f>
        <v/>
      </c>
      <c r="AG2326" s="45" t="str">
        <f aca="false">IF(AND(AA2326=1,Y2326&lt;1),IF(AND(C2327=C2326,Y2327=Y2326+1),IF(AA2327=1,"",INDEX(DATAS,Y2326+1)),INDEX(DATAS,Y2326+1)),"")</f>
        <v/>
      </c>
    </row>
    <row r="2327" customFormat="false" ht="15" hidden="false" customHeight="false" outlineLevel="0" collapsed="false">
      <c r="A2327" s="45" t="n">
        <v>46309</v>
      </c>
      <c r="B2327" s="0" t="n">
        <v>8</v>
      </c>
      <c r="C2327" s="0" t="n">
        <v>6622</v>
      </c>
      <c r="E2327" s="0" t="n">
        <v>0</v>
      </c>
      <c r="F2327" s="39" t="s">
        <v>1207</v>
      </c>
      <c r="I2327" s="39" t="s">
        <v>109</v>
      </c>
      <c r="L2327" s="0" t="n">
        <v>55</v>
      </c>
      <c r="U2327" s="0" t="n">
        <v>496</v>
      </c>
      <c r="V2327" s="0" t="n">
        <v>2</v>
      </c>
      <c r="W2327" s="39" t="n">
        <f aca="false">IF(I2327="Male",0,1)</f>
        <v>1</v>
      </c>
      <c r="X2327" s="39" t="n">
        <f aca="false">IF(OR(I2327="DNB",I2327="Dry DNB"),1,0)</f>
        <v>0</v>
      </c>
      <c r="Y2327" s="39" t="n">
        <f aca="false">MATCH(A2327,DATAS,0)</f>
        <v>1</v>
      </c>
      <c r="Z2327" s="39" t="n">
        <f aca="false">IF(AND(E2327&gt;0,OR(AND(B2327&gt;=1,B2327&lt;=6),B2327=10)),1,0)</f>
        <v>0</v>
      </c>
      <c r="AA2327" s="39" t="n">
        <f aca="false">IF(AND(E2327&gt;0,B2327=10),1,0)</f>
        <v>0</v>
      </c>
      <c r="AB2327" s="0" t="str">
        <f aca="false">IF(AND(C2326=C2327,Y2326=Y2327-1),Z2326,"")</f>
        <v/>
      </c>
      <c r="AC2327" s="0" t="str">
        <f aca="false">IF(AND(C2326=C2327,Y2326=Y2327-1),AA2326,"")</f>
        <v/>
      </c>
      <c r="AD2327" s="0" t="str">
        <f aca="false">IF(Y2327=1,"",IF(AND(Z2327=1,AB2327&lt;&gt;1),1,0))</f>
        <v/>
      </c>
      <c r="AE2327" s="0" t="str">
        <f aca="false">IF(Y2327=1,"",IF(AND(AA2327=1,AC2327&lt;&gt;1),1,0))</f>
        <v/>
      </c>
      <c r="AF2327" s="45" t="str">
        <f aca="false">IF(AND(E2327&gt;0,Y2327&lt;1,NOT(AND(C2328=C2327,Y2328=Y2327+1))),INDEX(DATAS,Y2327+1),"")</f>
        <v/>
      </c>
      <c r="AG2327" s="45" t="str">
        <f aca="false">IF(AND(AA2327=1,Y2327&lt;1),IF(AND(C2328=C2327,Y2328=Y2327+1),IF(AA2328=1,"",INDEX(DATAS,Y2327+1)),INDEX(DATAS,Y2327+1)),"")</f>
        <v/>
      </c>
    </row>
    <row r="2328" customFormat="false" ht="15" hidden="false" customHeight="false" outlineLevel="0" collapsed="false">
      <c r="A2328" s="45" t="n">
        <v>46309</v>
      </c>
      <c r="B2328" s="0" t="n">
        <v>8</v>
      </c>
      <c r="C2328" s="0" t="n">
        <v>6623</v>
      </c>
      <c r="E2328" s="0" t="n">
        <v>0</v>
      </c>
      <c r="F2328" s="39" t="s">
        <v>1207</v>
      </c>
      <c r="I2328" s="39" t="s">
        <v>109</v>
      </c>
      <c r="L2328" s="0" t="n">
        <v>96</v>
      </c>
      <c r="U2328" s="0" t="n">
        <v>496</v>
      </c>
      <c r="V2328" s="0" t="n">
        <v>1</v>
      </c>
      <c r="W2328" s="39" t="n">
        <f aca="false">IF(I2328="Male",0,1)</f>
        <v>1</v>
      </c>
      <c r="X2328" s="39" t="n">
        <f aca="false">IF(OR(I2328="DNB",I2328="Dry DNB"),1,0)</f>
        <v>0</v>
      </c>
      <c r="Y2328" s="39" t="n">
        <f aca="false">MATCH(A2328,DATAS,0)</f>
        <v>1</v>
      </c>
      <c r="Z2328" s="39" t="n">
        <f aca="false">IF(AND(E2328&gt;0,OR(AND(B2328&gt;=1,B2328&lt;=6),B2328=10)),1,0)</f>
        <v>0</v>
      </c>
      <c r="AA2328" s="39" t="n">
        <f aca="false">IF(AND(E2328&gt;0,B2328=10),1,0)</f>
        <v>0</v>
      </c>
      <c r="AB2328" s="0" t="str">
        <f aca="false">IF(AND(C2327=C2328,Y2327=Y2328-1),Z2327,"")</f>
        <v/>
      </c>
      <c r="AC2328" s="0" t="str">
        <f aca="false">IF(AND(C2327=C2328,Y2327=Y2328-1),AA2327,"")</f>
        <v/>
      </c>
      <c r="AD2328" s="0" t="str">
        <f aca="false">IF(Y2328=1,"",IF(AND(Z2328=1,AB2328&lt;&gt;1),1,0))</f>
        <v/>
      </c>
      <c r="AE2328" s="0" t="str">
        <f aca="false">IF(Y2328=1,"",IF(AND(AA2328=1,AC2328&lt;&gt;1),1,0))</f>
        <v/>
      </c>
      <c r="AF2328" s="45" t="str">
        <f aca="false">IF(AND(E2328&gt;0,Y2328&lt;1,NOT(AND(C2329=C2328,Y2329=Y2328+1))),INDEX(DATAS,Y2328+1),"")</f>
        <v/>
      </c>
      <c r="AG2328" s="45" t="str">
        <f aca="false">IF(AND(AA2328=1,Y2328&lt;1),IF(AND(C2329=C2328,Y2329=Y2328+1),IF(AA2329=1,"",INDEX(DATAS,Y2328+1)),INDEX(DATAS,Y2328+1)),"")</f>
        <v/>
      </c>
    </row>
    <row r="2329" customFormat="false" ht="15" hidden="false" customHeight="false" outlineLevel="0" collapsed="false">
      <c r="A2329" s="45" t="n">
        <v>46309</v>
      </c>
      <c r="B2329" s="0" t="n">
        <v>8</v>
      </c>
      <c r="C2329" s="0" t="n">
        <v>6625</v>
      </c>
      <c r="E2329" s="0" t="n">
        <v>0</v>
      </c>
      <c r="F2329" s="39" t="s">
        <v>1207</v>
      </c>
      <c r="I2329" s="39" t="s">
        <v>109</v>
      </c>
      <c r="L2329" s="0" t="n">
        <v>92</v>
      </c>
      <c r="U2329" s="0" t="n">
        <v>496</v>
      </c>
      <c r="V2329" s="0" t="n">
        <v>1</v>
      </c>
      <c r="W2329" s="39" t="n">
        <f aca="false">IF(I2329="Male",0,1)</f>
        <v>1</v>
      </c>
      <c r="X2329" s="39" t="n">
        <f aca="false">IF(OR(I2329="DNB",I2329="Dry DNB"),1,0)</f>
        <v>0</v>
      </c>
      <c r="Y2329" s="39" t="n">
        <f aca="false">MATCH(A2329,DATAS,0)</f>
        <v>1</v>
      </c>
      <c r="Z2329" s="39" t="n">
        <f aca="false">IF(AND(E2329&gt;0,OR(AND(B2329&gt;=1,B2329&lt;=6),B2329=10)),1,0)</f>
        <v>0</v>
      </c>
      <c r="AA2329" s="39" t="n">
        <f aca="false">IF(AND(E2329&gt;0,B2329=10),1,0)</f>
        <v>0</v>
      </c>
      <c r="AB2329" s="0" t="str">
        <f aca="false">IF(AND(C2328=C2329,Y2328=Y2329-1),Z2328,"")</f>
        <v/>
      </c>
      <c r="AC2329" s="0" t="str">
        <f aca="false">IF(AND(C2328=C2329,Y2328=Y2329-1),AA2328,"")</f>
        <v/>
      </c>
      <c r="AD2329" s="0" t="str">
        <f aca="false">IF(Y2329=1,"",IF(AND(Z2329=1,AB2329&lt;&gt;1),1,0))</f>
        <v/>
      </c>
      <c r="AE2329" s="0" t="str">
        <f aca="false">IF(Y2329=1,"",IF(AND(AA2329=1,AC2329&lt;&gt;1),1,0))</f>
        <v/>
      </c>
      <c r="AF2329" s="45" t="str">
        <f aca="false">IF(AND(E2329&gt;0,Y2329&lt;1,NOT(AND(C2330=C2329,Y2330=Y2329+1))),INDEX(DATAS,Y2329+1),"")</f>
        <v/>
      </c>
      <c r="AG2329" s="45" t="str">
        <f aca="false">IF(AND(AA2329=1,Y2329&lt;1),IF(AND(C2330=C2329,Y2330=Y2329+1),IF(AA2330=1,"",INDEX(DATAS,Y2329+1)),INDEX(DATAS,Y2329+1)),"")</f>
        <v/>
      </c>
    </row>
    <row r="2330" customFormat="false" ht="15" hidden="false" customHeight="false" outlineLevel="0" collapsed="false">
      <c r="A2330" s="45" t="n">
        <v>46309</v>
      </c>
      <c r="B2330" s="0" t="n">
        <v>8</v>
      </c>
      <c r="C2330" s="0" t="n">
        <v>6626</v>
      </c>
      <c r="E2330" s="0" t="n">
        <v>0</v>
      </c>
      <c r="F2330" s="39" t="s">
        <v>1208</v>
      </c>
      <c r="I2330" s="39" t="s">
        <v>109</v>
      </c>
      <c r="L2330" s="0" t="n">
        <v>72</v>
      </c>
      <c r="U2330" s="0" t="n">
        <v>495</v>
      </c>
      <c r="V2330" s="0" t="n">
        <v>2</v>
      </c>
      <c r="W2330" s="39" t="n">
        <f aca="false">IF(I2330="Male",0,1)</f>
        <v>1</v>
      </c>
      <c r="X2330" s="39" t="n">
        <f aca="false">IF(OR(I2330="DNB",I2330="Dry DNB"),1,0)</f>
        <v>0</v>
      </c>
      <c r="Y2330" s="39" t="n">
        <f aca="false">MATCH(A2330,DATAS,0)</f>
        <v>1</v>
      </c>
      <c r="Z2330" s="39" t="n">
        <f aca="false">IF(AND(E2330&gt;0,OR(AND(B2330&gt;=1,B2330&lt;=6),B2330=10)),1,0)</f>
        <v>0</v>
      </c>
      <c r="AA2330" s="39" t="n">
        <f aca="false">IF(AND(E2330&gt;0,B2330=10),1,0)</f>
        <v>0</v>
      </c>
      <c r="AB2330" s="0" t="str">
        <f aca="false">IF(AND(C2329=C2330,Y2329=Y2330-1),Z2329,"")</f>
        <v/>
      </c>
      <c r="AC2330" s="0" t="str">
        <f aca="false">IF(AND(C2329=C2330,Y2329=Y2330-1),AA2329,"")</f>
        <v/>
      </c>
      <c r="AD2330" s="0" t="str">
        <f aca="false">IF(Y2330=1,"",IF(AND(Z2330=1,AB2330&lt;&gt;1),1,0))</f>
        <v/>
      </c>
      <c r="AE2330" s="0" t="str">
        <f aca="false">IF(Y2330=1,"",IF(AND(AA2330=1,AC2330&lt;&gt;1),1,0))</f>
        <v/>
      </c>
      <c r="AF2330" s="45" t="str">
        <f aca="false">IF(AND(E2330&gt;0,Y2330&lt;1,NOT(AND(C2331=C2330,Y2331=Y2330+1))),INDEX(DATAS,Y2330+1),"")</f>
        <v/>
      </c>
      <c r="AG2330" s="45" t="str">
        <f aca="false">IF(AND(AA2330=1,Y2330&lt;1),IF(AND(C2331=C2330,Y2331=Y2330+1),IF(AA2331=1,"",INDEX(DATAS,Y2330+1)),INDEX(DATAS,Y2330+1)),"")</f>
        <v/>
      </c>
    </row>
    <row r="2331" customFormat="false" ht="15" hidden="false" customHeight="false" outlineLevel="0" collapsed="false">
      <c r="A2331" s="45" t="n">
        <v>46309</v>
      </c>
      <c r="B2331" s="0" t="n">
        <v>8</v>
      </c>
      <c r="C2331" s="0" t="n">
        <v>6627</v>
      </c>
      <c r="E2331" s="0" t="n">
        <v>0</v>
      </c>
      <c r="F2331" s="39" t="s">
        <v>1208</v>
      </c>
      <c r="I2331" s="39" t="s">
        <v>109</v>
      </c>
      <c r="L2331" s="0" t="n">
        <v>71</v>
      </c>
      <c r="U2331" s="0" t="n">
        <v>495</v>
      </c>
      <c r="V2331" s="0" t="n">
        <v>2</v>
      </c>
      <c r="W2331" s="39" t="n">
        <f aca="false">IF(I2331="Male",0,1)</f>
        <v>1</v>
      </c>
      <c r="X2331" s="39" t="n">
        <f aca="false">IF(OR(I2331="DNB",I2331="Dry DNB"),1,0)</f>
        <v>0</v>
      </c>
      <c r="Y2331" s="39" t="n">
        <f aca="false">MATCH(A2331,DATAS,0)</f>
        <v>1</v>
      </c>
      <c r="Z2331" s="39" t="n">
        <f aca="false">IF(AND(E2331&gt;0,OR(AND(B2331&gt;=1,B2331&lt;=6),B2331=10)),1,0)</f>
        <v>0</v>
      </c>
      <c r="AA2331" s="39" t="n">
        <f aca="false">IF(AND(E2331&gt;0,B2331=10),1,0)</f>
        <v>0</v>
      </c>
      <c r="AB2331" s="0" t="str">
        <f aca="false">IF(AND(C2330=C2331,Y2330=Y2331-1),Z2330,"")</f>
        <v/>
      </c>
      <c r="AC2331" s="0" t="str">
        <f aca="false">IF(AND(C2330=C2331,Y2330=Y2331-1),AA2330,"")</f>
        <v/>
      </c>
      <c r="AD2331" s="0" t="str">
        <f aca="false">IF(Y2331=1,"",IF(AND(Z2331=1,AB2331&lt;&gt;1),1,0))</f>
        <v/>
      </c>
      <c r="AE2331" s="0" t="str">
        <f aca="false">IF(Y2331=1,"",IF(AND(AA2331=1,AC2331&lt;&gt;1),1,0))</f>
        <v/>
      </c>
      <c r="AF2331" s="45" t="str">
        <f aca="false">IF(AND(E2331&gt;0,Y2331&lt;1,NOT(AND(C2332=C2331,Y2332=Y2331+1))),INDEX(DATAS,Y2331+1),"")</f>
        <v/>
      </c>
      <c r="AG2331" s="45" t="str">
        <f aca="false">IF(AND(AA2331=1,Y2331&lt;1),IF(AND(C2332=C2331,Y2332=Y2331+1),IF(AA2332=1,"",INDEX(DATAS,Y2331+1)),INDEX(DATAS,Y2331+1)),"")</f>
        <v/>
      </c>
    </row>
    <row r="2332" customFormat="false" ht="15" hidden="false" customHeight="false" outlineLevel="0" collapsed="false">
      <c r="A2332" s="45" t="n">
        <v>46309</v>
      </c>
      <c r="B2332" s="0" t="n">
        <v>11</v>
      </c>
      <c r="C2332" s="0" t="n">
        <v>6628</v>
      </c>
      <c r="E2332" s="0" t="n">
        <v>0</v>
      </c>
      <c r="F2332" s="39" t="s">
        <v>1208</v>
      </c>
      <c r="I2332" s="39" t="s">
        <v>138</v>
      </c>
      <c r="U2332" s="0" t="n">
        <v>495</v>
      </c>
      <c r="V2332" s="0" t="n">
        <v>3</v>
      </c>
      <c r="W2332" s="39" t="n">
        <f aca="false">IF(I2332="Male",0,1)</f>
        <v>1</v>
      </c>
      <c r="X2332" s="39" t="n">
        <f aca="false">IF(OR(I2332="DNB",I2332="Dry DNB"),1,0)</f>
        <v>0</v>
      </c>
      <c r="Y2332" s="39" t="n">
        <f aca="false">MATCH(A2332,DATAS,0)</f>
        <v>1</v>
      </c>
      <c r="Z2332" s="39" t="n">
        <f aca="false">IF(AND(E2332&gt;0,OR(AND(B2332&gt;=1,B2332&lt;=6),B2332=10)),1,0)</f>
        <v>0</v>
      </c>
      <c r="AA2332" s="39" t="n">
        <f aca="false">IF(AND(E2332&gt;0,B2332=10),1,0)</f>
        <v>0</v>
      </c>
      <c r="AB2332" s="0" t="str">
        <f aca="false">IF(AND(C2331=C2332,Y2331=Y2332-1),Z2331,"")</f>
        <v/>
      </c>
      <c r="AC2332" s="0" t="str">
        <f aca="false">IF(AND(C2331=C2332,Y2331=Y2332-1),AA2331,"")</f>
        <v/>
      </c>
      <c r="AD2332" s="0" t="str">
        <f aca="false">IF(Y2332=1,"",IF(AND(Z2332=1,AB2332&lt;&gt;1),1,0))</f>
        <v/>
      </c>
      <c r="AE2332" s="0" t="str">
        <f aca="false">IF(Y2332=1,"",IF(AND(AA2332=1,AC2332&lt;&gt;1),1,0))</f>
        <v/>
      </c>
      <c r="AF2332" s="45" t="str">
        <f aca="false">IF(AND(E2332&gt;0,Y2332&lt;1,NOT(AND(C2333=C2332,Y2333=Y2332+1))),INDEX(DATAS,Y2332+1),"")</f>
        <v/>
      </c>
      <c r="AG2332" s="45" t="str">
        <f aca="false">IF(AND(AA2332=1,Y2332&lt;1),IF(AND(C2333=C2332,Y2333=Y2332+1),IF(AA2333=1,"",INDEX(DATAS,Y2332+1)),INDEX(DATAS,Y2332+1)),"")</f>
        <v/>
      </c>
    </row>
    <row r="2333" customFormat="false" ht="15" hidden="false" customHeight="false" outlineLevel="0" collapsed="false">
      <c r="A2333" s="45" t="n">
        <v>46309</v>
      </c>
      <c r="B2333" s="0" t="n">
        <v>11</v>
      </c>
      <c r="C2333" s="0" t="n">
        <v>6629</v>
      </c>
      <c r="E2333" s="0" t="n">
        <v>0</v>
      </c>
      <c r="F2333" s="39" t="s">
        <v>1208</v>
      </c>
      <c r="I2333" s="39" t="s">
        <v>146</v>
      </c>
      <c r="U2333" s="0" t="n">
        <v>495</v>
      </c>
      <c r="V2333" s="0" t="n">
        <v>4</v>
      </c>
      <c r="W2333" s="39" t="n">
        <f aca="false">IF(I2333="Male",0,1)</f>
        <v>1</v>
      </c>
      <c r="X2333" s="39" t="n">
        <f aca="false">IF(OR(I2333="DNB",I2333="Dry DNB"),1,0)</f>
        <v>0</v>
      </c>
      <c r="Y2333" s="39" t="n">
        <f aca="false">MATCH(A2333,DATAS,0)</f>
        <v>1</v>
      </c>
      <c r="Z2333" s="39" t="n">
        <f aca="false">IF(AND(E2333&gt;0,OR(AND(B2333&gt;=1,B2333&lt;=6),B2333=10)),1,0)</f>
        <v>0</v>
      </c>
      <c r="AA2333" s="39" t="n">
        <f aca="false">IF(AND(E2333&gt;0,B2333=10),1,0)</f>
        <v>0</v>
      </c>
      <c r="AB2333" s="0" t="str">
        <f aca="false">IF(AND(C2332=C2333,Y2332=Y2333-1),Z2332,"")</f>
        <v/>
      </c>
      <c r="AC2333" s="0" t="str">
        <f aca="false">IF(AND(C2332=C2333,Y2332=Y2333-1),AA2332,"")</f>
        <v/>
      </c>
      <c r="AD2333" s="0" t="str">
        <f aca="false">IF(Y2333=1,"",IF(AND(Z2333=1,AB2333&lt;&gt;1),1,0))</f>
        <v/>
      </c>
      <c r="AE2333" s="0" t="str">
        <f aca="false">IF(Y2333=1,"",IF(AND(AA2333=1,AC2333&lt;&gt;1),1,0))</f>
        <v/>
      </c>
      <c r="AF2333" s="45" t="str">
        <f aca="false">IF(AND(E2333&gt;0,Y2333&lt;1,NOT(AND(C2334=C2333,Y2334=Y2333+1))),INDEX(DATAS,Y2333+1),"")</f>
        <v/>
      </c>
      <c r="AG2333" s="45" t="str">
        <f aca="false">IF(AND(AA2333=1,Y2333&lt;1),IF(AND(C2334=C2333,Y2334=Y2333+1),IF(AA2334=1,"",INDEX(DATAS,Y2333+1)),INDEX(DATAS,Y2333+1)),"")</f>
        <v/>
      </c>
    </row>
    <row r="2334" customFormat="false" ht="15" hidden="false" customHeight="false" outlineLevel="0" collapsed="false">
      <c r="A2334" s="45" t="n">
        <v>46309</v>
      </c>
      <c r="B2334" s="0" t="n">
        <v>8</v>
      </c>
      <c r="C2334" s="0" t="n">
        <v>6630</v>
      </c>
      <c r="E2334" s="0" t="n">
        <v>0</v>
      </c>
      <c r="F2334" s="39" t="s">
        <v>1208</v>
      </c>
      <c r="I2334" s="39" t="s">
        <v>109</v>
      </c>
      <c r="L2334" s="0" t="n">
        <v>91</v>
      </c>
      <c r="U2334" s="0" t="n">
        <v>495</v>
      </c>
      <c r="V2334" s="0" t="n">
        <v>1</v>
      </c>
      <c r="W2334" s="39" t="n">
        <f aca="false">IF(I2334="Male",0,1)</f>
        <v>1</v>
      </c>
      <c r="X2334" s="39" t="n">
        <f aca="false">IF(OR(I2334="DNB",I2334="Dry DNB"),1,0)</f>
        <v>0</v>
      </c>
      <c r="Y2334" s="39" t="n">
        <f aca="false">MATCH(A2334,DATAS,0)</f>
        <v>1</v>
      </c>
      <c r="Z2334" s="39" t="n">
        <f aca="false">IF(AND(E2334&gt;0,OR(AND(B2334&gt;=1,B2334&lt;=6),B2334=10)),1,0)</f>
        <v>0</v>
      </c>
      <c r="AA2334" s="39" t="n">
        <f aca="false">IF(AND(E2334&gt;0,B2334=10),1,0)</f>
        <v>0</v>
      </c>
      <c r="AB2334" s="0" t="str">
        <f aca="false">IF(AND(C2333=C2334,Y2333=Y2334-1),Z2333,"")</f>
        <v/>
      </c>
      <c r="AC2334" s="0" t="str">
        <f aca="false">IF(AND(C2333=C2334,Y2333=Y2334-1),AA2333,"")</f>
        <v/>
      </c>
      <c r="AD2334" s="0" t="str">
        <f aca="false">IF(Y2334=1,"",IF(AND(Z2334=1,AB2334&lt;&gt;1),1,0))</f>
        <v/>
      </c>
      <c r="AE2334" s="0" t="str">
        <f aca="false">IF(Y2334=1,"",IF(AND(AA2334=1,AC2334&lt;&gt;1),1,0))</f>
        <v/>
      </c>
      <c r="AF2334" s="45" t="str">
        <f aca="false">IF(AND(E2334&gt;0,Y2334&lt;1,NOT(AND(C2335=C2334,Y2335=Y2334+1))),INDEX(DATAS,Y2334+1),"")</f>
        <v/>
      </c>
      <c r="AG2334" s="45" t="str">
        <f aca="false">IF(AND(AA2334=1,Y2334&lt;1),IF(AND(C2335=C2334,Y2335=Y2334+1),IF(AA2335=1,"",INDEX(DATAS,Y2334+1)),INDEX(DATAS,Y2334+1)),"")</f>
        <v/>
      </c>
    </row>
    <row r="2335" customFormat="false" ht="15" hidden="false" customHeight="false" outlineLevel="0" collapsed="false">
      <c r="A2335" s="45" t="n">
        <v>46309</v>
      </c>
      <c r="B2335" s="0" t="n">
        <v>11</v>
      </c>
      <c r="C2335" s="0" t="n">
        <v>6631</v>
      </c>
      <c r="E2335" s="0" t="n">
        <v>0</v>
      </c>
      <c r="F2335" s="39" t="s">
        <v>1209</v>
      </c>
      <c r="I2335" s="39" t="s">
        <v>138</v>
      </c>
      <c r="U2335" s="0" t="n">
        <v>494</v>
      </c>
      <c r="V2335" s="0" t="n">
        <v>5</v>
      </c>
      <c r="W2335" s="39" t="n">
        <f aca="false">IF(I2335="Male",0,1)</f>
        <v>1</v>
      </c>
      <c r="X2335" s="39" t="n">
        <f aca="false">IF(OR(I2335="DNB",I2335="Dry DNB"),1,0)</f>
        <v>0</v>
      </c>
      <c r="Y2335" s="39" t="n">
        <f aca="false">MATCH(A2335,DATAS,0)</f>
        <v>1</v>
      </c>
      <c r="Z2335" s="39" t="n">
        <f aca="false">IF(AND(E2335&gt;0,OR(AND(B2335&gt;=1,B2335&lt;=6),B2335=10)),1,0)</f>
        <v>0</v>
      </c>
      <c r="AA2335" s="39" t="n">
        <f aca="false">IF(AND(E2335&gt;0,B2335=10),1,0)</f>
        <v>0</v>
      </c>
      <c r="AB2335" s="0" t="str">
        <f aca="false">IF(AND(C2334=C2335,Y2334=Y2335-1),Z2334,"")</f>
        <v/>
      </c>
      <c r="AC2335" s="0" t="str">
        <f aca="false">IF(AND(C2334=C2335,Y2334=Y2335-1),AA2334,"")</f>
        <v/>
      </c>
      <c r="AD2335" s="0" t="str">
        <f aca="false">IF(Y2335=1,"",IF(AND(Z2335=1,AB2335&lt;&gt;1),1,0))</f>
        <v/>
      </c>
      <c r="AE2335" s="0" t="str">
        <f aca="false">IF(Y2335=1,"",IF(AND(AA2335=1,AC2335&lt;&gt;1),1,0))</f>
        <v/>
      </c>
      <c r="AF2335" s="45" t="str">
        <f aca="false">IF(AND(E2335&gt;0,Y2335&lt;1,NOT(AND(C2336=C2335,Y2336=Y2335+1))),INDEX(DATAS,Y2335+1),"")</f>
        <v/>
      </c>
      <c r="AG2335" s="45" t="str">
        <f aca="false">IF(AND(AA2335=1,Y2335&lt;1),IF(AND(C2336=C2335,Y2336=Y2335+1),IF(AA2336=1,"",INDEX(DATAS,Y2335+1)),INDEX(DATAS,Y2335+1)),"")</f>
        <v/>
      </c>
    </row>
    <row r="2336" customFormat="false" ht="15" hidden="false" customHeight="false" outlineLevel="0" collapsed="false">
      <c r="A2336" s="45" t="n">
        <v>46309</v>
      </c>
      <c r="B2336" s="0" t="n">
        <v>11</v>
      </c>
      <c r="C2336" s="0" t="n">
        <v>6632</v>
      </c>
      <c r="E2336" s="0" t="n">
        <v>0</v>
      </c>
      <c r="F2336" s="39" t="s">
        <v>1209</v>
      </c>
      <c r="I2336" s="39" t="s">
        <v>138</v>
      </c>
      <c r="U2336" s="0" t="n">
        <v>494</v>
      </c>
      <c r="V2336" s="0" t="n">
        <v>4</v>
      </c>
      <c r="W2336" s="39" t="n">
        <f aca="false">IF(I2336="Male",0,1)</f>
        <v>1</v>
      </c>
      <c r="X2336" s="39" t="n">
        <f aca="false">IF(OR(I2336="DNB",I2336="Dry DNB"),1,0)</f>
        <v>0</v>
      </c>
      <c r="Y2336" s="39" t="n">
        <f aca="false">MATCH(A2336,DATAS,0)</f>
        <v>1</v>
      </c>
      <c r="Z2336" s="39" t="n">
        <f aca="false">IF(AND(E2336&gt;0,OR(AND(B2336&gt;=1,B2336&lt;=6),B2336=10)),1,0)</f>
        <v>0</v>
      </c>
      <c r="AA2336" s="39" t="n">
        <f aca="false">IF(AND(E2336&gt;0,B2336=10),1,0)</f>
        <v>0</v>
      </c>
      <c r="AB2336" s="0" t="str">
        <f aca="false">IF(AND(C2335=C2336,Y2335=Y2336-1),Z2335,"")</f>
        <v/>
      </c>
      <c r="AC2336" s="0" t="str">
        <f aca="false">IF(AND(C2335=C2336,Y2335=Y2336-1),AA2335,"")</f>
        <v/>
      </c>
      <c r="AD2336" s="0" t="str">
        <f aca="false">IF(Y2336=1,"",IF(AND(Z2336=1,AB2336&lt;&gt;1),1,0))</f>
        <v/>
      </c>
      <c r="AE2336" s="0" t="str">
        <f aca="false">IF(Y2336=1,"",IF(AND(AA2336=1,AC2336&lt;&gt;1),1,0))</f>
        <v/>
      </c>
      <c r="AF2336" s="45" t="str">
        <f aca="false">IF(AND(E2336&gt;0,Y2336&lt;1,NOT(AND(C2337=C2336,Y2337=Y2336+1))),INDEX(DATAS,Y2336+1),"")</f>
        <v/>
      </c>
      <c r="AG2336" s="45" t="str">
        <f aca="false">IF(AND(AA2336=1,Y2336&lt;1),IF(AND(C2337=C2336,Y2337=Y2336+1),IF(AA2337=1,"",INDEX(DATAS,Y2336+1)),INDEX(DATAS,Y2336+1)),"")</f>
        <v/>
      </c>
    </row>
    <row r="2337" customFormat="false" ht="15" hidden="false" customHeight="false" outlineLevel="0" collapsed="false">
      <c r="A2337" s="45" t="n">
        <v>46309</v>
      </c>
      <c r="B2337" s="0" t="n">
        <v>8</v>
      </c>
      <c r="C2337" s="0" t="n">
        <v>6633</v>
      </c>
      <c r="E2337" s="0" t="n">
        <v>0</v>
      </c>
      <c r="F2337" s="39" t="s">
        <v>1209</v>
      </c>
      <c r="I2337" s="39" t="s">
        <v>109</v>
      </c>
      <c r="L2337" s="0" t="n">
        <v>71</v>
      </c>
      <c r="U2337" s="0" t="n">
        <v>494</v>
      </c>
      <c r="V2337" s="0" t="n">
        <v>2</v>
      </c>
      <c r="W2337" s="39" t="n">
        <f aca="false">IF(I2337="Male",0,1)</f>
        <v>1</v>
      </c>
      <c r="X2337" s="39" t="n">
        <f aca="false">IF(OR(I2337="DNB",I2337="Dry DNB"),1,0)</f>
        <v>0</v>
      </c>
      <c r="Y2337" s="39" t="n">
        <f aca="false">MATCH(A2337,DATAS,0)</f>
        <v>1</v>
      </c>
      <c r="Z2337" s="39" t="n">
        <f aca="false">IF(AND(E2337&gt;0,OR(AND(B2337&gt;=1,B2337&lt;=6),B2337=10)),1,0)</f>
        <v>0</v>
      </c>
      <c r="AA2337" s="39" t="n">
        <f aca="false">IF(AND(E2337&gt;0,B2337=10),1,0)</f>
        <v>0</v>
      </c>
      <c r="AB2337" s="0" t="str">
        <f aca="false">IF(AND(C2336=C2337,Y2336=Y2337-1),Z2336,"")</f>
        <v/>
      </c>
      <c r="AC2337" s="0" t="str">
        <f aca="false">IF(AND(C2336=C2337,Y2336=Y2337-1),AA2336,"")</f>
        <v/>
      </c>
      <c r="AD2337" s="0" t="str">
        <f aca="false">IF(Y2337=1,"",IF(AND(Z2337=1,AB2337&lt;&gt;1),1,0))</f>
        <v/>
      </c>
      <c r="AE2337" s="0" t="str">
        <f aca="false">IF(Y2337=1,"",IF(AND(AA2337=1,AC2337&lt;&gt;1),1,0))</f>
        <v/>
      </c>
      <c r="AF2337" s="45" t="str">
        <f aca="false">IF(AND(E2337&gt;0,Y2337&lt;1,NOT(AND(C2338=C2337,Y2338=Y2337+1))),INDEX(DATAS,Y2337+1),"")</f>
        <v/>
      </c>
      <c r="AG2337" s="45" t="str">
        <f aca="false">IF(AND(AA2337=1,Y2337&lt;1),IF(AND(C2338=C2337,Y2338=Y2337+1),IF(AA2338=1,"",INDEX(DATAS,Y2337+1)),INDEX(DATAS,Y2337+1)),"")</f>
        <v/>
      </c>
    </row>
    <row r="2338" customFormat="false" ht="15" hidden="false" customHeight="false" outlineLevel="0" collapsed="false">
      <c r="A2338" s="45" t="n">
        <v>46309</v>
      </c>
      <c r="B2338" s="0" t="n">
        <v>8</v>
      </c>
      <c r="C2338" s="0" t="n">
        <v>6635</v>
      </c>
      <c r="E2338" s="0" t="n">
        <v>0</v>
      </c>
      <c r="F2338" s="39" t="s">
        <v>1209</v>
      </c>
      <c r="I2338" s="39" t="s">
        <v>109</v>
      </c>
      <c r="L2338" s="0" t="n">
        <v>55</v>
      </c>
      <c r="U2338" s="0" t="n">
        <v>494</v>
      </c>
      <c r="V2338" s="0" t="n">
        <v>2</v>
      </c>
      <c r="W2338" s="39" t="n">
        <f aca="false">IF(I2338="Male",0,1)</f>
        <v>1</v>
      </c>
      <c r="X2338" s="39" t="n">
        <f aca="false">IF(OR(I2338="DNB",I2338="Dry DNB"),1,0)</f>
        <v>0</v>
      </c>
      <c r="Y2338" s="39" t="n">
        <f aca="false">MATCH(A2338,DATAS,0)</f>
        <v>1</v>
      </c>
      <c r="Z2338" s="39" t="n">
        <f aca="false">IF(AND(E2338&gt;0,OR(AND(B2338&gt;=1,B2338&lt;=6),B2338=10)),1,0)</f>
        <v>0</v>
      </c>
      <c r="AA2338" s="39" t="n">
        <f aca="false">IF(AND(E2338&gt;0,B2338=10),1,0)</f>
        <v>0</v>
      </c>
      <c r="AB2338" s="0" t="str">
        <f aca="false">IF(AND(C2337=C2338,Y2337=Y2338-1),Z2337,"")</f>
        <v/>
      </c>
      <c r="AC2338" s="0" t="str">
        <f aca="false">IF(AND(C2337=C2338,Y2337=Y2338-1),AA2337,"")</f>
        <v/>
      </c>
      <c r="AD2338" s="0" t="str">
        <f aca="false">IF(Y2338=1,"",IF(AND(Z2338=1,AB2338&lt;&gt;1),1,0))</f>
        <v/>
      </c>
      <c r="AE2338" s="0" t="str">
        <f aca="false">IF(Y2338=1,"",IF(AND(AA2338=1,AC2338&lt;&gt;1),1,0))</f>
        <v/>
      </c>
      <c r="AF2338" s="45" t="str">
        <f aca="false">IF(AND(E2338&gt;0,Y2338&lt;1,NOT(AND(C2339=C2338,Y2339=Y2338+1))),INDEX(DATAS,Y2338+1),"")</f>
        <v/>
      </c>
      <c r="AG2338" s="45" t="str">
        <f aca="false">IF(AND(AA2338=1,Y2338&lt;1),IF(AND(C2339=C2338,Y2339=Y2338+1),IF(AA2339=1,"",INDEX(DATAS,Y2338+1)),INDEX(DATAS,Y2338+1)),"")</f>
        <v/>
      </c>
    </row>
    <row r="2339" customFormat="false" ht="15" hidden="false" customHeight="false" outlineLevel="0" collapsed="false">
      <c r="A2339" s="45" t="n">
        <v>46309</v>
      </c>
      <c r="B2339" s="0" t="n">
        <v>8</v>
      </c>
      <c r="C2339" s="0" t="n">
        <v>6636</v>
      </c>
      <c r="E2339" s="0" t="n">
        <v>0</v>
      </c>
      <c r="F2339" s="39" t="s">
        <v>1209</v>
      </c>
      <c r="I2339" s="39" t="s">
        <v>109</v>
      </c>
      <c r="L2339" s="0" t="n">
        <v>70</v>
      </c>
      <c r="U2339" s="0" t="n">
        <v>494</v>
      </c>
      <c r="V2339" s="0" t="n">
        <v>1</v>
      </c>
      <c r="W2339" s="39" t="n">
        <f aca="false">IF(I2339="Male",0,1)</f>
        <v>1</v>
      </c>
      <c r="X2339" s="39" t="n">
        <f aca="false">IF(OR(I2339="DNB",I2339="Dry DNB"),1,0)</f>
        <v>0</v>
      </c>
      <c r="Y2339" s="39" t="n">
        <f aca="false">MATCH(A2339,DATAS,0)</f>
        <v>1</v>
      </c>
      <c r="Z2339" s="39" t="n">
        <f aca="false">IF(AND(E2339&gt;0,OR(AND(B2339&gt;=1,B2339&lt;=6),B2339=10)),1,0)</f>
        <v>0</v>
      </c>
      <c r="AA2339" s="39" t="n">
        <f aca="false">IF(AND(E2339&gt;0,B2339=10),1,0)</f>
        <v>0</v>
      </c>
      <c r="AB2339" s="0" t="str">
        <f aca="false">IF(AND(C2338=C2339,Y2338=Y2339-1),Z2338,"")</f>
        <v/>
      </c>
      <c r="AC2339" s="0" t="str">
        <f aca="false">IF(AND(C2338=C2339,Y2338=Y2339-1),AA2338,"")</f>
        <v/>
      </c>
      <c r="AD2339" s="0" t="str">
        <f aca="false">IF(Y2339=1,"",IF(AND(Z2339=1,AB2339&lt;&gt;1),1,0))</f>
        <v/>
      </c>
      <c r="AE2339" s="0" t="str">
        <f aca="false">IF(Y2339=1,"",IF(AND(AA2339=1,AC2339&lt;&gt;1),1,0))</f>
        <v/>
      </c>
      <c r="AF2339" s="45" t="str">
        <f aca="false">IF(AND(E2339&gt;0,Y2339&lt;1,NOT(AND(C2340=C2339,Y2340=Y2339+1))),INDEX(DATAS,Y2339+1),"")</f>
        <v/>
      </c>
      <c r="AG2339" s="45" t="str">
        <f aca="false">IF(AND(AA2339=1,Y2339&lt;1),IF(AND(C2340=C2339,Y2340=Y2339+1),IF(AA2340=1,"",INDEX(DATAS,Y2339+1)),INDEX(DATAS,Y2339+1)),"")</f>
        <v/>
      </c>
    </row>
    <row r="2340" customFormat="false" ht="15" hidden="false" customHeight="false" outlineLevel="0" collapsed="false">
      <c r="A2340" s="45" t="n">
        <v>46309</v>
      </c>
      <c r="B2340" s="0" t="n">
        <v>8</v>
      </c>
      <c r="C2340" s="0" t="n">
        <v>6637</v>
      </c>
      <c r="E2340" s="0" t="n">
        <v>0</v>
      </c>
      <c r="F2340" s="39" t="s">
        <v>1209</v>
      </c>
      <c r="I2340" s="39" t="s">
        <v>109</v>
      </c>
      <c r="L2340" s="0" t="n">
        <v>89</v>
      </c>
      <c r="U2340" s="0" t="n">
        <v>494</v>
      </c>
      <c r="V2340" s="0" t="n">
        <v>1</v>
      </c>
      <c r="W2340" s="39" t="n">
        <f aca="false">IF(I2340="Male",0,1)</f>
        <v>1</v>
      </c>
      <c r="X2340" s="39" t="n">
        <f aca="false">IF(OR(I2340="DNB",I2340="Dry DNB"),1,0)</f>
        <v>0</v>
      </c>
      <c r="Y2340" s="39" t="n">
        <f aca="false">MATCH(A2340,DATAS,0)</f>
        <v>1</v>
      </c>
      <c r="Z2340" s="39" t="n">
        <f aca="false">IF(AND(E2340&gt;0,OR(AND(B2340&gt;=1,B2340&lt;=6),B2340=10)),1,0)</f>
        <v>0</v>
      </c>
      <c r="AA2340" s="39" t="n">
        <f aca="false">IF(AND(E2340&gt;0,B2340=10),1,0)</f>
        <v>0</v>
      </c>
      <c r="AB2340" s="0" t="str">
        <f aca="false">IF(AND(C2339=C2340,Y2339=Y2340-1),Z2339,"")</f>
        <v/>
      </c>
      <c r="AC2340" s="0" t="str">
        <f aca="false">IF(AND(C2339=C2340,Y2339=Y2340-1),AA2339,"")</f>
        <v/>
      </c>
      <c r="AD2340" s="0" t="str">
        <f aca="false">IF(Y2340=1,"",IF(AND(Z2340=1,AB2340&lt;&gt;1),1,0))</f>
        <v/>
      </c>
      <c r="AE2340" s="0" t="str">
        <f aca="false">IF(Y2340=1,"",IF(AND(AA2340=1,AC2340&lt;&gt;1),1,0))</f>
        <v/>
      </c>
      <c r="AF2340" s="45" t="str">
        <f aca="false">IF(AND(E2340&gt;0,Y2340&lt;1,NOT(AND(C2341=C2340,Y2341=Y2340+1))),INDEX(DATAS,Y2340+1),"")</f>
        <v/>
      </c>
      <c r="AG2340" s="45" t="str">
        <f aca="false">IF(AND(AA2340=1,Y2340&lt;1),IF(AND(C2341=C2340,Y2341=Y2340+1),IF(AA2341=1,"",INDEX(DATAS,Y2340+1)),INDEX(DATAS,Y2340+1)),"")</f>
        <v/>
      </c>
    </row>
    <row r="2341" customFormat="false" ht="15" hidden="false" customHeight="false" outlineLevel="0" collapsed="false">
      <c r="A2341" s="45" t="n">
        <v>46309</v>
      </c>
      <c r="B2341" s="0" t="n">
        <v>8</v>
      </c>
      <c r="C2341" s="0" t="n">
        <v>6638</v>
      </c>
      <c r="E2341" s="0" t="n">
        <v>0</v>
      </c>
      <c r="F2341" s="39" t="s">
        <v>1210</v>
      </c>
      <c r="I2341" s="39" t="s">
        <v>109</v>
      </c>
      <c r="L2341" s="0" t="n">
        <v>77</v>
      </c>
      <c r="U2341" s="0" t="n">
        <v>492</v>
      </c>
      <c r="V2341" s="0" t="n">
        <v>1</v>
      </c>
      <c r="W2341" s="39" t="n">
        <f aca="false">IF(I2341="Male",0,1)</f>
        <v>1</v>
      </c>
      <c r="X2341" s="39" t="n">
        <f aca="false">IF(OR(I2341="DNB",I2341="Dry DNB"),1,0)</f>
        <v>0</v>
      </c>
      <c r="Y2341" s="39" t="n">
        <f aca="false">MATCH(A2341,DATAS,0)</f>
        <v>1</v>
      </c>
      <c r="Z2341" s="39" t="n">
        <f aca="false">IF(AND(E2341&gt;0,OR(AND(B2341&gt;=1,B2341&lt;=6),B2341=10)),1,0)</f>
        <v>0</v>
      </c>
      <c r="AA2341" s="39" t="n">
        <f aca="false">IF(AND(E2341&gt;0,B2341=10),1,0)</f>
        <v>0</v>
      </c>
      <c r="AB2341" s="0" t="str">
        <f aca="false">IF(AND(C2340=C2341,Y2340=Y2341-1),Z2340,"")</f>
        <v/>
      </c>
      <c r="AC2341" s="0" t="str">
        <f aca="false">IF(AND(C2340=C2341,Y2340=Y2341-1),AA2340,"")</f>
        <v/>
      </c>
      <c r="AD2341" s="0" t="str">
        <f aca="false">IF(Y2341=1,"",IF(AND(Z2341=1,AB2341&lt;&gt;1),1,0))</f>
        <v/>
      </c>
      <c r="AE2341" s="0" t="str">
        <f aca="false">IF(Y2341=1,"",IF(AND(AA2341=1,AC2341&lt;&gt;1),1,0))</f>
        <v/>
      </c>
      <c r="AF2341" s="45" t="str">
        <f aca="false">IF(AND(E2341&gt;0,Y2341&lt;1,NOT(AND(C2342=C2341,Y2342=Y2341+1))),INDEX(DATAS,Y2341+1),"")</f>
        <v/>
      </c>
      <c r="AG2341" s="45" t="str">
        <f aca="false">IF(AND(AA2341=1,Y2341&lt;1),IF(AND(C2342=C2341,Y2342=Y2341+1),IF(AA2342=1,"",INDEX(DATAS,Y2341+1)),INDEX(DATAS,Y2341+1)),"")</f>
        <v/>
      </c>
    </row>
    <row r="2342" customFormat="false" ht="15" hidden="false" customHeight="false" outlineLevel="0" collapsed="false">
      <c r="A2342" s="45" t="n">
        <v>46309</v>
      </c>
      <c r="B2342" s="0" t="n">
        <v>8</v>
      </c>
      <c r="C2342" s="0" t="n">
        <v>6639</v>
      </c>
      <c r="E2342" s="0" t="n">
        <v>0</v>
      </c>
      <c r="F2342" s="39" t="s">
        <v>1210</v>
      </c>
      <c r="I2342" s="39" t="s">
        <v>109</v>
      </c>
      <c r="L2342" s="0" t="n">
        <v>44</v>
      </c>
      <c r="U2342" s="0" t="n">
        <v>492</v>
      </c>
      <c r="V2342" s="0" t="n">
        <v>3</v>
      </c>
      <c r="W2342" s="39" t="n">
        <f aca="false">IF(I2342="Male",0,1)</f>
        <v>1</v>
      </c>
      <c r="X2342" s="39" t="n">
        <f aca="false">IF(OR(I2342="DNB",I2342="Dry DNB"),1,0)</f>
        <v>0</v>
      </c>
      <c r="Y2342" s="39" t="n">
        <f aca="false">MATCH(A2342,DATAS,0)</f>
        <v>1</v>
      </c>
      <c r="Z2342" s="39" t="n">
        <f aca="false">IF(AND(E2342&gt;0,OR(AND(B2342&gt;=1,B2342&lt;=6),B2342=10)),1,0)</f>
        <v>0</v>
      </c>
      <c r="AA2342" s="39" t="n">
        <f aca="false">IF(AND(E2342&gt;0,B2342=10),1,0)</f>
        <v>0</v>
      </c>
      <c r="AB2342" s="0" t="str">
        <f aca="false">IF(AND(C2341=C2342,Y2341=Y2342-1),Z2341,"")</f>
        <v/>
      </c>
      <c r="AC2342" s="0" t="str">
        <f aca="false">IF(AND(C2341=C2342,Y2341=Y2342-1),AA2341,"")</f>
        <v/>
      </c>
      <c r="AD2342" s="0" t="str">
        <f aca="false">IF(Y2342=1,"",IF(AND(Z2342=1,AB2342&lt;&gt;1),1,0))</f>
        <v/>
      </c>
      <c r="AE2342" s="0" t="str">
        <f aca="false">IF(Y2342=1,"",IF(AND(AA2342=1,AC2342&lt;&gt;1),1,0))</f>
        <v/>
      </c>
      <c r="AF2342" s="45" t="str">
        <f aca="false">IF(AND(E2342&gt;0,Y2342&lt;1,NOT(AND(C2343=C2342,Y2343=Y2342+1))),INDEX(DATAS,Y2342+1),"")</f>
        <v/>
      </c>
      <c r="AG2342" s="45" t="str">
        <f aca="false">IF(AND(AA2342=1,Y2342&lt;1),IF(AND(C2343=C2342,Y2343=Y2342+1),IF(AA2343=1,"",INDEX(DATAS,Y2342+1)),INDEX(DATAS,Y2342+1)),"")</f>
        <v/>
      </c>
    </row>
    <row r="2343" customFormat="false" ht="15" hidden="false" customHeight="false" outlineLevel="0" collapsed="false">
      <c r="A2343" s="45" t="n">
        <v>46309</v>
      </c>
      <c r="B2343" s="0" t="n">
        <v>8</v>
      </c>
      <c r="C2343" s="0" t="n">
        <v>6640</v>
      </c>
      <c r="E2343" s="0" t="n">
        <v>0</v>
      </c>
      <c r="F2343" s="39" t="s">
        <v>1211</v>
      </c>
      <c r="I2343" s="39" t="s">
        <v>109</v>
      </c>
      <c r="L2343" s="0" t="n">
        <v>93</v>
      </c>
      <c r="U2343" s="0" t="n">
        <v>491</v>
      </c>
      <c r="V2343" s="0" t="n">
        <v>1</v>
      </c>
      <c r="W2343" s="39" t="n">
        <f aca="false">IF(I2343="Male",0,1)</f>
        <v>1</v>
      </c>
      <c r="X2343" s="39" t="n">
        <f aca="false">IF(OR(I2343="DNB",I2343="Dry DNB"),1,0)</f>
        <v>0</v>
      </c>
      <c r="Y2343" s="39" t="n">
        <f aca="false">MATCH(A2343,DATAS,0)</f>
        <v>1</v>
      </c>
      <c r="Z2343" s="39" t="n">
        <f aca="false">IF(AND(E2343&gt;0,OR(AND(B2343&gt;=1,B2343&lt;=6),B2343=10)),1,0)</f>
        <v>0</v>
      </c>
      <c r="AA2343" s="39" t="n">
        <f aca="false">IF(AND(E2343&gt;0,B2343=10),1,0)</f>
        <v>0</v>
      </c>
      <c r="AB2343" s="0" t="str">
        <f aca="false">IF(AND(C2342=C2343,Y2342=Y2343-1),Z2342,"")</f>
        <v/>
      </c>
      <c r="AC2343" s="0" t="str">
        <f aca="false">IF(AND(C2342=C2343,Y2342=Y2343-1),AA2342,"")</f>
        <v/>
      </c>
      <c r="AD2343" s="0" t="str">
        <f aca="false">IF(Y2343=1,"",IF(AND(Z2343=1,AB2343&lt;&gt;1),1,0))</f>
        <v/>
      </c>
      <c r="AE2343" s="0" t="str">
        <f aca="false">IF(Y2343=1,"",IF(AND(AA2343=1,AC2343&lt;&gt;1),1,0))</f>
        <v/>
      </c>
      <c r="AF2343" s="45" t="str">
        <f aca="false">IF(AND(E2343&gt;0,Y2343&lt;1,NOT(AND(C2344=C2343,Y2344=Y2343+1))),INDEX(DATAS,Y2343+1),"")</f>
        <v/>
      </c>
      <c r="AG2343" s="45" t="str">
        <f aca="false">IF(AND(AA2343=1,Y2343&lt;1),IF(AND(C2344=C2343,Y2344=Y2343+1),IF(AA2344=1,"",INDEX(DATAS,Y2343+1)),INDEX(DATAS,Y2343+1)),"")</f>
        <v/>
      </c>
    </row>
    <row r="2344" customFormat="false" ht="15" hidden="false" customHeight="false" outlineLevel="0" collapsed="false">
      <c r="A2344" s="45" t="n">
        <v>46309</v>
      </c>
      <c r="B2344" s="0" t="n">
        <v>8</v>
      </c>
      <c r="C2344" s="0" t="n">
        <v>6642</v>
      </c>
      <c r="E2344" s="0" t="n">
        <v>0</v>
      </c>
      <c r="F2344" s="39" t="s">
        <v>1212</v>
      </c>
      <c r="I2344" s="39" t="s">
        <v>109</v>
      </c>
      <c r="L2344" s="0" t="n">
        <v>71</v>
      </c>
      <c r="U2344" s="0" t="n">
        <v>490</v>
      </c>
      <c r="V2344" s="0" t="n">
        <v>2</v>
      </c>
      <c r="W2344" s="39" t="n">
        <f aca="false">IF(I2344="Male",0,1)</f>
        <v>1</v>
      </c>
      <c r="X2344" s="39" t="n">
        <f aca="false">IF(OR(I2344="DNB",I2344="Dry DNB"),1,0)</f>
        <v>0</v>
      </c>
      <c r="Y2344" s="39" t="n">
        <f aca="false">MATCH(A2344,DATAS,0)</f>
        <v>1</v>
      </c>
      <c r="Z2344" s="39" t="n">
        <f aca="false">IF(AND(E2344&gt;0,OR(AND(B2344&gt;=1,B2344&lt;=6),B2344=10)),1,0)</f>
        <v>0</v>
      </c>
      <c r="AA2344" s="39" t="n">
        <f aca="false">IF(AND(E2344&gt;0,B2344=10),1,0)</f>
        <v>0</v>
      </c>
      <c r="AB2344" s="0" t="str">
        <f aca="false">IF(AND(C2343=C2344,Y2343=Y2344-1),Z2343,"")</f>
        <v/>
      </c>
      <c r="AC2344" s="0" t="str">
        <f aca="false">IF(AND(C2343=C2344,Y2343=Y2344-1),AA2343,"")</f>
        <v/>
      </c>
      <c r="AD2344" s="0" t="str">
        <f aca="false">IF(Y2344=1,"",IF(AND(Z2344=1,AB2344&lt;&gt;1),1,0))</f>
        <v/>
      </c>
      <c r="AE2344" s="0" t="str">
        <f aca="false">IF(Y2344=1,"",IF(AND(AA2344=1,AC2344&lt;&gt;1),1,0))</f>
        <v/>
      </c>
      <c r="AF2344" s="45" t="str">
        <f aca="false">IF(AND(E2344&gt;0,Y2344&lt;1,NOT(AND(C2345=C2344,Y2345=Y2344+1))),INDEX(DATAS,Y2344+1),"")</f>
        <v/>
      </c>
      <c r="AG2344" s="45" t="str">
        <f aca="false">IF(AND(AA2344=1,Y2344&lt;1),IF(AND(C2345=C2344,Y2345=Y2344+1),IF(AA2345=1,"",INDEX(DATAS,Y2344+1)),INDEX(DATAS,Y2344+1)),"")</f>
        <v/>
      </c>
    </row>
    <row r="2345" customFormat="false" ht="15" hidden="false" customHeight="false" outlineLevel="0" collapsed="false">
      <c r="A2345" s="45" t="n">
        <v>46309</v>
      </c>
      <c r="B2345" s="0" t="n">
        <v>8</v>
      </c>
      <c r="C2345" s="0" t="n">
        <v>6643</v>
      </c>
      <c r="E2345" s="0" t="n">
        <v>0</v>
      </c>
      <c r="F2345" s="39" t="s">
        <v>1212</v>
      </c>
      <c r="I2345" s="39" t="s">
        <v>109</v>
      </c>
      <c r="L2345" s="0" t="n">
        <v>84</v>
      </c>
      <c r="U2345" s="0" t="n">
        <v>490</v>
      </c>
      <c r="V2345" s="0" t="n">
        <v>1</v>
      </c>
      <c r="W2345" s="39" t="n">
        <f aca="false">IF(I2345="Male",0,1)</f>
        <v>1</v>
      </c>
      <c r="X2345" s="39" t="n">
        <f aca="false">IF(OR(I2345="DNB",I2345="Dry DNB"),1,0)</f>
        <v>0</v>
      </c>
      <c r="Y2345" s="39" t="n">
        <f aca="false">MATCH(A2345,DATAS,0)</f>
        <v>1</v>
      </c>
      <c r="Z2345" s="39" t="n">
        <f aca="false">IF(AND(E2345&gt;0,OR(AND(B2345&gt;=1,B2345&lt;=6),B2345=10)),1,0)</f>
        <v>0</v>
      </c>
      <c r="AA2345" s="39" t="n">
        <f aca="false">IF(AND(E2345&gt;0,B2345=10),1,0)</f>
        <v>0</v>
      </c>
      <c r="AB2345" s="0" t="str">
        <f aca="false">IF(AND(C2344=C2345,Y2344=Y2345-1),Z2344,"")</f>
        <v/>
      </c>
      <c r="AC2345" s="0" t="str">
        <f aca="false">IF(AND(C2344=C2345,Y2344=Y2345-1),AA2344,"")</f>
        <v/>
      </c>
      <c r="AD2345" s="0" t="str">
        <f aca="false">IF(Y2345=1,"",IF(AND(Z2345=1,AB2345&lt;&gt;1),1,0))</f>
        <v/>
      </c>
      <c r="AE2345" s="0" t="str">
        <f aca="false">IF(Y2345=1,"",IF(AND(AA2345=1,AC2345&lt;&gt;1),1,0))</f>
        <v/>
      </c>
      <c r="AF2345" s="45" t="str">
        <f aca="false">IF(AND(E2345&gt;0,Y2345&lt;1,NOT(AND(C2346=C2345,Y2346=Y2345+1))),INDEX(DATAS,Y2345+1),"")</f>
        <v/>
      </c>
      <c r="AG2345" s="45" t="str">
        <f aca="false">IF(AND(AA2345=1,Y2345&lt;1),IF(AND(C2346=C2345,Y2346=Y2345+1),IF(AA2346=1,"",INDEX(DATAS,Y2345+1)),INDEX(DATAS,Y2345+1)),"")</f>
        <v/>
      </c>
    </row>
    <row r="2346" customFormat="false" ht="15" hidden="false" customHeight="false" outlineLevel="0" collapsed="false">
      <c r="A2346" s="45" t="n">
        <v>46309</v>
      </c>
      <c r="B2346" s="0" t="n">
        <v>8</v>
      </c>
      <c r="C2346" s="0" t="n">
        <v>6644</v>
      </c>
      <c r="E2346" s="0" t="n">
        <v>0</v>
      </c>
      <c r="F2346" s="39" t="s">
        <v>1212</v>
      </c>
      <c r="I2346" s="39" t="s">
        <v>109</v>
      </c>
      <c r="L2346" s="0" t="n">
        <v>71</v>
      </c>
      <c r="U2346" s="0" t="n">
        <v>490</v>
      </c>
      <c r="V2346" s="0" t="n">
        <v>2</v>
      </c>
      <c r="W2346" s="39" t="n">
        <f aca="false">IF(I2346="Male",0,1)</f>
        <v>1</v>
      </c>
      <c r="X2346" s="39" t="n">
        <f aca="false">IF(OR(I2346="DNB",I2346="Dry DNB"),1,0)</f>
        <v>0</v>
      </c>
      <c r="Y2346" s="39" t="n">
        <f aca="false">MATCH(A2346,DATAS,0)</f>
        <v>1</v>
      </c>
      <c r="Z2346" s="39" t="n">
        <f aca="false">IF(AND(E2346&gt;0,OR(AND(B2346&gt;=1,B2346&lt;=6),B2346=10)),1,0)</f>
        <v>0</v>
      </c>
      <c r="AA2346" s="39" t="n">
        <f aca="false">IF(AND(E2346&gt;0,B2346=10),1,0)</f>
        <v>0</v>
      </c>
      <c r="AB2346" s="0" t="str">
        <f aca="false">IF(AND(C2345=C2346,Y2345=Y2346-1),Z2345,"")</f>
        <v/>
      </c>
      <c r="AC2346" s="0" t="str">
        <f aca="false">IF(AND(C2345=C2346,Y2345=Y2346-1),AA2345,"")</f>
        <v/>
      </c>
      <c r="AD2346" s="0" t="str">
        <f aca="false">IF(Y2346=1,"",IF(AND(Z2346=1,AB2346&lt;&gt;1),1,0))</f>
        <v/>
      </c>
      <c r="AE2346" s="0" t="str">
        <f aca="false">IF(Y2346=1,"",IF(AND(AA2346=1,AC2346&lt;&gt;1),1,0))</f>
        <v/>
      </c>
      <c r="AF2346" s="45" t="str">
        <f aca="false">IF(AND(E2346&gt;0,Y2346&lt;1,NOT(AND(C2347=C2346,Y2347=Y2346+1))),INDEX(DATAS,Y2346+1),"")</f>
        <v/>
      </c>
      <c r="AG2346" s="45" t="str">
        <f aca="false">IF(AND(AA2346=1,Y2346&lt;1),IF(AND(C2347=C2346,Y2347=Y2346+1),IF(AA2347=1,"",INDEX(DATAS,Y2346+1)),INDEX(DATAS,Y2346+1)),"")</f>
        <v/>
      </c>
    </row>
    <row r="2347" customFormat="false" ht="15" hidden="false" customHeight="false" outlineLevel="0" collapsed="false">
      <c r="A2347" s="45" t="n">
        <v>46309</v>
      </c>
      <c r="B2347" s="0" t="n">
        <v>8</v>
      </c>
      <c r="C2347" s="0" t="n">
        <v>6645</v>
      </c>
      <c r="E2347" s="0" t="n">
        <v>0</v>
      </c>
      <c r="F2347" s="39" t="s">
        <v>1213</v>
      </c>
      <c r="I2347" s="39" t="s">
        <v>109</v>
      </c>
      <c r="L2347" s="0" t="n">
        <v>69</v>
      </c>
      <c r="U2347" s="0" t="n">
        <v>489</v>
      </c>
      <c r="V2347" s="0" t="n">
        <v>2</v>
      </c>
      <c r="W2347" s="39" t="n">
        <f aca="false">IF(I2347="Male",0,1)</f>
        <v>1</v>
      </c>
      <c r="X2347" s="39" t="n">
        <f aca="false">IF(OR(I2347="DNB",I2347="Dry DNB"),1,0)</f>
        <v>0</v>
      </c>
      <c r="Y2347" s="39" t="n">
        <f aca="false">MATCH(A2347,DATAS,0)</f>
        <v>1</v>
      </c>
      <c r="Z2347" s="39" t="n">
        <f aca="false">IF(AND(E2347&gt;0,OR(AND(B2347&gt;=1,B2347&lt;=6),B2347=10)),1,0)</f>
        <v>0</v>
      </c>
      <c r="AA2347" s="39" t="n">
        <f aca="false">IF(AND(E2347&gt;0,B2347=10),1,0)</f>
        <v>0</v>
      </c>
      <c r="AB2347" s="0" t="str">
        <f aca="false">IF(AND(C2346=C2347,Y2346=Y2347-1),Z2346,"")</f>
        <v/>
      </c>
      <c r="AC2347" s="0" t="str">
        <f aca="false">IF(AND(C2346=C2347,Y2346=Y2347-1),AA2346,"")</f>
        <v/>
      </c>
      <c r="AD2347" s="0" t="str">
        <f aca="false">IF(Y2347=1,"",IF(AND(Z2347=1,AB2347&lt;&gt;1),1,0))</f>
        <v/>
      </c>
      <c r="AE2347" s="0" t="str">
        <f aca="false">IF(Y2347=1,"",IF(AND(AA2347=1,AC2347&lt;&gt;1),1,0))</f>
        <v/>
      </c>
      <c r="AF2347" s="45" t="str">
        <f aca="false">IF(AND(E2347&gt;0,Y2347&lt;1,NOT(AND(C2348=C2347,Y2348=Y2347+1))),INDEX(DATAS,Y2347+1),"")</f>
        <v/>
      </c>
      <c r="AG2347" s="45" t="str">
        <f aca="false">IF(AND(AA2347=1,Y2347&lt;1),IF(AND(C2348=C2347,Y2348=Y2347+1),IF(AA2348=1,"",INDEX(DATAS,Y2347+1)),INDEX(DATAS,Y2347+1)),"")</f>
        <v/>
      </c>
    </row>
    <row r="2348" customFormat="false" ht="15" hidden="false" customHeight="false" outlineLevel="0" collapsed="false">
      <c r="A2348" s="45" t="n">
        <v>46309</v>
      </c>
      <c r="B2348" s="0" t="n">
        <v>8</v>
      </c>
      <c r="C2348" s="0" t="n">
        <v>6646</v>
      </c>
      <c r="E2348" s="0" t="n">
        <v>0</v>
      </c>
      <c r="F2348" s="39" t="s">
        <v>1214</v>
      </c>
      <c r="I2348" s="39" t="s">
        <v>109</v>
      </c>
      <c r="L2348" s="0" t="n">
        <v>44</v>
      </c>
      <c r="U2348" s="0" t="n">
        <v>488</v>
      </c>
      <c r="V2348" s="0" t="n">
        <v>2</v>
      </c>
      <c r="W2348" s="39" t="n">
        <f aca="false">IF(I2348="Male",0,1)</f>
        <v>1</v>
      </c>
      <c r="X2348" s="39" t="n">
        <f aca="false">IF(OR(I2348="DNB",I2348="Dry DNB"),1,0)</f>
        <v>0</v>
      </c>
      <c r="Y2348" s="39" t="n">
        <f aca="false">MATCH(A2348,DATAS,0)</f>
        <v>1</v>
      </c>
      <c r="Z2348" s="39" t="n">
        <f aca="false">IF(AND(E2348&gt;0,OR(AND(B2348&gt;=1,B2348&lt;=6),B2348=10)),1,0)</f>
        <v>0</v>
      </c>
      <c r="AA2348" s="39" t="n">
        <f aca="false">IF(AND(E2348&gt;0,B2348=10),1,0)</f>
        <v>0</v>
      </c>
      <c r="AB2348" s="0" t="str">
        <f aca="false">IF(AND(C2347=C2348,Y2347=Y2348-1),Z2347,"")</f>
        <v/>
      </c>
      <c r="AC2348" s="0" t="str">
        <f aca="false">IF(AND(C2347=C2348,Y2347=Y2348-1),AA2347,"")</f>
        <v/>
      </c>
      <c r="AD2348" s="0" t="str">
        <f aca="false">IF(Y2348=1,"",IF(AND(Z2348=1,AB2348&lt;&gt;1),1,0))</f>
        <v/>
      </c>
      <c r="AE2348" s="0" t="str">
        <f aca="false">IF(Y2348=1,"",IF(AND(AA2348=1,AC2348&lt;&gt;1),1,0))</f>
        <v/>
      </c>
      <c r="AF2348" s="45" t="str">
        <f aca="false">IF(AND(E2348&gt;0,Y2348&lt;1,NOT(AND(C2349=C2348,Y2349=Y2348+1))),INDEX(DATAS,Y2348+1),"")</f>
        <v/>
      </c>
      <c r="AG2348" s="45" t="str">
        <f aca="false">IF(AND(AA2348=1,Y2348&lt;1),IF(AND(C2349=C2348,Y2349=Y2348+1),IF(AA2349=1,"",INDEX(DATAS,Y2348+1)),INDEX(DATAS,Y2348+1)),"")</f>
        <v/>
      </c>
    </row>
    <row r="2349" customFormat="false" ht="15" hidden="false" customHeight="false" outlineLevel="0" collapsed="false">
      <c r="A2349" s="45" t="n">
        <v>46309</v>
      </c>
      <c r="B2349" s="0" t="n">
        <v>8</v>
      </c>
      <c r="C2349" s="0" t="n">
        <v>6647</v>
      </c>
      <c r="E2349" s="0" t="n">
        <v>0</v>
      </c>
      <c r="F2349" s="39" t="s">
        <v>1214</v>
      </c>
      <c r="I2349" s="39" t="s">
        <v>109</v>
      </c>
      <c r="L2349" s="0" t="n">
        <v>62</v>
      </c>
      <c r="U2349" s="0" t="n">
        <v>488</v>
      </c>
      <c r="V2349" s="0" t="n">
        <v>2</v>
      </c>
      <c r="W2349" s="39" t="n">
        <f aca="false">IF(I2349="Male",0,1)</f>
        <v>1</v>
      </c>
      <c r="X2349" s="39" t="n">
        <f aca="false">IF(OR(I2349="DNB",I2349="Dry DNB"),1,0)</f>
        <v>0</v>
      </c>
      <c r="Y2349" s="39" t="n">
        <f aca="false">MATCH(A2349,DATAS,0)</f>
        <v>1</v>
      </c>
      <c r="Z2349" s="39" t="n">
        <f aca="false">IF(AND(E2349&gt;0,OR(AND(B2349&gt;=1,B2349&lt;=6),B2349=10)),1,0)</f>
        <v>0</v>
      </c>
      <c r="AA2349" s="39" t="n">
        <f aca="false">IF(AND(E2349&gt;0,B2349=10),1,0)</f>
        <v>0</v>
      </c>
      <c r="AB2349" s="0" t="str">
        <f aca="false">IF(AND(C2348=C2349,Y2348=Y2349-1),Z2348,"")</f>
        <v/>
      </c>
      <c r="AC2349" s="0" t="str">
        <f aca="false">IF(AND(C2348=C2349,Y2348=Y2349-1),AA2348,"")</f>
        <v/>
      </c>
      <c r="AD2349" s="0" t="str">
        <f aca="false">IF(Y2349=1,"",IF(AND(Z2349=1,AB2349&lt;&gt;1),1,0))</f>
        <v/>
      </c>
      <c r="AE2349" s="0" t="str">
        <f aca="false">IF(Y2349=1,"",IF(AND(AA2349=1,AC2349&lt;&gt;1),1,0))</f>
        <v/>
      </c>
      <c r="AF2349" s="45" t="str">
        <f aca="false">IF(AND(E2349&gt;0,Y2349&lt;1,NOT(AND(C2350=C2349,Y2350=Y2349+1))),INDEX(DATAS,Y2349+1),"")</f>
        <v/>
      </c>
      <c r="AG2349" s="45" t="str">
        <f aca="false">IF(AND(AA2349=1,Y2349&lt;1),IF(AND(C2350=C2349,Y2350=Y2349+1),IF(AA2350=1,"",INDEX(DATAS,Y2349+1)),INDEX(DATAS,Y2349+1)),"")</f>
        <v/>
      </c>
    </row>
    <row r="2350" customFormat="false" ht="15" hidden="false" customHeight="false" outlineLevel="0" collapsed="false">
      <c r="A2350" s="45" t="n">
        <v>46309</v>
      </c>
      <c r="B2350" s="0" t="n">
        <v>8</v>
      </c>
      <c r="C2350" s="0" t="n">
        <v>6648</v>
      </c>
      <c r="E2350" s="0" t="n">
        <v>0</v>
      </c>
      <c r="F2350" s="39" t="s">
        <v>1215</v>
      </c>
      <c r="I2350" s="39" t="s">
        <v>109</v>
      </c>
      <c r="L2350" s="0" t="n">
        <v>85</v>
      </c>
      <c r="U2350" s="0" t="n">
        <v>486</v>
      </c>
      <c r="V2350" s="0" t="n">
        <v>1</v>
      </c>
      <c r="W2350" s="39" t="n">
        <f aca="false">IF(I2350="Male",0,1)</f>
        <v>1</v>
      </c>
      <c r="X2350" s="39" t="n">
        <f aca="false">IF(OR(I2350="DNB",I2350="Dry DNB"),1,0)</f>
        <v>0</v>
      </c>
      <c r="Y2350" s="39" t="n">
        <f aca="false">MATCH(A2350,DATAS,0)</f>
        <v>1</v>
      </c>
      <c r="Z2350" s="39" t="n">
        <f aca="false">IF(AND(E2350&gt;0,OR(AND(B2350&gt;=1,B2350&lt;=6),B2350=10)),1,0)</f>
        <v>0</v>
      </c>
      <c r="AA2350" s="39" t="n">
        <f aca="false">IF(AND(E2350&gt;0,B2350=10),1,0)</f>
        <v>0</v>
      </c>
      <c r="AB2350" s="0" t="str">
        <f aca="false">IF(AND(C2349=C2350,Y2349=Y2350-1),Z2349,"")</f>
        <v/>
      </c>
      <c r="AC2350" s="0" t="str">
        <f aca="false">IF(AND(C2349=C2350,Y2349=Y2350-1),AA2349,"")</f>
        <v/>
      </c>
      <c r="AD2350" s="0" t="str">
        <f aca="false">IF(Y2350=1,"",IF(AND(Z2350=1,AB2350&lt;&gt;1),1,0))</f>
        <v/>
      </c>
      <c r="AE2350" s="0" t="str">
        <f aca="false">IF(Y2350=1,"",IF(AND(AA2350=1,AC2350&lt;&gt;1),1,0))</f>
        <v/>
      </c>
      <c r="AF2350" s="45" t="str">
        <f aca="false">IF(AND(E2350&gt;0,Y2350&lt;1,NOT(AND(C2351=C2350,Y2351=Y2350+1))),INDEX(DATAS,Y2350+1),"")</f>
        <v/>
      </c>
      <c r="AG2350" s="45" t="str">
        <f aca="false">IF(AND(AA2350=1,Y2350&lt;1),IF(AND(C2351=C2350,Y2351=Y2350+1),IF(AA2351=1,"",INDEX(DATAS,Y2350+1)),INDEX(DATAS,Y2350+1)),"")</f>
        <v/>
      </c>
    </row>
    <row r="2351" customFormat="false" ht="15" hidden="false" customHeight="false" outlineLevel="0" collapsed="false">
      <c r="A2351" s="45" t="n">
        <v>46309</v>
      </c>
      <c r="B2351" s="0" t="n">
        <v>11</v>
      </c>
      <c r="C2351" s="0" t="n">
        <v>6649</v>
      </c>
      <c r="E2351" s="0" t="n">
        <v>0</v>
      </c>
      <c r="F2351" s="39" t="s">
        <v>1215</v>
      </c>
      <c r="I2351" s="39" t="s">
        <v>138</v>
      </c>
      <c r="U2351" s="0" t="n">
        <v>486</v>
      </c>
      <c r="V2351" s="0" t="n">
        <v>3</v>
      </c>
      <c r="W2351" s="39" t="n">
        <f aca="false">IF(I2351="Male",0,1)</f>
        <v>1</v>
      </c>
      <c r="X2351" s="39" t="n">
        <f aca="false">IF(OR(I2351="DNB",I2351="Dry DNB"),1,0)</f>
        <v>0</v>
      </c>
      <c r="Y2351" s="39" t="n">
        <f aca="false">MATCH(A2351,DATAS,0)</f>
        <v>1</v>
      </c>
      <c r="Z2351" s="39" t="n">
        <f aca="false">IF(AND(E2351&gt;0,OR(AND(B2351&gt;=1,B2351&lt;=6),B2351=10)),1,0)</f>
        <v>0</v>
      </c>
      <c r="AA2351" s="39" t="n">
        <f aca="false">IF(AND(E2351&gt;0,B2351=10),1,0)</f>
        <v>0</v>
      </c>
      <c r="AB2351" s="0" t="str">
        <f aca="false">IF(AND(C2350=C2351,Y2350=Y2351-1),Z2350,"")</f>
        <v/>
      </c>
      <c r="AC2351" s="0" t="str">
        <f aca="false">IF(AND(C2350=C2351,Y2350=Y2351-1),AA2350,"")</f>
        <v/>
      </c>
      <c r="AD2351" s="0" t="str">
        <f aca="false">IF(Y2351=1,"",IF(AND(Z2351=1,AB2351&lt;&gt;1),1,0))</f>
        <v/>
      </c>
      <c r="AE2351" s="0" t="str">
        <f aca="false">IF(Y2351=1,"",IF(AND(AA2351=1,AC2351&lt;&gt;1),1,0))</f>
        <v/>
      </c>
      <c r="AF2351" s="45" t="str">
        <f aca="false">IF(AND(E2351&gt;0,Y2351&lt;1,NOT(AND(C2352=C2351,Y2352=Y2351+1))),INDEX(DATAS,Y2351+1),"")</f>
        <v/>
      </c>
      <c r="AG2351" s="45" t="str">
        <f aca="false">IF(AND(AA2351=1,Y2351&lt;1),IF(AND(C2352=C2351,Y2352=Y2351+1),IF(AA2352=1,"",INDEX(DATAS,Y2351+1)),INDEX(DATAS,Y2351+1)),"")</f>
        <v/>
      </c>
    </row>
    <row r="2352" customFormat="false" ht="15" hidden="false" customHeight="false" outlineLevel="0" collapsed="false">
      <c r="A2352" s="45" t="n">
        <v>46309</v>
      </c>
      <c r="B2352" s="0" t="n">
        <v>11</v>
      </c>
      <c r="C2352" s="0" t="n">
        <v>6650</v>
      </c>
      <c r="E2352" s="0" t="n">
        <v>0</v>
      </c>
      <c r="F2352" s="39" t="s">
        <v>1215</v>
      </c>
      <c r="I2352" s="39" t="s">
        <v>138</v>
      </c>
      <c r="U2352" s="0" t="n">
        <v>486</v>
      </c>
      <c r="V2352" s="0" t="n">
        <v>4</v>
      </c>
      <c r="W2352" s="39" t="n">
        <f aca="false">IF(I2352="Male",0,1)</f>
        <v>1</v>
      </c>
      <c r="X2352" s="39" t="n">
        <f aca="false">IF(OR(I2352="DNB",I2352="Dry DNB"),1,0)</f>
        <v>0</v>
      </c>
      <c r="Y2352" s="39" t="n">
        <f aca="false">MATCH(A2352,DATAS,0)</f>
        <v>1</v>
      </c>
      <c r="Z2352" s="39" t="n">
        <f aca="false">IF(AND(E2352&gt;0,OR(AND(B2352&gt;=1,B2352&lt;=6),B2352=10)),1,0)</f>
        <v>0</v>
      </c>
      <c r="AA2352" s="39" t="n">
        <f aca="false">IF(AND(E2352&gt;0,B2352=10),1,0)</f>
        <v>0</v>
      </c>
      <c r="AB2352" s="0" t="str">
        <f aca="false">IF(AND(C2351=C2352,Y2351=Y2352-1),Z2351,"")</f>
        <v/>
      </c>
      <c r="AC2352" s="0" t="str">
        <f aca="false">IF(AND(C2351=C2352,Y2351=Y2352-1),AA2351,"")</f>
        <v/>
      </c>
      <c r="AD2352" s="0" t="str">
        <f aca="false">IF(Y2352=1,"",IF(AND(Z2352=1,AB2352&lt;&gt;1),1,0))</f>
        <v/>
      </c>
      <c r="AE2352" s="0" t="str">
        <f aca="false">IF(Y2352=1,"",IF(AND(AA2352=1,AC2352&lt;&gt;1),1,0))</f>
        <v/>
      </c>
      <c r="AF2352" s="45" t="str">
        <f aca="false">IF(AND(E2352&gt;0,Y2352&lt;1,NOT(AND(C2353=C2352,Y2353=Y2352+1))),INDEX(DATAS,Y2352+1),"")</f>
        <v/>
      </c>
      <c r="AG2352" s="45" t="str">
        <f aca="false">IF(AND(AA2352=1,Y2352&lt;1),IF(AND(C2353=C2352,Y2353=Y2352+1),IF(AA2353=1,"",INDEX(DATAS,Y2352+1)),INDEX(DATAS,Y2352+1)),"")</f>
        <v/>
      </c>
    </row>
    <row r="2353" customFormat="false" ht="15" hidden="false" customHeight="false" outlineLevel="0" collapsed="false">
      <c r="A2353" s="45" t="n">
        <v>46309</v>
      </c>
      <c r="B2353" s="0" t="n">
        <v>11</v>
      </c>
      <c r="C2353" s="0" t="n">
        <v>6651</v>
      </c>
      <c r="E2353" s="0" t="n">
        <v>0</v>
      </c>
      <c r="F2353" s="39" t="s">
        <v>1215</v>
      </c>
      <c r="I2353" s="39" t="s">
        <v>138</v>
      </c>
      <c r="U2353" s="0" t="n">
        <v>486</v>
      </c>
      <c r="V2353" s="0" t="n">
        <v>4</v>
      </c>
      <c r="W2353" s="39" t="n">
        <f aca="false">IF(I2353="Male",0,1)</f>
        <v>1</v>
      </c>
      <c r="X2353" s="39" t="n">
        <f aca="false">IF(OR(I2353="DNB",I2353="Dry DNB"),1,0)</f>
        <v>0</v>
      </c>
      <c r="Y2353" s="39" t="n">
        <f aca="false">MATCH(A2353,DATAS,0)</f>
        <v>1</v>
      </c>
      <c r="Z2353" s="39" t="n">
        <f aca="false">IF(AND(E2353&gt;0,OR(AND(B2353&gt;=1,B2353&lt;=6),B2353=10)),1,0)</f>
        <v>0</v>
      </c>
      <c r="AA2353" s="39" t="n">
        <f aca="false">IF(AND(E2353&gt;0,B2353=10),1,0)</f>
        <v>0</v>
      </c>
      <c r="AB2353" s="0" t="str">
        <f aca="false">IF(AND(C2352=C2353,Y2352=Y2353-1),Z2352,"")</f>
        <v/>
      </c>
      <c r="AC2353" s="0" t="str">
        <f aca="false">IF(AND(C2352=C2353,Y2352=Y2353-1),AA2352,"")</f>
        <v/>
      </c>
      <c r="AD2353" s="0" t="str">
        <f aca="false">IF(Y2353=1,"",IF(AND(Z2353=1,AB2353&lt;&gt;1),1,0))</f>
        <v/>
      </c>
      <c r="AE2353" s="0" t="str">
        <f aca="false">IF(Y2353=1,"",IF(AND(AA2353=1,AC2353&lt;&gt;1),1,0))</f>
        <v/>
      </c>
      <c r="AF2353" s="45" t="str">
        <f aca="false">IF(AND(E2353&gt;0,Y2353&lt;1,NOT(AND(C2354=C2353,Y2354=Y2353+1))),INDEX(DATAS,Y2353+1),"")</f>
        <v/>
      </c>
      <c r="AG2353" s="45" t="str">
        <f aca="false">IF(AND(AA2353=1,Y2353&lt;1),IF(AND(C2354=C2353,Y2354=Y2353+1),IF(AA2354=1,"",INDEX(DATAS,Y2353+1)),INDEX(DATAS,Y2353+1)),"")</f>
        <v/>
      </c>
    </row>
    <row r="2354" customFormat="false" ht="15" hidden="false" customHeight="false" outlineLevel="0" collapsed="false">
      <c r="A2354" s="45" t="n">
        <v>46309</v>
      </c>
      <c r="B2354" s="0" t="n">
        <v>11</v>
      </c>
      <c r="C2354" s="0" t="n">
        <v>6652</v>
      </c>
      <c r="E2354" s="0" t="n">
        <v>0</v>
      </c>
      <c r="F2354" s="39" t="s">
        <v>1215</v>
      </c>
      <c r="I2354" s="39" t="s">
        <v>138</v>
      </c>
      <c r="U2354" s="0" t="n">
        <v>486</v>
      </c>
      <c r="V2354" s="0" t="n">
        <v>4</v>
      </c>
      <c r="W2354" s="39" t="n">
        <f aca="false">IF(I2354="Male",0,1)</f>
        <v>1</v>
      </c>
      <c r="X2354" s="39" t="n">
        <f aca="false">IF(OR(I2354="DNB",I2354="Dry DNB"),1,0)</f>
        <v>0</v>
      </c>
      <c r="Y2354" s="39" t="n">
        <f aca="false">MATCH(A2354,DATAS,0)</f>
        <v>1</v>
      </c>
      <c r="Z2354" s="39" t="n">
        <f aca="false">IF(AND(E2354&gt;0,OR(AND(B2354&gt;=1,B2354&lt;=6),B2354=10)),1,0)</f>
        <v>0</v>
      </c>
      <c r="AA2354" s="39" t="n">
        <f aca="false">IF(AND(E2354&gt;0,B2354=10),1,0)</f>
        <v>0</v>
      </c>
      <c r="AB2354" s="0" t="str">
        <f aca="false">IF(AND(C2353=C2354,Y2353=Y2354-1),Z2353,"")</f>
        <v/>
      </c>
      <c r="AC2354" s="0" t="str">
        <f aca="false">IF(AND(C2353=C2354,Y2353=Y2354-1),AA2353,"")</f>
        <v/>
      </c>
      <c r="AD2354" s="0" t="str">
        <f aca="false">IF(Y2354=1,"",IF(AND(Z2354=1,AB2354&lt;&gt;1),1,0))</f>
        <v/>
      </c>
      <c r="AE2354" s="0" t="str">
        <f aca="false">IF(Y2354=1,"",IF(AND(AA2354=1,AC2354&lt;&gt;1),1,0))</f>
        <v/>
      </c>
      <c r="AF2354" s="45" t="str">
        <f aca="false">IF(AND(E2354&gt;0,Y2354&lt;1,NOT(AND(C2355=C2354,Y2355=Y2354+1))),INDEX(DATAS,Y2354+1),"")</f>
        <v/>
      </c>
      <c r="AG2354" s="45" t="str">
        <f aca="false">IF(AND(AA2354=1,Y2354&lt;1),IF(AND(C2355=C2354,Y2355=Y2354+1),IF(AA2355=1,"",INDEX(DATAS,Y2354+1)),INDEX(DATAS,Y2354+1)),"")</f>
        <v/>
      </c>
    </row>
    <row r="2355" customFormat="false" ht="15" hidden="false" customHeight="false" outlineLevel="0" collapsed="false">
      <c r="A2355" s="45" t="n">
        <v>46309</v>
      </c>
      <c r="B2355" s="0" t="n">
        <v>8</v>
      </c>
      <c r="C2355" s="0" t="n">
        <v>6653</v>
      </c>
      <c r="E2355" s="0" t="n">
        <v>0</v>
      </c>
      <c r="F2355" s="39" t="s">
        <v>1215</v>
      </c>
      <c r="I2355" s="39" t="s">
        <v>109</v>
      </c>
      <c r="L2355" s="0" t="n">
        <v>85</v>
      </c>
      <c r="U2355" s="0" t="n">
        <v>486</v>
      </c>
      <c r="V2355" s="0" t="n">
        <v>1</v>
      </c>
      <c r="W2355" s="39" t="n">
        <f aca="false">IF(I2355="Male",0,1)</f>
        <v>1</v>
      </c>
      <c r="X2355" s="39" t="n">
        <f aca="false">IF(OR(I2355="DNB",I2355="Dry DNB"),1,0)</f>
        <v>0</v>
      </c>
      <c r="Y2355" s="39" t="n">
        <f aca="false">MATCH(A2355,DATAS,0)</f>
        <v>1</v>
      </c>
      <c r="Z2355" s="39" t="n">
        <f aca="false">IF(AND(E2355&gt;0,OR(AND(B2355&gt;=1,B2355&lt;=6),B2355=10)),1,0)</f>
        <v>0</v>
      </c>
      <c r="AA2355" s="39" t="n">
        <f aca="false">IF(AND(E2355&gt;0,B2355=10),1,0)</f>
        <v>0</v>
      </c>
      <c r="AB2355" s="0" t="str">
        <f aca="false">IF(AND(C2354=C2355,Y2354=Y2355-1),Z2354,"")</f>
        <v/>
      </c>
      <c r="AC2355" s="0" t="str">
        <f aca="false">IF(AND(C2354=C2355,Y2354=Y2355-1),AA2354,"")</f>
        <v/>
      </c>
      <c r="AD2355" s="0" t="str">
        <f aca="false">IF(Y2355=1,"",IF(AND(Z2355=1,AB2355&lt;&gt;1),1,0))</f>
        <v/>
      </c>
      <c r="AE2355" s="0" t="str">
        <f aca="false">IF(Y2355=1,"",IF(AND(AA2355=1,AC2355&lt;&gt;1),1,0))</f>
        <v/>
      </c>
      <c r="AF2355" s="45" t="str">
        <f aca="false">IF(AND(E2355&gt;0,Y2355&lt;1,NOT(AND(C2356=C2355,Y2356=Y2355+1))),INDEX(DATAS,Y2355+1),"")</f>
        <v/>
      </c>
      <c r="AG2355" s="45" t="str">
        <f aca="false">IF(AND(AA2355=1,Y2355&lt;1),IF(AND(C2356=C2355,Y2356=Y2355+1),IF(AA2356=1,"",INDEX(DATAS,Y2355+1)),INDEX(DATAS,Y2355+1)),"")</f>
        <v/>
      </c>
    </row>
    <row r="2356" customFormat="false" ht="15" hidden="false" customHeight="false" outlineLevel="0" collapsed="false">
      <c r="A2356" s="45" t="n">
        <v>46309</v>
      </c>
      <c r="B2356" s="0" t="n">
        <v>8</v>
      </c>
      <c r="C2356" s="0" t="n">
        <v>6654</v>
      </c>
      <c r="E2356" s="0" t="n">
        <v>0</v>
      </c>
      <c r="F2356" s="39" t="s">
        <v>1216</v>
      </c>
      <c r="I2356" s="39" t="s">
        <v>109</v>
      </c>
      <c r="L2356" s="0" t="n">
        <v>49</v>
      </c>
      <c r="U2356" s="0" t="n">
        <v>485</v>
      </c>
      <c r="V2356" s="0" t="n">
        <v>1</v>
      </c>
      <c r="W2356" s="39" t="n">
        <f aca="false">IF(I2356="Male",0,1)</f>
        <v>1</v>
      </c>
      <c r="X2356" s="39" t="n">
        <f aca="false">IF(OR(I2356="DNB",I2356="Dry DNB"),1,0)</f>
        <v>0</v>
      </c>
      <c r="Y2356" s="39" t="n">
        <f aca="false">MATCH(A2356,DATAS,0)</f>
        <v>1</v>
      </c>
      <c r="Z2356" s="39" t="n">
        <f aca="false">IF(AND(E2356&gt;0,OR(AND(B2356&gt;=1,B2356&lt;=6),B2356=10)),1,0)</f>
        <v>0</v>
      </c>
      <c r="AA2356" s="39" t="n">
        <f aca="false">IF(AND(E2356&gt;0,B2356=10),1,0)</f>
        <v>0</v>
      </c>
      <c r="AB2356" s="0" t="str">
        <f aca="false">IF(AND(C2355=C2356,Y2355=Y2356-1),Z2355,"")</f>
        <v/>
      </c>
      <c r="AC2356" s="0" t="str">
        <f aca="false">IF(AND(C2355=C2356,Y2355=Y2356-1),AA2355,"")</f>
        <v/>
      </c>
      <c r="AD2356" s="0" t="str">
        <f aca="false">IF(Y2356=1,"",IF(AND(Z2356=1,AB2356&lt;&gt;1),1,0))</f>
        <v/>
      </c>
      <c r="AE2356" s="0" t="str">
        <f aca="false">IF(Y2356=1,"",IF(AND(AA2356=1,AC2356&lt;&gt;1),1,0))</f>
        <v/>
      </c>
      <c r="AF2356" s="45" t="str">
        <f aca="false">IF(AND(E2356&gt;0,Y2356&lt;1,NOT(AND(C2357=C2356,Y2357=Y2356+1))),INDEX(DATAS,Y2356+1),"")</f>
        <v/>
      </c>
      <c r="AG2356" s="45" t="str">
        <f aca="false">IF(AND(AA2356=1,Y2356&lt;1),IF(AND(C2357=C2356,Y2357=Y2356+1),IF(AA2357=1,"",INDEX(DATAS,Y2356+1)),INDEX(DATAS,Y2356+1)),"")</f>
        <v/>
      </c>
    </row>
    <row r="2357" customFormat="false" ht="15" hidden="false" customHeight="false" outlineLevel="0" collapsed="false">
      <c r="A2357" s="45" t="n">
        <v>46309</v>
      </c>
      <c r="B2357" s="0" t="n">
        <v>8</v>
      </c>
      <c r="C2357" s="0" t="n">
        <v>6655</v>
      </c>
      <c r="E2357" s="0" t="n">
        <v>0</v>
      </c>
      <c r="F2357" s="39" t="s">
        <v>1216</v>
      </c>
      <c r="I2357" s="39" t="s">
        <v>109</v>
      </c>
      <c r="L2357" s="0" t="n">
        <v>56</v>
      </c>
      <c r="U2357" s="0" t="n">
        <v>485</v>
      </c>
      <c r="V2357" s="0" t="n">
        <v>3</v>
      </c>
      <c r="W2357" s="39" t="n">
        <f aca="false">IF(I2357="Male",0,1)</f>
        <v>1</v>
      </c>
      <c r="X2357" s="39" t="n">
        <f aca="false">IF(OR(I2357="DNB",I2357="Dry DNB"),1,0)</f>
        <v>0</v>
      </c>
      <c r="Y2357" s="39" t="n">
        <f aca="false">MATCH(A2357,DATAS,0)</f>
        <v>1</v>
      </c>
      <c r="Z2357" s="39" t="n">
        <f aca="false">IF(AND(E2357&gt;0,OR(AND(B2357&gt;=1,B2357&lt;=6),B2357=10)),1,0)</f>
        <v>0</v>
      </c>
      <c r="AA2357" s="39" t="n">
        <f aca="false">IF(AND(E2357&gt;0,B2357=10),1,0)</f>
        <v>0</v>
      </c>
      <c r="AB2357" s="0" t="str">
        <f aca="false">IF(AND(C2356=C2357,Y2356=Y2357-1),Z2356,"")</f>
        <v/>
      </c>
      <c r="AC2357" s="0" t="str">
        <f aca="false">IF(AND(C2356=C2357,Y2356=Y2357-1),AA2356,"")</f>
        <v/>
      </c>
      <c r="AD2357" s="0" t="str">
        <f aca="false">IF(Y2357=1,"",IF(AND(Z2357=1,AB2357&lt;&gt;1),1,0))</f>
        <v/>
      </c>
      <c r="AE2357" s="0" t="str">
        <f aca="false">IF(Y2357=1,"",IF(AND(AA2357=1,AC2357&lt;&gt;1),1,0))</f>
        <v/>
      </c>
      <c r="AF2357" s="45" t="str">
        <f aca="false">IF(AND(E2357&gt;0,Y2357&lt;1,NOT(AND(C2358=C2357,Y2358=Y2357+1))),INDEX(DATAS,Y2357+1),"")</f>
        <v/>
      </c>
      <c r="AG2357" s="45" t="str">
        <f aca="false">IF(AND(AA2357=1,Y2357&lt;1),IF(AND(C2358=C2357,Y2358=Y2357+1),IF(AA2358=1,"",INDEX(DATAS,Y2357+1)),INDEX(DATAS,Y2357+1)),"")</f>
        <v/>
      </c>
    </row>
    <row r="2358" customFormat="false" ht="15" hidden="false" customHeight="false" outlineLevel="0" collapsed="false">
      <c r="A2358" s="45" t="n">
        <v>46309</v>
      </c>
      <c r="B2358" s="0" t="n">
        <v>8</v>
      </c>
      <c r="C2358" s="0" t="n">
        <v>6656</v>
      </c>
      <c r="E2358" s="0" t="n">
        <v>0</v>
      </c>
      <c r="F2358" s="39" t="s">
        <v>1216</v>
      </c>
      <c r="I2358" s="39" t="s">
        <v>109</v>
      </c>
      <c r="L2358" s="0" t="n">
        <v>86</v>
      </c>
      <c r="U2358" s="0" t="n">
        <v>485</v>
      </c>
      <c r="V2358" s="0" t="n">
        <v>1</v>
      </c>
      <c r="W2358" s="39" t="n">
        <f aca="false">IF(I2358="Male",0,1)</f>
        <v>1</v>
      </c>
      <c r="X2358" s="39" t="n">
        <f aca="false">IF(OR(I2358="DNB",I2358="Dry DNB"),1,0)</f>
        <v>0</v>
      </c>
      <c r="Y2358" s="39" t="n">
        <f aca="false">MATCH(A2358,DATAS,0)</f>
        <v>1</v>
      </c>
      <c r="Z2358" s="39" t="n">
        <f aca="false">IF(AND(E2358&gt;0,OR(AND(B2358&gt;=1,B2358&lt;=6),B2358=10)),1,0)</f>
        <v>0</v>
      </c>
      <c r="AA2358" s="39" t="n">
        <f aca="false">IF(AND(E2358&gt;0,B2358=10),1,0)</f>
        <v>0</v>
      </c>
      <c r="AB2358" s="0" t="str">
        <f aca="false">IF(AND(C2357=C2358,Y2357=Y2358-1),Z2357,"")</f>
        <v/>
      </c>
      <c r="AC2358" s="0" t="str">
        <f aca="false">IF(AND(C2357=C2358,Y2357=Y2358-1),AA2357,"")</f>
        <v/>
      </c>
      <c r="AD2358" s="0" t="str">
        <f aca="false">IF(Y2358=1,"",IF(AND(Z2358=1,AB2358&lt;&gt;1),1,0))</f>
        <v/>
      </c>
      <c r="AE2358" s="0" t="str">
        <f aca="false">IF(Y2358=1,"",IF(AND(AA2358=1,AC2358&lt;&gt;1),1,0))</f>
        <v/>
      </c>
      <c r="AF2358" s="45" t="str">
        <f aca="false">IF(AND(E2358&gt;0,Y2358&lt;1,NOT(AND(C2359=C2358,Y2359=Y2358+1))),INDEX(DATAS,Y2358+1),"")</f>
        <v/>
      </c>
      <c r="AG2358" s="45" t="str">
        <f aca="false">IF(AND(AA2358=1,Y2358&lt;1),IF(AND(C2359=C2358,Y2359=Y2358+1),IF(AA2359=1,"",INDEX(DATAS,Y2358+1)),INDEX(DATAS,Y2358+1)),"")</f>
        <v/>
      </c>
    </row>
    <row r="2359" customFormat="false" ht="15" hidden="false" customHeight="false" outlineLevel="0" collapsed="false">
      <c r="A2359" s="45" t="n">
        <v>46309</v>
      </c>
      <c r="B2359" s="0" t="n">
        <v>8</v>
      </c>
      <c r="C2359" s="0" t="n">
        <v>6657</v>
      </c>
      <c r="E2359" s="0" t="n">
        <v>0</v>
      </c>
      <c r="F2359" s="39" t="s">
        <v>1216</v>
      </c>
      <c r="I2359" s="39" t="s">
        <v>109</v>
      </c>
      <c r="L2359" s="0" t="n">
        <v>94</v>
      </c>
      <c r="U2359" s="0" t="n">
        <v>485</v>
      </c>
      <c r="V2359" s="0" t="n">
        <v>1</v>
      </c>
      <c r="W2359" s="39" t="n">
        <f aca="false">IF(I2359="Male",0,1)</f>
        <v>1</v>
      </c>
      <c r="X2359" s="39" t="n">
        <f aca="false">IF(OR(I2359="DNB",I2359="Dry DNB"),1,0)</f>
        <v>0</v>
      </c>
      <c r="Y2359" s="39" t="n">
        <f aca="false">MATCH(A2359,DATAS,0)</f>
        <v>1</v>
      </c>
      <c r="Z2359" s="39" t="n">
        <f aca="false">IF(AND(E2359&gt;0,OR(AND(B2359&gt;=1,B2359&lt;=6),B2359=10)),1,0)</f>
        <v>0</v>
      </c>
      <c r="AA2359" s="39" t="n">
        <f aca="false">IF(AND(E2359&gt;0,B2359=10),1,0)</f>
        <v>0</v>
      </c>
      <c r="AB2359" s="0" t="str">
        <f aca="false">IF(AND(C2358=C2359,Y2358=Y2359-1),Z2358,"")</f>
        <v/>
      </c>
      <c r="AC2359" s="0" t="str">
        <f aca="false">IF(AND(C2358=C2359,Y2358=Y2359-1),AA2358,"")</f>
        <v/>
      </c>
      <c r="AD2359" s="0" t="str">
        <f aca="false">IF(Y2359=1,"",IF(AND(Z2359=1,AB2359&lt;&gt;1),1,0))</f>
        <v/>
      </c>
      <c r="AE2359" s="0" t="str">
        <f aca="false">IF(Y2359=1,"",IF(AND(AA2359=1,AC2359&lt;&gt;1),1,0))</f>
        <v/>
      </c>
      <c r="AF2359" s="45" t="str">
        <f aca="false">IF(AND(E2359&gt;0,Y2359&lt;1,NOT(AND(C2360=C2359,Y2360=Y2359+1))),INDEX(DATAS,Y2359+1),"")</f>
        <v/>
      </c>
      <c r="AG2359" s="45" t="str">
        <f aca="false">IF(AND(AA2359=1,Y2359&lt;1),IF(AND(C2360=C2359,Y2360=Y2359+1),IF(AA2360=1,"",INDEX(DATAS,Y2359+1)),INDEX(DATAS,Y2359+1)),"")</f>
        <v/>
      </c>
    </row>
    <row r="2360" customFormat="false" ht="15" hidden="false" customHeight="false" outlineLevel="0" collapsed="false">
      <c r="A2360" s="45" t="n">
        <v>46309</v>
      </c>
      <c r="B2360" s="0" t="n">
        <v>8</v>
      </c>
      <c r="C2360" s="0" t="n">
        <v>6658</v>
      </c>
      <c r="E2360" s="0" t="n">
        <v>0</v>
      </c>
      <c r="F2360" s="39" t="s">
        <v>1216</v>
      </c>
      <c r="I2360" s="39" t="s">
        <v>109</v>
      </c>
      <c r="L2360" s="0" t="n">
        <v>27</v>
      </c>
      <c r="U2360" s="0" t="n">
        <v>485</v>
      </c>
      <c r="V2360" s="0" t="n">
        <v>4</v>
      </c>
      <c r="W2360" s="39" t="n">
        <f aca="false">IF(I2360="Male",0,1)</f>
        <v>1</v>
      </c>
      <c r="X2360" s="39" t="n">
        <f aca="false">IF(OR(I2360="DNB",I2360="Dry DNB"),1,0)</f>
        <v>0</v>
      </c>
      <c r="Y2360" s="39" t="n">
        <f aca="false">MATCH(A2360,DATAS,0)</f>
        <v>1</v>
      </c>
      <c r="Z2360" s="39" t="n">
        <f aca="false">IF(AND(E2360&gt;0,OR(AND(B2360&gt;=1,B2360&lt;=6),B2360=10)),1,0)</f>
        <v>0</v>
      </c>
      <c r="AA2360" s="39" t="n">
        <f aca="false">IF(AND(E2360&gt;0,B2360=10),1,0)</f>
        <v>0</v>
      </c>
      <c r="AB2360" s="0" t="str">
        <f aca="false">IF(AND(C2359=C2360,Y2359=Y2360-1),Z2359,"")</f>
        <v/>
      </c>
      <c r="AC2360" s="0" t="str">
        <f aca="false">IF(AND(C2359=C2360,Y2359=Y2360-1),AA2359,"")</f>
        <v/>
      </c>
      <c r="AD2360" s="0" t="str">
        <f aca="false">IF(Y2360=1,"",IF(AND(Z2360=1,AB2360&lt;&gt;1),1,0))</f>
        <v/>
      </c>
      <c r="AE2360" s="0" t="str">
        <f aca="false">IF(Y2360=1,"",IF(AND(AA2360=1,AC2360&lt;&gt;1),1,0))</f>
        <v/>
      </c>
      <c r="AF2360" s="45" t="str">
        <f aca="false">IF(AND(E2360&gt;0,Y2360&lt;1,NOT(AND(C2361=C2360,Y2361=Y2360+1))),INDEX(DATAS,Y2360+1),"")</f>
        <v/>
      </c>
      <c r="AG2360" s="45" t="str">
        <f aca="false">IF(AND(AA2360=1,Y2360&lt;1),IF(AND(C2361=C2360,Y2361=Y2360+1),IF(AA2361=1,"",INDEX(DATAS,Y2360+1)),INDEX(DATAS,Y2360+1)),"")</f>
        <v/>
      </c>
    </row>
    <row r="2361" customFormat="false" ht="15" hidden="false" customHeight="false" outlineLevel="0" collapsed="false">
      <c r="A2361" s="45" t="n">
        <v>46309</v>
      </c>
      <c r="B2361" s="0" t="n">
        <v>8</v>
      </c>
      <c r="C2361" s="0" t="n">
        <v>6659</v>
      </c>
      <c r="E2361" s="0" t="n">
        <v>0</v>
      </c>
      <c r="F2361" s="39" t="s">
        <v>1216</v>
      </c>
      <c r="I2361" s="39" t="s">
        <v>109</v>
      </c>
      <c r="L2361" s="0" t="n">
        <v>29</v>
      </c>
      <c r="U2361" s="0" t="n">
        <v>485</v>
      </c>
      <c r="V2361" s="0" t="n">
        <v>3</v>
      </c>
      <c r="W2361" s="39" t="n">
        <f aca="false">IF(I2361="Male",0,1)</f>
        <v>1</v>
      </c>
      <c r="X2361" s="39" t="n">
        <f aca="false">IF(OR(I2361="DNB",I2361="Dry DNB"),1,0)</f>
        <v>0</v>
      </c>
      <c r="Y2361" s="39" t="n">
        <f aca="false">MATCH(A2361,DATAS,0)</f>
        <v>1</v>
      </c>
      <c r="Z2361" s="39" t="n">
        <f aca="false">IF(AND(E2361&gt;0,OR(AND(B2361&gt;=1,B2361&lt;=6),B2361=10)),1,0)</f>
        <v>0</v>
      </c>
      <c r="AA2361" s="39" t="n">
        <f aca="false">IF(AND(E2361&gt;0,B2361=10),1,0)</f>
        <v>0</v>
      </c>
      <c r="AB2361" s="0" t="str">
        <f aca="false">IF(AND(C2360=C2361,Y2360=Y2361-1),Z2360,"")</f>
        <v/>
      </c>
      <c r="AC2361" s="0" t="str">
        <f aca="false">IF(AND(C2360=C2361,Y2360=Y2361-1),AA2360,"")</f>
        <v/>
      </c>
      <c r="AD2361" s="0" t="str">
        <f aca="false">IF(Y2361=1,"",IF(AND(Z2361=1,AB2361&lt;&gt;1),1,0))</f>
        <v/>
      </c>
      <c r="AE2361" s="0" t="str">
        <f aca="false">IF(Y2361=1,"",IF(AND(AA2361=1,AC2361&lt;&gt;1),1,0))</f>
        <v/>
      </c>
      <c r="AF2361" s="45" t="str">
        <f aca="false">IF(AND(E2361&gt;0,Y2361&lt;1,NOT(AND(C2362=C2361,Y2362=Y2361+1))),INDEX(DATAS,Y2361+1),"")</f>
        <v/>
      </c>
      <c r="AG2361" s="45" t="str">
        <f aca="false">IF(AND(AA2361=1,Y2361&lt;1),IF(AND(C2362=C2361,Y2362=Y2361+1),IF(AA2362=1,"",INDEX(DATAS,Y2361+1)),INDEX(DATAS,Y2361+1)),"")</f>
        <v/>
      </c>
    </row>
    <row r="2362" customFormat="false" ht="15" hidden="false" customHeight="false" outlineLevel="0" collapsed="false">
      <c r="A2362" s="45" t="n">
        <v>46309</v>
      </c>
      <c r="B2362" s="0" t="n">
        <v>8</v>
      </c>
      <c r="C2362" s="0" t="n">
        <v>6660</v>
      </c>
      <c r="E2362" s="0" t="n">
        <v>0</v>
      </c>
      <c r="F2362" s="39" t="s">
        <v>1216</v>
      </c>
      <c r="I2362" s="39" t="s">
        <v>109</v>
      </c>
      <c r="L2362" s="0" t="n">
        <v>88</v>
      </c>
      <c r="U2362" s="0" t="n">
        <v>485</v>
      </c>
      <c r="V2362" s="0" t="n">
        <v>1</v>
      </c>
      <c r="W2362" s="39" t="n">
        <f aca="false">IF(I2362="Male",0,1)</f>
        <v>1</v>
      </c>
      <c r="X2362" s="39" t="n">
        <f aca="false">IF(OR(I2362="DNB",I2362="Dry DNB"),1,0)</f>
        <v>0</v>
      </c>
      <c r="Y2362" s="39" t="n">
        <f aca="false">MATCH(A2362,DATAS,0)</f>
        <v>1</v>
      </c>
      <c r="Z2362" s="39" t="n">
        <f aca="false">IF(AND(E2362&gt;0,OR(AND(B2362&gt;=1,B2362&lt;=6),B2362=10)),1,0)</f>
        <v>0</v>
      </c>
      <c r="AA2362" s="39" t="n">
        <f aca="false">IF(AND(E2362&gt;0,B2362=10),1,0)</f>
        <v>0</v>
      </c>
      <c r="AB2362" s="0" t="str">
        <f aca="false">IF(AND(C2361=C2362,Y2361=Y2362-1),Z2361,"")</f>
        <v/>
      </c>
      <c r="AC2362" s="0" t="str">
        <f aca="false">IF(AND(C2361=C2362,Y2361=Y2362-1),AA2361,"")</f>
        <v/>
      </c>
      <c r="AD2362" s="0" t="str">
        <f aca="false">IF(Y2362=1,"",IF(AND(Z2362=1,AB2362&lt;&gt;1),1,0))</f>
        <v/>
      </c>
      <c r="AE2362" s="0" t="str">
        <f aca="false">IF(Y2362=1,"",IF(AND(AA2362=1,AC2362&lt;&gt;1),1,0))</f>
        <v/>
      </c>
      <c r="AF2362" s="45" t="str">
        <f aca="false">IF(AND(E2362&gt;0,Y2362&lt;1,NOT(AND(C2363=C2362,Y2363=Y2362+1))),INDEX(DATAS,Y2362+1),"")</f>
        <v/>
      </c>
      <c r="AG2362" s="45" t="str">
        <f aca="false">IF(AND(AA2362=1,Y2362&lt;1),IF(AND(C2363=C2362,Y2363=Y2362+1),IF(AA2363=1,"",INDEX(DATAS,Y2362+1)),INDEX(DATAS,Y2362+1)),"")</f>
        <v/>
      </c>
    </row>
    <row r="2363" customFormat="false" ht="15" hidden="false" customHeight="false" outlineLevel="0" collapsed="false">
      <c r="A2363" s="45" t="n">
        <v>46309</v>
      </c>
      <c r="B2363" s="0" t="n">
        <v>8</v>
      </c>
      <c r="C2363" s="0" t="n">
        <v>6661</v>
      </c>
      <c r="E2363" s="0" t="n">
        <v>0</v>
      </c>
      <c r="F2363" s="39" t="s">
        <v>1217</v>
      </c>
      <c r="I2363" s="39" t="s">
        <v>109</v>
      </c>
      <c r="L2363" s="0" t="n">
        <v>63</v>
      </c>
      <c r="U2363" s="0" t="n">
        <v>483</v>
      </c>
      <c r="V2363" s="0" t="n">
        <v>1</v>
      </c>
      <c r="W2363" s="39" t="n">
        <f aca="false">IF(I2363="Male",0,1)</f>
        <v>1</v>
      </c>
      <c r="X2363" s="39" t="n">
        <f aca="false">IF(OR(I2363="DNB",I2363="Dry DNB"),1,0)</f>
        <v>0</v>
      </c>
      <c r="Y2363" s="39" t="n">
        <f aca="false">MATCH(A2363,DATAS,0)</f>
        <v>1</v>
      </c>
      <c r="Z2363" s="39" t="n">
        <f aca="false">IF(AND(E2363&gt;0,OR(AND(B2363&gt;=1,B2363&lt;=6),B2363=10)),1,0)</f>
        <v>0</v>
      </c>
      <c r="AA2363" s="39" t="n">
        <f aca="false">IF(AND(E2363&gt;0,B2363=10),1,0)</f>
        <v>0</v>
      </c>
      <c r="AB2363" s="0" t="str">
        <f aca="false">IF(AND(C2362=C2363,Y2362=Y2363-1),Z2362,"")</f>
        <v/>
      </c>
      <c r="AC2363" s="0" t="str">
        <f aca="false">IF(AND(C2362=C2363,Y2362=Y2363-1),AA2362,"")</f>
        <v/>
      </c>
      <c r="AD2363" s="0" t="str">
        <f aca="false">IF(Y2363=1,"",IF(AND(Z2363=1,AB2363&lt;&gt;1),1,0))</f>
        <v/>
      </c>
      <c r="AE2363" s="0" t="str">
        <f aca="false">IF(Y2363=1,"",IF(AND(AA2363=1,AC2363&lt;&gt;1),1,0))</f>
        <v/>
      </c>
      <c r="AF2363" s="45" t="str">
        <f aca="false">IF(AND(E2363&gt;0,Y2363&lt;1,NOT(AND(C2364=C2363,Y2364=Y2363+1))),INDEX(DATAS,Y2363+1),"")</f>
        <v/>
      </c>
      <c r="AG2363" s="45" t="str">
        <f aca="false">IF(AND(AA2363=1,Y2363&lt;1),IF(AND(C2364=C2363,Y2364=Y2363+1),IF(AA2364=1,"",INDEX(DATAS,Y2363+1)),INDEX(DATAS,Y2363+1)),"")</f>
        <v/>
      </c>
    </row>
    <row r="2364" customFormat="false" ht="15" hidden="false" customHeight="false" outlineLevel="0" collapsed="false">
      <c r="A2364" s="45" t="n">
        <v>46309</v>
      </c>
      <c r="B2364" s="0" t="n">
        <v>8</v>
      </c>
      <c r="C2364" s="0" t="n">
        <v>6663</v>
      </c>
      <c r="E2364" s="0" t="n">
        <v>0</v>
      </c>
      <c r="F2364" s="39" t="s">
        <v>1218</v>
      </c>
      <c r="I2364" s="39" t="s">
        <v>109</v>
      </c>
      <c r="L2364" s="0" t="n">
        <v>73</v>
      </c>
      <c r="U2364" s="0" t="n">
        <v>482</v>
      </c>
      <c r="V2364" s="0" t="n">
        <v>1</v>
      </c>
      <c r="W2364" s="39" t="n">
        <f aca="false">IF(I2364="Male",0,1)</f>
        <v>1</v>
      </c>
      <c r="X2364" s="39" t="n">
        <f aca="false">IF(OR(I2364="DNB",I2364="Dry DNB"),1,0)</f>
        <v>0</v>
      </c>
      <c r="Y2364" s="39" t="n">
        <f aca="false">MATCH(A2364,DATAS,0)</f>
        <v>1</v>
      </c>
      <c r="Z2364" s="39" t="n">
        <f aca="false">IF(AND(E2364&gt;0,OR(AND(B2364&gt;=1,B2364&lt;=6),B2364=10)),1,0)</f>
        <v>0</v>
      </c>
      <c r="AA2364" s="39" t="n">
        <f aca="false">IF(AND(E2364&gt;0,B2364=10),1,0)</f>
        <v>0</v>
      </c>
      <c r="AB2364" s="0" t="str">
        <f aca="false">IF(AND(C2363=C2364,Y2363=Y2364-1),Z2363,"")</f>
        <v/>
      </c>
      <c r="AC2364" s="0" t="str">
        <f aca="false">IF(AND(C2363=C2364,Y2363=Y2364-1),AA2363,"")</f>
        <v/>
      </c>
      <c r="AD2364" s="0" t="str">
        <f aca="false">IF(Y2364=1,"",IF(AND(Z2364=1,AB2364&lt;&gt;1),1,0))</f>
        <v/>
      </c>
      <c r="AE2364" s="0" t="str">
        <f aca="false">IF(Y2364=1,"",IF(AND(AA2364=1,AC2364&lt;&gt;1),1,0))</f>
        <v/>
      </c>
      <c r="AF2364" s="45" t="str">
        <f aca="false">IF(AND(E2364&gt;0,Y2364&lt;1,NOT(AND(C2365=C2364,Y2365=Y2364+1))),INDEX(DATAS,Y2364+1),"")</f>
        <v/>
      </c>
      <c r="AG2364" s="45" t="str">
        <f aca="false">IF(AND(AA2364=1,Y2364&lt;1),IF(AND(C2365=C2364,Y2365=Y2364+1),IF(AA2365=1,"",INDEX(DATAS,Y2364+1)),INDEX(DATAS,Y2364+1)),"")</f>
        <v/>
      </c>
    </row>
    <row r="2365" customFormat="false" ht="15" hidden="false" customHeight="false" outlineLevel="0" collapsed="false">
      <c r="A2365" s="45" t="n">
        <v>46309</v>
      </c>
      <c r="B2365" s="0" t="n">
        <v>8</v>
      </c>
      <c r="C2365" s="0" t="n">
        <v>6665</v>
      </c>
      <c r="E2365" s="0" t="n">
        <v>0</v>
      </c>
      <c r="F2365" s="39" t="s">
        <v>1218</v>
      </c>
      <c r="I2365" s="39" t="s">
        <v>109</v>
      </c>
      <c r="L2365" s="0" t="n">
        <v>78</v>
      </c>
      <c r="U2365" s="0" t="n">
        <v>482</v>
      </c>
      <c r="V2365" s="0" t="n">
        <v>1</v>
      </c>
      <c r="W2365" s="39" t="n">
        <f aca="false">IF(I2365="Male",0,1)</f>
        <v>1</v>
      </c>
      <c r="X2365" s="39" t="n">
        <f aca="false">IF(OR(I2365="DNB",I2365="Dry DNB"),1,0)</f>
        <v>0</v>
      </c>
      <c r="Y2365" s="39" t="n">
        <f aca="false">MATCH(A2365,DATAS,0)</f>
        <v>1</v>
      </c>
      <c r="Z2365" s="39" t="n">
        <f aca="false">IF(AND(E2365&gt;0,OR(AND(B2365&gt;=1,B2365&lt;=6),B2365=10)),1,0)</f>
        <v>0</v>
      </c>
      <c r="AA2365" s="39" t="n">
        <f aca="false">IF(AND(E2365&gt;0,B2365=10),1,0)</f>
        <v>0</v>
      </c>
      <c r="AB2365" s="0" t="str">
        <f aca="false">IF(AND(C2364=C2365,Y2364=Y2365-1),Z2364,"")</f>
        <v/>
      </c>
      <c r="AC2365" s="0" t="str">
        <f aca="false">IF(AND(C2364=C2365,Y2364=Y2365-1),AA2364,"")</f>
        <v/>
      </c>
      <c r="AD2365" s="0" t="str">
        <f aca="false">IF(Y2365=1,"",IF(AND(Z2365=1,AB2365&lt;&gt;1),1,0))</f>
        <v/>
      </c>
      <c r="AE2365" s="0" t="str">
        <f aca="false">IF(Y2365=1,"",IF(AND(AA2365=1,AC2365&lt;&gt;1),1,0))</f>
        <v/>
      </c>
      <c r="AF2365" s="45" t="str">
        <f aca="false">IF(AND(E2365&gt;0,Y2365&lt;1,NOT(AND(C2366=C2365,Y2366=Y2365+1))),INDEX(DATAS,Y2365+1),"")</f>
        <v/>
      </c>
      <c r="AG2365" s="45" t="str">
        <f aca="false">IF(AND(AA2365=1,Y2365&lt;1),IF(AND(C2366=C2365,Y2366=Y2365+1),IF(AA2366=1,"",INDEX(DATAS,Y2365+1)),INDEX(DATAS,Y2365+1)),"")</f>
        <v/>
      </c>
    </row>
    <row r="2366" customFormat="false" ht="15" hidden="false" customHeight="false" outlineLevel="0" collapsed="false">
      <c r="A2366" s="45" t="n">
        <v>46309</v>
      </c>
      <c r="B2366" s="0" t="n">
        <v>11</v>
      </c>
      <c r="C2366" s="0" t="n">
        <v>6666</v>
      </c>
      <c r="E2366" s="0" t="n">
        <v>0</v>
      </c>
      <c r="F2366" s="39" t="s">
        <v>1218</v>
      </c>
      <c r="I2366" s="39" t="s">
        <v>138</v>
      </c>
      <c r="U2366" s="0" t="n">
        <v>482</v>
      </c>
      <c r="V2366" s="0" t="n">
        <v>3</v>
      </c>
      <c r="W2366" s="39" t="n">
        <f aca="false">IF(I2366="Male",0,1)</f>
        <v>1</v>
      </c>
      <c r="X2366" s="39" t="n">
        <f aca="false">IF(OR(I2366="DNB",I2366="Dry DNB"),1,0)</f>
        <v>0</v>
      </c>
      <c r="Y2366" s="39" t="n">
        <f aca="false">MATCH(A2366,DATAS,0)</f>
        <v>1</v>
      </c>
      <c r="Z2366" s="39" t="n">
        <f aca="false">IF(AND(E2366&gt;0,OR(AND(B2366&gt;=1,B2366&lt;=6),B2366=10)),1,0)</f>
        <v>0</v>
      </c>
      <c r="AA2366" s="39" t="n">
        <f aca="false">IF(AND(E2366&gt;0,B2366=10),1,0)</f>
        <v>0</v>
      </c>
      <c r="AB2366" s="0" t="str">
        <f aca="false">IF(AND(C2365=C2366,Y2365=Y2366-1),Z2365,"")</f>
        <v/>
      </c>
      <c r="AC2366" s="0" t="str">
        <f aca="false">IF(AND(C2365=C2366,Y2365=Y2366-1),AA2365,"")</f>
        <v/>
      </c>
      <c r="AD2366" s="0" t="str">
        <f aca="false">IF(Y2366=1,"",IF(AND(Z2366=1,AB2366&lt;&gt;1),1,0))</f>
        <v/>
      </c>
      <c r="AE2366" s="0" t="str">
        <f aca="false">IF(Y2366=1,"",IF(AND(AA2366=1,AC2366&lt;&gt;1),1,0))</f>
        <v/>
      </c>
      <c r="AF2366" s="45" t="str">
        <f aca="false">IF(AND(E2366&gt;0,Y2366&lt;1,NOT(AND(C2367=C2366,Y2367=Y2366+1))),INDEX(DATAS,Y2366+1),"")</f>
        <v/>
      </c>
      <c r="AG2366" s="45" t="str">
        <f aca="false">IF(AND(AA2366=1,Y2366&lt;1),IF(AND(C2367=C2366,Y2367=Y2366+1),IF(AA2367=1,"",INDEX(DATAS,Y2366+1)),INDEX(DATAS,Y2366+1)),"")</f>
        <v/>
      </c>
    </row>
    <row r="2367" customFormat="false" ht="15" hidden="false" customHeight="false" outlineLevel="0" collapsed="false">
      <c r="A2367" s="45" t="n">
        <v>46309</v>
      </c>
      <c r="B2367" s="0" t="n">
        <v>11</v>
      </c>
      <c r="C2367" s="0" t="n">
        <v>6668</v>
      </c>
      <c r="E2367" s="0" t="n">
        <v>0</v>
      </c>
      <c r="F2367" s="39" t="s">
        <v>1218</v>
      </c>
      <c r="I2367" s="39" t="s">
        <v>138</v>
      </c>
      <c r="U2367" s="0" t="n">
        <v>482</v>
      </c>
      <c r="V2367" s="0" t="n">
        <v>2</v>
      </c>
      <c r="W2367" s="39" t="n">
        <f aca="false">IF(I2367="Male",0,1)</f>
        <v>1</v>
      </c>
      <c r="X2367" s="39" t="n">
        <f aca="false">IF(OR(I2367="DNB",I2367="Dry DNB"),1,0)</f>
        <v>0</v>
      </c>
      <c r="Y2367" s="39" t="n">
        <f aca="false">MATCH(A2367,DATAS,0)</f>
        <v>1</v>
      </c>
      <c r="Z2367" s="39" t="n">
        <f aca="false">IF(AND(E2367&gt;0,OR(AND(B2367&gt;=1,B2367&lt;=6),B2367=10)),1,0)</f>
        <v>0</v>
      </c>
      <c r="AA2367" s="39" t="n">
        <f aca="false">IF(AND(E2367&gt;0,B2367=10),1,0)</f>
        <v>0</v>
      </c>
      <c r="AB2367" s="0" t="str">
        <f aca="false">IF(AND(C2366=C2367,Y2366=Y2367-1),Z2366,"")</f>
        <v/>
      </c>
      <c r="AC2367" s="0" t="str">
        <f aca="false">IF(AND(C2366=C2367,Y2366=Y2367-1),AA2366,"")</f>
        <v/>
      </c>
      <c r="AD2367" s="0" t="str">
        <f aca="false">IF(Y2367=1,"",IF(AND(Z2367=1,AB2367&lt;&gt;1),1,0))</f>
        <v/>
      </c>
      <c r="AE2367" s="0" t="str">
        <f aca="false">IF(Y2367=1,"",IF(AND(AA2367=1,AC2367&lt;&gt;1),1,0))</f>
        <v/>
      </c>
      <c r="AF2367" s="45" t="str">
        <f aca="false">IF(AND(E2367&gt;0,Y2367&lt;1,NOT(AND(C2368=C2367,Y2368=Y2367+1))),INDEX(DATAS,Y2367+1),"")</f>
        <v/>
      </c>
      <c r="AG2367" s="45" t="str">
        <f aca="false">IF(AND(AA2367=1,Y2367&lt;1),IF(AND(C2368=C2367,Y2368=Y2367+1),IF(AA2368=1,"",INDEX(DATAS,Y2367+1)),INDEX(DATAS,Y2367+1)),"")</f>
        <v/>
      </c>
    </row>
    <row r="2368" customFormat="false" ht="15" hidden="false" customHeight="false" outlineLevel="0" collapsed="false">
      <c r="A2368" s="45" t="n">
        <v>46309</v>
      </c>
      <c r="B2368" s="0" t="n">
        <v>8</v>
      </c>
      <c r="C2368" s="0" t="n">
        <v>6669</v>
      </c>
      <c r="E2368" s="0" t="n">
        <v>0</v>
      </c>
      <c r="F2368" s="39" t="s">
        <v>1218</v>
      </c>
      <c r="I2368" s="39" t="s">
        <v>109</v>
      </c>
      <c r="L2368" s="0" t="n">
        <v>65</v>
      </c>
      <c r="U2368" s="0" t="n">
        <v>482</v>
      </c>
      <c r="V2368" s="0" t="n">
        <v>1</v>
      </c>
      <c r="W2368" s="39" t="n">
        <f aca="false">IF(I2368="Male",0,1)</f>
        <v>1</v>
      </c>
      <c r="X2368" s="39" t="n">
        <f aca="false">IF(OR(I2368="DNB",I2368="Dry DNB"),1,0)</f>
        <v>0</v>
      </c>
      <c r="Y2368" s="39" t="n">
        <f aca="false">MATCH(A2368,DATAS,0)</f>
        <v>1</v>
      </c>
      <c r="Z2368" s="39" t="n">
        <f aca="false">IF(AND(E2368&gt;0,OR(AND(B2368&gt;=1,B2368&lt;=6),B2368=10)),1,0)</f>
        <v>0</v>
      </c>
      <c r="AA2368" s="39" t="n">
        <f aca="false">IF(AND(E2368&gt;0,B2368=10),1,0)</f>
        <v>0</v>
      </c>
      <c r="AB2368" s="0" t="str">
        <f aca="false">IF(AND(C2367=C2368,Y2367=Y2368-1),Z2367,"")</f>
        <v/>
      </c>
      <c r="AC2368" s="0" t="str">
        <f aca="false">IF(AND(C2367=C2368,Y2367=Y2368-1),AA2367,"")</f>
        <v/>
      </c>
      <c r="AD2368" s="0" t="str">
        <f aca="false">IF(Y2368=1,"",IF(AND(Z2368=1,AB2368&lt;&gt;1),1,0))</f>
        <v/>
      </c>
      <c r="AE2368" s="0" t="str">
        <f aca="false">IF(Y2368=1,"",IF(AND(AA2368=1,AC2368&lt;&gt;1),1,0))</f>
        <v/>
      </c>
      <c r="AF2368" s="45" t="str">
        <f aca="false">IF(AND(E2368&gt;0,Y2368&lt;1,NOT(AND(C2369=C2368,Y2369=Y2368+1))),INDEX(DATAS,Y2368+1),"")</f>
        <v/>
      </c>
      <c r="AG2368" s="45" t="str">
        <f aca="false">IF(AND(AA2368=1,Y2368&lt;1),IF(AND(C2369=C2368,Y2369=Y2368+1),IF(AA2369=1,"",INDEX(DATAS,Y2368+1)),INDEX(DATAS,Y2368+1)),"")</f>
        <v/>
      </c>
    </row>
    <row r="2369" customFormat="false" ht="15" hidden="false" customHeight="false" outlineLevel="0" collapsed="false">
      <c r="A2369" s="45" t="n">
        <v>46309</v>
      </c>
      <c r="B2369" s="0" t="n">
        <v>8</v>
      </c>
      <c r="C2369" s="0" t="n">
        <v>6670</v>
      </c>
      <c r="E2369" s="0" t="n">
        <v>0</v>
      </c>
      <c r="F2369" s="39" t="s">
        <v>1219</v>
      </c>
      <c r="I2369" s="39" t="s">
        <v>109</v>
      </c>
      <c r="L2369" s="0" t="n">
        <v>84</v>
      </c>
      <c r="U2369" s="0" t="n">
        <v>481</v>
      </c>
      <c r="V2369" s="0" t="n">
        <v>1</v>
      </c>
      <c r="W2369" s="39" t="n">
        <f aca="false">IF(I2369="Male",0,1)</f>
        <v>1</v>
      </c>
      <c r="X2369" s="39" t="n">
        <f aca="false">IF(OR(I2369="DNB",I2369="Dry DNB"),1,0)</f>
        <v>0</v>
      </c>
      <c r="Y2369" s="39" t="n">
        <f aca="false">MATCH(A2369,DATAS,0)</f>
        <v>1</v>
      </c>
      <c r="Z2369" s="39" t="n">
        <f aca="false">IF(AND(E2369&gt;0,OR(AND(B2369&gt;=1,B2369&lt;=6),B2369=10)),1,0)</f>
        <v>0</v>
      </c>
      <c r="AA2369" s="39" t="n">
        <f aca="false">IF(AND(E2369&gt;0,B2369=10),1,0)</f>
        <v>0</v>
      </c>
      <c r="AB2369" s="0" t="str">
        <f aca="false">IF(AND(C2368=C2369,Y2368=Y2369-1),Z2368,"")</f>
        <v/>
      </c>
      <c r="AC2369" s="0" t="str">
        <f aca="false">IF(AND(C2368=C2369,Y2368=Y2369-1),AA2368,"")</f>
        <v/>
      </c>
      <c r="AD2369" s="0" t="str">
        <f aca="false">IF(Y2369=1,"",IF(AND(Z2369=1,AB2369&lt;&gt;1),1,0))</f>
        <v/>
      </c>
      <c r="AE2369" s="0" t="str">
        <f aca="false">IF(Y2369=1,"",IF(AND(AA2369=1,AC2369&lt;&gt;1),1,0))</f>
        <v/>
      </c>
      <c r="AF2369" s="45" t="str">
        <f aca="false">IF(AND(E2369&gt;0,Y2369&lt;1,NOT(AND(C2370=C2369,Y2370=Y2369+1))),INDEX(DATAS,Y2369+1),"")</f>
        <v/>
      </c>
      <c r="AG2369" s="45" t="str">
        <f aca="false">IF(AND(AA2369=1,Y2369&lt;1),IF(AND(C2370=C2369,Y2370=Y2369+1),IF(AA2370=1,"",INDEX(DATAS,Y2369+1)),INDEX(DATAS,Y2369+1)),"")</f>
        <v/>
      </c>
    </row>
    <row r="2370" customFormat="false" ht="15" hidden="false" customHeight="false" outlineLevel="0" collapsed="false">
      <c r="A2370" s="45" t="n">
        <v>46309</v>
      </c>
      <c r="B2370" s="0" t="n">
        <v>8</v>
      </c>
      <c r="C2370" s="0" t="n">
        <v>6671</v>
      </c>
      <c r="E2370" s="0" t="n">
        <v>0</v>
      </c>
      <c r="F2370" s="39" t="s">
        <v>1219</v>
      </c>
      <c r="I2370" s="39" t="s">
        <v>109</v>
      </c>
      <c r="L2370" s="0" t="n">
        <v>77</v>
      </c>
      <c r="U2370" s="0" t="n">
        <v>481</v>
      </c>
      <c r="V2370" s="0" t="n">
        <v>1</v>
      </c>
      <c r="W2370" s="39" t="n">
        <f aca="false">IF(I2370="Male",0,1)</f>
        <v>1</v>
      </c>
      <c r="X2370" s="39" t="n">
        <f aca="false">IF(OR(I2370="DNB",I2370="Dry DNB"),1,0)</f>
        <v>0</v>
      </c>
      <c r="Y2370" s="39" t="n">
        <f aca="false">MATCH(A2370,DATAS,0)</f>
        <v>1</v>
      </c>
      <c r="Z2370" s="39" t="n">
        <f aca="false">IF(AND(E2370&gt;0,OR(AND(B2370&gt;=1,B2370&lt;=6),B2370=10)),1,0)</f>
        <v>0</v>
      </c>
      <c r="AA2370" s="39" t="n">
        <f aca="false">IF(AND(E2370&gt;0,B2370=10),1,0)</f>
        <v>0</v>
      </c>
      <c r="AB2370" s="0" t="str">
        <f aca="false">IF(AND(C2369=C2370,Y2369=Y2370-1),Z2369,"")</f>
        <v/>
      </c>
      <c r="AC2370" s="0" t="str">
        <f aca="false">IF(AND(C2369=C2370,Y2369=Y2370-1),AA2369,"")</f>
        <v/>
      </c>
      <c r="AD2370" s="0" t="str">
        <f aca="false">IF(Y2370=1,"",IF(AND(Z2370=1,AB2370&lt;&gt;1),1,0))</f>
        <v/>
      </c>
      <c r="AE2370" s="0" t="str">
        <f aca="false">IF(Y2370=1,"",IF(AND(AA2370=1,AC2370&lt;&gt;1),1,0))</f>
        <v/>
      </c>
      <c r="AF2370" s="45" t="str">
        <f aca="false">IF(AND(E2370&gt;0,Y2370&lt;1,NOT(AND(C2371=C2370,Y2371=Y2370+1))),INDEX(DATAS,Y2370+1),"")</f>
        <v/>
      </c>
      <c r="AG2370" s="45" t="str">
        <f aca="false">IF(AND(AA2370=1,Y2370&lt;1),IF(AND(C2371=C2370,Y2371=Y2370+1),IF(AA2371=1,"",INDEX(DATAS,Y2370+1)),INDEX(DATAS,Y2370+1)),"")</f>
        <v/>
      </c>
    </row>
    <row r="2371" customFormat="false" ht="15" hidden="false" customHeight="false" outlineLevel="0" collapsed="false">
      <c r="A2371" s="45" t="n">
        <v>46309</v>
      </c>
      <c r="B2371" s="0" t="n">
        <v>8</v>
      </c>
      <c r="C2371" s="0" t="n">
        <v>6674</v>
      </c>
      <c r="E2371" s="0" t="n">
        <v>0</v>
      </c>
      <c r="F2371" s="39" t="s">
        <v>1220</v>
      </c>
      <c r="I2371" s="39" t="s">
        <v>109</v>
      </c>
      <c r="L2371" s="0" t="n">
        <v>63</v>
      </c>
      <c r="U2371" s="0" t="n">
        <v>479</v>
      </c>
      <c r="V2371" s="0" t="n">
        <v>1</v>
      </c>
      <c r="W2371" s="39" t="n">
        <f aca="false">IF(I2371="Male",0,1)</f>
        <v>1</v>
      </c>
      <c r="X2371" s="39" t="n">
        <f aca="false">IF(OR(I2371="DNB",I2371="Dry DNB"),1,0)</f>
        <v>0</v>
      </c>
      <c r="Y2371" s="39" t="n">
        <f aca="false">MATCH(A2371,DATAS,0)</f>
        <v>1</v>
      </c>
      <c r="Z2371" s="39" t="n">
        <f aca="false">IF(AND(E2371&gt;0,OR(AND(B2371&gt;=1,B2371&lt;=6),B2371=10)),1,0)</f>
        <v>0</v>
      </c>
      <c r="AA2371" s="39" t="n">
        <f aca="false">IF(AND(E2371&gt;0,B2371=10),1,0)</f>
        <v>0</v>
      </c>
      <c r="AB2371" s="0" t="str">
        <f aca="false">IF(AND(C2370=C2371,Y2370=Y2371-1),Z2370,"")</f>
        <v/>
      </c>
      <c r="AC2371" s="0" t="str">
        <f aca="false">IF(AND(C2370=C2371,Y2370=Y2371-1),AA2370,"")</f>
        <v/>
      </c>
      <c r="AD2371" s="0" t="str">
        <f aca="false">IF(Y2371=1,"",IF(AND(Z2371=1,AB2371&lt;&gt;1),1,0))</f>
        <v/>
      </c>
      <c r="AE2371" s="0" t="str">
        <f aca="false">IF(Y2371=1,"",IF(AND(AA2371=1,AC2371&lt;&gt;1),1,0))</f>
        <v/>
      </c>
      <c r="AF2371" s="45" t="str">
        <f aca="false">IF(AND(E2371&gt;0,Y2371&lt;1,NOT(AND(C2372=C2371,Y2372=Y2371+1))),INDEX(DATAS,Y2371+1),"")</f>
        <v/>
      </c>
      <c r="AG2371" s="45" t="str">
        <f aca="false">IF(AND(AA2371=1,Y2371&lt;1),IF(AND(C2372=C2371,Y2372=Y2371+1),IF(AA2372=1,"",INDEX(DATAS,Y2371+1)),INDEX(DATAS,Y2371+1)),"")</f>
        <v/>
      </c>
    </row>
    <row r="2372" customFormat="false" ht="15" hidden="false" customHeight="false" outlineLevel="0" collapsed="false">
      <c r="A2372" s="45" t="n">
        <v>46309</v>
      </c>
      <c r="B2372" s="0" t="n">
        <v>8</v>
      </c>
      <c r="C2372" s="0" t="n">
        <v>6675</v>
      </c>
      <c r="E2372" s="0" t="n">
        <v>0</v>
      </c>
      <c r="F2372" s="39" t="s">
        <v>1220</v>
      </c>
      <c r="I2372" s="39" t="s">
        <v>109</v>
      </c>
      <c r="L2372" s="0" t="n">
        <v>87</v>
      </c>
      <c r="U2372" s="0" t="n">
        <v>479</v>
      </c>
      <c r="V2372" s="0" t="n">
        <v>1</v>
      </c>
      <c r="W2372" s="39" t="n">
        <f aca="false">IF(I2372="Male",0,1)</f>
        <v>1</v>
      </c>
      <c r="X2372" s="39" t="n">
        <f aca="false">IF(OR(I2372="DNB",I2372="Dry DNB"),1,0)</f>
        <v>0</v>
      </c>
      <c r="Y2372" s="39" t="n">
        <f aca="false">MATCH(A2372,DATAS,0)</f>
        <v>1</v>
      </c>
      <c r="Z2372" s="39" t="n">
        <f aca="false">IF(AND(E2372&gt;0,OR(AND(B2372&gt;=1,B2372&lt;=6),B2372=10)),1,0)</f>
        <v>0</v>
      </c>
      <c r="AA2372" s="39" t="n">
        <f aca="false">IF(AND(E2372&gt;0,B2372=10),1,0)</f>
        <v>0</v>
      </c>
      <c r="AB2372" s="0" t="str">
        <f aca="false">IF(AND(C2371=C2372,Y2371=Y2372-1),Z2371,"")</f>
        <v/>
      </c>
      <c r="AC2372" s="0" t="str">
        <f aca="false">IF(AND(C2371=C2372,Y2371=Y2372-1),AA2371,"")</f>
        <v/>
      </c>
      <c r="AD2372" s="0" t="str">
        <f aca="false">IF(Y2372=1,"",IF(AND(Z2372=1,AB2372&lt;&gt;1),1,0))</f>
        <v/>
      </c>
      <c r="AE2372" s="0" t="str">
        <f aca="false">IF(Y2372=1,"",IF(AND(AA2372=1,AC2372&lt;&gt;1),1,0))</f>
        <v/>
      </c>
      <c r="AF2372" s="45" t="str">
        <f aca="false">IF(AND(E2372&gt;0,Y2372&lt;1,NOT(AND(C2373=C2372,Y2373=Y2372+1))),INDEX(DATAS,Y2372+1),"")</f>
        <v/>
      </c>
      <c r="AG2372" s="45" t="str">
        <f aca="false">IF(AND(AA2372=1,Y2372&lt;1),IF(AND(C2373=C2372,Y2373=Y2372+1),IF(AA2373=1,"",INDEX(DATAS,Y2372+1)),INDEX(DATAS,Y2372+1)),"")</f>
        <v/>
      </c>
    </row>
    <row r="2373" customFormat="false" ht="15" hidden="false" customHeight="false" outlineLevel="0" collapsed="false">
      <c r="A2373" s="45" t="n">
        <v>46309</v>
      </c>
      <c r="B2373" s="0" t="n">
        <v>8</v>
      </c>
      <c r="C2373" s="0" t="n">
        <v>6676</v>
      </c>
      <c r="E2373" s="0" t="n">
        <v>0</v>
      </c>
      <c r="F2373" s="39" t="s">
        <v>1220</v>
      </c>
      <c r="I2373" s="39" t="s">
        <v>109</v>
      </c>
      <c r="L2373" s="0" t="n">
        <v>76</v>
      </c>
      <c r="U2373" s="0" t="n">
        <v>479</v>
      </c>
      <c r="V2373" s="0" t="n">
        <v>1</v>
      </c>
      <c r="W2373" s="39" t="n">
        <f aca="false">IF(I2373="Male",0,1)</f>
        <v>1</v>
      </c>
      <c r="X2373" s="39" t="n">
        <f aca="false">IF(OR(I2373="DNB",I2373="Dry DNB"),1,0)</f>
        <v>0</v>
      </c>
      <c r="Y2373" s="39" t="n">
        <f aca="false">MATCH(A2373,DATAS,0)</f>
        <v>1</v>
      </c>
      <c r="Z2373" s="39" t="n">
        <f aca="false">IF(AND(E2373&gt;0,OR(AND(B2373&gt;=1,B2373&lt;=6),B2373=10)),1,0)</f>
        <v>0</v>
      </c>
      <c r="AA2373" s="39" t="n">
        <f aca="false">IF(AND(E2373&gt;0,B2373=10),1,0)</f>
        <v>0</v>
      </c>
      <c r="AB2373" s="0" t="str">
        <f aca="false">IF(AND(C2372=C2373,Y2372=Y2373-1),Z2372,"")</f>
        <v/>
      </c>
      <c r="AC2373" s="0" t="str">
        <f aca="false">IF(AND(C2372=C2373,Y2372=Y2373-1),AA2372,"")</f>
        <v/>
      </c>
      <c r="AD2373" s="0" t="str">
        <f aca="false">IF(Y2373=1,"",IF(AND(Z2373=1,AB2373&lt;&gt;1),1,0))</f>
        <v/>
      </c>
      <c r="AE2373" s="0" t="str">
        <f aca="false">IF(Y2373=1,"",IF(AND(AA2373=1,AC2373&lt;&gt;1),1,0))</f>
        <v/>
      </c>
      <c r="AF2373" s="45" t="str">
        <f aca="false">IF(AND(E2373&gt;0,Y2373&lt;1,NOT(AND(C2374=C2373,Y2374=Y2373+1))),INDEX(DATAS,Y2373+1),"")</f>
        <v/>
      </c>
      <c r="AG2373" s="45" t="str">
        <f aca="false">IF(AND(AA2373=1,Y2373&lt;1),IF(AND(C2374=C2373,Y2374=Y2373+1),IF(AA2374=1,"",INDEX(DATAS,Y2373+1)),INDEX(DATAS,Y2373+1)),"")</f>
        <v/>
      </c>
    </row>
    <row r="2374" customFormat="false" ht="15" hidden="false" customHeight="false" outlineLevel="0" collapsed="false">
      <c r="A2374" s="45" t="n">
        <v>46309</v>
      </c>
      <c r="B2374" s="0" t="n">
        <v>11</v>
      </c>
      <c r="C2374" s="0" t="n">
        <v>6678</v>
      </c>
      <c r="E2374" s="0" t="n">
        <v>0</v>
      </c>
      <c r="F2374" s="39" t="s">
        <v>1221</v>
      </c>
      <c r="I2374" s="39" t="s">
        <v>138</v>
      </c>
      <c r="U2374" s="0" t="n">
        <v>478</v>
      </c>
      <c r="V2374" s="0" t="n">
        <v>2</v>
      </c>
      <c r="W2374" s="39" t="n">
        <f aca="false">IF(I2374="Male",0,1)</f>
        <v>1</v>
      </c>
      <c r="X2374" s="39" t="n">
        <f aca="false">IF(OR(I2374="DNB",I2374="Dry DNB"),1,0)</f>
        <v>0</v>
      </c>
      <c r="Y2374" s="39" t="n">
        <f aca="false">MATCH(A2374,DATAS,0)</f>
        <v>1</v>
      </c>
      <c r="Z2374" s="39" t="n">
        <f aca="false">IF(AND(E2374&gt;0,OR(AND(B2374&gt;=1,B2374&lt;=6),B2374=10)),1,0)</f>
        <v>0</v>
      </c>
      <c r="AA2374" s="39" t="n">
        <f aca="false">IF(AND(E2374&gt;0,B2374=10),1,0)</f>
        <v>0</v>
      </c>
      <c r="AB2374" s="0" t="str">
        <f aca="false">IF(AND(C2373=C2374,Y2373=Y2374-1),Z2373,"")</f>
        <v/>
      </c>
      <c r="AC2374" s="0" t="str">
        <f aca="false">IF(AND(C2373=C2374,Y2373=Y2374-1),AA2373,"")</f>
        <v/>
      </c>
      <c r="AD2374" s="0" t="str">
        <f aca="false">IF(Y2374=1,"",IF(AND(Z2374=1,AB2374&lt;&gt;1),1,0))</f>
        <v/>
      </c>
      <c r="AE2374" s="0" t="str">
        <f aca="false">IF(Y2374=1,"",IF(AND(AA2374=1,AC2374&lt;&gt;1),1,0))</f>
        <v/>
      </c>
      <c r="AF2374" s="45" t="str">
        <f aca="false">IF(AND(E2374&gt;0,Y2374&lt;1,NOT(AND(C2375=C2374,Y2375=Y2374+1))),INDEX(DATAS,Y2374+1),"")</f>
        <v/>
      </c>
      <c r="AG2374" s="45" t="str">
        <f aca="false">IF(AND(AA2374=1,Y2374&lt;1),IF(AND(C2375=C2374,Y2375=Y2374+1),IF(AA2375=1,"",INDEX(DATAS,Y2374+1)),INDEX(DATAS,Y2374+1)),"")</f>
        <v/>
      </c>
    </row>
    <row r="2375" customFormat="false" ht="15" hidden="false" customHeight="false" outlineLevel="0" collapsed="false">
      <c r="A2375" s="45" t="n">
        <v>46309</v>
      </c>
      <c r="B2375" s="0" t="n">
        <v>8</v>
      </c>
      <c r="C2375" s="0" t="n">
        <v>6679</v>
      </c>
      <c r="E2375" s="0" t="n">
        <v>0</v>
      </c>
      <c r="F2375" s="39" t="s">
        <v>1221</v>
      </c>
      <c r="I2375" s="39" t="s">
        <v>109</v>
      </c>
      <c r="L2375" s="0" t="n">
        <v>62</v>
      </c>
      <c r="U2375" s="0" t="n">
        <v>478</v>
      </c>
      <c r="V2375" s="0" t="n">
        <v>2</v>
      </c>
      <c r="W2375" s="39" t="n">
        <f aca="false">IF(I2375="Male",0,1)</f>
        <v>1</v>
      </c>
      <c r="X2375" s="39" t="n">
        <f aca="false">IF(OR(I2375="DNB",I2375="Dry DNB"),1,0)</f>
        <v>0</v>
      </c>
      <c r="Y2375" s="39" t="n">
        <f aca="false">MATCH(A2375,DATAS,0)</f>
        <v>1</v>
      </c>
      <c r="Z2375" s="39" t="n">
        <f aca="false">IF(AND(E2375&gt;0,OR(AND(B2375&gt;=1,B2375&lt;=6),B2375=10)),1,0)</f>
        <v>0</v>
      </c>
      <c r="AA2375" s="39" t="n">
        <f aca="false">IF(AND(E2375&gt;0,B2375=10),1,0)</f>
        <v>0</v>
      </c>
      <c r="AB2375" s="0" t="str">
        <f aca="false">IF(AND(C2374=C2375,Y2374=Y2375-1),Z2374,"")</f>
        <v/>
      </c>
      <c r="AC2375" s="0" t="str">
        <f aca="false">IF(AND(C2374=C2375,Y2374=Y2375-1),AA2374,"")</f>
        <v/>
      </c>
      <c r="AD2375" s="0" t="str">
        <f aca="false">IF(Y2375=1,"",IF(AND(Z2375=1,AB2375&lt;&gt;1),1,0))</f>
        <v/>
      </c>
      <c r="AE2375" s="0" t="str">
        <f aca="false">IF(Y2375=1,"",IF(AND(AA2375=1,AC2375&lt;&gt;1),1,0))</f>
        <v/>
      </c>
      <c r="AF2375" s="45" t="str">
        <f aca="false">IF(AND(E2375&gt;0,Y2375&lt;1,NOT(AND(C2376=C2375,Y2376=Y2375+1))),INDEX(DATAS,Y2375+1),"")</f>
        <v/>
      </c>
      <c r="AG2375" s="45" t="str">
        <f aca="false">IF(AND(AA2375=1,Y2375&lt;1),IF(AND(C2376=C2375,Y2376=Y2375+1),IF(AA2376=1,"",INDEX(DATAS,Y2375+1)),INDEX(DATAS,Y2375+1)),"")</f>
        <v/>
      </c>
    </row>
    <row r="2376" customFormat="false" ht="15" hidden="false" customHeight="false" outlineLevel="0" collapsed="false">
      <c r="A2376" s="45" t="n">
        <v>46309</v>
      </c>
      <c r="B2376" s="0" t="n">
        <v>8</v>
      </c>
      <c r="C2376" s="0" t="n">
        <v>6680</v>
      </c>
      <c r="E2376" s="0" t="n">
        <v>0</v>
      </c>
      <c r="F2376" s="39" t="s">
        <v>1222</v>
      </c>
      <c r="I2376" s="39" t="s">
        <v>109</v>
      </c>
      <c r="L2376" s="0" t="n">
        <v>45</v>
      </c>
      <c r="U2376" s="0" t="n">
        <v>477</v>
      </c>
      <c r="V2376" s="0" t="n">
        <v>2</v>
      </c>
      <c r="W2376" s="39" t="n">
        <f aca="false">IF(I2376="Male",0,1)</f>
        <v>1</v>
      </c>
      <c r="X2376" s="39" t="n">
        <f aca="false">IF(OR(I2376="DNB",I2376="Dry DNB"),1,0)</f>
        <v>0</v>
      </c>
      <c r="Y2376" s="39" t="n">
        <f aca="false">MATCH(A2376,DATAS,0)</f>
        <v>1</v>
      </c>
      <c r="Z2376" s="39" t="n">
        <f aca="false">IF(AND(E2376&gt;0,OR(AND(B2376&gt;=1,B2376&lt;=6),B2376=10)),1,0)</f>
        <v>0</v>
      </c>
      <c r="AA2376" s="39" t="n">
        <f aca="false">IF(AND(E2376&gt;0,B2376=10),1,0)</f>
        <v>0</v>
      </c>
      <c r="AB2376" s="0" t="str">
        <f aca="false">IF(AND(C2375=C2376,Y2375=Y2376-1),Z2375,"")</f>
        <v/>
      </c>
      <c r="AC2376" s="0" t="str">
        <f aca="false">IF(AND(C2375=C2376,Y2375=Y2376-1),AA2375,"")</f>
        <v/>
      </c>
      <c r="AD2376" s="0" t="str">
        <f aca="false">IF(Y2376=1,"",IF(AND(Z2376=1,AB2376&lt;&gt;1),1,0))</f>
        <v/>
      </c>
      <c r="AE2376" s="0" t="str">
        <f aca="false">IF(Y2376=1,"",IF(AND(AA2376=1,AC2376&lt;&gt;1),1,0))</f>
        <v/>
      </c>
      <c r="AF2376" s="45" t="str">
        <f aca="false">IF(AND(E2376&gt;0,Y2376&lt;1,NOT(AND(C2377=C2376,Y2377=Y2376+1))),INDEX(DATAS,Y2376+1),"")</f>
        <v/>
      </c>
      <c r="AG2376" s="45" t="str">
        <f aca="false">IF(AND(AA2376=1,Y2376&lt;1),IF(AND(C2377=C2376,Y2377=Y2376+1),IF(AA2377=1,"",INDEX(DATAS,Y2376+1)),INDEX(DATAS,Y2376+1)),"")</f>
        <v/>
      </c>
    </row>
    <row r="2377" customFormat="false" ht="15" hidden="false" customHeight="false" outlineLevel="0" collapsed="false">
      <c r="A2377" s="45" t="n">
        <v>46309</v>
      </c>
      <c r="B2377" s="0" t="n">
        <v>8</v>
      </c>
      <c r="C2377" s="0" t="n">
        <v>6681</v>
      </c>
      <c r="E2377" s="0" t="n">
        <v>0</v>
      </c>
      <c r="F2377" s="39" t="s">
        <v>1223</v>
      </c>
      <c r="I2377" s="39" t="s">
        <v>109</v>
      </c>
      <c r="L2377" s="0" t="n">
        <v>77</v>
      </c>
      <c r="U2377" s="0" t="n">
        <v>476</v>
      </c>
      <c r="V2377" s="0" t="n">
        <v>1</v>
      </c>
      <c r="W2377" s="39" t="n">
        <f aca="false">IF(I2377="Male",0,1)</f>
        <v>1</v>
      </c>
      <c r="X2377" s="39" t="n">
        <f aca="false">IF(OR(I2377="DNB",I2377="Dry DNB"),1,0)</f>
        <v>0</v>
      </c>
      <c r="Y2377" s="39" t="n">
        <f aca="false">MATCH(A2377,DATAS,0)</f>
        <v>1</v>
      </c>
      <c r="Z2377" s="39" t="n">
        <f aca="false">IF(AND(E2377&gt;0,OR(AND(B2377&gt;=1,B2377&lt;=6),B2377=10)),1,0)</f>
        <v>0</v>
      </c>
      <c r="AA2377" s="39" t="n">
        <f aca="false">IF(AND(E2377&gt;0,B2377=10),1,0)</f>
        <v>0</v>
      </c>
      <c r="AB2377" s="0" t="str">
        <f aca="false">IF(AND(C2376=C2377,Y2376=Y2377-1),Z2376,"")</f>
        <v/>
      </c>
      <c r="AC2377" s="0" t="str">
        <f aca="false">IF(AND(C2376=C2377,Y2376=Y2377-1),AA2376,"")</f>
        <v/>
      </c>
      <c r="AD2377" s="0" t="str">
        <f aca="false">IF(Y2377=1,"",IF(AND(Z2377=1,AB2377&lt;&gt;1),1,0))</f>
        <v/>
      </c>
      <c r="AE2377" s="0" t="str">
        <f aca="false">IF(Y2377=1,"",IF(AND(AA2377=1,AC2377&lt;&gt;1),1,0))</f>
        <v/>
      </c>
      <c r="AF2377" s="45" t="str">
        <f aca="false">IF(AND(E2377&gt;0,Y2377&lt;1,NOT(AND(C2378=C2377,Y2378=Y2377+1))),INDEX(DATAS,Y2377+1),"")</f>
        <v/>
      </c>
      <c r="AG2377" s="45" t="str">
        <f aca="false">IF(AND(AA2377=1,Y2377&lt;1),IF(AND(C2378=C2377,Y2378=Y2377+1),IF(AA2378=1,"",INDEX(DATAS,Y2377+1)),INDEX(DATAS,Y2377+1)),"")</f>
        <v/>
      </c>
    </row>
    <row r="2378" customFormat="false" ht="15" hidden="false" customHeight="false" outlineLevel="0" collapsed="false">
      <c r="A2378" s="45" t="n">
        <v>46309</v>
      </c>
      <c r="B2378" s="0" t="n">
        <v>8</v>
      </c>
      <c r="C2378" s="0" t="n">
        <v>6682</v>
      </c>
      <c r="E2378" s="0" t="n">
        <v>0</v>
      </c>
      <c r="F2378" s="39" t="s">
        <v>1223</v>
      </c>
      <c r="I2378" s="39" t="s">
        <v>109</v>
      </c>
      <c r="L2378" s="0" t="n">
        <v>63</v>
      </c>
      <c r="U2378" s="0" t="n">
        <v>476</v>
      </c>
      <c r="V2378" s="0" t="n">
        <v>1</v>
      </c>
      <c r="W2378" s="39" t="n">
        <f aca="false">IF(I2378="Male",0,1)</f>
        <v>1</v>
      </c>
      <c r="X2378" s="39" t="n">
        <f aca="false">IF(OR(I2378="DNB",I2378="Dry DNB"),1,0)</f>
        <v>0</v>
      </c>
      <c r="Y2378" s="39" t="n">
        <f aca="false">MATCH(A2378,DATAS,0)</f>
        <v>1</v>
      </c>
      <c r="Z2378" s="39" t="n">
        <f aca="false">IF(AND(E2378&gt;0,OR(AND(B2378&gt;=1,B2378&lt;=6),B2378=10)),1,0)</f>
        <v>0</v>
      </c>
      <c r="AA2378" s="39" t="n">
        <f aca="false">IF(AND(E2378&gt;0,B2378=10),1,0)</f>
        <v>0</v>
      </c>
      <c r="AB2378" s="0" t="str">
        <f aca="false">IF(AND(C2377=C2378,Y2377=Y2378-1),Z2377,"")</f>
        <v/>
      </c>
      <c r="AC2378" s="0" t="str">
        <f aca="false">IF(AND(C2377=C2378,Y2377=Y2378-1),AA2377,"")</f>
        <v/>
      </c>
      <c r="AD2378" s="0" t="str">
        <f aca="false">IF(Y2378=1,"",IF(AND(Z2378=1,AB2378&lt;&gt;1),1,0))</f>
        <v/>
      </c>
      <c r="AE2378" s="0" t="str">
        <f aca="false">IF(Y2378=1,"",IF(AND(AA2378=1,AC2378&lt;&gt;1),1,0))</f>
        <v/>
      </c>
      <c r="AF2378" s="45" t="str">
        <f aca="false">IF(AND(E2378&gt;0,Y2378&lt;1,NOT(AND(C2379=C2378,Y2379=Y2378+1))),INDEX(DATAS,Y2378+1),"")</f>
        <v/>
      </c>
      <c r="AG2378" s="45" t="str">
        <f aca="false">IF(AND(AA2378=1,Y2378&lt;1),IF(AND(C2379=C2378,Y2379=Y2378+1),IF(AA2379=1,"",INDEX(DATAS,Y2378+1)),INDEX(DATAS,Y2378+1)),"")</f>
        <v/>
      </c>
    </row>
    <row r="2379" customFormat="false" ht="15" hidden="false" customHeight="false" outlineLevel="0" collapsed="false">
      <c r="A2379" s="45" t="n">
        <v>46309</v>
      </c>
      <c r="B2379" s="0" t="n">
        <v>11</v>
      </c>
      <c r="C2379" s="0" t="n">
        <v>6683</v>
      </c>
      <c r="E2379" s="0" t="n">
        <v>0</v>
      </c>
      <c r="F2379" s="39" t="s">
        <v>1224</v>
      </c>
      <c r="I2379" s="39" t="s">
        <v>138</v>
      </c>
      <c r="U2379" s="0" t="n">
        <v>475</v>
      </c>
      <c r="V2379" s="0" t="n">
        <v>4</v>
      </c>
      <c r="W2379" s="39" t="n">
        <f aca="false">IF(I2379="Male",0,1)</f>
        <v>1</v>
      </c>
      <c r="X2379" s="39" t="n">
        <f aca="false">IF(OR(I2379="DNB",I2379="Dry DNB"),1,0)</f>
        <v>0</v>
      </c>
      <c r="Y2379" s="39" t="n">
        <f aca="false">MATCH(A2379,DATAS,0)</f>
        <v>1</v>
      </c>
      <c r="Z2379" s="39" t="n">
        <f aca="false">IF(AND(E2379&gt;0,OR(AND(B2379&gt;=1,B2379&lt;=6),B2379=10)),1,0)</f>
        <v>0</v>
      </c>
      <c r="AA2379" s="39" t="n">
        <f aca="false">IF(AND(E2379&gt;0,B2379=10),1,0)</f>
        <v>0</v>
      </c>
      <c r="AB2379" s="0" t="str">
        <f aca="false">IF(AND(C2378=C2379,Y2378=Y2379-1),Z2378,"")</f>
        <v/>
      </c>
      <c r="AC2379" s="0" t="str">
        <f aca="false">IF(AND(C2378=C2379,Y2378=Y2379-1),AA2378,"")</f>
        <v/>
      </c>
      <c r="AD2379" s="0" t="str">
        <f aca="false">IF(Y2379=1,"",IF(AND(Z2379=1,AB2379&lt;&gt;1),1,0))</f>
        <v/>
      </c>
      <c r="AE2379" s="0" t="str">
        <f aca="false">IF(Y2379=1,"",IF(AND(AA2379=1,AC2379&lt;&gt;1),1,0))</f>
        <v/>
      </c>
      <c r="AF2379" s="45" t="str">
        <f aca="false">IF(AND(E2379&gt;0,Y2379&lt;1,NOT(AND(C2380=C2379,Y2380=Y2379+1))),INDEX(DATAS,Y2379+1),"")</f>
        <v/>
      </c>
      <c r="AG2379" s="45" t="str">
        <f aca="false">IF(AND(AA2379=1,Y2379&lt;1),IF(AND(C2380=C2379,Y2380=Y2379+1),IF(AA2380=1,"",INDEX(DATAS,Y2379+1)),INDEX(DATAS,Y2379+1)),"")</f>
        <v/>
      </c>
    </row>
    <row r="2380" customFormat="false" ht="15" hidden="false" customHeight="false" outlineLevel="0" collapsed="false">
      <c r="A2380" s="45" t="n">
        <v>46309</v>
      </c>
      <c r="B2380" s="0" t="n">
        <v>8</v>
      </c>
      <c r="C2380" s="0" t="n">
        <v>6684</v>
      </c>
      <c r="E2380" s="0" t="n">
        <v>0</v>
      </c>
      <c r="F2380" s="39" t="s">
        <v>1224</v>
      </c>
      <c r="I2380" s="39" t="s">
        <v>109</v>
      </c>
      <c r="L2380" s="0" t="n">
        <v>73</v>
      </c>
      <c r="U2380" s="0" t="n">
        <v>475</v>
      </c>
      <c r="V2380" s="0" t="n">
        <v>1</v>
      </c>
      <c r="W2380" s="39" t="n">
        <f aca="false">IF(I2380="Male",0,1)</f>
        <v>1</v>
      </c>
      <c r="X2380" s="39" t="n">
        <f aca="false">IF(OR(I2380="DNB",I2380="Dry DNB"),1,0)</f>
        <v>0</v>
      </c>
      <c r="Y2380" s="39" t="n">
        <f aca="false">MATCH(A2380,DATAS,0)</f>
        <v>1</v>
      </c>
      <c r="Z2380" s="39" t="n">
        <f aca="false">IF(AND(E2380&gt;0,OR(AND(B2380&gt;=1,B2380&lt;=6),B2380=10)),1,0)</f>
        <v>0</v>
      </c>
      <c r="AA2380" s="39" t="n">
        <f aca="false">IF(AND(E2380&gt;0,B2380=10),1,0)</f>
        <v>0</v>
      </c>
      <c r="AB2380" s="0" t="str">
        <f aca="false">IF(AND(C2379=C2380,Y2379=Y2380-1),Z2379,"")</f>
        <v/>
      </c>
      <c r="AC2380" s="0" t="str">
        <f aca="false">IF(AND(C2379=C2380,Y2379=Y2380-1),AA2379,"")</f>
        <v/>
      </c>
      <c r="AD2380" s="0" t="str">
        <f aca="false">IF(Y2380=1,"",IF(AND(Z2380=1,AB2380&lt;&gt;1),1,0))</f>
        <v/>
      </c>
      <c r="AE2380" s="0" t="str">
        <f aca="false">IF(Y2380=1,"",IF(AND(AA2380=1,AC2380&lt;&gt;1),1,0))</f>
        <v/>
      </c>
      <c r="AF2380" s="45" t="str">
        <f aca="false">IF(AND(E2380&gt;0,Y2380&lt;1,NOT(AND(C2381=C2380,Y2381=Y2380+1))),INDEX(DATAS,Y2380+1),"")</f>
        <v/>
      </c>
      <c r="AG2380" s="45" t="str">
        <f aca="false">IF(AND(AA2380=1,Y2380&lt;1),IF(AND(C2381=C2380,Y2381=Y2380+1),IF(AA2381=1,"",INDEX(DATAS,Y2380+1)),INDEX(DATAS,Y2380+1)),"")</f>
        <v/>
      </c>
    </row>
    <row r="2381" customFormat="false" ht="15" hidden="false" customHeight="false" outlineLevel="0" collapsed="false">
      <c r="A2381" s="45" t="n">
        <v>46309</v>
      </c>
      <c r="B2381" s="0" t="n">
        <v>11</v>
      </c>
      <c r="C2381" s="0" t="n">
        <v>6685</v>
      </c>
      <c r="E2381" s="0" t="n">
        <v>0</v>
      </c>
      <c r="F2381" s="39" t="s">
        <v>1224</v>
      </c>
      <c r="I2381" s="39" t="s">
        <v>138</v>
      </c>
      <c r="U2381" s="0" t="n">
        <v>475</v>
      </c>
      <c r="V2381" s="0" t="n">
        <v>2</v>
      </c>
      <c r="W2381" s="39" t="n">
        <f aca="false">IF(I2381="Male",0,1)</f>
        <v>1</v>
      </c>
      <c r="X2381" s="39" t="n">
        <f aca="false">IF(OR(I2381="DNB",I2381="Dry DNB"),1,0)</f>
        <v>0</v>
      </c>
      <c r="Y2381" s="39" t="n">
        <f aca="false">MATCH(A2381,DATAS,0)</f>
        <v>1</v>
      </c>
      <c r="Z2381" s="39" t="n">
        <f aca="false">IF(AND(E2381&gt;0,OR(AND(B2381&gt;=1,B2381&lt;=6),B2381=10)),1,0)</f>
        <v>0</v>
      </c>
      <c r="AA2381" s="39" t="n">
        <f aca="false">IF(AND(E2381&gt;0,B2381=10),1,0)</f>
        <v>0</v>
      </c>
      <c r="AB2381" s="0" t="str">
        <f aca="false">IF(AND(C2380=C2381,Y2380=Y2381-1),Z2380,"")</f>
        <v/>
      </c>
      <c r="AC2381" s="0" t="str">
        <f aca="false">IF(AND(C2380=C2381,Y2380=Y2381-1),AA2380,"")</f>
        <v/>
      </c>
      <c r="AD2381" s="0" t="str">
        <f aca="false">IF(Y2381=1,"",IF(AND(Z2381=1,AB2381&lt;&gt;1),1,0))</f>
        <v/>
      </c>
      <c r="AE2381" s="0" t="str">
        <f aca="false">IF(Y2381=1,"",IF(AND(AA2381=1,AC2381&lt;&gt;1),1,0))</f>
        <v/>
      </c>
      <c r="AF2381" s="45" t="str">
        <f aca="false">IF(AND(E2381&gt;0,Y2381&lt;1,NOT(AND(C2382=C2381,Y2382=Y2381+1))),INDEX(DATAS,Y2381+1),"")</f>
        <v/>
      </c>
      <c r="AG2381" s="45" t="str">
        <f aca="false">IF(AND(AA2381=1,Y2381&lt;1),IF(AND(C2382=C2381,Y2382=Y2381+1),IF(AA2382=1,"",INDEX(DATAS,Y2381+1)),INDEX(DATAS,Y2381+1)),"")</f>
        <v/>
      </c>
    </row>
    <row r="2382" customFormat="false" ht="15" hidden="false" customHeight="false" outlineLevel="0" collapsed="false">
      <c r="A2382" s="45" t="n">
        <v>46309</v>
      </c>
      <c r="B2382" s="0" t="n">
        <v>8</v>
      </c>
      <c r="C2382" s="0" t="n">
        <v>6687</v>
      </c>
      <c r="E2382" s="0" t="n">
        <v>0</v>
      </c>
      <c r="F2382" s="39" t="s">
        <v>1224</v>
      </c>
      <c r="I2382" s="39" t="s">
        <v>109</v>
      </c>
      <c r="L2382" s="0" t="n">
        <v>55</v>
      </c>
      <c r="U2382" s="0" t="n">
        <v>475</v>
      </c>
      <c r="V2382" s="0" t="n">
        <v>1</v>
      </c>
      <c r="W2382" s="39" t="n">
        <f aca="false">IF(I2382="Male",0,1)</f>
        <v>1</v>
      </c>
      <c r="X2382" s="39" t="n">
        <f aca="false">IF(OR(I2382="DNB",I2382="Dry DNB"),1,0)</f>
        <v>0</v>
      </c>
      <c r="Y2382" s="39" t="n">
        <f aca="false">MATCH(A2382,DATAS,0)</f>
        <v>1</v>
      </c>
      <c r="Z2382" s="39" t="n">
        <f aca="false">IF(AND(E2382&gt;0,OR(AND(B2382&gt;=1,B2382&lt;=6),B2382=10)),1,0)</f>
        <v>0</v>
      </c>
      <c r="AA2382" s="39" t="n">
        <f aca="false">IF(AND(E2382&gt;0,B2382=10),1,0)</f>
        <v>0</v>
      </c>
      <c r="AB2382" s="0" t="str">
        <f aca="false">IF(AND(C2381=C2382,Y2381=Y2382-1),Z2381,"")</f>
        <v/>
      </c>
      <c r="AC2382" s="0" t="str">
        <f aca="false">IF(AND(C2381=C2382,Y2381=Y2382-1),AA2381,"")</f>
        <v/>
      </c>
      <c r="AD2382" s="0" t="str">
        <f aca="false">IF(Y2382=1,"",IF(AND(Z2382=1,AB2382&lt;&gt;1),1,0))</f>
        <v/>
      </c>
      <c r="AE2382" s="0" t="str">
        <f aca="false">IF(Y2382=1,"",IF(AND(AA2382=1,AC2382&lt;&gt;1),1,0))</f>
        <v/>
      </c>
      <c r="AF2382" s="45" t="str">
        <f aca="false">IF(AND(E2382&gt;0,Y2382&lt;1,NOT(AND(C2383=C2382,Y2383=Y2382+1))),INDEX(DATAS,Y2382+1),"")</f>
        <v/>
      </c>
      <c r="AG2382" s="45" t="str">
        <f aca="false">IF(AND(AA2382=1,Y2382&lt;1),IF(AND(C2383=C2382,Y2383=Y2382+1),IF(AA2383=1,"",INDEX(DATAS,Y2382+1)),INDEX(DATAS,Y2382+1)),"")</f>
        <v/>
      </c>
    </row>
    <row r="2383" customFormat="false" ht="15" hidden="false" customHeight="false" outlineLevel="0" collapsed="false">
      <c r="A2383" s="45" t="n">
        <v>46309</v>
      </c>
      <c r="B2383" s="0" t="n">
        <v>8</v>
      </c>
      <c r="C2383" s="0" t="n">
        <v>6688</v>
      </c>
      <c r="E2383" s="0" t="n">
        <v>0</v>
      </c>
      <c r="F2383" s="39" t="s">
        <v>1224</v>
      </c>
      <c r="I2383" s="39" t="s">
        <v>109</v>
      </c>
      <c r="L2383" s="0" t="n">
        <v>53</v>
      </c>
      <c r="U2383" s="0" t="n">
        <v>475</v>
      </c>
      <c r="V2383" s="0" t="n">
        <v>2</v>
      </c>
      <c r="W2383" s="39" t="n">
        <f aca="false">IF(I2383="Male",0,1)</f>
        <v>1</v>
      </c>
      <c r="X2383" s="39" t="n">
        <f aca="false">IF(OR(I2383="DNB",I2383="Dry DNB"),1,0)</f>
        <v>0</v>
      </c>
      <c r="Y2383" s="39" t="n">
        <f aca="false">MATCH(A2383,DATAS,0)</f>
        <v>1</v>
      </c>
      <c r="Z2383" s="39" t="n">
        <f aca="false">IF(AND(E2383&gt;0,OR(AND(B2383&gt;=1,B2383&lt;=6),B2383=10)),1,0)</f>
        <v>0</v>
      </c>
      <c r="AA2383" s="39" t="n">
        <f aca="false">IF(AND(E2383&gt;0,B2383=10),1,0)</f>
        <v>0</v>
      </c>
      <c r="AB2383" s="0" t="str">
        <f aca="false">IF(AND(C2382=C2383,Y2382=Y2383-1),Z2382,"")</f>
        <v/>
      </c>
      <c r="AC2383" s="0" t="str">
        <f aca="false">IF(AND(C2382=C2383,Y2382=Y2383-1),AA2382,"")</f>
        <v/>
      </c>
      <c r="AD2383" s="0" t="str">
        <f aca="false">IF(Y2383=1,"",IF(AND(Z2383=1,AB2383&lt;&gt;1),1,0))</f>
        <v/>
      </c>
      <c r="AE2383" s="0" t="str">
        <f aca="false">IF(Y2383=1,"",IF(AND(AA2383=1,AC2383&lt;&gt;1),1,0))</f>
        <v/>
      </c>
      <c r="AF2383" s="45" t="str">
        <f aca="false">IF(AND(E2383&gt;0,Y2383&lt;1,NOT(AND(C2384=C2383,Y2384=Y2383+1))),INDEX(DATAS,Y2383+1),"")</f>
        <v/>
      </c>
      <c r="AG2383" s="45" t="str">
        <f aca="false">IF(AND(AA2383=1,Y2383&lt;1),IF(AND(C2384=C2383,Y2384=Y2383+1),IF(AA2384=1,"",INDEX(DATAS,Y2383+1)),INDEX(DATAS,Y2383+1)),"")</f>
        <v/>
      </c>
    </row>
    <row r="2384" customFormat="false" ht="15" hidden="false" customHeight="false" outlineLevel="0" collapsed="false">
      <c r="A2384" s="45" t="n">
        <v>46309</v>
      </c>
      <c r="B2384" s="0" t="n">
        <v>8</v>
      </c>
      <c r="C2384" s="0" t="n">
        <v>6689</v>
      </c>
      <c r="E2384" s="0" t="n">
        <v>0</v>
      </c>
      <c r="F2384" s="39" t="s">
        <v>1225</v>
      </c>
      <c r="I2384" s="39" t="s">
        <v>109</v>
      </c>
      <c r="L2384" s="0" t="n">
        <v>81</v>
      </c>
      <c r="U2384" s="0" t="n">
        <v>474</v>
      </c>
      <c r="V2384" s="0" t="n">
        <v>1</v>
      </c>
      <c r="W2384" s="39" t="n">
        <f aca="false">IF(I2384="Male",0,1)</f>
        <v>1</v>
      </c>
      <c r="X2384" s="39" t="n">
        <f aca="false">IF(OR(I2384="DNB",I2384="Dry DNB"),1,0)</f>
        <v>0</v>
      </c>
      <c r="Y2384" s="39" t="n">
        <f aca="false">MATCH(A2384,DATAS,0)</f>
        <v>1</v>
      </c>
      <c r="Z2384" s="39" t="n">
        <f aca="false">IF(AND(E2384&gt;0,OR(AND(B2384&gt;=1,B2384&lt;=6),B2384=10)),1,0)</f>
        <v>0</v>
      </c>
      <c r="AA2384" s="39" t="n">
        <f aca="false">IF(AND(E2384&gt;0,B2384=10),1,0)</f>
        <v>0</v>
      </c>
      <c r="AB2384" s="0" t="str">
        <f aca="false">IF(AND(C2383=C2384,Y2383=Y2384-1),Z2383,"")</f>
        <v/>
      </c>
      <c r="AC2384" s="0" t="str">
        <f aca="false">IF(AND(C2383=C2384,Y2383=Y2384-1),AA2383,"")</f>
        <v/>
      </c>
      <c r="AD2384" s="0" t="str">
        <f aca="false">IF(Y2384=1,"",IF(AND(Z2384=1,AB2384&lt;&gt;1),1,0))</f>
        <v/>
      </c>
      <c r="AE2384" s="0" t="str">
        <f aca="false">IF(Y2384=1,"",IF(AND(AA2384=1,AC2384&lt;&gt;1),1,0))</f>
        <v/>
      </c>
      <c r="AF2384" s="45" t="str">
        <f aca="false">IF(AND(E2384&gt;0,Y2384&lt;1,NOT(AND(C2385=C2384,Y2385=Y2384+1))),INDEX(DATAS,Y2384+1),"")</f>
        <v/>
      </c>
      <c r="AG2384" s="45" t="str">
        <f aca="false">IF(AND(AA2384=1,Y2384&lt;1),IF(AND(C2385=C2384,Y2385=Y2384+1),IF(AA2385=1,"",INDEX(DATAS,Y2384+1)),INDEX(DATAS,Y2384+1)),"")</f>
        <v/>
      </c>
    </row>
    <row r="2385" customFormat="false" ht="15" hidden="false" customHeight="false" outlineLevel="0" collapsed="false">
      <c r="A2385" s="45" t="n">
        <v>46309</v>
      </c>
      <c r="B2385" s="0" t="n">
        <v>8</v>
      </c>
      <c r="C2385" s="0" t="n">
        <v>6690</v>
      </c>
      <c r="E2385" s="0" t="n">
        <v>0</v>
      </c>
      <c r="F2385" s="39" t="s">
        <v>1226</v>
      </c>
      <c r="I2385" s="39" t="s">
        <v>109</v>
      </c>
      <c r="L2385" s="0" t="n">
        <v>50</v>
      </c>
      <c r="U2385" s="0" t="n">
        <v>472</v>
      </c>
      <c r="V2385" s="0" t="n">
        <v>1</v>
      </c>
      <c r="W2385" s="39" t="n">
        <f aca="false">IF(I2385="Male",0,1)</f>
        <v>1</v>
      </c>
      <c r="X2385" s="39" t="n">
        <f aca="false">IF(OR(I2385="DNB",I2385="Dry DNB"),1,0)</f>
        <v>0</v>
      </c>
      <c r="Y2385" s="39" t="n">
        <f aca="false">MATCH(A2385,DATAS,0)</f>
        <v>1</v>
      </c>
      <c r="Z2385" s="39" t="n">
        <f aca="false">IF(AND(E2385&gt;0,OR(AND(B2385&gt;=1,B2385&lt;=6),B2385=10)),1,0)</f>
        <v>0</v>
      </c>
      <c r="AA2385" s="39" t="n">
        <f aca="false">IF(AND(E2385&gt;0,B2385=10),1,0)</f>
        <v>0</v>
      </c>
      <c r="AB2385" s="0" t="str">
        <f aca="false">IF(AND(C2384=C2385,Y2384=Y2385-1),Z2384,"")</f>
        <v/>
      </c>
      <c r="AC2385" s="0" t="str">
        <f aca="false">IF(AND(C2384=C2385,Y2384=Y2385-1),AA2384,"")</f>
        <v/>
      </c>
      <c r="AD2385" s="0" t="str">
        <f aca="false">IF(Y2385=1,"",IF(AND(Z2385=1,AB2385&lt;&gt;1),1,0))</f>
        <v/>
      </c>
      <c r="AE2385" s="0" t="str">
        <f aca="false">IF(Y2385=1,"",IF(AND(AA2385=1,AC2385&lt;&gt;1),1,0))</f>
        <v/>
      </c>
      <c r="AF2385" s="45" t="str">
        <f aca="false">IF(AND(E2385&gt;0,Y2385&lt;1,NOT(AND(C2386=C2385,Y2386=Y2385+1))),INDEX(DATAS,Y2385+1),"")</f>
        <v/>
      </c>
      <c r="AG2385" s="45" t="str">
        <f aca="false">IF(AND(AA2385=1,Y2385&lt;1),IF(AND(C2386=C2385,Y2386=Y2385+1),IF(AA2386=1,"",INDEX(DATAS,Y2385+1)),INDEX(DATAS,Y2385+1)),"")</f>
        <v/>
      </c>
    </row>
    <row r="2386" customFormat="false" ht="15" hidden="false" customHeight="false" outlineLevel="0" collapsed="false">
      <c r="A2386" s="45" t="n">
        <v>46309</v>
      </c>
      <c r="B2386" s="0" t="n">
        <v>11</v>
      </c>
      <c r="C2386" s="0" t="n">
        <v>6691</v>
      </c>
      <c r="E2386" s="0" t="n">
        <v>0</v>
      </c>
      <c r="F2386" s="39" t="s">
        <v>1226</v>
      </c>
      <c r="I2386" s="39" t="s">
        <v>138</v>
      </c>
      <c r="U2386" s="0" t="n">
        <v>472</v>
      </c>
      <c r="V2386" s="0" t="n">
        <v>3</v>
      </c>
      <c r="W2386" s="39" t="n">
        <f aca="false">IF(I2386="Male",0,1)</f>
        <v>1</v>
      </c>
      <c r="X2386" s="39" t="n">
        <f aca="false">IF(OR(I2386="DNB",I2386="Dry DNB"),1,0)</f>
        <v>0</v>
      </c>
      <c r="Y2386" s="39" t="n">
        <f aca="false">MATCH(A2386,DATAS,0)</f>
        <v>1</v>
      </c>
      <c r="Z2386" s="39" t="n">
        <f aca="false">IF(AND(E2386&gt;0,OR(AND(B2386&gt;=1,B2386&lt;=6),B2386=10)),1,0)</f>
        <v>0</v>
      </c>
      <c r="AA2386" s="39" t="n">
        <f aca="false">IF(AND(E2386&gt;0,B2386=10),1,0)</f>
        <v>0</v>
      </c>
      <c r="AB2386" s="0" t="str">
        <f aca="false">IF(AND(C2385=C2386,Y2385=Y2386-1),Z2385,"")</f>
        <v/>
      </c>
      <c r="AC2386" s="0" t="str">
        <f aca="false">IF(AND(C2385=C2386,Y2385=Y2386-1),AA2385,"")</f>
        <v/>
      </c>
      <c r="AD2386" s="0" t="str">
        <f aca="false">IF(Y2386=1,"",IF(AND(Z2386=1,AB2386&lt;&gt;1),1,0))</f>
        <v/>
      </c>
      <c r="AE2386" s="0" t="str">
        <f aca="false">IF(Y2386=1,"",IF(AND(AA2386=1,AC2386&lt;&gt;1),1,0))</f>
        <v/>
      </c>
      <c r="AF2386" s="45" t="str">
        <f aca="false">IF(AND(E2386&gt;0,Y2386&lt;1,NOT(AND(C2387=C2386,Y2387=Y2386+1))),INDEX(DATAS,Y2386+1),"")</f>
        <v/>
      </c>
      <c r="AG2386" s="45" t="str">
        <f aca="false">IF(AND(AA2386=1,Y2386&lt;1),IF(AND(C2387=C2386,Y2387=Y2386+1),IF(AA2387=1,"",INDEX(DATAS,Y2386+1)),INDEX(DATAS,Y2386+1)),"")</f>
        <v/>
      </c>
    </row>
    <row r="2387" customFormat="false" ht="15" hidden="false" customHeight="false" outlineLevel="0" collapsed="false">
      <c r="A2387" s="45" t="n">
        <v>46309</v>
      </c>
      <c r="B2387" s="0" t="n">
        <v>8</v>
      </c>
      <c r="C2387" s="0" t="n">
        <v>6692</v>
      </c>
      <c r="E2387" s="0" t="n">
        <v>0</v>
      </c>
      <c r="F2387" s="39" t="s">
        <v>1226</v>
      </c>
      <c r="I2387" s="39" t="s">
        <v>109</v>
      </c>
      <c r="L2387" s="0" t="n">
        <v>70</v>
      </c>
      <c r="U2387" s="0" t="n">
        <v>472</v>
      </c>
      <c r="V2387" s="0" t="n">
        <v>1</v>
      </c>
      <c r="W2387" s="39" t="n">
        <f aca="false">IF(I2387="Male",0,1)</f>
        <v>1</v>
      </c>
      <c r="X2387" s="39" t="n">
        <f aca="false">IF(OR(I2387="DNB",I2387="Dry DNB"),1,0)</f>
        <v>0</v>
      </c>
      <c r="Y2387" s="39" t="n">
        <f aca="false">MATCH(A2387,DATAS,0)</f>
        <v>1</v>
      </c>
      <c r="Z2387" s="39" t="n">
        <f aca="false">IF(AND(E2387&gt;0,OR(AND(B2387&gt;=1,B2387&lt;=6),B2387=10)),1,0)</f>
        <v>0</v>
      </c>
      <c r="AA2387" s="39" t="n">
        <f aca="false">IF(AND(E2387&gt;0,B2387=10),1,0)</f>
        <v>0</v>
      </c>
      <c r="AB2387" s="0" t="str">
        <f aca="false">IF(AND(C2386=C2387,Y2386=Y2387-1),Z2386,"")</f>
        <v/>
      </c>
      <c r="AC2387" s="0" t="str">
        <f aca="false">IF(AND(C2386=C2387,Y2386=Y2387-1),AA2386,"")</f>
        <v/>
      </c>
      <c r="AD2387" s="0" t="str">
        <f aca="false">IF(Y2387=1,"",IF(AND(Z2387=1,AB2387&lt;&gt;1),1,0))</f>
        <v/>
      </c>
      <c r="AE2387" s="0" t="str">
        <f aca="false">IF(Y2387=1,"",IF(AND(AA2387=1,AC2387&lt;&gt;1),1,0))</f>
        <v/>
      </c>
      <c r="AF2387" s="45" t="str">
        <f aca="false">IF(AND(E2387&gt;0,Y2387&lt;1,NOT(AND(C2388=C2387,Y2388=Y2387+1))),INDEX(DATAS,Y2387+1),"")</f>
        <v/>
      </c>
      <c r="AG2387" s="45" t="str">
        <f aca="false">IF(AND(AA2387=1,Y2387&lt;1),IF(AND(C2388=C2387,Y2388=Y2387+1),IF(AA2388=1,"",INDEX(DATAS,Y2387+1)),INDEX(DATAS,Y2387+1)),"")</f>
        <v/>
      </c>
    </row>
    <row r="2388" customFormat="false" ht="15" hidden="false" customHeight="false" outlineLevel="0" collapsed="false">
      <c r="A2388" s="45" t="n">
        <v>46309</v>
      </c>
      <c r="B2388" s="0" t="n">
        <v>8</v>
      </c>
      <c r="C2388" s="0" t="n">
        <v>6693</v>
      </c>
      <c r="E2388" s="0" t="n">
        <v>0</v>
      </c>
      <c r="F2388" s="39" t="s">
        <v>1226</v>
      </c>
      <c r="I2388" s="39" t="s">
        <v>109</v>
      </c>
      <c r="L2388" s="0" t="n">
        <v>76</v>
      </c>
      <c r="U2388" s="0" t="n">
        <v>472</v>
      </c>
      <c r="V2388" s="0" t="n">
        <v>1</v>
      </c>
      <c r="W2388" s="39" t="n">
        <f aca="false">IF(I2388="Male",0,1)</f>
        <v>1</v>
      </c>
      <c r="X2388" s="39" t="n">
        <f aca="false">IF(OR(I2388="DNB",I2388="Dry DNB"),1,0)</f>
        <v>0</v>
      </c>
      <c r="Y2388" s="39" t="n">
        <f aca="false">MATCH(A2388,DATAS,0)</f>
        <v>1</v>
      </c>
      <c r="Z2388" s="39" t="n">
        <f aca="false">IF(AND(E2388&gt;0,OR(AND(B2388&gt;=1,B2388&lt;=6),B2388=10)),1,0)</f>
        <v>0</v>
      </c>
      <c r="AA2388" s="39" t="n">
        <f aca="false">IF(AND(E2388&gt;0,B2388=10),1,0)</f>
        <v>0</v>
      </c>
      <c r="AB2388" s="0" t="str">
        <f aca="false">IF(AND(C2387=C2388,Y2387=Y2388-1),Z2387,"")</f>
        <v/>
      </c>
      <c r="AC2388" s="0" t="str">
        <f aca="false">IF(AND(C2387=C2388,Y2387=Y2388-1),AA2387,"")</f>
        <v/>
      </c>
      <c r="AD2388" s="0" t="str">
        <f aca="false">IF(Y2388=1,"",IF(AND(Z2388=1,AB2388&lt;&gt;1),1,0))</f>
        <v/>
      </c>
      <c r="AE2388" s="0" t="str">
        <f aca="false">IF(Y2388=1,"",IF(AND(AA2388=1,AC2388&lt;&gt;1),1,0))</f>
        <v/>
      </c>
      <c r="AF2388" s="45" t="str">
        <f aca="false">IF(AND(E2388&gt;0,Y2388&lt;1,NOT(AND(C2389=C2388,Y2389=Y2388+1))),INDEX(DATAS,Y2388+1),"")</f>
        <v/>
      </c>
      <c r="AG2388" s="45" t="str">
        <f aca="false">IF(AND(AA2388=1,Y2388&lt;1),IF(AND(C2389=C2388,Y2389=Y2388+1),IF(AA2389=1,"",INDEX(DATAS,Y2388+1)),INDEX(DATAS,Y2388+1)),"")</f>
        <v/>
      </c>
    </row>
    <row r="2389" customFormat="false" ht="15" hidden="false" customHeight="false" outlineLevel="0" collapsed="false">
      <c r="A2389" s="45" t="n">
        <v>46309</v>
      </c>
      <c r="B2389" s="0" t="n">
        <v>8</v>
      </c>
      <c r="C2389" s="0" t="n">
        <v>6694</v>
      </c>
      <c r="E2389" s="0" t="n">
        <v>0</v>
      </c>
      <c r="F2389" s="39" t="s">
        <v>1226</v>
      </c>
      <c r="I2389" s="39" t="s">
        <v>109</v>
      </c>
      <c r="L2389" s="0" t="n">
        <v>64</v>
      </c>
      <c r="U2389" s="0" t="n">
        <v>472</v>
      </c>
      <c r="V2389" s="0" t="n">
        <v>1</v>
      </c>
      <c r="W2389" s="39" t="n">
        <f aca="false">IF(I2389="Male",0,1)</f>
        <v>1</v>
      </c>
      <c r="X2389" s="39" t="n">
        <f aca="false">IF(OR(I2389="DNB",I2389="Dry DNB"),1,0)</f>
        <v>0</v>
      </c>
      <c r="Y2389" s="39" t="n">
        <f aca="false">MATCH(A2389,DATAS,0)</f>
        <v>1</v>
      </c>
      <c r="Z2389" s="39" t="n">
        <f aca="false">IF(AND(E2389&gt;0,OR(AND(B2389&gt;=1,B2389&lt;=6),B2389=10)),1,0)</f>
        <v>0</v>
      </c>
      <c r="AA2389" s="39" t="n">
        <f aca="false">IF(AND(E2389&gt;0,B2389=10),1,0)</f>
        <v>0</v>
      </c>
      <c r="AB2389" s="0" t="str">
        <f aca="false">IF(AND(C2388=C2389,Y2388=Y2389-1),Z2388,"")</f>
        <v/>
      </c>
      <c r="AC2389" s="0" t="str">
        <f aca="false">IF(AND(C2388=C2389,Y2388=Y2389-1),AA2388,"")</f>
        <v/>
      </c>
      <c r="AD2389" s="0" t="str">
        <f aca="false">IF(Y2389=1,"",IF(AND(Z2389=1,AB2389&lt;&gt;1),1,0))</f>
        <v/>
      </c>
      <c r="AE2389" s="0" t="str">
        <f aca="false">IF(Y2389=1,"",IF(AND(AA2389=1,AC2389&lt;&gt;1),1,0))</f>
        <v/>
      </c>
      <c r="AF2389" s="45" t="str">
        <f aca="false">IF(AND(E2389&gt;0,Y2389&lt;1,NOT(AND(C2390=C2389,Y2390=Y2389+1))),INDEX(DATAS,Y2389+1),"")</f>
        <v/>
      </c>
      <c r="AG2389" s="45" t="str">
        <f aca="false">IF(AND(AA2389=1,Y2389&lt;1),IF(AND(C2390=C2389,Y2390=Y2389+1),IF(AA2390=1,"",INDEX(DATAS,Y2389+1)),INDEX(DATAS,Y2389+1)),"")</f>
        <v/>
      </c>
    </row>
    <row r="2390" customFormat="false" ht="15" hidden="false" customHeight="false" outlineLevel="0" collapsed="false">
      <c r="A2390" s="45" t="n">
        <v>46309</v>
      </c>
      <c r="B2390" s="0" t="n">
        <v>8</v>
      </c>
      <c r="C2390" s="0" t="n">
        <v>6695</v>
      </c>
      <c r="E2390" s="0" t="n">
        <v>0</v>
      </c>
      <c r="F2390" s="39" t="s">
        <v>1226</v>
      </c>
      <c r="I2390" s="39" t="s">
        <v>109</v>
      </c>
      <c r="L2390" s="0" t="n">
        <v>55</v>
      </c>
      <c r="U2390" s="0" t="n">
        <v>472</v>
      </c>
      <c r="V2390" s="0" t="n">
        <v>1</v>
      </c>
      <c r="W2390" s="39" t="n">
        <f aca="false">IF(I2390="Male",0,1)</f>
        <v>1</v>
      </c>
      <c r="X2390" s="39" t="n">
        <f aca="false">IF(OR(I2390="DNB",I2390="Dry DNB"),1,0)</f>
        <v>0</v>
      </c>
      <c r="Y2390" s="39" t="n">
        <f aca="false">MATCH(A2390,DATAS,0)</f>
        <v>1</v>
      </c>
      <c r="Z2390" s="39" t="n">
        <f aca="false">IF(AND(E2390&gt;0,OR(AND(B2390&gt;=1,B2390&lt;=6),B2390=10)),1,0)</f>
        <v>0</v>
      </c>
      <c r="AA2390" s="39" t="n">
        <f aca="false">IF(AND(E2390&gt;0,B2390=10),1,0)</f>
        <v>0</v>
      </c>
      <c r="AB2390" s="0" t="str">
        <f aca="false">IF(AND(C2389=C2390,Y2389=Y2390-1),Z2389,"")</f>
        <v/>
      </c>
      <c r="AC2390" s="0" t="str">
        <f aca="false">IF(AND(C2389=C2390,Y2389=Y2390-1),AA2389,"")</f>
        <v/>
      </c>
      <c r="AD2390" s="0" t="str">
        <f aca="false">IF(Y2390=1,"",IF(AND(Z2390=1,AB2390&lt;&gt;1),1,0))</f>
        <v/>
      </c>
      <c r="AE2390" s="0" t="str">
        <f aca="false">IF(Y2390=1,"",IF(AND(AA2390=1,AC2390&lt;&gt;1),1,0))</f>
        <v/>
      </c>
      <c r="AF2390" s="45" t="str">
        <f aca="false">IF(AND(E2390&gt;0,Y2390&lt;1,NOT(AND(C2391=C2390,Y2391=Y2390+1))),INDEX(DATAS,Y2390+1),"")</f>
        <v/>
      </c>
      <c r="AG2390" s="45" t="str">
        <f aca="false">IF(AND(AA2390=1,Y2390&lt;1),IF(AND(C2391=C2390,Y2391=Y2390+1),IF(AA2391=1,"",INDEX(DATAS,Y2390+1)),INDEX(DATAS,Y2390+1)),"")</f>
        <v/>
      </c>
    </row>
    <row r="2391" customFormat="false" ht="15" hidden="false" customHeight="false" outlineLevel="0" collapsed="false">
      <c r="A2391" s="45" t="n">
        <v>46309</v>
      </c>
      <c r="B2391" s="0" t="n">
        <v>8</v>
      </c>
      <c r="C2391" s="0" t="n">
        <v>6696</v>
      </c>
      <c r="E2391" s="0" t="n">
        <v>0</v>
      </c>
      <c r="F2391" s="39" t="s">
        <v>1226</v>
      </c>
      <c r="I2391" s="39" t="s">
        <v>109</v>
      </c>
      <c r="L2391" s="0" t="n">
        <v>81</v>
      </c>
      <c r="U2391" s="0" t="n">
        <v>472</v>
      </c>
      <c r="V2391" s="0" t="n">
        <v>1</v>
      </c>
      <c r="W2391" s="39" t="n">
        <f aca="false">IF(I2391="Male",0,1)</f>
        <v>1</v>
      </c>
      <c r="X2391" s="39" t="n">
        <f aca="false">IF(OR(I2391="DNB",I2391="Dry DNB"),1,0)</f>
        <v>0</v>
      </c>
      <c r="Y2391" s="39" t="n">
        <f aca="false">MATCH(A2391,DATAS,0)</f>
        <v>1</v>
      </c>
      <c r="Z2391" s="39" t="n">
        <f aca="false">IF(AND(E2391&gt;0,OR(AND(B2391&gt;=1,B2391&lt;=6),B2391=10)),1,0)</f>
        <v>0</v>
      </c>
      <c r="AA2391" s="39" t="n">
        <f aca="false">IF(AND(E2391&gt;0,B2391=10),1,0)</f>
        <v>0</v>
      </c>
      <c r="AB2391" s="0" t="str">
        <f aca="false">IF(AND(C2390=C2391,Y2390=Y2391-1),Z2390,"")</f>
        <v/>
      </c>
      <c r="AC2391" s="0" t="str">
        <f aca="false">IF(AND(C2390=C2391,Y2390=Y2391-1),AA2390,"")</f>
        <v/>
      </c>
      <c r="AD2391" s="0" t="str">
        <f aca="false">IF(Y2391=1,"",IF(AND(Z2391=1,AB2391&lt;&gt;1),1,0))</f>
        <v/>
      </c>
      <c r="AE2391" s="0" t="str">
        <f aca="false">IF(Y2391=1,"",IF(AND(AA2391=1,AC2391&lt;&gt;1),1,0))</f>
        <v/>
      </c>
      <c r="AF2391" s="45" t="str">
        <f aca="false">IF(AND(E2391&gt;0,Y2391&lt;1,NOT(AND(C2392=C2391,Y2392=Y2391+1))),INDEX(DATAS,Y2391+1),"")</f>
        <v/>
      </c>
      <c r="AG2391" s="45" t="str">
        <f aca="false">IF(AND(AA2391=1,Y2391&lt;1),IF(AND(C2392=C2391,Y2392=Y2391+1),IF(AA2392=1,"",INDEX(DATAS,Y2391+1)),INDEX(DATAS,Y2391+1)),"")</f>
        <v/>
      </c>
    </row>
    <row r="2392" customFormat="false" ht="15" hidden="false" customHeight="false" outlineLevel="0" collapsed="false">
      <c r="A2392" s="45" t="n">
        <v>46309</v>
      </c>
      <c r="B2392" s="0" t="n">
        <v>8</v>
      </c>
      <c r="C2392" s="0" t="n">
        <v>6697</v>
      </c>
      <c r="E2392" s="0" t="n">
        <v>0</v>
      </c>
      <c r="F2392" s="39" t="s">
        <v>1227</v>
      </c>
      <c r="I2392" s="39" t="s">
        <v>109</v>
      </c>
      <c r="L2392" s="0" t="n">
        <v>72</v>
      </c>
      <c r="U2392" s="0" t="n">
        <v>471</v>
      </c>
      <c r="V2392" s="0" t="n">
        <v>1</v>
      </c>
      <c r="W2392" s="39" t="n">
        <f aca="false">IF(I2392="Male",0,1)</f>
        <v>1</v>
      </c>
      <c r="X2392" s="39" t="n">
        <f aca="false">IF(OR(I2392="DNB",I2392="Dry DNB"),1,0)</f>
        <v>0</v>
      </c>
      <c r="Y2392" s="39" t="n">
        <f aca="false">MATCH(A2392,DATAS,0)</f>
        <v>1</v>
      </c>
      <c r="Z2392" s="39" t="n">
        <f aca="false">IF(AND(E2392&gt;0,OR(AND(B2392&gt;=1,B2392&lt;=6),B2392=10)),1,0)</f>
        <v>0</v>
      </c>
      <c r="AA2392" s="39" t="n">
        <f aca="false">IF(AND(E2392&gt;0,B2392=10),1,0)</f>
        <v>0</v>
      </c>
      <c r="AB2392" s="0" t="str">
        <f aca="false">IF(AND(C2391=C2392,Y2391=Y2392-1),Z2391,"")</f>
        <v/>
      </c>
      <c r="AC2392" s="0" t="str">
        <f aca="false">IF(AND(C2391=C2392,Y2391=Y2392-1),AA2391,"")</f>
        <v/>
      </c>
      <c r="AD2392" s="0" t="str">
        <f aca="false">IF(Y2392=1,"",IF(AND(Z2392=1,AB2392&lt;&gt;1),1,0))</f>
        <v/>
      </c>
      <c r="AE2392" s="0" t="str">
        <f aca="false">IF(Y2392=1,"",IF(AND(AA2392=1,AC2392&lt;&gt;1),1,0))</f>
        <v/>
      </c>
      <c r="AF2392" s="45" t="str">
        <f aca="false">IF(AND(E2392&gt;0,Y2392&lt;1,NOT(AND(C2393=C2392,Y2393=Y2392+1))),INDEX(DATAS,Y2392+1),"")</f>
        <v/>
      </c>
      <c r="AG2392" s="45" t="str">
        <f aca="false">IF(AND(AA2392=1,Y2392&lt;1),IF(AND(C2393=C2392,Y2393=Y2392+1),IF(AA2393=1,"",INDEX(DATAS,Y2392+1)),INDEX(DATAS,Y2392+1)),"")</f>
        <v/>
      </c>
    </row>
    <row r="2393" customFormat="false" ht="15" hidden="false" customHeight="false" outlineLevel="0" collapsed="false">
      <c r="A2393" s="45" t="n">
        <v>46309</v>
      </c>
      <c r="B2393" s="0" t="n">
        <v>11</v>
      </c>
      <c r="C2393" s="0" t="n">
        <v>6698</v>
      </c>
      <c r="E2393" s="0" t="n">
        <v>0</v>
      </c>
      <c r="F2393" s="39" t="s">
        <v>1227</v>
      </c>
      <c r="I2393" s="39" t="s">
        <v>138</v>
      </c>
      <c r="U2393" s="0" t="n">
        <v>471</v>
      </c>
      <c r="V2393" s="0" t="n">
        <v>4</v>
      </c>
      <c r="W2393" s="39" t="n">
        <f aca="false">IF(I2393="Male",0,1)</f>
        <v>1</v>
      </c>
      <c r="X2393" s="39" t="n">
        <f aca="false">IF(OR(I2393="DNB",I2393="Dry DNB"),1,0)</f>
        <v>0</v>
      </c>
      <c r="Y2393" s="39" t="n">
        <f aca="false">MATCH(A2393,DATAS,0)</f>
        <v>1</v>
      </c>
      <c r="Z2393" s="39" t="n">
        <f aca="false">IF(AND(E2393&gt;0,OR(AND(B2393&gt;=1,B2393&lt;=6),B2393=10)),1,0)</f>
        <v>0</v>
      </c>
      <c r="AA2393" s="39" t="n">
        <f aca="false">IF(AND(E2393&gt;0,B2393=10),1,0)</f>
        <v>0</v>
      </c>
      <c r="AB2393" s="0" t="str">
        <f aca="false">IF(AND(C2392=C2393,Y2392=Y2393-1),Z2392,"")</f>
        <v/>
      </c>
      <c r="AC2393" s="0" t="str">
        <f aca="false">IF(AND(C2392=C2393,Y2392=Y2393-1),AA2392,"")</f>
        <v/>
      </c>
      <c r="AD2393" s="0" t="str">
        <f aca="false">IF(Y2393=1,"",IF(AND(Z2393=1,AB2393&lt;&gt;1),1,0))</f>
        <v/>
      </c>
      <c r="AE2393" s="0" t="str">
        <f aca="false">IF(Y2393=1,"",IF(AND(AA2393=1,AC2393&lt;&gt;1),1,0))</f>
        <v/>
      </c>
      <c r="AF2393" s="45" t="str">
        <f aca="false">IF(AND(E2393&gt;0,Y2393&lt;1,NOT(AND(C2394=C2393,Y2394=Y2393+1))),INDEX(DATAS,Y2393+1),"")</f>
        <v/>
      </c>
      <c r="AG2393" s="45" t="str">
        <f aca="false">IF(AND(AA2393=1,Y2393&lt;1),IF(AND(C2394=C2393,Y2394=Y2393+1),IF(AA2394=1,"",INDEX(DATAS,Y2393+1)),INDEX(DATAS,Y2393+1)),"")</f>
        <v/>
      </c>
    </row>
    <row r="2394" customFormat="false" ht="15" hidden="false" customHeight="false" outlineLevel="0" collapsed="false">
      <c r="A2394" s="45" t="n">
        <v>46309</v>
      </c>
      <c r="B2394" s="0" t="n">
        <v>11</v>
      </c>
      <c r="C2394" s="0" t="n">
        <v>6700</v>
      </c>
      <c r="E2394" s="0" t="n">
        <v>0</v>
      </c>
      <c r="F2394" s="39" t="s">
        <v>1227</v>
      </c>
      <c r="I2394" s="39" t="s">
        <v>138</v>
      </c>
      <c r="U2394" s="0" t="n">
        <v>471</v>
      </c>
      <c r="V2394" s="0" t="n">
        <v>2</v>
      </c>
      <c r="W2394" s="39" t="n">
        <f aca="false">IF(I2394="Male",0,1)</f>
        <v>1</v>
      </c>
      <c r="X2394" s="39" t="n">
        <f aca="false">IF(OR(I2394="DNB",I2394="Dry DNB"),1,0)</f>
        <v>0</v>
      </c>
      <c r="Y2394" s="39" t="n">
        <f aca="false">MATCH(A2394,DATAS,0)</f>
        <v>1</v>
      </c>
      <c r="Z2394" s="39" t="n">
        <f aca="false">IF(AND(E2394&gt;0,OR(AND(B2394&gt;=1,B2394&lt;=6),B2394=10)),1,0)</f>
        <v>0</v>
      </c>
      <c r="AA2394" s="39" t="n">
        <f aca="false">IF(AND(E2394&gt;0,B2394=10),1,0)</f>
        <v>0</v>
      </c>
      <c r="AB2394" s="0" t="str">
        <f aca="false">IF(AND(C2393=C2394,Y2393=Y2394-1),Z2393,"")</f>
        <v/>
      </c>
      <c r="AC2394" s="0" t="str">
        <f aca="false">IF(AND(C2393=C2394,Y2393=Y2394-1),AA2393,"")</f>
        <v/>
      </c>
      <c r="AD2394" s="0" t="str">
        <f aca="false">IF(Y2394=1,"",IF(AND(Z2394=1,AB2394&lt;&gt;1),1,0))</f>
        <v/>
      </c>
      <c r="AE2394" s="0" t="str">
        <f aca="false">IF(Y2394=1,"",IF(AND(AA2394=1,AC2394&lt;&gt;1),1,0))</f>
        <v/>
      </c>
      <c r="AF2394" s="45" t="str">
        <f aca="false">IF(AND(E2394&gt;0,Y2394&lt;1,NOT(AND(C2395=C2394,Y2395=Y2394+1))),INDEX(DATAS,Y2394+1),"")</f>
        <v/>
      </c>
      <c r="AG2394" s="45" t="str">
        <f aca="false">IF(AND(AA2394=1,Y2394&lt;1),IF(AND(C2395=C2394,Y2395=Y2394+1),IF(AA2395=1,"",INDEX(DATAS,Y2394+1)),INDEX(DATAS,Y2394+1)),"")</f>
        <v/>
      </c>
    </row>
    <row r="2395" customFormat="false" ht="15" hidden="false" customHeight="false" outlineLevel="0" collapsed="false">
      <c r="A2395" s="45" t="n">
        <v>46309</v>
      </c>
      <c r="B2395" s="0" t="n">
        <v>8</v>
      </c>
      <c r="C2395" s="0" t="n">
        <v>6701</v>
      </c>
      <c r="E2395" s="0" t="n">
        <v>0</v>
      </c>
      <c r="F2395" s="39" t="s">
        <v>1228</v>
      </c>
      <c r="I2395" s="39" t="s">
        <v>109</v>
      </c>
      <c r="L2395" s="0" t="n">
        <v>63</v>
      </c>
      <c r="U2395" s="0" t="n">
        <v>470</v>
      </c>
      <c r="V2395" s="0" t="n">
        <v>1</v>
      </c>
      <c r="W2395" s="39" t="n">
        <f aca="false">IF(I2395="Male",0,1)</f>
        <v>1</v>
      </c>
      <c r="X2395" s="39" t="n">
        <f aca="false">IF(OR(I2395="DNB",I2395="Dry DNB"),1,0)</f>
        <v>0</v>
      </c>
      <c r="Y2395" s="39" t="n">
        <f aca="false">MATCH(A2395,DATAS,0)</f>
        <v>1</v>
      </c>
      <c r="Z2395" s="39" t="n">
        <f aca="false">IF(AND(E2395&gt;0,OR(AND(B2395&gt;=1,B2395&lt;=6),B2395=10)),1,0)</f>
        <v>0</v>
      </c>
      <c r="AA2395" s="39" t="n">
        <f aca="false">IF(AND(E2395&gt;0,B2395=10),1,0)</f>
        <v>0</v>
      </c>
      <c r="AB2395" s="0" t="str">
        <f aca="false">IF(AND(C2394=C2395,Y2394=Y2395-1),Z2394,"")</f>
        <v/>
      </c>
      <c r="AC2395" s="0" t="str">
        <f aca="false">IF(AND(C2394=C2395,Y2394=Y2395-1),AA2394,"")</f>
        <v/>
      </c>
      <c r="AD2395" s="0" t="str">
        <f aca="false">IF(Y2395=1,"",IF(AND(Z2395=1,AB2395&lt;&gt;1),1,0))</f>
        <v/>
      </c>
      <c r="AE2395" s="0" t="str">
        <f aca="false">IF(Y2395=1,"",IF(AND(AA2395=1,AC2395&lt;&gt;1),1,0))</f>
        <v/>
      </c>
      <c r="AF2395" s="45" t="str">
        <f aca="false">IF(AND(E2395&gt;0,Y2395&lt;1,NOT(AND(C2396=C2395,Y2396=Y2395+1))),INDEX(DATAS,Y2395+1),"")</f>
        <v/>
      </c>
      <c r="AG2395" s="45" t="str">
        <f aca="false">IF(AND(AA2395=1,Y2395&lt;1),IF(AND(C2396=C2395,Y2396=Y2395+1),IF(AA2396=1,"",INDEX(DATAS,Y2395+1)),INDEX(DATAS,Y2395+1)),"")</f>
        <v/>
      </c>
    </row>
    <row r="2396" customFormat="false" ht="15" hidden="false" customHeight="false" outlineLevel="0" collapsed="false">
      <c r="A2396" s="45" t="n">
        <v>46309</v>
      </c>
      <c r="B2396" s="0" t="n">
        <v>11</v>
      </c>
      <c r="C2396" s="0" t="n">
        <v>6702</v>
      </c>
      <c r="E2396" s="0" t="n">
        <v>0</v>
      </c>
      <c r="F2396" s="39" t="s">
        <v>1228</v>
      </c>
      <c r="I2396" s="39" t="s">
        <v>138</v>
      </c>
      <c r="U2396" s="0" t="n">
        <v>470</v>
      </c>
      <c r="V2396" s="0" t="n">
        <v>2</v>
      </c>
      <c r="W2396" s="39" t="n">
        <f aca="false">IF(I2396="Male",0,1)</f>
        <v>1</v>
      </c>
      <c r="X2396" s="39" t="n">
        <f aca="false">IF(OR(I2396="DNB",I2396="Dry DNB"),1,0)</f>
        <v>0</v>
      </c>
      <c r="Y2396" s="39" t="n">
        <f aca="false">MATCH(A2396,DATAS,0)</f>
        <v>1</v>
      </c>
      <c r="Z2396" s="39" t="n">
        <f aca="false">IF(AND(E2396&gt;0,OR(AND(B2396&gt;=1,B2396&lt;=6),B2396=10)),1,0)</f>
        <v>0</v>
      </c>
      <c r="AA2396" s="39" t="n">
        <f aca="false">IF(AND(E2396&gt;0,B2396=10),1,0)</f>
        <v>0</v>
      </c>
      <c r="AB2396" s="0" t="str">
        <f aca="false">IF(AND(C2395=C2396,Y2395=Y2396-1),Z2395,"")</f>
        <v/>
      </c>
      <c r="AC2396" s="0" t="str">
        <f aca="false">IF(AND(C2395=C2396,Y2395=Y2396-1),AA2395,"")</f>
        <v/>
      </c>
      <c r="AD2396" s="0" t="str">
        <f aca="false">IF(Y2396=1,"",IF(AND(Z2396=1,AB2396&lt;&gt;1),1,0))</f>
        <v/>
      </c>
      <c r="AE2396" s="0" t="str">
        <f aca="false">IF(Y2396=1,"",IF(AND(AA2396=1,AC2396&lt;&gt;1),1,0))</f>
        <v/>
      </c>
      <c r="AF2396" s="45" t="str">
        <f aca="false">IF(AND(E2396&gt;0,Y2396&lt;1,NOT(AND(C2397=C2396,Y2397=Y2396+1))),INDEX(DATAS,Y2396+1),"")</f>
        <v/>
      </c>
      <c r="AG2396" s="45" t="str">
        <f aca="false">IF(AND(AA2396=1,Y2396&lt;1),IF(AND(C2397=C2396,Y2397=Y2396+1),IF(AA2397=1,"",INDEX(DATAS,Y2396+1)),INDEX(DATAS,Y2396+1)),"")</f>
        <v/>
      </c>
    </row>
    <row r="2397" customFormat="false" ht="15" hidden="false" customHeight="false" outlineLevel="0" collapsed="false">
      <c r="A2397" s="45" t="n">
        <v>46309</v>
      </c>
      <c r="B2397" s="0" t="n">
        <v>11</v>
      </c>
      <c r="C2397" s="0" t="n">
        <v>6703</v>
      </c>
      <c r="E2397" s="0" t="n">
        <v>0</v>
      </c>
      <c r="F2397" s="39" t="s">
        <v>1228</v>
      </c>
      <c r="I2397" s="39" t="s">
        <v>138</v>
      </c>
      <c r="U2397" s="0" t="n">
        <v>470</v>
      </c>
      <c r="V2397" s="0" t="n">
        <v>1</v>
      </c>
      <c r="W2397" s="39" t="n">
        <f aca="false">IF(I2397="Male",0,1)</f>
        <v>1</v>
      </c>
      <c r="X2397" s="39" t="n">
        <f aca="false">IF(OR(I2397="DNB",I2397="Dry DNB"),1,0)</f>
        <v>0</v>
      </c>
      <c r="Y2397" s="39" t="n">
        <f aca="false">MATCH(A2397,DATAS,0)</f>
        <v>1</v>
      </c>
      <c r="Z2397" s="39" t="n">
        <f aca="false">IF(AND(E2397&gt;0,OR(AND(B2397&gt;=1,B2397&lt;=6),B2397=10)),1,0)</f>
        <v>0</v>
      </c>
      <c r="AA2397" s="39" t="n">
        <f aca="false">IF(AND(E2397&gt;0,B2397=10),1,0)</f>
        <v>0</v>
      </c>
      <c r="AB2397" s="0" t="str">
        <f aca="false">IF(AND(C2396=C2397,Y2396=Y2397-1),Z2396,"")</f>
        <v/>
      </c>
      <c r="AC2397" s="0" t="str">
        <f aca="false">IF(AND(C2396=C2397,Y2396=Y2397-1),AA2396,"")</f>
        <v/>
      </c>
      <c r="AD2397" s="0" t="str">
        <f aca="false">IF(Y2397=1,"",IF(AND(Z2397=1,AB2397&lt;&gt;1),1,0))</f>
        <v/>
      </c>
      <c r="AE2397" s="0" t="str">
        <f aca="false">IF(Y2397=1,"",IF(AND(AA2397=1,AC2397&lt;&gt;1),1,0))</f>
        <v/>
      </c>
      <c r="AF2397" s="45" t="str">
        <f aca="false">IF(AND(E2397&gt;0,Y2397&lt;1,NOT(AND(C2398=C2397,Y2398=Y2397+1))),INDEX(DATAS,Y2397+1),"")</f>
        <v/>
      </c>
      <c r="AG2397" s="45" t="str">
        <f aca="false">IF(AND(AA2397=1,Y2397&lt;1),IF(AND(C2398=C2397,Y2398=Y2397+1),IF(AA2398=1,"",INDEX(DATAS,Y2397+1)),INDEX(DATAS,Y2397+1)),"")</f>
        <v/>
      </c>
    </row>
    <row r="2398" customFormat="false" ht="15" hidden="false" customHeight="false" outlineLevel="0" collapsed="false">
      <c r="A2398" s="45" t="n">
        <v>46309</v>
      </c>
      <c r="B2398" s="0" t="n">
        <v>8</v>
      </c>
      <c r="C2398" s="0" t="n">
        <v>6704</v>
      </c>
      <c r="E2398" s="0" t="n">
        <v>0</v>
      </c>
      <c r="F2398" s="39" t="s">
        <v>1229</v>
      </c>
      <c r="I2398" s="39" t="s">
        <v>146</v>
      </c>
      <c r="U2398" s="0" t="n">
        <v>469</v>
      </c>
      <c r="V2398" s="0" t="n">
        <v>1</v>
      </c>
      <c r="W2398" s="39" t="n">
        <f aca="false">IF(I2398="Male",0,1)</f>
        <v>1</v>
      </c>
      <c r="X2398" s="39" t="n">
        <f aca="false">IF(OR(I2398="DNB",I2398="Dry DNB"),1,0)</f>
        <v>0</v>
      </c>
      <c r="Y2398" s="39" t="n">
        <f aca="false">MATCH(A2398,DATAS,0)</f>
        <v>1</v>
      </c>
      <c r="Z2398" s="39" t="n">
        <f aca="false">IF(AND(E2398&gt;0,OR(AND(B2398&gt;=1,B2398&lt;=6),B2398=10)),1,0)</f>
        <v>0</v>
      </c>
      <c r="AA2398" s="39" t="n">
        <f aca="false">IF(AND(E2398&gt;0,B2398=10),1,0)</f>
        <v>0</v>
      </c>
      <c r="AB2398" s="0" t="str">
        <f aca="false">IF(AND(C2397=C2398,Y2397=Y2398-1),Z2397,"")</f>
        <v/>
      </c>
      <c r="AC2398" s="0" t="str">
        <f aca="false">IF(AND(C2397=C2398,Y2397=Y2398-1),AA2397,"")</f>
        <v/>
      </c>
      <c r="AD2398" s="0" t="str">
        <f aca="false">IF(Y2398=1,"",IF(AND(Z2398=1,AB2398&lt;&gt;1),1,0))</f>
        <v/>
      </c>
      <c r="AE2398" s="0" t="str">
        <f aca="false">IF(Y2398=1,"",IF(AND(AA2398=1,AC2398&lt;&gt;1),1,0))</f>
        <v/>
      </c>
      <c r="AF2398" s="45" t="str">
        <f aca="false">IF(AND(E2398&gt;0,Y2398&lt;1,NOT(AND(C2399=C2398,Y2399=Y2398+1))),INDEX(DATAS,Y2398+1),"")</f>
        <v/>
      </c>
      <c r="AG2398" s="45" t="str">
        <f aca="false">IF(AND(AA2398=1,Y2398&lt;1),IF(AND(C2399=C2398,Y2399=Y2398+1),IF(AA2399=1,"",INDEX(DATAS,Y2398+1)),INDEX(DATAS,Y2398+1)),"")</f>
        <v/>
      </c>
    </row>
    <row r="2399" customFormat="false" ht="15" hidden="false" customHeight="false" outlineLevel="0" collapsed="false">
      <c r="A2399" s="45" t="n">
        <v>46309</v>
      </c>
      <c r="B2399" s="0" t="n">
        <v>11</v>
      </c>
      <c r="C2399" s="0" t="n">
        <v>6705</v>
      </c>
      <c r="E2399" s="0" t="n">
        <v>0</v>
      </c>
      <c r="F2399" s="39" t="s">
        <v>1229</v>
      </c>
      <c r="I2399" s="39" t="s">
        <v>138</v>
      </c>
      <c r="U2399" s="0" t="n">
        <v>469</v>
      </c>
      <c r="V2399" s="0" t="n">
        <v>3</v>
      </c>
      <c r="W2399" s="39" t="n">
        <f aca="false">IF(I2399="Male",0,1)</f>
        <v>1</v>
      </c>
      <c r="X2399" s="39" t="n">
        <f aca="false">IF(OR(I2399="DNB",I2399="Dry DNB"),1,0)</f>
        <v>0</v>
      </c>
      <c r="Y2399" s="39" t="n">
        <f aca="false">MATCH(A2399,DATAS,0)</f>
        <v>1</v>
      </c>
      <c r="Z2399" s="39" t="n">
        <f aca="false">IF(AND(E2399&gt;0,OR(AND(B2399&gt;=1,B2399&lt;=6),B2399=10)),1,0)</f>
        <v>0</v>
      </c>
      <c r="AA2399" s="39" t="n">
        <f aca="false">IF(AND(E2399&gt;0,B2399=10),1,0)</f>
        <v>0</v>
      </c>
      <c r="AB2399" s="0" t="str">
        <f aca="false">IF(AND(C2398=C2399,Y2398=Y2399-1),Z2398,"")</f>
        <v/>
      </c>
      <c r="AC2399" s="0" t="str">
        <f aca="false">IF(AND(C2398=C2399,Y2398=Y2399-1),AA2398,"")</f>
        <v/>
      </c>
      <c r="AD2399" s="0" t="str">
        <f aca="false">IF(Y2399=1,"",IF(AND(Z2399=1,AB2399&lt;&gt;1),1,0))</f>
        <v/>
      </c>
      <c r="AE2399" s="0" t="str">
        <f aca="false">IF(Y2399=1,"",IF(AND(AA2399=1,AC2399&lt;&gt;1),1,0))</f>
        <v/>
      </c>
      <c r="AF2399" s="45" t="str">
        <f aca="false">IF(AND(E2399&gt;0,Y2399&lt;1,NOT(AND(C2400=C2399,Y2400=Y2399+1))),INDEX(DATAS,Y2399+1),"")</f>
        <v/>
      </c>
      <c r="AG2399" s="45" t="str">
        <f aca="false">IF(AND(AA2399=1,Y2399&lt;1),IF(AND(C2400=C2399,Y2400=Y2399+1),IF(AA2400=1,"",INDEX(DATAS,Y2399+1)),INDEX(DATAS,Y2399+1)),"")</f>
        <v/>
      </c>
    </row>
    <row r="2400" customFormat="false" ht="15" hidden="false" customHeight="false" outlineLevel="0" collapsed="false">
      <c r="A2400" s="45" t="n">
        <v>46309</v>
      </c>
      <c r="B2400" s="0" t="n">
        <v>11</v>
      </c>
      <c r="C2400" s="0" t="n">
        <v>6706</v>
      </c>
      <c r="E2400" s="0" t="n">
        <v>0</v>
      </c>
      <c r="F2400" s="39" t="s">
        <v>1230</v>
      </c>
      <c r="I2400" s="39" t="s">
        <v>138</v>
      </c>
      <c r="U2400" s="0" t="n">
        <v>467</v>
      </c>
      <c r="V2400" s="0" t="n">
        <v>2</v>
      </c>
      <c r="W2400" s="39" t="n">
        <f aca="false">IF(I2400="Male",0,1)</f>
        <v>1</v>
      </c>
      <c r="X2400" s="39" t="n">
        <f aca="false">IF(OR(I2400="DNB",I2400="Dry DNB"),1,0)</f>
        <v>0</v>
      </c>
      <c r="Y2400" s="39" t="n">
        <f aca="false">MATCH(A2400,DATAS,0)</f>
        <v>1</v>
      </c>
      <c r="Z2400" s="39" t="n">
        <f aca="false">IF(AND(E2400&gt;0,OR(AND(B2400&gt;=1,B2400&lt;=6),B2400=10)),1,0)</f>
        <v>0</v>
      </c>
      <c r="AA2400" s="39" t="n">
        <f aca="false">IF(AND(E2400&gt;0,B2400=10),1,0)</f>
        <v>0</v>
      </c>
      <c r="AB2400" s="0" t="str">
        <f aca="false">IF(AND(C2399=C2400,Y2399=Y2400-1),Z2399,"")</f>
        <v/>
      </c>
      <c r="AC2400" s="0" t="str">
        <f aca="false">IF(AND(C2399=C2400,Y2399=Y2400-1),AA2399,"")</f>
        <v/>
      </c>
      <c r="AD2400" s="0" t="str">
        <f aca="false">IF(Y2400=1,"",IF(AND(Z2400=1,AB2400&lt;&gt;1),1,0))</f>
        <v/>
      </c>
      <c r="AE2400" s="0" t="str">
        <f aca="false">IF(Y2400=1,"",IF(AND(AA2400=1,AC2400&lt;&gt;1),1,0))</f>
        <v/>
      </c>
      <c r="AF2400" s="45" t="str">
        <f aca="false">IF(AND(E2400&gt;0,Y2400&lt;1,NOT(AND(C2401=C2400,Y2401=Y2400+1))),INDEX(DATAS,Y2400+1),"")</f>
        <v/>
      </c>
      <c r="AG2400" s="45" t="str">
        <f aca="false">IF(AND(AA2400=1,Y2400&lt;1),IF(AND(C2401=C2400,Y2401=Y2400+1),IF(AA2401=1,"",INDEX(DATAS,Y2400+1)),INDEX(DATAS,Y2400+1)),"")</f>
        <v/>
      </c>
    </row>
    <row r="2401" customFormat="false" ht="15" hidden="false" customHeight="false" outlineLevel="0" collapsed="false">
      <c r="A2401" s="45" t="n">
        <v>46309</v>
      </c>
      <c r="B2401" s="0" t="n">
        <v>8</v>
      </c>
      <c r="C2401" s="0" t="n">
        <v>6707</v>
      </c>
      <c r="E2401" s="0" t="n">
        <v>0</v>
      </c>
      <c r="F2401" s="39" t="s">
        <v>1230</v>
      </c>
      <c r="I2401" s="39" t="s">
        <v>109</v>
      </c>
      <c r="L2401" s="0" t="n">
        <v>48</v>
      </c>
      <c r="U2401" s="0" t="n">
        <v>467</v>
      </c>
      <c r="V2401" s="0" t="n">
        <v>2</v>
      </c>
      <c r="W2401" s="39" t="n">
        <f aca="false">IF(I2401="Male",0,1)</f>
        <v>1</v>
      </c>
      <c r="X2401" s="39" t="n">
        <f aca="false">IF(OR(I2401="DNB",I2401="Dry DNB"),1,0)</f>
        <v>0</v>
      </c>
      <c r="Y2401" s="39" t="n">
        <f aca="false">MATCH(A2401,DATAS,0)</f>
        <v>1</v>
      </c>
      <c r="Z2401" s="39" t="n">
        <f aca="false">IF(AND(E2401&gt;0,OR(AND(B2401&gt;=1,B2401&lt;=6),B2401=10)),1,0)</f>
        <v>0</v>
      </c>
      <c r="AA2401" s="39" t="n">
        <f aca="false">IF(AND(E2401&gt;0,B2401=10),1,0)</f>
        <v>0</v>
      </c>
      <c r="AB2401" s="0" t="str">
        <f aca="false">IF(AND(C2400=C2401,Y2400=Y2401-1),Z2400,"")</f>
        <v/>
      </c>
      <c r="AC2401" s="0" t="str">
        <f aca="false">IF(AND(C2400=C2401,Y2400=Y2401-1),AA2400,"")</f>
        <v/>
      </c>
      <c r="AD2401" s="0" t="str">
        <f aca="false">IF(Y2401=1,"",IF(AND(Z2401=1,AB2401&lt;&gt;1),1,0))</f>
        <v/>
      </c>
      <c r="AE2401" s="0" t="str">
        <f aca="false">IF(Y2401=1,"",IF(AND(AA2401=1,AC2401&lt;&gt;1),1,0))</f>
        <v/>
      </c>
      <c r="AF2401" s="45" t="str">
        <f aca="false">IF(AND(E2401&gt;0,Y2401&lt;1,NOT(AND(C2402=C2401,Y2402=Y2401+1))),INDEX(DATAS,Y2401+1),"")</f>
        <v/>
      </c>
      <c r="AG2401" s="45" t="str">
        <f aca="false">IF(AND(AA2401=1,Y2401&lt;1),IF(AND(C2402=C2401,Y2402=Y2401+1),IF(AA2402=1,"",INDEX(DATAS,Y2401+1)),INDEX(DATAS,Y2401+1)),"")</f>
        <v/>
      </c>
    </row>
    <row r="2402" customFormat="false" ht="15" hidden="false" customHeight="false" outlineLevel="0" collapsed="false">
      <c r="A2402" s="45" t="n">
        <v>46309</v>
      </c>
      <c r="B2402" s="0" t="n">
        <v>11</v>
      </c>
      <c r="C2402" s="0" t="n">
        <v>6708</v>
      </c>
      <c r="E2402" s="0" t="n">
        <v>0</v>
      </c>
      <c r="F2402" s="39" t="s">
        <v>1230</v>
      </c>
      <c r="I2402" s="39" t="s">
        <v>138</v>
      </c>
      <c r="U2402" s="0" t="n">
        <v>467</v>
      </c>
      <c r="V2402" s="0" t="n">
        <v>2</v>
      </c>
      <c r="W2402" s="39" t="n">
        <f aca="false">IF(I2402="Male",0,1)</f>
        <v>1</v>
      </c>
      <c r="X2402" s="39" t="n">
        <f aca="false">IF(OR(I2402="DNB",I2402="Dry DNB"),1,0)</f>
        <v>0</v>
      </c>
      <c r="Y2402" s="39" t="n">
        <f aca="false">MATCH(A2402,DATAS,0)</f>
        <v>1</v>
      </c>
      <c r="Z2402" s="39" t="n">
        <f aca="false">IF(AND(E2402&gt;0,OR(AND(B2402&gt;=1,B2402&lt;=6),B2402=10)),1,0)</f>
        <v>0</v>
      </c>
      <c r="AA2402" s="39" t="n">
        <f aca="false">IF(AND(E2402&gt;0,B2402=10),1,0)</f>
        <v>0</v>
      </c>
      <c r="AB2402" s="0" t="str">
        <f aca="false">IF(AND(C2401=C2402,Y2401=Y2402-1),Z2401,"")</f>
        <v/>
      </c>
      <c r="AC2402" s="0" t="str">
        <f aca="false">IF(AND(C2401=C2402,Y2401=Y2402-1),AA2401,"")</f>
        <v/>
      </c>
      <c r="AD2402" s="0" t="str">
        <f aca="false">IF(Y2402=1,"",IF(AND(Z2402=1,AB2402&lt;&gt;1),1,0))</f>
        <v/>
      </c>
      <c r="AE2402" s="0" t="str">
        <f aca="false">IF(Y2402=1,"",IF(AND(AA2402=1,AC2402&lt;&gt;1),1,0))</f>
        <v/>
      </c>
      <c r="AF2402" s="45" t="str">
        <f aca="false">IF(AND(E2402&gt;0,Y2402&lt;1,NOT(AND(C2403=C2402,Y2403=Y2402+1))),INDEX(DATAS,Y2402+1),"")</f>
        <v/>
      </c>
      <c r="AG2402" s="45" t="str">
        <f aca="false">IF(AND(AA2402=1,Y2402&lt;1),IF(AND(C2403=C2402,Y2403=Y2402+1),IF(AA2403=1,"",INDEX(DATAS,Y2402+1)),INDEX(DATAS,Y2402+1)),"")</f>
        <v/>
      </c>
    </row>
    <row r="2403" customFormat="false" ht="15" hidden="false" customHeight="false" outlineLevel="0" collapsed="false">
      <c r="A2403" s="45" t="n">
        <v>46309</v>
      </c>
      <c r="B2403" s="0" t="n">
        <v>11</v>
      </c>
      <c r="C2403" s="0" t="n">
        <v>6709</v>
      </c>
      <c r="E2403" s="0" t="n">
        <v>0</v>
      </c>
      <c r="F2403" s="39" t="s">
        <v>1230</v>
      </c>
      <c r="I2403" s="39" t="s">
        <v>138</v>
      </c>
      <c r="U2403" s="0" t="n">
        <v>467</v>
      </c>
      <c r="V2403" s="0" t="n">
        <v>1</v>
      </c>
      <c r="W2403" s="39" t="n">
        <f aca="false">IF(I2403="Male",0,1)</f>
        <v>1</v>
      </c>
      <c r="X2403" s="39" t="n">
        <f aca="false">IF(OR(I2403="DNB",I2403="Dry DNB"),1,0)</f>
        <v>0</v>
      </c>
      <c r="Y2403" s="39" t="n">
        <f aca="false">MATCH(A2403,DATAS,0)</f>
        <v>1</v>
      </c>
      <c r="Z2403" s="39" t="n">
        <f aca="false">IF(AND(E2403&gt;0,OR(AND(B2403&gt;=1,B2403&lt;=6),B2403=10)),1,0)</f>
        <v>0</v>
      </c>
      <c r="AA2403" s="39" t="n">
        <f aca="false">IF(AND(E2403&gt;0,B2403=10),1,0)</f>
        <v>0</v>
      </c>
      <c r="AB2403" s="0" t="str">
        <f aca="false">IF(AND(C2402=C2403,Y2402=Y2403-1),Z2402,"")</f>
        <v/>
      </c>
      <c r="AC2403" s="0" t="str">
        <f aca="false">IF(AND(C2402=C2403,Y2402=Y2403-1),AA2402,"")</f>
        <v/>
      </c>
      <c r="AD2403" s="0" t="str">
        <f aca="false">IF(Y2403=1,"",IF(AND(Z2403=1,AB2403&lt;&gt;1),1,0))</f>
        <v/>
      </c>
      <c r="AE2403" s="0" t="str">
        <f aca="false">IF(Y2403=1,"",IF(AND(AA2403=1,AC2403&lt;&gt;1),1,0))</f>
        <v/>
      </c>
      <c r="AF2403" s="45" t="str">
        <f aca="false">IF(AND(E2403&gt;0,Y2403&lt;1,NOT(AND(C2404=C2403,Y2404=Y2403+1))),INDEX(DATAS,Y2403+1),"")</f>
        <v/>
      </c>
      <c r="AG2403" s="45" t="str">
        <f aca="false">IF(AND(AA2403=1,Y2403&lt;1),IF(AND(C2404=C2403,Y2404=Y2403+1),IF(AA2404=1,"",INDEX(DATAS,Y2403+1)),INDEX(DATAS,Y2403+1)),"")</f>
        <v/>
      </c>
    </row>
    <row r="2404" customFormat="false" ht="15" hidden="false" customHeight="false" outlineLevel="0" collapsed="false">
      <c r="A2404" s="45" t="n">
        <v>46309</v>
      </c>
      <c r="B2404" s="0" t="n">
        <v>11</v>
      </c>
      <c r="C2404" s="0" t="n">
        <v>6710</v>
      </c>
      <c r="E2404" s="0" t="n">
        <v>0</v>
      </c>
      <c r="F2404" s="39" t="s">
        <v>1230</v>
      </c>
      <c r="I2404" s="39" t="s">
        <v>146</v>
      </c>
      <c r="U2404" s="0" t="n">
        <v>467</v>
      </c>
      <c r="V2404" s="0" t="n">
        <v>1</v>
      </c>
      <c r="W2404" s="39" t="n">
        <f aca="false">IF(I2404="Male",0,1)</f>
        <v>1</v>
      </c>
      <c r="X2404" s="39" t="n">
        <f aca="false">IF(OR(I2404="DNB",I2404="Dry DNB"),1,0)</f>
        <v>0</v>
      </c>
      <c r="Y2404" s="39" t="n">
        <f aca="false">MATCH(A2404,DATAS,0)</f>
        <v>1</v>
      </c>
      <c r="Z2404" s="39" t="n">
        <f aca="false">IF(AND(E2404&gt;0,OR(AND(B2404&gt;=1,B2404&lt;=6),B2404=10)),1,0)</f>
        <v>0</v>
      </c>
      <c r="AA2404" s="39" t="n">
        <f aca="false">IF(AND(E2404&gt;0,B2404=10),1,0)</f>
        <v>0</v>
      </c>
      <c r="AB2404" s="0" t="str">
        <f aca="false">IF(AND(C2403=C2404,Y2403=Y2404-1),Z2403,"")</f>
        <v/>
      </c>
      <c r="AC2404" s="0" t="str">
        <f aca="false">IF(AND(C2403=C2404,Y2403=Y2404-1),AA2403,"")</f>
        <v/>
      </c>
      <c r="AD2404" s="0" t="str">
        <f aca="false">IF(Y2404=1,"",IF(AND(Z2404=1,AB2404&lt;&gt;1),1,0))</f>
        <v/>
      </c>
      <c r="AE2404" s="0" t="str">
        <f aca="false">IF(Y2404=1,"",IF(AND(AA2404=1,AC2404&lt;&gt;1),1,0))</f>
        <v/>
      </c>
      <c r="AF2404" s="45" t="str">
        <f aca="false">IF(AND(E2404&gt;0,Y2404&lt;1,NOT(AND(C2405=C2404,Y2405=Y2404+1))),INDEX(DATAS,Y2404+1),"")</f>
        <v/>
      </c>
      <c r="AG2404" s="45" t="str">
        <f aca="false">IF(AND(AA2404=1,Y2404&lt;1),IF(AND(C2405=C2404,Y2405=Y2404+1),IF(AA2405=1,"",INDEX(DATAS,Y2404+1)),INDEX(DATAS,Y2404+1)),"")</f>
        <v/>
      </c>
    </row>
    <row r="2405" customFormat="false" ht="15" hidden="false" customHeight="false" outlineLevel="0" collapsed="false">
      <c r="A2405" s="45" t="n">
        <v>46309</v>
      </c>
      <c r="B2405" s="0" t="n">
        <v>11</v>
      </c>
      <c r="C2405" s="0" t="n">
        <v>6711</v>
      </c>
      <c r="E2405" s="0" t="n">
        <v>0</v>
      </c>
      <c r="F2405" s="39" t="s">
        <v>1230</v>
      </c>
      <c r="I2405" s="39" t="s">
        <v>138</v>
      </c>
      <c r="U2405" s="0" t="n">
        <v>467</v>
      </c>
      <c r="V2405" s="0" t="n">
        <v>4</v>
      </c>
      <c r="W2405" s="39" t="n">
        <f aca="false">IF(I2405="Male",0,1)</f>
        <v>1</v>
      </c>
      <c r="X2405" s="39" t="n">
        <f aca="false">IF(OR(I2405="DNB",I2405="Dry DNB"),1,0)</f>
        <v>0</v>
      </c>
      <c r="Y2405" s="39" t="n">
        <f aca="false">MATCH(A2405,DATAS,0)</f>
        <v>1</v>
      </c>
      <c r="Z2405" s="39" t="n">
        <f aca="false">IF(AND(E2405&gt;0,OR(AND(B2405&gt;=1,B2405&lt;=6),B2405=10)),1,0)</f>
        <v>0</v>
      </c>
      <c r="AA2405" s="39" t="n">
        <f aca="false">IF(AND(E2405&gt;0,B2405=10),1,0)</f>
        <v>0</v>
      </c>
      <c r="AB2405" s="0" t="str">
        <f aca="false">IF(AND(C2404=C2405,Y2404=Y2405-1),Z2404,"")</f>
        <v/>
      </c>
      <c r="AC2405" s="0" t="str">
        <f aca="false">IF(AND(C2404=C2405,Y2404=Y2405-1),AA2404,"")</f>
        <v/>
      </c>
      <c r="AD2405" s="0" t="str">
        <f aca="false">IF(Y2405=1,"",IF(AND(Z2405=1,AB2405&lt;&gt;1),1,0))</f>
        <v/>
      </c>
      <c r="AE2405" s="0" t="str">
        <f aca="false">IF(Y2405=1,"",IF(AND(AA2405=1,AC2405&lt;&gt;1),1,0))</f>
        <v/>
      </c>
      <c r="AF2405" s="45" t="str">
        <f aca="false">IF(AND(E2405&gt;0,Y2405&lt;1,NOT(AND(C2406=C2405,Y2406=Y2405+1))),INDEX(DATAS,Y2405+1),"")</f>
        <v/>
      </c>
      <c r="AG2405" s="45" t="str">
        <f aca="false">IF(AND(AA2405=1,Y2405&lt;1),IF(AND(C2406=C2405,Y2406=Y2405+1),IF(AA2406=1,"",INDEX(DATAS,Y2405+1)),INDEX(DATAS,Y2405+1)),"")</f>
        <v/>
      </c>
    </row>
    <row r="2406" customFormat="false" ht="15" hidden="false" customHeight="false" outlineLevel="0" collapsed="false">
      <c r="A2406" s="45" t="n">
        <v>46309</v>
      </c>
      <c r="B2406" s="0" t="n">
        <v>8</v>
      </c>
      <c r="C2406" s="0" t="n">
        <v>6712</v>
      </c>
      <c r="E2406" s="0" t="n">
        <v>0</v>
      </c>
      <c r="F2406" s="39" t="s">
        <v>1230</v>
      </c>
      <c r="I2406" s="39" t="s">
        <v>109</v>
      </c>
      <c r="L2406" s="0" t="n">
        <v>38</v>
      </c>
      <c r="U2406" s="0" t="n">
        <v>467</v>
      </c>
      <c r="V2406" s="0" t="n">
        <v>2</v>
      </c>
      <c r="W2406" s="39" t="n">
        <f aca="false">IF(I2406="Male",0,1)</f>
        <v>1</v>
      </c>
      <c r="X2406" s="39" t="n">
        <f aca="false">IF(OR(I2406="DNB",I2406="Dry DNB"),1,0)</f>
        <v>0</v>
      </c>
      <c r="Y2406" s="39" t="n">
        <f aca="false">MATCH(A2406,DATAS,0)</f>
        <v>1</v>
      </c>
      <c r="Z2406" s="39" t="n">
        <f aca="false">IF(AND(E2406&gt;0,OR(AND(B2406&gt;=1,B2406&lt;=6),B2406=10)),1,0)</f>
        <v>0</v>
      </c>
      <c r="AA2406" s="39" t="n">
        <f aca="false">IF(AND(E2406&gt;0,B2406=10),1,0)</f>
        <v>0</v>
      </c>
      <c r="AB2406" s="0" t="str">
        <f aca="false">IF(AND(C2405=C2406,Y2405=Y2406-1),Z2405,"")</f>
        <v/>
      </c>
      <c r="AC2406" s="0" t="str">
        <f aca="false">IF(AND(C2405=C2406,Y2405=Y2406-1),AA2405,"")</f>
        <v/>
      </c>
      <c r="AD2406" s="0" t="str">
        <f aca="false">IF(Y2406=1,"",IF(AND(Z2406=1,AB2406&lt;&gt;1),1,0))</f>
        <v/>
      </c>
      <c r="AE2406" s="0" t="str">
        <f aca="false">IF(Y2406=1,"",IF(AND(AA2406=1,AC2406&lt;&gt;1),1,0))</f>
        <v/>
      </c>
      <c r="AF2406" s="45" t="str">
        <f aca="false">IF(AND(E2406&gt;0,Y2406&lt;1,NOT(AND(C2407=C2406,Y2407=Y2406+1))),INDEX(DATAS,Y2406+1),"")</f>
        <v/>
      </c>
      <c r="AG2406" s="45" t="str">
        <f aca="false">IF(AND(AA2406=1,Y2406&lt;1),IF(AND(C2407=C2406,Y2407=Y2406+1),IF(AA2407=1,"",INDEX(DATAS,Y2406+1)),INDEX(DATAS,Y2406+1)),"")</f>
        <v/>
      </c>
    </row>
    <row r="2407" customFormat="false" ht="15" hidden="false" customHeight="false" outlineLevel="0" collapsed="false">
      <c r="A2407" s="45" t="n">
        <v>46309</v>
      </c>
      <c r="B2407" s="0" t="n">
        <v>11</v>
      </c>
      <c r="C2407" s="0" t="n">
        <v>6713</v>
      </c>
      <c r="E2407" s="0" t="n">
        <v>0</v>
      </c>
      <c r="F2407" s="39" t="s">
        <v>1230</v>
      </c>
      <c r="I2407" s="39" t="s">
        <v>138</v>
      </c>
      <c r="U2407" s="0" t="n">
        <v>467</v>
      </c>
      <c r="V2407" s="0" t="n">
        <v>2</v>
      </c>
      <c r="W2407" s="39" t="n">
        <f aca="false">IF(I2407="Male",0,1)</f>
        <v>1</v>
      </c>
      <c r="X2407" s="39" t="n">
        <f aca="false">IF(OR(I2407="DNB",I2407="Dry DNB"),1,0)</f>
        <v>0</v>
      </c>
      <c r="Y2407" s="39" t="n">
        <f aca="false">MATCH(A2407,DATAS,0)</f>
        <v>1</v>
      </c>
      <c r="Z2407" s="39" t="n">
        <f aca="false">IF(AND(E2407&gt;0,OR(AND(B2407&gt;=1,B2407&lt;=6),B2407=10)),1,0)</f>
        <v>0</v>
      </c>
      <c r="AA2407" s="39" t="n">
        <f aca="false">IF(AND(E2407&gt;0,B2407=10),1,0)</f>
        <v>0</v>
      </c>
      <c r="AB2407" s="0" t="str">
        <f aca="false">IF(AND(C2406=C2407,Y2406=Y2407-1),Z2406,"")</f>
        <v/>
      </c>
      <c r="AC2407" s="0" t="str">
        <f aca="false">IF(AND(C2406=C2407,Y2406=Y2407-1),AA2406,"")</f>
        <v/>
      </c>
      <c r="AD2407" s="0" t="str">
        <f aca="false">IF(Y2407=1,"",IF(AND(Z2407=1,AB2407&lt;&gt;1),1,0))</f>
        <v/>
      </c>
      <c r="AE2407" s="0" t="str">
        <f aca="false">IF(Y2407=1,"",IF(AND(AA2407=1,AC2407&lt;&gt;1),1,0))</f>
        <v/>
      </c>
      <c r="AF2407" s="45" t="str">
        <f aca="false">IF(AND(E2407&gt;0,Y2407&lt;1,NOT(AND(C2408=C2407,Y2408=Y2407+1))),INDEX(DATAS,Y2407+1),"")</f>
        <v/>
      </c>
      <c r="AG2407" s="45" t="str">
        <f aca="false">IF(AND(AA2407=1,Y2407&lt;1),IF(AND(C2408=C2407,Y2408=Y2407+1),IF(AA2408=1,"",INDEX(DATAS,Y2407+1)),INDEX(DATAS,Y2407+1)),"")</f>
        <v/>
      </c>
    </row>
    <row r="2408" customFormat="false" ht="15" hidden="false" customHeight="false" outlineLevel="0" collapsed="false">
      <c r="A2408" s="45" t="n">
        <v>46309</v>
      </c>
      <c r="B2408" s="0" t="n">
        <v>8</v>
      </c>
      <c r="C2408" s="0" t="n">
        <v>6715</v>
      </c>
      <c r="E2408" s="0" t="n">
        <v>0</v>
      </c>
      <c r="F2408" s="39" t="s">
        <v>1231</v>
      </c>
      <c r="I2408" s="39" t="s">
        <v>109</v>
      </c>
      <c r="L2408" s="0" t="n">
        <v>39</v>
      </c>
      <c r="U2408" s="0" t="n">
        <v>465</v>
      </c>
      <c r="V2408" s="0" t="n">
        <v>2</v>
      </c>
      <c r="W2408" s="39" t="n">
        <f aca="false">IF(I2408="Male",0,1)</f>
        <v>1</v>
      </c>
      <c r="X2408" s="39" t="n">
        <f aca="false">IF(OR(I2408="DNB",I2408="Dry DNB"),1,0)</f>
        <v>0</v>
      </c>
      <c r="Y2408" s="39" t="n">
        <f aca="false">MATCH(A2408,DATAS,0)</f>
        <v>1</v>
      </c>
      <c r="Z2408" s="39" t="n">
        <f aca="false">IF(AND(E2408&gt;0,OR(AND(B2408&gt;=1,B2408&lt;=6),B2408=10)),1,0)</f>
        <v>0</v>
      </c>
      <c r="AA2408" s="39" t="n">
        <f aca="false">IF(AND(E2408&gt;0,B2408=10),1,0)</f>
        <v>0</v>
      </c>
      <c r="AB2408" s="0" t="str">
        <f aca="false">IF(AND(C2407=C2408,Y2407=Y2408-1),Z2407,"")</f>
        <v/>
      </c>
      <c r="AC2408" s="0" t="str">
        <f aca="false">IF(AND(C2407=C2408,Y2407=Y2408-1),AA2407,"")</f>
        <v/>
      </c>
      <c r="AD2408" s="0" t="str">
        <f aca="false">IF(Y2408=1,"",IF(AND(Z2408=1,AB2408&lt;&gt;1),1,0))</f>
        <v/>
      </c>
      <c r="AE2408" s="0" t="str">
        <f aca="false">IF(Y2408=1,"",IF(AND(AA2408=1,AC2408&lt;&gt;1),1,0))</f>
        <v/>
      </c>
      <c r="AF2408" s="45" t="str">
        <f aca="false">IF(AND(E2408&gt;0,Y2408&lt;1,NOT(AND(C2409=C2408,Y2409=Y2408+1))),INDEX(DATAS,Y2408+1),"")</f>
        <v/>
      </c>
      <c r="AG2408" s="45" t="str">
        <f aca="false">IF(AND(AA2408=1,Y2408&lt;1),IF(AND(C2409=C2408,Y2409=Y2408+1),IF(AA2409=1,"",INDEX(DATAS,Y2408+1)),INDEX(DATAS,Y2408+1)),"")</f>
        <v/>
      </c>
    </row>
    <row r="2409" customFormat="false" ht="15" hidden="false" customHeight="false" outlineLevel="0" collapsed="false">
      <c r="A2409" s="45" t="n">
        <v>46309</v>
      </c>
      <c r="B2409" s="0" t="n">
        <v>8</v>
      </c>
      <c r="C2409" s="0" t="n">
        <v>6716</v>
      </c>
      <c r="E2409" s="0" t="n">
        <v>0</v>
      </c>
      <c r="F2409" s="39" t="s">
        <v>1231</v>
      </c>
      <c r="I2409" s="39" t="s">
        <v>109</v>
      </c>
      <c r="L2409" s="0" t="n">
        <v>70</v>
      </c>
      <c r="U2409" s="0" t="n">
        <v>465</v>
      </c>
      <c r="V2409" s="0" t="n">
        <v>1</v>
      </c>
      <c r="W2409" s="39" t="n">
        <f aca="false">IF(I2409="Male",0,1)</f>
        <v>1</v>
      </c>
      <c r="X2409" s="39" t="n">
        <f aca="false">IF(OR(I2409="DNB",I2409="Dry DNB"),1,0)</f>
        <v>0</v>
      </c>
      <c r="Y2409" s="39" t="n">
        <f aca="false">MATCH(A2409,DATAS,0)</f>
        <v>1</v>
      </c>
      <c r="Z2409" s="39" t="n">
        <f aca="false">IF(AND(E2409&gt;0,OR(AND(B2409&gt;=1,B2409&lt;=6),B2409=10)),1,0)</f>
        <v>0</v>
      </c>
      <c r="AA2409" s="39" t="n">
        <f aca="false">IF(AND(E2409&gt;0,B2409=10),1,0)</f>
        <v>0</v>
      </c>
      <c r="AB2409" s="0" t="str">
        <f aca="false">IF(AND(C2408=C2409,Y2408=Y2409-1),Z2408,"")</f>
        <v/>
      </c>
      <c r="AC2409" s="0" t="str">
        <f aca="false">IF(AND(C2408=C2409,Y2408=Y2409-1),AA2408,"")</f>
        <v/>
      </c>
      <c r="AD2409" s="0" t="str">
        <f aca="false">IF(Y2409=1,"",IF(AND(Z2409=1,AB2409&lt;&gt;1),1,0))</f>
        <v/>
      </c>
      <c r="AE2409" s="0" t="str">
        <f aca="false">IF(Y2409=1,"",IF(AND(AA2409=1,AC2409&lt;&gt;1),1,0))</f>
        <v/>
      </c>
      <c r="AF2409" s="45" t="str">
        <f aca="false">IF(AND(E2409&gt;0,Y2409&lt;1,NOT(AND(C2410=C2409,Y2410=Y2409+1))),INDEX(DATAS,Y2409+1),"")</f>
        <v/>
      </c>
      <c r="AG2409" s="45" t="str">
        <f aca="false">IF(AND(AA2409=1,Y2409&lt;1),IF(AND(C2410=C2409,Y2410=Y2409+1),IF(AA2410=1,"",INDEX(DATAS,Y2409+1)),INDEX(DATAS,Y2409+1)),"")</f>
        <v/>
      </c>
    </row>
    <row r="2410" customFormat="false" ht="15" hidden="false" customHeight="false" outlineLevel="0" collapsed="false">
      <c r="A2410" s="45" t="n">
        <v>46309</v>
      </c>
      <c r="B2410" s="0" t="n">
        <v>8</v>
      </c>
      <c r="C2410" s="0" t="n">
        <v>6717</v>
      </c>
      <c r="E2410" s="0" t="n">
        <v>0</v>
      </c>
      <c r="F2410" s="39" t="s">
        <v>1231</v>
      </c>
      <c r="I2410" s="39" t="s">
        <v>109</v>
      </c>
      <c r="L2410" s="0" t="n">
        <v>73</v>
      </c>
      <c r="U2410" s="0" t="n">
        <v>465</v>
      </c>
      <c r="V2410" s="0" t="n">
        <v>1</v>
      </c>
      <c r="W2410" s="39" t="n">
        <f aca="false">IF(I2410="Male",0,1)</f>
        <v>1</v>
      </c>
      <c r="X2410" s="39" t="n">
        <f aca="false">IF(OR(I2410="DNB",I2410="Dry DNB"),1,0)</f>
        <v>0</v>
      </c>
      <c r="Y2410" s="39" t="n">
        <f aca="false">MATCH(A2410,DATAS,0)</f>
        <v>1</v>
      </c>
      <c r="Z2410" s="39" t="n">
        <f aca="false">IF(AND(E2410&gt;0,OR(AND(B2410&gt;=1,B2410&lt;=6),B2410=10)),1,0)</f>
        <v>0</v>
      </c>
      <c r="AA2410" s="39" t="n">
        <f aca="false">IF(AND(E2410&gt;0,B2410=10),1,0)</f>
        <v>0</v>
      </c>
      <c r="AB2410" s="0" t="str">
        <f aca="false">IF(AND(C2409=C2410,Y2409=Y2410-1),Z2409,"")</f>
        <v/>
      </c>
      <c r="AC2410" s="0" t="str">
        <f aca="false">IF(AND(C2409=C2410,Y2409=Y2410-1),AA2409,"")</f>
        <v/>
      </c>
      <c r="AD2410" s="0" t="str">
        <f aca="false">IF(Y2410=1,"",IF(AND(Z2410=1,AB2410&lt;&gt;1),1,0))</f>
        <v/>
      </c>
      <c r="AE2410" s="0" t="str">
        <f aca="false">IF(Y2410=1,"",IF(AND(AA2410=1,AC2410&lt;&gt;1),1,0))</f>
        <v/>
      </c>
      <c r="AF2410" s="45" t="str">
        <f aca="false">IF(AND(E2410&gt;0,Y2410&lt;1,NOT(AND(C2411=C2410,Y2411=Y2410+1))),INDEX(DATAS,Y2410+1),"")</f>
        <v/>
      </c>
      <c r="AG2410" s="45" t="str">
        <f aca="false">IF(AND(AA2410=1,Y2410&lt;1),IF(AND(C2411=C2410,Y2411=Y2410+1),IF(AA2411=1,"",INDEX(DATAS,Y2410+1)),INDEX(DATAS,Y2410+1)),"")</f>
        <v/>
      </c>
    </row>
    <row r="2411" customFormat="false" ht="15" hidden="false" customHeight="false" outlineLevel="0" collapsed="false">
      <c r="A2411" s="45" t="n">
        <v>46309</v>
      </c>
      <c r="B2411" s="0" t="n">
        <v>8</v>
      </c>
      <c r="C2411" s="0" t="n">
        <v>6718</v>
      </c>
      <c r="E2411" s="0" t="n">
        <v>0</v>
      </c>
      <c r="F2411" s="39" t="s">
        <v>1231</v>
      </c>
      <c r="I2411" s="39" t="s">
        <v>109</v>
      </c>
      <c r="L2411" s="0" t="n">
        <v>61</v>
      </c>
      <c r="U2411" s="0" t="n">
        <v>465</v>
      </c>
      <c r="V2411" s="0" t="n">
        <v>1</v>
      </c>
      <c r="W2411" s="39" t="n">
        <f aca="false">IF(I2411="Male",0,1)</f>
        <v>1</v>
      </c>
      <c r="X2411" s="39" t="n">
        <f aca="false">IF(OR(I2411="DNB",I2411="Dry DNB"),1,0)</f>
        <v>0</v>
      </c>
      <c r="Y2411" s="39" t="n">
        <f aca="false">MATCH(A2411,DATAS,0)</f>
        <v>1</v>
      </c>
      <c r="Z2411" s="39" t="n">
        <f aca="false">IF(AND(E2411&gt;0,OR(AND(B2411&gt;=1,B2411&lt;=6),B2411=10)),1,0)</f>
        <v>0</v>
      </c>
      <c r="AA2411" s="39" t="n">
        <f aca="false">IF(AND(E2411&gt;0,B2411=10),1,0)</f>
        <v>0</v>
      </c>
      <c r="AB2411" s="0" t="str">
        <f aca="false">IF(AND(C2410=C2411,Y2410=Y2411-1),Z2410,"")</f>
        <v/>
      </c>
      <c r="AC2411" s="0" t="str">
        <f aca="false">IF(AND(C2410=C2411,Y2410=Y2411-1),AA2410,"")</f>
        <v/>
      </c>
      <c r="AD2411" s="0" t="str">
        <f aca="false">IF(Y2411=1,"",IF(AND(Z2411=1,AB2411&lt;&gt;1),1,0))</f>
        <v/>
      </c>
      <c r="AE2411" s="0" t="str">
        <f aca="false">IF(Y2411=1,"",IF(AND(AA2411=1,AC2411&lt;&gt;1),1,0))</f>
        <v/>
      </c>
      <c r="AF2411" s="45" t="str">
        <f aca="false">IF(AND(E2411&gt;0,Y2411&lt;1,NOT(AND(C2412=C2411,Y2412=Y2411+1))),INDEX(DATAS,Y2411+1),"")</f>
        <v/>
      </c>
      <c r="AG2411" s="45" t="str">
        <f aca="false">IF(AND(AA2411=1,Y2411&lt;1),IF(AND(C2412=C2411,Y2412=Y2411+1),IF(AA2412=1,"",INDEX(DATAS,Y2411+1)),INDEX(DATAS,Y2411+1)),"")</f>
        <v/>
      </c>
    </row>
    <row r="2412" customFormat="false" ht="15" hidden="false" customHeight="false" outlineLevel="0" collapsed="false">
      <c r="A2412" s="45" t="n">
        <v>46309</v>
      </c>
      <c r="B2412" s="0" t="n">
        <v>8</v>
      </c>
      <c r="C2412" s="0" t="n">
        <v>6720</v>
      </c>
      <c r="E2412" s="0" t="n">
        <v>0</v>
      </c>
      <c r="F2412" s="39" t="s">
        <v>1231</v>
      </c>
      <c r="I2412" s="39" t="s">
        <v>109</v>
      </c>
      <c r="L2412" s="0" t="n">
        <v>63</v>
      </c>
      <c r="U2412" s="0" t="n">
        <v>465</v>
      </c>
      <c r="V2412" s="0" t="n">
        <v>1</v>
      </c>
      <c r="W2412" s="39" t="n">
        <f aca="false">IF(I2412="Male",0,1)</f>
        <v>1</v>
      </c>
      <c r="X2412" s="39" t="n">
        <f aca="false">IF(OR(I2412="DNB",I2412="Dry DNB"),1,0)</f>
        <v>0</v>
      </c>
      <c r="Y2412" s="39" t="n">
        <f aca="false">MATCH(A2412,DATAS,0)</f>
        <v>1</v>
      </c>
      <c r="Z2412" s="39" t="n">
        <f aca="false">IF(AND(E2412&gt;0,OR(AND(B2412&gt;=1,B2412&lt;=6),B2412=10)),1,0)</f>
        <v>0</v>
      </c>
      <c r="AA2412" s="39" t="n">
        <f aca="false">IF(AND(E2412&gt;0,B2412=10),1,0)</f>
        <v>0</v>
      </c>
      <c r="AB2412" s="0" t="str">
        <f aca="false">IF(AND(C2411=C2412,Y2411=Y2412-1),Z2411,"")</f>
        <v/>
      </c>
      <c r="AC2412" s="0" t="str">
        <f aca="false">IF(AND(C2411=C2412,Y2411=Y2412-1),AA2411,"")</f>
        <v/>
      </c>
      <c r="AD2412" s="0" t="str">
        <f aca="false">IF(Y2412=1,"",IF(AND(Z2412=1,AB2412&lt;&gt;1),1,0))</f>
        <v/>
      </c>
      <c r="AE2412" s="0" t="str">
        <f aca="false">IF(Y2412=1,"",IF(AND(AA2412=1,AC2412&lt;&gt;1),1,0))</f>
        <v/>
      </c>
      <c r="AF2412" s="45" t="str">
        <f aca="false">IF(AND(E2412&gt;0,Y2412&lt;1,NOT(AND(C2413=C2412,Y2413=Y2412+1))),INDEX(DATAS,Y2412+1),"")</f>
        <v/>
      </c>
      <c r="AG2412" s="45" t="str">
        <f aca="false">IF(AND(AA2412=1,Y2412&lt;1),IF(AND(C2413=C2412,Y2413=Y2412+1),IF(AA2413=1,"",INDEX(DATAS,Y2412+1)),INDEX(DATAS,Y2412+1)),"")</f>
        <v/>
      </c>
    </row>
    <row r="2413" customFormat="false" ht="15" hidden="false" customHeight="false" outlineLevel="0" collapsed="false">
      <c r="A2413" s="45" t="n">
        <v>46309</v>
      </c>
      <c r="B2413" s="0" t="n">
        <v>8</v>
      </c>
      <c r="C2413" s="0" t="n">
        <v>6721</v>
      </c>
      <c r="E2413" s="0" t="n">
        <v>0</v>
      </c>
      <c r="F2413" s="39" t="s">
        <v>1231</v>
      </c>
      <c r="I2413" s="39" t="s">
        <v>109</v>
      </c>
      <c r="L2413" s="0" t="n">
        <v>53</v>
      </c>
      <c r="U2413" s="0" t="n">
        <v>465</v>
      </c>
      <c r="V2413" s="0" t="n">
        <v>1</v>
      </c>
      <c r="W2413" s="39" t="n">
        <f aca="false">IF(I2413="Male",0,1)</f>
        <v>1</v>
      </c>
      <c r="X2413" s="39" t="n">
        <f aca="false">IF(OR(I2413="DNB",I2413="Dry DNB"),1,0)</f>
        <v>0</v>
      </c>
      <c r="Y2413" s="39" t="n">
        <f aca="false">MATCH(A2413,DATAS,0)</f>
        <v>1</v>
      </c>
      <c r="Z2413" s="39" t="n">
        <f aca="false">IF(AND(E2413&gt;0,OR(AND(B2413&gt;=1,B2413&lt;=6),B2413=10)),1,0)</f>
        <v>0</v>
      </c>
      <c r="AA2413" s="39" t="n">
        <f aca="false">IF(AND(E2413&gt;0,B2413=10),1,0)</f>
        <v>0</v>
      </c>
      <c r="AB2413" s="0" t="str">
        <f aca="false">IF(AND(C2412=C2413,Y2412=Y2413-1),Z2412,"")</f>
        <v/>
      </c>
      <c r="AC2413" s="0" t="str">
        <f aca="false">IF(AND(C2412=C2413,Y2412=Y2413-1),AA2412,"")</f>
        <v/>
      </c>
      <c r="AD2413" s="0" t="str">
        <f aca="false">IF(Y2413=1,"",IF(AND(Z2413=1,AB2413&lt;&gt;1),1,0))</f>
        <v/>
      </c>
      <c r="AE2413" s="0" t="str">
        <f aca="false">IF(Y2413=1,"",IF(AND(AA2413=1,AC2413&lt;&gt;1),1,0))</f>
        <v/>
      </c>
      <c r="AF2413" s="45" t="str">
        <f aca="false">IF(AND(E2413&gt;0,Y2413&lt;1,NOT(AND(C2414=C2413,Y2414=Y2413+1))),INDEX(DATAS,Y2413+1),"")</f>
        <v/>
      </c>
      <c r="AG2413" s="45" t="str">
        <f aca="false">IF(AND(AA2413=1,Y2413&lt;1),IF(AND(C2414=C2413,Y2414=Y2413+1),IF(AA2414=1,"",INDEX(DATAS,Y2413+1)),INDEX(DATAS,Y2413+1)),"")</f>
        <v/>
      </c>
    </row>
    <row r="2414" customFormat="false" ht="15" hidden="false" customHeight="false" outlineLevel="0" collapsed="false">
      <c r="A2414" s="45" t="n">
        <v>46309</v>
      </c>
      <c r="B2414" s="0" t="n">
        <v>8</v>
      </c>
      <c r="C2414" s="0" t="n">
        <v>6722</v>
      </c>
      <c r="E2414" s="0" t="n">
        <v>0</v>
      </c>
      <c r="F2414" s="39" t="s">
        <v>1231</v>
      </c>
      <c r="I2414" s="39" t="s">
        <v>109</v>
      </c>
      <c r="L2414" s="0" t="n">
        <v>71</v>
      </c>
      <c r="U2414" s="0" t="n">
        <v>465</v>
      </c>
      <c r="V2414" s="0" t="n">
        <v>1</v>
      </c>
      <c r="W2414" s="39" t="n">
        <f aca="false">IF(I2414="Male",0,1)</f>
        <v>1</v>
      </c>
      <c r="X2414" s="39" t="n">
        <f aca="false">IF(OR(I2414="DNB",I2414="Dry DNB"),1,0)</f>
        <v>0</v>
      </c>
      <c r="Y2414" s="39" t="n">
        <f aca="false">MATCH(A2414,DATAS,0)</f>
        <v>1</v>
      </c>
      <c r="Z2414" s="39" t="n">
        <f aca="false">IF(AND(E2414&gt;0,OR(AND(B2414&gt;=1,B2414&lt;=6),B2414=10)),1,0)</f>
        <v>0</v>
      </c>
      <c r="AA2414" s="39" t="n">
        <f aca="false">IF(AND(E2414&gt;0,B2414=10),1,0)</f>
        <v>0</v>
      </c>
      <c r="AB2414" s="0" t="str">
        <f aca="false">IF(AND(C2413=C2414,Y2413=Y2414-1),Z2413,"")</f>
        <v/>
      </c>
      <c r="AC2414" s="0" t="str">
        <f aca="false">IF(AND(C2413=C2414,Y2413=Y2414-1),AA2413,"")</f>
        <v/>
      </c>
      <c r="AD2414" s="0" t="str">
        <f aca="false">IF(Y2414=1,"",IF(AND(Z2414=1,AB2414&lt;&gt;1),1,0))</f>
        <v/>
      </c>
      <c r="AE2414" s="0" t="str">
        <f aca="false">IF(Y2414=1,"",IF(AND(AA2414=1,AC2414&lt;&gt;1),1,0))</f>
        <v/>
      </c>
      <c r="AF2414" s="45" t="str">
        <f aca="false">IF(AND(E2414&gt;0,Y2414&lt;1,NOT(AND(C2415=C2414,Y2415=Y2414+1))),INDEX(DATAS,Y2414+1),"")</f>
        <v/>
      </c>
      <c r="AG2414" s="45" t="str">
        <f aca="false">IF(AND(AA2414=1,Y2414&lt;1),IF(AND(C2415=C2414,Y2415=Y2414+1),IF(AA2415=1,"",INDEX(DATAS,Y2414+1)),INDEX(DATAS,Y2414+1)),"")</f>
        <v/>
      </c>
    </row>
    <row r="2415" customFormat="false" ht="15" hidden="false" customHeight="false" outlineLevel="0" collapsed="false">
      <c r="A2415" s="45" t="n">
        <v>46309</v>
      </c>
      <c r="B2415" s="0" t="n">
        <v>8</v>
      </c>
      <c r="C2415" s="0" t="n">
        <v>6723</v>
      </c>
      <c r="E2415" s="0" t="n">
        <v>0</v>
      </c>
      <c r="F2415" s="39" t="s">
        <v>1231</v>
      </c>
      <c r="I2415" s="39" t="s">
        <v>109</v>
      </c>
      <c r="L2415" s="0" t="n">
        <v>55</v>
      </c>
      <c r="U2415" s="0" t="n">
        <v>465</v>
      </c>
      <c r="V2415" s="0" t="n">
        <v>1</v>
      </c>
      <c r="W2415" s="39" t="n">
        <f aca="false">IF(I2415="Male",0,1)</f>
        <v>1</v>
      </c>
      <c r="X2415" s="39" t="n">
        <f aca="false">IF(OR(I2415="DNB",I2415="Dry DNB"),1,0)</f>
        <v>0</v>
      </c>
      <c r="Y2415" s="39" t="n">
        <f aca="false">MATCH(A2415,DATAS,0)</f>
        <v>1</v>
      </c>
      <c r="Z2415" s="39" t="n">
        <f aca="false">IF(AND(E2415&gt;0,OR(AND(B2415&gt;=1,B2415&lt;=6),B2415=10)),1,0)</f>
        <v>0</v>
      </c>
      <c r="AA2415" s="39" t="n">
        <f aca="false">IF(AND(E2415&gt;0,B2415=10),1,0)</f>
        <v>0</v>
      </c>
      <c r="AB2415" s="0" t="str">
        <f aca="false">IF(AND(C2414=C2415,Y2414=Y2415-1),Z2414,"")</f>
        <v/>
      </c>
      <c r="AC2415" s="0" t="str">
        <f aca="false">IF(AND(C2414=C2415,Y2414=Y2415-1),AA2414,"")</f>
        <v/>
      </c>
      <c r="AD2415" s="0" t="str">
        <f aca="false">IF(Y2415=1,"",IF(AND(Z2415=1,AB2415&lt;&gt;1),1,0))</f>
        <v/>
      </c>
      <c r="AE2415" s="0" t="str">
        <f aca="false">IF(Y2415=1,"",IF(AND(AA2415=1,AC2415&lt;&gt;1),1,0))</f>
        <v/>
      </c>
      <c r="AF2415" s="45" t="str">
        <f aca="false">IF(AND(E2415&gt;0,Y2415&lt;1,NOT(AND(C2416=C2415,Y2416=Y2415+1))),INDEX(DATAS,Y2415+1),"")</f>
        <v/>
      </c>
      <c r="AG2415" s="45" t="str">
        <f aca="false">IF(AND(AA2415=1,Y2415&lt;1),IF(AND(C2416=C2415,Y2416=Y2415+1),IF(AA2416=1,"",INDEX(DATAS,Y2415+1)),INDEX(DATAS,Y2415+1)),"")</f>
        <v/>
      </c>
    </row>
    <row r="2416" customFormat="false" ht="15" hidden="false" customHeight="false" outlineLevel="0" collapsed="false">
      <c r="A2416" s="45" t="n">
        <v>46309</v>
      </c>
      <c r="B2416" s="0" t="n">
        <v>11</v>
      </c>
      <c r="C2416" s="0" t="n">
        <v>6725</v>
      </c>
      <c r="E2416" s="0" t="n">
        <v>0</v>
      </c>
      <c r="F2416" s="39" t="s">
        <v>1232</v>
      </c>
      <c r="I2416" s="39" t="s">
        <v>138</v>
      </c>
      <c r="U2416" s="0" t="n">
        <v>464</v>
      </c>
      <c r="V2416" s="0" t="n">
        <v>4</v>
      </c>
      <c r="W2416" s="39" t="n">
        <f aca="false">IF(I2416="Male",0,1)</f>
        <v>1</v>
      </c>
      <c r="X2416" s="39" t="n">
        <f aca="false">IF(OR(I2416="DNB",I2416="Dry DNB"),1,0)</f>
        <v>0</v>
      </c>
      <c r="Y2416" s="39" t="n">
        <f aca="false">MATCH(A2416,DATAS,0)</f>
        <v>1</v>
      </c>
      <c r="Z2416" s="39" t="n">
        <f aca="false">IF(AND(E2416&gt;0,OR(AND(B2416&gt;=1,B2416&lt;=6),B2416=10)),1,0)</f>
        <v>0</v>
      </c>
      <c r="AA2416" s="39" t="n">
        <f aca="false">IF(AND(E2416&gt;0,B2416=10),1,0)</f>
        <v>0</v>
      </c>
      <c r="AB2416" s="0" t="str">
        <f aca="false">IF(AND(C2415=C2416,Y2415=Y2416-1),Z2415,"")</f>
        <v/>
      </c>
      <c r="AC2416" s="0" t="str">
        <f aca="false">IF(AND(C2415=C2416,Y2415=Y2416-1),AA2415,"")</f>
        <v/>
      </c>
      <c r="AD2416" s="0" t="str">
        <f aca="false">IF(Y2416=1,"",IF(AND(Z2416=1,AB2416&lt;&gt;1),1,0))</f>
        <v/>
      </c>
      <c r="AE2416" s="0" t="str">
        <f aca="false">IF(Y2416=1,"",IF(AND(AA2416=1,AC2416&lt;&gt;1),1,0))</f>
        <v/>
      </c>
      <c r="AF2416" s="45" t="str">
        <f aca="false">IF(AND(E2416&gt;0,Y2416&lt;1,NOT(AND(C2417=C2416,Y2417=Y2416+1))),INDEX(DATAS,Y2416+1),"")</f>
        <v/>
      </c>
      <c r="AG2416" s="45" t="str">
        <f aca="false">IF(AND(AA2416=1,Y2416&lt;1),IF(AND(C2417=C2416,Y2417=Y2416+1),IF(AA2417=1,"",INDEX(DATAS,Y2416+1)),INDEX(DATAS,Y2416+1)),"")</f>
        <v/>
      </c>
    </row>
    <row r="2417" customFormat="false" ht="15" hidden="false" customHeight="false" outlineLevel="0" collapsed="false">
      <c r="A2417" s="45" t="n">
        <v>46309</v>
      </c>
      <c r="B2417" s="0" t="n">
        <v>11</v>
      </c>
      <c r="C2417" s="0" t="n">
        <v>6727</v>
      </c>
      <c r="E2417" s="0" t="n">
        <v>0</v>
      </c>
      <c r="F2417" s="39" t="s">
        <v>1233</v>
      </c>
      <c r="I2417" s="39" t="s">
        <v>138</v>
      </c>
      <c r="U2417" s="0" t="n">
        <v>463</v>
      </c>
      <c r="V2417" s="0" t="n">
        <v>2</v>
      </c>
      <c r="W2417" s="39" t="n">
        <f aca="false">IF(I2417="Male",0,1)</f>
        <v>1</v>
      </c>
      <c r="X2417" s="39" t="n">
        <f aca="false">IF(OR(I2417="DNB",I2417="Dry DNB"),1,0)</f>
        <v>0</v>
      </c>
      <c r="Y2417" s="39" t="n">
        <f aca="false">MATCH(A2417,DATAS,0)</f>
        <v>1</v>
      </c>
      <c r="Z2417" s="39" t="n">
        <f aca="false">IF(AND(E2417&gt;0,OR(AND(B2417&gt;=1,B2417&lt;=6),B2417=10)),1,0)</f>
        <v>0</v>
      </c>
      <c r="AA2417" s="39" t="n">
        <f aca="false">IF(AND(E2417&gt;0,B2417=10),1,0)</f>
        <v>0</v>
      </c>
      <c r="AB2417" s="0" t="str">
        <f aca="false">IF(AND(C2416=C2417,Y2416=Y2417-1),Z2416,"")</f>
        <v/>
      </c>
      <c r="AC2417" s="0" t="str">
        <f aca="false">IF(AND(C2416=C2417,Y2416=Y2417-1),AA2416,"")</f>
        <v/>
      </c>
      <c r="AD2417" s="0" t="str">
        <f aca="false">IF(Y2417=1,"",IF(AND(Z2417=1,AB2417&lt;&gt;1),1,0))</f>
        <v/>
      </c>
      <c r="AE2417" s="0" t="str">
        <f aca="false">IF(Y2417=1,"",IF(AND(AA2417=1,AC2417&lt;&gt;1),1,0))</f>
        <v/>
      </c>
      <c r="AF2417" s="45" t="str">
        <f aca="false">IF(AND(E2417&gt;0,Y2417&lt;1,NOT(AND(C2418=C2417,Y2418=Y2417+1))),INDEX(DATAS,Y2417+1),"")</f>
        <v/>
      </c>
      <c r="AG2417" s="45" t="str">
        <f aca="false">IF(AND(AA2417=1,Y2417&lt;1),IF(AND(C2418=C2417,Y2418=Y2417+1),IF(AA2418=1,"",INDEX(DATAS,Y2417+1)),INDEX(DATAS,Y2417+1)),"")</f>
        <v/>
      </c>
    </row>
    <row r="2418" customFormat="false" ht="15" hidden="false" customHeight="false" outlineLevel="0" collapsed="false">
      <c r="A2418" s="45" t="n">
        <v>46309</v>
      </c>
      <c r="B2418" s="0" t="n">
        <v>8</v>
      </c>
      <c r="C2418" s="0" t="n">
        <v>6728</v>
      </c>
      <c r="E2418" s="0" t="n">
        <v>0</v>
      </c>
      <c r="F2418" s="39" t="s">
        <v>1233</v>
      </c>
      <c r="I2418" s="39" t="s">
        <v>109</v>
      </c>
      <c r="L2418" s="0" t="n">
        <v>68</v>
      </c>
      <c r="U2418" s="0" t="n">
        <v>463</v>
      </c>
      <c r="V2418" s="0" t="n">
        <v>1</v>
      </c>
      <c r="W2418" s="39" t="n">
        <f aca="false">IF(I2418="Male",0,1)</f>
        <v>1</v>
      </c>
      <c r="X2418" s="39" t="n">
        <f aca="false">IF(OR(I2418="DNB",I2418="Dry DNB"),1,0)</f>
        <v>0</v>
      </c>
      <c r="Y2418" s="39" t="n">
        <f aca="false">MATCH(A2418,DATAS,0)</f>
        <v>1</v>
      </c>
      <c r="Z2418" s="39" t="n">
        <f aca="false">IF(AND(E2418&gt;0,OR(AND(B2418&gt;=1,B2418&lt;=6),B2418=10)),1,0)</f>
        <v>0</v>
      </c>
      <c r="AA2418" s="39" t="n">
        <f aca="false">IF(AND(E2418&gt;0,B2418=10),1,0)</f>
        <v>0</v>
      </c>
      <c r="AB2418" s="0" t="str">
        <f aca="false">IF(AND(C2417=C2418,Y2417=Y2418-1),Z2417,"")</f>
        <v/>
      </c>
      <c r="AC2418" s="0" t="str">
        <f aca="false">IF(AND(C2417=C2418,Y2417=Y2418-1),AA2417,"")</f>
        <v/>
      </c>
      <c r="AD2418" s="0" t="str">
        <f aca="false">IF(Y2418=1,"",IF(AND(Z2418=1,AB2418&lt;&gt;1),1,0))</f>
        <v/>
      </c>
      <c r="AE2418" s="0" t="str">
        <f aca="false">IF(Y2418=1,"",IF(AND(AA2418=1,AC2418&lt;&gt;1),1,0))</f>
        <v/>
      </c>
      <c r="AF2418" s="45" t="str">
        <f aca="false">IF(AND(E2418&gt;0,Y2418&lt;1,NOT(AND(C2419=C2418,Y2419=Y2418+1))),INDEX(DATAS,Y2418+1),"")</f>
        <v/>
      </c>
      <c r="AG2418" s="45" t="str">
        <f aca="false">IF(AND(AA2418=1,Y2418&lt;1),IF(AND(C2419=C2418,Y2419=Y2418+1),IF(AA2419=1,"",INDEX(DATAS,Y2418+1)),INDEX(DATAS,Y2418+1)),"")</f>
        <v/>
      </c>
    </row>
    <row r="2419" customFormat="false" ht="15" hidden="false" customHeight="false" outlineLevel="0" collapsed="false">
      <c r="A2419" s="45" t="n">
        <v>46309</v>
      </c>
      <c r="B2419" s="0" t="n">
        <v>8</v>
      </c>
      <c r="C2419" s="0" t="n">
        <v>6730</v>
      </c>
      <c r="E2419" s="0" t="n">
        <v>0</v>
      </c>
      <c r="F2419" s="39" t="s">
        <v>1233</v>
      </c>
      <c r="I2419" s="39" t="s">
        <v>109</v>
      </c>
      <c r="L2419" s="0" t="n">
        <v>43</v>
      </c>
      <c r="U2419" s="0" t="n">
        <v>463</v>
      </c>
      <c r="V2419" s="0" t="n">
        <v>1</v>
      </c>
      <c r="W2419" s="39" t="n">
        <f aca="false">IF(I2419="Male",0,1)</f>
        <v>1</v>
      </c>
      <c r="X2419" s="39" t="n">
        <f aca="false">IF(OR(I2419="DNB",I2419="Dry DNB"),1,0)</f>
        <v>0</v>
      </c>
      <c r="Y2419" s="39" t="n">
        <f aca="false">MATCH(A2419,DATAS,0)</f>
        <v>1</v>
      </c>
      <c r="Z2419" s="39" t="n">
        <f aca="false">IF(AND(E2419&gt;0,OR(AND(B2419&gt;=1,B2419&lt;=6),B2419=10)),1,0)</f>
        <v>0</v>
      </c>
      <c r="AA2419" s="39" t="n">
        <f aca="false">IF(AND(E2419&gt;0,B2419=10),1,0)</f>
        <v>0</v>
      </c>
      <c r="AB2419" s="0" t="str">
        <f aca="false">IF(AND(C2418=C2419,Y2418=Y2419-1),Z2418,"")</f>
        <v/>
      </c>
      <c r="AC2419" s="0" t="str">
        <f aca="false">IF(AND(C2418=C2419,Y2418=Y2419-1),AA2418,"")</f>
        <v/>
      </c>
      <c r="AD2419" s="0" t="str">
        <f aca="false">IF(Y2419=1,"",IF(AND(Z2419=1,AB2419&lt;&gt;1),1,0))</f>
        <v/>
      </c>
      <c r="AE2419" s="0" t="str">
        <f aca="false">IF(Y2419=1,"",IF(AND(AA2419=1,AC2419&lt;&gt;1),1,0))</f>
        <v/>
      </c>
      <c r="AF2419" s="45" t="str">
        <f aca="false">IF(AND(E2419&gt;0,Y2419&lt;1,NOT(AND(C2420=C2419,Y2420=Y2419+1))),INDEX(DATAS,Y2419+1),"")</f>
        <v/>
      </c>
      <c r="AG2419" s="45" t="str">
        <f aca="false">IF(AND(AA2419=1,Y2419&lt;1),IF(AND(C2420=C2419,Y2420=Y2419+1),IF(AA2420=1,"",INDEX(DATAS,Y2419+1)),INDEX(DATAS,Y2419+1)),"")</f>
        <v/>
      </c>
    </row>
    <row r="2420" customFormat="false" ht="15" hidden="false" customHeight="false" outlineLevel="0" collapsed="false">
      <c r="A2420" s="45" t="n">
        <v>46309</v>
      </c>
      <c r="B2420" s="0" t="n">
        <v>11</v>
      </c>
      <c r="C2420" s="0" t="n">
        <v>6732</v>
      </c>
      <c r="E2420" s="0" t="n">
        <v>0</v>
      </c>
      <c r="F2420" s="39" t="s">
        <v>1234</v>
      </c>
      <c r="I2420" s="39" t="s">
        <v>138</v>
      </c>
      <c r="U2420" s="0" t="n">
        <v>462</v>
      </c>
      <c r="V2420" s="0" t="n">
        <v>3</v>
      </c>
      <c r="W2420" s="39" t="n">
        <f aca="false">IF(I2420="Male",0,1)</f>
        <v>1</v>
      </c>
      <c r="X2420" s="39" t="n">
        <f aca="false">IF(OR(I2420="DNB",I2420="Dry DNB"),1,0)</f>
        <v>0</v>
      </c>
      <c r="Y2420" s="39" t="n">
        <f aca="false">MATCH(A2420,DATAS,0)</f>
        <v>1</v>
      </c>
      <c r="Z2420" s="39" t="n">
        <f aca="false">IF(AND(E2420&gt;0,OR(AND(B2420&gt;=1,B2420&lt;=6),B2420=10)),1,0)</f>
        <v>0</v>
      </c>
      <c r="AA2420" s="39" t="n">
        <f aca="false">IF(AND(E2420&gt;0,B2420=10),1,0)</f>
        <v>0</v>
      </c>
      <c r="AB2420" s="0" t="str">
        <f aca="false">IF(AND(C2419=C2420,Y2419=Y2420-1),Z2419,"")</f>
        <v/>
      </c>
      <c r="AC2420" s="0" t="str">
        <f aca="false">IF(AND(C2419=C2420,Y2419=Y2420-1),AA2419,"")</f>
        <v/>
      </c>
      <c r="AD2420" s="0" t="str">
        <f aca="false">IF(Y2420=1,"",IF(AND(Z2420=1,AB2420&lt;&gt;1),1,0))</f>
        <v/>
      </c>
      <c r="AE2420" s="0" t="str">
        <f aca="false">IF(Y2420=1,"",IF(AND(AA2420=1,AC2420&lt;&gt;1),1,0))</f>
        <v/>
      </c>
      <c r="AF2420" s="45" t="str">
        <f aca="false">IF(AND(E2420&gt;0,Y2420&lt;1,NOT(AND(C2421=C2420,Y2421=Y2420+1))),INDEX(DATAS,Y2420+1),"")</f>
        <v/>
      </c>
      <c r="AG2420" s="45" t="str">
        <f aca="false">IF(AND(AA2420=1,Y2420&lt;1),IF(AND(C2421=C2420,Y2421=Y2420+1),IF(AA2421=1,"",INDEX(DATAS,Y2420+1)),INDEX(DATAS,Y2420+1)),"")</f>
        <v/>
      </c>
    </row>
    <row r="2421" customFormat="false" ht="15" hidden="false" customHeight="false" outlineLevel="0" collapsed="false">
      <c r="A2421" s="45" t="n">
        <v>46309</v>
      </c>
      <c r="B2421" s="0" t="n">
        <v>8</v>
      </c>
      <c r="C2421" s="0" t="n">
        <v>6733</v>
      </c>
      <c r="E2421" s="0" t="n">
        <v>0</v>
      </c>
      <c r="F2421" s="39" t="s">
        <v>1234</v>
      </c>
      <c r="I2421" s="39" t="s">
        <v>109</v>
      </c>
      <c r="L2421" s="0" t="n">
        <v>62</v>
      </c>
      <c r="U2421" s="0" t="n">
        <v>462</v>
      </c>
      <c r="V2421" s="0" t="n">
        <v>1</v>
      </c>
      <c r="W2421" s="39" t="n">
        <f aca="false">IF(I2421="Male",0,1)</f>
        <v>1</v>
      </c>
      <c r="X2421" s="39" t="n">
        <f aca="false">IF(OR(I2421="DNB",I2421="Dry DNB"),1,0)</f>
        <v>0</v>
      </c>
      <c r="Y2421" s="39" t="n">
        <f aca="false">MATCH(A2421,DATAS,0)</f>
        <v>1</v>
      </c>
      <c r="Z2421" s="39" t="n">
        <f aca="false">IF(AND(E2421&gt;0,OR(AND(B2421&gt;=1,B2421&lt;=6),B2421=10)),1,0)</f>
        <v>0</v>
      </c>
      <c r="AA2421" s="39" t="n">
        <f aca="false">IF(AND(E2421&gt;0,B2421=10),1,0)</f>
        <v>0</v>
      </c>
      <c r="AB2421" s="0" t="str">
        <f aca="false">IF(AND(C2420=C2421,Y2420=Y2421-1),Z2420,"")</f>
        <v/>
      </c>
      <c r="AC2421" s="0" t="str">
        <f aca="false">IF(AND(C2420=C2421,Y2420=Y2421-1),AA2420,"")</f>
        <v/>
      </c>
      <c r="AD2421" s="0" t="str">
        <f aca="false">IF(Y2421=1,"",IF(AND(Z2421=1,AB2421&lt;&gt;1),1,0))</f>
        <v/>
      </c>
      <c r="AE2421" s="0" t="str">
        <f aca="false">IF(Y2421=1,"",IF(AND(AA2421=1,AC2421&lt;&gt;1),1,0))</f>
        <v/>
      </c>
      <c r="AF2421" s="45" t="str">
        <f aca="false">IF(AND(E2421&gt;0,Y2421&lt;1,NOT(AND(C2422=C2421,Y2422=Y2421+1))),INDEX(DATAS,Y2421+1),"")</f>
        <v/>
      </c>
      <c r="AG2421" s="45" t="str">
        <f aca="false">IF(AND(AA2421=1,Y2421&lt;1),IF(AND(C2422=C2421,Y2422=Y2421+1),IF(AA2422=1,"",INDEX(DATAS,Y2421+1)),INDEX(DATAS,Y2421+1)),"")</f>
        <v/>
      </c>
    </row>
    <row r="2422" customFormat="false" ht="15" hidden="false" customHeight="false" outlineLevel="0" collapsed="false">
      <c r="A2422" s="45" t="n">
        <v>46309</v>
      </c>
      <c r="B2422" s="0" t="n">
        <v>8</v>
      </c>
      <c r="C2422" s="0" t="n">
        <v>6734</v>
      </c>
      <c r="E2422" s="0" t="n">
        <v>0</v>
      </c>
      <c r="F2422" s="39" t="s">
        <v>1235</v>
      </c>
      <c r="I2422" s="39" t="s">
        <v>109</v>
      </c>
      <c r="L2422" s="0" t="n">
        <v>28</v>
      </c>
      <c r="U2422" s="0" t="n">
        <v>461</v>
      </c>
      <c r="V2422" s="0" t="n">
        <v>2</v>
      </c>
      <c r="W2422" s="39" t="n">
        <f aca="false">IF(I2422="Male",0,1)</f>
        <v>1</v>
      </c>
      <c r="X2422" s="39" t="n">
        <f aca="false">IF(OR(I2422="DNB",I2422="Dry DNB"),1,0)</f>
        <v>0</v>
      </c>
      <c r="Y2422" s="39" t="n">
        <f aca="false">MATCH(A2422,DATAS,0)</f>
        <v>1</v>
      </c>
      <c r="Z2422" s="39" t="n">
        <f aca="false">IF(AND(E2422&gt;0,OR(AND(B2422&gt;=1,B2422&lt;=6),B2422=10)),1,0)</f>
        <v>0</v>
      </c>
      <c r="AA2422" s="39" t="n">
        <f aca="false">IF(AND(E2422&gt;0,B2422=10),1,0)</f>
        <v>0</v>
      </c>
      <c r="AB2422" s="0" t="str">
        <f aca="false">IF(AND(C2421=C2422,Y2421=Y2422-1),Z2421,"")</f>
        <v/>
      </c>
      <c r="AC2422" s="0" t="str">
        <f aca="false">IF(AND(C2421=C2422,Y2421=Y2422-1),AA2421,"")</f>
        <v/>
      </c>
      <c r="AD2422" s="0" t="str">
        <f aca="false">IF(Y2422=1,"",IF(AND(Z2422=1,AB2422&lt;&gt;1),1,0))</f>
        <v/>
      </c>
      <c r="AE2422" s="0" t="str">
        <f aca="false">IF(Y2422=1,"",IF(AND(AA2422=1,AC2422&lt;&gt;1),1,0))</f>
        <v/>
      </c>
      <c r="AF2422" s="45" t="str">
        <f aca="false">IF(AND(E2422&gt;0,Y2422&lt;1,NOT(AND(C2423=C2422,Y2423=Y2422+1))),INDEX(DATAS,Y2422+1),"")</f>
        <v/>
      </c>
      <c r="AG2422" s="45" t="str">
        <f aca="false">IF(AND(AA2422=1,Y2422&lt;1),IF(AND(C2423=C2422,Y2423=Y2422+1),IF(AA2423=1,"",INDEX(DATAS,Y2422+1)),INDEX(DATAS,Y2422+1)),"")</f>
        <v/>
      </c>
    </row>
    <row r="2423" customFormat="false" ht="15" hidden="false" customHeight="false" outlineLevel="0" collapsed="false">
      <c r="A2423" s="45" t="n">
        <v>46309</v>
      </c>
      <c r="B2423" s="0" t="n">
        <v>8</v>
      </c>
      <c r="C2423" s="0" t="n">
        <v>6735</v>
      </c>
      <c r="E2423" s="0" t="n">
        <v>0</v>
      </c>
      <c r="F2423" s="39" t="s">
        <v>1236</v>
      </c>
      <c r="I2423" s="39" t="s">
        <v>109</v>
      </c>
      <c r="L2423" s="0" t="n">
        <v>63</v>
      </c>
      <c r="U2423" s="0" t="n">
        <v>460</v>
      </c>
      <c r="V2423" s="0" t="n">
        <v>1</v>
      </c>
      <c r="W2423" s="39" t="n">
        <f aca="false">IF(I2423="Male",0,1)</f>
        <v>1</v>
      </c>
      <c r="X2423" s="39" t="n">
        <f aca="false">IF(OR(I2423="DNB",I2423="Dry DNB"),1,0)</f>
        <v>0</v>
      </c>
      <c r="Y2423" s="39" t="n">
        <f aca="false">MATCH(A2423,DATAS,0)</f>
        <v>1</v>
      </c>
      <c r="Z2423" s="39" t="n">
        <f aca="false">IF(AND(E2423&gt;0,OR(AND(B2423&gt;=1,B2423&lt;=6),B2423=10)),1,0)</f>
        <v>0</v>
      </c>
      <c r="AA2423" s="39" t="n">
        <f aca="false">IF(AND(E2423&gt;0,B2423=10),1,0)</f>
        <v>0</v>
      </c>
      <c r="AB2423" s="0" t="str">
        <f aca="false">IF(AND(C2422=C2423,Y2422=Y2423-1),Z2422,"")</f>
        <v/>
      </c>
      <c r="AC2423" s="0" t="str">
        <f aca="false">IF(AND(C2422=C2423,Y2422=Y2423-1),AA2422,"")</f>
        <v/>
      </c>
      <c r="AD2423" s="0" t="str">
        <f aca="false">IF(Y2423=1,"",IF(AND(Z2423=1,AB2423&lt;&gt;1),1,0))</f>
        <v/>
      </c>
      <c r="AE2423" s="0" t="str">
        <f aca="false">IF(Y2423=1,"",IF(AND(AA2423=1,AC2423&lt;&gt;1),1,0))</f>
        <v/>
      </c>
      <c r="AF2423" s="45" t="str">
        <f aca="false">IF(AND(E2423&gt;0,Y2423&lt;1,NOT(AND(C2424=C2423,Y2424=Y2423+1))),INDEX(DATAS,Y2423+1),"")</f>
        <v/>
      </c>
      <c r="AG2423" s="45" t="str">
        <f aca="false">IF(AND(AA2423=1,Y2423&lt;1),IF(AND(C2424=C2423,Y2424=Y2423+1),IF(AA2424=1,"",INDEX(DATAS,Y2423+1)),INDEX(DATAS,Y2423+1)),"")</f>
        <v/>
      </c>
    </row>
    <row r="2424" customFormat="false" ht="15" hidden="false" customHeight="false" outlineLevel="0" collapsed="false">
      <c r="A2424" s="45" t="n">
        <v>46309</v>
      </c>
      <c r="B2424" s="0" t="n">
        <v>8</v>
      </c>
      <c r="C2424" s="0" t="n">
        <v>6736</v>
      </c>
      <c r="E2424" s="0" t="n">
        <v>0</v>
      </c>
      <c r="F2424" s="39" t="s">
        <v>1236</v>
      </c>
      <c r="I2424" s="39" t="s">
        <v>109</v>
      </c>
      <c r="L2424" s="0" t="n">
        <v>66</v>
      </c>
      <c r="U2424" s="0" t="n">
        <v>460</v>
      </c>
      <c r="V2424" s="0" t="n">
        <v>1</v>
      </c>
      <c r="W2424" s="39" t="n">
        <f aca="false">IF(I2424="Male",0,1)</f>
        <v>1</v>
      </c>
      <c r="X2424" s="39" t="n">
        <f aca="false">IF(OR(I2424="DNB",I2424="Dry DNB"),1,0)</f>
        <v>0</v>
      </c>
      <c r="Y2424" s="39" t="n">
        <f aca="false">MATCH(A2424,DATAS,0)</f>
        <v>1</v>
      </c>
      <c r="Z2424" s="39" t="n">
        <f aca="false">IF(AND(E2424&gt;0,OR(AND(B2424&gt;=1,B2424&lt;=6),B2424=10)),1,0)</f>
        <v>0</v>
      </c>
      <c r="AA2424" s="39" t="n">
        <f aca="false">IF(AND(E2424&gt;0,B2424=10),1,0)</f>
        <v>0</v>
      </c>
      <c r="AB2424" s="0" t="str">
        <f aca="false">IF(AND(C2423=C2424,Y2423=Y2424-1),Z2423,"")</f>
        <v/>
      </c>
      <c r="AC2424" s="0" t="str">
        <f aca="false">IF(AND(C2423=C2424,Y2423=Y2424-1),AA2423,"")</f>
        <v/>
      </c>
      <c r="AD2424" s="0" t="str">
        <f aca="false">IF(Y2424=1,"",IF(AND(Z2424=1,AB2424&lt;&gt;1),1,0))</f>
        <v/>
      </c>
      <c r="AE2424" s="0" t="str">
        <f aca="false">IF(Y2424=1,"",IF(AND(AA2424=1,AC2424&lt;&gt;1),1,0))</f>
        <v/>
      </c>
      <c r="AF2424" s="45" t="str">
        <f aca="false">IF(AND(E2424&gt;0,Y2424&lt;1,NOT(AND(C2425=C2424,Y2425=Y2424+1))),INDEX(DATAS,Y2424+1),"")</f>
        <v/>
      </c>
      <c r="AG2424" s="45" t="str">
        <f aca="false">IF(AND(AA2424=1,Y2424&lt;1),IF(AND(C2425=C2424,Y2425=Y2424+1),IF(AA2425=1,"",INDEX(DATAS,Y2424+1)),INDEX(DATAS,Y2424+1)),"")</f>
        <v/>
      </c>
    </row>
    <row r="2425" customFormat="false" ht="15" hidden="false" customHeight="false" outlineLevel="0" collapsed="false">
      <c r="A2425" s="45" t="n">
        <v>46309</v>
      </c>
      <c r="B2425" s="0" t="n">
        <v>13</v>
      </c>
      <c r="C2425" s="0" t="n">
        <v>6737</v>
      </c>
      <c r="E2425" s="0" t="n">
        <v>0</v>
      </c>
      <c r="F2425" s="39" t="s">
        <v>1236</v>
      </c>
      <c r="I2425" s="39" t="s">
        <v>146</v>
      </c>
      <c r="U2425" s="0" t="n">
        <v>460</v>
      </c>
      <c r="V2425" s="0" t="n">
        <v>0</v>
      </c>
      <c r="W2425" s="39" t="n">
        <f aca="false">IF(I2425="Male",0,1)</f>
        <v>1</v>
      </c>
      <c r="X2425" s="39" t="n">
        <f aca="false">IF(OR(I2425="DNB",I2425="Dry DNB"),1,0)</f>
        <v>0</v>
      </c>
      <c r="Y2425" s="39" t="n">
        <f aca="false">MATCH(A2425,DATAS,0)</f>
        <v>1</v>
      </c>
      <c r="Z2425" s="39" t="n">
        <f aca="false">IF(AND(E2425&gt;0,OR(AND(B2425&gt;=1,B2425&lt;=6),B2425=10)),1,0)</f>
        <v>0</v>
      </c>
      <c r="AA2425" s="39" t="n">
        <f aca="false">IF(AND(E2425&gt;0,B2425=10),1,0)</f>
        <v>0</v>
      </c>
      <c r="AB2425" s="0" t="str">
        <f aca="false">IF(AND(C2424=C2425,Y2424=Y2425-1),Z2424,"")</f>
        <v/>
      </c>
      <c r="AC2425" s="0" t="str">
        <f aca="false">IF(AND(C2424=C2425,Y2424=Y2425-1),AA2424,"")</f>
        <v/>
      </c>
      <c r="AD2425" s="0" t="str">
        <f aca="false">IF(Y2425=1,"",IF(AND(Z2425=1,AB2425&lt;&gt;1),1,0))</f>
        <v/>
      </c>
      <c r="AE2425" s="0" t="str">
        <f aca="false">IF(Y2425=1,"",IF(AND(AA2425=1,AC2425&lt;&gt;1),1,0))</f>
        <v/>
      </c>
      <c r="AF2425" s="45" t="str">
        <f aca="false">IF(AND(E2425&gt;0,Y2425&lt;1,NOT(AND(C2426=C2425,Y2426=Y2425+1))),INDEX(DATAS,Y2425+1),"")</f>
        <v/>
      </c>
      <c r="AG2425" s="45" t="str">
        <f aca="false">IF(AND(AA2425=1,Y2425&lt;1),IF(AND(C2426=C2425,Y2426=Y2425+1),IF(AA2426=1,"",INDEX(DATAS,Y2425+1)),INDEX(DATAS,Y2425+1)),"")</f>
        <v/>
      </c>
    </row>
    <row r="2426" customFormat="false" ht="15" hidden="false" customHeight="false" outlineLevel="0" collapsed="false">
      <c r="A2426" s="45" t="n">
        <v>46309</v>
      </c>
      <c r="B2426" s="0" t="n">
        <v>8</v>
      </c>
      <c r="C2426" s="0" t="n">
        <v>6738</v>
      </c>
      <c r="E2426" s="0" t="n">
        <v>0</v>
      </c>
      <c r="F2426" s="39" t="s">
        <v>1236</v>
      </c>
      <c r="I2426" s="39" t="s">
        <v>109</v>
      </c>
      <c r="L2426" s="0" t="n">
        <v>58</v>
      </c>
      <c r="U2426" s="0" t="n">
        <v>460</v>
      </c>
      <c r="V2426" s="0" t="n">
        <v>1</v>
      </c>
      <c r="W2426" s="39" t="n">
        <f aca="false">IF(I2426="Male",0,1)</f>
        <v>1</v>
      </c>
      <c r="X2426" s="39" t="n">
        <f aca="false">IF(OR(I2426="DNB",I2426="Dry DNB"),1,0)</f>
        <v>0</v>
      </c>
      <c r="Y2426" s="39" t="n">
        <f aca="false">MATCH(A2426,DATAS,0)</f>
        <v>1</v>
      </c>
      <c r="Z2426" s="39" t="n">
        <f aca="false">IF(AND(E2426&gt;0,OR(AND(B2426&gt;=1,B2426&lt;=6),B2426=10)),1,0)</f>
        <v>0</v>
      </c>
      <c r="AA2426" s="39" t="n">
        <f aca="false">IF(AND(E2426&gt;0,B2426=10),1,0)</f>
        <v>0</v>
      </c>
      <c r="AB2426" s="0" t="str">
        <f aca="false">IF(AND(C2425=C2426,Y2425=Y2426-1),Z2425,"")</f>
        <v/>
      </c>
      <c r="AC2426" s="0" t="str">
        <f aca="false">IF(AND(C2425=C2426,Y2425=Y2426-1),AA2425,"")</f>
        <v/>
      </c>
      <c r="AD2426" s="0" t="str">
        <f aca="false">IF(Y2426=1,"",IF(AND(Z2426=1,AB2426&lt;&gt;1),1,0))</f>
        <v/>
      </c>
      <c r="AE2426" s="0" t="str">
        <f aca="false">IF(Y2426=1,"",IF(AND(AA2426=1,AC2426&lt;&gt;1),1,0))</f>
        <v/>
      </c>
      <c r="AF2426" s="45" t="str">
        <f aca="false">IF(AND(E2426&gt;0,Y2426&lt;1,NOT(AND(C2427=C2426,Y2427=Y2426+1))),INDEX(DATAS,Y2426+1),"")</f>
        <v/>
      </c>
      <c r="AG2426" s="45" t="str">
        <f aca="false">IF(AND(AA2426=1,Y2426&lt;1),IF(AND(C2427=C2426,Y2427=Y2426+1),IF(AA2427=1,"",INDEX(DATAS,Y2426+1)),INDEX(DATAS,Y2426+1)),"")</f>
        <v/>
      </c>
    </row>
    <row r="2427" customFormat="false" ht="15" hidden="false" customHeight="false" outlineLevel="0" collapsed="false">
      <c r="A2427" s="45" t="n">
        <v>46309</v>
      </c>
      <c r="B2427" s="0" t="n">
        <v>11</v>
      </c>
      <c r="C2427" s="0" t="n">
        <v>6739</v>
      </c>
      <c r="E2427" s="0" t="n">
        <v>0</v>
      </c>
      <c r="F2427" s="39" t="s">
        <v>1236</v>
      </c>
      <c r="I2427" s="39" t="s">
        <v>138</v>
      </c>
      <c r="U2427" s="0" t="n">
        <v>460</v>
      </c>
      <c r="V2427" s="0" t="n">
        <v>1</v>
      </c>
      <c r="W2427" s="39" t="n">
        <f aca="false">IF(I2427="Male",0,1)</f>
        <v>1</v>
      </c>
      <c r="X2427" s="39" t="n">
        <f aca="false">IF(OR(I2427="DNB",I2427="Dry DNB"),1,0)</f>
        <v>0</v>
      </c>
      <c r="Y2427" s="39" t="n">
        <f aca="false">MATCH(A2427,DATAS,0)</f>
        <v>1</v>
      </c>
      <c r="Z2427" s="39" t="n">
        <f aca="false">IF(AND(E2427&gt;0,OR(AND(B2427&gt;=1,B2427&lt;=6),B2427=10)),1,0)</f>
        <v>0</v>
      </c>
      <c r="AA2427" s="39" t="n">
        <f aca="false">IF(AND(E2427&gt;0,B2427=10),1,0)</f>
        <v>0</v>
      </c>
      <c r="AB2427" s="0" t="str">
        <f aca="false">IF(AND(C2426=C2427,Y2426=Y2427-1),Z2426,"")</f>
        <v/>
      </c>
      <c r="AC2427" s="0" t="str">
        <f aca="false">IF(AND(C2426=C2427,Y2426=Y2427-1),AA2426,"")</f>
        <v/>
      </c>
      <c r="AD2427" s="0" t="str">
        <f aca="false">IF(Y2427=1,"",IF(AND(Z2427=1,AB2427&lt;&gt;1),1,0))</f>
        <v/>
      </c>
      <c r="AE2427" s="0" t="str">
        <f aca="false">IF(Y2427=1,"",IF(AND(AA2427=1,AC2427&lt;&gt;1),1,0))</f>
        <v/>
      </c>
      <c r="AF2427" s="45" t="str">
        <f aca="false">IF(AND(E2427&gt;0,Y2427&lt;1,NOT(AND(C2428=C2427,Y2428=Y2427+1))),INDEX(DATAS,Y2427+1),"")</f>
        <v/>
      </c>
      <c r="AG2427" s="45" t="str">
        <f aca="false">IF(AND(AA2427=1,Y2427&lt;1),IF(AND(C2428=C2427,Y2428=Y2427+1),IF(AA2428=1,"",INDEX(DATAS,Y2427+1)),INDEX(DATAS,Y2427+1)),"")</f>
        <v/>
      </c>
    </row>
    <row r="2428" customFormat="false" ht="15" hidden="false" customHeight="false" outlineLevel="0" collapsed="false">
      <c r="A2428" s="45" t="n">
        <v>46309</v>
      </c>
      <c r="B2428" s="0" t="n">
        <v>11</v>
      </c>
      <c r="C2428" s="0" t="n">
        <v>6740</v>
      </c>
      <c r="E2428" s="0" t="n">
        <v>0</v>
      </c>
      <c r="F2428" s="39" t="s">
        <v>1237</v>
      </c>
      <c r="I2428" s="39" t="s">
        <v>138</v>
      </c>
      <c r="U2428" s="0" t="n">
        <v>456</v>
      </c>
      <c r="V2428" s="0" t="n">
        <v>3</v>
      </c>
      <c r="W2428" s="39" t="n">
        <f aca="false">IF(I2428="Male",0,1)</f>
        <v>1</v>
      </c>
      <c r="X2428" s="39" t="n">
        <f aca="false">IF(OR(I2428="DNB",I2428="Dry DNB"),1,0)</f>
        <v>0</v>
      </c>
      <c r="Y2428" s="39" t="n">
        <f aca="false">MATCH(A2428,DATAS,0)</f>
        <v>1</v>
      </c>
      <c r="Z2428" s="39" t="n">
        <f aca="false">IF(AND(E2428&gt;0,OR(AND(B2428&gt;=1,B2428&lt;=6),B2428=10)),1,0)</f>
        <v>0</v>
      </c>
      <c r="AA2428" s="39" t="n">
        <f aca="false">IF(AND(E2428&gt;0,B2428=10),1,0)</f>
        <v>0</v>
      </c>
      <c r="AB2428" s="0" t="str">
        <f aca="false">IF(AND(C2427=C2428,Y2427=Y2428-1),Z2427,"")</f>
        <v/>
      </c>
      <c r="AC2428" s="0" t="str">
        <f aca="false">IF(AND(C2427=C2428,Y2427=Y2428-1),AA2427,"")</f>
        <v/>
      </c>
      <c r="AD2428" s="0" t="str">
        <f aca="false">IF(Y2428=1,"",IF(AND(Z2428=1,AB2428&lt;&gt;1),1,0))</f>
        <v/>
      </c>
      <c r="AE2428" s="0" t="str">
        <f aca="false">IF(Y2428=1,"",IF(AND(AA2428=1,AC2428&lt;&gt;1),1,0))</f>
        <v/>
      </c>
      <c r="AF2428" s="45" t="str">
        <f aca="false">IF(AND(E2428&gt;0,Y2428&lt;1,NOT(AND(C2429=C2428,Y2429=Y2428+1))),INDEX(DATAS,Y2428+1),"")</f>
        <v/>
      </c>
      <c r="AG2428" s="45" t="str">
        <f aca="false">IF(AND(AA2428=1,Y2428&lt;1),IF(AND(C2429=C2428,Y2429=Y2428+1),IF(AA2429=1,"",INDEX(DATAS,Y2428+1)),INDEX(DATAS,Y2428+1)),"")</f>
        <v/>
      </c>
    </row>
    <row r="2429" customFormat="false" ht="15" hidden="false" customHeight="false" outlineLevel="0" collapsed="false">
      <c r="A2429" s="45" t="n">
        <v>46309</v>
      </c>
      <c r="B2429" s="0" t="n">
        <v>8</v>
      </c>
      <c r="C2429" s="0" t="n">
        <v>6741</v>
      </c>
      <c r="E2429" s="0" t="n">
        <v>0</v>
      </c>
      <c r="F2429" s="39" t="s">
        <v>1238</v>
      </c>
      <c r="I2429" s="39" t="s">
        <v>109</v>
      </c>
      <c r="L2429" s="0" t="n">
        <v>65</v>
      </c>
      <c r="U2429" s="0" t="n">
        <v>458</v>
      </c>
      <c r="V2429" s="0" t="n">
        <v>1</v>
      </c>
      <c r="W2429" s="39" t="n">
        <f aca="false">IF(I2429="Male",0,1)</f>
        <v>1</v>
      </c>
      <c r="X2429" s="39" t="n">
        <f aca="false">IF(OR(I2429="DNB",I2429="Dry DNB"),1,0)</f>
        <v>0</v>
      </c>
      <c r="Y2429" s="39" t="n">
        <f aca="false">MATCH(A2429,DATAS,0)</f>
        <v>1</v>
      </c>
      <c r="Z2429" s="39" t="n">
        <f aca="false">IF(AND(E2429&gt;0,OR(AND(B2429&gt;=1,B2429&lt;=6),B2429=10)),1,0)</f>
        <v>0</v>
      </c>
      <c r="AA2429" s="39" t="n">
        <f aca="false">IF(AND(E2429&gt;0,B2429=10),1,0)</f>
        <v>0</v>
      </c>
      <c r="AB2429" s="0" t="str">
        <f aca="false">IF(AND(C2428=C2429,Y2428=Y2429-1),Z2428,"")</f>
        <v/>
      </c>
      <c r="AC2429" s="0" t="str">
        <f aca="false">IF(AND(C2428=C2429,Y2428=Y2429-1),AA2428,"")</f>
        <v/>
      </c>
      <c r="AD2429" s="0" t="str">
        <f aca="false">IF(Y2429=1,"",IF(AND(Z2429=1,AB2429&lt;&gt;1),1,0))</f>
        <v/>
      </c>
      <c r="AE2429" s="0" t="str">
        <f aca="false">IF(Y2429=1,"",IF(AND(AA2429=1,AC2429&lt;&gt;1),1,0))</f>
        <v/>
      </c>
      <c r="AF2429" s="45" t="str">
        <f aca="false">IF(AND(E2429&gt;0,Y2429&lt;1,NOT(AND(C2430=C2429,Y2430=Y2429+1))),INDEX(DATAS,Y2429+1),"")</f>
        <v/>
      </c>
      <c r="AG2429" s="45" t="str">
        <f aca="false">IF(AND(AA2429=1,Y2429&lt;1),IF(AND(C2430=C2429,Y2430=Y2429+1),IF(AA2430=1,"",INDEX(DATAS,Y2429+1)),INDEX(DATAS,Y2429+1)),"")</f>
        <v/>
      </c>
    </row>
    <row r="2430" customFormat="false" ht="15" hidden="false" customHeight="false" outlineLevel="0" collapsed="false">
      <c r="A2430" s="45" t="n">
        <v>46309</v>
      </c>
      <c r="B2430" s="0" t="n">
        <v>8</v>
      </c>
      <c r="C2430" s="0" t="n">
        <v>6742</v>
      </c>
      <c r="E2430" s="0" t="n">
        <v>0</v>
      </c>
      <c r="F2430" s="39" t="s">
        <v>1238</v>
      </c>
      <c r="I2430" s="39" t="s">
        <v>109</v>
      </c>
      <c r="L2430" s="0" t="n">
        <v>55</v>
      </c>
      <c r="U2430" s="0" t="n">
        <v>458</v>
      </c>
      <c r="V2430" s="0" t="n">
        <v>1</v>
      </c>
      <c r="W2430" s="39" t="n">
        <f aca="false">IF(I2430="Male",0,1)</f>
        <v>1</v>
      </c>
      <c r="X2430" s="39" t="n">
        <f aca="false">IF(OR(I2430="DNB",I2430="Dry DNB"),1,0)</f>
        <v>0</v>
      </c>
      <c r="Y2430" s="39" t="n">
        <f aca="false">MATCH(A2430,DATAS,0)</f>
        <v>1</v>
      </c>
      <c r="Z2430" s="39" t="n">
        <f aca="false">IF(AND(E2430&gt;0,OR(AND(B2430&gt;=1,B2430&lt;=6),B2430=10)),1,0)</f>
        <v>0</v>
      </c>
      <c r="AA2430" s="39" t="n">
        <f aca="false">IF(AND(E2430&gt;0,B2430=10),1,0)</f>
        <v>0</v>
      </c>
      <c r="AB2430" s="0" t="str">
        <f aca="false">IF(AND(C2429=C2430,Y2429=Y2430-1),Z2429,"")</f>
        <v/>
      </c>
      <c r="AC2430" s="0" t="str">
        <f aca="false">IF(AND(C2429=C2430,Y2429=Y2430-1),AA2429,"")</f>
        <v/>
      </c>
      <c r="AD2430" s="0" t="str">
        <f aca="false">IF(Y2430=1,"",IF(AND(Z2430=1,AB2430&lt;&gt;1),1,0))</f>
        <v/>
      </c>
      <c r="AE2430" s="0" t="str">
        <f aca="false">IF(Y2430=1,"",IF(AND(AA2430=1,AC2430&lt;&gt;1),1,0))</f>
        <v/>
      </c>
      <c r="AF2430" s="45" t="str">
        <f aca="false">IF(AND(E2430&gt;0,Y2430&lt;1,NOT(AND(C2431=C2430,Y2431=Y2430+1))),INDEX(DATAS,Y2430+1),"")</f>
        <v/>
      </c>
      <c r="AG2430" s="45" t="str">
        <f aca="false">IF(AND(AA2430=1,Y2430&lt;1),IF(AND(C2431=C2430,Y2431=Y2430+1),IF(AA2431=1,"",INDEX(DATAS,Y2430+1)),INDEX(DATAS,Y2430+1)),"")</f>
        <v/>
      </c>
    </row>
    <row r="2431" customFormat="false" ht="15" hidden="false" customHeight="false" outlineLevel="0" collapsed="false">
      <c r="A2431" s="45" t="n">
        <v>46309</v>
      </c>
      <c r="B2431" s="0" t="n">
        <v>11</v>
      </c>
      <c r="C2431" s="0" t="n">
        <v>6743</v>
      </c>
      <c r="E2431" s="0" t="n">
        <v>0</v>
      </c>
      <c r="F2431" s="39" t="s">
        <v>1238</v>
      </c>
      <c r="I2431" s="39" t="s">
        <v>138</v>
      </c>
      <c r="U2431" s="0" t="n">
        <v>458</v>
      </c>
      <c r="V2431" s="0" t="n">
        <v>2</v>
      </c>
      <c r="W2431" s="39" t="n">
        <f aca="false">IF(I2431="Male",0,1)</f>
        <v>1</v>
      </c>
      <c r="X2431" s="39" t="n">
        <f aca="false">IF(OR(I2431="DNB",I2431="Dry DNB"),1,0)</f>
        <v>0</v>
      </c>
      <c r="Y2431" s="39" t="n">
        <f aca="false">MATCH(A2431,DATAS,0)</f>
        <v>1</v>
      </c>
      <c r="Z2431" s="39" t="n">
        <f aca="false">IF(AND(E2431&gt;0,OR(AND(B2431&gt;=1,B2431&lt;=6),B2431=10)),1,0)</f>
        <v>0</v>
      </c>
      <c r="AA2431" s="39" t="n">
        <f aca="false">IF(AND(E2431&gt;0,B2431=10),1,0)</f>
        <v>0</v>
      </c>
      <c r="AB2431" s="0" t="str">
        <f aca="false">IF(AND(C2430=C2431,Y2430=Y2431-1),Z2430,"")</f>
        <v/>
      </c>
      <c r="AC2431" s="0" t="str">
        <f aca="false">IF(AND(C2430=C2431,Y2430=Y2431-1),AA2430,"")</f>
        <v/>
      </c>
      <c r="AD2431" s="0" t="str">
        <f aca="false">IF(Y2431=1,"",IF(AND(Z2431=1,AB2431&lt;&gt;1),1,0))</f>
        <v/>
      </c>
      <c r="AE2431" s="0" t="str">
        <f aca="false">IF(Y2431=1,"",IF(AND(AA2431=1,AC2431&lt;&gt;1),1,0))</f>
        <v/>
      </c>
      <c r="AF2431" s="45" t="str">
        <f aca="false">IF(AND(E2431&gt;0,Y2431&lt;1,NOT(AND(C2432=C2431,Y2432=Y2431+1))),INDEX(DATAS,Y2431+1),"")</f>
        <v/>
      </c>
      <c r="AG2431" s="45" t="str">
        <f aca="false">IF(AND(AA2431=1,Y2431&lt;1),IF(AND(C2432=C2431,Y2432=Y2431+1),IF(AA2432=1,"",INDEX(DATAS,Y2431+1)),INDEX(DATAS,Y2431+1)),"")</f>
        <v/>
      </c>
    </row>
    <row r="2432" customFormat="false" ht="15" hidden="false" customHeight="false" outlineLevel="0" collapsed="false">
      <c r="A2432" s="45" t="n">
        <v>46309</v>
      </c>
      <c r="B2432" s="0" t="n">
        <v>11</v>
      </c>
      <c r="C2432" s="0" t="n">
        <v>6744</v>
      </c>
      <c r="E2432" s="0" t="n">
        <v>0</v>
      </c>
      <c r="F2432" s="39" t="s">
        <v>1239</v>
      </c>
      <c r="I2432" s="39" t="s">
        <v>138</v>
      </c>
      <c r="U2432" s="0" t="n">
        <v>457</v>
      </c>
      <c r="V2432" s="0" t="n">
        <v>3</v>
      </c>
      <c r="W2432" s="39" t="n">
        <f aca="false">IF(I2432="Male",0,1)</f>
        <v>1</v>
      </c>
      <c r="X2432" s="39" t="n">
        <f aca="false">IF(OR(I2432="DNB",I2432="Dry DNB"),1,0)</f>
        <v>0</v>
      </c>
      <c r="Y2432" s="39" t="n">
        <f aca="false">MATCH(A2432,DATAS,0)</f>
        <v>1</v>
      </c>
      <c r="Z2432" s="39" t="n">
        <f aca="false">IF(AND(E2432&gt;0,OR(AND(B2432&gt;=1,B2432&lt;=6),B2432=10)),1,0)</f>
        <v>0</v>
      </c>
      <c r="AA2432" s="39" t="n">
        <f aca="false">IF(AND(E2432&gt;0,B2432=10),1,0)</f>
        <v>0</v>
      </c>
      <c r="AB2432" s="0" t="str">
        <f aca="false">IF(AND(C2431=C2432,Y2431=Y2432-1),Z2431,"")</f>
        <v/>
      </c>
      <c r="AC2432" s="0" t="str">
        <f aca="false">IF(AND(C2431=C2432,Y2431=Y2432-1),AA2431,"")</f>
        <v/>
      </c>
      <c r="AD2432" s="0" t="str">
        <f aca="false">IF(Y2432=1,"",IF(AND(Z2432=1,AB2432&lt;&gt;1),1,0))</f>
        <v/>
      </c>
      <c r="AE2432" s="0" t="str">
        <f aca="false">IF(Y2432=1,"",IF(AND(AA2432=1,AC2432&lt;&gt;1),1,0))</f>
        <v/>
      </c>
      <c r="AF2432" s="45" t="str">
        <f aca="false">IF(AND(E2432&gt;0,Y2432&lt;1,NOT(AND(C2433=C2432,Y2433=Y2432+1))),INDEX(DATAS,Y2432+1),"")</f>
        <v/>
      </c>
      <c r="AG2432" s="45" t="str">
        <f aca="false">IF(AND(AA2432=1,Y2432&lt;1),IF(AND(C2433=C2432,Y2433=Y2432+1),IF(AA2433=1,"",INDEX(DATAS,Y2432+1)),INDEX(DATAS,Y2432+1)),"")</f>
        <v/>
      </c>
    </row>
    <row r="2433" customFormat="false" ht="15" hidden="false" customHeight="false" outlineLevel="0" collapsed="false">
      <c r="A2433" s="45" t="n">
        <v>46309</v>
      </c>
      <c r="B2433" s="0" t="n">
        <v>11</v>
      </c>
      <c r="C2433" s="0" t="n">
        <v>6745</v>
      </c>
      <c r="E2433" s="0" t="n">
        <v>0</v>
      </c>
      <c r="F2433" s="39" t="s">
        <v>1239</v>
      </c>
      <c r="I2433" s="39" t="s">
        <v>138</v>
      </c>
      <c r="U2433" s="0" t="n">
        <v>457</v>
      </c>
      <c r="V2433" s="0" t="n">
        <v>2</v>
      </c>
      <c r="W2433" s="39" t="n">
        <f aca="false">IF(I2433="Male",0,1)</f>
        <v>1</v>
      </c>
      <c r="X2433" s="39" t="n">
        <f aca="false">IF(OR(I2433="DNB",I2433="Dry DNB"),1,0)</f>
        <v>0</v>
      </c>
      <c r="Y2433" s="39" t="n">
        <f aca="false">MATCH(A2433,DATAS,0)</f>
        <v>1</v>
      </c>
      <c r="Z2433" s="39" t="n">
        <f aca="false">IF(AND(E2433&gt;0,OR(AND(B2433&gt;=1,B2433&lt;=6),B2433=10)),1,0)</f>
        <v>0</v>
      </c>
      <c r="AA2433" s="39" t="n">
        <f aca="false">IF(AND(E2433&gt;0,B2433=10),1,0)</f>
        <v>0</v>
      </c>
      <c r="AB2433" s="0" t="str">
        <f aca="false">IF(AND(C2432=C2433,Y2432=Y2433-1),Z2432,"")</f>
        <v/>
      </c>
      <c r="AC2433" s="0" t="str">
        <f aca="false">IF(AND(C2432=C2433,Y2432=Y2433-1),AA2432,"")</f>
        <v/>
      </c>
      <c r="AD2433" s="0" t="str">
        <f aca="false">IF(Y2433=1,"",IF(AND(Z2433=1,AB2433&lt;&gt;1),1,0))</f>
        <v/>
      </c>
      <c r="AE2433" s="0" t="str">
        <f aca="false">IF(Y2433=1,"",IF(AND(AA2433=1,AC2433&lt;&gt;1),1,0))</f>
        <v/>
      </c>
      <c r="AF2433" s="45" t="str">
        <f aca="false">IF(AND(E2433&gt;0,Y2433&lt;1,NOT(AND(C2434=C2433,Y2434=Y2433+1))),INDEX(DATAS,Y2433+1),"")</f>
        <v/>
      </c>
      <c r="AG2433" s="45" t="str">
        <f aca="false">IF(AND(AA2433=1,Y2433&lt;1),IF(AND(C2434=C2433,Y2434=Y2433+1),IF(AA2434=1,"",INDEX(DATAS,Y2433+1)),INDEX(DATAS,Y2433+1)),"")</f>
        <v/>
      </c>
    </row>
    <row r="2434" customFormat="false" ht="15" hidden="false" customHeight="false" outlineLevel="0" collapsed="false">
      <c r="A2434" s="45" t="n">
        <v>46309</v>
      </c>
      <c r="B2434" s="0" t="n">
        <v>11</v>
      </c>
      <c r="C2434" s="0" t="n">
        <v>6748</v>
      </c>
      <c r="E2434" s="0" t="n">
        <v>0</v>
      </c>
      <c r="F2434" s="39" t="s">
        <v>1240</v>
      </c>
      <c r="I2434" s="39" t="s">
        <v>138</v>
      </c>
      <c r="U2434" s="0" t="n">
        <v>455</v>
      </c>
      <c r="V2434" s="0" t="n">
        <v>3</v>
      </c>
      <c r="W2434" s="39" t="n">
        <f aca="false">IF(I2434="Male",0,1)</f>
        <v>1</v>
      </c>
      <c r="X2434" s="39" t="n">
        <f aca="false">IF(OR(I2434="DNB",I2434="Dry DNB"),1,0)</f>
        <v>0</v>
      </c>
      <c r="Y2434" s="39" t="n">
        <f aca="false">MATCH(A2434,DATAS,0)</f>
        <v>1</v>
      </c>
      <c r="Z2434" s="39" t="n">
        <f aca="false">IF(AND(E2434&gt;0,OR(AND(B2434&gt;=1,B2434&lt;=6),B2434=10)),1,0)</f>
        <v>0</v>
      </c>
      <c r="AA2434" s="39" t="n">
        <f aca="false">IF(AND(E2434&gt;0,B2434=10),1,0)</f>
        <v>0</v>
      </c>
      <c r="AB2434" s="0" t="str">
        <f aca="false">IF(AND(C2433=C2434,Y2433=Y2434-1),Z2433,"")</f>
        <v/>
      </c>
      <c r="AC2434" s="0" t="str">
        <f aca="false">IF(AND(C2433=C2434,Y2433=Y2434-1),AA2433,"")</f>
        <v/>
      </c>
      <c r="AD2434" s="0" t="str">
        <f aca="false">IF(Y2434=1,"",IF(AND(Z2434=1,AB2434&lt;&gt;1),1,0))</f>
        <v/>
      </c>
      <c r="AE2434" s="0" t="str">
        <f aca="false">IF(Y2434=1,"",IF(AND(AA2434=1,AC2434&lt;&gt;1),1,0))</f>
        <v/>
      </c>
      <c r="AF2434" s="45" t="str">
        <f aca="false">IF(AND(E2434&gt;0,Y2434&lt;1,NOT(AND(C2435=C2434,Y2435=Y2434+1))),INDEX(DATAS,Y2434+1),"")</f>
        <v/>
      </c>
      <c r="AG2434" s="45" t="str">
        <f aca="false">IF(AND(AA2434=1,Y2434&lt;1),IF(AND(C2435=C2434,Y2435=Y2434+1),IF(AA2435=1,"",INDEX(DATAS,Y2434+1)),INDEX(DATAS,Y2434+1)),"")</f>
        <v/>
      </c>
    </row>
    <row r="2435" customFormat="false" ht="15" hidden="false" customHeight="false" outlineLevel="0" collapsed="false">
      <c r="A2435" s="45" t="n">
        <v>46309</v>
      </c>
      <c r="B2435" s="0" t="n">
        <v>8</v>
      </c>
      <c r="C2435" s="0" t="n">
        <v>6749</v>
      </c>
      <c r="E2435" s="0" t="n">
        <v>0</v>
      </c>
      <c r="F2435" s="39" t="s">
        <v>1240</v>
      </c>
      <c r="I2435" s="39" t="s">
        <v>109</v>
      </c>
      <c r="L2435" s="0" t="n">
        <v>55</v>
      </c>
      <c r="U2435" s="0" t="n">
        <v>455</v>
      </c>
      <c r="V2435" s="0" t="n">
        <v>1</v>
      </c>
      <c r="W2435" s="39" t="n">
        <f aca="false">IF(I2435="Male",0,1)</f>
        <v>1</v>
      </c>
      <c r="X2435" s="39" t="n">
        <f aca="false">IF(OR(I2435="DNB",I2435="Dry DNB"),1,0)</f>
        <v>0</v>
      </c>
      <c r="Y2435" s="39" t="n">
        <f aca="false">MATCH(A2435,DATAS,0)</f>
        <v>1</v>
      </c>
      <c r="Z2435" s="39" t="n">
        <f aca="false">IF(AND(E2435&gt;0,OR(AND(B2435&gt;=1,B2435&lt;=6),B2435=10)),1,0)</f>
        <v>0</v>
      </c>
      <c r="AA2435" s="39" t="n">
        <f aca="false">IF(AND(E2435&gt;0,B2435=10),1,0)</f>
        <v>0</v>
      </c>
      <c r="AB2435" s="0" t="str">
        <f aca="false">IF(AND(C2434=C2435,Y2434=Y2435-1),Z2434,"")</f>
        <v/>
      </c>
      <c r="AC2435" s="0" t="str">
        <f aca="false">IF(AND(C2434=C2435,Y2434=Y2435-1),AA2434,"")</f>
        <v/>
      </c>
      <c r="AD2435" s="0" t="str">
        <f aca="false">IF(Y2435=1,"",IF(AND(Z2435=1,AB2435&lt;&gt;1),1,0))</f>
        <v/>
      </c>
      <c r="AE2435" s="0" t="str">
        <f aca="false">IF(Y2435=1,"",IF(AND(AA2435=1,AC2435&lt;&gt;1),1,0))</f>
        <v/>
      </c>
      <c r="AF2435" s="45" t="str">
        <f aca="false">IF(AND(E2435&gt;0,Y2435&lt;1,NOT(AND(C2436=C2435,Y2436=Y2435+1))),INDEX(DATAS,Y2435+1),"")</f>
        <v/>
      </c>
      <c r="AG2435" s="45" t="str">
        <f aca="false">IF(AND(AA2435=1,Y2435&lt;1),IF(AND(C2436=C2435,Y2436=Y2435+1),IF(AA2436=1,"",INDEX(DATAS,Y2435+1)),INDEX(DATAS,Y2435+1)),"")</f>
        <v/>
      </c>
    </row>
    <row r="2436" customFormat="false" ht="15" hidden="false" customHeight="false" outlineLevel="0" collapsed="false">
      <c r="A2436" s="45" t="n">
        <v>46309</v>
      </c>
      <c r="B2436" s="0" t="n">
        <v>8</v>
      </c>
      <c r="C2436" s="0" t="n">
        <v>6750</v>
      </c>
      <c r="E2436" s="0" t="n">
        <v>0</v>
      </c>
      <c r="F2436" s="39" t="s">
        <v>1240</v>
      </c>
      <c r="I2436" s="39" t="s">
        <v>109</v>
      </c>
      <c r="L2436" s="0" t="n">
        <v>56</v>
      </c>
      <c r="U2436" s="0" t="n">
        <v>455</v>
      </c>
      <c r="V2436" s="0" t="n">
        <v>1</v>
      </c>
      <c r="W2436" s="39" t="n">
        <f aca="false">IF(I2436="Male",0,1)</f>
        <v>1</v>
      </c>
      <c r="X2436" s="39" t="n">
        <f aca="false">IF(OR(I2436="DNB",I2436="Dry DNB"),1,0)</f>
        <v>0</v>
      </c>
      <c r="Y2436" s="39" t="n">
        <f aca="false">MATCH(A2436,DATAS,0)</f>
        <v>1</v>
      </c>
      <c r="Z2436" s="39" t="n">
        <f aca="false">IF(AND(E2436&gt;0,OR(AND(B2436&gt;=1,B2436&lt;=6),B2436=10)),1,0)</f>
        <v>0</v>
      </c>
      <c r="AA2436" s="39" t="n">
        <f aca="false">IF(AND(E2436&gt;0,B2436=10),1,0)</f>
        <v>0</v>
      </c>
      <c r="AB2436" s="0" t="str">
        <f aca="false">IF(AND(C2435=C2436,Y2435=Y2436-1),Z2435,"")</f>
        <v/>
      </c>
      <c r="AC2436" s="0" t="str">
        <f aca="false">IF(AND(C2435=C2436,Y2435=Y2436-1),AA2435,"")</f>
        <v/>
      </c>
      <c r="AD2436" s="0" t="str">
        <f aca="false">IF(Y2436=1,"",IF(AND(Z2436=1,AB2436&lt;&gt;1),1,0))</f>
        <v/>
      </c>
      <c r="AE2436" s="0" t="str">
        <f aca="false">IF(Y2436=1,"",IF(AND(AA2436=1,AC2436&lt;&gt;1),1,0))</f>
        <v/>
      </c>
      <c r="AF2436" s="45" t="str">
        <f aca="false">IF(AND(E2436&gt;0,Y2436&lt;1,NOT(AND(C2437=C2436,Y2437=Y2436+1))),INDEX(DATAS,Y2436+1),"")</f>
        <v/>
      </c>
      <c r="AG2436" s="45" t="str">
        <f aca="false">IF(AND(AA2436=1,Y2436&lt;1),IF(AND(C2437=C2436,Y2437=Y2436+1),IF(AA2437=1,"",INDEX(DATAS,Y2436+1)),INDEX(DATAS,Y2436+1)),"")</f>
        <v/>
      </c>
    </row>
    <row r="2437" customFormat="false" ht="15" hidden="false" customHeight="false" outlineLevel="0" collapsed="false">
      <c r="A2437" s="45" t="n">
        <v>46309</v>
      </c>
      <c r="B2437" s="0" t="n">
        <v>13</v>
      </c>
      <c r="C2437" s="0" t="n">
        <v>6751</v>
      </c>
      <c r="E2437" s="0" t="n">
        <v>0</v>
      </c>
      <c r="F2437" s="39" t="s">
        <v>1240</v>
      </c>
      <c r="I2437" s="39" t="s">
        <v>146</v>
      </c>
      <c r="U2437" s="0" t="n">
        <v>455</v>
      </c>
      <c r="V2437" s="0" t="n">
        <v>0</v>
      </c>
      <c r="W2437" s="39" t="n">
        <f aca="false">IF(I2437="Male",0,1)</f>
        <v>1</v>
      </c>
      <c r="X2437" s="39" t="n">
        <f aca="false">IF(OR(I2437="DNB",I2437="Dry DNB"),1,0)</f>
        <v>0</v>
      </c>
      <c r="Y2437" s="39" t="n">
        <f aca="false">MATCH(A2437,DATAS,0)</f>
        <v>1</v>
      </c>
      <c r="Z2437" s="39" t="n">
        <f aca="false">IF(AND(E2437&gt;0,OR(AND(B2437&gt;=1,B2437&lt;=6),B2437=10)),1,0)</f>
        <v>0</v>
      </c>
      <c r="AA2437" s="39" t="n">
        <f aca="false">IF(AND(E2437&gt;0,B2437=10),1,0)</f>
        <v>0</v>
      </c>
      <c r="AB2437" s="0" t="str">
        <f aca="false">IF(AND(C2436=C2437,Y2436=Y2437-1),Z2436,"")</f>
        <v/>
      </c>
      <c r="AC2437" s="0" t="str">
        <f aca="false">IF(AND(C2436=C2437,Y2436=Y2437-1),AA2436,"")</f>
        <v/>
      </c>
      <c r="AD2437" s="0" t="str">
        <f aca="false">IF(Y2437=1,"",IF(AND(Z2437=1,AB2437&lt;&gt;1),1,0))</f>
        <v/>
      </c>
      <c r="AE2437" s="0" t="str">
        <f aca="false">IF(Y2437=1,"",IF(AND(AA2437=1,AC2437&lt;&gt;1),1,0))</f>
        <v/>
      </c>
      <c r="AF2437" s="45" t="str">
        <f aca="false">IF(AND(E2437&gt;0,Y2437&lt;1,NOT(AND(C2438=C2437,Y2438=Y2437+1))),INDEX(DATAS,Y2437+1),"")</f>
        <v/>
      </c>
      <c r="AG2437" s="45" t="str">
        <f aca="false">IF(AND(AA2437=1,Y2437&lt;1),IF(AND(C2438=C2437,Y2438=Y2437+1),IF(AA2438=1,"",INDEX(DATAS,Y2437+1)),INDEX(DATAS,Y2437+1)),"")</f>
        <v/>
      </c>
    </row>
    <row r="2438" customFormat="false" ht="15" hidden="false" customHeight="false" outlineLevel="0" collapsed="false">
      <c r="A2438" s="45" t="n">
        <v>46309</v>
      </c>
      <c r="B2438" s="0" t="n">
        <v>8</v>
      </c>
      <c r="C2438" s="0" t="n">
        <v>6752</v>
      </c>
      <c r="E2438" s="0" t="n">
        <v>0</v>
      </c>
      <c r="F2438" s="39" t="s">
        <v>1240</v>
      </c>
      <c r="I2438" s="39" t="s">
        <v>109</v>
      </c>
      <c r="L2438" s="0" t="n">
        <v>57</v>
      </c>
      <c r="U2438" s="0" t="n">
        <v>455</v>
      </c>
      <c r="V2438" s="0" t="n">
        <v>1</v>
      </c>
      <c r="W2438" s="39" t="n">
        <f aca="false">IF(I2438="Male",0,1)</f>
        <v>1</v>
      </c>
      <c r="X2438" s="39" t="n">
        <f aca="false">IF(OR(I2438="DNB",I2438="Dry DNB"),1,0)</f>
        <v>0</v>
      </c>
      <c r="Y2438" s="39" t="n">
        <f aca="false">MATCH(A2438,DATAS,0)</f>
        <v>1</v>
      </c>
      <c r="Z2438" s="39" t="n">
        <f aca="false">IF(AND(E2438&gt;0,OR(AND(B2438&gt;=1,B2438&lt;=6),B2438=10)),1,0)</f>
        <v>0</v>
      </c>
      <c r="AA2438" s="39" t="n">
        <f aca="false">IF(AND(E2438&gt;0,B2438=10),1,0)</f>
        <v>0</v>
      </c>
      <c r="AB2438" s="0" t="str">
        <f aca="false">IF(AND(C2437=C2438,Y2437=Y2438-1),Z2437,"")</f>
        <v/>
      </c>
      <c r="AC2438" s="0" t="str">
        <f aca="false">IF(AND(C2437=C2438,Y2437=Y2438-1),AA2437,"")</f>
        <v/>
      </c>
      <c r="AD2438" s="0" t="str">
        <f aca="false">IF(Y2438=1,"",IF(AND(Z2438=1,AB2438&lt;&gt;1),1,0))</f>
        <v/>
      </c>
      <c r="AE2438" s="0" t="str">
        <f aca="false">IF(Y2438=1,"",IF(AND(AA2438=1,AC2438&lt;&gt;1),1,0))</f>
        <v/>
      </c>
      <c r="AF2438" s="45" t="str">
        <f aca="false">IF(AND(E2438&gt;0,Y2438&lt;1,NOT(AND(C2439=C2438,Y2439=Y2438+1))),INDEX(DATAS,Y2438+1),"")</f>
        <v/>
      </c>
      <c r="AG2438" s="45" t="str">
        <f aca="false">IF(AND(AA2438=1,Y2438&lt;1),IF(AND(C2439=C2438,Y2439=Y2438+1),IF(AA2439=1,"",INDEX(DATAS,Y2438+1)),INDEX(DATAS,Y2438+1)),"")</f>
        <v/>
      </c>
    </row>
    <row r="2439" customFormat="false" ht="15" hidden="false" customHeight="false" outlineLevel="0" collapsed="false">
      <c r="A2439" s="45" t="n">
        <v>46309</v>
      </c>
      <c r="B2439" s="0" t="n">
        <v>8</v>
      </c>
      <c r="C2439" s="0" t="n">
        <v>6753</v>
      </c>
      <c r="E2439" s="0" t="n">
        <v>0</v>
      </c>
      <c r="F2439" s="39" t="s">
        <v>1241</v>
      </c>
      <c r="I2439" s="39" t="s">
        <v>109</v>
      </c>
      <c r="L2439" s="0" t="n">
        <v>52</v>
      </c>
      <c r="U2439" s="0" t="n">
        <v>454</v>
      </c>
      <c r="V2439" s="0" t="n">
        <v>1</v>
      </c>
      <c r="W2439" s="39" t="n">
        <f aca="false">IF(I2439="Male",0,1)</f>
        <v>1</v>
      </c>
      <c r="X2439" s="39" t="n">
        <f aca="false">IF(OR(I2439="DNB",I2439="Dry DNB"),1,0)</f>
        <v>0</v>
      </c>
      <c r="Y2439" s="39" t="n">
        <f aca="false">MATCH(A2439,DATAS,0)</f>
        <v>1</v>
      </c>
      <c r="Z2439" s="39" t="n">
        <f aca="false">IF(AND(E2439&gt;0,OR(AND(B2439&gt;=1,B2439&lt;=6),B2439=10)),1,0)</f>
        <v>0</v>
      </c>
      <c r="AA2439" s="39" t="n">
        <f aca="false">IF(AND(E2439&gt;0,B2439=10),1,0)</f>
        <v>0</v>
      </c>
      <c r="AB2439" s="0" t="str">
        <f aca="false">IF(AND(C2438=C2439,Y2438=Y2439-1),Z2438,"")</f>
        <v/>
      </c>
      <c r="AC2439" s="0" t="str">
        <f aca="false">IF(AND(C2438=C2439,Y2438=Y2439-1),AA2438,"")</f>
        <v/>
      </c>
      <c r="AD2439" s="0" t="str">
        <f aca="false">IF(Y2439=1,"",IF(AND(Z2439=1,AB2439&lt;&gt;1),1,0))</f>
        <v/>
      </c>
      <c r="AE2439" s="0" t="str">
        <f aca="false">IF(Y2439=1,"",IF(AND(AA2439=1,AC2439&lt;&gt;1),1,0))</f>
        <v/>
      </c>
      <c r="AF2439" s="45" t="str">
        <f aca="false">IF(AND(E2439&gt;0,Y2439&lt;1,NOT(AND(C2440=C2439,Y2440=Y2439+1))),INDEX(DATAS,Y2439+1),"")</f>
        <v/>
      </c>
      <c r="AG2439" s="45" t="str">
        <f aca="false">IF(AND(AA2439=1,Y2439&lt;1),IF(AND(C2440=C2439,Y2440=Y2439+1),IF(AA2440=1,"",INDEX(DATAS,Y2439+1)),INDEX(DATAS,Y2439+1)),"")</f>
        <v/>
      </c>
    </row>
    <row r="2440" customFormat="false" ht="15" hidden="false" customHeight="false" outlineLevel="0" collapsed="false">
      <c r="A2440" s="45" t="n">
        <v>46309</v>
      </c>
      <c r="B2440" s="0" t="n">
        <v>8</v>
      </c>
      <c r="C2440" s="0" t="n">
        <v>6755</v>
      </c>
      <c r="E2440" s="0" t="n">
        <v>0</v>
      </c>
      <c r="F2440" s="39" t="s">
        <v>1242</v>
      </c>
      <c r="I2440" s="39" t="s">
        <v>109</v>
      </c>
      <c r="L2440" s="0" t="n">
        <v>49</v>
      </c>
      <c r="U2440" s="0" t="n">
        <v>452</v>
      </c>
      <c r="V2440" s="0" t="n">
        <v>1</v>
      </c>
      <c r="W2440" s="39" t="n">
        <f aca="false">IF(I2440="Male",0,1)</f>
        <v>1</v>
      </c>
      <c r="X2440" s="39" t="n">
        <f aca="false">IF(OR(I2440="DNB",I2440="Dry DNB"),1,0)</f>
        <v>0</v>
      </c>
      <c r="Y2440" s="39" t="n">
        <f aca="false">MATCH(A2440,DATAS,0)</f>
        <v>1</v>
      </c>
      <c r="Z2440" s="39" t="n">
        <f aca="false">IF(AND(E2440&gt;0,OR(AND(B2440&gt;=1,B2440&lt;=6),B2440=10)),1,0)</f>
        <v>0</v>
      </c>
      <c r="AA2440" s="39" t="n">
        <f aca="false">IF(AND(E2440&gt;0,B2440=10),1,0)</f>
        <v>0</v>
      </c>
      <c r="AB2440" s="0" t="str">
        <f aca="false">IF(AND(C2439=C2440,Y2439=Y2440-1),Z2439,"")</f>
        <v/>
      </c>
      <c r="AC2440" s="0" t="str">
        <f aca="false">IF(AND(C2439=C2440,Y2439=Y2440-1),AA2439,"")</f>
        <v/>
      </c>
      <c r="AD2440" s="0" t="str">
        <f aca="false">IF(Y2440=1,"",IF(AND(Z2440=1,AB2440&lt;&gt;1),1,0))</f>
        <v/>
      </c>
      <c r="AE2440" s="0" t="str">
        <f aca="false">IF(Y2440=1,"",IF(AND(AA2440=1,AC2440&lt;&gt;1),1,0))</f>
        <v/>
      </c>
      <c r="AF2440" s="45" t="str">
        <f aca="false">IF(AND(E2440&gt;0,Y2440&lt;1,NOT(AND(C2441=C2440,Y2441=Y2440+1))),INDEX(DATAS,Y2440+1),"")</f>
        <v/>
      </c>
      <c r="AG2440" s="45" t="str">
        <f aca="false">IF(AND(AA2440=1,Y2440&lt;1),IF(AND(C2441=C2440,Y2441=Y2440+1),IF(AA2441=1,"",INDEX(DATAS,Y2440+1)),INDEX(DATAS,Y2440+1)),"")</f>
        <v/>
      </c>
    </row>
    <row r="2441" customFormat="false" ht="15" hidden="false" customHeight="false" outlineLevel="0" collapsed="false">
      <c r="A2441" s="45" t="n">
        <v>46309</v>
      </c>
      <c r="B2441" s="0" t="n">
        <v>8</v>
      </c>
      <c r="C2441" s="0" t="n">
        <v>6756</v>
      </c>
      <c r="E2441" s="0" t="n">
        <v>0</v>
      </c>
      <c r="F2441" s="39" t="s">
        <v>1242</v>
      </c>
      <c r="I2441" s="39" t="s">
        <v>109</v>
      </c>
      <c r="L2441" s="0" t="n">
        <v>50</v>
      </c>
      <c r="U2441" s="0" t="n">
        <v>452</v>
      </c>
      <c r="V2441" s="0" t="n">
        <v>1</v>
      </c>
      <c r="W2441" s="39" t="n">
        <f aca="false">IF(I2441="Male",0,1)</f>
        <v>1</v>
      </c>
      <c r="X2441" s="39" t="n">
        <f aca="false">IF(OR(I2441="DNB",I2441="Dry DNB"),1,0)</f>
        <v>0</v>
      </c>
      <c r="Y2441" s="39" t="n">
        <f aca="false">MATCH(A2441,DATAS,0)</f>
        <v>1</v>
      </c>
      <c r="Z2441" s="39" t="n">
        <f aca="false">IF(AND(E2441&gt;0,OR(AND(B2441&gt;=1,B2441&lt;=6),B2441=10)),1,0)</f>
        <v>0</v>
      </c>
      <c r="AA2441" s="39" t="n">
        <f aca="false">IF(AND(E2441&gt;0,B2441=10),1,0)</f>
        <v>0</v>
      </c>
      <c r="AB2441" s="0" t="str">
        <f aca="false">IF(AND(C2440=C2441,Y2440=Y2441-1),Z2440,"")</f>
        <v/>
      </c>
      <c r="AC2441" s="0" t="str">
        <f aca="false">IF(AND(C2440=C2441,Y2440=Y2441-1),AA2440,"")</f>
        <v/>
      </c>
      <c r="AD2441" s="0" t="str">
        <f aca="false">IF(Y2441=1,"",IF(AND(Z2441=1,AB2441&lt;&gt;1),1,0))</f>
        <v/>
      </c>
      <c r="AE2441" s="0" t="str">
        <f aca="false">IF(Y2441=1,"",IF(AND(AA2441=1,AC2441&lt;&gt;1),1,0))</f>
        <v/>
      </c>
      <c r="AF2441" s="45" t="str">
        <f aca="false">IF(AND(E2441&gt;0,Y2441&lt;1,NOT(AND(C2442=C2441,Y2442=Y2441+1))),INDEX(DATAS,Y2441+1),"")</f>
        <v/>
      </c>
      <c r="AG2441" s="45" t="str">
        <f aca="false">IF(AND(AA2441=1,Y2441&lt;1),IF(AND(C2442=C2441,Y2442=Y2441+1),IF(AA2442=1,"",INDEX(DATAS,Y2441+1)),INDEX(DATAS,Y2441+1)),"")</f>
        <v/>
      </c>
    </row>
    <row r="2442" customFormat="false" ht="15" hidden="false" customHeight="false" outlineLevel="0" collapsed="false">
      <c r="A2442" s="45" t="n">
        <v>46309</v>
      </c>
      <c r="B2442" s="0" t="n">
        <v>8</v>
      </c>
      <c r="C2442" s="0" t="n">
        <v>6757</v>
      </c>
      <c r="E2442" s="0" t="n">
        <v>0</v>
      </c>
      <c r="F2442" s="39" t="s">
        <v>1242</v>
      </c>
      <c r="I2442" s="39" t="s">
        <v>109</v>
      </c>
      <c r="L2442" s="0" t="n">
        <v>57</v>
      </c>
      <c r="U2442" s="0" t="n">
        <v>452</v>
      </c>
      <c r="V2442" s="0" t="n">
        <v>1</v>
      </c>
      <c r="W2442" s="39" t="n">
        <f aca="false">IF(I2442="Male",0,1)</f>
        <v>1</v>
      </c>
      <c r="X2442" s="39" t="n">
        <f aca="false">IF(OR(I2442="DNB",I2442="Dry DNB"),1,0)</f>
        <v>0</v>
      </c>
      <c r="Y2442" s="39" t="n">
        <f aca="false">MATCH(A2442,DATAS,0)</f>
        <v>1</v>
      </c>
      <c r="Z2442" s="39" t="n">
        <f aca="false">IF(AND(E2442&gt;0,OR(AND(B2442&gt;=1,B2442&lt;=6),B2442=10)),1,0)</f>
        <v>0</v>
      </c>
      <c r="AA2442" s="39" t="n">
        <f aca="false">IF(AND(E2442&gt;0,B2442=10),1,0)</f>
        <v>0</v>
      </c>
      <c r="AB2442" s="0" t="str">
        <f aca="false">IF(AND(C2441=C2442,Y2441=Y2442-1),Z2441,"")</f>
        <v/>
      </c>
      <c r="AC2442" s="0" t="str">
        <f aca="false">IF(AND(C2441=C2442,Y2441=Y2442-1),AA2441,"")</f>
        <v/>
      </c>
      <c r="AD2442" s="0" t="str">
        <f aca="false">IF(Y2442=1,"",IF(AND(Z2442=1,AB2442&lt;&gt;1),1,0))</f>
        <v/>
      </c>
      <c r="AE2442" s="0" t="str">
        <f aca="false">IF(Y2442=1,"",IF(AND(AA2442=1,AC2442&lt;&gt;1),1,0))</f>
        <v/>
      </c>
      <c r="AF2442" s="45" t="str">
        <f aca="false">IF(AND(E2442&gt;0,Y2442&lt;1,NOT(AND(C2443=C2442,Y2443=Y2442+1))),INDEX(DATAS,Y2442+1),"")</f>
        <v/>
      </c>
      <c r="AG2442" s="45" t="str">
        <f aca="false">IF(AND(AA2442=1,Y2442&lt;1),IF(AND(C2443=C2442,Y2443=Y2442+1),IF(AA2443=1,"",INDEX(DATAS,Y2442+1)),INDEX(DATAS,Y2442+1)),"")</f>
        <v/>
      </c>
    </row>
    <row r="2443" customFormat="false" ht="15" hidden="false" customHeight="false" outlineLevel="0" collapsed="false">
      <c r="A2443" s="45" t="n">
        <v>46309</v>
      </c>
      <c r="B2443" s="0" t="n">
        <v>11</v>
      </c>
      <c r="C2443" s="0" t="n">
        <v>6758</v>
      </c>
      <c r="E2443" s="0" t="n">
        <v>0</v>
      </c>
      <c r="F2443" s="39" t="s">
        <v>1242</v>
      </c>
      <c r="I2443" s="39" t="s">
        <v>138</v>
      </c>
      <c r="U2443" s="0" t="n">
        <v>452</v>
      </c>
      <c r="V2443" s="0" t="n">
        <v>2</v>
      </c>
      <c r="W2443" s="39" t="n">
        <f aca="false">IF(I2443="Male",0,1)</f>
        <v>1</v>
      </c>
      <c r="X2443" s="39" t="n">
        <f aca="false">IF(OR(I2443="DNB",I2443="Dry DNB"),1,0)</f>
        <v>0</v>
      </c>
      <c r="Y2443" s="39" t="n">
        <f aca="false">MATCH(A2443,DATAS,0)</f>
        <v>1</v>
      </c>
      <c r="Z2443" s="39" t="n">
        <f aca="false">IF(AND(E2443&gt;0,OR(AND(B2443&gt;=1,B2443&lt;=6),B2443=10)),1,0)</f>
        <v>0</v>
      </c>
      <c r="AA2443" s="39" t="n">
        <f aca="false">IF(AND(E2443&gt;0,B2443=10),1,0)</f>
        <v>0</v>
      </c>
      <c r="AB2443" s="0" t="str">
        <f aca="false">IF(AND(C2442=C2443,Y2442=Y2443-1),Z2442,"")</f>
        <v/>
      </c>
      <c r="AC2443" s="0" t="str">
        <f aca="false">IF(AND(C2442=C2443,Y2442=Y2443-1),AA2442,"")</f>
        <v/>
      </c>
      <c r="AD2443" s="0" t="str">
        <f aca="false">IF(Y2443=1,"",IF(AND(Z2443=1,AB2443&lt;&gt;1),1,0))</f>
        <v/>
      </c>
      <c r="AE2443" s="0" t="str">
        <f aca="false">IF(Y2443=1,"",IF(AND(AA2443=1,AC2443&lt;&gt;1),1,0))</f>
        <v/>
      </c>
      <c r="AF2443" s="45" t="str">
        <f aca="false">IF(AND(E2443&gt;0,Y2443&lt;1,NOT(AND(C2444=C2443,Y2444=Y2443+1))),INDEX(DATAS,Y2443+1),"")</f>
        <v/>
      </c>
      <c r="AG2443" s="45" t="str">
        <f aca="false">IF(AND(AA2443=1,Y2443&lt;1),IF(AND(C2444=C2443,Y2444=Y2443+1),IF(AA2444=1,"",INDEX(DATAS,Y2443+1)),INDEX(DATAS,Y2443+1)),"")</f>
        <v/>
      </c>
    </row>
    <row r="2444" customFormat="false" ht="15" hidden="false" customHeight="false" outlineLevel="0" collapsed="false">
      <c r="A2444" s="45" t="n">
        <v>46309</v>
      </c>
      <c r="B2444" s="0" t="n">
        <v>11</v>
      </c>
      <c r="C2444" s="0" t="n">
        <v>6759</v>
      </c>
      <c r="E2444" s="0" t="n">
        <v>0</v>
      </c>
      <c r="F2444" s="39" t="s">
        <v>1242</v>
      </c>
      <c r="I2444" s="39" t="s">
        <v>138</v>
      </c>
      <c r="U2444" s="0" t="n">
        <v>452</v>
      </c>
      <c r="V2444" s="0" t="n">
        <v>2</v>
      </c>
      <c r="W2444" s="39" t="n">
        <f aca="false">IF(I2444="Male",0,1)</f>
        <v>1</v>
      </c>
      <c r="X2444" s="39" t="n">
        <f aca="false">IF(OR(I2444="DNB",I2444="Dry DNB"),1,0)</f>
        <v>0</v>
      </c>
      <c r="Y2444" s="39" t="n">
        <f aca="false">MATCH(A2444,DATAS,0)</f>
        <v>1</v>
      </c>
      <c r="Z2444" s="39" t="n">
        <f aca="false">IF(AND(E2444&gt;0,OR(AND(B2444&gt;=1,B2444&lt;=6),B2444=10)),1,0)</f>
        <v>0</v>
      </c>
      <c r="AA2444" s="39" t="n">
        <f aca="false">IF(AND(E2444&gt;0,B2444=10),1,0)</f>
        <v>0</v>
      </c>
      <c r="AB2444" s="0" t="str">
        <f aca="false">IF(AND(C2443=C2444,Y2443=Y2444-1),Z2443,"")</f>
        <v/>
      </c>
      <c r="AC2444" s="0" t="str">
        <f aca="false">IF(AND(C2443=C2444,Y2443=Y2444-1),AA2443,"")</f>
        <v/>
      </c>
      <c r="AD2444" s="0" t="str">
        <f aca="false">IF(Y2444=1,"",IF(AND(Z2444=1,AB2444&lt;&gt;1),1,0))</f>
        <v/>
      </c>
      <c r="AE2444" s="0" t="str">
        <f aca="false">IF(Y2444=1,"",IF(AND(AA2444=1,AC2444&lt;&gt;1),1,0))</f>
        <v/>
      </c>
      <c r="AF2444" s="45" t="str">
        <f aca="false">IF(AND(E2444&gt;0,Y2444&lt;1,NOT(AND(C2445=C2444,Y2445=Y2444+1))),INDEX(DATAS,Y2444+1),"")</f>
        <v/>
      </c>
      <c r="AG2444" s="45" t="str">
        <f aca="false">IF(AND(AA2444=1,Y2444&lt;1),IF(AND(C2445=C2444,Y2445=Y2444+1),IF(AA2445=1,"",INDEX(DATAS,Y2444+1)),INDEX(DATAS,Y2444+1)),"")</f>
        <v/>
      </c>
    </row>
    <row r="2445" customFormat="false" ht="15" hidden="false" customHeight="false" outlineLevel="0" collapsed="false">
      <c r="A2445" s="45" t="n">
        <v>46309</v>
      </c>
      <c r="B2445" s="0" t="n">
        <v>8</v>
      </c>
      <c r="C2445" s="0" t="n">
        <v>6760</v>
      </c>
      <c r="E2445" s="0" t="n">
        <v>0</v>
      </c>
      <c r="F2445" s="39" t="s">
        <v>1242</v>
      </c>
      <c r="I2445" s="39" t="s">
        <v>109</v>
      </c>
      <c r="L2445" s="0" t="n">
        <v>57</v>
      </c>
      <c r="U2445" s="0" t="n">
        <v>452</v>
      </c>
      <c r="V2445" s="0" t="n">
        <v>1</v>
      </c>
      <c r="W2445" s="39" t="n">
        <f aca="false">IF(I2445="Male",0,1)</f>
        <v>1</v>
      </c>
      <c r="X2445" s="39" t="n">
        <f aca="false">IF(OR(I2445="DNB",I2445="Dry DNB"),1,0)</f>
        <v>0</v>
      </c>
      <c r="Y2445" s="39" t="n">
        <f aca="false">MATCH(A2445,DATAS,0)</f>
        <v>1</v>
      </c>
      <c r="Z2445" s="39" t="n">
        <f aca="false">IF(AND(E2445&gt;0,OR(AND(B2445&gt;=1,B2445&lt;=6),B2445=10)),1,0)</f>
        <v>0</v>
      </c>
      <c r="AA2445" s="39" t="n">
        <f aca="false">IF(AND(E2445&gt;0,B2445=10),1,0)</f>
        <v>0</v>
      </c>
      <c r="AB2445" s="0" t="str">
        <f aca="false">IF(AND(C2444=C2445,Y2444=Y2445-1),Z2444,"")</f>
        <v/>
      </c>
      <c r="AC2445" s="0" t="str">
        <f aca="false">IF(AND(C2444=C2445,Y2444=Y2445-1),AA2444,"")</f>
        <v/>
      </c>
      <c r="AD2445" s="0" t="str">
        <f aca="false">IF(Y2445=1,"",IF(AND(Z2445=1,AB2445&lt;&gt;1),1,0))</f>
        <v/>
      </c>
      <c r="AE2445" s="0" t="str">
        <f aca="false">IF(Y2445=1,"",IF(AND(AA2445=1,AC2445&lt;&gt;1),1,0))</f>
        <v/>
      </c>
      <c r="AF2445" s="45" t="str">
        <f aca="false">IF(AND(E2445&gt;0,Y2445&lt;1,NOT(AND(C2446=C2445,Y2446=Y2445+1))),INDEX(DATAS,Y2445+1),"")</f>
        <v/>
      </c>
      <c r="AG2445" s="45" t="str">
        <f aca="false">IF(AND(AA2445=1,Y2445&lt;1),IF(AND(C2446=C2445,Y2446=Y2445+1),IF(AA2446=1,"",INDEX(DATAS,Y2445+1)),INDEX(DATAS,Y2445+1)),"")</f>
        <v/>
      </c>
    </row>
    <row r="2446" customFormat="false" ht="15" hidden="false" customHeight="false" outlineLevel="0" collapsed="false">
      <c r="A2446" s="45" t="n">
        <v>46309</v>
      </c>
      <c r="B2446" s="0" t="n">
        <v>8</v>
      </c>
      <c r="C2446" s="0" t="n">
        <v>6761</v>
      </c>
      <c r="E2446" s="0" t="n">
        <v>0</v>
      </c>
      <c r="F2446" s="39" t="s">
        <v>1242</v>
      </c>
      <c r="I2446" s="39" t="s">
        <v>109</v>
      </c>
      <c r="L2446" s="0" t="n">
        <v>50</v>
      </c>
      <c r="U2446" s="0" t="n">
        <v>452</v>
      </c>
      <c r="V2446" s="0" t="n">
        <v>1</v>
      </c>
      <c r="W2446" s="39" t="n">
        <f aca="false">IF(I2446="Male",0,1)</f>
        <v>1</v>
      </c>
      <c r="X2446" s="39" t="n">
        <f aca="false">IF(OR(I2446="DNB",I2446="Dry DNB"),1,0)</f>
        <v>0</v>
      </c>
      <c r="Y2446" s="39" t="n">
        <f aca="false">MATCH(A2446,DATAS,0)</f>
        <v>1</v>
      </c>
      <c r="Z2446" s="39" t="n">
        <f aca="false">IF(AND(E2446&gt;0,OR(AND(B2446&gt;=1,B2446&lt;=6),B2446=10)),1,0)</f>
        <v>0</v>
      </c>
      <c r="AA2446" s="39" t="n">
        <f aca="false">IF(AND(E2446&gt;0,B2446=10),1,0)</f>
        <v>0</v>
      </c>
      <c r="AB2446" s="0" t="str">
        <f aca="false">IF(AND(C2445=C2446,Y2445=Y2446-1),Z2445,"")</f>
        <v/>
      </c>
      <c r="AC2446" s="0" t="str">
        <f aca="false">IF(AND(C2445=C2446,Y2445=Y2446-1),AA2445,"")</f>
        <v/>
      </c>
      <c r="AD2446" s="0" t="str">
        <f aca="false">IF(Y2446=1,"",IF(AND(Z2446=1,AB2446&lt;&gt;1),1,0))</f>
        <v/>
      </c>
      <c r="AE2446" s="0" t="str">
        <f aca="false">IF(Y2446=1,"",IF(AND(AA2446=1,AC2446&lt;&gt;1),1,0))</f>
        <v/>
      </c>
      <c r="AF2446" s="45" t="str">
        <f aca="false">IF(AND(E2446&gt;0,Y2446&lt;1,NOT(AND(C2447=C2446,Y2447=Y2446+1))),INDEX(DATAS,Y2446+1),"")</f>
        <v/>
      </c>
      <c r="AG2446" s="45" t="str">
        <f aca="false">IF(AND(AA2446=1,Y2446&lt;1),IF(AND(C2447=C2446,Y2447=Y2446+1),IF(AA2447=1,"",INDEX(DATAS,Y2446+1)),INDEX(DATAS,Y2446+1)),"")</f>
        <v/>
      </c>
    </row>
    <row r="2447" customFormat="false" ht="15" hidden="false" customHeight="false" outlineLevel="0" collapsed="false">
      <c r="A2447" s="45" t="n">
        <v>46309</v>
      </c>
      <c r="B2447" s="0" t="n">
        <v>11</v>
      </c>
      <c r="C2447" s="0" t="n">
        <v>6763</v>
      </c>
      <c r="E2447" s="0" t="n">
        <v>0</v>
      </c>
      <c r="F2447" s="39" t="s">
        <v>1243</v>
      </c>
      <c r="I2447" s="39" t="s">
        <v>138</v>
      </c>
      <c r="U2447" s="0" t="n">
        <v>450</v>
      </c>
      <c r="V2447" s="0" t="n">
        <v>3</v>
      </c>
      <c r="W2447" s="39" t="n">
        <f aca="false">IF(I2447="Male",0,1)</f>
        <v>1</v>
      </c>
      <c r="X2447" s="39" t="n">
        <f aca="false">IF(OR(I2447="DNB",I2447="Dry DNB"),1,0)</f>
        <v>0</v>
      </c>
      <c r="Y2447" s="39" t="n">
        <f aca="false">MATCH(A2447,DATAS,0)</f>
        <v>1</v>
      </c>
      <c r="Z2447" s="39" t="n">
        <f aca="false">IF(AND(E2447&gt;0,OR(AND(B2447&gt;=1,B2447&lt;=6),B2447=10)),1,0)</f>
        <v>0</v>
      </c>
      <c r="AA2447" s="39" t="n">
        <f aca="false">IF(AND(E2447&gt;0,B2447=10),1,0)</f>
        <v>0</v>
      </c>
      <c r="AB2447" s="0" t="str">
        <f aca="false">IF(AND(C2446=C2447,Y2446=Y2447-1),Z2446,"")</f>
        <v/>
      </c>
      <c r="AC2447" s="0" t="str">
        <f aca="false">IF(AND(C2446=C2447,Y2446=Y2447-1),AA2446,"")</f>
        <v/>
      </c>
      <c r="AD2447" s="0" t="str">
        <f aca="false">IF(Y2447=1,"",IF(AND(Z2447=1,AB2447&lt;&gt;1),1,0))</f>
        <v/>
      </c>
      <c r="AE2447" s="0" t="str">
        <f aca="false">IF(Y2447=1,"",IF(AND(AA2447=1,AC2447&lt;&gt;1),1,0))</f>
        <v/>
      </c>
      <c r="AF2447" s="45" t="str">
        <f aca="false">IF(AND(E2447&gt;0,Y2447&lt;1,NOT(AND(C2448=C2447,Y2448=Y2447+1))),INDEX(DATAS,Y2447+1),"")</f>
        <v/>
      </c>
      <c r="AG2447" s="45" t="str">
        <f aca="false">IF(AND(AA2447=1,Y2447&lt;1),IF(AND(C2448=C2447,Y2448=Y2447+1),IF(AA2448=1,"",INDEX(DATAS,Y2447+1)),INDEX(DATAS,Y2447+1)),"")</f>
        <v/>
      </c>
    </row>
    <row r="2448" customFormat="false" ht="15" hidden="false" customHeight="false" outlineLevel="0" collapsed="false">
      <c r="A2448" s="45" t="n">
        <v>46309</v>
      </c>
      <c r="B2448" s="0" t="n">
        <v>8</v>
      </c>
      <c r="C2448" s="0" t="n">
        <v>6764</v>
      </c>
      <c r="E2448" s="0" t="n">
        <v>0</v>
      </c>
      <c r="F2448" s="39" t="s">
        <v>1243</v>
      </c>
      <c r="I2448" s="39" t="s">
        <v>109</v>
      </c>
      <c r="L2448" s="0" t="n">
        <v>57</v>
      </c>
      <c r="U2448" s="0" t="n">
        <v>450</v>
      </c>
      <c r="V2448" s="0" t="n">
        <v>1</v>
      </c>
      <c r="W2448" s="39" t="n">
        <f aca="false">IF(I2448="Male",0,1)</f>
        <v>1</v>
      </c>
      <c r="X2448" s="39" t="n">
        <f aca="false">IF(OR(I2448="DNB",I2448="Dry DNB"),1,0)</f>
        <v>0</v>
      </c>
      <c r="Y2448" s="39" t="n">
        <f aca="false">MATCH(A2448,DATAS,0)</f>
        <v>1</v>
      </c>
      <c r="Z2448" s="39" t="n">
        <f aca="false">IF(AND(E2448&gt;0,OR(AND(B2448&gt;=1,B2448&lt;=6),B2448=10)),1,0)</f>
        <v>0</v>
      </c>
      <c r="AA2448" s="39" t="n">
        <f aca="false">IF(AND(E2448&gt;0,B2448=10),1,0)</f>
        <v>0</v>
      </c>
      <c r="AB2448" s="0" t="str">
        <f aca="false">IF(AND(C2447=C2448,Y2447=Y2448-1),Z2447,"")</f>
        <v/>
      </c>
      <c r="AC2448" s="0" t="str">
        <f aca="false">IF(AND(C2447=C2448,Y2447=Y2448-1),AA2447,"")</f>
        <v/>
      </c>
      <c r="AD2448" s="0" t="str">
        <f aca="false">IF(Y2448=1,"",IF(AND(Z2448=1,AB2448&lt;&gt;1),1,0))</f>
        <v/>
      </c>
      <c r="AE2448" s="0" t="str">
        <f aca="false">IF(Y2448=1,"",IF(AND(AA2448=1,AC2448&lt;&gt;1),1,0))</f>
        <v/>
      </c>
      <c r="AF2448" s="45" t="str">
        <f aca="false">IF(AND(E2448&gt;0,Y2448&lt;1,NOT(AND(C2449=C2448,Y2449=Y2448+1))),INDEX(DATAS,Y2448+1),"")</f>
        <v/>
      </c>
      <c r="AG2448" s="45" t="str">
        <f aca="false">IF(AND(AA2448=1,Y2448&lt;1),IF(AND(C2449=C2448,Y2449=Y2448+1),IF(AA2449=1,"",INDEX(DATAS,Y2448+1)),INDEX(DATAS,Y2448+1)),"")</f>
        <v/>
      </c>
    </row>
    <row r="2449" customFormat="false" ht="15" hidden="false" customHeight="false" outlineLevel="0" collapsed="false">
      <c r="A2449" s="45" t="n">
        <v>46309</v>
      </c>
      <c r="B2449" s="0" t="n">
        <v>8</v>
      </c>
      <c r="C2449" s="0" t="n">
        <v>6765</v>
      </c>
      <c r="E2449" s="0" t="n">
        <v>0</v>
      </c>
      <c r="F2449" s="39" t="s">
        <v>1244</v>
      </c>
      <c r="I2449" s="39" t="s">
        <v>109</v>
      </c>
      <c r="L2449" s="0" t="n">
        <v>37</v>
      </c>
      <c r="U2449" s="0" t="n">
        <v>448</v>
      </c>
      <c r="V2449" s="0" t="n">
        <v>2</v>
      </c>
      <c r="W2449" s="39" t="n">
        <f aca="false">IF(I2449="Male",0,1)</f>
        <v>1</v>
      </c>
      <c r="X2449" s="39" t="n">
        <f aca="false">IF(OR(I2449="DNB",I2449="Dry DNB"),1,0)</f>
        <v>0</v>
      </c>
      <c r="Y2449" s="39" t="n">
        <f aca="false">MATCH(A2449,DATAS,0)</f>
        <v>1</v>
      </c>
      <c r="Z2449" s="39" t="n">
        <f aca="false">IF(AND(E2449&gt;0,OR(AND(B2449&gt;=1,B2449&lt;=6),B2449=10)),1,0)</f>
        <v>0</v>
      </c>
      <c r="AA2449" s="39" t="n">
        <f aca="false">IF(AND(E2449&gt;0,B2449=10),1,0)</f>
        <v>0</v>
      </c>
      <c r="AB2449" s="0" t="str">
        <f aca="false">IF(AND(C2448=C2449,Y2448=Y2449-1),Z2448,"")</f>
        <v/>
      </c>
      <c r="AC2449" s="0" t="str">
        <f aca="false">IF(AND(C2448=C2449,Y2448=Y2449-1),AA2448,"")</f>
        <v/>
      </c>
      <c r="AD2449" s="0" t="str">
        <f aca="false">IF(Y2449=1,"",IF(AND(Z2449=1,AB2449&lt;&gt;1),1,0))</f>
        <v/>
      </c>
      <c r="AE2449" s="0" t="str">
        <f aca="false">IF(Y2449=1,"",IF(AND(AA2449=1,AC2449&lt;&gt;1),1,0))</f>
        <v/>
      </c>
      <c r="AF2449" s="45" t="str">
        <f aca="false">IF(AND(E2449&gt;0,Y2449&lt;1,NOT(AND(C2450=C2449,Y2450=Y2449+1))),INDEX(DATAS,Y2449+1),"")</f>
        <v/>
      </c>
      <c r="AG2449" s="45" t="str">
        <f aca="false">IF(AND(AA2449=1,Y2449&lt;1),IF(AND(C2450=C2449,Y2450=Y2449+1),IF(AA2450=1,"",INDEX(DATAS,Y2449+1)),INDEX(DATAS,Y2449+1)),"")</f>
        <v/>
      </c>
    </row>
    <row r="2450" customFormat="false" ht="15" hidden="false" customHeight="false" outlineLevel="0" collapsed="false">
      <c r="A2450" s="45" t="n">
        <v>46309</v>
      </c>
      <c r="B2450" s="0" t="n">
        <v>11</v>
      </c>
      <c r="C2450" s="0" t="n">
        <v>6767</v>
      </c>
      <c r="E2450" s="0" t="n">
        <v>0</v>
      </c>
      <c r="F2450" s="39" t="s">
        <v>1244</v>
      </c>
      <c r="I2450" s="39" t="s">
        <v>138</v>
      </c>
      <c r="U2450" s="0" t="n">
        <v>448</v>
      </c>
      <c r="V2450" s="0" t="n">
        <v>3</v>
      </c>
      <c r="W2450" s="39" t="n">
        <f aca="false">IF(I2450="Male",0,1)</f>
        <v>1</v>
      </c>
      <c r="X2450" s="39" t="n">
        <f aca="false">IF(OR(I2450="DNB",I2450="Dry DNB"),1,0)</f>
        <v>0</v>
      </c>
      <c r="Y2450" s="39" t="n">
        <f aca="false">MATCH(A2450,DATAS,0)</f>
        <v>1</v>
      </c>
      <c r="Z2450" s="39" t="n">
        <f aca="false">IF(AND(E2450&gt;0,OR(AND(B2450&gt;=1,B2450&lt;=6),B2450=10)),1,0)</f>
        <v>0</v>
      </c>
      <c r="AA2450" s="39" t="n">
        <f aca="false">IF(AND(E2450&gt;0,B2450=10),1,0)</f>
        <v>0</v>
      </c>
      <c r="AB2450" s="0" t="str">
        <f aca="false">IF(AND(C2449=C2450,Y2449=Y2450-1),Z2449,"")</f>
        <v/>
      </c>
      <c r="AC2450" s="0" t="str">
        <f aca="false">IF(AND(C2449=C2450,Y2449=Y2450-1),AA2449,"")</f>
        <v/>
      </c>
      <c r="AD2450" s="0" t="str">
        <f aca="false">IF(Y2450=1,"",IF(AND(Z2450=1,AB2450&lt;&gt;1),1,0))</f>
        <v/>
      </c>
      <c r="AE2450" s="0" t="str">
        <f aca="false">IF(Y2450=1,"",IF(AND(AA2450=1,AC2450&lt;&gt;1),1,0))</f>
        <v/>
      </c>
      <c r="AF2450" s="45" t="str">
        <f aca="false">IF(AND(E2450&gt;0,Y2450&lt;1,NOT(AND(C2451=C2450,Y2451=Y2450+1))),INDEX(DATAS,Y2450+1),"")</f>
        <v/>
      </c>
      <c r="AG2450" s="45" t="str">
        <f aca="false">IF(AND(AA2450=1,Y2450&lt;1),IF(AND(C2451=C2450,Y2451=Y2450+1),IF(AA2451=1,"",INDEX(DATAS,Y2450+1)),INDEX(DATAS,Y2450+1)),"")</f>
        <v/>
      </c>
    </row>
    <row r="2451" customFormat="false" ht="15" hidden="false" customHeight="false" outlineLevel="0" collapsed="false">
      <c r="A2451" s="45" t="n">
        <v>46309</v>
      </c>
      <c r="B2451" s="0" t="n">
        <v>8</v>
      </c>
      <c r="C2451" s="0" t="n">
        <v>6768</v>
      </c>
      <c r="E2451" s="0" t="n">
        <v>0</v>
      </c>
      <c r="F2451" s="39" t="s">
        <v>1244</v>
      </c>
      <c r="I2451" s="39" t="s">
        <v>109</v>
      </c>
      <c r="L2451" s="0" t="n">
        <v>27</v>
      </c>
      <c r="U2451" s="0" t="n">
        <v>448</v>
      </c>
      <c r="V2451" s="0" t="n">
        <v>2</v>
      </c>
      <c r="W2451" s="39" t="n">
        <f aca="false">IF(I2451="Male",0,1)</f>
        <v>1</v>
      </c>
      <c r="X2451" s="39" t="n">
        <f aca="false">IF(OR(I2451="DNB",I2451="Dry DNB"),1,0)</f>
        <v>0</v>
      </c>
      <c r="Y2451" s="39" t="n">
        <f aca="false">MATCH(A2451,DATAS,0)</f>
        <v>1</v>
      </c>
      <c r="Z2451" s="39" t="n">
        <f aca="false">IF(AND(E2451&gt;0,OR(AND(B2451&gt;=1,B2451&lt;=6),B2451=10)),1,0)</f>
        <v>0</v>
      </c>
      <c r="AA2451" s="39" t="n">
        <f aca="false">IF(AND(E2451&gt;0,B2451=10),1,0)</f>
        <v>0</v>
      </c>
      <c r="AB2451" s="0" t="str">
        <f aca="false">IF(AND(C2450=C2451,Y2450=Y2451-1),Z2450,"")</f>
        <v/>
      </c>
      <c r="AC2451" s="0" t="str">
        <f aca="false">IF(AND(C2450=C2451,Y2450=Y2451-1),AA2450,"")</f>
        <v/>
      </c>
      <c r="AD2451" s="0" t="str">
        <f aca="false">IF(Y2451=1,"",IF(AND(Z2451=1,AB2451&lt;&gt;1),1,0))</f>
        <v/>
      </c>
      <c r="AE2451" s="0" t="str">
        <f aca="false">IF(Y2451=1,"",IF(AND(AA2451=1,AC2451&lt;&gt;1),1,0))</f>
        <v/>
      </c>
      <c r="AF2451" s="45" t="str">
        <f aca="false">IF(AND(E2451&gt;0,Y2451&lt;1,NOT(AND(C2452=C2451,Y2452=Y2451+1))),INDEX(DATAS,Y2451+1),"")</f>
        <v/>
      </c>
      <c r="AG2451" s="45" t="str">
        <f aca="false">IF(AND(AA2451=1,Y2451&lt;1),IF(AND(C2452=C2451,Y2452=Y2451+1),IF(AA2452=1,"",INDEX(DATAS,Y2451+1)),INDEX(DATAS,Y2451+1)),"")</f>
        <v/>
      </c>
    </row>
    <row r="2452" customFormat="false" ht="15" hidden="false" customHeight="false" outlineLevel="0" collapsed="false">
      <c r="A2452" s="45" t="n">
        <v>46309</v>
      </c>
      <c r="B2452" s="0" t="n">
        <v>8</v>
      </c>
      <c r="C2452" s="0" t="n">
        <v>6770</v>
      </c>
      <c r="E2452" s="0" t="n">
        <v>0</v>
      </c>
      <c r="F2452" s="39" t="s">
        <v>1245</v>
      </c>
      <c r="I2452" s="39" t="s">
        <v>109</v>
      </c>
      <c r="L2452" s="0" t="n">
        <v>28</v>
      </c>
      <c r="U2452" s="0" t="n">
        <v>446</v>
      </c>
      <c r="V2452" s="0" t="n">
        <v>1</v>
      </c>
      <c r="W2452" s="39" t="n">
        <f aca="false">IF(I2452="Male",0,1)</f>
        <v>1</v>
      </c>
      <c r="X2452" s="39" t="n">
        <f aca="false">IF(OR(I2452="DNB",I2452="Dry DNB"),1,0)</f>
        <v>0</v>
      </c>
      <c r="Y2452" s="39" t="n">
        <f aca="false">MATCH(A2452,DATAS,0)</f>
        <v>1</v>
      </c>
      <c r="Z2452" s="39" t="n">
        <f aca="false">IF(AND(E2452&gt;0,OR(AND(B2452&gt;=1,B2452&lt;=6),B2452=10)),1,0)</f>
        <v>0</v>
      </c>
      <c r="AA2452" s="39" t="n">
        <f aca="false">IF(AND(E2452&gt;0,B2452=10),1,0)</f>
        <v>0</v>
      </c>
      <c r="AB2452" s="0" t="str">
        <f aca="false">IF(AND(C2451=C2452,Y2451=Y2452-1),Z2451,"")</f>
        <v/>
      </c>
      <c r="AC2452" s="0" t="str">
        <f aca="false">IF(AND(C2451=C2452,Y2451=Y2452-1),AA2451,"")</f>
        <v/>
      </c>
      <c r="AD2452" s="0" t="str">
        <f aca="false">IF(Y2452=1,"",IF(AND(Z2452=1,AB2452&lt;&gt;1),1,0))</f>
        <v/>
      </c>
      <c r="AE2452" s="0" t="str">
        <f aca="false">IF(Y2452=1,"",IF(AND(AA2452=1,AC2452&lt;&gt;1),1,0))</f>
        <v/>
      </c>
      <c r="AF2452" s="45" t="str">
        <f aca="false">IF(AND(E2452&gt;0,Y2452&lt;1,NOT(AND(C2453=C2452,Y2453=Y2452+1))),INDEX(DATAS,Y2452+1),"")</f>
        <v/>
      </c>
      <c r="AG2452" s="45" t="str">
        <f aca="false">IF(AND(AA2452=1,Y2452&lt;1),IF(AND(C2453=C2452,Y2453=Y2452+1),IF(AA2453=1,"",INDEX(DATAS,Y2452+1)),INDEX(DATAS,Y2452+1)),"")</f>
        <v/>
      </c>
    </row>
    <row r="2453" customFormat="false" ht="15" hidden="false" customHeight="false" outlineLevel="0" collapsed="false">
      <c r="A2453" s="45" t="n">
        <v>46309</v>
      </c>
      <c r="B2453" s="0" t="n">
        <v>8</v>
      </c>
      <c r="C2453" s="0" t="n">
        <v>6771</v>
      </c>
      <c r="E2453" s="0" t="n">
        <v>0</v>
      </c>
      <c r="F2453" s="39" t="s">
        <v>1245</v>
      </c>
      <c r="I2453" s="39" t="s">
        <v>109</v>
      </c>
      <c r="L2453" s="0" t="n">
        <v>42</v>
      </c>
      <c r="U2453" s="0" t="n">
        <v>446</v>
      </c>
      <c r="V2453" s="0" t="n">
        <v>1</v>
      </c>
      <c r="W2453" s="39" t="n">
        <f aca="false">IF(I2453="Male",0,1)</f>
        <v>1</v>
      </c>
      <c r="X2453" s="39" t="n">
        <f aca="false">IF(OR(I2453="DNB",I2453="Dry DNB"),1,0)</f>
        <v>0</v>
      </c>
      <c r="Y2453" s="39" t="n">
        <f aca="false">MATCH(A2453,DATAS,0)</f>
        <v>1</v>
      </c>
      <c r="Z2453" s="39" t="n">
        <f aca="false">IF(AND(E2453&gt;0,OR(AND(B2453&gt;=1,B2453&lt;=6),B2453=10)),1,0)</f>
        <v>0</v>
      </c>
      <c r="AA2453" s="39" t="n">
        <f aca="false">IF(AND(E2453&gt;0,B2453=10),1,0)</f>
        <v>0</v>
      </c>
      <c r="AB2453" s="0" t="str">
        <f aca="false">IF(AND(C2452=C2453,Y2452=Y2453-1),Z2452,"")</f>
        <v/>
      </c>
      <c r="AC2453" s="0" t="str">
        <f aca="false">IF(AND(C2452=C2453,Y2452=Y2453-1),AA2452,"")</f>
        <v/>
      </c>
      <c r="AD2453" s="0" t="str">
        <f aca="false">IF(Y2453=1,"",IF(AND(Z2453=1,AB2453&lt;&gt;1),1,0))</f>
        <v/>
      </c>
      <c r="AE2453" s="0" t="str">
        <f aca="false">IF(Y2453=1,"",IF(AND(AA2453=1,AC2453&lt;&gt;1),1,0))</f>
        <v/>
      </c>
      <c r="AF2453" s="45" t="str">
        <f aca="false">IF(AND(E2453&gt;0,Y2453&lt;1,NOT(AND(C2454=C2453,Y2454=Y2453+1))),INDEX(DATAS,Y2453+1),"")</f>
        <v/>
      </c>
      <c r="AG2453" s="45" t="str">
        <f aca="false">IF(AND(AA2453=1,Y2453&lt;1),IF(AND(C2454=C2453,Y2454=Y2453+1),IF(AA2454=1,"",INDEX(DATAS,Y2453+1)),INDEX(DATAS,Y2453+1)),"")</f>
        <v/>
      </c>
    </row>
    <row r="2454" customFormat="false" ht="15" hidden="false" customHeight="false" outlineLevel="0" collapsed="false">
      <c r="A2454" s="45" t="n">
        <v>46309</v>
      </c>
      <c r="B2454" s="0" t="n">
        <v>11</v>
      </c>
      <c r="C2454" s="0" t="n">
        <v>6772</v>
      </c>
      <c r="E2454" s="0" t="n">
        <v>0</v>
      </c>
      <c r="F2454" s="39" t="s">
        <v>1245</v>
      </c>
      <c r="I2454" s="39" t="s">
        <v>138</v>
      </c>
      <c r="U2454" s="0" t="n">
        <v>446</v>
      </c>
      <c r="V2454" s="0" t="n">
        <v>3</v>
      </c>
      <c r="W2454" s="39" t="n">
        <f aca="false">IF(I2454="Male",0,1)</f>
        <v>1</v>
      </c>
      <c r="X2454" s="39" t="n">
        <f aca="false">IF(OR(I2454="DNB",I2454="Dry DNB"),1,0)</f>
        <v>0</v>
      </c>
      <c r="Y2454" s="39" t="n">
        <f aca="false">MATCH(A2454,DATAS,0)</f>
        <v>1</v>
      </c>
      <c r="Z2454" s="39" t="n">
        <f aca="false">IF(AND(E2454&gt;0,OR(AND(B2454&gt;=1,B2454&lt;=6),B2454=10)),1,0)</f>
        <v>0</v>
      </c>
      <c r="AA2454" s="39" t="n">
        <f aca="false">IF(AND(E2454&gt;0,B2454=10),1,0)</f>
        <v>0</v>
      </c>
      <c r="AB2454" s="0" t="str">
        <f aca="false">IF(AND(C2453=C2454,Y2453=Y2454-1),Z2453,"")</f>
        <v/>
      </c>
      <c r="AC2454" s="0" t="str">
        <f aca="false">IF(AND(C2453=C2454,Y2453=Y2454-1),AA2453,"")</f>
        <v/>
      </c>
      <c r="AD2454" s="0" t="str">
        <f aca="false">IF(Y2454=1,"",IF(AND(Z2454=1,AB2454&lt;&gt;1),1,0))</f>
        <v/>
      </c>
      <c r="AE2454" s="0" t="str">
        <f aca="false">IF(Y2454=1,"",IF(AND(AA2454=1,AC2454&lt;&gt;1),1,0))</f>
        <v/>
      </c>
      <c r="AF2454" s="45" t="str">
        <f aca="false">IF(AND(E2454&gt;0,Y2454&lt;1,NOT(AND(C2455=C2454,Y2455=Y2454+1))),INDEX(DATAS,Y2454+1),"")</f>
        <v/>
      </c>
      <c r="AG2454" s="45" t="str">
        <f aca="false">IF(AND(AA2454=1,Y2454&lt;1),IF(AND(C2455=C2454,Y2455=Y2454+1),IF(AA2455=1,"",INDEX(DATAS,Y2454+1)),INDEX(DATAS,Y2454+1)),"")</f>
        <v/>
      </c>
    </row>
    <row r="2455" customFormat="false" ht="15" hidden="false" customHeight="false" outlineLevel="0" collapsed="false">
      <c r="A2455" s="45" t="n">
        <v>46309</v>
      </c>
      <c r="B2455" s="0" t="n">
        <v>8</v>
      </c>
      <c r="C2455" s="0" t="n">
        <v>6773</v>
      </c>
      <c r="E2455" s="0" t="n">
        <v>0</v>
      </c>
      <c r="F2455" s="39" t="s">
        <v>1245</v>
      </c>
      <c r="I2455" s="39" t="s">
        <v>109</v>
      </c>
      <c r="L2455" s="0" t="n">
        <v>43</v>
      </c>
      <c r="U2455" s="0" t="n">
        <v>446</v>
      </c>
      <c r="V2455" s="0" t="n">
        <v>1</v>
      </c>
      <c r="W2455" s="39" t="n">
        <f aca="false">IF(I2455="Male",0,1)</f>
        <v>1</v>
      </c>
      <c r="X2455" s="39" t="n">
        <f aca="false">IF(OR(I2455="DNB",I2455="Dry DNB"),1,0)</f>
        <v>0</v>
      </c>
      <c r="Y2455" s="39" t="n">
        <f aca="false">MATCH(A2455,DATAS,0)</f>
        <v>1</v>
      </c>
      <c r="Z2455" s="39" t="n">
        <f aca="false">IF(AND(E2455&gt;0,OR(AND(B2455&gt;=1,B2455&lt;=6),B2455=10)),1,0)</f>
        <v>0</v>
      </c>
      <c r="AA2455" s="39" t="n">
        <f aca="false">IF(AND(E2455&gt;0,B2455=10),1,0)</f>
        <v>0</v>
      </c>
      <c r="AB2455" s="0" t="str">
        <f aca="false">IF(AND(C2454=C2455,Y2454=Y2455-1),Z2454,"")</f>
        <v/>
      </c>
      <c r="AC2455" s="0" t="str">
        <f aca="false">IF(AND(C2454=C2455,Y2454=Y2455-1),AA2454,"")</f>
        <v/>
      </c>
      <c r="AD2455" s="0" t="str">
        <f aca="false">IF(Y2455=1,"",IF(AND(Z2455=1,AB2455&lt;&gt;1),1,0))</f>
        <v/>
      </c>
      <c r="AE2455" s="0" t="str">
        <f aca="false">IF(Y2455=1,"",IF(AND(AA2455=1,AC2455&lt;&gt;1),1,0))</f>
        <v/>
      </c>
      <c r="AF2455" s="45" t="str">
        <f aca="false">IF(AND(E2455&gt;0,Y2455&lt;1,NOT(AND(C2456=C2455,Y2456=Y2455+1))),INDEX(DATAS,Y2455+1),"")</f>
        <v/>
      </c>
      <c r="AG2455" s="45" t="str">
        <f aca="false">IF(AND(AA2455=1,Y2455&lt;1),IF(AND(C2456=C2455,Y2456=Y2455+1),IF(AA2456=1,"",INDEX(DATAS,Y2455+1)),INDEX(DATAS,Y2455+1)),"")</f>
        <v/>
      </c>
    </row>
    <row r="2456" customFormat="false" ht="15" hidden="false" customHeight="false" outlineLevel="0" collapsed="false">
      <c r="A2456" s="45" t="n">
        <v>46309</v>
      </c>
      <c r="B2456" s="0" t="n">
        <v>8</v>
      </c>
      <c r="C2456" s="0" t="n">
        <v>6774</v>
      </c>
      <c r="E2456" s="0" t="n">
        <v>0</v>
      </c>
      <c r="F2456" s="39" t="s">
        <v>1245</v>
      </c>
      <c r="I2456" s="39" t="s">
        <v>109</v>
      </c>
      <c r="L2456" s="0" t="n">
        <v>42</v>
      </c>
      <c r="U2456" s="0" t="n">
        <v>446</v>
      </c>
      <c r="V2456" s="0" t="n">
        <v>1</v>
      </c>
      <c r="W2456" s="39" t="n">
        <f aca="false">IF(I2456="Male",0,1)</f>
        <v>1</v>
      </c>
      <c r="X2456" s="39" t="n">
        <f aca="false">IF(OR(I2456="DNB",I2456="Dry DNB"),1,0)</f>
        <v>0</v>
      </c>
      <c r="Y2456" s="39" t="n">
        <f aca="false">MATCH(A2456,DATAS,0)</f>
        <v>1</v>
      </c>
      <c r="Z2456" s="39" t="n">
        <f aca="false">IF(AND(E2456&gt;0,OR(AND(B2456&gt;=1,B2456&lt;=6),B2456=10)),1,0)</f>
        <v>0</v>
      </c>
      <c r="AA2456" s="39" t="n">
        <f aca="false">IF(AND(E2456&gt;0,B2456=10),1,0)</f>
        <v>0</v>
      </c>
      <c r="AB2456" s="0" t="str">
        <f aca="false">IF(AND(C2455=C2456,Y2455=Y2456-1),Z2455,"")</f>
        <v/>
      </c>
      <c r="AC2456" s="0" t="str">
        <f aca="false">IF(AND(C2455=C2456,Y2455=Y2456-1),AA2455,"")</f>
        <v/>
      </c>
      <c r="AD2456" s="0" t="str">
        <f aca="false">IF(Y2456=1,"",IF(AND(Z2456=1,AB2456&lt;&gt;1),1,0))</f>
        <v/>
      </c>
      <c r="AE2456" s="0" t="str">
        <f aca="false">IF(Y2456=1,"",IF(AND(AA2456=1,AC2456&lt;&gt;1),1,0))</f>
        <v/>
      </c>
      <c r="AF2456" s="45" t="str">
        <f aca="false">IF(AND(E2456&gt;0,Y2456&lt;1,NOT(AND(C2457=C2456,Y2457=Y2456+1))),INDEX(DATAS,Y2456+1),"")</f>
        <v/>
      </c>
      <c r="AG2456" s="45" t="str">
        <f aca="false">IF(AND(AA2456=1,Y2456&lt;1),IF(AND(C2457=C2456,Y2457=Y2456+1),IF(AA2457=1,"",INDEX(DATAS,Y2456+1)),INDEX(DATAS,Y2456+1)),"")</f>
        <v/>
      </c>
    </row>
    <row r="2457" customFormat="false" ht="15" hidden="false" customHeight="false" outlineLevel="0" collapsed="false">
      <c r="A2457" s="45" t="n">
        <v>46309</v>
      </c>
      <c r="B2457" s="0" t="n">
        <v>8</v>
      </c>
      <c r="C2457" s="0" t="n">
        <v>6775</v>
      </c>
      <c r="E2457" s="0" t="n">
        <v>0</v>
      </c>
      <c r="F2457" s="39" t="s">
        <v>1245</v>
      </c>
      <c r="I2457" s="39" t="s">
        <v>109</v>
      </c>
      <c r="L2457" s="0" t="n">
        <v>48</v>
      </c>
      <c r="U2457" s="0" t="n">
        <v>446</v>
      </c>
      <c r="V2457" s="0" t="n">
        <v>1</v>
      </c>
      <c r="W2457" s="39" t="n">
        <f aca="false">IF(I2457="Male",0,1)</f>
        <v>1</v>
      </c>
      <c r="X2457" s="39" t="n">
        <f aca="false">IF(OR(I2457="DNB",I2457="Dry DNB"),1,0)</f>
        <v>0</v>
      </c>
      <c r="Y2457" s="39" t="n">
        <f aca="false">MATCH(A2457,DATAS,0)</f>
        <v>1</v>
      </c>
      <c r="Z2457" s="39" t="n">
        <f aca="false">IF(AND(E2457&gt;0,OR(AND(B2457&gt;=1,B2457&lt;=6),B2457=10)),1,0)</f>
        <v>0</v>
      </c>
      <c r="AA2457" s="39" t="n">
        <f aca="false">IF(AND(E2457&gt;0,B2457=10),1,0)</f>
        <v>0</v>
      </c>
      <c r="AB2457" s="0" t="str">
        <f aca="false">IF(AND(C2456=C2457,Y2456=Y2457-1),Z2456,"")</f>
        <v/>
      </c>
      <c r="AC2457" s="0" t="str">
        <f aca="false">IF(AND(C2456=C2457,Y2456=Y2457-1),AA2456,"")</f>
        <v/>
      </c>
      <c r="AD2457" s="0" t="str">
        <f aca="false">IF(Y2457=1,"",IF(AND(Z2457=1,AB2457&lt;&gt;1),1,0))</f>
        <v/>
      </c>
      <c r="AE2457" s="0" t="str">
        <f aca="false">IF(Y2457=1,"",IF(AND(AA2457=1,AC2457&lt;&gt;1),1,0))</f>
        <v/>
      </c>
      <c r="AF2457" s="45" t="str">
        <f aca="false">IF(AND(E2457&gt;0,Y2457&lt;1,NOT(AND(C2458=C2457,Y2458=Y2457+1))),INDEX(DATAS,Y2457+1),"")</f>
        <v/>
      </c>
      <c r="AG2457" s="45" t="str">
        <f aca="false">IF(AND(AA2457=1,Y2457&lt;1),IF(AND(C2458=C2457,Y2458=Y2457+1),IF(AA2458=1,"",INDEX(DATAS,Y2457+1)),INDEX(DATAS,Y2457+1)),"")</f>
        <v/>
      </c>
    </row>
    <row r="2458" customFormat="false" ht="15" hidden="false" customHeight="false" outlineLevel="0" collapsed="false">
      <c r="A2458" s="45" t="n">
        <v>46309</v>
      </c>
      <c r="B2458" s="0" t="n">
        <v>11</v>
      </c>
      <c r="C2458" s="0" t="n">
        <v>6776</v>
      </c>
      <c r="E2458" s="0" t="n">
        <v>0</v>
      </c>
      <c r="F2458" s="39" t="s">
        <v>1245</v>
      </c>
      <c r="I2458" s="39" t="s">
        <v>138</v>
      </c>
      <c r="U2458" s="0" t="n">
        <v>446</v>
      </c>
      <c r="V2458" s="0" t="n">
        <v>3</v>
      </c>
      <c r="W2458" s="39" t="n">
        <f aca="false">IF(I2458="Male",0,1)</f>
        <v>1</v>
      </c>
      <c r="X2458" s="39" t="n">
        <f aca="false">IF(OR(I2458="DNB",I2458="Dry DNB"),1,0)</f>
        <v>0</v>
      </c>
      <c r="Y2458" s="39" t="n">
        <f aca="false">MATCH(A2458,DATAS,0)</f>
        <v>1</v>
      </c>
      <c r="Z2458" s="39" t="n">
        <f aca="false">IF(AND(E2458&gt;0,OR(AND(B2458&gt;=1,B2458&lt;=6),B2458=10)),1,0)</f>
        <v>0</v>
      </c>
      <c r="AA2458" s="39" t="n">
        <f aca="false">IF(AND(E2458&gt;0,B2458=10),1,0)</f>
        <v>0</v>
      </c>
      <c r="AB2458" s="0" t="str">
        <f aca="false">IF(AND(C2457=C2458,Y2457=Y2458-1),Z2457,"")</f>
        <v/>
      </c>
      <c r="AC2458" s="0" t="str">
        <f aca="false">IF(AND(C2457=C2458,Y2457=Y2458-1),AA2457,"")</f>
        <v/>
      </c>
      <c r="AD2458" s="0" t="str">
        <f aca="false">IF(Y2458=1,"",IF(AND(Z2458=1,AB2458&lt;&gt;1),1,0))</f>
        <v/>
      </c>
      <c r="AE2458" s="0" t="str">
        <f aca="false">IF(Y2458=1,"",IF(AND(AA2458=1,AC2458&lt;&gt;1),1,0))</f>
        <v/>
      </c>
      <c r="AF2458" s="45" t="str">
        <f aca="false">IF(AND(E2458&gt;0,Y2458&lt;1,NOT(AND(C2459=C2458,Y2459=Y2458+1))),INDEX(DATAS,Y2458+1),"")</f>
        <v/>
      </c>
      <c r="AG2458" s="45" t="str">
        <f aca="false">IF(AND(AA2458=1,Y2458&lt;1),IF(AND(C2459=C2458,Y2459=Y2458+1),IF(AA2459=1,"",INDEX(DATAS,Y2458+1)),INDEX(DATAS,Y2458+1)),"")</f>
        <v/>
      </c>
    </row>
    <row r="2459" customFormat="false" ht="15" hidden="false" customHeight="false" outlineLevel="0" collapsed="false">
      <c r="A2459" s="45" t="n">
        <v>46309</v>
      </c>
      <c r="B2459" s="0" t="n">
        <v>11</v>
      </c>
      <c r="C2459" s="0" t="n">
        <v>6777</v>
      </c>
      <c r="E2459" s="0" t="n">
        <v>0</v>
      </c>
      <c r="F2459" s="39" t="s">
        <v>1246</v>
      </c>
      <c r="I2459" s="39" t="s">
        <v>138</v>
      </c>
      <c r="U2459" s="0" t="n">
        <v>445</v>
      </c>
      <c r="V2459" s="0" t="n">
        <v>2</v>
      </c>
      <c r="W2459" s="39" t="n">
        <f aca="false">IF(I2459="Male",0,1)</f>
        <v>1</v>
      </c>
      <c r="X2459" s="39" t="n">
        <f aca="false">IF(OR(I2459="DNB",I2459="Dry DNB"),1,0)</f>
        <v>0</v>
      </c>
      <c r="Y2459" s="39" t="n">
        <f aca="false">MATCH(A2459,DATAS,0)</f>
        <v>1</v>
      </c>
      <c r="Z2459" s="39" t="n">
        <f aca="false">IF(AND(E2459&gt;0,OR(AND(B2459&gt;=1,B2459&lt;=6),B2459=10)),1,0)</f>
        <v>0</v>
      </c>
      <c r="AA2459" s="39" t="n">
        <f aca="false">IF(AND(E2459&gt;0,B2459=10),1,0)</f>
        <v>0</v>
      </c>
      <c r="AB2459" s="0" t="str">
        <f aca="false">IF(AND(C2458=C2459,Y2458=Y2459-1),Z2458,"")</f>
        <v/>
      </c>
      <c r="AC2459" s="0" t="str">
        <f aca="false">IF(AND(C2458=C2459,Y2458=Y2459-1),AA2458,"")</f>
        <v/>
      </c>
      <c r="AD2459" s="0" t="str">
        <f aca="false">IF(Y2459=1,"",IF(AND(Z2459=1,AB2459&lt;&gt;1),1,0))</f>
        <v/>
      </c>
      <c r="AE2459" s="0" t="str">
        <f aca="false">IF(Y2459=1,"",IF(AND(AA2459=1,AC2459&lt;&gt;1),1,0))</f>
        <v/>
      </c>
      <c r="AF2459" s="45" t="str">
        <f aca="false">IF(AND(E2459&gt;0,Y2459&lt;1,NOT(AND(C2460=C2459,Y2460=Y2459+1))),INDEX(DATAS,Y2459+1),"")</f>
        <v/>
      </c>
      <c r="AG2459" s="45" t="str">
        <f aca="false">IF(AND(AA2459=1,Y2459&lt;1),IF(AND(C2460=C2459,Y2460=Y2459+1),IF(AA2460=1,"",INDEX(DATAS,Y2459+1)),INDEX(DATAS,Y2459+1)),"")</f>
        <v/>
      </c>
    </row>
    <row r="2460" customFormat="false" ht="15" hidden="false" customHeight="false" outlineLevel="0" collapsed="false">
      <c r="A2460" s="45" t="n">
        <v>46309</v>
      </c>
      <c r="B2460" s="0" t="n">
        <v>8</v>
      </c>
      <c r="C2460" s="0" t="n">
        <v>6778</v>
      </c>
      <c r="E2460" s="0" t="n">
        <v>0</v>
      </c>
      <c r="F2460" s="39" t="s">
        <v>1246</v>
      </c>
      <c r="I2460" s="39" t="s">
        <v>109</v>
      </c>
      <c r="L2460" s="0" t="n">
        <v>51</v>
      </c>
      <c r="U2460" s="0" t="n">
        <v>445</v>
      </c>
      <c r="V2460" s="0" t="n">
        <v>1</v>
      </c>
      <c r="W2460" s="39" t="n">
        <f aca="false">IF(I2460="Male",0,1)</f>
        <v>1</v>
      </c>
      <c r="X2460" s="39" t="n">
        <f aca="false">IF(OR(I2460="DNB",I2460="Dry DNB"),1,0)</f>
        <v>0</v>
      </c>
      <c r="Y2460" s="39" t="n">
        <f aca="false">MATCH(A2460,DATAS,0)</f>
        <v>1</v>
      </c>
      <c r="Z2460" s="39" t="n">
        <f aca="false">IF(AND(E2460&gt;0,OR(AND(B2460&gt;=1,B2460&lt;=6),B2460=10)),1,0)</f>
        <v>0</v>
      </c>
      <c r="AA2460" s="39" t="n">
        <f aca="false">IF(AND(E2460&gt;0,B2460=10),1,0)</f>
        <v>0</v>
      </c>
      <c r="AB2460" s="0" t="str">
        <f aca="false">IF(AND(C2459=C2460,Y2459=Y2460-1),Z2459,"")</f>
        <v/>
      </c>
      <c r="AC2460" s="0" t="str">
        <f aca="false">IF(AND(C2459=C2460,Y2459=Y2460-1),AA2459,"")</f>
        <v/>
      </c>
      <c r="AD2460" s="0" t="str">
        <f aca="false">IF(Y2460=1,"",IF(AND(Z2460=1,AB2460&lt;&gt;1),1,0))</f>
        <v/>
      </c>
      <c r="AE2460" s="0" t="str">
        <f aca="false">IF(Y2460=1,"",IF(AND(AA2460=1,AC2460&lt;&gt;1),1,0))</f>
        <v/>
      </c>
      <c r="AF2460" s="45" t="str">
        <f aca="false">IF(AND(E2460&gt;0,Y2460&lt;1,NOT(AND(C2461=C2460,Y2461=Y2460+1))),INDEX(DATAS,Y2460+1),"")</f>
        <v/>
      </c>
      <c r="AG2460" s="45" t="str">
        <f aca="false">IF(AND(AA2460=1,Y2460&lt;1),IF(AND(C2461=C2460,Y2461=Y2460+1),IF(AA2461=1,"",INDEX(DATAS,Y2460+1)),INDEX(DATAS,Y2460+1)),"")</f>
        <v/>
      </c>
    </row>
    <row r="2461" customFormat="false" ht="15" hidden="false" customHeight="false" outlineLevel="0" collapsed="false">
      <c r="A2461" s="45" t="n">
        <v>46309</v>
      </c>
      <c r="B2461" s="0" t="n">
        <v>13</v>
      </c>
      <c r="C2461" s="0" t="n">
        <v>6779</v>
      </c>
      <c r="E2461" s="0" t="n">
        <v>0</v>
      </c>
      <c r="F2461" s="39" t="s">
        <v>1247</v>
      </c>
      <c r="I2461" s="39" t="s">
        <v>138</v>
      </c>
      <c r="U2461" s="0" t="n">
        <v>444</v>
      </c>
      <c r="V2461" s="0" t="n">
        <v>1</v>
      </c>
      <c r="W2461" s="39" t="n">
        <f aca="false">IF(I2461="Male",0,1)</f>
        <v>1</v>
      </c>
      <c r="X2461" s="39" t="n">
        <f aca="false">IF(OR(I2461="DNB",I2461="Dry DNB"),1,0)</f>
        <v>0</v>
      </c>
      <c r="Y2461" s="39" t="n">
        <f aca="false">MATCH(A2461,DATAS,0)</f>
        <v>1</v>
      </c>
      <c r="Z2461" s="39" t="n">
        <f aca="false">IF(AND(E2461&gt;0,OR(AND(B2461&gt;=1,B2461&lt;=6),B2461=10)),1,0)</f>
        <v>0</v>
      </c>
      <c r="AA2461" s="39" t="n">
        <f aca="false">IF(AND(E2461&gt;0,B2461=10),1,0)</f>
        <v>0</v>
      </c>
      <c r="AB2461" s="0" t="str">
        <f aca="false">IF(AND(C2460=C2461,Y2460=Y2461-1),Z2460,"")</f>
        <v/>
      </c>
      <c r="AC2461" s="0" t="str">
        <f aca="false">IF(AND(C2460=C2461,Y2460=Y2461-1),AA2460,"")</f>
        <v/>
      </c>
      <c r="AD2461" s="0" t="str">
        <f aca="false">IF(Y2461=1,"",IF(AND(Z2461=1,AB2461&lt;&gt;1),1,0))</f>
        <v/>
      </c>
      <c r="AE2461" s="0" t="str">
        <f aca="false">IF(Y2461=1,"",IF(AND(AA2461=1,AC2461&lt;&gt;1),1,0))</f>
        <v/>
      </c>
      <c r="AF2461" s="45" t="str">
        <f aca="false">IF(AND(E2461&gt;0,Y2461&lt;1,NOT(AND(C2462=C2461,Y2462=Y2461+1))),INDEX(DATAS,Y2461+1),"")</f>
        <v/>
      </c>
      <c r="AG2461" s="45" t="str">
        <f aca="false">IF(AND(AA2461=1,Y2461&lt;1),IF(AND(C2462=C2461,Y2462=Y2461+1),IF(AA2462=1,"",INDEX(DATAS,Y2461+1)),INDEX(DATAS,Y2461+1)),"")</f>
        <v/>
      </c>
    </row>
    <row r="2462" customFormat="false" ht="15" hidden="false" customHeight="false" outlineLevel="0" collapsed="false">
      <c r="A2462" s="45" t="n">
        <v>46309</v>
      </c>
      <c r="B2462" s="0" t="n">
        <v>11</v>
      </c>
      <c r="C2462" s="0" t="n">
        <v>6780</v>
      </c>
      <c r="E2462" s="0" t="n">
        <v>0</v>
      </c>
      <c r="F2462" s="39" t="s">
        <v>1247</v>
      </c>
      <c r="I2462" s="39" t="s">
        <v>138</v>
      </c>
      <c r="U2462" s="0" t="n">
        <v>444</v>
      </c>
      <c r="V2462" s="0" t="n">
        <v>2</v>
      </c>
      <c r="W2462" s="39" t="n">
        <f aca="false">IF(I2462="Male",0,1)</f>
        <v>1</v>
      </c>
      <c r="X2462" s="39" t="n">
        <f aca="false">IF(OR(I2462="DNB",I2462="Dry DNB"),1,0)</f>
        <v>0</v>
      </c>
      <c r="Y2462" s="39" t="n">
        <f aca="false">MATCH(A2462,DATAS,0)</f>
        <v>1</v>
      </c>
      <c r="Z2462" s="39" t="n">
        <f aca="false">IF(AND(E2462&gt;0,OR(AND(B2462&gt;=1,B2462&lt;=6),B2462=10)),1,0)</f>
        <v>0</v>
      </c>
      <c r="AA2462" s="39" t="n">
        <f aca="false">IF(AND(E2462&gt;0,B2462=10),1,0)</f>
        <v>0</v>
      </c>
      <c r="AB2462" s="0" t="str">
        <f aca="false">IF(AND(C2461=C2462,Y2461=Y2462-1),Z2461,"")</f>
        <v/>
      </c>
      <c r="AC2462" s="0" t="str">
        <f aca="false">IF(AND(C2461=C2462,Y2461=Y2462-1),AA2461,"")</f>
        <v/>
      </c>
      <c r="AD2462" s="0" t="str">
        <f aca="false">IF(Y2462=1,"",IF(AND(Z2462=1,AB2462&lt;&gt;1),1,0))</f>
        <v/>
      </c>
      <c r="AE2462" s="0" t="str">
        <f aca="false">IF(Y2462=1,"",IF(AND(AA2462=1,AC2462&lt;&gt;1),1,0))</f>
        <v/>
      </c>
      <c r="AF2462" s="45" t="str">
        <f aca="false">IF(AND(E2462&gt;0,Y2462&lt;1,NOT(AND(C2463=C2462,Y2463=Y2462+1))),INDEX(DATAS,Y2462+1),"")</f>
        <v/>
      </c>
      <c r="AG2462" s="45" t="str">
        <f aca="false">IF(AND(AA2462=1,Y2462&lt;1),IF(AND(C2463=C2462,Y2463=Y2462+1),IF(AA2463=1,"",INDEX(DATAS,Y2462+1)),INDEX(DATAS,Y2462+1)),"")</f>
        <v/>
      </c>
    </row>
    <row r="2463" customFormat="false" ht="15" hidden="false" customHeight="false" outlineLevel="0" collapsed="false">
      <c r="A2463" s="45" t="n">
        <v>46309</v>
      </c>
      <c r="B2463" s="0" t="n">
        <v>11</v>
      </c>
      <c r="C2463" s="0" t="n">
        <v>6781</v>
      </c>
      <c r="E2463" s="0" t="n">
        <v>0</v>
      </c>
      <c r="F2463" s="39" t="s">
        <v>1247</v>
      </c>
      <c r="I2463" s="39" t="s">
        <v>138</v>
      </c>
      <c r="U2463" s="0" t="n">
        <v>444</v>
      </c>
      <c r="V2463" s="0" t="n">
        <v>1</v>
      </c>
      <c r="W2463" s="39" t="n">
        <f aca="false">IF(I2463="Male",0,1)</f>
        <v>1</v>
      </c>
      <c r="X2463" s="39" t="n">
        <f aca="false">IF(OR(I2463="DNB",I2463="Dry DNB"),1,0)</f>
        <v>0</v>
      </c>
      <c r="Y2463" s="39" t="n">
        <f aca="false">MATCH(A2463,DATAS,0)</f>
        <v>1</v>
      </c>
      <c r="Z2463" s="39" t="n">
        <f aca="false">IF(AND(E2463&gt;0,OR(AND(B2463&gt;=1,B2463&lt;=6),B2463=10)),1,0)</f>
        <v>0</v>
      </c>
      <c r="AA2463" s="39" t="n">
        <f aca="false">IF(AND(E2463&gt;0,B2463=10),1,0)</f>
        <v>0</v>
      </c>
      <c r="AB2463" s="0" t="str">
        <f aca="false">IF(AND(C2462=C2463,Y2462=Y2463-1),Z2462,"")</f>
        <v/>
      </c>
      <c r="AC2463" s="0" t="str">
        <f aca="false">IF(AND(C2462=C2463,Y2462=Y2463-1),AA2462,"")</f>
        <v/>
      </c>
      <c r="AD2463" s="0" t="str">
        <f aca="false">IF(Y2463=1,"",IF(AND(Z2463=1,AB2463&lt;&gt;1),1,0))</f>
        <v/>
      </c>
      <c r="AE2463" s="0" t="str">
        <f aca="false">IF(Y2463=1,"",IF(AND(AA2463=1,AC2463&lt;&gt;1),1,0))</f>
        <v/>
      </c>
      <c r="AF2463" s="45" t="str">
        <f aca="false">IF(AND(E2463&gt;0,Y2463&lt;1,NOT(AND(C2464=C2463,Y2464=Y2463+1))),INDEX(DATAS,Y2463+1),"")</f>
        <v/>
      </c>
      <c r="AG2463" s="45" t="str">
        <f aca="false">IF(AND(AA2463=1,Y2463&lt;1),IF(AND(C2464=C2463,Y2464=Y2463+1),IF(AA2464=1,"",INDEX(DATAS,Y2463+1)),INDEX(DATAS,Y2463+1)),"")</f>
        <v/>
      </c>
    </row>
    <row r="2464" customFormat="false" ht="15" hidden="false" customHeight="false" outlineLevel="0" collapsed="false">
      <c r="A2464" s="45" t="n">
        <v>46309</v>
      </c>
      <c r="B2464" s="0" t="n">
        <v>13</v>
      </c>
      <c r="C2464" s="0" t="n">
        <v>6782</v>
      </c>
      <c r="E2464" s="0" t="n">
        <v>0</v>
      </c>
      <c r="F2464" s="39" t="s">
        <v>1247</v>
      </c>
      <c r="I2464" s="39" t="s">
        <v>146</v>
      </c>
      <c r="U2464" s="0" t="n">
        <v>444</v>
      </c>
      <c r="V2464" s="0" t="n">
        <v>0</v>
      </c>
      <c r="W2464" s="39" t="n">
        <f aca="false">IF(I2464="Male",0,1)</f>
        <v>1</v>
      </c>
      <c r="X2464" s="39" t="n">
        <f aca="false">IF(OR(I2464="DNB",I2464="Dry DNB"),1,0)</f>
        <v>0</v>
      </c>
      <c r="Y2464" s="39" t="n">
        <f aca="false">MATCH(A2464,DATAS,0)</f>
        <v>1</v>
      </c>
      <c r="Z2464" s="39" t="n">
        <f aca="false">IF(AND(E2464&gt;0,OR(AND(B2464&gt;=1,B2464&lt;=6),B2464=10)),1,0)</f>
        <v>0</v>
      </c>
      <c r="AA2464" s="39" t="n">
        <f aca="false">IF(AND(E2464&gt;0,B2464=10),1,0)</f>
        <v>0</v>
      </c>
      <c r="AB2464" s="0" t="str">
        <f aca="false">IF(AND(C2463=C2464,Y2463=Y2464-1),Z2463,"")</f>
        <v/>
      </c>
      <c r="AC2464" s="0" t="str">
        <f aca="false">IF(AND(C2463=C2464,Y2463=Y2464-1),AA2463,"")</f>
        <v/>
      </c>
      <c r="AD2464" s="0" t="str">
        <f aca="false">IF(Y2464=1,"",IF(AND(Z2464=1,AB2464&lt;&gt;1),1,0))</f>
        <v/>
      </c>
      <c r="AE2464" s="0" t="str">
        <f aca="false">IF(Y2464=1,"",IF(AND(AA2464=1,AC2464&lt;&gt;1),1,0))</f>
        <v/>
      </c>
      <c r="AF2464" s="45" t="str">
        <f aca="false">IF(AND(E2464&gt;0,Y2464&lt;1,NOT(AND(C2465=C2464,Y2465=Y2464+1))),INDEX(DATAS,Y2464+1),"")</f>
        <v/>
      </c>
      <c r="AG2464" s="45" t="str">
        <f aca="false">IF(AND(AA2464=1,Y2464&lt;1),IF(AND(C2465=C2464,Y2465=Y2464+1),IF(AA2465=1,"",INDEX(DATAS,Y2464+1)),INDEX(DATAS,Y2464+1)),"")</f>
        <v/>
      </c>
    </row>
    <row r="2465" customFormat="false" ht="15" hidden="false" customHeight="false" outlineLevel="0" collapsed="false">
      <c r="A2465" s="45" t="n">
        <v>46309</v>
      </c>
      <c r="B2465" s="0" t="n">
        <v>8</v>
      </c>
      <c r="C2465" s="0" t="n">
        <v>6783</v>
      </c>
      <c r="E2465" s="0" t="n">
        <v>0</v>
      </c>
      <c r="F2465" s="39" t="s">
        <v>1247</v>
      </c>
      <c r="I2465" s="39" t="s">
        <v>109</v>
      </c>
      <c r="L2465" s="0" t="n">
        <v>42</v>
      </c>
      <c r="U2465" s="0" t="n">
        <v>444</v>
      </c>
      <c r="V2465" s="0" t="n">
        <v>1</v>
      </c>
      <c r="W2465" s="39" t="n">
        <f aca="false">IF(I2465="Male",0,1)</f>
        <v>1</v>
      </c>
      <c r="X2465" s="39" t="n">
        <f aca="false">IF(OR(I2465="DNB",I2465="Dry DNB"),1,0)</f>
        <v>0</v>
      </c>
      <c r="Y2465" s="39" t="n">
        <f aca="false">MATCH(A2465,DATAS,0)</f>
        <v>1</v>
      </c>
      <c r="Z2465" s="39" t="n">
        <f aca="false">IF(AND(E2465&gt;0,OR(AND(B2465&gt;=1,B2465&lt;=6),B2465=10)),1,0)</f>
        <v>0</v>
      </c>
      <c r="AA2465" s="39" t="n">
        <f aca="false">IF(AND(E2465&gt;0,B2465=10),1,0)</f>
        <v>0</v>
      </c>
      <c r="AB2465" s="0" t="str">
        <f aca="false">IF(AND(C2464=C2465,Y2464=Y2465-1),Z2464,"")</f>
        <v/>
      </c>
      <c r="AC2465" s="0" t="str">
        <f aca="false">IF(AND(C2464=C2465,Y2464=Y2465-1),AA2464,"")</f>
        <v/>
      </c>
      <c r="AD2465" s="0" t="str">
        <f aca="false">IF(Y2465=1,"",IF(AND(Z2465=1,AB2465&lt;&gt;1),1,0))</f>
        <v/>
      </c>
      <c r="AE2465" s="0" t="str">
        <f aca="false">IF(Y2465=1,"",IF(AND(AA2465=1,AC2465&lt;&gt;1),1,0))</f>
        <v/>
      </c>
      <c r="AF2465" s="45" t="str">
        <f aca="false">IF(AND(E2465&gt;0,Y2465&lt;1,NOT(AND(C2466=C2465,Y2466=Y2465+1))),INDEX(DATAS,Y2465+1),"")</f>
        <v/>
      </c>
      <c r="AG2465" s="45" t="str">
        <f aca="false">IF(AND(AA2465=1,Y2465&lt;1),IF(AND(C2466=C2465,Y2466=Y2465+1),IF(AA2466=1,"",INDEX(DATAS,Y2465+1)),INDEX(DATAS,Y2465+1)),"")</f>
        <v/>
      </c>
    </row>
    <row r="2466" customFormat="false" ht="15" hidden="false" customHeight="false" outlineLevel="0" collapsed="false">
      <c r="A2466" s="45" t="n">
        <v>46309</v>
      </c>
      <c r="B2466" s="0" t="n">
        <v>11</v>
      </c>
      <c r="C2466" s="0" t="n">
        <v>6785</v>
      </c>
      <c r="E2466" s="0" t="n">
        <v>0</v>
      </c>
      <c r="F2466" s="39" t="s">
        <v>1248</v>
      </c>
      <c r="I2466" s="39" t="s">
        <v>138</v>
      </c>
      <c r="U2466" s="0" t="n">
        <v>443</v>
      </c>
      <c r="V2466" s="0" t="n">
        <v>3</v>
      </c>
      <c r="W2466" s="39" t="n">
        <f aca="false">IF(I2466="Male",0,1)</f>
        <v>1</v>
      </c>
      <c r="X2466" s="39" t="n">
        <f aca="false">IF(OR(I2466="DNB",I2466="Dry DNB"),1,0)</f>
        <v>0</v>
      </c>
      <c r="Y2466" s="39" t="n">
        <f aca="false">MATCH(A2466,DATAS,0)</f>
        <v>1</v>
      </c>
      <c r="Z2466" s="39" t="n">
        <f aca="false">IF(AND(E2466&gt;0,OR(AND(B2466&gt;=1,B2466&lt;=6),B2466=10)),1,0)</f>
        <v>0</v>
      </c>
      <c r="AA2466" s="39" t="n">
        <f aca="false">IF(AND(E2466&gt;0,B2466=10),1,0)</f>
        <v>0</v>
      </c>
      <c r="AB2466" s="0" t="str">
        <f aca="false">IF(AND(C2465=C2466,Y2465=Y2466-1),Z2465,"")</f>
        <v/>
      </c>
      <c r="AC2466" s="0" t="str">
        <f aca="false">IF(AND(C2465=C2466,Y2465=Y2466-1),AA2465,"")</f>
        <v/>
      </c>
      <c r="AD2466" s="0" t="str">
        <f aca="false">IF(Y2466=1,"",IF(AND(Z2466=1,AB2466&lt;&gt;1),1,0))</f>
        <v/>
      </c>
      <c r="AE2466" s="0" t="str">
        <f aca="false">IF(Y2466=1,"",IF(AND(AA2466=1,AC2466&lt;&gt;1),1,0))</f>
        <v/>
      </c>
      <c r="AF2466" s="45" t="str">
        <f aca="false">IF(AND(E2466&gt;0,Y2466&lt;1,NOT(AND(C2467=C2466,Y2467=Y2466+1))),INDEX(DATAS,Y2466+1),"")</f>
        <v/>
      </c>
      <c r="AG2466" s="45" t="str">
        <f aca="false">IF(AND(AA2466=1,Y2466&lt;1),IF(AND(C2467=C2466,Y2467=Y2466+1),IF(AA2467=1,"",INDEX(DATAS,Y2466+1)),INDEX(DATAS,Y2466+1)),"")</f>
        <v/>
      </c>
    </row>
    <row r="2467" customFormat="false" ht="15" hidden="false" customHeight="false" outlineLevel="0" collapsed="false">
      <c r="A2467" s="45" t="n">
        <v>46309</v>
      </c>
      <c r="B2467" s="0" t="n">
        <v>11</v>
      </c>
      <c r="C2467" s="0" t="n">
        <v>6786</v>
      </c>
      <c r="E2467" s="0" t="n">
        <v>0</v>
      </c>
      <c r="F2467" s="39" t="s">
        <v>1248</v>
      </c>
      <c r="I2467" s="39" t="s">
        <v>138</v>
      </c>
      <c r="U2467" s="0" t="n">
        <v>443</v>
      </c>
      <c r="V2467" s="0" t="n">
        <v>2</v>
      </c>
      <c r="W2467" s="39" t="n">
        <f aca="false">IF(I2467="Male",0,1)</f>
        <v>1</v>
      </c>
      <c r="X2467" s="39" t="n">
        <f aca="false">IF(OR(I2467="DNB",I2467="Dry DNB"),1,0)</f>
        <v>0</v>
      </c>
      <c r="Y2467" s="39" t="n">
        <f aca="false">MATCH(A2467,DATAS,0)</f>
        <v>1</v>
      </c>
      <c r="Z2467" s="39" t="n">
        <f aca="false">IF(AND(E2467&gt;0,OR(AND(B2467&gt;=1,B2467&lt;=6),B2467=10)),1,0)</f>
        <v>0</v>
      </c>
      <c r="AA2467" s="39" t="n">
        <f aca="false">IF(AND(E2467&gt;0,B2467=10),1,0)</f>
        <v>0</v>
      </c>
      <c r="AB2467" s="0" t="str">
        <f aca="false">IF(AND(C2466=C2467,Y2466=Y2467-1),Z2466,"")</f>
        <v/>
      </c>
      <c r="AC2467" s="0" t="str">
        <f aca="false">IF(AND(C2466=C2467,Y2466=Y2467-1),AA2466,"")</f>
        <v/>
      </c>
      <c r="AD2467" s="0" t="str">
        <f aca="false">IF(Y2467=1,"",IF(AND(Z2467=1,AB2467&lt;&gt;1),1,0))</f>
        <v/>
      </c>
      <c r="AE2467" s="0" t="str">
        <f aca="false">IF(Y2467=1,"",IF(AND(AA2467=1,AC2467&lt;&gt;1),1,0))</f>
        <v/>
      </c>
      <c r="AF2467" s="45" t="str">
        <f aca="false">IF(AND(E2467&gt;0,Y2467&lt;1,NOT(AND(C2468=C2467,Y2468=Y2467+1))),INDEX(DATAS,Y2467+1),"")</f>
        <v/>
      </c>
      <c r="AG2467" s="45" t="str">
        <f aca="false">IF(AND(AA2467=1,Y2467&lt;1),IF(AND(C2468=C2467,Y2468=Y2467+1),IF(AA2468=1,"",INDEX(DATAS,Y2467+1)),INDEX(DATAS,Y2467+1)),"")</f>
        <v/>
      </c>
    </row>
    <row r="2468" customFormat="false" ht="15" hidden="false" customHeight="false" outlineLevel="0" collapsed="false">
      <c r="A2468" s="45" t="n">
        <v>46309</v>
      </c>
      <c r="B2468" s="0" t="n">
        <v>11</v>
      </c>
      <c r="C2468" s="0" t="n">
        <v>6787</v>
      </c>
      <c r="E2468" s="0" t="n">
        <v>0</v>
      </c>
      <c r="F2468" s="39" t="s">
        <v>1248</v>
      </c>
      <c r="I2468" s="39" t="s">
        <v>146</v>
      </c>
      <c r="U2468" s="0" t="n">
        <v>443</v>
      </c>
      <c r="V2468" s="0" t="n">
        <v>1</v>
      </c>
      <c r="W2468" s="39" t="n">
        <f aca="false">IF(I2468="Male",0,1)</f>
        <v>1</v>
      </c>
      <c r="X2468" s="39" t="n">
        <f aca="false">IF(OR(I2468="DNB",I2468="Dry DNB"),1,0)</f>
        <v>0</v>
      </c>
      <c r="Y2468" s="39" t="n">
        <f aca="false">MATCH(A2468,DATAS,0)</f>
        <v>1</v>
      </c>
      <c r="Z2468" s="39" t="n">
        <f aca="false">IF(AND(E2468&gt;0,OR(AND(B2468&gt;=1,B2468&lt;=6),B2468=10)),1,0)</f>
        <v>0</v>
      </c>
      <c r="AA2468" s="39" t="n">
        <f aca="false">IF(AND(E2468&gt;0,B2468=10),1,0)</f>
        <v>0</v>
      </c>
      <c r="AB2468" s="0" t="str">
        <f aca="false">IF(AND(C2467=C2468,Y2467=Y2468-1),Z2467,"")</f>
        <v/>
      </c>
      <c r="AC2468" s="0" t="str">
        <f aca="false">IF(AND(C2467=C2468,Y2467=Y2468-1),AA2467,"")</f>
        <v/>
      </c>
      <c r="AD2468" s="0" t="str">
        <f aca="false">IF(Y2468=1,"",IF(AND(Z2468=1,AB2468&lt;&gt;1),1,0))</f>
        <v/>
      </c>
      <c r="AE2468" s="0" t="str">
        <f aca="false">IF(Y2468=1,"",IF(AND(AA2468=1,AC2468&lt;&gt;1),1,0))</f>
        <v/>
      </c>
      <c r="AF2468" s="45" t="str">
        <f aca="false">IF(AND(E2468&gt;0,Y2468&lt;1,NOT(AND(C2469=C2468,Y2469=Y2468+1))),INDEX(DATAS,Y2468+1),"")</f>
        <v/>
      </c>
      <c r="AG2468" s="45" t="str">
        <f aca="false">IF(AND(AA2468=1,Y2468&lt;1),IF(AND(C2469=C2468,Y2469=Y2468+1),IF(AA2469=1,"",INDEX(DATAS,Y2468+1)),INDEX(DATAS,Y2468+1)),"")</f>
        <v/>
      </c>
    </row>
    <row r="2469" customFormat="false" ht="15" hidden="false" customHeight="false" outlineLevel="0" collapsed="false">
      <c r="A2469" s="45" t="n">
        <v>46309</v>
      </c>
      <c r="B2469" s="0" t="n">
        <v>13</v>
      </c>
      <c r="C2469" s="0" t="n">
        <v>6788</v>
      </c>
      <c r="E2469" s="0" t="n">
        <v>0</v>
      </c>
      <c r="F2469" s="39" t="s">
        <v>1248</v>
      </c>
      <c r="I2469" s="39" t="s">
        <v>146</v>
      </c>
      <c r="U2469" s="0" t="n">
        <v>443</v>
      </c>
      <c r="V2469" s="0" t="n">
        <v>0</v>
      </c>
      <c r="W2469" s="39" t="n">
        <f aca="false">IF(I2469="Male",0,1)</f>
        <v>1</v>
      </c>
      <c r="X2469" s="39" t="n">
        <f aca="false">IF(OR(I2469="DNB",I2469="Dry DNB"),1,0)</f>
        <v>0</v>
      </c>
      <c r="Y2469" s="39" t="n">
        <f aca="false">MATCH(A2469,DATAS,0)</f>
        <v>1</v>
      </c>
      <c r="Z2469" s="39" t="n">
        <f aca="false">IF(AND(E2469&gt;0,OR(AND(B2469&gt;=1,B2469&lt;=6),B2469=10)),1,0)</f>
        <v>0</v>
      </c>
      <c r="AA2469" s="39" t="n">
        <f aca="false">IF(AND(E2469&gt;0,B2469=10),1,0)</f>
        <v>0</v>
      </c>
      <c r="AB2469" s="0" t="str">
        <f aca="false">IF(AND(C2468=C2469,Y2468=Y2469-1),Z2468,"")</f>
        <v/>
      </c>
      <c r="AC2469" s="0" t="str">
        <f aca="false">IF(AND(C2468=C2469,Y2468=Y2469-1),AA2468,"")</f>
        <v/>
      </c>
      <c r="AD2469" s="0" t="str">
        <f aca="false">IF(Y2469=1,"",IF(AND(Z2469=1,AB2469&lt;&gt;1),1,0))</f>
        <v/>
      </c>
      <c r="AE2469" s="0" t="str">
        <f aca="false">IF(Y2469=1,"",IF(AND(AA2469=1,AC2469&lt;&gt;1),1,0))</f>
        <v/>
      </c>
      <c r="AF2469" s="45" t="str">
        <f aca="false">IF(AND(E2469&gt;0,Y2469&lt;1,NOT(AND(C2470=C2469,Y2470=Y2469+1))),INDEX(DATAS,Y2469+1),"")</f>
        <v/>
      </c>
      <c r="AG2469" s="45" t="str">
        <f aca="false">IF(AND(AA2469=1,Y2469&lt;1),IF(AND(C2470=C2469,Y2470=Y2469+1),IF(AA2470=1,"",INDEX(DATAS,Y2469+1)),INDEX(DATAS,Y2469+1)),"")</f>
        <v/>
      </c>
    </row>
    <row r="2470" customFormat="false" ht="15" hidden="false" customHeight="false" outlineLevel="0" collapsed="false">
      <c r="A2470" s="45" t="n">
        <v>46309</v>
      </c>
      <c r="B2470" s="0" t="n">
        <v>8</v>
      </c>
      <c r="C2470" s="0" t="n">
        <v>6789</v>
      </c>
      <c r="E2470" s="0" t="n">
        <v>0</v>
      </c>
      <c r="F2470" s="39" t="s">
        <v>1249</v>
      </c>
      <c r="I2470" s="39" t="s">
        <v>109</v>
      </c>
      <c r="L2470" s="0" t="n">
        <v>43</v>
      </c>
      <c r="U2470" s="0" t="n">
        <v>442</v>
      </c>
      <c r="V2470" s="0" t="n">
        <v>1</v>
      </c>
      <c r="W2470" s="39" t="n">
        <f aca="false">IF(I2470="Male",0,1)</f>
        <v>1</v>
      </c>
      <c r="X2470" s="39" t="n">
        <f aca="false">IF(OR(I2470="DNB",I2470="Dry DNB"),1,0)</f>
        <v>0</v>
      </c>
      <c r="Y2470" s="39" t="n">
        <f aca="false">MATCH(A2470,DATAS,0)</f>
        <v>1</v>
      </c>
      <c r="Z2470" s="39" t="n">
        <f aca="false">IF(AND(E2470&gt;0,OR(AND(B2470&gt;=1,B2470&lt;=6),B2470=10)),1,0)</f>
        <v>0</v>
      </c>
      <c r="AA2470" s="39" t="n">
        <f aca="false">IF(AND(E2470&gt;0,B2470=10),1,0)</f>
        <v>0</v>
      </c>
      <c r="AB2470" s="0" t="str">
        <f aca="false">IF(AND(C2469=C2470,Y2469=Y2470-1),Z2469,"")</f>
        <v/>
      </c>
      <c r="AC2470" s="0" t="str">
        <f aca="false">IF(AND(C2469=C2470,Y2469=Y2470-1),AA2469,"")</f>
        <v/>
      </c>
      <c r="AD2470" s="0" t="str">
        <f aca="false">IF(Y2470=1,"",IF(AND(Z2470=1,AB2470&lt;&gt;1),1,0))</f>
        <v/>
      </c>
      <c r="AE2470" s="0" t="str">
        <f aca="false">IF(Y2470=1,"",IF(AND(AA2470=1,AC2470&lt;&gt;1),1,0))</f>
        <v/>
      </c>
      <c r="AF2470" s="45" t="str">
        <f aca="false">IF(AND(E2470&gt;0,Y2470&lt;1,NOT(AND(C2471=C2470,Y2471=Y2470+1))),INDEX(DATAS,Y2470+1),"")</f>
        <v/>
      </c>
      <c r="AG2470" s="45" t="str">
        <f aca="false">IF(AND(AA2470=1,Y2470&lt;1),IF(AND(C2471=C2470,Y2471=Y2470+1),IF(AA2471=1,"",INDEX(DATAS,Y2470+1)),INDEX(DATAS,Y2470+1)),"")</f>
        <v/>
      </c>
    </row>
    <row r="2471" customFormat="false" ht="15" hidden="false" customHeight="false" outlineLevel="0" collapsed="false">
      <c r="A2471" s="45" t="n">
        <v>46309</v>
      </c>
      <c r="B2471" s="0" t="n">
        <v>8</v>
      </c>
      <c r="C2471" s="0" t="n">
        <v>6790</v>
      </c>
      <c r="E2471" s="0" t="n">
        <v>0</v>
      </c>
      <c r="F2471" s="39" t="s">
        <v>1249</v>
      </c>
      <c r="I2471" s="39" t="s">
        <v>109</v>
      </c>
      <c r="L2471" s="0" t="n">
        <v>47</v>
      </c>
      <c r="U2471" s="0" t="n">
        <v>442</v>
      </c>
      <c r="V2471" s="0" t="n">
        <v>1</v>
      </c>
      <c r="W2471" s="39" t="n">
        <f aca="false">IF(I2471="Male",0,1)</f>
        <v>1</v>
      </c>
      <c r="X2471" s="39" t="n">
        <f aca="false">IF(OR(I2471="DNB",I2471="Dry DNB"),1,0)</f>
        <v>0</v>
      </c>
      <c r="Y2471" s="39" t="n">
        <f aca="false">MATCH(A2471,DATAS,0)</f>
        <v>1</v>
      </c>
      <c r="Z2471" s="39" t="n">
        <f aca="false">IF(AND(E2471&gt;0,OR(AND(B2471&gt;=1,B2471&lt;=6),B2471=10)),1,0)</f>
        <v>0</v>
      </c>
      <c r="AA2471" s="39" t="n">
        <f aca="false">IF(AND(E2471&gt;0,B2471=10),1,0)</f>
        <v>0</v>
      </c>
      <c r="AB2471" s="0" t="str">
        <f aca="false">IF(AND(C2470=C2471,Y2470=Y2471-1),Z2470,"")</f>
        <v/>
      </c>
      <c r="AC2471" s="0" t="str">
        <f aca="false">IF(AND(C2470=C2471,Y2470=Y2471-1),AA2470,"")</f>
        <v/>
      </c>
      <c r="AD2471" s="0" t="str">
        <f aca="false">IF(Y2471=1,"",IF(AND(Z2471=1,AB2471&lt;&gt;1),1,0))</f>
        <v/>
      </c>
      <c r="AE2471" s="0" t="str">
        <f aca="false">IF(Y2471=1,"",IF(AND(AA2471=1,AC2471&lt;&gt;1),1,0))</f>
        <v/>
      </c>
      <c r="AF2471" s="45" t="str">
        <f aca="false">IF(AND(E2471&gt;0,Y2471&lt;1,NOT(AND(C2472=C2471,Y2472=Y2471+1))),INDEX(DATAS,Y2471+1),"")</f>
        <v/>
      </c>
      <c r="AG2471" s="45" t="str">
        <f aca="false">IF(AND(AA2471=1,Y2471&lt;1),IF(AND(C2472=C2471,Y2472=Y2471+1),IF(AA2472=1,"",INDEX(DATAS,Y2471+1)),INDEX(DATAS,Y2471+1)),"")</f>
        <v/>
      </c>
    </row>
    <row r="2472" customFormat="false" ht="15" hidden="false" customHeight="false" outlineLevel="0" collapsed="false">
      <c r="A2472" s="45" t="n">
        <v>46309</v>
      </c>
      <c r="B2472" s="0" t="n">
        <v>13</v>
      </c>
      <c r="C2472" s="0" t="n">
        <v>6791</v>
      </c>
      <c r="E2472" s="0" t="n">
        <v>0</v>
      </c>
      <c r="F2472" s="39" t="s">
        <v>1249</v>
      </c>
      <c r="I2472" s="39" t="s">
        <v>146</v>
      </c>
      <c r="U2472" s="0" t="n">
        <v>442</v>
      </c>
      <c r="V2472" s="0" t="n">
        <v>0</v>
      </c>
      <c r="W2472" s="39" t="n">
        <f aca="false">IF(I2472="Male",0,1)</f>
        <v>1</v>
      </c>
      <c r="X2472" s="39" t="n">
        <f aca="false">IF(OR(I2472="DNB",I2472="Dry DNB"),1,0)</f>
        <v>0</v>
      </c>
      <c r="Y2472" s="39" t="n">
        <f aca="false">MATCH(A2472,DATAS,0)</f>
        <v>1</v>
      </c>
      <c r="Z2472" s="39" t="n">
        <f aca="false">IF(AND(E2472&gt;0,OR(AND(B2472&gt;=1,B2472&lt;=6),B2472=10)),1,0)</f>
        <v>0</v>
      </c>
      <c r="AA2472" s="39" t="n">
        <f aca="false">IF(AND(E2472&gt;0,B2472=10),1,0)</f>
        <v>0</v>
      </c>
      <c r="AB2472" s="0" t="str">
        <f aca="false">IF(AND(C2471=C2472,Y2471=Y2472-1),Z2471,"")</f>
        <v/>
      </c>
      <c r="AC2472" s="0" t="str">
        <f aca="false">IF(AND(C2471=C2472,Y2471=Y2472-1),AA2471,"")</f>
        <v/>
      </c>
      <c r="AD2472" s="0" t="str">
        <f aca="false">IF(Y2472=1,"",IF(AND(Z2472=1,AB2472&lt;&gt;1),1,0))</f>
        <v/>
      </c>
      <c r="AE2472" s="0" t="str">
        <f aca="false">IF(Y2472=1,"",IF(AND(AA2472=1,AC2472&lt;&gt;1),1,0))</f>
        <v/>
      </c>
      <c r="AF2472" s="45" t="str">
        <f aca="false">IF(AND(E2472&gt;0,Y2472&lt;1,NOT(AND(C2473=C2472,Y2473=Y2472+1))),INDEX(DATAS,Y2472+1),"")</f>
        <v/>
      </c>
      <c r="AG2472" s="45" t="str">
        <f aca="false">IF(AND(AA2472=1,Y2472&lt;1),IF(AND(C2473=C2472,Y2473=Y2472+1),IF(AA2473=1,"",INDEX(DATAS,Y2472+1)),INDEX(DATAS,Y2472+1)),"")</f>
        <v/>
      </c>
    </row>
    <row r="2473" customFormat="false" ht="15" hidden="false" customHeight="false" outlineLevel="0" collapsed="false">
      <c r="A2473" s="45" t="n">
        <v>46309</v>
      </c>
      <c r="B2473" s="0" t="n">
        <v>8</v>
      </c>
      <c r="C2473" s="0" t="n">
        <v>6792</v>
      </c>
      <c r="E2473" s="0" t="n">
        <v>0</v>
      </c>
      <c r="F2473" s="39" t="s">
        <v>1249</v>
      </c>
      <c r="I2473" s="39" t="s">
        <v>109</v>
      </c>
      <c r="L2473" s="0" t="n">
        <v>41</v>
      </c>
      <c r="U2473" s="0" t="n">
        <v>442</v>
      </c>
      <c r="V2473" s="0" t="n">
        <v>1</v>
      </c>
      <c r="W2473" s="39" t="n">
        <f aca="false">IF(I2473="Male",0,1)</f>
        <v>1</v>
      </c>
      <c r="X2473" s="39" t="n">
        <f aca="false">IF(OR(I2473="DNB",I2473="Dry DNB"),1,0)</f>
        <v>0</v>
      </c>
      <c r="Y2473" s="39" t="n">
        <f aca="false">MATCH(A2473,DATAS,0)</f>
        <v>1</v>
      </c>
      <c r="Z2473" s="39" t="n">
        <f aca="false">IF(AND(E2473&gt;0,OR(AND(B2473&gt;=1,B2473&lt;=6),B2473=10)),1,0)</f>
        <v>0</v>
      </c>
      <c r="AA2473" s="39" t="n">
        <f aca="false">IF(AND(E2473&gt;0,B2473=10),1,0)</f>
        <v>0</v>
      </c>
      <c r="AB2473" s="0" t="str">
        <f aca="false">IF(AND(C2472=C2473,Y2472=Y2473-1),Z2472,"")</f>
        <v/>
      </c>
      <c r="AC2473" s="0" t="str">
        <f aca="false">IF(AND(C2472=C2473,Y2472=Y2473-1),AA2472,"")</f>
        <v/>
      </c>
      <c r="AD2473" s="0" t="str">
        <f aca="false">IF(Y2473=1,"",IF(AND(Z2473=1,AB2473&lt;&gt;1),1,0))</f>
        <v/>
      </c>
      <c r="AE2473" s="0" t="str">
        <f aca="false">IF(Y2473=1,"",IF(AND(AA2473=1,AC2473&lt;&gt;1),1,0))</f>
        <v/>
      </c>
      <c r="AF2473" s="45" t="str">
        <f aca="false">IF(AND(E2473&gt;0,Y2473&lt;1,NOT(AND(C2474=C2473,Y2474=Y2473+1))),INDEX(DATAS,Y2473+1),"")</f>
        <v/>
      </c>
      <c r="AG2473" s="45" t="str">
        <f aca="false">IF(AND(AA2473=1,Y2473&lt;1),IF(AND(C2474=C2473,Y2474=Y2473+1),IF(AA2474=1,"",INDEX(DATAS,Y2473+1)),INDEX(DATAS,Y2473+1)),"")</f>
        <v/>
      </c>
    </row>
    <row r="2474" customFormat="false" ht="15" hidden="false" customHeight="false" outlineLevel="0" collapsed="false">
      <c r="A2474" s="45" t="n">
        <v>46309</v>
      </c>
      <c r="B2474" s="0" t="n">
        <v>8</v>
      </c>
      <c r="C2474" s="0" t="n">
        <v>6793</v>
      </c>
      <c r="E2474" s="0" t="n">
        <v>0</v>
      </c>
      <c r="F2474" s="39" t="s">
        <v>1250</v>
      </c>
      <c r="I2474" s="39" t="s">
        <v>109</v>
      </c>
      <c r="L2474" s="0" t="n">
        <v>52</v>
      </c>
      <c r="U2474" s="0" t="n">
        <v>441</v>
      </c>
      <c r="V2474" s="0" t="n">
        <v>1</v>
      </c>
      <c r="W2474" s="39" t="n">
        <f aca="false">IF(I2474="Male",0,1)</f>
        <v>1</v>
      </c>
      <c r="X2474" s="39" t="n">
        <f aca="false">IF(OR(I2474="DNB",I2474="Dry DNB"),1,0)</f>
        <v>0</v>
      </c>
      <c r="Y2474" s="39" t="n">
        <f aca="false">MATCH(A2474,DATAS,0)</f>
        <v>1</v>
      </c>
      <c r="Z2474" s="39" t="n">
        <f aca="false">IF(AND(E2474&gt;0,OR(AND(B2474&gt;=1,B2474&lt;=6),B2474=10)),1,0)</f>
        <v>0</v>
      </c>
      <c r="AA2474" s="39" t="n">
        <f aca="false">IF(AND(E2474&gt;0,B2474=10),1,0)</f>
        <v>0</v>
      </c>
      <c r="AB2474" s="0" t="str">
        <f aca="false">IF(AND(C2473=C2474,Y2473=Y2474-1),Z2473,"")</f>
        <v/>
      </c>
      <c r="AC2474" s="0" t="str">
        <f aca="false">IF(AND(C2473=C2474,Y2473=Y2474-1),AA2473,"")</f>
        <v/>
      </c>
      <c r="AD2474" s="0" t="str">
        <f aca="false">IF(Y2474=1,"",IF(AND(Z2474=1,AB2474&lt;&gt;1),1,0))</f>
        <v/>
      </c>
      <c r="AE2474" s="0" t="str">
        <f aca="false">IF(Y2474=1,"",IF(AND(AA2474=1,AC2474&lt;&gt;1),1,0))</f>
        <v/>
      </c>
      <c r="AF2474" s="45" t="str">
        <f aca="false">IF(AND(E2474&gt;0,Y2474&lt;1,NOT(AND(C2475=C2474,Y2475=Y2474+1))),INDEX(DATAS,Y2474+1),"")</f>
        <v/>
      </c>
      <c r="AG2474" s="45" t="str">
        <f aca="false">IF(AND(AA2474=1,Y2474&lt;1),IF(AND(C2475=C2474,Y2475=Y2474+1),IF(AA2475=1,"",INDEX(DATAS,Y2474+1)),INDEX(DATAS,Y2474+1)),"")</f>
        <v/>
      </c>
    </row>
    <row r="2475" customFormat="false" ht="15" hidden="false" customHeight="false" outlineLevel="0" collapsed="false">
      <c r="A2475" s="45" t="n">
        <v>46309</v>
      </c>
      <c r="B2475" s="0" t="n">
        <v>11</v>
      </c>
      <c r="C2475" s="0" t="n">
        <v>6795</v>
      </c>
      <c r="E2475" s="0" t="n">
        <v>0</v>
      </c>
      <c r="F2475" s="39" t="s">
        <v>1251</v>
      </c>
      <c r="I2475" s="39" t="s">
        <v>138</v>
      </c>
      <c r="U2475" s="0" t="n">
        <v>440</v>
      </c>
      <c r="V2475" s="0" t="n">
        <v>3</v>
      </c>
      <c r="W2475" s="39" t="n">
        <f aca="false">IF(I2475="Male",0,1)</f>
        <v>1</v>
      </c>
      <c r="X2475" s="39" t="n">
        <f aca="false">IF(OR(I2475="DNB",I2475="Dry DNB"),1,0)</f>
        <v>0</v>
      </c>
      <c r="Y2475" s="39" t="n">
        <f aca="false">MATCH(A2475,DATAS,0)</f>
        <v>1</v>
      </c>
      <c r="Z2475" s="39" t="n">
        <f aca="false">IF(AND(E2475&gt;0,OR(AND(B2475&gt;=1,B2475&lt;=6),B2475=10)),1,0)</f>
        <v>0</v>
      </c>
      <c r="AA2475" s="39" t="n">
        <f aca="false">IF(AND(E2475&gt;0,B2475=10),1,0)</f>
        <v>0</v>
      </c>
      <c r="AB2475" s="0" t="str">
        <f aca="false">IF(AND(C2474=C2475,Y2474=Y2475-1),Z2474,"")</f>
        <v/>
      </c>
      <c r="AC2475" s="0" t="str">
        <f aca="false">IF(AND(C2474=C2475,Y2474=Y2475-1),AA2474,"")</f>
        <v/>
      </c>
      <c r="AD2475" s="0" t="str">
        <f aca="false">IF(Y2475=1,"",IF(AND(Z2475=1,AB2475&lt;&gt;1),1,0))</f>
        <v/>
      </c>
      <c r="AE2475" s="0" t="str">
        <f aca="false">IF(Y2475=1,"",IF(AND(AA2475=1,AC2475&lt;&gt;1),1,0))</f>
        <v/>
      </c>
      <c r="AF2475" s="45" t="str">
        <f aca="false">IF(AND(E2475&gt;0,Y2475&lt;1,NOT(AND(C2476=C2475,Y2476=Y2475+1))),INDEX(DATAS,Y2475+1),"")</f>
        <v/>
      </c>
      <c r="AG2475" s="45" t="str">
        <f aca="false">IF(AND(AA2475=1,Y2475&lt;1),IF(AND(C2476=C2475,Y2476=Y2475+1),IF(AA2476=1,"",INDEX(DATAS,Y2475+1)),INDEX(DATAS,Y2475+1)),"")</f>
        <v/>
      </c>
    </row>
    <row r="2476" customFormat="false" ht="15" hidden="false" customHeight="false" outlineLevel="0" collapsed="false">
      <c r="A2476" s="45" t="n">
        <v>46309</v>
      </c>
      <c r="B2476" s="0" t="n">
        <v>11</v>
      </c>
      <c r="C2476" s="0" t="n">
        <v>6796</v>
      </c>
      <c r="E2476" s="0" t="n">
        <v>0</v>
      </c>
      <c r="F2476" s="39" t="s">
        <v>1251</v>
      </c>
      <c r="I2476" s="39" t="s">
        <v>138</v>
      </c>
      <c r="U2476" s="0" t="n">
        <v>440</v>
      </c>
      <c r="V2476" s="0" t="n">
        <v>2</v>
      </c>
      <c r="W2476" s="39" t="n">
        <f aca="false">IF(I2476="Male",0,1)</f>
        <v>1</v>
      </c>
      <c r="X2476" s="39" t="n">
        <f aca="false">IF(OR(I2476="DNB",I2476="Dry DNB"),1,0)</f>
        <v>0</v>
      </c>
      <c r="Y2476" s="39" t="n">
        <f aca="false">MATCH(A2476,DATAS,0)</f>
        <v>1</v>
      </c>
      <c r="Z2476" s="39" t="n">
        <f aca="false">IF(AND(E2476&gt;0,OR(AND(B2476&gt;=1,B2476&lt;=6),B2476=10)),1,0)</f>
        <v>0</v>
      </c>
      <c r="AA2476" s="39" t="n">
        <f aca="false">IF(AND(E2476&gt;0,B2476=10),1,0)</f>
        <v>0</v>
      </c>
      <c r="AB2476" s="0" t="str">
        <f aca="false">IF(AND(C2475=C2476,Y2475=Y2476-1),Z2475,"")</f>
        <v/>
      </c>
      <c r="AC2476" s="0" t="str">
        <f aca="false">IF(AND(C2475=C2476,Y2475=Y2476-1),AA2475,"")</f>
        <v/>
      </c>
      <c r="AD2476" s="0" t="str">
        <f aca="false">IF(Y2476=1,"",IF(AND(Z2476=1,AB2476&lt;&gt;1),1,0))</f>
        <v/>
      </c>
      <c r="AE2476" s="0" t="str">
        <f aca="false">IF(Y2476=1,"",IF(AND(AA2476=1,AC2476&lt;&gt;1),1,0))</f>
        <v/>
      </c>
      <c r="AF2476" s="45" t="str">
        <f aca="false">IF(AND(E2476&gt;0,Y2476&lt;1,NOT(AND(C2477=C2476,Y2477=Y2476+1))),INDEX(DATAS,Y2476+1),"")</f>
        <v/>
      </c>
      <c r="AG2476" s="45" t="str">
        <f aca="false">IF(AND(AA2476=1,Y2476&lt;1),IF(AND(C2477=C2476,Y2477=Y2476+1),IF(AA2477=1,"",INDEX(DATAS,Y2476+1)),INDEX(DATAS,Y2476+1)),"")</f>
        <v/>
      </c>
    </row>
    <row r="2477" customFormat="false" ht="15" hidden="false" customHeight="false" outlineLevel="0" collapsed="false">
      <c r="A2477" s="45" t="n">
        <v>46309</v>
      </c>
      <c r="B2477" s="0" t="n">
        <v>13</v>
      </c>
      <c r="C2477" s="0" t="n">
        <v>6797</v>
      </c>
      <c r="E2477" s="0" t="n">
        <v>0</v>
      </c>
      <c r="F2477" s="39" t="s">
        <v>1251</v>
      </c>
      <c r="I2477" s="39" t="s">
        <v>146</v>
      </c>
      <c r="U2477" s="0" t="n">
        <v>440</v>
      </c>
      <c r="V2477" s="0" t="n">
        <v>0</v>
      </c>
      <c r="W2477" s="39" t="n">
        <f aca="false">IF(I2477="Male",0,1)</f>
        <v>1</v>
      </c>
      <c r="X2477" s="39" t="n">
        <f aca="false">IF(OR(I2477="DNB",I2477="Dry DNB"),1,0)</f>
        <v>0</v>
      </c>
      <c r="Y2477" s="39" t="n">
        <f aca="false">MATCH(A2477,DATAS,0)</f>
        <v>1</v>
      </c>
      <c r="Z2477" s="39" t="n">
        <f aca="false">IF(AND(E2477&gt;0,OR(AND(B2477&gt;=1,B2477&lt;=6),B2477=10)),1,0)</f>
        <v>0</v>
      </c>
      <c r="AA2477" s="39" t="n">
        <f aca="false">IF(AND(E2477&gt;0,B2477=10),1,0)</f>
        <v>0</v>
      </c>
      <c r="AB2477" s="0" t="str">
        <f aca="false">IF(AND(C2476=C2477,Y2476=Y2477-1),Z2476,"")</f>
        <v/>
      </c>
      <c r="AC2477" s="0" t="str">
        <f aca="false">IF(AND(C2476=C2477,Y2476=Y2477-1),AA2476,"")</f>
        <v/>
      </c>
      <c r="AD2477" s="0" t="str">
        <f aca="false">IF(Y2477=1,"",IF(AND(Z2477=1,AB2477&lt;&gt;1),1,0))</f>
        <v/>
      </c>
      <c r="AE2477" s="0" t="str">
        <f aca="false">IF(Y2477=1,"",IF(AND(AA2477=1,AC2477&lt;&gt;1),1,0))</f>
        <v/>
      </c>
      <c r="AF2477" s="45" t="str">
        <f aca="false">IF(AND(E2477&gt;0,Y2477&lt;1,NOT(AND(C2478=C2477,Y2478=Y2477+1))),INDEX(DATAS,Y2477+1),"")</f>
        <v/>
      </c>
      <c r="AG2477" s="45" t="str">
        <f aca="false">IF(AND(AA2477=1,Y2477&lt;1),IF(AND(C2478=C2477,Y2478=Y2477+1),IF(AA2478=1,"",INDEX(DATAS,Y2477+1)),INDEX(DATAS,Y2477+1)),"")</f>
        <v/>
      </c>
    </row>
    <row r="2478" customFormat="false" ht="15" hidden="false" customHeight="false" outlineLevel="0" collapsed="false">
      <c r="A2478" s="45" t="n">
        <v>46309</v>
      </c>
      <c r="B2478" s="0" t="n">
        <v>8</v>
      </c>
      <c r="C2478" s="0" t="n">
        <v>6798</v>
      </c>
      <c r="E2478" s="0" t="n">
        <v>0</v>
      </c>
      <c r="F2478" s="39" t="s">
        <v>1251</v>
      </c>
      <c r="I2478" s="39" t="s">
        <v>109</v>
      </c>
      <c r="L2478" s="0" t="n">
        <v>38</v>
      </c>
      <c r="U2478" s="0" t="n">
        <v>440</v>
      </c>
      <c r="V2478" s="0" t="n">
        <v>1</v>
      </c>
      <c r="W2478" s="39" t="n">
        <f aca="false">IF(I2478="Male",0,1)</f>
        <v>1</v>
      </c>
      <c r="X2478" s="39" t="n">
        <f aca="false">IF(OR(I2478="DNB",I2478="Dry DNB"),1,0)</f>
        <v>0</v>
      </c>
      <c r="Y2478" s="39" t="n">
        <f aca="false">MATCH(A2478,DATAS,0)</f>
        <v>1</v>
      </c>
      <c r="Z2478" s="39" t="n">
        <f aca="false">IF(AND(E2478&gt;0,OR(AND(B2478&gt;=1,B2478&lt;=6),B2478=10)),1,0)</f>
        <v>0</v>
      </c>
      <c r="AA2478" s="39" t="n">
        <f aca="false">IF(AND(E2478&gt;0,B2478=10),1,0)</f>
        <v>0</v>
      </c>
      <c r="AB2478" s="0" t="str">
        <f aca="false">IF(AND(C2477=C2478,Y2477=Y2478-1),Z2477,"")</f>
        <v/>
      </c>
      <c r="AC2478" s="0" t="str">
        <f aca="false">IF(AND(C2477=C2478,Y2477=Y2478-1),AA2477,"")</f>
        <v/>
      </c>
      <c r="AD2478" s="0" t="str">
        <f aca="false">IF(Y2478=1,"",IF(AND(Z2478=1,AB2478&lt;&gt;1),1,0))</f>
        <v/>
      </c>
      <c r="AE2478" s="0" t="str">
        <f aca="false">IF(Y2478=1,"",IF(AND(AA2478=1,AC2478&lt;&gt;1),1,0))</f>
        <v/>
      </c>
      <c r="AF2478" s="45" t="str">
        <f aca="false">IF(AND(E2478&gt;0,Y2478&lt;1,NOT(AND(C2479=C2478,Y2479=Y2478+1))),INDEX(DATAS,Y2478+1),"")</f>
        <v/>
      </c>
      <c r="AG2478" s="45" t="str">
        <f aca="false">IF(AND(AA2478=1,Y2478&lt;1),IF(AND(C2479=C2478,Y2479=Y2478+1),IF(AA2479=1,"",INDEX(DATAS,Y2478+1)),INDEX(DATAS,Y2478+1)),"")</f>
        <v/>
      </c>
    </row>
    <row r="2479" customFormat="false" ht="15" hidden="false" customHeight="false" outlineLevel="0" collapsed="false">
      <c r="A2479" s="45" t="n">
        <v>46309</v>
      </c>
      <c r="B2479" s="0" t="n">
        <v>11</v>
      </c>
      <c r="C2479" s="0" t="n">
        <v>6799</v>
      </c>
      <c r="E2479" s="0" t="n">
        <v>0</v>
      </c>
      <c r="F2479" s="39" t="s">
        <v>1251</v>
      </c>
      <c r="I2479" s="39" t="s">
        <v>138</v>
      </c>
      <c r="U2479" s="0" t="n">
        <v>440</v>
      </c>
      <c r="V2479" s="0" t="n">
        <v>2</v>
      </c>
      <c r="W2479" s="39" t="n">
        <f aca="false">IF(I2479="Male",0,1)</f>
        <v>1</v>
      </c>
      <c r="X2479" s="39" t="n">
        <f aca="false">IF(OR(I2479="DNB",I2479="Dry DNB"),1,0)</f>
        <v>0</v>
      </c>
      <c r="Y2479" s="39" t="n">
        <f aca="false">MATCH(A2479,DATAS,0)</f>
        <v>1</v>
      </c>
      <c r="Z2479" s="39" t="n">
        <f aca="false">IF(AND(E2479&gt;0,OR(AND(B2479&gt;=1,B2479&lt;=6),B2479=10)),1,0)</f>
        <v>0</v>
      </c>
      <c r="AA2479" s="39" t="n">
        <f aca="false">IF(AND(E2479&gt;0,B2479=10),1,0)</f>
        <v>0</v>
      </c>
      <c r="AB2479" s="0" t="str">
        <f aca="false">IF(AND(C2478=C2479,Y2478=Y2479-1),Z2478,"")</f>
        <v/>
      </c>
      <c r="AC2479" s="0" t="str">
        <f aca="false">IF(AND(C2478=C2479,Y2478=Y2479-1),AA2478,"")</f>
        <v/>
      </c>
      <c r="AD2479" s="0" t="str">
        <f aca="false">IF(Y2479=1,"",IF(AND(Z2479=1,AB2479&lt;&gt;1),1,0))</f>
        <v/>
      </c>
      <c r="AE2479" s="0" t="str">
        <f aca="false">IF(Y2479=1,"",IF(AND(AA2479=1,AC2479&lt;&gt;1),1,0))</f>
        <v/>
      </c>
      <c r="AF2479" s="45" t="str">
        <f aca="false">IF(AND(E2479&gt;0,Y2479&lt;1,NOT(AND(C2480=C2479,Y2480=Y2479+1))),INDEX(DATAS,Y2479+1),"")</f>
        <v/>
      </c>
      <c r="AG2479" s="45" t="str">
        <f aca="false">IF(AND(AA2479=1,Y2479&lt;1),IF(AND(C2480=C2479,Y2480=Y2479+1),IF(AA2480=1,"",INDEX(DATAS,Y2479+1)),INDEX(DATAS,Y2479+1)),"")</f>
        <v/>
      </c>
    </row>
    <row r="2480" customFormat="false" ht="15" hidden="false" customHeight="false" outlineLevel="0" collapsed="false">
      <c r="A2480" s="45" t="n">
        <v>46309</v>
      </c>
      <c r="B2480" s="0" t="n">
        <v>8</v>
      </c>
      <c r="C2480" s="0" t="n">
        <v>6800</v>
      </c>
      <c r="E2480" s="0" t="n">
        <v>0</v>
      </c>
      <c r="F2480" s="39" t="s">
        <v>1251</v>
      </c>
      <c r="I2480" s="39" t="s">
        <v>109</v>
      </c>
      <c r="L2480" s="0" t="n">
        <v>44</v>
      </c>
      <c r="U2480" s="0" t="n">
        <v>440</v>
      </c>
      <c r="V2480" s="0" t="n">
        <v>1</v>
      </c>
      <c r="W2480" s="39" t="n">
        <f aca="false">IF(I2480="Male",0,1)</f>
        <v>1</v>
      </c>
      <c r="X2480" s="39" t="n">
        <f aca="false">IF(OR(I2480="DNB",I2480="Dry DNB"),1,0)</f>
        <v>0</v>
      </c>
      <c r="Y2480" s="39" t="n">
        <f aca="false">MATCH(A2480,DATAS,0)</f>
        <v>1</v>
      </c>
      <c r="Z2480" s="39" t="n">
        <f aca="false">IF(AND(E2480&gt;0,OR(AND(B2480&gt;=1,B2480&lt;=6),B2480=10)),1,0)</f>
        <v>0</v>
      </c>
      <c r="AA2480" s="39" t="n">
        <f aca="false">IF(AND(E2480&gt;0,B2480=10),1,0)</f>
        <v>0</v>
      </c>
      <c r="AB2480" s="0" t="str">
        <f aca="false">IF(AND(C2479=C2480,Y2479=Y2480-1),Z2479,"")</f>
        <v/>
      </c>
      <c r="AC2480" s="0" t="str">
        <f aca="false">IF(AND(C2479=C2480,Y2479=Y2480-1),AA2479,"")</f>
        <v/>
      </c>
      <c r="AD2480" s="0" t="str">
        <f aca="false">IF(Y2480=1,"",IF(AND(Z2480=1,AB2480&lt;&gt;1),1,0))</f>
        <v/>
      </c>
      <c r="AE2480" s="0" t="str">
        <f aca="false">IF(Y2480=1,"",IF(AND(AA2480=1,AC2480&lt;&gt;1),1,0))</f>
        <v/>
      </c>
      <c r="AF2480" s="45" t="str">
        <f aca="false">IF(AND(E2480&gt;0,Y2480&lt;1,NOT(AND(C2481=C2480,Y2481=Y2480+1))),INDEX(DATAS,Y2480+1),"")</f>
        <v/>
      </c>
      <c r="AG2480" s="45" t="str">
        <f aca="false">IF(AND(AA2480=1,Y2480&lt;1),IF(AND(C2481=C2480,Y2481=Y2480+1),IF(AA2481=1,"",INDEX(DATAS,Y2480+1)),INDEX(DATAS,Y2480+1)),"")</f>
        <v/>
      </c>
    </row>
    <row r="2481" customFormat="false" ht="15" hidden="false" customHeight="false" outlineLevel="0" collapsed="false">
      <c r="A2481" s="45" t="n">
        <v>46309</v>
      </c>
      <c r="B2481" s="0" t="n">
        <v>13</v>
      </c>
      <c r="C2481" s="0" t="n">
        <v>6801</v>
      </c>
      <c r="E2481" s="0" t="n">
        <v>0</v>
      </c>
      <c r="F2481" s="39" t="s">
        <v>1251</v>
      </c>
      <c r="I2481" s="39" t="s">
        <v>146</v>
      </c>
      <c r="U2481" s="0" t="n">
        <v>440</v>
      </c>
      <c r="V2481" s="0" t="n">
        <v>0</v>
      </c>
      <c r="W2481" s="39" t="n">
        <f aca="false">IF(I2481="Male",0,1)</f>
        <v>1</v>
      </c>
      <c r="X2481" s="39" t="n">
        <f aca="false">IF(OR(I2481="DNB",I2481="Dry DNB"),1,0)</f>
        <v>0</v>
      </c>
      <c r="Y2481" s="39" t="n">
        <f aca="false">MATCH(A2481,DATAS,0)</f>
        <v>1</v>
      </c>
      <c r="Z2481" s="39" t="n">
        <f aca="false">IF(AND(E2481&gt;0,OR(AND(B2481&gt;=1,B2481&lt;=6),B2481=10)),1,0)</f>
        <v>0</v>
      </c>
      <c r="AA2481" s="39" t="n">
        <f aca="false">IF(AND(E2481&gt;0,B2481=10),1,0)</f>
        <v>0</v>
      </c>
      <c r="AB2481" s="0" t="str">
        <f aca="false">IF(AND(C2480=C2481,Y2480=Y2481-1),Z2480,"")</f>
        <v/>
      </c>
      <c r="AC2481" s="0" t="str">
        <f aca="false">IF(AND(C2480=C2481,Y2480=Y2481-1),AA2480,"")</f>
        <v/>
      </c>
      <c r="AD2481" s="0" t="str">
        <f aca="false">IF(Y2481=1,"",IF(AND(Z2481=1,AB2481&lt;&gt;1),1,0))</f>
        <v/>
      </c>
      <c r="AE2481" s="0" t="str">
        <f aca="false">IF(Y2481=1,"",IF(AND(AA2481=1,AC2481&lt;&gt;1),1,0))</f>
        <v/>
      </c>
      <c r="AF2481" s="45" t="str">
        <f aca="false">IF(AND(E2481&gt;0,Y2481&lt;1,NOT(AND(C2482=C2481,Y2482=Y2481+1))),INDEX(DATAS,Y2481+1),"")</f>
        <v/>
      </c>
      <c r="AG2481" s="45" t="str">
        <f aca="false">IF(AND(AA2481=1,Y2481&lt;1),IF(AND(C2482=C2481,Y2482=Y2481+1),IF(AA2482=1,"",INDEX(DATAS,Y2481+1)),INDEX(DATAS,Y2481+1)),"")</f>
        <v/>
      </c>
    </row>
    <row r="2482" customFormat="false" ht="15" hidden="false" customHeight="false" outlineLevel="0" collapsed="false">
      <c r="A2482" s="45" t="n">
        <v>46309</v>
      </c>
      <c r="B2482" s="0" t="n">
        <v>13</v>
      </c>
      <c r="C2482" s="0" t="n">
        <v>6802</v>
      </c>
      <c r="E2482" s="0" t="n">
        <v>0</v>
      </c>
      <c r="F2482" s="39" t="s">
        <v>1252</v>
      </c>
      <c r="I2482" s="39" t="s">
        <v>138</v>
      </c>
      <c r="U2482" s="0" t="n">
        <v>439</v>
      </c>
      <c r="V2482" s="0" t="n">
        <v>1</v>
      </c>
      <c r="W2482" s="39" t="n">
        <f aca="false">IF(I2482="Male",0,1)</f>
        <v>1</v>
      </c>
      <c r="X2482" s="39" t="n">
        <f aca="false">IF(OR(I2482="DNB",I2482="Dry DNB"),1,0)</f>
        <v>0</v>
      </c>
      <c r="Y2482" s="39" t="n">
        <f aca="false">MATCH(A2482,DATAS,0)</f>
        <v>1</v>
      </c>
      <c r="Z2482" s="39" t="n">
        <f aca="false">IF(AND(E2482&gt;0,OR(AND(B2482&gt;=1,B2482&lt;=6),B2482=10)),1,0)</f>
        <v>0</v>
      </c>
      <c r="AA2482" s="39" t="n">
        <f aca="false">IF(AND(E2482&gt;0,B2482=10),1,0)</f>
        <v>0</v>
      </c>
      <c r="AB2482" s="0" t="str">
        <f aca="false">IF(AND(C2481=C2482,Y2481=Y2482-1),Z2481,"")</f>
        <v/>
      </c>
      <c r="AC2482" s="0" t="str">
        <f aca="false">IF(AND(C2481=C2482,Y2481=Y2482-1),AA2481,"")</f>
        <v/>
      </c>
      <c r="AD2482" s="0" t="str">
        <f aca="false">IF(Y2482=1,"",IF(AND(Z2482=1,AB2482&lt;&gt;1),1,0))</f>
        <v/>
      </c>
      <c r="AE2482" s="0" t="str">
        <f aca="false">IF(Y2482=1,"",IF(AND(AA2482=1,AC2482&lt;&gt;1),1,0))</f>
        <v/>
      </c>
      <c r="AF2482" s="45" t="str">
        <f aca="false">IF(AND(E2482&gt;0,Y2482&lt;1,NOT(AND(C2483=C2482,Y2483=Y2482+1))),INDEX(DATAS,Y2482+1),"")</f>
        <v/>
      </c>
      <c r="AG2482" s="45" t="str">
        <f aca="false">IF(AND(AA2482=1,Y2482&lt;1),IF(AND(C2483=C2482,Y2483=Y2482+1),IF(AA2483=1,"",INDEX(DATAS,Y2482+1)),INDEX(DATAS,Y2482+1)),"")</f>
        <v/>
      </c>
    </row>
    <row r="2483" customFormat="false" ht="15" hidden="false" customHeight="false" outlineLevel="0" collapsed="false">
      <c r="A2483" s="45" t="n">
        <v>46309</v>
      </c>
      <c r="B2483" s="0" t="n">
        <v>11</v>
      </c>
      <c r="C2483" s="0" t="n">
        <v>6803</v>
      </c>
      <c r="E2483" s="0" t="n">
        <v>0</v>
      </c>
      <c r="F2483" s="39" t="s">
        <v>1252</v>
      </c>
      <c r="I2483" s="39" t="s">
        <v>138</v>
      </c>
      <c r="U2483" s="0" t="n">
        <v>439</v>
      </c>
      <c r="V2483" s="0" t="n">
        <v>2</v>
      </c>
      <c r="W2483" s="39" t="n">
        <f aca="false">IF(I2483="Male",0,1)</f>
        <v>1</v>
      </c>
      <c r="X2483" s="39" t="n">
        <f aca="false">IF(OR(I2483="DNB",I2483="Dry DNB"),1,0)</f>
        <v>0</v>
      </c>
      <c r="Y2483" s="39" t="n">
        <f aca="false">MATCH(A2483,DATAS,0)</f>
        <v>1</v>
      </c>
      <c r="Z2483" s="39" t="n">
        <f aca="false">IF(AND(E2483&gt;0,OR(AND(B2483&gt;=1,B2483&lt;=6),B2483=10)),1,0)</f>
        <v>0</v>
      </c>
      <c r="AA2483" s="39" t="n">
        <f aca="false">IF(AND(E2483&gt;0,B2483=10),1,0)</f>
        <v>0</v>
      </c>
      <c r="AB2483" s="0" t="str">
        <f aca="false">IF(AND(C2482=C2483,Y2482=Y2483-1),Z2482,"")</f>
        <v/>
      </c>
      <c r="AC2483" s="0" t="str">
        <f aca="false">IF(AND(C2482=C2483,Y2482=Y2483-1),AA2482,"")</f>
        <v/>
      </c>
      <c r="AD2483" s="0" t="str">
        <f aca="false">IF(Y2483=1,"",IF(AND(Z2483=1,AB2483&lt;&gt;1),1,0))</f>
        <v/>
      </c>
      <c r="AE2483" s="0" t="str">
        <f aca="false">IF(Y2483=1,"",IF(AND(AA2483=1,AC2483&lt;&gt;1),1,0))</f>
        <v/>
      </c>
      <c r="AF2483" s="45" t="str">
        <f aca="false">IF(AND(E2483&gt;0,Y2483&lt;1,NOT(AND(C2484=C2483,Y2484=Y2483+1))),INDEX(DATAS,Y2483+1),"")</f>
        <v/>
      </c>
      <c r="AG2483" s="45" t="str">
        <f aca="false">IF(AND(AA2483=1,Y2483&lt;1),IF(AND(C2484=C2483,Y2484=Y2483+1),IF(AA2484=1,"",INDEX(DATAS,Y2483+1)),INDEX(DATAS,Y2483+1)),"")</f>
        <v/>
      </c>
    </row>
    <row r="2484" customFormat="false" ht="15" hidden="false" customHeight="false" outlineLevel="0" collapsed="false">
      <c r="A2484" s="45" t="n">
        <v>46309</v>
      </c>
      <c r="B2484" s="0" t="n">
        <v>11</v>
      </c>
      <c r="C2484" s="0" t="n">
        <v>6804</v>
      </c>
      <c r="E2484" s="0" t="n">
        <v>0</v>
      </c>
      <c r="F2484" s="39" t="s">
        <v>1252</v>
      </c>
      <c r="I2484" s="39" t="s">
        <v>138</v>
      </c>
      <c r="U2484" s="0" t="n">
        <v>439</v>
      </c>
      <c r="V2484" s="0" t="n">
        <v>1</v>
      </c>
      <c r="W2484" s="39" t="n">
        <f aca="false">IF(I2484="Male",0,1)</f>
        <v>1</v>
      </c>
      <c r="X2484" s="39" t="n">
        <f aca="false">IF(OR(I2484="DNB",I2484="Dry DNB"),1,0)</f>
        <v>0</v>
      </c>
      <c r="Y2484" s="39" t="n">
        <f aca="false">MATCH(A2484,DATAS,0)</f>
        <v>1</v>
      </c>
      <c r="Z2484" s="39" t="n">
        <f aca="false">IF(AND(E2484&gt;0,OR(AND(B2484&gt;=1,B2484&lt;=6),B2484=10)),1,0)</f>
        <v>0</v>
      </c>
      <c r="AA2484" s="39" t="n">
        <f aca="false">IF(AND(E2484&gt;0,B2484=10),1,0)</f>
        <v>0</v>
      </c>
      <c r="AB2484" s="0" t="str">
        <f aca="false">IF(AND(C2483=C2484,Y2483=Y2484-1),Z2483,"")</f>
        <v/>
      </c>
      <c r="AC2484" s="0" t="str">
        <f aca="false">IF(AND(C2483=C2484,Y2483=Y2484-1),AA2483,"")</f>
        <v/>
      </c>
      <c r="AD2484" s="0" t="str">
        <f aca="false">IF(Y2484=1,"",IF(AND(Z2484=1,AB2484&lt;&gt;1),1,0))</f>
        <v/>
      </c>
      <c r="AE2484" s="0" t="str">
        <f aca="false">IF(Y2484=1,"",IF(AND(AA2484=1,AC2484&lt;&gt;1),1,0))</f>
        <v/>
      </c>
      <c r="AF2484" s="45" t="str">
        <f aca="false">IF(AND(E2484&gt;0,Y2484&lt;1,NOT(AND(C2485=C2484,Y2485=Y2484+1))),INDEX(DATAS,Y2484+1),"")</f>
        <v/>
      </c>
      <c r="AG2484" s="45" t="str">
        <f aca="false">IF(AND(AA2484=1,Y2484&lt;1),IF(AND(C2485=C2484,Y2485=Y2484+1),IF(AA2485=1,"",INDEX(DATAS,Y2484+1)),INDEX(DATAS,Y2484+1)),"")</f>
        <v/>
      </c>
    </row>
    <row r="2485" customFormat="false" ht="15" hidden="false" customHeight="false" outlineLevel="0" collapsed="false">
      <c r="A2485" s="45" t="n">
        <v>46309</v>
      </c>
      <c r="B2485" s="0" t="n">
        <v>13</v>
      </c>
      <c r="C2485" s="0" t="n">
        <v>6806</v>
      </c>
      <c r="E2485" s="0" t="n">
        <v>0</v>
      </c>
      <c r="F2485" s="39" t="s">
        <v>1252</v>
      </c>
      <c r="I2485" s="39" t="s">
        <v>146</v>
      </c>
      <c r="U2485" s="0" t="n">
        <v>439</v>
      </c>
      <c r="V2485" s="0" t="n">
        <v>0</v>
      </c>
      <c r="W2485" s="39" t="n">
        <f aca="false">IF(I2485="Male",0,1)</f>
        <v>1</v>
      </c>
      <c r="X2485" s="39" t="n">
        <f aca="false">IF(OR(I2485="DNB",I2485="Dry DNB"),1,0)</f>
        <v>0</v>
      </c>
      <c r="Y2485" s="39" t="n">
        <f aca="false">MATCH(A2485,DATAS,0)</f>
        <v>1</v>
      </c>
      <c r="Z2485" s="39" t="n">
        <f aca="false">IF(AND(E2485&gt;0,OR(AND(B2485&gt;=1,B2485&lt;=6),B2485=10)),1,0)</f>
        <v>0</v>
      </c>
      <c r="AA2485" s="39" t="n">
        <f aca="false">IF(AND(E2485&gt;0,B2485=10),1,0)</f>
        <v>0</v>
      </c>
      <c r="AB2485" s="0" t="str">
        <f aca="false">IF(AND(C2484=C2485,Y2484=Y2485-1),Z2484,"")</f>
        <v/>
      </c>
      <c r="AC2485" s="0" t="str">
        <f aca="false">IF(AND(C2484=C2485,Y2484=Y2485-1),AA2484,"")</f>
        <v/>
      </c>
      <c r="AD2485" s="0" t="str">
        <f aca="false">IF(Y2485=1,"",IF(AND(Z2485=1,AB2485&lt;&gt;1),1,0))</f>
        <v/>
      </c>
      <c r="AE2485" s="0" t="str">
        <f aca="false">IF(Y2485=1,"",IF(AND(AA2485=1,AC2485&lt;&gt;1),1,0))</f>
        <v/>
      </c>
      <c r="AF2485" s="45" t="str">
        <f aca="false">IF(AND(E2485&gt;0,Y2485&lt;1,NOT(AND(C2486=C2485,Y2486=Y2485+1))),INDEX(DATAS,Y2485+1),"")</f>
        <v/>
      </c>
      <c r="AG2485" s="45" t="str">
        <f aca="false">IF(AND(AA2485=1,Y2485&lt;1),IF(AND(C2486=C2485,Y2486=Y2485+1),IF(AA2486=1,"",INDEX(DATAS,Y2485+1)),INDEX(DATAS,Y2485+1)),"")</f>
        <v/>
      </c>
    </row>
    <row r="2486" customFormat="false" ht="15" hidden="false" customHeight="false" outlineLevel="0" collapsed="false">
      <c r="A2486" s="45" t="n">
        <v>46309</v>
      </c>
      <c r="B2486" s="0" t="n">
        <v>11</v>
      </c>
      <c r="C2486" s="0" t="n">
        <v>6808</v>
      </c>
      <c r="E2486" s="0" t="n">
        <v>0</v>
      </c>
      <c r="F2486" s="39" t="s">
        <v>1252</v>
      </c>
      <c r="I2486" s="39" t="s">
        <v>138</v>
      </c>
      <c r="U2486" s="0" t="n">
        <v>439</v>
      </c>
      <c r="V2486" s="0" t="n">
        <v>1</v>
      </c>
      <c r="W2486" s="39" t="n">
        <f aca="false">IF(I2486="Male",0,1)</f>
        <v>1</v>
      </c>
      <c r="X2486" s="39" t="n">
        <f aca="false">IF(OR(I2486="DNB",I2486="Dry DNB"),1,0)</f>
        <v>0</v>
      </c>
      <c r="Y2486" s="39" t="n">
        <f aca="false">MATCH(A2486,DATAS,0)</f>
        <v>1</v>
      </c>
      <c r="Z2486" s="39" t="n">
        <f aca="false">IF(AND(E2486&gt;0,OR(AND(B2486&gt;=1,B2486&lt;=6),B2486=10)),1,0)</f>
        <v>0</v>
      </c>
      <c r="AA2486" s="39" t="n">
        <f aca="false">IF(AND(E2486&gt;0,B2486=10),1,0)</f>
        <v>0</v>
      </c>
      <c r="AB2486" s="0" t="str">
        <f aca="false">IF(AND(C2485=C2486,Y2485=Y2486-1),Z2485,"")</f>
        <v/>
      </c>
      <c r="AC2486" s="0" t="str">
        <f aca="false">IF(AND(C2485=C2486,Y2485=Y2486-1),AA2485,"")</f>
        <v/>
      </c>
      <c r="AD2486" s="0" t="str">
        <f aca="false">IF(Y2486=1,"",IF(AND(Z2486=1,AB2486&lt;&gt;1),1,0))</f>
        <v/>
      </c>
      <c r="AE2486" s="0" t="str">
        <f aca="false">IF(Y2486=1,"",IF(AND(AA2486=1,AC2486&lt;&gt;1),1,0))</f>
        <v/>
      </c>
      <c r="AF2486" s="45" t="str">
        <f aca="false">IF(AND(E2486&gt;0,Y2486&lt;1,NOT(AND(C2487=C2486,Y2487=Y2486+1))),INDEX(DATAS,Y2486+1),"")</f>
        <v/>
      </c>
      <c r="AG2486" s="45" t="str">
        <f aca="false">IF(AND(AA2486=1,Y2486&lt;1),IF(AND(C2487=C2486,Y2487=Y2486+1),IF(AA2487=1,"",INDEX(DATAS,Y2486+1)),INDEX(DATAS,Y2486+1)),"")</f>
        <v/>
      </c>
    </row>
    <row r="2487" customFormat="false" ht="15" hidden="false" customHeight="false" outlineLevel="0" collapsed="false">
      <c r="A2487" s="45" t="n">
        <v>46309</v>
      </c>
      <c r="B2487" s="0" t="n">
        <v>11</v>
      </c>
      <c r="C2487" s="0" t="n">
        <v>6809</v>
      </c>
      <c r="E2487" s="0" t="n">
        <v>0</v>
      </c>
      <c r="F2487" s="39" t="s">
        <v>1253</v>
      </c>
      <c r="I2487" s="39" t="s">
        <v>146</v>
      </c>
      <c r="U2487" s="0" t="n">
        <v>438</v>
      </c>
      <c r="V2487" s="0" t="n">
        <v>1</v>
      </c>
      <c r="W2487" s="39" t="n">
        <f aca="false">IF(I2487="Male",0,1)</f>
        <v>1</v>
      </c>
      <c r="X2487" s="39" t="n">
        <f aca="false">IF(OR(I2487="DNB",I2487="Dry DNB"),1,0)</f>
        <v>0</v>
      </c>
      <c r="Y2487" s="39" t="n">
        <f aca="false">MATCH(A2487,DATAS,0)</f>
        <v>1</v>
      </c>
      <c r="Z2487" s="39" t="n">
        <f aca="false">IF(AND(E2487&gt;0,OR(AND(B2487&gt;=1,B2487&lt;=6),B2487=10)),1,0)</f>
        <v>0</v>
      </c>
      <c r="AA2487" s="39" t="n">
        <f aca="false">IF(AND(E2487&gt;0,B2487=10),1,0)</f>
        <v>0</v>
      </c>
      <c r="AB2487" s="0" t="str">
        <f aca="false">IF(AND(C2486=C2487,Y2486=Y2487-1),Z2486,"")</f>
        <v/>
      </c>
      <c r="AC2487" s="0" t="str">
        <f aca="false">IF(AND(C2486=C2487,Y2486=Y2487-1),AA2486,"")</f>
        <v/>
      </c>
      <c r="AD2487" s="0" t="str">
        <f aca="false">IF(Y2487=1,"",IF(AND(Z2487=1,AB2487&lt;&gt;1),1,0))</f>
        <v/>
      </c>
      <c r="AE2487" s="0" t="str">
        <f aca="false">IF(Y2487=1,"",IF(AND(AA2487=1,AC2487&lt;&gt;1),1,0))</f>
        <v/>
      </c>
      <c r="AF2487" s="45" t="str">
        <f aca="false">IF(AND(E2487&gt;0,Y2487&lt;1,NOT(AND(C2488=C2487,Y2488=Y2487+1))),INDEX(DATAS,Y2487+1),"")</f>
        <v/>
      </c>
      <c r="AG2487" s="45" t="str">
        <f aca="false">IF(AND(AA2487=1,Y2487&lt;1),IF(AND(C2488=C2487,Y2488=Y2487+1),IF(AA2488=1,"",INDEX(DATAS,Y2487+1)),INDEX(DATAS,Y2487+1)),"")</f>
        <v/>
      </c>
    </row>
    <row r="2488" customFormat="false" ht="15" hidden="false" customHeight="false" outlineLevel="0" collapsed="false">
      <c r="A2488" s="45" t="n">
        <v>46309</v>
      </c>
      <c r="B2488" s="0" t="n">
        <v>8</v>
      </c>
      <c r="C2488" s="0" t="n">
        <v>6810</v>
      </c>
      <c r="E2488" s="0" t="n">
        <v>0</v>
      </c>
      <c r="F2488" s="39" t="s">
        <v>1253</v>
      </c>
      <c r="I2488" s="39" t="s">
        <v>109</v>
      </c>
      <c r="L2488" s="0" t="n">
        <v>36</v>
      </c>
      <c r="U2488" s="0" t="n">
        <v>438</v>
      </c>
      <c r="V2488" s="0" t="n">
        <v>1</v>
      </c>
      <c r="W2488" s="39" t="n">
        <f aca="false">IF(I2488="Male",0,1)</f>
        <v>1</v>
      </c>
      <c r="X2488" s="39" t="n">
        <f aca="false">IF(OR(I2488="DNB",I2488="Dry DNB"),1,0)</f>
        <v>0</v>
      </c>
      <c r="Y2488" s="39" t="n">
        <f aca="false">MATCH(A2488,DATAS,0)</f>
        <v>1</v>
      </c>
      <c r="Z2488" s="39" t="n">
        <f aca="false">IF(AND(E2488&gt;0,OR(AND(B2488&gt;=1,B2488&lt;=6),B2488=10)),1,0)</f>
        <v>0</v>
      </c>
      <c r="AA2488" s="39" t="n">
        <f aca="false">IF(AND(E2488&gt;0,B2488=10),1,0)</f>
        <v>0</v>
      </c>
      <c r="AB2488" s="0" t="str">
        <f aca="false">IF(AND(C2487=C2488,Y2487=Y2488-1),Z2487,"")</f>
        <v/>
      </c>
      <c r="AC2488" s="0" t="str">
        <f aca="false">IF(AND(C2487=C2488,Y2487=Y2488-1),AA2487,"")</f>
        <v/>
      </c>
      <c r="AD2488" s="0" t="str">
        <f aca="false">IF(Y2488=1,"",IF(AND(Z2488=1,AB2488&lt;&gt;1),1,0))</f>
        <v/>
      </c>
      <c r="AE2488" s="0" t="str">
        <f aca="false">IF(Y2488=1,"",IF(AND(AA2488=1,AC2488&lt;&gt;1),1,0))</f>
        <v/>
      </c>
      <c r="AF2488" s="45" t="str">
        <f aca="false">IF(AND(E2488&gt;0,Y2488&lt;1,NOT(AND(C2489=C2488,Y2489=Y2488+1))),INDEX(DATAS,Y2488+1),"")</f>
        <v/>
      </c>
      <c r="AG2488" s="45" t="str">
        <f aca="false">IF(AND(AA2488=1,Y2488&lt;1),IF(AND(C2489=C2488,Y2489=Y2488+1),IF(AA2489=1,"",INDEX(DATAS,Y2488+1)),INDEX(DATAS,Y2488+1)),"")</f>
        <v/>
      </c>
    </row>
    <row r="2489" customFormat="false" ht="15" hidden="false" customHeight="false" outlineLevel="0" collapsed="false">
      <c r="A2489" s="45" t="n">
        <v>46309</v>
      </c>
      <c r="B2489" s="0" t="n">
        <v>11</v>
      </c>
      <c r="C2489" s="0" t="n">
        <v>6811</v>
      </c>
      <c r="E2489" s="0" t="n">
        <v>0</v>
      </c>
      <c r="F2489" s="39" t="s">
        <v>1254</v>
      </c>
      <c r="I2489" s="39" t="s">
        <v>146</v>
      </c>
      <c r="U2489" s="0" t="n">
        <v>433</v>
      </c>
      <c r="V2489" s="0" t="n">
        <v>1</v>
      </c>
      <c r="W2489" s="39" t="n">
        <f aca="false">IF(I2489="Male",0,1)</f>
        <v>1</v>
      </c>
      <c r="X2489" s="39" t="n">
        <f aca="false">IF(OR(I2489="DNB",I2489="Dry DNB"),1,0)</f>
        <v>0</v>
      </c>
      <c r="Y2489" s="39" t="n">
        <f aca="false">MATCH(A2489,DATAS,0)</f>
        <v>1</v>
      </c>
      <c r="Z2489" s="39" t="n">
        <f aca="false">IF(AND(E2489&gt;0,OR(AND(B2489&gt;=1,B2489&lt;=6),B2489=10)),1,0)</f>
        <v>0</v>
      </c>
      <c r="AA2489" s="39" t="n">
        <f aca="false">IF(AND(E2489&gt;0,B2489=10),1,0)</f>
        <v>0</v>
      </c>
      <c r="AB2489" s="0" t="str">
        <f aca="false">IF(AND(C2488=C2489,Y2488=Y2489-1),Z2488,"")</f>
        <v/>
      </c>
      <c r="AC2489" s="0" t="str">
        <f aca="false">IF(AND(C2488=C2489,Y2488=Y2489-1),AA2488,"")</f>
        <v/>
      </c>
      <c r="AD2489" s="0" t="str">
        <f aca="false">IF(Y2489=1,"",IF(AND(Z2489=1,AB2489&lt;&gt;1),1,0))</f>
        <v/>
      </c>
      <c r="AE2489" s="0" t="str">
        <f aca="false">IF(Y2489=1,"",IF(AND(AA2489=1,AC2489&lt;&gt;1),1,0))</f>
        <v/>
      </c>
      <c r="AF2489" s="45" t="str">
        <f aca="false">IF(AND(E2489&gt;0,Y2489&lt;1,NOT(AND(C2490=C2489,Y2490=Y2489+1))),INDEX(DATAS,Y2489+1),"")</f>
        <v/>
      </c>
      <c r="AG2489" s="45" t="str">
        <f aca="false">IF(AND(AA2489=1,Y2489&lt;1),IF(AND(C2490=C2489,Y2490=Y2489+1),IF(AA2490=1,"",INDEX(DATAS,Y2489+1)),INDEX(DATAS,Y2489+1)),"")</f>
        <v/>
      </c>
    </row>
    <row r="2490" customFormat="false" ht="15" hidden="false" customHeight="false" outlineLevel="0" collapsed="false">
      <c r="A2490" s="45" t="n">
        <v>46309</v>
      </c>
      <c r="B2490" s="0" t="n">
        <v>11</v>
      </c>
      <c r="C2490" s="0" t="n">
        <v>6812</v>
      </c>
      <c r="E2490" s="0" t="n">
        <v>0</v>
      </c>
      <c r="F2490" s="39" t="s">
        <v>1254</v>
      </c>
      <c r="I2490" s="39" t="s">
        <v>146</v>
      </c>
      <c r="U2490" s="0" t="n">
        <v>433</v>
      </c>
      <c r="V2490" s="0" t="n">
        <v>1</v>
      </c>
      <c r="W2490" s="39" t="n">
        <f aca="false">IF(I2490="Male",0,1)</f>
        <v>1</v>
      </c>
      <c r="X2490" s="39" t="n">
        <f aca="false">IF(OR(I2490="DNB",I2490="Dry DNB"),1,0)</f>
        <v>0</v>
      </c>
      <c r="Y2490" s="39" t="n">
        <f aca="false">MATCH(A2490,DATAS,0)</f>
        <v>1</v>
      </c>
      <c r="Z2490" s="39" t="n">
        <f aca="false">IF(AND(E2490&gt;0,OR(AND(B2490&gt;=1,B2490&lt;=6),B2490=10)),1,0)</f>
        <v>0</v>
      </c>
      <c r="AA2490" s="39" t="n">
        <f aca="false">IF(AND(E2490&gt;0,B2490=10),1,0)</f>
        <v>0</v>
      </c>
      <c r="AB2490" s="0" t="str">
        <f aca="false">IF(AND(C2489=C2490,Y2489=Y2490-1),Z2489,"")</f>
        <v/>
      </c>
      <c r="AC2490" s="0" t="str">
        <f aca="false">IF(AND(C2489=C2490,Y2489=Y2490-1),AA2489,"")</f>
        <v/>
      </c>
      <c r="AD2490" s="0" t="str">
        <f aca="false">IF(Y2490=1,"",IF(AND(Z2490=1,AB2490&lt;&gt;1),1,0))</f>
        <v/>
      </c>
      <c r="AE2490" s="0" t="str">
        <f aca="false">IF(Y2490=1,"",IF(AND(AA2490=1,AC2490&lt;&gt;1),1,0))</f>
        <v/>
      </c>
      <c r="AF2490" s="45" t="str">
        <f aca="false">IF(AND(E2490&gt;0,Y2490&lt;1,NOT(AND(C2491=C2490,Y2491=Y2490+1))),INDEX(DATAS,Y2490+1),"")</f>
        <v/>
      </c>
      <c r="AG2490" s="45" t="str">
        <f aca="false">IF(AND(AA2490=1,Y2490&lt;1),IF(AND(C2491=C2490,Y2491=Y2490+1),IF(AA2491=1,"",INDEX(DATAS,Y2490+1)),INDEX(DATAS,Y2490+1)),"")</f>
        <v/>
      </c>
    </row>
    <row r="2491" customFormat="false" ht="15" hidden="false" customHeight="false" outlineLevel="0" collapsed="false">
      <c r="A2491" s="45" t="n">
        <v>46309</v>
      </c>
      <c r="B2491" s="0" t="n">
        <v>11</v>
      </c>
      <c r="C2491" s="0" t="n">
        <v>6813</v>
      </c>
      <c r="E2491" s="0" t="n">
        <v>0</v>
      </c>
      <c r="F2491" s="39" t="s">
        <v>1254</v>
      </c>
      <c r="I2491" s="39" t="s">
        <v>138</v>
      </c>
      <c r="U2491" s="0" t="n">
        <v>433</v>
      </c>
      <c r="V2491" s="0" t="n">
        <v>2</v>
      </c>
      <c r="W2491" s="39" t="n">
        <f aca="false">IF(I2491="Male",0,1)</f>
        <v>1</v>
      </c>
      <c r="X2491" s="39" t="n">
        <f aca="false">IF(OR(I2491="DNB",I2491="Dry DNB"),1,0)</f>
        <v>0</v>
      </c>
      <c r="Y2491" s="39" t="n">
        <f aca="false">MATCH(A2491,DATAS,0)</f>
        <v>1</v>
      </c>
      <c r="Z2491" s="39" t="n">
        <f aca="false">IF(AND(E2491&gt;0,OR(AND(B2491&gt;=1,B2491&lt;=6),B2491=10)),1,0)</f>
        <v>0</v>
      </c>
      <c r="AA2491" s="39" t="n">
        <f aca="false">IF(AND(E2491&gt;0,B2491=10),1,0)</f>
        <v>0</v>
      </c>
      <c r="AB2491" s="0" t="str">
        <f aca="false">IF(AND(C2490=C2491,Y2490=Y2491-1),Z2490,"")</f>
        <v/>
      </c>
      <c r="AC2491" s="0" t="str">
        <f aca="false">IF(AND(C2490=C2491,Y2490=Y2491-1),AA2490,"")</f>
        <v/>
      </c>
      <c r="AD2491" s="0" t="str">
        <f aca="false">IF(Y2491=1,"",IF(AND(Z2491=1,AB2491&lt;&gt;1),1,0))</f>
        <v/>
      </c>
      <c r="AE2491" s="0" t="str">
        <f aca="false">IF(Y2491=1,"",IF(AND(AA2491=1,AC2491&lt;&gt;1),1,0))</f>
        <v/>
      </c>
      <c r="AF2491" s="45" t="str">
        <f aca="false">IF(AND(E2491&gt;0,Y2491&lt;1,NOT(AND(C2492=C2491,Y2492=Y2491+1))),INDEX(DATAS,Y2491+1),"")</f>
        <v/>
      </c>
      <c r="AG2491" s="45" t="str">
        <f aca="false">IF(AND(AA2491=1,Y2491&lt;1),IF(AND(C2492=C2491,Y2492=Y2491+1),IF(AA2492=1,"",INDEX(DATAS,Y2491+1)),INDEX(DATAS,Y2491+1)),"")</f>
        <v/>
      </c>
    </row>
    <row r="2492" customFormat="false" ht="15" hidden="false" customHeight="false" outlineLevel="0" collapsed="false">
      <c r="A2492" s="45" t="n">
        <v>46309</v>
      </c>
      <c r="B2492" s="0" t="n">
        <v>8</v>
      </c>
      <c r="C2492" s="0" t="n">
        <v>6814</v>
      </c>
      <c r="E2492" s="0" t="n">
        <v>0</v>
      </c>
      <c r="F2492" s="39" t="s">
        <v>1254</v>
      </c>
      <c r="I2492" s="39" t="s">
        <v>109</v>
      </c>
      <c r="L2492" s="0" t="n">
        <v>35</v>
      </c>
      <c r="U2492" s="0" t="n">
        <v>433</v>
      </c>
      <c r="V2492" s="0" t="n">
        <v>1</v>
      </c>
      <c r="W2492" s="39" t="n">
        <f aca="false">IF(I2492="Male",0,1)</f>
        <v>1</v>
      </c>
      <c r="X2492" s="39" t="n">
        <f aca="false">IF(OR(I2492="DNB",I2492="Dry DNB"),1,0)</f>
        <v>0</v>
      </c>
      <c r="Y2492" s="39" t="n">
        <f aca="false">MATCH(A2492,DATAS,0)</f>
        <v>1</v>
      </c>
      <c r="Z2492" s="39" t="n">
        <f aca="false">IF(AND(E2492&gt;0,OR(AND(B2492&gt;=1,B2492&lt;=6),B2492=10)),1,0)</f>
        <v>0</v>
      </c>
      <c r="AA2492" s="39" t="n">
        <f aca="false">IF(AND(E2492&gt;0,B2492=10),1,0)</f>
        <v>0</v>
      </c>
      <c r="AB2492" s="0" t="str">
        <f aca="false">IF(AND(C2491=C2492,Y2491=Y2492-1),Z2491,"")</f>
        <v/>
      </c>
      <c r="AC2492" s="0" t="str">
        <f aca="false">IF(AND(C2491=C2492,Y2491=Y2492-1),AA2491,"")</f>
        <v/>
      </c>
      <c r="AD2492" s="0" t="str">
        <f aca="false">IF(Y2492=1,"",IF(AND(Z2492=1,AB2492&lt;&gt;1),1,0))</f>
        <v/>
      </c>
      <c r="AE2492" s="0" t="str">
        <f aca="false">IF(Y2492=1,"",IF(AND(AA2492=1,AC2492&lt;&gt;1),1,0))</f>
        <v/>
      </c>
      <c r="AF2492" s="45" t="str">
        <f aca="false">IF(AND(E2492&gt;0,Y2492&lt;1,NOT(AND(C2493=C2492,Y2493=Y2492+1))),INDEX(DATAS,Y2492+1),"")</f>
        <v/>
      </c>
      <c r="AG2492" s="45" t="str">
        <f aca="false">IF(AND(AA2492=1,Y2492&lt;1),IF(AND(C2493=C2492,Y2493=Y2492+1),IF(AA2493=1,"",INDEX(DATAS,Y2492+1)),INDEX(DATAS,Y2492+1)),"")</f>
        <v/>
      </c>
    </row>
    <row r="2493" customFormat="false" ht="15" hidden="false" customHeight="false" outlineLevel="0" collapsed="false">
      <c r="A2493" s="45" t="n">
        <v>46309</v>
      </c>
      <c r="B2493" s="0" t="n">
        <v>13</v>
      </c>
      <c r="C2493" s="0" t="n">
        <v>6815</v>
      </c>
      <c r="E2493" s="0" t="n">
        <v>0</v>
      </c>
      <c r="F2493" s="39" t="s">
        <v>1255</v>
      </c>
      <c r="I2493" s="39" t="s">
        <v>138</v>
      </c>
      <c r="U2493" s="0" t="n">
        <v>435</v>
      </c>
      <c r="V2493" s="0" t="n">
        <v>1</v>
      </c>
      <c r="W2493" s="39" t="n">
        <f aca="false">IF(I2493="Male",0,1)</f>
        <v>1</v>
      </c>
      <c r="X2493" s="39" t="n">
        <f aca="false">IF(OR(I2493="DNB",I2493="Dry DNB"),1,0)</f>
        <v>0</v>
      </c>
      <c r="Y2493" s="39" t="n">
        <f aca="false">MATCH(A2493,DATAS,0)</f>
        <v>1</v>
      </c>
      <c r="Z2493" s="39" t="n">
        <f aca="false">IF(AND(E2493&gt;0,OR(AND(B2493&gt;=1,B2493&lt;=6),B2493=10)),1,0)</f>
        <v>0</v>
      </c>
      <c r="AA2493" s="39" t="n">
        <f aca="false">IF(AND(E2493&gt;0,B2493=10),1,0)</f>
        <v>0</v>
      </c>
      <c r="AB2493" s="0" t="str">
        <f aca="false">IF(AND(C2492=C2493,Y2492=Y2493-1),Z2492,"")</f>
        <v/>
      </c>
      <c r="AC2493" s="0" t="str">
        <f aca="false">IF(AND(C2492=C2493,Y2492=Y2493-1),AA2492,"")</f>
        <v/>
      </c>
      <c r="AD2493" s="0" t="str">
        <f aca="false">IF(Y2493=1,"",IF(AND(Z2493=1,AB2493&lt;&gt;1),1,0))</f>
        <v/>
      </c>
      <c r="AE2493" s="0" t="str">
        <f aca="false">IF(Y2493=1,"",IF(AND(AA2493=1,AC2493&lt;&gt;1),1,0))</f>
        <v/>
      </c>
      <c r="AF2493" s="45" t="str">
        <f aca="false">IF(AND(E2493&gt;0,Y2493&lt;1,NOT(AND(C2494=C2493,Y2494=Y2493+1))),INDEX(DATAS,Y2493+1),"")</f>
        <v/>
      </c>
      <c r="AG2493" s="45" t="str">
        <f aca="false">IF(AND(AA2493=1,Y2493&lt;1),IF(AND(C2494=C2493,Y2494=Y2493+1),IF(AA2494=1,"",INDEX(DATAS,Y2493+1)),INDEX(DATAS,Y2493+1)),"")</f>
        <v/>
      </c>
    </row>
    <row r="2494" customFormat="false" ht="15" hidden="false" customHeight="false" outlineLevel="0" collapsed="false">
      <c r="A2494" s="45" t="n">
        <v>46309</v>
      </c>
      <c r="B2494" s="0" t="n">
        <v>8</v>
      </c>
      <c r="C2494" s="0" t="n">
        <v>6816</v>
      </c>
      <c r="E2494" s="0" t="n">
        <v>0</v>
      </c>
      <c r="F2494" s="39" t="s">
        <v>1254</v>
      </c>
      <c r="I2494" s="39" t="s">
        <v>109</v>
      </c>
      <c r="L2494" s="0" t="n">
        <v>36</v>
      </c>
      <c r="U2494" s="0" t="n">
        <v>433</v>
      </c>
      <c r="V2494" s="0" t="n">
        <v>1</v>
      </c>
      <c r="W2494" s="39" t="n">
        <f aca="false">IF(I2494="Male",0,1)</f>
        <v>1</v>
      </c>
      <c r="X2494" s="39" t="n">
        <f aca="false">IF(OR(I2494="DNB",I2494="Dry DNB"),1,0)</f>
        <v>0</v>
      </c>
      <c r="Y2494" s="39" t="n">
        <f aca="false">MATCH(A2494,DATAS,0)</f>
        <v>1</v>
      </c>
      <c r="Z2494" s="39" t="n">
        <f aca="false">IF(AND(E2494&gt;0,OR(AND(B2494&gt;=1,B2494&lt;=6),B2494=10)),1,0)</f>
        <v>0</v>
      </c>
      <c r="AA2494" s="39" t="n">
        <f aca="false">IF(AND(E2494&gt;0,B2494=10),1,0)</f>
        <v>0</v>
      </c>
      <c r="AB2494" s="0" t="str">
        <f aca="false">IF(AND(C2493=C2494,Y2493=Y2494-1),Z2493,"")</f>
        <v/>
      </c>
      <c r="AC2494" s="0" t="str">
        <f aca="false">IF(AND(C2493=C2494,Y2493=Y2494-1),AA2493,"")</f>
        <v/>
      </c>
      <c r="AD2494" s="0" t="str">
        <f aca="false">IF(Y2494=1,"",IF(AND(Z2494=1,AB2494&lt;&gt;1),1,0))</f>
        <v/>
      </c>
      <c r="AE2494" s="0" t="str">
        <f aca="false">IF(Y2494=1,"",IF(AND(AA2494=1,AC2494&lt;&gt;1),1,0))</f>
        <v/>
      </c>
      <c r="AF2494" s="45" t="str">
        <f aca="false">IF(AND(E2494&gt;0,Y2494&lt;1,NOT(AND(C2495=C2494,Y2495=Y2494+1))),INDEX(DATAS,Y2494+1),"")</f>
        <v/>
      </c>
      <c r="AG2494" s="45" t="str">
        <f aca="false">IF(AND(AA2494=1,Y2494&lt;1),IF(AND(C2495=C2494,Y2495=Y2494+1),IF(AA2495=1,"",INDEX(DATAS,Y2494+1)),INDEX(DATAS,Y2494+1)),"")</f>
        <v/>
      </c>
    </row>
    <row r="2495" customFormat="false" ht="15" hidden="false" customHeight="false" outlineLevel="0" collapsed="false">
      <c r="A2495" s="45" t="n">
        <v>46309</v>
      </c>
      <c r="B2495" s="0" t="n">
        <v>11</v>
      </c>
      <c r="C2495" s="0" t="n">
        <v>6817</v>
      </c>
      <c r="E2495" s="0" t="n">
        <v>0</v>
      </c>
      <c r="F2495" s="39" t="s">
        <v>1254</v>
      </c>
      <c r="I2495" s="39" t="s">
        <v>146</v>
      </c>
      <c r="U2495" s="0" t="n">
        <v>433</v>
      </c>
      <c r="V2495" s="0" t="n">
        <v>1</v>
      </c>
      <c r="W2495" s="39" t="n">
        <f aca="false">IF(I2495="Male",0,1)</f>
        <v>1</v>
      </c>
      <c r="X2495" s="39" t="n">
        <f aca="false">IF(OR(I2495="DNB",I2495="Dry DNB"),1,0)</f>
        <v>0</v>
      </c>
      <c r="Y2495" s="39" t="n">
        <f aca="false">MATCH(A2495,DATAS,0)</f>
        <v>1</v>
      </c>
      <c r="Z2495" s="39" t="n">
        <f aca="false">IF(AND(E2495&gt;0,OR(AND(B2495&gt;=1,B2495&lt;=6),B2495=10)),1,0)</f>
        <v>0</v>
      </c>
      <c r="AA2495" s="39" t="n">
        <f aca="false">IF(AND(E2495&gt;0,B2495=10),1,0)</f>
        <v>0</v>
      </c>
      <c r="AB2495" s="0" t="str">
        <f aca="false">IF(AND(C2494=C2495,Y2494=Y2495-1),Z2494,"")</f>
        <v/>
      </c>
      <c r="AC2495" s="0" t="str">
        <f aca="false">IF(AND(C2494=C2495,Y2494=Y2495-1),AA2494,"")</f>
        <v/>
      </c>
      <c r="AD2495" s="0" t="str">
        <f aca="false">IF(Y2495=1,"",IF(AND(Z2495=1,AB2495&lt;&gt;1),1,0))</f>
        <v/>
      </c>
      <c r="AE2495" s="0" t="str">
        <f aca="false">IF(Y2495=1,"",IF(AND(AA2495=1,AC2495&lt;&gt;1),1,0))</f>
        <v/>
      </c>
      <c r="AF2495" s="45" t="str">
        <f aca="false">IF(AND(E2495&gt;0,Y2495&lt;1,NOT(AND(C2496=C2495,Y2496=Y2495+1))),INDEX(DATAS,Y2495+1),"")</f>
        <v/>
      </c>
      <c r="AG2495" s="45" t="str">
        <f aca="false">IF(AND(AA2495=1,Y2495&lt;1),IF(AND(C2496=C2495,Y2496=Y2495+1),IF(AA2496=1,"",INDEX(DATAS,Y2495+1)),INDEX(DATAS,Y2495+1)),"")</f>
        <v/>
      </c>
    </row>
    <row r="2496" customFormat="false" ht="15" hidden="false" customHeight="false" outlineLevel="0" collapsed="false">
      <c r="A2496" s="45" t="n">
        <v>46309</v>
      </c>
      <c r="B2496" s="0" t="n">
        <v>11</v>
      </c>
      <c r="C2496" s="0" t="n">
        <v>6818</v>
      </c>
      <c r="E2496" s="0" t="n">
        <v>0</v>
      </c>
      <c r="F2496" s="39" t="s">
        <v>1254</v>
      </c>
      <c r="I2496" s="39" t="s">
        <v>138</v>
      </c>
      <c r="U2496" s="0" t="n">
        <v>433</v>
      </c>
      <c r="V2496" s="0" t="n">
        <v>1</v>
      </c>
      <c r="W2496" s="39" t="n">
        <f aca="false">IF(I2496="Male",0,1)</f>
        <v>1</v>
      </c>
      <c r="X2496" s="39" t="n">
        <f aca="false">IF(OR(I2496="DNB",I2496="Dry DNB"),1,0)</f>
        <v>0</v>
      </c>
      <c r="Y2496" s="39" t="n">
        <f aca="false">MATCH(A2496,DATAS,0)</f>
        <v>1</v>
      </c>
      <c r="Z2496" s="39" t="n">
        <f aca="false">IF(AND(E2496&gt;0,OR(AND(B2496&gt;=1,B2496&lt;=6),B2496=10)),1,0)</f>
        <v>0</v>
      </c>
      <c r="AA2496" s="39" t="n">
        <f aca="false">IF(AND(E2496&gt;0,B2496=10),1,0)</f>
        <v>0</v>
      </c>
      <c r="AB2496" s="0" t="str">
        <f aca="false">IF(AND(C2495=C2496,Y2495=Y2496-1),Z2495,"")</f>
        <v/>
      </c>
      <c r="AC2496" s="0" t="str">
        <f aca="false">IF(AND(C2495=C2496,Y2495=Y2496-1),AA2495,"")</f>
        <v/>
      </c>
      <c r="AD2496" s="0" t="str">
        <f aca="false">IF(Y2496=1,"",IF(AND(Z2496=1,AB2496&lt;&gt;1),1,0))</f>
        <v/>
      </c>
      <c r="AE2496" s="0" t="str">
        <f aca="false">IF(Y2496=1,"",IF(AND(AA2496=1,AC2496&lt;&gt;1),1,0))</f>
        <v/>
      </c>
      <c r="AF2496" s="45" t="str">
        <f aca="false">IF(AND(E2496&gt;0,Y2496&lt;1,NOT(AND(C2497=C2496,Y2497=Y2496+1))),INDEX(DATAS,Y2496+1),"")</f>
        <v/>
      </c>
      <c r="AG2496" s="45" t="str">
        <f aca="false">IF(AND(AA2496=1,Y2496&lt;1),IF(AND(C2497=C2496,Y2497=Y2496+1),IF(AA2497=1,"",INDEX(DATAS,Y2496+1)),INDEX(DATAS,Y2496+1)),"")</f>
        <v/>
      </c>
    </row>
    <row r="2497" customFormat="false" ht="15" hidden="false" customHeight="false" outlineLevel="0" collapsed="false">
      <c r="A2497" s="45" t="n">
        <v>46309</v>
      </c>
      <c r="B2497" s="0" t="n">
        <v>8</v>
      </c>
      <c r="C2497" s="0" t="n">
        <v>6819</v>
      </c>
      <c r="E2497" s="0" t="n">
        <v>0</v>
      </c>
      <c r="F2497" s="39" t="s">
        <v>1254</v>
      </c>
      <c r="I2497" s="39" t="s">
        <v>109</v>
      </c>
      <c r="L2497" s="0" t="n">
        <v>37</v>
      </c>
      <c r="U2497" s="0" t="n">
        <v>433</v>
      </c>
      <c r="V2497" s="0" t="n">
        <v>1</v>
      </c>
      <c r="W2497" s="39" t="n">
        <f aca="false">IF(I2497="Male",0,1)</f>
        <v>1</v>
      </c>
      <c r="X2497" s="39" t="n">
        <f aca="false">IF(OR(I2497="DNB",I2497="Dry DNB"),1,0)</f>
        <v>0</v>
      </c>
      <c r="Y2497" s="39" t="n">
        <f aca="false">MATCH(A2497,DATAS,0)</f>
        <v>1</v>
      </c>
      <c r="Z2497" s="39" t="n">
        <f aca="false">IF(AND(E2497&gt;0,OR(AND(B2497&gt;=1,B2497&lt;=6),B2497=10)),1,0)</f>
        <v>0</v>
      </c>
      <c r="AA2497" s="39" t="n">
        <f aca="false">IF(AND(E2497&gt;0,B2497=10),1,0)</f>
        <v>0</v>
      </c>
      <c r="AB2497" s="0" t="str">
        <f aca="false">IF(AND(C2496=C2497,Y2496=Y2497-1),Z2496,"")</f>
        <v/>
      </c>
      <c r="AC2497" s="0" t="str">
        <f aca="false">IF(AND(C2496=C2497,Y2496=Y2497-1),AA2496,"")</f>
        <v/>
      </c>
      <c r="AD2497" s="0" t="str">
        <f aca="false">IF(Y2497=1,"",IF(AND(Z2497=1,AB2497&lt;&gt;1),1,0))</f>
        <v/>
      </c>
      <c r="AE2497" s="0" t="str">
        <f aca="false">IF(Y2497=1,"",IF(AND(AA2497=1,AC2497&lt;&gt;1),1,0))</f>
        <v/>
      </c>
      <c r="AF2497" s="45" t="str">
        <f aca="false">IF(AND(E2497&gt;0,Y2497&lt;1,NOT(AND(C2498=C2497,Y2498=Y2497+1))),INDEX(DATAS,Y2497+1),"")</f>
        <v/>
      </c>
      <c r="AG2497" s="45" t="str">
        <f aca="false">IF(AND(AA2497=1,Y2497&lt;1),IF(AND(C2498=C2497,Y2498=Y2497+1),IF(AA2498=1,"",INDEX(DATAS,Y2497+1)),INDEX(DATAS,Y2497+1)),"")</f>
        <v/>
      </c>
    </row>
    <row r="2498" customFormat="false" ht="15" hidden="false" customHeight="false" outlineLevel="0" collapsed="false">
      <c r="A2498" s="45" t="n">
        <v>46309</v>
      </c>
      <c r="B2498" s="0" t="n">
        <v>8</v>
      </c>
      <c r="C2498" s="0" t="n">
        <v>6820</v>
      </c>
      <c r="E2498" s="0" t="n">
        <v>0</v>
      </c>
      <c r="F2498" s="39" t="s">
        <v>1254</v>
      </c>
      <c r="I2498" s="39" t="s">
        <v>109</v>
      </c>
      <c r="L2498" s="0" t="n">
        <v>35</v>
      </c>
      <c r="U2498" s="0" t="n">
        <v>433</v>
      </c>
      <c r="V2498" s="0" t="n">
        <v>1</v>
      </c>
      <c r="W2498" s="39" t="n">
        <f aca="false">IF(I2498="Male",0,1)</f>
        <v>1</v>
      </c>
      <c r="X2498" s="39" t="n">
        <f aca="false">IF(OR(I2498="DNB",I2498="Dry DNB"),1,0)</f>
        <v>0</v>
      </c>
      <c r="Y2498" s="39" t="n">
        <f aca="false">MATCH(A2498,DATAS,0)</f>
        <v>1</v>
      </c>
      <c r="Z2498" s="39" t="n">
        <f aca="false">IF(AND(E2498&gt;0,OR(AND(B2498&gt;=1,B2498&lt;=6),B2498=10)),1,0)</f>
        <v>0</v>
      </c>
      <c r="AA2498" s="39" t="n">
        <f aca="false">IF(AND(E2498&gt;0,B2498=10),1,0)</f>
        <v>0</v>
      </c>
      <c r="AB2498" s="0" t="str">
        <f aca="false">IF(AND(C2497=C2498,Y2497=Y2498-1),Z2497,"")</f>
        <v/>
      </c>
      <c r="AC2498" s="0" t="str">
        <f aca="false">IF(AND(C2497=C2498,Y2497=Y2498-1),AA2497,"")</f>
        <v/>
      </c>
      <c r="AD2498" s="0" t="str">
        <f aca="false">IF(Y2498=1,"",IF(AND(Z2498=1,AB2498&lt;&gt;1),1,0))</f>
        <v/>
      </c>
      <c r="AE2498" s="0" t="str">
        <f aca="false">IF(Y2498=1,"",IF(AND(AA2498=1,AC2498&lt;&gt;1),1,0))</f>
        <v/>
      </c>
      <c r="AF2498" s="45" t="str">
        <f aca="false">IF(AND(E2498&gt;0,Y2498&lt;1,NOT(AND(C2499=C2498,Y2499=Y2498+1))),INDEX(DATAS,Y2498+1),"")</f>
        <v/>
      </c>
      <c r="AG2498" s="45" t="str">
        <f aca="false">IF(AND(AA2498=1,Y2498&lt;1),IF(AND(C2499=C2498,Y2499=Y2498+1),IF(AA2499=1,"",INDEX(DATAS,Y2498+1)),INDEX(DATAS,Y2498+1)),"")</f>
        <v/>
      </c>
    </row>
    <row r="2499" customFormat="false" ht="15" hidden="false" customHeight="false" outlineLevel="0" collapsed="false">
      <c r="A2499" s="45" t="n">
        <v>46309</v>
      </c>
      <c r="B2499" s="0" t="n">
        <v>8</v>
      </c>
      <c r="C2499" s="0" t="n">
        <v>6821</v>
      </c>
      <c r="E2499" s="0" t="n">
        <v>0</v>
      </c>
      <c r="F2499" s="39" t="s">
        <v>1254</v>
      </c>
      <c r="I2499" s="39" t="s">
        <v>109</v>
      </c>
      <c r="L2499" s="0" t="n">
        <v>28</v>
      </c>
      <c r="U2499" s="0" t="n">
        <v>433</v>
      </c>
      <c r="V2499" s="0" t="n">
        <v>1</v>
      </c>
      <c r="W2499" s="39" t="n">
        <f aca="false">IF(I2499="Male",0,1)</f>
        <v>1</v>
      </c>
      <c r="X2499" s="39" t="n">
        <f aca="false">IF(OR(I2499="DNB",I2499="Dry DNB"),1,0)</f>
        <v>0</v>
      </c>
      <c r="Y2499" s="39" t="n">
        <f aca="false">MATCH(A2499,DATAS,0)</f>
        <v>1</v>
      </c>
      <c r="Z2499" s="39" t="n">
        <f aca="false">IF(AND(E2499&gt;0,OR(AND(B2499&gt;=1,B2499&lt;=6),B2499=10)),1,0)</f>
        <v>0</v>
      </c>
      <c r="AA2499" s="39" t="n">
        <f aca="false">IF(AND(E2499&gt;0,B2499=10),1,0)</f>
        <v>0</v>
      </c>
      <c r="AB2499" s="0" t="str">
        <f aca="false">IF(AND(C2498=C2499,Y2498=Y2499-1),Z2498,"")</f>
        <v/>
      </c>
      <c r="AC2499" s="0" t="str">
        <f aca="false">IF(AND(C2498=C2499,Y2498=Y2499-1),AA2498,"")</f>
        <v/>
      </c>
      <c r="AD2499" s="0" t="str">
        <f aca="false">IF(Y2499=1,"",IF(AND(Z2499=1,AB2499&lt;&gt;1),1,0))</f>
        <v/>
      </c>
      <c r="AE2499" s="0" t="str">
        <f aca="false">IF(Y2499=1,"",IF(AND(AA2499=1,AC2499&lt;&gt;1),1,0))</f>
        <v/>
      </c>
      <c r="AF2499" s="45" t="str">
        <f aca="false">IF(AND(E2499&gt;0,Y2499&lt;1,NOT(AND(C2500=C2499,Y2500=Y2499+1))),INDEX(DATAS,Y2499+1),"")</f>
        <v/>
      </c>
      <c r="AG2499" s="45" t="str">
        <f aca="false">IF(AND(AA2499=1,Y2499&lt;1),IF(AND(C2500=C2499,Y2500=Y2499+1),IF(AA2500=1,"",INDEX(DATAS,Y2499+1)),INDEX(DATAS,Y2499+1)),"")</f>
        <v/>
      </c>
    </row>
    <row r="2500" customFormat="false" ht="15" hidden="false" customHeight="false" outlineLevel="0" collapsed="false">
      <c r="A2500" s="45" t="n">
        <v>46309</v>
      </c>
      <c r="B2500" s="0" t="n">
        <v>8</v>
      </c>
      <c r="C2500" s="0" t="n">
        <v>6822</v>
      </c>
      <c r="E2500" s="0" t="n">
        <v>0</v>
      </c>
      <c r="F2500" s="39" t="s">
        <v>1254</v>
      </c>
      <c r="I2500" s="39" t="s">
        <v>109</v>
      </c>
      <c r="L2500" s="0" t="n">
        <v>28</v>
      </c>
      <c r="U2500" s="0" t="n">
        <v>433</v>
      </c>
      <c r="V2500" s="0" t="n">
        <v>1</v>
      </c>
      <c r="W2500" s="39" t="n">
        <f aca="false">IF(I2500="Male",0,1)</f>
        <v>1</v>
      </c>
      <c r="X2500" s="39" t="n">
        <f aca="false">IF(OR(I2500="DNB",I2500="Dry DNB"),1,0)</f>
        <v>0</v>
      </c>
      <c r="Y2500" s="39" t="n">
        <f aca="false">MATCH(A2500,DATAS,0)</f>
        <v>1</v>
      </c>
      <c r="Z2500" s="39" t="n">
        <f aca="false">IF(AND(E2500&gt;0,OR(AND(B2500&gt;=1,B2500&lt;=6),B2500=10)),1,0)</f>
        <v>0</v>
      </c>
      <c r="AA2500" s="39" t="n">
        <f aca="false">IF(AND(E2500&gt;0,B2500=10),1,0)</f>
        <v>0</v>
      </c>
      <c r="AB2500" s="0" t="str">
        <f aca="false">IF(AND(C2499=C2500,Y2499=Y2500-1),Z2499,"")</f>
        <v/>
      </c>
      <c r="AC2500" s="0" t="str">
        <f aca="false">IF(AND(C2499=C2500,Y2499=Y2500-1),AA2499,"")</f>
        <v/>
      </c>
      <c r="AD2500" s="0" t="str">
        <f aca="false">IF(Y2500=1,"",IF(AND(Z2500=1,AB2500&lt;&gt;1),1,0))</f>
        <v/>
      </c>
      <c r="AE2500" s="0" t="str">
        <f aca="false">IF(Y2500=1,"",IF(AND(AA2500=1,AC2500&lt;&gt;1),1,0))</f>
        <v/>
      </c>
      <c r="AF2500" s="45" t="str">
        <f aca="false">IF(AND(E2500&gt;0,Y2500&lt;1,NOT(AND(C2501=C2500,Y2501=Y2500+1))),INDEX(DATAS,Y2500+1),"")</f>
        <v/>
      </c>
      <c r="AG2500" s="45" t="str">
        <f aca="false">IF(AND(AA2500=1,Y2500&lt;1),IF(AND(C2501=C2500,Y2501=Y2500+1),IF(AA2501=1,"",INDEX(DATAS,Y2500+1)),INDEX(DATAS,Y2500+1)),"")</f>
        <v/>
      </c>
    </row>
    <row r="2501" customFormat="false" ht="15" hidden="false" customHeight="false" outlineLevel="0" collapsed="false">
      <c r="A2501" s="45" t="n">
        <v>46309</v>
      </c>
      <c r="B2501" s="0" t="n">
        <v>11</v>
      </c>
      <c r="C2501" s="0" t="n">
        <v>6823</v>
      </c>
      <c r="E2501" s="0" t="n">
        <v>0</v>
      </c>
      <c r="F2501" s="39" t="s">
        <v>1254</v>
      </c>
      <c r="I2501" s="39" t="s">
        <v>138</v>
      </c>
      <c r="U2501" s="0" t="n">
        <v>433</v>
      </c>
      <c r="V2501" s="0" t="n">
        <v>1</v>
      </c>
      <c r="W2501" s="39" t="n">
        <f aca="false">IF(I2501="Male",0,1)</f>
        <v>1</v>
      </c>
      <c r="X2501" s="39" t="n">
        <f aca="false">IF(OR(I2501="DNB",I2501="Dry DNB"),1,0)</f>
        <v>0</v>
      </c>
      <c r="Y2501" s="39" t="n">
        <f aca="false">MATCH(A2501,DATAS,0)</f>
        <v>1</v>
      </c>
      <c r="Z2501" s="39" t="n">
        <f aca="false">IF(AND(E2501&gt;0,OR(AND(B2501&gt;=1,B2501&lt;=6),B2501=10)),1,0)</f>
        <v>0</v>
      </c>
      <c r="AA2501" s="39" t="n">
        <f aca="false">IF(AND(E2501&gt;0,B2501=10),1,0)</f>
        <v>0</v>
      </c>
      <c r="AB2501" s="0" t="str">
        <f aca="false">IF(AND(C2500=C2501,Y2500=Y2501-1),Z2500,"")</f>
        <v/>
      </c>
      <c r="AC2501" s="0" t="str">
        <f aca="false">IF(AND(C2500=C2501,Y2500=Y2501-1),AA2500,"")</f>
        <v/>
      </c>
      <c r="AD2501" s="0" t="str">
        <f aca="false">IF(Y2501=1,"",IF(AND(Z2501=1,AB2501&lt;&gt;1),1,0))</f>
        <v/>
      </c>
      <c r="AE2501" s="0" t="str">
        <f aca="false">IF(Y2501=1,"",IF(AND(AA2501=1,AC2501&lt;&gt;1),1,0))</f>
        <v/>
      </c>
      <c r="AF2501" s="45" t="str">
        <f aca="false">IF(AND(E2501&gt;0,Y2501&lt;1,NOT(AND(C2502=C2501,Y2502=Y2501+1))),INDEX(DATAS,Y2501+1),"")</f>
        <v/>
      </c>
      <c r="AG2501" s="45" t="str">
        <f aca="false">IF(AND(AA2501=1,Y2501&lt;1),IF(AND(C2502=C2501,Y2502=Y2501+1),IF(AA2502=1,"",INDEX(DATAS,Y2501+1)),INDEX(DATAS,Y2501+1)),"")</f>
        <v/>
      </c>
    </row>
    <row r="2502" customFormat="false" ht="15" hidden="false" customHeight="false" outlineLevel="0" collapsed="false">
      <c r="A2502" s="45" t="n">
        <v>46309</v>
      </c>
      <c r="B2502" s="0" t="n">
        <v>11</v>
      </c>
      <c r="C2502" s="0" t="n">
        <v>6824</v>
      </c>
      <c r="E2502" s="0" t="n">
        <v>0</v>
      </c>
      <c r="F2502" s="39" t="s">
        <v>1254</v>
      </c>
      <c r="I2502" s="39" t="s">
        <v>138</v>
      </c>
      <c r="U2502" s="0" t="n">
        <v>433</v>
      </c>
      <c r="V2502" s="0" t="n">
        <v>2</v>
      </c>
      <c r="W2502" s="39" t="n">
        <f aca="false">IF(I2502="Male",0,1)</f>
        <v>1</v>
      </c>
      <c r="X2502" s="39" t="n">
        <f aca="false">IF(OR(I2502="DNB",I2502="Dry DNB"),1,0)</f>
        <v>0</v>
      </c>
      <c r="Y2502" s="39" t="n">
        <f aca="false">MATCH(A2502,DATAS,0)</f>
        <v>1</v>
      </c>
      <c r="Z2502" s="39" t="n">
        <f aca="false">IF(AND(E2502&gt;0,OR(AND(B2502&gt;=1,B2502&lt;=6),B2502=10)),1,0)</f>
        <v>0</v>
      </c>
      <c r="AA2502" s="39" t="n">
        <f aca="false">IF(AND(E2502&gt;0,B2502=10),1,0)</f>
        <v>0</v>
      </c>
      <c r="AB2502" s="0" t="str">
        <f aca="false">IF(AND(C2501=C2502,Y2501=Y2502-1),Z2501,"")</f>
        <v/>
      </c>
      <c r="AC2502" s="0" t="str">
        <f aca="false">IF(AND(C2501=C2502,Y2501=Y2502-1),AA2501,"")</f>
        <v/>
      </c>
      <c r="AD2502" s="0" t="str">
        <f aca="false">IF(Y2502=1,"",IF(AND(Z2502=1,AB2502&lt;&gt;1),1,0))</f>
        <v/>
      </c>
      <c r="AE2502" s="0" t="str">
        <f aca="false">IF(Y2502=1,"",IF(AND(AA2502=1,AC2502&lt;&gt;1),1,0))</f>
        <v/>
      </c>
      <c r="AF2502" s="45" t="str">
        <f aca="false">IF(AND(E2502&gt;0,Y2502&lt;1,NOT(AND(C2503=C2502,Y2503=Y2502+1))),INDEX(DATAS,Y2502+1),"")</f>
        <v/>
      </c>
      <c r="AG2502" s="45" t="str">
        <f aca="false">IF(AND(AA2502=1,Y2502&lt;1),IF(AND(C2503=C2502,Y2503=Y2502+1),IF(AA2503=1,"",INDEX(DATAS,Y2502+1)),INDEX(DATAS,Y2502+1)),"")</f>
        <v/>
      </c>
    </row>
    <row r="2503" customFormat="false" ht="15" hidden="false" customHeight="false" outlineLevel="0" collapsed="false">
      <c r="A2503" s="45" t="n">
        <v>46309</v>
      </c>
      <c r="B2503" s="0" t="n">
        <v>11</v>
      </c>
      <c r="C2503" s="0" t="n">
        <v>6827</v>
      </c>
      <c r="E2503" s="0" t="n">
        <v>0</v>
      </c>
      <c r="F2503" s="39" t="s">
        <v>1256</v>
      </c>
      <c r="I2503" s="39" t="s">
        <v>138</v>
      </c>
      <c r="U2503" s="0" t="n">
        <v>432</v>
      </c>
      <c r="V2503" s="0" t="n">
        <v>2</v>
      </c>
      <c r="W2503" s="39" t="n">
        <f aca="false">IF(I2503="Male",0,1)</f>
        <v>1</v>
      </c>
      <c r="X2503" s="39" t="n">
        <f aca="false">IF(OR(I2503="DNB",I2503="Dry DNB"),1,0)</f>
        <v>0</v>
      </c>
      <c r="Y2503" s="39" t="n">
        <f aca="false">MATCH(A2503,DATAS,0)</f>
        <v>1</v>
      </c>
      <c r="Z2503" s="39" t="n">
        <f aca="false">IF(AND(E2503&gt;0,OR(AND(B2503&gt;=1,B2503&lt;=6),B2503=10)),1,0)</f>
        <v>0</v>
      </c>
      <c r="AA2503" s="39" t="n">
        <f aca="false">IF(AND(E2503&gt;0,B2503=10),1,0)</f>
        <v>0</v>
      </c>
      <c r="AB2503" s="0" t="str">
        <f aca="false">IF(AND(C2502=C2503,Y2502=Y2503-1),Z2502,"")</f>
        <v/>
      </c>
      <c r="AC2503" s="0" t="str">
        <f aca="false">IF(AND(C2502=C2503,Y2502=Y2503-1),AA2502,"")</f>
        <v/>
      </c>
      <c r="AD2503" s="0" t="str">
        <f aca="false">IF(Y2503=1,"",IF(AND(Z2503=1,AB2503&lt;&gt;1),1,0))</f>
        <v/>
      </c>
      <c r="AE2503" s="0" t="str">
        <f aca="false">IF(Y2503=1,"",IF(AND(AA2503=1,AC2503&lt;&gt;1),1,0))</f>
        <v/>
      </c>
      <c r="AF2503" s="45" t="str">
        <f aca="false">IF(AND(E2503&gt;0,Y2503&lt;1,NOT(AND(C2504=C2503,Y2504=Y2503+1))),INDEX(DATAS,Y2503+1),"")</f>
        <v/>
      </c>
      <c r="AG2503" s="45" t="str">
        <f aca="false">IF(AND(AA2503=1,Y2503&lt;1),IF(AND(C2504=C2503,Y2504=Y2503+1),IF(AA2504=1,"",INDEX(DATAS,Y2503+1)),INDEX(DATAS,Y2503+1)),"")</f>
        <v/>
      </c>
    </row>
    <row r="2504" customFormat="false" ht="15" hidden="false" customHeight="false" outlineLevel="0" collapsed="false">
      <c r="A2504" s="45" t="n">
        <v>46309</v>
      </c>
      <c r="B2504" s="0" t="n">
        <v>11</v>
      </c>
      <c r="C2504" s="0" t="n">
        <v>6828</v>
      </c>
      <c r="E2504" s="0" t="n">
        <v>0</v>
      </c>
      <c r="F2504" s="39" t="s">
        <v>1256</v>
      </c>
      <c r="I2504" s="39" t="s">
        <v>138</v>
      </c>
      <c r="U2504" s="0" t="n">
        <v>432</v>
      </c>
      <c r="V2504" s="0" t="n">
        <v>1</v>
      </c>
      <c r="W2504" s="39" t="n">
        <f aca="false">IF(I2504="Male",0,1)</f>
        <v>1</v>
      </c>
      <c r="X2504" s="39" t="n">
        <f aca="false">IF(OR(I2504="DNB",I2504="Dry DNB"),1,0)</f>
        <v>0</v>
      </c>
      <c r="Y2504" s="39" t="n">
        <f aca="false">MATCH(A2504,DATAS,0)</f>
        <v>1</v>
      </c>
      <c r="Z2504" s="39" t="n">
        <f aca="false">IF(AND(E2504&gt;0,OR(AND(B2504&gt;=1,B2504&lt;=6),B2504=10)),1,0)</f>
        <v>0</v>
      </c>
      <c r="AA2504" s="39" t="n">
        <f aca="false">IF(AND(E2504&gt;0,B2504=10),1,0)</f>
        <v>0</v>
      </c>
      <c r="AB2504" s="0" t="str">
        <f aca="false">IF(AND(C2503=C2504,Y2503=Y2504-1),Z2503,"")</f>
        <v/>
      </c>
      <c r="AC2504" s="0" t="str">
        <f aca="false">IF(AND(C2503=C2504,Y2503=Y2504-1),AA2503,"")</f>
        <v/>
      </c>
      <c r="AD2504" s="0" t="str">
        <f aca="false">IF(Y2504=1,"",IF(AND(Z2504=1,AB2504&lt;&gt;1),1,0))</f>
        <v/>
      </c>
      <c r="AE2504" s="0" t="str">
        <f aca="false">IF(Y2504=1,"",IF(AND(AA2504=1,AC2504&lt;&gt;1),1,0))</f>
        <v/>
      </c>
      <c r="AF2504" s="45" t="str">
        <f aca="false">IF(AND(E2504&gt;0,Y2504&lt;1,NOT(AND(C2505=C2504,Y2505=Y2504+1))),INDEX(DATAS,Y2504+1),"")</f>
        <v/>
      </c>
      <c r="AG2504" s="45" t="str">
        <f aca="false">IF(AND(AA2504=1,Y2504&lt;1),IF(AND(C2505=C2504,Y2505=Y2504+1),IF(AA2505=1,"",INDEX(DATAS,Y2504+1)),INDEX(DATAS,Y2504+1)),"")</f>
        <v/>
      </c>
    </row>
    <row r="2505" customFormat="false" ht="15" hidden="false" customHeight="false" outlineLevel="0" collapsed="false">
      <c r="A2505" s="45" t="n">
        <v>46309</v>
      </c>
      <c r="B2505" s="0" t="n">
        <v>11</v>
      </c>
      <c r="C2505" s="0" t="n">
        <v>6829</v>
      </c>
      <c r="E2505" s="0" t="n">
        <v>0</v>
      </c>
      <c r="F2505" s="39" t="s">
        <v>1256</v>
      </c>
      <c r="I2505" s="39" t="s">
        <v>138</v>
      </c>
      <c r="U2505" s="0" t="n">
        <v>432</v>
      </c>
      <c r="V2505" s="0" t="n">
        <v>2</v>
      </c>
      <c r="W2505" s="39" t="n">
        <f aca="false">IF(I2505="Male",0,1)</f>
        <v>1</v>
      </c>
      <c r="X2505" s="39" t="n">
        <f aca="false">IF(OR(I2505="DNB",I2505="Dry DNB"),1,0)</f>
        <v>0</v>
      </c>
      <c r="Y2505" s="39" t="n">
        <f aca="false">MATCH(A2505,DATAS,0)</f>
        <v>1</v>
      </c>
      <c r="Z2505" s="39" t="n">
        <f aca="false">IF(AND(E2505&gt;0,OR(AND(B2505&gt;=1,B2505&lt;=6),B2505=10)),1,0)</f>
        <v>0</v>
      </c>
      <c r="AA2505" s="39" t="n">
        <f aca="false">IF(AND(E2505&gt;0,B2505=10),1,0)</f>
        <v>0</v>
      </c>
      <c r="AB2505" s="0" t="str">
        <f aca="false">IF(AND(C2504=C2505,Y2504=Y2505-1),Z2504,"")</f>
        <v/>
      </c>
      <c r="AC2505" s="0" t="str">
        <f aca="false">IF(AND(C2504=C2505,Y2504=Y2505-1),AA2504,"")</f>
        <v/>
      </c>
      <c r="AD2505" s="0" t="str">
        <f aca="false">IF(Y2505=1,"",IF(AND(Z2505=1,AB2505&lt;&gt;1),1,0))</f>
        <v/>
      </c>
      <c r="AE2505" s="0" t="str">
        <f aca="false">IF(Y2505=1,"",IF(AND(AA2505=1,AC2505&lt;&gt;1),1,0))</f>
        <v/>
      </c>
      <c r="AF2505" s="45" t="str">
        <f aca="false">IF(AND(E2505&gt;0,Y2505&lt;1,NOT(AND(C2506=C2505,Y2506=Y2505+1))),INDEX(DATAS,Y2505+1),"")</f>
        <v/>
      </c>
      <c r="AG2505" s="45" t="str">
        <f aca="false">IF(AND(AA2505=1,Y2505&lt;1),IF(AND(C2506=C2505,Y2506=Y2505+1),IF(AA2506=1,"",INDEX(DATAS,Y2505+1)),INDEX(DATAS,Y2505+1)),"")</f>
        <v/>
      </c>
    </row>
    <row r="2506" customFormat="false" ht="15" hidden="false" customHeight="false" outlineLevel="0" collapsed="false">
      <c r="A2506" s="45" t="n">
        <v>46309</v>
      </c>
      <c r="B2506" s="0" t="n">
        <v>11</v>
      </c>
      <c r="C2506" s="0" t="n">
        <v>6831</v>
      </c>
      <c r="E2506" s="0" t="n">
        <v>0</v>
      </c>
      <c r="F2506" s="39" t="s">
        <v>1257</v>
      </c>
      <c r="I2506" s="39" t="s">
        <v>146</v>
      </c>
      <c r="U2506" s="0" t="n">
        <v>431</v>
      </c>
      <c r="V2506" s="0" t="n">
        <v>1</v>
      </c>
      <c r="W2506" s="39" t="n">
        <f aca="false">IF(I2506="Male",0,1)</f>
        <v>1</v>
      </c>
      <c r="X2506" s="39" t="n">
        <f aca="false">IF(OR(I2506="DNB",I2506="Dry DNB"),1,0)</f>
        <v>0</v>
      </c>
      <c r="Y2506" s="39" t="n">
        <f aca="false">MATCH(A2506,DATAS,0)</f>
        <v>1</v>
      </c>
      <c r="Z2506" s="39" t="n">
        <f aca="false">IF(AND(E2506&gt;0,OR(AND(B2506&gt;=1,B2506&lt;=6),B2506=10)),1,0)</f>
        <v>0</v>
      </c>
      <c r="AA2506" s="39" t="n">
        <f aca="false">IF(AND(E2506&gt;0,B2506=10),1,0)</f>
        <v>0</v>
      </c>
      <c r="AB2506" s="0" t="str">
        <f aca="false">IF(AND(C2505=C2506,Y2505=Y2506-1),Z2505,"")</f>
        <v/>
      </c>
      <c r="AC2506" s="0" t="str">
        <f aca="false">IF(AND(C2505=C2506,Y2505=Y2506-1),AA2505,"")</f>
        <v/>
      </c>
      <c r="AD2506" s="0" t="str">
        <f aca="false">IF(Y2506=1,"",IF(AND(Z2506=1,AB2506&lt;&gt;1),1,0))</f>
        <v/>
      </c>
      <c r="AE2506" s="0" t="str">
        <f aca="false">IF(Y2506=1,"",IF(AND(AA2506=1,AC2506&lt;&gt;1),1,0))</f>
        <v/>
      </c>
      <c r="AF2506" s="45" t="str">
        <f aca="false">IF(AND(E2506&gt;0,Y2506&lt;1,NOT(AND(C2507=C2506,Y2507=Y2506+1))),INDEX(DATAS,Y2506+1),"")</f>
        <v/>
      </c>
      <c r="AG2506" s="45" t="str">
        <f aca="false">IF(AND(AA2506=1,Y2506&lt;1),IF(AND(C2507=C2506,Y2507=Y2506+1),IF(AA2507=1,"",INDEX(DATAS,Y2506+1)),INDEX(DATAS,Y2506+1)),"")</f>
        <v/>
      </c>
    </row>
    <row r="2507" customFormat="false" ht="15" hidden="false" customHeight="false" outlineLevel="0" collapsed="false">
      <c r="A2507" s="45" t="n">
        <v>46309</v>
      </c>
      <c r="B2507" s="0" t="n">
        <v>11</v>
      </c>
      <c r="C2507" s="0" t="n">
        <v>6832</v>
      </c>
      <c r="E2507" s="0" t="n">
        <v>0</v>
      </c>
      <c r="F2507" s="39" t="s">
        <v>1257</v>
      </c>
      <c r="I2507" s="39" t="s">
        <v>138</v>
      </c>
      <c r="U2507" s="0" t="n">
        <v>431</v>
      </c>
      <c r="V2507" s="0" t="n">
        <v>2</v>
      </c>
      <c r="W2507" s="39" t="n">
        <f aca="false">IF(I2507="Male",0,1)</f>
        <v>1</v>
      </c>
      <c r="X2507" s="39" t="n">
        <f aca="false">IF(OR(I2507="DNB",I2507="Dry DNB"),1,0)</f>
        <v>0</v>
      </c>
      <c r="Y2507" s="39" t="n">
        <f aca="false">MATCH(A2507,DATAS,0)</f>
        <v>1</v>
      </c>
      <c r="Z2507" s="39" t="n">
        <f aca="false">IF(AND(E2507&gt;0,OR(AND(B2507&gt;=1,B2507&lt;=6),B2507=10)),1,0)</f>
        <v>0</v>
      </c>
      <c r="AA2507" s="39" t="n">
        <f aca="false">IF(AND(E2507&gt;0,B2507=10),1,0)</f>
        <v>0</v>
      </c>
      <c r="AB2507" s="0" t="str">
        <f aca="false">IF(AND(C2506=C2507,Y2506=Y2507-1),Z2506,"")</f>
        <v/>
      </c>
      <c r="AC2507" s="0" t="str">
        <f aca="false">IF(AND(C2506=C2507,Y2506=Y2507-1),AA2506,"")</f>
        <v/>
      </c>
      <c r="AD2507" s="0" t="str">
        <f aca="false">IF(Y2507=1,"",IF(AND(Z2507=1,AB2507&lt;&gt;1),1,0))</f>
        <v/>
      </c>
      <c r="AE2507" s="0" t="str">
        <f aca="false">IF(Y2507=1,"",IF(AND(AA2507=1,AC2507&lt;&gt;1),1,0))</f>
        <v/>
      </c>
      <c r="AF2507" s="45" t="str">
        <f aca="false">IF(AND(E2507&gt;0,Y2507&lt;1,NOT(AND(C2508=C2507,Y2508=Y2507+1))),INDEX(DATAS,Y2507+1),"")</f>
        <v/>
      </c>
      <c r="AG2507" s="45" t="str">
        <f aca="false">IF(AND(AA2507=1,Y2507&lt;1),IF(AND(C2508=C2507,Y2508=Y2507+1),IF(AA2508=1,"",INDEX(DATAS,Y2507+1)),INDEX(DATAS,Y2507+1)),"")</f>
        <v/>
      </c>
    </row>
    <row r="2508" customFormat="false" ht="15" hidden="false" customHeight="false" outlineLevel="0" collapsed="false">
      <c r="A2508" s="45" t="n">
        <v>46309</v>
      </c>
      <c r="B2508" s="0" t="n">
        <v>11</v>
      </c>
      <c r="C2508" s="0" t="n">
        <v>6833</v>
      </c>
      <c r="E2508" s="0" t="n">
        <v>0</v>
      </c>
      <c r="F2508" s="39" t="s">
        <v>1257</v>
      </c>
      <c r="I2508" s="39" t="s">
        <v>138</v>
      </c>
      <c r="U2508" s="0" t="n">
        <v>431</v>
      </c>
      <c r="V2508" s="0" t="n">
        <v>2</v>
      </c>
      <c r="W2508" s="39" t="n">
        <f aca="false">IF(I2508="Male",0,1)</f>
        <v>1</v>
      </c>
      <c r="X2508" s="39" t="n">
        <f aca="false">IF(OR(I2508="DNB",I2508="Dry DNB"),1,0)</f>
        <v>0</v>
      </c>
      <c r="Y2508" s="39" t="n">
        <f aca="false">MATCH(A2508,DATAS,0)</f>
        <v>1</v>
      </c>
      <c r="Z2508" s="39" t="n">
        <f aca="false">IF(AND(E2508&gt;0,OR(AND(B2508&gt;=1,B2508&lt;=6),B2508=10)),1,0)</f>
        <v>0</v>
      </c>
      <c r="AA2508" s="39" t="n">
        <f aca="false">IF(AND(E2508&gt;0,B2508=10),1,0)</f>
        <v>0</v>
      </c>
      <c r="AB2508" s="0" t="str">
        <f aca="false">IF(AND(C2507=C2508,Y2507=Y2508-1),Z2507,"")</f>
        <v/>
      </c>
      <c r="AC2508" s="0" t="str">
        <f aca="false">IF(AND(C2507=C2508,Y2507=Y2508-1),AA2507,"")</f>
        <v/>
      </c>
      <c r="AD2508" s="0" t="str">
        <f aca="false">IF(Y2508=1,"",IF(AND(Z2508=1,AB2508&lt;&gt;1),1,0))</f>
        <v/>
      </c>
      <c r="AE2508" s="0" t="str">
        <f aca="false">IF(Y2508=1,"",IF(AND(AA2508=1,AC2508&lt;&gt;1),1,0))</f>
        <v/>
      </c>
      <c r="AF2508" s="45" t="str">
        <f aca="false">IF(AND(E2508&gt;0,Y2508&lt;1,NOT(AND(C2509=C2508,Y2509=Y2508+1))),INDEX(DATAS,Y2508+1),"")</f>
        <v/>
      </c>
      <c r="AG2508" s="45" t="str">
        <f aca="false">IF(AND(AA2508=1,Y2508&lt;1),IF(AND(C2509=C2508,Y2509=Y2508+1),IF(AA2509=1,"",INDEX(DATAS,Y2508+1)),INDEX(DATAS,Y2508+1)),"")</f>
        <v/>
      </c>
    </row>
    <row r="2509" customFormat="false" ht="15" hidden="false" customHeight="false" outlineLevel="0" collapsed="false">
      <c r="A2509" s="45" t="n">
        <v>46309</v>
      </c>
      <c r="B2509" s="0" t="n">
        <v>8</v>
      </c>
      <c r="C2509" s="0" t="n">
        <v>6835</v>
      </c>
      <c r="E2509" s="0" t="n">
        <v>0</v>
      </c>
      <c r="F2509" s="39" t="s">
        <v>1258</v>
      </c>
      <c r="I2509" s="39" t="s">
        <v>109</v>
      </c>
      <c r="L2509" s="0" t="n">
        <v>28</v>
      </c>
      <c r="U2509" s="0" t="n">
        <v>430</v>
      </c>
      <c r="V2509" s="0" t="n">
        <v>1</v>
      </c>
      <c r="W2509" s="39" t="n">
        <f aca="false">IF(I2509="Male",0,1)</f>
        <v>1</v>
      </c>
      <c r="X2509" s="39" t="n">
        <f aca="false">IF(OR(I2509="DNB",I2509="Dry DNB"),1,0)</f>
        <v>0</v>
      </c>
      <c r="Y2509" s="39" t="n">
        <f aca="false">MATCH(A2509,DATAS,0)</f>
        <v>1</v>
      </c>
      <c r="Z2509" s="39" t="n">
        <f aca="false">IF(AND(E2509&gt;0,OR(AND(B2509&gt;=1,B2509&lt;=6),B2509=10)),1,0)</f>
        <v>0</v>
      </c>
      <c r="AA2509" s="39" t="n">
        <f aca="false">IF(AND(E2509&gt;0,B2509=10),1,0)</f>
        <v>0</v>
      </c>
      <c r="AB2509" s="0" t="str">
        <f aca="false">IF(AND(C2508=C2509,Y2508=Y2509-1),Z2508,"")</f>
        <v/>
      </c>
      <c r="AC2509" s="0" t="str">
        <f aca="false">IF(AND(C2508=C2509,Y2508=Y2509-1),AA2508,"")</f>
        <v/>
      </c>
      <c r="AD2509" s="0" t="str">
        <f aca="false">IF(Y2509=1,"",IF(AND(Z2509=1,AB2509&lt;&gt;1),1,0))</f>
        <v/>
      </c>
      <c r="AE2509" s="0" t="str">
        <f aca="false">IF(Y2509=1,"",IF(AND(AA2509=1,AC2509&lt;&gt;1),1,0))</f>
        <v/>
      </c>
      <c r="AF2509" s="45" t="str">
        <f aca="false">IF(AND(E2509&gt;0,Y2509&lt;1,NOT(AND(C2510=C2509,Y2510=Y2509+1))),INDEX(DATAS,Y2509+1),"")</f>
        <v/>
      </c>
      <c r="AG2509" s="45" t="str">
        <f aca="false">IF(AND(AA2509=1,Y2509&lt;1),IF(AND(C2510=C2509,Y2510=Y2509+1),IF(AA2510=1,"",INDEX(DATAS,Y2509+1)),INDEX(DATAS,Y2509+1)),"")</f>
        <v/>
      </c>
    </row>
    <row r="2510" customFormat="false" ht="15" hidden="false" customHeight="false" outlineLevel="0" collapsed="false">
      <c r="A2510" s="45" t="n">
        <v>46309</v>
      </c>
      <c r="B2510" s="0" t="n">
        <v>8</v>
      </c>
      <c r="C2510" s="0" t="n">
        <v>6837</v>
      </c>
      <c r="E2510" s="0" t="n">
        <v>0</v>
      </c>
      <c r="F2510" s="39" t="s">
        <v>1259</v>
      </c>
      <c r="I2510" s="39" t="s">
        <v>109</v>
      </c>
      <c r="L2510" s="0" t="n">
        <v>36</v>
      </c>
      <c r="U2510" s="0" t="n">
        <v>429</v>
      </c>
      <c r="V2510" s="0" t="n">
        <v>1</v>
      </c>
      <c r="W2510" s="39" t="n">
        <f aca="false">IF(I2510="Male",0,1)</f>
        <v>1</v>
      </c>
      <c r="X2510" s="39" t="n">
        <f aca="false">IF(OR(I2510="DNB",I2510="Dry DNB"),1,0)</f>
        <v>0</v>
      </c>
      <c r="Y2510" s="39" t="n">
        <f aca="false">MATCH(A2510,DATAS,0)</f>
        <v>1</v>
      </c>
      <c r="Z2510" s="39" t="n">
        <f aca="false">IF(AND(E2510&gt;0,OR(AND(B2510&gt;=1,B2510&lt;=6),B2510=10)),1,0)</f>
        <v>0</v>
      </c>
      <c r="AA2510" s="39" t="n">
        <f aca="false">IF(AND(E2510&gt;0,B2510=10),1,0)</f>
        <v>0</v>
      </c>
      <c r="AB2510" s="0" t="str">
        <f aca="false">IF(AND(C2509=C2510,Y2509=Y2510-1),Z2509,"")</f>
        <v/>
      </c>
      <c r="AC2510" s="0" t="str">
        <f aca="false">IF(AND(C2509=C2510,Y2509=Y2510-1),AA2509,"")</f>
        <v/>
      </c>
      <c r="AD2510" s="0" t="str">
        <f aca="false">IF(Y2510=1,"",IF(AND(Z2510=1,AB2510&lt;&gt;1),1,0))</f>
        <v/>
      </c>
      <c r="AE2510" s="0" t="str">
        <f aca="false">IF(Y2510=1,"",IF(AND(AA2510=1,AC2510&lt;&gt;1),1,0))</f>
        <v/>
      </c>
      <c r="AF2510" s="45" t="str">
        <f aca="false">IF(AND(E2510&gt;0,Y2510&lt;1,NOT(AND(C2511=C2510,Y2511=Y2510+1))),INDEX(DATAS,Y2510+1),"")</f>
        <v/>
      </c>
      <c r="AG2510" s="45" t="str">
        <f aca="false">IF(AND(AA2510=1,Y2510&lt;1),IF(AND(C2511=C2510,Y2511=Y2510+1),IF(AA2511=1,"",INDEX(DATAS,Y2510+1)),INDEX(DATAS,Y2510+1)),"")</f>
        <v/>
      </c>
    </row>
    <row r="2511" customFormat="false" ht="15" hidden="false" customHeight="false" outlineLevel="0" collapsed="false">
      <c r="A2511" s="45" t="n">
        <v>46309</v>
      </c>
      <c r="B2511" s="0" t="n">
        <v>11</v>
      </c>
      <c r="C2511" s="0" t="n">
        <v>6839</v>
      </c>
      <c r="E2511" s="0" t="n">
        <v>0</v>
      </c>
      <c r="F2511" s="39" t="s">
        <v>1260</v>
      </c>
      <c r="I2511" s="39" t="s">
        <v>138</v>
      </c>
      <c r="U2511" s="0" t="n">
        <v>428</v>
      </c>
      <c r="V2511" s="0" t="n">
        <v>2</v>
      </c>
      <c r="W2511" s="39" t="n">
        <f aca="false">IF(I2511="Male",0,1)</f>
        <v>1</v>
      </c>
      <c r="X2511" s="39" t="n">
        <f aca="false">IF(OR(I2511="DNB",I2511="Dry DNB"),1,0)</f>
        <v>0</v>
      </c>
      <c r="Y2511" s="39" t="n">
        <f aca="false">MATCH(A2511,DATAS,0)</f>
        <v>1</v>
      </c>
      <c r="Z2511" s="39" t="n">
        <f aca="false">IF(AND(E2511&gt;0,OR(AND(B2511&gt;=1,B2511&lt;=6),B2511=10)),1,0)</f>
        <v>0</v>
      </c>
      <c r="AA2511" s="39" t="n">
        <f aca="false">IF(AND(E2511&gt;0,B2511=10),1,0)</f>
        <v>0</v>
      </c>
      <c r="AB2511" s="0" t="str">
        <f aca="false">IF(AND(C2510=C2511,Y2510=Y2511-1),Z2510,"")</f>
        <v/>
      </c>
      <c r="AC2511" s="0" t="str">
        <f aca="false">IF(AND(C2510=C2511,Y2510=Y2511-1),AA2510,"")</f>
        <v/>
      </c>
      <c r="AD2511" s="0" t="str">
        <f aca="false">IF(Y2511=1,"",IF(AND(Z2511=1,AB2511&lt;&gt;1),1,0))</f>
        <v/>
      </c>
      <c r="AE2511" s="0" t="str">
        <f aca="false">IF(Y2511=1,"",IF(AND(AA2511=1,AC2511&lt;&gt;1),1,0))</f>
        <v/>
      </c>
      <c r="AF2511" s="45" t="str">
        <f aca="false">IF(AND(E2511&gt;0,Y2511&lt;1,NOT(AND(C2512=C2511,Y2512=Y2511+1))),INDEX(DATAS,Y2511+1),"")</f>
        <v/>
      </c>
      <c r="AG2511" s="45" t="str">
        <f aca="false">IF(AND(AA2511=1,Y2511&lt;1),IF(AND(C2512=C2511,Y2512=Y2511+1),IF(AA2512=1,"",INDEX(DATAS,Y2511+1)),INDEX(DATAS,Y2511+1)),"")</f>
        <v/>
      </c>
    </row>
    <row r="2512" customFormat="false" ht="15" hidden="false" customHeight="false" outlineLevel="0" collapsed="false">
      <c r="A2512" s="45" t="n">
        <v>46309</v>
      </c>
      <c r="B2512" s="0" t="n">
        <v>11</v>
      </c>
      <c r="C2512" s="0" t="n">
        <v>6841</v>
      </c>
      <c r="E2512" s="0" t="n">
        <v>0</v>
      </c>
      <c r="F2512" s="39" t="s">
        <v>1261</v>
      </c>
      <c r="I2512" s="39" t="s">
        <v>138</v>
      </c>
      <c r="U2512" s="0" t="n">
        <v>487</v>
      </c>
      <c r="V2512" s="0" t="n">
        <v>1</v>
      </c>
      <c r="W2512" s="39" t="n">
        <f aca="false">IF(I2512="Male",0,1)</f>
        <v>1</v>
      </c>
      <c r="X2512" s="39" t="n">
        <f aca="false">IF(OR(I2512="DNB",I2512="Dry DNB"),1,0)</f>
        <v>0</v>
      </c>
      <c r="Y2512" s="39" t="n">
        <f aca="false">MATCH(A2512,DATAS,0)</f>
        <v>1</v>
      </c>
      <c r="Z2512" s="39" t="n">
        <f aca="false">IF(AND(E2512&gt;0,OR(AND(B2512&gt;=1,B2512&lt;=6),B2512=10)),1,0)</f>
        <v>0</v>
      </c>
      <c r="AA2512" s="39" t="n">
        <f aca="false">IF(AND(E2512&gt;0,B2512=10),1,0)</f>
        <v>0</v>
      </c>
      <c r="AB2512" s="0" t="str">
        <f aca="false">IF(AND(C2511=C2512,Y2511=Y2512-1),Z2511,"")</f>
        <v/>
      </c>
      <c r="AC2512" s="0" t="str">
        <f aca="false">IF(AND(C2511=C2512,Y2511=Y2512-1),AA2511,"")</f>
        <v/>
      </c>
      <c r="AD2512" s="0" t="str">
        <f aca="false">IF(Y2512=1,"",IF(AND(Z2512=1,AB2512&lt;&gt;1),1,0))</f>
        <v/>
      </c>
      <c r="AE2512" s="0" t="str">
        <f aca="false">IF(Y2512=1,"",IF(AND(AA2512=1,AC2512&lt;&gt;1),1,0))</f>
        <v/>
      </c>
      <c r="AF2512" s="45" t="str">
        <f aca="false">IF(AND(E2512&gt;0,Y2512&lt;1,NOT(AND(C2513=C2512,Y2513=Y2512+1))),INDEX(DATAS,Y2512+1),"")</f>
        <v/>
      </c>
      <c r="AG2512" s="45" t="str">
        <f aca="false">IF(AND(AA2512=1,Y2512&lt;1),IF(AND(C2513=C2512,Y2513=Y2512+1),IF(AA2513=1,"",INDEX(DATAS,Y2512+1)),INDEX(DATAS,Y2512+1)),"")</f>
        <v/>
      </c>
    </row>
    <row r="2513" customFormat="false" ht="15" hidden="false" customHeight="false" outlineLevel="0" collapsed="false">
      <c r="A2513" s="45" t="n">
        <v>46309</v>
      </c>
      <c r="B2513" s="0" t="n">
        <v>11</v>
      </c>
      <c r="C2513" s="0" t="n">
        <v>6842</v>
      </c>
      <c r="E2513" s="0" t="n">
        <v>0</v>
      </c>
      <c r="F2513" s="39" t="s">
        <v>1262</v>
      </c>
      <c r="I2513" s="39" t="s">
        <v>138</v>
      </c>
      <c r="U2513" s="0" t="n">
        <v>427</v>
      </c>
      <c r="V2513" s="0" t="n">
        <v>1</v>
      </c>
      <c r="W2513" s="39" t="n">
        <f aca="false">IF(I2513="Male",0,1)</f>
        <v>1</v>
      </c>
      <c r="X2513" s="39" t="n">
        <f aca="false">IF(OR(I2513="DNB",I2513="Dry DNB"),1,0)</f>
        <v>0</v>
      </c>
      <c r="Y2513" s="39" t="n">
        <f aca="false">MATCH(A2513,DATAS,0)</f>
        <v>1</v>
      </c>
      <c r="Z2513" s="39" t="n">
        <f aca="false">IF(AND(E2513&gt;0,OR(AND(B2513&gt;=1,B2513&lt;=6),B2513=10)),1,0)</f>
        <v>0</v>
      </c>
      <c r="AA2513" s="39" t="n">
        <f aca="false">IF(AND(E2513&gt;0,B2513=10),1,0)</f>
        <v>0</v>
      </c>
      <c r="AB2513" s="0" t="str">
        <f aca="false">IF(AND(C2512=C2513,Y2512=Y2513-1),Z2512,"")</f>
        <v/>
      </c>
      <c r="AC2513" s="0" t="str">
        <f aca="false">IF(AND(C2512=C2513,Y2512=Y2513-1),AA2512,"")</f>
        <v/>
      </c>
      <c r="AD2513" s="0" t="str">
        <f aca="false">IF(Y2513=1,"",IF(AND(Z2513=1,AB2513&lt;&gt;1),1,0))</f>
        <v/>
      </c>
      <c r="AE2513" s="0" t="str">
        <f aca="false">IF(Y2513=1,"",IF(AND(AA2513=1,AC2513&lt;&gt;1),1,0))</f>
        <v/>
      </c>
      <c r="AF2513" s="45" t="str">
        <f aca="false">IF(AND(E2513&gt;0,Y2513&lt;1,NOT(AND(C2514=C2513,Y2514=Y2513+1))),INDEX(DATAS,Y2513+1),"")</f>
        <v/>
      </c>
      <c r="AG2513" s="45" t="str">
        <f aca="false">IF(AND(AA2513=1,Y2513&lt;1),IF(AND(C2514=C2513,Y2514=Y2513+1),IF(AA2514=1,"",INDEX(DATAS,Y2513+1)),INDEX(DATAS,Y2513+1)),"")</f>
        <v/>
      </c>
    </row>
    <row r="2514" customFormat="false" ht="15" hidden="false" customHeight="false" outlineLevel="0" collapsed="false">
      <c r="A2514" s="45" t="n">
        <v>46309</v>
      </c>
      <c r="B2514" s="0" t="n">
        <v>13</v>
      </c>
      <c r="C2514" s="0" t="n">
        <v>6843</v>
      </c>
      <c r="E2514" s="0" t="n">
        <v>0</v>
      </c>
      <c r="F2514" s="39" t="s">
        <v>1262</v>
      </c>
      <c r="I2514" s="39" t="s">
        <v>146</v>
      </c>
      <c r="U2514" s="0" t="n">
        <v>427</v>
      </c>
      <c r="V2514" s="0" t="n">
        <v>0</v>
      </c>
      <c r="W2514" s="39" t="n">
        <f aca="false">IF(I2514="Male",0,1)</f>
        <v>1</v>
      </c>
      <c r="X2514" s="39" t="n">
        <f aca="false">IF(OR(I2514="DNB",I2514="Dry DNB"),1,0)</f>
        <v>0</v>
      </c>
      <c r="Y2514" s="39" t="n">
        <f aca="false">MATCH(A2514,DATAS,0)</f>
        <v>1</v>
      </c>
      <c r="Z2514" s="39" t="n">
        <f aca="false">IF(AND(E2514&gt;0,OR(AND(B2514&gt;=1,B2514&lt;=6),B2514=10)),1,0)</f>
        <v>0</v>
      </c>
      <c r="AA2514" s="39" t="n">
        <f aca="false">IF(AND(E2514&gt;0,B2514=10),1,0)</f>
        <v>0</v>
      </c>
      <c r="AB2514" s="0" t="str">
        <f aca="false">IF(AND(C2513=C2514,Y2513=Y2514-1),Z2513,"")</f>
        <v/>
      </c>
      <c r="AC2514" s="0" t="str">
        <f aca="false">IF(AND(C2513=C2514,Y2513=Y2514-1),AA2513,"")</f>
        <v/>
      </c>
      <c r="AD2514" s="0" t="str">
        <f aca="false">IF(Y2514=1,"",IF(AND(Z2514=1,AB2514&lt;&gt;1),1,0))</f>
        <v/>
      </c>
      <c r="AE2514" s="0" t="str">
        <f aca="false">IF(Y2514=1,"",IF(AND(AA2514=1,AC2514&lt;&gt;1),1,0))</f>
        <v/>
      </c>
      <c r="AF2514" s="45" t="str">
        <f aca="false">IF(AND(E2514&gt;0,Y2514&lt;1,NOT(AND(C2515=C2514,Y2515=Y2514+1))),INDEX(DATAS,Y2514+1),"")</f>
        <v/>
      </c>
      <c r="AG2514" s="45" t="str">
        <f aca="false">IF(AND(AA2514=1,Y2514&lt;1),IF(AND(C2515=C2514,Y2515=Y2514+1),IF(AA2515=1,"",INDEX(DATAS,Y2514+1)),INDEX(DATAS,Y2514+1)),"")</f>
        <v/>
      </c>
    </row>
    <row r="2515" customFormat="false" ht="15" hidden="false" customHeight="false" outlineLevel="0" collapsed="false">
      <c r="A2515" s="45" t="n">
        <v>46309</v>
      </c>
      <c r="B2515" s="0" t="n">
        <v>11</v>
      </c>
      <c r="C2515" s="0" t="n">
        <v>6845</v>
      </c>
      <c r="E2515" s="0" t="n">
        <v>0</v>
      </c>
      <c r="F2515" s="39" t="s">
        <v>1262</v>
      </c>
      <c r="I2515" s="39" t="s">
        <v>138</v>
      </c>
      <c r="U2515" s="0" t="n">
        <v>427</v>
      </c>
      <c r="V2515" s="0" t="n">
        <v>2</v>
      </c>
      <c r="W2515" s="39" t="n">
        <f aca="false">IF(I2515="Male",0,1)</f>
        <v>1</v>
      </c>
      <c r="X2515" s="39" t="n">
        <f aca="false">IF(OR(I2515="DNB",I2515="Dry DNB"),1,0)</f>
        <v>0</v>
      </c>
      <c r="Y2515" s="39" t="n">
        <f aca="false">MATCH(A2515,DATAS,0)</f>
        <v>1</v>
      </c>
      <c r="Z2515" s="39" t="n">
        <f aca="false">IF(AND(E2515&gt;0,OR(AND(B2515&gt;=1,B2515&lt;=6),B2515=10)),1,0)</f>
        <v>0</v>
      </c>
      <c r="AA2515" s="39" t="n">
        <f aca="false">IF(AND(E2515&gt;0,B2515=10),1,0)</f>
        <v>0</v>
      </c>
      <c r="AB2515" s="0" t="str">
        <f aca="false">IF(AND(C2514=C2515,Y2514=Y2515-1),Z2514,"")</f>
        <v/>
      </c>
      <c r="AC2515" s="0" t="str">
        <f aca="false">IF(AND(C2514=C2515,Y2514=Y2515-1),AA2514,"")</f>
        <v/>
      </c>
      <c r="AD2515" s="0" t="str">
        <f aca="false">IF(Y2515=1,"",IF(AND(Z2515=1,AB2515&lt;&gt;1),1,0))</f>
        <v/>
      </c>
      <c r="AE2515" s="0" t="str">
        <f aca="false">IF(Y2515=1,"",IF(AND(AA2515=1,AC2515&lt;&gt;1),1,0))</f>
        <v/>
      </c>
      <c r="AF2515" s="45" t="str">
        <f aca="false">IF(AND(E2515&gt;0,Y2515&lt;1,NOT(AND(C2516=C2515,Y2516=Y2515+1))),INDEX(DATAS,Y2515+1),"")</f>
        <v/>
      </c>
      <c r="AG2515" s="45" t="str">
        <f aca="false">IF(AND(AA2515=1,Y2515&lt;1),IF(AND(C2516=C2515,Y2516=Y2515+1),IF(AA2516=1,"",INDEX(DATAS,Y2515+1)),INDEX(DATAS,Y2515+1)),"")</f>
        <v/>
      </c>
    </row>
    <row r="2516" customFormat="false" ht="15" hidden="false" customHeight="false" outlineLevel="0" collapsed="false">
      <c r="A2516" s="45" t="n">
        <v>46309</v>
      </c>
      <c r="B2516" s="0" t="n">
        <v>11</v>
      </c>
      <c r="C2516" s="0" t="n">
        <v>6846</v>
      </c>
      <c r="E2516" s="0" t="n">
        <v>0</v>
      </c>
      <c r="F2516" s="39" t="s">
        <v>1263</v>
      </c>
      <c r="I2516" s="39" t="s">
        <v>138</v>
      </c>
      <c r="U2516" s="0" t="n">
        <v>426</v>
      </c>
      <c r="V2516" s="0" t="n">
        <v>1</v>
      </c>
      <c r="W2516" s="39" t="n">
        <f aca="false">IF(I2516="Male",0,1)</f>
        <v>1</v>
      </c>
      <c r="X2516" s="39" t="n">
        <f aca="false">IF(OR(I2516="DNB",I2516="Dry DNB"),1,0)</f>
        <v>0</v>
      </c>
      <c r="Y2516" s="39" t="n">
        <f aca="false">MATCH(A2516,DATAS,0)</f>
        <v>1</v>
      </c>
      <c r="Z2516" s="39" t="n">
        <f aca="false">IF(AND(E2516&gt;0,OR(AND(B2516&gt;=1,B2516&lt;=6),B2516=10)),1,0)</f>
        <v>0</v>
      </c>
      <c r="AA2516" s="39" t="n">
        <f aca="false">IF(AND(E2516&gt;0,B2516=10),1,0)</f>
        <v>0</v>
      </c>
      <c r="AB2516" s="0" t="str">
        <f aca="false">IF(AND(C2515=C2516,Y2515=Y2516-1),Z2515,"")</f>
        <v/>
      </c>
      <c r="AC2516" s="0" t="str">
        <f aca="false">IF(AND(C2515=C2516,Y2515=Y2516-1),AA2515,"")</f>
        <v/>
      </c>
      <c r="AD2516" s="0" t="str">
        <f aca="false">IF(Y2516=1,"",IF(AND(Z2516=1,AB2516&lt;&gt;1),1,0))</f>
        <v/>
      </c>
      <c r="AE2516" s="0" t="str">
        <f aca="false">IF(Y2516=1,"",IF(AND(AA2516=1,AC2516&lt;&gt;1),1,0))</f>
        <v/>
      </c>
      <c r="AF2516" s="45" t="str">
        <f aca="false">IF(AND(E2516&gt;0,Y2516&lt;1,NOT(AND(C2517=C2516,Y2517=Y2516+1))),INDEX(DATAS,Y2516+1),"")</f>
        <v/>
      </c>
      <c r="AG2516" s="45" t="str">
        <f aca="false">IF(AND(AA2516=1,Y2516&lt;1),IF(AND(C2517=C2516,Y2517=Y2516+1),IF(AA2517=1,"",INDEX(DATAS,Y2516+1)),INDEX(DATAS,Y2516+1)),"")</f>
        <v/>
      </c>
    </row>
    <row r="2517" customFormat="false" ht="15" hidden="false" customHeight="false" outlineLevel="0" collapsed="false">
      <c r="A2517" s="45" t="n">
        <v>46309</v>
      </c>
      <c r="B2517" s="0" t="n">
        <v>8</v>
      </c>
      <c r="C2517" s="0" t="n">
        <v>6847</v>
      </c>
      <c r="E2517" s="0" t="n">
        <v>0</v>
      </c>
      <c r="F2517" s="39" t="s">
        <v>1264</v>
      </c>
      <c r="I2517" s="39" t="s">
        <v>109</v>
      </c>
      <c r="L2517" s="0" t="n">
        <v>33</v>
      </c>
      <c r="U2517" s="0" t="n">
        <v>425</v>
      </c>
      <c r="V2517" s="0" t="n">
        <v>1</v>
      </c>
      <c r="W2517" s="39" t="n">
        <f aca="false">IF(I2517="Male",0,1)</f>
        <v>1</v>
      </c>
      <c r="X2517" s="39" t="n">
        <f aca="false">IF(OR(I2517="DNB",I2517="Dry DNB"),1,0)</f>
        <v>0</v>
      </c>
      <c r="Y2517" s="39" t="n">
        <f aca="false">MATCH(A2517,DATAS,0)</f>
        <v>1</v>
      </c>
      <c r="Z2517" s="39" t="n">
        <f aca="false">IF(AND(E2517&gt;0,OR(AND(B2517&gt;=1,B2517&lt;=6),B2517=10)),1,0)</f>
        <v>0</v>
      </c>
      <c r="AA2517" s="39" t="n">
        <f aca="false">IF(AND(E2517&gt;0,B2517=10),1,0)</f>
        <v>0</v>
      </c>
      <c r="AB2517" s="0" t="str">
        <f aca="false">IF(AND(C2516=C2517,Y2516=Y2517-1),Z2516,"")</f>
        <v/>
      </c>
      <c r="AC2517" s="0" t="str">
        <f aca="false">IF(AND(C2516=C2517,Y2516=Y2517-1),AA2516,"")</f>
        <v/>
      </c>
      <c r="AD2517" s="0" t="str">
        <f aca="false">IF(Y2517=1,"",IF(AND(Z2517=1,AB2517&lt;&gt;1),1,0))</f>
        <v/>
      </c>
      <c r="AE2517" s="0" t="str">
        <f aca="false">IF(Y2517=1,"",IF(AND(AA2517=1,AC2517&lt;&gt;1),1,0))</f>
        <v/>
      </c>
      <c r="AF2517" s="45" t="str">
        <f aca="false">IF(AND(E2517&gt;0,Y2517&lt;1,NOT(AND(C2518=C2517,Y2518=Y2517+1))),INDEX(DATAS,Y2517+1),"")</f>
        <v/>
      </c>
      <c r="AG2517" s="45" t="str">
        <f aca="false">IF(AND(AA2517=1,Y2517&lt;1),IF(AND(C2518=C2517,Y2518=Y2517+1),IF(AA2518=1,"",INDEX(DATAS,Y2517+1)),INDEX(DATAS,Y2517+1)),"")</f>
        <v/>
      </c>
    </row>
    <row r="2518" customFormat="false" ht="15" hidden="false" customHeight="false" outlineLevel="0" collapsed="false">
      <c r="A2518" s="45" t="n">
        <v>46309</v>
      </c>
      <c r="B2518" s="0" t="n">
        <v>8</v>
      </c>
      <c r="C2518" s="0" t="n">
        <v>6848</v>
      </c>
      <c r="E2518" s="0" t="n">
        <v>0</v>
      </c>
      <c r="F2518" s="39" t="s">
        <v>1265</v>
      </c>
      <c r="I2518" s="39" t="s">
        <v>109</v>
      </c>
      <c r="L2518" s="0" t="n">
        <v>28</v>
      </c>
      <c r="U2518" s="0" t="n">
        <v>424</v>
      </c>
      <c r="V2518" s="0" t="n">
        <v>1</v>
      </c>
      <c r="W2518" s="39" t="n">
        <f aca="false">IF(I2518="Male",0,1)</f>
        <v>1</v>
      </c>
      <c r="X2518" s="39" t="n">
        <f aca="false">IF(OR(I2518="DNB",I2518="Dry DNB"),1,0)</f>
        <v>0</v>
      </c>
      <c r="Y2518" s="39" t="n">
        <f aca="false">MATCH(A2518,DATAS,0)</f>
        <v>1</v>
      </c>
      <c r="Z2518" s="39" t="n">
        <f aca="false">IF(AND(E2518&gt;0,OR(AND(B2518&gt;=1,B2518&lt;=6),B2518=10)),1,0)</f>
        <v>0</v>
      </c>
      <c r="AA2518" s="39" t="n">
        <f aca="false">IF(AND(E2518&gt;0,B2518=10),1,0)</f>
        <v>0</v>
      </c>
      <c r="AB2518" s="0" t="str">
        <f aca="false">IF(AND(C2517=C2518,Y2517=Y2518-1),Z2517,"")</f>
        <v/>
      </c>
      <c r="AC2518" s="0" t="str">
        <f aca="false">IF(AND(C2517=C2518,Y2517=Y2518-1),AA2517,"")</f>
        <v/>
      </c>
      <c r="AD2518" s="0" t="str">
        <f aca="false">IF(Y2518=1,"",IF(AND(Z2518=1,AB2518&lt;&gt;1),1,0))</f>
        <v/>
      </c>
      <c r="AE2518" s="0" t="str">
        <f aca="false">IF(Y2518=1,"",IF(AND(AA2518=1,AC2518&lt;&gt;1),1,0))</f>
        <v/>
      </c>
      <c r="AF2518" s="45" t="str">
        <f aca="false">IF(AND(E2518&gt;0,Y2518&lt;1,NOT(AND(C2519=C2518,Y2519=Y2518+1))),INDEX(DATAS,Y2518+1),"")</f>
        <v/>
      </c>
      <c r="AG2518" s="45" t="str">
        <f aca="false">IF(AND(AA2518=1,Y2518&lt;1),IF(AND(C2519=C2518,Y2519=Y2518+1),IF(AA2519=1,"",INDEX(DATAS,Y2518+1)),INDEX(DATAS,Y2518+1)),"")</f>
        <v/>
      </c>
    </row>
    <row r="2519" customFormat="false" ht="15" hidden="false" customHeight="false" outlineLevel="0" collapsed="false">
      <c r="A2519" s="45" t="n">
        <v>46309</v>
      </c>
      <c r="B2519" s="0" t="n">
        <v>8</v>
      </c>
      <c r="C2519" s="0" t="n">
        <v>6849</v>
      </c>
      <c r="E2519" s="0" t="n">
        <v>0</v>
      </c>
      <c r="F2519" s="39" t="s">
        <v>1265</v>
      </c>
      <c r="I2519" s="39" t="s">
        <v>109</v>
      </c>
      <c r="L2519" s="0" t="n">
        <v>29</v>
      </c>
      <c r="U2519" s="0" t="n">
        <v>424</v>
      </c>
      <c r="V2519" s="0" t="n">
        <v>1</v>
      </c>
      <c r="W2519" s="39" t="n">
        <f aca="false">IF(I2519="Male",0,1)</f>
        <v>1</v>
      </c>
      <c r="X2519" s="39" t="n">
        <f aca="false">IF(OR(I2519="DNB",I2519="Dry DNB"),1,0)</f>
        <v>0</v>
      </c>
      <c r="Y2519" s="39" t="n">
        <f aca="false">MATCH(A2519,DATAS,0)</f>
        <v>1</v>
      </c>
      <c r="Z2519" s="39" t="n">
        <f aca="false">IF(AND(E2519&gt;0,OR(AND(B2519&gt;=1,B2519&lt;=6),B2519=10)),1,0)</f>
        <v>0</v>
      </c>
      <c r="AA2519" s="39" t="n">
        <f aca="false">IF(AND(E2519&gt;0,B2519=10),1,0)</f>
        <v>0</v>
      </c>
      <c r="AB2519" s="0" t="str">
        <f aca="false">IF(AND(C2518=C2519,Y2518=Y2519-1),Z2518,"")</f>
        <v/>
      </c>
      <c r="AC2519" s="0" t="str">
        <f aca="false">IF(AND(C2518=C2519,Y2518=Y2519-1),AA2518,"")</f>
        <v/>
      </c>
      <c r="AD2519" s="0" t="str">
        <f aca="false">IF(Y2519=1,"",IF(AND(Z2519=1,AB2519&lt;&gt;1),1,0))</f>
        <v/>
      </c>
      <c r="AE2519" s="0" t="str">
        <f aca="false">IF(Y2519=1,"",IF(AND(AA2519=1,AC2519&lt;&gt;1),1,0))</f>
        <v/>
      </c>
      <c r="AF2519" s="45" t="str">
        <f aca="false">IF(AND(E2519&gt;0,Y2519&lt;1,NOT(AND(C2520=C2519,Y2520=Y2519+1))),INDEX(DATAS,Y2519+1),"")</f>
        <v/>
      </c>
      <c r="AG2519" s="45" t="str">
        <f aca="false">IF(AND(AA2519=1,Y2519&lt;1),IF(AND(C2520=C2519,Y2520=Y2519+1),IF(AA2520=1,"",INDEX(DATAS,Y2519+1)),INDEX(DATAS,Y2519+1)),"")</f>
        <v/>
      </c>
    </row>
    <row r="2520" customFormat="false" ht="15" hidden="false" customHeight="false" outlineLevel="0" collapsed="false">
      <c r="A2520" s="45" t="n">
        <v>46309</v>
      </c>
      <c r="B2520" s="0" t="n">
        <v>13</v>
      </c>
      <c r="C2520" s="0" t="n">
        <v>6850</v>
      </c>
      <c r="E2520" s="0" t="n">
        <v>0</v>
      </c>
      <c r="F2520" s="39" t="s">
        <v>1266</v>
      </c>
      <c r="I2520" s="39" t="s">
        <v>136</v>
      </c>
      <c r="U2520" s="0" t="n">
        <v>395</v>
      </c>
      <c r="V2520" s="0" t="n">
        <v>0</v>
      </c>
      <c r="W2520" s="39" t="n">
        <f aca="false">IF(I2520="Male",0,1)</f>
        <v>1</v>
      </c>
      <c r="X2520" s="39" t="n">
        <f aca="false">IF(OR(I2520="DNB",I2520="Dry DNB"),1,0)</f>
        <v>0</v>
      </c>
      <c r="Y2520" s="39" t="n">
        <f aca="false">MATCH(A2520,DATAS,0)</f>
        <v>1</v>
      </c>
      <c r="Z2520" s="39" t="n">
        <f aca="false">IF(AND(E2520&gt;0,OR(AND(B2520&gt;=1,B2520&lt;=6),B2520=10)),1,0)</f>
        <v>0</v>
      </c>
      <c r="AA2520" s="39" t="n">
        <f aca="false">IF(AND(E2520&gt;0,B2520=10),1,0)</f>
        <v>0</v>
      </c>
      <c r="AB2520" s="0" t="str">
        <f aca="false">IF(AND(C2519=C2520,Y2519=Y2520-1),Z2519,"")</f>
        <v/>
      </c>
      <c r="AC2520" s="0" t="str">
        <f aca="false">IF(AND(C2519=C2520,Y2519=Y2520-1),AA2519,"")</f>
        <v/>
      </c>
      <c r="AD2520" s="0" t="str">
        <f aca="false">IF(Y2520=1,"",IF(AND(Z2520=1,AB2520&lt;&gt;1),1,0))</f>
        <v/>
      </c>
      <c r="AE2520" s="0" t="str">
        <f aca="false">IF(Y2520=1,"",IF(AND(AA2520=1,AC2520&lt;&gt;1),1,0))</f>
        <v/>
      </c>
      <c r="AF2520" s="45" t="str">
        <f aca="false">IF(AND(E2520&gt;0,Y2520&lt;1,NOT(AND(C2521=C2520,Y2521=Y2520+1))),INDEX(DATAS,Y2520+1),"")</f>
        <v/>
      </c>
      <c r="AG2520" s="45" t="str">
        <f aca="false">IF(AND(AA2520=1,Y2520&lt;1),IF(AND(C2521=C2520,Y2521=Y2520+1),IF(AA2521=1,"",INDEX(DATAS,Y2520+1)),INDEX(DATAS,Y2520+1)),"")</f>
        <v/>
      </c>
    </row>
    <row r="2521" customFormat="false" ht="15" hidden="false" customHeight="false" outlineLevel="0" collapsed="false">
      <c r="A2521" s="45" t="n">
        <v>46309</v>
      </c>
      <c r="B2521" s="0" t="n">
        <v>11</v>
      </c>
      <c r="C2521" s="0" t="n">
        <v>6852</v>
      </c>
      <c r="E2521" s="0" t="n">
        <v>0</v>
      </c>
      <c r="F2521" s="39" t="s">
        <v>1267</v>
      </c>
      <c r="I2521" s="39" t="s">
        <v>138</v>
      </c>
      <c r="U2521" s="0" t="n">
        <v>437</v>
      </c>
      <c r="V2521" s="0" t="n">
        <v>2</v>
      </c>
      <c r="W2521" s="39" t="n">
        <f aca="false">IF(I2521="Male",0,1)</f>
        <v>1</v>
      </c>
      <c r="X2521" s="39" t="n">
        <f aca="false">IF(OR(I2521="DNB",I2521="Dry DNB"),1,0)</f>
        <v>0</v>
      </c>
      <c r="Y2521" s="39" t="n">
        <f aca="false">MATCH(A2521,DATAS,0)</f>
        <v>1</v>
      </c>
      <c r="Z2521" s="39" t="n">
        <f aca="false">IF(AND(E2521&gt;0,OR(AND(B2521&gt;=1,B2521&lt;=6),B2521=10)),1,0)</f>
        <v>0</v>
      </c>
      <c r="AA2521" s="39" t="n">
        <f aca="false">IF(AND(E2521&gt;0,B2521=10),1,0)</f>
        <v>0</v>
      </c>
      <c r="AB2521" s="0" t="str">
        <f aca="false">IF(AND(C2520=C2521,Y2520=Y2521-1),Z2520,"")</f>
        <v/>
      </c>
      <c r="AC2521" s="0" t="str">
        <f aca="false">IF(AND(C2520=C2521,Y2520=Y2521-1),AA2520,"")</f>
        <v/>
      </c>
      <c r="AD2521" s="0" t="str">
        <f aca="false">IF(Y2521=1,"",IF(AND(Z2521=1,AB2521&lt;&gt;1),1,0))</f>
        <v/>
      </c>
      <c r="AE2521" s="0" t="str">
        <f aca="false">IF(Y2521=1,"",IF(AND(AA2521=1,AC2521&lt;&gt;1),1,0))</f>
        <v/>
      </c>
      <c r="AF2521" s="45" t="str">
        <f aca="false">IF(AND(E2521&gt;0,Y2521&lt;1,NOT(AND(C2522=C2521,Y2522=Y2521+1))),INDEX(DATAS,Y2521+1),"")</f>
        <v/>
      </c>
      <c r="AG2521" s="45" t="str">
        <f aca="false">IF(AND(AA2521=1,Y2521&lt;1),IF(AND(C2522=C2521,Y2522=Y2521+1),IF(AA2522=1,"",INDEX(DATAS,Y2521+1)),INDEX(DATAS,Y2521+1)),"")</f>
        <v/>
      </c>
    </row>
    <row r="2522" customFormat="false" ht="15" hidden="false" customHeight="false" outlineLevel="0" collapsed="false">
      <c r="A2522" s="45" t="n">
        <v>46309</v>
      </c>
      <c r="B2522" s="0" t="n">
        <v>11</v>
      </c>
      <c r="C2522" s="0" t="n">
        <v>6853</v>
      </c>
      <c r="E2522" s="0" t="n">
        <v>0</v>
      </c>
      <c r="F2522" s="39" t="s">
        <v>1265</v>
      </c>
      <c r="I2522" s="39" t="s">
        <v>138</v>
      </c>
      <c r="U2522" s="0" t="n">
        <v>424</v>
      </c>
      <c r="V2522" s="0" t="n">
        <v>1</v>
      </c>
      <c r="W2522" s="39" t="n">
        <f aca="false">IF(I2522="Male",0,1)</f>
        <v>1</v>
      </c>
      <c r="X2522" s="39" t="n">
        <f aca="false">IF(OR(I2522="DNB",I2522="Dry DNB"),1,0)</f>
        <v>0</v>
      </c>
      <c r="Y2522" s="39" t="n">
        <f aca="false">MATCH(A2522,DATAS,0)</f>
        <v>1</v>
      </c>
      <c r="Z2522" s="39" t="n">
        <f aca="false">IF(AND(E2522&gt;0,OR(AND(B2522&gt;=1,B2522&lt;=6),B2522=10)),1,0)</f>
        <v>0</v>
      </c>
      <c r="AA2522" s="39" t="n">
        <f aca="false">IF(AND(E2522&gt;0,B2522=10),1,0)</f>
        <v>0</v>
      </c>
      <c r="AB2522" s="0" t="str">
        <f aca="false">IF(AND(C2521=C2522,Y2521=Y2522-1),Z2521,"")</f>
        <v/>
      </c>
      <c r="AC2522" s="0" t="str">
        <f aca="false">IF(AND(C2521=C2522,Y2521=Y2522-1),AA2521,"")</f>
        <v/>
      </c>
      <c r="AD2522" s="0" t="str">
        <f aca="false">IF(Y2522=1,"",IF(AND(Z2522=1,AB2522&lt;&gt;1),1,0))</f>
        <v/>
      </c>
      <c r="AE2522" s="0" t="str">
        <f aca="false">IF(Y2522=1,"",IF(AND(AA2522=1,AC2522&lt;&gt;1),1,0))</f>
        <v/>
      </c>
      <c r="AF2522" s="45" t="str">
        <f aca="false">IF(AND(E2522&gt;0,Y2522&lt;1,NOT(AND(C2523=C2522,Y2523=Y2522+1))),INDEX(DATAS,Y2522+1),"")</f>
        <v/>
      </c>
      <c r="AG2522" s="45" t="str">
        <f aca="false">IF(AND(AA2522=1,Y2522&lt;1),IF(AND(C2523=C2522,Y2523=Y2522+1),IF(AA2523=1,"",INDEX(DATAS,Y2522+1)),INDEX(DATAS,Y2522+1)),"")</f>
        <v/>
      </c>
    </row>
    <row r="2523" customFormat="false" ht="15" hidden="false" customHeight="false" outlineLevel="0" collapsed="false">
      <c r="A2523" s="45" t="n">
        <v>46309</v>
      </c>
      <c r="B2523" s="0" t="n">
        <v>11</v>
      </c>
      <c r="C2523" s="0" t="n">
        <v>6854</v>
      </c>
      <c r="E2523" s="0" t="n">
        <v>0</v>
      </c>
      <c r="F2523" s="39" t="s">
        <v>1268</v>
      </c>
      <c r="I2523" s="39" t="s">
        <v>138</v>
      </c>
      <c r="U2523" s="0" t="n">
        <v>423</v>
      </c>
      <c r="V2523" s="0" t="n">
        <v>1</v>
      </c>
      <c r="W2523" s="39" t="n">
        <f aca="false">IF(I2523="Male",0,1)</f>
        <v>1</v>
      </c>
      <c r="X2523" s="39" t="n">
        <f aca="false">IF(OR(I2523="DNB",I2523="Dry DNB"),1,0)</f>
        <v>0</v>
      </c>
      <c r="Y2523" s="39" t="n">
        <f aca="false">MATCH(A2523,DATAS,0)</f>
        <v>1</v>
      </c>
      <c r="Z2523" s="39" t="n">
        <f aca="false">IF(AND(E2523&gt;0,OR(AND(B2523&gt;=1,B2523&lt;=6),B2523=10)),1,0)</f>
        <v>0</v>
      </c>
      <c r="AA2523" s="39" t="n">
        <f aca="false">IF(AND(E2523&gt;0,B2523=10),1,0)</f>
        <v>0</v>
      </c>
      <c r="AB2523" s="0" t="str">
        <f aca="false">IF(AND(C2522=C2523,Y2522=Y2523-1),Z2522,"")</f>
        <v/>
      </c>
      <c r="AC2523" s="0" t="str">
        <f aca="false">IF(AND(C2522=C2523,Y2522=Y2523-1),AA2522,"")</f>
        <v/>
      </c>
      <c r="AD2523" s="0" t="str">
        <f aca="false">IF(Y2523=1,"",IF(AND(Z2523=1,AB2523&lt;&gt;1),1,0))</f>
        <v/>
      </c>
      <c r="AE2523" s="0" t="str">
        <f aca="false">IF(Y2523=1,"",IF(AND(AA2523=1,AC2523&lt;&gt;1),1,0))</f>
        <v/>
      </c>
      <c r="AF2523" s="45" t="str">
        <f aca="false">IF(AND(E2523&gt;0,Y2523&lt;1,NOT(AND(C2524=C2523,Y2524=Y2523+1))),INDEX(DATAS,Y2523+1),"")</f>
        <v/>
      </c>
      <c r="AG2523" s="45" t="str">
        <f aca="false">IF(AND(AA2523=1,Y2523&lt;1),IF(AND(C2524=C2523,Y2524=Y2523+1),IF(AA2524=1,"",INDEX(DATAS,Y2523+1)),INDEX(DATAS,Y2523+1)),"")</f>
        <v/>
      </c>
    </row>
    <row r="2524" customFormat="false" ht="15" hidden="false" customHeight="false" outlineLevel="0" collapsed="false">
      <c r="A2524" s="45" t="n">
        <v>46309</v>
      </c>
      <c r="B2524" s="0" t="n">
        <v>11</v>
      </c>
      <c r="C2524" s="0" t="n">
        <v>6855</v>
      </c>
      <c r="E2524" s="0" t="n">
        <v>0</v>
      </c>
      <c r="F2524" s="39" t="s">
        <v>1268</v>
      </c>
      <c r="I2524" s="39" t="s">
        <v>138</v>
      </c>
      <c r="U2524" s="0" t="n">
        <v>423</v>
      </c>
      <c r="V2524" s="0" t="n">
        <v>2</v>
      </c>
      <c r="W2524" s="39" t="n">
        <f aca="false">IF(I2524="Male",0,1)</f>
        <v>1</v>
      </c>
      <c r="X2524" s="39" t="n">
        <f aca="false">IF(OR(I2524="DNB",I2524="Dry DNB"),1,0)</f>
        <v>0</v>
      </c>
      <c r="Y2524" s="39" t="n">
        <f aca="false">MATCH(A2524,DATAS,0)</f>
        <v>1</v>
      </c>
      <c r="Z2524" s="39" t="n">
        <f aca="false">IF(AND(E2524&gt;0,OR(AND(B2524&gt;=1,B2524&lt;=6),B2524=10)),1,0)</f>
        <v>0</v>
      </c>
      <c r="AA2524" s="39" t="n">
        <f aca="false">IF(AND(E2524&gt;0,B2524=10),1,0)</f>
        <v>0</v>
      </c>
      <c r="AB2524" s="0" t="str">
        <f aca="false">IF(AND(C2523=C2524,Y2523=Y2524-1),Z2523,"")</f>
        <v/>
      </c>
      <c r="AC2524" s="0" t="str">
        <f aca="false">IF(AND(C2523=C2524,Y2523=Y2524-1),AA2523,"")</f>
        <v/>
      </c>
      <c r="AD2524" s="0" t="str">
        <f aca="false">IF(Y2524=1,"",IF(AND(Z2524=1,AB2524&lt;&gt;1),1,0))</f>
        <v/>
      </c>
      <c r="AE2524" s="0" t="str">
        <f aca="false">IF(Y2524=1,"",IF(AND(AA2524=1,AC2524&lt;&gt;1),1,0))</f>
        <v/>
      </c>
      <c r="AF2524" s="45" t="str">
        <f aca="false">IF(AND(E2524&gt;0,Y2524&lt;1,NOT(AND(C2525=C2524,Y2525=Y2524+1))),INDEX(DATAS,Y2524+1),"")</f>
        <v/>
      </c>
      <c r="AG2524" s="45" t="str">
        <f aca="false">IF(AND(AA2524=1,Y2524&lt;1),IF(AND(C2525=C2524,Y2525=Y2524+1),IF(AA2525=1,"",INDEX(DATAS,Y2524+1)),INDEX(DATAS,Y2524+1)),"")</f>
        <v/>
      </c>
    </row>
    <row r="2525" customFormat="false" ht="15" hidden="false" customHeight="false" outlineLevel="0" collapsed="false">
      <c r="A2525" s="45" t="n">
        <v>46309</v>
      </c>
      <c r="B2525" s="0" t="n">
        <v>11</v>
      </c>
      <c r="C2525" s="0" t="n">
        <v>6856</v>
      </c>
      <c r="E2525" s="0" t="n">
        <v>0</v>
      </c>
      <c r="F2525" s="39" t="s">
        <v>1268</v>
      </c>
      <c r="I2525" s="39" t="s">
        <v>138</v>
      </c>
      <c r="U2525" s="0" t="n">
        <v>423</v>
      </c>
      <c r="V2525" s="0" t="n">
        <v>1</v>
      </c>
      <c r="W2525" s="39" t="n">
        <f aca="false">IF(I2525="Male",0,1)</f>
        <v>1</v>
      </c>
      <c r="X2525" s="39" t="n">
        <f aca="false">IF(OR(I2525="DNB",I2525="Dry DNB"),1,0)</f>
        <v>0</v>
      </c>
      <c r="Y2525" s="39" t="n">
        <f aca="false">MATCH(A2525,DATAS,0)</f>
        <v>1</v>
      </c>
      <c r="Z2525" s="39" t="n">
        <f aca="false">IF(AND(E2525&gt;0,OR(AND(B2525&gt;=1,B2525&lt;=6),B2525=10)),1,0)</f>
        <v>0</v>
      </c>
      <c r="AA2525" s="39" t="n">
        <f aca="false">IF(AND(E2525&gt;0,B2525=10),1,0)</f>
        <v>0</v>
      </c>
      <c r="AB2525" s="0" t="str">
        <f aca="false">IF(AND(C2524=C2525,Y2524=Y2525-1),Z2524,"")</f>
        <v/>
      </c>
      <c r="AC2525" s="0" t="str">
        <f aca="false">IF(AND(C2524=C2525,Y2524=Y2525-1),AA2524,"")</f>
        <v/>
      </c>
      <c r="AD2525" s="0" t="str">
        <f aca="false">IF(Y2525=1,"",IF(AND(Z2525=1,AB2525&lt;&gt;1),1,0))</f>
        <v/>
      </c>
      <c r="AE2525" s="0" t="str">
        <f aca="false">IF(Y2525=1,"",IF(AND(AA2525=1,AC2525&lt;&gt;1),1,0))</f>
        <v/>
      </c>
      <c r="AF2525" s="45" t="str">
        <f aca="false">IF(AND(E2525&gt;0,Y2525&lt;1,NOT(AND(C2526=C2525,Y2526=Y2525+1))),INDEX(DATAS,Y2525+1),"")</f>
        <v/>
      </c>
      <c r="AG2525" s="45" t="str">
        <f aca="false">IF(AND(AA2525=1,Y2525&lt;1),IF(AND(C2526=C2525,Y2526=Y2525+1),IF(AA2526=1,"",INDEX(DATAS,Y2525+1)),INDEX(DATAS,Y2525+1)),"")</f>
        <v/>
      </c>
    </row>
    <row r="2526" customFormat="false" ht="15" hidden="false" customHeight="false" outlineLevel="0" collapsed="false">
      <c r="A2526" s="45" t="n">
        <v>46309</v>
      </c>
      <c r="B2526" s="0" t="n">
        <v>13</v>
      </c>
      <c r="C2526" s="0" t="n">
        <v>6857</v>
      </c>
      <c r="E2526" s="0" t="n">
        <v>0</v>
      </c>
      <c r="F2526" s="39" t="s">
        <v>1268</v>
      </c>
      <c r="I2526" s="39" t="s">
        <v>146</v>
      </c>
      <c r="U2526" s="0" t="n">
        <v>423</v>
      </c>
      <c r="V2526" s="0" t="n">
        <v>0</v>
      </c>
      <c r="W2526" s="39" t="n">
        <f aca="false">IF(I2526="Male",0,1)</f>
        <v>1</v>
      </c>
      <c r="X2526" s="39" t="n">
        <f aca="false">IF(OR(I2526="DNB",I2526="Dry DNB"),1,0)</f>
        <v>0</v>
      </c>
      <c r="Y2526" s="39" t="n">
        <f aca="false">MATCH(A2526,DATAS,0)</f>
        <v>1</v>
      </c>
      <c r="Z2526" s="39" t="n">
        <f aca="false">IF(AND(E2526&gt;0,OR(AND(B2526&gt;=1,B2526&lt;=6),B2526=10)),1,0)</f>
        <v>0</v>
      </c>
      <c r="AA2526" s="39" t="n">
        <f aca="false">IF(AND(E2526&gt;0,B2526=10),1,0)</f>
        <v>0</v>
      </c>
      <c r="AB2526" s="0" t="str">
        <f aca="false">IF(AND(C2525=C2526,Y2525=Y2526-1),Z2525,"")</f>
        <v/>
      </c>
      <c r="AC2526" s="0" t="str">
        <f aca="false">IF(AND(C2525=C2526,Y2525=Y2526-1),AA2525,"")</f>
        <v/>
      </c>
      <c r="AD2526" s="0" t="str">
        <f aca="false">IF(Y2526=1,"",IF(AND(Z2526=1,AB2526&lt;&gt;1),1,0))</f>
        <v/>
      </c>
      <c r="AE2526" s="0" t="str">
        <f aca="false">IF(Y2526=1,"",IF(AND(AA2526=1,AC2526&lt;&gt;1),1,0))</f>
        <v/>
      </c>
      <c r="AF2526" s="45" t="str">
        <f aca="false">IF(AND(E2526&gt;0,Y2526&lt;1,NOT(AND(C2527=C2526,Y2527=Y2526+1))),INDEX(DATAS,Y2526+1),"")</f>
        <v/>
      </c>
      <c r="AG2526" s="45" t="str">
        <f aca="false">IF(AND(AA2526=1,Y2526&lt;1),IF(AND(C2527=C2526,Y2527=Y2526+1),IF(AA2527=1,"",INDEX(DATAS,Y2526+1)),INDEX(DATAS,Y2526+1)),"")</f>
        <v/>
      </c>
    </row>
    <row r="2527" customFormat="false" ht="15" hidden="false" customHeight="false" outlineLevel="0" collapsed="false">
      <c r="A2527" s="45" t="n">
        <v>46309</v>
      </c>
      <c r="B2527" s="0" t="n">
        <v>11</v>
      </c>
      <c r="C2527" s="0" t="n">
        <v>6859</v>
      </c>
      <c r="E2527" s="0" t="n">
        <v>0</v>
      </c>
      <c r="F2527" s="39" t="s">
        <v>1269</v>
      </c>
      <c r="I2527" s="39" t="s">
        <v>138</v>
      </c>
      <c r="U2527" s="0" t="n">
        <v>422</v>
      </c>
      <c r="V2527" s="0" t="n">
        <v>1</v>
      </c>
      <c r="W2527" s="39" t="n">
        <f aca="false">IF(I2527="Male",0,1)</f>
        <v>1</v>
      </c>
      <c r="X2527" s="39" t="n">
        <f aca="false">IF(OR(I2527="DNB",I2527="Dry DNB"),1,0)</f>
        <v>0</v>
      </c>
      <c r="Y2527" s="39" t="n">
        <f aca="false">MATCH(A2527,DATAS,0)</f>
        <v>1</v>
      </c>
      <c r="Z2527" s="39" t="n">
        <f aca="false">IF(AND(E2527&gt;0,OR(AND(B2527&gt;=1,B2527&lt;=6),B2527=10)),1,0)</f>
        <v>0</v>
      </c>
      <c r="AA2527" s="39" t="n">
        <f aca="false">IF(AND(E2527&gt;0,B2527=10),1,0)</f>
        <v>0</v>
      </c>
      <c r="AB2527" s="0" t="str">
        <f aca="false">IF(AND(C2526=C2527,Y2526=Y2527-1),Z2526,"")</f>
        <v/>
      </c>
      <c r="AC2527" s="0" t="str">
        <f aca="false">IF(AND(C2526=C2527,Y2526=Y2527-1),AA2526,"")</f>
        <v/>
      </c>
      <c r="AD2527" s="0" t="str">
        <f aca="false">IF(Y2527=1,"",IF(AND(Z2527=1,AB2527&lt;&gt;1),1,0))</f>
        <v/>
      </c>
      <c r="AE2527" s="0" t="str">
        <f aca="false">IF(Y2527=1,"",IF(AND(AA2527=1,AC2527&lt;&gt;1),1,0))</f>
        <v/>
      </c>
      <c r="AF2527" s="45" t="str">
        <f aca="false">IF(AND(E2527&gt;0,Y2527&lt;1,NOT(AND(C2528=C2527,Y2528=Y2527+1))),INDEX(DATAS,Y2527+1),"")</f>
        <v/>
      </c>
      <c r="AG2527" s="45" t="str">
        <f aca="false">IF(AND(AA2527=1,Y2527&lt;1),IF(AND(C2528=C2527,Y2528=Y2527+1),IF(AA2528=1,"",INDEX(DATAS,Y2527+1)),INDEX(DATAS,Y2527+1)),"")</f>
        <v/>
      </c>
    </row>
    <row r="2528" customFormat="false" ht="15" hidden="false" customHeight="false" outlineLevel="0" collapsed="false">
      <c r="A2528" s="45" t="n">
        <v>46309</v>
      </c>
      <c r="B2528" s="0" t="n">
        <v>11</v>
      </c>
      <c r="C2528" s="0" t="n">
        <v>6864</v>
      </c>
      <c r="E2528" s="0" t="n">
        <v>0</v>
      </c>
      <c r="F2528" s="39" t="s">
        <v>1270</v>
      </c>
      <c r="I2528" s="39" t="s">
        <v>138</v>
      </c>
      <c r="U2528" s="0" t="n">
        <v>421</v>
      </c>
      <c r="V2528" s="0" t="n">
        <v>1</v>
      </c>
      <c r="W2528" s="39" t="n">
        <f aca="false">IF(I2528="Male",0,1)</f>
        <v>1</v>
      </c>
      <c r="X2528" s="39" t="n">
        <f aca="false">IF(OR(I2528="DNB",I2528="Dry DNB"),1,0)</f>
        <v>0</v>
      </c>
      <c r="Y2528" s="39" t="n">
        <f aca="false">MATCH(A2528,DATAS,0)</f>
        <v>1</v>
      </c>
      <c r="Z2528" s="39" t="n">
        <f aca="false">IF(AND(E2528&gt;0,OR(AND(B2528&gt;=1,B2528&lt;=6),B2528=10)),1,0)</f>
        <v>0</v>
      </c>
      <c r="AA2528" s="39" t="n">
        <f aca="false">IF(AND(E2528&gt;0,B2528=10),1,0)</f>
        <v>0</v>
      </c>
      <c r="AB2528" s="0" t="str">
        <f aca="false">IF(AND(C2527=C2528,Y2527=Y2528-1),Z2527,"")</f>
        <v/>
      </c>
      <c r="AC2528" s="0" t="str">
        <f aca="false">IF(AND(C2527=C2528,Y2527=Y2528-1),AA2527,"")</f>
        <v/>
      </c>
      <c r="AD2528" s="0" t="str">
        <f aca="false">IF(Y2528=1,"",IF(AND(Z2528=1,AB2528&lt;&gt;1),1,0))</f>
        <v/>
      </c>
      <c r="AE2528" s="0" t="str">
        <f aca="false">IF(Y2528=1,"",IF(AND(AA2528=1,AC2528&lt;&gt;1),1,0))</f>
        <v/>
      </c>
      <c r="AF2528" s="45" t="str">
        <f aca="false">IF(AND(E2528&gt;0,Y2528&lt;1,NOT(AND(C2529=C2528,Y2529=Y2528+1))),INDEX(DATAS,Y2528+1),"")</f>
        <v/>
      </c>
      <c r="AG2528" s="45" t="str">
        <f aca="false">IF(AND(AA2528=1,Y2528&lt;1),IF(AND(C2529=C2528,Y2529=Y2528+1),IF(AA2529=1,"",INDEX(DATAS,Y2528+1)),INDEX(DATAS,Y2528+1)),"")</f>
        <v/>
      </c>
    </row>
    <row r="2529" customFormat="false" ht="15" hidden="false" customHeight="false" outlineLevel="0" collapsed="false">
      <c r="A2529" s="45" t="n">
        <v>46309</v>
      </c>
      <c r="B2529" s="0" t="n">
        <v>13</v>
      </c>
      <c r="C2529" s="0" t="n">
        <v>6865</v>
      </c>
      <c r="E2529" s="0" t="n">
        <v>0</v>
      </c>
      <c r="F2529" s="39" t="s">
        <v>1270</v>
      </c>
      <c r="I2529" s="39" t="s">
        <v>146</v>
      </c>
      <c r="U2529" s="0" t="n">
        <v>421</v>
      </c>
      <c r="V2529" s="0" t="n">
        <v>0</v>
      </c>
      <c r="W2529" s="39" t="n">
        <f aca="false">IF(I2529="Male",0,1)</f>
        <v>1</v>
      </c>
      <c r="X2529" s="39" t="n">
        <f aca="false">IF(OR(I2529="DNB",I2529="Dry DNB"),1,0)</f>
        <v>0</v>
      </c>
      <c r="Y2529" s="39" t="n">
        <f aca="false">MATCH(A2529,DATAS,0)</f>
        <v>1</v>
      </c>
      <c r="Z2529" s="39" t="n">
        <f aca="false">IF(AND(E2529&gt;0,OR(AND(B2529&gt;=1,B2529&lt;=6),B2529=10)),1,0)</f>
        <v>0</v>
      </c>
      <c r="AA2529" s="39" t="n">
        <f aca="false">IF(AND(E2529&gt;0,B2529=10),1,0)</f>
        <v>0</v>
      </c>
      <c r="AB2529" s="0" t="str">
        <f aca="false">IF(AND(C2528=C2529,Y2528=Y2529-1),Z2528,"")</f>
        <v/>
      </c>
      <c r="AC2529" s="0" t="str">
        <f aca="false">IF(AND(C2528=C2529,Y2528=Y2529-1),AA2528,"")</f>
        <v/>
      </c>
      <c r="AD2529" s="0" t="str">
        <f aca="false">IF(Y2529=1,"",IF(AND(Z2529=1,AB2529&lt;&gt;1),1,0))</f>
        <v/>
      </c>
      <c r="AE2529" s="0" t="str">
        <f aca="false">IF(Y2529=1,"",IF(AND(AA2529=1,AC2529&lt;&gt;1),1,0))</f>
        <v/>
      </c>
      <c r="AF2529" s="45" t="str">
        <f aca="false">IF(AND(E2529&gt;0,Y2529&lt;1,NOT(AND(C2530=C2529,Y2530=Y2529+1))),INDEX(DATAS,Y2529+1),"")</f>
        <v/>
      </c>
      <c r="AG2529" s="45" t="str">
        <f aca="false">IF(AND(AA2529=1,Y2529&lt;1),IF(AND(C2530=C2529,Y2530=Y2529+1),IF(AA2530=1,"",INDEX(DATAS,Y2529+1)),INDEX(DATAS,Y2529+1)),"")</f>
        <v/>
      </c>
    </row>
    <row r="2530" customFormat="false" ht="15" hidden="false" customHeight="false" outlineLevel="0" collapsed="false">
      <c r="A2530" s="45" t="n">
        <v>46309</v>
      </c>
      <c r="B2530" s="0" t="n">
        <v>11</v>
      </c>
      <c r="C2530" s="0" t="n">
        <v>6866</v>
      </c>
      <c r="E2530" s="0" t="n">
        <v>0</v>
      </c>
      <c r="F2530" s="39" t="s">
        <v>1271</v>
      </c>
      <c r="I2530" s="39" t="s">
        <v>138</v>
      </c>
      <c r="U2530" s="0" t="n">
        <v>420</v>
      </c>
      <c r="V2530" s="0" t="n">
        <v>1</v>
      </c>
      <c r="W2530" s="39" t="n">
        <f aca="false">IF(I2530="Male",0,1)</f>
        <v>1</v>
      </c>
      <c r="X2530" s="39" t="n">
        <f aca="false">IF(OR(I2530="DNB",I2530="Dry DNB"),1,0)</f>
        <v>0</v>
      </c>
      <c r="Y2530" s="39" t="n">
        <f aca="false">MATCH(A2530,DATAS,0)</f>
        <v>1</v>
      </c>
      <c r="Z2530" s="39" t="n">
        <f aca="false">IF(AND(E2530&gt;0,OR(AND(B2530&gt;=1,B2530&lt;=6),B2530=10)),1,0)</f>
        <v>0</v>
      </c>
      <c r="AA2530" s="39" t="n">
        <f aca="false">IF(AND(E2530&gt;0,B2530=10),1,0)</f>
        <v>0</v>
      </c>
      <c r="AB2530" s="0" t="str">
        <f aca="false">IF(AND(C2529=C2530,Y2529=Y2530-1),Z2529,"")</f>
        <v/>
      </c>
      <c r="AC2530" s="0" t="str">
        <f aca="false">IF(AND(C2529=C2530,Y2529=Y2530-1),AA2529,"")</f>
        <v/>
      </c>
      <c r="AD2530" s="0" t="str">
        <f aca="false">IF(Y2530=1,"",IF(AND(Z2530=1,AB2530&lt;&gt;1),1,0))</f>
        <v/>
      </c>
      <c r="AE2530" s="0" t="str">
        <f aca="false">IF(Y2530=1,"",IF(AND(AA2530=1,AC2530&lt;&gt;1),1,0))</f>
        <v/>
      </c>
      <c r="AF2530" s="45" t="str">
        <f aca="false">IF(AND(E2530&gt;0,Y2530&lt;1,NOT(AND(C2531=C2530,Y2531=Y2530+1))),INDEX(DATAS,Y2530+1),"")</f>
        <v/>
      </c>
      <c r="AG2530" s="45" t="str">
        <f aca="false">IF(AND(AA2530=1,Y2530&lt;1),IF(AND(C2531=C2530,Y2531=Y2530+1),IF(AA2531=1,"",INDEX(DATAS,Y2530+1)),INDEX(DATAS,Y2530+1)),"")</f>
        <v/>
      </c>
    </row>
    <row r="2531" customFormat="false" ht="15" hidden="false" customHeight="false" outlineLevel="0" collapsed="false">
      <c r="A2531" s="45" t="n">
        <v>46309</v>
      </c>
      <c r="B2531" s="0" t="n">
        <v>11</v>
      </c>
      <c r="C2531" s="0" t="n">
        <v>6867</v>
      </c>
      <c r="E2531" s="0" t="n">
        <v>0</v>
      </c>
      <c r="F2531" s="39" t="s">
        <v>1271</v>
      </c>
      <c r="I2531" s="39" t="s">
        <v>138</v>
      </c>
      <c r="U2531" s="0" t="n">
        <v>420</v>
      </c>
      <c r="V2531" s="0" t="n">
        <v>1</v>
      </c>
      <c r="W2531" s="39" t="n">
        <f aca="false">IF(I2531="Male",0,1)</f>
        <v>1</v>
      </c>
      <c r="X2531" s="39" t="n">
        <f aca="false">IF(OR(I2531="DNB",I2531="Dry DNB"),1,0)</f>
        <v>0</v>
      </c>
      <c r="Y2531" s="39" t="n">
        <f aca="false">MATCH(A2531,DATAS,0)</f>
        <v>1</v>
      </c>
      <c r="Z2531" s="39" t="n">
        <f aca="false">IF(AND(E2531&gt;0,OR(AND(B2531&gt;=1,B2531&lt;=6),B2531=10)),1,0)</f>
        <v>0</v>
      </c>
      <c r="AA2531" s="39" t="n">
        <f aca="false">IF(AND(E2531&gt;0,B2531=10),1,0)</f>
        <v>0</v>
      </c>
      <c r="AB2531" s="0" t="str">
        <f aca="false">IF(AND(C2530=C2531,Y2530=Y2531-1),Z2530,"")</f>
        <v/>
      </c>
      <c r="AC2531" s="0" t="str">
        <f aca="false">IF(AND(C2530=C2531,Y2530=Y2531-1),AA2530,"")</f>
        <v/>
      </c>
      <c r="AD2531" s="0" t="str">
        <f aca="false">IF(Y2531=1,"",IF(AND(Z2531=1,AB2531&lt;&gt;1),1,0))</f>
        <v/>
      </c>
      <c r="AE2531" s="0" t="str">
        <f aca="false">IF(Y2531=1,"",IF(AND(AA2531=1,AC2531&lt;&gt;1),1,0))</f>
        <v/>
      </c>
      <c r="AF2531" s="45" t="str">
        <f aca="false">IF(AND(E2531&gt;0,Y2531&lt;1,NOT(AND(C2532=C2531,Y2532=Y2531+1))),INDEX(DATAS,Y2531+1),"")</f>
        <v/>
      </c>
      <c r="AG2531" s="45" t="str">
        <f aca="false">IF(AND(AA2531=1,Y2531&lt;1),IF(AND(C2532=C2531,Y2532=Y2531+1),IF(AA2532=1,"",INDEX(DATAS,Y2531+1)),INDEX(DATAS,Y2531+1)),"")</f>
        <v/>
      </c>
    </row>
    <row r="2532" customFormat="false" ht="15" hidden="false" customHeight="false" outlineLevel="0" collapsed="false">
      <c r="A2532" s="45" t="n">
        <v>46309</v>
      </c>
      <c r="B2532" s="0" t="n">
        <v>13</v>
      </c>
      <c r="C2532" s="0" t="n">
        <v>6868</v>
      </c>
      <c r="E2532" s="0" t="n">
        <v>0</v>
      </c>
      <c r="F2532" s="39" t="s">
        <v>1271</v>
      </c>
      <c r="I2532" s="39" t="s">
        <v>146</v>
      </c>
      <c r="U2532" s="0" t="n">
        <v>420</v>
      </c>
      <c r="V2532" s="0" t="n">
        <v>0</v>
      </c>
      <c r="W2532" s="39" t="n">
        <f aca="false">IF(I2532="Male",0,1)</f>
        <v>1</v>
      </c>
      <c r="X2532" s="39" t="n">
        <f aca="false">IF(OR(I2532="DNB",I2532="Dry DNB"),1,0)</f>
        <v>0</v>
      </c>
      <c r="Y2532" s="39" t="n">
        <f aca="false">MATCH(A2532,DATAS,0)</f>
        <v>1</v>
      </c>
      <c r="Z2532" s="39" t="n">
        <f aca="false">IF(AND(E2532&gt;0,OR(AND(B2532&gt;=1,B2532&lt;=6),B2532=10)),1,0)</f>
        <v>0</v>
      </c>
      <c r="AA2532" s="39" t="n">
        <f aca="false">IF(AND(E2532&gt;0,B2532=10),1,0)</f>
        <v>0</v>
      </c>
      <c r="AB2532" s="0" t="str">
        <f aca="false">IF(AND(C2531=C2532,Y2531=Y2532-1),Z2531,"")</f>
        <v/>
      </c>
      <c r="AC2532" s="0" t="str">
        <f aca="false">IF(AND(C2531=C2532,Y2531=Y2532-1),AA2531,"")</f>
        <v/>
      </c>
      <c r="AD2532" s="0" t="str">
        <f aca="false">IF(Y2532=1,"",IF(AND(Z2532=1,AB2532&lt;&gt;1),1,0))</f>
        <v/>
      </c>
      <c r="AE2532" s="0" t="str">
        <f aca="false">IF(Y2532=1,"",IF(AND(AA2532=1,AC2532&lt;&gt;1),1,0))</f>
        <v/>
      </c>
      <c r="AF2532" s="45" t="str">
        <f aca="false">IF(AND(E2532&gt;0,Y2532&lt;1,NOT(AND(C2533=C2532,Y2533=Y2532+1))),INDEX(DATAS,Y2532+1),"")</f>
        <v/>
      </c>
      <c r="AG2532" s="45" t="str">
        <f aca="false">IF(AND(AA2532=1,Y2532&lt;1),IF(AND(C2533=C2532,Y2533=Y2532+1),IF(AA2533=1,"",INDEX(DATAS,Y2532+1)),INDEX(DATAS,Y2532+1)),"")</f>
        <v/>
      </c>
    </row>
    <row r="2533" customFormat="false" ht="15" hidden="false" customHeight="false" outlineLevel="0" collapsed="false">
      <c r="A2533" s="45" t="n">
        <v>46309</v>
      </c>
      <c r="B2533" s="0" t="n">
        <v>11</v>
      </c>
      <c r="C2533" s="0" t="n">
        <v>6869</v>
      </c>
      <c r="E2533" s="0" t="n">
        <v>0</v>
      </c>
      <c r="F2533" s="39" t="s">
        <v>1271</v>
      </c>
      <c r="I2533" s="39" t="s">
        <v>138</v>
      </c>
      <c r="U2533" s="0" t="n">
        <v>420</v>
      </c>
      <c r="V2533" s="0" t="n">
        <v>1</v>
      </c>
      <c r="W2533" s="39" t="n">
        <f aca="false">IF(I2533="Male",0,1)</f>
        <v>1</v>
      </c>
      <c r="X2533" s="39" t="n">
        <f aca="false">IF(OR(I2533="DNB",I2533="Dry DNB"),1,0)</f>
        <v>0</v>
      </c>
      <c r="Y2533" s="39" t="n">
        <f aca="false">MATCH(A2533,DATAS,0)</f>
        <v>1</v>
      </c>
      <c r="Z2533" s="39" t="n">
        <f aca="false">IF(AND(E2533&gt;0,OR(AND(B2533&gt;=1,B2533&lt;=6),B2533=10)),1,0)</f>
        <v>0</v>
      </c>
      <c r="AA2533" s="39" t="n">
        <f aca="false">IF(AND(E2533&gt;0,B2533=10),1,0)</f>
        <v>0</v>
      </c>
      <c r="AB2533" s="0" t="str">
        <f aca="false">IF(AND(C2532=C2533,Y2532=Y2533-1),Z2532,"")</f>
        <v/>
      </c>
      <c r="AC2533" s="0" t="str">
        <f aca="false">IF(AND(C2532=C2533,Y2532=Y2533-1),AA2532,"")</f>
        <v/>
      </c>
      <c r="AD2533" s="0" t="str">
        <f aca="false">IF(Y2533=1,"",IF(AND(Z2533=1,AB2533&lt;&gt;1),1,0))</f>
        <v/>
      </c>
      <c r="AE2533" s="0" t="str">
        <f aca="false">IF(Y2533=1,"",IF(AND(AA2533=1,AC2533&lt;&gt;1),1,0))</f>
        <v/>
      </c>
      <c r="AF2533" s="45" t="str">
        <f aca="false">IF(AND(E2533&gt;0,Y2533&lt;1,NOT(AND(C2534=C2533,Y2534=Y2533+1))),INDEX(DATAS,Y2533+1),"")</f>
        <v/>
      </c>
      <c r="AG2533" s="45" t="str">
        <f aca="false">IF(AND(AA2533=1,Y2533&lt;1),IF(AND(C2534=C2533,Y2534=Y2533+1),IF(AA2534=1,"",INDEX(DATAS,Y2533+1)),INDEX(DATAS,Y2533+1)),"")</f>
        <v/>
      </c>
    </row>
    <row r="2534" customFormat="false" ht="15" hidden="false" customHeight="false" outlineLevel="0" collapsed="false">
      <c r="A2534" s="45" t="n">
        <v>46309</v>
      </c>
      <c r="B2534" s="0" t="n">
        <v>11</v>
      </c>
      <c r="C2534" s="0" t="n">
        <v>6870</v>
      </c>
      <c r="E2534" s="0" t="n">
        <v>0</v>
      </c>
      <c r="F2534" s="39" t="s">
        <v>1271</v>
      </c>
      <c r="I2534" s="39" t="s">
        <v>138</v>
      </c>
      <c r="U2534" s="0" t="n">
        <v>420</v>
      </c>
      <c r="V2534" s="0" t="n">
        <v>1</v>
      </c>
      <c r="W2534" s="39" t="n">
        <f aca="false">IF(I2534="Male",0,1)</f>
        <v>1</v>
      </c>
      <c r="X2534" s="39" t="n">
        <f aca="false">IF(OR(I2534="DNB",I2534="Dry DNB"),1,0)</f>
        <v>0</v>
      </c>
      <c r="Y2534" s="39" t="n">
        <f aca="false">MATCH(A2534,DATAS,0)</f>
        <v>1</v>
      </c>
      <c r="Z2534" s="39" t="n">
        <f aca="false">IF(AND(E2534&gt;0,OR(AND(B2534&gt;=1,B2534&lt;=6),B2534=10)),1,0)</f>
        <v>0</v>
      </c>
      <c r="AA2534" s="39" t="n">
        <f aca="false">IF(AND(E2534&gt;0,B2534=10),1,0)</f>
        <v>0</v>
      </c>
      <c r="AB2534" s="0" t="str">
        <f aca="false">IF(AND(C2533=C2534,Y2533=Y2534-1),Z2533,"")</f>
        <v/>
      </c>
      <c r="AC2534" s="0" t="str">
        <f aca="false">IF(AND(C2533=C2534,Y2533=Y2534-1),AA2533,"")</f>
        <v/>
      </c>
      <c r="AD2534" s="0" t="str">
        <f aca="false">IF(Y2534=1,"",IF(AND(Z2534=1,AB2534&lt;&gt;1),1,0))</f>
        <v/>
      </c>
      <c r="AE2534" s="0" t="str">
        <f aca="false">IF(Y2534=1,"",IF(AND(AA2534=1,AC2534&lt;&gt;1),1,0))</f>
        <v/>
      </c>
      <c r="AF2534" s="45" t="str">
        <f aca="false">IF(AND(E2534&gt;0,Y2534&lt;1,NOT(AND(C2535=C2534,Y2535=Y2534+1))),INDEX(DATAS,Y2534+1),"")</f>
        <v/>
      </c>
      <c r="AG2534" s="45" t="str">
        <f aca="false">IF(AND(AA2534=1,Y2534&lt;1),IF(AND(C2535=C2534,Y2535=Y2534+1),IF(AA2535=1,"",INDEX(DATAS,Y2534+1)),INDEX(DATAS,Y2534+1)),"")</f>
        <v/>
      </c>
    </row>
    <row r="2535" customFormat="false" ht="15" hidden="false" customHeight="false" outlineLevel="0" collapsed="false">
      <c r="A2535" s="45" t="n">
        <v>46309</v>
      </c>
      <c r="B2535" s="0" t="n">
        <v>11</v>
      </c>
      <c r="C2535" s="0" t="n">
        <v>6871</v>
      </c>
      <c r="E2535" s="0" t="n">
        <v>0</v>
      </c>
      <c r="F2535" s="39" t="s">
        <v>1272</v>
      </c>
      <c r="I2535" s="39" t="s">
        <v>138</v>
      </c>
      <c r="U2535" s="0" t="n">
        <v>419</v>
      </c>
      <c r="V2535" s="0" t="n">
        <v>1</v>
      </c>
      <c r="W2535" s="39" t="n">
        <f aca="false">IF(I2535="Male",0,1)</f>
        <v>1</v>
      </c>
      <c r="X2535" s="39" t="n">
        <f aca="false">IF(OR(I2535="DNB",I2535="Dry DNB"),1,0)</f>
        <v>0</v>
      </c>
      <c r="Y2535" s="39" t="n">
        <f aca="false">MATCH(A2535,DATAS,0)</f>
        <v>1</v>
      </c>
      <c r="Z2535" s="39" t="n">
        <f aca="false">IF(AND(E2535&gt;0,OR(AND(B2535&gt;=1,B2535&lt;=6),B2535=10)),1,0)</f>
        <v>0</v>
      </c>
      <c r="AA2535" s="39" t="n">
        <f aca="false">IF(AND(E2535&gt;0,B2535=10),1,0)</f>
        <v>0</v>
      </c>
      <c r="AB2535" s="0" t="str">
        <f aca="false">IF(AND(C2534=C2535,Y2534=Y2535-1),Z2534,"")</f>
        <v/>
      </c>
      <c r="AC2535" s="0" t="str">
        <f aca="false">IF(AND(C2534=C2535,Y2534=Y2535-1),AA2534,"")</f>
        <v/>
      </c>
      <c r="AD2535" s="0" t="str">
        <f aca="false">IF(Y2535=1,"",IF(AND(Z2535=1,AB2535&lt;&gt;1),1,0))</f>
        <v/>
      </c>
      <c r="AE2535" s="0" t="str">
        <f aca="false">IF(Y2535=1,"",IF(AND(AA2535=1,AC2535&lt;&gt;1),1,0))</f>
        <v/>
      </c>
      <c r="AF2535" s="45" t="str">
        <f aca="false">IF(AND(E2535&gt;0,Y2535&lt;1,NOT(AND(C2536=C2535,Y2536=Y2535+1))),INDEX(DATAS,Y2535+1),"")</f>
        <v/>
      </c>
      <c r="AG2535" s="45" t="str">
        <f aca="false">IF(AND(AA2535=1,Y2535&lt;1),IF(AND(C2536=C2535,Y2536=Y2535+1),IF(AA2536=1,"",INDEX(DATAS,Y2535+1)),INDEX(DATAS,Y2535+1)),"")</f>
        <v/>
      </c>
    </row>
    <row r="2536" customFormat="false" ht="15" hidden="false" customHeight="false" outlineLevel="0" collapsed="false">
      <c r="A2536" s="45" t="n">
        <v>46309</v>
      </c>
      <c r="B2536" s="0" t="n">
        <v>11</v>
      </c>
      <c r="C2536" s="0" t="n">
        <v>6872</v>
      </c>
      <c r="E2536" s="0" t="n">
        <v>0</v>
      </c>
      <c r="F2536" s="39" t="s">
        <v>1272</v>
      </c>
      <c r="I2536" s="39" t="s">
        <v>138</v>
      </c>
      <c r="U2536" s="0" t="n">
        <v>419</v>
      </c>
      <c r="V2536" s="0" t="n">
        <v>1</v>
      </c>
      <c r="W2536" s="39" t="n">
        <f aca="false">IF(I2536="Male",0,1)</f>
        <v>1</v>
      </c>
      <c r="X2536" s="39" t="n">
        <f aca="false">IF(OR(I2536="DNB",I2536="Dry DNB"),1,0)</f>
        <v>0</v>
      </c>
      <c r="Y2536" s="39" t="n">
        <f aca="false">MATCH(A2536,DATAS,0)</f>
        <v>1</v>
      </c>
      <c r="Z2536" s="39" t="n">
        <f aca="false">IF(AND(E2536&gt;0,OR(AND(B2536&gt;=1,B2536&lt;=6),B2536=10)),1,0)</f>
        <v>0</v>
      </c>
      <c r="AA2536" s="39" t="n">
        <f aca="false">IF(AND(E2536&gt;0,B2536=10),1,0)</f>
        <v>0</v>
      </c>
      <c r="AB2536" s="0" t="str">
        <f aca="false">IF(AND(C2535=C2536,Y2535=Y2536-1),Z2535,"")</f>
        <v/>
      </c>
      <c r="AC2536" s="0" t="str">
        <f aca="false">IF(AND(C2535=C2536,Y2535=Y2536-1),AA2535,"")</f>
        <v/>
      </c>
      <c r="AD2536" s="0" t="str">
        <f aca="false">IF(Y2536=1,"",IF(AND(Z2536=1,AB2536&lt;&gt;1),1,0))</f>
        <v/>
      </c>
      <c r="AE2536" s="0" t="str">
        <f aca="false">IF(Y2536=1,"",IF(AND(AA2536=1,AC2536&lt;&gt;1),1,0))</f>
        <v/>
      </c>
      <c r="AF2536" s="45" t="str">
        <f aca="false">IF(AND(E2536&gt;0,Y2536&lt;1,NOT(AND(C2537=C2536,Y2537=Y2536+1))),INDEX(DATAS,Y2536+1),"")</f>
        <v/>
      </c>
      <c r="AG2536" s="45" t="str">
        <f aca="false">IF(AND(AA2536=1,Y2536&lt;1),IF(AND(C2537=C2536,Y2537=Y2536+1),IF(AA2537=1,"",INDEX(DATAS,Y2536+1)),INDEX(DATAS,Y2536+1)),"")</f>
        <v/>
      </c>
    </row>
    <row r="2537" customFormat="false" ht="15" hidden="false" customHeight="false" outlineLevel="0" collapsed="false">
      <c r="A2537" s="45" t="n">
        <v>46309</v>
      </c>
      <c r="B2537" s="0" t="n">
        <v>11</v>
      </c>
      <c r="C2537" s="0" t="n">
        <v>6873</v>
      </c>
      <c r="E2537" s="0" t="n">
        <v>0</v>
      </c>
      <c r="F2537" s="39" t="s">
        <v>1272</v>
      </c>
      <c r="I2537" s="39" t="s">
        <v>138</v>
      </c>
      <c r="U2537" s="0" t="n">
        <v>419</v>
      </c>
      <c r="V2537" s="0" t="n">
        <v>1</v>
      </c>
      <c r="W2537" s="39" t="n">
        <f aca="false">IF(I2537="Male",0,1)</f>
        <v>1</v>
      </c>
      <c r="X2537" s="39" t="n">
        <f aca="false">IF(OR(I2537="DNB",I2537="Dry DNB"),1,0)</f>
        <v>0</v>
      </c>
      <c r="Y2537" s="39" t="n">
        <f aca="false">MATCH(A2537,DATAS,0)</f>
        <v>1</v>
      </c>
      <c r="Z2537" s="39" t="n">
        <f aca="false">IF(AND(E2537&gt;0,OR(AND(B2537&gt;=1,B2537&lt;=6),B2537=10)),1,0)</f>
        <v>0</v>
      </c>
      <c r="AA2537" s="39" t="n">
        <f aca="false">IF(AND(E2537&gt;0,B2537=10),1,0)</f>
        <v>0</v>
      </c>
      <c r="AB2537" s="0" t="str">
        <f aca="false">IF(AND(C2536=C2537,Y2536=Y2537-1),Z2536,"")</f>
        <v/>
      </c>
      <c r="AC2537" s="0" t="str">
        <f aca="false">IF(AND(C2536=C2537,Y2536=Y2537-1),AA2536,"")</f>
        <v/>
      </c>
      <c r="AD2537" s="0" t="str">
        <f aca="false">IF(Y2537=1,"",IF(AND(Z2537=1,AB2537&lt;&gt;1),1,0))</f>
        <v/>
      </c>
      <c r="AE2537" s="0" t="str">
        <f aca="false">IF(Y2537=1,"",IF(AND(AA2537=1,AC2537&lt;&gt;1),1,0))</f>
        <v/>
      </c>
      <c r="AF2537" s="45" t="str">
        <f aca="false">IF(AND(E2537&gt;0,Y2537&lt;1,NOT(AND(C2538=C2537,Y2538=Y2537+1))),INDEX(DATAS,Y2537+1),"")</f>
        <v/>
      </c>
      <c r="AG2537" s="45" t="str">
        <f aca="false">IF(AND(AA2537=1,Y2537&lt;1),IF(AND(C2538=C2537,Y2538=Y2537+1),IF(AA2538=1,"",INDEX(DATAS,Y2537+1)),INDEX(DATAS,Y2537+1)),"")</f>
        <v/>
      </c>
    </row>
    <row r="2538" customFormat="false" ht="15" hidden="false" customHeight="false" outlineLevel="0" collapsed="false">
      <c r="A2538" s="45" t="n">
        <v>46309</v>
      </c>
      <c r="B2538" s="0" t="n">
        <v>11</v>
      </c>
      <c r="C2538" s="0" t="n">
        <v>6875</v>
      </c>
      <c r="E2538" s="0" t="n">
        <v>0</v>
      </c>
      <c r="F2538" s="39" t="s">
        <v>1273</v>
      </c>
      <c r="I2538" s="39" t="s">
        <v>138</v>
      </c>
      <c r="U2538" s="0" t="n">
        <v>418</v>
      </c>
      <c r="V2538" s="0" t="n">
        <v>1</v>
      </c>
      <c r="W2538" s="39" t="n">
        <f aca="false">IF(I2538="Male",0,1)</f>
        <v>1</v>
      </c>
      <c r="X2538" s="39" t="n">
        <f aca="false">IF(OR(I2538="DNB",I2538="Dry DNB"),1,0)</f>
        <v>0</v>
      </c>
      <c r="Y2538" s="39" t="n">
        <f aca="false">MATCH(A2538,DATAS,0)</f>
        <v>1</v>
      </c>
      <c r="Z2538" s="39" t="n">
        <f aca="false">IF(AND(E2538&gt;0,OR(AND(B2538&gt;=1,B2538&lt;=6),B2538=10)),1,0)</f>
        <v>0</v>
      </c>
      <c r="AA2538" s="39" t="n">
        <f aca="false">IF(AND(E2538&gt;0,B2538=10),1,0)</f>
        <v>0</v>
      </c>
      <c r="AB2538" s="0" t="str">
        <f aca="false">IF(AND(C2537=C2538,Y2537=Y2538-1),Z2537,"")</f>
        <v/>
      </c>
      <c r="AC2538" s="0" t="str">
        <f aca="false">IF(AND(C2537=C2538,Y2537=Y2538-1),AA2537,"")</f>
        <v/>
      </c>
      <c r="AD2538" s="0" t="str">
        <f aca="false">IF(Y2538=1,"",IF(AND(Z2538=1,AB2538&lt;&gt;1),1,0))</f>
        <v/>
      </c>
      <c r="AE2538" s="0" t="str">
        <f aca="false">IF(Y2538=1,"",IF(AND(AA2538=1,AC2538&lt;&gt;1),1,0))</f>
        <v/>
      </c>
      <c r="AF2538" s="45" t="str">
        <f aca="false">IF(AND(E2538&gt;0,Y2538&lt;1,NOT(AND(C2539=C2538,Y2539=Y2538+1))),INDEX(DATAS,Y2538+1),"")</f>
        <v/>
      </c>
      <c r="AG2538" s="45" t="str">
        <f aca="false">IF(AND(AA2538=1,Y2538&lt;1),IF(AND(C2539=C2538,Y2539=Y2538+1),IF(AA2539=1,"",INDEX(DATAS,Y2538+1)),INDEX(DATAS,Y2538+1)),"")</f>
        <v/>
      </c>
    </row>
    <row r="2539" customFormat="false" ht="15" hidden="false" customHeight="false" outlineLevel="0" collapsed="false">
      <c r="A2539" s="45" t="n">
        <v>46309</v>
      </c>
      <c r="B2539" s="0" t="n">
        <v>11</v>
      </c>
      <c r="C2539" s="0" t="n">
        <v>6876</v>
      </c>
      <c r="E2539" s="0" t="n">
        <v>0</v>
      </c>
      <c r="F2539" s="39" t="s">
        <v>1273</v>
      </c>
      <c r="I2539" s="39" t="s">
        <v>138</v>
      </c>
      <c r="U2539" s="0" t="n">
        <v>418</v>
      </c>
      <c r="V2539" s="0" t="n">
        <v>1</v>
      </c>
      <c r="W2539" s="39" t="n">
        <f aca="false">IF(I2539="Male",0,1)</f>
        <v>1</v>
      </c>
      <c r="X2539" s="39" t="n">
        <f aca="false">IF(OR(I2539="DNB",I2539="Dry DNB"),1,0)</f>
        <v>0</v>
      </c>
      <c r="Y2539" s="39" t="n">
        <f aca="false">MATCH(A2539,DATAS,0)</f>
        <v>1</v>
      </c>
      <c r="Z2539" s="39" t="n">
        <f aca="false">IF(AND(E2539&gt;0,OR(AND(B2539&gt;=1,B2539&lt;=6),B2539=10)),1,0)</f>
        <v>0</v>
      </c>
      <c r="AA2539" s="39" t="n">
        <f aca="false">IF(AND(E2539&gt;0,B2539=10),1,0)</f>
        <v>0</v>
      </c>
      <c r="AB2539" s="0" t="str">
        <f aca="false">IF(AND(C2538=C2539,Y2538=Y2539-1),Z2538,"")</f>
        <v/>
      </c>
      <c r="AC2539" s="0" t="str">
        <f aca="false">IF(AND(C2538=C2539,Y2538=Y2539-1),AA2538,"")</f>
        <v/>
      </c>
      <c r="AD2539" s="0" t="str">
        <f aca="false">IF(Y2539=1,"",IF(AND(Z2539=1,AB2539&lt;&gt;1),1,0))</f>
        <v/>
      </c>
      <c r="AE2539" s="0" t="str">
        <f aca="false">IF(Y2539=1,"",IF(AND(AA2539=1,AC2539&lt;&gt;1),1,0))</f>
        <v/>
      </c>
      <c r="AF2539" s="45" t="str">
        <f aca="false">IF(AND(E2539&gt;0,Y2539&lt;1,NOT(AND(C2540=C2539,Y2540=Y2539+1))),INDEX(DATAS,Y2539+1),"")</f>
        <v/>
      </c>
      <c r="AG2539" s="45" t="str">
        <f aca="false">IF(AND(AA2539=1,Y2539&lt;1),IF(AND(C2540=C2539,Y2540=Y2539+1),IF(AA2540=1,"",INDEX(DATAS,Y2539+1)),INDEX(DATAS,Y2539+1)),"")</f>
        <v/>
      </c>
    </row>
    <row r="2540" customFormat="false" ht="15" hidden="false" customHeight="false" outlineLevel="0" collapsed="false">
      <c r="A2540" s="45" t="n">
        <v>46309</v>
      </c>
      <c r="B2540" s="0" t="n">
        <v>13</v>
      </c>
      <c r="C2540" s="0" t="n">
        <v>6877</v>
      </c>
      <c r="E2540" s="0" t="n">
        <v>0</v>
      </c>
      <c r="F2540" s="39" t="s">
        <v>1273</v>
      </c>
      <c r="I2540" s="39" t="s">
        <v>146</v>
      </c>
      <c r="U2540" s="0" t="n">
        <v>418</v>
      </c>
      <c r="V2540" s="0" t="n">
        <v>0</v>
      </c>
      <c r="W2540" s="39" t="n">
        <f aca="false">IF(I2540="Male",0,1)</f>
        <v>1</v>
      </c>
      <c r="X2540" s="39" t="n">
        <f aca="false">IF(OR(I2540="DNB",I2540="Dry DNB"),1,0)</f>
        <v>0</v>
      </c>
      <c r="Y2540" s="39" t="n">
        <f aca="false">MATCH(A2540,DATAS,0)</f>
        <v>1</v>
      </c>
      <c r="Z2540" s="39" t="n">
        <f aca="false">IF(AND(E2540&gt;0,OR(AND(B2540&gt;=1,B2540&lt;=6),B2540=10)),1,0)</f>
        <v>0</v>
      </c>
      <c r="AA2540" s="39" t="n">
        <f aca="false">IF(AND(E2540&gt;0,B2540=10),1,0)</f>
        <v>0</v>
      </c>
      <c r="AB2540" s="0" t="str">
        <f aca="false">IF(AND(C2539=C2540,Y2539=Y2540-1),Z2539,"")</f>
        <v/>
      </c>
      <c r="AC2540" s="0" t="str">
        <f aca="false">IF(AND(C2539=C2540,Y2539=Y2540-1),AA2539,"")</f>
        <v/>
      </c>
      <c r="AD2540" s="0" t="str">
        <f aca="false">IF(Y2540=1,"",IF(AND(Z2540=1,AB2540&lt;&gt;1),1,0))</f>
        <v/>
      </c>
      <c r="AE2540" s="0" t="str">
        <f aca="false">IF(Y2540=1,"",IF(AND(AA2540=1,AC2540&lt;&gt;1),1,0))</f>
        <v/>
      </c>
      <c r="AF2540" s="45" t="str">
        <f aca="false">IF(AND(E2540&gt;0,Y2540&lt;1,NOT(AND(C2541=C2540,Y2541=Y2540+1))),INDEX(DATAS,Y2540+1),"")</f>
        <v/>
      </c>
      <c r="AG2540" s="45" t="str">
        <f aca="false">IF(AND(AA2540=1,Y2540&lt;1),IF(AND(C2541=C2540,Y2541=Y2540+1),IF(AA2541=1,"",INDEX(DATAS,Y2540+1)),INDEX(DATAS,Y2540+1)),"")</f>
        <v/>
      </c>
    </row>
    <row r="2541" customFormat="false" ht="15" hidden="false" customHeight="false" outlineLevel="0" collapsed="false">
      <c r="A2541" s="45" t="n">
        <v>46309</v>
      </c>
      <c r="B2541" s="0" t="n">
        <v>11</v>
      </c>
      <c r="C2541" s="0" t="n">
        <v>6879</v>
      </c>
      <c r="E2541" s="0" t="n">
        <v>0</v>
      </c>
      <c r="F2541" s="39" t="s">
        <v>1273</v>
      </c>
      <c r="I2541" s="39" t="s">
        <v>138</v>
      </c>
      <c r="U2541" s="0" t="n">
        <v>418</v>
      </c>
      <c r="V2541" s="0" t="n">
        <v>1</v>
      </c>
      <c r="W2541" s="39" t="n">
        <f aca="false">IF(I2541="Male",0,1)</f>
        <v>1</v>
      </c>
      <c r="X2541" s="39" t="n">
        <f aca="false">IF(OR(I2541="DNB",I2541="Dry DNB"),1,0)</f>
        <v>0</v>
      </c>
      <c r="Y2541" s="39" t="n">
        <f aca="false">MATCH(A2541,DATAS,0)</f>
        <v>1</v>
      </c>
      <c r="Z2541" s="39" t="n">
        <f aca="false">IF(AND(E2541&gt;0,OR(AND(B2541&gt;=1,B2541&lt;=6),B2541=10)),1,0)</f>
        <v>0</v>
      </c>
      <c r="AA2541" s="39" t="n">
        <f aca="false">IF(AND(E2541&gt;0,B2541=10),1,0)</f>
        <v>0</v>
      </c>
      <c r="AB2541" s="0" t="str">
        <f aca="false">IF(AND(C2540=C2541,Y2540=Y2541-1),Z2540,"")</f>
        <v/>
      </c>
      <c r="AC2541" s="0" t="str">
        <f aca="false">IF(AND(C2540=C2541,Y2540=Y2541-1),AA2540,"")</f>
        <v/>
      </c>
      <c r="AD2541" s="0" t="str">
        <f aca="false">IF(Y2541=1,"",IF(AND(Z2541=1,AB2541&lt;&gt;1),1,0))</f>
        <v/>
      </c>
      <c r="AE2541" s="0" t="str">
        <f aca="false">IF(Y2541=1,"",IF(AND(AA2541=1,AC2541&lt;&gt;1),1,0))</f>
        <v/>
      </c>
      <c r="AF2541" s="45" t="str">
        <f aca="false">IF(AND(E2541&gt;0,Y2541&lt;1,NOT(AND(C2542=C2541,Y2542=Y2541+1))),INDEX(DATAS,Y2541+1),"")</f>
        <v/>
      </c>
      <c r="AG2541" s="45" t="str">
        <f aca="false">IF(AND(AA2541=1,Y2541&lt;1),IF(AND(C2542=C2541,Y2542=Y2541+1),IF(AA2542=1,"",INDEX(DATAS,Y2541+1)),INDEX(DATAS,Y2541+1)),"")</f>
        <v/>
      </c>
    </row>
    <row r="2542" customFormat="false" ht="15" hidden="false" customHeight="false" outlineLevel="0" collapsed="false">
      <c r="A2542" s="45" t="n">
        <v>46309</v>
      </c>
      <c r="B2542" s="0" t="n">
        <v>11</v>
      </c>
      <c r="C2542" s="0" t="n">
        <v>6880</v>
      </c>
      <c r="E2542" s="0" t="n">
        <v>0</v>
      </c>
      <c r="F2542" s="39" t="s">
        <v>1274</v>
      </c>
      <c r="I2542" s="39" t="s">
        <v>138</v>
      </c>
      <c r="U2542" s="0" t="n">
        <v>417</v>
      </c>
      <c r="V2542" s="0" t="n">
        <v>1</v>
      </c>
      <c r="W2542" s="39" t="n">
        <f aca="false">IF(I2542="Male",0,1)</f>
        <v>1</v>
      </c>
      <c r="X2542" s="39" t="n">
        <f aca="false">IF(OR(I2542="DNB",I2542="Dry DNB"),1,0)</f>
        <v>0</v>
      </c>
      <c r="Y2542" s="39" t="n">
        <f aca="false">MATCH(A2542,DATAS,0)</f>
        <v>1</v>
      </c>
      <c r="Z2542" s="39" t="n">
        <f aca="false">IF(AND(E2542&gt;0,OR(AND(B2542&gt;=1,B2542&lt;=6),B2542=10)),1,0)</f>
        <v>0</v>
      </c>
      <c r="AA2542" s="39" t="n">
        <f aca="false">IF(AND(E2542&gt;0,B2542=10),1,0)</f>
        <v>0</v>
      </c>
      <c r="AB2542" s="0" t="str">
        <f aca="false">IF(AND(C2541=C2542,Y2541=Y2542-1),Z2541,"")</f>
        <v/>
      </c>
      <c r="AC2542" s="0" t="str">
        <f aca="false">IF(AND(C2541=C2542,Y2541=Y2542-1),AA2541,"")</f>
        <v/>
      </c>
      <c r="AD2542" s="0" t="str">
        <f aca="false">IF(Y2542=1,"",IF(AND(Z2542=1,AB2542&lt;&gt;1),1,0))</f>
        <v/>
      </c>
      <c r="AE2542" s="0" t="str">
        <f aca="false">IF(Y2542=1,"",IF(AND(AA2542=1,AC2542&lt;&gt;1),1,0))</f>
        <v/>
      </c>
      <c r="AF2542" s="45" t="str">
        <f aca="false">IF(AND(E2542&gt;0,Y2542&lt;1,NOT(AND(C2543=C2542,Y2543=Y2542+1))),INDEX(DATAS,Y2542+1),"")</f>
        <v/>
      </c>
      <c r="AG2542" s="45" t="str">
        <f aca="false">IF(AND(AA2542=1,Y2542&lt;1),IF(AND(C2543=C2542,Y2543=Y2542+1),IF(AA2543=1,"",INDEX(DATAS,Y2542+1)),INDEX(DATAS,Y2542+1)),"")</f>
        <v/>
      </c>
    </row>
    <row r="2543" customFormat="false" ht="15" hidden="false" customHeight="false" outlineLevel="0" collapsed="false">
      <c r="A2543" s="45" t="n">
        <v>46309</v>
      </c>
      <c r="B2543" s="0" t="n">
        <v>11</v>
      </c>
      <c r="C2543" s="0" t="n">
        <v>6882</v>
      </c>
      <c r="E2543" s="0" t="n">
        <v>0</v>
      </c>
      <c r="F2543" s="39" t="s">
        <v>1274</v>
      </c>
      <c r="I2543" s="39" t="s">
        <v>138</v>
      </c>
      <c r="U2543" s="0" t="n">
        <v>417</v>
      </c>
      <c r="V2543" s="0" t="n">
        <v>1</v>
      </c>
      <c r="W2543" s="39" t="n">
        <f aca="false">IF(I2543="Male",0,1)</f>
        <v>1</v>
      </c>
      <c r="X2543" s="39" t="n">
        <f aca="false">IF(OR(I2543="DNB",I2543="Dry DNB"),1,0)</f>
        <v>0</v>
      </c>
      <c r="Y2543" s="39" t="n">
        <f aca="false">MATCH(A2543,DATAS,0)</f>
        <v>1</v>
      </c>
      <c r="Z2543" s="39" t="n">
        <f aca="false">IF(AND(E2543&gt;0,OR(AND(B2543&gt;=1,B2543&lt;=6),B2543=10)),1,0)</f>
        <v>0</v>
      </c>
      <c r="AA2543" s="39" t="n">
        <f aca="false">IF(AND(E2543&gt;0,B2543=10),1,0)</f>
        <v>0</v>
      </c>
      <c r="AB2543" s="0" t="str">
        <f aca="false">IF(AND(C2542=C2543,Y2542=Y2543-1),Z2542,"")</f>
        <v/>
      </c>
      <c r="AC2543" s="0" t="str">
        <f aca="false">IF(AND(C2542=C2543,Y2542=Y2543-1),AA2542,"")</f>
        <v/>
      </c>
      <c r="AD2543" s="0" t="str">
        <f aca="false">IF(Y2543=1,"",IF(AND(Z2543=1,AB2543&lt;&gt;1),1,0))</f>
        <v/>
      </c>
      <c r="AE2543" s="0" t="str">
        <f aca="false">IF(Y2543=1,"",IF(AND(AA2543=1,AC2543&lt;&gt;1),1,0))</f>
        <v/>
      </c>
      <c r="AF2543" s="45" t="str">
        <f aca="false">IF(AND(E2543&gt;0,Y2543&lt;1,NOT(AND(C2544=C2543,Y2544=Y2543+1))),INDEX(DATAS,Y2543+1),"")</f>
        <v/>
      </c>
      <c r="AG2543" s="45" t="str">
        <f aca="false">IF(AND(AA2543=1,Y2543&lt;1),IF(AND(C2544=C2543,Y2544=Y2543+1),IF(AA2544=1,"",INDEX(DATAS,Y2543+1)),INDEX(DATAS,Y2543+1)),"")</f>
        <v/>
      </c>
    </row>
    <row r="2544" customFormat="false" ht="15" hidden="false" customHeight="false" outlineLevel="0" collapsed="false">
      <c r="A2544" s="45" t="n">
        <v>46309</v>
      </c>
      <c r="B2544" s="0" t="n">
        <v>11</v>
      </c>
      <c r="C2544" s="0" t="n">
        <v>6883</v>
      </c>
      <c r="E2544" s="0" t="n">
        <v>0</v>
      </c>
      <c r="F2544" s="39" t="s">
        <v>1274</v>
      </c>
      <c r="I2544" s="39" t="s">
        <v>138</v>
      </c>
      <c r="U2544" s="0" t="n">
        <v>417</v>
      </c>
      <c r="V2544" s="0" t="n">
        <v>1</v>
      </c>
      <c r="W2544" s="39" t="n">
        <f aca="false">IF(I2544="Male",0,1)</f>
        <v>1</v>
      </c>
      <c r="X2544" s="39" t="n">
        <f aca="false">IF(OR(I2544="DNB",I2544="Dry DNB"),1,0)</f>
        <v>0</v>
      </c>
      <c r="Y2544" s="39" t="n">
        <f aca="false">MATCH(A2544,DATAS,0)</f>
        <v>1</v>
      </c>
      <c r="Z2544" s="39" t="n">
        <f aca="false">IF(AND(E2544&gt;0,OR(AND(B2544&gt;=1,B2544&lt;=6),B2544=10)),1,0)</f>
        <v>0</v>
      </c>
      <c r="AA2544" s="39" t="n">
        <f aca="false">IF(AND(E2544&gt;0,B2544=10),1,0)</f>
        <v>0</v>
      </c>
      <c r="AB2544" s="0" t="str">
        <f aca="false">IF(AND(C2543=C2544,Y2543=Y2544-1),Z2543,"")</f>
        <v/>
      </c>
      <c r="AC2544" s="0" t="str">
        <f aca="false">IF(AND(C2543=C2544,Y2543=Y2544-1),AA2543,"")</f>
        <v/>
      </c>
      <c r="AD2544" s="0" t="str">
        <f aca="false">IF(Y2544=1,"",IF(AND(Z2544=1,AB2544&lt;&gt;1),1,0))</f>
        <v/>
      </c>
      <c r="AE2544" s="0" t="str">
        <f aca="false">IF(Y2544=1,"",IF(AND(AA2544=1,AC2544&lt;&gt;1),1,0))</f>
        <v/>
      </c>
      <c r="AF2544" s="45" t="str">
        <f aca="false">IF(AND(E2544&gt;0,Y2544&lt;1,NOT(AND(C2545=C2544,Y2545=Y2544+1))),INDEX(DATAS,Y2544+1),"")</f>
        <v/>
      </c>
      <c r="AG2544" s="45" t="str">
        <f aca="false">IF(AND(AA2544=1,Y2544&lt;1),IF(AND(C2545=C2544,Y2545=Y2544+1),IF(AA2545=1,"",INDEX(DATAS,Y2544+1)),INDEX(DATAS,Y2544+1)),"")</f>
        <v/>
      </c>
    </row>
    <row r="2545" customFormat="false" ht="15" hidden="false" customHeight="false" outlineLevel="0" collapsed="false">
      <c r="A2545" s="45" t="n">
        <v>46309</v>
      </c>
      <c r="B2545" s="0" t="n">
        <v>13</v>
      </c>
      <c r="C2545" s="0" t="n">
        <v>6884</v>
      </c>
      <c r="E2545" s="0" t="n">
        <v>0</v>
      </c>
      <c r="F2545" s="39" t="s">
        <v>1275</v>
      </c>
      <c r="I2545" s="39" t="s">
        <v>146</v>
      </c>
      <c r="U2545" s="0" t="n">
        <v>416</v>
      </c>
      <c r="V2545" s="0" t="n">
        <v>0</v>
      </c>
      <c r="W2545" s="39" t="n">
        <f aca="false">IF(I2545="Male",0,1)</f>
        <v>1</v>
      </c>
      <c r="X2545" s="39" t="n">
        <f aca="false">IF(OR(I2545="DNB",I2545="Dry DNB"),1,0)</f>
        <v>0</v>
      </c>
      <c r="Y2545" s="39" t="n">
        <f aca="false">MATCH(A2545,DATAS,0)</f>
        <v>1</v>
      </c>
      <c r="Z2545" s="39" t="n">
        <f aca="false">IF(AND(E2545&gt;0,OR(AND(B2545&gt;=1,B2545&lt;=6),B2545=10)),1,0)</f>
        <v>0</v>
      </c>
      <c r="AA2545" s="39" t="n">
        <f aca="false">IF(AND(E2545&gt;0,B2545=10),1,0)</f>
        <v>0</v>
      </c>
      <c r="AB2545" s="0" t="str">
        <f aca="false">IF(AND(C2544=C2545,Y2544=Y2545-1),Z2544,"")</f>
        <v/>
      </c>
      <c r="AC2545" s="0" t="str">
        <f aca="false">IF(AND(C2544=C2545,Y2544=Y2545-1),AA2544,"")</f>
        <v/>
      </c>
      <c r="AD2545" s="0" t="str">
        <f aca="false">IF(Y2545=1,"",IF(AND(Z2545=1,AB2545&lt;&gt;1),1,0))</f>
        <v/>
      </c>
      <c r="AE2545" s="0" t="str">
        <f aca="false">IF(Y2545=1,"",IF(AND(AA2545=1,AC2545&lt;&gt;1),1,0))</f>
        <v/>
      </c>
      <c r="AF2545" s="45" t="str">
        <f aca="false">IF(AND(E2545&gt;0,Y2545&lt;1,NOT(AND(C2546=C2545,Y2546=Y2545+1))),INDEX(DATAS,Y2545+1),"")</f>
        <v/>
      </c>
      <c r="AG2545" s="45" t="str">
        <f aca="false">IF(AND(AA2545=1,Y2545&lt;1),IF(AND(C2546=C2545,Y2546=Y2545+1),IF(AA2546=1,"",INDEX(DATAS,Y2545+1)),INDEX(DATAS,Y2545+1)),"")</f>
        <v/>
      </c>
    </row>
    <row r="2546" customFormat="false" ht="15" hidden="false" customHeight="false" outlineLevel="0" collapsed="false">
      <c r="A2546" s="45" t="n">
        <v>46309</v>
      </c>
      <c r="B2546" s="0" t="n">
        <v>11</v>
      </c>
      <c r="C2546" s="0" t="n">
        <v>6885</v>
      </c>
      <c r="E2546" s="0" t="n">
        <v>0</v>
      </c>
      <c r="F2546" s="39" t="s">
        <v>1275</v>
      </c>
      <c r="I2546" s="39" t="s">
        <v>138</v>
      </c>
      <c r="U2546" s="0" t="n">
        <v>416</v>
      </c>
      <c r="V2546" s="0" t="n">
        <v>1</v>
      </c>
      <c r="W2546" s="39" t="n">
        <f aca="false">IF(I2546="Male",0,1)</f>
        <v>1</v>
      </c>
      <c r="X2546" s="39" t="n">
        <f aca="false">IF(OR(I2546="DNB",I2546="Dry DNB"),1,0)</f>
        <v>0</v>
      </c>
      <c r="Y2546" s="39" t="n">
        <f aca="false">MATCH(A2546,DATAS,0)</f>
        <v>1</v>
      </c>
      <c r="Z2546" s="39" t="n">
        <f aca="false">IF(AND(E2546&gt;0,OR(AND(B2546&gt;=1,B2546&lt;=6),B2546=10)),1,0)</f>
        <v>0</v>
      </c>
      <c r="AA2546" s="39" t="n">
        <f aca="false">IF(AND(E2546&gt;0,B2546=10),1,0)</f>
        <v>0</v>
      </c>
      <c r="AB2546" s="0" t="str">
        <f aca="false">IF(AND(C2545=C2546,Y2545=Y2546-1),Z2545,"")</f>
        <v/>
      </c>
      <c r="AC2546" s="0" t="str">
        <f aca="false">IF(AND(C2545=C2546,Y2545=Y2546-1),AA2545,"")</f>
        <v/>
      </c>
      <c r="AD2546" s="0" t="str">
        <f aca="false">IF(Y2546=1,"",IF(AND(Z2546=1,AB2546&lt;&gt;1),1,0))</f>
        <v/>
      </c>
      <c r="AE2546" s="0" t="str">
        <f aca="false">IF(Y2546=1,"",IF(AND(AA2546=1,AC2546&lt;&gt;1),1,0))</f>
        <v/>
      </c>
      <c r="AF2546" s="45" t="str">
        <f aca="false">IF(AND(E2546&gt;0,Y2546&lt;1,NOT(AND(C2547=C2546,Y2547=Y2546+1))),INDEX(DATAS,Y2546+1),"")</f>
        <v/>
      </c>
      <c r="AG2546" s="45" t="str">
        <f aca="false">IF(AND(AA2546=1,Y2546&lt;1),IF(AND(C2547=C2546,Y2547=Y2546+1),IF(AA2547=1,"",INDEX(DATAS,Y2546+1)),INDEX(DATAS,Y2546+1)),"")</f>
        <v/>
      </c>
    </row>
    <row r="2547" customFormat="false" ht="15" hidden="false" customHeight="false" outlineLevel="0" collapsed="false">
      <c r="A2547" s="45" t="n">
        <v>46309</v>
      </c>
      <c r="B2547" s="0" t="n">
        <v>11</v>
      </c>
      <c r="C2547" s="0" t="n">
        <v>6886</v>
      </c>
      <c r="E2547" s="0" t="n">
        <v>0</v>
      </c>
      <c r="F2547" s="39" t="s">
        <v>1275</v>
      </c>
      <c r="I2547" s="39" t="s">
        <v>138</v>
      </c>
      <c r="U2547" s="0" t="n">
        <v>416</v>
      </c>
      <c r="V2547" s="0" t="n">
        <v>1</v>
      </c>
      <c r="W2547" s="39" t="n">
        <f aca="false">IF(I2547="Male",0,1)</f>
        <v>1</v>
      </c>
      <c r="X2547" s="39" t="n">
        <f aca="false">IF(OR(I2547="DNB",I2547="Dry DNB"),1,0)</f>
        <v>0</v>
      </c>
      <c r="Y2547" s="39" t="n">
        <f aca="false">MATCH(A2547,DATAS,0)</f>
        <v>1</v>
      </c>
      <c r="Z2547" s="39" t="n">
        <f aca="false">IF(AND(E2547&gt;0,OR(AND(B2547&gt;=1,B2547&lt;=6),B2547=10)),1,0)</f>
        <v>0</v>
      </c>
      <c r="AA2547" s="39" t="n">
        <f aca="false">IF(AND(E2547&gt;0,B2547=10),1,0)</f>
        <v>0</v>
      </c>
      <c r="AB2547" s="0" t="str">
        <f aca="false">IF(AND(C2546=C2547,Y2546=Y2547-1),Z2546,"")</f>
        <v/>
      </c>
      <c r="AC2547" s="0" t="str">
        <f aca="false">IF(AND(C2546=C2547,Y2546=Y2547-1),AA2546,"")</f>
        <v/>
      </c>
      <c r="AD2547" s="0" t="str">
        <f aca="false">IF(Y2547=1,"",IF(AND(Z2547=1,AB2547&lt;&gt;1),1,0))</f>
        <v/>
      </c>
      <c r="AE2547" s="0" t="str">
        <f aca="false">IF(Y2547=1,"",IF(AND(AA2547=1,AC2547&lt;&gt;1),1,0))</f>
        <v/>
      </c>
      <c r="AF2547" s="45" t="str">
        <f aca="false">IF(AND(E2547&gt;0,Y2547&lt;1,NOT(AND(C2548=C2547,Y2548=Y2547+1))),INDEX(DATAS,Y2547+1),"")</f>
        <v/>
      </c>
      <c r="AG2547" s="45" t="str">
        <f aca="false">IF(AND(AA2547=1,Y2547&lt;1),IF(AND(C2548=C2547,Y2548=Y2547+1),IF(AA2548=1,"",INDEX(DATAS,Y2547+1)),INDEX(DATAS,Y2547+1)),"")</f>
        <v/>
      </c>
    </row>
    <row r="2548" customFormat="false" ht="15" hidden="false" customHeight="false" outlineLevel="0" collapsed="false">
      <c r="A2548" s="45" t="n">
        <v>46309</v>
      </c>
      <c r="B2548" s="0" t="n">
        <v>13</v>
      </c>
      <c r="C2548" s="0" t="n">
        <v>6887</v>
      </c>
      <c r="E2548" s="0" t="n">
        <v>0</v>
      </c>
      <c r="F2548" s="39" t="s">
        <v>1276</v>
      </c>
      <c r="I2548" s="39" t="s">
        <v>146</v>
      </c>
      <c r="U2548" s="0" t="n">
        <v>415</v>
      </c>
      <c r="V2548" s="0" t="n">
        <v>0</v>
      </c>
      <c r="W2548" s="39" t="n">
        <f aca="false">IF(I2548="Male",0,1)</f>
        <v>1</v>
      </c>
      <c r="X2548" s="39" t="n">
        <f aca="false">IF(OR(I2548="DNB",I2548="Dry DNB"),1,0)</f>
        <v>0</v>
      </c>
      <c r="Y2548" s="39" t="n">
        <f aca="false">MATCH(A2548,DATAS,0)</f>
        <v>1</v>
      </c>
      <c r="Z2548" s="39" t="n">
        <f aca="false">IF(AND(E2548&gt;0,OR(AND(B2548&gt;=1,B2548&lt;=6),B2548=10)),1,0)</f>
        <v>0</v>
      </c>
      <c r="AA2548" s="39" t="n">
        <f aca="false">IF(AND(E2548&gt;0,B2548=10),1,0)</f>
        <v>0</v>
      </c>
      <c r="AB2548" s="0" t="str">
        <f aca="false">IF(AND(C2547=C2548,Y2547=Y2548-1),Z2547,"")</f>
        <v/>
      </c>
      <c r="AC2548" s="0" t="str">
        <f aca="false">IF(AND(C2547=C2548,Y2547=Y2548-1),AA2547,"")</f>
        <v/>
      </c>
      <c r="AD2548" s="0" t="str">
        <f aca="false">IF(Y2548=1,"",IF(AND(Z2548=1,AB2548&lt;&gt;1),1,0))</f>
        <v/>
      </c>
      <c r="AE2548" s="0" t="str">
        <f aca="false">IF(Y2548=1,"",IF(AND(AA2548=1,AC2548&lt;&gt;1),1,0))</f>
        <v/>
      </c>
      <c r="AF2548" s="45" t="str">
        <f aca="false">IF(AND(E2548&gt;0,Y2548&lt;1,NOT(AND(C2549=C2548,Y2549=Y2548+1))),INDEX(DATAS,Y2548+1),"")</f>
        <v/>
      </c>
      <c r="AG2548" s="45" t="str">
        <f aca="false">IF(AND(AA2548=1,Y2548&lt;1),IF(AND(C2549=C2548,Y2549=Y2548+1),IF(AA2549=1,"",INDEX(DATAS,Y2548+1)),INDEX(DATAS,Y2548+1)),"")</f>
        <v/>
      </c>
    </row>
    <row r="2549" customFormat="false" ht="15" hidden="false" customHeight="false" outlineLevel="0" collapsed="false">
      <c r="A2549" s="45" t="n">
        <v>46309</v>
      </c>
      <c r="B2549" s="0" t="n">
        <v>13</v>
      </c>
      <c r="C2549" s="0" t="n">
        <v>6888</v>
      </c>
      <c r="E2549" s="0" t="n">
        <v>0</v>
      </c>
      <c r="F2549" s="39" t="s">
        <v>1276</v>
      </c>
      <c r="I2549" s="39" t="s">
        <v>146</v>
      </c>
      <c r="U2549" s="0" t="n">
        <v>415</v>
      </c>
      <c r="V2549" s="0" t="n">
        <v>0</v>
      </c>
      <c r="W2549" s="39" t="n">
        <f aca="false">IF(I2549="Male",0,1)</f>
        <v>1</v>
      </c>
      <c r="X2549" s="39" t="n">
        <f aca="false">IF(OR(I2549="DNB",I2549="Dry DNB"),1,0)</f>
        <v>0</v>
      </c>
      <c r="Y2549" s="39" t="n">
        <f aca="false">MATCH(A2549,DATAS,0)</f>
        <v>1</v>
      </c>
      <c r="Z2549" s="39" t="n">
        <f aca="false">IF(AND(E2549&gt;0,OR(AND(B2549&gt;=1,B2549&lt;=6),B2549=10)),1,0)</f>
        <v>0</v>
      </c>
      <c r="AA2549" s="39" t="n">
        <f aca="false">IF(AND(E2549&gt;0,B2549=10),1,0)</f>
        <v>0</v>
      </c>
      <c r="AB2549" s="0" t="str">
        <f aca="false">IF(AND(C2548=C2549,Y2548=Y2549-1),Z2548,"")</f>
        <v/>
      </c>
      <c r="AC2549" s="0" t="str">
        <f aca="false">IF(AND(C2548=C2549,Y2548=Y2549-1),AA2548,"")</f>
        <v/>
      </c>
      <c r="AD2549" s="0" t="str">
        <f aca="false">IF(Y2549=1,"",IF(AND(Z2549=1,AB2549&lt;&gt;1),1,0))</f>
        <v/>
      </c>
      <c r="AE2549" s="0" t="str">
        <f aca="false">IF(Y2549=1,"",IF(AND(AA2549=1,AC2549&lt;&gt;1),1,0))</f>
        <v/>
      </c>
      <c r="AF2549" s="45" t="str">
        <f aca="false">IF(AND(E2549&gt;0,Y2549&lt;1,NOT(AND(C2550=C2549,Y2550=Y2549+1))),INDEX(DATAS,Y2549+1),"")</f>
        <v/>
      </c>
      <c r="AG2549" s="45" t="str">
        <f aca="false">IF(AND(AA2549=1,Y2549&lt;1),IF(AND(C2550=C2549,Y2550=Y2549+1),IF(AA2550=1,"",INDEX(DATAS,Y2549+1)),INDEX(DATAS,Y2549+1)),"")</f>
        <v/>
      </c>
    </row>
    <row r="2550" customFormat="false" ht="15" hidden="false" customHeight="false" outlineLevel="0" collapsed="false">
      <c r="A2550" s="45" t="n">
        <v>46309</v>
      </c>
      <c r="B2550" s="0" t="n">
        <v>11</v>
      </c>
      <c r="C2550" s="0" t="n">
        <v>6889</v>
      </c>
      <c r="E2550" s="0" t="n">
        <v>0</v>
      </c>
      <c r="F2550" s="39" t="s">
        <v>1276</v>
      </c>
      <c r="I2550" s="39" t="s">
        <v>138</v>
      </c>
      <c r="U2550" s="0" t="n">
        <v>415</v>
      </c>
      <c r="V2550" s="0" t="n">
        <v>1</v>
      </c>
      <c r="W2550" s="39" t="n">
        <f aca="false">IF(I2550="Male",0,1)</f>
        <v>1</v>
      </c>
      <c r="X2550" s="39" t="n">
        <f aca="false">IF(OR(I2550="DNB",I2550="Dry DNB"),1,0)</f>
        <v>0</v>
      </c>
      <c r="Y2550" s="39" t="n">
        <f aca="false">MATCH(A2550,DATAS,0)</f>
        <v>1</v>
      </c>
      <c r="Z2550" s="39" t="n">
        <f aca="false">IF(AND(E2550&gt;0,OR(AND(B2550&gt;=1,B2550&lt;=6),B2550=10)),1,0)</f>
        <v>0</v>
      </c>
      <c r="AA2550" s="39" t="n">
        <f aca="false">IF(AND(E2550&gt;0,B2550=10),1,0)</f>
        <v>0</v>
      </c>
      <c r="AB2550" s="0" t="str">
        <f aca="false">IF(AND(C2549=C2550,Y2549=Y2550-1),Z2549,"")</f>
        <v/>
      </c>
      <c r="AC2550" s="0" t="str">
        <f aca="false">IF(AND(C2549=C2550,Y2549=Y2550-1),AA2549,"")</f>
        <v/>
      </c>
      <c r="AD2550" s="0" t="str">
        <f aca="false">IF(Y2550=1,"",IF(AND(Z2550=1,AB2550&lt;&gt;1),1,0))</f>
        <v/>
      </c>
      <c r="AE2550" s="0" t="str">
        <f aca="false">IF(Y2550=1,"",IF(AND(AA2550=1,AC2550&lt;&gt;1),1,0))</f>
        <v/>
      </c>
      <c r="AF2550" s="45" t="str">
        <f aca="false">IF(AND(E2550&gt;0,Y2550&lt;1,NOT(AND(C2551=C2550,Y2551=Y2550+1))),INDEX(DATAS,Y2550+1),"")</f>
        <v/>
      </c>
      <c r="AG2550" s="45" t="str">
        <f aca="false">IF(AND(AA2550=1,Y2550&lt;1),IF(AND(C2551=C2550,Y2551=Y2550+1),IF(AA2551=1,"",INDEX(DATAS,Y2550+1)),INDEX(DATAS,Y2550+1)),"")</f>
        <v/>
      </c>
    </row>
    <row r="2551" customFormat="false" ht="15" hidden="false" customHeight="false" outlineLevel="0" collapsed="false">
      <c r="A2551" s="45" t="n">
        <v>46309</v>
      </c>
      <c r="B2551" s="0" t="n">
        <v>13</v>
      </c>
      <c r="C2551" s="0" t="n">
        <v>6890</v>
      </c>
      <c r="E2551" s="0" t="n">
        <v>0</v>
      </c>
      <c r="F2551" s="39" t="s">
        <v>1276</v>
      </c>
      <c r="I2551" s="39" t="s">
        <v>146</v>
      </c>
      <c r="U2551" s="0" t="n">
        <v>415</v>
      </c>
      <c r="V2551" s="0" t="n">
        <v>0</v>
      </c>
      <c r="W2551" s="39" t="n">
        <f aca="false">IF(I2551="Male",0,1)</f>
        <v>1</v>
      </c>
      <c r="X2551" s="39" t="n">
        <f aca="false">IF(OR(I2551="DNB",I2551="Dry DNB"),1,0)</f>
        <v>0</v>
      </c>
      <c r="Y2551" s="39" t="n">
        <f aca="false">MATCH(A2551,DATAS,0)</f>
        <v>1</v>
      </c>
      <c r="Z2551" s="39" t="n">
        <f aca="false">IF(AND(E2551&gt;0,OR(AND(B2551&gt;=1,B2551&lt;=6),B2551=10)),1,0)</f>
        <v>0</v>
      </c>
      <c r="AA2551" s="39" t="n">
        <f aca="false">IF(AND(E2551&gt;0,B2551=10),1,0)</f>
        <v>0</v>
      </c>
      <c r="AB2551" s="0" t="str">
        <f aca="false">IF(AND(C2550=C2551,Y2550=Y2551-1),Z2550,"")</f>
        <v/>
      </c>
      <c r="AC2551" s="0" t="str">
        <f aca="false">IF(AND(C2550=C2551,Y2550=Y2551-1),AA2550,"")</f>
        <v/>
      </c>
      <c r="AD2551" s="0" t="str">
        <f aca="false">IF(Y2551=1,"",IF(AND(Z2551=1,AB2551&lt;&gt;1),1,0))</f>
        <v/>
      </c>
      <c r="AE2551" s="0" t="str">
        <f aca="false">IF(Y2551=1,"",IF(AND(AA2551=1,AC2551&lt;&gt;1),1,0))</f>
        <v/>
      </c>
      <c r="AF2551" s="45" t="str">
        <f aca="false">IF(AND(E2551&gt;0,Y2551&lt;1,NOT(AND(C2552=C2551,Y2552=Y2551+1))),INDEX(DATAS,Y2551+1),"")</f>
        <v/>
      </c>
      <c r="AG2551" s="45" t="str">
        <f aca="false">IF(AND(AA2551=1,Y2551&lt;1),IF(AND(C2552=C2551,Y2552=Y2551+1),IF(AA2552=1,"",INDEX(DATAS,Y2551+1)),INDEX(DATAS,Y2551+1)),"")</f>
        <v/>
      </c>
    </row>
    <row r="2552" customFormat="false" ht="15" hidden="false" customHeight="false" outlineLevel="0" collapsed="false">
      <c r="A2552" s="45" t="n">
        <v>46309</v>
      </c>
      <c r="B2552" s="0" t="n">
        <v>11</v>
      </c>
      <c r="C2552" s="0" t="n">
        <v>6891</v>
      </c>
      <c r="E2552" s="0" t="n">
        <v>0</v>
      </c>
      <c r="F2552" s="39" t="s">
        <v>1276</v>
      </c>
      <c r="I2552" s="39" t="s">
        <v>138</v>
      </c>
      <c r="U2552" s="0" t="n">
        <v>415</v>
      </c>
      <c r="V2552" s="0" t="n">
        <v>1</v>
      </c>
      <c r="W2552" s="39" t="n">
        <f aca="false">IF(I2552="Male",0,1)</f>
        <v>1</v>
      </c>
      <c r="X2552" s="39" t="n">
        <f aca="false">IF(OR(I2552="DNB",I2552="Dry DNB"),1,0)</f>
        <v>0</v>
      </c>
      <c r="Y2552" s="39" t="n">
        <f aca="false">MATCH(A2552,DATAS,0)</f>
        <v>1</v>
      </c>
      <c r="Z2552" s="39" t="n">
        <f aca="false">IF(AND(E2552&gt;0,OR(AND(B2552&gt;=1,B2552&lt;=6),B2552=10)),1,0)</f>
        <v>0</v>
      </c>
      <c r="AA2552" s="39" t="n">
        <f aca="false">IF(AND(E2552&gt;0,B2552=10),1,0)</f>
        <v>0</v>
      </c>
      <c r="AB2552" s="0" t="str">
        <f aca="false">IF(AND(C2551=C2552,Y2551=Y2552-1),Z2551,"")</f>
        <v/>
      </c>
      <c r="AC2552" s="0" t="str">
        <f aca="false">IF(AND(C2551=C2552,Y2551=Y2552-1),AA2551,"")</f>
        <v/>
      </c>
      <c r="AD2552" s="0" t="str">
        <f aca="false">IF(Y2552=1,"",IF(AND(Z2552=1,AB2552&lt;&gt;1),1,0))</f>
        <v/>
      </c>
      <c r="AE2552" s="0" t="str">
        <f aca="false">IF(Y2552=1,"",IF(AND(AA2552=1,AC2552&lt;&gt;1),1,0))</f>
        <v/>
      </c>
      <c r="AF2552" s="45" t="str">
        <f aca="false">IF(AND(E2552&gt;0,Y2552&lt;1,NOT(AND(C2553=C2552,Y2553=Y2552+1))),INDEX(DATAS,Y2552+1),"")</f>
        <v/>
      </c>
      <c r="AG2552" s="45" t="str">
        <f aca="false">IF(AND(AA2552=1,Y2552&lt;1),IF(AND(C2553=C2552,Y2553=Y2552+1),IF(AA2553=1,"",INDEX(DATAS,Y2552+1)),INDEX(DATAS,Y2552+1)),"")</f>
        <v/>
      </c>
    </row>
    <row r="2553" customFormat="false" ht="15" hidden="false" customHeight="false" outlineLevel="0" collapsed="false">
      <c r="A2553" s="45" t="n">
        <v>46309</v>
      </c>
      <c r="B2553" s="0" t="n">
        <v>13</v>
      </c>
      <c r="C2553" s="0" t="n">
        <v>6892</v>
      </c>
      <c r="E2553" s="0" t="n">
        <v>0</v>
      </c>
      <c r="F2553" s="39" t="s">
        <v>1276</v>
      </c>
      <c r="I2553" s="39" t="s">
        <v>146</v>
      </c>
      <c r="U2553" s="0" t="n">
        <v>415</v>
      </c>
      <c r="V2553" s="0" t="n">
        <v>0</v>
      </c>
      <c r="W2553" s="39" t="n">
        <f aca="false">IF(I2553="Male",0,1)</f>
        <v>1</v>
      </c>
      <c r="X2553" s="39" t="n">
        <f aca="false">IF(OR(I2553="DNB",I2553="Dry DNB"),1,0)</f>
        <v>0</v>
      </c>
      <c r="Y2553" s="39" t="n">
        <f aca="false">MATCH(A2553,DATAS,0)</f>
        <v>1</v>
      </c>
      <c r="Z2553" s="39" t="n">
        <f aca="false">IF(AND(E2553&gt;0,OR(AND(B2553&gt;=1,B2553&lt;=6),B2553=10)),1,0)</f>
        <v>0</v>
      </c>
      <c r="AA2553" s="39" t="n">
        <f aca="false">IF(AND(E2553&gt;0,B2553=10),1,0)</f>
        <v>0</v>
      </c>
      <c r="AB2553" s="0" t="str">
        <f aca="false">IF(AND(C2552=C2553,Y2552=Y2553-1),Z2552,"")</f>
        <v/>
      </c>
      <c r="AC2553" s="0" t="str">
        <f aca="false">IF(AND(C2552=C2553,Y2552=Y2553-1),AA2552,"")</f>
        <v/>
      </c>
      <c r="AD2553" s="0" t="str">
        <f aca="false">IF(Y2553=1,"",IF(AND(Z2553=1,AB2553&lt;&gt;1),1,0))</f>
        <v/>
      </c>
      <c r="AE2553" s="0" t="str">
        <f aca="false">IF(Y2553=1,"",IF(AND(AA2553=1,AC2553&lt;&gt;1),1,0))</f>
        <v/>
      </c>
      <c r="AF2553" s="45" t="str">
        <f aca="false">IF(AND(E2553&gt;0,Y2553&lt;1,NOT(AND(C2554=C2553,Y2554=Y2553+1))),INDEX(DATAS,Y2553+1),"")</f>
        <v/>
      </c>
      <c r="AG2553" s="45" t="str">
        <f aca="false">IF(AND(AA2553=1,Y2553&lt;1),IF(AND(C2554=C2553,Y2554=Y2553+1),IF(AA2554=1,"",INDEX(DATAS,Y2553+1)),INDEX(DATAS,Y2553+1)),"")</f>
        <v/>
      </c>
    </row>
    <row r="2554" customFormat="false" ht="15" hidden="false" customHeight="false" outlineLevel="0" collapsed="false">
      <c r="A2554" s="45" t="n">
        <v>46309</v>
      </c>
      <c r="B2554" s="0" t="n">
        <v>11</v>
      </c>
      <c r="C2554" s="0" t="n">
        <v>6893</v>
      </c>
      <c r="E2554" s="0" t="n">
        <v>0</v>
      </c>
      <c r="F2554" s="39" t="s">
        <v>1276</v>
      </c>
      <c r="I2554" s="39" t="s">
        <v>138</v>
      </c>
      <c r="U2554" s="0" t="n">
        <v>415</v>
      </c>
      <c r="V2554" s="0" t="n">
        <v>1</v>
      </c>
      <c r="W2554" s="39" t="n">
        <f aca="false">IF(I2554="Male",0,1)</f>
        <v>1</v>
      </c>
      <c r="X2554" s="39" t="n">
        <f aca="false">IF(OR(I2554="DNB",I2554="Dry DNB"),1,0)</f>
        <v>0</v>
      </c>
      <c r="Y2554" s="39" t="n">
        <f aca="false">MATCH(A2554,DATAS,0)</f>
        <v>1</v>
      </c>
      <c r="Z2554" s="39" t="n">
        <f aca="false">IF(AND(E2554&gt;0,OR(AND(B2554&gt;=1,B2554&lt;=6),B2554=10)),1,0)</f>
        <v>0</v>
      </c>
      <c r="AA2554" s="39" t="n">
        <f aca="false">IF(AND(E2554&gt;0,B2554=10),1,0)</f>
        <v>0</v>
      </c>
      <c r="AB2554" s="0" t="str">
        <f aca="false">IF(AND(C2553=C2554,Y2553=Y2554-1),Z2553,"")</f>
        <v/>
      </c>
      <c r="AC2554" s="0" t="str">
        <f aca="false">IF(AND(C2553=C2554,Y2553=Y2554-1),AA2553,"")</f>
        <v/>
      </c>
      <c r="AD2554" s="0" t="str">
        <f aca="false">IF(Y2554=1,"",IF(AND(Z2554=1,AB2554&lt;&gt;1),1,0))</f>
        <v/>
      </c>
      <c r="AE2554" s="0" t="str">
        <f aca="false">IF(Y2554=1,"",IF(AND(AA2554=1,AC2554&lt;&gt;1),1,0))</f>
        <v/>
      </c>
      <c r="AF2554" s="45" t="str">
        <f aca="false">IF(AND(E2554&gt;0,Y2554&lt;1,NOT(AND(C2555=C2554,Y2555=Y2554+1))),INDEX(DATAS,Y2554+1),"")</f>
        <v/>
      </c>
      <c r="AG2554" s="45" t="str">
        <f aca="false">IF(AND(AA2554=1,Y2554&lt;1),IF(AND(C2555=C2554,Y2555=Y2554+1),IF(AA2555=1,"",INDEX(DATAS,Y2554+1)),INDEX(DATAS,Y2554+1)),"")</f>
        <v/>
      </c>
    </row>
    <row r="2555" customFormat="false" ht="15" hidden="false" customHeight="false" outlineLevel="0" collapsed="false">
      <c r="A2555" s="45" t="n">
        <v>46309</v>
      </c>
      <c r="B2555" s="0" t="n">
        <v>13</v>
      </c>
      <c r="C2555" s="0" t="n">
        <v>6894</v>
      </c>
      <c r="E2555" s="0" t="n">
        <v>0</v>
      </c>
      <c r="F2555" s="39" t="s">
        <v>1276</v>
      </c>
      <c r="I2555" s="39" t="s">
        <v>146</v>
      </c>
      <c r="U2555" s="0" t="n">
        <v>415</v>
      </c>
      <c r="V2555" s="0" t="n">
        <v>0</v>
      </c>
      <c r="W2555" s="39" t="n">
        <f aca="false">IF(I2555="Male",0,1)</f>
        <v>1</v>
      </c>
      <c r="X2555" s="39" t="n">
        <f aca="false">IF(OR(I2555="DNB",I2555="Dry DNB"),1,0)</f>
        <v>0</v>
      </c>
      <c r="Y2555" s="39" t="n">
        <f aca="false">MATCH(A2555,DATAS,0)</f>
        <v>1</v>
      </c>
      <c r="Z2555" s="39" t="n">
        <f aca="false">IF(AND(E2555&gt;0,OR(AND(B2555&gt;=1,B2555&lt;=6),B2555=10)),1,0)</f>
        <v>0</v>
      </c>
      <c r="AA2555" s="39" t="n">
        <f aca="false">IF(AND(E2555&gt;0,B2555=10),1,0)</f>
        <v>0</v>
      </c>
      <c r="AB2555" s="0" t="str">
        <f aca="false">IF(AND(C2554=C2555,Y2554=Y2555-1),Z2554,"")</f>
        <v/>
      </c>
      <c r="AC2555" s="0" t="str">
        <f aca="false">IF(AND(C2554=C2555,Y2554=Y2555-1),AA2554,"")</f>
        <v/>
      </c>
      <c r="AD2555" s="0" t="str">
        <f aca="false">IF(Y2555=1,"",IF(AND(Z2555=1,AB2555&lt;&gt;1),1,0))</f>
        <v/>
      </c>
      <c r="AE2555" s="0" t="str">
        <f aca="false">IF(Y2555=1,"",IF(AND(AA2555=1,AC2555&lt;&gt;1),1,0))</f>
        <v/>
      </c>
      <c r="AF2555" s="45" t="str">
        <f aca="false">IF(AND(E2555&gt;0,Y2555&lt;1,NOT(AND(C2556=C2555,Y2556=Y2555+1))),INDEX(DATAS,Y2555+1),"")</f>
        <v/>
      </c>
      <c r="AG2555" s="45" t="str">
        <f aca="false">IF(AND(AA2555=1,Y2555&lt;1),IF(AND(C2556=C2555,Y2556=Y2555+1),IF(AA2556=1,"",INDEX(DATAS,Y2555+1)),INDEX(DATAS,Y2555+1)),"")</f>
        <v/>
      </c>
    </row>
    <row r="2556" customFormat="false" ht="15" hidden="false" customHeight="false" outlineLevel="0" collapsed="false">
      <c r="A2556" s="45" t="n">
        <v>46309</v>
      </c>
      <c r="B2556" s="0" t="n">
        <v>13</v>
      </c>
      <c r="C2556" s="0" t="n">
        <v>6896</v>
      </c>
      <c r="E2556" s="0" t="n">
        <v>0</v>
      </c>
      <c r="F2556" s="39" t="s">
        <v>1276</v>
      </c>
      <c r="I2556" s="39" t="s">
        <v>146</v>
      </c>
      <c r="U2556" s="0" t="n">
        <v>415</v>
      </c>
      <c r="V2556" s="0" t="n">
        <v>0</v>
      </c>
      <c r="W2556" s="39" t="n">
        <f aca="false">IF(I2556="Male",0,1)</f>
        <v>1</v>
      </c>
      <c r="X2556" s="39" t="n">
        <f aca="false">IF(OR(I2556="DNB",I2556="Dry DNB"),1,0)</f>
        <v>0</v>
      </c>
      <c r="Y2556" s="39" t="n">
        <f aca="false">MATCH(A2556,DATAS,0)</f>
        <v>1</v>
      </c>
      <c r="Z2556" s="39" t="n">
        <f aca="false">IF(AND(E2556&gt;0,OR(AND(B2556&gt;=1,B2556&lt;=6),B2556=10)),1,0)</f>
        <v>0</v>
      </c>
      <c r="AA2556" s="39" t="n">
        <f aca="false">IF(AND(E2556&gt;0,B2556=10),1,0)</f>
        <v>0</v>
      </c>
      <c r="AB2556" s="0" t="str">
        <f aca="false">IF(AND(C2555=C2556,Y2555=Y2556-1),Z2555,"")</f>
        <v/>
      </c>
      <c r="AC2556" s="0" t="str">
        <f aca="false">IF(AND(C2555=C2556,Y2555=Y2556-1),AA2555,"")</f>
        <v/>
      </c>
      <c r="AD2556" s="0" t="str">
        <f aca="false">IF(Y2556=1,"",IF(AND(Z2556=1,AB2556&lt;&gt;1),1,0))</f>
        <v/>
      </c>
      <c r="AE2556" s="0" t="str">
        <f aca="false">IF(Y2556=1,"",IF(AND(AA2556=1,AC2556&lt;&gt;1),1,0))</f>
        <v/>
      </c>
      <c r="AF2556" s="45" t="str">
        <f aca="false">IF(AND(E2556&gt;0,Y2556&lt;1,NOT(AND(C2557=C2556,Y2557=Y2556+1))),INDEX(DATAS,Y2556+1),"")</f>
        <v/>
      </c>
      <c r="AG2556" s="45" t="str">
        <f aca="false">IF(AND(AA2556=1,Y2556&lt;1),IF(AND(C2557=C2556,Y2557=Y2556+1),IF(AA2557=1,"",INDEX(DATAS,Y2556+1)),INDEX(DATAS,Y2556+1)),"")</f>
        <v/>
      </c>
    </row>
    <row r="2557" customFormat="false" ht="15" hidden="false" customHeight="false" outlineLevel="0" collapsed="false">
      <c r="A2557" s="45" t="n">
        <v>46309</v>
      </c>
      <c r="B2557" s="0" t="n">
        <v>11</v>
      </c>
      <c r="C2557" s="0" t="n">
        <v>6897</v>
      </c>
      <c r="E2557" s="0" t="n">
        <v>0</v>
      </c>
      <c r="F2557" s="39" t="s">
        <v>1277</v>
      </c>
      <c r="I2557" s="39" t="s">
        <v>138</v>
      </c>
      <c r="U2557" s="0" t="n">
        <v>414</v>
      </c>
      <c r="V2557" s="0" t="n">
        <v>1</v>
      </c>
      <c r="W2557" s="39" t="n">
        <f aca="false">IF(I2557="Male",0,1)</f>
        <v>1</v>
      </c>
      <c r="X2557" s="39" t="n">
        <f aca="false">IF(OR(I2557="DNB",I2557="Dry DNB"),1,0)</f>
        <v>0</v>
      </c>
      <c r="Y2557" s="39" t="n">
        <f aca="false">MATCH(A2557,DATAS,0)</f>
        <v>1</v>
      </c>
      <c r="Z2557" s="39" t="n">
        <f aca="false">IF(AND(E2557&gt;0,OR(AND(B2557&gt;=1,B2557&lt;=6),B2557=10)),1,0)</f>
        <v>0</v>
      </c>
      <c r="AA2557" s="39" t="n">
        <f aca="false">IF(AND(E2557&gt;0,B2557=10),1,0)</f>
        <v>0</v>
      </c>
      <c r="AB2557" s="0" t="str">
        <f aca="false">IF(AND(C2556=C2557,Y2556=Y2557-1),Z2556,"")</f>
        <v/>
      </c>
      <c r="AC2557" s="0" t="str">
        <f aca="false">IF(AND(C2556=C2557,Y2556=Y2557-1),AA2556,"")</f>
        <v/>
      </c>
      <c r="AD2557" s="0" t="str">
        <f aca="false">IF(Y2557=1,"",IF(AND(Z2557=1,AB2557&lt;&gt;1),1,0))</f>
        <v/>
      </c>
      <c r="AE2557" s="0" t="str">
        <f aca="false">IF(Y2557=1,"",IF(AND(AA2557=1,AC2557&lt;&gt;1),1,0))</f>
        <v/>
      </c>
      <c r="AF2557" s="45" t="str">
        <f aca="false">IF(AND(E2557&gt;0,Y2557&lt;1,NOT(AND(C2558=C2557,Y2558=Y2557+1))),INDEX(DATAS,Y2557+1),"")</f>
        <v/>
      </c>
      <c r="AG2557" s="45" t="str">
        <f aca="false">IF(AND(AA2557=1,Y2557&lt;1),IF(AND(C2558=C2557,Y2558=Y2557+1),IF(AA2558=1,"",INDEX(DATAS,Y2557+1)),INDEX(DATAS,Y2557+1)),"")</f>
        <v/>
      </c>
    </row>
    <row r="2558" customFormat="false" ht="15" hidden="false" customHeight="false" outlineLevel="0" collapsed="false">
      <c r="A2558" s="45" t="n">
        <v>46309</v>
      </c>
      <c r="B2558" s="0" t="n">
        <v>11</v>
      </c>
      <c r="C2558" s="0" t="n">
        <v>6898</v>
      </c>
      <c r="E2558" s="0" t="n">
        <v>0</v>
      </c>
      <c r="F2558" s="39" t="s">
        <v>1278</v>
      </c>
      <c r="I2558" s="39" t="s">
        <v>138</v>
      </c>
      <c r="U2558" s="0" t="n">
        <v>413</v>
      </c>
      <c r="V2558" s="0" t="n">
        <v>1</v>
      </c>
      <c r="W2558" s="39" t="n">
        <f aca="false">IF(I2558="Male",0,1)</f>
        <v>1</v>
      </c>
      <c r="X2558" s="39" t="n">
        <f aca="false">IF(OR(I2558="DNB",I2558="Dry DNB"),1,0)</f>
        <v>0</v>
      </c>
      <c r="Y2558" s="39" t="n">
        <f aca="false">MATCH(A2558,DATAS,0)</f>
        <v>1</v>
      </c>
      <c r="Z2558" s="39" t="n">
        <f aca="false">IF(AND(E2558&gt;0,OR(AND(B2558&gt;=1,B2558&lt;=6),B2558=10)),1,0)</f>
        <v>0</v>
      </c>
      <c r="AA2558" s="39" t="n">
        <f aca="false">IF(AND(E2558&gt;0,B2558=10),1,0)</f>
        <v>0</v>
      </c>
      <c r="AB2558" s="0" t="str">
        <f aca="false">IF(AND(C2557=C2558,Y2557=Y2558-1),Z2557,"")</f>
        <v/>
      </c>
      <c r="AC2558" s="0" t="str">
        <f aca="false">IF(AND(C2557=C2558,Y2557=Y2558-1),AA2557,"")</f>
        <v/>
      </c>
      <c r="AD2558" s="0" t="str">
        <f aca="false">IF(Y2558=1,"",IF(AND(Z2558=1,AB2558&lt;&gt;1),1,0))</f>
        <v/>
      </c>
      <c r="AE2558" s="0" t="str">
        <f aca="false">IF(Y2558=1,"",IF(AND(AA2558=1,AC2558&lt;&gt;1),1,0))</f>
        <v/>
      </c>
      <c r="AF2558" s="45" t="str">
        <f aca="false">IF(AND(E2558&gt;0,Y2558&lt;1,NOT(AND(C2559=C2558,Y2559=Y2558+1))),INDEX(DATAS,Y2558+1),"")</f>
        <v/>
      </c>
      <c r="AG2558" s="45" t="str">
        <f aca="false">IF(AND(AA2558=1,Y2558&lt;1),IF(AND(C2559=C2558,Y2559=Y2558+1),IF(AA2559=1,"",INDEX(DATAS,Y2558+1)),INDEX(DATAS,Y2558+1)),"")</f>
        <v/>
      </c>
    </row>
    <row r="2559" customFormat="false" ht="15" hidden="false" customHeight="false" outlineLevel="0" collapsed="false">
      <c r="A2559" s="45" t="n">
        <v>46309</v>
      </c>
      <c r="B2559" s="0" t="n">
        <v>11</v>
      </c>
      <c r="C2559" s="0" t="n">
        <v>6899</v>
      </c>
      <c r="E2559" s="0" t="n">
        <v>0</v>
      </c>
      <c r="F2559" s="39" t="s">
        <v>1278</v>
      </c>
      <c r="I2559" s="39" t="s">
        <v>138</v>
      </c>
      <c r="U2559" s="0" t="n">
        <v>413</v>
      </c>
      <c r="V2559" s="0" t="n">
        <v>1</v>
      </c>
      <c r="W2559" s="39" t="n">
        <f aca="false">IF(I2559="Male",0,1)</f>
        <v>1</v>
      </c>
      <c r="X2559" s="39" t="n">
        <f aca="false">IF(OR(I2559="DNB",I2559="Dry DNB"),1,0)</f>
        <v>0</v>
      </c>
      <c r="Y2559" s="39" t="n">
        <f aca="false">MATCH(A2559,DATAS,0)</f>
        <v>1</v>
      </c>
      <c r="Z2559" s="39" t="n">
        <f aca="false">IF(AND(E2559&gt;0,OR(AND(B2559&gt;=1,B2559&lt;=6),B2559=10)),1,0)</f>
        <v>0</v>
      </c>
      <c r="AA2559" s="39" t="n">
        <f aca="false">IF(AND(E2559&gt;0,B2559=10),1,0)</f>
        <v>0</v>
      </c>
      <c r="AB2559" s="0" t="str">
        <f aca="false">IF(AND(C2558=C2559,Y2558=Y2559-1),Z2558,"")</f>
        <v/>
      </c>
      <c r="AC2559" s="0" t="str">
        <f aca="false">IF(AND(C2558=C2559,Y2558=Y2559-1),AA2558,"")</f>
        <v/>
      </c>
      <c r="AD2559" s="0" t="str">
        <f aca="false">IF(Y2559=1,"",IF(AND(Z2559=1,AB2559&lt;&gt;1),1,0))</f>
        <v/>
      </c>
      <c r="AE2559" s="0" t="str">
        <f aca="false">IF(Y2559=1,"",IF(AND(AA2559=1,AC2559&lt;&gt;1),1,0))</f>
        <v/>
      </c>
      <c r="AF2559" s="45" t="str">
        <f aca="false">IF(AND(E2559&gt;0,Y2559&lt;1,NOT(AND(C2560=C2559,Y2560=Y2559+1))),INDEX(DATAS,Y2559+1),"")</f>
        <v/>
      </c>
      <c r="AG2559" s="45" t="str">
        <f aca="false">IF(AND(AA2559=1,Y2559&lt;1),IF(AND(C2560=C2559,Y2560=Y2559+1),IF(AA2560=1,"",INDEX(DATAS,Y2559+1)),INDEX(DATAS,Y2559+1)),"")</f>
        <v/>
      </c>
    </row>
    <row r="2560" customFormat="false" ht="15" hidden="false" customHeight="false" outlineLevel="0" collapsed="false">
      <c r="A2560" s="45" t="n">
        <v>46309</v>
      </c>
      <c r="B2560" s="0" t="n">
        <v>11</v>
      </c>
      <c r="C2560" s="0" t="n">
        <v>6900</v>
      </c>
      <c r="E2560" s="0" t="n">
        <v>0</v>
      </c>
      <c r="F2560" s="39" t="s">
        <v>1278</v>
      </c>
      <c r="I2560" s="39" t="s">
        <v>138</v>
      </c>
      <c r="U2560" s="0" t="n">
        <v>413</v>
      </c>
      <c r="V2560" s="0" t="n">
        <v>1</v>
      </c>
      <c r="W2560" s="39" t="n">
        <f aca="false">IF(I2560="Male",0,1)</f>
        <v>1</v>
      </c>
      <c r="X2560" s="39" t="n">
        <f aca="false">IF(OR(I2560="DNB",I2560="Dry DNB"),1,0)</f>
        <v>0</v>
      </c>
      <c r="Y2560" s="39" t="n">
        <f aca="false">MATCH(A2560,DATAS,0)</f>
        <v>1</v>
      </c>
      <c r="Z2560" s="39" t="n">
        <f aca="false">IF(AND(E2560&gt;0,OR(AND(B2560&gt;=1,B2560&lt;=6),B2560=10)),1,0)</f>
        <v>0</v>
      </c>
      <c r="AA2560" s="39" t="n">
        <f aca="false">IF(AND(E2560&gt;0,B2560=10),1,0)</f>
        <v>0</v>
      </c>
      <c r="AB2560" s="0" t="str">
        <f aca="false">IF(AND(C2559=C2560,Y2559=Y2560-1),Z2559,"")</f>
        <v/>
      </c>
      <c r="AC2560" s="0" t="str">
        <f aca="false">IF(AND(C2559=C2560,Y2559=Y2560-1),AA2559,"")</f>
        <v/>
      </c>
      <c r="AD2560" s="0" t="str">
        <f aca="false">IF(Y2560=1,"",IF(AND(Z2560=1,AB2560&lt;&gt;1),1,0))</f>
        <v/>
      </c>
      <c r="AE2560" s="0" t="str">
        <f aca="false">IF(Y2560=1,"",IF(AND(AA2560=1,AC2560&lt;&gt;1),1,0))</f>
        <v/>
      </c>
      <c r="AF2560" s="45" t="str">
        <f aca="false">IF(AND(E2560&gt;0,Y2560&lt;1,NOT(AND(C2561=C2560,Y2561=Y2560+1))),INDEX(DATAS,Y2560+1),"")</f>
        <v/>
      </c>
      <c r="AG2560" s="45" t="str">
        <f aca="false">IF(AND(AA2560=1,Y2560&lt;1),IF(AND(C2561=C2560,Y2561=Y2560+1),IF(AA2561=1,"",INDEX(DATAS,Y2560+1)),INDEX(DATAS,Y2560+1)),"")</f>
        <v/>
      </c>
    </row>
    <row r="2561" customFormat="false" ht="15" hidden="false" customHeight="false" outlineLevel="0" collapsed="false">
      <c r="A2561" s="45" t="n">
        <v>46309</v>
      </c>
      <c r="B2561" s="0" t="n">
        <v>13</v>
      </c>
      <c r="C2561" s="0" t="n">
        <v>6902</v>
      </c>
      <c r="E2561" s="0" t="n">
        <v>0</v>
      </c>
      <c r="F2561" s="39" t="s">
        <v>1278</v>
      </c>
      <c r="I2561" s="39" t="s">
        <v>146</v>
      </c>
      <c r="U2561" s="0" t="n">
        <v>413</v>
      </c>
      <c r="V2561" s="0" t="n">
        <v>0</v>
      </c>
      <c r="W2561" s="39" t="n">
        <f aca="false">IF(I2561="Male",0,1)</f>
        <v>1</v>
      </c>
      <c r="X2561" s="39" t="n">
        <f aca="false">IF(OR(I2561="DNB",I2561="Dry DNB"),1,0)</f>
        <v>0</v>
      </c>
      <c r="Y2561" s="39" t="n">
        <f aca="false">MATCH(A2561,DATAS,0)</f>
        <v>1</v>
      </c>
      <c r="Z2561" s="39" t="n">
        <f aca="false">IF(AND(E2561&gt;0,OR(AND(B2561&gt;=1,B2561&lt;=6),B2561=10)),1,0)</f>
        <v>0</v>
      </c>
      <c r="AA2561" s="39" t="n">
        <f aca="false">IF(AND(E2561&gt;0,B2561=10),1,0)</f>
        <v>0</v>
      </c>
      <c r="AB2561" s="0" t="str">
        <f aca="false">IF(AND(C2560=C2561,Y2560=Y2561-1),Z2560,"")</f>
        <v/>
      </c>
      <c r="AC2561" s="0" t="str">
        <f aca="false">IF(AND(C2560=C2561,Y2560=Y2561-1),AA2560,"")</f>
        <v/>
      </c>
      <c r="AD2561" s="0" t="str">
        <f aca="false">IF(Y2561=1,"",IF(AND(Z2561=1,AB2561&lt;&gt;1),1,0))</f>
        <v/>
      </c>
      <c r="AE2561" s="0" t="str">
        <f aca="false">IF(Y2561=1,"",IF(AND(AA2561=1,AC2561&lt;&gt;1),1,0))</f>
        <v/>
      </c>
      <c r="AF2561" s="45" t="str">
        <f aca="false">IF(AND(E2561&gt;0,Y2561&lt;1,NOT(AND(C2562=C2561,Y2562=Y2561+1))),INDEX(DATAS,Y2561+1),"")</f>
        <v/>
      </c>
      <c r="AG2561" s="45" t="str">
        <f aca="false">IF(AND(AA2561=1,Y2561&lt;1),IF(AND(C2562=C2561,Y2562=Y2561+1),IF(AA2562=1,"",INDEX(DATAS,Y2561+1)),INDEX(DATAS,Y2561+1)),"")</f>
        <v/>
      </c>
    </row>
    <row r="2562" customFormat="false" ht="15" hidden="false" customHeight="false" outlineLevel="0" collapsed="false">
      <c r="A2562" s="45" t="n">
        <v>46309</v>
      </c>
      <c r="B2562" s="0" t="n">
        <v>11</v>
      </c>
      <c r="C2562" s="0" t="n">
        <v>6903</v>
      </c>
      <c r="E2562" s="0" t="n">
        <v>0</v>
      </c>
      <c r="F2562" s="39" t="s">
        <v>1279</v>
      </c>
      <c r="I2562" s="39" t="s">
        <v>138</v>
      </c>
      <c r="U2562" s="0" t="n">
        <v>412</v>
      </c>
      <c r="V2562" s="0" t="n">
        <v>1</v>
      </c>
      <c r="W2562" s="39" t="n">
        <f aca="false">IF(I2562="Male",0,1)</f>
        <v>1</v>
      </c>
      <c r="X2562" s="39" t="n">
        <f aca="false">IF(OR(I2562="DNB",I2562="Dry DNB"),1,0)</f>
        <v>0</v>
      </c>
      <c r="Y2562" s="39" t="n">
        <f aca="false">MATCH(A2562,DATAS,0)</f>
        <v>1</v>
      </c>
      <c r="Z2562" s="39" t="n">
        <f aca="false">IF(AND(E2562&gt;0,OR(AND(B2562&gt;=1,B2562&lt;=6),B2562=10)),1,0)</f>
        <v>0</v>
      </c>
      <c r="AA2562" s="39" t="n">
        <f aca="false">IF(AND(E2562&gt;0,B2562=10),1,0)</f>
        <v>0</v>
      </c>
      <c r="AB2562" s="0" t="str">
        <f aca="false">IF(AND(C2561=C2562,Y2561=Y2562-1),Z2561,"")</f>
        <v/>
      </c>
      <c r="AC2562" s="0" t="str">
        <f aca="false">IF(AND(C2561=C2562,Y2561=Y2562-1),AA2561,"")</f>
        <v/>
      </c>
      <c r="AD2562" s="0" t="str">
        <f aca="false">IF(Y2562=1,"",IF(AND(Z2562=1,AB2562&lt;&gt;1),1,0))</f>
        <v/>
      </c>
      <c r="AE2562" s="0" t="str">
        <f aca="false">IF(Y2562=1,"",IF(AND(AA2562=1,AC2562&lt;&gt;1),1,0))</f>
        <v/>
      </c>
      <c r="AF2562" s="45" t="str">
        <f aca="false">IF(AND(E2562&gt;0,Y2562&lt;1,NOT(AND(C2563=C2562,Y2563=Y2562+1))),INDEX(DATAS,Y2562+1),"")</f>
        <v/>
      </c>
      <c r="AG2562" s="45" t="str">
        <f aca="false">IF(AND(AA2562=1,Y2562&lt;1),IF(AND(C2563=C2562,Y2563=Y2562+1),IF(AA2563=1,"",INDEX(DATAS,Y2562+1)),INDEX(DATAS,Y2562+1)),"")</f>
        <v/>
      </c>
    </row>
    <row r="2563" customFormat="false" ht="15" hidden="false" customHeight="false" outlineLevel="0" collapsed="false">
      <c r="A2563" s="45" t="n">
        <v>46309</v>
      </c>
      <c r="B2563" s="0" t="n">
        <v>13</v>
      </c>
      <c r="C2563" s="0" t="n">
        <v>6904</v>
      </c>
      <c r="E2563" s="0" t="n">
        <v>0</v>
      </c>
      <c r="F2563" s="39" t="s">
        <v>1279</v>
      </c>
      <c r="I2563" s="39" t="s">
        <v>146</v>
      </c>
      <c r="U2563" s="0" t="n">
        <v>412</v>
      </c>
      <c r="V2563" s="0" t="n">
        <v>0</v>
      </c>
      <c r="W2563" s="39" t="n">
        <f aca="false">IF(I2563="Male",0,1)</f>
        <v>1</v>
      </c>
      <c r="X2563" s="39" t="n">
        <f aca="false">IF(OR(I2563="DNB",I2563="Dry DNB"),1,0)</f>
        <v>0</v>
      </c>
      <c r="Y2563" s="39" t="n">
        <f aca="false">MATCH(A2563,DATAS,0)</f>
        <v>1</v>
      </c>
      <c r="Z2563" s="39" t="n">
        <f aca="false">IF(AND(E2563&gt;0,OR(AND(B2563&gt;=1,B2563&lt;=6),B2563=10)),1,0)</f>
        <v>0</v>
      </c>
      <c r="AA2563" s="39" t="n">
        <f aca="false">IF(AND(E2563&gt;0,B2563=10),1,0)</f>
        <v>0</v>
      </c>
      <c r="AB2563" s="0" t="str">
        <f aca="false">IF(AND(C2562=C2563,Y2562=Y2563-1),Z2562,"")</f>
        <v/>
      </c>
      <c r="AC2563" s="0" t="str">
        <f aca="false">IF(AND(C2562=C2563,Y2562=Y2563-1),AA2562,"")</f>
        <v/>
      </c>
      <c r="AD2563" s="0" t="str">
        <f aca="false">IF(Y2563=1,"",IF(AND(Z2563=1,AB2563&lt;&gt;1),1,0))</f>
        <v/>
      </c>
      <c r="AE2563" s="0" t="str">
        <f aca="false">IF(Y2563=1,"",IF(AND(AA2563=1,AC2563&lt;&gt;1),1,0))</f>
        <v/>
      </c>
      <c r="AF2563" s="45" t="str">
        <f aca="false">IF(AND(E2563&gt;0,Y2563&lt;1,NOT(AND(C2564=C2563,Y2564=Y2563+1))),INDEX(DATAS,Y2563+1),"")</f>
        <v/>
      </c>
      <c r="AG2563" s="45" t="str">
        <f aca="false">IF(AND(AA2563=1,Y2563&lt;1),IF(AND(C2564=C2563,Y2564=Y2563+1),IF(AA2564=1,"",INDEX(DATAS,Y2563+1)),INDEX(DATAS,Y2563+1)),"")</f>
        <v/>
      </c>
    </row>
    <row r="2564" customFormat="false" ht="15" hidden="false" customHeight="false" outlineLevel="0" collapsed="false">
      <c r="A2564" s="45" t="n">
        <v>46309</v>
      </c>
      <c r="B2564" s="0" t="n">
        <v>13</v>
      </c>
      <c r="C2564" s="0" t="n">
        <v>6905</v>
      </c>
      <c r="E2564" s="0" t="n">
        <v>0</v>
      </c>
      <c r="F2564" s="39" t="s">
        <v>1279</v>
      </c>
      <c r="I2564" s="39" t="s">
        <v>146</v>
      </c>
      <c r="U2564" s="0" t="n">
        <v>412</v>
      </c>
      <c r="V2564" s="0" t="n">
        <v>0</v>
      </c>
      <c r="W2564" s="39" t="n">
        <f aca="false">IF(I2564="Male",0,1)</f>
        <v>1</v>
      </c>
      <c r="X2564" s="39" t="n">
        <f aca="false">IF(OR(I2564="DNB",I2564="Dry DNB"),1,0)</f>
        <v>0</v>
      </c>
      <c r="Y2564" s="39" t="n">
        <f aca="false">MATCH(A2564,DATAS,0)</f>
        <v>1</v>
      </c>
      <c r="Z2564" s="39" t="n">
        <f aca="false">IF(AND(E2564&gt;0,OR(AND(B2564&gt;=1,B2564&lt;=6),B2564=10)),1,0)</f>
        <v>0</v>
      </c>
      <c r="AA2564" s="39" t="n">
        <f aca="false">IF(AND(E2564&gt;0,B2564=10),1,0)</f>
        <v>0</v>
      </c>
      <c r="AB2564" s="0" t="str">
        <f aca="false">IF(AND(C2563=C2564,Y2563=Y2564-1),Z2563,"")</f>
        <v/>
      </c>
      <c r="AC2564" s="0" t="str">
        <f aca="false">IF(AND(C2563=C2564,Y2563=Y2564-1),AA2563,"")</f>
        <v/>
      </c>
      <c r="AD2564" s="0" t="str">
        <f aca="false">IF(Y2564=1,"",IF(AND(Z2564=1,AB2564&lt;&gt;1),1,0))</f>
        <v/>
      </c>
      <c r="AE2564" s="0" t="str">
        <f aca="false">IF(Y2564=1,"",IF(AND(AA2564=1,AC2564&lt;&gt;1),1,0))</f>
        <v/>
      </c>
      <c r="AF2564" s="45" t="str">
        <f aca="false">IF(AND(E2564&gt;0,Y2564&lt;1,NOT(AND(C2565=C2564,Y2565=Y2564+1))),INDEX(DATAS,Y2564+1),"")</f>
        <v/>
      </c>
      <c r="AG2564" s="45" t="str">
        <f aca="false">IF(AND(AA2564=1,Y2564&lt;1),IF(AND(C2565=C2564,Y2565=Y2564+1),IF(AA2565=1,"",INDEX(DATAS,Y2564+1)),INDEX(DATAS,Y2564+1)),"")</f>
        <v/>
      </c>
    </row>
    <row r="2565" customFormat="false" ht="15" hidden="false" customHeight="false" outlineLevel="0" collapsed="false">
      <c r="A2565" s="45" t="n">
        <v>46309</v>
      </c>
      <c r="B2565" s="0" t="n">
        <v>11</v>
      </c>
      <c r="C2565" s="0" t="n">
        <v>6906</v>
      </c>
      <c r="E2565" s="0" t="n">
        <v>0</v>
      </c>
      <c r="F2565" s="39" t="s">
        <v>1279</v>
      </c>
      <c r="I2565" s="39" t="s">
        <v>138</v>
      </c>
      <c r="U2565" s="0" t="n">
        <v>412</v>
      </c>
      <c r="V2565" s="0" t="n">
        <v>1</v>
      </c>
      <c r="W2565" s="39" t="n">
        <f aca="false">IF(I2565="Male",0,1)</f>
        <v>1</v>
      </c>
      <c r="X2565" s="39" t="n">
        <f aca="false">IF(OR(I2565="DNB",I2565="Dry DNB"),1,0)</f>
        <v>0</v>
      </c>
      <c r="Y2565" s="39" t="n">
        <f aca="false">MATCH(A2565,DATAS,0)</f>
        <v>1</v>
      </c>
      <c r="Z2565" s="39" t="n">
        <f aca="false">IF(AND(E2565&gt;0,OR(AND(B2565&gt;=1,B2565&lt;=6),B2565=10)),1,0)</f>
        <v>0</v>
      </c>
      <c r="AA2565" s="39" t="n">
        <f aca="false">IF(AND(E2565&gt;0,B2565=10),1,0)</f>
        <v>0</v>
      </c>
      <c r="AB2565" s="0" t="str">
        <f aca="false">IF(AND(C2564=C2565,Y2564=Y2565-1),Z2564,"")</f>
        <v/>
      </c>
      <c r="AC2565" s="0" t="str">
        <f aca="false">IF(AND(C2564=C2565,Y2564=Y2565-1),AA2564,"")</f>
        <v/>
      </c>
      <c r="AD2565" s="0" t="str">
        <f aca="false">IF(Y2565=1,"",IF(AND(Z2565=1,AB2565&lt;&gt;1),1,0))</f>
        <v/>
      </c>
      <c r="AE2565" s="0" t="str">
        <f aca="false">IF(Y2565=1,"",IF(AND(AA2565=1,AC2565&lt;&gt;1),1,0))</f>
        <v/>
      </c>
      <c r="AF2565" s="45" t="str">
        <f aca="false">IF(AND(E2565&gt;0,Y2565&lt;1,NOT(AND(C2566=C2565,Y2566=Y2565+1))),INDEX(DATAS,Y2565+1),"")</f>
        <v/>
      </c>
      <c r="AG2565" s="45" t="str">
        <f aca="false">IF(AND(AA2565=1,Y2565&lt;1),IF(AND(C2566=C2565,Y2566=Y2565+1),IF(AA2566=1,"",INDEX(DATAS,Y2565+1)),INDEX(DATAS,Y2565+1)),"")</f>
        <v/>
      </c>
    </row>
    <row r="2566" customFormat="false" ht="15" hidden="false" customHeight="false" outlineLevel="0" collapsed="false">
      <c r="A2566" s="45" t="n">
        <v>46309</v>
      </c>
      <c r="B2566" s="0" t="n">
        <v>11</v>
      </c>
      <c r="C2566" s="0" t="n">
        <v>6907</v>
      </c>
      <c r="E2566" s="0" t="n">
        <v>0</v>
      </c>
      <c r="F2566" s="39" t="s">
        <v>1280</v>
      </c>
      <c r="I2566" s="39" t="s">
        <v>138</v>
      </c>
      <c r="U2566" s="0" t="n">
        <v>411</v>
      </c>
      <c r="V2566" s="0" t="n">
        <v>1</v>
      </c>
      <c r="W2566" s="39" t="n">
        <f aca="false">IF(I2566="Male",0,1)</f>
        <v>1</v>
      </c>
      <c r="X2566" s="39" t="n">
        <f aca="false">IF(OR(I2566="DNB",I2566="Dry DNB"),1,0)</f>
        <v>0</v>
      </c>
      <c r="Y2566" s="39" t="n">
        <f aca="false">MATCH(A2566,DATAS,0)</f>
        <v>1</v>
      </c>
      <c r="Z2566" s="39" t="n">
        <f aca="false">IF(AND(E2566&gt;0,OR(AND(B2566&gt;=1,B2566&lt;=6),B2566=10)),1,0)</f>
        <v>0</v>
      </c>
      <c r="AA2566" s="39" t="n">
        <f aca="false">IF(AND(E2566&gt;0,B2566=10),1,0)</f>
        <v>0</v>
      </c>
      <c r="AB2566" s="0" t="str">
        <f aca="false">IF(AND(C2565=C2566,Y2565=Y2566-1),Z2565,"")</f>
        <v/>
      </c>
      <c r="AC2566" s="0" t="str">
        <f aca="false">IF(AND(C2565=C2566,Y2565=Y2566-1),AA2565,"")</f>
        <v/>
      </c>
      <c r="AD2566" s="0" t="str">
        <f aca="false">IF(Y2566=1,"",IF(AND(Z2566=1,AB2566&lt;&gt;1),1,0))</f>
        <v/>
      </c>
      <c r="AE2566" s="0" t="str">
        <f aca="false">IF(Y2566=1,"",IF(AND(AA2566=1,AC2566&lt;&gt;1),1,0))</f>
        <v/>
      </c>
      <c r="AF2566" s="45" t="str">
        <f aca="false">IF(AND(E2566&gt;0,Y2566&lt;1,NOT(AND(C2567=C2566,Y2567=Y2566+1))),INDEX(DATAS,Y2566+1),"")</f>
        <v/>
      </c>
      <c r="AG2566" s="45" t="str">
        <f aca="false">IF(AND(AA2566=1,Y2566&lt;1),IF(AND(C2567=C2566,Y2567=Y2566+1),IF(AA2567=1,"",INDEX(DATAS,Y2566+1)),INDEX(DATAS,Y2566+1)),"")</f>
        <v/>
      </c>
    </row>
    <row r="2567" customFormat="false" ht="15" hidden="false" customHeight="false" outlineLevel="0" collapsed="false">
      <c r="A2567" s="45" t="n">
        <v>46309</v>
      </c>
      <c r="B2567" s="0" t="n">
        <v>11</v>
      </c>
      <c r="C2567" s="0" t="n">
        <v>6908</v>
      </c>
      <c r="E2567" s="0" t="n">
        <v>0</v>
      </c>
      <c r="F2567" s="39" t="s">
        <v>1280</v>
      </c>
      <c r="I2567" s="39" t="s">
        <v>138</v>
      </c>
      <c r="U2567" s="0" t="n">
        <v>411</v>
      </c>
      <c r="V2567" s="0" t="n">
        <v>1</v>
      </c>
      <c r="W2567" s="39" t="n">
        <f aca="false">IF(I2567="Male",0,1)</f>
        <v>1</v>
      </c>
      <c r="X2567" s="39" t="n">
        <f aca="false">IF(OR(I2567="DNB",I2567="Dry DNB"),1,0)</f>
        <v>0</v>
      </c>
      <c r="Y2567" s="39" t="n">
        <f aca="false">MATCH(A2567,DATAS,0)</f>
        <v>1</v>
      </c>
      <c r="Z2567" s="39" t="n">
        <f aca="false">IF(AND(E2567&gt;0,OR(AND(B2567&gt;=1,B2567&lt;=6),B2567=10)),1,0)</f>
        <v>0</v>
      </c>
      <c r="AA2567" s="39" t="n">
        <f aca="false">IF(AND(E2567&gt;0,B2567=10),1,0)</f>
        <v>0</v>
      </c>
      <c r="AB2567" s="0" t="str">
        <f aca="false">IF(AND(C2566=C2567,Y2566=Y2567-1),Z2566,"")</f>
        <v/>
      </c>
      <c r="AC2567" s="0" t="str">
        <f aca="false">IF(AND(C2566=C2567,Y2566=Y2567-1),AA2566,"")</f>
        <v/>
      </c>
      <c r="AD2567" s="0" t="str">
        <f aca="false">IF(Y2567=1,"",IF(AND(Z2567=1,AB2567&lt;&gt;1),1,0))</f>
        <v/>
      </c>
      <c r="AE2567" s="0" t="str">
        <f aca="false">IF(Y2567=1,"",IF(AND(AA2567=1,AC2567&lt;&gt;1),1,0))</f>
        <v/>
      </c>
      <c r="AF2567" s="45" t="str">
        <f aca="false">IF(AND(E2567&gt;0,Y2567&lt;1,NOT(AND(C2568=C2567,Y2568=Y2567+1))),INDEX(DATAS,Y2567+1),"")</f>
        <v/>
      </c>
      <c r="AG2567" s="45" t="str">
        <f aca="false">IF(AND(AA2567=1,Y2567&lt;1),IF(AND(C2568=C2567,Y2568=Y2567+1),IF(AA2568=1,"",INDEX(DATAS,Y2567+1)),INDEX(DATAS,Y2567+1)),"")</f>
        <v/>
      </c>
    </row>
    <row r="2568" customFormat="false" ht="15" hidden="false" customHeight="false" outlineLevel="0" collapsed="false">
      <c r="A2568" s="45" t="n">
        <v>46309</v>
      </c>
      <c r="B2568" s="0" t="n">
        <v>13</v>
      </c>
      <c r="C2568" s="0" t="n">
        <v>6909</v>
      </c>
      <c r="E2568" s="0" t="n">
        <v>0</v>
      </c>
      <c r="F2568" s="39" t="s">
        <v>1280</v>
      </c>
      <c r="I2568" s="39" t="s">
        <v>146</v>
      </c>
      <c r="U2568" s="0" t="n">
        <v>411</v>
      </c>
      <c r="V2568" s="0" t="n">
        <v>0</v>
      </c>
      <c r="W2568" s="39" t="n">
        <f aca="false">IF(I2568="Male",0,1)</f>
        <v>1</v>
      </c>
      <c r="X2568" s="39" t="n">
        <f aca="false">IF(OR(I2568="DNB",I2568="Dry DNB"),1,0)</f>
        <v>0</v>
      </c>
      <c r="Y2568" s="39" t="n">
        <f aca="false">MATCH(A2568,DATAS,0)</f>
        <v>1</v>
      </c>
      <c r="Z2568" s="39" t="n">
        <f aca="false">IF(AND(E2568&gt;0,OR(AND(B2568&gt;=1,B2568&lt;=6),B2568=10)),1,0)</f>
        <v>0</v>
      </c>
      <c r="AA2568" s="39" t="n">
        <f aca="false">IF(AND(E2568&gt;0,B2568=10),1,0)</f>
        <v>0</v>
      </c>
      <c r="AB2568" s="0" t="str">
        <f aca="false">IF(AND(C2567=C2568,Y2567=Y2568-1),Z2567,"")</f>
        <v/>
      </c>
      <c r="AC2568" s="0" t="str">
        <f aca="false">IF(AND(C2567=C2568,Y2567=Y2568-1),AA2567,"")</f>
        <v/>
      </c>
      <c r="AD2568" s="0" t="str">
        <f aca="false">IF(Y2568=1,"",IF(AND(Z2568=1,AB2568&lt;&gt;1),1,0))</f>
        <v/>
      </c>
      <c r="AE2568" s="0" t="str">
        <f aca="false">IF(Y2568=1,"",IF(AND(AA2568=1,AC2568&lt;&gt;1),1,0))</f>
        <v/>
      </c>
      <c r="AF2568" s="45" t="str">
        <f aca="false">IF(AND(E2568&gt;0,Y2568&lt;1,NOT(AND(C2569=C2568,Y2569=Y2568+1))),INDEX(DATAS,Y2568+1),"")</f>
        <v/>
      </c>
      <c r="AG2568" s="45" t="str">
        <f aca="false">IF(AND(AA2568=1,Y2568&lt;1),IF(AND(C2569=C2568,Y2569=Y2568+1),IF(AA2569=1,"",INDEX(DATAS,Y2568+1)),INDEX(DATAS,Y2568+1)),"")</f>
        <v/>
      </c>
    </row>
    <row r="2569" customFormat="false" ht="15" hidden="false" customHeight="false" outlineLevel="0" collapsed="false">
      <c r="A2569" s="45" t="n">
        <v>46309</v>
      </c>
      <c r="B2569" s="0" t="n">
        <v>13</v>
      </c>
      <c r="C2569" s="0" t="n">
        <v>6910</v>
      </c>
      <c r="E2569" s="0" t="n">
        <v>0</v>
      </c>
      <c r="F2569" s="39" t="s">
        <v>1281</v>
      </c>
      <c r="I2569" s="39" t="s">
        <v>146</v>
      </c>
      <c r="U2569" s="0" t="n">
        <v>410</v>
      </c>
      <c r="V2569" s="0" t="n">
        <v>0</v>
      </c>
      <c r="W2569" s="39" t="n">
        <f aca="false">IF(I2569="Male",0,1)</f>
        <v>1</v>
      </c>
      <c r="X2569" s="39" t="n">
        <f aca="false">IF(OR(I2569="DNB",I2569="Dry DNB"),1,0)</f>
        <v>0</v>
      </c>
      <c r="Y2569" s="39" t="n">
        <f aca="false">MATCH(A2569,DATAS,0)</f>
        <v>1</v>
      </c>
      <c r="Z2569" s="39" t="n">
        <f aca="false">IF(AND(E2569&gt;0,OR(AND(B2569&gt;=1,B2569&lt;=6),B2569=10)),1,0)</f>
        <v>0</v>
      </c>
      <c r="AA2569" s="39" t="n">
        <f aca="false">IF(AND(E2569&gt;0,B2569=10),1,0)</f>
        <v>0</v>
      </c>
      <c r="AB2569" s="0" t="str">
        <f aca="false">IF(AND(C2568=C2569,Y2568=Y2569-1),Z2568,"")</f>
        <v/>
      </c>
      <c r="AC2569" s="0" t="str">
        <f aca="false">IF(AND(C2568=C2569,Y2568=Y2569-1),AA2568,"")</f>
        <v/>
      </c>
      <c r="AD2569" s="0" t="str">
        <f aca="false">IF(Y2569=1,"",IF(AND(Z2569=1,AB2569&lt;&gt;1),1,0))</f>
        <v/>
      </c>
      <c r="AE2569" s="0" t="str">
        <f aca="false">IF(Y2569=1,"",IF(AND(AA2569=1,AC2569&lt;&gt;1),1,0))</f>
        <v/>
      </c>
      <c r="AF2569" s="45" t="str">
        <f aca="false">IF(AND(E2569&gt;0,Y2569&lt;1,NOT(AND(C2570=C2569,Y2570=Y2569+1))),INDEX(DATAS,Y2569+1),"")</f>
        <v/>
      </c>
      <c r="AG2569" s="45" t="str">
        <f aca="false">IF(AND(AA2569=1,Y2569&lt;1),IF(AND(C2570=C2569,Y2570=Y2569+1),IF(AA2570=1,"",INDEX(DATAS,Y2569+1)),INDEX(DATAS,Y2569+1)),"")</f>
        <v/>
      </c>
    </row>
    <row r="2570" customFormat="false" ht="15" hidden="false" customHeight="false" outlineLevel="0" collapsed="false">
      <c r="A2570" s="45" t="n">
        <v>46309</v>
      </c>
      <c r="B2570" s="0" t="n">
        <v>11</v>
      </c>
      <c r="C2570" s="0" t="n">
        <v>6911</v>
      </c>
      <c r="E2570" s="0" t="n">
        <v>0</v>
      </c>
      <c r="F2570" s="39" t="s">
        <v>1281</v>
      </c>
      <c r="I2570" s="39" t="s">
        <v>138</v>
      </c>
      <c r="U2570" s="0" t="n">
        <v>410</v>
      </c>
      <c r="V2570" s="0" t="n">
        <v>1</v>
      </c>
      <c r="W2570" s="39" t="n">
        <f aca="false">IF(I2570="Male",0,1)</f>
        <v>1</v>
      </c>
      <c r="X2570" s="39" t="n">
        <f aca="false">IF(OR(I2570="DNB",I2570="Dry DNB"),1,0)</f>
        <v>0</v>
      </c>
      <c r="Y2570" s="39" t="n">
        <f aca="false">MATCH(A2570,DATAS,0)</f>
        <v>1</v>
      </c>
      <c r="Z2570" s="39" t="n">
        <f aca="false">IF(AND(E2570&gt;0,OR(AND(B2570&gt;=1,B2570&lt;=6),B2570=10)),1,0)</f>
        <v>0</v>
      </c>
      <c r="AA2570" s="39" t="n">
        <f aca="false">IF(AND(E2570&gt;0,B2570=10),1,0)</f>
        <v>0</v>
      </c>
      <c r="AB2570" s="0" t="str">
        <f aca="false">IF(AND(C2569=C2570,Y2569=Y2570-1),Z2569,"")</f>
        <v/>
      </c>
      <c r="AC2570" s="0" t="str">
        <f aca="false">IF(AND(C2569=C2570,Y2569=Y2570-1),AA2569,"")</f>
        <v/>
      </c>
      <c r="AD2570" s="0" t="str">
        <f aca="false">IF(Y2570=1,"",IF(AND(Z2570=1,AB2570&lt;&gt;1),1,0))</f>
        <v/>
      </c>
      <c r="AE2570" s="0" t="str">
        <f aca="false">IF(Y2570=1,"",IF(AND(AA2570=1,AC2570&lt;&gt;1),1,0))</f>
        <v/>
      </c>
      <c r="AF2570" s="45" t="str">
        <f aca="false">IF(AND(E2570&gt;0,Y2570&lt;1,NOT(AND(C2571=C2570,Y2571=Y2570+1))),INDEX(DATAS,Y2570+1),"")</f>
        <v/>
      </c>
      <c r="AG2570" s="45" t="str">
        <f aca="false">IF(AND(AA2570=1,Y2570&lt;1),IF(AND(C2571=C2570,Y2571=Y2570+1),IF(AA2571=1,"",INDEX(DATAS,Y2570+1)),INDEX(DATAS,Y2570+1)),"")</f>
        <v/>
      </c>
    </row>
    <row r="2571" customFormat="false" ht="15" hidden="false" customHeight="false" outlineLevel="0" collapsed="false">
      <c r="A2571" s="45" t="n">
        <v>46309</v>
      </c>
      <c r="B2571" s="0" t="n">
        <v>13</v>
      </c>
      <c r="C2571" s="0" t="n">
        <v>6913</v>
      </c>
      <c r="E2571" s="0" t="n">
        <v>0</v>
      </c>
      <c r="F2571" s="39" t="s">
        <v>1281</v>
      </c>
      <c r="I2571" s="39" t="s">
        <v>146</v>
      </c>
      <c r="U2571" s="0" t="n">
        <v>410</v>
      </c>
      <c r="V2571" s="0" t="n">
        <v>0</v>
      </c>
      <c r="W2571" s="39" t="n">
        <f aca="false">IF(I2571="Male",0,1)</f>
        <v>1</v>
      </c>
      <c r="X2571" s="39" t="n">
        <f aca="false">IF(OR(I2571="DNB",I2571="Dry DNB"),1,0)</f>
        <v>0</v>
      </c>
      <c r="Y2571" s="39" t="n">
        <f aca="false">MATCH(A2571,DATAS,0)</f>
        <v>1</v>
      </c>
      <c r="Z2571" s="39" t="n">
        <f aca="false">IF(AND(E2571&gt;0,OR(AND(B2571&gt;=1,B2571&lt;=6),B2571=10)),1,0)</f>
        <v>0</v>
      </c>
      <c r="AA2571" s="39" t="n">
        <f aca="false">IF(AND(E2571&gt;0,B2571=10),1,0)</f>
        <v>0</v>
      </c>
      <c r="AB2571" s="0" t="str">
        <f aca="false">IF(AND(C2570=C2571,Y2570=Y2571-1),Z2570,"")</f>
        <v/>
      </c>
      <c r="AC2571" s="0" t="str">
        <f aca="false">IF(AND(C2570=C2571,Y2570=Y2571-1),AA2570,"")</f>
        <v/>
      </c>
      <c r="AD2571" s="0" t="str">
        <f aca="false">IF(Y2571=1,"",IF(AND(Z2571=1,AB2571&lt;&gt;1),1,0))</f>
        <v/>
      </c>
      <c r="AE2571" s="0" t="str">
        <f aca="false">IF(Y2571=1,"",IF(AND(AA2571=1,AC2571&lt;&gt;1),1,0))</f>
        <v/>
      </c>
      <c r="AF2571" s="45" t="str">
        <f aca="false">IF(AND(E2571&gt;0,Y2571&lt;1,NOT(AND(C2572=C2571,Y2572=Y2571+1))),INDEX(DATAS,Y2571+1),"")</f>
        <v/>
      </c>
      <c r="AG2571" s="45" t="str">
        <f aca="false">IF(AND(AA2571=1,Y2571&lt;1),IF(AND(C2572=C2571,Y2572=Y2571+1),IF(AA2572=1,"",INDEX(DATAS,Y2571+1)),INDEX(DATAS,Y2571+1)),"")</f>
        <v/>
      </c>
    </row>
    <row r="2572" customFormat="false" ht="15" hidden="false" customHeight="false" outlineLevel="0" collapsed="false">
      <c r="A2572" s="45" t="n">
        <v>46309</v>
      </c>
      <c r="B2572" s="0" t="n">
        <v>13</v>
      </c>
      <c r="C2572" s="0" t="n">
        <v>6914</v>
      </c>
      <c r="E2572" s="0" t="n">
        <v>0</v>
      </c>
      <c r="F2572" s="39" t="s">
        <v>1281</v>
      </c>
      <c r="I2572" s="39" t="s">
        <v>146</v>
      </c>
      <c r="U2572" s="0" t="n">
        <v>410</v>
      </c>
      <c r="V2572" s="0" t="n">
        <v>0</v>
      </c>
      <c r="W2572" s="39" t="n">
        <f aca="false">IF(I2572="Male",0,1)</f>
        <v>1</v>
      </c>
      <c r="X2572" s="39" t="n">
        <f aca="false">IF(OR(I2572="DNB",I2572="Dry DNB"),1,0)</f>
        <v>0</v>
      </c>
      <c r="Y2572" s="39" t="n">
        <f aca="false">MATCH(A2572,DATAS,0)</f>
        <v>1</v>
      </c>
      <c r="Z2572" s="39" t="n">
        <f aca="false">IF(AND(E2572&gt;0,OR(AND(B2572&gt;=1,B2572&lt;=6),B2572=10)),1,0)</f>
        <v>0</v>
      </c>
      <c r="AA2572" s="39" t="n">
        <f aca="false">IF(AND(E2572&gt;0,B2572=10),1,0)</f>
        <v>0</v>
      </c>
      <c r="AB2572" s="0" t="str">
        <f aca="false">IF(AND(C2571=C2572,Y2571=Y2572-1),Z2571,"")</f>
        <v/>
      </c>
      <c r="AC2572" s="0" t="str">
        <f aca="false">IF(AND(C2571=C2572,Y2571=Y2572-1),AA2571,"")</f>
        <v/>
      </c>
      <c r="AD2572" s="0" t="str">
        <f aca="false">IF(Y2572=1,"",IF(AND(Z2572=1,AB2572&lt;&gt;1),1,0))</f>
        <v/>
      </c>
      <c r="AE2572" s="0" t="str">
        <f aca="false">IF(Y2572=1,"",IF(AND(AA2572=1,AC2572&lt;&gt;1),1,0))</f>
        <v/>
      </c>
      <c r="AF2572" s="45" t="str">
        <f aca="false">IF(AND(E2572&gt;0,Y2572&lt;1,NOT(AND(C2573=C2572,Y2573=Y2572+1))),INDEX(DATAS,Y2572+1),"")</f>
        <v/>
      </c>
      <c r="AG2572" s="45" t="str">
        <f aca="false">IF(AND(AA2572=1,Y2572&lt;1),IF(AND(C2573=C2572,Y2573=Y2572+1),IF(AA2573=1,"",INDEX(DATAS,Y2572+1)),INDEX(DATAS,Y2572+1)),"")</f>
        <v/>
      </c>
    </row>
    <row r="2573" customFormat="false" ht="15" hidden="false" customHeight="false" outlineLevel="0" collapsed="false">
      <c r="A2573" s="45" t="n">
        <v>46309</v>
      </c>
      <c r="B2573" s="0" t="n">
        <v>13</v>
      </c>
      <c r="C2573" s="0" t="n">
        <v>6915</v>
      </c>
      <c r="E2573" s="0" t="n">
        <v>0</v>
      </c>
      <c r="F2573" s="39" t="s">
        <v>1282</v>
      </c>
      <c r="I2573" s="39" t="s">
        <v>146</v>
      </c>
      <c r="U2573" s="0" t="n">
        <v>409</v>
      </c>
      <c r="V2573" s="0" t="n">
        <v>0</v>
      </c>
      <c r="W2573" s="39" t="n">
        <f aca="false">IF(I2573="Male",0,1)</f>
        <v>1</v>
      </c>
      <c r="X2573" s="39" t="n">
        <f aca="false">IF(OR(I2573="DNB",I2573="Dry DNB"),1,0)</f>
        <v>0</v>
      </c>
      <c r="Y2573" s="39" t="n">
        <f aca="false">MATCH(A2573,DATAS,0)</f>
        <v>1</v>
      </c>
      <c r="Z2573" s="39" t="n">
        <f aca="false">IF(AND(E2573&gt;0,OR(AND(B2573&gt;=1,B2573&lt;=6),B2573=10)),1,0)</f>
        <v>0</v>
      </c>
      <c r="AA2573" s="39" t="n">
        <f aca="false">IF(AND(E2573&gt;0,B2573=10),1,0)</f>
        <v>0</v>
      </c>
      <c r="AB2573" s="0" t="str">
        <f aca="false">IF(AND(C2572=C2573,Y2572=Y2573-1),Z2572,"")</f>
        <v/>
      </c>
      <c r="AC2573" s="0" t="str">
        <f aca="false">IF(AND(C2572=C2573,Y2572=Y2573-1),AA2572,"")</f>
        <v/>
      </c>
      <c r="AD2573" s="0" t="str">
        <f aca="false">IF(Y2573=1,"",IF(AND(Z2573=1,AB2573&lt;&gt;1),1,0))</f>
        <v/>
      </c>
      <c r="AE2573" s="0" t="str">
        <f aca="false">IF(Y2573=1,"",IF(AND(AA2573=1,AC2573&lt;&gt;1),1,0))</f>
        <v/>
      </c>
      <c r="AF2573" s="45" t="str">
        <f aca="false">IF(AND(E2573&gt;0,Y2573&lt;1,NOT(AND(C2574=C2573,Y2574=Y2573+1))),INDEX(DATAS,Y2573+1),"")</f>
        <v/>
      </c>
      <c r="AG2573" s="45" t="str">
        <f aca="false">IF(AND(AA2573=1,Y2573&lt;1),IF(AND(C2574=C2573,Y2574=Y2573+1),IF(AA2574=1,"",INDEX(DATAS,Y2573+1)),INDEX(DATAS,Y2573+1)),"")</f>
        <v/>
      </c>
    </row>
    <row r="2574" customFormat="false" ht="15" hidden="false" customHeight="false" outlineLevel="0" collapsed="false">
      <c r="A2574" s="45" t="n">
        <v>46309</v>
      </c>
      <c r="B2574" s="0" t="n">
        <v>11</v>
      </c>
      <c r="C2574" s="0" t="n">
        <v>6916</v>
      </c>
      <c r="E2574" s="0" t="n">
        <v>0</v>
      </c>
      <c r="F2574" s="39" t="s">
        <v>1282</v>
      </c>
      <c r="I2574" s="39" t="s">
        <v>138</v>
      </c>
      <c r="U2574" s="0" t="n">
        <v>409</v>
      </c>
      <c r="V2574" s="0" t="n">
        <v>1</v>
      </c>
      <c r="W2574" s="39" t="n">
        <f aca="false">IF(I2574="Male",0,1)</f>
        <v>1</v>
      </c>
      <c r="X2574" s="39" t="n">
        <f aca="false">IF(OR(I2574="DNB",I2574="Dry DNB"),1,0)</f>
        <v>0</v>
      </c>
      <c r="Y2574" s="39" t="n">
        <f aca="false">MATCH(A2574,DATAS,0)</f>
        <v>1</v>
      </c>
      <c r="Z2574" s="39" t="n">
        <f aca="false">IF(AND(E2574&gt;0,OR(AND(B2574&gt;=1,B2574&lt;=6),B2574=10)),1,0)</f>
        <v>0</v>
      </c>
      <c r="AA2574" s="39" t="n">
        <f aca="false">IF(AND(E2574&gt;0,B2574=10),1,0)</f>
        <v>0</v>
      </c>
      <c r="AB2574" s="0" t="str">
        <f aca="false">IF(AND(C2573=C2574,Y2573=Y2574-1),Z2573,"")</f>
        <v/>
      </c>
      <c r="AC2574" s="0" t="str">
        <f aca="false">IF(AND(C2573=C2574,Y2573=Y2574-1),AA2573,"")</f>
        <v/>
      </c>
      <c r="AD2574" s="0" t="str">
        <f aca="false">IF(Y2574=1,"",IF(AND(Z2574=1,AB2574&lt;&gt;1),1,0))</f>
        <v/>
      </c>
      <c r="AE2574" s="0" t="str">
        <f aca="false">IF(Y2574=1,"",IF(AND(AA2574=1,AC2574&lt;&gt;1),1,0))</f>
        <v/>
      </c>
      <c r="AF2574" s="45" t="str">
        <f aca="false">IF(AND(E2574&gt;0,Y2574&lt;1,NOT(AND(C2575=C2574,Y2575=Y2574+1))),INDEX(DATAS,Y2574+1),"")</f>
        <v/>
      </c>
      <c r="AG2574" s="45" t="str">
        <f aca="false">IF(AND(AA2574=1,Y2574&lt;1),IF(AND(C2575=C2574,Y2575=Y2574+1),IF(AA2575=1,"",INDEX(DATAS,Y2574+1)),INDEX(DATAS,Y2574+1)),"")</f>
        <v/>
      </c>
    </row>
    <row r="2575" customFormat="false" ht="15" hidden="false" customHeight="false" outlineLevel="0" collapsed="false">
      <c r="A2575" s="45" t="n">
        <v>46309</v>
      </c>
      <c r="B2575" s="0" t="n">
        <v>11</v>
      </c>
      <c r="C2575" s="0" t="n">
        <v>6917</v>
      </c>
      <c r="E2575" s="0" t="n">
        <v>0</v>
      </c>
      <c r="F2575" s="39" t="s">
        <v>1282</v>
      </c>
      <c r="I2575" s="39" t="s">
        <v>138</v>
      </c>
      <c r="U2575" s="0" t="n">
        <v>409</v>
      </c>
      <c r="V2575" s="0" t="n">
        <v>1</v>
      </c>
      <c r="W2575" s="39" t="n">
        <f aca="false">IF(I2575="Male",0,1)</f>
        <v>1</v>
      </c>
      <c r="X2575" s="39" t="n">
        <f aca="false">IF(OR(I2575="DNB",I2575="Dry DNB"),1,0)</f>
        <v>0</v>
      </c>
      <c r="Y2575" s="39" t="n">
        <f aca="false">MATCH(A2575,DATAS,0)</f>
        <v>1</v>
      </c>
      <c r="Z2575" s="39" t="n">
        <f aca="false">IF(AND(E2575&gt;0,OR(AND(B2575&gt;=1,B2575&lt;=6),B2575=10)),1,0)</f>
        <v>0</v>
      </c>
      <c r="AA2575" s="39" t="n">
        <f aca="false">IF(AND(E2575&gt;0,B2575=10),1,0)</f>
        <v>0</v>
      </c>
      <c r="AB2575" s="0" t="str">
        <f aca="false">IF(AND(C2574=C2575,Y2574=Y2575-1),Z2574,"")</f>
        <v/>
      </c>
      <c r="AC2575" s="0" t="str">
        <f aca="false">IF(AND(C2574=C2575,Y2574=Y2575-1),AA2574,"")</f>
        <v/>
      </c>
      <c r="AD2575" s="0" t="str">
        <f aca="false">IF(Y2575=1,"",IF(AND(Z2575=1,AB2575&lt;&gt;1),1,0))</f>
        <v/>
      </c>
      <c r="AE2575" s="0" t="str">
        <f aca="false">IF(Y2575=1,"",IF(AND(AA2575=1,AC2575&lt;&gt;1),1,0))</f>
        <v/>
      </c>
      <c r="AF2575" s="45" t="str">
        <f aca="false">IF(AND(E2575&gt;0,Y2575&lt;1,NOT(AND(C2576=C2575,Y2576=Y2575+1))),INDEX(DATAS,Y2575+1),"")</f>
        <v/>
      </c>
      <c r="AG2575" s="45" t="str">
        <f aca="false">IF(AND(AA2575=1,Y2575&lt;1),IF(AND(C2576=C2575,Y2576=Y2575+1),IF(AA2576=1,"",INDEX(DATAS,Y2575+1)),INDEX(DATAS,Y2575+1)),"")</f>
        <v/>
      </c>
    </row>
    <row r="2576" customFormat="false" ht="15" hidden="false" customHeight="false" outlineLevel="0" collapsed="false">
      <c r="A2576" s="45" t="n">
        <v>46309</v>
      </c>
      <c r="B2576" s="0" t="n">
        <v>13</v>
      </c>
      <c r="C2576" s="0" t="n">
        <v>6918</v>
      </c>
      <c r="E2576" s="0" t="n">
        <v>0</v>
      </c>
      <c r="F2576" s="39" t="s">
        <v>1282</v>
      </c>
      <c r="I2576" s="39" t="s">
        <v>146</v>
      </c>
      <c r="U2576" s="0" t="n">
        <v>409</v>
      </c>
      <c r="V2576" s="0" t="n">
        <v>0</v>
      </c>
      <c r="W2576" s="39" t="n">
        <f aca="false">IF(I2576="Male",0,1)</f>
        <v>1</v>
      </c>
      <c r="X2576" s="39" t="n">
        <f aca="false">IF(OR(I2576="DNB",I2576="Dry DNB"),1,0)</f>
        <v>0</v>
      </c>
      <c r="Y2576" s="39" t="n">
        <f aca="false">MATCH(A2576,DATAS,0)</f>
        <v>1</v>
      </c>
      <c r="Z2576" s="39" t="n">
        <f aca="false">IF(AND(E2576&gt;0,OR(AND(B2576&gt;=1,B2576&lt;=6),B2576=10)),1,0)</f>
        <v>0</v>
      </c>
      <c r="AA2576" s="39" t="n">
        <f aca="false">IF(AND(E2576&gt;0,B2576=10),1,0)</f>
        <v>0</v>
      </c>
      <c r="AB2576" s="0" t="str">
        <f aca="false">IF(AND(C2575=C2576,Y2575=Y2576-1),Z2575,"")</f>
        <v/>
      </c>
      <c r="AC2576" s="0" t="str">
        <f aca="false">IF(AND(C2575=C2576,Y2575=Y2576-1),AA2575,"")</f>
        <v/>
      </c>
      <c r="AD2576" s="0" t="str">
        <f aca="false">IF(Y2576=1,"",IF(AND(Z2576=1,AB2576&lt;&gt;1),1,0))</f>
        <v/>
      </c>
      <c r="AE2576" s="0" t="str">
        <f aca="false">IF(Y2576=1,"",IF(AND(AA2576=1,AC2576&lt;&gt;1),1,0))</f>
        <v/>
      </c>
      <c r="AF2576" s="45" t="str">
        <f aca="false">IF(AND(E2576&gt;0,Y2576&lt;1,NOT(AND(C2577=C2576,Y2577=Y2576+1))),INDEX(DATAS,Y2576+1),"")</f>
        <v/>
      </c>
      <c r="AG2576" s="45" t="str">
        <f aca="false">IF(AND(AA2576=1,Y2576&lt;1),IF(AND(C2577=C2576,Y2577=Y2576+1),IF(AA2577=1,"",INDEX(DATAS,Y2576+1)),INDEX(DATAS,Y2576+1)),"")</f>
        <v/>
      </c>
    </row>
    <row r="2577" customFormat="false" ht="15" hidden="false" customHeight="false" outlineLevel="0" collapsed="false">
      <c r="A2577" s="45" t="n">
        <v>46309</v>
      </c>
      <c r="B2577" s="0" t="n">
        <v>11</v>
      </c>
      <c r="C2577" s="0" t="n">
        <v>6919</v>
      </c>
      <c r="E2577" s="0" t="n">
        <v>0</v>
      </c>
      <c r="F2577" s="39" t="s">
        <v>1283</v>
      </c>
      <c r="I2577" s="39" t="s">
        <v>138</v>
      </c>
      <c r="U2577" s="0" t="n">
        <v>408</v>
      </c>
      <c r="V2577" s="0" t="n">
        <v>1</v>
      </c>
      <c r="W2577" s="39" t="n">
        <f aca="false">IF(I2577="Male",0,1)</f>
        <v>1</v>
      </c>
      <c r="X2577" s="39" t="n">
        <f aca="false">IF(OR(I2577="DNB",I2577="Dry DNB"),1,0)</f>
        <v>0</v>
      </c>
      <c r="Y2577" s="39" t="n">
        <f aca="false">MATCH(A2577,DATAS,0)</f>
        <v>1</v>
      </c>
      <c r="Z2577" s="39" t="n">
        <f aca="false">IF(AND(E2577&gt;0,OR(AND(B2577&gt;=1,B2577&lt;=6),B2577=10)),1,0)</f>
        <v>0</v>
      </c>
      <c r="AA2577" s="39" t="n">
        <f aca="false">IF(AND(E2577&gt;0,B2577=10),1,0)</f>
        <v>0</v>
      </c>
      <c r="AB2577" s="0" t="str">
        <f aca="false">IF(AND(C2576=C2577,Y2576=Y2577-1),Z2576,"")</f>
        <v/>
      </c>
      <c r="AC2577" s="0" t="str">
        <f aca="false">IF(AND(C2576=C2577,Y2576=Y2577-1),AA2576,"")</f>
        <v/>
      </c>
      <c r="AD2577" s="0" t="str">
        <f aca="false">IF(Y2577=1,"",IF(AND(Z2577=1,AB2577&lt;&gt;1),1,0))</f>
        <v/>
      </c>
      <c r="AE2577" s="0" t="str">
        <f aca="false">IF(Y2577=1,"",IF(AND(AA2577=1,AC2577&lt;&gt;1),1,0))</f>
        <v/>
      </c>
      <c r="AF2577" s="45" t="str">
        <f aca="false">IF(AND(E2577&gt;0,Y2577&lt;1,NOT(AND(C2578=C2577,Y2578=Y2577+1))),INDEX(DATAS,Y2577+1),"")</f>
        <v/>
      </c>
      <c r="AG2577" s="45" t="str">
        <f aca="false">IF(AND(AA2577=1,Y2577&lt;1),IF(AND(C2578=C2577,Y2578=Y2577+1),IF(AA2578=1,"",INDEX(DATAS,Y2577+1)),INDEX(DATAS,Y2577+1)),"")</f>
        <v/>
      </c>
    </row>
    <row r="2578" customFormat="false" ht="15" hidden="false" customHeight="false" outlineLevel="0" collapsed="false">
      <c r="A2578" s="45" t="n">
        <v>46309</v>
      </c>
      <c r="B2578" s="0" t="n">
        <v>13</v>
      </c>
      <c r="C2578" s="0" t="n">
        <v>6920</v>
      </c>
      <c r="E2578" s="0" t="n">
        <v>0</v>
      </c>
      <c r="F2578" s="39" t="s">
        <v>1284</v>
      </c>
      <c r="I2578" s="39" t="s">
        <v>146</v>
      </c>
      <c r="U2578" s="0" t="n">
        <v>406</v>
      </c>
      <c r="V2578" s="0" t="n">
        <v>0</v>
      </c>
      <c r="W2578" s="39" t="n">
        <f aca="false">IF(I2578="Male",0,1)</f>
        <v>1</v>
      </c>
      <c r="X2578" s="39" t="n">
        <f aca="false">IF(OR(I2578="DNB",I2578="Dry DNB"),1,0)</f>
        <v>0</v>
      </c>
      <c r="Y2578" s="39" t="n">
        <f aca="false">MATCH(A2578,DATAS,0)</f>
        <v>1</v>
      </c>
      <c r="Z2578" s="39" t="n">
        <f aca="false">IF(AND(E2578&gt;0,OR(AND(B2578&gt;=1,B2578&lt;=6),B2578=10)),1,0)</f>
        <v>0</v>
      </c>
      <c r="AA2578" s="39" t="n">
        <f aca="false">IF(AND(E2578&gt;0,B2578=10),1,0)</f>
        <v>0</v>
      </c>
      <c r="AB2578" s="0" t="str">
        <f aca="false">IF(AND(C2577=C2578,Y2577=Y2578-1),Z2577,"")</f>
        <v/>
      </c>
      <c r="AC2578" s="0" t="str">
        <f aca="false">IF(AND(C2577=C2578,Y2577=Y2578-1),AA2577,"")</f>
        <v/>
      </c>
      <c r="AD2578" s="0" t="str">
        <f aca="false">IF(Y2578=1,"",IF(AND(Z2578=1,AB2578&lt;&gt;1),1,0))</f>
        <v/>
      </c>
      <c r="AE2578" s="0" t="str">
        <f aca="false">IF(Y2578=1,"",IF(AND(AA2578=1,AC2578&lt;&gt;1),1,0))</f>
        <v/>
      </c>
      <c r="AF2578" s="45" t="str">
        <f aca="false">IF(AND(E2578&gt;0,Y2578&lt;1,NOT(AND(C2579=C2578,Y2579=Y2578+1))),INDEX(DATAS,Y2578+1),"")</f>
        <v/>
      </c>
      <c r="AG2578" s="45" t="str">
        <f aca="false">IF(AND(AA2578=1,Y2578&lt;1),IF(AND(C2579=C2578,Y2579=Y2578+1),IF(AA2579=1,"",INDEX(DATAS,Y2578+1)),INDEX(DATAS,Y2578+1)),"")</f>
        <v/>
      </c>
    </row>
    <row r="2579" customFormat="false" ht="15" hidden="false" customHeight="false" outlineLevel="0" collapsed="false">
      <c r="A2579" s="45" t="n">
        <v>46309</v>
      </c>
      <c r="B2579" s="0" t="n">
        <v>11</v>
      </c>
      <c r="C2579" s="0" t="n">
        <v>6921</v>
      </c>
      <c r="E2579" s="0" t="n">
        <v>0</v>
      </c>
      <c r="F2579" s="39" t="s">
        <v>1284</v>
      </c>
      <c r="I2579" s="39" t="s">
        <v>138</v>
      </c>
      <c r="U2579" s="0" t="n">
        <v>406</v>
      </c>
      <c r="V2579" s="0" t="n">
        <v>1</v>
      </c>
      <c r="W2579" s="39" t="n">
        <f aca="false">IF(I2579="Male",0,1)</f>
        <v>1</v>
      </c>
      <c r="X2579" s="39" t="n">
        <f aca="false">IF(OR(I2579="DNB",I2579="Dry DNB"),1,0)</f>
        <v>0</v>
      </c>
      <c r="Y2579" s="39" t="n">
        <f aca="false">MATCH(A2579,DATAS,0)</f>
        <v>1</v>
      </c>
      <c r="Z2579" s="39" t="n">
        <f aca="false">IF(AND(E2579&gt;0,OR(AND(B2579&gt;=1,B2579&lt;=6),B2579=10)),1,0)</f>
        <v>0</v>
      </c>
      <c r="AA2579" s="39" t="n">
        <f aca="false">IF(AND(E2579&gt;0,B2579=10),1,0)</f>
        <v>0</v>
      </c>
      <c r="AB2579" s="0" t="str">
        <f aca="false">IF(AND(C2578=C2579,Y2578=Y2579-1),Z2578,"")</f>
        <v/>
      </c>
      <c r="AC2579" s="0" t="str">
        <f aca="false">IF(AND(C2578=C2579,Y2578=Y2579-1),AA2578,"")</f>
        <v/>
      </c>
      <c r="AD2579" s="0" t="str">
        <f aca="false">IF(Y2579=1,"",IF(AND(Z2579=1,AB2579&lt;&gt;1),1,0))</f>
        <v/>
      </c>
      <c r="AE2579" s="0" t="str">
        <f aca="false">IF(Y2579=1,"",IF(AND(AA2579=1,AC2579&lt;&gt;1),1,0))</f>
        <v/>
      </c>
      <c r="AF2579" s="45" t="str">
        <f aca="false">IF(AND(E2579&gt;0,Y2579&lt;1,NOT(AND(C2580=C2579,Y2580=Y2579+1))),INDEX(DATAS,Y2579+1),"")</f>
        <v/>
      </c>
      <c r="AG2579" s="45" t="str">
        <f aca="false">IF(AND(AA2579=1,Y2579&lt;1),IF(AND(C2580=C2579,Y2580=Y2579+1),IF(AA2580=1,"",INDEX(DATAS,Y2579+1)),INDEX(DATAS,Y2579+1)),"")</f>
        <v/>
      </c>
    </row>
    <row r="2580" customFormat="false" ht="15" hidden="false" customHeight="false" outlineLevel="0" collapsed="false">
      <c r="A2580" s="45" t="n">
        <v>46309</v>
      </c>
      <c r="B2580" s="0" t="n">
        <v>13</v>
      </c>
      <c r="C2580" s="0" t="n">
        <v>6922</v>
      </c>
      <c r="E2580" s="0" t="n">
        <v>0</v>
      </c>
      <c r="F2580" s="39" t="s">
        <v>1284</v>
      </c>
      <c r="I2580" s="39" t="s">
        <v>146</v>
      </c>
      <c r="U2580" s="0" t="n">
        <v>406</v>
      </c>
      <c r="V2580" s="0" t="n">
        <v>0</v>
      </c>
      <c r="W2580" s="39" t="n">
        <f aca="false">IF(I2580="Male",0,1)</f>
        <v>1</v>
      </c>
      <c r="X2580" s="39" t="n">
        <f aca="false">IF(OR(I2580="DNB",I2580="Dry DNB"),1,0)</f>
        <v>0</v>
      </c>
      <c r="Y2580" s="39" t="n">
        <f aca="false">MATCH(A2580,DATAS,0)</f>
        <v>1</v>
      </c>
      <c r="Z2580" s="39" t="n">
        <f aca="false">IF(AND(E2580&gt;0,OR(AND(B2580&gt;=1,B2580&lt;=6),B2580=10)),1,0)</f>
        <v>0</v>
      </c>
      <c r="AA2580" s="39" t="n">
        <f aca="false">IF(AND(E2580&gt;0,B2580=10),1,0)</f>
        <v>0</v>
      </c>
      <c r="AB2580" s="0" t="str">
        <f aca="false">IF(AND(C2579=C2580,Y2579=Y2580-1),Z2579,"")</f>
        <v/>
      </c>
      <c r="AC2580" s="0" t="str">
        <f aca="false">IF(AND(C2579=C2580,Y2579=Y2580-1),AA2579,"")</f>
        <v/>
      </c>
      <c r="AD2580" s="0" t="str">
        <f aca="false">IF(Y2580=1,"",IF(AND(Z2580=1,AB2580&lt;&gt;1),1,0))</f>
        <v/>
      </c>
      <c r="AE2580" s="0" t="str">
        <f aca="false">IF(Y2580=1,"",IF(AND(AA2580=1,AC2580&lt;&gt;1),1,0))</f>
        <v/>
      </c>
      <c r="AF2580" s="45" t="str">
        <f aca="false">IF(AND(E2580&gt;0,Y2580&lt;1,NOT(AND(C2581=C2580,Y2581=Y2580+1))),INDEX(DATAS,Y2580+1),"")</f>
        <v/>
      </c>
      <c r="AG2580" s="45" t="str">
        <f aca="false">IF(AND(AA2580=1,Y2580&lt;1),IF(AND(C2581=C2580,Y2581=Y2580+1),IF(AA2581=1,"",INDEX(DATAS,Y2580+1)),INDEX(DATAS,Y2580+1)),"")</f>
        <v/>
      </c>
    </row>
    <row r="2581" customFormat="false" ht="15" hidden="false" customHeight="false" outlineLevel="0" collapsed="false">
      <c r="A2581" s="45" t="n">
        <v>46309</v>
      </c>
      <c r="B2581" s="0" t="n">
        <v>13</v>
      </c>
      <c r="C2581" s="0" t="n">
        <v>6923</v>
      </c>
      <c r="E2581" s="0" t="n">
        <v>0</v>
      </c>
      <c r="F2581" s="39" t="s">
        <v>1284</v>
      </c>
      <c r="I2581" s="39" t="s">
        <v>146</v>
      </c>
      <c r="U2581" s="0" t="n">
        <v>406</v>
      </c>
      <c r="V2581" s="0" t="n">
        <v>0</v>
      </c>
      <c r="W2581" s="39" t="n">
        <f aca="false">IF(I2581="Male",0,1)</f>
        <v>1</v>
      </c>
      <c r="X2581" s="39" t="n">
        <f aca="false">IF(OR(I2581="DNB",I2581="Dry DNB"),1,0)</f>
        <v>0</v>
      </c>
      <c r="Y2581" s="39" t="n">
        <f aca="false">MATCH(A2581,DATAS,0)</f>
        <v>1</v>
      </c>
      <c r="Z2581" s="39" t="n">
        <f aca="false">IF(AND(E2581&gt;0,OR(AND(B2581&gt;=1,B2581&lt;=6),B2581=10)),1,0)</f>
        <v>0</v>
      </c>
      <c r="AA2581" s="39" t="n">
        <f aca="false">IF(AND(E2581&gt;0,B2581=10),1,0)</f>
        <v>0</v>
      </c>
      <c r="AB2581" s="0" t="str">
        <f aca="false">IF(AND(C2580=C2581,Y2580=Y2581-1),Z2580,"")</f>
        <v/>
      </c>
      <c r="AC2581" s="0" t="str">
        <f aca="false">IF(AND(C2580=C2581,Y2580=Y2581-1),AA2580,"")</f>
        <v/>
      </c>
      <c r="AD2581" s="0" t="str">
        <f aca="false">IF(Y2581=1,"",IF(AND(Z2581=1,AB2581&lt;&gt;1),1,0))</f>
        <v/>
      </c>
      <c r="AE2581" s="0" t="str">
        <f aca="false">IF(Y2581=1,"",IF(AND(AA2581=1,AC2581&lt;&gt;1),1,0))</f>
        <v/>
      </c>
      <c r="AF2581" s="45" t="str">
        <f aca="false">IF(AND(E2581&gt;0,Y2581&lt;1,NOT(AND(C2582=C2581,Y2582=Y2581+1))),INDEX(DATAS,Y2581+1),"")</f>
        <v/>
      </c>
      <c r="AG2581" s="45" t="str">
        <f aca="false">IF(AND(AA2581=1,Y2581&lt;1),IF(AND(C2582=C2581,Y2582=Y2581+1),IF(AA2582=1,"",INDEX(DATAS,Y2581+1)),INDEX(DATAS,Y2581+1)),"")</f>
        <v/>
      </c>
    </row>
    <row r="2582" customFormat="false" ht="15" hidden="false" customHeight="false" outlineLevel="0" collapsed="false">
      <c r="A2582" s="45" t="n">
        <v>46309</v>
      </c>
      <c r="B2582" s="0" t="n">
        <v>11</v>
      </c>
      <c r="C2582" s="0" t="n">
        <v>6924</v>
      </c>
      <c r="E2582" s="0" t="n">
        <v>0</v>
      </c>
      <c r="F2582" s="39" t="s">
        <v>1285</v>
      </c>
      <c r="I2582" s="39" t="s">
        <v>138</v>
      </c>
      <c r="U2582" s="0" t="n">
        <v>405</v>
      </c>
      <c r="V2582" s="0" t="n">
        <v>1</v>
      </c>
      <c r="W2582" s="39" t="n">
        <f aca="false">IF(I2582="Male",0,1)</f>
        <v>1</v>
      </c>
      <c r="X2582" s="39" t="n">
        <f aca="false">IF(OR(I2582="DNB",I2582="Dry DNB"),1,0)</f>
        <v>0</v>
      </c>
      <c r="Y2582" s="39" t="n">
        <f aca="false">MATCH(A2582,DATAS,0)</f>
        <v>1</v>
      </c>
      <c r="Z2582" s="39" t="n">
        <f aca="false">IF(AND(E2582&gt;0,OR(AND(B2582&gt;=1,B2582&lt;=6),B2582=10)),1,0)</f>
        <v>0</v>
      </c>
      <c r="AA2582" s="39" t="n">
        <f aca="false">IF(AND(E2582&gt;0,B2582=10),1,0)</f>
        <v>0</v>
      </c>
      <c r="AB2582" s="0" t="str">
        <f aca="false">IF(AND(C2581=C2582,Y2581=Y2582-1),Z2581,"")</f>
        <v/>
      </c>
      <c r="AC2582" s="0" t="str">
        <f aca="false">IF(AND(C2581=C2582,Y2581=Y2582-1),AA2581,"")</f>
        <v/>
      </c>
      <c r="AD2582" s="0" t="str">
        <f aca="false">IF(Y2582=1,"",IF(AND(Z2582=1,AB2582&lt;&gt;1),1,0))</f>
        <v/>
      </c>
      <c r="AE2582" s="0" t="str">
        <f aca="false">IF(Y2582=1,"",IF(AND(AA2582=1,AC2582&lt;&gt;1),1,0))</f>
        <v/>
      </c>
      <c r="AF2582" s="45" t="str">
        <f aca="false">IF(AND(E2582&gt;0,Y2582&lt;1,NOT(AND(C2583=C2582,Y2583=Y2582+1))),INDEX(DATAS,Y2582+1),"")</f>
        <v/>
      </c>
      <c r="AG2582" s="45" t="str">
        <f aca="false">IF(AND(AA2582=1,Y2582&lt;1),IF(AND(C2583=C2582,Y2583=Y2582+1),IF(AA2583=1,"",INDEX(DATAS,Y2582+1)),INDEX(DATAS,Y2582+1)),"")</f>
        <v/>
      </c>
    </row>
    <row r="2583" customFormat="false" ht="15" hidden="false" customHeight="false" outlineLevel="0" collapsed="false">
      <c r="A2583" s="45" t="n">
        <v>46309</v>
      </c>
      <c r="B2583" s="0" t="n">
        <v>11</v>
      </c>
      <c r="C2583" s="0" t="n">
        <v>6925</v>
      </c>
      <c r="E2583" s="0" t="n">
        <v>0</v>
      </c>
      <c r="F2583" s="39" t="s">
        <v>1285</v>
      </c>
      <c r="I2583" s="39" t="s">
        <v>138</v>
      </c>
      <c r="U2583" s="0" t="n">
        <v>405</v>
      </c>
      <c r="V2583" s="0" t="n">
        <v>1</v>
      </c>
      <c r="W2583" s="39" t="n">
        <f aca="false">IF(I2583="Male",0,1)</f>
        <v>1</v>
      </c>
      <c r="X2583" s="39" t="n">
        <f aca="false">IF(OR(I2583="DNB",I2583="Dry DNB"),1,0)</f>
        <v>0</v>
      </c>
      <c r="Y2583" s="39" t="n">
        <f aca="false">MATCH(A2583,DATAS,0)</f>
        <v>1</v>
      </c>
      <c r="Z2583" s="39" t="n">
        <f aca="false">IF(AND(E2583&gt;0,OR(AND(B2583&gt;=1,B2583&lt;=6),B2583=10)),1,0)</f>
        <v>0</v>
      </c>
      <c r="AA2583" s="39" t="n">
        <f aca="false">IF(AND(E2583&gt;0,B2583=10),1,0)</f>
        <v>0</v>
      </c>
      <c r="AB2583" s="0" t="str">
        <f aca="false">IF(AND(C2582=C2583,Y2582=Y2583-1),Z2582,"")</f>
        <v/>
      </c>
      <c r="AC2583" s="0" t="str">
        <f aca="false">IF(AND(C2582=C2583,Y2582=Y2583-1),AA2582,"")</f>
        <v/>
      </c>
      <c r="AD2583" s="0" t="str">
        <f aca="false">IF(Y2583=1,"",IF(AND(Z2583=1,AB2583&lt;&gt;1),1,0))</f>
        <v/>
      </c>
      <c r="AE2583" s="0" t="str">
        <f aca="false">IF(Y2583=1,"",IF(AND(AA2583=1,AC2583&lt;&gt;1),1,0))</f>
        <v/>
      </c>
      <c r="AF2583" s="45" t="str">
        <f aca="false">IF(AND(E2583&gt;0,Y2583&lt;1,NOT(AND(C2584=C2583,Y2584=Y2583+1))),INDEX(DATAS,Y2583+1),"")</f>
        <v/>
      </c>
      <c r="AG2583" s="45" t="str">
        <f aca="false">IF(AND(AA2583=1,Y2583&lt;1),IF(AND(C2584=C2583,Y2584=Y2583+1),IF(AA2584=1,"",INDEX(DATAS,Y2583+1)),INDEX(DATAS,Y2583+1)),"")</f>
        <v/>
      </c>
    </row>
    <row r="2584" customFormat="false" ht="15" hidden="false" customHeight="false" outlineLevel="0" collapsed="false">
      <c r="A2584" s="45" t="n">
        <v>46309</v>
      </c>
      <c r="B2584" s="0" t="n">
        <v>11</v>
      </c>
      <c r="C2584" s="0" t="n">
        <v>6926</v>
      </c>
      <c r="E2584" s="0" t="n">
        <v>0</v>
      </c>
      <c r="F2584" s="39" t="s">
        <v>1285</v>
      </c>
      <c r="I2584" s="39" t="s">
        <v>138</v>
      </c>
      <c r="U2584" s="0" t="n">
        <v>405</v>
      </c>
      <c r="V2584" s="0" t="n">
        <v>1</v>
      </c>
      <c r="W2584" s="39" t="n">
        <f aca="false">IF(I2584="Male",0,1)</f>
        <v>1</v>
      </c>
      <c r="X2584" s="39" t="n">
        <f aca="false">IF(OR(I2584="DNB",I2584="Dry DNB"),1,0)</f>
        <v>0</v>
      </c>
      <c r="Y2584" s="39" t="n">
        <f aca="false">MATCH(A2584,DATAS,0)</f>
        <v>1</v>
      </c>
      <c r="Z2584" s="39" t="n">
        <f aca="false">IF(AND(E2584&gt;0,OR(AND(B2584&gt;=1,B2584&lt;=6),B2584=10)),1,0)</f>
        <v>0</v>
      </c>
      <c r="AA2584" s="39" t="n">
        <f aca="false">IF(AND(E2584&gt;0,B2584=10),1,0)</f>
        <v>0</v>
      </c>
      <c r="AB2584" s="0" t="str">
        <f aca="false">IF(AND(C2583=C2584,Y2583=Y2584-1),Z2583,"")</f>
        <v/>
      </c>
      <c r="AC2584" s="0" t="str">
        <f aca="false">IF(AND(C2583=C2584,Y2583=Y2584-1),AA2583,"")</f>
        <v/>
      </c>
      <c r="AD2584" s="0" t="str">
        <f aca="false">IF(Y2584=1,"",IF(AND(Z2584=1,AB2584&lt;&gt;1),1,0))</f>
        <v/>
      </c>
      <c r="AE2584" s="0" t="str">
        <f aca="false">IF(Y2584=1,"",IF(AND(AA2584=1,AC2584&lt;&gt;1),1,0))</f>
        <v/>
      </c>
      <c r="AF2584" s="45" t="str">
        <f aca="false">IF(AND(E2584&gt;0,Y2584&lt;1,NOT(AND(C2585=C2584,Y2585=Y2584+1))),INDEX(DATAS,Y2584+1),"")</f>
        <v/>
      </c>
      <c r="AG2584" s="45" t="str">
        <f aca="false">IF(AND(AA2584=1,Y2584&lt;1),IF(AND(C2585=C2584,Y2585=Y2584+1),IF(AA2585=1,"",INDEX(DATAS,Y2584+1)),INDEX(DATAS,Y2584+1)),"")</f>
        <v/>
      </c>
    </row>
    <row r="2585" customFormat="false" ht="15" hidden="false" customHeight="false" outlineLevel="0" collapsed="false">
      <c r="A2585" s="45" t="n">
        <v>46309</v>
      </c>
      <c r="B2585" s="0" t="n">
        <v>13</v>
      </c>
      <c r="C2585" s="0" t="n">
        <v>6927</v>
      </c>
      <c r="E2585" s="0" t="n">
        <v>0</v>
      </c>
      <c r="F2585" s="39" t="s">
        <v>1286</v>
      </c>
      <c r="I2585" s="39" t="s">
        <v>146</v>
      </c>
      <c r="U2585" s="0" t="n">
        <v>403</v>
      </c>
      <c r="V2585" s="0" t="n">
        <v>0</v>
      </c>
      <c r="W2585" s="39" t="n">
        <f aca="false">IF(I2585="Male",0,1)</f>
        <v>1</v>
      </c>
      <c r="X2585" s="39" t="n">
        <f aca="false">IF(OR(I2585="DNB",I2585="Dry DNB"),1,0)</f>
        <v>0</v>
      </c>
      <c r="Y2585" s="39" t="n">
        <f aca="false">MATCH(A2585,DATAS,0)</f>
        <v>1</v>
      </c>
      <c r="Z2585" s="39" t="n">
        <f aca="false">IF(AND(E2585&gt;0,OR(AND(B2585&gt;=1,B2585&lt;=6),B2585=10)),1,0)</f>
        <v>0</v>
      </c>
      <c r="AA2585" s="39" t="n">
        <f aca="false">IF(AND(E2585&gt;0,B2585=10),1,0)</f>
        <v>0</v>
      </c>
      <c r="AB2585" s="0" t="str">
        <f aca="false">IF(AND(C2584=C2585,Y2584=Y2585-1),Z2584,"")</f>
        <v/>
      </c>
      <c r="AC2585" s="0" t="str">
        <f aca="false">IF(AND(C2584=C2585,Y2584=Y2585-1),AA2584,"")</f>
        <v/>
      </c>
      <c r="AD2585" s="0" t="str">
        <f aca="false">IF(Y2585=1,"",IF(AND(Z2585=1,AB2585&lt;&gt;1),1,0))</f>
        <v/>
      </c>
      <c r="AE2585" s="0" t="str">
        <f aca="false">IF(Y2585=1,"",IF(AND(AA2585=1,AC2585&lt;&gt;1),1,0))</f>
        <v/>
      </c>
      <c r="AF2585" s="45" t="str">
        <f aca="false">IF(AND(E2585&gt;0,Y2585&lt;1,NOT(AND(C2586=C2585,Y2586=Y2585+1))),INDEX(DATAS,Y2585+1),"")</f>
        <v/>
      </c>
      <c r="AG2585" s="45" t="str">
        <f aca="false">IF(AND(AA2585=1,Y2585&lt;1),IF(AND(C2586=C2585,Y2586=Y2585+1),IF(AA2586=1,"",INDEX(DATAS,Y2585+1)),INDEX(DATAS,Y2585+1)),"")</f>
        <v/>
      </c>
    </row>
    <row r="2586" customFormat="false" ht="15" hidden="false" customHeight="false" outlineLevel="0" collapsed="false">
      <c r="A2586" s="45" t="n">
        <v>46309</v>
      </c>
      <c r="B2586" s="0" t="n">
        <v>13</v>
      </c>
      <c r="C2586" s="0" t="n">
        <v>6928</v>
      </c>
      <c r="E2586" s="0" t="n">
        <v>0</v>
      </c>
      <c r="F2586" s="39" t="s">
        <v>1287</v>
      </c>
      <c r="I2586" s="39" t="s">
        <v>146</v>
      </c>
      <c r="U2586" s="0" t="n">
        <v>402</v>
      </c>
      <c r="V2586" s="0" t="n">
        <v>0</v>
      </c>
      <c r="W2586" s="39" t="n">
        <f aca="false">IF(I2586="Male",0,1)</f>
        <v>1</v>
      </c>
      <c r="X2586" s="39" t="n">
        <f aca="false">IF(OR(I2586="DNB",I2586="Dry DNB"),1,0)</f>
        <v>0</v>
      </c>
      <c r="Y2586" s="39" t="n">
        <f aca="false">MATCH(A2586,DATAS,0)</f>
        <v>1</v>
      </c>
      <c r="Z2586" s="39" t="n">
        <f aca="false">IF(AND(E2586&gt;0,OR(AND(B2586&gt;=1,B2586&lt;=6),B2586=10)),1,0)</f>
        <v>0</v>
      </c>
      <c r="AA2586" s="39" t="n">
        <f aca="false">IF(AND(E2586&gt;0,B2586=10),1,0)</f>
        <v>0</v>
      </c>
      <c r="AB2586" s="0" t="str">
        <f aca="false">IF(AND(C2585=C2586,Y2585=Y2586-1),Z2585,"")</f>
        <v/>
      </c>
      <c r="AC2586" s="0" t="str">
        <f aca="false">IF(AND(C2585=C2586,Y2585=Y2586-1),AA2585,"")</f>
        <v/>
      </c>
      <c r="AD2586" s="0" t="str">
        <f aca="false">IF(Y2586=1,"",IF(AND(Z2586=1,AB2586&lt;&gt;1),1,0))</f>
        <v/>
      </c>
      <c r="AE2586" s="0" t="str">
        <f aca="false">IF(Y2586=1,"",IF(AND(AA2586=1,AC2586&lt;&gt;1),1,0))</f>
        <v/>
      </c>
      <c r="AF2586" s="45" t="str">
        <f aca="false">IF(AND(E2586&gt;0,Y2586&lt;1,NOT(AND(C2587=C2586,Y2587=Y2586+1))),INDEX(DATAS,Y2586+1),"")</f>
        <v/>
      </c>
      <c r="AG2586" s="45" t="str">
        <f aca="false">IF(AND(AA2586=1,Y2586&lt;1),IF(AND(C2587=C2586,Y2587=Y2586+1),IF(AA2587=1,"",INDEX(DATAS,Y2586+1)),INDEX(DATAS,Y2586+1)),"")</f>
        <v/>
      </c>
    </row>
    <row r="2587" customFormat="false" ht="15" hidden="false" customHeight="false" outlineLevel="0" collapsed="false">
      <c r="A2587" s="45" t="n">
        <v>46309</v>
      </c>
      <c r="B2587" s="0" t="n">
        <v>11</v>
      </c>
      <c r="C2587" s="0" t="n">
        <v>6929</v>
      </c>
      <c r="E2587" s="0" t="n">
        <v>0</v>
      </c>
      <c r="F2587" s="39" t="s">
        <v>1287</v>
      </c>
      <c r="I2587" s="39" t="s">
        <v>138</v>
      </c>
      <c r="U2587" s="0" t="n">
        <v>402</v>
      </c>
      <c r="V2587" s="0" t="n">
        <v>1</v>
      </c>
      <c r="W2587" s="39" t="n">
        <f aca="false">IF(I2587="Male",0,1)</f>
        <v>1</v>
      </c>
      <c r="X2587" s="39" t="n">
        <f aca="false">IF(OR(I2587="DNB",I2587="Dry DNB"),1,0)</f>
        <v>0</v>
      </c>
      <c r="Y2587" s="39" t="n">
        <f aca="false">MATCH(A2587,DATAS,0)</f>
        <v>1</v>
      </c>
      <c r="Z2587" s="39" t="n">
        <f aca="false">IF(AND(E2587&gt;0,OR(AND(B2587&gt;=1,B2587&lt;=6),B2587=10)),1,0)</f>
        <v>0</v>
      </c>
      <c r="AA2587" s="39" t="n">
        <f aca="false">IF(AND(E2587&gt;0,B2587=10),1,0)</f>
        <v>0</v>
      </c>
      <c r="AB2587" s="0" t="str">
        <f aca="false">IF(AND(C2586=C2587,Y2586=Y2587-1),Z2586,"")</f>
        <v/>
      </c>
      <c r="AC2587" s="0" t="str">
        <f aca="false">IF(AND(C2586=C2587,Y2586=Y2587-1),AA2586,"")</f>
        <v/>
      </c>
      <c r="AD2587" s="0" t="str">
        <f aca="false">IF(Y2587=1,"",IF(AND(Z2587=1,AB2587&lt;&gt;1),1,0))</f>
        <v/>
      </c>
      <c r="AE2587" s="0" t="str">
        <f aca="false">IF(Y2587=1,"",IF(AND(AA2587=1,AC2587&lt;&gt;1),1,0))</f>
        <v/>
      </c>
      <c r="AF2587" s="45" t="str">
        <f aca="false">IF(AND(E2587&gt;0,Y2587&lt;1,NOT(AND(C2588=C2587,Y2588=Y2587+1))),INDEX(DATAS,Y2587+1),"")</f>
        <v/>
      </c>
      <c r="AG2587" s="45" t="str">
        <f aca="false">IF(AND(AA2587=1,Y2587&lt;1),IF(AND(C2588=C2587,Y2588=Y2587+1),IF(AA2588=1,"",INDEX(DATAS,Y2587+1)),INDEX(DATAS,Y2587+1)),"")</f>
        <v/>
      </c>
    </row>
    <row r="2588" customFormat="false" ht="15" hidden="false" customHeight="false" outlineLevel="0" collapsed="false">
      <c r="A2588" s="45" t="n">
        <v>46309</v>
      </c>
      <c r="B2588" s="0" t="n">
        <v>13</v>
      </c>
      <c r="C2588" s="0" t="n">
        <v>6930</v>
      </c>
      <c r="E2588" s="0" t="n">
        <v>0</v>
      </c>
      <c r="F2588" s="39" t="s">
        <v>1287</v>
      </c>
      <c r="I2588" s="39" t="s">
        <v>146</v>
      </c>
      <c r="U2588" s="0" t="n">
        <v>402</v>
      </c>
      <c r="V2588" s="0" t="n">
        <v>0</v>
      </c>
      <c r="W2588" s="39" t="n">
        <f aca="false">IF(I2588="Male",0,1)</f>
        <v>1</v>
      </c>
      <c r="X2588" s="39" t="n">
        <f aca="false">IF(OR(I2588="DNB",I2588="Dry DNB"),1,0)</f>
        <v>0</v>
      </c>
      <c r="Y2588" s="39" t="n">
        <f aca="false">MATCH(A2588,DATAS,0)</f>
        <v>1</v>
      </c>
      <c r="Z2588" s="39" t="n">
        <f aca="false">IF(AND(E2588&gt;0,OR(AND(B2588&gt;=1,B2588&lt;=6),B2588=10)),1,0)</f>
        <v>0</v>
      </c>
      <c r="AA2588" s="39" t="n">
        <f aca="false">IF(AND(E2588&gt;0,B2588=10),1,0)</f>
        <v>0</v>
      </c>
      <c r="AB2588" s="0" t="str">
        <f aca="false">IF(AND(C2587=C2588,Y2587=Y2588-1),Z2587,"")</f>
        <v/>
      </c>
      <c r="AC2588" s="0" t="str">
        <f aca="false">IF(AND(C2587=C2588,Y2587=Y2588-1),AA2587,"")</f>
        <v/>
      </c>
      <c r="AD2588" s="0" t="str">
        <f aca="false">IF(Y2588=1,"",IF(AND(Z2588=1,AB2588&lt;&gt;1),1,0))</f>
        <v/>
      </c>
      <c r="AE2588" s="0" t="str">
        <f aca="false">IF(Y2588=1,"",IF(AND(AA2588=1,AC2588&lt;&gt;1),1,0))</f>
        <v/>
      </c>
      <c r="AF2588" s="45" t="str">
        <f aca="false">IF(AND(E2588&gt;0,Y2588&lt;1,NOT(AND(C2589=C2588,Y2589=Y2588+1))),INDEX(DATAS,Y2588+1),"")</f>
        <v/>
      </c>
      <c r="AG2588" s="45" t="str">
        <f aca="false">IF(AND(AA2588=1,Y2588&lt;1),IF(AND(C2589=C2588,Y2589=Y2588+1),IF(AA2589=1,"",INDEX(DATAS,Y2588+1)),INDEX(DATAS,Y2588+1)),"")</f>
        <v/>
      </c>
    </row>
    <row r="2589" customFormat="false" ht="15" hidden="false" customHeight="false" outlineLevel="0" collapsed="false">
      <c r="A2589" s="45" t="n">
        <v>46309</v>
      </c>
      <c r="B2589" s="0" t="n">
        <v>13</v>
      </c>
      <c r="C2589" s="0" t="n">
        <v>6931</v>
      </c>
      <c r="E2589" s="0" t="n">
        <v>0</v>
      </c>
      <c r="F2589" s="39" t="s">
        <v>1288</v>
      </c>
      <c r="I2589" s="39" t="s">
        <v>146</v>
      </c>
      <c r="U2589" s="0" t="n">
        <v>401</v>
      </c>
      <c r="V2589" s="0" t="n">
        <v>0</v>
      </c>
      <c r="W2589" s="39" t="n">
        <f aca="false">IF(I2589="Male",0,1)</f>
        <v>1</v>
      </c>
      <c r="X2589" s="39" t="n">
        <f aca="false">IF(OR(I2589="DNB",I2589="Dry DNB"),1,0)</f>
        <v>0</v>
      </c>
      <c r="Y2589" s="39" t="n">
        <f aca="false">MATCH(A2589,DATAS,0)</f>
        <v>1</v>
      </c>
      <c r="Z2589" s="39" t="n">
        <f aca="false">IF(AND(E2589&gt;0,OR(AND(B2589&gt;=1,B2589&lt;=6),B2589=10)),1,0)</f>
        <v>0</v>
      </c>
      <c r="AA2589" s="39" t="n">
        <f aca="false">IF(AND(E2589&gt;0,B2589=10),1,0)</f>
        <v>0</v>
      </c>
      <c r="AB2589" s="0" t="str">
        <f aca="false">IF(AND(C2588=C2589,Y2588=Y2589-1),Z2588,"")</f>
        <v/>
      </c>
      <c r="AC2589" s="0" t="str">
        <f aca="false">IF(AND(C2588=C2589,Y2588=Y2589-1),AA2588,"")</f>
        <v/>
      </c>
      <c r="AD2589" s="0" t="str">
        <f aca="false">IF(Y2589=1,"",IF(AND(Z2589=1,AB2589&lt;&gt;1),1,0))</f>
        <v/>
      </c>
      <c r="AE2589" s="0" t="str">
        <f aca="false">IF(Y2589=1,"",IF(AND(AA2589=1,AC2589&lt;&gt;1),1,0))</f>
        <v/>
      </c>
      <c r="AF2589" s="45" t="str">
        <f aca="false">IF(AND(E2589&gt;0,Y2589&lt;1,NOT(AND(C2590=C2589,Y2590=Y2589+1))),INDEX(DATAS,Y2589+1),"")</f>
        <v/>
      </c>
      <c r="AG2589" s="45" t="str">
        <f aca="false">IF(AND(AA2589=1,Y2589&lt;1),IF(AND(C2590=C2589,Y2590=Y2589+1),IF(AA2590=1,"",INDEX(DATAS,Y2589+1)),INDEX(DATAS,Y2589+1)),"")</f>
        <v/>
      </c>
    </row>
    <row r="2590" customFormat="false" ht="15" hidden="false" customHeight="false" outlineLevel="0" collapsed="false">
      <c r="A2590" s="45" t="n">
        <v>46309</v>
      </c>
      <c r="B2590" s="0" t="n">
        <v>11</v>
      </c>
      <c r="C2590" s="0" t="n">
        <v>6932</v>
      </c>
      <c r="E2590" s="0" t="n">
        <v>0</v>
      </c>
      <c r="F2590" s="39" t="s">
        <v>1288</v>
      </c>
      <c r="I2590" s="39" t="s">
        <v>138</v>
      </c>
      <c r="U2590" s="0" t="n">
        <v>401</v>
      </c>
      <c r="V2590" s="0" t="n">
        <v>1</v>
      </c>
      <c r="W2590" s="39" t="n">
        <f aca="false">IF(I2590="Male",0,1)</f>
        <v>1</v>
      </c>
      <c r="X2590" s="39" t="n">
        <f aca="false">IF(OR(I2590="DNB",I2590="Dry DNB"),1,0)</f>
        <v>0</v>
      </c>
      <c r="Y2590" s="39" t="n">
        <f aca="false">MATCH(A2590,DATAS,0)</f>
        <v>1</v>
      </c>
      <c r="Z2590" s="39" t="n">
        <f aca="false">IF(AND(E2590&gt;0,OR(AND(B2590&gt;=1,B2590&lt;=6),B2590=10)),1,0)</f>
        <v>0</v>
      </c>
      <c r="AA2590" s="39" t="n">
        <f aca="false">IF(AND(E2590&gt;0,B2590=10),1,0)</f>
        <v>0</v>
      </c>
      <c r="AB2590" s="0" t="str">
        <f aca="false">IF(AND(C2589=C2590,Y2589=Y2590-1),Z2589,"")</f>
        <v/>
      </c>
      <c r="AC2590" s="0" t="str">
        <f aca="false">IF(AND(C2589=C2590,Y2589=Y2590-1),AA2589,"")</f>
        <v/>
      </c>
      <c r="AD2590" s="0" t="str">
        <f aca="false">IF(Y2590=1,"",IF(AND(Z2590=1,AB2590&lt;&gt;1),1,0))</f>
        <v/>
      </c>
      <c r="AE2590" s="0" t="str">
        <f aca="false">IF(Y2590=1,"",IF(AND(AA2590=1,AC2590&lt;&gt;1),1,0))</f>
        <v/>
      </c>
      <c r="AF2590" s="45" t="str">
        <f aca="false">IF(AND(E2590&gt;0,Y2590&lt;1,NOT(AND(C2591=C2590,Y2591=Y2590+1))),INDEX(DATAS,Y2590+1),"")</f>
        <v/>
      </c>
      <c r="AG2590" s="45" t="str">
        <f aca="false">IF(AND(AA2590=1,Y2590&lt;1),IF(AND(C2591=C2590,Y2591=Y2590+1),IF(AA2591=1,"",INDEX(DATAS,Y2590+1)),INDEX(DATAS,Y2590+1)),"")</f>
        <v/>
      </c>
    </row>
    <row r="2591" customFormat="false" ht="15" hidden="false" customHeight="false" outlineLevel="0" collapsed="false">
      <c r="A2591" s="45" t="n">
        <v>46309</v>
      </c>
      <c r="B2591" s="0" t="n">
        <v>13</v>
      </c>
      <c r="C2591" s="0" t="n">
        <v>6933</v>
      </c>
      <c r="E2591" s="0" t="n">
        <v>0</v>
      </c>
      <c r="F2591" s="39" t="s">
        <v>1289</v>
      </c>
      <c r="I2591" s="39" t="s">
        <v>146</v>
      </c>
      <c r="U2591" s="0" t="n">
        <v>400</v>
      </c>
      <c r="V2591" s="0" t="n">
        <v>0</v>
      </c>
      <c r="W2591" s="39" t="n">
        <f aca="false">IF(I2591="Male",0,1)</f>
        <v>1</v>
      </c>
      <c r="X2591" s="39" t="n">
        <f aca="false">IF(OR(I2591="DNB",I2591="Dry DNB"),1,0)</f>
        <v>0</v>
      </c>
      <c r="Y2591" s="39" t="n">
        <f aca="false">MATCH(A2591,DATAS,0)</f>
        <v>1</v>
      </c>
      <c r="Z2591" s="39" t="n">
        <f aca="false">IF(AND(E2591&gt;0,OR(AND(B2591&gt;=1,B2591&lt;=6),B2591=10)),1,0)</f>
        <v>0</v>
      </c>
      <c r="AA2591" s="39" t="n">
        <f aca="false">IF(AND(E2591&gt;0,B2591=10),1,0)</f>
        <v>0</v>
      </c>
      <c r="AB2591" s="0" t="str">
        <f aca="false">IF(AND(C2590=C2591,Y2590=Y2591-1),Z2590,"")</f>
        <v/>
      </c>
      <c r="AC2591" s="0" t="str">
        <f aca="false">IF(AND(C2590=C2591,Y2590=Y2591-1),AA2590,"")</f>
        <v/>
      </c>
      <c r="AD2591" s="0" t="str">
        <f aca="false">IF(Y2591=1,"",IF(AND(Z2591=1,AB2591&lt;&gt;1),1,0))</f>
        <v/>
      </c>
      <c r="AE2591" s="0" t="str">
        <f aca="false">IF(Y2591=1,"",IF(AND(AA2591=1,AC2591&lt;&gt;1),1,0))</f>
        <v/>
      </c>
      <c r="AF2591" s="45" t="str">
        <f aca="false">IF(AND(E2591&gt;0,Y2591&lt;1,NOT(AND(C2592=C2591,Y2592=Y2591+1))),INDEX(DATAS,Y2591+1),"")</f>
        <v/>
      </c>
      <c r="AG2591" s="45" t="str">
        <f aca="false">IF(AND(AA2591=1,Y2591&lt;1),IF(AND(C2592=C2591,Y2592=Y2591+1),IF(AA2592=1,"",INDEX(DATAS,Y2591+1)),INDEX(DATAS,Y2591+1)),"")</f>
        <v/>
      </c>
    </row>
    <row r="2592" customFormat="false" ht="15" hidden="false" customHeight="false" outlineLevel="0" collapsed="false">
      <c r="A2592" s="45" t="n">
        <v>46309</v>
      </c>
      <c r="B2592" s="0" t="n">
        <v>11</v>
      </c>
      <c r="C2592" s="0" t="n">
        <v>6934</v>
      </c>
      <c r="E2592" s="0" t="n">
        <v>0</v>
      </c>
      <c r="F2592" s="39" t="s">
        <v>1289</v>
      </c>
      <c r="I2592" s="39" t="s">
        <v>138</v>
      </c>
      <c r="U2592" s="0" t="n">
        <v>400</v>
      </c>
      <c r="V2592" s="0" t="n">
        <v>1</v>
      </c>
      <c r="W2592" s="39" t="n">
        <f aca="false">IF(I2592="Male",0,1)</f>
        <v>1</v>
      </c>
      <c r="X2592" s="39" t="n">
        <f aca="false">IF(OR(I2592="DNB",I2592="Dry DNB"),1,0)</f>
        <v>0</v>
      </c>
      <c r="Y2592" s="39" t="n">
        <f aca="false">MATCH(A2592,DATAS,0)</f>
        <v>1</v>
      </c>
      <c r="Z2592" s="39" t="n">
        <f aca="false">IF(AND(E2592&gt;0,OR(AND(B2592&gt;=1,B2592&lt;=6),B2592=10)),1,0)</f>
        <v>0</v>
      </c>
      <c r="AA2592" s="39" t="n">
        <f aca="false">IF(AND(E2592&gt;0,B2592=10),1,0)</f>
        <v>0</v>
      </c>
      <c r="AB2592" s="0" t="str">
        <f aca="false">IF(AND(C2591=C2592,Y2591=Y2592-1),Z2591,"")</f>
        <v/>
      </c>
      <c r="AC2592" s="0" t="str">
        <f aca="false">IF(AND(C2591=C2592,Y2591=Y2592-1),AA2591,"")</f>
        <v/>
      </c>
      <c r="AD2592" s="0" t="str">
        <f aca="false">IF(Y2592=1,"",IF(AND(Z2592=1,AB2592&lt;&gt;1),1,0))</f>
        <v/>
      </c>
      <c r="AE2592" s="0" t="str">
        <f aca="false">IF(Y2592=1,"",IF(AND(AA2592=1,AC2592&lt;&gt;1),1,0))</f>
        <v/>
      </c>
      <c r="AF2592" s="45" t="str">
        <f aca="false">IF(AND(E2592&gt;0,Y2592&lt;1,NOT(AND(C2593=C2592,Y2593=Y2592+1))),INDEX(DATAS,Y2592+1),"")</f>
        <v/>
      </c>
      <c r="AG2592" s="45" t="str">
        <f aca="false">IF(AND(AA2592=1,Y2592&lt;1),IF(AND(C2593=C2592,Y2593=Y2592+1),IF(AA2593=1,"",INDEX(DATAS,Y2592+1)),INDEX(DATAS,Y2592+1)),"")</f>
        <v/>
      </c>
    </row>
    <row r="2593" customFormat="false" ht="15" hidden="false" customHeight="false" outlineLevel="0" collapsed="false">
      <c r="A2593" s="45" t="n">
        <v>46309</v>
      </c>
      <c r="B2593" s="0" t="n">
        <v>13</v>
      </c>
      <c r="C2593" s="0" t="n">
        <v>6935</v>
      </c>
      <c r="E2593" s="0" t="n">
        <v>0</v>
      </c>
      <c r="F2593" s="39" t="s">
        <v>1289</v>
      </c>
      <c r="I2593" s="39" t="s">
        <v>146</v>
      </c>
      <c r="U2593" s="0" t="n">
        <v>400</v>
      </c>
      <c r="V2593" s="0" t="n">
        <v>0</v>
      </c>
      <c r="W2593" s="39" t="n">
        <f aca="false">IF(I2593="Male",0,1)</f>
        <v>1</v>
      </c>
      <c r="X2593" s="39" t="n">
        <f aca="false">IF(OR(I2593="DNB",I2593="Dry DNB"),1,0)</f>
        <v>0</v>
      </c>
      <c r="Y2593" s="39" t="n">
        <f aca="false">MATCH(A2593,DATAS,0)</f>
        <v>1</v>
      </c>
      <c r="Z2593" s="39" t="n">
        <f aca="false">IF(AND(E2593&gt;0,OR(AND(B2593&gt;=1,B2593&lt;=6),B2593=10)),1,0)</f>
        <v>0</v>
      </c>
      <c r="AA2593" s="39" t="n">
        <f aca="false">IF(AND(E2593&gt;0,B2593=10),1,0)</f>
        <v>0</v>
      </c>
      <c r="AB2593" s="0" t="str">
        <f aca="false">IF(AND(C2592=C2593,Y2592=Y2593-1),Z2592,"")</f>
        <v/>
      </c>
      <c r="AC2593" s="0" t="str">
        <f aca="false">IF(AND(C2592=C2593,Y2592=Y2593-1),AA2592,"")</f>
        <v/>
      </c>
      <c r="AD2593" s="0" t="str">
        <f aca="false">IF(Y2593=1,"",IF(AND(Z2593=1,AB2593&lt;&gt;1),1,0))</f>
        <v/>
      </c>
      <c r="AE2593" s="0" t="str">
        <f aca="false">IF(Y2593=1,"",IF(AND(AA2593=1,AC2593&lt;&gt;1),1,0))</f>
        <v/>
      </c>
      <c r="AF2593" s="45" t="str">
        <f aca="false">IF(AND(E2593&gt;0,Y2593&lt;1,NOT(AND(C2594=C2593,Y2594=Y2593+1))),INDEX(DATAS,Y2593+1),"")</f>
        <v/>
      </c>
      <c r="AG2593" s="45" t="str">
        <f aca="false">IF(AND(AA2593=1,Y2593&lt;1),IF(AND(C2594=C2593,Y2594=Y2593+1),IF(AA2594=1,"",INDEX(DATAS,Y2593+1)),INDEX(DATAS,Y2593+1)),"")</f>
        <v/>
      </c>
    </row>
    <row r="2594" customFormat="false" ht="15" hidden="false" customHeight="false" outlineLevel="0" collapsed="false">
      <c r="A2594" s="45" t="n">
        <v>46309</v>
      </c>
      <c r="B2594" s="0" t="n">
        <v>13</v>
      </c>
      <c r="C2594" s="0" t="n">
        <v>6937</v>
      </c>
      <c r="E2594" s="0" t="n">
        <v>0</v>
      </c>
      <c r="F2594" s="39" t="s">
        <v>1290</v>
      </c>
      <c r="I2594" s="39" t="s">
        <v>146</v>
      </c>
      <c r="U2594" s="0" t="n">
        <v>399</v>
      </c>
      <c r="V2594" s="0" t="n">
        <v>0</v>
      </c>
      <c r="W2594" s="39" t="n">
        <f aca="false">IF(I2594="Male",0,1)</f>
        <v>1</v>
      </c>
      <c r="X2594" s="39" t="n">
        <f aca="false">IF(OR(I2594="DNB",I2594="Dry DNB"),1,0)</f>
        <v>0</v>
      </c>
      <c r="Y2594" s="39" t="n">
        <f aca="false">MATCH(A2594,DATAS,0)</f>
        <v>1</v>
      </c>
      <c r="Z2594" s="39" t="n">
        <f aca="false">IF(AND(E2594&gt;0,OR(AND(B2594&gt;=1,B2594&lt;=6),B2594=10)),1,0)</f>
        <v>0</v>
      </c>
      <c r="AA2594" s="39" t="n">
        <f aca="false">IF(AND(E2594&gt;0,B2594=10),1,0)</f>
        <v>0</v>
      </c>
      <c r="AB2594" s="0" t="str">
        <f aca="false">IF(AND(C2593=C2594,Y2593=Y2594-1),Z2593,"")</f>
        <v/>
      </c>
      <c r="AC2594" s="0" t="str">
        <f aca="false">IF(AND(C2593=C2594,Y2593=Y2594-1),AA2593,"")</f>
        <v/>
      </c>
      <c r="AD2594" s="0" t="str">
        <f aca="false">IF(Y2594=1,"",IF(AND(Z2594=1,AB2594&lt;&gt;1),1,0))</f>
        <v/>
      </c>
      <c r="AE2594" s="0" t="str">
        <f aca="false">IF(Y2594=1,"",IF(AND(AA2594=1,AC2594&lt;&gt;1),1,0))</f>
        <v/>
      </c>
      <c r="AF2594" s="45" t="str">
        <f aca="false">IF(AND(E2594&gt;0,Y2594&lt;1,NOT(AND(C2595=C2594,Y2595=Y2594+1))),INDEX(DATAS,Y2594+1),"")</f>
        <v/>
      </c>
      <c r="AG2594" s="45" t="str">
        <f aca="false">IF(AND(AA2594=1,Y2594&lt;1),IF(AND(C2595=C2594,Y2595=Y2594+1),IF(AA2595=1,"",INDEX(DATAS,Y2594+1)),INDEX(DATAS,Y2594+1)),"")</f>
        <v/>
      </c>
    </row>
    <row r="2595" customFormat="false" ht="15" hidden="false" customHeight="false" outlineLevel="0" collapsed="false">
      <c r="A2595" s="45" t="n">
        <v>46309</v>
      </c>
      <c r="B2595" s="0" t="n">
        <v>13</v>
      </c>
      <c r="C2595" s="0" t="n">
        <v>6938</v>
      </c>
      <c r="E2595" s="0" t="n">
        <v>0</v>
      </c>
      <c r="F2595" s="39" t="s">
        <v>1290</v>
      </c>
      <c r="I2595" s="39" t="s">
        <v>146</v>
      </c>
      <c r="U2595" s="0" t="n">
        <v>399</v>
      </c>
      <c r="V2595" s="0" t="n">
        <v>0</v>
      </c>
      <c r="W2595" s="39" t="n">
        <f aca="false">IF(I2595="Male",0,1)</f>
        <v>1</v>
      </c>
      <c r="X2595" s="39" t="n">
        <f aca="false">IF(OR(I2595="DNB",I2595="Dry DNB"),1,0)</f>
        <v>0</v>
      </c>
      <c r="Y2595" s="39" t="n">
        <f aca="false">MATCH(A2595,DATAS,0)</f>
        <v>1</v>
      </c>
      <c r="Z2595" s="39" t="n">
        <f aca="false">IF(AND(E2595&gt;0,OR(AND(B2595&gt;=1,B2595&lt;=6),B2595=10)),1,0)</f>
        <v>0</v>
      </c>
      <c r="AA2595" s="39" t="n">
        <f aca="false">IF(AND(E2595&gt;0,B2595=10),1,0)</f>
        <v>0</v>
      </c>
      <c r="AB2595" s="0" t="str">
        <f aca="false">IF(AND(C2594=C2595,Y2594=Y2595-1),Z2594,"")</f>
        <v/>
      </c>
      <c r="AC2595" s="0" t="str">
        <f aca="false">IF(AND(C2594=C2595,Y2594=Y2595-1),AA2594,"")</f>
        <v/>
      </c>
      <c r="AD2595" s="0" t="str">
        <f aca="false">IF(Y2595=1,"",IF(AND(Z2595=1,AB2595&lt;&gt;1),1,0))</f>
        <v/>
      </c>
      <c r="AE2595" s="0" t="str">
        <f aca="false">IF(Y2595=1,"",IF(AND(AA2595=1,AC2595&lt;&gt;1),1,0))</f>
        <v/>
      </c>
      <c r="AF2595" s="45" t="str">
        <f aca="false">IF(AND(E2595&gt;0,Y2595&lt;1,NOT(AND(C2596=C2595,Y2596=Y2595+1))),INDEX(DATAS,Y2595+1),"")</f>
        <v/>
      </c>
      <c r="AG2595" s="45" t="str">
        <f aca="false">IF(AND(AA2595=1,Y2595&lt;1),IF(AND(C2596=C2595,Y2596=Y2595+1),IF(AA2596=1,"",INDEX(DATAS,Y2595+1)),INDEX(DATAS,Y2595+1)),"")</f>
        <v/>
      </c>
    </row>
    <row r="2596" customFormat="false" ht="15" hidden="false" customHeight="false" outlineLevel="0" collapsed="false">
      <c r="A2596" s="45" t="n">
        <v>46309</v>
      </c>
      <c r="B2596" s="0" t="n">
        <v>13</v>
      </c>
      <c r="C2596" s="0" t="n">
        <v>6939</v>
      </c>
      <c r="E2596" s="0" t="n">
        <v>0</v>
      </c>
      <c r="F2596" s="39" t="s">
        <v>1290</v>
      </c>
      <c r="I2596" s="39" t="s">
        <v>146</v>
      </c>
      <c r="U2596" s="0" t="n">
        <v>399</v>
      </c>
      <c r="V2596" s="0" t="n">
        <v>0</v>
      </c>
      <c r="W2596" s="39" t="n">
        <f aca="false">IF(I2596="Male",0,1)</f>
        <v>1</v>
      </c>
      <c r="X2596" s="39" t="n">
        <f aca="false">IF(OR(I2596="DNB",I2596="Dry DNB"),1,0)</f>
        <v>0</v>
      </c>
      <c r="Y2596" s="39" t="n">
        <f aca="false">MATCH(A2596,DATAS,0)</f>
        <v>1</v>
      </c>
      <c r="Z2596" s="39" t="n">
        <f aca="false">IF(AND(E2596&gt;0,OR(AND(B2596&gt;=1,B2596&lt;=6),B2596=10)),1,0)</f>
        <v>0</v>
      </c>
      <c r="AA2596" s="39" t="n">
        <f aca="false">IF(AND(E2596&gt;0,B2596=10),1,0)</f>
        <v>0</v>
      </c>
      <c r="AB2596" s="0" t="str">
        <f aca="false">IF(AND(C2595=C2596,Y2595=Y2596-1),Z2595,"")</f>
        <v/>
      </c>
      <c r="AC2596" s="0" t="str">
        <f aca="false">IF(AND(C2595=C2596,Y2595=Y2596-1),AA2595,"")</f>
        <v/>
      </c>
      <c r="AD2596" s="0" t="str">
        <f aca="false">IF(Y2596=1,"",IF(AND(Z2596=1,AB2596&lt;&gt;1),1,0))</f>
        <v/>
      </c>
      <c r="AE2596" s="0" t="str">
        <f aca="false">IF(Y2596=1,"",IF(AND(AA2596=1,AC2596&lt;&gt;1),1,0))</f>
        <v/>
      </c>
      <c r="AF2596" s="45" t="str">
        <f aca="false">IF(AND(E2596&gt;0,Y2596&lt;1,NOT(AND(C2597=C2596,Y2597=Y2596+1))),INDEX(DATAS,Y2596+1),"")</f>
        <v/>
      </c>
      <c r="AG2596" s="45" t="str">
        <f aca="false">IF(AND(AA2596=1,Y2596&lt;1),IF(AND(C2597=C2596,Y2597=Y2596+1),IF(AA2597=1,"",INDEX(DATAS,Y2596+1)),INDEX(DATAS,Y2596+1)),"")</f>
        <v/>
      </c>
    </row>
    <row r="2597" customFormat="false" ht="15" hidden="false" customHeight="false" outlineLevel="0" collapsed="false">
      <c r="A2597" s="45" t="n">
        <v>46309</v>
      </c>
      <c r="B2597" s="0" t="n">
        <v>13</v>
      </c>
      <c r="C2597" s="0" t="n">
        <v>6940</v>
      </c>
      <c r="E2597" s="0" t="n">
        <v>0</v>
      </c>
      <c r="F2597" s="39" t="s">
        <v>1266</v>
      </c>
      <c r="I2597" s="39" t="s">
        <v>136</v>
      </c>
      <c r="U2597" s="0" t="n">
        <v>395</v>
      </c>
      <c r="V2597" s="0" t="n">
        <v>0</v>
      </c>
      <c r="W2597" s="39" t="n">
        <f aca="false">IF(I2597="Male",0,1)</f>
        <v>1</v>
      </c>
      <c r="X2597" s="39" t="n">
        <f aca="false">IF(OR(I2597="DNB",I2597="Dry DNB"),1,0)</f>
        <v>0</v>
      </c>
      <c r="Y2597" s="39" t="n">
        <f aca="false">MATCH(A2597,DATAS,0)</f>
        <v>1</v>
      </c>
      <c r="Z2597" s="39" t="n">
        <f aca="false">IF(AND(E2597&gt;0,OR(AND(B2597&gt;=1,B2597&lt;=6),B2597=10)),1,0)</f>
        <v>0</v>
      </c>
      <c r="AA2597" s="39" t="n">
        <f aca="false">IF(AND(E2597&gt;0,B2597=10),1,0)</f>
        <v>0</v>
      </c>
      <c r="AB2597" s="0" t="str">
        <f aca="false">IF(AND(C2596=C2597,Y2596=Y2597-1),Z2596,"")</f>
        <v/>
      </c>
      <c r="AC2597" s="0" t="str">
        <f aca="false">IF(AND(C2596=C2597,Y2596=Y2597-1),AA2596,"")</f>
        <v/>
      </c>
      <c r="AD2597" s="0" t="str">
        <f aca="false">IF(Y2597=1,"",IF(AND(Z2597=1,AB2597&lt;&gt;1),1,0))</f>
        <v/>
      </c>
      <c r="AE2597" s="0" t="str">
        <f aca="false">IF(Y2597=1,"",IF(AND(AA2597=1,AC2597&lt;&gt;1),1,0))</f>
        <v/>
      </c>
      <c r="AF2597" s="45" t="str">
        <f aca="false">IF(AND(E2597&gt;0,Y2597&lt;1,NOT(AND(C2598=C2597,Y2598=Y2597+1))),INDEX(DATAS,Y2597+1),"")</f>
        <v/>
      </c>
      <c r="AG2597" s="45" t="str">
        <f aca="false">IF(AND(AA2597=1,Y2597&lt;1),IF(AND(C2598=C2597,Y2598=Y2597+1),IF(AA2598=1,"",INDEX(DATAS,Y2597+1)),INDEX(DATAS,Y2597+1)),"")</f>
        <v/>
      </c>
    </row>
    <row r="2598" customFormat="false" ht="15" hidden="false" customHeight="false" outlineLevel="0" collapsed="false">
      <c r="A2598" s="45" t="n">
        <v>46309</v>
      </c>
      <c r="B2598" s="0" t="n">
        <v>13</v>
      </c>
      <c r="C2598" s="0" t="n">
        <v>6941</v>
      </c>
      <c r="E2598" s="0" t="n">
        <v>0</v>
      </c>
      <c r="F2598" s="39" t="s">
        <v>1266</v>
      </c>
      <c r="I2598" s="39" t="s">
        <v>136</v>
      </c>
      <c r="U2598" s="0" t="n">
        <v>395</v>
      </c>
      <c r="V2598" s="0" t="n">
        <v>0</v>
      </c>
      <c r="W2598" s="39" t="n">
        <f aca="false">IF(I2598="Male",0,1)</f>
        <v>1</v>
      </c>
      <c r="X2598" s="39" t="n">
        <f aca="false">IF(OR(I2598="DNB",I2598="Dry DNB"),1,0)</f>
        <v>0</v>
      </c>
      <c r="Y2598" s="39" t="n">
        <f aca="false">MATCH(A2598,DATAS,0)</f>
        <v>1</v>
      </c>
      <c r="Z2598" s="39" t="n">
        <f aca="false">IF(AND(E2598&gt;0,OR(AND(B2598&gt;=1,B2598&lt;=6),B2598=10)),1,0)</f>
        <v>0</v>
      </c>
      <c r="AA2598" s="39" t="n">
        <f aca="false">IF(AND(E2598&gt;0,B2598=10),1,0)</f>
        <v>0</v>
      </c>
      <c r="AB2598" s="0" t="str">
        <f aca="false">IF(AND(C2597=C2598,Y2597=Y2598-1),Z2597,"")</f>
        <v/>
      </c>
      <c r="AC2598" s="0" t="str">
        <f aca="false">IF(AND(C2597=C2598,Y2597=Y2598-1),AA2597,"")</f>
        <v/>
      </c>
      <c r="AD2598" s="0" t="str">
        <f aca="false">IF(Y2598=1,"",IF(AND(Z2598=1,AB2598&lt;&gt;1),1,0))</f>
        <v/>
      </c>
      <c r="AE2598" s="0" t="str">
        <f aca="false">IF(Y2598=1,"",IF(AND(AA2598=1,AC2598&lt;&gt;1),1,0))</f>
        <v/>
      </c>
      <c r="AF2598" s="45" t="str">
        <f aca="false">IF(AND(E2598&gt;0,Y2598&lt;1,NOT(AND(C2599=C2598,Y2599=Y2598+1))),INDEX(DATAS,Y2598+1),"")</f>
        <v/>
      </c>
      <c r="AG2598" s="45" t="str">
        <f aca="false">IF(AND(AA2598=1,Y2598&lt;1),IF(AND(C2599=C2598,Y2599=Y2598+1),IF(AA2599=1,"",INDEX(DATAS,Y2598+1)),INDEX(DATAS,Y2598+1)),"")</f>
        <v/>
      </c>
    </row>
    <row r="2599" customFormat="false" ht="15" hidden="false" customHeight="false" outlineLevel="0" collapsed="false">
      <c r="A2599" s="45" t="n">
        <v>46309</v>
      </c>
      <c r="B2599" s="0" t="n">
        <v>13</v>
      </c>
      <c r="C2599" s="0" t="n">
        <v>6942</v>
      </c>
      <c r="E2599" s="0" t="n">
        <v>0</v>
      </c>
      <c r="F2599" s="39" t="s">
        <v>1266</v>
      </c>
      <c r="I2599" s="39" t="s">
        <v>136</v>
      </c>
      <c r="U2599" s="0" t="n">
        <v>395</v>
      </c>
      <c r="V2599" s="0" t="n">
        <v>0</v>
      </c>
      <c r="W2599" s="39" t="n">
        <f aca="false">IF(I2599="Male",0,1)</f>
        <v>1</v>
      </c>
      <c r="X2599" s="39" t="n">
        <f aca="false">IF(OR(I2599="DNB",I2599="Dry DNB"),1,0)</f>
        <v>0</v>
      </c>
      <c r="Y2599" s="39" t="n">
        <f aca="false">MATCH(A2599,DATAS,0)</f>
        <v>1</v>
      </c>
      <c r="Z2599" s="39" t="n">
        <f aca="false">IF(AND(E2599&gt;0,OR(AND(B2599&gt;=1,B2599&lt;=6),B2599=10)),1,0)</f>
        <v>0</v>
      </c>
      <c r="AA2599" s="39" t="n">
        <f aca="false">IF(AND(E2599&gt;0,B2599=10),1,0)</f>
        <v>0</v>
      </c>
      <c r="AB2599" s="0" t="str">
        <f aca="false">IF(AND(C2598=C2599,Y2598=Y2599-1),Z2598,"")</f>
        <v/>
      </c>
      <c r="AC2599" s="0" t="str">
        <f aca="false">IF(AND(C2598=C2599,Y2598=Y2599-1),AA2598,"")</f>
        <v/>
      </c>
      <c r="AD2599" s="0" t="str">
        <f aca="false">IF(Y2599=1,"",IF(AND(Z2599=1,AB2599&lt;&gt;1),1,0))</f>
        <v/>
      </c>
      <c r="AE2599" s="0" t="str">
        <f aca="false">IF(Y2599=1,"",IF(AND(AA2599=1,AC2599&lt;&gt;1),1,0))</f>
        <v/>
      </c>
      <c r="AF2599" s="45" t="str">
        <f aca="false">IF(AND(E2599&gt;0,Y2599&lt;1,NOT(AND(C2600=C2599,Y2600=Y2599+1))),INDEX(DATAS,Y2599+1),"")</f>
        <v/>
      </c>
      <c r="AG2599" s="45" t="str">
        <f aca="false">IF(AND(AA2599=1,Y2599&lt;1),IF(AND(C2600=C2599,Y2600=Y2599+1),IF(AA2600=1,"",INDEX(DATAS,Y2599+1)),INDEX(DATAS,Y2599+1)),"")</f>
        <v/>
      </c>
    </row>
    <row r="2600" customFormat="false" ht="15" hidden="false" customHeight="false" outlineLevel="0" collapsed="false">
      <c r="A2600" s="45" t="n">
        <v>46309</v>
      </c>
      <c r="B2600" s="0" t="n">
        <v>13</v>
      </c>
      <c r="C2600" s="0" t="n">
        <v>6943</v>
      </c>
      <c r="E2600" s="0" t="n">
        <v>0</v>
      </c>
      <c r="F2600" s="39" t="s">
        <v>1266</v>
      </c>
      <c r="I2600" s="39" t="s">
        <v>136</v>
      </c>
      <c r="U2600" s="0" t="n">
        <v>395</v>
      </c>
      <c r="V2600" s="0" t="n">
        <v>0</v>
      </c>
      <c r="W2600" s="39" t="n">
        <f aca="false">IF(I2600="Male",0,1)</f>
        <v>1</v>
      </c>
      <c r="X2600" s="39" t="n">
        <f aca="false">IF(OR(I2600="DNB",I2600="Dry DNB"),1,0)</f>
        <v>0</v>
      </c>
      <c r="Y2600" s="39" t="n">
        <f aca="false">MATCH(A2600,DATAS,0)</f>
        <v>1</v>
      </c>
      <c r="Z2600" s="39" t="n">
        <f aca="false">IF(AND(E2600&gt;0,OR(AND(B2600&gt;=1,B2600&lt;=6),B2600=10)),1,0)</f>
        <v>0</v>
      </c>
      <c r="AA2600" s="39" t="n">
        <f aca="false">IF(AND(E2600&gt;0,B2600=10),1,0)</f>
        <v>0</v>
      </c>
      <c r="AB2600" s="0" t="str">
        <f aca="false">IF(AND(C2599=C2600,Y2599=Y2600-1),Z2599,"")</f>
        <v/>
      </c>
      <c r="AC2600" s="0" t="str">
        <f aca="false">IF(AND(C2599=C2600,Y2599=Y2600-1),AA2599,"")</f>
        <v/>
      </c>
      <c r="AD2600" s="0" t="str">
        <f aca="false">IF(Y2600=1,"",IF(AND(Z2600=1,AB2600&lt;&gt;1),1,0))</f>
        <v/>
      </c>
      <c r="AE2600" s="0" t="str">
        <f aca="false">IF(Y2600=1,"",IF(AND(AA2600=1,AC2600&lt;&gt;1),1,0))</f>
        <v/>
      </c>
      <c r="AF2600" s="45" t="str">
        <f aca="false">IF(AND(E2600&gt;0,Y2600&lt;1,NOT(AND(C2601=C2600,Y2601=Y2600+1))),INDEX(DATAS,Y2600+1),"")</f>
        <v/>
      </c>
      <c r="AG2600" s="45" t="str">
        <f aca="false">IF(AND(AA2600=1,Y2600&lt;1),IF(AND(C2601=C2600,Y2601=Y2600+1),IF(AA2601=1,"",INDEX(DATAS,Y2600+1)),INDEX(DATAS,Y2600+1)),"")</f>
        <v/>
      </c>
    </row>
    <row r="2601" customFormat="false" ht="15" hidden="false" customHeight="false" outlineLevel="0" collapsed="false">
      <c r="A2601" s="45" t="n">
        <v>46309</v>
      </c>
      <c r="B2601" s="0" t="n">
        <v>13</v>
      </c>
      <c r="C2601" s="0" t="n">
        <v>6944</v>
      </c>
      <c r="E2601" s="0" t="n">
        <v>0</v>
      </c>
      <c r="F2601" s="39" t="s">
        <v>1266</v>
      </c>
      <c r="I2601" s="39" t="s">
        <v>136</v>
      </c>
      <c r="U2601" s="0" t="n">
        <v>395</v>
      </c>
      <c r="V2601" s="0" t="n">
        <v>0</v>
      </c>
      <c r="W2601" s="39" t="n">
        <f aca="false">IF(I2601="Male",0,1)</f>
        <v>1</v>
      </c>
      <c r="X2601" s="39" t="n">
        <f aca="false">IF(OR(I2601="DNB",I2601="Dry DNB"),1,0)</f>
        <v>0</v>
      </c>
      <c r="Y2601" s="39" t="n">
        <f aca="false">MATCH(A2601,DATAS,0)</f>
        <v>1</v>
      </c>
      <c r="Z2601" s="39" t="n">
        <f aca="false">IF(AND(E2601&gt;0,OR(AND(B2601&gt;=1,B2601&lt;=6),B2601=10)),1,0)</f>
        <v>0</v>
      </c>
      <c r="AA2601" s="39" t="n">
        <f aca="false">IF(AND(E2601&gt;0,B2601=10),1,0)</f>
        <v>0</v>
      </c>
      <c r="AB2601" s="0" t="str">
        <f aca="false">IF(AND(C2600=C2601,Y2600=Y2601-1),Z2600,"")</f>
        <v/>
      </c>
      <c r="AC2601" s="0" t="str">
        <f aca="false">IF(AND(C2600=C2601,Y2600=Y2601-1),AA2600,"")</f>
        <v/>
      </c>
      <c r="AD2601" s="0" t="str">
        <f aca="false">IF(Y2601=1,"",IF(AND(Z2601=1,AB2601&lt;&gt;1),1,0))</f>
        <v/>
      </c>
      <c r="AE2601" s="0" t="str">
        <f aca="false">IF(Y2601=1,"",IF(AND(AA2601=1,AC2601&lt;&gt;1),1,0))</f>
        <v/>
      </c>
      <c r="AF2601" s="45" t="str">
        <f aca="false">IF(AND(E2601&gt;0,Y2601&lt;1,NOT(AND(C2602=C2601,Y2602=Y2601+1))),INDEX(DATAS,Y2601+1),"")</f>
        <v/>
      </c>
      <c r="AG2601" s="45" t="str">
        <f aca="false">IF(AND(AA2601=1,Y2601&lt;1),IF(AND(C2602=C2601,Y2602=Y2601+1),IF(AA2602=1,"",INDEX(DATAS,Y2601+1)),INDEX(DATAS,Y2601+1)),"")</f>
        <v/>
      </c>
    </row>
    <row r="2602" customFormat="false" ht="15" hidden="false" customHeight="false" outlineLevel="0" collapsed="false">
      <c r="A2602" s="45" t="n">
        <v>46309</v>
      </c>
      <c r="B2602" s="0" t="n">
        <v>13</v>
      </c>
      <c r="C2602" s="0" t="n">
        <v>6945</v>
      </c>
      <c r="E2602" s="0" t="n">
        <v>0</v>
      </c>
      <c r="F2602" s="39" t="s">
        <v>1266</v>
      </c>
      <c r="I2602" s="39" t="s">
        <v>136</v>
      </c>
      <c r="U2602" s="0" t="n">
        <v>395</v>
      </c>
      <c r="V2602" s="0" t="n">
        <v>0</v>
      </c>
      <c r="W2602" s="39" t="n">
        <f aca="false">IF(I2602="Male",0,1)</f>
        <v>1</v>
      </c>
      <c r="X2602" s="39" t="n">
        <f aca="false">IF(OR(I2602="DNB",I2602="Dry DNB"),1,0)</f>
        <v>0</v>
      </c>
      <c r="Y2602" s="39" t="n">
        <f aca="false">MATCH(A2602,DATAS,0)</f>
        <v>1</v>
      </c>
      <c r="Z2602" s="39" t="n">
        <f aca="false">IF(AND(E2602&gt;0,OR(AND(B2602&gt;=1,B2602&lt;=6),B2602=10)),1,0)</f>
        <v>0</v>
      </c>
      <c r="AA2602" s="39" t="n">
        <f aca="false">IF(AND(E2602&gt;0,B2602=10),1,0)</f>
        <v>0</v>
      </c>
      <c r="AB2602" s="0" t="str">
        <f aca="false">IF(AND(C2601=C2602,Y2601=Y2602-1),Z2601,"")</f>
        <v/>
      </c>
      <c r="AC2602" s="0" t="str">
        <f aca="false">IF(AND(C2601=C2602,Y2601=Y2602-1),AA2601,"")</f>
        <v/>
      </c>
      <c r="AD2602" s="0" t="str">
        <f aca="false">IF(Y2602=1,"",IF(AND(Z2602=1,AB2602&lt;&gt;1),1,0))</f>
        <v/>
      </c>
      <c r="AE2602" s="0" t="str">
        <f aca="false">IF(Y2602=1,"",IF(AND(AA2602=1,AC2602&lt;&gt;1),1,0))</f>
        <v/>
      </c>
      <c r="AF2602" s="45" t="str">
        <f aca="false">IF(AND(E2602&gt;0,Y2602&lt;1,NOT(AND(C2603=C2602,Y2603=Y2602+1))),INDEX(DATAS,Y2602+1),"")</f>
        <v/>
      </c>
      <c r="AG2602" s="45" t="str">
        <f aca="false">IF(AND(AA2602=1,Y2602&lt;1),IF(AND(C2603=C2602,Y2603=Y2602+1),IF(AA2603=1,"",INDEX(DATAS,Y2602+1)),INDEX(DATAS,Y2602+1)),"")</f>
        <v/>
      </c>
    </row>
    <row r="2603" customFormat="false" ht="15" hidden="false" customHeight="false" outlineLevel="0" collapsed="false">
      <c r="A2603" s="45" t="n">
        <v>46309</v>
      </c>
      <c r="B2603" s="0" t="n">
        <v>13</v>
      </c>
      <c r="C2603" s="0" t="n">
        <v>6946</v>
      </c>
      <c r="E2603" s="0" t="n">
        <v>0</v>
      </c>
      <c r="F2603" s="39" t="s">
        <v>1266</v>
      </c>
      <c r="I2603" s="39" t="s">
        <v>136</v>
      </c>
      <c r="U2603" s="0" t="n">
        <v>395</v>
      </c>
      <c r="V2603" s="0" t="n">
        <v>0</v>
      </c>
      <c r="W2603" s="39" t="n">
        <f aca="false">IF(I2603="Male",0,1)</f>
        <v>1</v>
      </c>
      <c r="X2603" s="39" t="n">
        <f aca="false">IF(OR(I2603="DNB",I2603="Dry DNB"),1,0)</f>
        <v>0</v>
      </c>
      <c r="Y2603" s="39" t="n">
        <f aca="false">MATCH(A2603,DATAS,0)</f>
        <v>1</v>
      </c>
      <c r="Z2603" s="39" t="n">
        <f aca="false">IF(AND(E2603&gt;0,OR(AND(B2603&gt;=1,B2603&lt;=6),B2603=10)),1,0)</f>
        <v>0</v>
      </c>
      <c r="AA2603" s="39" t="n">
        <f aca="false">IF(AND(E2603&gt;0,B2603=10),1,0)</f>
        <v>0</v>
      </c>
      <c r="AB2603" s="0" t="str">
        <f aca="false">IF(AND(C2602=C2603,Y2602=Y2603-1),Z2602,"")</f>
        <v/>
      </c>
      <c r="AC2603" s="0" t="str">
        <f aca="false">IF(AND(C2602=C2603,Y2602=Y2603-1),AA2602,"")</f>
        <v/>
      </c>
      <c r="AD2603" s="0" t="str">
        <f aca="false">IF(Y2603=1,"",IF(AND(Z2603=1,AB2603&lt;&gt;1),1,0))</f>
        <v/>
      </c>
      <c r="AE2603" s="0" t="str">
        <f aca="false">IF(Y2603=1,"",IF(AND(AA2603=1,AC2603&lt;&gt;1),1,0))</f>
        <v/>
      </c>
      <c r="AF2603" s="45" t="str">
        <f aca="false">IF(AND(E2603&gt;0,Y2603&lt;1,NOT(AND(C2604=C2603,Y2604=Y2603+1))),INDEX(DATAS,Y2603+1),"")</f>
        <v/>
      </c>
      <c r="AG2603" s="45" t="str">
        <f aca="false">IF(AND(AA2603=1,Y2603&lt;1),IF(AND(C2604=C2603,Y2604=Y2603+1),IF(AA2604=1,"",INDEX(DATAS,Y2603+1)),INDEX(DATAS,Y2603+1)),"")</f>
        <v/>
      </c>
    </row>
    <row r="2604" customFormat="false" ht="15" hidden="false" customHeight="false" outlineLevel="0" collapsed="false">
      <c r="A2604" s="45" t="n">
        <v>46309</v>
      </c>
      <c r="B2604" s="0" t="n">
        <v>13</v>
      </c>
      <c r="C2604" s="0" t="n">
        <v>6947</v>
      </c>
      <c r="E2604" s="0" t="n">
        <v>0</v>
      </c>
      <c r="F2604" s="39" t="s">
        <v>1291</v>
      </c>
      <c r="I2604" s="39" t="s">
        <v>136</v>
      </c>
      <c r="U2604" s="0" t="n">
        <v>394</v>
      </c>
      <c r="V2604" s="0" t="n">
        <v>0</v>
      </c>
      <c r="W2604" s="39" t="n">
        <f aca="false">IF(I2604="Male",0,1)</f>
        <v>1</v>
      </c>
      <c r="X2604" s="39" t="n">
        <f aca="false">IF(OR(I2604="DNB",I2604="Dry DNB"),1,0)</f>
        <v>0</v>
      </c>
      <c r="Y2604" s="39" t="n">
        <f aca="false">MATCH(A2604,DATAS,0)</f>
        <v>1</v>
      </c>
      <c r="Z2604" s="39" t="n">
        <f aca="false">IF(AND(E2604&gt;0,OR(AND(B2604&gt;=1,B2604&lt;=6),B2604=10)),1,0)</f>
        <v>0</v>
      </c>
      <c r="AA2604" s="39" t="n">
        <f aca="false">IF(AND(E2604&gt;0,B2604=10),1,0)</f>
        <v>0</v>
      </c>
      <c r="AB2604" s="0" t="str">
        <f aca="false">IF(AND(C2603=C2604,Y2603=Y2604-1),Z2603,"")</f>
        <v/>
      </c>
      <c r="AC2604" s="0" t="str">
        <f aca="false">IF(AND(C2603=C2604,Y2603=Y2604-1),AA2603,"")</f>
        <v/>
      </c>
      <c r="AD2604" s="0" t="str">
        <f aca="false">IF(Y2604=1,"",IF(AND(Z2604=1,AB2604&lt;&gt;1),1,0))</f>
        <v/>
      </c>
      <c r="AE2604" s="0" t="str">
        <f aca="false">IF(Y2604=1,"",IF(AND(AA2604=1,AC2604&lt;&gt;1),1,0))</f>
        <v/>
      </c>
      <c r="AF2604" s="45" t="str">
        <f aca="false">IF(AND(E2604&gt;0,Y2604&lt;1,NOT(AND(C2605=C2604,Y2605=Y2604+1))),INDEX(DATAS,Y2604+1),"")</f>
        <v/>
      </c>
      <c r="AG2604" s="45" t="str">
        <f aca="false">IF(AND(AA2604=1,Y2604&lt;1),IF(AND(C2605=C2604,Y2605=Y2604+1),IF(AA2605=1,"",INDEX(DATAS,Y2604+1)),INDEX(DATAS,Y2604+1)),"")</f>
        <v/>
      </c>
    </row>
    <row r="2605" customFormat="false" ht="15" hidden="false" customHeight="false" outlineLevel="0" collapsed="false">
      <c r="A2605" s="45" t="n">
        <v>46309</v>
      </c>
      <c r="B2605" s="0" t="n">
        <v>13</v>
      </c>
      <c r="C2605" s="0" t="n">
        <v>6948</v>
      </c>
      <c r="E2605" s="0" t="n">
        <v>0</v>
      </c>
      <c r="F2605" s="39" t="s">
        <v>1291</v>
      </c>
      <c r="I2605" s="39" t="s">
        <v>136</v>
      </c>
      <c r="U2605" s="0" t="n">
        <v>394</v>
      </c>
      <c r="V2605" s="0" t="n">
        <v>0</v>
      </c>
      <c r="W2605" s="39" t="n">
        <f aca="false">IF(I2605="Male",0,1)</f>
        <v>1</v>
      </c>
      <c r="X2605" s="39" t="n">
        <f aca="false">IF(OR(I2605="DNB",I2605="Dry DNB"),1,0)</f>
        <v>0</v>
      </c>
      <c r="Y2605" s="39" t="n">
        <f aca="false">MATCH(A2605,DATAS,0)</f>
        <v>1</v>
      </c>
      <c r="Z2605" s="39" t="n">
        <f aca="false">IF(AND(E2605&gt;0,OR(AND(B2605&gt;=1,B2605&lt;=6),B2605=10)),1,0)</f>
        <v>0</v>
      </c>
      <c r="AA2605" s="39" t="n">
        <f aca="false">IF(AND(E2605&gt;0,B2605=10),1,0)</f>
        <v>0</v>
      </c>
      <c r="AB2605" s="0" t="str">
        <f aca="false">IF(AND(C2604=C2605,Y2604=Y2605-1),Z2604,"")</f>
        <v/>
      </c>
      <c r="AC2605" s="0" t="str">
        <f aca="false">IF(AND(C2604=C2605,Y2604=Y2605-1),AA2604,"")</f>
        <v/>
      </c>
      <c r="AD2605" s="0" t="str">
        <f aca="false">IF(Y2605=1,"",IF(AND(Z2605=1,AB2605&lt;&gt;1),1,0))</f>
        <v/>
      </c>
      <c r="AE2605" s="0" t="str">
        <f aca="false">IF(Y2605=1,"",IF(AND(AA2605=1,AC2605&lt;&gt;1),1,0))</f>
        <v/>
      </c>
      <c r="AF2605" s="45" t="str">
        <f aca="false">IF(AND(E2605&gt;0,Y2605&lt;1,NOT(AND(C2606=C2605,Y2606=Y2605+1))),INDEX(DATAS,Y2605+1),"")</f>
        <v/>
      </c>
      <c r="AG2605" s="45" t="str">
        <f aca="false">IF(AND(AA2605=1,Y2605&lt;1),IF(AND(C2606=C2605,Y2606=Y2605+1),IF(AA2606=1,"",INDEX(DATAS,Y2605+1)),INDEX(DATAS,Y2605+1)),"")</f>
        <v/>
      </c>
    </row>
    <row r="2606" customFormat="false" ht="15" hidden="false" customHeight="false" outlineLevel="0" collapsed="false">
      <c r="A2606" s="45" t="n">
        <v>46309</v>
      </c>
      <c r="B2606" s="0" t="n">
        <v>13</v>
      </c>
      <c r="C2606" s="0" t="n">
        <v>6949</v>
      </c>
      <c r="E2606" s="0" t="n">
        <v>0</v>
      </c>
      <c r="F2606" s="39" t="s">
        <v>1291</v>
      </c>
      <c r="I2606" s="39" t="s">
        <v>136</v>
      </c>
      <c r="U2606" s="0" t="n">
        <v>394</v>
      </c>
      <c r="V2606" s="0" t="n">
        <v>0</v>
      </c>
      <c r="W2606" s="39" t="n">
        <f aca="false">IF(I2606="Male",0,1)</f>
        <v>1</v>
      </c>
      <c r="X2606" s="39" t="n">
        <f aca="false">IF(OR(I2606="DNB",I2606="Dry DNB"),1,0)</f>
        <v>0</v>
      </c>
      <c r="Y2606" s="39" t="n">
        <f aca="false">MATCH(A2606,DATAS,0)</f>
        <v>1</v>
      </c>
      <c r="Z2606" s="39" t="n">
        <f aca="false">IF(AND(E2606&gt;0,OR(AND(B2606&gt;=1,B2606&lt;=6),B2606=10)),1,0)</f>
        <v>0</v>
      </c>
      <c r="AA2606" s="39" t="n">
        <f aca="false">IF(AND(E2606&gt;0,B2606=10),1,0)</f>
        <v>0</v>
      </c>
      <c r="AB2606" s="0" t="str">
        <f aca="false">IF(AND(C2605=C2606,Y2605=Y2606-1),Z2605,"")</f>
        <v/>
      </c>
      <c r="AC2606" s="0" t="str">
        <f aca="false">IF(AND(C2605=C2606,Y2605=Y2606-1),AA2605,"")</f>
        <v/>
      </c>
      <c r="AD2606" s="0" t="str">
        <f aca="false">IF(Y2606=1,"",IF(AND(Z2606=1,AB2606&lt;&gt;1),1,0))</f>
        <v/>
      </c>
      <c r="AE2606" s="0" t="str">
        <f aca="false">IF(Y2606=1,"",IF(AND(AA2606=1,AC2606&lt;&gt;1),1,0))</f>
        <v/>
      </c>
      <c r="AF2606" s="45" t="str">
        <f aca="false">IF(AND(E2606&gt;0,Y2606&lt;1,NOT(AND(C2607=C2606,Y2607=Y2606+1))),INDEX(DATAS,Y2606+1),"")</f>
        <v/>
      </c>
      <c r="AG2606" s="45" t="str">
        <f aca="false">IF(AND(AA2606=1,Y2606&lt;1),IF(AND(C2607=C2606,Y2607=Y2606+1),IF(AA2607=1,"",INDEX(DATAS,Y2606+1)),INDEX(DATAS,Y2606+1)),"")</f>
        <v/>
      </c>
    </row>
    <row r="2607" customFormat="false" ht="15" hidden="false" customHeight="false" outlineLevel="0" collapsed="false">
      <c r="A2607" s="45" t="n">
        <v>46309</v>
      </c>
      <c r="B2607" s="0" t="n">
        <v>13</v>
      </c>
      <c r="C2607" s="0" t="n">
        <v>6950</v>
      </c>
      <c r="E2607" s="0" t="n">
        <v>0</v>
      </c>
      <c r="F2607" s="39" t="s">
        <v>1291</v>
      </c>
      <c r="I2607" s="39" t="s">
        <v>136</v>
      </c>
      <c r="U2607" s="0" t="n">
        <v>394</v>
      </c>
      <c r="V2607" s="0" t="n">
        <v>0</v>
      </c>
      <c r="W2607" s="39" t="n">
        <f aca="false">IF(I2607="Male",0,1)</f>
        <v>1</v>
      </c>
      <c r="X2607" s="39" t="n">
        <f aca="false">IF(OR(I2607="DNB",I2607="Dry DNB"),1,0)</f>
        <v>0</v>
      </c>
      <c r="Y2607" s="39" t="n">
        <f aca="false">MATCH(A2607,DATAS,0)</f>
        <v>1</v>
      </c>
      <c r="Z2607" s="39" t="n">
        <f aca="false">IF(AND(E2607&gt;0,OR(AND(B2607&gt;=1,B2607&lt;=6),B2607=10)),1,0)</f>
        <v>0</v>
      </c>
      <c r="AA2607" s="39" t="n">
        <f aca="false">IF(AND(E2607&gt;0,B2607=10),1,0)</f>
        <v>0</v>
      </c>
      <c r="AB2607" s="0" t="str">
        <f aca="false">IF(AND(C2606=C2607,Y2606=Y2607-1),Z2606,"")</f>
        <v/>
      </c>
      <c r="AC2607" s="0" t="str">
        <f aca="false">IF(AND(C2606=C2607,Y2606=Y2607-1),AA2606,"")</f>
        <v/>
      </c>
      <c r="AD2607" s="0" t="str">
        <f aca="false">IF(Y2607=1,"",IF(AND(Z2607=1,AB2607&lt;&gt;1),1,0))</f>
        <v/>
      </c>
      <c r="AE2607" s="0" t="str">
        <f aca="false">IF(Y2607=1,"",IF(AND(AA2607=1,AC2607&lt;&gt;1),1,0))</f>
        <v/>
      </c>
      <c r="AF2607" s="45" t="str">
        <f aca="false">IF(AND(E2607&gt;0,Y2607&lt;1,NOT(AND(C2608=C2607,Y2608=Y2607+1))),INDEX(DATAS,Y2607+1),"")</f>
        <v/>
      </c>
      <c r="AG2607" s="45" t="str">
        <f aca="false">IF(AND(AA2607=1,Y2607&lt;1),IF(AND(C2608=C2607,Y2608=Y2607+1),IF(AA2608=1,"",INDEX(DATAS,Y2607+1)),INDEX(DATAS,Y2607+1)),"")</f>
        <v/>
      </c>
    </row>
    <row r="2608" customFormat="false" ht="15" hidden="false" customHeight="false" outlineLevel="0" collapsed="false">
      <c r="A2608" s="45" t="n">
        <v>46309</v>
      </c>
      <c r="B2608" s="0" t="n">
        <v>13</v>
      </c>
      <c r="C2608" s="0" t="n">
        <v>6951</v>
      </c>
      <c r="E2608" s="0" t="n">
        <v>0</v>
      </c>
      <c r="F2608" s="39" t="s">
        <v>1292</v>
      </c>
      <c r="I2608" s="39" t="s">
        <v>136</v>
      </c>
      <c r="U2608" s="0" t="n">
        <v>393</v>
      </c>
      <c r="V2608" s="0" t="n">
        <v>0</v>
      </c>
      <c r="W2608" s="39" t="n">
        <f aca="false">IF(I2608="Male",0,1)</f>
        <v>1</v>
      </c>
      <c r="X2608" s="39" t="n">
        <f aca="false">IF(OR(I2608="DNB",I2608="Dry DNB"),1,0)</f>
        <v>0</v>
      </c>
      <c r="Y2608" s="39" t="n">
        <f aca="false">MATCH(A2608,DATAS,0)</f>
        <v>1</v>
      </c>
      <c r="Z2608" s="39" t="n">
        <f aca="false">IF(AND(E2608&gt;0,OR(AND(B2608&gt;=1,B2608&lt;=6),B2608=10)),1,0)</f>
        <v>0</v>
      </c>
      <c r="AA2608" s="39" t="n">
        <f aca="false">IF(AND(E2608&gt;0,B2608=10),1,0)</f>
        <v>0</v>
      </c>
      <c r="AB2608" s="0" t="str">
        <f aca="false">IF(AND(C2607=C2608,Y2607=Y2608-1),Z2607,"")</f>
        <v/>
      </c>
      <c r="AC2608" s="0" t="str">
        <f aca="false">IF(AND(C2607=C2608,Y2607=Y2608-1),AA2607,"")</f>
        <v/>
      </c>
      <c r="AD2608" s="0" t="str">
        <f aca="false">IF(Y2608=1,"",IF(AND(Z2608=1,AB2608&lt;&gt;1),1,0))</f>
        <v/>
      </c>
      <c r="AE2608" s="0" t="str">
        <f aca="false">IF(Y2608=1,"",IF(AND(AA2608=1,AC2608&lt;&gt;1),1,0))</f>
        <v/>
      </c>
      <c r="AF2608" s="45" t="str">
        <f aca="false">IF(AND(E2608&gt;0,Y2608&lt;1,NOT(AND(C2609=C2608,Y2609=Y2608+1))),INDEX(DATAS,Y2608+1),"")</f>
        <v/>
      </c>
      <c r="AG2608" s="45" t="str">
        <f aca="false">IF(AND(AA2608=1,Y2608&lt;1),IF(AND(C2609=C2608,Y2609=Y2608+1),IF(AA2609=1,"",INDEX(DATAS,Y2608+1)),INDEX(DATAS,Y2608+1)),"")</f>
        <v/>
      </c>
    </row>
    <row r="2609" customFormat="false" ht="15" hidden="false" customHeight="false" outlineLevel="0" collapsed="false">
      <c r="A2609" s="45" t="n">
        <v>46309</v>
      </c>
      <c r="B2609" s="0" t="n">
        <v>13</v>
      </c>
      <c r="C2609" s="0" t="n">
        <v>6953</v>
      </c>
      <c r="E2609" s="0" t="n">
        <v>0</v>
      </c>
      <c r="F2609" s="39" t="s">
        <v>1292</v>
      </c>
      <c r="I2609" s="39" t="s">
        <v>136</v>
      </c>
      <c r="U2609" s="0" t="n">
        <v>393</v>
      </c>
      <c r="V2609" s="0" t="n">
        <v>0</v>
      </c>
      <c r="W2609" s="39" t="n">
        <f aca="false">IF(I2609="Male",0,1)</f>
        <v>1</v>
      </c>
      <c r="X2609" s="39" t="n">
        <f aca="false">IF(OR(I2609="DNB",I2609="Dry DNB"),1,0)</f>
        <v>0</v>
      </c>
      <c r="Y2609" s="39" t="n">
        <f aca="false">MATCH(A2609,DATAS,0)</f>
        <v>1</v>
      </c>
      <c r="Z2609" s="39" t="n">
        <f aca="false">IF(AND(E2609&gt;0,OR(AND(B2609&gt;=1,B2609&lt;=6),B2609=10)),1,0)</f>
        <v>0</v>
      </c>
      <c r="AA2609" s="39" t="n">
        <f aca="false">IF(AND(E2609&gt;0,B2609=10),1,0)</f>
        <v>0</v>
      </c>
      <c r="AB2609" s="0" t="str">
        <f aca="false">IF(AND(C2608=C2609,Y2608=Y2609-1),Z2608,"")</f>
        <v/>
      </c>
      <c r="AC2609" s="0" t="str">
        <f aca="false">IF(AND(C2608=C2609,Y2608=Y2609-1),AA2608,"")</f>
        <v/>
      </c>
      <c r="AD2609" s="0" t="str">
        <f aca="false">IF(Y2609=1,"",IF(AND(Z2609=1,AB2609&lt;&gt;1),1,0))</f>
        <v/>
      </c>
      <c r="AE2609" s="0" t="str">
        <f aca="false">IF(Y2609=1,"",IF(AND(AA2609=1,AC2609&lt;&gt;1),1,0))</f>
        <v/>
      </c>
      <c r="AF2609" s="45" t="str">
        <f aca="false">IF(AND(E2609&gt;0,Y2609&lt;1,NOT(AND(C2610=C2609,Y2610=Y2609+1))),INDEX(DATAS,Y2609+1),"")</f>
        <v/>
      </c>
      <c r="AG2609" s="45" t="str">
        <f aca="false">IF(AND(AA2609=1,Y2609&lt;1),IF(AND(C2610=C2609,Y2610=Y2609+1),IF(AA2610=1,"",INDEX(DATAS,Y2609+1)),INDEX(DATAS,Y2609+1)),"")</f>
        <v/>
      </c>
    </row>
    <row r="2610" customFormat="false" ht="15" hidden="false" customHeight="false" outlineLevel="0" collapsed="false">
      <c r="A2610" s="45" t="n">
        <v>46309</v>
      </c>
      <c r="B2610" s="0" t="n">
        <v>13</v>
      </c>
      <c r="C2610" s="0" t="n">
        <v>6954</v>
      </c>
      <c r="E2610" s="0" t="n">
        <v>0</v>
      </c>
      <c r="F2610" s="39" t="s">
        <v>1292</v>
      </c>
      <c r="I2610" s="39" t="s">
        <v>136</v>
      </c>
      <c r="U2610" s="0" t="n">
        <v>393</v>
      </c>
      <c r="V2610" s="0" t="n">
        <v>0</v>
      </c>
      <c r="W2610" s="39" t="n">
        <f aca="false">IF(I2610="Male",0,1)</f>
        <v>1</v>
      </c>
      <c r="X2610" s="39" t="n">
        <f aca="false">IF(OR(I2610="DNB",I2610="Dry DNB"),1,0)</f>
        <v>0</v>
      </c>
      <c r="Y2610" s="39" t="n">
        <f aca="false">MATCH(A2610,DATAS,0)</f>
        <v>1</v>
      </c>
      <c r="Z2610" s="39" t="n">
        <f aca="false">IF(AND(E2610&gt;0,OR(AND(B2610&gt;=1,B2610&lt;=6),B2610=10)),1,0)</f>
        <v>0</v>
      </c>
      <c r="AA2610" s="39" t="n">
        <f aca="false">IF(AND(E2610&gt;0,B2610=10),1,0)</f>
        <v>0</v>
      </c>
      <c r="AB2610" s="0" t="str">
        <f aca="false">IF(AND(C2609=C2610,Y2609=Y2610-1),Z2609,"")</f>
        <v/>
      </c>
      <c r="AC2610" s="0" t="str">
        <f aca="false">IF(AND(C2609=C2610,Y2609=Y2610-1),AA2609,"")</f>
        <v/>
      </c>
      <c r="AD2610" s="0" t="str">
        <f aca="false">IF(Y2610=1,"",IF(AND(Z2610=1,AB2610&lt;&gt;1),1,0))</f>
        <v/>
      </c>
      <c r="AE2610" s="0" t="str">
        <f aca="false">IF(Y2610=1,"",IF(AND(AA2610=1,AC2610&lt;&gt;1),1,0))</f>
        <v/>
      </c>
      <c r="AF2610" s="45" t="str">
        <f aca="false">IF(AND(E2610&gt;0,Y2610&lt;1,NOT(AND(C2611=C2610,Y2611=Y2610+1))),INDEX(DATAS,Y2610+1),"")</f>
        <v/>
      </c>
      <c r="AG2610" s="45" t="str">
        <f aca="false">IF(AND(AA2610=1,Y2610&lt;1),IF(AND(C2611=C2610,Y2611=Y2610+1),IF(AA2611=1,"",INDEX(DATAS,Y2610+1)),INDEX(DATAS,Y2610+1)),"")</f>
        <v/>
      </c>
    </row>
    <row r="2611" customFormat="false" ht="15" hidden="false" customHeight="false" outlineLevel="0" collapsed="false">
      <c r="A2611" s="45" t="n">
        <v>46309</v>
      </c>
      <c r="B2611" s="0" t="n">
        <v>11</v>
      </c>
      <c r="C2611" s="0" t="n">
        <v>6955</v>
      </c>
      <c r="E2611" s="0" t="n">
        <v>0</v>
      </c>
      <c r="F2611" s="39" t="s">
        <v>1292</v>
      </c>
      <c r="I2611" s="39" t="s">
        <v>138</v>
      </c>
      <c r="U2611" s="0" t="n">
        <v>393</v>
      </c>
      <c r="V2611" s="0" t="n">
        <v>1</v>
      </c>
      <c r="W2611" s="39" t="n">
        <f aca="false">IF(I2611="Male",0,1)</f>
        <v>1</v>
      </c>
      <c r="X2611" s="39" t="n">
        <f aca="false">IF(OR(I2611="DNB",I2611="Dry DNB"),1,0)</f>
        <v>0</v>
      </c>
      <c r="Y2611" s="39" t="n">
        <f aca="false">MATCH(A2611,DATAS,0)</f>
        <v>1</v>
      </c>
      <c r="Z2611" s="39" t="n">
        <f aca="false">IF(AND(E2611&gt;0,OR(AND(B2611&gt;=1,B2611&lt;=6),B2611=10)),1,0)</f>
        <v>0</v>
      </c>
      <c r="AA2611" s="39" t="n">
        <f aca="false">IF(AND(E2611&gt;0,B2611=10),1,0)</f>
        <v>0</v>
      </c>
      <c r="AB2611" s="0" t="str">
        <f aca="false">IF(AND(C2610=C2611,Y2610=Y2611-1),Z2610,"")</f>
        <v/>
      </c>
      <c r="AC2611" s="0" t="str">
        <f aca="false">IF(AND(C2610=C2611,Y2610=Y2611-1),AA2610,"")</f>
        <v/>
      </c>
      <c r="AD2611" s="0" t="str">
        <f aca="false">IF(Y2611=1,"",IF(AND(Z2611=1,AB2611&lt;&gt;1),1,0))</f>
        <v/>
      </c>
      <c r="AE2611" s="0" t="str">
        <f aca="false">IF(Y2611=1,"",IF(AND(AA2611=1,AC2611&lt;&gt;1),1,0))</f>
        <v/>
      </c>
      <c r="AF2611" s="45" t="str">
        <f aca="false">IF(AND(E2611&gt;0,Y2611&lt;1,NOT(AND(C2612=C2611,Y2612=Y2611+1))),INDEX(DATAS,Y2611+1),"")</f>
        <v/>
      </c>
      <c r="AG2611" s="45" t="str">
        <f aca="false">IF(AND(AA2611=1,Y2611&lt;1),IF(AND(C2612=C2611,Y2612=Y2611+1),IF(AA2612=1,"",INDEX(DATAS,Y2611+1)),INDEX(DATAS,Y2611+1)),"")</f>
        <v/>
      </c>
    </row>
    <row r="2612" customFormat="false" ht="15" hidden="false" customHeight="false" outlineLevel="0" collapsed="false">
      <c r="A2612" s="45" t="n">
        <v>46309</v>
      </c>
      <c r="B2612" s="0" t="n">
        <v>13</v>
      </c>
      <c r="C2612" s="0" t="n">
        <v>6957</v>
      </c>
      <c r="E2612" s="0" t="n">
        <v>0</v>
      </c>
      <c r="F2612" s="39" t="s">
        <v>1293</v>
      </c>
      <c r="I2612" s="39" t="s">
        <v>136</v>
      </c>
      <c r="U2612" s="0" t="n">
        <v>392</v>
      </c>
      <c r="V2612" s="0" t="n">
        <v>0</v>
      </c>
      <c r="W2612" s="39" t="n">
        <f aca="false">IF(I2612="Male",0,1)</f>
        <v>1</v>
      </c>
      <c r="X2612" s="39" t="n">
        <f aca="false">IF(OR(I2612="DNB",I2612="Dry DNB"),1,0)</f>
        <v>0</v>
      </c>
      <c r="Y2612" s="39" t="n">
        <f aca="false">MATCH(A2612,DATAS,0)</f>
        <v>1</v>
      </c>
      <c r="Z2612" s="39" t="n">
        <f aca="false">IF(AND(E2612&gt;0,OR(AND(B2612&gt;=1,B2612&lt;=6),B2612=10)),1,0)</f>
        <v>0</v>
      </c>
      <c r="AA2612" s="39" t="n">
        <f aca="false">IF(AND(E2612&gt;0,B2612=10),1,0)</f>
        <v>0</v>
      </c>
      <c r="AB2612" s="0" t="str">
        <f aca="false">IF(AND(C2611=C2612,Y2611=Y2612-1),Z2611,"")</f>
        <v/>
      </c>
      <c r="AC2612" s="0" t="str">
        <f aca="false">IF(AND(C2611=C2612,Y2611=Y2612-1),AA2611,"")</f>
        <v/>
      </c>
      <c r="AD2612" s="0" t="str">
        <f aca="false">IF(Y2612=1,"",IF(AND(Z2612=1,AB2612&lt;&gt;1),1,0))</f>
        <v/>
      </c>
      <c r="AE2612" s="0" t="str">
        <f aca="false">IF(Y2612=1,"",IF(AND(AA2612=1,AC2612&lt;&gt;1),1,0))</f>
        <v/>
      </c>
      <c r="AF2612" s="45" t="str">
        <f aca="false">IF(AND(E2612&gt;0,Y2612&lt;1,NOT(AND(C2613=C2612,Y2613=Y2612+1))),INDEX(DATAS,Y2612+1),"")</f>
        <v/>
      </c>
      <c r="AG2612" s="45" t="str">
        <f aca="false">IF(AND(AA2612=1,Y2612&lt;1),IF(AND(C2613=C2612,Y2613=Y2612+1),IF(AA2613=1,"",INDEX(DATAS,Y2612+1)),INDEX(DATAS,Y2612+1)),"")</f>
        <v/>
      </c>
    </row>
    <row r="2613" customFormat="false" ht="15" hidden="false" customHeight="false" outlineLevel="0" collapsed="false">
      <c r="A2613" s="45" t="n">
        <v>46309</v>
      </c>
      <c r="B2613" s="0" t="n">
        <v>13</v>
      </c>
      <c r="C2613" s="0" t="n">
        <v>6958</v>
      </c>
      <c r="E2613" s="0" t="n">
        <v>0</v>
      </c>
      <c r="F2613" s="39" t="s">
        <v>1294</v>
      </c>
      <c r="I2613" s="39" t="s">
        <v>136</v>
      </c>
      <c r="U2613" s="0" t="n">
        <v>391</v>
      </c>
      <c r="V2613" s="0" t="n">
        <v>0</v>
      </c>
      <c r="W2613" s="39" t="n">
        <f aca="false">IF(I2613="Male",0,1)</f>
        <v>1</v>
      </c>
      <c r="X2613" s="39" t="n">
        <f aca="false">IF(OR(I2613="DNB",I2613="Dry DNB"),1,0)</f>
        <v>0</v>
      </c>
      <c r="Y2613" s="39" t="n">
        <f aca="false">MATCH(A2613,DATAS,0)</f>
        <v>1</v>
      </c>
      <c r="Z2613" s="39" t="n">
        <f aca="false">IF(AND(E2613&gt;0,OR(AND(B2613&gt;=1,B2613&lt;=6),B2613=10)),1,0)</f>
        <v>0</v>
      </c>
      <c r="AA2613" s="39" t="n">
        <f aca="false">IF(AND(E2613&gt;0,B2613=10),1,0)</f>
        <v>0</v>
      </c>
      <c r="AB2613" s="0" t="str">
        <f aca="false">IF(AND(C2612=C2613,Y2612=Y2613-1),Z2612,"")</f>
        <v/>
      </c>
      <c r="AC2613" s="0" t="str">
        <f aca="false">IF(AND(C2612=C2613,Y2612=Y2613-1),AA2612,"")</f>
        <v/>
      </c>
      <c r="AD2613" s="0" t="str">
        <f aca="false">IF(Y2613=1,"",IF(AND(Z2613=1,AB2613&lt;&gt;1),1,0))</f>
        <v/>
      </c>
      <c r="AE2613" s="0" t="str">
        <f aca="false">IF(Y2613=1,"",IF(AND(AA2613=1,AC2613&lt;&gt;1),1,0))</f>
        <v/>
      </c>
      <c r="AF2613" s="45" t="str">
        <f aca="false">IF(AND(E2613&gt;0,Y2613&lt;1,NOT(AND(C2614=C2613,Y2614=Y2613+1))),INDEX(DATAS,Y2613+1),"")</f>
        <v/>
      </c>
      <c r="AG2613" s="45" t="str">
        <f aca="false">IF(AND(AA2613=1,Y2613&lt;1),IF(AND(C2614=C2613,Y2614=Y2613+1),IF(AA2614=1,"",INDEX(DATAS,Y2613+1)),INDEX(DATAS,Y2613+1)),"")</f>
        <v/>
      </c>
    </row>
    <row r="2614" customFormat="false" ht="15" hidden="false" customHeight="false" outlineLevel="0" collapsed="false">
      <c r="A2614" s="45" t="n">
        <v>46309</v>
      </c>
      <c r="B2614" s="0" t="n">
        <v>13</v>
      </c>
      <c r="C2614" s="0" t="n">
        <v>6959</v>
      </c>
      <c r="E2614" s="0" t="n">
        <v>0</v>
      </c>
      <c r="F2614" s="39" t="s">
        <v>1294</v>
      </c>
      <c r="I2614" s="39" t="s">
        <v>136</v>
      </c>
      <c r="U2614" s="0" t="n">
        <v>391</v>
      </c>
      <c r="V2614" s="0" t="n">
        <v>0</v>
      </c>
      <c r="W2614" s="39" t="n">
        <f aca="false">IF(I2614="Male",0,1)</f>
        <v>1</v>
      </c>
      <c r="X2614" s="39" t="n">
        <f aca="false">IF(OR(I2614="DNB",I2614="Dry DNB"),1,0)</f>
        <v>0</v>
      </c>
      <c r="Y2614" s="39" t="n">
        <f aca="false">MATCH(A2614,DATAS,0)</f>
        <v>1</v>
      </c>
      <c r="Z2614" s="39" t="n">
        <f aca="false">IF(AND(E2614&gt;0,OR(AND(B2614&gt;=1,B2614&lt;=6),B2614=10)),1,0)</f>
        <v>0</v>
      </c>
      <c r="AA2614" s="39" t="n">
        <f aca="false">IF(AND(E2614&gt;0,B2614=10),1,0)</f>
        <v>0</v>
      </c>
      <c r="AB2614" s="0" t="str">
        <f aca="false">IF(AND(C2613=C2614,Y2613=Y2614-1),Z2613,"")</f>
        <v/>
      </c>
      <c r="AC2614" s="0" t="str">
        <f aca="false">IF(AND(C2613=C2614,Y2613=Y2614-1),AA2613,"")</f>
        <v/>
      </c>
      <c r="AD2614" s="0" t="str">
        <f aca="false">IF(Y2614=1,"",IF(AND(Z2614=1,AB2614&lt;&gt;1),1,0))</f>
        <v/>
      </c>
      <c r="AE2614" s="0" t="str">
        <f aca="false">IF(Y2614=1,"",IF(AND(AA2614=1,AC2614&lt;&gt;1),1,0))</f>
        <v/>
      </c>
      <c r="AF2614" s="45" t="str">
        <f aca="false">IF(AND(E2614&gt;0,Y2614&lt;1,NOT(AND(C2615=C2614,Y2615=Y2614+1))),INDEX(DATAS,Y2614+1),"")</f>
        <v/>
      </c>
      <c r="AG2614" s="45" t="str">
        <f aca="false">IF(AND(AA2614=1,Y2614&lt;1),IF(AND(C2615=C2614,Y2615=Y2614+1),IF(AA2615=1,"",INDEX(DATAS,Y2614+1)),INDEX(DATAS,Y2614+1)),"")</f>
        <v/>
      </c>
    </row>
    <row r="2615" customFormat="false" ht="15" hidden="false" customHeight="false" outlineLevel="0" collapsed="false">
      <c r="A2615" s="45" t="n">
        <v>46309</v>
      </c>
      <c r="B2615" s="0" t="n">
        <v>13</v>
      </c>
      <c r="C2615" s="0" t="n">
        <v>6960</v>
      </c>
      <c r="E2615" s="0" t="n">
        <v>0</v>
      </c>
      <c r="F2615" s="39" t="s">
        <v>1294</v>
      </c>
      <c r="I2615" s="39" t="s">
        <v>136</v>
      </c>
      <c r="U2615" s="0" t="n">
        <v>391</v>
      </c>
      <c r="V2615" s="0" t="n">
        <v>0</v>
      </c>
      <c r="W2615" s="39" t="n">
        <f aca="false">IF(I2615="Male",0,1)</f>
        <v>1</v>
      </c>
      <c r="X2615" s="39" t="n">
        <f aca="false">IF(OR(I2615="DNB",I2615="Dry DNB"),1,0)</f>
        <v>0</v>
      </c>
      <c r="Y2615" s="39" t="n">
        <f aca="false">MATCH(A2615,DATAS,0)</f>
        <v>1</v>
      </c>
      <c r="Z2615" s="39" t="n">
        <f aca="false">IF(AND(E2615&gt;0,OR(AND(B2615&gt;=1,B2615&lt;=6),B2615=10)),1,0)</f>
        <v>0</v>
      </c>
      <c r="AA2615" s="39" t="n">
        <f aca="false">IF(AND(E2615&gt;0,B2615=10),1,0)</f>
        <v>0</v>
      </c>
      <c r="AB2615" s="0" t="str">
        <f aca="false">IF(AND(C2614=C2615,Y2614=Y2615-1),Z2614,"")</f>
        <v/>
      </c>
      <c r="AC2615" s="0" t="str">
        <f aca="false">IF(AND(C2614=C2615,Y2614=Y2615-1),AA2614,"")</f>
        <v/>
      </c>
      <c r="AD2615" s="0" t="str">
        <f aca="false">IF(Y2615=1,"",IF(AND(Z2615=1,AB2615&lt;&gt;1),1,0))</f>
        <v/>
      </c>
      <c r="AE2615" s="0" t="str">
        <f aca="false">IF(Y2615=1,"",IF(AND(AA2615=1,AC2615&lt;&gt;1),1,0))</f>
        <v/>
      </c>
      <c r="AF2615" s="45" t="str">
        <f aca="false">IF(AND(E2615&gt;0,Y2615&lt;1,NOT(AND(C2616=C2615,Y2616=Y2615+1))),INDEX(DATAS,Y2615+1),"")</f>
        <v/>
      </c>
      <c r="AG2615" s="45" t="str">
        <f aca="false">IF(AND(AA2615=1,Y2615&lt;1),IF(AND(C2616=C2615,Y2616=Y2615+1),IF(AA2616=1,"",INDEX(DATAS,Y2615+1)),INDEX(DATAS,Y2615+1)),"")</f>
        <v/>
      </c>
    </row>
    <row r="2616" customFormat="false" ht="15" hidden="false" customHeight="false" outlineLevel="0" collapsed="false">
      <c r="A2616" s="45" t="n">
        <v>46309</v>
      </c>
      <c r="B2616" s="0" t="n">
        <v>13</v>
      </c>
      <c r="C2616" s="0" t="n">
        <v>6961</v>
      </c>
      <c r="E2616" s="0" t="n">
        <v>0</v>
      </c>
      <c r="F2616" s="39" t="s">
        <v>1295</v>
      </c>
      <c r="I2616" s="39" t="s">
        <v>136</v>
      </c>
      <c r="U2616" s="0" t="n">
        <v>390</v>
      </c>
      <c r="V2616" s="0" t="n">
        <v>0</v>
      </c>
      <c r="W2616" s="39" t="n">
        <f aca="false">IF(I2616="Male",0,1)</f>
        <v>1</v>
      </c>
      <c r="X2616" s="39" t="n">
        <f aca="false">IF(OR(I2616="DNB",I2616="Dry DNB"),1,0)</f>
        <v>0</v>
      </c>
      <c r="Y2616" s="39" t="n">
        <f aca="false">MATCH(A2616,DATAS,0)</f>
        <v>1</v>
      </c>
      <c r="Z2616" s="39" t="n">
        <f aca="false">IF(AND(E2616&gt;0,OR(AND(B2616&gt;=1,B2616&lt;=6),B2616=10)),1,0)</f>
        <v>0</v>
      </c>
      <c r="AA2616" s="39" t="n">
        <f aca="false">IF(AND(E2616&gt;0,B2616=10),1,0)</f>
        <v>0</v>
      </c>
      <c r="AB2616" s="0" t="str">
        <f aca="false">IF(AND(C2615=C2616,Y2615=Y2616-1),Z2615,"")</f>
        <v/>
      </c>
      <c r="AC2616" s="0" t="str">
        <f aca="false">IF(AND(C2615=C2616,Y2615=Y2616-1),AA2615,"")</f>
        <v/>
      </c>
      <c r="AD2616" s="0" t="str">
        <f aca="false">IF(Y2616=1,"",IF(AND(Z2616=1,AB2616&lt;&gt;1),1,0))</f>
        <v/>
      </c>
      <c r="AE2616" s="0" t="str">
        <f aca="false">IF(Y2616=1,"",IF(AND(AA2616=1,AC2616&lt;&gt;1),1,0))</f>
        <v/>
      </c>
      <c r="AF2616" s="45" t="str">
        <f aca="false">IF(AND(E2616&gt;0,Y2616&lt;1,NOT(AND(C2617=C2616,Y2617=Y2616+1))),INDEX(DATAS,Y2616+1),"")</f>
        <v/>
      </c>
      <c r="AG2616" s="45" t="str">
        <f aca="false">IF(AND(AA2616=1,Y2616&lt;1),IF(AND(C2617=C2616,Y2617=Y2616+1),IF(AA2617=1,"",INDEX(DATAS,Y2616+1)),INDEX(DATAS,Y2616+1)),"")</f>
        <v/>
      </c>
    </row>
    <row r="2617" customFormat="false" ht="15" hidden="false" customHeight="false" outlineLevel="0" collapsed="false">
      <c r="A2617" s="45" t="n">
        <v>46309</v>
      </c>
      <c r="B2617" s="0" t="n">
        <v>13</v>
      </c>
      <c r="C2617" s="0" t="n">
        <v>6962</v>
      </c>
      <c r="E2617" s="0" t="n">
        <v>0</v>
      </c>
      <c r="F2617" s="39" t="s">
        <v>1295</v>
      </c>
      <c r="I2617" s="39" t="s">
        <v>136</v>
      </c>
      <c r="U2617" s="0" t="n">
        <v>390</v>
      </c>
      <c r="V2617" s="0" t="n">
        <v>0</v>
      </c>
      <c r="W2617" s="39" t="n">
        <f aca="false">IF(I2617="Male",0,1)</f>
        <v>1</v>
      </c>
      <c r="X2617" s="39" t="n">
        <f aca="false">IF(OR(I2617="DNB",I2617="Dry DNB"),1,0)</f>
        <v>0</v>
      </c>
      <c r="Y2617" s="39" t="n">
        <f aca="false">MATCH(A2617,DATAS,0)</f>
        <v>1</v>
      </c>
      <c r="Z2617" s="39" t="n">
        <f aca="false">IF(AND(E2617&gt;0,OR(AND(B2617&gt;=1,B2617&lt;=6),B2617=10)),1,0)</f>
        <v>0</v>
      </c>
      <c r="AA2617" s="39" t="n">
        <f aca="false">IF(AND(E2617&gt;0,B2617=10),1,0)</f>
        <v>0</v>
      </c>
      <c r="AB2617" s="0" t="str">
        <f aca="false">IF(AND(C2616=C2617,Y2616=Y2617-1),Z2616,"")</f>
        <v/>
      </c>
      <c r="AC2617" s="0" t="str">
        <f aca="false">IF(AND(C2616=C2617,Y2616=Y2617-1),AA2616,"")</f>
        <v/>
      </c>
      <c r="AD2617" s="0" t="str">
        <f aca="false">IF(Y2617=1,"",IF(AND(Z2617=1,AB2617&lt;&gt;1),1,0))</f>
        <v/>
      </c>
      <c r="AE2617" s="0" t="str">
        <f aca="false">IF(Y2617=1,"",IF(AND(AA2617=1,AC2617&lt;&gt;1),1,0))</f>
        <v/>
      </c>
      <c r="AF2617" s="45" t="str">
        <f aca="false">IF(AND(E2617&gt;0,Y2617&lt;1,NOT(AND(C2618=C2617,Y2618=Y2617+1))),INDEX(DATAS,Y2617+1),"")</f>
        <v/>
      </c>
      <c r="AG2617" s="45" t="str">
        <f aca="false">IF(AND(AA2617=1,Y2617&lt;1),IF(AND(C2618=C2617,Y2618=Y2617+1),IF(AA2618=1,"",INDEX(DATAS,Y2617+1)),INDEX(DATAS,Y2617+1)),"")</f>
        <v/>
      </c>
    </row>
    <row r="2618" customFormat="false" ht="15" hidden="false" customHeight="false" outlineLevel="0" collapsed="false">
      <c r="A2618" s="45" t="n">
        <v>46309</v>
      </c>
      <c r="B2618" s="0" t="n">
        <v>13</v>
      </c>
      <c r="C2618" s="0" t="n">
        <v>6963</v>
      </c>
      <c r="E2618" s="0" t="n">
        <v>0</v>
      </c>
      <c r="F2618" s="39" t="s">
        <v>1295</v>
      </c>
      <c r="I2618" s="39" t="s">
        <v>136</v>
      </c>
      <c r="U2618" s="0" t="n">
        <v>390</v>
      </c>
      <c r="V2618" s="0" t="n">
        <v>0</v>
      </c>
      <c r="W2618" s="39" t="n">
        <f aca="false">IF(I2618="Male",0,1)</f>
        <v>1</v>
      </c>
      <c r="X2618" s="39" t="n">
        <f aca="false">IF(OR(I2618="DNB",I2618="Dry DNB"),1,0)</f>
        <v>0</v>
      </c>
      <c r="Y2618" s="39" t="n">
        <f aca="false">MATCH(A2618,DATAS,0)</f>
        <v>1</v>
      </c>
      <c r="Z2618" s="39" t="n">
        <f aca="false">IF(AND(E2618&gt;0,OR(AND(B2618&gt;=1,B2618&lt;=6),B2618=10)),1,0)</f>
        <v>0</v>
      </c>
      <c r="AA2618" s="39" t="n">
        <f aca="false">IF(AND(E2618&gt;0,B2618=10),1,0)</f>
        <v>0</v>
      </c>
      <c r="AB2618" s="0" t="str">
        <f aca="false">IF(AND(C2617=C2618,Y2617=Y2618-1),Z2617,"")</f>
        <v/>
      </c>
      <c r="AC2618" s="0" t="str">
        <f aca="false">IF(AND(C2617=C2618,Y2617=Y2618-1),AA2617,"")</f>
        <v/>
      </c>
      <c r="AD2618" s="0" t="str">
        <f aca="false">IF(Y2618=1,"",IF(AND(Z2618=1,AB2618&lt;&gt;1),1,0))</f>
        <v/>
      </c>
      <c r="AE2618" s="0" t="str">
        <f aca="false">IF(Y2618=1,"",IF(AND(AA2618=1,AC2618&lt;&gt;1),1,0))</f>
        <v/>
      </c>
      <c r="AF2618" s="45" t="str">
        <f aca="false">IF(AND(E2618&gt;0,Y2618&lt;1,NOT(AND(C2619=C2618,Y2619=Y2618+1))),INDEX(DATAS,Y2618+1),"")</f>
        <v/>
      </c>
      <c r="AG2618" s="45" t="str">
        <f aca="false">IF(AND(AA2618=1,Y2618&lt;1),IF(AND(C2619=C2618,Y2619=Y2618+1),IF(AA2619=1,"",INDEX(DATAS,Y2618+1)),INDEX(DATAS,Y2618+1)),"")</f>
        <v/>
      </c>
    </row>
    <row r="2619" customFormat="false" ht="15" hidden="false" customHeight="false" outlineLevel="0" collapsed="false">
      <c r="A2619" s="45" t="n">
        <v>46309</v>
      </c>
      <c r="B2619" s="0" t="n">
        <v>13</v>
      </c>
      <c r="C2619" s="0" t="n">
        <v>6964</v>
      </c>
      <c r="E2619" s="0" t="n">
        <v>0</v>
      </c>
      <c r="F2619" s="39" t="s">
        <v>1295</v>
      </c>
      <c r="I2619" s="39" t="s">
        <v>136</v>
      </c>
      <c r="U2619" s="0" t="n">
        <v>390</v>
      </c>
      <c r="V2619" s="0" t="n">
        <v>0</v>
      </c>
      <c r="W2619" s="39" t="n">
        <f aca="false">IF(I2619="Male",0,1)</f>
        <v>1</v>
      </c>
      <c r="X2619" s="39" t="n">
        <f aca="false">IF(OR(I2619="DNB",I2619="Dry DNB"),1,0)</f>
        <v>0</v>
      </c>
      <c r="Y2619" s="39" t="n">
        <f aca="false">MATCH(A2619,DATAS,0)</f>
        <v>1</v>
      </c>
      <c r="Z2619" s="39" t="n">
        <f aca="false">IF(AND(E2619&gt;0,OR(AND(B2619&gt;=1,B2619&lt;=6),B2619=10)),1,0)</f>
        <v>0</v>
      </c>
      <c r="AA2619" s="39" t="n">
        <f aca="false">IF(AND(E2619&gt;0,B2619=10),1,0)</f>
        <v>0</v>
      </c>
      <c r="AB2619" s="0" t="str">
        <f aca="false">IF(AND(C2618=C2619,Y2618=Y2619-1),Z2618,"")</f>
        <v/>
      </c>
      <c r="AC2619" s="0" t="str">
        <f aca="false">IF(AND(C2618=C2619,Y2618=Y2619-1),AA2618,"")</f>
        <v/>
      </c>
      <c r="AD2619" s="0" t="str">
        <f aca="false">IF(Y2619=1,"",IF(AND(Z2619=1,AB2619&lt;&gt;1),1,0))</f>
        <v/>
      </c>
      <c r="AE2619" s="0" t="str">
        <f aca="false">IF(Y2619=1,"",IF(AND(AA2619=1,AC2619&lt;&gt;1),1,0))</f>
        <v/>
      </c>
      <c r="AF2619" s="45" t="str">
        <f aca="false">IF(AND(E2619&gt;0,Y2619&lt;1,NOT(AND(C2620=C2619,Y2620=Y2619+1))),INDEX(DATAS,Y2619+1),"")</f>
        <v/>
      </c>
      <c r="AG2619" s="45" t="str">
        <f aca="false">IF(AND(AA2619=1,Y2619&lt;1),IF(AND(C2620=C2619,Y2620=Y2619+1),IF(AA2620=1,"",INDEX(DATAS,Y2619+1)),INDEX(DATAS,Y2619+1)),"")</f>
        <v/>
      </c>
    </row>
    <row r="2620" customFormat="false" ht="15" hidden="false" customHeight="false" outlineLevel="0" collapsed="false">
      <c r="A2620" s="45" t="n">
        <v>46309</v>
      </c>
      <c r="B2620" s="0" t="n">
        <v>13</v>
      </c>
      <c r="C2620" s="0" t="n">
        <v>6965</v>
      </c>
      <c r="E2620" s="0" t="n">
        <v>0</v>
      </c>
      <c r="F2620" s="39" t="s">
        <v>1295</v>
      </c>
      <c r="I2620" s="39" t="s">
        <v>136</v>
      </c>
      <c r="U2620" s="0" t="n">
        <v>390</v>
      </c>
      <c r="V2620" s="0" t="n">
        <v>0</v>
      </c>
      <c r="W2620" s="39" t="n">
        <f aca="false">IF(I2620="Male",0,1)</f>
        <v>1</v>
      </c>
      <c r="X2620" s="39" t="n">
        <f aca="false">IF(OR(I2620="DNB",I2620="Dry DNB"),1,0)</f>
        <v>0</v>
      </c>
      <c r="Y2620" s="39" t="n">
        <f aca="false">MATCH(A2620,DATAS,0)</f>
        <v>1</v>
      </c>
      <c r="Z2620" s="39" t="n">
        <f aca="false">IF(AND(E2620&gt;0,OR(AND(B2620&gt;=1,B2620&lt;=6),B2620=10)),1,0)</f>
        <v>0</v>
      </c>
      <c r="AA2620" s="39" t="n">
        <f aca="false">IF(AND(E2620&gt;0,B2620=10),1,0)</f>
        <v>0</v>
      </c>
      <c r="AB2620" s="0" t="str">
        <f aca="false">IF(AND(C2619=C2620,Y2619=Y2620-1),Z2619,"")</f>
        <v/>
      </c>
      <c r="AC2620" s="0" t="str">
        <f aca="false">IF(AND(C2619=C2620,Y2619=Y2620-1),AA2619,"")</f>
        <v/>
      </c>
      <c r="AD2620" s="0" t="str">
        <f aca="false">IF(Y2620=1,"",IF(AND(Z2620=1,AB2620&lt;&gt;1),1,0))</f>
        <v/>
      </c>
      <c r="AE2620" s="0" t="str">
        <f aca="false">IF(Y2620=1,"",IF(AND(AA2620=1,AC2620&lt;&gt;1),1,0))</f>
        <v/>
      </c>
      <c r="AF2620" s="45" t="str">
        <f aca="false">IF(AND(E2620&gt;0,Y2620&lt;1,NOT(AND(C2621=C2620,Y2621=Y2620+1))),INDEX(DATAS,Y2620+1),"")</f>
        <v/>
      </c>
      <c r="AG2620" s="45" t="str">
        <f aca="false">IF(AND(AA2620=1,Y2620&lt;1),IF(AND(C2621=C2620,Y2621=Y2620+1),IF(AA2621=1,"",INDEX(DATAS,Y2620+1)),INDEX(DATAS,Y2620+1)),"")</f>
        <v/>
      </c>
    </row>
    <row r="2621" customFormat="false" ht="15" hidden="false" customHeight="false" outlineLevel="0" collapsed="false">
      <c r="A2621" s="45" t="n">
        <v>46309</v>
      </c>
      <c r="B2621" s="0" t="n">
        <v>13</v>
      </c>
      <c r="C2621" s="0" t="n">
        <v>6966</v>
      </c>
      <c r="E2621" s="0" t="n">
        <v>0</v>
      </c>
      <c r="F2621" s="39" t="s">
        <v>1295</v>
      </c>
      <c r="I2621" s="39" t="s">
        <v>136</v>
      </c>
      <c r="U2621" s="0" t="n">
        <v>390</v>
      </c>
      <c r="V2621" s="0" t="n">
        <v>0</v>
      </c>
      <c r="W2621" s="39" t="n">
        <f aca="false">IF(I2621="Male",0,1)</f>
        <v>1</v>
      </c>
      <c r="X2621" s="39" t="n">
        <f aca="false">IF(OR(I2621="DNB",I2621="Dry DNB"),1,0)</f>
        <v>0</v>
      </c>
      <c r="Y2621" s="39" t="n">
        <f aca="false">MATCH(A2621,DATAS,0)</f>
        <v>1</v>
      </c>
      <c r="Z2621" s="39" t="n">
        <f aca="false">IF(AND(E2621&gt;0,OR(AND(B2621&gt;=1,B2621&lt;=6),B2621=10)),1,0)</f>
        <v>0</v>
      </c>
      <c r="AA2621" s="39" t="n">
        <f aca="false">IF(AND(E2621&gt;0,B2621=10),1,0)</f>
        <v>0</v>
      </c>
      <c r="AB2621" s="0" t="str">
        <f aca="false">IF(AND(C2620=C2621,Y2620=Y2621-1),Z2620,"")</f>
        <v/>
      </c>
      <c r="AC2621" s="0" t="str">
        <f aca="false">IF(AND(C2620=C2621,Y2620=Y2621-1),AA2620,"")</f>
        <v/>
      </c>
      <c r="AD2621" s="0" t="str">
        <f aca="false">IF(Y2621=1,"",IF(AND(Z2621=1,AB2621&lt;&gt;1),1,0))</f>
        <v/>
      </c>
      <c r="AE2621" s="0" t="str">
        <f aca="false">IF(Y2621=1,"",IF(AND(AA2621=1,AC2621&lt;&gt;1),1,0))</f>
        <v/>
      </c>
      <c r="AF2621" s="45" t="str">
        <f aca="false">IF(AND(E2621&gt;0,Y2621&lt;1,NOT(AND(C2622=C2621,Y2622=Y2621+1))),INDEX(DATAS,Y2621+1),"")</f>
        <v/>
      </c>
      <c r="AG2621" s="45" t="str">
        <f aca="false">IF(AND(AA2621=1,Y2621&lt;1),IF(AND(C2622=C2621,Y2622=Y2621+1),IF(AA2622=1,"",INDEX(DATAS,Y2621+1)),INDEX(DATAS,Y2621+1)),"")</f>
        <v/>
      </c>
    </row>
    <row r="2622" customFormat="false" ht="15" hidden="false" customHeight="false" outlineLevel="0" collapsed="false">
      <c r="A2622" s="45" t="n">
        <v>46309</v>
      </c>
      <c r="B2622" s="0" t="n">
        <v>13</v>
      </c>
      <c r="C2622" s="0" t="n">
        <v>6967</v>
      </c>
      <c r="E2622" s="0" t="n">
        <v>0</v>
      </c>
      <c r="F2622" s="39" t="s">
        <v>1295</v>
      </c>
      <c r="I2622" s="39" t="s">
        <v>136</v>
      </c>
      <c r="U2622" s="0" t="n">
        <v>390</v>
      </c>
      <c r="V2622" s="0" t="n">
        <v>0</v>
      </c>
      <c r="W2622" s="39" t="n">
        <f aca="false">IF(I2622="Male",0,1)</f>
        <v>1</v>
      </c>
      <c r="X2622" s="39" t="n">
        <f aca="false">IF(OR(I2622="DNB",I2622="Dry DNB"),1,0)</f>
        <v>0</v>
      </c>
      <c r="Y2622" s="39" t="n">
        <f aca="false">MATCH(A2622,DATAS,0)</f>
        <v>1</v>
      </c>
      <c r="Z2622" s="39" t="n">
        <f aca="false">IF(AND(E2622&gt;0,OR(AND(B2622&gt;=1,B2622&lt;=6),B2622=10)),1,0)</f>
        <v>0</v>
      </c>
      <c r="AA2622" s="39" t="n">
        <f aca="false">IF(AND(E2622&gt;0,B2622=10),1,0)</f>
        <v>0</v>
      </c>
      <c r="AB2622" s="0" t="str">
        <f aca="false">IF(AND(C2621=C2622,Y2621=Y2622-1),Z2621,"")</f>
        <v/>
      </c>
      <c r="AC2622" s="0" t="str">
        <f aca="false">IF(AND(C2621=C2622,Y2621=Y2622-1),AA2621,"")</f>
        <v/>
      </c>
      <c r="AD2622" s="0" t="str">
        <f aca="false">IF(Y2622=1,"",IF(AND(Z2622=1,AB2622&lt;&gt;1),1,0))</f>
        <v/>
      </c>
      <c r="AE2622" s="0" t="str">
        <f aca="false">IF(Y2622=1,"",IF(AND(AA2622=1,AC2622&lt;&gt;1),1,0))</f>
        <v/>
      </c>
      <c r="AF2622" s="45" t="str">
        <f aca="false">IF(AND(E2622&gt;0,Y2622&lt;1,NOT(AND(C2623=C2622,Y2623=Y2622+1))),INDEX(DATAS,Y2622+1),"")</f>
        <v/>
      </c>
      <c r="AG2622" s="45" t="str">
        <f aca="false">IF(AND(AA2622=1,Y2622&lt;1),IF(AND(C2623=C2622,Y2623=Y2622+1),IF(AA2623=1,"",INDEX(DATAS,Y2622+1)),INDEX(DATAS,Y2622+1)),"")</f>
        <v/>
      </c>
    </row>
    <row r="2623" customFormat="false" ht="15" hidden="false" customHeight="false" outlineLevel="0" collapsed="false">
      <c r="A2623" s="45" t="n">
        <v>46309</v>
      </c>
      <c r="B2623" s="0" t="n">
        <v>13</v>
      </c>
      <c r="C2623" s="0" t="n">
        <v>6968</v>
      </c>
      <c r="E2623" s="0" t="n">
        <v>0</v>
      </c>
      <c r="F2623" s="39" t="s">
        <v>1295</v>
      </c>
      <c r="I2623" s="39" t="s">
        <v>136</v>
      </c>
      <c r="U2623" s="0" t="n">
        <v>390</v>
      </c>
      <c r="V2623" s="0" t="n">
        <v>0</v>
      </c>
      <c r="W2623" s="39" t="n">
        <f aca="false">IF(I2623="Male",0,1)</f>
        <v>1</v>
      </c>
      <c r="X2623" s="39" t="n">
        <f aca="false">IF(OR(I2623="DNB",I2623="Dry DNB"),1,0)</f>
        <v>0</v>
      </c>
      <c r="Y2623" s="39" t="n">
        <f aca="false">MATCH(A2623,DATAS,0)</f>
        <v>1</v>
      </c>
      <c r="Z2623" s="39" t="n">
        <f aca="false">IF(AND(E2623&gt;0,OR(AND(B2623&gt;=1,B2623&lt;=6),B2623=10)),1,0)</f>
        <v>0</v>
      </c>
      <c r="AA2623" s="39" t="n">
        <f aca="false">IF(AND(E2623&gt;0,B2623=10),1,0)</f>
        <v>0</v>
      </c>
      <c r="AB2623" s="0" t="str">
        <f aca="false">IF(AND(C2622=C2623,Y2622=Y2623-1),Z2622,"")</f>
        <v/>
      </c>
      <c r="AC2623" s="0" t="str">
        <f aca="false">IF(AND(C2622=C2623,Y2622=Y2623-1),AA2622,"")</f>
        <v/>
      </c>
      <c r="AD2623" s="0" t="str">
        <f aca="false">IF(Y2623=1,"",IF(AND(Z2623=1,AB2623&lt;&gt;1),1,0))</f>
        <v/>
      </c>
      <c r="AE2623" s="0" t="str">
        <f aca="false">IF(Y2623=1,"",IF(AND(AA2623=1,AC2623&lt;&gt;1),1,0))</f>
        <v/>
      </c>
      <c r="AF2623" s="45" t="str">
        <f aca="false">IF(AND(E2623&gt;0,Y2623&lt;1,NOT(AND(C2624=C2623,Y2624=Y2623+1))),INDEX(DATAS,Y2623+1),"")</f>
        <v/>
      </c>
      <c r="AG2623" s="45" t="str">
        <f aca="false">IF(AND(AA2623=1,Y2623&lt;1),IF(AND(C2624=C2623,Y2624=Y2623+1),IF(AA2624=1,"",INDEX(DATAS,Y2623+1)),INDEX(DATAS,Y2623+1)),"")</f>
        <v/>
      </c>
    </row>
    <row r="2624" customFormat="false" ht="15" hidden="false" customHeight="false" outlineLevel="0" collapsed="false">
      <c r="A2624" s="45" t="n">
        <v>46309</v>
      </c>
      <c r="B2624" s="0" t="n">
        <v>13</v>
      </c>
      <c r="C2624" s="0" t="n">
        <v>6969</v>
      </c>
      <c r="E2624" s="0" t="n">
        <v>0</v>
      </c>
      <c r="F2624" s="39" t="s">
        <v>1295</v>
      </c>
      <c r="I2624" s="39" t="s">
        <v>136</v>
      </c>
      <c r="U2624" s="0" t="n">
        <v>390</v>
      </c>
      <c r="V2624" s="0" t="n">
        <v>0</v>
      </c>
      <c r="W2624" s="39" t="n">
        <f aca="false">IF(I2624="Male",0,1)</f>
        <v>1</v>
      </c>
      <c r="X2624" s="39" t="n">
        <f aca="false">IF(OR(I2624="DNB",I2624="Dry DNB"),1,0)</f>
        <v>0</v>
      </c>
      <c r="Y2624" s="39" t="n">
        <f aca="false">MATCH(A2624,DATAS,0)</f>
        <v>1</v>
      </c>
      <c r="Z2624" s="39" t="n">
        <f aca="false">IF(AND(E2624&gt;0,OR(AND(B2624&gt;=1,B2624&lt;=6),B2624=10)),1,0)</f>
        <v>0</v>
      </c>
      <c r="AA2624" s="39" t="n">
        <f aca="false">IF(AND(E2624&gt;0,B2624=10),1,0)</f>
        <v>0</v>
      </c>
      <c r="AB2624" s="0" t="str">
        <f aca="false">IF(AND(C2623=C2624,Y2623=Y2624-1),Z2623,"")</f>
        <v/>
      </c>
      <c r="AC2624" s="0" t="str">
        <f aca="false">IF(AND(C2623=C2624,Y2623=Y2624-1),AA2623,"")</f>
        <v/>
      </c>
      <c r="AD2624" s="0" t="str">
        <f aca="false">IF(Y2624=1,"",IF(AND(Z2624=1,AB2624&lt;&gt;1),1,0))</f>
        <v/>
      </c>
      <c r="AE2624" s="0" t="str">
        <f aca="false">IF(Y2624=1,"",IF(AND(AA2624=1,AC2624&lt;&gt;1),1,0))</f>
        <v/>
      </c>
      <c r="AF2624" s="45" t="str">
        <f aca="false">IF(AND(E2624&gt;0,Y2624&lt;1,NOT(AND(C2625=C2624,Y2625=Y2624+1))),INDEX(DATAS,Y2624+1),"")</f>
        <v/>
      </c>
      <c r="AG2624" s="45" t="str">
        <f aca="false">IF(AND(AA2624=1,Y2624&lt;1),IF(AND(C2625=C2624,Y2625=Y2624+1),IF(AA2625=1,"",INDEX(DATAS,Y2624+1)),INDEX(DATAS,Y2624+1)),"")</f>
        <v/>
      </c>
    </row>
    <row r="2625" customFormat="false" ht="15" hidden="false" customHeight="false" outlineLevel="0" collapsed="false">
      <c r="A2625" s="45" t="n">
        <v>46309</v>
      </c>
      <c r="B2625" s="0" t="n">
        <v>13</v>
      </c>
      <c r="C2625" s="0" t="n">
        <v>6970</v>
      </c>
      <c r="E2625" s="0" t="n">
        <v>0</v>
      </c>
      <c r="F2625" s="39" t="s">
        <v>1296</v>
      </c>
      <c r="I2625" s="39" t="s">
        <v>136</v>
      </c>
      <c r="U2625" s="0" t="n">
        <v>389</v>
      </c>
      <c r="V2625" s="0" t="n">
        <v>0</v>
      </c>
      <c r="W2625" s="39" t="n">
        <f aca="false">IF(I2625="Male",0,1)</f>
        <v>1</v>
      </c>
      <c r="X2625" s="39" t="n">
        <f aca="false">IF(OR(I2625="DNB",I2625="Dry DNB"),1,0)</f>
        <v>0</v>
      </c>
      <c r="Y2625" s="39" t="n">
        <f aca="false">MATCH(A2625,DATAS,0)</f>
        <v>1</v>
      </c>
      <c r="Z2625" s="39" t="n">
        <f aca="false">IF(AND(E2625&gt;0,OR(AND(B2625&gt;=1,B2625&lt;=6),B2625=10)),1,0)</f>
        <v>0</v>
      </c>
      <c r="AA2625" s="39" t="n">
        <f aca="false">IF(AND(E2625&gt;0,B2625=10),1,0)</f>
        <v>0</v>
      </c>
      <c r="AB2625" s="0" t="str">
        <f aca="false">IF(AND(C2624=C2625,Y2624=Y2625-1),Z2624,"")</f>
        <v/>
      </c>
      <c r="AC2625" s="0" t="str">
        <f aca="false">IF(AND(C2624=C2625,Y2624=Y2625-1),AA2624,"")</f>
        <v/>
      </c>
      <c r="AD2625" s="0" t="str">
        <f aca="false">IF(Y2625=1,"",IF(AND(Z2625=1,AB2625&lt;&gt;1),1,0))</f>
        <v/>
      </c>
      <c r="AE2625" s="0" t="str">
        <f aca="false">IF(Y2625=1,"",IF(AND(AA2625=1,AC2625&lt;&gt;1),1,0))</f>
        <v/>
      </c>
      <c r="AF2625" s="45" t="str">
        <f aca="false">IF(AND(E2625&gt;0,Y2625&lt;1,NOT(AND(C2626=C2625,Y2626=Y2625+1))),INDEX(DATAS,Y2625+1),"")</f>
        <v/>
      </c>
      <c r="AG2625" s="45" t="str">
        <f aca="false">IF(AND(AA2625=1,Y2625&lt;1),IF(AND(C2626=C2625,Y2626=Y2625+1),IF(AA2626=1,"",INDEX(DATAS,Y2625+1)),INDEX(DATAS,Y2625+1)),"")</f>
        <v/>
      </c>
    </row>
    <row r="2626" customFormat="false" ht="15" hidden="false" customHeight="false" outlineLevel="0" collapsed="false">
      <c r="A2626" s="45" t="n">
        <v>46309</v>
      </c>
      <c r="B2626" s="0" t="n">
        <v>13</v>
      </c>
      <c r="C2626" s="0" t="n">
        <v>6972</v>
      </c>
      <c r="E2626" s="0" t="n">
        <v>0</v>
      </c>
      <c r="F2626" s="39" t="s">
        <v>1296</v>
      </c>
      <c r="I2626" s="39" t="s">
        <v>136</v>
      </c>
      <c r="U2626" s="0" t="n">
        <v>389</v>
      </c>
      <c r="V2626" s="0" t="n">
        <v>0</v>
      </c>
      <c r="W2626" s="39" t="n">
        <f aca="false">IF(I2626="Male",0,1)</f>
        <v>1</v>
      </c>
      <c r="X2626" s="39" t="n">
        <f aca="false">IF(OR(I2626="DNB",I2626="Dry DNB"),1,0)</f>
        <v>0</v>
      </c>
      <c r="Y2626" s="39" t="n">
        <f aca="false">MATCH(A2626,DATAS,0)</f>
        <v>1</v>
      </c>
      <c r="Z2626" s="39" t="n">
        <f aca="false">IF(AND(E2626&gt;0,OR(AND(B2626&gt;=1,B2626&lt;=6),B2626=10)),1,0)</f>
        <v>0</v>
      </c>
      <c r="AA2626" s="39" t="n">
        <f aca="false">IF(AND(E2626&gt;0,B2626=10),1,0)</f>
        <v>0</v>
      </c>
      <c r="AB2626" s="0" t="str">
        <f aca="false">IF(AND(C2625=C2626,Y2625=Y2626-1),Z2625,"")</f>
        <v/>
      </c>
      <c r="AC2626" s="0" t="str">
        <f aca="false">IF(AND(C2625=C2626,Y2625=Y2626-1),AA2625,"")</f>
        <v/>
      </c>
      <c r="AD2626" s="0" t="str">
        <f aca="false">IF(Y2626=1,"",IF(AND(Z2626=1,AB2626&lt;&gt;1),1,0))</f>
        <v/>
      </c>
      <c r="AE2626" s="0" t="str">
        <f aca="false">IF(Y2626=1,"",IF(AND(AA2626=1,AC2626&lt;&gt;1),1,0))</f>
        <v/>
      </c>
      <c r="AF2626" s="45" t="str">
        <f aca="false">IF(AND(E2626&gt;0,Y2626&lt;1,NOT(AND(C2627=C2626,Y2627=Y2626+1))),INDEX(DATAS,Y2626+1),"")</f>
        <v/>
      </c>
      <c r="AG2626" s="45" t="str">
        <f aca="false">IF(AND(AA2626=1,Y2626&lt;1),IF(AND(C2627=C2626,Y2627=Y2626+1),IF(AA2627=1,"",INDEX(DATAS,Y2626+1)),INDEX(DATAS,Y2626+1)),"")</f>
        <v/>
      </c>
    </row>
    <row r="2627" customFormat="false" ht="15" hidden="false" customHeight="false" outlineLevel="0" collapsed="false">
      <c r="A2627" s="45" t="n">
        <v>46309</v>
      </c>
      <c r="B2627" s="0" t="n">
        <v>13</v>
      </c>
      <c r="C2627" s="0" t="n">
        <v>6973</v>
      </c>
      <c r="E2627" s="0" t="n">
        <v>0</v>
      </c>
      <c r="F2627" s="39" t="s">
        <v>1296</v>
      </c>
      <c r="I2627" s="39" t="s">
        <v>136</v>
      </c>
      <c r="U2627" s="0" t="n">
        <v>389</v>
      </c>
      <c r="V2627" s="0" t="n">
        <v>0</v>
      </c>
      <c r="W2627" s="39" t="n">
        <f aca="false">IF(I2627="Male",0,1)</f>
        <v>1</v>
      </c>
      <c r="X2627" s="39" t="n">
        <f aca="false">IF(OR(I2627="DNB",I2627="Dry DNB"),1,0)</f>
        <v>0</v>
      </c>
      <c r="Y2627" s="39" t="n">
        <f aca="false">MATCH(A2627,DATAS,0)</f>
        <v>1</v>
      </c>
      <c r="Z2627" s="39" t="n">
        <f aca="false">IF(AND(E2627&gt;0,OR(AND(B2627&gt;=1,B2627&lt;=6),B2627=10)),1,0)</f>
        <v>0</v>
      </c>
      <c r="AA2627" s="39" t="n">
        <f aca="false">IF(AND(E2627&gt;0,B2627=10),1,0)</f>
        <v>0</v>
      </c>
      <c r="AB2627" s="0" t="str">
        <f aca="false">IF(AND(C2626=C2627,Y2626=Y2627-1),Z2626,"")</f>
        <v/>
      </c>
      <c r="AC2627" s="0" t="str">
        <f aca="false">IF(AND(C2626=C2627,Y2626=Y2627-1),AA2626,"")</f>
        <v/>
      </c>
      <c r="AD2627" s="0" t="str">
        <f aca="false">IF(Y2627=1,"",IF(AND(Z2627=1,AB2627&lt;&gt;1),1,0))</f>
        <v/>
      </c>
      <c r="AE2627" s="0" t="str">
        <f aca="false">IF(Y2627=1,"",IF(AND(AA2627=1,AC2627&lt;&gt;1),1,0))</f>
        <v/>
      </c>
      <c r="AF2627" s="45" t="str">
        <f aca="false">IF(AND(E2627&gt;0,Y2627&lt;1,NOT(AND(C2628=C2627,Y2628=Y2627+1))),INDEX(DATAS,Y2627+1),"")</f>
        <v/>
      </c>
      <c r="AG2627" s="45" t="str">
        <f aca="false">IF(AND(AA2627=1,Y2627&lt;1),IF(AND(C2628=C2627,Y2628=Y2627+1),IF(AA2628=1,"",INDEX(DATAS,Y2627+1)),INDEX(DATAS,Y2627+1)),"")</f>
        <v/>
      </c>
    </row>
    <row r="2628" customFormat="false" ht="15" hidden="false" customHeight="false" outlineLevel="0" collapsed="false">
      <c r="A2628" s="45" t="n">
        <v>46309</v>
      </c>
      <c r="B2628" s="0" t="n">
        <v>13</v>
      </c>
      <c r="C2628" s="0" t="n">
        <v>6974</v>
      </c>
      <c r="E2628" s="0" t="n">
        <v>0</v>
      </c>
      <c r="F2628" s="39" t="s">
        <v>1296</v>
      </c>
      <c r="I2628" s="39" t="s">
        <v>136</v>
      </c>
      <c r="U2628" s="0" t="n">
        <v>389</v>
      </c>
      <c r="V2628" s="0" t="n">
        <v>0</v>
      </c>
      <c r="W2628" s="39" t="n">
        <f aca="false">IF(I2628="Male",0,1)</f>
        <v>1</v>
      </c>
      <c r="X2628" s="39" t="n">
        <f aca="false">IF(OR(I2628="DNB",I2628="Dry DNB"),1,0)</f>
        <v>0</v>
      </c>
      <c r="Y2628" s="39" t="n">
        <f aca="false">MATCH(A2628,DATAS,0)</f>
        <v>1</v>
      </c>
      <c r="Z2628" s="39" t="n">
        <f aca="false">IF(AND(E2628&gt;0,OR(AND(B2628&gt;=1,B2628&lt;=6),B2628=10)),1,0)</f>
        <v>0</v>
      </c>
      <c r="AA2628" s="39" t="n">
        <f aca="false">IF(AND(E2628&gt;0,B2628=10),1,0)</f>
        <v>0</v>
      </c>
      <c r="AB2628" s="0" t="str">
        <f aca="false">IF(AND(C2627=C2628,Y2627=Y2628-1),Z2627,"")</f>
        <v/>
      </c>
      <c r="AC2628" s="0" t="str">
        <f aca="false">IF(AND(C2627=C2628,Y2627=Y2628-1),AA2627,"")</f>
        <v/>
      </c>
      <c r="AD2628" s="0" t="str">
        <f aca="false">IF(Y2628=1,"",IF(AND(Z2628=1,AB2628&lt;&gt;1),1,0))</f>
        <v/>
      </c>
      <c r="AE2628" s="0" t="str">
        <f aca="false">IF(Y2628=1,"",IF(AND(AA2628=1,AC2628&lt;&gt;1),1,0))</f>
        <v/>
      </c>
      <c r="AF2628" s="45" t="str">
        <f aca="false">IF(AND(E2628&gt;0,Y2628&lt;1,NOT(AND(C2629=C2628,Y2629=Y2628+1))),INDEX(DATAS,Y2628+1),"")</f>
        <v/>
      </c>
      <c r="AG2628" s="45" t="str">
        <f aca="false">IF(AND(AA2628=1,Y2628&lt;1),IF(AND(C2629=C2628,Y2629=Y2628+1),IF(AA2629=1,"",INDEX(DATAS,Y2628+1)),INDEX(DATAS,Y2628+1)),"")</f>
        <v/>
      </c>
    </row>
    <row r="2629" customFormat="false" ht="15" hidden="false" customHeight="false" outlineLevel="0" collapsed="false">
      <c r="A2629" s="45" t="n">
        <v>46309</v>
      </c>
      <c r="B2629" s="0" t="n">
        <v>13</v>
      </c>
      <c r="C2629" s="0" t="n">
        <v>6975</v>
      </c>
      <c r="E2629" s="0" t="n">
        <v>0</v>
      </c>
      <c r="F2629" s="39" t="s">
        <v>1297</v>
      </c>
      <c r="I2629" s="39" t="s">
        <v>136</v>
      </c>
      <c r="U2629" s="0" t="n">
        <v>388</v>
      </c>
      <c r="V2629" s="0" t="n">
        <v>0</v>
      </c>
      <c r="W2629" s="39" t="n">
        <f aca="false">IF(I2629="Male",0,1)</f>
        <v>1</v>
      </c>
      <c r="X2629" s="39" t="n">
        <f aca="false">IF(OR(I2629="DNB",I2629="Dry DNB"),1,0)</f>
        <v>0</v>
      </c>
      <c r="Y2629" s="39" t="n">
        <f aca="false">MATCH(A2629,DATAS,0)</f>
        <v>1</v>
      </c>
      <c r="Z2629" s="39" t="n">
        <f aca="false">IF(AND(E2629&gt;0,OR(AND(B2629&gt;=1,B2629&lt;=6),B2629=10)),1,0)</f>
        <v>0</v>
      </c>
      <c r="AA2629" s="39" t="n">
        <f aca="false">IF(AND(E2629&gt;0,B2629=10),1,0)</f>
        <v>0</v>
      </c>
      <c r="AB2629" s="0" t="str">
        <f aca="false">IF(AND(C2628=C2629,Y2628=Y2629-1),Z2628,"")</f>
        <v/>
      </c>
      <c r="AC2629" s="0" t="str">
        <f aca="false">IF(AND(C2628=C2629,Y2628=Y2629-1),AA2628,"")</f>
        <v/>
      </c>
      <c r="AD2629" s="0" t="str">
        <f aca="false">IF(Y2629=1,"",IF(AND(Z2629=1,AB2629&lt;&gt;1),1,0))</f>
        <v/>
      </c>
      <c r="AE2629" s="0" t="str">
        <f aca="false">IF(Y2629=1,"",IF(AND(AA2629=1,AC2629&lt;&gt;1),1,0))</f>
        <v/>
      </c>
      <c r="AF2629" s="45" t="str">
        <f aca="false">IF(AND(E2629&gt;0,Y2629&lt;1,NOT(AND(C2630=C2629,Y2630=Y2629+1))),INDEX(DATAS,Y2629+1),"")</f>
        <v/>
      </c>
      <c r="AG2629" s="45" t="str">
        <f aca="false">IF(AND(AA2629=1,Y2629&lt;1),IF(AND(C2630=C2629,Y2630=Y2629+1),IF(AA2630=1,"",INDEX(DATAS,Y2629+1)),INDEX(DATAS,Y2629+1)),"")</f>
        <v/>
      </c>
    </row>
    <row r="2630" customFormat="false" ht="15" hidden="false" customHeight="false" outlineLevel="0" collapsed="false">
      <c r="A2630" s="45" t="n">
        <v>46309</v>
      </c>
      <c r="B2630" s="0" t="n">
        <v>13</v>
      </c>
      <c r="C2630" s="0" t="n">
        <v>6977</v>
      </c>
      <c r="E2630" s="0" t="n">
        <v>0</v>
      </c>
      <c r="F2630" s="39" t="s">
        <v>1297</v>
      </c>
      <c r="I2630" s="39" t="s">
        <v>136</v>
      </c>
      <c r="U2630" s="0" t="n">
        <v>388</v>
      </c>
      <c r="V2630" s="0" t="n">
        <v>0</v>
      </c>
      <c r="W2630" s="39" t="n">
        <f aca="false">IF(I2630="Male",0,1)</f>
        <v>1</v>
      </c>
      <c r="X2630" s="39" t="n">
        <f aca="false">IF(OR(I2630="DNB",I2630="Dry DNB"),1,0)</f>
        <v>0</v>
      </c>
      <c r="Y2630" s="39" t="n">
        <f aca="false">MATCH(A2630,DATAS,0)</f>
        <v>1</v>
      </c>
      <c r="Z2630" s="39" t="n">
        <f aca="false">IF(AND(E2630&gt;0,OR(AND(B2630&gt;=1,B2630&lt;=6),B2630=10)),1,0)</f>
        <v>0</v>
      </c>
      <c r="AA2630" s="39" t="n">
        <f aca="false">IF(AND(E2630&gt;0,B2630=10),1,0)</f>
        <v>0</v>
      </c>
      <c r="AB2630" s="0" t="str">
        <f aca="false">IF(AND(C2629=C2630,Y2629=Y2630-1),Z2629,"")</f>
        <v/>
      </c>
      <c r="AC2630" s="0" t="str">
        <f aca="false">IF(AND(C2629=C2630,Y2629=Y2630-1),AA2629,"")</f>
        <v/>
      </c>
      <c r="AD2630" s="0" t="str">
        <f aca="false">IF(Y2630=1,"",IF(AND(Z2630=1,AB2630&lt;&gt;1),1,0))</f>
        <v/>
      </c>
      <c r="AE2630" s="0" t="str">
        <f aca="false">IF(Y2630=1,"",IF(AND(AA2630=1,AC2630&lt;&gt;1),1,0))</f>
        <v/>
      </c>
      <c r="AF2630" s="45" t="str">
        <f aca="false">IF(AND(E2630&gt;0,Y2630&lt;1,NOT(AND(C2631=C2630,Y2631=Y2630+1))),INDEX(DATAS,Y2630+1),"")</f>
        <v/>
      </c>
      <c r="AG2630" s="45" t="str">
        <f aca="false">IF(AND(AA2630=1,Y2630&lt;1),IF(AND(C2631=C2630,Y2631=Y2630+1),IF(AA2631=1,"",INDEX(DATAS,Y2630+1)),INDEX(DATAS,Y2630+1)),"")</f>
        <v/>
      </c>
    </row>
    <row r="2631" customFormat="false" ht="15" hidden="false" customHeight="false" outlineLevel="0" collapsed="false">
      <c r="A2631" s="45" t="n">
        <v>46309</v>
      </c>
      <c r="B2631" s="0" t="n">
        <v>13</v>
      </c>
      <c r="C2631" s="0" t="n">
        <v>6978</v>
      </c>
      <c r="E2631" s="0" t="n">
        <v>0</v>
      </c>
      <c r="F2631" s="39" t="s">
        <v>1297</v>
      </c>
      <c r="I2631" s="39" t="s">
        <v>136</v>
      </c>
      <c r="U2631" s="0" t="n">
        <v>388</v>
      </c>
      <c r="V2631" s="0" t="n">
        <v>0</v>
      </c>
      <c r="W2631" s="39" t="n">
        <f aca="false">IF(I2631="Male",0,1)</f>
        <v>1</v>
      </c>
      <c r="X2631" s="39" t="n">
        <f aca="false">IF(OR(I2631="DNB",I2631="Dry DNB"),1,0)</f>
        <v>0</v>
      </c>
      <c r="Y2631" s="39" t="n">
        <f aca="false">MATCH(A2631,DATAS,0)</f>
        <v>1</v>
      </c>
      <c r="Z2631" s="39" t="n">
        <f aca="false">IF(AND(E2631&gt;0,OR(AND(B2631&gt;=1,B2631&lt;=6),B2631=10)),1,0)</f>
        <v>0</v>
      </c>
      <c r="AA2631" s="39" t="n">
        <f aca="false">IF(AND(E2631&gt;0,B2631=10),1,0)</f>
        <v>0</v>
      </c>
      <c r="AB2631" s="0" t="str">
        <f aca="false">IF(AND(C2630=C2631,Y2630=Y2631-1),Z2630,"")</f>
        <v/>
      </c>
      <c r="AC2631" s="0" t="str">
        <f aca="false">IF(AND(C2630=C2631,Y2630=Y2631-1),AA2630,"")</f>
        <v/>
      </c>
      <c r="AD2631" s="0" t="str">
        <f aca="false">IF(Y2631=1,"",IF(AND(Z2631=1,AB2631&lt;&gt;1),1,0))</f>
        <v/>
      </c>
      <c r="AE2631" s="0" t="str">
        <f aca="false">IF(Y2631=1,"",IF(AND(AA2631=1,AC2631&lt;&gt;1),1,0))</f>
        <v/>
      </c>
      <c r="AF2631" s="45" t="str">
        <f aca="false">IF(AND(E2631&gt;0,Y2631&lt;1,NOT(AND(C2632=C2631,Y2632=Y2631+1))),INDEX(DATAS,Y2631+1),"")</f>
        <v/>
      </c>
      <c r="AG2631" s="45" t="str">
        <f aca="false">IF(AND(AA2631=1,Y2631&lt;1),IF(AND(C2632=C2631,Y2632=Y2631+1),IF(AA2632=1,"",INDEX(DATAS,Y2631+1)),INDEX(DATAS,Y2631+1)),"")</f>
        <v/>
      </c>
    </row>
    <row r="2632" customFormat="false" ht="15" hidden="false" customHeight="false" outlineLevel="0" collapsed="false">
      <c r="A2632" s="45" t="n">
        <v>46309</v>
      </c>
      <c r="B2632" s="0" t="n">
        <v>13</v>
      </c>
      <c r="C2632" s="0" t="n">
        <v>6979</v>
      </c>
      <c r="E2632" s="0" t="n">
        <v>0</v>
      </c>
      <c r="F2632" s="39" t="s">
        <v>1297</v>
      </c>
      <c r="I2632" s="39" t="s">
        <v>136</v>
      </c>
      <c r="U2632" s="0" t="n">
        <v>388</v>
      </c>
      <c r="V2632" s="0" t="n">
        <v>0</v>
      </c>
      <c r="W2632" s="39" t="n">
        <f aca="false">IF(I2632="Male",0,1)</f>
        <v>1</v>
      </c>
      <c r="X2632" s="39" t="n">
        <f aca="false">IF(OR(I2632="DNB",I2632="Dry DNB"),1,0)</f>
        <v>0</v>
      </c>
      <c r="Y2632" s="39" t="n">
        <f aca="false">MATCH(A2632,DATAS,0)</f>
        <v>1</v>
      </c>
      <c r="Z2632" s="39" t="n">
        <f aca="false">IF(AND(E2632&gt;0,OR(AND(B2632&gt;=1,B2632&lt;=6),B2632=10)),1,0)</f>
        <v>0</v>
      </c>
      <c r="AA2632" s="39" t="n">
        <f aca="false">IF(AND(E2632&gt;0,B2632=10),1,0)</f>
        <v>0</v>
      </c>
      <c r="AB2632" s="0" t="str">
        <f aca="false">IF(AND(C2631=C2632,Y2631=Y2632-1),Z2631,"")</f>
        <v/>
      </c>
      <c r="AC2632" s="0" t="str">
        <f aca="false">IF(AND(C2631=C2632,Y2631=Y2632-1),AA2631,"")</f>
        <v/>
      </c>
      <c r="AD2632" s="0" t="str">
        <f aca="false">IF(Y2632=1,"",IF(AND(Z2632=1,AB2632&lt;&gt;1),1,0))</f>
        <v/>
      </c>
      <c r="AE2632" s="0" t="str">
        <f aca="false">IF(Y2632=1,"",IF(AND(AA2632=1,AC2632&lt;&gt;1),1,0))</f>
        <v/>
      </c>
      <c r="AF2632" s="45" t="str">
        <f aca="false">IF(AND(E2632&gt;0,Y2632&lt;1,NOT(AND(C2633=C2632,Y2633=Y2632+1))),INDEX(DATAS,Y2632+1),"")</f>
        <v/>
      </c>
      <c r="AG2632" s="45" t="str">
        <f aca="false">IF(AND(AA2632=1,Y2632&lt;1),IF(AND(C2633=C2632,Y2633=Y2632+1),IF(AA2633=1,"",INDEX(DATAS,Y2632+1)),INDEX(DATAS,Y2632+1)),"")</f>
        <v/>
      </c>
    </row>
    <row r="2633" customFormat="false" ht="15" hidden="false" customHeight="false" outlineLevel="0" collapsed="false">
      <c r="A2633" s="45" t="n">
        <v>46309</v>
      </c>
      <c r="B2633" s="0" t="n">
        <v>13</v>
      </c>
      <c r="C2633" s="0" t="n">
        <v>6980</v>
      </c>
      <c r="E2633" s="0" t="n">
        <v>0</v>
      </c>
      <c r="F2633" s="39" t="s">
        <v>1298</v>
      </c>
      <c r="I2633" s="39" t="s">
        <v>136</v>
      </c>
      <c r="U2633" s="0" t="n">
        <v>387</v>
      </c>
      <c r="V2633" s="0" t="n">
        <v>0</v>
      </c>
      <c r="W2633" s="39" t="n">
        <f aca="false">IF(I2633="Male",0,1)</f>
        <v>1</v>
      </c>
      <c r="X2633" s="39" t="n">
        <f aca="false">IF(OR(I2633="DNB",I2633="Dry DNB"),1,0)</f>
        <v>0</v>
      </c>
      <c r="Y2633" s="39" t="n">
        <f aca="false">MATCH(A2633,DATAS,0)</f>
        <v>1</v>
      </c>
      <c r="Z2633" s="39" t="n">
        <f aca="false">IF(AND(E2633&gt;0,OR(AND(B2633&gt;=1,B2633&lt;=6),B2633=10)),1,0)</f>
        <v>0</v>
      </c>
      <c r="AA2633" s="39" t="n">
        <f aca="false">IF(AND(E2633&gt;0,B2633=10),1,0)</f>
        <v>0</v>
      </c>
      <c r="AB2633" s="0" t="str">
        <f aca="false">IF(AND(C2632=C2633,Y2632=Y2633-1),Z2632,"")</f>
        <v/>
      </c>
      <c r="AC2633" s="0" t="str">
        <f aca="false">IF(AND(C2632=C2633,Y2632=Y2633-1),AA2632,"")</f>
        <v/>
      </c>
      <c r="AD2633" s="0" t="str">
        <f aca="false">IF(Y2633=1,"",IF(AND(Z2633=1,AB2633&lt;&gt;1),1,0))</f>
        <v/>
      </c>
      <c r="AE2633" s="0" t="str">
        <f aca="false">IF(Y2633=1,"",IF(AND(AA2633=1,AC2633&lt;&gt;1),1,0))</f>
        <v/>
      </c>
      <c r="AF2633" s="45" t="str">
        <f aca="false">IF(AND(E2633&gt;0,Y2633&lt;1,NOT(AND(C2634=C2633,Y2634=Y2633+1))),INDEX(DATAS,Y2633+1),"")</f>
        <v/>
      </c>
      <c r="AG2633" s="45" t="str">
        <f aca="false">IF(AND(AA2633=1,Y2633&lt;1),IF(AND(C2634=C2633,Y2634=Y2633+1),IF(AA2634=1,"",INDEX(DATAS,Y2633+1)),INDEX(DATAS,Y2633+1)),"")</f>
        <v/>
      </c>
    </row>
    <row r="2634" customFormat="false" ht="15" hidden="false" customHeight="false" outlineLevel="0" collapsed="false">
      <c r="A2634" s="45" t="n">
        <v>46309</v>
      </c>
      <c r="B2634" s="0" t="n">
        <v>13</v>
      </c>
      <c r="C2634" s="0" t="n">
        <v>6982</v>
      </c>
      <c r="E2634" s="0" t="n">
        <v>0</v>
      </c>
      <c r="F2634" s="39" t="s">
        <v>1299</v>
      </c>
      <c r="I2634" s="39" t="s">
        <v>136</v>
      </c>
      <c r="U2634" s="0" t="n">
        <v>385</v>
      </c>
      <c r="V2634" s="0" t="n">
        <v>0</v>
      </c>
      <c r="W2634" s="39" t="n">
        <f aca="false">IF(I2634="Male",0,1)</f>
        <v>1</v>
      </c>
      <c r="X2634" s="39" t="n">
        <f aca="false">IF(OR(I2634="DNB",I2634="Dry DNB"),1,0)</f>
        <v>0</v>
      </c>
      <c r="Y2634" s="39" t="n">
        <f aca="false">MATCH(A2634,DATAS,0)</f>
        <v>1</v>
      </c>
      <c r="Z2634" s="39" t="n">
        <f aca="false">IF(AND(E2634&gt;0,OR(AND(B2634&gt;=1,B2634&lt;=6),B2634=10)),1,0)</f>
        <v>0</v>
      </c>
      <c r="AA2634" s="39" t="n">
        <f aca="false">IF(AND(E2634&gt;0,B2634=10),1,0)</f>
        <v>0</v>
      </c>
      <c r="AB2634" s="0" t="str">
        <f aca="false">IF(AND(C2633=C2634,Y2633=Y2634-1),Z2633,"")</f>
        <v/>
      </c>
      <c r="AC2634" s="0" t="str">
        <f aca="false">IF(AND(C2633=C2634,Y2633=Y2634-1),AA2633,"")</f>
        <v/>
      </c>
      <c r="AD2634" s="0" t="str">
        <f aca="false">IF(Y2634=1,"",IF(AND(Z2634=1,AB2634&lt;&gt;1),1,0))</f>
        <v/>
      </c>
      <c r="AE2634" s="0" t="str">
        <f aca="false">IF(Y2634=1,"",IF(AND(AA2634=1,AC2634&lt;&gt;1),1,0))</f>
        <v/>
      </c>
      <c r="AF2634" s="45" t="str">
        <f aca="false">IF(AND(E2634&gt;0,Y2634&lt;1,NOT(AND(C2635=C2634,Y2635=Y2634+1))),INDEX(DATAS,Y2634+1),"")</f>
        <v/>
      </c>
      <c r="AG2634" s="45" t="str">
        <f aca="false">IF(AND(AA2634=1,Y2634&lt;1),IF(AND(C2635=C2634,Y2635=Y2634+1),IF(AA2635=1,"",INDEX(DATAS,Y2634+1)),INDEX(DATAS,Y2634+1)),"")</f>
        <v/>
      </c>
    </row>
    <row r="2635" customFormat="false" ht="15" hidden="false" customHeight="false" outlineLevel="0" collapsed="false">
      <c r="A2635" s="45" t="n">
        <v>46309</v>
      </c>
      <c r="B2635" s="0" t="n">
        <v>13</v>
      </c>
      <c r="C2635" s="0" t="n">
        <v>6983</v>
      </c>
      <c r="E2635" s="0" t="n">
        <v>0</v>
      </c>
      <c r="F2635" s="39" t="s">
        <v>1299</v>
      </c>
      <c r="I2635" s="39" t="s">
        <v>136</v>
      </c>
      <c r="U2635" s="0" t="n">
        <v>385</v>
      </c>
      <c r="V2635" s="0" t="n">
        <v>0</v>
      </c>
      <c r="W2635" s="39" t="n">
        <f aca="false">IF(I2635="Male",0,1)</f>
        <v>1</v>
      </c>
      <c r="X2635" s="39" t="n">
        <f aca="false">IF(OR(I2635="DNB",I2635="Dry DNB"),1,0)</f>
        <v>0</v>
      </c>
      <c r="Y2635" s="39" t="n">
        <f aca="false">MATCH(A2635,DATAS,0)</f>
        <v>1</v>
      </c>
      <c r="Z2635" s="39" t="n">
        <f aca="false">IF(AND(E2635&gt;0,OR(AND(B2635&gt;=1,B2635&lt;=6),B2635=10)),1,0)</f>
        <v>0</v>
      </c>
      <c r="AA2635" s="39" t="n">
        <f aca="false">IF(AND(E2635&gt;0,B2635=10),1,0)</f>
        <v>0</v>
      </c>
      <c r="AB2635" s="0" t="str">
        <f aca="false">IF(AND(C2634=C2635,Y2634=Y2635-1),Z2634,"")</f>
        <v/>
      </c>
      <c r="AC2635" s="0" t="str">
        <f aca="false">IF(AND(C2634=C2635,Y2634=Y2635-1),AA2634,"")</f>
        <v/>
      </c>
      <c r="AD2635" s="0" t="str">
        <f aca="false">IF(Y2635=1,"",IF(AND(Z2635=1,AB2635&lt;&gt;1),1,0))</f>
        <v/>
      </c>
      <c r="AE2635" s="0" t="str">
        <f aca="false">IF(Y2635=1,"",IF(AND(AA2635=1,AC2635&lt;&gt;1),1,0))</f>
        <v/>
      </c>
      <c r="AF2635" s="45" t="str">
        <f aca="false">IF(AND(E2635&gt;0,Y2635&lt;1,NOT(AND(C2636=C2635,Y2636=Y2635+1))),INDEX(DATAS,Y2635+1),"")</f>
        <v/>
      </c>
      <c r="AG2635" s="45" t="str">
        <f aca="false">IF(AND(AA2635=1,Y2635&lt;1),IF(AND(C2636=C2635,Y2636=Y2635+1),IF(AA2636=1,"",INDEX(DATAS,Y2635+1)),INDEX(DATAS,Y2635+1)),"")</f>
        <v/>
      </c>
    </row>
    <row r="2636" customFormat="false" ht="15" hidden="false" customHeight="false" outlineLevel="0" collapsed="false">
      <c r="A2636" s="45" t="n">
        <v>46309</v>
      </c>
      <c r="B2636" s="0" t="n">
        <v>13</v>
      </c>
      <c r="C2636" s="0" t="n">
        <v>6984</v>
      </c>
      <c r="E2636" s="0" t="n">
        <v>0</v>
      </c>
      <c r="F2636" s="39" t="s">
        <v>1299</v>
      </c>
      <c r="I2636" s="39" t="s">
        <v>136</v>
      </c>
      <c r="U2636" s="0" t="n">
        <v>385</v>
      </c>
      <c r="V2636" s="0" t="n">
        <v>0</v>
      </c>
      <c r="W2636" s="39" t="n">
        <f aca="false">IF(I2636="Male",0,1)</f>
        <v>1</v>
      </c>
      <c r="X2636" s="39" t="n">
        <f aca="false">IF(OR(I2636="DNB",I2636="Dry DNB"),1,0)</f>
        <v>0</v>
      </c>
      <c r="Y2636" s="39" t="n">
        <f aca="false">MATCH(A2636,DATAS,0)</f>
        <v>1</v>
      </c>
      <c r="Z2636" s="39" t="n">
        <f aca="false">IF(AND(E2636&gt;0,OR(AND(B2636&gt;=1,B2636&lt;=6),B2636=10)),1,0)</f>
        <v>0</v>
      </c>
      <c r="AA2636" s="39" t="n">
        <f aca="false">IF(AND(E2636&gt;0,B2636=10),1,0)</f>
        <v>0</v>
      </c>
      <c r="AB2636" s="0" t="str">
        <f aca="false">IF(AND(C2635=C2636,Y2635=Y2636-1),Z2635,"")</f>
        <v/>
      </c>
      <c r="AC2636" s="0" t="str">
        <f aca="false">IF(AND(C2635=C2636,Y2635=Y2636-1),AA2635,"")</f>
        <v/>
      </c>
      <c r="AD2636" s="0" t="str">
        <f aca="false">IF(Y2636=1,"",IF(AND(Z2636=1,AB2636&lt;&gt;1),1,0))</f>
        <v/>
      </c>
      <c r="AE2636" s="0" t="str">
        <f aca="false">IF(Y2636=1,"",IF(AND(AA2636=1,AC2636&lt;&gt;1),1,0))</f>
        <v/>
      </c>
      <c r="AF2636" s="45" t="str">
        <f aca="false">IF(AND(E2636&gt;0,Y2636&lt;1,NOT(AND(C2637=C2636,Y2637=Y2636+1))),INDEX(DATAS,Y2636+1),"")</f>
        <v/>
      </c>
      <c r="AG2636" s="45" t="str">
        <f aca="false">IF(AND(AA2636=1,Y2636&lt;1),IF(AND(C2637=C2636,Y2637=Y2636+1),IF(AA2637=1,"",INDEX(DATAS,Y2636+1)),INDEX(DATAS,Y2636+1)),"")</f>
        <v/>
      </c>
    </row>
    <row r="2637" customFormat="false" ht="15" hidden="false" customHeight="false" outlineLevel="0" collapsed="false">
      <c r="A2637" s="45" t="n">
        <v>46309</v>
      </c>
      <c r="B2637" s="0" t="n">
        <v>13</v>
      </c>
      <c r="C2637" s="0" t="n">
        <v>6985</v>
      </c>
      <c r="E2637" s="0" t="n">
        <v>0</v>
      </c>
      <c r="F2637" s="39" t="s">
        <v>1299</v>
      </c>
      <c r="I2637" s="39" t="s">
        <v>136</v>
      </c>
      <c r="U2637" s="0" t="n">
        <v>385</v>
      </c>
      <c r="V2637" s="0" t="n">
        <v>0</v>
      </c>
      <c r="W2637" s="39" t="n">
        <f aca="false">IF(I2637="Male",0,1)</f>
        <v>1</v>
      </c>
      <c r="X2637" s="39" t="n">
        <f aca="false">IF(OR(I2637="DNB",I2637="Dry DNB"),1,0)</f>
        <v>0</v>
      </c>
      <c r="Y2637" s="39" t="n">
        <f aca="false">MATCH(A2637,DATAS,0)</f>
        <v>1</v>
      </c>
      <c r="Z2637" s="39" t="n">
        <f aca="false">IF(AND(E2637&gt;0,OR(AND(B2637&gt;=1,B2637&lt;=6),B2637=10)),1,0)</f>
        <v>0</v>
      </c>
      <c r="AA2637" s="39" t="n">
        <f aca="false">IF(AND(E2637&gt;0,B2637=10),1,0)</f>
        <v>0</v>
      </c>
      <c r="AB2637" s="0" t="str">
        <f aca="false">IF(AND(C2636=C2637,Y2636=Y2637-1),Z2636,"")</f>
        <v/>
      </c>
      <c r="AC2637" s="0" t="str">
        <f aca="false">IF(AND(C2636=C2637,Y2636=Y2637-1),AA2636,"")</f>
        <v/>
      </c>
      <c r="AD2637" s="0" t="str">
        <f aca="false">IF(Y2637=1,"",IF(AND(Z2637=1,AB2637&lt;&gt;1),1,0))</f>
        <v/>
      </c>
      <c r="AE2637" s="0" t="str">
        <f aca="false">IF(Y2637=1,"",IF(AND(AA2637=1,AC2637&lt;&gt;1),1,0))</f>
        <v/>
      </c>
      <c r="AF2637" s="45" t="str">
        <f aca="false">IF(AND(E2637&gt;0,Y2637&lt;1,NOT(AND(C2638=C2637,Y2638=Y2637+1))),INDEX(DATAS,Y2637+1),"")</f>
        <v/>
      </c>
      <c r="AG2637" s="45" t="str">
        <f aca="false">IF(AND(AA2637=1,Y2637&lt;1),IF(AND(C2638=C2637,Y2638=Y2637+1),IF(AA2638=1,"",INDEX(DATAS,Y2637+1)),INDEX(DATAS,Y2637+1)),"")</f>
        <v/>
      </c>
    </row>
    <row r="2638" customFormat="false" ht="15" hidden="false" customHeight="false" outlineLevel="0" collapsed="false">
      <c r="A2638" s="45" t="n">
        <v>46309</v>
      </c>
      <c r="B2638" s="0" t="n">
        <v>13</v>
      </c>
      <c r="C2638" s="0" t="n">
        <v>6986</v>
      </c>
      <c r="E2638" s="0" t="n">
        <v>0</v>
      </c>
      <c r="F2638" s="39" t="s">
        <v>1300</v>
      </c>
      <c r="I2638" s="39" t="s">
        <v>136</v>
      </c>
      <c r="U2638" s="0" t="n">
        <v>384</v>
      </c>
      <c r="V2638" s="0" t="n">
        <v>0</v>
      </c>
      <c r="W2638" s="39" t="n">
        <f aca="false">IF(I2638="Male",0,1)</f>
        <v>1</v>
      </c>
      <c r="X2638" s="39" t="n">
        <f aca="false">IF(OR(I2638="DNB",I2638="Dry DNB"),1,0)</f>
        <v>0</v>
      </c>
      <c r="Y2638" s="39" t="n">
        <f aca="false">MATCH(A2638,DATAS,0)</f>
        <v>1</v>
      </c>
      <c r="Z2638" s="39" t="n">
        <f aca="false">IF(AND(E2638&gt;0,OR(AND(B2638&gt;=1,B2638&lt;=6),B2638=10)),1,0)</f>
        <v>0</v>
      </c>
      <c r="AA2638" s="39" t="n">
        <f aca="false">IF(AND(E2638&gt;0,B2638=10),1,0)</f>
        <v>0</v>
      </c>
      <c r="AB2638" s="0" t="str">
        <f aca="false">IF(AND(C2637=C2638,Y2637=Y2638-1),Z2637,"")</f>
        <v/>
      </c>
      <c r="AC2638" s="0" t="str">
        <f aca="false">IF(AND(C2637=C2638,Y2637=Y2638-1),AA2637,"")</f>
        <v/>
      </c>
      <c r="AD2638" s="0" t="str">
        <f aca="false">IF(Y2638=1,"",IF(AND(Z2638=1,AB2638&lt;&gt;1),1,0))</f>
        <v/>
      </c>
      <c r="AE2638" s="0" t="str">
        <f aca="false">IF(Y2638=1,"",IF(AND(AA2638=1,AC2638&lt;&gt;1),1,0))</f>
        <v/>
      </c>
      <c r="AF2638" s="45" t="str">
        <f aca="false">IF(AND(E2638&gt;0,Y2638&lt;1,NOT(AND(C2639=C2638,Y2639=Y2638+1))),INDEX(DATAS,Y2638+1),"")</f>
        <v/>
      </c>
      <c r="AG2638" s="45" t="str">
        <f aca="false">IF(AND(AA2638=1,Y2638&lt;1),IF(AND(C2639=C2638,Y2639=Y2638+1),IF(AA2639=1,"",INDEX(DATAS,Y2638+1)),INDEX(DATAS,Y2638+1)),"")</f>
        <v/>
      </c>
    </row>
    <row r="2639" customFormat="false" ht="15" hidden="false" customHeight="false" outlineLevel="0" collapsed="false">
      <c r="A2639" s="45" t="n">
        <v>46309</v>
      </c>
      <c r="B2639" s="0" t="n">
        <v>13</v>
      </c>
      <c r="C2639" s="0" t="n">
        <v>6987</v>
      </c>
      <c r="E2639" s="0" t="n">
        <v>0</v>
      </c>
      <c r="F2639" s="39" t="s">
        <v>1300</v>
      </c>
      <c r="I2639" s="39" t="s">
        <v>136</v>
      </c>
      <c r="U2639" s="0" t="n">
        <v>384</v>
      </c>
      <c r="V2639" s="0" t="n">
        <v>0</v>
      </c>
      <c r="W2639" s="39" t="n">
        <f aca="false">IF(I2639="Male",0,1)</f>
        <v>1</v>
      </c>
      <c r="X2639" s="39" t="n">
        <f aca="false">IF(OR(I2639="DNB",I2639="Dry DNB"),1,0)</f>
        <v>0</v>
      </c>
      <c r="Y2639" s="39" t="n">
        <f aca="false">MATCH(A2639,DATAS,0)</f>
        <v>1</v>
      </c>
      <c r="Z2639" s="39" t="n">
        <f aca="false">IF(AND(E2639&gt;0,OR(AND(B2639&gt;=1,B2639&lt;=6),B2639=10)),1,0)</f>
        <v>0</v>
      </c>
      <c r="AA2639" s="39" t="n">
        <f aca="false">IF(AND(E2639&gt;0,B2639=10),1,0)</f>
        <v>0</v>
      </c>
      <c r="AB2639" s="0" t="str">
        <f aca="false">IF(AND(C2638=C2639,Y2638=Y2639-1),Z2638,"")</f>
        <v/>
      </c>
      <c r="AC2639" s="0" t="str">
        <f aca="false">IF(AND(C2638=C2639,Y2638=Y2639-1),AA2638,"")</f>
        <v/>
      </c>
      <c r="AD2639" s="0" t="str">
        <f aca="false">IF(Y2639=1,"",IF(AND(Z2639=1,AB2639&lt;&gt;1),1,0))</f>
        <v/>
      </c>
      <c r="AE2639" s="0" t="str">
        <f aca="false">IF(Y2639=1,"",IF(AND(AA2639=1,AC2639&lt;&gt;1),1,0))</f>
        <v/>
      </c>
      <c r="AF2639" s="45" t="str">
        <f aca="false">IF(AND(E2639&gt;0,Y2639&lt;1,NOT(AND(C2640=C2639,Y2640=Y2639+1))),INDEX(DATAS,Y2639+1),"")</f>
        <v/>
      </c>
      <c r="AG2639" s="45" t="str">
        <f aca="false">IF(AND(AA2639=1,Y2639&lt;1),IF(AND(C2640=C2639,Y2640=Y2639+1),IF(AA2640=1,"",INDEX(DATAS,Y2639+1)),INDEX(DATAS,Y2639+1)),"")</f>
        <v/>
      </c>
    </row>
    <row r="2640" customFormat="false" ht="15" hidden="false" customHeight="false" outlineLevel="0" collapsed="false">
      <c r="A2640" s="45" t="n">
        <v>46309</v>
      </c>
      <c r="B2640" s="0" t="n">
        <v>13</v>
      </c>
      <c r="C2640" s="0" t="n">
        <v>6988</v>
      </c>
      <c r="E2640" s="0" t="n">
        <v>0</v>
      </c>
      <c r="F2640" s="39" t="s">
        <v>1300</v>
      </c>
      <c r="I2640" s="39" t="s">
        <v>136</v>
      </c>
      <c r="U2640" s="0" t="n">
        <v>384</v>
      </c>
      <c r="V2640" s="0" t="n">
        <v>0</v>
      </c>
      <c r="W2640" s="39" t="n">
        <f aca="false">IF(I2640="Male",0,1)</f>
        <v>1</v>
      </c>
      <c r="X2640" s="39" t="n">
        <f aca="false">IF(OR(I2640="DNB",I2640="Dry DNB"),1,0)</f>
        <v>0</v>
      </c>
      <c r="Y2640" s="39" t="n">
        <f aca="false">MATCH(A2640,DATAS,0)</f>
        <v>1</v>
      </c>
      <c r="Z2640" s="39" t="n">
        <f aca="false">IF(AND(E2640&gt;0,OR(AND(B2640&gt;=1,B2640&lt;=6),B2640=10)),1,0)</f>
        <v>0</v>
      </c>
      <c r="AA2640" s="39" t="n">
        <f aca="false">IF(AND(E2640&gt;0,B2640=10),1,0)</f>
        <v>0</v>
      </c>
      <c r="AB2640" s="0" t="str">
        <f aca="false">IF(AND(C2639=C2640,Y2639=Y2640-1),Z2639,"")</f>
        <v/>
      </c>
      <c r="AC2640" s="0" t="str">
        <f aca="false">IF(AND(C2639=C2640,Y2639=Y2640-1),AA2639,"")</f>
        <v/>
      </c>
      <c r="AD2640" s="0" t="str">
        <f aca="false">IF(Y2640=1,"",IF(AND(Z2640=1,AB2640&lt;&gt;1),1,0))</f>
        <v/>
      </c>
      <c r="AE2640" s="0" t="str">
        <f aca="false">IF(Y2640=1,"",IF(AND(AA2640=1,AC2640&lt;&gt;1),1,0))</f>
        <v/>
      </c>
      <c r="AF2640" s="45" t="str">
        <f aca="false">IF(AND(E2640&gt;0,Y2640&lt;1,NOT(AND(C2641=C2640,Y2641=Y2640+1))),INDEX(DATAS,Y2640+1),"")</f>
        <v/>
      </c>
      <c r="AG2640" s="45" t="str">
        <f aca="false">IF(AND(AA2640=1,Y2640&lt;1),IF(AND(C2641=C2640,Y2641=Y2640+1),IF(AA2641=1,"",INDEX(DATAS,Y2640+1)),INDEX(DATAS,Y2640+1)),"")</f>
        <v/>
      </c>
    </row>
    <row r="2641" customFormat="false" ht="15" hidden="false" customHeight="false" outlineLevel="0" collapsed="false">
      <c r="A2641" s="45" t="n">
        <v>46309</v>
      </c>
      <c r="B2641" s="0" t="n">
        <v>13</v>
      </c>
      <c r="C2641" s="0" t="n">
        <v>6989</v>
      </c>
      <c r="E2641" s="0" t="n">
        <v>0</v>
      </c>
      <c r="F2641" s="39" t="s">
        <v>1300</v>
      </c>
      <c r="I2641" s="39" t="s">
        <v>136</v>
      </c>
      <c r="U2641" s="0" t="n">
        <v>384</v>
      </c>
      <c r="V2641" s="0" t="n">
        <v>0</v>
      </c>
      <c r="W2641" s="39" t="n">
        <f aca="false">IF(I2641="Male",0,1)</f>
        <v>1</v>
      </c>
      <c r="X2641" s="39" t="n">
        <f aca="false">IF(OR(I2641="DNB",I2641="Dry DNB"),1,0)</f>
        <v>0</v>
      </c>
      <c r="Y2641" s="39" t="n">
        <f aca="false">MATCH(A2641,DATAS,0)</f>
        <v>1</v>
      </c>
      <c r="Z2641" s="39" t="n">
        <f aca="false">IF(AND(E2641&gt;0,OR(AND(B2641&gt;=1,B2641&lt;=6),B2641=10)),1,0)</f>
        <v>0</v>
      </c>
      <c r="AA2641" s="39" t="n">
        <f aca="false">IF(AND(E2641&gt;0,B2641=10),1,0)</f>
        <v>0</v>
      </c>
      <c r="AB2641" s="0" t="str">
        <f aca="false">IF(AND(C2640=C2641,Y2640=Y2641-1),Z2640,"")</f>
        <v/>
      </c>
      <c r="AC2641" s="0" t="str">
        <f aca="false">IF(AND(C2640=C2641,Y2640=Y2641-1),AA2640,"")</f>
        <v/>
      </c>
      <c r="AD2641" s="0" t="str">
        <f aca="false">IF(Y2641=1,"",IF(AND(Z2641=1,AB2641&lt;&gt;1),1,0))</f>
        <v/>
      </c>
      <c r="AE2641" s="0" t="str">
        <f aca="false">IF(Y2641=1,"",IF(AND(AA2641=1,AC2641&lt;&gt;1),1,0))</f>
        <v/>
      </c>
      <c r="AF2641" s="45" t="str">
        <f aca="false">IF(AND(E2641&gt;0,Y2641&lt;1,NOT(AND(C2642=C2641,Y2642=Y2641+1))),INDEX(DATAS,Y2641+1),"")</f>
        <v/>
      </c>
      <c r="AG2641" s="45" t="str">
        <f aca="false">IF(AND(AA2641=1,Y2641&lt;1),IF(AND(C2642=C2641,Y2642=Y2641+1),IF(AA2642=1,"",INDEX(DATAS,Y2641+1)),INDEX(DATAS,Y2641+1)),"")</f>
        <v/>
      </c>
    </row>
    <row r="2642" customFormat="false" ht="15" hidden="false" customHeight="false" outlineLevel="0" collapsed="false">
      <c r="A2642" s="45" t="n">
        <v>46309</v>
      </c>
      <c r="B2642" s="0" t="n">
        <v>13</v>
      </c>
      <c r="C2642" s="0" t="n">
        <v>6990</v>
      </c>
      <c r="E2642" s="0" t="n">
        <v>0</v>
      </c>
      <c r="F2642" s="39" t="s">
        <v>1301</v>
      </c>
      <c r="I2642" s="39" t="s">
        <v>136</v>
      </c>
      <c r="U2642" s="0" t="n">
        <v>383</v>
      </c>
      <c r="V2642" s="0" t="n">
        <v>0</v>
      </c>
      <c r="W2642" s="39" t="n">
        <f aca="false">IF(I2642="Male",0,1)</f>
        <v>1</v>
      </c>
      <c r="X2642" s="39" t="n">
        <f aca="false">IF(OR(I2642="DNB",I2642="Dry DNB"),1,0)</f>
        <v>0</v>
      </c>
      <c r="Y2642" s="39" t="n">
        <f aca="false">MATCH(A2642,DATAS,0)</f>
        <v>1</v>
      </c>
      <c r="Z2642" s="39" t="n">
        <f aca="false">IF(AND(E2642&gt;0,OR(AND(B2642&gt;=1,B2642&lt;=6),B2642=10)),1,0)</f>
        <v>0</v>
      </c>
      <c r="AA2642" s="39" t="n">
        <f aca="false">IF(AND(E2642&gt;0,B2642=10),1,0)</f>
        <v>0</v>
      </c>
      <c r="AB2642" s="0" t="str">
        <f aca="false">IF(AND(C2641=C2642,Y2641=Y2642-1),Z2641,"")</f>
        <v/>
      </c>
      <c r="AC2642" s="0" t="str">
        <f aca="false">IF(AND(C2641=C2642,Y2641=Y2642-1),AA2641,"")</f>
        <v/>
      </c>
      <c r="AD2642" s="0" t="str">
        <f aca="false">IF(Y2642=1,"",IF(AND(Z2642=1,AB2642&lt;&gt;1),1,0))</f>
        <v/>
      </c>
      <c r="AE2642" s="0" t="str">
        <f aca="false">IF(Y2642=1,"",IF(AND(AA2642=1,AC2642&lt;&gt;1),1,0))</f>
        <v/>
      </c>
      <c r="AF2642" s="45" t="str">
        <f aca="false">IF(AND(E2642&gt;0,Y2642&lt;1,NOT(AND(C2643=C2642,Y2643=Y2642+1))),INDEX(DATAS,Y2642+1),"")</f>
        <v/>
      </c>
      <c r="AG2642" s="45" t="str">
        <f aca="false">IF(AND(AA2642=1,Y2642&lt;1),IF(AND(C2643=C2642,Y2643=Y2642+1),IF(AA2643=1,"",INDEX(DATAS,Y2642+1)),INDEX(DATAS,Y2642+1)),"")</f>
        <v/>
      </c>
    </row>
    <row r="2643" customFormat="false" ht="15" hidden="false" customHeight="false" outlineLevel="0" collapsed="false">
      <c r="A2643" s="45" t="n">
        <v>46309</v>
      </c>
      <c r="B2643" s="0" t="n">
        <v>13</v>
      </c>
      <c r="C2643" s="0" t="n">
        <v>6991</v>
      </c>
      <c r="E2643" s="0" t="n">
        <v>0</v>
      </c>
      <c r="F2643" s="39" t="s">
        <v>1301</v>
      </c>
      <c r="I2643" s="39" t="s">
        <v>136</v>
      </c>
      <c r="U2643" s="0" t="n">
        <v>383</v>
      </c>
      <c r="V2643" s="0" t="n">
        <v>0</v>
      </c>
      <c r="W2643" s="39" t="n">
        <f aca="false">IF(I2643="Male",0,1)</f>
        <v>1</v>
      </c>
      <c r="X2643" s="39" t="n">
        <f aca="false">IF(OR(I2643="DNB",I2643="Dry DNB"),1,0)</f>
        <v>0</v>
      </c>
      <c r="Y2643" s="39" t="n">
        <f aca="false">MATCH(A2643,DATAS,0)</f>
        <v>1</v>
      </c>
      <c r="Z2643" s="39" t="n">
        <f aca="false">IF(AND(E2643&gt;0,OR(AND(B2643&gt;=1,B2643&lt;=6),B2643=10)),1,0)</f>
        <v>0</v>
      </c>
      <c r="AA2643" s="39" t="n">
        <f aca="false">IF(AND(E2643&gt;0,B2643=10),1,0)</f>
        <v>0</v>
      </c>
      <c r="AB2643" s="0" t="str">
        <f aca="false">IF(AND(C2642=C2643,Y2642=Y2643-1),Z2642,"")</f>
        <v/>
      </c>
      <c r="AC2643" s="0" t="str">
        <f aca="false">IF(AND(C2642=C2643,Y2642=Y2643-1),AA2642,"")</f>
        <v/>
      </c>
      <c r="AD2643" s="0" t="str">
        <f aca="false">IF(Y2643=1,"",IF(AND(Z2643=1,AB2643&lt;&gt;1),1,0))</f>
        <v/>
      </c>
      <c r="AE2643" s="0" t="str">
        <f aca="false">IF(Y2643=1,"",IF(AND(AA2643=1,AC2643&lt;&gt;1),1,0))</f>
        <v/>
      </c>
      <c r="AF2643" s="45" t="str">
        <f aca="false">IF(AND(E2643&gt;0,Y2643&lt;1,NOT(AND(C2644=C2643,Y2644=Y2643+1))),INDEX(DATAS,Y2643+1),"")</f>
        <v/>
      </c>
      <c r="AG2643" s="45" t="str">
        <f aca="false">IF(AND(AA2643=1,Y2643&lt;1),IF(AND(C2644=C2643,Y2644=Y2643+1),IF(AA2644=1,"",INDEX(DATAS,Y2643+1)),INDEX(DATAS,Y2643+1)),"")</f>
        <v/>
      </c>
    </row>
    <row r="2644" customFormat="false" ht="15" hidden="false" customHeight="false" outlineLevel="0" collapsed="false">
      <c r="A2644" s="45" t="n">
        <v>46309</v>
      </c>
      <c r="B2644" s="0" t="n">
        <v>13</v>
      </c>
      <c r="C2644" s="0" t="n">
        <v>6992</v>
      </c>
      <c r="E2644" s="0" t="n">
        <v>0</v>
      </c>
      <c r="F2644" s="39" t="s">
        <v>1301</v>
      </c>
      <c r="I2644" s="39" t="s">
        <v>136</v>
      </c>
      <c r="U2644" s="0" t="n">
        <v>383</v>
      </c>
      <c r="V2644" s="0" t="n">
        <v>0</v>
      </c>
      <c r="W2644" s="39" t="n">
        <f aca="false">IF(I2644="Male",0,1)</f>
        <v>1</v>
      </c>
      <c r="X2644" s="39" t="n">
        <f aca="false">IF(OR(I2644="DNB",I2644="Dry DNB"),1,0)</f>
        <v>0</v>
      </c>
      <c r="Y2644" s="39" t="n">
        <f aca="false">MATCH(A2644,DATAS,0)</f>
        <v>1</v>
      </c>
      <c r="Z2644" s="39" t="n">
        <f aca="false">IF(AND(E2644&gt;0,OR(AND(B2644&gt;=1,B2644&lt;=6),B2644=10)),1,0)</f>
        <v>0</v>
      </c>
      <c r="AA2644" s="39" t="n">
        <f aca="false">IF(AND(E2644&gt;0,B2644=10),1,0)</f>
        <v>0</v>
      </c>
      <c r="AB2644" s="0" t="str">
        <f aca="false">IF(AND(C2643=C2644,Y2643=Y2644-1),Z2643,"")</f>
        <v/>
      </c>
      <c r="AC2644" s="0" t="str">
        <f aca="false">IF(AND(C2643=C2644,Y2643=Y2644-1),AA2643,"")</f>
        <v/>
      </c>
      <c r="AD2644" s="0" t="str">
        <f aca="false">IF(Y2644=1,"",IF(AND(Z2644=1,AB2644&lt;&gt;1),1,0))</f>
        <v/>
      </c>
      <c r="AE2644" s="0" t="str">
        <f aca="false">IF(Y2644=1,"",IF(AND(AA2644=1,AC2644&lt;&gt;1),1,0))</f>
        <v/>
      </c>
      <c r="AF2644" s="45" t="str">
        <f aca="false">IF(AND(E2644&gt;0,Y2644&lt;1,NOT(AND(C2645=C2644,Y2645=Y2644+1))),INDEX(DATAS,Y2644+1),"")</f>
        <v/>
      </c>
      <c r="AG2644" s="45" t="str">
        <f aca="false">IF(AND(AA2644=1,Y2644&lt;1),IF(AND(C2645=C2644,Y2645=Y2644+1),IF(AA2645=1,"",INDEX(DATAS,Y2644+1)),INDEX(DATAS,Y2644+1)),"")</f>
        <v/>
      </c>
    </row>
    <row r="2645" customFormat="false" ht="15" hidden="false" customHeight="false" outlineLevel="0" collapsed="false">
      <c r="A2645" s="45" t="n">
        <v>46309</v>
      </c>
      <c r="B2645" s="0" t="n">
        <v>13</v>
      </c>
      <c r="C2645" s="0" t="n">
        <v>6993</v>
      </c>
      <c r="E2645" s="0" t="n">
        <v>0</v>
      </c>
      <c r="F2645" s="39" t="s">
        <v>1301</v>
      </c>
      <c r="I2645" s="39" t="s">
        <v>136</v>
      </c>
      <c r="U2645" s="0" t="n">
        <v>383</v>
      </c>
      <c r="V2645" s="0" t="n">
        <v>0</v>
      </c>
      <c r="W2645" s="39" t="n">
        <f aca="false">IF(I2645="Male",0,1)</f>
        <v>1</v>
      </c>
      <c r="X2645" s="39" t="n">
        <f aca="false">IF(OR(I2645="DNB",I2645="Dry DNB"),1,0)</f>
        <v>0</v>
      </c>
      <c r="Y2645" s="39" t="n">
        <f aca="false">MATCH(A2645,DATAS,0)</f>
        <v>1</v>
      </c>
      <c r="Z2645" s="39" t="n">
        <f aca="false">IF(AND(E2645&gt;0,OR(AND(B2645&gt;=1,B2645&lt;=6),B2645=10)),1,0)</f>
        <v>0</v>
      </c>
      <c r="AA2645" s="39" t="n">
        <f aca="false">IF(AND(E2645&gt;0,B2645=10),1,0)</f>
        <v>0</v>
      </c>
      <c r="AB2645" s="0" t="str">
        <f aca="false">IF(AND(C2644=C2645,Y2644=Y2645-1),Z2644,"")</f>
        <v/>
      </c>
      <c r="AC2645" s="0" t="str">
        <f aca="false">IF(AND(C2644=C2645,Y2644=Y2645-1),AA2644,"")</f>
        <v/>
      </c>
      <c r="AD2645" s="0" t="str">
        <f aca="false">IF(Y2645=1,"",IF(AND(Z2645=1,AB2645&lt;&gt;1),1,0))</f>
        <v/>
      </c>
      <c r="AE2645" s="0" t="str">
        <f aca="false">IF(Y2645=1,"",IF(AND(AA2645=1,AC2645&lt;&gt;1),1,0))</f>
        <v/>
      </c>
      <c r="AF2645" s="45" t="str">
        <f aca="false">IF(AND(E2645&gt;0,Y2645&lt;1,NOT(AND(C2646=C2645,Y2646=Y2645+1))),INDEX(DATAS,Y2645+1),"")</f>
        <v/>
      </c>
      <c r="AG2645" s="45" t="str">
        <f aca="false">IF(AND(AA2645=1,Y2645&lt;1),IF(AND(C2646=C2645,Y2646=Y2645+1),IF(AA2646=1,"",INDEX(DATAS,Y2645+1)),INDEX(DATAS,Y2645+1)),"")</f>
        <v/>
      </c>
    </row>
    <row r="2646" customFormat="false" ht="15" hidden="false" customHeight="false" outlineLevel="0" collapsed="false">
      <c r="A2646" s="45" t="n">
        <v>46309</v>
      </c>
      <c r="B2646" s="0" t="n">
        <v>13</v>
      </c>
      <c r="C2646" s="0" t="n">
        <v>6994</v>
      </c>
      <c r="E2646" s="0" t="n">
        <v>0</v>
      </c>
      <c r="F2646" s="39" t="s">
        <v>1302</v>
      </c>
      <c r="I2646" s="39" t="s">
        <v>136</v>
      </c>
      <c r="U2646" s="0" t="n">
        <v>382</v>
      </c>
      <c r="V2646" s="0" t="n">
        <v>0</v>
      </c>
      <c r="W2646" s="39" t="n">
        <f aca="false">IF(I2646="Male",0,1)</f>
        <v>1</v>
      </c>
      <c r="X2646" s="39" t="n">
        <f aca="false">IF(OR(I2646="DNB",I2646="Dry DNB"),1,0)</f>
        <v>0</v>
      </c>
      <c r="Y2646" s="39" t="n">
        <f aca="false">MATCH(A2646,DATAS,0)</f>
        <v>1</v>
      </c>
      <c r="Z2646" s="39" t="n">
        <f aca="false">IF(AND(E2646&gt;0,OR(AND(B2646&gt;=1,B2646&lt;=6),B2646=10)),1,0)</f>
        <v>0</v>
      </c>
      <c r="AA2646" s="39" t="n">
        <f aca="false">IF(AND(E2646&gt;0,B2646=10),1,0)</f>
        <v>0</v>
      </c>
      <c r="AB2646" s="0" t="str">
        <f aca="false">IF(AND(C2645=C2646,Y2645=Y2646-1),Z2645,"")</f>
        <v/>
      </c>
      <c r="AC2646" s="0" t="str">
        <f aca="false">IF(AND(C2645=C2646,Y2645=Y2646-1),AA2645,"")</f>
        <v/>
      </c>
      <c r="AD2646" s="0" t="str">
        <f aca="false">IF(Y2646=1,"",IF(AND(Z2646=1,AB2646&lt;&gt;1),1,0))</f>
        <v/>
      </c>
      <c r="AE2646" s="0" t="str">
        <f aca="false">IF(Y2646=1,"",IF(AND(AA2646=1,AC2646&lt;&gt;1),1,0))</f>
        <v/>
      </c>
      <c r="AF2646" s="45" t="str">
        <f aca="false">IF(AND(E2646&gt;0,Y2646&lt;1,NOT(AND(C2647=C2646,Y2647=Y2646+1))),INDEX(DATAS,Y2646+1),"")</f>
        <v/>
      </c>
      <c r="AG2646" s="45" t="str">
        <f aca="false">IF(AND(AA2646=1,Y2646&lt;1),IF(AND(C2647=C2646,Y2647=Y2646+1),IF(AA2647=1,"",INDEX(DATAS,Y2646+1)),INDEX(DATAS,Y2646+1)),"")</f>
        <v/>
      </c>
    </row>
    <row r="2647" customFormat="false" ht="15" hidden="false" customHeight="false" outlineLevel="0" collapsed="false">
      <c r="A2647" s="45" t="n">
        <v>46309</v>
      </c>
      <c r="B2647" s="0" t="n">
        <v>13</v>
      </c>
      <c r="C2647" s="0" t="n">
        <v>6995</v>
      </c>
      <c r="E2647" s="0" t="n">
        <v>0</v>
      </c>
      <c r="F2647" s="39" t="s">
        <v>1302</v>
      </c>
      <c r="I2647" s="39" t="s">
        <v>136</v>
      </c>
      <c r="U2647" s="0" t="n">
        <v>382</v>
      </c>
      <c r="V2647" s="0" t="n">
        <v>0</v>
      </c>
      <c r="W2647" s="39" t="n">
        <f aca="false">IF(I2647="Male",0,1)</f>
        <v>1</v>
      </c>
      <c r="X2647" s="39" t="n">
        <f aca="false">IF(OR(I2647="DNB",I2647="Dry DNB"),1,0)</f>
        <v>0</v>
      </c>
      <c r="Y2647" s="39" t="n">
        <f aca="false">MATCH(A2647,DATAS,0)</f>
        <v>1</v>
      </c>
      <c r="Z2647" s="39" t="n">
        <f aca="false">IF(AND(E2647&gt;0,OR(AND(B2647&gt;=1,B2647&lt;=6),B2647=10)),1,0)</f>
        <v>0</v>
      </c>
      <c r="AA2647" s="39" t="n">
        <f aca="false">IF(AND(E2647&gt;0,B2647=10),1,0)</f>
        <v>0</v>
      </c>
      <c r="AB2647" s="0" t="str">
        <f aca="false">IF(AND(C2646=C2647,Y2646=Y2647-1),Z2646,"")</f>
        <v/>
      </c>
      <c r="AC2647" s="0" t="str">
        <f aca="false">IF(AND(C2646=C2647,Y2646=Y2647-1),AA2646,"")</f>
        <v/>
      </c>
      <c r="AD2647" s="0" t="str">
        <f aca="false">IF(Y2647=1,"",IF(AND(Z2647=1,AB2647&lt;&gt;1),1,0))</f>
        <v/>
      </c>
      <c r="AE2647" s="0" t="str">
        <f aca="false">IF(Y2647=1,"",IF(AND(AA2647=1,AC2647&lt;&gt;1),1,0))</f>
        <v/>
      </c>
      <c r="AF2647" s="45" t="str">
        <f aca="false">IF(AND(E2647&gt;0,Y2647&lt;1,NOT(AND(C2648=C2647,Y2648=Y2647+1))),INDEX(DATAS,Y2647+1),"")</f>
        <v/>
      </c>
      <c r="AG2647" s="45" t="str">
        <f aca="false">IF(AND(AA2647=1,Y2647&lt;1),IF(AND(C2648=C2647,Y2648=Y2647+1),IF(AA2648=1,"",INDEX(DATAS,Y2647+1)),INDEX(DATAS,Y2647+1)),"")</f>
        <v/>
      </c>
    </row>
    <row r="2648" customFormat="false" ht="15" hidden="false" customHeight="false" outlineLevel="0" collapsed="false">
      <c r="A2648" s="45" t="n">
        <v>46309</v>
      </c>
      <c r="B2648" s="0" t="n">
        <v>13</v>
      </c>
      <c r="C2648" s="0" t="n">
        <v>6996</v>
      </c>
      <c r="E2648" s="0" t="n">
        <v>0</v>
      </c>
      <c r="F2648" s="39" t="s">
        <v>1302</v>
      </c>
      <c r="I2648" s="39" t="s">
        <v>136</v>
      </c>
      <c r="U2648" s="0" t="n">
        <v>382</v>
      </c>
      <c r="V2648" s="0" t="n">
        <v>0</v>
      </c>
      <c r="W2648" s="39" t="n">
        <f aca="false">IF(I2648="Male",0,1)</f>
        <v>1</v>
      </c>
      <c r="X2648" s="39" t="n">
        <f aca="false">IF(OR(I2648="DNB",I2648="Dry DNB"),1,0)</f>
        <v>0</v>
      </c>
      <c r="Y2648" s="39" t="n">
        <f aca="false">MATCH(A2648,DATAS,0)</f>
        <v>1</v>
      </c>
      <c r="Z2648" s="39" t="n">
        <f aca="false">IF(AND(E2648&gt;0,OR(AND(B2648&gt;=1,B2648&lt;=6),B2648=10)),1,0)</f>
        <v>0</v>
      </c>
      <c r="AA2648" s="39" t="n">
        <f aca="false">IF(AND(E2648&gt;0,B2648=10),1,0)</f>
        <v>0</v>
      </c>
      <c r="AB2648" s="0" t="str">
        <f aca="false">IF(AND(C2647=C2648,Y2647=Y2648-1),Z2647,"")</f>
        <v/>
      </c>
      <c r="AC2648" s="0" t="str">
        <f aca="false">IF(AND(C2647=C2648,Y2647=Y2648-1),AA2647,"")</f>
        <v/>
      </c>
      <c r="AD2648" s="0" t="str">
        <f aca="false">IF(Y2648=1,"",IF(AND(Z2648=1,AB2648&lt;&gt;1),1,0))</f>
        <v/>
      </c>
      <c r="AE2648" s="0" t="str">
        <f aca="false">IF(Y2648=1,"",IF(AND(AA2648=1,AC2648&lt;&gt;1),1,0))</f>
        <v/>
      </c>
      <c r="AF2648" s="45" t="str">
        <f aca="false">IF(AND(E2648&gt;0,Y2648&lt;1,NOT(AND(C2649=C2648,Y2649=Y2648+1))),INDEX(DATAS,Y2648+1),"")</f>
        <v/>
      </c>
      <c r="AG2648" s="45" t="str">
        <f aca="false">IF(AND(AA2648=1,Y2648&lt;1),IF(AND(C2649=C2648,Y2649=Y2648+1),IF(AA2649=1,"",INDEX(DATAS,Y2648+1)),INDEX(DATAS,Y2648+1)),"")</f>
        <v/>
      </c>
    </row>
    <row r="2649" customFormat="false" ht="15" hidden="false" customHeight="false" outlineLevel="0" collapsed="false">
      <c r="A2649" s="45" t="n">
        <v>46309</v>
      </c>
      <c r="B2649" s="0" t="n">
        <v>13</v>
      </c>
      <c r="C2649" s="0" t="n">
        <v>6997</v>
      </c>
      <c r="E2649" s="0" t="n">
        <v>0</v>
      </c>
      <c r="F2649" s="39" t="s">
        <v>1303</v>
      </c>
      <c r="I2649" s="39" t="s">
        <v>136</v>
      </c>
      <c r="U2649" s="0" t="n">
        <v>381</v>
      </c>
      <c r="V2649" s="0" t="n">
        <v>0</v>
      </c>
      <c r="W2649" s="39" t="n">
        <f aca="false">IF(I2649="Male",0,1)</f>
        <v>1</v>
      </c>
      <c r="X2649" s="39" t="n">
        <f aca="false">IF(OR(I2649="DNB",I2649="Dry DNB"),1,0)</f>
        <v>0</v>
      </c>
      <c r="Y2649" s="39" t="n">
        <f aca="false">MATCH(A2649,DATAS,0)</f>
        <v>1</v>
      </c>
      <c r="Z2649" s="39" t="n">
        <f aca="false">IF(AND(E2649&gt;0,OR(AND(B2649&gt;=1,B2649&lt;=6),B2649=10)),1,0)</f>
        <v>0</v>
      </c>
      <c r="AA2649" s="39" t="n">
        <f aca="false">IF(AND(E2649&gt;0,B2649=10),1,0)</f>
        <v>0</v>
      </c>
      <c r="AB2649" s="0" t="str">
        <f aca="false">IF(AND(C2648=C2649,Y2648=Y2649-1),Z2648,"")</f>
        <v/>
      </c>
      <c r="AC2649" s="0" t="str">
        <f aca="false">IF(AND(C2648=C2649,Y2648=Y2649-1),AA2648,"")</f>
        <v/>
      </c>
      <c r="AD2649" s="0" t="str">
        <f aca="false">IF(Y2649=1,"",IF(AND(Z2649=1,AB2649&lt;&gt;1),1,0))</f>
        <v/>
      </c>
      <c r="AE2649" s="0" t="str">
        <f aca="false">IF(Y2649=1,"",IF(AND(AA2649=1,AC2649&lt;&gt;1),1,0))</f>
        <v/>
      </c>
      <c r="AF2649" s="45" t="str">
        <f aca="false">IF(AND(E2649&gt;0,Y2649&lt;1,NOT(AND(C2650=C2649,Y2650=Y2649+1))),INDEX(DATAS,Y2649+1),"")</f>
        <v/>
      </c>
      <c r="AG2649" s="45" t="str">
        <f aca="false">IF(AND(AA2649=1,Y2649&lt;1),IF(AND(C2650=C2649,Y2650=Y2649+1),IF(AA2650=1,"",INDEX(DATAS,Y2649+1)),INDEX(DATAS,Y2649+1)),"")</f>
        <v/>
      </c>
    </row>
    <row r="2650" customFormat="false" ht="15" hidden="false" customHeight="false" outlineLevel="0" collapsed="false">
      <c r="A2650" s="45" t="n">
        <v>46309</v>
      </c>
      <c r="B2650" s="0" t="n">
        <v>13</v>
      </c>
      <c r="C2650" s="0" t="n">
        <v>6998</v>
      </c>
      <c r="E2650" s="0" t="n">
        <v>0</v>
      </c>
      <c r="F2650" s="39" t="s">
        <v>1303</v>
      </c>
      <c r="I2650" s="39" t="s">
        <v>136</v>
      </c>
      <c r="U2650" s="0" t="n">
        <v>381</v>
      </c>
      <c r="V2650" s="0" t="n">
        <v>0</v>
      </c>
      <c r="W2650" s="39" t="n">
        <f aca="false">IF(I2650="Male",0,1)</f>
        <v>1</v>
      </c>
      <c r="X2650" s="39" t="n">
        <f aca="false">IF(OR(I2650="DNB",I2650="Dry DNB"),1,0)</f>
        <v>0</v>
      </c>
      <c r="Y2650" s="39" t="n">
        <f aca="false">MATCH(A2650,DATAS,0)</f>
        <v>1</v>
      </c>
      <c r="Z2650" s="39" t="n">
        <f aca="false">IF(AND(E2650&gt;0,OR(AND(B2650&gt;=1,B2650&lt;=6),B2650=10)),1,0)</f>
        <v>0</v>
      </c>
      <c r="AA2650" s="39" t="n">
        <f aca="false">IF(AND(E2650&gt;0,B2650=10),1,0)</f>
        <v>0</v>
      </c>
      <c r="AB2650" s="0" t="str">
        <f aca="false">IF(AND(C2649=C2650,Y2649=Y2650-1),Z2649,"")</f>
        <v/>
      </c>
      <c r="AC2650" s="0" t="str">
        <f aca="false">IF(AND(C2649=C2650,Y2649=Y2650-1),AA2649,"")</f>
        <v/>
      </c>
      <c r="AD2650" s="0" t="str">
        <f aca="false">IF(Y2650=1,"",IF(AND(Z2650=1,AB2650&lt;&gt;1),1,0))</f>
        <v/>
      </c>
      <c r="AE2650" s="0" t="str">
        <f aca="false">IF(Y2650=1,"",IF(AND(AA2650=1,AC2650&lt;&gt;1),1,0))</f>
        <v/>
      </c>
      <c r="AF2650" s="45" t="str">
        <f aca="false">IF(AND(E2650&gt;0,Y2650&lt;1,NOT(AND(C2651=C2650,Y2651=Y2650+1))),INDEX(DATAS,Y2650+1),"")</f>
        <v/>
      </c>
      <c r="AG2650" s="45" t="str">
        <f aca="false">IF(AND(AA2650=1,Y2650&lt;1),IF(AND(C2651=C2650,Y2651=Y2650+1),IF(AA2651=1,"",INDEX(DATAS,Y2650+1)),INDEX(DATAS,Y2650+1)),"")</f>
        <v/>
      </c>
    </row>
    <row r="2651" customFormat="false" ht="15" hidden="false" customHeight="false" outlineLevel="0" collapsed="false">
      <c r="A2651" s="45" t="n">
        <v>46309</v>
      </c>
      <c r="B2651" s="0" t="n">
        <v>13</v>
      </c>
      <c r="C2651" s="0" t="n">
        <v>6999</v>
      </c>
      <c r="E2651" s="0" t="n">
        <v>0</v>
      </c>
      <c r="F2651" s="39" t="s">
        <v>1304</v>
      </c>
      <c r="I2651" s="39" t="s">
        <v>136</v>
      </c>
      <c r="U2651" s="0" t="n">
        <v>379</v>
      </c>
      <c r="V2651" s="0" t="n">
        <v>0</v>
      </c>
      <c r="W2651" s="39" t="n">
        <f aca="false">IF(I2651="Male",0,1)</f>
        <v>1</v>
      </c>
      <c r="X2651" s="39" t="n">
        <f aca="false">IF(OR(I2651="DNB",I2651="Dry DNB"),1,0)</f>
        <v>0</v>
      </c>
      <c r="Y2651" s="39" t="n">
        <f aca="false">MATCH(A2651,DATAS,0)</f>
        <v>1</v>
      </c>
      <c r="Z2651" s="39" t="n">
        <f aca="false">IF(AND(E2651&gt;0,OR(AND(B2651&gt;=1,B2651&lt;=6),B2651=10)),1,0)</f>
        <v>0</v>
      </c>
      <c r="AA2651" s="39" t="n">
        <f aca="false">IF(AND(E2651&gt;0,B2651=10),1,0)</f>
        <v>0</v>
      </c>
      <c r="AB2651" s="0" t="str">
        <f aca="false">IF(AND(C2650=C2651,Y2650=Y2651-1),Z2650,"")</f>
        <v/>
      </c>
      <c r="AC2651" s="0" t="str">
        <f aca="false">IF(AND(C2650=C2651,Y2650=Y2651-1),AA2650,"")</f>
        <v/>
      </c>
      <c r="AD2651" s="0" t="str">
        <f aca="false">IF(Y2651=1,"",IF(AND(Z2651=1,AB2651&lt;&gt;1),1,0))</f>
        <v/>
      </c>
      <c r="AE2651" s="0" t="str">
        <f aca="false">IF(Y2651=1,"",IF(AND(AA2651=1,AC2651&lt;&gt;1),1,0))</f>
        <v/>
      </c>
      <c r="AF2651" s="45" t="str">
        <f aca="false">IF(AND(E2651&gt;0,Y2651&lt;1,NOT(AND(C2652=C2651,Y2652=Y2651+1))),INDEX(DATAS,Y2651+1),"")</f>
        <v/>
      </c>
      <c r="AG2651" s="45" t="str">
        <f aca="false">IF(AND(AA2651=1,Y2651&lt;1),IF(AND(C2652=C2651,Y2652=Y2651+1),IF(AA2652=1,"",INDEX(DATAS,Y2651+1)),INDEX(DATAS,Y2651+1)),"")</f>
        <v/>
      </c>
    </row>
    <row r="2652" customFormat="false" ht="15" hidden="false" customHeight="false" outlineLevel="0" collapsed="false">
      <c r="A2652" s="45" t="n">
        <v>46309</v>
      </c>
      <c r="B2652" s="0" t="n">
        <v>13</v>
      </c>
      <c r="C2652" s="0" t="n">
        <v>7000</v>
      </c>
      <c r="E2652" s="0" t="n">
        <v>0</v>
      </c>
      <c r="F2652" s="39" t="s">
        <v>1304</v>
      </c>
      <c r="I2652" s="39" t="s">
        <v>136</v>
      </c>
      <c r="U2652" s="0" t="n">
        <v>379</v>
      </c>
      <c r="V2652" s="0" t="n">
        <v>0</v>
      </c>
      <c r="W2652" s="39" t="n">
        <f aca="false">IF(I2652="Male",0,1)</f>
        <v>1</v>
      </c>
      <c r="X2652" s="39" t="n">
        <f aca="false">IF(OR(I2652="DNB",I2652="Dry DNB"),1,0)</f>
        <v>0</v>
      </c>
      <c r="Y2652" s="39" t="n">
        <f aca="false">MATCH(A2652,DATAS,0)</f>
        <v>1</v>
      </c>
      <c r="Z2652" s="39" t="n">
        <f aca="false">IF(AND(E2652&gt;0,OR(AND(B2652&gt;=1,B2652&lt;=6),B2652=10)),1,0)</f>
        <v>0</v>
      </c>
      <c r="AA2652" s="39" t="n">
        <f aca="false">IF(AND(E2652&gt;0,B2652=10),1,0)</f>
        <v>0</v>
      </c>
      <c r="AB2652" s="0" t="str">
        <f aca="false">IF(AND(C2651=C2652,Y2651=Y2652-1),Z2651,"")</f>
        <v/>
      </c>
      <c r="AC2652" s="0" t="str">
        <f aca="false">IF(AND(C2651=C2652,Y2651=Y2652-1),AA2651,"")</f>
        <v/>
      </c>
      <c r="AD2652" s="0" t="str">
        <f aca="false">IF(Y2652=1,"",IF(AND(Z2652=1,AB2652&lt;&gt;1),1,0))</f>
        <v/>
      </c>
      <c r="AE2652" s="0" t="str">
        <f aca="false">IF(Y2652=1,"",IF(AND(AA2652=1,AC2652&lt;&gt;1),1,0))</f>
        <v/>
      </c>
      <c r="AF2652" s="45" t="str">
        <f aca="false">IF(AND(E2652&gt;0,Y2652&lt;1,NOT(AND(C2653=C2652,Y2653=Y2652+1))),INDEX(DATAS,Y2652+1),"")</f>
        <v/>
      </c>
      <c r="AG2652" s="45" t="str">
        <f aca="false">IF(AND(AA2652=1,Y2652&lt;1),IF(AND(C2653=C2652,Y2653=Y2652+1),IF(AA2653=1,"",INDEX(DATAS,Y2652+1)),INDEX(DATAS,Y2652+1)),"")</f>
        <v/>
      </c>
    </row>
    <row r="2653" customFormat="false" ht="15" hidden="false" customHeight="false" outlineLevel="0" collapsed="false">
      <c r="A2653" s="45" t="n">
        <v>46309</v>
      </c>
      <c r="B2653" s="0" t="n">
        <v>13</v>
      </c>
      <c r="C2653" s="0" t="n">
        <v>7001</v>
      </c>
      <c r="E2653" s="0" t="n">
        <v>0</v>
      </c>
      <c r="F2653" s="39" t="s">
        <v>1304</v>
      </c>
      <c r="I2653" s="39" t="s">
        <v>136</v>
      </c>
      <c r="U2653" s="0" t="n">
        <v>379</v>
      </c>
      <c r="V2653" s="0" t="n">
        <v>0</v>
      </c>
      <c r="W2653" s="39" t="n">
        <f aca="false">IF(I2653="Male",0,1)</f>
        <v>1</v>
      </c>
      <c r="X2653" s="39" t="n">
        <f aca="false">IF(OR(I2653="DNB",I2653="Dry DNB"),1,0)</f>
        <v>0</v>
      </c>
      <c r="Y2653" s="39" t="n">
        <f aca="false">MATCH(A2653,DATAS,0)</f>
        <v>1</v>
      </c>
      <c r="Z2653" s="39" t="n">
        <f aca="false">IF(AND(E2653&gt;0,OR(AND(B2653&gt;=1,B2653&lt;=6),B2653=10)),1,0)</f>
        <v>0</v>
      </c>
      <c r="AA2653" s="39" t="n">
        <f aca="false">IF(AND(E2653&gt;0,B2653=10),1,0)</f>
        <v>0</v>
      </c>
      <c r="AB2653" s="0" t="str">
        <f aca="false">IF(AND(C2652=C2653,Y2652=Y2653-1),Z2652,"")</f>
        <v/>
      </c>
      <c r="AC2653" s="0" t="str">
        <f aca="false">IF(AND(C2652=C2653,Y2652=Y2653-1),AA2652,"")</f>
        <v/>
      </c>
      <c r="AD2653" s="0" t="str">
        <f aca="false">IF(Y2653=1,"",IF(AND(Z2653=1,AB2653&lt;&gt;1),1,0))</f>
        <v/>
      </c>
      <c r="AE2653" s="0" t="str">
        <f aca="false">IF(Y2653=1,"",IF(AND(AA2653=1,AC2653&lt;&gt;1),1,0))</f>
        <v/>
      </c>
      <c r="AF2653" s="45" t="str">
        <f aca="false">IF(AND(E2653&gt;0,Y2653&lt;1,NOT(AND(C2654=C2653,Y2654=Y2653+1))),INDEX(DATAS,Y2653+1),"")</f>
        <v/>
      </c>
      <c r="AG2653" s="45" t="str">
        <f aca="false">IF(AND(AA2653=1,Y2653&lt;1),IF(AND(C2654=C2653,Y2654=Y2653+1),IF(AA2654=1,"",INDEX(DATAS,Y2653+1)),INDEX(DATAS,Y2653+1)),"")</f>
        <v/>
      </c>
    </row>
    <row r="2654" customFormat="false" ht="15" hidden="false" customHeight="false" outlineLevel="0" collapsed="false">
      <c r="A2654" s="45" t="n">
        <v>46309</v>
      </c>
      <c r="B2654" s="0" t="n">
        <v>13</v>
      </c>
      <c r="C2654" s="0" t="n">
        <v>7002</v>
      </c>
      <c r="E2654" s="0" t="n">
        <v>0</v>
      </c>
      <c r="F2654" s="39" t="s">
        <v>1304</v>
      </c>
      <c r="I2654" s="39" t="s">
        <v>136</v>
      </c>
      <c r="U2654" s="0" t="n">
        <v>379</v>
      </c>
      <c r="V2654" s="0" t="n">
        <v>0</v>
      </c>
      <c r="W2654" s="39" t="n">
        <f aca="false">IF(I2654="Male",0,1)</f>
        <v>1</v>
      </c>
      <c r="X2654" s="39" t="n">
        <f aca="false">IF(OR(I2654="DNB",I2654="Dry DNB"),1,0)</f>
        <v>0</v>
      </c>
      <c r="Y2654" s="39" t="n">
        <f aca="false">MATCH(A2654,DATAS,0)</f>
        <v>1</v>
      </c>
      <c r="Z2654" s="39" t="n">
        <f aca="false">IF(AND(E2654&gt;0,OR(AND(B2654&gt;=1,B2654&lt;=6),B2654=10)),1,0)</f>
        <v>0</v>
      </c>
      <c r="AA2654" s="39" t="n">
        <f aca="false">IF(AND(E2654&gt;0,B2654=10),1,0)</f>
        <v>0</v>
      </c>
      <c r="AB2654" s="0" t="str">
        <f aca="false">IF(AND(C2653=C2654,Y2653=Y2654-1),Z2653,"")</f>
        <v/>
      </c>
      <c r="AC2654" s="0" t="str">
        <f aca="false">IF(AND(C2653=C2654,Y2653=Y2654-1),AA2653,"")</f>
        <v/>
      </c>
      <c r="AD2654" s="0" t="str">
        <f aca="false">IF(Y2654=1,"",IF(AND(Z2654=1,AB2654&lt;&gt;1),1,0))</f>
        <v/>
      </c>
      <c r="AE2654" s="0" t="str">
        <f aca="false">IF(Y2654=1,"",IF(AND(AA2654=1,AC2654&lt;&gt;1),1,0))</f>
        <v/>
      </c>
      <c r="AF2654" s="45" t="str">
        <f aca="false">IF(AND(E2654&gt;0,Y2654&lt;1,NOT(AND(C2655=C2654,Y2655=Y2654+1))),INDEX(DATAS,Y2654+1),"")</f>
        <v/>
      </c>
      <c r="AG2654" s="45" t="str">
        <f aca="false">IF(AND(AA2654=1,Y2654&lt;1),IF(AND(C2655=C2654,Y2655=Y2654+1),IF(AA2655=1,"",INDEX(DATAS,Y2654+1)),INDEX(DATAS,Y2654+1)),"")</f>
        <v/>
      </c>
    </row>
    <row r="2655" customFormat="false" ht="15" hidden="false" customHeight="false" outlineLevel="0" collapsed="false">
      <c r="A2655" s="45" t="n">
        <v>46309</v>
      </c>
      <c r="B2655" s="0" t="n">
        <v>13</v>
      </c>
      <c r="C2655" s="0" t="n">
        <v>7003</v>
      </c>
      <c r="E2655" s="0" t="n">
        <v>0</v>
      </c>
      <c r="F2655" s="39" t="s">
        <v>1304</v>
      </c>
      <c r="I2655" s="39" t="s">
        <v>136</v>
      </c>
      <c r="U2655" s="0" t="n">
        <v>379</v>
      </c>
      <c r="V2655" s="0" t="n">
        <v>0</v>
      </c>
      <c r="W2655" s="39" t="n">
        <f aca="false">IF(I2655="Male",0,1)</f>
        <v>1</v>
      </c>
      <c r="X2655" s="39" t="n">
        <f aca="false">IF(OR(I2655="DNB",I2655="Dry DNB"),1,0)</f>
        <v>0</v>
      </c>
      <c r="Y2655" s="39" t="n">
        <f aca="false">MATCH(A2655,DATAS,0)</f>
        <v>1</v>
      </c>
      <c r="Z2655" s="39" t="n">
        <f aca="false">IF(AND(E2655&gt;0,OR(AND(B2655&gt;=1,B2655&lt;=6),B2655=10)),1,0)</f>
        <v>0</v>
      </c>
      <c r="AA2655" s="39" t="n">
        <f aca="false">IF(AND(E2655&gt;0,B2655=10),1,0)</f>
        <v>0</v>
      </c>
      <c r="AB2655" s="0" t="str">
        <f aca="false">IF(AND(C2654=C2655,Y2654=Y2655-1),Z2654,"")</f>
        <v/>
      </c>
      <c r="AC2655" s="0" t="str">
        <f aca="false">IF(AND(C2654=C2655,Y2654=Y2655-1),AA2654,"")</f>
        <v/>
      </c>
      <c r="AD2655" s="0" t="str">
        <f aca="false">IF(Y2655=1,"",IF(AND(Z2655=1,AB2655&lt;&gt;1),1,0))</f>
        <v/>
      </c>
      <c r="AE2655" s="0" t="str">
        <f aca="false">IF(Y2655=1,"",IF(AND(AA2655=1,AC2655&lt;&gt;1),1,0))</f>
        <v/>
      </c>
      <c r="AF2655" s="45" t="str">
        <f aca="false">IF(AND(E2655&gt;0,Y2655&lt;1,NOT(AND(C2656=C2655,Y2656=Y2655+1))),INDEX(DATAS,Y2655+1),"")</f>
        <v/>
      </c>
      <c r="AG2655" s="45" t="str">
        <f aca="false">IF(AND(AA2655=1,Y2655&lt;1),IF(AND(C2656=C2655,Y2656=Y2655+1),IF(AA2656=1,"",INDEX(DATAS,Y2655+1)),INDEX(DATAS,Y2655+1)),"")</f>
        <v/>
      </c>
    </row>
    <row r="2656" customFormat="false" ht="15" hidden="false" customHeight="false" outlineLevel="0" collapsed="false">
      <c r="A2656" s="45" t="n">
        <v>46309</v>
      </c>
      <c r="B2656" s="0" t="n">
        <v>13</v>
      </c>
      <c r="C2656" s="0" t="n">
        <v>7004</v>
      </c>
      <c r="E2656" s="0" t="n">
        <v>0</v>
      </c>
      <c r="F2656" s="39" t="s">
        <v>1304</v>
      </c>
      <c r="I2656" s="39" t="s">
        <v>136</v>
      </c>
      <c r="U2656" s="0" t="n">
        <v>379</v>
      </c>
      <c r="V2656" s="0" t="n">
        <v>0</v>
      </c>
      <c r="W2656" s="39" t="n">
        <f aca="false">IF(I2656="Male",0,1)</f>
        <v>1</v>
      </c>
      <c r="X2656" s="39" t="n">
        <f aca="false">IF(OR(I2656="DNB",I2656="Dry DNB"),1,0)</f>
        <v>0</v>
      </c>
      <c r="Y2656" s="39" t="n">
        <f aca="false">MATCH(A2656,DATAS,0)</f>
        <v>1</v>
      </c>
      <c r="Z2656" s="39" t="n">
        <f aca="false">IF(AND(E2656&gt;0,OR(AND(B2656&gt;=1,B2656&lt;=6),B2656=10)),1,0)</f>
        <v>0</v>
      </c>
      <c r="AA2656" s="39" t="n">
        <f aca="false">IF(AND(E2656&gt;0,B2656=10),1,0)</f>
        <v>0</v>
      </c>
      <c r="AB2656" s="0" t="str">
        <f aca="false">IF(AND(C2655=C2656,Y2655=Y2656-1),Z2655,"")</f>
        <v/>
      </c>
      <c r="AC2656" s="0" t="str">
        <f aca="false">IF(AND(C2655=C2656,Y2655=Y2656-1),AA2655,"")</f>
        <v/>
      </c>
      <c r="AD2656" s="0" t="str">
        <f aca="false">IF(Y2656=1,"",IF(AND(Z2656=1,AB2656&lt;&gt;1),1,0))</f>
        <v/>
      </c>
      <c r="AE2656" s="0" t="str">
        <f aca="false">IF(Y2656=1,"",IF(AND(AA2656=1,AC2656&lt;&gt;1),1,0))</f>
        <v/>
      </c>
      <c r="AF2656" s="45" t="str">
        <f aca="false">IF(AND(E2656&gt;0,Y2656&lt;1,NOT(AND(C2657=C2656,Y2657=Y2656+1))),INDEX(DATAS,Y2656+1),"")</f>
        <v/>
      </c>
      <c r="AG2656" s="45" t="str">
        <f aca="false">IF(AND(AA2656=1,Y2656&lt;1),IF(AND(C2657=C2656,Y2657=Y2656+1),IF(AA2657=1,"",INDEX(DATAS,Y2656+1)),INDEX(DATAS,Y2656+1)),"")</f>
        <v/>
      </c>
    </row>
    <row r="2657" customFormat="false" ht="15" hidden="false" customHeight="false" outlineLevel="0" collapsed="false">
      <c r="A2657" s="45" t="n">
        <v>46309</v>
      </c>
      <c r="B2657" s="0" t="n">
        <v>13</v>
      </c>
      <c r="C2657" s="0" t="n">
        <v>7005</v>
      </c>
      <c r="E2657" s="0" t="n">
        <v>0</v>
      </c>
      <c r="F2657" s="39" t="s">
        <v>1304</v>
      </c>
      <c r="I2657" s="39" t="s">
        <v>136</v>
      </c>
      <c r="U2657" s="0" t="n">
        <v>379</v>
      </c>
      <c r="V2657" s="0" t="n">
        <v>0</v>
      </c>
      <c r="W2657" s="39" t="n">
        <f aca="false">IF(I2657="Male",0,1)</f>
        <v>1</v>
      </c>
      <c r="X2657" s="39" t="n">
        <f aca="false">IF(OR(I2657="DNB",I2657="Dry DNB"),1,0)</f>
        <v>0</v>
      </c>
      <c r="Y2657" s="39" t="n">
        <f aca="false">MATCH(A2657,DATAS,0)</f>
        <v>1</v>
      </c>
      <c r="Z2657" s="39" t="n">
        <f aca="false">IF(AND(E2657&gt;0,OR(AND(B2657&gt;=1,B2657&lt;=6),B2657=10)),1,0)</f>
        <v>0</v>
      </c>
      <c r="AA2657" s="39" t="n">
        <f aca="false">IF(AND(E2657&gt;0,B2657=10),1,0)</f>
        <v>0</v>
      </c>
      <c r="AB2657" s="0" t="str">
        <f aca="false">IF(AND(C2656=C2657,Y2656=Y2657-1),Z2656,"")</f>
        <v/>
      </c>
      <c r="AC2657" s="0" t="str">
        <f aca="false">IF(AND(C2656=C2657,Y2656=Y2657-1),AA2656,"")</f>
        <v/>
      </c>
      <c r="AD2657" s="0" t="str">
        <f aca="false">IF(Y2657=1,"",IF(AND(Z2657=1,AB2657&lt;&gt;1),1,0))</f>
        <v/>
      </c>
      <c r="AE2657" s="0" t="str">
        <f aca="false">IF(Y2657=1,"",IF(AND(AA2657=1,AC2657&lt;&gt;1),1,0))</f>
        <v/>
      </c>
      <c r="AF2657" s="45" t="str">
        <f aca="false">IF(AND(E2657&gt;0,Y2657&lt;1,NOT(AND(C2658=C2657,Y2658=Y2657+1))),INDEX(DATAS,Y2657+1),"")</f>
        <v/>
      </c>
      <c r="AG2657" s="45" t="str">
        <f aca="false">IF(AND(AA2657=1,Y2657&lt;1),IF(AND(C2658=C2657,Y2658=Y2657+1),IF(AA2658=1,"",INDEX(DATAS,Y2657+1)),INDEX(DATAS,Y2657+1)),"")</f>
        <v/>
      </c>
    </row>
    <row r="2658" customFormat="false" ht="15" hidden="false" customHeight="false" outlineLevel="0" collapsed="false">
      <c r="A2658" s="45" t="n">
        <v>46309</v>
      </c>
      <c r="B2658" s="0" t="n">
        <v>13</v>
      </c>
      <c r="C2658" s="0" t="n">
        <v>7006</v>
      </c>
      <c r="E2658" s="0" t="n">
        <v>0</v>
      </c>
      <c r="F2658" s="39" t="s">
        <v>1304</v>
      </c>
      <c r="I2658" s="39" t="s">
        <v>136</v>
      </c>
      <c r="U2658" s="0" t="n">
        <v>379</v>
      </c>
      <c r="V2658" s="0" t="n">
        <v>0</v>
      </c>
      <c r="W2658" s="39" t="n">
        <f aca="false">IF(I2658="Male",0,1)</f>
        <v>1</v>
      </c>
      <c r="X2658" s="39" t="n">
        <f aca="false">IF(OR(I2658="DNB",I2658="Dry DNB"),1,0)</f>
        <v>0</v>
      </c>
      <c r="Y2658" s="39" t="n">
        <f aca="false">MATCH(A2658,DATAS,0)</f>
        <v>1</v>
      </c>
      <c r="Z2658" s="39" t="n">
        <f aca="false">IF(AND(E2658&gt;0,OR(AND(B2658&gt;=1,B2658&lt;=6),B2658=10)),1,0)</f>
        <v>0</v>
      </c>
      <c r="AA2658" s="39" t="n">
        <f aca="false">IF(AND(E2658&gt;0,B2658=10),1,0)</f>
        <v>0</v>
      </c>
      <c r="AB2658" s="0" t="str">
        <f aca="false">IF(AND(C2657=C2658,Y2657=Y2658-1),Z2657,"")</f>
        <v/>
      </c>
      <c r="AC2658" s="0" t="str">
        <f aca="false">IF(AND(C2657=C2658,Y2657=Y2658-1),AA2657,"")</f>
        <v/>
      </c>
      <c r="AD2658" s="0" t="str">
        <f aca="false">IF(Y2658=1,"",IF(AND(Z2658=1,AB2658&lt;&gt;1),1,0))</f>
        <v/>
      </c>
      <c r="AE2658" s="0" t="str">
        <f aca="false">IF(Y2658=1,"",IF(AND(AA2658=1,AC2658&lt;&gt;1),1,0))</f>
        <v/>
      </c>
      <c r="AF2658" s="45" t="str">
        <f aca="false">IF(AND(E2658&gt;0,Y2658&lt;1,NOT(AND(C2659=C2658,Y2659=Y2658+1))),INDEX(DATAS,Y2658+1),"")</f>
        <v/>
      </c>
      <c r="AG2658" s="45" t="str">
        <f aca="false">IF(AND(AA2658=1,Y2658&lt;1),IF(AND(C2659=C2658,Y2659=Y2658+1),IF(AA2659=1,"",INDEX(DATAS,Y2658+1)),INDEX(DATAS,Y2658+1)),"")</f>
        <v/>
      </c>
    </row>
    <row r="2659" customFormat="false" ht="15" hidden="false" customHeight="false" outlineLevel="0" collapsed="false">
      <c r="A2659" s="45" t="n">
        <v>46309</v>
      </c>
      <c r="B2659" s="0" t="n">
        <v>13</v>
      </c>
      <c r="C2659" s="0" t="n">
        <v>7007</v>
      </c>
      <c r="E2659" s="0" t="n">
        <v>0</v>
      </c>
      <c r="F2659" s="39" t="s">
        <v>1305</v>
      </c>
      <c r="I2659" s="39" t="s">
        <v>136</v>
      </c>
      <c r="U2659" s="0" t="n">
        <v>378</v>
      </c>
      <c r="V2659" s="0" t="n">
        <v>0</v>
      </c>
      <c r="W2659" s="39" t="n">
        <f aca="false">IF(I2659="Male",0,1)</f>
        <v>1</v>
      </c>
      <c r="X2659" s="39" t="n">
        <f aca="false">IF(OR(I2659="DNB",I2659="Dry DNB"),1,0)</f>
        <v>0</v>
      </c>
      <c r="Y2659" s="39" t="n">
        <f aca="false">MATCH(A2659,DATAS,0)</f>
        <v>1</v>
      </c>
      <c r="Z2659" s="39" t="n">
        <f aca="false">IF(AND(E2659&gt;0,OR(AND(B2659&gt;=1,B2659&lt;=6),B2659=10)),1,0)</f>
        <v>0</v>
      </c>
      <c r="AA2659" s="39" t="n">
        <f aca="false">IF(AND(E2659&gt;0,B2659=10),1,0)</f>
        <v>0</v>
      </c>
      <c r="AB2659" s="0" t="str">
        <f aca="false">IF(AND(C2658=C2659,Y2658=Y2659-1),Z2658,"")</f>
        <v/>
      </c>
      <c r="AC2659" s="0" t="str">
        <f aca="false">IF(AND(C2658=C2659,Y2658=Y2659-1),AA2658,"")</f>
        <v/>
      </c>
      <c r="AD2659" s="0" t="str">
        <f aca="false">IF(Y2659=1,"",IF(AND(Z2659=1,AB2659&lt;&gt;1),1,0))</f>
        <v/>
      </c>
      <c r="AE2659" s="0" t="str">
        <f aca="false">IF(Y2659=1,"",IF(AND(AA2659=1,AC2659&lt;&gt;1),1,0))</f>
        <v/>
      </c>
      <c r="AF2659" s="45" t="str">
        <f aca="false">IF(AND(E2659&gt;0,Y2659&lt;1,NOT(AND(C2660=C2659,Y2660=Y2659+1))),INDEX(DATAS,Y2659+1),"")</f>
        <v/>
      </c>
      <c r="AG2659" s="45" t="str">
        <f aca="false">IF(AND(AA2659=1,Y2659&lt;1),IF(AND(C2660=C2659,Y2660=Y2659+1),IF(AA2660=1,"",INDEX(DATAS,Y2659+1)),INDEX(DATAS,Y2659+1)),"")</f>
        <v/>
      </c>
    </row>
    <row r="2660" customFormat="false" ht="15" hidden="false" customHeight="false" outlineLevel="0" collapsed="false">
      <c r="A2660" s="45" t="n">
        <v>46309</v>
      </c>
      <c r="B2660" s="0" t="n">
        <v>13</v>
      </c>
      <c r="C2660" s="0" t="n">
        <v>7008</v>
      </c>
      <c r="E2660" s="0" t="n">
        <v>0</v>
      </c>
      <c r="F2660" s="39" t="s">
        <v>1305</v>
      </c>
      <c r="I2660" s="39" t="s">
        <v>136</v>
      </c>
      <c r="U2660" s="0" t="n">
        <v>378</v>
      </c>
      <c r="V2660" s="0" t="n">
        <v>0</v>
      </c>
      <c r="W2660" s="39" t="n">
        <f aca="false">IF(I2660="Male",0,1)</f>
        <v>1</v>
      </c>
      <c r="X2660" s="39" t="n">
        <f aca="false">IF(OR(I2660="DNB",I2660="Dry DNB"),1,0)</f>
        <v>0</v>
      </c>
      <c r="Y2660" s="39" t="n">
        <f aca="false">MATCH(A2660,DATAS,0)</f>
        <v>1</v>
      </c>
      <c r="Z2660" s="39" t="n">
        <f aca="false">IF(AND(E2660&gt;0,OR(AND(B2660&gt;=1,B2660&lt;=6),B2660=10)),1,0)</f>
        <v>0</v>
      </c>
      <c r="AA2660" s="39" t="n">
        <f aca="false">IF(AND(E2660&gt;0,B2660=10),1,0)</f>
        <v>0</v>
      </c>
      <c r="AB2660" s="0" t="str">
        <f aca="false">IF(AND(C2659=C2660,Y2659=Y2660-1),Z2659,"")</f>
        <v/>
      </c>
      <c r="AC2660" s="0" t="str">
        <f aca="false">IF(AND(C2659=C2660,Y2659=Y2660-1),AA2659,"")</f>
        <v/>
      </c>
      <c r="AD2660" s="0" t="str">
        <f aca="false">IF(Y2660=1,"",IF(AND(Z2660=1,AB2660&lt;&gt;1),1,0))</f>
        <v/>
      </c>
      <c r="AE2660" s="0" t="str">
        <f aca="false">IF(Y2660=1,"",IF(AND(AA2660=1,AC2660&lt;&gt;1),1,0))</f>
        <v/>
      </c>
      <c r="AF2660" s="45" t="str">
        <f aca="false">IF(AND(E2660&gt;0,Y2660&lt;1,NOT(AND(C2661=C2660,Y2661=Y2660+1))),INDEX(DATAS,Y2660+1),"")</f>
        <v/>
      </c>
      <c r="AG2660" s="45" t="str">
        <f aca="false">IF(AND(AA2660=1,Y2660&lt;1),IF(AND(C2661=C2660,Y2661=Y2660+1),IF(AA2661=1,"",INDEX(DATAS,Y2660+1)),INDEX(DATAS,Y2660+1)),"")</f>
        <v/>
      </c>
    </row>
    <row r="2661" customFormat="false" ht="15" hidden="false" customHeight="false" outlineLevel="0" collapsed="false">
      <c r="A2661" s="45" t="n">
        <v>46309</v>
      </c>
      <c r="B2661" s="0" t="n">
        <v>13</v>
      </c>
      <c r="C2661" s="0" t="n">
        <v>7009</v>
      </c>
      <c r="E2661" s="0" t="n">
        <v>0</v>
      </c>
      <c r="F2661" s="39" t="s">
        <v>1306</v>
      </c>
      <c r="I2661" s="39" t="s">
        <v>136</v>
      </c>
      <c r="U2661" s="0" t="n">
        <v>377</v>
      </c>
      <c r="V2661" s="0" t="n">
        <v>0</v>
      </c>
      <c r="W2661" s="39" t="n">
        <f aca="false">IF(I2661="Male",0,1)</f>
        <v>1</v>
      </c>
      <c r="X2661" s="39" t="n">
        <f aca="false">IF(OR(I2661="DNB",I2661="Dry DNB"),1,0)</f>
        <v>0</v>
      </c>
      <c r="Y2661" s="39" t="n">
        <f aca="false">MATCH(A2661,DATAS,0)</f>
        <v>1</v>
      </c>
      <c r="Z2661" s="39" t="n">
        <f aca="false">IF(AND(E2661&gt;0,OR(AND(B2661&gt;=1,B2661&lt;=6),B2661=10)),1,0)</f>
        <v>0</v>
      </c>
      <c r="AA2661" s="39" t="n">
        <f aca="false">IF(AND(E2661&gt;0,B2661=10),1,0)</f>
        <v>0</v>
      </c>
      <c r="AB2661" s="0" t="str">
        <f aca="false">IF(AND(C2660=C2661,Y2660=Y2661-1),Z2660,"")</f>
        <v/>
      </c>
      <c r="AC2661" s="0" t="str">
        <f aca="false">IF(AND(C2660=C2661,Y2660=Y2661-1),AA2660,"")</f>
        <v/>
      </c>
      <c r="AD2661" s="0" t="str">
        <f aca="false">IF(Y2661=1,"",IF(AND(Z2661=1,AB2661&lt;&gt;1),1,0))</f>
        <v/>
      </c>
      <c r="AE2661" s="0" t="str">
        <f aca="false">IF(Y2661=1,"",IF(AND(AA2661=1,AC2661&lt;&gt;1),1,0))</f>
        <v/>
      </c>
      <c r="AF2661" s="45" t="str">
        <f aca="false">IF(AND(E2661&gt;0,Y2661&lt;1,NOT(AND(C2662=C2661,Y2662=Y2661+1))),INDEX(DATAS,Y2661+1),"")</f>
        <v/>
      </c>
      <c r="AG2661" s="45" t="str">
        <f aca="false">IF(AND(AA2661=1,Y2661&lt;1),IF(AND(C2662=C2661,Y2662=Y2661+1),IF(AA2662=1,"",INDEX(DATAS,Y2661+1)),INDEX(DATAS,Y2661+1)),"")</f>
        <v/>
      </c>
    </row>
    <row r="2662" customFormat="false" ht="15" hidden="false" customHeight="false" outlineLevel="0" collapsed="false">
      <c r="A2662" s="45" t="n">
        <v>46309</v>
      </c>
      <c r="B2662" s="0" t="n">
        <v>13</v>
      </c>
      <c r="C2662" s="0" t="n">
        <v>7010</v>
      </c>
      <c r="E2662" s="0" t="n">
        <v>0</v>
      </c>
      <c r="F2662" s="39" t="s">
        <v>1306</v>
      </c>
      <c r="I2662" s="39" t="s">
        <v>136</v>
      </c>
      <c r="U2662" s="0" t="n">
        <v>377</v>
      </c>
      <c r="V2662" s="0" t="n">
        <v>0</v>
      </c>
      <c r="W2662" s="39" t="n">
        <f aca="false">IF(I2662="Male",0,1)</f>
        <v>1</v>
      </c>
      <c r="X2662" s="39" t="n">
        <f aca="false">IF(OR(I2662="DNB",I2662="Dry DNB"),1,0)</f>
        <v>0</v>
      </c>
      <c r="Y2662" s="39" t="n">
        <f aca="false">MATCH(A2662,DATAS,0)</f>
        <v>1</v>
      </c>
      <c r="Z2662" s="39" t="n">
        <f aca="false">IF(AND(E2662&gt;0,OR(AND(B2662&gt;=1,B2662&lt;=6),B2662=10)),1,0)</f>
        <v>0</v>
      </c>
      <c r="AA2662" s="39" t="n">
        <f aca="false">IF(AND(E2662&gt;0,B2662=10),1,0)</f>
        <v>0</v>
      </c>
      <c r="AB2662" s="0" t="str">
        <f aca="false">IF(AND(C2661=C2662,Y2661=Y2662-1),Z2661,"")</f>
        <v/>
      </c>
      <c r="AC2662" s="0" t="str">
        <f aca="false">IF(AND(C2661=C2662,Y2661=Y2662-1),AA2661,"")</f>
        <v/>
      </c>
      <c r="AD2662" s="0" t="str">
        <f aca="false">IF(Y2662=1,"",IF(AND(Z2662=1,AB2662&lt;&gt;1),1,0))</f>
        <v/>
      </c>
      <c r="AE2662" s="0" t="str">
        <f aca="false">IF(Y2662=1,"",IF(AND(AA2662=1,AC2662&lt;&gt;1),1,0))</f>
        <v/>
      </c>
      <c r="AF2662" s="45" t="str">
        <f aca="false">IF(AND(E2662&gt;0,Y2662&lt;1,NOT(AND(C2663=C2662,Y2663=Y2662+1))),INDEX(DATAS,Y2662+1),"")</f>
        <v/>
      </c>
      <c r="AG2662" s="45" t="str">
        <f aca="false">IF(AND(AA2662=1,Y2662&lt;1),IF(AND(C2663=C2662,Y2663=Y2662+1),IF(AA2663=1,"",INDEX(DATAS,Y2662+1)),INDEX(DATAS,Y2662+1)),"")</f>
        <v/>
      </c>
    </row>
    <row r="2663" customFormat="false" ht="15" hidden="false" customHeight="false" outlineLevel="0" collapsed="false">
      <c r="A2663" s="45" t="n">
        <v>46309</v>
      </c>
      <c r="B2663" s="0" t="n">
        <v>13</v>
      </c>
      <c r="C2663" s="0" t="n">
        <v>7012</v>
      </c>
      <c r="E2663" s="0" t="n">
        <v>0</v>
      </c>
      <c r="F2663" s="39" t="s">
        <v>1307</v>
      </c>
      <c r="I2663" s="39" t="s">
        <v>136</v>
      </c>
      <c r="U2663" s="0" t="n">
        <v>376</v>
      </c>
      <c r="V2663" s="0" t="n">
        <v>0</v>
      </c>
      <c r="W2663" s="39" t="n">
        <f aca="false">IF(I2663="Male",0,1)</f>
        <v>1</v>
      </c>
      <c r="X2663" s="39" t="n">
        <f aca="false">IF(OR(I2663="DNB",I2663="Dry DNB"),1,0)</f>
        <v>0</v>
      </c>
      <c r="Y2663" s="39" t="n">
        <f aca="false">MATCH(A2663,DATAS,0)</f>
        <v>1</v>
      </c>
      <c r="Z2663" s="39" t="n">
        <f aca="false">IF(AND(E2663&gt;0,OR(AND(B2663&gt;=1,B2663&lt;=6),B2663=10)),1,0)</f>
        <v>0</v>
      </c>
      <c r="AA2663" s="39" t="n">
        <f aca="false">IF(AND(E2663&gt;0,B2663=10),1,0)</f>
        <v>0</v>
      </c>
      <c r="AB2663" s="0" t="str">
        <f aca="false">IF(AND(C2662=C2663,Y2662=Y2663-1),Z2662,"")</f>
        <v/>
      </c>
      <c r="AC2663" s="0" t="str">
        <f aca="false">IF(AND(C2662=C2663,Y2662=Y2663-1),AA2662,"")</f>
        <v/>
      </c>
      <c r="AD2663" s="0" t="str">
        <f aca="false">IF(Y2663=1,"",IF(AND(Z2663=1,AB2663&lt;&gt;1),1,0))</f>
        <v/>
      </c>
      <c r="AE2663" s="0" t="str">
        <f aca="false">IF(Y2663=1,"",IF(AND(AA2663=1,AC2663&lt;&gt;1),1,0))</f>
        <v/>
      </c>
      <c r="AF2663" s="45" t="str">
        <f aca="false">IF(AND(E2663&gt;0,Y2663&lt;1,NOT(AND(C2664=C2663,Y2664=Y2663+1))),INDEX(DATAS,Y2663+1),"")</f>
        <v/>
      </c>
      <c r="AG2663" s="45" t="str">
        <f aca="false">IF(AND(AA2663=1,Y2663&lt;1),IF(AND(C2664=C2663,Y2664=Y2663+1),IF(AA2664=1,"",INDEX(DATAS,Y2663+1)),INDEX(DATAS,Y2663+1)),"")</f>
        <v/>
      </c>
    </row>
    <row r="2664" customFormat="false" ht="15" hidden="false" customHeight="false" outlineLevel="0" collapsed="false">
      <c r="A2664" s="45" t="n">
        <v>46309</v>
      </c>
      <c r="B2664" s="0" t="n">
        <v>13</v>
      </c>
      <c r="C2664" s="0" t="n">
        <v>7014</v>
      </c>
      <c r="E2664" s="0" t="n">
        <v>0</v>
      </c>
      <c r="F2664" s="39" t="s">
        <v>1308</v>
      </c>
      <c r="I2664" s="39" t="s">
        <v>136</v>
      </c>
      <c r="U2664" s="0" t="n">
        <v>374</v>
      </c>
      <c r="V2664" s="0" t="n">
        <v>0</v>
      </c>
      <c r="W2664" s="39" t="n">
        <f aca="false">IF(I2664="Male",0,1)</f>
        <v>1</v>
      </c>
      <c r="X2664" s="39" t="n">
        <f aca="false">IF(OR(I2664="DNB",I2664="Dry DNB"),1,0)</f>
        <v>0</v>
      </c>
      <c r="Y2664" s="39" t="n">
        <f aca="false">MATCH(A2664,DATAS,0)</f>
        <v>1</v>
      </c>
      <c r="Z2664" s="39" t="n">
        <f aca="false">IF(AND(E2664&gt;0,OR(AND(B2664&gt;=1,B2664&lt;=6),B2664=10)),1,0)</f>
        <v>0</v>
      </c>
      <c r="AA2664" s="39" t="n">
        <f aca="false">IF(AND(E2664&gt;0,B2664=10),1,0)</f>
        <v>0</v>
      </c>
      <c r="AB2664" s="0" t="str">
        <f aca="false">IF(AND(C2663=C2664,Y2663=Y2664-1),Z2663,"")</f>
        <v/>
      </c>
      <c r="AC2664" s="0" t="str">
        <f aca="false">IF(AND(C2663=C2664,Y2663=Y2664-1),AA2663,"")</f>
        <v/>
      </c>
      <c r="AD2664" s="0" t="str">
        <f aca="false">IF(Y2664=1,"",IF(AND(Z2664=1,AB2664&lt;&gt;1),1,0))</f>
        <v/>
      </c>
      <c r="AE2664" s="0" t="str">
        <f aca="false">IF(Y2664=1,"",IF(AND(AA2664=1,AC2664&lt;&gt;1),1,0))</f>
        <v/>
      </c>
      <c r="AF2664" s="45" t="str">
        <f aca="false">IF(AND(E2664&gt;0,Y2664&lt;1,NOT(AND(C2665=C2664,Y2665=Y2664+1))),INDEX(DATAS,Y2664+1),"")</f>
        <v/>
      </c>
      <c r="AG2664" s="45" t="str">
        <f aca="false">IF(AND(AA2664=1,Y2664&lt;1),IF(AND(C2665=C2664,Y2665=Y2664+1),IF(AA2665=1,"",INDEX(DATAS,Y2664+1)),INDEX(DATAS,Y2664+1)),"")</f>
        <v/>
      </c>
    </row>
    <row r="2665" customFormat="false" ht="15" hidden="false" customHeight="false" outlineLevel="0" collapsed="false">
      <c r="A2665" s="45" t="n">
        <v>46309</v>
      </c>
      <c r="B2665" s="0" t="n">
        <v>13</v>
      </c>
      <c r="C2665" s="0" t="n">
        <v>7015</v>
      </c>
      <c r="E2665" s="0" t="n">
        <v>0</v>
      </c>
      <c r="F2665" s="39" t="s">
        <v>1308</v>
      </c>
      <c r="I2665" s="39" t="s">
        <v>136</v>
      </c>
      <c r="U2665" s="0" t="n">
        <v>374</v>
      </c>
      <c r="V2665" s="0" t="n">
        <v>0</v>
      </c>
      <c r="W2665" s="39" t="n">
        <f aca="false">IF(I2665="Male",0,1)</f>
        <v>1</v>
      </c>
      <c r="X2665" s="39" t="n">
        <f aca="false">IF(OR(I2665="DNB",I2665="Dry DNB"),1,0)</f>
        <v>0</v>
      </c>
      <c r="Y2665" s="39" t="n">
        <f aca="false">MATCH(A2665,DATAS,0)</f>
        <v>1</v>
      </c>
      <c r="Z2665" s="39" t="n">
        <f aca="false">IF(AND(E2665&gt;0,OR(AND(B2665&gt;=1,B2665&lt;=6),B2665=10)),1,0)</f>
        <v>0</v>
      </c>
      <c r="AA2665" s="39" t="n">
        <f aca="false">IF(AND(E2665&gt;0,B2665=10),1,0)</f>
        <v>0</v>
      </c>
      <c r="AB2665" s="0" t="str">
        <f aca="false">IF(AND(C2664=C2665,Y2664=Y2665-1),Z2664,"")</f>
        <v/>
      </c>
      <c r="AC2665" s="0" t="str">
        <f aca="false">IF(AND(C2664=C2665,Y2664=Y2665-1),AA2664,"")</f>
        <v/>
      </c>
      <c r="AD2665" s="0" t="str">
        <f aca="false">IF(Y2665=1,"",IF(AND(Z2665=1,AB2665&lt;&gt;1),1,0))</f>
        <v/>
      </c>
      <c r="AE2665" s="0" t="str">
        <f aca="false">IF(Y2665=1,"",IF(AND(AA2665=1,AC2665&lt;&gt;1),1,0))</f>
        <v/>
      </c>
      <c r="AF2665" s="45" t="str">
        <f aca="false">IF(AND(E2665&gt;0,Y2665&lt;1,NOT(AND(C2666=C2665,Y2666=Y2665+1))),INDEX(DATAS,Y2665+1),"")</f>
        <v/>
      </c>
      <c r="AG2665" s="45" t="str">
        <f aca="false">IF(AND(AA2665=1,Y2665&lt;1),IF(AND(C2666=C2665,Y2666=Y2665+1),IF(AA2666=1,"",INDEX(DATAS,Y2665+1)),INDEX(DATAS,Y2665+1)),"")</f>
        <v/>
      </c>
    </row>
    <row r="2666" customFormat="false" ht="15" hidden="false" customHeight="false" outlineLevel="0" collapsed="false">
      <c r="A2666" s="45" t="n">
        <v>46309</v>
      </c>
      <c r="B2666" s="0" t="n">
        <v>13</v>
      </c>
      <c r="C2666" s="0" t="n">
        <v>7016</v>
      </c>
      <c r="E2666" s="0" t="n">
        <v>0</v>
      </c>
      <c r="F2666" s="39" t="s">
        <v>1308</v>
      </c>
      <c r="I2666" s="39" t="s">
        <v>136</v>
      </c>
      <c r="U2666" s="0" t="n">
        <v>374</v>
      </c>
      <c r="V2666" s="0" t="n">
        <v>0</v>
      </c>
      <c r="W2666" s="39" t="n">
        <f aca="false">IF(I2666="Male",0,1)</f>
        <v>1</v>
      </c>
      <c r="X2666" s="39" t="n">
        <f aca="false">IF(OR(I2666="DNB",I2666="Dry DNB"),1,0)</f>
        <v>0</v>
      </c>
      <c r="Y2666" s="39" t="n">
        <f aca="false">MATCH(A2666,DATAS,0)</f>
        <v>1</v>
      </c>
      <c r="Z2666" s="39" t="n">
        <f aca="false">IF(AND(E2666&gt;0,OR(AND(B2666&gt;=1,B2666&lt;=6),B2666=10)),1,0)</f>
        <v>0</v>
      </c>
      <c r="AA2666" s="39" t="n">
        <f aca="false">IF(AND(E2666&gt;0,B2666=10),1,0)</f>
        <v>0</v>
      </c>
      <c r="AB2666" s="0" t="str">
        <f aca="false">IF(AND(C2665=C2666,Y2665=Y2666-1),Z2665,"")</f>
        <v/>
      </c>
      <c r="AC2666" s="0" t="str">
        <f aca="false">IF(AND(C2665=C2666,Y2665=Y2666-1),AA2665,"")</f>
        <v/>
      </c>
      <c r="AD2666" s="0" t="str">
        <f aca="false">IF(Y2666=1,"",IF(AND(Z2666=1,AB2666&lt;&gt;1),1,0))</f>
        <v/>
      </c>
      <c r="AE2666" s="0" t="str">
        <f aca="false">IF(Y2666=1,"",IF(AND(AA2666=1,AC2666&lt;&gt;1),1,0))</f>
        <v/>
      </c>
      <c r="AF2666" s="45" t="str">
        <f aca="false">IF(AND(E2666&gt;0,Y2666&lt;1,NOT(AND(C2667=C2666,Y2667=Y2666+1))),INDEX(DATAS,Y2666+1),"")</f>
        <v/>
      </c>
      <c r="AG2666" s="45" t="str">
        <f aca="false">IF(AND(AA2666=1,Y2666&lt;1),IF(AND(C2667=C2666,Y2667=Y2666+1),IF(AA2667=1,"",INDEX(DATAS,Y2666+1)),INDEX(DATAS,Y2666+1)),"")</f>
        <v/>
      </c>
    </row>
    <row r="2667" customFormat="false" ht="15" hidden="false" customHeight="false" outlineLevel="0" collapsed="false">
      <c r="A2667" s="45" t="n">
        <v>46309</v>
      </c>
      <c r="B2667" s="0" t="n">
        <v>13</v>
      </c>
      <c r="C2667" s="0" t="n">
        <v>7018</v>
      </c>
      <c r="E2667" s="0" t="n">
        <v>0</v>
      </c>
      <c r="F2667" s="39" t="s">
        <v>1309</v>
      </c>
      <c r="I2667" s="39" t="s">
        <v>136</v>
      </c>
      <c r="U2667" s="0" t="n">
        <v>373</v>
      </c>
      <c r="V2667" s="0" t="n">
        <v>0</v>
      </c>
      <c r="W2667" s="39" t="n">
        <f aca="false">IF(I2667="Male",0,1)</f>
        <v>1</v>
      </c>
      <c r="X2667" s="39" t="n">
        <f aca="false">IF(OR(I2667="DNB",I2667="Dry DNB"),1,0)</f>
        <v>0</v>
      </c>
      <c r="Y2667" s="39" t="n">
        <f aca="false">MATCH(A2667,DATAS,0)</f>
        <v>1</v>
      </c>
      <c r="Z2667" s="39" t="n">
        <f aca="false">IF(AND(E2667&gt;0,OR(AND(B2667&gt;=1,B2667&lt;=6),B2667=10)),1,0)</f>
        <v>0</v>
      </c>
      <c r="AA2667" s="39" t="n">
        <f aca="false">IF(AND(E2667&gt;0,B2667=10),1,0)</f>
        <v>0</v>
      </c>
      <c r="AB2667" s="0" t="str">
        <f aca="false">IF(AND(C2666=C2667,Y2666=Y2667-1),Z2666,"")</f>
        <v/>
      </c>
      <c r="AC2667" s="0" t="str">
        <f aca="false">IF(AND(C2666=C2667,Y2666=Y2667-1),AA2666,"")</f>
        <v/>
      </c>
      <c r="AD2667" s="0" t="str">
        <f aca="false">IF(Y2667=1,"",IF(AND(Z2667=1,AB2667&lt;&gt;1),1,0))</f>
        <v/>
      </c>
      <c r="AE2667" s="0" t="str">
        <f aca="false">IF(Y2667=1,"",IF(AND(AA2667=1,AC2667&lt;&gt;1),1,0))</f>
        <v/>
      </c>
      <c r="AF2667" s="45" t="str">
        <f aca="false">IF(AND(E2667&gt;0,Y2667&lt;1,NOT(AND(C2668=C2667,Y2668=Y2667+1))),INDEX(DATAS,Y2667+1),"")</f>
        <v/>
      </c>
      <c r="AG2667" s="45" t="str">
        <f aca="false">IF(AND(AA2667=1,Y2667&lt;1),IF(AND(C2668=C2667,Y2668=Y2667+1),IF(AA2668=1,"",INDEX(DATAS,Y2667+1)),INDEX(DATAS,Y2667+1)),"")</f>
        <v/>
      </c>
    </row>
    <row r="2668" customFormat="false" ht="15" hidden="false" customHeight="false" outlineLevel="0" collapsed="false">
      <c r="A2668" s="45" t="n">
        <v>46309</v>
      </c>
      <c r="B2668" s="0" t="n">
        <v>13</v>
      </c>
      <c r="C2668" s="0" t="n">
        <v>7019</v>
      </c>
      <c r="E2668" s="0" t="n">
        <v>0</v>
      </c>
      <c r="F2668" s="39" t="s">
        <v>1309</v>
      </c>
      <c r="I2668" s="39" t="s">
        <v>136</v>
      </c>
      <c r="U2668" s="0" t="n">
        <v>373</v>
      </c>
      <c r="V2668" s="0" t="n">
        <v>0</v>
      </c>
      <c r="W2668" s="39" t="n">
        <f aca="false">IF(I2668="Male",0,1)</f>
        <v>1</v>
      </c>
      <c r="X2668" s="39" t="n">
        <f aca="false">IF(OR(I2668="DNB",I2668="Dry DNB"),1,0)</f>
        <v>0</v>
      </c>
      <c r="Y2668" s="39" t="n">
        <f aca="false">MATCH(A2668,DATAS,0)</f>
        <v>1</v>
      </c>
      <c r="Z2668" s="39" t="n">
        <f aca="false">IF(AND(E2668&gt;0,OR(AND(B2668&gt;=1,B2668&lt;=6),B2668=10)),1,0)</f>
        <v>0</v>
      </c>
      <c r="AA2668" s="39" t="n">
        <f aca="false">IF(AND(E2668&gt;0,B2668=10),1,0)</f>
        <v>0</v>
      </c>
      <c r="AB2668" s="0" t="str">
        <f aca="false">IF(AND(C2667=C2668,Y2667=Y2668-1),Z2667,"")</f>
        <v/>
      </c>
      <c r="AC2668" s="0" t="str">
        <f aca="false">IF(AND(C2667=C2668,Y2667=Y2668-1),AA2667,"")</f>
        <v/>
      </c>
      <c r="AD2668" s="0" t="str">
        <f aca="false">IF(Y2668=1,"",IF(AND(Z2668=1,AB2668&lt;&gt;1),1,0))</f>
        <v/>
      </c>
      <c r="AE2668" s="0" t="str">
        <f aca="false">IF(Y2668=1,"",IF(AND(AA2668=1,AC2668&lt;&gt;1),1,0))</f>
        <v/>
      </c>
      <c r="AF2668" s="45" t="str">
        <f aca="false">IF(AND(E2668&gt;0,Y2668&lt;1,NOT(AND(C2669=C2668,Y2669=Y2668+1))),INDEX(DATAS,Y2668+1),"")</f>
        <v/>
      </c>
      <c r="AG2668" s="45" t="str">
        <f aca="false">IF(AND(AA2668=1,Y2668&lt;1),IF(AND(C2669=C2668,Y2669=Y2668+1),IF(AA2669=1,"",INDEX(DATAS,Y2668+1)),INDEX(DATAS,Y2668+1)),"")</f>
        <v/>
      </c>
    </row>
    <row r="2669" customFormat="false" ht="15" hidden="false" customHeight="false" outlineLevel="0" collapsed="false">
      <c r="A2669" s="45" t="n">
        <v>46309</v>
      </c>
      <c r="B2669" s="0" t="n">
        <v>13</v>
      </c>
      <c r="C2669" s="0" t="n">
        <v>7020</v>
      </c>
      <c r="E2669" s="0" t="n">
        <v>0</v>
      </c>
      <c r="F2669" s="39" t="s">
        <v>1309</v>
      </c>
      <c r="I2669" s="39" t="s">
        <v>136</v>
      </c>
      <c r="U2669" s="0" t="n">
        <v>373</v>
      </c>
      <c r="V2669" s="0" t="n">
        <v>0</v>
      </c>
      <c r="W2669" s="39" t="n">
        <f aca="false">IF(I2669="Male",0,1)</f>
        <v>1</v>
      </c>
      <c r="X2669" s="39" t="n">
        <f aca="false">IF(OR(I2669="DNB",I2669="Dry DNB"),1,0)</f>
        <v>0</v>
      </c>
      <c r="Y2669" s="39" t="n">
        <f aca="false">MATCH(A2669,DATAS,0)</f>
        <v>1</v>
      </c>
      <c r="Z2669" s="39" t="n">
        <f aca="false">IF(AND(E2669&gt;0,OR(AND(B2669&gt;=1,B2669&lt;=6),B2669=10)),1,0)</f>
        <v>0</v>
      </c>
      <c r="AA2669" s="39" t="n">
        <f aca="false">IF(AND(E2669&gt;0,B2669=10),1,0)</f>
        <v>0</v>
      </c>
      <c r="AB2669" s="0" t="str">
        <f aca="false">IF(AND(C2668=C2669,Y2668=Y2669-1),Z2668,"")</f>
        <v/>
      </c>
      <c r="AC2669" s="0" t="str">
        <f aca="false">IF(AND(C2668=C2669,Y2668=Y2669-1),AA2668,"")</f>
        <v/>
      </c>
      <c r="AD2669" s="0" t="str">
        <f aca="false">IF(Y2669=1,"",IF(AND(Z2669=1,AB2669&lt;&gt;1),1,0))</f>
        <v/>
      </c>
      <c r="AE2669" s="0" t="str">
        <f aca="false">IF(Y2669=1,"",IF(AND(AA2669=1,AC2669&lt;&gt;1),1,0))</f>
        <v/>
      </c>
      <c r="AF2669" s="45" t="str">
        <f aca="false">IF(AND(E2669&gt;0,Y2669&lt;1,NOT(AND(C2670=C2669,Y2670=Y2669+1))),INDEX(DATAS,Y2669+1),"")</f>
        <v/>
      </c>
      <c r="AG2669" s="45" t="str">
        <f aca="false">IF(AND(AA2669=1,Y2669&lt;1),IF(AND(C2670=C2669,Y2670=Y2669+1),IF(AA2670=1,"",INDEX(DATAS,Y2669+1)),INDEX(DATAS,Y2669+1)),"")</f>
        <v/>
      </c>
    </row>
    <row r="2670" customFormat="false" ht="15" hidden="false" customHeight="false" outlineLevel="0" collapsed="false">
      <c r="A2670" s="45" t="n">
        <v>46309</v>
      </c>
      <c r="B2670" s="0" t="n">
        <v>13</v>
      </c>
      <c r="C2670" s="0" t="n">
        <v>7021</v>
      </c>
      <c r="E2670" s="0" t="n">
        <v>0</v>
      </c>
      <c r="F2670" s="39" t="s">
        <v>1309</v>
      </c>
      <c r="I2670" s="39" t="s">
        <v>136</v>
      </c>
      <c r="U2670" s="0" t="n">
        <v>373</v>
      </c>
      <c r="V2670" s="0" t="n">
        <v>0</v>
      </c>
      <c r="W2670" s="39" t="n">
        <f aca="false">IF(I2670="Male",0,1)</f>
        <v>1</v>
      </c>
      <c r="X2670" s="39" t="n">
        <f aca="false">IF(OR(I2670="DNB",I2670="Dry DNB"),1,0)</f>
        <v>0</v>
      </c>
      <c r="Y2670" s="39" t="n">
        <f aca="false">MATCH(A2670,DATAS,0)</f>
        <v>1</v>
      </c>
      <c r="Z2670" s="39" t="n">
        <f aca="false">IF(AND(E2670&gt;0,OR(AND(B2670&gt;=1,B2670&lt;=6),B2670=10)),1,0)</f>
        <v>0</v>
      </c>
      <c r="AA2670" s="39" t="n">
        <f aca="false">IF(AND(E2670&gt;0,B2670=10),1,0)</f>
        <v>0</v>
      </c>
      <c r="AB2670" s="0" t="str">
        <f aca="false">IF(AND(C2669=C2670,Y2669=Y2670-1),Z2669,"")</f>
        <v/>
      </c>
      <c r="AC2670" s="0" t="str">
        <f aca="false">IF(AND(C2669=C2670,Y2669=Y2670-1),AA2669,"")</f>
        <v/>
      </c>
      <c r="AD2670" s="0" t="str">
        <f aca="false">IF(Y2670=1,"",IF(AND(Z2670=1,AB2670&lt;&gt;1),1,0))</f>
        <v/>
      </c>
      <c r="AE2670" s="0" t="str">
        <f aca="false">IF(Y2670=1,"",IF(AND(AA2670=1,AC2670&lt;&gt;1),1,0))</f>
        <v/>
      </c>
      <c r="AF2670" s="45" t="str">
        <f aca="false">IF(AND(E2670&gt;0,Y2670&lt;1,NOT(AND(C2671=C2670,Y2671=Y2670+1))),INDEX(DATAS,Y2670+1),"")</f>
        <v/>
      </c>
      <c r="AG2670" s="45" t="str">
        <f aca="false">IF(AND(AA2670=1,Y2670&lt;1),IF(AND(C2671=C2670,Y2671=Y2670+1),IF(AA2671=1,"",INDEX(DATAS,Y2670+1)),INDEX(DATAS,Y2670+1)),"")</f>
        <v/>
      </c>
    </row>
    <row r="2671" customFormat="false" ht="15" hidden="false" customHeight="false" outlineLevel="0" collapsed="false">
      <c r="A2671" s="45" t="n">
        <v>46309</v>
      </c>
      <c r="B2671" s="0" t="n">
        <v>13</v>
      </c>
      <c r="C2671" s="0" t="n">
        <v>7022</v>
      </c>
      <c r="E2671" s="0" t="n">
        <v>0</v>
      </c>
      <c r="F2671" s="39" t="s">
        <v>1309</v>
      </c>
      <c r="I2671" s="39" t="s">
        <v>136</v>
      </c>
      <c r="U2671" s="0" t="n">
        <v>373</v>
      </c>
      <c r="V2671" s="0" t="n">
        <v>0</v>
      </c>
      <c r="W2671" s="39" t="n">
        <f aca="false">IF(I2671="Male",0,1)</f>
        <v>1</v>
      </c>
      <c r="X2671" s="39" t="n">
        <f aca="false">IF(OR(I2671="DNB",I2671="Dry DNB"),1,0)</f>
        <v>0</v>
      </c>
      <c r="Y2671" s="39" t="n">
        <f aca="false">MATCH(A2671,DATAS,0)</f>
        <v>1</v>
      </c>
      <c r="Z2671" s="39" t="n">
        <f aca="false">IF(AND(E2671&gt;0,OR(AND(B2671&gt;=1,B2671&lt;=6),B2671=10)),1,0)</f>
        <v>0</v>
      </c>
      <c r="AA2671" s="39" t="n">
        <f aca="false">IF(AND(E2671&gt;0,B2671=10),1,0)</f>
        <v>0</v>
      </c>
      <c r="AB2671" s="0" t="str">
        <f aca="false">IF(AND(C2670=C2671,Y2670=Y2671-1),Z2670,"")</f>
        <v/>
      </c>
      <c r="AC2671" s="0" t="str">
        <f aca="false">IF(AND(C2670=C2671,Y2670=Y2671-1),AA2670,"")</f>
        <v/>
      </c>
      <c r="AD2671" s="0" t="str">
        <f aca="false">IF(Y2671=1,"",IF(AND(Z2671=1,AB2671&lt;&gt;1),1,0))</f>
        <v/>
      </c>
      <c r="AE2671" s="0" t="str">
        <f aca="false">IF(Y2671=1,"",IF(AND(AA2671=1,AC2671&lt;&gt;1),1,0))</f>
        <v/>
      </c>
      <c r="AF2671" s="45" t="str">
        <f aca="false">IF(AND(E2671&gt;0,Y2671&lt;1,NOT(AND(C2672=C2671,Y2672=Y2671+1))),INDEX(DATAS,Y2671+1),"")</f>
        <v/>
      </c>
      <c r="AG2671" s="45" t="str">
        <f aca="false">IF(AND(AA2671=1,Y2671&lt;1),IF(AND(C2672=C2671,Y2672=Y2671+1),IF(AA2672=1,"",INDEX(DATAS,Y2671+1)),INDEX(DATAS,Y2671+1)),"")</f>
        <v/>
      </c>
    </row>
    <row r="2672" customFormat="false" ht="15" hidden="false" customHeight="false" outlineLevel="0" collapsed="false">
      <c r="A2672" s="45" t="n">
        <v>46309</v>
      </c>
      <c r="B2672" s="0" t="n">
        <v>13</v>
      </c>
      <c r="C2672" s="0" t="n">
        <v>7023</v>
      </c>
      <c r="E2672" s="0" t="n">
        <v>0</v>
      </c>
      <c r="F2672" s="39" t="s">
        <v>1310</v>
      </c>
      <c r="I2672" s="39" t="s">
        <v>136</v>
      </c>
      <c r="U2672" s="0" t="n">
        <v>371</v>
      </c>
      <c r="V2672" s="0" t="n">
        <v>0</v>
      </c>
      <c r="W2672" s="39" t="n">
        <f aca="false">IF(I2672="Male",0,1)</f>
        <v>1</v>
      </c>
      <c r="X2672" s="39" t="n">
        <f aca="false">IF(OR(I2672="DNB",I2672="Dry DNB"),1,0)</f>
        <v>0</v>
      </c>
      <c r="Y2672" s="39" t="n">
        <f aca="false">MATCH(A2672,DATAS,0)</f>
        <v>1</v>
      </c>
      <c r="Z2672" s="39" t="n">
        <f aca="false">IF(AND(E2672&gt;0,OR(AND(B2672&gt;=1,B2672&lt;=6),B2672=10)),1,0)</f>
        <v>0</v>
      </c>
      <c r="AA2672" s="39" t="n">
        <f aca="false">IF(AND(E2672&gt;0,B2672=10),1,0)</f>
        <v>0</v>
      </c>
      <c r="AB2672" s="0" t="str">
        <f aca="false">IF(AND(C2671=C2672,Y2671=Y2672-1),Z2671,"")</f>
        <v/>
      </c>
      <c r="AC2672" s="0" t="str">
        <f aca="false">IF(AND(C2671=C2672,Y2671=Y2672-1),AA2671,"")</f>
        <v/>
      </c>
      <c r="AD2672" s="0" t="str">
        <f aca="false">IF(Y2672=1,"",IF(AND(Z2672=1,AB2672&lt;&gt;1),1,0))</f>
        <v/>
      </c>
      <c r="AE2672" s="0" t="str">
        <f aca="false">IF(Y2672=1,"",IF(AND(AA2672=1,AC2672&lt;&gt;1),1,0))</f>
        <v/>
      </c>
      <c r="AF2672" s="45" t="str">
        <f aca="false">IF(AND(E2672&gt;0,Y2672&lt;1,NOT(AND(C2673=C2672,Y2673=Y2672+1))),INDEX(DATAS,Y2672+1),"")</f>
        <v/>
      </c>
      <c r="AG2672" s="45" t="str">
        <f aca="false">IF(AND(AA2672=1,Y2672&lt;1),IF(AND(C2673=C2672,Y2673=Y2672+1),IF(AA2673=1,"",INDEX(DATAS,Y2672+1)),INDEX(DATAS,Y2672+1)),"")</f>
        <v/>
      </c>
    </row>
    <row r="2673" customFormat="false" ht="15" hidden="false" customHeight="false" outlineLevel="0" collapsed="false">
      <c r="A2673" s="45" t="n">
        <v>46309</v>
      </c>
      <c r="B2673" s="0" t="n">
        <v>13</v>
      </c>
      <c r="C2673" s="0" t="n">
        <v>7024</v>
      </c>
      <c r="E2673" s="0" t="n">
        <v>0</v>
      </c>
      <c r="F2673" s="39" t="s">
        <v>1311</v>
      </c>
      <c r="I2673" s="39" t="s">
        <v>136</v>
      </c>
      <c r="U2673" s="0" t="n">
        <v>372</v>
      </c>
      <c r="V2673" s="0" t="n">
        <v>0</v>
      </c>
      <c r="W2673" s="39" t="n">
        <f aca="false">IF(I2673="Male",0,1)</f>
        <v>1</v>
      </c>
      <c r="X2673" s="39" t="n">
        <f aca="false">IF(OR(I2673="DNB",I2673="Dry DNB"),1,0)</f>
        <v>0</v>
      </c>
      <c r="Y2673" s="39" t="n">
        <f aca="false">MATCH(A2673,DATAS,0)</f>
        <v>1</v>
      </c>
      <c r="Z2673" s="39" t="n">
        <f aca="false">IF(AND(E2673&gt;0,OR(AND(B2673&gt;=1,B2673&lt;=6),B2673=10)),1,0)</f>
        <v>0</v>
      </c>
      <c r="AA2673" s="39" t="n">
        <f aca="false">IF(AND(E2673&gt;0,B2673=10),1,0)</f>
        <v>0</v>
      </c>
      <c r="AB2673" s="0" t="str">
        <f aca="false">IF(AND(C2672=C2673,Y2672=Y2673-1),Z2672,"")</f>
        <v/>
      </c>
      <c r="AC2673" s="0" t="str">
        <f aca="false">IF(AND(C2672=C2673,Y2672=Y2673-1),AA2672,"")</f>
        <v/>
      </c>
      <c r="AD2673" s="0" t="str">
        <f aca="false">IF(Y2673=1,"",IF(AND(Z2673=1,AB2673&lt;&gt;1),1,0))</f>
        <v/>
      </c>
      <c r="AE2673" s="0" t="str">
        <f aca="false">IF(Y2673=1,"",IF(AND(AA2673=1,AC2673&lt;&gt;1),1,0))</f>
        <v/>
      </c>
      <c r="AF2673" s="45" t="str">
        <f aca="false">IF(AND(E2673&gt;0,Y2673&lt;1,NOT(AND(C2674=C2673,Y2674=Y2673+1))),INDEX(DATAS,Y2673+1),"")</f>
        <v/>
      </c>
      <c r="AG2673" s="45" t="str">
        <f aca="false">IF(AND(AA2673=1,Y2673&lt;1),IF(AND(C2674=C2673,Y2674=Y2673+1),IF(AA2674=1,"",INDEX(DATAS,Y2673+1)),INDEX(DATAS,Y2673+1)),"")</f>
        <v/>
      </c>
    </row>
    <row r="2674" customFormat="false" ht="15" hidden="false" customHeight="false" outlineLevel="0" collapsed="false">
      <c r="A2674" s="45" t="n">
        <v>46309</v>
      </c>
      <c r="B2674" s="0" t="n">
        <v>13</v>
      </c>
      <c r="C2674" s="0" t="n">
        <v>7025</v>
      </c>
      <c r="E2674" s="0" t="n">
        <v>0</v>
      </c>
      <c r="F2674" s="39" t="s">
        <v>1311</v>
      </c>
      <c r="I2674" s="39" t="s">
        <v>136</v>
      </c>
      <c r="U2674" s="0" t="n">
        <v>372</v>
      </c>
      <c r="V2674" s="0" t="n">
        <v>0</v>
      </c>
      <c r="W2674" s="39" t="n">
        <f aca="false">IF(I2674="Male",0,1)</f>
        <v>1</v>
      </c>
      <c r="X2674" s="39" t="n">
        <f aca="false">IF(OR(I2674="DNB",I2674="Dry DNB"),1,0)</f>
        <v>0</v>
      </c>
      <c r="Y2674" s="39" t="n">
        <f aca="false">MATCH(A2674,DATAS,0)</f>
        <v>1</v>
      </c>
      <c r="Z2674" s="39" t="n">
        <f aca="false">IF(AND(E2674&gt;0,OR(AND(B2674&gt;=1,B2674&lt;=6),B2674=10)),1,0)</f>
        <v>0</v>
      </c>
      <c r="AA2674" s="39" t="n">
        <f aca="false">IF(AND(E2674&gt;0,B2674=10),1,0)</f>
        <v>0</v>
      </c>
      <c r="AB2674" s="0" t="str">
        <f aca="false">IF(AND(C2673=C2674,Y2673=Y2674-1),Z2673,"")</f>
        <v/>
      </c>
      <c r="AC2674" s="0" t="str">
        <f aca="false">IF(AND(C2673=C2674,Y2673=Y2674-1),AA2673,"")</f>
        <v/>
      </c>
      <c r="AD2674" s="0" t="str">
        <f aca="false">IF(Y2674=1,"",IF(AND(Z2674=1,AB2674&lt;&gt;1),1,0))</f>
        <v/>
      </c>
      <c r="AE2674" s="0" t="str">
        <f aca="false">IF(Y2674=1,"",IF(AND(AA2674=1,AC2674&lt;&gt;1),1,0))</f>
        <v/>
      </c>
      <c r="AF2674" s="45" t="str">
        <f aca="false">IF(AND(E2674&gt;0,Y2674&lt;1,NOT(AND(C2675=C2674,Y2675=Y2674+1))),INDEX(DATAS,Y2674+1),"")</f>
        <v/>
      </c>
      <c r="AG2674" s="45" t="str">
        <f aca="false">IF(AND(AA2674=1,Y2674&lt;1),IF(AND(C2675=C2674,Y2675=Y2674+1),IF(AA2675=1,"",INDEX(DATAS,Y2674+1)),INDEX(DATAS,Y2674+1)),"")</f>
        <v/>
      </c>
    </row>
    <row r="2675" customFormat="false" ht="15" hidden="false" customHeight="false" outlineLevel="0" collapsed="false">
      <c r="A2675" s="45" t="n">
        <v>46309</v>
      </c>
      <c r="B2675" s="0" t="n">
        <v>13</v>
      </c>
      <c r="C2675" s="0" t="n">
        <v>7026</v>
      </c>
      <c r="E2675" s="0" t="n">
        <v>0</v>
      </c>
      <c r="F2675" s="39" t="s">
        <v>1310</v>
      </c>
      <c r="I2675" s="39" t="s">
        <v>136</v>
      </c>
      <c r="U2675" s="0" t="n">
        <v>371</v>
      </c>
      <c r="V2675" s="0" t="n">
        <v>0</v>
      </c>
      <c r="W2675" s="39" t="n">
        <f aca="false">IF(I2675="Male",0,1)</f>
        <v>1</v>
      </c>
      <c r="X2675" s="39" t="n">
        <f aca="false">IF(OR(I2675="DNB",I2675="Dry DNB"),1,0)</f>
        <v>0</v>
      </c>
      <c r="Y2675" s="39" t="n">
        <f aca="false">MATCH(A2675,DATAS,0)</f>
        <v>1</v>
      </c>
      <c r="Z2675" s="39" t="n">
        <f aca="false">IF(AND(E2675&gt;0,OR(AND(B2675&gt;=1,B2675&lt;=6),B2675=10)),1,0)</f>
        <v>0</v>
      </c>
      <c r="AA2675" s="39" t="n">
        <f aca="false">IF(AND(E2675&gt;0,B2675=10),1,0)</f>
        <v>0</v>
      </c>
      <c r="AB2675" s="0" t="str">
        <f aca="false">IF(AND(C2674=C2675,Y2674=Y2675-1),Z2674,"")</f>
        <v/>
      </c>
      <c r="AC2675" s="0" t="str">
        <f aca="false">IF(AND(C2674=C2675,Y2674=Y2675-1),AA2674,"")</f>
        <v/>
      </c>
      <c r="AD2675" s="0" t="str">
        <f aca="false">IF(Y2675=1,"",IF(AND(Z2675=1,AB2675&lt;&gt;1),1,0))</f>
        <v/>
      </c>
      <c r="AE2675" s="0" t="str">
        <f aca="false">IF(Y2675=1,"",IF(AND(AA2675=1,AC2675&lt;&gt;1),1,0))</f>
        <v/>
      </c>
      <c r="AF2675" s="45" t="str">
        <f aca="false">IF(AND(E2675&gt;0,Y2675&lt;1,NOT(AND(C2676=C2675,Y2676=Y2675+1))),INDEX(DATAS,Y2675+1),"")</f>
        <v/>
      </c>
      <c r="AG2675" s="45" t="str">
        <f aca="false">IF(AND(AA2675=1,Y2675&lt;1),IF(AND(C2676=C2675,Y2676=Y2675+1),IF(AA2676=1,"",INDEX(DATAS,Y2675+1)),INDEX(DATAS,Y2675+1)),"")</f>
        <v/>
      </c>
    </row>
    <row r="2676" customFormat="false" ht="15" hidden="false" customHeight="false" outlineLevel="0" collapsed="false">
      <c r="A2676" s="45" t="n">
        <v>46309</v>
      </c>
      <c r="B2676" s="0" t="n">
        <v>13</v>
      </c>
      <c r="C2676" s="0" t="n">
        <v>7027</v>
      </c>
      <c r="E2676" s="0" t="n">
        <v>0</v>
      </c>
      <c r="F2676" s="39" t="s">
        <v>1312</v>
      </c>
      <c r="I2676" s="39" t="s">
        <v>136</v>
      </c>
      <c r="U2676" s="0" t="n">
        <v>370</v>
      </c>
      <c r="V2676" s="0" t="n">
        <v>0</v>
      </c>
      <c r="W2676" s="39" t="n">
        <f aca="false">IF(I2676="Male",0,1)</f>
        <v>1</v>
      </c>
      <c r="X2676" s="39" t="n">
        <f aca="false">IF(OR(I2676="DNB",I2676="Dry DNB"),1,0)</f>
        <v>0</v>
      </c>
      <c r="Y2676" s="39" t="n">
        <f aca="false">MATCH(A2676,DATAS,0)</f>
        <v>1</v>
      </c>
      <c r="Z2676" s="39" t="n">
        <f aca="false">IF(AND(E2676&gt;0,OR(AND(B2676&gt;=1,B2676&lt;=6),B2676=10)),1,0)</f>
        <v>0</v>
      </c>
      <c r="AA2676" s="39" t="n">
        <f aca="false">IF(AND(E2676&gt;0,B2676=10),1,0)</f>
        <v>0</v>
      </c>
      <c r="AB2676" s="0" t="str">
        <f aca="false">IF(AND(C2675=C2676,Y2675=Y2676-1),Z2675,"")</f>
        <v/>
      </c>
      <c r="AC2676" s="0" t="str">
        <f aca="false">IF(AND(C2675=C2676,Y2675=Y2676-1),AA2675,"")</f>
        <v/>
      </c>
      <c r="AD2676" s="0" t="str">
        <f aca="false">IF(Y2676=1,"",IF(AND(Z2676=1,AB2676&lt;&gt;1),1,0))</f>
        <v/>
      </c>
      <c r="AE2676" s="0" t="str">
        <f aca="false">IF(Y2676=1,"",IF(AND(AA2676=1,AC2676&lt;&gt;1),1,0))</f>
        <v/>
      </c>
      <c r="AF2676" s="45" t="str">
        <f aca="false">IF(AND(E2676&gt;0,Y2676&lt;1,NOT(AND(C2677=C2676,Y2677=Y2676+1))),INDEX(DATAS,Y2676+1),"")</f>
        <v/>
      </c>
      <c r="AG2676" s="45" t="str">
        <f aca="false">IF(AND(AA2676=1,Y2676&lt;1),IF(AND(C2677=C2676,Y2677=Y2676+1),IF(AA2677=1,"",INDEX(DATAS,Y2676+1)),INDEX(DATAS,Y2676+1)),"")</f>
        <v/>
      </c>
    </row>
    <row r="2677" customFormat="false" ht="15" hidden="false" customHeight="false" outlineLevel="0" collapsed="false">
      <c r="A2677" s="45" t="n">
        <v>46309</v>
      </c>
      <c r="B2677" s="0" t="n">
        <v>13</v>
      </c>
      <c r="C2677" s="0" t="n">
        <v>7028</v>
      </c>
      <c r="E2677" s="0" t="n">
        <v>0</v>
      </c>
      <c r="F2677" s="39" t="s">
        <v>1312</v>
      </c>
      <c r="I2677" s="39" t="s">
        <v>136</v>
      </c>
      <c r="U2677" s="0" t="n">
        <v>370</v>
      </c>
      <c r="V2677" s="0" t="n">
        <v>0</v>
      </c>
      <c r="W2677" s="39" t="n">
        <f aca="false">IF(I2677="Male",0,1)</f>
        <v>1</v>
      </c>
      <c r="X2677" s="39" t="n">
        <f aca="false">IF(OR(I2677="DNB",I2677="Dry DNB"),1,0)</f>
        <v>0</v>
      </c>
      <c r="Y2677" s="39" t="n">
        <f aca="false">MATCH(A2677,DATAS,0)</f>
        <v>1</v>
      </c>
      <c r="Z2677" s="39" t="n">
        <f aca="false">IF(AND(E2677&gt;0,OR(AND(B2677&gt;=1,B2677&lt;=6),B2677=10)),1,0)</f>
        <v>0</v>
      </c>
      <c r="AA2677" s="39" t="n">
        <f aca="false">IF(AND(E2677&gt;0,B2677=10),1,0)</f>
        <v>0</v>
      </c>
      <c r="AB2677" s="0" t="str">
        <f aca="false">IF(AND(C2676=C2677,Y2676=Y2677-1),Z2676,"")</f>
        <v/>
      </c>
      <c r="AC2677" s="0" t="str">
        <f aca="false">IF(AND(C2676=C2677,Y2676=Y2677-1),AA2676,"")</f>
        <v/>
      </c>
      <c r="AD2677" s="0" t="str">
        <f aca="false">IF(Y2677=1,"",IF(AND(Z2677=1,AB2677&lt;&gt;1),1,0))</f>
        <v/>
      </c>
      <c r="AE2677" s="0" t="str">
        <f aca="false">IF(Y2677=1,"",IF(AND(AA2677=1,AC2677&lt;&gt;1),1,0))</f>
        <v/>
      </c>
      <c r="AF2677" s="45" t="str">
        <f aca="false">IF(AND(E2677&gt;0,Y2677&lt;1,NOT(AND(C2678=C2677,Y2678=Y2677+1))),INDEX(DATAS,Y2677+1),"")</f>
        <v/>
      </c>
      <c r="AG2677" s="45" t="str">
        <f aca="false">IF(AND(AA2677=1,Y2677&lt;1),IF(AND(C2678=C2677,Y2678=Y2677+1),IF(AA2678=1,"",INDEX(DATAS,Y2677+1)),INDEX(DATAS,Y2677+1)),"")</f>
        <v/>
      </c>
    </row>
    <row r="2678" customFormat="false" ht="15" hidden="false" customHeight="false" outlineLevel="0" collapsed="false">
      <c r="A2678" s="45" t="n">
        <v>46309</v>
      </c>
      <c r="B2678" s="0" t="n">
        <v>13</v>
      </c>
      <c r="C2678" s="0" t="n">
        <v>7029</v>
      </c>
      <c r="E2678" s="0" t="n">
        <v>0</v>
      </c>
      <c r="F2678" s="39" t="s">
        <v>1312</v>
      </c>
      <c r="I2678" s="39" t="s">
        <v>136</v>
      </c>
      <c r="U2678" s="0" t="n">
        <v>370</v>
      </c>
      <c r="V2678" s="0" t="n">
        <v>0</v>
      </c>
      <c r="W2678" s="39" t="n">
        <f aca="false">IF(I2678="Male",0,1)</f>
        <v>1</v>
      </c>
      <c r="X2678" s="39" t="n">
        <f aca="false">IF(OR(I2678="DNB",I2678="Dry DNB"),1,0)</f>
        <v>0</v>
      </c>
      <c r="Y2678" s="39" t="n">
        <f aca="false">MATCH(A2678,DATAS,0)</f>
        <v>1</v>
      </c>
      <c r="Z2678" s="39" t="n">
        <f aca="false">IF(AND(E2678&gt;0,OR(AND(B2678&gt;=1,B2678&lt;=6),B2678=10)),1,0)</f>
        <v>0</v>
      </c>
      <c r="AA2678" s="39" t="n">
        <f aca="false">IF(AND(E2678&gt;0,B2678=10),1,0)</f>
        <v>0</v>
      </c>
      <c r="AB2678" s="0" t="str">
        <f aca="false">IF(AND(C2677=C2678,Y2677=Y2678-1),Z2677,"")</f>
        <v/>
      </c>
      <c r="AC2678" s="0" t="str">
        <f aca="false">IF(AND(C2677=C2678,Y2677=Y2678-1),AA2677,"")</f>
        <v/>
      </c>
      <c r="AD2678" s="0" t="str">
        <f aca="false">IF(Y2678=1,"",IF(AND(Z2678=1,AB2678&lt;&gt;1),1,0))</f>
        <v/>
      </c>
      <c r="AE2678" s="0" t="str">
        <f aca="false">IF(Y2678=1,"",IF(AND(AA2678=1,AC2678&lt;&gt;1),1,0))</f>
        <v/>
      </c>
      <c r="AF2678" s="45" t="str">
        <f aca="false">IF(AND(E2678&gt;0,Y2678&lt;1,NOT(AND(C2679=C2678,Y2679=Y2678+1))),INDEX(DATAS,Y2678+1),"")</f>
        <v/>
      </c>
      <c r="AG2678" s="45" t="str">
        <f aca="false">IF(AND(AA2678=1,Y2678&lt;1),IF(AND(C2679=C2678,Y2679=Y2678+1),IF(AA2679=1,"",INDEX(DATAS,Y2678+1)),INDEX(DATAS,Y2678+1)),"")</f>
        <v/>
      </c>
    </row>
    <row r="2679" customFormat="false" ht="15" hidden="false" customHeight="false" outlineLevel="0" collapsed="false">
      <c r="A2679" s="45" t="n">
        <v>46309</v>
      </c>
      <c r="B2679" s="0" t="n">
        <v>13</v>
      </c>
      <c r="C2679" s="0" t="n">
        <v>7030</v>
      </c>
      <c r="E2679" s="0" t="n">
        <v>0</v>
      </c>
      <c r="F2679" s="39" t="s">
        <v>1312</v>
      </c>
      <c r="I2679" s="39" t="s">
        <v>136</v>
      </c>
      <c r="U2679" s="0" t="n">
        <v>370</v>
      </c>
      <c r="V2679" s="0" t="n">
        <v>0</v>
      </c>
      <c r="W2679" s="39" t="n">
        <f aca="false">IF(I2679="Male",0,1)</f>
        <v>1</v>
      </c>
      <c r="X2679" s="39" t="n">
        <f aca="false">IF(OR(I2679="DNB",I2679="Dry DNB"),1,0)</f>
        <v>0</v>
      </c>
      <c r="Y2679" s="39" t="n">
        <f aca="false">MATCH(A2679,DATAS,0)</f>
        <v>1</v>
      </c>
      <c r="Z2679" s="39" t="n">
        <f aca="false">IF(AND(E2679&gt;0,OR(AND(B2679&gt;=1,B2679&lt;=6),B2679=10)),1,0)</f>
        <v>0</v>
      </c>
      <c r="AA2679" s="39" t="n">
        <f aca="false">IF(AND(E2679&gt;0,B2679=10),1,0)</f>
        <v>0</v>
      </c>
      <c r="AB2679" s="0" t="str">
        <f aca="false">IF(AND(C2678=C2679,Y2678=Y2679-1),Z2678,"")</f>
        <v/>
      </c>
      <c r="AC2679" s="0" t="str">
        <f aca="false">IF(AND(C2678=C2679,Y2678=Y2679-1),AA2678,"")</f>
        <v/>
      </c>
      <c r="AD2679" s="0" t="str">
        <f aca="false">IF(Y2679=1,"",IF(AND(Z2679=1,AB2679&lt;&gt;1),1,0))</f>
        <v/>
      </c>
      <c r="AE2679" s="0" t="str">
        <f aca="false">IF(Y2679=1,"",IF(AND(AA2679=1,AC2679&lt;&gt;1),1,0))</f>
        <v/>
      </c>
      <c r="AF2679" s="45" t="str">
        <f aca="false">IF(AND(E2679&gt;0,Y2679&lt;1,NOT(AND(C2680=C2679,Y2680=Y2679+1))),INDEX(DATAS,Y2679+1),"")</f>
        <v/>
      </c>
      <c r="AG2679" s="45" t="str">
        <f aca="false">IF(AND(AA2679=1,Y2679&lt;1),IF(AND(C2680=C2679,Y2680=Y2679+1),IF(AA2680=1,"",INDEX(DATAS,Y2679+1)),INDEX(DATAS,Y2679+1)),"")</f>
        <v/>
      </c>
    </row>
    <row r="2680" customFormat="false" ht="15" hidden="false" customHeight="false" outlineLevel="0" collapsed="false">
      <c r="A2680" s="45" t="n">
        <v>46309</v>
      </c>
      <c r="B2680" s="0" t="n">
        <v>13</v>
      </c>
      <c r="C2680" s="0" t="n">
        <v>7031</v>
      </c>
      <c r="E2680" s="0" t="n">
        <v>0</v>
      </c>
      <c r="F2680" s="39" t="s">
        <v>1313</v>
      </c>
      <c r="I2680" s="39" t="s">
        <v>136</v>
      </c>
      <c r="U2680" s="0" t="n">
        <v>369</v>
      </c>
      <c r="V2680" s="0" t="n">
        <v>0</v>
      </c>
      <c r="W2680" s="39" t="n">
        <f aca="false">IF(I2680="Male",0,1)</f>
        <v>1</v>
      </c>
      <c r="X2680" s="39" t="n">
        <f aca="false">IF(OR(I2680="DNB",I2680="Dry DNB"),1,0)</f>
        <v>0</v>
      </c>
      <c r="Y2680" s="39" t="n">
        <f aca="false">MATCH(A2680,DATAS,0)</f>
        <v>1</v>
      </c>
      <c r="Z2680" s="39" t="n">
        <f aca="false">IF(AND(E2680&gt;0,OR(AND(B2680&gt;=1,B2680&lt;=6),B2680=10)),1,0)</f>
        <v>0</v>
      </c>
      <c r="AA2680" s="39" t="n">
        <f aca="false">IF(AND(E2680&gt;0,B2680=10),1,0)</f>
        <v>0</v>
      </c>
      <c r="AB2680" s="0" t="str">
        <f aca="false">IF(AND(C2679=C2680,Y2679=Y2680-1),Z2679,"")</f>
        <v/>
      </c>
      <c r="AC2680" s="0" t="str">
        <f aca="false">IF(AND(C2679=C2680,Y2679=Y2680-1),AA2679,"")</f>
        <v/>
      </c>
      <c r="AD2680" s="0" t="str">
        <f aca="false">IF(Y2680=1,"",IF(AND(Z2680=1,AB2680&lt;&gt;1),1,0))</f>
        <v/>
      </c>
      <c r="AE2680" s="0" t="str">
        <f aca="false">IF(Y2680=1,"",IF(AND(AA2680=1,AC2680&lt;&gt;1),1,0))</f>
        <v/>
      </c>
      <c r="AF2680" s="45" t="str">
        <f aca="false">IF(AND(E2680&gt;0,Y2680&lt;1,NOT(AND(C2681=C2680,Y2681=Y2680+1))),INDEX(DATAS,Y2680+1),"")</f>
        <v/>
      </c>
      <c r="AG2680" s="45" t="str">
        <f aca="false">IF(AND(AA2680=1,Y2680&lt;1),IF(AND(C2681=C2680,Y2681=Y2680+1),IF(AA2681=1,"",INDEX(DATAS,Y2680+1)),INDEX(DATAS,Y2680+1)),"")</f>
        <v/>
      </c>
    </row>
    <row r="2681" customFormat="false" ht="15" hidden="false" customHeight="false" outlineLevel="0" collapsed="false">
      <c r="A2681" s="45" t="n">
        <v>46309</v>
      </c>
      <c r="B2681" s="0" t="n">
        <v>13</v>
      </c>
      <c r="C2681" s="0" t="n">
        <v>7032</v>
      </c>
      <c r="E2681" s="0" t="n">
        <v>0</v>
      </c>
      <c r="F2681" s="39" t="s">
        <v>1313</v>
      </c>
      <c r="I2681" s="39" t="s">
        <v>136</v>
      </c>
      <c r="U2681" s="0" t="n">
        <v>369</v>
      </c>
      <c r="V2681" s="0" t="n">
        <v>0</v>
      </c>
      <c r="W2681" s="39" t="n">
        <f aca="false">IF(I2681="Male",0,1)</f>
        <v>1</v>
      </c>
      <c r="X2681" s="39" t="n">
        <f aca="false">IF(OR(I2681="DNB",I2681="Dry DNB"),1,0)</f>
        <v>0</v>
      </c>
      <c r="Y2681" s="39" t="n">
        <f aca="false">MATCH(A2681,DATAS,0)</f>
        <v>1</v>
      </c>
      <c r="Z2681" s="39" t="n">
        <f aca="false">IF(AND(E2681&gt;0,OR(AND(B2681&gt;=1,B2681&lt;=6),B2681=10)),1,0)</f>
        <v>0</v>
      </c>
      <c r="AA2681" s="39" t="n">
        <f aca="false">IF(AND(E2681&gt;0,B2681=10),1,0)</f>
        <v>0</v>
      </c>
      <c r="AB2681" s="0" t="str">
        <f aca="false">IF(AND(C2680=C2681,Y2680=Y2681-1),Z2680,"")</f>
        <v/>
      </c>
      <c r="AC2681" s="0" t="str">
        <f aca="false">IF(AND(C2680=C2681,Y2680=Y2681-1),AA2680,"")</f>
        <v/>
      </c>
      <c r="AD2681" s="0" t="str">
        <f aca="false">IF(Y2681=1,"",IF(AND(Z2681=1,AB2681&lt;&gt;1),1,0))</f>
        <v/>
      </c>
      <c r="AE2681" s="0" t="str">
        <f aca="false">IF(Y2681=1,"",IF(AND(AA2681=1,AC2681&lt;&gt;1),1,0))</f>
        <v/>
      </c>
      <c r="AF2681" s="45" t="str">
        <f aca="false">IF(AND(E2681&gt;0,Y2681&lt;1,NOT(AND(C2682=C2681,Y2682=Y2681+1))),INDEX(DATAS,Y2681+1),"")</f>
        <v/>
      </c>
      <c r="AG2681" s="45" t="str">
        <f aca="false">IF(AND(AA2681=1,Y2681&lt;1),IF(AND(C2682=C2681,Y2682=Y2681+1),IF(AA2682=1,"",INDEX(DATAS,Y2681+1)),INDEX(DATAS,Y2681+1)),"")</f>
        <v/>
      </c>
    </row>
    <row r="2682" customFormat="false" ht="15" hidden="false" customHeight="false" outlineLevel="0" collapsed="false">
      <c r="A2682" s="45" t="n">
        <v>46309</v>
      </c>
      <c r="B2682" s="0" t="n">
        <v>13</v>
      </c>
      <c r="C2682" s="0" t="n">
        <v>7033</v>
      </c>
      <c r="E2682" s="0" t="n">
        <v>0</v>
      </c>
      <c r="F2682" s="39" t="s">
        <v>1313</v>
      </c>
      <c r="I2682" s="39" t="s">
        <v>136</v>
      </c>
      <c r="U2682" s="0" t="n">
        <v>369</v>
      </c>
      <c r="V2682" s="0" t="n">
        <v>0</v>
      </c>
      <c r="W2682" s="39" t="n">
        <f aca="false">IF(I2682="Male",0,1)</f>
        <v>1</v>
      </c>
      <c r="X2682" s="39" t="n">
        <f aca="false">IF(OR(I2682="DNB",I2682="Dry DNB"),1,0)</f>
        <v>0</v>
      </c>
      <c r="Y2682" s="39" t="n">
        <f aca="false">MATCH(A2682,DATAS,0)</f>
        <v>1</v>
      </c>
      <c r="Z2682" s="39" t="n">
        <f aca="false">IF(AND(E2682&gt;0,OR(AND(B2682&gt;=1,B2682&lt;=6),B2682=10)),1,0)</f>
        <v>0</v>
      </c>
      <c r="AA2682" s="39" t="n">
        <f aca="false">IF(AND(E2682&gt;0,B2682=10),1,0)</f>
        <v>0</v>
      </c>
      <c r="AB2682" s="0" t="str">
        <f aca="false">IF(AND(C2681=C2682,Y2681=Y2682-1),Z2681,"")</f>
        <v/>
      </c>
      <c r="AC2682" s="0" t="str">
        <f aca="false">IF(AND(C2681=C2682,Y2681=Y2682-1),AA2681,"")</f>
        <v/>
      </c>
      <c r="AD2682" s="0" t="str">
        <f aca="false">IF(Y2682=1,"",IF(AND(Z2682=1,AB2682&lt;&gt;1),1,0))</f>
        <v/>
      </c>
      <c r="AE2682" s="0" t="str">
        <f aca="false">IF(Y2682=1,"",IF(AND(AA2682=1,AC2682&lt;&gt;1),1,0))</f>
        <v/>
      </c>
      <c r="AF2682" s="45" t="str">
        <f aca="false">IF(AND(E2682&gt;0,Y2682&lt;1,NOT(AND(C2683=C2682,Y2683=Y2682+1))),INDEX(DATAS,Y2682+1),"")</f>
        <v/>
      </c>
      <c r="AG2682" s="45" t="str">
        <f aca="false">IF(AND(AA2682=1,Y2682&lt;1),IF(AND(C2683=C2682,Y2683=Y2682+1),IF(AA2683=1,"",INDEX(DATAS,Y2682+1)),INDEX(DATAS,Y2682+1)),"")</f>
        <v/>
      </c>
    </row>
    <row r="2683" customFormat="false" ht="15" hidden="false" customHeight="false" outlineLevel="0" collapsed="false">
      <c r="A2683" s="45" t="n">
        <v>46309</v>
      </c>
      <c r="B2683" s="0" t="n">
        <v>13</v>
      </c>
      <c r="C2683" s="0" t="n">
        <v>7035</v>
      </c>
      <c r="E2683" s="0" t="n">
        <v>0</v>
      </c>
      <c r="F2683" s="39" t="s">
        <v>1314</v>
      </c>
      <c r="I2683" s="39" t="s">
        <v>136</v>
      </c>
      <c r="U2683" s="0" t="n">
        <v>367</v>
      </c>
      <c r="V2683" s="0" t="n">
        <v>0</v>
      </c>
      <c r="W2683" s="39" t="n">
        <f aca="false">IF(I2683="Male",0,1)</f>
        <v>1</v>
      </c>
      <c r="X2683" s="39" t="n">
        <f aca="false">IF(OR(I2683="DNB",I2683="Dry DNB"),1,0)</f>
        <v>0</v>
      </c>
      <c r="Y2683" s="39" t="n">
        <f aca="false">MATCH(A2683,DATAS,0)</f>
        <v>1</v>
      </c>
      <c r="Z2683" s="39" t="n">
        <f aca="false">IF(AND(E2683&gt;0,OR(AND(B2683&gt;=1,B2683&lt;=6),B2683=10)),1,0)</f>
        <v>0</v>
      </c>
      <c r="AA2683" s="39" t="n">
        <f aca="false">IF(AND(E2683&gt;0,B2683=10),1,0)</f>
        <v>0</v>
      </c>
      <c r="AB2683" s="0" t="str">
        <f aca="false">IF(AND(C2682=C2683,Y2682=Y2683-1),Z2682,"")</f>
        <v/>
      </c>
      <c r="AC2683" s="0" t="str">
        <f aca="false">IF(AND(C2682=C2683,Y2682=Y2683-1),AA2682,"")</f>
        <v/>
      </c>
      <c r="AD2683" s="0" t="str">
        <f aca="false">IF(Y2683=1,"",IF(AND(Z2683=1,AB2683&lt;&gt;1),1,0))</f>
        <v/>
      </c>
      <c r="AE2683" s="0" t="str">
        <f aca="false">IF(Y2683=1,"",IF(AND(AA2683=1,AC2683&lt;&gt;1),1,0))</f>
        <v/>
      </c>
      <c r="AF2683" s="45" t="str">
        <f aca="false">IF(AND(E2683&gt;0,Y2683&lt;1,NOT(AND(C2684=C2683,Y2684=Y2683+1))),INDEX(DATAS,Y2683+1),"")</f>
        <v/>
      </c>
      <c r="AG2683" s="45" t="str">
        <f aca="false">IF(AND(AA2683=1,Y2683&lt;1),IF(AND(C2684=C2683,Y2684=Y2683+1),IF(AA2684=1,"",INDEX(DATAS,Y2683+1)),INDEX(DATAS,Y2683+1)),"")</f>
        <v/>
      </c>
    </row>
    <row r="2684" customFormat="false" ht="15" hidden="false" customHeight="false" outlineLevel="0" collapsed="false">
      <c r="A2684" s="45" t="n">
        <v>46309</v>
      </c>
      <c r="B2684" s="0" t="n">
        <v>13</v>
      </c>
      <c r="C2684" s="0" t="n">
        <v>7036</v>
      </c>
      <c r="E2684" s="0" t="n">
        <v>0</v>
      </c>
      <c r="F2684" s="39" t="s">
        <v>1315</v>
      </c>
      <c r="I2684" s="39" t="s">
        <v>136</v>
      </c>
      <c r="U2684" s="0" t="n">
        <v>366</v>
      </c>
      <c r="V2684" s="0" t="n">
        <v>0</v>
      </c>
      <c r="W2684" s="39" t="n">
        <f aca="false">IF(I2684="Male",0,1)</f>
        <v>1</v>
      </c>
      <c r="X2684" s="39" t="n">
        <f aca="false">IF(OR(I2684="DNB",I2684="Dry DNB"),1,0)</f>
        <v>0</v>
      </c>
      <c r="Y2684" s="39" t="n">
        <f aca="false">MATCH(A2684,DATAS,0)</f>
        <v>1</v>
      </c>
      <c r="Z2684" s="39" t="n">
        <f aca="false">IF(AND(E2684&gt;0,OR(AND(B2684&gt;=1,B2684&lt;=6),B2684=10)),1,0)</f>
        <v>0</v>
      </c>
      <c r="AA2684" s="39" t="n">
        <f aca="false">IF(AND(E2684&gt;0,B2684=10),1,0)</f>
        <v>0</v>
      </c>
      <c r="AB2684" s="0" t="str">
        <f aca="false">IF(AND(C2683=C2684,Y2683=Y2684-1),Z2683,"")</f>
        <v/>
      </c>
      <c r="AC2684" s="0" t="str">
        <f aca="false">IF(AND(C2683=C2684,Y2683=Y2684-1),AA2683,"")</f>
        <v/>
      </c>
      <c r="AD2684" s="0" t="str">
        <f aca="false">IF(Y2684=1,"",IF(AND(Z2684=1,AB2684&lt;&gt;1),1,0))</f>
        <v/>
      </c>
      <c r="AE2684" s="0" t="str">
        <f aca="false">IF(Y2684=1,"",IF(AND(AA2684=1,AC2684&lt;&gt;1),1,0))</f>
        <v/>
      </c>
      <c r="AF2684" s="45" t="str">
        <f aca="false">IF(AND(E2684&gt;0,Y2684&lt;1,NOT(AND(C2685=C2684,Y2685=Y2684+1))),INDEX(DATAS,Y2684+1),"")</f>
        <v/>
      </c>
      <c r="AG2684" s="45" t="str">
        <f aca="false">IF(AND(AA2684=1,Y2684&lt;1),IF(AND(C2685=C2684,Y2685=Y2684+1),IF(AA2685=1,"",INDEX(DATAS,Y2684+1)),INDEX(DATAS,Y2684+1)),"")</f>
        <v/>
      </c>
    </row>
    <row r="2685" customFormat="false" ht="15" hidden="false" customHeight="false" outlineLevel="0" collapsed="false">
      <c r="A2685" s="45" t="n">
        <v>46309</v>
      </c>
      <c r="B2685" s="0" t="n">
        <v>13</v>
      </c>
      <c r="C2685" s="0" t="n">
        <v>7037</v>
      </c>
      <c r="E2685" s="0" t="n">
        <v>0</v>
      </c>
      <c r="F2685" s="39" t="s">
        <v>1315</v>
      </c>
      <c r="I2685" s="39" t="s">
        <v>136</v>
      </c>
      <c r="U2685" s="0" t="n">
        <v>366</v>
      </c>
      <c r="V2685" s="0" t="n">
        <v>0</v>
      </c>
      <c r="W2685" s="39" t="n">
        <f aca="false">IF(I2685="Male",0,1)</f>
        <v>1</v>
      </c>
      <c r="X2685" s="39" t="n">
        <f aca="false">IF(OR(I2685="DNB",I2685="Dry DNB"),1,0)</f>
        <v>0</v>
      </c>
      <c r="Y2685" s="39" t="n">
        <f aca="false">MATCH(A2685,DATAS,0)</f>
        <v>1</v>
      </c>
      <c r="Z2685" s="39" t="n">
        <f aca="false">IF(AND(E2685&gt;0,OR(AND(B2685&gt;=1,B2685&lt;=6),B2685=10)),1,0)</f>
        <v>0</v>
      </c>
      <c r="AA2685" s="39" t="n">
        <f aca="false">IF(AND(E2685&gt;0,B2685=10),1,0)</f>
        <v>0</v>
      </c>
      <c r="AB2685" s="0" t="str">
        <f aca="false">IF(AND(C2684=C2685,Y2684=Y2685-1),Z2684,"")</f>
        <v/>
      </c>
      <c r="AC2685" s="0" t="str">
        <f aca="false">IF(AND(C2684=C2685,Y2684=Y2685-1),AA2684,"")</f>
        <v/>
      </c>
      <c r="AD2685" s="0" t="str">
        <f aca="false">IF(Y2685=1,"",IF(AND(Z2685=1,AB2685&lt;&gt;1),1,0))</f>
        <v/>
      </c>
      <c r="AE2685" s="0" t="str">
        <f aca="false">IF(Y2685=1,"",IF(AND(AA2685=1,AC2685&lt;&gt;1),1,0))</f>
        <v/>
      </c>
      <c r="AF2685" s="45" t="str">
        <f aca="false">IF(AND(E2685&gt;0,Y2685&lt;1,NOT(AND(C2686=C2685,Y2686=Y2685+1))),INDEX(DATAS,Y2685+1),"")</f>
        <v/>
      </c>
      <c r="AG2685" s="45" t="str">
        <f aca="false">IF(AND(AA2685=1,Y2685&lt;1),IF(AND(C2686=C2685,Y2686=Y2685+1),IF(AA2686=1,"",INDEX(DATAS,Y2685+1)),INDEX(DATAS,Y2685+1)),"")</f>
        <v/>
      </c>
    </row>
    <row r="2686" customFormat="false" ht="15" hidden="false" customHeight="false" outlineLevel="0" collapsed="false">
      <c r="A2686" s="45" t="n">
        <v>46309</v>
      </c>
      <c r="B2686" s="0" t="n">
        <v>13</v>
      </c>
      <c r="C2686" s="0" t="n">
        <v>7038</v>
      </c>
      <c r="E2686" s="0" t="n">
        <v>0</v>
      </c>
      <c r="F2686" s="39" t="s">
        <v>1316</v>
      </c>
      <c r="I2686" s="39" t="s">
        <v>136</v>
      </c>
      <c r="U2686" s="0" t="n">
        <v>365</v>
      </c>
      <c r="V2686" s="0" t="n">
        <v>0</v>
      </c>
      <c r="W2686" s="39" t="n">
        <f aca="false">IF(I2686="Male",0,1)</f>
        <v>1</v>
      </c>
      <c r="X2686" s="39" t="n">
        <f aca="false">IF(OR(I2686="DNB",I2686="Dry DNB"),1,0)</f>
        <v>0</v>
      </c>
      <c r="Y2686" s="39" t="n">
        <f aca="false">MATCH(A2686,DATAS,0)</f>
        <v>1</v>
      </c>
      <c r="Z2686" s="39" t="n">
        <f aca="false">IF(AND(E2686&gt;0,OR(AND(B2686&gt;=1,B2686&lt;=6),B2686=10)),1,0)</f>
        <v>0</v>
      </c>
      <c r="AA2686" s="39" t="n">
        <f aca="false">IF(AND(E2686&gt;0,B2686=10),1,0)</f>
        <v>0</v>
      </c>
      <c r="AB2686" s="0" t="str">
        <f aca="false">IF(AND(C2685=C2686,Y2685=Y2686-1),Z2685,"")</f>
        <v/>
      </c>
      <c r="AC2686" s="0" t="str">
        <f aca="false">IF(AND(C2685=C2686,Y2685=Y2686-1),AA2685,"")</f>
        <v/>
      </c>
      <c r="AD2686" s="0" t="str">
        <f aca="false">IF(Y2686=1,"",IF(AND(Z2686=1,AB2686&lt;&gt;1),1,0))</f>
        <v/>
      </c>
      <c r="AE2686" s="0" t="str">
        <f aca="false">IF(Y2686=1,"",IF(AND(AA2686=1,AC2686&lt;&gt;1),1,0))</f>
        <v/>
      </c>
      <c r="AF2686" s="45" t="str">
        <f aca="false">IF(AND(E2686&gt;0,Y2686&lt;1,NOT(AND(C2687=C2686,Y2687=Y2686+1))),INDEX(DATAS,Y2686+1),"")</f>
        <v/>
      </c>
      <c r="AG2686" s="45" t="str">
        <f aca="false">IF(AND(AA2686=1,Y2686&lt;1),IF(AND(C2687=C2686,Y2687=Y2686+1),IF(AA2687=1,"",INDEX(DATAS,Y2686+1)),INDEX(DATAS,Y2686+1)),"")</f>
        <v/>
      </c>
    </row>
    <row r="2687" customFormat="false" ht="15" hidden="false" customHeight="false" outlineLevel="0" collapsed="false">
      <c r="A2687" s="45" t="n">
        <v>46309</v>
      </c>
      <c r="B2687" s="0" t="n">
        <v>13</v>
      </c>
      <c r="C2687" s="0" t="n">
        <v>7039</v>
      </c>
      <c r="E2687" s="0" t="n">
        <v>0</v>
      </c>
      <c r="F2687" s="39" t="s">
        <v>1317</v>
      </c>
      <c r="I2687" s="39" t="s">
        <v>136</v>
      </c>
      <c r="U2687" s="0" t="n">
        <v>364</v>
      </c>
      <c r="V2687" s="0" t="n">
        <v>0</v>
      </c>
      <c r="W2687" s="39" t="n">
        <f aca="false">IF(I2687="Male",0,1)</f>
        <v>1</v>
      </c>
      <c r="X2687" s="39" t="n">
        <f aca="false">IF(OR(I2687="DNB",I2687="Dry DNB"),1,0)</f>
        <v>0</v>
      </c>
      <c r="Y2687" s="39" t="n">
        <f aca="false">MATCH(A2687,DATAS,0)</f>
        <v>1</v>
      </c>
      <c r="Z2687" s="39" t="n">
        <f aca="false">IF(AND(E2687&gt;0,OR(AND(B2687&gt;=1,B2687&lt;=6),B2687=10)),1,0)</f>
        <v>0</v>
      </c>
      <c r="AA2687" s="39" t="n">
        <f aca="false">IF(AND(E2687&gt;0,B2687=10),1,0)</f>
        <v>0</v>
      </c>
      <c r="AB2687" s="0" t="str">
        <f aca="false">IF(AND(C2686=C2687,Y2686=Y2687-1),Z2686,"")</f>
        <v/>
      </c>
      <c r="AC2687" s="0" t="str">
        <f aca="false">IF(AND(C2686=C2687,Y2686=Y2687-1),AA2686,"")</f>
        <v/>
      </c>
      <c r="AD2687" s="0" t="str">
        <f aca="false">IF(Y2687=1,"",IF(AND(Z2687=1,AB2687&lt;&gt;1),1,0))</f>
        <v/>
      </c>
      <c r="AE2687" s="0" t="str">
        <f aca="false">IF(Y2687=1,"",IF(AND(AA2687=1,AC2687&lt;&gt;1),1,0))</f>
        <v/>
      </c>
      <c r="AF2687" s="45" t="str">
        <f aca="false">IF(AND(E2687&gt;0,Y2687&lt;1,NOT(AND(C2688=C2687,Y2688=Y2687+1))),INDEX(DATAS,Y2687+1),"")</f>
        <v/>
      </c>
      <c r="AG2687" s="45" t="str">
        <f aca="false">IF(AND(AA2687=1,Y2687&lt;1),IF(AND(C2688=C2687,Y2688=Y2687+1),IF(AA2688=1,"",INDEX(DATAS,Y2687+1)),INDEX(DATAS,Y2687+1)),"")</f>
        <v/>
      </c>
    </row>
    <row r="2688" customFormat="false" ht="15" hidden="false" customHeight="false" outlineLevel="0" collapsed="false">
      <c r="A2688" s="45" t="n">
        <v>46309</v>
      </c>
      <c r="B2688" s="0" t="n">
        <v>13</v>
      </c>
      <c r="C2688" s="0" t="n">
        <v>7040</v>
      </c>
      <c r="E2688" s="0" t="n">
        <v>0</v>
      </c>
      <c r="F2688" s="39" t="s">
        <v>1318</v>
      </c>
      <c r="I2688" s="39" t="s">
        <v>136</v>
      </c>
      <c r="U2688" s="0" t="n">
        <v>362</v>
      </c>
      <c r="V2688" s="0" t="n">
        <v>0</v>
      </c>
      <c r="W2688" s="39" t="n">
        <f aca="false">IF(I2688="Male",0,1)</f>
        <v>1</v>
      </c>
      <c r="X2688" s="39" t="n">
        <f aca="false">IF(OR(I2688="DNB",I2688="Dry DNB"),1,0)</f>
        <v>0</v>
      </c>
      <c r="Y2688" s="39" t="n">
        <f aca="false">MATCH(A2688,DATAS,0)</f>
        <v>1</v>
      </c>
      <c r="Z2688" s="39" t="n">
        <f aca="false">IF(AND(E2688&gt;0,OR(AND(B2688&gt;=1,B2688&lt;=6),B2688=10)),1,0)</f>
        <v>0</v>
      </c>
      <c r="AA2688" s="39" t="n">
        <f aca="false">IF(AND(E2688&gt;0,B2688=10),1,0)</f>
        <v>0</v>
      </c>
      <c r="AB2688" s="0" t="str">
        <f aca="false">IF(AND(C2687=C2688,Y2687=Y2688-1),Z2687,"")</f>
        <v/>
      </c>
      <c r="AC2688" s="0" t="str">
        <f aca="false">IF(AND(C2687=C2688,Y2687=Y2688-1),AA2687,"")</f>
        <v/>
      </c>
      <c r="AD2688" s="0" t="str">
        <f aca="false">IF(Y2688=1,"",IF(AND(Z2688=1,AB2688&lt;&gt;1),1,0))</f>
        <v/>
      </c>
      <c r="AE2688" s="0" t="str">
        <f aca="false">IF(Y2688=1,"",IF(AND(AA2688=1,AC2688&lt;&gt;1),1,0))</f>
        <v/>
      </c>
      <c r="AF2688" s="45" t="str">
        <f aca="false">IF(AND(E2688&gt;0,Y2688&lt;1,NOT(AND(C2689=C2688,Y2689=Y2688+1))),INDEX(DATAS,Y2688+1),"")</f>
        <v/>
      </c>
      <c r="AG2688" s="45" t="str">
        <f aca="false">IF(AND(AA2688=1,Y2688&lt;1),IF(AND(C2689=C2688,Y2689=Y2688+1),IF(AA2689=1,"",INDEX(DATAS,Y2688+1)),INDEX(DATAS,Y2688+1)),"")</f>
        <v/>
      </c>
    </row>
    <row r="2689" customFormat="false" ht="15" hidden="false" customHeight="false" outlineLevel="0" collapsed="false">
      <c r="A2689" s="45" t="n">
        <v>46309</v>
      </c>
      <c r="B2689" s="0" t="n">
        <v>13</v>
      </c>
      <c r="C2689" s="0" t="n">
        <v>7041</v>
      </c>
      <c r="E2689" s="0" t="n">
        <v>0</v>
      </c>
      <c r="F2689" s="39" t="s">
        <v>1317</v>
      </c>
      <c r="I2689" s="39" t="s">
        <v>136</v>
      </c>
      <c r="U2689" s="0" t="n">
        <v>364</v>
      </c>
      <c r="V2689" s="0" t="n">
        <v>0</v>
      </c>
      <c r="W2689" s="39" t="n">
        <f aca="false">IF(I2689="Male",0,1)</f>
        <v>1</v>
      </c>
      <c r="X2689" s="39" t="n">
        <f aca="false">IF(OR(I2689="DNB",I2689="Dry DNB"),1,0)</f>
        <v>0</v>
      </c>
      <c r="Y2689" s="39" t="n">
        <f aca="false">MATCH(A2689,DATAS,0)</f>
        <v>1</v>
      </c>
      <c r="Z2689" s="39" t="n">
        <f aca="false">IF(AND(E2689&gt;0,OR(AND(B2689&gt;=1,B2689&lt;=6),B2689=10)),1,0)</f>
        <v>0</v>
      </c>
      <c r="AA2689" s="39" t="n">
        <f aca="false">IF(AND(E2689&gt;0,B2689=10),1,0)</f>
        <v>0</v>
      </c>
      <c r="AB2689" s="0" t="str">
        <f aca="false">IF(AND(C2688=C2689,Y2688=Y2689-1),Z2688,"")</f>
        <v/>
      </c>
      <c r="AC2689" s="0" t="str">
        <f aca="false">IF(AND(C2688=C2689,Y2688=Y2689-1),AA2688,"")</f>
        <v/>
      </c>
      <c r="AD2689" s="0" t="str">
        <f aca="false">IF(Y2689=1,"",IF(AND(Z2689=1,AB2689&lt;&gt;1),1,0))</f>
        <v/>
      </c>
      <c r="AE2689" s="0" t="str">
        <f aca="false">IF(Y2689=1,"",IF(AND(AA2689=1,AC2689&lt;&gt;1),1,0))</f>
        <v/>
      </c>
      <c r="AF2689" s="45" t="str">
        <f aca="false">IF(AND(E2689&gt;0,Y2689&lt;1,NOT(AND(C2690=C2689,Y2690=Y2689+1))),INDEX(DATAS,Y2689+1),"")</f>
        <v/>
      </c>
      <c r="AG2689" s="45" t="str">
        <f aca="false">IF(AND(AA2689=1,Y2689&lt;1),IF(AND(C2690=C2689,Y2690=Y2689+1),IF(AA2690=1,"",INDEX(DATAS,Y2689+1)),INDEX(DATAS,Y2689+1)),"")</f>
        <v/>
      </c>
    </row>
    <row r="2690" customFormat="false" ht="15" hidden="false" customHeight="false" outlineLevel="0" collapsed="false">
      <c r="A2690" s="45" t="n">
        <v>46309</v>
      </c>
      <c r="B2690" s="0" t="n">
        <v>13</v>
      </c>
      <c r="C2690" s="0" t="n">
        <v>7042</v>
      </c>
      <c r="E2690" s="0" t="n">
        <v>0</v>
      </c>
      <c r="F2690" s="39" t="s">
        <v>1317</v>
      </c>
      <c r="I2690" s="39" t="s">
        <v>136</v>
      </c>
      <c r="U2690" s="0" t="n">
        <v>364</v>
      </c>
      <c r="V2690" s="0" t="n">
        <v>0</v>
      </c>
      <c r="W2690" s="39" t="n">
        <f aca="false">IF(I2690="Male",0,1)</f>
        <v>1</v>
      </c>
      <c r="X2690" s="39" t="n">
        <f aca="false">IF(OR(I2690="DNB",I2690="Dry DNB"),1,0)</f>
        <v>0</v>
      </c>
      <c r="Y2690" s="39" t="n">
        <f aca="false">MATCH(A2690,DATAS,0)</f>
        <v>1</v>
      </c>
      <c r="Z2690" s="39" t="n">
        <f aca="false">IF(AND(E2690&gt;0,OR(AND(B2690&gt;=1,B2690&lt;=6),B2690=10)),1,0)</f>
        <v>0</v>
      </c>
      <c r="AA2690" s="39" t="n">
        <f aca="false">IF(AND(E2690&gt;0,B2690=10),1,0)</f>
        <v>0</v>
      </c>
      <c r="AB2690" s="0" t="str">
        <f aca="false">IF(AND(C2689=C2690,Y2689=Y2690-1),Z2689,"")</f>
        <v/>
      </c>
      <c r="AC2690" s="0" t="str">
        <f aca="false">IF(AND(C2689=C2690,Y2689=Y2690-1),AA2689,"")</f>
        <v/>
      </c>
      <c r="AD2690" s="0" t="str">
        <f aca="false">IF(Y2690=1,"",IF(AND(Z2690=1,AB2690&lt;&gt;1),1,0))</f>
        <v/>
      </c>
      <c r="AE2690" s="0" t="str">
        <f aca="false">IF(Y2690=1,"",IF(AND(AA2690=1,AC2690&lt;&gt;1),1,0))</f>
        <v/>
      </c>
      <c r="AF2690" s="45" t="str">
        <f aca="false">IF(AND(E2690&gt;0,Y2690&lt;1,NOT(AND(C2691=C2690,Y2691=Y2690+1))),INDEX(DATAS,Y2690+1),"")</f>
        <v/>
      </c>
      <c r="AG2690" s="45" t="str">
        <f aca="false">IF(AND(AA2690=1,Y2690&lt;1),IF(AND(C2691=C2690,Y2691=Y2690+1),IF(AA2691=1,"",INDEX(DATAS,Y2690+1)),INDEX(DATAS,Y2690+1)),"")</f>
        <v/>
      </c>
    </row>
    <row r="2691" customFormat="false" ht="15" hidden="false" customHeight="false" outlineLevel="0" collapsed="false">
      <c r="A2691" s="45" t="n">
        <v>46309</v>
      </c>
      <c r="B2691" s="0" t="n">
        <v>13</v>
      </c>
      <c r="C2691" s="0" t="n">
        <v>7043</v>
      </c>
      <c r="E2691" s="0" t="n">
        <v>0</v>
      </c>
      <c r="F2691" s="39" t="s">
        <v>1317</v>
      </c>
      <c r="I2691" s="39" t="s">
        <v>136</v>
      </c>
      <c r="U2691" s="0" t="n">
        <v>364</v>
      </c>
      <c r="V2691" s="0" t="n">
        <v>0</v>
      </c>
      <c r="W2691" s="39" t="n">
        <f aca="false">IF(I2691="Male",0,1)</f>
        <v>1</v>
      </c>
      <c r="X2691" s="39" t="n">
        <f aca="false">IF(OR(I2691="DNB",I2691="Dry DNB"),1,0)</f>
        <v>0</v>
      </c>
      <c r="Y2691" s="39" t="n">
        <f aca="false">MATCH(A2691,DATAS,0)</f>
        <v>1</v>
      </c>
      <c r="Z2691" s="39" t="n">
        <f aca="false">IF(AND(E2691&gt;0,OR(AND(B2691&gt;=1,B2691&lt;=6),B2691=10)),1,0)</f>
        <v>0</v>
      </c>
      <c r="AA2691" s="39" t="n">
        <f aca="false">IF(AND(E2691&gt;0,B2691=10),1,0)</f>
        <v>0</v>
      </c>
      <c r="AB2691" s="0" t="str">
        <f aca="false">IF(AND(C2690=C2691,Y2690=Y2691-1),Z2690,"")</f>
        <v/>
      </c>
      <c r="AC2691" s="0" t="str">
        <f aca="false">IF(AND(C2690=C2691,Y2690=Y2691-1),AA2690,"")</f>
        <v/>
      </c>
      <c r="AD2691" s="0" t="str">
        <f aca="false">IF(Y2691=1,"",IF(AND(Z2691=1,AB2691&lt;&gt;1),1,0))</f>
        <v/>
      </c>
      <c r="AE2691" s="0" t="str">
        <f aca="false">IF(Y2691=1,"",IF(AND(AA2691=1,AC2691&lt;&gt;1),1,0))</f>
        <v/>
      </c>
      <c r="AF2691" s="45" t="str">
        <f aca="false">IF(AND(E2691&gt;0,Y2691&lt;1,NOT(AND(C2692=C2691,Y2692=Y2691+1))),INDEX(DATAS,Y2691+1),"")</f>
        <v/>
      </c>
      <c r="AG2691" s="45" t="str">
        <f aca="false">IF(AND(AA2691=1,Y2691&lt;1),IF(AND(C2692=C2691,Y2692=Y2691+1),IF(AA2692=1,"",INDEX(DATAS,Y2691+1)),INDEX(DATAS,Y2691+1)),"")</f>
        <v/>
      </c>
    </row>
    <row r="2692" customFormat="false" ht="15" hidden="false" customHeight="false" outlineLevel="0" collapsed="false">
      <c r="A2692" s="45" t="n">
        <v>46309</v>
      </c>
      <c r="B2692" s="0" t="n">
        <v>13</v>
      </c>
      <c r="C2692" s="0" t="n">
        <v>7044</v>
      </c>
      <c r="E2692" s="0" t="n">
        <v>0</v>
      </c>
      <c r="F2692" s="39" t="s">
        <v>1317</v>
      </c>
      <c r="I2692" s="39" t="s">
        <v>136</v>
      </c>
      <c r="U2692" s="0" t="n">
        <v>364</v>
      </c>
      <c r="V2692" s="0" t="n">
        <v>0</v>
      </c>
      <c r="W2692" s="39" t="n">
        <f aca="false">IF(I2692="Male",0,1)</f>
        <v>1</v>
      </c>
      <c r="X2692" s="39" t="n">
        <f aca="false">IF(OR(I2692="DNB",I2692="Dry DNB"),1,0)</f>
        <v>0</v>
      </c>
      <c r="Y2692" s="39" t="n">
        <f aca="false">MATCH(A2692,DATAS,0)</f>
        <v>1</v>
      </c>
      <c r="Z2692" s="39" t="n">
        <f aca="false">IF(AND(E2692&gt;0,OR(AND(B2692&gt;=1,B2692&lt;=6),B2692=10)),1,0)</f>
        <v>0</v>
      </c>
      <c r="AA2692" s="39" t="n">
        <f aca="false">IF(AND(E2692&gt;0,B2692=10),1,0)</f>
        <v>0</v>
      </c>
      <c r="AB2692" s="0" t="str">
        <f aca="false">IF(AND(C2691=C2692,Y2691=Y2692-1),Z2691,"")</f>
        <v/>
      </c>
      <c r="AC2692" s="0" t="str">
        <f aca="false">IF(AND(C2691=C2692,Y2691=Y2692-1),AA2691,"")</f>
        <v/>
      </c>
      <c r="AD2692" s="0" t="str">
        <f aca="false">IF(Y2692=1,"",IF(AND(Z2692=1,AB2692&lt;&gt;1),1,0))</f>
        <v/>
      </c>
      <c r="AE2692" s="0" t="str">
        <f aca="false">IF(Y2692=1,"",IF(AND(AA2692=1,AC2692&lt;&gt;1),1,0))</f>
        <v/>
      </c>
      <c r="AF2692" s="45" t="str">
        <f aca="false">IF(AND(E2692&gt;0,Y2692&lt;1,NOT(AND(C2693=C2692,Y2693=Y2692+1))),INDEX(DATAS,Y2692+1),"")</f>
        <v/>
      </c>
      <c r="AG2692" s="45" t="str">
        <f aca="false">IF(AND(AA2692=1,Y2692&lt;1),IF(AND(C2693=C2692,Y2693=Y2692+1),IF(AA2693=1,"",INDEX(DATAS,Y2692+1)),INDEX(DATAS,Y2692+1)),"")</f>
        <v/>
      </c>
    </row>
    <row r="2693" customFormat="false" ht="15" hidden="false" customHeight="false" outlineLevel="0" collapsed="false">
      <c r="A2693" s="45" t="n">
        <v>46309</v>
      </c>
      <c r="B2693" s="0" t="n">
        <v>13</v>
      </c>
      <c r="C2693" s="0" t="n">
        <v>7045</v>
      </c>
      <c r="E2693" s="0" t="n">
        <v>0</v>
      </c>
      <c r="F2693" s="39" t="s">
        <v>1319</v>
      </c>
      <c r="I2693" s="39" t="s">
        <v>136</v>
      </c>
      <c r="U2693" s="0" t="n">
        <v>363</v>
      </c>
      <c r="V2693" s="0" t="n">
        <v>0</v>
      </c>
      <c r="W2693" s="39" t="n">
        <f aca="false">IF(I2693="Male",0,1)</f>
        <v>1</v>
      </c>
      <c r="X2693" s="39" t="n">
        <f aca="false">IF(OR(I2693="DNB",I2693="Dry DNB"),1,0)</f>
        <v>0</v>
      </c>
      <c r="Y2693" s="39" t="n">
        <f aca="false">MATCH(A2693,DATAS,0)</f>
        <v>1</v>
      </c>
      <c r="Z2693" s="39" t="n">
        <f aca="false">IF(AND(E2693&gt;0,OR(AND(B2693&gt;=1,B2693&lt;=6),B2693=10)),1,0)</f>
        <v>0</v>
      </c>
      <c r="AA2693" s="39" t="n">
        <f aca="false">IF(AND(E2693&gt;0,B2693=10),1,0)</f>
        <v>0</v>
      </c>
      <c r="AB2693" s="0" t="str">
        <f aca="false">IF(AND(C2692=C2693,Y2692=Y2693-1),Z2692,"")</f>
        <v/>
      </c>
      <c r="AC2693" s="0" t="str">
        <f aca="false">IF(AND(C2692=C2693,Y2692=Y2693-1),AA2692,"")</f>
        <v/>
      </c>
      <c r="AD2693" s="0" t="str">
        <f aca="false">IF(Y2693=1,"",IF(AND(Z2693=1,AB2693&lt;&gt;1),1,0))</f>
        <v/>
      </c>
      <c r="AE2693" s="0" t="str">
        <f aca="false">IF(Y2693=1,"",IF(AND(AA2693=1,AC2693&lt;&gt;1),1,0))</f>
        <v/>
      </c>
      <c r="AF2693" s="45" t="str">
        <f aca="false">IF(AND(E2693&gt;0,Y2693&lt;1,NOT(AND(C2694=C2693,Y2694=Y2693+1))),INDEX(DATAS,Y2693+1),"")</f>
        <v/>
      </c>
      <c r="AG2693" s="45" t="str">
        <f aca="false">IF(AND(AA2693=1,Y2693&lt;1),IF(AND(C2694=C2693,Y2694=Y2693+1),IF(AA2694=1,"",INDEX(DATAS,Y2693+1)),INDEX(DATAS,Y2693+1)),"")</f>
        <v/>
      </c>
    </row>
    <row r="2694" customFormat="false" ht="15" hidden="false" customHeight="false" outlineLevel="0" collapsed="false">
      <c r="A2694" s="45" t="n">
        <v>46309</v>
      </c>
      <c r="B2694" s="0" t="n">
        <v>13</v>
      </c>
      <c r="C2694" s="0" t="n">
        <v>7046</v>
      </c>
      <c r="E2694" s="0" t="n">
        <v>0</v>
      </c>
      <c r="F2694" s="39" t="s">
        <v>1318</v>
      </c>
      <c r="I2694" s="39" t="s">
        <v>136</v>
      </c>
      <c r="U2694" s="0" t="n">
        <v>362</v>
      </c>
      <c r="V2694" s="0" t="n">
        <v>0</v>
      </c>
      <c r="W2694" s="39" t="n">
        <f aca="false">IF(I2694="Male",0,1)</f>
        <v>1</v>
      </c>
      <c r="X2694" s="39" t="n">
        <f aca="false">IF(OR(I2694="DNB",I2694="Dry DNB"),1,0)</f>
        <v>0</v>
      </c>
      <c r="Y2694" s="39" t="n">
        <f aca="false">MATCH(A2694,DATAS,0)</f>
        <v>1</v>
      </c>
      <c r="Z2694" s="39" t="n">
        <f aca="false">IF(AND(E2694&gt;0,OR(AND(B2694&gt;=1,B2694&lt;=6),B2694=10)),1,0)</f>
        <v>0</v>
      </c>
      <c r="AA2694" s="39" t="n">
        <f aca="false">IF(AND(E2694&gt;0,B2694=10),1,0)</f>
        <v>0</v>
      </c>
      <c r="AB2694" s="0" t="str">
        <f aca="false">IF(AND(C2693=C2694,Y2693=Y2694-1),Z2693,"")</f>
        <v/>
      </c>
      <c r="AC2694" s="0" t="str">
        <f aca="false">IF(AND(C2693=C2694,Y2693=Y2694-1),AA2693,"")</f>
        <v/>
      </c>
      <c r="AD2694" s="0" t="str">
        <f aca="false">IF(Y2694=1,"",IF(AND(Z2694=1,AB2694&lt;&gt;1),1,0))</f>
        <v/>
      </c>
      <c r="AE2694" s="0" t="str">
        <f aca="false">IF(Y2694=1,"",IF(AND(AA2694=1,AC2694&lt;&gt;1),1,0))</f>
        <v/>
      </c>
      <c r="AF2694" s="45" t="str">
        <f aca="false">IF(AND(E2694&gt;0,Y2694&lt;1,NOT(AND(C2695=C2694,Y2695=Y2694+1))),INDEX(DATAS,Y2694+1),"")</f>
        <v/>
      </c>
      <c r="AG2694" s="45" t="str">
        <f aca="false">IF(AND(AA2694=1,Y2694&lt;1),IF(AND(C2695=C2694,Y2695=Y2694+1),IF(AA2695=1,"",INDEX(DATAS,Y2694+1)),INDEX(DATAS,Y2694+1)),"")</f>
        <v/>
      </c>
    </row>
    <row r="2695" customFormat="false" ht="15" hidden="false" customHeight="false" outlineLevel="0" collapsed="false">
      <c r="A2695" s="45" t="n">
        <v>46309</v>
      </c>
      <c r="B2695" s="0" t="n">
        <v>13</v>
      </c>
      <c r="C2695" s="0" t="n">
        <v>7047</v>
      </c>
      <c r="E2695" s="0" t="n">
        <v>0</v>
      </c>
      <c r="F2695" s="39" t="s">
        <v>1318</v>
      </c>
      <c r="I2695" s="39" t="s">
        <v>136</v>
      </c>
      <c r="U2695" s="0" t="n">
        <v>362</v>
      </c>
      <c r="V2695" s="0" t="n">
        <v>0</v>
      </c>
      <c r="W2695" s="39" t="n">
        <f aca="false">IF(I2695="Male",0,1)</f>
        <v>1</v>
      </c>
      <c r="X2695" s="39" t="n">
        <f aca="false">IF(OR(I2695="DNB",I2695="Dry DNB"),1,0)</f>
        <v>0</v>
      </c>
      <c r="Y2695" s="39" t="n">
        <f aca="false">MATCH(A2695,DATAS,0)</f>
        <v>1</v>
      </c>
      <c r="Z2695" s="39" t="n">
        <f aca="false">IF(AND(E2695&gt;0,OR(AND(B2695&gt;=1,B2695&lt;=6),B2695=10)),1,0)</f>
        <v>0</v>
      </c>
      <c r="AA2695" s="39" t="n">
        <f aca="false">IF(AND(E2695&gt;0,B2695=10),1,0)</f>
        <v>0</v>
      </c>
      <c r="AB2695" s="0" t="str">
        <f aca="false">IF(AND(C2694=C2695,Y2694=Y2695-1),Z2694,"")</f>
        <v/>
      </c>
      <c r="AC2695" s="0" t="str">
        <f aca="false">IF(AND(C2694=C2695,Y2694=Y2695-1),AA2694,"")</f>
        <v/>
      </c>
      <c r="AD2695" s="0" t="str">
        <f aca="false">IF(Y2695=1,"",IF(AND(Z2695=1,AB2695&lt;&gt;1),1,0))</f>
        <v/>
      </c>
      <c r="AE2695" s="0" t="str">
        <f aca="false">IF(Y2695=1,"",IF(AND(AA2695=1,AC2695&lt;&gt;1),1,0))</f>
        <v/>
      </c>
      <c r="AF2695" s="45" t="str">
        <f aca="false">IF(AND(E2695&gt;0,Y2695&lt;1,NOT(AND(C2696=C2695,Y2696=Y2695+1))),INDEX(DATAS,Y2695+1),"")</f>
        <v/>
      </c>
      <c r="AG2695" s="45" t="str">
        <f aca="false">IF(AND(AA2695=1,Y2695&lt;1),IF(AND(C2696=C2695,Y2696=Y2695+1),IF(AA2696=1,"",INDEX(DATAS,Y2695+1)),INDEX(DATAS,Y2695+1)),"")</f>
        <v/>
      </c>
    </row>
    <row r="2696" customFormat="false" ht="15" hidden="false" customHeight="false" outlineLevel="0" collapsed="false">
      <c r="A2696" s="45" t="n">
        <v>46309</v>
      </c>
      <c r="B2696" s="0" t="n">
        <v>13</v>
      </c>
      <c r="C2696" s="0" t="n">
        <v>7048</v>
      </c>
      <c r="E2696" s="0" t="n">
        <v>0</v>
      </c>
      <c r="F2696" s="39" t="s">
        <v>1320</v>
      </c>
      <c r="I2696" s="39" t="s">
        <v>136</v>
      </c>
      <c r="U2696" s="0" t="n">
        <v>361</v>
      </c>
      <c r="V2696" s="0" t="n">
        <v>0</v>
      </c>
      <c r="W2696" s="39" t="n">
        <f aca="false">IF(I2696="Male",0,1)</f>
        <v>1</v>
      </c>
      <c r="X2696" s="39" t="n">
        <f aca="false">IF(OR(I2696="DNB",I2696="Dry DNB"),1,0)</f>
        <v>0</v>
      </c>
      <c r="Y2696" s="39" t="n">
        <f aca="false">MATCH(A2696,DATAS,0)</f>
        <v>1</v>
      </c>
      <c r="Z2696" s="39" t="n">
        <f aca="false">IF(AND(E2696&gt;0,OR(AND(B2696&gt;=1,B2696&lt;=6),B2696=10)),1,0)</f>
        <v>0</v>
      </c>
      <c r="AA2696" s="39" t="n">
        <f aca="false">IF(AND(E2696&gt;0,B2696=10),1,0)</f>
        <v>0</v>
      </c>
      <c r="AB2696" s="0" t="str">
        <f aca="false">IF(AND(C2695=C2696,Y2695=Y2696-1),Z2695,"")</f>
        <v/>
      </c>
      <c r="AC2696" s="0" t="str">
        <f aca="false">IF(AND(C2695=C2696,Y2695=Y2696-1),AA2695,"")</f>
        <v/>
      </c>
      <c r="AD2696" s="0" t="str">
        <f aca="false">IF(Y2696=1,"",IF(AND(Z2696=1,AB2696&lt;&gt;1),1,0))</f>
        <v/>
      </c>
      <c r="AE2696" s="0" t="str">
        <f aca="false">IF(Y2696=1,"",IF(AND(AA2696=1,AC2696&lt;&gt;1),1,0))</f>
        <v/>
      </c>
      <c r="AF2696" s="45" t="str">
        <f aca="false">IF(AND(E2696&gt;0,Y2696&lt;1,NOT(AND(C2697=C2696,Y2697=Y2696+1))),INDEX(DATAS,Y2696+1),"")</f>
        <v/>
      </c>
      <c r="AG2696" s="45" t="str">
        <f aca="false">IF(AND(AA2696=1,Y2696&lt;1),IF(AND(C2697=C2696,Y2697=Y2696+1),IF(AA2697=1,"",INDEX(DATAS,Y2696+1)),INDEX(DATAS,Y2696+1)),"")</f>
        <v/>
      </c>
    </row>
    <row r="2697" customFormat="false" ht="15" hidden="false" customHeight="false" outlineLevel="0" collapsed="false">
      <c r="A2697" s="45" t="n">
        <v>46309</v>
      </c>
      <c r="B2697" s="0" t="n">
        <v>13</v>
      </c>
      <c r="C2697" s="0" t="n">
        <v>7049</v>
      </c>
      <c r="E2697" s="0" t="n">
        <v>0</v>
      </c>
      <c r="F2697" s="39" t="s">
        <v>1320</v>
      </c>
      <c r="I2697" s="39" t="s">
        <v>136</v>
      </c>
      <c r="U2697" s="0" t="n">
        <v>361</v>
      </c>
      <c r="V2697" s="0" t="n">
        <v>0</v>
      </c>
      <c r="W2697" s="39" t="n">
        <f aca="false">IF(I2697="Male",0,1)</f>
        <v>1</v>
      </c>
      <c r="X2697" s="39" t="n">
        <f aca="false">IF(OR(I2697="DNB",I2697="Dry DNB"),1,0)</f>
        <v>0</v>
      </c>
      <c r="Y2697" s="39" t="n">
        <f aca="false">MATCH(A2697,DATAS,0)</f>
        <v>1</v>
      </c>
      <c r="Z2697" s="39" t="n">
        <f aca="false">IF(AND(E2697&gt;0,OR(AND(B2697&gt;=1,B2697&lt;=6),B2697=10)),1,0)</f>
        <v>0</v>
      </c>
      <c r="AA2697" s="39" t="n">
        <f aca="false">IF(AND(E2697&gt;0,B2697=10),1,0)</f>
        <v>0</v>
      </c>
      <c r="AB2697" s="0" t="str">
        <f aca="false">IF(AND(C2696=C2697,Y2696=Y2697-1),Z2696,"")</f>
        <v/>
      </c>
      <c r="AC2697" s="0" t="str">
        <f aca="false">IF(AND(C2696=C2697,Y2696=Y2697-1),AA2696,"")</f>
        <v/>
      </c>
      <c r="AD2697" s="0" t="str">
        <f aca="false">IF(Y2697=1,"",IF(AND(Z2697=1,AB2697&lt;&gt;1),1,0))</f>
        <v/>
      </c>
      <c r="AE2697" s="0" t="str">
        <f aca="false">IF(Y2697=1,"",IF(AND(AA2697=1,AC2697&lt;&gt;1),1,0))</f>
        <v/>
      </c>
      <c r="AF2697" s="45" t="str">
        <f aca="false">IF(AND(E2697&gt;0,Y2697&lt;1,NOT(AND(C2698=C2697,Y2698=Y2697+1))),INDEX(DATAS,Y2697+1),"")</f>
        <v/>
      </c>
      <c r="AG2697" s="45" t="str">
        <f aca="false">IF(AND(AA2697=1,Y2697&lt;1),IF(AND(C2698=C2697,Y2698=Y2697+1),IF(AA2698=1,"",INDEX(DATAS,Y2697+1)),INDEX(DATAS,Y2697+1)),"")</f>
        <v/>
      </c>
    </row>
    <row r="2698" customFormat="false" ht="15" hidden="false" customHeight="false" outlineLevel="0" collapsed="false">
      <c r="A2698" s="45" t="n">
        <v>46309</v>
      </c>
      <c r="B2698" s="0" t="n">
        <v>13</v>
      </c>
      <c r="C2698" s="0" t="n">
        <v>7050</v>
      </c>
      <c r="E2698" s="0" t="n">
        <v>0</v>
      </c>
      <c r="F2698" s="39" t="s">
        <v>1321</v>
      </c>
      <c r="I2698" s="39" t="s">
        <v>136</v>
      </c>
      <c r="U2698" s="0" t="n">
        <v>360</v>
      </c>
      <c r="V2698" s="0" t="n">
        <v>0</v>
      </c>
      <c r="W2698" s="39" t="n">
        <f aca="false">IF(I2698="Male",0,1)</f>
        <v>1</v>
      </c>
      <c r="X2698" s="39" t="n">
        <f aca="false">IF(OR(I2698="DNB",I2698="Dry DNB"),1,0)</f>
        <v>0</v>
      </c>
      <c r="Y2698" s="39" t="n">
        <f aca="false">MATCH(A2698,DATAS,0)</f>
        <v>1</v>
      </c>
      <c r="Z2698" s="39" t="n">
        <f aca="false">IF(AND(E2698&gt;0,OR(AND(B2698&gt;=1,B2698&lt;=6),B2698=10)),1,0)</f>
        <v>0</v>
      </c>
      <c r="AA2698" s="39" t="n">
        <f aca="false">IF(AND(E2698&gt;0,B2698=10),1,0)</f>
        <v>0</v>
      </c>
      <c r="AB2698" s="0" t="str">
        <f aca="false">IF(AND(C2697=C2698,Y2697=Y2698-1),Z2697,"")</f>
        <v/>
      </c>
      <c r="AC2698" s="0" t="str">
        <f aca="false">IF(AND(C2697=C2698,Y2697=Y2698-1),AA2697,"")</f>
        <v/>
      </c>
      <c r="AD2698" s="0" t="str">
        <f aca="false">IF(Y2698=1,"",IF(AND(Z2698=1,AB2698&lt;&gt;1),1,0))</f>
        <v/>
      </c>
      <c r="AE2698" s="0" t="str">
        <f aca="false">IF(Y2698=1,"",IF(AND(AA2698=1,AC2698&lt;&gt;1),1,0))</f>
        <v/>
      </c>
      <c r="AF2698" s="45" t="str">
        <f aca="false">IF(AND(E2698&gt;0,Y2698&lt;1,NOT(AND(C2699=C2698,Y2699=Y2698+1))),INDEX(DATAS,Y2698+1),"")</f>
        <v/>
      </c>
      <c r="AG2698" s="45" t="str">
        <f aca="false">IF(AND(AA2698=1,Y2698&lt;1),IF(AND(C2699=C2698,Y2699=Y2698+1),IF(AA2699=1,"",INDEX(DATAS,Y2698+1)),INDEX(DATAS,Y2698+1)),"")</f>
        <v/>
      </c>
    </row>
    <row r="2699" customFormat="false" ht="15" hidden="false" customHeight="false" outlineLevel="0" collapsed="false">
      <c r="A2699" s="45" t="n">
        <v>46309</v>
      </c>
      <c r="B2699" s="0" t="n">
        <v>13</v>
      </c>
      <c r="C2699" s="0" t="n">
        <v>7051</v>
      </c>
      <c r="E2699" s="0" t="n">
        <v>0</v>
      </c>
      <c r="F2699" s="39" t="s">
        <v>1320</v>
      </c>
      <c r="I2699" s="39" t="s">
        <v>136</v>
      </c>
      <c r="U2699" s="0" t="n">
        <v>361</v>
      </c>
      <c r="V2699" s="0" t="n">
        <v>0</v>
      </c>
      <c r="W2699" s="39" t="n">
        <f aca="false">IF(I2699="Male",0,1)</f>
        <v>1</v>
      </c>
      <c r="X2699" s="39" t="n">
        <f aca="false">IF(OR(I2699="DNB",I2699="Dry DNB"),1,0)</f>
        <v>0</v>
      </c>
      <c r="Y2699" s="39" t="n">
        <f aca="false">MATCH(A2699,DATAS,0)</f>
        <v>1</v>
      </c>
      <c r="Z2699" s="39" t="n">
        <f aca="false">IF(AND(E2699&gt;0,OR(AND(B2699&gt;=1,B2699&lt;=6),B2699=10)),1,0)</f>
        <v>0</v>
      </c>
      <c r="AA2699" s="39" t="n">
        <f aca="false">IF(AND(E2699&gt;0,B2699=10),1,0)</f>
        <v>0</v>
      </c>
      <c r="AB2699" s="0" t="str">
        <f aca="false">IF(AND(C2698=C2699,Y2698=Y2699-1),Z2698,"")</f>
        <v/>
      </c>
      <c r="AC2699" s="0" t="str">
        <f aca="false">IF(AND(C2698=C2699,Y2698=Y2699-1),AA2698,"")</f>
        <v/>
      </c>
      <c r="AD2699" s="0" t="str">
        <f aca="false">IF(Y2699=1,"",IF(AND(Z2699=1,AB2699&lt;&gt;1),1,0))</f>
        <v/>
      </c>
      <c r="AE2699" s="0" t="str">
        <f aca="false">IF(Y2699=1,"",IF(AND(AA2699=1,AC2699&lt;&gt;1),1,0))</f>
        <v/>
      </c>
      <c r="AF2699" s="45" t="str">
        <f aca="false">IF(AND(E2699&gt;0,Y2699&lt;1,NOT(AND(C2700=C2699,Y2700=Y2699+1))),INDEX(DATAS,Y2699+1),"")</f>
        <v/>
      </c>
      <c r="AG2699" s="45" t="str">
        <f aca="false">IF(AND(AA2699=1,Y2699&lt;1),IF(AND(C2700=C2699,Y2700=Y2699+1),IF(AA2700=1,"",INDEX(DATAS,Y2699+1)),INDEX(DATAS,Y2699+1)),"")</f>
        <v/>
      </c>
    </row>
    <row r="2700" customFormat="false" ht="15" hidden="false" customHeight="false" outlineLevel="0" collapsed="false">
      <c r="A2700" s="45" t="n">
        <v>46309</v>
      </c>
      <c r="B2700" s="0" t="n">
        <v>13</v>
      </c>
      <c r="C2700" s="0" t="n">
        <v>7052</v>
      </c>
      <c r="E2700" s="0" t="n">
        <v>0</v>
      </c>
      <c r="F2700" s="39" t="s">
        <v>1321</v>
      </c>
      <c r="I2700" s="39" t="s">
        <v>136</v>
      </c>
      <c r="U2700" s="0" t="n">
        <v>360</v>
      </c>
      <c r="V2700" s="0" t="n">
        <v>0</v>
      </c>
      <c r="W2700" s="39" t="n">
        <f aca="false">IF(I2700="Male",0,1)</f>
        <v>1</v>
      </c>
      <c r="X2700" s="39" t="n">
        <f aca="false">IF(OR(I2700="DNB",I2700="Dry DNB"),1,0)</f>
        <v>0</v>
      </c>
      <c r="Y2700" s="39" t="n">
        <f aca="false">MATCH(A2700,DATAS,0)</f>
        <v>1</v>
      </c>
      <c r="Z2700" s="39" t="n">
        <f aca="false">IF(AND(E2700&gt;0,OR(AND(B2700&gt;=1,B2700&lt;=6),B2700=10)),1,0)</f>
        <v>0</v>
      </c>
      <c r="AA2700" s="39" t="n">
        <f aca="false">IF(AND(E2700&gt;0,B2700=10),1,0)</f>
        <v>0</v>
      </c>
      <c r="AB2700" s="0" t="str">
        <f aca="false">IF(AND(C2699=C2700,Y2699=Y2700-1),Z2699,"")</f>
        <v/>
      </c>
      <c r="AC2700" s="0" t="str">
        <f aca="false">IF(AND(C2699=C2700,Y2699=Y2700-1),AA2699,"")</f>
        <v/>
      </c>
      <c r="AD2700" s="0" t="str">
        <f aca="false">IF(Y2700=1,"",IF(AND(Z2700=1,AB2700&lt;&gt;1),1,0))</f>
        <v/>
      </c>
      <c r="AE2700" s="0" t="str">
        <f aca="false">IF(Y2700=1,"",IF(AND(AA2700=1,AC2700&lt;&gt;1),1,0))</f>
        <v/>
      </c>
      <c r="AF2700" s="45" t="str">
        <f aca="false">IF(AND(E2700&gt;0,Y2700&lt;1,NOT(AND(C2701=C2700,Y2701=Y2700+1))),INDEX(DATAS,Y2700+1),"")</f>
        <v/>
      </c>
      <c r="AG2700" s="45" t="str">
        <f aca="false">IF(AND(AA2700=1,Y2700&lt;1),IF(AND(C2701=C2700,Y2701=Y2700+1),IF(AA2701=1,"",INDEX(DATAS,Y2700+1)),INDEX(DATAS,Y2700+1)),"")</f>
        <v/>
      </c>
    </row>
    <row r="2701" customFormat="false" ht="15" hidden="false" customHeight="false" outlineLevel="0" collapsed="false">
      <c r="A2701" s="45" t="n">
        <v>46309</v>
      </c>
      <c r="B2701" s="0" t="n">
        <v>13</v>
      </c>
      <c r="C2701" s="0" t="n">
        <v>7053</v>
      </c>
      <c r="E2701" s="0" t="n">
        <v>0</v>
      </c>
      <c r="F2701" s="39" t="s">
        <v>1322</v>
      </c>
      <c r="I2701" s="39" t="s">
        <v>136</v>
      </c>
      <c r="U2701" s="0" t="n">
        <v>359</v>
      </c>
      <c r="V2701" s="0" t="n">
        <v>0</v>
      </c>
      <c r="W2701" s="39" t="n">
        <f aca="false">IF(I2701="Male",0,1)</f>
        <v>1</v>
      </c>
      <c r="X2701" s="39" t="n">
        <f aca="false">IF(OR(I2701="DNB",I2701="Dry DNB"),1,0)</f>
        <v>0</v>
      </c>
      <c r="Y2701" s="39" t="n">
        <f aca="false">MATCH(A2701,DATAS,0)</f>
        <v>1</v>
      </c>
      <c r="Z2701" s="39" t="n">
        <f aca="false">IF(AND(E2701&gt;0,OR(AND(B2701&gt;=1,B2701&lt;=6),B2701=10)),1,0)</f>
        <v>0</v>
      </c>
      <c r="AA2701" s="39" t="n">
        <f aca="false">IF(AND(E2701&gt;0,B2701=10),1,0)</f>
        <v>0</v>
      </c>
      <c r="AB2701" s="0" t="str">
        <f aca="false">IF(AND(C2700=C2701,Y2700=Y2701-1),Z2700,"")</f>
        <v/>
      </c>
      <c r="AC2701" s="0" t="str">
        <f aca="false">IF(AND(C2700=C2701,Y2700=Y2701-1),AA2700,"")</f>
        <v/>
      </c>
      <c r="AD2701" s="0" t="str">
        <f aca="false">IF(Y2701=1,"",IF(AND(Z2701=1,AB2701&lt;&gt;1),1,0))</f>
        <v/>
      </c>
      <c r="AE2701" s="0" t="str">
        <f aca="false">IF(Y2701=1,"",IF(AND(AA2701=1,AC2701&lt;&gt;1),1,0))</f>
        <v/>
      </c>
      <c r="AF2701" s="45" t="str">
        <f aca="false">IF(AND(E2701&gt;0,Y2701&lt;1,NOT(AND(C2702=C2701,Y2702=Y2701+1))),INDEX(DATAS,Y2701+1),"")</f>
        <v/>
      </c>
      <c r="AG2701" s="45" t="str">
        <f aca="false">IF(AND(AA2701=1,Y2701&lt;1),IF(AND(C2702=C2701,Y2702=Y2701+1),IF(AA2702=1,"",INDEX(DATAS,Y2701+1)),INDEX(DATAS,Y2701+1)),"")</f>
        <v/>
      </c>
    </row>
    <row r="2702" customFormat="false" ht="15" hidden="false" customHeight="false" outlineLevel="0" collapsed="false">
      <c r="A2702" s="45" t="n">
        <v>46309</v>
      </c>
      <c r="B2702" s="0" t="n">
        <v>13</v>
      </c>
      <c r="C2702" s="0" t="n">
        <v>7054</v>
      </c>
      <c r="E2702" s="0" t="n">
        <v>0</v>
      </c>
      <c r="F2702" s="39" t="s">
        <v>1323</v>
      </c>
      <c r="I2702" s="39" t="s">
        <v>136</v>
      </c>
      <c r="U2702" s="0" t="n">
        <v>358</v>
      </c>
      <c r="V2702" s="0" t="n">
        <v>0</v>
      </c>
      <c r="W2702" s="39" t="n">
        <f aca="false">IF(I2702="Male",0,1)</f>
        <v>1</v>
      </c>
      <c r="X2702" s="39" t="n">
        <f aca="false">IF(OR(I2702="DNB",I2702="Dry DNB"),1,0)</f>
        <v>0</v>
      </c>
      <c r="Y2702" s="39" t="n">
        <f aca="false">MATCH(A2702,DATAS,0)</f>
        <v>1</v>
      </c>
      <c r="Z2702" s="39" t="n">
        <f aca="false">IF(AND(E2702&gt;0,OR(AND(B2702&gt;=1,B2702&lt;=6),B2702=10)),1,0)</f>
        <v>0</v>
      </c>
      <c r="AA2702" s="39" t="n">
        <f aca="false">IF(AND(E2702&gt;0,B2702=10),1,0)</f>
        <v>0</v>
      </c>
      <c r="AB2702" s="0" t="str">
        <f aca="false">IF(AND(C2701=C2702,Y2701=Y2702-1),Z2701,"")</f>
        <v/>
      </c>
      <c r="AC2702" s="0" t="str">
        <f aca="false">IF(AND(C2701=C2702,Y2701=Y2702-1),AA2701,"")</f>
        <v/>
      </c>
      <c r="AD2702" s="0" t="str">
        <f aca="false">IF(Y2702=1,"",IF(AND(Z2702=1,AB2702&lt;&gt;1),1,0))</f>
        <v/>
      </c>
      <c r="AE2702" s="0" t="str">
        <f aca="false">IF(Y2702=1,"",IF(AND(AA2702=1,AC2702&lt;&gt;1),1,0))</f>
        <v/>
      </c>
      <c r="AF2702" s="45" t="str">
        <f aca="false">IF(AND(E2702&gt;0,Y2702&lt;1,NOT(AND(C2703=C2702,Y2703=Y2702+1))),INDEX(DATAS,Y2702+1),"")</f>
        <v/>
      </c>
      <c r="AG2702" s="45" t="str">
        <f aca="false">IF(AND(AA2702=1,Y2702&lt;1),IF(AND(C2703=C2702,Y2703=Y2702+1),IF(AA2703=1,"",INDEX(DATAS,Y2702+1)),INDEX(DATAS,Y2702+1)),"")</f>
        <v/>
      </c>
    </row>
    <row r="2703" customFormat="false" ht="15" hidden="false" customHeight="false" outlineLevel="0" collapsed="false">
      <c r="A2703" s="45" t="n">
        <v>46309</v>
      </c>
      <c r="B2703" s="0" t="n">
        <v>13</v>
      </c>
      <c r="C2703" s="0" t="n">
        <v>7056</v>
      </c>
      <c r="E2703" s="0" t="n">
        <v>0</v>
      </c>
      <c r="F2703" s="39" t="s">
        <v>1324</v>
      </c>
      <c r="I2703" s="39" t="s">
        <v>136</v>
      </c>
      <c r="U2703" s="0" t="n">
        <v>357</v>
      </c>
      <c r="V2703" s="0" t="n">
        <v>0</v>
      </c>
      <c r="W2703" s="39" t="n">
        <f aca="false">IF(I2703="Male",0,1)</f>
        <v>1</v>
      </c>
      <c r="X2703" s="39" t="n">
        <f aca="false">IF(OR(I2703="DNB",I2703="Dry DNB"),1,0)</f>
        <v>0</v>
      </c>
      <c r="Y2703" s="39" t="n">
        <f aca="false">MATCH(A2703,DATAS,0)</f>
        <v>1</v>
      </c>
      <c r="Z2703" s="39" t="n">
        <f aca="false">IF(AND(E2703&gt;0,OR(AND(B2703&gt;=1,B2703&lt;=6),B2703=10)),1,0)</f>
        <v>0</v>
      </c>
      <c r="AA2703" s="39" t="n">
        <f aca="false">IF(AND(E2703&gt;0,B2703=10),1,0)</f>
        <v>0</v>
      </c>
      <c r="AB2703" s="0" t="str">
        <f aca="false">IF(AND(C2702=C2703,Y2702=Y2703-1),Z2702,"")</f>
        <v/>
      </c>
      <c r="AC2703" s="0" t="str">
        <f aca="false">IF(AND(C2702=C2703,Y2702=Y2703-1),AA2702,"")</f>
        <v/>
      </c>
      <c r="AD2703" s="0" t="str">
        <f aca="false">IF(Y2703=1,"",IF(AND(Z2703=1,AB2703&lt;&gt;1),1,0))</f>
        <v/>
      </c>
      <c r="AE2703" s="0" t="str">
        <f aca="false">IF(Y2703=1,"",IF(AND(AA2703=1,AC2703&lt;&gt;1),1,0))</f>
        <v/>
      </c>
      <c r="AF2703" s="45" t="str">
        <f aca="false">IF(AND(E2703&gt;0,Y2703&lt;1,NOT(AND(C2704=C2703,Y2704=Y2703+1))),INDEX(DATAS,Y2703+1),"")</f>
        <v/>
      </c>
      <c r="AG2703" s="45" t="str">
        <f aca="false">IF(AND(AA2703=1,Y2703&lt;1),IF(AND(C2704=C2703,Y2704=Y2703+1),IF(AA2704=1,"",INDEX(DATAS,Y2703+1)),INDEX(DATAS,Y2703+1)),"")</f>
        <v/>
      </c>
    </row>
    <row r="2704" customFormat="false" ht="15" hidden="false" customHeight="false" outlineLevel="0" collapsed="false">
      <c r="A2704" s="45" t="n">
        <v>46309</v>
      </c>
      <c r="B2704" s="0" t="n">
        <v>13</v>
      </c>
      <c r="C2704" s="0" t="n">
        <v>7057</v>
      </c>
      <c r="E2704" s="0" t="n">
        <v>0</v>
      </c>
      <c r="F2704" s="39" t="s">
        <v>1324</v>
      </c>
      <c r="I2704" s="39" t="s">
        <v>136</v>
      </c>
      <c r="U2704" s="0" t="n">
        <v>357</v>
      </c>
      <c r="V2704" s="0" t="n">
        <v>0</v>
      </c>
      <c r="W2704" s="39" t="n">
        <f aca="false">IF(I2704="Male",0,1)</f>
        <v>1</v>
      </c>
      <c r="X2704" s="39" t="n">
        <f aca="false">IF(OR(I2704="DNB",I2704="Dry DNB"),1,0)</f>
        <v>0</v>
      </c>
      <c r="Y2704" s="39" t="n">
        <f aca="false">MATCH(A2704,DATAS,0)</f>
        <v>1</v>
      </c>
      <c r="Z2704" s="39" t="n">
        <f aca="false">IF(AND(E2704&gt;0,OR(AND(B2704&gt;=1,B2704&lt;=6),B2704=10)),1,0)</f>
        <v>0</v>
      </c>
      <c r="AA2704" s="39" t="n">
        <f aca="false">IF(AND(E2704&gt;0,B2704=10),1,0)</f>
        <v>0</v>
      </c>
      <c r="AB2704" s="0" t="str">
        <f aca="false">IF(AND(C2703=C2704,Y2703=Y2704-1),Z2703,"")</f>
        <v/>
      </c>
      <c r="AC2704" s="0" t="str">
        <f aca="false">IF(AND(C2703=C2704,Y2703=Y2704-1),AA2703,"")</f>
        <v/>
      </c>
      <c r="AD2704" s="0" t="str">
        <f aca="false">IF(Y2704=1,"",IF(AND(Z2704=1,AB2704&lt;&gt;1),1,0))</f>
        <v/>
      </c>
      <c r="AE2704" s="0" t="str">
        <f aca="false">IF(Y2704=1,"",IF(AND(AA2704=1,AC2704&lt;&gt;1),1,0))</f>
        <v/>
      </c>
      <c r="AF2704" s="45" t="str">
        <f aca="false">IF(AND(E2704&gt;0,Y2704&lt;1,NOT(AND(C2705=C2704,Y2705=Y2704+1))),INDEX(DATAS,Y2704+1),"")</f>
        <v/>
      </c>
      <c r="AG2704" s="45" t="str">
        <f aca="false">IF(AND(AA2704=1,Y2704&lt;1),IF(AND(C2705=C2704,Y2705=Y2704+1),IF(AA2705=1,"",INDEX(DATAS,Y2704+1)),INDEX(DATAS,Y2704+1)),"")</f>
        <v/>
      </c>
    </row>
    <row r="2705" customFormat="false" ht="15" hidden="false" customHeight="false" outlineLevel="0" collapsed="false">
      <c r="A2705" s="45" t="n">
        <v>46309</v>
      </c>
      <c r="B2705" s="0" t="n">
        <v>13</v>
      </c>
      <c r="C2705" s="0" t="n">
        <v>7058</v>
      </c>
      <c r="E2705" s="0" t="n">
        <v>0</v>
      </c>
      <c r="F2705" s="39" t="s">
        <v>1324</v>
      </c>
      <c r="I2705" s="39" t="s">
        <v>136</v>
      </c>
      <c r="U2705" s="0" t="n">
        <v>357</v>
      </c>
      <c r="V2705" s="0" t="n">
        <v>0</v>
      </c>
      <c r="W2705" s="39" t="n">
        <f aca="false">IF(I2705="Male",0,1)</f>
        <v>1</v>
      </c>
      <c r="X2705" s="39" t="n">
        <f aca="false">IF(OR(I2705="DNB",I2705="Dry DNB"),1,0)</f>
        <v>0</v>
      </c>
      <c r="Y2705" s="39" t="n">
        <f aca="false">MATCH(A2705,DATAS,0)</f>
        <v>1</v>
      </c>
      <c r="Z2705" s="39" t="n">
        <f aca="false">IF(AND(E2705&gt;0,OR(AND(B2705&gt;=1,B2705&lt;=6),B2705=10)),1,0)</f>
        <v>0</v>
      </c>
      <c r="AA2705" s="39" t="n">
        <f aca="false">IF(AND(E2705&gt;0,B2705=10),1,0)</f>
        <v>0</v>
      </c>
      <c r="AB2705" s="0" t="str">
        <f aca="false">IF(AND(C2704=C2705,Y2704=Y2705-1),Z2704,"")</f>
        <v/>
      </c>
      <c r="AC2705" s="0" t="str">
        <f aca="false">IF(AND(C2704=C2705,Y2704=Y2705-1),AA2704,"")</f>
        <v/>
      </c>
      <c r="AD2705" s="0" t="str">
        <f aca="false">IF(Y2705=1,"",IF(AND(Z2705=1,AB2705&lt;&gt;1),1,0))</f>
        <v/>
      </c>
      <c r="AE2705" s="0" t="str">
        <f aca="false">IF(Y2705=1,"",IF(AND(AA2705=1,AC2705&lt;&gt;1),1,0))</f>
        <v/>
      </c>
      <c r="AF2705" s="45" t="str">
        <f aca="false">IF(AND(E2705&gt;0,Y2705&lt;1,NOT(AND(C2706=C2705,Y2706=Y2705+1))),INDEX(DATAS,Y2705+1),"")</f>
        <v/>
      </c>
      <c r="AG2705" s="45" t="str">
        <f aca="false">IF(AND(AA2705=1,Y2705&lt;1),IF(AND(C2706=C2705,Y2706=Y2705+1),IF(AA2706=1,"",INDEX(DATAS,Y2705+1)),INDEX(DATAS,Y2705+1)),"")</f>
        <v/>
      </c>
    </row>
    <row r="2706" customFormat="false" ht="15" hidden="false" customHeight="false" outlineLevel="0" collapsed="false">
      <c r="A2706" s="45" t="n">
        <v>46309</v>
      </c>
      <c r="B2706" s="0" t="n">
        <v>13</v>
      </c>
      <c r="C2706" s="0" t="n">
        <v>7059</v>
      </c>
      <c r="E2706" s="0" t="n">
        <v>0</v>
      </c>
      <c r="F2706" s="39" t="s">
        <v>1325</v>
      </c>
      <c r="I2706" s="39" t="s">
        <v>136</v>
      </c>
      <c r="U2706" s="0" t="n">
        <v>356</v>
      </c>
      <c r="V2706" s="0" t="n">
        <v>0</v>
      </c>
      <c r="W2706" s="39" t="n">
        <f aca="false">IF(I2706="Male",0,1)</f>
        <v>1</v>
      </c>
      <c r="X2706" s="39" t="n">
        <f aca="false">IF(OR(I2706="DNB",I2706="Dry DNB"),1,0)</f>
        <v>0</v>
      </c>
      <c r="Y2706" s="39" t="n">
        <f aca="false">MATCH(A2706,DATAS,0)</f>
        <v>1</v>
      </c>
      <c r="Z2706" s="39" t="n">
        <f aca="false">IF(AND(E2706&gt;0,OR(AND(B2706&gt;=1,B2706&lt;=6),B2706=10)),1,0)</f>
        <v>0</v>
      </c>
      <c r="AA2706" s="39" t="n">
        <f aca="false">IF(AND(E2706&gt;0,B2706=10),1,0)</f>
        <v>0</v>
      </c>
      <c r="AB2706" s="0" t="str">
        <f aca="false">IF(AND(C2705=C2706,Y2705=Y2706-1),Z2705,"")</f>
        <v/>
      </c>
      <c r="AC2706" s="0" t="str">
        <f aca="false">IF(AND(C2705=C2706,Y2705=Y2706-1),AA2705,"")</f>
        <v/>
      </c>
      <c r="AD2706" s="0" t="str">
        <f aca="false">IF(Y2706=1,"",IF(AND(Z2706=1,AB2706&lt;&gt;1),1,0))</f>
        <v/>
      </c>
      <c r="AE2706" s="0" t="str">
        <f aca="false">IF(Y2706=1,"",IF(AND(AA2706=1,AC2706&lt;&gt;1),1,0))</f>
        <v/>
      </c>
      <c r="AF2706" s="45" t="str">
        <f aca="false">IF(AND(E2706&gt;0,Y2706&lt;1,NOT(AND(C2707=C2706,Y2707=Y2706+1))),INDEX(DATAS,Y2706+1),"")</f>
        <v/>
      </c>
      <c r="AG2706" s="45" t="str">
        <f aca="false">IF(AND(AA2706=1,Y2706&lt;1),IF(AND(C2707=C2706,Y2707=Y2706+1),IF(AA2707=1,"",INDEX(DATAS,Y2706+1)),INDEX(DATAS,Y2706+1)),"")</f>
        <v/>
      </c>
    </row>
    <row r="2707" customFormat="false" ht="15" hidden="false" customHeight="false" outlineLevel="0" collapsed="false">
      <c r="A2707" s="45" t="n">
        <v>46309</v>
      </c>
      <c r="B2707" s="0" t="n">
        <v>13</v>
      </c>
      <c r="C2707" s="0" t="n">
        <v>7060</v>
      </c>
      <c r="E2707" s="0" t="n">
        <v>0</v>
      </c>
      <c r="F2707" s="39" t="s">
        <v>1325</v>
      </c>
      <c r="I2707" s="39" t="s">
        <v>136</v>
      </c>
      <c r="U2707" s="0" t="n">
        <v>356</v>
      </c>
      <c r="V2707" s="0" t="n">
        <v>0</v>
      </c>
      <c r="W2707" s="39" t="n">
        <f aca="false">IF(I2707="Male",0,1)</f>
        <v>1</v>
      </c>
      <c r="X2707" s="39" t="n">
        <f aca="false">IF(OR(I2707="DNB",I2707="Dry DNB"),1,0)</f>
        <v>0</v>
      </c>
      <c r="Y2707" s="39" t="n">
        <f aca="false">MATCH(A2707,DATAS,0)</f>
        <v>1</v>
      </c>
      <c r="Z2707" s="39" t="n">
        <f aca="false">IF(AND(E2707&gt;0,OR(AND(B2707&gt;=1,B2707&lt;=6),B2707=10)),1,0)</f>
        <v>0</v>
      </c>
      <c r="AA2707" s="39" t="n">
        <f aca="false">IF(AND(E2707&gt;0,B2707=10),1,0)</f>
        <v>0</v>
      </c>
      <c r="AB2707" s="0" t="str">
        <f aca="false">IF(AND(C2706=C2707,Y2706=Y2707-1),Z2706,"")</f>
        <v/>
      </c>
      <c r="AC2707" s="0" t="str">
        <f aca="false">IF(AND(C2706=C2707,Y2706=Y2707-1),AA2706,"")</f>
        <v/>
      </c>
      <c r="AD2707" s="0" t="str">
        <f aca="false">IF(Y2707=1,"",IF(AND(Z2707=1,AB2707&lt;&gt;1),1,0))</f>
        <v/>
      </c>
      <c r="AE2707" s="0" t="str">
        <f aca="false">IF(Y2707=1,"",IF(AND(AA2707=1,AC2707&lt;&gt;1),1,0))</f>
        <v/>
      </c>
      <c r="AF2707" s="45" t="str">
        <f aca="false">IF(AND(E2707&gt;0,Y2707&lt;1,NOT(AND(C2708=C2707,Y2708=Y2707+1))),INDEX(DATAS,Y2707+1),"")</f>
        <v/>
      </c>
      <c r="AG2707" s="45" t="str">
        <f aca="false">IF(AND(AA2707=1,Y2707&lt;1),IF(AND(C2708=C2707,Y2708=Y2707+1),IF(AA2708=1,"",INDEX(DATAS,Y2707+1)),INDEX(DATAS,Y2707+1)),"")</f>
        <v/>
      </c>
    </row>
    <row r="2708" customFormat="false" ht="15" hidden="false" customHeight="false" outlineLevel="0" collapsed="false">
      <c r="A2708" s="45" t="n">
        <v>46309</v>
      </c>
      <c r="B2708" s="0" t="n">
        <v>13</v>
      </c>
      <c r="C2708" s="0" t="n">
        <v>7061</v>
      </c>
      <c r="E2708" s="0" t="n">
        <v>0</v>
      </c>
      <c r="F2708" s="39" t="s">
        <v>1325</v>
      </c>
      <c r="I2708" s="39" t="s">
        <v>136</v>
      </c>
      <c r="U2708" s="0" t="n">
        <v>356</v>
      </c>
      <c r="V2708" s="0" t="n">
        <v>0</v>
      </c>
      <c r="W2708" s="39" t="n">
        <f aca="false">IF(I2708="Male",0,1)</f>
        <v>1</v>
      </c>
      <c r="X2708" s="39" t="n">
        <f aca="false">IF(OR(I2708="DNB",I2708="Dry DNB"),1,0)</f>
        <v>0</v>
      </c>
      <c r="Y2708" s="39" t="n">
        <f aca="false">MATCH(A2708,DATAS,0)</f>
        <v>1</v>
      </c>
      <c r="Z2708" s="39" t="n">
        <f aca="false">IF(AND(E2708&gt;0,OR(AND(B2708&gt;=1,B2708&lt;=6),B2708=10)),1,0)</f>
        <v>0</v>
      </c>
      <c r="AA2708" s="39" t="n">
        <f aca="false">IF(AND(E2708&gt;0,B2708=10),1,0)</f>
        <v>0</v>
      </c>
      <c r="AB2708" s="0" t="str">
        <f aca="false">IF(AND(C2707=C2708,Y2707=Y2708-1),Z2707,"")</f>
        <v/>
      </c>
      <c r="AC2708" s="0" t="str">
        <f aca="false">IF(AND(C2707=C2708,Y2707=Y2708-1),AA2707,"")</f>
        <v/>
      </c>
      <c r="AD2708" s="0" t="str">
        <f aca="false">IF(Y2708=1,"",IF(AND(Z2708=1,AB2708&lt;&gt;1),1,0))</f>
        <v/>
      </c>
      <c r="AE2708" s="0" t="str">
        <f aca="false">IF(Y2708=1,"",IF(AND(AA2708=1,AC2708&lt;&gt;1),1,0))</f>
        <v/>
      </c>
      <c r="AF2708" s="45" t="str">
        <f aca="false">IF(AND(E2708&gt;0,Y2708&lt;1,NOT(AND(C2709=C2708,Y2709=Y2708+1))),INDEX(DATAS,Y2708+1),"")</f>
        <v/>
      </c>
      <c r="AG2708" s="45" t="str">
        <f aca="false">IF(AND(AA2708=1,Y2708&lt;1),IF(AND(C2709=C2708,Y2709=Y2708+1),IF(AA2709=1,"",INDEX(DATAS,Y2708+1)),INDEX(DATAS,Y2708+1)),"")</f>
        <v/>
      </c>
    </row>
    <row r="2709" customFormat="false" ht="15" hidden="false" customHeight="false" outlineLevel="0" collapsed="false">
      <c r="A2709" s="45" t="n">
        <v>46309</v>
      </c>
      <c r="B2709" s="0" t="n">
        <v>13</v>
      </c>
      <c r="C2709" s="0" t="n">
        <v>7062</v>
      </c>
      <c r="E2709" s="0" t="n">
        <v>0</v>
      </c>
      <c r="F2709" s="39" t="s">
        <v>1325</v>
      </c>
      <c r="I2709" s="39" t="s">
        <v>136</v>
      </c>
      <c r="U2709" s="0" t="n">
        <v>356</v>
      </c>
      <c r="V2709" s="0" t="n">
        <v>0</v>
      </c>
      <c r="W2709" s="39" t="n">
        <f aca="false">IF(I2709="Male",0,1)</f>
        <v>1</v>
      </c>
      <c r="X2709" s="39" t="n">
        <f aca="false">IF(OR(I2709="DNB",I2709="Dry DNB"),1,0)</f>
        <v>0</v>
      </c>
      <c r="Y2709" s="39" t="n">
        <f aca="false">MATCH(A2709,DATAS,0)</f>
        <v>1</v>
      </c>
      <c r="Z2709" s="39" t="n">
        <f aca="false">IF(AND(E2709&gt;0,OR(AND(B2709&gt;=1,B2709&lt;=6),B2709=10)),1,0)</f>
        <v>0</v>
      </c>
      <c r="AA2709" s="39" t="n">
        <f aca="false">IF(AND(E2709&gt;0,B2709=10),1,0)</f>
        <v>0</v>
      </c>
      <c r="AB2709" s="0" t="str">
        <f aca="false">IF(AND(C2708=C2709,Y2708=Y2709-1),Z2708,"")</f>
        <v/>
      </c>
      <c r="AC2709" s="0" t="str">
        <f aca="false">IF(AND(C2708=C2709,Y2708=Y2709-1),AA2708,"")</f>
        <v/>
      </c>
      <c r="AD2709" s="0" t="str">
        <f aca="false">IF(Y2709=1,"",IF(AND(Z2709=1,AB2709&lt;&gt;1),1,0))</f>
        <v/>
      </c>
      <c r="AE2709" s="0" t="str">
        <f aca="false">IF(Y2709=1,"",IF(AND(AA2709=1,AC2709&lt;&gt;1),1,0))</f>
        <v/>
      </c>
      <c r="AF2709" s="45" t="str">
        <f aca="false">IF(AND(E2709&gt;0,Y2709&lt;1,NOT(AND(C2710=C2709,Y2710=Y2709+1))),INDEX(DATAS,Y2709+1),"")</f>
        <v/>
      </c>
      <c r="AG2709" s="45" t="str">
        <f aca="false">IF(AND(AA2709=1,Y2709&lt;1),IF(AND(C2710=C2709,Y2710=Y2709+1),IF(AA2710=1,"",INDEX(DATAS,Y2709+1)),INDEX(DATAS,Y2709+1)),"")</f>
        <v/>
      </c>
    </row>
    <row r="2710" customFormat="false" ht="15" hidden="false" customHeight="false" outlineLevel="0" collapsed="false">
      <c r="A2710" s="45" t="n">
        <v>46309</v>
      </c>
      <c r="B2710" s="0" t="n">
        <v>13</v>
      </c>
      <c r="C2710" s="0" t="n">
        <v>7063</v>
      </c>
      <c r="E2710" s="0" t="n">
        <v>0</v>
      </c>
      <c r="F2710" s="39" t="s">
        <v>1326</v>
      </c>
      <c r="I2710" s="39" t="s">
        <v>136</v>
      </c>
      <c r="U2710" s="0" t="n">
        <v>355</v>
      </c>
      <c r="V2710" s="0" t="n">
        <v>0</v>
      </c>
      <c r="W2710" s="39" t="n">
        <f aca="false">IF(I2710="Male",0,1)</f>
        <v>1</v>
      </c>
      <c r="X2710" s="39" t="n">
        <f aca="false">IF(OR(I2710="DNB",I2710="Dry DNB"),1,0)</f>
        <v>0</v>
      </c>
      <c r="Y2710" s="39" t="n">
        <f aca="false">MATCH(A2710,DATAS,0)</f>
        <v>1</v>
      </c>
      <c r="Z2710" s="39" t="n">
        <f aca="false">IF(AND(E2710&gt;0,OR(AND(B2710&gt;=1,B2710&lt;=6),B2710=10)),1,0)</f>
        <v>0</v>
      </c>
      <c r="AA2710" s="39" t="n">
        <f aca="false">IF(AND(E2710&gt;0,B2710=10),1,0)</f>
        <v>0</v>
      </c>
      <c r="AB2710" s="0" t="str">
        <f aca="false">IF(AND(C2709=C2710,Y2709=Y2710-1),Z2709,"")</f>
        <v/>
      </c>
      <c r="AC2710" s="0" t="str">
        <f aca="false">IF(AND(C2709=C2710,Y2709=Y2710-1),AA2709,"")</f>
        <v/>
      </c>
      <c r="AD2710" s="0" t="str">
        <f aca="false">IF(Y2710=1,"",IF(AND(Z2710=1,AB2710&lt;&gt;1),1,0))</f>
        <v/>
      </c>
      <c r="AE2710" s="0" t="str">
        <f aca="false">IF(Y2710=1,"",IF(AND(AA2710=1,AC2710&lt;&gt;1),1,0))</f>
        <v/>
      </c>
      <c r="AF2710" s="45" t="str">
        <f aca="false">IF(AND(E2710&gt;0,Y2710&lt;1,NOT(AND(C2711=C2710,Y2711=Y2710+1))),INDEX(DATAS,Y2710+1),"")</f>
        <v/>
      </c>
      <c r="AG2710" s="45" t="str">
        <f aca="false">IF(AND(AA2710=1,Y2710&lt;1),IF(AND(C2711=C2710,Y2711=Y2710+1),IF(AA2711=1,"",INDEX(DATAS,Y2710+1)),INDEX(DATAS,Y2710+1)),"")</f>
        <v/>
      </c>
    </row>
    <row r="2711" customFormat="false" ht="15" hidden="false" customHeight="false" outlineLevel="0" collapsed="false">
      <c r="A2711" s="45" t="n">
        <v>46309</v>
      </c>
      <c r="B2711" s="0" t="n">
        <v>13</v>
      </c>
      <c r="C2711" s="0" t="n">
        <v>7064</v>
      </c>
      <c r="E2711" s="0" t="n">
        <v>0</v>
      </c>
      <c r="F2711" s="39" t="s">
        <v>1327</v>
      </c>
      <c r="I2711" s="39" t="s">
        <v>136</v>
      </c>
      <c r="U2711" s="0" t="n">
        <v>354</v>
      </c>
      <c r="V2711" s="0" t="n">
        <v>0</v>
      </c>
      <c r="W2711" s="39" t="n">
        <f aca="false">IF(I2711="Male",0,1)</f>
        <v>1</v>
      </c>
      <c r="X2711" s="39" t="n">
        <f aca="false">IF(OR(I2711="DNB",I2711="Dry DNB"),1,0)</f>
        <v>0</v>
      </c>
      <c r="Y2711" s="39" t="n">
        <f aca="false">MATCH(A2711,DATAS,0)</f>
        <v>1</v>
      </c>
      <c r="Z2711" s="39" t="n">
        <f aca="false">IF(AND(E2711&gt;0,OR(AND(B2711&gt;=1,B2711&lt;=6),B2711=10)),1,0)</f>
        <v>0</v>
      </c>
      <c r="AA2711" s="39" t="n">
        <f aca="false">IF(AND(E2711&gt;0,B2711=10),1,0)</f>
        <v>0</v>
      </c>
      <c r="AB2711" s="0" t="str">
        <f aca="false">IF(AND(C2710=C2711,Y2710=Y2711-1),Z2710,"")</f>
        <v/>
      </c>
      <c r="AC2711" s="0" t="str">
        <f aca="false">IF(AND(C2710=C2711,Y2710=Y2711-1),AA2710,"")</f>
        <v/>
      </c>
      <c r="AD2711" s="0" t="str">
        <f aca="false">IF(Y2711=1,"",IF(AND(Z2711=1,AB2711&lt;&gt;1),1,0))</f>
        <v/>
      </c>
      <c r="AE2711" s="0" t="str">
        <f aca="false">IF(Y2711=1,"",IF(AND(AA2711=1,AC2711&lt;&gt;1),1,0))</f>
        <v/>
      </c>
      <c r="AF2711" s="45" t="str">
        <f aca="false">IF(AND(E2711&gt;0,Y2711&lt;1,NOT(AND(C2712=C2711,Y2712=Y2711+1))),INDEX(DATAS,Y2711+1),"")</f>
        <v/>
      </c>
      <c r="AG2711" s="45" t="str">
        <f aca="false">IF(AND(AA2711=1,Y2711&lt;1),IF(AND(C2712=C2711,Y2712=Y2711+1),IF(AA2712=1,"",INDEX(DATAS,Y2711+1)),INDEX(DATAS,Y2711+1)),"")</f>
        <v/>
      </c>
    </row>
    <row r="2712" customFormat="false" ht="15" hidden="false" customHeight="false" outlineLevel="0" collapsed="false">
      <c r="A2712" s="45" t="n">
        <v>46309</v>
      </c>
      <c r="B2712" s="0" t="n">
        <v>13</v>
      </c>
      <c r="C2712" s="0" t="n">
        <v>7065</v>
      </c>
      <c r="E2712" s="0" t="n">
        <v>0</v>
      </c>
      <c r="F2712" s="39" t="s">
        <v>1327</v>
      </c>
      <c r="I2712" s="39" t="s">
        <v>136</v>
      </c>
      <c r="U2712" s="0" t="n">
        <v>354</v>
      </c>
      <c r="V2712" s="0" t="n">
        <v>0</v>
      </c>
      <c r="W2712" s="39" t="n">
        <f aca="false">IF(I2712="Male",0,1)</f>
        <v>1</v>
      </c>
      <c r="X2712" s="39" t="n">
        <f aca="false">IF(OR(I2712="DNB",I2712="Dry DNB"),1,0)</f>
        <v>0</v>
      </c>
      <c r="Y2712" s="39" t="n">
        <f aca="false">MATCH(A2712,DATAS,0)</f>
        <v>1</v>
      </c>
      <c r="Z2712" s="39" t="n">
        <f aca="false">IF(AND(E2712&gt;0,OR(AND(B2712&gt;=1,B2712&lt;=6),B2712=10)),1,0)</f>
        <v>0</v>
      </c>
      <c r="AA2712" s="39" t="n">
        <f aca="false">IF(AND(E2712&gt;0,B2712=10),1,0)</f>
        <v>0</v>
      </c>
      <c r="AB2712" s="0" t="str">
        <f aca="false">IF(AND(C2711=C2712,Y2711=Y2712-1),Z2711,"")</f>
        <v/>
      </c>
      <c r="AC2712" s="0" t="str">
        <f aca="false">IF(AND(C2711=C2712,Y2711=Y2712-1),AA2711,"")</f>
        <v/>
      </c>
      <c r="AD2712" s="0" t="str">
        <f aca="false">IF(Y2712=1,"",IF(AND(Z2712=1,AB2712&lt;&gt;1),1,0))</f>
        <v/>
      </c>
      <c r="AE2712" s="0" t="str">
        <f aca="false">IF(Y2712=1,"",IF(AND(AA2712=1,AC2712&lt;&gt;1),1,0))</f>
        <v/>
      </c>
      <c r="AF2712" s="45" t="str">
        <f aca="false">IF(AND(E2712&gt;0,Y2712&lt;1,NOT(AND(C2713=C2712,Y2713=Y2712+1))),INDEX(DATAS,Y2712+1),"")</f>
        <v/>
      </c>
      <c r="AG2712" s="45" t="str">
        <f aca="false">IF(AND(AA2712=1,Y2712&lt;1),IF(AND(C2713=C2712,Y2713=Y2712+1),IF(AA2713=1,"",INDEX(DATAS,Y2712+1)),INDEX(DATAS,Y2712+1)),"")</f>
        <v/>
      </c>
    </row>
    <row r="2713" customFormat="false" ht="15" hidden="false" customHeight="false" outlineLevel="0" collapsed="false">
      <c r="A2713" s="45" t="n">
        <v>46309</v>
      </c>
      <c r="B2713" s="0" t="n">
        <v>13</v>
      </c>
      <c r="C2713" s="0" t="n">
        <v>7066</v>
      </c>
      <c r="E2713" s="0" t="n">
        <v>0</v>
      </c>
      <c r="F2713" s="39" t="s">
        <v>1327</v>
      </c>
      <c r="I2713" s="39" t="s">
        <v>136</v>
      </c>
      <c r="U2713" s="0" t="n">
        <v>354</v>
      </c>
      <c r="V2713" s="0" t="n">
        <v>0</v>
      </c>
      <c r="W2713" s="39" t="n">
        <f aca="false">IF(I2713="Male",0,1)</f>
        <v>1</v>
      </c>
      <c r="X2713" s="39" t="n">
        <f aca="false">IF(OR(I2713="DNB",I2713="Dry DNB"),1,0)</f>
        <v>0</v>
      </c>
      <c r="Y2713" s="39" t="n">
        <f aca="false">MATCH(A2713,DATAS,0)</f>
        <v>1</v>
      </c>
      <c r="Z2713" s="39" t="n">
        <f aca="false">IF(AND(E2713&gt;0,OR(AND(B2713&gt;=1,B2713&lt;=6),B2713=10)),1,0)</f>
        <v>0</v>
      </c>
      <c r="AA2713" s="39" t="n">
        <f aca="false">IF(AND(E2713&gt;0,B2713=10),1,0)</f>
        <v>0</v>
      </c>
      <c r="AB2713" s="0" t="str">
        <f aca="false">IF(AND(C2712=C2713,Y2712=Y2713-1),Z2712,"")</f>
        <v/>
      </c>
      <c r="AC2713" s="0" t="str">
        <f aca="false">IF(AND(C2712=C2713,Y2712=Y2713-1),AA2712,"")</f>
        <v/>
      </c>
      <c r="AD2713" s="0" t="str">
        <f aca="false">IF(Y2713=1,"",IF(AND(Z2713=1,AB2713&lt;&gt;1),1,0))</f>
        <v/>
      </c>
      <c r="AE2713" s="0" t="str">
        <f aca="false">IF(Y2713=1,"",IF(AND(AA2713=1,AC2713&lt;&gt;1),1,0))</f>
        <v/>
      </c>
      <c r="AF2713" s="45" t="str">
        <f aca="false">IF(AND(E2713&gt;0,Y2713&lt;1,NOT(AND(C2714=C2713,Y2714=Y2713+1))),INDEX(DATAS,Y2713+1),"")</f>
        <v/>
      </c>
      <c r="AG2713" s="45" t="str">
        <f aca="false">IF(AND(AA2713=1,Y2713&lt;1),IF(AND(C2714=C2713,Y2714=Y2713+1),IF(AA2714=1,"",INDEX(DATAS,Y2713+1)),INDEX(DATAS,Y2713+1)),"")</f>
        <v/>
      </c>
    </row>
    <row r="2714" customFormat="false" ht="15" hidden="false" customHeight="false" outlineLevel="0" collapsed="false">
      <c r="A2714" s="45" t="n">
        <v>46309</v>
      </c>
      <c r="B2714" s="0" t="n">
        <v>13</v>
      </c>
      <c r="C2714" s="0" t="n">
        <v>7067</v>
      </c>
      <c r="E2714" s="0" t="n">
        <v>0</v>
      </c>
      <c r="F2714" s="39" t="s">
        <v>1327</v>
      </c>
      <c r="I2714" s="39" t="s">
        <v>136</v>
      </c>
      <c r="U2714" s="0" t="n">
        <v>354</v>
      </c>
      <c r="V2714" s="0" t="n">
        <v>0</v>
      </c>
      <c r="W2714" s="39" t="n">
        <f aca="false">IF(I2714="Male",0,1)</f>
        <v>1</v>
      </c>
      <c r="X2714" s="39" t="n">
        <f aca="false">IF(OR(I2714="DNB",I2714="Dry DNB"),1,0)</f>
        <v>0</v>
      </c>
      <c r="Y2714" s="39" t="n">
        <f aca="false">MATCH(A2714,DATAS,0)</f>
        <v>1</v>
      </c>
      <c r="Z2714" s="39" t="n">
        <f aca="false">IF(AND(E2714&gt;0,OR(AND(B2714&gt;=1,B2714&lt;=6),B2714=10)),1,0)</f>
        <v>0</v>
      </c>
      <c r="AA2714" s="39" t="n">
        <f aca="false">IF(AND(E2714&gt;0,B2714=10),1,0)</f>
        <v>0</v>
      </c>
      <c r="AB2714" s="0" t="str">
        <f aca="false">IF(AND(C2713=C2714,Y2713=Y2714-1),Z2713,"")</f>
        <v/>
      </c>
      <c r="AC2714" s="0" t="str">
        <f aca="false">IF(AND(C2713=C2714,Y2713=Y2714-1),AA2713,"")</f>
        <v/>
      </c>
      <c r="AD2714" s="0" t="str">
        <f aca="false">IF(Y2714=1,"",IF(AND(Z2714=1,AB2714&lt;&gt;1),1,0))</f>
        <v/>
      </c>
      <c r="AE2714" s="0" t="str">
        <f aca="false">IF(Y2714=1,"",IF(AND(AA2714=1,AC2714&lt;&gt;1),1,0))</f>
        <v/>
      </c>
      <c r="AF2714" s="45" t="str">
        <f aca="false">IF(AND(E2714&gt;0,Y2714&lt;1,NOT(AND(C2715=C2714,Y2715=Y2714+1))),INDEX(DATAS,Y2714+1),"")</f>
        <v/>
      </c>
      <c r="AG2714" s="45" t="str">
        <f aca="false">IF(AND(AA2714=1,Y2714&lt;1),IF(AND(C2715=C2714,Y2715=Y2714+1),IF(AA2715=1,"",INDEX(DATAS,Y2714+1)),INDEX(DATAS,Y2714+1)),"")</f>
        <v/>
      </c>
    </row>
    <row r="2715" customFormat="false" ht="15" hidden="false" customHeight="false" outlineLevel="0" collapsed="false">
      <c r="A2715" s="45" t="n">
        <v>46309</v>
      </c>
      <c r="B2715" s="0" t="n">
        <v>13</v>
      </c>
      <c r="C2715" s="0" t="n">
        <v>7068</v>
      </c>
      <c r="E2715" s="0" t="n">
        <v>0</v>
      </c>
      <c r="F2715" s="39" t="s">
        <v>1328</v>
      </c>
      <c r="I2715" s="39" t="s">
        <v>136</v>
      </c>
      <c r="U2715" s="0" t="n">
        <v>353</v>
      </c>
      <c r="V2715" s="0" t="n">
        <v>0</v>
      </c>
      <c r="W2715" s="39" t="n">
        <f aca="false">IF(I2715="Male",0,1)</f>
        <v>1</v>
      </c>
      <c r="X2715" s="39" t="n">
        <f aca="false">IF(OR(I2715="DNB",I2715="Dry DNB"),1,0)</f>
        <v>0</v>
      </c>
      <c r="Y2715" s="39" t="n">
        <f aca="false">MATCH(A2715,DATAS,0)</f>
        <v>1</v>
      </c>
      <c r="Z2715" s="39" t="n">
        <f aca="false">IF(AND(E2715&gt;0,OR(AND(B2715&gt;=1,B2715&lt;=6),B2715=10)),1,0)</f>
        <v>0</v>
      </c>
      <c r="AA2715" s="39" t="n">
        <f aca="false">IF(AND(E2715&gt;0,B2715=10),1,0)</f>
        <v>0</v>
      </c>
      <c r="AB2715" s="0" t="str">
        <f aca="false">IF(AND(C2714=C2715,Y2714=Y2715-1),Z2714,"")</f>
        <v/>
      </c>
      <c r="AC2715" s="0" t="str">
        <f aca="false">IF(AND(C2714=C2715,Y2714=Y2715-1),AA2714,"")</f>
        <v/>
      </c>
      <c r="AD2715" s="0" t="str">
        <f aca="false">IF(Y2715=1,"",IF(AND(Z2715=1,AB2715&lt;&gt;1),1,0))</f>
        <v/>
      </c>
      <c r="AE2715" s="0" t="str">
        <f aca="false">IF(Y2715=1,"",IF(AND(AA2715=1,AC2715&lt;&gt;1),1,0))</f>
        <v/>
      </c>
      <c r="AF2715" s="45" t="str">
        <f aca="false">IF(AND(E2715&gt;0,Y2715&lt;1,NOT(AND(C2716=C2715,Y2716=Y2715+1))),INDEX(DATAS,Y2715+1),"")</f>
        <v/>
      </c>
      <c r="AG2715" s="45" t="str">
        <f aca="false">IF(AND(AA2715=1,Y2715&lt;1),IF(AND(C2716=C2715,Y2716=Y2715+1),IF(AA2716=1,"",INDEX(DATAS,Y2715+1)),INDEX(DATAS,Y2715+1)),"")</f>
        <v/>
      </c>
    </row>
    <row r="2716" customFormat="false" ht="15" hidden="false" customHeight="false" outlineLevel="0" collapsed="false">
      <c r="A2716" s="45" t="n">
        <v>46309</v>
      </c>
      <c r="B2716" s="0" t="n">
        <v>13</v>
      </c>
      <c r="C2716" s="0" t="n">
        <v>7069</v>
      </c>
      <c r="E2716" s="0" t="n">
        <v>0</v>
      </c>
      <c r="F2716" s="39" t="s">
        <v>1328</v>
      </c>
      <c r="I2716" s="39" t="s">
        <v>136</v>
      </c>
      <c r="U2716" s="0" t="n">
        <v>353</v>
      </c>
      <c r="V2716" s="0" t="n">
        <v>0</v>
      </c>
      <c r="W2716" s="39" t="n">
        <f aca="false">IF(I2716="Male",0,1)</f>
        <v>1</v>
      </c>
      <c r="X2716" s="39" t="n">
        <f aca="false">IF(OR(I2716="DNB",I2716="Dry DNB"),1,0)</f>
        <v>0</v>
      </c>
      <c r="Y2716" s="39" t="n">
        <f aca="false">MATCH(A2716,DATAS,0)</f>
        <v>1</v>
      </c>
      <c r="Z2716" s="39" t="n">
        <f aca="false">IF(AND(E2716&gt;0,OR(AND(B2716&gt;=1,B2716&lt;=6),B2716=10)),1,0)</f>
        <v>0</v>
      </c>
      <c r="AA2716" s="39" t="n">
        <f aca="false">IF(AND(E2716&gt;0,B2716=10),1,0)</f>
        <v>0</v>
      </c>
      <c r="AB2716" s="0" t="str">
        <f aca="false">IF(AND(C2715=C2716,Y2715=Y2716-1),Z2715,"")</f>
        <v/>
      </c>
      <c r="AC2716" s="0" t="str">
        <f aca="false">IF(AND(C2715=C2716,Y2715=Y2716-1),AA2715,"")</f>
        <v/>
      </c>
      <c r="AD2716" s="0" t="str">
        <f aca="false">IF(Y2716=1,"",IF(AND(Z2716=1,AB2716&lt;&gt;1),1,0))</f>
        <v/>
      </c>
      <c r="AE2716" s="0" t="str">
        <f aca="false">IF(Y2716=1,"",IF(AND(AA2716=1,AC2716&lt;&gt;1),1,0))</f>
        <v/>
      </c>
      <c r="AF2716" s="45" t="str">
        <f aca="false">IF(AND(E2716&gt;0,Y2716&lt;1,NOT(AND(C2717=C2716,Y2717=Y2716+1))),INDEX(DATAS,Y2716+1),"")</f>
        <v/>
      </c>
      <c r="AG2716" s="45" t="str">
        <f aca="false">IF(AND(AA2716=1,Y2716&lt;1),IF(AND(C2717=C2716,Y2717=Y2716+1),IF(AA2717=1,"",INDEX(DATAS,Y2716+1)),INDEX(DATAS,Y2716+1)),"")</f>
        <v/>
      </c>
    </row>
    <row r="2717" customFormat="false" ht="15" hidden="false" customHeight="false" outlineLevel="0" collapsed="false">
      <c r="A2717" s="45" t="n">
        <v>46309</v>
      </c>
      <c r="B2717" s="0" t="n">
        <v>13</v>
      </c>
      <c r="C2717" s="0" t="n">
        <v>7070</v>
      </c>
      <c r="E2717" s="0" t="n">
        <v>0</v>
      </c>
      <c r="F2717" s="39" t="s">
        <v>1329</v>
      </c>
      <c r="I2717" s="39" t="s">
        <v>136</v>
      </c>
      <c r="U2717" s="0" t="n">
        <v>352</v>
      </c>
      <c r="V2717" s="0" t="n">
        <v>0</v>
      </c>
      <c r="W2717" s="39" t="n">
        <f aca="false">IF(I2717="Male",0,1)</f>
        <v>1</v>
      </c>
      <c r="X2717" s="39" t="n">
        <f aca="false">IF(OR(I2717="DNB",I2717="Dry DNB"),1,0)</f>
        <v>0</v>
      </c>
      <c r="Y2717" s="39" t="n">
        <f aca="false">MATCH(A2717,DATAS,0)</f>
        <v>1</v>
      </c>
      <c r="Z2717" s="39" t="n">
        <f aca="false">IF(AND(E2717&gt;0,OR(AND(B2717&gt;=1,B2717&lt;=6),B2717=10)),1,0)</f>
        <v>0</v>
      </c>
      <c r="AA2717" s="39" t="n">
        <f aca="false">IF(AND(E2717&gt;0,B2717=10),1,0)</f>
        <v>0</v>
      </c>
      <c r="AB2717" s="0" t="str">
        <f aca="false">IF(AND(C2716=C2717,Y2716=Y2717-1),Z2716,"")</f>
        <v/>
      </c>
      <c r="AC2717" s="0" t="str">
        <f aca="false">IF(AND(C2716=C2717,Y2716=Y2717-1),AA2716,"")</f>
        <v/>
      </c>
      <c r="AD2717" s="0" t="str">
        <f aca="false">IF(Y2717=1,"",IF(AND(Z2717=1,AB2717&lt;&gt;1),1,0))</f>
        <v/>
      </c>
      <c r="AE2717" s="0" t="str">
        <f aca="false">IF(Y2717=1,"",IF(AND(AA2717=1,AC2717&lt;&gt;1),1,0))</f>
        <v/>
      </c>
      <c r="AF2717" s="45" t="str">
        <f aca="false">IF(AND(E2717&gt;0,Y2717&lt;1,NOT(AND(C2718=C2717,Y2718=Y2717+1))),INDEX(DATAS,Y2717+1),"")</f>
        <v/>
      </c>
      <c r="AG2717" s="45" t="str">
        <f aca="false">IF(AND(AA2717=1,Y2717&lt;1),IF(AND(C2718=C2717,Y2718=Y2717+1),IF(AA2718=1,"",INDEX(DATAS,Y2717+1)),INDEX(DATAS,Y2717+1)),"")</f>
        <v/>
      </c>
    </row>
    <row r="2718" customFormat="false" ht="15" hidden="false" customHeight="false" outlineLevel="0" collapsed="false">
      <c r="A2718" s="45" t="n">
        <v>46309</v>
      </c>
      <c r="B2718" s="0" t="n">
        <v>13</v>
      </c>
      <c r="C2718" s="0" t="n">
        <v>7071</v>
      </c>
      <c r="E2718" s="0" t="n">
        <v>0</v>
      </c>
      <c r="F2718" s="39" t="s">
        <v>1329</v>
      </c>
      <c r="I2718" s="39" t="s">
        <v>136</v>
      </c>
      <c r="U2718" s="0" t="n">
        <v>352</v>
      </c>
      <c r="V2718" s="0" t="n">
        <v>0</v>
      </c>
      <c r="W2718" s="39" t="n">
        <f aca="false">IF(I2718="Male",0,1)</f>
        <v>1</v>
      </c>
      <c r="X2718" s="39" t="n">
        <f aca="false">IF(OR(I2718="DNB",I2718="Dry DNB"),1,0)</f>
        <v>0</v>
      </c>
      <c r="Y2718" s="39" t="n">
        <f aca="false">MATCH(A2718,DATAS,0)</f>
        <v>1</v>
      </c>
      <c r="Z2718" s="39" t="n">
        <f aca="false">IF(AND(E2718&gt;0,OR(AND(B2718&gt;=1,B2718&lt;=6),B2718=10)),1,0)</f>
        <v>0</v>
      </c>
      <c r="AA2718" s="39" t="n">
        <f aca="false">IF(AND(E2718&gt;0,B2718=10),1,0)</f>
        <v>0</v>
      </c>
      <c r="AB2718" s="0" t="str">
        <f aca="false">IF(AND(C2717=C2718,Y2717=Y2718-1),Z2717,"")</f>
        <v/>
      </c>
      <c r="AC2718" s="0" t="str">
        <f aca="false">IF(AND(C2717=C2718,Y2717=Y2718-1),AA2717,"")</f>
        <v/>
      </c>
      <c r="AD2718" s="0" t="str">
        <f aca="false">IF(Y2718=1,"",IF(AND(Z2718=1,AB2718&lt;&gt;1),1,0))</f>
        <v/>
      </c>
      <c r="AE2718" s="0" t="str">
        <f aca="false">IF(Y2718=1,"",IF(AND(AA2718=1,AC2718&lt;&gt;1),1,0))</f>
        <v/>
      </c>
      <c r="AF2718" s="45" t="str">
        <f aca="false">IF(AND(E2718&gt;0,Y2718&lt;1,NOT(AND(C2719=C2718,Y2719=Y2718+1))),INDEX(DATAS,Y2718+1),"")</f>
        <v/>
      </c>
      <c r="AG2718" s="45" t="str">
        <f aca="false">IF(AND(AA2718=1,Y2718&lt;1),IF(AND(C2719=C2718,Y2719=Y2718+1),IF(AA2719=1,"",INDEX(DATAS,Y2718+1)),INDEX(DATAS,Y2718+1)),"")</f>
        <v/>
      </c>
    </row>
    <row r="2719" customFormat="false" ht="15" hidden="false" customHeight="false" outlineLevel="0" collapsed="false">
      <c r="A2719" s="45" t="n">
        <v>46309</v>
      </c>
      <c r="B2719" s="0" t="n">
        <v>13</v>
      </c>
      <c r="C2719" s="0" t="n">
        <v>7072</v>
      </c>
      <c r="E2719" s="0" t="n">
        <v>0</v>
      </c>
      <c r="F2719" s="39" t="s">
        <v>1329</v>
      </c>
      <c r="I2719" s="39" t="s">
        <v>136</v>
      </c>
      <c r="U2719" s="0" t="n">
        <v>352</v>
      </c>
      <c r="V2719" s="0" t="n">
        <v>0</v>
      </c>
      <c r="W2719" s="39" t="n">
        <f aca="false">IF(I2719="Male",0,1)</f>
        <v>1</v>
      </c>
      <c r="X2719" s="39" t="n">
        <f aca="false">IF(OR(I2719="DNB",I2719="Dry DNB"),1,0)</f>
        <v>0</v>
      </c>
      <c r="Y2719" s="39" t="n">
        <f aca="false">MATCH(A2719,DATAS,0)</f>
        <v>1</v>
      </c>
      <c r="Z2719" s="39" t="n">
        <f aca="false">IF(AND(E2719&gt;0,OR(AND(B2719&gt;=1,B2719&lt;=6),B2719=10)),1,0)</f>
        <v>0</v>
      </c>
      <c r="AA2719" s="39" t="n">
        <f aca="false">IF(AND(E2719&gt;0,B2719=10),1,0)</f>
        <v>0</v>
      </c>
      <c r="AB2719" s="0" t="str">
        <f aca="false">IF(AND(C2718=C2719,Y2718=Y2719-1),Z2718,"")</f>
        <v/>
      </c>
      <c r="AC2719" s="0" t="str">
        <f aca="false">IF(AND(C2718=C2719,Y2718=Y2719-1),AA2718,"")</f>
        <v/>
      </c>
      <c r="AD2719" s="0" t="str">
        <f aca="false">IF(Y2719=1,"",IF(AND(Z2719=1,AB2719&lt;&gt;1),1,0))</f>
        <v/>
      </c>
      <c r="AE2719" s="0" t="str">
        <f aca="false">IF(Y2719=1,"",IF(AND(AA2719=1,AC2719&lt;&gt;1),1,0))</f>
        <v/>
      </c>
      <c r="AF2719" s="45" t="str">
        <f aca="false">IF(AND(E2719&gt;0,Y2719&lt;1,NOT(AND(C2720=C2719,Y2720=Y2719+1))),INDEX(DATAS,Y2719+1),"")</f>
        <v/>
      </c>
      <c r="AG2719" s="45" t="str">
        <f aca="false">IF(AND(AA2719=1,Y2719&lt;1),IF(AND(C2720=C2719,Y2720=Y2719+1),IF(AA2720=1,"",INDEX(DATAS,Y2719+1)),INDEX(DATAS,Y2719+1)),"")</f>
        <v/>
      </c>
    </row>
    <row r="2720" customFormat="false" ht="15" hidden="false" customHeight="false" outlineLevel="0" collapsed="false">
      <c r="A2720" s="45" t="n">
        <v>46309</v>
      </c>
      <c r="B2720" s="0" t="n">
        <v>13</v>
      </c>
      <c r="C2720" s="0" t="n">
        <v>7074</v>
      </c>
      <c r="E2720" s="0" t="n">
        <v>0</v>
      </c>
      <c r="F2720" s="39" t="s">
        <v>1330</v>
      </c>
      <c r="I2720" s="39" t="s">
        <v>136</v>
      </c>
      <c r="U2720" s="0" t="n">
        <v>351</v>
      </c>
      <c r="V2720" s="0" t="n">
        <v>0</v>
      </c>
      <c r="W2720" s="39" t="n">
        <f aca="false">IF(I2720="Male",0,1)</f>
        <v>1</v>
      </c>
      <c r="X2720" s="39" t="n">
        <f aca="false">IF(OR(I2720="DNB",I2720="Dry DNB"),1,0)</f>
        <v>0</v>
      </c>
      <c r="Y2720" s="39" t="n">
        <f aca="false">MATCH(A2720,DATAS,0)</f>
        <v>1</v>
      </c>
      <c r="Z2720" s="39" t="n">
        <f aca="false">IF(AND(E2720&gt;0,OR(AND(B2720&gt;=1,B2720&lt;=6),B2720=10)),1,0)</f>
        <v>0</v>
      </c>
      <c r="AA2720" s="39" t="n">
        <f aca="false">IF(AND(E2720&gt;0,B2720=10),1,0)</f>
        <v>0</v>
      </c>
      <c r="AB2720" s="0" t="str">
        <f aca="false">IF(AND(C2719=C2720,Y2719=Y2720-1),Z2719,"")</f>
        <v/>
      </c>
      <c r="AC2720" s="0" t="str">
        <f aca="false">IF(AND(C2719=C2720,Y2719=Y2720-1),AA2719,"")</f>
        <v/>
      </c>
      <c r="AD2720" s="0" t="str">
        <f aca="false">IF(Y2720=1,"",IF(AND(Z2720=1,AB2720&lt;&gt;1),1,0))</f>
        <v/>
      </c>
      <c r="AE2720" s="0" t="str">
        <f aca="false">IF(Y2720=1,"",IF(AND(AA2720=1,AC2720&lt;&gt;1),1,0))</f>
        <v/>
      </c>
      <c r="AF2720" s="45" t="str">
        <f aca="false">IF(AND(E2720&gt;0,Y2720&lt;1,NOT(AND(C2721=C2720,Y2721=Y2720+1))),INDEX(DATAS,Y2720+1),"")</f>
        <v/>
      </c>
      <c r="AG2720" s="45" t="str">
        <f aca="false">IF(AND(AA2720=1,Y2720&lt;1),IF(AND(C2721=C2720,Y2721=Y2720+1),IF(AA2721=1,"",INDEX(DATAS,Y2720+1)),INDEX(DATAS,Y2720+1)),"")</f>
        <v/>
      </c>
    </row>
    <row r="2721" customFormat="false" ht="15" hidden="false" customHeight="false" outlineLevel="0" collapsed="false">
      <c r="A2721" s="45" t="n">
        <v>46309</v>
      </c>
      <c r="B2721" s="0" t="n">
        <v>13</v>
      </c>
      <c r="C2721" s="0" t="n">
        <v>7075</v>
      </c>
      <c r="E2721" s="0" t="n">
        <v>0</v>
      </c>
      <c r="F2721" s="39" t="s">
        <v>1330</v>
      </c>
      <c r="I2721" s="39" t="s">
        <v>136</v>
      </c>
      <c r="U2721" s="0" t="n">
        <v>351</v>
      </c>
      <c r="V2721" s="0" t="n">
        <v>0</v>
      </c>
      <c r="W2721" s="39" t="n">
        <f aca="false">IF(I2721="Male",0,1)</f>
        <v>1</v>
      </c>
      <c r="X2721" s="39" t="n">
        <f aca="false">IF(OR(I2721="DNB",I2721="Dry DNB"),1,0)</f>
        <v>0</v>
      </c>
      <c r="Y2721" s="39" t="n">
        <f aca="false">MATCH(A2721,DATAS,0)</f>
        <v>1</v>
      </c>
      <c r="Z2721" s="39" t="n">
        <f aca="false">IF(AND(E2721&gt;0,OR(AND(B2721&gt;=1,B2721&lt;=6),B2721=10)),1,0)</f>
        <v>0</v>
      </c>
      <c r="AA2721" s="39" t="n">
        <f aca="false">IF(AND(E2721&gt;0,B2721=10),1,0)</f>
        <v>0</v>
      </c>
      <c r="AB2721" s="0" t="str">
        <f aca="false">IF(AND(C2720=C2721,Y2720=Y2721-1),Z2720,"")</f>
        <v/>
      </c>
      <c r="AC2721" s="0" t="str">
        <f aca="false">IF(AND(C2720=C2721,Y2720=Y2721-1),AA2720,"")</f>
        <v/>
      </c>
      <c r="AD2721" s="0" t="str">
        <f aca="false">IF(Y2721=1,"",IF(AND(Z2721=1,AB2721&lt;&gt;1),1,0))</f>
        <v/>
      </c>
      <c r="AE2721" s="0" t="str">
        <f aca="false">IF(Y2721=1,"",IF(AND(AA2721=1,AC2721&lt;&gt;1),1,0))</f>
        <v/>
      </c>
      <c r="AF2721" s="45" t="str">
        <f aca="false">IF(AND(E2721&gt;0,Y2721&lt;1,NOT(AND(C2722=C2721,Y2722=Y2721+1))),INDEX(DATAS,Y2721+1),"")</f>
        <v/>
      </c>
      <c r="AG2721" s="45" t="str">
        <f aca="false">IF(AND(AA2721=1,Y2721&lt;1),IF(AND(C2722=C2721,Y2722=Y2721+1),IF(AA2722=1,"",INDEX(DATAS,Y2721+1)),INDEX(DATAS,Y2721+1)),"")</f>
        <v/>
      </c>
    </row>
    <row r="2722" customFormat="false" ht="15" hidden="false" customHeight="false" outlineLevel="0" collapsed="false">
      <c r="A2722" s="45" t="n">
        <v>46309</v>
      </c>
      <c r="B2722" s="0" t="n">
        <v>13</v>
      </c>
      <c r="C2722" s="0" t="n">
        <v>7076</v>
      </c>
      <c r="E2722" s="0" t="n">
        <v>0</v>
      </c>
      <c r="F2722" s="39" t="s">
        <v>1330</v>
      </c>
      <c r="I2722" s="39" t="s">
        <v>136</v>
      </c>
      <c r="U2722" s="0" t="n">
        <v>351</v>
      </c>
      <c r="V2722" s="0" t="n">
        <v>0</v>
      </c>
      <c r="W2722" s="39" t="n">
        <f aca="false">IF(I2722="Male",0,1)</f>
        <v>1</v>
      </c>
      <c r="X2722" s="39" t="n">
        <f aca="false">IF(OR(I2722="DNB",I2722="Dry DNB"),1,0)</f>
        <v>0</v>
      </c>
      <c r="Y2722" s="39" t="n">
        <f aca="false">MATCH(A2722,DATAS,0)</f>
        <v>1</v>
      </c>
      <c r="Z2722" s="39" t="n">
        <f aca="false">IF(AND(E2722&gt;0,OR(AND(B2722&gt;=1,B2722&lt;=6),B2722=10)),1,0)</f>
        <v>0</v>
      </c>
      <c r="AA2722" s="39" t="n">
        <f aca="false">IF(AND(E2722&gt;0,B2722=10),1,0)</f>
        <v>0</v>
      </c>
      <c r="AB2722" s="0" t="str">
        <f aca="false">IF(AND(C2721=C2722,Y2721=Y2722-1),Z2721,"")</f>
        <v/>
      </c>
      <c r="AC2722" s="0" t="str">
        <f aca="false">IF(AND(C2721=C2722,Y2721=Y2722-1),AA2721,"")</f>
        <v/>
      </c>
      <c r="AD2722" s="0" t="str">
        <f aca="false">IF(Y2722=1,"",IF(AND(Z2722=1,AB2722&lt;&gt;1),1,0))</f>
        <v/>
      </c>
      <c r="AE2722" s="0" t="str">
        <f aca="false">IF(Y2722=1,"",IF(AND(AA2722=1,AC2722&lt;&gt;1),1,0))</f>
        <v/>
      </c>
      <c r="AF2722" s="45" t="str">
        <f aca="false">IF(AND(E2722&gt;0,Y2722&lt;1,NOT(AND(C2723=C2722,Y2723=Y2722+1))),INDEX(DATAS,Y2722+1),"")</f>
        <v/>
      </c>
      <c r="AG2722" s="45" t="str">
        <f aca="false">IF(AND(AA2722=1,Y2722&lt;1),IF(AND(C2723=C2722,Y2723=Y2722+1),IF(AA2723=1,"",INDEX(DATAS,Y2722+1)),INDEX(DATAS,Y2722+1)),"")</f>
        <v/>
      </c>
    </row>
    <row r="2723" customFormat="false" ht="15" hidden="false" customHeight="false" outlineLevel="0" collapsed="false">
      <c r="A2723" s="45" t="n">
        <v>46309</v>
      </c>
      <c r="B2723" s="0" t="n">
        <v>13</v>
      </c>
      <c r="C2723" s="0" t="n">
        <v>7077</v>
      </c>
      <c r="E2723" s="0" t="n">
        <v>0</v>
      </c>
      <c r="F2723" s="39" t="s">
        <v>1331</v>
      </c>
      <c r="I2723" s="39" t="s">
        <v>136</v>
      </c>
      <c r="U2723" s="0" t="n">
        <v>350</v>
      </c>
      <c r="V2723" s="0" t="n">
        <v>0</v>
      </c>
      <c r="W2723" s="39" t="n">
        <f aca="false">IF(I2723="Male",0,1)</f>
        <v>1</v>
      </c>
      <c r="X2723" s="39" t="n">
        <f aca="false">IF(OR(I2723="DNB",I2723="Dry DNB"),1,0)</f>
        <v>0</v>
      </c>
      <c r="Y2723" s="39" t="n">
        <f aca="false">MATCH(A2723,DATAS,0)</f>
        <v>1</v>
      </c>
      <c r="Z2723" s="39" t="n">
        <f aca="false">IF(AND(E2723&gt;0,OR(AND(B2723&gt;=1,B2723&lt;=6),B2723=10)),1,0)</f>
        <v>0</v>
      </c>
      <c r="AA2723" s="39" t="n">
        <f aca="false">IF(AND(E2723&gt;0,B2723=10),1,0)</f>
        <v>0</v>
      </c>
      <c r="AB2723" s="0" t="str">
        <f aca="false">IF(AND(C2722=C2723,Y2722=Y2723-1),Z2722,"")</f>
        <v/>
      </c>
      <c r="AC2723" s="0" t="str">
        <f aca="false">IF(AND(C2722=C2723,Y2722=Y2723-1),AA2722,"")</f>
        <v/>
      </c>
      <c r="AD2723" s="0" t="str">
        <f aca="false">IF(Y2723=1,"",IF(AND(Z2723=1,AB2723&lt;&gt;1),1,0))</f>
        <v/>
      </c>
      <c r="AE2723" s="0" t="str">
        <f aca="false">IF(Y2723=1,"",IF(AND(AA2723=1,AC2723&lt;&gt;1),1,0))</f>
        <v/>
      </c>
      <c r="AF2723" s="45" t="str">
        <f aca="false">IF(AND(E2723&gt;0,Y2723&lt;1,NOT(AND(C2724=C2723,Y2724=Y2723+1))),INDEX(DATAS,Y2723+1),"")</f>
        <v/>
      </c>
      <c r="AG2723" s="45" t="str">
        <f aca="false">IF(AND(AA2723=1,Y2723&lt;1),IF(AND(C2724=C2723,Y2724=Y2723+1),IF(AA2724=1,"",INDEX(DATAS,Y2723+1)),INDEX(DATAS,Y2723+1)),"")</f>
        <v/>
      </c>
    </row>
    <row r="2724" customFormat="false" ht="15" hidden="false" customHeight="false" outlineLevel="0" collapsed="false">
      <c r="A2724" s="45" t="n">
        <v>46309</v>
      </c>
      <c r="B2724" s="0" t="n">
        <v>13</v>
      </c>
      <c r="C2724" s="0" t="n">
        <v>7078</v>
      </c>
      <c r="E2724" s="0" t="n">
        <v>0</v>
      </c>
      <c r="F2724" s="39" t="s">
        <v>1331</v>
      </c>
      <c r="I2724" s="39" t="s">
        <v>136</v>
      </c>
      <c r="U2724" s="0" t="n">
        <v>350</v>
      </c>
      <c r="V2724" s="0" t="n">
        <v>0</v>
      </c>
      <c r="W2724" s="39" t="n">
        <f aca="false">IF(I2724="Male",0,1)</f>
        <v>1</v>
      </c>
      <c r="X2724" s="39" t="n">
        <f aca="false">IF(OR(I2724="DNB",I2724="Dry DNB"),1,0)</f>
        <v>0</v>
      </c>
      <c r="Y2724" s="39" t="n">
        <f aca="false">MATCH(A2724,DATAS,0)</f>
        <v>1</v>
      </c>
      <c r="Z2724" s="39" t="n">
        <f aca="false">IF(AND(E2724&gt;0,OR(AND(B2724&gt;=1,B2724&lt;=6),B2724=10)),1,0)</f>
        <v>0</v>
      </c>
      <c r="AA2724" s="39" t="n">
        <f aca="false">IF(AND(E2724&gt;0,B2724=10),1,0)</f>
        <v>0</v>
      </c>
      <c r="AB2724" s="0" t="str">
        <f aca="false">IF(AND(C2723=C2724,Y2723=Y2724-1),Z2723,"")</f>
        <v/>
      </c>
      <c r="AC2724" s="0" t="str">
        <f aca="false">IF(AND(C2723=C2724,Y2723=Y2724-1),AA2723,"")</f>
        <v/>
      </c>
      <c r="AD2724" s="0" t="str">
        <f aca="false">IF(Y2724=1,"",IF(AND(Z2724=1,AB2724&lt;&gt;1),1,0))</f>
        <v/>
      </c>
      <c r="AE2724" s="0" t="str">
        <f aca="false">IF(Y2724=1,"",IF(AND(AA2724=1,AC2724&lt;&gt;1),1,0))</f>
        <v/>
      </c>
      <c r="AF2724" s="45" t="str">
        <f aca="false">IF(AND(E2724&gt;0,Y2724&lt;1,NOT(AND(C2725=C2724,Y2725=Y2724+1))),INDEX(DATAS,Y2724+1),"")</f>
        <v/>
      </c>
      <c r="AG2724" s="45" t="str">
        <f aca="false">IF(AND(AA2724=1,Y2724&lt;1),IF(AND(C2725=C2724,Y2725=Y2724+1),IF(AA2725=1,"",INDEX(DATAS,Y2724+1)),INDEX(DATAS,Y2724+1)),"")</f>
        <v/>
      </c>
    </row>
    <row r="2725" customFormat="false" ht="15" hidden="false" customHeight="false" outlineLevel="0" collapsed="false">
      <c r="A2725" s="45" t="n">
        <v>46309</v>
      </c>
      <c r="B2725" s="0" t="n">
        <v>13</v>
      </c>
      <c r="C2725" s="0" t="n">
        <v>7079</v>
      </c>
      <c r="E2725" s="0" t="n">
        <v>0</v>
      </c>
      <c r="F2725" s="39" t="s">
        <v>1331</v>
      </c>
      <c r="I2725" s="39" t="s">
        <v>136</v>
      </c>
      <c r="U2725" s="0" t="n">
        <v>350</v>
      </c>
      <c r="V2725" s="0" t="n">
        <v>0</v>
      </c>
      <c r="W2725" s="39" t="n">
        <f aca="false">IF(I2725="Male",0,1)</f>
        <v>1</v>
      </c>
      <c r="X2725" s="39" t="n">
        <f aca="false">IF(OR(I2725="DNB",I2725="Dry DNB"),1,0)</f>
        <v>0</v>
      </c>
      <c r="Y2725" s="39" t="n">
        <f aca="false">MATCH(A2725,DATAS,0)</f>
        <v>1</v>
      </c>
      <c r="Z2725" s="39" t="n">
        <f aca="false">IF(AND(E2725&gt;0,OR(AND(B2725&gt;=1,B2725&lt;=6),B2725=10)),1,0)</f>
        <v>0</v>
      </c>
      <c r="AA2725" s="39" t="n">
        <f aca="false">IF(AND(E2725&gt;0,B2725=10),1,0)</f>
        <v>0</v>
      </c>
      <c r="AB2725" s="0" t="str">
        <f aca="false">IF(AND(C2724=C2725,Y2724=Y2725-1),Z2724,"")</f>
        <v/>
      </c>
      <c r="AC2725" s="0" t="str">
        <f aca="false">IF(AND(C2724=C2725,Y2724=Y2725-1),AA2724,"")</f>
        <v/>
      </c>
      <c r="AD2725" s="0" t="str">
        <f aca="false">IF(Y2725=1,"",IF(AND(Z2725=1,AB2725&lt;&gt;1),1,0))</f>
        <v/>
      </c>
      <c r="AE2725" s="0" t="str">
        <f aca="false">IF(Y2725=1,"",IF(AND(AA2725=1,AC2725&lt;&gt;1),1,0))</f>
        <v/>
      </c>
      <c r="AF2725" s="45" t="str">
        <f aca="false">IF(AND(E2725&gt;0,Y2725&lt;1,NOT(AND(C2726=C2725,Y2726=Y2725+1))),INDEX(DATAS,Y2725+1),"")</f>
        <v/>
      </c>
      <c r="AG2725" s="45" t="str">
        <f aca="false">IF(AND(AA2725=1,Y2725&lt;1),IF(AND(C2726=C2725,Y2726=Y2725+1),IF(AA2726=1,"",INDEX(DATAS,Y2725+1)),INDEX(DATAS,Y2725+1)),"")</f>
        <v/>
      </c>
    </row>
    <row r="2726" customFormat="false" ht="15" hidden="false" customHeight="false" outlineLevel="0" collapsed="false">
      <c r="A2726" s="45" t="n">
        <v>46309</v>
      </c>
      <c r="B2726" s="0" t="n">
        <v>13</v>
      </c>
      <c r="C2726" s="0" t="n">
        <v>7080</v>
      </c>
      <c r="E2726" s="0" t="n">
        <v>0</v>
      </c>
      <c r="F2726" s="39" t="s">
        <v>1332</v>
      </c>
      <c r="I2726" s="39" t="s">
        <v>136</v>
      </c>
      <c r="U2726" s="0" t="n">
        <v>349</v>
      </c>
      <c r="V2726" s="0" t="n">
        <v>0</v>
      </c>
      <c r="W2726" s="39" t="n">
        <f aca="false">IF(I2726="Male",0,1)</f>
        <v>1</v>
      </c>
      <c r="X2726" s="39" t="n">
        <f aca="false">IF(OR(I2726="DNB",I2726="Dry DNB"),1,0)</f>
        <v>0</v>
      </c>
      <c r="Y2726" s="39" t="n">
        <f aca="false">MATCH(A2726,DATAS,0)</f>
        <v>1</v>
      </c>
      <c r="Z2726" s="39" t="n">
        <f aca="false">IF(AND(E2726&gt;0,OR(AND(B2726&gt;=1,B2726&lt;=6),B2726=10)),1,0)</f>
        <v>0</v>
      </c>
      <c r="AA2726" s="39" t="n">
        <f aca="false">IF(AND(E2726&gt;0,B2726=10),1,0)</f>
        <v>0</v>
      </c>
      <c r="AB2726" s="0" t="str">
        <f aca="false">IF(AND(C2725=C2726,Y2725=Y2726-1),Z2725,"")</f>
        <v/>
      </c>
      <c r="AC2726" s="0" t="str">
        <f aca="false">IF(AND(C2725=C2726,Y2725=Y2726-1),AA2725,"")</f>
        <v/>
      </c>
      <c r="AD2726" s="0" t="str">
        <f aca="false">IF(Y2726=1,"",IF(AND(Z2726=1,AB2726&lt;&gt;1),1,0))</f>
        <v/>
      </c>
      <c r="AE2726" s="0" t="str">
        <f aca="false">IF(Y2726=1,"",IF(AND(AA2726=1,AC2726&lt;&gt;1),1,0))</f>
        <v/>
      </c>
      <c r="AF2726" s="45" t="str">
        <f aca="false">IF(AND(E2726&gt;0,Y2726&lt;1,NOT(AND(C2727=C2726,Y2727=Y2726+1))),INDEX(DATAS,Y2726+1),"")</f>
        <v/>
      </c>
      <c r="AG2726" s="45" t="str">
        <f aca="false">IF(AND(AA2726=1,Y2726&lt;1),IF(AND(C2727=C2726,Y2727=Y2726+1),IF(AA2727=1,"",INDEX(DATAS,Y2726+1)),INDEX(DATAS,Y2726+1)),"")</f>
        <v/>
      </c>
    </row>
    <row r="2727" customFormat="false" ht="15" hidden="false" customHeight="false" outlineLevel="0" collapsed="false">
      <c r="A2727" s="45" t="n">
        <v>46309</v>
      </c>
      <c r="B2727" s="0" t="n">
        <v>13</v>
      </c>
      <c r="C2727" s="0" t="n">
        <v>7081</v>
      </c>
      <c r="E2727" s="0" t="n">
        <v>0</v>
      </c>
      <c r="F2727" s="39" t="s">
        <v>1333</v>
      </c>
      <c r="I2727" s="39" t="s">
        <v>136</v>
      </c>
      <c r="U2727" s="0" t="n">
        <v>348</v>
      </c>
      <c r="V2727" s="0" t="n">
        <v>0</v>
      </c>
      <c r="W2727" s="39" t="n">
        <f aca="false">IF(I2727="Male",0,1)</f>
        <v>1</v>
      </c>
      <c r="X2727" s="39" t="n">
        <f aca="false">IF(OR(I2727="DNB",I2727="Dry DNB"),1,0)</f>
        <v>0</v>
      </c>
      <c r="Y2727" s="39" t="n">
        <f aca="false">MATCH(A2727,DATAS,0)</f>
        <v>1</v>
      </c>
      <c r="Z2727" s="39" t="n">
        <f aca="false">IF(AND(E2727&gt;0,OR(AND(B2727&gt;=1,B2727&lt;=6),B2727=10)),1,0)</f>
        <v>0</v>
      </c>
      <c r="AA2727" s="39" t="n">
        <f aca="false">IF(AND(E2727&gt;0,B2727=10),1,0)</f>
        <v>0</v>
      </c>
      <c r="AB2727" s="0" t="str">
        <f aca="false">IF(AND(C2726=C2727,Y2726=Y2727-1),Z2726,"")</f>
        <v/>
      </c>
      <c r="AC2727" s="0" t="str">
        <f aca="false">IF(AND(C2726=C2727,Y2726=Y2727-1),AA2726,"")</f>
        <v/>
      </c>
      <c r="AD2727" s="0" t="str">
        <f aca="false">IF(Y2727=1,"",IF(AND(Z2727=1,AB2727&lt;&gt;1),1,0))</f>
        <v/>
      </c>
      <c r="AE2727" s="0" t="str">
        <f aca="false">IF(Y2727=1,"",IF(AND(AA2727=1,AC2727&lt;&gt;1),1,0))</f>
        <v/>
      </c>
      <c r="AF2727" s="45" t="str">
        <f aca="false">IF(AND(E2727&gt;0,Y2727&lt;1,NOT(AND(C2728=C2727,Y2728=Y2727+1))),INDEX(DATAS,Y2727+1),"")</f>
        <v/>
      </c>
      <c r="AG2727" s="45" t="str">
        <f aca="false">IF(AND(AA2727=1,Y2727&lt;1),IF(AND(C2728=C2727,Y2728=Y2727+1),IF(AA2728=1,"",INDEX(DATAS,Y2727+1)),INDEX(DATAS,Y2727+1)),"")</f>
        <v/>
      </c>
    </row>
    <row r="2728" customFormat="false" ht="15" hidden="false" customHeight="false" outlineLevel="0" collapsed="false">
      <c r="A2728" s="45" t="n">
        <v>46309</v>
      </c>
      <c r="B2728" s="0" t="n">
        <v>13</v>
      </c>
      <c r="C2728" s="0" t="n">
        <v>7082</v>
      </c>
      <c r="E2728" s="0" t="n">
        <v>0</v>
      </c>
      <c r="F2728" s="39" t="s">
        <v>1333</v>
      </c>
      <c r="I2728" s="39" t="s">
        <v>136</v>
      </c>
      <c r="U2728" s="0" t="n">
        <v>348</v>
      </c>
      <c r="V2728" s="0" t="n">
        <v>0</v>
      </c>
      <c r="W2728" s="39" t="n">
        <f aca="false">IF(I2728="Male",0,1)</f>
        <v>1</v>
      </c>
      <c r="X2728" s="39" t="n">
        <f aca="false">IF(OR(I2728="DNB",I2728="Dry DNB"),1,0)</f>
        <v>0</v>
      </c>
      <c r="Y2728" s="39" t="n">
        <f aca="false">MATCH(A2728,DATAS,0)</f>
        <v>1</v>
      </c>
      <c r="Z2728" s="39" t="n">
        <f aca="false">IF(AND(E2728&gt;0,OR(AND(B2728&gt;=1,B2728&lt;=6),B2728=10)),1,0)</f>
        <v>0</v>
      </c>
      <c r="AA2728" s="39" t="n">
        <f aca="false">IF(AND(E2728&gt;0,B2728=10),1,0)</f>
        <v>0</v>
      </c>
      <c r="AB2728" s="0" t="str">
        <f aca="false">IF(AND(C2727=C2728,Y2727=Y2728-1),Z2727,"")</f>
        <v/>
      </c>
      <c r="AC2728" s="0" t="str">
        <f aca="false">IF(AND(C2727=C2728,Y2727=Y2728-1),AA2727,"")</f>
        <v/>
      </c>
      <c r="AD2728" s="0" t="str">
        <f aca="false">IF(Y2728=1,"",IF(AND(Z2728=1,AB2728&lt;&gt;1),1,0))</f>
        <v/>
      </c>
      <c r="AE2728" s="0" t="str">
        <f aca="false">IF(Y2728=1,"",IF(AND(AA2728=1,AC2728&lt;&gt;1),1,0))</f>
        <v/>
      </c>
      <c r="AF2728" s="45" t="str">
        <f aca="false">IF(AND(E2728&gt;0,Y2728&lt;1,NOT(AND(C2729=C2728,Y2729=Y2728+1))),INDEX(DATAS,Y2728+1),"")</f>
        <v/>
      </c>
      <c r="AG2728" s="45" t="str">
        <f aca="false">IF(AND(AA2728=1,Y2728&lt;1),IF(AND(C2729=C2728,Y2729=Y2728+1),IF(AA2729=1,"",INDEX(DATAS,Y2728+1)),INDEX(DATAS,Y2728+1)),"")</f>
        <v/>
      </c>
    </row>
    <row r="2729" customFormat="false" ht="15" hidden="false" customHeight="false" outlineLevel="0" collapsed="false">
      <c r="A2729" s="45" t="n">
        <v>46309</v>
      </c>
      <c r="B2729" s="0" t="n">
        <v>13</v>
      </c>
      <c r="C2729" s="0" t="n">
        <v>7083</v>
      </c>
      <c r="E2729" s="0" t="n">
        <v>0</v>
      </c>
      <c r="F2729" s="39" t="s">
        <v>1333</v>
      </c>
      <c r="I2729" s="39" t="s">
        <v>136</v>
      </c>
      <c r="U2729" s="0" t="n">
        <v>348</v>
      </c>
      <c r="V2729" s="0" t="n">
        <v>0</v>
      </c>
      <c r="W2729" s="39" t="n">
        <f aca="false">IF(I2729="Male",0,1)</f>
        <v>1</v>
      </c>
      <c r="X2729" s="39" t="n">
        <f aca="false">IF(OR(I2729="DNB",I2729="Dry DNB"),1,0)</f>
        <v>0</v>
      </c>
      <c r="Y2729" s="39" t="n">
        <f aca="false">MATCH(A2729,DATAS,0)</f>
        <v>1</v>
      </c>
      <c r="Z2729" s="39" t="n">
        <f aca="false">IF(AND(E2729&gt;0,OR(AND(B2729&gt;=1,B2729&lt;=6),B2729=10)),1,0)</f>
        <v>0</v>
      </c>
      <c r="AA2729" s="39" t="n">
        <f aca="false">IF(AND(E2729&gt;0,B2729=10),1,0)</f>
        <v>0</v>
      </c>
      <c r="AB2729" s="0" t="str">
        <f aca="false">IF(AND(C2728=C2729,Y2728=Y2729-1),Z2728,"")</f>
        <v/>
      </c>
      <c r="AC2729" s="0" t="str">
        <f aca="false">IF(AND(C2728=C2729,Y2728=Y2729-1),AA2728,"")</f>
        <v/>
      </c>
      <c r="AD2729" s="0" t="str">
        <f aca="false">IF(Y2729=1,"",IF(AND(Z2729=1,AB2729&lt;&gt;1),1,0))</f>
        <v/>
      </c>
      <c r="AE2729" s="0" t="str">
        <f aca="false">IF(Y2729=1,"",IF(AND(AA2729=1,AC2729&lt;&gt;1),1,0))</f>
        <v/>
      </c>
      <c r="AF2729" s="45" t="str">
        <f aca="false">IF(AND(E2729&gt;0,Y2729&lt;1,NOT(AND(C2730=C2729,Y2730=Y2729+1))),INDEX(DATAS,Y2729+1),"")</f>
        <v/>
      </c>
      <c r="AG2729" s="45" t="str">
        <f aca="false">IF(AND(AA2729=1,Y2729&lt;1),IF(AND(C2730=C2729,Y2730=Y2729+1),IF(AA2730=1,"",INDEX(DATAS,Y2729+1)),INDEX(DATAS,Y2729+1)),"")</f>
        <v/>
      </c>
    </row>
    <row r="2730" customFormat="false" ht="15" hidden="false" customHeight="false" outlineLevel="0" collapsed="false">
      <c r="A2730" s="45" t="n">
        <v>46309</v>
      </c>
      <c r="B2730" s="0" t="n">
        <v>13</v>
      </c>
      <c r="C2730" s="0" t="n">
        <v>7084</v>
      </c>
      <c r="E2730" s="0" t="n">
        <v>0</v>
      </c>
      <c r="F2730" s="39" t="s">
        <v>1333</v>
      </c>
      <c r="I2730" s="39" t="s">
        <v>136</v>
      </c>
      <c r="U2730" s="0" t="n">
        <v>348</v>
      </c>
      <c r="V2730" s="0" t="n">
        <v>0</v>
      </c>
      <c r="W2730" s="39" t="n">
        <f aca="false">IF(I2730="Male",0,1)</f>
        <v>1</v>
      </c>
      <c r="X2730" s="39" t="n">
        <f aca="false">IF(OR(I2730="DNB",I2730="Dry DNB"),1,0)</f>
        <v>0</v>
      </c>
      <c r="Y2730" s="39" t="n">
        <f aca="false">MATCH(A2730,DATAS,0)</f>
        <v>1</v>
      </c>
      <c r="Z2730" s="39" t="n">
        <f aca="false">IF(AND(E2730&gt;0,OR(AND(B2730&gt;=1,B2730&lt;=6),B2730=10)),1,0)</f>
        <v>0</v>
      </c>
      <c r="AA2730" s="39" t="n">
        <f aca="false">IF(AND(E2730&gt;0,B2730=10),1,0)</f>
        <v>0</v>
      </c>
      <c r="AB2730" s="0" t="str">
        <f aca="false">IF(AND(C2729=C2730,Y2729=Y2730-1),Z2729,"")</f>
        <v/>
      </c>
      <c r="AC2730" s="0" t="str">
        <f aca="false">IF(AND(C2729=C2730,Y2729=Y2730-1),AA2729,"")</f>
        <v/>
      </c>
      <c r="AD2730" s="0" t="str">
        <f aca="false">IF(Y2730=1,"",IF(AND(Z2730=1,AB2730&lt;&gt;1),1,0))</f>
        <v/>
      </c>
      <c r="AE2730" s="0" t="str">
        <f aca="false">IF(Y2730=1,"",IF(AND(AA2730=1,AC2730&lt;&gt;1),1,0))</f>
        <v/>
      </c>
      <c r="AF2730" s="45" t="str">
        <f aca="false">IF(AND(E2730&gt;0,Y2730&lt;1,NOT(AND(C2731=C2730,Y2731=Y2730+1))),INDEX(DATAS,Y2730+1),"")</f>
        <v/>
      </c>
      <c r="AG2730" s="45" t="str">
        <f aca="false">IF(AND(AA2730=1,Y2730&lt;1),IF(AND(C2731=C2730,Y2731=Y2730+1),IF(AA2731=1,"",INDEX(DATAS,Y2730+1)),INDEX(DATAS,Y2730+1)),"")</f>
        <v/>
      </c>
    </row>
    <row r="2731" customFormat="false" ht="15" hidden="false" customHeight="false" outlineLevel="0" collapsed="false">
      <c r="A2731" s="45" t="n">
        <v>46309</v>
      </c>
      <c r="B2731" s="0" t="n">
        <v>13</v>
      </c>
      <c r="C2731" s="0" t="n">
        <v>7085</v>
      </c>
      <c r="E2731" s="0" t="n">
        <v>0</v>
      </c>
      <c r="F2731" s="39" t="s">
        <v>1334</v>
      </c>
      <c r="I2731" s="39" t="s">
        <v>136</v>
      </c>
      <c r="U2731" s="0" t="n">
        <v>347</v>
      </c>
      <c r="V2731" s="0" t="n">
        <v>0</v>
      </c>
      <c r="W2731" s="39" t="n">
        <f aca="false">IF(I2731="Male",0,1)</f>
        <v>1</v>
      </c>
      <c r="X2731" s="39" t="n">
        <f aca="false">IF(OR(I2731="DNB",I2731="Dry DNB"),1,0)</f>
        <v>0</v>
      </c>
      <c r="Y2731" s="39" t="n">
        <f aca="false">MATCH(A2731,DATAS,0)</f>
        <v>1</v>
      </c>
      <c r="Z2731" s="39" t="n">
        <f aca="false">IF(AND(E2731&gt;0,OR(AND(B2731&gt;=1,B2731&lt;=6),B2731=10)),1,0)</f>
        <v>0</v>
      </c>
      <c r="AA2731" s="39" t="n">
        <f aca="false">IF(AND(E2731&gt;0,B2731=10),1,0)</f>
        <v>0</v>
      </c>
      <c r="AB2731" s="0" t="str">
        <f aca="false">IF(AND(C2730=C2731,Y2730=Y2731-1),Z2730,"")</f>
        <v/>
      </c>
      <c r="AC2731" s="0" t="str">
        <f aca="false">IF(AND(C2730=C2731,Y2730=Y2731-1),AA2730,"")</f>
        <v/>
      </c>
      <c r="AD2731" s="0" t="str">
        <f aca="false">IF(Y2731=1,"",IF(AND(Z2731=1,AB2731&lt;&gt;1),1,0))</f>
        <v/>
      </c>
      <c r="AE2731" s="0" t="str">
        <f aca="false">IF(Y2731=1,"",IF(AND(AA2731=1,AC2731&lt;&gt;1),1,0))</f>
        <v/>
      </c>
      <c r="AF2731" s="45" t="str">
        <f aca="false">IF(AND(E2731&gt;0,Y2731&lt;1,NOT(AND(C2732=C2731,Y2732=Y2731+1))),INDEX(DATAS,Y2731+1),"")</f>
        <v/>
      </c>
      <c r="AG2731" s="45" t="str">
        <f aca="false">IF(AND(AA2731=1,Y2731&lt;1),IF(AND(C2732=C2731,Y2732=Y2731+1),IF(AA2732=1,"",INDEX(DATAS,Y2731+1)),INDEX(DATAS,Y2731+1)),"")</f>
        <v/>
      </c>
    </row>
    <row r="2732" customFormat="false" ht="15" hidden="false" customHeight="false" outlineLevel="0" collapsed="false">
      <c r="A2732" s="45" t="n">
        <v>46309</v>
      </c>
      <c r="B2732" s="0" t="n">
        <v>13</v>
      </c>
      <c r="C2732" s="0" t="n">
        <v>7086</v>
      </c>
      <c r="E2732" s="0" t="n">
        <v>0</v>
      </c>
      <c r="F2732" s="39" t="s">
        <v>1334</v>
      </c>
      <c r="I2732" s="39" t="s">
        <v>136</v>
      </c>
      <c r="U2732" s="0" t="n">
        <v>347</v>
      </c>
      <c r="V2732" s="0" t="n">
        <v>0</v>
      </c>
      <c r="W2732" s="39" t="n">
        <f aca="false">IF(I2732="Male",0,1)</f>
        <v>1</v>
      </c>
      <c r="X2732" s="39" t="n">
        <f aca="false">IF(OR(I2732="DNB",I2732="Dry DNB"),1,0)</f>
        <v>0</v>
      </c>
      <c r="Y2732" s="39" t="n">
        <f aca="false">MATCH(A2732,DATAS,0)</f>
        <v>1</v>
      </c>
      <c r="Z2732" s="39" t="n">
        <f aca="false">IF(AND(E2732&gt;0,OR(AND(B2732&gt;=1,B2732&lt;=6),B2732=10)),1,0)</f>
        <v>0</v>
      </c>
      <c r="AA2732" s="39" t="n">
        <f aca="false">IF(AND(E2732&gt;0,B2732=10),1,0)</f>
        <v>0</v>
      </c>
      <c r="AB2732" s="0" t="str">
        <f aca="false">IF(AND(C2731=C2732,Y2731=Y2732-1),Z2731,"")</f>
        <v/>
      </c>
      <c r="AC2732" s="0" t="str">
        <f aca="false">IF(AND(C2731=C2732,Y2731=Y2732-1),AA2731,"")</f>
        <v/>
      </c>
      <c r="AD2732" s="0" t="str">
        <f aca="false">IF(Y2732=1,"",IF(AND(Z2732=1,AB2732&lt;&gt;1),1,0))</f>
        <v/>
      </c>
      <c r="AE2732" s="0" t="str">
        <f aca="false">IF(Y2732=1,"",IF(AND(AA2732=1,AC2732&lt;&gt;1),1,0))</f>
        <v/>
      </c>
      <c r="AF2732" s="45" t="str">
        <f aca="false">IF(AND(E2732&gt;0,Y2732&lt;1,NOT(AND(C2733=C2732,Y2733=Y2732+1))),INDEX(DATAS,Y2732+1),"")</f>
        <v/>
      </c>
      <c r="AG2732" s="45" t="str">
        <f aca="false">IF(AND(AA2732=1,Y2732&lt;1),IF(AND(C2733=C2732,Y2733=Y2732+1),IF(AA2733=1,"",INDEX(DATAS,Y2732+1)),INDEX(DATAS,Y2732+1)),"")</f>
        <v/>
      </c>
    </row>
    <row r="2733" customFormat="false" ht="15" hidden="false" customHeight="false" outlineLevel="0" collapsed="false">
      <c r="A2733" s="45" t="n">
        <v>46309</v>
      </c>
      <c r="B2733" s="0" t="n">
        <v>13</v>
      </c>
      <c r="C2733" s="0" t="n">
        <v>7087</v>
      </c>
      <c r="E2733" s="0" t="n">
        <v>0</v>
      </c>
      <c r="F2733" s="39" t="s">
        <v>1334</v>
      </c>
      <c r="I2733" s="39" t="s">
        <v>136</v>
      </c>
      <c r="U2733" s="0" t="n">
        <v>347</v>
      </c>
      <c r="V2733" s="0" t="n">
        <v>0</v>
      </c>
      <c r="W2733" s="39" t="n">
        <f aca="false">IF(I2733="Male",0,1)</f>
        <v>1</v>
      </c>
      <c r="X2733" s="39" t="n">
        <f aca="false">IF(OR(I2733="DNB",I2733="Dry DNB"),1,0)</f>
        <v>0</v>
      </c>
      <c r="Y2733" s="39" t="n">
        <f aca="false">MATCH(A2733,DATAS,0)</f>
        <v>1</v>
      </c>
      <c r="Z2733" s="39" t="n">
        <f aca="false">IF(AND(E2733&gt;0,OR(AND(B2733&gt;=1,B2733&lt;=6),B2733=10)),1,0)</f>
        <v>0</v>
      </c>
      <c r="AA2733" s="39" t="n">
        <f aca="false">IF(AND(E2733&gt;0,B2733=10),1,0)</f>
        <v>0</v>
      </c>
      <c r="AB2733" s="0" t="str">
        <f aca="false">IF(AND(C2732=C2733,Y2732=Y2733-1),Z2732,"")</f>
        <v/>
      </c>
      <c r="AC2733" s="0" t="str">
        <f aca="false">IF(AND(C2732=C2733,Y2732=Y2733-1),AA2732,"")</f>
        <v/>
      </c>
      <c r="AD2733" s="0" t="str">
        <f aca="false">IF(Y2733=1,"",IF(AND(Z2733=1,AB2733&lt;&gt;1),1,0))</f>
        <v/>
      </c>
      <c r="AE2733" s="0" t="str">
        <f aca="false">IF(Y2733=1,"",IF(AND(AA2733=1,AC2733&lt;&gt;1),1,0))</f>
        <v/>
      </c>
      <c r="AF2733" s="45" t="str">
        <f aca="false">IF(AND(E2733&gt;0,Y2733&lt;1,NOT(AND(C2734=C2733,Y2734=Y2733+1))),INDEX(DATAS,Y2733+1),"")</f>
        <v/>
      </c>
      <c r="AG2733" s="45" t="str">
        <f aca="false">IF(AND(AA2733=1,Y2733&lt;1),IF(AND(C2734=C2733,Y2734=Y2733+1),IF(AA2734=1,"",INDEX(DATAS,Y2733+1)),INDEX(DATAS,Y2733+1)),"")</f>
        <v/>
      </c>
    </row>
    <row r="2734" customFormat="false" ht="15" hidden="false" customHeight="false" outlineLevel="0" collapsed="false">
      <c r="A2734" s="45" t="n">
        <v>46309</v>
      </c>
      <c r="B2734" s="0" t="n">
        <v>13</v>
      </c>
      <c r="C2734" s="0" t="n">
        <v>7089</v>
      </c>
      <c r="E2734" s="0" t="n">
        <v>0</v>
      </c>
      <c r="F2734" s="39" t="s">
        <v>1334</v>
      </c>
      <c r="I2734" s="39" t="s">
        <v>136</v>
      </c>
      <c r="U2734" s="0" t="n">
        <v>347</v>
      </c>
      <c r="V2734" s="0" t="n">
        <v>0</v>
      </c>
      <c r="W2734" s="39" t="n">
        <f aca="false">IF(I2734="Male",0,1)</f>
        <v>1</v>
      </c>
      <c r="X2734" s="39" t="n">
        <f aca="false">IF(OR(I2734="DNB",I2734="Dry DNB"),1,0)</f>
        <v>0</v>
      </c>
      <c r="Y2734" s="39" t="n">
        <f aca="false">MATCH(A2734,DATAS,0)</f>
        <v>1</v>
      </c>
      <c r="Z2734" s="39" t="n">
        <f aca="false">IF(AND(E2734&gt;0,OR(AND(B2734&gt;=1,B2734&lt;=6),B2734=10)),1,0)</f>
        <v>0</v>
      </c>
      <c r="AA2734" s="39" t="n">
        <f aca="false">IF(AND(E2734&gt;0,B2734=10),1,0)</f>
        <v>0</v>
      </c>
      <c r="AB2734" s="0" t="str">
        <f aca="false">IF(AND(C2733=C2734,Y2733=Y2734-1),Z2733,"")</f>
        <v/>
      </c>
      <c r="AC2734" s="0" t="str">
        <f aca="false">IF(AND(C2733=C2734,Y2733=Y2734-1),AA2733,"")</f>
        <v/>
      </c>
      <c r="AD2734" s="0" t="str">
        <f aca="false">IF(Y2734=1,"",IF(AND(Z2734=1,AB2734&lt;&gt;1),1,0))</f>
        <v/>
      </c>
      <c r="AE2734" s="0" t="str">
        <f aca="false">IF(Y2734=1,"",IF(AND(AA2734=1,AC2734&lt;&gt;1),1,0))</f>
        <v/>
      </c>
      <c r="AF2734" s="45" t="str">
        <f aca="false">IF(AND(E2734&gt;0,Y2734&lt;1,NOT(AND(C2735=C2734,Y2735=Y2734+1))),INDEX(DATAS,Y2734+1),"")</f>
        <v/>
      </c>
      <c r="AG2734" s="45" t="str">
        <f aca="false">IF(AND(AA2734=1,Y2734&lt;1),IF(AND(C2735=C2734,Y2735=Y2734+1),IF(AA2735=1,"",INDEX(DATAS,Y2734+1)),INDEX(DATAS,Y2734+1)),"")</f>
        <v/>
      </c>
    </row>
    <row r="2735" customFormat="false" ht="15" hidden="false" customHeight="false" outlineLevel="0" collapsed="false">
      <c r="A2735" s="45" t="n">
        <v>46309</v>
      </c>
      <c r="B2735" s="0" t="n">
        <v>13</v>
      </c>
      <c r="C2735" s="0" t="n">
        <v>7090</v>
      </c>
      <c r="E2735" s="0" t="n">
        <v>0</v>
      </c>
      <c r="F2735" s="39" t="s">
        <v>1334</v>
      </c>
      <c r="I2735" s="39" t="s">
        <v>136</v>
      </c>
      <c r="U2735" s="0" t="n">
        <v>347</v>
      </c>
      <c r="V2735" s="0" t="n">
        <v>0</v>
      </c>
      <c r="W2735" s="39" t="n">
        <f aca="false">IF(I2735="Male",0,1)</f>
        <v>1</v>
      </c>
      <c r="X2735" s="39" t="n">
        <f aca="false">IF(OR(I2735="DNB",I2735="Dry DNB"),1,0)</f>
        <v>0</v>
      </c>
      <c r="Y2735" s="39" t="n">
        <f aca="false">MATCH(A2735,DATAS,0)</f>
        <v>1</v>
      </c>
      <c r="Z2735" s="39" t="n">
        <f aca="false">IF(AND(E2735&gt;0,OR(AND(B2735&gt;=1,B2735&lt;=6),B2735=10)),1,0)</f>
        <v>0</v>
      </c>
      <c r="AA2735" s="39" t="n">
        <f aca="false">IF(AND(E2735&gt;0,B2735=10),1,0)</f>
        <v>0</v>
      </c>
      <c r="AB2735" s="0" t="str">
        <f aca="false">IF(AND(C2734=C2735,Y2734=Y2735-1),Z2734,"")</f>
        <v/>
      </c>
      <c r="AC2735" s="0" t="str">
        <f aca="false">IF(AND(C2734=C2735,Y2734=Y2735-1),AA2734,"")</f>
        <v/>
      </c>
      <c r="AD2735" s="0" t="str">
        <f aca="false">IF(Y2735=1,"",IF(AND(Z2735=1,AB2735&lt;&gt;1),1,0))</f>
        <v/>
      </c>
      <c r="AE2735" s="0" t="str">
        <f aca="false">IF(Y2735=1,"",IF(AND(AA2735=1,AC2735&lt;&gt;1),1,0))</f>
        <v/>
      </c>
      <c r="AF2735" s="45" t="str">
        <f aca="false">IF(AND(E2735&gt;0,Y2735&lt;1,NOT(AND(C2736=C2735,Y2736=Y2735+1))),INDEX(DATAS,Y2735+1),"")</f>
        <v/>
      </c>
      <c r="AG2735" s="45" t="str">
        <f aca="false">IF(AND(AA2735=1,Y2735&lt;1),IF(AND(C2736=C2735,Y2736=Y2735+1),IF(AA2736=1,"",INDEX(DATAS,Y2735+1)),INDEX(DATAS,Y2735+1)),"")</f>
        <v/>
      </c>
    </row>
    <row r="2736" customFormat="false" ht="15" hidden="false" customHeight="false" outlineLevel="0" collapsed="false">
      <c r="A2736" s="45" t="n">
        <v>46309</v>
      </c>
      <c r="B2736" s="0" t="n">
        <v>13</v>
      </c>
      <c r="C2736" s="0" t="n">
        <v>7091</v>
      </c>
      <c r="E2736" s="0" t="n">
        <v>0</v>
      </c>
      <c r="F2736" s="39" t="s">
        <v>1335</v>
      </c>
      <c r="I2736" s="39" t="s">
        <v>136</v>
      </c>
      <c r="U2736" s="0" t="n">
        <v>346</v>
      </c>
      <c r="V2736" s="0" t="n">
        <v>0</v>
      </c>
      <c r="W2736" s="39" t="n">
        <f aca="false">IF(I2736="Male",0,1)</f>
        <v>1</v>
      </c>
      <c r="X2736" s="39" t="n">
        <f aca="false">IF(OR(I2736="DNB",I2736="Dry DNB"),1,0)</f>
        <v>0</v>
      </c>
      <c r="Y2736" s="39" t="n">
        <f aca="false">MATCH(A2736,DATAS,0)</f>
        <v>1</v>
      </c>
      <c r="Z2736" s="39" t="n">
        <f aca="false">IF(AND(E2736&gt;0,OR(AND(B2736&gt;=1,B2736&lt;=6),B2736=10)),1,0)</f>
        <v>0</v>
      </c>
      <c r="AA2736" s="39" t="n">
        <f aca="false">IF(AND(E2736&gt;0,B2736=10),1,0)</f>
        <v>0</v>
      </c>
      <c r="AB2736" s="0" t="str">
        <f aca="false">IF(AND(C2735=C2736,Y2735=Y2736-1),Z2735,"")</f>
        <v/>
      </c>
      <c r="AC2736" s="0" t="str">
        <f aca="false">IF(AND(C2735=C2736,Y2735=Y2736-1),AA2735,"")</f>
        <v/>
      </c>
      <c r="AD2736" s="0" t="str">
        <f aca="false">IF(Y2736=1,"",IF(AND(Z2736=1,AB2736&lt;&gt;1),1,0))</f>
        <v/>
      </c>
      <c r="AE2736" s="0" t="str">
        <f aca="false">IF(Y2736=1,"",IF(AND(AA2736=1,AC2736&lt;&gt;1),1,0))</f>
        <v/>
      </c>
      <c r="AF2736" s="45" t="str">
        <f aca="false">IF(AND(E2736&gt;0,Y2736&lt;1,NOT(AND(C2737=C2736,Y2737=Y2736+1))),INDEX(DATAS,Y2736+1),"")</f>
        <v/>
      </c>
      <c r="AG2736" s="45" t="str">
        <f aca="false">IF(AND(AA2736=1,Y2736&lt;1),IF(AND(C2737=C2736,Y2737=Y2736+1),IF(AA2737=1,"",INDEX(DATAS,Y2736+1)),INDEX(DATAS,Y2736+1)),"")</f>
        <v/>
      </c>
    </row>
    <row r="2737" customFormat="false" ht="15" hidden="false" customHeight="false" outlineLevel="0" collapsed="false">
      <c r="A2737" s="45" t="n">
        <v>46309</v>
      </c>
      <c r="B2737" s="0" t="n">
        <v>13</v>
      </c>
      <c r="C2737" s="0" t="n">
        <v>7092</v>
      </c>
      <c r="E2737" s="0" t="n">
        <v>0</v>
      </c>
      <c r="F2737" s="39" t="s">
        <v>1335</v>
      </c>
      <c r="I2737" s="39" t="s">
        <v>136</v>
      </c>
      <c r="U2737" s="0" t="n">
        <v>346</v>
      </c>
      <c r="V2737" s="0" t="n">
        <v>0</v>
      </c>
      <c r="W2737" s="39" t="n">
        <f aca="false">IF(I2737="Male",0,1)</f>
        <v>1</v>
      </c>
      <c r="X2737" s="39" t="n">
        <f aca="false">IF(OR(I2737="DNB",I2737="Dry DNB"),1,0)</f>
        <v>0</v>
      </c>
      <c r="Y2737" s="39" t="n">
        <f aca="false">MATCH(A2737,DATAS,0)</f>
        <v>1</v>
      </c>
      <c r="Z2737" s="39" t="n">
        <f aca="false">IF(AND(E2737&gt;0,OR(AND(B2737&gt;=1,B2737&lt;=6),B2737=10)),1,0)</f>
        <v>0</v>
      </c>
      <c r="AA2737" s="39" t="n">
        <f aca="false">IF(AND(E2737&gt;0,B2737=10),1,0)</f>
        <v>0</v>
      </c>
      <c r="AB2737" s="0" t="str">
        <f aca="false">IF(AND(C2736=C2737,Y2736=Y2737-1),Z2736,"")</f>
        <v/>
      </c>
      <c r="AC2737" s="0" t="str">
        <f aca="false">IF(AND(C2736=C2737,Y2736=Y2737-1),AA2736,"")</f>
        <v/>
      </c>
      <c r="AD2737" s="0" t="str">
        <f aca="false">IF(Y2737=1,"",IF(AND(Z2737=1,AB2737&lt;&gt;1),1,0))</f>
        <v/>
      </c>
      <c r="AE2737" s="0" t="str">
        <f aca="false">IF(Y2737=1,"",IF(AND(AA2737=1,AC2737&lt;&gt;1),1,0))</f>
        <v/>
      </c>
      <c r="AF2737" s="45" t="str">
        <f aca="false">IF(AND(E2737&gt;0,Y2737&lt;1,NOT(AND(C2738=C2737,Y2738=Y2737+1))),INDEX(DATAS,Y2737+1),"")</f>
        <v/>
      </c>
      <c r="AG2737" s="45" t="str">
        <f aca="false">IF(AND(AA2737=1,Y2737&lt;1),IF(AND(C2738=C2737,Y2738=Y2737+1),IF(AA2738=1,"",INDEX(DATAS,Y2737+1)),INDEX(DATAS,Y2737+1)),"")</f>
        <v/>
      </c>
    </row>
    <row r="2738" customFormat="false" ht="15" hidden="false" customHeight="false" outlineLevel="0" collapsed="false">
      <c r="A2738" s="45" t="n">
        <v>46309</v>
      </c>
      <c r="B2738" s="0" t="n">
        <v>13</v>
      </c>
      <c r="C2738" s="0" t="n">
        <v>7093</v>
      </c>
      <c r="E2738" s="0" t="n">
        <v>0</v>
      </c>
      <c r="F2738" s="39" t="s">
        <v>1335</v>
      </c>
      <c r="I2738" s="39" t="s">
        <v>136</v>
      </c>
      <c r="U2738" s="0" t="n">
        <v>346</v>
      </c>
      <c r="V2738" s="0" t="n">
        <v>0</v>
      </c>
      <c r="W2738" s="39" t="n">
        <f aca="false">IF(I2738="Male",0,1)</f>
        <v>1</v>
      </c>
      <c r="X2738" s="39" t="n">
        <f aca="false">IF(OR(I2738="DNB",I2738="Dry DNB"),1,0)</f>
        <v>0</v>
      </c>
      <c r="Y2738" s="39" t="n">
        <f aca="false">MATCH(A2738,DATAS,0)</f>
        <v>1</v>
      </c>
      <c r="Z2738" s="39" t="n">
        <f aca="false">IF(AND(E2738&gt;0,OR(AND(B2738&gt;=1,B2738&lt;=6),B2738=10)),1,0)</f>
        <v>0</v>
      </c>
      <c r="AA2738" s="39" t="n">
        <f aca="false">IF(AND(E2738&gt;0,B2738=10),1,0)</f>
        <v>0</v>
      </c>
      <c r="AB2738" s="0" t="str">
        <f aca="false">IF(AND(C2737=C2738,Y2737=Y2738-1),Z2737,"")</f>
        <v/>
      </c>
      <c r="AC2738" s="0" t="str">
        <f aca="false">IF(AND(C2737=C2738,Y2737=Y2738-1),AA2737,"")</f>
        <v/>
      </c>
      <c r="AD2738" s="0" t="str">
        <f aca="false">IF(Y2738=1,"",IF(AND(Z2738=1,AB2738&lt;&gt;1),1,0))</f>
        <v/>
      </c>
      <c r="AE2738" s="0" t="str">
        <f aca="false">IF(Y2738=1,"",IF(AND(AA2738=1,AC2738&lt;&gt;1),1,0))</f>
        <v/>
      </c>
      <c r="AF2738" s="45" t="str">
        <f aca="false">IF(AND(E2738&gt;0,Y2738&lt;1,NOT(AND(C2739=C2738,Y2739=Y2738+1))),INDEX(DATAS,Y2738+1),"")</f>
        <v/>
      </c>
      <c r="AG2738" s="45" t="str">
        <f aca="false">IF(AND(AA2738=1,Y2738&lt;1),IF(AND(C2739=C2738,Y2739=Y2738+1),IF(AA2739=1,"",INDEX(DATAS,Y2738+1)),INDEX(DATAS,Y2738+1)),"")</f>
        <v/>
      </c>
    </row>
    <row r="2739" customFormat="false" ht="15" hidden="false" customHeight="false" outlineLevel="0" collapsed="false">
      <c r="A2739" s="45" t="n">
        <v>46309</v>
      </c>
      <c r="B2739" s="0" t="n">
        <v>13</v>
      </c>
      <c r="C2739" s="0" t="n">
        <v>7094</v>
      </c>
      <c r="E2739" s="0" t="n">
        <v>0</v>
      </c>
      <c r="F2739" s="39" t="s">
        <v>1335</v>
      </c>
      <c r="I2739" s="39" t="s">
        <v>136</v>
      </c>
      <c r="U2739" s="0" t="n">
        <v>346</v>
      </c>
      <c r="V2739" s="0" t="n">
        <v>0</v>
      </c>
      <c r="W2739" s="39" t="n">
        <f aca="false">IF(I2739="Male",0,1)</f>
        <v>1</v>
      </c>
      <c r="X2739" s="39" t="n">
        <f aca="false">IF(OR(I2739="DNB",I2739="Dry DNB"),1,0)</f>
        <v>0</v>
      </c>
      <c r="Y2739" s="39" t="n">
        <f aca="false">MATCH(A2739,DATAS,0)</f>
        <v>1</v>
      </c>
      <c r="Z2739" s="39" t="n">
        <f aca="false">IF(AND(E2739&gt;0,OR(AND(B2739&gt;=1,B2739&lt;=6),B2739=10)),1,0)</f>
        <v>0</v>
      </c>
      <c r="AA2739" s="39" t="n">
        <f aca="false">IF(AND(E2739&gt;0,B2739=10),1,0)</f>
        <v>0</v>
      </c>
      <c r="AB2739" s="0" t="str">
        <f aca="false">IF(AND(C2738=C2739,Y2738=Y2739-1),Z2738,"")</f>
        <v/>
      </c>
      <c r="AC2739" s="0" t="str">
        <f aca="false">IF(AND(C2738=C2739,Y2738=Y2739-1),AA2738,"")</f>
        <v/>
      </c>
      <c r="AD2739" s="0" t="str">
        <f aca="false">IF(Y2739=1,"",IF(AND(Z2739=1,AB2739&lt;&gt;1),1,0))</f>
        <v/>
      </c>
      <c r="AE2739" s="0" t="str">
        <f aca="false">IF(Y2739=1,"",IF(AND(AA2739=1,AC2739&lt;&gt;1),1,0))</f>
        <v/>
      </c>
      <c r="AF2739" s="45" t="str">
        <f aca="false">IF(AND(E2739&gt;0,Y2739&lt;1,NOT(AND(C2740=C2739,Y2740=Y2739+1))),INDEX(DATAS,Y2739+1),"")</f>
        <v/>
      </c>
      <c r="AG2739" s="45" t="str">
        <f aca="false">IF(AND(AA2739=1,Y2739&lt;1),IF(AND(C2740=C2739,Y2740=Y2739+1),IF(AA2740=1,"",INDEX(DATAS,Y2739+1)),INDEX(DATAS,Y2739+1)),"")</f>
        <v/>
      </c>
    </row>
    <row r="2740" customFormat="false" ht="15" hidden="false" customHeight="false" outlineLevel="0" collapsed="false">
      <c r="A2740" s="45" t="n">
        <v>46309</v>
      </c>
      <c r="B2740" s="0" t="n">
        <v>13</v>
      </c>
      <c r="C2740" s="0" t="n">
        <v>7095</v>
      </c>
      <c r="E2740" s="0" t="n">
        <v>0</v>
      </c>
      <c r="F2740" s="39" t="s">
        <v>1335</v>
      </c>
      <c r="I2740" s="39" t="s">
        <v>136</v>
      </c>
      <c r="U2740" s="0" t="n">
        <v>346</v>
      </c>
      <c r="V2740" s="0" t="n">
        <v>0</v>
      </c>
      <c r="W2740" s="39" t="n">
        <f aca="false">IF(I2740="Male",0,1)</f>
        <v>1</v>
      </c>
      <c r="X2740" s="39" t="n">
        <f aca="false">IF(OR(I2740="DNB",I2740="Dry DNB"),1,0)</f>
        <v>0</v>
      </c>
      <c r="Y2740" s="39" t="n">
        <f aca="false">MATCH(A2740,DATAS,0)</f>
        <v>1</v>
      </c>
      <c r="Z2740" s="39" t="n">
        <f aca="false">IF(AND(E2740&gt;0,OR(AND(B2740&gt;=1,B2740&lt;=6),B2740=10)),1,0)</f>
        <v>0</v>
      </c>
      <c r="AA2740" s="39" t="n">
        <f aca="false">IF(AND(E2740&gt;0,B2740=10),1,0)</f>
        <v>0</v>
      </c>
      <c r="AB2740" s="0" t="str">
        <f aca="false">IF(AND(C2739=C2740,Y2739=Y2740-1),Z2739,"")</f>
        <v/>
      </c>
      <c r="AC2740" s="0" t="str">
        <f aca="false">IF(AND(C2739=C2740,Y2739=Y2740-1),AA2739,"")</f>
        <v/>
      </c>
      <c r="AD2740" s="0" t="str">
        <f aca="false">IF(Y2740=1,"",IF(AND(Z2740=1,AB2740&lt;&gt;1),1,0))</f>
        <v/>
      </c>
      <c r="AE2740" s="0" t="str">
        <f aca="false">IF(Y2740=1,"",IF(AND(AA2740=1,AC2740&lt;&gt;1),1,0))</f>
        <v/>
      </c>
      <c r="AF2740" s="45" t="str">
        <f aca="false">IF(AND(E2740&gt;0,Y2740&lt;1,NOT(AND(C2741=C2740,Y2741=Y2740+1))),INDEX(DATAS,Y2740+1),"")</f>
        <v/>
      </c>
      <c r="AG2740" s="45" t="str">
        <f aca="false">IF(AND(AA2740=1,Y2740&lt;1),IF(AND(C2741=C2740,Y2741=Y2740+1),IF(AA2741=1,"",INDEX(DATAS,Y2740+1)),INDEX(DATAS,Y2740+1)),"")</f>
        <v/>
      </c>
    </row>
    <row r="2741" customFormat="false" ht="15" hidden="false" customHeight="false" outlineLevel="0" collapsed="false">
      <c r="A2741" s="45" t="n">
        <v>46309</v>
      </c>
      <c r="B2741" s="0" t="n">
        <v>13</v>
      </c>
      <c r="C2741" s="0" t="n">
        <v>7096</v>
      </c>
      <c r="E2741" s="0" t="n">
        <v>0</v>
      </c>
      <c r="F2741" s="39" t="s">
        <v>1335</v>
      </c>
      <c r="I2741" s="39" t="s">
        <v>136</v>
      </c>
      <c r="U2741" s="0" t="n">
        <v>346</v>
      </c>
      <c r="V2741" s="0" t="n">
        <v>0</v>
      </c>
      <c r="W2741" s="39" t="n">
        <f aca="false">IF(I2741="Male",0,1)</f>
        <v>1</v>
      </c>
      <c r="X2741" s="39" t="n">
        <f aca="false">IF(OR(I2741="DNB",I2741="Dry DNB"),1,0)</f>
        <v>0</v>
      </c>
      <c r="Y2741" s="39" t="n">
        <f aca="false">MATCH(A2741,DATAS,0)</f>
        <v>1</v>
      </c>
      <c r="Z2741" s="39" t="n">
        <f aca="false">IF(AND(E2741&gt;0,OR(AND(B2741&gt;=1,B2741&lt;=6),B2741=10)),1,0)</f>
        <v>0</v>
      </c>
      <c r="AA2741" s="39" t="n">
        <f aca="false">IF(AND(E2741&gt;0,B2741=10),1,0)</f>
        <v>0</v>
      </c>
      <c r="AB2741" s="0" t="str">
        <f aca="false">IF(AND(C2740=C2741,Y2740=Y2741-1),Z2740,"")</f>
        <v/>
      </c>
      <c r="AC2741" s="0" t="str">
        <f aca="false">IF(AND(C2740=C2741,Y2740=Y2741-1),AA2740,"")</f>
        <v/>
      </c>
      <c r="AD2741" s="0" t="str">
        <f aca="false">IF(Y2741=1,"",IF(AND(Z2741=1,AB2741&lt;&gt;1),1,0))</f>
        <v/>
      </c>
      <c r="AE2741" s="0" t="str">
        <f aca="false">IF(Y2741=1,"",IF(AND(AA2741=1,AC2741&lt;&gt;1),1,0))</f>
        <v/>
      </c>
      <c r="AF2741" s="45" t="str">
        <f aca="false">IF(AND(E2741&gt;0,Y2741&lt;1,NOT(AND(C2742=C2741,Y2742=Y2741+1))),INDEX(DATAS,Y2741+1),"")</f>
        <v/>
      </c>
      <c r="AG2741" s="45" t="str">
        <f aca="false">IF(AND(AA2741=1,Y2741&lt;1),IF(AND(C2742=C2741,Y2742=Y2741+1),IF(AA2742=1,"",INDEX(DATAS,Y2741+1)),INDEX(DATAS,Y2741+1)),"")</f>
        <v/>
      </c>
    </row>
    <row r="2742" customFormat="false" ht="15" hidden="false" customHeight="false" outlineLevel="0" collapsed="false">
      <c r="A2742" s="45" t="n">
        <v>46309</v>
      </c>
      <c r="B2742" s="0" t="n">
        <v>13</v>
      </c>
      <c r="C2742" s="0" t="n">
        <v>7097</v>
      </c>
      <c r="E2742" s="0" t="n">
        <v>0</v>
      </c>
      <c r="F2742" s="39" t="s">
        <v>1335</v>
      </c>
      <c r="I2742" s="39" t="s">
        <v>136</v>
      </c>
      <c r="U2742" s="0" t="n">
        <v>346</v>
      </c>
      <c r="V2742" s="0" t="n">
        <v>0</v>
      </c>
      <c r="W2742" s="39" t="n">
        <f aca="false">IF(I2742="Male",0,1)</f>
        <v>1</v>
      </c>
      <c r="X2742" s="39" t="n">
        <f aca="false">IF(OR(I2742="DNB",I2742="Dry DNB"),1,0)</f>
        <v>0</v>
      </c>
      <c r="Y2742" s="39" t="n">
        <f aca="false">MATCH(A2742,DATAS,0)</f>
        <v>1</v>
      </c>
      <c r="Z2742" s="39" t="n">
        <f aca="false">IF(AND(E2742&gt;0,OR(AND(B2742&gt;=1,B2742&lt;=6),B2742=10)),1,0)</f>
        <v>0</v>
      </c>
      <c r="AA2742" s="39" t="n">
        <f aca="false">IF(AND(E2742&gt;0,B2742=10),1,0)</f>
        <v>0</v>
      </c>
      <c r="AB2742" s="0" t="str">
        <f aca="false">IF(AND(C2741=C2742,Y2741=Y2742-1),Z2741,"")</f>
        <v/>
      </c>
      <c r="AC2742" s="0" t="str">
        <f aca="false">IF(AND(C2741=C2742,Y2741=Y2742-1),AA2741,"")</f>
        <v/>
      </c>
      <c r="AD2742" s="0" t="str">
        <f aca="false">IF(Y2742=1,"",IF(AND(Z2742=1,AB2742&lt;&gt;1),1,0))</f>
        <v/>
      </c>
      <c r="AE2742" s="0" t="str">
        <f aca="false">IF(Y2742=1,"",IF(AND(AA2742=1,AC2742&lt;&gt;1),1,0))</f>
        <v/>
      </c>
      <c r="AF2742" s="45" t="str">
        <f aca="false">IF(AND(E2742&gt;0,Y2742&lt;1,NOT(AND(C2743=C2742,Y2743=Y2742+1))),INDEX(DATAS,Y2742+1),"")</f>
        <v/>
      </c>
      <c r="AG2742" s="45" t="str">
        <f aca="false">IF(AND(AA2742=1,Y2742&lt;1),IF(AND(C2743=C2742,Y2743=Y2742+1),IF(AA2743=1,"",INDEX(DATAS,Y2742+1)),INDEX(DATAS,Y2742+1)),"")</f>
        <v/>
      </c>
    </row>
    <row r="2743" customFormat="false" ht="15" hidden="false" customHeight="false" outlineLevel="0" collapsed="false">
      <c r="A2743" s="45" t="n">
        <v>46309</v>
      </c>
      <c r="B2743" s="0" t="n">
        <v>13</v>
      </c>
      <c r="C2743" s="0" t="n">
        <v>7099</v>
      </c>
      <c r="E2743" s="0" t="n">
        <v>0</v>
      </c>
      <c r="F2743" s="39" t="s">
        <v>1336</v>
      </c>
      <c r="I2743" s="39" t="s">
        <v>136</v>
      </c>
      <c r="U2743" s="0" t="n">
        <v>345</v>
      </c>
      <c r="V2743" s="0" t="n">
        <v>0</v>
      </c>
      <c r="W2743" s="39" t="n">
        <f aca="false">IF(I2743="Male",0,1)</f>
        <v>1</v>
      </c>
      <c r="X2743" s="39" t="n">
        <f aca="false">IF(OR(I2743="DNB",I2743="Dry DNB"),1,0)</f>
        <v>0</v>
      </c>
      <c r="Y2743" s="39" t="n">
        <f aca="false">MATCH(A2743,DATAS,0)</f>
        <v>1</v>
      </c>
      <c r="Z2743" s="39" t="n">
        <f aca="false">IF(AND(E2743&gt;0,OR(AND(B2743&gt;=1,B2743&lt;=6),B2743=10)),1,0)</f>
        <v>0</v>
      </c>
      <c r="AA2743" s="39" t="n">
        <f aca="false">IF(AND(E2743&gt;0,B2743=10),1,0)</f>
        <v>0</v>
      </c>
      <c r="AB2743" s="0" t="str">
        <f aca="false">IF(AND(C2742=C2743,Y2742=Y2743-1),Z2742,"")</f>
        <v/>
      </c>
      <c r="AC2743" s="0" t="str">
        <f aca="false">IF(AND(C2742=C2743,Y2742=Y2743-1),AA2742,"")</f>
        <v/>
      </c>
      <c r="AD2743" s="0" t="str">
        <f aca="false">IF(Y2743=1,"",IF(AND(Z2743=1,AB2743&lt;&gt;1),1,0))</f>
        <v/>
      </c>
      <c r="AE2743" s="0" t="str">
        <f aca="false">IF(Y2743=1,"",IF(AND(AA2743=1,AC2743&lt;&gt;1),1,0))</f>
        <v/>
      </c>
      <c r="AF2743" s="45" t="str">
        <f aca="false">IF(AND(E2743&gt;0,Y2743&lt;1,NOT(AND(C2744=C2743,Y2744=Y2743+1))),INDEX(DATAS,Y2743+1),"")</f>
        <v/>
      </c>
      <c r="AG2743" s="45" t="str">
        <f aca="false">IF(AND(AA2743=1,Y2743&lt;1),IF(AND(C2744=C2743,Y2744=Y2743+1),IF(AA2744=1,"",INDEX(DATAS,Y2743+1)),INDEX(DATAS,Y2743+1)),"")</f>
        <v/>
      </c>
    </row>
    <row r="2744" customFormat="false" ht="15" hidden="false" customHeight="false" outlineLevel="0" collapsed="false">
      <c r="A2744" s="45" t="n">
        <v>46309</v>
      </c>
      <c r="B2744" s="0" t="n">
        <v>13</v>
      </c>
      <c r="C2744" s="0" t="n">
        <v>7100</v>
      </c>
      <c r="E2744" s="0" t="n">
        <v>0</v>
      </c>
      <c r="F2744" s="39" t="s">
        <v>1336</v>
      </c>
      <c r="I2744" s="39" t="s">
        <v>136</v>
      </c>
      <c r="U2744" s="0" t="n">
        <v>345</v>
      </c>
      <c r="V2744" s="0" t="n">
        <v>0</v>
      </c>
      <c r="W2744" s="39" t="n">
        <f aca="false">IF(I2744="Male",0,1)</f>
        <v>1</v>
      </c>
      <c r="X2744" s="39" t="n">
        <f aca="false">IF(OR(I2744="DNB",I2744="Dry DNB"),1,0)</f>
        <v>0</v>
      </c>
      <c r="Y2744" s="39" t="n">
        <f aca="false">MATCH(A2744,DATAS,0)</f>
        <v>1</v>
      </c>
      <c r="Z2744" s="39" t="n">
        <f aca="false">IF(AND(E2744&gt;0,OR(AND(B2744&gt;=1,B2744&lt;=6),B2744=10)),1,0)</f>
        <v>0</v>
      </c>
      <c r="AA2744" s="39" t="n">
        <f aca="false">IF(AND(E2744&gt;0,B2744=10),1,0)</f>
        <v>0</v>
      </c>
      <c r="AB2744" s="0" t="str">
        <f aca="false">IF(AND(C2743=C2744,Y2743=Y2744-1),Z2743,"")</f>
        <v/>
      </c>
      <c r="AC2744" s="0" t="str">
        <f aca="false">IF(AND(C2743=C2744,Y2743=Y2744-1),AA2743,"")</f>
        <v/>
      </c>
      <c r="AD2744" s="0" t="str">
        <f aca="false">IF(Y2744=1,"",IF(AND(Z2744=1,AB2744&lt;&gt;1),1,0))</f>
        <v/>
      </c>
      <c r="AE2744" s="0" t="str">
        <f aca="false">IF(Y2744=1,"",IF(AND(AA2744=1,AC2744&lt;&gt;1),1,0))</f>
        <v/>
      </c>
      <c r="AF2744" s="45" t="str">
        <f aca="false">IF(AND(E2744&gt;0,Y2744&lt;1,NOT(AND(C2745=C2744,Y2745=Y2744+1))),INDEX(DATAS,Y2744+1),"")</f>
        <v/>
      </c>
      <c r="AG2744" s="45" t="str">
        <f aca="false">IF(AND(AA2744=1,Y2744&lt;1),IF(AND(C2745=C2744,Y2745=Y2744+1),IF(AA2745=1,"",INDEX(DATAS,Y2744+1)),INDEX(DATAS,Y2744+1)),"")</f>
        <v/>
      </c>
    </row>
    <row r="2745" customFormat="false" ht="15" hidden="false" customHeight="false" outlineLevel="0" collapsed="false">
      <c r="A2745" s="45" t="n">
        <v>46309</v>
      </c>
      <c r="B2745" s="0" t="n">
        <v>13</v>
      </c>
      <c r="C2745" s="0" t="n">
        <v>7101</v>
      </c>
      <c r="E2745" s="0" t="n">
        <v>0</v>
      </c>
      <c r="F2745" s="39" t="s">
        <v>1336</v>
      </c>
      <c r="I2745" s="39" t="s">
        <v>136</v>
      </c>
      <c r="U2745" s="0" t="n">
        <v>345</v>
      </c>
      <c r="V2745" s="0" t="n">
        <v>0</v>
      </c>
      <c r="W2745" s="39" t="n">
        <f aca="false">IF(I2745="Male",0,1)</f>
        <v>1</v>
      </c>
      <c r="X2745" s="39" t="n">
        <f aca="false">IF(OR(I2745="DNB",I2745="Dry DNB"),1,0)</f>
        <v>0</v>
      </c>
      <c r="Y2745" s="39" t="n">
        <f aca="false">MATCH(A2745,DATAS,0)</f>
        <v>1</v>
      </c>
      <c r="Z2745" s="39" t="n">
        <f aca="false">IF(AND(E2745&gt;0,OR(AND(B2745&gt;=1,B2745&lt;=6),B2745=10)),1,0)</f>
        <v>0</v>
      </c>
      <c r="AA2745" s="39" t="n">
        <f aca="false">IF(AND(E2745&gt;0,B2745=10),1,0)</f>
        <v>0</v>
      </c>
      <c r="AB2745" s="0" t="str">
        <f aca="false">IF(AND(C2744=C2745,Y2744=Y2745-1),Z2744,"")</f>
        <v/>
      </c>
      <c r="AC2745" s="0" t="str">
        <f aca="false">IF(AND(C2744=C2745,Y2744=Y2745-1),AA2744,"")</f>
        <v/>
      </c>
      <c r="AD2745" s="0" t="str">
        <f aca="false">IF(Y2745=1,"",IF(AND(Z2745=1,AB2745&lt;&gt;1),1,0))</f>
        <v/>
      </c>
      <c r="AE2745" s="0" t="str">
        <f aca="false">IF(Y2745=1,"",IF(AND(AA2745=1,AC2745&lt;&gt;1),1,0))</f>
        <v/>
      </c>
      <c r="AF2745" s="45" t="str">
        <f aca="false">IF(AND(E2745&gt;0,Y2745&lt;1,NOT(AND(C2746=C2745,Y2746=Y2745+1))),INDEX(DATAS,Y2745+1),"")</f>
        <v/>
      </c>
      <c r="AG2745" s="45" t="str">
        <f aca="false">IF(AND(AA2745=1,Y2745&lt;1),IF(AND(C2746=C2745,Y2746=Y2745+1),IF(AA2746=1,"",INDEX(DATAS,Y2745+1)),INDEX(DATAS,Y2745+1)),"")</f>
        <v/>
      </c>
    </row>
    <row r="2746" customFormat="false" ht="15" hidden="false" customHeight="false" outlineLevel="0" collapsed="false">
      <c r="A2746" s="45" t="n">
        <v>46309</v>
      </c>
      <c r="B2746" s="0" t="n">
        <v>13</v>
      </c>
      <c r="C2746" s="0" t="n">
        <v>7102</v>
      </c>
      <c r="E2746" s="0" t="n">
        <v>0</v>
      </c>
      <c r="F2746" s="39" t="s">
        <v>1336</v>
      </c>
      <c r="I2746" s="39" t="s">
        <v>136</v>
      </c>
      <c r="U2746" s="0" t="n">
        <v>345</v>
      </c>
      <c r="V2746" s="0" t="n">
        <v>0</v>
      </c>
      <c r="W2746" s="39" t="n">
        <f aca="false">IF(I2746="Male",0,1)</f>
        <v>1</v>
      </c>
      <c r="X2746" s="39" t="n">
        <f aca="false">IF(OR(I2746="DNB",I2746="Dry DNB"),1,0)</f>
        <v>0</v>
      </c>
      <c r="Y2746" s="39" t="n">
        <f aca="false">MATCH(A2746,DATAS,0)</f>
        <v>1</v>
      </c>
      <c r="Z2746" s="39" t="n">
        <f aca="false">IF(AND(E2746&gt;0,OR(AND(B2746&gt;=1,B2746&lt;=6),B2746=10)),1,0)</f>
        <v>0</v>
      </c>
      <c r="AA2746" s="39" t="n">
        <f aca="false">IF(AND(E2746&gt;0,B2746=10),1,0)</f>
        <v>0</v>
      </c>
      <c r="AB2746" s="0" t="str">
        <f aca="false">IF(AND(C2745=C2746,Y2745=Y2746-1),Z2745,"")</f>
        <v/>
      </c>
      <c r="AC2746" s="0" t="str">
        <f aca="false">IF(AND(C2745=C2746,Y2745=Y2746-1),AA2745,"")</f>
        <v/>
      </c>
      <c r="AD2746" s="0" t="str">
        <f aca="false">IF(Y2746=1,"",IF(AND(Z2746=1,AB2746&lt;&gt;1),1,0))</f>
        <v/>
      </c>
      <c r="AE2746" s="0" t="str">
        <f aca="false">IF(Y2746=1,"",IF(AND(AA2746=1,AC2746&lt;&gt;1),1,0))</f>
        <v/>
      </c>
      <c r="AF2746" s="45" t="str">
        <f aca="false">IF(AND(E2746&gt;0,Y2746&lt;1,NOT(AND(C2747=C2746,Y2747=Y2746+1))),INDEX(DATAS,Y2746+1),"")</f>
        <v/>
      </c>
      <c r="AG2746" s="45" t="str">
        <f aca="false">IF(AND(AA2746=1,Y2746&lt;1),IF(AND(C2747=C2746,Y2747=Y2746+1),IF(AA2747=1,"",INDEX(DATAS,Y2746+1)),INDEX(DATAS,Y2746+1)),"")</f>
        <v/>
      </c>
    </row>
    <row r="2747" customFormat="false" ht="15" hidden="false" customHeight="false" outlineLevel="0" collapsed="false">
      <c r="A2747" s="45" t="n">
        <v>46309</v>
      </c>
      <c r="B2747" s="0" t="n">
        <v>13</v>
      </c>
      <c r="C2747" s="0" t="n">
        <v>7103</v>
      </c>
      <c r="E2747" s="0" t="n">
        <v>0</v>
      </c>
      <c r="F2747" s="39" t="s">
        <v>1337</v>
      </c>
      <c r="I2747" s="39" t="s">
        <v>136</v>
      </c>
      <c r="U2747" s="0" t="n">
        <v>344</v>
      </c>
      <c r="V2747" s="0" t="n">
        <v>0</v>
      </c>
      <c r="W2747" s="39" t="n">
        <f aca="false">IF(I2747="Male",0,1)</f>
        <v>1</v>
      </c>
      <c r="X2747" s="39" t="n">
        <f aca="false">IF(OR(I2747="DNB",I2747="Dry DNB"),1,0)</f>
        <v>0</v>
      </c>
      <c r="Y2747" s="39" t="n">
        <f aca="false">MATCH(A2747,DATAS,0)</f>
        <v>1</v>
      </c>
      <c r="Z2747" s="39" t="n">
        <f aca="false">IF(AND(E2747&gt;0,OR(AND(B2747&gt;=1,B2747&lt;=6),B2747=10)),1,0)</f>
        <v>0</v>
      </c>
      <c r="AA2747" s="39" t="n">
        <f aca="false">IF(AND(E2747&gt;0,B2747=10),1,0)</f>
        <v>0</v>
      </c>
      <c r="AB2747" s="0" t="str">
        <f aca="false">IF(AND(C2746=C2747,Y2746=Y2747-1),Z2746,"")</f>
        <v/>
      </c>
      <c r="AC2747" s="0" t="str">
        <f aca="false">IF(AND(C2746=C2747,Y2746=Y2747-1),AA2746,"")</f>
        <v/>
      </c>
      <c r="AD2747" s="0" t="str">
        <f aca="false">IF(Y2747=1,"",IF(AND(Z2747=1,AB2747&lt;&gt;1),1,0))</f>
        <v/>
      </c>
      <c r="AE2747" s="0" t="str">
        <f aca="false">IF(Y2747=1,"",IF(AND(AA2747=1,AC2747&lt;&gt;1),1,0))</f>
        <v/>
      </c>
      <c r="AF2747" s="45" t="str">
        <f aca="false">IF(AND(E2747&gt;0,Y2747&lt;1,NOT(AND(C2748=C2747,Y2748=Y2747+1))),INDEX(DATAS,Y2747+1),"")</f>
        <v/>
      </c>
      <c r="AG2747" s="45" t="str">
        <f aca="false">IF(AND(AA2747=1,Y2747&lt;1),IF(AND(C2748=C2747,Y2748=Y2747+1),IF(AA2748=1,"",INDEX(DATAS,Y2747+1)),INDEX(DATAS,Y2747+1)),"")</f>
        <v/>
      </c>
    </row>
    <row r="2748" customFormat="false" ht="15" hidden="false" customHeight="false" outlineLevel="0" collapsed="false">
      <c r="A2748" s="45" t="n">
        <v>46309</v>
      </c>
      <c r="B2748" s="0" t="n">
        <v>13</v>
      </c>
      <c r="C2748" s="0" t="n">
        <v>7104</v>
      </c>
      <c r="E2748" s="0" t="n">
        <v>0</v>
      </c>
      <c r="F2748" s="39" t="s">
        <v>1337</v>
      </c>
      <c r="I2748" s="39" t="s">
        <v>136</v>
      </c>
      <c r="U2748" s="0" t="n">
        <v>344</v>
      </c>
      <c r="V2748" s="0" t="n">
        <v>0</v>
      </c>
      <c r="W2748" s="39" t="n">
        <f aca="false">IF(I2748="Male",0,1)</f>
        <v>1</v>
      </c>
      <c r="X2748" s="39" t="n">
        <f aca="false">IF(OR(I2748="DNB",I2748="Dry DNB"),1,0)</f>
        <v>0</v>
      </c>
      <c r="Y2748" s="39" t="n">
        <f aca="false">MATCH(A2748,DATAS,0)</f>
        <v>1</v>
      </c>
      <c r="Z2748" s="39" t="n">
        <f aca="false">IF(AND(E2748&gt;0,OR(AND(B2748&gt;=1,B2748&lt;=6),B2748=10)),1,0)</f>
        <v>0</v>
      </c>
      <c r="AA2748" s="39" t="n">
        <f aca="false">IF(AND(E2748&gt;0,B2748=10),1,0)</f>
        <v>0</v>
      </c>
      <c r="AB2748" s="0" t="str">
        <f aca="false">IF(AND(C2747=C2748,Y2747=Y2748-1),Z2747,"")</f>
        <v/>
      </c>
      <c r="AC2748" s="0" t="str">
        <f aca="false">IF(AND(C2747=C2748,Y2747=Y2748-1),AA2747,"")</f>
        <v/>
      </c>
      <c r="AD2748" s="0" t="str">
        <f aca="false">IF(Y2748=1,"",IF(AND(Z2748=1,AB2748&lt;&gt;1),1,0))</f>
        <v/>
      </c>
      <c r="AE2748" s="0" t="str">
        <f aca="false">IF(Y2748=1,"",IF(AND(AA2748=1,AC2748&lt;&gt;1),1,0))</f>
        <v/>
      </c>
      <c r="AF2748" s="45" t="str">
        <f aca="false">IF(AND(E2748&gt;0,Y2748&lt;1,NOT(AND(C2749=C2748,Y2749=Y2748+1))),INDEX(DATAS,Y2748+1),"")</f>
        <v/>
      </c>
      <c r="AG2748" s="45" t="str">
        <f aca="false">IF(AND(AA2748=1,Y2748&lt;1),IF(AND(C2749=C2748,Y2749=Y2748+1),IF(AA2749=1,"",INDEX(DATAS,Y2748+1)),INDEX(DATAS,Y2748+1)),"")</f>
        <v/>
      </c>
    </row>
    <row r="2749" customFormat="false" ht="15" hidden="false" customHeight="false" outlineLevel="0" collapsed="false">
      <c r="A2749" s="45" t="n">
        <v>46309</v>
      </c>
      <c r="B2749" s="0" t="n">
        <v>13</v>
      </c>
      <c r="C2749" s="0" t="n">
        <v>7105</v>
      </c>
      <c r="E2749" s="0" t="n">
        <v>0</v>
      </c>
      <c r="F2749" s="39" t="s">
        <v>1338</v>
      </c>
      <c r="I2749" s="39" t="s">
        <v>136</v>
      </c>
      <c r="U2749" s="0" t="n">
        <v>343</v>
      </c>
      <c r="V2749" s="0" t="n">
        <v>0</v>
      </c>
      <c r="W2749" s="39" t="n">
        <f aca="false">IF(I2749="Male",0,1)</f>
        <v>1</v>
      </c>
      <c r="X2749" s="39" t="n">
        <f aca="false">IF(OR(I2749="DNB",I2749="Dry DNB"),1,0)</f>
        <v>0</v>
      </c>
      <c r="Y2749" s="39" t="n">
        <f aca="false">MATCH(A2749,DATAS,0)</f>
        <v>1</v>
      </c>
      <c r="Z2749" s="39" t="n">
        <f aca="false">IF(AND(E2749&gt;0,OR(AND(B2749&gt;=1,B2749&lt;=6),B2749=10)),1,0)</f>
        <v>0</v>
      </c>
      <c r="AA2749" s="39" t="n">
        <f aca="false">IF(AND(E2749&gt;0,B2749=10),1,0)</f>
        <v>0</v>
      </c>
      <c r="AB2749" s="0" t="str">
        <f aca="false">IF(AND(C2748=C2749,Y2748=Y2749-1),Z2748,"")</f>
        <v/>
      </c>
      <c r="AC2749" s="0" t="str">
        <f aca="false">IF(AND(C2748=C2749,Y2748=Y2749-1),AA2748,"")</f>
        <v/>
      </c>
      <c r="AD2749" s="0" t="str">
        <f aca="false">IF(Y2749=1,"",IF(AND(Z2749=1,AB2749&lt;&gt;1),1,0))</f>
        <v/>
      </c>
      <c r="AE2749" s="0" t="str">
        <f aca="false">IF(Y2749=1,"",IF(AND(AA2749=1,AC2749&lt;&gt;1),1,0))</f>
        <v/>
      </c>
      <c r="AF2749" s="45" t="str">
        <f aca="false">IF(AND(E2749&gt;0,Y2749&lt;1,NOT(AND(C2750=C2749,Y2750=Y2749+1))),INDEX(DATAS,Y2749+1),"")</f>
        <v/>
      </c>
      <c r="AG2749" s="45" t="str">
        <f aca="false">IF(AND(AA2749=1,Y2749&lt;1),IF(AND(C2750=C2749,Y2750=Y2749+1),IF(AA2750=1,"",INDEX(DATAS,Y2749+1)),INDEX(DATAS,Y2749+1)),"")</f>
        <v/>
      </c>
    </row>
    <row r="2750" customFormat="false" ht="15" hidden="false" customHeight="false" outlineLevel="0" collapsed="false">
      <c r="A2750" s="45" t="n">
        <v>46309</v>
      </c>
      <c r="B2750" s="0" t="n">
        <v>13</v>
      </c>
      <c r="C2750" s="0" t="n">
        <v>7106</v>
      </c>
      <c r="E2750" s="0" t="n">
        <v>0</v>
      </c>
      <c r="F2750" s="39" t="s">
        <v>1338</v>
      </c>
      <c r="I2750" s="39" t="s">
        <v>136</v>
      </c>
      <c r="U2750" s="0" t="n">
        <v>343</v>
      </c>
      <c r="V2750" s="0" t="n">
        <v>0</v>
      </c>
      <c r="W2750" s="39" t="n">
        <f aca="false">IF(I2750="Male",0,1)</f>
        <v>1</v>
      </c>
      <c r="X2750" s="39" t="n">
        <f aca="false">IF(OR(I2750="DNB",I2750="Dry DNB"),1,0)</f>
        <v>0</v>
      </c>
      <c r="Y2750" s="39" t="n">
        <f aca="false">MATCH(A2750,DATAS,0)</f>
        <v>1</v>
      </c>
      <c r="Z2750" s="39" t="n">
        <f aca="false">IF(AND(E2750&gt;0,OR(AND(B2750&gt;=1,B2750&lt;=6),B2750=10)),1,0)</f>
        <v>0</v>
      </c>
      <c r="AA2750" s="39" t="n">
        <f aca="false">IF(AND(E2750&gt;0,B2750=10),1,0)</f>
        <v>0</v>
      </c>
      <c r="AB2750" s="0" t="str">
        <f aca="false">IF(AND(C2749=C2750,Y2749=Y2750-1),Z2749,"")</f>
        <v/>
      </c>
      <c r="AC2750" s="0" t="str">
        <f aca="false">IF(AND(C2749=C2750,Y2749=Y2750-1),AA2749,"")</f>
        <v/>
      </c>
      <c r="AD2750" s="0" t="str">
        <f aca="false">IF(Y2750=1,"",IF(AND(Z2750=1,AB2750&lt;&gt;1),1,0))</f>
        <v/>
      </c>
      <c r="AE2750" s="0" t="str">
        <f aca="false">IF(Y2750=1,"",IF(AND(AA2750=1,AC2750&lt;&gt;1),1,0))</f>
        <v/>
      </c>
      <c r="AF2750" s="45" t="str">
        <f aca="false">IF(AND(E2750&gt;0,Y2750&lt;1,NOT(AND(C2751=C2750,Y2751=Y2750+1))),INDEX(DATAS,Y2750+1),"")</f>
        <v/>
      </c>
      <c r="AG2750" s="45" t="str">
        <f aca="false">IF(AND(AA2750=1,Y2750&lt;1),IF(AND(C2751=C2750,Y2751=Y2750+1),IF(AA2751=1,"",INDEX(DATAS,Y2750+1)),INDEX(DATAS,Y2750+1)),"")</f>
        <v/>
      </c>
    </row>
    <row r="2751" customFormat="false" ht="15" hidden="false" customHeight="false" outlineLevel="0" collapsed="false">
      <c r="A2751" s="45" t="n">
        <v>46309</v>
      </c>
      <c r="B2751" s="0" t="n">
        <v>13</v>
      </c>
      <c r="C2751" s="0" t="n">
        <v>7107</v>
      </c>
      <c r="E2751" s="0" t="n">
        <v>0</v>
      </c>
      <c r="F2751" s="39" t="s">
        <v>1339</v>
      </c>
      <c r="I2751" s="39" t="s">
        <v>136</v>
      </c>
      <c r="U2751" s="0" t="n">
        <v>342</v>
      </c>
      <c r="V2751" s="0" t="n">
        <v>0</v>
      </c>
      <c r="W2751" s="39" t="n">
        <f aca="false">IF(I2751="Male",0,1)</f>
        <v>1</v>
      </c>
      <c r="X2751" s="39" t="n">
        <f aca="false">IF(OR(I2751="DNB",I2751="Dry DNB"),1,0)</f>
        <v>0</v>
      </c>
      <c r="Y2751" s="39" t="n">
        <f aca="false">MATCH(A2751,DATAS,0)</f>
        <v>1</v>
      </c>
      <c r="Z2751" s="39" t="n">
        <f aca="false">IF(AND(E2751&gt;0,OR(AND(B2751&gt;=1,B2751&lt;=6),B2751=10)),1,0)</f>
        <v>0</v>
      </c>
      <c r="AA2751" s="39" t="n">
        <f aca="false">IF(AND(E2751&gt;0,B2751=10),1,0)</f>
        <v>0</v>
      </c>
      <c r="AB2751" s="0" t="str">
        <f aca="false">IF(AND(C2750=C2751,Y2750=Y2751-1),Z2750,"")</f>
        <v/>
      </c>
      <c r="AC2751" s="0" t="str">
        <f aca="false">IF(AND(C2750=C2751,Y2750=Y2751-1),AA2750,"")</f>
        <v/>
      </c>
      <c r="AD2751" s="0" t="str">
        <f aca="false">IF(Y2751=1,"",IF(AND(Z2751=1,AB2751&lt;&gt;1),1,0))</f>
        <v/>
      </c>
      <c r="AE2751" s="0" t="str">
        <f aca="false">IF(Y2751=1,"",IF(AND(AA2751=1,AC2751&lt;&gt;1),1,0))</f>
        <v/>
      </c>
      <c r="AF2751" s="45" t="str">
        <f aca="false">IF(AND(E2751&gt;0,Y2751&lt;1,NOT(AND(C2752=C2751,Y2752=Y2751+1))),INDEX(DATAS,Y2751+1),"")</f>
        <v/>
      </c>
      <c r="AG2751" s="45" t="str">
        <f aca="false">IF(AND(AA2751=1,Y2751&lt;1),IF(AND(C2752=C2751,Y2752=Y2751+1),IF(AA2752=1,"",INDEX(DATAS,Y2751+1)),INDEX(DATAS,Y2751+1)),"")</f>
        <v/>
      </c>
    </row>
    <row r="2752" customFormat="false" ht="15" hidden="false" customHeight="false" outlineLevel="0" collapsed="false">
      <c r="A2752" s="45" t="n">
        <v>46309</v>
      </c>
      <c r="B2752" s="0" t="n">
        <v>13</v>
      </c>
      <c r="C2752" s="0" t="n">
        <v>7108</v>
      </c>
      <c r="E2752" s="0" t="n">
        <v>0</v>
      </c>
      <c r="F2752" s="39" t="s">
        <v>1339</v>
      </c>
      <c r="I2752" s="39" t="s">
        <v>136</v>
      </c>
      <c r="U2752" s="0" t="n">
        <v>342</v>
      </c>
      <c r="V2752" s="0" t="n">
        <v>0</v>
      </c>
      <c r="W2752" s="39" t="n">
        <f aca="false">IF(I2752="Male",0,1)</f>
        <v>1</v>
      </c>
      <c r="X2752" s="39" t="n">
        <f aca="false">IF(OR(I2752="DNB",I2752="Dry DNB"),1,0)</f>
        <v>0</v>
      </c>
      <c r="Y2752" s="39" t="n">
        <f aca="false">MATCH(A2752,DATAS,0)</f>
        <v>1</v>
      </c>
      <c r="Z2752" s="39" t="n">
        <f aca="false">IF(AND(E2752&gt;0,OR(AND(B2752&gt;=1,B2752&lt;=6),B2752=10)),1,0)</f>
        <v>0</v>
      </c>
      <c r="AA2752" s="39" t="n">
        <f aca="false">IF(AND(E2752&gt;0,B2752=10),1,0)</f>
        <v>0</v>
      </c>
      <c r="AB2752" s="0" t="str">
        <f aca="false">IF(AND(C2751=C2752,Y2751=Y2752-1),Z2751,"")</f>
        <v/>
      </c>
      <c r="AC2752" s="0" t="str">
        <f aca="false">IF(AND(C2751=C2752,Y2751=Y2752-1),AA2751,"")</f>
        <v/>
      </c>
      <c r="AD2752" s="0" t="str">
        <f aca="false">IF(Y2752=1,"",IF(AND(Z2752=1,AB2752&lt;&gt;1),1,0))</f>
        <v/>
      </c>
      <c r="AE2752" s="0" t="str">
        <f aca="false">IF(Y2752=1,"",IF(AND(AA2752=1,AC2752&lt;&gt;1),1,0))</f>
        <v/>
      </c>
      <c r="AF2752" s="45" t="str">
        <f aca="false">IF(AND(E2752&gt;0,Y2752&lt;1,NOT(AND(C2753=C2752,Y2753=Y2752+1))),INDEX(DATAS,Y2752+1),"")</f>
        <v/>
      </c>
      <c r="AG2752" s="45" t="str">
        <f aca="false">IF(AND(AA2752=1,Y2752&lt;1),IF(AND(C2753=C2752,Y2753=Y2752+1),IF(AA2753=1,"",INDEX(DATAS,Y2752+1)),INDEX(DATAS,Y2752+1)),"")</f>
        <v/>
      </c>
    </row>
    <row r="2753" customFormat="false" ht="15" hidden="false" customHeight="false" outlineLevel="0" collapsed="false">
      <c r="A2753" s="45" t="n">
        <v>46309</v>
      </c>
      <c r="B2753" s="0" t="n">
        <v>13</v>
      </c>
      <c r="C2753" s="0" t="n">
        <v>7109</v>
      </c>
      <c r="E2753" s="0" t="n">
        <v>0</v>
      </c>
      <c r="F2753" s="39" t="s">
        <v>1339</v>
      </c>
      <c r="I2753" s="39" t="s">
        <v>136</v>
      </c>
      <c r="U2753" s="0" t="n">
        <v>342</v>
      </c>
      <c r="V2753" s="0" t="n">
        <v>0</v>
      </c>
      <c r="W2753" s="39" t="n">
        <f aca="false">IF(I2753="Male",0,1)</f>
        <v>1</v>
      </c>
      <c r="X2753" s="39" t="n">
        <f aca="false">IF(OR(I2753="DNB",I2753="Dry DNB"),1,0)</f>
        <v>0</v>
      </c>
      <c r="Y2753" s="39" t="n">
        <f aca="false">MATCH(A2753,DATAS,0)</f>
        <v>1</v>
      </c>
      <c r="Z2753" s="39" t="n">
        <f aca="false">IF(AND(E2753&gt;0,OR(AND(B2753&gt;=1,B2753&lt;=6),B2753=10)),1,0)</f>
        <v>0</v>
      </c>
      <c r="AA2753" s="39" t="n">
        <f aca="false">IF(AND(E2753&gt;0,B2753=10),1,0)</f>
        <v>0</v>
      </c>
      <c r="AB2753" s="0" t="str">
        <f aca="false">IF(AND(C2752=C2753,Y2752=Y2753-1),Z2752,"")</f>
        <v/>
      </c>
      <c r="AC2753" s="0" t="str">
        <f aca="false">IF(AND(C2752=C2753,Y2752=Y2753-1),AA2752,"")</f>
        <v/>
      </c>
      <c r="AD2753" s="0" t="str">
        <f aca="false">IF(Y2753=1,"",IF(AND(Z2753=1,AB2753&lt;&gt;1),1,0))</f>
        <v/>
      </c>
      <c r="AE2753" s="0" t="str">
        <f aca="false">IF(Y2753=1,"",IF(AND(AA2753=1,AC2753&lt;&gt;1),1,0))</f>
        <v/>
      </c>
      <c r="AF2753" s="45" t="str">
        <f aca="false">IF(AND(E2753&gt;0,Y2753&lt;1,NOT(AND(C2754=C2753,Y2754=Y2753+1))),INDEX(DATAS,Y2753+1),"")</f>
        <v/>
      </c>
      <c r="AG2753" s="45" t="str">
        <f aca="false">IF(AND(AA2753=1,Y2753&lt;1),IF(AND(C2754=C2753,Y2754=Y2753+1),IF(AA2754=1,"",INDEX(DATAS,Y2753+1)),INDEX(DATAS,Y2753+1)),"")</f>
        <v/>
      </c>
    </row>
    <row r="2754" customFormat="false" ht="15" hidden="false" customHeight="false" outlineLevel="0" collapsed="false">
      <c r="A2754" s="45" t="n">
        <v>46309</v>
      </c>
      <c r="B2754" s="0" t="n">
        <v>13</v>
      </c>
      <c r="C2754" s="0" t="n">
        <v>7110</v>
      </c>
      <c r="E2754" s="0" t="n">
        <v>0</v>
      </c>
      <c r="F2754" s="39" t="s">
        <v>1340</v>
      </c>
      <c r="I2754" s="39" t="s">
        <v>136</v>
      </c>
      <c r="U2754" s="0" t="n">
        <v>341</v>
      </c>
      <c r="V2754" s="0" t="n">
        <v>0</v>
      </c>
      <c r="W2754" s="39" t="n">
        <f aca="false">IF(I2754="Male",0,1)</f>
        <v>1</v>
      </c>
      <c r="X2754" s="39" t="n">
        <f aca="false">IF(OR(I2754="DNB",I2754="Dry DNB"),1,0)</f>
        <v>0</v>
      </c>
      <c r="Y2754" s="39" t="n">
        <f aca="false">MATCH(A2754,DATAS,0)</f>
        <v>1</v>
      </c>
      <c r="Z2754" s="39" t="n">
        <f aca="false">IF(AND(E2754&gt;0,OR(AND(B2754&gt;=1,B2754&lt;=6),B2754=10)),1,0)</f>
        <v>0</v>
      </c>
      <c r="AA2754" s="39" t="n">
        <f aca="false">IF(AND(E2754&gt;0,B2754=10),1,0)</f>
        <v>0</v>
      </c>
      <c r="AB2754" s="0" t="str">
        <f aca="false">IF(AND(C2753=C2754,Y2753=Y2754-1),Z2753,"")</f>
        <v/>
      </c>
      <c r="AC2754" s="0" t="str">
        <f aca="false">IF(AND(C2753=C2754,Y2753=Y2754-1),AA2753,"")</f>
        <v/>
      </c>
      <c r="AD2754" s="0" t="str">
        <f aca="false">IF(Y2754=1,"",IF(AND(Z2754=1,AB2754&lt;&gt;1),1,0))</f>
        <v/>
      </c>
      <c r="AE2754" s="0" t="str">
        <f aca="false">IF(Y2754=1,"",IF(AND(AA2754=1,AC2754&lt;&gt;1),1,0))</f>
        <v/>
      </c>
      <c r="AF2754" s="45" t="str">
        <f aca="false">IF(AND(E2754&gt;0,Y2754&lt;1,NOT(AND(C2755=C2754,Y2755=Y2754+1))),INDEX(DATAS,Y2754+1),"")</f>
        <v/>
      </c>
      <c r="AG2754" s="45" t="str">
        <f aca="false">IF(AND(AA2754=1,Y2754&lt;1),IF(AND(C2755=C2754,Y2755=Y2754+1),IF(AA2755=1,"",INDEX(DATAS,Y2754+1)),INDEX(DATAS,Y2754+1)),"")</f>
        <v/>
      </c>
    </row>
    <row r="2755" customFormat="false" ht="15" hidden="false" customHeight="false" outlineLevel="0" collapsed="false">
      <c r="A2755" s="45" t="n">
        <v>46309</v>
      </c>
      <c r="B2755" s="0" t="n">
        <v>13</v>
      </c>
      <c r="C2755" s="0" t="n">
        <v>7111</v>
      </c>
      <c r="E2755" s="0" t="n">
        <v>0</v>
      </c>
      <c r="F2755" s="39" t="s">
        <v>1340</v>
      </c>
      <c r="I2755" s="39" t="s">
        <v>136</v>
      </c>
      <c r="U2755" s="0" t="n">
        <v>341</v>
      </c>
      <c r="V2755" s="0" t="n">
        <v>0</v>
      </c>
      <c r="W2755" s="39" t="n">
        <f aca="false">IF(I2755="Male",0,1)</f>
        <v>1</v>
      </c>
      <c r="X2755" s="39" t="n">
        <f aca="false">IF(OR(I2755="DNB",I2755="Dry DNB"),1,0)</f>
        <v>0</v>
      </c>
      <c r="Y2755" s="39" t="n">
        <f aca="false">MATCH(A2755,DATAS,0)</f>
        <v>1</v>
      </c>
      <c r="Z2755" s="39" t="n">
        <f aca="false">IF(AND(E2755&gt;0,OR(AND(B2755&gt;=1,B2755&lt;=6),B2755=10)),1,0)</f>
        <v>0</v>
      </c>
      <c r="AA2755" s="39" t="n">
        <f aca="false">IF(AND(E2755&gt;0,B2755=10),1,0)</f>
        <v>0</v>
      </c>
      <c r="AB2755" s="0" t="str">
        <f aca="false">IF(AND(C2754=C2755,Y2754=Y2755-1),Z2754,"")</f>
        <v/>
      </c>
      <c r="AC2755" s="0" t="str">
        <f aca="false">IF(AND(C2754=C2755,Y2754=Y2755-1),AA2754,"")</f>
        <v/>
      </c>
      <c r="AD2755" s="0" t="str">
        <f aca="false">IF(Y2755=1,"",IF(AND(Z2755=1,AB2755&lt;&gt;1),1,0))</f>
        <v/>
      </c>
      <c r="AE2755" s="0" t="str">
        <f aca="false">IF(Y2755=1,"",IF(AND(AA2755=1,AC2755&lt;&gt;1),1,0))</f>
        <v/>
      </c>
      <c r="AF2755" s="45" t="str">
        <f aca="false">IF(AND(E2755&gt;0,Y2755&lt;1,NOT(AND(C2756=C2755,Y2756=Y2755+1))),INDEX(DATAS,Y2755+1),"")</f>
        <v/>
      </c>
      <c r="AG2755" s="45" t="str">
        <f aca="false">IF(AND(AA2755=1,Y2755&lt;1),IF(AND(C2756=C2755,Y2756=Y2755+1),IF(AA2756=1,"",INDEX(DATAS,Y2755+1)),INDEX(DATAS,Y2755+1)),"")</f>
        <v/>
      </c>
    </row>
    <row r="2756" customFormat="false" ht="15" hidden="false" customHeight="false" outlineLevel="0" collapsed="false">
      <c r="A2756" s="45" t="n">
        <v>46309</v>
      </c>
      <c r="B2756" s="0" t="n">
        <v>13</v>
      </c>
      <c r="C2756" s="0" t="n">
        <v>7112</v>
      </c>
      <c r="E2756" s="0" t="n">
        <v>0</v>
      </c>
      <c r="F2756" s="39" t="s">
        <v>1340</v>
      </c>
      <c r="I2756" s="39" t="s">
        <v>136</v>
      </c>
      <c r="U2756" s="0" t="n">
        <v>341</v>
      </c>
      <c r="V2756" s="0" t="n">
        <v>0</v>
      </c>
      <c r="W2756" s="39" t="n">
        <f aca="false">IF(I2756="Male",0,1)</f>
        <v>1</v>
      </c>
      <c r="X2756" s="39" t="n">
        <f aca="false">IF(OR(I2756="DNB",I2756="Dry DNB"),1,0)</f>
        <v>0</v>
      </c>
      <c r="Y2756" s="39" t="n">
        <f aca="false">MATCH(A2756,DATAS,0)</f>
        <v>1</v>
      </c>
      <c r="Z2756" s="39" t="n">
        <f aca="false">IF(AND(E2756&gt;0,OR(AND(B2756&gt;=1,B2756&lt;=6),B2756=10)),1,0)</f>
        <v>0</v>
      </c>
      <c r="AA2756" s="39" t="n">
        <f aca="false">IF(AND(E2756&gt;0,B2756=10),1,0)</f>
        <v>0</v>
      </c>
      <c r="AB2756" s="0" t="str">
        <f aca="false">IF(AND(C2755=C2756,Y2755=Y2756-1),Z2755,"")</f>
        <v/>
      </c>
      <c r="AC2756" s="0" t="str">
        <f aca="false">IF(AND(C2755=C2756,Y2755=Y2756-1),AA2755,"")</f>
        <v/>
      </c>
      <c r="AD2756" s="0" t="str">
        <f aca="false">IF(Y2756=1,"",IF(AND(Z2756=1,AB2756&lt;&gt;1),1,0))</f>
        <v/>
      </c>
      <c r="AE2756" s="0" t="str">
        <f aca="false">IF(Y2756=1,"",IF(AND(AA2756=1,AC2756&lt;&gt;1),1,0))</f>
        <v/>
      </c>
      <c r="AF2756" s="45" t="str">
        <f aca="false">IF(AND(E2756&gt;0,Y2756&lt;1,NOT(AND(C2757=C2756,Y2757=Y2756+1))),INDEX(DATAS,Y2756+1),"")</f>
        <v/>
      </c>
      <c r="AG2756" s="45" t="str">
        <f aca="false">IF(AND(AA2756=1,Y2756&lt;1),IF(AND(C2757=C2756,Y2757=Y2756+1),IF(AA2757=1,"",INDEX(DATAS,Y2756+1)),INDEX(DATAS,Y2756+1)),"")</f>
        <v/>
      </c>
    </row>
    <row r="2757" customFormat="false" ht="15" hidden="false" customHeight="false" outlineLevel="0" collapsed="false">
      <c r="A2757" s="45" t="n">
        <v>46309</v>
      </c>
      <c r="B2757" s="0" t="n">
        <v>13</v>
      </c>
      <c r="C2757" s="0" t="n">
        <v>7113</v>
      </c>
      <c r="E2757" s="0" t="n">
        <v>0</v>
      </c>
      <c r="F2757" s="39" t="s">
        <v>1341</v>
      </c>
      <c r="I2757" s="39" t="s">
        <v>136</v>
      </c>
      <c r="U2757" s="0" t="n">
        <v>340</v>
      </c>
      <c r="V2757" s="0" t="n">
        <v>0</v>
      </c>
      <c r="W2757" s="39" t="n">
        <f aca="false">IF(I2757="Male",0,1)</f>
        <v>1</v>
      </c>
      <c r="X2757" s="39" t="n">
        <f aca="false">IF(OR(I2757="DNB",I2757="Dry DNB"),1,0)</f>
        <v>0</v>
      </c>
      <c r="Y2757" s="39" t="n">
        <f aca="false">MATCH(A2757,DATAS,0)</f>
        <v>1</v>
      </c>
      <c r="Z2757" s="39" t="n">
        <f aca="false">IF(AND(E2757&gt;0,OR(AND(B2757&gt;=1,B2757&lt;=6),B2757=10)),1,0)</f>
        <v>0</v>
      </c>
      <c r="AA2757" s="39" t="n">
        <f aca="false">IF(AND(E2757&gt;0,B2757=10),1,0)</f>
        <v>0</v>
      </c>
      <c r="AB2757" s="0" t="str">
        <f aca="false">IF(AND(C2756=C2757,Y2756=Y2757-1),Z2756,"")</f>
        <v/>
      </c>
      <c r="AC2757" s="0" t="str">
        <f aca="false">IF(AND(C2756=C2757,Y2756=Y2757-1),AA2756,"")</f>
        <v/>
      </c>
      <c r="AD2757" s="0" t="str">
        <f aca="false">IF(Y2757=1,"",IF(AND(Z2757=1,AB2757&lt;&gt;1),1,0))</f>
        <v/>
      </c>
      <c r="AE2757" s="0" t="str">
        <f aca="false">IF(Y2757=1,"",IF(AND(AA2757=1,AC2757&lt;&gt;1),1,0))</f>
        <v/>
      </c>
      <c r="AF2757" s="45" t="str">
        <f aca="false">IF(AND(E2757&gt;0,Y2757&lt;1,NOT(AND(C2758=C2757,Y2758=Y2757+1))),INDEX(DATAS,Y2757+1),"")</f>
        <v/>
      </c>
      <c r="AG2757" s="45" t="str">
        <f aca="false">IF(AND(AA2757=1,Y2757&lt;1),IF(AND(C2758=C2757,Y2758=Y2757+1),IF(AA2758=1,"",INDEX(DATAS,Y2757+1)),INDEX(DATAS,Y2757+1)),"")</f>
        <v/>
      </c>
    </row>
    <row r="2758" customFormat="false" ht="15" hidden="false" customHeight="false" outlineLevel="0" collapsed="false">
      <c r="A2758" s="45" t="n">
        <v>46309</v>
      </c>
      <c r="B2758" s="0" t="n">
        <v>13</v>
      </c>
      <c r="C2758" s="0" t="n">
        <v>7114</v>
      </c>
      <c r="E2758" s="0" t="n">
        <v>0</v>
      </c>
      <c r="F2758" s="39" t="s">
        <v>1341</v>
      </c>
      <c r="I2758" s="39" t="s">
        <v>136</v>
      </c>
      <c r="U2758" s="0" t="n">
        <v>340</v>
      </c>
      <c r="V2758" s="0" t="n">
        <v>0</v>
      </c>
      <c r="W2758" s="39" t="n">
        <f aca="false">IF(I2758="Male",0,1)</f>
        <v>1</v>
      </c>
      <c r="X2758" s="39" t="n">
        <f aca="false">IF(OR(I2758="DNB",I2758="Dry DNB"),1,0)</f>
        <v>0</v>
      </c>
      <c r="Y2758" s="39" t="n">
        <f aca="false">MATCH(A2758,DATAS,0)</f>
        <v>1</v>
      </c>
      <c r="Z2758" s="39" t="n">
        <f aca="false">IF(AND(E2758&gt;0,OR(AND(B2758&gt;=1,B2758&lt;=6),B2758=10)),1,0)</f>
        <v>0</v>
      </c>
      <c r="AA2758" s="39" t="n">
        <f aca="false">IF(AND(E2758&gt;0,B2758=10),1,0)</f>
        <v>0</v>
      </c>
      <c r="AB2758" s="0" t="str">
        <f aca="false">IF(AND(C2757=C2758,Y2757=Y2758-1),Z2757,"")</f>
        <v/>
      </c>
      <c r="AC2758" s="0" t="str">
        <f aca="false">IF(AND(C2757=C2758,Y2757=Y2758-1),AA2757,"")</f>
        <v/>
      </c>
      <c r="AD2758" s="0" t="str">
        <f aca="false">IF(Y2758=1,"",IF(AND(Z2758=1,AB2758&lt;&gt;1),1,0))</f>
        <v/>
      </c>
      <c r="AE2758" s="0" t="str">
        <f aca="false">IF(Y2758=1,"",IF(AND(AA2758=1,AC2758&lt;&gt;1),1,0))</f>
        <v/>
      </c>
      <c r="AF2758" s="45" t="str">
        <f aca="false">IF(AND(E2758&gt;0,Y2758&lt;1,NOT(AND(C2759=C2758,Y2759=Y2758+1))),INDEX(DATAS,Y2758+1),"")</f>
        <v/>
      </c>
      <c r="AG2758" s="45" t="str">
        <f aca="false">IF(AND(AA2758=1,Y2758&lt;1),IF(AND(C2759=C2758,Y2759=Y2758+1),IF(AA2759=1,"",INDEX(DATAS,Y2758+1)),INDEX(DATAS,Y2758+1)),"")</f>
        <v/>
      </c>
    </row>
    <row r="2759" customFormat="false" ht="15" hidden="false" customHeight="false" outlineLevel="0" collapsed="false">
      <c r="A2759" s="45" t="n">
        <v>46309</v>
      </c>
      <c r="B2759" s="0" t="n">
        <v>13</v>
      </c>
      <c r="C2759" s="0" t="n">
        <v>7115</v>
      </c>
      <c r="E2759" s="0" t="n">
        <v>0</v>
      </c>
      <c r="F2759" s="39" t="s">
        <v>1342</v>
      </c>
      <c r="I2759" s="39" t="s">
        <v>136</v>
      </c>
      <c r="U2759" s="0" t="n">
        <v>339</v>
      </c>
      <c r="V2759" s="0" t="n">
        <v>0</v>
      </c>
      <c r="W2759" s="39" t="n">
        <f aca="false">IF(I2759="Male",0,1)</f>
        <v>1</v>
      </c>
      <c r="X2759" s="39" t="n">
        <f aca="false">IF(OR(I2759="DNB",I2759="Dry DNB"),1,0)</f>
        <v>0</v>
      </c>
      <c r="Y2759" s="39" t="n">
        <f aca="false">MATCH(A2759,DATAS,0)</f>
        <v>1</v>
      </c>
      <c r="Z2759" s="39" t="n">
        <f aca="false">IF(AND(E2759&gt;0,OR(AND(B2759&gt;=1,B2759&lt;=6),B2759=10)),1,0)</f>
        <v>0</v>
      </c>
      <c r="AA2759" s="39" t="n">
        <f aca="false">IF(AND(E2759&gt;0,B2759=10),1,0)</f>
        <v>0</v>
      </c>
      <c r="AB2759" s="0" t="str">
        <f aca="false">IF(AND(C2758=C2759,Y2758=Y2759-1),Z2758,"")</f>
        <v/>
      </c>
      <c r="AC2759" s="0" t="str">
        <f aca="false">IF(AND(C2758=C2759,Y2758=Y2759-1),AA2758,"")</f>
        <v/>
      </c>
      <c r="AD2759" s="0" t="str">
        <f aca="false">IF(Y2759=1,"",IF(AND(Z2759=1,AB2759&lt;&gt;1),1,0))</f>
        <v/>
      </c>
      <c r="AE2759" s="0" t="str">
        <f aca="false">IF(Y2759=1,"",IF(AND(AA2759=1,AC2759&lt;&gt;1),1,0))</f>
        <v/>
      </c>
      <c r="AF2759" s="45" t="str">
        <f aca="false">IF(AND(E2759&gt;0,Y2759&lt;1,NOT(AND(C2760=C2759,Y2760=Y2759+1))),INDEX(DATAS,Y2759+1),"")</f>
        <v/>
      </c>
      <c r="AG2759" s="45" t="str">
        <f aca="false">IF(AND(AA2759=1,Y2759&lt;1),IF(AND(C2760=C2759,Y2760=Y2759+1),IF(AA2760=1,"",INDEX(DATAS,Y2759+1)),INDEX(DATAS,Y2759+1)),"")</f>
        <v/>
      </c>
    </row>
    <row r="2760" customFormat="false" ht="15" hidden="false" customHeight="false" outlineLevel="0" collapsed="false">
      <c r="A2760" s="45" t="n">
        <v>46309</v>
      </c>
      <c r="B2760" s="0" t="n">
        <v>13</v>
      </c>
      <c r="C2760" s="0" t="n">
        <v>7117</v>
      </c>
      <c r="E2760" s="0" t="n">
        <v>0</v>
      </c>
      <c r="F2760" s="39" t="s">
        <v>1342</v>
      </c>
      <c r="I2760" s="39" t="s">
        <v>136</v>
      </c>
      <c r="U2760" s="0" t="n">
        <v>339</v>
      </c>
      <c r="V2760" s="0" t="n">
        <v>0</v>
      </c>
      <c r="W2760" s="39" t="n">
        <f aca="false">IF(I2760="Male",0,1)</f>
        <v>1</v>
      </c>
      <c r="X2760" s="39" t="n">
        <f aca="false">IF(OR(I2760="DNB",I2760="Dry DNB"),1,0)</f>
        <v>0</v>
      </c>
      <c r="Y2760" s="39" t="n">
        <f aca="false">MATCH(A2760,DATAS,0)</f>
        <v>1</v>
      </c>
      <c r="Z2760" s="39" t="n">
        <f aca="false">IF(AND(E2760&gt;0,OR(AND(B2760&gt;=1,B2760&lt;=6),B2760=10)),1,0)</f>
        <v>0</v>
      </c>
      <c r="AA2760" s="39" t="n">
        <f aca="false">IF(AND(E2760&gt;0,B2760=10),1,0)</f>
        <v>0</v>
      </c>
      <c r="AB2760" s="0" t="str">
        <f aca="false">IF(AND(C2759=C2760,Y2759=Y2760-1),Z2759,"")</f>
        <v/>
      </c>
      <c r="AC2760" s="0" t="str">
        <f aca="false">IF(AND(C2759=C2760,Y2759=Y2760-1),AA2759,"")</f>
        <v/>
      </c>
      <c r="AD2760" s="0" t="str">
        <f aca="false">IF(Y2760=1,"",IF(AND(Z2760=1,AB2760&lt;&gt;1),1,0))</f>
        <v/>
      </c>
      <c r="AE2760" s="0" t="str">
        <f aca="false">IF(Y2760=1,"",IF(AND(AA2760=1,AC2760&lt;&gt;1),1,0))</f>
        <v/>
      </c>
      <c r="AF2760" s="45" t="str">
        <f aca="false">IF(AND(E2760&gt;0,Y2760&lt;1,NOT(AND(C2761=C2760,Y2761=Y2760+1))),INDEX(DATAS,Y2760+1),"")</f>
        <v/>
      </c>
      <c r="AG2760" s="45" t="str">
        <f aca="false">IF(AND(AA2760=1,Y2760&lt;1),IF(AND(C2761=C2760,Y2761=Y2760+1),IF(AA2761=1,"",INDEX(DATAS,Y2760+1)),INDEX(DATAS,Y2760+1)),"")</f>
        <v/>
      </c>
    </row>
    <row r="2761" customFormat="false" ht="15" hidden="false" customHeight="false" outlineLevel="0" collapsed="false">
      <c r="A2761" s="45" t="n">
        <v>46309</v>
      </c>
      <c r="B2761" s="0" t="n">
        <v>13</v>
      </c>
      <c r="C2761" s="0" t="n">
        <v>7118</v>
      </c>
      <c r="E2761" s="0" t="n">
        <v>0</v>
      </c>
      <c r="F2761" s="39" t="s">
        <v>1342</v>
      </c>
      <c r="I2761" s="39" t="s">
        <v>136</v>
      </c>
      <c r="U2761" s="0" t="n">
        <v>339</v>
      </c>
      <c r="V2761" s="0" t="n">
        <v>0</v>
      </c>
      <c r="W2761" s="39" t="n">
        <f aca="false">IF(I2761="Male",0,1)</f>
        <v>1</v>
      </c>
      <c r="X2761" s="39" t="n">
        <f aca="false">IF(OR(I2761="DNB",I2761="Dry DNB"),1,0)</f>
        <v>0</v>
      </c>
      <c r="Y2761" s="39" t="n">
        <f aca="false">MATCH(A2761,DATAS,0)</f>
        <v>1</v>
      </c>
      <c r="Z2761" s="39" t="n">
        <f aca="false">IF(AND(E2761&gt;0,OR(AND(B2761&gt;=1,B2761&lt;=6),B2761=10)),1,0)</f>
        <v>0</v>
      </c>
      <c r="AA2761" s="39" t="n">
        <f aca="false">IF(AND(E2761&gt;0,B2761=10),1,0)</f>
        <v>0</v>
      </c>
      <c r="AB2761" s="0" t="str">
        <f aca="false">IF(AND(C2760=C2761,Y2760=Y2761-1),Z2760,"")</f>
        <v/>
      </c>
      <c r="AC2761" s="0" t="str">
        <f aca="false">IF(AND(C2760=C2761,Y2760=Y2761-1),AA2760,"")</f>
        <v/>
      </c>
      <c r="AD2761" s="0" t="str">
        <f aca="false">IF(Y2761=1,"",IF(AND(Z2761=1,AB2761&lt;&gt;1),1,0))</f>
        <v/>
      </c>
      <c r="AE2761" s="0" t="str">
        <f aca="false">IF(Y2761=1,"",IF(AND(AA2761=1,AC2761&lt;&gt;1),1,0))</f>
        <v/>
      </c>
      <c r="AF2761" s="45" t="str">
        <f aca="false">IF(AND(E2761&gt;0,Y2761&lt;1,NOT(AND(C2762=C2761,Y2762=Y2761+1))),INDEX(DATAS,Y2761+1),"")</f>
        <v/>
      </c>
      <c r="AG2761" s="45" t="str">
        <f aca="false">IF(AND(AA2761=1,Y2761&lt;1),IF(AND(C2762=C2761,Y2762=Y2761+1),IF(AA2762=1,"",INDEX(DATAS,Y2761+1)),INDEX(DATAS,Y2761+1)),"")</f>
        <v/>
      </c>
    </row>
    <row r="2762" customFormat="false" ht="15" hidden="false" customHeight="false" outlineLevel="0" collapsed="false">
      <c r="A2762" s="45" t="n">
        <v>46309</v>
      </c>
      <c r="B2762" s="0" t="n">
        <v>13</v>
      </c>
      <c r="C2762" s="0" t="n">
        <v>7119</v>
      </c>
      <c r="E2762" s="0" t="n">
        <v>0</v>
      </c>
      <c r="F2762" s="39" t="s">
        <v>1342</v>
      </c>
      <c r="I2762" s="39" t="s">
        <v>136</v>
      </c>
      <c r="U2762" s="0" t="n">
        <v>339</v>
      </c>
      <c r="V2762" s="0" t="n">
        <v>0</v>
      </c>
      <c r="W2762" s="39" t="n">
        <f aca="false">IF(I2762="Male",0,1)</f>
        <v>1</v>
      </c>
      <c r="X2762" s="39" t="n">
        <f aca="false">IF(OR(I2762="DNB",I2762="Dry DNB"),1,0)</f>
        <v>0</v>
      </c>
      <c r="Y2762" s="39" t="n">
        <f aca="false">MATCH(A2762,DATAS,0)</f>
        <v>1</v>
      </c>
      <c r="Z2762" s="39" t="n">
        <f aca="false">IF(AND(E2762&gt;0,OR(AND(B2762&gt;=1,B2762&lt;=6),B2762=10)),1,0)</f>
        <v>0</v>
      </c>
      <c r="AA2762" s="39" t="n">
        <f aca="false">IF(AND(E2762&gt;0,B2762=10),1,0)</f>
        <v>0</v>
      </c>
      <c r="AB2762" s="0" t="str">
        <f aca="false">IF(AND(C2761=C2762,Y2761=Y2762-1),Z2761,"")</f>
        <v/>
      </c>
      <c r="AC2762" s="0" t="str">
        <f aca="false">IF(AND(C2761=C2762,Y2761=Y2762-1),AA2761,"")</f>
        <v/>
      </c>
      <c r="AD2762" s="0" t="str">
        <f aca="false">IF(Y2762=1,"",IF(AND(Z2762=1,AB2762&lt;&gt;1),1,0))</f>
        <v/>
      </c>
      <c r="AE2762" s="0" t="str">
        <f aca="false">IF(Y2762=1,"",IF(AND(AA2762=1,AC2762&lt;&gt;1),1,0))</f>
        <v/>
      </c>
      <c r="AF2762" s="45" t="str">
        <f aca="false">IF(AND(E2762&gt;0,Y2762&lt;1,NOT(AND(C2763=C2762,Y2763=Y2762+1))),INDEX(DATAS,Y2762+1),"")</f>
        <v/>
      </c>
      <c r="AG2762" s="45" t="str">
        <f aca="false">IF(AND(AA2762=1,Y2762&lt;1),IF(AND(C2763=C2762,Y2763=Y2762+1),IF(AA2763=1,"",INDEX(DATAS,Y2762+1)),INDEX(DATAS,Y2762+1)),"")</f>
        <v/>
      </c>
    </row>
    <row r="2763" customFormat="false" ht="15" hidden="false" customHeight="false" outlineLevel="0" collapsed="false">
      <c r="A2763" s="45" t="n">
        <v>46309</v>
      </c>
      <c r="B2763" s="0" t="n">
        <v>13</v>
      </c>
      <c r="C2763" s="0" t="n">
        <v>7120</v>
      </c>
      <c r="E2763" s="0" t="n">
        <v>0</v>
      </c>
      <c r="F2763" s="39" t="s">
        <v>1343</v>
      </c>
      <c r="I2763" s="39" t="s">
        <v>136</v>
      </c>
      <c r="U2763" s="0" t="n">
        <v>338</v>
      </c>
      <c r="V2763" s="0" t="n">
        <v>0</v>
      </c>
      <c r="W2763" s="39" t="n">
        <f aca="false">IF(I2763="Male",0,1)</f>
        <v>1</v>
      </c>
      <c r="X2763" s="39" t="n">
        <f aca="false">IF(OR(I2763="DNB",I2763="Dry DNB"),1,0)</f>
        <v>0</v>
      </c>
      <c r="Y2763" s="39" t="n">
        <f aca="false">MATCH(A2763,DATAS,0)</f>
        <v>1</v>
      </c>
      <c r="Z2763" s="39" t="n">
        <f aca="false">IF(AND(E2763&gt;0,OR(AND(B2763&gt;=1,B2763&lt;=6),B2763=10)),1,0)</f>
        <v>0</v>
      </c>
      <c r="AA2763" s="39" t="n">
        <f aca="false">IF(AND(E2763&gt;0,B2763=10),1,0)</f>
        <v>0</v>
      </c>
      <c r="AB2763" s="0" t="str">
        <f aca="false">IF(AND(C2762=C2763,Y2762=Y2763-1),Z2762,"")</f>
        <v/>
      </c>
      <c r="AC2763" s="0" t="str">
        <f aca="false">IF(AND(C2762=C2763,Y2762=Y2763-1),AA2762,"")</f>
        <v/>
      </c>
      <c r="AD2763" s="0" t="str">
        <f aca="false">IF(Y2763=1,"",IF(AND(Z2763=1,AB2763&lt;&gt;1),1,0))</f>
        <v/>
      </c>
      <c r="AE2763" s="0" t="str">
        <f aca="false">IF(Y2763=1,"",IF(AND(AA2763=1,AC2763&lt;&gt;1),1,0))</f>
        <v/>
      </c>
      <c r="AF2763" s="45" t="str">
        <f aca="false">IF(AND(E2763&gt;0,Y2763&lt;1,NOT(AND(C2764=C2763,Y2764=Y2763+1))),INDEX(DATAS,Y2763+1),"")</f>
        <v/>
      </c>
      <c r="AG2763" s="45" t="str">
        <f aca="false">IF(AND(AA2763=1,Y2763&lt;1),IF(AND(C2764=C2763,Y2764=Y2763+1),IF(AA2764=1,"",INDEX(DATAS,Y2763+1)),INDEX(DATAS,Y2763+1)),"")</f>
        <v/>
      </c>
    </row>
    <row r="2764" customFormat="false" ht="15" hidden="false" customHeight="false" outlineLevel="0" collapsed="false">
      <c r="A2764" s="45" t="n">
        <v>46309</v>
      </c>
      <c r="B2764" s="0" t="n">
        <v>13</v>
      </c>
      <c r="C2764" s="0" t="n">
        <v>7122</v>
      </c>
      <c r="E2764" s="0" t="n">
        <v>0</v>
      </c>
      <c r="F2764" s="39" t="s">
        <v>1343</v>
      </c>
      <c r="I2764" s="39" t="s">
        <v>136</v>
      </c>
      <c r="U2764" s="0" t="n">
        <v>338</v>
      </c>
      <c r="V2764" s="0" t="n">
        <v>0</v>
      </c>
      <c r="W2764" s="39" t="n">
        <f aca="false">IF(I2764="Male",0,1)</f>
        <v>1</v>
      </c>
      <c r="X2764" s="39" t="n">
        <f aca="false">IF(OR(I2764="DNB",I2764="Dry DNB"),1,0)</f>
        <v>0</v>
      </c>
      <c r="Y2764" s="39" t="n">
        <f aca="false">MATCH(A2764,DATAS,0)</f>
        <v>1</v>
      </c>
      <c r="Z2764" s="39" t="n">
        <f aca="false">IF(AND(E2764&gt;0,OR(AND(B2764&gt;=1,B2764&lt;=6),B2764=10)),1,0)</f>
        <v>0</v>
      </c>
      <c r="AA2764" s="39" t="n">
        <f aca="false">IF(AND(E2764&gt;0,B2764=10),1,0)</f>
        <v>0</v>
      </c>
      <c r="AB2764" s="0" t="str">
        <f aca="false">IF(AND(C2763=C2764,Y2763=Y2764-1),Z2763,"")</f>
        <v/>
      </c>
      <c r="AC2764" s="0" t="str">
        <f aca="false">IF(AND(C2763=C2764,Y2763=Y2764-1),AA2763,"")</f>
        <v/>
      </c>
      <c r="AD2764" s="0" t="str">
        <f aca="false">IF(Y2764=1,"",IF(AND(Z2764=1,AB2764&lt;&gt;1),1,0))</f>
        <v/>
      </c>
      <c r="AE2764" s="0" t="str">
        <f aca="false">IF(Y2764=1,"",IF(AND(AA2764=1,AC2764&lt;&gt;1),1,0))</f>
        <v/>
      </c>
      <c r="AF2764" s="45" t="str">
        <f aca="false">IF(AND(E2764&gt;0,Y2764&lt;1,NOT(AND(C2765=C2764,Y2765=Y2764+1))),INDEX(DATAS,Y2764+1),"")</f>
        <v/>
      </c>
      <c r="AG2764" s="45" t="str">
        <f aca="false">IF(AND(AA2764=1,Y2764&lt;1),IF(AND(C2765=C2764,Y2765=Y2764+1),IF(AA2765=1,"",INDEX(DATAS,Y2764+1)),INDEX(DATAS,Y2764+1)),"")</f>
        <v/>
      </c>
    </row>
    <row r="2765" customFormat="false" ht="15" hidden="false" customHeight="false" outlineLevel="0" collapsed="false">
      <c r="A2765" s="45" t="n">
        <v>46309</v>
      </c>
      <c r="B2765" s="0" t="n">
        <v>13</v>
      </c>
      <c r="C2765" s="0" t="n">
        <v>7123</v>
      </c>
      <c r="E2765" s="0" t="n">
        <v>0</v>
      </c>
      <c r="F2765" s="39" t="s">
        <v>1343</v>
      </c>
      <c r="I2765" s="39" t="s">
        <v>136</v>
      </c>
      <c r="U2765" s="0" t="n">
        <v>338</v>
      </c>
      <c r="V2765" s="0" t="n">
        <v>0</v>
      </c>
      <c r="W2765" s="39" t="n">
        <f aca="false">IF(I2765="Male",0,1)</f>
        <v>1</v>
      </c>
      <c r="X2765" s="39" t="n">
        <f aca="false">IF(OR(I2765="DNB",I2765="Dry DNB"),1,0)</f>
        <v>0</v>
      </c>
      <c r="Y2765" s="39" t="n">
        <f aca="false">MATCH(A2765,DATAS,0)</f>
        <v>1</v>
      </c>
      <c r="Z2765" s="39" t="n">
        <f aca="false">IF(AND(E2765&gt;0,OR(AND(B2765&gt;=1,B2765&lt;=6),B2765=10)),1,0)</f>
        <v>0</v>
      </c>
      <c r="AA2765" s="39" t="n">
        <f aca="false">IF(AND(E2765&gt;0,B2765=10),1,0)</f>
        <v>0</v>
      </c>
      <c r="AB2765" s="0" t="str">
        <f aca="false">IF(AND(C2764=C2765,Y2764=Y2765-1),Z2764,"")</f>
        <v/>
      </c>
      <c r="AC2765" s="0" t="str">
        <f aca="false">IF(AND(C2764=C2765,Y2764=Y2765-1),AA2764,"")</f>
        <v/>
      </c>
      <c r="AD2765" s="0" t="str">
        <f aca="false">IF(Y2765=1,"",IF(AND(Z2765=1,AB2765&lt;&gt;1),1,0))</f>
        <v/>
      </c>
      <c r="AE2765" s="0" t="str">
        <f aca="false">IF(Y2765=1,"",IF(AND(AA2765=1,AC2765&lt;&gt;1),1,0))</f>
        <v/>
      </c>
      <c r="AF2765" s="45" t="str">
        <f aca="false">IF(AND(E2765&gt;0,Y2765&lt;1,NOT(AND(C2766=C2765,Y2766=Y2765+1))),INDEX(DATAS,Y2765+1),"")</f>
        <v/>
      </c>
      <c r="AG2765" s="45" t="str">
        <f aca="false">IF(AND(AA2765=1,Y2765&lt;1),IF(AND(C2766=C2765,Y2766=Y2765+1),IF(AA2766=1,"",INDEX(DATAS,Y2765+1)),INDEX(DATAS,Y2765+1)),"")</f>
        <v/>
      </c>
    </row>
    <row r="2766" customFormat="false" ht="15" hidden="false" customHeight="false" outlineLevel="0" collapsed="false">
      <c r="A2766" s="45" t="n">
        <v>46309</v>
      </c>
      <c r="B2766" s="0" t="n">
        <v>13</v>
      </c>
      <c r="C2766" s="0" t="n">
        <v>7126</v>
      </c>
      <c r="E2766" s="0" t="n">
        <v>0</v>
      </c>
      <c r="F2766" s="39" t="s">
        <v>1344</v>
      </c>
      <c r="I2766" s="39" t="s">
        <v>136</v>
      </c>
      <c r="U2766" s="0" t="n">
        <v>336</v>
      </c>
      <c r="V2766" s="0" t="n">
        <v>0</v>
      </c>
      <c r="W2766" s="39" t="n">
        <f aca="false">IF(I2766="Male",0,1)</f>
        <v>1</v>
      </c>
      <c r="X2766" s="39" t="n">
        <f aca="false">IF(OR(I2766="DNB",I2766="Dry DNB"),1,0)</f>
        <v>0</v>
      </c>
      <c r="Y2766" s="39" t="n">
        <f aca="false">MATCH(A2766,DATAS,0)</f>
        <v>1</v>
      </c>
      <c r="Z2766" s="39" t="n">
        <f aca="false">IF(AND(E2766&gt;0,OR(AND(B2766&gt;=1,B2766&lt;=6),B2766=10)),1,0)</f>
        <v>0</v>
      </c>
      <c r="AA2766" s="39" t="n">
        <f aca="false">IF(AND(E2766&gt;0,B2766=10),1,0)</f>
        <v>0</v>
      </c>
      <c r="AB2766" s="0" t="str">
        <f aca="false">IF(AND(C2765=C2766,Y2765=Y2766-1),Z2765,"")</f>
        <v/>
      </c>
      <c r="AC2766" s="0" t="str">
        <f aca="false">IF(AND(C2765=C2766,Y2765=Y2766-1),AA2765,"")</f>
        <v/>
      </c>
      <c r="AD2766" s="0" t="str">
        <f aca="false">IF(Y2766=1,"",IF(AND(Z2766=1,AB2766&lt;&gt;1),1,0))</f>
        <v/>
      </c>
      <c r="AE2766" s="0" t="str">
        <f aca="false">IF(Y2766=1,"",IF(AND(AA2766=1,AC2766&lt;&gt;1),1,0))</f>
        <v/>
      </c>
      <c r="AF2766" s="45" t="str">
        <f aca="false">IF(AND(E2766&gt;0,Y2766&lt;1,NOT(AND(C2767=C2766,Y2767=Y2766+1))),INDEX(DATAS,Y2766+1),"")</f>
        <v/>
      </c>
      <c r="AG2766" s="45" t="str">
        <f aca="false">IF(AND(AA2766=1,Y2766&lt;1),IF(AND(C2767=C2766,Y2767=Y2766+1),IF(AA2767=1,"",INDEX(DATAS,Y2766+1)),INDEX(DATAS,Y2766+1)),"")</f>
        <v/>
      </c>
    </row>
    <row r="2767" customFormat="false" ht="15" hidden="false" customHeight="false" outlineLevel="0" collapsed="false">
      <c r="A2767" s="45" t="n">
        <v>46309</v>
      </c>
      <c r="B2767" s="0" t="n">
        <v>13</v>
      </c>
      <c r="C2767" s="0" t="n">
        <v>7127</v>
      </c>
      <c r="E2767" s="0" t="n">
        <v>0</v>
      </c>
      <c r="F2767" s="39" t="s">
        <v>1345</v>
      </c>
      <c r="I2767" s="39" t="s">
        <v>136</v>
      </c>
      <c r="U2767" s="0" t="n">
        <v>335</v>
      </c>
      <c r="V2767" s="0" t="n">
        <v>0</v>
      </c>
      <c r="W2767" s="39" t="n">
        <f aca="false">IF(I2767="Male",0,1)</f>
        <v>1</v>
      </c>
      <c r="X2767" s="39" t="n">
        <f aca="false">IF(OR(I2767="DNB",I2767="Dry DNB"),1,0)</f>
        <v>0</v>
      </c>
      <c r="Y2767" s="39" t="n">
        <f aca="false">MATCH(A2767,DATAS,0)</f>
        <v>1</v>
      </c>
      <c r="Z2767" s="39" t="n">
        <f aca="false">IF(AND(E2767&gt;0,OR(AND(B2767&gt;=1,B2767&lt;=6),B2767=10)),1,0)</f>
        <v>0</v>
      </c>
      <c r="AA2767" s="39" t="n">
        <f aca="false">IF(AND(E2767&gt;0,B2767=10),1,0)</f>
        <v>0</v>
      </c>
      <c r="AB2767" s="0" t="str">
        <f aca="false">IF(AND(C2766=C2767,Y2766=Y2767-1),Z2766,"")</f>
        <v/>
      </c>
      <c r="AC2767" s="0" t="str">
        <f aca="false">IF(AND(C2766=C2767,Y2766=Y2767-1),AA2766,"")</f>
        <v/>
      </c>
      <c r="AD2767" s="0" t="str">
        <f aca="false">IF(Y2767=1,"",IF(AND(Z2767=1,AB2767&lt;&gt;1),1,0))</f>
        <v/>
      </c>
      <c r="AE2767" s="0" t="str">
        <f aca="false">IF(Y2767=1,"",IF(AND(AA2767=1,AC2767&lt;&gt;1),1,0))</f>
        <v/>
      </c>
      <c r="AF2767" s="45" t="str">
        <f aca="false">IF(AND(E2767&gt;0,Y2767&lt;1,NOT(AND(C2768=C2767,Y2768=Y2767+1))),INDEX(DATAS,Y2767+1),"")</f>
        <v/>
      </c>
      <c r="AG2767" s="45" t="str">
        <f aca="false">IF(AND(AA2767=1,Y2767&lt;1),IF(AND(C2768=C2767,Y2768=Y2767+1),IF(AA2768=1,"",INDEX(DATAS,Y2767+1)),INDEX(DATAS,Y2767+1)),"")</f>
        <v/>
      </c>
    </row>
    <row r="2768" customFormat="false" ht="15" hidden="false" customHeight="false" outlineLevel="0" collapsed="false">
      <c r="A2768" s="45" t="n">
        <v>46309</v>
      </c>
      <c r="B2768" s="0" t="n">
        <v>13</v>
      </c>
      <c r="C2768" s="0" t="n">
        <v>7128</v>
      </c>
      <c r="E2768" s="0" t="n">
        <v>0</v>
      </c>
      <c r="F2768" s="39" t="s">
        <v>1345</v>
      </c>
      <c r="I2768" s="39" t="s">
        <v>136</v>
      </c>
      <c r="U2768" s="0" t="n">
        <v>335</v>
      </c>
      <c r="V2768" s="0" t="n">
        <v>0</v>
      </c>
      <c r="W2768" s="39" t="n">
        <f aca="false">IF(I2768="Male",0,1)</f>
        <v>1</v>
      </c>
      <c r="X2768" s="39" t="n">
        <f aca="false">IF(OR(I2768="DNB",I2768="Dry DNB"),1,0)</f>
        <v>0</v>
      </c>
      <c r="Y2768" s="39" t="n">
        <f aca="false">MATCH(A2768,DATAS,0)</f>
        <v>1</v>
      </c>
      <c r="Z2768" s="39" t="n">
        <f aca="false">IF(AND(E2768&gt;0,OR(AND(B2768&gt;=1,B2768&lt;=6),B2768=10)),1,0)</f>
        <v>0</v>
      </c>
      <c r="AA2768" s="39" t="n">
        <f aca="false">IF(AND(E2768&gt;0,B2768=10),1,0)</f>
        <v>0</v>
      </c>
      <c r="AB2768" s="0" t="str">
        <f aca="false">IF(AND(C2767=C2768,Y2767=Y2768-1),Z2767,"")</f>
        <v/>
      </c>
      <c r="AC2768" s="0" t="str">
        <f aca="false">IF(AND(C2767=C2768,Y2767=Y2768-1),AA2767,"")</f>
        <v/>
      </c>
      <c r="AD2768" s="0" t="str">
        <f aca="false">IF(Y2768=1,"",IF(AND(Z2768=1,AB2768&lt;&gt;1),1,0))</f>
        <v/>
      </c>
      <c r="AE2768" s="0" t="str">
        <f aca="false">IF(Y2768=1,"",IF(AND(AA2768=1,AC2768&lt;&gt;1),1,0))</f>
        <v/>
      </c>
      <c r="AF2768" s="45" t="str">
        <f aca="false">IF(AND(E2768&gt;0,Y2768&lt;1,NOT(AND(C2769=C2768,Y2769=Y2768+1))),INDEX(DATAS,Y2768+1),"")</f>
        <v/>
      </c>
      <c r="AG2768" s="45" t="str">
        <f aca="false">IF(AND(AA2768=1,Y2768&lt;1),IF(AND(C2769=C2768,Y2769=Y2768+1),IF(AA2769=1,"",INDEX(DATAS,Y2768+1)),INDEX(DATAS,Y2768+1)),"")</f>
        <v/>
      </c>
    </row>
    <row r="2769" customFormat="false" ht="15" hidden="false" customHeight="false" outlineLevel="0" collapsed="false">
      <c r="A2769" s="45" t="n">
        <v>46309</v>
      </c>
      <c r="B2769" s="0" t="n">
        <v>13</v>
      </c>
      <c r="C2769" s="0" t="n">
        <v>7129</v>
      </c>
      <c r="E2769" s="0" t="n">
        <v>0</v>
      </c>
      <c r="F2769" s="39" t="s">
        <v>1345</v>
      </c>
      <c r="I2769" s="39" t="s">
        <v>136</v>
      </c>
      <c r="U2769" s="0" t="n">
        <v>335</v>
      </c>
      <c r="V2769" s="0" t="n">
        <v>0</v>
      </c>
      <c r="W2769" s="39" t="n">
        <f aca="false">IF(I2769="Male",0,1)</f>
        <v>1</v>
      </c>
      <c r="X2769" s="39" t="n">
        <f aca="false">IF(OR(I2769="DNB",I2769="Dry DNB"),1,0)</f>
        <v>0</v>
      </c>
      <c r="Y2769" s="39" t="n">
        <f aca="false">MATCH(A2769,DATAS,0)</f>
        <v>1</v>
      </c>
      <c r="Z2769" s="39" t="n">
        <f aca="false">IF(AND(E2769&gt;0,OR(AND(B2769&gt;=1,B2769&lt;=6),B2769=10)),1,0)</f>
        <v>0</v>
      </c>
      <c r="AA2769" s="39" t="n">
        <f aca="false">IF(AND(E2769&gt;0,B2769=10),1,0)</f>
        <v>0</v>
      </c>
      <c r="AB2769" s="0" t="str">
        <f aca="false">IF(AND(C2768=C2769,Y2768=Y2769-1),Z2768,"")</f>
        <v/>
      </c>
      <c r="AC2769" s="0" t="str">
        <f aca="false">IF(AND(C2768=C2769,Y2768=Y2769-1),AA2768,"")</f>
        <v/>
      </c>
      <c r="AD2769" s="0" t="str">
        <f aca="false">IF(Y2769=1,"",IF(AND(Z2769=1,AB2769&lt;&gt;1),1,0))</f>
        <v/>
      </c>
      <c r="AE2769" s="0" t="str">
        <f aca="false">IF(Y2769=1,"",IF(AND(AA2769=1,AC2769&lt;&gt;1),1,0))</f>
        <v/>
      </c>
      <c r="AF2769" s="45" t="str">
        <f aca="false">IF(AND(E2769&gt;0,Y2769&lt;1,NOT(AND(C2770=C2769,Y2770=Y2769+1))),INDEX(DATAS,Y2769+1),"")</f>
        <v/>
      </c>
      <c r="AG2769" s="45" t="str">
        <f aca="false">IF(AND(AA2769=1,Y2769&lt;1),IF(AND(C2770=C2769,Y2770=Y2769+1),IF(AA2770=1,"",INDEX(DATAS,Y2769+1)),INDEX(DATAS,Y2769+1)),"")</f>
        <v/>
      </c>
    </row>
    <row r="2770" customFormat="false" ht="15" hidden="false" customHeight="false" outlineLevel="0" collapsed="false">
      <c r="A2770" s="45" t="n">
        <v>46309</v>
      </c>
      <c r="B2770" s="0" t="n">
        <v>13</v>
      </c>
      <c r="C2770" s="0" t="n">
        <v>7131</v>
      </c>
      <c r="E2770" s="0" t="n">
        <v>0</v>
      </c>
      <c r="F2770" s="39" t="s">
        <v>1346</v>
      </c>
      <c r="I2770" s="39" t="s">
        <v>136</v>
      </c>
      <c r="U2770" s="0" t="n">
        <v>333</v>
      </c>
      <c r="V2770" s="0" t="n">
        <v>0</v>
      </c>
      <c r="W2770" s="39" t="n">
        <f aca="false">IF(I2770="Male",0,1)</f>
        <v>1</v>
      </c>
      <c r="X2770" s="39" t="n">
        <f aca="false">IF(OR(I2770="DNB",I2770="Dry DNB"),1,0)</f>
        <v>0</v>
      </c>
      <c r="Y2770" s="39" t="n">
        <f aca="false">MATCH(A2770,DATAS,0)</f>
        <v>1</v>
      </c>
      <c r="Z2770" s="39" t="n">
        <f aca="false">IF(AND(E2770&gt;0,OR(AND(B2770&gt;=1,B2770&lt;=6),B2770=10)),1,0)</f>
        <v>0</v>
      </c>
      <c r="AA2770" s="39" t="n">
        <f aca="false">IF(AND(E2770&gt;0,B2770=10),1,0)</f>
        <v>0</v>
      </c>
      <c r="AB2770" s="0" t="str">
        <f aca="false">IF(AND(C2769=C2770,Y2769=Y2770-1),Z2769,"")</f>
        <v/>
      </c>
      <c r="AC2770" s="0" t="str">
        <f aca="false">IF(AND(C2769=C2770,Y2769=Y2770-1),AA2769,"")</f>
        <v/>
      </c>
      <c r="AD2770" s="0" t="str">
        <f aca="false">IF(Y2770=1,"",IF(AND(Z2770=1,AB2770&lt;&gt;1),1,0))</f>
        <v/>
      </c>
      <c r="AE2770" s="0" t="str">
        <f aca="false">IF(Y2770=1,"",IF(AND(AA2770=1,AC2770&lt;&gt;1),1,0))</f>
        <v/>
      </c>
      <c r="AF2770" s="45" t="str">
        <f aca="false">IF(AND(E2770&gt;0,Y2770&lt;1,NOT(AND(C2771=C2770,Y2771=Y2770+1))),INDEX(DATAS,Y2770+1),"")</f>
        <v/>
      </c>
      <c r="AG2770" s="45" t="str">
        <f aca="false">IF(AND(AA2770=1,Y2770&lt;1),IF(AND(C2771=C2770,Y2771=Y2770+1),IF(AA2771=1,"",INDEX(DATAS,Y2770+1)),INDEX(DATAS,Y2770+1)),"")</f>
        <v/>
      </c>
    </row>
    <row r="2771" customFormat="false" ht="15" hidden="false" customHeight="false" outlineLevel="0" collapsed="false">
      <c r="A2771" s="45" t="n">
        <v>46309</v>
      </c>
      <c r="B2771" s="0" t="n">
        <v>13</v>
      </c>
      <c r="C2771" s="0" t="n">
        <v>7132</v>
      </c>
      <c r="E2771" s="0" t="n">
        <v>0</v>
      </c>
      <c r="F2771" s="39" t="s">
        <v>1346</v>
      </c>
      <c r="I2771" s="39" t="s">
        <v>136</v>
      </c>
      <c r="U2771" s="0" t="n">
        <v>333</v>
      </c>
      <c r="V2771" s="0" t="n">
        <v>0</v>
      </c>
      <c r="W2771" s="39" t="n">
        <f aca="false">IF(I2771="Male",0,1)</f>
        <v>1</v>
      </c>
      <c r="X2771" s="39" t="n">
        <f aca="false">IF(OR(I2771="DNB",I2771="Dry DNB"),1,0)</f>
        <v>0</v>
      </c>
      <c r="Y2771" s="39" t="n">
        <f aca="false">MATCH(A2771,DATAS,0)</f>
        <v>1</v>
      </c>
      <c r="Z2771" s="39" t="n">
        <f aca="false">IF(AND(E2771&gt;0,OR(AND(B2771&gt;=1,B2771&lt;=6),B2771=10)),1,0)</f>
        <v>0</v>
      </c>
      <c r="AA2771" s="39" t="n">
        <f aca="false">IF(AND(E2771&gt;0,B2771=10),1,0)</f>
        <v>0</v>
      </c>
      <c r="AB2771" s="0" t="str">
        <f aca="false">IF(AND(C2770=C2771,Y2770=Y2771-1),Z2770,"")</f>
        <v/>
      </c>
      <c r="AC2771" s="0" t="str">
        <f aca="false">IF(AND(C2770=C2771,Y2770=Y2771-1),AA2770,"")</f>
        <v/>
      </c>
      <c r="AD2771" s="0" t="str">
        <f aca="false">IF(Y2771=1,"",IF(AND(Z2771=1,AB2771&lt;&gt;1),1,0))</f>
        <v/>
      </c>
      <c r="AE2771" s="0" t="str">
        <f aca="false">IF(Y2771=1,"",IF(AND(AA2771=1,AC2771&lt;&gt;1),1,0))</f>
        <v/>
      </c>
      <c r="AF2771" s="45" t="str">
        <f aca="false">IF(AND(E2771&gt;0,Y2771&lt;1,NOT(AND(C2772=C2771,Y2772=Y2771+1))),INDEX(DATAS,Y2771+1),"")</f>
        <v/>
      </c>
      <c r="AG2771" s="45" t="str">
        <f aca="false">IF(AND(AA2771=1,Y2771&lt;1),IF(AND(C2772=C2771,Y2772=Y2771+1),IF(AA2772=1,"",INDEX(DATAS,Y2771+1)),INDEX(DATAS,Y2771+1)),"")</f>
        <v/>
      </c>
    </row>
    <row r="2772" customFormat="false" ht="15" hidden="false" customHeight="false" outlineLevel="0" collapsed="false">
      <c r="A2772" s="45" t="n">
        <v>46309</v>
      </c>
      <c r="B2772" s="0" t="n">
        <v>13</v>
      </c>
      <c r="C2772" s="0" t="n">
        <v>7133</v>
      </c>
      <c r="E2772" s="0" t="n">
        <v>0</v>
      </c>
      <c r="F2772" s="39" t="s">
        <v>1347</v>
      </c>
      <c r="I2772" s="39" t="s">
        <v>136</v>
      </c>
      <c r="U2772" s="0" t="n">
        <v>332</v>
      </c>
      <c r="V2772" s="0" t="n">
        <v>0</v>
      </c>
      <c r="W2772" s="39" t="n">
        <f aca="false">IF(I2772="Male",0,1)</f>
        <v>1</v>
      </c>
      <c r="X2772" s="39" t="n">
        <f aca="false">IF(OR(I2772="DNB",I2772="Dry DNB"),1,0)</f>
        <v>0</v>
      </c>
      <c r="Y2772" s="39" t="n">
        <f aca="false">MATCH(A2772,DATAS,0)</f>
        <v>1</v>
      </c>
      <c r="Z2772" s="39" t="n">
        <f aca="false">IF(AND(E2772&gt;0,OR(AND(B2772&gt;=1,B2772&lt;=6),B2772=10)),1,0)</f>
        <v>0</v>
      </c>
      <c r="AA2772" s="39" t="n">
        <f aca="false">IF(AND(E2772&gt;0,B2772=10),1,0)</f>
        <v>0</v>
      </c>
      <c r="AB2772" s="0" t="str">
        <f aca="false">IF(AND(C2771=C2772,Y2771=Y2772-1),Z2771,"")</f>
        <v/>
      </c>
      <c r="AC2772" s="0" t="str">
        <f aca="false">IF(AND(C2771=C2772,Y2771=Y2772-1),AA2771,"")</f>
        <v/>
      </c>
      <c r="AD2772" s="0" t="str">
        <f aca="false">IF(Y2772=1,"",IF(AND(Z2772=1,AB2772&lt;&gt;1),1,0))</f>
        <v/>
      </c>
      <c r="AE2772" s="0" t="str">
        <f aca="false">IF(Y2772=1,"",IF(AND(AA2772=1,AC2772&lt;&gt;1),1,0))</f>
        <v/>
      </c>
      <c r="AF2772" s="45" t="str">
        <f aca="false">IF(AND(E2772&gt;0,Y2772&lt;1,NOT(AND(C2773=C2772,Y2773=Y2772+1))),INDEX(DATAS,Y2772+1),"")</f>
        <v/>
      </c>
      <c r="AG2772" s="45" t="str">
        <f aca="false">IF(AND(AA2772=1,Y2772&lt;1),IF(AND(C2773=C2772,Y2773=Y2772+1),IF(AA2773=1,"",INDEX(DATAS,Y2772+1)),INDEX(DATAS,Y2772+1)),"")</f>
        <v/>
      </c>
    </row>
    <row r="2773" customFormat="false" ht="15" hidden="false" customHeight="false" outlineLevel="0" collapsed="false">
      <c r="A2773" s="45" t="n">
        <v>46309</v>
      </c>
      <c r="B2773" s="0" t="n">
        <v>13</v>
      </c>
      <c r="C2773" s="0" t="n">
        <v>7135</v>
      </c>
      <c r="E2773" s="0" t="n">
        <v>0</v>
      </c>
      <c r="F2773" s="39" t="s">
        <v>1347</v>
      </c>
      <c r="I2773" s="39" t="s">
        <v>136</v>
      </c>
      <c r="U2773" s="0" t="n">
        <v>332</v>
      </c>
      <c r="V2773" s="0" t="n">
        <v>0</v>
      </c>
      <c r="W2773" s="39" t="n">
        <f aca="false">IF(I2773="Male",0,1)</f>
        <v>1</v>
      </c>
      <c r="X2773" s="39" t="n">
        <f aca="false">IF(OR(I2773="DNB",I2773="Dry DNB"),1,0)</f>
        <v>0</v>
      </c>
      <c r="Y2773" s="39" t="n">
        <f aca="false">MATCH(A2773,DATAS,0)</f>
        <v>1</v>
      </c>
      <c r="Z2773" s="39" t="n">
        <f aca="false">IF(AND(E2773&gt;0,OR(AND(B2773&gt;=1,B2773&lt;=6),B2773=10)),1,0)</f>
        <v>0</v>
      </c>
      <c r="AA2773" s="39" t="n">
        <f aca="false">IF(AND(E2773&gt;0,B2773=10),1,0)</f>
        <v>0</v>
      </c>
      <c r="AB2773" s="0" t="str">
        <f aca="false">IF(AND(C2772=C2773,Y2772=Y2773-1),Z2772,"")</f>
        <v/>
      </c>
      <c r="AC2773" s="0" t="str">
        <f aca="false">IF(AND(C2772=C2773,Y2772=Y2773-1),AA2772,"")</f>
        <v/>
      </c>
      <c r="AD2773" s="0" t="str">
        <f aca="false">IF(Y2773=1,"",IF(AND(Z2773=1,AB2773&lt;&gt;1),1,0))</f>
        <v/>
      </c>
      <c r="AE2773" s="0" t="str">
        <f aca="false">IF(Y2773=1,"",IF(AND(AA2773=1,AC2773&lt;&gt;1),1,0))</f>
        <v/>
      </c>
      <c r="AF2773" s="45" t="str">
        <f aca="false">IF(AND(E2773&gt;0,Y2773&lt;1,NOT(AND(C2774=C2773,Y2774=Y2773+1))),INDEX(DATAS,Y2773+1),"")</f>
        <v/>
      </c>
      <c r="AG2773" s="45" t="str">
        <f aca="false">IF(AND(AA2773=1,Y2773&lt;1),IF(AND(C2774=C2773,Y2774=Y2773+1),IF(AA2774=1,"",INDEX(DATAS,Y2773+1)),INDEX(DATAS,Y2773+1)),"")</f>
        <v/>
      </c>
    </row>
    <row r="2774" customFormat="false" ht="15" hidden="false" customHeight="false" outlineLevel="0" collapsed="false">
      <c r="A2774" s="45" t="n">
        <v>46309</v>
      </c>
      <c r="B2774" s="0" t="n">
        <v>13</v>
      </c>
      <c r="C2774" s="0" t="n">
        <v>7137</v>
      </c>
      <c r="E2774" s="0" t="n">
        <v>0</v>
      </c>
      <c r="F2774" s="39" t="s">
        <v>1348</v>
      </c>
      <c r="I2774" s="39" t="s">
        <v>136</v>
      </c>
      <c r="U2774" s="0" t="n">
        <v>331</v>
      </c>
      <c r="V2774" s="0" t="n">
        <v>0</v>
      </c>
      <c r="W2774" s="39" t="n">
        <f aca="false">IF(I2774="Male",0,1)</f>
        <v>1</v>
      </c>
      <c r="X2774" s="39" t="n">
        <f aca="false">IF(OR(I2774="DNB",I2774="Dry DNB"),1,0)</f>
        <v>0</v>
      </c>
      <c r="Y2774" s="39" t="n">
        <f aca="false">MATCH(A2774,DATAS,0)</f>
        <v>1</v>
      </c>
      <c r="Z2774" s="39" t="n">
        <f aca="false">IF(AND(E2774&gt;0,OR(AND(B2774&gt;=1,B2774&lt;=6),B2774=10)),1,0)</f>
        <v>0</v>
      </c>
      <c r="AA2774" s="39" t="n">
        <f aca="false">IF(AND(E2774&gt;0,B2774=10),1,0)</f>
        <v>0</v>
      </c>
      <c r="AB2774" s="0" t="str">
        <f aca="false">IF(AND(C2773=C2774,Y2773=Y2774-1),Z2773,"")</f>
        <v/>
      </c>
      <c r="AC2774" s="0" t="str">
        <f aca="false">IF(AND(C2773=C2774,Y2773=Y2774-1),AA2773,"")</f>
        <v/>
      </c>
      <c r="AD2774" s="0" t="str">
        <f aca="false">IF(Y2774=1,"",IF(AND(Z2774=1,AB2774&lt;&gt;1),1,0))</f>
        <v/>
      </c>
      <c r="AE2774" s="0" t="str">
        <f aca="false">IF(Y2774=1,"",IF(AND(AA2774=1,AC2774&lt;&gt;1),1,0))</f>
        <v/>
      </c>
      <c r="AF2774" s="45" t="str">
        <f aca="false">IF(AND(E2774&gt;0,Y2774&lt;1,NOT(AND(C2775=C2774,Y2775=Y2774+1))),INDEX(DATAS,Y2774+1),"")</f>
        <v/>
      </c>
      <c r="AG2774" s="45" t="str">
        <f aca="false">IF(AND(AA2774=1,Y2774&lt;1),IF(AND(C2775=C2774,Y2775=Y2774+1),IF(AA2775=1,"",INDEX(DATAS,Y2774+1)),INDEX(DATAS,Y2774+1)),"")</f>
        <v/>
      </c>
    </row>
    <row r="2775" customFormat="false" ht="15" hidden="false" customHeight="false" outlineLevel="0" collapsed="false">
      <c r="A2775" s="45" t="n">
        <v>46309</v>
      </c>
      <c r="B2775" s="0" t="n">
        <v>13</v>
      </c>
      <c r="C2775" s="0" t="n">
        <v>7138</v>
      </c>
      <c r="E2775" s="0" t="n">
        <v>0</v>
      </c>
      <c r="F2775" s="39" t="s">
        <v>1348</v>
      </c>
      <c r="I2775" s="39" t="s">
        <v>136</v>
      </c>
      <c r="U2775" s="0" t="n">
        <v>331</v>
      </c>
      <c r="V2775" s="0" t="n">
        <v>0</v>
      </c>
      <c r="W2775" s="39" t="n">
        <f aca="false">IF(I2775="Male",0,1)</f>
        <v>1</v>
      </c>
      <c r="X2775" s="39" t="n">
        <f aca="false">IF(OR(I2775="DNB",I2775="Dry DNB"),1,0)</f>
        <v>0</v>
      </c>
      <c r="Y2775" s="39" t="n">
        <f aca="false">MATCH(A2775,DATAS,0)</f>
        <v>1</v>
      </c>
      <c r="Z2775" s="39" t="n">
        <f aca="false">IF(AND(E2775&gt;0,OR(AND(B2775&gt;=1,B2775&lt;=6),B2775=10)),1,0)</f>
        <v>0</v>
      </c>
      <c r="AA2775" s="39" t="n">
        <f aca="false">IF(AND(E2775&gt;0,B2775=10),1,0)</f>
        <v>0</v>
      </c>
      <c r="AB2775" s="0" t="str">
        <f aca="false">IF(AND(C2774=C2775,Y2774=Y2775-1),Z2774,"")</f>
        <v/>
      </c>
      <c r="AC2775" s="0" t="str">
        <f aca="false">IF(AND(C2774=C2775,Y2774=Y2775-1),AA2774,"")</f>
        <v/>
      </c>
      <c r="AD2775" s="0" t="str">
        <f aca="false">IF(Y2775=1,"",IF(AND(Z2775=1,AB2775&lt;&gt;1),1,0))</f>
        <v/>
      </c>
      <c r="AE2775" s="0" t="str">
        <f aca="false">IF(Y2775=1,"",IF(AND(AA2775=1,AC2775&lt;&gt;1),1,0))</f>
        <v/>
      </c>
      <c r="AF2775" s="45" t="str">
        <f aca="false">IF(AND(E2775&gt;0,Y2775&lt;1,NOT(AND(C2776=C2775,Y2776=Y2775+1))),INDEX(DATAS,Y2775+1),"")</f>
        <v/>
      </c>
      <c r="AG2775" s="45" t="str">
        <f aca="false">IF(AND(AA2775=1,Y2775&lt;1),IF(AND(C2776=C2775,Y2776=Y2775+1),IF(AA2776=1,"",INDEX(DATAS,Y2775+1)),INDEX(DATAS,Y2775+1)),"")</f>
        <v/>
      </c>
    </row>
    <row r="2776" customFormat="false" ht="15" hidden="false" customHeight="false" outlineLevel="0" collapsed="false">
      <c r="A2776" s="45" t="n">
        <v>46309</v>
      </c>
      <c r="B2776" s="0" t="n">
        <v>13</v>
      </c>
      <c r="C2776" s="0" t="n">
        <v>7139</v>
      </c>
      <c r="E2776" s="0" t="n">
        <v>0</v>
      </c>
      <c r="F2776" s="39" t="s">
        <v>1348</v>
      </c>
      <c r="I2776" s="39" t="s">
        <v>136</v>
      </c>
      <c r="U2776" s="0" t="n">
        <v>331</v>
      </c>
      <c r="V2776" s="0" t="n">
        <v>0</v>
      </c>
      <c r="W2776" s="39" t="n">
        <f aca="false">IF(I2776="Male",0,1)</f>
        <v>1</v>
      </c>
      <c r="X2776" s="39" t="n">
        <f aca="false">IF(OR(I2776="DNB",I2776="Dry DNB"),1,0)</f>
        <v>0</v>
      </c>
      <c r="Y2776" s="39" t="n">
        <f aca="false">MATCH(A2776,DATAS,0)</f>
        <v>1</v>
      </c>
      <c r="Z2776" s="39" t="n">
        <f aca="false">IF(AND(E2776&gt;0,OR(AND(B2776&gt;=1,B2776&lt;=6),B2776=10)),1,0)</f>
        <v>0</v>
      </c>
      <c r="AA2776" s="39" t="n">
        <f aca="false">IF(AND(E2776&gt;0,B2776=10),1,0)</f>
        <v>0</v>
      </c>
      <c r="AB2776" s="0" t="str">
        <f aca="false">IF(AND(C2775=C2776,Y2775=Y2776-1),Z2775,"")</f>
        <v/>
      </c>
      <c r="AC2776" s="0" t="str">
        <f aca="false">IF(AND(C2775=C2776,Y2775=Y2776-1),AA2775,"")</f>
        <v/>
      </c>
      <c r="AD2776" s="0" t="str">
        <f aca="false">IF(Y2776=1,"",IF(AND(Z2776=1,AB2776&lt;&gt;1),1,0))</f>
        <v/>
      </c>
      <c r="AE2776" s="0" t="str">
        <f aca="false">IF(Y2776=1,"",IF(AND(AA2776=1,AC2776&lt;&gt;1),1,0))</f>
        <v/>
      </c>
      <c r="AF2776" s="45" t="str">
        <f aca="false">IF(AND(E2776&gt;0,Y2776&lt;1,NOT(AND(C2777=C2776,Y2777=Y2776+1))),INDEX(DATAS,Y2776+1),"")</f>
        <v/>
      </c>
      <c r="AG2776" s="45" t="str">
        <f aca="false">IF(AND(AA2776=1,Y2776&lt;1),IF(AND(C2777=C2776,Y2777=Y2776+1),IF(AA2777=1,"",INDEX(DATAS,Y2776+1)),INDEX(DATAS,Y2776+1)),"")</f>
        <v/>
      </c>
    </row>
    <row r="2777" customFormat="false" ht="15" hidden="false" customHeight="false" outlineLevel="0" collapsed="false">
      <c r="A2777" s="45" t="n">
        <v>46309</v>
      </c>
      <c r="B2777" s="0" t="n">
        <v>13</v>
      </c>
      <c r="C2777" s="0" t="n">
        <v>7140</v>
      </c>
      <c r="E2777" s="0" t="n">
        <v>0</v>
      </c>
      <c r="F2777" s="39" t="s">
        <v>1348</v>
      </c>
      <c r="I2777" s="39" t="s">
        <v>136</v>
      </c>
      <c r="U2777" s="0" t="n">
        <v>331</v>
      </c>
      <c r="V2777" s="0" t="n">
        <v>0</v>
      </c>
      <c r="W2777" s="39" t="n">
        <f aca="false">IF(I2777="Male",0,1)</f>
        <v>1</v>
      </c>
      <c r="X2777" s="39" t="n">
        <f aca="false">IF(OR(I2777="DNB",I2777="Dry DNB"),1,0)</f>
        <v>0</v>
      </c>
      <c r="Y2777" s="39" t="n">
        <f aca="false">MATCH(A2777,DATAS,0)</f>
        <v>1</v>
      </c>
      <c r="Z2777" s="39" t="n">
        <f aca="false">IF(AND(E2777&gt;0,OR(AND(B2777&gt;=1,B2777&lt;=6),B2777=10)),1,0)</f>
        <v>0</v>
      </c>
      <c r="AA2777" s="39" t="n">
        <f aca="false">IF(AND(E2777&gt;0,B2777=10),1,0)</f>
        <v>0</v>
      </c>
      <c r="AB2777" s="0" t="str">
        <f aca="false">IF(AND(C2776=C2777,Y2776=Y2777-1),Z2776,"")</f>
        <v/>
      </c>
      <c r="AC2777" s="0" t="str">
        <f aca="false">IF(AND(C2776=C2777,Y2776=Y2777-1),AA2776,"")</f>
        <v/>
      </c>
      <c r="AD2777" s="0" t="str">
        <f aca="false">IF(Y2777=1,"",IF(AND(Z2777=1,AB2777&lt;&gt;1),1,0))</f>
        <v/>
      </c>
      <c r="AE2777" s="0" t="str">
        <f aca="false">IF(Y2777=1,"",IF(AND(AA2777=1,AC2777&lt;&gt;1),1,0))</f>
        <v/>
      </c>
      <c r="AF2777" s="45" t="str">
        <f aca="false">IF(AND(E2777&gt;0,Y2777&lt;1,NOT(AND(C2778=C2777,Y2778=Y2777+1))),INDEX(DATAS,Y2777+1),"")</f>
        <v/>
      </c>
      <c r="AG2777" s="45" t="str">
        <f aca="false">IF(AND(AA2777=1,Y2777&lt;1),IF(AND(C2778=C2777,Y2778=Y2777+1),IF(AA2778=1,"",INDEX(DATAS,Y2777+1)),INDEX(DATAS,Y2777+1)),"")</f>
        <v/>
      </c>
    </row>
    <row r="2778" customFormat="false" ht="15" hidden="false" customHeight="false" outlineLevel="0" collapsed="false">
      <c r="A2778" s="45" t="n">
        <v>46309</v>
      </c>
      <c r="B2778" s="0" t="n">
        <v>13</v>
      </c>
      <c r="C2778" s="0" t="n">
        <v>7141</v>
      </c>
      <c r="E2778" s="0" t="n">
        <v>0</v>
      </c>
      <c r="F2778" s="39" t="s">
        <v>1348</v>
      </c>
      <c r="I2778" s="39" t="s">
        <v>136</v>
      </c>
      <c r="U2778" s="0" t="n">
        <v>331</v>
      </c>
      <c r="V2778" s="0" t="n">
        <v>0</v>
      </c>
      <c r="W2778" s="39" t="n">
        <f aca="false">IF(I2778="Male",0,1)</f>
        <v>1</v>
      </c>
      <c r="X2778" s="39" t="n">
        <f aca="false">IF(OR(I2778="DNB",I2778="Dry DNB"),1,0)</f>
        <v>0</v>
      </c>
      <c r="Y2778" s="39" t="n">
        <f aca="false">MATCH(A2778,DATAS,0)</f>
        <v>1</v>
      </c>
      <c r="Z2778" s="39" t="n">
        <f aca="false">IF(AND(E2778&gt;0,OR(AND(B2778&gt;=1,B2778&lt;=6),B2778=10)),1,0)</f>
        <v>0</v>
      </c>
      <c r="AA2778" s="39" t="n">
        <f aca="false">IF(AND(E2778&gt;0,B2778=10),1,0)</f>
        <v>0</v>
      </c>
      <c r="AB2778" s="0" t="str">
        <f aca="false">IF(AND(C2777=C2778,Y2777=Y2778-1),Z2777,"")</f>
        <v/>
      </c>
      <c r="AC2778" s="0" t="str">
        <f aca="false">IF(AND(C2777=C2778,Y2777=Y2778-1),AA2777,"")</f>
        <v/>
      </c>
      <c r="AD2778" s="0" t="str">
        <f aca="false">IF(Y2778=1,"",IF(AND(Z2778=1,AB2778&lt;&gt;1),1,0))</f>
        <v/>
      </c>
      <c r="AE2778" s="0" t="str">
        <f aca="false">IF(Y2778=1,"",IF(AND(AA2778=1,AC2778&lt;&gt;1),1,0))</f>
        <v/>
      </c>
      <c r="AF2778" s="45" t="str">
        <f aca="false">IF(AND(E2778&gt;0,Y2778&lt;1,NOT(AND(C2779=C2778,Y2779=Y2778+1))),INDEX(DATAS,Y2778+1),"")</f>
        <v/>
      </c>
      <c r="AG2778" s="45" t="str">
        <f aca="false">IF(AND(AA2778=1,Y2778&lt;1),IF(AND(C2779=C2778,Y2779=Y2778+1),IF(AA2779=1,"",INDEX(DATAS,Y2778+1)),INDEX(DATAS,Y2778+1)),"")</f>
        <v/>
      </c>
    </row>
    <row r="2779" customFormat="false" ht="15" hidden="false" customHeight="false" outlineLevel="0" collapsed="false">
      <c r="A2779" s="45" t="n">
        <v>46309</v>
      </c>
      <c r="B2779" s="0" t="n">
        <v>13</v>
      </c>
      <c r="C2779" s="0" t="n">
        <v>7142</v>
      </c>
      <c r="E2779" s="0" t="n">
        <v>0</v>
      </c>
      <c r="F2779" s="39" t="s">
        <v>1349</v>
      </c>
      <c r="I2779" s="39" t="s">
        <v>136</v>
      </c>
      <c r="U2779" s="0" t="n">
        <v>330</v>
      </c>
      <c r="V2779" s="0" t="n">
        <v>0</v>
      </c>
      <c r="W2779" s="39" t="n">
        <f aca="false">IF(I2779="Male",0,1)</f>
        <v>1</v>
      </c>
      <c r="X2779" s="39" t="n">
        <f aca="false">IF(OR(I2779="DNB",I2779="Dry DNB"),1,0)</f>
        <v>0</v>
      </c>
      <c r="Y2779" s="39" t="n">
        <f aca="false">MATCH(A2779,DATAS,0)</f>
        <v>1</v>
      </c>
      <c r="Z2779" s="39" t="n">
        <f aca="false">IF(AND(E2779&gt;0,OR(AND(B2779&gt;=1,B2779&lt;=6),B2779=10)),1,0)</f>
        <v>0</v>
      </c>
      <c r="AA2779" s="39" t="n">
        <f aca="false">IF(AND(E2779&gt;0,B2779=10),1,0)</f>
        <v>0</v>
      </c>
      <c r="AB2779" s="0" t="str">
        <f aca="false">IF(AND(C2778=C2779,Y2778=Y2779-1),Z2778,"")</f>
        <v/>
      </c>
      <c r="AC2779" s="0" t="str">
        <f aca="false">IF(AND(C2778=C2779,Y2778=Y2779-1),AA2778,"")</f>
        <v/>
      </c>
      <c r="AD2779" s="0" t="str">
        <f aca="false">IF(Y2779=1,"",IF(AND(Z2779=1,AB2779&lt;&gt;1),1,0))</f>
        <v/>
      </c>
      <c r="AE2779" s="0" t="str">
        <f aca="false">IF(Y2779=1,"",IF(AND(AA2779=1,AC2779&lt;&gt;1),1,0))</f>
        <v/>
      </c>
      <c r="AF2779" s="45" t="str">
        <f aca="false">IF(AND(E2779&gt;0,Y2779&lt;1,NOT(AND(C2780=C2779,Y2780=Y2779+1))),INDEX(DATAS,Y2779+1),"")</f>
        <v/>
      </c>
      <c r="AG2779" s="45" t="str">
        <f aca="false">IF(AND(AA2779=1,Y2779&lt;1),IF(AND(C2780=C2779,Y2780=Y2779+1),IF(AA2780=1,"",INDEX(DATAS,Y2779+1)),INDEX(DATAS,Y2779+1)),"")</f>
        <v/>
      </c>
    </row>
    <row r="2780" customFormat="false" ht="15" hidden="false" customHeight="false" outlineLevel="0" collapsed="false">
      <c r="A2780" s="45" t="n">
        <v>46309</v>
      </c>
      <c r="B2780" s="0" t="n">
        <v>13</v>
      </c>
      <c r="C2780" s="0" t="n">
        <v>7143</v>
      </c>
      <c r="E2780" s="0" t="n">
        <v>0</v>
      </c>
      <c r="F2780" s="39" t="s">
        <v>1349</v>
      </c>
      <c r="I2780" s="39" t="s">
        <v>136</v>
      </c>
      <c r="U2780" s="0" t="n">
        <v>330</v>
      </c>
      <c r="V2780" s="0" t="n">
        <v>0</v>
      </c>
      <c r="W2780" s="39" t="n">
        <f aca="false">IF(I2780="Male",0,1)</f>
        <v>1</v>
      </c>
      <c r="X2780" s="39" t="n">
        <f aca="false">IF(OR(I2780="DNB",I2780="Dry DNB"),1,0)</f>
        <v>0</v>
      </c>
      <c r="Y2780" s="39" t="n">
        <f aca="false">MATCH(A2780,DATAS,0)</f>
        <v>1</v>
      </c>
      <c r="Z2780" s="39" t="n">
        <f aca="false">IF(AND(E2780&gt;0,OR(AND(B2780&gt;=1,B2780&lt;=6),B2780=10)),1,0)</f>
        <v>0</v>
      </c>
      <c r="AA2780" s="39" t="n">
        <f aca="false">IF(AND(E2780&gt;0,B2780=10),1,0)</f>
        <v>0</v>
      </c>
      <c r="AB2780" s="0" t="str">
        <f aca="false">IF(AND(C2779=C2780,Y2779=Y2780-1),Z2779,"")</f>
        <v/>
      </c>
      <c r="AC2780" s="0" t="str">
        <f aca="false">IF(AND(C2779=C2780,Y2779=Y2780-1),AA2779,"")</f>
        <v/>
      </c>
      <c r="AD2780" s="0" t="str">
        <f aca="false">IF(Y2780=1,"",IF(AND(Z2780=1,AB2780&lt;&gt;1),1,0))</f>
        <v/>
      </c>
      <c r="AE2780" s="0" t="str">
        <f aca="false">IF(Y2780=1,"",IF(AND(AA2780=1,AC2780&lt;&gt;1),1,0))</f>
        <v/>
      </c>
      <c r="AF2780" s="45" t="str">
        <f aca="false">IF(AND(E2780&gt;0,Y2780&lt;1,NOT(AND(C2781=C2780,Y2781=Y2780+1))),INDEX(DATAS,Y2780+1),"")</f>
        <v/>
      </c>
      <c r="AG2780" s="45" t="str">
        <f aca="false">IF(AND(AA2780=1,Y2780&lt;1),IF(AND(C2781=C2780,Y2781=Y2780+1),IF(AA2781=1,"",INDEX(DATAS,Y2780+1)),INDEX(DATAS,Y2780+1)),"")</f>
        <v/>
      </c>
    </row>
    <row r="2781" customFormat="false" ht="15" hidden="false" customHeight="false" outlineLevel="0" collapsed="false">
      <c r="A2781" s="45" t="n">
        <v>46309</v>
      </c>
      <c r="B2781" s="0" t="n">
        <v>13</v>
      </c>
      <c r="C2781" s="0" t="n">
        <v>7144</v>
      </c>
      <c r="E2781" s="0" t="n">
        <v>0</v>
      </c>
      <c r="F2781" s="39" t="s">
        <v>1349</v>
      </c>
      <c r="I2781" s="39" t="s">
        <v>136</v>
      </c>
      <c r="U2781" s="0" t="n">
        <v>330</v>
      </c>
      <c r="V2781" s="0" t="n">
        <v>0</v>
      </c>
      <c r="W2781" s="39" t="n">
        <f aca="false">IF(I2781="Male",0,1)</f>
        <v>1</v>
      </c>
      <c r="X2781" s="39" t="n">
        <f aca="false">IF(OR(I2781="DNB",I2781="Dry DNB"),1,0)</f>
        <v>0</v>
      </c>
      <c r="Y2781" s="39" t="n">
        <f aca="false">MATCH(A2781,DATAS,0)</f>
        <v>1</v>
      </c>
      <c r="Z2781" s="39" t="n">
        <f aca="false">IF(AND(E2781&gt;0,OR(AND(B2781&gt;=1,B2781&lt;=6),B2781=10)),1,0)</f>
        <v>0</v>
      </c>
      <c r="AA2781" s="39" t="n">
        <f aca="false">IF(AND(E2781&gt;0,B2781=10),1,0)</f>
        <v>0</v>
      </c>
      <c r="AB2781" s="0" t="str">
        <f aca="false">IF(AND(C2780=C2781,Y2780=Y2781-1),Z2780,"")</f>
        <v/>
      </c>
      <c r="AC2781" s="0" t="str">
        <f aca="false">IF(AND(C2780=C2781,Y2780=Y2781-1),AA2780,"")</f>
        <v/>
      </c>
      <c r="AD2781" s="0" t="str">
        <f aca="false">IF(Y2781=1,"",IF(AND(Z2781=1,AB2781&lt;&gt;1),1,0))</f>
        <v/>
      </c>
      <c r="AE2781" s="0" t="str">
        <f aca="false">IF(Y2781=1,"",IF(AND(AA2781=1,AC2781&lt;&gt;1),1,0))</f>
        <v/>
      </c>
      <c r="AF2781" s="45" t="str">
        <f aca="false">IF(AND(E2781&gt;0,Y2781&lt;1,NOT(AND(C2782=C2781,Y2782=Y2781+1))),INDEX(DATAS,Y2781+1),"")</f>
        <v/>
      </c>
      <c r="AG2781" s="45" t="str">
        <f aca="false">IF(AND(AA2781=1,Y2781&lt;1),IF(AND(C2782=C2781,Y2782=Y2781+1),IF(AA2782=1,"",INDEX(DATAS,Y2781+1)),INDEX(DATAS,Y2781+1)),"")</f>
        <v/>
      </c>
    </row>
    <row r="2782" customFormat="false" ht="15" hidden="false" customHeight="false" outlineLevel="0" collapsed="false">
      <c r="A2782" s="45" t="n">
        <v>46309</v>
      </c>
      <c r="B2782" s="0" t="n">
        <v>13</v>
      </c>
      <c r="C2782" s="0" t="n">
        <v>7146</v>
      </c>
      <c r="E2782" s="0" t="n">
        <v>0</v>
      </c>
      <c r="F2782" s="39" t="s">
        <v>1350</v>
      </c>
      <c r="I2782" s="39" t="s">
        <v>136</v>
      </c>
      <c r="U2782" s="0" t="n">
        <v>329</v>
      </c>
      <c r="V2782" s="0" t="n">
        <v>0</v>
      </c>
      <c r="W2782" s="39" t="n">
        <f aca="false">IF(I2782="Male",0,1)</f>
        <v>1</v>
      </c>
      <c r="X2782" s="39" t="n">
        <f aca="false">IF(OR(I2782="DNB",I2782="Dry DNB"),1,0)</f>
        <v>0</v>
      </c>
      <c r="Y2782" s="39" t="n">
        <f aca="false">MATCH(A2782,DATAS,0)</f>
        <v>1</v>
      </c>
      <c r="Z2782" s="39" t="n">
        <f aca="false">IF(AND(E2782&gt;0,OR(AND(B2782&gt;=1,B2782&lt;=6),B2782=10)),1,0)</f>
        <v>0</v>
      </c>
      <c r="AA2782" s="39" t="n">
        <f aca="false">IF(AND(E2782&gt;0,B2782=10),1,0)</f>
        <v>0</v>
      </c>
      <c r="AB2782" s="0" t="str">
        <f aca="false">IF(AND(C2781=C2782,Y2781=Y2782-1),Z2781,"")</f>
        <v/>
      </c>
      <c r="AC2782" s="0" t="str">
        <f aca="false">IF(AND(C2781=C2782,Y2781=Y2782-1),AA2781,"")</f>
        <v/>
      </c>
      <c r="AD2782" s="0" t="str">
        <f aca="false">IF(Y2782=1,"",IF(AND(Z2782=1,AB2782&lt;&gt;1),1,0))</f>
        <v/>
      </c>
      <c r="AE2782" s="0" t="str">
        <f aca="false">IF(Y2782=1,"",IF(AND(AA2782=1,AC2782&lt;&gt;1),1,0))</f>
        <v/>
      </c>
      <c r="AF2782" s="45" t="str">
        <f aca="false">IF(AND(E2782&gt;0,Y2782&lt;1,NOT(AND(C2783=C2782,Y2783=Y2782+1))),INDEX(DATAS,Y2782+1),"")</f>
        <v/>
      </c>
      <c r="AG2782" s="45" t="str">
        <f aca="false">IF(AND(AA2782=1,Y2782&lt;1),IF(AND(C2783=C2782,Y2783=Y2782+1),IF(AA2783=1,"",INDEX(DATAS,Y2782+1)),INDEX(DATAS,Y2782+1)),"")</f>
        <v/>
      </c>
    </row>
    <row r="2783" customFormat="false" ht="15" hidden="false" customHeight="false" outlineLevel="0" collapsed="false">
      <c r="A2783" s="45" t="n">
        <v>46309</v>
      </c>
      <c r="B2783" s="0" t="n">
        <v>13</v>
      </c>
      <c r="C2783" s="0" t="n">
        <v>7147</v>
      </c>
      <c r="E2783" s="0" t="n">
        <v>0</v>
      </c>
      <c r="F2783" s="39" t="s">
        <v>1350</v>
      </c>
      <c r="I2783" s="39" t="s">
        <v>136</v>
      </c>
      <c r="U2783" s="0" t="n">
        <v>329</v>
      </c>
      <c r="V2783" s="0" t="n">
        <v>0</v>
      </c>
      <c r="W2783" s="39" t="n">
        <f aca="false">IF(I2783="Male",0,1)</f>
        <v>1</v>
      </c>
      <c r="X2783" s="39" t="n">
        <f aca="false">IF(OR(I2783="DNB",I2783="Dry DNB"),1,0)</f>
        <v>0</v>
      </c>
      <c r="Y2783" s="39" t="n">
        <f aca="false">MATCH(A2783,DATAS,0)</f>
        <v>1</v>
      </c>
      <c r="Z2783" s="39" t="n">
        <f aca="false">IF(AND(E2783&gt;0,OR(AND(B2783&gt;=1,B2783&lt;=6),B2783=10)),1,0)</f>
        <v>0</v>
      </c>
      <c r="AA2783" s="39" t="n">
        <f aca="false">IF(AND(E2783&gt;0,B2783=10),1,0)</f>
        <v>0</v>
      </c>
      <c r="AB2783" s="0" t="str">
        <f aca="false">IF(AND(C2782=C2783,Y2782=Y2783-1),Z2782,"")</f>
        <v/>
      </c>
      <c r="AC2783" s="0" t="str">
        <f aca="false">IF(AND(C2782=C2783,Y2782=Y2783-1),AA2782,"")</f>
        <v/>
      </c>
      <c r="AD2783" s="0" t="str">
        <f aca="false">IF(Y2783=1,"",IF(AND(Z2783=1,AB2783&lt;&gt;1),1,0))</f>
        <v/>
      </c>
      <c r="AE2783" s="0" t="str">
        <f aca="false">IF(Y2783=1,"",IF(AND(AA2783=1,AC2783&lt;&gt;1),1,0))</f>
        <v/>
      </c>
      <c r="AF2783" s="45" t="str">
        <f aca="false">IF(AND(E2783&gt;0,Y2783&lt;1,NOT(AND(C2784=C2783,Y2784=Y2783+1))),INDEX(DATAS,Y2783+1),"")</f>
        <v/>
      </c>
      <c r="AG2783" s="45" t="str">
        <f aca="false">IF(AND(AA2783=1,Y2783&lt;1),IF(AND(C2784=C2783,Y2784=Y2783+1),IF(AA2784=1,"",INDEX(DATAS,Y2783+1)),INDEX(DATAS,Y2783+1)),"")</f>
        <v/>
      </c>
    </row>
    <row r="2784" customFormat="false" ht="15" hidden="false" customHeight="false" outlineLevel="0" collapsed="false">
      <c r="A2784" s="45" t="n">
        <v>46309</v>
      </c>
      <c r="B2784" s="0" t="n">
        <v>13</v>
      </c>
      <c r="C2784" s="0" t="n">
        <v>7148</v>
      </c>
      <c r="E2784" s="0" t="n">
        <v>0</v>
      </c>
      <c r="F2784" s="39" t="s">
        <v>1350</v>
      </c>
      <c r="I2784" s="39" t="s">
        <v>136</v>
      </c>
      <c r="U2784" s="0" t="n">
        <v>329</v>
      </c>
      <c r="V2784" s="0" t="n">
        <v>0</v>
      </c>
      <c r="W2784" s="39" t="n">
        <f aca="false">IF(I2784="Male",0,1)</f>
        <v>1</v>
      </c>
      <c r="X2784" s="39" t="n">
        <f aca="false">IF(OR(I2784="DNB",I2784="Dry DNB"),1,0)</f>
        <v>0</v>
      </c>
      <c r="Y2784" s="39" t="n">
        <f aca="false">MATCH(A2784,DATAS,0)</f>
        <v>1</v>
      </c>
      <c r="Z2784" s="39" t="n">
        <f aca="false">IF(AND(E2784&gt;0,OR(AND(B2784&gt;=1,B2784&lt;=6),B2784=10)),1,0)</f>
        <v>0</v>
      </c>
      <c r="AA2784" s="39" t="n">
        <f aca="false">IF(AND(E2784&gt;0,B2784=10),1,0)</f>
        <v>0</v>
      </c>
      <c r="AB2784" s="0" t="str">
        <f aca="false">IF(AND(C2783=C2784,Y2783=Y2784-1),Z2783,"")</f>
        <v/>
      </c>
      <c r="AC2784" s="0" t="str">
        <f aca="false">IF(AND(C2783=C2784,Y2783=Y2784-1),AA2783,"")</f>
        <v/>
      </c>
      <c r="AD2784" s="0" t="str">
        <f aca="false">IF(Y2784=1,"",IF(AND(Z2784=1,AB2784&lt;&gt;1),1,0))</f>
        <v/>
      </c>
      <c r="AE2784" s="0" t="str">
        <f aca="false">IF(Y2784=1,"",IF(AND(AA2784=1,AC2784&lt;&gt;1),1,0))</f>
        <v/>
      </c>
      <c r="AF2784" s="45" t="str">
        <f aca="false">IF(AND(E2784&gt;0,Y2784&lt;1,NOT(AND(C2785=C2784,Y2785=Y2784+1))),INDEX(DATAS,Y2784+1),"")</f>
        <v/>
      </c>
      <c r="AG2784" s="45" t="str">
        <f aca="false">IF(AND(AA2784=1,Y2784&lt;1),IF(AND(C2785=C2784,Y2785=Y2784+1),IF(AA2785=1,"",INDEX(DATAS,Y2784+1)),INDEX(DATAS,Y2784+1)),"")</f>
        <v/>
      </c>
    </row>
    <row r="2785" customFormat="false" ht="15" hidden="false" customHeight="false" outlineLevel="0" collapsed="false">
      <c r="A2785" s="45" t="n">
        <v>46309</v>
      </c>
      <c r="B2785" s="0" t="n">
        <v>13</v>
      </c>
      <c r="C2785" s="0" t="n">
        <v>7150</v>
      </c>
      <c r="E2785" s="0" t="n">
        <v>0</v>
      </c>
      <c r="F2785" s="39" t="s">
        <v>1350</v>
      </c>
      <c r="I2785" s="39" t="s">
        <v>136</v>
      </c>
      <c r="U2785" s="0" t="n">
        <v>329</v>
      </c>
      <c r="V2785" s="0" t="n">
        <v>0</v>
      </c>
      <c r="W2785" s="39" t="n">
        <f aca="false">IF(I2785="Male",0,1)</f>
        <v>1</v>
      </c>
      <c r="X2785" s="39" t="n">
        <f aca="false">IF(OR(I2785="DNB",I2785="Dry DNB"),1,0)</f>
        <v>0</v>
      </c>
      <c r="Y2785" s="39" t="n">
        <f aca="false">MATCH(A2785,DATAS,0)</f>
        <v>1</v>
      </c>
      <c r="Z2785" s="39" t="n">
        <f aca="false">IF(AND(E2785&gt;0,OR(AND(B2785&gt;=1,B2785&lt;=6),B2785=10)),1,0)</f>
        <v>0</v>
      </c>
      <c r="AA2785" s="39" t="n">
        <f aca="false">IF(AND(E2785&gt;0,B2785=10),1,0)</f>
        <v>0</v>
      </c>
      <c r="AB2785" s="0" t="str">
        <f aca="false">IF(AND(C2784=C2785,Y2784=Y2785-1),Z2784,"")</f>
        <v/>
      </c>
      <c r="AC2785" s="0" t="str">
        <f aca="false">IF(AND(C2784=C2785,Y2784=Y2785-1),AA2784,"")</f>
        <v/>
      </c>
      <c r="AD2785" s="0" t="str">
        <f aca="false">IF(Y2785=1,"",IF(AND(Z2785=1,AB2785&lt;&gt;1),1,0))</f>
        <v/>
      </c>
      <c r="AE2785" s="0" t="str">
        <f aca="false">IF(Y2785=1,"",IF(AND(AA2785=1,AC2785&lt;&gt;1),1,0))</f>
        <v/>
      </c>
      <c r="AF2785" s="45" t="str">
        <f aca="false">IF(AND(E2785&gt;0,Y2785&lt;1,NOT(AND(C2786=C2785,Y2786=Y2785+1))),INDEX(DATAS,Y2785+1),"")</f>
        <v/>
      </c>
      <c r="AG2785" s="45" t="str">
        <f aca="false">IF(AND(AA2785=1,Y2785&lt;1),IF(AND(C2786=C2785,Y2786=Y2785+1),IF(AA2786=1,"",INDEX(DATAS,Y2785+1)),INDEX(DATAS,Y2785+1)),"")</f>
        <v/>
      </c>
    </row>
    <row r="2786" customFormat="false" ht="15" hidden="false" customHeight="false" outlineLevel="0" collapsed="false">
      <c r="A2786" s="45" t="n">
        <v>46309</v>
      </c>
      <c r="B2786" s="0" t="n">
        <v>13</v>
      </c>
      <c r="C2786" s="0" t="n">
        <v>7151</v>
      </c>
      <c r="E2786" s="0" t="n">
        <v>0</v>
      </c>
      <c r="F2786" s="39" t="s">
        <v>1350</v>
      </c>
      <c r="I2786" s="39" t="s">
        <v>136</v>
      </c>
      <c r="U2786" s="0" t="n">
        <v>329</v>
      </c>
      <c r="V2786" s="0" t="n">
        <v>0</v>
      </c>
      <c r="W2786" s="39" t="n">
        <f aca="false">IF(I2786="Male",0,1)</f>
        <v>1</v>
      </c>
      <c r="X2786" s="39" t="n">
        <f aca="false">IF(OR(I2786="DNB",I2786="Dry DNB"),1,0)</f>
        <v>0</v>
      </c>
      <c r="Y2786" s="39" t="n">
        <f aca="false">MATCH(A2786,DATAS,0)</f>
        <v>1</v>
      </c>
      <c r="Z2786" s="39" t="n">
        <f aca="false">IF(AND(E2786&gt;0,OR(AND(B2786&gt;=1,B2786&lt;=6),B2786=10)),1,0)</f>
        <v>0</v>
      </c>
      <c r="AA2786" s="39" t="n">
        <f aca="false">IF(AND(E2786&gt;0,B2786=10),1,0)</f>
        <v>0</v>
      </c>
      <c r="AB2786" s="0" t="str">
        <f aca="false">IF(AND(C2785=C2786,Y2785=Y2786-1),Z2785,"")</f>
        <v/>
      </c>
      <c r="AC2786" s="0" t="str">
        <f aca="false">IF(AND(C2785=C2786,Y2785=Y2786-1),AA2785,"")</f>
        <v/>
      </c>
      <c r="AD2786" s="0" t="str">
        <f aca="false">IF(Y2786=1,"",IF(AND(Z2786=1,AB2786&lt;&gt;1),1,0))</f>
        <v/>
      </c>
      <c r="AE2786" s="0" t="str">
        <f aca="false">IF(Y2786=1,"",IF(AND(AA2786=1,AC2786&lt;&gt;1),1,0))</f>
        <v/>
      </c>
      <c r="AF2786" s="45" t="str">
        <f aca="false">IF(AND(E2786&gt;0,Y2786&lt;1,NOT(AND(C2787=C2786,Y2787=Y2786+1))),INDEX(DATAS,Y2786+1),"")</f>
        <v/>
      </c>
      <c r="AG2786" s="45" t="str">
        <f aca="false">IF(AND(AA2786=1,Y2786&lt;1),IF(AND(C2787=C2786,Y2787=Y2786+1),IF(AA2787=1,"",INDEX(DATAS,Y2786+1)),INDEX(DATAS,Y2786+1)),"")</f>
        <v/>
      </c>
    </row>
    <row r="2787" customFormat="false" ht="15" hidden="false" customHeight="false" outlineLevel="0" collapsed="false">
      <c r="A2787" s="45" t="n">
        <v>46309</v>
      </c>
      <c r="B2787" s="0" t="n">
        <v>13</v>
      </c>
      <c r="C2787" s="0" t="n">
        <v>7152</v>
      </c>
      <c r="E2787" s="0" t="n">
        <v>0</v>
      </c>
      <c r="F2787" s="39" t="s">
        <v>1351</v>
      </c>
      <c r="I2787" s="39" t="s">
        <v>136</v>
      </c>
      <c r="U2787" s="0" t="n">
        <v>328</v>
      </c>
      <c r="V2787" s="0" t="n">
        <v>0</v>
      </c>
      <c r="W2787" s="39" t="n">
        <f aca="false">IF(I2787="Male",0,1)</f>
        <v>1</v>
      </c>
      <c r="X2787" s="39" t="n">
        <f aca="false">IF(OR(I2787="DNB",I2787="Dry DNB"),1,0)</f>
        <v>0</v>
      </c>
      <c r="Y2787" s="39" t="n">
        <f aca="false">MATCH(A2787,DATAS,0)</f>
        <v>1</v>
      </c>
      <c r="Z2787" s="39" t="n">
        <f aca="false">IF(AND(E2787&gt;0,OR(AND(B2787&gt;=1,B2787&lt;=6),B2787=10)),1,0)</f>
        <v>0</v>
      </c>
      <c r="AA2787" s="39" t="n">
        <f aca="false">IF(AND(E2787&gt;0,B2787=10),1,0)</f>
        <v>0</v>
      </c>
      <c r="AB2787" s="0" t="str">
        <f aca="false">IF(AND(C2786=C2787,Y2786=Y2787-1),Z2786,"")</f>
        <v/>
      </c>
      <c r="AC2787" s="0" t="str">
        <f aca="false">IF(AND(C2786=C2787,Y2786=Y2787-1),AA2786,"")</f>
        <v/>
      </c>
      <c r="AD2787" s="0" t="str">
        <f aca="false">IF(Y2787=1,"",IF(AND(Z2787=1,AB2787&lt;&gt;1),1,0))</f>
        <v/>
      </c>
      <c r="AE2787" s="0" t="str">
        <f aca="false">IF(Y2787=1,"",IF(AND(AA2787=1,AC2787&lt;&gt;1),1,0))</f>
        <v/>
      </c>
      <c r="AF2787" s="45" t="str">
        <f aca="false">IF(AND(E2787&gt;0,Y2787&lt;1,NOT(AND(C2788=C2787,Y2788=Y2787+1))),INDEX(DATAS,Y2787+1),"")</f>
        <v/>
      </c>
      <c r="AG2787" s="45" t="str">
        <f aca="false">IF(AND(AA2787=1,Y2787&lt;1),IF(AND(C2788=C2787,Y2788=Y2787+1),IF(AA2788=1,"",INDEX(DATAS,Y2787+1)),INDEX(DATAS,Y2787+1)),"")</f>
        <v/>
      </c>
    </row>
    <row r="2788" customFormat="false" ht="15" hidden="false" customHeight="false" outlineLevel="0" collapsed="false">
      <c r="A2788" s="45" t="n">
        <v>46309</v>
      </c>
      <c r="B2788" s="0" t="n">
        <v>13</v>
      </c>
      <c r="C2788" s="0" t="n">
        <v>7153</v>
      </c>
      <c r="E2788" s="0" t="n">
        <v>0</v>
      </c>
      <c r="F2788" s="39" t="s">
        <v>1352</v>
      </c>
      <c r="I2788" s="39" t="s">
        <v>136</v>
      </c>
      <c r="U2788" s="0" t="n">
        <v>327</v>
      </c>
      <c r="V2788" s="0" t="n">
        <v>0</v>
      </c>
      <c r="W2788" s="39" t="n">
        <f aca="false">IF(I2788="Male",0,1)</f>
        <v>1</v>
      </c>
      <c r="X2788" s="39" t="n">
        <f aca="false">IF(OR(I2788="DNB",I2788="Dry DNB"),1,0)</f>
        <v>0</v>
      </c>
      <c r="Y2788" s="39" t="n">
        <f aca="false">MATCH(A2788,DATAS,0)</f>
        <v>1</v>
      </c>
      <c r="Z2788" s="39" t="n">
        <f aca="false">IF(AND(E2788&gt;0,OR(AND(B2788&gt;=1,B2788&lt;=6),B2788=10)),1,0)</f>
        <v>0</v>
      </c>
      <c r="AA2788" s="39" t="n">
        <f aca="false">IF(AND(E2788&gt;0,B2788=10),1,0)</f>
        <v>0</v>
      </c>
      <c r="AB2788" s="0" t="str">
        <f aca="false">IF(AND(C2787=C2788,Y2787=Y2788-1),Z2787,"")</f>
        <v/>
      </c>
      <c r="AC2788" s="0" t="str">
        <f aca="false">IF(AND(C2787=C2788,Y2787=Y2788-1),AA2787,"")</f>
        <v/>
      </c>
      <c r="AD2788" s="0" t="str">
        <f aca="false">IF(Y2788=1,"",IF(AND(Z2788=1,AB2788&lt;&gt;1),1,0))</f>
        <v/>
      </c>
      <c r="AE2788" s="0" t="str">
        <f aca="false">IF(Y2788=1,"",IF(AND(AA2788=1,AC2788&lt;&gt;1),1,0))</f>
        <v/>
      </c>
      <c r="AF2788" s="45" t="str">
        <f aca="false">IF(AND(E2788&gt;0,Y2788&lt;1,NOT(AND(C2789=C2788,Y2789=Y2788+1))),INDEX(DATAS,Y2788+1),"")</f>
        <v/>
      </c>
      <c r="AG2788" s="45" t="str">
        <f aca="false">IF(AND(AA2788=1,Y2788&lt;1),IF(AND(C2789=C2788,Y2789=Y2788+1),IF(AA2789=1,"",INDEX(DATAS,Y2788+1)),INDEX(DATAS,Y2788+1)),"")</f>
        <v/>
      </c>
    </row>
    <row r="2789" customFormat="false" ht="15" hidden="false" customHeight="false" outlineLevel="0" collapsed="false">
      <c r="A2789" s="45" t="n">
        <v>46309</v>
      </c>
      <c r="B2789" s="0" t="n">
        <v>13</v>
      </c>
      <c r="C2789" s="0" t="n">
        <v>7154</v>
      </c>
      <c r="E2789" s="0" t="n">
        <v>0</v>
      </c>
      <c r="F2789" s="39" t="s">
        <v>1352</v>
      </c>
      <c r="I2789" s="39" t="s">
        <v>136</v>
      </c>
      <c r="U2789" s="0" t="n">
        <v>327</v>
      </c>
      <c r="V2789" s="0" t="n">
        <v>0</v>
      </c>
      <c r="W2789" s="39" t="n">
        <f aca="false">IF(I2789="Male",0,1)</f>
        <v>1</v>
      </c>
      <c r="X2789" s="39" t="n">
        <f aca="false">IF(OR(I2789="DNB",I2789="Dry DNB"),1,0)</f>
        <v>0</v>
      </c>
      <c r="Y2789" s="39" t="n">
        <f aca="false">MATCH(A2789,DATAS,0)</f>
        <v>1</v>
      </c>
      <c r="Z2789" s="39" t="n">
        <f aca="false">IF(AND(E2789&gt;0,OR(AND(B2789&gt;=1,B2789&lt;=6),B2789=10)),1,0)</f>
        <v>0</v>
      </c>
      <c r="AA2789" s="39" t="n">
        <f aca="false">IF(AND(E2789&gt;0,B2789=10),1,0)</f>
        <v>0</v>
      </c>
      <c r="AB2789" s="0" t="str">
        <f aca="false">IF(AND(C2788=C2789,Y2788=Y2789-1),Z2788,"")</f>
        <v/>
      </c>
      <c r="AC2789" s="0" t="str">
        <f aca="false">IF(AND(C2788=C2789,Y2788=Y2789-1),AA2788,"")</f>
        <v/>
      </c>
      <c r="AD2789" s="0" t="str">
        <f aca="false">IF(Y2789=1,"",IF(AND(Z2789=1,AB2789&lt;&gt;1),1,0))</f>
        <v/>
      </c>
      <c r="AE2789" s="0" t="str">
        <f aca="false">IF(Y2789=1,"",IF(AND(AA2789=1,AC2789&lt;&gt;1),1,0))</f>
        <v/>
      </c>
      <c r="AF2789" s="45" t="str">
        <f aca="false">IF(AND(E2789&gt;0,Y2789&lt;1,NOT(AND(C2790=C2789,Y2790=Y2789+1))),INDEX(DATAS,Y2789+1),"")</f>
        <v/>
      </c>
      <c r="AG2789" s="45" t="str">
        <f aca="false">IF(AND(AA2789=1,Y2789&lt;1),IF(AND(C2790=C2789,Y2790=Y2789+1),IF(AA2790=1,"",INDEX(DATAS,Y2789+1)),INDEX(DATAS,Y2789+1)),"")</f>
        <v/>
      </c>
    </row>
    <row r="2790" customFormat="false" ht="15" hidden="false" customHeight="false" outlineLevel="0" collapsed="false">
      <c r="A2790" s="45" t="n">
        <v>46309</v>
      </c>
      <c r="B2790" s="0" t="n">
        <v>13</v>
      </c>
      <c r="C2790" s="0" t="n">
        <v>7155</v>
      </c>
      <c r="E2790" s="0" t="n">
        <v>0</v>
      </c>
      <c r="F2790" s="39" t="s">
        <v>1353</v>
      </c>
      <c r="I2790" s="39" t="s">
        <v>136</v>
      </c>
      <c r="U2790" s="0" t="n">
        <v>326</v>
      </c>
      <c r="V2790" s="0" t="n">
        <v>0</v>
      </c>
      <c r="W2790" s="39" t="n">
        <f aca="false">IF(I2790="Male",0,1)</f>
        <v>1</v>
      </c>
      <c r="X2790" s="39" t="n">
        <f aca="false">IF(OR(I2790="DNB",I2790="Dry DNB"),1,0)</f>
        <v>0</v>
      </c>
      <c r="Y2790" s="39" t="n">
        <f aca="false">MATCH(A2790,DATAS,0)</f>
        <v>1</v>
      </c>
      <c r="Z2790" s="39" t="n">
        <f aca="false">IF(AND(E2790&gt;0,OR(AND(B2790&gt;=1,B2790&lt;=6),B2790=10)),1,0)</f>
        <v>0</v>
      </c>
      <c r="AA2790" s="39" t="n">
        <f aca="false">IF(AND(E2790&gt;0,B2790=10),1,0)</f>
        <v>0</v>
      </c>
      <c r="AB2790" s="0" t="str">
        <f aca="false">IF(AND(C2789=C2790,Y2789=Y2790-1),Z2789,"")</f>
        <v/>
      </c>
      <c r="AC2790" s="0" t="str">
        <f aca="false">IF(AND(C2789=C2790,Y2789=Y2790-1),AA2789,"")</f>
        <v/>
      </c>
      <c r="AD2790" s="0" t="str">
        <f aca="false">IF(Y2790=1,"",IF(AND(Z2790=1,AB2790&lt;&gt;1),1,0))</f>
        <v/>
      </c>
      <c r="AE2790" s="0" t="str">
        <f aca="false">IF(Y2790=1,"",IF(AND(AA2790=1,AC2790&lt;&gt;1),1,0))</f>
        <v/>
      </c>
      <c r="AF2790" s="45" t="str">
        <f aca="false">IF(AND(E2790&gt;0,Y2790&lt;1,NOT(AND(C2791=C2790,Y2791=Y2790+1))),INDEX(DATAS,Y2790+1),"")</f>
        <v/>
      </c>
      <c r="AG2790" s="45" t="str">
        <f aca="false">IF(AND(AA2790=1,Y2790&lt;1),IF(AND(C2791=C2790,Y2791=Y2790+1),IF(AA2791=1,"",INDEX(DATAS,Y2790+1)),INDEX(DATAS,Y2790+1)),"")</f>
        <v/>
      </c>
    </row>
    <row r="2791" customFormat="false" ht="15" hidden="false" customHeight="false" outlineLevel="0" collapsed="false">
      <c r="A2791" s="45" t="n">
        <v>46309</v>
      </c>
      <c r="B2791" s="0" t="n">
        <v>13</v>
      </c>
      <c r="C2791" s="0" t="n">
        <v>7156</v>
      </c>
      <c r="E2791" s="0" t="n">
        <v>0</v>
      </c>
      <c r="F2791" s="39" t="s">
        <v>1353</v>
      </c>
      <c r="I2791" s="39" t="s">
        <v>136</v>
      </c>
      <c r="U2791" s="0" t="n">
        <v>326</v>
      </c>
      <c r="V2791" s="0" t="n">
        <v>0</v>
      </c>
      <c r="W2791" s="39" t="n">
        <f aca="false">IF(I2791="Male",0,1)</f>
        <v>1</v>
      </c>
      <c r="X2791" s="39" t="n">
        <f aca="false">IF(OR(I2791="DNB",I2791="Dry DNB"),1,0)</f>
        <v>0</v>
      </c>
      <c r="Y2791" s="39" t="n">
        <f aca="false">MATCH(A2791,DATAS,0)</f>
        <v>1</v>
      </c>
      <c r="Z2791" s="39" t="n">
        <f aca="false">IF(AND(E2791&gt;0,OR(AND(B2791&gt;=1,B2791&lt;=6),B2791=10)),1,0)</f>
        <v>0</v>
      </c>
      <c r="AA2791" s="39" t="n">
        <f aca="false">IF(AND(E2791&gt;0,B2791=10),1,0)</f>
        <v>0</v>
      </c>
      <c r="AB2791" s="0" t="str">
        <f aca="false">IF(AND(C2790=C2791,Y2790=Y2791-1),Z2790,"")</f>
        <v/>
      </c>
      <c r="AC2791" s="0" t="str">
        <f aca="false">IF(AND(C2790=C2791,Y2790=Y2791-1),AA2790,"")</f>
        <v/>
      </c>
      <c r="AD2791" s="0" t="str">
        <f aca="false">IF(Y2791=1,"",IF(AND(Z2791=1,AB2791&lt;&gt;1),1,0))</f>
        <v/>
      </c>
      <c r="AE2791" s="0" t="str">
        <f aca="false">IF(Y2791=1,"",IF(AND(AA2791=1,AC2791&lt;&gt;1),1,0))</f>
        <v/>
      </c>
      <c r="AF2791" s="45" t="str">
        <f aca="false">IF(AND(E2791&gt;0,Y2791&lt;1,NOT(AND(C2792=C2791,Y2792=Y2791+1))),INDEX(DATAS,Y2791+1),"")</f>
        <v/>
      </c>
      <c r="AG2791" s="45" t="str">
        <f aca="false">IF(AND(AA2791=1,Y2791&lt;1),IF(AND(C2792=C2791,Y2792=Y2791+1),IF(AA2792=1,"",INDEX(DATAS,Y2791+1)),INDEX(DATAS,Y2791+1)),"")</f>
        <v/>
      </c>
    </row>
    <row r="2792" customFormat="false" ht="15" hidden="false" customHeight="false" outlineLevel="0" collapsed="false">
      <c r="A2792" s="45" t="n">
        <v>46309</v>
      </c>
      <c r="B2792" s="0" t="n">
        <v>13</v>
      </c>
      <c r="C2792" s="0" t="n">
        <v>7157</v>
      </c>
      <c r="E2792" s="0" t="n">
        <v>0</v>
      </c>
      <c r="F2792" s="39" t="s">
        <v>1353</v>
      </c>
      <c r="I2792" s="39" t="s">
        <v>136</v>
      </c>
      <c r="U2792" s="0" t="n">
        <v>326</v>
      </c>
      <c r="V2792" s="0" t="n">
        <v>0</v>
      </c>
      <c r="W2792" s="39" t="n">
        <f aca="false">IF(I2792="Male",0,1)</f>
        <v>1</v>
      </c>
      <c r="X2792" s="39" t="n">
        <f aca="false">IF(OR(I2792="DNB",I2792="Dry DNB"),1,0)</f>
        <v>0</v>
      </c>
      <c r="Y2792" s="39" t="n">
        <f aca="false">MATCH(A2792,DATAS,0)</f>
        <v>1</v>
      </c>
      <c r="Z2792" s="39" t="n">
        <f aca="false">IF(AND(E2792&gt;0,OR(AND(B2792&gt;=1,B2792&lt;=6),B2792=10)),1,0)</f>
        <v>0</v>
      </c>
      <c r="AA2792" s="39" t="n">
        <f aca="false">IF(AND(E2792&gt;0,B2792=10),1,0)</f>
        <v>0</v>
      </c>
      <c r="AB2792" s="0" t="str">
        <f aca="false">IF(AND(C2791=C2792,Y2791=Y2792-1),Z2791,"")</f>
        <v/>
      </c>
      <c r="AC2792" s="0" t="str">
        <f aca="false">IF(AND(C2791=C2792,Y2791=Y2792-1),AA2791,"")</f>
        <v/>
      </c>
      <c r="AD2792" s="0" t="str">
        <f aca="false">IF(Y2792=1,"",IF(AND(Z2792=1,AB2792&lt;&gt;1),1,0))</f>
        <v/>
      </c>
      <c r="AE2792" s="0" t="str">
        <f aca="false">IF(Y2792=1,"",IF(AND(AA2792=1,AC2792&lt;&gt;1),1,0))</f>
        <v/>
      </c>
      <c r="AF2792" s="45" t="str">
        <f aca="false">IF(AND(E2792&gt;0,Y2792&lt;1,NOT(AND(C2793=C2792,Y2793=Y2792+1))),INDEX(DATAS,Y2792+1),"")</f>
        <v/>
      </c>
      <c r="AG2792" s="45" t="str">
        <f aca="false">IF(AND(AA2792=1,Y2792&lt;1),IF(AND(C2793=C2792,Y2793=Y2792+1),IF(AA2793=1,"",INDEX(DATAS,Y2792+1)),INDEX(DATAS,Y2792+1)),"")</f>
        <v/>
      </c>
    </row>
    <row r="2793" customFormat="false" ht="15" hidden="false" customHeight="false" outlineLevel="0" collapsed="false">
      <c r="A2793" s="45" t="n">
        <v>46309</v>
      </c>
      <c r="B2793" s="0" t="n">
        <v>13</v>
      </c>
      <c r="C2793" s="0" t="n">
        <v>7158</v>
      </c>
      <c r="E2793" s="0" t="n">
        <v>0</v>
      </c>
      <c r="F2793" s="39" t="s">
        <v>1079</v>
      </c>
      <c r="I2793" s="39" t="s">
        <v>136</v>
      </c>
      <c r="U2793" s="0" t="n">
        <v>325</v>
      </c>
      <c r="V2793" s="0" t="n">
        <v>0</v>
      </c>
      <c r="W2793" s="39" t="n">
        <f aca="false">IF(I2793="Male",0,1)</f>
        <v>1</v>
      </c>
      <c r="X2793" s="39" t="n">
        <f aca="false">IF(OR(I2793="DNB",I2793="Dry DNB"),1,0)</f>
        <v>0</v>
      </c>
      <c r="Y2793" s="39" t="n">
        <f aca="false">MATCH(A2793,DATAS,0)</f>
        <v>1</v>
      </c>
      <c r="Z2793" s="39" t="n">
        <f aca="false">IF(AND(E2793&gt;0,OR(AND(B2793&gt;=1,B2793&lt;=6),B2793=10)),1,0)</f>
        <v>0</v>
      </c>
      <c r="AA2793" s="39" t="n">
        <f aca="false">IF(AND(E2793&gt;0,B2793=10),1,0)</f>
        <v>0</v>
      </c>
      <c r="AB2793" s="0" t="str">
        <f aca="false">IF(AND(C2792=C2793,Y2792=Y2793-1),Z2792,"")</f>
        <v/>
      </c>
      <c r="AC2793" s="0" t="str">
        <f aca="false">IF(AND(C2792=C2793,Y2792=Y2793-1),AA2792,"")</f>
        <v/>
      </c>
      <c r="AD2793" s="0" t="str">
        <f aca="false">IF(Y2793=1,"",IF(AND(Z2793=1,AB2793&lt;&gt;1),1,0))</f>
        <v/>
      </c>
      <c r="AE2793" s="0" t="str">
        <f aca="false">IF(Y2793=1,"",IF(AND(AA2793=1,AC2793&lt;&gt;1),1,0))</f>
        <v/>
      </c>
      <c r="AF2793" s="45" t="str">
        <f aca="false">IF(AND(E2793&gt;0,Y2793&lt;1,NOT(AND(C2794=C2793,Y2794=Y2793+1))),INDEX(DATAS,Y2793+1),"")</f>
        <v/>
      </c>
      <c r="AG2793" s="45" t="str">
        <f aca="false">IF(AND(AA2793=1,Y2793&lt;1),IF(AND(C2794=C2793,Y2794=Y2793+1),IF(AA2794=1,"",INDEX(DATAS,Y2793+1)),INDEX(DATAS,Y2793+1)),"")</f>
        <v/>
      </c>
    </row>
    <row r="2794" customFormat="false" ht="15" hidden="false" customHeight="false" outlineLevel="0" collapsed="false">
      <c r="A2794" s="45" t="n">
        <v>46309</v>
      </c>
      <c r="B2794" s="0" t="n">
        <v>13</v>
      </c>
      <c r="C2794" s="0" t="n">
        <v>7159</v>
      </c>
      <c r="E2794" s="0" t="n">
        <v>0</v>
      </c>
      <c r="F2794" s="39" t="s">
        <v>1079</v>
      </c>
      <c r="I2794" s="39" t="s">
        <v>136</v>
      </c>
      <c r="U2794" s="0" t="n">
        <v>325</v>
      </c>
      <c r="V2794" s="0" t="n">
        <v>0</v>
      </c>
      <c r="W2794" s="39" t="n">
        <f aca="false">IF(I2794="Male",0,1)</f>
        <v>1</v>
      </c>
      <c r="X2794" s="39" t="n">
        <f aca="false">IF(OR(I2794="DNB",I2794="Dry DNB"),1,0)</f>
        <v>0</v>
      </c>
      <c r="Y2794" s="39" t="n">
        <f aca="false">MATCH(A2794,DATAS,0)</f>
        <v>1</v>
      </c>
      <c r="Z2794" s="39" t="n">
        <f aca="false">IF(AND(E2794&gt;0,OR(AND(B2794&gt;=1,B2794&lt;=6),B2794=10)),1,0)</f>
        <v>0</v>
      </c>
      <c r="AA2794" s="39" t="n">
        <f aca="false">IF(AND(E2794&gt;0,B2794=10),1,0)</f>
        <v>0</v>
      </c>
      <c r="AB2794" s="0" t="str">
        <f aca="false">IF(AND(C2793=C2794,Y2793=Y2794-1),Z2793,"")</f>
        <v/>
      </c>
      <c r="AC2794" s="0" t="str">
        <f aca="false">IF(AND(C2793=C2794,Y2793=Y2794-1),AA2793,"")</f>
        <v/>
      </c>
      <c r="AD2794" s="0" t="str">
        <f aca="false">IF(Y2794=1,"",IF(AND(Z2794=1,AB2794&lt;&gt;1),1,0))</f>
        <v/>
      </c>
      <c r="AE2794" s="0" t="str">
        <f aca="false">IF(Y2794=1,"",IF(AND(AA2794=1,AC2794&lt;&gt;1),1,0))</f>
        <v/>
      </c>
      <c r="AF2794" s="45" t="str">
        <f aca="false">IF(AND(E2794&gt;0,Y2794&lt;1,NOT(AND(C2795=C2794,Y2795=Y2794+1))),INDEX(DATAS,Y2794+1),"")</f>
        <v/>
      </c>
      <c r="AG2794" s="45" t="str">
        <f aca="false">IF(AND(AA2794=1,Y2794&lt;1),IF(AND(C2795=C2794,Y2795=Y2794+1),IF(AA2795=1,"",INDEX(DATAS,Y2794+1)),INDEX(DATAS,Y2794+1)),"")</f>
        <v/>
      </c>
    </row>
    <row r="2795" customFormat="false" ht="15" hidden="false" customHeight="false" outlineLevel="0" collapsed="false">
      <c r="A2795" s="45" t="n">
        <v>46309</v>
      </c>
      <c r="B2795" s="0" t="n">
        <v>13</v>
      </c>
      <c r="C2795" s="0" t="n">
        <v>7161</v>
      </c>
      <c r="E2795" s="0" t="n">
        <v>0</v>
      </c>
      <c r="F2795" s="39" t="s">
        <v>1079</v>
      </c>
      <c r="I2795" s="39" t="s">
        <v>136</v>
      </c>
      <c r="U2795" s="0" t="n">
        <v>325</v>
      </c>
      <c r="V2795" s="0" t="n">
        <v>0</v>
      </c>
      <c r="W2795" s="39" t="n">
        <f aca="false">IF(I2795="Male",0,1)</f>
        <v>1</v>
      </c>
      <c r="X2795" s="39" t="n">
        <f aca="false">IF(OR(I2795="DNB",I2795="Dry DNB"),1,0)</f>
        <v>0</v>
      </c>
      <c r="Y2795" s="39" t="n">
        <f aca="false">MATCH(A2795,DATAS,0)</f>
        <v>1</v>
      </c>
      <c r="Z2795" s="39" t="n">
        <f aca="false">IF(AND(E2795&gt;0,OR(AND(B2795&gt;=1,B2795&lt;=6),B2795=10)),1,0)</f>
        <v>0</v>
      </c>
      <c r="AA2795" s="39" t="n">
        <f aca="false">IF(AND(E2795&gt;0,B2795=10),1,0)</f>
        <v>0</v>
      </c>
      <c r="AB2795" s="0" t="str">
        <f aca="false">IF(AND(C2794=C2795,Y2794=Y2795-1),Z2794,"")</f>
        <v/>
      </c>
      <c r="AC2795" s="0" t="str">
        <f aca="false">IF(AND(C2794=C2795,Y2794=Y2795-1),AA2794,"")</f>
        <v/>
      </c>
      <c r="AD2795" s="0" t="str">
        <f aca="false">IF(Y2795=1,"",IF(AND(Z2795=1,AB2795&lt;&gt;1),1,0))</f>
        <v/>
      </c>
      <c r="AE2795" s="0" t="str">
        <f aca="false">IF(Y2795=1,"",IF(AND(AA2795=1,AC2795&lt;&gt;1),1,0))</f>
        <v/>
      </c>
      <c r="AF2795" s="45" t="str">
        <f aca="false">IF(AND(E2795&gt;0,Y2795&lt;1,NOT(AND(C2796=C2795,Y2796=Y2795+1))),INDEX(DATAS,Y2795+1),"")</f>
        <v/>
      </c>
      <c r="AG2795" s="45" t="str">
        <f aca="false">IF(AND(AA2795=1,Y2795&lt;1),IF(AND(C2796=C2795,Y2796=Y2795+1),IF(AA2796=1,"",INDEX(DATAS,Y2795+1)),INDEX(DATAS,Y2795+1)),"")</f>
        <v/>
      </c>
    </row>
    <row r="2796" customFormat="false" ht="15" hidden="false" customHeight="false" outlineLevel="0" collapsed="false">
      <c r="A2796" s="45" t="n">
        <v>46309</v>
      </c>
      <c r="B2796" s="0" t="n">
        <v>13</v>
      </c>
      <c r="C2796" s="0" t="n">
        <v>7163</v>
      </c>
      <c r="E2796" s="0" t="n">
        <v>0</v>
      </c>
      <c r="F2796" s="39" t="s">
        <v>1354</v>
      </c>
      <c r="I2796" s="39" t="s">
        <v>136</v>
      </c>
      <c r="U2796" s="0" t="n">
        <v>324</v>
      </c>
      <c r="V2796" s="0" t="n">
        <v>0</v>
      </c>
      <c r="W2796" s="39" t="n">
        <f aca="false">IF(I2796="Male",0,1)</f>
        <v>1</v>
      </c>
      <c r="X2796" s="39" t="n">
        <f aca="false">IF(OR(I2796="DNB",I2796="Dry DNB"),1,0)</f>
        <v>0</v>
      </c>
      <c r="Y2796" s="39" t="n">
        <f aca="false">MATCH(A2796,DATAS,0)</f>
        <v>1</v>
      </c>
      <c r="Z2796" s="39" t="n">
        <f aca="false">IF(AND(E2796&gt;0,OR(AND(B2796&gt;=1,B2796&lt;=6),B2796=10)),1,0)</f>
        <v>0</v>
      </c>
      <c r="AA2796" s="39" t="n">
        <f aca="false">IF(AND(E2796&gt;0,B2796=10),1,0)</f>
        <v>0</v>
      </c>
      <c r="AB2796" s="0" t="str">
        <f aca="false">IF(AND(C2795=C2796,Y2795=Y2796-1),Z2795,"")</f>
        <v/>
      </c>
      <c r="AC2796" s="0" t="str">
        <f aca="false">IF(AND(C2795=C2796,Y2795=Y2796-1),AA2795,"")</f>
        <v/>
      </c>
      <c r="AD2796" s="0" t="str">
        <f aca="false">IF(Y2796=1,"",IF(AND(Z2796=1,AB2796&lt;&gt;1),1,0))</f>
        <v/>
      </c>
      <c r="AE2796" s="0" t="str">
        <f aca="false">IF(Y2796=1,"",IF(AND(AA2796=1,AC2796&lt;&gt;1),1,0))</f>
        <v/>
      </c>
      <c r="AF2796" s="45" t="str">
        <f aca="false">IF(AND(E2796&gt;0,Y2796&lt;1,NOT(AND(C2797=C2796,Y2797=Y2796+1))),INDEX(DATAS,Y2796+1),"")</f>
        <v/>
      </c>
      <c r="AG2796" s="45" t="str">
        <f aca="false">IF(AND(AA2796=1,Y2796&lt;1),IF(AND(C2797=C2796,Y2797=Y2796+1),IF(AA2797=1,"",INDEX(DATAS,Y2796+1)),INDEX(DATAS,Y2796+1)),"")</f>
        <v/>
      </c>
    </row>
    <row r="2797" customFormat="false" ht="15" hidden="false" customHeight="false" outlineLevel="0" collapsed="false">
      <c r="A2797" s="45" t="n">
        <v>46309</v>
      </c>
      <c r="B2797" s="0" t="n">
        <v>13</v>
      </c>
      <c r="C2797" s="0" t="n">
        <v>7165</v>
      </c>
      <c r="E2797" s="0" t="n">
        <v>0</v>
      </c>
      <c r="F2797" s="39" t="s">
        <v>1355</v>
      </c>
      <c r="I2797" s="39" t="s">
        <v>136</v>
      </c>
      <c r="U2797" s="0" t="n">
        <v>323</v>
      </c>
      <c r="V2797" s="0" t="n">
        <v>0</v>
      </c>
      <c r="W2797" s="39" t="n">
        <f aca="false">IF(I2797="Male",0,1)</f>
        <v>1</v>
      </c>
      <c r="X2797" s="39" t="n">
        <f aca="false">IF(OR(I2797="DNB",I2797="Dry DNB"),1,0)</f>
        <v>0</v>
      </c>
      <c r="Y2797" s="39" t="n">
        <f aca="false">MATCH(A2797,DATAS,0)</f>
        <v>1</v>
      </c>
      <c r="Z2797" s="39" t="n">
        <f aca="false">IF(AND(E2797&gt;0,OR(AND(B2797&gt;=1,B2797&lt;=6),B2797=10)),1,0)</f>
        <v>0</v>
      </c>
      <c r="AA2797" s="39" t="n">
        <f aca="false">IF(AND(E2797&gt;0,B2797=10),1,0)</f>
        <v>0</v>
      </c>
      <c r="AB2797" s="0" t="str">
        <f aca="false">IF(AND(C2796=C2797,Y2796=Y2797-1),Z2796,"")</f>
        <v/>
      </c>
      <c r="AC2797" s="0" t="str">
        <f aca="false">IF(AND(C2796=C2797,Y2796=Y2797-1),AA2796,"")</f>
        <v/>
      </c>
      <c r="AD2797" s="0" t="str">
        <f aca="false">IF(Y2797=1,"",IF(AND(Z2797=1,AB2797&lt;&gt;1),1,0))</f>
        <v/>
      </c>
      <c r="AE2797" s="0" t="str">
        <f aca="false">IF(Y2797=1,"",IF(AND(AA2797=1,AC2797&lt;&gt;1),1,0))</f>
        <v/>
      </c>
      <c r="AF2797" s="45" t="str">
        <f aca="false">IF(AND(E2797&gt;0,Y2797&lt;1,NOT(AND(C2798=C2797,Y2798=Y2797+1))),INDEX(DATAS,Y2797+1),"")</f>
        <v/>
      </c>
      <c r="AG2797" s="45" t="str">
        <f aca="false">IF(AND(AA2797=1,Y2797&lt;1),IF(AND(C2798=C2797,Y2798=Y2797+1),IF(AA2798=1,"",INDEX(DATAS,Y2797+1)),INDEX(DATAS,Y2797+1)),"")</f>
        <v/>
      </c>
    </row>
    <row r="2798" customFormat="false" ht="15" hidden="false" customHeight="false" outlineLevel="0" collapsed="false">
      <c r="A2798" s="45" t="n">
        <v>46309</v>
      </c>
      <c r="B2798" s="0" t="n">
        <v>13</v>
      </c>
      <c r="C2798" s="0" t="n">
        <v>7166</v>
      </c>
      <c r="E2798" s="0" t="n">
        <v>0</v>
      </c>
      <c r="F2798" s="39" t="s">
        <v>1355</v>
      </c>
      <c r="I2798" s="39" t="s">
        <v>136</v>
      </c>
      <c r="U2798" s="0" t="n">
        <v>323</v>
      </c>
      <c r="V2798" s="0" t="n">
        <v>0</v>
      </c>
      <c r="W2798" s="39" t="n">
        <f aca="false">IF(I2798="Male",0,1)</f>
        <v>1</v>
      </c>
      <c r="X2798" s="39" t="n">
        <f aca="false">IF(OR(I2798="DNB",I2798="Dry DNB"),1,0)</f>
        <v>0</v>
      </c>
      <c r="Y2798" s="39" t="n">
        <f aca="false">MATCH(A2798,DATAS,0)</f>
        <v>1</v>
      </c>
      <c r="Z2798" s="39" t="n">
        <f aca="false">IF(AND(E2798&gt;0,OR(AND(B2798&gt;=1,B2798&lt;=6),B2798=10)),1,0)</f>
        <v>0</v>
      </c>
      <c r="AA2798" s="39" t="n">
        <f aca="false">IF(AND(E2798&gt;0,B2798=10),1,0)</f>
        <v>0</v>
      </c>
      <c r="AB2798" s="0" t="str">
        <f aca="false">IF(AND(C2797=C2798,Y2797=Y2798-1),Z2797,"")</f>
        <v/>
      </c>
      <c r="AC2798" s="0" t="str">
        <f aca="false">IF(AND(C2797=C2798,Y2797=Y2798-1),AA2797,"")</f>
        <v/>
      </c>
      <c r="AD2798" s="0" t="str">
        <f aca="false">IF(Y2798=1,"",IF(AND(Z2798=1,AB2798&lt;&gt;1),1,0))</f>
        <v/>
      </c>
      <c r="AE2798" s="0" t="str">
        <f aca="false">IF(Y2798=1,"",IF(AND(AA2798=1,AC2798&lt;&gt;1),1,0))</f>
        <v/>
      </c>
      <c r="AF2798" s="45" t="str">
        <f aca="false">IF(AND(E2798&gt;0,Y2798&lt;1,NOT(AND(C2799=C2798,Y2799=Y2798+1))),INDEX(DATAS,Y2798+1),"")</f>
        <v/>
      </c>
      <c r="AG2798" s="45" t="str">
        <f aca="false">IF(AND(AA2798=1,Y2798&lt;1),IF(AND(C2799=C2798,Y2799=Y2798+1),IF(AA2799=1,"",INDEX(DATAS,Y2798+1)),INDEX(DATAS,Y2798+1)),"")</f>
        <v/>
      </c>
    </row>
    <row r="2799" customFormat="false" ht="15" hidden="false" customHeight="false" outlineLevel="0" collapsed="false">
      <c r="A2799" s="45" t="n">
        <v>46309</v>
      </c>
      <c r="B2799" s="0" t="n">
        <v>13</v>
      </c>
      <c r="C2799" s="0" t="n">
        <v>7167</v>
      </c>
      <c r="E2799" s="0" t="n">
        <v>0</v>
      </c>
      <c r="F2799" s="39" t="s">
        <v>1355</v>
      </c>
      <c r="I2799" s="39" t="s">
        <v>136</v>
      </c>
      <c r="U2799" s="0" t="n">
        <v>323</v>
      </c>
      <c r="V2799" s="0" t="n">
        <v>0</v>
      </c>
      <c r="W2799" s="39" t="n">
        <f aca="false">IF(I2799="Male",0,1)</f>
        <v>1</v>
      </c>
      <c r="X2799" s="39" t="n">
        <f aca="false">IF(OR(I2799="DNB",I2799="Dry DNB"),1,0)</f>
        <v>0</v>
      </c>
      <c r="Y2799" s="39" t="n">
        <f aca="false">MATCH(A2799,DATAS,0)</f>
        <v>1</v>
      </c>
      <c r="Z2799" s="39" t="n">
        <f aca="false">IF(AND(E2799&gt;0,OR(AND(B2799&gt;=1,B2799&lt;=6),B2799=10)),1,0)</f>
        <v>0</v>
      </c>
      <c r="AA2799" s="39" t="n">
        <f aca="false">IF(AND(E2799&gt;0,B2799=10),1,0)</f>
        <v>0</v>
      </c>
      <c r="AB2799" s="0" t="str">
        <f aca="false">IF(AND(C2798=C2799,Y2798=Y2799-1),Z2798,"")</f>
        <v/>
      </c>
      <c r="AC2799" s="0" t="str">
        <f aca="false">IF(AND(C2798=C2799,Y2798=Y2799-1),AA2798,"")</f>
        <v/>
      </c>
      <c r="AD2799" s="0" t="str">
        <f aca="false">IF(Y2799=1,"",IF(AND(Z2799=1,AB2799&lt;&gt;1),1,0))</f>
        <v/>
      </c>
      <c r="AE2799" s="0" t="str">
        <f aca="false">IF(Y2799=1,"",IF(AND(AA2799=1,AC2799&lt;&gt;1),1,0))</f>
        <v/>
      </c>
      <c r="AF2799" s="45" t="str">
        <f aca="false">IF(AND(E2799&gt;0,Y2799&lt;1,NOT(AND(C2800=C2799,Y2800=Y2799+1))),INDEX(DATAS,Y2799+1),"")</f>
        <v/>
      </c>
      <c r="AG2799" s="45" t="str">
        <f aca="false">IF(AND(AA2799=1,Y2799&lt;1),IF(AND(C2800=C2799,Y2800=Y2799+1),IF(AA2800=1,"",INDEX(DATAS,Y2799+1)),INDEX(DATAS,Y2799+1)),"")</f>
        <v/>
      </c>
    </row>
    <row r="2800" customFormat="false" ht="15" hidden="false" customHeight="false" outlineLevel="0" collapsed="false">
      <c r="A2800" s="45" t="n">
        <v>46309</v>
      </c>
      <c r="B2800" s="0" t="n">
        <v>13</v>
      </c>
      <c r="C2800" s="0" t="n">
        <v>7168</v>
      </c>
      <c r="E2800" s="0" t="n">
        <v>0</v>
      </c>
      <c r="F2800" s="39" t="s">
        <v>1355</v>
      </c>
      <c r="I2800" s="39" t="s">
        <v>136</v>
      </c>
      <c r="U2800" s="0" t="n">
        <v>323</v>
      </c>
      <c r="V2800" s="0" t="n">
        <v>0</v>
      </c>
      <c r="W2800" s="39" t="n">
        <f aca="false">IF(I2800="Male",0,1)</f>
        <v>1</v>
      </c>
      <c r="X2800" s="39" t="n">
        <f aca="false">IF(OR(I2800="DNB",I2800="Dry DNB"),1,0)</f>
        <v>0</v>
      </c>
      <c r="Y2800" s="39" t="n">
        <f aca="false">MATCH(A2800,DATAS,0)</f>
        <v>1</v>
      </c>
      <c r="Z2800" s="39" t="n">
        <f aca="false">IF(AND(E2800&gt;0,OR(AND(B2800&gt;=1,B2800&lt;=6),B2800=10)),1,0)</f>
        <v>0</v>
      </c>
      <c r="AA2800" s="39" t="n">
        <f aca="false">IF(AND(E2800&gt;0,B2800=10),1,0)</f>
        <v>0</v>
      </c>
      <c r="AB2800" s="0" t="str">
        <f aca="false">IF(AND(C2799=C2800,Y2799=Y2800-1),Z2799,"")</f>
        <v/>
      </c>
      <c r="AC2800" s="0" t="str">
        <f aca="false">IF(AND(C2799=C2800,Y2799=Y2800-1),AA2799,"")</f>
        <v/>
      </c>
      <c r="AD2800" s="0" t="str">
        <f aca="false">IF(Y2800=1,"",IF(AND(Z2800=1,AB2800&lt;&gt;1),1,0))</f>
        <v/>
      </c>
      <c r="AE2800" s="0" t="str">
        <f aca="false">IF(Y2800=1,"",IF(AND(AA2800=1,AC2800&lt;&gt;1),1,0))</f>
        <v/>
      </c>
      <c r="AF2800" s="45" t="str">
        <f aca="false">IF(AND(E2800&gt;0,Y2800&lt;1,NOT(AND(C2801=C2800,Y2801=Y2800+1))),INDEX(DATAS,Y2800+1),"")</f>
        <v/>
      </c>
      <c r="AG2800" s="45" t="str">
        <f aca="false">IF(AND(AA2800=1,Y2800&lt;1),IF(AND(C2801=C2800,Y2801=Y2800+1),IF(AA2801=1,"",INDEX(DATAS,Y2800+1)),INDEX(DATAS,Y2800+1)),"")</f>
        <v/>
      </c>
    </row>
    <row r="2801" customFormat="false" ht="15" hidden="false" customHeight="false" outlineLevel="0" collapsed="false">
      <c r="A2801" s="45" t="n">
        <v>46309</v>
      </c>
      <c r="B2801" s="0" t="n">
        <v>13</v>
      </c>
      <c r="C2801" s="0" t="n">
        <v>7169</v>
      </c>
      <c r="E2801" s="0" t="n">
        <v>0</v>
      </c>
      <c r="F2801" s="39" t="s">
        <v>1356</v>
      </c>
      <c r="I2801" s="39" t="s">
        <v>136</v>
      </c>
      <c r="U2801" s="0" t="n">
        <v>321</v>
      </c>
      <c r="V2801" s="0" t="n">
        <v>0</v>
      </c>
      <c r="W2801" s="39" t="n">
        <f aca="false">IF(I2801="Male",0,1)</f>
        <v>1</v>
      </c>
      <c r="X2801" s="39" t="n">
        <f aca="false">IF(OR(I2801="DNB",I2801="Dry DNB"),1,0)</f>
        <v>0</v>
      </c>
      <c r="Y2801" s="39" t="n">
        <f aca="false">MATCH(A2801,DATAS,0)</f>
        <v>1</v>
      </c>
      <c r="Z2801" s="39" t="n">
        <f aca="false">IF(AND(E2801&gt;0,OR(AND(B2801&gt;=1,B2801&lt;=6),B2801=10)),1,0)</f>
        <v>0</v>
      </c>
      <c r="AA2801" s="39" t="n">
        <f aca="false">IF(AND(E2801&gt;0,B2801=10),1,0)</f>
        <v>0</v>
      </c>
      <c r="AB2801" s="0" t="str">
        <f aca="false">IF(AND(C2800=C2801,Y2800=Y2801-1),Z2800,"")</f>
        <v/>
      </c>
      <c r="AC2801" s="0" t="str">
        <f aca="false">IF(AND(C2800=C2801,Y2800=Y2801-1),AA2800,"")</f>
        <v/>
      </c>
      <c r="AD2801" s="0" t="str">
        <f aca="false">IF(Y2801=1,"",IF(AND(Z2801=1,AB2801&lt;&gt;1),1,0))</f>
        <v/>
      </c>
      <c r="AE2801" s="0" t="str">
        <f aca="false">IF(Y2801=1,"",IF(AND(AA2801=1,AC2801&lt;&gt;1),1,0))</f>
        <v/>
      </c>
      <c r="AF2801" s="45" t="str">
        <f aca="false">IF(AND(E2801&gt;0,Y2801&lt;1,NOT(AND(C2802=C2801,Y2802=Y2801+1))),INDEX(DATAS,Y2801+1),"")</f>
        <v/>
      </c>
      <c r="AG2801" s="45" t="str">
        <f aca="false">IF(AND(AA2801=1,Y2801&lt;1),IF(AND(C2802=C2801,Y2802=Y2801+1),IF(AA2802=1,"",INDEX(DATAS,Y2801+1)),INDEX(DATAS,Y2801+1)),"")</f>
        <v/>
      </c>
    </row>
    <row r="2802" customFormat="false" ht="15" hidden="false" customHeight="false" outlineLevel="0" collapsed="false">
      <c r="A2802" s="45" t="n">
        <v>46309</v>
      </c>
      <c r="B2802" s="0" t="n">
        <v>13</v>
      </c>
      <c r="C2802" s="0" t="n">
        <v>7170</v>
      </c>
      <c r="E2802" s="0" t="n">
        <v>0</v>
      </c>
      <c r="F2802" s="39" t="s">
        <v>1357</v>
      </c>
      <c r="I2802" s="39" t="s">
        <v>136</v>
      </c>
      <c r="U2802" s="0" t="n">
        <v>322</v>
      </c>
      <c r="V2802" s="0" t="n">
        <v>0</v>
      </c>
      <c r="W2802" s="39" t="n">
        <f aca="false">IF(I2802="Male",0,1)</f>
        <v>1</v>
      </c>
      <c r="X2802" s="39" t="n">
        <f aca="false">IF(OR(I2802="DNB",I2802="Dry DNB"),1,0)</f>
        <v>0</v>
      </c>
      <c r="Y2802" s="39" t="n">
        <f aca="false">MATCH(A2802,DATAS,0)</f>
        <v>1</v>
      </c>
      <c r="Z2802" s="39" t="n">
        <f aca="false">IF(AND(E2802&gt;0,OR(AND(B2802&gt;=1,B2802&lt;=6),B2802=10)),1,0)</f>
        <v>0</v>
      </c>
      <c r="AA2802" s="39" t="n">
        <f aca="false">IF(AND(E2802&gt;0,B2802=10),1,0)</f>
        <v>0</v>
      </c>
      <c r="AB2802" s="0" t="str">
        <f aca="false">IF(AND(C2801=C2802,Y2801=Y2802-1),Z2801,"")</f>
        <v/>
      </c>
      <c r="AC2802" s="0" t="str">
        <f aca="false">IF(AND(C2801=C2802,Y2801=Y2802-1),AA2801,"")</f>
        <v/>
      </c>
      <c r="AD2802" s="0" t="str">
        <f aca="false">IF(Y2802=1,"",IF(AND(Z2802=1,AB2802&lt;&gt;1),1,0))</f>
        <v/>
      </c>
      <c r="AE2802" s="0" t="str">
        <f aca="false">IF(Y2802=1,"",IF(AND(AA2802=1,AC2802&lt;&gt;1),1,0))</f>
        <v/>
      </c>
      <c r="AF2802" s="45" t="str">
        <f aca="false">IF(AND(E2802&gt;0,Y2802&lt;1,NOT(AND(C2803=C2802,Y2803=Y2802+1))),INDEX(DATAS,Y2802+1),"")</f>
        <v/>
      </c>
      <c r="AG2802" s="45" t="str">
        <f aca="false">IF(AND(AA2802=1,Y2802&lt;1),IF(AND(C2803=C2802,Y2803=Y2802+1),IF(AA2803=1,"",INDEX(DATAS,Y2802+1)),INDEX(DATAS,Y2802+1)),"")</f>
        <v/>
      </c>
    </row>
    <row r="2803" customFormat="false" ht="15" hidden="false" customHeight="false" outlineLevel="0" collapsed="false">
      <c r="A2803" s="45" t="n">
        <v>46309</v>
      </c>
      <c r="B2803" s="0" t="n">
        <v>13</v>
      </c>
      <c r="C2803" s="0" t="n">
        <v>7171</v>
      </c>
      <c r="E2803" s="0" t="n">
        <v>0</v>
      </c>
      <c r="F2803" s="39" t="s">
        <v>1357</v>
      </c>
      <c r="I2803" s="39" t="s">
        <v>136</v>
      </c>
      <c r="U2803" s="0" t="n">
        <v>322</v>
      </c>
      <c r="V2803" s="0" t="n">
        <v>0</v>
      </c>
      <c r="W2803" s="39" t="n">
        <f aca="false">IF(I2803="Male",0,1)</f>
        <v>1</v>
      </c>
      <c r="X2803" s="39" t="n">
        <f aca="false">IF(OR(I2803="DNB",I2803="Dry DNB"),1,0)</f>
        <v>0</v>
      </c>
      <c r="Y2803" s="39" t="n">
        <f aca="false">MATCH(A2803,DATAS,0)</f>
        <v>1</v>
      </c>
      <c r="Z2803" s="39" t="n">
        <f aca="false">IF(AND(E2803&gt;0,OR(AND(B2803&gt;=1,B2803&lt;=6),B2803=10)),1,0)</f>
        <v>0</v>
      </c>
      <c r="AA2803" s="39" t="n">
        <f aca="false">IF(AND(E2803&gt;0,B2803=10),1,0)</f>
        <v>0</v>
      </c>
      <c r="AB2803" s="0" t="str">
        <f aca="false">IF(AND(C2802=C2803,Y2802=Y2803-1),Z2802,"")</f>
        <v/>
      </c>
      <c r="AC2803" s="0" t="str">
        <f aca="false">IF(AND(C2802=C2803,Y2802=Y2803-1),AA2802,"")</f>
        <v/>
      </c>
      <c r="AD2803" s="0" t="str">
        <f aca="false">IF(Y2803=1,"",IF(AND(Z2803=1,AB2803&lt;&gt;1),1,0))</f>
        <v/>
      </c>
      <c r="AE2803" s="0" t="str">
        <f aca="false">IF(Y2803=1,"",IF(AND(AA2803=1,AC2803&lt;&gt;1),1,0))</f>
        <v/>
      </c>
      <c r="AF2803" s="45" t="str">
        <f aca="false">IF(AND(E2803&gt;0,Y2803&lt;1,NOT(AND(C2804=C2803,Y2804=Y2803+1))),INDEX(DATAS,Y2803+1),"")</f>
        <v/>
      </c>
      <c r="AG2803" s="45" t="str">
        <f aca="false">IF(AND(AA2803=1,Y2803&lt;1),IF(AND(C2804=C2803,Y2804=Y2803+1),IF(AA2804=1,"",INDEX(DATAS,Y2803+1)),INDEX(DATAS,Y2803+1)),"")</f>
        <v/>
      </c>
    </row>
    <row r="2804" customFormat="false" ht="15" hidden="false" customHeight="false" outlineLevel="0" collapsed="false">
      <c r="A2804" s="45" t="n">
        <v>46309</v>
      </c>
      <c r="B2804" s="0" t="n">
        <v>13</v>
      </c>
      <c r="C2804" s="0" t="n">
        <v>7172</v>
      </c>
      <c r="E2804" s="0" t="n">
        <v>0</v>
      </c>
      <c r="F2804" s="39" t="s">
        <v>1356</v>
      </c>
      <c r="I2804" s="39" t="s">
        <v>136</v>
      </c>
      <c r="U2804" s="0" t="n">
        <v>321</v>
      </c>
      <c r="V2804" s="0" t="n">
        <v>0</v>
      </c>
      <c r="W2804" s="39" t="n">
        <f aca="false">IF(I2804="Male",0,1)</f>
        <v>1</v>
      </c>
      <c r="X2804" s="39" t="n">
        <f aca="false">IF(OR(I2804="DNB",I2804="Dry DNB"),1,0)</f>
        <v>0</v>
      </c>
      <c r="Y2804" s="39" t="n">
        <f aca="false">MATCH(A2804,DATAS,0)</f>
        <v>1</v>
      </c>
      <c r="Z2804" s="39" t="n">
        <f aca="false">IF(AND(E2804&gt;0,OR(AND(B2804&gt;=1,B2804&lt;=6),B2804=10)),1,0)</f>
        <v>0</v>
      </c>
      <c r="AA2804" s="39" t="n">
        <f aca="false">IF(AND(E2804&gt;0,B2804=10),1,0)</f>
        <v>0</v>
      </c>
      <c r="AB2804" s="0" t="str">
        <f aca="false">IF(AND(C2803=C2804,Y2803=Y2804-1),Z2803,"")</f>
        <v/>
      </c>
      <c r="AC2804" s="0" t="str">
        <f aca="false">IF(AND(C2803=C2804,Y2803=Y2804-1),AA2803,"")</f>
        <v/>
      </c>
      <c r="AD2804" s="0" t="str">
        <f aca="false">IF(Y2804=1,"",IF(AND(Z2804=1,AB2804&lt;&gt;1),1,0))</f>
        <v/>
      </c>
      <c r="AE2804" s="0" t="str">
        <f aca="false">IF(Y2804=1,"",IF(AND(AA2804=1,AC2804&lt;&gt;1),1,0))</f>
        <v/>
      </c>
      <c r="AF2804" s="45" t="str">
        <f aca="false">IF(AND(E2804&gt;0,Y2804&lt;1,NOT(AND(C2805=C2804,Y2805=Y2804+1))),INDEX(DATAS,Y2804+1),"")</f>
        <v/>
      </c>
      <c r="AG2804" s="45" t="str">
        <f aca="false">IF(AND(AA2804=1,Y2804&lt;1),IF(AND(C2805=C2804,Y2805=Y2804+1),IF(AA2805=1,"",INDEX(DATAS,Y2804+1)),INDEX(DATAS,Y2804+1)),"")</f>
        <v/>
      </c>
    </row>
    <row r="2805" customFormat="false" ht="15" hidden="false" customHeight="false" outlineLevel="0" collapsed="false">
      <c r="A2805" s="45" t="n">
        <v>46309</v>
      </c>
      <c r="B2805" s="0" t="n">
        <v>13</v>
      </c>
      <c r="C2805" s="0" t="n">
        <v>7174</v>
      </c>
      <c r="E2805" s="0" t="n">
        <v>0</v>
      </c>
      <c r="F2805" s="39" t="s">
        <v>1358</v>
      </c>
      <c r="I2805" s="39" t="s">
        <v>136</v>
      </c>
      <c r="U2805" s="0" t="n">
        <v>320</v>
      </c>
      <c r="V2805" s="0" t="n">
        <v>0</v>
      </c>
      <c r="W2805" s="39" t="n">
        <f aca="false">IF(I2805="Male",0,1)</f>
        <v>1</v>
      </c>
      <c r="X2805" s="39" t="n">
        <f aca="false">IF(OR(I2805="DNB",I2805="Dry DNB"),1,0)</f>
        <v>0</v>
      </c>
      <c r="Y2805" s="39" t="n">
        <f aca="false">MATCH(A2805,DATAS,0)</f>
        <v>1</v>
      </c>
      <c r="Z2805" s="39" t="n">
        <f aca="false">IF(AND(E2805&gt;0,OR(AND(B2805&gt;=1,B2805&lt;=6),B2805=10)),1,0)</f>
        <v>0</v>
      </c>
      <c r="AA2805" s="39" t="n">
        <f aca="false">IF(AND(E2805&gt;0,B2805=10),1,0)</f>
        <v>0</v>
      </c>
      <c r="AB2805" s="0" t="str">
        <f aca="false">IF(AND(C2804=C2805,Y2804=Y2805-1),Z2804,"")</f>
        <v/>
      </c>
      <c r="AC2805" s="0" t="str">
        <f aca="false">IF(AND(C2804=C2805,Y2804=Y2805-1),AA2804,"")</f>
        <v/>
      </c>
      <c r="AD2805" s="0" t="str">
        <f aca="false">IF(Y2805=1,"",IF(AND(Z2805=1,AB2805&lt;&gt;1),1,0))</f>
        <v/>
      </c>
      <c r="AE2805" s="0" t="str">
        <f aca="false">IF(Y2805=1,"",IF(AND(AA2805=1,AC2805&lt;&gt;1),1,0))</f>
        <v/>
      </c>
      <c r="AF2805" s="45" t="str">
        <f aca="false">IF(AND(E2805&gt;0,Y2805&lt;1,NOT(AND(C2806=C2805,Y2806=Y2805+1))),INDEX(DATAS,Y2805+1),"")</f>
        <v/>
      </c>
      <c r="AG2805" s="45" t="str">
        <f aca="false">IF(AND(AA2805=1,Y2805&lt;1),IF(AND(C2806=C2805,Y2806=Y2805+1),IF(AA2806=1,"",INDEX(DATAS,Y2805+1)),INDEX(DATAS,Y2805+1)),"")</f>
        <v/>
      </c>
    </row>
    <row r="2806" customFormat="false" ht="15" hidden="false" customHeight="false" outlineLevel="0" collapsed="false">
      <c r="A2806" s="45" t="n">
        <v>46309</v>
      </c>
      <c r="B2806" s="0" t="n">
        <v>13</v>
      </c>
      <c r="C2806" s="0" t="n">
        <v>7175</v>
      </c>
      <c r="E2806" s="0" t="n">
        <v>0</v>
      </c>
      <c r="F2806" s="39" t="s">
        <v>1358</v>
      </c>
      <c r="I2806" s="39" t="s">
        <v>136</v>
      </c>
      <c r="U2806" s="0" t="n">
        <v>320</v>
      </c>
      <c r="V2806" s="0" t="n">
        <v>0</v>
      </c>
      <c r="W2806" s="39" t="n">
        <f aca="false">IF(I2806="Male",0,1)</f>
        <v>1</v>
      </c>
      <c r="X2806" s="39" t="n">
        <f aca="false">IF(OR(I2806="DNB",I2806="Dry DNB"),1,0)</f>
        <v>0</v>
      </c>
      <c r="Y2806" s="39" t="n">
        <f aca="false">MATCH(A2806,DATAS,0)</f>
        <v>1</v>
      </c>
      <c r="Z2806" s="39" t="n">
        <f aca="false">IF(AND(E2806&gt;0,OR(AND(B2806&gt;=1,B2806&lt;=6),B2806=10)),1,0)</f>
        <v>0</v>
      </c>
      <c r="AA2806" s="39" t="n">
        <f aca="false">IF(AND(E2806&gt;0,B2806=10),1,0)</f>
        <v>0</v>
      </c>
      <c r="AB2806" s="0" t="str">
        <f aca="false">IF(AND(C2805=C2806,Y2805=Y2806-1),Z2805,"")</f>
        <v/>
      </c>
      <c r="AC2806" s="0" t="str">
        <f aca="false">IF(AND(C2805=C2806,Y2805=Y2806-1),AA2805,"")</f>
        <v/>
      </c>
      <c r="AD2806" s="0" t="str">
        <f aca="false">IF(Y2806=1,"",IF(AND(Z2806=1,AB2806&lt;&gt;1),1,0))</f>
        <v/>
      </c>
      <c r="AE2806" s="0" t="str">
        <f aca="false">IF(Y2806=1,"",IF(AND(AA2806=1,AC2806&lt;&gt;1),1,0))</f>
        <v/>
      </c>
      <c r="AF2806" s="45" t="str">
        <f aca="false">IF(AND(E2806&gt;0,Y2806&lt;1,NOT(AND(C2807=C2806,Y2807=Y2806+1))),INDEX(DATAS,Y2806+1),"")</f>
        <v/>
      </c>
      <c r="AG2806" s="45" t="str">
        <f aca="false">IF(AND(AA2806=1,Y2806&lt;1),IF(AND(C2807=C2806,Y2807=Y2806+1),IF(AA2807=1,"",INDEX(DATAS,Y2806+1)),INDEX(DATAS,Y2806+1)),"")</f>
        <v/>
      </c>
    </row>
    <row r="2807" customFormat="false" ht="15" hidden="false" customHeight="false" outlineLevel="0" collapsed="false">
      <c r="A2807" s="45" t="n">
        <v>46309</v>
      </c>
      <c r="B2807" s="0" t="n">
        <v>13</v>
      </c>
      <c r="C2807" s="0" t="n">
        <v>7176</v>
      </c>
      <c r="E2807" s="0" t="n">
        <v>0</v>
      </c>
      <c r="F2807" s="39" t="s">
        <v>1358</v>
      </c>
      <c r="I2807" s="39" t="s">
        <v>136</v>
      </c>
      <c r="U2807" s="0" t="n">
        <v>320</v>
      </c>
      <c r="V2807" s="0" t="n">
        <v>0</v>
      </c>
      <c r="W2807" s="39" t="n">
        <f aca="false">IF(I2807="Male",0,1)</f>
        <v>1</v>
      </c>
      <c r="X2807" s="39" t="n">
        <f aca="false">IF(OR(I2807="DNB",I2807="Dry DNB"),1,0)</f>
        <v>0</v>
      </c>
      <c r="Y2807" s="39" t="n">
        <f aca="false">MATCH(A2807,DATAS,0)</f>
        <v>1</v>
      </c>
      <c r="Z2807" s="39" t="n">
        <f aca="false">IF(AND(E2807&gt;0,OR(AND(B2807&gt;=1,B2807&lt;=6),B2807=10)),1,0)</f>
        <v>0</v>
      </c>
      <c r="AA2807" s="39" t="n">
        <f aca="false">IF(AND(E2807&gt;0,B2807=10),1,0)</f>
        <v>0</v>
      </c>
      <c r="AB2807" s="0" t="str">
        <f aca="false">IF(AND(C2806=C2807,Y2806=Y2807-1),Z2806,"")</f>
        <v/>
      </c>
      <c r="AC2807" s="0" t="str">
        <f aca="false">IF(AND(C2806=C2807,Y2806=Y2807-1),AA2806,"")</f>
        <v/>
      </c>
      <c r="AD2807" s="0" t="str">
        <f aca="false">IF(Y2807=1,"",IF(AND(Z2807=1,AB2807&lt;&gt;1),1,0))</f>
        <v/>
      </c>
      <c r="AE2807" s="0" t="str">
        <f aca="false">IF(Y2807=1,"",IF(AND(AA2807=1,AC2807&lt;&gt;1),1,0))</f>
        <v/>
      </c>
      <c r="AF2807" s="45" t="str">
        <f aca="false">IF(AND(E2807&gt;0,Y2807&lt;1,NOT(AND(C2808=C2807,Y2808=Y2807+1))),INDEX(DATAS,Y2807+1),"")</f>
        <v/>
      </c>
      <c r="AG2807" s="45" t="str">
        <f aca="false">IF(AND(AA2807=1,Y2807&lt;1),IF(AND(C2808=C2807,Y2808=Y2807+1),IF(AA2808=1,"",INDEX(DATAS,Y2807+1)),INDEX(DATAS,Y2807+1)),"")</f>
        <v/>
      </c>
    </row>
    <row r="2808" customFormat="false" ht="15" hidden="false" customHeight="false" outlineLevel="0" collapsed="false">
      <c r="A2808" s="45" t="n">
        <v>46309</v>
      </c>
      <c r="B2808" s="0" t="n">
        <v>13</v>
      </c>
      <c r="C2808" s="0" t="n">
        <v>7177</v>
      </c>
      <c r="E2808" s="0" t="n">
        <v>0</v>
      </c>
      <c r="F2808" s="39" t="s">
        <v>1359</v>
      </c>
      <c r="I2808" s="39" t="s">
        <v>136</v>
      </c>
      <c r="U2808" s="0" t="n">
        <v>319</v>
      </c>
      <c r="V2808" s="0" t="n">
        <v>0</v>
      </c>
      <c r="W2808" s="39" t="n">
        <f aca="false">IF(I2808="Male",0,1)</f>
        <v>1</v>
      </c>
      <c r="X2808" s="39" t="n">
        <f aca="false">IF(OR(I2808="DNB",I2808="Dry DNB"),1,0)</f>
        <v>0</v>
      </c>
      <c r="Y2808" s="39" t="n">
        <f aca="false">MATCH(A2808,DATAS,0)</f>
        <v>1</v>
      </c>
      <c r="Z2808" s="39" t="n">
        <f aca="false">IF(AND(E2808&gt;0,OR(AND(B2808&gt;=1,B2808&lt;=6),B2808=10)),1,0)</f>
        <v>0</v>
      </c>
      <c r="AA2808" s="39" t="n">
        <f aca="false">IF(AND(E2808&gt;0,B2808=10),1,0)</f>
        <v>0</v>
      </c>
      <c r="AB2808" s="0" t="str">
        <f aca="false">IF(AND(C2807=C2808,Y2807=Y2808-1),Z2807,"")</f>
        <v/>
      </c>
      <c r="AC2808" s="0" t="str">
        <f aca="false">IF(AND(C2807=C2808,Y2807=Y2808-1),AA2807,"")</f>
        <v/>
      </c>
      <c r="AD2808" s="0" t="str">
        <f aca="false">IF(Y2808=1,"",IF(AND(Z2808=1,AB2808&lt;&gt;1),1,0))</f>
        <v/>
      </c>
      <c r="AE2808" s="0" t="str">
        <f aca="false">IF(Y2808=1,"",IF(AND(AA2808=1,AC2808&lt;&gt;1),1,0))</f>
        <v/>
      </c>
      <c r="AF2808" s="45" t="str">
        <f aca="false">IF(AND(E2808&gt;0,Y2808&lt;1,NOT(AND(C2809=C2808,Y2809=Y2808+1))),INDEX(DATAS,Y2808+1),"")</f>
        <v/>
      </c>
      <c r="AG2808" s="45" t="str">
        <f aca="false">IF(AND(AA2808=1,Y2808&lt;1),IF(AND(C2809=C2808,Y2809=Y2808+1),IF(AA2809=1,"",INDEX(DATAS,Y2808+1)),INDEX(DATAS,Y2808+1)),"")</f>
        <v/>
      </c>
    </row>
    <row r="2809" customFormat="false" ht="15" hidden="false" customHeight="false" outlineLevel="0" collapsed="false">
      <c r="A2809" s="45" t="n">
        <v>46309</v>
      </c>
      <c r="B2809" s="0" t="n">
        <v>13</v>
      </c>
      <c r="C2809" s="0" t="n">
        <v>7178</v>
      </c>
      <c r="E2809" s="0" t="n">
        <v>0</v>
      </c>
      <c r="F2809" s="39" t="s">
        <v>1359</v>
      </c>
      <c r="I2809" s="39" t="s">
        <v>136</v>
      </c>
      <c r="U2809" s="0" t="n">
        <v>319</v>
      </c>
      <c r="V2809" s="0" t="n">
        <v>0</v>
      </c>
      <c r="W2809" s="39" t="n">
        <f aca="false">IF(I2809="Male",0,1)</f>
        <v>1</v>
      </c>
      <c r="X2809" s="39" t="n">
        <f aca="false">IF(OR(I2809="DNB",I2809="Dry DNB"),1,0)</f>
        <v>0</v>
      </c>
      <c r="Y2809" s="39" t="n">
        <f aca="false">MATCH(A2809,DATAS,0)</f>
        <v>1</v>
      </c>
      <c r="Z2809" s="39" t="n">
        <f aca="false">IF(AND(E2809&gt;0,OR(AND(B2809&gt;=1,B2809&lt;=6),B2809=10)),1,0)</f>
        <v>0</v>
      </c>
      <c r="AA2809" s="39" t="n">
        <f aca="false">IF(AND(E2809&gt;0,B2809=10),1,0)</f>
        <v>0</v>
      </c>
      <c r="AB2809" s="0" t="str">
        <f aca="false">IF(AND(C2808=C2809,Y2808=Y2809-1),Z2808,"")</f>
        <v/>
      </c>
      <c r="AC2809" s="0" t="str">
        <f aca="false">IF(AND(C2808=C2809,Y2808=Y2809-1),AA2808,"")</f>
        <v/>
      </c>
      <c r="AD2809" s="0" t="str">
        <f aca="false">IF(Y2809=1,"",IF(AND(Z2809=1,AB2809&lt;&gt;1),1,0))</f>
        <v/>
      </c>
      <c r="AE2809" s="0" t="str">
        <f aca="false">IF(Y2809=1,"",IF(AND(AA2809=1,AC2809&lt;&gt;1),1,0))</f>
        <v/>
      </c>
      <c r="AF2809" s="45" t="str">
        <f aca="false">IF(AND(E2809&gt;0,Y2809&lt;1,NOT(AND(C2810=C2809,Y2810=Y2809+1))),INDEX(DATAS,Y2809+1),"")</f>
        <v/>
      </c>
      <c r="AG2809" s="45" t="str">
        <f aca="false">IF(AND(AA2809=1,Y2809&lt;1),IF(AND(C2810=C2809,Y2810=Y2809+1),IF(AA2810=1,"",INDEX(DATAS,Y2809+1)),INDEX(DATAS,Y2809+1)),"")</f>
        <v/>
      </c>
    </row>
    <row r="2810" customFormat="false" ht="15" hidden="false" customHeight="false" outlineLevel="0" collapsed="false">
      <c r="A2810" s="45" t="n">
        <v>46309</v>
      </c>
      <c r="B2810" s="0" t="n">
        <v>13</v>
      </c>
      <c r="C2810" s="0" t="n">
        <v>7180</v>
      </c>
      <c r="E2810" s="0" t="n">
        <v>0</v>
      </c>
      <c r="F2810" s="39" t="s">
        <v>1360</v>
      </c>
      <c r="I2810" s="39" t="s">
        <v>136</v>
      </c>
      <c r="U2810" s="0" t="n">
        <v>318</v>
      </c>
      <c r="V2810" s="0" t="n">
        <v>0</v>
      </c>
      <c r="W2810" s="39" t="n">
        <f aca="false">IF(I2810="Male",0,1)</f>
        <v>1</v>
      </c>
      <c r="X2810" s="39" t="n">
        <f aca="false">IF(OR(I2810="DNB",I2810="Dry DNB"),1,0)</f>
        <v>0</v>
      </c>
      <c r="Y2810" s="39" t="n">
        <f aca="false">MATCH(A2810,DATAS,0)</f>
        <v>1</v>
      </c>
      <c r="Z2810" s="39" t="n">
        <f aca="false">IF(AND(E2810&gt;0,OR(AND(B2810&gt;=1,B2810&lt;=6),B2810=10)),1,0)</f>
        <v>0</v>
      </c>
      <c r="AA2810" s="39" t="n">
        <f aca="false">IF(AND(E2810&gt;0,B2810=10),1,0)</f>
        <v>0</v>
      </c>
      <c r="AB2810" s="0" t="str">
        <f aca="false">IF(AND(C2809=C2810,Y2809=Y2810-1),Z2809,"")</f>
        <v/>
      </c>
      <c r="AC2810" s="0" t="str">
        <f aca="false">IF(AND(C2809=C2810,Y2809=Y2810-1),AA2809,"")</f>
        <v/>
      </c>
      <c r="AD2810" s="0" t="str">
        <f aca="false">IF(Y2810=1,"",IF(AND(Z2810=1,AB2810&lt;&gt;1),1,0))</f>
        <v/>
      </c>
      <c r="AE2810" s="0" t="str">
        <f aca="false">IF(Y2810=1,"",IF(AND(AA2810=1,AC2810&lt;&gt;1),1,0))</f>
        <v/>
      </c>
      <c r="AF2810" s="45" t="str">
        <f aca="false">IF(AND(E2810&gt;0,Y2810&lt;1,NOT(AND(C2811=C2810,Y2811=Y2810+1))),INDEX(DATAS,Y2810+1),"")</f>
        <v/>
      </c>
      <c r="AG2810" s="45" t="str">
        <f aca="false">IF(AND(AA2810=1,Y2810&lt;1),IF(AND(C2811=C2810,Y2811=Y2810+1),IF(AA2811=1,"",INDEX(DATAS,Y2810+1)),INDEX(DATAS,Y2810+1)),"")</f>
        <v/>
      </c>
    </row>
    <row r="2811" customFormat="false" ht="15" hidden="false" customHeight="false" outlineLevel="0" collapsed="false">
      <c r="A2811" s="45" t="n">
        <v>46309</v>
      </c>
      <c r="B2811" s="0" t="n">
        <v>13</v>
      </c>
      <c r="C2811" s="0" t="n">
        <v>7181</v>
      </c>
      <c r="E2811" s="0" t="n">
        <v>0</v>
      </c>
      <c r="F2811" s="39" t="s">
        <v>1360</v>
      </c>
      <c r="I2811" s="39" t="s">
        <v>136</v>
      </c>
      <c r="U2811" s="0" t="n">
        <v>318</v>
      </c>
      <c r="V2811" s="0" t="n">
        <v>0</v>
      </c>
      <c r="W2811" s="39" t="n">
        <f aca="false">IF(I2811="Male",0,1)</f>
        <v>1</v>
      </c>
      <c r="X2811" s="39" t="n">
        <f aca="false">IF(OR(I2811="DNB",I2811="Dry DNB"),1,0)</f>
        <v>0</v>
      </c>
      <c r="Y2811" s="39" t="n">
        <f aca="false">MATCH(A2811,DATAS,0)</f>
        <v>1</v>
      </c>
      <c r="Z2811" s="39" t="n">
        <f aca="false">IF(AND(E2811&gt;0,OR(AND(B2811&gt;=1,B2811&lt;=6),B2811=10)),1,0)</f>
        <v>0</v>
      </c>
      <c r="AA2811" s="39" t="n">
        <f aca="false">IF(AND(E2811&gt;0,B2811=10),1,0)</f>
        <v>0</v>
      </c>
      <c r="AB2811" s="0" t="str">
        <f aca="false">IF(AND(C2810=C2811,Y2810=Y2811-1),Z2810,"")</f>
        <v/>
      </c>
      <c r="AC2811" s="0" t="str">
        <f aca="false">IF(AND(C2810=C2811,Y2810=Y2811-1),AA2810,"")</f>
        <v/>
      </c>
      <c r="AD2811" s="0" t="str">
        <f aca="false">IF(Y2811=1,"",IF(AND(Z2811=1,AB2811&lt;&gt;1),1,0))</f>
        <v/>
      </c>
      <c r="AE2811" s="0" t="str">
        <f aca="false">IF(Y2811=1,"",IF(AND(AA2811=1,AC2811&lt;&gt;1),1,0))</f>
        <v/>
      </c>
      <c r="AF2811" s="45" t="str">
        <f aca="false">IF(AND(E2811&gt;0,Y2811&lt;1,NOT(AND(C2812=C2811,Y2812=Y2811+1))),INDEX(DATAS,Y2811+1),"")</f>
        <v/>
      </c>
      <c r="AG2811" s="45" t="str">
        <f aca="false">IF(AND(AA2811=1,Y2811&lt;1),IF(AND(C2812=C2811,Y2812=Y2811+1),IF(AA2812=1,"",INDEX(DATAS,Y2811+1)),INDEX(DATAS,Y2811+1)),"")</f>
        <v/>
      </c>
    </row>
    <row r="2812" customFormat="false" ht="15" hidden="false" customHeight="false" outlineLevel="0" collapsed="false">
      <c r="A2812" s="45" t="n">
        <v>46309</v>
      </c>
      <c r="B2812" s="0" t="n">
        <v>13</v>
      </c>
      <c r="C2812" s="0" t="n">
        <v>7182</v>
      </c>
      <c r="E2812" s="0" t="n">
        <v>0</v>
      </c>
      <c r="F2812" s="39" t="s">
        <v>1360</v>
      </c>
      <c r="I2812" s="39" t="s">
        <v>136</v>
      </c>
      <c r="U2812" s="0" t="n">
        <v>318</v>
      </c>
      <c r="V2812" s="0" t="n">
        <v>0</v>
      </c>
      <c r="W2812" s="39" t="n">
        <f aca="false">IF(I2812="Male",0,1)</f>
        <v>1</v>
      </c>
      <c r="X2812" s="39" t="n">
        <f aca="false">IF(OR(I2812="DNB",I2812="Dry DNB"),1,0)</f>
        <v>0</v>
      </c>
      <c r="Y2812" s="39" t="n">
        <f aca="false">MATCH(A2812,DATAS,0)</f>
        <v>1</v>
      </c>
      <c r="Z2812" s="39" t="n">
        <f aca="false">IF(AND(E2812&gt;0,OR(AND(B2812&gt;=1,B2812&lt;=6),B2812=10)),1,0)</f>
        <v>0</v>
      </c>
      <c r="AA2812" s="39" t="n">
        <f aca="false">IF(AND(E2812&gt;0,B2812=10),1,0)</f>
        <v>0</v>
      </c>
      <c r="AB2812" s="0" t="str">
        <f aca="false">IF(AND(C2811=C2812,Y2811=Y2812-1),Z2811,"")</f>
        <v/>
      </c>
      <c r="AC2812" s="0" t="str">
        <f aca="false">IF(AND(C2811=C2812,Y2811=Y2812-1),AA2811,"")</f>
        <v/>
      </c>
      <c r="AD2812" s="0" t="str">
        <f aca="false">IF(Y2812=1,"",IF(AND(Z2812=1,AB2812&lt;&gt;1),1,0))</f>
        <v/>
      </c>
      <c r="AE2812" s="0" t="str">
        <f aca="false">IF(Y2812=1,"",IF(AND(AA2812=1,AC2812&lt;&gt;1),1,0))</f>
        <v/>
      </c>
      <c r="AF2812" s="45" t="str">
        <f aca="false">IF(AND(E2812&gt;0,Y2812&lt;1,NOT(AND(C2813=C2812,Y2813=Y2812+1))),INDEX(DATAS,Y2812+1),"")</f>
        <v/>
      </c>
      <c r="AG2812" s="45" t="str">
        <f aca="false">IF(AND(AA2812=1,Y2812&lt;1),IF(AND(C2813=C2812,Y2813=Y2812+1),IF(AA2813=1,"",INDEX(DATAS,Y2812+1)),INDEX(DATAS,Y2812+1)),"")</f>
        <v/>
      </c>
    </row>
    <row r="2813" customFormat="false" ht="15" hidden="false" customHeight="false" outlineLevel="0" collapsed="false">
      <c r="A2813" s="45" t="n">
        <v>46309</v>
      </c>
      <c r="B2813" s="0" t="n">
        <v>13</v>
      </c>
      <c r="C2813" s="0" t="n">
        <v>7183</v>
      </c>
      <c r="E2813" s="0" t="n">
        <v>0</v>
      </c>
      <c r="F2813" s="39" t="s">
        <v>1360</v>
      </c>
      <c r="I2813" s="39" t="s">
        <v>136</v>
      </c>
      <c r="U2813" s="0" t="n">
        <v>318</v>
      </c>
      <c r="V2813" s="0" t="n">
        <v>0</v>
      </c>
      <c r="W2813" s="39" t="n">
        <f aca="false">IF(I2813="Male",0,1)</f>
        <v>1</v>
      </c>
      <c r="X2813" s="39" t="n">
        <f aca="false">IF(OR(I2813="DNB",I2813="Dry DNB"),1,0)</f>
        <v>0</v>
      </c>
      <c r="Y2813" s="39" t="n">
        <f aca="false">MATCH(A2813,DATAS,0)</f>
        <v>1</v>
      </c>
      <c r="Z2813" s="39" t="n">
        <f aca="false">IF(AND(E2813&gt;0,OR(AND(B2813&gt;=1,B2813&lt;=6),B2813=10)),1,0)</f>
        <v>0</v>
      </c>
      <c r="AA2813" s="39" t="n">
        <f aca="false">IF(AND(E2813&gt;0,B2813=10),1,0)</f>
        <v>0</v>
      </c>
      <c r="AB2813" s="0" t="str">
        <f aca="false">IF(AND(C2812=C2813,Y2812=Y2813-1),Z2812,"")</f>
        <v/>
      </c>
      <c r="AC2813" s="0" t="str">
        <f aca="false">IF(AND(C2812=C2813,Y2812=Y2813-1),AA2812,"")</f>
        <v/>
      </c>
      <c r="AD2813" s="0" t="str">
        <f aca="false">IF(Y2813=1,"",IF(AND(Z2813=1,AB2813&lt;&gt;1),1,0))</f>
        <v/>
      </c>
      <c r="AE2813" s="0" t="str">
        <f aca="false">IF(Y2813=1,"",IF(AND(AA2813=1,AC2813&lt;&gt;1),1,0))</f>
        <v/>
      </c>
      <c r="AF2813" s="45" t="str">
        <f aca="false">IF(AND(E2813&gt;0,Y2813&lt;1,NOT(AND(C2814=C2813,Y2814=Y2813+1))),INDEX(DATAS,Y2813+1),"")</f>
        <v/>
      </c>
      <c r="AG2813" s="45" t="str">
        <f aca="false">IF(AND(AA2813=1,Y2813&lt;1),IF(AND(C2814=C2813,Y2814=Y2813+1),IF(AA2814=1,"",INDEX(DATAS,Y2813+1)),INDEX(DATAS,Y2813+1)),"")</f>
        <v/>
      </c>
    </row>
    <row r="2814" customFormat="false" ht="15" hidden="false" customHeight="false" outlineLevel="0" collapsed="false">
      <c r="A2814" s="45" t="n">
        <v>46309</v>
      </c>
      <c r="B2814" s="0" t="n">
        <v>13</v>
      </c>
      <c r="C2814" s="0" t="n">
        <v>7184</v>
      </c>
      <c r="E2814" s="0" t="n">
        <v>0</v>
      </c>
      <c r="F2814" s="39" t="s">
        <v>1360</v>
      </c>
      <c r="I2814" s="39" t="s">
        <v>136</v>
      </c>
      <c r="U2814" s="0" t="n">
        <v>318</v>
      </c>
      <c r="V2814" s="0" t="n">
        <v>0</v>
      </c>
      <c r="W2814" s="39" t="n">
        <f aca="false">IF(I2814="Male",0,1)</f>
        <v>1</v>
      </c>
      <c r="X2814" s="39" t="n">
        <f aca="false">IF(OR(I2814="DNB",I2814="Dry DNB"),1,0)</f>
        <v>0</v>
      </c>
      <c r="Y2814" s="39" t="n">
        <f aca="false">MATCH(A2814,DATAS,0)</f>
        <v>1</v>
      </c>
      <c r="Z2814" s="39" t="n">
        <f aca="false">IF(AND(E2814&gt;0,OR(AND(B2814&gt;=1,B2814&lt;=6),B2814=10)),1,0)</f>
        <v>0</v>
      </c>
      <c r="AA2814" s="39" t="n">
        <f aca="false">IF(AND(E2814&gt;0,B2814=10),1,0)</f>
        <v>0</v>
      </c>
      <c r="AB2814" s="0" t="str">
        <f aca="false">IF(AND(C2813=C2814,Y2813=Y2814-1),Z2813,"")</f>
        <v/>
      </c>
      <c r="AC2814" s="0" t="str">
        <f aca="false">IF(AND(C2813=C2814,Y2813=Y2814-1),AA2813,"")</f>
        <v/>
      </c>
      <c r="AD2814" s="0" t="str">
        <f aca="false">IF(Y2814=1,"",IF(AND(Z2814=1,AB2814&lt;&gt;1),1,0))</f>
        <v/>
      </c>
      <c r="AE2814" s="0" t="str">
        <f aca="false">IF(Y2814=1,"",IF(AND(AA2814=1,AC2814&lt;&gt;1),1,0))</f>
        <v/>
      </c>
      <c r="AF2814" s="45" t="str">
        <f aca="false">IF(AND(E2814&gt;0,Y2814&lt;1,NOT(AND(C2815=C2814,Y2815=Y2814+1))),INDEX(DATAS,Y2814+1),"")</f>
        <v/>
      </c>
      <c r="AG2814" s="45" t="str">
        <f aca="false">IF(AND(AA2814=1,Y2814&lt;1),IF(AND(C2815=C2814,Y2815=Y2814+1),IF(AA2815=1,"",INDEX(DATAS,Y2814+1)),INDEX(DATAS,Y2814+1)),"")</f>
        <v/>
      </c>
    </row>
    <row r="2815" customFormat="false" ht="15" hidden="false" customHeight="false" outlineLevel="0" collapsed="false">
      <c r="A2815" s="45" t="n">
        <v>46309</v>
      </c>
      <c r="B2815" s="0" t="n">
        <v>13</v>
      </c>
      <c r="C2815" s="0" t="n">
        <v>7185</v>
      </c>
      <c r="E2815" s="0" t="n">
        <v>0</v>
      </c>
      <c r="F2815" s="39" t="s">
        <v>1361</v>
      </c>
      <c r="I2815" s="39" t="s">
        <v>136</v>
      </c>
      <c r="U2815" s="0" t="n">
        <v>317</v>
      </c>
      <c r="V2815" s="0" t="n">
        <v>0</v>
      </c>
      <c r="W2815" s="39" t="n">
        <f aca="false">IF(I2815="Male",0,1)</f>
        <v>1</v>
      </c>
      <c r="X2815" s="39" t="n">
        <f aca="false">IF(OR(I2815="DNB",I2815="Dry DNB"),1,0)</f>
        <v>0</v>
      </c>
      <c r="Y2815" s="39" t="n">
        <f aca="false">MATCH(A2815,DATAS,0)</f>
        <v>1</v>
      </c>
      <c r="Z2815" s="39" t="n">
        <f aca="false">IF(AND(E2815&gt;0,OR(AND(B2815&gt;=1,B2815&lt;=6),B2815=10)),1,0)</f>
        <v>0</v>
      </c>
      <c r="AA2815" s="39" t="n">
        <f aca="false">IF(AND(E2815&gt;0,B2815=10),1,0)</f>
        <v>0</v>
      </c>
      <c r="AB2815" s="0" t="str">
        <f aca="false">IF(AND(C2814=C2815,Y2814=Y2815-1),Z2814,"")</f>
        <v/>
      </c>
      <c r="AC2815" s="0" t="str">
        <f aca="false">IF(AND(C2814=C2815,Y2814=Y2815-1),AA2814,"")</f>
        <v/>
      </c>
      <c r="AD2815" s="0" t="str">
        <f aca="false">IF(Y2815=1,"",IF(AND(Z2815=1,AB2815&lt;&gt;1),1,0))</f>
        <v/>
      </c>
      <c r="AE2815" s="0" t="str">
        <f aca="false">IF(Y2815=1,"",IF(AND(AA2815=1,AC2815&lt;&gt;1),1,0))</f>
        <v/>
      </c>
      <c r="AF2815" s="45" t="str">
        <f aca="false">IF(AND(E2815&gt;0,Y2815&lt;1,NOT(AND(C2816=C2815,Y2816=Y2815+1))),INDEX(DATAS,Y2815+1),"")</f>
        <v/>
      </c>
      <c r="AG2815" s="45" t="str">
        <f aca="false">IF(AND(AA2815=1,Y2815&lt;1),IF(AND(C2816=C2815,Y2816=Y2815+1),IF(AA2816=1,"",INDEX(DATAS,Y2815+1)),INDEX(DATAS,Y2815+1)),"")</f>
        <v/>
      </c>
    </row>
    <row r="2816" customFormat="false" ht="15" hidden="false" customHeight="false" outlineLevel="0" collapsed="false">
      <c r="A2816" s="45" t="n">
        <v>46309</v>
      </c>
      <c r="B2816" s="0" t="n">
        <v>13</v>
      </c>
      <c r="C2816" s="0" t="n">
        <v>7186</v>
      </c>
      <c r="E2816" s="0" t="n">
        <v>0</v>
      </c>
      <c r="F2816" s="39" t="s">
        <v>1362</v>
      </c>
      <c r="I2816" s="39" t="s">
        <v>136</v>
      </c>
      <c r="U2816" s="0" t="n">
        <v>316</v>
      </c>
      <c r="V2816" s="0" t="n">
        <v>0</v>
      </c>
      <c r="W2816" s="39" t="n">
        <f aca="false">IF(I2816="Male",0,1)</f>
        <v>1</v>
      </c>
      <c r="X2816" s="39" t="n">
        <f aca="false">IF(OR(I2816="DNB",I2816="Dry DNB"),1,0)</f>
        <v>0</v>
      </c>
      <c r="Y2816" s="39" t="n">
        <f aca="false">MATCH(A2816,DATAS,0)</f>
        <v>1</v>
      </c>
      <c r="Z2816" s="39" t="n">
        <f aca="false">IF(AND(E2816&gt;0,OR(AND(B2816&gt;=1,B2816&lt;=6),B2816=10)),1,0)</f>
        <v>0</v>
      </c>
      <c r="AA2816" s="39" t="n">
        <f aca="false">IF(AND(E2816&gt;0,B2816=10),1,0)</f>
        <v>0</v>
      </c>
      <c r="AB2816" s="0" t="str">
        <f aca="false">IF(AND(C2815=C2816,Y2815=Y2816-1),Z2815,"")</f>
        <v/>
      </c>
      <c r="AC2816" s="0" t="str">
        <f aca="false">IF(AND(C2815=C2816,Y2815=Y2816-1),AA2815,"")</f>
        <v/>
      </c>
      <c r="AD2816" s="0" t="str">
        <f aca="false">IF(Y2816=1,"",IF(AND(Z2816=1,AB2816&lt;&gt;1),1,0))</f>
        <v/>
      </c>
      <c r="AE2816" s="0" t="str">
        <f aca="false">IF(Y2816=1,"",IF(AND(AA2816=1,AC2816&lt;&gt;1),1,0))</f>
        <v/>
      </c>
      <c r="AF2816" s="45" t="str">
        <f aca="false">IF(AND(E2816&gt;0,Y2816&lt;1,NOT(AND(C2817=C2816,Y2817=Y2816+1))),INDEX(DATAS,Y2816+1),"")</f>
        <v/>
      </c>
      <c r="AG2816" s="45" t="str">
        <f aca="false">IF(AND(AA2816=1,Y2816&lt;1),IF(AND(C2817=C2816,Y2817=Y2816+1),IF(AA2817=1,"",INDEX(DATAS,Y2816+1)),INDEX(DATAS,Y2816+1)),"")</f>
        <v/>
      </c>
    </row>
    <row r="2817" customFormat="false" ht="15" hidden="false" customHeight="false" outlineLevel="0" collapsed="false">
      <c r="A2817" s="45" t="n">
        <v>46309</v>
      </c>
      <c r="B2817" s="0" t="n">
        <v>13</v>
      </c>
      <c r="C2817" s="0" t="n">
        <v>7187</v>
      </c>
      <c r="E2817" s="0" t="n">
        <v>0</v>
      </c>
      <c r="F2817" s="39" t="s">
        <v>1362</v>
      </c>
      <c r="I2817" s="39" t="s">
        <v>136</v>
      </c>
      <c r="U2817" s="0" t="n">
        <v>316</v>
      </c>
      <c r="V2817" s="0" t="n">
        <v>0</v>
      </c>
      <c r="W2817" s="39" t="n">
        <f aca="false">IF(I2817="Male",0,1)</f>
        <v>1</v>
      </c>
      <c r="X2817" s="39" t="n">
        <f aca="false">IF(OR(I2817="DNB",I2817="Dry DNB"),1,0)</f>
        <v>0</v>
      </c>
      <c r="Y2817" s="39" t="n">
        <f aca="false">MATCH(A2817,DATAS,0)</f>
        <v>1</v>
      </c>
      <c r="Z2817" s="39" t="n">
        <f aca="false">IF(AND(E2817&gt;0,OR(AND(B2817&gt;=1,B2817&lt;=6),B2817=10)),1,0)</f>
        <v>0</v>
      </c>
      <c r="AA2817" s="39" t="n">
        <f aca="false">IF(AND(E2817&gt;0,B2817=10),1,0)</f>
        <v>0</v>
      </c>
      <c r="AB2817" s="0" t="str">
        <f aca="false">IF(AND(C2816=C2817,Y2816=Y2817-1),Z2816,"")</f>
        <v/>
      </c>
      <c r="AC2817" s="0" t="str">
        <f aca="false">IF(AND(C2816=C2817,Y2816=Y2817-1),AA2816,"")</f>
        <v/>
      </c>
      <c r="AD2817" s="0" t="str">
        <f aca="false">IF(Y2817=1,"",IF(AND(Z2817=1,AB2817&lt;&gt;1),1,0))</f>
        <v/>
      </c>
      <c r="AE2817" s="0" t="str">
        <f aca="false">IF(Y2817=1,"",IF(AND(AA2817=1,AC2817&lt;&gt;1),1,0))</f>
        <v/>
      </c>
      <c r="AF2817" s="45" t="str">
        <f aca="false">IF(AND(E2817&gt;0,Y2817&lt;1,NOT(AND(C2818=C2817,Y2818=Y2817+1))),INDEX(DATAS,Y2817+1),"")</f>
        <v/>
      </c>
      <c r="AG2817" s="45" t="str">
        <f aca="false">IF(AND(AA2817=1,Y2817&lt;1),IF(AND(C2818=C2817,Y2818=Y2817+1),IF(AA2818=1,"",INDEX(DATAS,Y2817+1)),INDEX(DATAS,Y2817+1)),"")</f>
        <v/>
      </c>
    </row>
    <row r="2818" customFormat="false" ht="15" hidden="false" customHeight="false" outlineLevel="0" collapsed="false">
      <c r="A2818" s="45" t="n">
        <v>46309</v>
      </c>
      <c r="B2818" s="0" t="n">
        <v>13</v>
      </c>
      <c r="C2818" s="0" t="n">
        <v>7188</v>
      </c>
      <c r="E2818" s="0" t="n">
        <v>0</v>
      </c>
      <c r="F2818" s="39" t="s">
        <v>1362</v>
      </c>
      <c r="I2818" s="39" t="s">
        <v>136</v>
      </c>
      <c r="U2818" s="0" t="n">
        <v>316</v>
      </c>
      <c r="V2818" s="0" t="n">
        <v>0</v>
      </c>
      <c r="W2818" s="39" t="n">
        <f aca="false">IF(I2818="Male",0,1)</f>
        <v>1</v>
      </c>
      <c r="X2818" s="39" t="n">
        <f aca="false">IF(OR(I2818="DNB",I2818="Dry DNB"),1,0)</f>
        <v>0</v>
      </c>
      <c r="Y2818" s="39" t="n">
        <f aca="false">MATCH(A2818,DATAS,0)</f>
        <v>1</v>
      </c>
      <c r="Z2818" s="39" t="n">
        <f aca="false">IF(AND(E2818&gt;0,OR(AND(B2818&gt;=1,B2818&lt;=6),B2818=10)),1,0)</f>
        <v>0</v>
      </c>
      <c r="AA2818" s="39" t="n">
        <f aca="false">IF(AND(E2818&gt;0,B2818=10),1,0)</f>
        <v>0</v>
      </c>
      <c r="AB2818" s="0" t="str">
        <f aca="false">IF(AND(C2817=C2818,Y2817=Y2818-1),Z2817,"")</f>
        <v/>
      </c>
      <c r="AC2818" s="0" t="str">
        <f aca="false">IF(AND(C2817=C2818,Y2817=Y2818-1),AA2817,"")</f>
        <v/>
      </c>
      <c r="AD2818" s="0" t="str">
        <f aca="false">IF(Y2818=1,"",IF(AND(Z2818=1,AB2818&lt;&gt;1),1,0))</f>
        <v/>
      </c>
      <c r="AE2818" s="0" t="str">
        <f aca="false">IF(Y2818=1,"",IF(AND(AA2818=1,AC2818&lt;&gt;1),1,0))</f>
        <v/>
      </c>
      <c r="AF2818" s="45" t="str">
        <f aca="false">IF(AND(E2818&gt;0,Y2818&lt;1,NOT(AND(C2819=C2818,Y2819=Y2818+1))),INDEX(DATAS,Y2818+1),"")</f>
        <v/>
      </c>
      <c r="AG2818" s="45" t="str">
        <f aca="false">IF(AND(AA2818=1,Y2818&lt;1),IF(AND(C2819=C2818,Y2819=Y2818+1),IF(AA2819=1,"",INDEX(DATAS,Y2818+1)),INDEX(DATAS,Y2818+1)),"")</f>
        <v/>
      </c>
    </row>
    <row r="2819" customFormat="false" ht="15" hidden="false" customHeight="false" outlineLevel="0" collapsed="false">
      <c r="A2819" s="45" t="n">
        <v>46309</v>
      </c>
      <c r="B2819" s="0" t="n">
        <v>13</v>
      </c>
      <c r="C2819" s="0" t="n">
        <v>7189</v>
      </c>
      <c r="E2819" s="0" t="n">
        <v>0</v>
      </c>
      <c r="F2819" s="39" t="s">
        <v>1362</v>
      </c>
      <c r="I2819" s="39" t="s">
        <v>136</v>
      </c>
      <c r="U2819" s="0" t="n">
        <v>316</v>
      </c>
      <c r="V2819" s="0" t="n">
        <v>0</v>
      </c>
      <c r="W2819" s="39" t="n">
        <f aca="false">IF(I2819="Male",0,1)</f>
        <v>1</v>
      </c>
      <c r="X2819" s="39" t="n">
        <f aca="false">IF(OR(I2819="DNB",I2819="Dry DNB"),1,0)</f>
        <v>0</v>
      </c>
      <c r="Y2819" s="39" t="n">
        <f aca="false">MATCH(A2819,DATAS,0)</f>
        <v>1</v>
      </c>
      <c r="Z2819" s="39" t="n">
        <f aca="false">IF(AND(E2819&gt;0,OR(AND(B2819&gt;=1,B2819&lt;=6),B2819=10)),1,0)</f>
        <v>0</v>
      </c>
      <c r="AA2819" s="39" t="n">
        <f aca="false">IF(AND(E2819&gt;0,B2819=10),1,0)</f>
        <v>0</v>
      </c>
      <c r="AB2819" s="0" t="str">
        <f aca="false">IF(AND(C2818=C2819,Y2818=Y2819-1),Z2818,"")</f>
        <v/>
      </c>
      <c r="AC2819" s="0" t="str">
        <f aca="false">IF(AND(C2818=C2819,Y2818=Y2819-1),AA2818,"")</f>
        <v/>
      </c>
      <c r="AD2819" s="0" t="str">
        <f aca="false">IF(Y2819=1,"",IF(AND(Z2819=1,AB2819&lt;&gt;1),1,0))</f>
        <v/>
      </c>
      <c r="AE2819" s="0" t="str">
        <f aca="false">IF(Y2819=1,"",IF(AND(AA2819=1,AC2819&lt;&gt;1),1,0))</f>
        <v/>
      </c>
      <c r="AF2819" s="45" t="str">
        <f aca="false">IF(AND(E2819&gt;0,Y2819&lt;1,NOT(AND(C2820=C2819,Y2820=Y2819+1))),INDEX(DATAS,Y2819+1),"")</f>
        <v/>
      </c>
      <c r="AG2819" s="45" t="str">
        <f aca="false">IF(AND(AA2819=1,Y2819&lt;1),IF(AND(C2820=C2819,Y2820=Y2819+1),IF(AA2820=1,"",INDEX(DATAS,Y2819+1)),INDEX(DATAS,Y2819+1)),"")</f>
        <v/>
      </c>
    </row>
    <row r="2820" customFormat="false" ht="15" hidden="false" customHeight="false" outlineLevel="0" collapsed="false">
      <c r="A2820" s="45" t="n">
        <v>46309</v>
      </c>
      <c r="B2820" s="0" t="n">
        <v>13</v>
      </c>
      <c r="C2820" s="0" t="n">
        <v>7190</v>
      </c>
      <c r="E2820" s="0" t="n">
        <v>0</v>
      </c>
      <c r="F2820" s="39" t="s">
        <v>1363</v>
      </c>
      <c r="I2820" s="39" t="s">
        <v>136</v>
      </c>
      <c r="U2820" s="0" t="n">
        <v>315</v>
      </c>
      <c r="V2820" s="0" t="n">
        <v>0</v>
      </c>
      <c r="W2820" s="39" t="n">
        <f aca="false">IF(I2820="Male",0,1)</f>
        <v>1</v>
      </c>
      <c r="X2820" s="39" t="n">
        <f aca="false">IF(OR(I2820="DNB",I2820="Dry DNB"),1,0)</f>
        <v>0</v>
      </c>
      <c r="Y2820" s="39" t="n">
        <f aca="false">MATCH(A2820,DATAS,0)</f>
        <v>1</v>
      </c>
      <c r="Z2820" s="39" t="n">
        <f aca="false">IF(AND(E2820&gt;0,OR(AND(B2820&gt;=1,B2820&lt;=6),B2820=10)),1,0)</f>
        <v>0</v>
      </c>
      <c r="AA2820" s="39" t="n">
        <f aca="false">IF(AND(E2820&gt;0,B2820=10),1,0)</f>
        <v>0</v>
      </c>
      <c r="AB2820" s="0" t="str">
        <f aca="false">IF(AND(C2819=C2820,Y2819=Y2820-1),Z2819,"")</f>
        <v/>
      </c>
      <c r="AC2820" s="0" t="str">
        <f aca="false">IF(AND(C2819=C2820,Y2819=Y2820-1),AA2819,"")</f>
        <v/>
      </c>
      <c r="AD2820" s="0" t="str">
        <f aca="false">IF(Y2820=1,"",IF(AND(Z2820=1,AB2820&lt;&gt;1),1,0))</f>
        <v/>
      </c>
      <c r="AE2820" s="0" t="str">
        <f aca="false">IF(Y2820=1,"",IF(AND(AA2820=1,AC2820&lt;&gt;1),1,0))</f>
        <v/>
      </c>
      <c r="AF2820" s="45" t="str">
        <f aca="false">IF(AND(E2820&gt;0,Y2820&lt;1,NOT(AND(C2821=C2820,Y2821=Y2820+1))),INDEX(DATAS,Y2820+1),"")</f>
        <v/>
      </c>
      <c r="AG2820" s="45" t="str">
        <f aca="false">IF(AND(AA2820=1,Y2820&lt;1),IF(AND(C2821=C2820,Y2821=Y2820+1),IF(AA2821=1,"",INDEX(DATAS,Y2820+1)),INDEX(DATAS,Y2820+1)),"")</f>
        <v/>
      </c>
    </row>
    <row r="2821" customFormat="false" ht="15" hidden="false" customHeight="false" outlineLevel="0" collapsed="false">
      <c r="A2821" s="45" t="n">
        <v>46309</v>
      </c>
      <c r="B2821" s="0" t="n">
        <v>13</v>
      </c>
      <c r="C2821" s="0" t="n">
        <v>7192</v>
      </c>
      <c r="E2821" s="0" t="n">
        <v>0</v>
      </c>
      <c r="F2821" s="39" t="s">
        <v>1363</v>
      </c>
      <c r="I2821" s="39" t="s">
        <v>136</v>
      </c>
      <c r="U2821" s="0" t="n">
        <v>315</v>
      </c>
      <c r="V2821" s="0" t="n">
        <v>0</v>
      </c>
      <c r="W2821" s="39" t="n">
        <f aca="false">IF(I2821="Male",0,1)</f>
        <v>1</v>
      </c>
      <c r="X2821" s="39" t="n">
        <f aca="false">IF(OR(I2821="DNB",I2821="Dry DNB"),1,0)</f>
        <v>0</v>
      </c>
      <c r="Y2821" s="39" t="n">
        <f aca="false">MATCH(A2821,DATAS,0)</f>
        <v>1</v>
      </c>
      <c r="Z2821" s="39" t="n">
        <f aca="false">IF(AND(E2821&gt;0,OR(AND(B2821&gt;=1,B2821&lt;=6),B2821=10)),1,0)</f>
        <v>0</v>
      </c>
      <c r="AA2821" s="39" t="n">
        <f aca="false">IF(AND(E2821&gt;0,B2821=10),1,0)</f>
        <v>0</v>
      </c>
      <c r="AB2821" s="0" t="str">
        <f aca="false">IF(AND(C2820=C2821,Y2820=Y2821-1),Z2820,"")</f>
        <v/>
      </c>
      <c r="AC2821" s="0" t="str">
        <f aca="false">IF(AND(C2820=C2821,Y2820=Y2821-1),AA2820,"")</f>
        <v/>
      </c>
      <c r="AD2821" s="0" t="str">
        <f aca="false">IF(Y2821=1,"",IF(AND(Z2821=1,AB2821&lt;&gt;1),1,0))</f>
        <v/>
      </c>
      <c r="AE2821" s="0" t="str">
        <f aca="false">IF(Y2821=1,"",IF(AND(AA2821=1,AC2821&lt;&gt;1),1,0))</f>
        <v/>
      </c>
      <c r="AF2821" s="45" t="str">
        <f aca="false">IF(AND(E2821&gt;0,Y2821&lt;1,NOT(AND(C2822=C2821,Y2822=Y2821+1))),INDEX(DATAS,Y2821+1),"")</f>
        <v/>
      </c>
      <c r="AG2821" s="45" t="str">
        <f aca="false">IF(AND(AA2821=1,Y2821&lt;1),IF(AND(C2822=C2821,Y2822=Y2821+1),IF(AA2822=1,"",INDEX(DATAS,Y2821+1)),INDEX(DATAS,Y2821+1)),"")</f>
        <v/>
      </c>
    </row>
    <row r="2822" customFormat="false" ht="15" hidden="false" customHeight="false" outlineLevel="0" collapsed="false">
      <c r="A2822" s="45" t="n">
        <v>46309</v>
      </c>
      <c r="B2822" s="0" t="n">
        <v>13</v>
      </c>
      <c r="C2822" s="0" t="n">
        <v>7193</v>
      </c>
      <c r="E2822" s="0" t="n">
        <v>0</v>
      </c>
      <c r="F2822" s="39" t="s">
        <v>1363</v>
      </c>
      <c r="I2822" s="39" t="s">
        <v>136</v>
      </c>
      <c r="U2822" s="0" t="n">
        <v>315</v>
      </c>
      <c r="V2822" s="0" t="n">
        <v>0</v>
      </c>
      <c r="W2822" s="39" t="n">
        <f aca="false">IF(I2822="Male",0,1)</f>
        <v>1</v>
      </c>
      <c r="X2822" s="39" t="n">
        <f aca="false">IF(OR(I2822="DNB",I2822="Dry DNB"),1,0)</f>
        <v>0</v>
      </c>
      <c r="Y2822" s="39" t="n">
        <f aca="false">MATCH(A2822,DATAS,0)</f>
        <v>1</v>
      </c>
      <c r="Z2822" s="39" t="n">
        <f aca="false">IF(AND(E2822&gt;0,OR(AND(B2822&gt;=1,B2822&lt;=6),B2822=10)),1,0)</f>
        <v>0</v>
      </c>
      <c r="AA2822" s="39" t="n">
        <f aca="false">IF(AND(E2822&gt;0,B2822=10),1,0)</f>
        <v>0</v>
      </c>
      <c r="AB2822" s="0" t="str">
        <f aca="false">IF(AND(C2821=C2822,Y2821=Y2822-1),Z2821,"")</f>
        <v/>
      </c>
      <c r="AC2822" s="0" t="str">
        <f aca="false">IF(AND(C2821=C2822,Y2821=Y2822-1),AA2821,"")</f>
        <v/>
      </c>
      <c r="AD2822" s="0" t="str">
        <f aca="false">IF(Y2822=1,"",IF(AND(Z2822=1,AB2822&lt;&gt;1),1,0))</f>
        <v/>
      </c>
      <c r="AE2822" s="0" t="str">
        <f aca="false">IF(Y2822=1,"",IF(AND(AA2822=1,AC2822&lt;&gt;1),1,0))</f>
        <v/>
      </c>
      <c r="AF2822" s="45" t="str">
        <f aca="false">IF(AND(E2822&gt;0,Y2822&lt;1,NOT(AND(C2823=C2822,Y2823=Y2822+1))),INDEX(DATAS,Y2822+1),"")</f>
        <v/>
      </c>
      <c r="AG2822" s="45" t="str">
        <f aca="false">IF(AND(AA2822=1,Y2822&lt;1),IF(AND(C2823=C2822,Y2823=Y2822+1),IF(AA2823=1,"",INDEX(DATAS,Y2822+1)),INDEX(DATAS,Y2822+1)),"")</f>
        <v/>
      </c>
    </row>
    <row r="2823" customFormat="false" ht="15" hidden="false" customHeight="false" outlineLevel="0" collapsed="false">
      <c r="A2823" s="45" t="n">
        <v>46309</v>
      </c>
      <c r="B2823" s="0" t="n">
        <v>13</v>
      </c>
      <c r="C2823" s="0" t="n">
        <v>7194</v>
      </c>
      <c r="E2823" s="0" t="n">
        <v>0</v>
      </c>
      <c r="F2823" s="39" t="s">
        <v>1363</v>
      </c>
      <c r="I2823" s="39" t="s">
        <v>136</v>
      </c>
      <c r="U2823" s="0" t="n">
        <v>315</v>
      </c>
      <c r="V2823" s="0" t="n">
        <v>0</v>
      </c>
      <c r="W2823" s="39" t="n">
        <f aca="false">IF(I2823="Male",0,1)</f>
        <v>1</v>
      </c>
      <c r="X2823" s="39" t="n">
        <f aca="false">IF(OR(I2823="DNB",I2823="Dry DNB"),1,0)</f>
        <v>0</v>
      </c>
      <c r="Y2823" s="39" t="n">
        <f aca="false">MATCH(A2823,DATAS,0)</f>
        <v>1</v>
      </c>
      <c r="Z2823" s="39" t="n">
        <f aca="false">IF(AND(E2823&gt;0,OR(AND(B2823&gt;=1,B2823&lt;=6),B2823=10)),1,0)</f>
        <v>0</v>
      </c>
      <c r="AA2823" s="39" t="n">
        <f aca="false">IF(AND(E2823&gt;0,B2823=10),1,0)</f>
        <v>0</v>
      </c>
      <c r="AB2823" s="0" t="str">
        <f aca="false">IF(AND(C2822=C2823,Y2822=Y2823-1),Z2822,"")</f>
        <v/>
      </c>
      <c r="AC2823" s="0" t="str">
        <f aca="false">IF(AND(C2822=C2823,Y2822=Y2823-1),AA2822,"")</f>
        <v/>
      </c>
      <c r="AD2823" s="0" t="str">
        <f aca="false">IF(Y2823=1,"",IF(AND(Z2823=1,AB2823&lt;&gt;1),1,0))</f>
        <v/>
      </c>
      <c r="AE2823" s="0" t="str">
        <f aca="false">IF(Y2823=1,"",IF(AND(AA2823=1,AC2823&lt;&gt;1),1,0))</f>
        <v/>
      </c>
      <c r="AF2823" s="45" t="str">
        <f aca="false">IF(AND(E2823&gt;0,Y2823&lt;1,NOT(AND(C2824=C2823,Y2824=Y2823+1))),INDEX(DATAS,Y2823+1),"")</f>
        <v/>
      </c>
      <c r="AG2823" s="45" t="str">
        <f aca="false">IF(AND(AA2823=1,Y2823&lt;1),IF(AND(C2824=C2823,Y2824=Y2823+1),IF(AA2824=1,"",INDEX(DATAS,Y2823+1)),INDEX(DATAS,Y2823+1)),"")</f>
        <v/>
      </c>
    </row>
    <row r="2824" customFormat="false" ht="15" hidden="false" customHeight="false" outlineLevel="0" collapsed="false">
      <c r="A2824" s="45" t="n">
        <v>46309</v>
      </c>
      <c r="B2824" s="0" t="n">
        <v>13</v>
      </c>
      <c r="C2824" s="0" t="n">
        <v>7195</v>
      </c>
      <c r="E2824" s="0" t="n">
        <v>0</v>
      </c>
      <c r="F2824" s="39" t="s">
        <v>1363</v>
      </c>
      <c r="I2824" s="39" t="s">
        <v>136</v>
      </c>
      <c r="U2824" s="0" t="n">
        <v>315</v>
      </c>
      <c r="V2824" s="0" t="n">
        <v>0</v>
      </c>
      <c r="W2824" s="39" t="n">
        <f aca="false">IF(I2824="Male",0,1)</f>
        <v>1</v>
      </c>
      <c r="X2824" s="39" t="n">
        <f aca="false">IF(OR(I2824="DNB",I2824="Dry DNB"),1,0)</f>
        <v>0</v>
      </c>
      <c r="Y2824" s="39" t="n">
        <f aca="false">MATCH(A2824,DATAS,0)</f>
        <v>1</v>
      </c>
      <c r="Z2824" s="39" t="n">
        <f aca="false">IF(AND(E2824&gt;0,OR(AND(B2824&gt;=1,B2824&lt;=6),B2824=10)),1,0)</f>
        <v>0</v>
      </c>
      <c r="AA2824" s="39" t="n">
        <f aca="false">IF(AND(E2824&gt;0,B2824=10),1,0)</f>
        <v>0</v>
      </c>
      <c r="AB2824" s="0" t="str">
        <f aca="false">IF(AND(C2823=C2824,Y2823=Y2824-1),Z2823,"")</f>
        <v/>
      </c>
      <c r="AC2824" s="0" t="str">
        <f aca="false">IF(AND(C2823=C2824,Y2823=Y2824-1),AA2823,"")</f>
        <v/>
      </c>
      <c r="AD2824" s="0" t="str">
        <f aca="false">IF(Y2824=1,"",IF(AND(Z2824=1,AB2824&lt;&gt;1),1,0))</f>
        <v/>
      </c>
      <c r="AE2824" s="0" t="str">
        <f aca="false">IF(Y2824=1,"",IF(AND(AA2824=1,AC2824&lt;&gt;1),1,0))</f>
        <v/>
      </c>
      <c r="AF2824" s="45" t="str">
        <f aca="false">IF(AND(E2824&gt;0,Y2824&lt;1,NOT(AND(C2825=C2824,Y2825=Y2824+1))),INDEX(DATAS,Y2824+1),"")</f>
        <v/>
      </c>
      <c r="AG2824" s="45" t="str">
        <f aca="false">IF(AND(AA2824=1,Y2824&lt;1),IF(AND(C2825=C2824,Y2825=Y2824+1),IF(AA2825=1,"",INDEX(DATAS,Y2824+1)),INDEX(DATAS,Y2824+1)),"")</f>
        <v/>
      </c>
    </row>
    <row r="2825" customFormat="false" ht="15" hidden="false" customHeight="false" outlineLevel="0" collapsed="false">
      <c r="A2825" s="45" t="n">
        <v>46309</v>
      </c>
      <c r="B2825" s="0" t="n">
        <v>13</v>
      </c>
      <c r="C2825" s="0" t="n">
        <v>7196</v>
      </c>
      <c r="E2825" s="0" t="n">
        <v>0</v>
      </c>
      <c r="F2825" s="39" t="s">
        <v>1364</v>
      </c>
      <c r="I2825" s="39" t="s">
        <v>136</v>
      </c>
      <c r="U2825" s="0" t="n">
        <v>314</v>
      </c>
      <c r="V2825" s="0" t="n">
        <v>0</v>
      </c>
      <c r="W2825" s="39" t="n">
        <f aca="false">IF(I2825="Male",0,1)</f>
        <v>1</v>
      </c>
      <c r="X2825" s="39" t="n">
        <f aca="false">IF(OR(I2825="DNB",I2825="Dry DNB"),1,0)</f>
        <v>0</v>
      </c>
      <c r="Y2825" s="39" t="n">
        <f aca="false">MATCH(A2825,DATAS,0)</f>
        <v>1</v>
      </c>
      <c r="Z2825" s="39" t="n">
        <f aca="false">IF(AND(E2825&gt;0,OR(AND(B2825&gt;=1,B2825&lt;=6),B2825=10)),1,0)</f>
        <v>0</v>
      </c>
      <c r="AA2825" s="39" t="n">
        <f aca="false">IF(AND(E2825&gt;0,B2825=10),1,0)</f>
        <v>0</v>
      </c>
      <c r="AB2825" s="0" t="str">
        <f aca="false">IF(AND(C2824=C2825,Y2824=Y2825-1),Z2824,"")</f>
        <v/>
      </c>
      <c r="AC2825" s="0" t="str">
        <f aca="false">IF(AND(C2824=C2825,Y2824=Y2825-1),AA2824,"")</f>
        <v/>
      </c>
      <c r="AD2825" s="0" t="str">
        <f aca="false">IF(Y2825=1,"",IF(AND(Z2825=1,AB2825&lt;&gt;1),1,0))</f>
        <v/>
      </c>
      <c r="AE2825" s="0" t="str">
        <f aca="false">IF(Y2825=1,"",IF(AND(AA2825=1,AC2825&lt;&gt;1),1,0))</f>
        <v/>
      </c>
      <c r="AF2825" s="45" t="str">
        <f aca="false">IF(AND(E2825&gt;0,Y2825&lt;1,NOT(AND(C2826=C2825,Y2826=Y2825+1))),INDEX(DATAS,Y2825+1),"")</f>
        <v/>
      </c>
      <c r="AG2825" s="45" t="str">
        <f aca="false">IF(AND(AA2825=1,Y2825&lt;1),IF(AND(C2826=C2825,Y2826=Y2825+1),IF(AA2826=1,"",INDEX(DATAS,Y2825+1)),INDEX(DATAS,Y2825+1)),"")</f>
        <v/>
      </c>
    </row>
    <row r="2826" customFormat="false" ht="15" hidden="false" customHeight="false" outlineLevel="0" collapsed="false">
      <c r="A2826" s="45" t="n">
        <v>46309</v>
      </c>
      <c r="B2826" s="0" t="n">
        <v>13</v>
      </c>
      <c r="C2826" s="0" t="n">
        <v>7198</v>
      </c>
      <c r="E2826" s="0" t="n">
        <v>0</v>
      </c>
      <c r="F2826" s="39" t="s">
        <v>1364</v>
      </c>
      <c r="I2826" s="39" t="s">
        <v>136</v>
      </c>
      <c r="U2826" s="0" t="n">
        <v>314</v>
      </c>
      <c r="V2826" s="0" t="n">
        <v>0</v>
      </c>
      <c r="W2826" s="39" t="n">
        <f aca="false">IF(I2826="Male",0,1)</f>
        <v>1</v>
      </c>
      <c r="X2826" s="39" t="n">
        <f aca="false">IF(OR(I2826="DNB",I2826="Dry DNB"),1,0)</f>
        <v>0</v>
      </c>
      <c r="Y2826" s="39" t="n">
        <f aca="false">MATCH(A2826,DATAS,0)</f>
        <v>1</v>
      </c>
      <c r="Z2826" s="39" t="n">
        <f aca="false">IF(AND(E2826&gt;0,OR(AND(B2826&gt;=1,B2826&lt;=6),B2826=10)),1,0)</f>
        <v>0</v>
      </c>
      <c r="AA2826" s="39" t="n">
        <f aca="false">IF(AND(E2826&gt;0,B2826=10),1,0)</f>
        <v>0</v>
      </c>
      <c r="AB2826" s="0" t="str">
        <f aca="false">IF(AND(C2825=C2826,Y2825=Y2826-1),Z2825,"")</f>
        <v/>
      </c>
      <c r="AC2826" s="0" t="str">
        <f aca="false">IF(AND(C2825=C2826,Y2825=Y2826-1),AA2825,"")</f>
        <v/>
      </c>
      <c r="AD2826" s="0" t="str">
        <f aca="false">IF(Y2826=1,"",IF(AND(Z2826=1,AB2826&lt;&gt;1),1,0))</f>
        <v/>
      </c>
      <c r="AE2826" s="0" t="str">
        <f aca="false">IF(Y2826=1,"",IF(AND(AA2826=1,AC2826&lt;&gt;1),1,0))</f>
        <v/>
      </c>
      <c r="AF2826" s="45" t="str">
        <f aca="false">IF(AND(E2826&gt;0,Y2826&lt;1,NOT(AND(C2827=C2826,Y2827=Y2826+1))),INDEX(DATAS,Y2826+1),"")</f>
        <v/>
      </c>
      <c r="AG2826" s="45" t="str">
        <f aca="false">IF(AND(AA2826=1,Y2826&lt;1),IF(AND(C2827=C2826,Y2827=Y2826+1),IF(AA2827=1,"",INDEX(DATAS,Y2826+1)),INDEX(DATAS,Y2826+1)),"")</f>
        <v/>
      </c>
    </row>
    <row r="2827" customFormat="false" ht="15" hidden="false" customHeight="false" outlineLevel="0" collapsed="false">
      <c r="A2827" s="45" t="n">
        <v>46309</v>
      </c>
      <c r="B2827" s="0" t="n">
        <v>13</v>
      </c>
      <c r="C2827" s="0" t="n">
        <v>7200</v>
      </c>
      <c r="E2827" s="0" t="n">
        <v>0</v>
      </c>
      <c r="F2827" s="39" t="s">
        <v>1365</v>
      </c>
      <c r="I2827" s="39" t="s">
        <v>136</v>
      </c>
      <c r="U2827" s="0" t="n">
        <v>313</v>
      </c>
      <c r="V2827" s="0" t="n">
        <v>0</v>
      </c>
      <c r="W2827" s="39" t="n">
        <f aca="false">IF(I2827="Male",0,1)</f>
        <v>1</v>
      </c>
      <c r="X2827" s="39" t="n">
        <f aca="false">IF(OR(I2827="DNB",I2827="Dry DNB"),1,0)</f>
        <v>0</v>
      </c>
      <c r="Y2827" s="39" t="n">
        <f aca="false">MATCH(A2827,DATAS,0)</f>
        <v>1</v>
      </c>
      <c r="Z2827" s="39" t="n">
        <f aca="false">IF(AND(E2827&gt;0,OR(AND(B2827&gt;=1,B2827&lt;=6),B2827=10)),1,0)</f>
        <v>0</v>
      </c>
      <c r="AA2827" s="39" t="n">
        <f aca="false">IF(AND(E2827&gt;0,B2827=10),1,0)</f>
        <v>0</v>
      </c>
      <c r="AB2827" s="0" t="str">
        <f aca="false">IF(AND(C2826=C2827,Y2826=Y2827-1),Z2826,"")</f>
        <v/>
      </c>
      <c r="AC2827" s="0" t="str">
        <f aca="false">IF(AND(C2826=C2827,Y2826=Y2827-1),AA2826,"")</f>
        <v/>
      </c>
      <c r="AD2827" s="0" t="str">
        <f aca="false">IF(Y2827=1,"",IF(AND(Z2827=1,AB2827&lt;&gt;1),1,0))</f>
        <v/>
      </c>
      <c r="AE2827" s="0" t="str">
        <f aca="false">IF(Y2827=1,"",IF(AND(AA2827=1,AC2827&lt;&gt;1),1,0))</f>
        <v/>
      </c>
      <c r="AF2827" s="45" t="str">
        <f aca="false">IF(AND(E2827&gt;0,Y2827&lt;1,NOT(AND(C2828=C2827,Y2828=Y2827+1))),INDEX(DATAS,Y2827+1),"")</f>
        <v/>
      </c>
      <c r="AG2827" s="45" t="str">
        <f aca="false">IF(AND(AA2827=1,Y2827&lt;1),IF(AND(C2828=C2827,Y2828=Y2827+1),IF(AA2828=1,"",INDEX(DATAS,Y2827+1)),INDEX(DATAS,Y2827+1)),"")</f>
        <v/>
      </c>
    </row>
    <row r="2828" customFormat="false" ht="15" hidden="false" customHeight="false" outlineLevel="0" collapsed="false">
      <c r="A2828" s="45" t="n">
        <v>46309</v>
      </c>
      <c r="B2828" s="0" t="n">
        <v>13</v>
      </c>
      <c r="C2828" s="0" t="n">
        <v>7201</v>
      </c>
      <c r="E2828" s="0" t="n">
        <v>0</v>
      </c>
      <c r="F2828" s="39" t="s">
        <v>1365</v>
      </c>
      <c r="I2828" s="39" t="s">
        <v>136</v>
      </c>
      <c r="U2828" s="0" t="n">
        <v>313</v>
      </c>
      <c r="V2828" s="0" t="n">
        <v>0</v>
      </c>
      <c r="W2828" s="39" t="n">
        <f aca="false">IF(I2828="Male",0,1)</f>
        <v>1</v>
      </c>
      <c r="X2828" s="39" t="n">
        <f aca="false">IF(OR(I2828="DNB",I2828="Dry DNB"),1,0)</f>
        <v>0</v>
      </c>
      <c r="Y2828" s="39" t="n">
        <f aca="false">MATCH(A2828,DATAS,0)</f>
        <v>1</v>
      </c>
      <c r="Z2828" s="39" t="n">
        <f aca="false">IF(AND(E2828&gt;0,OR(AND(B2828&gt;=1,B2828&lt;=6),B2828=10)),1,0)</f>
        <v>0</v>
      </c>
      <c r="AA2828" s="39" t="n">
        <f aca="false">IF(AND(E2828&gt;0,B2828=10),1,0)</f>
        <v>0</v>
      </c>
      <c r="AB2828" s="0" t="str">
        <f aca="false">IF(AND(C2827=C2828,Y2827=Y2828-1),Z2827,"")</f>
        <v/>
      </c>
      <c r="AC2828" s="0" t="str">
        <f aca="false">IF(AND(C2827=C2828,Y2827=Y2828-1),AA2827,"")</f>
        <v/>
      </c>
      <c r="AD2828" s="0" t="str">
        <f aca="false">IF(Y2828=1,"",IF(AND(Z2828=1,AB2828&lt;&gt;1),1,0))</f>
        <v/>
      </c>
      <c r="AE2828" s="0" t="str">
        <f aca="false">IF(Y2828=1,"",IF(AND(AA2828=1,AC2828&lt;&gt;1),1,0))</f>
        <v/>
      </c>
      <c r="AF2828" s="45" t="str">
        <f aca="false">IF(AND(E2828&gt;0,Y2828&lt;1,NOT(AND(C2829=C2828,Y2829=Y2828+1))),INDEX(DATAS,Y2828+1),"")</f>
        <v/>
      </c>
      <c r="AG2828" s="45" t="str">
        <f aca="false">IF(AND(AA2828=1,Y2828&lt;1),IF(AND(C2829=C2828,Y2829=Y2828+1),IF(AA2829=1,"",INDEX(DATAS,Y2828+1)),INDEX(DATAS,Y2828+1)),"")</f>
        <v/>
      </c>
    </row>
    <row r="2829" customFormat="false" ht="15" hidden="false" customHeight="false" outlineLevel="0" collapsed="false">
      <c r="A2829" s="45" t="n">
        <v>46309</v>
      </c>
      <c r="B2829" s="0" t="n">
        <v>13</v>
      </c>
      <c r="C2829" s="0" t="n">
        <v>7202</v>
      </c>
      <c r="E2829" s="0" t="n">
        <v>0</v>
      </c>
      <c r="F2829" s="39" t="s">
        <v>1365</v>
      </c>
      <c r="I2829" s="39" t="s">
        <v>136</v>
      </c>
      <c r="U2829" s="0" t="n">
        <v>313</v>
      </c>
      <c r="V2829" s="0" t="n">
        <v>0</v>
      </c>
      <c r="W2829" s="39" t="n">
        <f aca="false">IF(I2829="Male",0,1)</f>
        <v>1</v>
      </c>
      <c r="X2829" s="39" t="n">
        <f aca="false">IF(OR(I2829="DNB",I2829="Dry DNB"),1,0)</f>
        <v>0</v>
      </c>
      <c r="Y2829" s="39" t="n">
        <f aca="false">MATCH(A2829,DATAS,0)</f>
        <v>1</v>
      </c>
      <c r="Z2829" s="39" t="n">
        <f aca="false">IF(AND(E2829&gt;0,OR(AND(B2829&gt;=1,B2829&lt;=6),B2829=10)),1,0)</f>
        <v>0</v>
      </c>
      <c r="AA2829" s="39" t="n">
        <f aca="false">IF(AND(E2829&gt;0,B2829=10),1,0)</f>
        <v>0</v>
      </c>
      <c r="AB2829" s="0" t="str">
        <f aca="false">IF(AND(C2828=C2829,Y2828=Y2829-1),Z2828,"")</f>
        <v/>
      </c>
      <c r="AC2829" s="0" t="str">
        <f aca="false">IF(AND(C2828=C2829,Y2828=Y2829-1),AA2828,"")</f>
        <v/>
      </c>
      <c r="AD2829" s="0" t="str">
        <f aca="false">IF(Y2829=1,"",IF(AND(Z2829=1,AB2829&lt;&gt;1),1,0))</f>
        <v/>
      </c>
      <c r="AE2829" s="0" t="str">
        <f aca="false">IF(Y2829=1,"",IF(AND(AA2829=1,AC2829&lt;&gt;1),1,0))</f>
        <v/>
      </c>
      <c r="AF2829" s="45" t="str">
        <f aca="false">IF(AND(E2829&gt;0,Y2829&lt;1,NOT(AND(C2830=C2829,Y2830=Y2829+1))),INDEX(DATAS,Y2829+1),"")</f>
        <v/>
      </c>
      <c r="AG2829" s="45" t="str">
        <f aca="false">IF(AND(AA2829=1,Y2829&lt;1),IF(AND(C2830=C2829,Y2830=Y2829+1),IF(AA2830=1,"",INDEX(DATAS,Y2829+1)),INDEX(DATAS,Y2829+1)),"")</f>
        <v/>
      </c>
    </row>
    <row r="2830" customFormat="false" ht="15" hidden="false" customHeight="false" outlineLevel="0" collapsed="false">
      <c r="A2830" s="45" t="n">
        <v>46309</v>
      </c>
      <c r="B2830" s="0" t="n">
        <v>13</v>
      </c>
      <c r="C2830" s="0" t="n">
        <v>7203</v>
      </c>
      <c r="E2830" s="0" t="n">
        <v>0</v>
      </c>
      <c r="F2830" s="39" t="s">
        <v>1365</v>
      </c>
      <c r="I2830" s="39" t="s">
        <v>136</v>
      </c>
      <c r="U2830" s="0" t="n">
        <v>313</v>
      </c>
      <c r="V2830" s="0" t="n">
        <v>0</v>
      </c>
      <c r="W2830" s="39" t="n">
        <f aca="false">IF(I2830="Male",0,1)</f>
        <v>1</v>
      </c>
      <c r="X2830" s="39" t="n">
        <f aca="false">IF(OR(I2830="DNB",I2830="Dry DNB"),1,0)</f>
        <v>0</v>
      </c>
      <c r="Y2830" s="39" t="n">
        <f aca="false">MATCH(A2830,DATAS,0)</f>
        <v>1</v>
      </c>
      <c r="Z2830" s="39" t="n">
        <f aca="false">IF(AND(E2830&gt;0,OR(AND(B2830&gt;=1,B2830&lt;=6),B2830=10)),1,0)</f>
        <v>0</v>
      </c>
      <c r="AA2830" s="39" t="n">
        <f aca="false">IF(AND(E2830&gt;0,B2830=10),1,0)</f>
        <v>0</v>
      </c>
      <c r="AB2830" s="0" t="str">
        <f aca="false">IF(AND(C2829=C2830,Y2829=Y2830-1),Z2829,"")</f>
        <v/>
      </c>
      <c r="AC2830" s="0" t="str">
        <f aca="false">IF(AND(C2829=C2830,Y2829=Y2830-1),AA2829,"")</f>
        <v/>
      </c>
      <c r="AD2830" s="0" t="str">
        <f aca="false">IF(Y2830=1,"",IF(AND(Z2830=1,AB2830&lt;&gt;1),1,0))</f>
        <v/>
      </c>
      <c r="AE2830" s="0" t="str">
        <f aca="false">IF(Y2830=1,"",IF(AND(AA2830=1,AC2830&lt;&gt;1),1,0))</f>
        <v/>
      </c>
      <c r="AF2830" s="45" t="str">
        <f aca="false">IF(AND(E2830&gt;0,Y2830&lt;1,NOT(AND(C2831=C2830,Y2831=Y2830+1))),INDEX(DATAS,Y2830+1),"")</f>
        <v/>
      </c>
      <c r="AG2830" s="45" t="str">
        <f aca="false">IF(AND(AA2830=1,Y2830&lt;1),IF(AND(C2831=C2830,Y2831=Y2830+1),IF(AA2831=1,"",INDEX(DATAS,Y2830+1)),INDEX(DATAS,Y2830+1)),"")</f>
        <v/>
      </c>
    </row>
    <row r="2831" customFormat="false" ht="15" hidden="false" customHeight="false" outlineLevel="0" collapsed="false">
      <c r="A2831" s="45" t="n">
        <v>46309</v>
      </c>
      <c r="B2831" s="0" t="n">
        <v>13</v>
      </c>
      <c r="C2831" s="0" t="n">
        <v>7204</v>
      </c>
      <c r="E2831" s="0" t="n">
        <v>0</v>
      </c>
      <c r="F2831" s="39" t="s">
        <v>1366</v>
      </c>
      <c r="I2831" s="39" t="s">
        <v>136</v>
      </c>
      <c r="U2831" s="0" t="n">
        <v>311</v>
      </c>
      <c r="V2831" s="0" t="n">
        <v>0</v>
      </c>
      <c r="W2831" s="39" t="n">
        <f aca="false">IF(I2831="Male",0,1)</f>
        <v>1</v>
      </c>
      <c r="X2831" s="39" t="n">
        <f aca="false">IF(OR(I2831="DNB",I2831="Dry DNB"),1,0)</f>
        <v>0</v>
      </c>
      <c r="Y2831" s="39" t="n">
        <f aca="false">MATCH(A2831,DATAS,0)</f>
        <v>1</v>
      </c>
      <c r="Z2831" s="39" t="n">
        <f aca="false">IF(AND(E2831&gt;0,OR(AND(B2831&gt;=1,B2831&lt;=6),B2831=10)),1,0)</f>
        <v>0</v>
      </c>
      <c r="AA2831" s="39" t="n">
        <f aca="false">IF(AND(E2831&gt;0,B2831=10),1,0)</f>
        <v>0</v>
      </c>
      <c r="AB2831" s="0" t="str">
        <f aca="false">IF(AND(C2830=C2831,Y2830=Y2831-1),Z2830,"")</f>
        <v/>
      </c>
      <c r="AC2831" s="0" t="str">
        <f aca="false">IF(AND(C2830=C2831,Y2830=Y2831-1),AA2830,"")</f>
        <v/>
      </c>
      <c r="AD2831" s="0" t="str">
        <f aca="false">IF(Y2831=1,"",IF(AND(Z2831=1,AB2831&lt;&gt;1),1,0))</f>
        <v/>
      </c>
      <c r="AE2831" s="0" t="str">
        <f aca="false">IF(Y2831=1,"",IF(AND(AA2831=1,AC2831&lt;&gt;1),1,0))</f>
        <v/>
      </c>
      <c r="AF2831" s="45" t="str">
        <f aca="false">IF(AND(E2831&gt;0,Y2831&lt;1,NOT(AND(C2832=C2831,Y2832=Y2831+1))),INDEX(DATAS,Y2831+1),"")</f>
        <v/>
      </c>
      <c r="AG2831" s="45" t="str">
        <f aca="false">IF(AND(AA2831=1,Y2831&lt;1),IF(AND(C2832=C2831,Y2832=Y2831+1),IF(AA2832=1,"",INDEX(DATAS,Y2831+1)),INDEX(DATAS,Y2831+1)),"")</f>
        <v/>
      </c>
    </row>
    <row r="2832" customFormat="false" ht="15" hidden="false" customHeight="false" outlineLevel="0" collapsed="false">
      <c r="A2832" s="45" t="n">
        <v>46309</v>
      </c>
      <c r="B2832" s="0" t="n">
        <v>13</v>
      </c>
      <c r="C2832" s="0" t="n">
        <v>7205</v>
      </c>
      <c r="E2832" s="0" t="n">
        <v>0</v>
      </c>
      <c r="F2832" s="39" t="s">
        <v>1366</v>
      </c>
      <c r="I2832" s="39" t="s">
        <v>136</v>
      </c>
      <c r="U2832" s="0" t="n">
        <v>311</v>
      </c>
      <c r="V2832" s="0" t="n">
        <v>0</v>
      </c>
      <c r="W2832" s="39" t="n">
        <f aca="false">IF(I2832="Male",0,1)</f>
        <v>1</v>
      </c>
      <c r="X2832" s="39" t="n">
        <f aca="false">IF(OR(I2832="DNB",I2832="Dry DNB"),1,0)</f>
        <v>0</v>
      </c>
      <c r="Y2832" s="39" t="n">
        <f aca="false">MATCH(A2832,DATAS,0)</f>
        <v>1</v>
      </c>
      <c r="Z2832" s="39" t="n">
        <f aca="false">IF(AND(E2832&gt;0,OR(AND(B2832&gt;=1,B2832&lt;=6),B2832=10)),1,0)</f>
        <v>0</v>
      </c>
      <c r="AA2832" s="39" t="n">
        <f aca="false">IF(AND(E2832&gt;0,B2832=10),1,0)</f>
        <v>0</v>
      </c>
      <c r="AB2832" s="0" t="str">
        <f aca="false">IF(AND(C2831=C2832,Y2831=Y2832-1),Z2831,"")</f>
        <v/>
      </c>
      <c r="AC2832" s="0" t="str">
        <f aca="false">IF(AND(C2831=C2832,Y2831=Y2832-1),AA2831,"")</f>
        <v/>
      </c>
      <c r="AD2832" s="0" t="str">
        <f aca="false">IF(Y2832=1,"",IF(AND(Z2832=1,AB2832&lt;&gt;1),1,0))</f>
        <v/>
      </c>
      <c r="AE2832" s="0" t="str">
        <f aca="false">IF(Y2832=1,"",IF(AND(AA2832=1,AC2832&lt;&gt;1),1,0))</f>
        <v/>
      </c>
      <c r="AF2832" s="45" t="str">
        <f aca="false">IF(AND(E2832&gt;0,Y2832&lt;1,NOT(AND(C2833=C2832,Y2833=Y2832+1))),INDEX(DATAS,Y2832+1),"")</f>
        <v/>
      </c>
      <c r="AG2832" s="45" t="str">
        <f aca="false">IF(AND(AA2832=1,Y2832&lt;1),IF(AND(C2833=C2832,Y2833=Y2832+1),IF(AA2833=1,"",INDEX(DATAS,Y2832+1)),INDEX(DATAS,Y2832+1)),"")</f>
        <v/>
      </c>
    </row>
    <row r="2833" customFormat="false" ht="15" hidden="false" customHeight="false" outlineLevel="0" collapsed="false">
      <c r="A2833" s="45" t="n">
        <v>46309</v>
      </c>
      <c r="B2833" s="0" t="n">
        <v>13</v>
      </c>
      <c r="C2833" s="0" t="n">
        <v>7207</v>
      </c>
      <c r="E2833" s="0" t="n">
        <v>0</v>
      </c>
      <c r="F2833" s="39" t="s">
        <v>1366</v>
      </c>
      <c r="I2833" s="39" t="s">
        <v>136</v>
      </c>
      <c r="U2833" s="0" t="n">
        <v>311</v>
      </c>
      <c r="V2833" s="0" t="n">
        <v>0</v>
      </c>
      <c r="W2833" s="39" t="n">
        <f aca="false">IF(I2833="Male",0,1)</f>
        <v>1</v>
      </c>
      <c r="X2833" s="39" t="n">
        <f aca="false">IF(OR(I2833="DNB",I2833="Dry DNB"),1,0)</f>
        <v>0</v>
      </c>
      <c r="Y2833" s="39" t="n">
        <f aca="false">MATCH(A2833,DATAS,0)</f>
        <v>1</v>
      </c>
      <c r="Z2833" s="39" t="n">
        <f aca="false">IF(AND(E2833&gt;0,OR(AND(B2833&gt;=1,B2833&lt;=6),B2833=10)),1,0)</f>
        <v>0</v>
      </c>
      <c r="AA2833" s="39" t="n">
        <f aca="false">IF(AND(E2833&gt;0,B2833=10),1,0)</f>
        <v>0</v>
      </c>
      <c r="AB2833" s="0" t="str">
        <f aca="false">IF(AND(C2832=C2833,Y2832=Y2833-1),Z2832,"")</f>
        <v/>
      </c>
      <c r="AC2833" s="0" t="str">
        <f aca="false">IF(AND(C2832=C2833,Y2832=Y2833-1),AA2832,"")</f>
        <v/>
      </c>
      <c r="AD2833" s="0" t="str">
        <f aca="false">IF(Y2833=1,"",IF(AND(Z2833=1,AB2833&lt;&gt;1),1,0))</f>
        <v/>
      </c>
      <c r="AE2833" s="0" t="str">
        <f aca="false">IF(Y2833=1,"",IF(AND(AA2833=1,AC2833&lt;&gt;1),1,0))</f>
        <v/>
      </c>
      <c r="AF2833" s="45" t="str">
        <f aca="false">IF(AND(E2833&gt;0,Y2833&lt;1,NOT(AND(C2834=C2833,Y2834=Y2833+1))),INDEX(DATAS,Y2833+1),"")</f>
        <v/>
      </c>
      <c r="AG2833" s="45" t="str">
        <f aca="false">IF(AND(AA2833=1,Y2833&lt;1),IF(AND(C2834=C2833,Y2834=Y2833+1),IF(AA2834=1,"",INDEX(DATAS,Y2833+1)),INDEX(DATAS,Y2833+1)),"")</f>
        <v/>
      </c>
    </row>
    <row r="2834" customFormat="false" ht="15" hidden="false" customHeight="false" outlineLevel="0" collapsed="false">
      <c r="A2834" s="45" t="n">
        <v>46309</v>
      </c>
      <c r="B2834" s="0" t="n">
        <v>13</v>
      </c>
      <c r="C2834" s="0" t="n">
        <v>7208</v>
      </c>
      <c r="E2834" s="0" t="n">
        <v>0</v>
      </c>
      <c r="F2834" s="39" t="s">
        <v>1367</v>
      </c>
      <c r="I2834" s="39" t="s">
        <v>136</v>
      </c>
      <c r="U2834" s="0" t="n">
        <v>310</v>
      </c>
      <c r="V2834" s="0" t="n">
        <v>0</v>
      </c>
      <c r="W2834" s="39" t="n">
        <f aca="false">IF(I2834="Male",0,1)</f>
        <v>1</v>
      </c>
      <c r="X2834" s="39" t="n">
        <f aca="false">IF(OR(I2834="DNB",I2834="Dry DNB"),1,0)</f>
        <v>0</v>
      </c>
      <c r="Y2834" s="39" t="n">
        <f aca="false">MATCH(A2834,DATAS,0)</f>
        <v>1</v>
      </c>
      <c r="Z2834" s="39" t="n">
        <f aca="false">IF(AND(E2834&gt;0,OR(AND(B2834&gt;=1,B2834&lt;=6),B2834=10)),1,0)</f>
        <v>0</v>
      </c>
      <c r="AA2834" s="39" t="n">
        <f aca="false">IF(AND(E2834&gt;0,B2834=10),1,0)</f>
        <v>0</v>
      </c>
      <c r="AB2834" s="0" t="str">
        <f aca="false">IF(AND(C2833=C2834,Y2833=Y2834-1),Z2833,"")</f>
        <v/>
      </c>
      <c r="AC2834" s="0" t="str">
        <f aca="false">IF(AND(C2833=C2834,Y2833=Y2834-1),AA2833,"")</f>
        <v/>
      </c>
      <c r="AD2834" s="0" t="str">
        <f aca="false">IF(Y2834=1,"",IF(AND(Z2834=1,AB2834&lt;&gt;1),1,0))</f>
        <v/>
      </c>
      <c r="AE2834" s="0" t="str">
        <f aca="false">IF(Y2834=1,"",IF(AND(AA2834=1,AC2834&lt;&gt;1),1,0))</f>
        <v/>
      </c>
      <c r="AF2834" s="45" t="str">
        <f aca="false">IF(AND(E2834&gt;0,Y2834&lt;1,NOT(AND(C2835=C2834,Y2835=Y2834+1))),INDEX(DATAS,Y2834+1),"")</f>
        <v/>
      </c>
      <c r="AG2834" s="45" t="str">
        <f aca="false">IF(AND(AA2834=1,Y2834&lt;1),IF(AND(C2835=C2834,Y2835=Y2834+1),IF(AA2835=1,"",INDEX(DATAS,Y2834+1)),INDEX(DATAS,Y2834+1)),"")</f>
        <v/>
      </c>
    </row>
    <row r="2835" customFormat="false" ht="15" hidden="false" customHeight="false" outlineLevel="0" collapsed="false">
      <c r="A2835" s="45" t="n">
        <v>46309</v>
      </c>
      <c r="B2835" s="0" t="n">
        <v>13</v>
      </c>
      <c r="C2835" s="0" t="n">
        <v>7209</v>
      </c>
      <c r="E2835" s="0" t="n">
        <v>0</v>
      </c>
      <c r="F2835" s="39" t="s">
        <v>1368</v>
      </c>
      <c r="I2835" s="39" t="s">
        <v>136</v>
      </c>
      <c r="U2835" s="0" t="n">
        <v>309</v>
      </c>
      <c r="V2835" s="0" t="n">
        <v>0</v>
      </c>
      <c r="W2835" s="39" t="n">
        <f aca="false">IF(I2835="Male",0,1)</f>
        <v>1</v>
      </c>
      <c r="X2835" s="39" t="n">
        <f aca="false">IF(OR(I2835="DNB",I2835="Dry DNB"),1,0)</f>
        <v>0</v>
      </c>
      <c r="Y2835" s="39" t="n">
        <f aca="false">MATCH(A2835,DATAS,0)</f>
        <v>1</v>
      </c>
      <c r="Z2835" s="39" t="n">
        <f aca="false">IF(AND(E2835&gt;0,OR(AND(B2835&gt;=1,B2835&lt;=6),B2835=10)),1,0)</f>
        <v>0</v>
      </c>
      <c r="AA2835" s="39" t="n">
        <f aca="false">IF(AND(E2835&gt;0,B2835=10),1,0)</f>
        <v>0</v>
      </c>
      <c r="AB2835" s="0" t="str">
        <f aca="false">IF(AND(C2834=C2835,Y2834=Y2835-1),Z2834,"")</f>
        <v/>
      </c>
      <c r="AC2835" s="0" t="str">
        <f aca="false">IF(AND(C2834=C2835,Y2834=Y2835-1),AA2834,"")</f>
        <v/>
      </c>
      <c r="AD2835" s="0" t="str">
        <f aca="false">IF(Y2835=1,"",IF(AND(Z2835=1,AB2835&lt;&gt;1),1,0))</f>
        <v/>
      </c>
      <c r="AE2835" s="0" t="str">
        <f aca="false">IF(Y2835=1,"",IF(AND(AA2835=1,AC2835&lt;&gt;1),1,0))</f>
        <v/>
      </c>
      <c r="AF2835" s="45" t="str">
        <f aca="false">IF(AND(E2835&gt;0,Y2835&lt;1,NOT(AND(C2836=C2835,Y2836=Y2835+1))),INDEX(DATAS,Y2835+1),"")</f>
        <v/>
      </c>
      <c r="AG2835" s="45" t="str">
        <f aca="false">IF(AND(AA2835=1,Y2835&lt;1),IF(AND(C2836=C2835,Y2836=Y2835+1),IF(AA2836=1,"",INDEX(DATAS,Y2835+1)),INDEX(DATAS,Y2835+1)),"")</f>
        <v/>
      </c>
    </row>
    <row r="2836" customFormat="false" ht="15" hidden="false" customHeight="false" outlineLevel="0" collapsed="false">
      <c r="A2836" s="45" t="n">
        <v>46309</v>
      </c>
      <c r="B2836" s="0" t="n">
        <v>13</v>
      </c>
      <c r="C2836" s="0" t="n">
        <v>7210</v>
      </c>
      <c r="E2836" s="0" t="n">
        <v>0</v>
      </c>
      <c r="F2836" s="39" t="s">
        <v>1368</v>
      </c>
      <c r="I2836" s="39" t="s">
        <v>136</v>
      </c>
      <c r="U2836" s="0" t="n">
        <v>309</v>
      </c>
      <c r="V2836" s="0" t="n">
        <v>0</v>
      </c>
      <c r="W2836" s="39" t="n">
        <f aca="false">IF(I2836="Male",0,1)</f>
        <v>1</v>
      </c>
      <c r="X2836" s="39" t="n">
        <f aca="false">IF(OR(I2836="DNB",I2836="Dry DNB"),1,0)</f>
        <v>0</v>
      </c>
      <c r="Y2836" s="39" t="n">
        <f aca="false">MATCH(A2836,DATAS,0)</f>
        <v>1</v>
      </c>
      <c r="Z2836" s="39" t="n">
        <f aca="false">IF(AND(E2836&gt;0,OR(AND(B2836&gt;=1,B2836&lt;=6),B2836=10)),1,0)</f>
        <v>0</v>
      </c>
      <c r="AA2836" s="39" t="n">
        <f aca="false">IF(AND(E2836&gt;0,B2836=10),1,0)</f>
        <v>0</v>
      </c>
      <c r="AB2836" s="0" t="str">
        <f aca="false">IF(AND(C2835=C2836,Y2835=Y2836-1),Z2835,"")</f>
        <v/>
      </c>
      <c r="AC2836" s="0" t="str">
        <f aca="false">IF(AND(C2835=C2836,Y2835=Y2836-1),AA2835,"")</f>
        <v/>
      </c>
      <c r="AD2836" s="0" t="str">
        <f aca="false">IF(Y2836=1,"",IF(AND(Z2836=1,AB2836&lt;&gt;1),1,0))</f>
        <v/>
      </c>
      <c r="AE2836" s="0" t="str">
        <f aca="false">IF(Y2836=1,"",IF(AND(AA2836=1,AC2836&lt;&gt;1),1,0))</f>
        <v/>
      </c>
      <c r="AF2836" s="45" t="str">
        <f aca="false">IF(AND(E2836&gt;0,Y2836&lt;1,NOT(AND(C2837=C2836,Y2837=Y2836+1))),INDEX(DATAS,Y2836+1),"")</f>
        <v/>
      </c>
      <c r="AG2836" s="45" t="str">
        <f aca="false">IF(AND(AA2836=1,Y2836&lt;1),IF(AND(C2837=C2836,Y2837=Y2836+1),IF(AA2837=1,"",INDEX(DATAS,Y2836+1)),INDEX(DATAS,Y2836+1)),"")</f>
        <v/>
      </c>
    </row>
    <row r="2837" customFormat="false" ht="15" hidden="false" customHeight="false" outlineLevel="0" collapsed="false">
      <c r="A2837" s="45" t="n">
        <v>46309</v>
      </c>
      <c r="B2837" s="0" t="n">
        <v>13</v>
      </c>
      <c r="C2837" s="0" t="n">
        <v>7211</v>
      </c>
      <c r="E2837" s="0" t="n">
        <v>0</v>
      </c>
      <c r="F2837" s="39" t="s">
        <v>1368</v>
      </c>
      <c r="I2837" s="39" t="s">
        <v>136</v>
      </c>
      <c r="U2837" s="0" t="n">
        <v>309</v>
      </c>
      <c r="V2837" s="0" t="n">
        <v>0</v>
      </c>
      <c r="W2837" s="39" t="n">
        <f aca="false">IF(I2837="Male",0,1)</f>
        <v>1</v>
      </c>
      <c r="X2837" s="39" t="n">
        <f aca="false">IF(OR(I2837="DNB",I2837="Dry DNB"),1,0)</f>
        <v>0</v>
      </c>
      <c r="Y2837" s="39" t="n">
        <f aca="false">MATCH(A2837,DATAS,0)</f>
        <v>1</v>
      </c>
      <c r="Z2837" s="39" t="n">
        <f aca="false">IF(AND(E2837&gt;0,OR(AND(B2837&gt;=1,B2837&lt;=6),B2837=10)),1,0)</f>
        <v>0</v>
      </c>
      <c r="AA2837" s="39" t="n">
        <f aca="false">IF(AND(E2837&gt;0,B2837=10),1,0)</f>
        <v>0</v>
      </c>
      <c r="AB2837" s="0" t="str">
        <f aca="false">IF(AND(C2836=C2837,Y2836=Y2837-1),Z2836,"")</f>
        <v/>
      </c>
      <c r="AC2837" s="0" t="str">
        <f aca="false">IF(AND(C2836=C2837,Y2836=Y2837-1),AA2836,"")</f>
        <v/>
      </c>
      <c r="AD2837" s="0" t="str">
        <f aca="false">IF(Y2837=1,"",IF(AND(Z2837=1,AB2837&lt;&gt;1),1,0))</f>
        <v/>
      </c>
      <c r="AE2837" s="0" t="str">
        <f aca="false">IF(Y2837=1,"",IF(AND(AA2837=1,AC2837&lt;&gt;1),1,0))</f>
        <v/>
      </c>
      <c r="AF2837" s="45" t="str">
        <f aca="false">IF(AND(E2837&gt;0,Y2837&lt;1,NOT(AND(C2838=C2837,Y2838=Y2837+1))),INDEX(DATAS,Y2837+1),"")</f>
        <v/>
      </c>
      <c r="AG2837" s="45" t="str">
        <f aca="false">IF(AND(AA2837=1,Y2837&lt;1),IF(AND(C2838=C2837,Y2838=Y2837+1),IF(AA2838=1,"",INDEX(DATAS,Y2837+1)),INDEX(DATAS,Y2837+1)),"")</f>
        <v/>
      </c>
    </row>
    <row r="2838" customFormat="false" ht="15" hidden="false" customHeight="false" outlineLevel="0" collapsed="false">
      <c r="A2838" s="45" t="n">
        <v>46309</v>
      </c>
      <c r="B2838" s="0" t="n">
        <v>13</v>
      </c>
      <c r="C2838" s="0" t="n">
        <v>7212</v>
      </c>
      <c r="E2838" s="0" t="n">
        <v>0</v>
      </c>
      <c r="F2838" s="39" t="s">
        <v>1369</v>
      </c>
      <c r="I2838" s="39" t="s">
        <v>136</v>
      </c>
      <c r="U2838" s="0" t="n">
        <v>308</v>
      </c>
      <c r="V2838" s="0" t="n">
        <v>0</v>
      </c>
      <c r="W2838" s="39" t="n">
        <f aca="false">IF(I2838="Male",0,1)</f>
        <v>1</v>
      </c>
      <c r="X2838" s="39" t="n">
        <f aca="false">IF(OR(I2838="DNB",I2838="Dry DNB"),1,0)</f>
        <v>0</v>
      </c>
      <c r="Y2838" s="39" t="n">
        <f aca="false">MATCH(A2838,DATAS,0)</f>
        <v>1</v>
      </c>
      <c r="Z2838" s="39" t="n">
        <f aca="false">IF(AND(E2838&gt;0,OR(AND(B2838&gt;=1,B2838&lt;=6),B2838=10)),1,0)</f>
        <v>0</v>
      </c>
      <c r="AA2838" s="39" t="n">
        <f aca="false">IF(AND(E2838&gt;0,B2838=10),1,0)</f>
        <v>0</v>
      </c>
      <c r="AB2838" s="0" t="str">
        <f aca="false">IF(AND(C2837=C2838,Y2837=Y2838-1),Z2837,"")</f>
        <v/>
      </c>
      <c r="AC2838" s="0" t="str">
        <f aca="false">IF(AND(C2837=C2838,Y2837=Y2838-1),AA2837,"")</f>
        <v/>
      </c>
      <c r="AD2838" s="0" t="str">
        <f aca="false">IF(Y2838=1,"",IF(AND(Z2838=1,AB2838&lt;&gt;1),1,0))</f>
        <v/>
      </c>
      <c r="AE2838" s="0" t="str">
        <f aca="false">IF(Y2838=1,"",IF(AND(AA2838=1,AC2838&lt;&gt;1),1,0))</f>
        <v/>
      </c>
      <c r="AF2838" s="45" t="str">
        <f aca="false">IF(AND(E2838&gt;0,Y2838&lt;1,NOT(AND(C2839=C2838,Y2839=Y2838+1))),INDEX(DATAS,Y2838+1),"")</f>
        <v/>
      </c>
      <c r="AG2838" s="45" t="str">
        <f aca="false">IF(AND(AA2838=1,Y2838&lt;1),IF(AND(C2839=C2838,Y2839=Y2838+1),IF(AA2839=1,"",INDEX(DATAS,Y2838+1)),INDEX(DATAS,Y2838+1)),"")</f>
        <v/>
      </c>
    </row>
    <row r="2839" customFormat="false" ht="15" hidden="false" customHeight="false" outlineLevel="0" collapsed="false">
      <c r="A2839" s="45" t="n">
        <v>46309</v>
      </c>
      <c r="B2839" s="0" t="n">
        <v>13</v>
      </c>
      <c r="C2839" s="0" t="n">
        <v>7213</v>
      </c>
      <c r="E2839" s="0" t="n">
        <v>0</v>
      </c>
      <c r="F2839" s="39" t="s">
        <v>1369</v>
      </c>
      <c r="I2839" s="39" t="s">
        <v>136</v>
      </c>
      <c r="U2839" s="0" t="n">
        <v>308</v>
      </c>
      <c r="V2839" s="0" t="n">
        <v>0</v>
      </c>
      <c r="W2839" s="39" t="n">
        <f aca="false">IF(I2839="Male",0,1)</f>
        <v>1</v>
      </c>
      <c r="X2839" s="39" t="n">
        <f aca="false">IF(OR(I2839="DNB",I2839="Dry DNB"),1,0)</f>
        <v>0</v>
      </c>
      <c r="Y2839" s="39" t="n">
        <f aca="false">MATCH(A2839,DATAS,0)</f>
        <v>1</v>
      </c>
      <c r="Z2839" s="39" t="n">
        <f aca="false">IF(AND(E2839&gt;0,OR(AND(B2839&gt;=1,B2839&lt;=6),B2839=10)),1,0)</f>
        <v>0</v>
      </c>
      <c r="AA2839" s="39" t="n">
        <f aca="false">IF(AND(E2839&gt;0,B2839=10),1,0)</f>
        <v>0</v>
      </c>
      <c r="AB2839" s="0" t="str">
        <f aca="false">IF(AND(C2838=C2839,Y2838=Y2839-1),Z2838,"")</f>
        <v/>
      </c>
      <c r="AC2839" s="0" t="str">
        <f aca="false">IF(AND(C2838=C2839,Y2838=Y2839-1),AA2838,"")</f>
        <v/>
      </c>
      <c r="AD2839" s="0" t="str">
        <f aca="false">IF(Y2839=1,"",IF(AND(Z2839=1,AB2839&lt;&gt;1),1,0))</f>
        <v/>
      </c>
      <c r="AE2839" s="0" t="str">
        <f aca="false">IF(Y2839=1,"",IF(AND(AA2839=1,AC2839&lt;&gt;1),1,0))</f>
        <v/>
      </c>
      <c r="AF2839" s="45" t="str">
        <f aca="false">IF(AND(E2839&gt;0,Y2839&lt;1,NOT(AND(C2840=C2839,Y2840=Y2839+1))),INDEX(DATAS,Y2839+1),"")</f>
        <v/>
      </c>
      <c r="AG2839" s="45" t="str">
        <f aca="false">IF(AND(AA2839=1,Y2839&lt;1),IF(AND(C2840=C2839,Y2840=Y2839+1),IF(AA2840=1,"",INDEX(DATAS,Y2839+1)),INDEX(DATAS,Y2839+1)),"")</f>
        <v/>
      </c>
    </row>
    <row r="2840" customFormat="false" ht="15" hidden="false" customHeight="false" outlineLevel="0" collapsed="false">
      <c r="A2840" s="45" t="n">
        <v>46309</v>
      </c>
      <c r="B2840" s="0" t="n">
        <v>13</v>
      </c>
      <c r="C2840" s="0" t="n">
        <v>7214</v>
      </c>
      <c r="E2840" s="0" t="n">
        <v>0</v>
      </c>
      <c r="F2840" s="39" t="s">
        <v>1370</v>
      </c>
      <c r="I2840" s="39" t="s">
        <v>136</v>
      </c>
      <c r="U2840" s="0" t="n">
        <v>307</v>
      </c>
      <c r="V2840" s="0" t="n">
        <v>0</v>
      </c>
      <c r="W2840" s="39" t="n">
        <f aca="false">IF(I2840="Male",0,1)</f>
        <v>1</v>
      </c>
      <c r="X2840" s="39" t="n">
        <f aca="false">IF(OR(I2840="DNB",I2840="Dry DNB"),1,0)</f>
        <v>0</v>
      </c>
      <c r="Y2840" s="39" t="n">
        <f aca="false">MATCH(A2840,DATAS,0)</f>
        <v>1</v>
      </c>
      <c r="Z2840" s="39" t="n">
        <f aca="false">IF(AND(E2840&gt;0,OR(AND(B2840&gt;=1,B2840&lt;=6),B2840=10)),1,0)</f>
        <v>0</v>
      </c>
      <c r="AA2840" s="39" t="n">
        <f aca="false">IF(AND(E2840&gt;0,B2840=10),1,0)</f>
        <v>0</v>
      </c>
      <c r="AB2840" s="0" t="str">
        <f aca="false">IF(AND(C2839=C2840,Y2839=Y2840-1),Z2839,"")</f>
        <v/>
      </c>
      <c r="AC2840" s="0" t="str">
        <f aca="false">IF(AND(C2839=C2840,Y2839=Y2840-1),AA2839,"")</f>
        <v/>
      </c>
      <c r="AD2840" s="0" t="str">
        <f aca="false">IF(Y2840=1,"",IF(AND(Z2840=1,AB2840&lt;&gt;1),1,0))</f>
        <v/>
      </c>
      <c r="AE2840" s="0" t="str">
        <f aca="false">IF(Y2840=1,"",IF(AND(AA2840=1,AC2840&lt;&gt;1),1,0))</f>
        <v/>
      </c>
      <c r="AF2840" s="45" t="str">
        <f aca="false">IF(AND(E2840&gt;0,Y2840&lt;1,NOT(AND(C2841=C2840,Y2841=Y2840+1))),INDEX(DATAS,Y2840+1),"")</f>
        <v/>
      </c>
      <c r="AG2840" s="45" t="str">
        <f aca="false">IF(AND(AA2840=1,Y2840&lt;1),IF(AND(C2841=C2840,Y2841=Y2840+1),IF(AA2841=1,"",INDEX(DATAS,Y2840+1)),INDEX(DATAS,Y2840+1)),"")</f>
        <v/>
      </c>
    </row>
    <row r="2841" customFormat="false" ht="15" hidden="false" customHeight="false" outlineLevel="0" collapsed="false">
      <c r="A2841" s="45" t="n">
        <v>46309</v>
      </c>
      <c r="B2841" s="0" t="n">
        <v>13</v>
      </c>
      <c r="C2841" s="0" t="n">
        <v>7215</v>
      </c>
      <c r="E2841" s="0" t="n">
        <v>0</v>
      </c>
      <c r="F2841" s="39" t="s">
        <v>1370</v>
      </c>
      <c r="I2841" s="39" t="s">
        <v>136</v>
      </c>
      <c r="U2841" s="0" t="n">
        <v>307</v>
      </c>
      <c r="V2841" s="0" t="n">
        <v>0</v>
      </c>
      <c r="W2841" s="39" t="n">
        <f aca="false">IF(I2841="Male",0,1)</f>
        <v>1</v>
      </c>
      <c r="X2841" s="39" t="n">
        <f aca="false">IF(OR(I2841="DNB",I2841="Dry DNB"),1,0)</f>
        <v>0</v>
      </c>
      <c r="Y2841" s="39" t="n">
        <f aca="false">MATCH(A2841,DATAS,0)</f>
        <v>1</v>
      </c>
      <c r="Z2841" s="39" t="n">
        <f aca="false">IF(AND(E2841&gt;0,OR(AND(B2841&gt;=1,B2841&lt;=6),B2841=10)),1,0)</f>
        <v>0</v>
      </c>
      <c r="AA2841" s="39" t="n">
        <f aca="false">IF(AND(E2841&gt;0,B2841=10),1,0)</f>
        <v>0</v>
      </c>
      <c r="AB2841" s="0" t="str">
        <f aca="false">IF(AND(C2840=C2841,Y2840=Y2841-1),Z2840,"")</f>
        <v/>
      </c>
      <c r="AC2841" s="0" t="str">
        <f aca="false">IF(AND(C2840=C2841,Y2840=Y2841-1),AA2840,"")</f>
        <v/>
      </c>
      <c r="AD2841" s="0" t="str">
        <f aca="false">IF(Y2841=1,"",IF(AND(Z2841=1,AB2841&lt;&gt;1),1,0))</f>
        <v/>
      </c>
      <c r="AE2841" s="0" t="str">
        <f aca="false">IF(Y2841=1,"",IF(AND(AA2841=1,AC2841&lt;&gt;1),1,0))</f>
        <v/>
      </c>
      <c r="AF2841" s="45" t="str">
        <f aca="false">IF(AND(E2841&gt;0,Y2841&lt;1,NOT(AND(C2842=C2841,Y2842=Y2841+1))),INDEX(DATAS,Y2841+1),"")</f>
        <v/>
      </c>
      <c r="AG2841" s="45" t="str">
        <f aca="false">IF(AND(AA2841=1,Y2841&lt;1),IF(AND(C2842=C2841,Y2842=Y2841+1),IF(AA2842=1,"",INDEX(DATAS,Y2841+1)),INDEX(DATAS,Y2841+1)),"")</f>
        <v/>
      </c>
    </row>
    <row r="2842" customFormat="false" ht="15" hidden="false" customHeight="false" outlineLevel="0" collapsed="false">
      <c r="A2842" s="45" t="n">
        <v>46309</v>
      </c>
      <c r="B2842" s="0" t="n">
        <v>13</v>
      </c>
      <c r="C2842" s="0" t="n">
        <v>7216</v>
      </c>
      <c r="E2842" s="0" t="n">
        <v>0</v>
      </c>
      <c r="F2842" s="39" t="s">
        <v>1370</v>
      </c>
      <c r="I2842" s="39" t="s">
        <v>136</v>
      </c>
      <c r="U2842" s="0" t="n">
        <v>307</v>
      </c>
      <c r="V2842" s="0" t="n">
        <v>0</v>
      </c>
      <c r="W2842" s="39" t="n">
        <f aca="false">IF(I2842="Male",0,1)</f>
        <v>1</v>
      </c>
      <c r="X2842" s="39" t="n">
        <f aca="false">IF(OR(I2842="DNB",I2842="Dry DNB"),1,0)</f>
        <v>0</v>
      </c>
      <c r="Y2842" s="39" t="n">
        <f aca="false">MATCH(A2842,DATAS,0)</f>
        <v>1</v>
      </c>
      <c r="Z2842" s="39" t="n">
        <f aca="false">IF(AND(E2842&gt;0,OR(AND(B2842&gt;=1,B2842&lt;=6),B2842=10)),1,0)</f>
        <v>0</v>
      </c>
      <c r="AA2842" s="39" t="n">
        <f aca="false">IF(AND(E2842&gt;0,B2842=10),1,0)</f>
        <v>0</v>
      </c>
      <c r="AB2842" s="0" t="str">
        <f aca="false">IF(AND(C2841=C2842,Y2841=Y2842-1),Z2841,"")</f>
        <v/>
      </c>
      <c r="AC2842" s="0" t="str">
        <f aca="false">IF(AND(C2841=C2842,Y2841=Y2842-1),AA2841,"")</f>
        <v/>
      </c>
      <c r="AD2842" s="0" t="str">
        <f aca="false">IF(Y2842=1,"",IF(AND(Z2842=1,AB2842&lt;&gt;1),1,0))</f>
        <v/>
      </c>
      <c r="AE2842" s="0" t="str">
        <f aca="false">IF(Y2842=1,"",IF(AND(AA2842=1,AC2842&lt;&gt;1),1,0))</f>
        <v/>
      </c>
      <c r="AF2842" s="45" t="str">
        <f aca="false">IF(AND(E2842&gt;0,Y2842&lt;1,NOT(AND(C2843=C2842,Y2843=Y2842+1))),INDEX(DATAS,Y2842+1),"")</f>
        <v/>
      </c>
      <c r="AG2842" s="45" t="str">
        <f aca="false">IF(AND(AA2842=1,Y2842&lt;1),IF(AND(C2843=C2842,Y2843=Y2842+1),IF(AA2843=1,"",INDEX(DATAS,Y2842+1)),INDEX(DATAS,Y2842+1)),"")</f>
        <v/>
      </c>
    </row>
    <row r="2843" customFormat="false" ht="15" hidden="false" customHeight="false" outlineLevel="0" collapsed="false">
      <c r="A2843" s="45" t="n">
        <v>46309</v>
      </c>
      <c r="B2843" s="0" t="n">
        <v>13</v>
      </c>
      <c r="C2843" s="0" t="n">
        <v>7217</v>
      </c>
      <c r="E2843" s="0" t="n">
        <v>0</v>
      </c>
      <c r="F2843" s="39" t="s">
        <v>1371</v>
      </c>
      <c r="I2843" s="39" t="s">
        <v>136</v>
      </c>
      <c r="U2843" s="0" t="n">
        <v>306</v>
      </c>
      <c r="V2843" s="0" t="n">
        <v>0</v>
      </c>
      <c r="W2843" s="39" t="n">
        <f aca="false">IF(I2843="Male",0,1)</f>
        <v>1</v>
      </c>
      <c r="X2843" s="39" t="n">
        <f aca="false">IF(OR(I2843="DNB",I2843="Dry DNB"),1,0)</f>
        <v>0</v>
      </c>
      <c r="Y2843" s="39" t="n">
        <f aca="false">MATCH(A2843,DATAS,0)</f>
        <v>1</v>
      </c>
      <c r="Z2843" s="39" t="n">
        <f aca="false">IF(AND(E2843&gt;0,OR(AND(B2843&gt;=1,B2843&lt;=6),B2843=10)),1,0)</f>
        <v>0</v>
      </c>
      <c r="AA2843" s="39" t="n">
        <f aca="false">IF(AND(E2843&gt;0,B2843=10),1,0)</f>
        <v>0</v>
      </c>
      <c r="AB2843" s="0" t="str">
        <f aca="false">IF(AND(C2842=C2843,Y2842=Y2843-1),Z2842,"")</f>
        <v/>
      </c>
      <c r="AC2843" s="0" t="str">
        <f aca="false">IF(AND(C2842=C2843,Y2842=Y2843-1),AA2842,"")</f>
        <v/>
      </c>
      <c r="AD2843" s="0" t="str">
        <f aca="false">IF(Y2843=1,"",IF(AND(Z2843=1,AB2843&lt;&gt;1),1,0))</f>
        <v/>
      </c>
      <c r="AE2843" s="0" t="str">
        <f aca="false">IF(Y2843=1,"",IF(AND(AA2843=1,AC2843&lt;&gt;1),1,0))</f>
        <v/>
      </c>
      <c r="AF2843" s="45" t="str">
        <f aca="false">IF(AND(E2843&gt;0,Y2843&lt;1,NOT(AND(C2844=C2843,Y2844=Y2843+1))),INDEX(DATAS,Y2843+1),"")</f>
        <v/>
      </c>
      <c r="AG2843" s="45" t="str">
        <f aca="false">IF(AND(AA2843=1,Y2843&lt;1),IF(AND(C2844=C2843,Y2844=Y2843+1),IF(AA2844=1,"",INDEX(DATAS,Y2843+1)),INDEX(DATAS,Y2843+1)),"")</f>
        <v/>
      </c>
    </row>
    <row r="2844" customFormat="false" ht="15" hidden="false" customHeight="false" outlineLevel="0" collapsed="false">
      <c r="A2844" s="45" t="n">
        <v>46309</v>
      </c>
      <c r="B2844" s="0" t="n">
        <v>13</v>
      </c>
      <c r="C2844" s="0" t="n">
        <v>7218</v>
      </c>
      <c r="E2844" s="0" t="n">
        <v>0</v>
      </c>
      <c r="F2844" s="39" t="s">
        <v>1371</v>
      </c>
      <c r="I2844" s="39" t="s">
        <v>136</v>
      </c>
      <c r="U2844" s="0" t="n">
        <v>306</v>
      </c>
      <c r="V2844" s="0" t="n">
        <v>0</v>
      </c>
      <c r="W2844" s="39" t="n">
        <f aca="false">IF(I2844="Male",0,1)</f>
        <v>1</v>
      </c>
      <c r="X2844" s="39" t="n">
        <f aca="false">IF(OR(I2844="DNB",I2844="Dry DNB"),1,0)</f>
        <v>0</v>
      </c>
      <c r="Y2844" s="39" t="n">
        <f aca="false">MATCH(A2844,DATAS,0)</f>
        <v>1</v>
      </c>
      <c r="Z2844" s="39" t="n">
        <f aca="false">IF(AND(E2844&gt;0,OR(AND(B2844&gt;=1,B2844&lt;=6),B2844=10)),1,0)</f>
        <v>0</v>
      </c>
      <c r="AA2844" s="39" t="n">
        <f aca="false">IF(AND(E2844&gt;0,B2844=10),1,0)</f>
        <v>0</v>
      </c>
      <c r="AB2844" s="0" t="str">
        <f aca="false">IF(AND(C2843=C2844,Y2843=Y2844-1),Z2843,"")</f>
        <v/>
      </c>
      <c r="AC2844" s="0" t="str">
        <f aca="false">IF(AND(C2843=C2844,Y2843=Y2844-1),AA2843,"")</f>
        <v/>
      </c>
      <c r="AD2844" s="0" t="str">
        <f aca="false">IF(Y2844=1,"",IF(AND(Z2844=1,AB2844&lt;&gt;1),1,0))</f>
        <v/>
      </c>
      <c r="AE2844" s="0" t="str">
        <f aca="false">IF(Y2844=1,"",IF(AND(AA2844=1,AC2844&lt;&gt;1),1,0))</f>
        <v/>
      </c>
      <c r="AF2844" s="45" t="str">
        <f aca="false">IF(AND(E2844&gt;0,Y2844&lt;1,NOT(AND(C2845=C2844,Y2845=Y2844+1))),INDEX(DATAS,Y2844+1),"")</f>
        <v/>
      </c>
      <c r="AG2844" s="45" t="str">
        <f aca="false">IF(AND(AA2844=1,Y2844&lt;1),IF(AND(C2845=C2844,Y2845=Y2844+1),IF(AA2845=1,"",INDEX(DATAS,Y2844+1)),INDEX(DATAS,Y2844+1)),"")</f>
        <v/>
      </c>
    </row>
    <row r="2845" customFormat="false" ht="15" hidden="false" customHeight="false" outlineLevel="0" collapsed="false">
      <c r="A2845" s="45" t="n">
        <v>46309</v>
      </c>
      <c r="B2845" s="0" t="n">
        <v>13</v>
      </c>
      <c r="C2845" s="0" t="n">
        <v>7219</v>
      </c>
      <c r="E2845" s="0" t="n">
        <v>0</v>
      </c>
      <c r="F2845" s="39" t="s">
        <v>1371</v>
      </c>
      <c r="I2845" s="39" t="s">
        <v>136</v>
      </c>
      <c r="U2845" s="0" t="n">
        <v>306</v>
      </c>
      <c r="V2845" s="0" t="n">
        <v>0</v>
      </c>
      <c r="W2845" s="39" t="n">
        <f aca="false">IF(I2845="Male",0,1)</f>
        <v>1</v>
      </c>
      <c r="X2845" s="39" t="n">
        <f aca="false">IF(OR(I2845="DNB",I2845="Dry DNB"),1,0)</f>
        <v>0</v>
      </c>
      <c r="Y2845" s="39" t="n">
        <f aca="false">MATCH(A2845,DATAS,0)</f>
        <v>1</v>
      </c>
      <c r="Z2845" s="39" t="n">
        <f aca="false">IF(AND(E2845&gt;0,OR(AND(B2845&gt;=1,B2845&lt;=6),B2845=10)),1,0)</f>
        <v>0</v>
      </c>
      <c r="AA2845" s="39" t="n">
        <f aca="false">IF(AND(E2845&gt;0,B2845=10),1,0)</f>
        <v>0</v>
      </c>
      <c r="AB2845" s="0" t="str">
        <f aca="false">IF(AND(C2844=C2845,Y2844=Y2845-1),Z2844,"")</f>
        <v/>
      </c>
      <c r="AC2845" s="0" t="str">
        <f aca="false">IF(AND(C2844=C2845,Y2844=Y2845-1),AA2844,"")</f>
        <v/>
      </c>
      <c r="AD2845" s="0" t="str">
        <f aca="false">IF(Y2845=1,"",IF(AND(Z2845=1,AB2845&lt;&gt;1),1,0))</f>
        <v/>
      </c>
      <c r="AE2845" s="0" t="str">
        <f aca="false">IF(Y2845=1,"",IF(AND(AA2845=1,AC2845&lt;&gt;1),1,0))</f>
        <v/>
      </c>
      <c r="AF2845" s="45" t="str">
        <f aca="false">IF(AND(E2845&gt;0,Y2845&lt;1,NOT(AND(C2846=C2845,Y2846=Y2845+1))),INDEX(DATAS,Y2845+1),"")</f>
        <v/>
      </c>
      <c r="AG2845" s="45" t="str">
        <f aca="false">IF(AND(AA2845=1,Y2845&lt;1),IF(AND(C2846=C2845,Y2846=Y2845+1),IF(AA2846=1,"",INDEX(DATAS,Y2845+1)),INDEX(DATAS,Y2845+1)),"")</f>
        <v/>
      </c>
    </row>
    <row r="2846" customFormat="false" ht="15" hidden="false" customHeight="false" outlineLevel="0" collapsed="false">
      <c r="A2846" s="45" t="n">
        <v>46309</v>
      </c>
      <c r="B2846" s="0" t="n">
        <v>13</v>
      </c>
      <c r="C2846" s="0" t="n">
        <v>7220</v>
      </c>
      <c r="E2846" s="0" t="n">
        <v>0</v>
      </c>
      <c r="F2846" s="39" t="s">
        <v>1371</v>
      </c>
      <c r="I2846" s="39" t="s">
        <v>136</v>
      </c>
      <c r="U2846" s="0" t="n">
        <v>306</v>
      </c>
      <c r="V2846" s="0" t="n">
        <v>0</v>
      </c>
      <c r="W2846" s="39" t="n">
        <f aca="false">IF(I2846="Male",0,1)</f>
        <v>1</v>
      </c>
      <c r="X2846" s="39" t="n">
        <f aca="false">IF(OR(I2846="DNB",I2846="Dry DNB"),1,0)</f>
        <v>0</v>
      </c>
      <c r="Y2846" s="39" t="n">
        <f aca="false">MATCH(A2846,DATAS,0)</f>
        <v>1</v>
      </c>
      <c r="Z2846" s="39" t="n">
        <f aca="false">IF(AND(E2846&gt;0,OR(AND(B2846&gt;=1,B2846&lt;=6),B2846=10)),1,0)</f>
        <v>0</v>
      </c>
      <c r="AA2846" s="39" t="n">
        <f aca="false">IF(AND(E2846&gt;0,B2846=10),1,0)</f>
        <v>0</v>
      </c>
      <c r="AB2846" s="0" t="str">
        <f aca="false">IF(AND(C2845=C2846,Y2845=Y2846-1),Z2845,"")</f>
        <v/>
      </c>
      <c r="AC2846" s="0" t="str">
        <f aca="false">IF(AND(C2845=C2846,Y2845=Y2846-1),AA2845,"")</f>
        <v/>
      </c>
      <c r="AD2846" s="0" t="str">
        <f aca="false">IF(Y2846=1,"",IF(AND(Z2846=1,AB2846&lt;&gt;1),1,0))</f>
        <v/>
      </c>
      <c r="AE2846" s="0" t="str">
        <f aca="false">IF(Y2846=1,"",IF(AND(AA2846=1,AC2846&lt;&gt;1),1,0))</f>
        <v/>
      </c>
      <c r="AF2846" s="45" t="str">
        <f aca="false">IF(AND(E2846&gt;0,Y2846&lt;1,NOT(AND(C2847=C2846,Y2847=Y2846+1))),INDEX(DATAS,Y2846+1),"")</f>
        <v/>
      </c>
      <c r="AG2846" s="45" t="str">
        <f aca="false">IF(AND(AA2846=1,Y2846&lt;1),IF(AND(C2847=C2846,Y2847=Y2846+1),IF(AA2847=1,"",INDEX(DATAS,Y2846+1)),INDEX(DATAS,Y2846+1)),"")</f>
        <v/>
      </c>
    </row>
    <row r="2847" customFormat="false" ht="15" hidden="false" customHeight="false" outlineLevel="0" collapsed="false">
      <c r="A2847" s="45" t="n">
        <v>46309</v>
      </c>
      <c r="B2847" s="0" t="n">
        <v>13</v>
      </c>
      <c r="C2847" s="0" t="n">
        <v>7221</v>
      </c>
      <c r="E2847" s="0" t="n">
        <v>0</v>
      </c>
      <c r="F2847" s="39" t="s">
        <v>1371</v>
      </c>
      <c r="I2847" s="39" t="s">
        <v>136</v>
      </c>
      <c r="U2847" s="0" t="n">
        <v>306</v>
      </c>
      <c r="V2847" s="0" t="n">
        <v>0</v>
      </c>
      <c r="W2847" s="39" t="n">
        <f aca="false">IF(I2847="Male",0,1)</f>
        <v>1</v>
      </c>
      <c r="X2847" s="39" t="n">
        <f aca="false">IF(OR(I2847="DNB",I2847="Dry DNB"),1,0)</f>
        <v>0</v>
      </c>
      <c r="Y2847" s="39" t="n">
        <f aca="false">MATCH(A2847,DATAS,0)</f>
        <v>1</v>
      </c>
      <c r="Z2847" s="39" t="n">
        <f aca="false">IF(AND(E2847&gt;0,OR(AND(B2847&gt;=1,B2847&lt;=6),B2847=10)),1,0)</f>
        <v>0</v>
      </c>
      <c r="AA2847" s="39" t="n">
        <f aca="false">IF(AND(E2847&gt;0,B2847=10),1,0)</f>
        <v>0</v>
      </c>
      <c r="AB2847" s="0" t="str">
        <f aca="false">IF(AND(C2846=C2847,Y2846=Y2847-1),Z2846,"")</f>
        <v/>
      </c>
      <c r="AC2847" s="0" t="str">
        <f aca="false">IF(AND(C2846=C2847,Y2846=Y2847-1),AA2846,"")</f>
        <v/>
      </c>
      <c r="AD2847" s="0" t="str">
        <f aca="false">IF(Y2847=1,"",IF(AND(Z2847=1,AB2847&lt;&gt;1),1,0))</f>
        <v/>
      </c>
      <c r="AE2847" s="0" t="str">
        <f aca="false">IF(Y2847=1,"",IF(AND(AA2847=1,AC2847&lt;&gt;1),1,0))</f>
        <v/>
      </c>
      <c r="AF2847" s="45" t="str">
        <f aca="false">IF(AND(E2847&gt;0,Y2847&lt;1,NOT(AND(C2848=C2847,Y2848=Y2847+1))),INDEX(DATAS,Y2847+1),"")</f>
        <v/>
      </c>
      <c r="AG2847" s="45" t="str">
        <f aca="false">IF(AND(AA2847=1,Y2847&lt;1),IF(AND(C2848=C2847,Y2848=Y2847+1),IF(AA2848=1,"",INDEX(DATAS,Y2847+1)),INDEX(DATAS,Y2847+1)),"")</f>
        <v/>
      </c>
    </row>
    <row r="2848" customFormat="false" ht="15" hidden="false" customHeight="false" outlineLevel="0" collapsed="false">
      <c r="A2848" s="45" t="n">
        <v>46309</v>
      </c>
      <c r="B2848" s="0" t="n">
        <v>13</v>
      </c>
      <c r="C2848" s="0" t="n">
        <v>7222</v>
      </c>
      <c r="E2848" s="0" t="n">
        <v>0</v>
      </c>
      <c r="F2848" s="39" t="s">
        <v>1371</v>
      </c>
      <c r="I2848" s="39" t="s">
        <v>136</v>
      </c>
      <c r="U2848" s="0" t="n">
        <v>306</v>
      </c>
      <c r="V2848" s="0" t="n">
        <v>0</v>
      </c>
      <c r="W2848" s="39" t="n">
        <f aca="false">IF(I2848="Male",0,1)</f>
        <v>1</v>
      </c>
      <c r="X2848" s="39" t="n">
        <f aca="false">IF(OR(I2848="DNB",I2848="Dry DNB"),1,0)</f>
        <v>0</v>
      </c>
      <c r="Y2848" s="39" t="n">
        <f aca="false">MATCH(A2848,DATAS,0)</f>
        <v>1</v>
      </c>
      <c r="Z2848" s="39" t="n">
        <f aca="false">IF(AND(E2848&gt;0,OR(AND(B2848&gt;=1,B2848&lt;=6),B2848=10)),1,0)</f>
        <v>0</v>
      </c>
      <c r="AA2848" s="39" t="n">
        <f aca="false">IF(AND(E2848&gt;0,B2848=10),1,0)</f>
        <v>0</v>
      </c>
      <c r="AB2848" s="0" t="str">
        <f aca="false">IF(AND(C2847=C2848,Y2847=Y2848-1),Z2847,"")</f>
        <v/>
      </c>
      <c r="AC2848" s="0" t="str">
        <f aca="false">IF(AND(C2847=C2848,Y2847=Y2848-1),AA2847,"")</f>
        <v/>
      </c>
      <c r="AD2848" s="0" t="str">
        <f aca="false">IF(Y2848=1,"",IF(AND(Z2848=1,AB2848&lt;&gt;1),1,0))</f>
        <v/>
      </c>
      <c r="AE2848" s="0" t="str">
        <f aca="false">IF(Y2848=1,"",IF(AND(AA2848=1,AC2848&lt;&gt;1),1,0))</f>
        <v/>
      </c>
      <c r="AF2848" s="45" t="str">
        <f aca="false">IF(AND(E2848&gt;0,Y2848&lt;1,NOT(AND(C2849=C2848,Y2849=Y2848+1))),INDEX(DATAS,Y2848+1),"")</f>
        <v/>
      </c>
      <c r="AG2848" s="45" t="str">
        <f aca="false">IF(AND(AA2848=1,Y2848&lt;1),IF(AND(C2849=C2848,Y2849=Y2848+1),IF(AA2849=1,"",INDEX(DATAS,Y2848+1)),INDEX(DATAS,Y2848+1)),"")</f>
        <v/>
      </c>
    </row>
    <row r="2849" customFormat="false" ht="15" hidden="false" customHeight="false" outlineLevel="0" collapsed="false">
      <c r="A2849" s="45" t="n">
        <v>46309</v>
      </c>
      <c r="B2849" s="0" t="n">
        <v>13</v>
      </c>
      <c r="C2849" s="0" t="n">
        <v>7223</v>
      </c>
      <c r="E2849" s="0" t="n">
        <v>0</v>
      </c>
      <c r="F2849" s="39" t="s">
        <v>1371</v>
      </c>
      <c r="I2849" s="39" t="s">
        <v>136</v>
      </c>
      <c r="U2849" s="0" t="n">
        <v>306</v>
      </c>
      <c r="V2849" s="0" t="n">
        <v>0</v>
      </c>
      <c r="W2849" s="39" t="n">
        <f aca="false">IF(I2849="Male",0,1)</f>
        <v>1</v>
      </c>
      <c r="X2849" s="39" t="n">
        <f aca="false">IF(OR(I2849="DNB",I2849="Dry DNB"),1,0)</f>
        <v>0</v>
      </c>
      <c r="Y2849" s="39" t="n">
        <f aca="false">MATCH(A2849,DATAS,0)</f>
        <v>1</v>
      </c>
      <c r="Z2849" s="39" t="n">
        <f aca="false">IF(AND(E2849&gt;0,OR(AND(B2849&gt;=1,B2849&lt;=6),B2849=10)),1,0)</f>
        <v>0</v>
      </c>
      <c r="AA2849" s="39" t="n">
        <f aca="false">IF(AND(E2849&gt;0,B2849=10),1,0)</f>
        <v>0</v>
      </c>
      <c r="AB2849" s="0" t="str">
        <f aca="false">IF(AND(C2848=C2849,Y2848=Y2849-1),Z2848,"")</f>
        <v/>
      </c>
      <c r="AC2849" s="0" t="str">
        <f aca="false">IF(AND(C2848=C2849,Y2848=Y2849-1),AA2848,"")</f>
        <v/>
      </c>
      <c r="AD2849" s="0" t="str">
        <f aca="false">IF(Y2849=1,"",IF(AND(Z2849=1,AB2849&lt;&gt;1),1,0))</f>
        <v/>
      </c>
      <c r="AE2849" s="0" t="str">
        <f aca="false">IF(Y2849=1,"",IF(AND(AA2849=1,AC2849&lt;&gt;1),1,0))</f>
        <v/>
      </c>
      <c r="AF2849" s="45" t="str">
        <f aca="false">IF(AND(E2849&gt;0,Y2849&lt;1,NOT(AND(C2850=C2849,Y2850=Y2849+1))),INDEX(DATAS,Y2849+1),"")</f>
        <v/>
      </c>
      <c r="AG2849" s="45" t="str">
        <f aca="false">IF(AND(AA2849=1,Y2849&lt;1),IF(AND(C2850=C2849,Y2850=Y2849+1),IF(AA2850=1,"",INDEX(DATAS,Y2849+1)),INDEX(DATAS,Y2849+1)),"")</f>
        <v/>
      </c>
    </row>
    <row r="2850" customFormat="false" ht="15" hidden="false" customHeight="false" outlineLevel="0" collapsed="false">
      <c r="A2850" s="45" t="n">
        <v>46309</v>
      </c>
      <c r="B2850" s="0" t="n">
        <v>13</v>
      </c>
      <c r="C2850" s="0" t="n">
        <v>7224</v>
      </c>
      <c r="E2850" s="0" t="n">
        <v>0</v>
      </c>
      <c r="F2850" s="39" t="s">
        <v>1372</v>
      </c>
      <c r="I2850" s="39" t="s">
        <v>136</v>
      </c>
      <c r="U2850" s="0" t="n">
        <v>305</v>
      </c>
      <c r="V2850" s="0" t="n">
        <v>0</v>
      </c>
      <c r="W2850" s="39" t="n">
        <f aca="false">IF(I2850="Male",0,1)</f>
        <v>1</v>
      </c>
      <c r="X2850" s="39" t="n">
        <f aca="false">IF(OR(I2850="DNB",I2850="Dry DNB"),1,0)</f>
        <v>0</v>
      </c>
      <c r="Y2850" s="39" t="n">
        <f aca="false">MATCH(A2850,DATAS,0)</f>
        <v>1</v>
      </c>
      <c r="Z2850" s="39" t="n">
        <f aca="false">IF(AND(E2850&gt;0,OR(AND(B2850&gt;=1,B2850&lt;=6),B2850=10)),1,0)</f>
        <v>0</v>
      </c>
      <c r="AA2850" s="39" t="n">
        <f aca="false">IF(AND(E2850&gt;0,B2850=10),1,0)</f>
        <v>0</v>
      </c>
      <c r="AB2850" s="0" t="str">
        <f aca="false">IF(AND(C2849=C2850,Y2849=Y2850-1),Z2849,"")</f>
        <v/>
      </c>
      <c r="AC2850" s="0" t="str">
        <f aca="false">IF(AND(C2849=C2850,Y2849=Y2850-1),AA2849,"")</f>
        <v/>
      </c>
      <c r="AD2850" s="0" t="str">
        <f aca="false">IF(Y2850=1,"",IF(AND(Z2850=1,AB2850&lt;&gt;1),1,0))</f>
        <v/>
      </c>
      <c r="AE2850" s="0" t="str">
        <f aca="false">IF(Y2850=1,"",IF(AND(AA2850=1,AC2850&lt;&gt;1),1,0))</f>
        <v/>
      </c>
      <c r="AF2850" s="45" t="str">
        <f aca="false">IF(AND(E2850&gt;0,Y2850&lt;1,NOT(AND(C2851=C2850,Y2851=Y2850+1))),INDEX(DATAS,Y2850+1),"")</f>
        <v/>
      </c>
      <c r="AG2850" s="45" t="str">
        <f aca="false">IF(AND(AA2850=1,Y2850&lt;1),IF(AND(C2851=C2850,Y2851=Y2850+1),IF(AA2851=1,"",INDEX(DATAS,Y2850+1)),INDEX(DATAS,Y2850+1)),"")</f>
        <v/>
      </c>
    </row>
    <row r="2851" customFormat="false" ht="15" hidden="false" customHeight="false" outlineLevel="0" collapsed="false">
      <c r="A2851" s="45" t="n">
        <v>46309</v>
      </c>
      <c r="B2851" s="0" t="n">
        <v>13</v>
      </c>
      <c r="C2851" s="0" t="n">
        <v>7225</v>
      </c>
      <c r="E2851" s="0" t="n">
        <v>0</v>
      </c>
      <c r="F2851" s="39" t="s">
        <v>1372</v>
      </c>
      <c r="I2851" s="39" t="s">
        <v>136</v>
      </c>
      <c r="U2851" s="0" t="n">
        <v>305</v>
      </c>
      <c r="V2851" s="0" t="n">
        <v>0</v>
      </c>
      <c r="W2851" s="39" t="n">
        <f aca="false">IF(I2851="Male",0,1)</f>
        <v>1</v>
      </c>
      <c r="X2851" s="39" t="n">
        <f aca="false">IF(OR(I2851="DNB",I2851="Dry DNB"),1,0)</f>
        <v>0</v>
      </c>
      <c r="Y2851" s="39" t="n">
        <f aca="false">MATCH(A2851,DATAS,0)</f>
        <v>1</v>
      </c>
      <c r="Z2851" s="39" t="n">
        <f aca="false">IF(AND(E2851&gt;0,OR(AND(B2851&gt;=1,B2851&lt;=6),B2851=10)),1,0)</f>
        <v>0</v>
      </c>
      <c r="AA2851" s="39" t="n">
        <f aca="false">IF(AND(E2851&gt;0,B2851=10),1,0)</f>
        <v>0</v>
      </c>
      <c r="AB2851" s="0" t="str">
        <f aca="false">IF(AND(C2850=C2851,Y2850=Y2851-1),Z2850,"")</f>
        <v/>
      </c>
      <c r="AC2851" s="0" t="str">
        <f aca="false">IF(AND(C2850=C2851,Y2850=Y2851-1),AA2850,"")</f>
        <v/>
      </c>
      <c r="AD2851" s="0" t="str">
        <f aca="false">IF(Y2851=1,"",IF(AND(Z2851=1,AB2851&lt;&gt;1),1,0))</f>
        <v/>
      </c>
      <c r="AE2851" s="0" t="str">
        <f aca="false">IF(Y2851=1,"",IF(AND(AA2851=1,AC2851&lt;&gt;1),1,0))</f>
        <v/>
      </c>
      <c r="AF2851" s="45" t="str">
        <f aca="false">IF(AND(E2851&gt;0,Y2851&lt;1,NOT(AND(C2852=C2851,Y2852=Y2851+1))),INDEX(DATAS,Y2851+1),"")</f>
        <v/>
      </c>
      <c r="AG2851" s="45" t="str">
        <f aca="false">IF(AND(AA2851=1,Y2851&lt;1),IF(AND(C2852=C2851,Y2852=Y2851+1),IF(AA2852=1,"",INDEX(DATAS,Y2851+1)),INDEX(DATAS,Y2851+1)),"")</f>
        <v/>
      </c>
    </row>
    <row r="2852" customFormat="false" ht="15" hidden="false" customHeight="false" outlineLevel="0" collapsed="false">
      <c r="A2852" s="45" t="n">
        <v>46309</v>
      </c>
      <c r="B2852" s="0" t="n">
        <v>13</v>
      </c>
      <c r="C2852" s="0" t="n">
        <v>7226</v>
      </c>
      <c r="E2852" s="0" t="n">
        <v>0</v>
      </c>
      <c r="F2852" s="39" t="s">
        <v>1372</v>
      </c>
      <c r="I2852" s="39" t="s">
        <v>136</v>
      </c>
      <c r="U2852" s="0" t="n">
        <v>305</v>
      </c>
      <c r="V2852" s="0" t="n">
        <v>0</v>
      </c>
      <c r="W2852" s="39" t="n">
        <f aca="false">IF(I2852="Male",0,1)</f>
        <v>1</v>
      </c>
      <c r="X2852" s="39" t="n">
        <f aca="false">IF(OR(I2852="DNB",I2852="Dry DNB"),1,0)</f>
        <v>0</v>
      </c>
      <c r="Y2852" s="39" t="n">
        <f aca="false">MATCH(A2852,DATAS,0)</f>
        <v>1</v>
      </c>
      <c r="Z2852" s="39" t="n">
        <f aca="false">IF(AND(E2852&gt;0,OR(AND(B2852&gt;=1,B2852&lt;=6),B2852=10)),1,0)</f>
        <v>0</v>
      </c>
      <c r="AA2852" s="39" t="n">
        <f aca="false">IF(AND(E2852&gt;0,B2852=10),1,0)</f>
        <v>0</v>
      </c>
      <c r="AB2852" s="0" t="str">
        <f aca="false">IF(AND(C2851=C2852,Y2851=Y2852-1),Z2851,"")</f>
        <v/>
      </c>
      <c r="AC2852" s="0" t="str">
        <f aca="false">IF(AND(C2851=C2852,Y2851=Y2852-1),AA2851,"")</f>
        <v/>
      </c>
      <c r="AD2852" s="0" t="str">
        <f aca="false">IF(Y2852=1,"",IF(AND(Z2852=1,AB2852&lt;&gt;1),1,0))</f>
        <v/>
      </c>
      <c r="AE2852" s="0" t="str">
        <f aca="false">IF(Y2852=1,"",IF(AND(AA2852=1,AC2852&lt;&gt;1),1,0))</f>
        <v/>
      </c>
      <c r="AF2852" s="45" t="str">
        <f aca="false">IF(AND(E2852&gt;0,Y2852&lt;1,NOT(AND(C2853=C2852,Y2853=Y2852+1))),INDEX(DATAS,Y2852+1),"")</f>
        <v/>
      </c>
      <c r="AG2852" s="45" t="str">
        <f aca="false">IF(AND(AA2852=1,Y2852&lt;1),IF(AND(C2853=C2852,Y2853=Y2852+1),IF(AA2853=1,"",INDEX(DATAS,Y2852+1)),INDEX(DATAS,Y2852+1)),"")</f>
        <v/>
      </c>
    </row>
    <row r="2853" customFormat="false" ht="15" hidden="false" customHeight="false" outlineLevel="0" collapsed="false">
      <c r="A2853" s="45" t="n">
        <v>46309</v>
      </c>
      <c r="B2853" s="0" t="n">
        <v>13</v>
      </c>
      <c r="C2853" s="0" t="n">
        <v>7227</v>
      </c>
      <c r="E2853" s="0" t="n">
        <v>0</v>
      </c>
      <c r="F2853" s="39" t="s">
        <v>1372</v>
      </c>
      <c r="I2853" s="39" t="s">
        <v>136</v>
      </c>
      <c r="U2853" s="0" t="n">
        <v>305</v>
      </c>
      <c r="V2853" s="0" t="n">
        <v>0</v>
      </c>
      <c r="W2853" s="39" t="n">
        <f aca="false">IF(I2853="Male",0,1)</f>
        <v>1</v>
      </c>
      <c r="X2853" s="39" t="n">
        <f aca="false">IF(OR(I2853="DNB",I2853="Dry DNB"),1,0)</f>
        <v>0</v>
      </c>
      <c r="Y2853" s="39" t="n">
        <f aca="false">MATCH(A2853,DATAS,0)</f>
        <v>1</v>
      </c>
      <c r="Z2853" s="39" t="n">
        <f aca="false">IF(AND(E2853&gt;0,OR(AND(B2853&gt;=1,B2853&lt;=6),B2853=10)),1,0)</f>
        <v>0</v>
      </c>
      <c r="AA2853" s="39" t="n">
        <f aca="false">IF(AND(E2853&gt;0,B2853=10),1,0)</f>
        <v>0</v>
      </c>
      <c r="AB2853" s="0" t="str">
        <f aca="false">IF(AND(C2852=C2853,Y2852=Y2853-1),Z2852,"")</f>
        <v/>
      </c>
      <c r="AC2853" s="0" t="str">
        <f aca="false">IF(AND(C2852=C2853,Y2852=Y2853-1),AA2852,"")</f>
        <v/>
      </c>
      <c r="AD2853" s="0" t="str">
        <f aca="false">IF(Y2853=1,"",IF(AND(Z2853=1,AB2853&lt;&gt;1),1,0))</f>
        <v/>
      </c>
      <c r="AE2853" s="0" t="str">
        <f aca="false">IF(Y2853=1,"",IF(AND(AA2853=1,AC2853&lt;&gt;1),1,0))</f>
        <v/>
      </c>
      <c r="AF2853" s="45" t="str">
        <f aca="false">IF(AND(E2853&gt;0,Y2853&lt;1,NOT(AND(C2854=C2853,Y2854=Y2853+1))),INDEX(DATAS,Y2853+1),"")</f>
        <v/>
      </c>
      <c r="AG2853" s="45" t="str">
        <f aca="false">IF(AND(AA2853=1,Y2853&lt;1),IF(AND(C2854=C2853,Y2854=Y2853+1),IF(AA2854=1,"",INDEX(DATAS,Y2853+1)),INDEX(DATAS,Y2853+1)),"")</f>
        <v/>
      </c>
    </row>
    <row r="2854" customFormat="false" ht="15" hidden="false" customHeight="false" outlineLevel="0" collapsed="false">
      <c r="A2854" s="45" t="n">
        <v>46309</v>
      </c>
      <c r="B2854" s="0" t="n">
        <v>13</v>
      </c>
      <c r="C2854" s="0" t="n">
        <v>7228</v>
      </c>
      <c r="E2854" s="0" t="n">
        <v>0</v>
      </c>
      <c r="F2854" s="39" t="s">
        <v>1373</v>
      </c>
      <c r="I2854" s="39" t="s">
        <v>136</v>
      </c>
      <c r="U2854" s="0" t="n">
        <v>304</v>
      </c>
      <c r="V2854" s="0" t="n">
        <v>0</v>
      </c>
      <c r="W2854" s="39" t="n">
        <f aca="false">IF(I2854="Male",0,1)</f>
        <v>1</v>
      </c>
      <c r="X2854" s="39" t="n">
        <f aca="false">IF(OR(I2854="DNB",I2854="Dry DNB"),1,0)</f>
        <v>0</v>
      </c>
      <c r="Y2854" s="39" t="n">
        <f aca="false">MATCH(A2854,DATAS,0)</f>
        <v>1</v>
      </c>
      <c r="Z2854" s="39" t="n">
        <f aca="false">IF(AND(E2854&gt;0,OR(AND(B2854&gt;=1,B2854&lt;=6),B2854=10)),1,0)</f>
        <v>0</v>
      </c>
      <c r="AA2854" s="39" t="n">
        <f aca="false">IF(AND(E2854&gt;0,B2854=10),1,0)</f>
        <v>0</v>
      </c>
      <c r="AB2854" s="0" t="str">
        <f aca="false">IF(AND(C2853=C2854,Y2853=Y2854-1),Z2853,"")</f>
        <v/>
      </c>
      <c r="AC2854" s="0" t="str">
        <f aca="false">IF(AND(C2853=C2854,Y2853=Y2854-1),AA2853,"")</f>
        <v/>
      </c>
      <c r="AD2854" s="0" t="str">
        <f aca="false">IF(Y2854=1,"",IF(AND(Z2854=1,AB2854&lt;&gt;1),1,0))</f>
        <v/>
      </c>
      <c r="AE2854" s="0" t="str">
        <f aca="false">IF(Y2854=1,"",IF(AND(AA2854=1,AC2854&lt;&gt;1),1,0))</f>
        <v/>
      </c>
      <c r="AF2854" s="45" t="str">
        <f aca="false">IF(AND(E2854&gt;0,Y2854&lt;1,NOT(AND(C2855=C2854,Y2855=Y2854+1))),INDEX(DATAS,Y2854+1),"")</f>
        <v/>
      </c>
      <c r="AG2854" s="45" t="str">
        <f aca="false">IF(AND(AA2854=1,Y2854&lt;1),IF(AND(C2855=C2854,Y2855=Y2854+1),IF(AA2855=1,"",INDEX(DATAS,Y2854+1)),INDEX(DATAS,Y2854+1)),"")</f>
        <v/>
      </c>
    </row>
    <row r="2855" customFormat="false" ht="15" hidden="false" customHeight="false" outlineLevel="0" collapsed="false">
      <c r="A2855" s="45" t="n">
        <v>46309</v>
      </c>
      <c r="B2855" s="0" t="n">
        <v>13</v>
      </c>
      <c r="C2855" s="0" t="n">
        <v>7229</v>
      </c>
      <c r="E2855" s="0" t="n">
        <v>0</v>
      </c>
      <c r="F2855" s="39" t="s">
        <v>1374</v>
      </c>
      <c r="I2855" s="39" t="s">
        <v>136</v>
      </c>
      <c r="U2855" s="0" t="n">
        <v>303</v>
      </c>
      <c r="V2855" s="0" t="n">
        <v>0</v>
      </c>
      <c r="W2855" s="39" t="n">
        <f aca="false">IF(I2855="Male",0,1)</f>
        <v>1</v>
      </c>
      <c r="X2855" s="39" t="n">
        <f aca="false">IF(OR(I2855="DNB",I2855="Dry DNB"),1,0)</f>
        <v>0</v>
      </c>
      <c r="Y2855" s="39" t="n">
        <f aca="false">MATCH(A2855,DATAS,0)</f>
        <v>1</v>
      </c>
      <c r="Z2855" s="39" t="n">
        <f aca="false">IF(AND(E2855&gt;0,OR(AND(B2855&gt;=1,B2855&lt;=6),B2855=10)),1,0)</f>
        <v>0</v>
      </c>
      <c r="AA2855" s="39" t="n">
        <f aca="false">IF(AND(E2855&gt;0,B2855=10),1,0)</f>
        <v>0</v>
      </c>
      <c r="AB2855" s="0" t="str">
        <f aca="false">IF(AND(C2854=C2855,Y2854=Y2855-1),Z2854,"")</f>
        <v/>
      </c>
      <c r="AC2855" s="0" t="str">
        <f aca="false">IF(AND(C2854=C2855,Y2854=Y2855-1),AA2854,"")</f>
        <v/>
      </c>
      <c r="AD2855" s="0" t="str">
        <f aca="false">IF(Y2855=1,"",IF(AND(Z2855=1,AB2855&lt;&gt;1),1,0))</f>
        <v/>
      </c>
      <c r="AE2855" s="0" t="str">
        <f aca="false">IF(Y2855=1,"",IF(AND(AA2855=1,AC2855&lt;&gt;1),1,0))</f>
        <v/>
      </c>
      <c r="AF2855" s="45" t="str">
        <f aca="false">IF(AND(E2855&gt;0,Y2855&lt;1,NOT(AND(C2856=C2855,Y2856=Y2855+1))),INDEX(DATAS,Y2855+1),"")</f>
        <v/>
      </c>
      <c r="AG2855" s="45" t="str">
        <f aca="false">IF(AND(AA2855=1,Y2855&lt;1),IF(AND(C2856=C2855,Y2856=Y2855+1),IF(AA2856=1,"",INDEX(DATAS,Y2855+1)),INDEX(DATAS,Y2855+1)),"")</f>
        <v/>
      </c>
    </row>
    <row r="2856" customFormat="false" ht="15" hidden="false" customHeight="false" outlineLevel="0" collapsed="false">
      <c r="A2856" s="45" t="n">
        <v>46309</v>
      </c>
      <c r="B2856" s="0" t="n">
        <v>13</v>
      </c>
      <c r="C2856" s="0" t="n">
        <v>7230</v>
      </c>
      <c r="E2856" s="0" t="n">
        <v>0</v>
      </c>
      <c r="F2856" s="39" t="s">
        <v>1374</v>
      </c>
      <c r="I2856" s="39" t="s">
        <v>136</v>
      </c>
      <c r="U2856" s="0" t="n">
        <v>303</v>
      </c>
      <c r="V2856" s="0" t="n">
        <v>0</v>
      </c>
      <c r="W2856" s="39" t="n">
        <f aca="false">IF(I2856="Male",0,1)</f>
        <v>1</v>
      </c>
      <c r="X2856" s="39" t="n">
        <f aca="false">IF(OR(I2856="DNB",I2856="Dry DNB"),1,0)</f>
        <v>0</v>
      </c>
      <c r="Y2856" s="39" t="n">
        <f aca="false">MATCH(A2856,DATAS,0)</f>
        <v>1</v>
      </c>
      <c r="Z2856" s="39" t="n">
        <f aca="false">IF(AND(E2856&gt;0,OR(AND(B2856&gt;=1,B2856&lt;=6),B2856=10)),1,0)</f>
        <v>0</v>
      </c>
      <c r="AA2856" s="39" t="n">
        <f aca="false">IF(AND(E2856&gt;0,B2856=10),1,0)</f>
        <v>0</v>
      </c>
      <c r="AB2856" s="0" t="str">
        <f aca="false">IF(AND(C2855=C2856,Y2855=Y2856-1),Z2855,"")</f>
        <v/>
      </c>
      <c r="AC2856" s="0" t="str">
        <f aca="false">IF(AND(C2855=C2856,Y2855=Y2856-1),AA2855,"")</f>
        <v/>
      </c>
      <c r="AD2856" s="0" t="str">
        <f aca="false">IF(Y2856=1,"",IF(AND(Z2856=1,AB2856&lt;&gt;1),1,0))</f>
        <v/>
      </c>
      <c r="AE2856" s="0" t="str">
        <f aca="false">IF(Y2856=1,"",IF(AND(AA2856=1,AC2856&lt;&gt;1),1,0))</f>
        <v/>
      </c>
      <c r="AF2856" s="45" t="str">
        <f aca="false">IF(AND(E2856&gt;0,Y2856&lt;1,NOT(AND(C2857=C2856,Y2857=Y2856+1))),INDEX(DATAS,Y2856+1),"")</f>
        <v/>
      </c>
      <c r="AG2856" s="45" t="str">
        <f aca="false">IF(AND(AA2856=1,Y2856&lt;1),IF(AND(C2857=C2856,Y2857=Y2856+1),IF(AA2857=1,"",INDEX(DATAS,Y2856+1)),INDEX(DATAS,Y2856+1)),"")</f>
        <v/>
      </c>
    </row>
    <row r="2857" customFormat="false" ht="15" hidden="false" customHeight="false" outlineLevel="0" collapsed="false">
      <c r="A2857" s="45" t="n">
        <v>46309</v>
      </c>
      <c r="B2857" s="0" t="n">
        <v>13</v>
      </c>
      <c r="C2857" s="0" t="n">
        <v>7231</v>
      </c>
      <c r="E2857" s="0" t="n">
        <v>0</v>
      </c>
      <c r="F2857" s="39" t="s">
        <v>1374</v>
      </c>
      <c r="I2857" s="39" t="s">
        <v>136</v>
      </c>
      <c r="U2857" s="0" t="n">
        <v>303</v>
      </c>
      <c r="V2857" s="0" t="n">
        <v>0</v>
      </c>
      <c r="W2857" s="39" t="n">
        <f aca="false">IF(I2857="Male",0,1)</f>
        <v>1</v>
      </c>
      <c r="X2857" s="39" t="n">
        <f aca="false">IF(OR(I2857="DNB",I2857="Dry DNB"),1,0)</f>
        <v>0</v>
      </c>
      <c r="Y2857" s="39" t="n">
        <f aca="false">MATCH(A2857,DATAS,0)</f>
        <v>1</v>
      </c>
      <c r="Z2857" s="39" t="n">
        <f aca="false">IF(AND(E2857&gt;0,OR(AND(B2857&gt;=1,B2857&lt;=6),B2857=10)),1,0)</f>
        <v>0</v>
      </c>
      <c r="AA2857" s="39" t="n">
        <f aca="false">IF(AND(E2857&gt;0,B2857=10),1,0)</f>
        <v>0</v>
      </c>
      <c r="AB2857" s="0" t="str">
        <f aca="false">IF(AND(C2856=C2857,Y2856=Y2857-1),Z2856,"")</f>
        <v/>
      </c>
      <c r="AC2857" s="0" t="str">
        <f aca="false">IF(AND(C2856=C2857,Y2856=Y2857-1),AA2856,"")</f>
        <v/>
      </c>
      <c r="AD2857" s="0" t="str">
        <f aca="false">IF(Y2857=1,"",IF(AND(Z2857=1,AB2857&lt;&gt;1),1,0))</f>
        <v/>
      </c>
      <c r="AE2857" s="0" t="str">
        <f aca="false">IF(Y2857=1,"",IF(AND(AA2857=1,AC2857&lt;&gt;1),1,0))</f>
        <v/>
      </c>
      <c r="AF2857" s="45" t="str">
        <f aca="false">IF(AND(E2857&gt;0,Y2857&lt;1,NOT(AND(C2858=C2857,Y2858=Y2857+1))),INDEX(DATAS,Y2857+1),"")</f>
        <v/>
      </c>
      <c r="AG2857" s="45" t="str">
        <f aca="false">IF(AND(AA2857=1,Y2857&lt;1),IF(AND(C2858=C2857,Y2858=Y2857+1),IF(AA2858=1,"",INDEX(DATAS,Y2857+1)),INDEX(DATAS,Y2857+1)),"")</f>
        <v/>
      </c>
    </row>
    <row r="2858" customFormat="false" ht="15" hidden="false" customHeight="false" outlineLevel="0" collapsed="false">
      <c r="A2858" s="45" t="n">
        <v>46309</v>
      </c>
      <c r="B2858" s="0" t="n">
        <v>13</v>
      </c>
      <c r="C2858" s="0" t="n">
        <v>7232</v>
      </c>
      <c r="E2858" s="0" t="n">
        <v>0</v>
      </c>
      <c r="F2858" s="39" t="s">
        <v>1375</v>
      </c>
      <c r="I2858" s="39" t="s">
        <v>136</v>
      </c>
      <c r="U2858" s="0" t="n">
        <v>302</v>
      </c>
      <c r="V2858" s="0" t="n">
        <v>0</v>
      </c>
      <c r="W2858" s="39" t="n">
        <f aca="false">IF(I2858="Male",0,1)</f>
        <v>1</v>
      </c>
      <c r="X2858" s="39" t="n">
        <f aca="false">IF(OR(I2858="DNB",I2858="Dry DNB"),1,0)</f>
        <v>0</v>
      </c>
      <c r="Y2858" s="39" t="n">
        <f aca="false">MATCH(A2858,DATAS,0)</f>
        <v>1</v>
      </c>
      <c r="Z2858" s="39" t="n">
        <f aca="false">IF(AND(E2858&gt;0,OR(AND(B2858&gt;=1,B2858&lt;=6),B2858=10)),1,0)</f>
        <v>0</v>
      </c>
      <c r="AA2858" s="39" t="n">
        <f aca="false">IF(AND(E2858&gt;0,B2858=10),1,0)</f>
        <v>0</v>
      </c>
      <c r="AB2858" s="0" t="str">
        <f aca="false">IF(AND(C2857=C2858,Y2857=Y2858-1),Z2857,"")</f>
        <v/>
      </c>
      <c r="AC2858" s="0" t="str">
        <f aca="false">IF(AND(C2857=C2858,Y2857=Y2858-1),AA2857,"")</f>
        <v/>
      </c>
      <c r="AD2858" s="0" t="str">
        <f aca="false">IF(Y2858=1,"",IF(AND(Z2858=1,AB2858&lt;&gt;1),1,0))</f>
        <v/>
      </c>
      <c r="AE2858" s="0" t="str">
        <f aca="false">IF(Y2858=1,"",IF(AND(AA2858=1,AC2858&lt;&gt;1),1,0))</f>
        <v/>
      </c>
      <c r="AF2858" s="45" t="str">
        <f aca="false">IF(AND(E2858&gt;0,Y2858&lt;1,NOT(AND(C2859=C2858,Y2859=Y2858+1))),INDEX(DATAS,Y2858+1),"")</f>
        <v/>
      </c>
      <c r="AG2858" s="45" t="str">
        <f aca="false">IF(AND(AA2858=1,Y2858&lt;1),IF(AND(C2859=C2858,Y2859=Y2858+1),IF(AA2859=1,"",INDEX(DATAS,Y2858+1)),INDEX(DATAS,Y2858+1)),"")</f>
        <v/>
      </c>
    </row>
    <row r="2859" customFormat="false" ht="15" hidden="false" customHeight="false" outlineLevel="0" collapsed="false">
      <c r="A2859" s="45" t="n">
        <v>46309</v>
      </c>
      <c r="B2859" s="0" t="n">
        <v>13</v>
      </c>
      <c r="C2859" s="0" t="n">
        <v>7233</v>
      </c>
      <c r="E2859" s="0" t="n">
        <v>0</v>
      </c>
      <c r="F2859" s="39" t="s">
        <v>1375</v>
      </c>
      <c r="I2859" s="39" t="s">
        <v>136</v>
      </c>
      <c r="U2859" s="0" t="n">
        <v>302</v>
      </c>
      <c r="V2859" s="0" t="n">
        <v>0</v>
      </c>
      <c r="W2859" s="39" t="n">
        <f aca="false">IF(I2859="Male",0,1)</f>
        <v>1</v>
      </c>
      <c r="X2859" s="39" t="n">
        <f aca="false">IF(OR(I2859="DNB",I2859="Dry DNB"),1,0)</f>
        <v>0</v>
      </c>
      <c r="Y2859" s="39" t="n">
        <f aca="false">MATCH(A2859,DATAS,0)</f>
        <v>1</v>
      </c>
      <c r="Z2859" s="39" t="n">
        <f aca="false">IF(AND(E2859&gt;0,OR(AND(B2859&gt;=1,B2859&lt;=6),B2859=10)),1,0)</f>
        <v>0</v>
      </c>
      <c r="AA2859" s="39" t="n">
        <f aca="false">IF(AND(E2859&gt;0,B2859=10),1,0)</f>
        <v>0</v>
      </c>
      <c r="AB2859" s="0" t="str">
        <f aca="false">IF(AND(C2858=C2859,Y2858=Y2859-1),Z2858,"")</f>
        <v/>
      </c>
      <c r="AC2859" s="0" t="str">
        <f aca="false">IF(AND(C2858=C2859,Y2858=Y2859-1),AA2858,"")</f>
        <v/>
      </c>
      <c r="AD2859" s="0" t="str">
        <f aca="false">IF(Y2859=1,"",IF(AND(Z2859=1,AB2859&lt;&gt;1),1,0))</f>
        <v/>
      </c>
      <c r="AE2859" s="0" t="str">
        <f aca="false">IF(Y2859=1,"",IF(AND(AA2859=1,AC2859&lt;&gt;1),1,0))</f>
        <v/>
      </c>
      <c r="AF2859" s="45" t="str">
        <f aca="false">IF(AND(E2859&gt;0,Y2859&lt;1,NOT(AND(C2860=C2859,Y2860=Y2859+1))),INDEX(DATAS,Y2859+1),"")</f>
        <v/>
      </c>
      <c r="AG2859" s="45" t="str">
        <f aca="false">IF(AND(AA2859=1,Y2859&lt;1),IF(AND(C2860=C2859,Y2860=Y2859+1),IF(AA2860=1,"",INDEX(DATAS,Y2859+1)),INDEX(DATAS,Y2859+1)),"")</f>
        <v/>
      </c>
    </row>
    <row r="2860" customFormat="false" ht="15" hidden="false" customHeight="false" outlineLevel="0" collapsed="false">
      <c r="A2860" s="45" t="n">
        <v>46309</v>
      </c>
      <c r="B2860" s="0" t="n">
        <v>13</v>
      </c>
      <c r="C2860" s="0" t="n">
        <v>7234</v>
      </c>
      <c r="E2860" s="0" t="n">
        <v>0</v>
      </c>
      <c r="F2860" s="39" t="s">
        <v>1375</v>
      </c>
      <c r="I2860" s="39" t="s">
        <v>136</v>
      </c>
      <c r="U2860" s="0" t="n">
        <v>302</v>
      </c>
      <c r="V2860" s="0" t="n">
        <v>0</v>
      </c>
      <c r="W2860" s="39" t="n">
        <f aca="false">IF(I2860="Male",0,1)</f>
        <v>1</v>
      </c>
      <c r="X2860" s="39" t="n">
        <f aca="false">IF(OR(I2860="DNB",I2860="Dry DNB"),1,0)</f>
        <v>0</v>
      </c>
      <c r="Y2860" s="39" t="n">
        <f aca="false">MATCH(A2860,DATAS,0)</f>
        <v>1</v>
      </c>
      <c r="Z2860" s="39" t="n">
        <f aca="false">IF(AND(E2860&gt;0,OR(AND(B2860&gt;=1,B2860&lt;=6),B2860=10)),1,0)</f>
        <v>0</v>
      </c>
      <c r="AA2860" s="39" t="n">
        <f aca="false">IF(AND(E2860&gt;0,B2860=10),1,0)</f>
        <v>0</v>
      </c>
      <c r="AB2860" s="0" t="str">
        <f aca="false">IF(AND(C2859=C2860,Y2859=Y2860-1),Z2859,"")</f>
        <v/>
      </c>
      <c r="AC2860" s="0" t="str">
        <f aca="false">IF(AND(C2859=C2860,Y2859=Y2860-1),AA2859,"")</f>
        <v/>
      </c>
      <c r="AD2860" s="0" t="str">
        <f aca="false">IF(Y2860=1,"",IF(AND(Z2860=1,AB2860&lt;&gt;1),1,0))</f>
        <v/>
      </c>
      <c r="AE2860" s="0" t="str">
        <f aca="false">IF(Y2860=1,"",IF(AND(AA2860=1,AC2860&lt;&gt;1),1,0))</f>
        <v/>
      </c>
      <c r="AF2860" s="45" t="str">
        <f aca="false">IF(AND(E2860&gt;0,Y2860&lt;1,NOT(AND(C2861=C2860,Y2861=Y2860+1))),INDEX(DATAS,Y2860+1),"")</f>
        <v/>
      </c>
      <c r="AG2860" s="45" t="str">
        <f aca="false">IF(AND(AA2860=1,Y2860&lt;1),IF(AND(C2861=C2860,Y2861=Y2860+1),IF(AA2861=1,"",INDEX(DATAS,Y2860+1)),INDEX(DATAS,Y2860+1)),"")</f>
        <v/>
      </c>
    </row>
    <row r="2861" customFormat="false" ht="15" hidden="false" customHeight="false" outlineLevel="0" collapsed="false">
      <c r="A2861" s="45" t="n">
        <v>46309</v>
      </c>
      <c r="B2861" s="0" t="n">
        <v>13</v>
      </c>
      <c r="C2861" s="0" t="n">
        <v>7235</v>
      </c>
      <c r="E2861" s="0" t="n">
        <v>0</v>
      </c>
      <c r="F2861" s="39" t="s">
        <v>1375</v>
      </c>
      <c r="I2861" s="39" t="s">
        <v>136</v>
      </c>
      <c r="U2861" s="0" t="n">
        <v>302</v>
      </c>
      <c r="V2861" s="0" t="n">
        <v>0</v>
      </c>
      <c r="W2861" s="39" t="n">
        <f aca="false">IF(I2861="Male",0,1)</f>
        <v>1</v>
      </c>
      <c r="X2861" s="39" t="n">
        <f aca="false">IF(OR(I2861="DNB",I2861="Dry DNB"),1,0)</f>
        <v>0</v>
      </c>
      <c r="Y2861" s="39" t="n">
        <f aca="false">MATCH(A2861,DATAS,0)</f>
        <v>1</v>
      </c>
      <c r="Z2861" s="39" t="n">
        <f aca="false">IF(AND(E2861&gt;0,OR(AND(B2861&gt;=1,B2861&lt;=6),B2861=10)),1,0)</f>
        <v>0</v>
      </c>
      <c r="AA2861" s="39" t="n">
        <f aca="false">IF(AND(E2861&gt;0,B2861=10),1,0)</f>
        <v>0</v>
      </c>
      <c r="AB2861" s="0" t="str">
        <f aca="false">IF(AND(C2860=C2861,Y2860=Y2861-1),Z2860,"")</f>
        <v/>
      </c>
      <c r="AC2861" s="0" t="str">
        <f aca="false">IF(AND(C2860=C2861,Y2860=Y2861-1),AA2860,"")</f>
        <v/>
      </c>
      <c r="AD2861" s="0" t="str">
        <f aca="false">IF(Y2861=1,"",IF(AND(Z2861=1,AB2861&lt;&gt;1),1,0))</f>
        <v/>
      </c>
      <c r="AE2861" s="0" t="str">
        <f aca="false">IF(Y2861=1,"",IF(AND(AA2861=1,AC2861&lt;&gt;1),1,0))</f>
        <v/>
      </c>
      <c r="AF2861" s="45" t="str">
        <f aca="false">IF(AND(E2861&gt;0,Y2861&lt;1,NOT(AND(C2862=C2861,Y2862=Y2861+1))),INDEX(DATAS,Y2861+1),"")</f>
        <v/>
      </c>
      <c r="AG2861" s="45" t="str">
        <f aca="false">IF(AND(AA2861=1,Y2861&lt;1),IF(AND(C2862=C2861,Y2862=Y2861+1),IF(AA2862=1,"",INDEX(DATAS,Y2861+1)),INDEX(DATAS,Y2861+1)),"")</f>
        <v/>
      </c>
    </row>
    <row r="2862" customFormat="false" ht="15" hidden="false" customHeight="false" outlineLevel="0" collapsed="false">
      <c r="A2862" s="45" t="n">
        <v>46309</v>
      </c>
      <c r="B2862" s="0" t="n">
        <v>13</v>
      </c>
      <c r="C2862" s="0" t="n">
        <v>7237</v>
      </c>
      <c r="E2862" s="0" t="n">
        <v>0</v>
      </c>
      <c r="F2862" s="39" t="s">
        <v>1376</v>
      </c>
      <c r="I2862" s="39" t="s">
        <v>136</v>
      </c>
      <c r="U2862" s="0" t="n">
        <v>300</v>
      </c>
      <c r="V2862" s="0" t="n">
        <v>0</v>
      </c>
      <c r="W2862" s="39" t="n">
        <f aca="false">IF(I2862="Male",0,1)</f>
        <v>1</v>
      </c>
      <c r="X2862" s="39" t="n">
        <f aca="false">IF(OR(I2862="DNB",I2862="Dry DNB"),1,0)</f>
        <v>0</v>
      </c>
      <c r="Y2862" s="39" t="n">
        <f aca="false">MATCH(A2862,DATAS,0)</f>
        <v>1</v>
      </c>
      <c r="Z2862" s="39" t="n">
        <f aca="false">IF(AND(E2862&gt;0,OR(AND(B2862&gt;=1,B2862&lt;=6),B2862=10)),1,0)</f>
        <v>0</v>
      </c>
      <c r="AA2862" s="39" t="n">
        <f aca="false">IF(AND(E2862&gt;0,B2862=10),1,0)</f>
        <v>0</v>
      </c>
      <c r="AB2862" s="0" t="str">
        <f aca="false">IF(AND(C2861=C2862,Y2861=Y2862-1),Z2861,"")</f>
        <v/>
      </c>
      <c r="AC2862" s="0" t="str">
        <f aca="false">IF(AND(C2861=C2862,Y2861=Y2862-1),AA2861,"")</f>
        <v/>
      </c>
      <c r="AD2862" s="0" t="str">
        <f aca="false">IF(Y2862=1,"",IF(AND(Z2862=1,AB2862&lt;&gt;1),1,0))</f>
        <v/>
      </c>
      <c r="AE2862" s="0" t="str">
        <f aca="false">IF(Y2862=1,"",IF(AND(AA2862=1,AC2862&lt;&gt;1),1,0))</f>
        <v/>
      </c>
      <c r="AF2862" s="45" t="str">
        <f aca="false">IF(AND(E2862&gt;0,Y2862&lt;1,NOT(AND(C2863=C2862,Y2863=Y2862+1))),INDEX(DATAS,Y2862+1),"")</f>
        <v/>
      </c>
      <c r="AG2862" s="45" t="str">
        <f aca="false">IF(AND(AA2862=1,Y2862&lt;1),IF(AND(C2863=C2862,Y2863=Y2862+1),IF(AA2863=1,"",INDEX(DATAS,Y2862+1)),INDEX(DATAS,Y2862+1)),"")</f>
        <v/>
      </c>
    </row>
    <row r="2863" customFormat="false" ht="15" hidden="false" customHeight="false" outlineLevel="0" collapsed="false">
      <c r="A2863" s="45" t="n">
        <v>46309</v>
      </c>
      <c r="B2863" s="0" t="n">
        <v>13</v>
      </c>
      <c r="C2863" s="0" t="n">
        <v>7239</v>
      </c>
      <c r="E2863" s="0" t="n">
        <v>0</v>
      </c>
      <c r="F2863" s="39" t="s">
        <v>1376</v>
      </c>
      <c r="I2863" s="39" t="s">
        <v>136</v>
      </c>
      <c r="U2863" s="0" t="n">
        <v>300</v>
      </c>
      <c r="V2863" s="0" t="n">
        <v>0</v>
      </c>
      <c r="W2863" s="39" t="n">
        <f aca="false">IF(I2863="Male",0,1)</f>
        <v>1</v>
      </c>
      <c r="X2863" s="39" t="n">
        <f aca="false">IF(OR(I2863="DNB",I2863="Dry DNB"),1,0)</f>
        <v>0</v>
      </c>
      <c r="Y2863" s="39" t="n">
        <f aca="false">MATCH(A2863,DATAS,0)</f>
        <v>1</v>
      </c>
      <c r="Z2863" s="39" t="n">
        <f aca="false">IF(AND(E2863&gt;0,OR(AND(B2863&gt;=1,B2863&lt;=6),B2863=10)),1,0)</f>
        <v>0</v>
      </c>
      <c r="AA2863" s="39" t="n">
        <f aca="false">IF(AND(E2863&gt;0,B2863=10),1,0)</f>
        <v>0</v>
      </c>
      <c r="AB2863" s="0" t="str">
        <f aca="false">IF(AND(C2862=C2863,Y2862=Y2863-1),Z2862,"")</f>
        <v/>
      </c>
      <c r="AC2863" s="0" t="str">
        <f aca="false">IF(AND(C2862=C2863,Y2862=Y2863-1),AA2862,"")</f>
        <v/>
      </c>
      <c r="AD2863" s="0" t="str">
        <f aca="false">IF(Y2863=1,"",IF(AND(Z2863=1,AB2863&lt;&gt;1),1,0))</f>
        <v/>
      </c>
      <c r="AE2863" s="0" t="str">
        <f aca="false">IF(Y2863=1,"",IF(AND(AA2863=1,AC2863&lt;&gt;1),1,0))</f>
        <v/>
      </c>
      <c r="AF2863" s="45" t="str">
        <f aca="false">IF(AND(E2863&gt;0,Y2863&lt;1,NOT(AND(C2864=C2863,Y2864=Y2863+1))),INDEX(DATAS,Y2863+1),"")</f>
        <v/>
      </c>
      <c r="AG2863" s="45" t="str">
        <f aca="false">IF(AND(AA2863=1,Y2863&lt;1),IF(AND(C2864=C2863,Y2864=Y2863+1),IF(AA2864=1,"",INDEX(DATAS,Y2863+1)),INDEX(DATAS,Y2863+1)),"")</f>
        <v/>
      </c>
    </row>
    <row r="2864" customFormat="false" ht="15" hidden="false" customHeight="false" outlineLevel="0" collapsed="false">
      <c r="A2864" s="45" t="n">
        <v>46309</v>
      </c>
      <c r="B2864" s="0" t="n">
        <v>13</v>
      </c>
      <c r="C2864" s="0" t="n">
        <v>7240</v>
      </c>
      <c r="E2864" s="0" t="n">
        <v>0</v>
      </c>
      <c r="F2864" s="39" t="s">
        <v>1377</v>
      </c>
      <c r="I2864" s="39" t="s">
        <v>136</v>
      </c>
      <c r="U2864" s="0" t="n">
        <v>299</v>
      </c>
      <c r="V2864" s="0" t="n">
        <v>0</v>
      </c>
      <c r="W2864" s="39" t="n">
        <f aca="false">IF(I2864="Male",0,1)</f>
        <v>1</v>
      </c>
      <c r="X2864" s="39" t="n">
        <f aca="false">IF(OR(I2864="DNB",I2864="Dry DNB"),1,0)</f>
        <v>0</v>
      </c>
      <c r="Y2864" s="39" t="n">
        <f aca="false">MATCH(A2864,DATAS,0)</f>
        <v>1</v>
      </c>
      <c r="Z2864" s="39" t="n">
        <f aca="false">IF(AND(E2864&gt;0,OR(AND(B2864&gt;=1,B2864&lt;=6),B2864=10)),1,0)</f>
        <v>0</v>
      </c>
      <c r="AA2864" s="39" t="n">
        <f aca="false">IF(AND(E2864&gt;0,B2864=10),1,0)</f>
        <v>0</v>
      </c>
      <c r="AB2864" s="0" t="str">
        <f aca="false">IF(AND(C2863=C2864,Y2863=Y2864-1),Z2863,"")</f>
        <v/>
      </c>
      <c r="AC2864" s="0" t="str">
        <f aca="false">IF(AND(C2863=C2864,Y2863=Y2864-1),AA2863,"")</f>
        <v/>
      </c>
      <c r="AD2864" s="0" t="str">
        <f aca="false">IF(Y2864=1,"",IF(AND(Z2864=1,AB2864&lt;&gt;1),1,0))</f>
        <v/>
      </c>
      <c r="AE2864" s="0" t="str">
        <f aca="false">IF(Y2864=1,"",IF(AND(AA2864=1,AC2864&lt;&gt;1),1,0))</f>
        <v/>
      </c>
      <c r="AF2864" s="45" t="str">
        <f aca="false">IF(AND(E2864&gt;0,Y2864&lt;1,NOT(AND(C2865=C2864,Y2865=Y2864+1))),INDEX(DATAS,Y2864+1),"")</f>
        <v/>
      </c>
      <c r="AG2864" s="45" t="str">
        <f aca="false">IF(AND(AA2864=1,Y2864&lt;1),IF(AND(C2865=C2864,Y2865=Y2864+1),IF(AA2865=1,"",INDEX(DATAS,Y2864+1)),INDEX(DATAS,Y2864+1)),"")</f>
        <v/>
      </c>
    </row>
    <row r="2865" customFormat="false" ht="15" hidden="false" customHeight="false" outlineLevel="0" collapsed="false">
      <c r="A2865" s="45" t="n">
        <v>46309</v>
      </c>
      <c r="B2865" s="0" t="n">
        <v>13</v>
      </c>
      <c r="C2865" s="0" t="n">
        <v>7241</v>
      </c>
      <c r="E2865" s="0" t="n">
        <v>0</v>
      </c>
      <c r="F2865" s="39" t="s">
        <v>1377</v>
      </c>
      <c r="I2865" s="39" t="s">
        <v>136</v>
      </c>
      <c r="U2865" s="0" t="n">
        <v>299</v>
      </c>
      <c r="V2865" s="0" t="n">
        <v>0</v>
      </c>
      <c r="W2865" s="39" t="n">
        <f aca="false">IF(I2865="Male",0,1)</f>
        <v>1</v>
      </c>
      <c r="X2865" s="39" t="n">
        <f aca="false">IF(OR(I2865="DNB",I2865="Dry DNB"),1,0)</f>
        <v>0</v>
      </c>
      <c r="Y2865" s="39" t="n">
        <f aca="false">MATCH(A2865,DATAS,0)</f>
        <v>1</v>
      </c>
      <c r="Z2865" s="39" t="n">
        <f aca="false">IF(AND(E2865&gt;0,OR(AND(B2865&gt;=1,B2865&lt;=6),B2865=10)),1,0)</f>
        <v>0</v>
      </c>
      <c r="AA2865" s="39" t="n">
        <f aca="false">IF(AND(E2865&gt;0,B2865=10),1,0)</f>
        <v>0</v>
      </c>
      <c r="AB2865" s="0" t="str">
        <f aca="false">IF(AND(C2864=C2865,Y2864=Y2865-1),Z2864,"")</f>
        <v/>
      </c>
      <c r="AC2865" s="0" t="str">
        <f aca="false">IF(AND(C2864=C2865,Y2864=Y2865-1),AA2864,"")</f>
        <v/>
      </c>
      <c r="AD2865" s="0" t="str">
        <f aca="false">IF(Y2865=1,"",IF(AND(Z2865=1,AB2865&lt;&gt;1),1,0))</f>
        <v/>
      </c>
      <c r="AE2865" s="0" t="str">
        <f aca="false">IF(Y2865=1,"",IF(AND(AA2865=1,AC2865&lt;&gt;1),1,0))</f>
        <v/>
      </c>
      <c r="AF2865" s="45" t="str">
        <f aca="false">IF(AND(E2865&gt;0,Y2865&lt;1,NOT(AND(C2866=C2865,Y2866=Y2865+1))),INDEX(DATAS,Y2865+1),"")</f>
        <v/>
      </c>
      <c r="AG2865" s="45" t="str">
        <f aca="false">IF(AND(AA2865=1,Y2865&lt;1),IF(AND(C2866=C2865,Y2866=Y2865+1),IF(AA2866=1,"",INDEX(DATAS,Y2865+1)),INDEX(DATAS,Y2865+1)),"")</f>
        <v/>
      </c>
    </row>
    <row r="2866" customFormat="false" ht="15" hidden="false" customHeight="false" outlineLevel="0" collapsed="false">
      <c r="A2866" s="45" t="n">
        <v>46309</v>
      </c>
      <c r="B2866" s="0" t="n">
        <v>13</v>
      </c>
      <c r="C2866" s="0" t="n">
        <v>7242</v>
      </c>
      <c r="E2866" s="0" t="n">
        <v>0</v>
      </c>
      <c r="F2866" s="39" t="s">
        <v>1378</v>
      </c>
      <c r="I2866" s="39" t="s">
        <v>136</v>
      </c>
      <c r="U2866" s="0" t="n">
        <v>298</v>
      </c>
      <c r="V2866" s="0" t="n">
        <v>0</v>
      </c>
      <c r="W2866" s="39" t="n">
        <f aca="false">IF(I2866="Male",0,1)</f>
        <v>1</v>
      </c>
      <c r="X2866" s="39" t="n">
        <f aca="false">IF(OR(I2866="DNB",I2866="Dry DNB"),1,0)</f>
        <v>0</v>
      </c>
      <c r="Y2866" s="39" t="n">
        <f aca="false">MATCH(A2866,DATAS,0)</f>
        <v>1</v>
      </c>
      <c r="Z2866" s="39" t="n">
        <f aca="false">IF(AND(E2866&gt;0,OR(AND(B2866&gt;=1,B2866&lt;=6),B2866=10)),1,0)</f>
        <v>0</v>
      </c>
      <c r="AA2866" s="39" t="n">
        <f aca="false">IF(AND(E2866&gt;0,B2866=10),1,0)</f>
        <v>0</v>
      </c>
      <c r="AB2866" s="0" t="str">
        <f aca="false">IF(AND(C2865=C2866,Y2865=Y2866-1),Z2865,"")</f>
        <v/>
      </c>
      <c r="AC2866" s="0" t="str">
        <f aca="false">IF(AND(C2865=C2866,Y2865=Y2866-1),AA2865,"")</f>
        <v/>
      </c>
      <c r="AD2866" s="0" t="str">
        <f aca="false">IF(Y2866=1,"",IF(AND(Z2866=1,AB2866&lt;&gt;1),1,0))</f>
        <v/>
      </c>
      <c r="AE2866" s="0" t="str">
        <f aca="false">IF(Y2866=1,"",IF(AND(AA2866=1,AC2866&lt;&gt;1),1,0))</f>
        <v/>
      </c>
      <c r="AF2866" s="45" t="str">
        <f aca="false">IF(AND(E2866&gt;0,Y2866&lt;1,NOT(AND(C2867=C2866,Y2867=Y2866+1))),INDEX(DATAS,Y2866+1),"")</f>
        <v/>
      </c>
      <c r="AG2866" s="45" t="str">
        <f aca="false">IF(AND(AA2866=1,Y2866&lt;1),IF(AND(C2867=C2866,Y2867=Y2866+1),IF(AA2867=1,"",INDEX(DATAS,Y2866+1)),INDEX(DATAS,Y2866+1)),"")</f>
        <v/>
      </c>
    </row>
    <row r="2867" customFormat="false" ht="15" hidden="false" customHeight="false" outlineLevel="0" collapsed="false">
      <c r="A2867" s="45" t="n">
        <v>46309</v>
      </c>
      <c r="B2867" s="0" t="n">
        <v>13</v>
      </c>
      <c r="C2867" s="0" t="n">
        <v>7243</v>
      </c>
      <c r="E2867" s="0" t="n">
        <v>0</v>
      </c>
      <c r="F2867" s="39" t="s">
        <v>1378</v>
      </c>
      <c r="I2867" s="39" t="s">
        <v>136</v>
      </c>
      <c r="U2867" s="0" t="n">
        <v>298</v>
      </c>
      <c r="V2867" s="0" t="n">
        <v>0</v>
      </c>
      <c r="W2867" s="39" t="n">
        <f aca="false">IF(I2867="Male",0,1)</f>
        <v>1</v>
      </c>
      <c r="X2867" s="39" t="n">
        <f aca="false">IF(OR(I2867="DNB",I2867="Dry DNB"),1,0)</f>
        <v>0</v>
      </c>
      <c r="Y2867" s="39" t="n">
        <f aca="false">MATCH(A2867,DATAS,0)</f>
        <v>1</v>
      </c>
      <c r="Z2867" s="39" t="n">
        <f aca="false">IF(AND(E2867&gt;0,OR(AND(B2867&gt;=1,B2867&lt;=6),B2867=10)),1,0)</f>
        <v>0</v>
      </c>
      <c r="AA2867" s="39" t="n">
        <f aca="false">IF(AND(E2867&gt;0,B2867=10),1,0)</f>
        <v>0</v>
      </c>
      <c r="AB2867" s="0" t="str">
        <f aca="false">IF(AND(C2866=C2867,Y2866=Y2867-1),Z2866,"")</f>
        <v/>
      </c>
      <c r="AC2867" s="0" t="str">
        <f aca="false">IF(AND(C2866=C2867,Y2866=Y2867-1),AA2866,"")</f>
        <v/>
      </c>
      <c r="AD2867" s="0" t="str">
        <f aca="false">IF(Y2867=1,"",IF(AND(Z2867=1,AB2867&lt;&gt;1),1,0))</f>
        <v/>
      </c>
      <c r="AE2867" s="0" t="str">
        <f aca="false">IF(Y2867=1,"",IF(AND(AA2867=1,AC2867&lt;&gt;1),1,0))</f>
        <v/>
      </c>
      <c r="AF2867" s="45" t="str">
        <f aca="false">IF(AND(E2867&gt;0,Y2867&lt;1,NOT(AND(C2868=C2867,Y2868=Y2867+1))),INDEX(DATAS,Y2867+1),"")</f>
        <v/>
      </c>
      <c r="AG2867" s="45" t="str">
        <f aca="false">IF(AND(AA2867=1,Y2867&lt;1),IF(AND(C2868=C2867,Y2868=Y2867+1),IF(AA2868=1,"",INDEX(DATAS,Y2867+1)),INDEX(DATAS,Y2867+1)),"")</f>
        <v/>
      </c>
    </row>
    <row r="2868" customFormat="false" ht="15" hidden="false" customHeight="false" outlineLevel="0" collapsed="false">
      <c r="A2868" s="45" t="n">
        <v>46309</v>
      </c>
      <c r="B2868" s="0" t="n">
        <v>13</v>
      </c>
      <c r="C2868" s="0" t="n">
        <v>7245</v>
      </c>
      <c r="E2868" s="0" t="n">
        <v>0</v>
      </c>
      <c r="F2868" s="39" t="s">
        <v>1379</v>
      </c>
      <c r="I2868" s="39" t="s">
        <v>136</v>
      </c>
      <c r="U2868" s="0" t="n">
        <v>297</v>
      </c>
      <c r="V2868" s="0" t="n">
        <v>0</v>
      </c>
      <c r="W2868" s="39" t="n">
        <f aca="false">IF(I2868="Male",0,1)</f>
        <v>1</v>
      </c>
      <c r="X2868" s="39" t="n">
        <f aca="false">IF(OR(I2868="DNB",I2868="Dry DNB"),1,0)</f>
        <v>0</v>
      </c>
      <c r="Y2868" s="39" t="n">
        <f aca="false">MATCH(A2868,DATAS,0)</f>
        <v>1</v>
      </c>
      <c r="Z2868" s="39" t="n">
        <f aca="false">IF(AND(E2868&gt;0,OR(AND(B2868&gt;=1,B2868&lt;=6),B2868=10)),1,0)</f>
        <v>0</v>
      </c>
      <c r="AA2868" s="39" t="n">
        <f aca="false">IF(AND(E2868&gt;0,B2868=10),1,0)</f>
        <v>0</v>
      </c>
      <c r="AB2868" s="0" t="str">
        <f aca="false">IF(AND(C2867=C2868,Y2867=Y2868-1),Z2867,"")</f>
        <v/>
      </c>
      <c r="AC2868" s="0" t="str">
        <f aca="false">IF(AND(C2867=C2868,Y2867=Y2868-1),AA2867,"")</f>
        <v/>
      </c>
      <c r="AD2868" s="0" t="str">
        <f aca="false">IF(Y2868=1,"",IF(AND(Z2868=1,AB2868&lt;&gt;1),1,0))</f>
        <v/>
      </c>
      <c r="AE2868" s="0" t="str">
        <f aca="false">IF(Y2868=1,"",IF(AND(AA2868=1,AC2868&lt;&gt;1),1,0))</f>
        <v/>
      </c>
      <c r="AF2868" s="45" t="str">
        <f aca="false">IF(AND(E2868&gt;0,Y2868&lt;1,NOT(AND(C2869=C2868,Y2869=Y2868+1))),INDEX(DATAS,Y2868+1),"")</f>
        <v/>
      </c>
      <c r="AG2868" s="45" t="str">
        <f aca="false">IF(AND(AA2868=1,Y2868&lt;1),IF(AND(C2869=C2868,Y2869=Y2868+1),IF(AA2869=1,"",INDEX(DATAS,Y2868+1)),INDEX(DATAS,Y2868+1)),"")</f>
        <v/>
      </c>
    </row>
    <row r="2869" customFormat="false" ht="15" hidden="false" customHeight="false" outlineLevel="0" collapsed="false">
      <c r="A2869" s="45" t="n">
        <v>46309</v>
      </c>
      <c r="B2869" s="0" t="n">
        <v>13</v>
      </c>
      <c r="C2869" s="0" t="n">
        <v>7247</v>
      </c>
      <c r="E2869" s="0" t="n">
        <v>0</v>
      </c>
      <c r="F2869" s="39" t="s">
        <v>1352</v>
      </c>
      <c r="I2869" s="39" t="s">
        <v>136</v>
      </c>
      <c r="U2869" s="0" t="n">
        <v>327</v>
      </c>
      <c r="V2869" s="0" t="n">
        <v>0</v>
      </c>
      <c r="W2869" s="39" t="n">
        <f aca="false">IF(I2869="Male",0,1)</f>
        <v>1</v>
      </c>
      <c r="X2869" s="39" t="n">
        <f aca="false">IF(OR(I2869="DNB",I2869="Dry DNB"),1,0)</f>
        <v>0</v>
      </c>
      <c r="Y2869" s="39" t="n">
        <f aca="false">MATCH(A2869,DATAS,0)</f>
        <v>1</v>
      </c>
      <c r="Z2869" s="39" t="n">
        <f aca="false">IF(AND(E2869&gt;0,OR(AND(B2869&gt;=1,B2869&lt;=6),B2869=10)),1,0)</f>
        <v>0</v>
      </c>
      <c r="AA2869" s="39" t="n">
        <f aca="false">IF(AND(E2869&gt;0,B2869=10),1,0)</f>
        <v>0</v>
      </c>
      <c r="AB2869" s="0" t="str">
        <f aca="false">IF(AND(C2868=C2869,Y2868=Y2869-1),Z2868,"")</f>
        <v/>
      </c>
      <c r="AC2869" s="0" t="str">
        <f aca="false">IF(AND(C2868=C2869,Y2868=Y2869-1),AA2868,"")</f>
        <v/>
      </c>
      <c r="AD2869" s="0" t="str">
        <f aca="false">IF(Y2869=1,"",IF(AND(Z2869=1,AB2869&lt;&gt;1),1,0))</f>
        <v/>
      </c>
      <c r="AE2869" s="0" t="str">
        <f aca="false">IF(Y2869=1,"",IF(AND(AA2869=1,AC2869&lt;&gt;1),1,0))</f>
        <v/>
      </c>
      <c r="AF2869" s="45" t="str">
        <f aca="false">IF(AND(E2869&gt;0,Y2869&lt;1,NOT(AND(C2870=C2869,Y2870=Y2869+1))),INDEX(DATAS,Y2869+1),"")</f>
        <v/>
      </c>
      <c r="AG2869" s="45" t="str">
        <f aca="false">IF(AND(AA2869=1,Y2869&lt;1),IF(AND(C2870=C2869,Y2870=Y2869+1),IF(AA2870=1,"",INDEX(DATAS,Y2869+1)),INDEX(DATAS,Y2869+1)),"")</f>
        <v/>
      </c>
    </row>
    <row r="2870" customFormat="false" ht="15" hidden="false" customHeight="false" outlineLevel="0" collapsed="false">
      <c r="A2870" s="45" t="n">
        <v>46309</v>
      </c>
      <c r="B2870" s="0" t="n">
        <v>13</v>
      </c>
      <c r="C2870" s="0" t="n">
        <v>7248</v>
      </c>
      <c r="E2870" s="0" t="n">
        <v>0</v>
      </c>
      <c r="F2870" s="39" t="s">
        <v>1379</v>
      </c>
      <c r="I2870" s="39" t="s">
        <v>136</v>
      </c>
      <c r="U2870" s="0" t="n">
        <v>297</v>
      </c>
      <c r="V2870" s="0" t="n">
        <v>0</v>
      </c>
      <c r="W2870" s="39" t="n">
        <f aca="false">IF(I2870="Male",0,1)</f>
        <v>1</v>
      </c>
      <c r="X2870" s="39" t="n">
        <f aca="false">IF(OR(I2870="DNB",I2870="Dry DNB"),1,0)</f>
        <v>0</v>
      </c>
      <c r="Y2870" s="39" t="n">
        <f aca="false">MATCH(A2870,DATAS,0)</f>
        <v>1</v>
      </c>
      <c r="Z2870" s="39" t="n">
        <f aca="false">IF(AND(E2870&gt;0,OR(AND(B2870&gt;=1,B2870&lt;=6),B2870=10)),1,0)</f>
        <v>0</v>
      </c>
      <c r="AA2870" s="39" t="n">
        <f aca="false">IF(AND(E2870&gt;0,B2870=10),1,0)</f>
        <v>0</v>
      </c>
      <c r="AB2870" s="0" t="str">
        <f aca="false">IF(AND(C2869=C2870,Y2869=Y2870-1),Z2869,"")</f>
        <v/>
      </c>
      <c r="AC2870" s="0" t="str">
        <f aca="false">IF(AND(C2869=C2870,Y2869=Y2870-1),AA2869,"")</f>
        <v/>
      </c>
      <c r="AD2870" s="0" t="str">
        <f aca="false">IF(Y2870=1,"",IF(AND(Z2870=1,AB2870&lt;&gt;1),1,0))</f>
        <v/>
      </c>
      <c r="AE2870" s="0" t="str">
        <f aca="false">IF(Y2870=1,"",IF(AND(AA2870=1,AC2870&lt;&gt;1),1,0))</f>
        <v/>
      </c>
      <c r="AF2870" s="45" t="str">
        <f aca="false">IF(AND(E2870&gt;0,Y2870&lt;1,NOT(AND(C2871=C2870,Y2871=Y2870+1))),INDEX(DATAS,Y2870+1),"")</f>
        <v/>
      </c>
      <c r="AG2870" s="45" t="str">
        <f aca="false">IF(AND(AA2870=1,Y2870&lt;1),IF(AND(C2871=C2870,Y2871=Y2870+1),IF(AA2871=1,"",INDEX(DATAS,Y2870+1)),INDEX(DATAS,Y2870+1)),"")</f>
        <v/>
      </c>
    </row>
    <row r="2871" customFormat="false" ht="15" hidden="false" customHeight="false" outlineLevel="0" collapsed="false">
      <c r="A2871" s="45" t="n">
        <v>46309</v>
      </c>
      <c r="B2871" s="0" t="n">
        <v>13</v>
      </c>
      <c r="C2871" s="0" t="n">
        <v>7249</v>
      </c>
      <c r="E2871" s="0" t="n">
        <v>0</v>
      </c>
      <c r="F2871" s="39" t="s">
        <v>1380</v>
      </c>
      <c r="I2871" s="39" t="s">
        <v>136</v>
      </c>
      <c r="U2871" s="0" t="n">
        <v>296</v>
      </c>
      <c r="V2871" s="0" t="n">
        <v>0</v>
      </c>
      <c r="W2871" s="39" t="n">
        <f aca="false">IF(I2871="Male",0,1)</f>
        <v>1</v>
      </c>
      <c r="X2871" s="39" t="n">
        <f aca="false">IF(OR(I2871="DNB",I2871="Dry DNB"),1,0)</f>
        <v>0</v>
      </c>
      <c r="Y2871" s="39" t="n">
        <f aca="false">MATCH(A2871,DATAS,0)</f>
        <v>1</v>
      </c>
      <c r="Z2871" s="39" t="n">
        <f aca="false">IF(AND(E2871&gt;0,OR(AND(B2871&gt;=1,B2871&lt;=6),B2871=10)),1,0)</f>
        <v>0</v>
      </c>
      <c r="AA2871" s="39" t="n">
        <f aca="false">IF(AND(E2871&gt;0,B2871=10),1,0)</f>
        <v>0</v>
      </c>
      <c r="AB2871" s="0" t="str">
        <f aca="false">IF(AND(C2870=C2871,Y2870=Y2871-1),Z2870,"")</f>
        <v/>
      </c>
      <c r="AC2871" s="0" t="str">
        <f aca="false">IF(AND(C2870=C2871,Y2870=Y2871-1),AA2870,"")</f>
        <v/>
      </c>
      <c r="AD2871" s="0" t="str">
        <f aca="false">IF(Y2871=1,"",IF(AND(Z2871=1,AB2871&lt;&gt;1),1,0))</f>
        <v/>
      </c>
      <c r="AE2871" s="0" t="str">
        <f aca="false">IF(Y2871=1,"",IF(AND(AA2871=1,AC2871&lt;&gt;1),1,0))</f>
        <v/>
      </c>
      <c r="AF2871" s="45" t="str">
        <f aca="false">IF(AND(E2871&gt;0,Y2871&lt;1,NOT(AND(C2872=C2871,Y2872=Y2871+1))),INDEX(DATAS,Y2871+1),"")</f>
        <v/>
      </c>
      <c r="AG2871" s="45" t="str">
        <f aca="false">IF(AND(AA2871=1,Y2871&lt;1),IF(AND(C2872=C2871,Y2872=Y2871+1),IF(AA2872=1,"",INDEX(DATAS,Y2871+1)),INDEX(DATAS,Y2871+1)),"")</f>
        <v/>
      </c>
    </row>
    <row r="2872" customFormat="false" ht="15" hidden="false" customHeight="false" outlineLevel="0" collapsed="false">
      <c r="A2872" s="45" t="n">
        <v>46309</v>
      </c>
      <c r="B2872" s="0" t="n">
        <v>13</v>
      </c>
      <c r="C2872" s="0" t="n">
        <v>7250</v>
      </c>
      <c r="E2872" s="0" t="n">
        <v>0</v>
      </c>
      <c r="F2872" s="39" t="s">
        <v>1380</v>
      </c>
      <c r="I2872" s="39" t="s">
        <v>136</v>
      </c>
      <c r="U2872" s="0" t="n">
        <v>296</v>
      </c>
      <c r="V2872" s="0" t="n">
        <v>0</v>
      </c>
      <c r="W2872" s="39" t="n">
        <f aca="false">IF(I2872="Male",0,1)</f>
        <v>1</v>
      </c>
      <c r="X2872" s="39" t="n">
        <f aca="false">IF(OR(I2872="DNB",I2872="Dry DNB"),1,0)</f>
        <v>0</v>
      </c>
      <c r="Y2872" s="39" t="n">
        <f aca="false">MATCH(A2872,DATAS,0)</f>
        <v>1</v>
      </c>
      <c r="Z2872" s="39" t="n">
        <f aca="false">IF(AND(E2872&gt;0,OR(AND(B2872&gt;=1,B2872&lt;=6),B2872=10)),1,0)</f>
        <v>0</v>
      </c>
      <c r="AA2872" s="39" t="n">
        <f aca="false">IF(AND(E2872&gt;0,B2872=10),1,0)</f>
        <v>0</v>
      </c>
      <c r="AB2872" s="0" t="str">
        <f aca="false">IF(AND(C2871=C2872,Y2871=Y2872-1),Z2871,"")</f>
        <v/>
      </c>
      <c r="AC2872" s="0" t="str">
        <f aca="false">IF(AND(C2871=C2872,Y2871=Y2872-1),AA2871,"")</f>
        <v/>
      </c>
      <c r="AD2872" s="0" t="str">
        <f aca="false">IF(Y2872=1,"",IF(AND(Z2872=1,AB2872&lt;&gt;1),1,0))</f>
        <v/>
      </c>
      <c r="AE2872" s="0" t="str">
        <f aca="false">IF(Y2872=1,"",IF(AND(AA2872=1,AC2872&lt;&gt;1),1,0))</f>
        <v/>
      </c>
      <c r="AF2872" s="45" t="str">
        <f aca="false">IF(AND(E2872&gt;0,Y2872&lt;1,NOT(AND(C2873=C2872,Y2873=Y2872+1))),INDEX(DATAS,Y2872+1),"")</f>
        <v/>
      </c>
      <c r="AG2872" s="45" t="str">
        <f aca="false">IF(AND(AA2872=1,Y2872&lt;1),IF(AND(C2873=C2872,Y2873=Y2872+1),IF(AA2873=1,"",INDEX(DATAS,Y2872+1)),INDEX(DATAS,Y2872+1)),"")</f>
        <v/>
      </c>
    </row>
    <row r="2873" customFormat="false" ht="15" hidden="false" customHeight="false" outlineLevel="0" collapsed="false">
      <c r="A2873" s="45" t="n">
        <v>46309</v>
      </c>
      <c r="B2873" s="0" t="n">
        <v>13</v>
      </c>
      <c r="C2873" s="0" t="n">
        <v>7251</v>
      </c>
      <c r="E2873" s="0" t="n">
        <v>0</v>
      </c>
      <c r="F2873" s="39" t="s">
        <v>1380</v>
      </c>
      <c r="I2873" s="39" t="s">
        <v>136</v>
      </c>
      <c r="U2873" s="0" t="n">
        <v>296</v>
      </c>
      <c r="V2873" s="0" t="n">
        <v>0</v>
      </c>
      <c r="W2873" s="39" t="n">
        <f aca="false">IF(I2873="Male",0,1)</f>
        <v>1</v>
      </c>
      <c r="X2873" s="39" t="n">
        <f aca="false">IF(OR(I2873="DNB",I2873="Dry DNB"),1,0)</f>
        <v>0</v>
      </c>
      <c r="Y2873" s="39" t="n">
        <f aca="false">MATCH(A2873,DATAS,0)</f>
        <v>1</v>
      </c>
      <c r="Z2873" s="39" t="n">
        <f aca="false">IF(AND(E2873&gt;0,OR(AND(B2873&gt;=1,B2873&lt;=6),B2873=10)),1,0)</f>
        <v>0</v>
      </c>
      <c r="AA2873" s="39" t="n">
        <f aca="false">IF(AND(E2873&gt;0,B2873=10),1,0)</f>
        <v>0</v>
      </c>
      <c r="AB2873" s="0" t="str">
        <f aca="false">IF(AND(C2872=C2873,Y2872=Y2873-1),Z2872,"")</f>
        <v/>
      </c>
      <c r="AC2873" s="0" t="str">
        <f aca="false">IF(AND(C2872=C2873,Y2872=Y2873-1),AA2872,"")</f>
        <v/>
      </c>
      <c r="AD2873" s="0" t="str">
        <f aca="false">IF(Y2873=1,"",IF(AND(Z2873=1,AB2873&lt;&gt;1),1,0))</f>
        <v/>
      </c>
      <c r="AE2873" s="0" t="str">
        <f aca="false">IF(Y2873=1,"",IF(AND(AA2873=1,AC2873&lt;&gt;1),1,0))</f>
        <v/>
      </c>
      <c r="AF2873" s="45" t="str">
        <f aca="false">IF(AND(E2873&gt;0,Y2873&lt;1,NOT(AND(C2874=C2873,Y2874=Y2873+1))),INDEX(DATAS,Y2873+1),"")</f>
        <v/>
      </c>
      <c r="AG2873" s="45" t="str">
        <f aca="false">IF(AND(AA2873=1,Y2873&lt;1),IF(AND(C2874=C2873,Y2874=Y2873+1),IF(AA2874=1,"",INDEX(DATAS,Y2873+1)),INDEX(DATAS,Y2873+1)),"")</f>
        <v/>
      </c>
    </row>
    <row r="2874" customFormat="false" ht="15" hidden="false" customHeight="false" outlineLevel="0" collapsed="false">
      <c r="A2874" s="45" t="n">
        <v>46309</v>
      </c>
      <c r="B2874" s="0" t="n">
        <v>13</v>
      </c>
      <c r="C2874" s="0" t="n">
        <v>7252</v>
      </c>
      <c r="E2874" s="0" t="n">
        <v>0</v>
      </c>
      <c r="F2874" s="39" t="s">
        <v>1380</v>
      </c>
      <c r="I2874" s="39" t="s">
        <v>136</v>
      </c>
      <c r="U2874" s="0" t="n">
        <v>296</v>
      </c>
      <c r="V2874" s="0" t="n">
        <v>0</v>
      </c>
      <c r="W2874" s="39" t="n">
        <f aca="false">IF(I2874="Male",0,1)</f>
        <v>1</v>
      </c>
      <c r="X2874" s="39" t="n">
        <f aca="false">IF(OR(I2874="DNB",I2874="Dry DNB"),1,0)</f>
        <v>0</v>
      </c>
      <c r="Y2874" s="39" t="n">
        <f aca="false">MATCH(A2874,DATAS,0)</f>
        <v>1</v>
      </c>
      <c r="Z2874" s="39" t="n">
        <f aca="false">IF(AND(E2874&gt;0,OR(AND(B2874&gt;=1,B2874&lt;=6),B2874=10)),1,0)</f>
        <v>0</v>
      </c>
      <c r="AA2874" s="39" t="n">
        <f aca="false">IF(AND(E2874&gt;0,B2874=10),1,0)</f>
        <v>0</v>
      </c>
      <c r="AB2874" s="0" t="str">
        <f aca="false">IF(AND(C2873=C2874,Y2873=Y2874-1),Z2873,"")</f>
        <v/>
      </c>
      <c r="AC2874" s="0" t="str">
        <f aca="false">IF(AND(C2873=C2874,Y2873=Y2874-1),AA2873,"")</f>
        <v/>
      </c>
      <c r="AD2874" s="0" t="str">
        <f aca="false">IF(Y2874=1,"",IF(AND(Z2874=1,AB2874&lt;&gt;1),1,0))</f>
        <v/>
      </c>
      <c r="AE2874" s="0" t="str">
        <f aca="false">IF(Y2874=1,"",IF(AND(AA2874=1,AC2874&lt;&gt;1),1,0))</f>
        <v/>
      </c>
      <c r="AF2874" s="45" t="str">
        <f aca="false">IF(AND(E2874&gt;0,Y2874&lt;1,NOT(AND(C2875=C2874,Y2875=Y2874+1))),INDEX(DATAS,Y2874+1),"")</f>
        <v/>
      </c>
      <c r="AG2874" s="45" t="str">
        <f aca="false">IF(AND(AA2874=1,Y2874&lt;1),IF(AND(C2875=C2874,Y2875=Y2874+1),IF(AA2875=1,"",INDEX(DATAS,Y2874+1)),INDEX(DATAS,Y2874+1)),"")</f>
        <v/>
      </c>
    </row>
    <row r="2875" customFormat="false" ht="15" hidden="false" customHeight="false" outlineLevel="0" collapsed="false">
      <c r="A2875" s="45" t="n">
        <v>46309</v>
      </c>
      <c r="B2875" s="0" t="n">
        <v>13</v>
      </c>
      <c r="C2875" s="0" t="n">
        <v>7253</v>
      </c>
      <c r="E2875" s="0" t="n">
        <v>0</v>
      </c>
      <c r="F2875" s="39" t="s">
        <v>1381</v>
      </c>
      <c r="I2875" s="39" t="s">
        <v>136</v>
      </c>
      <c r="U2875" s="0" t="n">
        <v>295</v>
      </c>
      <c r="V2875" s="0" t="n">
        <v>0</v>
      </c>
      <c r="W2875" s="39" t="n">
        <f aca="false">IF(I2875="Male",0,1)</f>
        <v>1</v>
      </c>
      <c r="X2875" s="39" t="n">
        <f aca="false">IF(OR(I2875="DNB",I2875="Dry DNB"),1,0)</f>
        <v>0</v>
      </c>
      <c r="Y2875" s="39" t="n">
        <f aca="false">MATCH(A2875,DATAS,0)</f>
        <v>1</v>
      </c>
      <c r="Z2875" s="39" t="n">
        <f aca="false">IF(AND(E2875&gt;0,OR(AND(B2875&gt;=1,B2875&lt;=6),B2875=10)),1,0)</f>
        <v>0</v>
      </c>
      <c r="AA2875" s="39" t="n">
        <f aca="false">IF(AND(E2875&gt;0,B2875=10),1,0)</f>
        <v>0</v>
      </c>
      <c r="AB2875" s="0" t="str">
        <f aca="false">IF(AND(C2874=C2875,Y2874=Y2875-1),Z2874,"")</f>
        <v/>
      </c>
      <c r="AC2875" s="0" t="str">
        <f aca="false">IF(AND(C2874=C2875,Y2874=Y2875-1),AA2874,"")</f>
        <v/>
      </c>
      <c r="AD2875" s="0" t="str">
        <f aca="false">IF(Y2875=1,"",IF(AND(Z2875=1,AB2875&lt;&gt;1),1,0))</f>
        <v/>
      </c>
      <c r="AE2875" s="0" t="str">
        <f aca="false">IF(Y2875=1,"",IF(AND(AA2875=1,AC2875&lt;&gt;1),1,0))</f>
        <v/>
      </c>
      <c r="AF2875" s="45" t="str">
        <f aca="false">IF(AND(E2875&gt;0,Y2875&lt;1,NOT(AND(C2876=C2875,Y2876=Y2875+1))),INDEX(DATAS,Y2875+1),"")</f>
        <v/>
      </c>
      <c r="AG2875" s="45" t="str">
        <f aca="false">IF(AND(AA2875=1,Y2875&lt;1),IF(AND(C2876=C2875,Y2876=Y2875+1),IF(AA2876=1,"",INDEX(DATAS,Y2875+1)),INDEX(DATAS,Y2875+1)),"")</f>
        <v/>
      </c>
    </row>
    <row r="2876" customFormat="false" ht="15" hidden="false" customHeight="false" outlineLevel="0" collapsed="false">
      <c r="A2876" s="45" t="n">
        <v>46309</v>
      </c>
      <c r="B2876" s="0" t="n">
        <v>13</v>
      </c>
      <c r="C2876" s="0" t="n">
        <v>7256</v>
      </c>
      <c r="E2876" s="0" t="n">
        <v>0</v>
      </c>
      <c r="F2876" s="39" t="s">
        <v>1381</v>
      </c>
      <c r="I2876" s="39" t="s">
        <v>136</v>
      </c>
      <c r="U2876" s="0" t="n">
        <v>295</v>
      </c>
      <c r="V2876" s="0" t="n">
        <v>0</v>
      </c>
      <c r="W2876" s="39" t="n">
        <f aca="false">IF(I2876="Male",0,1)</f>
        <v>1</v>
      </c>
      <c r="X2876" s="39" t="n">
        <f aca="false">IF(OR(I2876="DNB",I2876="Dry DNB"),1,0)</f>
        <v>0</v>
      </c>
      <c r="Y2876" s="39" t="n">
        <f aca="false">MATCH(A2876,DATAS,0)</f>
        <v>1</v>
      </c>
      <c r="Z2876" s="39" t="n">
        <f aca="false">IF(AND(E2876&gt;0,OR(AND(B2876&gt;=1,B2876&lt;=6),B2876=10)),1,0)</f>
        <v>0</v>
      </c>
      <c r="AA2876" s="39" t="n">
        <f aca="false">IF(AND(E2876&gt;0,B2876=10),1,0)</f>
        <v>0</v>
      </c>
      <c r="AB2876" s="0" t="str">
        <f aca="false">IF(AND(C2875=C2876,Y2875=Y2876-1),Z2875,"")</f>
        <v/>
      </c>
      <c r="AC2876" s="0" t="str">
        <f aca="false">IF(AND(C2875=C2876,Y2875=Y2876-1),AA2875,"")</f>
        <v/>
      </c>
      <c r="AD2876" s="0" t="str">
        <f aca="false">IF(Y2876=1,"",IF(AND(Z2876=1,AB2876&lt;&gt;1),1,0))</f>
        <v/>
      </c>
      <c r="AE2876" s="0" t="str">
        <f aca="false">IF(Y2876=1,"",IF(AND(AA2876=1,AC2876&lt;&gt;1),1,0))</f>
        <v/>
      </c>
      <c r="AF2876" s="45" t="str">
        <f aca="false">IF(AND(E2876&gt;0,Y2876&lt;1,NOT(AND(C2877=C2876,Y2877=Y2876+1))),INDEX(DATAS,Y2876+1),"")</f>
        <v/>
      </c>
      <c r="AG2876" s="45" t="str">
        <f aca="false">IF(AND(AA2876=1,Y2876&lt;1),IF(AND(C2877=C2876,Y2877=Y2876+1),IF(AA2877=1,"",INDEX(DATAS,Y2876+1)),INDEX(DATAS,Y2876+1)),"")</f>
        <v/>
      </c>
    </row>
    <row r="2877" customFormat="false" ht="15" hidden="false" customHeight="false" outlineLevel="0" collapsed="false">
      <c r="A2877" s="45" t="n">
        <v>46309</v>
      </c>
      <c r="B2877" s="0" t="n">
        <v>13</v>
      </c>
      <c r="C2877" s="0" t="n">
        <v>7257</v>
      </c>
      <c r="E2877" s="0" t="n">
        <v>0</v>
      </c>
      <c r="F2877" s="39" t="s">
        <v>1382</v>
      </c>
      <c r="I2877" s="39" t="s">
        <v>136</v>
      </c>
      <c r="U2877" s="0" t="n">
        <v>294</v>
      </c>
      <c r="V2877" s="0" t="n">
        <v>0</v>
      </c>
      <c r="W2877" s="39" t="n">
        <f aca="false">IF(I2877="Male",0,1)</f>
        <v>1</v>
      </c>
      <c r="X2877" s="39" t="n">
        <f aca="false">IF(OR(I2877="DNB",I2877="Dry DNB"),1,0)</f>
        <v>0</v>
      </c>
      <c r="Y2877" s="39" t="n">
        <f aca="false">MATCH(A2877,DATAS,0)</f>
        <v>1</v>
      </c>
      <c r="Z2877" s="39" t="n">
        <f aca="false">IF(AND(E2877&gt;0,OR(AND(B2877&gt;=1,B2877&lt;=6),B2877=10)),1,0)</f>
        <v>0</v>
      </c>
      <c r="AA2877" s="39" t="n">
        <f aca="false">IF(AND(E2877&gt;0,B2877=10),1,0)</f>
        <v>0</v>
      </c>
      <c r="AB2877" s="0" t="str">
        <f aca="false">IF(AND(C2876=C2877,Y2876=Y2877-1),Z2876,"")</f>
        <v/>
      </c>
      <c r="AC2877" s="0" t="str">
        <f aca="false">IF(AND(C2876=C2877,Y2876=Y2877-1),AA2876,"")</f>
        <v/>
      </c>
      <c r="AD2877" s="0" t="str">
        <f aca="false">IF(Y2877=1,"",IF(AND(Z2877=1,AB2877&lt;&gt;1),1,0))</f>
        <v/>
      </c>
      <c r="AE2877" s="0" t="str">
        <f aca="false">IF(Y2877=1,"",IF(AND(AA2877=1,AC2877&lt;&gt;1),1,0))</f>
        <v/>
      </c>
      <c r="AF2877" s="45" t="str">
        <f aca="false">IF(AND(E2877&gt;0,Y2877&lt;1,NOT(AND(C2878=C2877,Y2878=Y2877+1))),INDEX(DATAS,Y2877+1),"")</f>
        <v/>
      </c>
      <c r="AG2877" s="45" t="str">
        <f aca="false">IF(AND(AA2877=1,Y2877&lt;1),IF(AND(C2878=C2877,Y2878=Y2877+1),IF(AA2878=1,"",INDEX(DATAS,Y2877+1)),INDEX(DATAS,Y2877+1)),"")</f>
        <v/>
      </c>
    </row>
    <row r="2878" customFormat="false" ht="15" hidden="false" customHeight="false" outlineLevel="0" collapsed="false">
      <c r="A2878" s="45" t="n">
        <v>46309</v>
      </c>
      <c r="B2878" s="0" t="n">
        <v>13</v>
      </c>
      <c r="C2878" s="0" t="n">
        <v>7258</v>
      </c>
      <c r="E2878" s="0" t="n">
        <v>0</v>
      </c>
      <c r="F2878" s="39" t="s">
        <v>1382</v>
      </c>
      <c r="I2878" s="39" t="s">
        <v>136</v>
      </c>
      <c r="U2878" s="0" t="n">
        <v>294</v>
      </c>
      <c r="V2878" s="0" t="n">
        <v>0</v>
      </c>
      <c r="W2878" s="39" t="n">
        <f aca="false">IF(I2878="Male",0,1)</f>
        <v>1</v>
      </c>
      <c r="X2878" s="39" t="n">
        <f aca="false">IF(OR(I2878="DNB",I2878="Dry DNB"),1,0)</f>
        <v>0</v>
      </c>
      <c r="Y2878" s="39" t="n">
        <f aca="false">MATCH(A2878,DATAS,0)</f>
        <v>1</v>
      </c>
      <c r="Z2878" s="39" t="n">
        <f aca="false">IF(AND(E2878&gt;0,OR(AND(B2878&gt;=1,B2878&lt;=6),B2878=10)),1,0)</f>
        <v>0</v>
      </c>
      <c r="AA2878" s="39" t="n">
        <f aca="false">IF(AND(E2878&gt;0,B2878=10),1,0)</f>
        <v>0</v>
      </c>
      <c r="AB2878" s="0" t="str">
        <f aca="false">IF(AND(C2877=C2878,Y2877=Y2878-1),Z2877,"")</f>
        <v/>
      </c>
      <c r="AC2878" s="0" t="str">
        <f aca="false">IF(AND(C2877=C2878,Y2877=Y2878-1),AA2877,"")</f>
        <v/>
      </c>
      <c r="AD2878" s="0" t="str">
        <f aca="false">IF(Y2878=1,"",IF(AND(Z2878=1,AB2878&lt;&gt;1),1,0))</f>
        <v/>
      </c>
      <c r="AE2878" s="0" t="str">
        <f aca="false">IF(Y2878=1,"",IF(AND(AA2878=1,AC2878&lt;&gt;1),1,0))</f>
        <v/>
      </c>
      <c r="AF2878" s="45" t="str">
        <f aca="false">IF(AND(E2878&gt;0,Y2878&lt;1,NOT(AND(C2879=C2878,Y2879=Y2878+1))),INDEX(DATAS,Y2878+1),"")</f>
        <v/>
      </c>
      <c r="AG2878" s="45" t="str">
        <f aca="false">IF(AND(AA2878=1,Y2878&lt;1),IF(AND(C2879=C2878,Y2879=Y2878+1),IF(AA2879=1,"",INDEX(DATAS,Y2878+1)),INDEX(DATAS,Y2878+1)),"")</f>
        <v/>
      </c>
    </row>
    <row r="2879" customFormat="false" ht="15" hidden="false" customHeight="false" outlineLevel="0" collapsed="false">
      <c r="A2879" s="45" t="n">
        <v>46309</v>
      </c>
      <c r="B2879" s="0" t="n">
        <v>13</v>
      </c>
      <c r="C2879" s="0" t="n">
        <v>7260</v>
      </c>
      <c r="E2879" s="0" t="n">
        <v>0</v>
      </c>
      <c r="F2879" s="39" t="s">
        <v>1382</v>
      </c>
      <c r="I2879" s="39" t="s">
        <v>136</v>
      </c>
      <c r="U2879" s="0" t="n">
        <v>294</v>
      </c>
      <c r="V2879" s="0" t="n">
        <v>0</v>
      </c>
      <c r="W2879" s="39" t="n">
        <f aca="false">IF(I2879="Male",0,1)</f>
        <v>1</v>
      </c>
      <c r="X2879" s="39" t="n">
        <f aca="false">IF(OR(I2879="DNB",I2879="Dry DNB"),1,0)</f>
        <v>0</v>
      </c>
      <c r="Y2879" s="39" t="n">
        <f aca="false">MATCH(A2879,DATAS,0)</f>
        <v>1</v>
      </c>
      <c r="Z2879" s="39" t="n">
        <f aca="false">IF(AND(E2879&gt;0,OR(AND(B2879&gt;=1,B2879&lt;=6),B2879=10)),1,0)</f>
        <v>0</v>
      </c>
      <c r="AA2879" s="39" t="n">
        <f aca="false">IF(AND(E2879&gt;0,B2879=10),1,0)</f>
        <v>0</v>
      </c>
      <c r="AB2879" s="0" t="str">
        <f aca="false">IF(AND(C2878=C2879,Y2878=Y2879-1),Z2878,"")</f>
        <v/>
      </c>
      <c r="AC2879" s="0" t="str">
        <f aca="false">IF(AND(C2878=C2879,Y2878=Y2879-1),AA2878,"")</f>
        <v/>
      </c>
      <c r="AD2879" s="0" t="str">
        <f aca="false">IF(Y2879=1,"",IF(AND(Z2879=1,AB2879&lt;&gt;1),1,0))</f>
        <v/>
      </c>
      <c r="AE2879" s="0" t="str">
        <f aca="false">IF(Y2879=1,"",IF(AND(AA2879=1,AC2879&lt;&gt;1),1,0))</f>
        <v/>
      </c>
      <c r="AF2879" s="45" t="str">
        <f aca="false">IF(AND(E2879&gt;0,Y2879&lt;1,NOT(AND(C2880=C2879,Y2880=Y2879+1))),INDEX(DATAS,Y2879+1),"")</f>
        <v/>
      </c>
      <c r="AG2879" s="45" t="str">
        <f aca="false">IF(AND(AA2879=1,Y2879&lt;1),IF(AND(C2880=C2879,Y2880=Y2879+1),IF(AA2880=1,"",INDEX(DATAS,Y2879+1)),INDEX(DATAS,Y2879+1)),"")</f>
        <v/>
      </c>
    </row>
    <row r="2880" customFormat="false" ht="15" hidden="false" customHeight="false" outlineLevel="0" collapsed="false">
      <c r="A2880" s="45" t="n">
        <v>46309</v>
      </c>
      <c r="B2880" s="0" t="n">
        <v>13</v>
      </c>
      <c r="C2880" s="0" t="n">
        <v>7261</v>
      </c>
      <c r="E2880" s="0" t="n">
        <v>0</v>
      </c>
      <c r="F2880" s="39" t="s">
        <v>1382</v>
      </c>
      <c r="I2880" s="39" t="s">
        <v>136</v>
      </c>
      <c r="U2880" s="0" t="n">
        <v>294</v>
      </c>
      <c r="V2880" s="0" t="n">
        <v>0</v>
      </c>
      <c r="W2880" s="39" t="n">
        <f aca="false">IF(I2880="Male",0,1)</f>
        <v>1</v>
      </c>
      <c r="X2880" s="39" t="n">
        <f aca="false">IF(OR(I2880="DNB",I2880="Dry DNB"),1,0)</f>
        <v>0</v>
      </c>
      <c r="Y2880" s="39" t="n">
        <f aca="false">MATCH(A2880,DATAS,0)</f>
        <v>1</v>
      </c>
      <c r="Z2880" s="39" t="n">
        <f aca="false">IF(AND(E2880&gt;0,OR(AND(B2880&gt;=1,B2880&lt;=6),B2880=10)),1,0)</f>
        <v>0</v>
      </c>
      <c r="AA2880" s="39" t="n">
        <f aca="false">IF(AND(E2880&gt;0,B2880=10),1,0)</f>
        <v>0</v>
      </c>
      <c r="AB2880" s="0" t="str">
        <f aca="false">IF(AND(C2879=C2880,Y2879=Y2880-1),Z2879,"")</f>
        <v/>
      </c>
      <c r="AC2880" s="0" t="str">
        <f aca="false">IF(AND(C2879=C2880,Y2879=Y2880-1),AA2879,"")</f>
        <v/>
      </c>
      <c r="AD2880" s="0" t="str">
        <f aca="false">IF(Y2880=1,"",IF(AND(Z2880=1,AB2880&lt;&gt;1),1,0))</f>
        <v/>
      </c>
      <c r="AE2880" s="0" t="str">
        <f aca="false">IF(Y2880=1,"",IF(AND(AA2880=1,AC2880&lt;&gt;1),1,0))</f>
        <v/>
      </c>
      <c r="AF2880" s="45" t="str">
        <f aca="false">IF(AND(E2880&gt;0,Y2880&lt;1,NOT(AND(C2881=C2880,Y2881=Y2880+1))),INDEX(DATAS,Y2880+1),"")</f>
        <v/>
      </c>
      <c r="AG2880" s="45" t="str">
        <f aca="false">IF(AND(AA2880=1,Y2880&lt;1),IF(AND(C2881=C2880,Y2881=Y2880+1),IF(AA2881=1,"",INDEX(DATAS,Y2880+1)),INDEX(DATAS,Y2880+1)),"")</f>
        <v/>
      </c>
    </row>
    <row r="2881" customFormat="false" ht="15" hidden="false" customHeight="false" outlineLevel="0" collapsed="false">
      <c r="A2881" s="45" t="n">
        <v>46309</v>
      </c>
      <c r="B2881" s="0" t="n">
        <v>13</v>
      </c>
      <c r="C2881" s="0" t="n">
        <v>7262</v>
      </c>
      <c r="E2881" s="0" t="n">
        <v>0</v>
      </c>
      <c r="F2881" s="39" t="s">
        <v>1382</v>
      </c>
      <c r="I2881" s="39" t="s">
        <v>136</v>
      </c>
      <c r="U2881" s="0" t="n">
        <v>294</v>
      </c>
      <c r="V2881" s="0" t="n">
        <v>0</v>
      </c>
      <c r="W2881" s="39" t="n">
        <f aca="false">IF(I2881="Male",0,1)</f>
        <v>1</v>
      </c>
      <c r="X2881" s="39" t="n">
        <f aca="false">IF(OR(I2881="DNB",I2881="Dry DNB"),1,0)</f>
        <v>0</v>
      </c>
      <c r="Y2881" s="39" t="n">
        <f aca="false">MATCH(A2881,DATAS,0)</f>
        <v>1</v>
      </c>
      <c r="Z2881" s="39" t="n">
        <f aca="false">IF(AND(E2881&gt;0,OR(AND(B2881&gt;=1,B2881&lt;=6),B2881=10)),1,0)</f>
        <v>0</v>
      </c>
      <c r="AA2881" s="39" t="n">
        <f aca="false">IF(AND(E2881&gt;0,B2881=10),1,0)</f>
        <v>0</v>
      </c>
      <c r="AB2881" s="0" t="str">
        <f aca="false">IF(AND(C2880=C2881,Y2880=Y2881-1),Z2880,"")</f>
        <v/>
      </c>
      <c r="AC2881" s="0" t="str">
        <f aca="false">IF(AND(C2880=C2881,Y2880=Y2881-1),AA2880,"")</f>
        <v/>
      </c>
      <c r="AD2881" s="0" t="str">
        <f aca="false">IF(Y2881=1,"",IF(AND(Z2881=1,AB2881&lt;&gt;1),1,0))</f>
        <v/>
      </c>
      <c r="AE2881" s="0" t="str">
        <f aca="false">IF(Y2881=1,"",IF(AND(AA2881=1,AC2881&lt;&gt;1),1,0))</f>
        <v/>
      </c>
      <c r="AF2881" s="45" t="str">
        <f aca="false">IF(AND(E2881&gt;0,Y2881&lt;1,NOT(AND(C2882=C2881,Y2882=Y2881+1))),INDEX(DATAS,Y2881+1),"")</f>
        <v/>
      </c>
      <c r="AG2881" s="45" t="str">
        <f aca="false">IF(AND(AA2881=1,Y2881&lt;1),IF(AND(C2882=C2881,Y2882=Y2881+1),IF(AA2882=1,"",INDEX(DATAS,Y2881+1)),INDEX(DATAS,Y2881+1)),"")</f>
        <v/>
      </c>
    </row>
    <row r="2882" customFormat="false" ht="15" hidden="false" customHeight="false" outlineLevel="0" collapsed="false">
      <c r="A2882" s="45" t="n">
        <v>46309</v>
      </c>
      <c r="B2882" s="0" t="n">
        <v>13</v>
      </c>
      <c r="C2882" s="0" t="n">
        <v>7264</v>
      </c>
      <c r="E2882" s="0" t="n">
        <v>0</v>
      </c>
      <c r="F2882" s="39" t="s">
        <v>1382</v>
      </c>
      <c r="I2882" s="39" t="s">
        <v>136</v>
      </c>
      <c r="U2882" s="0" t="n">
        <v>294</v>
      </c>
      <c r="V2882" s="0" t="n">
        <v>0</v>
      </c>
      <c r="W2882" s="39" t="n">
        <f aca="false">IF(I2882="Male",0,1)</f>
        <v>1</v>
      </c>
      <c r="X2882" s="39" t="n">
        <f aca="false">IF(OR(I2882="DNB",I2882="Dry DNB"),1,0)</f>
        <v>0</v>
      </c>
      <c r="Y2882" s="39" t="n">
        <f aca="false">MATCH(A2882,DATAS,0)</f>
        <v>1</v>
      </c>
      <c r="Z2882" s="39" t="n">
        <f aca="false">IF(AND(E2882&gt;0,OR(AND(B2882&gt;=1,B2882&lt;=6),B2882=10)),1,0)</f>
        <v>0</v>
      </c>
      <c r="AA2882" s="39" t="n">
        <f aca="false">IF(AND(E2882&gt;0,B2882=10),1,0)</f>
        <v>0</v>
      </c>
      <c r="AB2882" s="0" t="str">
        <f aca="false">IF(AND(C2881=C2882,Y2881=Y2882-1),Z2881,"")</f>
        <v/>
      </c>
      <c r="AC2882" s="0" t="str">
        <f aca="false">IF(AND(C2881=C2882,Y2881=Y2882-1),AA2881,"")</f>
        <v/>
      </c>
      <c r="AD2882" s="0" t="str">
        <f aca="false">IF(Y2882=1,"",IF(AND(Z2882=1,AB2882&lt;&gt;1),1,0))</f>
        <v/>
      </c>
      <c r="AE2882" s="0" t="str">
        <f aca="false">IF(Y2882=1,"",IF(AND(AA2882=1,AC2882&lt;&gt;1),1,0))</f>
        <v/>
      </c>
      <c r="AF2882" s="45" t="str">
        <f aca="false">IF(AND(E2882&gt;0,Y2882&lt;1,NOT(AND(C2883=C2882,Y2883=Y2882+1))),INDEX(DATAS,Y2882+1),"")</f>
        <v/>
      </c>
      <c r="AG2882" s="45" t="str">
        <f aca="false">IF(AND(AA2882=1,Y2882&lt;1),IF(AND(C2883=C2882,Y2883=Y2882+1),IF(AA2883=1,"",INDEX(DATAS,Y2882+1)),INDEX(DATAS,Y2882+1)),"")</f>
        <v/>
      </c>
    </row>
    <row r="2883" customFormat="false" ht="15" hidden="false" customHeight="false" outlineLevel="0" collapsed="false">
      <c r="A2883" s="45" t="n">
        <v>46309</v>
      </c>
      <c r="B2883" s="0" t="n">
        <v>13</v>
      </c>
      <c r="C2883" s="0" t="n">
        <v>7265</v>
      </c>
      <c r="E2883" s="0" t="n">
        <v>0</v>
      </c>
      <c r="F2883" s="39" t="s">
        <v>1383</v>
      </c>
      <c r="I2883" s="39" t="s">
        <v>136</v>
      </c>
      <c r="U2883" s="0" t="n">
        <v>292</v>
      </c>
      <c r="V2883" s="0" t="n">
        <v>0</v>
      </c>
      <c r="W2883" s="39" t="n">
        <f aca="false">IF(I2883="Male",0,1)</f>
        <v>1</v>
      </c>
      <c r="X2883" s="39" t="n">
        <f aca="false">IF(OR(I2883="DNB",I2883="Dry DNB"),1,0)</f>
        <v>0</v>
      </c>
      <c r="Y2883" s="39" t="n">
        <f aca="false">MATCH(A2883,DATAS,0)</f>
        <v>1</v>
      </c>
      <c r="Z2883" s="39" t="n">
        <f aca="false">IF(AND(E2883&gt;0,OR(AND(B2883&gt;=1,B2883&lt;=6),B2883=10)),1,0)</f>
        <v>0</v>
      </c>
      <c r="AA2883" s="39" t="n">
        <f aca="false">IF(AND(E2883&gt;0,B2883=10),1,0)</f>
        <v>0</v>
      </c>
      <c r="AB2883" s="0" t="str">
        <f aca="false">IF(AND(C2882=C2883,Y2882=Y2883-1),Z2882,"")</f>
        <v/>
      </c>
      <c r="AC2883" s="0" t="str">
        <f aca="false">IF(AND(C2882=C2883,Y2882=Y2883-1),AA2882,"")</f>
        <v/>
      </c>
      <c r="AD2883" s="0" t="str">
        <f aca="false">IF(Y2883=1,"",IF(AND(Z2883=1,AB2883&lt;&gt;1),1,0))</f>
        <v/>
      </c>
      <c r="AE2883" s="0" t="str">
        <f aca="false">IF(Y2883=1,"",IF(AND(AA2883=1,AC2883&lt;&gt;1),1,0))</f>
        <v/>
      </c>
      <c r="AF2883" s="45" t="str">
        <f aca="false">IF(AND(E2883&gt;0,Y2883&lt;1,NOT(AND(C2884=C2883,Y2884=Y2883+1))),INDEX(DATAS,Y2883+1),"")</f>
        <v/>
      </c>
      <c r="AG2883" s="45" t="str">
        <f aca="false">IF(AND(AA2883=1,Y2883&lt;1),IF(AND(C2884=C2883,Y2884=Y2883+1),IF(AA2884=1,"",INDEX(DATAS,Y2883+1)),INDEX(DATAS,Y2883+1)),"")</f>
        <v/>
      </c>
    </row>
    <row r="2884" customFormat="false" ht="15" hidden="false" customHeight="false" outlineLevel="0" collapsed="false">
      <c r="A2884" s="45" t="n">
        <v>46309</v>
      </c>
      <c r="B2884" s="0" t="n">
        <v>13</v>
      </c>
      <c r="C2884" s="0" t="n">
        <v>7266</v>
      </c>
      <c r="E2884" s="0" t="n">
        <v>0</v>
      </c>
      <c r="F2884" s="39" t="s">
        <v>1383</v>
      </c>
      <c r="I2884" s="39" t="s">
        <v>136</v>
      </c>
      <c r="U2884" s="0" t="n">
        <v>292</v>
      </c>
      <c r="V2884" s="0" t="n">
        <v>0</v>
      </c>
      <c r="W2884" s="39" t="n">
        <f aca="false">IF(I2884="Male",0,1)</f>
        <v>1</v>
      </c>
      <c r="X2884" s="39" t="n">
        <f aca="false">IF(OR(I2884="DNB",I2884="Dry DNB"),1,0)</f>
        <v>0</v>
      </c>
      <c r="Y2884" s="39" t="n">
        <f aca="false">MATCH(A2884,DATAS,0)</f>
        <v>1</v>
      </c>
      <c r="Z2884" s="39" t="n">
        <f aca="false">IF(AND(E2884&gt;0,OR(AND(B2884&gt;=1,B2884&lt;=6),B2884=10)),1,0)</f>
        <v>0</v>
      </c>
      <c r="AA2884" s="39" t="n">
        <f aca="false">IF(AND(E2884&gt;0,B2884=10),1,0)</f>
        <v>0</v>
      </c>
      <c r="AB2884" s="0" t="str">
        <f aca="false">IF(AND(C2883=C2884,Y2883=Y2884-1),Z2883,"")</f>
        <v/>
      </c>
      <c r="AC2884" s="0" t="str">
        <f aca="false">IF(AND(C2883=C2884,Y2883=Y2884-1),AA2883,"")</f>
        <v/>
      </c>
      <c r="AD2884" s="0" t="str">
        <f aca="false">IF(Y2884=1,"",IF(AND(Z2884=1,AB2884&lt;&gt;1),1,0))</f>
        <v/>
      </c>
      <c r="AE2884" s="0" t="str">
        <f aca="false">IF(Y2884=1,"",IF(AND(AA2884=1,AC2884&lt;&gt;1),1,0))</f>
        <v/>
      </c>
      <c r="AF2884" s="45" t="str">
        <f aca="false">IF(AND(E2884&gt;0,Y2884&lt;1,NOT(AND(C2885=C2884,Y2885=Y2884+1))),INDEX(DATAS,Y2884+1),"")</f>
        <v/>
      </c>
      <c r="AG2884" s="45" t="str">
        <f aca="false">IF(AND(AA2884=1,Y2884&lt;1),IF(AND(C2885=C2884,Y2885=Y2884+1),IF(AA2885=1,"",INDEX(DATAS,Y2884+1)),INDEX(DATAS,Y2884+1)),"")</f>
        <v/>
      </c>
    </row>
    <row r="2885" customFormat="false" ht="15" hidden="false" customHeight="false" outlineLevel="0" collapsed="false">
      <c r="A2885" s="45" t="n">
        <v>46309</v>
      </c>
      <c r="B2885" s="0" t="n">
        <v>13</v>
      </c>
      <c r="C2885" s="0" t="n">
        <v>7267</v>
      </c>
      <c r="E2885" s="0" t="n">
        <v>0</v>
      </c>
      <c r="F2885" s="39" t="s">
        <v>1383</v>
      </c>
      <c r="I2885" s="39" t="s">
        <v>136</v>
      </c>
      <c r="U2885" s="0" t="n">
        <v>292</v>
      </c>
      <c r="V2885" s="0" t="n">
        <v>0</v>
      </c>
      <c r="W2885" s="39" t="n">
        <f aca="false">IF(I2885="Male",0,1)</f>
        <v>1</v>
      </c>
      <c r="X2885" s="39" t="n">
        <f aca="false">IF(OR(I2885="DNB",I2885="Dry DNB"),1,0)</f>
        <v>0</v>
      </c>
      <c r="Y2885" s="39" t="n">
        <f aca="false">MATCH(A2885,DATAS,0)</f>
        <v>1</v>
      </c>
      <c r="Z2885" s="39" t="n">
        <f aca="false">IF(AND(E2885&gt;0,OR(AND(B2885&gt;=1,B2885&lt;=6),B2885=10)),1,0)</f>
        <v>0</v>
      </c>
      <c r="AA2885" s="39" t="n">
        <f aca="false">IF(AND(E2885&gt;0,B2885=10),1,0)</f>
        <v>0</v>
      </c>
      <c r="AB2885" s="0" t="str">
        <f aca="false">IF(AND(C2884=C2885,Y2884=Y2885-1),Z2884,"")</f>
        <v/>
      </c>
      <c r="AC2885" s="0" t="str">
        <f aca="false">IF(AND(C2884=C2885,Y2884=Y2885-1),AA2884,"")</f>
        <v/>
      </c>
      <c r="AD2885" s="0" t="str">
        <f aca="false">IF(Y2885=1,"",IF(AND(Z2885=1,AB2885&lt;&gt;1),1,0))</f>
        <v/>
      </c>
      <c r="AE2885" s="0" t="str">
        <f aca="false">IF(Y2885=1,"",IF(AND(AA2885=1,AC2885&lt;&gt;1),1,0))</f>
        <v/>
      </c>
      <c r="AF2885" s="45" t="str">
        <f aca="false">IF(AND(E2885&gt;0,Y2885&lt;1,NOT(AND(C2886=C2885,Y2886=Y2885+1))),INDEX(DATAS,Y2885+1),"")</f>
        <v/>
      </c>
      <c r="AG2885" s="45" t="str">
        <f aca="false">IF(AND(AA2885=1,Y2885&lt;1),IF(AND(C2886=C2885,Y2886=Y2885+1),IF(AA2886=1,"",INDEX(DATAS,Y2885+1)),INDEX(DATAS,Y2885+1)),"")</f>
        <v/>
      </c>
    </row>
    <row r="2886" customFormat="false" ht="15" hidden="false" customHeight="false" outlineLevel="0" collapsed="false">
      <c r="A2886" s="45" t="n">
        <v>46309</v>
      </c>
      <c r="B2886" s="0" t="n">
        <v>13</v>
      </c>
      <c r="C2886" s="0" t="n">
        <v>7268</v>
      </c>
      <c r="E2886" s="0" t="n">
        <v>0</v>
      </c>
      <c r="F2886" s="39" t="s">
        <v>1383</v>
      </c>
      <c r="I2886" s="39" t="s">
        <v>136</v>
      </c>
      <c r="U2886" s="0" t="n">
        <v>292</v>
      </c>
      <c r="V2886" s="0" t="n">
        <v>0</v>
      </c>
      <c r="W2886" s="39" t="n">
        <f aca="false">IF(I2886="Male",0,1)</f>
        <v>1</v>
      </c>
      <c r="X2886" s="39" t="n">
        <f aca="false">IF(OR(I2886="DNB",I2886="Dry DNB"),1,0)</f>
        <v>0</v>
      </c>
      <c r="Y2886" s="39" t="n">
        <f aca="false">MATCH(A2886,DATAS,0)</f>
        <v>1</v>
      </c>
      <c r="Z2886" s="39" t="n">
        <f aca="false">IF(AND(E2886&gt;0,OR(AND(B2886&gt;=1,B2886&lt;=6),B2886=10)),1,0)</f>
        <v>0</v>
      </c>
      <c r="AA2886" s="39" t="n">
        <f aca="false">IF(AND(E2886&gt;0,B2886=10),1,0)</f>
        <v>0</v>
      </c>
      <c r="AB2886" s="0" t="str">
        <f aca="false">IF(AND(C2885=C2886,Y2885=Y2886-1),Z2885,"")</f>
        <v/>
      </c>
      <c r="AC2886" s="0" t="str">
        <f aca="false">IF(AND(C2885=C2886,Y2885=Y2886-1),AA2885,"")</f>
        <v/>
      </c>
      <c r="AD2886" s="0" t="str">
        <f aca="false">IF(Y2886=1,"",IF(AND(Z2886=1,AB2886&lt;&gt;1),1,0))</f>
        <v/>
      </c>
      <c r="AE2886" s="0" t="str">
        <f aca="false">IF(Y2886=1,"",IF(AND(AA2886=1,AC2886&lt;&gt;1),1,0))</f>
        <v/>
      </c>
      <c r="AF2886" s="45" t="str">
        <f aca="false">IF(AND(E2886&gt;0,Y2886&lt;1,NOT(AND(C2887=C2886,Y2887=Y2886+1))),INDEX(DATAS,Y2886+1),"")</f>
        <v/>
      </c>
      <c r="AG2886" s="45" t="str">
        <f aca="false">IF(AND(AA2886=1,Y2886&lt;1),IF(AND(C2887=C2886,Y2887=Y2886+1),IF(AA2887=1,"",INDEX(DATAS,Y2886+1)),INDEX(DATAS,Y2886+1)),"")</f>
        <v/>
      </c>
    </row>
    <row r="2887" customFormat="false" ht="15" hidden="false" customHeight="false" outlineLevel="0" collapsed="false">
      <c r="A2887" s="45" t="n">
        <v>46309</v>
      </c>
      <c r="B2887" s="0" t="n">
        <v>13</v>
      </c>
      <c r="C2887" s="0" t="n">
        <v>7269</v>
      </c>
      <c r="E2887" s="0" t="n">
        <v>0</v>
      </c>
      <c r="F2887" s="39" t="s">
        <v>1384</v>
      </c>
      <c r="I2887" s="39" t="s">
        <v>136</v>
      </c>
      <c r="U2887" s="0" t="n">
        <v>291</v>
      </c>
      <c r="V2887" s="0" t="n">
        <v>0</v>
      </c>
      <c r="W2887" s="39" t="n">
        <f aca="false">IF(I2887="Male",0,1)</f>
        <v>1</v>
      </c>
      <c r="X2887" s="39" t="n">
        <f aca="false">IF(OR(I2887="DNB",I2887="Dry DNB"),1,0)</f>
        <v>0</v>
      </c>
      <c r="Y2887" s="39" t="n">
        <f aca="false">MATCH(A2887,DATAS,0)</f>
        <v>1</v>
      </c>
      <c r="Z2887" s="39" t="n">
        <f aca="false">IF(AND(E2887&gt;0,OR(AND(B2887&gt;=1,B2887&lt;=6),B2887=10)),1,0)</f>
        <v>0</v>
      </c>
      <c r="AA2887" s="39" t="n">
        <f aca="false">IF(AND(E2887&gt;0,B2887=10),1,0)</f>
        <v>0</v>
      </c>
      <c r="AB2887" s="0" t="str">
        <f aca="false">IF(AND(C2886=C2887,Y2886=Y2887-1),Z2886,"")</f>
        <v/>
      </c>
      <c r="AC2887" s="0" t="str">
        <f aca="false">IF(AND(C2886=C2887,Y2886=Y2887-1),AA2886,"")</f>
        <v/>
      </c>
      <c r="AD2887" s="0" t="str">
        <f aca="false">IF(Y2887=1,"",IF(AND(Z2887=1,AB2887&lt;&gt;1),1,0))</f>
        <v/>
      </c>
      <c r="AE2887" s="0" t="str">
        <f aca="false">IF(Y2887=1,"",IF(AND(AA2887=1,AC2887&lt;&gt;1),1,0))</f>
        <v/>
      </c>
      <c r="AF2887" s="45" t="str">
        <f aca="false">IF(AND(E2887&gt;0,Y2887&lt;1,NOT(AND(C2888=C2887,Y2888=Y2887+1))),INDEX(DATAS,Y2887+1),"")</f>
        <v/>
      </c>
      <c r="AG2887" s="45" t="str">
        <f aca="false">IF(AND(AA2887=1,Y2887&lt;1),IF(AND(C2888=C2887,Y2888=Y2887+1),IF(AA2888=1,"",INDEX(DATAS,Y2887+1)),INDEX(DATAS,Y2887+1)),"")</f>
        <v/>
      </c>
    </row>
    <row r="2888" customFormat="false" ht="15" hidden="false" customHeight="false" outlineLevel="0" collapsed="false">
      <c r="A2888" s="45" t="n">
        <v>46309</v>
      </c>
      <c r="B2888" s="0" t="n">
        <v>13</v>
      </c>
      <c r="C2888" s="0" t="n">
        <v>7270</v>
      </c>
      <c r="E2888" s="0" t="n">
        <v>0</v>
      </c>
      <c r="F2888" s="39" t="s">
        <v>1384</v>
      </c>
      <c r="I2888" s="39" t="s">
        <v>136</v>
      </c>
      <c r="U2888" s="0" t="n">
        <v>291</v>
      </c>
      <c r="V2888" s="0" t="n">
        <v>0</v>
      </c>
      <c r="W2888" s="39" t="n">
        <f aca="false">IF(I2888="Male",0,1)</f>
        <v>1</v>
      </c>
      <c r="X2888" s="39" t="n">
        <f aca="false">IF(OR(I2888="DNB",I2888="Dry DNB"),1,0)</f>
        <v>0</v>
      </c>
      <c r="Y2888" s="39" t="n">
        <f aca="false">MATCH(A2888,DATAS,0)</f>
        <v>1</v>
      </c>
      <c r="Z2888" s="39" t="n">
        <f aca="false">IF(AND(E2888&gt;0,OR(AND(B2888&gt;=1,B2888&lt;=6),B2888=10)),1,0)</f>
        <v>0</v>
      </c>
      <c r="AA2888" s="39" t="n">
        <f aca="false">IF(AND(E2888&gt;0,B2888=10),1,0)</f>
        <v>0</v>
      </c>
      <c r="AB2888" s="0" t="str">
        <f aca="false">IF(AND(C2887=C2888,Y2887=Y2888-1),Z2887,"")</f>
        <v/>
      </c>
      <c r="AC2888" s="0" t="str">
        <f aca="false">IF(AND(C2887=C2888,Y2887=Y2888-1),AA2887,"")</f>
        <v/>
      </c>
      <c r="AD2888" s="0" t="str">
        <f aca="false">IF(Y2888=1,"",IF(AND(Z2888=1,AB2888&lt;&gt;1),1,0))</f>
        <v/>
      </c>
      <c r="AE2888" s="0" t="str">
        <f aca="false">IF(Y2888=1,"",IF(AND(AA2888=1,AC2888&lt;&gt;1),1,0))</f>
        <v/>
      </c>
      <c r="AF2888" s="45" t="str">
        <f aca="false">IF(AND(E2888&gt;0,Y2888&lt;1,NOT(AND(C2889=C2888,Y2889=Y2888+1))),INDEX(DATAS,Y2888+1),"")</f>
        <v/>
      </c>
      <c r="AG2888" s="45" t="str">
        <f aca="false">IF(AND(AA2888=1,Y2888&lt;1),IF(AND(C2889=C2888,Y2889=Y2888+1),IF(AA2889=1,"",INDEX(DATAS,Y2888+1)),INDEX(DATAS,Y2888+1)),"")</f>
        <v/>
      </c>
    </row>
    <row r="2889" customFormat="false" ht="15" hidden="false" customHeight="false" outlineLevel="0" collapsed="false">
      <c r="A2889" s="45" t="n">
        <v>46309</v>
      </c>
      <c r="B2889" s="0" t="n">
        <v>13</v>
      </c>
      <c r="C2889" s="0" t="n">
        <v>7271</v>
      </c>
      <c r="E2889" s="0" t="n">
        <v>0</v>
      </c>
      <c r="F2889" s="39" t="s">
        <v>1384</v>
      </c>
      <c r="I2889" s="39" t="s">
        <v>136</v>
      </c>
      <c r="U2889" s="0" t="n">
        <v>291</v>
      </c>
      <c r="V2889" s="0" t="n">
        <v>0</v>
      </c>
      <c r="W2889" s="39" t="n">
        <f aca="false">IF(I2889="Male",0,1)</f>
        <v>1</v>
      </c>
      <c r="X2889" s="39" t="n">
        <f aca="false">IF(OR(I2889="DNB",I2889="Dry DNB"),1,0)</f>
        <v>0</v>
      </c>
      <c r="Y2889" s="39" t="n">
        <f aca="false">MATCH(A2889,DATAS,0)</f>
        <v>1</v>
      </c>
      <c r="Z2889" s="39" t="n">
        <f aca="false">IF(AND(E2889&gt;0,OR(AND(B2889&gt;=1,B2889&lt;=6),B2889=10)),1,0)</f>
        <v>0</v>
      </c>
      <c r="AA2889" s="39" t="n">
        <f aca="false">IF(AND(E2889&gt;0,B2889=10),1,0)</f>
        <v>0</v>
      </c>
      <c r="AB2889" s="0" t="str">
        <f aca="false">IF(AND(C2888=C2889,Y2888=Y2889-1),Z2888,"")</f>
        <v/>
      </c>
      <c r="AC2889" s="0" t="str">
        <f aca="false">IF(AND(C2888=C2889,Y2888=Y2889-1),AA2888,"")</f>
        <v/>
      </c>
      <c r="AD2889" s="0" t="str">
        <f aca="false">IF(Y2889=1,"",IF(AND(Z2889=1,AB2889&lt;&gt;1),1,0))</f>
        <v/>
      </c>
      <c r="AE2889" s="0" t="str">
        <f aca="false">IF(Y2889=1,"",IF(AND(AA2889=1,AC2889&lt;&gt;1),1,0))</f>
        <v/>
      </c>
      <c r="AF2889" s="45" t="str">
        <f aca="false">IF(AND(E2889&gt;0,Y2889&lt;1,NOT(AND(C2890=C2889,Y2890=Y2889+1))),INDEX(DATAS,Y2889+1),"")</f>
        <v/>
      </c>
      <c r="AG2889" s="45" t="str">
        <f aca="false">IF(AND(AA2889=1,Y2889&lt;1),IF(AND(C2890=C2889,Y2890=Y2889+1),IF(AA2890=1,"",INDEX(DATAS,Y2889+1)),INDEX(DATAS,Y2889+1)),"")</f>
        <v/>
      </c>
    </row>
    <row r="2890" customFormat="false" ht="15" hidden="false" customHeight="false" outlineLevel="0" collapsed="false">
      <c r="A2890" s="45" t="n">
        <v>46309</v>
      </c>
      <c r="B2890" s="0" t="n">
        <v>13</v>
      </c>
      <c r="C2890" s="0" t="n">
        <v>7272</v>
      </c>
      <c r="E2890" s="0" t="n">
        <v>0</v>
      </c>
      <c r="F2890" s="39" t="s">
        <v>1385</v>
      </c>
      <c r="I2890" s="39" t="s">
        <v>136</v>
      </c>
      <c r="U2890" s="0" t="n">
        <v>289</v>
      </c>
      <c r="V2890" s="0" t="n">
        <v>0</v>
      </c>
      <c r="W2890" s="39" t="n">
        <f aca="false">IF(I2890="Male",0,1)</f>
        <v>1</v>
      </c>
      <c r="X2890" s="39" t="n">
        <f aca="false">IF(OR(I2890="DNB",I2890="Dry DNB"),1,0)</f>
        <v>0</v>
      </c>
      <c r="Y2890" s="39" t="n">
        <f aca="false">MATCH(A2890,DATAS,0)</f>
        <v>1</v>
      </c>
      <c r="Z2890" s="39" t="n">
        <f aca="false">IF(AND(E2890&gt;0,OR(AND(B2890&gt;=1,B2890&lt;=6),B2890=10)),1,0)</f>
        <v>0</v>
      </c>
      <c r="AA2890" s="39" t="n">
        <f aca="false">IF(AND(E2890&gt;0,B2890=10),1,0)</f>
        <v>0</v>
      </c>
      <c r="AB2890" s="0" t="str">
        <f aca="false">IF(AND(C2889=C2890,Y2889=Y2890-1),Z2889,"")</f>
        <v/>
      </c>
      <c r="AC2890" s="0" t="str">
        <f aca="false">IF(AND(C2889=C2890,Y2889=Y2890-1),AA2889,"")</f>
        <v/>
      </c>
      <c r="AD2890" s="0" t="str">
        <f aca="false">IF(Y2890=1,"",IF(AND(Z2890=1,AB2890&lt;&gt;1),1,0))</f>
        <v/>
      </c>
      <c r="AE2890" s="0" t="str">
        <f aca="false">IF(Y2890=1,"",IF(AND(AA2890=1,AC2890&lt;&gt;1),1,0))</f>
        <v/>
      </c>
      <c r="AF2890" s="45" t="str">
        <f aca="false">IF(AND(E2890&gt;0,Y2890&lt;1,NOT(AND(C2891=C2890,Y2891=Y2890+1))),INDEX(DATAS,Y2890+1),"")</f>
        <v/>
      </c>
      <c r="AG2890" s="45" t="str">
        <f aca="false">IF(AND(AA2890=1,Y2890&lt;1),IF(AND(C2891=C2890,Y2891=Y2890+1),IF(AA2891=1,"",INDEX(DATAS,Y2890+1)),INDEX(DATAS,Y2890+1)),"")</f>
        <v/>
      </c>
    </row>
    <row r="2891" customFormat="false" ht="15" hidden="false" customHeight="false" outlineLevel="0" collapsed="false">
      <c r="A2891" s="45" t="n">
        <v>46309</v>
      </c>
      <c r="B2891" s="0" t="n">
        <v>13</v>
      </c>
      <c r="C2891" s="0" t="n">
        <v>7273</v>
      </c>
      <c r="E2891" s="0" t="n">
        <v>0</v>
      </c>
      <c r="F2891" s="39" t="s">
        <v>1385</v>
      </c>
      <c r="I2891" s="39" t="s">
        <v>136</v>
      </c>
      <c r="U2891" s="0" t="n">
        <v>289</v>
      </c>
      <c r="V2891" s="0" t="n">
        <v>0</v>
      </c>
      <c r="W2891" s="39" t="n">
        <f aca="false">IF(I2891="Male",0,1)</f>
        <v>1</v>
      </c>
      <c r="X2891" s="39" t="n">
        <f aca="false">IF(OR(I2891="DNB",I2891="Dry DNB"),1,0)</f>
        <v>0</v>
      </c>
      <c r="Y2891" s="39" t="n">
        <f aca="false">MATCH(A2891,DATAS,0)</f>
        <v>1</v>
      </c>
      <c r="Z2891" s="39" t="n">
        <f aca="false">IF(AND(E2891&gt;0,OR(AND(B2891&gt;=1,B2891&lt;=6),B2891=10)),1,0)</f>
        <v>0</v>
      </c>
      <c r="AA2891" s="39" t="n">
        <f aca="false">IF(AND(E2891&gt;0,B2891=10),1,0)</f>
        <v>0</v>
      </c>
      <c r="AB2891" s="0" t="str">
        <f aca="false">IF(AND(C2890=C2891,Y2890=Y2891-1),Z2890,"")</f>
        <v/>
      </c>
      <c r="AC2891" s="0" t="str">
        <f aca="false">IF(AND(C2890=C2891,Y2890=Y2891-1),AA2890,"")</f>
        <v/>
      </c>
      <c r="AD2891" s="0" t="str">
        <f aca="false">IF(Y2891=1,"",IF(AND(Z2891=1,AB2891&lt;&gt;1),1,0))</f>
        <v/>
      </c>
      <c r="AE2891" s="0" t="str">
        <f aca="false">IF(Y2891=1,"",IF(AND(AA2891=1,AC2891&lt;&gt;1),1,0))</f>
        <v/>
      </c>
      <c r="AF2891" s="45" t="str">
        <f aca="false">IF(AND(E2891&gt;0,Y2891&lt;1,NOT(AND(C2892=C2891,Y2892=Y2891+1))),INDEX(DATAS,Y2891+1),"")</f>
        <v/>
      </c>
      <c r="AG2891" s="45" t="str">
        <f aca="false">IF(AND(AA2891=1,Y2891&lt;1),IF(AND(C2892=C2891,Y2892=Y2891+1),IF(AA2892=1,"",INDEX(DATAS,Y2891+1)),INDEX(DATAS,Y2891+1)),"")</f>
        <v/>
      </c>
    </row>
    <row r="2892" customFormat="false" ht="15" hidden="false" customHeight="false" outlineLevel="0" collapsed="false">
      <c r="A2892" s="45" t="n">
        <v>46309</v>
      </c>
      <c r="B2892" s="0" t="n">
        <v>13</v>
      </c>
      <c r="C2892" s="0" t="n">
        <v>7274</v>
      </c>
      <c r="E2892" s="0" t="n">
        <v>0</v>
      </c>
      <c r="F2892" s="39" t="s">
        <v>1385</v>
      </c>
      <c r="I2892" s="39" t="s">
        <v>136</v>
      </c>
      <c r="U2892" s="0" t="n">
        <v>289</v>
      </c>
      <c r="V2892" s="0" t="n">
        <v>0</v>
      </c>
      <c r="W2892" s="39" t="n">
        <f aca="false">IF(I2892="Male",0,1)</f>
        <v>1</v>
      </c>
      <c r="X2892" s="39" t="n">
        <f aca="false">IF(OR(I2892="DNB",I2892="Dry DNB"),1,0)</f>
        <v>0</v>
      </c>
      <c r="Y2892" s="39" t="n">
        <f aca="false">MATCH(A2892,DATAS,0)</f>
        <v>1</v>
      </c>
      <c r="Z2892" s="39" t="n">
        <f aca="false">IF(AND(E2892&gt;0,OR(AND(B2892&gt;=1,B2892&lt;=6),B2892=10)),1,0)</f>
        <v>0</v>
      </c>
      <c r="AA2892" s="39" t="n">
        <f aca="false">IF(AND(E2892&gt;0,B2892=10),1,0)</f>
        <v>0</v>
      </c>
      <c r="AB2892" s="0" t="str">
        <f aca="false">IF(AND(C2891=C2892,Y2891=Y2892-1),Z2891,"")</f>
        <v/>
      </c>
      <c r="AC2892" s="0" t="str">
        <f aca="false">IF(AND(C2891=C2892,Y2891=Y2892-1),AA2891,"")</f>
        <v/>
      </c>
      <c r="AD2892" s="0" t="str">
        <f aca="false">IF(Y2892=1,"",IF(AND(Z2892=1,AB2892&lt;&gt;1),1,0))</f>
        <v/>
      </c>
      <c r="AE2892" s="0" t="str">
        <f aca="false">IF(Y2892=1,"",IF(AND(AA2892=1,AC2892&lt;&gt;1),1,0))</f>
        <v/>
      </c>
      <c r="AF2892" s="45" t="str">
        <f aca="false">IF(AND(E2892&gt;0,Y2892&lt;1,NOT(AND(C2893=C2892,Y2893=Y2892+1))),INDEX(DATAS,Y2892+1),"")</f>
        <v/>
      </c>
      <c r="AG2892" s="45" t="str">
        <f aca="false">IF(AND(AA2892=1,Y2892&lt;1),IF(AND(C2893=C2892,Y2893=Y2892+1),IF(AA2893=1,"",INDEX(DATAS,Y2892+1)),INDEX(DATAS,Y2892+1)),"")</f>
        <v/>
      </c>
    </row>
    <row r="2893" customFormat="false" ht="15" hidden="false" customHeight="false" outlineLevel="0" collapsed="false">
      <c r="A2893" s="45" t="n">
        <v>46309</v>
      </c>
      <c r="B2893" s="0" t="n">
        <v>13</v>
      </c>
      <c r="C2893" s="0" t="n">
        <v>7275</v>
      </c>
      <c r="E2893" s="0" t="n">
        <v>0</v>
      </c>
      <c r="F2893" s="39" t="s">
        <v>1386</v>
      </c>
      <c r="I2893" s="39" t="s">
        <v>136</v>
      </c>
      <c r="U2893" s="0" t="n">
        <v>288</v>
      </c>
      <c r="V2893" s="0" t="n">
        <v>0</v>
      </c>
      <c r="W2893" s="39" t="n">
        <f aca="false">IF(I2893="Male",0,1)</f>
        <v>1</v>
      </c>
      <c r="X2893" s="39" t="n">
        <f aca="false">IF(OR(I2893="DNB",I2893="Dry DNB"),1,0)</f>
        <v>0</v>
      </c>
      <c r="Y2893" s="39" t="n">
        <f aca="false">MATCH(A2893,DATAS,0)</f>
        <v>1</v>
      </c>
      <c r="Z2893" s="39" t="n">
        <f aca="false">IF(AND(E2893&gt;0,OR(AND(B2893&gt;=1,B2893&lt;=6),B2893=10)),1,0)</f>
        <v>0</v>
      </c>
      <c r="AA2893" s="39" t="n">
        <f aca="false">IF(AND(E2893&gt;0,B2893=10),1,0)</f>
        <v>0</v>
      </c>
      <c r="AB2893" s="0" t="str">
        <f aca="false">IF(AND(C2892=C2893,Y2892=Y2893-1),Z2892,"")</f>
        <v/>
      </c>
      <c r="AC2893" s="0" t="str">
        <f aca="false">IF(AND(C2892=C2893,Y2892=Y2893-1),AA2892,"")</f>
        <v/>
      </c>
      <c r="AD2893" s="0" t="str">
        <f aca="false">IF(Y2893=1,"",IF(AND(Z2893=1,AB2893&lt;&gt;1),1,0))</f>
        <v/>
      </c>
      <c r="AE2893" s="0" t="str">
        <f aca="false">IF(Y2893=1,"",IF(AND(AA2893=1,AC2893&lt;&gt;1),1,0))</f>
        <v/>
      </c>
      <c r="AF2893" s="45" t="str">
        <f aca="false">IF(AND(E2893&gt;0,Y2893&lt;1,NOT(AND(C2894=C2893,Y2894=Y2893+1))),INDEX(DATAS,Y2893+1),"")</f>
        <v/>
      </c>
      <c r="AG2893" s="45" t="str">
        <f aca="false">IF(AND(AA2893=1,Y2893&lt;1),IF(AND(C2894=C2893,Y2894=Y2893+1),IF(AA2894=1,"",INDEX(DATAS,Y2893+1)),INDEX(DATAS,Y2893+1)),"")</f>
        <v/>
      </c>
    </row>
    <row r="2894" customFormat="false" ht="15" hidden="false" customHeight="false" outlineLevel="0" collapsed="false">
      <c r="A2894" s="45" t="n">
        <v>46309</v>
      </c>
      <c r="B2894" s="0" t="n">
        <v>13</v>
      </c>
      <c r="C2894" s="0" t="n">
        <v>7276</v>
      </c>
      <c r="E2894" s="0" t="n">
        <v>0</v>
      </c>
      <c r="F2894" s="39" t="s">
        <v>1386</v>
      </c>
      <c r="I2894" s="39" t="s">
        <v>136</v>
      </c>
      <c r="U2894" s="0" t="n">
        <v>288</v>
      </c>
      <c r="V2894" s="0" t="n">
        <v>0</v>
      </c>
      <c r="W2894" s="39" t="n">
        <f aca="false">IF(I2894="Male",0,1)</f>
        <v>1</v>
      </c>
      <c r="X2894" s="39" t="n">
        <f aca="false">IF(OR(I2894="DNB",I2894="Dry DNB"),1,0)</f>
        <v>0</v>
      </c>
      <c r="Y2894" s="39" t="n">
        <f aca="false">MATCH(A2894,DATAS,0)</f>
        <v>1</v>
      </c>
      <c r="Z2894" s="39" t="n">
        <f aca="false">IF(AND(E2894&gt;0,OR(AND(B2894&gt;=1,B2894&lt;=6),B2894=10)),1,0)</f>
        <v>0</v>
      </c>
      <c r="AA2894" s="39" t="n">
        <f aca="false">IF(AND(E2894&gt;0,B2894=10),1,0)</f>
        <v>0</v>
      </c>
      <c r="AB2894" s="0" t="str">
        <f aca="false">IF(AND(C2893=C2894,Y2893=Y2894-1),Z2893,"")</f>
        <v/>
      </c>
      <c r="AC2894" s="0" t="str">
        <f aca="false">IF(AND(C2893=C2894,Y2893=Y2894-1),AA2893,"")</f>
        <v/>
      </c>
      <c r="AD2894" s="0" t="str">
        <f aca="false">IF(Y2894=1,"",IF(AND(Z2894=1,AB2894&lt;&gt;1),1,0))</f>
        <v/>
      </c>
      <c r="AE2894" s="0" t="str">
        <f aca="false">IF(Y2894=1,"",IF(AND(AA2894=1,AC2894&lt;&gt;1),1,0))</f>
        <v/>
      </c>
      <c r="AF2894" s="45" t="str">
        <f aca="false">IF(AND(E2894&gt;0,Y2894&lt;1,NOT(AND(C2895=C2894,Y2895=Y2894+1))),INDEX(DATAS,Y2894+1),"")</f>
        <v/>
      </c>
      <c r="AG2894" s="45" t="str">
        <f aca="false">IF(AND(AA2894=1,Y2894&lt;1),IF(AND(C2895=C2894,Y2895=Y2894+1),IF(AA2895=1,"",INDEX(DATAS,Y2894+1)),INDEX(DATAS,Y2894+1)),"")</f>
        <v/>
      </c>
    </row>
    <row r="2895" customFormat="false" ht="15" hidden="false" customHeight="false" outlineLevel="0" collapsed="false">
      <c r="A2895" s="45" t="n">
        <v>46309</v>
      </c>
      <c r="B2895" s="0" t="n">
        <v>13</v>
      </c>
      <c r="C2895" s="0" t="n">
        <v>7277</v>
      </c>
      <c r="E2895" s="0" t="n">
        <v>0</v>
      </c>
      <c r="F2895" s="39" t="s">
        <v>1386</v>
      </c>
      <c r="I2895" s="39" t="s">
        <v>136</v>
      </c>
      <c r="U2895" s="0" t="n">
        <v>288</v>
      </c>
      <c r="V2895" s="0" t="n">
        <v>0</v>
      </c>
      <c r="W2895" s="39" t="n">
        <f aca="false">IF(I2895="Male",0,1)</f>
        <v>1</v>
      </c>
      <c r="X2895" s="39" t="n">
        <f aca="false">IF(OR(I2895="DNB",I2895="Dry DNB"),1,0)</f>
        <v>0</v>
      </c>
      <c r="Y2895" s="39" t="n">
        <f aca="false">MATCH(A2895,DATAS,0)</f>
        <v>1</v>
      </c>
      <c r="Z2895" s="39" t="n">
        <f aca="false">IF(AND(E2895&gt;0,OR(AND(B2895&gt;=1,B2895&lt;=6),B2895=10)),1,0)</f>
        <v>0</v>
      </c>
      <c r="AA2895" s="39" t="n">
        <f aca="false">IF(AND(E2895&gt;0,B2895=10),1,0)</f>
        <v>0</v>
      </c>
      <c r="AB2895" s="0" t="str">
        <f aca="false">IF(AND(C2894=C2895,Y2894=Y2895-1),Z2894,"")</f>
        <v/>
      </c>
      <c r="AC2895" s="0" t="str">
        <f aca="false">IF(AND(C2894=C2895,Y2894=Y2895-1),AA2894,"")</f>
        <v/>
      </c>
      <c r="AD2895" s="0" t="str">
        <f aca="false">IF(Y2895=1,"",IF(AND(Z2895=1,AB2895&lt;&gt;1),1,0))</f>
        <v/>
      </c>
      <c r="AE2895" s="0" t="str">
        <f aca="false">IF(Y2895=1,"",IF(AND(AA2895=1,AC2895&lt;&gt;1),1,0))</f>
        <v/>
      </c>
      <c r="AF2895" s="45" t="str">
        <f aca="false">IF(AND(E2895&gt;0,Y2895&lt;1,NOT(AND(C2896=C2895,Y2896=Y2895+1))),INDEX(DATAS,Y2895+1),"")</f>
        <v/>
      </c>
      <c r="AG2895" s="45" t="str">
        <f aca="false">IF(AND(AA2895=1,Y2895&lt;1),IF(AND(C2896=C2895,Y2896=Y2895+1),IF(AA2896=1,"",INDEX(DATAS,Y2895+1)),INDEX(DATAS,Y2895+1)),"")</f>
        <v/>
      </c>
    </row>
    <row r="2896" customFormat="false" ht="15" hidden="false" customHeight="false" outlineLevel="0" collapsed="false">
      <c r="A2896" s="45" t="n">
        <v>46309</v>
      </c>
      <c r="B2896" s="0" t="n">
        <v>13</v>
      </c>
      <c r="C2896" s="0" t="n">
        <v>7278</v>
      </c>
      <c r="E2896" s="0" t="n">
        <v>0</v>
      </c>
      <c r="F2896" s="39" t="s">
        <v>1386</v>
      </c>
      <c r="I2896" s="39" t="s">
        <v>136</v>
      </c>
      <c r="U2896" s="0" t="n">
        <v>288</v>
      </c>
      <c r="V2896" s="0" t="n">
        <v>0</v>
      </c>
      <c r="W2896" s="39" t="n">
        <f aca="false">IF(I2896="Male",0,1)</f>
        <v>1</v>
      </c>
      <c r="X2896" s="39" t="n">
        <f aca="false">IF(OR(I2896="DNB",I2896="Dry DNB"),1,0)</f>
        <v>0</v>
      </c>
      <c r="Y2896" s="39" t="n">
        <f aca="false">MATCH(A2896,DATAS,0)</f>
        <v>1</v>
      </c>
      <c r="Z2896" s="39" t="n">
        <f aca="false">IF(AND(E2896&gt;0,OR(AND(B2896&gt;=1,B2896&lt;=6),B2896=10)),1,0)</f>
        <v>0</v>
      </c>
      <c r="AA2896" s="39" t="n">
        <f aca="false">IF(AND(E2896&gt;0,B2896=10),1,0)</f>
        <v>0</v>
      </c>
      <c r="AB2896" s="0" t="str">
        <f aca="false">IF(AND(C2895=C2896,Y2895=Y2896-1),Z2895,"")</f>
        <v/>
      </c>
      <c r="AC2896" s="0" t="str">
        <f aca="false">IF(AND(C2895=C2896,Y2895=Y2896-1),AA2895,"")</f>
        <v/>
      </c>
      <c r="AD2896" s="0" t="str">
        <f aca="false">IF(Y2896=1,"",IF(AND(Z2896=1,AB2896&lt;&gt;1),1,0))</f>
        <v/>
      </c>
      <c r="AE2896" s="0" t="str">
        <f aca="false">IF(Y2896=1,"",IF(AND(AA2896=1,AC2896&lt;&gt;1),1,0))</f>
        <v/>
      </c>
      <c r="AF2896" s="45" t="str">
        <f aca="false">IF(AND(E2896&gt;0,Y2896&lt;1,NOT(AND(C2897=C2896,Y2897=Y2896+1))),INDEX(DATAS,Y2896+1),"")</f>
        <v/>
      </c>
      <c r="AG2896" s="45" t="str">
        <f aca="false">IF(AND(AA2896=1,Y2896&lt;1),IF(AND(C2897=C2896,Y2897=Y2896+1),IF(AA2897=1,"",INDEX(DATAS,Y2896+1)),INDEX(DATAS,Y2896+1)),"")</f>
        <v/>
      </c>
    </row>
    <row r="2897" customFormat="false" ht="15" hidden="false" customHeight="false" outlineLevel="0" collapsed="false">
      <c r="A2897" s="45" t="n">
        <v>46309</v>
      </c>
      <c r="B2897" s="0" t="n">
        <v>13</v>
      </c>
      <c r="C2897" s="0" t="n">
        <v>7279</v>
      </c>
      <c r="E2897" s="0" t="n">
        <v>0</v>
      </c>
      <c r="F2897" s="39" t="s">
        <v>1387</v>
      </c>
      <c r="I2897" s="39" t="s">
        <v>136</v>
      </c>
      <c r="U2897" s="0" t="n">
        <v>287</v>
      </c>
      <c r="V2897" s="0" t="n">
        <v>0</v>
      </c>
      <c r="W2897" s="39" t="n">
        <f aca="false">IF(I2897="Male",0,1)</f>
        <v>1</v>
      </c>
      <c r="X2897" s="39" t="n">
        <f aca="false">IF(OR(I2897="DNB",I2897="Dry DNB"),1,0)</f>
        <v>0</v>
      </c>
      <c r="Y2897" s="39" t="n">
        <f aca="false">MATCH(A2897,DATAS,0)</f>
        <v>1</v>
      </c>
      <c r="Z2897" s="39" t="n">
        <f aca="false">IF(AND(E2897&gt;0,OR(AND(B2897&gt;=1,B2897&lt;=6),B2897=10)),1,0)</f>
        <v>0</v>
      </c>
      <c r="AA2897" s="39" t="n">
        <f aca="false">IF(AND(E2897&gt;0,B2897=10),1,0)</f>
        <v>0</v>
      </c>
      <c r="AB2897" s="0" t="str">
        <f aca="false">IF(AND(C2896=C2897,Y2896=Y2897-1),Z2896,"")</f>
        <v/>
      </c>
      <c r="AC2897" s="0" t="str">
        <f aca="false">IF(AND(C2896=C2897,Y2896=Y2897-1),AA2896,"")</f>
        <v/>
      </c>
      <c r="AD2897" s="0" t="str">
        <f aca="false">IF(Y2897=1,"",IF(AND(Z2897=1,AB2897&lt;&gt;1),1,0))</f>
        <v/>
      </c>
      <c r="AE2897" s="0" t="str">
        <f aca="false">IF(Y2897=1,"",IF(AND(AA2897=1,AC2897&lt;&gt;1),1,0))</f>
        <v/>
      </c>
      <c r="AF2897" s="45" t="str">
        <f aca="false">IF(AND(E2897&gt;0,Y2897&lt;1,NOT(AND(C2898=C2897,Y2898=Y2897+1))),INDEX(DATAS,Y2897+1),"")</f>
        <v/>
      </c>
      <c r="AG2897" s="45" t="str">
        <f aca="false">IF(AND(AA2897=1,Y2897&lt;1),IF(AND(C2898=C2897,Y2898=Y2897+1),IF(AA2898=1,"",INDEX(DATAS,Y2897+1)),INDEX(DATAS,Y2897+1)),"")</f>
        <v/>
      </c>
    </row>
    <row r="2898" customFormat="false" ht="15" hidden="false" customHeight="false" outlineLevel="0" collapsed="false">
      <c r="A2898" s="45" t="n">
        <v>46309</v>
      </c>
      <c r="B2898" s="0" t="n">
        <v>13</v>
      </c>
      <c r="C2898" s="0" t="n">
        <v>7280</v>
      </c>
      <c r="E2898" s="0" t="n">
        <v>0</v>
      </c>
      <c r="F2898" s="39" t="s">
        <v>1387</v>
      </c>
      <c r="I2898" s="39" t="s">
        <v>136</v>
      </c>
      <c r="U2898" s="0" t="n">
        <v>287</v>
      </c>
      <c r="V2898" s="0" t="n">
        <v>0</v>
      </c>
      <c r="W2898" s="39" t="n">
        <f aca="false">IF(I2898="Male",0,1)</f>
        <v>1</v>
      </c>
      <c r="X2898" s="39" t="n">
        <f aca="false">IF(OR(I2898="DNB",I2898="Dry DNB"),1,0)</f>
        <v>0</v>
      </c>
      <c r="Y2898" s="39" t="n">
        <f aca="false">MATCH(A2898,DATAS,0)</f>
        <v>1</v>
      </c>
      <c r="Z2898" s="39" t="n">
        <f aca="false">IF(AND(E2898&gt;0,OR(AND(B2898&gt;=1,B2898&lt;=6),B2898=10)),1,0)</f>
        <v>0</v>
      </c>
      <c r="AA2898" s="39" t="n">
        <f aca="false">IF(AND(E2898&gt;0,B2898=10),1,0)</f>
        <v>0</v>
      </c>
      <c r="AB2898" s="0" t="str">
        <f aca="false">IF(AND(C2897=C2898,Y2897=Y2898-1),Z2897,"")</f>
        <v/>
      </c>
      <c r="AC2898" s="0" t="str">
        <f aca="false">IF(AND(C2897=C2898,Y2897=Y2898-1),AA2897,"")</f>
        <v/>
      </c>
      <c r="AD2898" s="0" t="str">
        <f aca="false">IF(Y2898=1,"",IF(AND(Z2898=1,AB2898&lt;&gt;1),1,0))</f>
        <v/>
      </c>
      <c r="AE2898" s="0" t="str">
        <f aca="false">IF(Y2898=1,"",IF(AND(AA2898=1,AC2898&lt;&gt;1),1,0))</f>
        <v/>
      </c>
      <c r="AF2898" s="45" t="str">
        <f aca="false">IF(AND(E2898&gt;0,Y2898&lt;1,NOT(AND(C2899=C2898,Y2899=Y2898+1))),INDEX(DATAS,Y2898+1),"")</f>
        <v/>
      </c>
      <c r="AG2898" s="45" t="str">
        <f aca="false">IF(AND(AA2898=1,Y2898&lt;1),IF(AND(C2899=C2898,Y2899=Y2898+1),IF(AA2899=1,"",INDEX(DATAS,Y2898+1)),INDEX(DATAS,Y2898+1)),"")</f>
        <v/>
      </c>
    </row>
    <row r="2899" customFormat="false" ht="15" hidden="false" customHeight="false" outlineLevel="0" collapsed="false">
      <c r="A2899" s="45" t="n">
        <v>46309</v>
      </c>
      <c r="B2899" s="0" t="n">
        <v>13</v>
      </c>
      <c r="C2899" s="0" t="n">
        <v>7281</v>
      </c>
      <c r="E2899" s="0" t="n">
        <v>0</v>
      </c>
      <c r="F2899" s="39" t="s">
        <v>1387</v>
      </c>
      <c r="I2899" s="39" t="s">
        <v>136</v>
      </c>
      <c r="U2899" s="0" t="n">
        <v>287</v>
      </c>
      <c r="V2899" s="0" t="n">
        <v>0</v>
      </c>
      <c r="W2899" s="39" t="n">
        <f aca="false">IF(I2899="Male",0,1)</f>
        <v>1</v>
      </c>
      <c r="X2899" s="39" t="n">
        <f aca="false">IF(OR(I2899="DNB",I2899="Dry DNB"),1,0)</f>
        <v>0</v>
      </c>
      <c r="Y2899" s="39" t="n">
        <f aca="false">MATCH(A2899,DATAS,0)</f>
        <v>1</v>
      </c>
      <c r="Z2899" s="39" t="n">
        <f aca="false">IF(AND(E2899&gt;0,OR(AND(B2899&gt;=1,B2899&lt;=6),B2899=10)),1,0)</f>
        <v>0</v>
      </c>
      <c r="AA2899" s="39" t="n">
        <f aca="false">IF(AND(E2899&gt;0,B2899=10),1,0)</f>
        <v>0</v>
      </c>
      <c r="AB2899" s="0" t="str">
        <f aca="false">IF(AND(C2898=C2899,Y2898=Y2899-1),Z2898,"")</f>
        <v/>
      </c>
      <c r="AC2899" s="0" t="str">
        <f aca="false">IF(AND(C2898=C2899,Y2898=Y2899-1),AA2898,"")</f>
        <v/>
      </c>
      <c r="AD2899" s="0" t="str">
        <f aca="false">IF(Y2899=1,"",IF(AND(Z2899=1,AB2899&lt;&gt;1),1,0))</f>
        <v/>
      </c>
      <c r="AE2899" s="0" t="str">
        <f aca="false">IF(Y2899=1,"",IF(AND(AA2899=1,AC2899&lt;&gt;1),1,0))</f>
        <v/>
      </c>
      <c r="AF2899" s="45" t="str">
        <f aca="false">IF(AND(E2899&gt;0,Y2899&lt;1,NOT(AND(C2900=C2899,Y2900=Y2899+1))),INDEX(DATAS,Y2899+1),"")</f>
        <v/>
      </c>
      <c r="AG2899" s="45" t="str">
        <f aca="false">IF(AND(AA2899=1,Y2899&lt;1),IF(AND(C2900=C2899,Y2900=Y2899+1),IF(AA2900=1,"",INDEX(DATAS,Y2899+1)),INDEX(DATAS,Y2899+1)),"")</f>
        <v/>
      </c>
    </row>
    <row r="2900" customFormat="false" ht="15" hidden="false" customHeight="false" outlineLevel="0" collapsed="false">
      <c r="A2900" s="45" t="n">
        <v>46309</v>
      </c>
      <c r="B2900" s="0" t="n">
        <v>13</v>
      </c>
      <c r="C2900" s="0" t="n">
        <v>7282</v>
      </c>
      <c r="E2900" s="0" t="n">
        <v>0</v>
      </c>
      <c r="F2900" s="39" t="s">
        <v>1388</v>
      </c>
      <c r="I2900" s="39" t="s">
        <v>136</v>
      </c>
      <c r="U2900" s="0" t="n">
        <v>286</v>
      </c>
      <c r="V2900" s="0" t="n">
        <v>0</v>
      </c>
      <c r="W2900" s="39" t="n">
        <f aca="false">IF(I2900="Male",0,1)</f>
        <v>1</v>
      </c>
      <c r="X2900" s="39" t="n">
        <f aca="false">IF(OR(I2900="DNB",I2900="Dry DNB"),1,0)</f>
        <v>0</v>
      </c>
      <c r="Y2900" s="39" t="n">
        <f aca="false">MATCH(A2900,DATAS,0)</f>
        <v>1</v>
      </c>
      <c r="Z2900" s="39" t="n">
        <f aca="false">IF(AND(E2900&gt;0,OR(AND(B2900&gt;=1,B2900&lt;=6),B2900=10)),1,0)</f>
        <v>0</v>
      </c>
      <c r="AA2900" s="39" t="n">
        <f aca="false">IF(AND(E2900&gt;0,B2900=10),1,0)</f>
        <v>0</v>
      </c>
      <c r="AB2900" s="0" t="str">
        <f aca="false">IF(AND(C2899=C2900,Y2899=Y2900-1),Z2899,"")</f>
        <v/>
      </c>
      <c r="AC2900" s="0" t="str">
        <f aca="false">IF(AND(C2899=C2900,Y2899=Y2900-1),AA2899,"")</f>
        <v/>
      </c>
      <c r="AD2900" s="0" t="str">
        <f aca="false">IF(Y2900=1,"",IF(AND(Z2900=1,AB2900&lt;&gt;1),1,0))</f>
        <v/>
      </c>
      <c r="AE2900" s="0" t="str">
        <f aca="false">IF(Y2900=1,"",IF(AND(AA2900=1,AC2900&lt;&gt;1),1,0))</f>
        <v/>
      </c>
      <c r="AF2900" s="45" t="str">
        <f aca="false">IF(AND(E2900&gt;0,Y2900&lt;1,NOT(AND(C2901=C2900,Y2901=Y2900+1))),INDEX(DATAS,Y2900+1),"")</f>
        <v/>
      </c>
      <c r="AG2900" s="45" t="str">
        <f aca="false">IF(AND(AA2900=1,Y2900&lt;1),IF(AND(C2901=C2900,Y2901=Y2900+1),IF(AA2901=1,"",INDEX(DATAS,Y2900+1)),INDEX(DATAS,Y2900+1)),"")</f>
        <v/>
      </c>
    </row>
    <row r="2901" customFormat="false" ht="15" hidden="false" customHeight="false" outlineLevel="0" collapsed="false">
      <c r="A2901" s="45" t="n">
        <v>46309</v>
      </c>
      <c r="B2901" s="0" t="n">
        <v>13</v>
      </c>
      <c r="C2901" s="0" t="n">
        <v>7283</v>
      </c>
      <c r="E2901" s="0" t="n">
        <v>0</v>
      </c>
      <c r="F2901" s="39" t="s">
        <v>1388</v>
      </c>
      <c r="I2901" s="39" t="s">
        <v>136</v>
      </c>
      <c r="U2901" s="0" t="n">
        <v>286</v>
      </c>
      <c r="V2901" s="0" t="n">
        <v>0</v>
      </c>
      <c r="W2901" s="39" t="n">
        <f aca="false">IF(I2901="Male",0,1)</f>
        <v>1</v>
      </c>
      <c r="X2901" s="39" t="n">
        <f aca="false">IF(OR(I2901="DNB",I2901="Dry DNB"),1,0)</f>
        <v>0</v>
      </c>
      <c r="Y2901" s="39" t="n">
        <f aca="false">MATCH(A2901,DATAS,0)</f>
        <v>1</v>
      </c>
      <c r="Z2901" s="39" t="n">
        <f aca="false">IF(AND(E2901&gt;0,OR(AND(B2901&gt;=1,B2901&lt;=6),B2901=10)),1,0)</f>
        <v>0</v>
      </c>
      <c r="AA2901" s="39" t="n">
        <f aca="false">IF(AND(E2901&gt;0,B2901=10),1,0)</f>
        <v>0</v>
      </c>
      <c r="AB2901" s="0" t="str">
        <f aca="false">IF(AND(C2900=C2901,Y2900=Y2901-1),Z2900,"")</f>
        <v/>
      </c>
      <c r="AC2901" s="0" t="str">
        <f aca="false">IF(AND(C2900=C2901,Y2900=Y2901-1),AA2900,"")</f>
        <v/>
      </c>
      <c r="AD2901" s="0" t="str">
        <f aca="false">IF(Y2901=1,"",IF(AND(Z2901=1,AB2901&lt;&gt;1),1,0))</f>
        <v/>
      </c>
      <c r="AE2901" s="0" t="str">
        <f aca="false">IF(Y2901=1,"",IF(AND(AA2901=1,AC2901&lt;&gt;1),1,0))</f>
        <v/>
      </c>
      <c r="AF2901" s="45" t="str">
        <f aca="false">IF(AND(E2901&gt;0,Y2901&lt;1,NOT(AND(C2902=C2901,Y2902=Y2901+1))),INDEX(DATAS,Y2901+1),"")</f>
        <v/>
      </c>
      <c r="AG2901" s="45" t="str">
        <f aca="false">IF(AND(AA2901=1,Y2901&lt;1),IF(AND(C2902=C2901,Y2902=Y2901+1),IF(AA2902=1,"",INDEX(DATAS,Y2901+1)),INDEX(DATAS,Y2901+1)),"")</f>
        <v/>
      </c>
    </row>
    <row r="2902" customFormat="false" ht="15" hidden="false" customHeight="false" outlineLevel="0" collapsed="false">
      <c r="A2902" s="45" t="n">
        <v>46309</v>
      </c>
      <c r="B2902" s="0" t="n">
        <v>13</v>
      </c>
      <c r="C2902" s="0" t="n">
        <v>7284</v>
      </c>
      <c r="E2902" s="0" t="n">
        <v>0</v>
      </c>
      <c r="F2902" s="39" t="s">
        <v>1389</v>
      </c>
      <c r="I2902" s="39" t="s">
        <v>136</v>
      </c>
      <c r="U2902" s="0" t="n">
        <v>285</v>
      </c>
      <c r="V2902" s="0" t="n">
        <v>0</v>
      </c>
      <c r="W2902" s="39" t="n">
        <f aca="false">IF(I2902="Male",0,1)</f>
        <v>1</v>
      </c>
      <c r="X2902" s="39" t="n">
        <f aca="false">IF(OR(I2902="DNB",I2902="Dry DNB"),1,0)</f>
        <v>0</v>
      </c>
      <c r="Y2902" s="39" t="n">
        <f aca="false">MATCH(A2902,DATAS,0)</f>
        <v>1</v>
      </c>
      <c r="Z2902" s="39" t="n">
        <f aca="false">IF(AND(E2902&gt;0,OR(AND(B2902&gt;=1,B2902&lt;=6),B2902=10)),1,0)</f>
        <v>0</v>
      </c>
      <c r="AA2902" s="39" t="n">
        <f aca="false">IF(AND(E2902&gt;0,B2902=10),1,0)</f>
        <v>0</v>
      </c>
      <c r="AB2902" s="0" t="str">
        <f aca="false">IF(AND(C2901=C2902,Y2901=Y2902-1),Z2901,"")</f>
        <v/>
      </c>
      <c r="AC2902" s="0" t="str">
        <f aca="false">IF(AND(C2901=C2902,Y2901=Y2902-1),AA2901,"")</f>
        <v/>
      </c>
      <c r="AD2902" s="0" t="str">
        <f aca="false">IF(Y2902=1,"",IF(AND(Z2902=1,AB2902&lt;&gt;1),1,0))</f>
        <v/>
      </c>
      <c r="AE2902" s="0" t="str">
        <f aca="false">IF(Y2902=1,"",IF(AND(AA2902=1,AC2902&lt;&gt;1),1,0))</f>
        <v/>
      </c>
      <c r="AF2902" s="45" t="str">
        <f aca="false">IF(AND(E2902&gt;0,Y2902&lt;1,NOT(AND(C2903=C2902,Y2903=Y2902+1))),INDEX(DATAS,Y2902+1),"")</f>
        <v/>
      </c>
      <c r="AG2902" s="45" t="str">
        <f aca="false">IF(AND(AA2902=1,Y2902&lt;1),IF(AND(C2903=C2902,Y2903=Y2902+1),IF(AA2903=1,"",INDEX(DATAS,Y2902+1)),INDEX(DATAS,Y2902+1)),"")</f>
        <v/>
      </c>
    </row>
    <row r="2903" customFormat="false" ht="15" hidden="false" customHeight="false" outlineLevel="0" collapsed="false">
      <c r="A2903" s="45" t="n">
        <v>46309</v>
      </c>
      <c r="B2903" s="0" t="n">
        <v>13</v>
      </c>
      <c r="C2903" s="0" t="n">
        <v>7285</v>
      </c>
      <c r="E2903" s="0" t="n">
        <v>0</v>
      </c>
      <c r="F2903" s="39" t="s">
        <v>1389</v>
      </c>
      <c r="I2903" s="39" t="s">
        <v>136</v>
      </c>
      <c r="U2903" s="0" t="n">
        <v>285</v>
      </c>
      <c r="V2903" s="0" t="n">
        <v>0</v>
      </c>
      <c r="W2903" s="39" t="n">
        <f aca="false">IF(I2903="Male",0,1)</f>
        <v>1</v>
      </c>
      <c r="X2903" s="39" t="n">
        <f aca="false">IF(OR(I2903="DNB",I2903="Dry DNB"),1,0)</f>
        <v>0</v>
      </c>
      <c r="Y2903" s="39" t="n">
        <f aca="false">MATCH(A2903,DATAS,0)</f>
        <v>1</v>
      </c>
      <c r="Z2903" s="39" t="n">
        <f aca="false">IF(AND(E2903&gt;0,OR(AND(B2903&gt;=1,B2903&lt;=6),B2903=10)),1,0)</f>
        <v>0</v>
      </c>
      <c r="AA2903" s="39" t="n">
        <f aca="false">IF(AND(E2903&gt;0,B2903=10),1,0)</f>
        <v>0</v>
      </c>
      <c r="AB2903" s="0" t="str">
        <f aca="false">IF(AND(C2902=C2903,Y2902=Y2903-1),Z2902,"")</f>
        <v/>
      </c>
      <c r="AC2903" s="0" t="str">
        <f aca="false">IF(AND(C2902=C2903,Y2902=Y2903-1),AA2902,"")</f>
        <v/>
      </c>
      <c r="AD2903" s="0" t="str">
        <f aca="false">IF(Y2903=1,"",IF(AND(Z2903=1,AB2903&lt;&gt;1),1,0))</f>
        <v/>
      </c>
      <c r="AE2903" s="0" t="str">
        <f aca="false">IF(Y2903=1,"",IF(AND(AA2903=1,AC2903&lt;&gt;1),1,0))</f>
        <v/>
      </c>
      <c r="AF2903" s="45" t="str">
        <f aca="false">IF(AND(E2903&gt;0,Y2903&lt;1,NOT(AND(C2904=C2903,Y2904=Y2903+1))),INDEX(DATAS,Y2903+1),"")</f>
        <v/>
      </c>
      <c r="AG2903" s="45" t="str">
        <f aca="false">IF(AND(AA2903=1,Y2903&lt;1),IF(AND(C2904=C2903,Y2904=Y2903+1),IF(AA2904=1,"",INDEX(DATAS,Y2903+1)),INDEX(DATAS,Y2903+1)),"")</f>
        <v/>
      </c>
    </row>
    <row r="2904" customFormat="false" ht="15" hidden="false" customHeight="false" outlineLevel="0" collapsed="false">
      <c r="A2904" s="45" t="n">
        <v>46309</v>
      </c>
      <c r="B2904" s="0" t="n">
        <v>13</v>
      </c>
      <c r="C2904" s="0" t="n">
        <v>7286</v>
      </c>
      <c r="E2904" s="0" t="n">
        <v>0</v>
      </c>
      <c r="F2904" s="39" t="s">
        <v>1389</v>
      </c>
      <c r="I2904" s="39" t="s">
        <v>136</v>
      </c>
      <c r="U2904" s="0" t="n">
        <v>285</v>
      </c>
      <c r="V2904" s="0" t="n">
        <v>0</v>
      </c>
      <c r="W2904" s="39" t="n">
        <f aca="false">IF(I2904="Male",0,1)</f>
        <v>1</v>
      </c>
      <c r="X2904" s="39" t="n">
        <f aca="false">IF(OR(I2904="DNB",I2904="Dry DNB"),1,0)</f>
        <v>0</v>
      </c>
      <c r="Y2904" s="39" t="n">
        <f aca="false">MATCH(A2904,DATAS,0)</f>
        <v>1</v>
      </c>
      <c r="Z2904" s="39" t="n">
        <f aca="false">IF(AND(E2904&gt;0,OR(AND(B2904&gt;=1,B2904&lt;=6),B2904=10)),1,0)</f>
        <v>0</v>
      </c>
      <c r="AA2904" s="39" t="n">
        <f aca="false">IF(AND(E2904&gt;0,B2904=10),1,0)</f>
        <v>0</v>
      </c>
      <c r="AB2904" s="0" t="str">
        <f aca="false">IF(AND(C2903=C2904,Y2903=Y2904-1),Z2903,"")</f>
        <v/>
      </c>
      <c r="AC2904" s="0" t="str">
        <f aca="false">IF(AND(C2903=C2904,Y2903=Y2904-1),AA2903,"")</f>
        <v/>
      </c>
      <c r="AD2904" s="0" t="str">
        <f aca="false">IF(Y2904=1,"",IF(AND(Z2904=1,AB2904&lt;&gt;1),1,0))</f>
        <v/>
      </c>
      <c r="AE2904" s="0" t="str">
        <f aca="false">IF(Y2904=1,"",IF(AND(AA2904=1,AC2904&lt;&gt;1),1,0))</f>
        <v/>
      </c>
      <c r="AF2904" s="45" t="str">
        <f aca="false">IF(AND(E2904&gt;0,Y2904&lt;1,NOT(AND(C2905=C2904,Y2905=Y2904+1))),INDEX(DATAS,Y2904+1),"")</f>
        <v/>
      </c>
      <c r="AG2904" s="45" t="str">
        <f aca="false">IF(AND(AA2904=1,Y2904&lt;1),IF(AND(C2905=C2904,Y2905=Y2904+1),IF(AA2905=1,"",INDEX(DATAS,Y2904+1)),INDEX(DATAS,Y2904+1)),"")</f>
        <v/>
      </c>
    </row>
    <row r="2905" customFormat="false" ht="15" hidden="false" customHeight="false" outlineLevel="0" collapsed="false">
      <c r="A2905" s="45" t="n">
        <v>46309</v>
      </c>
      <c r="B2905" s="0" t="n">
        <v>13</v>
      </c>
      <c r="C2905" s="0" t="n">
        <v>7287</v>
      </c>
      <c r="E2905" s="0" t="n">
        <v>0</v>
      </c>
      <c r="F2905" s="39" t="s">
        <v>1390</v>
      </c>
      <c r="I2905" s="39" t="s">
        <v>136</v>
      </c>
      <c r="U2905" s="0" t="n">
        <v>284</v>
      </c>
      <c r="V2905" s="0" t="n">
        <v>0</v>
      </c>
      <c r="W2905" s="39" t="n">
        <f aca="false">IF(I2905="Male",0,1)</f>
        <v>1</v>
      </c>
      <c r="X2905" s="39" t="n">
        <f aca="false">IF(OR(I2905="DNB",I2905="Dry DNB"),1,0)</f>
        <v>0</v>
      </c>
      <c r="Y2905" s="39" t="n">
        <f aca="false">MATCH(A2905,DATAS,0)</f>
        <v>1</v>
      </c>
      <c r="Z2905" s="39" t="n">
        <f aca="false">IF(AND(E2905&gt;0,OR(AND(B2905&gt;=1,B2905&lt;=6),B2905=10)),1,0)</f>
        <v>0</v>
      </c>
      <c r="AA2905" s="39" t="n">
        <f aca="false">IF(AND(E2905&gt;0,B2905=10),1,0)</f>
        <v>0</v>
      </c>
      <c r="AB2905" s="0" t="str">
        <f aca="false">IF(AND(C2904=C2905,Y2904=Y2905-1),Z2904,"")</f>
        <v/>
      </c>
      <c r="AC2905" s="0" t="str">
        <f aca="false">IF(AND(C2904=C2905,Y2904=Y2905-1),AA2904,"")</f>
        <v/>
      </c>
      <c r="AD2905" s="0" t="str">
        <f aca="false">IF(Y2905=1,"",IF(AND(Z2905=1,AB2905&lt;&gt;1),1,0))</f>
        <v/>
      </c>
      <c r="AE2905" s="0" t="str">
        <f aca="false">IF(Y2905=1,"",IF(AND(AA2905=1,AC2905&lt;&gt;1),1,0))</f>
        <v/>
      </c>
      <c r="AF2905" s="45" t="str">
        <f aca="false">IF(AND(E2905&gt;0,Y2905&lt;1,NOT(AND(C2906=C2905,Y2906=Y2905+1))),INDEX(DATAS,Y2905+1),"")</f>
        <v/>
      </c>
      <c r="AG2905" s="45" t="str">
        <f aca="false">IF(AND(AA2905=1,Y2905&lt;1),IF(AND(C2906=C2905,Y2906=Y2905+1),IF(AA2906=1,"",INDEX(DATAS,Y2905+1)),INDEX(DATAS,Y2905+1)),"")</f>
        <v/>
      </c>
    </row>
    <row r="2906" customFormat="false" ht="15" hidden="false" customHeight="false" outlineLevel="0" collapsed="false">
      <c r="A2906" s="45" t="n">
        <v>46309</v>
      </c>
      <c r="B2906" s="0" t="n">
        <v>13</v>
      </c>
      <c r="C2906" s="0" t="n">
        <v>7288</v>
      </c>
      <c r="E2906" s="0" t="n">
        <v>0</v>
      </c>
      <c r="F2906" s="39" t="s">
        <v>1390</v>
      </c>
      <c r="I2906" s="39" t="s">
        <v>136</v>
      </c>
      <c r="U2906" s="0" t="n">
        <v>284</v>
      </c>
      <c r="V2906" s="0" t="n">
        <v>0</v>
      </c>
      <c r="W2906" s="39" t="n">
        <f aca="false">IF(I2906="Male",0,1)</f>
        <v>1</v>
      </c>
      <c r="X2906" s="39" t="n">
        <f aca="false">IF(OR(I2906="DNB",I2906="Dry DNB"),1,0)</f>
        <v>0</v>
      </c>
      <c r="Y2906" s="39" t="n">
        <f aca="false">MATCH(A2906,DATAS,0)</f>
        <v>1</v>
      </c>
      <c r="Z2906" s="39" t="n">
        <f aca="false">IF(AND(E2906&gt;0,OR(AND(B2906&gt;=1,B2906&lt;=6),B2906=10)),1,0)</f>
        <v>0</v>
      </c>
      <c r="AA2906" s="39" t="n">
        <f aca="false">IF(AND(E2906&gt;0,B2906=10),1,0)</f>
        <v>0</v>
      </c>
      <c r="AB2906" s="0" t="str">
        <f aca="false">IF(AND(C2905=C2906,Y2905=Y2906-1),Z2905,"")</f>
        <v/>
      </c>
      <c r="AC2906" s="0" t="str">
        <f aca="false">IF(AND(C2905=C2906,Y2905=Y2906-1),AA2905,"")</f>
        <v/>
      </c>
      <c r="AD2906" s="0" t="str">
        <f aca="false">IF(Y2906=1,"",IF(AND(Z2906=1,AB2906&lt;&gt;1),1,0))</f>
        <v/>
      </c>
      <c r="AE2906" s="0" t="str">
        <f aca="false">IF(Y2906=1,"",IF(AND(AA2906=1,AC2906&lt;&gt;1),1,0))</f>
        <v/>
      </c>
      <c r="AF2906" s="45" t="str">
        <f aca="false">IF(AND(E2906&gt;0,Y2906&lt;1,NOT(AND(C2907=C2906,Y2907=Y2906+1))),INDEX(DATAS,Y2906+1),"")</f>
        <v/>
      </c>
      <c r="AG2906" s="45" t="str">
        <f aca="false">IF(AND(AA2906=1,Y2906&lt;1),IF(AND(C2907=C2906,Y2907=Y2906+1),IF(AA2907=1,"",INDEX(DATAS,Y2906+1)),INDEX(DATAS,Y2906+1)),"")</f>
        <v/>
      </c>
    </row>
    <row r="2907" customFormat="false" ht="15" hidden="false" customHeight="false" outlineLevel="0" collapsed="false">
      <c r="A2907" s="45" t="n">
        <v>46309</v>
      </c>
      <c r="B2907" s="0" t="n">
        <v>13</v>
      </c>
      <c r="C2907" s="0" t="n">
        <v>7289</v>
      </c>
      <c r="E2907" s="0" t="n">
        <v>0</v>
      </c>
      <c r="F2907" s="39" t="s">
        <v>1391</v>
      </c>
      <c r="I2907" s="39" t="s">
        <v>136</v>
      </c>
      <c r="U2907" s="0" t="n">
        <v>283</v>
      </c>
      <c r="V2907" s="0" t="n">
        <v>0</v>
      </c>
      <c r="W2907" s="39" t="n">
        <f aca="false">IF(I2907="Male",0,1)</f>
        <v>1</v>
      </c>
      <c r="X2907" s="39" t="n">
        <f aca="false">IF(OR(I2907="DNB",I2907="Dry DNB"),1,0)</f>
        <v>0</v>
      </c>
      <c r="Y2907" s="39" t="n">
        <f aca="false">MATCH(A2907,DATAS,0)</f>
        <v>1</v>
      </c>
      <c r="Z2907" s="39" t="n">
        <f aca="false">IF(AND(E2907&gt;0,OR(AND(B2907&gt;=1,B2907&lt;=6),B2907=10)),1,0)</f>
        <v>0</v>
      </c>
      <c r="AA2907" s="39" t="n">
        <f aca="false">IF(AND(E2907&gt;0,B2907=10),1,0)</f>
        <v>0</v>
      </c>
      <c r="AB2907" s="0" t="str">
        <f aca="false">IF(AND(C2906=C2907,Y2906=Y2907-1),Z2906,"")</f>
        <v/>
      </c>
      <c r="AC2907" s="0" t="str">
        <f aca="false">IF(AND(C2906=C2907,Y2906=Y2907-1),AA2906,"")</f>
        <v/>
      </c>
      <c r="AD2907" s="0" t="str">
        <f aca="false">IF(Y2907=1,"",IF(AND(Z2907=1,AB2907&lt;&gt;1),1,0))</f>
        <v/>
      </c>
      <c r="AE2907" s="0" t="str">
        <f aca="false">IF(Y2907=1,"",IF(AND(AA2907=1,AC2907&lt;&gt;1),1,0))</f>
        <v/>
      </c>
      <c r="AF2907" s="45" t="str">
        <f aca="false">IF(AND(E2907&gt;0,Y2907&lt;1,NOT(AND(C2908=C2907,Y2908=Y2907+1))),INDEX(DATAS,Y2907+1),"")</f>
        <v/>
      </c>
      <c r="AG2907" s="45" t="str">
        <f aca="false">IF(AND(AA2907=1,Y2907&lt;1),IF(AND(C2908=C2907,Y2908=Y2907+1),IF(AA2908=1,"",INDEX(DATAS,Y2907+1)),INDEX(DATAS,Y2907+1)),"")</f>
        <v/>
      </c>
    </row>
    <row r="2908" customFormat="false" ht="15" hidden="false" customHeight="false" outlineLevel="0" collapsed="false">
      <c r="A2908" s="45" t="n">
        <v>46309</v>
      </c>
      <c r="B2908" s="0" t="n">
        <v>13</v>
      </c>
      <c r="C2908" s="0" t="n">
        <v>7290</v>
      </c>
      <c r="E2908" s="0" t="n">
        <v>0</v>
      </c>
      <c r="F2908" s="39" t="s">
        <v>1391</v>
      </c>
      <c r="I2908" s="39" t="s">
        <v>136</v>
      </c>
      <c r="U2908" s="0" t="n">
        <v>283</v>
      </c>
      <c r="V2908" s="0" t="n">
        <v>0</v>
      </c>
      <c r="W2908" s="39" t="n">
        <f aca="false">IF(I2908="Male",0,1)</f>
        <v>1</v>
      </c>
      <c r="X2908" s="39" t="n">
        <f aca="false">IF(OR(I2908="DNB",I2908="Dry DNB"),1,0)</f>
        <v>0</v>
      </c>
      <c r="Y2908" s="39" t="n">
        <f aca="false">MATCH(A2908,DATAS,0)</f>
        <v>1</v>
      </c>
      <c r="Z2908" s="39" t="n">
        <f aca="false">IF(AND(E2908&gt;0,OR(AND(B2908&gt;=1,B2908&lt;=6),B2908=10)),1,0)</f>
        <v>0</v>
      </c>
      <c r="AA2908" s="39" t="n">
        <f aca="false">IF(AND(E2908&gt;0,B2908=10),1,0)</f>
        <v>0</v>
      </c>
      <c r="AB2908" s="0" t="str">
        <f aca="false">IF(AND(C2907=C2908,Y2907=Y2908-1),Z2907,"")</f>
        <v/>
      </c>
      <c r="AC2908" s="0" t="str">
        <f aca="false">IF(AND(C2907=C2908,Y2907=Y2908-1),AA2907,"")</f>
        <v/>
      </c>
      <c r="AD2908" s="0" t="str">
        <f aca="false">IF(Y2908=1,"",IF(AND(Z2908=1,AB2908&lt;&gt;1),1,0))</f>
        <v/>
      </c>
      <c r="AE2908" s="0" t="str">
        <f aca="false">IF(Y2908=1,"",IF(AND(AA2908=1,AC2908&lt;&gt;1),1,0))</f>
        <v/>
      </c>
      <c r="AF2908" s="45" t="str">
        <f aca="false">IF(AND(E2908&gt;0,Y2908&lt;1,NOT(AND(C2909=C2908,Y2909=Y2908+1))),INDEX(DATAS,Y2908+1),"")</f>
        <v/>
      </c>
      <c r="AG2908" s="45" t="str">
        <f aca="false">IF(AND(AA2908=1,Y2908&lt;1),IF(AND(C2909=C2908,Y2909=Y2908+1),IF(AA2909=1,"",INDEX(DATAS,Y2908+1)),INDEX(DATAS,Y2908+1)),"")</f>
        <v/>
      </c>
    </row>
    <row r="2909" customFormat="false" ht="15" hidden="false" customHeight="false" outlineLevel="0" collapsed="false">
      <c r="A2909" s="45" t="n">
        <v>46309</v>
      </c>
      <c r="B2909" s="0" t="n">
        <v>13</v>
      </c>
      <c r="C2909" s="0" t="n">
        <v>7291</v>
      </c>
      <c r="E2909" s="0" t="n">
        <v>0</v>
      </c>
      <c r="F2909" s="39" t="s">
        <v>1391</v>
      </c>
      <c r="I2909" s="39" t="s">
        <v>136</v>
      </c>
      <c r="U2909" s="0" t="n">
        <v>283</v>
      </c>
      <c r="V2909" s="0" t="n">
        <v>0</v>
      </c>
      <c r="W2909" s="39" t="n">
        <f aca="false">IF(I2909="Male",0,1)</f>
        <v>1</v>
      </c>
      <c r="X2909" s="39" t="n">
        <f aca="false">IF(OR(I2909="DNB",I2909="Dry DNB"),1,0)</f>
        <v>0</v>
      </c>
      <c r="Y2909" s="39" t="n">
        <f aca="false">MATCH(A2909,DATAS,0)</f>
        <v>1</v>
      </c>
      <c r="Z2909" s="39" t="n">
        <f aca="false">IF(AND(E2909&gt;0,OR(AND(B2909&gt;=1,B2909&lt;=6),B2909=10)),1,0)</f>
        <v>0</v>
      </c>
      <c r="AA2909" s="39" t="n">
        <f aca="false">IF(AND(E2909&gt;0,B2909=10),1,0)</f>
        <v>0</v>
      </c>
      <c r="AB2909" s="0" t="str">
        <f aca="false">IF(AND(C2908=C2909,Y2908=Y2909-1),Z2908,"")</f>
        <v/>
      </c>
      <c r="AC2909" s="0" t="str">
        <f aca="false">IF(AND(C2908=C2909,Y2908=Y2909-1),AA2908,"")</f>
        <v/>
      </c>
      <c r="AD2909" s="0" t="str">
        <f aca="false">IF(Y2909=1,"",IF(AND(Z2909=1,AB2909&lt;&gt;1),1,0))</f>
        <v/>
      </c>
      <c r="AE2909" s="0" t="str">
        <f aca="false">IF(Y2909=1,"",IF(AND(AA2909=1,AC2909&lt;&gt;1),1,0))</f>
        <v/>
      </c>
      <c r="AF2909" s="45" t="str">
        <f aca="false">IF(AND(E2909&gt;0,Y2909&lt;1,NOT(AND(C2910=C2909,Y2910=Y2909+1))),INDEX(DATAS,Y2909+1),"")</f>
        <v/>
      </c>
      <c r="AG2909" s="45" t="str">
        <f aca="false">IF(AND(AA2909=1,Y2909&lt;1),IF(AND(C2910=C2909,Y2910=Y2909+1),IF(AA2910=1,"",INDEX(DATAS,Y2909+1)),INDEX(DATAS,Y2909+1)),"")</f>
        <v/>
      </c>
    </row>
    <row r="2910" customFormat="false" ht="15" hidden="false" customHeight="false" outlineLevel="0" collapsed="false">
      <c r="A2910" s="45" t="n">
        <v>46309</v>
      </c>
      <c r="B2910" s="0" t="n">
        <v>13</v>
      </c>
      <c r="C2910" s="0" t="n">
        <v>7292</v>
      </c>
      <c r="E2910" s="0" t="n">
        <v>0</v>
      </c>
      <c r="F2910" s="39" t="s">
        <v>1391</v>
      </c>
      <c r="I2910" s="39" t="s">
        <v>136</v>
      </c>
      <c r="U2910" s="0" t="n">
        <v>283</v>
      </c>
      <c r="V2910" s="0" t="n">
        <v>0</v>
      </c>
      <c r="W2910" s="39" t="n">
        <f aca="false">IF(I2910="Male",0,1)</f>
        <v>1</v>
      </c>
      <c r="X2910" s="39" t="n">
        <f aca="false">IF(OR(I2910="DNB",I2910="Dry DNB"),1,0)</f>
        <v>0</v>
      </c>
      <c r="Y2910" s="39" t="n">
        <f aca="false">MATCH(A2910,DATAS,0)</f>
        <v>1</v>
      </c>
      <c r="Z2910" s="39" t="n">
        <f aca="false">IF(AND(E2910&gt;0,OR(AND(B2910&gt;=1,B2910&lt;=6),B2910=10)),1,0)</f>
        <v>0</v>
      </c>
      <c r="AA2910" s="39" t="n">
        <f aca="false">IF(AND(E2910&gt;0,B2910=10),1,0)</f>
        <v>0</v>
      </c>
      <c r="AB2910" s="0" t="str">
        <f aca="false">IF(AND(C2909=C2910,Y2909=Y2910-1),Z2909,"")</f>
        <v/>
      </c>
      <c r="AC2910" s="0" t="str">
        <f aca="false">IF(AND(C2909=C2910,Y2909=Y2910-1),AA2909,"")</f>
        <v/>
      </c>
      <c r="AD2910" s="0" t="str">
        <f aca="false">IF(Y2910=1,"",IF(AND(Z2910=1,AB2910&lt;&gt;1),1,0))</f>
        <v/>
      </c>
      <c r="AE2910" s="0" t="str">
        <f aca="false">IF(Y2910=1,"",IF(AND(AA2910=1,AC2910&lt;&gt;1),1,0))</f>
        <v/>
      </c>
      <c r="AF2910" s="45" t="str">
        <f aca="false">IF(AND(E2910&gt;0,Y2910&lt;1,NOT(AND(C2911=C2910,Y2911=Y2910+1))),INDEX(DATAS,Y2910+1),"")</f>
        <v/>
      </c>
      <c r="AG2910" s="45" t="str">
        <f aca="false">IF(AND(AA2910=1,Y2910&lt;1),IF(AND(C2911=C2910,Y2911=Y2910+1),IF(AA2911=1,"",INDEX(DATAS,Y2910+1)),INDEX(DATAS,Y2910+1)),"")</f>
        <v/>
      </c>
    </row>
    <row r="2911" customFormat="false" ht="15" hidden="false" customHeight="false" outlineLevel="0" collapsed="false">
      <c r="A2911" s="45" t="n">
        <v>46309</v>
      </c>
      <c r="B2911" s="0" t="n">
        <v>13</v>
      </c>
      <c r="C2911" s="0" t="n">
        <v>7293</v>
      </c>
      <c r="E2911" s="0" t="n">
        <v>0</v>
      </c>
      <c r="F2911" s="39" t="s">
        <v>1392</v>
      </c>
      <c r="I2911" s="39" t="s">
        <v>136</v>
      </c>
      <c r="U2911" s="0" t="n">
        <v>282</v>
      </c>
      <c r="V2911" s="0" t="n">
        <v>0</v>
      </c>
      <c r="W2911" s="39" t="n">
        <f aca="false">IF(I2911="Male",0,1)</f>
        <v>1</v>
      </c>
      <c r="X2911" s="39" t="n">
        <f aca="false">IF(OR(I2911="DNB",I2911="Dry DNB"),1,0)</f>
        <v>0</v>
      </c>
      <c r="Y2911" s="39" t="n">
        <f aca="false">MATCH(A2911,DATAS,0)</f>
        <v>1</v>
      </c>
      <c r="Z2911" s="39" t="n">
        <f aca="false">IF(AND(E2911&gt;0,OR(AND(B2911&gt;=1,B2911&lt;=6),B2911=10)),1,0)</f>
        <v>0</v>
      </c>
      <c r="AA2911" s="39" t="n">
        <f aca="false">IF(AND(E2911&gt;0,B2911=10),1,0)</f>
        <v>0</v>
      </c>
      <c r="AB2911" s="0" t="str">
        <f aca="false">IF(AND(C2910=C2911,Y2910=Y2911-1),Z2910,"")</f>
        <v/>
      </c>
      <c r="AC2911" s="0" t="str">
        <f aca="false">IF(AND(C2910=C2911,Y2910=Y2911-1),AA2910,"")</f>
        <v/>
      </c>
      <c r="AD2911" s="0" t="str">
        <f aca="false">IF(Y2911=1,"",IF(AND(Z2911=1,AB2911&lt;&gt;1),1,0))</f>
        <v/>
      </c>
      <c r="AE2911" s="0" t="str">
        <f aca="false">IF(Y2911=1,"",IF(AND(AA2911=1,AC2911&lt;&gt;1),1,0))</f>
        <v/>
      </c>
      <c r="AF2911" s="45" t="str">
        <f aca="false">IF(AND(E2911&gt;0,Y2911&lt;1,NOT(AND(C2912=C2911,Y2912=Y2911+1))),INDEX(DATAS,Y2911+1),"")</f>
        <v/>
      </c>
      <c r="AG2911" s="45" t="str">
        <f aca="false">IF(AND(AA2911=1,Y2911&lt;1),IF(AND(C2912=C2911,Y2912=Y2911+1),IF(AA2912=1,"",INDEX(DATAS,Y2911+1)),INDEX(DATAS,Y2911+1)),"")</f>
        <v/>
      </c>
    </row>
    <row r="2912" customFormat="false" ht="15" hidden="false" customHeight="false" outlineLevel="0" collapsed="false">
      <c r="A2912" s="45" t="n">
        <v>46309</v>
      </c>
      <c r="B2912" s="0" t="n">
        <v>13</v>
      </c>
      <c r="C2912" s="0" t="n">
        <v>7294</v>
      </c>
      <c r="E2912" s="0" t="n">
        <v>0</v>
      </c>
      <c r="F2912" s="39" t="s">
        <v>1392</v>
      </c>
      <c r="I2912" s="39" t="s">
        <v>136</v>
      </c>
      <c r="U2912" s="0" t="n">
        <v>282</v>
      </c>
      <c r="V2912" s="0" t="n">
        <v>0</v>
      </c>
      <c r="W2912" s="39" t="n">
        <f aca="false">IF(I2912="Male",0,1)</f>
        <v>1</v>
      </c>
      <c r="X2912" s="39" t="n">
        <f aca="false">IF(OR(I2912="DNB",I2912="Dry DNB"),1,0)</f>
        <v>0</v>
      </c>
      <c r="Y2912" s="39" t="n">
        <f aca="false">MATCH(A2912,DATAS,0)</f>
        <v>1</v>
      </c>
      <c r="Z2912" s="39" t="n">
        <f aca="false">IF(AND(E2912&gt;0,OR(AND(B2912&gt;=1,B2912&lt;=6),B2912=10)),1,0)</f>
        <v>0</v>
      </c>
      <c r="AA2912" s="39" t="n">
        <f aca="false">IF(AND(E2912&gt;0,B2912=10),1,0)</f>
        <v>0</v>
      </c>
      <c r="AB2912" s="0" t="str">
        <f aca="false">IF(AND(C2911=C2912,Y2911=Y2912-1),Z2911,"")</f>
        <v/>
      </c>
      <c r="AC2912" s="0" t="str">
        <f aca="false">IF(AND(C2911=C2912,Y2911=Y2912-1),AA2911,"")</f>
        <v/>
      </c>
      <c r="AD2912" s="0" t="str">
        <f aca="false">IF(Y2912=1,"",IF(AND(Z2912=1,AB2912&lt;&gt;1),1,0))</f>
        <v/>
      </c>
      <c r="AE2912" s="0" t="str">
        <f aca="false">IF(Y2912=1,"",IF(AND(AA2912=1,AC2912&lt;&gt;1),1,0))</f>
        <v/>
      </c>
      <c r="AF2912" s="45" t="str">
        <f aca="false">IF(AND(E2912&gt;0,Y2912&lt;1,NOT(AND(C2913=C2912,Y2913=Y2912+1))),INDEX(DATAS,Y2912+1),"")</f>
        <v/>
      </c>
      <c r="AG2912" s="45" t="str">
        <f aca="false">IF(AND(AA2912=1,Y2912&lt;1),IF(AND(C2913=C2912,Y2913=Y2912+1),IF(AA2913=1,"",INDEX(DATAS,Y2912+1)),INDEX(DATAS,Y2912+1)),"")</f>
        <v/>
      </c>
    </row>
    <row r="2913" customFormat="false" ht="15" hidden="false" customHeight="false" outlineLevel="0" collapsed="false">
      <c r="A2913" s="45" t="n">
        <v>46309</v>
      </c>
      <c r="B2913" s="0" t="n">
        <v>13</v>
      </c>
      <c r="C2913" s="0" t="n">
        <v>7295</v>
      </c>
      <c r="E2913" s="0" t="n">
        <v>0</v>
      </c>
      <c r="F2913" s="39" t="s">
        <v>1393</v>
      </c>
      <c r="I2913" s="39" t="s">
        <v>136</v>
      </c>
      <c r="U2913" s="0" t="n">
        <v>281</v>
      </c>
      <c r="V2913" s="0" t="n">
        <v>0</v>
      </c>
      <c r="W2913" s="39" t="n">
        <f aca="false">IF(I2913="Male",0,1)</f>
        <v>1</v>
      </c>
      <c r="X2913" s="39" t="n">
        <f aca="false">IF(OR(I2913="DNB",I2913="Dry DNB"),1,0)</f>
        <v>0</v>
      </c>
      <c r="Y2913" s="39" t="n">
        <f aca="false">MATCH(A2913,DATAS,0)</f>
        <v>1</v>
      </c>
      <c r="Z2913" s="39" t="n">
        <f aca="false">IF(AND(E2913&gt;0,OR(AND(B2913&gt;=1,B2913&lt;=6),B2913=10)),1,0)</f>
        <v>0</v>
      </c>
      <c r="AA2913" s="39" t="n">
        <f aca="false">IF(AND(E2913&gt;0,B2913=10),1,0)</f>
        <v>0</v>
      </c>
      <c r="AB2913" s="0" t="str">
        <f aca="false">IF(AND(C2912=C2913,Y2912=Y2913-1),Z2912,"")</f>
        <v/>
      </c>
      <c r="AC2913" s="0" t="str">
        <f aca="false">IF(AND(C2912=C2913,Y2912=Y2913-1),AA2912,"")</f>
        <v/>
      </c>
      <c r="AD2913" s="0" t="str">
        <f aca="false">IF(Y2913=1,"",IF(AND(Z2913=1,AB2913&lt;&gt;1),1,0))</f>
        <v/>
      </c>
      <c r="AE2913" s="0" t="str">
        <f aca="false">IF(Y2913=1,"",IF(AND(AA2913=1,AC2913&lt;&gt;1),1,0))</f>
        <v/>
      </c>
      <c r="AF2913" s="45" t="str">
        <f aca="false">IF(AND(E2913&gt;0,Y2913&lt;1,NOT(AND(C2914=C2913,Y2914=Y2913+1))),INDEX(DATAS,Y2913+1),"")</f>
        <v/>
      </c>
      <c r="AG2913" s="45" t="str">
        <f aca="false">IF(AND(AA2913=1,Y2913&lt;1),IF(AND(C2914=C2913,Y2914=Y2913+1),IF(AA2914=1,"",INDEX(DATAS,Y2913+1)),INDEX(DATAS,Y2913+1)),"")</f>
        <v/>
      </c>
    </row>
    <row r="2914" customFormat="false" ht="15" hidden="false" customHeight="false" outlineLevel="0" collapsed="false">
      <c r="A2914" s="45" t="n">
        <v>46309</v>
      </c>
      <c r="B2914" s="0" t="n">
        <v>13</v>
      </c>
      <c r="C2914" s="0" t="n">
        <v>7296</v>
      </c>
      <c r="E2914" s="0" t="n">
        <v>0</v>
      </c>
      <c r="F2914" s="39" t="s">
        <v>1393</v>
      </c>
      <c r="I2914" s="39" t="s">
        <v>136</v>
      </c>
      <c r="U2914" s="0" t="n">
        <v>281</v>
      </c>
      <c r="V2914" s="0" t="n">
        <v>0</v>
      </c>
      <c r="W2914" s="39" t="n">
        <f aca="false">IF(I2914="Male",0,1)</f>
        <v>1</v>
      </c>
      <c r="X2914" s="39" t="n">
        <f aca="false">IF(OR(I2914="DNB",I2914="Dry DNB"),1,0)</f>
        <v>0</v>
      </c>
      <c r="Y2914" s="39" t="n">
        <f aca="false">MATCH(A2914,DATAS,0)</f>
        <v>1</v>
      </c>
      <c r="Z2914" s="39" t="n">
        <f aca="false">IF(AND(E2914&gt;0,OR(AND(B2914&gt;=1,B2914&lt;=6),B2914=10)),1,0)</f>
        <v>0</v>
      </c>
      <c r="AA2914" s="39" t="n">
        <f aca="false">IF(AND(E2914&gt;0,B2914=10),1,0)</f>
        <v>0</v>
      </c>
      <c r="AB2914" s="0" t="str">
        <f aca="false">IF(AND(C2913=C2914,Y2913=Y2914-1),Z2913,"")</f>
        <v/>
      </c>
      <c r="AC2914" s="0" t="str">
        <f aca="false">IF(AND(C2913=C2914,Y2913=Y2914-1),AA2913,"")</f>
        <v/>
      </c>
      <c r="AD2914" s="0" t="str">
        <f aca="false">IF(Y2914=1,"",IF(AND(Z2914=1,AB2914&lt;&gt;1),1,0))</f>
        <v/>
      </c>
      <c r="AE2914" s="0" t="str">
        <f aca="false">IF(Y2914=1,"",IF(AND(AA2914=1,AC2914&lt;&gt;1),1,0))</f>
        <v/>
      </c>
      <c r="AF2914" s="45" t="str">
        <f aca="false">IF(AND(E2914&gt;0,Y2914&lt;1,NOT(AND(C2915=C2914,Y2915=Y2914+1))),INDEX(DATAS,Y2914+1),"")</f>
        <v/>
      </c>
      <c r="AG2914" s="45" t="str">
        <f aca="false">IF(AND(AA2914=1,Y2914&lt;1),IF(AND(C2915=C2914,Y2915=Y2914+1),IF(AA2915=1,"",INDEX(DATAS,Y2914+1)),INDEX(DATAS,Y2914+1)),"")</f>
        <v/>
      </c>
    </row>
    <row r="2915" customFormat="false" ht="15" hidden="false" customHeight="false" outlineLevel="0" collapsed="false">
      <c r="A2915" s="45" t="n">
        <v>46309</v>
      </c>
      <c r="B2915" s="0" t="n">
        <v>13</v>
      </c>
      <c r="C2915" s="0" t="n">
        <v>7297</v>
      </c>
      <c r="E2915" s="0" t="n">
        <v>0</v>
      </c>
      <c r="F2915" s="39" t="s">
        <v>1393</v>
      </c>
      <c r="I2915" s="39" t="s">
        <v>136</v>
      </c>
      <c r="U2915" s="0" t="n">
        <v>281</v>
      </c>
      <c r="V2915" s="0" t="n">
        <v>0</v>
      </c>
      <c r="W2915" s="39" t="n">
        <f aca="false">IF(I2915="Male",0,1)</f>
        <v>1</v>
      </c>
      <c r="X2915" s="39" t="n">
        <f aca="false">IF(OR(I2915="DNB",I2915="Dry DNB"),1,0)</f>
        <v>0</v>
      </c>
      <c r="Y2915" s="39" t="n">
        <f aca="false">MATCH(A2915,DATAS,0)</f>
        <v>1</v>
      </c>
      <c r="Z2915" s="39" t="n">
        <f aca="false">IF(AND(E2915&gt;0,OR(AND(B2915&gt;=1,B2915&lt;=6),B2915=10)),1,0)</f>
        <v>0</v>
      </c>
      <c r="AA2915" s="39" t="n">
        <f aca="false">IF(AND(E2915&gt;0,B2915=10),1,0)</f>
        <v>0</v>
      </c>
      <c r="AB2915" s="0" t="str">
        <f aca="false">IF(AND(C2914=C2915,Y2914=Y2915-1),Z2914,"")</f>
        <v/>
      </c>
      <c r="AC2915" s="0" t="str">
        <f aca="false">IF(AND(C2914=C2915,Y2914=Y2915-1),AA2914,"")</f>
        <v/>
      </c>
      <c r="AD2915" s="0" t="str">
        <f aca="false">IF(Y2915=1,"",IF(AND(Z2915=1,AB2915&lt;&gt;1),1,0))</f>
        <v/>
      </c>
      <c r="AE2915" s="0" t="str">
        <f aca="false">IF(Y2915=1,"",IF(AND(AA2915=1,AC2915&lt;&gt;1),1,0))</f>
        <v/>
      </c>
      <c r="AF2915" s="45" t="str">
        <f aca="false">IF(AND(E2915&gt;0,Y2915&lt;1,NOT(AND(C2916=C2915,Y2916=Y2915+1))),INDEX(DATAS,Y2915+1),"")</f>
        <v/>
      </c>
      <c r="AG2915" s="45" t="str">
        <f aca="false">IF(AND(AA2915=1,Y2915&lt;1),IF(AND(C2916=C2915,Y2916=Y2915+1),IF(AA2916=1,"",INDEX(DATAS,Y2915+1)),INDEX(DATAS,Y2915+1)),"")</f>
        <v/>
      </c>
    </row>
    <row r="2916" customFormat="false" ht="15" hidden="false" customHeight="false" outlineLevel="0" collapsed="false">
      <c r="A2916" s="45" t="n">
        <v>46309</v>
      </c>
      <c r="B2916" s="0" t="n">
        <v>13</v>
      </c>
      <c r="C2916" s="0" t="n">
        <v>7298</v>
      </c>
      <c r="E2916" s="0" t="n">
        <v>0</v>
      </c>
      <c r="F2916" s="39" t="s">
        <v>1393</v>
      </c>
      <c r="I2916" s="39" t="s">
        <v>136</v>
      </c>
      <c r="U2916" s="0" t="n">
        <v>281</v>
      </c>
      <c r="V2916" s="0" t="n">
        <v>0</v>
      </c>
      <c r="W2916" s="39" t="n">
        <f aca="false">IF(I2916="Male",0,1)</f>
        <v>1</v>
      </c>
      <c r="X2916" s="39" t="n">
        <f aca="false">IF(OR(I2916="DNB",I2916="Dry DNB"),1,0)</f>
        <v>0</v>
      </c>
      <c r="Y2916" s="39" t="n">
        <f aca="false">MATCH(A2916,DATAS,0)</f>
        <v>1</v>
      </c>
      <c r="Z2916" s="39" t="n">
        <f aca="false">IF(AND(E2916&gt;0,OR(AND(B2916&gt;=1,B2916&lt;=6),B2916=10)),1,0)</f>
        <v>0</v>
      </c>
      <c r="AA2916" s="39" t="n">
        <f aca="false">IF(AND(E2916&gt;0,B2916=10),1,0)</f>
        <v>0</v>
      </c>
      <c r="AB2916" s="0" t="str">
        <f aca="false">IF(AND(C2915=C2916,Y2915=Y2916-1),Z2915,"")</f>
        <v/>
      </c>
      <c r="AC2916" s="0" t="str">
        <f aca="false">IF(AND(C2915=C2916,Y2915=Y2916-1),AA2915,"")</f>
        <v/>
      </c>
      <c r="AD2916" s="0" t="str">
        <f aca="false">IF(Y2916=1,"",IF(AND(Z2916=1,AB2916&lt;&gt;1),1,0))</f>
        <v/>
      </c>
      <c r="AE2916" s="0" t="str">
        <f aca="false">IF(Y2916=1,"",IF(AND(AA2916=1,AC2916&lt;&gt;1),1,0))</f>
        <v/>
      </c>
      <c r="AF2916" s="45" t="str">
        <f aca="false">IF(AND(E2916&gt;0,Y2916&lt;1,NOT(AND(C2917=C2916,Y2917=Y2916+1))),INDEX(DATAS,Y2916+1),"")</f>
        <v/>
      </c>
      <c r="AG2916" s="45" t="str">
        <f aca="false">IF(AND(AA2916=1,Y2916&lt;1),IF(AND(C2917=C2916,Y2917=Y2916+1),IF(AA2917=1,"",INDEX(DATAS,Y2916+1)),INDEX(DATAS,Y2916+1)),"")</f>
        <v/>
      </c>
    </row>
    <row r="2917" customFormat="false" ht="15" hidden="false" customHeight="false" outlineLevel="0" collapsed="false">
      <c r="A2917" s="45" t="n">
        <v>46309</v>
      </c>
      <c r="B2917" s="0" t="n">
        <v>13</v>
      </c>
      <c r="C2917" s="0" t="n">
        <v>7299</v>
      </c>
      <c r="E2917" s="0" t="n">
        <v>0</v>
      </c>
      <c r="F2917" s="39" t="s">
        <v>1393</v>
      </c>
      <c r="I2917" s="39" t="s">
        <v>136</v>
      </c>
      <c r="U2917" s="0" t="n">
        <v>281</v>
      </c>
      <c r="V2917" s="0" t="n">
        <v>0</v>
      </c>
      <c r="W2917" s="39" t="n">
        <f aca="false">IF(I2917="Male",0,1)</f>
        <v>1</v>
      </c>
      <c r="X2917" s="39" t="n">
        <f aca="false">IF(OR(I2917="DNB",I2917="Dry DNB"),1,0)</f>
        <v>0</v>
      </c>
      <c r="Y2917" s="39" t="n">
        <f aca="false">MATCH(A2917,DATAS,0)</f>
        <v>1</v>
      </c>
      <c r="Z2917" s="39" t="n">
        <f aca="false">IF(AND(E2917&gt;0,OR(AND(B2917&gt;=1,B2917&lt;=6),B2917=10)),1,0)</f>
        <v>0</v>
      </c>
      <c r="AA2917" s="39" t="n">
        <f aca="false">IF(AND(E2917&gt;0,B2917=10),1,0)</f>
        <v>0</v>
      </c>
      <c r="AB2917" s="0" t="str">
        <f aca="false">IF(AND(C2916=C2917,Y2916=Y2917-1),Z2916,"")</f>
        <v/>
      </c>
      <c r="AC2917" s="0" t="str">
        <f aca="false">IF(AND(C2916=C2917,Y2916=Y2917-1),AA2916,"")</f>
        <v/>
      </c>
      <c r="AD2917" s="0" t="str">
        <f aca="false">IF(Y2917=1,"",IF(AND(Z2917=1,AB2917&lt;&gt;1),1,0))</f>
        <v/>
      </c>
      <c r="AE2917" s="0" t="str">
        <f aca="false">IF(Y2917=1,"",IF(AND(AA2917=1,AC2917&lt;&gt;1),1,0))</f>
        <v/>
      </c>
      <c r="AF2917" s="45" t="str">
        <f aca="false">IF(AND(E2917&gt;0,Y2917&lt;1,NOT(AND(C2918=C2917,Y2918=Y2917+1))),INDEX(DATAS,Y2917+1),"")</f>
        <v/>
      </c>
      <c r="AG2917" s="45" t="str">
        <f aca="false">IF(AND(AA2917=1,Y2917&lt;1),IF(AND(C2918=C2917,Y2918=Y2917+1),IF(AA2918=1,"",INDEX(DATAS,Y2917+1)),INDEX(DATAS,Y2917+1)),"")</f>
        <v/>
      </c>
    </row>
    <row r="2918" customFormat="false" ht="15" hidden="false" customHeight="false" outlineLevel="0" collapsed="false">
      <c r="A2918" s="45" t="n">
        <v>46309</v>
      </c>
      <c r="B2918" s="0" t="n">
        <v>13</v>
      </c>
      <c r="C2918" s="0" t="n">
        <v>7300</v>
      </c>
      <c r="E2918" s="0" t="n">
        <v>0</v>
      </c>
      <c r="F2918" s="39" t="s">
        <v>1394</v>
      </c>
      <c r="I2918" s="39" t="s">
        <v>136</v>
      </c>
      <c r="U2918" s="0" t="n">
        <v>280</v>
      </c>
      <c r="V2918" s="0" t="n">
        <v>0</v>
      </c>
      <c r="W2918" s="39" t="n">
        <f aca="false">IF(I2918="Male",0,1)</f>
        <v>1</v>
      </c>
      <c r="X2918" s="39" t="n">
        <f aca="false">IF(OR(I2918="DNB",I2918="Dry DNB"),1,0)</f>
        <v>0</v>
      </c>
      <c r="Y2918" s="39" t="n">
        <f aca="false">MATCH(A2918,DATAS,0)</f>
        <v>1</v>
      </c>
      <c r="Z2918" s="39" t="n">
        <f aca="false">IF(AND(E2918&gt;0,OR(AND(B2918&gt;=1,B2918&lt;=6),B2918=10)),1,0)</f>
        <v>0</v>
      </c>
      <c r="AA2918" s="39" t="n">
        <f aca="false">IF(AND(E2918&gt;0,B2918=10),1,0)</f>
        <v>0</v>
      </c>
      <c r="AB2918" s="0" t="str">
        <f aca="false">IF(AND(C2917=C2918,Y2917=Y2918-1),Z2917,"")</f>
        <v/>
      </c>
      <c r="AC2918" s="0" t="str">
        <f aca="false">IF(AND(C2917=C2918,Y2917=Y2918-1),AA2917,"")</f>
        <v/>
      </c>
      <c r="AD2918" s="0" t="str">
        <f aca="false">IF(Y2918=1,"",IF(AND(Z2918=1,AB2918&lt;&gt;1),1,0))</f>
        <v/>
      </c>
      <c r="AE2918" s="0" t="str">
        <f aca="false">IF(Y2918=1,"",IF(AND(AA2918=1,AC2918&lt;&gt;1),1,0))</f>
        <v/>
      </c>
      <c r="AF2918" s="45" t="str">
        <f aca="false">IF(AND(E2918&gt;0,Y2918&lt;1,NOT(AND(C2919=C2918,Y2919=Y2918+1))),INDEX(DATAS,Y2918+1),"")</f>
        <v/>
      </c>
      <c r="AG2918" s="45" t="str">
        <f aca="false">IF(AND(AA2918=1,Y2918&lt;1),IF(AND(C2919=C2918,Y2919=Y2918+1),IF(AA2919=1,"",INDEX(DATAS,Y2918+1)),INDEX(DATAS,Y2918+1)),"")</f>
        <v/>
      </c>
    </row>
    <row r="2919" customFormat="false" ht="15" hidden="false" customHeight="false" outlineLevel="0" collapsed="false">
      <c r="A2919" s="45" t="n">
        <v>46309</v>
      </c>
      <c r="B2919" s="0" t="n">
        <v>13</v>
      </c>
      <c r="C2919" s="0" t="n">
        <v>7301</v>
      </c>
      <c r="E2919" s="0" t="n">
        <v>0</v>
      </c>
      <c r="F2919" s="39" t="s">
        <v>1394</v>
      </c>
      <c r="I2919" s="39" t="s">
        <v>136</v>
      </c>
      <c r="U2919" s="0" t="n">
        <v>280</v>
      </c>
      <c r="V2919" s="0" t="n">
        <v>0</v>
      </c>
      <c r="W2919" s="39" t="n">
        <f aca="false">IF(I2919="Male",0,1)</f>
        <v>1</v>
      </c>
      <c r="X2919" s="39" t="n">
        <f aca="false">IF(OR(I2919="DNB",I2919="Dry DNB"),1,0)</f>
        <v>0</v>
      </c>
      <c r="Y2919" s="39" t="n">
        <f aca="false">MATCH(A2919,DATAS,0)</f>
        <v>1</v>
      </c>
      <c r="Z2919" s="39" t="n">
        <f aca="false">IF(AND(E2919&gt;0,OR(AND(B2919&gt;=1,B2919&lt;=6),B2919=10)),1,0)</f>
        <v>0</v>
      </c>
      <c r="AA2919" s="39" t="n">
        <f aca="false">IF(AND(E2919&gt;0,B2919=10),1,0)</f>
        <v>0</v>
      </c>
      <c r="AB2919" s="0" t="str">
        <f aca="false">IF(AND(C2918=C2919,Y2918=Y2919-1),Z2918,"")</f>
        <v/>
      </c>
      <c r="AC2919" s="0" t="str">
        <f aca="false">IF(AND(C2918=C2919,Y2918=Y2919-1),AA2918,"")</f>
        <v/>
      </c>
      <c r="AD2919" s="0" t="str">
        <f aca="false">IF(Y2919=1,"",IF(AND(Z2919=1,AB2919&lt;&gt;1),1,0))</f>
        <v/>
      </c>
      <c r="AE2919" s="0" t="str">
        <f aca="false">IF(Y2919=1,"",IF(AND(AA2919=1,AC2919&lt;&gt;1),1,0))</f>
        <v/>
      </c>
      <c r="AF2919" s="45" t="str">
        <f aca="false">IF(AND(E2919&gt;0,Y2919&lt;1,NOT(AND(C2920=C2919,Y2920=Y2919+1))),INDEX(DATAS,Y2919+1),"")</f>
        <v/>
      </c>
      <c r="AG2919" s="45" t="str">
        <f aca="false">IF(AND(AA2919=1,Y2919&lt;1),IF(AND(C2920=C2919,Y2920=Y2919+1),IF(AA2920=1,"",INDEX(DATAS,Y2919+1)),INDEX(DATAS,Y2919+1)),"")</f>
        <v/>
      </c>
    </row>
    <row r="2920" customFormat="false" ht="15" hidden="false" customHeight="false" outlineLevel="0" collapsed="false">
      <c r="A2920" s="45" t="n">
        <v>46309</v>
      </c>
      <c r="B2920" s="0" t="n">
        <v>13</v>
      </c>
      <c r="C2920" s="0" t="n">
        <v>7302</v>
      </c>
      <c r="E2920" s="0" t="n">
        <v>0</v>
      </c>
      <c r="F2920" s="39" t="s">
        <v>1394</v>
      </c>
      <c r="I2920" s="39" t="s">
        <v>136</v>
      </c>
      <c r="U2920" s="0" t="n">
        <v>280</v>
      </c>
      <c r="V2920" s="0" t="n">
        <v>0</v>
      </c>
      <c r="W2920" s="39" t="n">
        <f aca="false">IF(I2920="Male",0,1)</f>
        <v>1</v>
      </c>
      <c r="X2920" s="39" t="n">
        <f aca="false">IF(OR(I2920="DNB",I2920="Dry DNB"),1,0)</f>
        <v>0</v>
      </c>
      <c r="Y2920" s="39" t="n">
        <f aca="false">MATCH(A2920,DATAS,0)</f>
        <v>1</v>
      </c>
      <c r="Z2920" s="39" t="n">
        <f aca="false">IF(AND(E2920&gt;0,OR(AND(B2920&gt;=1,B2920&lt;=6),B2920=10)),1,0)</f>
        <v>0</v>
      </c>
      <c r="AA2920" s="39" t="n">
        <f aca="false">IF(AND(E2920&gt;0,B2920=10),1,0)</f>
        <v>0</v>
      </c>
      <c r="AB2920" s="0" t="str">
        <f aca="false">IF(AND(C2919=C2920,Y2919=Y2920-1),Z2919,"")</f>
        <v/>
      </c>
      <c r="AC2920" s="0" t="str">
        <f aca="false">IF(AND(C2919=C2920,Y2919=Y2920-1),AA2919,"")</f>
        <v/>
      </c>
      <c r="AD2920" s="0" t="str">
        <f aca="false">IF(Y2920=1,"",IF(AND(Z2920=1,AB2920&lt;&gt;1),1,0))</f>
        <v/>
      </c>
      <c r="AE2920" s="0" t="str">
        <f aca="false">IF(Y2920=1,"",IF(AND(AA2920=1,AC2920&lt;&gt;1),1,0))</f>
        <v/>
      </c>
      <c r="AF2920" s="45" t="str">
        <f aca="false">IF(AND(E2920&gt;0,Y2920&lt;1,NOT(AND(C2921=C2920,Y2921=Y2920+1))),INDEX(DATAS,Y2920+1),"")</f>
        <v/>
      </c>
      <c r="AG2920" s="45" t="str">
        <f aca="false">IF(AND(AA2920=1,Y2920&lt;1),IF(AND(C2921=C2920,Y2921=Y2920+1),IF(AA2921=1,"",INDEX(DATAS,Y2920+1)),INDEX(DATAS,Y2920+1)),"")</f>
        <v/>
      </c>
    </row>
    <row r="2921" customFormat="false" ht="15" hidden="false" customHeight="false" outlineLevel="0" collapsed="false">
      <c r="A2921" s="45" t="n">
        <v>46309</v>
      </c>
      <c r="B2921" s="0" t="n">
        <v>13</v>
      </c>
      <c r="C2921" s="0" t="n">
        <v>7303</v>
      </c>
      <c r="E2921" s="0" t="n">
        <v>0</v>
      </c>
      <c r="F2921" s="39" t="s">
        <v>1394</v>
      </c>
      <c r="I2921" s="39" t="s">
        <v>136</v>
      </c>
      <c r="U2921" s="0" t="n">
        <v>280</v>
      </c>
      <c r="V2921" s="0" t="n">
        <v>0</v>
      </c>
      <c r="W2921" s="39" t="n">
        <f aca="false">IF(I2921="Male",0,1)</f>
        <v>1</v>
      </c>
      <c r="X2921" s="39" t="n">
        <f aca="false">IF(OR(I2921="DNB",I2921="Dry DNB"),1,0)</f>
        <v>0</v>
      </c>
      <c r="Y2921" s="39" t="n">
        <f aca="false">MATCH(A2921,DATAS,0)</f>
        <v>1</v>
      </c>
      <c r="Z2921" s="39" t="n">
        <f aca="false">IF(AND(E2921&gt;0,OR(AND(B2921&gt;=1,B2921&lt;=6),B2921=10)),1,0)</f>
        <v>0</v>
      </c>
      <c r="AA2921" s="39" t="n">
        <f aca="false">IF(AND(E2921&gt;0,B2921=10),1,0)</f>
        <v>0</v>
      </c>
      <c r="AB2921" s="0" t="str">
        <f aca="false">IF(AND(C2920=C2921,Y2920=Y2921-1),Z2920,"")</f>
        <v/>
      </c>
      <c r="AC2921" s="0" t="str">
        <f aca="false">IF(AND(C2920=C2921,Y2920=Y2921-1),AA2920,"")</f>
        <v/>
      </c>
      <c r="AD2921" s="0" t="str">
        <f aca="false">IF(Y2921=1,"",IF(AND(Z2921=1,AB2921&lt;&gt;1),1,0))</f>
        <v/>
      </c>
      <c r="AE2921" s="0" t="str">
        <f aca="false">IF(Y2921=1,"",IF(AND(AA2921=1,AC2921&lt;&gt;1),1,0))</f>
        <v/>
      </c>
      <c r="AF2921" s="45" t="str">
        <f aca="false">IF(AND(E2921&gt;0,Y2921&lt;1,NOT(AND(C2922=C2921,Y2922=Y2921+1))),INDEX(DATAS,Y2921+1),"")</f>
        <v/>
      </c>
      <c r="AG2921" s="45" t="str">
        <f aca="false">IF(AND(AA2921=1,Y2921&lt;1),IF(AND(C2922=C2921,Y2922=Y2921+1),IF(AA2922=1,"",INDEX(DATAS,Y2921+1)),INDEX(DATAS,Y2921+1)),"")</f>
        <v/>
      </c>
    </row>
    <row r="2922" customFormat="false" ht="15" hidden="false" customHeight="false" outlineLevel="0" collapsed="false">
      <c r="A2922" s="45" t="n">
        <v>46309</v>
      </c>
      <c r="B2922" s="0" t="n">
        <v>13</v>
      </c>
      <c r="C2922" s="0" t="n">
        <v>7304</v>
      </c>
      <c r="E2922" s="0" t="n">
        <v>0</v>
      </c>
      <c r="F2922" s="39" t="s">
        <v>1395</v>
      </c>
      <c r="I2922" s="39" t="s">
        <v>136</v>
      </c>
      <c r="U2922" s="0" t="n">
        <v>279</v>
      </c>
      <c r="V2922" s="0" t="n">
        <v>0</v>
      </c>
      <c r="W2922" s="39" t="n">
        <f aca="false">IF(I2922="Male",0,1)</f>
        <v>1</v>
      </c>
      <c r="X2922" s="39" t="n">
        <f aca="false">IF(OR(I2922="DNB",I2922="Dry DNB"),1,0)</f>
        <v>0</v>
      </c>
      <c r="Y2922" s="39" t="n">
        <f aca="false">MATCH(A2922,DATAS,0)</f>
        <v>1</v>
      </c>
      <c r="Z2922" s="39" t="n">
        <f aca="false">IF(AND(E2922&gt;0,OR(AND(B2922&gt;=1,B2922&lt;=6),B2922=10)),1,0)</f>
        <v>0</v>
      </c>
      <c r="AA2922" s="39" t="n">
        <f aca="false">IF(AND(E2922&gt;0,B2922=10),1,0)</f>
        <v>0</v>
      </c>
      <c r="AB2922" s="0" t="str">
        <f aca="false">IF(AND(C2921=C2922,Y2921=Y2922-1),Z2921,"")</f>
        <v/>
      </c>
      <c r="AC2922" s="0" t="str">
        <f aca="false">IF(AND(C2921=C2922,Y2921=Y2922-1),AA2921,"")</f>
        <v/>
      </c>
      <c r="AD2922" s="0" t="str">
        <f aca="false">IF(Y2922=1,"",IF(AND(Z2922=1,AB2922&lt;&gt;1),1,0))</f>
        <v/>
      </c>
      <c r="AE2922" s="0" t="str">
        <f aca="false">IF(Y2922=1,"",IF(AND(AA2922=1,AC2922&lt;&gt;1),1,0))</f>
        <v/>
      </c>
      <c r="AF2922" s="45" t="str">
        <f aca="false">IF(AND(E2922&gt;0,Y2922&lt;1,NOT(AND(C2923=C2922,Y2923=Y2922+1))),INDEX(DATAS,Y2922+1),"")</f>
        <v/>
      </c>
      <c r="AG2922" s="45" t="str">
        <f aca="false">IF(AND(AA2922=1,Y2922&lt;1),IF(AND(C2923=C2922,Y2923=Y2922+1),IF(AA2923=1,"",INDEX(DATAS,Y2922+1)),INDEX(DATAS,Y2922+1)),"")</f>
        <v/>
      </c>
    </row>
    <row r="2923" customFormat="false" ht="15" hidden="false" customHeight="false" outlineLevel="0" collapsed="false">
      <c r="A2923" s="45" t="n">
        <v>46309</v>
      </c>
      <c r="B2923" s="0" t="n">
        <v>13</v>
      </c>
      <c r="C2923" s="0" t="n">
        <v>7305</v>
      </c>
      <c r="E2923" s="0" t="n">
        <v>0</v>
      </c>
      <c r="F2923" s="39" t="s">
        <v>1395</v>
      </c>
      <c r="I2923" s="39" t="s">
        <v>136</v>
      </c>
      <c r="U2923" s="0" t="n">
        <v>279</v>
      </c>
      <c r="V2923" s="0" t="n">
        <v>0</v>
      </c>
      <c r="W2923" s="39" t="n">
        <f aca="false">IF(I2923="Male",0,1)</f>
        <v>1</v>
      </c>
      <c r="X2923" s="39" t="n">
        <f aca="false">IF(OR(I2923="DNB",I2923="Dry DNB"),1,0)</f>
        <v>0</v>
      </c>
      <c r="Y2923" s="39" t="n">
        <f aca="false">MATCH(A2923,DATAS,0)</f>
        <v>1</v>
      </c>
      <c r="Z2923" s="39" t="n">
        <f aca="false">IF(AND(E2923&gt;0,OR(AND(B2923&gt;=1,B2923&lt;=6),B2923=10)),1,0)</f>
        <v>0</v>
      </c>
      <c r="AA2923" s="39" t="n">
        <f aca="false">IF(AND(E2923&gt;0,B2923=10),1,0)</f>
        <v>0</v>
      </c>
      <c r="AB2923" s="0" t="str">
        <f aca="false">IF(AND(C2922=C2923,Y2922=Y2923-1),Z2922,"")</f>
        <v/>
      </c>
      <c r="AC2923" s="0" t="str">
        <f aca="false">IF(AND(C2922=C2923,Y2922=Y2923-1),AA2922,"")</f>
        <v/>
      </c>
      <c r="AD2923" s="0" t="str">
        <f aca="false">IF(Y2923=1,"",IF(AND(Z2923=1,AB2923&lt;&gt;1),1,0))</f>
        <v/>
      </c>
      <c r="AE2923" s="0" t="str">
        <f aca="false">IF(Y2923=1,"",IF(AND(AA2923=1,AC2923&lt;&gt;1),1,0))</f>
        <v/>
      </c>
      <c r="AF2923" s="45" t="str">
        <f aca="false">IF(AND(E2923&gt;0,Y2923&lt;1,NOT(AND(C2924=C2923,Y2924=Y2923+1))),INDEX(DATAS,Y2923+1),"")</f>
        <v/>
      </c>
      <c r="AG2923" s="45" t="str">
        <f aca="false">IF(AND(AA2923=1,Y2923&lt;1),IF(AND(C2924=C2923,Y2924=Y2923+1),IF(AA2924=1,"",INDEX(DATAS,Y2923+1)),INDEX(DATAS,Y2923+1)),"")</f>
        <v/>
      </c>
    </row>
    <row r="2924" customFormat="false" ht="15" hidden="false" customHeight="false" outlineLevel="0" collapsed="false">
      <c r="A2924" s="45" t="n">
        <v>46309</v>
      </c>
      <c r="B2924" s="0" t="n">
        <v>13</v>
      </c>
      <c r="C2924" s="0" t="n">
        <v>7306</v>
      </c>
      <c r="E2924" s="0" t="n">
        <v>0</v>
      </c>
      <c r="F2924" s="39" t="s">
        <v>1395</v>
      </c>
      <c r="I2924" s="39" t="s">
        <v>136</v>
      </c>
      <c r="U2924" s="0" t="n">
        <v>279</v>
      </c>
      <c r="V2924" s="0" t="n">
        <v>0</v>
      </c>
      <c r="W2924" s="39" t="n">
        <f aca="false">IF(I2924="Male",0,1)</f>
        <v>1</v>
      </c>
      <c r="X2924" s="39" t="n">
        <f aca="false">IF(OR(I2924="DNB",I2924="Dry DNB"),1,0)</f>
        <v>0</v>
      </c>
      <c r="Y2924" s="39" t="n">
        <f aca="false">MATCH(A2924,DATAS,0)</f>
        <v>1</v>
      </c>
      <c r="Z2924" s="39" t="n">
        <f aca="false">IF(AND(E2924&gt;0,OR(AND(B2924&gt;=1,B2924&lt;=6),B2924=10)),1,0)</f>
        <v>0</v>
      </c>
      <c r="AA2924" s="39" t="n">
        <f aca="false">IF(AND(E2924&gt;0,B2924=10),1,0)</f>
        <v>0</v>
      </c>
      <c r="AB2924" s="0" t="str">
        <f aca="false">IF(AND(C2923=C2924,Y2923=Y2924-1),Z2923,"")</f>
        <v/>
      </c>
      <c r="AC2924" s="0" t="str">
        <f aca="false">IF(AND(C2923=C2924,Y2923=Y2924-1),AA2923,"")</f>
        <v/>
      </c>
      <c r="AD2924" s="0" t="str">
        <f aca="false">IF(Y2924=1,"",IF(AND(Z2924=1,AB2924&lt;&gt;1),1,0))</f>
        <v/>
      </c>
      <c r="AE2924" s="0" t="str">
        <f aca="false">IF(Y2924=1,"",IF(AND(AA2924=1,AC2924&lt;&gt;1),1,0))</f>
        <v/>
      </c>
      <c r="AF2924" s="45" t="str">
        <f aca="false">IF(AND(E2924&gt;0,Y2924&lt;1,NOT(AND(C2925=C2924,Y2925=Y2924+1))),INDEX(DATAS,Y2924+1),"")</f>
        <v/>
      </c>
      <c r="AG2924" s="45" t="str">
        <f aca="false">IF(AND(AA2924=1,Y2924&lt;1),IF(AND(C2925=C2924,Y2925=Y2924+1),IF(AA2925=1,"",INDEX(DATAS,Y2924+1)),INDEX(DATAS,Y2924+1)),"")</f>
        <v/>
      </c>
    </row>
    <row r="2925" customFormat="false" ht="15" hidden="false" customHeight="false" outlineLevel="0" collapsed="false">
      <c r="A2925" s="45" t="n">
        <v>46309</v>
      </c>
      <c r="B2925" s="0" t="n">
        <v>13</v>
      </c>
      <c r="C2925" s="0" t="n">
        <v>7307</v>
      </c>
      <c r="E2925" s="0" t="n">
        <v>0</v>
      </c>
      <c r="F2925" s="39" t="s">
        <v>1395</v>
      </c>
      <c r="I2925" s="39" t="s">
        <v>136</v>
      </c>
      <c r="U2925" s="0" t="n">
        <v>279</v>
      </c>
      <c r="V2925" s="0" t="n">
        <v>0</v>
      </c>
      <c r="W2925" s="39" t="n">
        <f aca="false">IF(I2925="Male",0,1)</f>
        <v>1</v>
      </c>
      <c r="X2925" s="39" t="n">
        <f aca="false">IF(OR(I2925="DNB",I2925="Dry DNB"),1,0)</f>
        <v>0</v>
      </c>
      <c r="Y2925" s="39" t="n">
        <f aca="false">MATCH(A2925,DATAS,0)</f>
        <v>1</v>
      </c>
      <c r="Z2925" s="39" t="n">
        <f aca="false">IF(AND(E2925&gt;0,OR(AND(B2925&gt;=1,B2925&lt;=6),B2925=10)),1,0)</f>
        <v>0</v>
      </c>
      <c r="AA2925" s="39" t="n">
        <f aca="false">IF(AND(E2925&gt;0,B2925=10),1,0)</f>
        <v>0</v>
      </c>
      <c r="AB2925" s="0" t="str">
        <f aca="false">IF(AND(C2924=C2925,Y2924=Y2925-1),Z2924,"")</f>
        <v/>
      </c>
      <c r="AC2925" s="0" t="str">
        <f aca="false">IF(AND(C2924=C2925,Y2924=Y2925-1),AA2924,"")</f>
        <v/>
      </c>
      <c r="AD2925" s="0" t="str">
        <f aca="false">IF(Y2925=1,"",IF(AND(Z2925=1,AB2925&lt;&gt;1),1,0))</f>
        <v/>
      </c>
      <c r="AE2925" s="0" t="str">
        <f aca="false">IF(Y2925=1,"",IF(AND(AA2925=1,AC2925&lt;&gt;1),1,0))</f>
        <v/>
      </c>
      <c r="AF2925" s="45" t="str">
        <f aca="false">IF(AND(E2925&gt;0,Y2925&lt;1,NOT(AND(C2926=C2925,Y2926=Y2925+1))),INDEX(DATAS,Y2925+1),"")</f>
        <v/>
      </c>
      <c r="AG2925" s="45" t="str">
        <f aca="false">IF(AND(AA2925=1,Y2925&lt;1),IF(AND(C2926=C2925,Y2926=Y2925+1),IF(AA2926=1,"",INDEX(DATAS,Y2925+1)),INDEX(DATAS,Y2925+1)),"")</f>
        <v/>
      </c>
    </row>
    <row r="2926" customFormat="false" ht="15" hidden="false" customHeight="false" outlineLevel="0" collapsed="false">
      <c r="A2926" s="45" t="n">
        <v>46309</v>
      </c>
      <c r="B2926" s="0" t="n">
        <v>13</v>
      </c>
      <c r="C2926" s="0" t="n">
        <v>7308</v>
      </c>
      <c r="E2926" s="0" t="n">
        <v>0</v>
      </c>
      <c r="F2926" s="39" t="s">
        <v>1395</v>
      </c>
      <c r="I2926" s="39" t="s">
        <v>136</v>
      </c>
      <c r="U2926" s="0" t="n">
        <v>279</v>
      </c>
      <c r="V2926" s="0" t="n">
        <v>0</v>
      </c>
      <c r="W2926" s="39" t="n">
        <f aca="false">IF(I2926="Male",0,1)</f>
        <v>1</v>
      </c>
      <c r="X2926" s="39" t="n">
        <f aca="false">IF(OR(I2926="DNB",I2926="Dry DNB"),1,0)</f>
        <v>0</v>
      </c>
      <c r="Y2926" s="39" t="n">
        <f aca="false">MATCH(A2926,DATAS,0)</f>
        <v>1</v>
      </c>
      <c r="Z2926" s="39" t="n">
        <f aca="false">IF(AND(E2926&gt;0,OR(AND(B2926&gt;=1,B2926&lt;=6),B2926=10)),1,0)</f>
        <v>0</v>
      </c>
      <c r="AA2926" s="39" t="n">
        <f aca="false">IF(AND(E2926&gt;0,B2926=10),1,0)</f>
        <v>0</v>
      </c>
      <c r="AB2926" s="0" t="str">
        <f aca="false">IF(AND(C2925=C2926,Y2925=Y2926-1),Z2925,"")</f>
        <v/>
      </c>
      <c r="AC2926" s="0" t="str">
        <f aca="false">IF(AND(C2925=C2926,Y2925=Y2926-1),AA2925,"")</f>
        <v/>
      </c>
      <c r="AD2926" s="0" t="str">
        <f aca="false">IF(Y2926=1,"",IF(AND(Z2926=1,AB2926&lt;&gt;1),1,0))</f>
        <v/>
      </c>
      <c r="AE2926" s="0" t="str">
        <f aca="false">IF(Y2926=1,"",IF(AND(AA2926=1,AC2926&lt;&gt;1),1,0))</f>
        <v/>
      </c>
      <c r="AF2926" s="45" t="str">
        <f aca="false">IF(AND(E2926&gt;0,Y2926&lt;1,NOT(AND(C2927=C2926,Y2927=Y2926+1))),INDEX(DATAS,Y2926+1),"")</f>
        <v/>
      </c>
      <c r="AG2926" s="45" t="str">
        <f aca="false">IF(AND(AA2926=1,Y2926&lt;1),IF(AND(C2927=C2926,Y2927=Y2926+1),IF(AA2927=1,"",INDEX(DATAS,Y2926+1)),INDEX(DATAS,Y2926+1)),"")</f>
        <v/>
      </c>
    </row>
    <row r="2927" customFormat="false" ht="15" hidden="false" customHeight="false" outlineLevel="0" collapsed="false">
      <c r="A2927" s="45" t="n">
        <v>46309</v>
      </c>
      <c r="B2927" s="0" t="n">
        <v>13</v>
      </c>
      <c r="C2927" s="0" t="n">
        <v>7309</v>
      </c>
      <c r="E2927" s="0" t="n">
        <v>0</v>
      </c>
      <c r="F2927" s="39" t="s">
        <v>1396</v>
      </c>
      <c r="I2927" s="39" t="s">
        <v>136</v>
      </c>
      <c r="U2927" s="0" t="n">
        <v>278</v>
      </c>
      <c r="V2927" s="0" t="n">
        <v>0</v>
      </c>
      <c r="W2927" s="39" t="n">
        <f aca="false">IF(I2927="Male",0,1)</f>
        <v>1</v>
      </c>
      <c r="X2927" s="39" t="n">
        <f aca="false">IF(OR(I2927="DNB",I2927="Dry DNB"),1,0)</f>
        <v>0</v>
      </c>
      <c r="Y2927" s="39" t="n">
        <f aca="false">MATCH(A2927,DATAS,0)</f>
        <v>1</v>
      </c>
      <c r="Z2927" s="39" t="n">
        <f aca="false">IF(AND(E2927&gt;0,OR(AND(B2927&gt;=1,B2927&lt;=6),B2927=10)),1,0)</f>
        <v>0</v>
      </c>
      <c r="AA2927" s="39" t="n">
        <f aca="false">IF(AND(E2927&gt;0,B2927=10),1,0)</f>
        <v>0</v>
      </c>
      <c r="AB2927" s="0" t="str">
        <f aca="false">IF(AND(C2926=C2927,Y2926=Y2927-1),Z2926,"")</f>
        <v/>
      </c>
      <c r="AC2927" s="0" t="str">
        <f aca="false">IF(AND(C2926=C2927,Y2926=Y2927-1),AA2926,"")</f>
        <v/>
      </c>
      <c r="AD2927" s="0" t="str">
        <f aca="false">IF(Y2927=1,"",IF(AND(Z2927=1,AB2927&lt;&gt;1),1,0))</f>
        <v/>
      </c>
      <c r="AE2927" s="0" t="str">
        <f aca="false">IF(Y2927=1,"",IF(AND(AA2927=1,AC2927&lt;&gt;1),1,0))</f>
        <v/>
      </c>
      <c r="AF2927" s="45" t="str">
        <f aca="false">IF(AND(E2927&gt;0,Y2927&lt;1,NOT(AND(C2928=C2927,Y2928=Y2927+1))),INDEX(DATAS,Y2927+1),"")</f>
        <v/>
      </c>
      <c r="AG2927" s="45" t="str">
        <f aca="false">IF(AND(AA2927=1,Y2927&lt;1),IF(AND(C2928=C2927,Y2928=Y2927+1),IF(AA2928=1,"",INDEX(DATAS,Y2927+1)),INDEX(DATAS,Y2927+1)),"")</f>
        <v/>
      </c>
    </row>
    <row r="2928" customFormat="false" ht="15" hidden="false" customHeight="false" outlineLevel="0" collapsed="false">
      <c r="A2928" s="45" t="n">
        <v>46309</v>
      </c>
      <c r="B2928" s="0" t="n">
        <v>13</v>
      </c>
      <c r="C2928" s="0" t="n">
        <v>7310</v>
      </c>
      <c r="E2928" s="0" t="n">
        <v>0</v>
      </c>
      <c r="F2928" s="39" t="s">
        <v>1396</v>
      </c>
      <c r="I2928" s="39" t="s">
        <v>136</v>
      </c>
      <c r="U2928" s="0" t="n">
        <v>278</v>
      </c>
      <c r="V2928" s="0" t="n">
        <v>0</v>
      </c>
      <c r="W2928" s="39" t="n">
        <f aca="false">IF(I2928="Male",0,1)</f>
        <v>1</v>
      </c>
      <c r="X2928" s="39" t="n">
        <f aca="false">IF(OR(I2928="DNB",I2928="Dry DNB"),1,0)</f>
        <v>0</v>
      </c>
      <c r="Y2928" s="39" t="n">
        <f aca="false">MATCH(A2928,DATAS,0)</f>
        <v>1</v>
      </c>
      <c r="Z2928" s="39" t="n">
        <f aca="false">IF(AND(E2928&gt;0,OR(AND(B2928&gt;=1,B2928&lt;=6),B2928=10)),1,0)</f>
        <v>0</v>
      </c>
      <c r="AA2928" s="39" t="n">
        <f aca="false">IF(AND(E2928&gt;0,B2928=10),1,0)</f>
        <v>0</v>
      </c>
      <c r="AB2928" s="0" t="str">
        <f aca="false">IF(AND(C2927=C2928,Y2927=Y2928-1),Z2927,"")</f>
        <v/>
      </c>
      <c r="AC2928" s="0" t="str">
        <f aca="false">IF(AND(C2927=C2928,Y2927=Y2928-1),AA2927,"")</f>
        <v/>
      </c>
      <c r="AD2928" s="0" t="str">
        <f aca="false">IF(Y2928=1,"",IF(AND(Z2928=1,AB2928&lt;&gt;1),1,0))</f>
        <v/>
      </c>
      <c r="AE2928" s="0" t="str">
        <f aca="false">IF(Y2928=1,"",IF(AND(AA2928=1,AC2928&lt;&gt;1),1,0))</f>
        <v/>
      </c>
      <c r="AF2928" s="45" t="str">
        <f aca="false">IF(AND(E2928&gt;0,Y2928&lt;1,NOT(AND(C2929=C2928,Y2929=Y2928+1))),INDEX(DATAS,Y2928+1),"")</f>
        <v/>
      </c>
      <c r="AG2928" s="45" t="str">
        <f aca="false">IF(AND(AA2928=1,Y2928&lt;1),IF(AND(C2929=C2928,Y2929=Y2928+1),IF(AA2929=1,"",INDEX(DATAS,Y2928+1)),INDEX(DATAS,Y2928+1)),"")</f>
        <v/>
      </c>
    </row>
    <row r="2929" customFormat="false" ht="15" hidden="false" customHeight="false" outlineLevel="0" collapsed="false">
      <c r="A2929" s="45" t="n">
        <v>46309</v>
      </c>
      <c r="B2929" s="0" t="n">
        <v>13</v>
      </c>
      <c r="C2929" s="0" t="n">
        <v>7311</v>
      </c>
      <c r="E2929" s="0" t="n">
        <v>0</v>
      </c>
      <c r="F2929" s="39" t="s">
        <v>1396</v>
      </c>
      <c r="I2929" s="39" t="s">
        <v>136</v>
      </c>
      <c r="U2929" s="0" t="n">
        <v>278</v>
      </c>
      <c r="V2929" s="0" t="n">
        <v>0</v>
      </c>
      <c r="W2929" s="39" t="n">
        <f aca="false">IF(I2929="Male",0,1)</f>
        <v>1</v>
      </c>
      <c r="X2929" s="39" t="n">
        <f aca="false">IF(OR(I2929="DNB",I2929="Dry DNB"),1,0)</f>
        <v>0</v>
      </c>
      <c r="Y2929" s="39" t="n">
        <f aca="false">MATCH(A2929,DATAS,0)</f>
        <v>1</v>
      </c>
      <c r="Z2929" s="39" t="n">
        <f aca="false">IF(AND(E2929&gt;0,OR(AND(B2929&gt;=1,B2929&lt;=6),B2929=10)),1,0)</f>
        <v>0</v>
      </c>
      <c r="AA2929" s="39" t="n">
        <f aca="false">IF(AND(E2929&gt;0,B2929=10),1,0)</f>
        <v>0</v>
      </c>
      <c r="AB2929" s="0" t="str">
        <f aca="false">IF(AND(C2928=C2929,Y2928=Y2929-1),Z2928,"")</f>
        <v/>
      </c>
      <c r="AC2929" s="0" t="str">
        <f aca="false">IF(AND(C2928=C2929,Y2928=Y2929-1),AA2928,"")</f>
        <v/>
      </c>
      <c r="AD2929" s="0" t="str">
        <f aca="false">IF(Y2929=1,"",IF(AND(Z2929=1,AB2929&lt;&gt;1),1,0))</f>
        <v/>
      </c>
      <c r="AE2929" s="0" t="str">
        <f aca="false">IF(Y2929=1,"",IF(AND(AA2929=1,AC2929&lt;&gt;1),1,0))</f>
        <v/>
      </c>
      <c r="AF2929" s="45" t="str">
        <f aca="false">IF(AND(E2929&gt;0,Y2929&lt;1,NOT(AND(C2930=C2929,Y2930=Y2929+1))),INDEX(DATAS,Y2929+1),"")</f>
        <v/>
      </c>
      <c r="AG2929" s="45" t="str">
        <f aca="false">IF(AND(AA2929=1,Y2929&lt;1),IF(AND(C2930=C2929,Y2930=Y2929+1),IF(AA2930=1,"",INDEX(DATAS,Y2929+1)),INDEX(DATAS,Y2929+1)),"")</f>
        <v/>
      </c>
    </row>
    <row r="2930" customFormat="false" ht="15" hidden="false" customHeight="false" outlineLevel="0" collapsed="false">
      <c r="A2930" s="45" t="n">
        <v>46309</v>
      </c>
      <c r="B2930" s="0" t="n">
        <v>13</v>
      </c>
      <c r="C2930" s="0" t="n">
        <v>7312</v>
      </c>
      <c r="E2930" s="0" t="n">
        <v>0</v>
      </c>
      <c r="F2930" s="39" t="s">
        <v>1396</v>
      </c>
      <c r="I2930" s="39" t="s">
        <v>136</v>
      </c>
      <c r="U2930" s="0" t="n">
        <v>278</v>
      </c>
      <c r="V2930" s="0" t="n">
        <v>0</v>
      </c>
      <c r="W2930" s="39" t="n">
        <f aca="false">IF(I2930="Male",0,1)</f>
        <v>1</v>
      </c>
      <c r="X2930" s="39" t="n">
        <f aca="false">IF(OR(I2930="DNB",I2930="Dry DNB"),1,0)</f>
        <v>0</v>
      </c>
      <c r="Y2930" s="39" t="n">
        <f aca="false">MATCH(A2930,DATAS,0)</f>
        <v>1</v>
      </c>
      <c r="Z2930" s="39" t="n">
        <f aca="false">IF(AND(E2930&gt;0,OR(AND(B2930&gt;=1,B2930&lt;=6),B2930=10)),1,0)</f>
        <v>0</v>
      </c>
      <c r="AA2930" s="39" t="n">
        <f aca="false">IF(AND(E2930&gt;0,B2930=10),1,0)</f>
        <v>0</v>
      </c>
      <c r="AB2930" s="0" t="str">
        <f aca="false">IF(AND(C2929=C2930,Y2929=Y2930-1),Z2929,"")</f>
        <v/>
      </c>
      <c r="AC2930" s="0" t="str">
        <f aca="false">IF(AND(C2929=C2930,Y2929=Y2930-1),AA2929,"")</f>
        <v/>
      </c>
      <c r="AD2930" s="0" t="str">
        <f aca="false">IF(Y2930=1,"",IF(AND(Z2930=1,AB2930&lt;&gt;1),1,0))</f>
        <v/>
      </c>
      <c r="AE2930" s="0" t="str">
        <f aca="false">IF(Y2930=1,"",IF(AND(AA2930=1,AC2930&lt;&gt;1),1,0))</f>
        <v/>
      </c>
      <c r="AF2930" s="45" t="str">
        <f aca="false">IF(AND(E2930&gt;0,Y2930&lt;1,NOT(AND(C2931=C2930,Y2931=Y2930+1))),INDEX(DATAS,Y2930+1),"")</f>
        <v/>
      </c>
      <c r="AG2930" s="45" t="str">
        <f aca="false">IF(AND(AA2930=1,Y2930&lt;1),IF(AND(C2931=C2930,Y2931=Y2930+1),IF(AA2931=1,"",INDEX(DATAS,Y2930+1)),INDEX(DATAS,Y2930+1)),"")</f>
        <v/>
      </c>
    </row>
    <row r="2931" customFormat="false" ht="15" hidden="false" customHeight="false" outlineLevel="0" collapsed="false">
      <c r="A2931" s="45" t="n">
        <v>46309</v>
      </c>
      <c r="B2931" s="0" t="n">
        <v>13</v>
      </c>
      <c r="C2931" s="0" t="n">
        <v>7313</v>
      </c>
      <c r="E2931" s="0" t="n">
        <v>0</v>
      </c>
      <c r="F2931" s="39" t="s">
        <v>1396</v>
      </c>
      <c r="I2931" s="39" t="s">
        <v>136</v>
      </c>
      <c r="U2931" s="0" t="n">
        <v>278</v>
      </c>
      <c r="V2931" s="0" t="n">
        <v>0</v>
      </c>
      <c r="W2931" s="39" t="n">
        <f aca="false">IF(I2931="Male",0,1)</f>
        <v>1</v>
      </c>
      <c r="X2931" s="39" t="n">
        <f aca="false">IF(OR(I2931="DNB",I2931="Dry DNB"),1,0)</f>
        <v>0</v>
      </c>
      <c r="Y2931" s="39" t="n">
        <f aca="false">MATCH(A2931,DATAS,0)</f>
        <v>1</v>
      </c>
      <c r="Z2931" s="39" t="n">
        <f aca="false">IF(AND(E2931&gt;0,OR(AND(B2931&gt;=1,B2931&lt;=6),B2931=10)),1,0)</f>
        <v>0</v>
      </c>
      <c r="AA2931" s="39" t="n">
        <f aca="false">IF(AND(E2931&gt;0,B2931=10),1,0)</f>
        <v>0</v>
      </c>
      <c r="AB2931" s="0" t="str">
        <f aca="false">IF(AND(C2930=C2931,Y2930=Y2931-1),Z2930,"")</f>
        <v/>
      </c>
      <c r="AC2931" s="0" t="str">
        <f aca="false">IF(AND(C2930=C2931,Y2930=Y2931-1),AA2930,"")</f>
        <v/>
      </c>
      <c r="AD2931" s="0" t="str">
        <f aca="false">IF(Y2931=1,"",IF(AND(Z2931=1,AB2931&lt;&gt;1),1,0))</f>
        <v/>
      </c>
      <c r="AE2931" s="0" t="str">
        <f aca="false">IF(Y2931=1,"",IF(AND(AA2931=1,AC2931&lt;&gt;1),1,0))</f>
        <v/>
      </c>
      <c r="AF2931" s="45" t="str">
        <f aca="false">IF(AND(E2931&gt;0,Y2931&lt;1,NOT(AND(C2932=C2931,Y2932=Y2931+1))),INDEX(DATAS,Y2931+1),"")</f>
        <v/>
      </c>
      <c r="AG2931" s="45" t="str">
        <f aca="false">IF(AND(AA2931=1,Y2931&lt;1),IF(AND(C2932=C2931,Y2932=Y2931+1),IF(AA2932=1,"",INDEX(DATAS,Y2931+1)),INDEX(DATAS,Y2931+1)),"")</f>
        <v/>
      </c>
    </row>
    <row r="2932" customFormat="false" ht="15" hidden="false" customHeight="false" outlineLevel="0" collapsed="false">
      <c r="A2932" s="45" t="n">
        <v>46309</v>
      </c>
      <c r="B2932" s="0" t="n">
        <v>13</v>
      </c>
      <c r="C2932" s="0" t="n">
        <v>7314</v>
      </c>
      <c r="E2932" s="0" t="n">
        <v>0</v>
      </c>
      <c r="F2932" s="39" t="s">
        <v>1396</v>
      </c>
      <c r="I2932" s="39" t="s">
        <v>136</v>
      </c>
      <c r="U2932" s="0" t="n">
        <v>278</v>
      </c>
      <c r="V2932" s="0" t="n">
        <v>0</v>
      </c>
      <c r="W2932" s="39" t="n">
        <f aca="false">IF(I2932="Male",0,1)</f>
        <v>1</v>
      </c>
      <c r="X2932" s="39" t="n">
        <f aca="false">IF(OR(I2932="DNB",I2932="Dry DNB"),1,0)</f>
        <v>0</v>
      </c>
      <c r="Y2932" s="39" t="n">
        <f aca="false">MATCH(A2932,DATAS,0)</f>
        <v>1</v>
      </c>
      <c r="Z2932" s="39" t="n">
        <f aca="false">IF(AND(E2932&gt;0,OR(AND(B2932&gt;=1,B2932&lt;=6),B2932=10)),1,0)</f>
        <v>0</v>
      </c>
      <c r="AA2932" s="39" t="n">
        <f aca="false">IF(AND(E2932&gt;0,B2932=10),1,0)</f>
        <v>0</v>
      </c>
      <c r="AB2932" s="0" t="str">
        <f aca="false">IF(AND(C2931=C2932,Y2931=Y2932-1),Z2931,"")</f>
        <v/>
      </c>
      <c r="AC2932" s="0" t="str">
        <f aca="false">IF(AND(C2931=C2932,Y2931=Y2932-1),AA2931,"")</f>
        <v/>
      </c>
      <c r="AD2932" s="0" t="str">
        <f aca="false">IF(Y2932=1,"",IF(AND(Z2932=1,AB2932&lt;&gt;1),1,0))</f>
        <v/>
      </c>
      <c r="AE2932" s="0" t="str">
        <f aca="false">IF(Y2932=1,"",IF(AND(AA2932=1,AC2932&lt;&gt;1),1,0))</f>
        <v/>
      </c>
      <c r="AF2932" s="45" t="str">
        <f aca="false">IF(AND(E2932&gt;0,Y2932&lt;1,NOT(AND(C2933=C2932,Y2933=Y2932+1))),INDEX(DATAS,Y2932+1),"")</f>
        <v/>
      </c>
      <c r="AG2932" s="45" t="str">
        <f aca="false">IF(AND(AA2932=1,Y2932&lt;1),IF(AND(C2933=C2932,Y2933=Y2932+1),IF(AA2933=1,"",INDEX(DATAS,Y2932+1)),INDEX(DATAS,Y2932+1)),"")</f>
        <v/>
      </c>
    </row>
    <row r="2933" customFormat="false" ht="15" hidden="false" customHeight="false" outlineLevel="0" collapsed="false">
      <c r="A2933" s="45" t="n">
        <v>46309</v>
      </c>
      <c r="B2933" s="0" t="n">
        <v>13</v>
      </c>
      <c r="C2933" s="0" t="n">
        <v>7315</v>
      </c>
      <c r="E2933" s="0" t="n">
        <v>0</v>
      </c>
      <c r="F2933" s="39" t="s">
        <v>1397</v>
      </c>
      <c r="I2933" s="39" t="s">
        <v>136</v>
      </c>
      <c r="U2933" s="0" t="n">
        <v>277</v>
      </c>
      <c r="V2933" s="0" t="n">
        <v>0</v>
      </c>
      <c r="W2933" s="39" t="n">
        <f aca="false">IF(I2933="Male",0,1)</f>
        <v>1</v>
      </c>
      <c r="X2933" s="39" t="n">
        <f aca="false">IF(OR(I2933="DNB",I2933="Dry DNB"),1,0)</f>
        <v>0</v>
      </c>
      <c r="Y2933" s="39" t="n">
        <f aca="false">MATCH(A2933,DATAS,0)</f>
        <v>1</v>
      </c>
      <c r="Z2933" s="39" t="n">
        <f aca="false">IF(AND(E2933&gt;0,OR(AND(B2933&gt;=1,B2933&lt;=6),B2933=10)),1,0)</f>
        <v>0</v>
      </c>
      <c r="AA2933" s="39" t="n">
        <f aca="false">IF(AND(E2933&gt;0,B2933=10),1,0)</f>
        <v>0</v>
      </c>
      <c r="AB2933" s="0" t="str">
        <f aca="false">IF(AND(C2932=C2933,Y2932=Y2933-1),Z2932,"")</f>
        <v/>
      </c>
      <c r="AC2933" s="0" t="str">
        <f aca="false">IF(AND(C2932=C2933,Y2932=Y2933-1),AA2932,"")</f>
        <v/>
      </c>
      <c r="AD2933" s="0" t="str">
        <f aca="false">IF(Y2933=1,"",IF(AND(Z2933=1,AB2933&lt;&gt;1),1,0))</f>
        <v/>
      </c>
      <c r="AE2933" s="0" t="str">
        <f aca="false">IF(Y2933=1,"",IF(AND(AA2933=1,AC2933&lt;&gt;1),1,0))</f>
        <v/>
      </c>
      <c r="AF2933" s="45" t="str">
        <f aca="false">IF(AND(E2933&gt;0,Y2933&lt;1,NOT(AND(C2934=C2933,Y2934=Y2933+1))),INDEX(DATAS,Y2933+1),"")</f>
        <v/>
      </c>
      <c r="AG2933" s="45" t="str">
        <f aca="false">IF(AND(AA2933=1,Y2933&lt;1),IF(AND(C2934=C2933,Y2934=Y2933+1),IF(AA2934=1,"",INDEX(DATAS,Y2933+1)),INDEX(DATAS,Y2933+1)),"")</f>
        <v/>
      </c>
    </row>
    <row r="2934" customFormat="false" ht="15" hidden="false" customHeight="false" outlineLevel="0" collapsed="false">
      <c r="A2934" s="45" t="n">
        <v>46309</v>
      </c>
      <c r="B2934" s="0" t="n">
        <v>13</v>
      </c>
      <c r="C2934" s="0" t="n">
        <v>7316</v>
      </c>
      <c r="E2934" s="0" t="n">
        <v>0</v>
      </c>
      <c r="F2934" s="39" t="s">
        <v>1397</v>
      </c>
      <c r="I2934" s="39" t="s">
        <v>136</v>
      </c>
      <c r="U2934" s="0" t="n">
        <v>277</v>
      </c>
      <c r="V2934" s="0" t="n">
        <v>0</v>
      </c>
      <c r="W2934" s="39" t="n">
        <f aca="false">IF(I2934="Male",0,1)</f>
        <v>1</v>
      </c>
      <c r="X2934" s="39" t="n">
        <f aca="false">IF(OR(I2934="DNB",I2934="Dry DNB"),1,0)</f>
        <v>0</v>
      </c>
      <c r="Y2934" s="39" t="n">
        <f aca="false">MATCH(A2934,DATAS,0)</f>
        <v>1</v>
      </c>
      <c r="Z2934" s="39" t="n">
        <f aca="false">IF(AND(E2934&gt;0,OR(AND(B2934&gt;=1,B2934&lt;=6),B2934=10)),1,0)</f>
        <v>0</v>
      </c>
      <c r="AA2934" s="39" t="n">
        <f aca="false">IF(AND(E2934&gt;0,B2934=10),1,0)</f>
        <v>0</v>
      </c>
      <c r="AB2934" s="0" t="str">
        <f aca="false">IF(AND(C2933=C2934,Y2933=Y2934-1),Z2933,"")</f>
        <v/>
      </c>
      <c r="AC2934" s="0" t="str">
        <f aca="false">IF(AND(C2933=C2934,Y2933=Y2934-1),AA2933,"")</f>
        <v/>
      </c>
      <c r="AD2934" s="0" t="str">
        <f aca="false">IF(Y2934=1,"",IF(AND(Z2934=1,AB2934&lt;&gt;1),1,0))</f>
        <v/>
      </c>
      <c r="AE2934" s="0" t="str">
        <f aca="false">IF(Y2934=1,"",IF(AND(AA2934=1,AC2934&lt;&gt;1),1,0))</f>
        <v/>
      </c>
      <c r="AF2934" s="45" t="str">
        <f aca="false">IF(AND(E2934&gt;0,Y2934&lt;1,NOT(AND(C2935=C2934,Y2935=Y2934+1))),INDEX(DATAS,Y2934+1),"")</f>
        <v/>
      </c>
      <c r="AG2934" s="45" t="str">
        <f aca="false">IF(AND(AA2934=1,Y2934&lt;1),IF(AND(C2935=C2934,Y2935=Y2934+1),IF(AA2935=1,"",INDEX(DATAS,Y2934+1)),INDEX(DATAS,Y2934+1)),"")</f>
        <v/>
      </c>
    </row>
    <row r="2935" customFormat="false" ht="15" hidden="false" customHeight="false" outlineLevel="0" collapsed="false">
      <c r="A2935" s="45" t="n">
        <v>46309</v>
      </c>
      <c r="B2935" s="0" t="n">
        <v>13</v>
      </c>
      <c r="C2935" s="0" t="n">
        <v>7317</v>
      </c>
      <c r="E2935" s="0" t="n">
        <v>0</v>
      </c>
      <c r="F2935" s="39" t="s">
        <v>1397</v>
      </c>
      <c r="I2935" s="39" t="s">
        <v>136</v>
      </c>
      <c r="U2935" s="0" t="n">
        <v>277</v>
      </c>
      <c r="V2935" s="0" t="n">
        <v>0</v>
      </c>
      <c r="W2935" s="39" t="n">
        <f aca="false">IF(I2935="Male",0,1)</f>
        <v>1</v>
      </c>
      <c r="X2935" s="39" t="n">
        <f aca="false">IF(OR(I2935="DNB",I2935="Dry DNB"),1,0)</f>
        <v>0</v>
      </c>
      <c r="Y2935" s="39" t="n">
        <f aca="false">MATCH(A2935,DATAS,0)</f>
        <v>1</v>
      </c>
      <c r="Z2935" s="39" t="n">
        <f aca="false">IF(AND(E2935&gt;0,OR(AND(B2935&gt;=1,B2935&lt;=6),B2935=10)),1,0)</f>
        <v>0</v>
      </c>
      <c r="AA2935" s="39" t="n">
        <f aca="false">IF(AND(E2935&gt;0,B2935=10),1,0)</f>
        <v>0</v>
      </c>
      <c r="AB2935" s="0" t="str">
        <f aca="false">IF(AND(C2934=C2935,Y2934=Y2935-1),Z2934,"")</f>
        <v/>
      </c>
      <c r="AC2935" s="0" t="str">
        <f aca="false">IF(AND(C2934=C2935,Y2934=Y2935-1),AA2934,"")</f>
        <v/>
      </c>
      <c r="AD2935" s="0" t="str">
        <f aca="false">IF(Y2935=1,"",IF(AND(Z2935=1,AB2935&lt;&gt;1),1,0))</f>
        <v/>
      </c>
      <c r="AE2935" s="0" t="str">
        <f aca="false">IF(Y2935=1,"",IF(AND(AA2935=1,AC2935&lt;&gt;1),1,0))</f>
        <v/>
      </c>
      <c r="AF2935" s="45" t="str">
        <f aca="false">IF(AND(E2935&gt;0,Y2935&lt;1,NOT(AND(C2936=C2935,Y2936=Y2935+1))),INDEX(DATAS,Y2935+1),"")</f>
        <v/>
      </c>
      <c r="AG2935" s="45" t="str">
        <f aca="false">IF(AND(AA2935=1,Y2935&lt;1),IF(AND(C2936=C2935,Y2936=Y2935+1),IF(AA2936=1,"",INDEX(DATAS,Y2935+1)),INDEX(DATAS,Y2935+1)),"")</f>
        <v/>
      </c>
    </row>
    <row r="2936" customFormat="false" ht="15" hidden="false" customHeight="false" outlineLevel="0" collapsed="false">
      <c r="A2936" s="45" t="n">
        <v>46309</v>
      </c>
      <c r="B2936" s="0" t="n">
        <v>13</v>
      </c>
      <c r="C2936" s="0" t="n">
        <v>7318</v>
      </c>
      <c r="E2936" s="0" t="n">
        <v>0</v>
      </c>
      <c r="F2936" s="39" t="s">
        <v>1398</v>
      </c>
      <c r="I2936" s="39" t="s">
        <v>136</v>
      </c>
      <c r="U2936" s="0" t="n">
        <v>276</v>
      </c>
      <c r="V2936" s="0" t="n">
        <v>0</v>
      </c>
      <c r="W2936" s="39" t="n">
        <f aca="false">IF(I2936="Male",0,1)</f>
        <v>1</v>
      </c>
      <c r="X2936" s="39" t="n">
        <f aca="false">IF(OR(I2936="DNB",I2936="Dry DNB"),1,0)</f>
        <v>0</v>
      </c>
      <c r="Y2936" s="39" t="n">
        <f aca="false">MATCH(A2936,DATAS,0)</f>
        <v>1</v>
      </c>
      <c r="Z2936" s="39" t="n">
        <f aca="false">IF(AND(E2936&gt;0,OR(AND(B2936&gt;=1,B2936&lt;=6),B2936=10)),1,0)</f>
        <v>0</v>
      </c>
      <c r="AA2936" s="39" t="n">
        <f aca="false">IF(AND(E2936&gt;0,B2936=10),1,0)</f>
        <v>0</v>
      </c>
      <c r="AB2936" s="0" t="str">
        <f aca="false">IF(AND(C2935=C2936,Y2935=Y2936-1),Z2935,"")</f>
        <v/>
      </c>
      <c r="AC2936" s="0" t="str">
        <f aca="false">IF(AND(C2935=C2936,Y2935=Y2936-1),AA2935,"")</f>
        <v/>
      </c>
      <c r="AD2936" s="0" t="str">
        <f aca="false">IF(Y2936=1,"",IF(AND(Z2936=1,AB2936&lt;&gt;1),1,0))</f>
        <v/>
      </c>
      <c r="AE2936" s="0" t="str">
        <f aca="false">IF(Y2936=1,"",IF(AND(AA2936=1,AC2936&lt;&gt;1),1,0))</f>
        <v/>
      </c>
      <c r="AF2936" s="45" t="str">
        <f aca="false">IF(AND(E2936&gt;0,Y2936&lt;1,NOT(AND(C2937=C2936,Y2937=Y2936+1))),INDEX(DATAS,Y2936+1),"")</f>
        <v/>
      </c>
      <c r="AG2936" s="45" t="str">
        <f aca="false">IF(AND(AA2936=1,Y2936&lt;1),IF(AND(C2937=C2936,Y2937=Y2936+1),IF(AA2937=1,"",INDEX(DATAS,Y2936+1)),INDEX(DATAS,Y2936+1)),"")</f>
        <v/>
      </c>
    </row>
    <row r="2937" customFormat="false" ht="15" hidden="false" customHeight="false" outlineLevel="0" collapsed="false">
      <c r="A2937" s="45" t="n">
        <v>46309</v>
      </c>
      <c r="B2937" s="0" t="n">
        <v>13</v>
      </c>
      <c r="C2937" s="0" t="n">
        <v>7319</v>
      </c>
      <c r="E2937" s="0" t="n">
        <v>0</v>
      </c>
      <c r="F2937" s="39" t="s">
        <v>1398</v>
      </c>
      <c r="I2937" s="39" t="s">
        <v>136</v>
      </c>
      <c r="U2937" s="0" t="n">
        <v>276</v>
      </c>
      <c r="V2937" s="0" t="n">
        <v>0</v>
      </c>
      <c r="W2937" s="39" t="n">
        <f aca="false">IF(I2937="Male",0,1)</f>
        <v>1</v>
      </c>
      <c r="X2937" s="39" t="n">
        <f aca="false">IF(OR(I2937="DNB",I2937="Dry DNB"),1,0)</f>
        <v>0</v>
      </c>
      <c r="Y2937" s="39" t="n">
        <f aca="false">MATCH(A2937,DATAS,0)</f>
        <v>1</v>
      </c>
      <c r="Z2937" s="39" t="n">
        <f aca="false">IF(AND(E2937&gt;0,OR(AND(B2937&gt;=1,B2937&lt;=6),B2937=10)),1,0)</f>
        <v>0</v>
      </c>
      <c r="AA2937" s="39" t="n">
        <f aca="false">IF(AND(E2937&gt;0,B2937=10),1,0)</f>
        <v>0</v>
      </c>
      <c r="AB2937" s="0" t="str">
        <f aca="false">IF(AND(C2936=C2937,Y2936=Y2937-1),Z2936,"")</f>
        <v/>
      </c>
      <c r="AC2937" s="0" t="str">
        <f aca="false">IF(AND(C2936=C2937,Y2936=Y2937-1),AA2936,"")</f>
        <v/>
      </c>
      <c r="AD2937" s="0" t="str">
        <f aca="false">IF(Y2937=1,"",IF(AND(Z2937=1,AB2937&lt;&gt;1),1,0))</f>
        <v/>
      </c>
      <c r="AE2937" s="0" t="str">
        <f aca="false">IF(Y2937=1,"",IF(AND(AA2937=1,AC2937&lt;&gt;1),1,0))</f>
        <v/>
      </c>
      <c r="AF2937" s="45" t="str">
        <f aca="false">IF(AND(E2937&gt;0,Y2937&lt;1,NOT(AND(C2938=C2937,Y2938=Y2937+1))),INDEX(DATAS,Y2937+1),"")</f>
        <v/>
      </c>
      <c r="AG2937" s="45" t="str">
        <f aca="false">IF(AND(AA2937=1,Y2937&lt;1),IF(AND(C2938=C2937,Y2938=Y2937+1),IF(AA2938=1,"",INDEX(DATAS,Y2937+1)),INDEX(DATAS,Y2937+1)),"")</f>
        <v/>
      </c>
    </row>
    <row r="2938" customFormat="false" ht="15" hidden="false" customHeight="false" outlineLevel="0" collapsed="false">
      <c r="A2938" s="45" t="n">
        <v>46309</v>
      </c>
      <c r="B2938" s="0" t="n">
        <v>13</v>
      </c>
      <c r="C2938" s="0" t="n">
        <v>7320</v>
      </c>
      <c r="E2938" s="0" t="n">
        <v>0</v>
      </c>
      <c r="F2938" s="39" t="s">
        <v>1398</v>
      </c>
      <c r="I2938" s="39" t="s">
        <v>136</v>
      </c>
      <c r="U2938" s="0" t="n">
        <v>276</v>
      </c>
      <c r="V2938" s="0" t="n">
        <v>0</v>
      </c>
      <c r="W2938" s="39" t="n">
        <f aca="false">IF(I2938="Male",0,1)</f>
        <v>1</v>
      </c>
      <c r="X2938" s="39" t="n">
        <f aca="false">IF(OR(I2938="DNB",I2938="Dry DNB"),1,0)</f>
        <v>0</v>
      </c>
      <c r="Y2938" s="39" t="n">
        <f aca="false">MATCH(A2938,DATAS,0)</f>
        <v>1</v>
      </c>
      <c r="Z2938" s="39" t="n">
        <f aca="false">IF(AND(E2938&gt;0,OR(AND(B2938&gt;=1,B2938&lt;=6),B2938=10)),1,0)</f>
        <v>0</v>
      </c>
      <c r="AA2938" s="39" t="n">
        <f aca="false">IF(AND(E2938&gt;0,B2938=10),1,0)</f>
        <v>0</v>
      </c>
      <c r="AB2938" s="0" t="str">
        <f aca="false">IF(AND(C2937=C2938,Y2937=Y2938-1),Z2937,"")</f>
        <v/>
      </c>
      <c r="AC2938" s="0" t="str">
        <f aca="false">IF(AND(C2937=C2938,Y2937=Y2938-1),AA2937,"")</f>
        <v/>
      </c>
      <c r="AD2938" s="0" t="str">
        <f aca="false">IF(Y2938=1,"",IF(AND(Z2938=1,AB2938&lt;&gt;1),1,0))</f>
        <v/>
      </c>
      <c r="AE2938" s="0" t="str">
        <f aca="false">IF(Y2938=1,"",IF(AND(AA2938=1,AC2938&lt;&gt;1),1,0))</f>
        <v/>
      </c>
      <c r="AF2938" s="45" t="str">
        <f aca="false">IF(AND(E2938&gt;0,Y2938&lt;1,NOT(AND(C2939=C2938,Y2939=Y2938+1))),INDEX(DATAS,Y2938+1),"")</f>
        <v/>
      </c>
      <c r="AG2938" s="45" t="str">
        <f aca="false">IF(AND(AA2938=1,Y2938&lt;1),IF(AND(C2939=C2938,Y2939=Y2938+1),IF(AA2939=1,"",INDEX(DATAS,Y2938+1)),INDEX(DATAS,Y2938+1)),"")</f>
        <v/>
      </c>
    </row>
    <row r="2939" customFormat="false" ht="15" hidden="false" customHeight="false" outlineLevel="0" collapsed="false">
      <c r="A2939" s="45" t="n">
        <v>46309</v>
      </c>
      <c r="B2939" s="0" t="n">
        <v>13</v>
      </c>
      <c r="C2939" s="0" t="n">
        <v>7321</v>
      </c>
      <c r="E2939" s="0" t="n">
        <v>0</v>
      </c>
      <c r="F2939" s="39" t="s">
        <v>1399</v>
      </c>
      <c r="I2939" s="39" t="s">
        <v>136</v>
      </c>
      <c r="U2939" s="0" t="n">
        <v>275</v>
      </c>
      <c r="V2939" s="0" t="n">
        <v>0</v>
      </c>
      <c r="W2939" s="39" t="n">
        <f aca="false">IF(I2939="Male",0,1)</f>
        <v>1</v>
      </c>
      <c r="X2939" s="39" t="n">
        <f aca="false">IF(OR(I2939="DNB",I2939="Dry DNB"),1,0)</f>
        <v>0</v>
      </c>
      <c r="Y2939" s="39" t="n">
        <f aca="false">MATCH(A2939,DATAS,0)</f>
        <v>1</v>
      </c>
      <c r="Z2939" s="39" t="n">
        <f aca="false">IF(AND(E2939&gt;0,OR(AND(B2939&gt;=1,B2939&lt;=6),B2939=10)),1,0)</f>
        <v>0</v>
      </c>
      <c r="AA2939" s="39" t="n">
        <f aca="false">IF(AND(E2939&gt;0,B2939=10),1,0)</f>
        <v>0</v>
      </c>
      <c r="AB2939" s="0" t="str">
        <f aca="false">IF(AND(C2938=C2939,Y2938=Y2939-1),Z2938,"")</f>
        <v/>
      </c>
      <c r="AC2939" s="0" t="str">
        <f aca="false">IF(AND(C2938=C2939,Y2938=Y2939-1),AA2938,"")</f>
        <v/>
      </c>
      <c r="AD2939" s="0" t="str">
        <f aca="false">IF(Y2939=1,"",IF(AND(Z2939=1,AB2939&lt;&gt;1),1,0))</f>
        <v/>
      </c>
      <c r="AE2939" s="0" t="str">
        <f aca="false">IF(Y2939=1,"",IF(AND(AA2939=1,AC2939&lt;&gt;1),1,0))</f>
        <v/>
      </c>
      <c r="AF2939" s="45" t="str">
        <f aca="false">IF(AND(E2939&gt;0,Y2939&lt;1,NOT(AND(C2940=C2939,Y2940=Y2939+1))),INDEX(DATAS,Y2939+1),"")</f>
        <v/>
      </c>
      <c r="AG2939" s="45" t="str">
        <f aca="false">IF(AND(AA2939=1,Y2939&lt;1),IF(AND(C2940=C2939,Y2940=Y2939+1),IF(AA2940=1,"",INDEX(DATAS,Y2939+1)),INDEX(DATAS,Y2939+1)),"")</f>
        <v/>
      </c>
    </row>
    <row r="2940" customFormat="false" ht="15" hidden="false" customHeight="false" outlineLevel="0" collapsed="false">
      <c r="A2940" s="45" t="n">
        <v>46309</v>
      </c>
      <c r="B2940" s="0" t="n">
        <v>13</v>
      </c>
      <c r="C2940" s="0" t="n">
        <v>7322</v>
      </c>
      <c r="E2940" s="0" t="n">
        <v>0</v>
      </c>
      <c r="F2940" s="39" t="s">
        <v>1399</v>
      </c>
      <c r="I2940" s="39" t="s">
        <v>136</v>
      </c>
      <c r="U2940" s="0" t="n">
        <v>275</v>
      </c>
      <c r="V2940" s="0" t="n">
        <v>0</v>
      </c>
      <c r="W2940" s="39" t="n">
        <f aca="false">IF(I2940="Male",0,1)</f>
        <v>1</v>
      </c>
      <c r="X2940" s="39" t="n">
        <f aca="false">IF(OR(I2940="DNB",I2940="Dry DNB"),1,0)</f>
        <v>0</v>
      </c>
      <c r="Y2940" s="39" t="n">
        <f aca="false">MATCH(A2940,DATAS,0)</f>
        <v>1</v>
      </c>
      <c r="Z2940" s="39" t="n">
        <f aca="false">IF(AND(E2940&gt;0,OR(AND(B2940&gt;=1,B2940&lt;=6),B2940=10)),1,0)</f>
        <v>0</v>
      </c>
      <c r="AA2940" s="39" t="n">
        <f aca="false">IF(AND(E2940&gt;0,B2940=10),1,0)</f>
        <v>0</v>
      </c>
      <c r="AB2940" s="0" t="str">
        <f aca="false">IF(AND(C2939=C2940,Y2939=Y2940-1),Z2939,"")</f>
        <v/>
      </c>
      <c r="AC2940" s="0" t="str">
        <f aca="false">IF(AND(C2939=C2940,Y2939=Y2940-1),AA2939,"")</f>
        <v/>
      </c>
      <c r="AD2940" s="0" t="str">
        <f aca="false">IF(Y2940=1,"",IF(AND(Z2940=1,AB2940&lt;&gt;1),1,0))</f>
        <v/>
      </c>
      <c r="AE2940" s="0" t="str">
        <f aca="false">IF(Y2940=1,"",IF(AND(AA2940=1,AC2940&lt;&gt;1),1,0))</f>
        <v/>
      </c>
      <c r="AF2940" s="45" t="str">
        <f aca="false">IF(AND(E2940&gt;0,Y2940&lt;1,NOT(AND(C2941=C2940,Y2941=Y2940+1))),INDEX(DATAS,Y2940+1),"")</f>
        <v/>
      </c>
      <c r="AG2940" s="45" t="str">
        <f aca="false">IF(AND(AA2940=1,Y2940&lt;1),IF(AND(C2941=C2940,Y2941=Y2940+1),IF(AA2941=1,"",INDEX(DATAS,Y2940+1)),INDEX(DATAS,Y2940+1)),"")</f>
        <v/>
      </c>
    </row>
    <row r="2941" customFormat="false" ht="15" hidden="false" customHeight="false" outlineLevel="0" collapsed="false">
      <c r="A2941" s="45" t="n">
        <v>46309</v>
      </c>
      <c r="B2941" s="0" t="n">
        <v>13</v>
      </c>
      <c r="C2941" s="0" t="n">
        <v>7323</v>
      </c>
      <c r="E2941" s="0" t="n">
        <v>0</v>
      </c>
      <c r="F2941" s="39" t="s">
        <v>1400</v>
      </c>
      <c r="I2941" s="39" t="s">
        <v>136</v>
      </c>
      <c r="U2941" s="0" t="n">
        <v>274</v>
      </c>
      <c r="V2941" s="0" t="n">
        <v>0</v>
      </c>
      <c r="W2941" s="39" t="n">
        <f aca="false">IF(I2941="Male",0,1)</f>
        <v>1</v>
      </c>
      <c r="X2941" s="39" t="n">
        <f aca="false">IF(OR(I2941="DNB",I2941="Dry DNB"),1,0)</f>
        <v>0</v>
      </c>
      <c r="Y2941" s="39" t="n">
        <f aca="false">MATCH(A2941,DATAS,0)</f>
        <v>1</v>
      </c>
      <c r="Z2941" s="39" t="n">
        <f aca="false">IF(AND(E2941&gt;0,OR(AND(B2941&gt;=1,B2941&lt;=6),B2941=10)),1,0)</f>
        <v>0</v>
      </c>
      <c r="AA2941" s="39" t="n">
        <f aca="false">IF(AND(E2941&gt;0,B2941=10),1,0)</f>
        <v>0</v>
      </c>
      <c r="AB2941" s="0" t="str">
        <f aca="false">IF(AND(C2940=C2941,Y2940=Y2941-1),Z2940,"")</f>
        <v/>
      </c>
      <c r="AC2941" s="0" t="str">
        <f aca="false">IF(AND(C2940=C2941,Y2940=Y2941-1),AA2940,"")</f>
        <v/>
      </c>
      <c r="AD2941" s="0" t="str">
        <f aca="false">IF(Y2941=1,"",IF(AND(Z2941=1,AB2941&lt;&gt;1),1,0))</f>
        <v/>
      </c>
      <c r="AE2941" s="0" t="str">
        <f aca="false">IF(Y2941=1,"",IF(AND(AA2941=1,AC2941&lt;&gt;1),1,0))</f>
        <v/>
      </c>
      <c r="AF2941" s="45" t="str">
        <f aca="false">IF(AND(E2941&gt;0,Y2941&lt;1,NOT(AND(C2942=C2941,Y2942=Y2941+1))),INDEX(DATAS,Y2941+1),"")</f>
        <v/>
      </c>
      <c r="AG2941" s="45" t="str">
        <f aca="false">IF(AND(AA2941=1,Y2941&lt;1),IF(AND(C2942=C2941,Y2942=Y2941+1),IF(AA2942=1,"",INDEX(DATAS,Y2941+1)),INDEX(DATAS,Y2941+1)),"")</f>
        <v/>
      </c>
    </row>
    <row r="2942" customFormat="false" ht="15" hidden="false" customHeight="false" outlineLevel="0" collapsed="false">
      <c r="A2942" s="45" t="n">
        <v>46309</v>
      </c>
      <c r="B2942" s="0" t="n">
        <v>13</v>
      </c>
      <c r="C2942" s="0" t="n">
        <v>7324</v>
      </c>
      <c r="E2942" s="0" t="n">
        <v>0</v>
      </c>
      <c r="F2942" s="39" t="s">
        <v>1400</v>
      </c>
      <c r="I2942" s="39" t="s">
        <v>136</v>
      </c>
      <c r="U2942" s="0" t="n">
        <v>274</v>
      </c>
      <c r="V2942" s="0" t="n">
        <v>0</v>
      </c>
      <c r="W2942" s="39" t="n">
        <f aca="false">IF(I2942="Male",0,1)</f>
        <v>1</v>
      </c>
      <c r="X2942" s="39" t="n">
        <f aca="false">IF(OR(I2942="DNB",I2942="Dry DNB"),1,0)</f>
        <v>0</v>
      </c>
      <c r="Y2942" s="39" t="n">
        <f aca="false">MATCH(A2942,DATAS,0)</f>
        <v>1</v>
      </c>
      <c r="Z2942" s="39" t="n">
        <f aca="false">IF(AND(E2942&gt;0,OR(AND(B2942&gt;=1,B2942&lt;=6),B2942=10)),1,0)</f>
        <v>0</v>
      </c>
      <c r="AA2942" s="39" t="n">
        <f aca="false">IF(AND(E2942&gt;0,B2942=10),1,0)</f>
        <v>0</v>
      </c>
      <c r="AB2942" s="0" t="str">
        <f aca="false">IF(AND(C2941=C2942,Y2941=Y2942-1),Z2941,"")</f>
        <v/>
      </c>
      <c r="AC2942" s="0" t="str">
        <f aca="false">IF(AND(C2941=C2942,Y2941=Y2942-1),AA2941,"")</f>
        <v/>
      </c>
      <c r="AD2942" s="0" t="str">
        <f aca="false">IF(Y2942=1,"",IF(AND(Z2942=1,AB2942&lt;&gt;1),1,0))</f>
        <v/>
      </c>
      <c r="AE2942" s="0" t="str">
        <f aca="false">IF(Y2942=1,"",IF(AND(AA2942=1,AC2942&lt;&gt;1),1,0))</f>
        <v/>
      </c>
      <c r="AF2942" s="45" t="str">
        <f aca="false">IF(AND(E2942&gt;0,Y2942&lt;1,NOT(AND(C2943=C2942,Y2943=Y2942+1))),INDEX(DATAS,Y2942+1),"")</f>
        <v/>
      </c>
      <c r="AG2942" s="45" t="str">
        <f aca="false">IF(AND(AA2942=1,Y2942&lt;1),IF(AND(C2943=C2942,Y2943=Y2942+1),IF(AA2943=1,"",INDEX(DATAS,Y2942+1)),INDEX(DATAS,Y2942+1)),"")</f>
        <v/>
      </c>
    </row>
    <row r="2943" customFormat="false" ht="15" hidden="false" customHeight="false" outlineLevel="0" collapsed="false">
      <c r="A2943" s="45" t="n">
        <v>46309</v>
      </c>
      <c r="B2943" s="0" t="n">
        <v>13</v>
      </c>
      <c r="C2943" s="0" t="n">
        <v>7326</v>
      </c>
      <c r="E2943" s="0" t="n">
        <v>0</v>
      </c>
      <c r="F2943" s="39" t="s">
        <v>1401</v>
      </c>
      <c r="I2943" s="39" t="s">
        <v>136</v>
      </c>
      <c r="U2943" s="0" t="n">
        <v>273</v>
      </c>
      <c r="V2943" s="0" t="n">
        <v>0</v>
      </c>
      <c r="W2943" s="39" t="n">
        <f aca="false">IF(I2943="Male",0,1)</f>
        <v>1</v>
      </c>
      <c r="X2943" s="39" t="n">
        <f aca="false">IF(OR(I2943="DNB",I2943="Dry DNB"),1,0)</f>
        <v>0</v>
      </c>
      <c r="Y2943" s="39" t="n">
        <f aca="false">MATCH(A2943,DATAS,0)</f>
        <v>1</v>
      </c>
      <c r="Z2943" s="39" t="n">
        <f aca="false">IF(AND(E2943&gt;0,OR(AND(B2943&gt;=1,B2943&lt;=6),B2943=10)),1,0)</f>
        <v>0</v>
      </c>
      <c r="AA2943" s="39" t="n">
        <f aca="false">IF(AND(E2943&gt;0,B2943=10),1,0)</f>
        <v>0</v>
      </c>
      <c r="AB2943" s="0" t="str">
        <f aca="false">IF(AND(C2942=C2943,Y2942=Y2943-1),Z2942,"")</f>
        <v/>
      </c>
      <c r="AC2943" s="0" t="str">
        <f aca="false">IF(AND(C2942=C2943,Y2942=Y2943-1),AA2942,"")</f>
        <v/>
      </c>
      <c r="AD2943" s="0" t="str">
        <f aca="false">IF(Y2943=1,"",IF(AND(Z2943=1,AB2943&lt;&gt;1),1,0))</f>
        <v/>
      </c>
      <c r="AE2943" s="0" t="str">
        <f aca="false">IF(Y2943=1,"",IF(AND(AA2943=1,AC2943&lt;&gt;1),1,0))</f>
        <v/>
      </c>
      <c r="AF2943" s="45" t="str">
        <f aca="false">IF(AND(E2943&gt;0,Y2943&lt;1,NOT(AND(C2944=C2943,Y2944=Y2943+1))),INDEX(DATAS,Y2943+1),"")</f>
        <v/>
      </c>
      <c r="AG2943" s="45" t="str">
        <f aca="false">IF(AND(AA2943=1,Y2943&lt;1),IF(AND(C2944=C2943,Y2944=Y2943+1),IF(AA2944=1,"",INDEX(DATAS,Y2943+1)),INDEX(DATAS,Y2943+1)),"")</f>
        <v/>
      </c>
    </row>
    <row r="2944" customFormat="false" ht="15" hidden="false" customHeight="false" outlineLevel="0" collapsed="false">
      <c r="A2944" s="45" t="n">
        <v>46309</v>
      </c>
      <c r="B2944" s="0" t="n">
        <v>13</v>
      </c>
      <c r="C2944" s="0" t="n">
        <v>7327</v>
      </c>
      <c r="E2944" s="0" t="n">
        <v>0</v>
      </c>
      <c r="F2944" s="39" t="s">
        <v>1402</v>
      </c>
      <c r="I2944" s="39" t="s">
        <v>136</v>
      </c>
      <c r="U2944" s="0" t="n">
        <v>272</v>
      </c>
      <c r="V2944" s="0" t="n">
        <v>0</v>
      </c>
      <c r="W2944" s="39" t="n">
        <f aca="false">IF(I2944="Male",0,1)</f>
        <v>1</v>
      </c>
      <c r="X2944" s="39" t="n">
        <f aca="false">IF(OR(I2944="DNB",I2944="Dry DNB"),1,0)</f>
        <v>0</v>
      </c>
      <c r="Y2944" s="39" t="n">
        <f aca="false">MATCH(A2944,DATAS,0)</f>
        <v>1</v>
      </c>
      <c r="Z2944" s="39" t="n">
        <f aca="false">IF(AND(E2944&gt;0,OR(AND(B2944&gt;=1,B2944&lt;=6),B2944=10)),1,0)</f>
        <v>0</v>
      </c>
      <c r="AA2944" s="39" t="n">
        <f aca="false">IF(AND(E2944&gt;0,B2944=10),1,0)</f>
        <v>0</v>
      </c>
      <c r="AB2944" s="0" t="str">
        <f aca="false">IF(AND(C2943=C2944,Y2943=Y2944-1),Z2943,"")</f>
        <v/>
      </c>
      <c r="AC2944" s="0" t="str">
        <f aca="false">IF(AND(C2943=C2944,Y2943=Y2944-1),AA2943,"")</f>
        <v/>
      </c>
      <c r="AD2944" s="0" t="str">
        <f aca="false">IF(Y2944=1,"",IF(AND(Z2944=1,AB2944&lt;&gt;1),1,0))</f>
        <v/>
      </c>
      <c r="AE2944" s="0" t="str">
        <f aca="false">IF(Y2944=1,"",IF(AND(AA2944=1,AC2944&lt;&gt;1),1,0))</f>
        <v/>
      </c>
      <c r="AF2944" s="45" t="str">
        <f aca="false">IF(AND(E2944&gt;0,Y2944&lt;1,NOT(AND(C2945=C2944,Y2945=Y2944+1))),INDEX(DATAS,Y2944+1),"")</f>
        <v/>
      </c>
      <c r="AG2944" s="45" t="str">
        <f aca="false">IF(AND(AA2944=1,Y2944&lt;1),IF(AND(C2945=C2944,Y2945=Y2944+1),IF(AA2945=1,"",INDEX(DATAS,Y2944+1)),INDEX(DATAS,Y2944+1)),"")</f>
        <v/>
      </c>
    </row>
    <row r="2945" customFormat="false" ht="15" hidden="false" customHeight="false" outlineLevel="0" collapsed="false">
      <c r="A2945" s="45" t="n">
        <v>46309</v>
      </c>
      <c r="B2945" s="0" t="n">
        <v>13</v>
      </c>
      <c r="C2945" s="0" t="n">
        <v>7328</v>
      </c>
      <c r="E2945" s="0" t="n">
        <v>0</v>
      </c>
      <c r="F2945" s="39" t="s">
        <v>1403</v>
      </c>
      <c r="I2945" s="39" t="s">
        <v>136</v>
      </c>
      <c r="U2945" s="0" t="n">
        <v>271</v>
      </c>
      <c r="V2945" s="0" t="n">
        <v>0</v>
      </c>
      <c r="W2945" s="39" t="n">
        <f aca="false">IF(I2945="Male",0,1)</f>
        <v>1</v>
      </c>
      <c r="X2945" s="39" t="n">
        <f aca="false">IF(OR(I2945="DNB",I2945="Dry DNB"),1,0)</f>
        <v>0</v>
      </c>
      <c r="Y2945" s="39" t="n">
        <f aca="false">MATCH(A2945,DATAS,0)</f>
        <v>1</v>
      </c>
      <c r="Z2945" s="39" t="n">
        <f aca="false">IF(AND(E2945&gt;0,OR(AND(B2945&gt;=1,B2945&lt;=6),B2945=10)),1,0)</f>
        <v>0</v>
      </c>
      <c r="AA2945" s="39" t="n">
        <f aca="false">IF(AND(E2945&gt;0,B2945=10),1,0)</f>
        <v>0</v>
      </c>
      <c r="AB2945" s="0" t="str">
        <f aca="false">IF(AND(C2944=C2945,Y2944=Y2945-1),Z2944,"")</f>
        <v/>
      </c>
      <c r="AC2945" s="0" t="str">
        <f aca="false">IF(AND(C2944=C2945,Y2944=Y2945-1),AA2944,"")</f>
        <v/>
      </c>
      <c r="AD2945" s="0" t="str">
        <f aca="false">IF(Y2945=1,"",IF(AND(Z2945=1,AB2945&lt;&gt;1),1,0))</f>
        <v/>
      </c>
      <c r="AE2945" s="0" t="str">
        <f aca="false">IF(Y2945=1,"",IF(AND(AA2945=1,AC2945&lt;&gt;1),1,0))</f>
        <v/>
      </c>
      <c r="AF2945" s="45" t="str">
        <f aca="false">IF(AND(E2945&gt;0,Y2945&lt;1,NOT(AND(C2946=C2945,Y2946=Y2945+1))),INDEX(DATAS,Y2945+1),"")</f>
        <v/>
      </c>
      <c r="AG2945" s="45" t="str">
        <f aca="false">IF(AND(AA2945=1,Y2945&lt;1),IF(AND(C2946=C2945,Y2946=Y2945+1),IF(AA2946=1,"",INDEX(DATAS,Y2945+1)),INDEX(DATAS,Y2945+1)),"")</f>
        <v/>
      </c>
    </row>
    <row r="2946" customFormat="false" ht="15" hidden="false" customHeight="false" outlineLevel="0" collapsed="false">
      <c r="A2946" s="45" t="n">
        <v>46309</v>
      </c>
      <c r="B2946" s="0" t="n">
        <v>13</v>
      </c>
      <c r="C2946" s="0" t="n">
        <v>7329</v>
      </c>
      <c r="E2946" s="0" t="n">
        <v>0</v>
      </c>
      <c r="F2946" s="39" t="s">
        <v>1403</v>
      </c>
      <c r="I2946" s="39" t="s">
        <v>136</v>
      </c>
      <c r="U2946" s="0" t="n">
        <v>271</v>
      </c>
      <c r="V2946" s="0" t="n">
        <v>0</v>
      </c>
      <c r="W2946" s="39" t="n">
        <f aca="false">IF(I2946="Male",0,1)</f>
        <v>1</v>
      </c>
      <c r="X2946" s="39" t="n">
        <f aca="false">IF(OR(I2946="DNB",I2946="Dry DNB"),1,0)</f>
        <v>0</v>
      </c>
      <c r="Y2946" s="39" t="n">
        <f aca="false">MATCH(A2946,DATAS,0)</f>
        <v>1</v>
      </c>
      <c r="Z2946" s="39" t="n">
        <f aca="false">IF(AND(E2946&gt;0,OR(AND(B2946&gt;=1,B2946&lt;=6),B2946=10)),1,0)</f>
        <v>0</v>
      </c>
      <c r="AA2946" s="39" t="n">
        <f aca="false">IF(AND(E2946&gt;0,B2946=10),1,0)</f>
        <v>0</v>
      </c>
      <c r="AB2946" s="0" t="str">
        <f aca="false">IF(AND(C2945=C2946,Y2945=Y2946-1),Z2945,"")</f>
        <v/>
      </c>
      <c r="AC2946" s="0" t="str">
        <f aca="false">IF(AND(C2945=C2946,Y2945=Y2946-1),AA2945,"")</f>
        <v/>
      </c>
      <c r="AD2946" s="0" t="str">
        <f aca="false">IF(Y2946=1,"",IF(AND(Z2946=1,AB2946&lt;&gt;1),1,0))</f>
        <v/>
      </c>
      <c r="AE2946" s="0" t="str">
        <f aca="false">IF(Y2946=1,"",IF(AND(AA2946=1,AC2946&lt;&gt;1),1,0))</f>
        <v/>
      </c>
      <c r="AF2946" s="45" t="str">
        <f aca="false">IF(AND(E2946&gt;0,Y2946&lt;1,NOT(AND(C2947=C2946,Y2947=Y2946+1))),INDEX(DATAS,Y2946+1),"")</f>
        <v/>
      </c>
      <c r="AG2946" s="45" t="str">
        <f aca="false">IF(AND(AA2946=1,Y2946&lt;1),IF(AND(C2947=C2946,Y2947=Y2946+1),IF(AA2947=1,"",INDEX(DATAS,Y2946+1)),INDEX(DATAS,Y2946+1)),"")</f>
        <v/>
      </c>
    </row>
    <row r="2947" customFormat="false" ht="15" hidden="false" customHeight="false" outlineLevel="0" collapsed="false">
      <c r="A2947" s="45" t="n">
        <v>46309</v>
      </c>
      <c r="B2947" s="0" t="n">
        <v>13</v>
      </c>
      <c r="C2947" s="0" t="n">
        <v>7330</v>
      </c>
      <c r="E2947" s="0" t="n">
        <v>0</v>
      </c>
      <c r="F2947" s="39" t="s">
        <v>1403</v>
      </c>
      <c r="I2947" s="39" t="s">
        <v>136</v>
      </c>
      <c r="U2947" s="0" t="n">
        <v>271</v>
      </c>
      <c r="V2947" s="0" t="n">
        <v>0</v>
      </c>
      <c r="W2947" s="39" t="n">
        <f aca="false">IF(I2947="Male",0,1)</f>
        <v>1</v>
      </c>
      <c r="X2947" s="39" t="n">
        <f aca="false">IF(OR(I2947="DNB",I2947="Dry DNB"),1,0)</f>
        <v>0</v>
      </c>
      <c r="Y2947" s="39" t="n">
        <f aca="false">MATCH(A2947,DATAS,0)</f>
        <v>1</v>
      </c>
      <c r="Z2947" s="39" t="n">
        <f aca="false">IF(AND(E2947&gt;0,OR(AND(B2947&gt;=1,B2947&lt;=6),B2947=10)),1,0)</f>
        <v>0</v>
      </c>
      <c r="AA2947" s="39" t="n">
        <f aca="false">IF(AND(E2947&gt;0,B2947=10),1,0)</f>
        <v>0</v>
      </c>
      <c r="AB2947" s="0" t="str">
        <f aca="false">IF(AND(C2946=C2947,Y2946=Y2947-1),Z2946,"")</f>
        <v/>
      </c>
      <c r="AC2947" s="0" t="str">
        <f aca="false">IF(AND(C2946=C2947,Y2946=Y2947-1),AA2946,"")</f>
        <v/>
      </c>
      <c r="AD2947" s="0" t="str">
        <f aca="false">IF(Y2947=1,"",IF(AND(Z2947=1,AB2947&lt;&gt;1),1,0))</f>
        <v/>
      </c>
      <c r="AE2947" s="0" t="str">
        <f aca="false">IF(Y2947=1,"",IF(AND(AA2947=1,AC2947&lt;&gt;1),1,0))</f>
        <v/>
      </c>
      <c r="AF2947" s="45" t="str">
        <f aca="false">IF(AND(E2947&gt;0,Y2947&lt;1,NOT(AND(C2948=C2947,Y2948=Y2947+1))),INDEX(DATAS,Y2947+1),"")</f>
        <v/>
      </c>
      <c r="AG2947" s="45" t="str">
        <f aca="false">IF(AND(AA2947=1,Y2947&lt;1),IF(AND(C2948=C2947,Y2948=Y2947+1),IF(AA2948=1,"",INDEX(DATAS,Y2947+1)),INDEX(DATAS,Y2947+1)),"")</f>
        <v/>
      </c>
    </row>
    <row r="2948" customFormat="false" ht="15" hidden="false" customHeight="false" outlineLevel="0" collapsed="false">
      <c r="A2948" s="45" t="n">
        <v>46309</v>
      </c>
      <c r="B2948" s="0" t="n">
        <v>13</v>
      </c>
      <c r="C2948" s="0" t="n">
        <v>7331</v>
      </c>
      <c r="E2948" s="0" t="n">
        <v>0</v>
      </c>
      <c r="F2948" s="39" t="s">
        <v>1403</v>
      </c>
      <c r="I2948" s="39" t="s">
        <v>136</v>
      </c>
      <c r="U2948" s="0" t="n">
        <v>271</v>
      </c>
      <c r="V2948" s="0" t="n">
        <v>0</v>
      </c>
      <c r="W2948" s="39" t="n">
        <f aca="false">IF(I2948="Male",0,1)</f>
        <v>1</v>
      </c>
      <c r="X2948" s="39" t="n">
        <f aca="false">IF(OR(I2948="DNB",I2948="Dry DNB"),1,0)</f>
        <v>0</v>
      </c>
      <c r="Y2948" s="39" t="n">
        <f aca="false">MATCH(A2948,DATAS,0)</f>
        <v>1</v>
      </c>
      <c r="Z2948" s="39" t="n">
        <f aca="false">IF(AND(E2948&gt;0,OR(AND(B2948&gt;=1,B2948&lt;=6),B2948=10)),1,0)</f>
        <v>0</v>
      </c>
      <c r="AA2948" s="39" t="n">
        <f aca="false">IF(AND(E2948&gt;0,B2948=10),1,0)</f>
        <v>0</v>
      </c>
      <c r="AB2948" s="0" t="str">
        <f aca="false">IF(AND(C2947=C2948,Y2947=Y2948-1),Z2947,"")</f>
        <v/>
      </c>
      <c r="AC2948" s="0" t="str">
        <f aca="false">IF(AND(C2947=C2948,Y2947=Y2948-1),AA2947,"")</f>
        <v/>
      </c>
      <c r="AD2948" s="0" t="str">
        <f aca="false">IF(Y2948=1,"",IF(AND(Z2948=1,AB2948&lt;&gt;1),1,0))</f>
        <v/>
      </c>
      <c r="AE2948" s="0" t="str">
        <f aca="false">IF(Y2948=1,"",IF(AND(AA2948=1,AC2948&lt;&gt;1),1,0))</f>
        <v/>
      </c>
      <c r="AF2948" s="45" t="str">
        <f aca="false">IF(AND(E2948&gt;0,Y2948&lt;1,NOT(AND(C2949=C2948,Y2949=Y2948+1))),INDEX(DATAS,Y2948+1),"")</f>
        <v/>
      </c>
      <c r="AG2948" s="45" t="str">
        <f aca="false">IF(AND(AA2948=1,Y2948&lt;1),IF(AND(C2949=C2948,Y2949=Y2948+1),IF(AA2949=1,"",INDEX(DATAS,Y2948+1)),INDEX(DATAS,Y2948+1)),"")</f>
        <v/>
      </c>
    </row>
    <row r="2949" customFormat="false" ht="15" hidden="false" customHeight="false" outlineLevel="0" collapsed="false">
      <c r="A2949" s="45" t="n">
        <v>46309</v>
      </c>
      <c r="B2949" s="0" t="n">
        <v>13</v>
      </c>
      <c r="C2949" s="0" t="n">
        <v>7332</v>
      </c>
      <c r="E2949" s="0" t="n">
        <v>0</v>
      </c>
      <c r="F2949" s="39" t="s">
        <v>1404</v>
      </c>
      <c r="I2949" s="39" t="s">
        <v>136</v>
      </c>
      <c r="U2949" s="0" t="n">
        <v>270</v>
      </c>
      <c r="V2949" s="0" t="n">
        <v>0</v>
      </c>
      <c r="W2949" s="39" t="n">
        <f aca="false">IF(I2949="Male",0,1)</f>
        <v>1</v>
      </c>
      <c r="X2949" s="39" t="n">
        <f aca="false">IF(OR(I2949="DNB",I2949="Dry DNB"),1,0)</f>
        <v>0</v>
      </c>
      <c r="Y2949" s="39" t="n">
        <f aca="false">MATCH(A2949,DATAS,0)</f>
        <v>1</v>
      </c>
      <c r="Z2949" s="39" t="n">
        <f aca="false">IF(AND(E2949&gt;0,OR(AND(B2949&gt;=1,B2949&lt;=6),B2949=10)),1,0)</f>
        <v>0</v>
      </c>
      <c r="AA2949" s="39" t="n">
        <f aca="false">IF(AND(E2949&gt;0,B2949=10),1,0)</f>
        <v>0</v>
      </c>
      <c r="AB2949" s="0" t="str">
        <f aca="false">IF(AND(C2948=C2949,Y2948=Y2949-1),Z2948,"")</f>
        <v/>
      </c>
      <c r="AC2949" s="0" t="str">
        <f aca="false">IF(AND(C2948=C2949,Y2948=Y2949-1),AA2948,"")</f>
        <v/>
      </c>
      <c r="AD2949" s="0" t="str">
        <f aca="false">IF(Y2949=1,"",IF(AND(Z2949=1,AB2949&lt;&gt;1),1,0))</f>
        <v/>
      </c>
      <c r="AE2949" s="0" t="str">
        <f aca="false">IF(Y2949=1,"",IF(AND(AA2949=1,AC2949&lt;&gt;1),1,0))</f>
        <v/>
      </c>
      <c r="AF2949" s="45" t="str">
        <f aca="false">IF(AND(E2949&gt;0,Y2949&lt;1,NOT(AND(C2950=C2949,Y2950=Y2949+1))),INDEX(DATAS,Y2949+1),"")</f>
        <v/>
      </c>
      <c r="AG2949" s="45" t="str">
        <f aca="false">IF(AND(AA2949=1,Y2949&lt;1),IF(AND(C2950=C2949,Y2950=Y2949+1),IF(AA2950=1,"",INDEX(DATAS,Y2949+1)),INDEX(DATAS,Y2949+1)),"")</f>
        <v/>
      </c>
    </row>
    <row r="2950" customFormat="false" ht="15" hidden="false" customHeight="false" outlineLevel="0" collapsed="false">
      <c r="A2950" s="45" t="n">
        <v>46309</v>
      </c>
      <c r="B2950" s="0" t="n">
        <v>13</v>
      </c>
      <c r="C2950" s="0" t="n">
        <v>7333</v>
      </c>
      <c r="E2950" s="0" t="n">
        <v>0</v>
      </c>
      <c r="F2950" s="39" t="s">
        <v>1404</v>
      </c>
      <c r="I2950" s="39" t="s">
        <v>136</v>
      </c>
      <c r="U2950" s="0" t="n">
        <v>270</v>
      </c>
      <c r="V2950" s="0" t="n">
        <v>0</v>
      </c>
      <c r="W2950" s="39" t="n">
        <f aca="false">IF(I2950="Male",0,1)</f>
        <v>1</v>
      </c>
      <c r="X2950" s="39" t="n">
        <f aca="false">IF(OR(I2950="DNB",I2950="Dry DNB"),1,0)</f>
        <v>0</v>
      </c>
      <c r="Y2950" s="39" t="n">
        <f aca="false">MATCH(A2950,DATAS,0)</f>
        <v>1</v>
      </c>
      <c r="Z2950" s="39" t="n">
        <f aca="false">IF(AND(E2950&gt;0,OR(AND(B2950&gt;=1,B2950&lt;=6),B2950=10)),1,0)</f>
        <v>0</v>
      </c>
      <c r="AA2950" s="39" t="n">
        <f aca="false">IF(AND(E2950&gt;0,B2950=10),1,0)</f>
        <v>0</v>
      </c>
      <c r="AB2950" s="0" t="str">
        <f aca="false">IF(AND(C2949=C2950,Y2949=Y2950-1),Z2949,"")</f>
        <v/>
      </c>
      <c r="AC2950" s="0" t="str">
        <f aca="false">IF(AND(C2949=C2950,Y2949=Y2950-1),AA2949,"")</f>
        <v/>
      </c>
      <c r="AD2950" s="0" t="str">
        <f aca="false">IF(Y2950=1,"",IF(AND(Z2950=1,AB2950&lt;&gt;1),1,0))</f>
        <v/>
      </c>
      <c r="AE2950" s="0" t="str">
        <f aca="false">IF(Y2950=1,"",IF(AND(AA2950=1,AC2950&lt;&gt;1),1,0))</f>
        <v/>
      </c>
      <c r="AF2950" s="45" t="str">
        <f aca="false">IF(AND(E2950&gt;0,Y2950&lt;1,NOT(AND(C2951=C2950,Y2951=Y2950+1))),INDEX(DATAS,Y2950+1),"")</f>
        <v/>
      </c>
      <c r="AG2950" s="45" t="str">
        <f aca="false">IF(AND(AA2950=1,Y2950&lt;1),IF(AND(C2951=C2950,Y2951=Y2950+1),IF(AA2951=1,"",INDEX(DATAS,Y2950+1)),INDEX(DATAS,Y2950+1)),"")</f>
        <v/>
      </c>
    </row>
    <row r="2951" customFormat="false" ht="15" hidden="false" customHeight="false" outlineLevel="0" collapsed="false">
      <c r="A2951" s="45" t="n">
        <v>46309</v>
      </c>
      <c r="B2951" s="0" t="n">
        <v>13</v>
      </c>
      <c r="C2951" s="0" t="n">
        <v>7334</v>
      </c>
      <c r="E2951" s="0" t="n">
        <v>0</v>
      </c>
      <c r="F2951" s="39" t="s">
        <v>1404</v>
      </c>
      <c r="I2951" s="39" t="s">
        <v>136</v>
      </c>
      <c r="U2951" s="0" t="n">
        <v>270</v>
      </c>
      <c r="V2951" s="0" t="n">
        <v>0</v>
      </c>
      <c r="W2951" s="39" t="n">
        <f aca="false">IF(I2951="Male",0,1)</f>
        <v>1</v>
      </c>
      <c r="X2951" s="39" t="n">
        <f aca="false">IF(OR(I2951="DNB",I2951="Dry DNB"),1,0)</f>
        <v>0</v>
      </c>
      <c r="Y2951" s="39" t="n">
        <f aca="false">MATCH(A2951,DATAS,0)</f>
        <v>1</v>
      </c>
      <c r="Z2951" s="39" t="n">
        <f aca="false">IF(AND(E2951&gt;0,OR(AND(B2951&gt;=1,B2951&lt;=6),B2951=10)),1,0)</f>
        <v>0</v>
      </c>
      <c r="AA2951" s="39" t="n">
        <f aca="false">IF(AND(E2951&gt;0,B2951=10),1,0)</f>
        <v>0</v>
      </c>
      <c r="AB2951" s="0" t="str">
        <f aca="false">IF(AND(C2950=C2951,Y2950=Y2951-1),Z2950,"")</f>
        <v/>
      </c>
      <c r="AC2951" s="0" t="str">
        <f aca="false">IF(AND(C2950=C2951,Y2950=Y2951-1),AA2950,"")</f>
        <v/>
      </c>
      <c r="AD2951" s="0" t="str">
        <f aca="false">IF(Y2951=1,"",IF(AND(Z2951=1,AB2951&lt;&gt;1),1,0))</f>
        <v/>
      </c>
      <c r="AE2951" s="0" t="str">
        <f aca="false">IF(Y2951=1,"",IF(AND(AA2951=1,AC2951&lt;&gt;1),1,0))</f>
        <v/>
      </c>
      <c r="AF2951" s="45" t="str">
        <f aca="false">IF(AND(E2951&gt;0,Y2951&lt;1,NOT(AND(C2952=C2951,Y2952=Y2951+1))),INDEX(DATAS,Y2951+1),"")</f>
        <v/>
      </c>
      <c r="AG2951" s="45" t="str">
        <f aca="false">IF(AND(AA2951=1,Y2951&lt;1),IF(AND(C2952=C2951,Y2952=Y2951+1),IF(AA2952=1,"",INDEX(DATAS,Y2951+1)),INDEX(DATAS,Y2951+1)),"")</f>
        <v/>
      </c>
    </row>
    <row r="2952" customFormat="false" ht="15" hidden="false" customHeight="false" outlineLevel="0" collapsed="false">
      <c r="A2952" s="45" t="n">
        <v>46309</v>
      </c>
      <c r="B2952" s="0" t="n">
        <v>13</v>
      </c>
      <c r="C2952" s="0" t="n">
        <v>7335</v>
      </c>
      <c r="E2952" s="0" t="n">
        <v>0</v>
      </c>
      <c r="F2952" s="39" t="s">
        <v>1404</v>
      </c>
      <c r="I2952" s="39" t="s">
        <v>136</v>
      </c>
      <c r="U2952" s="0" t="n">
        <v>270</v>
      </c>
      <c r="V2952" s="0" t="n">
        <v>0</v>
      </c>
      <c r="W2952" s="39" t="n">
        <f aca="false">IF(I2952="Male",0,1)</f>
        <v>1</v>
      </c>
      <c r="X2952" s="39" t="n">
        <f aca="false">IF(OR(I2952="DNB",I2952="Dry DNB"),1,0)</f>
        <v>0</v>
      </c>
      <c r="Y2952" s="39" t="n">
        <f aca="false">MATCH(A2952,DATAS,0)</f>
        <v>1</v>
      </c>
      <c r="Z2952" s="39" t="n">
        <f aca="false">IF(AND(E2952&gt;0,OR(AND(B2952&gt;=1,B2952&lt;=6),B2952=10)),1,0)</f>
        <v>0</v>
      </c>
      <c r="AA2952" s="39" t="n">
        <f aca="false">IF(AND(E2952&gt;0,B2952=10),1,0)</f>
        <v>0</v>
      </c>
      <c r="AB2952" s="0" t="str">
        <f aca="false">IF(AND(C2951=C2952,Y2951=Y2952-1),Z2951,"")</f>
        <v/>
      </c>
      <c r="AC2952" s="0" t="str">
        <f aca="false">IF(AND(C2951=C2952,Y2951=Y2952-1),AA2951,"")</f>
        <v/>
      </c>
      <c r="AD2952" s="0" t="str">
        <f aca="false">IF(Y2952=1,"",IF(AND(Z2952=1,AB2952&lt;&gt;1),1,0))</f>
        <v/>
      </c>
      <c r="AE2952" s="0" t="str">
        <f aca="false">IF(Y2952=1,"",IF(AND(AA2952=1,AC2952&lt;&gt;1),1,0))</f>
        <v/>
      </c>
      <c r="AF2952" s="45" t="str">
        <f aca="false">IF(AND(E2952&gt;0,Y2952&lt;1,NOT(AND(C2953=C2952,Y2953=Y2952+1))),INDEX(DATAS,Y2952+1),"")</f>
        <v/>
      </c>
      <c r="AG2952" s="45" t="str">
        <f aca="false">IF(AND(AA2952=1,Y2952&lt;1),IF(AND(C2953=C2952,Y2953=Y2952+1),IF(AA2953=1,"",INDEX(DATAS,Y2952+1)),INDEX(DATAS,Y2952+1)),"")</f>
        <v/>
      </c>
    </row>
    <row r="2953" customFormat="false" ht="15" hidden="false" customHeight="false" outlineLevel="0" collapsed="false">
      <c r="A2953" s="45" t="n">
        <v>46309</v>
      </c>
      <c r="B2953" s="0" t="n">
        <v>13</v>
      </c>
      <c r="C2953" s="0" t="n">
        <v>7336</v>
      </c>
      <c r="E2953" s="0" t="n">
        <v>0</v>
      </c>
      <c r="F2953" s="39" t="s">
        <v>1404</v>
      </c>
      <c r="I2953" s="39" t="s">
        <v>136</v>
      </c>
      <c r="U2953" s="0" t="n">
        <v>270</v>
      </c>
      <c r="V2953" s="0" t="n">
        <v>0</v>
      </c>
      <c r="W2953" s="39" t="n">
        <f aca="false">IF(I2953="Male",0,1)</f>
        <v>1</v>
      </c>
      <c r="X2953" s="39" t="n">
        <f aca="false">IF(OR(I2953="DNB",I2953="Dry DNB"),1,0)</f>
        <v>0</v>
      </c>
      <c r="Y2953" s="39" t="n">
        <f aca="false">MATCH(A2953,DATAS,0)</f>
        <v>1</v>
      </c>
      <c r="Z2953" s="39" t="n">
        <f aca="false">IF(AND(E2953&gt;0,OR(AND(B2953&gt;=1,B2953&lt;=6),B2953=10)),1,0)</f>
        <v>0</v>
      </c>
      <c r="AA2953" s="39" t="n">
        <f aca="false">IF(AND(E2953&gt;0,B2953=10),1,0)</f>
        <v>0</v>
      </c>
      <c r="AB2953" s="0" t="str">
        <f aca="false">IF(AND(C2952=C2953,Y2952=Y2953-1),Z2952,"")</f>
        <v/>
      </c>
      <c r="AC2953" s="0" t="str">
        <f aca="false">IF(AND(C2952=C2953,Y2952=Y2953-1),AA2952,"")</f>
        <v/>
      </c>
      <c r="AD2953" s="0" t="str">
        <f aca="false">IF(Y2953=1,"",IF(AND(Z2953=1,AB2953&lt;&gt;1),1,0))</f>
        <v/>
      </c>
      <c r="AE2953" s="0" t="str">
        <f aca="false">IF(Y2953=1,"",IF(AND(AA2953=1,AC2953&lt;&gt;1),1,0))</f>
        <v/>
      </c>
      <c r="AF2953" s="45" t="str">
        <f aca="false">IF(AND(E2953&gt;0,Y2953&lt;1,NOT(AND(C2954=C2953,Y2954=Y2953+1))),INDEX(DATAS,Y2953+1),"")</f>
        <v/>
      </c>
      <c r="AG2953" s="45" t="str">
        <f aca="false">IF(AND(AA2953=1,Y2953&lt;1),IF(AND(C2954=C2953,Y2954=Y2953+1),IF(AA2954=1,"",INDEX(DATAS,Y2953+1)),INDEX(DATAS,Y2953+1)),"")</f>
        <v/>
      </c>
    </row>
    <row r="2954" customFormat="false" ht="15" hidden="false" customHeight="false" outlineLevel="0" collapsed="false">
      <c r="A2954" s="45" t="n">
        <v>46309</v>
      </c>
      <c r="B2954" s="0" t="n">
        <v>13</v>
      </c>
      <c r="C2954" s="0" t="n">
        <v>7337</v>
      </c>
      <c r="E2954" s="0" t="n">
        <v>0</v>
      </c>
      <c r="F2954" s="39" t="s">
        <v>1404</v>
      </c>
      <c r="I2954" s="39" t="s">
        <v>136</v>
      </c>
      <c r="U2954" s="0" t="n">
        <v>270</v>
      </c>
      <c r="V2954" s="0" t="n">
        <v>0</v>
      </c>
      <c r="W2954" s="39" t="n">
        <f aca="false">IF(I2954="Male",0,1)</f>
        <v>1</v>
      </c>
      <c r="X2954" s="39" t="n">
        <f aca="false">IF(OR(I2954="DNB",I2954="Dry DNB"),1,0)</f>
        <v>0</v>
      </c>
      <c r="Y2954" s="39" t="n">
        <f aca="false">MATCH(A2954,DATAS,0)</f>
        <v>1</v>
      </c>
      <c r="Z2954" s="39" t="n">
        <f aca="false">IF(AND(E2954&gt;0,OR(AND(B2954&gt;=1,B2954&lt;=6),B2954=10)),1,0)</f>
        <v>0</v>
      </c>
      <c r="AA2954" s="39" t="n">
        <f aca="false">IF(AND(E2954&gt;0,B2954=10),1,0)</f>
        <v>0</v>
      </c>
      <c r="AB2954" s="0" t="str">
        <f aca="false">IF(AND(C2953=C2954,Y2953=Y2954-1),Z2953,"")</f>
        <v/>
      </c>
      <c r="AC2954" s="0" t="str">
        <f aca="false">IF(AND(C2953=C2954,Y2953=Y2954-1),AA2953,"")</f>
        <v/>
      </c>
      <c r="AD2954" s="0" t="str">
        <f aca="false">IF(Y2954=1,"",IF(AND(Z2954=1,AB2954&lt;&gt;1),1,0))</f>
        <v/>
      </c>
      <c r="AE2954" s="0" t="str">
        <f aca="false">IF(Y2954=1,"",IF(AND(AA2954=1,AC2954&lt;&gt;1),1,0))</f>
        <v/>
      </c>
      <c r="AF2954" s="45" t="str">
        <f aca="false">IF(AND(E2954&gt;0,Y2954&lt;1,NOT(AND(C2955=C2954,Y2955=Y2954+1))),INDEX(DATAS,Y2954+1),"")</f>
        <v/>
      </c>
      <c r="AG2954" s="45" t="str">
        <f aca="false">IF(AND(AA2954=1,Y2954&lt;1),IF(AND(C2955=C2954,Y2955=Y2954+1),IF(AA2955=1,"",INDEX(DATAS,Y2954+1)),INDEX(DATAS,Y2954+1)),"")</f>
        <v/>
      </c>
    </row>
    <row r="2955" customFormat="false" ht="15" hidden="false" customHeight="false" outlineLevel="0" collapsed="false">
      <c r="A2955" s="45" t="n">
        <v>46309</v>
      </c>
      <c r="B2955" s="0" t="n">
        <v>13</v>
      </c>
      <c r="C2955" s="0" t="n">
        <v>7339</v>
      </c>
      <c r="E2955" s="0" t="n">
        <v>0</v>
      </c>
      <c r="F2955" s="39" t="s">
        <v>1405</v>
      </c>
      <c r="I2955" s="39" t="s">
        <v>136</v>
      </c>
      <c r="U2955" s="0" t="n">
        <v>268</v>
      </c>
      <c r="V2955" s="0" t="n">
        <v>0</v>
      </c>
      <c r="W2955" s="39" t="n">
        <f aca="false">IF(I2955="Male",0,1)</f>
        <v>1</v>
      </c>
      <c r="X2955" s="39" t="n">
        <f aca="false">IF(OR(I2955="DNB",I2955="Dry DNB"),1,0)</f>
        <v>0</v>
      </c>
      <c r="Y2955" s="39" t="n">
        <f aca="false">MATCH(A2955,DATAS,0)</f>
        <v>1</v>
      </c>
      <c r="Z2955" s="39" t="n">
        <f aca="false">IF(AND(E2955&gt;0,OR(AND(B2955&gt;=1,B2955&lt;=6),B2955=10)),1,0)</f>
        <v>0</v>
      </c>
      <c r="AA2955" s="39" t="n">
        <f aca="false">IF(AND(E2955&gt;0,B2955=10),1,0)</f>
        <v>0</v>
      </c>
      <c r="AB2955" s="0" t="str">
        <f aca="false">IF(AND(C2954=C2955,Y2954=Y2955-1),Z2954,"")</f>
        <v/>
      </c>
      <c r="AC2955" s="0" t="str">
        <f aca="false">IF(AND(C2954=C2955,Y2954=Y2955-1),AA2954,"")</f>
        <v/>
      </c>
      <c r="AD2955" s="0" t="str">
        <f aca="false">IF(Y2955=1,"",IF(AND(Z2955=1,AB2955&lt;&gt;1),1,0))</f>
        <v/>
      </c>
      <c r="AE2955" s="0" t="str">
        <f aca="false">IF(Y2955=1,"",IF(AND(AA2955=1,AC2955&lt;&gt;1),1,0))</f>
        <v/>
      </c>
      <c r="AF2955" s="45" t="str">
        <f aca="false">IF(AND(E2955&gt;0,Y2955&lt;1,NOT(AND(C2956=C2955,Y2956=Y2955+1))),INDEX(DATAS,Y2955+1),"")</f>
        <v/>
      </c>
      <c r="AG2955" s="45" t="str">
        <f aca="false">IF(AND(AA2955=1,Y2955&lt;1),IF(AND(C2956=C2955,Y2956=Y2955+1),IF(AA2956=1,"",INDEX(DATAS,Y2955+1)),INDEX(DATAS,Y2955+1)),"")</f>
        <v/>
      </c>
    </row>
    <row r="2956" customFormat="false" ht="15" hidden="false" customHeight="false" outlineLevel="0" collapsed="false">
      <c r="A2956" s="45" t="n">
        <v>46309</v>
      </c>
      <c r="B2956" s="0" t="n">
        <v>13</v>
      </c>
      <c r="C2956" s="0" t="n">
        <v>7340</v>
      </c>
      <c r="E2956" s="0" t="n">
        <v>0</v>
      </c>
      <c r="F2956" s="39" t="s">
        <v>1405</v>
      </c>
      <c r="I2956" s="39" t="s">
        <v>136</v>
      </c>
      <c r="U2956" s="0" t="n">
        <v>268</v>
      </c>
      <c r="V2956" s="0" t="n">
        <v>0</v>
      </c>
      <c r="W2956" s="39" t="n">
        <f aca="false">IF(I2956="Male",0,1)</f>
        <v>1</v>
      </c>
      <c r="X2956" s="39" t="n">
        <f aca="false">IF(OR(I2956="DNB",I2956="Dry DNB"),1,0)</f>
        <v>0</v>
      </c>
      <c r="Y2956" s="39" t="n">
        <f aca="false">MATCH(A2956,DATAS,0)</f>
        <v>1</v>
      </c>
      <c r="Z2956" s="39" t="n">
        <f aca="false">IF(AND(E2956&gt;0,OR(AND(B2956&gt;=1,B2956&lt;=6),B2956=10)),1,0)</f>
        <v>0</v>
      </c>
      <c r="AA2956" s="39" t="n">
        <f aca="false">IF(AND(E2956&gt;0,B2956=10),1,0)</f>
        <v>0</v>
      </c>
      <c r="AB2956" s="0" t="str">
        <f aca="false">IF(AND(C2955=C2956,Y2955=Y2956-1),Z2955,"")</f>
        <v/>
      </c>
      <c r="AC2956" s="0" t="str">
        <f aca="false">IF(AND(C2955=C2956,Y2955=Y2956-1),AA2955,"")</f>
        <v/>
      </c>
      <c r="AD2956" s="0" t="str">
        <f aca="false">IF(Y2956=1,"",IF(AND(Z2956=1,AB2956&lt;&gt;1),1,0))</f>
        <v/>
      </c>
      <c r="AE2956" s="0" t="str">
        <f aca="false">IF(Y2956=1,"",IF(AND(AA2956=1,AC2956&lt;&gt;1),1,0))</f>
        <v/>
      </c>
      <c r="AF2956" s="45" t="str">
        <f aca="false">IF(AND(E2956&gt;0,Y2956&lt;1,NOT(AND(C2957=C2956,Y2957=Y2956+1))),INDEX(DATAS,Y2956+1),"")</f>
        <v/>
      </c>
      <c r="AG2956" s="45" t="str">
        <f aca="false">IF(AND(AA2956=1,Y2956&lt;1),IF(AND(C2957=C2956,Y2957=Y2956+1),IF(AA2957=1,"",INDEX(DATAS,Y2956+1)),INDEX(DATAS,Y2956+1)),"")</f>
        <v/>
      </c>
    </row>
    <row r="2957" customFormat="false" ht="15" hidden="false" customHeight="false" outlineLevel="0" collapsed="false">
      <c r="A2957" s="45" t="n">
        <v>46309</v>
      </c>
      <c r="B2957" s="0" t="n">
        <v>13</v>
      </c>
      <c r="C2957" s="0" t="n">
        <v>7341</v>
      </c>
      <c r="E2957" s="0" t="n">
        <v>0</v>
      </c>
      <c r="F2957" s="39" t="s">
        <v>1405</v>
      </c>
      <c r="I2957" s="39" t="s">
        <v>136</v>
      </c>
      <c r="U2957" s="0" t="n">
        <v>268</v>
      </c>
      <c r="V2957" s="0" t="n">
        <v>0</v>
      </c>
      <c r="W2957" s="39" t="n">
        <f aca="false">IF(I2957="Male",0,1)</f>
        <v>1</v>
      </c>
      <c r="X2957" s="39" t="n">
        <f aca="false">IF(OR(I2957="DNB",I2957="Dry DNB"),1,0)</f>
        <v>0</v>
      </c>
      <c r="Y2957" s="39" t="n">
        <f aca="false">MATCH(A2957,DATAS,0)</f>
        <v>1</v>
      </c>
      <c r="Z2957" s="39" t="n">
        <f aca="false">IF(AND(E2957&gt;0,OR(AND(B2957&gt;=1,B2957&lt;=6),B2957=10)),1,0)</f>
        <v>0</v>
      </c>
      <c r="AA2957" s="39" t="n">
        <f aca="false">IF(AND(E2957&gt;0,B2957=10),1,0)</f>
        <v>0</v>
      </c>
      <c r="AB2957" s="0" t="str">
        <f aca="false">IF(AND(C2956=C2957,Y2956=Y2957-1),Z2956,"")</f>
        <v/>
      </c>
      <c r="AC2957" s="0" t="str">
        <f aca="false">IF(AND(C2956=C2957,Y2956=Y2957-1),AA2956,"")</f>
        <v/>
      </c>
      <c r="AD2957" s="0" t="str">
        <f aca="false">IF(Y2957=1,"",IF(AND(Z2957=1,AB2957&lt;&gt;1),1,0))</f>
        <v/>
      </c>
      <c r="AE2957" s="0" t="str">
        <f aca="false">IF(Y2957=1,"",IF(AND(AA2957=1,AC2957&lt;&gt;1),1,0))</f>
        <v/>
      </c>
      <c r="AF2957" s="45" t="str">
        <f aca="false">IF(AND(E2957&gt;0,Y2957&lt;1,NOT(AND(C2958=C2957,Y2958=Y2957+1))),INDEX(DATAS,Y2957+1),"")</f>
        <v/>
      </c>
      <c r="AG2957" s="45" t="str">
        <f aca="false">IF(AND(AA2957=1,Y2957&lt;1),IF(AND(C2958=C2957,Y2958=Y2957+1),IF(AA2958=1,"",INDEX(DATAS,Y2957+1)),INDEX(DATAS,Y2957+1)),"")</f>
        <v/>
      </c>
    </row>
    <row r="2958" customFormat="false" ht="15" hidden="false" customHeight="false" outlineLevel="0" collapsed="false">
      <c r="A2958" s="45" t="n">
        <v>46309</v>
      </c>
      <c r="B2958" s="0" t="n">
        <v>13</v>
      </c>
      <c r="C2958" s="0" t="n">
        <v>7342</v>
      </c>
      <c r="E2958" s="0" t="n">
        <v>0</v>
      </c>
      <c r="F2958" s="39" t="s">
        <v>1406</v>
      </c>
      <c r="I2958" s="39" t="s">
        <v>136</v>
      </c>
      <c r="U2958" s="0" t="n">
        <v>267</v>
      </c>
      <c r="V2958" s="0" t="n">
        <v>0</v>
      </c>
      <c r="W2958" s="39" t="n">
        <f aca="false">IF(I2958="Male",0,1)</f>
        <v>1</v>
      </c>
      <c r="X2958" s="39" t="n">
        <f aca="false">IF(OR(I2958="DNB",I2958="Dry DNB"),1,0)</f>
        <v>0</v>
      </c>
      <c r="Y2958" s="39" t="n">
        <f aca="false">MATCH(A2958,DATAS,0)</f>
        <v>1</v>
      </c>
      <c r="Z2958" s="39" t="n">
        <f aca="false">IF(AND(E2958&gt;0,OR(AND(B2958&gt;=1,B2958&lt;=6),B2958=10)),1,0)</f>
        <v>0</v>
      </c>
      <c r="AA2958" s="39" t="n">
        <f aca="false">IF(AND(E2958&gt;0,B2958=10),1,0)</f>
        <v>0</v>
      </c>
      <c r="AB2958" s="0" t="str">
        <f aca="false">IF(AND(C2957=C2958,Y2957=Y2958-1),Z2957,"")</f>
        <v/>
      </c>
      <c r="AC2958" s="0" t="str">
        <f aca="false">IF(AND(C2957=C2958,Y2957=Y2958-1),AA2957,"")</f>
        <v/>
      </c>
      <c r="AD2958" s="0" t="str">
        <f aca="false">IF(Y2958=1,"",IF(AND(Z2958=1,AB2958&lt;&gt;1),1,0))</f>
        <v/>
      </c>
      <c r="AE2958" s="0" t="str">
        <f aca="false">IF(Y2958=1,"",IF(AND(AA2958=1,AC2958&lt;&gt;1),1,0))</f>
        <v/>
      </c>
      <c r="AF2958" s="45" t="str">
        <f aca="false">IF(AND(E2958&gt;0,Y2958&lt;1,NOT(AND(C2959=C2958,Y2959=Y2958+1))),INDEX(DATAS,Y2958+1),"")</f>
        <v/>
      </c>
      <c r="AG2958" s="45" t="str">
        <f aca="false">IF(AND(AA2958=1,Y2958&lt;1),IF(AND(C2959=C2958,Y2959=Y2958+1),IF(AA2959=1,"",INDEX(DATAS,Y2958+1)),INDEX(DATAS,Y2958+1)),"")</f>
        <v/>
      </c>
    </row>
    <row r="2959" customFormat="false" ht="15" hidden="false" customHeight="false" outlineLevel="0" collapsed="false">
      <c r="A2959" s="45" t="n">
        <v>46309</v>
      </c>
      <c r="B2959" s="0" t="n">
        <v>13</v>
      </c>
      <c r="C2959" s="0" t="n">
        <v>7343</v>
      </c>
      <c r="E2959" s="0" t="n">
        <v>0</v>
      </c>
      <c r="F2959" s="39" t="s">
        <v>1406</v>
      </c>
      <c r="I2959" s="39" t="s">
        <v>136</v>
      </c>
      <c r="U2959" s="0" t="n">
        <v>267</v>
      </c>
      <c r="V2959" s="0" t="n">
        <v>0</v>
      </c>
      <c r="W2959" s="39" t="n">
        <f aca="false">IF(I2959="Male",0,1)</f>
        <v>1</v>
      </c>
      <c r="X2959" s="39" t="n">
        <f aca="false">IF(OR(I2959="DNB",I2959="Dry DNB"),1,0)</f>
        <v>0</v>
      </c>
      <c r="Y2959" s="39" t="n">
        <f aca="false">MATCH(A2959,DATAS,0)</f>
        <v>1</v>
      </c>
      <c r="Z2959" s="39" t="n">
        <f aca="false">IF(AND(E2959&gt;0,OR(AND(B2959&gt;=1,B2959&lt;=6),B2959=10)),1,0)</f>
        <v>0</v>
      </c>
      <c r="AA2959" s="39" t="n">
        <f aca="false">IF(AND(E2959&gt;0,B2959=10),1,0)</f>
        <v>0</v>
      </c>
      <c r="AB2959" s="0" t="str">
        <f aca="false">IF(AND(C2958=C2959,Y2958=Y2959-1),Z2958,"")</f>
        <v/>
      </c>
      <c r="AC2959" s="0" t="str">
        <f aca="false">IF(AND(C2958=C2959,Y2958=Y2959-1),AA2958,"")</f>
        <v/>
      </c>
      <c r="AD2959" s="0" t="str">
        <f aca="false">IF(Y2959=1,"",IF(AND(Z2959=1,AB2959&lt;&gt;1),1,0))</f>
        <v/>
      </c>
      <c r="AE2959" s="0" t="str">
        <f aca="false">IF(Y2959=1,"",IF(AND(AA2959=1,AC2959&lt;&gt;1),1,0))</f>
        <v/>
      </c>
      <c r="AF2959" s="45" t="str">
        <f aca="false">IF(AND(E2959&gt;0,Y2959&lt;1,NOT(AND(C2960=C2959,Y2960=Y2959+1))),INDEX(DATAS,Y2959+1),"")</f>
        <v/>
      </c>
      <c r="AG2959" s="45" t="str">
        <f aca="false">IF(AND(AA2959=1,Y2959&lt;1),IF(AND(C2960=C2959,Y2960=Y2959+1),IF(AA2960=1,"",INDEX(DATAS,Y2959+1)),INDEX(DATAS,Y2959+1)),"")</f>
        <v/>
      </c>
    </row>
    <row r="2960" customFormat="false" ht="15" hidden="false" customHeight="false" outlineLevel="0" collapsed="false">
      <c r="A2960" s="45" t="n">
        <v>46309</v>
      </c>
      <c r="B2960" s="0" t="n">
        <v>13</v>
      </c>
      <c r="C2960" s="0" t="n">
        <v>7345</v>
      </c>
      <c r="E2960" s="0" t="n">
        <v>0</v>
      </c>
      <c r="F2960" s="39" t="s">
        <v>1406</v>
      </c>
      <c r="I2960" s="39" t="s">
        <v>136</v>
      </c>
      <c r="U2960" s="0" t="n">
        <v>267</v>
      </c>
      <c r="V2960" s="0" t="n">
        <v>0</v>
      </c>
      <c r="W2960" s="39" t="n">
        <f aca="false">IF(I2960="Male",0,1)</f>
        <v>1</v>
      </c>
      <c r="X2960" s="39" t="n">
        <f aca="false">IF(OR(I2960="DNB",I2960="Dry DNB"),1,0)</f>
        <v>0</v>
      </c>
      <c r="Y2960" s="39" t="n">
        <f aca="false">MATCH(A2960,DATAS,0)</f>
        <v>1</v>
      </c>
      <c r="Z2960" s="39" t="n">
        <f aca="false">IF(AND(E2960&gt;0,OR(AND(B2960&gt;=1,B2960&lt;=6),B2960=10)),1,0)</f>
        <v>0</v>
      </c>
      <c r="AA2960" s="39" t="n">
        <f aca="false">IF(AND(E2960&gt;0,B2960=10),1,0)</f>
        <v>0</v>
      </c>
      <c r="AB2960" s="0" t="str">
        <f aca="false">IF(AND(C2959=C2960,Y2959=Y2960-1),Z2959,"")</f>
        <v/>
      </c>
      <c r="AC2960" s="0" t="str">
        <f aca="false">IF(AND(C2959=C2960,Y2959=Y2960-1),AA2959,"")</f>
        <v/>
      </c>
      <c r="AD2960" s="0" t="str">
        <f aca="false">IF(Y2960=1,"",IF(AND(Z2960=1,AB2960&lt;&gt;1),1,0))</f>
        <v/>
      </c>
      <c r="AE2960" s="0" t="str">
        <f aca="false">IF(Y2960=1,"",IF(AND(AA2960=1,AC2960&lt;&gt;1),1,0))</f>
        <v/>
      </c>
      <c r="AF2960" s="45" t="str">
        <f aca="false">IF(AND(E2960&gt;0,Y2960&lt;1,NOT(AND(C2961=C2960,Y2961=Y2960+1))),INDEX(DATAS,Y2960+1),"")</f>
        <v/>
      </c>
      <c r="AG2960" s="45" t="str">
        <f aca="false">IF(AND(AA2960=1,Y2960&lt;1),IF(AND(C2961=C2960,Y2961=Y2960+1),IF(AA2961=1,"",INDEX(DATAS,Y2960+1)),INDEX(DATAS,Y2960+1)),"")</f>
        <v/>
      </c>
    </row>
    <row r="2961" customFormat="false" ht="15" hidden="false" customHeight="false" outlineLevel="0" collapsed="false">
      <c r="A2961" s="45" t="n">
        <v>46309</v>
      </c>
      <c r="B2961" s="0" t="n">
        <v>13</v>
      </c>
      <c r="C2961" s="0" t="n">
        <v>7346</v>
      </c>
      <c r="E2961" s="0" t="n">
        <v>0</v>
      </c>
      <c r="F2961" s="39" t="s">
        <v>1407</v>
      </c>
      <c r="I2961" s="39" t="s">
        <v>136</v>
      </c>
      <c r="U2961" s="0" t="n">
        <v>266</v>
      </c>
      <c r="V2961" s="0" t="n">
        <v>0</v>
      </c>
      <c r="W2961" s="39" t="n">
        <f aca="false">IF(I2961="Male",0,1)</f>
        <v>1</v>
      </c>
      <c r="X2961" s="39" t="n">
        <f aca="false">IF(OR(I2961="DNB",I2961="Dry DNB"),1,0)</f>
        <v>0</v>
      </c>
      <c r="Y2961" s="39" t="n">
        <f aca="false">MATCH(A2961,DATAS,0)</f>
        <v>1</v>
      </c>
      <c r="Z2961" s="39" t="n">
        <f aca="false">IF(AND(E2961&gt;0,OR(AND(B2961&gt;=1,B2961&lt;=6),B2961=10)),1,0)</f>
        <v>0</v>
      </c>
      <c r="AA2961" s="39" t="n">
        <f aca="false">IF(AND(E2961&gt;0,B2961=10),1,0)</f>
        <v>0</v>
      </c>
      <c r="AB2961" s="0" t="str">
        <f aca="false">IF(AND(C2960=C2961,Y2960=Y2961-1),Z2960,"")</f>
        <v/>
      </c>
      <c r="AC2961" s="0" t="str">
        <f aca="false">IF(AND(C2960=C2961,Y2960=Y2961-1),AA2960,"")</f>
        <v/>
      </c>
      <c r="AD2961" s="0" t="str">
        <f aca="false">IF(Y2961=1,"",IF(AND(Z2961=1,AB2961&lt;&gt;1),1,0))</f>
        <v/>
      </c>
      <c r="AE2961" s="0" t="str">
        <f aca="false">IF(Y2961=1,"",IF(AND(AA2961=1,AC2961&lt;&gt;1),1,0))</f>
        <v/>
      </c>
      <c r="AF2961" s="45" t="str">
        <f aca="false">IF(AND(E2961&gt;0,Y2961&lt;1,NOT(AND(C2962=C2961,Y2962=Y2961+1))),INDEX(DATAS,Y2961+1),"")</f>
        <v/>
      </c>
      <c r="AG2961" s="45" t="str">
        <f aca="false">IF(AND(AA2961=1,Y2961&lt;1),IF(AND(C2962=C2961,Y2962=Y2961+1),IF(AA2962=1,"",INDEX(DATAS,Y2961+1)),INDEX(DATAS,Y2961+1)),"")</f>
        <v/>
      </c>
    </row>
    <row r="2962" customFormat="false" ht="15" hidden="false" customHeight="false" outlineLevel="0" collapsed="false">
      <c r="A2962" s="45" t="n">
        <v>46309</v>
      </c>
      <c r="B2962" s="0" t="n">
        <v>13</v>
      </c>
      <c r="C2962" s="0" t="n">
        <v>7347</v>
      </c>
      <c r="E2962" s="0" t="n">
        <v>0</v>
      </c>
      <c r="F2962" s="39" t="s">
        <v>1407</v>
      </c>
      <c r="I2962" s="39" t="s">
        <v>136</v>
      </c>
      <c r="U2962" s="0" t="n">
        <v>266</v>
      </c>
      <c r="V2962" s="0" t="n">
        <v>0</v>
      </c>
      <c r="W2962" s="39" t="n">
        <f aca="false">IF(I2962="Male",0,1)</f>
        <v>1</v>
      </c>
      <c r="X2962" s="39" t="n">
        <f aca="false">IF(OR(I2962="DNB",I2962="Dry DNB"),1,0)</f>
        <v>0</v>
      </c>
      <c r="Y2962" s="39" t="n">
        <f aca="false">MATCH(A2962,DATAS,0)</f>
        <v>1</v>
      </c>
      <c r="Z2962" s="39" t="n">
        <f aca="false">IF(AND(E2962&gt;0,OR(AND(B2962&gt;=1,B2962&lt;=6),B2962=10)),1,0)</f>
        <v>0</v>
      </c>
      <c r="AA2962" s="39" t="n">
        <f aca="false">IF(AND(E2962&gt;0,B2962=10),1,0)</f>
        <v>0</v>
      </c>
      <c r="AB2962" s="0" t="str">
        <f aca="false">IF(AND(C2961=C2962,Y2961=Y2962-1),Z2961,"")</f>
        <v/>
      </c>
      <c r="AC2962" s="0" t="str">
        <f aca="false">IF(AND(C2961=C2962,Y2961=Y2962-1),AA2961,"")</f>
        <v/>
      </c>
      <c r="AD2962" s="0" t="str">
        <f aca="false">IF(Y2962=1,"",IF(AND(Z2962=1,AB2962&lt;&gt;1),1,0))</f>
        <v/>
      </c>
      <c r="AE2962" s="0" t="str">
        <f aca="false">IF(Y2962=1,"",IF(AND(AA2962=1,AC2962&lt;&gt;1),1,0))</f>
        <v/>
      </c>
      <c r="AF2962" s="45" t="str">
        <f aca="false">IF(AND(E2962&gt;0,Y2962&lt;1,NOT(AND(C2963=C2962,Y2963=Y2962+1))),INDEX(DATAS,Y2962+1),"")</f>
        <v/>
      </c>
      <c r="AG2962" s="45" t="str">
        <f aca="false">IF(AND(AA2962=1,Y2962&lt;1),IF(AND(C2963=C2962,Y2963=Y2962+1),IF(AA2963=1,"",INDEX(DATAS,Y2962+1)),INDEX(DATAS,Y2962+1)),"")</f>
        <v/>
      </c>
    </row>
    <row r="2963" customFormat="false" ht="15" hidden="false" customHeight="false" outlineLevel="0" collapsed="false">
      <c r="A2963" s="45" t="n">
        <v>46309</v>
      </c>
      <c r="B2963" s="0" t="n">
        <v>13</v>
      </c>
      <c r="C2963" s="0" t="n">
        <v>7348</v>
      </c>
      <c r="E2963" s="0" t="n">
        <v>0</v>
      </c>
      <c r="F2963" s="39" t="s">
        <v>1407</v>
      </c>
      <c r="I2963" s="39" t="s">
        <v>136</v>
      </c>
      <c r="U2963" s="0" t="n">
        <v>266</v>
      </c>
      <c r="V2963" s="0" t="n">
        <v>0</v>
      </c>
      <c r="W2963" s="39" t="n">
        <f aca="false">IF(I2963="Male",0,1)</f>
        <v>1</v>
      </c>
      <c r="X2963" s="39" t="n">
        <f aca="false">IF(OR(I2963="DNB",I2963="Dry DNB"),1,0)</f>
        <v>0</v>
      </c>
      <c r="Y2963" s="39" t="n">
        <f aca="false">MATCH(A2963,DATAS,0)</f>
        <v>1</v>
      </c>
      <c r="Z2963" s="39" t="n">
        <f aca="false">IF(AND(E2963&gt;0,OR(AND(B2963&gt;=1,B2963&lt;=6),B2963=10)),1,0)</f>
        <v>0</v>
      </c>
      <c r="AA2963" s="39" t="n">
        <f aca="false">IF(AND(E2963&gt;0,B2963=10),1,0)</f>
        <v>0</v>
      </c>
      <c r="AB2963" s="0" t="str">
        <f aca="false">IF(AND(C2962=C2963,Y2962=Y2963-1),Z2962,"")</f>
        <v/>
      </c>
      <c r="AC2963" s="0" t="str">
        <f aca="false">IF(AND(C2962=C2963,Y2962=Y2963-1),AA2962,"")</f>
        <v/>
      </c>
      <c r="AD2963" s="0" t="str">
        <f aca="false">IF(Y2963=1,"",IF(AND(Z2963=1,AB2963&lt;&gt;1),1,0))</f>
        <v/>
      </c>
      <c r="AE2963" s="0" t="str">
        <f aca="false">IF(Y2963=1,"",IF(AND(AA2963=1,AC2963&lt;&gt;1),1,0))</f>
        <v/>
      </c>
      <c r="AF2963" s="45" t="str">
        <f aca="false">IF(AND(E2963&gt;0,Y2963&lt;1,NOT(AND(C2964=C2963,Y2964=Y2963+1))),INDEX(DATAS,Y2963+1),"")</f>
        <v/>
      </c>
      <c r="AG2963" s="45" t="str">
        <f aca="false">IF(AND(AA2963=1,Y2963&lt;1),IF(AND(C2964=C2963,Y2964=Y2963+1),IF(AA2964=1,"",INDEX(DATAS,Y2963+1)),INDEX(DATAS,Y2963+1)),"")</f>
        <v/>
      </c>
    </row>
    <row r="2964" customFormat="false" ht="15" hidden="false" customHeight="false" outlineLevel="0" collapsed="false">
      <c r="A2964" s="45" t="n">
        <v>46309</v>
      </c>
      <c r="B2964" s="0" t="n">
        <v>13</v>
      </c>
      <c r="C2964" s="0" t="n">
        <v>7349</v>
      </c>
      <c r="E2964" s="0" t="n">
        <v>0</v>
      </c>
      <c r="F2964" s="39" t="s">
        <v>1408</v>
      </c>
      <c r="I2964" s="39" t="s">
        <v>136</v>
      </c>
      <c r="U2964" s="0" t="n">
        <v>264</v>
      </c>
      <c r="V2964" s="0" t="n">
        <v>0</v>
      </c>
      <c r="W2964" s="39" t="n">
        <f aca="false">IF(I2964="Male",0,1)</f>
        <v>1</v>
      </c>
      <c r="X2964" s="39" t="n">
        <f aca="false">IF(OR(I2964="DNB",I2964="Dry DNB"),1,0)</f>
        <v>0</v>
      </c>
      <c r="Y2964" s="39" t="n">
        <f aca="false">MATCH(A2964,DATAS,0)</f>
        <v>1</v>
      </c>
      <c r="Z2964" s="39" t="n">
        <f aca="false">IF(AND(E2964&gt;0,OR(AND(B2964&gt;=1,B2964&lt;=6),B2964=10)),1,0)</f>
        <v>0</v>
      </c>
      <c r="AA2964" s="39" t="n">
        <f aca="false">IF(AND(E2964&gt;0,B2964=10),1,0)</f>
        <v>0</v>
      </c>
      <c r="AB2964" s="0" t="str">
        <f aca="false">IF(AND(C2963=C2964,Y2963=Y2964-1),Z2963,"")</f>
        <v/>
      </c>
      <c r="AC2964" s="0" t="str">
        <f aca="false">IF(AND(C2963=C2964,Y2963=Y2964-1),AA2963,"")</f>
        <v/>
      </c>
      <c r="AD2964" s="0" t="str">
        <f aca="false">IF(Y2964=1,"",IF(AND(Z2964=1,AB2964&lt;&gt;1),1,0))</f>
        <v/>
      </c>
      <c r="AE2964" s="0" t="str">
        <f aca="false">IF(Y2964=1,"",IF(AND(AA2964=1,AC2964&lt;&gt;1),1,0))</f>
        <v/>
      </c>
      <c r="AF2964" s="45" t="str">
        <f aca="false">IF(AND(E2964&gt;0,Y2964&lt;1,NOT(AND(C2965=C2964,Y2965=Y2964+1))),INDEX(DATAS,Y2964+1),"")</f>
        <v/>
      </c>
      <c r="AG2964" s="45" t="str">
        <f aca="false">IF(AND(AA2964=1,Y2964&lt;1),IF(AND(C2965=C2964,Y2965=Y2964+1),IF(AA2965=1,"",INDEX(DATAS,Y2964+1)),INDEX(DATAS,Y2964+1)),"")</f>
        <v/>
      </c>
    </row>
    <row r="2965" customFormat="false" ht="15" hidden="false" customHeight="false" outlineLevel="0" collapsed="false">
      <c r="A2965" s="45" t="n">
        <v>46309</v>
      </c>
      <c r="B2965" s="0" t="n">
        <v>13</v>
      </c>
      <c r="C2965" s="0" t="n">
        <v>7350</v>
      </c>
      <c r="E2965" s="0" t="n">
        <v>0</v>
      </c>
      <c r="F2965" s="39" t="s">
        <v>1408</v>
      </c>
      <c r="I2965" s="39" t="s">
        <v>136</v>
      </c>
      <c r="U2965" s="0" t="n">
        <v>264</v>
      </c>
      <c r="V2965" s="0" t="n">
        <v>0</v>
      </c>
      <c r="W2965" s="39" t="n">
        <f aca="false">IF(I2965="Male",0,1)</f>
        <v>1</v>
      </c>
      <c r="X2965" s="39" t="n">
        <f aca="false">IF(OR(I2965="DNB",I2965="Dry DNB"),1,0)</f>
        <v>0</v>
      </c>
      <c r="Y2965" s="39" t="n">
        <f aca="false">MATCH(A2965,DATAS,0)</f>
        <v>1</v>
      </c>
      <c r="Z2965" s="39" t="n">
        <f aca="false">IF(AND(E2965&gt;0,OR(AND(B2965&gt;=1,B2965&lt;=6),B2965=10)),1,0)</f>
        <v>0</v>
      </c>
      <c r="AA2965" s="39" t="n">
        <f aca="false">IF(AND(E2965&gt;0,B2965=10),1,0)</f>
        <v>0</v>
      </c>
      <c r="AB2965" s="0" t="str">
        <f aca="false">IF(AND(C2964=C2965,Y2964=Y2965-1),Z2964,"")</f>
        <v/>
      </c>
      <c r="AC2965" s="0" t="str">
        <f aca="false">IF(AND(C2964=C2965,Y2964=Y2965-1),AA2964,"")</f>
        <v/>
      </c>
      <c r="AD2965" s="0" t="str">
        <f aca="false">IF(Y2965=1,"",IF(AND(Z2965=1,AB2965&lt;&gt;1),1,0))</f>
        <v/>
      </c>
      <c r="AE2965" s="0" t="str">
        <f aca="false">IF(Y2965=1,"",IF(AND(AA2965=1,AC2965&lt;&gt;1),1,0))</f>
        <v/>
      </c>
      <c r="AF2965" s="45" t="str">
        <f aca="false">IF(AND(E2965&gt;0,Y2965&lt;1,NOT(AND(C2966=C2965,Y2966=Y2965+1))),INDEX(DATAS,Y2965+1),"")</f>
        <v/>
      </c>
      <c r="AG2965" s="45" t="str">
        <f aca="false">IF(AND(AA2965=1,Y2965&lt;1),IF(AND(C2966=C2965,Y2966=Y2965+1),IF(AA2966=1,"",INDEX(DATAS,Y2965+1)),INDEX(DATAS,Y2965+1)),"")</f>
        <v/>
      </c>
    </row>
    <row r="2966" customFormat="false" ht="15" hidden="false" customHeight="false" outlineLevel="0" collapsed="false">
      <c r="A2966" s="45" t="n">
        <v>46309</v>
      </c>
      <c r="B2966" s="0" t="n">
        <v>13</v>
      </c>
      <c r="C2966" s="0" t="n">
        <v>7351</v>
      </c>
      <c r="E2966" s="0" t="n">
        <v>0</v>
      </c>
      <c r="F2966" s="39" t="s">
        <v>1408</v>
      </c>
      <c r="I2966" s="39" t="s">
        <v>136</v>
      </c>
      <c r="U2966" s="0" t="n">
        <v>264</v>
      </c>
      <c r="V2966" s="0" t="n">
        <v>0</v>
      </c>
      <c r="W2966" s="39" t="n">
        <f aca="false">IF(I2966="Male",0,1)</f>
        <v>1</v>
      </c>
      <c r="X2966" s="39" t="n">
        <f aca="false">IF(OR(I2966="DNB",I2966="Dry DNB"),1,0)</f>
        <v>0</v>
      </c>
      <c r="Y2966" s="39" t="n">
        <f aca="false">MATCH(A2966,DATAS,0)</f>
        <v>1</v>
      </c>
      <c r="Z2966" s="39" t="n">
        <f aca="false">IF(AND(E2966&gt;0,OR(AND(B2966&gt;=1,B2966&lt;=6),B2966=10)),1,0)</f>
        <v>0</v>
      </c>
      <c r="AA2966" s="39" t="n">
        <f aca="false">IF(AND(E2966&gt;0,B2966=10),1,0)</f>
        <v>0</v>
      </c>
      <c r="AB2966" s="0" t="str">
        <f aca="false">IF(AND(C2965=C2966,Y2965=Y2966-1),Z2965,"")</f>
        <v/>
      </c>
      <c r="AC2966" s="0" t="str">
        <f aca="false">IF(AND(C2965=C2966,Y2965=Y2966-1),AA2965,"")</f>
        <v/>
      </c>
      <c r="AD2966" s="0" t="str">
        <f aca="false">IF(Y2966=1,"",IF(AND(Z2966=1,AB2966&lt;&gt;1),1,0))</f>
        <v/>
      </c>
      <c r="AE2966" s="0" t="str">
        <f aca="false">IF(Y2966=1,"",IF(AND(AA2966=1,AC2966&lt;&gt;1),1,0))</f>
        <v/>
      </c>
      <c r="AF2966" s="45" t="str">
        <f aca="false">IF(AND(E2966&gt;0,Y2966&lt;1,NOT(AND(C2967=C2966,Y2967=Y2966+1))),INDEX(DATAS,Y2966+1),"")</f>
        <v/>
      </c>
      <c r="AG2966" s="45" t="str">
        <f aca="false">IF(AND(AA2966=1,Y2966&lt;1),IF(AND(C2967=C2966,Y2967=Y2966+1),IF(AA2967=1,"",INDEX(DATAS,Y2966+1)),INDEX(DATAS,Y2966+1)),"")</f>
        <v/>
      </c>
    </row>
    <row r="2967" customFormat="false" ht="15" hidden="false" customHeight="false" outlineLevel="0" collapsed="false">
      <c r="A2967" s="45" t="n">
        <v>46309</v>
      </c>
      <c r="B2967" s="0" t="n">
        <v>13</v>
      </c>
      <c r="C2967" s="0" t="n">
        <v>7352</v>
      </c>
      <c r="E2967" s="0" t="n">
        <v>0</v>
      </c>
      <c r="F2967" s="39" t="s">
        <v>1408</v>
      </c>
      <c r="I2967" s="39" t="s">
        <v>136</v>
      </c>
      <c r="U2967" s="0" t="n">
        <v>264</v>
      </c>
      <c r="V2967" s="0" t="n">
        <v>0</v>
      </c>
      <c r="W2967" s="39" t="n">
        <f aca="false">IF(I2967="Male",0,1)</f>
        <v>1</v>
      </c>
      <c r="X2967" s="39" t="n">
        <f aca="false">IF(OR(I2967="DNB",I2967="Dry DNB"),1,0)</f>
        <v>0</v>
      </c>
      <c r="Y2967" s="39" t="n">
        <f aca="false">MATCH(A2967,DATAS,0)</f>
        <v>1</v>
      </c>
      <c r="Z2967" s="39" t="n">
        <f aca="false">IF(AND(E2967&gt;0,OR(AND(B2967&gt;=1,B2967&lt;=6),B2967=10)),1,0)</f>
        <v>0</v>
      </c>
      <c r="AA2967" s="39" t="n">
        <f aca="false">IF(AND(E2967&gt;0,B2967=10),1,0)</f>
        <v>0</v>
      </c>
      <c r="AB2967" s="0" t="str">
        <f aca="false">IF(AND(C2966=C2967,Y2966=Y2967-1),Z2966,"")</f>
        <v/>
      </c>
      <c r="AC2967" s="0" t="str">
        <f aca="false">IF(AND(C2966=C2967,Y2966=Y2967-1),AA2966,"")</f>
        <v/>
      </c>
      <c r="AD2967" s="0" t="str">
        <f aca="false">IF(Y2967=1,"",IF(AND(Z2967=1,AB2967&lt;&gt;1),1,0))</f>
        <v/>
      </c>
      <c r="AE2967" s="0" t="str">
        <f aca="false">IF(Y2967=1,"",IF(AND(AA2967=1,AC2967&lt;&gt;1),1,0))</f>
        <v/>
      </c>
      <c r="AF2967" s="45" t="str">
        <f aca="false">IF(AND(E2967&gt;0,Y2967&lt;1,NOT(AND(C2968=C2967,Y2968=Y2967+1))),INDEX(DATAS,Y2967+1),"")</f>
        <v/>
      </c>
      <c r="AG2967" s="45" t="str">
        <f aca="false">IF(AND(AA2967=1,Y2967&lt;1),IF(AND(C2968=C2967,Y2968=Y2967+1),IF(AA2968=1,"",INDEX(DATAS,Y2967+1)),INDEX(DATAS,Y2967+1)),"")</f>
        <v/>
      </c>
    </row>
    <row r="2968" customFormat="false" ht="15" hidden="false" customHeight="false" outlineLevel="0" collapsed="false">
      <c r="A2968" s="45" t="n">
        <v>46309</v>
      </c>
      <c r="B2968" s="0" t="n">
        <v>13</v>
      </c>
      <c r="C2968" s="0" t="n">
        <v>7353</v>
      </c>
      <c r="E2968" s="0" t="n">
        <v>0</v>
      </c>
      <c r="F2968" s="39" t="s">
        <v>1408</v>
      </c>
      <c r="I2968" s="39" t="s">
        <v>136</v>
      </c>
      <c r="U2968" s="0" t="n">
        <v>264</v>
      </c>
      <c r="V2968" s="0" t="n">
        <v>0</v>
      </c>
      <c r="W2968" s="39" t="n">
        <f aca="false">IF(I2968="Male",0,1)</f>
        <v>1</v>
      </c>
      <c r="X2968" s="39" t="n">
        <f aca="false">IF(OR(I2968="DNB",I2968="Dry DNB"),1,0)</f>
        <v>0</v>
      </c>
      <c r="Y2968" s="39" t="n">
        <f aca="false">MATCH(A2968,DATAS,0)</f>
        <v>1</v>
      </c>
      <c r="Z2968" s="39" t="n">
        <f aca="false">IF(AND(E2968&gt;0,OR(AND(B2968&gt;=1,B2968&lt;=6),B2968=10)),1,0)</f>
        <v>0</v>
      </c>
      <c r="AA2968" s="39" t="n">
        <f aca="false">IF(AND(E2968&gt;0,B2968=10),1,0)</f>
        <v>0</v>
      </c>
      <c r="AB2968" s="0" t="str">
        <f aca="false">IF(AND(C2967=C2968,Y2967=Y2968-1),Z2967,"")</f>
        <v/>
      </c>
      <c r="AC2968" s="0" t="str">
        <f aca="false">IF(AND(C2967=C2968,Y2967=Y2968-1),AA2967,"")</f>
        <v/>
      </c>
      <c r="AD2968" s="0" t="str">
        <f aca="false">IF(Y2968=1,"",IF(AND(Z2968=1,AB2968&lt;&gt;1),1,0))</f>
        <v/>
      </c>
      <c r="AE2968" s="0" t="str">
        <f aca="false">IF(Y2968=1,"",IF(AND(AA2968=1,AC2968&lt;&gt;1),1,0))</f>
        <v/>
      </c>
      <c r="AF2968" s="45" t="str">
        <f aca="false">IF(AND(E2968&gt;0,Y2968&lt;1,NOT(AND(C2969=C2968,Y2969=Y2968+1))),INDEX(DATAS,Y2968+1),"")</f>
        <v/>
      </c>
      <c r="AG2968" s="45" t="str">
        <f aca="false">IF(AND(AA2968=1,Y2968&lt;1),IF(AND(C2969=C2968,Y2969=Y2968+1),IF(AA2969=1,"",INDEX(DATAS,Y2968+1)),INDEX(DATAS,Y2968+1)),"")</f>
        <v/>
      </c>
    </row>
    <row r="2969" customFormat="false" ht="15" hidden="false" customHeight="false" outlineLevel="0" collapsed="false">
      <c r="A2969" s="45" t="n">
        <v>46309</v>
      </c>
      <c r="B2969" s="0" t="n">
        <v>13</v>
      </c>
      <c r="C2969" s="0" t="n">
        <v>7354</v>
      </c>
      <c r="E2969" s="0" t="n">
        <v>0</v>
      </c>
      <c r="F2969" s="39" t="s">
        <v>1408</v>
      </c>
      <c r="I2969" s="39" t="s">
        <v>136</v>
      </c>
      <c r="U2969" s="0" t="n">
        <v>264</v>
      </c>
      <c r="V2969" s="0" t="n">
        <v>0</v>
      </c>
      <c r="W2969" s="39" t="n">
        <f aca="false">IF(I2969="Male",0,1)</f>
        <v>1</v>
      </c>
      <c r="X2969" s="39" t="n">
        <f aca="false">IF(OR(I2969="DNB",I2969="Dry DNB"),1,0)</f>
        <v>0</v>
      </c>
      <c r="Y2969" s="39" t="n">
        <f aca="false">MATCH(A2969,DATAS,0)</f>
        <v>1</v>
      </c>
      <c r="Z2969" s="39" t="n">
        <f aca="false">IF(AND(E2969&gt;0,OR(AND(B2969&gt;=1,B2969&lt;=6),B2969=10)),1,0)</f>
        <v>0</v>
      </c>
      <c r="AA2969" s="39" t="n">
        <f aca="false">IF(AND(E2969&gt;0,B2969=10),1,0)</f>
        <v>0</v>
      </c>
      <c r="AB2969" s="0" t="str">
        <f aca="false">IF(AND(C2968=C2969,Y2968=Y2969-1),Z2968,"")</f>
        <v/>
      </c>
      <c r="AC2969" s="0" t="str">
        <f aca="false">IF(AND(C2968=C2969,Y2968=Y2969-1),AA2968,"")</f>
        <v/>
      </c>
      <c r="AD2969" s="0" t="str">
        <f aca="false">IF(Y2969=1,"",IF(AND(Z2969=1,AB2969&lt;&gt;1),1,0))</f>
        <v/>
      </c>
      <c r="AE2969" s="0" t="str">
        <f aca="false">IF(Y2969=1,"",IF(AND(AA2969=1,AC2969&lt;&gt;1),1,0))</f>
        <v/>
      </c>
      <c r="AF2969" s="45" t="str">
        <f aca="false">IF(AND(E2969&gt;0,Y2969&lt;1,NOT(AND(C2970=C2969,Y2970=Y2969+1))),INDEX(DATAS,Y2969+1),"")</f>
        <v/>
      </c>
      <c r="AG2969" s="45" t="str">
        <f aca="false">IF(AND(AA2969=1,Y2969&lt;1),IF(AND(C2970=C2969,Y2970=Y2969+1),IF(AA2970=1,"",INDEX(DATAS,Y2969+1)),INDEX(DATAS,Y2969+1)),"")</f>
        <v/>
      </c>
    </row>
    <row r="2970" customFormat="false" ht="15" hidden="false" customHeight="false" outlineLevel="0" collapsed="false">
      <c r="A2970" s="45" t="n">
        <v>46309</v>
      </c>
      <c r="B2970" s="0" t="n">
        <v>13</v>
      </c>
      <c r="C2970" s="0" t="n">
        <v>7355</v>
      </c>
      <c r="E2970" s="0" t="n">
        <v>0</v>
      </c>
      <c r="F2970" s="39" t="s">
        <v>1408</v>
      </c>
      <c r="I2970" s="39" t="s">
        <v>136</v>
      </c>
      <c r="U2970" s="0" t="n">
        <v>264</v>
      </c>
      <c r="V2970" s="0" t="n">
        <v>0</v>
      </c>
      <c r="W2970" s="39" t="n">
        <f aca="false">IF(I2970="Male",0,1)</f>
        <v>1</v>
      </c>
      <c r="X2970" s="39" t="n">
        <f aca="false">IF(OR(I2970="DNB",I2970="Dry DNB"),1,0)</f>
        <v>0</v>
      </c>
      <c r="Y2970" s="39" t="n">
        <f aca="false">MATCH(A2970,DATAS,0)</f>
        <v>1</v>
      </c>
      <c r="Z2970" s="39" t="n">
        <f aca="false">IF(AND(E2970&gt;0,OR(AND(B2970&gt;=1,B2970&lt;=6),B2970=10)),1,0)</f>
        <v>0</v>
      </c>
      <c r="AA2970" s="39" t="n">
        <f aca="false">IF(AND(E2970&gt;0,B2970=10),1,0)</f>
        <v>0</v>
      </c>
      <c r="AB2970" s="0" t="str">
        <f aca="false">IF(AND(C2969=C2970,Y2969=Y2970-1),Z2969,"")</f>
        <v/>
      </c>
      <c r="AC2970" s="0" t="str">
        <f aca="false">IF(AND(C2969=C2970,Y2969=Y2970-1),AA2969,"")</f>
        <v/>
      </c>
      <c r="AD2970" s="0" t="str">
        <f aca="false">IF(Y2970=1,"",IF(AND(Z2970=1,AB2970&lt;&gt;1),1,0))</f>
        <v/>
      </c>
      <c r="AE2970" s="0" t="str">
        <f aca="false">IF(Y2970=1,"",IF(AND(AA2970=1,AC2970&lt;&gt;1),1,0))</f>
        <v/>
      </c>
      <c r="AF2970" s="45" t="str">
        <f aca="false">IF(AND(E2970&gt;0,Y2970&lt;1,NOT(AND(C2971=C2970,Y2971=Y2970+1))),INDEX(DATAS,Y2970+1),"")</f>
        <v/>
      </c>
      <c r="AG2970" s="45" t="str">
        <f aca="false">IF(AND(AA2970=1,Y2970&lt;1),IF(AND(C2971=C2970,Y2971=Y2970+1),IF(AA2971=1,"",INDEX(DATAS,Y2970+1)),INDEX(DATAS,Y2970+1)),"")</f>
        <v/>
      </c>
    </row>
    <row r="2971" customFormat="false" ht="15" hidden="false" customHeight="false" outlineLevel="0" collapsed="false">
      <c r="A2971" s="45" t="n">
        <v>46309</v>
      </c>
      <c r="B2971" s="0" t="n">
        <v>13</v>
      </c>
      <c r="C2971" s="0" t="n">
        <v>7356</v>
      </c>
      <c r="E2971" s="0" t="n">
        <v>0</v>
      </c>
      <c r="F2971" s="39" t="s">
        <v>1408</v>
      </c>
      <c r="I2971" s="39" t="s">
        <v>136</v>
      </c>
      <c r="U2971" s="0" t="n">
        <v>264</v>
      </c>
      <c r="V2971" s="0" t="n">
        <v>0</v>
      </c>
      <c r="W2971" s="39" t="n">
        <f aca="false">IF(I2971="Male",0,1)</f>
        <v>1</v>
      </c>
      <c r="X2971" s="39" t="n">
        <f aca="false">IF(OR(I2971="DNB",I2971="Dry DNB"),1,0)</f>
        <v>0</v>
      </c>
      <c r="Y2971" s="39" t="n">
        <f aca="false">MATCH(A2971,DATAS,0)</f>
        <v>1</v>
      </c>
      <c r="Z2971" s="39" t="n">
        <f aca="false">IF(AND(E2971&gt;0,OR(AND(B2971&gt;=1,B2971&lt;=6),B2971=10)),1,0)</f>
        <v>0</v>
      </c>
      <c r="AA2971" s="39" t="n">
        <f aca="false">IF(AND(E2971&gt;0,B2971=10),1,0)</f>
        <v>0</v>
      </c>
      <c r="AB2971" s="0" t="str">
        <f aca="false">IF(AND(C2970=C2971,Y2970=Y2971-1),Z2970,"")</f>
        <v/>
      </c>
      <c r="AC2971" s="0" t="str">
        <f aca="false">IF(AND(C2970=C2971,Y2970=Y2971-1),AA2970,"")</f>
        <v/>
      </c>
      <c r="AD2971" s="0" t="str">
        <f aca="false">IF(Y2971=1,"",IF(AND(Z2971=1,AB2971&lt;&gt;1),1,0))</f>
        <v/>
      </c>
      <c r="AE2971" s="0" t="str">
        <f aca="false">IF(Y2971=1,"",IF(AND(AA2971=1,AC2971&lt;&gt;1),1,0))</f>
        <v/>
      </c>
      <c r="AF2971" s="45" t="str">
        <f aca="false">IF(AND(E2971&gt;0,Y2971&lt;1,NOT(AND(C2972=C2971,Y2972=Y2971+1))),INDEX(DATAS,Y2971+1),"")</f>
        <v/>
      </c>
      <c r="AG2971" s="45" t="str">
        <f aca="false">IF(AND(AA2971=1,Y2971&lt;1),IF(AND(C2972=C2971,Y2972=Y2971+1),IF(AA2972=1,"",INDEX(DATAS,Y2971+1)),INDEX(DATAS,Y2971+1)),"")</f>
        <v/>
      </c>
    </row>
    <row r="2972" customFormat="false" ht="15" hidden="false" customHeight="false" outlineLevel="0" collapsed="false">
      <c r="A2972" s="45" t="n">
        <v>46309</v>
      </c>
      <c r="B2972" s="0" t="n">
        <v>13</v>
      </c>
      <c r="C2972" s="0" t="n">
        <v>7357</v>
      </c>
      <c r="E2972" s="0" t="n">
        <v>0</v>
      </c>
      <c r="F2972" s="39" t="s">
        <v>1408</v>
      </c>
      <c r="I2972" s="39" t="s">
        <v>136</v>
      </c>
      <c r="U2972" s="0" t="n">
        <v>264</v>
      </c>
      <c r="V2972" s="0" t="n">
        <v>0</v>
      </c>
      <c r="W2972" s="39" t="n">
        <f aca="false">IF(I2972="Male",0,1)</f>
        <v>1</v>
      </c>
      <c r="X2972" s="39" t="n">
        <f aca="false">IF(OR(I2972="DNB",I2972="Dry DNB"),1,0)</f>
        <v>0</v>
      </c>
      <c r="Y2972" s="39" t="n">
        <f aca="false">MATCH(A2972,DATAS,0)</f>
        <v>1</v>
      </c>
      <c r="Z2972" s="39" t="n">
        <f aca="false">IF(AND(E2972&gt;0,OR(AND(B2972&gt;=1,B2972&lt;=6),B2972=10)),1,0)</f>
        <v>0</v>
      </c>
      <c r="AA2972" s="39" t="n">
        <f aca="false">IF(AND(E2972&gt;0,B2972=10),1,0)</f>
        <v>0</v>
      </c>
      <c r="AB2972" s="0" t="str">
        <f aca="false">IF(AND(C2971=C2972,Y2971=Y2972-1),Z2971,"")</f>
        <v/>
      </c>
      <c r="AC2972" s="0" t="str">
        <f aca="false">IF(AND(C2971=C2972,Y2971=Y2972-1),AA2971,"")</f>
        <v/>
      </c>
      <c r="AD2972" s="0" t="str">
        <f aca="false">IF(Y2972=1,"",IF(AND(Z2972=1,AB2972&lt;&gt;1),1,0))</f>
        <v/>
      </c>
      <c r="AE2972" s="0" t="str">
        <f aca="false">IF(Y2972=1,"",IF(AND(AA2972=1,AC2972&lt;&gt;1),1,0))</f>
        <v/>
      </c>
      <c r="AF2972" s="45" t="str">
        <f aca="false">IF(AND(E2972&gt;0,Y2972&lt;1,NOT(AND(C2973=C2972,Y2973=Y2972+1))),INDEX(DATAS,Y2972+1),"")</f>
        <v/>
      </c>
      <c r="AG2972" s="45" t="str">
        <f aca="false">IF(AND(AA2972=1,Y2972&lt;1),IF(AND(C2973=C2972,Y2973=Y2972+1),IF(AA2973=1,"",INDEX(DATAS,Y2972+1)),INDEX(DATAS,Y2972+1)),"")</f>
        <v/>
      </c>
    </row>
    <row r="2973" customFormat="false" ht="15" hidden="false" customHeight="false" outlineLevel="0" collapsed="false">
      <c r="A2973" s="45" t="n">
        <v>46309</v>
      </c>
      <c r="B2973" s="0" t="n">
        <v>13</v>
      </c>
      <c r="C2973" s="0" t="n">
        <v>7358</v>
      </c>
      <c r="E2973" s="0" t="n">
        <v>0</v>
      </c>
      <c r="F2973" s="39" t="s">
        <v>1409</v>
      </c>
      <c r="I2973" s="39" t="s">
        <v>136</v>
      </c>
      <c r="U2973" s="0" t="n">
        <v>263</v>
      </c>
      <c r="V2973" s="0" t="n">
        <v>0</v>
      </c>
      <c r="W2973" s="39" t="n">
        <f aca="false">IF(I2973="Male",0,1)</f>
        <v>1</v>
      </c>
      <c r="X2973" s="39" t="n">
        <f aca="false">IF(OR(I2973="DNB",I2973="Dry DNB"),1,0)</f>
        <v>0</v>
      </c>
      <c r="Y2973" s="39" t="n">
        <f aca="false">MATCH(A2973,DATAS,0)</f>
        <v>1</v>
      </c>
      <c r="Z2973" s="39" t="n">
        <f aca="false">IF(AND(E2973&gt;0,OR(AND(B2973&gt;=1,B2973&lt;=6),B2973=10)),1,0)</f>
        <v>0</v>
      </c>
      <c r="AA2973" s="39" t="n">
        <f aca="false">IF(AND(E2973&gt;0,B2973=10),1,0)</f>
        <v>0</v>
      </c>
      <c r="AB2973" s="0" t="str">
        <f aca="false">IF(AND(C2972=C2973,Y2972=Y2973-1),Z2972,"")</f>
        <v/>
      </c>
      <c r="AC2973" s="0" t="str">
        <f aca="false">IF(AND(C2972=C2973,Y2972=Y2973-1),AA2972,"")</f>
        <v/>
      </c>
      <c r="AD2973" s="0" t="str">
        <f aca="false">IF(Y2973=1,"",IF(AND(Z2973=1,AB2973&lt;&gt;1),1,0))</f>
        <v/>
      </c>
      <c r="AE2973" s="0" t="str">
        <f aca="false">IF(Y2973=1,"",IF(AND(AA2973=1,AC2973&lt;&gt;1),1,0))</f>
        <v/>
      </c>
      <c r="AF2973" s="45" t="str">
        <f aca="false">IF(AND(E2973&gt;0,Y2973&lt;1,NOT(AND(C2974=C2973,Y2974=Y2973+1))),INDEX(DATAS,Y2973+1),"")</f>
        <v/>
      </c>
      <c r="AG2973" s="45" t="str">
        <f aca="false">IF(AND(AA2973=1,Y2973&lt;1),IF(AND(C2974=C2973,Y2974=Y2973+1),IF(AA2974=1,"",INDEX(DATAS,Y2973+1)),INDEX(DATAS,Y2973+1)),"")</f>
        <v/>
      </c>
    </row>
    <row r="2974" customFormat="false" ht="15" hidden="false" customHeight="false" outlineLevel="0" collapsed="false">
      <c r="A2974" s="45" t="n">
        <v>46309</v>
      </c>
      <c r="B2974" s="0" t="n">
        <v>13</v>
      </c>
      <c r="C2974" s="0" t="n">
        <v>7359</v>
      </c>
      <c r="E2974" s="0" t="n">
        <v>0</v>
      </c>
      <c r="F2974" s="39" t="s">
        <v>1410</v>
      </c>
      <c r="I2974" s="39" t="s">
        <v>136</v>
      </c>
      <c r="U2974" s="0" t="n">
        <v>262</v>
      </c>
      <c r="V2974" s="0" t="n">
        <v>0</v>
      </c>
      <c r="W2974" s="39" t="n">
        <f aca="false">IF(I2974="Male",0,1)</f>
        <v>1</v>
      </c>
      <c r="X2974" s="39" t="n">
        <f aca="false">IF(OR(I2974="DNB",I2974="Dry DNB"),1,0)</f>
        <v>0</v>
      </c>
      <c r="Y2974" s="39" t="n">
        <f aca="false">MATCH(A2974,DATAS,0)</f>
        <v>1</v>
      </c>
      <c r="Z2974" s="39" t="n">
        <f aca="false">IF(AND(E2974&gt;0,OR(AND(B2974&gt;=1,B2974&lt;=6),B2974=10)),1,0)</f>
        <v>0</v>
      </c>
      <c r="AA2974" s="39" t="n">
        <f aca="false">IF(AND(E2974&gt;0,B2974=10),1,0)</f>
        <v>0</v>
      </c>
      <c r="AB2974" s="0" t="str">
        <f aca="false">IF(AND(C2973=C2974,Y2973=Y2974-1),Z2973,"")</f>
        <v/>
      </c>
      <c r="AC2974" s="0" t="str">
        <f aca="false">IF(AND(C2973=C2974,Y2973=Y2974-1),AA2973,"")</f>
        <v/>
      </c>
      <c r="AD2974" s="0" t="str">
        <f aca="false">IF(Y2974=1,"",IF(AND(Z2974=1,AB2974&lt;&gt;1),1,0))</f>
        <v/>
      </c>
      <c r="AE2974" s="0" t="str">
        <f aca="false">IF(Y2974=1,"",IF(AND(AA2974=1,AC2974&lt;&gt;1),1,0))</f>
        <v/>
      </c>
      <c r="AF2974" s="45" t="str">
        <f aca="false">IF(AND(E2974&gt;0,Y2974&lt;1,NOT(AND(C2975=C2974,Y2975=Y2974+1))),INDEX(DATAS,Y2974+1),"")</f>
        <v/>
      </c>
      <c r="AG2974" s="45" t="str">
        <f aca="false">IF(AND(AA2974=1,Y2974&lt;1),IF(AND(C2975=C2974,Y2975=Y2974+1),IF(AA2975=1,"",INDEX(DATAS,Y2974+1)),INDEX(DATAS,Y2974+1)),"")</f>
        <v/>
      </c>
    </row>
    <row r="2975" customFormat="false" ht="15" hidden="false" customHeight="false" outlineLevel="0" collapsed="false">
      <c r="A2975" s="45" t="n">
        <v>46309</v>
      </c>
      <c r="B2975" s="0" t="n">
        <v>13</v>
      </c>
      <c r="C2975" s="0" t="n">
        <v>7360</v>
      </c>
      <c r="E2975" s="0" t="n">
        <v>0</v>
      </c>
      <c r="F2975" s="39" t="s">
        <v>1410</v>
      </c>
      <c r="I2975" s="39" t="s">
        <v>136</v>
      </c>
      <c r="U2975" s="0" t="n">
        <v>262</v>
      </c>
      <c r="V2975" s="0" t="n">
        <v>0</v>
      </c>
      <c r="W2975" s="39" t="n">
        <f aca="false">IF(I2975="Male",0,1)</f>
        <v>1</v>
      </c>
      <c r="X2975" s="39" t="n">
        <f aca="false">IF(OR(I2975="DNB",I2975="Dry DNB"),1,0)</f>
        <v>0</v>
      </c>
      <c r="Y2975" s="39" t="n">
        <f aca="false">MATCH(A2975,DATAS,0)</f>
        <v>1</v>
      </c>
      <c r="Z2975" s="39" t="n">
        <f aca="false">IF(AND(E2975&gt;0,OR(AND(B2975&gt;=1,B2975&lt;=6),B2975=10)),1,0)</f>
        <v>0</v>
      </c>
      <c r="AA2975" s="39" t="n">
        <f aca="false">IF(AND(E2975&gt;0,B2975=10),1,0)</f>
        <v>0</v>
      </c>
      <c r="AB2975" s="0" t="str">
        <f aca="false">IF(AND(C2974=C2975,Y2974=Y2975-1),Z2974,"")</f>
        <v/>
      </c>
      <c r="AC2975" s="0" t="str">
        <f aca="false">IF(AND(C2974=C2975,Y2974=Y2975-1),AA2974,"")</f>
        <v/>
      </c>
      <c r="AD2975" s="0" t="str">
        <f aca="false">IF(Y2975=1,"",IF(AND(Z2975=1,AB2975&lt;&gt;1),1,0))</f>
        <v/>
      </c>
      <c r="AE2975" s="0" t="str">
        <f aca="false">IF(Y2975=1,"",IF(AND(AA2975=1,AC2975&lt;&gt;1),1,0))</f>
        <v/>
      </c>
      <c r="AF2975" s="45" t="str">
        <f aca="false">IF(AND(E2975&gt;0,Y2975&lt;1,NOT(AND(C2976=C2975,Y2976=Y2975+1))),INDEX(DATAS,Y2975+1),"")</f>
        <v/>
      </c>
      <c r="AG2975" s="45" t="str">
        <f aca="false">IF(AND(AA2975=1,Y2975&lt;1),IF(AND(C2976=C2975,Y2976=Y2975+1),IF(AA2976=1,"",INDEX(DATAS,Y2975+1)),INDEX(DATAS,Y2975+1)),"")</f>
        <v/>
      </c>
    </row>
    <row r="2976" customFormat="false" ht="15" hidden="false" customHeight="false" outlineLevel="0" collapsed="false">
      <c r="A2976" s="45" t="n">
        <v>46309</v>
      </c>
      <c r="B2976" s="0" t="n">
        <v>13</v>
      </c>
      <c r="C2976" s="0" t="n">
        <v>7362</v>
      </c>
      <c r="E2976" s="0" t="n">
        <v>0</v>
      </c>
      <c r="F2976" s="39" t="s">
        <v>1411</v>
      </c>
      <c r="I2976" s="39" t="s">
        <v>136</v>
      </c>
      <c r="U2976" s="0" t="n">
        <v>261</v>
      </c>
      <c r="V2976" s="0" t="n">
        <v>0</v>
      </c>
      <c r="W2976" s="39" t="n">
        <f aca="false">IF(I2976="Male",0,1)</f>
        <v>1</v>
      </c>
      <c r="X2976" s="39" t="n">
        <f aca="false">IF(OR(I2976="DNB",I2976="Dry DNB"),1,0)</f>
        <v>0</v>
      </c>
      <c r="Y2976" s="39" t="n">
        <f aca="false">MATCH(A2976,DATAS,0)</f>
        <v>1</v>
      </c>
      <c r="Z2976" s="39" t="n">
        <f aca="false">IF(AND(E2976&gt;0,OR(AND(B2976&gt;=1,B2976&lt;=6),B2976=10)),1,0)</f>
        <v>0</v>
      </c>
      <c r="AA2976" s="39" t="n">
        <f aca="false">IF(AND(E2976&gt;0,B2976=10),1,0)</f>
        <v>0</v>
      </c>
      <c r="AB2976" s="0" t="str">
        <f aca="false">IF(AND(C2975=C2976,Y2975=Y2976-1),Z2975,"")</f>
        <v/>
      </c>
      <c r="AC2976" s="0" t="str">
        <f aca="false">IF(AND(C2975=C2976,Y2975=Y2976-1),AA2975,"")</f>
        <v/>
      </c>
      <c r="AD2976" s="0" t="str">
        <f aca="false">IF(Y2976=1,"",IF(AND(Z2976=1,AB2976&lt;&gt;1),1,0))</f>
        <v/>
      </c>
      <c r="AE2976" s="0" t="str">
        <f aca="false">IF(Y2976=1,"",IF(AND(AA2976=1,AC2976&lt;&gt;1),1,0))</f>
        <v/>
      </c>
      <c r="AF2976" s="45" t="str">
        <f aca="false">IF(AND(E2976&gt;0,Y2976&lt;1,NOT(AND(C2977=C2976,Y2977=Y2976+1))),INDEX(DATAS,Y2976+1),"")</f>
        <v/>
      </c>
      <c r="AG2976" s="45" t="str">
        <f aca="false">IF(AND(AA2976=1,Y2976&lt;1),IF(AND(C2977=C2976,Y2977=Y2976+1),IF(AA2977=1,"",INDEX(DATAS,Y2976+1)),INDEX(DATAS,Y2976+1)),"")</f>
        <v/>
      </c>
    </row>
    <row r="2977" customFormat="false" ht="15" hidden="false" customHeight="false" outlineLevel="0" collapsed="false">
      <c r="A2977" s="45" t="n">
        <v>46309</v>
      </c>
      <c r="B2977" s="0" t="n">
        <v>13</v>
      </c>
      <c r="C2977" s="0" t="n">
        <v>7363</v>
      </c>
      <c r="E2977" s="0" t="n">
        <v>0</v>
      </c>
      <c r="F2977" s="39" t="s">
        <v>1411</v>
      </c>
      <c r="I2977" s="39" t="s">
        <v>136</v>
      </c>
      <c r="U2977" s="0" t="n">
        <v>261</v>
      </c>
      <c r="V2977" s="0" t="n">
        <v>0</v>
      </c>
      <c r="W2977" s="39" t="n">
        <f aca="false">IF(I2977="Male",0,1)</f>
        <v>1</v>
      </c>
      <c r="X2977" s="39" t="n">
        <f aca="false">IF(OR(I2977="DNB",I2977="Dry DNB"),1,0)</f>
        <v>0</v>
      </c>
      <c r="Y2977" s="39" t="n">
        <f aca="false">MATCH(A2977,DATAS,0)</f>
        <v>1</v>
      </c>
      <c r="Z2977" s="39" t="n">
        <f aca="false">IF(AND(E2977&gt;0,OR(AND(B2977&gt;=1,B2977&lt;=6),B2977=10)),1,0)</f>
        <v>0</v>
      </c>
      <c r="AA2977" s="39" t="n">
        <f aca="false">IF(AND(E2977&gt;0,B2977=10),1,0)</f>
        <v>0</v>
      </c>
      <c r="AB2977" s="0" t="str">
        <f aca="false">IF(AND(C2976=C2977,Y2976=Y2977-1),Z2976,"")</f>
        <v/>
      </c>
      <c r="AC2977" s="0" t="str">
        <f aca="false">IF(AND(C2976=C2977,Y2976=Y2977-1),AA2976,"")</f>
        <v/>
      </c>
      <c r="AD2977" s="0" t="str">
        <f aca="false">IF(Y2977=1,"",IF(AND(Z2977=1,AB2977&lt;&gt;1),1,0))</f>
        <v/>
      </c>
      <c r="AE2977" s="0" t="str">
        <f aca="false">IF(Y2977=1,"",IF(AND(AA2977=1,AC2977&lt;&gt;1),1,0))</f>
        <v/>
      </c>
      <c r="AF2977" s="45" t="str">
        <f aca="false">IF(AND(E2977&gt;0,Y2977&lt;1,NOT(AND(C2978=C2977,Y2978=Y2977+1))),INDEX(DATAS,Y2977+1),"")</f>
        <v/>
      </c>
      <c r="AG2977" s="45" t="str">
        <f aca="false">IF(AND(AA2977=1,Y2977&lt;1),IF(AND(C2978=C2977,Y2978=Y2977+1),IF(AA2978=1,"",INDEX(DATAS,Y2977+1)),INDEX(DATAS,Y2977+1)),"")</f>
        <v/>
      </c>
    </row>
    <row r="2978" customFormat="false" ht="15" hidden="false" customHeight="false" outlineLevel="0" collapsed="false">
      <c r="A2978" s="45" t="n">
        <v>46309</v>
      </c>
      <c r="B2978" s="0" t="n">
        <v>13</v>
      </c>
      <c r="C2978" s="0" t="n">
        <v>7364</v>
      </c>
      <c r="E2978" s="0" t="n">
        <v>0</v>
      </c>
      <c r="F2978" s="39" t="s">
        <v>1411</v>
      </c>
      <c r="I2978" s="39" t="s">
        <v>136</v>
      </c>
      <c r="U2978" s="0" t="n">
        <v>261</v>
      </c>
      <c r="V2978" s="0" t="n">
        <v>0</v>
      </c>
      <c r="W2978" s="39" t="n">
        <f aca="false">IF(I2978="Male",0,1)</f>
        <v>1</v>
      </c>
      <c r="X2978" s="39" t="n">
        <f aca="false">IF(OR(I2978="DNB",I2978="Dry DNB"),1,0)</f>
        <v>0</v>
      </c>
      <c r="Y2978" s="39" t="n">
        <f aca="false">MATCH(A2978,DATAS,0)</f>
        <v>1</v>
      </c>
      <c r="Z2978" s="39" t="n">
        <f aca="false">IF(AND(E2978&gt;0,OR(AND(B2978&gt;=1,B2978&lt;=6),B2978=10)),1,0)</f>
        <v>0</v>
      </c>
      <c r="AA2978" s="39" t="n">
        <f aca="false">IF(AND(E2978&gt;0,B2978=10),1,0)</f>
        <v>0</v>
      </c>
      <c r="AB2978" s="0" t="str">
        <f aca="false">IF(AND(C2977=C2978,Y2977=Y2978-1),Z2977,"")</f>
        <v/>
      </c>
      <c r="AC2978" s="0" t="str">
        <f aca="false">IF(AND(C2977=C2978,Y2977=Y2978-1),AA2977,"")</f>
        <v/>
      </c>
      <c r="AD2978" s="0" t="str">
        <f aca="false">IF(Y2978=1,"",IF(AND(Z2978=1,AB2978&lt;&gt;1),1,0))</f>
        <v/>
      </c>
      <c r="AE2978" s="0" t="str">
        <f aca="false">IF(Y2978=1,"",IF(AND(AA2978=1,AC2978&lt;&gt;1),1,0))</f>
        <v/>
      </c>
      <c r="AF2978" s="45" t="str">
        <f aca="false">IF(AND(E2978&gt;0,Y2978&lt;1,NOT(AND(C2979=C2978,Y2979=Y2978+1))),INDEX(DATAS,Y2978+1),"")</f>
        <v/>
      </c>
      <c r="AG2978" s="45" t="str">
        <f aca="false">IF(AND(AA2978=1,Y2978&lt;1),IF(AND(C2979=C2978,Y2979=Y2978+1),IF(AA2979=1,"",INDEX(DATAS,Y2978+1)),INDEX(DATAS,Y2978+1)),"")</f>
        <v/>
      </c>
    </row>
    <row r="2979" customFormat="false" ht="15" hidden="false" customHeight="false" outlineLevel="0" collapsed="false">
      <c r="A2979" s="45" t="n">
        <v>46309</v>
      </c>
      <c r="B2979" s="0" t="n">
        <v>13</v>
      </c>
      <c r="C2979" s="0" t="n">
        <v>7365</v>
      </c>
      <c r="E2979" s="0" t="n">
        <v>0</v>
      </c>
      <c r="F2979" s="39" t="s">
        <v>1412</v>
      </c>
      <c r="I2979" s="39" t="s">
        <v>136</v>
      </c>
      <c r="U2979" s="0" t="n">
        <v>260</v>
      </c>
      <c r="V2979" s="0" t="n">
        <v>0</v>
      </c>
      <c r="W2979" s="39" t="n">
        <f aca="false">IF(I2979="Male",0,1)</f>
        <v>1</v>
      </c>
      <c r="X2979" s="39" t="n">
        <f aca="false">IF(OR(I2979="DNB",I2979="Dry DNB"),1,0)</f>
        <v>0</v>
      </c>
      <c r="Y2979" s="39" t="n">
        <f aca="false">MATCH(A2979,DATAS,0)</f>
        <v>1</v>
      </c>
      <c r="Z2979" s="39" t="n">
        <f aca="false">IF(AND(E2979&gt;0,OR(AND(B2979&gt;=1,B2979&lt;=6),B2979=10)),1,0)</f>
        <v>0</v>
      </c>
      <c r="AA2979" s="39" t="n">
        <f aca="false">IF(AND(E2979&gt;0,B2979=10),1,0)</f>
        <v>0</v>
      </c>
      <c r="AB2979" s="0" t="str">
        <f aca="false">IF(AND(C2978=C2979,Y2978=Y2979-1),Z2978,"")</f>
        <v/>
      </c>
      <c r="AC2979" s="0" t="str">
        <f aca="false">IF(AND(C2978=C2979,Y2978=Y2979-1),AA2978,"")</f>
        <v/>
      </c>
      <c r="AD2979" s="0" t="str">
        <f aca="false">IF(Y2979=1,"",IF(AND(Z2979=1,AB2979&lt;&gt;1),1,0))</f>
        <v/>
      </c>
      <c r="AE2979" s="0" t="str">
        <f aca="false">IF(Y2979=1,"",IF(AND(AA2979=1,AC2979&lt;&gt;1),1,0))</f>
        <v/>
      </c>
      <c r="AF2979" s="45" t="str">
        <f aca="false">IF(AND(E2979&gt;0,Y2979&lt;1,NOT(AND(C2980=C2979,Y2980=Y2979+1))),INDEX(DATAS,Y2979+1),"")</f>
        <v/>
      </c>
      <c r="AG2979" s="45" t="str">
        <f aca="false">IF(AND(AA2979=1,Y2979&lt;1),IF(AND(C2980=C2979,Y2980=Y2979+1),IF(AA2980=1,"",INDEX(DATAS,Y2979+1)),INDEX(DATAS,Y2979+1)),"")</f>
        <v/>
      </c>
    </row>
    <row r="2980" customFormat="false" ht="15" hidden="false" customHeight="false" outlineLevel="0" collapsed="false">
      <c r="A2980" s="45" t="n">
        <v>46309</v>
      </c>
      <c r="B2980" s="0" t="n">
        <v>13</v>
      </c>
      <c r="C2980" s="0" t="n">
        <v>7367</v>
      </c>
      <c r="E2980" s="0" t="n">
        <v>0</v>
      </c>
      <c r="F2980" s="39" t="s">
        <v>1413</v>
      </c>
      <c r="I2980" s="39" t="s">
        <v>136</v>
      </c>
      <c r="U2980" s="0" t="n">
        <v>259</v>
      </c>
      <c r="V2980" s="0" t="n">
        <v>0</v>
      </c>
      <c r="W2980" s="39" t="n">
        <f aca="false">IF(I2980="Male",0,1)</f>
        <v>1</v>
      </c>
      <c r="X2980" s="39" t="n">
        <f aca="false">IF(OR(I2980="DNB",I2980="Dry DNB"),1,0)</f>
        <v>0</v>
      </c>
      <c r="Y2980" s="39" t="n">
        <f aca="false">MATCH(A2980,DATAS,0)</f>
        <v>1</v>
      </c>
      <c r="Z2980" s="39" t="n">
        <f aca="false">IF(AND(E2980&gt;0,OR(AND(B2980&gt;=1,B2980&lt;=6),B2980=10)),1,0)</f>
        <v>0</v>
      </c>
      <c r="AA2980" s="39" t="n">
        <f aca="false">IF(AND(E2980&gt;0,B2980=10),1,0)</f>
        <v>0</v>
      </c>
      <c r="AB2980" s="0" t="str">
        <f aca="false">IF(AND(C2979=C2980,Y2979=Y2980-1),Z2979,"")</f>
        <v/>
      </c>
      <c r="AC2980" s="0" t="str">
        <f aca="false">IF(AND(C2979=C2980,Y2979=Y2980-1),AA2979,"")</f>
        <v/>
      </c>
      <c r="AD2980" s="0" t="str">
        <f aca="false">IF(Y2980=1,"",IF(AND(Z2980=1,AB2980&lt;&gt;1),1,0))</f>
        <v/>
      </c>
      <c r="AE2980" s="0" t="str">
        <f aca="false">IF(Y2980=1,"",IF(AND(AA2980=1,AC2980&lt;&gt;1),1,0))</f>
        <v/>
      </c>
      <c r="AF2980" s="45" t="str">
        <f aca="false">IF(AND(E2980&gt;0,Y2980&lt;1,NOT(AND(C2981=C2980,Y2981=Y2980+1))),INDEX(DATAS,Y2980+1),"")</f>
        <v/>
      </c>
      <c r="AG2980" s="45" t="str">
        <f aca="false">IF(AND(AA2980=1,Y2980&lt;1),IF(AND(C2981=C2980,Y2981=Y2980+1),IF(AA2981=1,"",INDEX(DATAS,Y2980+1)),INDEX(DATAS,Y2980+1)),"")</f>
        <v/>
      </c>
    </row>
    <row r="2981" customFormat="false" ht="15" hidden="false" customHeight="false" outlineLevel="0" collapsed="false">
      <c r="A2981" s="45" t="n">
        <v>46309</v>
      </c>
      <c r="B2981" s="0" t="n">
        <v>13</v>
      </c>
      <c r="C2981" s="0" t="n">
        <v>7368</v>
      </c>
      <c r="E2981" s="0" t="n">
        <v>0</v>
      </c>
      <c r="F2981" s="39" t="s">
        <v>1413</v>
      </c>
      <c r="I2981" s="39" t="s">
        <v>136</v>
      </c>
      <c r="U2981" s="0" t="n">
        <v>259</v>
      </c>
      <c r="V2981" s="0" t="n">
        <v>0</v>
      </c>
      <c r="W2981" s="39" t="n">
        <f aca="false">IF(I2981="Male",0,1)</f>
        <v>1</v>
      </c>
      <c r="X2981" s="39" t="n">
        <f aca="false">IF(OR(I2981="DNB",I2981="Dry DNB"),1,0)</f>
        <v>0</v>
      </c>
      <c r="Y2981" s="39" t="n">
        <f aca="false">MATCH(A2981,DATAS,0)</f>
        <v>1</v>
      </c>
      <c r="Z2981" s="39" t="n">
        <f aca="false">IF(AND(E2981&gt;0,OR(AND(B2981&gt;=1,B2981&lt;=6),B2981=10)),1,0)</f>
        <v>0</v>
      </c>
      <c r="AA2981" s="39" t="n">
        <f aca="false">IF(AND(E2981&gt;0,B2981=10),1,0)</f>
        <v>0</v>
      </c>
      <c r="AB2981" s="0" t="str">
        <f aca="false">IF(AND(C2980=C2981,Y2980=Y2981-1),Z2980,"")</f>
        <v/>
      </c>
      <c r="AC2981" s="0" t="str">
        <f aca="false">IF(AND(C2980=C2981,Y2980=Y2981-1),AA2980,"")</f>
        <v/>
      </c>
      <c r="AD2981" s="0" t="str">
        <f aca="false">IF(Y2981=1,"",IF(AND(Z2981=1,AB2981&lt;&gt;1),1,0))</f>
        <v/>
      </c>
      <c r="AE2981" s="0" t="str">
        <f aca="false">IF(Y2981=1,"",IF(AND(AA2981=1,AC2981&lt;&gt;1),1,0))</f>
        <v/>
      </c>
      <c r="AF2981" s="45" t="str">
        <f aca="false">IF(AND(E2981&gt;0,Y2981&lt;1,NOT(AND(C2982=C2981,Y2982=Y2981+1))),INDEX(DATAS,Y2981+1),"")</f>
        <v/>
      </c>
      <c r="AG2981" s="45" t="str">
        <f aca="false">IF(AND(AA2981=1,Y2981&lt;1),IF(AND(C2982=C2981,Y2982=Y2981+1),IF(AA2982=1,"",INDEX(DATAS,Y2981+1)),INDEX(DATAS,Y2981+1)),"")</f>
        <v/>
      </c>
    </row>
    <row r="2982" customFormat="false" ht="15" hidden="false" customHeight="false" outlineLevel="0" collapsed="false">
      <c r="A2982" s="45" t="n">
        <v>46309</v>
      </c>
      <c r="B2982" s="0" t="n">
        <v>13</v>
      </c>
      <c r="C2982" s="0" t="n">
        <v>7369</v>
      </c>
      <c r="E2982" s="0" t="n">
        <v>0</v>
      </c>
      <c r="F2982" s="39" t="s">
        <v>1414</v>
      </c>
      <c r="I2982" s="39" t="s">
        <v>136</v>
      </c>
      <c r="U2982" s="0" t="n">
        <v>258</v>
      </c>
      <c r="V2982" s="0" t="n">
        <v>0</v>
      </c>
      <c r="W2982" s="39" t="n">
        <f aca="false">IF(I2982="Male",0,1)</f>
        <v>1</v>
      </c>
      <c r="X2982" s="39" t="n">
        <f aca="false">IF(OR(I2982="DNB",I2982="Dry DNB"),1,0)</f>
        <v>0</v>
      </c>
      <c r="Y2982" s="39" t="n">
        <f aca="false">MATCH(A2982,DATAS,0)</f>
        <v>1</v>
      </c>
      <c r="Z2982" s="39" t="n">
        <f aca="false">IF(AND(E2982&gt;0,OR(AND(B2982&gt;=1,B2982&lt;=6),B2982=10)),1,0)</f>
        <v>0</v>
      </c>
      <c r="AA2982" s="39" t="n">
        <f aca="false">IF(AND(E2982&gt;0,B2982=10),1,0)</f>
        <v>0</v>
      </c>
      <c r="AB2982" s="0" t="str">
        <f aca="false">IF(AND(C2981=C2982,Y2981=Y2982-1),Z2981,"")</f>
        <v/>
      </c>
      <c r="AC2982" s="0" t="str">
        <f aca="false">IF(AND(C2981=C2982,Y2981=Y2982-1),AA2981,"")</f>
        <v/>
      </c>
      <c r="AD2982" s="0" t="str">
        <f aca="false">IF(Y2982=1,"",IF(AND(Z2982=1,AB2982&lt;&gt;1),1,0))</f>
        <v/>
      </c>
      <c r="AE2982" s="0" t="str">
        <f aca="false">IF(Y2982=1,"",IF(AND(AA2982=1,AC2982&lt;&gt;1),1,0))</f>
        <v/>
      </c>
      <c r="AF2982" s="45" t="str">
        <f aca="false">IF(AND(E2982&gt;0,Y2982&lt;1,NOT(AND(C2983=C2982,Y2983=Y2982+1))),INDEX(DATAS,Y2982+1),"")</f>
        <v/>
      </c>
      <c r="AG2982" s="45" t="str">
        <f aca="false">IF(AND(AA2982=1,Y2982&lt;1),IF(AND(C2983=C2982,Y2983=Y2982+1),IF(AA2983=1,"",INDEX(DATAS,Y2982+1)),INDEX(DATAS,Y2982+1)),"")</f>
        <v/>
      </c>
    </row>
    <row r="2983" customFormat="false" ht="15" hidden="false" customHeight="false" outlineLevel="0" collapsed="false">
      <c r="A2983" s="45" t="n">
        <v>46309</v>
      </c>
      <c r="B2983" s="0" t="n">
        <v>13</v>
      </c>
      <c r="C2983" s="0" t="n">
        <v>7370</v>
      </c>
      <c r="E2983" s="0" t="n">
        <v>0</v>
      </c>
      <c r="F2983" s="39" t="s">
        <v>1414</v>
      </c>
      <c r="I2983" s="39" t="s">
        <v>136</v>
      </c>
      <c r="U2983" s="0" t="n">
        <v>258</v>
      </c>
      <c r="V2983" s="0" t="n">
        <v>0</v>
      </c>
      <c r="W2983" s="39" t="n">
        <f aca="false">IF(I2983="Male",0,1)</f>
        <v>1</v>
      </c>
      <c r="X2983" s="39" t="n">
        <f aca="false">IF(OR(I2983="DNB",I2983="Dry DNB"),1,0)</f>
        <v>0</v>
      </c>
      <c r="Y2983" s="39" t="n">
        <f aca="false">MATCH(A2983,DATAS,0)</f>
        <v>1</v>
      </c>
      <c r="Z2983" s="39" t="n">
        <f aca="false">IF(AND(E2983&gt;0,OR(AND(B2983&gt;=1,B2983&lt;=6),B2983=10)),1,0)</f>
        <v>0</v>
      </c>
      <c r="AA2983" s="39" t="n">
        <f aca="false">IF(AND(E2983&gt;0,B2983=10),1,0)</f>
        <v>0</v>
      </c>
      <c r="AB2983" s="0" t="str">
        <f aca="false">IF(AND(C2982=C2983,Y2982=Y2983-1),Z2982,"")</f>
        <v/>
      </c>
      <c r="AC2983" s="0" t="str">
        <f aca="false">IF(AND(C2982=C2983,Y2982=Y2983-1),AA2982,"")</f>
        <v/>
      </c>
      <c r="AD2983" s="0" t="str">
        <f aca="false">IF(Y2983=1,"",IF(AND(Z2983=1,AB2983&lt;&gt;1),1,0))</f>
        <v/>
      </c>
      <c r="AE2983" s="0" t="str">
        <f aca="false">IF(Y2983=1,"",IF(AND(AA2983=1,AC2983&lt;&gt;1),1,0))</f>
        <v/>
      </c>
      <c r="AF2983" s="45" t="str">
        <f aca="false">IF(AND(E2983&gt;0,Y2983&lt;1,NOT(AND(C2984=C2983,Y2984=Y2983+1))),INDEX(DATAS,Y2983+1),"")</f>
        <v/>
      </c>
      <c r="AG2983" s="45" t="str">
        <f aca="false">IF(AND(AA2983=1,Y2983&lt;1),IF(AND(C2984=C2983,Y2984=Y2983+1),IF(AA2984=1,"",INDEX(DATAS,Y2983+1)),INDEX(DATAS,Y2983+1)),"")</f>
        <v/>
      </c>
    </row>
    <row r="2984" customFormat="false" ht="15" hidden="false" customHeight="false" outlineLevel="0" collapsed="false">
      <c r="A2984" s="45" t="n">
        <v>46309</v>
      </c>
      <c r="B2984" s="0" t="n">
        <v>13</v>
      </c>
      <c r="C2984" s="0" t="n">
        <v>7371</v>
      </c>
      <c r="E2984" s="0" t="n">
        <v>0</v>
      </c>
      <c r="F2984" s="39" t="s">
        <v>1414</v>
      </c>
      <c r="I2984" s="39" t="s">
        <v>136</v>
      </c>
      <c r="U2984" s="0" t="n">
        <v>258</v>
      </c>
      <c r="V2984" s="0" t="n">
        <v>0</v>
      </c>
      <c r="W2984" s="39" t="n">
        <f aca="false">IF(I2984="Male",0,1)</f>
        <v>1</v>
      </c>
      <c r="X2984" s="39" t="n">
        <f aca="false">IF(OR(I2984="DNB",I2984="Dry DNB"),1,0)</f>
        <v>0</v>
      </c>
      <c r="Y2984" s="39" t="n">
        <f aca="false">MATCH(A2984,DATAS,0)</f>
        <v>1</v>
      </c>
      <c r="Z2984" s="39" t="n">
        <f aca="false">IF(AND(E2984&gt;0,OR(AND(B2984&gt;=1,B2984&lt;=6),B2984=10)),1,0)</f>
        <v>0</v>
      </c>
      <c r="AA2984" s="39" t="n">
        <f aca="false">IF(AND(E2984&gt;0,B2984=10),1,0)</f>
        <v>0</v>
      </c>
      <c r="AB2984" s="0" t="str">
        <f aca="false">IF(AND(C2983=C2984,Y2983=Y2984-1),Z2983,"")</f>
        <v/>
      </c>
      <c r="AC2984" s="0" t="str">
        <f aca="false">IF(AND(C2983=C2984,Y2983=Y2984-1),AA2983,"")</f>
        <v/>
      </c>
      <c r="AD2984" s="0" t="str">
        <f aca="false">IF(Y2984=1,"",IF(AND(Z2984=1,AB2984&lt;&gt;1),1,0))</f>
        <v/>
      </c>
      <c r="AE2984" s="0" t="str">
        <f aca="false">IF(Y2984=1,"",IF(AND(AA2984=1,AC2984&lt;&gt;1),1,0))</f>
        <v/>
      </c>
      <c r="AF2984" s="45" t="str">
        <f aca="false">IF(AND(E2984&gt;0,Y2984&lt;1,NOT(AND(C2985=C2984,Y2985=Y2984+1))),INDEX(DATAS,Y2984+1),"")</f>
        <v/>
      </c>
      <c r="AG2984" s="45" t="str">
        <f aca="false">IF(AND(AA2984=1,Y2984&lt;1),IF(AND(C2985=C2984,Y2985=Y2984+1),IF(AA2985=1,"",INDEX(DATAS,Y2984+1)),INDEX(DATAS,Y2984+1)),"")</f>
        <v/>
      </c>
    </row>
    <row r="2985" customFormat="false" ht="15" hidden="false" customHeight="false" outlineLevel="0" collapsed="false">
      <c r="A2985" s="45" t="n">
        <v>46309</v>
      </c>
      <c r="B2985" s="0" t="n">
        <v>13</v>
      </c>
      <c r="C2985" s="0" t="n">
        <v>7372</v>
      </c>
      <c r="E2985" s="0" t="n">
        <v>0</v>
      </c>
      <c r="F2985" s="39" t="s">
        <v>1415</v>
      </c>
      <c r="I2985" s="39" t="s">
        <v>136</v>
      </c>
      <c r="U2985" s="0" t="n">
        <v>257</v>
      </c>
      <c r="V2985" s="0" t="n">
        <v>0</v>
      </c>
      <c r="W2985" s="39" t="n">
        <f aca="false">IF(I2985="Male",0,1)</f>
        <v>1</v>
      </c>
      <c r="X2985" s="39" t="n">
        <f aca="false">IF(OR(I2985="DNB",I2985="Dry DNB"),1,0)</f>
        <v>0</v>
      </c>
      <c r="Y2985" s="39" t="n">
        <f aca="false">MATCH(A2985,DATAS,0)</f>
        <v>1</v>
      </c>
      <c r="Z2985" s="39" t="n">
        <f aca="false">IF(AND(E2985&gt;0,OR(AND(B2985&gt;=1,B2985&lt;=6),B2985=10)),1,0)</f>
        <v>0</v>
      </c>
      <c r="AA2985" s="39" t="n">
        <f aca="false">IF(AND(E2985&gt;0,B2985=10),1,0)</f>
        <v>0</v>
      </c>
      <c r="AB2985" s="0" t="str">
        <f aca="false">IF(AND(C2984=C2985,Y2984=Y2985-1),Z2984,"")</f>
        <v/>
      </c>
      <c r="AC2985" s="0" t="str">
        <f aca="false">IF(AND(C2984=C2985,Y2984=Y2985-1),AA2984,"")</f>
        <v/>
      </c>
      <c r="AD2985" s="0" t="str">
        <f aca="false">IF(Y2985=1,"",IF(AND(Z2985=1,AB2985&lt;&gt;1),1,0))</f>
        <v/>
      </c>
      <c r="AE2985" s="0" t="str">
        <f aca="false">IF(Y2985=1,"",IF(AND(AA2985=1,AC2985&lt;&gt;1),1,0))</f>
        <v/>
      </c>
      <c r="AF2985" s="45" t="str">
        <f aca="false">IF(AND(E2985&gt;0,Y2985&lt;1,NOT(AND(C2986=C2985,Y2986=Y2985+1))),INDEX(DATAS,Y2985+1),"")</f>
        <v/>
      </c>
      <c r="AG2985" s="45" t="str">
        <f aca="false">IF(AND(AA2985=1,Y2985&lt;1),IF(AND(C2986=C2985,Y2986=Y2985+1),IF(AA2986=1,"",INDEX(DATAS,Y2985+1)),INDEX(DATAS,Y2985+1)),"")</f>
        <v/>
      </c>
    </row>
    <row r="2986" customFormat="false" ht="15" hidden="false" customHeight="false" outlineLevel="0" collapsed="false">
      <c r="A2986" s="45" t="n">
        <v>46309</v>
      </c>
      <c r="B2986" s="0" t="n">
        <v>13</v>
      </c>
      <c r="C2986" s="0" t="n">
        <v>7374</v>
      </c>
      <c r="E2986" s="0" t="n">
        <v>0</v>
      </c>
      <c r="F2986" s="39" t="s">
        <v>1416</v>
      </c>
      <c r="I2986" s="39" t="s">
        <v>136</v>
      </c>
      <c r="U2986" s="0" t="n">
        <v>256</v>
      </c>
      <c r="V2986" s="0" t="n">
        <v>0</v>
      </c>
      <c r="W2986" s="39" t="n">
        <f aca="false">IF(I2986="Male",0,1)</f>
        <v>1</v>
      </c>
      <c r="X2986" s="39" t="n">
        <f aca="false">IF(OR(I2986="DNB",I2986="Dry DNB"),1,0)</f>
        <v>0</v>
      </c>
      <c r="Y2986" s="39" t="n">
        <f aca="false">MATCH(A2986,DATAS,0)</f>
        <v>1</v>
      </c>
      <c r="Z2986" s="39" t="n">
        <f aca="false">IF(AND(E2986&gt;0,OR(AND(B2986&gt;=1,B2986&lt;=6),B2986=10)),1,0)</f>
        <v>0</v>
      </c>
      <c r="AA2986" s="39" t="n">
        <f aca="false">IF(AND(E2986&gt;0,B2986=10),1,0)</f>
        <v>0</v>
      </c>
      <c r="AB2986" s="0" t="str">
        <f aca="false">IF(AND(C2985=C2986,Y2985=Y2986-1),Z2985,"")</f>
        <v/>
      </c>
      <c r="AC2986" s="0" t="str">
        <f aca="false">IF(AND(C2985=C2986,Y2985=Y2986-1),AA2985,"")</f>
        <v/>
      </c>
      <c r="AD2986" s="0" t="str">
        <f aca="false">IF(Y2986=1,"",IF(AND(Z2986=1,AB2986&lt;&gt;1),1,0))</f>
        <v/>
      </c>
      <c r="AE2986" s="0" t="str">
        <f aca="false">IF(Y2986=1,"",IF(AND(AA2986=1,AC2986&lt;&gt;1),1,0))</f>
        <v/>
      </c>
      <c r="AF2986" s="45" t="str">
        <f aca="false">IF(AND(E2986&gt;0,Y2986&lt;1,NOT(AND(C2987=C2986,Y2987=Y2986+1))),INDEX(DATAS,Y2986+1),"")</f>
        <v/>
      </c>
      <c r="AG2986" s="45" t="str">
        <f aca="false">IF(AND(AA2986=1,Y2986&lt;1),IF(AND(C2987=C2986,Y2987=Y2986+1),IF(AA2987=1,"",INDEX(DATAS,Y2986+1)),INDEX(DATAS,Y2986+1)),"")</f>
        <v/>
      </c>
    </row>
    <row r="2987" customFormat="false" ht="15" hidden="false" customHeight="false" outlineLevel="0" collapsed="false">
      <c r="A2987" s="45" t="n">
        <v>46309</v>
      </c>
      <c r="B2987" s="0" t="n">
        <v>13</v>
      </c>
      <c r="C2987" s="0" t="n">
        <v>7375</v>
      </c>
      <c r="E2987" s="0" t="n">
        <v>0</v>
      </c>
      <c r="F2987" s="39" t="s">
        <v>1416</v>
      </c>
      <c r="I2987" s="39" t="s">
        <v>136</v>
      </c>
      <c r="U2987" s="0" t="n">
        <v>256</v>
      </c>
      <c r="V2987" s="0" t="n">
        <v>0</v>
      </c>
      <c r="W2987" s="39" t="n">
        <f aca="false">IF(I2987="Male",0,1)</f>
        <v>1</v>
      </c>
      <c r="X2987" s="39" t="n">
        <f aca="false">IF(OR(I2987="DNB",I2987="Dry DNB"),1,0)</f>
        <v>0</v>
      </c>
      <c r="Y2987" s="39" t="n">
        <f aca="false">MATCH(A2987,DATAS,0)</f>
        <v>1</v>
      </c>
      <c r="Z2987" s="39" t="n">
        <f aca="false">IF(AND(E2987&gt;0,OR(AND(B2987&gt;=1,B2987&lt;=6),B2987=10)),1,0)</f>
        <v>0</v>
      </c>
      <c r="AA2987" s="39" t="n">
        <f aca="false">IF(AND(E2987&gt;0,B2987=10),1,0)</f>
        <v>0</v>
      </c>
      <c r="AB2987" s="0" t="str">
        <f aca="false">IF(AND(C2986=C2987,Y2986=Y2987-1),Z2986,"")</f>
        <v/>
      </c>
      <c r="AC2987" s="0" t="str">
        <f aca="false">IF(AND(C2986=C2987,Y2986=Y2987-1),AA2986,"")</f>
        <v/>
      </c>
      <c r="AD2987" s="0" t="str">
        <f aca="false">IF(Y2987=1,"",IF(AND(Z2987=1,AB2987&lt;&gt;1),1,0))</f>
        <v/>
      </c>
      <c r="AE2987" s="0" t="str">
        <f aca="false">IF(Y2987=1,"",IF(AND(AA2987=1,AC2987&lt;&gt;1),1,0))</f>
        <v/>
      </c>
      <c r="AF2987" s="45" t="str">
        <f aca="false">IF(AND(E2987&gt;0,Y2987&lt;1,NOT(AND(C2988=C2987,Y2988=Y2987+1))),INDEX(DATAS,Y2987+1),"")</f>
        <v/>
      </c>
      <c r="AG2987" s="45" t="str">
        <f aca="false">IF(AND(AA2987=1,Y2987&lt;1),IF(AND(C2988=C2987,Y2988=Y2987+1),IF(AA2988=1,"",INDEX(DATAS,Y2987+1)),INDEX(DATAS,Y2987+1)),"")</f>
        <v/>
      </c>
    </row>
    <row r="2988" customFormat="false" ht="15" hidden="false" customHeight="false" outlineLevel="0" collapsed="false">
      <c r="A2988" s="45" t="n">
        <v>46309</v>
      </c>
      <c r="B2988" s="0" t="n">
        <v>13</v>
      </c>
      <c r="C2988" s="0" t="n">
        <v>7376</v>
      </c>
      <c r="E2988" s="0" t="n">
        <v>0</v>
      </c>
      <c r="F2988" s="39" t="s">
        <v>1416</v>
      </c>
      <c r="I2988" s="39" t="s">
        <v>136</v>
      </c>
      <c r="U2988" s="0" t="n">
        <v>256</v>
      </c>
      <c r="V2988" s="0" t="n">
        <v>0</v>
      </c>
      <c r="W2988" s="39" t="n">
        <f aca="false">IF(I2988="Male",0,1)</f>
        <v>1</v>
      </c>
      <c r="X2988" s="39" t="n">
        <f aca="false">IF(OR(I2988="DNB",I2988="Dry DNB"),1,0)</f>
        <v>0</v>
      </c>
      <c r="Y2988" s="39" t="n">
        <f aca="false">MATCH(A2988,DATAS,0)</f>
        <v>1</v>
      </c>
      <c r="Z2988" s="39" t="n">
        <f aca="false">IF(AND(E2988&gt;0,OR(AND(B2988&gt;=1,B2988&lt;=6),B2988=10)),1,0)</f>
        <v>0</v>
      </c>
      <c r="AA2988" s="39" t="n">
        <f aca="false">IF(AND(E2988&gt;0,B2988=10),1,0)</f>
        <v>0</v>
      </c>
      <c r="AB2988" s="0" t="str">
        <f aca="false">IF(AND(C2987=C2988,Y2987=Y2988-1),Z2987,"")</f>
        <v/>
      </c>
      <c r="AC2988" s="0" t="str">
        <f aca="false">IF(AND(C2987=C2988,Y2987=Y2988-1),AA2987,"")</f>
        <v/>
      </c>
      <c r="AD2988" s="0" t="str">
        <f aca="false">IF(Y2988=1,"",IF(AND(Z2988=1,AB2988&lt;&gt;1),1,0))</f>
        <v/>
      </c>
      <c r="AE2988" s="0" t="str">
        <f aca="false">IF(Y2988=1,"",IF(AND(AA2988=1,AC2988&lt;&gt;1),1,0))</f>
        <v/>
      </c>
      <c r="AF2988" s="45" t="str">
        <f aca="false">IF(AND(E2988&gt;0,Y2988&lt;1,NOT(AND(C2989=C2988,Y2989=Y2988+1))),INDEX(DATAS,Y2988+1),"")</f>
        <v/>
      </c>
      <c r="AG2988" s="45" t="str">
        <f aca="false">IF(AND(AA2988=1,Y2988&lt;1),IF(AND(C2989=C2988,Y2989=Y2988+1),IF(AA2989=1,"",INDEX(DATAS,Y2988+1)),INDEX(DATAS,Y2988+1)),"")</f>
        <v/>
      </c>
    </row>
    <row r="2989" customFormat="false" ht="15" hidden="false" customHeight="false" outlineLevel="0" collapsed="false">
      <c r="A2989" s="45" t="n">
        <v>46309</v>
      </c>
      <c r="B2989" s="0" t="n">
        <v>13</v>
      </c>
      <c r="C2989" s="0" t="n">
        <v>7377</v>
      </c>
      <c r="E2989" s="0" t="n">
        <v>0</v>
      </c>
      <c r="F2989" s="39" t="s">
        <v>1416</v>
      </c>
      <c r="I2989" s="39" t="s">
        <v>136</v>
      </c>
      <c r="U2989" s="0" t="n">
        <v>256</v>
      </c>
      <c r="V2989" s="0" t="n">
        <v>0</v>
      </c>
      <c r="W2989" s="39" t="n">
        <f aca="false">IF(I2989="Male",0,1)</f>
        <v>1</v>
      </c>
      <c r="X2989" s="39" t="n">
        <f aca="false">IF(OR(I2989="DNB",I2989="Dry DNB"),1,0)</f>
        <v>0</v>
      </c>
      <c r="Y2989" s="39" t="n">
        <f aca="false">MATCH(A2989,DATAS,0)</f>
        <v>1</v>
      </c>
      <c r="Z2989" s="39" t="n">
        <f aca="false">IF(AND(E2989&gt;0,OR(AND(B2989&gt;=1,B2989&lt;=6),B2989=10)),1,0)</f>
        <v>0</v>
      </c>
      <c r="AA2989" s="39" t="n">
        <f aca="false">IF(AND(E2989&gt;0,B2989=10),1,0)</f>
        <v>0</v>
      </c>
      <c r="AB2989" s="0" t="str">
        <f aca="false">IF(AND(C2988=C2989,Y2988=Y2989-1),Z2988,"")</f>
        <v/>
      </c>
      <c r="AC2989" s="0" t="str">
        <f aca="false">IF(AND(C2988=C2989,Y2988=Y2989-1),AA2988,"")</f>
        <v/>
      </c>
      <c r="AD2989" s="0" t="str">
        <f aca="false">IF(Y2989=1,"",IF(AND(Z2989=1,AB2989&lt;&gt;1),1,0))</f>
        <v/>
      </c>
      <c r="AE2989" s="0" t="str">
        <f aca="false">IF(Y2989=1,"",IF(AND(AA2989=1,AC2989&lt;&gt;1),1,0))</f>
        <v/>
      </c>
      <c r="AF2989" s="45" t="str">
        <f aca="false">IF(AND(E2989&gt;0,Y2989&lt;1,NOT(AND(C2990=C2989,Y2990=Y2989+1))),INDEX(DATAS,Y2989+1),"")</f>
        <v/>
      </c>
      <c r="AG2989" s="45" t="str">
        <f aca="false">IF(AND(AA2989=1,Y2989&lt;1),IF(AND(C2990=C2989,Y2990=Y2989+1),IF(AA2990=1,"",INDEX(DATAS,Y2989+1)),INDEX(DATAS,Y2989+1)),"")</f>
        <v/>
      </c>
    </row>
    <row r="2990" customFormat="false" ht="15" hidden="false" customHeight="false" outlineLevel="0" collapsed="false">
      <c r="A2990" s="45" t="n">
        <v>46309</v>
      </c>
      <c r="B2990" s="0" t="n">
        <v>13</v>
      </c>
      <c r="C2990" s="0" t="n">
        <v>7378</v>
      </c>
      <c r="E2990" s="0" t="n">
        <v>0</v>
      </c>
      <c r="F2990" s="39" t="s">
        <v>1416</v>
      </c>
      <c r="I2990" s="39" t="s">
        <v>136</v>
      </c>
      <c r="U2990" s="0" t="n">
        <v>256</v>
      </c>
      <c r="V2990" s="0" t="n">
        <v>0</v>
      </c>
      <c r="W2990" s="39" t="n">
        <f aca="false">IF(I2990="Male",0,1)</f>
        <v>1</v>
      </c>
      <c r="X2990" s="39" t="n">
        <f aca="false">IF(OR(I2990="DNB",I2990="Dry DNB"),1,0)</f>
        <v>0</v>
      </c>
      <c r="Y2990" s="39" t="n">
        <f aca="false">MATCH(A2990,DATAS,0)</f>
        <v>1</v>
      </c>
      <c r="Z2990" s="39" t="n">
        <f aca="false">IF(AND(E2990&gt;0,OR(AND(B2990&gt;=1,B2990&lt;=6),B2990=10)),1,0)</f>
        <v>0</v>
      </c>
      <c r="AA2990" s="39" t="n">
        <f aca="false">IF(AND(E2990&gt;0,B2990=10),1,0)</f>
        <v>0</v>
      </c>
      <c r="AB2990" s="0" t="str">
        <f aca="false">IF(AND(C2989=C2990,Y2989=Y2990-1),Z2989,"")</f>
        <v/>
      </c>
      <c r="AC2990" s="0" t="str">
        <f aca="false">IF(AND(C2989=C2990,Y2989=Y2990-1),AA2989,"")</f>
        <v/>
      </c>
      <c r="AD2990" s="0" t="str">
        <f aca="false">IF(Y2990=1,"",IF(AND(Z2990=1,AB2990&lt;&gt;1),1,0))</f>
        <v/>
      </c>
      <c r="AE2990" s="0" t="str">
        <f aca="false">IF(Y2990=1,"",IF(AND(AA2990=1,AC2990&lt;&gt;1),1,0))</f>
        <v/>
      </c>
      <c r="AF2990" s="45" t="str">
        <f aca="false">IF(AND(E2990&gt;0,Y2990&lt;1,NOT(AND(C2991=C2990,Y2991=Y2990+1))),INDEX(DATAS,Y2990+1),"")</f>
        <v/>
      </c>
      <c r="AG2990" s="45" t="str">
        <f aca="false">IF(AND(AA2990=1,Y2990&lt;1),IF(AND(C2991=C2990,Y2991=Y2990+1),IF(AA2991=1,"",INDEX(DATAS,Y2990+1)),INDEX(DATAS,Y2990+1)),"")</f>
        <v/>
      </c>
    </row>
    <row r="2991" customFormat="false" ht="15" hidden="false" customHeight="false" outlineLevel="0" collapsed="false">
      <c r="A2991" s="45" t="n">
        <v>46309</v>
      </c>
      <c r="B2991" s="0" t="n">
        <v>13</v>
      </c>
      <c r="C2991" s="0" t="n">
        <v>7379</v>
      </c>
      <c r="E2991" s="0" t="n">
        <v>0</v>
      </c>
      <c r="F2991" s="39" t="s">
        <v>1417</v>
      </c>
      <c r="I2991" s="39" t="s">
        <v>136</v>
      </c>
      <c r="U2991" s="0" t="n">
        <v>255</v>
      </c>
      <c r="V2991" s="0" t="n">
        <v>0</v>
      </c>
      <c r="W2991" s="39" t="n">
        <f aca="false">IF(I2991="Male",0,1)</f>
        <v>1</v>
      </c>
      <c r="X2991" s="39" t="n">
        <f aca="false">IF(OR(I2991="DNB",I2991="Dry DNB"),1,0)</f>
        <v>0</v>
      </c>
      <c r="Y2991" s="39" t="n">
        <f aca="false">MATCH(A2991,DATAS,0)</f>
        <v>1</v>
      </c>
      <c r="Z2991" s="39" t="n">
        <f aca="false">IF(AND(E2991&gt;0,OR(AND(B2991&gt;=1,B2991&lt;=6),B2991=10)),1,0)</f>
        <v>0</v>
      </c>
      <c r="AA2991" s="39" t="n">
        <f aca="false">IF(AND(E2991&gt;0,B2991=10),1,0)</f>
        <v>0</v>
      </c>
      <c r="AB2991" s="0" t="str">
        <f aca="false">IF(AND(C2990=C2991,Y2990=Y2991-1),Z2990,"")</f>
        <v/>
      </c>
      <c r="AC2991" s="0" t="str">
        <f aca="false">IF(AND(C2990=C2991,Y2990=Y2991-1),AA2990,"")</f>
        <v/>
      </c>
      <c r="AD2991" s="0" t="str">
        <f aca="false">IF(Y2991=1,"",IF(AND(Z2991=1,AB2991&lt;&gt;1),1,0))</f>
        <v/>
      </c>
      <c r="AE2991" s="0" t="str">
        <f aca="false">IF(Y2991=1,"",IF(AND(AA2991=1,AC2991&lt;&gt;1),1,0))</f>
        <v/>
      </c>
      <c r="AF2991" s="45" t="str">
        <f aca="false">IF(AND(E2991&gt;0,Y2991&lt;1,NOT(AND(C2992=C2991,Y2992=Y2991+1))),INDEX(DATAS,Y2991+1),"")</f>
        <v/>
      </c>
      <c r="AG2991" s="45" t="str">
        <f aca="false">IF(AND(AA2991=1,Y2991&lt;1),IF(AND(C2992=C2991,Y2992=Y2991+1),IF(AA2992=1,"",INDEX(DATAS,Y2991+1)),INDEX(DATAS,Y2991+1)),"")</f>
        <v/>
      </c>
    </row>
    <row r="2992" customFormat="false" ht="15" hidden="false" customHeight="false" outlineLevel="0" collapsed="false">
      <c r="A2992" s="45" t="n">
        <v>46309</v>
      </c>
      <c r="B2992" s="0" t="n">
        <v>13</v>
      </c>
      <c r="C2992" s="0" t="n">
        <v>7380</v>
      </c>
      <c r="E2992" s="0" t="n">
        <v>0</v>
      </c>
      <c r="F2992" s="39" t="s">
        <v>1417</v>
      </c>
      <c r="I2992" s="39" t="s">
        <v>136</v>
      </c>
      <c r="U2992" s="0" t="n">
        <v>255</v>
      </c>
      <c r="V2992" s="0" t="n">
        <v>0</v>
      </c>
      <c r="W2992" s="39" t="n">
        <f aca="false">IF(I2992="Male",0,1)</f>
        <v>1</v>
      </c>
      <c r="X2992" s="39" t="n">
        <f aca="false">IF(OR(I2992="DNB",I2992="Dry DNB"),1,0)</f>
        <v>0</v>
      </c>
      <c r="Y2992" s="39" t="n">
        <f aca="false">MATCH(A2992,DATAS,0)</f>
        <v>1</v>
      </c>
      <c r="Z2992" s="39" t="n">
        <f aca="false">IF(AND(E2992&gt;0,OR(AND(B2992&gt;=1,B2992&lt;=6),B2992=10)),1,0)</f>
        <v>0</v>
      </c>
      <c r="AA2992" s="39" t="n">
        <f aca="false">IF(AND(E2992&gt;0,B2992=10),1,0)</f>
        <v>0</v>
      </c>
      <c r="AB2992" s="0" t="str">
        <f aca="false">IF(AND(C2991=C2992,Y2991=Y2992-1),Z2991,"")</f>
        <v/>
      </c>
      <c r="AC2992" s="0" t="str">
        <f aca="false">IF(AND(C2991=C2992,Y2991=Y2992-1),AA2991,"")</f>
        <v/>
      </c>
      <c r="AD2992" s="0" t="str">
        <f aca="false">IF(Y2992=1,"",IF(AND(Z2992=1,AB2992&lt;&gt;1),1,0))</f>
        <v/>
      </c>
      <c r="AE2992" s="0" t="str">
        <f aca="false">IF(Y2992=1,"",IF(AND(AA2992=1,AC2992&lt;&gt;1),1,0))</f>
        <v/>
      </c>
      <c r="AF2992" s="45" t="str">
        <f aca="false">IF(AND(E2992&gt;0,Y2992&lt;1,NOT(AND(C2993=C2992,Y2993=Y2992+1))),INDEX(DATAS,Y2992+1),"")</f>
        <v/>
      </c>
      <c r="AG2992" s="45" t="str">
        <f aca="false">IF(AND(AA2992=1,Y2992&lt;1),IF(AND(C2993=C2992,Y2993=Y2992+1),IF(AA2993=1,"",INDEX(DATAS,Y2992+1)),INDEX(DATAS,Y2992+1)),"")</f>
        <v/>
      </c>
    </row>
    <row r="2993" customFormat="false" ht="15" hidden="false" customHeight="false" outlineLevel="0" collapsed="false">
      <c r="A2993" s="45" t="n">
        <v>46309</v>
      </c>
      <c r="B2993" s="0" t="n">
        <v>13</v>
      </c>
      <c r="C2993" s="0" t="n">
        <v>7382</v>
      </c>
      <c r="E2993" s="0" t="n">
        <v>0</v>
      </c>
      <c r="F2993" s="39" t="s">
        <v>1418</v>
      </c>
      <c r="I2993" s="39" t="s">
        <v>136</v>
      </c>
      <c r="U2993" s="0" t="n">
        <v>254</v>
      </c>
      <c r="V2993" s="0" t="n">
        <v>0</v>
      </c>
      <c r="W2993" s="39" t="n">
        <f aca="false">IF(I2993="Male",0,1)</f>
        <v>1</v>
      </c>
      <c r="X2993" s="39" t="n">
        <f aca="false">IF(OR(I2993="DNB",I2993="Dry DNB"),1,0)</f>
        <v>0</v>
      </c>
      <c r="Y2993" s="39" t="n">
        <f aca="false">MATCH(A2993,DATAS,0)</f>
        <v>1</v>
      </c>
      <c r="Z2993" s="39" t="n">
        <f aca="false">IF(AND(E2993&gt;0,OR(AND(B2993&gt;=1,B2993&lt;=6),B2993=10)),1,0)</f>
        <v>0</v>
      </c>
      <c r="AA2993" s="39" t="n">
        <f aca="false">IF(AND(E2993&gt;0,B2993=10),1,0)</f>
        <v>0</v>
      </c>
      <c r="AB2993" s="0" t="str">
        <f aca="false">IF(AND(C2992=C2993,Y2992=Y2993-1),Z2992,"")</f>
        <v/>
      </c>
      <c r="AC2993" s="0" t="str">
        <f aca="false">IF(AND(C2992=C2993,Y2992=Y2993-1),AA2992,"")</f>
        <v/>
      </c>
      <c r="AD2993" s="0" t="str">
        <f aca="false">IF(Y2993=1,"",IF(AND(Z2993=1,AB2993&lt;&gt;1),1,0))</f>
        <v/>
      </c>
      <c r="AE2993" s="0" t="str">
        <f aca="false">IF(Y2993=1,"",IF(AND(AA2993=1,AC2993&lt;&gt;1),1,0))</f>
        <v/>
      </c>
      <c r="AF2993" s="45" t="str">
        <f aca="false">IF(AND(E2993&gt;0,Y2993&lt;1,NOT(AND(C2994=C2993,Y2994=Y2993+1))),INDEX(DATAS,Y2993+1),"")</f>
        <v/>
      </c>
      <c r="AG2993" s="45" t="str">
        <f aca="false">IF(AND(AA2993=1,Y2993&lt;1),IF(AND(C2994=C2993,Y2994=Y2993+1),IF(AA2994=1,"",INDEX(DATAS,Y2993+1)),INDEX(DATAS,Y2993+1)),"")</f>
        <v/>
      </c>
    </row>
    <row r="2994" customFormat="false" ht="15" hidden="false" customHeight="false" outlineLevel="0" collapsed="false">
      <c r="A2994" s="45" t="n">
        <v>46309</v>
      </c>
      <c r="B2994" s="0" t="n">
        <v>13</v>
      </c>
      <c r="C2994" s="0" t="n">
        <v>7384</v>
      </c>
      <c r="E2994" s="0" t="n">
        <v>0</v>
      </c>
      <c r="F2994" s="39" t="s">
        <v>1418</v>
      </c>
      <c r="I2994" s="39" t="s">
        <v>136</v>
      </c>
      <c r="U2994" s="0" t="n">
        <v>254</v>
      </c>
      <c r="V2994" s="0" t="n">
        <v>0</v>
      </c>
      <c r="W2994" s="39" t="n">
        <f aca="false">IF(I2994="Male",0,1)</f>
        <v>1</v>
      </c>
      <c r="X2994" s="39" t="n">
        <f aca="false">IF(OR(I2994="DNB",I2994="Dry DNB"),1,0)</f>
        <v>0</v>
      </c>
      <c r="Y2994" s="39" t="n">
        <f aca="false">MATCH(A2994,DATAS,0)</f>
        <v>1</v>
      </c>
      <c r="Z2994" s="39" t="n">
        <f aca="false">IF(AND(E2994&gt;0,OR(AND(B2994&gt;=1,B2994&lt;=6),B2994=10)),1,0)</f>
        <v>0</v>
      </c>
      <c r="AA2994" s="39" t="n">
        <f aca="false">IF(AND(E2994&gt;0,B2994=10),1,0)</f>
        <v>0</v>
      </c>
      <c r="AB2994" s="0" t="str">
        <f aca="false">IF(AND(C2993=C2994,Y2993=Y2994-1),Z2993,"")</f>
        <v/>
      </c>
      <c r="AC2994" s="0" t="str">
        <f aca="false">IF(AND(C2993=C2994,Y2993=Y2994-1),AA2993,"")</f>
        <v/>
      </c>
      <c r="AD2994" s="0" t="str">
        <f aca="false">IF(Y2994=1,"",IF(AND(Z2994=1,AB2994&lt;&gt;1),1,0))</f>
        <v/>
      </c>
      <c r="AE2994" s="0" t="str">
        <f aca="false">IF(Y2994=1,"",IF(AND(AA2994=1,AC2994&lt;&gt;1),1,0))</f>
        <v/>
      </c>
      <c r="AF2994" s="45" t="str">
        <f aca="false">IF(AND(E2994&gt;0,Y2994&lt;1,NOT(AND(C2995=C2994,Y2995=Y2994+1))),INDEX(DATAS,Y2994+1),"")</f>
        <v/>
      </c>
      <c r="AG2994" s="45" t="str">
        <f aca="false">IF(AND(AA2994=1,Y2994&lt;1),IF(AND(C2995=C2994,Y2995=Y2994+1),IF(AA2995=1,"",INDEX(DATAS,Y2994+1)),INDEX(DATAS,Y2994+1)),"")</f>
        <v/>
      </c>
    </row>
    <row r="2995" customFormat="false" ht="15" hidden="false" customHeight="false" outlineLevel="0" collapsed="false">
      <c r="A2995" s="45" t="n">
        <v>46309</v>
      </c>
      <c r="B2995" s="0" t="n">
        <v>13</v>
      </c>
      <c r="C2995" s="0" t="n">
        <v>7385</v>
      </c>
      <c r="E2995" s="0" t="n">
        <v>0</v>
      </c>
      <c r="F2995" s="39" t="s">
        <v>1419</v>
      </c>
      <c r="I2995" s="39" t="s">
        <v>136</v>
      </c>
      <c r="U2995" s="0" t="n">
        <v>253</v>
      </c>
      <c r="V2995" s="0" t="n">
        <v>0</v>
      </c>
      <c r="W2995" s="39" t="n">
        <f aca="false">IF(I2995="Male",0,1)</f>
        <v>1</v>
      </c>
      <c r="X2995" s="39" t="n">
        <f aca="false">IF(OR(I2995="DNB",I2995="Dry DNB"),1,0)</f>
        <v>0</v>
      </c>
      <c r="Y2995" s="39" t="n">
        <f aca="false">MATCH(A2995,DATAS,0)</f>
        <v>1</v>
      </c>
      <c r="Z2995" s="39" t="n">
        <f aca="false">IF(AND(E2995&gt;0,OR(AND(B2995&gt;=1,B2995&lt;=6),B2995=10)),1,0)</f>
        <v>0</v>
      </c>
      <c r="AA2995" s="39" t="n">
        <f aca="false">IF(AND(E2995&gt;0,B2995=10),1,0)</f>
        <v>0</v>
      </c>
      <c r="AB2995" s="0" t="str">
        <f aca="false">IF(AND(C2994=C2995,Y2994=Y2995-1),Z2994,"")</f>
        <v/>
      </c>
      <c r="AC2995" s="0" t="str">
        <f aca="false">IF(AND(C2994=C2995,Y2994=Y2995-1),AA2994,"")</f>
        <v/>
      </c>
      <c r="AD2995" s="0" t="str">
        <f aca="false">IF(Y2995=1,"",IF(AND(Z2995=1,AB2995&lt;&gt;1),1,0))</f>
        <v/>
      </c>
      <c r="AE2995" s="0" t="str">
        <f aca="false">IF(Y2995=1,"",IF(AND(AA2995=1,AC2995&lt;&gt;1),1,0))</f>
        <v/>
      </c>
      <c r="AF2995" s="45" t="str">
        <f aca="false">IF(AND(E2995&gt;0,Y2995&lt;1,NOT(AND(C2996=C2995,Y2996=Y2995+1))),INDEX(DATAS,Y2995+1),"")</f>
        <v/>
      </c>
      <c r="AG2995" s="45" t="str">
        <f aca="false">IF(AND(AA2995=1,Y2995&lt;1),IF(AND(C2996=C2995,Y2996=Y2995+1),IF(AA2996=1,"",INDEX(DATAS,Y2995+1)),INDEX(DATAS,Y2995+1)),"")</f>
        <v/>
      </c>
    </row>
    <row r="2996" customFormat="false" ht="15" hidden="false" customHeight="false" outlineLevel="0" collapsed="false">
      <c r="A2996" s="45" t="n">
        <v>46309</v>
      </c>
      <c r="B2996" s="0" t="n">
        <v>13</v>
      </c>
      <c r="C2996" s="0" t="n">
        <v>7386</v>
      </c>
      <c r="E2996" s="0" t="n">
        <v>0</v>
      </c>
      <c r="F2996" s="39" t="s">
        <v>1419</v>
      </c>
      <c r="I2996" s="39" t="s">
        <v>136</v>
      </c>
      <c r="U2996" s="0" t="n">
        <v>253</v>
      </c>
      <c r="V2996" s="0" t="n">
        <v>0</v>
      </c>
      <c r="W2996" s="39" t="n">
        <f aca="false">IF(I2996="Male",0,1)</f>
        <v>1</v>
      </c>
      <c r="X2996" s="39" t="n">
        <f aca="false">IF(OR(I2996="DNB",I2996="Dry DNB"),1,0)</f>
        <v>0</v>
      </c>
      <c r="Y2996" s="39" t="n">
        <f aca="false">MATCH(A2996,DATAS,0)</f>
        <v>1</v>
      </c>
      <c r="Z2996" s="39" t="n">
        <f aca="false">IF(AND(E2996&gt;0,OR(AND(B2996&gt;=1,B2996&lt;=6),B2996=10)),1,0)</f>
        <v>0</v>
      </c>
      <c r="AA2996" s="39" t="n">
        <f aca="false">IF(AND(E2996&gt;0,B2996=10),1,0)</f>
        <v>0</v>
      </c>
      <c r="AB2996" s="0" t="str">
        <f aca="false">IF(AND(C2995=C2996,Y2995=Y2996-1),Z2995,"")</f>
        <v/>
      </c>
      <c r="AC2996" s="0" t="str">
        <f aca="false">IF(AND(C2995=C2996,Y2995=Y2996-1),AA2995,"")</f>
        <v/>
      </c>
      <c r="AD2996" s="0" t="str">
        <f aca="false">IF(Y2996=1,"",IF(AND(Z2996=1,AB2996&lt;&gt;1),1,0))</f>
        <v/>
      </c>
      <c r="AE2996" s="0" t="str">
        <f aca="false">IF(Y2996=1,"",IF(AND(AA2996=1,AC2996&lt;&gt;1),1,0))</f>
        <v/>
      </c>
      <c r="AF2996" s="45" t="str">
        <f aca="false">IF(AND(E2996&gt;0,Y2996&lt;1,NOT(AND(C2997=C2996,Y2997=Y2996+1))),INDEX(DATAS,Y2996+1),"")</f>
        <v/>
      </c>
      <c r="AG2996" s="45" t="str">
        <f aca="false">IF(AND(AA2996=1,Y2996&lt;1),IF(AND(C2997=C2996,Y2997=Y2996+1),IF(AA2997=1,"",INDEX(DATAS,Y2996+1)),INDEX(DATAS,Y2996+1)),"")</f>
        <v/>
      </c>
    </row>
    <row r="2997" customFormat="false" ht="15" hidden="false" customHeight="false" outlineLevel="0" collapsed="false">
      <c r="A2997" s="45" t="n">
        <v>46309</v>
      </c>
      <c r="B2997" s="0" t="n">
        <v>13</v>
      </c>
      <c r="C2997" s="0" t="n">
        <v>7387</v>
      </c>
      <c r="E2997" s="0" t="n">
        <v>0</v>
      </c>
      <c r="F2997" s="39" t="s">
        <v>1419</v>
      </c>
      <c r="I2997" s="39" t="s">
        <v>136</v>
      </c>
      <c r="U2997" s="0" t="n">
        <v>253</v>
      </c>
      <c r="V2997" s="0" t="n">
        <v>0</v>
      </c>
      <c r="W2997" s="39" t="n">
        <f aca="false">IF(I2997="Male",0,1)</f>
        <v>1</v>
      </c>
      <c r="X2997" s="39" t="n">
        <f aca="false">IF(OR(I2997="DNB",I2997="Dry DNB"),1,0)</f>
        <v>0</v>
      </c>
      <c r="Y2997" s="39" t="n">
        <f aca="false">MATCH(A2997,DATAS,0)</f>
        <v>1</v>
      </c>
      <c r="Z2997" s="39" t="n">
        <f aca="false">IF(AND(E2997&gt;0,OR(AND(B2997&gt;=1,B2997&lt;=6),B2997=10)),1,0)</f>
        <v>0</v>
      </c>
      <c r="AA2997" s="39" t="n">
        <f aca="false">IF(AND(E2997&gt;0,B2997=10),1,0)</f>
        <v>0</v>
      </c>
      <c r="AB2997" s="0" t="str">
        <f aca="false">IF(AND(C2996=C2997,Y2996=Y2997-1),Z2996,"")</f>
        <v/>
      </c>
      <c r="AC2997" s="0" t="str">
        <f aca="false">IF(AND(C2996=C2997,Y2996=Y2997-1),AA2996,"")</f>
        <v/>
      </c>
      <c r="AD2997" s="0" t="str">
        <f aca="false">IF(Y2997=1,"",IF(AND(Z2997=1,AB2997&lt;&gt;1),1,0))</f>
        <v/>
      </c>
      <c r="AE2997" s="0" t="str">
        <f aca="false">IF(Y2997=1,"",IF(AND(AA2997=1,AC2997&lt;&gt;1),1,0))</f>
        <v/>
      </c>
      <c r="AF2997" s="45" t="str">
        <f aca="false">IF(AND(E2997&gt;0,Y2997&lt;1,NOT(AND(C2998=C2997,Y2998=Y2997+1))),INDEX(DATAS,Y2997+1),"")</f>
        <v/>
      </c>
      <c r="AG2997" s="45" t="str">
        <f aca="false">IF(AND(AA2997=1,Y2997&lt;1),IF(AND(C2998=C2997,Y2998=Y2997+1),IF(AA2998=1,"",INDEX(DATAS,Y2997+1)),INDEX(DATAS,Y2997+1)),"")</f>
        <v/>
      </c>
    </row>
    <row r="2998" customFormat="false" ht="15" hidden="false" customHeight="false" outlineLevel="0" collapsed="false">
      <c r="A2998" s="45" t="n">
        <v>46309</v>
      </c>
      <c r="B2998" s="0" t="n">
        <v>13</v>
      </c>
      <c r="C2998" s="0" t="n">
        <v>7388</v>
      </c>
      <c r="E2998" s="0" t="n">
        <v>0</v>
      </c>
      <c r="F2998" s="39" t="s">
        <v>1419</v>
      </c>
      <c r="I2998" s="39" t="s">
        <v>136</v>
      </c>
      <c r="U2998" s="0" t="n">
        <v>253</v>
      </c>
      <c r="V2998" s="0" t="n">
        <v>0</v>
      </c>
      <c r="W2998" s="39" t="n">
        <f aca="false">IF(I2998="Male",0,1)</f>
        <v>1</v>
      </c>
      <c r="X2998" s="39" t="n">
        <f aca="false">IF(OR(I2998="DNB",I2998="Dry DNB"),1,0)</f>
        <v>0</v>
      </c>
      <c r="Y2998" s="39" t="n">
        <f aca="false">MATCH(A2998,DATAS,0)</f>
        <v>1</v>
      </c>
      <c r="Z2998" s="39" t="n">
        <f aca="false">IF(AND(E2998&gt;0,OR(AND(B2998&gt;=1,B2998&lt;=6),B2998=10)),1,0)</f>
        <v>0</v>
      </c>
      <c r="AA2998" s="39" t="n">
        <f aca="false">IF(AND(E2998&gt;0,B2998=10),1,0)</f>
        <v>0</v>
      </c>
      <c r="AB2998" s="0" t="str">
        <f aca="false">IF(AND(C2997=C2998,Y2997=Y2998-1),Z2997,"")</f>
        <v/>
      </c>
      <c r="AC2998" s="0" t="str">
        <f aca="false">IF(AND(C2997=C2998,Y2997=Y2998-1),AA2997,"")</f>
        <v/>
      </c>
      <c r="AD2998" s="0" t="str">
        <f aca="false">IF(Y2998=1,"",IF(AND(Z2998=1,AB2998&lt;&gt;1),1,0))</f>
        <v/>
      </c>
      <c r="AE2998" s="0" t="str">
        <f aca="false">IF(Y2998=1,"",IF(AND(AA2998=1,AC2998&lt;&gt;1),1,0))</f>
        <v/>
      </c>
      <c r="AF2998" s="45" t="str">
        <f aca="false">IF(AND(E2998&gt;0,Y2998&lt;1,NOT(AND(C2999=C2998,Y2999=Y2998+1))),INDEX(DATAS,Y2998+1),"")</f>
        <v/>
      </c>
      <c r="AG2998" s="45" t="str">
        <f aca="false">IF(AND(AA2998=1,Y2998&lt;1),IF(AND(C2999=C2998,Y2999=Y2998+1),IF(AA2999=1,"",INDEX(DATAS,Y2998+1)),INDEX(DATAS,Y2998+1)),"")</f>
        <v/>
      </c>
    </row>
    <row r="2999" customFormat="false" ht="15" hidden="false" customHeight="false" outlineLevel="0" collapsed="false">
      <c r="A2999" s="45" t="n">
        <v>46309</v>
      </c>
      <c r="B2999" s="0" t="n">
        <v>13</v>
      </c>
      <c r="C2999" s="0" t="n">
        <v>7389</v>
      </c>
      <c r="E2999" s="0" t="n">
        <v>0</v>
      </c>
      <c r="F2999" s="39" t="s">
        <v>1419</v>
      </c>
      <c r="I2999" s="39" t="s">
        <v>136</v>
      </c>
      <c r="U2999" s="0" t="n">
        <v>253</v>
      </c>
      <c r="V2999" s="0" t="n">
        <v>0</v>
      </c>
      <c r="W2999" s="39" t="n">
        <f aca="false">IF(I2999="Male",0,1)</f>
        <v>1</v>
      </c>
      <c r="X2999" s="39" t="n">
        <f aca="false">IF(OR(I2999="DNB",I2999="Dry DNB"),1,0)</f>
        <v>0</v>
      </c>
      <c r="Y2999" s="39" t="n">
        <f aca="false">MATCH(A2999,DATAS,0)</f>
        <v>1</v>
      </c>
      <c r="Z2999" s="39" t="n">
        <f aca="false">IF(AND(E2999&gt;0,OR(AND(B2999&gt;=1,B2999&lt;=6),B2999=10)),1,0)</f>
        <v>0</v>
      </c>
      <c r="AA2999" s="39" t="n">
        <f aca="false">IF(AND(E2999&gt;0,B2999=10),1,0)</f>
        <v>0</v>
      </c>
      <c r="AB2999" s="0" t="str">
        <f aca="false">IF(AND(C2998=C2999,Y2998=Y2999-1),Z2998,"")</f>
        <v/>
      </c>
      <c r="AC2999" s="0" t="str">
        <f aca="false">IF(AND(C2998=C2999,Y2998=Y2999-1),AA2998,"")</f>
        <v/>
      </c>
      <c r="AD2999" s="0" t="str">
        <f aca="false">IF(Y2999=1,"",IF(AND(Z2999=1,AB2999&lt;&gt;1),1,0))</f>
        <v/>
      </c>
      <c r="AE2999" s="0" t="str">
        <f aca="false">IF(Y2999=1,"",IF(AND(AA2999=1,AC2999&lt;&gt;1),1,0))</f>
        <v/>
      </c>
      <c r="AF2999" s="45" t="str">
        <f aca="false">IF(AND(E2999&gt;0,Y2999&lt;1,NOT(AND(C3000=C2999,Y3000=Y2999+1))),INDEX(DATAS,Y2999+1),"")</f>
        <v/>
      </c>
      <c r="AG2999" s="45" t="str">
        <f aca="false">IF(AND(AA2999=1,Y2999&lt;1),IF(AND(C3000=C2999,Y3000=Y2999+1),IF(AA3000=1,"",INDEX(DATAS,Y2999+1)),INDEX(DATAS,Y2999+1)),"")</f>
        <v/>
      </c>
    </row>
    <row r="3000" customFormat="false" ht="15" hidden="false" customHeight="false" outlineLevel="0" collapsed="false">
      <c r="A3000" s="45" t="n">
        <v>46309</v>
      </c>
      <c r="B3000" s="0" t="n">
        <v>13</v>
      </c>
      <c r="C3000" s="0" t="n">
        <v>7390</v>
      </c>
      <c r="E3000" s="0" t="n">
        <v>0</v>
      </c>
      <c r="F3000" s="39" t="s">
        <v>1420</v>
      </c>
      <c r="I3000" s="39" t="s">
        <v>136</v>
      </c>
      <c r="U3000" s="0" t="n">
        <v>252</v>
      </c>
      <c r="V3000" s="0" t="n">
        <v>0</v>
      </c>
      <c r="W3000" s="39" t="n">
        <f aca="false">IF(I3000="Male",0,1)</f>
        <v>1</v>
      </c>
      <c r="X3000" s="39" t="n">
        <f aca="false">IF(OR(I3000="DNB",I3000="Dry DNB"),1,0)</f>
        <v>0</v>
      </c>
      <c r="Y3000" s="39" t="n">
        <f aca="false">MATCH(A3000,DATAS,0)</f>
        <v>1</v>
      </c>
      <c r="Z3000" s="39" t="n">
        <f aca="false">IF(AND(E3000&gt;0,OR(AND(B3000&gt;=1,B3000&lt;=6),B3000=10)),1,0)</f>
        <v>0</v>
      </c>
      <c r="AA3000" s="39" t="n">
        <f aca="false">IF(AND(E3000&gt;0,B3000=10),1,0)</f>
        <v>0</v>
      </c>
      <c r="AB3000" s="0" t="str">
        <f aca="false">IF(AND(C2999=C3000,Y2999=Y3000-1),Z2999,"")</f>
        <v/>
      </c>
      <c r="AC3000" s="0" t="str">
        <f aca="false">IF(AND(C2999=C3000,Y2999=Y3000-1),AA2999,"")</f>
        <v/>
      </c>
      <c r="AD3000" s="0" t="str">
        <f aca="false">IF(Y3000=1,"",IF(AND(Z3000=1,AB3000&lt;&gt;1),1,0))</f>
        <v/>
      </c>
      <c r="AE3000" s="0" t="str">
        <f aca="false">IF(Y3000=1,"",IF(AND(AA3000=1,AC3000&lt;&gt;1),1,0))</f>
        <v/>
      </c>
      <c r="AF3000" s="45" t="str">
        <f aca="false">IF(AND(E3000&gt;0,Y3000&lt;1,NOT(AND(C3001=C3000,Y3001=Y3000+1))),INDEX(DATAS,Y3000+1),"")</f>
        <v/>
      </c>
      <c r="AG3000" s="45" t="str">
        <f aca="false">IF(AND(AA3000=1,Y3000&lt;1),IF(AND(C3001=C3000,Y3001=Y3000+1),IF(AA3001=1,"",INDEX(DATAS,Y3000+1)),INDEX(DATAS,Y3000+1)),"")</f>
        <v/>
      </c>
    </row>
    <row r="3001" customFormat="false" ht="15" hidden="false" customHeight="false" outlineLevel="0" collapsed="false">
      <c r="A3001" s="45" t="n">
        <v>46309</v>
      </c>
      <c r="B3001" s="0" t="n">
        <v>13</v>
      </c>
      <c r="C3001" s="0" t="n">
        <v>7391</v>
      </c>
      <c r="E3001" s="0" t="n">
        <v>0</v>
      </c>
      <c r="F3001" s="39" t="s">
        <v>1420</v>
      </c>
      <c r="I3001" s="39" t="s">
        <v>136</v>
      </c>
      <c r="U3001" s="0" t="n">
        <v>252</v>
      </c>
      <c r="V3001" s="0" t="n">
        <v>0</v>
      </c>
      <c r="W3001" s="39" t="n">
        <f aca="false">IF(I3001="Male",0,1)</f>
        <v>1</v>
      </c>
      <c r="X3001" s="39" t="n">
        <f aca="false">IF(OR(I3001="DNB",I3001="Dry DNB"),1,0)</f>
        <v>0</v>
      </c>
      <c r="Y3001" s="39" t="n">
        <f aca="false">MATCH(A3001,DATAS,0)</f>
        <v>1</v>
      </c>
      <c r="Z3001" s="39" t="n">
        <f aca="false">IF(AND(E3001&gt;0,OR(AND(B3001&gt;=1,B3001&lt;=6),B3001=10)),1,0)</f>
        <v>0</v>
      </c>
      <c r="AA3001" s="39" t="n">
        <f aca="false">IF(AND(E3001&gt;0,B3001=10),1,0)</f>
        <v>0</v>
      </c>
      <c r="AB3001" s="0" t="str">
        <f aca="false">IF(AND(C3000=C3001,Y3000=Y3001-1),Z3000,"")</f>
        <v/>
      </c>
      <c r="AC3001" s="0" t="str">
        <f aca="false">IF(AND(C3000=C3001,Y3000=Y3001-1),AA3000,"")</f>
        <v/>
      </c>
      <c r="AD3001" s="0" t="str">
        <f aca="false">IF(Y3001=1,"",IF(AND(Z3001=1,AB3001&lt;&gt;1),1,0))</f>
        <v/>
      </c>
      <c r="AE3001" s="0" t="str">
        <f aca="false">IF(Y3001=1,"",IF(AND(AA3001=1,AC3001&lt;&gt;1),1,0))</f>
        <v/>
      </c>
      <c r="AF3001" s="45" t="str">
        <f aca="false">IF(AND(E3001&gt;0,Y3001&lt;1,NOT(AND(C3002=C3001,Y3002=Y3001+1))),INDEX(DATAS,Y3001+1),"")</f>
        <v/>
      </c>
      <c r="AG3001" s="45" t="str">
        <f aca="false">IF(AND(AA3001=1,Y3001&lt;1),IF(AND(C3002=C3001,Y3002=Y3001+1),IF(AA3002=1,"",INDEX(DATAS,Y3001+1)),INDEX(DATAS,Y3001+1)),"")</f>
        <v/>
      </c>
    </row>
    <row r="3002" customFormat="false" ht="15" hidden="false" customHeight="false" outlineLevel="0" collapsed="false">
      <c r="A3002" s="45" t="n">
        <v>46309</v>
      </c>
      <c r="B3002" s="0" t="n">
        <v>13</v>
      </c>
      <c r="C3002" s="0" t="n">
        <v>7392</v>
      </c>
      <c r="E3002" s="0" t="n">
        <v>0</v>
      </c>
      <c r="F3002" s="39" t="s">
        <v>1420</v>
      </c>
      <c r="I3002" s="39" t="s">
        <v>136</v>
      </c>
      <c r="U3002" s="0" t="n">
        <v>252</v>
      </c>
      <c r="V3002" s="0" t="n">
        <v>0</v>
      </c>
      <c r="W3002" s="39" t="n">
        <f aca="false">IF(I3002="Male",0,1)</f>
        <v>1</v>
      </c>
      <c r="X3002" s="39" t="n">
        <f aca="false">IF(OR(I3002="DNB",I3002="Dry DNB"),1,0)</f>
        <v>0</v>
      </c>
      <c r="Y3002" s="39" t="n">
        <f aca="false">MATCH(A3002,DATAS,0)</f>
        <v>1</v>
      </c>
      <c r="Z3002" s="39" t="n">
        <f aca="false">IF(AND(E3002&gt;0,OR(AND(B3002&gt;=1,B3002&lt;=6),B3002=10)),1,0)</f>
        <v>0</v>
      </c>
      <c r="AA3002" s="39" t="n">
        <f aca="false">IF(AND(E3002&gt;0,B3002=10),1,0)</f>
        <v>0</v>
      </c>
      <c r="AB3002" s="0" t="str">
        <f aca="false">IF(AND(C3001=C3002,Y3001=Y3002-1),Z3001,"")</f>
        <v/>
      </c>
      <c r="AC3002" s="0" t="str">
        <f aca="false">IF(AND(C3001=C3002,Y3001=Y3002-1),AA3001,"")</f>
        <v/>
      </c>
      <c r="AD3002" s="0" t="str">
        <f aca="false">IF(Y3002=1,"",IF(AND(Z3002=1,AB3002&lt;&gt;1),1,0))</f>
        <v/>
      </c>
      <c r="AE3002" s="0" t="str">
        <f aca="false">IF(Y3002=1,"",IF(AND(AA3002=1,AC3002&lt;&gt;1),1,0))</f>
        <v/>
      </c>
      <c r="AF3002" s="45" t="str">
        <f aca="false">IF(AND(E3002&gt;0,Y3002&lt;1,NOT(AND(C3003=C3002,Y3003=Y3002+1))),INDEX(DATAS,Y3002+1),"")</f>
        <v/>
      </c>
      <c r="AG3002" s="45" t="str">
        <f aca="false">IF(AND(AA3002=1,Y3002&lt;1),IF(AND(C3003=C3002,Y3003=Y3002+1),IF(AA3003=1,"",INDEX(DATAS,Y3002+1)),INDEX(DATAS,Y3002+1)),"")</f>
        <v/>
      </c>
    </row>
    <row r="3003" customFormat="false" ht="15" hidden="false" customHeight="false" outlineLevel="0" collapsed="false">
      <c r="A3003" s="45" t="n">
        <v>46309</v>
      </c>
      <c r="B3003" s="0" t="n">
        <v>13</v>
      </c>
      <c r="C3003" s="0" t="n">
        <v>7393</v>
      </c>
      <c r="E3003" s="0" t="n">
        <v>0</v>
      </c>
      <c r="F3003" s="39" t="s">
        <v>1420</v>
      </c>
      <c r="I3003" s="39" t="s">
        <v>136</v>
      </c>
      <c r="U3003" s="0" t="n">
        <v>252</v>
      </c>
      <c r="V3003" s="0" t="n">
        <v>0</v>
      </c>
      <c r="W3003" s="39" t="n">
        <f aca="false">IF(I3003="Male",0,1)</f>
        <v>1</v>
      </c>
      <c r="X3003" s="39" t="n">
        <f aca="false">IF(OR(I3003="DNB",I3003="Dry DNB"),1,0)</f>
        <v>0</v>
      </c>
      <c r="Y3003" s="39" t="n">
        <f aca="false">MATCH(A3003,DATAS,0)</f>
        <v>1</v>
      </c>
      <c r="Z3003" s="39" t="n">
        <f aca="false">IF(AND(E3003&gt;0,OR(AND(B3003&gt;=1,B3003&lt;=6),B3003=10)),1,0)</f>
        <v>0</v>
      </c>
      <c r="AA3003" s="39" t="n">
        <f aca="false">IF(AND(E3003&gt;0,B3003=10),1,0)</f>
        <v>0</v>
      </c>
      <c r="AB3003" s="0" t="str">
        <f aca="false">IF(AND(C3002=C3003,Y3002=Y3003-1),Z3002,"")</f>
        <v/>
      </c>
      <c r="AC3003" s="0" t="str">
        <f aca="false">IF(AND(C3002=C3003,Y3002=Y3003-1),AA3002,"")</f>
        <v/>
      </c>
      <c r="AD3003" s="0" t="str">
        <f aca="false">IF(Y3003=1,"",IF(AND(Z3003=1,AB3003&lt;&gt;1),1,0))</f>
        <v/>
      </c>
      <c r="AE3003" s="0" t="str">
        <f aca="false">IF(Y3003=1,"",IF(AND(AA3003=1,AC3003&lt;&gt;1),1,0))</f>
        <v/>
      </c>
      <c r="AF3003" s="45" t="str">
        <f aca="false">IF(AND(E3003&gt;0,Y3003&lt;1,NOT(AND(C3004=C3003,Y3004=Y3003+1))),INDEX(DATAS,Y3003+1),"")</f>
        <v/>
      </c>
      <c r="AG3003" s="45" t="str">
        <f aca="false">IF(AND(AA3003=1,Y3003&lt;1),IF(AND(C3004=C3003,Y3004=Y3003+1),IF(AA3004=1,"",INDEX(DATAS,Y3003+1)),INDEX(DATAS,Y3003+1)),"")</f>
        <v/>
      </c>
    </row>
    <row r="3004" customFormat="false" ht="15" hidden="false" customHeight="false" outlineLevel="0" collapsed="false">
      <c r="A3004" s="45" t="n">
        <v>46309</v>
      </c>
      <c r="B3004" s="0" t="n">
        <v>13</v>
      </c>
      <c r="C3004" s="0" t="n">
        <v>7394</v>
      </c>
      <c r="E3004" s="0" t="n">
        <v>0</v>
      </c>
      <c r="F3004" s="39" t="s">
        <v>1421</v>
      </c>
      <c r="I3004" s="39" t="s">
        <v>136</v>
      </c>
      <c r="U3004" s="0" t="n">
        <v>251</v>
      </c>
      <c r="V3004" s="0" t="n">
        <v>0</v>
      </c>
      <c r="W3004" s="39" t="n">
        <f aca="false">IF(I3004="Male",0,1)</f>
        <v>1</v>
      </c>
      <c r="X3004" s="39" t="n">
        <f aca="false">IF(OR(I3004="DNB",I3004="Dry DNB"),1,0)</f>
        <v>0</v>
      </c>
      <c r="Y3004" s="39" t="n">
        <f aca="false">MATCH(A3004,DATAS,0)</f>
        <v>1</v>
      </c>
      <c r="Z3004" s="39" t="n">
        <f aca="false">IF(AND(E3004&gt;0,OR(AND(B3004&gt;=1,B3004&lt;=6),B3004=10)),1,0)</f>
        <v>0</v>
      </c>
      <c r="AA3004" s="39" t="n">
        <f aca="false">IF(AND(E3004&gt;0,B3004=10),1,0)</f>
        <v>0</v>
      </c>
      <c r="AB3004" s="0" t="str">
        <f aca="false">IF(AND(C3003=C3004,Y3003=Y3004-1),Z3003,"")</f>
        <v/>
      </c>
      <c r="AC3004" s="0" t="str">
        <f aca="false">IF(AND(C3003=C3004,Y3003=Y3004-1),AA3003,"")</f>
        <v/>
      </c>
      <c r="AD3004" s="0" t="str">
        <f aca="false">IF(Y3004=1,"",IF(AND(Z3004=1,AB3004&lt;&gt;1),1,0))</f>
        <v/>
      </c>
      <c r="AE3004" s="0" t="str">
        <f aca="false">IF(Y3004=1,"",IF(AND(AA3004=1,AC3004&lt;&gt;1),1,0))</f>
        <v/>
      </c>
      <c r="AF3004" s="45" t="str">
        <f aca="false">IF(AND(E3004&gt;0,Y3004&lt;1,NOT(AND(C3005=C3004,Y3005=Y3004+1))),INDEX(DATAS,Y3004+1),"")</f>
        <v/>
      </c>
      <c r="AG3004" s="45" t="str">
        <f aca="false">IF(AND(AA3004=1,Y3004&lt;1),IF(AND(C3005=C3004,Y3005=Y3004+1),IF(AA3005=1,"",INDEX(DATAS,Y3004+1)),INDEX(DATAS,Y3004+1)),"")</f>
        <v/>
      </c>
    </row>
    <row r="3005" customFormat="false" ht="15" hidden="false" customHeight="false" outlineLevel="0" collapsed="false">
      <c r="A3005" s="45" t="n">
        <v>46309</v>
      </c>
      <c r="B3005" s="0" t="n">
        <v>13</v>
      </c>
      <c r="C3005" s="0" t="n">
        <v>7395</v>
      </c>
      <c r="E3005" s="0" t="n">
        <v>0</v>
      </c>
      <c r="F3005" s="39" t="s">
        <v>1421</v>
      </c>
      <c r="I3005" s="39" t="s">
        <v>136</v>
      </c>
      <c r="U3005" s="0" t="n">
        <v>251</v>
      </c>
      <c r="V3005" s="0" t="n">
        <v>0</v>
      </c>
      <c r="W3005" s="39" t="n">
        <f aca="false">IF(I3005="Male",0,1)</f>
        <v>1</v>
      </c>
      <c r="X3005" s="39" t="n">
        <f aca="false">IF(OR(I3005="DNB",I3005="Dry DNB"),1,0)</f>
        <v>0</v>
      </c>
      <c r="Y3005" s="39" t="n">
        <f aca="false">MATCH(A3005,DATAS,0)</f>
        <v>1</v>
      </c>
      <c r="Z3005" s="39" t="n">
        <f aca="false">IF(AND(E3005&gt;0,OR(AND(B3005&gt;=1,B3005&lt;=6),B3005=10)),1,0)</f>
        <v>0</v>
      </c>
      <c r="AA3005" s="39" t="n">
        <f aca="false">IF(AND(E3005&gt;0,B3005=10),1,0)</f>
        <v>0</v>
      </c>
      <c r="AB3005" s="0" t="str">
        <f aca="false">IF(AND(C3004=C3005,Y3004=Y3005-1),Z3004,"")</f>
        <v/>
      </c>
      <c r="AC3005" s="0" t="str">
        <f aca="false">IF(AND(C3004=C3005,Y3004=Y3005-1),AA3004,"")</f>
        <v/>
      </c>
      <c r="AD3005" s="0" t="str">
        <f aca="false">IF(Y3005=1,"",IF(AND(Z3005=1,AB3005&lt;&gt;1),1,0))</f>
        <v/>
      </c>
      <c r="AE3005" s="0" t="str">
        <f aca="false">IF(Y3005=1,"",IF(AND(AA3005=1,AC3005&lt;&gt;1),1,0))</f>
        <v/>
      </c>
      <c r="AF3005" s="45" t="str">
        <f aca="false">IF(AND(E3005&gt;0,Y3005&lt;1,NOT(AND(C3006=C3005,Y3006=Y3005+1))),INDEX(DATAS,Y3005+1),"")</f>
        <v/>
      </c>
      <c r="AG3005" s="45" t="str">
        <f aca="false">IF(AND(AA3005=1,Y3005&lt;1),IF(AND(C3006=C3005,Y3006=Y3005+1),IF(AA3006=1,"",INDEX(DATAS,Y3005+1)),INDEX(DATAS,Y3005+1)),"")</f>
        <v/>
      </c>
    </row>
    <row r="3006" customFormat="false" ht="15" hidden="false" customHeight="false" outlineLevel="0" collapsed="false">
      <c r="A3006" s="45" t="n">
        <v>46309</v>
      </c>
      <c r="B3006" s="0" t="n">
        <v>13</v>
      </c>
      <c r="C3006" s="0" t="n">
        <v>7396</v>
      </c>
      <c r="E3006" s="0" t="n">
        <v>0</v>
      </c>
      <c r="F3006" s="39" t="s">
        <v>1421</v>
      </c>
      <c r="I3006" s="39" t="s">
        <v>136</v>
      </c>
      <c r="U3006" s="0" t="n">
        <v>251</v>
      </c>
      <c r="V3006" s="0" t="n">
        <v>0</v>
      </c>
      <c r="W3006" s="39" t="n">
        <f aca="false">IF(I3006="Male",0,1)</f>
        <v>1</v>
      </c>
      <c r="X3006" s="39" t="n">
        <f aca="false">IF(OR(I3006="DNB",I3006="Dry DNB"),1,0)</f>
        <v>0</v>
      </c>
      <c r="Y3006" s="39" t="n">
        <f aca="false">MATCH(A3006,DATAS,0)</f>
        <v>1</v>
      </c>
      <c r="Z3006" s="39" t="n">
        <f aca="false">IF(AND(E3006&gt;0,OR(AND(B3006&gt;=1,B3006&lt;=6),B3006=10)),1,0)</f>
        <v>0</v>
      </c>
      <c r="AA3006" s="39" t="n">
        <f aca="false">IF(AND(E3006&gt;0,B3006=10),1,0)</f>
        <v>0</v>
      </c>
      <c r="AB3006" s="0" t="str">
        <f aca="false">IF(AND(C3005=C3006,Y3005=Y3006-1),Z3005,"")</f>
        <v/>
      </c>
      <c r="AC3006" s="0" t="str">
        <f aca="false">IF(AND(C3005=C3006,Y3005=Y3006-1),AA3005,"")</f>
        <v/>
      </c>
      <c r="AD3006" s="0" t="str">
        <f aca="false">IF(Y3006=1,"",IF(AND(Z3006=1,AB3006&lt;&gt;1),1,0))</f>
        <v/>
      </c>
      <c r="AE3006" s="0" t="str">
        <f aca="false">IF(Y3006=1,"",IF(AND(AA3006=1,AC3006&lt;&gt;1),1,0))</f>
        <v/>
      </c>
      <c r="AF3006" s="45" t="str">
        <f aca="false">IF(AND(E3006&gt;0,Y3006&lt;1,NOT(AND(C3007=C3006,Y3007=Y3006+1))),INDEX(DATAS,Y3006+1),"")</f>
        <v/>
      </c>
      <c r="AG3006" s="45" t="str">
        <f aca="false">IF(AND(AA3006=1,Y3006&lt;1),IF(AND(C3007=C3006,Y3007=Y3006+1),IF(AA3007=1,"",INDEX(DATAS,Y3006+1)),INDEX(DATAS,Y3006+1)),"")</f>
        <v/>
      </c>
    </row>
    <row r="3007" customFormat="false" ht="15" hidden="false" customHeight="false" outlineLevel="0" collapsed="false">
      <c r="A3007" s="45" t="n">
        <v>46309</v>
      </c>
      <c r="B3007" s="0" t="n">
        <v>13</v>
      </c>
      <c r="C3007" s="0" t="n">
        <v>7397</v>
      </c>
      <c r="E3007" s="0" t="n">
        <v>0</v>
      </c>
      <c r="F3007" s="39" t="s">
        <v>1421</v>
      </c>
      <c r="I3007" s="39" t="s">
        <v>136</v>
      </c>
      <c r="U3007" s="0" t="n">
        <v>251</v>
      </c>
      <c r="V3007" s="0" t="n">
        <v>0</v>
      </c>
      <c r="W3007" s="39" t="n">
        <f aca="false">IF(I3007="Male",0,1)</f>
        <v>1</v>
      </c>
      <c r="X3007" s="39" t="n">
        <f aca="false">IF(OR(I3007="DNB",I3007="Dry DNB"),1,0)</f>
        <v>0</v>
      </c>
      <c r="Y3007" s="39" t="n">
        <f aca="false">MATCH(A3007,DATAS,0)</f>
        <v>1</v>
      </c>
      <c r="Z3007" s="39" t="n">
        <f aca="false">IF(AND(E3007&gt;0,OR(AND(B3007&gt;=1,B3007&lt;=6),B3007=10)),1,0)</f>
        <v>0</v>
      </c>
      <c r="AA3007" s="39" t="n">
        <f aca="false">IF(AND(E3007&gt;0,B3007=10),1,0)</f>
        <v>0</v>
      </c>
      <c r="AB3007" s="0" t="str">
        <f aca="false">IF(AND(C3006=C3007,Y3006=Y3007-1),Z3006,"")</f>
        <v/>
      </c>
      <c r="AC3007" s="0" t="str">
        <f aca="false">IF(AND(C3006=C3007,Y3006=Y3007-1),AA3006,"")</f>
        <v/>
      </c>
      <c r="AD3007" s="0" t="str">
        <f aca="false">IF(Y3007=1,"",IF(AND(Z3007=1,AB3007&lt;&gt;1),1,0))</f>
        <v/>
      </c>
      <c r="AE3007" s="0" t="str">
        <f aca="false">IF(Y3007=1,"",IF(AND(AA3007=1,AC3007&lt;&gt;1),1,0))</f>
        <v/>
      </c>
      <c r="AF3007" s="45" t="str">
        <f aca="false">IF(AND(E3007&gt;0,Y3007&lt;1,NOT(AND(C3008=C3007,Y3008=Y3007+1))),INDEX(DATAS,Y3007+1),"")</f>
        <v/>
      </c>
      <c r="AG3007" s="45" t="str">
        <f aca="false">IF(AND(AA3007=1,Y3007&lt;1),IF(AND(C3008=C3007,Y3008=Y3007+1),IF(AA3008=1,"",INDEX(DATAS,Y3007+1)),INDEX(DATAS,Y3007+1)),"")</f>
        <v/>
      </c>
    </row>
    <row r="3008" customFormat="false" ht="15" hidden="false" customHeight="false" outlineLevel="0" collapsed="false">
      <c r="A3008" s="45" t="n">
        <v>46309</v>
      </c>
      <c r="B3008" s="0" t="n">
        <v>13</v>
      </c>
      <c r="C3008" s="0" t="n">
        <v>7398</v>
      </c>
      <c r="E3008" s="0" t="n">
        <v>0</v>
      </c>
      <c r="F3008" s="39" t="s">
        <v>1421</v>
      </c>
      <c r="I3008" s="39" t="s">
        <v>136</v>
      </c>
      <c r="U3008" s="0" t="n">
        <v>251</v>
      </c>
      <c r="V3008" s="0" t="n">
        <v>0</v>
      </c>
      <c r="W3008" s="39" t="n">
        <f aca="false">IF(I3008="Male",0,1)</f>
        <v>1</v>
      </c>
      <c r="X3008" s="39" t="n">
        <f aca="false">IF(OR(I3008="DNB",I3008="Dry DNB"),1,0)</f>
        <v>0</v>
      </c>
      <c r="Y3008" s="39" t="n">
        <f aca="false">MATCH(A3008,DATAS,0)</f>
        <v>1</v>
      </c>
      <c r="Z3008" s="39" t="n">
        <f aca="false">IF(AND(E3008&gt;0,OR(AND(B3008&gt;=1,B3008&lt;=6),B3008=10)),1,0)</f>
        <v>0</v>
      </c>
      <c r="AA3008" s="39" t="n">
        <f aca="false">IF(AND(E3008&gt;0,B3008=10),1,0)</f>
        <v>0</v>
      </c>
      <c r="AB3008" s="0" t="str">
        <f aca="false">IF(AND(C3007=C3008,Y3007=Y3008-1),Z3007,"")</f>
        <v/>
      </c>
      <c r="AC3008" s="0" t="str">
        <f aca="false">IF(AND(C3007=C3008,Y3007=Y3008-1),AA3007,"")</f>
        <v/>
      </c>
      <c r="AD3008" s="0" t="str">
        <f aca="false">IF(Y3008=1,"",IF(AND(Z3008=1,AB3008&lt;&gt;1),1,0))</f>
        <v/>
      </c>
      <c r="AE3008" s="0" t="str">
        <f aca="false">IF(Y3008=1,"",IF(AND(AA3008=1,AC3008&lt;&gt;1),1,0))</f>
        <v/>
      </c>
      <c r="AF3008" s="45" t="str">
        <f aca="false">IF(AND(E3008&gt;0,Y3008&lt;1,NOT(AND(C3009=C3008,Y3009=Y3008+1))),INDEX(DATAS,Y3008+1),"")</f>
        <v/>
      </c>
      <c r="AG3008" s="45" t="str">
        <f aca="false">IF(AND(AA3008=1,Y3008&lt;1),IF(AND(C3009=C3008,Y3009=Y3008+1),IF(AA3009=1,"",INDEX(DATAS,Y3008+1)),INDEX(DATAS,Y3008+1)),"")</f>
        <v/>
      </c>
    </row>
    <row r="3009" customFormat="false" ht="15" hidden="false" customHeight="false" outlineLevel="0" collapsed="false">
      <c r="A3009" s="45" t="n">
        <v>46309</v>
      </c>
      <c r="B3009" s="0" t="n">
        <v>13</v>
      </c>
      <c r="C3009" s="0" t="n">
        <v>7399</v>
      </c>
      <c r="E3009" s="0" t="n">
        <v>0</v>
      </c>
      <c r="F3009" s="39" t="s">
        <v>1421</v>
      </c>
      <c r="I3009" s="39" t="s">
        <v>136</v>
      </c>
      <c r="U3009" s="0" t="n">
        <v>251</v>
      </c>
      <c r="V3009" s="0" t="n">
        <v>0</v>
      </c>
      <c r="W3009" s="39" t="n">
        <f aca="false">IF(I3009="Male",0,1)</f>
        <v>1</v>
      </c>
      <c r="X3009" s="39" t="n">
        <f aca="false">IF(OR(I3009="DNB",I3009="Dry DNB"),1,0)</f>
        <v>0</v>
      </c>
      <c r="Y3009" s="39" t="n">
        <f aca="false">MATCH(A3009,DATAS,0)</f>
        <v>1</v>
      </c>
      <c r="Z3009" s="39" t="n">
        <f aca="false">IF(AND(E3009&gt;0,OR(AND(B3009&gt;=1,B3009&lt;=6),B3009=10)),1,0)</f>
        <v>0</v>
      </c>
      <c r="AA3009" s="39" t="n">
        <f aca="false">IF(AND(E3009&gt;0,B3009=10),1,0)</f>
        <v>0</v>
      </c>
      <c r="AB3009" s="0" t="str">
        <f aca="false">IF(AND(C3008=C3009,Y3008=Y3009-1),Z3008,"")</f>
        <v/>
      </c>
      <c r="AC3009" s="0" t="str">
        <f aca="false">IF(AND(C3008=C3009,Y3008=Y3009-1),AA3008,"")</f>
        <v/>
      </c>
      <c r="AD3009" s="0" t="str">
        <f aca="false">IF(Y3009=1,"",IF(AND(Z3009=1,AB3009&lt;&gt;1),1,0))</f>
        <v/>
      </c>
      <c r="AE3009" s="0" t="str">
        <f aca="false">IF(Y3009=1,"",IF(AND(AA3009=1,AC3009&lt;&gt;1),1,0))</f>
        <v/>
      </c>
      <c r="AF3009" s="45" t="str">
        <f aca="false">IF(AND(E3009&gt;0,Y3009&lt;1,NOT(AND(C3010=C3009,Y3010=Y3009+1))),INDEX(DATAS,Y3009+1),"")</f>
        <v/>
      </c>
      <c r="AG3009" s="45" t="str">
        <f aca="false">IF(AND(AA3009=1,Y3009&lt;1),IF(AND(C3010=C3009,Y3010=Y3009+1),IF(AA3010=1,"",INDEX(DATAS,Y3009+1)),INDEX(DATAS,Y3009+1)),"")</f>
        <v/>
      </c>
    </row>
    <row r="3010" customFormat="false" ht="15" hidden="false" customHeight="false" outlineLevel="0" collapsed="false">
      <c r="A3010" s="45" t="n">
        <v>46309</v>
      </c>
      <c r="B3010" s="0" t="n">
        <v>13</v>
      </c>
      <c r="C3010" s="0" t="n">
        <v>7400</v>
      </c>
      <c r="E3010" s="0" t="n">
        <v>0</v>
      </c>
      <c r="F3010" s="39" t="s">
        <v>1422</v>
      </c>
      <c r="I3010" s="39" t="s">
        <v>136</v>
      </c>
      <c r="U3010" s="0" t="n">
        <v>250</v>
      </c>
      <c r="V3010" s="0" t="n">
        <v>0</v>
      </c>
      <c r="W3010" s="39" t="n">
        <f aca="false">IF(I3010="Male",0,1)</f>
        <v>1</v>
      </c>
      <c r="X3010" s="39" t="n">
        <f aca="false">IF(OR(I3010="DNB",I3010="Dry DNB"),1,0)</f>
        <v>0</v>
      </c>
      <c r="Y3010" s="39" t="n">
        <f aca="false">MATCH(A3010,DATAS,0)</f>
        <v>1</v>
      </c>
      <c r="Z3010" s="39" t="n">
        <f aca="false">IF(AND(E3010&gt;0,OR(AND(B3010&gt;=1,B3010&lt;=6),B3010=10)),1,0)</f>
        <v>0</v>
      </c>
      <c r="AA3010" s="39" t="n">
        <f aca="false">IF(AND(E3010&gt;0,B3010=10),1,0)</f>
        <v>0</v>
      </c>
      <c r="AB3010" s="0" t="str">
        <f aca="false">IF(AND(C3009=C3010,Y3009=Y3010-1),Z3009,"")</f>
        <v/>
      </c>
      <c r="AC3010" s="0" t="str">
        <f aca="false">IF(AND(C3009=C3010,Y3009=Y3010-1),AA3009,"")</f>
        <v/>
      </c>
      <c r="AD3010" s="0" t="str">
        <f aca="false">IF(Y3010=1,"",IF(AND(Z3010=1,AB3010&lt;&gt;1),1,0))</f>
        <v/>
      </c>
      <c r="AE3010" s="0" t="str">
        <f aca="false">IF(Y3010=1,"",IF(AND(AA3010=1,AC3010&lt;&gt;1),1,0))</f>
        <v/>
      </c>
      <c r="AF3010" s="45" t="str">
        <f aca="false">IF(AND(E3010&gt;0,Y3010&lt;1,NOT(AND(C3011=C3010,Y3011=Y3010+1))),INDEX(DATAS,Y3010+1),"")</f>
        <v/>
      </c>
      <c r="AG3010" s="45" t="str">
        <f aca="false">IF(AND(AA3010=1,Y3010&lt;1),IF(AND(C3011=C3010,Y3011=Y3010+1),IF(AA3011=1,"",INDEX(DATAS,Y3010+1)),INDEX(DATAS,Y3010+1)),"")</f>
        <v/>
      </c>
    </row>
    <row r="3011" customFormat="false" ht="15" hidden="false" customHeight="false" outlineLevel="0" collapsed="false">
      <c r="A3011" s="45" t="n">
        <v>46309</v>
      </c>
      <c r="B3011" s="0" t="n">
        <v>13</v>
      </c>
      <c r="C3011" s="0" t="n">
        <v>7401</v>
      </c>
      <c r="E3011" s="0" t="n">
        <v>0</v>
      </c>
      <c r="F3011" s="39" t="s">
        <v>1422</v>
      </c>
      <c r="I3011" s="39" t="s">
        <v>136</v>
      </c>
      <c r="U3011" s="0" t="n">
        <v>250</v>
      </c>
      <c r="V3011" s="0" t="n">
        <v>0</v>
      </c>
      <c r="W3011" s="39" t="n">
        <f aca="false">IF(I3011="Male",0,1)</f>
        <v>1</v>
      </c>
      <c r="X3011" s="39" t="n">
        <f aca="false">IF(OR(I3011="DNB",I3011="Dry DNB"),1,0)</f>
        <v>0</v>
      </c>
      <c r="Y3011" s="39" t="n">
        <f aca="false">MATCH(A3011,DATAS,0)</f>
        <v>1</v>
      </c>
      <c r="Z3011" s="39" t="n">
        <f aca="false">IF(AND(E3011&gt;0,OR(AND(B3011&gt;=1,B3011&lt;=6),B3011=10)),1,0)</f>
        <v>0</v>
      </c>
      <c r="AA3011" s="39" t="n">
        <f aca="false">IF(AND(E3011&gt;0,B3011=10),1,0)</f>
        <v>0</v>
      </c>
      <c r="AB3011" s="0" t="str">
        <f aca="false">IF(AND(C3010=C3011,Y3010=Y3011-1),Z3010,"")</f>
        <v/>
      </c>
      <c r="AC3011" s="0" t="str">
        <f aca="false">IF(AND(C3010=C3011,Y3010=Y3011-1),AA3010,"")</f>
        <v/>
      </c>
      <c r="AD3011" s="0" t="str">
        <f aca="false">IF(Y3011=1,"",IF(AND(Z3011=1,AB3011&lt;&gt;1),1,0))</f>
        <v/>
      </c>
      <c r="AE3011" s="0" t="str">
        <f aca="false">IF(Y3011=1,"",IF(AND(AA3011=1,AC3011&lt;&gt;1),1,0))</f>
        <v/>
      </c>
      <c r="AF3011" s="45" t="str">
        <f aca="false">IF(AND(E3011&gt;0,Y3011&lt;1,NOT(AND(C3012=C3011,Y3012=Y3011+1))),INDEX(DATAS,Y3011+1),"")</f>
        <v/>
      </c>
      <c r="AG3011" s="45" t="str">
        <f aca="false">IF(AND(AA3011=1,Y3011&lt;1),IF(AND(C3012=C3011,Y3012=Y3011+1),IF(AA3012=1,"",INDEX(DATAS,Y3011+1)),INDEX(DATAS,Y3011+1)),"")</f>
        <v/>
      </c>
    </row>
    <row r="3012" customFormat="false" ht="15" hidden="false" customHeight="false" outlineLevel="0" collapsed="false">
      <c r="A3012" s="45" t="n">
        <v>46309</v>
      </c>
      <c r="B3012" s="0" t="n">
        <v>13</v>
      </c>
      <c r="C3012" s="0" t="n">
        <v>7402</v>
      </c>
      <c r="E3012" s="0" t="n">
        <v>0</v>
      </c>
      <c r="F3012" s="39" t="s">
        <v>1423</v>
      </c>
      <c r="I3012" s="39" t="s">
        <v>136</v>
      </c>
      <c r="U3012" s="0" t="n">
        <v>249</v>
      </c>
      <c r="V3012" s="0" t="n">
        <v>0</v>
      </c>
      <c r="W3012" s="39" t="n">
        <f aca="false">IF(I3012="Male",0,1)</f>
        <v>1</v>
      </c>
      <c r="X3012" s="39" t="n">
        <f aca="false">IF(OR(I3012="DNB",I3012="Dry DNB"),1,0)</f>
        <v>0</v>
      </c>
      <c r="Y3012" s="39" t="n">
        <f aca="false">MATCH(A3012,DATAS,0)</f>
        <v>1</v>
      </c>
      <c r="Z3012" s="39" t="n">
        <f aca="false">IF(AND(E3012&gt;0,OR(AND(B3012&gt;=1,B3012&lt;=6),B3012=10)),1,0)</f>
        <v>0</v>
      </c>
      <c r="AA3012" s="39" t="n">
        <f aca="false">IF(AND(E3012&gt;0,B3012=10),1,0)</f>
        <v>0</v>
      </c>
      <c r="AB3012" s="0" t="str">
        <f aca="false">IF(AND(C3011=C3012,Y3011=Y3012-1),Z3011,"")</f>
        <v/>
      </c>
      <c r="AC3012" s="0" t="str">
        <f aca="false">IF(AND(C3011=C3012,Y3011=Y3012-1),AA3011,"")</f>
        <v/>
      </c>
      <c r="AD3012" s="0" t="str">
        <f aca="false">IF(Y3012=1,"",IF(AND(Z3012=1,AB3012&lt;&gt;1),1,0))</f>
        <v/>
      </c>
      <c r="AE3012" s="0" t="str">
        <f aca="false">IF(Y3012=1,"",IF(AND(AA3012=1,AC3012&lt;&gt;1),1,0))</f>
        <v/>
      </c>
      <c r="AF3012" s="45" t="str">
        <f aca="false">IF(AND(E3012&gt;0,Y3012&lt;1,NOT(AND(C3013=C3012,Y3013=Y3012+1))),INDEX(DATAS,Y3012+1),"")</f>
        <v/>
      </c>
      <c r="AG3012" s="45" t="str">
        <f aca="false">IF(AND(AA3012=1,Y3012&lt;1),IF(AND(C3013=C3012,Y3013=Y3012+1),IF(AA3013=1,"",INDEX(DATAS,Y3012+1)),INDEX(DATAS,Y3012+1)),"")</f>
        <v/>
      </c>
    </row>
    <row r="3013" customFormat="false" ht="15" hidden="false" customHeight="false" outlineLevel="0" collapsed="false">
      <c r="A3013" s="45" t="n">
        <v>46309</v>
      </c>
      <c r="B3013" s="0" t="n">
        <v>13</v>
      </c>
      <c r="C3013" s="0" t="n">
        <v>7403</v>
      </c>
      <c r="E3013" s="0" t="n">
        <v>0</v>
      </c>
      <c r="F3013" s="39" t="s">
        <v>1423</v>
      </c>
      <c r="I3013" s="39" t="s">
        <v>136</v>
      </c>
      <c r="U3013" s="0" t="n">
        <v>249</v>
      </c>
      <c r="V3013" s="0" t="n">
        <v>0</v>
      </c>
      <c r="W3013" s="39" t="n">
        <f aca="false">IF(I3013="Male",0,1)</f>
        <v>1</v>
      </c>
      <c r="X3013" s="39" t="n">
        <f aca="false">IF(OR(I3013="DNB",I3013="Dry DNB"),1,0)</f>
        <v>0</v>
      </c>
      <c r="Y3013" s="39" t="n">
        <f aca="false">MATCH(A3013,DATAS,0)</f>
        <v>1</v>
      </c>
      <c r="Z3013" s="39" t="n">
        <f aca="false">IF(AND(E3013&gt;0,OR(AND(B3013&gt;=1,B3013&lt;=6),B3013=10)),1,0)</f>
        <v>0</v>
      </c>
      <c r="AA3013" s="39" t="n">
        <f aca="false">IF(AND(E3013&gt;0,B3013=10),1,0)</f>
        <v>0</v>
      </c>
      <c r="AB3013" s="0" t="str">
        <f aca="false">IF(AND(C3012=C3013,Y3012=Y3013-1),Z3012,"")</f>
        <v/>
      </c>
      <c r="AC3013" s="0" t="str">
        <f aca="false">IF(AND(C3012=C3013,Y3012=Y3013-1),AA3012,"")</f>
        <v/>
      </c>
      <c r="AD3013" s="0" t="str">
        <f aca="false">IF(Y3013=1,"",IF(AND(Z3013=1,AB3013&lt;&gt;1),1,0))</f>
        <v/>
      </c>
      <c r="AE3013" s="0" t="str">
        <f aca="false">IF(Y3013=1,"",IF(AND(AA3013=1,AC3013&lt;&gt;1),1,0))</f>
        <v/>
      </c>
      <c r="AF3013" s="45" t="str">
        <f aca="false">IF(AND(E3013&gt;0,Y3013&lt;1,NOT(AND(C3014=C3013,Y3014=Y3013+1))),INDEX(DATAS,Y3013+1),"")</f>
        <v/>
      </c>
      <c r="AG3013" s="45" t="str">
        <f aca="false">IF(AND(AA3013=1,Y3013&lt;1),IF(AND(C3014=C3013,Y3014=Y3013+1),IF(AA3014=1,"",INDEX(DATAS,Y3013+1)),INDEX(DATAS,Y3013+1)),"")</f>
        <v/>
      </c>
    </row>
    <row r="3014" customFormat="false" ht="15" hidden="false" customHeight="false" outlineLevel="0" collapsed="false">
      <c r="A3014" s="45" t="n">
        <v>46309</v>
      </c>
      <c r="B3014" s="0" t="n">
        <v>13</v>
      </c>
      <c r="C3014" s="0" t="n">
        <v>7404</v>
      </c>
      <c r="E3014" s="0" t="n">
        <v>0</v>
      </c>
      <c r="F3014" s="39" t="s">
        <v>1424</v>
      </c>
      <c r="I3014" s="39" t="s">
        <v>136</v>
      </c>
      <c r="U3014" s="0" t="n">
        <v>248</v>
      </c>
      <c r="V3014" s="0" t="n">
        <v>0</v>
      </c>
      <c r="W3014" s="39" t="n">
        <f aca="false">IF(I3014="Male",0,1)</f>
        <v>1</v>
      </c>
      <c r="X3014" s="39" t="n">
        <f aca="false">IF(OR(I3014="DNB",I3014="Dry DNB"),1,0)</f>
        <v>0</v>
      </c>
      <c r="Y3014" s="39" t="n">
        <f aca="false">MATCH(A3014,DATAS,0)</f>
        <v>1</v>
      </c>
      <c r="Z3014" s="39" t="n">
        <f aca="false">IF(AND(E3014&gt;0,OR(AND(B3014&gt;=1,B3014&lt;=6),B3014=10)),1,0)</f>
        <v>0</v>
      </c>
      <c r="AA3014" s="39" t="n">
        <f aca="false">IF(AND(E3014&gt;0,B3014=10),1,0)</f>
        <v>0</v>
      </c>
      <c r="AB3014" s="0" t="str">
        <f aca="false">IF(AND(C3013=C3014,Y3013=Y3014-1),Z3013,"")</f>
        <v/>
      </c>
      <c r="AC3014" s="0" t="str">
        <f aca="false">IF(AND(C3013=C3014,Y3013=Y3014-1),AA3013,"")</f>
        <v/>
      </c>
      <c r="AD3014" s="0" t="str">
        <f aca="false">IF(Y3014=1,"",IF(AND(Z3014=1,AB3014&lt;&gt;1),1,0))</f>
        <v/>
      </c>
      <c r="AE3014" s="0" t="str">
        <f aca="false">IF(Y3014=1,"",IF(AND(AA3014=1,AC3014&lt;&gt;1),1,0))</f>
        <v/>
      </c>
      <c r="AF3014" s="45" t="str">
        <f aca="false">IF(AND(E3014&gt;0,Y3014&lt;1,NOT(AND(C3015=C3014,Y3015=Y3014+1))),INDEX(DATAS,Y3014+1),"")</f>
        <v/>
      </c>
      <c r="AG3014" s="45" t="str">
        <f aca="false">IF(AND(AA3014=1,Y3014&lt;1),IF(AND(C3015=C3014,Y3015=Y3014+1),IF(AA3015=1,"",INDEX(DATAS,Y3014+1)),INDEX(DATAS,Y3014+1)),"")</f>
        <v/>
      </c>
    </row>
    <row r="3015" customFormat="false" ht="15" hidden="false" customHeight="false" outlineLevel="0" collapsed="false">
      <c r="A3015" s="45" t="n">
        <v>46309</v>
      </c>
      <c r="B3015" s="0" t="n">
        <v>13</v>
      </c>
      <c r="C3015" s="0" t="n">
        <v>7405</v>
      </c>
      <c r="E3015" s="0" t="n">
        <v>0</v>
      </c>
      <c r="F3015" s="39" t="s">
        <v>1424</v>
      </c>
      <c r="I3015" s="39" t="s">
        <v>136</v>
      </c>
      <c r="U3015" s="0" t="n">
        <v>248</v>
      </c>
      <c r="V3015" s="0" t="n">
        <v>0</v>
      </c>
      <c r="W3015" s="39" t="n">
        <f aca="false">IF(I3015="Male",0,1)</f>
        <v>1</v>
      </c>
      <c r="X3015" s="39" t="n">
        <f aca="false">IF(OR(I3015="DNB",I3015="Dry DNB"),1,0)</f>
        <v>0</v>
      </c>
      <c r="Y3015" s="39" t="n">
        <f aca="false">MATCH(A3015,DATAS,0)</f>
        <v>1</v>
      </c>
      <c r="Z3015" s="39" t="n">
        <f aca="false">IF(AND(E3015&gt;0,OR(AND(B3015&gt;=1,B3015&lt;=6),B3015=10)),1,0)</f>
        <v>0</v>
      </c>
      <c r="AA3015" s="39" t="n">
        <f aca="false">IF(AND(E3015&gt;0,B3015=10),1,0)</f>
        <v>0</v>
      </c>
      <c r="AB3015" s="0" t="str">
        <f aca="false">IF(AND(C3014=C3015,Y3014=Y3015-1),Z3014,"")</f>
        <v/>
      </c>
      <c r="AC3015" s="0" t="str">
        <f aca="false">IF(AND(C3014=C3015,Y3014=Y3015-1),AA3014,"")</f>
        <v/>
      </c>
      <c r="AD3015" s="0" t="str">
        <f aca="false">IF(Y3015=1,"",IF(AND(Z3015=1,AB3015&lt;&gt;1),1,0))</f>
        <v/>
      </c>
      <c r="AE3015" s="0" t="str">
        <f aca="false">IF(Y3015=1,"",IF(AND(AA3015=1,AC3015&lt;&gt;1),1,0))</f>
        <v/>
      </c>
      <c r="AF3015" s="45" t="str">
        <f aca="false">IF(AND(E3015&gt;0,Y3015&lt;1,NOT(AND(C3016=C3015,Y3016=Y3015+1))),INDEX(DATAS,Y3015+1),"")</f>
        <v/>
      </c>
      <c r="AG3015" s="45" t="str">
        <f aca="false">IF(AND(AA3015=1,Y3015&lt;1),IF(AND(C3016=C3015,Y3016=Y3015+1),IF(AA3016=1,"",INDEX(DATAS,Y3015+1)),INDEX(DATAS,Y3015+1)),"")</f>
        <v/>
      </c>
    </row>
    <row r="3016" customFormat="false" ht="15" hidden="false" customHeight="false" outlineLevel="0" collapsed="false">
      <c r="A3016" s="45" t="n">
        <v>46309</v>
      </c>
      <c r="B3016" s="0" t="n">
        <v>13</v>
      </c>
      <c r="C3016" s="0" t="n">
        <v>7406</v>
      </c>
      <c r="E3016" s="0" t="n">
        <v>0</v>
      </c>
      <c r="F3016" s="39" t="s">
        <v>1424</v>
      </c>
      <c r="I3016" s="39" t="s">
        <v>136</v>
      </c>
      <c r="U3016" s="0" t="n">
        <v>248</v>
      </c>
      <c r="V3016" s="0" t="n">
        <v>0</v>
      </c>
      <c r="W3016" s="39" t="n">
        <f aca="false">IF(I3016="Male",0,1)</f>
        <v>1</v>
      </c>
      <c r="X3016" s="39" t="n">
        <f aca="false">IF(OR(I3016="DNB",I3016="Dry DNB"),1,0)</f>
        <v>0</v>
      </c>
      <c r="Y3016" s="39" t="n">
        <f aca="false">MATCH(A3016,DATAS,0)</f>
        <v>1</v>
      </c>
      <c r="Z3016" s="39" t="n">
        <f aca="false">IF(AND(E3016&gt;0,OR(AND(B3016&gt;=1,B3016&lt;=6),B3016=10)),1,0)</f>
        <v>0</v>
      </c>
      <c r="AA3016" s="39" t="n">
        <f aca="false">IF(AND(E3016&gt;0,B3016=10),1,0)</f>
        <v>0</v>
      </c>
      <c r="AB3016" s="0" t="str">
        <f aca="false">IF(AND(C3015=C3016,Y3015=Y3016-1),Z3015,"")</f>
        <v/>
      </c>
      <c r="AC3016" s="0" t="str">
        <f aca="false">IF(AND(C3015=C3016,Y3015=Y3016-1),AA3015,"")</f>
        <v/>
      </c>
      <c r="AD3016" s="0" t="str">
        <f aca="false">IF(Y3016=1,"",IF(AND(Z3016=1,AB3016&lt;&gt;1),1,0))</f>
        <v/>
      </c>
      <c r="AE3016" s="0" t="str">
        <f aca="false">IF(Y3016=1,"",IF(AND(AA3016=1,AC3016&lt;&gt;1),1,0))</f>
        <v/>
      </c>
      <c r="AF3016" s="45" t="str">
        <f aca="false">IF(AND(E3016&gt;0,Y3016&lt;1,NOT(AND(C3017=C3016,Y3017=Y3016+1))),INDEX(DATAS,Y3016+1),"")</f>
        <v/>
      </c>
      <c r="AG3016" s="45" t="str">
        <f aca="false">IF(AND(AA3016=1,Y3016&lt;1),IF(AND(C3017=C3016,Y3017=Y3016+1),IF(AA3017=1,"",INDEX(DATAS,Y3016+1)),INDEX(DATAS,Y3016+1)),"")</f>
        <v/>
      </c>
    </row>
    <row r="3017" customFormat="false" ht="15" hidden="false" customHeight="false" outlineLevel="0" collapsed="false">
      <c r="A3017" s="45" t="n">
        <v>46309</v>
      </c>
      <c r="B3017" s="0" t="n">
        <v>13</v>
      </c>
      <c r="C3017" s="0" t="n">
        <v>7408</v>
      </c>
      <c r="E3017" s="0" t="n">
        <v>0</v>
      </c>
      <c r="F3017" s="39" t="s">
        <v>1425</v>
      </c>
      <c r="I3017" s="39" t="s">
        <v>136</v>
      </c>
      <c r="U3017" s="0" t="n">
        <v>247</v>
      </c>
      <c r="V3017" s="0" t="n">
        <v>0</v>
      </c>
      <c r="W3017" s="39" t="n">
        <f aca="false">IF(I3017="Male",0,1)</f>
        <v>1</v>
      </c>
      <c r="X3017" s="39" t="n">
        <f aca="false">IF(OR(I3017="DNB",I3017="Dry DNB"),1,0)</f>
        <v>0</v>
      </c>
      <c r="Y3017" s="39" t="n">
        <f aca="false">MATCH(A3017,DATAS,0)</f>
        <v>1</v>
      </c>
      <c r="Z3017" s="39" t="n">
        <f aca="false">IF(AND(E3017&gt;0,OR(AND(B3017&gt;=1,B3017&lt;=6),B3017=10)),1,0)</f>
        <v>0</v>
      </c>
      <c r="AA3017" s="39" t="n">
        <f aca="false">IF(AND(E3017&gt;0,B3017=10),1,0)</f>
        <v>0</v>
      </c>
      <c r="AB3017" s="0" t="str">
        <f aca="false">IF(AND(C3016=C3017,Y3016=Y3017-1),Z3016,"")</f>
        <v/>
      </c>
      <c r="AC3017" s="0" t="str">
        <f aca="false">IF(AND(C3016=C3017,Y3016=Y3017-1),AA3016,"")</f>
        <v/>
      </c>
      <c r="AD3017" s="0" t="str">
        <f aca="false">IF(Y3017=1,"",IF(AND(Z3017=1,AB3017&lt;&gt;1),1,0))</f>
        <v/>
      </c>
      <c r="AE3017" s="0" t="str">
        <f aca="false">IF(Y3017=1,"",IF(AND(AA3017=1,AC3017&lt;&gt;1),1,0))</f>
        <v/>
      </c>
      <c r="AF3017" s="45" t="str">
        <f aca="false">IF(AND(E3017&gt;0,Y3017&lt;1,NOT(AND(C3018=C3017,Y3018=Y3017+1))),INDEX(DATAS,Y3017+1),"")</f>
        <v/>
      </c>
      <c r="AG3017" s="45" t="str">
        <f aca="false">IF(AND(AA3017=1,Y3017&lt;1),IF(AND(C3018=C3017,Y3018=Y3017+1),IF(AA3018=1,"",INDEX(DATAS,Y3017+1)),INDEX(DATAS,Y3017+1)),"")</f>
        <v/>
      </c>
    </row>
    <row r="3018" customFormat="false" ht="15" hidden="false" customHeight="false" outlineLevel="0" collapsed="false">
      <c r="A3018" s="45" t="n">
        <v>46309</v>
      </c>
      <c r="B3018" s="0" t="n">
        <v>13</v>
      </c>
      <c r="C3018" s="0" t="n">
        <v>7409</v>
      </c>
      <c r="E3018" s="0" t="n">
        <v>0</v>
      </c>
      <c r="F3018" s="39" t="s">
        <v>1426</v>
      </c>
      <c r="I3018" s="39" t="s">
        <v>136</v>
      </c>
      <c r="U3018" s="0" t="n">
        <v>246</v>
      </c>
      <c r="V3018" s="0" t="n">
        <v>0</v>
      </c>
      <c r="W3018" s="39" t="n">
        <f aca="false">IF(I3018="Male",0,1)</f>
        <v>1</v>
      </c>
      <c r="X3018" s="39" t="n">
        <f aca="false">IF(OR(I3018="DNB",I3018="Dry DNB"),1,0)</f>
        <v>0</v>
      </c>
      <c r="Y3018" s="39" t="n">
        <f aca="false">MATCH(A3018,DATAS,0)</f>
        <v>1</v>
      </c>
      <c r="Z3018" s="39" t="n">
        <f aca="false">IF(AND(E3018&gt;0,OR(AND(B3018&gt;=1,B3018&lt;=6),B3018=10)),1,0)</f>
        <v>0</v>
      </c>
      <c r="AA3018" s="39" t="n">
        <f aca="false">IF(AND(E3018&gt;0,B3018=10),1,0)</f>
        <v>0</v>
      </c>
      <c r="AB3018" s="0" t="str">
        <f aca="false">IF(AND(C3017=C3018,Y3017=Y3018-1),Z3017,"")</f>
        <v/>
      </c>
      <c r="AC3018" s="0" t="str">
        <f aca="false">IF(AND(C3017=C3018,Y3017=Y3018-1),AA3017,"")</f>
        <v/>
      </c>
      <c r="AD3018" s="0" t="str">
        <f aca="false">IF(Y3018=1,"",IF(AND(Z3018=1,AB3018&lt;&gt;1),1,0))</f>
        <v/>
      </c>
      <c r="AE3018" s="0" t="str">
        <f aca="false">IF(Y3018=1,"",IF(AND(AA3018=1,AC3018&lt;&gt;1),1,0))</f>
        <v/>
      </c>
      <c r="AF3018" s="45" t="str">
        <f aca="false">IF(AND(E3018&gt;0,Y3018&lt;1,NOT(AND(C3019=C3018,Y3019=Y3018+1))),INDEX(DATAS,Y3018+1),"")</f>
        <v/>
      </c>
      <c r="AG3018" s="45" t="str">
        <f aca="false">IF(AND(AA3018=1,Y3018&lt;1),IF(AND(C3019=C3018,Y3019=Y3018+1),IF(AA3019=1,"",INDEX(DATAS,Y3018+1)),INDEX(DATAS,Y3018+1)),"")</f>
        <v/>
      </c>
    </row>
    <row r="3019" customFormat="false" ht="15" hidden="false" customHeight="false" outlineLevel="0" collapsed="false">
      <c r="A3019" s="45" t="n">
        <v>46309</v>
      </c>
      <c r="B3019" s="0" t="n">
        <v>13</v>
      </c>
      <c r="C3019" s="0" t="n">
        <v>7411</v>
      </c>
      <c r="E3019" s="0" t="n">
        <v>0</v>
      </c>
      <c r="F3019" s="39" t="s">
        <v>1427</v>
      </c>
      <c r="I3019" s="39" t="s">
        <v>136</v>
      </c>
      <c r="U3019" s="0" t="n">
        <v>245</v>
      </c>
      <c r="V3019" s="0" t="n">
        <v>0</v>
      </c>
      <c r="W3019" s="39" t="n">
        <f aca="false">IF(I3019="Male",0,1)</f>
        <v>1</v>
      </c>
      <c r="X3019" s="39" t="n">
        <f aca="false">IF(OR(I3019="DNB",I3019="Dry DNB"),1,0)</f>
        <v>0</v>
      </c>
      <c r="Y3019" s="39" t="n">
        <f aca="false">MATCH(A3019,DATAS,0)</f>
        <v>1</v>
      </c>
      <c r="Z3019" s="39" t="n">
        <f aca="false">IF(AND(E3019&gt;0,OR(AND(B3019&gt;=1,B3019&lt;=6),B3019=10)),1,0)</f>
        <v>0</v>
      </c>
      <c r="AA3019" s="39" t="n">
        <f aca="false">IF(AND(E3019&gt;0,B3019=10),1,0)</f>
        <v>0</v>
      </c>
      <c r="AB3019" s="0" t="str">
        <f aca="false">IF(AND(C3018=C3019,Y3018=Y3019-1),Z3018,"")</f>
        <v/>
      </c>
      <c r="AC3019" s="0" t="str">
        <f aca="false">IF(AND(C3018=C3019,Y3018=Y3019-1),AA3018,"")</f>
        <v/>
      </c>
      <c r="AD3019" s="0" t="str">
        <f aca="false">IF(Y3019=1,"",IF(AND(Z3019=1,AB3019&lt;&gt;1),1,0))</f>
        <v/>
      </c>
      <c r="AE3019" s="0" t="str">
        <f aca="false">IF(Y3019=1,"",IF(AND(AA3019=1,AC3019&lt;&gt;1),1,0))</f>
        <v/>
      </c>
      <c r="AF3019" s="45" t="str">
        <f aca="false">IF(AND(E3019&gt;0,Y3019&lt;1,NOT(AND(C3020=C3019,Y3020=Y3019+1))),INDEX(DATAS,Y3019+1),"")</f>
        <v/>
      </c>
      <c r="AG3019" s="45" t="str">
        <f aca="false">IF(AND(AA3019=1,Y3019&lt;1),IF(AND(C3020=C3019,Y3020=Y3019+1),IF(AA3020=1,"",INDEX(DATAS,Y3019+1)),INDEX(DATAS,Y3019+1)),"")</f>
        <v/>
      </c>
    </row>
    <row r="3020" customFormat="false" ht="15" hidden="false" customHeight="false" outlineLevel="0" collapsed="false">
      <c r="A3020" s="45" t="n">
        <v>46309</v>
      </c>
      <c r="B3020" s="0" t="n">
        <v>13</v>
      </c>
      <c r="C3020" s="0" t="n">
        <v>7413</v>
      </c>
      <c r="E3020" s="0" t="n">
        <v>0</v>
      </c>
      <c r="F3020" s="39" t="s">
        <v>1427</v>
      </c>
      <c r="I3020" s="39" t="s">
        <v>136</v>
      </c>
      <c r="U3020" s="0" t="n">
        <v>245</v>
      </c>
      <c r="V3020" s="0" t="n">
        <v>0</v>
      </c>
      <c r="W3020" s="39" t="n">
        <f aca="false">IF(I3020="Male",0,1)</f>
        <v>1</v>
      </c>
      <c r="X3020" s="39" t="n">
        <f aca="false">IF(OR(I3020="DNB",I3020="Dry DNB"),1,0)</f>
        <v>0</v>
      </c>
      <c r="Y3020" s="39" t="n">
        <f aca="false">MATCH(A3020,DATAS,0)</f>
        <v>1</v>
      </c>
      <c r="Z3020" s="39" t="n">
        <f aca="false">IF(AND(E3020&gt;0,OR(AND(B3020&gt;=1,B3020&lt;=6),B3020=10)),1,0)</f>
        <v>0</v>
      </c>
      <c r="AA3020" s="39" t="n">
        <f aca="false">IF(AND(E3020&gt;0,B3020=10),1,0)</f>
        <v>0</v>
      </c>
      <c r="AB3020" s="0" t="str">
        <f aca="false">IF(AND(C3019=C3020,Y3019=Y3020-1),Z3019,"")</f>
        <v/>
      </c>
      <c r="AC3020" s="0" t="str">
        <f aca="false">IF(AND(C3019=C3020,Y3019=Y3020-1),AA3019,"")</f>
        <v/>
      </c>
      <c r="AD3020" s="0" t="str">
        <f aca="false">IF(Y3020=1,"",IF(AND(Z3020=1,AB3020&lt;&gt;1),1,0))</f>
        <v/>
      </c>
      <c r="AE3020" s="0" t="str">
        <f aca="false">IF(Y3020=1,"",IF(AND(AA3020=1,AC3020&lt;&gt;1),1,0))</f>
        <v/>
      </c>
      <c r="AF3020" s="45" t="str">
        <f aca="false">IF(AND(E3020&gt;0,Y3020&lt;1,NOT(AND(C3021=C3020,Y3021=Y3020+1))),INDEX(DATAS,Y3020+1),"")</f>
        <v/>
      </c>
      <c r="AG3020" s="45" t="str">
        <f aca="false">IF(AND(AA3020=1,Y3020&lt;1),IF(AND(C3021=C3020,Y3021=Y3020+1),IF(AA3021=1,"",INDEX(DATAS,Y3020+1)),INDEX(DATAS,Y3020+1)),"")</f>
        <v/>
      </c>
    </row>
    <row r="3021" customFormat="false" ht="15" hidden="false" customHeight="false" outlineLevel="0" collapsed="false">
      <c r="A3021" s="45" t="n">
        <v>46309</v>
      </c>
      <c r="B3021" s="0" t="n">
        <v>13</v>
      </c>
      <c r="C3021" s="0" t="n">
        <v>7414</v>
      </c>
      <c r="E3021" s="0" t="n">
        <v>0</v>
      </c>
      <c r="F3021" s="39" t="s">
        <v>1427</v>
      </c>
      <c r="I3021" s="39" t="s">
        <v>136</v>
      </c>
      <c r="U3021" s="0" t="n">
        <v>245</v>
      </c>
      <c r="V3021" s="0" t="n">
        <v>0</v>
      </c>
      <c r="W3021" s="39" t="n">
        <f aca="false">IF(I3021="Male",0,1)</f>
        <v>1</v>
      </c>
      <c r="X3021" s="39" t="n">
        <f aca="false">IF(OR(I3021="DNB",I3021="Dry DNB"),1,0)</f>
        <v>0</v>
      </c>
      <c r="Y3021" s="39" t="n">
        <f aca="false">MATCH(A3021,DATAS,0)</f>
        <v>1</v>
      </c>
      <c r="Z3021" s="39" t="n">
        <f aca="false">IF(AND(E3021&gt;0,OR(AND(B3021&gt;=1,B3021&lt;=6),B3021=10)),1,0)</f>
        <v>0</v>
      </c>
      <c r="AA3021" s="39" t="n">
        <f aca="false">IF(AND(E3021&gt;0,B3021=10),1,0)</f>
        <v>0</v>
      </c>
      <c r="AB3021" s="0" t="str">
        <f aca="false">IF(AND(C3020=C3021,Y3020=Y3021-1),Z3020,"")</f>
        <v/>
      </c>
      <c r="AC3021" s="0" t="str">
        <f aca="false">IF(AND(C3020=C3021,Y3020=Y3021-1),AA3020,"")</f>
        <v/>
      </c>
      <c r="AD3021" s="0" t="str">
        <f aca="false">IF(Y3021=1,"",IF(AND(Z3021=1,AB3021&lt;&gt;1),1,0))</f>
        <v/>
      </c>
      <c r="AE3021" s="0" t="str">
        <f aca="false">IF(Y3021=1,"",IF(AND(AA3021=1,AC3021&lt;&gt;1),1,0))</f>
        <v/>
      </c>
      <c r="AF3021" s="45" t="str">
        <f aca="false">IF(AND(E3021&gt;0,Y3021&lt;1,NOT(AND(C3022=C3021,Y3022=Y3021+1))),INDEX(DATAS,Y3021+1),"")</f>
        <v/>
      </c>
      <c r="AG3021" s="45" t="str">
        <f aca="false">IF(AND(AA3021=1,Y3021&lt;1),IF(AND(C3022=C3021,Y3022=Y3021+1),IF(AA3022=1,"",INDEX(DATAS,Y3021+1)),INDEX(DATAS,Y3021+1)),"")</f>
        <v/>
      </c>
    </row>
    <row r="3022" customFormat="false" ht="15" hidden="false" customHeight="false" outlineLevel="0" collapsed="false">
      <c r="A3022" s="45" t="n">
        <v>46309</v>
      </c>
      <c r="B3022" s="0" t="n">
        <v>13</v>
      </c>
      <c r="C3022" s="0" t="n">
        <v>7415</v>
      </c>
      <c r="E3022" s="0" t="n">
        <v>0</v>
      </c>
      <c r="F3022" s="39" t="s">
        <v>1427</v>
      </c>
      <c r="I3022" s="39" t="s">
        <v>136</v>
      </c>
      <c r="U3022" s="0" t="n">
        <v>245</v>
      </c>
      <c r="V3022" s="0" t="n">
        <v>0</v>
      </c>
      <c r="W3022" s="39" t="n">
        <f aca="false">IF(I3022="Male",0,1)</f>
        <v>1</v>
      </c>
      <c r="X3022" s="39" t="n">
        <f aca="false">IF(OR(I3022="DNB",I3022="Dry DNB"),1,0)</f>
        <v>0</v>
      </c>
      <c r="Y3022" s="39" t="n">
        <f aca="false">MATCH(A3022,DATAS,0)</f>
        <v>1</v>
      </c>
      <c r="Z3022" s="39" t="n">
        <f aca="false">IF(AND(E3022&gt;0,OR(AND(B3022&gt;=1,B3022&lt;=6),B3022=10)),1,0)</f>
        <v>0</v>
      </c>
      <c r="AA3022" s="39" t="n">
        <f aca="false">IF(AND(E3022&gt;0,B3022=10),1,0)</f>
        <v>0</v>
      </c>
      <c r="AB3022" s="0" t="str">
        <f aca="false">IF(AND(C3021=C3022,Y3021=Y3022-1),Z3021,"")</f>
        <v/>
      </c>
      <c r="AC3022" s="0" t="str">
        <f aca="false">IF(AND(C3021=C3022,Y3021=Y3022-1),AA3021,"")</f>
        <v/>
      </c>
      <c r="AD3022" s="0" t="str">
        <f aca="false">IF(Y3022=1,"",IF(AND(Z3022=1,AB3022&lt;&gt;1),1,0))</f>
        <v/>
      </c>
      <c r="AE3022" s="0" t="str">
        <f aca="false">IF(Y3022=1,"",IF(AND(AA3022=1,AC3022&lt;&gt;1),1,0))</f>
        <v/>
      </c>
      <c r="AF3022" s="45" t="str">
        <f aca="false">IF(AND(E3022&gt;0,Y3022&lt;1,NOT(AND(C3023=C3022,Y3023=Y3022+1))),INDEX(DATAS,Y3022+1),"")</f>
        <v/>
      </c>
      <c r="AG3022" s="45" t="str">
        <f aca="false">IF(AND(AA3022=1,Y3022&lt;1),IF(AND(C3023=C3022,Y3023=Y3022+1),IF(AA3023=1,"",INDEX(DATAS,Y3022+1)),INDEX(DATAS,Y3022+1)),"")</f>
        <v/>
      </c>
    </row>
    <row r="3023" customFormat="false" ht="15" hidden="false" customHeight="false" outlineLevel="0" collapsed="false">
      <c r="A3023" s="45" t="n">
        <v>46309</v>
      </c>
      <c r="B3023" s="0" t="n">
        <v>13</v>
      </c>
      <c r="C3023" s="0" t="n">
        <v>7416</v>
      </c>
      <c r="E3023" s="0" t="n">
        <v>0</v>
      </c>
      <c r="F3023" s="39" t="s">
        <v>1428</v>
      </c>
      <c r="I3023" s="39" t="s">
        <v>136</v>
      </c>
      <c r="U3023" s="0" t="n">
        <v>244</v>
      </c>
      <c r="V3023" s="0" t="n">
        <v>0</v>
      </c>
      <c r="W3023" s="39" t="n">
        <f aca="false">IF(I3023="Male",0,1)</f>
        <v>1</v>
      </c>
      <c r="X3023" s="39" t="n">
        <f aca="false">IF(OR(I3023="DNB",I3023="Dry DNB"),1,0)</f>
        <v>0</v>
      </c>
      <c r="Y3023" s="39" t="n">
        <f aca="false">MATCH(A3023,DATAS,0)</f>
        <v>1</v>
      </c>
      <c r="Z3023" s="39" t="n">
        <f aca="false">IF(AND(E3023&gt;0,OR(AND(B3023&gt;=1,B3023&lt;=6),B3023=10)),1,0)</f>
        <v>0</v>
      </c>
      <c r="AA3023" s="39" t="n">
        <f aca="false">IF(AND(E3023&gt;0,B3023=10),1,0)</f>
        <v>0</v>
      </c>
      <c r="AB3023" s="0" t="str">
        <f aca="false">IF(AND(C3022=C3023,Y3022=Y3023-1),Z3022,"")</f>
        <v/>
      </c>
      <c r="AC3023" s="0" t="str">
        <f aca="false">IF(AND(C3022=C3023,Y3022=Y3023-1),AA3022,"")</f>
        <v/>
      </c>
      <c r="AD3023" s="0" t="str">
        <f aca="false">IF(Y3023=1,"",IF(AND(Z3023=1,AB3023&lt;&gt;1),1,0))</f>
        <v/>
      </c>
      <c r="AE3023" s="0" t="str">
        <f aca="false">IF(Y3023=1,"",IF(AND(AA3023=1,AC3023&lt;&gt;1),1,0))</f>
        <v/>
      </c>
      <c r="AF3023" s="45" t="str">
        <f aca="false">IF(AND(E3023&gt;0,Y3023&lt;1,NOT(AND(C3024=C3023,Y3024=Y3023+1))),INDEX(DATAS,Y3023+1),"")</f>
        <v/>
      </c>
      <c r="AG3023" s="45" t="str">
        <f aca="false">IF(AND(AA3023=1,Y3023&lt;1),IF(AND(C3024=C3023,Y3024=Y3023+1),IF(AA3024=1,"",INDEX(DATAS,Y3023+1)),INDEX(DATAS,Y3023+1)),"")</f>
        <v/>
      </c>
    </row>
    <row r="3024" customFormat="false" ht="15" hidden="false" customHeight="false" outlineLevel="0" collapsed="false">
      <c r="A3024" s="45" t="n">
        <v>46309</v>
      </c>
      <c r="B3024" s="0" t="n">
        <v>13</v>
      </c>
      <c r="C3024" s="0" t="n">
        <v>7418</v>
      </c>
      <c r="E3024" s="0" t="n">
        <v>0</v>
      </c>
      <c r="F3024" s="39" t="s">
        <v>1429</v>
      </c>
      <c r="I3024" s="39" t="s">
        <v>136</v>
      </c>
      <c r="U3024" s="0" t="n">
        <v>242</v>
      </c>
      <c r="V3024" s="0" t="n">
        <v>0</v>
      </c>
      <c r="W3024" s="39" t="n">
        <f aca="false">IF(I3024="Male",0,1)</f>
        <v>1</v>
      </c>
      <c r="X3024" s="39" t="n">
        <f aca="false">IF(OR(I3024="DNB",I3024="Dry DNB"),1,0)</f>
        <v>0</v>
      </c>
      <c r="Y3024" s="39" t="n">
        <f aca="false">MATCH(A3024,DATAS,0)</f>
        <v>1</v>
      </c>
      <c r="Z3024" s="39" t="n">
        <f aca="false">IF(AND(E3024&gt;0,OR(AND(B3024&gt;=1,B3024&lt;=6),B3024=10)),1,0)</f>
        <v>0</v>
      </c>
      <c r="AA3024" s="39" t="n">
        <f aca="false">IF(AND(E3024&gt;0,B3024=10),1,0)</f>
        <v>0</v>
      </c>
      <c r="AB3024" s="0" t="str">
        <f aca="false">IF(AND(C3023=C3024,Y3023=Y3024-1),Z3023,"")</f>
        <v/>
      </c>
      <c r="AC3024" s="0" t="str">
        <f aca="false">IF(AND(C3023=C3024,Y3023=Y3024-1),AA3023,"")</f>
        <v/>
      </c>
      <c r="AD3024" s="0" t="str">
        <f aca="false">IF(Y3024=1,"",IF(AND(Z3024=1,AB3024&lt;&gt;1),1,0))</f>
        <v/>
      </c>
      <c r="AE3024" s="0" t="str">
        <f aca="false">IF(Y3024=1,"",IF(AND(AA3024=1,AC3024&lt;&gt;1),1,0))</f>
        <v/>
      </c>
      <c r="AF3024" s="45" t="str">
        <f aca="false">IF(AND(E3024&gt;0,Y3024&lt;1,NOT(AND(C3025=C3024,Y3025=Y3024+1))),INDEX(DATAS,Y3024+1),"")</f>
        <v/>
      </c>
      <c r="AG3024" s="45" t="str">
        <f aca="false">IF(AND(AA3024=1,Y3024&lt;1),IF(AND(C3025=C3024,Y3025=Y3024+1),IF(AA3025=1,"",INDEX(DATAS,Y3024+1)),INDEX(DATAS,Y3024+1)),"")</f>
        <v/>
      </c>
    </row>
    <row r="3025" customFormat="false" ht="15" hidden="false" customHeight="false" outlineLevel="0" collapsed="false">
      <c r="A3025" s="45" t="n">
        <v>46309</v>
      </c>
      <c r="B3025" s="0" t="n">
        <v>13</v>
      </c>
      <c r="C3025" s="0" t="n">
        <v>7420</v>
      </c>
      <c r="E3025" s="0" t="n">
        <v>0</v>
      </c>
      <c r="F3025" s="39" t="s">
        <v>1430</v>
      </c>
      <c r="I3025" s="39" t="s">
        <v>136</v>
      </c>
      <c r="U3025" s="0" t="n">
        <v>241</v>
      </c>
      <c r="V3025" s="0" t="n">
        <v>0</v>
      </c>
      <c r="W3025" s="39" t="n">
        <f aca="false">IF(I3025="Male",0,1)</f>
        <v>1</v>
      </c>
      <c r="X3025" s="39" t="n">
        <f aca="false">IF(OR(I3025="DNB",I3025="Dry DNB"),1,0)</f>
        <v>0</v>
      </c>
      <c r="Y3025" s="39" t="n">
        <f aca="false">MATCH(A3025,DATAS,0)</f>
        <v>1</v>
      </c>
      <c r="Z3025" s="39" t="n">
        <f aca="false">IF(AND(E3025&gt;0,OR(AND(B3025&gt;=1,B3025&lt;=6),B3025=10)),1,0)</f>
        <v>0</v>
      </c>
      <c r="AA3025" s="39" t="n">
        <f aca="false">IF(AND(E3025&gt;0,B3025=10),1,0)</f>
        <v>0</v>
      </c>
      <c r="AB3025" s="0" t="str">
        <f aca="false">IF(AND(C3024=C3025,Y3024=Y3025-1),Z3024,"")</f>
        <v/>
      </c>
      <c r="AC3025" s="0" t="str">
        <f aca="false">IF(AND(C3024=C3025,Y3024=Y3025-1),AA3024,"")</f>
        <v/>
      </c>
      <c r="AD3025" s="0" t="str">
        <f aca="false">IF(Y3025=1,"",IF(AND(Z3025=1,AB3025&lt;&gt;1),1,0))</f>
        <v/>
      </c>
      <c r="AE3025" s="0" t="str">
        <f aca="false">IF(Y3025=1,"",IF(AND(AA3025=1,AC3025&lt;&gt;1),1,0))</f>
        <v/>
      </c>
      <c r="AF3025" s="45" t="str">
        <f aca="false">IF(AND(E3025&gt;0,Y3025&lt;1,NOT(AND(C3026=C3025,Y3026=Y3025+1))),INDEX(DATAS,Y3025+1),"")</f>
        <v/>
      </c>
      <c r="AG3025" s="45" t="str">
        <f aca="false">IF(AND(AA3025=1,Y3025&lt;1),IF(AND(C3026=C3025,Y3026=Y3025+1),IF(AA3026=1,"",INDEX(DATAS,Y3025+1)),INDEX(DATAS,Y3025+1)),"")</f>
        <v/>
      </c>
    </row>
    <row r="3026" customFormat="false" ht="15" hidden="false" customHeight="false" outlineLevel="0" collapsed="false">
      <c r="A3026" s="45" t="n">
        <v>46309</v>
      </c>
      <c r="B3026" s="0" t="n">
        <v>13</v>
      </c>
      <c r="C3026" s="0" t="n">
        <v>7421</v>
      </c>
      <c r="E3026" s="0" t="n">
        <v>0</v>
      </c>
      <c r="F3026" s="39" t="s">
        <v>1430</v>
      </c>
      <c r="I3026" s="39" t="s">
        <v>136</v>
      </c>
      <c r="U3026" s="0" t="n">
        <v>241</v>
      </c>
      <c r="V3026" s="0" t="n">
        <v>0</v>
      </c>
      <c r="W3026" s="39" t="n">
        <f aca="false">IF(I3026="Male",0,1)</f>
        <v>1</v>
      </c>
      <c r="X3026" s="39" t="n">
        <f aca="false">IF(OR(I3026="DNB",I3026="Dry DNB"),1,0)</f>
        <v>0</v>
      </c>
      <c r="Y3026" s="39" t="n">
        <f aca="false">MATCH(A3026,DATAS,0)</f>
        <v>1</v>
      </c>
      <c r="Z3026" s="39" t="n">
        <f aca="false">IF(AND(E3026&gt;0,OR(AND(B3026&gt;=1,B3026&lt;=6),B3026=10)),1,0)</f>
        <v>0</v>
      </c>
      <c r="AA3026" s="39" t="n">
        <f aca="false">IF(AND(E3026&gt;0,B3026=10),1,0)</f>
        <v>0</v>
      </c>
      <c r="AB3026" s="0" t="str">
        <f aca="false">IF(AND(C3025=C3026,Y3025=Y3026-1),Z3025,"")</f>
        <v/>
      </c>
      <c r="AC3026" s="0" t="str">
        <f aca="false">IF(AND(C3025=C3026,Y3025=Y3026-1),AA3025,"")</f>
        <v/>
      </c>
      <c r="AD3026" s="0" t="str">
        <f aca="false">IF(Y3026=1,"",IF(AND(Z3026=1,AB3026&lt;&gt;1),1,0))</f>
        <v/>
      </c>
      <c r="AE3026" s="0" t="str">
        <f aca="false">IF(Y3026=1,"",IF(AND(AA3026=1,AC3026&lt;&gt;1),1,0))</f>
        <v/>
      </c>
      <c r="AF3026" s="45" t="str">
        <f aca="false">IF(AND(E3026&gt;0,Y3026&lt;1,NOT(AND(C3027=C3026,Y3027=Y3026+1))),INDEX(DATAS,Y3026+1),"")</f>
        <v/>
      </c>
      <c r="AG3026" s="45" t="str">
        <f aca="false">IF(AND(AA3026=1,Y3026&lt;1),IF(AND(C3027=C3026,Y3027=Y3026+1),IF(AA3027=1,"",INDEX(DATAS,Y3026+1)),INDEX(DATAS,Y3026+1)),"")</f>
        <v/>
      </c>
    </row>
    <row r="3027" customFormat="false" ht="15" hidden="false" customHeight="false" outlineLevel="0" collapsed="false">
      <c r="A3027" s="45" t="n">
        <v>46309</v>
      </c>
      <c r="B3027" s="0" t="n">
        <v>13</v>
      </c>
      <c r="C3027" s="0" t="n">
        <v>7422</v>
      </c>
      <c r="E3027" s="0" t="n">
        <v>0</v>
      </c>
      <c r="F3027" s="39" t="s">
        <v>1431</v>
      </c>
      <c r="I3027" s="39" t="s">
        <v>136</v>
      </c>
      <c r="U3027" s="0" t="n">
        <v>240</v>
      </c>
      <c r="V3027" s="0" t="n">
        <v>0</v>
      </c>
      <c r="W3027" s="39" t="n">
        <f aca="false">IF(I3027="Male",0,1)</f>
        <v>1</v>
      </c>
      <c r="X3027" s="39" t="n">
        <f aca="false">IF(OR(I3027="DNB",I3027="Dry DNB"),1,0)</f>
        <v>0</v>
      </c>
      <c r="Y3027" s="39" t="n">
        <f aca="false">MATCH(A3027,DATAS,0)</f>
        <v>1</v>
      </c>
      <c r="Z3027" s="39" t="n">
        <f aca="false">IF(AND(E3027&gt;0,OR(AND(B3027&gt;=1,B3027&lt;=6),B3027=10)),1,0)</f>
        <v>0</v>
      </c>
      <c r="AA3027" s="39" t="n">
        <f aca="false">IF(AND(E3027&gt;0,B3027=10),1,0)</f>
        <v>0</v>
      </c>
      <c r="AB3027" s="0" t="str">
        <f aca="false">IF(AND(C3026=C3027,Y3026=Y3027-1),Z3026,"")</f>
        <v/>
      </c>
      <c r="AC3027" s="0" t="str">
        <f aca="false">IF(AND(C3026=C3027,Y3026=Y3027-1),AA3026,"")</f>
        <v/>
      </c>
      <c r="AD3027" s="0" t="str">
        <f aca="false">IF(Y3027=1,"",IF(AND(Z3027=1,AB3027&lt;&gt;1),1,0))</f>
        <v/>
      </c>
      <c r="AE3027" s="0" t="str">
        <f aca="false">IF(Y3027=1,"",IF(AND(AA3027=1,AC3027&lt;&gt;1),1,0))</f>
        <v/>
      </c>
      <c r="AF3027" s="45" t="str">
        <f aca="false">IF(AND(E3027&gt;0,Y3027&lt;1,NOT(AND(C3028=C3027,Y3028=Y3027+1))),INDEX(DATAS,Y3027+1),"")</f>
        <v/>
      </c>
      <c r="AG3027" s="45" t="str">
        <f aca="false">IF(AND(AA3027=1,Y3027&lt;1),IF(AND(C3028=C3027,Y3028=Y3027+1),IF(AA3028=1,"",INDEX(DATAS,Y3027+1)),INDEX(DATAS,Y3027+1)),"")</f>
        <v/>
      </c>
    </row>
    <row r="3028" customFormat="false" ht="15" hidden="false" customHeight="false" outlineLevel="0" collapsed="false">
      <c r="A3028" s="45" t="n">
        <v>46309</v>
      </c>
      <c r="B3028" s="0" t="n">
        <v>13</v>
      </c>
      <c r="C3028" s="0" t="n">
        <v>7423</v>
      </c>
      <c r="E3028" s="0" t="n">
        <v>0</v>
      </c>
      <c r="F3028" s="39" t="s">
        <v>1431</v>
      </c>
      <c r="I3028" s="39" t="s">
        <v>136</v>
      </c>
      <c r="U3028" s="0" t="n">
        <v>240</v>
      </c>
      <c r="V3028" s="0" t="n">
        <v>0</v>
      </c>
      <c r="W3028" s="39" t="n">
        <f aca="false">IF(I3028="Male",0,1)</f>
        <v>1</v>
      </c>
      <c r="X3028" s="39" t="n">
        <f aca="false">IF(OR(I3028="DNB",I3028="Dry DNB"),1,0)</f>
        <v>0</v>
      </c>
      <c r="Y3028" s="39" t="n">
        <f aca="false">MATCH(A3028,DATAS,0)</f>
        <v>1</v>
      </c>
      <c r="Z3028" s="39" t="n">
        <f aca="false">IF(AND(E3028&gt;0,OR(AND(B3028&gt;=1,B3028&lt;=6),B3028=10)),1,0)</f>
        <v>0</v>
      </c>
      <c r="AA3028" s="39" t="n">
        <f aca="false">IF(AND(E3028&gt;0,B3028=10),1,0)</f>
        <v>0</v>
      </c>
      <c r="AB3028" s="0" t="str">
        <f aca="false">IF(AND(C3027=C3028,Y3027=Y3028-1),Z3027,"")</f>
        <v/>
      </c>
      <c r="AC3028" s="0" t="str">
        <f aca="false">IF(AND(C3027=C3028,Y3027=Y3028-1),AA3027,"")</f>
        <v/>
      </c>
      <c r="AD3028" s="0" t="str">
        <f aca="false">IF(Y3028=1,"",IF(AND(Z3028=1,AB3028&lt;&gt;1),1,0))</f>
        <v/>
      </c>
      <c r="AE3028" s="0" t="str">
        <f aca="false">IF(Y3028=1,"",IF(AND(AA3028=1,AC3028&lt;&gt;1),1,0))</f>
        <v/>
      </c>
      <c r="AF3028" s="45" t="str">
        <f aca="false">IF(AND(E3028&gt;0,Y3028&lt;1,NOT(AND(C3029=C3028,Y3029=Y3028+1))),INDEX(DATAS,Y3028+1),"")</f>
        <v/>
      </c>
      <c r="AG3028" s="45" t="str">
        <f aca="false">IF(AND(AA3028=1,Y3028&lt;1),IF(AND(C3029=C3028,Y3029=Y3028+1),IF(AA3029=1,"",INDEX(DATAS,Y3028+1)),INDEX(DATAS,Y3028+1)),"")</f>
        <v/>
      </c>
    </row>
    <row r="3029" customFormat="false" ht="15" hidden="false" customHeight="false" outlineLevel="0" collapsed="false">
      <c r="A3029" s="45" t="n">
        <v>46309</v>
      </c>
      <c r="B3029" s="0" t="n">
        <v>13</v>
      </c>
      <c r="C3029" s="0" t="n">
        <v>7424</v>
      </c>
      <c r="E3029" s="0" t="n">
        <v>0</v>
      </c>
      <c r="F3029" s="39" t="s">
        <v>1431</v>
      </c>
      <c r="I3029" s="39" t="s">
        <v>136</v>
      </c>
      <c r="U3029" s="0" t="n">
        <v>240</v>
      </c>
      <c r="V3029" s="0" t="n">
        <v>0</v>
      </c>
      <c r="W3029" s="39" t="n">
        <f aca="false">IF(I3029="Male",0,1)</f>
        <v>1</v>
      </c>
      <c r="X3029" s="39" t="n">
        <f aca="false">IF(OR(I3029="DNB",I3029="Dry DNB"),1,0)</f>
        <v>0</v>
      </c>
      <c r="Y3029" s="39" t="n">
        <f aca="false">MATCH(A3029,DATAS,0)</f>
        <v>1</v>
      </c>
      <c r="Z3029" s="39" t="n">
        <f aca="false">IF(AND(E3029&gt;0,OR(AND(B3029&gt;=1,B3029&lt;=6),B3029=10)),1,0)</f>
        <v>0</v>
      </c>
      <c r="AA3029" s="39" t="n">
        <f aca="false">IF(AND(E3029&gt;0,B3029=10),1,0)</f>
        <v>0</v>
      </c>
      <c r="AB3029" s="0" t="str">
        <f aca="false">IF(AND(C3028=C3029,Y3028=Y3029-1),Z3028,"")</f>
        <v/>
      </c>
      <c r="AC3029" s="0" t="str">
        <f aca="false">IF(AND(C3028=C3029,Y3028=Y3029-1),AA3028,"")</f>
        <v/>
      </c>
      <c r="AD3029" s="0" t="str">
        <f aca="false">IF(Y3029=1,"",IF(AND(Z3029=1,AB3029&lt;&gt;1),1,0))</f>
        <v/>
      </c>
      <c r="AE3029" s="0" t="str">
        <f aca="false">IF(Y3029=1,"",IF(AND(AA3029=1,AC3029&lt;&gt;1),1,0))</f>
        <v/>
      </c>
      <c r="AF3029" s="45" t="str">
        <f aca="false">IF(AND(E3029&gt;0,Y3029&lt;1,NOT(AND(C3030=C3029,Y3030=Y3029+1))),INDEX(DATAS,Y3029+1),"")</f>
        <v/>
      </c>
      <c r="AG3029" s="45" t="str">
        <f aca="false">IF(AND(AA3029=1,Y3029&lt;1),IF(AND(C3030=C3029,Y3030=Y3029+1),IF(AA3030=1,"",INDEX(DATAS,Y3029+1)),INDEX(DATAS,Y3029+1)),"")</f>
        <v/>
      </c>
    </row>
    <row r="3030" customFormat="false" ht="15" hidden="false" customHeight="false" outlineLevel="0" collapsed="false">
      <c r="A3030" s="45" t="n">
        <v>46309</v>
      </c>
      <c r="B3030" s="0" t="n">
        <v>13</v>
      </c>
      <c r="C3030" s="0" t="n">
        <v>7425</v>
      </c>
      <c r="E3030" s="0" t="n">
        <v>0</v>
      </c>
      <c r="F3030" s="39" t="s">
        <v>1431</v>
      </c>
      <c r="I3030" s="39" t="s">
        <v>136</v>
      </c>
      <c r="U3030" s="0" t="n">
        <v>240</v>
      </c>
      <c r="V3030" s="0" t="n">
        <v>0</v>
      </c>
      <c r="W3030" s="39" t="n">
        <f aca="false">IF(I3030="Male",0,1)</f>
        <v>1</v>
      </c>
      <c r="X3030" s="39" t="n">
        <f aca="false">IF(OR(I3030="DNB",I3030="Dry DNB"),1,0)</f>
        <v>0</v>
      </c>
      <c r="Y3030" s="39" t="n">
        <f aca="false">MATCH(A3030,DATAS,0)</f>
        <v>1</v>
      </c>
      <c r="Z3030" s="39" t="n">
        <f aca="false">IF(AND(E3030&gt;0,OR(AND(B3030&gt;=1,B3030&lt;=6),B3030=10)),1,0)</f>
        <v>0</v>
      </c>
      <c r="AA3030" s="39" t="n">
        <f aca="false">IF(AND(E3030&gt;0,B3030=10),1,0)</f>
        <v>0</v>
      </c>
      <c r="AB3030" s="0" t="str">
        <f aca="false">IF(AND(C3029=C3030,Y3029=Y3030-1),Z3029,"")</f>
        <v/>
      </c>
      <c r="AC3030" s="0" t="str">
        <f aca="false">IF(AND(C3029=C3030,Y3029=Y3030-1),AA3029,"")</f>
        <v/>
      </c>
      <c r="AD3030" s="0" t="str">
        <f aca="false">IF(Y3030=1,"",IF(AND(Z3030=1,AB3030&lt;&gt;1),1,0))</f>
        <v/>
      </c>
      <c r="AE3030" s="0" t="str">
        <f aca="false">IF(Y3030=1,"",IF(AND(AA3030=1,AC3030&lt;&gt;1),1,0))</f>
        <v/>
      </c>
      <c r="AF3030" s="45" t="str">
        <f aca="false">IF(AND(E3030&gt;0,Y3030&lt;1,NOT(AND(C3031=C3030,Y3031=Y3030+1))),INDEX(DATAS,Y3030+1),"")</f>
        <v/>
      </c>
      <c r="AG3030" s="45" t="str">
        <f aca="false">IF(AND(AA3030=1,Y3030&lt;1),IF(AND(C3031=C3030,Y3031=Y3030+1),IF(AA3031=1,"",INDEX(DATAS,Y3030+1)),INDEX(DATAS,Y3030+1)),"")</f>
        <v/>
      </c>
    </row>
    <row r="3031" customFormat="false" ht="15" hidden="false" customHeight="false" outlineLevel="0" collapsed="false">
      <c r="A3031" s="45" t="n">
        <v>46309</v>
      </c>
      <c r="B3031" s="0" t="n">
        <v>13</v>
      </c>
      <c r="C3031" s="0" t="n">
        <v>7426</v>
      </c>
      <c r="E3031" s="0" t="n">
        <v>0</v>
      </c>
      <c r="F3031" s="39" t="s">
        <v>1431</v>
      </c>
      <c r="I3031" s="39" t="s">
        <v>136</v>
      </c>
      <c r="U3031" s="0" t="n">
        <v>240</v>
      </c>
      <c r="V3031" s="0" t="n">
        <v>0</v>
      </c>
      <c r="W3031" s="39" t="n">
        <f aca="false">IF(I3031="Male",0,1)</f>
        <v>1</v>
      </c>
      <c r="X3031" s="39" t="n">
        <f aca="false">IF(OR(I3031="DNB",I3031="Dry DNB"),1,0)</f>
        <v>0</v>
      </c>
      <c r="Y3031" s="39" t="n">
        <f aca="false">MATCH(A3031,DATAS,0)</f>
        <v>1</v>
      </c>
      <c r="Z3031" s="39" t="n">
        <f aca="false">IF(AND(E3031&gt;0,OR(AND(B3031&gt;=1,B3031&lt;=6),B3031=10)),1,0)</f>
        <v>0</v>
      </c>
      <c r="AA3031" s="39" t="n">
        <f aca="false">IF(AND(E3031&gt;0,B3031=10),1,0)</f>
        <v>0</v>
      </c>
      <c r="AB3031" s="0" t="str">
        <f aca="false">IF(AND(C3030=C3031,Y3030=Y3031-1),Z3030,"")</f>
        <v/>
      </c>
      <c r="AC3031" s="0" t="str">
        <f aca="false">IF(AND(C3030=C3031,Y3030=Y3031-1),AA3030,"")</f>
        <v/>
      </c>
      <c r="AD3031" s="0" t="str">
        <f aca="false">IF(Y3031=1,"",IF(AND(Z3031=1,AB3031&lt;&gt;1),1,0))</f>
        <v/>
      </c>
      <c r="AE3031" s="0" t="str">
        <f aca="false">IF(Y3031=1,"",IF(AND(AA3031=1,AC3031&lt;&gt;1),1,0))</f>
        <v/>
      </c>
      <c r="AF3031" s="45" t="str">
        <f aca="false">IF(AND(E3031&gt;0,Y3031&lt;1,NOT(AND(C3032=C3031,Y3032=Y3031+1))),INDEX(DATAS,Y3031+1),"")</f>
        <v/>
      </c>
      <c r="AG3031" s="45" t="str">
        <f aca="false">IF(AND(AA3031=1,Y3031&lt;1),IF(AND(C3032=C3031,Y3032=Y3031+1),IF(AA3032=1,"",INDEX(DATAS,Y3031+1)),INDEX(DATAS,Y3031+1)),"")</f>
        <v/>
      </c>
    </row>
    <row r="3032" customFormat="false" ht="15" hidden="false" customHeight="false" outlineLevel="0" collapsed="false">
      <c r="A3032" s="45" t="n">
        <v>46309</v>
      </c>
      <c r="B3032" s="0" t="n">
        <v>13</v>
      </c>
      <c r="C3032" s="0" t="n">
        <v>7427</v>
      </c>
      <c r="E3032" s="0" t="n">
        <v>0</v>
      </c>
      <c r="F3032" s="39" t="s">
        <v>1431</v>
      </c>
      <c r="I3032" s="39" t="s">
        <v>136</v>
      </c>
      <c r="U3032" s="0" t="n">
        <v>240</v>
      </c>
      <c r="V3032" s="0" t="n">
        <v>0</v>
      </c>
      <c r="W3032" s="39" t="n">
        <f aca="false">IF(I3032="Male",0,1)</f>
        <v>1</v>
      </c>
      <c r="X3032" s="39" t="n">
        <f aca="false">IF(OR(I3032="DNB",I3032="Dry DNB"),1,0)</f>
        <v>0</v>
      </c>
      <c r="Y3032" s="39" t="n">
        <f aca="false">MATCH(A3032,DATAS,0)</f>
        <v>1</v>
      </c>
      <c r="Z3032" s="39" t="n">
        <f aca="false">IF(AND(E3032&gt;0,OR(AND(B3032&gt;=1,B3032&lt;=6),B3032=10)),1,0)</f>
        <v>0</v>
      </c>
      <c r="AA3032" s="39" t="n">
        <f aca="false">IF(AND(E3032&gt;0,B3032=10),1,0)</f>
        <v>0</v>
      </c>
      <c r="AB3032" s="0" t="str">
        <f aca="false">IF(AND(C3031=C3032,Y3031=Y3032-1),Z3031,"")</f>
        <v/>
      </c>
      <c r="AC3032" s="0" t="str">
        <f aca="false">IF(AND(C3031=C3032,Y3031=Y3032-1),AA3031,"")</f>
        <v/>
      </c>
      <c r="AD3032" s="0" t="str">
        <f aca="false">IF(Y3032=1,"",IF(AND(Z3032=1,AB3032&lt;&gt;1),1,0))</f>
        <v/>
      </c>
      <c r="AE3032" s="0" t="str">
        <f aca="false">IF(Y3032=1,"",IF(AND(AA3032=1,AC3032&lt;&gt;1),1,0))</f>
        <v/>
      </c>
      <c r="AF3032" s="45" t="str">
        <f aca="false">IF(AND(E3032&gt;0,Y3032&lt;1,NOT(AND(C3033=C3032,Y3033=Y3032+1))),INDEX(DATAS,Y3032+1),"")</f>
        <v/>
      </c>
      <c r="AG3032" s="45" t="str">
        <f aca="false">IF(AND(AA3032=1,Y3032&lt;1),IF(AND(C3033=C3032,Y3033=Y3032+1),IF(AA3033=1,"",INDEX(DATAS,Y3032+1)),INDEX(DATAS,Y3032+1)),"")</f>
        <v/>
      </c>
    </row>
    <row r="3033" customFormat="false" ht="15" hidden="false" customHeight="false" outlineLevel="0" collapsed="false">
      <c r="A3033" s="45" t="n">
        <v>46309</v>
      </c>
      <c r="B3033" s="0" t="n">
        <v>13</v>
      </c>
      <c r="C3033" s="0" t="n">
        <v>7428</v>
      </c>
      <c r="E3033" s="0" t="n">
        <v>0</v>
      </c>
      <c r="F3033" s="39" t="s">
        <v>1432</v>
      </c>
      <c r="I3033" s="39" t="s">
        <v>136</v>
      </c>
      <c r="U3033" s="0" t="n">
        <v>239</v>
      </c>
      <c r="V3033" s="0" t="n">
        <v>0</v>
      </c>
      <c r="W3033" s="39" t="n">
        <f aca="false">IF(I3033="Male",0,1)</f>
        <v>1</v>
      </c>
      <c r="X3033" s="39" t="n">
        <f aca="false">IF(OR(I3033="DNB",I3033="Dry DNB"),1,0)</f>
        <v>0</v>
      </c>
      <c r="Y3033" s="39" t="n">
        <f aca="false">MATCH(A3033,DATAS,0)</f>
        <v>1</v>
      </c>
      <c r="Z3033" s="39" t="n">
        <f aca="false">IF(AND(E3033&gt;0,OR(AND(B3033&gt;=1,B3033&lt;=6),B3033=10)),1,0)</f>
        <v>0</v>
      </c>
      <c r="AA3033" s="39" t="n">
        <f aca="false">IF(AND(E3033&gt;0,B3033=10),1,0)</f>
        <v>0</v>
      </c>
      <c r="AB3033" s="0" t="str">
        <f aca="false">IF(AND(C3032=C3033,Y3032=Y3033-1),Z3032,"")</f>
        <v/>
      </c>
      <c r="AC3033" s="0" t="str">
        <f aca="false">IF(AND(C3032=C3033,Y3032=Y3033-1),AA3032,"")</f>
        <v/>
      </c>
      <c r="AD3033" s="0" t="str">
        <f aca="false">IF(Y3033=1,"",IF(AND(Z3033=1,AB3033&lt;&gt;1),1,0))</f>
        <v/>
      </c>
      <c r="AE3033" s="0" t="str">
        <f aca="false">IF(Y3033=1,"",IF(AND(AA3033=1,AC3033&lt;&gt;1),1,0))</f>
        <v/>
      </c>
      <c r="AF3033" s="45" t="str">
        <f aca="false">IF(AND(E3033&gt;0,Y3033&lt;1,NOT(AND(C3034=C3033,Y3034=Y3033+1))),INDEX(DATAS,Y3033+1),"")</f>
        <v/>
      </c>
      <c r="AG3033" s="45" t="str">
        <f aca="false">IF(AND(AA3033=1,Y3033&lt;1),IF(AND(C3034=C3033,Y3034=Y3033+1),IF(AA3034=1,"",INDEX(DATAS,Y3033+1)),INDEX(DATAS,Y3033+1)),"")</f>
        <v/>
      </c>
    </row>
    <row r="3034" customFormat="false" ht="15" hidden="false" customHeight="false" outlineLevel="0" collapsed="false">
      <c r="A3034" s="45" t="n">
        <v>46309</v>
      </c>
      <c r="B3034" s="0" t="n">
        <v>13</v>
      </c>
      <c r="C3034" s="0" t="n">
        <v>7429</v>
      </c>
      <c r="E3034" s="0" t="n">
        <v>0</v>
      </c>
      <c r="F3034" s="39" t="s">
        <v>1433</v>
      </c>
      <c r="I3034" s="39" t="s">
        <v>136</v>
      </c>
      <c r="U3034" s="0" t="n">
        <v>238</v>
      </c>
      <c r="V3034" s="0" t="n">
        <v>0</v>
      </c>
      <c r="W3034" s="39" t="n">
        <f aca="false">IF(I3034="Male",0,1)</f>
        <v>1</v>
      </c>
      <c r="X3034" s="39" t="n">
        <f aca="false">IF(OR(I3034="DNB",I3034="Dry DNB"),1,0)</f>
        <v>0</v>
      </c>
      <c r="Y3034" s="39" t="n">
        <f aca="false">MATCH(A3034,DATAS,0)</f>
        <v>1</v>
      </c>
      <c r="Z3034" s="39" t="n">
        <f aca="false">IF(AND(E3034&gt;0,OR(AND(B3034&gt;=1,B3034&lt;=6),B3034=10)),1,0)</f>
        <v>0</v>
      </c>
      <c r="AA3034" s="39" t="n">
        <f aca="false">IF(AND(E3034&gt;0,B3034=10),1,0)</f>
        <v>0</v>
      </c>
      <c r="AB3034" s="0" t="str">
        <f aca="false">IF(AND(C3033=C3034,Y3033=Y3034-1),Z3033,"")</f>
        <v/>
      </c>
      <c r="AC3034" s="0" t="str">
        <f aca="false">IF(AND(C3033=C3034,Y3033=Y3034-1),AA3033,"")</f>
        <v/>
      </c>
      <c r="AD3034" s="0" t="str">
        <f aca="false">IF(Y3034=1,"",IF(AND(Z3034=1,AB3034&lt;&gt;1),1,0))</f>
        <v/>
      </c>
      <c r="AE3034" s="0" t="str">
        <f aca="false">IF(Y3034=1,"",IF(AND(AA3034=1,AC3034&lt;&gt;1),1,0))</f>
        <v/>
      </c>
      <c r="AF3034" s="45" t="str">
        <f aca="false">IF(AND(E3034&gt;0,Y3034&lt;1,NOT(AND(C3035=C3034,Y3035=Y3034+1))),INDEX(DATAS,Y3034+1),"")</f>
        <v/>
      </c>
      <c r="AG3034" s="45" t="str">
        <f aca="false">IF(AND(AA3034=1,Y3034&lt;1),IF(AND(C3035=C3034,Y3035=Y3034+1),IF(AA3035=1,"",INDEX(DATAS,Y3034+1)),INDEX(DATAS,Y3034+1)),"")</f>
        <v/>
      </c>
    </row>
    <row r="3035" customFormat="false" ht="15" hidden="false" customHeight="false" outlineLevel="0" collapsed="false">
      <c r="A3035" s="45" t="n">
        <v>46309</v>
      </c>
      <c r="B3035" s="0" t="n">
        <v>13</v>
      </c>
      <c r="C3035" s="0" t="n">
        <v>7430</v>
      </c>
      <c r="E3035" s="0" t="n">
        <v>0</v>
      </c>
      <c r="F3035" s="39" t="s">
        <v>1433</v>
      </c>
      <c r="I3035" s="39" t="s">
        <v>136</v>
      </c>
      <c r="U3035" s="0" t="n">
        <v>238</v>
      </c>
      <c r="V3035" s="0" t="n">
        <v>0</v>
      </c>
      <c r="W3035" s="39" t="n">
        <f aca="false">IF(I3035="Male",0,1)</f>
        <v>1</v>
      </c>
      <c r="X3035" s="39" t="n">
        <f aca="false">IF(OR(I3035="DNB",I3035="Dry DNB"),1,0)</f>
        <v>0</v>
      </c>
      <c r="Y3035" s="39" t="n">
        <f aca="false">MATCH(A3035,DATAS,0)</f>
        <v>1</v>
      </c>
      <c r="Z3035" s="39" t="n">
        <f aca="false">IF(AND(E3035&gt;0,OR(AND(B3035&gt;=1,B3035&lt;=6),B3035=10)),1,0)</f>
        <v>0</v>
      </c>
      <c r="AA3035" s="39" t="n">
        <f aca="false">IF(AND(E3035&gt;0,B3035=10),1,0)</f>
        <v>0</v>
      </c>
      <c r="AB3035" s="0" t="str">
        <f aca="false">IF(AND(C3034=C3035,Y3034=Y3035-1),Z3034,"")</f>
        <v/>
      </c>
      <c r="AC3035" s="0" t="str">
        <f aca="false">IF(AND(C3034=C3035,Y3034=Y3035-1),AA3034,"")</f>
        <v/>
      </c>
      <c r="AD3035" s="0" t="str">
        <f aca="false">IF(Y3035=1,"",IF(AND(Z3035=1,AB3035&lt;&gt;1),1,0))</f>
        <v/>
      </c>
      <c r="AE3035" s="0" t="str">
        <f aca="false">IF(Y3035=1,"",IF(AND(AA3035=1,AC3035&lt;&gt;1),1,0))</f>
        <v/>
      </c>
      <c r="AF3035" s="45" t="str">
        <f aca="false">IF(AND(E3035&gt;0,Y3035&lt;1,NOT(AND(C3036=C3035,Y3036=Y3035+1))),INDEX(DATAS,Y3035+1),"")</f>
        <v/>
      </c>
      <c r="AG3035" s="45" t="str">
        <f aca="false">IF(AND(AA3035=1,Y3035&lt;1),IF(AND(C3036=C3035,Y3036=Y3035+1),IF(AA3036=1,"",INDEX(DATAS,Y3035+1)),INDEX(DATAS,Y3035+1)),"")</f>
        <v/>
      </c>
    </row>
    <row r="3036" customFormat="false" ht="15" hidden="false" customHeight="false" outlineLevel="0" collapsed="false">
      <c r="A3036" s="45" t="n">
        <v>46309</v>
      </c>
      <c r="B3036" s="0" t="n">
        <v>13</v>
      </c>
      <c r="C3036" s="0" t="n">
        <v>7431</v>
      </c>
      <c r="E3036" s="0" t="n">
        <v>0</v>
      </c>
      <c r="F3036" s="39" t="s">
        <v>1433</v>
      </c>
      <c r="I3036" s="39" t="s">
        <v>136</v>
      </c>
      <c r="U3036" s="0" t="n">
        <v>238</v>
      </c>
      <c r="V3036" s="0" t="n">
        <v>0</v>
      </c>
      <c r="W3036" s="39" t="n">
        <f aca="false">IF(I3036="Male",0,1)</f>
        <v>1</v>
      </c>
      <c r="X3036" s="39" t="n">
        <f aca="false">IF(OR(I3036="DNB",I3036="Dry DNB"),1,0)</f>
        <v>0</v>
      </c>
      <c r="Y3036" s="39" t="n">
        <f aca="false">MATCH(A3036,DATAS,0)</f>
        <v>1</v>
      </c>
      <c r="Z3036" s="39" t="n">
        <f aca="false">IF(AND(E3036&gt;0,OR(AND(B3036&gt;=1,B3036&lt;=6),B3036=10)),1,0)</f>
        <v>0</v>
      </c>
      <c r="AA3036" s="39" t="n">
        <f aca="false">IF(AND(E3036&gt;0,B3036=10),1,0)</f>
        <v>0</v>
      </c>
      <c r="AB3036" s="0" t="str">
        <f aca="false">IF(AND(C3035=C3036,Y3035=Y3036-1),Z3035,"")</f>
        <v/>
      </c>
      <c r="AC3036" s="0" t="str">
        <f aca="false">IF(AND(C3035=C3036,Y3035=Y3036-1),AA3035,"")</f>
        <v/>
      </c>
      <c r="AD3036" s="0" t="str">
        <f aca="false">IF(Y3036=1,"",IF(AND(Z3036=1,AB3036&lt;&gt;1),1,0))</f>
        <v/>
      </c>
      <c r="AE3036" s="0" t="str">
        <f aca="false">IF(Y3036=1,"",IF(AND(AA3036=1,AC3036&lt;&gt;1),1,0))</f>
        <v/>
      </c>
      <c r="AF3036" s="45" t="str">
        <f aca="false">IF(AND(E3036&gt;0,Y3036&lt;1,NOT(AND(C3037=C3036,Y3037=Y3036+1))),INDEX(DATAS,Y3036+1),"")</f>
        <v/>
      </c>
      <c r="AG3036" s="45" t="str">
        <f aca="false">IF(AND(AA3036=1,Y3036&lt;1),IF(AND(C3037=C3036,Y3037=Y3036+1),IF(AA3037=1,"",INDEX(DATAS,Y3036+1)),INDEX(DATAS,Y3036+1)),"")</f>
        <v/>
      </c>
    </row>
    <row r="3037" customFormat="false" ht="15" hidden="false" customHeight="false" outlineLevel="0" collapsed="false">
      <c r="A3037" s="45" t="n">
        <v>46309</v>
      </c>
      <c r="B3037" s="0" t="n">
        <v>13</v>
      </c>
      <c r="C3037" s="0" t="n">
        <v>7432</v>
      </c>
      <c r="E3037" s="0" t="n">
        <v>0</v>
      </c>
      <c r="F3037" s="39" t="s">
        <v>1434</v>
      </c>
      <c r="I3037" s="39" t="s">
        <v>136</v>
      </c>
      <c r="U3037" s="0" t="n">
        <v>237</v>
      </c>
      <c r="V3037" s="0" t="n">
        <v>0</v>
      </c>
      <c r="W3037" s="39" t="n">
        <f aca="false">IF(I3037="Male",0,1)</f>
        <v>1</v>
      </c>
      <c r="X3037" s="39" t="n">
        <f aca="false">IF(OR(I3037="DNB",I3037="Dry DNB"),1,0)</f>
        <v>0</v>
      </c>
      <c r="Y3037" s="39" t="n">
        <f aca="false">MATCH(A3037,DATAS,0)</f>
        <v>1</v>
      </c>
      <c r="Z3037" s="39" t="n">
        <f aca="false">IF(AND(E3037&gt;0,OR(AND(B3037&gt;=1,B3037&lt;=6),B3037=10)),1,0)</f>
        <v>0</v>
      </c>
      <c r="AA3037" s="39" t="n">
        <f aca="false">IF(AND(E3037&gt;0,B3037=10),1,0)</f>
        <v>0</v>
      </c>
      <c r="AB3037" s="0" t="str">
        <f aca="false">IF(AND(C3036=C3037,Y3036=Y3037-1),Z3036,"")</f>
        <v/>
      </c>
      <c r="AC3037" s="0" t="str">
        <f aca="false">IF(AND(C3036=C3037,Y3036=Y3037-1),AA3036,"")</f>
        <v/>
      </c>
      <c r="AD3037" s="0" t="str">
        <f aca="false">IF(Y3037=1,"",IF(AND(Z3037=1,AB3037&lt;&gt;1),1,0))</f>
        <v/>
      </c>
      <c r="AE3037" s="0" t="str">
        <f aca="false">IF(Y3037=1,"",IF(AND(AA3037=1,AC3037&lt;&gt;1),1,0))</f>
        <v/>
      </c>
      <c r="AF3037" s="45" t="str">
        <f aca="false">IF(AND(E3037&gt;0,Y3037&lt;1,NOT(AND(C3038=C3037,Y3038=Y3037+1))),INDEX(DATAS,Y3037+1),"")</f>
        <v/>
      </c>
      <c r="AG3037" s="45" t="str">
        <f aca="false">IF(AND(AA3037=1,Y3037&lt;1),IF(AND(C3038=C3037,Y3038=Y3037+1),IF(AA3038=1,"",INDEX(DATAS,Y3037+1)),INDEX(DATAS,Y3037+1)),"")</f>
        <v/>
      </c>
    </row>
    <row r="3038" customFormat="false" ht="15" hidden="false" customHeight="false" outlineLevel="0" collapsed="false">
      <c r="A3038" s="45" t="n">
        <v>46309</v>
      </c>
      <c r="B3038" s="0" t="n">
        <v>13</v>
      </c>
      <c r="C3038" s="0" t="n">
        <v>7433</v>
      </c>
      <c r="E3038" s="0" t="n">
        <v>0</v>
      </c>
      <c r="F3038" s="39" t="s">
        <v>1434</v>
      </c>
      <c r="I3038" s="39" t="s">
        <v>136</v>
      </c>
      <c r="U3038" s="0" t="n">
        <v>237</v>
      </c>
      <c r="V3038" s="0" t="n">
        <v>0</v>
      </c>
      <c r="W3038" s="39" t="n">
        <f aca="false">IF(I3038="Male",0,1)</f>
        <v>1</v>
      </c>
      <c r="X3038" s="39" t="n">
        <f aca="false">IF(OR(I3038="DNB",I3038="Dry DNB"),1,0)</f>
        <v>0</v>
      </c>
      <c r="Y3038" s="39" t="n">
        <f aca="false">MATCH(A3038,DATAS,0)</f>
        <v>1</v>
      </c>
      <c r="Z3038" s="39" t="n">
        <f aca="false">IF(AND(E3038&gt;0,OR(AND(B3038&gt;=1,B3038&lt;=6),B3038=10)),1,0)</f>
        <v>0</v>
      </c>
      <c r="AA3038" s="39" t="n">
        <f aca="false">IF(AND(E3038&gt;0,B3038=10),1,0)</f>
        <v>0</v>
      </c>
      <c r="AB3038" s="0" t="str">
        <f aca="false">IF(AND(C3037=C3038,Y3037=Y3038-1),Z3037,"")</f>
        <v/>
      </c>
      <c r="AC3038" s="0" t="str">
        <f aca="false">IF(AND(C3037=C3038,Y3037=Y3038-1),AA3037,"")</f>
        <v/>
      </c>
      <c r="AD3038" s="0" t="str">
        <f aca="false">IF(Y3038=1,"",IF(AND(Z3038=1,AB3038&lt;&gt;1),1,0))</f>
        <v/>
      </c>
      <c r="AE3038" s="0" t="str">
        <f aca="false">IF(Y3038=1,"",IF(AND(AA3038=1,AC3038&lt;&gt;1),1,0))</f>
        <v/>
      </c>
      <c r="AF3038" s="45" t="str">
        <f aca="false">IF(AND(E3038&gt;0,Y3038&lt;1,NOT(AND(C3039=C3038,Y3039=Y3038+1))),INDEX(DATAS,Y3038+1),"")</f>
        <v/>
      </c>
      <c r="AG3038" s="45" t="str">
        <f aca="false">IF(AND(AA3038=1,Y3038&lt;1),IF(AND(C3039=C3038,Y3039=Y3038+1),IF(AA3039=1,"",INDEX(DATAS,Y3038+1)),INDEX(DATAS,Y3038+1)),"")</f>
        <v/>
      </c>
    </row>
    <row r="3039" customFormat="false" ht="15" hidden="false" customHeight="false" outlineLevel="0" collapsed="false">
      <c r="A3039" s="45" t="n">
        <v>46309</v>
      </c>
      <c r="B3039" s="0" t="n">
        <v>13</v>
      </c>
      <c r="C3039" s="0" t="n">
        <v>7434</v>
      </c>
      <c r="E3039" s="0" t="n">
        <v>0</v>
      </c>
      <c r="F3039" s="39" t="s">
        <v>1434</v>
      </c>
      <c r="I3039" s="39" t="s">
        <v>136</v>
      </c>
      <c r="U3039" s="0" t="n">
        <v>237</v>
      </c>
      <c r="V3039" s="0" t="n">
        <v>0</v>
      </c>
      <c r="W3039" s="39" t="n">
        <f aca="false">IF(I3039="Male",0,1)</f>
        <v>1</v>
      </c>
      <c r="X3039" s="39" t="n">
        <f aca="false">IF(OR(I3039="DNB",I3039="Dry DNB"),1,0)</f>
        <v>0</v>
      </c>
      <c r="Y3039" s="39" t="n">
        <f aca="false">MATCH(A3039,DATAS,0)</f>
        <v>1</v>
      </c>
      <c r="Z3039" s="39" t="n">
        <f aca="false">IF(AND(E3039&gt;0,OR(AND(B3039&gt;=1,B3039&lt;=6),B3039=10)),1,0)</f>
        <v>0</v>
      </c>
      <c r="AA3039" s="39" t="n">
        <f aca="false">IF(AND(E3039&gt;0,B3039=10),1,0)</f>
        <v>0</v>
      </c>
      <c r="AB3039" s="0" t="str">
        <f aca="false">IF(AND(C3038=C3039,Y3038=Y3039-1),Z3038,"")</f>
        <v/>
      </c>
      <c r="AC3039" s="0" t="str">
        <f aca="false">IF(AND(C3038=C3039,Y3038=Y3039-1),AA3038,"")</f>
        <v/>
      </c>
      <c r="AD3039" s="0" t="str">
        <f aca="false">IF(Y3039=1,"",IF(AND(Z3039=1,AB3039&lt;&gt;1),1,0))</f>
        <v/>
      </c>
      <c r="AE3039" s="0" t="str">
        <f aca="false">IF(Y3039=1,"",IF(AND(AA3039=1,AC3039&lt;&gt;1),1,0))</f>
        <v/>
      </c>
      <c r="AF3039" s="45" t="str">
        <f aca="false">IF(AND(E3039&gt;0,Y3039&lt;1,NOT(AND(C3040=C3039,Y3040=Y3039+1))),INDEX(DATAS,Y3039+1),"")</f>
        <v/>
      </c>
      <c r="AG3039" s="45" t="str">
        <f aca="false">IF(AND(AA3039=1,Y3039&lt;1),IF(AND(C3040=C3039,Y3040=Y3039+1),IF(AA3040=1,"",INDEX(DATAS,Y3039+1)),INDEX(DATAS,Y3039+1)),"")</f>
        <v/>
      </c>
    </row>
    <row r="3040" customFormat="false" ht="15" hidden="false" customHeight="false" outlineLevel="0" collapsed="false">
      <c r="A3040" s="45" t="n">
        <v>46309</v>
      </c>
      <c r="B3040" s="0" t="n">
        <v>13</v>
      </c>
      <c r="C3040" s="0" t="n">
        <v>7435</v>
      </c>
      <c r="E3040" s="0" t="n">
        <v>0</v>
      </c>
      <c r="F3040" s="39" t="s">
        <v>1434</v>
      </c>
      <c r="I3040" s="39" t="s">
        <v>136</v>
      </c>
      <c r="U3040" s="0" t="n">
        <v>237</v>
      </c>
      <c r="V3040" s="0" t="n">
        <v>0</v>
      </c>
      <c r="W3040" s="39" t="n">
        <f aca="false">IF(I3040="Male",0,1)</f>
        <v>1</v>
      </c>
      <c r="X3040" s="39" t="n">
        <f aca="false">IF(OR(I3040="DNB",I3040="Dry DNB"),1,0)</f>
        <v>0</v>
      </c>
      <c r="Y3040" s="39" t="n">
        <f aca="false">MATCH(A3040,DATAS,0)</f>
        <v>1</v>
      </c>
      <c r="Z3040" s="39" t="n">
        <f aca="false">IF(AND(E3040&gt;0,OR(AND(B3040&gt;=1,B3040&lt;=6),B3040=10)),1,0)</f>
        <v>0</v>
      </c>
      <c r="AA3040" s="39" t="n">
        <f aca="false">IF(AND(E3040&gt;0,B3040=10),1,0)</f>
        <v>0</v>
      </c>
      <c r="AB3040" s="0" t="str">
        <f aca="false">IF(AND(C3039=C3040,Y3039=Y3040-1),Z3039,"")</f>
        <v/>
      </c>
      <c r="AC3040" s="0" t="str">
        <f aca="false">IF(AND(C3039=C3040,Y3039=Y3040-1),AA3039,"")</f>
        <v/>
      </c>
      <c r="AD3040" s="0" t="str">
        <f aca="false">IF(Y3040=1,"",IF(AND(Z3040=1,AB3040&lt;&gt;1),1,0))</f>
        <v/>
      </c>
      <c r="AE3040" s="0" t="str">
        <f aca="false">IF(Y3040=1,"",IF(AND(AA3040=1,AC3040&lt;&gt;1),1,0))</f>
        <v/>
      </c>
      <c r="AF3040" s="45" t="str">
        <f aca="false">IF(AND(E3040&gt;0,Y3040&lt;1,NOT(AND(C3041=C3040,Y3041=Y3040+1))),INDEX(DATAS,Y3040+1),"")</f>
        <v/>
      </c>
      <c r="AG3040" s="45" t="str">
        <f aca="false">IF(AND(AA3040=1,Y3040&lt;1),IF(AND(C3041=C3040,Y3041=Y3040+1),IF(AA3041=1,"",INDEX(DATAS,Y3040+1)),INDEX(DATAS,Y3040+1)),"")</f>
        <v/>
      </c>
    </row>
    <row r="3041" customFormat="false" ht="15" hidden="false" customHeight="false" outlineLevel="0" collapsed="false">
      <c r="A3041" s="45" t="n">
        <v>46309</v>
      </c>
      <c r="B3041" s="0" t="n">
        <v>13</v>
      </c>
      <c r="C3041" s="0" t="n">
        <v>7436</v>
      </c>
      <c r="E3041" s="0" t="n">
        <v>0</v>
      </c>
      <c r="F3041" s="39" t="s">
        <v>1435</v>
      </c>
      <c r="I3041" s="39" t="s">
        <v>136</v>
      </c>
      <c r="U3041" s="0" t="n">
        <v>236</v>
      </c>
      <c r="V3041" s="0" t="n">
        <v>0</v>
      </c>
      <c r="W3041" s="39" t="n">
        <f aca="false">IF(I3041="Male",0,1)</f>
        <v>1</v>
      </c>
      <c r="X3041" s="39" t="n">
        <f aca="false">IF(OR(I3041="DNB",I3041="Dry DNB"),1,0)</f>
        <v>0</v>
      </c>
      <c r="Y3041" s="39" t="n">
        <f aca="false">MATCH(A3041,DATAS,0)</f>
        <v>1</v>
      </c>
      <c r="Z3041" s="39" t="n">
        <f aca="false">IF(AND(E3041&gt;0,OR(AND(B3041&gt;=1,B3041&lt;=6),B3041=10)),1,0)</f>
        <v>0</v>
      </c>
      <c r="AA3041" s="39" t="n">
        <f aca="false">IF(AND(E3041&gt;0,B3041=10),1,0)</f>
        <v>0</v>
      </c>
      <c r="AB3041" s="0" t="str">
        <f aca="false">IF(AND(C3040=C3041,Y3040=Y3041-1),Z3040,"")</f>
        <v/>
      </c>
      <c r="AC3041" s="0" t="str">
        <f aca="false">IF(AND(C3040=C3041,Y3040=Y3041-1),AA3040,"")</f>
        <v/>
      </c>
      <c r="AD3041" s="0" t="str">
        <f aca="false">IF(Y3041=1,"",IF(AND(Z3041=1,AB3041&lt;&gt;1),1,0))</f>
        <v/>
      </c>
      <c r="AE3041" s="0" t="str">
        <f aca="false">IF(Y3041=1,"",IF(AND(AA3041=1,AC3041&lt;&gt;1),1,0))</f>
        <v/>
      </c>
      <c r="AF3041" s="45" t="str">
        <f aca="false">IF(AND(E3041&gt;0,Y3041&lt;1,NOT(AND(C3042=C3041,Y3042=Y3041+1))),INDEX(DATAS,Y3041+1),"")</f>
        <v/>
      </c>
      <c r="AG3041" s="45" t="str">
        <f aca="false">IF(AND(AA3041=1,Y3041&lt;1),IF(AND(C3042=C3041,Y3042=Y3041+1),IF(AA3042=1,"",INDEX(DATAS,Y3041+1)),INDEX(DATAS,Y3041+1)),"")</f>
        <v/>
      </c>
    </row>
    <row r="3042" customFormat="false" ht="15" hidden="false" customHeight="false" outlineLevel="0" collapsed="false">
      <c r="A3042" s="45" t="n">
        <v>46309</v>
      </c>
      <c r="B3042" s="0" t="n">
        <v>13</v>
      </c>
      <c r="C3042" s="0" t="n">
        <v>7438</v>
      </c>
      <c r="E3042" s="0" t="n">
        <v>0</v>
      </c>
      <c r="F3042" s="39" t="s">
        <v>1435</v>
      </c>
      <c r="I3042" s="39" t="s">
        <v>136</v>
      </c>
      <c r="U3042" s="0" t="n">
        <v>236</v>
      </c>
      <c r="V3042" s="0" t="n">
        <v>0</v>
      </c>
      <c r="W3042" s="39" t="n">
        <f aca="false">IF(I3042="Male",0,1)</f>
        <v>1</v>
      </c>
      <c r="X3042" s="39" t="n">
        <f aca="false">IF(OR(I3042="DNB",I3042="Dry DNB"),1,0)</f>
        <v>0</v>
      </c>
      <c r="Y3042" s="39" t="n">
        <f aca="false">MATCH(A3042,DATAS,0)</f>
        <v>1</v>
      </c>
      <c r="Z3042" s="39" t="n">
        <f aca="false">IF(AND(E3042&gt;0,OR(AND(B3042&gt;=1,B3042&lt;=6),B3042=10)),1,0)</f>
        <v>0</v>
      </c>
      <c r="AA3042" s="39" t="n">
        <f aca="false">IF(AND(E3042&gt;0,B3042=10),1,0)</f>
        <v>0</v>
      </c>
      <c r="AB3042" s="0" t="str">
        <f aca="false">IF(AND(C3041=C3042,Y3041=Y3042-1),Z3041,"")</f>
        <v/>
      </c>
      <c r="AC3042" s="0" t="str">
        <f aca="false">IF(AND(C3041=C3042,Y3041=Y3042-1),AA3041,"")</f>
        <v/>
      </c>
      <c r="AD3042" s="0" t="str">
        <f aca="false">IF(Y3042=1,"",IF(AND(Z3042=1,AB3042&lt;&gt;1),1,0))</f>
        <v/>
      </c>
      <c r="AE3042" s="0" t="str">
        <f aca="false">IF(Y3042=1,"",IF(AND(AA3042=1,AC3042&lt;&gt;1),1,0))</f>
        <v/>
      </c>
      <c r="AF3042" s="45" t="str">
        <f aca="false">IF(AND(E3042&gt;0,Y3042&lt;1,NOT(AND(C3043=C3042,Y3043=Y3042+1))),INDEX(DATAS,Y3042+1),"")</f>
        <v/>
      </c>
      <c r="AG3042" s="45" t="str">
        <f aca="false">IF(AND(AA3042=1,Y3042&lt;1),IF(AND(C3043=C3042,Y3043=Y3042+1),IF(AA3043=1,"",INDEX(DATAS,Y3042+1)),INDEX(DATAS,Y3042+1)),"")</f>
        <v/>
      </c>
    </row>
    <row r="3043" customFormat="false" ht="15" hidden="false" customHeight="false" outlineLevel="0" collapsed="false">
      <c r="A3043" s="45" t="n">
        <v>46309</v>
      </c>
      <c r="B3043" s="0" t="n">
        <v>13</v>
      </c>
      <c r="C3043" s="0" t="n">
        <v>7440</v>
      </c>
      <c r="E3043" s="0" t="n">
        <v>0</v>
      </c>
      <c r="F3043" s="39" t="s">
        <v>1436</v>
      </c>
      <c r="I3043" s="39" t="s">
        <v>136</v>
      </c>
      <c r="U3043" s="0" t="n">
        <v>235</v>
      </c>
      <c r="V3043" s="0" t="n">
        <v>0</v>
      </c>
      <c r="W3043" s="39" t="n">
        <f aca="false">IF(I3043="Male",0,1)</f>
        <v>1</v>
      </c>
      <c r="X3043" s="39" t="n">
        <f aca="false">IF(OR(I3043="DNB",I3043="Dry DNB"),1,0)</f>
        <v>0</v>
      </c>
      <c r="Y3043" s="39" t="n">
        <f aca="false">MATCH(A3043,DATAS,0)</f>
        <v>1</v>
      </c>
      <c r="Z3043" s="39" t="n">
        <f aca="false">IF(AND(E3043&gt;0,OR(AND(B3043&gt;=1,B3043&lt;=6),B3043=10)),1,0)</f>
        <v>0</v>
      </c>
      <c r="AA3043" s="39" t="n">
        <f aca="false">IF(AND(E3043&gt;0,B3043=10),1,0)</f>
        <v>0</v>
      </c>
      <c r="AB3043" s="0" t="str">
        <f aca="false">IF(AND(C3042=C3043,Y3042=Y3043-1),Z3042,"")</f>
        <v/>
      </c>
      <c r="AC3043" s="0" t="str">
        <f aca="false">IF(AND(C3042=C3043,Y3042=Y3043-1),AA3042,"")</f>
        <v/>
      </c>
      <c r="AD3043" s="0" t="str">
        <f aca="false">IF(Y3043=1,"",IF(AND(Z3043=1,AB3043&lt;&gt;1),1,0))</f>
        <v/>
      </c>
      <c r="AE3043" s="0" t="str">
        <f aca="false">IF(Y3043=1,"",IF(AND(AA3043=1,AC3043&lt;&gt;1),1,0))</f>
        <v/>
      </c>
      <c r="AF3043" s="45" t="str">
        <f aca="false">IF(AND(E3043&gt;0,Y3043&lt;1,NOT(AND(C3044=C3043,Y3044=Y3043+1))),INDEX(DATAS,Y3043+1),"")</f>
        <v/>
      </c>
      <c r="AG3043" s="45" t="str">
        <f aca="false">IF(AND(AA3043=1,Y3043&lt;1),IF(AND(C3044=C3043,Y3044=Y3043+1),IF(AA3044=1,"",INDEX(DATAS,Y3043+1)),INDEX(DATAS,Y3043+1)),"")</f>
        <v/>
      </c>
    </row>
    <row r="3044" customFormat="false" ht="15" hidden="false" customHeight="false" outlineLevel="0" collapsed="false">
      <c r="A3044" s="45" t="n">
        <v>46309</v>
      </c>
      <c r="B3044" s="0" t="n">
        <v>13</v>
      </c>
      <c r="C3044" s="0" t="n">
        <v>7441</v>
      </c>
      <c r="E3044" s="0" t="n">
        <v>0</v>
      </c>
      <c r="F3044" s="39" t="s">
        <v>1436</v>
      </c>
      <c r="I3044" s="39" t="s">
        <v>136</v>
      </c>
      <c r="U3044" s="0" t="n">
        <v>235</v>
      </c>
      <c r="V3044" s="0" t="n">
        <v>0</v>
      </c>
      <c r="W3044" s="39" t="n">
        <f aca="false">IF(I3044="Male",0,1)</f>
        <v>1</v>
      </c>
      <c r="X3044" s="39" t="n">
        <f aca="false">IF(OR(I3044="DNB",I3044="Dry DNB"),1,0)</f>
        <v>0</v>
      </c>
      <c r="Y3044" s="39" t="n">
        <f aca="false">MATCH(A3044,DATAS,0)</f>
        <v>1</v>
      </c>
      <c r="Z3044" s="39" t="n">
        <f aca="false">IF(AND(E3044&gt;0,OR(AND(B3044&gt;=1,B3044&lt;=6),B3044=10)),1,0)</f>
        <v>0</v>
      </c>
      <c r="AA3044" s="39" t="n">
        <f aca="false">IF(AND(E3044&gt;0,B3044=10),1,0)</f>
        <v>0</v>
      </c>
      <c r="AB3044" s="0" t="str">
        <f aca="false">IF(AND(C3043=C3044,Y3043=Y3044-1),Z3043,"")</f>
        <v/>
      </c>
      <c r="AC3044" s="0" t="str">
        <f aca="false">IF(AND(C3043=C3044,Y3043=Y3044-1),AA3043,"")</f>
        <v/>
      </c>
      <c r="AD3044" s="0" t="str">
        <f aca="false">IF(Y3044=1,"",IF(AND(Z3044=1,AB3044&lt;&gt;1),1,0))</f>
        <v/>
      </c>
      <c r="AE3044" s="0" t="str">
        <f aca="false">IF(Y3044=1,"",IF(AND(AA3044=1,AC3044&lt;&gt;1),1,0))</f>
        <v/>
      </c>
      <c r="AF3044" s="45" t="str">
        <f aca="false">IF(AND(E3044&gt;0,Y3044&lt;1,NOT(AND(C3045=C3044,Y3045=Y3044+1))),INDEX(DATAS,Y3044+1),"")</f>
        <v/>
      </c>
      <c r="AG3044" s="45" t="str">
        <f aca="false">IF(AND(AA3044=1,Y3044&lt;1),IF(AND(C3045=C3044,Y3045=Y3044+1),IF(AA3045=1,"",INDEX(DATAS,Y3044+1)),INDEX(DATAS,Y3044+1)),"")</f>
        <v/>
      </c>
    </row>
    <row r="3045" customFormat="false" ht="15" hidden="false" customHeight="false" outlineLevel="0" collapsed="false">
      <c r="A3045" s="45" t="n">
        <v>46309</v>
      </c>
      <c r="B3045" s="0" t="n">
        <v>13</v>
      </c>
      <c r="C3045" s="0" t="n">
        <v>7442</v>
      </c>
      <c r="E3045" s="0" t="n">
        <v>0</v>
      </c>
      <c r="F3045" s="39" t="s">
        <v>1437</v>
      </c>
      <c r="I3045" s="39" t="s">
        <v>136</v>
      </c>
      <c r="U3045" s="0" t="n">
        <v>234</v>
      </c>
      <c r="V3045" s="0" t="n">
        <v>0</v>
      </c>
      <c r="W3045" s="39" t="n">
        <f aca="false">IF(I3045="Male",0,1)</f>
        <v>1</v>
      </c>
      <c r="X3045" s="39" t="n">
        <f aca="false">IF(OR(I3045="DNB",I3045="Dry DNB"),1,0)</f>
        <v>0</v>
      </c>
      <c r="Y3045" s="39" t="n">
        <f aca="false">MATCH(A3045,DATAS,0)</f>
        <v>1</v>
      </c>
      <c r="Z3045" s="39" t="n">
        <f aca="false">IF(AND(E3045&gt;0,OR(AND(B3045&gt;=1,B3045&lt;=6),B3045=10)),1,0)</f>
        <v>0</v>
      </c>
      <c r="AA3045" s="39" t="n">
        <f aca="false">IF(AND(E3045&gt;0,B3045=10),1,0)</f>
        <v>0</v>
      </c>
      <c r="AB3045" s="0" t="str">
        <f aca="false">IF(AND(C3044=C3045,Y3044=Y3045-1),Z3044,"")</f>
        <v/>
      </c>
      <c r="AC3045" s="0" t="str">
        <f aca="false">IF(AND(C3044=C3045,Y3044=Y3045-1),AA3044,"")</f>
        <v/>
      </c>
      <c r="AD3045" s="0" t="str">
        <f aca="false">IF(Y3045=1,"",IF(AND(Z3045=1,AB3045&lt;&gt;1),1,0))</f>
        <v/>
      </c>
      <c r="AE3045" s="0" t="str">
        <f aca="false">IF(Y3045=1,"",IF(AND(AA3045=1,AC3045&lt;&gt;1),1,0))</f>
        <v/>
      </c>
      <c r="AF3045" s="45" t="str">
        <f aca="false">IF(AND(E3045&gt;0,Y3045&lt;1,NOT(AND(C3046=C3045,Y3046=Y3045+1))),INDEX(DATAS,Y3045+1),"")</f>
        <v/>
      </c>
      <c r="AG3045" s="45" t="str">
        <f aca="false">IF(AND(AA3045=1,Y3045&lt;1),IF(AND(C3046=C3045,Y3046=Y3045+1),IF(AA3046=1,"",INDEX(DATAS,Y3045+1)),INDEX(DATAS,Y3045+1)),"")</f>
        <v/>
      </c>
    </row>
    <row r="3046" customFormat="false" ht="15" hidden="false" customHeight="false" outlineLevel="0" collapsed="false">
      <c r="A3046" s="45" t="n">
        <v>46309</v>
      </c>
      <c r="B3046" s="0" t="n">
        <v>13</v>
      </c>
      <c r="C3046" s="0" t="n">
        <v>7443</v>
      </c>
      <c r="E3046" s="0" t="n">
        <v>0</v>
      </c>
      <c r="F3046" s="39" t="s">
        <v>1437</v>
      </c>
      <c r="I3046" s="39" t="s">
        <v>136</v>
      </c>
      <c r="U3046" s="0" t="n">
        <v>234</v>
      </c>
      <c r="V3046" s="0" t="n">
        <v>0</v>
      </c>
      <c r="W3046" s="39" t="n">
        <f aca="false">IF(I3046="Male",0,1)</f>
        <v>1</v>
      </c>
      <c r="X3046" s="39" t="n">
        <f aca="false">IF(OR(I3046="DNB",I3046="Dry DNB"),1,0)</f>
        <v>0</v>
      </c>
      <c r="Y3046" s="39" t="n">
        <f aca="false">MATCH(A3046,DATAS,0)</f>
        <v>1</v>
      </c>
      <c r="Z3046" s="39" t="n">
        <f aca="false">IF(AND(E3046&gt;0,OR(AND(B3046&gt;=1,B3046&lt;=6),B3046=10)),1,0)</f>
        <v>0</v>
      </c>
      <c r="AA3046" s="39" t="n">
        <f aca="false">IF(AND(E3046&gt;0,B3046=10),1,0)</f>
        <v>0</v>
      </c>
      <c r="AB3046" s="0" t="str">
        <f aca="false">IF(AND(C3045=C3046,Y3045=Y3046-1),Z3045,"")</f>
        <v/>
      </c>
      <c r="AC3046" s="0" t="str">
        <f aca="false">IF(AND(C3045=C3046,Y3045=Y3046-1),AA3045,"")</f>
        <v/>
      </c>
      <c r="AD3046" s="0" t="str">
        <f aca="false">IF(Y3046=1,"",IF(AND(Z3046=1,AB3046&lt;&gt;1),1,0))</f>
        <v/>
      </c>
      <c r="AE3046" s="0" t="str">
        <f aca="false">IF(Y3046=1,"",IF(AND(AA3046=1,AC3046&lt;&gt;1),1,0))</f>
        <v/>
      </c>
      <c r="AF3046" s="45" t="str">
        <f aca="false">IF(AND(E3046&gt;0,Y3046&lt;1,NOT(AND(C3047=C3046,Y3047=Y3046+1))),INDEX(DATAS,Y3046+1),"")</f>
        <v/>
      </c>
      <c r="AG3046" s="45" t="str">
        <f aca="false">IF(AND(AA3046=1,Y3046&lt;1),IF(AND(C3047=C3046,Y3047=Y3046+1),IF(AA3047=1,"",INDEX(DATAS,Y3046+1)),INDEX(DATAS,Y3046+1)),"")</f>
        <v/>
      </c>
    </row>
    <row r="3047" customFormat="false" ht="15" hidden="false" customHeight="false" outlineLevel="0" collapsed="false">
      <c r="A3047" s="45" t="n">
        <v>46309</v>
      </c>
      <c r="B3047" s="0" t="n">
        <v>13</v>
      </c>
      <c r="C3047" s="0" t="n">
        <v>7444</v>
      </c>
      <c r="E3047" s="0" t="n">
        <v>0</v>
      </c>
      <c r="F3047" s="39" t="s">
        <v>1437</v>
      </c>
      <c r="I3047" s="39" t="s">
        <v>136</v>
      </c>
      <c r="U3047" s="0" t="n">
        <v>234</v>
      </c>
      <c r="V3047" s="0" t="n">
        <v>0</v>
      </c>
      <c r="W3047" s="39" t="n">
        <f aca="false">IF(I3047="Male",0,1)</f>
        <v>1</v>
      </c>
      <c r="X3047" s="39" t="n">
        <f aca="false">IF(OR(I3047="DNB",I3047="Dry DNB"),1,0)</f>
        <v>0</v>
      </c>
      <c r="Y3047" s="39" t="n">
        <f aca="false">MATCH(A3047,DATAS,0)</f>
        <v>1</v>
      </c>
      <c r="Z3047" s="39" t="n">
        <f aca="false">IF(AND(E3047&gt;0,OR(AND(B3047&gt;=1,B3047&lt;=6),B3047=10)),1,0)</f>
        <v>0</v>
      </c>
      <c r="AA3047" s="39" t="n">
        <f aca="false">IF(AND(E3047&gt;0,B3047=10),1,0)</f>
        <v>0</v>
      </c>
      <c r="AB3047" s="0" t="str">
        <f aca="false">IF(AND(C3046=C3047,Y3046=Y3047-1),Z3046,"")</f>
        <v/>
      </c>
      <c r="AC3047" s="0" t="str">
        <f aca="false">IF(AND(C3046=C3047,Y3046=Y3047-1),AA3046,"")</f>
        <v/>
      </c>
      <c r="AD3047" s="0" t="str">
        <f aca="false">IF(Y3047=1,"",IF(AND(Z3047=1,AB3047&lt;&gt;1),1,0))</f>
        <v/>
      </c>
      <c r="AE3047" s="0" t="str">
        <f aca="false">IF(Y3047=1,"",IF(AND(AA3047=1,AC3047&lt;&gt;1),1,0))</f>
        <v/>
      </c>
      <c r="AF3047" s="45" t="str">
        <f aca="false">IF(AND(E3047&gt;0,Y3047&lt;1,NOT(AND(C3048=C3047,Y3048=Y3047+1))),INDEX(DATAS,Y3047+1),"")</f>
        <v/>
      </c>
      <c r="AG3047" s="45" t="str">
        <f aca="false">IF(AND(AA3047=1,Y3047&lt;1),IF(AND(C3048=C3047,Y3048=Y3047+1),IF(AA3048=1,"",INDEX(DATAS,Y3047+1)),INDEX(DATAS,Y3047+1)),"")</f>
        <v/>
      </c>
    </row>
    <row r="3048" customFormat="false" ht="15" hidden="false" customHeight="false" outlineLevel="0" collapsed="false">
      <c r="A3048" s="45" t="n">
        <v>46309</v>
      </c>
      <c r="B3048" s="0" t="n">
        <v>13</v>
      </c>
      <c r="C3048" s="0" t="n">
        <v>7446</v>
      </c>
      <c r="E3048" s="0" t="n">
        <v>0</v>
      </c>
      <c r="F3048" s="39" t="s">
        <v>1437</v>
      </c>
      <c r="I3048" s="39" t="s">
        <v>136</v>
      </c>
      <c r="U3048" s="0" t="n">
        <v>234</v>
      </c>
      <c r="V3048" s="0" t="n">
        <v>0</v>
      </c>
      <c r="W3048" s="39" t="n">
        <f aca="false">IF(I3048="Male",0,1)</f>
        <v>1</v>
      </c>
      <c r="X3048" s="39" t="n">
        <f aca="false">IF(OR(I3048="DNB",I3048="Dry DNB"),1,0)</f>
        <v>0</v>
      </c>
      <c r="Y3048" s="39" t="n">
        <f aca="false">MATCH(A3048,DATAS,0)</f>
        <v>1</v>
      </c>
      <c r="Z3048" s="39" t="n">
        <f aca="false">IF(AND(E3048&gt;0,OR(AND(B3048&gt;=1,B3048&lt;=6),B3048=10)),1,0)</f>
        <v>0</v>
      </c>
      <c r="AA3048" s="39" t="n">
        <f aca="false">IF(AND(E3048&gt;0,B3048=10),1,0)</f>
        <v>0</v>
      </c>
      <c r="AB3048" s="0" t="str">
        <f aca="false">IF(AND(C3047=C3048,Y3047=Y3048-1),Z3047,"")</f>
        <v/>
      </c>
      <c r="AC3048" s="0" t="str">
        <f aca="false">IF(AND(C3047=C3048,Y3047=Y3048-1),AA3047,"")</f>
        <v/>
      </c>
      <c r="AD3048" s="0" t="str">
        <f aca="false">IF(Y3048=1,"",IF(AND(Z3048=1,AB3048&lt;&gt;1),1,0))</f>
        <v/>
      </c>
      <c r="AE3048" s="0" t="str">
        <f aca="false">IF(Y3048=1,"",IF(AND(AA3048=1,AC3048&lt;&gt;1),1,0))</f>
        <v/>
      </c>
      <c r="AF3048" s="45" t="str">
        <f aca="false">IF(AND(E3048&gt;0,Y3048&lt;1,NOT(AND(C3049=C3048,Y3049=Y3048+1))),INDEX(DATAS,Y3048+1),"")</f>
        <v/>
      </c>
      <c r="AG3048" s="45" t="str">
        <f aca="false">IF(AND(AA3048=1,Y3048&lt;1),IF(AND(C3049=C3048,Y3049=Y3048+1),IF(AA3049=1,"",INDEX(DATAS,Y3048+1)),INDEX(DATAS,Y3048+1)),"")</f>
        <v/>
      </c>
    </row>
    <row r="3049" customFormat="false" ht="15" hidden="false" customHeight="false" outlineLevel="0" collapsed="false">
      <c r="A3049" s="45" t="n">
        <v>46309</v>
      </c>
      <c r="B3049" s="0" t="n">
        <v>13</v>
      </c>
      <c r="C3049" s="0" t="n">
        <v>7448</v>
      </c>
      <c r="E3049" s="0" t="n">
        <v>0</v>
      </c>
      <c r="F3049" s="39" t="s">
        <v>1437</v>
      </c>
      <c r="I3049" s="39" t="s">
        <v>136</v>
      </c>
      <c r="U3049" s="0" t="n">
        <v>234</v>
      </c>
      <c r="V3049" s="0" t="n">
        <v>0</v>
      </c>
      <c r="W3049" s="39" t="n">
        <f aca="false">IF(I3049="Male",0,1)</f>
        <v>1</v>
      </c>
      <c r="X3049" s="39" t="n">
        <f aca="false">IF(OR(I3049="DNB",I3049="Dry DNB"),1,0)</f>
        <v>0</v>
      </c>
      <c r="Y3049" s="39" t="n">
        <f aca="false">MATCH(A3049,DATAS,0)</f>
        <v>1</v>
      </c>
      <c r="Z3049" s="39" t="n">
        <f aca="false">IF(AND(E3049&gt;0,OR(AND(B3049&gt;=1,B3049&lt;=6),B3049=10)),1,0)</f>
        <v>0</v>
      </c>
      <c r="AA3049" s="39" t="n">
        <f aca="false">IF(AND(E3049&gt;0,B3049=10),1,0)</f>
        <v>0</v>
      </c>
      <c r="AB3049" s="0" t="str">
        <f aca="false">IF(AND(C3048=C3049,Y3048=Y3049-1),Z3048,"")</f>
        <v/>
      </c>
      <c r="AC3049" s="0" t="str">
        <f aca="false">IF(AND(C3048=C3049,Y3048=Y3049-1),AA3048,"")</f>
        <v/>
      </c>
      <c r="AD3049" s="0" t="str">
        <f aca="false">IF(Y3049=1,"",IF(AND(Z3049=1,AB3049&lt;&gt;1),1,0))</f>
        <v/>
      </c>
      <c r="AE3049" s="0" t="str">
        <f aca="false">IF(Y3049=1,"",IF(AND(AA3049=1,AC3049&lt;&gt;1),1,0))</f>
        <v/>
      </c>
      <c r="AF3049" s="45" t="str">
        <f aca="false">IF(AND(E3049&gt;0,Y3049&lt;1,NOT(AND(C3050=C3049,Y3050=Y3049+1))),INDEX(DATAS,Y3049+1),"")</f>
        <v/>
      </c>
      <c r="AG3049" s="45" t="str">
        <f aca="false">IF(AND(AA3049=1,Y3049&lt;1),IF(AND(C3050=C3049,Y3050=Y3049+1),IF(AA3050=1,"",INDEX(DATAS,Y3049+1)),INDEX(DATAS,Y3049+1)),"")</f>
        <v/>
      </c>
    </row>
    <row r="3050" customFormat="false" ht="15" hidden="false" customHeight="false" outlineLevel="0" collapsed="false">
      <c r="A3050" s="45" t="n">
        <v>46309</v>
      </c>
      <c r="B3050" s="0" t="n">
        <v>13</v>
      </c>
      <c r="C3050" s="0" t="n">
        <v>7450</v>
      </c>
      <c r="E3050" s="0" t="n">
        <v>0</v>
      </c>
      <c r="F3050" s="39" t="s">
        <v>1438</v>
      </c>
      <c r="I3050" s="39" t="s">
        <v>136</v>
      </c>
      <c r="U3050" s="0" t="n">
        <v>232</v>
      </c>
      <c r="V3050" s="0" t="n">
        <v>0</v>
      </c>
      <c r="W3050" s="39" t="n">
        <f aca="false">IF(I3050="Male",0,1)</f>
        <v>1</v>
      </c>
      <c r="X3050" s="39" t="n">
        <f aca="false">IF(OR(I3050="DNB",I3050="Dry DNB"),1,0)</f>
        <v>0</v>
      </c>
      <c r="Y3050" s="39" t="n">
        <f aca="false">MATCH(A3050,DATAS,0)</f>
        <v>1</v>
      </c>
      <c r="Z3050" s="39" t="n">
        <f aca="false">IF(AND(E3050&gt;0,OR(AND(B3050&gt;=1,B3050&lt;=6),B3050=10)),1,0)</f>
        <v>0</v>
      </c>
      <c r="AA3050" s="39" t="n">
        <f aca="false">IF(AND(E3050&gt;0,B3050=10),1,0)</f>
        <v>0</v>
      </c>
      <c r="AB3050" s="0" t="str">
        <f aca="false">IF(AND(C3049=C3050,Y3049=Y3050-1),Z3049,"")</f>
        <v/>
      </c>
      <c r="AC3050" s="0" t="str">
        <f aca="false">IF(AND(C3049=C3050,Y3049=Y3050-1),AA3049,"")</f>
        <v/>
      </c>
      <c r="AD3050" s="0" t="str">
        <f aca="false">IF(Y3050=1,"",IF(AND(Z3050=1,AB3050&lt;&gt;1),1,0))</f>
        <v/>
      </c>
      <c r="AE3050" s="0" t="str">
        <f aca="false">IF(Y3050=1,"",IF(AND(AA3050=1,AC3050&lt;&gt;1),1,0))</f>
        <v/>
      </c>
      <c r="AF3050" s="45" t="str">
        <f aca="false">IF(AND(E3050&gt;0,Y3050&lt;1,NOT(AND(C3051=C3050,Y3051=Y3050+1))),INDEX(DATAS,Y3050+1),"")</f>
        <v/>
      </c>
      <c r="AG3050" s="45" t="str">
        <f aca="false">IF(AND(AA3050=1,Y3050&lt;1),IF(AND(C3051=C3050,Y3051=Y3050+1),IF(AA3051=1,"",INDEX(DATAS,Y3050+1)),INDEX(DATAS,Y3050+1)),"")</f>
        <v/>
      </c>
    </row>
    <row r="3051" customFormat="false" ht="15" hidden="false" customHeight="false" outlineLevel="0" collapsed="false">
      <c r="A3051" s="45" t="n">
        <v>46309</v>
      </c>
      <c r="B3051" s="0" t="n">
        <v>13</v>
      </c>
      <c r="C3051" s="0" t="n">
        <v>7451</v>
      </c>
      <c r="E3051" s="0" t="n">
        <v>0</v>
      </c>
      <c r="F3051" s="39" t="s">
        <v>1438</v>
      </c>
      <c r="I3051" s="39" t="s">
        <v>136</v>
      </c>
      <c r="U3051" s="0" t="n">
        <v>232</v>
      </c>
      <c r="V3051" s="0" t="n">
        <v>0</v>
      </c>
      <c r="W3051" s="39" t="n">
        <f aca="false">IF(I3051="Male",0,1)</f>
        <v>1</v>
      </c>
      <c r="X3051" s="39" t="n">
        <f aca="false">IF(OR(I3051="DNB",I3051="Dry DNB"),1,0)</f>
        <v>0</v>
      </c>
      <c r="Y3051" s="39" t="n">
        <f aca="false">MATCH(A3051,DATAS,0)</f>
        <v>1</v>
      </c>
      <c r="Z3051" s="39" t="n">
        <f aca="false">IF(AND(E3051&gt;0,OR(AND(B3051&gt;=1,B3051&lt;=6),B3051=10)),1,0)</f>
        <v>0</v>
      </c>
      <c r="AA3051" s="39" t="n">
        <f aca="false">IF(AND(E3051&gt;0,B3051=10),1,0)</f>
        <v>0</v>
      </c>
      <c r="AB3051" s="0" t="str">
        <f aca="false">IF(AND(C3050=C3051,Y3050=Y3051-1),Z3050,"")</f>
        <v/>
      </c>
      <c r="AC3051" s="0" t="str">
        <f aca="false">IF(AND(C3050=C3051,Y3050=Y3051-1),AA3050,"")</f>
        <v/>
      </c>
      <c r="AD3051" s="0" t="str">
        <f aca="false">IF(Y3051=1,"",IF(AND(Z3051=1,AB3051&lt;&gt;1),1,0))</f>
        <v/>
      </c>
      <c r="AE3051" s="0" t="str">
        <f aca="false">IF(Y3051=1,"",IF(AND(AA3051=1,AC3051&lt;&gt;1),1,0))</f>
        <v/>
      </c>
      <c r="AF3051" s="45" t="str">
        <f aca="false">IF(AND(E3051&gt;0,Y3051&lt;1,NOT(AND(C3052=C3051,Y3052=Y3051+1))),INDEX(DATAS,Y3051+1),"")</f>
        <v/>
      </c>
      <c r="AG3051" s="45" t="str">
        <f aca="false">IF(AND(AA3051=1,Y3051&lt;1),IF(AND(C3052=C3051,Y3052=Y3051+1),IF(AA3052=1,"",INDEX(DATAS,Y3051+1)),INDEX(DATAS,Y3051+1)),"")</f>
        <v/>
      </c>
    </row>
    <row r="3052" customFormat="false" ht="15" hidden="false" customHeight="false" outlineLevel="0" collapsed="false">
      <c r="A3052" s="45" t="n">
        <v>46309</v>
      </c>
      <c r="B3052" s="0" t="n">
        <v>13</v>
      </c>
      <c r="C3052" s="0" t="n">
        <v>7452</v>
      </c>
      <c r="E3052" s="0" t="n">
        <v>0</v>
      </c>
      <c r="F3052" s="39" t="s">
        <v>1438</v>
      </c>
      <c r="I3052" s="39" t="s">
        <v>136</v>
      </c>
      <c r="U3052" s="0" t="n">
        <v>232</v>
      </c>
      <c r="V3052" s="0" t="n">
        <v>0</v>
      </c>
      <c r="W3052" s="39" t="n">
        <f aca="false">IF(I3052="Male",0,1)</f>
        <v>1</v>
      </c>
      <c r="X3052" s="39" t="n">
        <f aca="false">IF(OR(I3052="DNB",I3052="Dry DNB"),1,0)</f>
        <v>0</v>
      </c>
      <c r="Y3052" s="39" t="n">
        <f aca="false">MATCH(A3052,DATAS,0)</f>
        <v>1</v>
      </c>
      <c r="Z3052" s="39" t="n">
        <f aca="false">IF(AND(E3052&gt;0,OR(AND(B3052&gt;=1,B3052&lt;=6),B3052=10)),1,0)</f>
        <v>0</v>
      </c>
      <c r="AA3052" s="39" t="n">
        <f aca="false">IF(AND(E3052&gt;0,B3052=10),1,0)</f>
        <v>0</v>
      </c>
      <c r="AB3052" s="0" t="str">
        <f aca="false">IF(AND(C3051=C3052,Y3051=Y3052-1),Z3051,"")</f>
        <v/>
      </c>
      <c r="AC3052" s="0" t="str">
        <f aca="false">IF(AND(C3051=C3052,Y3051=Y3052-1),AA3051,"")</f>
        <v/>
      </c>
      <c r="AD3052" s="0" t="str">
        <f aca="false">IF(Y3052=1,"",IF(AND(Z3052=1,AB3052&lt;&gt;1),1,0))</f>
        <v/>
      </c>
      <c r="AE3052" s="0" t="str">
        <f aca="false">IF(Y3052=1,"",IF(AND(AA3052=1,AC3052&lt;&gt;1),1,0))</f>
        <v/>
      </c>
      <c r="AF3052" s="45" t="str">
        <f aca="false">IF(AND(E3052&gt;0,Y3052&lt;1,NOT(AND(C3053=C3052,Y3053=Y3052+1))),INDEX(DATAS,Y3052+1),"")</f>
        <v/>
      </c>
      <c r="AG3052" s="45" t="str">
        <f aca="false">IF(AND(AA3052=1,Y3052&lt;1),IF(AND(C3053=C3052,Y3053=Y3052+1),IF(AA3053=1,"",INDEX(DATAS,Y3052+1)),INDEX(DATAS,Y3052+1)),"")</f>
        <v/>
      </c>
    </row>
    <row r="3053" customFormat="false" ht="15" hidden="false" customHeight="false" outlineLevel="0" collapsed="false">
      <c r="A3053" s="45" t="n">
        <v>46309</v>
      </c>
      <c r="B3053" s="0" t="n">
        <v>13</v>
      </c>
      <c r="C3053" s="0" t="n">
        <v>7453</v>
      </c>
      <c r="E3053" s="0" t="n">
        <v>0</v>
      </c>
      <c r="F3053" s="39" t="s">
        <v>1438</v>
      </c>
      <c r="I3053" s="39" t="s">
        <v>136</v>
      </c>
      <c r="U3053" s="0" t="n">
        <v>232</v>
      </c>
      <c r="V3053" s="0" t="n">
        <v>0</v>
      </c>
      <c r="W3053" s="39" t="n">
        <f aca="false">IF(I3053="Male",0,1)</f>
        <v>1</v>
      </c>
      <c r="X3053" s="39" t="n">
        <f aca="false">IF(OR(I3053="DNB",I3053="Dry DNB"),1,0)</f>
        <v>0</v>
      </c>
      <c r="Y3053" s="39" t="n">
        <f aca="false">MATCH(A3053,DATAS,0)</f>
        <v>1</v>
      </c>
      <c r="Z3053" s="39" t="n">
        <f aca="false">IF(AND(E3053&gt;0,OR(AND(B3053&gt;=1,B3053&lt;=6),B3053=10)),1,0)</f>
        <v>0</v>
      </c>
      <c r="AA3053" s="39" t="n">
        <f aca="false">IF(AND(E3053&gt;0,B3053=10),1,0)</f>
        <v>0</v>
      </c>
      <c r="AB3053" s="0" t="str">
        <f aca="false">IF(AND(C3052=C3053,Y3052=Y3053-1),Z3052,"")</f>
        <v/>
      </c>
      <c r="AC3053" s="0" t="str">
        <f aca="false">IF(AND(C3052=C3053,Y3052=Y3053-1),AA3052,"")</f>
        <v/>
      </c>
      <c r="AD3053" s="0" t="str">
        <f aca="false">IF(Y3053=1,"",IF(AND(Z3053=1,AB3053&lt;&gt;1),1,0))</f>
        <v/>
      </c>
      <c r="AE3053" s="0" t="str">
        <f aca="false">IF(Y3053=1,"",IF(AND(AA3053=1,AC3053&lt;&gt;1),1,0))</f>
        <v/>
      </c>
      <c r="AF3053" s="45" t="str">
        <f aca="false">IF(AND(E3053&gt;0,Y3053&lt;1,NOT(AND(C3054=C3053,Y3054=Y3053+1))),INDEX(DATAS,Y3053+1),"")</f>
        <v/>
      </c>
      <c r="AG3053" s="45" t="str">
        <f aca="false">IF(AND(AA3053=1,Y3053&lt;1),IF(AND(C3054=C3053,Y3054=Y3053+1),IF(AA3054=1,"",INDEX(DATAS,Y3053+1)),INDEX(DATAS,Y3053+1)),"")</f>
        <v/>
      </c>
    </row>
    <row r="3054" customFormat="false" ht="15" hidden="false" customHeight="false" outlineLevel="0" collapsed="false">
      <c r="A3054" s="45" t="n">
        <v>46309</v>
      </c>
      <c r="B3054" s="0" t="n">
        <v>13</v>
      </c>
      <c r="C3054" s="0" t="n">
        <v>7454</v>
      </c>
      <c r="E3054" s="0" t="n">
        <v>0</v>
      </c>
      <c r="F3054" s="39" t="s">
        <v>1439</v>
      </c>
      <c r="I3054" s="39" t="s">
        <v>136</v>
      </c>
      <c r="U3054" s="0" t="n">
        <v>231</v>
      </c>
      <c r="V3054" s="0" t="n">
        <v>0</v>
      </c>
      <c r="W3054" s="39" t="n">
        <f aca="false">IF(I3054="Male",0,1)</f>
        <v>1</v>
      </c>
      <c r="X3054" s="39" t="n">
        <f aca="false">IF(OR(I3054="DNB",I3054="Dry DNB"),1,0)</f>
        <v>0</v>
      </c>
      <c r="Y3054" s="39" t="n">
        <f aca="false">MATCH(A3054,DATAS,0)</f>
        <v>1</v>
      </c>
      <c r="Z3054" s="39" t="n">
        <f aca="false">IF(AND(E3054&gt;0,OR(AND(B3054&gt;=1,B3054&lt;=6),B3054=10)),1,0)</f>
        <v>0</v>
      </c>
      <c r="AA3054" s="39" t="n">
        <f aca="false">IF(AND(E3054&gt;0,B3054=10),1,0)</f>
        <v>0</v>
      </c>
      <c r="AB3054" s="0" t="str">
        <f aca="false">IF(AND(C3053=C3054,Y3053=Y3054-1),Z3053,"")</f>
        <v/>
      </c>
      <c r="AC3054" s="0" t="str">
        <f aca="false">IF(AND(C3053=C3054,Y3053=Y3054-1),AA3053,"")</f>
        <v/>
      </c>
      <c r="AD3054" s="0" t="str">
        <f aca="false">IF(Y3054=1,"",IF(AND(Z3054=1,AB3054&lt;&gt;1),1,0))</f>
        <v/>
      </c>
      <c r="AE3054" s="0" t="str">
        <f aca="false">IF(Y3054=1,"",IF(AND(AA3054=1,AC3054&lt;&gt;1),1,0))</f>
        <v/>
      </c>
      <c r="AF3054" s="45" t="str">
        <f aca="false">IF(AND(E3054&gt;0,Y3054&lt;1,NOT(AND(C3055=C3054,Y3055=Y3054+1))),INDEX(DATAS,Y3054+1),"")</f>
        <v/>
      </c>
      <c r="AG3054" s="45" t="str">
        <f aca="false">IF(AND(AA3054=1,Y3054&lt;1),IF(AND(C3055=C3054,Y3055=Y3054+1),IF(AA3055=1,"",INDEX(DATAS,Y3054+1)),INDEX(DATAS,Y3054+1)),"")</f>
        <v/>
      </c>
    </row>
    <row r="3055" customFormat="false" ht="15" hidden="false" customHeight="false" outlineLevel="0" collapsed="false">
      <c r="A3055" s="45" t="n">
        <v>46309</v>
      </c>
      <c r="B3055" s="0" t="n">
        <v>13</v>
      </c>
      <c r="C3055" s="0" t="n">
        <v>7455</v>
      </c>
      <c r="E3055" s="0" t="n">
        <v>0</v>
      </c>
      <c r="F3055" s="39" t="s">
        <v>1439</v>
      </c>
      <c r="I3055" s="39" t="s">
        <v>136</v>
      </c>
      <c r="U3055" s="0" t="n">
        <v>231</v>
      </c>
      <c r="V3055" s="0" t="n">
        <v>0</v>
      </c>
      <c r="W3055" s="39" t="n">
        <f aca="false">IF(I3055="Male",0,1)</f>
        <v>1</v>
      </c>
      <c r="X3055" s="39" t="n">
        <f aca="false">IF(OR(I3055="DNB",I3055="Dry DNB"),1,0)</f>
        <v>0</v>
      </c>
      <c r="Y3055" s="39" t="n">
        <f aca="false">MATCH(A3055,DATAS,0)</f>
        <v>1</v>
      </c>
      <c r="Z3055" s="39" t="n">
        <f aca="false">IF(AND(E3055&gt;0,OR(AND(B3055&gt;=1,B3055&lt;=6),B3055=10)),1,0)</f>
        <v>0</v>
      </c>
      <c r="AA3055" s="39" t="n">
        <f aca="false">IF(AND(E3055&gt;0,B3055=10),1,0)</f>
        <v>0</v>
      </c>
      <c r="AB3055" s="0" t="str">
        <f aca="false">IF(AND(C3054=C3055,Y3054=Y3055-1),Z3054,"")</f>
        <v/>
      </c>
      <c r="AC3055" s="0" t="str">
        <f aca="false">IF(AND(C3054=C3055,Y3054=Y3055-1),AA3054,"")</f>
        <v/>
      </c>
      <c r="AD3055" s="0" t="str">
        <f aca="false">IF(Y3055=1,"",IF(AND(Z3055=1,AB3055&lt;&gt;1),1,0))</f>
        <v/>
      </c>
      <c r="AE3055" s="0" t="str">
        <f aca="false">IF(Y3055=1,"",IF(AND(AA3055=1,AC3055&lt;&gt;1),1,0))</f>
        <v/>
      </c>
      <c r="AF3055" s="45" t="str">
        <f aca="false">IF(AND(E3055&gt;0,Y3055&lt;1,NOT(AND(C3056=C3055,Y3056=Y3055+1))),INDEX(DATAS,Y3055+1),"")</f>
        <v/>
      </c>
      <c r="AG3055" s="45" t="str">
        <f aca="false">IF(AND(AA3055=1,Y3055&lt;1),IF(AND(C3056=C3055,Y3056=Y3055+1),IF(AA3056=1,"",INDEX(DATAS,Y3055+1)),INDEX(DATAS,Y3055+1)),"")</f>
        <v/>
      </c>
    </row>
    <row r="3056" customFormat="false" ht="15" hidden="false" customHeight="false" outlineLevel="0" collapsed="false">
      <c r="A3056" s="45" t="n">
        <v>46309</v>
      </c>
      <c r="B3056" s="0" t="n">
        <v>13</v>
      </c>
      <c r="C3056" s="0" t="n">
        <v>7456</v>
      </c>
      <c r="E3056" s="0" t="n">
        <v>0</v>
      </c>
      <c r="F3056" s="39" t="s">
        <v>1439</v>
      </c>
      <c r="I3056" s="39" t="s">
        <v>136</v>
      </c>
      <c r="U3056" s="0" t="n">
        <v>231</v>
      </c>
      <c r="V3056" s="0" t="n">
        <v>0</v>
      </c>
      <c r="W3056" s="39" t="n">
        <f aca="false">IF(I3056="Male",0,1)</f>
        <v>1</v>
      </c>
      <c r="X3056" s="39" t="n">
        <f aca="false">IF(OR(I3056="DNB",I3056="Dry DNB"),1,0)</f>
        <v>0</v>
      </c>
      <c r="Y3056" s="39" t="n">
        <f aca="false">MATCH(A3056,DATAS,0)</f>
        <v>1</v>
      </c>
      <c r="Z3056" s="39" t="n">
        <f aca="false">IF(AND(E3056&gt;0,OR(AND(B3056&gt;=1,B3056&lt;=6),B3056=10)),1,0)</f>
        <v>0</v>
      </c>
      <c r="AA3056" s="39" t="n">
        <f aca="false">IF(AND(E3056&gt;0,B3056=10),1,0)</f>
        <v>0</v>
      </c>
      <c r="AB3056" s="0" t="str">
        <f aca="false">IF(AND(C3055=C3056,Y3055=Y3056-1),Z3055,"")</f>
        <v/>
      </c>
      <c r="AC3056" s="0" t="str">
        <f aca="false">IF(AND(C3055=C3056,Y3055=Y3056-1),AA3055,"")</f>
        <v/>
      </c>
      <c r="AD3056" s="0" t="str">
        <f aca="false">IF(Y3056=1,"",IF(AND(Z3056=1,AB3056&lt;&gt;1),1,0))</f>
        <v/>
      </c>
      <c r="AE3056" s="0" t="str">
        <f aca="false">IF(Y3056=1,"",IF(AND(AA3056=1,AC3056&lt;&gt;1),1,0))</f>
        <v/>
      </c>
      <c r="AF3056" s="45" t="str">
        <f aca="false">IF(AND(E3056&gt;0,Y3056&lt;1,NOT(AND(C3057=C3056,Y3057=Y3056+1))),INDEX(DATAS,Y3056+1),"")</f>
        <v/>
      </c>
      <c r="AG3056" s="45" t="str">
        <f aca="false">IF(AND(AA3056=1,Y3056&lt;1),IF(AND(C3057=C3056,Y3057=Y3056+1),IF(AA3057=1,"",INDEX(DATAS,Y3056+1)),INDEX(DATAS,Y3056+1)),"")</f>
        <v/>
      </c>
    </row>
    <row r="3057" customFormat="false" ht="15" hidden="false" customHeight="false" outlineLevel="0" collapsed="false">
      <c r="A3057" s="45" t="n">
        <v>46309</v>
      </c>
      <c r="B3057" s="0" t="n">
        <v>13</v>
      </c>
      <c r="C3057" s="0" t="n">
        <v>7457</v>
      </c>
      <c r="E3057" s="0" t="n">
        <v>0</v>
      </c>
      <c r="F3057" s="39" t="s">
        <v>1439</v>
      </c>
      <c r="I3057" s="39" t="s">
        <v>136</v>
      </c>
      <c r="U3057" s="0" t="n">
        <v>231</v>
      </c>
      <c r="V3057" s="0" t="n">
        <v>0</v>
      </c>
      <c r="W3057" s="39" t="n">
        <f aca="false">IF(I3057="Male",0,1)</f>
        <v>1</v>
      </c>
      <c r="X3057" s="39" t="n">
        <f aca="false">IF(OR(I3057="DNB",I3057="Dry DNB"),1,0)</f>
        <v>0</v>
      </c>
      <c r="Y3057" s="39" t="n">
        <f aca="false">MATCH(A3057,DATAS,0)</f>
        <v>1</v>
      </c>
      <c r="Z3057" s="39" t="n">
        <f aca="false">IF(AND(E3057&gt;0,OR(AND(B3057&gt;=1,B3057&lt;=6),B3057=10)),1,0)</f>
        <v>0</v>
      </c>
      <c r="AA3057" s="39" t="n">
        <f aca="false">IF(AND(E3057&gt;0,B3057=10),1,0)</f>
        <v>0</v>
      </c>
      <c r="AB3057" s="0" t="str">
        <f aca="false">IF(AND(C3056=C3057,Y3056=Y3057-1),Z3056,"")</f>
        <v/>
      </c>
      <c r="AC3057" s="0" t="str">
        <f aca="false">IF(AND(C3056=C3057,Y3056=Y3057-1),AA3056,"")</f>
        <v/>
      </c>
      <c r="AD3057" s="0" t="str">
        <f aca="false">IF(Y3057=1,"",IF(AND(Z3057=1,AB3057&lt;&gt;1),1,0))</f>
        <v/>
      </c>
      <c r="AE3057" s="0" t="str">
        <f aca="false">IF(Y3057=1,"",IF(AND(AA3057=1,AC3057&lt;&gt;1),1,0))</f>
        <v/>
      </c>
      <c r="AF3057" s="45" t="str">
        <f aca="false">IF(AND(E3057&gt;0,Y3057&lt;1,NOT(AND(C3058=C3057,Y3058=Y3057+1))),INDEX(DATAS,Y3057+1),"")</f>
        <v/>
      </c>
      <c r="AG3057" s="45" t="str">
        <f aca="false">IF(AND(AA3057=1,Y3057&lt;1),IF(AND(C3058=C3057,Y3058=Y3057+1),IF(AA3058=1,"",INDEX(DATAS,Y3057+1)),INDEX(DATAS,Y3057+1)),"")</f>
        <v/>
      </c>
    </row>
    <row r="3058" customFormat="false" ht="15" hidden="false" customHeight="false" outlineLevel="0" collapsed="false">
      <c r="A3058" s="45" t="n">
        <v>46309</v>
      </c>
      <c r="B3058" s="0" t="n">
        <v>13</v>
      </c>
      <c r="C3058" s="0" t="n">
        <v>7459</v>
      </c>
      <c r="E3058" s="0" t="n">
        <v>0</v>
      </c>
      <c r="F3058" s="39" t="s">
        <v>1439</v>
      </c>
      <c r="I3058" s="39" t="s">
        <v>136</v>
      </c>
      <c r="U3058" s="0" t="n">
        <v>231</v>
      </c>
      <c r="V3058" s="0" t="n">
        <v>0</v>
      </c>
      <c r="W3058" s="39" t="n">
        <f aca="false">IF(I3058="Male",0,1)</f>
        <v>1</v>
      </c>
      <c r="X3058" s="39" t="n">
        <f aca="false">IF(OR(I3058="DNB",I3058="Dry DNB"),1,0)</f>
        <v>0</v>
      </c>
      <c r="Y3058" s="39" t="n">
        <f aca="false">MATCH(A3058,DATAS,0)</f>
        <v>1</v>
      </c>
      <c r="Z3058" s="39" t="n">
        <f aca="false">IF(AND(E3058&gt;0,OR(AND(B3058&gt;=1,B3058&lt;=6),B3058=10)),1,0)</f>
        <v>0</v>
      </c>
      <c r="AA3058" s="39" t="n">
        <f aca="false">IF(AND(E3058&gt;0,B3058=10),1,0)</f>
        <v>0</v>
      </c>
      <c r="AB3058" s="0" t="str">
        <f aca="false">IF(AND(C3057=C3058,Y3057=Y3058-1),Z3057,"")</f>
        <v/>
      </c>
      <c r="AC3058" s="0" t="str">
        <f aca="false">IF(AND(C3057=C3058,Y3057=Y3058-1),AA3057,"")</f>
        <v/>
      </c>
      <c r="AD3058" s="0" t="str">
        <f aca="false">IF(Y3058=1,"",IF(AND(Z3058=1,AB3058&lt;&gt;1),1,0))</f>
        <v/>
      </c>
      <c r="AE3058" s="0" t="str">
        <f aca="false">IF(Y3058=1,"",IF(AND(AA3058=1,AC3058&lt;&gt;1),1,0))</f>
        <v/>
      </c>
      <c r="AF3058" s="45" t="str">
        <f aca="false">IF(AND(E3058&gt;0,Y3058&lt;1,NOT(AND(C3059=C3058,Y3059=Y3058+1))),INDEX(DATAS,Y3058+1),"")</f>
        <v/>
      </c>
      <c r="AG3058" s="45" t="str">
        <f aca="false">IF(AND(AA3058=1,Y3058&lt;1),IF(AND(C3059=C3058,Y3059=Y3058+1),IF(AA3059=1,"",INDEX(DATAS,Y3058+1)),INDEX(DATAS,Y3058+1)),"")</f>
        <v/>
      </c>
    </row>
    <row r="3059" customFormat="false" ht="15" hidden="false" customHeight="false" outlineLevel="0" collapsed="false">
      <c r="A3059" s="45" t="n">
        <v>46309</v>
      </c>
      <c r="B3059" s="0" t="n">
        <v>13</v>
      </c>
      <c r="C3059" s="0" t="n">
        <v>7460</v>
      </c>
      <c r="E3059" s="0" t="n">
        <v>0</v>
      </c>
      <c r="F3059" s="39" t="s">
        <v>1439</v>
      </c>
      <c r="I3059" s="39" t="s">
        <v>136</v>
      </c>
      <c r="U3059" s="0" t="n">
        <v>231</v>
      </c>
      <c r="V3059" s="0" t="n">
        <v>0</v>
      </c>
      <c r="W3059" s="39" t="n">
        <f aca="false">IF(I3059="Male",0,1)</f>
        <v>1</v>
      </c>
      <c r="X3059" s="39" t="n">
        <f aca="false">IF(OR(I3059="DNB",I3059="Dry DNB"),1,0)</f>
        <v>0</v>
      </c>
      <c r="Y3059" s="39" t="n">
        <f aca="false">MATCH(A3059,DATAS,0)</f>
        <v>1</v>
      </c>
      <c r="Z3059" s="39" t="n">
        <f aca="false">IF(AND(E3059&gt;0,OR(AND(B3059&gt;=1,B3059&lt;=6),B3059=10)),1,0)</f>
        <v>0</v>
      </c>
      <c r="AA3059" s="39" t="n">
        <f aca="false">IF(AND(E3059&gt;0,B3059=10),1,0)</f>
        <v>0</v>
      </c>
      <c r="AB3059" s="0" t="str">
        <f aca="false">IF(AND(C3058=C3059,Y3058=Y3059-1),Z3058,"")</f>
        <v/>
      </c>
      <c r="AC3059" s="0" t="str">
        <f aca="false">IF(AND(C3058=C3059,Y3058=Y3059-1),AA3058,"")</f>
        <v/>
      </c>
      <c r="AD3059" s="0" t="str">
        <f aca="false">IF(Y3059=1,"",IF(AND(Z3059=1,AB3059&lt;&gt;1),1,0))</f>
        <v/>
      </c>
      <c r="AE3059" s="0" t="str">
        <f aca="false">IF(Y3059=1,"",IF(AND(AA3059=1,AC3059&lt;&gt;1),1,0))</f>
        <v/>
      </c>
      <c r="AF3059" s="45" t="str">
        <f aca="false">IF(AND(E3059&gt;0,Y3059&lt;1,NOT(AND(C3060=C3059,Y3060=Y3059+1))),INDEX(DATAS,Y3059+1),"")</f>
        <v/>
      </c>
      <c r="AG3059" s="45" t="str">
        <f aca="false">IF(AND(AA3059=1,Y3059&lt;1),IF(AND(C3060=C3059,Y3060=Y3059+1),IF(AA3060=1,"",INDEX(DATAS,Y3059+1)),INDEX(DATAS,Y3059+1)),"")</f>
        <v/>
      </c>
    </row>
    <row r="3060" customFormat="false" ht="15" hidden="false" customHeight="false" outlineLevel="0" collapsed="false">
      <c r="A3060" s="45" t="n">
        <v>46309</v>
      </c>
      <c r="B3060" s="0" t="n">
        <v>13</v>
      </c>
      <c r="C3060" s="0" t="n">
        <v>7461</v>
      </c>
      <c r="E3060" s="0" t="n">
        <v>0</v>
      </c>
      <c r="F3060" s="39" t="s">
        <v>1440</v>
      </c>
      <c r="I3060" s="39" t="s">
        <v>136</v>
      </c>
      <c r="U3060" s="0" t="n">
        <v>230</v>
      </c>
      <c r="V3060" s="0" t="n">
        <v>0</v>
      </c>
      <c r="W3060" s="39" t="n">
        <f aca="false">IF(I3060="Male",0,1)</f>
        <v>1</v>
      </c>
      <c r="X3060" s="39" t="n">
        <f aca="false">IF(OR(I3060="DNB",I3060="Dry DNB"),1,0)</f>
        <v>0</v>
      </c>
      <c r="Y3060" s="39" t="n">
        <f aca="false">MATCH(A3060,DATAS,0)</f>
        <v>1</v>
      </c>
      <c r="Z3060" s="39" t="n">
        <f aca="false">IF(AND(E3060&gt;0,OR(AND(B3060&gt;=1,B3060&lt;=6),B3060=10)),1,0)</f>
        <v>0</v>
      </c>
      <c r="AA3060" s="39" t="n">
        <f aca="false">IF(AND(E3060&gt;0,B3060=10),1,0)</f>
        <v>0</v>
      </c>
      <c r="AB3060" s="0" t="str">
        <f aca="false">IF(AND(C3059=C3060,Y3059=Y3060-1),Z3059,"")</f>
        <v/>
      </c>
      <c r="AC3060" s="0" t="str">
        <f aca="false">IF(AND(C3059=C3060,Y3059=Y3060-1),AA3059,"")</f>
        <v/>
      </c>
      <c r="AD3060" s="0" t="str">
        <f aca="false">IF(Y3060=1,"",IF(AND(Z3060=1,AB3060&lt;&gt;1),1,0))</f>
        <v/>
      </c>
      <c r="AE3060" s="0" t="str">
        <f aca="false">IF(Y3060=1,"",IF(AND(AA3060=1,AC3060&lt;&gt;1),1,0))</f>
        <v/>
      </c>
      <c r="AF3060" s="45" t="str">
        <f aca="false">IF(AND(E3060&gt;0,Y3060&lt;1,NOT(AND(C3061=C3060,Y3061=Y3060+1))),INDEX(DATAS,Y3060+1),"")</f>
        <v/>
      </c>
      <c r="AG3060" s="45" t="str">
        <f aca="false">IF(AND(AA3060=1,Y3060&lt;1),IF(AND(C3061=C3060,Y3061=Y3060+1),IF(AA3061=1,"",INDEX(DATAS,Y3060+1)),INDEX(DATAS,Y3060+1)),"")</f>
        <v/>
      </c>
    </row>
    <row r="3061" customFormat="false" ht="15" hidden="false" customHeight="false" outlineLevel="0" collapsed="false">
      <c r="A3061" s="45" t="n">
        <v>46309</v>
      </c>
      <c r="B3061" s="0" t="n">
        <v>13</v>
      </c>
      <c r="C3061" s="0" t="n">
        <v>7462</v>
      </c>
      <c r="E3061" s="0" t="n">
        <v>0</v>
      </c>
      <c r="F3061" s="39" t="s">
        <v>1441</v>
      </c>
      <c r="I3061" s="39" t="s">
        <v>136</v>
      </c>
      <c r="U3061" s="0" t="n">
        <v>229</v>
      </c>
      <c r="V3061" s="0" t="n">
        <v>0</v>
      </c>
      <c r="W3061" s="39" t="n">
        <f aca="false">IF(I3061="Male",0,1)</f>
        <v>1</v>
      </c>
      <c r="X3061" s="39" t="n">
        <f aca="false">IF(OR(I3061="DNB",I3061="Dry DNB"),1,0)</f>
        <v>0</v>
      </c>
      <c r="Y3061" s="39" t="n">
        <f aca="false">MATCH(A3061,DATAS,0)</f>
        <v>1</v>
      </c>
      <c r="Z3061" s="39" t="n">
        <f aca="false">IF(AND(E3061&gt;0,OR(AND(B3061&gt;=1,B3061&lt;=6),B3061=10)),1,0)</f>
        <v>0</v>
      </c>
      <c r="AA3061" s="39" t="n">
        <f aca="false">IF(AND(E3061&gt;0,B3061=10),1,0)</f>
        <v>0</v>
      </c>
      <c r="AB3061" s="0" t="str">
        <f aca="false">IF(AND(C3060=C3061,Y3060=Y3061-1),Z3060,"")</f>
        <v/>
      </c>
      <c r="AC3061" s="0" t="str">
        <f aca="false">IF(AND(C3060=C3061,Y3060=Y3061-1),AA3060,"")</f>
        <v/>
      </c>
      <c r="AD3061" s="0" t="str">
        <f aca="false">IF(Y3061=1,"",IF(AND(Z3061=1,AB3061&lt;&gt;1),1,0))</f>
        <v/>
      </c>
      <c r="AE3061" s="0" t="str">
        <f aca="false">IF(Y3061=1,"",IF(AND(AA3061=1,AC3061&lt;&gt;1),1,0))</f>
        <v/>
      </c>
      <c r="AF3061" s="45" t="str">
        <f aca="false">IF(AND(E3061&gt;0,Y3061&lt;1,NOT(AND(C3062=C3061,Y3062=Y3061+1))),INDEX(DATAS,Y3061+1),"")</f>
        <v/>
      </c>
      <c r="AG3061" s="45" t="str">
        <f aca="false">IF(AND(AA3061=1,Y3061&lt;1),IF(AND(C3062=C3061,Y3062=Y3061+1),IF(AA3062=1,"",INDEX(DATAS,Y3061+1)),INDEX(DATAS,Y3061+1)),"")</f>
        <v/>
      </c>
    </row>
    <row r="3062" customFormat="false" ht="15" hidden="false" customHeight="false" outlineLevel="0" collapsed="false">
      <c r="A3062" s="45" t="n">
        <v>46309</v>
      </c>
      <c r="B3062" s="0" t="n">
        <v>13</v>
      </c>
      <c r="C3062" s="0" t="n">
        <v>7464</v>
      </c>
      <c r="E3062" s="0" t="n">
        <v>0</v>
      </c>
      <c r="F3062" s="39" t="s">
        <v>1442</v>
      </c>
      <c r="I3062" s="39" t="s">
        <v>136</v>
      </c>
      <c r="U3062" s="0" t="n">
        <v>228</v>
      </c>
      <c r="V3062" s="0" t="n">
        <v>0</v>
      </c>
      <c r="W3062" s="39" t="n">
        <f aca="false">IF(I3062="Male",0,1)</f>
        <v>1</v>
      </c>
      <c r="X3062" s="39" t="n">
        <f aca="false">IF(OR(I3062="DNB",I3062="Dry DNB"),1,0)</f>
        <v>0</v>
      </c>
      <c r="Y3062" s="39" t="n">
        <f aca="false">MATCH(A3062,DATAS,0)</f>
        <v>1</v>
      </c>
      <c r="Z3062" s="39" t="n">
        <f aca="false">IF(AND(E3062&gt;0,OR(AND(B3062&gt;=1,B3062&lt;=6),B3062=10)),1,0)</f>
        <v>0</v>
      </c>
      <c r="AA3062" s="39" t="n">
        <f aca="false">IF(AND(E3062&gt;0,B3062=10),1,0)</f>
        <v>0</v>
      </c>
      <c r="AB3062" s="0" t="str">
        <f aca="false">IF(AND(C3061=C3062,Y3061=Y3062-1),Z3061,"")</f>
        <v/>
      </c>
      <c r="AC3062" s="0" t="str">
        <f aca="false">IF(AND(C3061=C3062,Y3061=Y3062-1),AA3061,"")</f>
        <v/>
      </c>
      <c r="AD3062" s="0" t="str">
        <f aca="false">IF(Y3062=1,"",IF(AND(Z3062=1,AB3062&lt;&gt;1),1,0))</f>
        <v/>
      </c>
      <c r="AE3062" s="0" t="str">
        <f aca="false">IF(Y3062=1,"",IF(AND(AA3062=1,AC3062&lt;&gt;1),1,0))</f>
        <v/>
      </c>
      <c r="AF3062" s="45" t="str">
        <f aca="false">IF(AND(E3062&gt;0,Y3062&lt;1,NOT(AND(C3063=C3062,Y3063=Y3062+1))),INDEX(DATAS,Y3062+1),"")</f>
        <v/>
      </c>
      <c r="AG3062" s="45" t="str">
        <f aca="false">IF(AND(AA3062=1,Y3062&lt;1),IF(AND(C3063=C3062,Y3063=Y3062+1),IF(AA3063=1,"",INDEX(DATAS,Y3062+1)),INDEX(DATAS,Y3062+1)),"")</f>
        <v/>
      </c>
    </row>
    <row r="3063" customFormat="false" ht="15" hidden="false" customHeight="false" outlineLevel="0" collapsed="false">
      <c r="A3063" s="45" t="n">
        <v>46309</v>
      </c>
      <c r="B3063" s="0" t="n">
        <v>13</v>
      </c>
      <c r="C3063" s="0" t="n">
        <v>7465</v>
      </c>
      <c r="E3063" s="0" t="n">
        <v>0</v>
      </c>
      <c r="F3063" s="39" t="s">
        <v>1442</v>
      </c>
      <c r="I3063" s="39" t="s">
        <v>136</v>
      </c>
      <c r="U3063" s="0" t="n">
        <v>228</v>
      </c>
      <c r="V3063" s="0" t="n">
        <v>0</v>
      </c>
      <c r="W3063" s="39" t="n">
        <f aca="false">IF(I3063="Male",0,1)</f>
        <v>1</v>
      </c>
      <c r="X3063" s="39" t="n">
        <f aca="false">IF(OR(I3063="DNB",I3063="Dry DNB"),1,0)</f>
        <v>0</v>
      </c>
      <c r="Y3063" s="39" t="n">
        <f aca="false">MATCH(A3063,DATAS,0)</f>
        <v>1</v>
      </c>
      <c r="Z3063" s="39" t="n">
        <f aca="false">IF(AND(E3063&gt;0,OR(AND(B3063&gt;=1,B3063&lt;=6),B3063=10)),1,0)</f>
        <v>0</v>
      </c>
      <c r="AA3063" s="39" t="n">
        <f aca="false">IF(AND(E3063&gt;0,B3063=10),1,0)</f>
        <v>0</v>
      </c>
      <c r="AB3063" s="0" t="str">
        <f aca="false">IF(AND(C3062=C3063,Y3062=Y3063-1),Z3062,"")</f>
        <v/>
      </c>
      <c r="AC3063" s="0" t="str">
        <f aca="false">IF(AND(C3062=C3063,Y3062=Y3063-1),AA3062,"")</f>
        <v/>
      </c>
      <c r="AD3063" s="0" t="str">
        <f aca="false">IF(Y3063=1,"",IF(AND(Z3063=1,AB3063&lt;&gt;1),1,0))</f>
        <v/>
      </c>
      <c r="AE3063" s="0" t="str">
        <f aca="false">IF(Y3063=1,"",IF(AND(AA3063=1,AC3063&lt;&gt;1),1,0))</f>
        <v/>
      </c>
      <c r="AF3063" s="45" t="str">
        <f aca="false">IF(AND(E3063&gt;0,Y3063&lt;1,NOT(AND(C3064=C3063,Y3064=Y3063+1))),INDEX(DATAS,Y3063+1),"")</f>
        <v/>
      </c>
      <c r="AG3063" s="45" t="str">
        <f aca="false">IF(AND(AA3063=1,Y3063&lt;1),IF(AND(C3064=C3063,Y3064=Y3063+1),IF(AA3064=1,"",INDEX(DATAS,Y3063+1)),INDEX(DATAS,Y3063+1)),"")</f>
        <v/>
      </c>
    </row>
    <row r="3064" customFormat="false" ht="15" hidden="false" customHeight="false" outlineLevel="0" collapsed="false">
      <c r="A3064" s="45" t="n">
        <v>46309</v>
      </c>
      <c r="B3064" s="0" t="n">
        <v>13</v>
      </c>
      <c r="C3064" s="0" t="n">
        <v>7468</v>
      </c>
      <c r="E3064" s="0" t="n">
        <v>0</v>
      </c>
      <c r="F3064" s="39" t="s">
        <v>1443</v>
      </c>
      <c r="I3064" s="39" t="s">
        <v>136</v>
      </c>
      <c r="U3064" s="0" t="n">
        <v>227</v>
      </c>
      <c r="V3064" s="0" t="n">
        <v>0</v>
      </c>
      <c r="W3064" s="39" t="n">
        <f aca="false">IF(I3064="Male",0,1)</f>
        <v>1</v>
      </c>
      <c r="X3064" s="39" t="n">
        <f aca="false">IF(OR(I3064="DNB",I3064="Dry DNB"),1,0)</f>
        <v>0</v>
      </c>
      <c r="Y3064" s="39" t="n">
        <f aca="false">MATCH(A3064,DATAS,0)</f>
        <v>1</v>
      </c>
      <c r="Z3064" s="39" t="n">
        <f aca="false">IF(AND(E3064&gt;0,OR(AND(B3064&gt;=1,B3064&lt;=6),B3064=10)),1,0)</f>
        <v>0</v>
      </c>
      <c r="AA3064" s="39" t="n">
        <f aca="false">IF(AND(E3064&gt;0,B3064=10),1,0)</f>
        <v>0</v>
      </c>
      <c r="AB3064" s="0" t="str">
        <f aca="false">IF(AND(C3063=C3064,Y3063=Y3064-1),Z3063,"")</f>
        <v/>
      </c>
      <c r="AC3064" s="0" t="str">
        <f aca="false">IF(AND(C3063=C3064,Y3063=Y3064-1),AA3063,"")</f>
        <v/>
      </c>
      <c r="AD3064" s="0" t="str">
        <f aca="false">IF(Y3064=1,"",IF(AND(Z3064=1,AB3064&lt;&gt;1),1,0))</f>
        <v/>
      </c>
      <c r="AE3064" s="0" t="str">
        <f aca="false">IF(Y3064=1,"",IF(AND(AA3064=1,AC3064&lt;&gt;1),1,0))</f>
        <v/>
      </c>
      <c r="AF3064" s="45" t="str">
        <f aca="false">IF(AND(E3064&gt;0,Y3064&lt;1,NOT(AND(C3065=C3064,Y3065=Y3064+1))),INDEX(DATAS,Y3064+1),"")</f>
        <v/>
      </c>
      <c r="AG3064" s="45" t="str">
        <f aca="false">IF(AND(AA3064=1,Y3064&lt;1),IF(AND(C3065=C3064,Y3065=Y3064+1),IF(AA3065=1,"",INDEX(DATAS,Y3064+1)),INDEX(DATAS,Y3064+1)),"")</f>
        <v/>
      </c>
    </row>
    <row r="3065" customFormat="false" ht="15" hidden="false" customHeight="false" outlineLevel="0" collapsed="false">
      <c r="A3065" s="45" t="n">
        <v>46309</v>
      </c>
      <c r="B3065" s="0" t="n">
        <v>13</v>
      </c>
      <c r="C3065" s="0" t="n">
        <v>7469</v>
      </c>
      <c r="E3065" s="0" t="n">
        <v>0</v>
      </c>
      <c r="F3065" s="39" t="s">
        <v>1443</v>
      </c>
      <c r="I3065" s="39" t="s">
        <v>136</v>
      </c>
      <c r="U3065" s="0" t="n">
        <v>227</v>
      </c>
      <c r="V3065" s="0" t="n">
        <v>0</v>
      </c>
      <c r="W3065" s="39" t="n">
        <f aca="false">IF(I3065="Male",0,1)</f>
        <v>1</v>
      </c>
      <c r="X3065" s="39" t="n">
        <f aca="false">IF(OR(I3065="DNB",I3065="Dry DNB"),1,0)</f>
        <v>0</v>
      </c>
      <c r="Y3065" s="39" t="n">
        <f aca="false">MATCH(A3065,DATAS,0)</f>
        <v>1</v>
      </c>
      <c r="Z3065" s="39" t="n">
        <f aca="false">IF(AND(E3065&gt;0,OR(AND(B3065&gt;=1,B3065&lt;=6),B3065=10)),1,0)</f>
        <v>0</v>
      </c>
      <c r="AA3065" s="39" t="n">
        <f aca="false">IF(AND(E3065&gt;0,B3065=10),1,0)</f>
        <v>0</v>
      </c>
      <c r="AB3065" s="0" t="str">
        <f aca="false">IF(AND(C3064=C3065,Y3064=Y3065-1),Z3064,"")</f>
        <v/>
      </c>
      <c r="AC3065" s="0" t="str">
        <f aca="false">IF(AND(C3064=C3065,Y3064=Y3065-1),AA3064,"")</f>
        <v/>
      </c>
      <c r="AD3065" s="0" t="str">
        <f aca="false">IF(Y3065=1,"",IF(AND(Z3065=1,AB3065&lt;&gt;1),1,0))</f>
        <v/>
      </c>
      <c r="AE3065" s="0" t="str">
        <f aca="false">IF(Y3065=1,"",IF(AND(AA3065=1,AC3065&lt;&gt;1),1,0))</f>
        <v/>
      </c>
      <c r="AF3065" s="45" t="str">
        <f aca="false">IF(AND(E3065&gt;0,Y3065&lt;1,NOT(AND(C3066=C3065,Y3066=Y3065+1))),INDEX(DATAS,Y3065+1),"")</f>
        <v/>
      </c>
      <c r="AG3065" s="45" t="str">
        <f aca="false">IF(AND(AA3065=1,Y3065&lt;1),IF(AND(C3066=C3065,Y3066=Y3065+1),IF(AA3066=1,"",INDEX(DATAS,Y3065+1)),INDEX(DATAS,Y3065+1)),"")</f>
        <v/>
      </c>
    </row>
    <row r="3066" customFormat="false" ht="15" hidden="false" customHeight="false" outlineLevel="0" collapsed="false">
      <c r="A3066" s="45" t="n">
        <v>46309</v>
      </c>
      <c r="B3066" s="0" t="n">
        <v>13</v>
      </c>
      <c r="C3066" s="0" t="n">
        <v>7470</v>
      </c>
      <c r="E3066" s="0" t="n">
        <v>0</v>
      </c>
      <c r="F3066" s="39" t="s">
        <v>1444</v>
      </c>
      <c r="I3066" s="39" t="s">
        <v>136</v>
      </c>
      <c r="U3066" s="0" t="n">
        <v>226</v>
      </c>
      <c r="V3066" s="0" t="n">
        <v>0</v>
      </c>
      <c r="W3066" s="39" t="n">
        <f aca="false">IF(I3066="Male",0,1)</f>
        <v>1</v>
      </c>
      <c r="X3066" s="39" t="n">
        <f aca="false">IF(OR(I3066="DNB",I3066="Dry DNB"),1,0)</f>
        <v>0</v>
      </c>
      <c r="Y3066" s="39" t="n">
        <f aca="false">MATCH(A3066,DATAS,0)</f>
        <v>1</v>
      </c>
      <c r="Z3066" s="39" t="n">
        <f aca="false">IF(AND(E3066&gt;0,OR(AND(B3066&gt;=1,B3066&lt;=6),B3066=10)),1,0)</f>
        <v>0</v>
      </c>
      <c r="AA3066" s="39" t="n">
        <f aca="false">IF(AND(E3066&gt;0,B3066=10),1,0)</f>
        <v>0</v>
      </c>
      <c r="AB3066" s="0" t="str">
        <f aca="false">IF(AND(C3065=C3066,Y3065=Y3066-1),Z3065,"")</f>
        <v/>
      </c>
      <c r="AC3066" s="0" t="str">
        <f aca="false">IF(AND(C3065=C3066,Y3065=Y3066-1),AA3065,"")</f>
        <v/>
      </c>
      <c r="AD3066" s="0" t="str">
        <f aca="false">IF(Y3066=1,"",IF(AND(Z3066=1,AB3066&lt;&gt;1),1,0))</f>
        <v/>
      </c>
      <c r="AE3066" s="0" t="str">
        <f aca="false">IF(Y3066=1,"",IF(AND(AA3066=1,AC3066&lt;&gt;1),1,0))</f>
        <v/>
      </c>
      <c r="AF3066" s="45" t="str">
        <f aca="false">IF(AND(E3066&gt;0,Y3066&lt;1,NOT(AND(C3067=C3066,Y3067=Y3066+1))),INDEX(DATAS,Y3066+1),"")</f>
        <v/>
      </c>
      <c r="AG3066" s="45" t="str">
        <f aca="false">IF(AND(AA3066=1,Y3066&lt;1),IF(AND(C3067=C3066,Y3067=Y3066+1),IF(AA3067=1,"",INDEX(DATAS,Y3066+1)),INDEX(DATAS,Y3066+1)),"")</f>
        <v/>
      </c>
    </row>
    <row r="3067" customFormat="false" ht="15" hidden="false" customHeight="false" outlineLevel="0" collapsed="false">
      <c r="A3067" s="45" t="n">
        <v>46309</v>
      </c>
      <c r="B3067" s="0" t="n">
        <v>13</v>
      </c>
      <c r="C3067" s="0" t="n">
        <v>7471</v>
      </c>
      <c r="E3067" s="0" t="n">
        <v>0</v>
      </c>
      <c r="F3067" s="39" t="s">
        <v>1445</v>
      </c>
      <c r="I3067" s="39" t="s">
        <v>136</v>
      </c>
      <c r="U3067" s="0" t="n">
        <v>225</v>
      </c>
      <c r="V3067" s="0" t="n">
        <v>0</v>
      </c>
      <c r="W3067" s="39" t="n">
        <f aca="false">IF(I3067="Male",0,1)</f>
        <v>1</v>
      </c>
      <c r="X3067" s="39" t="n">
        <f aca="false">IF(OR(I3067="DNB",I3067="Dry DNB"),1,0)</f>
        <v>0</v>
      </c>
      <c r="Y3067" s="39" t="n">
        <f aca="false">MATCH(A3067,DATAS,0)</f>
        <v>1</v>
      </c>
      <c r="Z3067" s="39" t="n">
        <f aca="false">IF(AND(E3067&gt;0,OR(AND(B3067&gt;=1,B3067&lt;=6),B3067=10)),1,0)</f>
        <v>0</v>
      </c>
      <c r="AA3067" s="39" t="n">
        <f aca="false">IF(AND(E3067&gt;0,B3067=10),1,0)</f>
        <v>0</v>
      </c>
      <c r="AB3067" s="0" t="str">
        <f aca="false">IF(AND(C3066=C3067,Y3066=Y3067-1),Z3066,"")</f>
        <v/>
      </c>
      <c r="AC3067" s="0" t="str">
        <f aca="false">IF(AND(C3066=C3067,Y3066=Y3067-1),AA3066,"")</f>
        <v/>
      </c>
      <c r="AD3067" s="0" t="str">
        <f aca="false">IF(Y3067=1,"",IF(AND(Z3067=1,AB3067&lt;&gt;1),1,0))</f>
        <v/>
      </c>
      <c r="AE3067" s="0" t="str">
        <f aca="false">IF(Y3067=1,"",IF(AND(AA3067=1,AC3067&lt;&gt;1),1,0))</f>
        <v/>
      </c>
      <c r="AF3067" s="45" t="str">
        <f aca="false">IF(AND(E3067&gt;0,Y3067&lt;1,NOT(AND(C3068=C3067,Y3068=Y3067+1))),INDEX(DATAS,Y3067+1),"")</f>
        <v/>
      </c>
      <c r="AG3067" s="45" t="str">
        <f aca="false">IF(AND(AA3067=1,Y3067&lt;1),IF(AND(C3068=C3067,Y3068=Y3067+1),IF(AA3068=1,"",INDEX(DATAS,Y3067+1)),INDEX(DATAS,Y3067+1)),"")</f>
        <v/>
      </c>
    </row>
    <row r="3068" customFormat="false" ht="15" hidden="false" customHeight="false" outlineLevel="0" collapsed="false">
      <c r="A3068" s="45" t="n">
        <v>46309</v>
      </c>
      <c r="B3068" s="0" t="n">
        <v>13</v>
      </c>
      <c r="C3068" s="0" t="n">
        <v>7472</v>
      </c>
      <c r="E3068" s="0" t="n">
        <v>0</v>
      </c>
      <c r="F3068" s="39" t="s">
        <v>1445</v>
      </c>
      <c r="I3068" s="39" t="s">
        <v>136</v>
      </c>
      <c r="U3068" s="0" t="n">
        <v>225</v>
      </c>
      <c r="V3068" s="0" t="n">
        <v>0</v>
      </c>
      <c r="W3068" s="39" t="n">
        <f aca="false">IF(I3068="Male",0,1)</f>
        <v>1</v>
      </c>
      <c r="X3068" s="39" t="n">
        <f aca="false">IF(OR(I3068="DNB",I3068="Dry DNB"),1,0)</f>
        <v>0</v>
      </c>
      <c r="Y3068" s="39" t="n">
        <f aca="false">MATCH(A3068,DATAS,0)</f>
        <v>1</v>
      </c>
      <c r="Z3068" s="39" t="n">
        <f aca="false">IF(AND(E3068&gt;0,OR(AND(B3068&gt;=1,B3068&lt;=6),B3068=10)),1,0)</f>
        <v>0</v>
      </c>
      <c r="AA3068" s="39" t="n">
        <f aca="false">IF(AND(E3068&gt;0,B3068=10),1,0)</f>
        <v>0</v>
      </c>
      <c r="AB3068" s="0" t="str">
        <f aca="false">IF(AND(C3067=C3068,Y3067=Y3068-1),Z3067,"")</f>
        <v/>
      </c>
      <c r="AC3068" s="0" t="str">
        <f aca="false">IF(AND(C3067=C3068,Y3067=Y3068-1),AA3067,"")</f>
        <v/>
      </c>
      <c r="AD3068" s="0" t="str">
        <f aca="false">IF(Y3068=1,"",IF(AND(Z3068=1,AB3068&lt;&gt;1),1,0))</f>
        <v/>
      </c>
      <c r="AE3068" s="0" t="str">
        <f aca="false">IF(Y3068=1,"",IF(AND(AA3068=1,AC3068&lt;&gt;1),1,0))</f>
        <v/>
      </c>
      <c r="AF3068" s="45" t="str">
        <f aca="false">IF(AND(E3068&gt;0,Y3068&lt;1,NOT(AND(C3069=C3068,Y3069=Y3068+1))),INDEX(DATAS,Y3068+1),"")</f>
        <v/>
      </c>
      <c r="AG3068" s="45" t="str">
        <f aca="false">IF(AND(AA3068=1,Y3068&lt;1),IF(AND(C3069=C3068,Y3069=Y3068+1),IF(AA3069=1,"",INDEX(DATAS,Y3068+1)),INDEX(DATAS,Y3068+1)),"")</f>
        <v/>
      </c>
    </row>
    <row r="3069" customFormat="false" ht="15" hidden="false" customHeight="false" outlineLevel="0" collapsed="false">
      <c r="A3069" s="45" t="n">
        <v>46309</v>
      </c>
      <c r="B3069" s="0" t="n">
        <v>13</v>
      </c>
      <c r="C3069" s="0" t="n">
        <v>7473</v>
      </c>
      <c r="E3069" s="0" t="n">
        <v>0</v>
      </c>
      <c r="F3069" s="39" t="s">
        <v>1445</v>
      </c>
      <c r="I3069" s="39" t="s">
        <v>136</v>
      </c>
      <c r="U3069" s="0" t="n">
        <v>225</v>
      </c>
      <c r="V3069" s="0" t="n">
        <v>0</v>
      </c>
      <c r="W3069" s="39" t="n">
        <f aca="false">IF(I3069="Male",0,1)</f>
        <v>1</v>
      </c>
      <c r="X3069" s="39" t="n">
        <f aca="false">IF(OR(I3069="DNB",I3069="Dry DNB"),1,0)</f>
        <v>0</v>
      </c>
      <c r="Y3069" s="39" t="n">
        <f aca="false">MATCH(A3069,DATAS,0)</f>
        <v>1</v>
      </c>
      <c r="Z3069" s="39" t="n">
        <f aca="false">IF(AND(E3069&gt;0,OR(AND(B3069&gt;=1,B3069&lt;=6),B3069=10)),1,0)</f>
        <v>0</v>
      </c>
      <c r="AA3069" s="39" t="n">
        <f aca="false">IF(AND(E3069&gt;0,B3069=10),1,0)</f>
        <v>0</v>
      </c>
      <c r="AB3069" s="0" t="str">
        <f aca="false">IF(AND(C3068=C3069,Y3068=Y3069-1),Z3068,"")</f>
        <v/>
      </c>
      <c r="AC3069" s="0" t="str">
        <f aca="false">IF(AND(C3068=C3069,Y3068=Y3069-1),AA3068,"")</f>
        <v/>
      </c>
      <c r="AD3069" s="0" t="str">
        <f aca="false">IF(Y3069=1,"",IF(AND(Z3069=1,AB3069&lt;&gt;1),1,0))</f>
        <v/>
      </c>
      <c r="AE3069" s="0" t="str">
        <f aca="false">IF(Y3069=1,"",IF(AND(AA3069=1,AC3069&lt;&gt;1),1,0))</f>
        <v/>
      </c>
      <c r="AF3069" s="45" t="str">
        <f aca="false">IF(AND(E3069&gt;0,Y3069&lt;1,NOT(AND(C3070=C3069,Y3070=Y3069+1))),INDEX(DATAS,Y3069+1),"")</f>
        <v/>
      </c>
      <c r="AG3069" s="45" t="str">
        <f aca="false">IF(AND(AA3069=1,Y3069&lt;1),IF(AND(C3070=C3069,Y3070=Y3069+1),IF(AA3070=1,"",INDEX(DATAS,Y3069+1)),INDEX(DATAS,Y3069+1)),"")</f>
        <v/>
      </c>
    </row>
    <row r="3070" customFormat="false" ht="15" hidden="false" customHeight="false" outlineLevel="0" collapsed="false">
      <c r="A3070" s="45" t="n">
        <v>46309</v>
      </c>
      <c r="B3070" s="0" t="n">
        <v>13</v>
      </c>
      <c r="C3070" s="0" t="n">
        <v>7474</v>
      </c>
      <c r="E3070" s="0" t="n">
        <v>0</v>
      </c>
      <c r="F3070" s="39" t="s">
        <v>1446</v>
      </c>
      <c r="I3070" s="39" t="s">
        <v>136</v>
      </c>
      <c r="U3070" s="0" t="n">
        <v>224</v>
      </c>
      <c r="V3070" s="0" t="n">
        <v>0</v>
      </c>
      <c r="W3070" s="39" t="n">
        <f aca="false">IF(I3070="Male",0,1)</f>
        <v>1</v>
      </c>
      <c r="X3070" s="39" t="n">
        <f aca="false">IF(OR(I3070="DNB",I3070="Dry DNB"),1,0)</f>
        <v>0</v>
      </c>
      <c r="Y3070" s="39" t="n">
        <f aca="false">MATCH(A3070,DATAS,0)</f>
        <v>1</v>
      </c>
      <c r="Z3070" s="39" t="n">
        <f aca="false">IF(AND(E3070&gt;0,OR(AND(B3070&gt;=1,B3070&lt;=6),B3070=10)),1,0)</f>
        <v>0</v>
      </c>
      <c r="AA3070" s="39" t="n">
        <f aca="false">IF(AND(E3070&gt;0,B3070=10),1,0)</f>
        <v>0</v>
      </c>
      <c r="AB3070" s="0" t="str">
        <f aca="false">IF(AND(C3069=C3070,Y3069=Y3070-1),Z3069,"")</f>
        <v/>
      </c>
      <c r="AC3070" s="0" t="str">
        <f aca="false">IF(AND(C3069=C3070,Y3069=Y3070-1),AA3069,"")</f>
        <v/>
      </c>
      <c r="AD3070" s="0" t="str">
        <f aca="false">IF(Y3070=1,"",IF(AND(Z3070=1,AB3070&lt;&gt;1),1,0))</f>
        <v/>
      </c>
      <c r="AE3070" s="0" t="str">
        <f aca="false">IF(Y3070=1,"",IF(AND(AA3070=1,AC3070&lt;&gt;1),1,0))</f>
        <v/>
      </c>
      <c r="AF3070" s="45" t="str">
        <f aca="false">IF(AND(E3070&gt;0,Y3070&lt;1,NOT(AND(C3071=C3070,Y3071=Y3070+1))),INDEX(DATAS,Y3070+1),"")</f>
        <v/>
      </c>
      <c r="AG3070" s="45" t="str">
        <f aca="false">IF(AND(AA3070=1,Y3070&lt;1),IF(AND(C3071=C3070,Y3071=Y3070+1),IF(AA3071=1,"",INDEX(DATAS,Y3070+1)),INDEX(DATAS,Y3070+1)),"")</f>
        <v/>
      </c>
    </row>
    <row r="3071" customFormat="false" ht="15" hidden="false" customHeight="false" outlineLevel="0" collapsed="false">
      <c r="A3071" s="45" t="n">
        <v>46309</v>
      </c>
      <c r="B3071" s="0" t="n">
        <v>13</v>
      </c>
      <c r="C3071" s="0" t="n">
        <v>7476</v>
      </c>
      <c r="E3071" s="0" t="n">
        <v>0</v>
      </c>
      <c r="F3071" s="39" t="s">
        <v>1445</v>
      </c>
      <c r="I3071" s="39" t="s">
        <v>136</v>
      </c>
      <c r="U3071" s="0" t="n">
        <v>225</v>
      </c>
      <c r="V3071" s="0" t="n">
        <v>0</v>
      </c>
      <c r="W3071" s="39" t="n">
        <f aca="false">IF(I3071="Male",0,1)</f>
        <v>1</v>
      </c>
      <c r="X3071" s="39" t="n">
        <f aca="false">IF(OR(I3071="DNB",I3071="Dry DNB"),1,0)</f>
        <v>0</v>
      </c>
      <c r="Y3071" s="39" t="n">
        <f aca="false">MATCH(A3071,DATAS,0)</f>
        <v>1</v>
      </c>
      <c r="Z3071" s="39" t="n">
        <f aca="false">IF(AND(E3071&gt;0,OR(AND(B3071&gt;=1,B3071&lt;=6),B3071=10)),1,0)</f>
        <v>0</v>
      </c>
      <c r="AA3071" s="39" t="n">
        <f aca="false">IF(AND(E3071&gt;0,B3071=10),1,0)</f>
        <v>0</v>
      </c>
      <c r="AB3071" s="0" t="str">
        <f aca="false">IF(AND(C3070=C3071,Y3070=Y3071-1),Z3070,"")</f>
        <v/>
      </c>
      <c r="AC3071" s="0" t="str">
        <f aca="false">IF(AND(C3070=C3071,Y3070=Y3071-1),AA3070,"")</f>
        <v/>
      </c>
      <c r="AD3071" s="0" t="str">
        <f aca="false">IF(Y3071=1,"",IF(AND(Z3071=1,AB3071&lt;&gt;1),1,0))</f>
        <v/>
      </c>
      <c r="AE3071" s="0" t="str">
        <f aca="false">IF(Y3071=1,"",IF(AND(AA3071=1,AC3071&lt;&gt;1),1,0))</f>
        <v/>
      </c>
      <c r="AF3071" s="45" t="str">
        <f aca="false">IF(AND(E3071&gt;0,Y3071&lt;1,NOT(AND(C3072=C3071,Y3072=Y3071+1))),INDEX(DATAS,Y3071+1),"")</f>
        <v/>
      </c>
      <c r="AG3071" s="45" t="str">
        <f aca="false">IF(AND(AA3071=1,Y3071&lt;1),IF(AND(C3072=C3071,Y3072=Y3071+1),IF(AA3072=1,"",INDEX(DATAS,Y3071+1)),INDEX(DATAS,Y3071+1)),"")</f>
        <v/>
      </c>
    </row>
    <row r="3072" customFormat="false" ht="15" hidden="false" customHeight="false" outlineLevel="0" collapsed="false">
      <c r="A3072" s="45" t="n">
        <v>46309</v>
      </c>
      <c r="B3072" s="0" t="n">
        <v>13</v>
      </c>
      <c r="C3072" s="0" t="n">
        <v>7477</v>
      </c>
      <c r="E3072" s="0" t="n">
        <v>0</v>
      </c>
      <c r="F3072" s="39" t="s">
        <v>1446</v>
      </c>
      <c r="I3072" s="39" t="s">
        <v>136</v>
      </c>
      <c r="U3072" s="0" t="n">
        <v>224</v>
      </c>
      <c r="V3072" s="0" t="n">
        <v>0</v>
      </c>
      <c r="W3072" s="39" t="n">
        <f aca="false">IF(I3072="Male",0,1)</f>
        <v>1</v>
      </c>
      <c r="X3072" s="39" t="n">
        <f aca="false">IF(OR(I3072="DNB",I3072="Dry DNB"),1,0)</f>
        <v>0</v>
      </c>
      <c r="Y3072" s="39" t="n">
        <f aca="false">MATCH(A3072,DATAS,0)</f>
        <v>1</v>
      </c>
      <c r="Z3072" s="39" t="n">
        <f aca="false">IF(AND(E3072&gt;0,OR(AND(B3072&gt;=1,B3072&lt;=6),B3072=10)),1,0)</f>
        <v>0</v>
      </c>
      <c r="AA3072" s="39" t="n">
        <f aca="false">IF(AND(E3072&gt;0,B3072=10),1,0)</f>
        <v>0</v>
      </c>
      <c r="AB3072" s="0" t="str">
        <f aca="false">IF(AND(C3071=C3072,Y3071=Y3072-1),Z3071,"")</f>
        <v/>
      </c>
      <c r="AC3072" s="0" t="str">
        <f aca="false">IF(AND(C3071=C3072,Y3071=Y3072-1),AA3071,"")</f>
        <v/>
      </c>
      <c r="AD3072" s="0" t="str">
        <f aca="false">IF(Y3072=1,"",IF(AND(Z3072=1,AB3072&lt;&gt;1),1,0))</f>
        <v/>
      </c>
      <c r="AE3072" s="0" t="str">
        <f aca="false">IF(Y3072=1,"",IF(AND(AA3072=1,AC3072&lt;&gt;1),1,0))</f>
        <v/>
      </c>
      <c r="AF3072" s="45" t="str">
        <f aca="false">IF(AND(E3072&gt;0,Y3072&lt;1,NOT(AND(C3073=C3072,Y3073=Y3072+1))),INDEX(DATAS,Y3072+1),"")</f>
        <v/>
      </c>
      <c r="AG3072" s="45" t="str">
        <f aca="false">IF(AND(AA3072=1,Y3072&lt;1),IF(AND(C3073=C3072,Y3073=Y3072+1),IF(AA3073=1,"",INDEX(DATAS,Y3072+1)),INDEX(DATAS,Y3072+1)),"")</f>
        <v/>
      </c>
    </row>
    <row r="3073" customFormat="false" ht="15" hidden="false" customHeight="false" outlineLevel="0" collapsed="false">
      <c r="A3073" s="45" t="n">
        <v>46309</v>
      </c>
      <c r="B3073" s="0" t="n">
        <v>13</v>
      </c>
      <c r="C3073" s="0" t="n">
        <v>7478</v>
      </c>
      <c r="E3073" s="0" t="n">
        <v>0</v>
      </c>
      <c r="F3073" s="39" t="s">
        <v>1446</v>
      </c>
      <c r="I3073" s="39" t="s">
        <v>136</v>
      </c>
      <c r="U3073" s="0" t="n">
        <v>224</v>
      </c>
      <c r="V3073" s="0" t="n">
        <v>0</v>
      </c>
      <c r="W3073" s="39" t="n">
        <f aca="false">IF(I3073="Male",0,1)</f>
        <v>1</v>
      </c>
      <c r="X3073" s="39" t="n">
        <f aca="false">IF(OR(I3073="DNB",I3073="Dry DNB"),1,0)</f>
        <v>0</v>
      </c>
      <c r="Y3073" s="39" t="n">
        <f aca="false">MATCH(A3073,DATAS,0)</f>
        <v>1</v>
      </c>
      <c r="Z3073" s="39" t="n">
        <f aca="false">IF(AND(E3073&gt;0,OR(AND(B3073&gt;=1,B3073&lt;=6),B3073=10)),1,0)</f>
        <v>0</v>
      </c>
      <c r="AA3073" s="39" t="n">
        <f aca="false">IF(AND(E3073&gt;0,B3073=10),1,0)</f>
        <v>0</v>
      </c>
      <c r="AB3073" s="0" t="str">
        <f aca="false">IF(AND(C3072=C3073,Y3072=Y3073-1),Z3072,"")</f>
        <v/>
      </c>
      <c r="AC3073" s="0" t="str">
        <f aca="false">IF(AND(C3072=C3073,Y3072=Y3073-1),AA3072,"")</f>
        <v/>
      </c>
      <c r="AD3073" s="0" t="str">
        <f aca="false">IF(Y3073=1,"",IF(AND(Z3073=1,AB3073&lt;&gt;1),1,0))</f>
        <v/>
      </c>
      <c r="AE3073" s="0" t="str">
        <f aca="false">IF(Y3073=1,"",IF(AND(AA3073=1,AC3073&lt;&gt;1),1,0))</f>
        <v/>
      </c>
      <c r="AF3073" s="45" t="str">
        <f aca="false">IF(AND(E3073&gt;0,Y3073&lt;1,NOT(AND(C3074=C3073,Y3074=Y3073+1))),INDEX(DATAS,Y3073+1),"")</f>
        <v/>
      </c>
      <c r="AG3073" s="45" t="str">
        <f aca="false">IF(AND(AA3073=1,Y3073&lt;1),IF(AND(C3074=C3073,Y3074=Y3073+1),IF(AA3074=1,"",INDEX(DATAS,Y3073+1)),INDEX(DATAS,Y3073+1)),"")</f>
        <v/>
      </c>
    </row>
    <row r="3074" customFormat="false" ht="15" hidden="false" customHeight="false" outlineLevel="0" collapsed="false">
      <c r="A3074" s="45" t="n">
        <v>46309</v>
      </c>
      <c r="B3074" s="0" t="n">
        <v>13</v>
      </c>
      <c r="C3074" s="0" t="n">
        <v>7479</v>
      </c>
      <c r="E3074" s="0" t="n">
        <v>0</v>
      </c>
      <c r="F3074" s="39" t="s">
        <v>1447</v>
      </c>
      <c r="I3074" s="39" t="s">
        <v>136</v>
      </c>
      <c r="U3074" s="0" t="n">
        <v>223</v>
      </c>
      <c r="V3074" s="0" t="n">
        <v>0</v>
      </c>
      <c r="W3074" s="39" t="n">
        <f aca="false">IF(I3074="Male",0,1)</f>
        <v>1</v>
      </c>
      <c r="X3074" s="39" t="n">
        <f aca="false">IF(OR(I3074="DNB",I3074="Dry DNB"),1,0)</f>
        <v>0</v>
      </c>
      <c r="Y3074" s="39" t="n">
        <f aca="false">MATCH(A3074,DATAS,0)</f>
        <v>1</v>
      </c>
      <c r="Z3074" s="39" t="n">
        <f aca="false">IF(AND(E3074&gt;0,OR(AND(B3074&gt;=1,B3074&lt;=6),B3074=10)),1,0)</f>
        <v>0</v>
      </c>
      <c r="AA3074" s="39" t="n">
        <f aca="false">IF(AND(E3074&gt;0,B3074=10),1,0)</f>
        <v>0</v>
      </c>
      <c r="AB3074" s="0" t="str">
        <f aca="false">IF(AND(C3073=C3074,Y3073=Y3074-1),Z3073,"")</f>
        <v/>
      </c>
      <c r="AC3074" s="0" t="str">
        <f aca="false">IF(AND(C3073=C3074,Y3073=Y3074-1),AA3073,"")</f>
        <v/>
      </c>
      <c r="AD3074" s="0" t="str">
        <f aca="false">IF(Y3074=1,"",IF(AND(Z3074=1,AB3074&lt;&gt;1),1,0))</f>
        <v/>
      </c>
      <c r="AE3074" s="0" t="str">
        <f aca="false">IF(Y3074=1,"",IF(AND(AA3074=1,AC3074&lt;&gt;1),1,0))</f>
        <v/>
      </c>
      <c r="AF3074" s="45" t="str">
        <f aca="false">IF(AND(E3074&gt;0,Y3074&lt;1,NOT(AND(C3075=C3074,Y3075=Y3074+1))),INDEX(DATAS,Y3074+1),"")</f>
        <v/>
      </c>
      <c r="AG3074" s="45" t="str">
        <f aca="false">IF(AND(AA3074=1,Y3074&lt;1),IF(AND(C3075=C3074,Y3075=Y3074+1),IF(AA3075=1,"",INDEX(DATAS,Y3074+1)),INDEX(DATAS,Y3074+1)),"")</f>
        <v/>
      </c>
    </row>
    <row r="3075" customFormat="false" ht="15" hidden="false" customHeight="false" outlineLevel="0" collapsed="false">
      <c r="A3075" s="45" t="n">
        <v>46309</v>
      </c>
      <c r="B3075" s="0" t="n">
        <v>13</v>
      </c>
      <c r="C3075" s="0" t="n">
        <v>7480</v>
      </c>
      <c r="E3075" s="0" t="n">
        <v>0</v>
      </c>
      <c r="F3075" s="39" t="s">
        <v>1448</v>
      </c>
      <c r="I3075" s="39" t="s">
        <v>136</v>
      </c>
      <c r="U3075" s="0" t="n">
        <v>222</v>
      </c>
      <c r="V3075" s="0" t="n">
        <v>0</v>
      </c>
      <c r="W3075" s="39" t="n">
        <f aca="false">IF(I3075="Male",0,1)</f>
        <v>1</v>
      </c>
      <c r="X3075" s="39" t="n">
        <f aca="false">IF(OR(I3075="DNB",I3075="Dry DNB"),1,0)</f>
        <v>0</v>
      </c>
      <c r="Y3075" s="39" t="n">
        <f aca="false">MATCH(A3075,DATAS,0)</f>
        <v>1</v>
      </c>
      <c r="Z3075" s="39" t="n">
        <f aca="false">IF(AND(E3075&gt;0,OR(AND(B3075&gt;=1,B3075&lt;=6),B3075=10)),1,0)</f>
        <v>0</v>
      </c>
      <c r="AA3075" s="39" t="n">
        <f aca="false">IF(AND(E3075&gt;0,B3075=10),1,0)</f>
        <v>0</v>
      </c>
      <c r="AB3075" s="0" t="str">
        <f aca="false">IF(AND(C3074=C3075,Y3074=Y3075-1),Z3074,"")</f>
        <v/>
      </c>
      <c r="AC3075" s="0" t="str">
        <f aca="false">IF(AND(C3074=C3075,Y3074=Y3075-1),AA3074,"")</f>
        <v/>
      </c>
      <c r="AD3075" s="0" t="str">
        <f aca="false">IF(Y3075=1,"",IF(AND(Z3075=1,AB3075&lt;&gt;1),1,0))</f>
        <v/>
      </c>
      <c r="AE3075" s="0" t="str">
        <f aca="false">IF(Y3075=1,"",IF(AND(AA3075=1,AC3075&lt;&gt;1),1,0))</f>
        <v/>
      </c>
      <c r="AF3075" s="45" t="str">
        <f aca="false">IF(AND(E3075&gt;0,Y3075&lt;1,NOT(AND(C3076=C3075,Y3076=Y3075+1))),INDEX(DATAS,Y3075+1),"")</f>
        <v/>
      </c>
      <c r="AG3075" s="45" t="str">
        <f aca="false">IF(AND(AA3075=1,Y3075&lt;1),IF(AND(C3076=C3075,Y3076=Y3075+1),IF(AA3076=1,"",INDEX(DATAS,Y3075+1)),INDEX(DATAS,Y3075+1)),"")</f>
        <v/>
      </c>
    </row>
    <row r="3076" customFormat="false" ht="15" hidden="false" customHeight="false" outlineLevel="0" collapsed="false">
      <c r="A3076" s="45" t="n">
        <v>46309</v>
      </c>
      <c r="B3076" s="0" t="n">
        <v>13</v>
      </c>
      <c r="C3076" s="0" t="n">
        <v>7481</v>
      </c>
      <c r="E3076" s="0" t="n">
        <v>0</v>
      </c>
      <c r="F3076" s="39" t="s">
        <v>1448</v>
      </c>
      <c r="I3076" s="39" t="s">
        <v>136</v>
      </c>
      <c r="U3076" s="0" t="n">
        <v>222</v>
      </c>
      <c r="V3076" s="0" t="n">
        <v>0</v>
      </c>
      <c r="W3076" s="39" t="n">
        <f aca="false">IF(I3076="Male",0,1)</f>
        <v>1</v>
      </c>
      <c r="X3076" s="39" t="n">
        <f aca="false">IF(OR(I3076="DNB",I3076="Dry DNB"),1,0)</f>
        <v>0</v>
      </c>
      <c r="Y3076" s="39" t="n">
        <f aca="false">MATCH(A3076,DATAS,0)</f>
        <v>1</v>
      </c>
      <c r="Z3076" s="39" t="n">
        <f aca="false">IF(AND(E3076&gt;0,OR(AND(B3076&gt;=1,B3076&lt;=6),B3076=10)),1,0)</f>
        <v>0</v>
      </c>
      <c r="AA3076" s="39" t="n">
        <f aca="false">IF(AND(E3076&gt;0,B3076=10),1,0)</f>
        <v>0</v>
      </c>
      <c r="AB3076" s="0" t="str">
        <f aca="false">IF(AND(C3075=C3076,Y3075=Y3076-1),Z3075,"")</f>
        <v/>
      </c>
      <c r="AC3076" s="0" t="str">
        <f aca="false">IF(AND(C3075=C3076,Y3075=Y3076-1),AA3075,"")</f>
        <v/>
      </c>
      <c r="AD3076" s="0" t="str">
        <f aca="false">IF(Y3076=1,"",IF(AND(Z3076=1,AB3076&lt;&gt;1),1,0))</f>
        <v/>
      </c>
      <c r="AE3076" s="0" t="str">
        <f aca="false">IF(Y3076=1,"",IF(AND(AA3076=1,AC3076&lt;&gt;1),1,0))</f>
        <v/>
      </c>
      <c r="AF3076" s="45" t="str">
        <f aca="false">IF(AND(E3076&gt;0,Y3076&lt;1,NOT(AND(C3077=C3076,Y3077=Y3076+1))),INDEX(DATAS,Y3076+1),"")</f>
        <v/>
      </c>
      <c r="AG3076" s="45" t="str">
        <f aca="false">IF(AND(AA3076=1,Y3076&lt;1),IF(AND(C3077=C3076,Y3077=Y3076+1),IF(AA3077=1,"",INDEX(DATAS,Y3076+1)),INDEX(DATAS,Y3076+1)),"")</f>
        <v/>
      </c>
    </row>
    <row r="3077" customFormat="false" ht="15" hidden="false" customHeight="false" outlineLevel="0" collapsed="false">
      <c r="A3077" s="45" t="n">
        <v>46309</v>
      </c>
      <c r="B3077" s="0" t="n">
        <v>13</v>
      </c>
      <c r="C3077" s="0" t="n">
        <v>7482</v>
      </c>
      <c r="E3077" s="0" t="n">
        <v>0</v>
      </c>
      <c r="F3077" s="39" t="s">
        <v>1448</v>
      </c>
      <c r="I3077" s="39" t="s">
        <v>136</v>
      </c>
      <c r="U3077" s="0" t="n">
        <v>222</v>
      </c>
      <c r="V3077" s="0" t="n">
        <v>0</v>
      </c>
      <c r="W3077" s="39" t="n">
        <f aca="false">IF(I3077="Male",0,1)</f>
        <v>1</v>
      </c>
      <c r="X3077" s="39" t="n">
        <f aca="false">IF(OR(I3077="DNB",I3077="Dry DNB"),1,0)</f>
        <v>0</v>
      </c>
      <c r="Y3077" s="39" t="n">
        <f aca="false">MATCH(A3077,DATAS,0)</f>
        <v>1</v>
      </c>
      <c r="Z3077" s="39" t="n">
        <f aca="false">IF(AND(E3077&gt;0,OR(AND(B3077&gt;=1,B3077&lt;=6),B3077=10)),1,0)</f>
        <v>0</v>
      </c>
      <c r="AA3077" s="39" t="n">
        <f aca="false">IF(AND(E3077&gt;0,B3077=10),1,0)</f>
        <v>0</v>
      </c>
      <c r="AB3077" s="0" t="str">
        <f aca="false">IF(AND(C3076=C3077,Y3076=Y3077-1),Z3076,"")</f>
        <v/>
      </c>
      <c r="AC3077" s="0" t="str">
        <f aca="false">IF(AND(C3076=C3077,Y3076=Y3077-1),AA3076,"")</f>
        <v/>
      </c>
      <c r="AD3077" s="0" t="str">
        <f aca="false">IF(Y3077=1,"",IF(AND(Z3077=1,AB3077&lt;&gt;1),1,0))</f>
        <v/>
      </c>
      <c r="AE3077" s="0" t="str">
        <f aca="false">IF(Y3077=1,"",IF(AND(AA3077=1,AC3077&lt;&gt;1),1,0))</f>
        <v/>
      </c>
      <c r="AF3077" s="45" t="str">
        <f aca="false">IF(AND(E3077&gt;0,Y3077&lt;1,NOT(AND(C3078=C3077,Y3078=Y3077+1))),INDEX(DATAS,Y3077+1),"")</f>
        <v/>
      </c>
      <c r="AG3077" s="45" t="str">
        <f aca="false">IF(AND(AA3077=1,Y3077&lt;1),IF(AND(C3078=C3077,Y3078=Y3077+1),IF(AA3078=1,"",INDEX(DATAS,Y3077+1)),INDEX(DATAS,Y3077+1)),"")</f>
        <v/>
      </c>
    </row>
    <row r="3078" customFormat="false" ht="15" hidden="false" customHeight="false" outlineLevel="0" collapsed="false">
      <c r="A3078" s="45" t="n">
        <v>46309</v>
      </c>
      <c r="B3078" s="0" t="n">
        <v>13</v>
      </c>
      <c r="C3078" s="0" t="n">
        <v>7483</v>
      </c>
      <c r="E3078" s="0" t="n">
        <v>0</v>
      </c>
      <c r="F3078" s="39" t="s">
        <v>1448</v>
      </c>
      <c r="I3078" s="39" t="s">
        <v>136</v>
      </c>
      <c r="U3078" s="0" t="n">
        <v>222</v>
      </c>
      <c r="V3078" s="0" t="n">
        <v>0</v>
      </c>
      <c r="W3078" s="39" t="n">
        <f aca="false">IF(I3078="Male",0,1)</f>
        <v>1</v>
      </c>
      <c r="X3078" s="39" t="n">
        <f aca="false">IF(OR(I3078="DNB",I3078="Dry DNB"),1,0)</f>
        <v>0</v>
      </c>
      <c r="Y3078" s="39" t="n">
        <f aca="false">MATCH(A3078,DATAS,0)</f>
        <v>1</v>
      </c>
      <c r="Z3078" s="39" t="n">
        <f aca="false">IF(AND(E3078&gt;0,OR(AND(B3078&gt;=1,B3078&lt;=6),B3078=10)),1,0)</f>
        <v>0</v>
      </c>
      <c r="AA3078" s="39" t="n">
        <f aca="false">IF(AND(E3078&gt;0,B3078=10),1,0)</f>
        <v>0</v>
      </c>
      <c r="AB3078" s="0" t="str">
        <f aca="false">IF(AND(C3077=C3078,Y3077=Y3078-1),Z3077,"")</f>
        <v/>
      </c>
      <c r="AC3078" s="0" t="str">
        <f aca="false">IF(AND(C3077=C3078,Y3077=Y3078-1),AA3077,"")</f>
        <v/>
      </c>
      <c r="AD3078" s="0" t="str">
        <f aca="false">IF(Y3078=1,"",IF(AND(Z3078=1,AB3078&lt;&gt;1),1,0))</f>
        <v/>
      </c>
      <c r="AE3078" s="0" t="str">
        <f aca="false">IF(Y3078=1,"",IF(AND(AA3078=1,AC3078&lt;&gt;1),1,0))</f>
        <v/>
      </c>
      <c r="AF3078" s="45" t="str">
        <f aca="false">IF(AND(E3078&gt;0,Y3078&lt;1,NOT(AND(C3079=C3078,Y3079=Y3078+1))),INDEX(DATAS,Y3078+1),"")</f>
        <v/>
      </c>
      <c r="AG3078" s="45" t="str">
        <f aca="false">IF(AND(AA3078=1,Y3078&lt;1),IF(AND(C3079=C3078,Y3079=Y3078+1),IF(AA3079=1,"",INDEX(DATAS,Y3078+1)),INDEX(DATAS,Y3078+1)),"")</f>
        <v/>
      </c>
    </row>
    <row r="3079" customFormat="false" ht="15" hidden="false" customHeight="false" outlineLevel="0" collapsed="false">
      <c r="A3079" s="45" t="n">
        <v>46309</v>
      </c>
      <c r="B3079" s="0" t="n">
        <v>13</v>
      </c>
      <c r="C3079" s="0" t="n">
        <v>7484</v>
      </c>
      <c r="E3079" s="0" t="n">
        <v>0</v>
      </c>
      <c r="F3079" s="39" t="s">
        <v>1449</v>
      </c>
      <c r="I3079" s="39" t="s">
        <v>136</v>
      </c>
      <c r="U3079" s="0" t="n">
        <v>221</v>
      </c>
      <c r="V3079" s="0" t="n">
        <v>0</v>
      </c>
      <c r="W3079" s="39" t="n">
        <f aca="false">IF(I3079="Male",0,1)</f>
        <v>1</v>
      </c>
      <c r="X3079" s="39" t="n">
        <f aca="false">IF(OR(I3079="DNB",I3079="Dry DNB"),1,0)</f>
        <v>0</v>
      </c>
      <c r="Y3079" s="39" t="n">
        <f aca="false">MATCH(A3079,DATAS,0)</f>
        <v>1</v>
      </c>
      <c r="Z3079" s="39" t="n">
        <f aca="false">IF(AND(E3079&gt;0,OR(AND(B3079&gt;=1,B3079&lt;=6),B3079=10)),1,0)</f>
        <v>0</v>
      </c>
      <c r="AA3079" s="39" t="n">
        <f aca="false">IF(AND(E3079&gt;0,B3079=10),1,0)</f>
        <v>0</v>
      </c>
      <c r="AB3079" s="0" t="str">
        <f aca="false">IF(AND(C3078=C3079,Y3078=Y3079-1),Z3078,"")</f>
        <v/>
      </c>
      <c r="AC3079" s="0" t="str">
        <f aca="false">IF(AND(C3078=C3079,Y3078=Y3079-1),AA3078,"")</f>
        <v/>
      </c>
      <c r="AD3079" s="0" t="str">
        <f aca="false">IF(Y3079=1,"",IF(AND(Z3079=1,AB3079&lt;&gt;1),1,0))</f>
        <v/>
      </c>
      <c r="AE3079" s="0" t="str">
        <f aca="false">IF(Y3079=1,"",IF(AND(AA3079=1,AC3079&lt;&gt;1),1,0))</f>
        <v/>
      </c>
      <c r="AF3079" s="45" t="str">
        <f aca="false">IF(AND(E3079&gt;0,Y3079&lt;1,NOT(AND(C3080=C3079,Y3080=Y3079+1))),INDEX(DATAS,Y3079+1),"")</f>
        <v/>
      </c>
      <c r="AG3079" s="45" t="str">
        <f aca="false">IF(AND(AA3079=1,Y3079&lt;1),IF(AND(C3080=C3079,Y3080=Y3079+1),IF(AA3080=1,"",INDEX(DATAS,Y3079+1)),INDEX(DATAS,Y3079+1)),"")</f>
        <v/>
      </c>
    </row>
    <row r="3080" customFormat="false" ht="15" hidden="false" customHeight="false" outlineLevel="0" collapsed="false">
      <c r="A3080" s="45" t="n">
        <v>46309</v>
      </c>
      <c r="B3080" s="0" t="n">
        <v>13</v>
      </c>
      <c r="C3080" s="0" t="n">
        <v>7485</v>
      </c>
      <c r="E3080" s="0" t="n">
        <v>0</v>
      </c>
      <c r="F3080" s="39" t="s">
        <v>1449</v>
      </c>
      <c r="I3080" s="39" t="s">
        <v>136</v>
      </c>
      <c r="U3080" s="0" t="n">
        <v>221</v>
      </c>
      <c r="V3080" s="0" t="n">
        <v>0</v>
      </c>
      <c r="W3080" s="39" t="n">
        <f aca="false">IF(I3080="Male",0,1)</f>
        <v>1</v>
      </c>
      <c r="X3080" s="39" t="n">
        <f aca="false">IF(OR(I3080="DNB",I3080="Dry DNB"),1,0)</f>
        <v>0</v>
      </c>
      <c r="Y3080" s="39" t="n">
        <f aca="false">MATCH(A3080,DATAS,0)</f>
        <v>1</v>
      </c>
      <c r="Z3080" s="39" t="n">
        <f aca="false">IF(AND(E3080&gt;0,OR(AND(B3080&gt;=1,B3080&lt;=6),B3080=10)),1,0)</f>
        <v>0</v>
      </c>
      <c r="AA3080" s="39" t="n">
        <f aca="false">IF(AND(E3080&gt;0,B3080=10),1,0)</f>
        <v>0</v>
      </c>
      <c r="AB3080" s="0" t="str">
        <f aca="false">IF(AND(C3079=C3080,Y3079=Y3080-1),Z3079,"")</f>
        <v/>
      </c>
      <c r="AC3080" s="0" t="str">
        <f aca="false">IF(AND(C3079=C3080,Y3079=Y3080-1),AA3079,"")</f>
        <v/>
      </c>
      <c r="AD3080" s="0" t="str">
        <f aca="false">IF(Y3080=1,"",IF(AND(Z3080=1,AB3080&lt;&gt;1),1,0))</f>
        <v/>
      </c>
      <c r="AE3080" s="0" t="str">
        <f aca="false">IF(Y3080=1,"",IF(AND(AA3080=1,AC3080&lt;&gt;1),1,0))</f>
        <v/>
      </c>
      <c r="AF3080" s="45" t="str">
        <f aca="false">IF(AND(E3080&gt;0,Y3080&lt;1,NOT(AND(C3081=C3080,Y3081=Y3080+1))),INDEX(DATAS,Y3080+1),"")</f>
        <v/>
      </c>
      <c r="AG3080" s="45" t="str">
        <f aca="false">IF(AND(AA3080=1,Y3080&lt;1),IF(AND(C3081=C3080,Y3081=Y3080+1),IF(AA3081=1,"",INDEX(DATAS,Y3080+1)),INDEX(DATAS,Y3080+1)),"")</f>
        <v/>
      </c>
    </row>
    <row r="3081" customFormat="false" ht="15" hidden="false" customHeight="false" outlineLevel="0" collapsed="false">
      <c r="A3081" s="45" t="n">
        <v>46309</v>
      </c>
      <c r="B3081" s="0" t="n">
        <v>13</v>
      </c>
      <c r="C3081" s="0" t="n">
        <v>7487</v>
      </c>
      <c r="E3081" s="0" t="n">
        <v>0</v>
      </c>
      <c r="F3081" s="39" t="s">
        <v>1449</v>
      </c>
      <c r="I3081" s="39" t="s">
        <v>136</v>
      </c>
      <c r="U3081" s="0" t="n">
        <v>221</v>
      </c>
      <c r="V3081" s="0" t="n">
        <v>0</v>
      </c>
      <c r="W3081" s="39" t="n">
        <f aca="false">IF(I3081="Male",0,1)</f>
        <v>1</v>
      </c>
      <c r="X3081" s="39" t="n">
        <f aca="false">IF(OR(I3081="DNB",I3081="Dry DNB"),1,0)</f>
        <v>0</v>
      </c>
      <c r="Y3081" s="39" t="n">
        <f aca="false">MATCH(A3081,DATAS,0)</f>
        <v>1</v>
      </c>
      <c r="Z3081" s="39" t="n">
        <f aca="false">IF(AND(E3081&gt;0,OR(AND(B3081&gt;=1,B3081&lt;=6),B3081=10)),1,0)</f>
        <v>0</v>
      </c>
      <c r="AA3081" s="39" t="n">
        <f aca="false">IF(AND(E3081&gt;0,B3081=10),1,0)</f>
        <v>0</v>
      </c>
      <c r="AB3081" s="0" t="str">
        <f aca="false">IF(AND(C3080=C3081,Y3080=Y3081-1),Z3080,"")</f>
        <v/>
      </c>
      <c r="AC3081" s="0" t="str">
        <f aca="false">IF(AND(C3080=C3081,Y3080=Y3081-1),AA3080,"")</f>
        <v/>
      </c>
      <c r="AD3081" s="0" t="str">
        <f aca="false">IF(Y3081=1,"",IF(AND(Z3081=1,AB3081&lt;&gt;1),1,0))</f>
        <v/>
      </c>
      <c r="AE3081" s="0" t="str">
        <f aca="false">IF(Y3081=1,"",IF(AND(AA3081=1,AC3081&lt;&gt;1),1,0))</f>
        <v/>
      </c>
      <c r="AF3081" s="45" t="str">
        <f aca="false">IF(AND(E3081&gt;0,Y3081&lt;1,NOT(AND(C3082=C3081,Y3082=Y3081+1))),INDEX(DATAS,Y3081+1),"")</f>
        <v/>
      </c>
      <c r="AG3081" s="45" t="str">
        <f aca="false">IF(AND(AA3081=1,Y3081&lt;1),IF(AND(C3082=C3081,Y3082=Y3081+1),IF(AA3082=1,"",INDEX(DATAS,Y3081+1)),INDEX(DATAS,Y3081+1)),"")</f>
        <v/>
      </c>
    </row>
    <row r="3082" customFormat="false" ht="15" hidden="false" customHeight="false" outlineLevel="0" collapsed="false">
      <c r="A3082" s="45" t="n">
        <v>46309</v>
      </c>
      <c r="B3082" s="0" t="n">
        <v>13</v>
      </c>
      <c r="C3082" s="0" t="n">
        <v>7488</v>
      </c>
      <c r="E3082" s="0" t="n">
        <v>0</v>
      </c>
      <c r="F3082" s="39" t="s">
        <v>135</v>
      </c>
      <c r="I3082" s="39" t="s">
        <v>136</v>
      </c>
      <c r="U3082" s="0" t="n">
        <v>220</v>
      </c>
      <c r="V3082" s="0" t="n">
        <v>0</v>
      </c>
      <c r="W3082" s="39" t="n">
        <f aca="false">IF(I3082="Male",0,1)</f>
        <v>1</v>
      </c>
      <c r="X3082" s="39" t="n">
        <f aca="false">IF(OR(I3082="DNB",I3082="Dry DNB"),1,0)</f>
        <v>0</v>
      </c>
      <c r="Y3082" s="39" t="n">
        <f aca="false">MATCH(A3082,DATAS,0)</f>
        <v>1</v>
      </c>
      <c r="Z3082" s="39" t="n">
        <f aca="false">IF(AND(E3082&gt;0,OR(AND(B3082&gt;=1,B3082&lt;=6),B3082=10)),1,0)</f>
        <v>0</v>
      </c>
      <c r="AA3082" s="39" t="n">
        <f aca="false">IF(AND(E3082&gt;0,B3082=10),1,0)</f>
        <v>0</v>
      </c>
      <c r="AB3082" s="0" t="str">
        <f aca="false">IF(AND(C3081=C3082,Y3081=Y3082-1),Z3081,"")</f>
        <v/>
      </c>
      <c r="AC3082" s="0" t="str">
        <f aca="false">IF(AND(C3081=C3082,Y3081=Y3082-1),AA3081,"")</f>
        <v/>
      </c>
      <c r="AD3082" s="0" t="str">
        <f aca="false">IF(Y3082=1,"",IF(AND(Z3082=1,AB3082&lt;&gt;1),1,0))</f>
        <v/>
      </c>
      <c r="AE3082" s="0" t="str">
        <f aca="false">IF(Y3082=1,"",IF(AND(AA3082=1,AC3082&lt;&gt;1),1,0))</f>
        <v/>
      </c>
      <c r="AF3082" s="45" t="str">
        <f aca="false">IF(AND(E3082&gt;0,Y3082&lt;1,NOT(AND(C3083=C3082,Y3083=Y3082+1))),INDEX(DATAS,Y3082+1),"")</f>
        <v/>
      </c>
      <c r="AG3082" s="45" t="str">
        <f aca="false">IF(AND(AA3082=1,Y3082&lt;1),IF(AND(C3083=C3082,Y3083=Y3082+1),IF(AA3083=1,"",INDEX(DATAS,Y3082+1)),INDEX(DATAS,Y3082+1)),"")</f>
        <v/>
      </c>
    </row>
    <row r="3083" customFormat="false" ht="15" hidden="false" customHeight="false" outlineLevel="0" collapsed="false">
      <c r="A3083" s="45" t="n">
        <v>46309</v>
      </c>
      <c r="B3083" s="0" t="n">
        <v>13</v>
      </c>
      <c r="C3083" s="0" t="n">
        <v>7489</v>
      </c>
      <c r="E3083" s="0" t="n">
        <v>0</v>
      </c>
      <c r="F3083" s="39" t="s">
        <v>135</v>
      </c>
      <c r="I3083" s="39" t="s">
        <v>136</v>
      </c>
      <c r="U3083" s="0" t="n">
        <v>220</v>
      </c>
      <c r="V3083" s="0" t="n">
        <v>0</v>
      </c>
      <c r="W3083" s="39" t="n">
        <f aca="false">IF(I3083="Male",0,1)</f>
        <v>1</v>
      </c>
      <c r="X3083" s="39" t="n">
        <f aca="false">IF(OR(I3083="DNB",I3083="Dry DNB"),1,0)</f>
        <v>0</v>
      </c>
      <c r="Y3083" s="39" t="n">
        <f aca="false">MATCH(A3083,DATAS,0)</f>
        <v>1</v>
      </c>
      <c r="Z3083" s="39" t="n">
        <f aca="false">IF(AND(E3083&gt;0,OR(AND(B3083&gt;=1,B3083&lt;=6),B3083=10)),1,0)</f>
        <v>0</v>
      </c>
      <c r="AA3083" s="39" t="n">
        <f aca="false">IF(AND(E3083&gt;0,B3083=10),1,0)</f>
        <v>0</v>
      </c>
      <c r="AB3083" s="0" t="str">
        <f aca="false">IF(AND(C3082=C3083,Y3082=Y3083-1),Z3082,"")</f>
        <v/>
      </c>
      <c r="AC3083" s="0" t="str">
        <f aca="false">IF(AND(C3082=C3083,Y3082=Y3083-1),AA3082,"")</f>
        <v/>
      </c>
      <c r="AD3083" s="0" t="str">
        <f aca="false">IF(Y3083=1,"",IF(AND(Z3083=1,AB3083&lt;&gt;1),1,0))</f>
        <v/>
      </c>
      <c r="AE3083" s="0" t="str">
        <f aca="false">IF(Y3083=1,"",IF(AND(AA3083=1,AC3083&lt;&gt;1),1,0))</f>
        <v/>
      </c>
      <c r="AF3083" s="45" t="str">
        <f aca="false">IF(AND(E3083&gt;0,Y3083&lt;1,NOT(AND(C3084=C3083,Y3084=Y3083+1))),INDEX(DATAS,Y3083+1),"")</f>
        <v/>
      </c>
      <c r="AG3083" s="45" t="str">
        <f aca="false">IF(AND(AA3083=1,Y3083&lt;1),IF(AND(C3084=C3083,Y3084=Y3083+1),IF(AA3084=1,"",INDEX(DATAS,Y3083+1)),INDEX(DATAS,Y3083+1)),"")</f>
        <v/>
      </c>
    </row>
    <row r="3084" customFormat="false" ht="15" hidden="false" customHeight="false" outlineLevel="0" collapsed="false">
      <c r="A3084" s="45" t="n">
        <v>46309</v>
      </c>
      <c r="B3084" s="0" t="n">
        <v>13</v>
      </c>
      <c r="C3084" s="0" t="n">
        <v>7490</v>
      </c>
      <c r="E3084" s="0" t="n">
        <v>0</v>
      </c>
      <c r="F3084" s="39" t="s">
        <v>135</v>
      </c>
      <c r="I3084" s="39" t="s">
        <v>136</v>
      </c>
      <c r="U3084" s="0" t="n">
        <v>220</v>
      </c>
      <c r="V3084" s="0" t="n">
        <v>0</v>
      </c>
      <c r="W3084" s="39" t="n">
        <f aca="false">IF(I3084="Male",0,1)</f>
        <v>1</v>
      </c>
      <c r="X3084" s="39" t="n">
        <f aca="false">IF(OR(I3084="DNB",I3084="Dry DNB"),1,0)</f>
        <v>0</v>
      </c>
      <c r="Y3084" s="39" t="n">
        <f aca="false">MATCH(A3084,DATAS,0)</f>
        <v>1</v>
      </c>
      <c r="Z3084" s="39" t="n">
        <f aca="false">IF(AND(E3084&gt;0,OR(AND(B3084&gt;=1,B3084&lt;=6),B3084=10)),1,0)</f>
        <v>0</v>
      </c>
      <c r="AA3084" s="39" t="n">
        <f aca="false">IF(AND(E3084&gt;0,B3084=10),1,0)</f>
        <v>0</v>
      </c>
      <c r="AB3084" s="0" t="str">
        <f aca="false">IF(AND(C3083=C3084,Y3083=Y3084-1),Z3083,"")</f>
        <v/>
      </c>
      <c r="AC3084" s="0" t="str">
        <f aca="false">IF(AND(C3083=C3084,Y3083=Y3084-1),AA3083,"")</f>
        <v/>
      </c>
      <c r="AD3084" s="0" t="str">
        <f aca="false">IF(Y3084=1,"",IF(AND(Z3084=1,AB3084&lt;&gt;1),1,0))</f>
        <v/>
      </c>
      <c r="AE3084" s="0" t="str">
        <f aca="false">IF(Y3084=1,"",IF(AND(AA3084=1,AC3084&lt;&gt;1),1,0))</f>
        <v/>
      </c>
      <c r="AF3084" s="45" t="str">
        <f aca="false">IF(AND(E3084&gt;0,Y3084&lt;1,NOT(AND(C3085=C3084,Y3085=Y3084+1))),INDEX(DATAS,Y3084+1),"")</f>
        <v/>
      </c>
      <c r="AG3084" s="45" t="str">
        <f aca="false">IF(AND(AA3084=1,Y3084&lt;1),IF(AND(C3085=C3084,Y3085=Y3084+1),IF(AA3085=1,"",INDEX(DATAS,Y3084+1)),INDEX(DATAS,Y3084+1)),"")</f>
        <v/>
      </c>
    </row>
    <row r="3085" customFormat="false" ht="15" hidden="false" customHeight="false" outlineLevel="0" collapsed="false">
      <c r="A3085" s="45" t="n">
        <v>46309</v>
      </c>
      <c r="B3085" s="0" t="n">
        <v>13</v>
      </c>
      <c r="C3085" s="0" t="n">
        <v>7491</v>
      </c>
      <c r="E3085" s="0" t="n">
        <v>0</v>
      </c>
      <c r="F3085" s="39" t="s">
        <v>1450</v>
      </c>
      <c r="I3085" s="39" t="s">
        <v>136</v>
      </c>
      <c r="U3085" s="0" t="n">
        <v>217</v>
      </c>
      <c r="V3085" s="0" t="n">
        <v>0</v>
      </c>
      <c r="W3085" s="39" t="n">
        <f aca="false">IF(I3085="Male",0,1)</f>
        <v>1</v>
      </c>
      <c r="X3085" s="39" t="n">
        <f aca="false">IF(OR(I3085="DNB",I3085="Dry DNB"),1,0)</f>
        <v>0</v>
      </c>
      <c r="Y3085" s="39" t="n">
        <f aca="false">MATCH(A3085,DATAS,0)</f>
        <v>1</v>
      </c>
      <c r="Z3085" s="39" t="n">
        <f aca="false">IF(AND(E3085&gt;0,OR(AND(B3085&gt;=1,B3085&lt;=6),B3085=10)),1,0)</f>
        <v>0</v>
      </c>
      <c r="AA3085" s="39" t="n">
        <f aca="false">IF(AND(E3085&gt;0,B3085=10),1,0)</f>
        <v>0</v>
      </c>
      <c r="AB3085" s="0" t="str">
        <f aca="false">IF(AND(C3084=C3085,Y3084=Y3085-1),Z3084,"")</f>
        <v/>
      </c>
      <c r="AC3085" s="0" t="str">
        <f aca="false">IF(AND(C3084=C3085,Y3084=Y3085-1),AA3084,"")</f>
        <v/>
      </c>
      <c r="AD3085" s="0" t="str">
        <f aca="false">IF(Y3085=1,"",IF(AND(Z3085=1,AB3085&lt;&gt;1),1,0))</f>
        <v/>
      </c>
      <c r="AE3085" s="0" t="str">
        <f aca="false">IF(Y3085=1,"",IF(AND(AA3085=1,AC3085&lt;&gt;1),1,0))</f>
        <v/>
      </c>
      <c r="AF3085" s="45" t="str">
        <f aca="false">IF(AND(E3085&gt;0,Y3085&lt;1,NOT(AND(C3086=C3085,Y3086=Y3085+1))),INDEX(DATAS,Y3085+1),"")</f>
        <v/>
      </c>
      <c r="AG3085" s="45" t="str">
        <f aca="false">IF(AND(AA3085=1,Y3085&lt;1),IF(AND(C3086=C3085,Y3086=Y3085+1),IF(AA3086=1,"",INDEX(DATAS,Y3085+1)),INDEX(DATAS,Y3085+1)),"")</f>
        <v/>
      </c>
    </row>
    <row r="3086" customFormat="false" ht="15" hidden="false" customHeight="false" outlineLevel="0" collapsed="false">
      <c r="A3086" s="45" t="n">
        <v>46309</v>
      </c>
      <c r="B3086" s="0" t="n">
        <v>13</v>
      </c>
      <c r="C3086" s="0" t="n">
        <v>7492</v>
      </c>
      <c r="E3086" s="0" t="n">
        <v>0</v>
      </c>
      <c r="F3086" s="39" t="s">
        <v>1451</v>
      </c>
      <c r="I3086" s="39" t="s">
        <v>136</v>
      </c>
      <c r="U3086" s="0" t="n">
        <v>218</v>
      </c>
      <c r="V3086" s="0" t="n">
        <v>0</v>
      </c>
      <c r="W3086" s="39" t="n">
        <f aca="false">IF(I3086="Male",0,1)</f>
        <v>1</v>
      </c>
      <c r="X3086" s="39" t="n">
        <f aca="false">IF(OR(I3086="DNB",I3086="Dry DNB"),1,0)</f>
        <v>0</v>
      </c>
      <c r="Y3086" s="39" t="n">
        <f aca="false">MATCH(A3086,DATAS,0)</f>
        <v>1</v>
      </c>
      <c r="Z3086" s="39" t="n">
        <f aca="false">IF(AND(E3086&gt;0,OR(AND(B3086&gt;=1,B3086&lt;=6),B3086=10)),1,0)</f>
        <v>0</v>
      </c>
      <c r="AA3086" s="39" t="n">
        <f aca="false">IF(AND(E3086&gt;0,B3086=10),1,0)</f>
        <v>0</v>
      </c>
      <c r="AB3086" s="0" t="str">
        <f aca="false">IF(AND(C3085=C3086,Y3085=Y3086-1),Z3085,"")</f>
        <v/>
      </c>
      <c r="AC3086" s="0" t="str">
        <f aca="false">IF(AND(C3085=C3086,Y3085=Y3086-1),AA3085,"")</f>
        <v/>
      </c>
      <c r="AD3086" s="0" t="str">
        <f aca="false">IF(Y3086=1,"",IF(AND(Z3086=1,AB3086&lt;&gt;1),1,0))</f>
        <v/>
      </c>
      <c r="AE3086" s="0" t="str">
        <f aca="false">IF(Y3086=1,"",IF(AND(AA3086=1,AC3086&lt;&gt;1),1,0))</f>
        <v/>
      </c>
      <c r="AF3086" s="45" t="str">
        <f aca="false">IF(AND(E3086&gt;0,Y3086&lt;1,NOT(AND(C3087=C3086,Y3087=Y3086+1))),INDEX(DATAS,Y3086+1),"")</f>
        <v/>
      </c>
      <c r="AG3086" s="45" t="str">
        <f aca="false">IF(AND(AA3086=1,Y3086&lt;1),IF(AND(C3087=C3086,Y3087=Y3086+1),IF(AA3087=1,"",INDEX(DATAS,Y3086+1)),INDEX(DATAS,Y3086+1)),"")</f>
        <v/>
      </c>
    </row>
    <row r="3087" customFormat="false" ht="15" hidden="false" customHeight="false" outlineLevel="0" collapsed="false">
      <c r="A3087" s="45" t="n">
        <v>46309</v>
      </c>
      <c r="B3087" s="0" t="n">
        <v>13</v>
      </c>
      <c r="C3087" s="0" t="n">
        <v>7493</v>
      </c>
      <c r="E3087" s="0" t="n">
        <v>0</v>
      </c>
      <c r="F3087" s="39" t="s">
        <v>1451</v>
      </c>
      <c r="I3087" s="39" t="s">
        <v>136</v>
      </c>
      <c r="U3087" s="0" t="n">
        <v>218</v>
      </c>
      <c r="V3087" s="0" t="n">
        <v>0</v>
      </c>
      <c r="W3087" s="39" t="n">
        <f aca="false">IF(I3087="Male",0,1)</f>
        <v>1</v>
      </c>
      <c r="X3087" s="39" t="n">
        <f aca="false">IF(OR(I3087="DNB",I3087="Dry DNB"),1,0)</f>
        <v>0</v>
      </c>
      <c r="Y3087" s="39" t="n">
        <f aca="false">MATCH(A3087,DATAS,0)</f>
        <v>1</v>
      </c>
      <c r="Z3087" s="39" t="n">
        <f aca="false">IF(AND(E3087&gt;0,OR(AND(B3087&gt;=1,B3087&lt;=6),B3087=10)),1,0)</f>
        <v>0</v>
      </c>
      <c r="AA3087" s="39" t="n">
        <f aca="false">IF(AND(E3087&gt;0,B3087=10),1,0)</f>
        <v>0</v>
      </c>
      <c r="AB3087" s="0" t="str">
        <f aca="false">IF(AND(C3086=C3087,Y3086=Y3087-1),Z3086,"")</f>
        <v/>
      </c>
      <c r="AC3087" s="0" t="str">
        <f aca="false">IF(AND(C3086=C3087,Y3086=Y3087-1),AA3086,"")</f>
        <v/>
      </c>
      <c r="AD3087" s="0" t="str">
        <f aca="false">IF(Y3087=1,"",IF(AND(Z3087=1,AB3087&lt;&gt;1),1,0))</f>
        <v/>
      </c>
      <c r="AE3087" s="0" t="str">
        <f aca="false">IF(Y3087=1,"",IF(AND(AA3087=1,AC3087&lt;&gt;1),1,0))</f>
        <v/>
      </c>
      <c r="AF3087" s="45" t="str">
        <f aca="false">IF(AND(E3087&gt;0,Y3087&lt;1,NOT(AND(C3088=C3087,Y3088=Y3087+1))),INDEX(DATAS,Y3087+1),"")</f>
        <v/>
      </c>
      <c r="AG3087" s="45" t="str">
        <f aca="false">IF(AND(AA3087=1,Y3087&lt;1),IF(AND(C3088=C3087,Y3088=Y3087+1),IF(AA3088=1,"",INDEX(DATAS,Y3087+1)),INDEX(DATAS,Y3087+1)),"")</f>
        <v/>
      </c>
    </row>
    <row r="3088" customFormat="false" ht="15" hidden="false" customHeight="false" outlineLevel="0" collapsed="false">
      <c r="A3088" s="45" t="n">
        <v>46309</v>
      </c>
      <c r="B3088" s="0" t="n">
        <v>13</v>
      </c>
      <c r="C3088" s="0" t="n">
        <v>7494</v>
      </c>
      <c r="E3088" s="0" t="n">
        <v>0</v>
      </c>
      <c r="F3088" s="39" t="s">
        <v>1450</v>
      </c>
      <c r="I3088" s="39" t="s">
        <v>136</v>
      </c>
      <c r="U3088" s="0" t="n">
        <v>217</v>
      </c>
      <c r="V3088" s="0" t="n">
        <v>0</v>
      </c>
      <c r="W3088" s="39" t="n">
        <f aca="false">IF(I3088="Male",0,1)</f>
        <v>1</v>
      </c>
      <c r="X3088" s="39" t="n">
        <f aca="false">IF(OR(I3088="DNB",I3088="Dry DNB"),1,0)</f>
        <v>0</v>
      </c>
      <c r="Y3088" s="39" t="n">
        <f aca="false">MATCH(A3088,DATAS,0)</f>
        <v>1</v>
      </c>
      <c r="Z3088" s="39" t="n">
        <f aca="false">IF(AND(E3088&gt;0,OR(AND(B3088&gt;=1,B3088&lt;=6),B3088=10)),1,0)</f>
        <v>0</v>
      </c>
      <c r="AA3088" s="39" t="n">
        <f aca="false">IF(AND(E3088&gt;0,B3088=10),1,0)</f>
        <v>0</v>
      </c>
      <c r="AB3088" s="0" t="str">
        <f aca="false">IF(AND(C3087=C3088,Y3087=Y3088-1),Z3087,"")</f>
        <v/>
      </c>
      <c r="AC3088" s="0" t="str">
        <f aca="false">IF(AND(C3087=C3088,Y3087=Y3088-1),AA3087,"")</f>
        <v/>
      </c>
      <c r="AD3088" s="0" t="str">
        <f aca="false">IF(Y3088=1,"",IF(AND(Z3088=1,AB3088&lt;&gt;1),1,0))</f>
        <v/>
      </c>
      <c r="AE3088" s="0" t="str">
        <f aca="false">IF(Y3088=1,"",IF(AND(AA3088=1,AC3088&lt;&gt;1),1,0))</f>
        <v/>
      </c>
      <c r="AF3088" s="45" t="str">
        <f aca="false">IF(AND(E3088&gt;0,Y3088&lt;1,NOT(AND(C3089=C3088,Y3089=Y3088+1))),INDEX(DATAS,Y3088+1),"")</f>
        <v/>
      </c>
      <c r="AG3088" s="45" t="str">
        <f aca="false">IF(AND(AA3088=1,Y3088&lt;1),IF(AND(C3089=C3088,Y3089=Y3088+1),IF(AA3089=1,"",INDEX(DATAS,Y3088+1)),INDEX(DATAS,Y3088+1)),"")</f>
        <v/>
      </c>
    </row>
    <row r="3089" customFormat="false" ht="15" hidden="false" customHeight="false" outlineLevel="0" collapsed="false">
      <c r="A3089" s="45" t="n">
        <v>46309</v>
      </c>
      <c r="B3089" s="0" t="n">
        <v>13</v>
      </c>
      <c r="C3089" s="0" t="n">
        <v>7495</v>
      </c>
      <c r="E3089" s="0" t="n">
        <v>0</v>
      </c>
      <c r="F3089" s="39" t="s">
        <v>1450</v>
      </c>
      <c r="I3089" s="39" t="s">
        <v>136</v>
      </c>
      <c r="U3089" s="0" t="n">
        <v>217</v>
      </c>
      <c r="V3089" s="0" t="n">
        <v>0</v>
      </c>
      <c r="W3089" s="39" t="n">
        <f aca="false">IF(I3089="Male",0,1)</f>
        <v>1</v>
      </c>
      <c r="X3089" s="39" t="n">
        <f aca="false">IF(OR(I3089="DNB",I3089="Dry DNB"),1,0)</f>
        <v>0</v>
      </c>
      <c r="Y3089" s="39" t="n">
        <f aca="false">MATCH(A3089,DATAS,0)</f>
        <v>1</v>
      </c>
      <c r="Z3089" s="39" t="n">
        <f aca="false">IF(AND(E3089&gt;0,OR(AND(B3089&gt;=1,B3089&lt;=6),B3089=10)),1,0)</f>
        <v>0</v>
      </c>
      <c r="AA3089" s="39" t="n">
        <f aca="false">IF(AND(E3089&gt;0,B3089=10),1,0)</f>
        <v>0</v>
      </c>
      <c r="AB3089" s="0" t="str">
        <f aca="false">IF(AND(C3088=C3089,Y3088=Y3089-1),Z3088,"")</f>
        <v/>
      </c>
      <c r="AC3089" s="0" t="str">
        <f aca="false">IF(AND(C3088=C3089,Y3088=Y3089-1),AA3088,"")</f>
        <v/>
      </c>
      <c r="AD3089" s="0" t="str">
        <f aca="false">IF(Y3089=1,"",IF(AND(Z3089=1,AB3089&lt;&gt;1),1,0))</f>
        <v/>
      </c>
      <c r="AE3089" s="0" t="str">
        <f aca="false">IF(Y3089=1,"",IF(AND(AA3089=1,AC3089&lt;&gt;1),1,0))</f>
        <v/>
      </c>
      <c r="AF3089" s="45" t="str">
        <f aca="false">IF(AND(E3089&gt;0,Y3089&lt;1,NOT(AND(C3090=C3089,Y3090=Y3089+1))),INDEX(DATAS,Y3089+1),"")</f>
        <v/>
      </c>
      <c r="AG3089" s="45" t="str">
        <f aca="false">IF(AND(AA3089=1,Y3089&lt;1),IF(AND(C3090=C3089,Y3090=Y3089+1),IF(AA3090=1,"",INDEX(DATAS,Y3089+1)),INDEX(DATAS,Y3089+1)),"")</f>
        <v/>
      </c>
    </row>
    <row r="3090" customFormat="false" ht="15" hidden="false" customHeight="false" outlineLevel="0" collapsed="false">
      <c r="A3090" s="45" t="n">
        <v>46309</v>
      </c>
      <c r="B3090" s="0" t="n">
        <v>13</v>
      </c>
      <c r="C3090" s="0" t="n">
        <v>7496</v>
      </c>
      <c r="E3090" s="0" t="n">
        <v>0</v>
      </c>
      <c r="F3090" s="39" t="s">
        <v>1450</v>
      </c>
      <c r="I3090" s="39" t="s">
        <v>136</v>
      </c>
      <c r="U3090" s="0" t="n">
        <v>217</v>
      </c>
      <c r="V3090" s="0" t="n">
        <v>0</v>
      </c>
      <c r="W3090" s="39" t="n">
        <f aca="false">IF(I3090="Male",0,1)</f>
        <v>1</v>
      </c>
      <c r="X3090" s="39" t="n">
        <f aca="false">IF(OR(I3090="DNB",I3090="Dry DNB"),1,0)</f>
        <v>0</v>
      </c>
      <c r="Y3090" s="39" t="n">
        <f aca="false">MATCH(A3090,DATAS,0)</f>
        <v>1</v>
      </c>
      <c r="Z3090" s="39" t="n">
        <f aca="false">IF(AND(E3090&gt;0,OR(AND(B3090&gt;=1,B3090&lt;=6),B3090=10)),1,0)</f>
        <v>0</v>
      </c>
      <c r="AA3090" s="39" t="n">
        <f aca="false">IF(AND(E3090&gt;0,B3090=10),1,0)</f>
        <v>0</v>
      </c>
      <c r="AB3090" s="0" t="str">
        <f aca="false">IF(AND(C3089=C3090,Y3089=Y3090-1),Z3089,"")</f>
        <v/>
      </c>
      <c r="AC3090" s="0" t="str">
        <f aca="false">IF(AND(C3089=C3090,Y3089=Y3090-1),AA3089,"")</f>
        <v/>
      </c>
      <c r="AD3090" s="0" t="str">
        <f aca="false">IF(Y3090=1,"",IF(AND(Z3090=1,AB3090&lt;&gt;1),1,0))</f>
        <v/>
      </c>
      <c r="AE3090" s="0" t="str">
        <f aca="false">IF(Y3090=1,"",IF(AND(AA3090=1,AC3090&lt;&gt;1),1,0))</f>
        <v/>
      </c>
      <c r="AF3090" s="45" t="str">
        <f aca="false">IF(AND(E3090&gt;0,Y3090&lt;1,NOT(AND(C3091=C3090,Y3091=Y3090+1))),INDEX(DATAS,Y3090+1),"")</f>
        <v/>
      </c>
      <c r="AG3090" s="45" t="str">
        <f aca="false">IF(AND(AA3090=1,Y3090&lt;1),IF(AND(C3091=C3090,Y3091=Y3090+1),IF(AA3091=1,"",INDEX(DATAS,Y3090+1)),INDEX(DATAS,Y3090+1)),"")</f>
        <v/>
      </c>
    </row>
    <row r="3091" customFormat="false" ht="15" hidden="false" customHeight="false" outlineLevel="0" collapsed="false">
      <c r="A3091" s="45" t="n">
        <v>46309</v>
      </c>
      <c r="B3091" s="0" t="n">
        <v>13</v>
      </c>
      <c r="C3091" s="0" t="n">
        <v>7497</v>
      </c>
      <c r="E3091" s="0" t="n">
        <v>0</v>
      </c>
      <c r="F3091" s="39" t="s">
        <v>1452</v>
      </c>
      <c r="I3091" s="39" t="s">
        <v>136</v>
      </c>
      <c r="U3091" s="0" t="n">
        <v>216</v>
      </c>
      <c r="V3091" s="0" t="n">
        <v>0</v>
      </c>
      <c r="W3091" s="39" t="n">
        <f aca="false">IF(I3091="Male",0,1)</f>
        <v>1</v>
      </c>
      <c r="X3091" s="39" t="n">
        <f aca="false">IF(OR(I3091="DNB",I3091="Dry DNB"),1,0)</f>
        <v>0</v>
      </c>
      <c r="Y3091" s="39" t="n">
        <f aca="false">MATCH(A3091,DATAS,0)</f>
        <v>1</v>
      </c>
      <c r="Z3091" s="39" t="n">
        <f aca="false">IF(AND(E3091&gt;0,OR(AND(B3091&gt;=1,B3091&lt;=6),B3091=10)),1,0)</f>
        <v>0</v>
      </c>
      <c r="AA3091" s="39" t="n">
        <f aca="false">IF(AND(E3091&gt;0,B3091=10),1,0)</f>
        <v>0</v>
      </c>
      <c r="AB3091" s="0" t="str">
        <f aca="false">IF(AND(C3090=C3091,Y3090=Y3091-1),Z3090,"")</f>
        <v/>
      </c>
      <c r="AC3091" s="0" t="str">
        <f aca="false">IF(AND(C3090=C3091,Y3090=Y3091-1),AA3090,"")</f>
        <v/>
      </c>
      <c r="AD3091" s="0" t="str">
        <f aca="false">IF(Y3091=1,"",IF(AND(Z3091=1,AB3091&lt;&gt;1),1,0))</f>
        <v/>
      </c>
      <c r="AE3091" s="0" t="str">
        <f aca="false">IF(Y3091=1,"",IF(AND(AA3091=1,AC3091&lt;&gt;1),1,0))</f>
        <v/>
      </c>
      <c r="AF3091" s="45" t="str">
        <f aca="false">IF(AND(E3091&gt;0,Y3091&lt;1,NOT(AND(C3092=C3091,Y3092=Y3091+1))),INDEX(DATAS,Y3091+1),"")</f>
        <v/>
      </c>
      <c r="AG3091" s="45" t="str">
        <f aca="false">IF(AND(AA3091=1,Y3091&lt;1),IF(AND(C3092=C3091,Y3092=Y3091+1),IF(AA3092=1,"",INDEX(DATAS,Y3091+1)),INDEX(DATAS,Y3091+1)),"")</f>
        <v/>
      </c>
    </row>
    <row r="3092" customFormat="false" ht="15" hidden="false" customHeight="false" outlineLevel="0" collapsed="false">
      <c r="A3092" s="45" t="n">
        <v>46309</v>
      </c>
      <c r="B3092" s="0" t="n">
        <v>13</v>
      </c>
      <c r="C3092" s="0" t="n">
        <v>7498</v>
      </c>
      <c r="E3092" s="0" t="n">
        <v>0</v>
      </c>
      <c r="F3092" s="39" t="s">
        <v>1452</v>
      </c>
      <c r="I3092" s="39" t="s">
        <v>136</v>
      </c>
      <c r="U3092" s="0" t="n">
        <v>216</v>
      </c>
      <c r="V3092" s="0" t="n">
        <v>0</v>
      </c>
      <c r="W3092" s="39" t="n">
        <f aca="false">IF(I3092="Male",0,1)</f>
        <v>1</v>
      </c>
      <c r="X3092" s="39" t="n">
        <f aca="false">IF(OR(I3092="DNB",I3092="Dry DNB"),1,0)</f>
        <v>0</v>
      </c>
      <c r="Y3092" s="39" t="n">
        <f aca="false">MATCH(A3092,DATAS,0)</f>
        <v>1</v>
      </c>
      <c r="Z3092" s="39" t="n">
        <f aca="false">IF(AND(E3092&gt;0,OR(AND(B3092&gt;=1,B3092&lt;=6),B3092=10)),1,0)</f>
        <v>0</v>
      </c>
      <c r="AA3092" s="39" t="n">
        <f aca="false">IF(AND(E3092&gt;0,B3092=10),1,0)</f>
        <v>0</v>
      </c>
      <c r="AB3092" s="0" t="str">
        <f aca="false">IF(AND(C3091=C3092,Y3091=Y3092-1),Z3091,"")</f>
        <v/>
      </c>
      <c r="AC3092" s="0" t="str">
        <f aca="false">IF(AND(C3091=C3092,Y3091=Y3092-1),AA3091,"")</f>
        <v/>
      </c>
      <c r="AD3092" s="0" t="str">
        <f aca="false">IF(Y3092=1,"",IF(AND(Z3092=1,AB3092&lt;&gt;1),1,0))</f>
        <v/>
      </c>
      <c r="AE3092" s="0" t="str">
        <f aca="false">IF(Y3092=1,"",IF(AND(AA3092=1,AC3092&lt;&gt;1),1,0))</f>
        <v/>
      </c>
      <c r="AF3092" s="45" t="str">
        <f aca="false">IF(AND(E3092&gt;0,Y3092&lt;1,NOT(AND(C3093=C3092,Y3093=Y3092+1))),INDEX(DATAS,Y3092+1),"")</f>
        <v/>
      </c>
      <c r="AG3092" s="45" t="str">
        <f aca="false">IF(AND(AA3092=1,Y3092&lt;1),IF(AND(C3093=C3092,Y3093=Y3092+1),IF(AA3093=1,"",INDEX(DATAS,Y3092+1)),INDEX(DATAS,Y3092+1)),"")</f>
        <v/>
      </c>
    </row>
    <row r="3093" customFormat="false" ht="15" hidden="false" customHeight="false" outlineLevel="0" collapsed="false">
      <c r="A3093" s="45" t="n">
        <v>46309</v>
      </c>
      <c r="B3093" s="0" t="n">
        <v>13</v>
      </c>
      <c r="C3093" s="0" t="n">
        <v>7499</v>
      </c>
      <c r="E3093" s="0" t="n">
        <v>0</v>
      </c>
      <c r="F3093" s="39" t="s">
        <v>1452</v>
      </c>
      <c r="I3093" s="39" t="s">
        <v>136</v>
      </c>
      <c r="U3093" s="0" t="n">
        <v>216</v>
      </c>
      <c r="V3093" s="0" t="n">
        <v>0</v>
      </c>
      <c r="W3093" s="39" t="n">
        <f aca="false">IF(I3093="Male",0,1)</f>
        <v>1</v>
      </c>
      <c r="X3093" s="39" t="n">
        <f aca="false">IF(OR(I3093="DNB",I3093="Dry DNB"),1,0)</f>
        <v>0</v>
      </c>
      <c r="Y3093" s="39" t="n">
        <f aca="false">MATCH(A3093,DATAS,0)</f>
        <v>1</v>
      </c>
      <c r="Z3093" s="39" t="n">
        <f aca="false">IF(AND(E3093&gt;0,OR(AND(B3093&gt;=1,B3093&lt;=6),B3093=10)),1,0)</f>
        <v>0</v>
      </c>
      <c r="AA3093" s="39" t="n">
        <f aca="false">IF(AND(E3093&gt;0,B3093=10),1,0)</f>
        <v>0</v>
      </c>
      <c r="AB3093" s="0" t="str">
        <f aca="false">IF(AND(C3092=C3093,Y3092=Y3093-1),Z3092,"")</f>
        <v/>
      </c>
      <c r="AC3093" s="0" t="str">
        <f aca="false">IF(AND(C3092=C3093,Y3092=Y3093-1),AA3092,"")</f>
        <v/>
      </c>
      <c r="AD3093" s="0" t="str">
        <f aca="false">IF(Y3093=1,"",IF(AND(Z3093=1,AB3093&lt;&gt;1),1,0))</f>
        <v/>
      </c>
      <c r="AE3093" s="0" t="str">
        <f aca="false">IF(Y3093=1,"",IF(AND(AA3093=1,AC3093&lt;&gt;1),1,0))</f>
        <v/>
      </c>
      <c r="AF3093" s="45" t="str">
        <f aca="false">IF(AND(E3093&gt;0,Y3093&lt;1,NOT(AND(C3094=C3093,Y3094=Y3093+1))),INDEX(DATAS,Y3093+1),"")</f>
        <v/>
      </c>
      <c r="AG3093" s="45" t="str">
        <f aca="false">IF(AND(AA3093=1,Y3093&lt;1),IF(AND(C3094=C3093,Y3094=Y3093+1),IF(AA3094=1,"",INDEX(DATAS,Y3093+1)),INDEX(DATAS,Y3093+1)),"")</f>
        <v/>
      </c>
    </row>
    <row r="3094" customFormat="false" ht="15" hidden="false" customHeight="false" outlineLevel="0" collapsed="false">
      <c r="A3094" s="45" t="n">
        <v>46309</v>
      </c>
      <c r="B3094" s="0" t="n">
        <v>13</v>
      </c>
      <c r="C3094" s="0" t="n">
        <v>7500</v>
      </c>
      <c r="E3094" s="0" t="n">
        <v>0</v>
      </c>
      <c r="F3094" s="39" t="s">
        <v>1452</v>
      </c>
      <c r="I3094" s="39" t="s">
        <v>136</v>
      </c>
      <c r="U3094" s="0" t="n">
        <v>216</v>
      </c>
      <c r="V3094" s="0" t="n">
        <v>0</v>
      </c>
      <c r="W3094" s="39" t="n">
        <f aca="false">IF(I3094="Male",0,1)</f>
        <v>1</v>
      </c>
      <c r="X3094" s="39" t="n">
        <f aca="false">IF(OR(I3094="DNB",I3094="Dry DNB"),1,0)</f>
        <v>0</v>
      </c>
      <c r="Y3094" s="39" t="n">
        <f aca="false">MATCH(A3094,DATAS,0)</f>
        <v>1</v>
      </c>
      <c r="Z3094" s="39" t="n">
        <f aca="false">IF(AND(E3094&gt;0,OR(AND(B3094&gt;=1,B3094&lt;=6),B3094=10)),1,0)</f>
        <v>0</v>
      </c>
      <c r="AA3094" s="39" t="n">
        <f aca="false">IF(AND(E3094&gt;0,B3094=10),1,0)</f>
        <v>0</v>
      </c>
      <c r="AB3094" s="0" t="str">
        <f aca="false">IF(AND(C3093=C3094,Y3093=Y3094-1),Z3093,"")</f>
        <v/>
      </c>
      <c r="AC3094" s="0" t="str">
        <f aca="false">IF(AND(C3093=C3094,Y3093=Y3094-1),AA3093,"")</f>
        <v/>
      </c>
      <c r="AD3094" s="0" t="str">
        <f aca="false">IF(Y3094=1,"",IF(AND(Z3094=1,AB3094&lt;&gt;1),1,0))</f>
        <v/>
      </c>
      <c r="AE3094" s="0" t="str">
        <f aca="false">IF(Y3094=1,"",IF(AND(AA3094=1,AC3094&lt;&gt;1),1,0))</f>
        <v/>
      </c>
      <c r="AF3094" s="45" t="str">
        <f aca="false">IF(AND(E3094&gt;0,Y3094&lt;1,NOT(AND(C3095=C3094,Y3095=Y3094+1))),INDEX(DATAS,Y3094+1),"")</f>
        <v/>
      </c>
      <c r="AG3094" s="45" t="str">
        <f aca="false">IF(AND(AA3094=1,Y3094&lt;1),IF(AND(C3095=C3094,Y3095=Y3094+1),IF(AA3095=1,"",INDEX(DATAS,Y3094+1)),INDEX(DATAS,Y3094+1)),"")</f>
        <v/>
      </c>
    </row>
    <row r="3095" customFormat="false" ht="15" hidden="false" customHeight="false" outlineLevel="0" collapsed="false">
      <c r="A3095" s="45" t="n">
        <v>46309</v>
      </c>
      <c r="B3095" s="0" t="n">
        <v>13</v>
      </c>
      <c r="C3095" s="0" t="n">
        <v>7501</v>
      </c>
      <c r="E3095" s="0" t="n">
        <v>0</v>
      </c>
      <c r="F3095" s="39" t="s">
        <v>1452</v>
      </c>
      <c r="I3095" s="39" t="s">
        <v>136</v>
      </c>
      <c r="U3095" s="0" t="n">
        <v>216</v>
      </c>
      <c r="V3095" s="0" t="n">
        <v>0</v>
      </c>
      <c r="W3095" s="39" t="n">
        <f aca="false">IF(I3095="Male",0,1)</f>
        <v>1</v>
      </c>
      <c r="X3095" s="39" t="n">
        <f aca="false">IF(OR(I3095="DNB",I3095="Dry DNB"),1,0)</f>
        <v>0</v>
      </c>
      <c r="Y3095" s="39" t="n">
        <f aca="false">MATCH(A3095,DATAS,0)</f>
        <v>1</v>
      </c>
      <c r="Z3095" s="39" t="n">
        <f aca="false">IF(AND(E3095&gt;0,OR(AND(B3095&gt;=1,B3095&lt;=6),B3095=10)),1,0)</f>
        <v>0</v>
      </c>
      <c r="AA3095" s="39" t="n">
        <f aca="false">IF(AND(E3095&gt;0,B3095=10),1,0)</f>
        <v>0</v>
      </c>
      <c r="AB3095" s="0" t="str">
        <f aca="false">IF(AND(C3094=C3095,Y3094=Y3095-1),Z3094,"")</f>
        <v/>
      </c>
      <c r="AC3095" s="0" t="str">
        <f aca="false">IF(AND(C3094=C3095,Y3094=Y3095-1),AA3094,"")</f>
        <v/>
      </c>
      <c r="AD3095" s="0" t="str">
        <f aca="false">IF(Y3095=1,"",IF(AND(Z3095=1,AB3095&lt;&gt;1),1,0))</f>
        <v/>
      </c>
      <c r="AE3095" s="0" t="str">
        <f aca="false">IF(Y3095=1,"",IF(AND(AA3095=1,AC3095&lt;&gt;1),1,0))</f>
        <v/>
      </c>
      <c r="AF3095" s="45" t="str">
        <f aca="false">IF(AND(E3095&gt;0,Y3095&lt;1,NOT(AND(C3096=C3095,Y3096=Y3095+1))),INDEX(DATAS,Y3095+1),"")</f>
        <v/>
      </c>
      <c r="AG3095" s="45" t="str">
        <f aca="false">IF(AND(AA3095=1,Y3095&lt;1),IF(AND(C3096=C3095,Y3096=Y3095+1),IF(AA3096=1,"",INDEX(DATAS,Y3095+1)),INDEX(DATAS,Y3095+1)),"")</f>
        <v/>
      </c>
    </row>
    <row r="3096" customFormat="false" ht="15" hidden="false" customHeight="false" outlineLevel="0" collapsed="false">
      <c r="A3096" s="45" t="n">
        <v>46309</v>
      </c>
      <c r="B3096" s="0" t="n">
        <v>13</v>
      </c>
      <c r="C3096" s="0" t="n">
        <v>7502</v>
      </c>
      <c r="E3096" s="0" t="n">
        <v>0</v>
      </c>
      <c r="F3096" s="39" t="s">
        <v>1453</v>
      </c>
      <c r="I3096" s="39" t="s">
        <v>136</v>
      </c>
      <c r="U3096" s="0" t="n">
        <v>215</v>
      </c>
      <c r="V3096" s="0" t="n">
        <v>0</v>
      </c>
      <c r="W3096" s="39" t="n">
        <f aca="false">IF(I3096="Male",0,1)</f>
        <v>1</v>
      </c>
      <c r="X3096" s="39" t="n">
        <f aca="false">IF(OR(I3096="DNB",I3096="Dry DNB"),1,0)</f>
        <v>0</v>
      </c>
      <c r="Y3096" s="39" t="n">
        <f aca="false">MATCH(A3096,DATAS,0)</f>
        <v>1</v>
      </c>
      <c r="Z3096" s="39" t="n">
        <f aca="false">IF(AND(E3096&gt;0,OR(AND(B3096&gt;=1,B3096&lt;=6),B3096=10)),1,0)</f>
        <v>0</v>
      </c>
      <c r="AA3096" s="39" t="n">
        <f aca="false">IF(AND(E3096&gt;0,B3096=10),1,0)</f>
        <v>0</v>
      </c>
      <c r="AB3096" s="0" t="str">
        <f aca="false">IF(AND(C3095=C3096,Y3095=Y3096-1),Z3095,"")</f>
        <v/>
      </c>
      <c r="AC3096" s="0" t="str">
        <f aca="false">IF(AND(C3095=C3096,Y3095=Y3096-1),AA3095,"")</f>
        <v/>
      </c>
      <c r="AD3096" s="0" t="str">
        <f aca="false">IF(Y3096=1,"",IF(AND(Z3096=1,AB3096&lt;&gt;1),1,0))</f>
        <v/>
      </c>
      <c r="AE3096" s="0" t="str">
        <f aca="false">IF(Y3096=1,"",IF(AND(AA3096=1,AC3096&lt;&gt;1),1,0))</f>
        <v/>
      </c>
      <c r="AF3096" s="45" t="str">
        <f aca="false">IF(AND(E3096&gt;0,Y3096&lt;1,NOT(AND(C3097=C3096,Y3097=Y3096+1))),INDEX(DATAS,Y3096+1),"")</f>
        <v/>
      </c>
      <c r="AG3096" s="45" t="str">
        <f aca="false">IF(AND(AA3096=1,Y3096&lt;1),IF(AND(C3097=C3096,Y3097=Y3096+1),IF(AA3097=1,"",INDEX(DATAS,Y3096+1)),INDEX(DATAS,Y3096+1)),"")</f>
        <v/>
      </c>
    </row>
    <row r="3097" customFormat="false" ht="15" hidden="false" customHeight="false" outlineLevel="0" collapsed="false">
      <c r="A3097" s="45" t="n">
        <v>46309</v>
      </c>
      <c r="B3097" s="0" t="n">
        <v>13</v>
      </c>
      <c r="C3097" s="0" t="n">
        <v>7504</v>
      </c>
      <c r="E3097" s="0" t="n">
        <v>0</v>
      </c>
      <c r="F3097" s="39" t="s">
        <v>1454</v>
      </c>
      <c r="I3097" s="39" t="s">
        <v>136</v>
      </c>
      <c r="U3097" s="0" t="n">
        <v>213</v>
      </c>
      <c r="V3097" s="0" t="n">
        <v>0</v>
      </c>
      <c r="W3097" s="39" t="n">
        <f aca="false">IF(I3097="Male",0,1)</f>
        <v>1</v>
      </c>
      <c r="X3097" s="39" t="n">
        <f aca="false">IF(OR(I3097="DNB",I3097="Dry DNB"),1,0)</f>
        <v>0</v>
      </c>
      <c r="Y3097" s="39" t="n">
        <f aca="false">MATCH(A3097,DATAS,0)</f>
        <v>1</v>
      </c>
      <c r="Z3097" s="39" t="n">
        <f aca="false">IF(AND(E3097&gt;0,OR(AND(B3097&gt;=1,B3097&lt;=6),B3097=10)),1,0)</f>
        <v>0</v>
      </c>
      <c r="AA3097" s="39" t="n">
        <f aca="false">IF(AND(E3097&gt;0,B3097=10),1,0)</f>
        <v>0</v>
      </c>
      <c r="AB3097" s="0" t="str">
        <f aca="false">IF(AND(C3096=C3097,Y3096=Y3097-1),Z3096,"")</f>
        <v/>
      </c>
      <c r="AC3097" s="0" t="str">
        <f aca="false">IF(AND(C3096=C3097,Y3096=Y3097-1),AA3096,"")</f>
        <v/>
      </c>
      <c r="AD3097" s="0" t="str">
        <f aca="false">IF(Y3097=1,"",IF(AND(Z3097=1,AB3097&lt;&gt;1),1,0))</f>
        <v/>
      </c>
      <c r="AE3097" s="0" t="str">
        <f aca="false">IF(Y3097=1,"",IF(AND(AA3097=1,AC3097&lt;&gt;1),1,0))</f>
        <v/>
      </c>
      <c r="AF3097" s="45" t="str">
        <f aca="false">IF(AND(E3097&gt;0,Y3097&lt;1,NOT(AND(C3098=C3097,Y3098=Y3097+1))),INDEX(DATAS,Y3097+1),"")</f>
        <v/>
      </c>
      <c r="AG3097" s="45" t="str">
        <f aca="false">IF(AND(AA3097=1,Y3097&lt;1),IF(AND(C3098=C3097,Y3098=Y3097+1),IF(AA3098=1,"",INDEX(DATAS,Y3097+1)),INDEX(DATAS,Y3097+1)),"")</f>
        <v/>
      </c>
    </row>
    <row r="3098" customFormat="false" ht="15" hidden="false" customHeight="false" outlineLevel="0" collapsed="false">
      <c r="A3098" s="45" t="n">
        <v>46309</v>
      </c>
      <c r="B3098" s="0" t="n">
        <v>13</v>
      </c>
      <c r="C3098" s="0" t="n">
        <v>7505</v>
      </c>
      <c r="E3098" s="0" t="n">
        <v>0</v>
      </c>
      <c r="F3098" s="39" t="s">
        <v>1454</v>
      </c>
      <c r="I3098" s="39" t="s">
        <v>136</v>
      </c>
      <c r="U3098" s="0" t="n">
        <v>213</v>
      </c>
      <c r="V3098" s="0" t="n">
        <v>0</v>
      </c>
      <c r="W3098" s="39" t="n">
        <f aca="false">IF(I3098="Male",0,1)</f>
        <v>1</v>
      </c>
      <c r="X3098" s="39" t="n">
        <f aca="false">IF(OR(I3098="DNB",I3098="Dry DNB"),1,0)</f>
        <v>0</v>
      </c>
      <c r="Y3098" s="39" t="n">
        <f aca="false">MATCH(A3098,DATAS,0)</f>
        <v>1</v>
      </c>
      <c r="Z3098" s="39" t="n">
        <f aca="false">IF(AND(E3098&gt;0,OR(AND(B3098&gt;=1,B3098&lt;=6),B3098=10)),1,0)</f>
        <v>0</v>
      </c>
      <c r="AA3098" s="39" t="n">
        <f aca="false">IF(AND(E3098&gt;0,B3098=10),1,0)</f>
        <v>0</v>
      </c>
      <c r="AB3098" s="0" t="str">
        <f aca="false">IF(AND(C3097=C3098,Y3097=Y3098-1),Z3097,"")</f>
        <v/>
      </c>
      <c r="AC3098" s="0" t="str">
        <f aca="false">IF(AND(C3097=C3098,Y3097=Y3098-1),AA3097,"")</f>
        <v/>
      </c>
      <c r="AD3098" s="0" t="str">
        <f aca="false">IF(Y3098=1,"",IF(AND(Z3098=1,AB3098&lt;&gt;1),1,0))</f>
        <v/>
      </c>
      <c r="AE3098" s="0" t="str">
        <f aca="false">IF(Y3098=1,"",IF(AND(AA3098=1,AC3098&lt;&gt;1),1,0))</f>
        <v/>
      </c>
      <c r="AF3098" s="45" t="str">
        <f aca="false">IF(AND(E3098&gt;0,Y3098&lt;1,NOT(AND(C3099=C3098,Y3099=Y3098+1))),INDEX(DATAS,Y3098+1),"")</f>
        <v/>
      </c>
      <c r="AG3098" s="45" t="str">
        <f aca="false">IF(AND(AA3098=1,Y3098&lt;1),IF(AND(C3099=C3098,Y3099=Y3098+1),IF(AA3099=1,"",INDEX(DATAS,Y3098+1)),INDEX(DATAS,Y3098+1)),"")</f>
        <v/>
      </c>
    </row>
    <row r="3099" customFormat="false" ht="15" hidden="false" customHeight="false" outlineLevel="0" collapsed="false">
      <c r="A3099" s="45" t="n">
        <v>46309</v>
      </c>
      <c r="B3099" s="0" t="n">
        <v>13</v>
      </c>
      <c r="C3099" s="0" t="n">
        <v>7506</v>
      </c>
      <c r="E3099" s="0" t="n">
        <v>0</v>
      </c>
      <c r="F3099" s="39" t="s">
        <v>1454</v>
      </c>
      <c r="I3099" s="39" t="s">
        <v>136</v>
      </c>
      <c r="U3099" s="0" t="n">
        <v>213</v>
      </c>
      <c r="V3099" s="0" t="n">
        <v>0</v>
      </c>
      <c r="W3099" s="39" t="n">
        <f aca="false">IF(I3099="Male",0,1)</f>
        <v>1</v>
      </c>
      <c r="X3099" s="39" t="n">
        <f aca="false">IF(OR(I3099="DNB",I3099="Dry DNB"),1,0)</f>
        <v>0</v>
      </c>
      <c r="Y3099" s="39" t="n">
        <f aca="false">MATCH(A3099,DATAS,0)</f>
        <v>1</v>
      </c>
      <c r="Z3099" s="39" t="n">
        <f aca="false">IF(AND(E3099&gt;0,OR(AND(B3099&gt;=1,B3099&lt;=6),B3099=10)),1,0)</f>
        <v>0</v>
      </c>
      <c r="AA3099" s="39" t="n">
        <f aca="false">IF(AND(E3099&gt;0,B3099=10),1,0)</f>
        <v>0</v>
      </c>
      <c r="AB3099" s="0" t="str">
        <f aca="false">IF(AND(C3098=C3099,Y3098=Y3099-1),Z3098,"")</f>
        <v/>
      </c>
      <c r="AC3099" s="0" t="str">
        <f aca="false">IF(AND(C3098=C3099,Y3098=Y3099-1),AA3098,"")</f>
        <v/>
      </c>
      <c r="AD3099" s="0" t="str">
        <f aca="false">IF(Y3099=1,"",IF(AND(Z3099=1,AB3099&lt;&gt;1),1,0))</f>
        <v/>
      </c>
      <c r="AE3099" s="0" t="str">
        <f aca="false">IF(Y3099=1,"",IF(AND(AA3099=1,AC3099&lt;&gt;1),1,0))</f>
        <v/>
      </c>
      <c r="AF3099" s="45" t="str">
        <f aca="false">IF(AND(E3099&gt;0,Y3099&lt;1,NOT(AND(C3100=C3099,Y3100=Y3099+1))),INDEX(DATAS,Y3099+1),"")</f>
        <v/>
      </c>
      <c r="AG3099" s="45" t="str">
        <f aca="false">IF(AND(AA3099=1,Y3099&lt;1),IF(AND(C3100=C3099,Y3100=Y3099+1),IF(AA3100=1,"",INDEX(DATAS,Y3099+1)),INDEX(DATAS,Y3099+1)),"")</f>
        <v/>
      </c>
    </row>
    <row r="3100" customFormat="false" ht="15" hidden="false" customHeight="false" outlineLevel="0" collapsed="false">
      <c r="A3100" s="45" t="n">
        <v>46309</v>
      </c>
      <c r="B3100" s="0" t="n">
        <v>13</v>
      </c>
      <c r="C3100" s="0" t="n">
        <v>7507</v>
      </c>
      <c r="E3100" s="0" t="n">
        <v>0</v>
      </c>
      <c r="F3100" s="39" t="s">
        <v>1454</v>
      </c>
      <c r="I3100" s="39" t="s">
        <v>136</v>
      </c>
      <c r="U3100" s="0" t="n">
        <v>213</v>
      </c>
      <c r="V3100" s="0" t="n">
        <v>0</v>
      </c>
      <c r="W3100" s="39" t="n">
        <f aca="false">IF(I3100="Male",0,1)</f>
        <v>1</v>
      </c>
      <c r="X3100" s="39" t="n">
        <f aca="false">IF(OR(I3100="DNB",I3100="Dry DNB"),1,0)</f>
        <v>0</v>
      </c>
      <c r="Y3100" s="39" t="n">
        <f aca="false">MATCH(A3100,DATAS,0)</f>
        <v>1</v>
      </c>
      <c r="Z3100" s="39" t="n">
        <f aca="false">IF(AND(E3100&gt;0,OR(AND(B3100&gt;=1,B3100&lt;=6),B3100=10)),1,0)</f>
        <v>0</v>
      </c>
      <c r="AA3100" s="39" t="n">
        <f aca="false">IF(AND(E3100&gt;0,B3100=10),1,0)</f>
        <v>0</v>
      </c>
      <c r="AB3100" s="0" t="str">
        <f aca="false">IF(AND(C3099=C3100,Y3099=Y3100-1),Z3099,"")</f>
        <v/>
      </c>
      <c r="AC3100" s="0" t="str">
        <f aca="false">IF(AND(C3099=C3100,Y3099=Y3100-1),AA3099,"")</f>
        <v/>
      </c>
      <c r="AD3100" s="0" t="str">
        <f aca="false">IF(Y3100=1,"",IF(AND(Z3100=1,AB3100&lt;&gt;1),1,0))</f>
        <v/>
      </c>
      <c r="AE3100" s="0" t="str">
        <f aca="false">IF(Y3100=1,"",IF(AND(AA3100=1,AC3100&lt;&gt;1),1,0))</f>
        <v/>
      </c>
      <c r="AF3100" s="45" t="str">
        <f aca="false">IF(AND(E3100&gt;0,Y3100&lt;1,NOT(AND(C3101=C3100,Y3101=Y3100+1))),INDEX(DATAS,Y3100+1),"")</f>
        <v/>
      </c>
      <c r="AG3100" s="45" t="str">
        <f aca="false">IF(AND(AA3100=1,Y3100&lt;1),IF(AND(C3101=C3100,Y3101=Y3100+1),IF(AA3101=1,"",INDEX(DATAS,Y3100+1)),INDEX(DATAS,Y3100+1)),"")</f>
        <v/>
      </c>
    </row>
    <row r="3101" customFormat="false" ht="15" hidden="false" customHeight="false" outlineLevel="0" collapsed="false">
      <c r="A3101" s="45" t="n">
        <v>46309</v>
      </c>
      <c r="B3101" s="0" t="n">
        <v>13</v>
      </c>
      <c r="C3101" s="0" t="n">
        <v>7508</v>
      </c>
      <c r="E3101" s="0" t="n">
        <v>0</v>
      </c>
      <c r="F3101" s="39" t="s">
        <v>1455</v>
      </c>
      <c r="I3101" s="39" t="s">
        <v>136</v>
      </c>
      <c r="U3101" s="0" t="n">
        <v>212</v>
      </c>
      <c r="V3101" s="0" t="n">
        <v>0</v>
      </c>
      <c r="W3101" s="39" t="n">
        <f aca="false">IF(I3101="Male",0,1)</f>
        <v>1</v>
      </c>
      <c r="X3101" s="39" t="n">
        <f aca="false">IF(OR(I3101="DNB",I3101="Dry DNB"),1,0)</f>
        <v>0</v>
      </c>
      <c r="Y3101" s="39" t="n">
        <f aca="false">MATCH(A3101,DATAS,0)</f>
        <v>1</v>
      </c>
      <c r="Z3101" s="39" t="n">
        <f aca="false">IF(AND(E3101&gt;0,OR(AND(B3101&gt;=1,B3101&lt;=6),B3101=10)),1,0)</f>
        <v>0</v>
      </c>
      <c r="AA3101" s="39" t="n">
        <f aca="false">IF(AND(E3101&gt;0,B3101=10),1,0)</f>
        <v>0</v>
      </c>
      <c r="AB3101" s="0" t="str">
        <f aca="false">IF(AND(C3100=C3101,Y3100=Y3101-1),Z3100,"")</f>
        <v/>
      </c>
      <c r="AC3101" s="0" t="str">
        <f aca="false">IF(AND(C3100=C3101,Y3100=Y3101-1),AA3100,"")</f>
        <v/>
      </c>
      <c r="AD3101" s="0" t="str">
        <f aca="false">IF(Y3101=1,"",IF(AND(Z3101=1,AB3101&lt;&gt;1),1,0))</f>
        <v/>
      </c>
      <c r="AE3101" s="0" t="str">
        <f aca="false">IF(Y3101=1,"",IF(AND(AA3101=1,AC3101&lt;&gt;1),1,0))</f>
        <v/>
      </c>
      <c r="AF3101" s="45" t="str">
        <f aca="false">IF(AND(E3101&gt;0,Y3101&lt;1,NOT(AND(C3102=C3101,Y3102=Y3101+1))),INDEX(DATAS,Y3101+1),"")</f>
        <v/>
      </c>
      <c r="AG3101" s="45" t="str">
        <f aca="false">IF(AND(AA3101=1,Y3101&lt;1),IF(AND(C3102=C3101,Y3102=Y3101+1),IF(AA3102=1,"",INDEX(DATAS,Y3101+1)),INDEX(DATAS,Y3101+1)),"")</f>
        <v/>
      </c>
    </row>
    <row r="3102" customFormat="false" ht="15" hidden="false" customHeight="false" outlineLevel="0" collapsed="false">
      <c r="A3102" s="45" t="n">
        <v>46309</v>
      </c>
      <c r="B3102" s="0" t="n">
        <v>13</v>
      </c>
      <c r="C3102" s="0" t="n">
        <v>7509</v>
      </c>
      <c r="E3102" s="0" t="n">
        <v>0</v>
      </c>
      <c r="F3102" s="39" t="s">
        <v>1455</v>
      </c>
      <c r="I3102" s="39" t="s">
        <v>136</v>
      </c>
      <c r="U3102" s="0" t="n">
        <v>212</v>
      </c>
      <c r="V3102" s="0" t="n">
        <v>0</v>
      </c>
      <c r="W3102" s="39" t="n">
        <f aca="false">IF(I3102="Male",0,1)</f>
        <v>1</v>
      </c>
      <c r="X3102" s="39" t="n">
        <f aca="false">IF(OR(I3102="DNB",I3102="Dry DNB"),1,0)</f>
        <v>0</v>
      </c>
      <c r="Y3102" s="39" t="n">
        <f aca="false">MATCH(A3102,DATAS,0)</f>
        <v>1</v>
      </c>
      <c r="Z3102" s="39" t="n">
        <f aca="false">IF(AND(E3102&gt;0,OR(AND(B3102&gt;=1,B3102&lt;=6),B3102=10)),1,0)</f>
        <v>0</v>
      </c>
      <c r="AA3102" s="39" t="n">
        <f aca="false">IF(AND(E3102&gt;0,B3102=10),1,0)</f>
        <v>0</v>
      </c>
      <c r="AB3102" s="0" t="str">
        <f aca="false">IF(AND(C3101=C3102,Y3101=Y3102-1),Z3101,"")</f>
        <v/>
      </c>
      <c r="AC3102" s="0" t="str">
        <f aca="false">IF(AND(C3101=C3102,Y3101=Y3102-1),AA3101,"")</f>
        <v/>
      </c>
      <c r="AD3102" s="0" t="str">
        <f aca="false">IF(Y3102=1,"",IF(AND(Z3102=1,AB3102&lt;&gt;1),1,0))</f>
        <v/>
      </c>
      <c r="AE3102" s="0" t="str">
        <f aca="false">IF(Y3102=1,"",IF(AND(AA3102=1,AC3102&lt;&gt;1),1,0))</f>
        <v/>
      </c>
      <c r="AF3102" s="45" t="str">
        <f aca="false">IF(AND(E3102&gt;0,Y3102&lt;1,NOT(AND(C3103=C3102,Y3103=Y3102+1))),INDEX(DATAS,Y3102+1),"")</f>
        <v/>
      </c>
      <c r="AG3102" s="45" t="str">
        <f aca="false">IF(AND(AA3102=1,Y3102&lt;1),IF(AND(C3103=C3102,Y3103=Y3102+1),IF(AA3103=1,"",INDEX(DATAS,Y3102+1)),INDEX(DATAS,Y3102+1)),"")</f>
        <v/>
      </c>
    </row>
    <row r="3103" customFormat="false" ht="15" hidden="false" customHeight="false" outlineLevel="0" collapsed="false">
      <c r="A3103" s="45" t="n">
        <v>46309</v>
      </c>
      <c r="B3103" s="0" t="n">
        <v>13</v>
      </c>
      <c r="C3103" s="0" t="n">
        <v>7510</v>
      </c>
      <c r="E3103" s="0" t="n">
        <v>0</v>
      </c>
      <c r="F3103" s="39" t="s">
        <v>1455</v>
      </c>
      <c r="I3103" s="39" t="s">
        <v>136</v>
      </c>
      <c r="U3103" s="0" t="n">
        <v>212</v>
      </c>
      <c r="V3103" s="0" t="n">
        <v>0</v>
      </c>
      <c r="W3103" s="39" t="n">
        <f aca="false">IF(I3103="Male",0,1)</f>
        <v>1</v>
      </c>
      <c r="X3103" s="39" t="n">
        <f aca="false">IF(OR(I3103="DNB",I3103="Dry DNB"),1,0)</f>
        <v>0</v>
      </c>
      <c r="Y3103" s="39" t="n">
        <f aca="false">MATCH(A3103,DATAS,0)</f>
        <v>1</v>
      </c>
      <c r="Z3103" s="39" t="n">
        <f aca="false">IF(AND(E3103&gt;0,OR(AND(B3103&gt;=1,B3103&lt;=6),B3103=10)),1,0)</f>
        <v>0</v>
      </c>
      <c r="AA3103" s="39" t="n">
        <f aca="false">IF(AND(E3103&gt;0,B3103=10),1,0)</f>
        <v>0</v>
      </c>
      <c r="AB3103" s="0" t="str">
        <f aca="false">IF(AND(C3102=C3103,Y3102=Y3103-1),Z3102,"")</f>
        <v/>
      </c>
      <c r="AC3103" s="0" t="str">
        <f aca="false">IF(AND(C3102=C3103,Y3102=Y3103-1),AA3102,"")</f>
        <v/>
      </c>
      <c r="AD3103" s="0" t="str">
        <f aca="false">IF(Y3103=1,"",IF(AND(Z3103=1,AB3103&lt;&gt;1),1,0))</f>
        <v/>
      </c>
      <c r="AE3103" s="0" t="str">
        <f aca="false">IF(Y3103=1,"",IF(AND(AA3103=1,AC3103&lt;&gt;1),1,0))</f>
        <v/>
      </c>
      <c r="AF3103" s="45" t="str">
        <f aca="false">IF(AND(E3103&gt;0,Y3103&lt;1,NOT(AND(C3104=C3103,Y3104=Y3103+1))),INDEX(DATAS,Y3103+1),"")</f>
        <v/>
      </c>
      <c r="AG3103" s="45" t="str">
        <f aca="false">IF(AND(AA3103=1,Y3103&lt;1),IF(AND(C3104=C3103,Y3104=Y3103+1),IF(AA3104=1,"",INDEX(DATAS,Y3103+1)),INDEX(DATAS,Y3103+1)),"")</f>
        <v/>
      </c>
    </row>
    <row r="3104" customFormat="false" ht="15" hidden="false" customHeight="false" outlineLevel="0" collapsed="false">
      <c r="A3104" s="45" t="n">
        <v>46309</v>
      </c>
      <c r="B3104" s="0" t="n">
        <v>13</v>
      </c>
      <c r="C3104" s="0" t="n">
        <v>7511</v>
      </c>
      <c r="E3104" s="0" t="n">
        <v>0</v>
      </c>
      <c r="F3104" s="39" t="s">
        <v>1455</v>
      </c>
      <c r="I3104" s="39" t="s">
        <v>136</v>
      </c>
      <c r="U3104" s="0" t="n">
        <v>212</v>
      </c>
      <c r="V3104" s="0" t="n">
        <v>0</v>
      </c>
      <c r="W3104" s="39" t="n">
        <f aca="false">IF(I3104="Male",0,1)</f>
        <v>1</v>
      </c>
      <c r="X3104" s="39" t="n">
        <f aca="false">IF(OR(I3104="DNB",I3104="Dry DNB"),1,0)</f>
        <v>0</v>
      </c>
      <c r="Y3104" s="39" t="n">
        <f aca="false">MATCH(A3104,DATAS,0)</f>
        <v>1</v>
      </c>
      <c r="Z3104" s="39" t="n">
        <f aca="false">IF(AND(E3104&gt;0,OR(AND(B3104&gt;=1,B3104&lt;=6),B3104=10)),1,0)</f>
        <v>0</v>
      </c>
      <c r="AA3104" s="39" t="n">
        <f aca="false">IF(AND(E3104&gt;0,B3104=10),1,0)</f>
        <v>0</v>
      </c>
      <c r="AB3104" s="0" t="str">
        <f aca="false">IF(AND(C3103=C3104,Y3103=Y3104-1),Z3103,"")</f>
        <v/>
      </c>
      <c r="AC3104" s="0" t="str">
        <f aca="false">IF(AND(C3103=C3104,Y3103=Y3104-1),AA3103,"")</f>
        <v/>
      </c>
      <c r="AD3104" s="0" t="str">
        <f aca="false">IF(Y3104=1,"",IF(AND(Z3104=1,AB3104&lt;&gt;1),1,0))</f>
        <v/>
      </c>
      <c r="AE3104" s="0" t="str">
        <f aca="false">IF(Y3104=1,"",IF(AND(AA3104=1,AC3104&lt;&gt;1),1,0))</f>
        <v/>
      </c>
      <c r="AF3104" s="45" t="str">
        <f aca="false">IF(AND(E3104&gt;0,Y3104&lt;1,NOT(AND(C3105=C3104,Y3105=Y3104+1))),INDEX(DATAS,Y3104+1),"")</f>
        <v/>
      </c>
      <c r="AG3104" s="45" t="str">
        <f aca="false">IF(AND(AA3104=1,Y3104&lt;1),IF(AND(C3105=C3104,Y3105=Y3104+1),IF(AA3105=1,"",INDEX(DATAS,Y3104+1)),INDEX(DATAS,Y3104+1)),"")</f>
        <v/>
      </c>
    </row>
    <row r="3105" customFormat="false" ht="15" hidden="false" customHeight="false" outlineLevel="0" collapsed="false">
      <c r="A3105" s="45" t="n">
        <v>46309</v>
      </c>
      <c r="B3105" s="0" t="n">
        <v>13</v>
      </c>
      <c r="C3105" s="0" t="n">
        <v>7512</v>
      </c>
      <c r="E3105" s="0" t="n">
        <v>0</v>
      </c>
      <c r="F3105" s="39" t="s">
        <v>1455</v>
      </c>
      <c r="I3105" s="39" t="s">
        <v>136</v>
      </c>
      <c r="U3105" s="0" t="n">
        <v>212</v>
      </c>
      <c r="V3105" s="0" t="n">
        <v>0</v>
      </c>
      <c r="W3105" s="39" t="n">
        <f aca="false">IF(I3105="Male",0,1)</f>
        <v>1</v>
      </c>
      <c r="X3105" s="39" t="n">
        <f aca="false">IF(OR(I3105="DNB",I3105="Dry DNB"),1,0)</f>
        <v>0</v>
      </c>
      <c r="Y3105" s="39" t="n">
        <f aca="false">MATCH(A3105,DATAS,0)</f>
        <v>1</v>
      </c>
      <c r="Z3105" s="39" t="n">
        <f aca="false">IF(AND(E3105&gt;0,OR(AND(B3105&gt;=1,B3105&lt;=6),B3105=10)),1,0)</f>
        <v>0</v>
      </c>
      <c r="AA3105" s="39" t="n">
        <f aca="false">IF(AND(E3105&gt;0,B3105=10),1,0)</f>
        <v>0</v>
      </c>
      <c r="AB3105" s="0" t="str">
        <f aca="false">IF(AND(C3104=C3105,Y3104=Y3105-1),Z3104,"")</f>
        <v/>
      </c>
      <c r="AC3105" s="0" t="str">
        <f aca="false">IF(AND(C3104=C3105,Y3104=Y3105-1),AA3104,"")</f>
        <v/>
      </c>
      <c r="AD3105" s="0" t="str">
        <f aca="false">IF(Y3105=1,"",IF(AND(Z3105=1,AB3105&lt;&gt;1),1,0))</f>
        <v/>
      </c>
      <c r="AE3105" s="0" t="str">
        <f aca="false">IF(Y3105=1,"",IF(AND(AA3105=1,AC3105&lt;&gt;1),1,0))</f>
        <v/>
      </c>
      <c r="AF3105" s="45" t="str">
        <f aca="false">IF(AND(E3105&gt;0,Y3105&lt;1,NOT(AND(C3106=C3105,Y3106=Y3105+1))),INDEX(DATAS,Y3105+1),"")</f>
        <v/>
      </c>
      <c r="AG3105" s="45" t="str">
        <f aca="false">IF(AND(AA3105=1,Y3105&lt;1),IF(AND(C3106=C3105,Y3106=Y3105+1),IF(AA3106=1,"",INDEX(DATAS,Y3105+1)),INDEX(DATAS,Y3105+1)),"")</f>
        <v/>
      </c>
    </row>
    <row r="3106" customFormat="false" ht="15" hidden="false" customHeight="false" outlineLevel="0" collapsed="false">
      <c r="A3106" s="45" t="n">
        <v>46309</v>
      </c>
      <c r="B3106" s="0" t="n">
        <v>13</v>
      </c>
      <c r="C3106" s="0" t="n">
        <v>7513</v>
      </c>
      <c r="E3106" s="0" t="n">
        <v>0</v>
      </c>
      <c r="F3106" s="39" t="s">
        <v>1456</v>
      </c>
      <c r="I3106" s="39" t="s">
        <v>136</v>
      </c>
      <c r="U3106" s="0" t="n">
        <v>211</v>
      </c>
      <c r="V3106" s="0" t="n">
        <v>0</v>
      </c>
      <c r="W3106" s="39" t="n">
        <f aca="false">IF(I3106="Male",0,1)</f>
        <v>1</v>
      </c>
      <c r="X3106" s="39" t="n">
        <f aca="false">IF(OR(I3106="DNB",I3106="Dry DNB"),1,0)</f>
        <v>0</v>
      </c>
      <c r="Y3106" s="39" t="n">
        <f aca="false">MATCH(A3106,DATAS,0)</f>
        <v>1</v>
      </c>
      <c r="Z3106" s="39" t="n">
        <f aca="false">IF(AND(E3106&gt;0,OR(AND(B3106&gt;=1,B3106&lt;=6),B3106=10)),1,0)</f>
        <v>0</v>
      </c>
      <c r="AA3106" s="39" t="n">
        <f aca="false">IF(AND(E3106&gt;0,B3106=10),1,0)</f>
        <v>0</v>
      </c>
      <c r="AB3106" s="0" t="str">
        <f aca="false">IF(AND(C3105=C3106,Y3105=Y3106-1),Z3105,"")</f>
        <v/>
      </c>
      <c r="AC3106" s="0" t="str">
        <f aca="false">IF(AND(C3105=C3106,Y3105=Y3106-1),AA3105,"")</f>
        <v/>
      </c>
      <c r="AD3106" s="0" t="str">
        <f aca="false">IF(Y3106=1,"",IF(AND(Z3106=1,AB3106&lt;&gt;1),1,0))</f>
        <v/>
      </c>
      <c r="AE3106" s="0" t="str">
        <f aca="false">IF(Y3106=1,"",IF(AND(AA3106=1,AC3106&lt;&gt;1),1,0))</f>
        <v/>
      </c>
      <c r="AF3106" s="45" t="str">
        <f aca="false">IF(AND(E3106&gt;0,Y3106&lt;1,NOT(AND(C3107=C3106,Y3107=Y3106+1))),INDEX(DATAS,Y3106+1),"")</f>
        <v/>
      </c>
      <c r="AG3106" s="45" t="str">
        <f aca="false">IF(AND(AA3106=1,Y3106&lt;1),IF(AND(C3107=C3106,Y3107=Y3106+1),IF(AA3107=1,"",INDEX(DATAS,Y3106+1)),INDEX(DATAS,Y3106+1)),"")</f>
        <v/>
      </c>
    </row>
    <row r="3107" customFormat="false" ht="15" hidden="false" customHeight="false" outlineLevel="0" collapsed="false">
      <c r="A3107" s="45" t="n">
        <v>46309</v>
      </c>
      <c r="B3107" s="0" t="n">
        <v>13</v>
      </c>
      <c r="C3107" s="0" t="n">
        <v>7514</v>
      </c>
      <c r="E3107" s="0" t="n">
        <v>0</v>
      </c>
      <c r="F3107" s="39" t="s">
        <v>1456</v>
      </c>
      <c r="I3107" s="39" t="s">
        <v>136</v>
      </c>
      <c r="U3107" s="0" t="n">
        <v>211</v>
      </c>
      <c r="V3107" s="0" t="n">
        <v>0</v>
      </c>
      <c r="W3107" s="39" t="n">
        <f aca="false">IF(I3107="Male",0,1)</f>
        <v>1</v>
      </c>
      <c r="X3107" s="39" t="n">
        <f aca="false">IF(OR(I3107="DNB",I3107="Dry DNB"),1,0)</f>
        <v>0</v>
      </c>
      <c r="Y3107" s="39" t="n">
        <f aca="false">MATCH(A3107,DATAS,0)</f>
        <v>1</v>
      </c>
      <c r="Z3107" s="39" t="n">
        <f aca="false">IF(AND(E3107&gt;0,OR(AND(B3107&gt;=1,B3107&lt;=6),B3107=10)),1,0)</f>
        <v>0</v>
      </c>
      <c r="AA3107" s="39" t="n">
        <f aca="false">IF(AND(E3107&gt;0,B3107=10),1,0)</f>
        <v>0</v>
      </c>
      <c r="AB3107" s="0" t="str">
        <f aca="false">IF(AND(C3106=C3107,Y3106=Y3107-1),Z3106,"")</f>
        <v/>
      </c>
      <c r="AC3107" s="0" t="str">
        <f aca="false">IF(AND(C3106=C3107,Y3106=Y3107-1),AA3106,"")</f>
        <v/>
      </c>
      <c r="AD3107" s="0" t="str">
        <f aca="false">IF(Y3107=1,"",IF(AND(Z3107=1,AB3107&lt;&gt;1),1,0))</f>
        <v/>
      </c>
      <c r="AE3107" s="0" t="str">
        <f aca="false">IF(Y3107=1,"",IF(AND(AA3107=1,AC3107&lt;&gt;1),1,0))</f>
        <v/>
      </c>
      <c r="AF3107" s="45" t="str">
        <f aca="false">IF(AND(E3107&gt;0,Y3107&lt;1,NOT(AND(C3108=C3107,Y3108=Y3107+1))),INDEX(DATAS,Y3107+1),"")</f>
        <v/>
      </c>
      <c r="AG3107" s="45" t="str">
        <f aca="false">IF(AND(AA3107=1,Y3107&lt;1),IF(AND(C3108=C3107,Y3108=Y3107+1),IF(AA3108=1,"",INDEX(DATAS,Y3107+1)),INDEX(DATAS,Y3107+1)),"")</f>
        <v/>
      </c>
    </row>
    <row r="3108" customFormat="false" ht="15" hidden="false" customHeight="false" outlineLevel="0" collapsed="false">
      <c r="A3108" s="45" t="n">
        <v>46309</v>
      </c>
      <c r="B3108" s="0" t="n">
        <v>13</v>
      </c>
      <c r="C3108" s="0" t="n">
        <v>7516</v>
      </c>
      <c r="E3108" s="0" t="n">
        <v>0</v>
      </c>
      <c r="F3108" s="39" t="s">
        <v>1456</v>
      </c>
      <c r="I3108" s="39" t="s">
        <v>136</v>
      </c>
      <c r="U3108" s="0" t="n">
        <v>211</v>
      </c>
      <c r="V3108" s="0" t="n">
        <v>0</v>
      </c>
      <c r="W3108" s="39" t="n">
        <f aca="false">IF(I3108="Male",0,1)</f>
        <v>1</v>
      </c>
      <c r="X3108" s="39" t="n">
        <f aca="false">IF(OR(I3108="DNB",I3108="Dry DNB"),1,0)</f>
        <v>0</v>
      </c>
      <c r="Y3108" s="39" t="n">
        <f aca="false">MATCH(A3108,DATAS,0)</f>
        <v>1</v>
      </c>
      <c r="Z3108" s="39" t="n">
        <f aca="false">IF(AND(E3108&gt;0,OR(AND(B3108&gt;=1,B3108&lt;=6),B3108=10)),1,0)</f>
        <v>0</v>
      </c>
      <c r="AA3108" s="39" t="n">
        <f aca="false">IF(AND(E3108&gt;0,B3108=10),1,0)</f>
        <v>0</v>
      </c>
      <c r="AB3108" s="0" t="str">
        <f aca="false">IF(AND(C3107=C3108,Y3107=Y3108-1),Z3107,"")</f>
        <v/>
      </c>
      <c r="AC3108" s="0" t="str">
        <f aca="false">IF(AND(C3107=C3108,Y3107=Y3108-1),AA3107,"")</f>
        <v/>
      </c>
      <c r="AD3108" s="0" t="str">
        <f aca="false">IF(Y3108=1,"",IF(AND(Z3108=1,AB3108&lt;&gt;1),1,0))</f>
        <v/>
      </c>
      <c r="AE3108" s="0" t="str">
        <f aca="false">IF(Y3108=1,"",IF(AND(AA3108=1,AC3108&lt;&gt;1),1,0))</f>
        <v/>
      </c>
      <c r="AF3108" s="45" t="str">
        <f aca="false">IF(AND(E3108&gt;0,Y3108&lt;1,NOT(AND(C3109=C3108,Y3109=Y3108+1))),INDEX(DATAS,Y3108+1),"")</f>
        <v/>
      </c>
      <c r="AG3108" s="45" t="str">
        <f aca="false">IF(AND(AA3108=1,Y3108&lt;1),IF(AND(C3109=C3108,Y3109=Y3108+1),IF(AA3109=1,"",INDEX(DATAS,Y3108+1)),INDEX(DATAS,Y3108+1)),"")</f>
        <v/>
      </c>
    </row>
    <row r="3109" customFormat="false" ht="15" hidden="false" customHeight="false" outlineLevel="0" collapsed="false">
      <c r="A3109" s="45" t="n">
        <v>46309</v>
      </c>
      <c r="B3109" s="0" t="n">
        <v>13</v>
      </c>
      <c r="C3109" s="0" t="n">
        <v>7517</v>
      </c>
      <c r="E3109" s="0" t="n">
        <v>0</v>
      </c>
      <c r="F3109" s="39" t="s">
        <v>1457</v>
      </c>
      <c r="I3109" s="39" t="s">
        <v>136</v>
      </c>
      <c r="U3109" s="0" t="n">
        <v>210</v>
      </c>
      <c r="V3109" s="0" t="n">
        <v>0</v>
      </c>
      <c r="W3109" s="39" t="n">
        <f aca="false">IF(I3109="Male",0,1)</f>
        <v>1</v>
      </c>
      <c r="X3109" s="39" t="n">
        <f aca="false">IF(OR(I3109="DNB",I3109="Dry DNB"),1,0)</f>
        <v>0</v>
      </c>
      <c r="Y3109" s="39" t="n">
        <f aca="false">MATCH(A3109,DATAS,0)</f>
        <v>1</v>
      </c>
      <c r="Z3109" s="39" t="n">
        <f aca="false">IF(AND(E3109&gt;0,OR(AND(B3109&gt;=1,B3109&lt;=6),B3109=10)),1,0)</f>
        <v>0</v>
      </c>
      <c r="AA3109" s="39" t="n">
        <f aca="false">IF(AND(E3109&gt;0,B3109=10),1,0)</f>
        <v>0</v>
      </c>
      <c r="AB3109" s="0" t="str">
        <f aca="false">IF(AND(C3108=C3109,Y3108=Y3109-1),Z3108,"")</f>
        <v/>
      </c>
      <c r="AC3109" s="0" t="str">
        <f aca="false">IF(AND(C3108=C3109,Y3108=Y3109-1),AA3108,"")</f>
        <v/>
      </c>
      <c r="AD3109" s="0" t="str">
        <f aca="false">IF(Y3109=1,"",IF(AND(Z3109=1,AB3109&lt;&gt;1),1,0))</f>
        <v/>
      </c>
      <c r="AE3109" s="0" t="str">
        <f aca="false">IF(Y3109=1,"",IF(AND(AA3109=1,AC3109&lt;&gt;1),1,0))</f>
        <v/>
      </c>
      <c r="AF3109" s="45" t="str">
        <f aca="false">IF(AND(E3109&gt;0,Y3109&lt;1,NOT(AND(C3110=C3109,Y3110=Y3109+1))),INDEX(DATAS,Y3109+1),"")</f>
        <v/>
      </c>
      <c r="AG3109" s="45" t="str">
        <f aca="false">IF(AND(AA3109=1,Y3109&lt;1),IF(AND(C3110=C3109,Y3110=Y3109+1),IF(AA3110=1,"",INDEX(DATAS,Y3109+1)),INDEX(DATAS,Y3109+1)),"")</f>
        <v/>
      </c>
    </row>
    <row r="3110" customFormat="false" ht="15" hidden="false" customHeight="false" outlineLevel="0" collapsed="false">
      <c r="A3110" s="45" t="n">
        <v>46309</v>
      </c>
      <c r="B3110" s="0" t="n">
        <v>13</v>
      </c>
      <c r="C3110" s="0" t="n">
        <v>7519</v>
      </c>
      <c r="E3110" s="0" t="n">
        <v>0</v>
      </c>
      <c r="F3110" s="39" t="s">
        <v>1457</v>
      </c>
      <c r="I3110" s="39" t="s">
        <v>136</v>
      </c>
      <c r="U3110" s="0" t="n">
        <v>210</v>
      </c>
      <c r="V3110" s="0" t="n">
        <v>0</v>
      </c>
      <c r="W3110" s="39" t="n">
        <f aca="false">IF(I3110="Male",0,1)</f>
        <v>1</v>
      </c>
      <c r="X3110" s="39" t="n">
        <f aca="false">IF(OR(I3110="DNB",I3110="Dry DNB"),1,0)</f>
        <v>0</v>
      </c>
      <c r="Y3110" s="39" t="n">
        <f aca="false">MATCH(A3110,DATAS,0)</f>
        <v>1</v>
      </c>
      <c r="Z3110" s="39" t="n">
        <f aca="false">IF(AND(E3110&gt;0,OR(AND(B3110&gt;=1,B3110&lt;=6),B3110=10)),1,0)</f>
        <v>0</v>
      </c>
      <c r="AA3110" s="39" t="n">
        <f aca="false">IF(AND(E3110&gt;0,B3110=10),1,0)</f>
        <v>0</v>
      </c>
      <c r="AB3110" s="0" t="str">
        <f aca="false">IF(AND(C3109=C3110,Y3109=Y3110-1),Z3109,"")</f>
        <v/>
      </c>
      <c r="AC3110" s="0" t="str">
        <f aca="false">IF(AND(C3109=C3110,Y3109=Y3110-1),AA3109,"")</f>
        <v/>
      </c>
      <c r="AD3110" s="0" t="str">
        <f aca="false">IF(Y3110=1,"",IF(AND(Z3110=1,AB3110&lt;&gt;1),1,0))</f>
        <v/>
      </c>
      <c r="AE3110" s="0" t="str">
        <f aca="false">IF(Y3110=1,"",IF(AND(AA3110=1,AC3110&lt;&gt;1),1,0))</f>
        <v/>
      </c>
      <c r="AF3110" s="45" t="str">
        <f aca="false">IF(AND(E3110&gt;0,Y3110&lt;1,NOT(AND(C3111=C3110,Y3111=Y3110+1))),INDEX(DATAS,Y3110+1),"")</f>
        <v/>
      </c>
      <c r="AG3110" s="45" t="str">
        <f aca="false">IF(AND(AA3110=1,Y3110&lt;1),IF(AND(C3111=C3110,Y3111=Y3110+1),IF(AA3111=1,"",INDEX(DATAS,Y3110+1)),INDEX(DATAS,Y3110+1)),"")</f>
        <v/>
      </c>
    </row>
    <row r="3111" customFormat="false" ht="15" hidden="false" customHeight="false" outlineLevel="0" collapsed="false">
      <c r="A3111" s="45" t="n">
        <v>46309</v>
      </c>
      <c r="B3111" s="0" t="n">
        <v>13</v>
      </c>
      <c r="C3111" s="0" t="n">
        <v>7520</v>
      </c>
      <c r="E3111" s="0" t="n">
        <v>0</v>
      </c>
      <c r="F3111" s="39" t="s">
        <v>1457</v>
      </c>
      <c r="I3111" s="39" t="s">
        <v>136</v>
      </c>
      <c r="U3111" s="0" t="n">
        <v>210</v>
      </c>
      <c r="V3111" s="0" t="n">
        <v>0</v>
      </c>
      <c r="W3111" s="39" t="n">
        <f aca="false">IF(I3111="Male",0,1)</f>
        <v>1</v>
      </c>
      <c r="X3111" s="39" t="n">
        <f aca="false">IF(OR(I3111="DNB",I3111="Dry DNB"),1,0)</f>
        <v>0</v>
      </c>
      <c r="Y3111" s="39" t="n">
        <f aca="false">MATCH(A3111,DATAS,0)</f>
        <v>1</v>
      </c>
      <c r="Z3111" s="39" t="n">
        <f aca="false">IF(AND(E3111&gt;0,OR(AND(B3111&gt;=1,B3111&lt;=6),B3111=10)),1,0)</f>
        <v>0</v>
      </c>
      <c r="AA3111" s="39" t="n">
        <f aca="false">IF(AND(E3111&gt;0,B3111=10),1,0)</f>
        <v>0</v>
      </c>
      <c r="AB3111" s="0" t="str">
        <f aca="false">IF(AND(C3110=C3111,Y3110=Y3111-1),Z3110,"")</f>
        <v/>
      </c>
      <c r="AC3111" s="0" t="str">
        <f aca="false">IF(AND(C3110=C3111,Y3110=Y3111-1),AA3110,"")</f>
        <v/>
      </c>
      <c r="AD3111" s="0" t="str">
        <f aca="false">IF(Y3111=1,"",IF(AND(Z3111=1,AB3111&lt;&gt;1),1,0))</f>
        <v/>
      </c>
      <c r="AE3111" s="0" t="str">
        <f aca="false">IF(Y3111=1,"",IF(AND(AA3111=1,AC3111&lt;&gt;1),1,0))</f>
        <v/>
      </c>
      <c r="AF3111" s="45" t="str">
        <f aca="false">IF(AND(E3111&gt;0,Y3111&lt;1,NOT(AND(C3112=C3111,Y3112=Y3111+1))),INDEX(DATAS,Y3111+1),"")</f>
        <v/>
      </c>
      <c r="AG3111" s="45" t="str">
        <f aca="false">IF(AND(AA3111=1,Y3111&lt;1),IF(AND(C3112=C3111,Y3112=Y3111+1),IF(AA3112=1,"",INDEX(DATAS,Y3111+1)),INDEX(DATAS,Y3111+1)),"")</f>
        <v/>
      </c>
    </row>
    <row r="3112" customFormat="false" ht="15" hidden="false" customHeight="false" outlineLevel="0" collapsed="false">
      <c r="A3112" s="45" t="n">
        <v>46309</v>
      </c>
      <c r="B3112" s="0" t="n">
        <v>13</v>
      </c>
      <c r="C3112" s="0" t="n">
        <v>7521</v>
      </c>
      <c r="E3112" s="0" t="n">
        <v>0</v>
      </c>
      <c r="F3112" s="39" t="s">
        <v>1458</v>
      </c>
      <c r="I3112" s="39" t="s">
        <v>136</v>
      </c>
      <c r="U3112" s="0" t="n">
        <v>209</v>
      </c>
      <c r="V3112" s="0" t="n">
        <v>0</v>
      </c>
      <c r="W3112" s="39" t="n">
        <f aca="false">IF(I3112="Male",0,1)</f>
        <v>1</v>
      </c>
      <c r="X3112" s="39" t="n">
        <f aca="false">IF(OR(I3112="DNB",I3112="Dry DNB"),1,0)</f>
        <v>0</v>
      </c>
      <c r="Y3112" s="39" t="n">
        <f aca="false">MATCH(A3112,DATAS,0)</f>
        <v>1</v>
      </c>
      <c r="Z3112" s="39" t="n">
        <f aca="false">IF(AND(E3112&gt;0,OR(AND(B3112&gt;=1,B3112&lt;=6),B3112=10)),1,0)</f>
        <v>0</v>
      </c>
      <c r="AA3112" s="39" t="n">
        <f aca="false">IF(AND(E3112&gt;0,B3112=10),1,0)</f>
        <v>0</v>
      </c>
      <c r="AB3112" s="0" t="str">
        <f aca="false">IF(AND(C3111=C3112,Y3111=Y3112-1),Z3111,"")</f>
        <v/>
      </c>
      <c r="AC3112" s="0" t="str">
        <f aca="false">IF(AND(C3111=C3112,Y3111=Y3112-1),AA3111,"")</f>
        <v/>
      </c>
      <c r="AD3112" s="0" t="str">
        <f aca="false">IF(Y3112=1,"",IF(AND(Z3112=1,AB3112&lt;&gt;1),1,0))</f>
        <v/>
      </c>
      <c r="AE3112" s="0" t="str">
        <f aca="false">IF(Y3112=1,"",IF(AND(AA3112=1,AC3112&lt;&gt;1),1,0))</f>
        <v/>
      </c>
      <c r="AF3112" s="45" t="str">
        <f aca="false">IF(AND(E3112&gt;0,Y3112&lt;1,NOT(AND(C3113=C3112,Y3113=Y3112+1))),INDEX(DATAS,Y3112+1),"")</f>
        <v/>
      </c>
      <c r="AG3112" s="45" t="str">
        <f aca="false">IF(AND(AA3112=1,Y3112&lt;1),IF(AND(C3113=C3112,Y3113=Y3112+1),IF(AA3113=1,"",INDEX(DATAS,Y3112+1)),INDEX(DATAS,Y3112+1)),"")</f>
        <v/>
      </c>
    </row>
    <row r="3113" customFormat="false" ht="15" hidden="false" customHeight="false" outlineLevel="0" collapsed="false">
      <c r="A3113" s="45" t="n">
        <v>46309</v>
      </c>
      <c r="B3113" s="0" t="n">
        <v>13</v>
      </c>
      <c r="C3113" s="0" t="n">
        <v>7523</v>
      </c>
      <c r="E3113" s="0" t="n">
        <v>0</v>
      </c>
      <c r="F3113" s="39" t="s">
        <v>1458</v>
      </c>
      <c r="I3113" s="39" t="s">
        <v>136</v>
      </c>
      <c r="U3113" s="0" t="n">
        <v>209</v>
      </c>
      <c r="V3113" s="0" t="n">
        <v>0</v>
      </c>
      <c r="W3113" s="39" t="n">
        <f aca="false">IF(I3113="Male",0,1)</f>
        <v>1</v>
      </c>
      <c r="X3113" s="39" t="n">
        <f aca="false">IF(OR(I3113="DNB",I3113="Dry DNB"),1,0)</f>
        <v>0</v>
      </c>
      <c r="Y3113" s="39" t="n">
        <f aca="false">MATCH(A3113,DATAS,0)</f>
        <v>1</v>
      </c>
      <c r="Z3113" s="39" t="n">
        <f aca="false">IF(AND(E3113&gt;0,OR(AND(B3113&gt;=1,B3113&lt;=6),B3113=10)),1,0)</f>
        <v>0</v>
      </c>
      <c r="AA3113" s="39" t="n">
        <f aca="false">IF(AND(E3113&gt;0,B3113=10),1,0)</f>
        <v>0</v>
      </c>
      <c r="AB3113" s="0" t="str">
        <f aca="false">IF(AND(C3112=C3113,Y3112=Y3113-1),Z3112,"")</f>
        <v/>
      </c>
      <c r="AC3113" s="0" t="str">
        <f aca="false">IF(AND(C3112=C3113,Y3112=Y3113-1),AA3112,"")</f>
        <v/>
      </c>
      <c r="AD3113" s="0" t="str">
        <f aca="false">IF(Y3113=1,"",IF(AND(Z3113=1,AB3113&lt;&gt;1),1,0))</f>
        <v/>
      </c>
      <c r="AE3113" s="0" t="str">
        <f aca="false">IF(Y3113=1,"",IF(AND(AA3113=1,AC3113&lt;&gt;1),1,0))</f>
        <v/>
      </c>
      <c r="AF3113" s="45" t="str">
        <f aca="false">IF(AND(E3113&gt;0,Y3113&lt;1,NOT(AND(C3114=C3113,Y3114=Y3113+1))),INDEX(DATAS,Y3113+1),"")</f>
        <v/>
      </c>
      <c r="AG3113" s="45" t="str">
        <f aca="false">IF(AND(AA3113=1,Y3113&lt;1),IF(AND(C3114=C3113,Y3114=Y3113+1),IF(AA3114=1,"",INDEX(DATAS,Y3113+1)),INDEX(DATAS,Y3113+1)),"")</f>
        <v/>
      </c>
    </row>
    <row r="3114" customFormat="false" ht="15" hidden="false" customHeight="false" outlineLevel="0" collapsed="false">
      <c r="A3114" s="45" t="n">
        <v>46309</v>
      </c>
      <c r="B3114" s="0" t="n">
        <v>13</v>
      </c>
      <c r="C3114" s="0" t="n">
        <v>7525</v>
      </c>
      <c r="E3114" s="0" t="n">
        <v>0</v>
      </c>
      <c r="F3114" s="39" t="s">
        <v>1458</v>
      </c>
      <c r="I3114" s="39" t="s">
        <v>136</v>
      </c>
      <c r="U3114" s="0" t="n">
        <v>209</v>
      </c>
      <c r="V3114" s="0" t="n">
        <v>0</v>
      </c>
      <c r="W3114" s="39" t="n">
        <f aca="false">IF(I3114="Male",0,1)</f>
        <v>1</v>
      </c>
      <c r="X3114" s="39" t="n">
        <f aca="false">IF(OR(I3114="DNB",I3114="Dry DNB"),1,0)</f>
        <v>0</v>
      </c>
      <c r="Y3114" s="39" t="n">
        <f aca="false">MATCH(A3114,DATAS,0)</f>
        <v>1</v>
      </c>
      <c r="Z3114" s="39" t="n">
        <f aca="false">IF(AND(E3114&gt;0,OR(AND(B3114&gt;=1,B3114&lt;=6),B3114=10)),1,0)</f>
        <v>0</v>
      </c>
      <c r="AA3114" s="39" t="n">
        <f aca="false">IF(AND(E3114&gt;0,B3114=10),1,0)</f>
        <v>0</v>
      </c>
      <c r="AB3114" s="0" t="str">
        <f aca="false">IF(AND(C3113=C3114,Y3113=Y3114-1),Z3113,"")</f>
        <v/>
      </c>
      <c r="AC3114" s="0" t="str">
        <f aca="false">IF(AND(C3113=C3114,Y3113=Y3114-1),AA3113,"")</f>
        <v/>
      </c>
      <c r="AD3114" s="0" t="str">
        <f aca="false">IF(Y3114=1,"",IF(AND(Z3114=1,AB3114&lt;&gt;1),1,0))</f>
        <v/>
      </c>
      <c r="AE3114" s="0" t="str">
        <f aca="false">IF(Y3114=1,"",IF(AND(AA3114=1,AC3114&lt;&gt;1),1,0))</f>
        <v/>
      </c>
      <c r="AF3114" s="45" t="str">
        <f aca="false">IF(AND(E3114&gt;0,Y3114&lt;1,NOT(AND(C3115=C3114,Y3115=Y3114+1))),INDEX(DATAS,Y3114+1),"")</f>
        <v/>
      </c>
      <c r="AG3114" s="45" t="str">
        <f aca="false">IF(AND(AA3114=1,Y3114&lt;1),IF(AND(C3115=C3114,Y3115=Y3114+1),IF(AA3115=1,"",INDEX(DATAS,Y3114+1)),INDEX(DATAS,Y3114+1)),"")</f>
        <v/>
      </c>
    </row>
    <row r="3115" customFormat="false" ht="15" hidden="false" customHeight="false" outlineLevel="0" collapsed="false">
      <c r="A3115" s="45" t="n">
        <v>46309</v>
      </c>
      <c r="B3115" s="0" t="n">
        <v>13</v>
      </c>
      <c r="C3115" s="0" t="n">
        <v>7526</v>
      </c>
      <c r="E3115" s="0" t="n">
        <v>0</v>
      </c>
      <c r="F3115" s="39" t="s">
        <v>1458</v>
      </c>
      <c r="I3115" s="39" t="s">
        <v>136</v>
      </c>
      <c r="U3115" s="0" t="n">
        <v>209</v>
      </c>
      <c r="V3115" s="0" t="n">
        <v>0</v>
      </c>
      <c r="W3115" s="39" t="n">
        <f aca="false">IF(I3115="Male",0,1)</f>
        <v>1</v>
      </c>
      <c r="X3115" s="39" t="n">
        <f aca="false">IF(OR(I3115="DNB",I3115="Dry DNB"),1,0)</f>
        <v>0</v>
      </c>
      <c r="Y3115" s="39" t="n">
        <f aca="false">MATCH(A3115,DATAS,0)</f>
        <v>1</v>
      </c>
      <c r="Z3115" s="39" t="n">
        <f aca="false">IF(AND(E3115&gt;0,OR(AND(B3115&gt;=1,B3115&lt;=6),B3115=10)),1,0)</f>
        <v>0</v>
      </c>
      <c r="AA3115" s="39" t="n">
        <f aca="false">IF(AND(E3115&gt;0,B3115=10),1,0)</f>
        <v>0</v>
      </c>
      <c r="AB3115" s="0" t="str">
        <f aca="false">IF(AND(C3114=C3115,Y3114=Y3115-1),Z3114,"")</f>
        <v/>
      </c>
      <c r="AC3115" s="0" t="str">
        <f aca="false">IF(AND(C3114=C3115,Y3114=Y3115-1),AA3114,"")</f>
        <v/>
      </c>
      <c r="AD3115" s="0" t="str">
        <f aca="false">IF(Y3115=1,"",IF(AND(Z3115=1,AB3115&lt;&gt;1),1,0))</f>
        <v/>
      </c>
      <c r="AE3115" s="0" t="str">
        <f aca="false">IF(Y3115=1,"",IF(AND(AA3115=1,AC3115&lt;&gt;1),1,0))</f>
        <v/>
      </c>
      <c r="AF3115" s="45" t="str">
        <f aca="false">IF(AND(E3115&gt;0,Y3115&lt;1,NOT(AND(C3116=C3115,Y3116=Y3115+1))),INDEX(DATAS,Y3115+1),"")</f>
        <v/>
      </c>
      <c r="AG3115" s="45" t="str">
        <f aca="false">IF(AND(AA3115=1,Y3115&lt;1),IF(AND(C3116=C3115,Y3116=Y3115+1),IF(AA3116=1,"",INDEX(DATAS,Y3115+1)),INDEX(DATAS,Y3115+1)),"")</f>
        <v/>
      </c>
    </row>
    <row r="3116" customFormat="false" ht="15" hidden="false" customHeight="false" outlineLevel="0" collapsed="false">
      <c r="A3116" s="45" t="n">
        <v>46309</v>
      </c>
      <c r="B3116" s="0" t="n">
        <v>13</v>
      </c>
      <c r="C3116" s="0" t="n">
        <v>7527</v>
      </c>
      <c r="E3116" s="0" t="n">
        <v>0</v>
      </c>
      <c r="F3116" s="39" t="s">
        <v>1458</v>
      </c>
      <c r="I3116" s="39" t="s">
        <v>136</v>
      </c>
      <c r="U3116" s="0" t="n">
        <v>209</v>
      </c>
      <c r="V3116" s="0" t="n">
        <v>0</v>
      </c>
      <c r="W3116" s="39" t="n">
        <f aca="false">IF(I3116="Male",0,1)</f>
        <v>1</v>
      </c>
      <c r="X3116" s="39" t="n">
        <f aca="false">IF(OR(I3116="DNB",I3116="Dry DNB"),1,0)</f>
        <v>0</v>
      </c>
      <c r="Y3116" s="39" t="n">
        <f aca="false">MATCH(A3116,DATAS,0)</f>
        <v>1</v>
      </c>
      <c r="Z3116" s="39" t="n">
        <f aca="false">IF(AND(E3116&gt;0,OR(AND(B3116&gt;=1,B3116&lt;=6),B3116=10)),1,0)</f>
        <v>0</v>
      </c>
      <c r="AA3116" s="39" t="n">
        <f aca="false">IF(AND(E3116&gt;0,B3116=10),1,0)</f>
        <v>0</v>
      </c>
      <c r="AB3116" s="0" t="str">
        <f aca="false">IF(AND(C3115=C3116,Y3115=Y3116-1),Z3115,"")</f>
        <v/>
      </c>
      <c r="AC3116" s="0" t="str">
        <f aca="false">IF(AND(C3115=C3116,Y3115=Y3116-1),AA3115,"")</f>
        <v/>
      </c>
      <c r="AD3116" s="0" t="str">
        <f aca="false">IF(Y3116=1,"",IF(AND(Z3116=1,AB3116&lt;&gt;1),1,0))</f>
        <v/>
      </c>
      <c r="AE3116" s="0" t="str">
        <f aca="false">IF(Y3116=1,"",IF(AND(AA3116=1,AC3116&lt;&gt;1),1,0))</f>
        <v/>
      </c>
      <c r="AF3116" s="45" t="str">
        <f aca="false">IF(AND(E3116&gt;0,Y3116&lt;1,NOT(AND(C3117=C3116,Y3117=Y3116+1))),INDEX(DATAS,Y3116+1),"")</f>
        <v/>
      </c>
      <c r="AG3116" s="45" t="str">
        <f aca="false">IF(AND(AA3116=1,Y3116&lt;1),IF(AND(C3117=C3116,Y3117=Y3116+1),IF(AA3117=1,"",INDEX(DATAS,Y3116+1)),INDEX(DATAS,Y3116+1)),"")</f>
        <v/>
      </c>
    </row>
    <row r="3117" customFormat="false" ht="15" hidden="false" customHeight="false" outlineLevel="0" collapsed="false">
      <c r="A3117" s="45" t="n">
        <v>46309</v>
      </c>
      <c r="B3117" s="0" t="n">
        <v>13</v>
      </c>
      <c r="C3117" s="0" t="n">
        <v>7528</v>
      </c>
      <c r="E3117" s="0" t="n">
        <v>0</v>
      </c>
      <c r="F3117" s="39" t="s">
        <v>1459</v>
      </c>
      <c r="I3117" s="39" t="s">
        <v>136</v>
      </c>
      <c r="U3117" s="0" t="n">
        <v>208</v>
      </c>
      <c r="V3117" s="0" t="n">
        <v>0</v>
      </c>
      <c r="W3117" s="39" t="n">
        <f aca="false">IF(I3117="Male",0,1)</f>
        <v>1</v>
      </c>
      <c r="X3117" s="39" t="n">
        <f aca="false">IF(OR(I3117="DNB",I3117="Dry DNB"),1,0)</f>
        <v>0</v>
      </c>
      <c r="Y3117" s="39" t="n">
        <f aca="false">MATCH(A3117,DATAS,0)</f>
        <v>1</v>
      </c>
      <c r="Z3117" s="39" t="n">
        <f aca="false">IF(AND(E3117&gt;0,OR(AND(B3117&gt;=1,B3117&lt;=6),B3117=10)),1,0)</f>
        <v>0</v>
      </c>
      <c r="AA3117" s="39" t="n">
        <f aca="false">IF(AND(E3117&gt;0,B3117=10),1,0)</f>
        <v>0</v>
      </c>
      <c r="AB3117" s="0" t="str">
        <f aca="false">IF(AND(C3116=C3117,Y3116=Y3117-1),Z3116,"")</f>
        <v/>
      </c>
      <c r="AC3117" s="0" t="str">
        <f aca="false">IF(AND(C3116=C3117,Y3116=Y3117-1),AA3116,"")</f>
        <v/>
      </c>
      <c r="AD3117" s="0" t="str">
        <f aca="false">IF(Y3117=1,"",IF(AND(Z3117=1,AB3117&lt;&gt;1),1,0))</f>
        <v/>
      </c>
      <c r="AE3117" s="0" t="str">
        <f aca="false">IF(Y3117=1,"",IF(AND(AA3117=1,AC3117&lt;&gt;1),1,0))</f>
        <v/>
      </c>
      <c r="AF3117" s="45" t="str">
        <f aca="false">IF(AND(E3117&gt;0,Y3117&lt;1,NOT(AND(C3118=C3117,Y3118=Y3117+1))),INDEX(DATAS,Y3117+1),"")</f>
        <v/>
      </c>
      <c r="AG3117" s="45" t="str">
        <f aca="false">IF(AND(AA3117=1,Y3117&lt;1),IF(AND(C3118=C3117,Y3118=Y3117+1),IF(AA3118=1,"",INDEX(DATAS,Y3117+1)),INDEX(DATAS,Y3117+1)),"")</f>
        <v/>
      </c>
    </row>
    <row r="3118" customFormat="false" ht="15" hidden="false" customHeight="false" outlineLevel="0" collapsed="false">
      <c r="A3118" s="45" t="n">
        <v>46309</v>
      </c>
      <c r="B3118" s="0" t="n">
        <v>13</v>
      </c>
      <c r="C3118" s="0" t="n">
        <v>7529</v>
      </c>
      <c r="E3118" s="0" t="n">
        <v>0</v>
      </c>
      <c r="F3118" s="39" t="s">
        <v>1459</v>
      </c>
      <c r="I3118" s="39" t="s">
        <v>136</v>
      </c>
      <c r="U3118" s="0" t="n">
        <v>208</v>
      </c>
      <c r="V3118" s="0" t="n">
        <v>0</v>
      </c>
      <c r="W3118" s="39" t="n">
        <f aca="false">IF(I3118="Male",0,1)</f>
        <v>1</v>
      </c>
      <c r="X3118" s="39" t="n">
        <f aca="false">IF(OR(I3118="DNB",I3118="Dry DNB"),1,0)</f>
        <v>0</v>
      </c>
      <c r="Y3118" s="39" t="n">
        <f aca="false">MATCH(A3118,DATAS,0)</f>
        <v>1</v>
      </c>
      <c r="Z3118" s="39" t="n">
        <f aca="false">IF(AND(E3118&gt;0,OR(AND(B3118&gt;=1,B3118&lt;=6),B3118=10)),1,0)</f>
        <v>0</v>
      </c>
      <c r="AA3118" s="39" t="n">
        <f aca="false">IF(AND(E3118&gt;0,B3118=10),1,0)</f>
        <v>0</v>
      </c>
      <c r="AB3118" s="0" t="str">
        <f aca="false">IF(AND(C3117=C3118,Y3117=Y3118-1),Z3117,"")</f>
        <v/>
      </c>
      <c r="AC3118" s="0" t="str">
        <f aca="false">IF(AND(C3117=C3118,Y3117=Y3118-1),AA3117,"")</f>
        <v/>
      </c>
      <c r="AD3118" s="0" t="str">
        <f aca="false">IF(Y3118=1,"",IF(AND(Z3118=1,AB3118&lt;&gt;1),1,0))</f>
        <v/>
      </c>
      <c r="AE3118" s="0" t="str">
        <f aca="false">IF(Y3118=1,"",IF(AND(AA3118=1,AC3118&lt;&gt;1),1,0))</f>
        <v/>
      </c>
      <c r="AF3118" s="45" t="str">
        <f aca="false">IF(AND(E3118&gt;0,Y3118&lt;1,NOT(AND(C3119=C3118,Y3119=Y3118+1))),INDEX(DATAS,Y3118+1),"")</f>
        <v/>
      </c>
      <c r="AG3118" s="45" t="str">
        <f aca="false">IF(AND(AA3118=1,Y3118&lt;1),IF(AND(C3119=C3118,Y3119=Y3118+1),IF(AA3119=1,"",INDEX(DATAS,Y3118+1)),INDEX(DATAS,Y3118+1)),"")</f>
        <v/>
      </c>
    </row>
    <row r="3119" customFormat="false" ht="15" hidden="false" customHeight="false" outlineLevel="0" collapsed="false">
      <c r="A3119" s="45" t="n">
        <v>46309</v>
      </c>
      <c r="B3119" s="0" t="n">
        <v>13</v>
      </c>
      <c r="C3119" s="0" t="n">
        <v>7530</v>
      </c>
      <c r="E3119" s="0" t="n">
        <v>0</v>
      </c>
      <c r="F3119" s="39" t="s">
        <v>1459</v>
      </c>
      <c r="I3119" s="39" t="s">
        <v>136</v>
      </c>
      <c r="U3119" s="0" t="n">
        <v>208</v>
      </c>
      <c r="V3119" s="0" t="n">
        <v>0</v>
      </c>
      <c r="W3119" s="39" t="n">
        <f aca="false">IF(I3119="Male",0,1)</f>
        <v>1</v>
      </c>
      <c r="X3119" s="39" t="n">
        <f aca="false">IF(OR(I3119="DNB",I3119="Dry DNB"),1,0)</f>
        <v>0</v>
      </c>
      <c r="Y3119" s="39" t="n">
        <f aca="false">MATCH(A3119,DATAS,0)</f>
        <v>1</v>
      </c>
      <c r="Z3119" s="39" t="n">
        <f aca="false">IF(AND(E3119&gt;0,OR(AND(B3119&gt;=1,B3119&lt;=6),B3119=10)),1,0)</f>
        <v>0</v>
      </c>
      <c r="AA3119" s="39" t="n">
        <f aca="false">IF(AND(E3119&gt;0,B3119=10),1,0)</f>
        <v>0</v>
      </c>
      <c r="AB3119" s="0" t="str">
        <f aca="false">IF(AND(C3118=C3119,Y3118=Y3119-1),Z3118,"")</f>
        <v/>
      </c>
      <c r="AC3119" s="0" t="str">
        <f aca="false">IF(AND(C3118=C3119,Y3118=Y3119-1),AA3118,"")</f>
        <v/>
      </c>
      <c r="AD3119" s="0" t="str">
        <f aca="false">IF(Y3119=1,"",IF(AND(Z3119=1,AB3119&lt;&gt;1),1,0))</f>
        <v/>
      </c>
      <c r="AE3119" s="0" t="str">
        <f aca="false">IF(Y3119=1,"",IF(AND(AA3119=1,AC3119&lt;&gt;1),1,0))</f>
        <v/>
      </c>
      <c r="AF3119" s="45" t="str">
        <f aca="false">IF(AND(E3119&gt;0,Y3119&lt;1,NOT(AND(C3120=C3119,Y3120=Y3119+1))),INDEX(DATAS,Y3119+1),"")</f>
        <v/>
      </c>
      <c r="AG3119" s="45" t="str">
        <f aca="false">IF(AND(AA3119=1,Y3119&lt;1),IF(AND(C3120=C3119,Y3120=Y3119+1),IF(AA3120=1,"",INDEX(DATAS,Y3119+1)),INDEX(DATAS,Y3119+1)),"")</f>
        <v/>
      </c>
    </row>
    <row r="3120" customFormat="false" ht="15" hidden="false" customHeight="false" outlineLevel="0" collapsed="false">
      <c r="A3120" s="45" t="n">
        <v>46309</v>
      </c>
      <c r="B3120" s="0" t="n">
        <v>13</v>
      </c>
      <c r="C3120" s="0" t="n">
        <v>7531</v>
      </c>
      <c r="E3120" s="0" t="n">
        <v>0</v>
      </c>
      <c r="F3120" s="39" t="s">
        <v>1459</v>
      </c>
      <c r="I3120" s="39" t="s">
        <v>136</v>
      </c>
      <c r="U3120" s="0" t="n">
        <v>208</v>
      </c>
      <c r="V3120" s="0" t="n">
        <v>0</v>
      </c>
      <c r="W3120" s="39" t="n">
        <f aca="false">IF(I3120="Male",0,1)</f>
        <v>1</v>
      </c>
      <c r="X3120" s="39" t="n">
        <f aca="false">IF(OR(I3120="DNB",I3120="Dry DNB"),1,0)</f>
        <v>0</v>
      </c>
      <c r="Y3120" s="39" t="n">
        <f aca="false">MATCH(A3120,DATAS,0)</f>
        <v>1</v>
      </c>
      <c r="Z3120" s="39" t="n">
        <f aca="false">IF(AND(E3120&gt;0,OR(AND(B3120&gt;=1,B3120&lt;=6),B3120=10)),1,0)</f>
        <v>0</v>
      </c>
      <c r="AA3120" s="39" t="n">
        <f aca="false">IF(AND(E3120&gt;0,B3120=10),1,0)</f>
        <v>0</v>
      </c>
      <c r="AB3120" s="0" t="str">
        <f aca="false">IF(AND(C3119=C3120,Y3119=Y3120-1),Z3119,"")</f>
        <v/>
      </c>
      <c r="AC3120" s="0" t="str">
        <f aca="false">IF(AND(C3119=C3120,Y3119=Y3120-1),AA3119,"")</f>
        <v/>
      </c>
      <c r="AD3120" s="0" t="str">
        <f aca="false">IF(Y3120=1,"",IF(AND(Z3120=1,AB3120&lt;&gt;1),1,0))</f>
        <v/>
      </c>
      <c r="AE3120" s="0" t="str">
        <f aca="false">IF(Y3120=1,"",IF(AND(AA3120=1,AC3120&lt;&gt;1),1,0))</f>
        <v/>
      </c>
      <c r="AF3120" s="45" t="str">
        <f aca="false">IF(AND(E3120&gt;0,Y3120&lt;1,NOT(AND(C3121=C3120,Y3121=Y3120+1))),INDEX(DATAS,Y3120+1),"")</f>
        <v/>
      </c>
      <c r="AG3120" s="45" t="str">
        <f aca="false">IF(AND(AA3120=1,Y3120&lt;1),IF(AND(C3121=C3120,Y3121=Y3120+1),IF(AA3121=1,"",INDEX(DATAS,Y3120+1)),INDEX(DATAS,Y3120+1)),"")</f>
        <v/>
      </c>
    </row>
    <row r="3121" customFormat="false" ht="15" hidden="false" customHeight="false" outlineLevel="0" collapsed="false">
      <c r="A3121" s="45" t="n">
        <v>46309</v>
      </c>
      <c r="B3121" s="0" t="n">
        <v>13</v>
      </c>
      <c r="C3121" s="0" t="n">
        <v>7532</v>
      </c>
      <c r="E3121" s="0" t="n">
        <v>0</v>
      </c>
      <c r="F3121" s="39" t="s">
        <v>1459</v>
      </c>
      <c r="I3121" s="39" t="s">
        <v>136</v>
      </c>
      <c r="U3121" s="0" t="n">
        <v>208</v>
      </c>
      <c r="V3121" s="0" t="n">
        <v>0</v>
      </c>
      <c r="W3121" s="39" t="n">
        <f aca="false">IF(I3121="Male",0,1)</f>
        <v>1</v>
      </c>
      <c r="X3121" s="39" t="n">
        <f aca="false">IF(OR(I3121="DNB",I3121="Dry DNB"),1,0)</f>
        <v>0</v>
      </c>
      <c r="Y3121" s="39" t="n">
        <f aca="false">MATCH(A3121,DATAS,0)</f>
        <v>1</v>
      </c>
      <c r="Z3121" s="39" t="n">
        <f aca="false">IF(AND(E3121&gt;0,OR(AND(B3121&gt;=1,B3121&lt;=6),B3121=10)),1,0)</f>
        <v>0</v>
      </c>
      <c r="AA3121" s="39" t="n">
        <f aca="false">IF(AND(E3121&gt;0,B3121=10),1,0)</f>
        <v>0</v>
      </c>
      <c r="AB3121" s="0" t="str">
        <f aca="false">IF(AND(C3120=C3121,Y3120=Y3121-1),Z3120,"")</f>
        <v/>
      </c>
      <c r="AC3121" s="0" t="str">
        <f aca="false">IF(AND(C3120=C3121,Y3120=Y3121-1),AA3120,"")</f>
        <v/>
      </c>
      <c r="AD3121" s="0" t="str">
        <f aca="false">IF(Y3121=1,"",IF(AND(Z3121=1,AB3121&lt;&gt;1),1,0))</f>
        <v/>
      </c>
      <c r="AE3121" s="0" t="str">
        <f aca="false">IF(Y3121=1,"",IF(AND(AA3121=1,AC3121&lt;&gt;1),1,0))</f>
        <v/>
      </c>
      <c r="AF3121" s="45" t="str">
        <f aca="false">IF(AND(E3121&gt;0,Y3121&lt;1,NOT(AND(C3122=C3121,Y3122=Y3121+1))),INDEX(DATAS,Y3121+1),"")</f>
        <v/>
      </c>
      <c r="AG3121" s="45" t="str">
        <f aca="false">IF(AND(AA3121=1,Y3121&lt;1),IF(AND(C3122=C3121,Y3122=Y3121+1),IF(AA3122=1,"",INDEX(DATAS,Y3121+1)),INDEX(DATAS,Y3121+1)),"")</f>
        <v/>
      </c>
    </row>
    <row r="3122" customFormat="false" ht="15" hidden="false" customHeight="false" outlineLevel="0" collapsed="false">
      <c r="A3122" s="45" t="n">
        <v>46309</v>
      </c>
      <c r="B3122" s="0" t="n">
        <v>13</v>
      </c>
      <c r="C3122" s="0" t="n">
        <v>7533</v>
      </c>
      <c r="E3122" s="0" t="n">
        <v>0</v>
      </c>
      <c r="F3122" s="39" t="s">
        <v>1460</v>
      </c>
      <c r="I3122" s="39" t="s">
        <v>136</v>
      </c>
      <c r="U3122" s="0" t="n">
        <v>207</v>
      </c>
      <c r="V3122" s="0" t="n">
        <v>0</v>
      </c>
      <c r="W3122" s="39" t="n">
        <f aca="false">IF(I3122="Male",0,1)</f>
        <v>1</v>
      </c>
      <c r="X3122" s="39" t="n">
        <f aca="false">IF(OR(I3122="DNB",I3122="Dry DNB"),1,0)</f>
        <v>0</v>
      </c>
      <c r="Y3122" s="39" t="n">
        <f aca="false">MATCH(A3122,DATAS,0)</f>
        <v>1</v>
      </c>
      <c r="Z3122" s="39" t="n">
        <f aca="false">IF(AND(E3122&gt;0,OR(AND(B3122&gt;=1,B3122&lt;=6),B3122=10)),1,0)</f>
        <v>0</v>
      </c>
      <c r="AA3122" s="39" t="n">
        <f aca="false">IF(AND(E3122&gt;0,B3122=10),1,0)</f>
        <v>0</v>
      </c>
      <c r="AB3122" s="0" t="str">
        <f aca="false">IF(AND(C3121=C3122,Y3121=Y3122-1),Z3121,"")</f>
        <v/>
      </c>
      <c r="AC3122" s="0" t="str">
        <f aca="false">IF(AND(C3121=C3122,Y3121=Y3122-1),AA3121,"")</f>
        <v/>
      </c>
      <c r="AD3122" s="0" t="str">
        <f aca="false">IF(Y3122=1,"",IF(AND(Z3122=1,AB3122&lt;&gt;1),1,0))</f>
        <v/>
      </c>
      <c r="AE3122" s="0" t="str">
        <f aca="false">IF(Y3122=1,"",IF(AND(AA3122=1,AC3122&lt;&gt;1),1,0))</f>
        <v/>
      </c>
      <c r="AF3122" s="45" t="str">
        <f aca="false">IF(AND(E3122&gt;0,Y3122&lt;1,NOT(AND(C3123=C3122,Y3123=Y3122+1))),INDEX(DATAS,Y3122+1),"")</f>
        <v/>
      </c>
      <c r="AG3122" s="45" t="str">
        <f aca="false">IF(AND(AA3122=1,Y3122&lt;1),IF(AND(C3123=C3122,Y3123=Y3122+1),IF(AA3123=1,"",INDEX(DATAS,Y3122+1)),INDEX(DATAS,Y3122+1)),"")</f>
        <v/>
      </c>
    </row>
    <row r="3123" customFormat="false" ht="15" hidden="false" customHeight="false" outlineLevel="0" collapsed="false">
      <c r="A3123" s="45" t="n">
        <v>46309</v>
      </c>
      <c r="B3123" s="0" t="n">
        <v>13</v>
      </c>
      <c r="C3123" s="0" t="n">
        <v>7534</v>
      </c>
      <c r="E3123" s="0" t="n">
        <v>0</v>
      </c>
      <c r="F3123" s="39" t="s">
        <v>1460</v>
      </c>
      <c r="I3123" s="39" t="s">
        <v>136</v>
      </c>
      <c r="U3123" s="0" t="n">
        <v>207</v>
      </c>
      <c r="V3123" s="0" t="n">
        <v>0</v>
      </c>
      <c r="W3123" s="39" t="n">
        <f aca="false">IF(I3123="Male",0,1)</f>
        <v>1</v>
      </c>
      <c r="X3123" s="39" t="n">
        <f aca="false">IF(OR(I3123="DNB",I3123="Dry DNB"),1,0)</f>
        <v>0</v>
      </c>
      <c r="Y3123" s="39" t="n">
        <f aca="false">MATCH(A3123,DATAS,0)</f>
        <v>1</v>
      </c>
      <c r="Z3123" s="39" t="n">
        <f aca="false">IF(AND(E3123&gt;0,OR(AND(B3123&gt;=1,B3123&lt;=6),B3123=10)),1,0)</f>
        <v>0</v>
      </c>
      <c r="AA3123" s="39" t="n">
        <f aca="false">IF(AND(E3123&gt;0,B3123=10),1,0)</f>
        <v>0</v>
      </c>
      <c r="AB3123" s="0" t="str">
        <f aca="false">IF(AND(C3122=C3123,Y3122=Y3123-1),Z3122,"")</f>
        <v/>
      </c>
      <c r="AC3123" s="0" t="str">
        <f aca="false">IF(AND(C3122=C3123,Y3122=Y3123-1),AA3122,"")</f>
        <v/>
      </c>
      <c r="AD3123" s="0" t="str">
        <f aca="false">IF(Y3123=1,"",IF(AND(Z3123=1,AB3123&lt;&gt;1),1,0))</f>
        <v/>
      </c>
      <c r="AE3123" s="0" t="str">
        <f aca="false">IF(Y3123=1,"",IF(AND(AA3123=1,AC3123&lt;&gt;1),1,0))</f>
        <v/>
      </c>
      <c r="AF3123" s="45" t="str">
        <f aca="false">IF(AND(E3123&gt;0,Y3123&lt;1,NOT(AND(C3124=C3123,Y3124=Y3123+1))),INDEX(DATAS,Y3123+1),"")</f>
        <v/>
      </c>
      <c r="AG3123" s="45" t="str">
        <f aca="false">IF(AND(AA3123=1,Y3123&lt;1),IF(AND(C3124=C3123,Y3124=Y3123+1),IF(AA3124=1,"",INDEX(DATAS,Y3123+1)),INDEX(DATAS,Y3123+1)),"")</f>
        <v/>
      </c>
    </row>
    <row r="3124" customFormat="false" ht="15" hidden="false" customHeight="false" outlineLevel="0" collapsed="false">
      <c r="A3124" s="45" t="n">
        <v>46309</v>
      </c>
      <c r="B3124" s="0" t="n">
        <v>13</v>
      </c>
      <c r="C3124" s="0" t="n">
        <v>7535</v>
      </c>
      <c r="E3124" s="0" t="n">
        <v>0</v>
      </c>
      <c r="F3124" s="39" t="s">
        <v>1460</v>
      </c>
      <c r="I3124" s="39" t="s">
        <v>136</v>
      </c>
      <c r="U3124" s="0" t="n">
        <v>207</v>
      </c>
      <c r="V3124" s="0" t="n">
        <v>0</v>
      </c>
      <c r="W3124" s="39" t="n">
        <f aca="false">IF(I3124="Male",0,1)</f>
        <v>1</v>
      </c>
      <c r="X3124" s="39" t="n">
        <f aca="false">IF(OR(I3124="DNB",I3124="Dry DNB"),1,0)</f>
        <v>0</v>
      </c>
      <c r="Y3124" s="39" t="n">
        <f aca="false">MATCH(A3124,DATAS,0)</f>
        <v>1</v>
      </c>
      <c r="Z3124" s="39" t="n">
        <f aca="false">IF(AND(E3124&gt;0,OR(AND(B3124&gt;=1,B3124&lt;=6),B3124=10)),1,0)</f>
        <v>0</v>
      </c>
      <c r="AA3124" s="39" t="n">
        <f aca="false">IF(AND(E3124&gt;0,B3124=10),1,0)</f>
        <v>0</v>
      </c>
      <c r="AB3124" s="0" t="str">
        <f aca="false">IF(AND(C3123=C3124,Y3123=Y3124-1),Z3123,"")</f>
        <v/>
      </c>
      <c r="AC3124" s="0" t="str">
        <f aca="false">IF(AND(C3123=C3124,Y3123=Y3124-1),AA3123,"")</f>
        <v/>
      </c>
      <c r="AD3124" s="0" t="str">
        <f aca="false">IF(Y3124=1,"",IF(AND(Z3124=1,AB3124&lt;&gt;1),1,0))</f>
        <v/>
      </c>
      <c r="AE3124" s="0" t="str">
        <f aca="false">IF(Y3124=1,"",IF(AND(AA3124=1,AC3124&lt;&gt;1),1,0))</f>
        <v/>
      </c>
      <c r="AF3124" s="45" t="str">
        <f aca="false">IF(AND(E3124&gt;0,Y3124&lt;1,NOT(AND(C3125=C3124,Y3125=Y3124+1))),INDEX(DATAS,Y3124+1),"")</f>
        <v/>
      </c>
      <c r="AG3124" s="45" t="str">
        <f aca="false">IF(AND(AA3124=1,Y3124&lt;1),IF(AND(C3125=C3124,Y3125=Y3124+1),IF(AA3125=1,"",INDEX(DATAS,Y3124+1)),INDEX(DATAS,Y3124+1)),"")</f>
        <v/>
      </c>
    </row>
    <row r="3125" customFormat="false" ht="15" hidden="false" customHeight="false" outlineLevel="0" collapsed="false">
      <c r="A3125" s="45" t="n">
        <v>46309</v>
      </c>
      <c r="B3125" s="0" t="n">
        <v>13</v>
      </c>
      <c r="C3125" s="0" t="n">
        <v>7536</v>
      </c>
      <c r="E3125" s="0" t="n">
        <v>0</v>
      </c>
      <c r="F3125" s="39" t="s">
        <v>1460</v>
      </c>
      <c r="I3125" s="39" t="s">
        <v>136</v>
      </c>
      <c r="U3125" s="0" t="n">
        <v>207</v>
      </c>
      <c r="V3125" s="0" t="n">
        <v>0</v>
      </c>
      <c r="W3125" s="39" t="n">
        <f aca="false">IF(I3125="Male",0,1)</f>
        <v>1</v>
      </c>
      <c r="X3125" s="39" t="n">
        <f aca="false">IF(OR(I3125="DNB",I3125="Dry DNB"),1,0)</f>
        <v>0</v>
      </c>
      <c r="Y3125" s="39" t="n">
        <f aca="false">MATCH(A3125,DATAS,0)</f>
        <v>1</v>
      </c>
      <c r="Z3125" s="39" t="n">
        <f aca="false">IF(AND(E3125&gt;0,OR(AND(B3125&gt;=1,B3125&lt;=6),B3125=10)),1,0)</f>
        <v>0</v>
      </c>
      <c r="AA3125" s="39" t="n">
        <f aca="false">IF(AND(E3125&gt;0,B3125=10),1,0)</f>
        <v>0</v>
      </c>
      <c r="AB3125" s="0" t="str">
        <f aca="false">IF(AND(C3124=C3125,Y3124=Y3125-1),Z3124,"")</f>
        <v/>
      </c>
      <c r="AC3125" s="0" t="str">
        <f aca="false">IF(AND(C3124=C3125,Y3124=Y3125-1),AA3124,"")</f>
        <v/>
      </c>
      <c r="AD3125" s="0" t="str">
        <f aca="false">IF(Y3125=1,"",IF(AND(Z3125=1,AB3125&lt;&gt;1),1,0))</f>
        <v/>
      </c>
      <c r="AE3125" s="0" t="str">
        <f aca="false">IF(Y3125=1,"",IF(AND(AA3125=1,AC3125&lt;&gt;1),1,0))</f>
        <v/>
      </c>
      <c r="AF3125" s="45" t="str">
        <f aca="false">IF(AND(E3125&gt;0,Y3125&lt;1,NOT(AND(C3126=C3125,Y3126=Y3125+1))),INDEX(DATAS,Y3125+1),"")</f>
        <v/>
      </c>
      <c r="AG3125" s="45" t="str">
        <f aca="false">IF(AND(AA3125=1,Y3125&lt;1),IF(AND(C3126=C3125,Y3126=Y3125+1),IF(AA3126=1,"",INDEX(DATAS,Y3125+1)),INDEX(DATAS,Y3125+1)),"")</f>
        <v/>
      </c>
    </row>
    <row r="3126" customFormat="false" ht="15" hidden="false" customHeight="false" outlineLevel="0" collapsed="false">
      <c r="A3126" s="45" t="n">
        <v>46309</v>
      </c>
      <c r="B3126" s="0" t="n">
        <v>13</v>
      </c>
      <c r="C3126" s="0" t="n">
        <v>7537</v>
      </c>
      <c r="E3126" s="0" t="n">
        <v>0</v>
      </c>
      <c r="F3126" s="39" t="s">
        <v>1460</v>
      </c>
      <c r="I3126" s="39" t="s">
        <v>136</v>
      </c>
      <c r="U3126" s="0" t="n">
        <v>207</v>
      </c>
      <c r="V3126" s="0" t="n">
        <v>0</v>
      </c>
      <c r="W3126" s="39" t="n">
        <f aca="false">IF(I3126="Male",0,1)</f>
        <v>1</v>
      </c>
      <c r="X3126" s="39" t="n">
        <f aca="false">IF(OR(I3126="DNB",I3126="Dry DNB"),1,0)</f>
        <v>0</v>
      </c>
      <c r="Y3126" s="39" t="n">
        <f aca="false">MATCH(A3126,DATAS,0)</f>
        <v>1</v>
      </c>
      <c r="Z3126" s="39" t="n">
        <f aca="false">IF(AND(E3126&gt;0,OR(AND(B3126&gt;=1,B3126&lt;=6),B3126=10)),1,0)</f>
        <v>0</v>
      </c>
      <c r="AA3126" s="39" t="n">
        <f aca="false">IF(AND(E3126&gt;0,B3126=10),1,0)</f>
        <v>0</v>
      </c>
      <c r="AB3126" s="0" t="str">
        <f aca="false">IF(AND(C3125=C3126,Y3125=Y3126-1),Z3125,"")</f>
        <v/>
      </c>
      <c r="AC3126" s="0" t="str">
        <f aca="false">IF(AND(C3125=C3126,Y3125=Y3126-1),AA3125,"")</f>
        <v/>
      </c>
      <c r="AD3126" s="0" t="str">
        <f aca="false">IF(Y3126=1,"",IF(AND(Z3126=1,AB3126&lt;&gt;1),1,0))</f>
        <v/>
      </c>
      <c r="AE3126" s="0" t="str">
        <f aca="false">IF(Y3126=1,"",IF(AND(AA3126=1,AC3126&lt;&gt;1),1,0))</f>
        <v/>
      </c>
      <c r="AF3126" s="45" t="str">
        <f aca="false">IF(AND(E3126&gt;0,Y3126&lt;1,NOT(AND(C3127=C3126,Y3127=Y3126+1))),INDEX(DATAS,Y3126+1),"")</f>
        <v/>
      </c>
      <c r="AG3126" s="45" t="str">
        <f aca="false">IF(AND(AA3126=1,Y3126&lt;1),IF(AND(C3127=C3126,Y3127=Y3126+1),IF(AA3127=1,"",INDEX(DATAS,Y3126+1)),INDEX(DATAS,Y3126+1)),"")</f>
        <v/>
      </c>
    </row>
    <row r="3127" customFormat="false" ht="15" hidden="false" customHeight="false" outlineLevel="0" collapsed="false">
      <c r="A3127" s="45" t="n">
        <v>46309</v>
      </c>
      <c r="B3127" s="0" t="n">
        <v>13</v>
      </c>
      <c r="C3127" s="0" t="n">
        <v>7538</v>
      </c>
      <c r="E3127" s="0" t="n">
        <v>0</v>
      </c>
      <c r="F3127" s="39" t="s">
        <v>1461</v>
      </c>
      <c r="I3127" s="39" t="s">
        <v>136</v>
      </c>
      <c r="U3127" s="0" t="n">
        <v>206</v>
      </c>
      <c r="V3127" s="0" t="n">
        <v>0</v>
      </c>
      <c r="W3127" s="39" t="n">
        <f aca="false">IF(I3127="Male",0,1)</f>
        <v>1</v>
      </c>
      <c r="X3127" s="39" t="n">
        <f aca="false">IF(OR(I3127="DNB",I3127="Dry DNB"),1,0)</f>
        <v>0</v>
      </c>
      <c r="Y3127" s="39" t="n">
        <f aca="false">MATCH(A3127,DATAS,0)</f>
        <v>1</v>
      </c>
      <c r="Z3127" s="39" t="n">
        <f aca="false">IF(AND(E3127&gt;0,OR(AND(B3127&gt;=1,B3127&lt;=6),B3127=10)),1,0)</f>
        <v>0</v>
      </c>
      <c r="AA3127" s="39" t="n">
        <f aca="false">IF(AND(E3127&gt;0,B3127=10),1,0)</f>
        <v>0</v>
      </c>
      <c r="AB3127" s="0" t="str">
        <f aca="false">IF(AND(C3126=C3127,Y3126=Y3127-1),Z3126,"")</f>
        <v/>
      </c>
      <c r="AC3127" s="0" t="str">
        <f aca="false">IF(AND(C3126=C3127,Y3126=Y3127-1),AA3126,"")</f>
        <v/>
      </c>
      <c r="AD3127" s="0" t="str">
        <f aca="false">IF(Y3127=1,"",IF(AND(Z3127=1,AB3127&lt;&gt;1),1,0))</f>
        <v/>
      </c>
      <c r="AE3127" s="0" t="str">
        <f aca="false">IF(Y3127=1,"",IF(AND(AA3127=1,AC3127&lt;&gt;1),1,0))</f>
        <v/>
      </c>
      <c r="AF3127" s="45" t="str">
        <f aca="false">IF(AND(E3127&gt;0,Y3127&lt;1,NOT(AND(C3128=C3127,Y3128=Y3127+1))),INDEX(DATAS,Y3127+1),"")</f>
        <v/>
      </c>
      <c r="AG3127" s="45" t="str">
        <f aca="false">IF(AND(AA3127=1,Y3127&lt;1),IF(AND(C3128=C3127,Y3128=Y3127+1),IF(AA3128=1,"",INDEX(DATAS,Y3127+1)),INDEX(DATAS,Y3127+1)),"")</f>
        <v/>
      </c>
    </row>
    <row r="3128" customFormat="false" ht="15" hidden="false" customHeight="false" outlineLevel="0" collapsed="false">
      <c r="A3128" s="45" t="n">
        <v>46309</v>
      </c>
      <c r="B3128" s="0" t="n">
        <v>13</v>
      </c>
      <c r="C3128" s="0" t="n">
        <v>7539</v>
      </c>
      <c r="E3128" s="0" t="n">
        <v>0</v>
      </c>
      <c r="F3128" s="39" t="s">
        <v>1461</v>
      </c>
      <c r="I3128" s="39" t="s">
        <v>136</v>
      </c>
      <c r="U3128" s="0" t="n">
        <v>206</v>
      </c>
      <c r="V3128" s="0" t="n">
        <v>0</v>
      </c>
      <c r="W3128" s="39" t="n">
        <f aca="false">IF(I3128="Male",0,1)</f>
        <v>1</v>
      </c>
      <c r="X3128" s="39" t="n">
        <f aca="false">IF(OR(I3128="DNB",I3128="Dry DNB"),1,0)</f>
        <v>0</v>
      </c>
      <c r="Y3128" s="39" t="n">
        <f aca="false">MATCH(A3128,DATAS,0)</f>
        <v>1</v>
      </c>
      <c r="Z3128" s="39" t="n">
        <f aca="false">IF(AND(E3128&gt;0,OR(AND(B3128&gt;=1,B3128&lt;=6),B3128=10)),1,0)</f>
        <v>0</v>
      </c>
      <c r="AA3128" s="39" t="n">
        <f aca="false">IF(AND(E3128&gt;0,B3128=10),1,0)</f>
        <v>0</v>
      </c>
      <c r="AB3128" s="0" t="str">
        <f aca="false">IF(AND(C3127=C3128,Y3127=Y3128-1),Z3127,"")</f>
        <v/>
      </c>
      <c r="AC3128" s="0" t="str">
        <f aca="false">IF(AND(C3127=C3128,Y3127=Y3128-1),AA3127,"")</f>
        <v/>
      </c>
      <c r="AD3128" s="0" t="str">
        <f aca="false">IF(Y3128=1,"",IF(AND(Z3128=1,AB3128&lt;&gt;1),1,0))</f>
        <v/>
      </c>
      <c r="AE3128" s="0" t="str">
        <f aca="false">IF(Y3128=1,"",IF(AND(AA3128=1,AC3128&lt;&gt;1),1,0))</f>
        <v/>
      </c>
      <c r="AF3128" s="45" t="str">
        <f aca="false">IF(AND(E3128&gt;0,Y3128&lt;1,NOT(AND(C3129=C3128,Y3129=Y3128+1))),INDEX(DATAS,Y3128+1),"")</f>
        <v/>
      </c>
      <c r="AG3128" s="45" t="str">
        <f aca="false">IF(AND(AA3128=1,Y3128&lt;1),IF(AND(C3129=C3128,Y3129=Y3128+1),IF(AA3129=1,"",INDEX(DATAS,Y3128+1)),INDEX(DATAS,Y3128+1)),"")</f>
        <v/>
      </c>
    </row>
    <row r="3129" customFormat="false" ht="15" hidden="false" customHeight="false" outlineLevel="0" collapsed="false">
      <c r="A3129" s="45" t="n">
        <v>46309</v>
      </c>
      <c r="B3129" s="0" t="n">
        <v>13</v>
      </c>
      <c r="C3129" s="0" t="n">
        <v>7540</v>
      </c>
      <c r="E3129" s="0" t="n">
        <v>0</v>
      </c>
      <c r="F3129" s="39" t="s">
        <v>1461</v>
      </c>
      <c r="I3129" s="39" t="s">
        <v>136</v>
      </c>
      <c r="U3129" s="0" t="n">
        <v>206</v>
      </c>
      <c r="V3129" s="0" t="n">
        <v>0</v>
      </c>
      <c r="W3129" s="39" t="n">
        <f aca="false">IF(I3129="Male",0,1)</f>
        <v>1</v>
      </c>
      <c r="X3129" s="39" t="n">
        <f aca="false">IF(OR(I3129="DNB",I3129="Dry DNB"),1,0)</f>
        <v>0</v>
      </c>
      <c r="Y3129" s="39" t="n">
        <f aca="false">MATCH(A3129,DATAS,0)</f>
        <v>1</v>
      </c>
      <c r="Z3129" s="39" t="n">
        <f aca="false">IF(AND(E3129&gt;0,OR(AND(B3129&gt;=1,B3129&lt;=6),B3129=10)),1,0)</f>
        <v>0</v>
      </c>
      <c r="AA3129" s="39" t="n">
        <f aca="false">IF(AND(E3129&gt;0,B3129=10),1,0)</f>
        <v>0</v>
      </c>
      <c r="AB3129" s="0" t="str">
        <f aca="false">IF(AND(C3128=C3129,Y3128=Y3129-1),Z3128,"")</f>
        <v/>
      </c>
      <c r="AC3129" s="0" t="str">
        <f aca="false">IF(AND(C3128=C3129,Y3128=Y3129-1),AA3128,"")</f>
        <v/>
      </c>
      <c r="AD3129" s="0" t="str">
        <f aca="false">IF(Y3129=1,"",IF(AND(Z3129=1,AB3129&lt;&gt;1),1,0))</f>
        <v/>
      </c>
      <c r="AE3129" s="0" t="str">
        <f aca="false">IF(Y3129=1,"",IF(AND(AA3129=1,AC3129&lt;&gt;1),1,0))</f>
        <v/>
      </c>
      <c r="AF3129" s="45" t="str">
        <f aca="false">IF(AND(E3129&gt;0,Y3129&lt;1,NOT(AND(C3130=C3129,Y3130=Y3129+1))),INDEX(DATAS,Y3129+1),"")</f>
        <v/>
      </c>
      <c r="AG3129" s="45" t="str">
        <f aca="false">IF(AND(AA3129=1,Y3129&lt;1),IF(AND(C3130=C3129,Y3130=Y3129+1),IF(AA3130=1,"",INDEX(DATAS,Y3129+1)),INDEX(DATAS,Y3129+1)),"")</f>
        <v/>
      </c>
    </row>
    <row r="3130" customFormat="false" ht="15" hidden="false" customHeight="false" outlineLevel="0" collapsed="false">
      <c r="A3130" s="45" t="n">
        <v>46309</v>
      </c>
      <c r="B3130" s="0" t="n">
        <v>13</v>
      </c>
      <c r="C3130" s="0" t="n">
        <v>7543</v>
      </c>
      <c r="E3130" s="0" t="n">
        <v>0</v>
      </c>
      <c r="F3130" s="39" t="s">
        <v>1461</v>
      </c>
      <c r="I3130" s="39" t="s">
        <v>136</v>
      </c>
      <c r="U3130" s="0" t="n">
        <v>206</v>
      </c>
      <c r="V3130" s="0" t="n">
        <v>0</v>
      </c>
      <c r="W3130" s="39" t="n">
        <f aca="false">IF(I3130="Male",0,1)</f>
        <v>1</v>
      </c>
      <c r="X3130" s="39" t="n">
        <f aca="false">IF(OR(I3130="DNB",I3130="Dry DNB"),1,0)</f>
        <v>0</v>
      </c>
      <c r="Y3130" s="39" t="n">
        <f aca="false">MATCH(A3130,DATAS,0)</f>
        <v>1</v>
      </c>
      <c r="Z3130" s="39" t="n">
        <f aca="false">IF(AND(E3130&gt;0,OR(AND(B3130&gt;=1,B3130&lt;=6),B3130=10)),1,0)</f>
        <v>0</v>
      </c>
      <c r="AA3130" s="39" t="n">
        <f aca="false">IF(AND(E3130&gt;0,B3130=10),1,0)</f>
        <v>0</v>
      </c>
      <c r="AB3130" s="0" t="str">
        <f aca="false">IF(AND(C3129=C3130,Y3129=Y3130-1),Z3129,"")</f>
        <v/>
      </c>
      <c r="AC3130" s="0" t="str">
        <f aca="false">IF(AND(C3129=C3130,Y3129=Y3130-1),AA3129,"")</f>
        <v/>
      </c>
      <c r="AD3130" s="0" t="str">
        <f aca="false">IF(Y3130=1,"",IF(AND(Z3130=1,AB3130&lt;&gt;1),1,0))</f>
        <v/>
      </c>
      <c r="AE3130" s="0" t="str">
        <f aca="false">IF(Y3130=1,"",IF(AND(AA3130=1,AC3130&lt;&gt;1),1,0))</f>
        <v/>
      </c>
      <c r="AF3130" s="45" t="str">
        <f aca="false">IF(AND(E3130&gt;0,Y3130&lt;1,NOT(AND(C3131=C3130,Y3131=Y3130+1))),INDEX(DATAS,Y3130+1),"")</f>
        <v/>
      </c>
      <c r="AG3130" s="45" t="str">
        <f aca="false">IF(AND(AA3130=1,Y3130&lt;1),IF(AND(C3131=C3130,Y3131=Y3130+1),IF(AA3131=1,"",INDEX(DATAS,Y3130+1)),INDEX(DATAS,Y3130+1)),"")</f>
        <v/>
      </c>
    </row>
    <row r="3131" customFormat="false" ht="15" hidden="false" customHeight="false" outlineLevel="0" collapsed="false">
      <c r="A3131" s="45" t="n">
        <v>46309</v>
      </c>
      <c r="B3131" s="0" t="n">
        <v>13</v>
      </c>
      <c r="C3131" s="0" t="n">
        <v>7544</v>
      </c>
      <c r="E3131" s="0" t="n">
        <v>0</v>
      </c>
      <c r="F3131" s="39" t="s">
        <v>1461</v>
      </c>
      <c r="I3131" s="39" t="s">
        <v>136</v>
      </c>
      <c r="U3131" s="0" t="n">
        <v>206</v>
      </c>
      <c r="V3131" s="0" t="n">
        <v>0</v>
      </c>
      <c r="W3131" s="39" t="n">
        <f aca="false">IF(I3131="Male",0,1)</f>
        <v>1</v>
      </c>
      <c r="X3131" s="39" t="n">
        <f aca="false">IF(OR(I3131="DNB",I3131="Dry DNB"),1,0)</f>
        <v>0</v>
      </c>
      <c r="Y3131" s="39" t="n">
        <f aca="false">MATCH(A3131,DATAS,0)</f>
        <v>1</v>
      </c>
      <c r="Z3131" s="39" t="n">
        <f aca="false">IF(AND(E3131&gt;0,OR(AND(B3131&gt;=1,B3131&lt;=6),B3131=10)),1,0)</f>
        <v>0</v>
      </c>
      <c r="AA3131" s="39" t="n">
        <f aca="false">IF(AND(E3131&gt;0,B3131=10),1,0)</f>
        <v>0</v>
      </c>
      <c r="AB3131" s="0" t="str">
        <f aca="false">IF(AND(C3130=C3131,Y3130=Y3131-1),Z3130,"")</f>
        <v/>
      </c>
      <c r="AC3131" s="0" t="str">
        <f aca="false">IF(AND(C3130=C3131,Y3130=Y3131-1),AA3130,"")</f>
        <v/>
      </c>
      <c r="AD3131" s="0" t="str">
        <f aca="false">IF(Y3131=1,"",IF(AND(Z3131=1,AB3131&lt;&gt;1),1,0))</f>
        <v/>
      </c>
      <c r="AE3131" s="0" t="str">
        <f aca="false">IF(Y3131=1,"",IF(AND(AA3131=1,AC3131&lt;&gt;1),1,0))</f>
        <v/>
      </c>
      <c r="AF3131" s="45" t="str">
        <f aca="false">IF(AND(E3131&gt;0,Y3131&lt;1,NOT(AND(C3132=C3131,Y3132=Y3131+1))),INDEX(DATAS,Y3131+1),"")</f>
        <v/>
      </c>
      <c r="AG3131" s="45" t="str">
        <f aca="false">IF(AND(AA3131=1,Y3131&lt;1),IF(AND(C3132=C3131,Y3132=Y3131+1),IF(AA3132=1,"",INDEX(DATAS,Y3131+1)),INDEX(DATAS,Y3131+1)),"")</f>
        <v/>
      </c>
    </row>
    <row r="3132" customFormat="false" ht="15" hidden="false" customHeight="false" outlineLevel="0" collapsed="false">
      <c r="A3132" s="45" t="n">
        <v>46309</v>
      </c>
      <c r="B3132" s="0" t="n">
        <v>13</v>
      </c>
      <c r="C3132" s="0" t="n">
        <v>7546</v>
      </c>
      <c r="E3132" s="0" t="n">
        <v>0</v>
      </c>
      <c r="F3132" s="39" t="s">
        <v>1462</v>
      </c>
      <c r="I3132" s="39" t="s">
        <v>136</v>
      </c>
      <c r="U3132" s="0" t="n">
        <v>205</v>
      </c>
      <c r="V3132" s="0" t="n">
        <v>0</v>
      </c>
      <c r="W3132" s="39" t="n">
        <f aca="false">IF(I3132="Male",0,1)</f>
        <v>1</v>
      </c>
      <c r="X3132" s="39" t="n">
        <f aca="false">IF(OR(I3132="DNB",I3132="Dry DNB"),1,0)</f>
        <v>0</v>
      </c>
      <c r="Y3132" s="39" t="n">
        <f aca="false">MATCH(A3132,DATAS,0)</f>
        <v>1</v>
      </c>
      <c r="Z3132" s="39" t="n">
        <f aca="false">IF(AND(E3132&gt;0,OR(AND(B3132&gt;=1,B3132&lt;=6),B3132=10)),1,0)</f>
        <v>0</v>
      </c>
      <c r="AA3132" s="39" t="n">
        <f aca="false">IF(AND(E3132&gt;0,B3132=10),1,0)</f>
        <v>0</v>
      </c>
      <c r="AB3132" s="0" t="str">
        <f aca="false">IF(AND(C3131=C3132,Y3131=Y3132-1),Z3131,"")</f>
        <v/>
      </c>
      <c r="AC3132" s="0" t="str">
        <f aca="false">IF(AND(C3131=C3132,Y3131=Y3132-1),AA3131,"")</f>
        <v/>
      </c>
      <c r="AD3132" s="0" t="str">
        <f aca="false">IF(Y3132=1,"",IF(AND(Z3132=1,AB3132&lt;&gt;1),1,0))</f>
        <v/>
      </c>
      <c r="AE3132" s="0" t="str">
        <f aca="false">IF(Y3132=1,"",IF(AND(AA3132=1,AC3132&lt;&gt;1),1,0))</f>
        <v/>
      </c>
      <c r="AF3132" s="45" t="str">
        <f aca="false">IF(AND(E3132&gt;0,Y3132&lt;1,NOT(AND(C3133=C3132,Y3133=Y3132+1))),INDEX(DATAS,Y3132+1),"")</f>
        <v/>
      </c>
      <c r="AG3132" s="45" t="str">
        <f aca="false">IF(AND(AA3132=1,Y3132&lt;1),IF(AND(C3133=C3132,Y3133=Y3132+1),IF(AA3133=1,"",INDEX(DATAS,Y3132+1)),INDEX(DATAS,Y3132+1)),"")</f>
        <v/>
      </c>
    </row>
    <row r="3133" customFormat="false" ht="15" hidden="false" customHeight="false" outlineLevel="0" collapsed="false">
      <c r="A3133" s="45" t="n">
        <v>46309</v>
      </c>
      <c r="B3133" s="0" t="n">
        <v>13</v>
      </c>
      <c r="C3133" s="0" t="n">
        <v>7547</v>
      </c>
      <c r="E3133" s="0" t="n">
        <v>0</v>
      </c>
      <c r="F3133" s="39" t="s">
        <v>1462</v>
      </c>
      <c r="I3133" s="39" t="s">
        <v>136</v>
      </c>
      <c r="U3133" s="0" t="n">
        <v>205</v>
      </c>
      <c r="V3133" s="0" t="n">
        <v>0</v>
      </c>
      <c r="W3133" s="39" t="n">
        <f aca="false">IF(I3133="Male",0,1)</f>
        <v>1</v>
      </c>
      <c r="X3133" s="39" t="n">
        <f aca="false">IF(OR(I3133="DNB",I3133="Dry DNB"),1,0)</f>
        <v>0</v>
      </c>
      <c r="Y3133" s="39" t="n">
        <f aca="false">MATCH(A3133,DATAS,0)</f>
        <v>1</v>
      </c>
      <c r="Z3133" s="39" t="n">
        <f aca="false">IF(AND(E3133&gt;0,OR(AND(B3133&gt;=1,B3133&lt;=6),B3133=10)),1,0)</f>
        <v>0</v>
      </c>
      <c r="AA3133" s="39" t="n">
        <f aca="false">IF(AND(E3133&gt;0,B3133=10),1,0)</f>
        <v>0</v>
      </c>
      <c r="AB3133" s="0" t="str">
        <f aca="false">IF(AND(C3132=C3133,Y3132=Y3133-1),Z3132,"")</f>
        <v/>
      </c>
      <c r="AC3133" s="0" t="str">
        <f aca="false">IF(AND(C3132=C3133,Y3132=Y3133-1),AA3132,"")</f>
        <v/>
      </c>
      <c r="AD3133" s="0" t="str">
        <f aca="false">IF(Y3133=1,"",IF(AND(Z3133=1,AB3133&lt;&gt;1),1,0))</f>
        <v/>
      </c>
      <c r="AE3133" s="0" t="str">
        <f aca="false">IF(Y3133=1,"",IF(AND(AA3133=1,AC3133&lt;&gt;1),1,0))</f>
        <v/>
      </c>
      <c r="AF3133" s="45" t="str">
        <f aca="false">IF(AND(E3133&gt;0,Y3133&lt;1,NOT(AND(C3134=C3133,Y3134=Y3133+1))),INDEX(DATAS,Y3133+1),"")</f>
        <v/>
      </c>
      <c r="AG3133" s="45" t="str">
        <f aca="false">IF(AND(AA3133=1,Y3133&lt;1),IF(AND(C3134=C3133,Y3134=Y3133+1),IF(AA3134=1,"",INDEX(DATAS,Y3133+1)),INDEX(DATAS,Y3133+1)),"")</f>
        <v/>
      </c>
    </row>
    <row r="3134" customFormat="false" ht="15" hidden="false" customHeight="false" outlineLevel="0" collapsed="false">
      <c r="A3134" s="45" t="n">
        <v>46309</v>
      </c>
      <c r="B3134" s="0" t="n">
        <v>13</v>
      </c>
      <c r="C3134" s="0" t="n">
        <v>7549</v>
      </c>
      <c r="E3134" s="0" t="n">
        <v>0</v>
      </c>
      <c r="F3134" s="39" t="s">
        <v>1462</v>
      </c>
      <c r="I3134" s="39" t="s">
        <v>136</v>
      </c>
      <c r="U3134" s="0" t="n">
        <v>205</v>
      </c>
      <c r="V3134" s="0" t="n">
        <v>0</v>
      </c>
      <c r="W3134" s="39" t="n">
        <f aca="false">IF(I3134="Male",0,1)</f>
        <v>1</v>
      </c>
      <c r="X3134" s="39" t="n">
        <f aca="false">IF(OR(I3134="DNB",I3134="Dry DNB"),1,0)</f>
        <v>0</v>
      </c>
      <c r="Y3134" s="39" t="n">
        <f aca="false">MATCH(A3134,DATAS,0)</f>
        <v>1</v>
      </c>
      <c r="Z3134" s="39" t="n">
        <f aca="false">IF(AND(E3134&gt;0,OR(AND(B3134&gt;=1,B3134&lt;=6),B3134=10)),1,0)</f>
        <v>0</v>
      </c>
      <c r="AA3134" s="39" t="n">
        <f aca="false">IF(AND(E3134&gt;0,B3134=10),1,0)</f>
        <v>0</v>
      </c>
      <c r="AB3134" s="0" t="str">
        <f aca="false">IF(AND(C3133=C3134,Y3133=Y3134-1),Z3133,"")</f>
        <v/>
      </c>
      <c r="AC3134" s="0" t="str">
        <f aca="false">IF(AND(C3133=C3134,Y3133=Y3134-1),AA3133,"")</f>
        <v/>
      </c>
      <c r="AD3134" s="0" t="str">
        <f aca="false">IF(Y3134=1,"",IF(AND(Z3134=1,AB3134&lt;&gt;1),1,0))</f>
        <v/>
      </c>
      <c r="AE3134" s="0" t="str">
        <f aca="false">IF(Y3134=1,"",IF(AND(AA3134=1,AC3134&lt;&gt;1),1,0))</f>
        <v/>
      </c>
      <c r="AF3134" s="45" t="str">
        <f aca="false">IF(AND(E3134&gt;0,Y3134&lt;1,NOT(AND(C3135=C3134,Y3135=Y3134+1))),INDEX(DATAS,Y3134+1),"")</f>
        <v/>
      </c>
      <c r="AG3134" s="45" t="str">
        <f aca="false">IF(AND(AA3134=1,Y3134&lt;1),IF(AND(C3135=C3134,Y3135=Y3134+1),IF(AA3135=1,"",INDEX(DATAS,Y3134+1)),INDEX(DATAS,Y3134+1)),"")</f>
        <v/>
      </c>
    </row>
    <row r="3135" customFormat="false" ht="15" hidden="false" customHeight="false" outlineLevel="0" collapsed="false">
      <c r="A3135" s="45" t="n">
        <v>46309</v>
      </c>
      <c r="B3135" s="0" t="n">
        <v>13</v>
      </c>
      <c r="C3135" s="0" t="n">
        <v>7550</v>
      </c>
      <c r="E3135" s="0" t="n">
        <v>0</v>
      </c>
      <c r="F3135" s="39" t="s">
        <v>1462</v>
      </c>
      <c r="I3135" s="39" t="s">
        <v>136</v>
      </c>
      <c r="U3135" s="0" t="n">
        <v>205</v>
      </c>
      <c r="V3135" s="0" t="n">
        <v>0</v>
      </c>
      <c r="W3135" s="39" t="n">
        <f aca="false">IF(I3135="Male",0,1)</f>
        <v>1</v>
      </c>
      <c r="X3135" s="39" t="n">
        <f aca="false">IF(OR(I3135="DNB",I3135="Dry DNB"),1,0)</f>
        <v>0</v>
      </c>
      <c r="Y3135" s="39" t="n">
        <f aca="false">MATCH(A3135,DATAS,0)</f>
        <v>1</v>
      </c>
      <c r="Z3135" s="39" t="n">
        <f aca="false">IF(AND(E3135&gt;0,OR(AND(B3135&gt;=1,B3135&lt;=6),B3135=10)),1,0)</f>
        <v>0</v>
      </c>
      <c r="AA3135" s="39" t="n">
        <f aca="false">IF(AND(E3135&gt;0,B3135=10),1,0)</f>
        <v>0</v>
      </c>
      <c r="AB3135" s="0" t="str">
        <f aca="false">IF(AND(C3134=C3135,Y3134=Y3135-1),Z3134,"")</f>
        <v/>
      </c>
      <c r="AC3135" s="0" t="str">
        <f aca="false">IF(AND(C3134=C3135,Y3134=Y3135-1),AA3134,"")</f>
        <v/>
      </c>
      <c r="AD3135" s="0" t="str">
        <f aca="false">IF(Y3135=1,"",IF(AND(Z3135=1,AB3135&lt;&gt;1),1,0))</f>
        <v/>
      </c>
      <c r="AE3135" s="0" t="str">
        <f aca="false">IF(Y3135=1,"",IF(AND(AA3135=1,AC3135&lt;&gt;1),1,0))</f>
        <v/>
      </c>
      <c r="AF3135" s="45" t="str">
        <f aca="false">IF(AND(E3135&gt;0,Y3135&lt;1,NOT(AND(C3136=C3135,Y3136=Y3135+1))),INDEX(DATAS,Y3135+1),"")</f>
        <v/>
      </c>
      <c r="AG3135" s="45" t="str">
        <f aca="false">IF(AND(AA3135=1,Y3135&lt;1),IF(AND(C3136=C3135,Y3136=Y3135+1),IF(AA3136=1,"",INDEX(DATAS,Y3135+1)),INDEX(DATAS,Y3135+1)),"")</f>
        <v/>
      </c>
    </row>
    <row r="3136" customFormat="false" ht="15" hidden="false" customHeight="false" outlineLevel="0" collapsed="false">
      <c r="A3136" s="45" t="n">
        <v>46309</v>
      </c>
      <c r="B3136" s="0" t="n">
        <v>13</v>
      </c>
      <c r="C3136" s="0" t="n">
        <v>7551</v>
      </c>
      <c r="E3136" s="0" t="n">
        <v>0</v>
      </c>
      <c r="F3136" s="39" t="s">
        <v>1462</v>
      </c>
      <c r="I3136" s="39" t="s">
        <v>136</v>
      </c>
      <c r="U3136" s="0" t="n">
        <v>205</v>
      </c>
      <c r="V3136" s="0" t="n">
        <v>0</v>
      </c>
      <c r="W3136" s="39" t="n">
        <f aca="false">IF(I3136="Male",0,1)</f>
        <v>1</v>
      </c>
      <c r="X3136" s="39" t="n">
        <f aca="false">IF(OR(I3136="DNB",I3136="Dry DNB"),1,0)</f>
        <v>0</v>
      </c>
      <c r="Y3136" s="39" t="n">
        <f aca="false">MATCH(A3136,DATAS,0)</f>
        <v>1</v>
      </c>
      <c r="Z3136" s="39" t="n">
        <f aca="false">IF(AND(E3136&gt;0,OR(AND(B3136&gt;=1,B3136&lt;=6),B3136=10)),1,0)</f>
        <v>0</v>
      </c>
      <c r="AA3136" s="39" t="n">
        <f aca="false">IF(AND(E3136&gt;0,B3136=10),1,0)</f>
        <v>0</v>
      </c>
      <c r="AB3136" s="0" t="str">
        <f aca="false">IF(AND(C3135=C3136,Y3135=Y3136-1),Z3135,"")</f>
        <v/>
      </c>
      <c r="AC3136" s="0" t="str">
        <f aca="false">IF(AND(C3135=C3136,Y3135=Y3136-1),AA3135,"")</f>
        <v/>
      </c>
      <c r="AD3136" s="0" t="str">
        <f aca="false">IF(Y3136=1,"",IF(AND(Z3136=1,AB3136&lt;&gt;1),1,0))</f>
        <v/>
      </c>
      <c r="AE3136" s="0" t="str">
        <f aca="false">IF(Y3136=1,"",IF(AND(AA3136=1,AC3136&lt;&gt;1),1,0))</f>
        <v/>
      </c>
      <c r="AF3136" s="45" t="str">
        <f aca="false">IF(AND(E3136&gt;0,Y3136&lt;1,NOT(AND(C3137=C3136,Y3137=Y3136+1))),INDEX(DATAS,Y3136+1),"")</f>
        <v/>
      </c>
      <c r="AG3136" s="45" t="str">
        <f aca="false">IF(AND(AA3136=1,Y3136&lt;1),IF(AND(C3137=C3136,Y3137=Y3136+1),IF(AA3137=1,"",INDEX(DATAS,Y3136+1)),INDEX(DATAS,Y3136+1)),"")</f>
        <v/>
      </c>
    </row>
    <row r="3137" customFormat="false" ht="15" hidden="false" customHeight="false" outlineLevel="0" collapsed="false">
      <c r="A3137" s="45" t="n">
        <v>46309</v>
      </c>
      <c r="B3137" s="0" t="n">
        <v>13</v>
      </c>
      <c r="C3137" s="0" t="n">
        <v>7552</v>
      </c>
      <c r="E3137" s="0" t="n">
        <v>0</v>
      </c>
      <c r="F3137" s="39" t="s">
        <v>1462</v>
      </c>
      <c r="I3137" s="39" t="s">
        <v>136</v>
      </c>
      <c r="U3137" s="0" t="n">
        <v>205</v>
      </c>
      <c r="V3137" s="0" t="n">
        <v>0</v>
      </c>
      <c r="W3137" s="39" t="n">
        <f aca="false">IF(I3137="Male",0,1)</f>
        <v>1</v>
      </c>
      <c r="X3137" s="39" t="n">
        <f aca="false">IF(OR(I3137="DNB",I3137="Dry DNB"),1,0)</f>
        <v>0</v>
      </c>
      <c r="Y3137" s="39" t="n">
        <f aca="false">MATCH(A3137,DATAS,0)</f>
        <v>1</v>
      </c>
      <c r="Z3137" s="39" t="n">
        <f aca="false">IF(AND(E3137&gt;0,OR(AND(B3137&gt;=1,B3137&lt;=6),B3137=10)),1,0)</f>
        <v>0</v>
      </c>
      <c r="AA3137" s="39" t="n">
        <f aca="false">IF(AND(E3137&gt;0,B3137=10),1,0)</f>
        <v>0</v>
      </c>
      <c r="AB3137" s="0" t="str">
        <f aca="false">IF(AND(C3136=C3137,Y3136=Y3137-1),Z3136,"")</f>
        <v/>
      </c>
      <c r="AC3137" s="0" t="str">
        <f aca="false">IF(AND(C3136=C3137,Y3136=Y3137-1),AA3136,"")</f>
        <v/>
      </c>
      <c r="AD3137" s="0" t="str">
        <f aca="false">IF(Y3137=1,"",IF(AND(Z3137=1,AB3137&lt;&gt;1),1,0))</f>
        <v/>
      </c>
      <c r="AE3137" s="0" t="str">
        <f aca="false">IF(Y3137=1,"",IF(AND(AA3137=1,AC3137&lt;&gt;1),1,0))</f>
        <v/>
      </c>
      <c r="AF3137" s="45" t="str">
        <f aca="false">IF(AND(E3137&gt;0,Y3137&lt;1,NOT(AND(C3138=C3137,Y3138=Y3137+1))),INDEX(DATAS,Y3137+1),"")</f>
        <v/>
      </c>
      <c r="AG3137" s="45" t="str">
        <f aca="false">IF(AND(AA3137=1,Y3137&lt;1),IF(AND(C3138=C3137,Y3138=Y3137+1),IF(AA3138=1,"",INDEX(DATAS,Y3137+1)),INDEX(DATAS,Y3137+1)),"")</f>
        <v/>
      </c>
    </row>
    <row r="3138" customFormat="false" ht="15" hidden="false" customHeight="false" outlineLevel="0" collapsed="false">
      <c r="A3138" s="45" t="n">
        <v>46309</v>
      </c>
      <c r="B3138" s="0" t="n">
        <v>13</v>
      </c>
      <c r="C3138" s="0" t="n">
        <v>7553</v>
      </c>
      <c r="E3138" s="0" t="n">
        <v>0</v>
      </c>
      <c r="F3138" s="39" t="s">
        <v>1462</v>
      </c>
      <c r="I3138" s="39" t="s">
        <v>136</v>
      </c>
      <c r="U3138" s="0" t="n">
        <v>205</v>
      </c>
      <c r="V3138" s="0" t="n">
        <v>0</v>
      </c>
      <c r="W3138" s="39" t="n">
        <f aca="false">IF(I3138="Male",0,1)</f>
        <v>1</v>
      </c>
      <c r="X3138" s="39" t="n">
        <f aca="false">IF(OR(I3138="DNB",I3138="Dry DNB"),1,0)</f>
        <v>0</v>
      </c>
      <c r="Y3138" s="39" t="n">
        <f aca="false">MATCH(A3138,DATAS,0)</f>
        <v>1</v>
      </c>
      <c r="Z3138" s="39" t="n">
        <f aca="false">IF(AND(E3138&gt;0,OR(AND(B3138&gt;=1,B3138&lt;=6),B3138=10)),1,0)</f>
        <v>0</v>
      </c>
      <c r="AA3138" s="39" t="n">
        <f aca="false">IF(AND(E3138&gt;0,B3138=10),1,0)</f>
        <v>0</v>
      </c>
      <c r="AB3138" s="0" t="str">
        <f aca="false">IF(AND(C3137=C3138,Y3137=Y3138-1),Z3137,"")</f>
        <v/>
      </c>
      <c r="AC3138" s="0" t="str">
        <f aca="false">IF(AND(C3137=C3138,Y3137=Y3138-1),AA3137,"")</f>
        <v/>
      </c>
      <c r="AD3138" s="0" t="str">
        <f aca="false">IF(Y3138=1,"",IF(AND(Z3138=1,AB3138&lt;&gt;1),1,0))</f>
        <v/>
      </c>
      <c r="AE3138" s="0" t="str">
        <f aca="false">IF(Y3138=1,"",IF(AND(AA3138=1,AC3138&lt;&gt;1),1,0))</f>
        <v/>
      </c>
      <c r="AF3138" s="45" t="str">
        <f aca="false">IF(AND(E3138&gt;0,Y3138&lt;1,NOT(AND(C3139=C3138,Y3139=Y3138+1))),INDEX(DATAS,Y3138+1),"")</f>
        <v/>
      </c>
      <c r="AG3138" s="45" t="str">
        <f aca="false">IF(AND(AA3138=1,Y3138&lt;1),IF(AND(C3139=C3138,Y3139=Y3138+1),IF(AA3139=1,"",INDEX(DATAS,Y3138+1)),INDEX(DATAS,Y3138+1)),"")</f>
        <v/>
      </c>
    </row>
    <row r="3139" customFormat="false" ht="15" hidden="false" customHeight="false" outlineLevel="0" collapsed="false">
      <c r="A3139" s="45" t="n">
        <v>46309</v>
      </c>
      <c r="B3139" s="0" t="n">
        <v>13</v>
      </c>
      <c r="C3139" s="0" t="n">
        <v>7554</v>
      </c>
      <c r="E3139" s="0" t="n">
        <v>0</v>
      </c>
      <c r="F3139" s="39" t="s">
        <v>1462</v>
      </c>
      <c r="I3139" s="39" t="s">
        <v>136</v>
      </c>
      <c r="U3139" s="0" t="n">
        <v>205</v>
      </c>
      <c r="V3139" s="0" t="n">
        <v>0</v>
      </c>
      <c r="W3139" s="39" t="n">
        <f aca="false">IF(I3139="Male",0,1)</f>
        <v>1</v>
      </c>
      <c r="X3139" s="39" t="n">
        <f aca="false">IF(OR(I3139="DNB",I3139="Dry DNB"),1,0)</f>
        <v>0</v>
      </c>
      <c r="Y3139" s="39" t="n">
        <f aca="false">MATCH(A3139,DATAS,0)</f>
        <v>1</v>
      </c>
      <c r="Z3139" s="39" t="n">
        <f aca="false">IF(AND(E3139&gt;0,OR(AND(B3139&gt;=1,B3139&lt;=6),B3139=10)),1,0)</f>
        <v>0</v>
      </c>
      <c r="AA3139" s="39" t="n">
        <f aca="false">IF(AND(E3139&gt;0,B3139=10),1,0)</f>
        <v>0</v>
      </c>
      <c r="AB3139" s="0" t="str">
        <f aca="false">IF(AND(C3138=C3139,Y3138=Y3139-1),Z3138,"")</f>
        <v/>
      </c>
      <c r="AC3139" s="0" t="str">
        <f aca="false">IF(AND(C3138=C3139,Y3138=Y3139-1),AA3138,"")</f>
        <v/>
      </c>
      <c r="AD3139" s="0" t="str">
        <f aca="false">IF(Y3139=1,"",IF(AND(Z3139=1,AB3139&lt;&gt;1),1,0))</f>
        <v/>
      </c>
      <c r="AE3139" s="0" t="str">
        <f aca="false">IF(Y3139=1,"",IF(AND(AA3139=1,AC3139&lt;&gt;1),1,0))</f>
        <v/>
      </c>
      <c r="AF3139" s="45" t="str">
        <f aca="false">IF(AND(E3139&gt;0,Y3139&lt;1,NOT(AND(C3140=C3139,Y3140=Y3139+1))),INDEX(DATAS,Y3139+1),"")</f>
        <v/>
      </c>
      <c r="AG3139" s="45" t="str">
        <f aca="false">IF(AND(AA3139=1,Y3139&lt;1),IF(AND(C3140=C3139,Y3140=Y3139+1),IF(AA3140=1,"",INDEX(DATAS,Y3139+1)),INDEX(DATAS,Y3139+1)),"")</f>
        <v/>
      </c>
    </row>
    <row r="3140" customFormat="false" ht="15" hidden="false" customHeight="false" outlineLevel="0" collapsed="false">
      <c r="A3140" s="45" t="n">
        <v>46309</v>
      </c>
      <c r="B3140" s="0" t="n">
        <v>13</v>
      </c>
      <c r="C3140" s="0" t="n">
        <v>7555</v>
      </c>
      <c r="E3140" s="0" t="n">
        <v>0</v>
      </c>
      <c r="F3140" s="39" t="s">
        <v>1463</v>
      </c>
      <c r="I3140" s="39" t="s">
        <v>136</v>
      </c>
      <c r="U3140" s="0" t="n">
        <v>204</v>
      </c>
      <c r="V3140" s="0" t="n">
        <v>0</v>
      </c>
      <c r="W3140" s="39" t="n">
        <f aca="false">IF(I3140="Male",0,1)</f>
        <v>1</v>
      </c>
      <c r="X3140" s="39" t="n">
        <f aca="false">IF(OR(I3140="DNB",I3140="Dry DNB"),1,0)</f>
        <v>0</v>
      </c>
      <c r="Y3140" s="39" t="n">
        <f aca="false">MATCH(A3140,DATAS,0)</f>
        <v>1</v>
      </c>
      <c r="Z3140" s="39" t="n">
        <f aca="false">IF(AND(E3140&gt;0,OR(AND(B3140&gt;=1,B3140&lt;=6),B3140=10)),1,0)</f>
        <v>0</v>
      </c>
      <c r="AA3140" s="39" t="n">
        <f aca="false">IF(AND(E3140&gt;0,B3140=10),1,0)</f>
        <v>0</v>
      </c>
      <c r="AB3140" s="0" t="str">
        <f aca="false">IF(AND(C3139=C3140,Y3139=Y3140-1),Z3139,"")</f>
        <v/>
      </c>
      <c r="AC3140" s="0" t="str">
        <f aca="false">IF(AND(C3139=C3140,Y3139=Y3140-1),AA3139,"")</f>
        <v/>
      </c>
      <c r="AD3140" s="0" t="str">
        <f aca="false">IF(Y3140=1,"",IF(AND(Z3140=1,AB3140&lt;&gt;1),1,0))</f>
        <v/>
      </c>
      <c r="AE3140" s="0" t="str">
        <f aca="false">IF(Y3140=1,"",IF(AND(AA3140=1,AC3140&lt;&gt;1),1,0))</f>
        <v/>
      </c>
      <c r="AF3140" s="45" t="str">
        <f aca="false">IF(AND(E3140&gt;0,Y3140&lt;1,NOT(AND(C3141=C3140,Y3141=Y3140+1))),INDEX(DATAS,Y3140+1),"")</f>
        <v/>
      </c>
      <c r="AG3140" s="45" t="str">
        <f aca="false">IF(AND(AA3140=1,Y3140&lt;1),IF(AND(C3141=C3140,Y3141=Y3140+1),IF(AA3141=1,"",INDEX(DATAS,Y3140+1)),INDEX(DATAS,Y3140+1)),"")</f>
        <v/>
      </c>
    </row>
    <row r="3141" customFormat="false" ht="15" hidden="false" customHeight="false" outlineLevel="0" collapsed="false">
      <c r="A3141" s="45" t="n">
        <v>46309</v>
      </c>
      <c r="B3141" s="0" t="n">
        <v>13</v>
      </c>
      <c r="C3141" s="0" t="n">
        <v>7556</v>
      </c>
      <c r="E3141" s="0" t="n">
        <v>0</v>
      </c>
      <c r="F3141" s="39" t="s">
        <v>1463</v>
      </c>
      <c r="I3141" s="39" t="s">
        <v>136</v>
      </c>
      <c r="U3141" s="0" t="n">
        <v>204</v>
      </c>
      <c r="V3141" s="0" t="n">
        <v>0</v>
      </c>
      <c r="W3141" s="39" t="n">
        <f aca="false">IF(I3141="Male",0,1)</f>
        <v>1</v>
      </c>
      <c r="X3141" s="39" t="n">
        <f aca="false">IF(OR(I3141="DNB",I3141="Dry DNB"),1,0)</f>
        <v>0</v>
      </c>
      <c r="Y3141" s="39" t="n">
        <f aca="false">MATCH(A3141,DATAS,0)</f>
        <v>1</v>
      </c>
      <c r="Z3141" s="39" t="n">
        <f aca="false">IF(AND(E3141&gt;0,OR(AND(B3141&gt;=1,B3141&lt;=6),B3141=10)),1,0)</f>
        <v>0</v>
      </c>
      <c r="AA3141" s="39" t="n">
        <f aca="false">IF(AND(E3141&gt;0,B3141=10),1,0)</f>
        <v>0</v>
      </c>
      <c r="AB3141" s="0" t="str">
        <f aca="false">IF(AND(C3140=C3141,Y3140=Y3141-1),Z3140,"")</f>
        <v/>
      </c>
      <c r="AC3141" s="0" t="str">
        <f aca="false">IF(AND(C3140=C3141,Y3140=Y3141-1),AA3140,"")</f>
        <v/>
      </c>
      <c r="AD3141" s="0" t="str">
        <f aca="false">IF(Y3141=1,"",IF(AND(Z3141=1,AB3141&lt;&gt;1),1,0))</f>
        <v/>
      </c>
      <c r="AE3141" s="0" t="str">
        <f aca="false">IF(Y3141=1,"",IF(AND(AA3141=1,AC3141&lt;&gt;1),1,0))</f>
        <v/>
      </c>
      <c r="AF3141" s="45" t="str">
        <f aca="false">IF(AND(E3141&gt;0,Y3141&lt;1,NOT(AND(C3142=C3141,Y3142=Y3141+1))),INDEX(DATAS,Y3141+1),"")</f>
        <v/>
      </c>
      <c r="AG3141" s="45" t="str">
        <f aca="false">IF(AND(AA3141=1,Y3141&lt;1),IF(AND(C3142=C3141,Y3142=Y3141+1),IF(AA3142=1,"",INDEX(DATAS,Y3141+1)),INDEX(DATAS,Y3141+1)),"")</f>
        <v/>
      </c>
    </row>
    <row r="3142" customFormat="false" ht="15" hidden="false" customHeight="false" outlineLevel="0" collapsed="false">
      <c r="A3142" s="45" t="n">
        <v>46309</v>
      </c>
      <c r="B3142" s="0" t="n">
        <v>13</v>
      </c>
      <c r="C3142" s="0" t="n">
        <v>7557</v>
      </c>
      <c r="E3142" s="0" t="n">
        <v>0</v>
      </c>
      <c r="F3142" s="39" t="s">
        <v>1463</v>
      </c>
      <c r="I3142" s="39" t="s">
        <v>136</v>
      </c>
      <c r="U3142" s="0" t="n">
        <v>204</v>
      </c>
      <c r="V3142" s="0" t="n">
        <v>0</v>
      </c>
      <c r="W3142" s="39" t="n">
        <f aca="false">IF(I3142="Male",0,1)</f>
        <v>1</v>
      </c>
      <c r="X3142" s="39" t="n">
        <f aca="false">IF(OR(I3142="DNB",I3142="Dry DNB"),1,0)</f>
        <v>0</v>
      </c>
      <c r="Y3142" s="39" t="n">
        <f aca="false">MATCH(A3142,DATAS,0)</f>
        <v>1</v>
      </c>
      <c r="Z3142" s="39" t="n">
        <f aca="false">IF(AND(E3142&gt;0,OR(AND(B3142&gt;=1,B3142&lt;=6),B3142=10)),1,0)</f>
        <v>0</v>
      </c>
      <c r="AA3142" s="39" t="n">
        <f aca="false">IF(AND(E3142&gt;0,B3142=10),1,0)</f>
        <v>0</v>
      </c>
      <c r="AB3142" s="0" t="str">
        <f aca="false">IF(AND(C3141=C3142,Y3141=Y3142-1),Z3141,"")</f>
        <v/>
      </c>
      <c r="AC3142" s="0" t="str">
        <f aca="false">IF(AND(C3141=C3142,Y3141=Y3142-1),AA3141,"")</f>
        <v/>
      </c>
      <c r="AD3142" s="0" t="str">
        <f aca="false">IF(Y3142=1,"",IF(AND(Z3142=1,AB3142&lt;&gt;1),1,0))</f>
        <v/>
      </c>
      <c r="AE3142" s="0" t="str">
        <f aca="false">IF(Y3142=1,"",IF(AND(AA3142=1,AC3142&lt;&gt;1),1,0))</f>
        <v/>
      </c>
      <c r="AF3142" s="45" t="str">
        <f aca="false">IF(AND(E3142&gt;0,Y3142&lt;1,NOT(AND(C3143=C3142,Y3143=Y3142+1))),INDEX(DATAS,Y3142+1),"")</f>
        <v/>
      </c>
      <c r="AG3142" s="45" t="str">
        <f aca="false">IF(AND(AA3142=1,Y3142&lt;1),IF(AND(C3143=C3142,Y3143=Y3142+1),IF(AA3143=1,"",INDEX(DATAS,Y3142+1)),INDEX(DATAS,Y3142+1)),"")</f>
        <v/>
      </c>
    </row>
    <row r="3143" customFormat="false" ht="15" hidden="false" customHeight="false" outlineLevel="0" collapsed="false">
      <c r="A3143" s="45" t="n">
        <v>46309</v>
      </c>
      <c r="B3143" s="0" t="n">
        <v>13</v>
      </c>
      <c r="C3143" s="0" t="n">
        <v>7558</v>
      </c>
      <c r="E3143" s="0" t="n">
        <v>0</v>
      </c>
      <c r="F3143" s="39" t="s">
        <v>1463</v>
      </c>
      <c r="I3143" s="39" t="s">
        <v>136</v>
      </c>
      <c r="U3143" s="0" t="n">
        <v>204</v>
      </c>
      <c r="V3143" s="0" t="n">
        <v>0</v>
      </c>
      <c r="W3143" s="39" t="n">
        <f aca="false">IF(I3143="Male",0,1)</f>
        <v>1</v>
      </c>
      <c r="X3143" s="39" t="n">
        <f aca="false">IF(OR(I3143="DNB",I3143="Dry DNB"),1,0)</f>
        <v>0</v>
      </c>
      <c r="Y3143" s="39" t="n">
        <f aca="false">MATCH(A3143,DATAS,0)</f>
        <v>1</v>
      </c>
      <c r="Z3143" s="39" t="n">
        <f aca="false">IF(AND(E3143&gt;0,OR(AND(B3143&gt;=1,B3143&lt;=6),B3143=10)),1,0)</f>
        <v>0</v>
      </c>
      <c r="AA3143" s="39" t="n">
        <f aca="false">IF(AND(E3143&gt;0,B3143=10),1,0)</f>
        <v>0</v>
      </c>
      <c r="AB3143" s="0" t="str">
        <f aca="false">IF(AND(C3142=C3143,Y3142=Y3143-1),Z3142,"")</f>
        <v/>
      </c>
      <c r="AC3143" s="0" t="str">
        <f aca="false">IF(AND(C3142=C3143,Y3142=Y3143-1),AA3142,"")</f>
        <v/>
      </c>
      <c r="AD3143" s="0" t="str">
        <f aca="false">IF(Y3143=1,"",IF(AND(Z3143=1,AB3143&lt;&gt;1),1,0))</f>
        <v/>
      </c>
      <c r="AE3143" s="0" t="str">
        <f aca="false">IF(Y3143=1,"",IF(AND(AA3143=1,AC3143&lt;&gt;1),1,0))</f>
        <v/>
      </c>
      <c r="AF3143" s="45" t="str">
        <f aca="false">IF(AND(E3143&gt;0,Y3143&lt;1,NOT(AND(C3144=C3143,Y3144=Y3143+1))),INDEX(DATAS,Y3143+1),"")</f>
        <v/>
      </c>
      <c r="AG3143" s="45" t="str">
        <f aca="false">IF(AND(AA3143=1,Y3143&lt;1),IF(AND(C3144=C3143,Y3144=Y3143+1),IF(AA3144=1,"",INDEX(DATAS,Y3143+1)),INDEX(DATAS,Y3143+1)),"")</f>
        <v/>
      </c>
    </row>
    <row r="3144" customFormat="false" ht="15" hidden="false" customHeight="false" outlineLevel="0" collapsed="false">
      <c r="A3144" s="45" t="n">
        <v>46309</v>
      </c>
      <c r="B3144" s="0" t="n">
        <v>13</v>
      </c>
      <c r="C3144" s="0" t="n">
        <v>7559</v>
      </c>
      <c r="E3144" s="0" t="n">
        <v>0</v>
      </c>
      <c r="F3144" s="39" t="s">
        <v>1464</v>
      </c>
      <c r="I3144" s="39" t="s">
        <v>136</v>
      </c>
      <c r="U3144" s="0" t="n">
        <v>203</v>
      </c>
      <c r="V3144" s="0" t="n">
        <v>0</v>
      </c>
      <c r="W3144" s="39" t="n">
        <f aca="false">IF(I3144="Male",0,1)</f>
        <v>1</v>
      </c>
      <c r="X3144" s="39" t="n">
        <f aca="false">IF(OR(I3144="DNB",I3144="Dry DNB"),1,0)</f>
        <v>0</v>
      </c>
      <c r="Y3144" s="39" t="n">
        <f aca="false">MATCH(A3144,DATAS,0)</f>
        <v>1</v>
      </c>
      <c r="Z3144" s="39" t="n">
        <f aca="false">IF(AND(E3144&gt;0,OR(AND(B3144&gt;=1,B3144&lt;=6),B3144=10)),1,0)</f>
        <v>0</v>
      </c>
      <c r="AA3144" s="39" t="n">
        <f aca="false">IF(AND(E3144&gt;0,B3144=10),1,0)</f>
        <v>0</v>
      </c>
      <c r="AB3144" s="0" t="str">
        <f aca="false">IF(AND(C3143=C3144,Y3143=Y3144-1),Z3143,"")</f>
        <v/>
      </c>
      <c r="AC3144" s="0" t="str">
        <f aca="false">IF(AND(C3143=C3144,Y3143=Y3144-1),AA3143,"")</f>
        <v/>
      </c>
      <c r="AD3144" s="0" t="str">
        <f aca="false">IF(Y3144=1,"",IF(AND(Z3144=1,AB3144&lt;&gt;1),1,0))</f>
        <v/>
      </c>
      <c r="AE3144" s="0" t="str">
        <f aca="false">IF(Y3144=1,"",IF(AND(AA3144=1,AC3144&lt;&gt;1),1,0))</f>
        <v/>
      </c>
      <c r="AF3144" s="45" t="str">
        <f aca="false">IF(AND(E3144&gt;0,Y3144&lt;1,NOT(AND(C3145=C3144,Y3145=Y3144+1))),INDEX(DATAS,Y3144+1),"")</f>
        <v/>
      </c>
      <c r="AG3144" s="45" t="str">
        <f aca="false">IF(AND(AA3144=1,Y3144&lt;1),IF(AND(C3145=C3144,Y3145=Y3144+1),IF(AA3145=1,"",INDEX(DATAS,Y3144+1)),INDEX(DATAS,Y3144+1)),"")</f>
        <v/>
      </c>
    </row>
    <row r="3145" customFormat="false" ht="15" hidden="false" customHeight="false" outlineLevel="0" collapsed="false">
      <c r="A3145" s="45" t="n">
        <v>46309</v>
      </c>
      <c r="B3145" s="0" t="n">
        <v>13</v>
      </c>
      <c r="C3145" s="0" t="n">
        <v>7560</v>
      </c>
      <c r="E3145" s="0" t="n">
        <v>0</v>
      </c>
      <c r="F3145" s="39" t="s">
        <v>1464</v>
      </c>
      <c r="I3145" s="39" t="s">
        <v>136</v>
      </c>
      <c r="U3145" s="0" t="n">
        <v>203</v>
      </c>
      <c r="V3145" s="0" t="n">
        <v>0</v>
      </c>
      <c r="W3145" s="39" t="n">
        <f aca="false">IF(I3145="Male",0,1)</f>
        <v>1</v>
      </c>
      <c r="X3145" s="39" t="n">
        <f aca="false">IF(OR(I3145="DNB",I3145="Dry DNB"),1,0)</f>
        <v>0</v>
      </c>
      <c r="Y3145" s="39" t="n">
        <f aca="false">MATCH(A3145,DATAS,0)</f>
        <v>1</v>
      </c>
      <c r="Z3145" s="39" t="n">
        <f aca="false">IF(AND(E3145&gt;0,OR(AND(B3145&gt;=1,B3145&lt;=6),B3145=10)),1,0)</f>
        <v>0</v>
      </c>
      <c r="AA3145" s="39" t="n">
        <f aca="false">IF(AND(E3145&gt;0,B3145=10),1,0)</f>
        <v>0</v>
      </c>
      <c r="AB3145" s="0" t="str">
        <f aca="false">IF(AND(C3144=C3145,Y3144=Y3145-1),Z3144,"")</f>
        <v/>
      </c>
      <c r="AC3145" s="0" t="str">
        <f aca="false">IF(AND(C3144=C3145,Y3144=Y3145-1),AA3144,"")</f>
        <v/>
      </c>
      <c r="AD3145" s="0" t="str">
        <f aca="false">IF(Y3145=1,"",IF(AND(Z3145=1,AB3145&lt;&gt;1),1,0))</f>
        <v/>
      </c>
      <c r="AE3145" s="0" t="str">
        <f aca="false">IF(Y3145=1,"",IF(AND(AA3145=1,AC3145&lt;&gt;1),1,0))</f>
        <v/>
      </c>
      <c r="AF3145" s="45" t="str">
        <f aca="false">IF(AND(E3145&gt;0,Y3145&lt;1,NOT(AND(C3146=C3145,Y3146=Y3145+1))),INDEX(DATAS,Y3145+1),"")</f>
        <v/>
      </c>
      <c r="AG3145" s="45" t="str">
        <f aca="false">IF(AND(AA3145=1,Y3145&lt;1),IF(AND(C3146=C3145,Y3146=Y3145+1),IF(AA3146=1,"",INDEX(DATAS,Y3145+1)),INDEX(DATAS,Y3145+1)),"")</f>
        <v/>
      </c>
    </row>
    <row r="3146" customFormat="false" ht="15" hidden="false" customHeight="false" outlineLevel="0" collapsed="false">
      <c r="A3146" s="45" t="n">
        <v>46309</v>
      </c>
      <c r="B3146" s="0" t="n">
        <v>13</v>
      </c>
      <c r="C3146" s="0" t="n">
        <v>7561</v>
      </c>
      <c r="E3146" s="0" t="n">
        <v>0</v>
      </c>
      <c r="F3146" s="39" t="s">
        <v>1464</v>
      </c>
      <c r="I3146" s="39" t="s">
        <v>136</v>
      </c>
      <c r="U3146" s="0" t="n">
        <v>203</v>
      </c>
      <c r="V3146" s="0" t="n">
        <v>0</v>
      </c>
      <c r="W3146" s="39" t="n">
        <f aca="false">IF(I3146="Male",0,1)</f>
        <v>1</v>
      </c>
      <c r="X3146" s="39" t="n">
        <f aca="false">IF(OR(I3146="DNB",I3146="Dry DNB"),1,0)</f>
        <v>0</v>
      </c>
      <c r="Y3146" s="39" t="n">
        <f aca="false">MATCH(A3146,DATAS,0)</f>
        <v>1</v>
      </c>
      <c r="Z3146" s="39" t="n">
        <f aca="false">IF(AND(E3146&gt;0,OR(AND(B3146&gt;=1,B3146&lt;=6),B3146=10)),1,0)</f>
        <v>0</v>
      </c>
      <c r="AA3146" s="39" t="n">
        <f aca="false">IF(AND(E3146&gt;0,B3146=10),1,0)</f>
        <v>0</v>
      </c>
      <c r="AB3146" s="0" t="str">
        <f aca="false">IF(AND(C3145=C3146,Y3145=Y3146-1),Z3145,"")</f>
        <v/>
      </c>
      <c r="AC3146" s="0" t="str">
        <f aca="false">IF(AND(C3145=C3146,Y3145=Y3146-1),AA3145,"")</f>
        <v/>
      </c>
      <c r="AD3146" s="0" t="str">
        <f aca="false">IF(Y3146=1,"",IF(AND(Z3146=1,AB3146&lt;&gt;1),1,0))</f>
        <v/>
      </c>
      <c r="AE3146" s="0" t="str">
        <f aca="false">IF(Y3146=1,"",IF(AND(AA3146=1,AC3146&lt;&gt;1),1,0))</f>
        <v/>
      </c>
      <c r="AF3146" s="45" t="str">
        <f aca="false">IF(AND(E3146&gt;0,Y3146&lt;1,NOT(AND(C3147=C3146,Y3147=Y3146+1))),INDEX(DATAS,Y3146+1),"")</f>
        <v/>
      </c>
      <c r="AG3146" s="45" t="str">
        <f aca="false">IF(AND(AA3146=1,Y3146&lt;1),IF(AND(C3147=C3146,Y3147=Y3146+1),IF(AA3147=1,"",INDEX(DATAS,Y3146+1)),INDEX(DATAS,Y3146+1)),"")</f>
        <v/>
      </c>
    </row>
    <row r="3147" customFormat="false" ht="15" hidden="false" customHeight="false" outlineLevel="0" collapsed="false">
      <c r="A3147" s="45" t="n">
        <v>46309</v>
      </c>
      <c r="B3147" s="0" t="n">
        <v>13</v>
      </c>
      <c r="C3147" s="0" t="n">
        <v>7562</v>
      </c>
      <c r="E3147" s="0" t="n">
        <v>0</v>
      </c>
      <c r="F3147" s="39" t="s">
        <v>1464</v>
      </c>
      <c r="I3147" s="39" t="s">
        <v>136</v>
      </c>
      <c r="U3147" s="0" t="n">
        <v>203</v>
      </c>
      <c r="V3147" s="0" t="n">
        <v>0</v>
      </c>
      <c r="W3147" s="39" t="n">
        <f aca="false">IF(I3147="Male",0,1)</f>
        <v>1</v>
      </c>
      <c r="X3147" s="39" t="n">
        <f aca="false">IF(OR(I3147="DNB",I3147="Dry DNB"),1,0)</f>
        <v>0</v>
      </c>
      <c r="Y3147" s="39" t="n">
        <f aca="false">MATCH(A3147,DATAS,0)</f>
        <v>1</v>
      </c>
      <c r="Z3147" s="39" t="n">
        <f aca="false">IF(AND(E3147&gt;0,OR(AND(B3147&gt;=1,B3147&lt;=6),B3147=10)),1,0)</f>
        <v>0</v>
      </c>
      <c r="AA3147" s="39" t="n">
        <f aca="false">IF(AND(E3147&gt;0,B3147=10),1,0)</f>
        <v>0</v>
      </c>
      <c r="AB3147" s="0" t="str">
        <f aca="false">IF(AND(C3146=C3147,Y3146=Y3147-1),Z3146,"")</f>
        <v/>
      </c>
      <c r="AC3147" s="0" t="str">
        <f aca="false">IF(AND(C3146=C3147,Y3146=Y3147-1),AA3146,"")</f>
        <v/>
      </c>
      <c r="AD3147" s="0" t="str">
        <f aca="false">IF(Y3147=1,"",IF(AND(Z3147=1,AB3147&lt;&gt;1),1,0))</f>
        <v/>
      </c>
      <c r="AE3147" s="0" t="str">
        <f aca="false">IF(Y3147=1,"",IF(AND(AA3147=1,AC3147&lt;&gt;1),1,0))</f>
        <v/>
      </c>
      <c r="AF3147" s="45" t="str">
        <f aca="false">IF(AND(E3147&gt;0,Y3147&lt;1,NOT(AND(C3148=C3147,Y3148=Y3147+1))),INDEX(DATAS,Y3147+1),"")</f>
        <v/>
      </c>
      <c r="AG3147" s="45" t="str">
        <f aca="false">IF(AND(AA3147=1,Y3147&lt;1),IF(AND(C3148=C3147,Y3148=Y3147+1),IF(AA3148=1,"",INDEX(DATAS,Y3147+1)),INDEX(DATAS,Y3147+1)),"")</f>
        <v/>
      </c>
    </row>
    <row r="3148" customFormat="false" ht="15" hidden="false" customHeight="false" outlineLevel="0" collapsed="false">
      <c r="A3148" s="45" t="n">
        <v>46309</v>
      </c>
      <c r="B3148" s="0" t="n">
        <v>13</v>
      </c>
      <c r="C3148" s="0" t="n">
        <v>7563</v>
      </c>
      <c r="E3148" s="0" t="n">
        <v>0</v>
      </c>
      <c r="F3148" s="39" t="s">
        <v>1464</v>
      </c>
      <c r="I3148" s="39" t="s">
        <v>136</v>
      </c>
      <c r="U3148" s="0" t="n">
        <v>203</v>
      </c>
      <c r="V3148" s="0" t="n">
        <v>0</v>
      </c>
      <c r="W3148" s="39" t="n">
        <f aca="false">IF(I3148="Male",0,1)</f>
        <v>1</v>
      </c>
      <c r="X3148" s="39" t="n">
        <f aca="false">IF(OR(I3148="DNB",I3148="Dry DNB"),1,0)</f>
        <v>0</v>
      </c>
      <c r="Y3148" s="39" t="n">
        <f aca="false">MATCH(A3148,DATAS,0)</f>
        <v>1</v>
      </c>
      <c r="Z3148" s="39" t="n">
        <f aca="false">IF(AND(E3148&gt;0,OR(AND(B3148&gt;=1,B3148&lt;=6),B3148=10)),1,0)</f>
        <v>0</v>
      </c>
      <c r="AA3148" s="39" t="n">
        <f aca="false">IF(AND(E3148&gt;0,B3148=10),1,0)</f>
        <v>0</v>
      </c>
      <c r="AB3148" s="0" t="str">
        <f aca="false">IF(AND(C3147=C3148,Y3147=Y3148-1),Z3147,"")</f>
        <v/>
      </c>
      <c r="AC3148" s="0" t="str">
        <f aca="false">IF(AND(C3147=C3148,Y3147=Y3148-1),AA3147,"")</f>
        <v/>
      </c>
      <c r="AD3148" s="0" t="str">
        <f aca="false">IF(Y3148=1,"",IF(AND(Z3148=1,AB3148&lt;&gt;1),1,0))</f>
        <v/>
      </c>
      <c r="AE3148" s="0" t="str">
        <f aca="false">IF(Y3148=1,"",IF(AND(AA3148=1,AC3148&lt;&gt;1),1,0))</f>
        <v/>
      </c>
      <c r="AF3148" s="45" t="str">
        <f aca="false">IF(AND(E3148&gt;0,Y3148&lt;1,NOT(AND(C3149=C3148,Y3149=Y3148+1))),INDEX(DATAS,Y3148+1),"")</f>
        <v/>
      </c>
      <c r="AG3148" s="45" t="str">
        <f aca="false">IF(AND(AA3148=1,Y3148&lt;1),IF(AND(C3149=C3148,Y3149=Y3148+1),IF(AA3149=1,"",INDEX(DATAS,Y3148+1)),INDEX(DATAS,Y3148+1)),"")</f>
        <v/>
      </c>
    </row>
    <row r="3149" customFormat="false" ht="15" hidden="false" customHeight="false" outlineLevel="0" collapsed="false">
      <c r="A3149" s="45" t="n">
        <v>46309</v>
      </c>
      <c r="B3149" s="0" t="n">
        <v>13</v>
      </c>
      <c r="C3149" s="0" t="n">
        <v>7564</v>
      </c>
      <c r="E3149" s="0" t="n">
        <v>0</v>
      </c>
      <c r="F3149" s="39" t="s">
        <v>1465</v>
      </c>
      <c r="I3149" s="39" t="s">
        <v>136</v>
      </c>
      <c r="U3149" s="0" t="n">
        <v>202</v>
      </c>
      <c r="V3149" s="0" t="n">
        <v>0</v>
      </c>
      <c r="W3149" s="39" t="n">
        <f aca="false">IF(I3149="Male",0,1)</f>
        <v>1</v>
      </c>
      <c r="X3149" s="39" t="n">
        <f aca="false">IF(OR(I3149="DNB",I3149="Dry DNB"),1,0)</f>
        <v>0</v>
      </c>
      <c r="Y3149" s="39" t="n">
        <f aca="false">MATCH(A3149,DATAS,0)</f>
        <v>1</v>
      </c>
      <c r="Z3149" s="39" t="n">
        <f aca="false">IF(AND(E3149&gt;0,OR(AND(B3149&gt;=1,B3149&lt;=6),B3149=10)),1,0)</f>
        <v>0</v>
      </c>
      <c r="AA3149" s="39" t="n">
        <f aca="false">IF(AND(E3149&gt;0,B3149=10),1,0)</f>
        <v>0</v>
      </c>
      <c r="AB3149" s="0" t="str">
        <f aca="false">IF(AND(C3148=C3149,Y3148=Y3149-1),Z3148,"")</f>
        <v/>
      </c>
      <c r="AC3149" s="0" t="str">
        <f aca="false">IF(AND(C3148=C3149,Y3148=Y3149-1),AA3148,"")</f>
        <v/>
      </c>
      <c r="AD3149" s="0" t="str">
        <f aca="false">IF(Y3149=1,"",IF(AND(Z3149=1,AB3149&lt;&gt;1),1,0))</f>
        <v/>
      </c>
      <c r="AE3149" s="0" t="str">
        <f aca="false">IF(Y3149=1,"",IF(AND(AA3149=1,AC3149&lt;&gt;1),1,0))</f>
        <v/>
      </c>
      <c r="AF3149" s="45" t="str">
        <f aca="false">IF(AND(E3149&gt;0,Y3149&lt;1,NOT(AND(C3150=C3149,Y3150=Y3149+1))),INDEX(DATAS,Y3149+1),"")</f>
        <v/>
      </c>
      <c r="AG3149" s="45" t="str">
        <f aca="false">IF(AND(AA3149=1,Y3149&lt;1),IF(AND(C3150=C3149,Y3150=Y3149+1),IF(AA3150=1,"",INDEX(DATAS,Y3149+1)),INDEX(DATAS,Y3149+1)),"")</f>
        <v/>
      </c>
    </row>
    <row r="3150" customFormat="false" ht="15" hidden="false" customHeight="false" outlineLevel="0" collapsed="false">
      <c r="A3150" s="45" t="n">
        <v>46309</v>
      </c>
      <c r="B3150" s="0" t="n">
        <v>13</v>
      </c>
      <c r="C3150" s="0" t="n">
        <v>7565</v>
      </c>
      <c r="E3150" s="0" t="n">
        <v>0</v>
      </c>
      <c r="F3150" s="39" t="s">
        <v>1465</v>
      </c>
      <c r="I3150" s="39" t="s">
        <v>136</v>
      </c>
      <c r="U3150" s="0" t="n">
        <v>202</v>
      </c>
      <c r="V3150" s="0" t="n">
        <v>0</v>
      </c>
      <c r="W3150" s="39" t="n">
        <f aca="false">IF(I3150="Male",0,1)</f>
        <v>1</v>
      </c>
      <c r="X3150" s="39" t="n">
        <f aca="false">IF(OR(I3150="DNB",I3150="Dry DNB"),1,0)</f>
        <v>0</v>
      </c>
      <c r="Y3150" s="39" t="n">
        <f aca="false">MATCH(A3150,DATAS,0)</f>
        <v>1</v>
      </c>
      <c r="Z3150" s="39" t="n">
        <f aca="false">IF(AND(E3150&gt;0,OR(AND(B3150&gt;=1,B3150&lt;=6),B3150=10)),1,0)</f>
        <v>0</v>
      </c>
      <c r="AA3150" s="39" t="n">
        <f aca="false">IF(AND(E3150&gt;0,B3150=10),1,0)</f>
        <v>0</v>
      </c>
      <c r="AB3150" s="0" t="str">
        <f aca="false">IF(AND(C3149=C3150,Y3149=Y3150-1),Z3149,"")</f>
        <v/>
      </c>
      <c r="AC3150" s="0" t="str">
        <f aca="false">IF(AND(C3149=C3150,Y3149=Y3150-1),AA3149,"")</f>
        <v/>
      </c>
      <c r="AD3150" s="0" t="str">
        <f aca="false">IF(Y3150=1,"",IF(AND(Z3150=1,AB3150&lt;&gt;1),1,0))</f>
        <v/>
      </c>
      <c r="AE3150" s="0" t="str">
        <f aca="false">IF(Y3150=1,"",IF(AND(AA3150=1,AC3150&lt;&gt;1),1,0))</f>
        <v/>
      </c>
      <c r="AF3150" s="45" t="str">
        <f aca="false">IF(AND(E3150&gt;0,Y3150&lt;1,NOT(AND(C3151=C3150,Y3151=Y3150+1))),INDEX(DATAS,Y3150+1),"")</f>
        <v/>
      </c>
      <c r="AG3150" s="45" t="str">
        <f aca="false">IF(AND(AA3150=1,Y3150&lt;1),IF(AND(C3151=C3150,Y3151=Y3150+1),IF(AA3151=1,"",INDEX(DATAS,Y3150+1)),INDEX(DATAS,Y3150+1)),"")</f>
        <v/>
      </c>
    </row>
    <row r="3151" customFormat="false" ht="15" hidden="false" customHeight="false" outlineLevel="0" collapsed="false">
      <c r="A3151" s="45" t="n">
        <v>46309</v>
      </c>
      <c r="B3151" s="0" t="n">
        <v>13</v>
      </c>
      <c r="C3151" s="0" t="n">
        <v>7566</v>
      </c>
      <c r="E3151" s="0" t="n">
        <v>0</v>
      </c>
      <c r="F3151" s="39" t="s">
        <v>1465</v>
      </c>
      <c r="I3151" s="39" t="s">
        <v>136</v>
      </c>
      <c r="U3151" s="0" t="n">
        <v>202</v>
      </c>
      <c r="V3151" s="0" t="n">
        <v>0</v>
      </c>
      <c r="W3151" s="39" t="n">
        <f aca="false">IF(I3151="Male",0,1)</f>
        <v>1</v>
      </c>
      <c r="X3151" s="39" t="n">
        <f aca="false">IF(OR(I3151="DNB",I3151="Dry DNB"),1,0)</f>
        <v>0</v>
      </c>
      <c r="Y3151" s="39" t="n">
        <f aca="false">MATCH(A3151,DATAS,0)</f>
        <v>1</v>
      </c>
      <c r="Z3151" s="39" t="n">
        <f aca="false">IF(AND(E3151&gt;0,OR(AND(B3151&gt;=1,B3151&lt;=6),B3151=10)),1,0)</f>
        <v>0</v>
      </c>
      <c r="AA3151" s="39" t="n">
        <f aca="false">IF(AND(E3151&gt;0,B3151=10),1,0)</f>
        <v>0</v>
      </c>
      <c r="AB3151" s="0" t="str">
        <f aca="false">IF(AND(C3150=C3151,Y3150=Y3151-1),Z3150,"")</f>
        <v/>
      </c>
      <c r="AC3151" s="0" t="str">
        <f aca="false">IF(AND(C3150=C3151,Y3150=Y3151-1),AA3150,"")</f>
        <v/>
      </c>
      <c r="AD3151" s="0" t="str">
        <f aca="false">IF(Y3151=1,"",IF(AND(Z3151=1,AB3151&lt;&gt;1),1,0))</f>
        <v/>
      </c>
      <c r="AE3151" s="0" t="str">
        <f aca="false">IF(Y3151=1,"",IF(AND(AA3151=1,AC3151&lt;&gt;1),1,0))</f>
        <v/>
      </c>
      <c r="AF3151" s="45" t="str">
        <f aca="false">IF(AND(E3151&gt;0,Y3151&lt;1,NOT(AND(C3152=C3151,Y3152=Y3151+1))),INDEX(DATAS,Y3151+1),"")</f>
        <v/>
      </c>
      <c r="AG3151" s="45" t="str">
        <f aca="false">IF(AND(AA3151=1,Y3151&lt;1),IF(AND(C3152=C3151,Y3152=Y3151+1),IF(AA3152=1,"",INDEX(DATAS,Y3151+1)),INDEX(DATAS,Y3151+1)),"")</f>
        <v/>
      </c>
    </row>
    <row r="3152" customFormat="false" ht="15" hidden="false" customHeight="false" outlineLevel="0" collapsed="false">
      <c r="A3152" s="45" t="n">
        <v>46309</v>
      </c>
      <c r="B3152" s="0" t="n">
        <v>13</v>
      </c>
      <c r="C3152" s="0" t="n">
        <v>7568</v>
      </c>
      <c r="E3152" s="0" t="n">
        <v>0</v>
      </c>
      <c r="F3152" s="39" t="s">
        <v>1466</v>
      </c>
      <c r="I3152" s="39" t="s">
        <v>136</v>
      </c>
      <c r="U3152" s="0" t="n">
        <v>201</v>
      </c>
      <c r="V3152" s="0" t="n">
        <v>0</v>
      </c>
      <c r="W3152" s="39" t="n">
        <f aca="false">IF(I3152="Male",0,1)</f>
        <v>1</v>
      </c>
      <c r="X3152" s="39" t="n">
        <f aca="false">IF(OR(I3152="DNB",I3152="Dry DNB"),1,0)</f>
        <v>0</v>
      </c>
      <c r="Y3152" s="39" t="n">
        <f aca="false">MATCH(A3152,DATAS,0)</f>
        <v>1</v>
      </c>
      <c r="Z3152" s="39" t="n">
        <f aca="false">IF(AND(E3152&gt;0,OR(AND(B3152&gt;=1,B3152&lt;=6),B3152=10)),1,0)</f>
        <v>0</v>
      </c>
      <c r="AA3152" s="39" t="n">
        <f aca="false">IF(AND(E3152&gt;0,B3152=10),1,0)</f>
        <v>0</v>
      </c>
      <c r="AB3152" s="0" t="str">
        <f aca="false">IF(AND(C3151=C3152,Y3151=Y3152-1),Z3151,"")</f>
        <v/>
      </c>
      <c r="AC3152" s="0" t="str">
        <f aca="false">IF(AND(C3151=C3152,Y3151=Y3152-1),AA3151,"")</f>
        <v/>
      </c>
      <c r="AD3152" s="0" t="str">
        <f aca="false">IF(Y3152=1,"",IF(AND(Z3152=1,AB3152&lt;&gt;1),1,0))</f>
        <v/>
      </c>
      <c r="AE3152" s="0" t="str">
        <f aca="false">IF(Y3152=1,"",IF(AND(AA3152=1,AC3152&lt;&gt;1),1,0))</f>
        <v/>
      </c>
      <c r="AF3152" s="45" t="str">
        <f aca="false">IF(AND(E3152&gt;0,Y3152&lt;1,NOT(AND(C3153=C3152,Y3153=Y3152+1))),INDEX(DATAS,Y3152+1),"")</f>
        <v/>
      </c>
      <c r="AG3152" s="45" t="str">
        <f aca="false">IF(AND(AA3152=1,Y3152&lt;1),IF(AND(C3153=C3152,Y3153=Y3152+1),IF(AA3153=1,"",INDEX(DATAS,Y3152+1)),INDEX(DATAS,Y3152+1)),"")</f>
        <v/>
      </c>
    </row>
    <row r="3153" customFormat="false" ht="15" hidden="false" customHeight="false" outlineLevel="0" collapsed="false">
      <c r="A3153" s="45" t="n">
        <v>46309</v>
      </c>
      <c r="B3153" s="0" t="n">
        <v>13</v>
      </c>
      <c r="C3153" s="0" t="n">
        <v>7570</v>
      </c>
      <c r="E3153" s="0" t="n">
        <v>0</v>
      </c>
      <c r="F3153" s="39" t="s">
        <v>1466</v>
      </c>
      <c r="I3153" s="39" t="s">
        <v>136</v>
      </c>
      <c r="U3153" s="0" t="n">
        <v>201</v>
      </c>
      <c r="V3153" s="0" t="n">
        <v>0</v>
      </c>
      <c r="W3153" s="39" t="n">
        <f aca="false">IF(I3153="Male",0,1)</f>
        <v>1</v>
      </c>
      <c r="X3153" s="39" t="n">
        <f aca="false">IF(OR(I3153="DNB",I3153="Dry DNB"),1,0)</f>
        <v>0</v>
      </c>
      <c r="Y3153" s="39" t="n">
        <f aca="false">MATCH(A3153,DATAS,0)</f>
        <v>1</v>
      </c>
      <c r="Z3153" s="39" t="n">
        <f aca="false">IF(AND(E3153&gt;0,OR(AND(B3153&gt;=1,B3153&lt;=6),B3153=10)),1,0)</f>
        <v>0</v>
      </c>
      <c r="AA3153" s="39" t="n">
        <f aca="false">IF(AND(E3153&gt;0,B3153=10),1,0)</f>
        <v>0</v>
      </c>
      <c r="AB3153" s="0" t="str">
        <f aca="false">IF(AND(C3152=C3153,Y3152=Y3153-1),Z3152,"")</f>
        <v/>
      </c>
      <c r="AC3153" s="0" t="str">
        <f aca="false">IF(AND(C3152=C3153,Y3152=Y3153-1),AA3152,"")</f>
        <v/>
      </c>
      <c r="AD3153" s="0" t="str">
        <f aca="false">IF(Y3153=1,"",IF(AND(Z3153=1,AB3153&lt;&gt;1),1,0))</f>
        <v/>
      </c>
      <c r="AE3153" s="0" t="str">
        <f aca="false">IF(Y3153=1,"",IF(AND(AA3153=1,AC3153&lt;&gt;1),1,0))</f>
        <v/>
      </c>
      <c r="AF3153" s="45" t="str">
        <f aca="false">IF(AND(E3153&gt;0,Y3153&lt;1,NOT(AND(C3154=C3153,Y3154=Y3153+1))),INDEX(DATAS,Y3153+1),"")</f>
        <v/>
      </c>
      <c r="AG3153" s="45" t="str">
        <f aca="false">IF(AND(AA3153=1,Y3153&lt;1),IF(AND(C3154=C3153,Y3154=Y3153+1),IF(AA3154=1,"",INDEX(DATAS,Y3153+1)),INDEX(DATAS,Y3153+1)),"")</f>
        <v/>
      </c>
    </row>
    <row r="3154" customFormat="false" ht="15" hidden="false" customHeight="false" outlineLevel="0" collapsed="false">
      <c r="A3154" s="45" t="n">
        <v>46309</v>
      </c>
      <c r="B3154" s="0" t="n">
        <v>13</v>
      </c>
      <c r="C3154" s="0" t="n">
        <v>7571</v>
      </c>
      <c r="E3154" s="0" t="n">
        <v>0</v>
      </c>
      <c r="F3154" s="39" t="s">
        <v>1466</v>
      </c>
      <c r="I3154" s="39" t="s">
        <v>136</v>
      </c>
      <c r="U3154" s="0" t="n">
        <v>201</v>
      </c>
      <c r="V3154" s="0" t="n">
        <v>0</v>
      </c>
      <c r="W3154" s="39" t="n">
        <f aca="false">IF(I3154="Male",0,1)</f>
        <v>1</v>
      </c>
      <c r="X3154" s="39" t="n">
        <f aca="false">IF(OR(I3154="DNB",I3154="Dry DNB"),1,0)</f>
        <v>0</v>
      </c>
      <c r="Y3154" s="39" t="n">
        <f aca="false">MATCH(A3154,DATAS,0)</f>
        <v>1</v>
      </c>
      <c r="Z3154" s="39" t="n">
        <f aca="false">IF(AND(E3154&gt;0,OR(AND(B3154&gt;=1,B3154&lt;=6),B3154=10)),1,0)</f>
        <v>0</v>
      </c>
      <c r="AA3154" s="39" t="n">
        <f aca="false">IF(AND(E3154&gt;0,B3154=10),1,0)</f>
        <v>0</v>
      </c>
      <c r="AB3154" s="0" t="str">
        <f aca="false">IF(AND(C3153=C3154,Y3153=Y3154-1),Z3153,"")</f>
        <v/>
      </c>
      <c r="AC3154" s="0" t="str">
        <f aca="false">IF(AND(C3153=C3154,Y3153=Y3154-1),AA3153,"")</f>
        <v/>
      </c>
      <c r="AD3154" s="0" t="str">
        <f aca="false">IF(Y3154=1,"",IF(AND(Z3154=1,AB3154&lt;&gt;1),1,0))</f>
        <v/>
      </c>
      <c r="AE3154" s="0" t="str">
        <f aca="false">IF(Y3154=1,"",IF(AND(AA3154=1,AC3154&lt;&gt;1),1,0))</f>
        <v/>
      </c>
      <c r="AF3154" s="45" t="str">
        <f aca="false">IF(AND(E3154&gt;0,Y3154&lt;1,NOT(AND(C3155=C3154,Y3155=Y3154+1))),INDEX(DATAS,Y3154+1),"")</f>
        <v/>
      </c>
      <c r="AG3154" s="45" t="str">
        <f aca="false">IF(AND(AA3154=1,Y3154&lt;1),IF(AND(C3155=C3154,Y3155=Y3154+1),IF(AA3155=1,"",INDEX(DATAS,Y3154+1)),INDEX(DATAS,Y3154+1)),"")</f>
        <v/>
      </c>
    </row>
    <row r="3155" customFormat="false" ht="15" hidden="false" customHeight="false" outlineLevel="0" collapsed="false">
      <c r="A3155" s="45" t="n">
        <v>46309</v>
      </c>
      <c r="B3155" s="0" t="n">
        <v>13</v>
      </c>
      <c r="C3155" s="0" t="n">
        <v>7572</v>
      </c>
      <c r="E3155" s="0" t="n">
        <v>0</v>
      </c>
      <c r="F3155" s="39" t="s">
        <v>1467</v>
      </c>
      <c r="I3155" s="39" t="s">
        <v>136</v>
      </c>
      <c r="U3155" s="0" t="n">
        <v>200</v>
      </c>
      <c r="V3155" s="0" t="n">
        <v>0</v>
      </c>
      <c r="W3155" s="39" t="n">
        <f aca="false">IF(I3155="Male",0,1)</f>
        <v>1</v>
      </c>
      <c r="X3155" s="39" t="n">
        <f aca="false">IF(OR(I3155="DNB",I3155="Dry DNB"),1,0)</f>
        <v>0</v>
      </c>
      <c r="Y3155" s="39" t="n">
        <f aca="false">MATCH(A3155,DATAS,0)</f>
        <v>1</v>
      </c>
      <c r="Z3155" s="39" t="n">
        <f aca="false">IF(AND(E3155&gt;0,OR(AND(B3155&gt;=1,B3155&lt;=6),B3155=10)),1,0)</f>
        <v>0</v>
      </c>
      <c r="AA3155" s="39" t="n">
        <f aca="false">IF(AND(E3155&gt;0,B3155=10),1,0)</f>
        <v>0</v>
      </c>
      <c r="AB3155" s="0" t="str">
        <f aca="false">IF(AND(C3154=C3155,Y3154=Y3155-1),Z3154,"")</f>
        <v/>
      </c>
      <c r="AC3155" s="0" t="str">
        <f aca="false">IF(AND(C3154=C3155,Y3154=Y3155-1),AA3154,"")</f>
        <v/>
      </c>
      <c r="AD3155" s="0" t="str">
        <f aca="false">IF(Y3155=1,"",IF(AND(Z3155=1,AB3155&lt;&gt;1),1,0))</f>
        <v/>
      </c>
      <c r="AE3155" s="0" t="str">
        <f aca="false">IF(Y3155=1,"",IF(AND(AA3155=1,AC3155&lt;&gt;1),1,0))</f>
        <v/>
      </c>
      <c r="AF3155" s="45" t="str">
        <f aca="false">IF(AND(E3155&gt;0,Y3155&lt;1,NOT(AND(C3156=C3155,Y3156=Y3155+1))),INDEX(DATAS,Y3155+1),"")</f>
        <v/>
      </c>
      <c r="AG3155" s="45" t="str">
        <f aca="false">IF(AND(AA3155=1,Y3155&lt;1),IF(AND(C3156=C3155,Y3156=Y3155+1),IF(AA3156=1,"",INDEX(DATAS,Y3155+1)),INDEX(DATAS,Y3155+1)),"")</f>
        <v/>
      </c>
    </row>
    <row r="3156" customFormat="false" ht="15" hidden="false" customHeight="false" outlineLevel="0" collapsed="false">
      <c r="A3156" s="45" t="n">
        <v>46309</v>
      </c>
      <c r="B3156" s="0" t="n">
        <v>13</v>
      </c>
      <c r="C3156" s="0" t="n">
        <v>7573</v>
      </c>
      <c r="E3156" s="0" t="n">
        <v>0</v>
      </c>
      <c r="F3156" s="39" t="s">
        <v>1467</v>
      </c>
      <c r="I3156" s="39" t="s">
        <v>136</v>
      </c>
      <c r="U3156" s="0" t="n">
        <v>200</v>
      </c>
      <c r="V3156" s="0" t="n">
        <v>0</v>
      </c>
      <c r="W3156" s="39" t="n">
        <f aca="false">IF(I3156="Male",0,1)</f>
        <v>1</v>
      </c>
      <c r="X3156" s="39" t="n">
        <f aca="false">IF(OR(I3156="DNB",I3156="Dry DNB"),1,0)</f>
        <v>0</v>
      </c>
      <c r="Y3156" s="39" t="n">
        <f aca="false">MATCH(A3156,DATAS,0)</f>
        <v>1</v>
      </c>
      <c r="Z3156" s="39" t="n">
        <f aca="false">IF(AND(E3156&gt;0,OR(AND(B3156&gt;=1,B3156&lt;=6),B3156=10)),1,0)</f>
        <v>0</v>
      </c>
      <c r="AA3156" s="39" t="n">
        <f aca="false">IF(AND(E3156&gt;0,B3156=10),1,0)</f>
        <v>0</v>
      </c>
      <c r="AB3156" s="0" t="str">
        <f aca="false">IF(AND(C3155=C3156,Y3155=Y3156-1),Z3155,"")</f>
        <v/>
      </c>
      <c r="AC3156" s="0" t="str">
        <f aca="false">IF(AND(C3155=C3156,Y3155=Y3156-1),AA3155,"")</f>
        <v/>
      </c>
      <c r="AD3156" s="0" t="str">
        <f aca="false">IF(Y3156=1,"",IF(AND(Z3156=1,AB3156&lt;&gt;1),1,0))</f>
        <v/>
      </c>
      <c r="AE3156" s="0" t="str">
        <f aca="false">IF(Y3156=1,"",IF(AND(AA3156=1,AC3156&lt;&gt;1),1,0))</f>
        <v/>
      </c>
      <c r="AF3156" s="45" t="str">
        <f aca="false">IF(AND(E3156&gt;0,Y3156&lt;1,NOT(AND(C3157=C3156,Y3157=Y3156+1))),INDEX(DATAS,Y3156+1),"")</f>
        <v/>
      </c>
      <c r="AG3156" s="45" t="str">
        <f aca="false">IF(AND(AA3156=1,Y3156&lt;1),IF(AND(C3157=C3156,Y3157=Y3156+1),IF(AA3157=1,"",INDEX(DATAS,Y3156+1)),INDEX(DATAS,Y3156+1)),"")</f>
        <v/>
      </c>
    </row>
    <row r="3157" customFormat="false" ht="15" hidden="false" customHeight="false" outlineLevel="0" collapsed="false">
      <c r="A3157" s="45" t="n">
        <v>46309</v>
      </c>
      <c r="B3157" s="0" t="n">
        <v>13</v>
      </c>
      <c r="C3157" s="0" t="n">
        <v>7574</v>
      </c>
      <c r="E3157" s="0" t="n">
        <v>0</v>
      </c>
      <c r="F3157" s="39" t="s">
        <v>1467</v>
      </c>
      <c r="I3157" s="39" t="s">
        <v>136</v>
      </c>
      <c r="U3157" s="0" t="n">
        <v>200</v>
      </c>
      <c r="V3157" s="0" t="n">
        <v>0</v>
      </c>
      <c r="W3157" s="39" t="n">
        <f aca="false">IF(I3157="Male",0,1)</f>
        <v>1</v>
      </c>
      <c r="X3157" s="39" t="n">
        <f aca="false">IF(OR(I3157="DNB",I3157="Dry DNB"),1,0)</f>
        <v>0</v>
      </c>
      <c r="Y3157" s="39" t="n">
        <f aca="false">MATCH(A3157,DATAS,0)</f>
        <v>1</v>
      </c>
      <c r="Z3157" s="39" t="n">
        <f aca="false">IF(AND(E3157&gt;0,OR(AND(B3157&gt;=1,B3157&lt;=6),B3157=10)),1,0)</f>
        <v>0</v>
      </c>
      <c r="AA3157" s="39" t="n">
        <f aca="false">IF(AND(E3157&gt;0,B3157=10),1,0)</f>
        <v>0</v>
      </c>
      <c r="AB3157" s="0" t="str">
        <f aca="false">IF(AND(C3156=C3157,Y3156=Y3157-1),Z3156,"")</f>
        <v/>
      </c>
      <c r="AC3157" s="0" t="str">
        <f aca="false">IF(AND(C3156=C3157,Y3156=Y3157-1),AA3156,"")</f>
        <v/>
      </c>
      <c r="AD3157" s="0" t="str">
        <f aca="false">IF(Y3157=1,"",IF(AND(Z3157=1,AB3157&lt;&gt;1),1,0))</f>
        <v/>
      </c>
      <c r="AE3157" s="0" t="str">
        <f aca="false">IF(Y3157=1,"",IF(AND(AA3157=1,AC3157&lt;&gt;1),1,0))</f>
        <v/>
      </c>
      <c r="AF3157" s="45" t="str">
        <f aca="false">IF(AND(E3157&gt;0,Y3157&lt;1,NOT(AND(C3158=C3157,Y3158=Y3157+1))),INDEX(DATAS,Y3157+1),"")</f>
        <v/>
      </c>
      <c r="AG3157" s="45" t="str">
        <f aca="false">IF(AND(AA3157=1,Y3157&lt;1),IF(AND(C3158=C3157,Y3158=Y3157+1),IF(AA3158=1,"",INDEX(DATAS,Y3157+1)),INDEX(DATAS,Y3157+1)),"")</f>
        <v/>
      </c>
    </row>
    <row r="3158" customFormat="false" ht="15" hidden="false" customHeight="false" outlineLevel="0" collapsed="false">
      <c r="A3158" s="45" t="n">
        <v>46309</v>
      </c>
      <c r="B3158" s="0" t="n">
        <v>13</v>
      </c>
      <c r="C3158" s="0" t="n">
        <v>7575</v>
      </c>
      <c r="E3158" s="0" t="n">
        <v>0</v>
      </c>
      <c r="F3158" s="39" t="s">
        <v>1467</v>
      </c>
      <c r="I3158" s="39" t="s">
        <v>136</v>
      </c>
      <c r="U3158" s="0" t="n">
        <v>200</v>
      </c>
      <c r="V3158" s="0" t="n">
        <v>0</v>
      </c>
      <c r="W3158" s="39" t="n">
        <f aca="false">IF(I3158="Male",0,1)</f>
        <v>1</v>
      </c>
      <c r="X3158" s="39" t="n">
        <f aca="false">IF(OR(I3158="DNB",I3158="Dry DNB"),1,0)</f>
        <v>0</v>
      </c>
      <c r="Y3158" s="39" t="n">
        <f aca="false">MATCH(A3158,DATAS,0)</f>
        <v>1</v>
      </c>
      <c r="Z3158" s="39" t="n">
        <f aca="false">IF(AND(E3158&gt;0,OR(AND(B3158&gt;=1,B3158&lt;=6),B3158=10)),1,0)</f>
        <v>0</v>
      </c>
      <c r="AA3158" s="39" t="n">
        <f aca="false">IF(AND(E3158&gt;0,B3158=10),1,0)</f>
        <v>0</v>
      </c>
      <c r="AB3158" s="0" t="str">
        <f aca="false">IF(AND(C3157=C3158,Y3157=Y3158-1),Z3157,"")</f>
        <v/>
      </c>
      <c r="AC3158" s="0" t="str">
        <f aca="false">IF(AND(C3157=C3158,Y3157=Y3158-1),AA3157,"")</f>
        <v/>
      </c>
      <c r="AD3158" s="0" t="str">
        <f aca="false">IF(Y3158=1,"",IF(AND(Z3158=1,AB3158&lt;&gt;1),1,0))</f>
        <v/>
      </c>
      <c r="AE3158" s="0" t="str">
        <f aca="false">IF(Y3158=1,"",IF(AND(AA3158=1,AC3158&lt;&gt;1),1,0))</f>
        <v/>
      </c>
      <c r="AF3158" s="45" t="str">
        <f aca="false">IF(AND(E3158&gt;0,Y3158&lt;1,NOT(AND(C3159=C3158,Y3159=Y3158+1))),INDEX(DATAS,Y3158+1),"")</f>
        <v/>
      </c>
      <c r="AG3158" s="45" t="str">
        <f aca="false">IF(AND(AA3158=1,Y3158&lt;1),IF(AND(C3159=C3158,Y3159=Y3158+1),IF(AA3159=1,"",INDEX(DATAS,Y3158+1)),INDEX(DATAS,Y3158+1)),"")</f>
        <v/>
      </c>
    </row>
    <row r="3159" customFormat="false" ht="15" hidden="false" customHeight="false" outlineLevel="0" collapsed="false">
      <c r="A3159" s="45" t="n">
        <v>46309</v>
      </c>
      <c r="B3159" s="0" t="n">
        <v>13</v>
      </c>
      <c r="C3159" s="0" t="n">
        <v>7576</v>
      </c>
      <c r="E3159" s="0" t="n">
        <v>0</v>
      </c>
      <c r="F3159" s="39" t="s">
        <v>1468</v>
      </c>
      <c r="I3159" s="39" t="s">
        <v>136</v>
      </c>
      <c r="U3159" s="0" t="n">
        <v>199</v>
      </c>
      <c r="V3159" s="0" t="n">
        <v>0</v>
      </c>
      <c r="W3159" s="39" t="n">
        <f aca="false">IF(I3159="Male",0,1)</f>
        <v>1</v>
      </c>
      <c r="X3159" s="39" t="n">
        <f aca="false">IF(OR(I3159="DNB",I3159="Dry DNB"),1,0)</f>
        <v>0</v>
      </c>
      <c r="Y3159" s="39" t="n">
        <f aca="false">MATCH(A3159,DATAS,0)</f>
        <v>1</v>
      </c>
      <c r="Z3159" s="39" t="n">
        <f aca="false">IF(AND(E3159&gt;0,OR(AND(B3159&gt;=1,B3159&lt;=6),B3159=10)),1,0)</f>
        <v>0</v>
      </c>
      <c r="AA3159" s="39" t="n">
        <f aca="false">IF(AND(E3159&gt;0,B3159=10),1,0)</f>
        <v>0</v>
      </c>
      <c r="AB3159" s="0" t="str">
        <f aca="false">IF(AND(C3158=C3159,Y3158=Y3159-1),Z3158,"")</f>
        <v/>
      </c>
      <c r="AC3159" s="0" t="str">
        <f aca="false">IF(AND(C3158=C3159,Y3158=Y3159-1),AA3158,"")</f>
        <v/>
      </c>
      <c r="AD3159" s="0" t="str">
        <f aca="false">IF(Y3159=1,"",IF(AND(Z3159=1,AB3159&lt;&gt;1),1,0))</f>
        <v/>
      </c>
      <c r="AE3159" s="0" t="str">
        <f aca="false">IF(Y3159=1,"",IF(AND(AA3159=1,AC3159&lt;&gt;1),1,0))</f>
        <v/>
      </c>
      <c r="AF3159" s="45" t="str">
        <f aca="false">IF(AND(E3159&gt;0,Y3159&lt;1,NOT(AND(C3160=C3159,Y3160=Y3159+1))),INDEX(DATAS,Y3159+1),"")</f>
        <v/>
      </c>
      <c r="AG3159" s="45" t="str">
        <f aca="false">IF(AND(AA3159=1,Y3159&lt;1),IF(AND(C3160=C3159,Y3160=Y3159+1),IF(AA3160=1,"",INDEX(DATAS,Y3159+1)),INDEX(DATAS,Y3159+1)),"")</f>
        <v/>
      </c>
    </row>
    <row r="3160" customFormat="false" ht="15" hidden="false" customHeight="false" outlineLevel="0" collapsed="false">
      <c r="A3160" s="45" t="n">
        <v>46309</v>
      </c>
      <c r="B3160" s="0" t="n">
        <v>13</v>
      </c>
      <c r="C3160" s="0" t="n">
        <v>7577</v>
      </c>
      <c r="E3160" s="0" t="n">
        <v>0</v>
      </c>
      <c r="F3160" s="39" t="s">
        <v>1468</v>
      </c>
      <c r="I3160" s="39" t="s">
        <v>136</v>
      </c>
      <c r="U3160" s="0" t="n">
        <v>199</v>
      </c>
      <c r="V3160" s="0" t="n">
        <v>0</v>
      </c>
      <c r="W3160" s="39" t="n">
        <f aca="false">IF(I3160="Male",0,1)</f>
        <v>1</v>
      </c>
      <c r="X3160" s="39" t="n">
        <f aca="false">IF(OR(I3160="DNB",I3160="Dry DNB"),1,0)</f>
        <v>0</v>
      </c>
      <c r="Y3160" s="39" t="n">
        <f aca="false">MATCH(A3160,DATAS,0)</f>
        <v>1</v>
      </c>
      <c r="Z3160" s="39" t="n">
        <f aca="false">IF(AND(E3160&gt;0,OR(AND(B3160&gt;=1,B3160&lt;=6),B3160=10)),1,0)</f>
        <v>0</v>
      </c>
      <c r="AA3160" s="39" t="n">
        <f aca="false">IF(AND(E3160&gt;0,B3160=10),1,0)</f>
        <v>0</v>
      </c>
      <c r="AB3160" s="0" t="str">
        <f aca="false">IF(AND(C3159=C3160,Y3159=Y3160-1),Z3159,"")</f>
        <v/>
      </c>
      <c r="AC3160" s="0" t="str">
        <f aca="false">IF(AND(C3159=C3160,Y3159=Y3160-1),AA3159,"")</f>
        <v/>
      </c>
      <c r="AD3160" s="0" t="str">
        <f aca="false">IF(Y3160=1,"",IF(AND(Z3160=1,AB3160&lt;&gt;1),1,0))</f>
        <v/>
      </c>
      <c r="AE3160" s="0" t="str">
        <f aca="false">IF(Y3160=1,"",IF(AND(AA3160=1,AC3160&lt;&gt;1),1,0))</f>
        <v/>
      </c>
      <c r="AF3160" s="45" t="str">
        <f aca="false">IF(AND(E3160&gt;0,Y3160&lt;1,NOT(AND(C3161=C3160,Y3161=Y3160+1))),INDEX(DATAS,Y3160+1),"")</f>
        <v/>
      </c>
      <c r="AG3160" s="45" t="str">
        <f aca="false">IF(AND(AA3160=1,Y3160&lt;1),IF(AND(C3161=C3160,Y3161=Y3160+1),IF(AA3161=1,"",INDEX(DATAS,Y3160+1)),INDEX(DATAS,Y3160+1)),"")</f>
        <v/>
      </c>
    </row>
    <row r="3161" customFormat="false" ht="15" hidden="false" customHeight="false" outlineLevel="0" collapsed="false">
      <c r="A3161" s="45" t="n">
        <v>46309</v>
      </c>
      <c r="B3161" s="0" t="n">
        <v>13</v>
      </c>
      <c r="C3161" s="0" t="n">
        <v>7578</v>
      </c>
      <c r="E3161" s="0" t="n">
        <v>0</v>
      </c>
      <c r="F3161" s="39" t="s">
        <v>1468</v>
      </c>
      <c r="I3161" s="39" t="s">
        <v>136</v>
      </c>
      <c r="U3161" s="0" t="n">
        <v>199</v>
      </c>
      <c r="V3161" s="0" t="n">
        <v>0</v>
      </c>
      <c r="W3161" s="39" t="n">
        <f aca="false">IF(I3161="Male",0,1)</f>
        <v>1</v>
      </c>
      <c r="X3161" s="39" t="n">
        <f aca="false">IF(OR(I3161="DNB",I3161="Dry DNB"),1,0)</f>
        <v>0</v>
      </c>
      <c r="Y3161" s="39" t="n">
        <f aca="false">MATCH(A3161,DATAS,0)</f>
        <v>1</v>
      </c>
      <c r="Z3161" s="39" t="n">
        <f aca="false">IF(AND(E3161&gt;0,OR(AND(B3161&gt;=1,B3161&lt;=6),B3161=10)),1,0)</f>
        <v>0</v>
      </c>
      <c r="AA3161" s="39" t="n">
        <f aca="false">IF(AND(E3161&gt;0,B3161=10),1,0)</f>
        <v>0</v>
      </c>
      <c r="AB3161" s="0" t="str">
        <f aca="false">IF(AND(C3160=C3161,Y3160=Y3161-1),Z3160,"")</f>
        <v/>
      </c>
      <c r="AC3161" s="0" t="str">
        <f aca="false">IF(AND(C3160=C3161,Y3160=Y3161-1),AA3160,"")</f>
        <v/>
      </c>
      <c r="AD3161" s="0" t="str">
        <f aca="false">IF(Y3161=1,"",IF(AND(Z3161=1,AB3161&lt;&gt;1),1,0))</f>
        <v/>
      </c>
      <c r="AE3161" s="0" t="str">
        <f aca="false">IF(Y3161=1,"",IF(AND(AA3161=1,AC3161&lt;&gt;1),1,0))</f>
        <v/>
      </c>
      <c r="AF3161" s="45" t="str">
        <f aca="false">IF(AND(E3161&gt;0,Y3161&lt;1,NOT(AND(C3162=C3161,Y3162=Y3161+1))),INDEX(DATAS,Y3161+1),"")</f>
        <v/>
      </c>
      <c r="AG3161" s="45" t="str">
        <f aca="false">IF(AND(AA3161=1,Y3161&lt;1),IF(AND(C3162=C3161,Y3162=Y3161+1),IF(AA3162=1,"",INDEX(DATAS,Y3161+1)),INDEX(DATAS,Y3161+1)),"")</f>
        <v/>
      </c>
    </row>
    <row r="3162" customFormat="false" ht="15" hidden="false" customHeight="false" outlineLevel="0" collapsed="false">
      <c r="A3162" s="45" t="n">
        <v>46309</v>
      </c>
      <c r="B3162" s="0" t="n">
        <v>13</v>
      </c>
      <c r="C3162" s="0" t="n">
        <v>7579</v>
      </c>
      <c r="E3162" s="0" t="n">
        <v>0</v>
      </c>
      <c r="F3162" s="39" t="s">
        <v>1468</v>
      </c>
      <c r="I3162" s="39" t="s">
        <v>136</v>
      </c>
      <c r="U3162" s="0" t="n">
        <v>199</v>
      </c>
      <c r="V3162" s="0" t="n">
        <v>0</v>
      </c>
      <c r="W3162" s="39" t="n">
        <f aca="false">IF(I3162="Male",0,1)</f>
        <v>1</v>
      </c>
      <c r="X3162" s="39" t="n">
        <f aca="false">IF(OR(I3162="DNB",I3162="Dry DNB"),1,0)</f>
        <v>0</v>
      </c>
      <c r="Y3162" s="39" t="n">
        <f aca="false">MATCH(A3162,DATAS,0)</f>
        <v>1</v>
      </c>
      <c r="Z3162" s="39" t="n">
        <f aca="false">IF(AND(E3162&gt;0,OR(AND(B3162&gt;=1,B3162&lt;=6),B3162=10)),1,0)</f>
        <v>0</v>
      </c>
      <c r="AA3162" s="39" t="n">
        <f aca="false">IF(AND(E3162&gt;0,B3162=10),1,0)</f>
        <v>0</v>
      </c>
      <c r="AB3162" s="0" t="str">
        <f aca="false">IF(AND(C3161=C3162,Y3161=Y3162-1),Z3161,"")</f>
        <v/>
      </c>
      <c r="AC3162" s="0" t="str">
        <f aca="false">IF(AND(C3161=C3162,Y3161=Y3162-1),AA3161,"")</f>
        <v/>
      </c>
      <c r="AD3162" s="0" t="str">
        <f aca="false">IF(Y3162=1,"",IF(AND(Z3162=1,AB3162&lt;&gt;1),1,0))</f>
        <v/>
      </c>
      <c r="AE3162" s="0" t="str">
        <f aca="false">IF(Y3162=1,"",IF(AND(AA3162=1,AC3162&lt;&gt;1),1,0))</f>
        <v/>
      </c>
      <c r="AF3162" s="45" t="str">
        <f aca="false">IF(AND(E3162&gt;0,Y3162&lt;1,NOT(AND(C3163=C3162,Y3163=Y3162+1))),INDEX(DATAS,Y3162+1),"")</f>
        <v/>
      </c>
      <c r="AG3162" s="45" t="str">
        <f aca="false">IF(AND(AA3162=1,Y3162&lt;1),IF(AND(C3163=C3162,Y3163=Y3162+1),IF(AA3163=1,"",INDEX(DATAS,Y3162+1)),INDEX(DATAS,Y3162+1)),"")</f>
        <v/>
      </c>
    </row>
    <row r="3163" customFormat="false" ht="15" hidden="false" customHeight="false" outlineLevel="0" collapsed="false">
      <c r="A3163" s="45" t="n">
        <v>46309</v>
      </c>
      <c r="B3163" s="0" t="n">
        <v>13</v>
      </c>
      <c r="C3163" s="0" t="n">
        <v>7580</v>
      </c>
      <c r="E3163" s="0" t="n">
        <v>0</v>
      </c>
      <c r="F3163" s="39" t="s">
        <v>1469</v>
      </c>
      <c r="I3163" s="39" t="s">
        <v>136</v>
      </c>
      <c r="U3163" s="0" t="n">
        <v>198</v>
      </c>
      <c r="V3163" s="0" t="n">
        <v>0</v>
      </c>
      <c r="W3163" s="39" t="n">
        <f aca="false">IF(I3163="Male",0,1)</f>
        <v>1</v>
      </c>
      <c r="X3163" s="39" t="n">
        <f aca="false">IF(OR(I3163="DNB",I3163="Dry DNB"),1,0)</f>
        <v>0</v>
      </c>
      <c r="Y3163" s="39" t="n">
        <f aca="false">MATCH(A3163,DATAS,0)</f>
        <v>1</v>
      </c>
      <c r="Z3163" s="39" t="n">
        <f aca="false">IF(AND(E3163&gt;0,OR(AND(B3163&gt;=1,B3163&lt;=6),B3163=10)),1,0)</f>
        <v>0</v>
      </c>
      <c r="AA3163" s="39" t="n">
        <f aca="false">IF(AND(E3163&gt;0,B3163=10),1,0)</f>
        <v>0</v>
      </c>
      <c r="AB3163" s="0" t="str">
        <f aca="false">IF(AND(C3162=C3163,Y3162=Y3163-1),Z3162,"")</f>
        <v/>
      </c>
      <c r="AC3163" s="0" t="str">
        <f aca="false">IF(AND(C3162=C3163,Y3162=Y3163-1),AA3162,"")</f>
        <v/>
      </c>
      <c r="AD3163" s="0" t="str">
        <f aca="false">IF(Y3163=1,"",IF(AND(Z3163=1,AB3163&lt;&gt;1),1,0))</f>
        <v/>
      </c>
      <c r="AE3163" s="0" t="str">
        <f aca="false">IF(Y3163=1,"",IF(AND(AA3163=1,AC3163&lt;&gt;1),1,0))</f>
        <v/>
      </c>
      <c r="AF3163" s="45" t="str">
        <f aca="false">IF(AND(E3163&gt;0,Y3163&lt;1,NOT(AND(C3164=C3163,Y3164=Y3163+1))),INDEX(DATAS,Y3163+1),"")</f>
        <v/>
      </c>
      <c r="AG3163" s="45" t="str">
        <f aca="false">IF(AND(AA3163=1,Y3163&lt;1),IF(AND(C3164=C3163,Y3164=Y3163+1),IF(AA3164=1,"",INDEX(DATAS,Y3163+1)),INDEX(DATAS,Y3163+1)),"")</f>
        <v/>
      </c>
    </row>
    <row r="3164" customFormat="false" ht="15" hidden="false" customHeight="false" outlineLevel="0" collapsed="false">
      <c r="A3164" s="45" t="n">
        <v>46309</v>
      </c>
      <c r="B3164" s="0" t="n">
        <v>13</v>
      </c>
      <c r="C3164" s="0" t="n">
        <v>7581</v>
      </c>
      <c r="E3164" s="0" t="n">
        <v>0</v>
      </c>
      <c r="F3164" s="39" t="s">
        <v>1469</v>
      </c>
      <c r="I3164" s="39" t="s">
        <v>136</v>
      </c>
      <c r="U3164" s="0" t="n">
        <v>198</v>
      </c>
      <c r="V3164" s="0" t="n">
        <v>0</v>
      </c>
      <c r="W3164" s="39" t="n">
        <f aca="false">IF(I3164="Male",0,1)</f>
        <v>1</v>
      </c>
      <c r="X3164" s="39" t="n">
        <f aca="false">IF(OR(I3164="DNB",I3164="Dry DNB"),1,0)</f>
        <v>0</v>
      </c>
      <c r="Y3164" s="39" t="n">
        <f aca="false">MATCH(A3164,DATAS,0)</f>
        <v>1</v>
      </c>
      <c r="Z3164" s="39" t="n">
        <f aca="false">IF(AND(E3164&gt;0,OR(AND(B3164&gt;=1,B3164&lt;=6),B3164=10)),1,0)</f>
        <v>0</v>
      </c>
      <c r="AA3164" s="39" t="n">
        <f aca="false">IF(AND(E3164&gt;0,B3164=10),1,0)</f>
        <v>0</v>
      </c>
      <c r="AB3164" s="0" t="str">
        <f aca="false">IF(AND(C3163=C3164,Y3163=Y3164-1),Z3163,"")</f>
        <v/>
      </c>
      <c r="AC3164" s="0" t="str">
        <f aca="false">IF(AND(C3163=C3164,Y3163=Y3164-1),AA3163,"")</f>
        <v/>
      </c>
      <c r="AD3164" s="0" t="str">
        <f aca="false">IF(Y3164=1,"",IF(AND(Z3164=1,AB3164&lt;&gt;1),1,0))</f>
        <v/>
      </c>
      <c r="AE3164" s="0" t="str">
        <f aca="false">IF(Y3164=1,"",IF(AND(AA3164=1,AC3164&lt;&gt;1),1,0))</f>
        <v/>
      </c>
      <c r="AF3164" s="45" t="str">
        <f aca="false">IF(AND(E3164&gt;0,Y3164&lt;1,NOT(AND(C3165=C3164,Y3165=Y3164+1))),INDEX(DATAS,Y3164+1),"")</f>
        <v/>
      </c>
      <c r="AG3164" s="45" t="str">
        <f aca="false">IF(AND(AA3164=1,Y3164&lt;1),IF(AND(C3165=C3164,Y3165=Y3164+1),IF(AA3165=1,"",INDEX(DATAS,Y3164+1)),INDEX(DATAS,Y3164+1)),"")</f>
        <v/>
      </c>
    </row>
    <row r="3165" customFormat="false" ht="15" hidden="false" customHeight="false" outlineLevel="0" collapsed="false">
      <c r="A3165" s="45" t="n">
        <v>46309</v>
      </c>
      <c r="B3165" s="0" t="n">
        <v>13</v>
      </c>
      <c r="C3165" s="0" t="n">
        <v>7582</v>
      </c>
      <c r="E3165" s="0" t="n">
        <v>0</v>
      </c>
      <c r="F3165" s="39" t="s">
        <v>1469</v>
      </c>
      <c r="I3165" s="39" t="s">
        <v>136</v>
      </c>
      <c r="U3165" s="0" t="n">
        <v>198</v>
      </c>
      <c r="V3165" s="0" t="n">
        <v>0</v>
      </c>
      <c r="W3165" s="39" t="n">
        <f aca="false">IF(I3165="Male",0,1)</f>
        <v>1</v>
      </c>
      <c r="X3165" s="39" t="n">
        <f aca="false">IF(OR(I3165="DNB",I3165="Dry DNB"),1,0)</f>
        <v>0</v>
      </c>
      <c r="Y3165" s="39" t="n">
        <f aca="false">MATCH(A3165,DATAS,0)</f>
        <v>1</v>
      </c>
      <c r="Z3165" s="39" t="n">
        <f aca="false">IF(AND(E3165&gt;0,OR(AND(B3165&gt;=1,B3165&lt;=6),B3165=10)),1,0)</f>
        <v>0</v>
      </c>
      <c r="AA3165" s="39" t="n">
        <f aca="false">IF(AND(E3165&gt;0,B3165=10),1,0)</f>
        <v>0</v>
      </c>
      <c r="AB3165" s="0" t="str">
        <f aca="false">IF(AND(C3164=C3165,Y3164=Y3165-1),Z3164,"")</f>
        <v/>
      </c>
      <c r="AC3165" s="0" t="str">
        <f aca="false">IF(AND(C3164=C3165,Y3164=Y3165-1),AA3164,"")</f>
        <v/>
      </c>
      <c r="AD3165" s="0" t="str">
        <f aca="false">IF(Y3165=1,"",IF(AND(Z3165=1,AB3165&lt;&gt;1),1,0))</f>
        <v/>
      </c>
      <c r="AE3165" s="0" t="str">
        <f aca="false">IF(Y3165=1,"",IF(AND(AA3165=1,AC3165&lt;&gt;1),1,0))</f>
        <v/>
      </c>
      <c r="AF3165" s="45" t="str">
        <f aca="false">IF(AND(E3165&gt;0,Y3165&lt;1,NOT(AND(C3166=C3165,Y3166=Y3165+1))),INDEX(DATAS,Y3165+1),"")</f>
        <v/>
      </c>
      <c r="AG3165" s="45" t="str">
        <f aca="false">IF(AND(AA3165=1,Y3165&lt;1),IF(AND(C3166=C3165,Y3166=Y3165+1),IF(AA3166=1,"",INDEX(DATAS,Y3165+1)),INDEX(DATAS,Y3165+1)),"")</f>
        <v/>
      </c>
    </row>
    <row r="3166" customFormat="false" ht="15" hidden="false" customHeight="false" outlineLevel="0" collapsed="false">
      <c r="A3166" s="45" t="n">
        <v>46309</v>
      </c>
      <c r="B3166" s="0" t="n">
        <v>13</v>
      </c>
      <c r="C3166" s="0" t="n">
        <v>7583</v>
      </c>
      <c r="E3166" s="0" t="n">
        <v>0</v>
      </c>
      <c r="F3166" s="39" t="s">
        <v>1469</v>
      </c>
      <c r="I3166" s="39" t="s">
        <v>136</v>
      </c>
      <c r="U3166" s="0" t="n">
        <v>198</v>
      </c>
      <c r="V3166" s="0" t="n">
        <v>0</v>
      </c>
      <c r="W3166" s="39" t="n">
        <f aca="false">IF(I3166="Male",0,1)</f>
        <v>1</v>
      </c>
      <c r="X3166" s="39" t="n">
        <f aca="false">IF(OR(I3166="DNB",I3166="Dry DNB"),1,0)</f>
        <v>0</v>
      </c>
      <c r="Y3166" s="39" t="n">
        <f aca="false">MATCH(A3166,DATAS,0)</f>
        <v>1</v>
      </c>
      <c r="Z3166" s="39" t="n">
        <f aca="false">IF(AND(E3166&gt;0,OR(AND(B3166&gt;=1,B3166&lt;=6),B3166=10)),1,0)</f>
        <v>0</v>
      </c>
      <c r="AA3166" s="39" t="n">
        <f aca="false">IF(AND(E3166&gt;0,B3166=10),1,0)</f>
        <v>0</v>
      </c>
      <c r="AB3166" s="0" t="str">
        <f aca="false">IF(AND(C3165=C3166,Y3165=Y3166-1),Z3165,"")</f>
        <v/>
      </c>
      <c r="AC3166" s="0" t="str">
        <f aca="false">IF(AND(C3165=C3166,Y3165=Y3166-1),AA3165,"")</f>
        <v/>
      </c>
      <c r="AD3166" s="0" t="str">
        <f aca="false">IF(Y3166=1,"",IF(AND(Z3166=1,AB3166&lt;&gt;1),1,0))</f>
        <v/>
      </c>
      <c r="AE3166" s="0" t="str">
        <f aca="false">IF(Y3166=1,"",IF(AND(AA3166=1,AC3166&lt;&gt;1),1,0))</f>
        <v/>
      </c>
      <c r="AF3166" s="45" t="str">
        <f aca="false">IF(AND(E3166&gt;0,Y3166&lt;1,NOT(AND(C3167=C3166,Y3167=Y3166+1))),INDEX(DATAS,Y3166+1),"")</f>
        <v/>
      </c>
      <c r="AG3166" s="45" t="str">
        <f aca="false">IF(AND(AA3166=1,Y3166&lt;1),IF(AND(C3167=C3166,Y3167=Y3166+1),IF(AA3167=1,"",INDEX(DATAS,Y3166+1)),INDEX(DATAS,Y3166+1)),"")</f>
        <v/>
      </c>
    </row>
    <row r="3167" customFormat="false" ht="15" hidden="false" customHeight="false" outlineLevel="0" collapsed="false">
      <c r="A3167" s="45" t="n">
        <v>46309</v>
      </c>
      <c r="B3167" s="0" t="n">
        <v>13</v>
      </c>
      <c r="C3167" s="0" t="n">
        <v>7584</v>
      </c>
      <c r="E3167" s="0" t="n">
        <v>0</v>
      </c>
      <c r="F3167" s="39" t="s">
        <v>1469</v>
      </c>
      <c r="I3167" s="39" t="s">
        <v>136</v>
      </c>
      <c r="U3167" s="0" t="n">
        <v>198</v>
      </c>
      <c r="V3167" s="0" t="n">
        <v>0</v>
      </c>
      <c r="W3167" s="39" t="n">
        <f aca="false">IF(I3167="Male",0,1)</f>
        <v>1</v>
      </c>
      <c r="X3167" s="39" t="n">
        <f aca="false">IF(OR(I3167="DNB",I3167="Dry DNB"),1,0)</f>
        <v>0</v>
      </c>
      <c r="Y3167" s="39" t="n">
        <f aca="false">MATCH(A3167,DATAS,0)</f>
        <v>1</v>
      </c>
      <c r="Z3167" s="39" t="n">
        <f aca="false">IF(AND(E3167&gt;0,OR(AND(B3167&gt;=1,B3167&lt;=6),B3167=10)),1,0)</f>
        <v>0</v>
      </c>
      <c r="AA3167" s="39" t="n">
        <f aca="false">IF(AND(E3167&gt;0,B3167=10),1,0)</f>
        <v>0</v>
      </c>
      <c r="AB3167" s="0" t="str">
        <f aca="false">IF(AND(C3166=C3167,Y3166=Y3167-1),Z3166,"")</f>
        <v/>
      </c>
      <c r="AC3167" s="0" t="str">
        <f aca="false">IF(AND(C3166=C3167,Y3166=Y3167-1),AA3166,"")</f>
        <v/>
      </c>
      <c r="AD3167" s="0" t="str">
        <f aca="false">IF(Y3167=1,"",IF(AND(Z3167=1,AB3167&lt;&gt;1),1,0))</f>
        <v/>
      </c>
      <c r="AE3167" s="0" t="str">
        <f aca="false">IF(Y3167=1,"",IF(AND(AA3167=1,AC3167&lt;&gt;1),1,0))</f>
        <v/>
      </c>
      <c r="AF3167" s="45" t="str">
        <f aca="false">IF(AND(E3167&gt;0,Y3167&lt;1,NOT(AND(C3168=C3167,Y3168=Y3167+1))),INDEX(DATAS,Y3167+1),"")</f>
        <v/>
      </c>
      <c r="AG3167" s="45" t="str">
        <f aca="false">IF(AND(AA3167=1,Y3167&lt;1),IF(AND(C3168=C3167,Y3168=Y3167+1),IF(AA3168=1,"",INDEX(DATAS,Y3167+1)),INDEX(DATAS,Y3167+1)),"")</f>
        <v/>
      </c>
    </row>
    <row r="3168" customFormat="false" ht="15" hidden="false" customHeight="false" outlineLevel="0" collapsed="false">
      <c r="A3168" s="45" t="n">
        <v>46309</v>
      </c>
      <c r="B3168" s="0" t="n">
        <v>13</v>
      </c>
      <c r="C3168" s="0" t="n">
        <v>7585</v>
      </c>
      <c r="E3168" s="0" t="n">
        <v>0</v>
      </c>
      <c r="F3168" s="39" t="s">
        <v>1469</v>
      </c>
      <c r="I3168" s="39" t="s">
        <v>136</v>
      </c>
      <c r="U3168" s="0" t="n">
        <v>198</v>
      </c>
      <c r="V3168" s="0" t="n">
        <v>0</v>
      </c>
      <c r="W3168" s="39" t="n">
        <f aca="false">IF(I3168="Male",0,1)</f>
        <v>1</v>
      </c>
      <c r="X3168" s="39" t="n">
        <f aca="false">IF(OR(I3168="DNB",I3168="Dry DNB"),1,0)</f>
        <v>0</v>
      </c>
      <c r="Y3168" s="39" t="n">
        <f aca="false">MATCH(A3168,DATAS,0)</f>
        <v>1</v>
      </c>
      <c r="Z3168" s="39" t="n">
        <f aca="false">IF(AND(E3168&gt;0,OR(AND(B3168&gt;=1,B3168&lt;=6),B3168=10)),1,0)</f>
        <v>0</v>
      </c>
      <c r="AA3168" s="39" t="n">
        <f aca="false">IF(AND(E3168&gt;0,B3168=10),1,0)</f>
        <v>0</v>
      </c>
      <c r="AB3168" s="0" t="str">
        <f aca="false">IF(AND(C3167=C3168,Y3167=Y3168-1),Z3167,"")</f>
        <v/>
      </c>
      <c r="AC3168" s="0" t="str">
        <f aca="false">IF(AND(C3167=C3168,Y3167=Y3168-1),AA3167,"")</f>
        <v/>
      </c>
      <c r="AD3168" s="0" t="str">
        <f aca="false">IF(Y3168=1,"",IF(AND(Z3168=1,AB3168&lt;&gt;1),1,0))</f>
        <v/>
      </c>
      <c r="AE3168" s="0" t="str">
        <f aca="false">IF(Y3168=1,"",IF(AND(AA3168=1,AC3168&lt;&gt;1),1,0))</f>
        <v/>
      </c>
      <c r="AF3168" s="45" t="str">
        <f aca="false">IF(AND(E3168&gt;0,Y3168&lt;1,NOT(AND(C3169=C3168,Y3169=Y3168+1))),INDEX(DATAS,Y3168+1),"")</f>
        <v/>
      </c>
      <c r="AG3168" s="45" t="str">
        <f aca="false">IF(AND(AA3168=1,Y3168&lt;1),IF(AND(C3169=C3168,Y3169=Y3168+1),IF(AA3169=1,"",INDEX(DATAS,Y3168+1)),INDEX(DATAS,Y3168+1)),"")</f>
        <v/>
      </c>
    </row>
    <row r="3169" customFormat="false" ht="15" hidden="false" customHeight="false" outlineLevel="0" collapsed="false">
      <c r="A3169" s="45" t="n">
        <v>46309</v>
      </c>
      <c r="B3169" s="0" t="n">
        <v>13</v>
      </c>
      <c r="C3169" s="0" t="n">
        <v>7586</v>
      </c>
      <c r="E3169" s="0" t="n">
        <v>0</v>
      </c>
      <c r="F3169" s="39" t="s">
        <v>1469</v>
      </c>
      <c r="I3169" s="39" t="s">
        <v>136</v>
      </c>
      <c r="U3169" s="0" t="n">
        <v>198</v>
      </c>
      <c r="V3169" s="0" t="n">
        <v>0</v>
      </c>
      <c r="W3169" s="39" t="n">
        <f aca="false">IF(I3169="Male",0,1)</f>
        <v>1</v>
      </c>
      <c r="X3169" s="39" t="n">
        <f aca="false">IF(OR(I3169="DNB",I3169="Dry DNB"),1,0)</f>
        <v>0</v>
      </c>
      <c r="Y3169" s="39" t="n">
        <f aca="false">MATCH(A3169,DATAS,0)</f>
        <v>1</v>
      </c>
      <c r="Z3169" s="39" t="n">
        <f aca="false">IF(AND(E3169&gt;0,OR(AND(B3169&gt;=1,B3169&lt;=6),B3169=10)),1,0)</f>
        <v>0</v>
      </c>
      <c r="AA3169" s="39" t="n">
        <f aca="false">IF(AND(E3169&gt;0,B3169=10),1,0)</f>
        <v>0</v>
      </c>
      <c r="AB3169" s="0" t="str">
        <f aca="false">IF(AND(C3168=C3169,Y3168=Y3169-1),Z3168,"")</f>
        <v/>
      </c>
      <c r="AC3169" s="0" t="str">
        <f aca="false">IF(AND(C3168=C3169,Y3168=Y3169-1),AA3168,"")</f>
        <v/>
      </c>
      <c r="AD3169" s="0" t="str">
        <f aca="false">IF(Y3169=1,"",IF(AND(Z3169=1,AB3169&lt;&gt;1),1,0))</f>
        <v/>
      </c>
      <c r="AE3169" s="0" t="str">
        <f aca="false">IF(Y3169=1,"",IF(AND(AA3169=1,AC3169&lt;&gt;1),1,0))</f>
        <v/>
      </c>
      <c r="AF3169" s="45" t="str">
        <f aca="false">IF(AND(E3169&gt;0,Y3169&lt;1,NOT(AND(C3170=C3169,Y3170=Y3169+1))),INDEX(DATAS,Y3169+1),"")</f>
        <v/>
      </c>
      <c r="AG3169" s="45" t="str">
        <f aca="false">IF(AND(AA3169=1,Y3169&lt;1),IF(AND(C3170=C3169,Y3170=Y3169+1),IF(AA3170=1,"",INDEX(DATAS,Y3169+1)),INDEX(DATAS,Y3169+1)),"")</f>
        <v/>
      </c>
    </row>
    <row r="3170" customFormat="false" ht="15" hidden="false" customHeight="false" outlineLevel="0" collapsed="false">
      <c r="A3170" s="45" t="n">
        <v>46309</v>
      </c>
      <c r="B3170" s="0" t="n">
        <v>13</v>
      </c>
      <c r="C3170" s="0" t="n">
        <v>7588</v>
      </c>
      <c r="E3170" s="0" t="n">
        <v>0</v>
      </c>
      <c r="F3170" s="39" t="s">
        <v>1470</v>
      </c>
      <c r="I3170" s="39" t="s">
        <v>136</v>
      </c>
      <c r="U3170" s="0" t="n">
        <v>197</v>
      </c>
      <c r="V3170" s="0" t="n">
        <v>0</v>
      </c>
      <c r="W3170" s="39" t="n">
        <f aca="false">IF(I3170="Male",0,1)</f>
        <v>1</v>
      </c>
      <c r="X3170" s="39" t="n">
        <f aca="false">IF(OR(I3170="DNB",I3170="Dry DNB"),1,0)</f>
        <v>0</v>
      </c>
      <c r="Y3170" s="39" t="n">
        <f aca="false">MATCH(A3170,DATAS,0)</f>
        <v>1</v>
      </c>
      <c r="Z3170" s="39" t="n">
        <f aca="false">IF(AND(E3170&gt;0,OR(AND(B3170&gt;=1,B3170&lt;=6),B3170=10)),1,0)</f>
        <v>0</v>
      </c>
      <c r="AA3170" s="39" t="n">
        <f aca="false">IF(AND(E3170&gt;0,B3170=10),1,0)</f>
        <v>0</v>
      </c>
      <c r="AB3170" s="0" t="str">
        <f aca="false">IF(AND(C3169=C3170,Y3169=Y3170-1),Z3169,"")</f>
        <v/>
      </c>
      <c r="AC3170" s="0" t="str">
        <f aca="false">IF(AND(C3169=C3170,Y3169=Y3170-1),AA3169,"")</f>
        <v/>
      </c>
      <c r="AD3170" s="0" t="str">
        <f aca="false">IF(Y3170=1,"",IF(AND(Z3170=1,AB3170&lt;&gt;1),1,0))</f>
        <v/>
      </c>
      <c r="AE3170" s="0" t="str">
        <f aca="false">IF(Y3170=1,"",IF(AND(AA3170=1,AC3170&lt;&gt;1),1,0))</f>
        <v/>
      </c>
      <c r="AF3170" s="45" t="str">
        <f aca="false">IF(AND(E3170&gt;0,Y3170&lt;1,NOT(AND(C3171=C3170,Y3171=Y3170+1))),INDEX(DATAS,Y3170+1),"")</f>
        <v/>
      </c>
      <c r="AG3170" s="45" t="str">
        <f aca="false">IF(AND(AA3170=1,Y3170&lt;1),IF(AND(C3171=C3170,Y3171=Y3170+1),IF(AA3171=1,"",INDEX(DATAS,Y3170+1)),INDEX(DATAS,Y3170+1)),"")</f>
        <v/>
      </c>
    </row>
    <row r="3171" customFormat="false" ht="15" hidden="false" customHeight="false" outlineLevel="0" collapsed="false">
      <c r="A3171" s="45" t="n">
        <v>46309</v>
      </c>
      <c r="B3171" s="0" t="n">
        <v>13</v>
      </c>
      <c r="C3171" s="0" t="n">
        <v>7589</v>
      </c>
      <c r="E3171" s="0" t="n">
        <v>0</v>
      </c>
      <c r="F3171" s="39" t="s">
        <v>1471</v>
      </c>
      <c r="I3171" s="39" t="s">
        <v>136</v>
      </c>
      <c r="U3171" s="0" t="n">
        <v>196</v>
      </c>
      <c r="V3171" s="0" t="n">
        <v>0</v>
      </c>
      <c r="W3171" s="39" t="n">
        <f aca="false">IF(I3171="Male",0,1)</f>
        <v>1</v>
      </c>
      <c r="X3171" s="39" t="n">
        <f aca="false">IF(OR(I3171="DNB",I3171="Dry DNB"),1,0)</f>
        <v>0</v>
      </c>
      <c r="Y3171" s="39" t="n">
        <f aca="false">MATCH(A3171,DATAS,0)</f>
        <v>1</v>
      </c>
      <c r="Z3171" s="39" t="n">
        <f aca="false">IF(AND(E3171&gt;0,OR(AND(B3171&gt;=1,B3171&lt;=6),B3171=10)),1,0)</f>
        <v>0</v>
      </c>
      <c r="AA3171" s="39" t="n">
        <f aca="false">IF(AND(E3171&gt;0,B3171=10),1,0)</f>
        <v>0</v>
      </c>
      <c r="AB3171" s="0" t="str">
        <f aca="false">IF(AND(C3170=C3171,Y3170=Y3171-1),Z3170,"")</f>
        <v/>
      </c>
      <c r="AC3171" s="0" t="str">
        <f aca="false">IF(AND(C3170=C3171,Y3170=Y3171-1),AA3170,"")</f>
        <v/>
      </c>
      <c r="AD3171" s="0" t="str">
        <f aca="false">IF(Y3171=1,"",IF(AND(Z3171=1,AB3171&lt;&gt;1),1,0))</f>
        <v/>
      </c>
      <c r="AE3171" s="0" t="str">
        <f aca="false">IF(Y3171=1,"",IF(AND(AA3171=1,AC3171&lt;&gt;1),1,0))</f>
        <v/>
      </c>
      <c r="AF3171" s="45" t="str">
        <f aca="false">IF(AND(E3171&gt;0,Y3171&lt;1,NOT(AND(C3172=C3171,Y3172=Y3171+1))),INDEX(DATAS,Y3171+1),"")</f>
        <v/>
      </c>
      <c r="AG3171" s="45" t="str">
        <f aca="false">IF(AND(AA3171=1,Y3171&lt;1),IF(AND(C3172=C3171,Y3172=Y3171+1),IF(AA3172=1,"",INDEX(DATAS,Y3171+1)),INDEX(DATAS,Y3171+1)),"")</f>
        <v/>
      </c>
    </row>
    <row r="3172" customFormat="false" ht="15" hidden="false" customHeight="false" outlineLevel="0" collapsed="false">
      <c r="A3172" s="45" t="n">
        <v>46309</v>
      </c>
      <c r="B3172" s="0" t="n">
        <v>13</v>
      </c>
      <c r="C3172" s="0" t="n">
        <v>7590</v>
      </c>
      <c r="E3172" s="0" t="n">
        <v>0</v>
      </c>
      <c r="F3172" s="39" t="s">
        <v>1471</v>
      </c>
      <c r="I3172" s="39" t="s">
        <v>136</v>
      </c>
      <c r="U3172" s="0" t="n">
        <v>196</v>
      </c>
      <c r="V3172" s="0" t="n">
        <v>0</v>
      </c>
      <c r="W3172" s="39" t="n">
        <f aca="false">IF(I3172="Male",0,1)</f>
        <v>1</v>
      </c>
      <c r="X3172" s="39" t="n">
        <f aca="false">IF(OR(I3172="DNB",I3172="Dry DNB"),1,0)</f>
        <v>0</v>
      </c>
      <c r="Y3172" s="39" t="n">
        <f aca="false">MATCH(A3172,DATAS,0)</f>
        <v>1</v>
      </c>
      <c r="Z3172" s="39" t="n">
        <f aca="false">IF(AND(E3172&gt;0,OR(AND(B3172&gt;=1,B3172&lt;=6),B3172=10)),1,0)</f>
        <v>0</v>
      </c>
      <c r="AA3172" s="39" t="n">
        <f aca="false">IF(AND(E3172&gt;0,B3172=10),1,0)</f>
        <v>0</v>
      </c>
      <c r="AB3172" s="0" t="str">
        <f aca="false">IF(AND(C3171=C3172,Y3171=Y3172-1),Z3171,"")</f>
        <v/>
      </c>
      <c r="AC3172" s="0" t="str">
        <f aca="false">IF(AND(C3171=C3172,Y3171=Y3172-1),AA3171,"")</f>
        <v/>
      </c>
      <c r="AD3172" s="0" t="str">
        <f aca="false">IF(Y3172=1,"",IF(AND(Z3172=1,AB3172&lt;&gt;1),1,0))</f>
        <v/>
      </c>
      <c r="AE3172" s="0" t="str">
        <f aca="false">IF(Y3172=1,"",IF(AND(AA3172=1,AC3172&lt;&gt;1),1,0))</f>
        <v/>
      </c>
      <c r="AF3172" s="45" t="str">
        <f aca="false">IF(AND(E3172&gt;0,Y3172&lt;1,NOT(AND(C3173=C3172,Y3173=Y3172+1))),INDEX(DATAS,Y3172+1),"")</f>
        <v/>
      </c>
      <c r="AG3172" s="45" t="str">
        <f aca="false">IF(AND(AA3172=1,Y3172&lt;1),IF(AND(C3173=C3172,Y3173=Y3172+1),IF(AA3173=1,"",INDEX(DATAS,Y3172+1)),INDEX(DATAS,Y3172+1)),"")</f>
        <v/>
      </c>
    </row>
    <row r="3173" customFormat="false" ht="15" hidden="false" customHeight="false" outlineLevel="0" collapsed="false">
      <c r="A3173" s="45" t="n">
        <v>46309</v>
      </c>
      <c r="B3173" s="0" t="n">
        <v>13</v>
      </c>
      <c r="C3173" s="0" t="n">
        <v>7591</v>
      </c>
      <c r="E3173" s="0" t="n">
        <v>0</v>
      </c>
      <c r="F3173" s="39" t="s">
        <v>1471</v>
      </c>
      <c r="I3173" s="39" t="s">
        <v>136</v>
      </c>
      <c r="U3173" s="0" t="n">
        <v>196</v>
      </c>
      <c r="V3173" s="0" t="n">
        <v>0</v>
      </c>
      <c r="W3173" s="39" t="n">
        <f aca="false">IF(I3173="Male",0,1)</f>
        <v>1</v>
      </c>
      <c r="X3173" s="39" t="n">
        <f aca="false">IF(OR(I3173="DNB",I3173="Dry DNB"),1,0)</f>
        <v>0</v>
      </c>
      <c r="Y3173" s="39" t="n">
        <f aca="false">MATCH(A3173,DATAS,0)</f>
        <v>1</v>
      </c>
      <c r="Z3173" s="39" t="n">
        <f aca="false">IF(AND(E3173&gt;0,OR(AND(B3173&gt;=1,B3173&lt;=6),B3173=10)),1,0)</f>
        <v>0</v>
      </c>
      <c r="AA3173" s="39" t="n">
        <f aca="false">IF(AND(E3173&gt;0,B3173=10),1,0)</f>
        <v>0</v>
      </c>
      <c r="AB3173" s="0" t="str">
        <f aca="false">IF(AND(C3172=C3173,Y3172=Y3173-1),Z3172,"")</f>
        <v/>
      </c>
      <c r="AC3173" s="0" t="str">
        <f aca="false">IF(AND(C3172=C3173,Y3172=Y3173-1),AA3172,"")</f>
        <v/>
      </c>
      <c r="AD3173" s="0" t="str">
        <f aca="false">IF(Y3173=1,"",IF(AND(Z3173=1,AB3173&lt;&gt;1),1,0))</f>
        <v/>
      </c>
      <c r="AE3173" s="0" t="str">
        <f aca="false">IF(Y3173=1,"",IF(AND(AA3173=1,AC3173&lt;&gt;1),1,0))</f>
        <v/>
      </c>
      <c r="AF3173" s="45" t="str">
        <f aca="false">IF(AND(E3173&gt;0,Y3173&lt;1,NOT(AND(C3174=C3173,Y3174=Y3173+1))),INDEX(DATAS,Y3173+1),"")</f>
        <v/>
      </c>
      <c r="AG3173" s="45" t="str">
        <f aca="false">IF(AND(AA3173=1,Y3173&lt;1),IF(AND(C3174=C3173,Y3174=Y3173+1),IF(AA3174=1,"",INDEX(DATAS,Y3173+1)),INDEX(DATAS,Y3173+1)),"")</f>
        <v/>
      </c>
    </row>
    <row r="3174" customFormat="false" ht="15" hidden="false" customHeight="false" outlineLevel="0" collapsed="false">
      <c r="A3174" s="45" t="n">
        <v>46309</v>
      </c>
      <c r="B3174" s="0" t="n">
        <v>13</v>
      </c>
      <c r="C3174" s="0" t="n">
        <v>7592</v>
      </c>
      <c r="E3174" s="0" t="n">
        <v>0</v>
      </c>
      <c r="F3174" s="39" t="s">
        <v>1471</v>
      </c>
      <c r="I3174" s="39" t="s">
        <v>136</v>
      </c>
      <c r="U3174" s="0" t="n">
        <v>196</v>
      </c>
      <c r="V3174" s="0" t="n">
        <v>0</v>
      </c>
      <c r="W3174" s="39" t="n">
        <f aca="false">IF(I3174="Male",0,1)</f>
        <v>1</v>
      </c>
      <c r="X3174" s="39" t="n">
        <f aca="false">IF(OR(I3174="DNB",I3174="Dry DNB"),1,0)</f>
        <v>0</v>
      </c>
      <c r="Y3174" s="39" t="n">
        <f aca="false">MATCH(A3174,DATAS,0)</f>
        <v>1</v>
      </c>
      <c r="Z3174" s="39" t="n">
        <f aca="false">IF(AND(E3174&gt;0,OR(AND(B3174&gt;=1,B3174&lt;=6),B3174=10)),1,0)</f>
        <v>0</v>
      </c>
      <c r="AA3174" s="39" t="n">
        <f aca="false">IF(AND(E3174&gt;0,B3174=10),1,0)</f>
        <v>0</v>
      </c>
      <c r="AB3174" s="0" t="str">
        <f aca="false">IF(AND(C3173=C3174,Y3173=Y3174-1),Z3173,"")</f>
        <v/>
      </c>
      <c r="AC3174" s="0" t="str">
        <f aca="false">IF(AND(C3173=C3174,Y3173=Y3174-1),AA3173,"")</f>
        <v/>
      </c>
      <c r="AD3174" s="0" t="str">
        <f aca="false">IF(Y3174=1,"",IF(AND(Z3174=1,AB3174&lt;&gt;1),1,0))</f>
        <v/>
      </c>
      <c r="AE3174" s="0" t="str">
        <f aca="false">IF(Y3174=1,"",IF(AND(AA3174=1,AC3174&lt;&gt;1),1,0))</f>
        <v/>
      </c>
      <c r="AF3174" s="45" t="str">
        <f aca="false">IF(AND(E3174&gt;0,Y3174&lt;1,NOT(AND(C3175=C3174,Y3175=Y3174+1))),INDEX(DATAS,Y3174+1),"")</f>
        <v/>
      </c>
      <c r="AG3174" s="45" t="str">
        <f aca="false">IF(AND(AA3174=1,Y3174&lt;1),IF(AND(C3175=C3174,Y3175=Y3174+1),IF(AA3175=1,"",INDEX(DATAS,Y3174+1)),INDEX(DATAS,Y3174+1)),"")</f>
        <v/>
      </c>
    </row>
    <row r="3175" customFormat="false" ht="15" hidden="false" customHeight="false" outlineLevel="0" collapsed="false">
      <c r="A3175" s="45" t="n">
        <v>46309</v>
      </c>
      <c r="B3175" s="0" t="n">
        <v>13</v>
      </c>
      <c r="C3175" s="0" t="n">
        <v>7593</v>
      </c>
      <c r="E3175" s="0" t="n">
        <v>0</v>
      </c>
      <c r="F3175" s="39" t="s">
        <v>1471</v>
      </c>
      <c r="I3175" s="39" t="s">
        <v>136</v>
      </c>
      <c r="U3175" s="0" t="n">
        <v>196</v>
      </c>
      <c r="V3175" s="0" t="n">
        <v>0</v>
      </c>
      <c r="W3175" s="39" t="n">
        <f aca="false">IF(I3175="Male",0,1)</f>
        <v>1</v>
      </c>
      <c r="X3175" s="39" t="n">
        <f aca="false">IF(OR(I3175="DNB",I3175="Dry DNB"),1,0)</f>
        <v>0</v>
      </c>
      <c r="Y3175" s="39" t="n">
        <f aca="false">MATCH(A3175,DATAS,0)</f>
        <v>1</v>
      </c>
      <c r="Z3175" s="39" t="n">
        <f aca="false">IF(AND(E3175&gt;0,OR(AND(B3175&gt;=1,B3175&lt;=6),B3175=10)),1,0)</f>
        <v>0</v>
      </c>
      <c r="AA3175" s="39" t="n">
        <f aca="false">IF(AND(E3175&gt;0,B3175=10),1,0)</f>
        <v>0</v>
      </c>
      <c r="AB3175" s="0" t="str">
        <f aca="false">IF(AND(C3174=C3175,Y3174=Y3175-1),Z3174,"")</f>
        <v/>
      </c>
      <c r="AC3175" s="0" t="str">
        <f aca="false">IF(AND(C3174=C3175,Y3174=Y3175-1),AA3174,"")</f>
        <v/>
      </c>
      <c r="AD3175" s="0" t="str">
        <f aca="false">IF(Y3175=1,"",IF(AND(Z3175=1,AB3175&lt;&gt;1),1,0))</f>
        <v/>
      </c>
      <c r="AE3175" s="0" t="str">
        <f aca="false">IF(Y3175=1,"",IF(AND(AA3175=1,AC3175&lt;&gt;1),1,0))</f>
        <v/>
      </c>
      <c r="AF3175" s="45" t="str">
        <f aca="false">IF(AND(E3175&gt;0,Y3175&lt;1,NOT(AND(C3176=C3175,Y3176=Y3175+1))),INDEX(DATAS,Y3175+1),"")</f>
        <v/>
      </c>
      <c r="AG3175" s="45" t="str">
        <f aca="false">IF(AND(AA3175=1,Y3175&lt;1),IF(AND(C3176=C3175,Y3176=Y3175+1),IF(AA3176=1,"",INDEX(DATAS,Y3175+1)),INDEX(DATAS,Y3175+1)),"")</f>
        <v/>
      </c>
    </row>
    <row r="3176" customFormat="false" ht="15" hidden="false" customHeight="false" outlineLevel="0" collapsed="false">
      <c r="A3176" s="45" t="n">
        <v>46309</v>
      </c>
      <c r="B3176" s="0" t="n">
        <v>13</v>
      </c>
      <c r="C3176" s="0" t="n">
        <v>7594</v>
      </c>
      <c r="E3176" s="0" t="n">
        <v>0</v>
      </c>
      <c r="F3176" s="39" t="s">
        <v>1472</v>
      </c>
      <c r="I3176" s="39" t="s">
        <v>136</v>
      </c>
      <c r="U3176" s="0" t="n">
        <v>195</v>
      </c>
      <c r="V3176" s="0" t="n">
        <v>0</v>
      </c>
      <c r="W3176" s="39" t="n">
        <f aca="false">IF(I3176="Male",0,1)</f>
        <v>1</v>
      </c>
      <c r="X3176" s="39" t="n">
        <f aca="false">IF(OR(I3176="DNB",I3176="Dry DNB"),1,0)</f>
        <v>0</v>
      </c>
      <c r="Y3176" s="39" t="n">
        <f aca="false">MATCH(A3176,DATAS,0)</f>
        <v>1</v>
      </c>
      <c r="Z3176" s="39" t="n">
        <f aca="false">IF(AND(E3176&gt;0,OR(AND(B3176&gt;=1,B3176&lt;=6),B3176=10)),1,0)</f>
        <v>0</v>
      </c>
      <c r="AA3176" s="39" t="n">
        <f aca="false">IF(AND(E3176&gt;0,B3176=10),1,0)</f>
        <v>0</v>
      </c>
      <c r="AB3176" s="0" t="str">
        <f aca="false">IF(AND(C3175=C3176,Y3175=Y3176-1),Z3175,"")</f>
        <v/>
      </c>
      <c r="AC3176" s="0" t="str">
        <f aca="false">IF(AND(C3175=C3176,Y3175=Y3176-1),AA3175,"")</f>
        <v/>
      </c>
      <c r="AD3176" s="0" t="str">
        <f aca="false">IF(Y3176=1,"",IF(AND(Z3176=1,AB3176&lt;&gt;1),1,0))</f>
        <v/>
      </c>
      <c r="AE3176" s="0" t="str">
        <f aca="false">IF(Y3176=1,"",IF(AND(AA3176=1,AC3176&lt;&gt;1),1,0))</f>
        <v/>
      </c>
      <c r="AF3176" s="45" t="str">
        <f aca="false">IF(AND(E3176&gt;0,Y3176&lt;1,NOT(AND(C3177=C3176,Y3177=Y3176+1))),INDEX(DATAS,Y3176+1),"")</f>
        <v/>
      </c>
      <c r="AG3176" s="45" t="str">
        <f aca="false">IF(AND(AA3176=1,Y3176&lt;1),IF(AND(C3177=C3176,Y3177=Y3176+1),IF(AA3177=1,"",INDEX(DATAS,Y3176+1)),INDEX(DATAS,Y3176+1)),"")</f>
        <v/>
      </c>
    </row>
    <row r="3177" customFormat="false" ht="15" hidden="false" customHeight="false" outlineLevel="0" collapsed="false">
      <c r="A3177" s="45" t="n">
        <v>46309</v>
      </c>
      <c r="B3177" s="0" t="n">
        <v>13</v>
      </c>
      <c r="C3177" s="0" t="n">
        <v>7595</v>
      </c>
      <c r="E3177" s="0" t="n">
        <v>0</v>
      </c>
      <c r="F3177" s="39" t="s">
        <v>1472</v>
      </c>
      <c r="I3177" s="39" t="s">
        <v>136</v>
      </c>
      <c r="U3177" s="0" t="n">
        <v>195</v>
      </c>
      <c r="V3177" s="0" t="n">
        <v>0</v>
      </c>
      <c r="W3177" s="39" t="n">
        <f aca="false">IF(I3177="Male",0,1)</f>
        <v>1</v>
      </c>
      <c r="X3177" s="39" t="n">
        <f aca="false">IF(OR(I3177="DNB",I3177="Dry DNB"),1,0)</f>
        <v>0</v>
      </c>
      <c r="Y3177" s="39" t="n">
        <f aca="false">MATCH(A3177,DATAS,0)</f>
        <v>1</v>
      </c>
      <c r="Z3177" s="39" t="n">
        <f aca="false">IF(AND(E3177&gt;0,OR(AND(B3177&gt;=1,B3177&lt;=6),B3177=10)),1,0)</f>
        <v>0</v>
      </c>
      <c r="AA3177" s="39" t="n">
        <f aca="false">IF(AND(E3177&gt;0,B3177=10),1,0)</f>
        <v>0</v>
      </c>
      <c r="AB3177" s="0" t="str">
        <f aca="false">IF(AND(C3176=C3177,Y3176=Y3177-1),Z3176,"")</f>
        <v/>
      </c>
      <c r="AC3177" s="0" t="str">
        <f aca="false">IF(AND(C3176=C3177,Y3176=Y3177-1),AA3176,"")</f>
        <v/>
      </c>
      <c r="AD3177" s="0" t="str">
        <f aca="false">IF(Y3177=1,"",IF(AND(Z3177=1,AB3177&lt;&gt;1),1,0))</f>
        <v/>
      </c>
      <c r="AE3177" s="0" t="str">
        <f aca="false">IF(Y3177=1,"",IF(AND(AA3177=1,AC3177&lt;&gt;1),1,0))</f>
        <v/>
      </c>
      <c r="AF3177" s="45" t="str">
        <f aca="false">IF(AND(E3177&gt;0,Y3177&lt;1,NOT(AND(C3178=C3177,Y3178=Y3177+1))),INDEX(DATAS,Y3177+1),"")</f>
        <v/>
      </c>
      <c r="AG3177" s="45" t="str">
        <f aca="false">IF(AND(AA3177=1,Y3177&lt;1),IF(AND(C3178=C3177,Y3178=Y3177+1),IF(AA3178=1,"",INDEX(DATAS,Y3177+1)),INDEX(DATAS,Y3177+1)),"")</f>
        <v/>
      </c>
    </row>
    <row r="3178" customFormat="false" ht="15" hidden="false" customHeight="false" outlineLevel="0" collapsed="false">
      <c r="A3178" s="45" t="n">
        <v>46309</v>
      </c>
      <c r="B3178" s="0" t="n">
        <v>13</v>
      </c>
      <c r="C3178" s="0" t="n">
        <v>7596</v>
      </c>
      <c r="E3178" s="0" t="n">
        <v>0</v>
      </c>
      <c r="F3178" s="39" t="s">
        <v>1472</v>
      </c>
      <c r="I3178" s="39" t="s">
        <v>136</v>
      </c>
      <c r="U3178" s="0" t="n">
        <v>195</v>
      </c>
      <c r="V3178" s="0" t="n">
        <v>0</v>
      </c>
      <c r="W3178" s="39" t="n">
        <f aca="false">IF(I3178="Male",0,1)</f>
        <v>1</v>
      </c>
      <c r="X3178" s="39" t="n">
        <f aca="false">IF(OR(I3178="DNB",I3178="Dry DNB"),1,0)</f>
        <v>0</v>
      </c>
      <c r="Y3178" s="39" t="n">
        <f aca="false">MATCH(A3178,DATAS,0)</f>
        <v>1</v>
      </c>
      <c r="Z3178" s="39" t="n">
        <f aca="false">IF(AND(E3178&gt;0,OR(AND(B3178&gt;=1,B3178&lt;=6),B3178=10)),1,0)</f>
        <v>0</v>
      </c>
      <c r="AA3178" s="39" t="n">
        <f aca="false">IF(AND(E3178&gt;0,B3178=10),1,0)</f>
        <v>0</v>
      </c>
      <c r="AB3178" s="0" t="str">
        <f aca="false">IF(AND(C3177=C3178,Y3177=Y3178-1),Z3177,"")</f>
        <v/>
      </c>
      <c r="AC3178" s="0" t="str">
        <f aca="false">IF(AND(C3177=C3178,Y3177=Y3178-1),AA3177,"")</f>
        <v/>
      </c>
      <c r="AD3178" s="0" t="str">
        <f aca="false">IF(Y3178=1,"",IF(AND(Z3178=1,AB3178&lt;&gt;1),1,0))</f>
        <v/>
      </c>
      <c r="AE3178" s="0" t="str">
        <f aca="false">IF(Y3178=1,"",IF(AND(AA3178=1,AC3178&lt;&gt;1),1,0))</f>
        <v/>
      </c>
      <c r="AF3178" s="45" t="str">
        <f aca="false">IF(AND(E3178&gt;0,Y3178&lt;1,NOT(AND(C3179=C3178,Y3179=Y3178+1))),INDEX(DATAS,Y3178+1),"")</f>
        <v/>
      </c>
      <c r="AG3178" s="45" t="str">
        <f aca="false">IF(AND(AA3178=1,Y3178&lt;1),IF(AND(C3179=C3178,Y3179=Y3178+1),IF(AA3179=1,"",INDEX(DATAS,Y3178+1)),INDEX(DATAS,Y3178+1)),"")</f>
        <v/>
      </c>
    </row>
    <row r="3179" customFormat="false" ht="15" hidden="false" customHeight="false" outlineLevel="0" collapsed="false">
      <c r="A3179" s="45" t="n">
        <v>46309</v>
      </c>
      <c r="B3179" s="0" t="n">
        <v>13</v>
      </c>
      <c r="C3179" s="0" t="n">
        <v>7597</v>
      </c>
      <c r="E3179" s="0" t="n">
        <v>0</v>
      </c>
      <c r="F3179" s="39" t="s">
        <v>1473</v>
      </c>
      <c r="I3179" s="39" t="s">
        <v>136</v>
      </c>
      <c r="U3179" s="0" t="n">
        <v>194</v>
      </c>
      <c r="V3179" s="0" t="n">
        <v>0</v>
      </c>
      <c r="W3179" s="39" t="n">
        <f aca="false">IF(I3179="Male",0,1)</f>
        <v>1</v>
      </c>
      <c r="X3179" s="39" t="n">
        <f aca="false">IF(OR(I3179="DNB",I3179="Dry DNB"),1,0)</f>
        <v>0</v>
      </c>
      <c r="Y3179" s="39" t="n">
        <f aca="false">MATCH(A3179,DATAS,0)</f>
        <v>1</v>
      </c>
      <c r="Z3179" s="39" t="n">
        <f aca="false">IF(AND(E3179&gt;0,OR(AND(B3179&gt;=1,B3179&lt;=6),B3179=10)),1,0)</f>
        <v>0</v>
      </c>
      <c r="AA3179" s="39" t="n">
        <f aca="false">IF(AND(E3179&gt;0,B3179=10),1,0)</f>
        <v>0</v>
      </c>
      <c r="AB3179" s="0" t="str">
        <f aca="false">IF(AND(C3178=C3179,Y3178=Y3179-1),Z3178,"")</f>
        <v/>
      </c>
      <c r="AC3179" s="0" t="str">
        <f aca="false">IF(AND(C3178=C3179,Y3178=Y3179-1),AA3178,"")</f>
        <v/>
      </c>
      <c r="AD3179" s="0" t="str">
        <f aca="false">IF(Y3179=1,"",IF(AND(Z3179=1,AB3179&lt;&gt;1),1,0))</f>
        <v/>
      </c>
      <c r="AE3179" s="0" t="str">
        <f aca="false">IF(Y3179=1,"",IF(AND(AA3179=1,AC3179&lt;&gt;1),1,0))</f>
        <v/>
      </c>
      <c r="AF3179" s="45" t="str">
        <f aca="false">IF(AND(E3179&gt;0,Y3179&lt;1,NOT(AND(C3180=C3179,Y3180=Y3179+1))),INDEX(DATAS,Y3179+1),"")</f>
        <v/>
      </c>
      <c r="AG3179" s="45" t="str">
        <f aca="false">IF(AND(AA3179=1,Y3179&lt;1),IF(AND(C3180=C3179,Y3180=Y3179+1),IF(AA3180=1,"",INDEX(DATAS,Y3179+1)),INDEX(DATAS,Y3179+1)),"")</f>
        <v/>
      </c>
    </row>
    <row r="3180" customFormat="false" ht="15" hidden="false" customHeight="false" outlineLevel="0" collapsed="false">
      <c r="A3180" s="45" t="n">
        <v>46309</v>
      </c>
      <c r="B3180" s="0" t="n">
        <v>13</v>
      </c>
      <c r="C3180" s="0" t="n">
        <v>7598</v>
      </c>
      <c r="E3180" s="0" t="n">
        <v>0</v>
      </c>
      <c r="F3180" s="39" t="s">
        <v>1473</v>
      </c>
      <c r="I3180" s="39" t="s">
        <v>136</v>
      </c>
      <c r="U3180" s="0" t="n">
        <v>194</v>
      </c>
      <c r="V3180" s="0" t="n">
        <v>0</v>
      </c>
      <c r="W3180" s="39" t="n">
        <f aca="false">IF(I3180="Male",0,1)</f>
        <v>1</v>
      </c>
      <c r="X3180" s="39" t="n">
        <f aca="false">IF(OR(I3180="DNB",I3180="Dry DNB"),1,0)</f>
        <v>0</v>
      </c>
      <c r="Y3180" s="39" t="n">
        <f aca="false">MATCH(A3180,DATAS,0)</f>
        <v>1</v>
      </c>
      <c r="Z3180" s="39" t="n">
        <f aca="false">IF(AND(E3180&gt;0,OR(AND(B3180&gt;=1,B3180&lt;=6),B3180=10)),1,0)</f>
        <v>0</v>
      </c>
      <c r="AA3180" s="39" t="n">
        <f aca="false">IF(AND(E3180&gt;0,B3180=10),1,0)</f>
        <v>0</v>
      </c>
      <c r="AB3180" s="0" t="str">
        <f aca="false">IF(AND(C3179=C3180,Y3179=Y3180-1),Z3179,"")</f>
        <v/>
      </c>
      <c r="AC3180" s="0" t="str">
        <f aca="false">IF(AND(C3179=C3180,Y3179=Y3180-1),AA3179,"")</f>
        <v/>
      </c>
      <c r="AD3180" s="0" t="str">
        <f aca="false">IF(Y3180=1,"",IF(AND(Z3180=1,AB3180&lt;&gt;1),1,0))</f>
        <v/>
      </c>
      <c r="AE3180" s="0" t="str">
        <f aca="false">IF(Y3180=1,"",IF(AND(AA3180=1,AC3180&lt;&gt;1),1,0))</f>
        <v/>
      </c>
      <c r="AF3180" s="45" t="str">
        <f aca="false">IF(AND(E3180&gt;0,Y3180&lt;1,NOT(AND(C3181=C3180,Y3181=Y3180+1))),INDEX(DATAS,Y3180+1),"")</f>
        <v/>
      </c>
      <c r="AG3180" s="45" t="str">
        <f aca="false">IF(AND(AA3180=1,Y3180&lt;1),IF(AND(C3181=C3180,Y3181=Y3180+1),IF(AA3181=1,"",INDEX(DATAS,Y3180+1)),INDEX(DATAS,Y3180+1)),"")</f>
        <v/>
      </c>
    </row>
    <row r="3181" customFormat="false" ht="15" hidden="false" customHeight="false" outlineLevel="0" collapsed="false">
      <c r="A3181" s="45" t="n">
        <v>46309</v>
      </c>
      <c r="B3181" s="0" t="n">
        <v>13</v>
      </c>
      <c r="C3181" s="0" t="n">
        <v>7599</v>
      </c>
      <c r="E3181" s="0" t="n">
        <v>0</v>
      </c>
      <c r="F3181" s="39" t="s">
        <v>1474</v>
      </c>
      <c r="I3181" s="39" t="s">
        <v>136</v>
      </c>
      <c r="U3181" s="0" t="n">
        <v>193</v>
      </c>
      <c r="V3181" s="0" t="n">
        <v>0</v>
      </c>
      <c r="W3181" s="39" t="n">
        <f aca="false">IF(I3181="Male",0,1)</f>
        <v>1</v>
      </c>
      <c r="X3181" s="39" t="n">
        <f aca="false">IF(OR(I3181="DNB",I3181="Dry DNB"),1,0)</f>
        <v>0</v>
      </c>
      <c r="Y3181" s="39" t="n">
        <f aca="false">MATCH(A3181,DATAS,0)</f>
        <v>1</v>
      </c>
      <c r="Z3181" s="39" t="n">
        <f aca="false">IF(AND(E3181&gt;0,OR(AND(B3181&gt;=1,B3181&lt;=6),B3181=10)),1,0)</f>
        <v>0</v>
      </c>
      <c r="AA3181" s="39" t="n">
        <f aca="false">IF(AND(E3181&gt;0,B3181=10),1,0)</f>
        <v>0</v>
      </c>
      <c r="AB3181" s="0" t="str">
        <f aca="false">IF(AND(C3180=C3181,Y3180=Y3181-1),Z3180,"")</f>
        <v/>
      </c>
      <c r="AC3181" s="0" t="str">
        <f aca="false">IF(AND(C3180=C3181,Y3180=Y3181-1),AA3180,"")</f>
        <v/>
      </c>
      <c r="AD3181" s="0" t="str">
        <f aca="false">IF(Y3181=1,"",IF(AND(Z3181=1,AB3181&lt;&gt;1),1,0))</f>
        <v/>
      </c>
      <c r="AE3181" s="0" t="str">
        <f aca="false">IF(Y3181=1,"",IF(AND(AA3181=1,AC3181&lt;&gt;1),1,0))</f>
        <v/>
      </c>
      <c r="AF3181" s="45" t="str">
        <f aca="false">IF(AND(E3181&gt;0,Y3181&lt;1,NOT(AND(C3182=C3181,Y3182=Y3181+1))),INDEX(DATAS,Y3181+1),"")</f>
        <v/>
      </c>
      <c r="AG3181" s="45" t="str">
        <f aca="false">IF(AND(AA3181=1,Y3181&lt;1),IF(AND(C3182=C3181,Y3182=Y3181+1),IF(AA3182=1,"",INDEX(DATAS,Y3181+1)),INDEX(DATAS,Y3181+1)),"")</f>
        <v/>
      </c>
    </row>
    <row r="3182" customFormat="false" ht="15" hidden="false" customHeight="false" outlineLevel="0" collapsed="false">
      <c r="A3182" s="45" t="n">
        <v>46309</v>
      </c>
      <c r="B3182" s="0" t="n">
        <v>13</v>
      </c>
      <c r="C3182" s="0" t="n">
        <v>7600</v>
      </c>
      <c r="E3182" s="0" t="n">
        <v>0</v>
      </c>
      <c r="F3182" s="39" t="s">
        <v>1474</v>
      </c>
      <c r="I3182" s="39" t="s">
        <v>136</v>
      </c>
      <c r="U3182" s="0" t="n">
        <v>193</v>
      </c>
      <c r="V3182" s="0" t="n">
        <v>0</v>
      </c>
      <c r="W3182" s="39" t="n">
        <f aca="false">IF(I3182="Male",0,1)</f>
        <v>1</v>
      </c>
      <c r="X3182" s="39" t="n">
        <f aca="false">IF(OR(I3182="DNB",I3182="Dry DNB"),1,0)</f>
        <v>0</v>
      </c>
      <c r="Y3182" s="39" t="n">
        <f aca="false">MATCH(A3182,DATAS,0)</f>
        <v>1</v>
      </c>
      <c r="Z3182" s="39" t="n">
        <f aca="false">IF(AND(E3182&gt;0,OR(AND(B3182&gt;=1,B3182&lt;=6),B3182=10)),1,0)</f>
        <v>0</v>
      </c>
      <c r="AA3182" s="39" t="n">
        <f aca="false">IF(AND(E3182&gt;0,B3182=10),1,0)</f>
        <v>0</v>
      </c>
      <c r="AB3182" s="0" t="str">
        <f aca="false">IF(AND(C3181=C3182,Y3181=Y3182-1),Z3181,"")</f>
        <v/>
      </c>
      <c r="AC3182" s="0" t="str">
        <f aca="false">IF(AND(C3181=C3182,Y3181=Y3182-1),AA3181,"")</f>
        <v/>
      </c>
      <c r="AD3182" s="0" t="str">
        <f aca="false">IF(Y3182=1,"",IF(AND(Z3182=1,AB3182&lt;&gt;1),1,0))</f>
        <v/>
      </c>
      <c r="AE3182" s="0" t="str">
        <f aca="false">IF(Y3182=1,"",IF(AND(AA3182=1,AC3182&lt;&gt;1),1,0))</f>
        <v/>
      </c>
      <c r="AF3182" s="45" t="str">
        <f aca="false">IF(AND(E3182&gt;0,Y3182&lt;1,NOT(AND(C3183=C3182,Y3183=Y3182+1))),INDEX(DATAS,Y3182+1),"")</f>
        <v/>
      </c>
      <c r="AG3182" s="45" t="str">
        <f aca="false">IF(AND(AA3182=1,Y3182&lt;1),IF(AND(C3183=C3182,Y3183=Y3182+1),IF(AA3183=1,"",INDEX(DATAS,Y3182+1)),INDEX(DATAS,Y3182+1)),"")</f>
        <v/>
      </c>
    </row>
    <row r="3183" customFormat="false" ht="15" hidden="false" customHeight="false" outlineLevel="0" collapsed="false">
      <c r="A3183" s="45" t="n">
        <v>46309</v>
      </c>
      <c r="B3183" s="0" t="n">
        <v>13</v>
      </c>
      <c r="C3183" s="0" t="n">
        <v>7602</v>
      </c>
      <c r="E3183" s="0" t="n">
        <v>0</v>
      </c>
      <c r="F3183" s="39" t="s">
        <v>1474</v>
      </c>
      <c r="I3183" s="39" t="s">
        <v>136</v>
      </c>
      <c r="U3183" s="0" t="n">
        <v>193</v>
      </c>
      <c r="V3183" s="0" t="n">
        <v>0</v>
      </c>
      <c r="W3183" s="39" t="n">
        <f aca="false">IF(I3183="Male",0,1)</f>
        <v>1</v>
      </c>
      <c r="X3183" s="39" t="n">
        <f aca="false">IF(OR(I3183="DNB",I3183="Dry DNB"),1,0)</f>
        <v>0</v>
      </c>
      <c r="Y3183" s="39" t="n">
        <f aca="false">MATCH(A3183,DATAS,0)</f>
        <v>1</v>
      </c>
      <c r="Z3183" s="39" t="n">
        <f aca="false">IF(AND(E3183&gt;0,OR(AND(B3183&gt;=1,B3183&lt;=6),B3183=10)),1,0)</f>
        <v>0</v>
      </c>
      <c r="AA3183" s="39" t="n">
        <f aca="false">IF(AND(E3183&gt;0,B3183=10),1,0)</f>
        <v>0</v>
      </c>
      <c r="AB3183" s="0" t="str">
        <f aca="false">IF(AND(C3182=C3183,Y3182=Y3183-1),Z3182,"")</f>
        <v/>
      </c>
      <c r="AC3183" s="0" t="str">
        <f aca="false">IF(AND(C3182=C3183,Y3182=Y3183-1),AA3182,"")</f>
        <v/>
      </c>
      <c r="AD3183" s="0" t="str">
        <f aca="false">IF(Y3183=1,"",IF(AND(Z3183=1,AB3183&lt;&gt;1),1,0))</f>
        <v/>
      </c>
      <c r="AE3183" s="0" t="str">
        <f aca="false">IF(Y3183=1,"",IF(AND(AA3183=1,AC3183&lt;&gt;1),1,0))</f>
        <v/>
      </c>
      <c r="AF3183" s="45" t="str">
        <f aca="false">IF(AND(E3183&gt;0,Y3183&lt;1,NOT(AND(C3184=C3183,Y3184=Y3183+1))),INDEX(DATAS,Y3183+1),"")</f>
        <v/>
      </c>
      <c r="AG3183" s="45" t="str">
        <f aca="false">IF(AND(AA3183=1,Y3183&lt;1),IF(AND(C3184=C3183,Y3184=Y3183+1),IF(AA3184=1,"",INDEX(DATAS,Y3183+1)),INDEX(DATAS,Y3183+1)),"")</f>
        <v/>
      </c>
    </row>
    <row r="3184" customFormat="false" ht="15" hidden="false" customHeight="false" outlineLevel="0" collapsed="false">
      <c r="A3184" s="45" t="n">
        <v>46309</v>
      </c>
      <c r="B3184" s="0" t="n">
        <v>13</v>
      </c>
      <c r="C3184" s="0" t="n">
        <v>7603</v>
      </c>
      <c r="E3184" s="0" t="n">
        <v>0</v>
      </c>
      <c r="F3184" s="39" t="s">
        <v>1474</v>
      </c>
      <c r="I3184" s="39" t="s">
        <v>136</v>
      </c>
      <c r="U3184" s="0" t="n">
        <v>193</v>
      </c>
      <c r="V3184" s="0" t="n">
        <v>0</v>
      </c>
      <c r="W3184" s="39" t="n">
        <f aca="false">IF(I3184="Male",0,1)</f>
        <v>1</v>
      </c>
      <c r="X3184" s="39" t="n">
        <f aca="false">IF(OR(I3184="DNB",I3184="Dry DNB"),1,0)</f>
        <v>0</v>
      </c>
      <c r="Y3184" s="39" t="n">
        <f aca="false">MATCH(A3184,DATAS,0)</f>
        <v>1</v>
      </c>
      <c r="Z3184" s="39" t="n">
        <f aca="false">IF(AND(E3184&gt;0,OR(AND(B3184&gt;=1,B3184&lt;=6),B3184=10)),1,0)</f>
        <v>0</v>
      </c>
      <c r="AA3184" s="39" t="n">
        <f aca="false">IF(AND(E3184&gt;0,B3184=10),1,0)</f>
        <v>0</v>
      </c>
      <c r="AB3184" s="0" t="str">
        <f aca="false">IF(AND(C3183=C3184,Y3183=Y3184-1),Z3183,"")</f>
        <v/>
      </c>
      <c r="AC3184" s="0" t="str">
        <f aca="false">IF(AND(C3183=C3184,Y3183=Y3184-1),AA3183,"")</f>
        <v/>
      </c>
      <c r="AD3184" s="0" t="str">
        <f aca="false">IF(Y3184=1,"",IF(AND(Z3184=1,AB3184&lt;&gt;1),1,0))</f>
        <v/>
      </c>
      <c r="AE3184" s="0" t="str">
        <f aca="false">IF(Y3184=1,"",IF(AND(AA3184=1,AC3184&lt;&gt;1),1,0))</f>
        <v/>
      </c>
      <c r="AF3184" s="45" t="str">
        <f aca="false">IF(AND(E3184&gt;0,Y3184&lt;1,NOT(AND(C3185=C3184,Y3185=Y3184+1))),INDEX(DATAS,Y3184+1),"")</f>
        <v/>
      </c>
      <c r="AG3184" s="45" t="str">
        <f aca="false">IF(AND(AA3184=1,Y3184&lt;1),IF(AND(C3185=C3184,Y3185=Y3184+1),IF(AA3185=1,"",INDEX(DATAS,Y3184+1)),INDEX(DATAS,Y3184+1)),"")</f>
        <v/>
      </c>
    </row>
    <row r="3185" customFormat="false" ht="15" hidden="false" customHeight="false" outlineLevel="0" collapsed="false">
      <c r="A3185" s="45" t="n">
        <v>46309</v>
      </c>
      <c r="B3185" s="0" t="n">
        <v>13</v>
      </c>
      <c r="C3185" s="0" t="n">
        <v>7604</v>
      </c>
      <c r="E3185" s="0" t="n">
        <v>0</v>
      </c>
      <c r="F3185" s="39" t="s">
        <v>1475</v>
      </c>
      <c r="I3185" s="39" t="s">
        <v>136</v>
      </c>
      <c r="U3185" s="0" t="n">
        <v>192</v>
      </c>
      <c r="V3185" s="0" t="n">
        <v>0</v>
      </c>
      <c r="W3185" s="39" t="n">
        <f aca="false">IF(I3185="Male",0,1)</f>
        <v>1</v>
      </c>
      <c r="X3185" s="39" t="n">
        <f aca="false">IF(OR(I3185="DNB",I3185="Dry DNB"),1,0)</f>
        <v>0</v>
      </c>
      <c r="Y3185" s="39" t="n">
        <f aca="false">MATCH(A3185,DATAS,0)</f>
        <v>1</v>
      </c>
      <c r="Z3185" s="39" t="n">
        <f aca="false">IF(AND(E3185&gt;0,OR(AND(B3185&gt;=1,B3185&lt;=6),B3185=10)),1,0)</f>
        <v>0</v>
      </c>
      <c r="AA3185" s="39" t="n">
        <f aca="false">IF(AND(E3185&gt;0,B3185=10),1,0)</f>
        <v>0</v>
      </c>
      <c r="AB3185" s="0" t="str">
        <f aca="false">IF(AND(C3184=C3185,Y3184=Y3185-1),Z3184,"")</f>
        <v/>
      </c>
      <c r="AC3185" s="0" t="str">
        <f aca="false">IF(AND(C3184=C3185,Y3184=Y3185-1),AA3184,"")</f>
        <v/>
      </c>
      <c r="AD3185" s="0" t="str">
        <f aca="false">IF(Y3185=1,"",IF(AND(Z3185=1,AB3185&lt;&gt;1),1,0))</f>
        <v/>
      </c>
      <c r="AE3185" s="0" t="str">
        <f aca="false">IF(Y3185=1,"",IF(AND(AA3185=1,AC3185&lt;&gt;1),1,0))</f>
        <v/>
      </c>
      <c r="AF3185" s="45" t="str">
        <f aca="false">IF(AND(E3185&gt;0,Y3185&lt;1,NOT(AND(C3186=C3185,Y3186=Y3185+1))),INDEX(DATAS,Y3185+1),"")</f>
        <v/>
      </c>
      <c r="AG3185" s="45" t="str">
        <f aca="false">IF(AND(AA3185=1,Y3185&lt;1),IF(AND(C3186=C3185,Y3186=Y3185+1),IF(AA3186=1,"",INDEX(DATAS,Y3185+1)),INDEX(DATAS,Y3185+1)),"")</f>
        <v/>
      </c>
    </row>
    <row r="3186" customFormat="false" ht="15" hidden="false" customHeight="false" outlineLevel="0" collapsed="false">
      <c r="A3186" s="45" t="n">
        <v>46309</v>
      </c>
      <c r="B3186" s="0" t="n">
        <v>13</v>
      </c>
      <c r="C3186" s="0" t="n">
        <v>7605</v>
      </c>
      <c r="E3186" s="0" t="n">
        <v>0</v>
      </c>
      <c r="F3186" s="39" t="s">
        <v>1475</v>
      </c>
      <c r="I3186" s="39" t="s">
        <v>136</v>
      </c>
      <c r="U3186" s="0" t="n">
        <v>192</v>
      </c>
      <c r="V3186" s="0" t="n">
        <v>0</v>
      </c>
      <c r="W3186" s="39" t="n">
        <f aca="false">IF(I3186="Male",0,1)</f>
        <v>1</v>
      </c>
      <c r="X3186" s="39" t="n">
        <f aca="false">IF(OR(I3186="DNB",I3186="Dry DNB"),1,0)</f>
        <v>0</v>
      </c>
      <c r="Y3186" s="39" t="n">
        <f aca="false">MATCH(A3186,DATAS,0)</f>
        <v>1</v>
      </c>
      <c r="Z3186" s="39" t="n">
        <f aca="false">IF(AND(E3186&gt;0,OR(AND(B3186&gt;=1,B3186&lt;=6),B3186=10)),1,0)</f>
        <v>0</v>
      </c>
      <c r="AA3186" s="39" t="n">
        <f aca="false">IF(AND(E3186&gt;0,B3186=10),1,0)</f>
        <v>0</v>
      </c>
      <c r="AB3186" s="0" t="str">
        <f aca="false">IF(AND(C3185=C3186,Y3185=Y3186-1),Z3185,"")</f>
        <v/>
      </c>
      <c r="AC3186" s="0" t="str">
        <f aca="false">IF(AND(C3185=C3186,Y3185=Y3186-1),AA3185,"")</f>
        <v/>
      </c>
      <c r="AD3186" s="0" t="str">
        <f aca="false">IF(Y3186=1,"",IF(AND(Z3186=1,AB3186&lt;&gt;1),1,0))</f>
        <v/>
      </c>
      <c r="AE3186" s="0" t="str">
        <f aca="false">IF(Y3186=1,"",IF(AND(AA3186=1,AC3186&lt;&gt;1),1,0))</f>
        <v/>
      </c>
      <c r="AF3186" s="45" t="str">
        <f aca="false">IF(AND(E3186&gt;0,Y3186&lt;1,NOT(AND(C3187=C3186,Y3187=Y3186+1))),INDEX(DATAS,Y3186+1),"")</f>
        <v/>
      </c>
      <c r="AG3186" s="45" t="str">
        <f aca="false">IF(AND(AA3186=1,Y3186&lt;1),IF(AND(C3187=C3186,Y3187=Y3186+1),IF(AA3187=1,"",INDEX(DATAS,Y3186+1)),INDEX(DATAS,Y3186+1)),"")</f>
        <v/>
      </c>
    </row>
    <row r="3187" customFormat="false" ht="15" hidden="false" customHeight="false" outlineLevel="0" collapsed="false">
      <c r="A3187" s="45" t="n">
        <v>46309</v>
      </c>
      <c r="B3187" s="0" t="n">
        <v>13</v>
      </c>
      <c r="C3187" s="0" t="n">
        <v>7606</v>
      </c>
      <c r="E3187" s="0" t="n">
        <v>0</v>
      </c>
      <c r="F3187" s="39" t="s">
        <v>1475</v>
      </c>
      <c r="I3187" s="39" t="s">
        <v>136</v>
      </c>
      <c r="U3187" s="0" t="n">
        <v>192</v>
      </c>
      <c r="V3187" s="0" t="n">
        <v>0</v>
      </c>
      <c r="W3187" s="39" t="n">
        <f aca="false">IF(I3187="Male",0,1)</f>
        <v>1</v>
      </c>
      <c r="X3187" s="39" t="n">
        <f aca="false">IF(OR(I3187="DNB",I3187="Dry DNB"),1,0)</f>
        <v>0</v>
      </c>
      <c r="Y3187" s="39" t="n">
        <f aca="false">MATCH(A3187,DATAS,0)</f>
        <v>1</v>
      </c>
      <c r="Z3187" s="39" t="n">
        <f aca="false">IF(AND(E3187&gt;0,OR(AND(B3187&gt;=1,B3187&lt;=6),B3187=10)),1,0)</f>
        <v>0</v>
      </c>
      <c r="AA3187" s="39" t="n">
        <f aca="false">IF(AND(E3187&gt;0,B3187=10),1,0)</f>
        <v>0</v>
      </c>
      <c r="AB3187" s="0" t="str">
        <f aca="false">IF(AND(C3186=C3187,Y3186=Y3187-1),Z3186,"")</f>
        <v/>
      </c>
      <c r="AC3187" s="0" t="str">
        <f aca="false">IF(AND(C3186=C3187,Y3186=Y3187-1),AA3186,"")</f>
        <v/>
      </c>
      <c r="AD3187" s="0" t="str">
        <f aca="false">IF(Y3187=1,"",IF(AND(Z3187=1,AB3187&lt;&gt;1),1,0))</f>
        <v/>
      </c>
      <c r="AE3187" s="0" t="str">
        <f aca="false">IF(Y3187=1,"",IF(AND(AA3187=1,AC3187&lt;&gt;1),1,0))</f>
        <v/>
      </c>
      <c r="AF3187" s="45" t="str">
        <f aca="false">IF(AND(E3187&gt;0,Y3187&lt;1,NOT(AND(C3188=C3187,Y3188=Y3187+1))),INDEX(DATAS,Y3187+1),"")</f>
        <v/>
      </c>
      <c r="AG3187" s="45" t="str">
        <f aca="false">IF(AND(AA3187=1,Y3187&lt;1),IF(AND(C3188=C3187,Y3188=Y3187+1),IF(AA3188=1,"",INDEX(DATAS,Y3187+1)),INDEX(DATAS,Y3187+1)),"")</f>
        <v/>
      </c>
    </row>
    <row r="3188" customFormat="false" ht="15" hidden="false" customHeight="false" outlineLevel="0" collapsed="false">
      <c r="A3188" s="45" t="n">
        <v>46309</v>
      </c>
      <c r="B3188" s="0" t="n">
        <v>13</v>
      </c>
      <c r="C3188" s="0" t="n">
        <v>7607</v>
      </c>
      <c r="E3188" s="0" t="n">
        <v>0</v>
      </c>
      <c r="F3188" s="39" t="s">
        <v>1475</v>
      </c>
      <c r="I3188" s="39" t="s">
        <v>136</v>
      </c>
      <c r="U3188" s="0" t="n">
        <v>192</v>
      </c>
      <c r="V3188" s="0" t="n">
        <v>0</v>
      </c>
      <c r="W3188" s="39" t="n">
        <f aca="false">IF(I3188="Male",0,1)</f>
        <v>1</v>
      </c>
      <c r="X3188" s="39" t="n">
        <f aca="false">IF(OR(I3188="DNB",I3188="Dry DNB"),1,0)</f>
        <v>0</v>
      </c>
      <c r="Y3188" s="39" t="n">
        <f aca="false">MATCH(A3188,DATAS,0)</f>
        <v>1</v>
      </c>
      <c r="Z3188" s="39" t="n">
        <f aca="false">IF(AND(E3188&gt;0,OR(AND(B3188&gt;=1,B3188&lt;=6),B3188=10)),1,0)</f>
        <v>0</v>
      </c>
      <c r="AA3188" s="39" t="n">
        <f aca="false">IF(AND(E3188&gt;0,B3188=10),1,0)</f>
        <v>0</v>
      </c>
      <c r="AB3188" s="0" t="str">
        <f aca="false">IF(AND(C3187=C3188,Y3187=Y3188-1),Z3187,"")</f>
        <v/>
      </c>
      <c r="AC3188" s="0" t="str">
        <f aca="false">IF(AND(C3187=C3188,Y3187=Y3188-1),AA3187,"")</f>
        <v/>
      </c>
      <c r="AD3188" s="0" t="str">
        <f aca="false">IF(Y3188=1,"",IF(AND(Z3188=1,AB3188&lt;&gt;1),1,0))</f>
        <v/>
      </c>
      <c r="AE3188" s="0" t="str">
        <f aca="false">IF(Y3188=1,"",IF(AND(AA3188=1,AC3188&lt;&gt;1),1,0))</f>
        <v/>
      </c>
      <c r="AF3188" s="45" t="str">
        <f aca="false">IF(AND(E3188&gt;0,Y3188&lt;1,NOT(AND(C3189=C3188,Y3189=Y3188+1))),INDEX(DATAS,Y3188+1),"")</f>
        <v/>
      </c>
      <c r="AG3188" s="45" t="str">
        <f aca="false">IF(AND(AA3188=1,Y3188&lt;1),IF(AND(C3189=C3188,Y3189=Y3188+1),IF(AA3189=1,"",INDEX(DATAS,Y3188+1)),INDEX(DATAS,Y3188+1)),"")</f>
        <v/>
      </c>
    </row>
    <row r="3189" customFormat="false" ht="15" hidden="false" customHeight="false" outlineLevel="0" collapsed="false">
      <c r="A3189" s="45" t="n">
        <v>46309</v>
      </c>
      <c r="B3189" s="0" t="n">
        <v>13</v>
      </c>
      <c r="C3189" s="0" t="n">
        <v>7608</v>
      </c>
      <c r="E3189" s="0" t="n">
        <v>0</v>
      </c>
      <c r="F3189" s="39" t="s">
        <v>1476</v>
      </c>
      <c r="I3189" s="39" t="s">
        <v>136</v>
      </c>
      <c r="U3189" s="0" t="n">
        <v>191</v>
      </c>
      <c r="V3189" s="0" t="n">
        <v>0</v>
      </c>
      <c r="W3189" s="39" t="n">
        <f aca="false">IF(I3189="Male",0,1)</f>
        <v>1</v>
      </c>
      <c r="X3189" s="39" t="n">
        <f aca="false">IF(OR(I3189="DNB",I3189="Dry DNB"),1,0)</f>
        <v>0</v>
      </c>
      <c r="Y3189" s="39" t="n">
        <f aca="false">MATCH(A3189,DATAS,0)</f>
        <v>1</v>
      </c>
      <c r="Z3189" s="39" t="n">
        <f aca="false">IF(AND(E3189&gt;0,OR(AND(B3189&gt;=1,B3189&lt;=6),B3189=10)),1,0)</f>
        <v>0</v>
      </c>
      <c r="AA3189" s="39" t="n">
        <f aca="false">IF(AND(E3189&gt;0,B3189=10),1,0)</f>
        <v>0</v>
      </c>
      <c r="AB3189" s="0" t="str">
        <f aca="false">IF(AND(C3188=C3189,Y3188=Y3189-1),Z3188,"")</f>
        <v/>
      </c>
      <c r="AC3189" s="0" t="str">
        <f aca="false">IF(AND(C3188=C3189,Y3188=Y3189-1),AA3188,"")</f>
        <v/>
      </c>
      <c r="AD3189" s="0" t="str">
        <f aca="false">IF(Y3189=1,"",IF(AND(Z3189=1,AB3189&lt;&gt;1),1,0))</f>
        <v/>
      </c>
      <c r="AE3189" s="0" t="str">
        <f aca="false">IF(Y3189=1,"",IF(AND(AA3189=1,AC3189&lt;&gt;1),1,0))</f>
        <v/>
      </c>
      <c r="AF3189" s="45" t="str">
        <f aca="false">IF(AND(E3189&gt;0,Y3189&lt;1,NOT(AND(C3190=C3189,Y3190=Y3189+1))),INDEX(DATAS,Y3189+1),"")</f>
        <v/>
      </c>
      <c r="AG3189" s="45" t="str">
        <f aca="false">IF(AND(AA3189=1,Y3189&lt;1),IF(AND(C3190=C3189,Y3190=Y3189+1),IF(AA3190=1,"",INDEX(DATAS,Y3189+1)),INDEX(DATAS,Y3189+1)),"")</f>
        <v/>
      </c>
    </row>
    <row r="3190" customFormat="false" ht="15" hidden="false" customHeight="false" outlineLevel="0" collapsed="false">
      <c r="A3190" s="45" t="n">
        <v>46309</v>
      </c>
      <c r="B3190" s="0" t="n">
        <v>13</v>
      </c>
      <c r="C3190" s="0" t="n">
        <v>7609</v>
      </c>
      <c r="E3190" s="0" t="n">
        <v>0</v>
      </c>
      <c r="F3190" s="39" t="s">
        <v>1476</v>
      </c>
      <c r="I3190" s="39" t="s">
        <v>136</v>
      </c>
      <c r="U3190" s="0" t="n">
        <v>191</v>
      </c>
      <c r="V3190" s="0" t="n">
        <v>0</v>
      </c>
      <c r="W3190" s="39" t="n">
        <f aca="false">IF(I3190="Male",0,1)</f>
        <v>1</v>
      </c>
      <c r="X3190" s="39" t="n">
        <f aca="false">IF(OR(I3190="DNB",I3190="Dry DNB"),1,0)</f>
        <v>0</v>
      </c>
      <c r="Y3190" s="39" t="n">
        <f aca="false">MATCH(A3190,DATAS,0)</f>
        <v>1</v>
      </c>
      <c r="Z3190" s="39" t="n">
        <f aca="false">IF(AND(E3190&gt;0,OR(AND(B3190&gt;=1,B3190&lt;=6),B3190=10)),1,0)</f>
        <v>0</v>
      </c>
      <c r="AA3190" s="39" t="n">
        <f aca="false">IF(AND(E3190&gt;0,B3190=10),1,0)</f>
        <v>0</v>
      </c>
      <c r="AB3190" s="0" t="str">
        <f aca="false">IF(AND(C3189=C3190,Y3189=Y3190-1),Z3189,"")</f>
        <v/>
      </c>
      <c r="AC3190" s="0" t="str">
        <f aca="false">IF(AND(C3189=C3190,Y3189=Y3190-1),AA3189,"")</f>
        <v/>
      </c>
      <c r="AD3190" s="0" t="str">
        <f aca="false">IF(Y3190=1,"",IF(AND(Z3190=1,AB3190&lt;&gt;1),1,0))</f>
        <v/>
      </c>
      <c r="AE3190" s="0" t="str">
        <f aca="false">IF(Y3190=1,"",IF(AND(AA3190=1,AC3190&lt;&gt;1),1,0))</f>
        <v/>
      </c>
      <c r="AF3190" s="45" t="str">
        <f aca="false">IF(AND(E3190&gt;0,Y3190&lt;1,NOT(AND(C3191=C3190,Y3191=Y3190+1))),INDEX(DATAS,Y3190+1),"")</f>
        <v/>
      </c>
      <c r="AG3190" s="45" t="str">
        <f aca="false">IF(AND(AA3190=1,Y3190&lt;1),IF(AND(C3191=C3190,Y3191=Y3190+1),IF(AA3191=1,"",INDEX(DATAS,Y3190+1)),INDEX(DATAS,Y3190+1)),"")</f>
        <v/>
      </c>
    </row>
    <row r="3191" customFormat="false" ht="15" hidden="false" customHeight="false" outlineLevel="0" collapsed="false">
      <c r="A3191" s="45" t="n">
        <v>46309</v>
      </c>
      <c r="B3191" s="0" t="n">
        <v>13</v>
      </c>
      <c r="C3191" s="0" t="n">
        <v>7610</v>
      </c>
      <c r="E3191" s="0" t="n">
        <v>0</v>
      </c>
      <c r="F3191" s="39" t="s">
        <v>1476</v>
      </c>
      <c r="I3191" s="39" t="s">
        <v>136</v>
      </c>
      <c r="U3191" s="0" t="n">
        <v>191</v>
      </c>
      <c r="V3191" s="0" t="n">
        <v>0</v>
      </c>
      <c r="W3191" s="39" t="n">
        <f aca="false">IF(I3191="Male",0,1)</f>
        <v>1</v>
      </c>
      <c r="X3191" s="39" t="n">
        <f aca="false">IF(OR(I3191="DNB",I3191="Dry DNB"),1,0)</f>
        <v>0</v>
      </c>
      <c r="Y3191" s="39" t="n">
        <f aca="false">MATCH(A3191,DATAS,0)</f>
        <v>1</v>
      </c>
      <c r="Z3191" s="39" t="n">
        <f aca="false">IF(AND(E3191&gt;0,OR(AND(B3191&gt;=1,B3191&lt;=6),B3191=10)),1,0)</f>
        <v>0</v>
      </c>
      <c r="AA3191" s="39" t="n">
        <f aca="false">IF(AND(E3191&gt;0,B3191=10),1,0)</f>
        <v>0</v>
      </c>
      <c r="AB3191" s="0" t="str">
        <f aca="false">IF(AND(C3190=C3191,Y3190=Y3191-1),Z3190,"")</f>
        <v/>
      </c>
      <c r="AC3191" s="0" t="str">
        <f aca="false">IF(AND(C3190=C3191,Y3190=Y3191-1),AA3190,"")</f>
        <v/>
      </c>
      <c r="AD3191" s="0" t="str">
        <f aca="false">IF(Y3191=1,"",IF(AND(Z3191=1,AB3191&lt;&gt;1),1,0))</f>
        <v/>
      </c>
      <c r="AE3191" s="0" t="str">
        <f aca="false">IF(Y3191=1,"",IF(AND(AA3191=1,AC3191&lt;&gt;1),1,0))</f>
        <v/>
      </c>
      <c r="AF3191" s="45" t="str">
        <f aca="false">IF(AND(E3191&gt;0,Y3191&lt;1,NOT(AND(C3192=C3191,Y3192=Y3191+1))),INDEX(DATAS,Y3191+1),"")</f>
        <v/>
      </c>
      <c r="AG3191" s="45" t="str">
        <f aca="false">IF(AND(AA3191=1,Y3191&lt;1),IF(AND(C3192=C3191,Y3192=Y3191+1),IF(AA3192=1,"",INDEX(DATAS,Y3191+1)),INDEX(DATAS,Y3191+1)),"")</f>
        <v/>
      </c>
    </row>
    <row r="3192" customFormat="false" ht="15" hidden="false" customHeight="false" outlineLevel="0" collapsed="false">
      <c r="A3192" s="45" t="n">
        <v>46309</v>
      </c>
      <c r="B3192" s="0" t="n">
        <v>13</v>
      </c>
      <c r="C3192" s="0" t="n">
        <v>7612</v>
      </c>
      <c r="E3192" s="0" t="n">
        <v>0</v>
      </c>
      <c r="F3192" s="39" t="s">
        <v>1477</v>
      </c>
      <c r="I3192" s="39" t="s">
        <v>136</v>
      </c>
      <c r="U3192" s="0" t="n">
        <v>190</v>
      </c>
      <c r="V3192" s="0" t="n">
        <v>0</v>
      </c>
      <c r="W3192" s="39" t="n">
        <f aca="false">IF(I3192="Male",0,1)</f>
        <v>1</v>
      </c>
      <c r="X3192" s="39" t="n">
        <f aca="false">IF(OR(I3192="DNB",I3192="Dry DNB"),1,0)</f>
        <v>0</v>
      </c>
      <c r="Y3192" s="39" t="n">
        <f aca="false">MATCH(A3192,DATAS,0)</f>
        <v>1</v>
      </c>
      <c r="Z3192" s="39" t="n">
        <f aca="false">IF(AND(E3192&gt;0,OR(AND(B3192&gt;=1,B3192&lt;=6),B3192=10)),1,0)</f>
        <v>0</v>
      </c>
      <c r="AA3192" s="39" t="n">
        <f aca="false">IF(AND(E3192&gt;0,B3192=10),1,0)</f>
        <v>0</v>
      </c>
      <c r="AB3192" s="0" t="str">
        <f aca="false">IF(AND(C3191=C3192,Y3191=Y3192-1),Z3191,"")</f>
        <v/>
      </c>
      <c r="AC3192" s="0" t="str">
        <f aca="false">IF(AND(C3191=C3192,Y3191=Y3192-1),AA3191,"")</f>
        <v/>
      </c>
      <c r="AD3192" s="0" t="str">
        <f aca="false">IF(Y3192=1,"",IF(AND(Z3192=1,AB3192&lt;&gt;1),1,0))</f>
        <v/>
      </c>
      <c r="AE3192" s="0" t="str">
        <f aca="false">IF(Y3192=1,"",IF(AND(AA3192=1,AC3192&lt;&gt;1),1,0))</f>
        <v/>
      </c>
      <c r="AF3192" s="45" t="str">
        <f aca="false">IF(AND(E3192&gt;0,Y3192&lt;1,NOT(AND(C3193=C3192,Y3193=Y3192+1))),INDEX(DATAS,Y3192+1),"")</f>
        <v/>
      </c>
      <c r="AG3192" s="45" t="str">
        <f aca="false">IF(AND(AA3192=1,Y3192&lt;1),IF(AND(C3193=C3192,Y3193=Y3192+1),IF(AA3193=1,"",INDEX(DATAS,Y3192+1)),INDEX(DATAS,Y3192+1)),"")</f>
        <v/>
      </c>
    </row>
    <row r="3193" customFormat="false" ht="15" hidden="false" customHeight="false" outlineLevel="0" collapsed="false">
      <c r="A3193" s="45" t="n">
        <v>46309</v>
      </c>
      <c r="B3193" s="0" t="n">
        <v>13</v>
      </c>
      <c r="C3193" s="0" t="n">
        <v>7613</v>
      </c>
      <c r="E3193" s="0" t="n">
        <v>0</v>
      </c>
      <c r="F3193" s="39" t="s">
        <v>1478</v>
      </c>
      <c r="I3193" s="39" t="s">
        <v>136</v>
      </c>
      <c r="U3193" s="0" t="n">
        <v>189</v>
      </c>
      <c r="V3193" s="0" t="n">
        <v>0</v>
      </c>
      <c r="W3193" s="39" t="n">
        <f aca="false">IF(I3193="Male",0,1)</f>
        <v>1</v>
      </c>
      <c r="X3193" s="39" t="n">
        <f aca="false">IF(OR(I3193="DNB",I3193="Dry DNB"),1,0)</f>
        <v>0</v>
      </c>
      <c r="Y3193" s="39" t="n">
        <f aca="false">MATCH(A3193,DATAS,0)</f>
        <v>1</v>
      </c>
      <c r="Z3193" s="39" t="n">
        <f aca="false">IF(AND(E3193&gt;0,OR(AND(B3193&gt;=1,B3193&lt;=6),B3193=10)),1,0)</f>
        <v>0</v>
      </c>
      <c r="AA3193" s="39" t="n">
        <f aca="false">IF(AND(E3193&gt;0,B3193=10),1,0)</f>
        <v>0</v>
      </c>
      <c r="AB3193" s="0" t="str">
        <f aca="false">IF(AND(C3192=C3193,Y3192=Y3193-1),Z3192,"")</f>
        <v/>
      </c>
      <c r="AC3193" s="0" t="str">
        <f aca="false">IF(AND(C3192=C3193,Y3192=Y3193-1),AA3192,"")</f>
        <v/>
      </c>
      <c r="AD3193" s="0" t="str">
        <f aca="false">IF(Y3193=1,"",IF(AND(Z3193=1,AB3193&lt;&gt;1),1,0))</f>
        <v/>
      </c>
      <c r="AE3193" s="0" t="str">
        <f aca="false">IF(Y3193=1,"",IF(AND(AA3193=1,AC3193&lt;&gt;1),1,0))</f>
        <v/>
      </c>
      <c r="AF3193" s="45" t="str">
        <f aca="false">IF(AND(E3193&gt;0,Y3193&lt;1,NOT(AND(C3194=C3193,Y3194=Y3193+1))),INDEX(DATAS,Y3193+1),"")</f>
        <v/>
      </c>
      <c r="AG3193" s="45" t="str">
        <f aca="false">IF(AND(AA3193=1,Y3193&lt;1),IF(AND(C3194=C3193,Y3194=Y3193+1),IF(AA3194=1,"",INDEX(DATAS,Y3193+1)),INDEX(DATAS,Y3193+1)),"")</f>
        <v/>
      </c>
    </row>
    <row r="3194" customFormat="false" ht="15" hidden="false" customHeight="false" outlineLevel="0" collapsed="false">
      <c r="A3194" s="45" t="n">
        <v>46309</v>
      </c>
      <c r="B3194" s="0" t="n">
        <v>13</v>
      </c>
      <c r="C3194" s="0" t="n">
        <v>7614</v>
      </c>
      <c r="E3194" s="0" t="n">
        <v>0</v>
      </c>
      <c r="F3194" s="39" t="s">
        <v>1478</v>
      </c>
      <c r="I3194" s="39" t="s">
        <v>136</v>
      </c>
      <c r="U3194" s="0" t="n">
        <v>189</v>
      </c>
      <c r="V3194" s="0" t="n">
        <v>0</v>
      </c>
      <c r="W3194" s="39" t="n">
        <f aca="false">IF(I3194="Male",0,1)</f>
        <v>1</v>
      </c>
      <c r="X3194" s="39" t="n">
        <f aca="false">IF(OR(I3194="DNB",I3194="Dry DNB"),1,0)</f>
        <v>0</v>
      </c>
      <c r="Y3194" s="39" t="n">
        <f aca="false">MATCH(A3194,DATAS,0)</f>
        <v>1</v>
      </c>
      <c r="Z3194" s="39" t="n">
        <f aca="false">IF(AND(E3194&gt;0,OR(AND(B3194&gt;=1,B3194&lt;=6),B3194=10)),1,0)</f>
        <v>0</v>
      </c>
      <c r="AA3194" s="39" t="n">
        <f aca="false">IF(AND(E3194&gt;0,B3194=10),1,0)</f>
        <v>0</v>
      </c>
      <c r="AB3194" s="0" t="str">
        <f aca="false">IF(AND(C3193=C3194,Y3193=Y3194-1),Z3193,"")</f>
        <v/>
      </c>
      <c r="AC3194" s="0" t="str">
        <f aca="false">IF(AND(C3193=C3194,Y3193=Y3194-1),AA3193,"")</f>
        <v/>
      </c>
      <c r="AD3194" s="0" t="str">
        <f aca="false">IF(Y3194=1,"",IF(AND(Z3194=1,AB3194&lt;&gt;1),1,0))</f>
        <v/>
      </c>
      <c r="AE3194" s="0" t="str">
        <f aca="false">IF(Y3194=1,"",IF(AND(AA3194=1,AC3194&lt;&gt;1),1,0))</f>
        <v/>
      </c>
      <c r="AF3194" s="45" t="str">
        <f aca="false">IF(AND(E3194&gt;0,Y3194&lt;1,NOT(AND(C3195=C3194,Y3195=Y3194+1))),INDEX(DATAS,Y3194+1),"")</f>
        <v/>
      </c>
      <c r="AG3194" s="45" t="str">
        <f aca="false">IF(AND(AA3194=1,Y3194&lt;1),IF(AND(C3195=C3194,Y3195=Y3194+1),IF(AA3195=1,"",INDEX(DATAS,Y3194+1)),INDEX(DATAS,Y3194+1)),"")</f>
        <v/>
      </c>
    </row>
    <row r="3195" customFormat="false" ht="15" hidden="false" customHeight="false" outlineLevel="0" collapsed="false">
      <c r="A3195" s="45" t="n">
        <v>46309</v>
      </c>
      <c r="B3195" s="0" t="n">
        <v>13</v>
      </c>
      <c r="C3195" s="0" t="n">
        <v>7615</v>
      </c>
      <c r="E3195" s="0" t="n">
        <v>0</v>
      </c>
      <c r="F3195" s="39" t="s">
        <v>1479</v>
      </c>
      <c r="I3195" s="39" t="s">
        <v>136</v>
      </c>
      <c r="U3195" s="0" t="n">
        <v>188</v>
      </c>
      <c r="V3195" s="0" t="n">
        <v>0</v>
      </c>
      <c r="W3195" s="39" t="n">
        <f aca="false">IF(I3195="Male",0,1)</f>
        <v>1</v>
      </c>
      <c r="X3195" s="39" t="n">
        <f aca="false">IF(OR(I3195="DNB",I3195="Dry DNB"),1,0)</f>
        <v>0</v>
      </c>
      <c r="Y3195" s="39" t="n">
        <f aca="false">MATCH(A3195,DATAS,0)</f>
        <v>1</v>
      </c>
      <c r="Z3195" s="39" t="n">
        <f aca="false">IF(AND(E3195&gt;0,OR(AND(B3195&gt;=1,B3195&lt;=6),B3195=10)),1,0)</f>
        <v>0</v>
      </c>
      <c r="AA3195" s="39" t="n">
        <f aca="false">IF(AND(E3195&gt;0,B3195=10),1,0)</f>
        <v>0</v>
      </c>
      <c r="AB3195" s="0" t="str">
        <f aca="false">IF(AND(C3194=C3195,Y3194=Y3195-1),Z3194,"")</f>
        <v/>
      </c>
      <c r="AC3195" s="0" t="str">
        <f aca="false">IF(AND(C3194=C3195,Y3194=Y3195-1),AA3194,"")</f>
        <v/>
      </c>
      <c r="AD3195" s="0" t="str">
        <f aca="false">IF(Y3195=1,"",IF(AND(Z3195=1,AB3195&lt;&gt;1),1,0))</f>
        <v/>
      </c>
      <c r="AE3195" s="0" t="str">
        <f aca="false">IF(Y3195=1,"",IF(AND(AA3195=1,AC3195&lt;&gt;1),1,0))</f>
        <v/>
      </c>
      <c r="AF3195" s="45" t="str">
        <f aca="false">IF(AND(E3195&gt;0,Y3195&lt;1,NOT(AND(C3196=C3195,Y3196=Y3195+1))),INDEX(DATAS,Y3195+1),"")</f>
        <v/>
      </c>
      <c r="AG3195" s="45" t="str">
        <f aca="false">IF(AND(AA3195=1,Y3195&lt;1),IF(AND(C3196=C3195,Y3196=Y3195+1),IF(AA3196=1,"",INDEX(DATAS,Y3195+1)),INDEX(DATAS,Y3195+1)),"")</f>
        <v/>
      </c>
    </row>
    <row r="3196" customFormat="false" ht="15" hidden="false" customHeight="false" outlineLevel="0" collapsed="false">
      <c r="A3196" s="45" t="n">
        <v>46309</v>
      </c>
      <c r="B3196" s="0" t="n">
        <v>13</v>
      </c>
      <c r="C3196" s="0" t="n">
        <v>7616</v>
      </c>
      <c r="E3196" s="0" t="n">
        <v>0</v>
      </c>
      <c r="F3196" s="39" t="s">
        <v>1479</v>
      </c>
      <c r="I3196" s="39" t="s">
        <v>136</v>
      </c>
      <c r="U3196" s="0" t="n">
        <v>188</v>
      </c>
      <c r="V3196" s="0" t="n">
        <v>0</v>
      </c>
      <c r="W3196" s="39" t="n">
        <f aca="false">IF(I3196="Male",0,1)</f>
        <v>1</v>
      </c>
      <c r="X3196" s="39" t="n">
        <f aca="false">IF(OR(I3196="DNB",I3196="Dry DNB"),1,0)</f>
        <v>0</v>
      </c>
      <c r="Y3196" s="39" t="n">
        <f aca="false">MATCH(A3196,DATAS,0)</f>
        <v>1</v>
      </c>
      <c r="Z3196" s="39" t="n">
        <f aca="false">IF(AND(E3196&gt;0,OR(AND(B3196&gt;=1,B3196&lt;=6),B3196=10)),1,0)</f>
        <v>0</v>
      </c>
      <c r="AA3196" s="39" t="n">
        <f aca="false">IF(AND(E3196&gt;0,B3196=10),1,0)</f>
        <v>0</v>
      </c>
      <c r="AB3196" s="0" t="str">
        <f aca="false">IF(AND(C3195=C3196,Y3195=Y3196-1),Z3195,"")</f>
        <v/>
      </c>
      <c r="AC3196" s="0" t="str">
        <f aca="false">IF(AND(C3195=C3196,Y3195=Y3196-1),AA3195,"")</f>
        <v/>
      </c>
      <c r="AD3196" s="0" t="str">
        <f aca="false">IF(Y3196=1,"",IF(AND(Z3196=1,AB3196&lt;&gt;1),1,0))</f>
        <v/>
      </c>
      <c r="AE3196" s="0" t="str">
        <f aca="false">IF(Y3196=1,"",IF(AND(AA3196=1,AC3196&lt;&gt;1),1,0))</f>
        <v/>
      </c>
      <c r="AF3196" s="45" t="str">
        <f aca="false">IF(AND(E3196&gt;0,Y3196&lt;1,NOT(AND(C3197=C3196,Y3197=Y3196+1))),INDEX(DATAS,Y3196+1),"")</f>
        <v/>
      </c>
      <c r="AG3196" s="45" t="str">
        <f aca="false">IF(AND(AA3196=1,Y3196&lt;1),IF(AND(C3197=C3196,Y3197=Y3196+1),IF(AA3197=1,"",INDEX(DATAS,Y3196+1)),INDEX(DATAS,Y3196+1)),"")</f>
        <v/>
      </c>
    </row>
    <row r="3197" customFormat="false" ht="15" hidden="false" customHeight="false" outlineLevel="0" collapsed="false">
      <c r="A3197" s="45" t="n">
        <v>46309</v>
      </c>
      <c r="B3197" s="0" t="n">
        <v>13</v>
      </c>
      <c r="C3197" s="0" t="n">
        <v>7617</v>
      </c>
      <c r="E3197" s="0" t="n">
        <v>0</v>
      </c>
      <c r="F3197" s="39" t="s">
        <v>1479</v>
      </c>
      <c r="I3197" s="39" t="s">
        <v>136</v>
      </c>
      <c r="U3197" s="0" t="n">
        <v>188</v>
      </c>
      <c r="V3197" s="0" t="n">
        <v>0</v>
      </c>
      <c r="W3197" s="39" t="n">
        <f aca="false">IF(I3197="Male",0,1)</f>
        <v>1</v>
      </c>
      <c r="X3197" s="39" t="n">
        <f aca="false">IF(OR(I3197="DNB",I3197="Dry DNB"),1,0)</f>
        <v>0</v>
      </c>
      <c r="Y3197" s="39" t="n">
        <f aca="false">MATCH(A3197,DATAS,0)</f>
        <v>1</v>
      </c>
      <c r="Z3197" s="39" t="n">
        <f aca="false">IF(AND(E3197&gt;0,OR(AND(B3197&gt;=1,B3197&lt;=6),B3197=10)),1,0)</f>
        <v>0</v>
      </c>
      <c r="AA3197" s="39" t="n">
        <f aca="false">IF(AND(E3197&gt;0,B3197=10),1,0)</f>
        <v>0</v>
      </c>
      <c r="AB3197" s="0" t="str">
        <f aca="false">IF(AND(C3196=C3197,Y3196=Y3197-1),Z3196,"")</f>
        <v/>
      </c>
      <c r="AC3197" s="0" t="str">
        <f aca="false">IF(AND(C3196=C3197,Y3196=Y3197-1),AA3196,"")</f>
        <v/>
      </c>
      <c r="AD3197" s="0" t="str">
        <f aca="false">IF(Y3197=1,"",IF(AND(Z3197=1,AB3197&lt;&gt;1),1,0))</f>
        <v/>
      </c>
      <c r="AE3197" s="0" t="str">
        <f aca="false">IF(Y3197=1,"",IF(AND(AA3197=1,AC3197&lt;&gt;1),1,0))</f>
        <v/>
      </c>
      <c r="AF3197" s="45" t="str">
        <f aca="false">IF(AND(E3197&gt;0,Y3197&lt;1,NOT(AND(C3198=C3197,Y3198=Y3197+1))),INDEX(DATAS,Y3197+1),"")</f>
        <v/>
      </c>
      <c r="AG3197" s="45" t="str">
        <f aca="false">IF(AND(AA3197=1,Y3197&lt;1),IF(AND(C3198=C3197,Y3198=Y3197+1),IF(AA3198=1,"",INDEX(DATAS,Y3197+1)),INDEX(DATAS,Y3197+1)),"")</f>
        <v/>
      </c>
    </row>
    <row r="3198" customFormat="false" ht="15" hidden="false" customHeight="false" outlineLevel="0" collapsed="false">
      <c r="A3198" s="45" t="n">
        <v>46309</v>
      </c>
      <c r="B3198" s="0" t="n">
        <v>13</v>
      </c>
      <c r="C3198" s="0" t="n">
        <v>7618</v>
      </c>
      <c r="E3198" s="0" t="n">
        <v>0</v>
      </c>
      <c r="F3198" s="39" t="s">
        <v>1479</v>
      </c>
      <c r="I3198" s="39" t="s">
        <v>136</v>
      </c>
      <c r="U3198" s="0" t="n">
        <v>188</v>
      </c>
      <c r="V3198" s="0" t="n">
        <v>0</v>
      </c>
      <c r="W3198" s="39" t="n">
        <f aca="false">IF(I3198="Male",0,1)</f>
        <v>1</v>
      </c>
      <c r="X3198" s="39" t="n">
        <f aca="false">IF(OR(I3198="DNB",I3198="Dry DNB"),1,0)</f>
        <v>0</v>
      </c>
      <c r="Y3198" s="39" t="n">
        <f aca="false">MATCH(A3198,DATAS,0)</f>
        <v>1</v>
      </c>
      <c r="Z3198" s="39" t="n">
        <f aca="false">IF(AND(E3198&gt;0,OR(AND(B3198&gt;=1,B3198&lt;=6),B3198=10)),1,0)</f>
        <v>0</v>
      </c>
      <c r="AA3198" s="39" t="n">
        <f aca="false">IF(AND(E3198&gt;0,B3198=10),1,0)</f>
        <v>0</v>
      </c>
      <c r="AB3198" s="0" t="str">
        <f aca="false">IF(AND(C3197=C3198,Y3197=Y3198-1),Z3197,"")</f>
        <v/>
      </c>
      <c r="AC3198" s="0" t="str">
        <f aca="false">IF(AND(C3197=C3198,Y3197=Y3198-1),AA3197,"")</f>
        <v/>
      </c>
      <c r="AD3198" s="0" t="str">
        <f aca="false">IF(Y3198=1,"",IF(AND(Z3198=1,AB3198&lt;&gt;1),1,0))</f>
        <v/>
      </c>
      <c r="AE3198" s="0" t="str">
        <f aca="false">IF(Y3198=1,"",IF(AND(AA3198=1,AC3198&lt;&gt;1),1,0))</f>
        <v/>
      </c>
      <c r="AF3198" s="45" t="str">
        <f aca="false">IF(AND(E3198&gt;0,Y3198&lt;1,NOT(AND(C3199=C3198,Y3199=Y3198+1))),INDEX(DATAS,Y3198+1),"")</f>
        <v/>
      </c>
      <c r="AG3198" s="45" t="str">
        <f aca="false">IF(AND(AA3198=1,Y3198&lt;1),IF(AND(C3199=C3198,Y3199=Y3198+1),IF(AA3199=1,"",INDEX(DATAS,Y3198+1)),INDEX(DATAS,Y3198+1)),"")</f>
        <v/>
      </c>
    </row>
    <row r="3199" customFormat="false" ht="15" hidden="false" customHeight="false" outlineLevel="0" collapsed="false">
      <c r="A3199" s="45" t="n">
        <v>46309</v>
      </c>
      <c r="B3199" s="0" t="n">
        <v>13</v>
      </c>
      <c r="C3199" s="0" t="n">
        <v>7620</v>
      </c>
      <c r="E3199" s="0" t="n">
        <v>0</v>
      </c>
      <c r="F3199" s="39" t="s">
        <v>1480</v>
      </c>
      <c r="I3199" s="39" t="s">
        <v>136</v>
      </c>
      <c r="U3199" s="0" t="n">
        <v>187</v>
      </c>
      <c r="V3199" s="0" t="n">
        <v>0</v>
      </c>
      <c r="W3199" s="39" t="n">
        <f aca="false">IF(I3199="Male",0,1)</f>
        <v>1</v>
      </c>
      <c r="X3199" s="39" t="n">
        <f aca="false">IF(OR(I3199="DNB",I3199="Dry DNB"),1,0)</f>
        <v>0</v>
      </c>
      <c r="Y3199" s="39" t="n">
        <f aca="false">MATCH(A3199,DATAS,0)</f>
        <v>1</v>
      </c>
      <c r="Z3199" s="39" t="n">
        <f aca="false">IF(AND(E3199&gt;0,OR(AND(B3199&gt;=1,B3199&lt;=6),B3199=10)),1,0)</f>
        <v>0</v>
      </c>
      <c r="AA3199" s="39" t="n">
        <f aca="false">IF(AND(E3199&gt;0,B3199=10),1,0)</f>
        <v>0</v>
      </c>
      <c r="AB3199" s="0" t="str">
        <f aca="false">IF(AND(C3198=C3199,Y3198=Y3199-1),Z3198,"")</f>
        <v/>
      </c>
      <c r="AC3199" s="0" t="str">
        <f aca="false">IF(AND(C3198=C3199,Y3198=Y3199-1),AA3198,"")</f>
        <v/>
      </c>
      <c r="AD3199" s="0" t="str">
        <f aca="false">IF(Y3199=1,"",IF(AND(Z3199=1,AB3199&lt;&gt;1),1,0))</f>
        <v/>
      </c>
      <c r="AE3199" s="0" t="str">
        <f aca="false">IF(Y3199=1,"",IF(AND(AA3199=1,AC3199&lt;&gt;1),1,0))</f>
        <v/>
      </c>
      <c r="AF3199" s="45" t="str">
        <f aca="false">IF(AND(E3199&gt;0,Y3199&lt;1,NOT(AND(C3200=C3199,Y3200=Y3199+1))),INDEX(DATAS,Y3199+1),"")</f>
        <v/>
      </c>
      <c r="AG3199" s="45" t="str">
        <f aca="false">IF(AND(AA3199=1,Y3199&lt;1),IF(AND(C3200=C3199,Y3200=Y3199+1),IF(AA3200=1,"",INDEX(DATAS,Y3199+1)),INDEX(DATAS,Y3199+1)),"")</f>
        <v/>
      </c>
    </row>
    <row r="3200" customFormat="false" ht="15" hidden="false" customHeight="false" outlineLevel="0" collapsed="false">
      <c r="A3200" s="45" t="n">
        <v>46309</v>
      </c>
      <c r="B3200" s="0" t="n">
        <v>13</v>
      </c>
      <c r="C3200" s="0" t="n">
        <v>7621</v>
      </c>
      <c r="E3200" s="0" t="n">
        <v>0</v>
      </c>
      <c r="F3200" s="39" t="s">
        <v>1480</v>
      </c>
      <c r="I3200" s="39" t="s">
        <v>136</v>
      </c>
      <c r="U3200" s="0" t="n">
        <v>187</v>
      </c>
      <c r="V3200" s="0" t="n">
        <v>0</v>
      </c>
      <c r="W3200" s="39" t="n">
        <f aca="false">IF(I3200="Male",0,1)</f>
        <v>1</v>
      </c>
      <c r="X3200" s="39" t="n">
        <f aca="false">IF(OR(I3200="DNB",I3200="Dry DNB"),1,0)</f>
        <v>0</v>
      </c>
      <c r="Y3200" s="39" t="n">
        <f aca="false">MATCH(A3200,DATAS,0)</f>
        <v>1</v>
      </c>
      <c r="Z3200" s="39" t="n">
        <f aca="false">IF(AND(E3200&gt;0,OR(AND(B3200&gt;=1,B3200&lt;=6),B3200=10)),1,0)</f>
        <v>0</v>
      </c>
      <c r="AA3200" s="39" t="n">
        <f aca="false">IF(AND(E3200&gt;0,B3200=10),1,0)</f>
        <v>0</v>
      </c>
      <c r="AB3200" s="0" t="str">
        <f aca="false">IF(AND(C3199=C3200,Y3199=Y3200-1),Z3199,"")</f>
        <v/>
      </c>
      <c r="AC3200" s="0" t="str">
        <f aca="false">IF(AND(C3199=C3200,Y3199=Y3200-1),AA3199,"")</f>
        <v/>
      </c>
      <c r="AD3200" s="0" t="str">
        <f aca="false">IF(Y3200=1,"",IF(AND(Z3200=1,AB3200&lt;&gt;1),1,0))</f>
        <v/>
      </c>
      <c r="AE3200" s="0" t="str">
        <f aca="false">IF(Y3200=1,"",IF(AND(AA3200=1,AC3200&lt;&gt;1),1,0))</f>
        <v/>
      </c>
      <c r="AF3200" s="45" t="str">
        <f aca="false">IF(AND(E3200&gt;0,Y3200&lt;1,NOT(AND(C3201=C3200,Y3201=Y3200+1))),INDEX(DATAS,Y3200+1),"")</f>
        <v/>
      </c>
      <c r="AG3200" s="45" t="str">
        <f aca="false">IF(AND(AA3200=1,Y3200&lt;1),IF(AND(C3201=C3200,Y3201=Y3200+1),IF(AA3201=1,"",INDEX(DATAS,Y3200+1)),INDEX(DATAS,Y3200+1)),"")</f>
        <v/>
      </c>
    </row>
    <row r="3201" customFormat="false" ht="15" hidden="false" customHeight="false" outlineLevel="0" collapsed="false">
      <c r="A3201" s="45" t="n">
        <v>46309</v>
      </c>
      <c r="B3201" s="0" t="n">
        <v>13</v>
      </c>
      <c r="C3201" s="0" t="n">
        <v>7622</v>
      </c>
      <c r="E3201" s="0" t="n">
        <v>0</v>
      </c>
      <c r="F3201" s="39" t="s">
        <v>1480</v>
      </c>
      <c r="I3201" s="39" t="s">
        <v>136</v>
      </c>
      <c r="U3201" s="0" t="n">
        <v>187</v>
      </c>
      <c r="V3201" s="0" t="n">
        <v>0</v>
      </c>
      <c r="W3201" s="39" t="n">
        <f aca="false">IF(I3201="Male",0,1)</f>
        <v>1</v>
      </c>
      <c r="X3201" s="39" t="n">
        <f aca="false">IF(OR(I3201="DNB",I3201="Dry DNB"),1,0)</f>
        <v>0</v>
      </c>
      <c r="Y3201" s="39" t="n">
        <f aca="false">MATCH(A3201,DATAS,0)</f>
        <v>1</v>
      </c>
      <c r="Z3201" s="39" t="n">
        <f aca="false">IF(AND(E3201&gt;0,OR(AND(B3201&gt;=1,B3201&lt;=6),B3201=10)),1,0)</f>
        <v>0</v>
      </c>
      <c r="AA3201" s="39" t="n">
        <f aca="false">IF(AND(E3201&gt;0,B3201=10),1,0)</f>
        <v>0</v>
      </c>
      <c r="AB3201" s="0" t="str">
        <f aca="false">IF(AND(C3200=C3201,Y3200=Y3201-1),Z3200,"")</f>
        <v/>
      </c>
      <c r="AC3201" s="0" t="str">
        <f aca="false">IF(AND(C3200=C3201,Y3200=Y3201-1),AA3200,"")</f>
        <v/>
      </c>
      <c r="AD3201" s="0" t="str">
        <f aca="false">IF(Y3201=1,"",IF(AND(Z3201=1,AB3201&lt;&gt;1),1,0))</f>
        <v/>
      </c>
      <c r="AE3201" s="0" t="str">
        <f aca="false">IF(Y3201=1,"",IF(AND(AA3201=1,AC3201&lt;&gt;1),1,0))</f>
        <v/>
      </c>
      <c r="AF3201" s="45" t="str">
        <f aca="false">IF(AND(E3201&gt;0,Y3201&lt;1,NOT(AND(C3202=C3201,Y3202=Y3201+1))),INDEX(DATAS,Y3201+1),"")</f>
        <v/>
      </c>
      <c r="AG3201" s="45" t="str">
        <f aca="false">IF(AND(AA3201=1,Y3201&lt;1),IF(AND(C3202=C3201,Y3202=Y3201+1),IF(AA3202=1,"",INDEX(DATAS,Y3201+1)),INDEX(DATAS,Y3201+1)),"")</f>
        <v/>
      </c>
    </row>
    <row r="3202" customFormat="false" ht="15" hidden="false" customHeight="false" outlineLevel="0" collapsed="false">
      <c r="A3202" s="45" t="n">
        <v>46309</v>
      </c>
      <c r="B3202" s="0" t="n">
        <v>13</v>
      </c>
      <c r="C3202" s="0" t="n">
        <v>7623</v>
      </c>
      <c r="E3202" s="0" t="n">
        <v>0</v>
      </c>
      <c r="F3202" s="39" t="s">
        <v>1480</v>
      </c>
      <c r="I3202" s="39" t="s">
        <v>136</v>
      </c>
      <c r="U3202" s="0" t="n">
        <v>187</v>
      </c>
      <c r="V3202" s="0" t="n">
        <v>0</v>
      </c>
      <c r="W3202" s="39" t="n">
        <f aca="false">IF(I3202="Male",0,1)</f>
        <v>1</v>
      </c>
      <c r="X3202" s="39" t="n">
        <f aca="false">IF(OR(I3202="DNB",I3202="Dry DNB"),1,0)</f>
        <v>0</v>
      </c>
      <c r="Y3202" s="39" t="n">
        <f aca="false">MATCH(A3202,DATAS,0)</f>
        <v>1</v>
      </c>
      <c r="Z3202" s="39" t="n">
        <f aca="false">IF(AND(E3202&gt;0,OR(AND(B3202&gt;=1,B3202&lt;=6),B3202=10)),1,0)</f>
        <v>0</v>
      </c>
      <c r="AA3202" s="39" t="n">
        <f aca="false">IF(AND(E3202&gt;0,B3202=10),1,0)</f>
        <v>0</v>
      </c>
      <c r="AB3202" s="0" t="str">
        <f aca="false">IF(AND(C3201=C3202,Y3201=Y3202-1),Z3201,"")</f>
        <v/>
      </c>
      <c r="AC3202" s="0" t="str">
        <f aca="false">IF(AND(C3201=C3202,Y3201=Y3202-1),AA3201,"")</f>
        <v/>
      </c>
      <c r="AD3202" s="0" t="str">
        <f aca="false">IF(Y3202=1,"",IF(AND(Z3202=1,AB3202&lt;&gt;1),1,0))</f>
        <v/>
      </c>
      <c r="AE3202" s="0" t="str">
        <f aca="false">IF(Y3202=1,"",IF(AND(AA3202=1,AC3202&lt;&gt;1),1,0))</f>
        <v/>
      </c>
      <c r="AF3202" s="45" t="str">
        <f aca="false">IF(AND(E3202&gt;0,Y3202&lt;1,NOT(AND(C3203=C3202,Y3203=Y3202+1))),INDEX(DATAS,Y3202+1),"")</f>
        <v/>
      </c>
      <c r="AG3202" s="45" t="str">
        <f aca="false">IF(AND(AA3202=1,Y3202&lt;1),IF(AND(C3203=C3202,Y3203=Y3202+1),IF(AA3203=1,"",INDEX(DATAS,Y3202+1)),INDEX(DATAS,Y3202+1)),"")</f>
        <v/>
      </c>
    </row>
    <row r="3203" customFormat="false" ht="15" hidden="false" customHeight="false" outlineLevel="0" collapsed="false">
      <c r="A3203" s="45" t="n">
        <v>46309</v>
      </c>
      <c r="B3203" s="0" t="n">
        <v>13</v>
      </c>
      <c r="C3203" s="0" t="n">
        <v>7624</v>
      </c>
      <c r="E3203" s="0" t="n">
        <v>0</v>
      </c>
      <c r="F3203" s="39" t="s">
        <v>1480</v>
      </c>
      <c r="I3203" s="39" t="s">
        <v>136</v>
      </c>
      <c r="U3203" s="0" t="n">
        <v>187</v>
      </c>
      <c r="V3203" s="0" t="n">
        <v>0</v>
      </c>
      <c r="W3203" s="39" t="n">
        <f aca="false">IF(I3203="Male",0,1)</f>
        <v>1</v>
      </c>
      <c r="X3203" s="39" t="n">
        <f aca="false">IF(OR(I3203="DNB",I3203="Dry DNB"),1,0)</f>
        <v>0</v>
      </c>
      <c r="Y3203" s="39" t="n">
        <f aca="false">MATCH(A3203,DATAS,0)</f>
        <v>1</v>
      </c>
      <c r="Z3203" s="39" t="n">
        <f aca="false">IF(AND(E3203&gt;0,OR(AND(B3203&gt;=1,B3203&lt;=6),B3203=10)),1,0)</f>
        <v>0</v>
      </c>
      <c r="AA3203" s="39" t="n">
        <f aca="false">IF(AND(E3203&gt;0,B3203=10),1,0)</f>
        <v>0</v>
      </c>
      <c r="AB3203" s="0" t="str">
        <f aca="false">IF(AND(C3202=C3203,Y3202=Y3203-1),Z3202,"")</f>
        <v/>
      </c>
      <c r="AC3203" s="0" t="str">
        <f aca="false">IF(AND(C3202=C3203,Y3202=Y3203-1),AA3202,"")</f>
        <v/>
      </c>
      <c r="AD3203" s="0" t="str">
        <f aca="false">IF(Y3203=1,"",IF(AND(Z3203=1,AB3203&lt;&gt;1),1,0))</f>
        <v/>
      </c>
      <c r="AE3203" s="0" t="str">
        <f aca="false">IF(Y3203=1,"",IF(AND(AA3203=1,AC3203&lt;&gt;1),1,0))</f>
        <v/>
      </c>
      <c r="AF3203" s="45" t="str">
        <f aca="false">IF(AND(E3203&gt;0,Y3203&lt;1,NOT(AND(C3204=C3203,Y3204=Y3203+1))),INDEX(DATAS,Y3203+1),"")</f>
        <v/>
      </c>
      <c r="AG3203" s="45" t="str">
        <f aca="false">IF(AND(AA3203=1,Y3203&lt;1),IF(AND(C3204=C3203,Y3204=Y3203+1),IF(AA3204=1,"",INDEX(DATAS,Y3203+1)),INDEX(DATAS,Y3203+1)),"")</f>
        <v/>
      </c>
    </row>
    <row r="3204" customFormat="false" ht="15" hidden="false" customHeight="false" outlineLevel="0" collapsed="false">
      <c r="A3204" s="45" t="n">
        <v>46309</v>
      </c>
      <c r="B3204" s="0" t="n">
        <v>13</v>
      </c>
      <c r="C3204" s="0" t="n">
        <v>7625</v>
      </c>
      <c r="E3204" s="0" t="n">
        <v>0</v>
      </c>
      <c r="F3204" s="39" t="s">
        <v>1481</v>
      </c>
      <c r="I3204" s="39" t="s">
        <v>136</v>
      </c>
      <c r="U3204" s="0" t="n">
        <v>186</v>
      </c>
      <c r="V3204" s="0" t="n">
        <v>0</v>
      </c>
      <c r="W3204" s="39" t="n">
        <f aca="false">IF(I3204="Male",0,1)</f>
        <v>1</v>
      </c>
      <c r="X3204" s="39" t="n">
        <f aca="false">IF(OR(I3204="DNB",I3204="Dry DNB"),1,0)</f>
        <v>0</v>
      </c>
      <c r="Y3204" s="39" t="n">
        <f aca="false">MATCH(A3204,DATAS,0)</f>
        <v>1</v>
      </c>
      <c r="Z3204" s="39" t="n">
        <f aca="false">IF(AND(E3204&gt;0,OR(AND(B3204&gt;=1,B3204&lt;=6),B3204=10)),1,0)</f>
        <v>0</v>
      </c>
      <c r="AA3204" s="39" t="n">
        <f aca="false">IF(AND(E3204&gt;0,B3204=10),1,0)</f>
        <v>0</v>
      </c>
      <c r="AB3204" s="0" t="str">
        <f aca="false">IF(AND(C3203=C3204,Y3203=Y3204-1),Z3203,"")</f>
        <v/>
      </c>
      <c r="AC3204" s="0" t="str">
        <f aca="false">IF(AND(C3203=C3204,Y3203=Y3204-1),AA3203,"")</f>
        <v/>
      </c>
      <c r="AD3204" s="0" t="str">
        <f aca="false">IF(Y3204=1,"",IF(AND(Z3204=1,AB3204&lt;&gt;1),1,0))</f>
        <v/>
      </c>
      <c r="AE3204" s="0" t="str">
        <f aca="false">IF(Y3204=1,"",IF(AND(AA3204=1,AC3204&lt;&gt;1),1,0))</f>
        <v/>
      </c>
      <c r="AF3204" s="45" t="str">
        <f aca="false">IF(AND(E3204&gt;0,Y3204&lt;1,NOT(AND(C3205=C3204,Y3205=Y3204+1))),INDEX(DATAS,Y3204+1),"")</f>
        <v/>
      </c>
      <c r="AG3204" s="45" t="str">
        <f aca="false">IF(AND(AA3204=1,Y3204&lt;1),IF(AND(C3205=C3204,Y3205=Y3204+1),IF(AA3205=1,"",INDEX(DATAS,Y3204+1)),INDEX(DATAS,Y3204+1)),"")</f>
        <v/>
      </c>
    </row>
    <row r="3205" customFormat="false" ht="15" hidden="false" customHeight="false" outlineLevel="0" collapsed="false">
      <c r="A3205" s="45" t="n">
        <v>46309</v>
      </c>
      <c r="B3205" s="0" t="n">
        <v>13</v>
      </c>
      <c r="C3205" s="0" t="n">
        <v>7626</v>
      </c>
      <c r="E3205" s="0" t="n">
        <v>0</v>
      </c>
      <c r="F3205" s="39" t="s">
        <v>1481</v>
      </c>
      <c r="I3205" s="39" t="s">
        <v>136</v>
      </c>
      <c r="U3205" s="0" t="n">
        <v>186</v>
      </c>
      <c r="V3205" s="0" t="n">
        <v>0</v>
      </c>
      <c r="W3205" s="39" t="n">
        <f aca="false">IF(I3205="Male",0,1)</f>
        <v>1</v>
      </c>
      <c r="X3205" s="39" t="n">
        <f aca="false">IF(OR(I3205="DNB",I3205="Dry DNB"),1,0)</f>
        <v>0</v>
      </c>
      <c r="Y3205" s="39" t="n">
        <f aca="false">MATCH(A3205,DATAS,0)</f>
        <v>1</v>
      </c>
      <c r="Z3205" s="39" t="n">
        <f aca="false">IF(AND(E3205&gt;0,OR(AND(B3205&gt;=1,B3205&lt;=6),B3205=10)),1,0)</f>
        <v>0</v>
      </c>
      <c r="AA3205" s="39" t="n">
        <f aca="false">IF(AND(E3205&gt;0,B3205=10),1,0)</f>
        <v>0</v>
      </c>
      <c r="AB3205" s="0" t="str">
        <f aca="false">IF(AND(C3204=C3205,Y3204=Y3205-1),Z3204,"")</f>
        <v/>
      </c>
      <c r="AC3205" s="0" t="str">
        <f aca="false">IF(AND(C3204=C3205,Y3204=Y3205-1),AA3204,"")</f>
        <v/>
      </c>
      <c r="AD3205" s="0" t="str">
        <f aca="false">IF(Y3205=1,"",IF(AND(Z3205=1,AB3205&lt;&gt;1),1,0))</f>
        <v/>
      </c>
      <c r="AE3205" s="0" t="str">
        <f aca="false">IF(Y3205=1,"",IF(AND(AA3205=1,AC3205&lt;&gt;1),1,0))</f>
        <v/>
      </c>
      <c r="AF3205" s="45" t="str">
        <f aca="false">IF(AND(E3205&gt;0,Y3205&lt;1,NOT(AND(C3206=C3205,Y3206=Y3205+1))),INDEX(DATAS,Y3205+1),"")</f>
        <v/>
      </c>
      <c r="AG3205" s="45" t="str">
        <f aca="false">IF(AND(AA3205=1,Y3205&lt;1),IF(AND(C3206=C3205,Y3206=Y3205+1),IF(AA3206=1,"",INDEX(DATAS,Y3205+1)),INDEX(DATAS,Y3205+1)),"")</f>
        <v/>
      </c>
    </row>
    <row r="3206" customFormat="false" ht="15" hidden="false" customHeight="false" outlineLevel="0" collapsed="false">
      <c r="A3206" s="45" t="n">
        <v>46309</v>
      </c>
      <c r="B3206" s="0" t="n">
        <v>13</v>
      </c>
      <c r="C3206" s="0" t="n">
        <v>7628</v>
      </c>
      <c r="E3206" s="0" t="n">
        <v>0</v>
      </c>
      <c r="F3206" s="39" t="s">
        <v>1481</v>
      </c>
      <c r="I3206" s="39" t="s">
        <v>136</v>
      </c>
      <c r="U3206" s="0" t="n">
        <v>186</v>
      </c>
      <c r="V3206" s="0" t="n">
        <v>0</v>
      </c>
      <c r="W3206" s="39" t="n">
        <f aca="false">IF(I3206="Male",0,1)</f>
        <v>1</v>
      </c>
      <c r="X3206" s="39" t="n">
        <f aca="false">IF(OR(I3206="DNB",I3206="Dry DNB"),1,0)</f>
        <v>0</v>
      </c>
      <c r="Y3206" s="39" t="n">
        <f aca="false">MATCH(A3206,DATAS,0)</f>
        <v>1</v>
      </c>
      <c r="Z3206" s="39" t="n">
        <f aca="false">IF(AND(E3206&gt;0,OR(AND(B3206&gt;=1,B3206&lt;=6),B3206=10)),1,0)</f>
        <v>0</v>
      </c>
      <c r="AA3206" s="39" t="n">
        <f aca="false">IF(AND(E3206&gt;0,B3206=10),1,0)</f>
        <v>0</v>
      </c>
      <c r="AB3206" s="0" t="str">
        <f aca="false">IF(AND(C3205=C3206,Y3205=Y3206-1),Z3205,"")</f>
        <v/>
      </c>
      <c r="AC3206" s="0" t="str">
        <f aca="false">IF(AND(C3205=C3206,Y3205=Y3206-1),AA3205,"")</f>
        <v/>
      </c>
      <c r="AD3206" s="0" t="str">
        <f aca="false">IF(Y3206=1,"",IF(AND(Z3206=1,AB3206&lt;&gt;1),1,0))</f>
        <v/>
      </c>
      <c r="AE3206" s="0" t="str">
        <f aca="false">IF(Y3206=1,"",IF(AND(AA3206=1,AC3206&lt;&gt;1),1,0))</f>
        <v/>
      </c>
      <c r="AF3206" s="45" t="str">
        <f aca="false">IF(AND(E3206&gt;0,Y3206&lt;1,NOT(AND(C3207=C3206,Y3207=Y3206+1))),INDEX(DATAS,Y3206+1),"")</f>
        <v/>
      </c>
      <c r="AG3206" s="45" t="str">
        <f aca="false">IF(AND(AA3206=1,Y3206&lt;1),IF(AND(C3207=C3206,Y3207=Y3206+1),IF(AA3207=1,"",INDEX(DATAS,Y3206+1)),INDEX(DATAS,Y3206+1)),"")</f>
        <v/>
      </c>
    </row>
    <row r="3207" customFormat="false" ht="15" hidden="false" customHeight="false" outlineLevel="0" collapsed="false">
      <c r="A3207" s="45" t="n">
        <v>46309</v>
      </c>
      <c r="B3207" s="0" t="n">
        <v>13</v>
      </c>
      <c r="C3207" s="0" t="n">
        <v>7629</v>
      </c>
      <c r="E3207" s="0" t="n">
        <v>0</v>
      </c>
      <c r="F3207" s="39" t="s">
        <v>1482</v>
      </c>
      <c r="I3207" s="39" t="s">
        <v>136</v>
      </c>
      <c r="U3207" s="0" t="n">
        <v>185</v>
      </c>
      <c r="V3207" s="0" t="n">
        <v>0</v>
      </c>
      <c r="W3207" s="39" t="n">
        <f aca="false">IF(I3207="Male",0,1)</f>
        <v>1</v>
      </c>
      <c r="X3207" s="39" t="n">
        <f aca="false">IF(OR(I3207="DNB",I3207="Dry DNB"),1,0)</f>
        <v>0</v>
      </c>
      <c r="Y3207" s="39" t="n">
        <f aca="false">MATCH(A3207,DATAS,0)</f>
        <v>1</v>
      </c>
      <c r="Z3207" s="39" t="n">
        <f aca="false">IF(AND(E3207&gt;0,OR(AND(B3207&gt;=1,B3207&lt;=6),B3207=10)),1,0)</f>
        <v>0</v>
      </c>
      <c r="AA3207" s="39" t="n">
        <f aca="false">IF(AND(E3207&gt;0,B3207=10),1,0)</f>
        <v>0</v>
      </c>
      <c r="AB3207" s="0" t="str">
        <f aca="false">IF(AND(C3206=C3207,Y3206=Y3207-1),Z3206,"")</f>
        <v/>
      </c>
      <c r="AC3207" s="0" t="str">
        <f aca="false">IF(AND(C3206=C3207,Y3206=Y3207-1),AA3206,"")</f>
        <v/>
      </c>
      <c r="AD3207" s="0" t="str">
        <f aca="false">IF(Y3207=1,"",IF(AND(Z3207=1,AB3207&lt;&gt;1),1,0))</f>
        <v/>
      </c>
      <c r="AE3207" s="0" t="str">
        <f aca="false">IF(Y3207=1,"",IF(AND(AA3207=1,AC3207&lt;&gt;1),1,0))</f>
        <v/>
      </c>
      <c r="AF3207" s="45" t="str">
        <f aca="false">IF(AND(E3207&gt;0,Y3207&lt;1,NOT(AND(C3208=C3207,Y3208=Y3207+1))),INDEX(DATAS,Y3207+1),"")</f>
        <v/>
      </c>
      <c r="AG3207" s="45" t="str">
        <f aca="false">IF(AND(AA3207=1,Y3207&lt;1),IF(AND(C3208=C3207,Y3208=Y3207+1),IF(AA3208=1,"",INDEX(DATAS,Y3207+1)),INDEX(DATAS,Y3207+1)),"")</f>
        <v/>
      </c>
    </row>
    <row r="3208" customFormat="false" ht="15" hidden="false" customHeight="false" outlineLevel="0" collapsed="false">
      <c r="A3208" s="45" t="n">
        <v>46309</v>
      </c>
      <c r="B3208" s="0" t="n">
        <v>13</v>
      </c>
      <c r="C3208" s="0" t="n">
        <v>7630</v>
      </c>
      <c r="E3208" s="0" t="n">
        <v>0</v>
      </c>
      <c r="F3208" s="39" t="s">
        <v>1482</v>
      </c>
      <c r="I3208" s="39" t="s">
        <v>136</v>
      </c>
      <c r="U3208" s="0" t="n">
        <v>185</v>
      </c>
      <c r="V3208" s="0" t="n">
        <v>0</v>
      </c>
      <c r="W3208" s="39" t="n">
        <f aca="false">IF(I3208="Male",0,1)</f>
        <v>1</v>
      </c>
      <c r="X3208" s="39" t="n">
        <f aca="false">IF(OR(I3208="DNB",I3208="Dry DNB"),1,0)</f>
        <v>0</v>
      </c>
      <c r="Y3208" s="39" t="n">
        <f aca="false">MATCH(A3208,DATAS,0)</f>
        <v>1</v>
      </c>
      <c r="Z3208" s="39" t="n">
        <f aca="false">IF(AND(E3208&gt;0,OR(AND(B3208&gt;=1,B3208&lt;=6),B3208=10)),1,0)</f>
        <v>0</v>
      </c>
      <c r="AA3208" s="39" t="n">
        <f aca="false">IF(AND(E3208&gt;0,B3208=10),1,0)</f>
        <v>0</v>
      </c>
      <c r="AB3208" s="0" t="str">
        <f aca="false">IF(AND(C3207=C3208,Y3207=Y3208-1),Z3207,"")</f>
        <v/>
      </c>
      <c r="AC3208" s="0" t="str">
        <f aca="false">IF(AND(C3207=C3208,Y3207=Y3208-1),AA3207,"")</f>
        <v/>
      </c>
      <c r="AD3208" s="0" t="str">
        <f aca="false">IF(Y3208=1,"",IF(AND(Z3208=1,AB3208&lt;&gt;1),1,0))</f>
        <v/>
      </c>
      <c r="AE3208" s="0" t="str">
        <f aca="false">IF(Y3208=1,"",IF(AND(AA3208=1,AC3208&lt;&gt;1),1,0))</f>
        <v/>
      </c>
      <c r="AF3208" s="45" t="str">
        <f aca="false">IF(AND(E3208&gt;0,Y3208&lt;1,NOT(AND(C3209=C3208,Y3209=Y3208+1))),INDEX(DATAS,Y3208+1),"")</f>
        <v/>
      </c>
      <c r="AG3208" s="45" t="str">
        <f aca="false">IF(AND(AA3208=1,Y3208&lt;1),IF(AND(C3209=C3208,Y3209=Y3208+1),IF(AA3209=1,"",INDEX(DATAS,Y3208+1)),INDEX(DATAS,Y3208+1)),"")</f>
        <v/>
      </c>
    </row>
    <row r="3209" customFormat="false" ht="15" hidden="false" customHeight="false" outlineLevel="0" collapsed="false">
      <c r="A3209" s="45" t="n">
        <v>46309</v>
      </c>
      <c r="B3209" s="0" t="n">
        <v>13</v>
      </c>
      <c r="C3209" s="0" t="n">
        <v>7631</v>
      </c>
      <c r="E3209" s="0" t="n">
        <v>0</v>
      </c>
      <c r="F3209" s="39" t="s">
        <v>1483</v>
      </c>
      <c r="I3209" s="39" t="s">
        <v>136</v>
      </c>
      <c r="U3209" s="0" t="n">
        <v>184</v>
      </c>
      <c r="V3209" s="0" t="n">
        <v>0</v>
      </c>
      <c r="W3209" s="39" t="n">
        <f aca="false">IF(I3209="Male",0,1)</f>
        <v>1</v>
      </c>
      <c r="X3209" s="39" t="n">
        <f aca="false">IF(OR(I3209="DNB",I3209="Dry DNB"),1,0)</f>
        <v>0</v>
      </c>
      <c r="Y3209" s="39" t="n">
        <f aca="false">MATCH(A3209,DATAS,0)</f>
        <v>1</v>
      </c>
      <c r="Z3209" s="39" t="n">
        <f aca="false">IF(AND(E3209&gt;0,OR(AND(B3209&gt;=1,B3209&lt;=6),B3209=10)),1,0)</f>
        <v>0</v>
      </c>
      <c r="AA3209" s="39" t="n">
        <f aca="false">IF(AND(E3209&gt;0,B3209=10),1,0)</f>
        <v>0</v>
      </c>
      <c r="AB3209" s="0" t="str">
        <f aca="false">IF(AND(C3208=C3209,Y3208=Y3209-1),Z3208,"")</f>
        <v/>
      </c>
      <c r="AC3209" s="0" t="str">
        <f aca="false">IF(AND(C3208=C3209,Y3208=Y3209-1),AA3208,"")</f>
        <v/>
      </c>
      <c r="AD3209" s="0" t="str">
        <f aca="false">IF(Y3209=1,"",IF(AND(Z3209=1,AB3209&lt;&gt;1),1,0))</f>
        <v/>
      </c>
      <c r="AE3209" s="0" t="str">
        <f aca="false">IF(Y3209=1,"",IF(AND(AA3209=1,AC3209&lt;&gt;1),1,0))</f>
        <v/>
      </c>
      <c r="AF3209" s="45" t="str">
        <f aca="false">IF(AND(E3209&gt;0,Y3209&lt;1,NOT(AND(C3210=C3209,Y3210=Y3209+1))),INDEX(DATAS,Y3209+1),"")</f>
        <v/>
      </c>
      <c r="AG3209" s="45" t="str">
        <f aca="false">IF(AND(AA3209=1,Y3209&lt;1),IF(AND(C3210=C3209,Y3210=Y3209+1),IF(AA3210=1,"",INDEX(DATAS,Y3209+1)),INDEX(DATAS,Y3209+1)),"")</f>
        <v/>
      </c>
    </row>
    <row r="3210" customFormat="false" ht="15" hidden="false" customHeight="false" outlineLevel="0" collapsed="false">
      <c r="A3210" s="45" t="n">
        <v>46309</v>
      </c>
      <c r="B3210" s="0" t="n">
        <v>13</v>
      </c>
      <c r="C3210" s="0" t="n">
        <v>7632</v>
      </c>
      <c r="E3210" s="0" t="n">
        <v>0</v>
      </c>
      <c r="F3210" s="39" t="s">
        <v>1483</v>
      </c>
      <c r="I3210" s="39" t="s">
        <v>136</v>
      </c>
      <c r="U3210" s="0" t="n">
        <v>184</v>
      </c>
      <c r="V3210" s="0" t="n">
        <v>0</v>
      </c>
      <c r="W3210" s="39" t="n">
        <f aca="false">IF(I3210="Male",0,1)</f>
        <v>1</v>
      </c>
      <c r="X3210" s="39" t="n">
        <f aca="false">IF(OR(I3210="DNB",I3210="Dry DNB"),1,0)</f>
        <v>0</v>
      </c>
      <c r="Y3210" s="39" t="n">
        <f aca="false">MATCH(A3210,DATAS,0)</f>
        <v>1</v>
      </c>
      <c r="Z3210" s="39" t="n">
        <f aca="false">IF(AND(E3210&gt;0,OR(AND(B3210&gt;=1,B3210&lt;=6),B3210=10)),1,0)</f>
        <v>0</v>
      </c>
      <c r="AA3210" s="39" t="n">
        <f aca="false">IF(AND(E3210&gt;0,B3210=10),1,0)</f>
        <v>0</v>
      </c>
      <c r="AB3210" s="0" t="str">
        <f aca="false">IF(AND(C3209=C3210,Y3209=Y3210-1),Z3209,"")</f>
        <v/>
      </c>
      <c r="AC3210" s="0" t="str">
        <f aca="false">IF(AND(C3209=C3210,Y3209=Y3210-1),AA3209,"")</f>
        <v/>
      </c>
      <c r="AD3210" s="0" t="str">
        <f aca="false">IF(Y3210=1,"",IF(AND(Z3210=1,AB3210&lt;&gt;1),1,0))</f>
        <v/>
      </c>
      <c r="AE3210" s="0" t="str">
        <f aca="false">IF(Y3210=1,"",IF(AND(AA3210=1,AC3210&lt;&gt;1),1,0))</f>
        <v/>
      </c>
      <c r="AF3210" s="45" t="str">
        <f aca="false">IF(AND(E3210&gt;0,Y3210&lt;1,NOT(AND(C3211=C3210,Y3211=Y3210+1))),INDEX(DATAS,Y3210+1),"")</f>
        <v/>
      </c>
      <c r="AG3210" s="45" t="str">
        <f aca="false">IF(AND(AA3210=1,Y3210&lt;1),IF(AND(C3211=C3210,Y3211=Y3210+1),IF(AA3211=1,"",INDEX(DATAS,Y3210+1)),INDEX(DATAS,Y3210+1)),"")</f>
        <v/>
      </c>
    </row>
    <row r="3211" customFormat="false" ht="15" hidden="false" customHeight="false" outlineLevel="0" collapsed="false">
      <c r="A3211" s="45" t="n">
        <v>46309</v>
      </c>
      <c r="B3211" s="0" t="n">
        <v>13</v>
      </c>
      <c r="C3211" s="0" t="n">
        <v>7633</v>
      </c>
      <c r="E3211" s="0" t="n">
        <v>0</v>
      </c>
      <c r="F3211" s="39" t="s">
        <v>1484</v>
      </c>
      <c r="I3211" s="39" t="s">
        <v>136</v>
      </c>
      <c r="U3211" s="0" t="n">
        <v>183</v>
      </c>
      <c r="V3211" s="0" t="n">
        <v>0</v>
      </c>
      <c r="W3211" s="39" t="n">
        <f aca="false">IF(I3211="Male",0,1)</f>
        <v>1</v>
      </c>
      <c r="X3211" s="39" t="n">
        <f aca="false">IF(OR(I3211="DNB",I3211="Dry DNB"),1,0)</f>
        <v>0</v>
      </c>
      <c r="Y3211" s="39" t="n">
        <f aca="false">MATCH(A3211,DATAS,0)</f>
        <v>1</v>
      </c>
      <c r="Z3211" s="39" t="n">
        <f aca="false">IF(AND(E3211&gt;0,OR(AND(B3211&gt;=1,B3211&lt;=6),B3211=10)),1,0)</f>
        <v>0</v>
      </c>
      <c r="AA3211" s="39" t="n">
        <f aca="false">IF(AND(E3211&gt;0,B3211=10),1,0)</f>
        <v>0</v>
      </c>
      <c r="AB3211" s="0" t="str">
        <f aca="false">IF(AND(C3210=C3211,Y3210=Y3211-1),Z3210,"")</f>
        <v/>
      </c>
      <c r="AC3211" s="0" t="str">
        <f aca="false">IF(AND(C3210=C3211,Y3210=Y3211-1),AA3210,"")</f>
        <v/>
      </c>
      <c r="AD3211" s="0" t="str">
        <f aca="false">IF(Y3211=1,"",IF(AND(Z3211=1,AB3211&lt;&gt;1),1,0))</f>
        <v/>
      </c>
      <c r="AE3211" s="0" t="str">
        <f aca="false">IF(Y3211=1,"",IF(AND(AA3211=1,AC3211&lt;&gt;1),1,0))</f>
        <v/>
      </c>
      <c r="AF3211" s="45" t="str">
        <f aca="false">IF(AND(E3211&gt;0,Y3211&lt;1,NOT(AND(C3212=C3211,Y3212=Y3211+1))),INDEX(DATAS,Y3211+1),"")</f>
        <v/>
      </c>
      <c r="AG3211" s="45" t="str">
        <f aca="false">IF(AND(AA3211=1,Y3211&lt;1),IF(AND(C3212=C3211,Y3212=Y3211+1),IF(AA3212=1,"",INDEX(DATAS,Y3211+1)),INDEX(DATAS,Y3211+1)),"")</f>
        <v/>
      </c>
    </row>
    <row r="3212" customFormat="false" ht="15" hidden="false" customHeight="false" outlineLevel="0" collapsed="false">
      <c r="A3212" s="45" t="n">
        <v>46309</v>
      </c>
      <c r="B3212" s="0" t="n">
        <v>13</v>
      </c>
      <c r="C3212" s="0" t="n">
        <v>7634</v>
      </c>
      <c r="E3212" s="0" t="n">
        <v>0</v>
      </c>
      <c r="F3212" s="39" t="s">
        <v>1485</v>
      </c>
      <c r="I3212" s="39" t="s">
        <v>136</v>
      </c>
      <c r="U3212" s="0" t="n">
        <v>182</v>
      </c>
      <c r="V3212" s="0" t="n">
        <v>0</v>
      </c>
      <c r="W3212" s="39" t="n">
        <f aca="false">IF(I3212="Male",0,1)</f>
        <v>1</v>
      </c>
      <c r="X3212" s="39" t="n">
        <f aca="false">IF(OR(I3212="DNB",I3212="Dry DNB"),1,0)</f>
        <v>0</v>
      </c>
      <c r="Y3212" s="39" t="n">
        <f aca="false">MATCH(A3212,DATAS,0)</f>
        <v>1</v>
      </c>
      <c r="Z3212" s="39" t="n">
        <f aca="false">IF(AND(E3212&gt;0,OR(AND(B3212&gt;=1,B3212&lt;=6),B3212=10)),1,0)</f>
        <v>0</v>
      </c>
      <c r="AA3212" s="39" t="n">
        <f aca="false">IF(AND(E3212&gt;0,B3212=10),1,0)</f>
        <v>0</v>
      </c>
      <c r="AB3212" s="0" t="str">
        <f aca="false">IF(AND(C3211=C3212,Y3211=Y3212-1),Z3211,"")</f>
        <v/>
      </c>
      <c r="AC3212" s="0" t="str">
        <f aca="false">IF(AND(C3211=C3212,Y3211=Y3212-1),AA3211,"")</f>
        <v/>
      </c>
      <c r="AD3212" s="0" t="str">
        <f aca="false">IF(Y3212=1,"",IF(AND(Z3212=1,AB3212&lt;&gt;1),1,0))</f>
        <v/>
      </c>
      <c r="AE3212" s="0" t="str">
        <f aca="false">IF(Y3212=1,"",IF(AND(AA3212=1,AC3212&lt;&gt;1),1,0))</f>
        <v/>
      </c>
      <c r="AF3212" s="45" t="str">
        <f aca="false">IF(AND(E3212&gt;0,Y3212&lt;1,NOT(AND(C3213=C3212,Y3213=Y3212+1))),INDEX(DATAS,Y3212+1),"")</f>
        <v/>
      </c>
      <c r="AG3212" s="45" t="str">
        <f aca="false">IF(AND(AA3212=1,Y3212&lt;1),IF(AND(C3213=C3212,Y3213=Y3212+1),IF(AA3213=1,"",INDEX(DATAS,Y3212+1)),INDEX(DATAS,Y3212+1)),"")</f>
        <v/>
      </c>
    </row>
    <row r="3213" customFormat="false" ht="15" hidden="false" customHeight="false" outlineLevel="0" collapsed="false">
      <c r="A3213" s="45" t="n">
        <v>46309</v>
      </c>
      <c r="B3213" s="0" t="n">
        <v>13</v>
      </c>
      <c r="C3213" s="0" t="n">
        <v>7635</v>
      </c>
      <c r="E3213" s="0" t="n">
        <v>0</v>
      </c>
      <c r="F3213" s="39" t="s">
        <v>1485</v>
      </c>
      <c r="I3213" s="39" t="s">
        <v>136</v>
      </c>
      <c r="U3213" s="0" t="n">
        <v>182</v>
      </c>
      <c r="V3213" s="0" t="n">
        <v>0</v>
      </c>
      <c r="W3213" s="39" t="n">
        <f aca="false">IF(I3213="Male",0,1)</f>
        <v>1</v>
      </c>
      <c r="X3213" s="39" t="n">
        <f aca="false">IF(OR(I3213="DNB",I3213="Dry DNB"),1,0)</f>
        <v>0</v>
      </c>
      <c r="Y3213" s="39" t="n">
        <f aca="false">MATCH(A3213,DATAS,0)</f>
        <v>1</v>
      </c>
      <c r="Z3213" s="39" t="n">
        <f aca="false">IF(AND(E3213&gt;0,OR(AND(B3213&gt;=1,B3213&lt;=6),B3213=10)),1,0)</f>
        <v>0</v>
      </c>
      <c r="AA3213" s="39" t="n">
        <f aca="false">IF(AND(E3213&gt;0,B3213=10),1,0)</f>
        <v>0</v>
      </c>
      <c r="AB3213" s="0" t="str">
        <f aca="false">IF(AND(C3212=C3213,Y3212=Y3213-1),Z3212,"")</f>
        <v/>
      </c>
      <c r="AC3213" s="0" t="str">
        <f aca="false">IF(AND(C3212=C3213,Y3212=Y3213-1),AA3212,"")</f>
        <v/>
      </c>
      <c r="AD3213" s="0" t="str">
        <f aca="false">IF(Y3213=1,"",IF(AND(Z3213=1,AB3213&lt;&gt;1),1,0))</f>
        <v/>
      </c>
      <c r="AE3213" s="0" t="str">
        <f aca="false">IF(Y3213=1,"",IF(AND(AA3213=1,AC3213&lt;&gt;1),1,0))</f>
        <v/>
      </c>
      <c r="AF3213" s="45" t="str">
        <f aca="false">IF(AND(E3213&gt;0,Y3213&lt;1,NOT(AND(C3214=C3213,Y3214=Y3213+1))),INDEX(DATAS,Y3213+1),"")</f>
        <v/>
      </c>
      <c r="AG3213" s="45" t="str">
        <f aca="false">IF(AND(AA3213=1,Y3213&lt;1),IF(AND(C3214=C3213,Y3214=Y3213+1),IF(AA3214=1,"",INDEX(DATAS,Y3213+1)),INDEX(DATAS,Y3213+1)),"")</f>
        <v/>
      </c>
    </row>
    <row r="3214" customFormat="false" ht="15" hidden="false" customHeight="false" outlineLevel="0" collapsed="false">
      <c r="A3214" s="45" t="n">
        <v>46309</v>
      </c>
      <c r="B3214" s="0" t="n">
        <v>13</v>
      </c>
      <c r="C3214" s="0" t="n">
        <v>7636</v>
      </c>
      <c r="E3214" s="0" t="n">
        <v>0</v>
      </c>
      <c r="F3214" s="39" t="s">
        <v>1485</v>
      </c>
      <c r="I3214" s="39" t="s">
        <v>136</v>
      </c>
      <c r="U3214" s="0" t="n">
        <v>182</v>
      </c>
      <c r="V3214" s="0" t="n">
        <v>0</v>
      </c>
      <c r="W3214" s="39" t="n">
        <f aca="false">IF(I3214="Male",0,1)</f>
        <v>1</v>
      </c>
      <c r="X3214" s="39" t="n">
        <f aca="false">IF(OR(I3214="DNB",I3214="Dry DNB"),1,0)</f>
        <v>0</v>
      </c>
      <c r="Y3214" s="39" t="n">
        <f aca="false">MATCH(A3214,DATAS,0)</f>
        <v>1</v>
      </c>
      <c r="Z3214" s="39" t="n">
        <f aca="false">IF(AND(E3214&gt;0,OR(AND(B3214&gt;=1,B3214&lt;=6),B3214=10)),1,0)</f>
        <v>0</v>
      </c>
      <c r="AA3214" s="39" t="n">
        <f aca="false">IF(AND(E3214&gt;0,B3214=10),1,0)</f>
        <v>0</v>
      </c>
      <c r="AB3214" s="0" t="str">
        <f aca="false">IF(AND(C3213=C3214,Y3213=Y3214-1),Z3213,"")</f>
        <v/>
      </c>
      <c r="AC3214" s="0" t="str">
        <f aca="false">IF(AND(C3213=C3214,Y3213=Y3214-1),AA3213,"")</f>
        <v/>
      </c>
      <c r="AD3214" s="0" t="str">
        <f aca="false">IF(Y3214=1,"",IF(AND(Z3214=1,AB3214&lt;&gt;1),1,0))</f>
        <v/>
      </c>
      <c r="AE3214" s="0" t="str">
        <f aca="false">IF(Y3214=1,"",IF(AND(AA3214=1,AC3214&lt;&gt;1),1,0))</f>
        <v/>
      </c>
      <c r="AF3214" s="45" t="str">
        <f aca="false">IF(AND(E3214&gt;0,Y3214&lt;1,NOT(AND(C3215=C3214,Y3215=Y3214+1))),INDEX(DATAS,Y3214+1),"")</f>
        <v/>
      </c>
      <c r="AG3214" s="45" t="str">
        <f aca="false">IF(AND(AA3214=1,Y3214&lt;1),IF(AND(C3215=C3214,Y3215=Y3214+1),IF(AA3215=1,"",INDEX(DATAS,Y3214+1)),INDEX(DATAS,Y3214+1)),"")</f>
        <v/>
      </c>
    </row>
    <row r="3215" customFormat="false" ht="15" hidden="false" customHeight="false" outlineLevel="0" collapsed="false">
      <c r="A3215" s="45" t="n">
        <v>46309</v>
      </c>
      <c r="B3215" s="0" t="n">
        <v>13</v>
      </c>
      <c r="C3215" s="0" t="n">
        <v>7637</v>
      </c>
      <c r="E3215" s="0" t="n">
        <v>0</v>
      </c>
      <c r="F3215" s="39" t="s">
        <v>1485</v>
      </c>
      <c r="I3215" s="39" t="s">
        <v>136</v>
      </c>
      <c r="U3215" s="0" t="n">
        <v>182</v>
      </c>
      <c r="V3215" s="0" t="n">
        <v>0</v>
      </c>
      <c r="W3215" s="39" t="n">
        <f aca="false">IF(I3215="Male",0,1)</f>
        <v>1</v>
      </c>
      <c r="X3215" s="39" t="n">
        <f aca="false">IF(OR(I3215="DNB",I3215="Dry DNB"),1,0)</f>
        <v>0</v>
      </c>
      <c r="Y3215" s="39" t="n">
        <f aca="false">MATCH(A3215,DATAS,0)</f>
        <v>1</v>
      </c>
      <c r="Z3215" s="39" t="n">
        <f aca="false">IF(AND(E3215&gt;0,OR(AND(B3215&gt;=1,B3215&lt;=6),B3215=10)),1,0)</f>
        <v>0</v>
      </c>
      <c r="AA3215" s="39" t="n">
        <f aca="false">IF(AND(E3215&gt;0,B3215=10),1,0)</f>
        <v>0</v>
      </c>
      <c r="AB3215" s="0" t="str">
        <f aca="false">IF(AND(C3214=C3215,Y3214=Y3215-1),Z3214,"")</f>
        <v/>
      </c>
      <c r="AC3215" s="0" t="str">
        <f aca="false">IF(AND(C3214=C3215,Y3214=Y3215-1),AA3214,"")</f>
        <v/>
      </c>
      <c r="AD3215" s="0" t="str">
        <f aca="false">IF(Y3215=1,"",IF(AND(Z3215=1,AB3215&lt;&gt;1),1,0))</f>
        <v/>
      </c>
      <c r="AE3215" s="0" t="str">
        <f aca="false">IF(Y3215=1,"",IF(AND(AA3215=1,AC3215&lt;&gt;1),1,0))</f>
        <v/>
      </c>
      <c r="AF3215" s="45" t="str">
        <f aca="false">IF(AND(E3215&gt;0,Y3215&lt;1,NOT(AND(C3216=C3215,Y3216=Y3215+1))),INDEX(DATAS,Y3215+1),"")</f>
        <v/>
      </c>
      <c r="AG3215" s="45" t="str">
        <f aca="false">IF(AND(AA3215=1,Y3215&lt;1),IF(AND(C3216=C3215,Y3216=Y3215+1),IF(AA3216=1,"",INDEX(DATAS,Y3215+1)),INDEX(DATAS,Y3215+1)),"")</f>
        <v/>
      </c>
    </row>
    <row r="3216" customFormat="false" ht="15" hidden="false" customHeight="false" outlineLevel="0" collapsed="false">
      <c r="A3216" s="45" t="n">
        <v>46309</v>
      </c>
      <c r="B3216" s="0" t="n">
        <v>13</v>
      </c>
      <c r="C3216" s="0" t="n">
        <v>7638</v>
      </c>
      <c r="E3216" s="0" t="n">
        <v>0</v>
      </c>
      <c r="F3216" s="39" t="s">
        <v>1485</v>
      </c>
      <c r="I3216" s="39" t="s">
        <v>136</v>
      </c>
      <c r="U3216" s="0" t="n">
        <v>182</v>
      </c>
      <c r="V3216" s="0" t="n">
        <v>0</v>
      </c>
      <c r="W3216" s="39" t="n">
        <f aca="false">IF(I3216="Male",0,1)</f>
        <v>1</v>
      </c>
      <c r="X3216" s="39" t="n">
        <f aca="false">IF(OR(I3216="DNB",I3216="Dry DNB"),1,0)</f>
        <v>0</v>
      </c>
      <c r="Y3216" s="39" t="n">
        <f aca="false">MATCH(A3216,DATAS,0)</f>
        <v>1</v>
      </c>
      <c r="Z3216" s="39" t="n">
        <f aca="false">IF(AND(E3216&gt;0,OR(AND(B3216&gt;=1,B3216&lt;=6),B3216=10)),1,0)</f>
        <v>0</v>
      </c>
      <c r="AA3216" s="39" t="n">
        <f aca="false">IF(AND(E3216&gt;0,B3216=10),1,0)</f>
        <v>0</v>
      </c>
      <c r="AB3216" s="0" t="str">
        <f aca="false">IF(AND(C3215=C3216,Y3215=Y3216-1),Z3215,"")</f>
        <v/>
      </c>
      <c r="AC3216" s="0" t="str">
        <f aca="false">IF(AND(C3215=C3216,Y3215=Y3216-1),AA3215,"")</f>
        <v/>
      </c>
      <c r="AD3216" s="0" t="str">
        <f aca="false">IF(Y3216=1,"",IF(AND(Z3216=1,AB3216&lt;&gt;1),1,0))</f>
        <v/>
      </c>
      <c r="AE3216" s="0" t="str">
        <f aca="false">IF(Y3216=1,"",IF(AND(AA3216=1,AC3216&lt;&gt;1),1,0))</f>
        <v/>
      </c>
      <c r="AF3216" s="45" t="str">
        <f aca="false">IF(AND(E3216&gt;0,Y3216&lt;1,NOT(AND(C3217=C3216,Y3217=Y3216+1))),INDEX(DATAS,Y3216+1),"")</f>
        <v/>
      </c>
      <c r="AG3216" s="45" t="str">
        <f aca="false">IF(AND(AA3216=1,Y3216&lt;1),IF(AND(C3217=C3216,Y3217=Y3216+1),IF(AA3217=1,"",INDEX(DATAS,Y3216+1)),INDEX(DATAS,Y3216+1)),"")</f>
        <v/>
      </c>
    </row>
    <row r="3217" customFormat="false" ht="15" hidden="false" customHeight="false" outlineLevel="0" collapsed="false">
      <c r="A3217" s="45" t="n">
        <v>46309</v>
      </c>
      <c r="B3217" s="0" t="n">
        <v>13</v>
      </c>
      <c r="C3217" s="0" t="n">
        <v>7639</v>
      </c>
      <c r="E3217" s="0" t="n">
        <v>0</v>
      </c>
      <c r="F3217" s="39" t="s">
        <v>1486</v>
      </c>
      <c r="I3217" s="39" t="s">
        <v>136</v>
      </c>
      <c r="U3217" s="0" t="n">
        <v>181</v>
      </c>
      <c r="V3217" s="0" t="n">
        <v>0</v>
      </c>
      <c r="W3217" s="39" t="n">
        <f aca="false">IF(I3217="Male",0,1)</f>
        <v>1</v>
      </c>
      <c r="X3217" s="39" t="n">
        <f aca="false">IF(OR(I3217="DNB",I3217="Dry DNB"),1,0)</f>
        <v>0</v>
      </c>
      <c r="Y3217" s="39" t="n">
        <f aca="false">MATCH(A3217,DATAS,0)</f>
        <v>1</v>
      </c>
      <c r="Z3217" s="39" t="n">
        <f aca="false">IF(AND(E3217&gt;0,OR(AND(B3217&gt;=1,B3217&lt;=6),B3217=10)),1,0)</f>
        <v>0</v>
      </c>
      <c r="AA3217" s="39" t="n">
        <f aca="false">IF(AND(E3217&gt;0,B3217=10),1,0)</f>
        <v>0</v>
      </c>
      <c r="AB3217" s="0" t="str">
        <f aca="false">IF(AND(C3216=C3217,Y3216=Y3217-1),Z3216,"")</f>
        <v/>
      </c>
      <c r="AC3217" s="0" t="str">
        <f aca="false">IF(AND(C3216=C3217,Y3216=Y3217-1),AA3216,"")</f>
        <v/>
      </c>
      <c r="AD3217" s="0" t="str">
        <f aca="false">IF(Y3217=1,"",IF(AND(Z3217=1,AB3217&lt;&gt;1),1,0))</f>
        <v/>
      </c>
      <c r="AE3217" s="0" t="str">
        <f aca="false">IF(Y3217=1,"",IF(AND(AA3217=1,AC3217&lt;&gt;1),1,0))</f>
        <v/>
      </c>
      <c r="AF3217" s="45" t="str">
        <f aca="false">IF(AND(E3217&gt;0,Y3217&lt;1,NOT(AND(C3218=C3217,Y3218=Y3217+1))),INDEX(DATAS,Y3217+1),"")</f>
        <v/>
      </c>
      <c r="AG3217" s="45" t="str">
        <f aca="false">IF(AND(AA3217=1,Y3217&lt;1),IF(AND(C3218=C3217,Y3218=Y3217+1),IF(AA3218=1,"",INDEX(DATAS,Y3217+1)),INDEX(DATAS,Y3217+1)),"")</f>
        <v/>
      </c>
    </row>
    <row r="3218" customFormat="false" ht="15" hidden="false" customHeight="false" outlineLevel="0" collapsed="false">
      <c r="A3218" s="45" t="n">
        <v>46309</v>
      </c>
      <c r="B3218" s="0" t="n">
        <v>13</v>
      </c>
      <c r="C3218" s="0" t="n">
        <v>7640</v>
      </c>
      <c r="E3218" s="0" t="n">
        <v>0</v>
      </c>
      <c r="F3218" s="39" t="s">
        <v>1486</v>
      </c>
      <c r="I3218" s="39" t="s">
        <v>136</v>
      </c>
      <c r="U3218" s="0" t="n">
        <v>181</v>
      </c>
      <c r="V3218" s="0" t="n">
        <v>0</v>
      </c>
      <c r="W3218" s="39" t="n">
        <f aca="false">IF(I3218="Male",0,1)</f>
        <v>1</v>
      </c>
      <c r="X3218" s="39" t="n">
        <f aca="false">IF(OR(I3218="DNB",I3218="Dry DNB"),1,0)</f>
        <v>0</v>
      </c>
      <c r="Y3218" s="39" t="n">
        <f aca="false">MATCH(A3218,DATAS,0)</f>
        <v>1</v>
      </c>
      <c r="Z3218" s="39" t="n">
        <f aca="false">IF(AND(E3218&gt;0,OR(AND(B3218&gt;=1,B3218&lt;=6),B3218=10)),1,0)</f>
        <v>0</v>
      </c>
      <c r="AA3218" s="39" t="n">
        <f aca="false">IF(AND(E3218&gt;0,B3218=10),1,0)</f>
        <v>0</v>
      </c>
      <c r="AB3218" s="0" t="str">
        <f aca="false">IF(AND(C3217=C3218,Y3217=Y3218-1),Z3217,"")</f>
        <v/>
      </c>
      <c r="AC3218" s="0" t="str">
        <f aca="false">IF(AND(C3217=C3218,Y3217=Y3218-1),AA3217,"")</f>
        <v/>
      </c>
      <c r="AD3218" s="0" t="str">
        <f aca="false">IF(Y3218=1,"",IF(AND(Z3218=1,AB3218&lt;&gt;1),1,0))</f>
        <v/>
      </c>
      <c r="AE3218" s="0" t="str">
        <f aca="false">IF(Y3218=1,"",IF(AND(AA3218=1,AC3218&lt;&gt;1),1,0))</f>
        <v/>
      </c>
      <c r="AF3218" s="45" t="str">
        <f aca="false">IF(AND(E3218&gt;0,Y3218&lt;1,NOT(AND(C3219=C3218,Y3219=Y3218+1))),INDEX(DATAS,Y3218+1),"")</f>
        <v/>
      </c>
      <c r="AG3218" s="45" t="str">
        <f aca="false">IF(AND(AA3218=1,Y3218&lt;1),IF(AND(C3219=C3218,Y3219=Y3218+1),IF(AA3219=1,"",INDEX(DATAS,Y3218+1)),INDEX(DATAS,Y3218+1)),"")</f>
        <v/>
      </c>
    </row>
    <row r="3219" customFormat="false" ht="15" hidden="false" customHeight="false" outlineLevel="0" collapsed="false">
      <c r="A3219" s="45" t="n">
        <v>46309</v>
      </c>
      <c r="B3219" s="0" t="n">
        <v>13</v>
      </c>
      <c r="C3219" s="0" t="n">
        <v>7641</v>
      </c>
      <c r="E3219" s="0" t="n">
        <v>0</v>
      </c>
      <c r="F3219" s="39" t="s">
        <v>1487</v>
      </c>
      <c r="I3219" s="39" t="s">
        <v>136</v>
      </c>
      <c r="U3219" s="0" t="n">
        <v>180</v>
      </c>
      <c r="V3219" s="0" t="n">
        <v>0</v>
      </c>
      <c r="W3219" s="39" t="n">
        <f aca="false">IF(I3219="Male",0,1)</f>
        <v>1</v>
      </c>
      <c r="X3219" s="39" t="n">
        <f aca="false">IF(OR(I3219="DNB",I3219="Dry DNB"),1,0)</f>
        <v>0</v>
      </c>
      <c r="Y3219" s="39" t="n">
        <f aca="false">MATCH(A3219,DATAS,0)</f>
        <v>1</v>
      </c>
      <c r="Z3219" s="39" t="n">
        <f aca="false">IF(AND(E3219&gt;0,OR(AND(B3219&gt;=1,B3219&lt;=6),B3219=10)),1,0)</f>
        <v>0</v>
      </c>
      <c r="AA3219" s="39" t="n">
        <f aca="false">IF(AND(E3219&gt;0,B3219=10),1,0)</f>
        <v>0</v>
      </c>
      <c r="AB3219" s="0" t="str">
        <f aca="false">IF(AND(C3218=C3219,Y3218=Y3219-1),Z3218,"")</f>
        <v/>
      </c>
      <c r="AC3219" s="0" t="str">
        <f aca="false">IF(AND(C3218=C3219,Y3218=Y3219-1),AA3218,"")</f>
        <v/>
      </c>
      <c r="AD3219" s="0" t="str">
        <f aca="false">IF(Y3219=1,"",IF(AND(Z3219=1,AB3219&lt;&gt;1),1,0))</f>
        <v/>
      </c>
      <c r="AE3219" s="0" t="str">
        <f aca="false">IF(Y3219=1,"",IF(AND(AA3219=1,AC3219&lt;&gt;1),1,0))</f>
        <v/>
      </c>
      <c r="AF3219" s="45" t="str">
        <f aca="false">IF(AND(E3219&gt;0,Y3219&lt;1,NOT(AND(C3220=C3219,Y3220=Y3219+1))),INDEX(DATAS,Y3219+1),"")</f>
        <v/>
      </c>
      <c r="AG3219" s="45" t="str">
        <f aca="false">IF(AND(AA3219=1,Y3219&lt;1),IF(AND(C3220=C3219,Y3220=Y3219+1),IF(AA3220=1,"",INDEX(DATAS,Y3219+1)),INDEX(DATAS,Y3219+1)),"")</f>
        <v/>
      </c>
    </row>
    <row r="3220" customFormat="false" ht="15" hidden="false" customHeight="false" outlineLevel="0" collapsed="false">
      <c r="A3220" s="45" t="n">
        <v>46309</v>
      </c>
      <c r="B3220" s="0" t="n">
        <v>13</v>
      </c>
      <c r="C3220" s="0" t="n">
        <v>7642</v>
      </c>
      <c r="E3220" s="0" t="n">
        <v>0</v>
      </c>
      <c r="F3220" s="39" t="s">
        <v>1488</v>
      </c>
      <c r="I3220" s="39" t="s">
        <v>136</v>
      </c>
      <c r="U3220" s="0" t="n">
        <v>179</v>
      </c>
      <c r="V3220" s="0" t="n">
        <v>0</v>
      </c>
      <c r="W3220" s="39" t="n">
        <f aca="false">IF(I3220="Male",0,1)</f>
        <v>1</v>
      </c>
      <c r="X3220" s="39" t="n">
        <f aca="false">IF(OR(I3220="DNB",I3220="Dry DNB"),1,0)</f>
        <v>0</v>
      </c>
      <c r="Y3220" s="39" t="n">
        <f aca="false">MATCH(A3220,DATAS,0)</f>
        <v>1</v>
      </c>
      <c r="Z3220" s="39" t="n">
        <f aca="false">IF(AND(E3220&gt;0,OR(AND(B3220&gt;=1,B3220&lt;=6),B3220=10)),1,0)</f>
        <v>0</v>
      </c>
      <c r="AA3220" s="39" t="n">
        <f aca="false">IF(AND(E3220&gt;0,B3220=10),1,0)</f>
        <v>0</v>
      </c>
      <c r="AB3220" s="0" t="str">
        <f aca="false">IF(AND(C3219=C3220,Y3219=Y3220-1),Z3219,"")</f>
        <v/>
      </c>
      <c r="AC3220" s="0" t="str">
        <f aca="false">IF(AND(C3219=C3220,Y3219=Y3220-1),AA3219,"")</f>
        <v/>
      </c>
      <c r="AD3220" s="0" t="str">
        <f aca="false">IF(Y3220=1,"",IF(AND(Z3220=1,AB3220&lt;&gt;1),1,0))</f>
        <v/>
      </c>
      <c r="AE3220" s="0" t="str">
        <f aca="false">IF(Y3220=1,"",IF(AND(AA3220=1,AC3220&lt;&gt;1),1,0))</f>
        <v/>
      </c>
      <c r="AF3220" s="45" t="str">
        <f aca="false">IF(AND(E3220&gt;0,Y3220&lt;1,NOT(AND(C3221=C3220,Y3221=Y3220+1))),INDEX(DATAS,Y3220+1),"")</f>
        <v/>
      </c>
      <c r="AG3220" s="45" t="str">
        <f aca="false">IF(AND(AA3220=1,Y3220&lt;1),IF(AND(C3221=C3220,Y3221=Y3220+1),IF(AA3221=1,"",INDEX(DATAS,Y3220+1)),INDEX(DATAS,Y3220+1)),"")</f>
        <v/>
      </c>
    </row>
    <row r="3221" customFormat="false" ht="15" hidden="false" customHeight="false" outlineLevel="0" collapsed="false">
      <c r="A3221" s="45" t="n">
        <v>46309</v>
      </c>
      <c r="B3221" s="0" t="n">
        <v>13</v>
      </c>
      <c r="C3221" s="0" t="n">
        <v>7643</v>
      </c>
      <c r="E3221" s="0" t="n">
        <v>0</v>
      </c>
      <c r="F3221" s="39" t="s">
        <v>1488</v>
      </c>
      <c r="I3221" s="39" t="s">
        <v>136</v>
      </c>
      <c r="U3221" s="0" t="n">
        <v>179</v>
      </c>
      <c r="V3221" s="0" t="n">
        <v>0</v>
      </c>
      <c r="W3221" s="39" t="n">
        <f aca="false">IF(I3221="Male",0,1)</f>
        <v>1</v>
      </c>
      <c r="X3221" s="39" t="n">
        <f aca="false">IF(OR(I3221="DNB",I3221="Dry DNB"),1,0)</f>
        <v>0</v>
      </c>
      <c r="Y3221" s="39" t="n">
        <f aca="false">MATCH(A3221,DATAS,0)</f>
        <v>1</v>
      </c>
      <c r="Z3221" s="39" t="n">
        <f aca="false">IF(AND(E3221&gt;0,OR(AND(B3221&gt;=1,B3221&lt;=6),B3221=10)),1,0)</f>
        <v>0</v>
      </c>
      <c r="AA3221" s="39" t="n">
        <f aca="false">IF(AND(E3221&gt;0,B3221=10),1,0)</f>
        <v>0</v>
      </c>
      <c r="AB3221" s="0" t="str">
        <f aca="false">IF(AND(C3220=C3221,Y3220=Y3221-1),Z3220,"")</f>
        <v/>
      </c>
      <c r="AC3221" s="0" t="str">
        <f aca="false">IF(AND(C3220=C3221,Y3220=Y3221-1),AA3220,"")</f>
        <v/>
      </c>
      <c r="AD3221" s="0" t="str">
        <f aca="false">IF(Y3221=1,"",IF(AND(Z3221=1,AB3221&lt;&gt;1),1,0))</f>
        <v/>
      </c>
      <c r="AE3221" s="0" t="str">
        <f aca="false">IF(Y3221=1,"",IF(AND(AA3221=1,AC3221&lt;&gt;1),1,0))</f>
        <v/>
      </c>
      <c r="AF3221" s="45" t="str">
        <f aca="false">IF(AND(E3221&gt;0,Y3221&lt;1,NOT(AND(C3222=C3221,Y3222=Y3221+1))),INDEX(DATAS,Y3221+1),"")</f>
        <v/>
      </c>
      <c r="AG3221" s="45" t="str">
        <f aca="false">IF(AND(AA3221=1,Y3221&lt;1),IF(AND(C3222=C3221,Y3222=Y3221+1),IF(AA3222=1,"",INDEX(DATAS,Y3221+1)),INDEX(DATAS,Y3221+1)),"")</f>
        <v/>
      </c>
    </row>
    <row r="3222" customFormat="false" ht="15" hidden="false" customHeight="false" outlineLevel="0" collapsed="false">
      <c r="A3222" s="45" t="n">
        <v>46309</v>
      </c>
      <c r="B3222" s="0" t="n">
        <v>13</v>
      </c>
      <c r="C3222" s="0" t="n">
        <v>7644</v>
      </c>
      <c r="E3222" s="0" t="n">
        <v>0</v>
      </c>
      <c r="F3222" s="39" t="s">
        <v>1489</v>
      </c>
      <c r="I3222" s="39" t="s">
        <v>136</v>
      </c>
      <c r="U3222" s="0" t="n">
        <v>178</v>
      </c>
      <c r="V3222" s="0" t="n">
        <v>0</v>
      </c>
      <c r="W3222" s="39" t="n">
        <f aca="false">IF(I3222="Male",0,1)</f>
        <v>1</v>
      </c>
      <c r="X3222" s="39" t="n">
        <f aca="false">IF(OR(I3222="DNB",I3222="Dry DNB"),1,0)</f>
        <v>0</v>
      </c>
      <c r="Y3222" s="39" t="n">
        <f aca="false">MATCH(A3222,DATAS,0)</f>
        <v>1</v>
      </c>
      <c r="Z3222" s="39" t="n">
        <f aca="false">IF(AND(E3222&gt;0,OR(AND(B3222&gt;=1,B3222&lt;=6),B3222=10)),1,0)</f>
        <v>0</v>
      </c>
      <c r="AA3222" s="39" t="n">
        <f aca="false">IF(AND(E3222&gt;0,B3222=10),1,0)</f>
        <v>0</v>
      </c>
      <c r="AB3222" s="0" t="str">
        <f aca="false">IF(AND(C3221=C3222,Y3221=Y3222-1),Z3221,"")</f>
        <v/>
      </c>
      <c r="AC3222" s="0" t="str">
        <f aca="false">IF(AND(C3221=C3222,Y3221=Y3222-1),AA3221,"")</f>
        <v/>
      </c>
      <c r="AD3222" s="0" t="str">
        <f aca="false">IF(Y3222=1,"",IF(AND(Z3222=1,AB3222&lt;&gt;1),1,0))</f>
        <v/>
      </c>
      <c r="AE3222" s="0" t="str">
        <f aca="false">IF(Y3222=1,"",IF(AND(AA3222=1,AC3222&lt;&gt;1),1,0))</f>
        <v/>
      </c>
      <c r="AF3222" s="45" t="str">
        <f aca="false">IF(AND(E3222&gt;0,Y3222&lt;1,NOT(AND(C3223=C3222,Y3223=Y3222+1))),INDEX(DATAS,Y3222+1),"")</f>
        <v/>
      </c>
      <c r="AG3222" s="45" t="str">
        <f aca="false">IF(AND(AA3222=1,Y3222&lt;1),IF(AND(C3223=C3222,Y3223=Y3222+1),IF(AA3223=1,"",INDEX(DATAS,Y3222+1)),INDEX(DATAS,Y3222+1)),"")</f>
        <v/>
      </c>
    </row>
    <row r="3223" customFormat="false" ht="15" hidden="false" customHeight="false" outlineLevel="0" collapsed="false">
      <c r="A3223" s="45" t="n">
        <v>46309</v>
      </c>
      <c r="B3223" s="0" t="n">
        <v>13</v>
      </c>
      <c r="C3223" s="0" t="n">
        <v>7645</v>
      </c>
      <c r="E3223" s="0" t="n">
        <v>0</v>
      </c>
      <c r="F3223" s="39" t="s">
        <v>1489</v>
      </c>
      <c r="I3223" s="39" t="s">
        <v>136</v>
      </c>
      <c r="U3223" s="0" t="n">
        <v>178</v>
      </c>
      <c r="V3223" s="0" t="n">
        <v>0</v>
      </c>
      <c r="W3223" s="39" t="n">
        <f aca="false">IF(I3223="Male",0,1)</f>
        <v>1</v>
      </c>
      <c r="X3223" s="39" t="n">
        <f aca="false">IF(OR(I3223="DNB",I3223="Dry DNB"),1,0)</f>
        <v>0</v>
      </c>
      <c r="Y3223" s="39" t="n">
        <f aca="false">MATCH(A3223,DATAS,0)</f>
        <v>1</v>
      </c>
      <c r="Z3223" s="39" t="n">
        <f aca="false">IF(AND(E3223&gt;0,OR(AND(B3223&gt;=1,B3223&lt;=6),B3223=10)),1,0)</f>
        <v>0</v>
      </c>
      <c r="AA3223" s="39" t="n">
        <f aca="false">IF(AND(E3223&gt;0,B3223=10),1,0)</f>
        <v>0</v>
      </c>
      <c r="AB3223" s="0" t="str">
        <f aca="false">IF(AND(C3222=C3223,Y3222=Y3223-1),Z3222,"")</f>
        <v/>
      </c>
      <c r="AC3223" s="0" t="str">
        <f aca="false">IF(AND(C3222=C3223,Y3222=Y3223-1),AA3222,"")</f>
        <v/>
      </c>
      <c r="AD3223" s="0" t="str">
        <f aca="false">IF(Y3223=1,"",IF(AND(Z3223=1,AB3223&lt;&gt;1),1,0))</f>
        <v/>
      </c>
      <c r="AE3223" s="0" t="str">
        <f aca="false">IF(Y3223=1,"",IF(AND(AA3223=1,AC3223&lt;&gt;1),1,0))</f>
        <v/>
      </c>
      <c r="AF3223" s="45" t="str">
        <f aca="false">IF(AND(E3223&gt;0,Y3223&lt;1,NOT(AND(C3224=C3223,Y3224=Y3223+1))),INDEX(DATAS,Y3223+1),"")</f>
        <v/>
      </c>
      <c r="AG3223" s="45" t="str">
        <f aca="false">IF(AND(AA3223=1,Y3223&lt;1),IF(AND(C3224=C3223,Y3224=Y3223+1),IF(AA3224=1,"",INDEX(DATAS,Y3223+1)),INDEX(DATAS,Y3223+1)),"")</f>
        <v/>
      </c>
    </row>
    <row r="3224" customFormat="false" ht="15" hidden="false" customHeight="false" outlineLevel="0" collapsed="false">
      <c r="A3224" s="45" t="n">
        <v>46309</v>
      </c>
      <c r="B3224" s="0" t="n">
        <v>13</v>
      </c>
      <c r="C3224" s="0" t="n">
        <v>7646</v>
      </c>
      <c r="E3224" s="0" t="n">
        <v>0</v>
      </c>
      <c r="F3224" s="39" t="s">
        <v>1489</v>
      </c>
      <c r="I3224" s="39" t="s">
        <v>136</v>
      </c>
      <c r="U3224" s="0" t="n">
        <v>178</v>
      </c>
      <c r="V3224" s="0" t="n">
        <v>0</v>
      </c>
      <c r="W3224" s="39" t="n">
        <f aca="false">IF(I3224="Male",0,1)</f>
        <v>1</v>
      </c>
      <c r="X3224" s="39" t="n">
        <f aca="false">IF(OR(I3224="DNB",I3224="Dry DNB"),1,0)</f>
        <v>0</v>
      </c>
      <c r="Y3224" s="39" t="n">
        <f aca="false">MATCH(A3224,DATAS,0)</f>
        <v>1</v>
      </c>
      <c r="Z3224" s="39" t="n">
        <f aca="false">IF(AND(E3224&gt;0,OR(AND(B3224&gt;=1,B3224&lt;=6),B3224=10)),1,0)</f>
        <v>0</v>
      </c>
      <c r="AA3224" s="39" t="n">
        <f aca="false">IF(AND(E3224&gt;0,B3224=10),1,0)</f>
        <v>0</v>
      </c>
      <c r="AB3224" s="0" t="str">
        <f aca="false">IF(AND(C3223=C3224,Y3223=Y3224-1),Z3223,"")</f>
        <v/>
      </c>
      <c r="AC3224" s="0" t="str">
        <f aca="false">IF(AND(C3223=C3224,Y3223=Y3224-1),AA3223,"")</f>
        <v/>
      </c>
      <c r="AD3224" s="0" t="str">
        <f aca="false">IF(Y3224=1,"",IF(AND(Z3224=1,AB3224&lt;&gt;1),1,0))</f>
        <v/>
      </c>
      <c r="AE3224" s="0" t="str">
        <f aca="false">IF(Y3224=1,"",IF(AND(AA3224=1,AC3224&lt;&gt;1),1,0))</f>
        <v/>
      </c>
      <c r="AF3224" s="45" t="str">
        <f aca="false">IF(AND(E3224&gt;0,Y3224&lt;1,NOT(AND(C3225=C3224,Y3225=Y3224+1))),INDEX(DATAS,Y3224+1),"")</f>
        <v/>
      </c>
      <c r="AG3224" s="45" t="str">
        <f aca="false">IF(AND(AA3224=1,Y3224&lt;1),IF(AND(C3225=C3224,Y3225=Y3224+1),IF(AA3225=1,"",INDEX(DATAS,Y3224+1)),INDEX(DATAS,Y3224+1)),"")</f>
        <v/>
      </c>
    </row>
    <row r="3225" customFormat="false" ht="15" hidden="false" customHeight="false" outlineLevel="0" collapsed="false">
      <c r="A3225" s="45" t="n">
        <v>46309</v>
      </c>
      <c r="B3225" s="0" t="n">
        <v>13</v>
      </c>
      <c r="C3225" s="0" t="n">
        <v>7647</v>
      </c>
      <c r="E3225" s="0" t="n">
        <v>0</v>
      </c>
      <c r="F3225" s="39" t="s">
        <v>1490</v>
      </c>
      <c r="I3225" s="39" t="s">
        <v>136</v>
      </c>
      <c r="U3225" s="0" t="n">
        <v>177</v>
      </c>
      <c r="V3225" s="0" t="n">
        <v>0</v>
      </c>
      <c r="W3225" s="39" t="n">
        <f aca="false">IF(I3225="Male",0,1)</f>
        <v>1</v>
      </c>
      <c r="X3225" s="39" t="n">
        <f aca="false">IF(OR(I3225="DNB",I3225="Dry DNB"),1,0)</f>
        <v>0</v>
      </c>
      <c r="Y3225" s="39" t="n">
        <f aca="false">MATCH(A3225,DATAS,0)</f>
        <v>1</v>
      </c>
      <c r="Z3225" s="39" t="n">
        <f aca="false">IF(AND(E3225&gt;0,OR(AND(B3225&gt;=1,B3225&lt;=6),B3225=10)),1,0)</f>
        <v>0</v>
      </c>
      <c r="AA3225" s="39" t="n">
        <f aca="false">IF(AND(E3225&gt;0,B3225=10),1,0)</f>
        <v>0</v>
      </c>
      <c r="AB3225" s="0" t="str">
        <f aca="false">IF(AND(C3224=C3225,Y3224=Y3225-1),Z3224,"")</f>
        <v/>
      </c>
      <c r="AC3225" s="0" t="str">
        <f aca="false">IF(AND(C3224=C3225,Y3224=Y3225-1),AA3224,"")</f>
        <v/>
      </c>
      <c r="AD3225" s="0" t="str">
        <f aca="false">IF(Y3225=1,"",IF(AND(Z3225=1,AB3225&lt;&gt;1),1,0))</f>
        <v/>
      </c>
      <c r="AE3225" s="0" t="str">
        <f aca="false">IF(Y3225=1,"",IF(AND(AA3225=1,AC3225&lt;&gt;1),1,0))</f>
        <v/>
      </c>
      <c r="AF3225" s="45" t="str">
        <f aca="false">IF(AND(E3225&gt;0,Y3225&lt;1,NOT(AND(C3226=C3225,Y3226=Y3225+1))),INDEX(DATAS,Y3225+1),"")</f>
        <v/>
      </c>
      <c r="AG3225" s="45" t="str">
        <f aca="false">IF(AND(AA3225=1,Y3225&lt;1),IF(AND(C3226=C3225,Y3226=Y3225+1),IF(AA3226=1,"",INDEX(DATAS,Y3225+1)),INDEX(DATAS,Y3225+1)),"")</f>
        <v/>
      </c>
    </row>
    <row r="3226" customFormat="false" ht="15" hidden="false" customHeight="false" outlineLevel="0" collapsed="false">
      <c r="A3226" s="45" t="n">
        <v>46309</v>
      </c>
      <c r="B3226" s="0" t="n">
        <v>13</v>
      </c>
      <c r="C3226" s="0" t="n">
        <v>7648</v>
      </c>
      <c r="E3226" s="0" t="n">
        <v>0</v>
      </c>
      <c r="F3226" s="39" t="s">
        <v>1490</v>
      </c>
      <c r="I3226" s="39" t="s">
        <v>136</v>
      </c>
      <c r="U3226" s="0" t="n">
        <v>177</v>
      </c>
      <c r="V3226" s="0" t="n">
        <v>0</v>
      </c>
      <c r="W3226" s="39" t="n">
        <f aca="false">IF(I3226="Male",0,1)</f>
        <v>1</v>
      </c>
      <c r="X3226" s="39" t="n">
        <f aca="false">IF(OR(I3226="DNB",I3226="Dry DNB"),1,0)</f>
        <v>0</v>
      </c>
      <c r="Y3226" s="39" t="n">
        <f aca="false">MATCH(A3226,DATAS,0)</f>
        <v>1</v>
      </c>
      <c r="Z3226" s="39" t="n">
        <f aca="false">IF(AND(E3226&gt;0,OR(AND(B3226&gt;=1,B3226&lt;=6),B3226=10)),1,0)</f>
        <v>0</v>
      </c>
      <c r="AA3226" s="39" t="n">
        <f aca="false">IF(AND(E3226&gt;0,B3226=10),1,0)</f>
        <v>0</v>
      </c>
      <c r="AB3226" s="0" t="str">
        <f aca="false">IF(AND(C3225=C3226,Y3225=Y3226-1),Z3225,"")</f>
        <v/>
      </c>
      <c r="AC3226" s="0" t="str">
        <f aca="false">IF(AND(C3225=C3226,Y3225=Y3226-1),AA3225,"")</f>
        <v/>
      </c>
      <c r="AD3226" s="0" t="str">
        <f aca="false">IF(Y3226=1,"",IF(AND(Z3226=1,AB3226&lt;&gt;1),1,0))</f>
        <v/>
      </c>
      <c r="AE3226" s="0" t="str">
        <f aca="false">IF(Y3226=1,"",IF(AND(AA3226=1,AC3226&lt;&gt;1),1,0))</f>
        <v/>
      </c>
      <c r="AF3226" s="45" t="str">
        <f aca="false">IF(AND(E3226&gt;0,Y3226&lt;1,NOT(AND(C3227=C3226,Y3227=Y3226+1))),INDEX(DATAS,Y3226+1),"")</f>
        <v/>
      </c>
      <c r="AG3226" s="45" t="str">
        <f aca="false">IF(AND(AA3226=1,Y3226&lt;1),IF(AND(C3227=C3226,Y3227=Y3226+1),IF(AA3227=1,"",INDEX(DATAS,Y3226+1)),INDEX(DATAS,Y3226+1)),"")</f>
        <v/>
      </c>
    </row>
    <row r="3227" customFormat="false" ht="15" hidden="false" customHeight="false" outlineLevel="0" collapsed="false">
      <c r="A3227" s="45" t="n">
        <v>46309</v>
      </c>
      <c r="B3227" s="0" t="n">
        <v>13</v>
      </c>
      <c r="C3227" s="0" t="n">
        <v>7649</v>
      </c>
      <c r="E3227" s="0" t="n">
        <v>0</v>
      </c>
      <c r="F3227" s="39" t="s">
        <v>1490</v>
      </c>
      <c r="I3227" s="39" t="s">
        <v>136</v>
      </c>
      <c r="U3227" s="0" t="n">
        <v>177</v>
      </c>
      <c r="V3227" s="0" t="n">
        <v>0</v>
      </c>
      <c r="W3227" s="39" t="n">
        <f aca="false">IF(I3227="Male",0,1)</f>
        <v>1</v>
      </c>
      <c r="X3227" s="39" t="n">
        <f aca="false">IF(OR(I3227="DNB",I3227="Dry DNB"),1,0)</f>
        <v>0</v>
      </c>
      <c r="Y3227" s="39" t="n">
        <f aca="false">MATCH(A3227,DATAS,0)</f>
        <v>1</v>
      </c>
      <c r="Z3227" s="39" t="n">
        <f aca="false">IF(AND(E3227&gt;0,OR(AND(B3227&gt;=1,B3227&lt;=6),B3227=10)),1,0)</f>
        <v>0</v>
      </c>
      <c r="AA3227" s="39" t="n">
        <f aca="false">IF(AND(E3227&gt;0,B3227=10),1,0)</f>
        <v>0</v>
      </c>
      <c r="AB3227" s="0" t="str">
        <f aca="false">IF(AND(C3226=C3227,Y3226=Y3227-1),Z3226,"")</f>
        <v/>
      </c>
      <c r="AC3227" s="0" t="str">
        <f aca="false">IF(AND(C3226=C3227,Y3226=Y3227-1),AA3226,"")</f>
        <v/>
      </c>
      <c r="AD3227" s="0" t="str">
        <f aca="false">IF(Y3227=1,"",IF(AND(Z3227=1,AB3227&lt;&gt;1),1,0))</f>
        <v/>
      </c>
      <c r="AE3227" s="0" t="str">
        <f aca="false">IF(Y3227=1,"",IF(AND(AA3227=1,AC3227&lt;&gt;1),1,0))</f>
        <v/>
      </c>
      <c r="AF3227" s="45" t="str">
        <f aca="false">IF(AND(E3227&gt;0,Y3227&lt;1,NOT(AND(C3228=C3227,Y3228=Y3227+1))),INDEX(DATAS,Y3227+1),"")</f>
        <v/>
      </c>
      <c r="AG3227" s="45" t="str">
        <f aca="false">IF(AND(AA3227=1,Y3227&lt;1),IF(AND(C3228=C3227,Y3228=Y3227+1),IF(AA3228=1,"",INDEX(DATAS,Y3227+1)),INDEX(DATAS,Y3227+1)),"")</f>
        <v/>
      </c>
    </row>
    <row r="3228" customFormat="false" ht="15" hidden="false" customHeight="false" outlineLevel="0" collapsed="false">
      <c r="A3228" s="45" t="n">
        <v>46309</v>
      </c>
      <c r="B3228" s="0" t="n">
        <v>13</v>
      </c>
      <c r="C3228" s="0" t="n">
        <v>7650</v>
      </c>
      <c r="E3228" s="0" t="n">
        <v>0</v>
      </c>
      <c r="F3228" s="39" t="s">
        <v>1491</v>
      </c>
      <c r="I3228" s="39" t="s">
        <v>136</v>
      </c>
      <c r="U3228" s="0" t="n">
        <v>176</v>
      </c>
      <c r="V3228" s="0" t="n">
        <v>0</v>
      </c>
      <c r="W3228" s="39" t="n">
        <f aca="false">IF(I3228="Male",0,1)</f>
        <v>1</v>
      </c>
      <c r="X3228" s="39" t="n">
        <f aca="false">IF(OR(I3228="DNB",I3228="Dry DNB"),1,0)</f>
        <v>0</v>
      </c>
      <c r="Y3228" s="39" t="n">
        <f aca="false">MATCH(A3228,DATAS,0)</f>
        <v>1</v>
      </c>
      <c r="Z3228" s="39" t="n">
        <f aca="false">IF(AND(E3228&gt;0,OR(AND(B3228&gt;=1,B3228&lt;=6),B3228=10)),1,0)</f>
        <v>0</v>
      </c>
      <c r="AA3228" s="39" t="n">
        <f aca="false">IF(AND(E3228&gt;0,B3228=10),1,0)</f>
        <v>0</v>
      </c>
      <c r="AB3228" s="0" t="str">
        <f aca="false">IF(AND(C3227=C3228,Y3227=Y3228-1),Z3227,"")</f>
        <v/>
      </c>
      <c r="AC3228" s="0" t="str">
        <f aca="false">IF(AND(C3227=C3228,Y3227=Y3228-1),AA3227,"")</f>
        <v/>
      </c>
      <c r="AD3228" s="0" t="str">
        <f aca="false">IF(Y3228=1,"",IF(AND(Z3228=1,AB3228&lt;&gt;1),1,0))</f>
        <v/>
      </c>
      <c r="AE3228" s="0" t="str">
        <f aca="false">IF(Y3228=1,"",IF(AND(AA3228=1,AC3228&lt;&gt;1),1,0))</f>
        <v/>
      </c>
      <c r="AF3228" s="45" t="str">
        <f aca="false">IF(AND(E3228&gt;0,Y3228&lt;1,NOT(AND(C3229=C3228,Y3229=Y3228+1))),INDEX(DATAS,Y3228+1),"")</f>
        <v/>
      </c>
      <c r="AG3228" s="45" t="str">
        <f aca="false">IF(AND(AA3228=1,Y3228&lt;1),IF(AND(C3229=C3228,Y3229=Y3228+1),IF(AA3229=1,"",INDEX(DATAS,Y3228+1)),INDEX(DATAS,Y3228+1)),"")</f>
        <v/>
      </c>
    </row>
    <row r="3229" customFormat="false" ht="15" hidden="false" customHeight="false" outlineLevel="0" collapsed="false">
      <c r="A3229" s="45" t="n">
        <v>46309</v>
      </c>
      <c r="B3229" s="0" t="n">
        <v>13</v>
      </c>
      <c r="C3229" s="0" t="n">
        <v>7651</v>
      </c>
      <c r="E3229" s="0" t="n">
        <v>0</v>
      </c>
      <c r="F3229" s="39" t="s">
        <v>1491</v>
      </c>
      <c r="I3229" s="39" t="s">
        <v>136</v>
      </c>
      <c r="U3229" s="0" t="n">
        <v>176</v>
      </c>
      <c r="V3229" s="0" t="n">
        <v>0</v>
      </c>
      <c r="W3229" s="39" t="n">
        <f aca="false">IF(I3229="Male",0,1)</f>
        <v>1</v>
      </c>
      <c r="X3229" s="39" t="n">
        <f aca="false">IF(OR(I3229="DNB",I3229="Dry DNB"),1,0)</f>
        <v>0</v>
      </c>
      <c r="Y3229" s="39" t="n">
        <f aca="false">MATCH(A3229,DATAS,0)</f>
        <v>1</v>
      </c>
      <c r="Z3229" s="39" t="n">
        <f aca="false">IF(AND(E3229&gt;0,OR(AND(B3229&gt;=1,B3229&lt;=6),B3229=10)),1,0)</f>
        <v>0</v>
      </c>
      <c r="AA3229" s="39" t="n">
        <f aca="false">IF(AND(E3229&gt;0,B3229=10),1,0)</f>
        <v>0</v>
      </c>
      <c r="AB3229" s="0" t="str">
        <f aca="false">IF(AND(C3228=C3229,Y3228=Y3229-1),Z3228,"")</f>
        <v/>
      </c>
      <c r="AC3229" s="0" t="str">
        <f aca="false">IF(AND(C3228=C3229,Y3228=Y3229-1),AA3228,"")</f>
        <v/>
      </c>
      <c r="AD3229" s="0" t="str">
        <f aca="false">IF(Y3229=1,"",IF(AND(Z3229=1,AB3229&lt;&gt;1),1,0))</f>
        <v/>
      </c>
      <c r="AE3229" s="0" t="str">
        <f aca="false">IF(Y3229=1,"",IF(AND(AA3229=1,AC3229&lt;&gt;1),1,0))</f>
        <v/>
      </c>
      <c r="AF3229" s="45" t="str">
        <f aca="false">IF(AND(E3229&gt;0,Y3229&lt;1,NOT(AND(C3230=C3229,Y3230=Y3229+1))),INDEX(DATAS,Y3229+1),"")</f>
        <v/>
      </c>
      <c r="AG3229" s="45" t="str">
        <f aca="false">IF(AND(AA3229=1,Y3229&lt;1),IF(AND(C3230=C3229,Y3230=Y3229+1),IF(AA3230=1,"",INDEX(DATAS,Y3229+1)),INDEX(DATAS,Y3229+1)),"")</f>
        <v/>
      </c>
    </row>
    <row r="3230" customFormat="false" ht="15" hidden="false" customHeight="false" outlineLevel="0" collapsed="false">
      <c r="A3230" s="45" t="n">
        <v>46309</v>
      </c>
      <c r="B3230" s="0" t="n">
        <v>13</v>
      </c>
      <c r="C3230" s="0" t="n">
        <v>7652</v>
      </c>
      <c r="E3230" s="0" t="n">
        <v>0</v>
      </c>
      <c r="F3230" s="39" t="s">
        <v>1491</v>
      </c>
      <c r="I3230" s="39" t="s">
        <v>136</v>
      </c>
      <c r="U3230" s="0" t="n">
        <v>176</v>
      </c>
      <c r="V3230" s="0" t="n">
        <v>0</v>
      </c>
      <c r="W3230" s="39" t="n">
        <f aca="false">IF(I3230="Male",0,1)</f>
        <v>1</v>
      </c>
      <c r="X3230" s="39" t="n">
        <f aca="false">IF(OR(I3230="DNB",I3230="Dry DNB"),1,0)</f>
        <v>0</v>
      </c>
      <c r="Y3230" s="39" t="n">
        <f aca="false">MATCH(A3230,DATAS,0)</f>
        <v>1</v>
      </c>
      <c r="Z3230" s="39" t="n">
        <f aca="false">IF(AND(E3230&gt;0,OR(AND(B3230&gt;=1,B3230&lt;=6),B3230=10)),1,0)</f>
        <v>0</v>
      </c>
      <c r="AA3230" s="39" t="n">
        <f aca="false">IF(AND(E3230&gt;0,B3230=10),1,0)</f>
        <v>0</v>
      </c>
      <c r="AB3230" s="0" t="str">
        <f aca="false">IF(AND(C3229=C3230,Y3229=Y3230-1),Z3229,"")</f>
        <v/>
      </c>
      <c r="AC3230" s="0" t="str">
        <f aca="false">IF(AND(C3229=C3230,Y3229=Y3230-1),AA3229,"")</f>
        <v/>
      </c>
      <c r="AD3230" s="0" t="str">
        <f aca="false">IF(Y3230=1,"",IF(AND(Z3230=1,AB3230&lt;&gt;1),1,0))</f>
        <v/>
      </c>
      <c r="AE3230" s="0" t="str">
        <f aca="false">IF(Y3230=1,"",IF(AND(AA3230=1,AC3230&lt;&gt;1),1,0))</f>
        <v/>
      </c>
      <c r="AF3230" s="45" t="str">
        <f aca="false">IF(AND(E3230&gt;0,Y3230&lt;1,NOT(AND(C3231=C3230,Y3231=Y3230+1))),INDEX(DATAS,Y3230+1),"")</f>
        <v/>
      </c>
      <c r="AG3230" s="45" t="str">
        <f aca="false">IF(AND(AA3230=1,Y3230&lt;1),IF(AND(C3231=C3230,Y3231=Y3230+1),IF(AA3231=1,"",INDEX(DATAS,Y3230+1)),INDEX(DATAS,Y3230+1)),"")</f>
        <v/>
      </c>
    </row>
    <row r="3231" customFormat="false" ht="15" hidden="false" customHeight="false" outlineLevel="0" collapsed="false">
      <c r="A3231" s="45" t="n">
        <v>46309</v>
      </c>
      <c r="B3231" s="0" t="n">
        <v>13</v>
      </c>
      <c r="C3231" s="0" t="n">
        <v>7653</v>
      </c>
      <c r="E3231" s="0" t="n">
        <v>0</v>
      </c>
      <c r="F3231" s="39" t="s">
        <v>1491</v>
      </c>
      <c r="I3231" s="39" t="s">
        <v>136</v>
      </c>
      <c r="U3231" s="0" t="n">
        <v>176</v>
      </c>
      <c r="V3231" s="0" t="n">
        <v>0</v>
      </c>
      <c r="W3231" s="39" t="n">
        <f aca="false">IF(I3231="Male",0,1)</f>
        <v>1</v>
      </c>
      <c r="X3231" s="39" t="n">
        <f aca="false">IF(OR(I3231="DNB",I3231="Dry DNB"),1,0)</f>
        <v>0</v>
      </c>
      <c r="Y3231" s="39" t="n">
        <f aca="false">MATCH(A3231,DATAS,0)</f>
        <v>1</v>
      </c>
      <c r="Z3231" s="39" t="n">
        <f aca="false">IF(AND(E3231&gt;0,OR(AND(B3231&gt;=1,B3231&lt;=6),B3231=10)),1,0)</f>
        <v>0</v>
      </c>
      <c r="AA3231" s="39" t="n">
        <f aca="false">IF(AND(E3231&gt;0,B3231=10),1,0)</f>
        <v>0</v>
      </c>
      <c r="AB3231" s="0" t="str">
        <f aca="false">IF(AND(C3230=C3231,Y3230=Y3231-1),Z3230,"")</f>
        <v/>
      </c>
      <c r="AC3231" s="0" t="str">
        <f aca="false">IF(AND(C3230=C3231,Y3230=Y3231-1),AA3230,"")</f>
        <v/>
      </c>
      <c r="AD3231" s="0" t="str">
        <f aca="false">IF(Y3231=1,"",IF(AND(Z3231=1,AB3231&lt;&gt;1),1,0))</f>
        <v/>
      </c>
      <c r="AE3231" s="0" t="str">
        <f aca="false">IF(Y3231=1,"",IF(AND(AA3231=1,AC3231&lt;&gt;1),1,0))</f>
        <v/>
      </c>
      <c r="AF3231" s="45" t="str">
        <f aca="false">IF(AND(E3231&gt;0,Y3231&lt;1,NOT(AND(C3232=C3231,Y3232=Y3231+1))),INDEX(DATAS,Y3231+1),"")</f>
        <v/>
      </c>
      <c r="AG3231" s="45" t="str">
        <f aca="false">IF(AND(AA3231=1,Y3231&lt;1),IF(AND(C3232=C3231,Y3232=Y3231+1),IF(AA3232=1,"",INDEX(DATAS,Y3231+1)),INDEX(DATAS,Y3231+1)),"")</f>
        <v/>
      </c>
    </row>
    <row r="3232" customFormat="false" ht="15" hidden="false" customHeight="false" outlineLevel="0" collapsed="false">
      <c r="A3232" s="45" t="n">
        <v>46309</v>
      </c>
      <c r="B3232" s="0" t="n">
        <v>13</v>
      </c>
      <c r="C3232" s="0" t="n">
        <v>7654</v>
      </c>
      <c r="E3232" s="0" t="n">
        <v>0</v>
      </c>
      <c r="F3232" s="39" t="s">
        <v>1491</v>
      </c>
      <c r="I3232" s="39" t="s">
        <v>136</v>
      </c>
      <c r="U3232" s="0" t="n">
        <v>176</v>
      </c>
      <c r="V3232" s="0" t="n">
        <v>0</v>
      </c>
      <c r="W3232" s="39" t="n">
        <f aca="false">IF(I3232="Male",0,1)</f>
        <v>1</v>
      </c>
      <c r="X3232" s="39" t="n">
        <f aca="false">IF(OR(I3232="DNB",I3232="Dry DNB"),1,0)</f>
        <v>0</v>
      </c>
      <c r="Y3232" s="39" t="n">
        <f aca="false">MATCH(A3232,DATAS,0)</f>
        <v>1</v>
      </c>
      <c r="Z3232" s="39" t="n">
        <f aca="false">IF(AND(E3232&gt;0,OR(AND(B3232&gt;=1,B3232&lt;=6),B3232=10)),1,0)</f>
        <v>0</v>
      </c>
      <c r="AA3232" s="39" t="n">
        <f aca="false">IF(AND(E3232&gt;0,B3232=10),1,0)</f>
        <v>0</v>
      </c>
      <c r="AB3232" s="0" t="str">
        <f aca="false">IF(AND(C3231=C3232,Y3231=Y3232-1),Z3231,"")</f>
        <v/>
      </c>
      <c r="AC3232" s="0" t="str">
        <f aca="false">IF(AND(C3231=C3232,Y3231=Y3232-1),AA3231,"")</f>
        <v/>
      </c>
      <c r="AD3232" s="0" t="str">
        <f aca="false">IF(Y3232=1,"",IF(AND(Z3232=1,AB3232&lt;&gt;1),1,0))</f>
        <v/>
      </c>
      <c r="AE3232" s="0" t="str">
        <f aca="false">IF(Y3232=1,"",IF(AND(AA3232=1,AC3232&lt;&gt;1),1,0))</f>
        <v/>
      </c>
      <c r="AF3232" s="45" t="str">
        <f aca="false">IF(AND(E3232&gt;0,Y3232&lt;1,NOT(AND(C3233=C3232,Y3233=Y3232+1))),INDEX(DATAS,Y3232+1),"")</f>
        <v/>
      </c>
      <c r="AG3232" s="45" t="str">
        <f aca="false">IF(AND(AA3232=1,Y3232&lt;1),IF(AND(C3233=C3232,Y3233=Y3232+1),IF(AA3233=1,"",INDEX(DATAS,Y3232+1)),INDEX(DATAS,Y3232+1)),"")</f>
        <v/>
      </c>
    </row>
    <row r="3233" customFormat="false" ht="15" hidden="false" customHeight="false" outlineLevel="0" collapsed="false">
      <c r="A3233" s="45" t="n">
        <v>46309</v>
      </c>
      <c r="B3233" s="0" t="n">
        <v>13</v>
      </c>
      <c r="C3233" s="0" t="n">
        <v>7655</v>
      </c>
      <c r="E3233" s="0" t="n">
        <v>0</v>
      </c>
      <c r="F3233" s="39" t="s">
        <v>1492</v>
      </c>
      <c r="I3233" s="39" t="s">
        <v>136</v>
      </c>
      <c r="U3233" s="0" t="n">
        <v>175</v>
      </c>
      <c r="V3233" s="0" t="n">
        <v>0</v>
      </c>
      <c r="W3233" s="39" t="n">
        <f aca="false">IF(I3233="Male",0,1)</f>
        <v>1</v>
      </c>
      <c r="X3233" s="39" t="n">
        <f aca="false">IF(OR(I3233="DNB",I3233="Dry DNB"),1,0)</f>
        <v>0</v>
      </c>
      <c r="Y3233" s="39" t="n">
        <f aca="false">MATCH(A3233,DATAS,0)</f>
        <v>1</v>
      </c>
      <c r="Z3233" s="39" t="n">
        <f aca="false">IF(AND(E3233&gt;0,OR(AND(B3233&gt;=1,B3233&lt;=6),B3233=10)),1,0)</f>
        <v>0</v>
      </c>
      <c r="AA3233" s="39" t="n">
        <f aca="false">IF(AND(E3233&gt;0,B3233=10),1,0)</f>
        <v>0</v>
      </c>
      <c r="AB3233" s="0" t="str">
        <f aca="false">IF(AND(C3232=C3233,Y3232=Y3233-1),Z3232,"")</f>
        <v/>
      </c>
      <c r="AC3233" s="0" t="str">
        <f aca="false">IF(AND(C3232=C3233,Y3232=Y3233-1),AA3232,"")</f>
        <v/>
      </c>
      <c r="AD3233" s="0" t="str">
        <f aca="false">IF(Y3233=1,"",IF(AND(Z3233=1,AB3233&lt;&gt;1),1,0))</f>
        <v/>
      </c>
      <c r="AE3233" s="0" t="str">
        <f aca="false">IF(Y3233=1,"",IF(AND(AA3233=1,AC3233&lt;&gt;1),1,0))</f>
        <v/>
      </c>
      <c r="AF3233" s="45" t="str">
        <f aca="false">IF(AND(E3233&gt;0,Y3233&lt;1,NOT(AND(C3234=C3233,Y3234=Y3233+1))),INDEX(DATAS,Y3233+1),"")</f>
        <v/>
      </c>
      <c r="AG3233" s="45" t="str">
        <f aca="false">IF(AND(AA3233=1,Y3233&lt;1),IF(AND(C3234=C3233,Y3234=Y3233+1),IF(AA3234=1,"",INDEX(DATAS,Y3233+1)),INDEX(DATAS,Y3233+1)),"")</f>
        <v/>
      </c>
    </row>
    <row r="3234" customFormat="false" ht="15" hidden="false" customHeight="false" outlineLevel="0" collapsed="false">
      <c r="A3234" s="45" t="n">
        <v>46309</v>
      </c>
      <c r="B3234" s="0" t="n">
        <v>13</v>
      </c>
      <c r="C3234" s="0" t="n">
        <v>7656</v>
      </c>
      <c r="E3234" s="0" t="n">
        <v>0</v>
      </c>
      <c r="F3234" s="39" t="s">
        <v>1492</v>
      </c>
      <c r="I3234" s="39" t="s">
        <v>136</v>
      </c>
      <c r="U3234" s="0" t="n">
        <v>175</v>
      </c>
      <c r="V3234" s="0" t="n">
        <v>0</v>
      </c>
      <c r="W3234" s="39" t="n">
        <f aca="false">IF(I3234="Male",0,1)</f>
        <v>1</v>
      </c>
      <c r="X3234" s="39" t="n">
        <f aca="false">IF(OR(I3234="DNB",I3234="Dry DNB"),1,0)</f>
        <v>0</v>
      </c>
      <c r="Y3234" s="39" t="n">
        <f aca="false">MATCH(A3234,DATAS,0)</f>
        <v>1</v>
      </c>
      <c r="Z3234" s="39" t="n">
        <f aca="false">IF(AND(E3234&gt;0,OR(AND(B3234&gt;=1,B3234&lt;=6),B3234=10)),1,0)</f>
        <v>0</v>
      </c>
      <c r="AA3234" s="39" t="n">
        <f aca="false">IF(AND(E3234&gt;0,B3234=10),1,0)</f>
        <v>0</v>
      </c>
      <c r="AB3234" s="0" t="str">
        <f aca="false">IF(AND(C3233=C3234,Y3233=Y3234-1),Z3233,"")</f>
        <v/>
      </c>
      <c r="AC3234" s="0" t="str">
        <f aca="false">IF(AND(C3233=C3234,Y3233=Y3234-1),AA3233,"")</f>
        <v/>
      </c>
      <c r="AD3234" s="0" t="str">
        <f aca="false">IF(Y3234=1,"",IF(AND(Z3234=1,AB3234&lt;&gt;1),1,0))</f>
        <v/>
      </c>
      <c r="AE3234" s="0" t="str">
        <f aca="false">IF(Y3234=1,"",IF(AND(AA3234=1,AC3234&lt;&gt;1),1,0))</f>
        <v/>
      </c>
      <c r="AF3234" s="45" t="str">
        <f aca="false">IF(AND(E3234&gt;0,Y3234&lt;1,NOT(AND(C3235=C3234,Y3235=Y3234+1))),INDEX(DATAS,Y3234+1),"")</f>
        <v/>
      </c>
      <c r="AG3234" s="45" t="str">
        <f aca="false">IF(AND(AA3234=1,Y3234&lt;1),IF(AND(C3235=C3234,Y3235=Y3234+1),IF(AA3235=1,"",INDEX(DATAS,Y3234+1)),INDEX(DATAS,Y3234+1)),"")</f>
        <v/>
      </c>
    </row>
    <row r="3235" customFormat="false" ht="15" hidden="false" customHeight="false" outlineLevel="0" collapsed="false">
      <c r="A3235" s="45" t="n">
        <v>46309</v>
      </c>
      <c r="B3235" s="0" t="n">
        <v>13</v>
      </c>
      <c r="C3235" s="0" t="n">
        <v>7657</v>
      </c>
      <c r="E3235" s="0" t="n">
        <v>0</v>
      </c>
      <c r="F3235" s="39" t="s">
        <v>1492</v>
      </c>
      <c r="I3235" s="39" t="s">
        <v>136</v>
      </c>
      <c r="U3235" s="0" t="n">
        <v>175</v>
      </c>
      <c r="V3235" s="0" t="n">
        <v>0</v>
      </c>
      <c r="W3235" s="39" t="n">
        <f aca="false">IF(I3235="Male",0,1)</f>
        <v>1</v>
      </c>
      <c r="X3235" s="39" t="n">
        <f aca="false">IF(OR(I3235="DNB",I3235="Dry DNB"),1,0)</f>
        <v>0</v>
      </c>
      <c r="Y3235" s="39" t="n">
        <f aca="false">MATCH(A3235,DATAS,0)</f>
        <v>1</v>
      </c>
      <c r="Z3235" s="39" t="n">
        <f aca="false">IF(AND(E3235&gt;0,OR(AND(B3235&gt;=1,B3235&lt;=6),B3235=10)),1,0)</f>
        <v>0</v>
      </c>
      <c r="AA3235" s="39" t="n">
        <f aca="false">IF(AND(E3235&gt;0,B3235=10),1,0)</f>
        <v>0</v>
      </c>
      <c r="AB3235" s="0" t="str">
        <f aca="false">IF(AND(C3234=C3235,Y3234=Y3235-1),Z3234,"")</f>
        <v/>
      </c>
      <c r="AC3235" s="0" t="str">
        <f aca="false">IF(AND(C3234=C3235,Y3234=Y3235-1),AA3234,"")</f>
        <v/>
      </c>
      <c r="AD3235" s="0" t="str">
        <f aca="false">IF(Y3235=1,"",IF(AND(Z3235=1,AB3235&lt;&gt;1),1,0))</f>
        <v/>
      </c>
      <c r="AE3235" s="0" t="str">
        <f aca="false">IF(Y3235=1,"",IF(AND(AA3235=1,AC3235&lt;&gt;1),1,0))</f>
        <v/>
      </c>
      <c r="AF3235" s="45" t="str">
        <f aca="false">IF(AND(E3235&gt;0,Y3235&lt;1,NOT(AND(C3236=C3235,Y3236=Y3235+1))),INDEX(DATAS,Y3235+1),"")</f>
        <v/>
      </c>
      <c r="AG3235" s="45" t="str">
        <f aca="false">IF(AND(AA3235=1,Y3235&lt;1),IF(AND(C3236=C3235,Y3236=Y3235+1),IF(AA3236=1,"",INDEX(DATAS,Y3235+1)),INDEX(DATAS,Y3235+1)),"")</f>
        <v/>
      </c>
    </row>
    <row r="3236" customFormat="false" ht="15" hidden="false" customHeight="false" outlineLevel="0" collapsed="false">
      <c r="A3236" s="45" t="n">
        <v>46309</v>
      </c>
      <c r="B3236" s="0" t="n">
        <v>13</v>
      </c>
      <c r="C3236" s="0" t="n">
        <v>7658</v>
      </c>
      <c r="E3236" s="0" t="n">
        <v>0</v>
      </c>
      <c r="F3236" s="39" t="s">
        <v>1493</v>
      </c>
      <c r="I3236" s="39" t="s">
        <v>136</v>
      </c>
      <c r="U3236" s="0" t="n">
        <v>174</v>
      </c>
      <c r="V3236" s="0" t="n">
        <v>0</v>
      </c>
      <c r="W3236" s="39" t="n">
        <f aca="false">IF(I3236="Male",0,1)</f>
        <v>1</v>
      </c>
      <c r="X3236" s="39" t="n">
        <f aca="false">IF(OR(I3236="DNB",I3236="Dry DNB"),1,0)</f>
        <v>0</v>
      </c>
      <c r="Y3236" s="39" t="n">
        <f aca="false">MATCH(A3236,DATAS,0)</f>
        <v>1</v>
      </c>
      <c r="Z3236" s="39" t="n">
        <f aca="false">IF(AND(E3236&gt;0,OR(AND(B3236&gt;=1,B3236&lt;=6),B3236=10)),1,0)</f>
        <v>0</v>
      </c>
      <c r="AA3236" s="39" t="n">
        <f aca="false">IF(AND(E3236&gt;0,B3236=10),1,0)</f>
        <v>0</v>
      </c>
      <c r="AB3236" s="0" t="str">
        <f aca="false">IF(AND(C3235=C3236,Y3235=Y3236-1),Z3235,"")</f>
        <v/>
      </c>
      <c r="AC3236" s="0" t="str">
        <f aca="false">IF(AND(C3235=C3236,Y3235=Y3236-1),AA3235,"")</f>
        <v/>
      </c>
      <c r="AD3236" s="0" t="str">
        <f aca="false">IF(Y3236=1,"",IF(AND(Z3236=1,AB3236&lt;&gt;1),1,0))</f>
        <v/>
      </c>
      <c r="AE3236" s="0" t="str">
        <f aca="false">IF(Y3236=1,"",IF(AND(AA3236=1,AC3236&lt;&gt;1),1,0))</f>
        <v/>
      </c>
      <c r="AF3236" s="45" t="str">
        <f aca="false">IF(AND(E3236&gt;0,Y3236&lt;1,NOT(AND(C3237=C3236,Y3237=Y3236+1))),INDEX(DATAS,Y3236+1),"")</f>
        <v/>
      </c>
      <c r="AG3236" s="45" t="str">
        <f aca="false">IF(AND(AA3236=1,Y3236&lt;1),IF(AND(C3237=C3236,Y3237=Y3236+1),IF(AA3237=1,"",INDEX(DATAS,Y3236+1)),INDEX(DATAS,Y3236+1)),"")</f>
        <v/>
      </c>
    </row>
    <row r="3237" customFormat="false" ht="15" hidden="false" customHeight="false" outlineLevel="0" collapsed="false">
      <c r="A3237" s="45" t="n">
        <v>46309</v>
      </c>
      <c r="B3237" s="0" t="n">
        <v>13</v>
      </c>
      <c r="C3237" s="0" t="n">
        <v>7659</v>
      </c>
      <c r="E3237" s="0" t="n">
        <v>0</v>
      </c>
      <c r="F3237" s="39" t="s">
        <v>1493</v>
      </c>
      <c r="I3237" s="39" t="s">
        <v>136</v>
      </c>
      <c r="U3237" s="0" t="n">
        <v>174</v>
      </c>
      <c r="V3237" s="0" t="n">
        <v>0</v>
      </c>
      <c r="W3237" s="39" t="n">
        <f aca="false">IF(I3237="Male",0,1)</f>
        <v>1</v>
      </c>
      <c r="X3237" s="39" t="n">
        <f aca="false">IF(OR(I3237="DNB",I3237="Dry DNB"),1,0)</f>
        <v>0</v>
      </c>
      <c r="Y3237" s="39" t="n">
        <f aca="false">MATCH(A3237,DATAS,0)</f>
        <v>1</v>
      </c>
      <c r="Z3237" s="39" t="n">
        <f aca="false">IF(AND(E3237&gt;0,OR(AND(B3237&gt;=1,B3237&lt;=6),B3237=10)),1,0)</f>
        <v>0</v>
      </c>
      <c r="AA3237" s="39" t="n">
        <f aca="false">IF(AND(E3237&gt;0,B3237=10),1,0)</f>
        <v>0</v>
      </c>
      <c r="AB3237" s="0" t="str">
        <f aca="false">IF(AND(C3236=C3237,Y3236=Y3237-1),Z3236,"")</f>
        <v/>
      </c>
      <c r="AC3237" s="0" t="str">
        <f aca="false">IF(AND(C3236=C3237,Y3236=Y3237-1),AA3236,"")</f>
        <v/>
      </c>
      <c r="AD3237" s="0" t="str">
        <f aca="false">IF(Y3237=1,"",IF(AND(Z3237=1,AB3237&lt;&gt;1),1,0))</f>
        <v/>
      </c>
      <c r="AE3237" s="0" t="str">
        <f aca="false">IF(Y3237=1,"",IF(AND(AA3237=1,AC3237&lt;&gt;1),1,0))</f>
        <v/>
      </c>
      <c r="AF3237" s="45" t="str">
        <f aca="false">IF(AND(E3237&gt;0,Y3237&lt;1,NOT(AND(C3238=C3237,Y3238=Y3237+1))),INDEX(DATAS,Y3237+1),"")</f>
        <v/>
      </c>
      <c r="AG3237" s="45" t="str">
        <f aca="false">IF(AND(AA3237=1,Y3237&lt;1),IF(AND(C3238=C3237,Y3238=Y3237+1),IF(AA3238=1,"",INDEX(DATAS,Y3237+1)),INDEX(DATAS,Y3237+1)),"")</f>
        <v/>
      </c>
    </row>
    <row r="3238" customFormat="false" ht="15" hidden="false" customHeight="false" outlineLevel="0" collapsed="false">
      <c r="A3238" s="45" t="n">
        <v>46309</v>
      </c>
      <c r="B3238" s="0" t="n">
        <v>13</v>
      </c>
      <c r="C3238" s="0" t="n">
        <v>7660</v>
      </c>
      <c r="E3238" s="0" t="n">
        <v>0</v>
      </c>
      <c r="F3238" s="39" t="s">
        <v>1493</v>
      </c>
      <c r="I3238" s="39" t="s">
        <v>136</v>
      </c>
      <c r="U3238" s="0" t="n">
        <v>174</v>
      </c>
      <c r="V3238" s="0" t="n">
        <v>0</v>
      </c>
      <c r="W3238" s="39" t="n">
        <f aca="false">IF(I3238="Male",0,1)</f>
        <v>1</v>
      </c>
      <c r="X3238" s="39" t="n">
        <f aca="false">IF(OR(I3238="DNB",I3238="Dry DNB"),1,0)</f>
        <v>0</v>
      </c>
      <c r="Y3238" s="39" t="n">
        <f aca="false">MATCH(A3238,DATAS,0)</f>
        <v>1</v>
      </c>
      <c r="Z3238" s="39" t="n">
        <f aca="false">IF(AND(E3238&gt;0,OR(AND(B3238&gt;=1,B3238&lt;=6),B3238=10)),1,0)</f>
        <v>0</v>
      </c>
      <c r="AA3238" s="39" t="n">
        <f aca="false">IF(AND(E3238&gt;0,B3238=10),1,0)</f>
        <v>0</v>
      </c>
      <c r="AB3238" s="0" t="str">
        <f aca="false">IF(AND(C3237=C3238,Y3237=Y3238-1),Z3237,"")</f>
        <v/>
      </c>
      <c r="AC3238" s="0" t="str">
        <f aca="false">IF(AND(C3237=C3238,Y3237=Y3238-1),AA3237,"")</f>
        <v/>
      </c>
      <c r="AD3238" s="0" t="str">
        <f aca="false">IF(Y3238=1,"",IF(AND(Z3238=1,AB3238&lt;&gt;1),1,0))</f>
        <v/>
      </c>
      <c r="AE3238" s="0" t="str">
        <f aca="false">IF(Y3238=1,"",IF(AND(AA3238=1,AC3238&lt;&gt;1),1,0))</f>
        <v/>
      </c>
      <c r="AF3238" s="45" t="str">
        <f aca="false">IF(AND(E3238&gt;0,Y3238&lt;1,NOT(AND(C3239=C3238,Y3239=Y3238+1))),INDEX(DATAS,Y3238+1),"")</f>
        <v/>
      </c>
      <c r="AG3238" s="45" t="str">
        <f aca="false">IF(AND(AA3238=1,Y3238&lt;1),IF(AND(C3239=C3238,Y3239=Y3238+1),IF(AA3239=1,"",INDEX(DATAS,Y3238+1)),INDEX(DATAS,Y3238+1)),"")</f>
        <v/>
      </c>
    </row>
    <row r="3239" customFormat="false" ht="15" hidden="false" customHeight="false" outlineLevel="0" collapsed="false">
      <c r="A3239" s="45" t="n">
        <v>46309</v>
      </c>
      <c r="B3239" s="0" t="n">
        <v>13</v>
      </c>
      <c r="C3239" s="0" t="n">
        <v>7661</v>
      </c>
      <c r="E3239" s="0" t="n">
        <v>0</v>
      </c>
      <c r="F3239" s="39" t="s">
        <v>1493</v>
      </c>
      <c r="I3239" s="39" t="s">
        <v>136</v>
      </c>
      <c r="U3239" s="0" t="n">
        <v>174</v>
      </c>
      <c r="V3239" s="0" t="n">
        <v>0</v>
      </c>
      <c r="W3239" s="39" t="n">
        <f aca="false">IF(I3239="Male",0,1)</f>
        <v>1</v>
      </c>
      <c r="X3239" s="39" t="n">
        <f aca="false">IF(OR(I3239="DNB",I3239="Dry DNB"),1,0)</f>
        <v>0</v>
      </c>
      <c r="Y3239" s="39" t="n">
        <f aca="false">MATCH(A3239,DATAS,0)</f>
        <v>1</v>
      </c>
      <c r="Z3239" s="39" t="n">
        <f aca="false">IF(AND(E3239&gt;0,OR(AND(B3239&gt;=1,B3239&lt;=6),B3239=10)),1,0)</f>
        <v>0</v>
      </c>
      <c r="AA3239" s="39" t="n">
        <f aca="false">IF(AND(E3239&gt;0,B3239=10),1,0)</f>
        <v>0</v>
      </c>
      <c r="AB3239" s="0" t="str">
        <f aca="false">IF(AND(C3238=C3239,Y3238=Y3239-1),Z3238,"")</f>
        <v/>
      </c>
      <c r="AC3239" s="0" t="str">
        <f aca="false">IF(AND(C3238=C3239,Y3238=Y3239-1),AA3238,"")</f>
        <v/>
      </c>
      <c r="AD3239" s="0" t="str">
        <f aca="false">IF(Y3239=1,"",IF(AND(Z3239=1,AB3239&lt;&gt;1),1,0))</f>
        <v/>
      </c>
      <c r="AE3239" s="0" t="str">
        <f aca="false">IF(Y3239=1,"",IF(AND(AA3239=1,AC3239&lt;&gt;1),1,0))</f>
        <v/>
      </c>
      <c r="AF3239" s="45" t="str">
        <f aca="false">IF(AND(E3239&gt;0,Y3239&lt;1,NOT(AND(C3240=C3239,Y3240=Y3239+1))),INDEX(DATAS,Y3239+1),"")</f>
        <v/>
      </c>
      <c r="AG3239" s="45" t="str">
        <f aca="false">IF(AND(AA3239=1,Y3239&lt;1),IF(AND(C3240=C3239,Y3240=Y3239+1),IF(AA3240=1,"",INDEX(DATAS,Y3239+1)),INDEX(DATAS,Y3239+1)),"")</f>
        <v/>
      </c>
    </row>
    <row r="3240" customFormat="false" ht="15" hidden="false" customHeight="false" outlineLevel="0" collapsed="false">
      <c r="A3240" s="45" t="n">
        <v>46309</v>
      </c>
      <c r="B3240" s="0" t="n">
        <v>13</v>
      </c>
      <c r="C3240" s="0" t="n">
        <v>7662</v>
      </c>
      <c r="E3240" s="0" t="n">
        <v>0</v>
      </c>
      <c r="F3240" s="39" t="s">
        <v>1493</v>
      </c>
      <c r="I3240" s="39" t="s">
        <v>136</v>
      </c>
      <c r="U3240" s="0" t="n">
        <v>174</v>
      </c>
      <c r="V3240" s="0" t="n">
        <v>0</v>
      </c>
      <c r="W3240" s="39" t="n">
        <f aca="false">IF(I3240="Male",0,1)</f>
        <v>1</v>
      </c>
      <c r="X3240" s="39" t="n">
        <f aca="false">IF(OR(I3240="DNB",I3240="Dry DNB"),1,0)</f>
        <v>0</v>
      </c>
      <c r="Y3240" s="39" t="n">
        <f aca="false">MATCH(A3240,DATAS,0)</f>
        <v>1</v>
      </c>
      <c r="Z3240" s="39" t="n">
        <f aca="false">IF(AND(E3240&gt;0,OR(AND(B3240&gt;=1,B3240&lt;=6),B3240=10)),1,0)</f>
        <v>0</v>
      </c>
      <c r="AA3240" s="39" t="n">
        <f aca="false">IF(AND(E3240&gt;0,B3240=10),1,0)</f>
        <v>0</v>
      </c>
      <c r="AB3240" s="0" t="str">
        <f aca="false">IF(AND(C3239=C3240,Y3239=Y3240-1),Z3239,"")</f>
        <v/>
      </c>
      <c r="AC3240" s="0" t="str">
        <f aca="false">IF(AND(C3239=C3240,Y3239=Y3240-1),AA3239,"")</f>
        <v/>
      </c>
      <c r="AD3240" s="0" t="str">
        <f aca="false">IF(Y3240=1,"",IF(AND(Z3240=1,AB3240&lt;&gt;1),1,0))</f>
        <v/>
      </c>
      <c r="AE3240" s="0" t="str">
        <f aca="false">IF(Y3240=1,"",IF(AND(AA3240=1,AC3240&lt;&gt;1),1,0))</f>
        <v/>
      </c>
      <c r="AF3240" s="45" t="str">
        <f aca="false">IF(AND(E3240&gt;0,Y3240&lt;1,NOT(AND(C3241=C3240,Y3241=Y3240+1))),INDEX(DATAS,Y3240+1),"")</f>
        <v/>
      </c>
      <c r="AG3240" s="45" t="str">
        <f aca="false">IF(AND(AA3240=1,Y3240&lt;1),IF(AND(C3241=C3240,Y3241=Y3240+1),IF(AA3241=1,"",INDEX(DATAS,Y3240+1)),INDEX(DATAS,Y3240+1)),"")</f>
        <v/>
      </c>
    </row>
    <row r="3241" customFormat="false" ht="15" hidden="false" customHeight="false" outlineLevel="0" collapsed="false">
      <c r="A3241" s="45" t="n">
        <v>46309</v>
      </c>
      <c r="B3241" s="0" t="n">
        <v>13</v>
      </c>
      <c r="C3241" s="0" t="n">
        <v>7663</v>
      </c>
      <c r="E3241" s="0" t="n">
        <v>0</v>
      </c>
      <c r="F3241" s="39" t="s">
        <v>1494</v>
      </c>
      <c r="I3241" s="39" t="s">
        <v>136</v>
      </c>
      <c r="U3241" s="0" t="n">
        <v>172</v>
      </c>
      <c r="V3241" s="0" t="n">
        <v>0</v>
      </c>
      <c r="W3241" s="39" t="n">
        <f aca="false">IF(I3241="Male",0,1)</f>
        <v>1</v>
      </c>
      <c r="X3241" s="39" t="n">
        <f aca="false">IF(OR(I3241="DNB",I3241="Dry DNB"),1,0)</f>
        <v>0</v>
      </c>
      <c r="Y3241" s="39" t="n">
        <f aca="false">MATCH(A3241,DATAS,0)</f>
        <v>1</v>
      </c>
      <c r="Z3241" s="39" t="n">
        <f aca="false">IF(AND(E3241&gt;0,OR(AND(B3241&gt;=1,B3241&lt;=6),B3241=10)),1,0)</f>
        <v>0</v>
      </c>
      <c r="AA3241" s="39" t="n">
        <f aca="false">IF(AND(E3241&gt;0,B3241=10),1,0)</f>
        <v>0</v>
      </c>
      <c r="AB3241" s="0" t="str">
        <f aca="false">IF(AND(C3240=C3241,Y3240=Y3241-1),Z3240,"")</f>
        <v/>
      </c>
      <c r="AC3241" s="0" t="str">
        <f aca="false">IF(AND(C3240=C3241,Y3240=Y3241-1),AA3240,"")</f>
        <v/>
      </c>
      <c r="AD3241" s="0" t="str">
        <f aca="false">IF(Y3241=1,"",IF(AND(Z3241=1,AB3241&lt;&gt;1),1,0))</f>
        <v/>
      </c>
      <c r="AE3241" s="0" t="str">
        <f aca="false">IF(Y3241=1,"",IF(AND(AA3241=1,AC3241&lt;&gt;1),1,0))</f>
        <v/>
      </c>
      <c r="AF3241" s="45" t="str">
        <f aca="false">IF(AND(E3241&gt;0,Y3241&lt;1,NOT(AND(C3242=C3241,Y3242=Y3241+1))),INDEX(DATAS,Y3241+1),"")</f>
        <v/>
      </c>
      <c r="AG3241" s="45" t="str">
        <f aca="false">IF(AND(AA3241=1,Y3241&lt;1),IF(AND(C3242=C3241,Y3242=Y3241+1),IF(AA3242=1,"",INDEX(DATAS,Y3241+1)),INDEX(DATAS,Y3241+1)),"")</f>
        <v/>
      </c>
    </row>
    <row r="3242" customFormat="false" ht="15" hidden="false" customHeight="false" outlineLevel="0" collapsed="false">
      <c r="A3242" s="45" t="n">
        <v>46309</v>
      </c>
      <c r="B3242" s="0" t="n">
        <v>13</v>
      </c>
      <c r="C3242" s="0" t="n">
        <v>7664</v>
      </c>
      <c r="E3242" s="0" t="n">
        <v>0</v>
      </c>
      <c r="F3242" s="39" t="s">
        <v>1494</v>
      </c>
      <c r="I3242" s="39" t="s">
        <v>136</v>
      </c>
      <c r="U3242" s="0" t="n">
        <v>172</v>
      </c>
      <c r="V3242" s="0" t="n">
        <v>0</v>
      </c>
      <c r="W3242" s="39" t="n">
        <f aca="false">IF(I3242="Male",0,1)</f>
        <v>1</v>
      </c>
      <c r="X3242" s="39" t="n">
        <f aca="false">IF(OR(I3242="DNB",I3242="Dry DNB"),1,0)</f>
        <v>0</v>
      </c>
      <c r="Y3242" s="39" t="n">
        <f aca="false">MATCH(A3242,DATAS,0)</f>
        <v>1</v>
      </c>
      <c r="Z3242" s="39" t="n">
        <f aca="false">IF(AND(E3242&gt;0,OR(AND(B3242&gt;=1,B3242&lt;=6),B3242=10)),1,0)</f>
        <v>0</v>
      </c>
      <c r="AA3242" s="39" t="n">
        <f aca="false">IF(AND(E3242&gt;0,B3242=10),1,0)</f>
        <v>0</v>
      </c>
      <c r="AB3242" s="0" t="str">
        <f aca="false">IF(AND(C3241=C3242,Y3241=Y3242-1),Z3241,"")</f>
        <v/>
      </c>
      <c r="AC3242" s="0" t="str">
        <f aca="false">IF(AND(C3241=C3242,Y3241=Y3242-1),AA3241,"")</f>
        <v/>
      </c>
      <c r="AD3242" s="0" t="str">
        <f aca="false">IF(Y3242=1,"",IF(AND(Z3242=1,AB3242&lt;&gt;1),1,0))</f>
        <v/>
      </c>
      <c r="AE3242" s="0" t="str">
        <f aca="false">IF(Y3242=1,"",IF(AND(AA3242=1,AC3242&lt;&gt;1),1,0))</f>
        <v/>
      </c>
      <c r="AF3242" s="45" t="str">
        <f aca="false">IF(AND(E3242&gt;0,Y3242&lt;1,NOT(AND(C3243=C3242,Y3243=Y3242+1))),INDEX(DATAS,Y3242+1),"")</f>
        <v/>
      </c>
      <c r="AG3242" s="45" t="str">
        <f aca="false">IF(AND(AA3242=1,Y3242&lt;1),IF(AND(C3243=C3242,Y3243=Y3242+1),IF(AA3243=1,"",INDEX(DATAS,Y3242+1)),INDEX(DATAS,Y3242+1)),"")</f>
        <v/>
      </c>
    </row>
    <row r="3243" customFormat="false" ht="15" hidden="false" customHeight="false" outlineLevel="0" collapsed="false">
      <c r="A3243" s="45" t="n">
        <v>46309</v>
      </c>
      <c r="B3243" s="0" t="n">
        <v>13</v>
      </c>
      <c r="C3243" s="0" t="n">
        <v>7665</v>
      </c>
      <c r="E3243" s="0" t="n">
        <v>0</v>
      </c>
      <c r="F3243" s="39" t="s">
        <v>1494</v>
      </c>
      <c r="I3243" s="39" t="s">
        <v>136</v>
      </c>
      <c r="U3243" s="0" t="n">
        <v>172</v>
      </c>
      <c r="V3243" s="0" t="n">
        <v>0</v>
      </c>
      <c r="W3243" s="39" t="n">
        <f aca="false">IF(I3243="Male",0,1)</f>
        <v>1</v>
      </c>
      <c r="X3243" s="39" t="n">
        <f aca="false">IF(OR(I3243="DNB",I3243="Dry DNB"),1,0)</f>
        <v>0</v>
      </c>
      <c r="Y3243" s="39" t="n">
        <f aca="false">MATCH(A3243,DATAS,0)</f>
        <v>1</v>
      </c>
      <c r="Z3243" s="39" t="n">
        <f aca="false">IF(AND(E3243&gt;0,OR(AND(B3243&gt;=1,B3243&lt;=6),B3243=10)),1,0)</f>
        <v>0</v>
      </c>
      <c r="AA3243" s="39" t="n">
        <f aca="false">IF(AND(E3243&gt;0,B3243=10),1,0)</f>
        <v>0</v>
      </c>
      <c r="AB3243" s="0" t="str">
        <f aca="false">IF(AND(C3242=C3243,Y3242=Y3243-1),Z3242,"")</f>
        <v/>
      </c>
      <c r="AC3243" s="0" t="str">
        <f aca="false">IF(AND(C3242=C3243,Y3242=Y3243-1),AA3242,"")</f>
        <v/>
      </c>
      <c r="AD3243" s="0" t="str">
        <f aca="false">IF(Y3243=1,"",IF(AND(Z3243=1,AB3243&lt;&gt;1),1,0))</f>
        <v/>
      </c>
      <c r="AE3243" s="0" t="str">
        <f aca="false">IF(Y3243=1,"",IF(AND(AA3243=1,AC3243&lt;&gt;1),1,0))</f>
        <v/>
      </c>
      <c r="AF3243" s="45" t="str">
        <f aca="false">IF(AND(E3243&gt;0,Y3243&lt;1,NOT(AND(C3244=C3243,Y3244=Y3243+1))),INDEX(DATAS,Y3243+1),"")</f>
        <v/>
      </c>
      <c r="AG3243" s="45" t="str">
        <f aca="false">IF(AND(AA3243=1,Y3243&lt;1),IF(AND(C3244=C3243,Y3244=Y3243+1),IF(AA3244=1,"",INDEX(DATAS,Y3243+1)),INDEX(DATAS,Y3243+1)),"")</f>
        <v/>
      </c>
    </row>
    <row r="3244" customFormat="false" ht="15" hidden="false" customHeight="false" outlineLevel="0" collapsed="false">
      <c r="A3244" s="45" t="n">
        <v>46309</v>
      </c>
      <c r="B3244" s="0" t="n">
        <v>13</v>
      </c>
      <c r="C3244" s="0" t="n">
        <v>7667</v>
      </c>
      <c r="E3244" s="0" t="n">
        <v>0</v>
      </c>
      <c r="F3244" s="39" t="s">
        <v>1494</v>
      </c>
      <c r="I3244" s="39" t="s">
        <v>136</v>
      </c>
      <c r="U3244" s="0" t="n">
        <v>172</v>
      </c>
      <c r="V3244" s="0" t="n">
        <v>0</v>
      </c>
      <c r="W3244" s="39" t="n">
        <f aca="false">IF(I3244="Male",0,1)</f>
        <v>1</v>
      </c>
      <c r="X3244" s="39" t="n">
        <f aca="false">IF(OR(I3244="DNB",I3244="Dry DNB"),1,0)</f>
        <v>0</v>
      </c>
      <c r="Y3244" s="39" t="n">
        <f aca="false">MATCH(A3244,DATAS,0)</f>
        <v>1</v>
      </c>
      <c r="Z3244" s="39" t="n">
        <f aca="false">IF(AND(E3244&gt;0,OR(AND(B3244&gt;=1,B3244&lt;=6),B3244=10)),1,0)</f>
        <v>0</v>
      </c>
      <c r="AA3244" s="39" t="n">
        <f aca="false">IF(AND(E3244&gt;0,B3244=10),1,0)</f>
        <v>0</v>
      </c>
      <c r="AB3244" s="0" t="str">
        <f aca="false">IF(AND(C3243=C3244,Y3243=Y3244-1),Z3243,"")</f>
        <v/>
      </c>
      <c r="AC3244" s="0" t="str">
        <f aca="false">IF(AND(C3243=C3244,Y3243=Y3244-1),AA3243,"")</f>
        <v/>
      </c>
      <c r="AD3244" s="0" t="str">
        <f aca="false">IF(Y3244=1,"",IF(AND(Z3244=1,AB3244&lt;&gt;1),1,0))</f>
        <v/>
      </c>
      <c r="AE3244" s="0" t="str">
        <f aca="false">IF(Y3244=1,"",IF(AND(AA3244=1,AC3244&lt;&gt;1),1,0))</f>
        <v/>
      </c>
      <c r="AF3244" s="45" t="str">
        <f aca="false">IF(AND(E3244&gt;0,Y3244&lt;1,NOT(AND(C3245=C3244,Y3245=Y3244+1))),INDEX(DATAS,Y3244+1),"")</f>
        <v/>
      </c>
      <c r="AG3244" s="45" t="str">
        <f aca="false">IF(AND(AA3244=1,Y3244&lt;1),IF(AND(C3245=C3244,Y3245=Y3244+1),IF(AA3245=1,"",INDEX(DATAS,Y3244+1)),INDEX(DATAS,Y3244+1)),"")</f>
        <v/>
      </c>
    </row>
    <row r="3245" customFormat="false" ht="15" hidden="false" customHeight="false" outlineLevel="0" collapsed="false">
      <c r="A3245" s="45" t="n">
        <v>46309</v>
      </c>
      <c r="B3245" s="0" t="n">
        <v>13</v>
      </c>
      <c r="C3245" s="0" t="n">
        <v>7668</v>
      </c>
      <c r="E3245" s="0" t="n">
        <v>0</v>
      </c>
      <c r="F3245" s="39" t="s">
        <v>1495</v>
      </c>
      <c r="I3245" s="39" t="s">
        <v>136</v>
      </c>
      <c r="U3245" s="0" t="n">
        <v>171</v>
      </c>
      <c r="V3245" s="0" t="n">
        <v>0</v>
      </c>
      <c r="W3245" s="39" t="n">
        <f aca="false">IF(I3245="Male",0,1)</f>
        <v>1</v>
      </c>
      <c r="X3245" s="39" t="n">
        <f aca="false">IF(OR(I3245="DNB",I3245="Dry DNB"),1,0)</f>
        <v>0</v>
      </c>
      <c r="Y3245" s="39" t="n">
        <f aca="false">MATCH(A3245,DATAS,0)</f>
        <v>1</v>
      </c>
      <c r="Z3245" s="39" t="n">
        <f aca="false">IF(AND(E3245&gt;0,OR(AND(B3245&gt;=1,B3245&lt;=6),B3245=10)),1,0)</f>
        <v>0</v>
      </c>
      <c r="AA3245" s="39" t="n">
        <f aca="false">IF(AND(E3245&gt;0,B3245=10),1,0)</f>
        <v>0</v>
      </c>
      <c r="AB3245" s="0" t="str">
        <f aca="false">IF(AND(C3244=C3245,Y3244=Y3245-1),Z3244,"")</f>
        <v/>
      </c>
      <c r="AC3245" s="0" t="str">
        <f aca="false">IF(AND(C3244=C3245,Y3244=Y3245-1),AA3244,"")</f>
        <v/>
      </c>
      <c r="AD3245" s="0" t="str">
        <f aca="false">IF(Y3245=1,"",IF(AND(Z3245=1,AB3245&lt;&gt;1),1,0))</f>
        <v/>
      </c>
      <c r="AE3245" s="0" t="str">
        <f aca="false">IF(Y3245=1,"",IF(AND(AA3245=1,AC3245&lt;&gt;1),1,0))</f>
        <v/>
      </c>
      <c r="AF3245" s="45" t="str">
        <f aca="false">IF(AND(E3245&gt;0,Y3245&lt;1,NOT(AND(C3246=C3245,Y3246=Y3245+1))),INDEX(DATAS,Y3245+1),"")</f>
        <v/>
      </c>
      <c r="AG3245" s="45" t="str">
        <f aca="false">IF(AND(AA3245=1,Y3245&lt;1),IF(AND(C3246=C3245,Y3246=Y3245+1),IF(AA3246=1,"",INDEX(DATAS,Y3245+1)),INDEX(DATAS,Y3245+1)),"")</f>
        <v/>
      </c>
    </row>
    <row r="3246" customFormat="false" ht="15" hidden="false" customHeight="false" outlineLevel="0" collapsed="false">
      <c r="A3246" s="45" t="n">
        <v>46309</v>
      </c>
      <c r="B3246" s="0" t="n">
        <v>13</v>
      </c>
      <c r="C3246" s="0" t="n">
        <v>7669</v>
      </c>
      <c r="E3246" s="0" t="n">
        <v>0</v>
      </c>
      <c r="F3246" s="39" t="s">
        <v>1495</v>
      </c>
      <c r="I3246" s="39" t="s">
        <v>136</v>
      </c>
      <c r="U3246" s="0" t="n">
        <v>171</v>
      </c>
      <c r="V3246" s="0" t="n">
        <v>0</v>
      </c>
      <c r="W3246" s="39" t="n">
        <f aca="false">IF(I3246="Male",0,1)</f>
        <v>1</v>
      </c>
      <c r="X3246" s="39" t="n">
        <f aca="false">IF(OR(I3246="DNB",I3246="Dry DNB"),1,0)</f>
        <v>0</v>
      </c>
      <c r="Y3246" s="39" t="n">
        <f aca="false">MATCH(A3246,DATAS,0)</f>
        <v>1</v>
      </c>
      <c r="Z3246" s="39" t="n">
        <f aca="false">IF(AND(E3246&gt;0,OR(AND(B3246&gt;=1,B3246&lt;=6),B3246=10)),1,0)</f>
        <v>0</v>
      </c>
      <c r="AA3246" s="39" t="n">
        <f aca="false">IF(AND(E3246&gt;0,B3246=10),1,0)</f>
        <v>0</v>
      </c>
      <c r="AB3246" s="0" t="str">
        <f aca="false">IF(AND(C3245=C3246,Y3245=Y3246-1),Z3245,"")</f>
        <v/>
      </c>
      <c r="AC3246" s="0" t="str">
        <f aca="false">IF(AND(C3245=C3246,Y3245=Y3246-1),AA3245,"")</f>
        <v/>
      </c>
      <c r="AD3246" s="0" t="str">
        <f aca="false">IF(Y3246=1,"",IF(AND(Z3246=1,AB3246&lt;&gt;1),1,0))</f>
        <v/>
      </c>
      <c r="AE3246" s="0" t="str">
        <f aca="false">IF(Y3246=1,"",IF(AND(AA3246=1,AC3246&lt;&gt;1),1,0))</f>
        <v/>
      </c>
      <c r="AF3246" s="45" t="str">
        <f aca="false">IF(AND(E3246&gt;0,Y3246&lt;1,NOT(AND(C3247=C3246,Y3247=Y3246+1))),INDEX(DATAS,Y3246+1),"")</f>
        <v/>
      </c>
      <c r="AG3246" s="45" t="str">
        <f aca="false">IF(AND(AA3246=1,Y3246&lt;1),IF(AND(C3247=C3246,Y3247=Y3246+1),IF(AA3247=1,"",INDEX(DATAS,Y3246+1)),INDEX(DATAS,Y3246+1)),"")</f>
        <v/>
      </c>
    </row>
    <row r="3247" customFormat="false" ht="15" hidden="false" customHeight="false" outlineLevel="0" collapsed="false">
      <c r="A3247" s="45" t="n">
        <v>46309</v>
      </c>
      <c r="B3247" s="0" t="n">
        <v>13</v>
      </c>
      <c r="C3247" s="0" t="n">
        <v>7671</v>
      </c>
      <c r="E3247" s="0" t="n">
        <v>0</v>
      </c>
      <c r="F3247" s="39" t="s">
        <v>1496</v>
      </c>
      <c r="I3247" s="39" t="s">
        <v>136</v>
      </c>
      <c r="U3247" s="0" t="n">
        <v>170</v>
      </c>
      <c r="V3247" s="0" t="n">
        <v>0</v>
      </c>
      <c r="W3247" s="39" t="n">
        <f aca="false">IF(I3247="Male",0,1)</f>
        <v>1</v>
      </c>
      <c r="X3247" s="39" t="n">
        <f aca="false">IF(OR(I3247="DNB",I3247="Dry DNB"),1,0)</f>
        <v>0</v>
      </c>
      <c r="Y3247" s="39" t="n">
        <f aca="false">MATCH(A3247,DATAS,0)</f>
        <v>1</v>
      </c>
      <c r="Z3247" s="39" t="n">
        <f aca="false">IF(AND(E3247&gt;0,OR(AND(B3247&gt;=1,B3247&lt;=6),B3247=10)),1,0)</f>
        <v>0</v>
      </c>
      <c r="AA3247" s="39" t="n">
        <f aca="false">IF(AND(E3247&gt;0,B3247=10),1,0)</f>
        <v>0</v>
      </c>
      <c r="AB3247" s="0" t="str">
        <f aca="false">IF(AND(C3246=C3247,Y3246=Y3247-1),Z3246,"")</f>
        <v/>
      </c>
      <c r="AC3247" s="0" t="str">
        <f aca="false">IF(AND(C3246=C3247,Y3246=Y3247-1),AA3246,"")</f>
        <v/>
      </c>
      <c r="AD3247" s="0" t="str">
        <f aca="false">IF(Y3247=1,"",IF(AND(Z3247=1,AB3247&lt;&gt;1),1,0))</f>
        <v/>
      </c>
      <c r="AE3247" s="0" t="str">
        <f aca="false">IF(Y3247=1,"",IF(AND(AA3247=1,AC3247&lt;&gt;1),1,0))</f>
        <v/>
      </c>
      <c r="AF3247" s="45" t="str">
        <f aca="false">IF(AND(E3247&gt;0,Y3247&lt;1,NOT(AND(C3248=C3247,Y3248=Y3247+1))),INDEX(DATAS,Y3247+1),"")</f>
        <v/>
      </c>
      <c r="AG3247" s="45" t="str">
        <f aca="false">IF(AND(AA3247=1,Y3247&lt;1),IF(AND(C3248=C3247,Y3248=Y3247+1),IF(AA3248=1,"",INDEX(DATAS,Y3247+1)),INDEX(DATAS,Y3247+1)),"")</f>
        <v/>
      </c>
    </row>
    <row r="3248" customFormat="false" ht="15" hidden="false" customHeight="false" outlineLevel="0" collapsed="false">
      <c r="A3248" s="45" t="n">
        <v>46309</v>
      </c>
      <c r="B3248" s="0" t="n">
        <v>13</v>
      </c>
      <c r="C3248" s="0" t="n">
        <v>7672</v>
      </c>
      <c r="E3248" s="0" t="n">
        <v>0</v>
      </c>
      <c r="F3248" s="39" t="s">
        <v>1497</v>
      </c>
      <c r="I3248" s="39" t="s">
        <v>136</v>
      </c>
      <c r="U3248" s="0" t="n">
        <v>169</v>
      </c>
      <c r="V3248" s="0" t="n">
        <v>0</v>
      </c>
      <c r="W3248" s="39" t="n">
        <f aca="false">IF(I3248="Male",0,1)</f>
        <v>1</v>
      </c>
      <c r="X3248" s="39" t="n">
        <f aca="false">IF(OR(I3248="DNB",I3248="Dry DNB"),1,0)</f>
        <v>0</v>
      </c>
      <c r="Y3248" s="39" t="n">
        <f aca="false">MATCH(A3248,DATAS,0)</f>
        <v>1</v>
      </c>
      <c r="Z3248" s="39" t="n">
        <f aca="false">IF(AND(E3248&gt;0,OR(AND(B3248&gt;=1,B3248&lt;=6),B3248=10)),1,0)</f>
        <v>0</v>
      </c>
      <c r="AA3248" s="39" t="n">
        <f aca="false">IF(AND(E3248&gt;0,B3248=10),1,0)</f>
        <v>0</v>
      </c>
      <c r="AB3248" s="0" t="str">
        <f aca="false">IF(AND(C3247=C3248,Y3247=Y3248-1),Z3247,"")</f>
        <v/>
      </c>
      <c r="AC3248" s="0" t="str">
        <f aca="false">IF(AND(C3247=C3248,Y3247=Y3248-1),AA3247,"")</f>
        <v/>
      </c>
      <c r="AD3248" s="0" t="str">
        <f aca="false">IF(Y3248=1,"",IF(AND(Z3248=1,AB3248&lt;&gt;1),1,0))</f>
        <v/>
      </c>
      <c r="AE3248" s="0" t="str">
        <f aca="false">IF(Y3248=1,"",IF(AND(AA3248=1,AC3248&lt;&gt;1),1,0))</f>
        <v/>
      </c>
      <c r="AF3248" s="45" t="str">
        <f aca="false">IF(AND(E3248&gt;0,Y3248&lt;1,NOT(AND(C3249=C3248,Y3249=Y3248+1))),INDEX(DATAS,Y3248+1),"")</f>
        <v/>
      </c>
      <c r="AG3248" s="45" t="str">
        <f aca="false">IF(AND(AA3248=1,Y3248&lt;1),IF(AND(C3249=C3248,Y3249=Y3248+1),IF(AA3249=1,"",INDEX(DATAS,Y3248+1)),INDEX(DATAS,Y3248+1)),"")</f>
        <v/>
      </c>
    </row>
    <row r="3249" customFormat="false" ht="15" hidden="false" customHeight="false" outlineLevel="0" collapsed="false">
      <c r="A3249" s="45" t="n">
        <v>46309</v>
      </c>
      <c r="B3249" s="0" t="n">
        <v>13</v>
      </c>
      <c r="C3249" s="0" t="n">
        <v>7673</v>
      </c>
      <c r="E3249" s="0" t="n">
        <v>0</v>
      </c>
      <c r="F3249" s="39" t="s">
        <v>1497</v>
      </c>
      <c r="I3249" s="39" t="s">
        <v>136</v>
      </c>
      <c r="U3249" s="0" t="n">
        <v>169</v>
      </c>
      <c r="V3249" s="0" t="n">
        <v>0</v>
      </c>
      <c r="W3249" s="39" t="n">
        <f aca="false">IF(I3249="Male",0,1)</f>
        <v>1</v>
      </c>
      <c r="X3249" s="39" t="n">
        <f aca="false">IF(OR(I3249="DNB",I3249="Dry DNB"),1,0)</f>
        <v>0</v>
      </c>
      <c r="Y3249" s="39" t="n">
        <f aca="false">MATCH(A3249,DATAS,0)</f>
        <v>1</v>
      </c>
      <c r="Z3249" s="39" t="n">
        <f aca="false">IF(AND(E3249&gt;0,OR(AND(B3249&gt;=1,B3249&lt;=6),B3249=10)),1,0)</f>
        <v>0</v>
      </c>
      <c r="AA3249" s="39" t="n">
        <f aca="false">IF(AND(E3249&gt;0,B3249=10),1,0)</f>
        <v>0</v>
      </c>
      <c r="AB3249" s="0" t="str">
        <f aca="false">IF(AND(C3248=C3249,Y3248=Y3249-1),Z3248,"")</f>
        <v/>
      </c>
      <c r="AC3249" s="0" t="str">
        <f aca="false">IF(AND(C3248=C3249,Y3248=Y3249-1),AA3248,"")</f>
        <v/>
      </c>
      <c r="AD3249" s="0" t="str">
        <f aca="false">IF(Y3249=1,"",IF(AND(Z3249=1,AB3249&lt;&gt;1),1,0))</f>
        <v/>
      </c>
      <c r="AE3249" s="0" t="str">
        <f aca="false">IF(Y3249=1,"",IF(AND(AA3249=1,AC3249&lt;&gt;1),1,0))</f>
        <v/>
      </c>
      <c r="AF3249" s="45" t="str">
        <f aca="false">IF(AND(E3249&gt;0,Y3249&lt;1,NOT(AND(C3250=C3249,Y3250=Y3249+1))),INDEX(DATAS,Y3249+1),"")</f>
        <v/>
      </c>
      <c r="AG3249" s="45" t="str">
        <f aca="false">IF(AND(AA3249=1,Y3249&lt;1),IF(AND(C3250=C3249,Y3250=Y3249+1),IF(AA3250=1,"",INDEX(DATAS,Y3249+1)),INDEX(DATAS,Y3249+1)),"")</f>
        <v/>
      </c>
    </row>
    <row r="3250" customFormat="false" ht="15" hidden="false" customHeight="false" outlineLevel="0" collapsed="false">
      <c r="A3250" s="45" t="n">
        <v>46309</v>
      </c>
      <c r="B3250" s="0" t="n">
        <v>13</v>
      </c>
      <c r="C3250" s="0" t="n">
        <v>7674</v>
      </c>
      <c r="E3250" s="0" t="n">
        <v>0</v>
      </c>
      <c r="F3250" s="39" t="s">
        <v>1497</v>
      </c>
      <c r="I3250" s="39" t="s">
        <v>136</v>
      </c>
      <c r="U3250" s="0" t="n">
        <v>169</v>
      </c>
      <c r="V3250" s="0" t="n">
        <v>0</v>
      </c>
      <c r="W3250" s="39" t="n">
        <f aca="false">IF(I3250="Male",0,1)</f>
        <v>1</v>
      </c>
      <c r="X3250" s="39" t="n">
        <f aca="false">IF(OR(I3250="DNB",I3250="Dry DNB"),1,0)</f>
        <v>0</v>
      </c>
      <c r="Y3250" s="39" t="n">
        <f aca="false">MATCH(A3250,DATAS,0)</f>
        <v>1</v>
      </c>
      <c r="Z3250" s="39" t="n">
        <f aca="false">IF(AND(E3250&gt;0,OR(AND(B3250&gt;=1,B3250&lt;=6),B3250=10)),1,0)</f>
        <v>0</v>
      </c>
      <c r="AA3250" s="39" t="n">
        <f aca="false">IF(AND(E3250&gt;0,B3250=10),1,0)</f>
        <v>0</v>
      </c>
      <c r="AB3250" s="0" t="str">
        <f aca="false">IF(AND(C3249=C3250,Y3249=Y3250-1),Z3249,"")</f>
        <v/>
      </c>
      <c r="AC3250" s="0" t="str">
        <f aca="false">IF(AND(C3249=C3250,Y3249=Y3250-1),AA3249,"")</f>
        <v/>
      </c>
      <c r="AD3250" s="0" t="str">
        <f aca="false">IF(Y3250=1,"",IF(AND(Z3250=1,AB3250&lt;&gt;1),1,0))</f>
        <v/>
      </c>
      <c r="AE3250" s="0" t="str">
        <f aca="false">IF(Y3250=1,"",IF(AND(AA3250=1,AC3250&lt;&gt;1),1,0))</f>
        <v/>
      </c>
      <c r="AF3250" s="45" t="str">
        <f aca="false">IF(AND(E3250&gt;0,Y3250&lt;1,NOT(AND(C3251=C3250,Y3251=Y3250+1))),INDEX(DATAS,Y3250+1),"")</f>
        <v/>
      </c>
      <c r="AG3250" s="45" t="str">
        <f aca="false">IF(AND(AA3250=1,Y3250&lt;1),IF(AND(C3251=C3250,Y3251=Y3250+1),IF(AA3251=1,"",INDEX(DATAS,Y3250+1)),INDEX(DATAS,Y3250+1)),"")</f>
        <v/>
      </c>
    </row>
    <row r="3251" customFormat="false" ht="15" hidden="false" customHeight="false" outlineLevel="0" collapsed="false">
      <c r="A3251" s="45" t="n">
        <v>46309</v>
      </c>
      <c r="B3251" s="0" t="n">
        <v>13</v>
      </c>
      <c r="C3251" s="0" t="n">
        <v>7675</v>
      </c>
      <c r="E3251" s="0" t="n">
        <v>0</v>
      </c>
      <c r="F3251" s="39" t="s">
        <v>1498</v>
      </c>
      <c r="I3251" s="39" t="s">
        <v>136</v>
      </c>
      <c r="U3251" s="0" t="n">
        <v>168</v>
      </c>
      <c r="V3251" s="0" t="n">
        <v>0</v>
      </c>
      <c r="W3251" s="39" t="n">
        <f aca="false">IF(I3251="Male",0,1)</f>
        <v>1</v>
      </c>
      <c r="X3251" s="39" t="n">
        <f aca="false">IF(OR(I3251="DNB",I3251="Dry DNB"),1,0)</f>
        <v>0</v>
      </c>
      <c r="Y3251" s="39" t="n">
        <f aca="false">MATCH(A3251,DATAS,0)</f>
        <v>1</v>
      </c>
      <c r="Z3251" s="39" t="n">
        <f aca="false">IF(AND(E3251&gt;0,OR(AND(B3251&gt;=1,B3251&lt;=6),B3251=10)),1,0)</f>
        <v>0</v>
      </c>
      <c r="AA3251" s="39" t="n">
        <f aca="false">IF(AND(E3251&gt;0,B3251=10),1,0)</f>
        <v>0</v>
      </c>
      <c r="AB3251" s="0" t="str">
        <f aca="false">IF(AND(C3250=C3251,Y3250=Y3251-1),Z3250,"")</f>
        <v/>
      </c>
      <c r="AC3251" s="0" t="str">
        <f aca="false">IF(AND(C3250=C3251,Y3250=Y3251-1),AA3250,"")</f>
        <v/>
      </c>
      <c r="AD3251" s="0" t="str">
        <f aca="false">IF(Y3251=1,"",IF(AND(Z3251=1,AB3251&lt;&gt;1),1,0))</f>
        <v/>
      </c>
      <c r="AE3251" s="0" t="str">
        <f aca="false">IF(Y3251=1,"",IF(AND(AA3251=1,AC3251&lt;&gt;1),1,0))</f>
        <v/>
      </c>
      <c r="AF3251" s="45" t="str">
        <f aca="false">IF(AND(E3251&gt;0,Y3251&lt;1,NOT(AND(C3252=C3251,Y3252=Y3251+1))),INDEX(DATAS,Y3251+1),"")</f>
        <v/>
      </c>
      <c r="AG3251" s="45" t="str">
        <f aca="false">IF(AND(AA3251=1,Y3251&lt;1),IF(AND(C3252=C3251,Y3252=Y3251+1),IF(AA3252=1,"",INDEX(DATAS,Y3251+1)),INDEX(DATAS,Y3251+1)),"")</f>
        <v/>
      </c>
    </row>
    <row r="3252" customFormat="false" ht="15" hidden="false" customHeight="false" outlineLevel="0" collapsed="false">
      <c r="A3252" s="45" t="n">
        <v>46309</v>
      </c>
      <c r="B3252" s="0" t="n">
        <v>13</v>
      </c>
      <c r="C3252" s="0" t="n">
        <v>7676</v>
      </c>
      <c r="E3252" s="0" t="n">
        <v>0</v>
      </c>
      <c r="F3252" s="39" t="s">
        <v>1497</v>
      </c>
      <c r="I3252" s="39" t="s">
        <v>136</v>
      </c>
      <c r="U3252" s="0" t="n">
        <v>169</v>
      </c>
      <c r="V3252" s="0" t="n">
        <v>0</v>
      </c>
      <c r="W3252" s="39" t="n">
        <f aca="false">IF(I3252="Male",0,1)</f>
        <v>1</v>
      </c>
      <c r="X3252" s="39" t="n">
        <f aca="false">IF(OR(I3252="DNB",I3252="Dry DNB"),1,0)</f>
        <v>0</v>
      </c>
      <c r="Y3252" s="39" t="n">
        <f aca="false">MATCH(A3252,DATAS,0)</f>
        <v>1</v>
      </c>
      <c r="Z3252" s="39" t="n">
        <f aca="false">IF(AND(E3252&gt;0,OR(AND(B3252&gt;=1,B3252&lt;=6),B3252=10)),1,0)</f>
        <v>0</v>
      </c>
      <c r="AA3252" s="39" t="n">
        <f aca="false">IF(AND(E3252&gt;0,B3252=10),1,0)</f>
        <v>0</v>
      </c>
      <c r="AB3252" s="0" t="str">
        <f aca="false">IF(AND(C3251=C3252,Y3251=Y3252-1),Z3251,"")</f>
        <v/>
      </c>
      <c r="AC3252" s="0" t="str">
        <f aca="false">IF(AND(C3251=C3252,Y3251=Y3252-1),AA3251,"")</f>
        <v/>
      </c>
      <c r="AD3252" s="0" t="str">
        <f aca="false">IF(Y3252=1,"",IF(AND(Z3252=1,AB3252&lt;&gt;1),1,0))</f>
        <v/>
      </c>
      <c r="AE3252" s="0" t="str">
        <f aca="false">IF(Y3252=1,"",IF(AND(AA3252=1,AC3252&lt;&gt;1),1,0))</f>
        <v/>
      </c>
      <c r="AF3252" s="45" t="str">
        <f aca="false">IF(AND(E3252&gt;0,Y3252&lt;1,NOT(AND(C3253=C3252,Y3253=Y3252+1))),INDEX(DATAS,Y3252+1),"")</f>
        <v/>
      </c>
      <c r="AG3252" s="45" t="str">
        <f aca="false">IF(AND(AA3252=1,Y3252&lt;1),IF(AND(C3253=C3252,Y3253=Y3252+1),IF(AA3253=1,"",INDEX(DATAS,Y3252+1)),INDEX(DATAS,Y3252+1)),"")</f>
        <v/>
      </c>
    </row>
    <row r="3253" customFormat="false" ht="15" hidden="false" customHeight="false" outlineLevel="0" collapsed="false">
      <c r="A3253" s="45" t="n">
        <v>46309</v>
      </c>
      <c r="B3253" s="0" t="n">
        <v>13</v>
      </c>
      <c r="C3253" s="0" t="n">
        <v>7677</v>
      </c>
      <c r="E3253" s="0" t="n">
        <v>0</v>
      </c>
      <c r="F3253" s="39" t="s">
        <v>1499</v>
      </c>
      <c r="I3253" s="39" t="s">
        <v>136</v>
      </c>
      <c r="U3253" s="0" t="n">
        <v>167</v>
      </c>
      <c r="V3253" s="0" t="n">
        <v>0</v>
      </c>
      <c r="W3253" s="39" t="n">
        <f aca="false">IF(I3253="Male",0,1)</f>
        <v>1</v>
      </c>
      <c r="X3253" s="39" t="n">
        <f aca="false">IF(OR(I3253="DNB",I3253="Dry DNB"),1,0)</f>
        <v>0</v>
      </c>
      <c r="Y3253" s="39" t="n">
        <f aca="false">MATCH(A3253,DATAS,0)</f>
        <v>1</v>
      </c>
      <c r="Z3253" s="39" t="n">
        <f aca="false">IF(AND(E3253&gt;0,OR(AND(B3253&gt;=1,B3253&lt;=6),B3253=10)),1,0)</f>
        <v>0</v>
      </c>
      <c r="AA3253" s="39" t="n">
        <f aca="false">IF(AND(E3253&gt;0,B3253=10),1,0)</f>
        <v>0</v>
      </c>
      <c r="AB3253" s="0" t="str">
        <f aca="false">IF(AND(C3252=C3253,Y3252=Y3253-1),Z3252,"")</f>
        <v/>
      </c>
      <c r="AC3253" s="0" t="str">
        <f aca="false">IF(AND(C3252=C3253,Y3252=Y3253-1),AA3252,"")</f>
        <v/>
      </c>
      <c r="AD3253" s="0" t="str">
        <f aca="false">IF(Y3253=1,"",IF(AND(Z3253=1,AB3253&lt;&gt;1),1,0))</f>
        <v/>
      </c>
      <c r="AE3253" s="0" t="str">
        <f aca="false">IF(Y3253=1,"",IF(AND(AA3253=1,AC3253&lt;&gt;1),1,0))</f>
        <v/>
      </c>
      <c r="AF3253" s="45" t="str">
        <f aca="false">IF(AND(E3253&gt;0,Y3253&lt;1,NOT(AND(C3254=C3253,Y3254=Y3253+1))),INDEX(DATAS,Y3253+1),"")</f>
        <v/>
      </c>
      <c r="AG3253" s="45" t="str">
        <f aca="false">IF(AND(AA3253=1,Y3253&lt;1),IF(AND(C3254=C3253,Y3254=Y3253+1),IF(AA3254=1,"",INDEX(DATAS,Y3253+1)),INDEX(DATAS,Y3253+1)),"")</f>
        <v/>
      </c>
    </row>
    <row r="3254" customFormat="false" ht="15" hidden="false" customHeight="false" outlineLevel="0" collapsed="false">
      <c r="A3254" s="45" t="n">
        <v>46309</v>
      </c>
      <c r="B3254" s="0" t="n">
        <v>13</v>
      </c>
      <c r="C3254" s="0" t="n">
        <v>7678</v>
      </c>
      <c r="E3254" s="0" t="n">
        <v>0</v>
      </c>
      <c r="F3254" s="39" t="s">
        <v>1499</v>
      </c>
      <c r="I3254" s="39" t="s">
        <v>136</v>
      </c>
      <c r="U3254" s="0" t="n">
        <v>167</v>
      </c>
      <c r="V3254" s="0" t="n">
        <v>0</v>
      </c>
      <c r="W3254" s="39" t="n">
        <f aca="false">IF(I3254="Male",0,1)</f>
        <v>1</v>
      </c>
      <c r="X3254" s="39" t="n">
        <f aca="false">IF(OR(I3254="DNB",I3254="Dry DNB"),1,0)</f>
        <v>0</v>
      </c>
      <c r="Y3254" s="39" t="n">
        <f aca="false">MATCH(A3254,DATAS,0)</f>
        <v>1</v>
      </c>
      <c r="Z3254" s="39" t="n">
        <f aca="false">IF(AND(E3254&gt;0,OR(AND(B3254&gt;=1,B3254&lt;=6),B3254=10)),1,0)</f>
        <v>0</v>
      </c>
      <c r="AA3254" s="39" t="n">
        <f aca="false">IF(AND(E3254&gt;0,B3254=10),1,0)</f>
        <v>0</v>
      </c>
      <c r="AB3254" s="0" t="str">
        <f aca="false">IF(AND(C3253=C3254,Y3253=Y3254-1),Z3253,"")</f>
        <v/>
      </c>
      <c r="AC3254" s="0" t="str">
        <f aca="false">IF(AND(C3253=C3254,Y3253=Y3254-1),AA3253,"")</f>
        <v/>
      </c>
      <c r="AD3254" s="0" t="str">
        <f aca="false">IF(Y3254=1,"",IF(AND(Z3254=1,AB3254&lt;&gt;1),1,0))</f>
        <v/>
      </c>
      <c r="AE3254" s="0" t="str">
        <f aca="false">IF(Y3254=1,"",IF(AND(AA3254=1,AC3254&lt;&gt;1),1,0))</f>
        <v/>
      </c>
      <c r="AF3254" s="45" t="str">
        <f aca="false">IF(AND(E3254&gt;0,Y3254&lt;1,NOT(AND(C3255=C3254,Y3255=Y3254+1))),INDEX(DATAS,Y3254+1),"")</f>
        <v/>
      </c>
      <c r="AG3254" s="45" t="str">
        <f aca="false">IF(AND(AA3254=1,Y3254&lt;1),IF(AND(C3255=C3254,Y3255=Y3254+1),IF(AA3255=1,"",INDEX(DATAS,Y3254+1)),INDEX(DATAS,Y3254+1)),"")</f>
        <v/>
      </c>
    </row>
    <row r="3255" customFormat="false" ht="15" hidden="false" customHeight="false" outlineLevel="0" collapsed="false">
      <c r="A3255" s="45" t="n">
        <v>46309</v>
      </c>
      <c r="B3255" s="0" t="n">
        <v>13</v>
      </c>
      <c r="C3255" s="0" t="n">
        <v>7679</v>
      </c>
      <c r="E3255" s="0" t="n">
        <v>0</v>
      </c>
      <c r="F3255" s="39" t="s">
        <v>1499</v>
      </c>
      <c r="I3255" s="39" t="s">
        <v>136</v>
      </c>
      <c r="U3255" s="0" t="n">
        <v>167</v>
      </c>
      <c r="V3255" s="0" t="n">
        <v>0</v>
      </c>
      <c r="W3255" s="39" t="n">
        <f aca="false">IF(I3255="Male",0,1)</f>
        <v>1</v>
      </c>
      <c r="X3255" s="39" t="n">
        <f aca="false">IF(OR(I3255="DNB",I3255="Dry DNB"),1,0)</f>
        <v>0</v>
      </c>
      <c r="Y3255" s="39" t="n">
        <f aca="false">MATCH(A3255,DATAS,0)</f>
        <v>1</v>
      </c>
      <c r="Z3255" s="39" t="n">
        <f aca="false">IF(AND(E3255&gt;0,OR(AND(B3255&gt;=1,B3255&lt;=6),B3255=10)),1,0)</f>
        <v>0</v>
      </c>
      <c r="AA3255" s="39" t="n">
        <f aca="false">IF(AND(E3255&gt;0,B3255=10),1,0)</f>
        <v>0</v>
      </c>
      <c r="AB3255" s="0" t="str">
        <f aca="false">IF(AND(C3254=C3255,Y3254=Y3255-1),Z3254,"")</f>
        <v/>
      </c>
      <c r="AC3255" s="0" t="str">
        <f aca="false">IF(AND(C3254=C3255,Y3254=Y3255-1),AA3254,"")</f>
        <v/>
      </c>
      <c r="AD3255" s="0" t="str">
        <f aca="false">IF(Y3255=1,"",IF(AND(Z3255=1,AB3255&lt;&gt;1),1,0))</f>
        <v/>
      </c>
      <c r="AE3255" s="0" t="str">
        <f aca="false">IF(Y3255=1,"",IF(AND(AA3255=1,AC3255&lt;&gt;1),1,0))</f>
        <v/>
      </c>
      <c r="AF3255" s="45" t="str">
        <f aca="false">IF(AND(E3255&gt;0,Y3255&lt;1,NOT(AND(C3256=C3255,Y3256=Y3255+1))),INDEX(DATAS,Y3255+1),"")</f>
        <v/>
      </c>
      <c r="AG3255" s="45" t="str">
        <f aca="false">IF(AND(AA3255=1,Y3255&lt;1),IF(AND(C3256=C3255,Y3256=Y3255+1),IF(AA3256=1,"",INDEX(DATAS,Y3255+1)),INDEX(DATAS,Y3255+1)),"")</f>
        <v/>
      </c>
    </row>
    <row r="3256" customFormat="false" ht="15" hidden="false" customHeight="false" outlineLevel="0" collapsed="false">
      <c r="A3256" s="45" t="n">
        <v>46309</v>
      </c>
      <c r="B3256" s="0" t="n">
        <v>13</v>
      </c>
      <c r="C3256" s="0" t="n">
        <v>7680</v>
      </c>
      <c r="E3256" s="0" t="n">
        <v>0</v>
      </c>
      <c r="F3256" s="39" t="s">
        <v>1500</v>
      </c>
      <c r="I3256" s="39" t="s">
        <v>136</v>
      </c>
      <c r="U3256" s="0" t="n">
        <v>166</v>
      </c>
      <c r="V3256" s="0" t="n">
        <v>0</v>
      </c>
      <c r="W3256" s="39" t="n">
        <f aca="false">IF(I3256="Male",0,1)</f>
        <v>1</v>
      </c>
      <c r="X3256" s="39" t="n">
        <f aca="false">IF(OR(I3256="DNB",I3256="Dry DNB"),1,0)</f>
        <v>0</v>
      </c>
      <c r="Y3256" s="39" t="n">
        <f aca="false">MATCH(A3256,DATAS,0)</f>
        <v>1</v>
      </c>
      <c r="Z3256" s="39" t="n">
        <f aca="false">IF(AND(E3256&gt;0,OR(AND(B3256&gt;=1,B3256&lt;=6),B3256=10)),1,0)</f>
        <v>0</v>
      </c>
      <c r="AA3256" s="39" t="n">
        <f aca="false">IF(AND(E3256&gt;0,B3256=10),1,0)</f>
        <v>0</v>
      </c>
      <c r="AB3256" s="0" t="str">
        <f aca="false">IF(AND(C3255=C3256,Y3255=Y3256-1),Z3255,"")</f>
        <v/>
      </c>
      <c r="AC3256" s="0" t="str">
        <f aca="false">IF(AND(C3255=C3256,Y3255=Y3256-1),AA3255,"")</f>
        <v/>
      </c>
      <c r="AD3256" s="0" t="str">
        <f aca="false">IF(Y3256=1,"",IF(AND(Z3256=1,AB3256&lt;&gt;1),1,0))</f>
        <v/>
      </c>
      <c r="AE3256" s="0" t="str">
        <f aca="false">IF(Y3256=1,"",IF(AND(AA3256=1,AC3256&lt;&gt;1),1,0))</f>
        <v/>
      </c>
      <c r="AF3256" s="45" t="str">
        <f aca="false">IF(AND(E3256&gt;0,Y3256&lt;1,NOT(AND(C3257=C3256,Y3257=Y3256+1))),INDEX(DATAS,Y3256+1),"")</f>
        <v/>
      </c>
      <c r="AG3256" s="45" t="str">
        <f aca="false">IF(AND(AA3256=1,Y3256&lt;1),IF(AND(C3257=C3256,Y3257=Y3256+1),IF(AA3257=1,"",INDEX(DATAS,Y3256+1)),INDEX(DATAS,Y3256+1)),"")</f>
        <v/>
      </c>
    </row>
    <row r="3257" customFormat="false" ht="15" hidden="false" customHeight="false" outlineLevel="0" collapsed="false">
      <c r="A3257" s="45" t="n">
        <v>46309</v>
      </c>
      <c r="B3257" s="0" t="n">
        <v>13</v>
      </c>
      <c r="C3257" s="0" t="n">
        <v>7681</v>
      </c>
      <c r="E3257" s="0" t="n">
        <v>0</v>
      </c>
      <c r="F3257" s="39" t="s">
        <v>1500</v>
      </c>
      <c r="I3257" s="39" t="s">
        <v>136</v>
      </c>
      <c r="U3257" s="0" t="n">
        <v>166</v>
      </c>
      <c r="V3257" s="0" t="n">
        <v>0</v>
      </c>
      <c r="W3257" s="39" t="n">
        <f aca="false">IF(I3257="Male",0,1)</f>
        <v>1</v>
      </c>
      <c r="X3257" s="39" t="n">
        <f aca="false">IF(OR(I3257="DNB",I3257="Dry DNB"),1,0)</f>
        <v>0</v>
      </c>
      <c r="Y3257" s="39" t="n">
        <f aca="false">MATCH(A3257,DATAS,0)</f>
        <v>1</v>
      </c>
      <c r="Z3257" s="39" t="n">
        <f aca="false">IF(AND(E3257&gt;0,OR(AND(B3257&gt;=1,B3257&lt;=6),B3257=10)),1,0)</f>
        <v>0</v>
      </c>
      <c r="AA3257" s="39" t="n">
        <f aca="false">IF(AND(E3257&gt;0,B3257=10),1,0)</f>
        <v>0</v>
      </c>
      <c r="AB3257" s="0" t="str">
        <f aca="false">IF(AND(C3256=C3257,Y3256=Y3257-1),Z3256,"")</f>
        <v/>
      </c>
      <c r="AC3257" s="0" t="str">
        <f aca="false">IF(AND(C3256=C3257,Y3256=Y3257-1),AA3256,"")</f>
        <v/>
      </c>
      <c r="AD3257" s="0" t="str">
        <f aca="false">IF(Y3257=1,"",IF(AND(Z3257=1,AB3257&lt;&gt;1),1,0))</f>
        <v/>
      </c>
      <c r="AE3257" s="0" t="str">
        <f aca="false">IF(Y3257=1,"",IF(AND(AA3257=1,AC3257&lt;&gt;1),1,0))</f>
        <v/>
      </c>
      <c r="AF3257" s="45" t="str">
        <f aca="false">IF(AND(E3257&gt;0,Y3257&lt;1,NOT(AND(C3258=C3257,Y3258=Y3257+1))),INDEX(DATAS,Y3257+1),"")</f>
        <v/>
      </c>
      <c r="AG3257" s="45" t="str">
        <f aca="false">IF(AND(AA3257=1,Y3257&lt;1),IF(AND(C3258=C3257,Y3258=Y3257+1),IF(AA3258=1,"",INDEX(DATAS,Y3257+1)),INDEX(DATAS,Y3257+1)),"")</f>
        <v/>
      </c>
    </row>
    <row r="3258" customFormat="false" ht="15" hidden="false" customHeight="false" outlineLevel="0" collapsed="false">
      <c r="A3258" s="45" t="n">
        <v>46309</v>
      </c>
      <c r="B3258" s="0" t="n">
        <v>13</v>
      </c>
      <c r="C3258" s="0" t="n">
        <v>7682</v>
      </c>
      <c r="E3258" s="0" t="n">
        <v>0</v>
      </c>
      <c r="F3258" s="39" t="s">
        <v>1501</v>
      </c>
      <c r="I3258" s="39" t="s">
        <v>136</v>
      </c>
      <c r="U3258" s="0" t="n">
        <v>165</v>
      </c>
      <c r="V3258" s="0" t="n">
        <v>0</v>
      </c>
      <c r="W3258" s="39" t="n">
        <f aca="false">IF(I3258="Male",0,1)</f>
        <v>1</v>
      </c>
      <c r="X3258" s="39" t="n">
        <f aca="false">IF(OR(I3258="DNB",I3258="Dry DNB"),1,0)</f>
        <v>0</v>
      </c>
      <c r="Y3258" s="39" t="n">
        <f aca="false">MATCH(A3258,DATAS,0)</f>
        <v>1</v>
      </c>
      <c r="Z3258" s="39" t="n">
        <f aca="false">IF(AND(E3258&gt;0,OR(AND(B3258&gt;=1,B3258&lt;=6),B3258=10)),1,0)</f>
        <v>0</v>
      </c>
      <c r="AA3258" s="39" t="n">
        <f aca="false">IF(AND(E3258&gt;0,B3258=10),1,0)</f>
        <v>0</v>
      </c>
      <c r="AB3258" s="0" t="str">
        <f aca="false">IF(AND(C3257=C3258,Y3257=Y3258-1),Z3257,"")</f>
        <v/>
      </c>
      <c r="AC3258" s="0" t="str">
        <f aca="false">IF(AND(C3257=C3258,Y3257=Y3258-1),AA3257,"")</f>
        <v/>
      </c>
      <c r="AD3258" s="0" t="str">
        <f aca="false">IF(Y3258=1,"",IF(AND(Z3258=1,AB3258&lt;&gt;1),1,0))</f>
        <v/>
      </c>
      <c r="AE3258" s="0" t="str">
        <f aca="false">IF(Y3258=1,"",IF(AND(AA3258=1,AC3258&lt;&gt;1),1,0))</f>
        <v/>
      </c>
      <c r="AF3258" s="45" t="str">
        <f aca="false">IF(AND(E3258&gt;0,Y3258&lt;1,NOT(AND(C3259=C3258,Y3259=Y3258+1))),INDEX(DATAS,Y3258+1),"")</f>
        <v/>
      </c>
      <c r="AG3258" s="45" t="str">
        <f aca="false">IF(AND(AA3258=1,Y3258&lt;1),IF(AND(C3259=C3258,Y3259=Y3258+1),IF(AA3259=1,"",INDEX(DATAS,Y3258+1)),INDEX(DATAS,Y3258+1)),"")</f>
        <v/>
      </c>
    </row>
    <row r="3259" customFormat="false" ht="15" hidden="false" customHeight="false" outlineLevel="0" collapsed="false">
      <c r="A3259" s="45" t="n">
        <v>46309</v>
      </c>
      <c r="B3259" s="0" t="n">
        <v>13</v>
      </c>
      <c r="C3259" s="0" t="n">
        <v>7683</v>
      </c>
      <c r="E3259" s="0" t="n">
        <v>0</v>
      </c>
      <c r="F3259" s="39" t="s">
        <v>1501</v>
      </c>
      <c r="I3259" s="39" t="s">
        <v>136</v>
      </c>
      <c r="U3259" s="0" t="n">
        <v>165</v>
      </c>
      <c r="V3259" s="0" t="n">
        <v>0</v>
      </c>
      <c r="W3259" s="39" t="n">
        <f aca="false">IF(I3259="Male",0,1)</f>
        <v>1</v>
      </c>
      <c r="X3259" s="39" t="n">
        <f aca="false">IF(OR(I3259="DNB",I3259="Dry DNB"),1,0)</f>
        <v>0</v>
      </c>
      <c r="Y3259" s="39" t="n">
        <f aca="false">MATCH(A3259,DATAS,0)</f>
        <v>1</v>
      </c>
      <c r="Z3259" s="39" t="n">
        <f aca="false">IF(AND(E3259&gt;0,OR(AND(B3259&gt;=1,B3259&lt;=6),B3259=10)),1,0)</f>
        <v>0</v>
      </c>
      <c r="AA3259" s="39" t="n">
        <f aca="false">IF(AND(E3259&gt;0,B3259=10),1,0)</f>
        <v>0</v>
      </c>
      <c r="AB3259" s="0" t="str">
        <f aca="false">IF(AND(C3258=C3259,Y3258=Y3259-1),Z3258,"")</f>
        <v/>
      </c>
      <c r="AC3259" s="0" t="str">
        <f aca="false">IF(AND(C3258=C3259,Y3258=Y3259-1),AA3258,"")</f>
        <v/>
      </c>
      <c r="AD3259" s="0" t="str">
        <f aca="false">IF(Y3259=1,"",IF(AND(Z3259=1,AB3259&lt;&gt;1),1,0))</f>
        <v/>
      </c>
      <c r="AE3259" s="0" t="str">
        <f aca="false">IF(Y3259=1,"",IF(AND(AA3259=1,AC3259&lt;&gt;1),1,0))</f>
        <v/>
      </c>
      <c r="AF3259" s="45" t="str">
        <f aca="false">IF(AND(E3259&gt;0,Y3259&lt;1,NOT(AND(C3260=C3259,Y3260=Y3259+1))),INDEX(DATAS,Y3259+1),"")</f>
        <v/>
      </c>
      <c r="AG3259" s="45" t="str">
        <f aca="false">IF(AND(AA3259=1,Y3259&lt;1),IF(AND(C3260=C3259,Y3260=Y3259+1),IF(AA3260=1,"",INDEX(DATAS,Y3259+1)),INDEX(DATAS,Y3259+1)),"")</f>
        <v/>
      </c>
    </row>
    <row r="3260" customFormat="false" ht="15" hidden="false" customHeight="false" outlineLevel="0" collapsed="false">
      <c r="A3260" s="45" t="n">
        <v>46309</v>
      </c>
      <c r="B3260" s="0" t="n">
        <v>13</v>
      </c>
      <c r="C3260" s="0" t="n">
        <v>7684</v>
      </c>
      <c r="E3260" s="0" t="n">
        <v>0</v>
      </c>
      <c r="F3260" s="39" t="s">
        <v>1502</v>
      </c>
      <c r="I3260" s="39" t="s">
        <v>136</v>
      </c>
      <c r="U3260" s="0" t="n">
        <v>164</v>
      </c>
      <c r="V3260" s="0" t="n">
        <v>0</v>
      </c>
      <c r="W3260" s="39" t="n">
        <f aca="false">IF(I3260="Male",0,1)</f>
        <v>1</v>
      </c>
      <c r="X3260" s="39" t="n">
        <f aca="false">IF(OR(I3260="DNB",I3260="Dry DNB"),1,0)</f>
        <v>0</v>
      </c>
      <c r="Y3260" s="39" t="n">
        <f aca="false">MATCH(A3260,DATAS,0)</f>
        <v>1</v>
      </c>
      <c r="Z3260" s="39" t="n">
        <f aca="false">IF(AND(E3260&gt;0,OR(AND(B3260&gt;=1,B3260&lt;=6),B3260=10)),1,0)</f>
        <v>0</v>
      </c>
      <c r="AA3260" s="39" t="n">
        <f aca="false">IF(AND(E3260&gt;0,B3260=10),1,0)</f>
        <v>0</v>
      </c>
      <c r="AB3260" s="0" t="str">
        <f aca="false">IF(AND(C3259=C3260,Y3259=Y3260-1),Z3259,"")</f>
        <v/>
      </c>
      <c r="AC3260" s="0" t="str">
        <f aca="false">IF(AND(C3259=C3260,Y3259=Y3260-1),AA3259,"")</f>
        <v/>
      </c>
      <c r="AD3260" s="0" t="str">
        <f aca="false">IF(Y3260=1,"",IF(AND(Z3260=1,AB3260&lt;&gt;1),1,0))</f>
        <v/>
      </c>
      <c r="AE3260" s="0" t="str">
        <f aca="false">IF(Y3260=1,"",IF(AND(AA3260=1,AC3260&lt;&gt;1),1,0))</f>
        <v/>
      </c>
      <c r="AF3260" s="45" t="str">
        <f aca="false">IF(AND(E3260&gt;0,Y3260&lt;1,NOT(AND(C3261=C3260,Y3261=Y3260+1))),INDEX(DATAS,Y3260+1),"")</f>
        <v/>
      </c>
      <c r="AG3260" s="45" t="str">
        <f aca="false">IF(AND(AA3260=1,Y3260&lt;1),IF(AND(C3261=C3260,Y3261=Y3260+1),IF(AA3261=1,"",INDEX(DATAS,Y3260+1)),INDEX(DATAS,Y3260+1)),"")</f>
        <v/>
      </c>
    </row>
    <row r="3261" customFormat="false" ht="15" hidden="false" customHeight="false" outlineLevel="0" collapsed="false">
      <c r="A3261" s="45" t="n">
        <v>46309</v>
      </c>
      <c r="B3261" s="0" t="n">
        <v>13</v>
      </c>
      <c r="C3261" s="0" t="n">
        <v>7685</v>
      </c>
      <c r="E3261" s="0" t="n">
        <v>0</v>
      </c>
      <c r="F3261" s="39" t="s">
        <v>1502</v>
      </c>
      <c r="I3261" s="39" t="s">
        <v>136</v>
      </c>
      <c r="U3261" s="0" t="n">
        <v>164</v>
      </c>
      <c r="V3261" s="0" t="n">
        <v>0</v>
      </c>
      <c r="W3261" s="39" t="n">
        <f aca="false">IF(I3261="Male",0,1)</f>
        <v>1</v>
      </c>
      <c r="X3261" s="39" t="n">
        <f aca="false">IF(OR(I3261="DNB",I3261="Dry DNB"),1,0)</f>
        <v>0</v>
      </c>
      <c r="Y3261" s="39" t="n">
        <f aca="false">MATCH(A3261,DATAS,0)</f>
        <v>1</v>
      </c>
      <c r="Z3261" s="39" t="n">
        <f aca="false">IF(AND(E3261&gt;0,OR(AND(B3261&gt;=1,B3261&lt;=6),B3261=10)),1,0)</f>
        <v>0</v>
      </c>
      <c r="AA3261" s="39" t="n">
        <f aca="false">IF(AND(E3261&gt;0,B3261=10),1,0)</f>
        <v>0</v>
      </c>
      <c r="AB3261" s="0" t="str">
        <f aca="false">IF(AND(C3260=C3261,Y3260=Y3261-1),Z3260,"")</f>
        <v/>
      </c>
      <c r="AC3261" s="0" t="str">
        <f aca="false">IF(AND(C3260=C3261,Y3260=Y3261-1),AA3260,"")</f>
        <v/>
      </c>
      <c r="AD3261" s="0" t="str">
        <f aca="false">IF(Y3261=1,"",IF(AND(Z3261=1,AB3261&lt;&gt;1),1,0))</f>
        <v/>
      </c>
      <c r="AE3261" s="0" t="str">
        <f aca="false">IF(Y3261=1,"",IF(AND(AA3261=1,AC3261&lt;&gt;1),1,0))</f>
        <v/>
      </c>
      <c r="AF3261" s="45" t="str">
        <f aca="false">IF(AND(E3261&gt;0,Y3261&lt;1,NOT(AND(C3262=C3261,Y3262=Y3261+1))),INDEX(DATAS,Y3261+1),"")</f>
        <v/>
      </c>
      <c r="AG3261" s="45" t="str">
        <f aca="false">IF(AND(AA3261=1,Y3261&lt;1),IF(AND(C3262=C3261,Y3262=Y3261+1),IF(AA3262=1,"",INDEX(DATAS,Y3261+1)),INDEX(DATAS,Y3261+1)),"")</f>
        <v/>
      </c>
    </row>
    <row r="3262" customFormat="false" ht="15" hidden="false" customHeight="false" outlineLevel="0" collapsed="false">
      <c r="A3262" s="45" t="n">
        <v>46309</v>
      </c>
      <c r="B3262" s="0" t="n">
        <v>13</v>
      </c>
      <c r="C3262" s="0" t="n">
        <v>7686</v>
      </c>
      <c r="E3262" s="0" t="n">
        <v>0</v>
      </c>
      <c r="F3262" s="39" t="s">
        <v>1503</v>
      </c>
      <c r="I3262" s="39" t="s">
        <v>136</v>
      </c>
      <c r="U3262" s="0" t="n">
        <v>163</v>
      </c>
      <c r="V3262" s="0" t="n">
        <v>0</v>
      </c>
      <c r="W3262" s="39" t="n">
        <f aca="false">IF(I3262="Male",0,1)</f>
        <v>1</v>
      </c>
      <c r="X3262" s="39" t="n">
        <f aca="false">IF(OR(I3262="DNB",I3262="Dry DNB"),1,0)</f>
        <v>0</v>
      </c>
      <c r="Y3262" s="39" t="n">
        <f aca="false">MATCH(A3262,DATAS,0)</f>
        <v>1</v>
      </c>
      <c r="Z3262" s="39" t="n">
        <f aca="false">IF(AND(E3262&gt;0,OR(AND(B3262&gt;=1,B3262&lt;=6),B3262=10)),1,0)</f>
        <v>0</v>
      </c>
      <c r="AA3262" s="39" t="n">
        <f aca="false">IF(AND(E3262&gt;0,B3262=10),1,0)</f>
        <v>0</v>
      </c>
      <c r="AB3262" s="0" t="str">
        <f aca="false">IF(AND(C3261=C3262,Y3261=Y3262-1),Z3261,"")</f>
        <v/>
      </c>
      <c r="AC3262" s="0" t="str">
        <f aca="false">IF(AND(C3261=C3262,Y3261=Y3262-1),AA3261,"")</f>
        <v/>
      </c>
      <c r="AD3262" s="0" t="str">
        <f aca="false">IF(Y3262=1,"",IF(AND(Z3262=1,AB3262&lt;&gt;1),1,0))</f>
        <v/>
      </c>
      <c r="AE3262" s="0" t="str">
        <f aca="false">IF(Y3262=1,"",IF(AND(AA3262=1,AC3262&lt;&gt;1),1,0))</f>
        <v/>
      </c>
      <c r="AF3262" s="45" t="str">
        <f aca="false">IF(AND(E3262&gt;0,Y3262&lt;1,NOT(AND(C3263=C3262,Y3263=Y3262+1))),INDEX(DATAS,Y3262+1),"")</f>
        <v/>
      </c>
      <c r="AG3262" s="45" t="str">
        <f aca="false">IF(AND(AA3262=1,Y3262&lt;1),IF(AND(C3263=C3262,Y3263=Y3262+1),IF(AA3263=1,"",INDEX(DATAS,Y3262+1)),INDEX(DATAS,Y3262+1)),"")</f>
        <v/>
      </c>
    </row>
    <row r="3263" customFormat="false" ht="15" hidden="false" customHeight="false" outlineLevel="0" collapsed="false">
      <c r="A3263" s="45" t="n">
        <v>46309</v>
      </c>
      <c r="B3263" s="0" t="n">
        <v>13</v>
      </c>
      <c r="C3263" s="0" t="n">
        <v>7687</v>
      </c>
      <c r="E3263" s="0" t="n">
        <v>0</v>
      </c>
      <c r="F3263" s="39" t="s">
        <v>1503</v>
      </c>
      <c r="I3263" s="39" t="s">
        <v>136</v>
      </c>
      <c r="U3263" s="0" t="n">
        <v>163</v>
      </c>
      <c r="V3263" s="0" t="n">
        <v>0</v>
      </c>
      <c r="W3263" s="39" t="n">
        <f aca="false">IF(I3263="Male",0,1)</f>
        <v>1</v>
      </c>
      <c r="X3263" s="39" t="n">
        <f aca="false">IF(OR(I3263="DNB",I3263="Dry DNB"),1,0)</f>
        <v>0</v>
      </c>
      <c r="Y3263" s="39" t="n">
        <f aca="false">MATCH(A3263,DATAS,0)</f>
        <v>1</v>
      </c>
      <c r="Z3263" s="39" t="n">
        <f aca="false">IF(AND(E3263&gt;0,OR(AND(B3263&gt;=1,B3263&lt;=6),B3263=10)),1,0)</f>
        <v>0</v>
      </c>
      <c r="AA3263" s="39" t="n">
        <f aca="false">IF(AND(E3263&gt;0,B3263=10),1,0)</f>
        <v>0</v>
      </c>
      <c r="AB3263" s="0" t="str">
        <f aca="false">IF(AND(C3262=C3263,Y3262=Y3263-1),Z3262,"")</f>
        <v/>
      </c>
      <c r="AC3263" s="0" t="str">
        <f aca="false">IF(AND(C3262=C3263,Y3262=Y3263-1),AA3262,"")</f>
        <v/>
      </c>
      <c r="AD3263" s="0" t="str">
        <f aca="false">IF(Y3263=1,"",IF(AND(Z3263=1,AB3263&lt;&gt;1),1,0))</f>
        <v/>
      </c>
      <c r="AE3263" s="0" t="str">
        <f aca="false">IF(Y3263=1,"",IF(AND(AA3263=1,AC3263&lt;&gt;1),1,0))</f>
        <v/>
      </c>
      <c r="AF3263" s="45" t="str">
        <f aca="false">IF(AND(E3263&gt;0,Y3263&lt;1,NOT(AND(C3264=C3263,Y3264=Y3263+1))),INDEX(DATAS,Y3263+1),"")</f>
        <v/>
      </c>
      <c r="AG3263" s="45" t="str">
        <f aca="false">IF(AND(AA3263=1,Y3263&lt;1),IF(AND(C3264=C3263,Y3264=Y3263+1),IF(AA3264=1,"",INDEX(DATAS,Y3263+1)),INDEX(DATAS,Y3263+1)),"")</f>
        <v/>
      </c>
    </row>
    <row r="3264" customFormat="false" ht="15" hidden="false" customHeight="false" outlineLevel="0" collapsed="false">
      <c r="A3264" s="45" t="n">
        <v>46309</v>
      </c>
      <c r="B3264" s="0" t="n">
        <v>13</v>
      </c>
      <c r="C3264" s="0" t="n">
        <v>7688</v>
      </c>
      <c r="E3264" s="0" t="n">
        <v>0</v>
      </c>
      <c r="F3264" s="39" t="s">
        <v>1504</v>
      </c>
      <c r="I3264" s="39" t="s">
        <v>136</v>
      </c>
      <c r="U3264" s="0" t="n">
        <v>162</v>
      </c>
      <c r="V3264" s="0" t="n">
        <v>0</v>
      </c>
      <c r="W3264" s="39" t="n">
        <f aca="false">IF(I3264="Male",0,1)</f>
        <v>1</v>
      </c>
      <c r="X3264" s="39" t="n">
        <f aca="false">IF(OR(I3264="DNB",I3264="Dry DNB"),1,0)</f>
        <v>0</v>
      </c>
      <c r="Y3264" s="39" t="n">
        <f aca="false">MATCH(A3264,DATAS,0)</f>
        <v>1</v>
      </c>
      <c r="Z3264" s="39" t="n">
        <f aca="false">IF(AND(E3264&gt;0,OR(AND(B3264&gt;=1,B3264&lt;=6),B3264=10)),1,0)</f>
        <v>0</v>
      </c>
      <c r="AA3264" s="39" t="n">
        <f aca="false">IF(AND(E3264&gt;0,B3264=10),1,0)</f>
        <v>0</v>
      </c>
      <c r="AB3264" s="0" t="str">
        <f aca="false">IF(AND(C3263=C3264,Y3263=Y3264-1),Z3263,"")</f>
        <v/>
      </c>
      <c r="AC3264" s="0" t="str">
        <f aca="false">IF(AND(C3263=C3264,Y3263=Y3264-1),AA3263,"")</f>
        <v/>
      </c>
      <c r="AD3264" s="0" t="str">
        <f aca="false">IF(Y3264=1,"",IF(AND(Z3264=1,AB3264&lt;&gt;1),1,0))</f>
        <v/>
      </c>
      <c r="AE3264" s="0" t="str">
        <f aca="false">IF(Y3264=1,"",IF(AND(AA3264=1,AC3264&lt;&gt;1),1,0))</f>
        <v/>
      </c>
      <c r="AF3264" s="45" t="str">
        <f aca="false">IF(AND(E3264&gt;0,Y3264&lt;1,NOT(AND(C3265=C3264,Y3265=Y3264+1))),INDEX(DATAS,Y3264+1),"")</f>
        <v/>
      </c>
      <c r="AG3264" s="45" t="str">
        <f aca="false">IF(AND(AA3264=1,Y3264&lt;1),IF(AND(C3265=C3264,Y3265=Y3264+1),IF(AA3265=1,"",INDEX(DATAS,Y3264+1)),INDEX(DATAS,Y3264+1)),"")</f>
        <v/>
      </c>
    </row>
    <row r="3265" customFormat="false" ht="15" hidden="false" customHeight="false" outlineLevel="0" collapsed="false">
      <c r="A3265" s="45" t="n">
        <v>46309</v>
      </c>
      <c r="B3265" s="0" t="n">
        <v>13</v>
      </c>
      <c r="C3265" s="0" t="n">
        <v>7689</v>
      </c>
      <c r="E3265" s="0" t="n">
        <v>0</v>
      </c>
      <c r="F3265" s="39" t="s">
        <v>1504</v>
      </c>
      <c r="I3265" s="39" t="s">
        <v>136</v>
      </c>
      <c r="U3265" s="0" t="n">
        <v>162</v>
      </c>
      <c r="V3265" s="0" t="n">
        <v>0</v>
      </c>
      <c r="W3265" s="39" t="n">
        <f aca="false">IF(I3265="Male",0,1)</f>
        <v>1</v>
      </c>
      <c r="X3265" s="39" t="n">
        <f aca="false">IF(OR(I3265="DNB",I3265="Dry DNB"),1,0)</f>
        <v>0</v>
      </c>
      <c r="Y3265" s="39" t="n">
        <f aca="false">MATCH(A3265,DATAS,0)</f>
        <v>1</v>
      </c>
      <c r="Z3265" s="39" t="n">
        <f aca="false">IF(AND(E3265&gt;0,OR(AND(B3265&gt;=1,B3265&lt;=6),B3265=10)),1,0)</f>
        <v>0</v>
      </c>
      <c r="AA3265" s="39" t="n">
        <f aca="false">IF(AND(E3265&gt;0,B3265=10),1,0)</f>
        <v>0</v>
      </c>
      <c r="AB3265" s="0" t="str">
        <f aca="false">IF(AND(C3264=C3265,Y3264=Y3265-1),Z3264,"")</f>
        <v/>
      </c>
      <c r="AC3265" s="0" t="str">
        <f aca="false">IF(AND(C3264=C3265,Y3264=Y3265-1),AA3264,"")</f>
        <v/>
      </c>
      <c r="AD3265" s="0" t="str">
        <f aca="false">IF(Y3265=1,"",IF(AND(Z3265=1,AB3265&lt;&gt;1),1,0))</f>
        <v/>
      </c>
      <c r="AE3265" s="0" t="str">
        <f aca="false">IF(Y3265=1,"",IF(AND(AA3265=1,AC3265&lt;&gt;1),1,0))</f>
        <v/>
      </c>
      <c r="AF3265" s="45" t="str">
        <f aca="false">IF(AND(E3265&gt;0,Y3265&lt;1,NOT(AND(C3266=C3265,Y3266=Y3265+1))),INDEX(DATAS,Y3265+1),"")</f>
        <v/>
      </c>
      <c r="AG3265" s="45" t="str">
        <f aca="false">IF(AND(AA3265=1,Y3265&lt;1),IF(AND(C3266=C3265,Y3266=Y3265+1),IF(AA3266=1,"",INDEX(DATAS,Y3265+1)),INDEX(DATAS,Y3265+1)),"")</f>
        <v/>
      </c>
    </row>
    <row r="3266" customFormat="false" ht="15" hidden="false" customHeight="false" outlineLevel="0" collapsed="false">
      <c r="A3266" s="45" t="n">
        <v>46309</v>
      </c>
      <c r="B3266" s="0" t="n">
        <v>13</v>
      </c>
      <c r="C3266" s="0" t="n">
        <v>7690</v>
      </c>
      <c r="E3266" s="0" t="n">
        <v>0</v>
      </c>
      <c r="F3266" s="39" t="s">
        <v>1505</v>
      </c>
      <c r="I3266" s="39" t="s">
        <v>136</v>
      </c>
      <c r="U3266" s="0" t="n">
        <v>161</v>
      </c>
      <c r="V3266" s="0" t="n">
        <v>0</v>
      </c>
      <c r="W3266" s="39" t="n">
        <f aca="false">IF(I3266="Male",0,1)</f>
        <v>1</v>
      </c>
      <c r="X3266" s="39" t="n">
        <f aca="false">IF(OR(I3266="DNB",I3266="Dry DNB"),1,0)</f>
        <v>0</v>
      </c>
      <c r="Y3266" s="39" t="n">
        <f aca="false">MATCH(A3266,DATAS,0)</f>
        <v>1</v>
      </c>
      <c r="Z3266" s="39" t="n">
        <f aca="false">IF(AND(E3266&gt;0,OR(AND(B3266&gt;=1,B3266&lt;=6),B3266=10)),1,0)</f>
        <v>0</v>
      </c>
      <c r="AA3266" s="39" t="n">
        <f aca="false">IF(AND(E3266&gt;0,B3266=10),1,0)</f>
        <v>0</v>
      </c>
      <c r="AB3266" s="0" t="str">
        <f aca="false">IF(AND(C3265=C3266,Y3265=Y3266-1),Z3265,"")</f>
        <v/>
      </c>
      <c r="AC3266" s="0" t="str">
        <f aca="false">IF(AND(C3265=C3266,Y3265=Y3266-1),AA3265,"")</f>
        <v/>
      </c>
      <c r="AD3266" s="0" t="str">
        <f aca="false">IF(Y3266=1,"",IF(AND(Z3266=1,AB3266&lt;&gt;1),1,0))</f>
        <v/>
      </c>
      <c r="AE3266" s="0" t="str">
        <f aca="false">IF(Y3266=1,"",IF(AND(AA3266=1,AC3266&lt;&gt;1),1,0))</f>
        <v/>
      </c>
      <c r="AF3266" s="45" t="str">
        <f aca="false">IF(AND(E3266&gt;0,Y3266&lt;1,NOT(AND(C3267=C3266,Y3267=Y3266+1))),INDEX(DATAS,Y3266+1),"")</f>
        <v/>
      </c>
      <c r="AG3266" s="45" t="str">
        <f aca="false">IF(AND(AA3266=1,Y3266&lt;1),IF(AND(C3267=C3266,Y3267=Y3266+1),IF(AA3267=1,"",INDEX(DATAS,Y3266+1)),INDEX(DATAS,Y3266+1)),"")</f>
        <v/>
      </c>
    </row>
    <row r="3267" customFormat="false" ht="15" hidden="false" customHeight="false" outlineLevel="0" collapsed="false">
      <c r="A3267" s="45" t="n">
        <v>46309</v>
      </c>
      <c r="B3267" s="0" t="n">
        <v>13</v>
      </c>
      <c r="C3267" s="0" t="n">
        <v>7691</v>
      </c>
      <c r="E3267" s="0" t="n">
        <v>0</v>
      </c>
      <c r="F3267" s="39" t="s">
        <v>1505</v>
      </c>
      <c r="I3267" s="39" t="s">
        <v>136</v>
      </c>
      <c r="U3267" s="0" t="n">
        <v>161</v>
      </c>
      <c r="V3267" s="0" t="n">
        <v>0</v>
      </c>
      <c r="W3267" s="39" t="n">
        <f aca="false">IF(I3267="Male",0,1)</f>
        <v>1</v>
      </c>
      <c r="X3267" s="39" t="n">
        <f aca="false">IF(OR(I3267="DNB",I3267="Dry DNB"),1,0)</f>
        <v>0</v>
      </c>
      <c r="Y3267" s="39" t="n">
        <f aca="false">MATCH(A3267,DATAS,0)</f>
        <v>1</v>
      </c>
      <c r="Z3267" s="39" t="n">
        <f aca="false">IF(AND(E3267&gt;0,OR(AND(B3267&gt;=1,B3267&lt;=6),B3267=10)),1,0)</f>
        <v>0</v>
      </c>
      <c r="AA3267" s="39" t="n">
        <f aca="false">IF(AND(E3267&gt;0,B3267=10),1,0)</f>
        <v>0</v>
      </c>
      <c r="AB3267" s="0" t="str">
        <f aca="false">IF(AND(C3266=C3267,Y3266=Y3267-1),Z3266,"")</f>
        <v/>
      </c>
      <c r="AC3267" s="0" t="str">
        <f aca="false">IF(AND(C3266=C3267,Y3266=Y3267-1),AA3266,"")</f>
        <v/>
      </c>
      <c r="AD3267" s="0" t="str">
        <f aca="false">IF(Y3267=1,"",IF(AND(Z3267=1,AB3267&lt;&gt;1),1,0))</f>
        <v/>
      </c>
      <c r="AE3267" s="0" t="str">
        <f aca="false">IF(Y3267=1,"",IF(AND(AA3267=1,AC3267&lt;&gt;1),1,0))</f>
        <v/>
      </c>
      <c r="AF3267" s="45" t="str">
        <f aca="false">IF(AND(E3267&gt;0,Y3267&lt;1,NOT(AND(C3268=C3267,Y3268=Y3267+1))),INDEX(DATAS,Y3267+1),"")</f>
        <v/>
      </c>
      <c r="AG3267" s="45" t="str">
        <f aca="false">IF(AND(AA3267=1,Y3267&lt;1),IF(AND(C3268=C3267,Y3268=Y3267+1),IF(AA3268=1,"",INDEX(DATAS,Y3267+1)),INDEX(DATAS,Y3267+1)),"")</f>
        <v/>
      </c>
    </row>
    <row r="3268" customFormat="false" ht="15" hidden="false" customHeight="false" outlineLevel="0" collapsed="false">
      <c r="A3268" s="45" t="n">
        <v>46309</v>
      </c>
      <c r="B3268" s="0" t="n">
        <v>13</v>
      </c>
      <c r="C3268" s="0" t="n">
        <v>7693</v>
      </c>
      <c r="E3268" s="0" t="n">
        <v>0</v>
      </c>
      <c r="F3268" s="39" t="s">
        <v>1505</v>
      </c>
      <c r="I3268" s="39" t="s">
        <v>136</v>
      </c>
      <c r="U3268" s="0" t="n">
        <v>161</v>
      </c>
      <c r="V3268" s="0" t="n">
        <v>0</v>
      </c>
      <c r="W3268" s="39" t="n">
        <f aca="false">IF(I3268="Male",0,1)</f>
        <v>1</v>
      </c>
      <c r="X3268" s="39" t="n">
        <f aca="false">IF(OR(I3268="DNB",I3268="Dry DNB"),1,0)</f>
        <v>0</v>
      </c>
      <c r="Y3268" s="39" t="n">
        <f aca="false">MATCH(A3268,DATAS,0)</f>
        <v>1</v>
      </c>
      <c r="Z3268" s="39" t="n">
        <f aca="false">IF(AND(E3268&gt;0,OR(AND(B3268&gt;=1,B3268&lt;=6),B3268=10)),1,0)</f>
        <v>0</v>
      </c>
      <c r="AA3268" s="39" t="n">
        <f aca="false">IF(AND(E3268&gt;0,B3268=10),1,0)</f>
        <v>0</v>
      </c>
      <c r="AB3268" s="0" t="str">
        <f aca="false">IF(AND(C3267=C3268,Y3267=Y3268-1),Z3267,"")</f>
        <v/>
      </c>
      <c r="AC3268" s="0" t="str">
        <f aca="false">IF(AND(C3267=C3268,Y3267=Y3268-1),AA3267,"")</f>
        <v/>
      </c>
      <c r="AD3268" s="0" t="str">
        <f aca="false">IF(Y3268=1,"",IF(AND(Z3268=1,AB3268&lt;&gt;1),1,0))</f>
        <v/>
      </c>
      <c r="AE3268" s="0" t="str">
        <f aca="false">IF(Y3268=1,"",IF(AND(AA3268=1,AC3268&lt;&gt;1),1,0))</f>
        <v/>
      </c>
      <c r="AF3268" s="45" t="str">
        <f aca="false">IF(AND(E3268&gt;0,Y3268&lt;1,NOT(AND(C3269=C3268,Y3269=Y3268+1))),INDEX(DATAS,Y3268+1),"")</f>
        <v/>
      </c>
      <c r="AG3268" s="45" t="str">
        <f aca="false">IF(AND(AA3268=1,Y3268&lt;1),IF(AND(C3269=C3268,Y3269=Y3268+1),IF(AA3269=1,"",INDEX(DATAS,Y3268+1)),INDEX(DATAS,Y3268+1)),"")</f>
        <v/>
      </c>
    </row>
    <row r="3269" customFormat="false" ht="15" hidden="false" customHeight="false" outlineLevel="0" collapsed="false">
      <c r="A3269" s="45" t="n">
        <v>46309</v>
      </c>
      <c r="B3269" s="0" t="n">
        <v>13</v>
      </c>
      <c r="C3269" s="0" t="n">
        <v>7694</v>
      </c>
      <c r="E3269" s="0" t="n">
        <v>0</v>
      </c>
      <c r="F3269" s="39" t="s">
        <v>1505</v>
      </c>
      <c r="I3269" s="39" t="s">
        <v>136</v>
      </c>
      <c r="U3269" s="0" t="n">
        <v>161</v>
      </c>
      <c r="V3269" s="0" t="n">
        <v>0</v>
      </c>
      <c r="W3269" s="39" t="n">
        <f aca="false">IF(I3269="Male",0,1)</f>
        <v>1</v>
      </c>
      <c r="X3269" s="39" t="n">
        <f aca="false">IF(OR(I3269="DNB",I3269="Dry DNB"),1,0)</f>
        <v>0</v>
      </c>
      <c r="Y3269" s="39" t="n">
        <f aca="false">MATCH(A3269,DATAS,0)</f>
        <v>1</v>
      </c>
      <c r="Z3269" s="39" t="n">
        <f aca="false">IF(AND(E3269&gt;0,OR(AND(B3269&gt;=1,B3269&lt;=6),B3269=10)),1,0)</f>
        <v>0</v>
      </c>
      <c r="AA3269" s="39" t="n">
        <f aca="false">IF(AND(E3269&gt;0,B3269=10),1,0)</f>
        <v>0</v>
      </c>
      <c r="AB3269" s="0" t="str">
        <f aca="false">IF(AND(C3268=C3269,Y3268=Y3269-1),Z3268,"")</f>
        <v/>
      </c>
      <c r="AC3269" s="0" t="str">
        <f aca="false">IF(AND(C3268=C3269,Y3268=Y3269-1),AA3268,"")</f>
        <v/>
      </c>
      <c r="AD3269" s="0" t="str">
        <f aca="false">IF(Y3269=1,"",IF(AND(Z3269=1,AB3269&lt;&gt;1),1,0))</f>
        <v/>
      </c>
      <c r="AE3269" s="0" t="str">
        <f aca="false">IF(Y3269=1,"",IF(AND(AA3269=1,AC3269&lt;&gt;1),1,0))</f>
        <v/>
      </c>
      <c r="AF3269" s="45" t="str">
        <f aca="false">IF(AND(E3269&gt;0,Y3269&lt;1,NOT(AND(C3270=C3269,Y3270=Y3269+1))),INDEX(DATAS,Y3269+1),"")</f>
        <v/>
      </c>
      <c r="AG3269" s="45" t="str">
        <f aca="false">IF(AND(AA3269=1,Y3269&lt;1),IF(AND(C3270=C3269,Y3270=Y3269+1),IF(AA3270=1,"",INDEX(DATAS,Y3269+1)),INDEX(DATAS,Y3269+1)),"")</f>
        <v/>
      </c>
    </row>
    <row r="3270" customFormat="false" ht="15" hidden="false" customHeight="false" outlineLevel="0" collapsed="false">
      <c r="A3270" s="45" t="n">
        <v>46309</v>
      </c>
      <c r="B3270" s="0" t="n">
        <v>13</v>
      </c>
      <c r="C3270" s="0" t="n">
        <v>7695</v>
      </c>
      <c r="E3270" s="0" t="n">
        <v>0</v>
      </c>
      <c r="F3270" s="39" t="s">
        <v>1505</v>
      </c>
      <c r="I3270" s="39" t="s">
        <v>136</v>
      </c>
      <c r="U3270" s="0" t="n">
        <v>161</v>
      </c>
      <c r="V3270" s="0" t="n">
        <v>0</v>
      </c>
      <c r="W3270" s="39" t="n">
        <f aca="false">IF(I3270="Male",0,1)</f>
        <v>1</v>
      </c>
      <c r="X3270" s="39" t="n">
        <f aca="false">IF(OR(I3270="DNB",I3270="Dry DNB"),1,0)</f>
        <v>0</v>
      </c>
      <c r="Y3270" s="39" t="n">
        <f aca="false">MATCH(A3270,DATAS,0)</f>
        <v>1</v>
      </c>
      <c r="Z3270" s="39" t="n">
        <f aca="false">IF(AND(E3270&gt;0,OR(AND(B3270&gt;=1,B3270&lt;=6),B3270=10)),1,0)</f>
        <v>0</v>
      </c>
      <c r="AA3270" s="39" t="n">
        <f aca="false">IF(AND(E3270&gt;0,B3270=10),1,0)</f>
        <v>0</v>
      </c>
      <c r="AB3270" s="0" t="str">
        <f aca="false">IF(AND(C3269=C3270,Y3269=Y3270-1),Z3269,"")</f>
        <v/>
      </c>
      <c r="AC3270" s="0" t="str">
        <f aca="false">IF(AND(C3269=C3270,Y3269=Y3270-1),AA3269,"")</f>
        <v/>
      </c>
      <c r="AD3270" s="0" t="str">
        <f aca="false">IF(Y3270=1,"",IF(AND(Z3270=1,AB3270&lt;&gt;1),1,0))</f>
        <v/>
      </c>
      <c r="AE3270" s="0" t="str">
        <f aca="false">IF(Y3270=1,"",IF(AND(AA3270=1,AC3270&lt;&gt;1),1,0))</f>
        <v/>
      </c>
      <c r="AF3270" s="45" t="str">
        <f aca="false">IF(AND(E3270&gt;0,Y3270&lt;1,NOT(AND(C3271=C3270,Y3271=Y3270+1))),INDEX(DATAS,Y3270+1),"")</f>
        <v/>
      </c>
      <c r="AG3270" s="45" t="str">
        <f aca="false">IF(AND(AA3270=1,Y3270&lt;1),IF(AND(C3271=C3270,Y3271=Y3270+1),IF(AA3271=1,"",INDEX(DATAS,Y3270+1)),INDEX(DATAS,Y3270+1)),"")</f>
        <v/>
      </c>
    </row>
    <row r="3271" customFormat="false" ht="15" hidden="false" customHeight="false" outlineLevel="0" collapsed="false">
      <c r="A3271" s="45" t="n">
        <v>46309</v>
      </c>
      <c r="B3271" s="0" t="n">
        <v>13</v>
      </c>
      <c r="C3271" s="0" t="n">
        <v>7696</v>
      </c>
      <c r="E3271" s="0" t="n">
        <v>0</v>
      </c>
      <c r="F3271" s="39" t="s">
        <v>1505</v>
      </c>
      <c r="I3271" s="39" t="s">
        <v>136</v>
      </c>
      <c r="U3271" s="0" t="n">
        <v>161</v>
      </c>
      <c r="V3271" s="0" t="n">
        <v>0</v>
      </c>
      <c r="W3271" s="39" t="n">
        <f aca="false">IF(I3271="Male",0,1)</f>
        <v>1</v>
      </c>
      <c r="X3271" s="39" t="n">
        <f aca="false">IF(OR(I3271="DNB",I3271="Dry DNB"),1,0)</f>
        <v>0</v>
      </c>
      <c r="Y3271" s="39" t="n">
        <f aca="false">MATCH(A3271,DATAS,0)</f>
        <v>1</v>
      </c>
      <c r="Z3271" s="39" t="n">
        <f aca="false">IF(AND(E3271&gt;0,OR(AND(B3271&gt;=1,B3271&lt;=6),B3271=10)),1,0)</f>
        <v>0</v>
      </c>
      <c r="AA3271" s="39" t="n">
        <f aca="false">IF(AND(E3271&gt;0,B3271=10),1,0)</f>
        <v>0</v>
      </c>
      <c r="AB3271" s="0" t="str">
        <f aca="false">IF(AND(C3270=C3271,Y3270=Y3271-1),Z3270,"")</f>
        <v/>
      </c>
      <c r="AC3271" s="0" t="str">
        <f aca="false">IF(AND(C3270=C3271,Y3270=Y3271-1),AA3270,"")</f>
        <v/>
      </c>
      <c r="AD3271" s="0" t="str">
        <f aca="false">IF(Y3271=1,"",IF(AND(Z3271=1,AB3271&lt;&gt;1),1,0))</f>
        <v/>
      </c>
      <c r="AE3271" s="0" t="str">
        <f aca="false">IF(Y3271=1,"",IF(AND(AA3271=1,AC3271&lt;&gt;1),1,0))</f>
        <v/>
      </c>
      <c r="AF3271" s="45" t="str">
        <f aca="false">IF(AND(E3271&gt;0,Y3271&lt;1,NOT(AND(C3272=C3271,Y3272=Y3271+1))),INDEX(DATAS,Y3271+1),"")</f>
        <v/>
      </c>
      <c r="AG3271" s="45" t="str">
        <f aca="false">IF(AND(AA3271=1,Y3271&lt;1),IF(AND(C3272=C3271,Y3272=Y3271+1),IF(AA3272=1,"",INDEX(DATAS,Y3271+1)),INDEX(DATAS,Y3271+1)),"")</f>
        <v/>
      </c>
    </row>
    <row r="3272" customFormat="false" ht="15" hidden="false" customHeight="false" outlineLevel="0" collapsed="false">
      <c r="A3272" s="45" t="n">
        <v>46309</v>
      </c>
      <c r="B3272" s="0" t="n">
        <v>13</v>
      </c>
      <c r="C3272" s="0" t="n">
        <v>7697</v>
      </c>
      <c r="E3272" s="0" t="n">
        <v>0</v>
      </c>
      <c r="F3272" s="39" t="s">
        <v>1506</v>
      </c>
      <c r="I3272" s="39" t="s">
        <v>136</v>
      </c>
      <c r="U3272" s="0" t="n">
        <v>160</v>
      </c>
      <c r="V3272" s="0" t="n">
        <v>0</v>
      </c>
      <c r="W3272" s="39" t="n">
        <f aca="false">IF(I3272="Male",0,1)</f>
        <v>1</v>
      </c>
      <c r="X3272" s="39" t="n">
        <f aca="false">IF(OR(I3272="DNB",I3272="Dry DNB"),1,0)</f>
        <v>0</v>
      </c>
      <c r="Y3272" s="39" t="n">
        <f aca="false">MATCH(A3272,DATAS,0)</f>
        <v>1</v>
      </c>
      <c r="Z3272" s="39" t="n">
        <f aca="false">IF(AND(E3272&gt;0,OR(AND(B3272&gt;=1,B3272&lt;=6),B3272=10)),1,0)</f>
        <v>0</v>
      </c>
      <c r="AA3272" s="39" t="n">
        <f aca="false">IF(AND(E3272&gt;0,B3272=10),1,0)</f>
        <v>0</v>
      </c>
      <c r="AB3272" s="0" t="str">
        <f aca="false">IF(AND(C3271=C3272,Y3271=Y3272-1),Z3271,"")</f>
        <v/>
      </c>
      <c r="AC3272" s="0" t="str">
        <f aca="false">IF(AND(C3271=C3272,Y3271=Y3272-1),AA3271,"")</f>
        <v/>
      </c>
      <c r="AD3272" s="0" t="str">
        <f aca="false">IF(Y3272=1,"",IF(AND(Z3272=1,AB3272&lt;&gt;1),1,0))</f>
        <v/>
      </c>
      <c r="AE3272" s="0" t="str">
        <f aca="false">IF(Y3272=1,"",IF(AND(AA3272=1,AC3272&lt;&gt;1),1,0))</f>
        <v/>
      </c>
      <c r="AF3272" s="45" t="str">
        <f aca="false">IF(AND(E3272&gt;0,Y3272&lt;1,NOT(AND(C3273=C3272,Y3273=Y3272+1))),INDEX(DATAS,Y3272+1),"")</f>
        <v/>
      </c>
      <c r="AG3272" s="45" t="str">
        <f aca="false">IF(AND(AA3272=1,Y3272&lt;1),IF(AND(C3273=C3272,Y3273=Y3272+1),IF(AA3273=1,"",INDEX(DATAS,Y3272+1)),INDEX(DATAS,Y3272+1)),"")</f>
        <v/>
      </c>
    </row>
    <row r="3273" customFormat="false" ht="15" hidden="false" customHeight="false" outlineLevel="0" collapsed="false">
      <c r="A3273" s="45" t="n">
        <v>46309</v>
      </c>
      <c r="B3273" s="0" t="n">
        <v>13</v>
      </c>
      <c r="C3273" s="0" t="n">
        <v>7698</v>
      </c>
      <c r="E3273" s="0" t="n">
        <v>0</v>
      </c>
      <c r="F3273" s="39" t="s">
        <v>1506</v>
      </c>
      <c r="I3273" s="39" t="s">
        <v>136</v>
      </c>
      <c r="U3273" s="0" t="n">
        <v>160</v>
      </c>
      <c r="V3273" s="0" t="n">
        <v>0</v>
      </c>
      <c r="W3273" s="39" t="n">
        <f aca="false">IF(I3273="Male",0,1)</f>
        <v>1</v>
      </c>
      <c r="X3273" s="39" t="n">
        <f aca="false">IF(OR(I3273="DNB",I3273="Dry DNB"),1,0)</f>
        <v>0</v>
      </c>
      <c r="Y3273" s="39" t="n">
        <f aca="false">MATCH(A3273,DATAS,0)</f>
        <v>1</v>
      </c>
      <c r="Z3273" s="39" t="n">
        <f aca="false">IF(AND(E3273&gt;0,OR(AND(B3273&gt;=1,B3273&lt;=6),B3273=10)),1,0)</f>
        <v>0</v>
      </c>
      <c r="AA3273" s="39" t="n">
        <f aca="false">IF(AND(E3273&gt;0,B3273=10),1,0)</f>
        <v>0</v>
      </c>
      <c r="AB3273" s="0" t="str">
        <f aca="false">IF(AND(C3272=C3273,Y3272=Y3273-1),Z3272,"")</f>
        <v/>
      </c>
      <c r="AC3273" s="0" t="str">
        <f aca="false">IF(AND(C3272=C3273,Y3272=Y3273-1),AA3272,"")</f>
        <v/>
      </c>
      <c r="AD3273" s="0" t="str">
        <f aca="false">IF(Y3273=1,"",IF(AND(Z3273=1,AB3273&lt;&gt;1),1,0))</f>
        <v/>
      </c>
      <c r="AE3273" s="0" t="str">
        <f aca="false">IF(Y3273=1,"",IF(AND(AA3273=1,AC3273&lt;&gt;1),1,0))</f>
        <v/>
      </c>
      <c r="AF3273" s="45" t="str">
        <f aca="false">IF(AND(E3273&gt;0,Y3273&lt;1,NOT(AND(C3274=C3273,Y3274=Y3273+1))),INDEX(DATAS,Y3273+1),"")</f>
        <v/>
      </c>
      <c r="AG3273" s="45" t="str">
        <f aca="false">IF(AND(AA3273=1,Y3273&lt;1),IF(AND(C3274=C3273,Y3274=Y3273+1),IF(AA3274=1,"",INDEX(DATAS,Y3273+1)),INDEX(DATAS,Y3273+1)),"")</f>
        <v/>
      </c>
    </row>
    <row r="3274" customFormat="false" ht="15" hidden="false" customHeight="false" outlineLevel="0" collapsed="false">
      <c r="A3274" s="45" t="n">
        <v>46309</v>
      </c>
      <c r="B3274" s="0" t="n">
        <v>13</v>
      </c>
      <c r="C3274" s="0" t="n">
        <v>7699</v>
      </c>
      <c r="E3274" s="0" t="n">
        <v>0</v>
      </c>
      <c r="F3274" s="39" t="s">
        <v>1506</v>
      </c>
      <c r="I3274" s="39" t="s">
        <v>136</v>
      </c>
      <c r="U3274" s="0" t="n">
        <v>160</v>
      </c>
      <c r="V3274" s="0" t="n">
        <v>0</v>
      </c>
      <c r="W3274" s="39" t="n">
        <f aca="false">IF(I3274="Male",0,1)</f>
        <v>1</v>
      </c>
      <c r="X3274" s="39" t="n">
        <f aca="false">IF(OR(I3274="DNB",I3274="Dry DNB"),1,0)</f>
        <v>0</v>
      </c>
      <c r="Y3274" s="39" t="n">
        <f aca="false">MATCH(A3274,DATAS,0)</f>
        <v>1</v>
      </c>
      <c r="Z3274" s="39" t="n">
        <f aca="false">IF(AND(E3274&gt;0,OR(AND(B3274&gt;=1,B3274&lt;=6),B3274=10)),1,0)</f>
        <v>0</v>
      </c>
      <c r="AA3274" s="39" t="n">
        <f aca="false">IF(AND(E3274&gt;0,B3274=10),1,0)</f>
        <v>0</v>
      </c>
      <c r="AB3274" s="0" t="str">
        <f aca="false">IF(AND(C3273=C3274,Y3273=Y3274-1),Z3273,"")</f>
        <v/>
      </c>
      <c r="AC3274" s="0" t="str">
        <f aca="false">IF(AND(C3273=C3274,Y3273=Y3274-1),AA3273,"")</f>
        <v/>
      </c>
      <c r="AD3274" s="0" t="str">
        <f aca="false">IF(Y3274=1,"",IF(AND(Z3274=1,AB3274&lt;&gt;1),1,0))</f>
        <v/>
      </c>
      <c r="AE3274" s="0" t="str">
        <f aca="false">IF(Y3274=1,"",IF(AND(AA3274=1,AC3274&lt;&gt;1),1,0))</f>
        <v/>
      </c>
      <c r="AF3274" s="45" t="str">
        <f aca="false">IF(AND(E3274&gt;0,Y3274&lt;1,NOT(AND(C3275=C3274,Y3275=Y3274+1))),INDEX(DATAS,Y3274+1),"")</f>
        <v/>
      </c>
      <c r="AG3274" s="45" t="str">
        <f aca="false">IF(AND(AA3274=1,Y3274&lt;1),IF(AND(C3275=C3274,Y3275=Y3274+1),IF(AA3275=1,"",INDEX(DATAS,Y3274+1)),INDEX(DATAS,Y3274+1)),"")</f>
        <v/>
      </c>
    </row>
    <row r="3275" customFormat="false" ht="15" hidden="false" customHeight="false" outlineLevel="0" collapsed="false">
      <c r="A3275" s="45" t="n">
        <v>46309</v>
      </c>
      <c r="B3275" s="0" t="n">
        <v>13</v>
      </c>
      <c r="C3275" s="0" t="n">
        <v>7700</v>
      </c>
      <c r="E3275" s="0" t="n">
        <v>0</v>
      </c>
      <c r="F3275" s="39" t="s">
        <v>1507</v>
      </c>
      <c r="I3275" s="39" t="s">
        <v>136</v>
      </c>
      <c r="U3275" s="0" t="n">
        <v>159</v>
      </c>
      <c r="V3275" s="0" t="n">
        <v>0</v>
      </c>
      <c r="W3275" s="39" t="n">
        <f aca="false">IF(I3275="Male",0,1)</f>
        <v>1</v>
      </c>
      <c r="X3275" s="39" t="n">
        <f aca="false">IF(OR(I3275="DNB",I3275="Dry DNB"),1,0)</f>
        <v>0</v>
      </c>
      <c r="Y3275" s="39" t="n">
        <f aca="false">MATCH(A3275,DATAS,0)</f>
        <v>1</v>
      </c>
      <c r="Z3275" s="39" t="n">
        <f aca="false">IF(AND(E3275&gt;0,OR(AND(B3275&gt;=1,B3275&lt;=6),B3275=10)),1,0)</f>
        <v>0</v>
      </c>
      <c r="AA3275" s="39" t="n">
        <f aca="false">IF(AND(E3275&gt;0,B3275=10),1,0)</f>
        <v>0</v>
      </c>
      <c r="AB3275" s="0" t="str">
        <f aca="false">IF(AND(C3274=C3275,Y3274=Y3275-1),Z3274,"")</f>
        <v/>
      </c>
      <c r="AC3275" s="0" t="str">
        <f aca="false">IF(AND(C3274=C3275,Y3274=Y3275-1),AA3274,"")</f>
        <v/>
      </c>
      <c r="AD3275" s="0" t="str">
        <f aca="false">IF(Y3275=1,"",IF(AND(Z3275=1,AB3275&lt;&gt;1),1,0))</f>
        <v/>
      </c>
      <c r="AE3275" s="0" t="str">
        <f aca="false">IF(Y3275=1,"",IF(AND(AA3275=1,AC3275&lt;&gt;1),1,0))</f>
        <v/>
      </c>
      <c r="AF3275" s="45" t="str">
        <f aca="false">IF(AND(E3275&gt;0,Y3275&lt;1,NOT(AND(C3276=C3275,Y3276=Y3275+1))),INDEX(DATAS,Y3275+1),"")</f>
        <v/>
      </c>
      <c r="AG3275" s="45" t="str">
        <f aca="false">IF(AND(AA3275=1,Y3275&lt;1),IF(AND(C3276=C3275,Y3276=Y3275+1),IF(AA3276=1,"",INDEX(DATAS,Y3275+1)),INDEX(DATAS,Y3275+1)),"")</f>
        <v/>
      </c>
    </row>
    <row r="3276" customFormat="false" ht="15" hidden="false" customHeight="false" outlineLevel="0" collapsed="false">
      <c r="A3276" s="45" t="n">
        <v>46309</v>
      </c>
      <c r="B3276" s="0" t="n">
        <v>13</v>
      </c>
      <c r="C3276" s="0" t="n">
        <v>7701</v>
      </c>
      <c r="E3276" s="0" t="n">
        <v>0</v>
      </c>
      <c r="F3276" s="39" t="s">
        <v>1507</v>
      </c>
      <c r="I3276" s="39" t="s">
        <v>136</v>
      </c>
      <c r="U3276" s="0" t="n">
        <v>159</v>
      </c>
      <c r="V3276" s="0" t="n">
        <v>0</v>
      </c>
      <c r="W3276" s="39" t="n">
        <f aca="false">IF(I3276="Male",0,1)</f>
        <v>1</v>
      </c>
      <c r="X3276" s="39" t="n">
        <f aca="false">IF(OR(I3276="DNB",I3276="Dry DNB"),1,0)</f>
        <v>0</v>
      </c>
      <c r="Y3276" s="39" t="n">
        <f aca="false">MATCH(A3276,DATAS,0)</f>
        <v>1</v>
      </c>
      <c r="Z3276" s="39" t="n">
        <f aca="false">IF(AND(E3276&gt;0,OR(AND(B3276&gt;=1,B3276&lt;=6),B3276=10)),1,0)</f>
        <v>0</v>
      </c>
      <c r="AA3276" s="39" t="n">
        <f aca="false">IF(AND(E3276&gt;0,B3276=10),1,0)</f>
        <v>0</v>
      </c>
      <c r="AB3276" s="0" t="str">
        <f aca="false">IF(AND(C3275=C3276,Y3275=Y3276-1),Z3275,"")</f>
        <v/>
      </c>
      <c r="AC3276" s="0" t="str">
        <f aca="false">IF(AND(C3275=C3276,Y3275=Y3276-1),AA3275,"")</f>
        <v/>
      </c>
      <c r="AD3276" s="0" t="str">
        <f aca="false">IF(Y3276=1,"",IF(AND(Z3276=1,AB3276&lt;&gt;1),1,0))</f>
        <v/>
      </c>
      <c r="AE3276" s="0" t="str">
        <f aca="false">IF(Y3276=1,"",IF(AND(AA3276=1,AC3276&lt;&gt;1),1,0))</f>
        <v/>
      </c>
      <c r="AF3276" s="45" t="str">
        <f aca="false">IF(AND(E3276&gt;0,Y3276&lt;1,NOT(AND(C3277=C3276,Y3277=Y3276+1))),INDEX(DATAS,Y3276+1),"")</f>
        <v/>
      </c>
      <c r="AG3276" s="45" t="str">
        <f aca="false">IF(AND(AA3276=1,Y3276&lt;1),IF(AND(C3277=C3276,Y3277=Y3276+1),IF(AA3277=1,"",INDEX(DATAS,Y3276+1)),INDEX(DATAS,Y3276+1)),"")</f>
        <v/>
      </c>
    </row>
    <row r="3277" customFormat="false" ht="15" hidden="false" customHeight="false" outlineLevel="0" collapsed="false">
      <c r="A3277" s="45" t="n">
        <v>46309</v>
      </c>
      <c r="B3277" s="0" t="n">
        <v>13</v>
      </c>
      <c r="C3277" s="0" t="n">
        <v>7702</v>
      </c>
      <c r="E3277" s="0" t="n">
        <v>0</v>
      </c>
      <c r="F3277" s="39" t="s">
        <v>1508</v>
      </c>
      <c r="I3277" s="39" t="s">
        <v>136</v>
      </c>
      <c r="U3277" s="0" t="n">
        <v>158</v>
      </c>
      <c r="V3277" s="0" t="n">
        <v>0</v>
      </c>
      <c r="W3277" s="39" t="n">
        <f aca="false">IF(I3277="Male",0,1)</f>
        <v>1</v>
      </c>
      <c r="X3277" s="39" t="n">
        <f aca="false">IF(OR(I3277="DNB",I3277="Dry DNB"),1,0)</f>
        <v>0</v>
      </c>
      <c r="Y3277" s="39" t="n">
        <f aca="false">MATCH(A3277,DATAS,0)</f>
        <v>1</v>
      </c>
      <c r="Z3277" s="39" t="n">
        <f aca="false">IF(AND(E3277&gt;0,OR(AND(B3277&gt;=1,B3277&lt;=6),B3277=10)),1,0)</f>
        <v>0</v>
      </c>
      <c r="AA3277" s="39" t="n">
        <f aca="false">IF(AND(E3277&gt;0,B3277=10),1,0)</f>
        <v>0</v>
      </c>
      <c r="AB3277" s="0" t="str">
        <f aca="false">IF(AND(C3276=C3277,Y3276=Y3277-1),Z3276,"")</f>
        <v/>
      </c>
      <c r="AC3277" s="0" t="str">
        <f aca="false">IF(AND(C3276=C3277,Y3276=Y3277-1),AA3276,"")</f>
        <v/>
      </c>
      <c r="AD3277" s="0" t="str">
        <f aca="false">IF(Y3277=1,"",IF(AND(Z3277=1,AB3277&lt;&gt;1),1,0))</f>
        <v/>
      </c>
      <c r="AE3277" s="0" t="str">
        <f aca="false">IF(Y3277=1,"",IF(AND(AA3277=1,AC3277&lt;&gt;1),1,0))</f>
        <v/>
      </c>
      <c r="AF3277" s="45" t="str">
        <f aca="false">IF(AND(E3277&gt;0,Y3277&lt;1,NOT(AND(C3278=C3277,Y3278=Y3277+1))),INDEX(DATAS,Y3277+1),"")</f>
        <v/>
      </c>
      <c r="AG3277" s="45" t="str">
        <f aca="false">IF(AND(AA3277=1,Y3277&lt;1),IF(AND(C3278=C3277,Y3278=Y3277+1),IF(AA3278=1,"",INDEX(DATAS,Y3277+1)),INDEX(DATAS,Y3277+1)),"")</f>
        <v/>
      </c>
    </row>
    <row r="3278" customFormat="false" ht="15" hidden="false" customHeight="false" outlineLevel="0" collapsed="false">
      <c r="A3278" s="45" t="n">
        <v>46309</v>
      </c>
      <c r="B3278" s="0" t="n">
        <v>13</v>
      </c>
      <c r="C3278" s="0" t="n">
        <v>7703</v>
      </c>
      <c r="E3278" s="0" t="n">
        <v>0</v>
      </c>
      <c r="F3278" s="39" t="s">
        <v>1508</v>
      </c>
      <c r="I3278" s="39" t="s">
        <v>136</v>
      </c>
      <c r="U3278" s="0" t="n">
        <v>158</v>
      </c>
      <c r="V3278" s="0" t="n">
        <v>0</v>
      </c>
      <c r="W3278" s="39" t="n">
        <f aca="false">IF(I3278="Male",0,1)</f>
        <v>1</v>
      </c>
      <c r="X3278" s="39" t="n">
        <f aca="false">IF(OR(I3278="DNB",I3278="Dry DNB"),1,0)</f>
        <v>0</v>
      </c>
      <c r="Y3278" s="39" t="n">
        <f aca="false">MATCH(A3278,DATAS,0)</f>
        <v>1</v>
      </c>
      <c r="Z3278" s="39" t="n">
        <f aca="false">IF(AND(E3278&gt;0,OR(AND(B3278&gt;=1,B3278&lt;=6),B3278=10)),1,0)</f>
        <v>0</v>
      </c>
      <c r="AA3278" s="39" t="n">
        <f aca="false">IF(AND(E3278&gt;0,B3278=10),1,0)</f>
        <v>0</v>
      </c>
      <c r="AB3278" s="0" t="str">
        <f aca="false">IF(AND(C3277=C3278,Y3277=Y3278-1),Z3277,"")</f>
        <v/>
      </c>
      <c r="AC3278" s="0" t="str">
        <f aca="false">IF(AND(C3277=C3278,Y3277=Y3278-1),AA3277,"")</f>
        <v/>
      </c>
      <c r="AD3278" s="0" t="str">
        <f aca="false">IF(Y3278=1,"",IF(AND(Z3278=1,AB3278&lt;&gt;1),1,0))</f>
        <v/>
      </c>
      <c r="AE3278" s="0" t="str">
        <f aca="false">IF(Y3278=1,"",IF(AND(AA3278=1,AC3278&lt;&gt;1),1,0))</f>
        <v/>
      </c>
      <c r="AF3278" s="45" t="str">
        <f aca="false">IF(AND(E3278&gt;0,Y3278&lt;1,NOT(AND(C3279=C3278,Y3279=Y3278+1))),INDEX(DATAS,Y3278+1),"")</f>
        <v/>
      </c>
      <c r="AG3278" s="45" t="str">
        <f aca="false">IF(AND(AA3278=1,Y3278&lt;1),IF(AND(C3279=C3278,Y3279=Y3278+1),IF(AA3279=1,"",INDEX(DATAS,Y3278+1)),INDEX(DATAS,Y3278+1)),"")</f>
        <v/>
      </c>
    </row>
    <row r="3279" customFormat="false" ht="15" hidden="false" customHeight="false" outlineLevel="0" collapsed="false">
      <c r="A3279" s="45" t="n">
        <v>46309</v>
      </c>
      <c r="B3279" s="0" t="n">
        <v>13</v>
      </c>
      <c r="C3279" s="0" t="n">
        <v>7704</v>
      </c>
      <c r="E3279" s="0" t="n">
        <v>0</v>
      </c>
      <c r="F3279" s="39" t="s">
        <v>1509</v>
      </c>
      <c r="I3279" s="39" t="s">
        <v>136</v>
      </c>
      <c r="U3279" s="0" t="n">
        <v>157</v>
      </c>
      <c r="V3279" s="0" t="n">
        <v>0</v>
      </c>
      <c r="W3279" s="39" t="n">
        <f aca="false">IF(I3279="Male",0,1)</f>
        <v>1</v>
      </c>
      <c r="X3279" s="39" t="n">
        <f aca="false">IF(OR(I3279="DNB",I3279="Dry DNB"),1,0)</f>
        <v>0</v>
      </c>
      <c r="Y3279" s="39" t="n">
        <f aca="false">MATCH(A3279,DATAS,0)</f>
        <v>1</v>
      </c>
      <c r="Z3279" s="39" t="n">
        <f aca="false">IF(AND(E3279&gt;0,OR(AND(B3279&gt;=1,B3279&lt;=6),B3279=10)),1,0)</f>
        <v>0</v>
      </c>
      <c r="AA3279" s="39" t="n">
        <f aca="false">IF(AND(E3279&gt;0,B3279=10),1,0)</f>
        <v>0</v>
      </c>
      <c r="AB3279" s="0" t="str">
        <f aca="false">IF(AND(C3278=C3279,Y3278=Y3279-1),Z3278,"")</f>
        <v/>
      </c>
      <c r="AC3279" s="0" t="str">
        <f aca="false">IF(AND(C3278=C3279,Y3278=Y3279-1),AA3278,"")</f>
        <v/>
      </c>
      <c r="AD3279" s="0" t="str">
        <f aca="false">IF(Y3279=1,"",IF(AND(Z3279=1,AB3279&lt;&gt;1),1,0))</f>
        <v/>
      </c>
      <c r="AE3279" s="0" t="str">
        <f aca="false">IF(Y3279=1,"",IF(AND(AA3279=1,AC3279&lt;&gt;1),1,0))</f>
        <v/>
      </c>
      <c r="AF3279" s="45" t="str">
        <f aca="false">IF(AND(E3279&gt;0,Y3279&lt;1,NOT(AND(C3280=C3279,Y3280=Y3279+1))),INDEX(DATAS,Y3279+1),"")</f>
        <v/>
      </c>
      <c r="AG3279" s="45" t="str">
        <f aca="false">IF(AND(AA3279=1,Y3279&lt;1),IF(AND(C3280=C3279,Y3280=Y3279+1),IF(AA3280=1,"",INDEX(DATAS,Y3279+1)),INDEX(DATAS,Y3279+1)),"")</f>
        <v/>
      </c>
    </row>
    <row r="3280" customFormat="false" ht="15" hidden="false" customHeight="false" outlineLevel="0" collapsed="false">
      <c r="A3280" s="45" t="n">
        <v>46309</v>
      </c>
      <c r="B3280" s="0" t="n">
        <v>13</v>
      </c>
      <c r="C3280" s="0" t="n">
        <v>7705</v>
      </c>
      <c r="E3280" s="0" t="n">
        <v>0</v>
      </c>
      <c r="F3280" s="39" t="s">
        <v>1509</v>
      </c>
      <c r="I3280" s="39" t="s">
        <v>136</v>
      </c>
      <c r="U3280" s="0" t="n">
        <v>157</v>
      </c>
      <c r="V3280" s="0" t="n">
        <v>0</v>
      </c>
      <c r="W3280" s="39" t="n">
        <f aca="false">IF(I3280="Male",0,1)</f>
        <v>1</v>
      </c>
      <c r="X3280" s="39" t="n">
        <f aca="false">IF(OR(I3280="DNB",I3280="Dry DNB"),1,0)</f>
        <v>0</v>
      </c>
      <c r="Y3280" s="39" t="n">
        <f aca="false">MATCH(A3280,DATAS,0)</f>
        <v>1</v>
      </c>
      <c r="Z3280" s="39" t="n">
        <f aca="false">IF(AND(E3280&gt;0,OR(AND(B3280&gt;=1,B3280&lt;=6),B3280=10)),1,0)</f>
        <v>0</v>
      </c>
      <c r="AA3280" s="39" t="n">
        <f aca="false">IF(AND(E3280&gt;0,B3280=10),1,0)</f>
        <v>0</v>
      </c>
      <c r="AB3280" s="0" t="str">
        <f aca="false">IF(AND(C3279=C3280,Y3279=Y3280-1),Z3279,"")</f>
        <v/>
      </c>
      <c r="AC3280" s="0" t="str">
        <f aca="false">IF(AND(C3279=C3280,Y3279=Y3280-1),AA3279,"")</f>
        <v/>
      </c>
      <c r="AD3280" s="0" t="str">
        <f aca="false">IF(Y3280=1,"",IF(AND(Z3280=1,AB3280&lt;&gt;1),1,0))</f>
        <v/>
      </c>
      <c r="AE3280" s="0" t="str">
        <f aca="false">IF(Y3280=1,"",IF(AND(AA3280=1,AC3280&lt;&gt;1),1,0))</f>
        <v/>
      </c>
      <c r="AF3280" s="45" t="str">
        <f aca="false">IF(AND(E3280&gt;0,Y3280&lt;1,NOT(AND(C3281=C3280,Y3281=Y3280+1))),INDEX(DATAS,Y3280+1),"")</f>
        <v/>
      </c>
      <c r="AG3280" s="45" t="str">
        <f aca="false">IF(AND(AA3280=1,Y3280&lt;1),IF(AND(C3281=C3280,Y3281=Y3280+1),IF(AA3281=1,"",INDEX(DATAS,Y3280+1)),INDEX(DATAS,Y3280+1)),"")</f>
        <v/>
      </c>
    </row>
    <row r="3281" customFormat="false" ht="15" hidden="false" customHeight="false" outlineLevel="0" collapsed="false">
      <c r="A3281" s="45" t="n">
        <v>46309</v>
      </c>
      <c r="B3281" s="0" t="n">
        <v>13</v>
      </c>
      <c r="C3281" s="0" t="n">
        <v>7706</v>
      </c>
      <c r="E3281" s="0" t="n">
        <v>0</v>
      </c>
      <c r="F3281" s="39" t="s">
        <v>1510</v>
      </c>
      <c r="I3281" s="39" t="s">
        <v>136</v>
      </c>
      <c r="U3281" s="0" t="n">
        <v>156</v>
      </c>
      <c r="V3281" s="0" t="n">
        <v>0</v>
      </c>
      <c r="W3281" s="39" t="n">
        <f aca="false">IF(I3281="Male",0,1)</f>
        <v>1</v>
      </c>
      <c r="X3281" s="39" t="n">
        <f aca="false">IF(OR(I3281="DNB",I3281="Dry DNB"),1,0)</f>
        <v>0</v>
      </c>
      <c r="Y3281" s="39" t="n">
        <f aca="false">MATCH(A3281,DATAS,0)</f>
        <v>1</v>
      </c>
      <c r="Z3281" s="39" t="n">
        <f aca="false">IF(AND(E3281&gt;0,OR(AND(B3281&gt;=1,B3281&lt;=6),B3281=10)),1,0)</f>
        <v>0</v>
      </c>
      <c r="AA3281" s="39" t="n">
        <f aca="false">IF(AND(E3281&gt;0,B3281=10),1,0)</f>
        <v>0</v>
      </c>
      <c r="AB3281" s="0" t="str">
        <f aca="false">IF(AND(C3280=C3281,Y3280=Y3281-1),Z3280,"")</f>
        <v/>
      </c>
      <c r="AC3281" s="0" t="str">
        <f aca="false">IF(AND(C3280=C3281,Y3280=Y3281-1),AA3280,"")</f>
        <v/>
      </c>
      <c r="AD3281" s="0" t="str">
        <f aca="false">IF(Y3281=1,"",IF(AND(Z3281=1,AB3281&lt;&gt;1),1,0))</f>
        <v/>
      </c>
      <c r="AE3281" s="0" t="str">
        <f aca="false">IF(Y3281=1,"",IF(AND(AA3281=1,AC3281&lt;&gt;1),1,0))</f>
        <v/>
      </c>
      <c r="AF3281" s="45" t="str">
        <f aca="false">IF(AND(E3281&gt;0,Y3281&lt;1,NOT(AND(C3282=C3281,Y3282=Y3281+1))),INDEX(DATAS,Y3281+1),"")</f>
        <v/>
      </c>
      <c r="AG3281" s="45" t="str">
        <f aca="false">IF(AND(AA3281=1,Y3281&lt;1),IF(AND(C3282=C3281,Y3282=Y3281+1),IF(AA3282=1,"",INDEX(DATAS,Y3281+1)),INDEX(DATAS,Y3281+1)),"")</f>
        <v/>
      </c>
    </row>
    <row r="3282" customFormat="false" ht="15" hidden="false" customHeight="false" outlineLevel="0" collapsed="false">
      <c r="A3282" s="45" t="n">
        <v>46309</v>
      </c>
      <c r="B3282" s="0" t="n">
        <v>13</v>
      </c>
      <c r="C3282" s="0" t="n">
        <v>7707</v>
      </c>
      <c r="E3282" s="0" t="n">
        <v>0</v>
      </c>
      <c r="F3282" s="39" t="s">
        <v>1511</v>
      </c>
      <c r="I3282" s="39" t="s">
        <v>136</v>
      </c>
      <c r="U3282" s="0" t="n">
        <v>155</v>
      </c>
      <c r="V3282" s="0" t="n">
        <v>0</v>
      </c>
      <c r="W3282" s="39" t="n">
        <f aca="false">IF(I3282="Male",0,1)</f>
        <v>1</v>
      </c>
      <c r="X3282" s="39" t="n">
        <f aca="false">IF(OR(I3282="DNB",I3282="Dry DNB"),1,0)</f>
        <v>0</v>
      </c>
      <c r="Y3282" s="39" t="n">
        <f aca="false">MATCH(A3282,DATAS,0)</f>
        <v>1</v>
      </c>
      <c r="Z3282" s="39" t="n">
        <f aca="false">IF(AND(E3282&gt;0,OR(AND(B3282&gt;=1,B3282&lt;=6),B3282=10)),1,0)</f>
        <v>0</v>
      </c>
      <c r="AA3282" s="39" t="n">
        <f aca="false">IF(AND(E3282&gt;0,B3282=10),1,0)</f>
        <v>0</v>
      </c>
      <c r="AB3282" s="0" t="str">
        <f aca="false">IF(AND(C3281=C3282,Y3281=Y3282-1),Z3281,"")</f>
        <v/>
      </c>
      <c r="AC3282" s="0" t="str">
        <f aca="false">IF(AND(C3281=C3282,Y3281=Y3282-1),AA3281,"")</f>
        <v/>
      </c>
      <c r="AD3282" s="0" t="str">
        <f aca="false">IF(Y3282=1,"",IF(AND(Z3282=1,AB3282&lt;&gt;1),1,0))</f>
        <v/>
      </c>
      <c r="AE3282" s="0" t="str">
        <f aca="false">IF(Y3282=1,"",IF(AND(AA3282=1,AC3282&lt;&gt;1),1,0))</f>
        <v/>
      </c>
      <c r="AF3282" s="45" t="str">
        <f aca="false">IF(AND(E3282&gt;0,Y3282&lt;1,NOT(AND(C3283=C3282,Y3283=Y3282+1))),INDEX(DATAS,Y3282+1),"")</f>
        <v/>
      </c>
      <c r="AG3282" s="45" t="str">
        <f aca="false">IF(AND(AA3282=1,Y3282&lt;1),IF(AND(C3283=C3282,Y3283=Y3282+1),IF(AA3283=1,"",INDEX(DATAS,Y3282+1)),INDEX(DATAS,Y3282+1)),"")</f>
        <v/>
      </c>
    </row>
    <row r="3283" customFormat="false" ht="15" hidden="false" customHeight="false" outlineLevel="0" collapsed="false">
      <c r="A3283" s="45" t="n">
        <v>46309</v>
      </c>
      <c r="B3283" s="0" t="n">
        <v>13</v>
      </c>
      <c r="C3283" s="0" t="n">
        <v>7708</v>
      </c>
      <c r="E3283" s="0" t="n">
        <v>0</v>
      </c>
      <c r="F3283" s="39" t="s">
        <v>1511</v>
      </c>
      <c r="I3283" s="39" t="s">
        <v>136</v>
      </c>
      <c r="U3283" s="0" t="n">
        <v>155</v>
      </c>
      <c r="V3283" s="0" t="n">
        <v>0</v>
      </c>
      <c r="W3283" s="39" t="n">
        <f aca="false">IF(I3283="Male",0,1)</f>
        <v>1</v>
      </c>
      <c r="X3283" s="39" t="n">
        <f aca="false">IF(OR(I3283="DNB",I3283="Dry DNB"),1,0)</f>
        <v>0</v>
      </c>
      <c r="Y3283" s="39" t="n">
        <f aca="false">MATCH(A3283,DATAS,0)</f>
        <v>1</v>
      </c>
      <c r="Z3283" s="39" t="n">
        <f aca="false">IF(AND(E3283&gt;0,OR(AND(B3283&gt;=1,B3283&lt;=6),B3283=10)),1,0)</f>
        <v>0</v>
      </c>
      <c r="AA3283" s="39" t="n">
        <f aca="false">IF(AND(E3283&gt;0,B3283=10),1,0)</f>
        <v>0</v>
      </c>
      <c r="AB3283" s="0" t="str">
        <f aca="false">IF(AND(C3282=C3283,Y3282=Y3283-1),Z3282,"")</f>
        <v/>
      </c>
      <c r="AC3283" s="0" t="str">
        <f aca="false">IF(AND(C3282=C3283,Y3282=Y3283-1),AA3282,"")</f>
        <v/>
      </c>
      <c r="AD3283" s="0" t="str">
        <f aca="false">IF(Y3283=1,"",IF(AND(Z3283=1,AB3283&lt;&gt;1),1,0))</f>
        <v/>
      </c>
      <c r="AE3283" s="0" t="str">
        <f aca="false">IF(Y3283=1,"",IF(AND(AA3283=1,AC3283&lt;&gt;1),1,0))</f>
        <v/>
      </c>
      <c r="AF3283" s="45" t="str">
        <f aca="false">IF(AND(E3283&gt;0,Y3283&lt;1,NOT(AND(C3284=C3283,Y3284=Y3283+1))),INDEX(DATAS,Y3283+1),"")</f>
        <v/>
      </c>
      <c r="AG3283" s="45" t="str">
        <f aca="false">IF(AND(AA3283=1,Y3283&lt;1),IF(AND(C3284=C3283,Y3284=Y3283+1),IF(AA3284=1,"",INDEX(DATAS,Y3283+1)),INDEX(DATAS,Y3283+1)),"")</f>
        <v/>
      </c>
    </row>
    <row r="3284" customFormat="false" ht="15" hidden="false" customHeight="false" outlineLevel="0" collapsed="false">
      <c r="A3284" s="45" t="n">
        <v>46309</v>
      </c>
      <c r="B3284" s="0" t="n">
        <v>13</v>
      </c>
      <c r="C3284" s="0" t="n">
        <v>7709</v>
      </c>
      <c r="E3284" s="0" t="n">
        <v>0</v>
      </c>
      <c r="F3284" s="39" t="s">
        <v>1511</v>
      </c>
      <c r="I3284" s="39" t="s">
        <v>136</v>
      </c>
      <c r="U3284" s="0" t="n">
        <v>155</v>
      </c>
      <c r="V3284" s="0" t="n">
        <v>0</v>
      </c>
      <c r="W3284" s="39" t="n">
        <f aca="false">IF(I3284="Male",0,1)</f>
        <v>1</v>
      </c>
      <c r="X3284" s="39" t="n">
        <f aca="false">IF(OR(I3284="DNB",I3284="Dry DNB"),1,0)</f>
        <v>0</v>
      </c>
      <c r="Y3284" s="39" t="n">
        <f aca="false">MATCH(A3284,DATAS,0)</f>
        <v>1</v>
      </c>
      <c r="Z3284" s="39" t="n">
        <f aca="false">IF(AND(E3284&gt;0,OR(AND(B3284&gt;=1,B3284&lt;=6),B3284=10)),1,0)</f>
        <v>0</v>
      </c>
      <c r="AA3284" s="39" t="n">
        <f aca="false">IF(AND(E3284&gt;0,B3284=10),1,0)</f>
        <v>0</v>
      </c>
      <c r="AB3284" s="0" t="str">
        <f aca="false">IF(AND(C3283=C3284,Y3283=Y3284-1),Z3283,"")</f>
        <v/>
      </c>
      <c r="AC3284" s="0" t="str">
        <f aca="false">IF(AND(C3283=C3284,Y3283=Y3284-1),AA3283,"")</f>
        <v/>
      </c>
      <c r="AD3284" s="0" t="str">
        <f aca="false">IF(Y3284=1,"",IF(AND(Z3284=1,AB3284&lt;&gt;1),1,0))</f>
        <v/>
      </c>
      <c r="AE3284" s="0" t="str">
        <f aca="false">IF(Y3284=1,"",IF(AND(AA3284=1,AC3284&lt;&gt;1),1,0))</f>
        <v/>
      </c>
      <c r="AF3284" s="45" t="str">
        <f aca="false">IF(AND(E3284&gt;0,Y3284&lt;1,NOT(AND(C3285=C3284,Y3285=Y3284+1))),INDEX(DATAS,Y3284+1),"")</f>
        <v/>
      </c>
      <c r="AG3284" s="45" t="str">
        <f aca="false">IF(AND(AA3284=1,Y3284&lt;1),IF(AND(C3285=C3284,Y3285=Y3284+1),IF(AA3285=1,"",INDEX(DATAS,Y3284+1)),INDEX(DATAS,Y3284+1)),"")</f>
        <v/>
      </c>
    </row>
    <row r="3285" customFormat="false" ht="15" hidden="false" customHeight="false" outlineLevel="0" collapsed="false">
      <c r="A3285" s="45" t="n">
        <v>46309</v>
      </c>
      <c r="B3285" s="0" t="n">
        <v>13</v>
      </c>
      <c r="C3285" s="0" t="n">
        <v>7710</v>
      </c>
      <c r="E3285" s="0" t="n">
        <v>0</v>
      </c>
      <c r="F3285" s="39" t="s">
        <v>1511</v>
      </c>
      <c r="I3285" s="39" t="s">
        <v>136</v>
      </c>
      <c r="U3285" s="0" t="n">
        <v>155</v>
      </c>
      <c r="V3285" s="0" t="n">
        <v>0</v>
      </c>
      <c r="W3285" s="39" t="n">
        <f aca="false">IF(I3285="Male",0,1)</f>
        <v>1</v>
      </c>
      <c r="X3285" s="39" t="n">
        <f aca="false">IF(OR(I3285="DNB",I3285="Dry DNB"),1,0)</f>
        <v>0</v>
      </c>
      <c r="Y3285" s="39" t="n">
        <f aca="false">MATCH(A3285,DATAS,0)</f>
        <v>1</v>
      </c>
      <c r="Z3285" s="39" t="n">
        <f aca="false">IF(AND(E3285&gt;0,OR(AND(B3285&gt;=1,B3285&lt;=6),B3285=10)),1,0)</f>
        <v>0</v>
      </c>
      <c r="AA3285" s="39" t="n">
        <f aca="false">IF(AND(E3285&gt;0,B3285=10),1,0)</f>
        <v>0</v>
      </c>
      <c r="AB3285" s="0" t="str">
        <f aca="false">IF(AND(C3284=C3285,Y3284=Y3285-1),Z3284,"")</f>
        <v/>
      </c>
      <c r="AC3285" s="0" t="str">
        <f aca="false">IF(AND(C3284=C3285,Y3284=Y3285-1),AA3284,"")</f>
        <v/>
      </c>
      <c r="AD3285" s="0" t="str">
        <f aca="false">IF(Y3285=1,"",IF(AND(Z3285=1,AB3285&lt;&gt;1),1,0))</f>
        <v/>
      </c>
      <c r="AE3285" s="0" t="str">
        <f aca="false">IF(Y3285=1,"",IF(AND(AA3285=1,AC3285&lt;&gt;1),1,0))</f>
        <v/>
      </c>
      <c r="AF3285" s="45" t="str">
        <f aca="false">IF(AND(E3285&gt;0,Y3285&lt;1,NOT(AND(C3286=C3285,Y3286=Y3285+1))),INDEX(DATAS,Y3285+1),"")</f>
        <v/>
      </c>
      <c r="AG3285" s="45" t="str">
        <f aca="false">IF(AND(AA3285=1,Y3285&lt;1),IF(AND(C3286=C3285,Y3286=Y3285+1),IF(AA3286=1,"",INDEX(DATAS,Y3285+1)),INDEX(DATAS,Y3285+1)),"")</f>
        <v/>
      </c>
    </row>
    <row r="3286" customFormat="false" ht="15" hidden="false" customHeight="false" outlineLevel="0" collapsed="false">
      <c r="A3286" s="45" t="n">
        <v>46309</v>
      </c>
      <c r="B3286" s="0" t="n">
        <v>13</v>
      </c>
      <c r="C3286" s="0" t="n">
        <v>7711</v>
      </c>
      <c r="E3286" s="0" t="n">
        <v>0</v>
      </c>
      <c r="F3286" s="39" t="s">
        <v>1511</v>
      </c>
      <c r="I3286" s="39" t="s">
        <v>136</v>
      </c>
      <c r="U3286" s="0" t="n">
        <v>155</v>
      </c>
      <c r="V3286" s="0" t="n">
        <v>0</v>
      </c>
      <c r="W3286" s="39" t="n">
        <f aca="false">IF(I3286="Male",0,1)</f>
        <v>1</v>
      </c>
      <c r="X3286" s="39" t="n">
        <f aca="false">IF(OR(I3286="DNB",I3286="Dry DNB"),1,0)</f>
        <v>0</v>
      </c>
      <c r="Y3286" s="39" t="n">
        <f aca="false">MATCH(A3286,DATAS,0)</f>
        <v>1</v>
      </c>
      <c r="Z3286" s="39" t="n">
        <f aca="false">IF(AND(E3286&gt;0,OR(AND(B3286&gt;=1,B3286&lt;=6),B3286=10)),1,0)</f>
        <v>0</v>
      </c>
      <c r="AA3286" s="39" t="n">
        <f aca="false">IF(AND(E3286&gt;0,B3286=10),1,0)</f>
        <v>0</v>
      </c>
      <c r="AB3286" s="0" t="str">
        <f aca="false">IF(AND(C3285=C3286,Y3285=Y3286-1),Z3285,"")</f>
        <v/>
      </c>
      <c r="AC3286" s="0" t="str">
        <f aca="false">IF(AND(C3285=C3286,Y3285=Y3286-1),AA3285,"")</f>
        <v/>
      </c>
      <c r="AD3286" s="0" t="str">
        <f aca="false">IF(Y3286=1,"",IF(AND(Z3286=1,AB3286&lt;&gt;1),1,0))</f>
        <v/>
      </c>
      <c r="AE3286" s="0" t="str">
        <f aca="false">IF(Y3286=1,"",IF(AND(AA3286=1,AC3286&lt;&gt;1),1,0))</f>
        <v/>
      </c>
      <c r="AF3286" s="45" t="str">
        <f aca="false">IF(AND(E3286&gt;0,Y3286&lt;1,NOT(AND(C3287=C3286,Y3287=Y3286+1))),INDEX(DATAS,Y3286+1),"")</f>
        <v/>
      </c>
      <c r="AG3286" s="45" t="str">
        <f aca="false">IF(AND(AA3286=1,Y3286&lt;1),IF(AND(C3287=C3286,Y3287=Y3286+1),IF(AA3287=1,"",INDEX(DATAS,Y3286+1)),INDEX(DATAS,Y3286+1)),"")</f>
        <v/>
      </c>
    </row>
    <row r="3287" customFormat="false" ht="15" hidden="false" customHeight="false" outlineLevel="0" collapsed="false">
      <c r="A3287" s="45" t="n">
        <v>46309</v>
      </c>
      <c r="B3287" s="0" t="n">
        <v>13</v>
      </c>
      <c r="C3287" s="0" t="n">
        <v>7712</v>
      </c>
      <c r="E3287" s="0" t="n">
        <v>0</v>
      </c>
      <c r="F3287" s="39" t="s">
        <v>1511</v>
      </c>
      <c r="I3287" s="39" t="s">
        <v>136</v>
      </c>
      <c r="U3287" s="0" t="n">
        <v>155</v>
      </c>
      <c r="V3287" s="0" t="n">
        <v>0</v>
      </c>
      <c r="W3287" s="39" t="n">
        <f aca="false">IF(I3287="Male",0,1)</f>
        <v>1</v>
      </c>
      <c r="X3287" s="39" t="n">
        <f aca="false">IF(OR(I3287="DNB",I3287="Dry DNB"),1,0)</f>
        <v>0</v>
      </c>
      <c r="Y3287" s="39" t="n">
        <f aca="false">MATCH(A3287,DATAS,0)</f>
        <v>1</v>
      </c>
      <c r="Z3287" s="39" t="n">
        <f aca="false">IF(AND(E3287&gt;0,OR(AND(B3287&gt;=1,B3287&lt;=6),B3287=10)),1,0)</f>
        <v>0</v>
      </c>
      <c r="AA3287" s="39" t="n">
        <f aca="false">IF(AND(E3287&gt;0,B3287=10),1,0)</f>
        <v>0</v>
      </c>
      <c r="AB3287" s="0" t="str">
        <f aca="false">IF(AND(C3286=C3287,Y3286=Y3287-1),Z3286,"")</f>
        <v/>
      </c>
      <c r="AC3287" s="0" t="str">
        <f aca="false">IF(AND(C3286=C3287,Y3286=Y3287-1),AA3286,"")</f>
        <v/>
      </c>
      <c r="AD3287" s="0" t="str">
        <f aca="false">IF(Y3287=1,"",IF(AND(Z3287=1,AB3287&lt;&gt;1),1,0))</f>
        <v/>
      </c>
      <c r="AE3287" s="0" t="str">
        <f aca="false">IF(Y3287=1,"",IF(AND(AA3287=1,AC3287&lt;&gt;1),1,0))</f>
        <v/>
      </c>
      <c r="AF3287" s="45" t="str">
        <f aca="false">IF(AND(E3287&gt;0,Y3287&lt;1,NOT(AND(C3288=C3287,Y3288=Y3287+1))),INDEX(DATAS,Y3287+1),"")</f>
        <v/>
      </c>
      <c r="AG3287" s="45" t="str">
        <f aca="false">IF(AND(AA3287=1,Y3287&lt;1),IF(AND(C3288=C3287,Y3288=Y3287+1),IF(AA3288=1,"",INDEX(DATAS,Y3287+1)),INDEX(DATAS,Y3287+1)),"")</f>
        <v/>
      </c>
    </row>
    <row r="3288" customFormat="false" ht="15" hidden="false" customHeight="false" outlineLevel="0" collapsed="false">
      <c r="A3288" s="45" t="n">
        <v>46309</v>
      </c>
      <c r="B3288" s="0" t="n">
        <v>13</v>
      </c>
      <c r="C3288" s="0" t="n">
        <v>7713</v>
      </c>
      <c r="E3288" s="0" t="n">
        <v>0</v>
      </c>
      <c r="F3288" s="39" t="s">
        <v>1511</v>
      </c>
      <c r="I3288" s="39" t="s">
        <v>136</v>
      </c>
      <c r="U3288" s="0" t="n">
        <v>155</v>
      </c>
      <c r="V3288" s="0" t="n">
        <v>0</v>
      </c>
      <c r="W3288" s="39" t="n">
        <f aca="false">IF(I3288="Male",0,1)</f>
        <v>1</v>
      </c>
      <c r="X3288" s="39" t="n">
        <f aca="false">IF(OR(I3288="DNB",I3288="Dry DNB"),1,0)</f>
        <v>0</v>
      </c>
      <c r="Y3288" s="39" t="n">
        <f aca="false">MATCH(A3288,DATAS,0)</f>
        <v>1</v>
      </c>
      <c r="Z3288" s="39" t="n">
        <f aca="false">IF(AND(E3288&gt;0,OR(AND(B3288&gt;=1,B3288&lt;=6),B3288=10)),1,0)</f>
        <v>0</v>
      </c>
      <c r="AA3288" s="39" t="n">
        <f aca="false">IF(AND(E3288&gt;0,B3288=10),1,0)</f>
        <v>0</v>
      </c>
      <c r="AB3288" s="0" t="str">
        <f aca="false">IF(AND(C3287=C3288,Y3287=Y3288-1),Z3287,"")</f>
        <v/>
      </c>
      <c r="AC3288" s="0" t="str">
        <f aca="false">IF(AND(C3287=C3288,Y3287=Y3288-1),AA3287,"")</f>
        <v/>
      </c>
      <c r="AD3288" s="0" t="str">
        <f aca="false">IF(Y3288=1,"",IF(AND(Z3288=1,AB3288&lt;&gt;1),1,0))</f>
        <v/>
      </c>
      <c r="AE3288" s="0" t="str">
        <f aca="false">IF(Y3288=1,"",IF(AND(AA3288=1,AC3288&lt;&gt;1),1,0))</f>
        <v/>
      </c>
      <c r="AF3288" s="45" t="str">
        <f aca="false">IF(AND(E3288&gt;0,Y3288&lt;1,NOT(AND(C3289=C3288,Y3289=Y3288+1))),INDEX(DATAS,Y3288+1),"")</f>
        <v/>
      </c>
      <c r="AG3288" s="45" t="str">
        <f aca="false">IF(AND(AA3288=1,Y3288&lt;1),IF(AND(C3289=C3288,Y3289=Y3288+1),IF(AA3289=1,"",INDEX(DATAS,Y3288+1)),INDEX(DATAS,Y3288+1)),"")</f>
        <v/>
      </c>
    </row>
    <row r="3289" customFormat="false" ht="15" hidden="false" customHeight="false" outlineLevel="0" collapsed="false">
      <c r="A3289" s="45" t="n">
        <v>46309</v>
      </c>
      <c r="B3289" s="0" t="n">
        <v>13</v>
      </c>
      <c r="C3289" s="0" t="n">
        <v>7714</v>
      </c>
      <c r="E3289" s="0" t="n">
        <v>0</v>
      </c>
      <c r="F3289" s="39" t="s">
        <v>1511</v>
      </c>
      <c r="I3289" s="39" t="s">
        <v>136</v>
      </c>
      <c r="U3289" s="0" t="n">
        <v>155</v>
      </c>
      <c r="V3289" s="0" t="n">
        <v>0</v>
      </c>
      <c r="W3289" s="39" t="n">
        <f aca="false">IF(I3289="Male",0,1)</f>
        <v>1</v>
      </c>
      <c r="X3289" s="39" t="n">
        <f aca="false">IF(OR(I3289="DNB",I3289="Dry DNB"),1,0)</f>
        <v>0</v>
      </c>
      <c r="Y3289" s="39" t="n">
        <f aca="false">MATCH(A3289,DATAS,0)</f>
        <v>1</v>
      </c>
      <c r="Z3289" s="39" t="n">
        <f aca="false">IF(AND(E3289&gt;0,OR(AND(B3289&gt;=1,B3289&lt;=6),B3289=10)),1,0)</f>
        <v>0</v>
      </c>
      <c r="AA3289" s="39" t="n">
        <f aca="false">IF(AND(E3289&gt;0,B3289=10),1,0)</f>
        <v>0</v>
      </c>
      <c r="AB3289" s="0" t="str">
        <f aca="false">IF(AND(C3288=C3289,Y3288=Y3289-1),Z3288,"")</f>
        <v/>
      </c>
      <c r="AC3289" s="0" t="str">
        <f aca="false">IF(AND(C3288=C3289,Y3288=Y3289-1),AA3288,"")</f>
        <v/>
      </c>
      <c r="AD3289" s="0" t="str">
        <f aca="false">IF(Y3289=1,"",IF(AND(Z3289=1,AB3289&lt;&gt;1),1,0))</f>
        <v/>
      </c>
      <c r="AE3289" s="0" t="str">
        <f aca="false">IF(Y3289=1,"",IF(AND(AA3289=1,AC3289&lt;&gt;1),1,0))</f>
        <v/>
      </c>
      <c r="AF3289" s="45" t="str">
        <f aca="false">IF(AND(E3289&gt;0,Y3289&lt;1,NOT(AND(C3290=C3289,Y3290=Y3289+1))),INDEX(DATAS,Y3289+1),"")</f>
        <v/>
      </c>
      <c r="AG3289" s="45" t="str">
        <f aca="false">IF(AND(AA3289=1,Y3289&lt;1),IF(AND(C3290=C3289,Y3290=Y3289+1),IF(AA3290=1,"",INDEX(DATAS,Y3289+1)),INDEX(DATAS,Y3289+1)),"")</f>
        <v/>
      </c>
    </row>
    <row r="3290" customFormat="false" ht="15" hidden="false" customHeight="false" outlineLevel="0" collapsed="false">
      <c r="A3290" s="45" t="n">
        <v>46309</v>
      </c>
      <c r="B3290" s="0" t="n">
        <v>13</v>
      </c>
      <c r="C3290" s="0" t="n">
        <v>7715</v>
      </c>
      <c r="E3290" s="0" t="n">
        <v>0</v>
      </c>
      <c r="F3290" s="39" t="s">
        <v>1512</v>
      </c>
      <c r="I3290" s="39" t="s">
        <v>136</v>
      </c>
      <c r="U3290" s="0" t="n">
        <v>154</v>
      </c>
      <c r="V3290" s="0" t="n">
        <v>0</v>
      </c>
      <c r="W3290" s="39" t="n">
        <f aca="false">IF(I3290="Male",0,1)</f>
        <v>1</v>
      </c>
      <c r="X3290" s="39" t="n">
        <f aca="false">IF(OR(I3290="DNB",I3290="Dry DNB"),1,0)</f>
        <v>0</v>
      </c>
      <c r="Y3290" s="39" t="n">
        <f aca="false">MATCH(A3290,DATAS,0)</f>
        <v>1</v>
      </c>
      <c r="Z3290" s="39" t="n">
        <f aca="false">IF(AND(E3290&gt;0,OR(AND(B3290&gt;=1,B3290&lt;=6),B3290=10)),1,0)</f>
        <v>0</v>
      </c>
      <c r="AA3290" s="39" t="n">
        <f aca="false">IF(AND(E3290&gt;0,B3290=10),1,0)</f>
        <v>0</v>
      </c>
      <c r="AB3290" s="0" t="str">
        <f aca="false">IF(AND(C3289=C3290,Y3289=Y3290-1),Z3289,"")</f>
        <v/>
      </c>
      <c r="AC3290" s="0" t="str">
        <f aca="false">IF(AND(C3289=C3290,Y3289=Y3290-1),AA3289,"")</f>
        <v/>
      </c>
      <c r="AD3290" s="0" t="str">
        <f aca="false">IF(Y3290=1,"",IF(AND(Z3290=1,AB3290&lt;&gt;1),1,0))</f>
        <v/>
      </c>
      <c r="AE3290" s="0" t="str">
        <f aca="false">IF(Y3290=1,"",IF(AND(AA3290=1,AC3290&lt;&gt;1),1,0))</f>
        <v/>
      </c>
      <c r="AF3290" s="45" t="str">
        <f aca="false">IF(AND(E3290&gt;0,Y3290&lt;1,NOT(AND(C3291=C3290,Y3291=Y3290+1))),INDEX(DATAS,Y3290+1),"")</f>
        <v/>
      </c>
      <c r="AG3290" s="45" t="str">
        <f aca="false">IF(AND(AA3290=1,Y3290&lt;1),IF(AND(C3291=C3290,Y3291=Y3290+1),IF(AA3291=1,"",INDEX(DATAS,Y3290+1)),INDEX(DATAS,Y3290+1)),"")</f>
        <v/>
      </c>
    </row>
    <row r="3291" customFormat="false" ht="15" hidden="false" customHeight="false" outlineLevel="0" collapsed="false">
      <c r="A3291" s="45" t="n">
        <v>46309</v>
      </c>
      <c r="B3291" s="0" t="n">
        <v>13</v>
      </c>
      <c r="C3291" s="0" t="n">
        <v>7716</v>
      </c>
      <c r="E3291" s="0" t="n">
        <v>0</v>
      </c>
      <c r="F3291" s="39" t="s">
        <v>1512</v>
      </c>
      <c r="I3291" s="39" t="s">
        <v>136</v>
      </c>
      <c r="U3291" s="0" t="n">
        <v>154</v>
      </c>
      <c r="V3291" s="0" t="n">
        <v>0</v>
      </c>
      <c r="W3291" s="39" t="n">
        <f aca="false">IF(I3291="Male",0,1)</f>
        <v>1</v>
      </c>
      <c r="X3291" s="39" t="n">
        <f aca="false">IF(OR(I3291="DNB",I3291="Dry DNB"),1,0)</f>
        <v>0</v>
      </c>
      <c r="Y3291" s="39" t="n">
        <f aca="false">MATCH(A3291,DATAS,0)</f>
        <v>1</v>
      </c>
      <c r="Z3291" s="39" t="n">
        <f aca="false">IF(AND(E3291&gt;0,OR(AND(B3291&gt;=1,B3291&lt;=6),B3291=10)),1,0)</f>
        <v>0</v>
      </c>
      <c r="AA3291" s="39" t="n">
        <f aca="false">IF(AND(E3291&gt;0,B3291=10),1,0)</f>
        <v>0</v>
      </c>
      <c r="AB3291" s="0" t="str">
        <f aca="false">IF(AND(C3290=C3291,Y3290=Y3291-1),Z3290,"")</f>
        <v/>
      </c>
      <c r="AC3291" s="0" t="str">
        <f aca="false">IF(AND(C3290=C3291,Y3290=Y3291-1),AA3290,"")</f>
        <v/>
      </c>
      <c r="AD3291" s="0" t="str">
        <f aca="false">IF(Y3291=1,"",IF(AND(Z3291=1,AB3291&lt;&gt;1),1,0))</f>
        <v/>
      </c>
      <c r="AE3291" s="0" t="str">
        <f aca="false">IF(Y3291=1,"",IF(AND(AA3291=1,AC3291&lt;&gt;1),1,0))</f>
        <v/>
      </c>
      <c r="AF3291" s="45" t="str">
        <f aca="false">IF(AND(E3291&gt;0,Y3291&lt;1,NOT(AND(C3292=C3291,Y3292=Y3291+1))),INDEX(DATAS,Y3291+1),"")</f>
        <v/>
      </c>
      <c r="AG3291" s="45" t="str">
        <f aca="false">IF(AND(AA3291=1,Y3291&lt;1),IF(AND(C3292=C3291,Y3292=Y3291+1),IF(AA3292=1,"",INDEX(DATAS,Y3291+1)),INDEX(DATAS,Y3291+1)),"")</f>
        <v/>
      </c>
    </row>
    <row r="3292" customFormat="false" ht="15" hidden="false" customHeight="false" outlineLevel="0" collapsed="false">
      <c r="A3292" s="45" t="n">
        <v>46309</v>
      </c>
      <c r="B3292" s="0" t="n">
        <v>13</v>
      </c>
      <c r="C3292" s="0" t="n">
        <v>7717</v>
      </c>
      <c r="E3292" s="0" t="n">
        <v>0</v>
      </c>
      <c r="F3292" s="39" t="s">
        <v>1512</v>
      </c>
      <c r="I3292" s="39" t="s">
        <v>136</v>
      </c>
      <c r="U3292" s="0" t="n">
        <v>154</v>
      </c>
      <c r="V3292" s="0" t="n">
        <v>0</v>
      </c>
      <c r="W3292" s="39" t="n">
        <f aca="false">IF(I3292="Male",0,1)</f>
        <v>1</v>
      </c>
      <c r="X3292" s="39" t="n">
        <f aca="false">IF(OR(I3292="DNB",I3292="Dry DNB"),1,0)</f>
        <v>0</v>
      </c>
      <c r="Y3292" s="39" t="n">
        <f aca="false">MATCH(A3292,DATAS,0)</f>
        <v>1</v>
      </c>
      <c r="Z3292" s="39" t="n">
        <f aca="false">IF(AND(E3292&gt;0,OR(AND(B3292&gt;=1,B3292&lt;=6),B3292=10)),1,0)</f>
        <v>0</v>
      </c>
      <c r="AA3292" s="39" t="n">
        <f aca="false">IF(AND(E3292&gt;0,B3292=10),1,0)</f>
        <v>0</v>
      </c>
      <c r="AB3292" s="0" t="str">
        <f aca="false">IF(AND(C3291=C3292,Y3291=Y3292-1),Z3291,"")</f>
        <v/>
      </c>
      <c r="AC3292" s="0" t="str">
        <f aca="false">IF(AND(C3291=C3292,Y3291=Y3292-1),AA3291,"")</f>
        <v/>
      </c>
      <c r="AD3292" s="0" t="str">
        <f aca="false">IF(Y3292=1,"",IF(AND(Z3292=1,AB3292&lt;&gt;1),1,0))</f>
        <v/>
      </c>
      <c r="AE3292" s="0" t="str">
        <f aca="false">IF(Y3292=1,"",IF(AND(AA3292=1,AC3292&lt;&gt;1),1,0))</f>
        <v/>
      </c>
      <c r="AF3292" s="45" t="str">
        <f aca="false">IF(AND(E3292&gt;0,Y3292&lt;1,NOT(AND(C3293=C3292,Y3293=Y3292+1))),INDEX(DATAS,Y3292+1),"")</f>
        <v/>
      </c>
      <c r="AG3292" s="45" t="str">
        <f aca="false">IF(AND(AA3292=1,Y3292&lt;1),IF(AND(C3293=C3292,Y3293=Y3292+1),IF(AA3293=1,"",INDEX(DATAS,Y3292+1)),INDEX(DATAS,Y3292+1)),"")</f>
        <v/>
      </c>
    </row>
    <row r="3293" customFormat="false" ht="15" hidden="false" customHeight="false" outlineLevel="0" collapsed="false">
      <c r="A3293" s="45" t="n">
        <v>46309</v>
      </c>
      <c r="B3293" s="0" t="n">
        <v>13</v>
      </c>
      <c r="C3293" s="0" t="n">
        <v>7718</v>
      </c>
      <c r="E3293" s="0" t="n">
        <v>0</v>
      </c>
      <c r="F3293" s="39" t="s">
        <v>1512</v>
      </c>
      <c r="I3293" s="39" t="s">
        <v>136</v>
      </c>
      <c r="U3293" s="0" t="n">
        <v>154</v>
      </c>
      <c r="V3293" s="0" t="n">
        <v>0</v>
      </c>
      <c r="W3293" s="39" t="n">
        <f aca="false">IF(I3293="Male",0,1)</f>
        <v>1</v>
      </c>
      <c r="X3293" s="39" t="n">
        <f aca="false">IF(OR(I3293="DNB",I3293="Dry DNB"),1,0)</f>
        <v>0</v>
      </c>
      <c r="Y3293" s="39" t="n">
        <f aca="false">MATCH(A3293,DATAS,0)</f>
        <v>1</v>
      </c>
      <c r="Z3293" s="39" t="n">
        <f aca="false">IF(AND(E3293&gt;0,OR(AND(B3293&gt;=1,B3293&lt;=6),B3293=10)),1,0)</f>
        <v>0</v>
      </c>
      <c r="AA3293" s="39" t="n">
        <f aca="false">IF(AND(E3293&gt;0,B3293=10),1,0)</f>
        <v>0</v>
      </c>
      <c r="AB3293" s="0" t="str">
        <f aca="false">IF(AND(C3292=C3293,Y3292=Y3293-1),Z3292,"")</f>
        <v/>
      </c>
      <c r="AC3293" s="0" t="str">
        <f aca="false">IF(AND(C3292=C3293,Y3292=Y3293-1),AA3292,"")</f>
        <v/>
      </c>
      <c r="AD3293" s="0" t="str">
        <f aca="false">IF(Y3293=1,"",IF(AND(Z3293=1,AB3293&lt;&gt;1),1,0))</f>
        <v/>
      </c>
      <c r="AE3293" s="0" t="str">
        <f aca="false">IF(Y3293=1,"",IF(AND(AA3293=1,AC3293&lt;&gt;1),1,0))</f>
        <v/>
      </c>
      <c r="AF3293" s="45" t="str">
        <f aca="false">IF(AND(E3293&gt;0,Y3293&lt;1,NOT(AND(C3294=C3293,Y3294=Y3293+1))),INDEX(DATAS,Y3293+1),"")</f>
        <v/>
      </c>
      <c r="AG3293" s="45" t="str">
        <f aca="false">IF(AND(AA3293=1,Y3293&lt;1),IF(AND(C3294=C3293,Y3294=Y3293+1),IF(AA3294=1,"",INDEX(DATAS,Y3293+1)),INDEX(DATAS,Y3293+1)),"")</f>
        <v/>
      </c>
    </row>
    <row r="3294" customFormat="false" ht="15" hidden="false" customHeight="false" outlineLevel="0" collapsed="false">
      <c r="A3294" s="45" t="n">
        <v>46309</v>
      </c>
      <c r="B3294" s="0" t="n">
        <v>13</v>
      </c>
      <c r="C3294" s="0" t="n">
        <v>7719</v>
      </c>
      <c r="E3294" s="0" t="n">
        <v>0</v>
      </c>
      <c r="F3294" s="39" t="s">
        <v>1512</v>
      </c>
      <c r="I3294" s="39" t="s">
        <v>136</v>
      </c>
      <c r="U3294" s="0" t="n">
        <v>154</v>
      </c>
      <c r="V3294" s="0" t="n">
        <v>0</v>
      </c>
      <c r="W3294" s="39" t="n">
        <f aca="false">IF(I3294="Male",0,1)</f>
        <v>1</v>
      </c>
      <c r="X3294" s="39" t="n">
        <f aca="false">IF(OR(I3294="DNB",I3294="Dry DNB"),1,0)</f>
        <v>0</v>
      </c>
      <c r="Y3294" s="39" t="n">
        <f aca="false">MATCH(A3294,DATAS,0)</f>
        <v>1</v>
      </c>
      <c r="Z3294" s="39" t="n">
        <f aca="false">IF(AND(E3294&gt;0,OR(AND(B3294&gt;=1,B3294&lt;=6),B3294=10)),1,0)</f>
        <v>0</v>
      </c>
      <c r="AA3294" s="39" t="n">
        <f aca="false">IF(AND(E3294&gt;0,B3294=10),1,0)</f>
        <v>0</v>
      </c>
      <c r="AB3294" s="0" t="str">
        <f aca="false">IF(AND(C3293=C3294,Y3293=Y3294-1),Z3293,"")</f>
        <v/>
      </c>
      <c r="AC3294" s="0" t="str">
        <f aca="false">IF(AND(C3293=C3294,Y3293=Y3294-1),AA3293,"")</f>
        <v/>
      </c>
      <c r="AD3294" s="0" t="str">
        <f aca="false">IF(Y3294=1,"",IF(AND(Z3294=1,AB3294&lt;&gt;1),1,0))</f>
        <v/>
      </c>
      <c r="AE3294" s="0" t="str">
        <f aca="false">IF(Y3294=1,"",IF(AND(AA3294=1,AC3294&lt;&gt;1),1,0))</f>
        <v/>
      </c>
      <c r="AF3294" s="45" t="str">
        <f aca="false">IF(AND(E3294&gt;0,Y3294&lt;1,NOT(AND(C3295=C3294,Y3295=Y3294+1))),INDEX(DATAS,Y3294+1),"")</f>
        <v/>
      </c>
      <c r="AG3294" s="45" t="str">
        <f aca="false">IF(AND(AA3294=1,Y3294&lt;1),IF(AND(C3295=C3294,Y3295=Y3294+1),IF(AA3295=1,"",INDEX(DATAS,Y3294+1)),INDEX(DATAS,Y3294+1)),"")</f>
        <v/>
      </c>
    </row>
    <row r="3295" customFormat="false" ht="15" hidden="false" customHeight="false" outlineLevel="0" collapsed="false">
      <c r="A3295" s="45" t="n">
        <v>46309</v>
      </c>
      <c r="B3295" s="0" t="n">
        <v>13</v>
      </c>
      <c r="C3295" s="0" t="n">
        <v>7720</v>
      </c>
      <c r="E3295" s="0" t="n">
        <v>0</v>
      </c>
      <c r="F3295" s="39" t="s">
        <v>1512</v>
      </c>
      <c r="I3295" s="39" t="s">
        <v>136</v>
      </c>
      <c r="U3295" s="0" t="n">
        <v>154</v>
      </c>
      <c r="V3295" s="0" t="n">
        <v>0</v>
      </c>
      <c r="W3295" s="39" t="n">
        <f aca="false">IF(I3295="Male",0,1)</f>
        <v>1</v>
      </c>
      <c r="X3295" s="39" t="n">
        <f aca="false">IF(OR(I3295="DNB",I3295="Dry DNB"),1,0)</f>
        <v>0</v>
      </c>
      <c r="Y3295" s="39" t="n">
        <f aca="false">MATCH(A3295,DATAS,0)</f>
        <v>1</v>
      </c>
      <c r="Z3295" s="39" t="n">
        <f aca="false">IF(AND(E3295&gt;0,OR(AND(B3295&gt;=1,B3295&lt;=6),B3295=10)),1,0)</f>
        <v>0</v>
      </c>
      <c r="AA3295" s="39" t="n">
        <f aca="false">IF(AND(E3295&gt;0,B3295=10),1,0)</f>
        <v>0</v>
      </c>
      <c r="AB3295" s="0" t="str">
        <f aca="false">IF(AND(C3294=C3295,Y3294=Y3295-1),Z3294,"")</f>
        <v/>
      </c>
      <c r="AC3295" s="0" t="str">
        <f aca="false">IF(AND(C3294=C3295,Y3294=Y3295-1),AA3294,"")</f>
        <v/>
      </c>
      <c r="AD3295" s="0" t="str">
        <f aca="false">IF(Y3295=1,"",IF(AND(Z3295=1,AB3295&lt;&gt;1),1,0))</f>
        <v/>
      </c>
      <c r="AE3295" s="0" t="str">
        <f aca="false">IF(Y3295=1,"",IF(AND(AA3295=1,AC3295&lt;&gt;1),1,0))</f>
        <v/>
      </c>
      <c r="AF3295" s="45" t="str">
        <f aca="false">IF(AND(E3295&gt;0,Y3295&lt;1,NOT(AND(C3296=C3295,Y3296=Y3295+1))),INDEX(DATAS,Y3295+1),"")</f>
        <v/>
      </c>
      <c r="AG3295" s="45" t="str">
        <f aca="false">IF(AND(AA3295=1,Y3295&lt;1),IF(AND(C3296=C3295,Y3296=Y3295+1),IF(AA3296=1,"",INDEX(DATAS,Y3295+1)),INDEX(DATAS,Y3295+1)),"")</f>
        <v/>
      </c>
    </row>
    <row r="3296" customFormat="false" ht="15" hidden="false" customHeight="false" outlineLevel="0" collapsed="false">
      <c r="A3296" s="45" t="n">
        <v>46309</v>
      </c>
      <c r="B3296" s="0" t="n">
        <v>13</v>
      </c>
      <c r="C3296" s="0" t="n">
        <v>7721</v>
      </c>
      <c r="E3296" s="0" t="n">
        <v>0</v>
      </c>
      <c r="F3296" s="39" t="s">
        <v>1512</v>
      </c>
      <c r="I3296" s="39" t="s">
        <v>136</v>
      </c>
      <c r="U3296" s="0" t="n">
        <v>154</v>
      </c>
      <c r="V3296" s="0" t="n">
        <v>0</v>
      </c>
      <c r="W3296" s="39" t="n">
        <f aca="false">IF(I3296="Male",0,1)</f>
        <v>1</v>
      </c>
      <c r="X3296" s="39" t="n">
        <f aca="false">IF(OR(I3296="DNB",I3296="Dry DNB"),1,0)</f>
        <v>0</v>
      </c>
      <c r="Y3296" s="39" t="n">
        <f aca="false">MATCH(A3296,DATAS,0)</f>
        <v>1</v>
      </c>
      <c r="Z3296" s="39" t="n">
        <f aca="false">IF(AND(E3296&gt;0,OR(AND(B3296&gt;=1,B3296&lt;=6),B3296=10)),1,0)</f>
        <v>0</v>
      </c>
      <c r="AA3296" s="39" t="n">
        <f aca="false">IF(AND(E3296&gt;0,B3296=10),1,0)</f>
        <v>0</v>
      </c>
      <c r="AB3296" s="0" t="str">
        <f aca="false">IF(AND(C3295=C3296,Y3295=Y3296-1),Z3295,"")</f>
        <v/>
      </c>
      <c r="AC3296" s="0" t="str">
        <f aca="false">IF(AND(C3295=C3296,Y3295=Y3296-1),AA3295,"")</f>
        <v/>
      </c>
      <c r="AD3296" s="0" t="str">
        <f aca="false">IF(Y3296=1,"",IF(AND(Z3296=1,AB3296&lt;&gt;1),1,0))</f>
        <v/>
      </c>
      <c r="AE3296" s="0" t="str">
        <f aca="false">IF(Y3296=1,"",IF(AND(AA3296=1,AC3296&lt;&gt;1),1,0))</f>
        <v/>
      </c>
      <c r="AF3296" s="45" t="str">
        <f aca="false">IF(AND(E3296&gt;0,Y3296&lt;1,NOT(AND(C3297=C3296,Y3297=Y3296+1))),INDEX(DATAS,Y3296+1),"")</f>
        <v/>
      </c>
      <c r="AG3296" s="45" t="str">
        <f aca="false">IF(AND(AA3296=1,Y3296&lt;1),IF(AND(C3297=C3296,Y3297=Y3296+1),IF(AA3297=1,"",INDEX(DATAS,Y3296+1)),INDEX(DATAS,Y3296+1)),"")</f>
        <v/>
      </c>
    </row>
    <row r="3297" customFormat="false" ht="15" hidden="false" customHeight="false" outlineLevel="0" collapsed="false">
      <c r="A3297" s="45" t="n">
        <v>46309</v>
      </c>
      <c r="B3297" s="0" t="n">
        <v>13</v>
      </c>
      <c r="C3297" s="0" t="n">
        <v>7723</v>
      </c>
      <c r="E3297" s="0" t="n">
        <v>0</v>
      </c>
      <c r="F3297" s="39" t="s">
        <v>1512</v>
      </c>
      <c r="I3297" s="39" t="s">
        <v>136</v>
      </c>
      <c r="U3297" s="0" t="n">
        <v>154</v>
      </c>
      <c r="V3297" s="0" t="n">
        <v>0</v>
      </c>
      <c r="W3297" s="39" t="n">
        <f aca="false">IF(I3297="Male",0,1)</f>
        <v>1</v>
      </c>
      <c r="X3297" s="39" t="n">
        <f aca="false">IF(OR(I3297="DNB",I3297="Dry DNB"),1,0)</f>
        <v>0</v>
      </c>
      <c r="Y3297" s="39" t="n">
        <f aca="false">MATCH(A3297,DATAS,0)</f>
        <v>1</v>
      </c>
      <c r="Z3297" s="39" t="n">
        <f aca="false">IF(AND(E3297&gt;0,OR(AND(B3297&gt;=1,B3297&lt;=6),B3297=10)),1,0)</f>
        <v>0</v>
      </c>
      <c r="AA3297" s="39" t="n">
        <f aca="false">IF(AND(E3297&gt;0,B3297=10),1,0)</f>
        <v>0</v>
      </c>
      <c r="AB3297" s="0" t="str">
        <f aca="false">IF(AND(C3296=C3297,Y3296=Y3297-1),Z3296,"")</f>
        <v/>
      </c>
      <c r="AC3297" s="0" t="str">
        <f aca="false">IF(AND(C3296=C3297,Y3296=Y3297-1),AA3296,"")</f>
        <v/>
      </c>
      <c r="AD3297" s="0" t="str">
        <f aca="false">IF(Y3297=1,"",IF(AND(Z3297=1,AB3297&lt;&gt;1),1,0))</f>
        <v/>
      </c>
      <c r="AE3297" s="0" t="str">
        <f aca="false">IF(Y3297=1,"",IF(AND(AA3297=1,AC3297&lt;&gt;1),1,0))</f>
        <v/>
      </c>
      <c r="AF3297" s="45" t="str">
        <f aca="false">IF(AND(E3297&gt;0,Y3297&lt;1,NOT(AND(C3298=C3297,Y3298=Y3297+1))),INDEX(DATAS,Y3297+1),"")</f>
        <v/>
      </c>
      <c r="AG3297" s="45" t="str">
        <f aca="false">IF(AND(AA3297=1,Y3297&lt;1),IF(AND(C3298=C3297,Y3298=Y3297+1),IF(AA3298=1,"",INDEX(DATAS,Y3297+1)),INDEX(DATAS,Y3297+1)),"")</f>
        <v/>
      </c>
    </row>
    <row r="3298" customFormat="false" ht="15" hidden="false" customHeight="false" outlineLevel="0" collapsed="false">
      <c r="A3298" s="45" t="n">
        <v>46309</v>
      </c>
      <c r="B3298" s="0" t="n">
        <v>13</v>
      </c>
      <c r="C3298" s="0" t="n">
        <v>7724</v>
      </c>
      <c r="E3298" s="0" t="n">
        <v>0</v>
      </c>
      <c r="F3298" s="39" t="s">
        <v>1513</v>
      </c>
      <c r="I3298" s="39" t="s">
        <v>136</v>
      </c>
      <c r="U3298" s="0" t="n">
        <v>153</v>
      </c>
      <c r="V3298" s="0" t="n">
        <v>0</v>
      </c>
      <c r="W3298" s="39" t="n">
        <f aca="false">IF(I3298="Male",0,1)</f>
        <v>1</v>
      </c>
      <c r="X3298" s="39" t="n">
        <f aca="false">IF(OR(I3298="DNB",I3298="Dry DNB"),1,0)</f>
        <v>0</v>
      </c>
      <c r="Y3298" s="39" t="n">
        <f aca="false">MATCH(A3298,DATAS,0)</f>
        <v>1</v>
      </c>
      <c r="Z3298" s="39" t="n">
        <f aca="false">IF(AND(E3298&gt;0,OR(AND(B3298&gt;=1,B3298&lt;=6),B3298=10)),1,0)</f>
        <v>0</v>
      </c>
      <c r="AA3298" s="39" t="n">
        <f aca="false">IF(AND(E3298&gt;0,B3298=10),1,0)</f>
        <v>0</v>
      </c>
      <c r="AB3298" s="0" t="str">
        <f aca="false">IF(AND(C3297=C3298,Y3297=Y3298-1),Z3297,"")</f>
        <v/>
      </c>
      <c r="AC3298" s="0" t="str">
        <f aca="false">IF(AND(C3297=C3298,Y3297=Y3298-1),AA3297,"")</f>
        <v/>
      </c>
      <c r="AD3298" s="0" t="str">
        <f aca="false">IF(Y3298=1,"",IF(AND(Z3298=1,AB3298&lt;&gt;1),1,0))</f>
        <v/>
      </c>
      <c r="AE3298" s="0" t="str">
        <f aca="false">IF(Y3298=1,"",IF(AND(AA3298=1,AC3298&lt;&gt;1),1,0))</f>
        <v/>
      </c>
      <c r="AF3298" s="45" t="str">
        <f aca="false">IF(AND(E3298&gt;0,Y3298&lt;1,NOT(AND(C3299=C3298,Y3299=Y3298+1))),INDEX(DATAS,Y3298+1),"")</f>
        <v/>
      </c>
      <c r="AG3298" s="45" t="str">
        <f aca="false">IF(AND(AA3298=1,Y3298&lt;1),IF(AND(C3299=C3298,Y3299=Y3298+1),IF(AA3299=1,"",INDEX(DATAS,Y3298+1)),INDEX(DATAS,Y3298+1)),"")</f>
        <v/>
      </c>
    </row>
    <row r="3299" customFormat="false" ht="15" hidden="false" customHeight="false" outlineLevel="0" collapsed="false">
      <c r="A3299" s="45" t="n">
        <v>46309</v>
      </c>
      <c r="B3299" s="0" t="n">
        <v>13</v>
      </c>
      <c r="C3299" s="0" t="n">
        <v>7726</v>
      </c>
      <c r="E3299" s="0" t="n">
        <v>0</v>
      </c>
      <c r="F3299" s="39" t="s">
        <v>1513</v>
      </c>
      <c r="I3299" s="39" t="s">
        <v>136</v>
      </c>
      <c r="U3299" s="0" t="n">
        <v>153</v>
      </c>
      <c r="V3299" s="0" t="n">
        <v>0</v>
      </c>
      <c r="W3299" s="39" t="n">
        <f aca="false">IF(I3299="Male",0,1)</f>
        <v>1</v>
      </c>
      <c r="X3299" s="39" t="n">
        <f aca="false">IF(OR(I3299="DNB",I3299="Dry DNB"),1,0)</f>
        <v>0</v>
      </c>
      <c r="Y3299" s="39" t="n">
        <f aca="false">MATCH(A3299,DATAS,0)</f>
        <v>1</v>
      </c>
      <c r="Z3299" s="39" t="n">
        <f aca="false">IF(AND(E3299&gt;0,OR(AND(B3299&gt;=1,B3299&lt;=6),B3299=10)),1,0)</f>
        <v>0</v>
      </c>
      <c r="AA3299" s="39" t="n">
        <f aca="false">IF(AND(E3299&gt;0,B3299=10),1,0)</f>
        <v>0</v>
      </c>
      <c r="AB3299" s="0" t="str">
        <f aca="false">IF(AND(C3298=C3299,Y3298=Y3299-1),Z3298,"")</f>
        <v/>
      </c>
      <c r="AC3299" s="0" t="str">
        <f aca="false">IF(AND(C3298=C3299,Y3298=Y3299-1),AA3298,"")</f>
        <v/>
      </c>
      <c r="AD3299" s="0" t="str">
        <f aca="false">IF(Y3299=1,"",IF(AND(Z3299=1,AB3299&lt;&gt;1),1,0))</f>
        <v/>
      </c>
      <c r="AE3299" s="0" t="str">
        <f aca="false">IF(Y3299=1,"",IF(AND(AA3299=1,AC3299&lt;&gt;1),1,0))</f>
        <v/>
      </c>
      <c r="AF3299" s="45" t="str">
        <f aca="false">IF(AND(E3299&gt;0,Y3299&lt;1,NOT(AND(C3300=C3299,Y3300=Y3299+1))),INDEX(DATAS,Y3299+1),"")</f>
        <v/>
      </c>
      <c r="AG3299" s="45" t="str">
        <f aca="false">IF(AND(AA3299=1,Y3299&lt;1),IF(AND(C3300=C3299,Y3300=Y3299+1),IF(AA3300=1,"",INDEX(DATAS,Y3299+1)),INDEX(DATAS,Y3299+1)),"")</f>
        <v/>
      </c>
    </row>
    <row r="3300" customFormat="false" ht="15" hidden="false" customHeight="false" outlineLevel="0" collapsed="false">
      <c r="A3300" s="45" t="n">
        <v>46309</v>
      </c>
      <c r="B3300" s="0" t="n">
        <v>13</v>
      </c>
      <c r="C3300" s="0" t="n">
        <v>7727</v>
      </c>
      <c r="E3300" s="0" t="n">
        <v>0</v>
      </c>
      <c r="F3300" s="39" t="s">
        <v>1513</v>
      </c>
      <c r="I3300" s="39" t="s">
        <v>136</v>
      </c>
      <c r="U3300" s="0" t="n">
        <v>153</v>
      </c>
      <c r="V3300" s="0" t="n">
        <v>0</v>
      </c>
      <c r="W3300" s="39" t="n">
        <f aca="false">IF(I3300="Male",0,1)</f>
        <v>1</v>
      </c>
      <c r="X3300" s="39" t="n">
        <f aca="false">IF(OR(I3300="DNB",I3300="Dry DNB"),1,0)</f>
        <v>0</v>
      </c>
      <c r="Y3300" s="39" t="n">
        <f aca="false">MATCH(A3300,DATAS,0)</f>
        <v>1</v>
      </c>
      <c r="Z3300" s="39" t="n">
        <f aca="false">IF(AND(E3300&gt;0,OR(AND(B3300&gt;=1,B3300&lt;=6),B3300=10)),1,0)</f>
        <v>0</v>
      </c>
      <c r="AA3300" s="39" t="n">
        <f aca="false">IF(AND(E3300&gt;0,B3300=10),1,0)</f>
        <v>0</v>
      </c>
      <c r="AB3300" s="0" t="str">
        <f aca="false">IF(AND(C3299=C3300,Y3299=Y3300-1),Z3299,"")</f>
        <v/>
      </c>
      <c r="AC3300" s="0" t="str">
        <f aca="false">IF(AND(C3299=C3300,Y3299=Y3300-1),AA3299,"")</f>
        <v/>
      </c>
      <c r="AD3300" s="0" t="str">
        <f aca="false">IF(Y3300=1,"",IF(AND(Z3300=1,AB3300&lt;&gt;1),1,0))</f>
        <v/>
      </c>
      <c r="AE3300" s="0" t="str">
        <f aca="false">IF(Y3300=1,"",IF(AND(AA3300=1,AC3300&lt;&gt;1),1,0))</f>
        <v/>
      </c>
      <c r="AF3300" s="45" t="str">
        <f aca="false">IF(AND(E3300&gt;0,Y3300&lt;1,NOT(AND(C3301=C3300,Y3301=Y3300+1))),INDEX(DATAS,Y3300+1),"")</f>
        <v/>
      </c>
      <c r="AG3300" s="45" t="str">
        <f aca="false">IF(AND(AA3300=1,Y3300&lt;1),IF(AND(C3301=C3300,Y3301=Y3300+1),IF(AA3301=1,"",INDEX(DATAS,Y3300+1)),INDEX(DATAS,Y3300+1)),"")</f>
        <v/>
      </c>
    </row>
    <row r="3301" customFormat="false" ht="15" hidden="false" customHeight="false" outlineLevel="0" collapsed="false">
      <c r="A3301" s="45" t="n">
        <v>46309</v>
      </c>
      <c r="B3301" s="0" t="n">
        <v>13</v>
      </c>
      <c r="C3301" s="0" t="n">
        <v>7728</v>
      </c>
      <c r="E3301" s="0" t="n">
        <v>0</v>
      </c>
      <c r="F3301" s="39" t="s">
        <v>1513</v>
      </c>
      <c r="I3301" s="39" t="s">
        <v>136</v>
      </c>
      <c r="U3301" s="0" t="n">
        <v>153</v>
      </c>
      <c r="V3301" s="0" t="n">
        <v>0</v>
      </c>
      <c r="W3301" s="39" t="n">
        <f aca="false">IF(I3301="Male",0,1)</f>
        <v>1</v>
      </c>
      <c r="X3301" s="39" t="n">
        <f aca="false">IF(OR(I3301="DNB",I3301="Dry DNB"),1,0)</f>
        <v>0</v>
      </c>
      <c r="Y3301" s="39" t="n">
        <f aca="false">MATCH(A3301,DATAS,0)</f>
        <v>1</v>
      </c>
      <c r="Z3301" s="39" t="n">
        <f aca="false">IF(AND(E3301&gt;0,OR(AND(B3301&gt;=1,B3301&lt;=6),B3301=10)),1,0)</f>
        <v>0</v>
      </c>
      <c r="AA3301" s="39" t="n">
        <f aca="false">IF(AND(E3301&gt;0,B3301=10),1,0)</f>
        <v>0</v>
      </c>
      <c r="AB3301" s="0" t="str">
        <f aca="false">IF(AND(C3300=C3301,Y3300=Y3301-1),Z3300,"")</f>
        <v/>
      </c>
      <c r="AC3301" s="0" t="str">
        <f aca="false">IF(AND(C3300=C3301,Y3300=Y3301-1),AA3300,"")</f>
        <v/>
      </c>
      <c r="AD3301" s="0" t="str">
        <f aca="false">IF(Y3301=1,"",IF(AND(Z3301=1,AB3301&lt;&gt;1),1,0))</f>
        <v/>
      </c>
      <c r="AE3301" s="0" t="str">
        <f aca="false">IF(Y3301=1,"",IF(AND(AA3301=1,AC3301&lt;&gt;1),1,0))</f>
        <v/>
      </c>
      <c r="AF3301" s="45" t="str">
        <f aca="false">IF(AND(E3301&gt;0,Y3301&lt;1,NOT(AND(C3302=C3301,Y3302=Y3301+1))),INDEX(DATAS,Y3301+1),"")</f>
        <v/>
      </c>
      <c r="AG3301" s="45" t="str">
        <f aca="false">IF(AND(AA3301=1,Y3301&lt;1),IF(AND(C3302=C3301,Y3302=Y3301+1),IF(AA3302=1,"",INDEX(DATAS,Y3301+1)),INDEX(DATAS,Y3301+1)),"")</f>
        <v/>
      </c>
    </row>
    <row r="3302" customFormat="false" ht="15" hidden="false" customHeight="false" outlineLevel="0" collapsed="false">
      <c r="A3302" s="45" t="n">
        <v>46309</v>
      </c>
      <c r="B3302" s="0" t="n">
        <v>13</v>
      </c>
      <c r="C3302" s="0" t="n">
        <v>7729</v>
      </c>
      <c r="E3302" s="0" t="n">
        <v>0</v>
      </c>
      <c r="F3302" s="39" t="s">
        <v>1513</v>
      </c>
      <c r="I3302" s="39" t="s">
        <v>136</v>
      </c>
      <c r="U3302" s="0" t="n">
        <v>153</v>
      </c>
      <c r="V3302" s="0" t="n">
        <v>0</v>
      </c>
      <c r="W3302" s="39" t="n">
        <f aca="false">IF(I3302="Male",0,1)</f>
        <v>1</v>
      </c>
      <c r="X3302" s="39" t="n">
        <f aca="false">IF(OR(I3302="DNB",I3302="Dry DNB"),1,0)</f>
        <v>0</v>
      </c>
      <c r="Y3302" s="39" t="n">
        <f aca="false">MATCH(A3302,DATAS,0)</f>
        <v>1</v>
      </c>
      <c r="Z3302" s="39" t="n">
        <f aca="false">IF(AND(E3302&gt;0,OR(AND(B3302&gt;=1,B3302&lt;=6),B3302=10)),1,0)</f>
        <v>0</v>
      </c>
      <c r="AA3302" s="39" t="n">
        <f aca="false">IF(AND(E3302&gt;0,B3302=10),1,0)</f>
        <v>0</v>
      </c>
      <c r="AB3302" s="0" t="str">
        <f aca="false">IF(AND(C3301=C3302,Y3301=Y3302-1),Z3301,"")</f>
        <v/>
      </c>
      <c r="AC3302" s="0" t="str">
        <f aca="false">IF(AND(C3301=C3302,Y3301=Y3302-1),AA3301,"")</f>
        <v/>
      </c>
      <c r="AD3302" s="0" t="str">
        <f aca="false">IF(Y3302=1,"",IF(AND(Z3302=1,AB3302&lt;&gt;1),1,0))</f>
        <v/>
      </c>
      <c r="AE3302" s="0" t="str">
        <f aca="false">IF(Y3302=1,"",IF(AND(AA3302=1,AC3302&lt;&gt;1),1,0))</f>
        <v/>
      </c>
      <c r="AF3302" s="45" t="str">
        <f aca="false">IF(AND(E3302&gt;0,Y3302&lt;1,NOT(AND(C3303=C3302,Y3303=Y3302+1))),INDEX(DATAS,Y3302+1),"")</f>
        <v/>
      </c>
      <c r="AG3302" s="45" t="str">
        <f aca="false">IF(AND(AA3302=1,Y3302&lt;1),IF(AND(C3303=C3302,Y3303=Y3302+1),IF(AA3303=1,"",INDEX(DATAS,Y3302+1)),INDEX(DATAS,Y3302+1)),"")</f>
        <v/>
      </c>
    </row>
    <row r="3303" customFormat="false" ht="15" hidden="false" customHeight="false" outlineLevel="0" collapsed="false">
      <c r="A3303" s="45" t="n">
        <v>46309</v>
      </c>
      <c r="B3303" s="0" t="n">
        <v>13</v>
      </c>
      <c r="C3303" s="0" t="n">
        <v>7730</v>
      </c>
      <c r="E3303" s="0" t="n">
        <v>0</v>
      </c>
      <c r="F3303" s="39" t="s">
        <v>1514</v>
      </c>
      <c r="I3303" s="39" t="s">
        <v>136</v>
      </c>
      <c r="U3303" s="0" t="n">
        <v>152</v>
      </c>
      <c r="V3303" s="0" t="n">
        <v>0</v>
      </c>
      <c r="W3303" s="39" t="n">
        <f aca="false">IF(I3303="Male",0,1)</f>
        <v>1</v>
      </c>
      <c r="X3303" s="39" t="n">
        <f aca="false">IF(OR(I3303="DNB",I3303="Dry DNB"),1,0)</f>
        <v>0</v>
      </c>
      <c r="Y3303" s="39" t="n">
        <f aca="false">MATCH(A3303,DATAS,0)</f>
        <v>1</v>
      </c>
      <c r="Z3303" s="39" t="n">
        <f aca="false">IF(AND(E3303&gt;0,OR(AND(B3303&gt;=1,B3303&lt;=6),B3303=10)),1,0)</f>
        <v>0</v>
      </c>
      <c r="AA3303" s="39" t="n">
        <f aca="false">IF(AND(E3303&gt;0,B3303=10),1,0)</f>
        <v>0</v>
      </c>
      <c r="AB3303" s="0" t="str">
        <f aca="false">IF(AND(C3302=C3303,Y3302=Y3303-1),Z3302,"")</f>
        <v/>
      </c>
      <c r="AC3303" s="0" t="str">
        <f aca="false">IF(AND(C3302=C3303,Y3302=Y3303-1),AA3302,"")</f>
        <v/>
      </c>
      <c r="AD3303" s="0" t="str">
        <f aca="false">IF(Y3303=1,"",IF(AND(Z3303=1,AB3303&lt;&gt;1),1,0))</f>
        <v/>
      </c>
      <c r="AE3303" s="0" t="str">
        <f aca="false">IF(Y3303=1,"",IF(AND(AA3303=1,AC3303&lt;&gt;1),1,0))</f>
        <v/>
      </c>
      <c r="AF3303" s="45" t="str">
        <f aca="false">IF(AND(E3303&gt;0,Y3303&lt;1,NOT(AND(C3304=C3303,Y3304=Y3303+1))),INDEX(DATAS,Y3303+1),"")</f>
        <v/>
      </c>
      <c r="AG3303" s="45" t="str">
        <f aca="false">IF(AND(AA3303=1,Y3303&lt;1),IF(AND(C3304=C3303,Y3304=Y3303+1),IF(AA3304=1,"",INDEX(DATAS,Y3303+1)),INDEX(DATAS,Y3303+1)),"")</f>
        <v/>
      </c>
    </row>
    <row r="3304" customFormat="false" ht="15" hidden="false" customHeight="false" outlineLevel="0" collapsed="false">
      <c r="A3304" s="45" t="n">
        <v>46309</v>
      </c>
      <c r="B3304" s="0" t="n">
        <v>13</v>
      </c>
      <c r="C3304" s="0" t="n">
        <v>7731</v>
      </c>
      <c r="E3304" s="0" t="n">
        <v>0</v>
      </c>
      <c r="F3304" s="39" t="s">
        <v>1514</v>
      </c>
      <c r="I3304" s="39" t="s">
        <v>136</v>
      </c>
      <c r="U3304" s="0" t="n">
        <v>152</v>
      </c>
      <c r="V3304" s="0" t="n">
        <v>0</v>
      </c>
      <c r="W3304" s="39" t="n">
        <f aca="false">IF(I3304="Male",0,1)</f>
        <v>1</v>
      </c>
      <c r="X3304" s="39" t="n">
        <f aca="false">IF(OR(I3304="DNB",I3304="Dry DNB"),1,0)</f>
        <v>0</v>
      </c>
      <c r="Y3304" s="39" t="n">
        <f aca="false">MATCH(A3304,DATAS,0)</f>
        <v>1</v>
      </c>
      <c r="Z3304" s="39" t="n">
        <f aca="false">IF(AND(E3304&gt;0,OR(AND(B3304&gt;=1,B3304&lt;=6),B3304=10)),1,0)</f>
        <v>0</v>
      </c>
      <c r="AA3304" s="39" t="n">
        <f aca="false">IF(AND(E3304&gt;0,B3304=10),1,0)</f>
        <v>0</v>
      </c>
      <c r="AB3304" s="0" t="str">
        <f aca="false">IF(AND(C3303=C3304,Y3303=Y3304-1),Z3303,"")</f>
        <v/>
      </c>
      <c r="AC3304" s="0" t="str">
        <f aca="false">IF(AND(C3303=C3304,Y3303=Y3304-1),AA3303,"")</f>
        <v/>
      </c>
      <c r="AD3304" s="0" t="str">
        <f aca="false">IF(Y3304=1,"",IF(AND(Z3304=1,AB3304&lt;&gt;1),1,0))</f>
        <v/>
      </c>
      <c r="AE3304" s="0" t="str">
        <f aca="false">IF(Y3304=1,"",IF(AND(AA3304=1,AC3304&lt;&gt;1),1,0))</f>
        <v/>
      </c>
      <c r="AF3304" s="45" t="str">
        <f aca="false">IF(AND(E3304&gt;0,Y3304&lt;1,NOT(AND(C3305=C3304,Y3305=Y3304+1))),INDEX(DATAS,Y3304+1),"")</f>
        <v/>
      </c>
      <c r="AG3304" s="45" t="str">
        <f aca="false">IF(AND(AA3304=1,Y3304&lt;1),IF(AND(C3305=C3304,Y3305=Y3304+1),IF(AA3305=1,"",INDEX(DATAS,Y3304+1)),INDEX(DATAS,Y3304+1)),"")</f>
        <v/>
      </c>
    </row>
    <row r="3305" customFormat="false" ht="15" hidden="false" customHeight="false" outlineLevel="0" collapsed="false">
      <c r="A3305" s="45" t="n">
        <v>46309</v>
      </c>
      <c r="B3305" s="0" t="n">
        <v>13</v>
      </c>
      <c r="C3305" s="0" t="n">
        <v>7732</v>
      </c>
      <c r="E3305" s="0" t="n">
        <v>0</v>
      </c>
      <c r="F3305" s="39" t="s">
        <v>1514</v>
      </c>
      <c r="I3305" s="39" t="s">
        <v>136</v>
      </c>
      <c r="U3305" s="0" t="n">
        <v>152</v>
      </c>
      <c r="V3305" s="0" t="n">
        <v>0</v>
      </c>
      <c r="W3305" s="39" t="n">
        <f aca="false">IF(I3305="Male",0,1)</f>
        <v>1</v>
      </c>
      <c r="X3305" s="39" t="n">
        <f aca="false">IF(OR(I3305="DNB",I3305="Dry DNB"),1,0)</f>
        <v>0</v>
      </c>
      <c r="Y3305" s="39" t="n">
        <f aca="false">MATCH(A3305,DATAS,0)</f>
        <v>1</v>
      </c>
      <c r="Z3305" s="39" t="n">
        <f aca="false">IF(AND(E3305&gt;0,OR(AND(B3305&gt;=1,B3305&lt;=6),B3305=10)),1,0)</f>
        <v>0</v>
      </c>
      <c r="AA3305" s="39" t="n">
        <f aca="false">IF(AND(E3305&gt;0,B3305=10),1,0)</f>
        <v>0</v>
      </c>
      <c r="AB3305" s="0" t="str">
        <f aca="false">IF(AND(C3304=C3305,Y3304=Y3305-1),Z3304,"")</f>
        <v/>
      </c>
      <c r="AC3305" s="0" t="str">
        <f aca="false">IF(AND(C3304=C3305,Y3304=Y3305-1),AA3304,"")</f>
        <v/>
      </c>
      <c r="AD3305" s="0" t="str">
        <f aca="false">IF(Y3305=1,"",IF(AND(Z3305=1,AB3305&lt;&gt;1),1,0))</f>
        <v/>
      </c>
      <c r="AE3305" s="0" t="str">
        <f aca="false">IF(Y3305=1,"",IF(AND(AA3305=1,AC3305&lt;&gt;1),1,0))</f>
        <v/>
      </c>
      <c r="AF3305" s="45" t="str">
        <f aca="false">IF(AND(E3305&gt;0,Y3305&lt;1,NOT(AND(C3306=C3305,Y3306=Y3305+1))),INDEX(DATAS,Y3305+1),"")</f>
        <v/>
      </c>
      <c r="AG3305" s="45" t="str">
        <f aca="false">IF(AND(AA3305=1,Y3305&lt;1),IF(AND(C3306=C3305,Y3306=Y3305+1),IF(AA3306=1,"",INDEX(DATAS,Y3305+1)),INDEX(DATAS,Y3305+1)),"")</f>
        <v/>
      </c>
    </row>
    <row r="3306" customFormat="false" ht="15" hidden="false" customHeight="false" outlineLevel="0" collapsed="false">
      <c r="A3306" s="45" t="n">
        <v>46309</v>
      </c>
      <c r="B3306" s="0" t="n">
        <v>13</v>
      </c>
      <c r="C3306" s="0" t="n">
        <v>7733</v>
      </c>
      <c r="E3306" s="0" t="n">
        <v>0</v>
      </c>
      <c r="F3306" s="39" t="s">
        <v>1515</v>
      </c>
      <c r="I3306" s="39" t="s">
        <v>136</v>
      </c>
      <c r="U3306" s="0" t="n">
        <v>150</v>
      </c>
      <c r="V3306" s="0" t="n">
        <v>0</v>
      </c>
      <c r="W3306" s="39" t="n">
        <f aca="false">IF(I3306="Male",0,1)</f>
        <v>1</v>
      </c>
      <c r="X3306" s="39" t="n">
        <f aca="false">IF(OR(I3306="DNB",I3306="Dry DNB"),1,0)</f>
        <v>0</v>
      </c>
      <c r="Y3306" s="39" t="n">
        <f aca="false">MATCH(A3306,DATAS,0)</f>
        <v>1</v>
      </c>
      <c r="Z3306" s="39" t="n">
        <f aca="false">IF(AND(E3306&gt;0,OR(AND(B3306&gt;=1,B3306&lt;=6),B3306=10)),1,0)</f>
        <v>0</v>
      </c>
      <c r="AA3306" s="39" t="n">
        <f aca="false">IF(AND(E3306&gt;0,B3306=10),1,0)</f>
        <v>0</v>
      </c>
      <c r="AB3306" s="0" t="str">
        <f aca="false">IF(AND(C3305=C3306,Y3305=Y3306-1),Z3305,"")</f>
        <v/>
      </c>
      <c r="AC3306" s="0" t="str">
        <f aca="false">IF(AND(C3305=C3306,Y3305=Y3306-1),AA3305,"")</f>
        <v/>
      </c>
      <c r="AD3306" s="0" t="str">
        <f aca="false">IF(Y3306=1,"",IF(AND(Z3306=1,AB3306&lt;&gt;1),1,0))</f>
        <v/>
      </c>
      <c r="AE3306" s="0" t="str">
        <f aca="false">IF(Y3306=1,"",IF(AND(AA3306=1,AC3306&lt;&gt;1),1,0))</f>
        <v/>
      </c>
      <c r="AF3306" s="45" t="str">
        <f aca="false">IF(AND(E3306&gt;0,Y3306&lt;1,NOT(AND(C3307=C3306,Y3307=Y3306+1))),INDEX(DATAS,Y3306+1),"")</f>
        <v/>
      </c>
      <c r="AG3306" s="45" t="str">
        <f aca="false">IF(AND(AA3306=1,Y3306&lt;1),IF(AND(C3307=C3306,Y3307=Y3306+1),IF(AA3307=1,"",INDEX(DATAS,Y3306+1)),INDEX(DATAS,Y3306+1)),"")</f>
        <v/>
      </c>
    </row>
    <row r="3307" customFormat="false" ht="15" hidden="false" customHeight="false" outlineLevel="0" collapsed="false">
      <c r="A3307" s="45" t="n">
        <v>46309</v>
      </c>
      <c r="B3307" s="0" t="n">
        <v>13</v>
      </c>
      <c r="C3307" s="0" t="n">
        <v>7734</v>
      </c>
      <c r="E3307" s="0" t="n">
        <v>0</v>
      </c>
      <c r="F3307" s="39" t="s">
        <v>1516</v>
      </c>
      <c r="I3307" s="39" t="s">
        <v>136</v>
      </c>
      <c r="U3307" s="0" t="n">
        <v>151</v>
      </c>
      <c r="V3307" s="0" t="n">
        <v>0</v>
      </c>
      <c r="W3307" s="39" t="n">
        <f aca="false">IF(I3307="Male",0,1)</f>
        <v>1</v>
      </c>
      <c r="X3307" s="39" t="n">
        <f aca="false">IF(OR(I3307="DNB",I3307="Dry DNB"),1,0)</f>
        <v>0</v>
      </c>
      <c r="Y3307" s="39" t="n">
        <f aca="false">MATCH(A3307,DATAS,0)</f>
        <v>1</v>
      </c>
      <c r="Z3307" s="39" t="n">
        <f aca="false">IF(AND(E3307&gt;0,OR(AND(B3307&gt;=1,B3307&lt;=6),B3307=10)),1,0)</f>
        <v>0</v>
      </c>
      <c r="AA3307" s="39" t="n">
        <f aca="false">IF(AND(E3307&gt;0,B3307=10),1,0)</f>
        <v>0</v>
      </c>
      <c r="AB3307" s="0" t="str">
        <f aca="false">IF(AND(C3306=C3307,Y3306=Y3307-1),Z3306,"")</f>
        <v/>
      </c>
      <c r="AC3307" s="0" t="str">
        <f aca="false">IF(AND(C3306=C3307,Y3306=Y3307-1),AA3306,"")</f>
        <v/>
      </c>
      <c r="AD3307" s="0" t="str">
        <f aca="false">IF(Y3307=1,"",IF(AND(Z3307=1,AB3307&lt;&gt;1),1,0))</f>
        <v/>
      </c>
      <c r="AE3307" s="0" t="str">
        <f aca="false">IF(Y3307=1,"",IF(AND(AA3307=1,AC3307&lt;&gt;1),1,0))</f>
        <v/>
      </c>
      <c r="AF3307" s="45" t="str">
        <f aca="false">IF(AND(E3307&gt;0,Y3307&lt;1,NOT(AND(C3308=C3307,Y3308=Y3307+1))),INDEX(DATAS,Y3307+1),"")</f>
        <v/>
      </c>
      <c r="AG3307" s="45" t="str">
        <f aca="false">IF(AND(AA3307=1,Y3307&lt;1),IF(AND(C3308=C3307,Y3308=Y3307+1),IF(AA3308=1,"",INDEX(DATAS,Y3307+1)),INDEX(DATAS,Y3307+1)),"")</f>
        <v/>
      </c>
    </row>
    <row r="3308" customFormat="false" ht="15" hidden="false" customHeight="false" outlineLevel="0" collapsed="false">
      <c r="A3308" s="45" t="n">
        <v>46309</v>
      </c>
      <c r="B3308" s="0" t="n">
        <v>13</v>
      </c>
      <c r="C3308" s="0" t="n">
        <v>7735</v>
      </c>
      <c r="E3308" s="0" t="n">
        <v>0</v>
      </c>
      <c r="F3308" s="39" t="s">
        <v>1517</v>
      </c>
      <c r="I3308" s="39" t="s">
        <v>136</v>
      </c>
      <c r="U3308" s="0" t="n">
        <v>149</v>
      </c>
      <c r="V3308" s="0" t="n">
        <v>0</v>
      </c>
      <c r="W3308" s="39" t="n">
        <f aca="false">IF(I3308="Male",0,1)</f>
        <v>1</v>
      </c>
      <c r="X3308" s="39" t="n">
        <f aca="false">IF(OR(I3308="DNB",I3308="Dry DNB"),1,0)</f>
        <v>0</v>
      </c>
      <c r="Y3308" s="39" t="n">
        <f aca="false">MATCH(A3308,DATAS,0)</f>
        <v>1</v>
      </c>
      <c r="Z3308" s="39" t="n">
        <f aca="false">IF(AND(E3308&gt;0,OR(AND(B3308&gt;=1,B3308&lt;=6),B3308=10)),1,0)</f>
        <v>0</v>
      </c>
      <c r="AA3308" s="39" t="n">
        <f aca="false">IF(AND(E3308&gt;0,B3308=10),1,0)</f>
        <v>0</v>
      </c>
      <c r="AB3308" s="0" t="str">
        <f aca="false">IF(AND(C3307=C3308,Y3307=Y3308-1),Z3307,"")</f>
        <v/>
      </c>
      <c r="AC3308" s="0" t="str">
        <f aca="false">IF(AND(C3307=C3308,Y3307=Y3308-1),AA3307,"")</f>
        <v/>
      </c>
      <c r="AD3308" s="0" t="str">
        <f aca="false">IF(Y3308=1,"",IF(AND(Z3308=1,AB3308&lt;&gt;1),1,0))</f>
        <v/>
      </c>
      <c r="AE3308" s="0" t="str">
        <f aca="false">IF(Y3308=1,"",IF(AND(AA3308=1,AC3308&lt;&gt;1),1,0))</f>
        <v/>
      </c>
      <c r="AF3308" s="45" t="str">
        <f aca="false">IF(AND(E3308&gt;0,Y3308&lt;1,NOT(AND(C3309=C3308,Y3309=Y3308+1))),INDEX(DATAS,Y3308+1),"")</f>
        <v/>
      </c>
      <c r="AG3308" s="45" t="str">
        <f aca="false">IF(AND(AA3308=1,Y3308&lt;1),IF(AND(C3309=C3308,Y3309=Y3308+1),IF(AA3309=1,"",INDEX(DATAS,Y3308+1)),INDEX(DATAS,Y3308+1)),"")</f>
        <v/>
      </c>
    </row>
    <row r="3309" customFormat="false" ht="15" hidden="false" customHeight="false" outlineLevel="0" collapsed="false">
      <c r="A3309" s="45" t="n">
        <v>46309</v>
      </c>
      <c r="B3309" s="0" t="n">
        <v>13</v>
      </c>
      <c r="C3309" s="0" t="n">
        <v>7736</v>
      </c>
      <c r="E3309" s="0" t="n">
        <v>0</v>
      </c>
      <c r="F3309" s="39" t="s">
        <v>1517</v>
      </c>
      <c r="I3309" s="39" t="s">
        <v>136</v>
      </c>
      <c r="U3309" s="0" t="n">
        <v>149</v>
      </c>
      <c r="V3309" s="0" t="n">
        <v>0</v>
      </c>
      <c r="W3309" s="39" t="n">
        <f aca="false">IF(I3309="Male",0,1)</f>
        <v>1</v>
      </c>
      <c r="X3309" s="39" t="n">
        <f aca="false">IF(OR(I3309="DNB",I3309="Dry DNB"),1,0)</f>
        <v>0</v>
      </c>
      <c r="Y3309" s="39" t="n">
        <f aca="false">MATCH(A3309,DATAS,0)</f>
        <v>1</v>
      </c>
      <c r="Z3309" s="39" t="n">
        <f aca="false">IF(AND(E3309&gt;0,OR(AND(B3309&gt;=1,B3309&lt;=6),B3309=10)),1,0)</f>
        <v>0</v>
      </c>
      <c r="AA3309" s="39" t="n">
        <f aca="false">IF(AND(E3309&gt;0,B3309=10),1,0)</f>
        <v>0</v>
      </c>
      <c r="AB3309" s="0" t="str">
        <f aca="false">IF(AND(C3308=C3309,Y3308=Y3309-1),Z3308,"")</f>
        <v/>
      </c>
      <c r="AC3309" s="0" t="str">
        <f aca="false">IF(AND(C3308=C3309,Y3308=Y3309-1),AA3308,"")</f>
        <v/>
      </c>
      <c r="AD3309" s="0" t="str">
        <f aca="false">IF(Y3309=1,"",IF(AND(Z3309=1,AB3309&lt;&gt;1),1,0))</f>
        <v/>
      </c>
      <c r="AE3309" s="0" t="str">
        <f aca="false">IF(Y3309=1,"",IF(AND(AA3309=1,AC3309&lt;&gt;1),1,0))</f>
        <v/>
      </c>
      <c r="AF3309" s="45" t="str">
        <f aca="false">IF(AND(E3309&gt;0,Y3309&lt;1,NOT(AND(C3310=C3309,Y3310=Y3309+1))),INDEX(DATAS,Y3309+1),"")</f>
        <v/>
      </c>
      <c r="AG3309" s="45" t="str">
        <f aca="false">IF(AND(AA3309=1,Y3309&lt;1),IF(AND(C3310=C3309,Y3310=Y3309+1),IF(AA3310=1,"",INDEX(DATAS,Y3309+1)),INDEX(DATAS,Y3309+1)),"")</f>
        <v/>
      </c>
    </row>
    <row r="3310" customFormat="false" ht="15" hidden="false" customHeight="false" outlineLevel="0" collapsed="false">
      <c r="A3310" s="45" t="n">
        <v>46309</v>
      </c>
      <c r="B3310" s="0" t="n">
        <v>13</v>
      </c>
      <c r="C3310" s="0" t="n">
        <v>7737</v>
      </c>
      <c r="E3310" s="0" t="n">
        <v>0</v>
      </c>
      <c r="F3310" s="39" t="s">
        <v>1517</v>
      </c>
      <c r="I3310" s="39" t="s">
        <v>136</v>
      </c>
      <c r="U3310" s="0" t="n">
        <v>149</v>
      </c>
      <c r="V3310" s="0" t="n">
        <v>0</v>
      </c>
      <c r="W3310" s="39" t="n">
        <f aca="false">IF(I3310="Male",0,1)</f>
        <v>1</v>
      </c>
      <c r="X3310" s="39" t="n">
        <f aca="false">IF(OR(I3310="DNB",I3310="Dry DNB"),1,0)</f>
        <v>0</v>
      </c>
      <c r="Y3310" s="39" t="n">
        <f aca="false">MATCH(A3310,DATAS,0)</f>
        <v>1</v>
      </c>
      <c r="Z3310" s="39" t="n">
        <f aca="false">IF(AND(E3310&gt;0,OR(AND(B3310&gt;=1,B3310&lt;=6),B3310=10)),1,0)</f>
        <v>0</v>
      </c>
      <c r="AA3310" s="39" t="n">
        <f aca="false">IF(AND(E3310&gt;0,B3310=10),1,0)</f>
        <v>0</v>
      </c>
      <c r="AB3310" s="0" t="str">
        <f aca="false">IF(AND(C3309=C3310,Y3309=Y3310-1),Z3309,"")</f>
        <v/>
      </c>
      <c r="AC3310" s="0" t="str">
        <f aca="false">IF(AND(C3309=C3310,Y3309=Y3310-1),AA3309,"")</f>
        <v/>
      </c>
      <c r="AD3310" s="0" t="str">
        <f aca="false">IF(Y3310=1,"",IF(AND(Z3310=1,AB3310&lt;&gt;1),1,0))</f>
        <v/>
      </c>
      <c r="AE3310" s="0" t="str">
        <f aca="false">IF(Y3310=1,"",IF(AND(AA3310=1,AC3310&lt;&gt;1),1,0))</f>
        <v/>
      </c>
      <c r="AF3310" s="45" t="str">
        <f aca="false">IF(AND(E3310&gt;0,Y3310&lt;1,NOT(AND(C3311=C3310,Y3311=Y3310+1))),INDEX(DATAS,Y3310+1),"")</f>
        <v/>
      </c>
      <c r="AG3310" s="45" t="str">
        <f aca="false">IF(AND(AA3310=1,Y3310&lt;1),IF(AND(C3311=C3310,Y3311=Y3310+1),IF(AA3311=1,"",INDEX(DATAS,Y3310+1)),INDEX(DATAS,Y3310+1)),"")</f>
        <v/>
      </c>
    </row>
    <row r="3311" customFormat="false" ht="15" hidden="false" customHeight="false" outlineLevel="0" collapsed="false">
      <c r="A3311" s="45" t="n">
        <v>46309</v>
      </c>
      <c r="B3311" s="0" t="n">
        <v>13</v>
      </c>
      <c r="C3311" s="0" t="n">
        <v>7738</v>
      </c>
      <c r="E3311" s="0" t="n">
        <v>0</v>
      </c>
      <c r="F3311" s="39" t="s">
        <v>1517</v>
      </c>
      <c r="I3311" s="39" t="s">
        <v>136</v>
      </c>
      <c r="U3311" s="0" t="n">
        <v>149</v>
      </c>
      <c r="V3311" s="0" t="n">
        <v>0</v>
      </c>
      <c r="W3311" s="39" t="n">
        <f aca="false">IF(I3311="Male",0,1)</f>
        <v>1</v>
      </c>
      <c r="X3311" s="39" t="n">
        <f aca="false">IF(OR(I3311="DNB",I3311="Dry DNB"),1,0)</f>
        <v>0</v>
      </c>
      <c r="Y3311" s="39" t="n">
        <f aca="false">MATCH(A3311,DATAS,0)</f>
        <v>1</v>
      </c>
      <c r="Z3311" s="39" t="n">
        <f aca="false">IF(AND(E3311&gt;0,OR(AND(B3311&gt;=1,B3311&lt;=6),B3311=10)),1,0)</f>
        <v>0</v>
      </c>
      <c r="AA3311" s="39" t="n">
        <f aca="false">IF(AND(E3311&gt;0,B3311=10),1,0)</f>
        <v>0</v>
      </c>
      <c r="AB3311" s="0" t="str">
        <f aca="false">IF(AND(C3310=C3311,Y3310=Y3311-1),Z3310,"")</f>
        <v/>
      </c>
      <c r="AC3311" s="0" t="str">
        <f aca="false">IF(AND(C3310=C3311,Y3310=Y3311-1),AA3310,"")</f>
        <v/>
      </c>
      <c r="AD3311" s="0" t="str">
        <f aca="false">IF(Y3311=1,"",IF(AND(Z3311=1,AB3311&lt;&gt;1),1,0))</f>
        <v/>
      </c>
      <c r="AE3311" s="0" t="str">
        <f aca="false">IF(Y3311=1,"",IF(AND(AA3311=1,AC3311&lt;&gt;1),1,0))</f>
        <v/>
      </c>
      <c r="AF3311" s="45" t="str">
        <f aca="false">IF(AND(E3311&gt;0,Y3311&lt;1,NOT(AND(C3312=C3311,Y3312=Y3311+1))),INDEX(DATAS,Y3311+1),"")</f>
        <v/>
      </c>
      <c r="AG3311" s="45" t="str">
        <f aca="false">IF(AND(AA3311=1,Y3311&lt;1),IF(AND(C3312=C3311,Y3312=Y3311+1),IF(AA3312=1,"",INDEX(DATAS,Y3311+1)),INDEX(DATAS,Y3311+1)),"")</f>
        <v/>
      </c>
    </row>
    <row r="3312" customFormat="false" ht="15" hidden="false" customHeight="false" outlineLevel="0" collapsed="false">
      <c r="A3312" s="45" t="n">
        <v>46309</v>
      </c>
      <c r="B3312" s="0" t="n">
        <v>13</v>
      </c>
      <c r="C3312" s="0" t="n">
        <v>7739</v>
      </c>
      <c r="E3312" s="0" t="n">
        <v>0</v>
      </c>
      <c r="F3312" s="39" t="s">
        <v>1518</v>
      </c>
      <c r="I3312" s="39" t="s">
        <v>136</v>
      </c>
      <c r="U3312" s="0" t="n">
        <v>148</v>
      </c>
      <c r="V3312" s="0" t="n">
        <v>0</v>
      </c>
      <c r="W3312" s="39" t="n">
        <f aca="false">IF(I3312="Male",0,1)</f>
        <v>1</v>
      </c>
      <c r="X3312" s="39" t="n">
        <f aca="false">IF(OR(I3312="DNB",I3312="Dry DNB"),1,0)</f>
        <v>0</v>
      </c>
      <c r="Y3312" s="39" t="n">
        <f aca="false">MATCH(A3312,DATAS,0)</f>
        <v>1</v>
      </c>
      <c r="Z3312" s="39" t="n">
        <f aca="false">IF(AND(E3312&gt;0,OR(AND(B3312&gt;=1,B3312&lt;=6),B3312=10)),1,0)</f>
        <v>0</v>
      </c>
      <c r="AA3312" s="39" t="n">
        <f aca="false">IF(AND(E3312&gt;0,B3312=10),1,0)</f>
        <v>0</v>
      </c>
      <c r="AB3312" s="0" t="str">
        <f aca="false">IF(AND(C3311=C3312,Y3311=Y3312-1),Z3311,"")</f>
        <v/>
      </c>
      <c r="AC3312" s="0" t="str">
        <f aca="false">IF(AND(C3311=C3312,Y3311=Y3312-1),AA3311,"")</f>
        <v/>
      </c>
      <c r="AD3312" s="0" t="str">
        <f aca="false">IF(Y3312=1,"",IF(AND(Z3312=1,AB3312&lt;&gt;1),1,0))</f>
        <v/>
      </c>
      <c r="AE3312" s="0" t="str">
        <f aca="false">IF(Y3312=1,"",IF(AND(AA3312=1,AC3312&lt;&gt;1),1,0))</f>
        <v/>
      </c>
      <c r="AF3312" s="45" t="str">
        <f aca="false">IF(AND(E3312&gt;0,Y3312&lt;1,NOT(AND(C3313=C3312,Y3313=Y3312+1))),INDEX(DATAS,Y3312+1),"")</f>
        <v/>
      </c>
      <c r="AG3312" s="45" t="str">
        <f aca="false">IF(AND(AA3312=1,Y3312&lt;1),IF(AND(C3313=C3312,Y3313=Y3312+1),IF(AA3313=1,"",INDEX(DATAS,Y3312+1)),INDEX(DATAS,Y3312+1)),"")</f>
        <v/>
      </c>
    </row>
    <row r="3313" customFormat="false" ht="15" hidden="false" customHeight="false" outlineLevel="0" collapsed="false">
      <c r="A3313" s="45" t="n">
        <v>46309</v>
      </c>
      <c r="B3313" s="0" t="n">
        <v>13</v>
      </c>
      <c r="C3313" s="0" t="n">
        <v>7740</v>
      </c>
      <c r="E3313" s="0" t="n">
        <v>0</v>
      </c>
      <c r="F3313" s="39" t="s">
        <v>1519</v>
      </c>
      <c r="I3313" s="39" t="s">
        <v>136</v>
      </c>
      <c r="U3313" s="0" t="n">
        <v>147</v>
      </c>
      <c r="V3313" s="0" t="n">
        <v>0</v>
      </c>
      <c r="W3313" s="39" t="n">
        <f aca="false">IF(I3313="Male",0,1)</f>
        <v>1</v>
      </c>
      <c r="X3313" s="39" t="n">
        <f aca="false">IF(OR(I3313="DNB",I3313="Dry DNB"),1,0)</f>
        <v>0</v>
      </c>
      <c r="Y3313" s="39" t="n">
        <f aca="false">MATCH(A3313,DATAS,0)</f>
        <v>1</v>
      </c>
      <c r="Z3313" s="39" t="n">
        <f aca="false">IF(AND(E3313&gt;0,OR(AND(B3313&gt;=1,B3313&lt;=6),B3313=10)),1,0)</f>
        <v>0</v>
      </c>
      <c r="AA3313" s="39" t="n">
        <f aca="false">IF(AND(E3313&gt;0,B3313=10),1,0)</f>
        <v>0</v>
      </c>
      <c r="AB3313" s="0" t="str">
        <f aca="false">IF(AND(C3312=C3313,Y3312=Y3313-1),Z3312,"")</f>
        <v/>
      </c>
      <c r="AC3313" s="0" t="str">
        <f aca="false">IF(AND(C3312=C3313,Y3312=Y3313-1),AA3312,"")</f>
        <v/>
      </c>
      <c r="AD3313" s="0" t="str">
        <f aca="false">IF(Y3313=1,"",IF(AND(Z3313=1,AB3313&lt;&gt;1),1,0))</f>
        <v/>
      </c>
      <c r="AE3313" s="0" t="str">
        <f aca="false">IF(Y3313=1,"",IF(AND(AA3313=1,AC3313&lt;&gt;1),1,0))</f>
        <v/>
      </c>
      <c r="AF3313" s="45" t="str">
        <f aca="false">IF(AND(E3313&gt;0,Y3313&lt;1,NOT(AND(C3314=C3313,Y3314=Y3313+1))),INDEX(DATAS,Y3313+1),"")</f>
        <v/>
      </c>
      <c r="AG3313" s="45" t="str">
        <f aca="false">IF(AND(AA3313=1,Y3313&lt;1),IF(AND(C3314=C3313,Y3314=Y3313+1),IF(AA3314=1,"",INDEX(DATAS,Y3313+1)),INDEX(DATAS,Y3313+1)),"")</f>
        <v/>
      </c>
    </row>
    <row r="3314" customFormat="false" ht="15" hidden="false" customHeight="false" outlineLevel="0" collapsed="false">
      <c r="A3314" s="45" t="n">
        <v>46309</v>
      </c>
      <c r="B3314" s="0" t="n">
        <v>13</v>
      </c>
      <c r="C3314" s="0" t="n">
        <v>7742</v>
      </c>
      <c r="E3314" s="0" t="n">
        <v>0</v>
      </c>
      <c r="F3314" s="39" t="s">
        <v>1520</v>
      </c>
      <c r="I3314" s="39" t="s">
        <v>136</v>
      </c>
      <c r="U3314" s="0" t="n">
        <v>146</v>
      </c>
      <c r="V3314" s="0" t="n">
        <v>0</v>
      </c>
      <c r="W3314" s="39" t="n">
        <f aca="false">IF(I3314="Male",0,1)</f>
        <v>1</v>
      </c>
      <c r="X3314" s="39" t="n">
        <f aca="false">IF(OR(I3314="DNB",I3314="Dry DNB"),1,0)</f>
        <v>0</v>
      </c>
      <c r="Y3314" s="39" t="n">
        <f aca="false">MATCH(A3314,DATAS,0)</f>
        <v>1</v>
      </c>
      <c r="Z3314" s="39" t="n">
        <f aca="false">IF(AND(E3314&gt;0,OR(AND(B3314&gt;=1,B3314&lt;=6),B3314=10)),1,0)</f>
        <v>0</v>
      </c>
      <c r="AA3314" s="39" t="n">
        <f aca="false">IF(AND(E3314&gt;0,B3314=10),1,0)</f>
        <v>0</v>
      </c>
      <c r="AB3314" s="0" t="str">
        <f aca="false">IF(AND(C3313=C3314,Y3313=Y3314-1),Z3313,"")</f>
        <v/>
      </c>
      <c r="AC3314" s="0" t="str">
        <f aca="false">IF(AND(C3313=C3314,Y3313=Y3314-1),AA3313,"")</f>
        <v/>
      </c>
      <c r="AD3314" s="0" t="str">
        <f aca="false">IF(Y3314=1,"",IF(AND(Z3314=1,AB3314&lt;&gt;1),1,0))</f>
        <v/>
      </c>
      <c r="AE3314" s="0" t="str">
        <f aca="false">IF(Y3314=1,"",IF(AND(AA3314=1,AC3314&lt;&gt;1),1,0))</f>
        <v/>
      </c>
      <c r="AF3314" s="45" t="str">
        <f aca="false">IF(AND(E3314&gt;0,Y3314&lt;1,NOT(AND(C3315=C3314,Y3315=Y3314+1))),INDEX(DATAS,Y3314+1),"")</f>
        <v/>
      </c>
      <c r="AG3314" s="45" t="str">
        <f aca="false">IF(AND(AA3314=1,Y3314&lt;1),IF(AND(C3315=C3314,Y3315=Y3314+1),IF(AA3315=1,"",INDEX(DATAS,Y3314+1)),INDEX(DATAS,Y3314+1)),"")</f>
        <v/>
      </c>
    </row>
    <row r="3315" customFormat="false" ht="15" hidden="false" customHeight="false" outlineLevel="0" collapsed="false">
      <c r="A3315" s="45" t="n">
        <v>46309</v>
      </c>
      <c r="B3315" s="0" t="n">
        <v>13</v>
      </c>
      <c r="C3315" s="0" t="n">
        <v>7743</v>
      </c>
      <c r="E3315" s="0" t="n">
        <v>0</v>
      </c>
      <c r="F3315" s="39" t="s">
        <v>1520</v>
      </c>
      <c r="I3315" s="39" t="s">
        <v>136</v>
      </c>
      <c r="U3315" s="0" t="n">
        <v>146</v>
      </c>
      <c r="V3315" s="0" t="n">
        <v>0</v>
      </c>
      <c r="W3315" s="39" t="n">
        <f aca="false">IF(I3315="Male",0,1)</f>
        <v>1</v>
      </c>
      <c r="X3315" s="39" t="n">
        <f aca="false">IF(OR(I3315="DNB",I3315="Dry DNB"),1,0)</f>
        <v>0</v>
      </c>
      <c r="Y3315" s="39" t="n">
        <f aca="false">MATCH(A3315,DATAS,0)</f>
        <v>1</v>
      </c>
      <c r="Z3315" s="39" t="n">
        <f aca="false">IF(AND(E3315&gt;0,OR(AND(B3315&gt;=1,B3315&lt;=6),B3315=10)),1,0)</f>
        <v>0</v>
      </c>
      <c r="AA3315" s="39" t="n">
        <f aca="false">IF(AND(E3315&gt;0,B3315=10),1,0)</f>
        <v>0</v>
      </c>
      <c r="AB3315" s="0" t="str">
        <f aca="false">IF(AND(C3314=C3315,Y3314=Y3315-1),Z3314,"")</f>
        <v/>
      </c>
      <c r="AC3315" s="0" t="str">
        <f aca="false">IF(AND(C3314=C3315,Y3314=Y3315-1),AA3314,"")</f>
        <v/>
      </c>
      <c r="AD3315" s="0" t="str">
        <f aca="false">IF(Y3315=1,"",IF(AND(Z3315=1,AB3315&lt;&gt;1),1,0))</f>
        <v/>
      </c>
      <c r="AE3315" s="0" t="str">
        <f aca="false">IF(Y3315=1,"",IF(AND(AA3315=1,AC3315&lt;&gt;1),1,0))</f>
        <v/>
      </c>
      <c r="AF3315" s="45" t="str">
        <f aca="false">IF(AND(E3315&gt;0,Y3315&lt;1,NOT(AND(C3316=C3315,Y3316=Y3315+1))),INDEX(DATAS,Y3315+1),"")</f>
        <v/>
      </c>
      <c r="AG3315" s="45" t="str">
        <f aca="false">IF(AND(AA3315=1,Y3315&lt;1),IF(AND(C3316=C3315,Y3316=Y3315+1),IF(AA3316=1,"",INDEX(DATAS,Y3315+1)),INDEX(DATAS,Y3315+1)),"")</f>
        <v/>
      </c>
    </row>
    <row r="3316" customFormat="false" ht="15" hidden="false" customHeight="false" outlineLevel="0" collapsed="false">
      <c r="A3316" s="45" t="n">
        <v>46309</v>
      </c>
      <c r="B3316" s="0" t="n">
        <v>13</v>
      </c>
      <c r="C3316" s="0" t="n">
        <v>7744</v>
      </c>
      <c r="E3316" s="0" t="n">
        <v>0</v>
      </c>
      <c r="F3316" s="39" t="s">
        <v>1521</v>
      </c>
      <c r="I3316" s="39" t="s">
        <v>136</v>
      </c>
      <c r="U3316" s="0" t="n">
        <v>145</v>
      </c>
      <c r="V3316" s="0" t="n">
        <v>0</v>
      </c>
      <c r="W3316" s="39" t="n">
        <f aca="false">IF(I3316="Male",0,1)</f>
        <v>1</v>
      </c>
      <c r="X3316" s="39" t="n">
        <f aca="false">IF(OR(I3316="DNB",I3316="Dry DNB"),1,0)</f>
        <v>0</v>
      </c>
      <c r="Y3316" s="39" t="n">
        <f aca="false">MATCH(A3316,DATAS,0)</f>
        <v>1</v>
      </c>
      <c r="Z3316" s="39" t="n">
        <f aca="false">IF(AND(E3316&gt;0,OR(AND(B3316&gt;=1,B3316&lt;=6),B3316=10)),1,0)</f>
        <v>0</v>
      </c>
      <c r="AA3316" s="39" t="n">
        <f aca="false">IF(AND(E3316&gt;0,B3316=10),1,0)</f>
        <v>0</v>
      </c>
      <c r="AB3316" s="0" t="str">
        <f aca="false">IF(AND(C3315=C3316,Y3315=Y3316-1),Z3315,"")</f>
        <v/>
      </c>
      <c r="AC3316" s="0" t="str">
        <f aca="false">IF(AND(C3315=C3316,Y3315=Y3316-1),AA3315,"")</f>
        <v/>
      </c>
      <c r="AD3316" s="0" t="str">
        <f aca="false">IF(Y3316=1,"",IF(AND(Z3316=1,AB3316&lt;&gt;1),1,0))</f>
        <v/>
      </c>
      <c r="AE3316" s="0" t="str">
        <f aca="false">IF(Y3316=1,"",IF(AND(AA3316=1,AC3316&lt;&gt;1),1,0))</f>
        <v/>
      </c>
      <c r="AF3316" s="45" t="str">
        <f aca="false">IF(AND(E3316&gt;0,Y3316&lt;1,NOT(AND(C3317=C3316,Y3317=Y3316+1))),INDEX(DATAS,Y3316+1),"")</f>
        <v/>
      </c>
      <c r="AG3316" s="45" t="str">
        <f aca="false">IF(AND(AA3316=1,Y3316&lt;1),IF(AND(C3317=C3316,Y3317=Y3316+1),IF(AA3317=1,"",INDEX(DATAS,Y3316+1)),INDEX(DATAS,Y3316+1)),"")</f>
        <v/>
      </c>
    </row>
    <row r="3317" customFormat="false" ht="15" hidden="false" customHeight="false" outlineLevel="0" collapsed="false">
      <c r="A3317" s="45" t="n">
        <v>46309</v>
      </c>
      <c r="B3317" s="0" t="n">
        <v>13</v>
      </c>
      <c r="C3317" s="0" t="n">
        <v>7745</v>
      </c>
      <c r="E3317" s="0" t="n">
        <v>0</v>
      </c>
      <c r="F3317" s="39" t="s">
        <v>1522</v>
      </c>
      <c r="I3317" s="39" t="s">
        <v>136</v>
      </c>
      <c r="U3317" s="0" t="n">
        <v>144</v>
      </c>
      <c r="V3317" s="0" t="n">
        <v>0</v>
      </c>
      <c r="W3317" s="39" t="n">
        <f aca="false">IF(I3317="Male",0,1)</f>
        <v>1</v>
      </c>
      <c r="X3317" s="39" t="n">
        <f aca="false">IF(OR(I3317="DNB",I3317="Dry DNB"),1,0)</f>
        <v>0</v>
      </c>
      <c r="Y3317" s="39" t="n">
        <f aca="false">MATCH(A3317,DATAS,0)</f>
        <v>1</v>
      </c>
      <c r="Z3317" s="39" t="n">
        <f aca="false">IF(AND(E3317&gt;0,OR(AND(B3317&gt;=1,B3317&lt;=6),B3317=10)),1,0)</f>
        <v>0</v>
      </c>
      <c r="AA3317" s="39" t="n">
        <f aca="false">IF(AND(E3317&gt;0,B3317=10),1,0)</f>
        <v>0</v>
      </c>
      <c r="AB3317" s="0" t="str">
        <f aca="false">IF(AND(C3316=C3317,Y3316=Y3317-1),Z3316,"")</f>
        <v/>
      </c>
      <c r="AC3317" s="0" t="str">
        <f aca="false">IF(AND(C3316=C3317,Y3316=Y3317-1),AA3316,"")</f>
        <v/>
      </c>
      <c r="AD3317" s="0" t="str">
        <f aca="false">IF(Y3317=1,"",IF(AND(Z3317=1,AB3317&lt;&gt;1),1,0))</f>
        <v/>
      </c>
      <c r="AE3317" s="0" t="str">
        <f aca="false">IF(Y3317=1,"",IF(AND(AA3317=1,AC3317&lt;&gt;1),1,0))</f>
        <v/>
      </c>
      <c r="AF3317" s="45" t="str">
        <f aca="false">IF(AND(E3317&gt;0,Y3317&lt;1,NOT(AND(C3318=C3317,Y3318=Y3317+1))),INDEX(DATAS,Y3317+1),"")</f>
        <v/>
      </c>
      <c r="AG3317" s="45" t="str">
        <f aca="false">IF(AND(AA3317=1,Y3317&lt;1),IF(AND(C3318=C3317,Y3318=Y3317+1),IF(AA3318=1,"",INDEX(DATAS,Y3317+1)),INDEX(DATAS,Y3317+1)),"")</f>
        <v/>
      </c>
    </row>
    <row r="3318" customFormat="false" ht="15" hidden="false" customHeight="false" outlineLevel="0" collapsed="false">
      <c r="A3318" s="45" t="n">
        <v>46309</v>
      </c>
      <c r="B3318" s="0" t="n">
        <v>13</v>
      </c>
      <c r="C3318" s="0" t="n">
        <v>7746</v>
      </c>
      <c r="E3318" s="0" t="n">
        <v>0</v>
      </c>
      <c r="F3318" s="39" t="s">
        <v>1522</v>
      </c>
      <c r="I3318" s="39" t="s">
        <v>136</v>
      </c>
      <c r="U3318" s="0" t="n">
        <v>144</v>
      </c>
      <c r="V3318" s="0" t="n">
        <v>0</v>
      </c>
      <c r="W3318" s="39" t="n">
        <f aca="false">IF(I3318="Male",0,1)</f>
        <v>1</v>
      </c>
      <c r="X3318" s="39" t="n">
        <f aca="false">IF(OR(I3318="DNB",I3318="Dry DNB"),1,0)</f>
        <v>0</v>
      </c>
      <c r="Y3318" s="39" t="n">
        <f aca="false">MATCH(A3318,DATAS,0)</f>
        <v>1</v>
      </c>
      <c r="Z3318" s="39" t="n">
        <f aca="false">IF(AND(E3318&gt;0,OR(AND(B3318&gt;=1,B3318&lt;=6),B3318=10)),1,0)</f>
        <v>0</v>
      </c>
      <c r="AA3318" s="39" t="n">
        <f aca="false">IF(AND(E3318&gt;0,B3318=10),1,0)</f>
        <v>0</v>
      </c>
      <c r="AB3318" s="0" t="str">
        <f aca="false">IF(AND(C3317=C3318,Y3317=Y3318-1),Z3317,"")</f>
        <v/>
      </c>
      <c r="AC3318" s="0" t="str">
        <f aca="false">IF(AND(C3317=C3318,Y3317=Y3318-1),AA3317,"")</f>
        <v/>
      </c>
      <c r="AD3318" s="0" t="str">
        <f aca="false">IF(Y3318=1,"",IF(AND(Z3318=1,AB3318&lt;&gt;1),1,0))</f>
        <v/>
      </c>
      <c r="AE3318" s="0" t="str">
        <f aca="false">IF(Y3318=1,"",IF(AND(AA3318=1,AC3318&lt;&gt;1),1,0))</f>
        <v/>
      </c>
      <c r="AF3318" s="45" t="str">
        <f aca="false">IF(AND(E3318&gt;0,Y3318&lt;1,NOT(AND(C3319=C3318,Y3319=Y3318+1))),INDEX(DATAS,Y3318+1),"")</f>
        <v/>
      </c>
      <c r="AG3318" s="45" t="str">
        <f aca="false">IF(AND(AA3318=1,Y3318&lt;1),IF(AND(C3319=C3318,Y3319=Y3318+1),IF(AA3319=1,"",INDEX(DATAS,Y3318+1)),INDEX(DATAS,Y3318+1)),"")</f>
        <v/>
      </c>
    </row>
    <row r="3319" customFormat="false" ht="15" hidden="false" customHeight="false" outlineLevel="0" collapsed="false">
      <c r="A3319" s="45" t="n">
        <v>46309</v>
      </c>
      <c r="B3319" s="0" t="n">
        <v>13</v>
      </c>
      <c r="C3319" s="0" t="n">
        <v>7747</v>
      </c>
      <c r="E3319" s="0" t="n">
        <v>0</v>
      </c>
      <c r="F3319" s="39" t="s">
        <v>1522</v>
      </c>
      <c r="I3319" s="39" t="s">
        <v>136</v>
      </c>
      <c r="U3319" s="0" t="n">
        <v>144</v>
      </c>
      <c r="V3319" s="0" t="n">
        <v>0</v>
      </c>
      <c r="W3319" s="39" t="n">
        <f aca="false">IF(I3319="Male",0,1)</f>
        <v>1</v>
      </c>
      <c r="X3319" s="39" t="n">
        <f aca="false">IF(OR(I3319="DNB",I3319="Dry DNB"),1,0)</f>
        <v>0</v>
      </c>
      <c r="Y3319" s="39" t="n">
        <f aca="false">MATCH(A3319,DATAS,0)</f>
        <v>1</v>
      </c>
      <c r="Z3319" s="39" t="n">
        <f aca="false">IF(AND(E3319&gt;0,OR(AND(B3319&gt;=1,B3319&lt;=6),B3319=10)),1,0)</f>
        <v>0</v>
      </c>
      <c r="AA3319" s="39" t="n">
        <f aca="false">IF(AND(E3319&gt;0,B3319=10),1,0)</f>
        <v>0</v>
      </c>
      <c r="AB3319" s="0" t="str">
        <f aca="false">IF(AND(C3318=C3319,Y3318=Y3319-1),Z3318,"")</f>
        <v/>
      </c>
      <c r="AC3319" s="0" t="str">
        <f aca="false">IF(AND(C3318=C3319,Y3318=Y3319-1),AA3318,"")</f>
        <v/>
      </c>
      <c r="AD3319" s="0" t="str">
        <f aca="false">IF(Y3319=1,"",IF(AND(Z3319=1,AB3319&lt;&gt;1),1,0))</f>
        <v/>
      </c>
      <c r="AE3319" s="0" t="str">
        <f aca="false">IF(Y3319=1,"",IF(AND(AA3319=1,AC3319&lt;&gt;1),1,0))</f>
        <v/>
      </c>
      <c r="AF3319" s="45" t="str">
        <f aca="false">IF(AND(E3319&gt;0,Y3319&lt;1,NOT(AND(C3320=C3319,Y3320=Y3319+1))),INDEX(DATAS,Y3319+1),"")</f>
        <v/>
      </c>
      <c r="AG3319" s="45" t="str">
        <f aca="false">IF(AND(AA3319=1,Y3319&lt;1),IF(AND(C3320=C3319,Y3320=Y3319+1),IF(AA3320=1,"",INDEX(DATAS,Y3319+1)),INDEX(DATAS,Y3319+1)),"")</f>
        <v/>
      </c>
    </row>
    <row r="3320" customFormat="false" ht="15" hidden="false" customHeight="false" outlineLevel="0" collapsed="false">
      <c r="A3320" s="45" t="n">
        <v>46309</v>
      </c>
      <c r="B3320" s="0" t="n">
        <v>13</v>
      </c>
      <c r="C3320" s="0" t="n">
        <v>7748</v>
      </c>
      <c r="E3320" s="0" t="n">
        <v>0</v>
      </c>
      <c r="F3320" s="39" t="s">
        <v>1522</v>
      </c>
      <c r="I3320" s="39" t="s">
        <v>136</v>
      </c>
      <c r="U3320" s="0" t="n">
        <v>144</v>
      </c>
      <c r="V3320" s="0" t="n">
        <v>0</v>
      </c>
      <c r="W3320" s="39" t="n">
        <f aca="false">IF(I3320="Male",0,1)</f>
        <v>1</v>
      </c>
      <c r="X3320" s="39" t="n">
        <f aca="false">IF(OR(I3320="DNB",I3320="Dry DNB"),1,0)</f>
        <v>0</v>
      </c>
      <c r="Y3320" s="39" t="n">
        <f aca="false">MATCH(A3320,DATAS,0)</f>
        <v>1</v>
      </c>
      <c r="Z3320" s="39" t="n">
        <f aca="false">IF(AND(E3320&gt;0,OR(AND(B3320&gt;=1,B3320&lt;=6),B3320=10)),1,0)</f>
        <v>0</v>
      </c>
      <c r="AA3320" s="39" t="n">
        <f aca="false">IF(AND(E3320&gt;0,B3320=10),1,0)</f>
        <v>0</v>
      </c>
      <c r="AB3320" s="0" t="str">
        <f aca="false">IF(AND(C3319=C3320,Y3319=Y3320-1),Z3319,"")</f>
        <v/>
      </c>
      <c r="AC3320" s="0" t="str">
        <f aca="false">IF(AND(C3319=C3320,Y3319=Y3320-1),AA3319,"")</f>
        <v/>
      </c>
      <c r="AD3320" s="0" t="str">
        <f aca="false">IF(Y3320=1,"",IF(AND(Z3320=1,AB3320&lt;&gt;1),1,0))</f>
        <v/>
      </c>
      <c r="AE3320" s="0" t="str">
        <f aca="false">IF(Y3320=1,"",IF(AND(AA3320=1,AC3320&lt;&gt;1),1,0))</f>
        <v/>
      </c>
      <c r="AF3320" s="45" t="str">
        <f aca="false">IF(AND(E3320&gt;0,Y3320&lt;1,NOT(AND(C3321=C3320,Y3321=Y3320+1))),INDEX(DATAS,Y3320+1),"")</f>
        <v/>
      </c>
      <c r="AG3320" s="45" t="str">
        <f aca="false">IF(AND(AA3320=1,Y3320&lt;1),IF(AND(C3321=C3320,Y3321=Y3320+1),IF(AA3321=1,"",INDEX(DATAS,Y3320+1)),INDEX(DATAS,Y3320+1)),"")</f>
        <v/>
      </c>
    </row>
    <row r="3321" customFormat="false" ht="15" hidden="false" customHeight="false" outlineLevel="0" collapsed="false">
      <c r="A3321" s="45" t="n">
        <v>46309</v>
      </c>
      <c r="B3321" s="0" t="n">
        <v>13</v>
      </c>
      <c r="C3321" s="0" t="n">
        <v>7750</v>
      </c>
      <c r="E3321" s="0" t="n">
        <v>0</v>
      </c>
      <c r="F3321" s="39" t="s">
        <v>1522</v>
      </c>
      <c r="I3321" s="39" t="s">
        <v>136</v>
      </c>
      <c r="U3321" s="0" t="n">
        <v>144</v>
      </c>
      <c r="V3321" s="0" t="n">
        <v>0</v>
      </c>
      <c r="W3321" s="39" t="n">
        <f aca="false">IF(I3321="Male",0,1)</f>
        <v>1</v>
      </c>
      <c r="X3321" s="39" t="n">
        <f aca="false">IF(OR(I3321="DNB",I3321="Dry DNB"),1,0)</f>
        <v>0</v>
      </c>
      <c r="Y3321" s="39" t="n">
        <f aca="false">MATCH(A3321,DATAS,0)</f>
        <v>1</v>
      </c>
      <c r="Z3321" s="39" t="n">
        <f aca="false">IF(AND(E3321&gt;0,OR(AND(B3321&gt;=1,B3321&lt;=6),B3321=10)),1,0)</f>
        <v>0</v>
      </c>
      <c r="AA3321" s="39" t="n">
        <f aca="false">IF(AND(E3321&gt;0,B3321=10),1,0)</f>
        <v>0</v>
      </c>
      <c r="AB3321" s="0" t="str">
        <f aca="false">IF(AND(C3320=C3321,Y3320=Y3321-1),Z3320,"")</f>
        <v/>
      </c>
      <c r="AC3321" s="0" t="str">
        <f aca="false">IF(AND(C3320=C3321,Y3320=Y3321-1),AA3320,"")</f>
        <v/>
      </c>
      <c r="AD3321" s="0" t="str">
        <f aca="false">IF(Y3321=1,"",IF(AND(Z3321=1,AB3321&lt;&gt;1),1,0))</f>
        <v/>
      </c>
      <c r="AE3321" s="0" t="str">
        <f aca="false">IF(Y3321=1,"",IF(AND(AA3321=1,AC3321&lt;&gt;1),1,0))</f>
        <v/>
      </c>
      <c r="AF3321" s="45" t="str">
        <f aca="false">IF(AND(E3321&gt;0,Y3321&lt;1,NOT(AND(C3322=C3321,Y3322=Y3321+1))),INDEX(DATAS,Y3321+1),"")</f>
        <v/>
      </c>
      <c r="AG3321" s="45" t="str">
        <f aca="false">IF(AND(AA3321=1,Y3321&lt;1),IF(AND(C3322=C3321,Y3322=Y3321+1),IF(AA3322=1,"",INDEX(DATAS,Y3321+1)),INDEX(DATAS,Y3321+1)),"")</f>
        <v/>
      </c>
    </row>
    <row r="3322" customFormat="false" ht="15" hidden="false" customHeight="false" outlineLevel="0" collapsed="false">
      <c r="A3322" s="45" t="n">
        <v>46309</v>
      </c>
      <c r="B3322" s="0" t="n">
        <v>13</v>
      </c>
      <c r="C3322" s="0" t="n">
        <v>7751</v>
      </c>
      <c r="E3322" s="0" t="n">
        <v>0</v>
      </c>
      <c r="F3322" s="39" t="s">
        <v>1522</v>
      </c>
      <c r="I3322" s="39" t="s">
        <v>136</v>
      </c>
      <c r="U3322" s="0" t="n">
        <v>144</v>
      </c>
      <c r="V3322" s="0" t="n">
        <v>0</v>
      </c>
      <c r="W3322" s="39" t="n">
        <f aca="false">IF(I3322="Male",0,1)</f>
        <v>1</v>
      </c>
      <c r="X3322" s="39" t="n">
        <f aca="false">IF(OR(I3322="DNB",I3322="Dry DNB"),1,0)</f>
        <v>0</v>
      </c>
      <c r="Y3322" s="39" t="n">
        <f aca="false">MATCH(A3322,DATAS,0)</f>
        <v>1</v>
      </c>
      <c r="Z3322" s="39" t="n">
        <f aca="false">IF(AND(E3322&gt;0,OR(AND(B3322&gt;=1,B3322&lt;=6),B3322=10)),1,0)</f>
        <v>0</v>
      </c>
      <c r="AA3322" s="39" t="n">
        <f aca="false">IF(AND(E3322&gt;0,B3322=10),1,0)</f>
        <v>0</v>
      </c>
      <c r="AB3322" s="0" t="str">
        <f aca="false">IF(AND(C3321=C3322,Y3321=Y3322-1),Z3321,"")</f>
        <v/>
      </c>
      <c r="AC3322" s="0" t="str">
        <f aca="false">IF(AND(C3321=C3322,Y3321=Y3322-1),AA3321,"")</f>
        <v/>
      </c>
      <c r="AD3322" s="0" t="str">
        <f aca="false">IF(Y3322=1,"",IF(AND(Z3322=1,AB3322&lt;&gt;1),1,0))</f>
        <v/>
      </c>
      <c r="AE3322" s="0" t="str">
        <f aca="false">IF(Y3322=1,"",IF(AND(AA3322=1,AC3322&lt;&gt;1),1,0))</f>
        <v/>
      </c>
      <c r="AF3322" s="45" t="str">
        <f aca="false">IF(AND(E3322&gt;0,Y3322&lt;1,NOT(AND(C3323=C3322,Y3323=Y3322+1))),INDEX(DATAS,Y3322+1),"")</f>
        <v/>
      </c>
      <c r="AG3322" s="45" t="str">
        <f aca="false">IF(AND(AA3322=1,Y3322&lt;1),IF(AND(C3323=C3322,Y3323=Y3322+1),IF(AA3323=1,"",INDEX(DATAS,Y3322+1)),INDEX(DATAS,Y3322+1)),"")</f>
        <v/>
      </c>
    </row>
    <row r="3323" customFormat="false" ht="15" hidden="false" customHeight="false" outlineLevel="0" collapsed="false">
      <c r="A3323" s="45" t="n">
        <v>46309</v>
      </c>
      <c r="B3323" s="0" t="n">
        <v>13</v>
      </c>
      <c r="C3323" s="0" t="n">
        <v>7752</v>
      </c>
      <c r="E3323" s="0" t="n">
        <v>0</v>
      </c>
      <c r="F3323" s="39" t="s">
        <v>1522</v>
      </c>
      <c r="I3323" s="39" t="s">
        <v>136</v>
      </c>
      <c r="U3323" s="0" t="n">
        <v>144</v>
      </c>
      <c r="V3323" s="0" t="n">
        <v>0</v>
      </c>
      <c r="W3323" s="39" t="n">
        <f aca="false">IF(I3323="Male",0,1)</f>
        <v>1</v>
      </c>
      <c r="X3323" s="39" t="n">
        <f aca="false">IF(OR(I3323="DNB",I3323="Dry DNB"),1,0)</f>
        <v>0</v>
      </c>
      <c r="Y3323" s="39" t="n">
        <f aca="false">MATCH(A3323,DATAS,0)</f>
        <v>1</v>
      </c>
      <c r="Z3323" s="39" t="n">
        <f aca="false">IF(AND(E3323&gt;0,OR(AND(B3323&gt;=1,B3323&lt;=6),B3323=10)),1,0)</f>
        <v>0</v>
      </c>
      <c r="AA3323" s="39" t="n">
        <f aca="false">IF(AND(E3323&gt;0,B3323=10),1,0)</f>
        <v>0</v>
      </c>
      <c r="AB3323" s="0" t="str">
        <f aca="false">IF(AND(C3322=C3323,Y3322=Y3323-1),Z3322,"")</f>
        <v/>
      </c>
      <c r="AC3323" s="0" t="str">
        <f aca="false">IF(AND(C3322=C3323,Y3322=Y3323-1),AA3322,"")</f>
        <v/>
      </c>
      <c r="AD3323" s="0" t="str">
        <f aca="false">IF(Y3323=1,"",IF(AND(Z3323=1,AB3323&lt;&gt;1),1,0))</f>
        <v/>
      </c>
      <c r="AE3323" s="0" t="str">
        <f aca="false">IF(Y3323=1,"",IF(AND(AA3323=1,AC3323&lt;&gt;1),1,0))</f>
        <v/>
      </c>
      <c r="AF3323" s="45" t="str">
        <f aca="false">IF(AND(E3323&gt;0,Y3323&lt;1,NOT(AND(C3324=C3323,Y3324=Y3323+1))),INDEX(DATAS,Y3323+1),"")</f>
        <v/>
      </c>
      <c r="AG3323" s="45" t="str">
        <f aca="false">IF(AND(AA3323=1,Y3323&lt;1),IF(AND(C3324=C3323,Y3324=Y3323+1),IF(AA3324=1,"",INDEX(DATAS,Y3323+1)),INDEX(DATAS,Y3323+1)),"")</f>
        <v/>
      </c>
    </row>
    <row r="3324" customFormat="false" ht="15" hidden="false" customHeight="false" outlineLevel="0" collapsed="false">
      <c r="A3324" s="45" t="n">
        <v>46309</v>
      </c>
      <c r="B3324" s="0" t="n">
        <v>13</v>
      </c>
      <c r="C3324" s="0" t="n">
        <v>7753</v>
      </c>
      <c r="E3324" s="0" t="n">
        <v>0</v>
      </c>
      <c r="F3324" s="39" t="s">
        <v>1522</v>
      </c>
      <c r="I3324" s="39" t="s">
        <v>136</v>
      </c>
      <c r="U3324" s="0" t="n">
        <v>144</v>
      </c>
      <c r="V3324" s="0" t="n">
        <v>0</v>
      </c>
      <c r="W3324" s="39" t="n">
        <f aca="false">IF(I3324="Male",0,1)</f>
        <v>1</v>
      </c>
      <c r="X3324" s="39" t="n">
        <f aca="false">IF(OR(I3324="DNB",I3324="Dry DNB"),1,0)</f>
        <v>0</v>
      </c>
      <c r="Y3324" s="39" t="n">
        <f aca="false">MATCH(A3324,DATAS,0)</f>
        <v>1</v>
      </c>
      <c r="Z3324" s="39" t="n">
        <f aca="false">IF(AND(E3324&gt;0,OR(AND(B3324&gt;=1,B3324&lt;=6),B3324=10)),1,0)</f>
        <v>0</v>
      </c>
      <c r="AA3324" s="39" t="n">
        <f aca="false">IF(AND(E3324&gt;0,B3324=10),1,0)</f>
        <v>0</v>
      </c>
      <c r="AB3324" s="0" t="str">
        <f aca="false">IF(AND(C3323=C3324,Y3323=Y3324-1),Z3323,"")</f>
        <v/>
      </c>
      <c r="AC3324" s="0" t="str">
        <f aca="false">IF(AND(C3323=C3324,Y3323=Y3324-1),AA3323,"")</f>
        <v/>
      </c>
      <c r="AD3324" s="0" t="str">
        <f aca="false">IF(Y3324=1,"",IF(AND(Z3324=1,AB3324&lt;&gt;1),1,0))</f>
        <v/>
      </c>
      <c r="AE3324" s="0" t="str">
        <f aca="false">IF(Y3324=1,"",IF(AND(AA3324=1,AC3324&lt;&gt;1),1,0))</f>
        <v/>
      </c>
      <c r="AF3324" s="45" t="str">
        <f aca="false">IF(AND(E3324&gt;0,Y3324&lt;1,NOT(AND(C3325=C3324,Y3325=Y3324+1))),INDEX(DATAS,Y3324+1),"")</f>
        <v/>
      </c>
      <c r="AG3324" s="45" t="str">
        <f aca="false">IF(AND(AA3324=1,Y3324&lt;1),IF(AND(C3325=C3324,Y3325=Y3324+1),IF(AA3325=1,"",INDEX(DATAS,Y3324+1)),INDEX(DATAS,Y3324+1)),"")</f>
        <v/>
      </c>
    </row>
    <row r="3325" customFormat="false" ht="15" hidden="false" customHeight="false" outlineLevel="0" collapsed="false">
      <c r="A3325" s="45" t="n">
        <v>46309</v>
      </c>
      <c r="B3325" s="0" t="n">
        <v>13</v>
      </c>
      <c r="C3325" s="0" t="n">
        <v>7754</v>
      </c>
      <c r="E3325" s="0" t="n">
        <v>0</v>
      </c>
      <c r="F3325" s="39" t="s">
        <v>1522</v>
      </c>
      <c r="I3325" s="39" t="s">
        <v>136</v>
      </c>
      <c r="U3325" s="0" t="n">
        <v>144</v>
      </c>
      <c r="V3325" s="0" t="n">
        <v>0</v>
      </c>
      <c r="W3325" s="39" t="n">
        <f aca="false">IF(I3325="Male",0,1)</f>
        <v>1</v>
      </c>
      <c r="X3325" s="39" t="n">
        <f aca="false">IF(OR(I3325="DNB",I3325="Dry DNB"),1,0)</f>
        <v>0</v>
      </c>
      <c r="Y3325" s="39" t="n">
        <f aca="false">MATCH(A3325,DATAS,0)</f>
        <v>1</v>
      </c>
      <c r="Z3325" s="39" t="n">
        <f aca="false">IF(AND(E3325&gt;0,OR(AND(B3325&gt;=1,B3325&lt;=6),B3325=10)),1,0)</f>
        <v>0</v>
      </c>
      <c r="AA3325" s="39" t="n">
        <f aca="false">IF(AND(E3325&gt;0,B3325=10),1,0)</f>
        <v>0</v>
      </c>
      <c r="AB3325" s="0" t="str">
        <f aca="false">IF(AND(C3324=C3325,Y3324=Y3325-1),Z3324,"")</f>
        <v/>
      </c>
      <c r="AC3325" s="0" t="str">
        <f aca="false">IF(AND(C3324=C3325,Y3324=Y3325-1),AA3324,"")</f>
        <v/>
      </c>
      <c r="AD3325" s="0" t="str">
        <f aca="false">IF(Y3325=1,"",IF(AND(Z3325=1,AB3325&lt;&gt;1),1,0))</f>
        <v/>
      </c>
      <c r="AE3325" s="0" t="str">
        <f aca="false">IF(Y3325=1,"",IF(AND(AA3325=1,AC3325&lt;&gt;1),1,0))</f>
        <v/>
      </c>
      <c r="AF3325" s="45" t="str">
        <f aca="false">IF(AND(E3325&gt;0,Y3325&lt;1,NOT(AND(C3326=C3325,Y3326=Y3325+1))),INDEX(DATAS,Y3325+1),"")</f>
        <v/>
      </c>
      <c r="AG3325" s="45" t="str">
        <f aca="false">IF(AND(AA3325=1,Y3325&lt;1),IF(AND(C3326=C3325,Y3326=Y3325+1),IF(AA3326=1,"",INDEX(DATAS,Y3325+1)),INDEX(DATAS,Y3325+1)),"")</f>
        <v/>
      </c>
    </row>
    <row r="3326" customFormat="false" ht="15" hidden="false" customHeight="false" outlineLevel="0" collapsed="false">
      <c r="A3326" s="45" t="n">
        <v>46309</v>
      </c>
      <c r="B3326" s="0" t="n">
        <v>13</v>
      </c>
      <c r="C3326" s="0" t="n">
        <v>7755</v>
      </c>
      <c r="E3326" s="0" t="n">
        <v>0</v>
      </c>
      <c r="F3326" s="39" t="s">
        <v>1523</v>
      </c>
      <c r="I3326" s="39" t="s">
        <v>136</v>
      </c>
      <c r="U3326" s="0" t="n">
        <v>143</v>
      </c>
      <c r="V3326" s="0" t="n">
        <v>0</v>
      </c>
      <c r="W3326" s="39" t="n">
        <f aca="false">IF(I3326="Male",0,1)</f>
        <v>1</v>
      </c>
      <c r="X3326" s="39" t="n">
        <f aca="false">IF(OR(I3326="DNB",I3326="Dry DNB"),1,0)</f>
        <v>0</v>
      </c>
      <c r="Y3326" s="39" t="n">
        <f aca="false">MATCH(A3326,DATAS,0)</f>
        <v>1</v>
      </c>
      <c r="Z3326" s="39" t="n">
        <f aca="false">IF(AND(E3326&gt;0,OR(AND(B3326&gt;=1,B3326&lt;=6),B3326=10)),1,0)</f>
        <v>0</v>
      </c>
      <c r="AA3326" s="39" t="n">
        <f aca="false">IF(AND(E3326&gt;0,B3326=10),1,0)</f>
        <v>0</v>
      </c>
      <c r="AB3326" s="0" t="str">
        <f aca="false">IF(AND(C3325=C3326,Y3325=Y3326-1),Z3325,"")</f>
        <v/>
      </c>
      <c r="AC3326" s="0" t="str">
        <f aca="false">IF(AND(C3325=C3326,Y3325=Y3326-1),AA3325,"")</f>
        <v/>
      </c>
      <c r="AD3326" s="0" t="str">
        <f aca="false">IF(Y3326=1,"",IF(AND(Z3326=1,AB3326&lt;&gt;1),1,0))</f>
        <v/>
      </c>
      <c r="AE3326" s="0" t="str">
        <f aca="false">IF(Y3326=1,"",IF(AND(AA3326=1,AC3326&lt;&gt;1),1,0))</f>
        <v/>
      </c>
      <c r="AF3326" s="45" t="str">
        <f aca="false">IF(AND(E3326&gt;0,Y3326&lt;1,NOT(AND(C3327=C3326,Y3327=Y3326+1))),INDEX(DATAS,Y3326+1),"")</f>
        <v/>
      </c>
      <c r="AG3326" s="45" t="str">
        <f aca="false">IF(AND(AA3326=1,Y3326&lt;1),IF(AND(C3327=C3326,Y3327=Y3326+1),IF(AA3327=1,"",INDEX(DATAS,Y3326+1)),INDEX(DATAS,Y3326+1)),"")</f>
        <v/>
      </c>
    </row>
    <row r="3327" customFormat="false" ht="15" hidden="false" customHeight="false" outlineLevel="0" collapsed="false">
      <c r="A3327" s="45" t="n">
        <v>46309</v>
      </c>
      <c r="B3327" s="0" t="n">
        <v>13</v>
      </c>
      <c r="C3327" s="0" t="n">
        <v>7756</v>
      </c>
      <c r="E3327" s="0" t="n">
        <v>0</v>
      </c>
      <c r="F3327" s="39" t="s">
        <v>1523</v>
      </c>
      <c r="I3327" s="39" t="s">
        <v>136</v>
      </c>
      <c r="U3327" s="0" t="n">
        <v>143</v>
      </c>
      <c r="V3327" s="0" t="n">
        <v>0</v>
      </c>
      <c r="W3327" s="39" t="n">
        <f aca="false">IF(I3327="Male",0,1)</f>
        <v>1</v>
      </c>
      <c r="X3327" s="39" t="n">
        <f aca="false">IF(OR(I3327="DNB",I3327="Dry DNB"),1,0)</f>
        <v>0</v>
      </c>
      <c r="Y3327" s="39" t="n">
        <f aca="false">MATCH(A3327,DATAS,0)</f>
        <v>1</v>
      </c>
      <c r="Z3327" s="39" t="n">
        <f aca="false">IF(AND(E3327&gt;0,OR(AND(B3327&gt;=1,B3327&lt;=6),B3327=10)),1,0)</f>
        <v>0</v>
      </c>
      <c r="AA3327" s="39" t="n">
        <f aca="false">IF(AND(E3327&gt;0,B3327=10),1,0)</f>
        <v>0</v>
      </c>
      <c r="AB3327" s="0" t="str">
        <f aca="false">IF(AND(C3326=C3327,Y3326=Y3327-1),Z3326,"")</f>
        <v/>
      </c>
      <c r="AC3327" s="0" t="str">
        <f aca="false">IF(AND(C3326=C3327,Y3326=Y3327-1),AA3326,"")</f>
        <v/>
      </c>
      <c r="AD3327" s="0" t="str">
        <f aca="false">IF(Y3327=1,"",IF(AND(Z3327=1,AB3327&lt;&gt;1),1,0))</f>
        <v/>
      </c>
      <c r="AE3327" s="0" t="str">
        <f aca="false">IF(Y3327=1,"",IF(AND(AA3327=1,AC3327&lt;&gt;1),1,0))</f>
        <v/>
      </c>
      <c r="AF3327" s="45" t="str">
        <f aca="false">IF(AND(E3327&gt;0,Y3327&lt;1,NOT(AND(C3328=C3327,Y3328=Y3327+1))),INDEX(DATAS,Y3327+1),"")</f>
        <v/>
      </c>
      <c r="AG3327" s="45" t="str">
        <f aca="false">IF(AND(AA3327=1,Y3327&lt;1),IF(AND(C3328=C3327,Y3328=Y3327+1),IF(AA3328=1,"",INDEX(DATAS,Y3327+1)),INDEX(DATAS,Y3327+1)),"")</f>
        <v/>
      </c>
    </row>
    <row r="3328" customFormat="false" ht="15" hidden="false" customHeight="false" outlineLevel="0" collapsed="false">
      <c r="A3328" s="45" t="n">
        <v>46309</v>
      </c>
      <c r="B3328" s="0" t="n">
        <v>13</v>
      </c>
      <c r="C3328" s="0" t="n">
        <v>7759</v>
      </c>
      <c r="E3328" s="0" t="n">
        <v>0</v>
      </c>
      <c r="F3328" s="39" t="s">
        <v>1524</v>
      </c>
      <c r="I3328" s="39" t="s">
        <v>136</v>
      </c>
      <c r="U3328" s="0" t="n">
        <v>142</v>
      </c>
      <c r="V3328" s="0" t="n">
        <v>0</v>
      </c>
      <c r="W3328" s="39" t="n">
        <f aca="false">IF(I3328="Male",0,1)</f>
        <v>1</v>
      </c>
      <c r="X3328" s="39" t="n">
        <f aca="false">IF(OR(I3328="DNB",I3328="Dry DNB"),1,0)</f>
        <v>0</v>
      </c>
      <c r="Y3328" s="39" t="n">
        <f aca="false">MATCH(A3328,DATAS,0)</f>
        <v>1</v>
      </c>
      <c r="Z3328" s="39" t="n">
        <f aca="false">IF(AND(E3328&gt;0,OR(AND(B3328&gt;=1,B3328&lt;=6),B3328=10)),1,0)</f>
        <v>0</v>
      </c>
      <c r="AA3328" s="39" t="n">
        <f aca="false">IF(AND(E3328&gt;0,B3328=10),1,0)</f>
        <v>0</v>
      </c>
      <c r="AB3328" s="0" t="str">
        <f aca="false">IF(AND(C3327=C3328,Y3327=Y3328-1),Z3327,"")</f>
        <v/>
      </c>
      <c r="AC3328" s="0" t="str">
        <f aca="false">IF(AND(C3327=C3328,Y3327=Y3328-1),AA3327,"")</f>
        <v/>
      </c>
      <c r="AD3328" s="0" t="str">
        <f aca="false">IF(Y3328=1,"",IF(AND(Z3328=1,AB3328&lt;&gt;1),1,0))</f>
        <v/>
      </c>
      <c r="AE3328" s="0" t="str">
        <f aca="false">IF(Y3328=1,"",IF(AND(AA3328=1,AC3328&lt;&gt;1),1,0))</f>
        <v/>
      </c>
      <c r="AF3328" s="45" t="str">
        <f aca="false">IF(AND(E3328&gt;0,Y3328&lt;1,NOT(AND(C3329=C3328,Y3329=Y3328+1))),INDEX(DATAS,Y3328+1),"")</f>
        <v/>
      </c>
      <c r="AG3328" s="45" t="str">
        <f aca="false">IF(AND(AA3328=1,Y3328&lt;1),IF(AND(C3329=C3328,Y3329=Y3328+1),IF(AA3329=1,"",INDEX(DATAS,Y3328+1)),INDEX(DATAS,Y3328+1)),"")</f>
        <v/>
      </c>
    </row>
    <row r="3329" customFormat="false" ht="15" hidden="false" customHeight="false" outlineLevel="0" collapsed="false">
      <c r="A3329" s="45" t="n">
        <v>46309</v>
      </c>
      <c r="B3329" s="0" t="n">
        <v>13</v>
      </c>
      <c r="C3329" s="0" t="n">
        <v>7760</v>
      </c>
      <c r="E3329" s="0" t="n">
        <v>0</v>
      </c>
      <c r="F3329" s="39" t="s">
        <v>1524</v>
      </c>
      <c r="I3329" s="39" t="s">
        <v>136</v>
      </c>
      <c r="U3329" s="0" t="n">
        <v>142</v>
      </c>
      <c r="V3329" s="0" t="n">
        <v>0</v>
      </c>
      <c r="W3329" s="39" t="n">
        <f aca="false">IF(I3329="Male",0,1)</f>
        <v>1</v>
      </c>
      <c r="X3329" s="39" t="n">
        <f aca="false">IF(OR(I3329="DNB",I3329="Dry DNB"),1,0)</f>
        <v>0</v>
      </c>
      <c r="Y3329" s="39" t="n">
        <f aca="false">MATCH(A3329,DATAS,0)</f>
        <v>1</v>
      </c>
      <c r="Z3329" s="39" t="n">
        <f aca="false">IF(AND(E3329&gt;0,OR(AND(B3329&gt;=1,B3329&lt;=6),B3329=10)),1,0)</f>
        <v>0</v>
      </c>
      <c r="AA3329" s="39" t="n">
        <f aca="false">IF(AND(E3329&gt;0,B3329=10),1,0)</f>
        <v>0</v>
      </c>
      <c r="AB3329" s="0" t="str">
        <f aca="false">IF(AND(C3328=C3329,Y3328=Y3329-1),Z3328,"")</f>
        <v/>
      </c>
      <c r="AC3329" s="0" t="str">
        <f aca="false">IF(AND(C3328=C3329,Y3328=Y3329-1),AA3328,"")</f>
        <v/>
      </c>
      <c r="AD3329" s="0" t="str">
        <f aca="false">IF(Y3329=1,"",IF(AND(Z3329=1,AB3329&lt;&gt;1),1,0))</f>
        <v/>
      </c>
      <c r="AE3329" s="0" t="str">
        <f aca="false">IF(Y3329=1,"",IF(AND(AA3329=1,AC3329&lt;&gt;1),1,0))</f>
        <v/>
      </c>
      <c r="AF3329" s="45" t="str">
        <f aca="false">IF(AND(E3329&gt;0,Y3329&lt;1,NOT(AND(C3330=C3329,Y3330=Y3329+1))),INDEX(DATAS,Y3329+1),"")</f>
        <v/>
      </c>
      <c r="AG3329" s="45" t="str">
        <f aca="false">IF(AND(AA3329=1,Y3329&lt;1),IF(AND(C3330=C3329,Y3330=Y3329+1),IF(AA3330=1,"",INDEX(DATAS,Y3329+1)),INDEX(DATAS,Y3329+1)),"")</f>
        <v/>
      </c>
    </row>
    <row r="3330" customFormat="false" ht="15" hidden="false" customHeight="false" outlineLevel="0" collapsed="false">
      <c r="A3330" s="45" t="n">
        <v>46309</v>
      </c>
      <c r="B3330" s="0" t="n">
        <v>13</v>
      </c>
      <c r="C3330" s="0" t="n">
        <v>7761</v>
      </c>
      <c r="E3330" s="0" t="n">
        <v>0</v>
      </c>
      <c r="F3330" s="39" t="s">
        <v>1524</v>
      </c>
      <c r="I3330" s="39" t="s">
        <v>136</v>
      </c>
      <c r="U3330" s="0" t="n">
        <v>142</v>
      </c>
      <c r="V3330" s="0" t="n">
        <v>0</v>
      </c>
      <c r="W3330" s="39" t="n">
        <f aca="false">IF(I3330="Male",0,1)</f>
        <v>1</v>
      </c>
      <c r="X3330" s="39" t="n">
        <f aca="false">IF(OR(I3330="DNB",I3330="Dry DNB"),1,0)</f>
        <v>0</v>
      </c>
      <c r="Y3330" s="39" t="n">
        <f aca="false">MATCH(A3330,DATAS,0)</f>
        <v>1</v>
      </c>
      <c r="Z3330" s="39" t="n">
        <f aca="false">IF(AND(E3330&gt;0,OR(AND(B3330&gt;=1,B3330&lt;=6),B3330=10)),1,0)</f>
        <v>0</v>
      </c>
      <c r="AA3330" s="39" t="n">
        <f aca="false">IF(AND(E3330&gt;0,B3330=10),1,0)</f>
        <v>0</v>
      </c>
      <c r="AB3330" s="0" t="str">
        <f aca="false">IF(AND(C3329=C3330,Y3329=Y3330-1),Z3329,"")</f>
        <v/>
      </c>
      <c r="AC3330" s="0" t="str">
        <f aca="false">IF(AND(C3329=C3330,Y3329=Y3330-1),AA3329,"")</f>
        <v/>
      </c>
      <c r="AD3330" s="0" t="str">
        <f aca="false">IF(Y3330=1,"",IF(AND(Z3330=1,AB3330&lt;&gt;1),1,0))</f>
        <v/>
      </c>
      <c r="AE3330" s="0" t="str">
        <f aca="false">IF(Y3330=1,"",IF(AND(AA3330=1,AC3330&lt;&gt;1),1,0))</f>
        <v/>
      </c>
      <c r="AF3330" s="45" t="str">
        <f aca="false">IF(AND(E3330&gt;0,Y3330&lt;1,NOT(AND(C3331=C3330,Y3331=Y3330+1))),INDEX(DATAS,Y3330+1),"")</f>
        <v/>
      </c>
      <c r="AG3330" s="45" t="str">
        <f aca="false">IF(AND(AA3330=1,Y3330&lt;1),IF(AND(C3331=C3330,Y3331=Y3330+1),IF(AA3331=1,"",INDEX(DATAS,Y3330+1)),INDEX(DATAS,Y3330+1)),"")</f>
        <v/>
      </c>
    </row>
    <row r="3331" customFormat="false" ht="15" hidden="false" customHeight="false" outlineLevel="0" collapsed="false">
      <c r="A3331" s="45" t="n">
        <v>46309</v>
      </c>
      <c r="B3331" s="0" t="n">
        <v>13</v>
      </c>
      <c r="C3331" s="0" t="n">
        <v>7762</v>
      </c>
      <c r="E3331" s="0" t="n">
        <v>0</v>
      </c>
      <c r="F3331" s="39" t="s">
        <v>1524</v>
      </c>
      <c r="I3331" s="39" t="s">
        <v>136</v>
      </c>
      <c r="U3331" s="0" t="n">
        <v>142</v>
      </c>
      <c r="V3331" s="0" t="n">
        <v>0</v>
      </c>
      <c r="W3331" s="39" t="n">
        <f aca="false">IF(I3331="Male",0,1)</f>
        <v>1</v>
      </c>
      <c r="X3331" s="39" t="n">
        <f aca="false">IF(OR(I3331="DNB",I3331="Dry DNB"),1,0)</f>
        <v>0</v>
      </c>
      <c r="Y3331" s="39" t="n">
        <f aca="false">MATCH(A3331,DATAS,0)</f>
        <v>1</v>
      </c>
      <c r="Z3331" s="39" t="n">
        <f aca="false">IF(AND(E3331&gt;0,OR(AND(B3331&gt;=1,B3331&lt;=6),B3331=10)),1,0)</f>
        <v>0</v>
      </c>
      <c r="AA3331" s="39" t="n">
        <f aca="false">IF(AND(E3331&gt;0,B3331=10),1,0)</f>
        <v>0</v>
      </c>
      <c r="AB3331" s="0" t="str">
        <f aca="false">IF(AND(C3330=C3331,Y3330=Y3331-1),Z3330,"")</f>
        <v/>
      </c>
      <c r="AC3331" s="0" t="str">
        <f aca="false">IF(AND(C3330=C3331,Y3330=Y3331-1),AA3330,"")</f>
        <v/>
      </c>
      <c r="AD3331" s="0" t="str">
        <f aca="false">IF(Y3331=1,"",IF(AND(Z3331=1,AB3331&lt;&gt;1),1,0))</f>
        <v/>
      </c>
      <c r="AE3331" s="0" t="str">
        <f aca="false">IF(Y3331=1,"",IF(AND(AA3331=1,AC3331&lt;&gt;1),1,0))</f>
        <v/>
      </c>
      <c r="AF3331" s="45" t="str">
        <f aca="false">IF(AND(E3331&gt;0,Y3331&lt;1,NOT(AND(C3332=C3331,Y3332=Y3331+1))),INDEX(DATAS,Y3331+1),"")</f>
        <v/>
      </c>
      <c r="AG3331" s="45" t="str">
        <f aca="false">IF(AND(AA3331=1,Y3331&lt;1),IF(AND(C3332=C3331,Y3332=Y3331+1),IF(AA3332=1,"",INDEX(DATAS,Y3331+1)),INDEX(DATAS,Y3331+1)),"")</f>
        <v/>
      </c>
    </row>
    <row r="3332" customFormat="false" ht="15" hidden="false" customHeight="false" outlineLevel="0" collapsed="false">
      <c r="A3332" s="45" t="n">
        <v>46309</v>
      </c>
      <c r="B3332" s="0" t="n">
        <v>13</v>
      </c>
      <c r="C3332" s="0" t="n">
        <v>7763</v>
      </c>
      <c r="E3332" s="0" t="n">
        <v>0</v>
      </c>
      <c r="F3332" s="39" t="s">
        <v>1525</v>
      </c>
      <c r="I3332" s="39" t="s">
        <v>136</v>
      </c>
      <c r="U3332" s="0" t="n">
        <v>141</v>
      </c>
      <c r="V3332" s="0" t="n">
        <v>0</v>
      </c>
      <c r="W3332" s="39" t="n">
        <f aca="false">IF(I3332="Male",0,1)</f>
        <v>1</v>
      </c>
      <c r="X3332" s="39" t="n">
        <f aca="false">IF(OR(I3332="DNB",I3332="Dry DNB"),1,0)</f>
        <v>0</v>
      </c>
      <c r="Y3332" s="39" t="n">
        <f aca="false">MATCH(A3332,DATAS,0)</f>
        <v>1</v>
      </c>
      <c r="Z3332" s="39" t="n">
        <f aca="false">IF(AND(E3332&gt;0,OR(AND(B3332&gt;=1,B3332&lt;=6),B3332=10)),1,0)</f>
        <v>0</v>
      </c>
      <c r="AA3332" s="39" t="n">
        <f aca="false">IF(AND(E3332&gt;0,B3332=10),1,0)</f>
        <v>0</v>
      </c>
      <c r="AB3332" s="0" t="str">
        <f aca="false">IF(AND(C3331=C3332,Y3331=Y3332-1),Z3331,"")</f>
        <v/>
      </c>
      <c r="AC3332" s="0" t="str">
        <f aca="false">IF(AND(C3331=C3332,Y3331=Y3332-1),AA3331,"")</f>
        <v/>
      </c>
      <c r="AD3332" s="0" t="str">
        <f aca="false">IF(Y3332=1,"",IF(AND(Z3332=1,AB3332&lt;&gt;1),1,0))</f>
        <v/>
      </c>
      <c r="AE3332" s="0" t="str">
        <f aca="false">IF(Y3332=1,"",IF(AND(AA3332=1,AC3332&lt;&gt;1),1,0))</f>
        <v/>
      </c>
      <c r="AF3332" s="45" t="str">
        <f aca="false">IF(AND(E3332&gt;0,Y3332&lt;1,NOT(AND(C3333=C3332,Y3333=Y3332+1))),INDEX(DATAS,Y3332+1),"")</f>
        <v/>
      </c>
      <c r="AG3332" s="45" t="str">
        <f aca="false">IF(AND(AA3332=1,Y3332&lt;1),IF(AND(C3333=C3332,Y3333=Y3332+1),IF(AA3333=1,"",INDEX(DATAS,Y3332+1)),INDEX(DATAS,Y3332+1)),"")</f>
        <v/>
      </c>
    </row>
    <row r="3333" customFormat="false" ht="15" hidden="false" customHeight="false" outlineLevel="0" collapsed="false">
      <c r="A3333" s="45" t="n">
        <v>46309</v>
      </c>
      <c r="B3333" s="0" t="n">
        <v>13</v>
      </c>
      <c r="C3333" s="0" t="n">
        <v>7764</v>
      </c>
      <c r="E3333" s="0" t="n">
        <v>0</v>
      </c>
      <c r="F3333" s="39" t="s">
        <v>1525</v>
      </c>
      <c r="I3333" s="39" t="s">
        <v>136</v>
      </c>
      <c r="U3333" s="0" t="n">
        <v>141</v>
      </c>
      <c r="V3333" s="0" t="n">
        <v>0</v>
      </c>
      <c r="W3333" s="39" t="n">
        <f aca="false">IF(I3333="Male",0,1)</f>
        <v>1</v>
      </c>
      <c r="X3333" s="39" t="n">
        <f aca="false">IF(OR(I3333="DNB",I3333="Dry DNB"),1,0)</f>
        <v>0</v>
      </c>
      <c r="Y3333" s="39" t="n">
        <f aca="false">MATCH(A3333,DATAS,0)</f>
        <v>1</v>
      </c>
      <c r="Z3333" s="39" t="n">
        <f aca="false">IF(AND(E3333&gt;0,OR(AND(B3333&gt;=1,B3333&lt;=6),B3333=10)),1,0)</f>
        <v>0</v>
      </c>
      <c r="AA3333" s="39" t="n">
        <f aca="false">IF(AND(E3333&gt;0,B3333=10),1,0)</f>
        <v>0</v>
      </c>
      <c r="AB3333" s="0" t="str">
        <f aca="false">IF(AND(C3332=C3333,Y3332=Y3333-1),Z3332,"")</f>
        <v/>
      </c>
      <c r="AC3333" s="0" t="str">
        <f aca="false">IF(AND(C3332=C3333,Y3332=Y3333-1),AA3332,"")</f>
        <v/>
      </c>
      <c r="AD3333" s="0" t="str">
        <f aca="false">IF(Y3333=1,"",IF(AND(Z3333=1,AB3333&lt;&gt;1),1,0))</f>
        <v/>
      </c>
      <c r="AE3333" s="0" t="str">
        <f aca="false">IF(Y3333=1,"",IF(AND(AA3333=1,AC3333&lt;&gt;1),1,0))</f>
        <v/>
      </c>
      <c r="AF3333" s="45" t="str">
        <f aca="false">IF(AND(E3333&gt;0,Y3333&lt;1,NOT(AND(C3334=C3333,Y3334=Y3333+1))),INDEX(DATAS,Y3333+1),"")</f>
        <v/>
      </c>
      <c r="AG3333" s="45" t="str">
        <f aca="false">IF(AND(AA3333=1,Y3333&lt;1),IF(AND(C3334=C3333,Y3334=Y3333+1),IF(AA3334=1,"",INDEX(DATAS,Y3333+1)),INDEX(DATAS,Y3333+1)),"")</f>
        <v/>
      </c>
    </row>
    <row r="3334" customFormat="false" ht="15" hidden="false" customHeight="false" outlineLevel="0" collapsed="false">
      <c r="A3334" s="45" t="n">
        <v>46309</v>
      </c>
      <c r="B3334" s="0" t="n">
        <v>13</v>
      </c>
      <c r="C3334" s="0" t="n">
        <v>7765</v>
      </c>
      <c r="E3334" s="0" t="n">
        <v>0</v>
      </c>
      <c r="F3334" s="39" t="s">
        <v>1525</v>
      </c>
      <c r="I3334" s="39" t="s">
        <v>136</v>
      </c>
      <c r="U3334" s="0" t="n">
        <v>141</v>
      </c>
      <c r="V3334" s="0" t="n">
        <v>0</v>
      </c>
      <c r="W3334" s="39" t="n">
        <f aca="false">IF(I3334="Male",0,1)</f>
        <v>1</v>
      </c>
      <c r="X3334" s="39" t="n">
        <f aca="false">IF(OR(I3334="DNB",I3334="Dry DNB"),1,0)</f>
        <v>0</v>
      </c>
      <c r="Y3334" s="39" t="n">
        <f aca="false">MATCH(A3334,DATAS,0)</f>
        <v>1</v>
      </c>
      <c r="Z3334" s="39" t="n">
        <f aca="false">IF(AND(E3334&gt;0,OR(AND(B3334&gt;=1,B3334&lt;=6),B3334=10)),1,0)</f>
        <v>0</v>
      </c>
      <c r="AA3334" s="39" t="n">
        <f aca="false">IF(AND(E3334&gt;0,B3334=10),1,0)</f>
        <v>0</v>
      </c>
      <c r="AB3334" s="0" t="str">
        <f aca="false">IF(AND(C3333=C3334,Y3333=Y3334-1),Z3333,"")</f>
        <v/>
      </c>
      <c r="AC3334" s="0" t="str">
        <f aca="false">IF(AND(C3333=C3334,Y3333=Y3334-1),AA3333,"")</f>
        <v/>
      </c>
      <c r="AD3334" s="0" t="str">
        <f aca="false">IF(Y3334=1,"",IF(AND(Z3334=1,AB3334&lt;&gt;1),1,0))</f>
        <v/>
      </c>
      <c r="AE3334" s="0" t="str">
        <f aca="false">IF(Y3334=1,"",IF(AND(AA3334=1,AC3334&lt;&gt;1),1,0))</f>
        <v/>
      </c>
      <c r="AF3334" s="45" t="str">
        <f aca="false">IF(AND(E3334&gt;0,Y3334&lt;1,NOT(AND(C3335=C3334,Y3335=Y3334+1))),INDEX(DATAS,Y3334+1),"")</f>
        <v/>
      </c>
      <c r="AG3334" s="45" t="str">
        <f aca="false">IF(AND(AA3334=1,Y3334&lt;1),IF(AND(C3335=C3334,Y3335=Y3334+1),IF(AA3335=1,"",INDEX(DATAS,Y3334+1)),INDEX(DATAS,Y3334+1)),"")</f>
        <v/>
      </c>
    </row>
    <row r="3335" customFormat="false" ht="15" hidden="false" customHeight="false" outlineLevel="0" collapsed="false">
      <c r="A3335" s="45" t="n">
        <v>46309</v>
      </c>
      <c r="B3335" s="0" t="n">
        <v>13</v>
      </c>
      <c r="C3335" s="0" t="n">
        <v>7766</v>
      </c>
      <c r="E3335" s="0" t="n">
        <v>0</v>
      </c>
      <c r="F3335" s="39" t="s">
        <v>1525</v>
      </c>
      <c r="I3335" s="39" t="s">
        <v>136</v>
      </c>
      <c r="U3335" s="0" t="n">
        <v>141</v>
      </c>
      <c r="V3335" s="0" t="n">
        <v>0</v>
      </c>
      <c r="W3335" s="39" t="n">
        <f aca="false">IF(I3335="Male",0,1)</f>
        <v>1</v>
      </c>
      <c r="X3335" s="39" t="n">
        <f aca="false">IF(OR(I3335="DNB",I3335="Dry DNB"),1,0)</f>
        <v>0</v>
      </c>
      <c r="Y3335" s="39" t="n">
        <f aca="false">MATCH(A3335,DATAS,0)</f>
        <v>1</v>
      </c>
      <c r="Z3335" s="39" t="n">
        <f aca="false">IF(AND(E3335&gt;0,OR(AND(B3335&gt;=1,B3335&lt;=6),B3335=10)),1,0)</f>
        <v>0</v>
      </c>
      <c r="AA3335" s="39" t="n">
        <f aca="false">IF(AND(E3335&gt;0,B3335=10),1,0)</f>
        <v>0</v>
      </c>
      <c r="AB3335" s="0" t="str">
        <f aca="false">IF(AND(C3334=C3335,Y3334=Y3335-1),Z3334,"")</f>
        <v/>
      </c>
      <c r="AC3335" s="0" t="str">
        <f aca="false">IF(AND(C3334=C3335,Y3334=Y3335-1),AA3334,"")</f>
        <v/>
      </c>
      <c r="AD3335" s="0" t="str">
        <f aca="false">IF(Y3335=1,"",IF(AND(Z3335=1,AB3335&lt;&gt;1),1,0))</f>
        <v/>
      </c>
      <c r="AE3335" s="0" t="str">
        <f aca="false">IF(Y3335=1,"",IF(AND(AA3335=1,AC3335&lt;&gt;1),1,0))</f>
        <v/>
      </c>
      <c r="AF3335" s="45" t="str">
        <f aca="false">IF(AND(E3335&gt;0,Y3335&lt;1,NOT(AND(C3336=C3335,Y3336=Y3335+1))),INDEX(DATAS,Y3335+1),"")</f>
        <v/>
      </c>
      <c r="AG3335" s="45" t="str">
        <f aca="false">IF(AND(AA3335=1,Y3335&lt;1),IF(AND(C3336=C3335,Y3336=Y3335+1),IF(AA3336=1,"",INDEX(DATAS,Y3335+1)),INDEX(DATAS,Y3335+1)),"")</f>
        <v/>
      </c>
    </row>
    <row r="3336" customFormat="false" ht="15" hidden="false" customHeight="false" outlineLevel="0" collapsed="false">
      <c r="A3336" s="45" t="n">
        <v>46309</v>
      </c>
      <c r="B3336" s="0" t="n">
        <v>13</v>
      </c>
      <c r="C3336" s="0" t="n">
        <v>7767</v>
      </c>
      <c r="E3336" s="0" t="n">
        <v>0</v>
      </c>
      <c r="F3336" s="39" t="s">
        <v>1526</v>
      </c>
      <c r="I3336" s="39" t="s">
        <v>136</v>
      </c>
      <c r="U3336" s="0" t="n">
        <v>140</v>
      </c>
      <c r="V3336" s="0" t="n">
        <v>0</v>
      </c>
      <c r="W3336" s="39" t="n">
        <f aca="false">IF(I3336="Male",0,1)</f>
        <v>1</v>
      </c>
      <c r="X3336" s="39" t="n">
        <f aca="false">IF(OR(I3336="DNB",I3336="Dry DNB"),1,0)</f>
        <v>0</v>
      </c>
      <c r="Y3336" s="39" t="n">
        <f aca="false">MATCH(A3336,DATAS,0)</f>
        <v>1</v>
      </c>
      <c r="Z3336" s="39" t="n">
        <f aca="false">IF(AND(E3336&gt;0,OR(AND(B3336&gt;=1,B3336&lt;=6),B3336=10)),1,0)</f>
        <v>0</v>
      </c>
      <c r="AA3336" s="39" t="n">
        <f aca="false">IF(AND(E3336&gt;0,B3336=10),1,0)</f>
        <v>0</v>
      </c>
      <c r="AB3336" s="0" t="str">
        <f aca="false">IF(AND(C3335=C3336,Y3335=Y3336-1),Z3335,"")</f>
        <v/>
      </c>
      <c r="AC3336" s="0" t="str">
        <f aca="false">IF(AND(C3335=C3336,Y3335=Y3336-1),AA3335,"")</f>
        <v/>
      </c>
      <c r="AD3336" s="0" t="str">
        <f aca="false">IF(Y3336=1,"",IF(AND(Z3336=1,AB3336&lt;&gt;1),1,0))</f>
        <v/>
      </c>
      <c r="AE3336" s="0" t="str">
        <f aca="false">IF(Y3336=1,"",IF(AND(AA3336=1,AC3336&lt;&gt;1),1,0))</f>
        <v/>
      </c>
      <c r="AF3336" s="45" t="str">
        <f aca="false">IF(AND(E3336&gt;0,Y3336&lt;1,NOT(AND(C3337=C3336,Y3337=Y3336+1))),INDEX(DATAS,Y3336+1),"")</f>
        <v/>
      </c>
      <c r="AG3336" s="45" t="str">
        <f aca="false">IF(AND(AA3336=1,Y3336&lt;1),IF(AND(C3337=C3336,Y3337=Y3336+1),IF(AA3337=1,"",INDEX(DATAS,Y3336+1)),INDEX(DATAS,Y3336+1)),"")</f>
        <v/>
      </c>
    </row>
    <row r="3337" customFormat="false" ht="15" hidden="false" customHeight="false" outlineLevel="0" collapsed="false">
      <c r="A3337" s="45" t="n">
        <v>46309</v>
      </c>
      <c r="B3337" s="0" t="n">
        <v>13</v>
      </c>
      <c r="C3337" s="0" t="n">
        <v>7768</v>
      </c>
      <c r="E3337" s="0" t="n">
        <v>0</v>
      </c>
      <c r="F3337" s="39" t="s">
        <v>1526</v>
      </c>
      <c r="I3337" s="39" t="s">
        <v>136</v>
      </c>
      <c r="U3337" s="0" t="n">
        <v>140</v>
      </c>
      <c r="V3337" s="0" t="n">
        <v>0</v>
      </c>
      <c r="W3337" s="39" t="n">
        <f aca="false">IF(I3337="Male",0,1)</f>
        <v>1</v>
      </c>
      <c r="X3337" s="39" t="n">
        <f aca="false">IF(OR(I3337="DNB",I3337="Dry DNB"),1,0)</f>
        <v>0</v>
      </c>
      <c r="Y3337" s="39" t="n">
        <f aca="false">MATCH(A3337,DATAS,0)</f>
        <v>1</v>
      </c>
      <c r="Z3337" s="39" t="n">
        <f aca="false">IF(AND(E3337&gt;0,OR(AND(B3337&gt;=1,B3337&lt;=6),B3337=10)),1,0)</f>
        <v>0</v>
      </c>
      <c r="AA3337" s="39" t="n">
        <f aca="false">IF(AND(E3337&gt;0,B3337=10),1,0)</f>
        <v>0</v>
      </c>
      <c r="AB3337" s="0" t="str">
        <f aca="false">IF(AND(C3336=C3337,Y3336=Y3337-1),Z3336,"")</f>
        <v/>
      </c>
      <c r="AC3337" s="0" t="str">
        <f aca="false">IF(AND(C3336=C3337,Y3336=Y3337-1),AA3336,"")</f>
        <v/>
      </c>
      <c r="AD3337" s="0" t="str">
        <f aca="false">IF(Y3337=1,"",IF(AND(Z3337=1,AB3337&lt;&gt;1),1,0))</f>
        <v/>
      </c>
      <c r="AE3337" s="0" t="str">
        <f aca="false">IF(Y3337=1,"",IF(AND(AA3337=1,AC3337&lt;&gt;1),1,0))</f>
        <v/>
      </c>
      <c r="AF3337" s="45" t="str">
        <f aca="false">IF(AND(E3337&gt;0,Y3337&lt;1,NOT(AND(C3338=C3337,Y3338=Y3337+1))),INDEX(DATAS,Y3337+1),"")</f>
        <v/>
      </c>
      <c r="AG3337" s="45" t="str">
        <f aca="false">IF(AND(AA3337=1,Y3337&lt;1),IF(AND(C3338=C3337,Y3338=Y3337+1),IF(AA3338=1,"",INDEX(DATAS,Y3337+1)),INDEX(DATAS,Y3337+1)),"")</f>
        <v/>
      </c>
    </row>
    <row r="3338" customFormat="false" ht="15" hidden="false" customHeight="false" outlineLevel="0" collapsed="false">
      <c r="A3338" s="45" t="n">
        <v>46309</v>
      </c>
      <c r="B3338" s="0" t="n">
        <v>13</v>
      </c>
      <c r="C3338" s="0" t="n">
        <v>7770</v>
      </c>
      <c r="E3338" s="0" t="n">
        <v>0</v>
      </c>
      <c r="F3338" s="39" t="s">
        <v>1526</v>
      </c>
      <c r="I3338" s="39" t="s">
        <v>136</v>
      </c>
      <c r="U3338" s="0" t="n">
        <v>140</v>
      </c>
      <c r="V3338" s="0" t="n">
        <v>0</v>
      </c>
      <c r="W3338" s="39" t="n">
        <f aca="false">IF(I3338="Male",0,1)</f>
        <v>1</v>
      </c>
      <c r="X3338" s="39" t="n">
        <f aca="false">IF(OR(I3338="DNB",I3338="Dry DNB"),1,0)</f>
        <v>0</v>
      </c>
      <c r="Y3338" s="39" t="n">
        <f aca="false">MATCH(A3338,DATAS,0)</f>
        <v>1</v>
      </c>
      <c r="Z3338" s="39" t="n">
        <f aca="false">IF(AND(E3338&gt;0,OR(AND(B3338&gt;=1,B3338&lt;=6),B3338=10)),1,0)</f>
        <v>0</v>
      </c>
      <c r="AA3338" s="39" t="n">
        <f aca="false">IF(AND(E3338&gt;0,B3338=10),1,0)</f>
        <v>0</v>
      </c>
      <c r="AB3338" s="0" t="str">
        <f aca="false">IF(AND(C3337=C3338,Y3337=Y3338-1),Z3337,"")</f>
        <v/>
      </c>
      <c r="AC3338" s="0" t="str">
        <f aca="false">IF(AND(C3337=C3338,Y3337=Y3338-1),AA3337,"")</f>
        <v/>
      </c>
      <c r="AD3338" s="0" t="str">
        <f aca="false">IF(Y3338=1,"",IF(AND(Z3338=1,AB3338&lt;&gt;1),1,0))</f>
        <v/>
      </c>
      <c r="AE3338" s="0" t="str">
        <f aca="false">IF(Y3338=1,"",IF(AND(AA3338=1,AC3338&lt;&gt;1),1,0))</f>
        <v/>
      </c>
      <c r="AF3338" s="45" t="str">
        <f aca="false">IF(AND(E3338&gt;0,Y3338&lt;1,NOT(AND(C3339=C3338,Y3339=Y3338+1))),INDEX(DATAS,Y3338+1),"")</f>
        <v/>
      </c>
      <c r="AG3338" s="45" t="str">
        <f aca="false">IF(AND(AA3338=1,Y3338&lt;1),IF(AND(C3339=C3338,Y3339=Y3338+1),IF(AA3339=1,"",INDEX(DATAS,Y3338+1)),INDEX(DATAS,Y3338+1)),"")</f>
        <v/>
      </c>
    </row>
    <row r="3339" customFormat="false" ht="15" hidden="false" customHeight="false" outlineLevel="0" collapsed="false">
      <c r="A3339" s="45" t="n">
        <v>46309</v>
      </c>
      <c r="B3339" s="0" t="n">
        <v>13</v>
      </c>
      <c r="C3339" s="0" t="n">
        <v>7771</v>
      </c>
      <c r="E3339" s="0" t="n">
        <v>0</v>
      </c>
      <c r="F3339" s="39" t="s">
        <v>1527</v>
      </c>
      <c r="I3339" s="39" t="s">
        <v>136</v>
      </c>
      <c r="U3339" s="0" t="n">
        <v>138</v>
      </c>
      <c r="V3339" s="0" t="n">
        <v>0</v>
      </c>
      <c r="W3339" s="39" t="n">
        <f aca="false">IF(I3339="Male",0,1)</f>
        <v>1</v>
      </c>
      <c r="X3339" s="39" t="n">
        <f aca="false">IF(OR(I3339="DNB",I3339="Dry DNB"),1,0)</f>
        <v>0</v>
      </c>
      <c r="Y3339" s="39" t="n">
        <f aca="false">MATCH(A3339,DATAS,0)</f>
        <v>1</v>
      </c>
      <c r="Z3339" s="39" t="n">
        <f aca="false">IF(AND(E3339&gt;0,OR(AND(B3339&gt;=1,B3339&lt;=6),B3339=10)),1,0)</f>
        <v>0</v>
      </c>
      <c r="AA3339" s="39" t="n">
        <f aca="false">IF(AND(E3339&gt;0,B3339=10),1,0)</f>
        <v>0</v>
      </c>
      <c r="AB3339" s="0" t="str">
        <f aca="false">IF(AND(C3338=C3339,Y3338=Y3339-1),Z3338,"")</f>
        <v/>
      </c>
      <c r="AC3339" s="0" t="str">
        <f aca="false">IF(AND(C3338=C3339,Y3338=Y3339-1),AA3338,"")</f>
        <v/>
      </c>
      <c r="AD3339" s="0" t="str">
        <f aca="false">IF(Y3339=1,"",IF(AND(Z3339=1,AB3339&lt;&gt;1),1,0))</f>
        <v/>
      </c>
      <c r="AE3339" s="0" t="str">
        <f aca="false">IF(Y3339=1,"",IF(AND(AA3339=1,AC3339&lt;&gt;1),1,0))</f>
        <v/>
      </c>
      <c r="AF3339" s="45" t="str">
        <f aca="false">IF(AND(E3339&gt;0,Y3339&lt;1,NOT(AND(C3340=C3339,Y3340=Y3339+1))),INDEX(DATAS,Y3339+1),"")</f>
        <v/>
      </c>
      <c r="AG3339" s="45" t="str">
        <f aca="false">IF(AND(AA3339=1,Y3339&lt;1),IF(AND(C3340=C3339,Y3340=Y3339+1),IF(AA3340=1,"",INDEX(DATAS,Y3339+1)),INDEX(DATAS,Y3339+1)),"")</f>
        <v/>
      </c>
    </row>
    <row r="3340" customFormat="false" ht="15" hidden="false" customHeight="false" outlineLevel="0" collapsed="false">
      <c r="A3340" s="45" t="n">
        <v>46309</v>
      </c>
      <c r="B3340" s="0" t="n">
        <v>13</v>
      </c>
      <c r="C3340" s="0" t="n">
        <v>7772</v>
      </c>
      <c r="E3340" s="0" t="n">
        <v>0</v>
      </c>
      <c r="F3340" s="39" t="s">
        <v>1528</v>
      </c>
      <c r="I3340" s="39" t="s">
        <v>136</v>
      </c>
      <c r="U3340" s="0" t="n">
        <v>137</v>
      </c>
      <c r="V3340" s="0" t="n">
        <v>0</v>
      </c>
      <c r="W3340" s="39" t="n">
        <f aca="false">IF(I3340="Male",0,1)</f>
        <v>1</v>
      </c>
      <c r="X3340" s="39" t="n">
        <f aca="false">IF(OR(I3340="DNB",I3340="Dry DNB"),1,0)</f>
        <v>0</v>
      </c>
      <c r="Y3340" s="39" t="n">
        <f aca="false">MATCH(A3340,DATAS,0)</f>
        <v>1</v>
      </c>
      <c r="Z3340" s="39" t="n">
        <f aca="false">IF(AND(E3340&gt;0,OR(AND(B3340&gt;=1,B3340&lt;=6),B3340=10)),1,0)</f>
        <v>0</v>
      </c>
      <c r="AA3340" s="39" t="n">
        <f aca="false">IF(AND(E3340&gt;0,B3340=10),1,0)</f>
        <v>0</v>
      </c>
      <c r="AB3340" s="0" t="str">
        <f aca="false">IF(AND(C3339=C3340,Y3339=Y3340-1),Z3339,"")</f>
        <v/>
      </c>
      <c r="AC3340" s="0" t="str">
        <f aca="false">IF(AND(C3339=C3340,Y3339=Y3340-1),AA3339,"")</f>
        <v/>
      </c>
      <c r="AD3340" s="0" t="str">
        <f aca="false">IF(Y3340=1,"",IF(AND(Z3340=1,AB3340&lt;&gt;1),1,0))</f>
        <v/>
      </c>
      <c r="AE3340" s="0" t="str">
        <f aca="false">IF(Y3340=1,"",IF(AND(AA3340=1,AC3340&lt;&gt;1),1,0))</f>
        <v/>
      </c>
      <c r="AF3340" s="45" t="str">
        <f aca="false">IF(AND(E3340&gt;0,Y3340&lt;1,NOT(AND(C3341=C3340,Y3341=Y3340+1))),INDEX(DATAS,Y3340+1),"")</f>
        <v/>
      </c>
      <c r="AG3340" s="45" t="str">
        <f aca="false">IF(AND(AA3340=1,Y3340&lt;1),IF(AND(C3341=C3340,Y3341=Y3340+1),IF(AA3341=1,"",INDEX(DATAS,Y3340+1)),INDEX(DATAS,Y3340+1)),"")</f>
        <v/>
      </c>
    </row>
    <row r="3341" customFormat="false" ht="15" hidden="false" customHeight="false" outlineLevel="0" collapsed="false">
      <c r="A3341" s="45" t="n">
        <v>46309</v>
      </c>
      <c r="B3341" s="0" t="n">
        <v>13</v>
      </c>
      <c r="C3341" s="0" t="n">
        <v>7773</v>
      </c>
      <c r="E3341" s="0" t="n">
        <v>0</v>
      </c>
      <c r="F3341" s="39" t="s">
        <v>1528</v>
      </c>
      <c r="I3341" s="39" t="s">
        <v>136</v>
      </c>
      <c r="U3341" s="0" t="n">
        <v>137</v>
      </c>
      <c r="V3341" s="0" t="n">
        <v>0</v>
      </c>
      <c r="W3341" s="39" t="n">
        <f aca="false">IF(I3341="Male",0,1)</f>
        <v>1</v>
      </c>
      <c r="X3341" s="39" t="n">
        <f aca="false">IF(OR(I3341="DNB",I3341="Dry DNB"),1,0)</f>
        <v>0</v>
      </c>
      <c r="Y3341" s="39" t="n">
        <f aca="false">MATCH(A3341,DATAS,0)</f>
        <v>1</v>
      </c>
      <c r="Z3341" s="39" t="n">
        <f aca="false">IF(AND(E3341&gt;0,OR(AND(B3341&gt;=1,B3341&lt;=6),B3341=10)),1,0)</f>
        <v>0</v>
      </c>
      <c r="AA3341" s="39" t="n">
        <f aca="false">IF(AND(E3341&gt;0,B3341=10),1,0)</f>
        <v>0</v>
      </c>
      <c r="AB3341" s="0" t="str">
        <f aca="false">IF(AND(C3340=C3341,Y3340=Y3341-1),Z3340,"")</f>
        <v/>
      </c>
      <c r="AC3341" s="0" t="str">
        <f aca="false">IF(AND(C3340=C3341,Y3340=Y3341-1),AA3340,"")</f>
        <v/>
      </c>
      <c r="AD3341" s="0" t="str">
        <f aca="false">IF(Y3341=1,"",IF(AND(Z3341=1,AB3341&lt;&gt;1),1,0))</f>
        <v/>
      </c>
      <c r="AE3341" s="0" t="str">
        <f aca="false">IF(Y3341=1,"",IF(AND(AA3341=1,AC3341&lt;&gt;1),1,0))</f>
        <v/>
      </c>
      <c r="AF3341" s="45" t="str">
        <f aca="false">IF(AND(E3341&gt;0,Y3341&lt;1,NOT(AND(C3342=C3341,Y3342=Y3341+1))),INDEX(DATAS,Y3341+1),"")</f>
        <v/>
      </c>
      <c r="AG3341" s="45" t="str">
        <f aca="false">IF(AND(AA3341=1,Y3341&lt;1),IF(AND(C3342=C3341,Y3342=Y3341+1),IF(AA3342=1,"",INDEX(DATAS,Y3341+1)),INDEX(DATAS,Y3341+1)),"")</f>
        <v/>
      </c>
    </row>
    <row r="3342" customFormat="false" ht="15" hidden="false" customHeight="false" outlineLevel="0" collapsed="false">
      <c r="A3342" s="45" t="n">
        <v>46309</v>
      </c>
      <c r="B3342" s="0" t="n">
        <v>13</v>
      </c>
      <c r="C3342" s="0" t="n">
        <v>7774</v>
      </c>
      <c r="E3342" s="0" t="n">
        <v>0</v>
      </c>
      <c r="F3342" s="39" t="s">
        <v>1528</v>
      </c>
      <c r="I3342" s="39" t="s">
        <v>136</v>
      </c>
      <c r="U3342" s="0" t="n">
        <v>137</v>
      </c>
      <c r="V3342" s="0" t="n">
        <v>0</v>
      </c>
      <c r="W3342" s="39" t="n">
        <f aca="false">IF(I3342="Male",0,1)</f>
        <v>1</v>
      </c>
      <c r="X3342" s="39" t="n">
        <f aca="false">IF(OR(I3342="DNB",I3342="Dry DNB"),1,0)</f>
        <v>0</v>
      </c>
      <c r="Y3342" s="39" t="n">
        <f aca="false">MATCH(A3342,DATAS,0)</f>
        <v>1</v>
      </c>
      <c r="Z3342" s="39" t="n">
        <f aca="false">IF(AND(E3342&gt;0,OR(AND(B3342&gt;=1,B3342&lt;=6),B3342=10)),1,0)</f>
        <v>0</v>
      </c>
      <c r="AA3342" s="39" t="n">
        <f aca="false">IF(AND(E3342&gt;0,B3342=10),1,0)</f>
        <v>0</v>
      </c>
      <c r="AB3342" s="0" t="str">
        <f aca="false">IF(AND(C3341=C3342,Y3341=Y3342-1),Z3341,"")</f>
        <v/>
      </c>
      <c r="AC3342" s="0" t="str">
        <f aca="false">IF(AND(C3341=C3342,Y3341=Y3342-1),AA3341,"")</f>
        <v/>
      </c>
      <c r="AD3342" s="0" t="str">
        <f aca="false">IF(Y3342=1,"",IF(AND(Z3342=1,AB3342&lt;&gt;1),1,0))</f>
        <v/>
      </c>
      <c r="AE3342" s="0" t="str">
        <f aca="false">IF(Y3342=1,"",IF(AND(AA3342=1,AC3342&lt;&gt;1),1,0))</f>
        <v/>
      </c>
      <c r="AF3342" s="45" t="str">
        <f aca="false">IF(AND(E3342&gt;0,Y3342&lt;1,NOT(AND(C3343=C3342,Y3343=Y3342+1))),INDEX(DATAS,Y3342+1),"")</f>
        <v/>
      </c>
      <c r="AG3342" s="45" t="str">
        <f aca="false">IF(AND(AA3342=1,Y3342&lt;1),IF(AND(C3343=C3342,Y3343=Y3342+1),IF(AA3343=1,"",INDEX(DATAS,Y3342+1)),INDEX(DATAS,Y3342+1)),"")</f>
        <v/>
      </c>
    </row>
    <row r="3343" customFormat="false" ht="15" hidden="false" customHeight="false" outlineLevel="0" collapsed="false">
      <c r="A3343" s="45" t="n">
        <v>46309</v>
      </c>
      <c r="B3343" s="0" t="n">
        <v>13</v>
      </c>
      <c r="C3343" s="0" t="n">
        <v>7775</v>
      </c>
      <c r="E3343" s="0" t="n">
        <v>0</v>
      </c>
      <c r="F3343" s="39" t="s">
        <v>1528</v>
      </c>
      <c r="I3343" s="39" t="s">
        <v>136</v>
      </c>
      <c r="U3343" s="0" t="n">
        <v>137</v>
      </c>
      <c r="V3343" s="0" t="n">
        <v>0</v>
      </c>
      <c r="W3343" s="39" t="n">
        <f aca="false">IF(I3343="Male",0,1)</f>
        <v>1</v>
      </c>
      <c r="X3343" s="39" t="n">
        <f aca="false">IF(OR(I3343="DNB",I3343="Dry DNB"),1,0)</f>
        <v>0</v>
      </c>
      <c r="Y3343" s="39" t="n">
        <f aca="false">MATCH(A3343,DATAS,0)</f>
        <v>1</v>
      </c>
      <c r="Z3343" s="39" t="n">
        <f aca="false">IF(AND(E3343&gt;0,OR(AND(B3343&gt;=1,B3343&lt;=6),B3343=10)),1,0)</f>
        <v>0</v>
      </c>
      <c r="AA3343" s="39" t="n">
        <f aca="false">IF(AND(E3343&gt;0,B3343=10),1,0)</f>
        <v>0</v>
      </c>
      <c r="AB3343" s="0" t="str">
        <f aca="false">IF(AND(C3342=C3343,Y3342=Y3343-1),Z3342,"")</f>
        <v/>
      </c>
      <c r="AC3343" s="0" t="str">
        <f aca="false">IF(AND(C3342=C3343,Y3342=Y3343-1),AA3342,"")</f>
        <v/>
      </c>
      <c r="AD3343" s="0" t="str">
        <f aca="false">IF(Y3343=1,"",IF(AND(Z3343=1,AB3343&lt;&gt;1),1,0))</f>
        <v/>
      </c>
      <c r="AE3343" s="0" t="str">
        <f aca="false">IF(Y3343=1,"",IF(AND(AA3343=1,AC3343&lt;&gt;1),1,0))</f>
        <v/>
      </c>
      <c r="AF3343" s="45" t="str">
        <f aca="false">IF(AND(E3343&gt;0,Y3343&lt;1,NOT(AND(C3344=C3343,Y3344=Y3343+1))),INDEX(DATAS,Y3343+1),"")</f>
        <v/>
      </c>
      <c r="AG3343" s="45" t="str">
        <f aca="false">IF(AND(AA3343=1,Y3343&lt;1),IF(AND(C3344=C3343,Y3344=Y3343+1),IF(AA3344=1,"",INDEX(DATAS,Y3343+1)),INDEX(DATAS,Y3343+1)),"")</f>
        <v/>
      </c>
    </row>
    <row r="3344" customFormat="false" ht="15" hidden="false" customHeight="false" outlineLevel="0" collapsed="false">
      <c r="A3344" s="45" t="n">
        <v>46309</v>
      </c>
      <c r="B3344" s="0" t="n">
        <v>13</v>
      </c>
      <c r="C3344" s="0" t="n">
        <v>7776</v>
      </c>
      <c r="E3344" s="0" t="n">
        <v>0</v>
      </c>
      <c r="F3344" s="39" t="s">
        <v>1529</v>
      </c>
      <c r="I3344" s="39" t="s">
        <v>136</v>
      </c>
      <c r="U3344" s="0" t="n">
        <v>136</v>
      </c>
      <c r="V3344" s="0" t="n">
        <v>0</v>
      </c>
      <c r="W3344" s="39" t="n">
        <f aca="false">IF(I3344="Male",0,1)</f>
        <v>1</v>
      </c>
      <c r="X3344" s="39" t="n">
        <f aca="false">IF(OR(I3344="DNB",I3344="Dry DNB"),1,0)</f>
        <v>0</v>
      </c>
      <c r="Y3344" s="39" t="n">
        <f aca="false">MATCH(A3344,DATAS,0)</f>
        <v>1</v>
      </c>
      <c r="Z3344" s="39" t="n">
        <f aca="false">IF(AND(E3344&gt;0,OR(AND(B3344&gt;=1,B3344&lt;=6),B3344=10)),1,0)</f>
        <v>0</v>
      </c>
      <c r="AA3344" s="39" t="n">
        <f aca="false">IF(AND(E3344&gt;0,B3344=10),1,0)</f>
        <v>0</v>
      </c>
      <c r="AB3344" s="0" t="str">
        <f aca="false">IF(AND(C3343=C3344,Y3343=Y3344-1),Z3343,"")</f>
        <v/>
      </c>
      <c r="AC3344" s="0" t="str">
        <f aca="false">IF(AND(C3343=C3344,Y3343=Y3344-1),AA3343,"")</f>
        <v/>
      </c>
      <c r="AD3344" s="0" t="str">
        <f aca="false">IF(Y3344=1,"",IF(AND(Z3344=1,AB3344&lt;&gt;1),1,0))</f>
        <v/>
      </c>
      <c r="AE3344" s="0" t="str">
        <f aca="false">IF(Y3344=1,"",IF(AND(AA3344=1,AC3344&lt;&gt;1),1,0))</f>
        <v/>
      </c>
      <c r="AF3344" s="45" t="str">
        <f aca="false">IF(AND(E3344&gt;0,Y3344&lt;1,NOT(AND(C3345=C3344,Y3345=Y3344+1))),INDEX(DATAS,Y3344+1),"")</f>
        <v/>
      </c>
      <c r="AG3344" s="45" t="str">
        <f aca="false">IF(AND(AA3344=1,Y3344&lt;1),IF(AND(C3345=C3344,Y3345=Y3344+1),IF(AA3345=1,"",INDEX(DATAS,Y3344+1)),INDEX(DATAS,Y3344+1)),"")</f>
        <v/>
      </c>
    </row>
    <row r="3345" customFormat="false" ht="15" hidden="false" customHeight="false" outlineLevel="0" collapsed="false">
      <c r="A3345" s="45" t="n">
        <v>46309</v>
      </c>
      <c r="B3345" s="0" t="n">
        <v>15</v>
      </c>
      <c r="C3345" s="0" t="n">
        <v>7778</v>
      </c>
      <c r="E3345" s="0" t="n">
        <v>0</v>
      </c>
      <c r="F3345" s="39" t="s">
        <v>1529</v>
      </c>
      <c r="I3345" s="39" t="s">
        <v>107</v>
      </c>
      <c r="U3345" s="0" t="n">
        <v>136</v>
      </c>
      <c r="V3345" s="0" t="n">
        <v>0</v>
      </c>
      <c r="W3345" s="39" t="n">
        <f aca="false">IF(I3345="Male",0,1)</f>
        <v>0</v>
      </c>
      <c r="X3345" s="39" t="n">
        <f aca="false">IF(OR(I3345="DNB",I3345="Dry DNB"),1,0)</f>
        <v>0</v>
      </c>
      <c r="Y3345" s="39" t="n">
        <f aca="false">MATCH(A3345,DATAS,0)</f>
        <v>1</v>
      </c>
      <c r="Z3345" s="39" t="n">
        <f aca="false">IF(AND(E3345&gt;0,OR(AND(B3345&gt;=1,B3345&lt;=6),B3345=10)),1,0)</f>
        <v>0</v>
      </c>
      <c r="AA3345" s="39" t="n">
        <f aca="false">IF(AND(E3345&gt;0,B3345=10),1,0)</f>
        <v>0</v>
      </c>
      <c r="AB3345" s="0" t="str">
        <f aca="false">IF(AND(C3344=C3345,Y3344=Y3345-1),Z3344,"")</f>
        <v/>
      </c>
      <c r="AC3345" s="0" t="str">
        <f aca="false">IF(AND(C3344=C3345,Y3344=Y3345-1),AA3344,"")</f>
        <v/>
      </c>
      <c r="AD3345" s="0" t="str">
        <f aca="false">IF(Y3345=1,"",IF(AND(Z3345=1,AB3345&lt;&gt;1),1,0))</f>
        <v/>
      </c>
      <c r="AE3345" s="0" t="str">
        <f aca="false">IF(Y3345=1,"",IF(AND(AA3345=1,AC3345&lt;&gt;1),1,0))</f>
        <v/>
      </c>
      <c r="AF3345" s="45" t="str">
        <f aca="false">IF(AND(E3345&gt;0,Y3345&lt;1,NOT(AND(C3346=C3345,Y3346=Y3345+1))),INDEX(DATAS,Y3345+1),"")</f>
        <v/>
      </c>
      <c r="AG3345" s="45" t="str">
        <f aca="false">IF(AND(AA3345=1,Y3345&lt;1),IF(AND(C3346=C3345,Y3346=Y3345+1),IF(AA3346=1,"",INDEX(DATAS,Y3345+1)),INDEX(DATAS,Y3345+1)),"")</f>
        <v/>
      </c>
    </row>
    <row r="3346" customFormat="false" ht="15" hidden="false" customHeight="false" outlineLevel="0" collapsed="false">
      <c r="A3346" s="45" t="n">
        <v>46309</v>
      </c>
      <c r="B3346" s="0" t="n">
        <v>13</v>
      </c>
      <c r="C3346" s="0" t="n">
        <v>7779</v>
      </c>
      <c r="E3346" s="0" t="n">
        <v>0</v>
      </c>
      <c r="F3346" s="39" t="s">
        <v>1529</v>
      </c>
      <c r="I3346" s="39" t="s">
        <v>136</v>
      </c>
      <c r="U3346" s="0" t="n">
        <v>136</v>
      </c>
      <c r="V3346" s="0" t="n">
        <v>0</v>
      </c>
      <c r="W3346" s="39" t="n">
        <f aca="false">IF(I3346="Male",0,1)</f>
        <v>1</v>
      </c>
      <c r="X3346" s="39" t="n">
        <f aca="false">IF(OR(I3346="DNB",I3346="Dry DNB"),1,0)</f>
        <v>0</v>
      </c>
      <c r="Y3346" s="39" t="n">
        <f aca="false">MATCH(A3346,DATAS,0)</f>
        <v>1</v>
      </c>
      <c r="Z3346" s="39" t="n">
        <f aca="false">IF(AND(E3346&gt;0,OR(AND(B3346&gt;=1,B3346&lt;=6),B3346=10)),1,0)</f>
        <v>0</v>
      </c>
      <c r="AA3346" s="39" t="n">
        <f aca="false">IF(AND(E3346&gt;0,B3346=10),1,0)</f>
        <v>0</v>
      </c>
      <c r="AB3346" s="0" t="str">
        <f aca="false">IF(AND(C3345=C3346,Y3345=Y3346-1),Z3345,"")</f>
        <v/>
      </c>
      <c r="AC3346" s="0" t="str">
        <f aca="false">IF(AND(C3345=C3346,Y3345=Y3346-1),AA3345,"")</f>
        <v/>
      </c>
      <c r="AD3346" s="0" t="str">
        <f aca="false">IF(Y3346=1,"",IF(AND(Z3346=1,AB3346&lt;&gt;1),1,0))</f>
        <v/>
      </c>
      <c r="AE3346" s="0" t="str">
        <f aca="false">IF(Y3346=1,"",IF(AND(AA3346=1,AC3346&lt;&gt;1),1,0))</f>
        <v/>
      </c>
      <c r="AF3346" s="45" t="str">
        <f aca="false">IF(AND(E3346&gt;0,Y3346&lt;1,NOT(AND(C3347=C3346,Y3347=Y3346+1))),INDEX(DATAS,Y3346+1),"")</f>
        <v/>
      </c>
      <c r="AG3346" s="45" t="str">
        <f aca="false">IF(AND(AA3346=1,Y3346&lt;1),IF(AND(C3347=C3346,Y3347=Y3346+1),IF(AA3347=1,"",INDEX(DATAS,Y3346+1)),INDEX(DATAS,Y3346+1)),"")</f>
        <v/>
      </c>
    </row>
    <row r="3347" customFormat="false" ht="15" hidden="false" customHeight="false" outlineLevel="0" collapsed="false">
      <c r="A3347" s="45" t="n">
        <v>46309</v>
      </c>
      <c r="B3347" s="0" t="n">
        <v>13</v>
      </c>
      <c r="C3347" s="0" t="n">
        <v>7781</v>
      </c>
      <c r="E3347" s="0" t="n">
        <v>0</v>
      </c>
      <c r="F3347" s="39" t="s">
        <v>1530</v>
      </c>
      <c r="I3347" s="39" t="s">
        <v>136</v>
      </c>
      <c r="U3347" s="0" t="n">
        <v>135</v>
      </c>
      <c r="V3347" s="0" t="n">
        <v>0</v>
      </c>
      <c r="W3347" s="39" t="n">
        <f aca="false">IF(I3347="Male",0,1)</f>
        <v>1</v>
      </c>
      <c r="X3347" s="39" t="n">
        <f aca="false">IF(OR(I3347="DNB",I3347="Dry DNB"),1,0)</f>
        <v>0</v>
      </c>
      <c r="Y3347" s="39" t="n">
        <f aca="false">MATCH(A3347,DATAS,0)</f>
        <v>1</v>
      </c>
      <c r="Z3347" s="39" t="n">
        <f aca="false">IF(AND(E3347&gt;0,OR(AND(B3347&gt;=1,B3347&lt;=6),B3347=10)),1,0)</f>
        <v>0</v>
      </c>
      <c r="AA3347" s="39" t="n">
        <f aca="false">IF(AND(E3347&gt;0,B3347=10),1,0)</f>
        <v>0</v>
      </c>
      <c r="AB3347" s="0" t="str">
        <f aca="false">IF(AND(C3346=C3347,Y3346=Y3347-1),Z3346,"")</f>
        <v/>
      </c>
      <c r="AC3347" s="0" t="str">
        <f aca="false">IF(AND(C3346=C3347,Y3346=Y3347-1),AA3346,"")</f>
        <v/>
      </c>
      <c r="AD3347" s="0" t="str">
        <f aca="false">IF(Y3347=1,"",IF(AND(Z3347=1,AB3347&lt;&gt;1),1,0))</f>
        <v/>
      </c>
      <c r="AE3347" s="0" t="str">
        <f aca="false">IF(Y3347=1,"",IF(AND(AA3347=1,AC3347&lt;&gt;1),1,0))</f>
        <v/>
      </c>
      <c r="AF3347" s="45" t="str">
        <f aca="false">IF(AND(E3347&gt;0,Y3347&lt;1,NOT(AND(C3348=C3347,Y3348=Y3347+1))),INDEX(DATAS,Y3347+1),"")</f>
        <v/>
      </c>
      <c r="AG3347" s="45" t="str">
        <f aca="false">IF(AND(AA3347=1,Y3347&lt;1),IF(AND(C3348=C3347,Y3348=Y3347+1),IF(AA3348=1,"",INDEX(DATAS,Y3347+1)),INDEX(DATAS,Y3347+1)),"")</f>
        <v/>
      </c>
    </row>
    <row r="3348" customFormat="false" ht="15" hidden="false" customHeight="false" outlineLevel="0" collapsed="false">
      <c r="A3348" s="45" t="n">
        <v>46309</v>
      </c>
      <c r="B3348" s="0" t="n">
        <v>13</v>
      </c>
      <c r="C3348" s="0" t="n">
        <v>7782</v>
      </c>
      <c r="E3348" s="0" t="n">
        <v>0</v>
      </c>
      <c r="F3348" s="39" t="s">
        <v>1530</v>
      </c>
      <c r="I3348" s="39" t="s">
        <v>136</v>
      </c>
      <c r="U3348" s="0" t="n">
        <v>135</v>
      </c>
      <c r="V3348" s="0" t="n">
        <v>0</v>
      </c>
      <c r="W3348" s="39" t="n">
        <f aca="false">IF(I3348="Male",0,1)</f>
        <v>1</v>
      </c>
      <c r="X3348" s="39" t="n">
        <f aca="false">IF(OR(I3348="DNB",I3348="Dry DNB"),1,0)</f>
        <v>0</v>
      </c>
      <c r="Y3348" s="39" t="n">
        <f aca="false">MATCH(A3348,DATAS,0)</f>
        <v>1</v>
      </c>
      <c r="Z3348" s="39" t="n">
        <f aca="false">IF(AND(E3348&gt;0,OR(AND(B3348&gt;=1,B3348&lt;=6),B3348=10)),1,0)</f>
        <v>0</v>
      </c>
      <c r="AA3348" s="39" t="n">
        <f aca="false">IF(AND(E3348&gt;0,B3348=10),1,0)</f>
        <v>0</v>
      </c>
      <c r="AB3348" s="0" t="str">
        <f aca="false">IF(AND(C3347=C3348,Y3347=Y3348-1),Z3347,"")</f>
        <v/>
      </c>
      <c r="AC3348" s="0" t="str">
        <f aca="false">IF(AND(C3347=C3348,Y3347=Y3348-1),AA3347,"")</f>
        <v/>
      </c>
      <c r="AD3348" s="0" t="str">
        <f aca="false">IF(Y3348=1,"",IF(AND(Z3348=1,AB3348&lt;&gt;1),1,0))</f>
        <v/>
      </c>
      <c r="AE3348" s="0" t="str">
        <f aca="false">IF(Y3348=1,"",IF(AND(AA3348=1,AC3348&lt;&gt;1),1,0))</f>
        <v/>
      </c>
      <c r="AF3348" s="45" t="str">
        <f aca="false">IF(AND(E3348&gt;0,Y3348&lt;1,NOT(AND(C3349=C3348,Y3349=Y3348+1))),INDEX(DATAS,Y3348+1),"")</f>
        <v/>
      </c>
      <c r="AG3348" s="45" t="str">
        <f aca="false">IF(AND(AA3348=1,Y3348&lt;1),IF(AND(C3349=C3348,Y3349=Y3348+1),IF(AA3349=1,"",INDEX(DATAS,Y3348+1)),INDEX(DATAS,Y3348+1)),"")</f>
        <v/>
      </c>
    </row>
    <row r="3349" customFormat="false" ht="15" hidden="false" customHeight="false" outlineLevel="0" collapsed="false">
      <c r="A3349" s="45" t="n">
        <v>46309</v>
      </c>
      <c r="B3349" s="0" t="n">
        <v>13</v>
      </c>
      <c r="C3349" s="0" t="n">
        <v>7783</v>
      </c>
      <c r="E3349" s="0" t="n">
        <v>0</v>
      </c>
      <c r="F3349" s="39" t="s">
        <v>1531</v>
      </c>
      <c r="I3349" s="39" t="s">
        <v>136</v>
      </c>
      <c r="U3349" s="0" t="n">
        <v>134</v>
      </c>
      <c r="V3349" s="0" t="n">
        <v>0</v>
      </c>
      <c r="W3349" s="39" t="n">
        <f aca="false">IF(I3349="Male",0,1)</f>
        <v>1</v>
      </c>
      <c r="X3349" s="39" t="n">
        <f aca="false">IF(OR(I3349="DNB",I3349="Dry DNB"),1,0)</f>
        <v>0</v>
      </c>
      <c r="Y3349" s="39" t="n">
        <f aca="false">MATCH(A3349,DATAS,0)</f>
        <v>1</v>
      </c>
      <c r="Z3349" s="39" t="n">
        <f aca="false">IF(AND(E3349&gt;0,OR(AND(B3349&gt;=1,B3349&lt;=6),B3349=10)),1,0)</f>
        <v>0</v>
      </c>
      <c r="AA3349" s="39" t="n">
        <f aca="false">IF(AND(E3349&gt;0,B3349=10),1,0)</f>
        <v>0</v>
      </c>
      <c r="AB3349" s="0" t="str">
        <f aca="false">IF(AND(C3348=C3349,Y3348=Y3349-1),Z3348,"")</f>
        <v/>
      </c>
      <c r="AC3349" s="0" t="str">
        <f aca="false">IF(AND(C3348=C3349,Y3348=Y3349-1),AA3348,"")</f>
        <v/>
      </c>
      <c r="AD3349" s="0" t="str">
        <f aca="false">IF(Y3349=1,"",IF(AND(Z3349=1,AB3349&lt;&gt;1),1,0))</f>
        <v/>
      </c>
      <c r="AE3349" s="0" t="str">
        <f aca="false">IF(Y3349=1,"",IF(AND(AA3349=1,AC3349&lt;&gt;1),1,0))</f>
        <v/>
      </c>
      <c r="AF3349" s="45" t="str">
        <f aca="false">IF(AND(E3349&gt;0,Y3349&lt;1,NOT(AND(C3350=C3349,Y3350=Y3349+1))),INDEX(DATAS,Y3349+1),"")</f>
        <v/>
      </c>
      <c r="AG3349" s="45" t="str">
        <f aca="false">IF(AND(AA3349=1,Y3349&lt;1),IF(AND(C3350=C3349,Y3350=Y3349+1),IF(AA3350=1,"",INDEX(DATAS,Y3349+1)),INDEX(DATAS,Y3349+1)),"")</f>
        <v/>
      </c>
    </row>
    <row r="3350" customFormat="false" ht="15" hidden="false" customHeight="false" outlineLevel="0" collapsed="false">
      <c r="A3350" s="45" t="n">
        <v>46309</v>
      </c>
      <c r="B3350" s="0" t="n">
        <v>13</v>
      </c>
      <c r="C3350" s="0" t="n">
        <v>7784</v>
      </c>
      <c r="E3350" s="0" t="n">
        <v>0</v>
      </c>
      <c r="F3350" s="39" t="s">
        <v>1531</v>
      </c>
      <c r="I3350" s="39" t="s">
        <v>136</v>
      </c>
      <c r="U3350" s="0" t="n">
        <v>134</v>
      </c>
      <c r="V3350" s="0" t="n">
        <v>0</v>
      </c>
      <c r="W3350" s="39" t="n">
        <f aca="false">IF(I3350="Male",0,1)</f>
        <v>1</v>
      </c>
      <c r="X3350" s="39" t="n">
        <f aca="false">IF(OR(I3350="DNB",I3350="Dry DNB"),1,0)</f>
        <v>0</v>
      </c>
      <c r="Y3350" s="39" t="n">
        <f aca="false">MATCH(A3350,DATAS,0)</f>
        <v>1</v>
      </c>
      <c r="Z3350" s="39" t="n">
        <f aca="false">IF(AND(E3350&gt;0,OR(AND(B3350&gt;=1,B3350&lt;=6),B3350=10)),1,0)</f>
        <v>0</v>
      </c>
      <c r="AA3350" s="39" t="n">
        <f aca="false">IF(AND(E3350&gt;0,B3350=10),1,0)</f>
        <v>0</v>
      </c>
      <c r="AB3350" s="0" t="str">
        <f aca="false">IF(AND(C3349=C3350,Y3349=Y3350-1),Z3349,"")</f>
        <v/>
      </c>
      <c r="AC3350" s="0" t="str">
        <f aca="false">IF(AND(C3349=C3350,Y3349=Y3350-1),AA3349,"")</f>
        <v/>
      </c>
      <c r="AD3350" s="0" t="str">
        <f aca="false">IF(Y3350=1,"",IF(AND(Z3350=1,AB3350&lt;&gt;1),1,0))</f>
        <v/>
      </c>
      <c r="AE3350" s="0" t="str">
        <f aca="false">IF(Y3350=1,"",IF(AND(AA3350=1,AC3350&lt;&gt;1),1,0))</f>
        <v/>
      </c>
      <c r="AF3350" s="45" t="str">
        <f aca="false">IF(AND(E3350&gt;0,Y3350&lt;1,NOT(AND(C3351=C3350,Y3351=Y3350+1))),INDEX(DATAS,Y3350+1),"")</f>
        <v/>
      </c>
      <c r="AG3350" s="45" t="str">
        <f aca="false">IF(AND(AA3350=1,Y3350&lt;1),IF(AND(C3351=C3350,Y3351=Y3350+1),IF(AA3351=1,"",INDEX(DATAS,Y3350+1)),INDEX(DATAS,Y3350+1)),"")</f>
        <v/>
      </c>
    </row>
    <row r="3351" customFormat="false" ht="15" hidden="false" customHeight="false" outlineLevel="0" collapsed="false">
      <c r="A3351" s="45" t="n">
        <v>46309</v>
      </c>
      <c r="B3351" s="0" t="n">
        <v>13</v>
      </c>
      <c r="C3351" s="0" t="n">
        <v>7785</v>
      </c>
      <c r="E3351" s="0" t="n">
        <v>0</v>
      </c>
      <c r="F3351" s="39" t="s">
        <v>1531</v>
      </c>
      <c r="I3351" s="39" t="s">
        <v>136</v>
      </c>
      <c r="U3351" s="0" t="n">
        <v>134</v>
      </c>
      <c r="V3351" s="0" t="n">
        <v>0</v>
      </c>
      <c r="W3351" s="39" t="n">
        <f aca="false">IF(I3351="Male",0,1)</f>
        <v>1</v>
      </c>
      <c r="X3351" s="39" t="n">
        <f aca="false">IF(OR(I3351="DNB",I3351="Dry DNB"),1,0)</f>
        <v>0</v>
      </c>
      <c r="Y3351" s="39" t="n">
        <f aca="false">MATCH(A3351,DATAS,0)</f>
        <v>1</v>
      </c>
      <c r="Z3351" s="39" t="n">
        <f aca="false">IF(AND(E3351&gt;0,OR(AND(B3351&gt;=1,B3351&lt;=6),B3351=10)),1,0)</f>
        <v>0</v>
      </c>
      <c r="AA3351" s="39" t="n">
        <f aca="false">IF(AND(E3351&gt;0,B3351=10),1,0)</f>
        <v>0</v>
      </c>
      <c r="AB3351" s="0" t="str">
        <f aca="false">IF(AND(C3350=C3351,Y3350=Y3351-1),Z3350,"")</f>
        <v/>
      </c>
      <c r="AC3351" s="0" t="str">
        <f aca="false">IF(AND(C3350=C3351,Y3350=Y3351-1),AA3350,"")</f>
        <v/>
      </c>
      <c r="AD3351" s="0" t="str">
        <f aca="false">IF(Y3351=1,"",IF(AND(Z3351=1,AB3351&lt;&gt;1),1,0))</f>
        <v/>
      </c>
      <c r="AE3351" s="0" t="str">
        <f aca="false">IF(Y3351=1,"",IF(AND(AA3351=1,AC3351&lt;&gt;1),1,0))</f>
        <v/>
      </c>
      <c r="AF3351" s="45" t="str">
        <f aca="false">IF(AND(E3351&gt;0,Y3351&lt;1,NOT(AND(C3352=C3351,Y3352=Y3351+1))),INDEX(DATAS,Y3351+1),"")</f>
        <v/>
      </c>
      <c r="AG3351" s="45" t="str">
        <f aca="false">IF(AND(AA3351=1,Y3351&lt;1),IF(AND(C3352=C3351,Y3352=Y3351+1),IF(AA3352=1,"",INDEX(DATAS,Y3351+1)),INDEX(DATAS,Y3351+1)),"")</f>
        <v/>
      </c>
    </row>
    <row r="3352" customFormat="false" ht="15" hidden="false" customHeight="false" outlineLevel="0" collapsed="false">
      <c r="A3352" s="45" t="n">
        <v>46309</v>
      </c>
      <c r="B3352" s="0" t="n">
        <v>13</v>
      </c>
      <c r="C3352" s="0" t="n">
        <v>7786</v>
      </c>
      <c r="E3352" s="0" t="n">
        <v>0</v>
      </c>
      <c r="F3352" s="39" t="s">
        <v>1531</v>
      </c>
      <c r="I3352" s="39" t="s">
        <v>136</v>
      </c>
      <c r="U3352" s="0" t="n">
        <v>134</v>
      </c>
      <c r="V3352" s="0" t="n">
        <v>0</v>
      </c>
      <c r="W3352" s="39" t="n">
        <f aca="false">IF(I3352="Male",0,1)</f>
        <v>1</v>
      </c>
      <c r="X3352" s="39" t="n">
        <f aca="false">IF(OR(I3352="DNB",I3352="Dry DNB"),1,0)</f>
        <v>0</v>
      </c>
      <c r="Y3352" s="39" t="n">
        <f aca="false">MATCH(A3352,DATAS,0)</f>
        <v>1</v>
      </c>
      <c r="Z3352" s="39" t="n">
        <f aca="false">IF(AND(E3352&gt;0,OR(AND(B3352&gt;=1,B3352&lt;=6),B3352=10)),1,0)</f>
        <v>0</v>
      </c>
      <c r="AA3352" s="39" t="n">
        <f aca="false">IF(AND(E3352&gt;0,B3352=10),1,0)</f>
        <v>0</v>
      </c>
      <c r="AB3352" s="0" t="str">
        <f aca="false">IF(AND(C3351=C3352,Y3351=Y3352-1),Z3351,"")</f>
        <v/>
      </c>
      <c r="AC3352" s="0" t="str">
        <f aca="false">IF(AND(C3351=C3352,Y3351=Y3352-1),AA3351,"")</f>
        <v/>
      </c>
      <c r="AD3352" s="0" t="str">
        <f aca="false">IF(Y3352=1,"",IF(AND(Z3352=1,AB3352&lt;&gt;1),1,0))</f>
        <v/>
      </c>
      <c r="AE3352" s="0" t="str">
        <f aca="false">IF(Y3352=1,"",IF(AND(AA3352=1,AC3352&lt;&gt;1),1,0))</f>
        <v/>
      </c>
      <c r="AF3352" s="45" t="str">
        <f aca="false">IF(AND(E3352&gt;0,Y3352&lt;1,NOT(AND(C3353=C3352,Y3353=Y3352+1))),INDEX(DATAS,Y3352+1),"")</f>
        <v/>
      </c>
      <c r="AG3352" s="45" t="str">
        <f aca="false">IF(AND(AA3352=1,Y3352&lt;1),IF(AND(C3353=C3352,Y3353=Y3352+1),IF(AA3353=1,"",INDEX(DATAS,Y3352+1)),INDEX(DATAS,Y3352+1)),"")</f>
        <v/>
      </c>
    </row>
    <row r="3353" customFormat="false" ht="15" hidden="false" customHeight="false" outlineLevel="0" collapsed="false">
      <c r="A3353" s="45" t="n">
        <v>46309</v>
      </c>
      <c r="B3353" s="0" t="n">
        <v>13</v>
      </c>
      <c r="C3353" s="0" t="n">
        <v>7787</v>
      </c>
      <c r="E3353" s="0" t="n">
        <v>0</v>
      </c>
      <c r="F3353" s="39" t="s">
        <v>1532</v>
      </c>
      <c r="I3353" s="39" t="s">
        <v>136</v>
      </c>
      <c r="U3353" s="0" t="n">
        <v>133</v>
      </c>
      <c r="V3353" s="0" t="n">
        <v>0</v>
      </c>
      <c r="W3353" s="39" t="n">
        <f aca="false">IF(I3353="Male",0,1)</f>
        <v>1</v>
      </c>
      <c r="X3353" s="39" t="n">
        <f aca="false">IF(OR(I3353="DNB",I3353="Dry DNB"),1,0)</f>
        <v>0</v>
      </c>
      <c r="Y3353" s="39" t="n">
        <f aca="false">MATCH(A3353,DATAS,0)</f>
        <v>1</v>
      </c>
      <c r="Z3353" s="39" t="n">
        <f aca="false">IF(AND(E3353&gt;0,OR(AND(B3353&gt;=1,B3353&lt;=6),B3353=10)),1,0)</f>
        <v>0</v>
      </c>
      <c r="AA3353" s="39" t="n">
        <f aca="false">IF(AND(E3353&gt;0,B3353=10),1,0)</f>
        <v>0</v>
      </c>
      <c r="AB3353" s="0" t="str">
        <f aca="false">IF(AND(C3352=C3353,Y3352=Y3353-1),Z3352,"")</f>
        <v/>
      </c>
      <c r="AC3353" s="0" t="str">
        <f aca="false">IF(AND(C3352=C3353,Y3352=Y3353-1),AA3352,"")</f>
        <v/>
      </c>
      <c r="AD3353" s="0" t="str">
        <f aca="false">IF(Y3353=1,"",IF(AND(Z3353=1,AB3353&lt;&gt;1),1,0))</f>
        <v/>
      </c>
      <c r="AE3353" s="0" t="str">
        <f aca="false">IF(Y3353=1,"",IF(AND(AA3353=1,AC3353&lt;&gt;1),1,0))</f>
        <v/>
      </c>
      <c r="AF3353" s="45" t="str">
        <f aca="false">IF(AND(E3353&gt;0,Y3353&lt;1,NOT(AND(C3354=C3353,Y3354=Y3353+1))),INDEX(DATAS,Y3353+1),"")</f>
        <v/>
      </c>
      <c r="AG3353" s="45" t="str">
        <f aca="false">IF(AND(AA3353=1,Y3353&lt;1),IF(AND(C3354=C3353,Y3354=Y3353+1),IF(AA3354=1,"",INDEX(DATAS,Y3353+1)),INDEX(DATAS,Y3353+1)),"")</f>
        <v/>
      </c>
    </row>
    <row r="3354" customFormat="false" ht="15" hidden="false" customHeight="false" outlineLevel="0" collapsed="false">
      <c r="A3354" s="45" t="n">
        <v>46309</v>
      </c>
      <c r="B3354" s="0" t="n">
        <v>13</v>
      </c>
      <c r="C3354" s="0" t="n">
        <v>7788</v>
      </c>
      <c r="E3354" s="0" t="n">
        <v>0</v>
      </c>
      <c r="F3354" s="39" t="s">
        <v>1532</v>
      </c>
      <c r="I3354" s="39" t="s">
        <v>136</v>
      </c>
      <c r="U3354" s="0" t="n">
        <v>133</v>
      </c>
      <c r="V3354" s="0" t="n">
        <v>0</v>
      </c>
      <c r="W3354" s="39" t="n">
        <f aca="false">IF(I3354="Male",0,1)</f>
        <v>1</v>
      </c>
      <c r="X3354" s="39" t="n">
        <f aca="false">IF(OR(I3354="DNB",I3354="Dry DNB"),1,0)</f>
        <v>0</v>
      </c>
      <c r="Y3354" s="39" t="n">
        <f aca="false">MATCH(A3354,DATAS,0)</f>
        <v>1</v>
      </c>
      <c r="Z3354" s="39" t="n">
        <f aca="false">IF(AND(E3354&gt;0,OR(AND(B3354&gt;=1,B3354&lt;=6),B3354=10)),1,0)</f>
        <v>0</v>
      </c>
      <c r="AA3354" s="39" t="n">
        <f aca="false">IF(AND(E3354&gt;0,B3354=10),1,0)</f>
        <v>0</v>
      </c>
      <c r="AB3354" s="0" t="str">
        <f aca="false">IF(AND(C3353=C3354,Y3353=Y3354-1),Z3353,"")</f>
        <v/>
      </c>
      <c r="AC3354" s="0" t="str">
        <f aca="false">IF(AND(C3353=C3354,Y3353=Y3354-1),AA3353,"")</f>
        <v/>
      </c>
      <c r="AD3354" s="0" t="str">
        <f aca="false">IF(Y3354=1,"",IF(AND(Z3354=1,AB3354&lt;&gt;1),1,0))</f>
        <v/>
      </c>
      <c r="AE3354" s="0" t="str">
        <f aca="false">IF(Y3354=1,"",IF(AND(AA3354=1,AC3354&lt;&gt;1),1,0))</f>
        <v/>
      </c>
      <c r="AF3354" s="45" t="str">
        <f aca="false">IF(AND(E3354&gt;0,Y3354&lt;1,NOT(AND(C3355=C3354,Y3355=Y3354+1))),INDEX(DATAS,Y3354+1),"")</f>
        <v/>
      </c>
      <c r="AG3354" s="45" t="str">
        <f aca="false">IF(AND(AA3354=1,Y3354&lt;1),IF(AND(C3355=C3354,Y3355=Y3354+1),IF(AA3355=1,"",INDEX(DATAS,Y3354+1)),INDEX(DATAS,Y3354+1)),"")</f>
        <v/>
      </c>
    </row>
    <row r="3355" customFormat="false" ht="15" hidden="false" customHeight="false" outlineLevel="0" collapsed="false">
      <c r="A3355" s="45" t="n">
        <v>46309</v>
      </c>
      <c r="B3355" s="0" t="n">
        <v>13</v>
      </c>
      <c r="C3355" s="0" t="n">
        <v>7789</v>
      </c>
      <c r="E3355" s="0" t="n">
        <v>0</v>
      </c>
      <c r="F3355" s="39" t="s">
        <v>1532</v>
      </c>
      <c r="I3355" s="39" t="s">
        <v>136</v>
      </c>
      <c r="U3355" s="0" t="n">
        <v>133</v>
      </c>
      <c r="V3355" s="0" t="n">
        <v>0</v>
      </c>
      <c r="W3355" s="39" t="n">
        <f aca="false">IF(I3355="Male",0,1)</f>
        <v>1</v>
      </c>
      <c r="X3355" s="39" t="n">
        <f aca="false">IF(OR(I3355="DNB",I3355="Dry DNB"),1,0)</f>
        <v>0</v>
      </c>
      <c r="Y3355" s="39" t="n">
        <f aca="false">MATCH(A3355,DATAS,0)</f>
        <v>1</v>
      </c>
      <c r="Z3355" s="39" t="n">
        <f aca="false">IF(AND(E3355&gt;0,OR(AND(B3355&gt;=1,B3355&lt;=6),B3355=10)),1,0)</f>
        <v>0</v>
      </c>
      <c r="AA3355" s="39" t="n">
        <f aca="false">IF(AND(E3355&gt;0,B3355=10),1,0)</f>
        <v>0</v>
      </c>
      <c r="AB3355" s="0" t="str">
        <f aca="false">IF(AND(C3354=C3355,Y3354=Y3355-1),Z3354,"")</f>
        <v/>
      </c>
      <c r="AC3355" s="0" t="str">
        <f aca="false">IF(AND(C3354=C3355,Y3354=Y3355-1),AA3354,"")</f>
        <v/>
      </c>
      <c r="AD3355" s="0" t="str">
        <f aca="false">IF(Y3355=1,"",IF(AND(Z3355=1,AB3355&lt;&gt;1),1,0))</f>
        <v/>
      </c>
      <c r="AE3355" s="0" t="str">
        <f aca="false">IF(Y3355=1,"",IF(AND(AA3355=1,AC3355&lt;&gt;1),1,0))</f>
        <v/>
      </c>
      <c r="AF3355" s="45" t="str">
        <f aca="false">IF(AND(E3355&gt;0,Y3355&lt;1,NOT(AND(C3356=C3355,Y3356=Y3355+1))),INDEX(DATAS,Y3355+1),"")</f>
        <v/>
      </c>
      <c r="AG3355" s="45" t="str">
        <f aca="false">IF(AND(AA3355=1,Y3355&lt;1),IF(AND(C3356=C3355,Y3356=Y3355+1),IF(AA3356=1,"",INDEX(DATAS,Y3355+1)),INDEX(DATAS,Y3355+1)),"")</f>
        <v/>
      </c>
    </row>
    <row r="3356" customFormat="false" ht="15" hidden="false" customHeight="false" outlineLevel="0" collapsed="false">
      <c r="A3356" s="45" t="n">
        <v>46309</v>
      </c>
      <c r="B3356" s="0" t="n">
        <v>13</v>
      </c>
      <c r="C3356" s="0" t="n">
        <v>7790</v>
      </c>
      <c r="E3356" s="0" t="n">
        <v>0</v>
      </c>
      <c r="F3356" s="39" t="s">
        <v>1533</v>
      </c>
      <c r="I3356" s="39" t="s">
        <v>136</v>
      </c>
      <c r="U3356" s="0" t="n">
        <v>132</v>
      </c>
      <c r="V3356" s="0" t="n">
        <v>0</v>
      </c>
      <c r="W3356" s="39" t="n">
        <f aca="false">IF(I3356="Male",0,1)</f>
        <v>1</v>
      </c>
      <c r="X3356" s="39" t="n">
        <f aca="false">IF(OR(I3356="DNB",I3356="Dry DNB"),1,0)</f>
        <v>0</v>
      </c>
      <c r="Y3356" s="39" t="n">
        <f aca="false">MATCH(A3356,DATAS,0)</f>
        <v>1</v>
      </c>
      <c r="Z3356" s="39" t="n">
        <f aca="false">IF(AND(E3356&gt;0,OR(AND(B3356&gt;=1,B3356&lt;=6),B3356=10)),1,0)</f>
        <v>0</v>
      </c>
      <c r="AA3356" s="39" t="n">
        <f aca="false">IF(AND(E3356&gt;0,B3356=10),1,0)</f>
        <v>0</v>
      </c>
      <c r="AB3356" s="0" t="str">
        <f aca="false">IF(AND(C3355=C3356,Y3355=Y3356-1),Z3355,"")</f>
        <v/>
      </c>
      <c r="AC3356" s="0" t="str">
        <f aca="false">IF(AND(C3355=C3356,Y3355=Y3356-1),AA3355,"")</f>
        <v/>
      </c>
      <c r="AD3356" s="0" t="str">
        <f aca="false">IF(Y3356=1,"",IF(AND(Z3356=1,AB3356&lt;&gt;1),1,0))</f>
        <v/>
      </c>
      <c r="AE3356" s="0" t="str">
        <f aca="false">IF(Y3356=1,"",IF(AND(AA3356=1,AC3356&lt;&gt;1),1,0))</f>
        <v/>
      </c>
      <c r="AF3356" s="45" t="str">
        <f aca="false">IF(AND(E3356&gt;0,Y3356&lt;1,NOT(AND(C3357=C3356,Y3357=Y3356+1))),INDEX(DATAS,Y3356+1),"")</f>
        <v/>
      </c>
      <c r="AG3356" s="45" t="str">
        <f aca="false">IF(AND(AA3356=1,Y3356&lt;1),IF(AND(C3357=C3356,Y3357=Y3356+1),IF(AA3357=1,"",INDEX(DATAS,Y3356+1)),INDEX(DATAS,Y3356+1)),"")</f>
        <v/>
      </c>
    </row>
    <row r="3357" customFormat="false" ht="15" hidden="false" customHeight="false" outlineLevel="0" collapsed="false">
      <c r="A3357" s="45" t="n">
        <v>46309</v>
      </c>
      <c r="B3357" s="0" t="n">
        <v>13</v>
      </c>
      <c r="C3357" s="0" t="n">
        <v>7791</v>
      </c>
      <c r="E3357" s="0" t="n">
        <v>0</v>
      </c>
      <c r="F3357" s="39" t="s">
        <v>1533</v>
      </c>
      <c r="I3357" s="39" t="s">
        <v>136</v>
      </c>
      <c r="U3357" s="0" t="n">
        <v>132</v>
      </c>
      <c r="V3357" s="0" t="n">
        <v>0</v>
      </c>
      <c r="W3357" s="39" t="n">
        <f aca="false">IF(I3357="Male",0,1)</f>
        <v>1</v>
      </c>
      <c r="X3357" s="39" t="n">
        <f aca="false">IF(OR(I3357="DNB",I3357="Dry DNB"),1,0)</f>
        <v>0</v>
      </c>
      <c r="Y3357" s="39" t="n">
        <f aca="false">MATCH(A3357,DATAS,0)</f>
        <v>1</v>
      </c>
      <c r="Z3357" s="39" t="n">
        <f aca="false">IF(AND(E3357&gt;0,OR(AND(B3357&gt;=1,B3357&lt;=6),B3357=10)),1,0)</f>
        <v>0</v>
      </c>
      <c r="AA3357" s="39" t="n">
        <f aca="false">IF(AND(E3357&gt;0,B3357=10),1,0)</f>
        <v>0</v>
      </c>
      <c r="AB3357" s="0" t="str">
        <f aca="false">IF(AND(C3356=C3357,Y3356=Y3357-1),Z3356,"")</f>
        <v/>
      </c>
      <c r="AC3357" s="0" t="str">
        <f aca="false">IF(AND(C3356=C3357,Y3356=Y3357-1),AA3356,"")</f>
        <v/>
      </c>
      <c r="AD3357" s="0" t="str">
        <f aca="false">IF(Y3357=1,"",IF(AND(Z3357=1,AB3357&lt;&gt;1),1,0))</f>
        <v/>
      </c>
      <c r="AE3357" s="0" t="str">
        <f aca="false">IF(Y3357=1,"",IF(AND(AA3357=1,AC3357&lt;&gt;1),1,0))</f>
        <v/>
      </c>
      <c r="AF3357" s="45" t="str">
        <f aca="false">IF(AND(E3357&gt;0,Y3357&lt;1,NOT(AND(C3358=C3357,Y3358=Y3357+1))),INDEX(DATAS,Y3357+1),"")</f>
        <v/>
      </c>
      <c r="AG3357" s="45" t="str">
        <f aca="false">IF(AND(AA3357=1,Y3357&lt;1),IF(AND(C3358=C3357,Y3358=Y3357+1),IF(AA3358=1,"",INDEX(DATAS,Y3357+1)),INDEX(DATAS,Y3357+1)),"")</f>
        <v/>
      </c>
    </row>
    <row r="3358" customFormat="false" ht="15" hidden="false" customHeight="false" outlineLevel="0" collapsed="false">
      <c r="A3358" s="45" t="n">
        <v>46309</v>
      </c>
      <c r="B3358" s="0" t="n">
        <v>13</v>
      </c>
      <c r="C3358" s="0" t="n">
        <v>7792</v>
      </c>
      <c r="E3358" s="0" t="n">
        <v>0</v>
      </c>
      <c r="F3358" s="39" t="s">
        <v>1533</v>
      </c>
      <c r="I3358" s="39" t="s">
        <v>136</v>
      </c>
      <c r="U3358" s="0" t="n">
        <v>132</v>
      </c>
      <c r="V3358" s="0" t="n">
        <v>0</v>
      </c>
      <c r="W3358" s="39" t="n">
        <f aca="false">IF(I3358="Male",0,1)</f>
        <v>1</v>
      </c>
      <c r="X3358" s="39" t="n">
        <f aca="false">IF(OR(I3358="DNB",I3358="Dry DNB"),1,0)</f>
        <v>0</v>
      </c>
      <c r="Y3358" s="39" t="n">
        <f aca="false">MATCH(A3358,DATAS,0)</f>
        <v>1</v>
      </c>
      <c r="Z3358" s="39" t="n">
        <f aca="false">IF(AND(E3358&gt;0,OR(AND(B3358&gt;=1,B3358&lt;=6),B3358=10)),1,0)</f>
        <v>0</v>
      </c>
      <c r="AA3358" s="39" t="n">
        <f aca="false">IF(AND(E3358&gt;0,B3358=10),1,0)</f>
        <v>0</v>
      </c>
      <c r="AB3358" s="0" t="str">
        <f aca="false">IF(AND(C3357=C3358,Y3357=Y3358-1),Z3357,"")</f>
        <v/>
      </c>
      <c r="AC3358" s="0" t="str">
        <f aca="false">IF(AND(C3357=C3358,Y3357=Y3358-1),AA3357,"")</f>
        <v/>
      </c>
      <c r="AD3358" s="0" t="str">
        <f aca="false">IF(Y3358=1,"",IF(AND(Z3358=1,AB3358&lt;&gt;1),1,0))</f>
        <v/>
      </c>
      <c r="AE3358" s="0" t="str">
        <f aca="false">IF(Y3358=1,"",IF(AND(AA3358=1,AC3358&lt;&gt;1),1,0))</f>
        <v/>
      </c>
      <c r="AF3358" s="45" t="str">
        <f aca="false">IF(AND(E3358&gt;0,Y3358&lt;1,NOT(AND(C3359=C3358,Y3359=Y3358+1))),INDEX(DATAS,Y3358+1),"")</f>
        <v/>
      </c>
      <c r="AG3358" s="45" t="str">
        <f aca="false">IF(AND(AA3358=1,Y3358&lt;1),IF(AND(C3359=C3358,Y3359=Y3358+1),IF(AA3359=1,"",INDEX(DATAS,Y3358+1)),INDEX(DATAS,Y3358+1)),"")</f>
        <v/>
      </c>
    </row>
    <row r="3359" customFormat="false" ht="15" hidden="false" customHeight="false" outlineLevel="0" collapsed="false">
      <c r="A3359" s="45" t="n">
        <v>46309</v>
      </c>
      <c r="B3359" s="0" t="n">
        <v>13</v>
      </c>
      <c r="C3359" s="0" t="n">
        <v>7793</v>
      </c>
      <c r="E3359" s="0" t="n">
        <v>0</v>
      </c>
      <c r="F3359" s="39" t="s">
        <v>1533</v>
      </c>
      <c r="I3359" s="39" t="s">
        <v>136</v>
      </c>
      <c r="U3359" s="0" t="n">
        <v>132</v>
      </c>
      <c r="V3359" s="0" t="n">
        <v>0</v>
      </c>
      <c r="W3359" s="39" t="n">
        <f aca="false">IF(I3359="Male",0,1)</f>
        <v>1</v>
      </c>
      <c r="X3359" s="39" t="n">
        <f aca="false">IF(OR(I3359="DNB",I3359="Dry DNB"),1,0)</f>
        <v>0</v>
      </c>
      <c r="Y3359" s="39" t="n">
        <f aca="false">MATCH(A3359,DATAS,0)</f>
        <v>1</v>
      </c>
      <c r="Z3359" s="39" t="n">
        <f aca="false">IF(AND(E3359&gt;0,OR(AND(B3359&gt;=1,B3359&lt;=6),B3359=10)),1,0)</f>
        <v>0</v>
      </c>
      <c r="AA3359" s="39" t="n">
        <f aca="false">IF(AND(E3359&gt;0,B3359=10),1,0)</f>
        <v>0</v>
      </c>
      <c r="AB3359" s="0" t="str">
        <f aca="false">IF(AND(C3358=C3359,Y3358=Y3359-1),Z3358,"")</f>
        <v/>
      </c>
      <c r="AC3359" s="0" t="str">
        <f aca="false">IF(AND(C3358=C3359,Y3358=Y3359-1),AA3358,"")</f>
        <v/>
      </c>
      <c r="AD3359" s="0" t="str">
        <f aca="false">IF(Y3359=1,"",IF(AND(Z3359=1,AB3359&lt;&gt;1),1,0))</f>
        <v/>
      </c>
      <c r="AE3359" s="0" t="str">
        <f aca="false">IF(Y3359=1,"",IF(AND(AA3359=1,AC3359&lt;&gt;1),1,0))</f>
        <v/>
      </c>
      <c r="AF3359" s="45" t="str">
        <f aca="false">IF(AND(E3359&gt;0,Y3359&lt;1,NOT(AND(C3360=C3359,Y3360=Y3359+1))),INDEX(DATAS,Y3359+1),"")</f>
        <v/>
      </c>
      <c r="AG3359" s="45" t="str">
        <f aca="false">IF(AND(AA3359=1,Y3359&lt;1),IF(AND(C3360=C3359,Y3360=Y3359+1),IF(AA3360=1,"",INDEX(DATAS,Y3359+1)),INDEX(DATAS,Y3359+1)),"")</f>
        <v/>
      </c>
    </row>
    <row r="3360" customFormat="false" ht="15" hidden="false" customHeight="false" outlineLevel="0" collapsed="false">
      <c r="A3360" s="45" t="n">
        <v>46309</v>
      </c>
      <c r="B3360" s="0" t="n">
        <v>13</v>
      </c>
      <c r="C3360" s="0" t="n">
        <v>7794</v>
      </c>
      <c r="E3360" s="0" t="n">
        <v>0</v>
      </c>
      <c r="F3360" s="39" t="s">
        <v>1533</v>
      </c>
      <c r="I3360" s="39" t="s">
        <v>136</v>
      </c>
      <c r="U3360" s="0" t="n">
        <v>132</v>
      </c>
      <c r="V3360" s="0" t="n">
        <v>0</v>
      </c>
      <c r="W3360" s="39" t="n">
        <f aca="false">IF(I3360="Male",0,1)</f>
        <v>1</v>
      </c>
      <c r="X3360" s="39" t="n">
        <f aca="false">IF(OR(I3360="DNB",I3360="Dry DNB"),1,0)</f>
        <v>0</v>
      </c>
      <c r="Y3360" s="39" t="n">
        <f aca="false">MATCH(A3360,DATAS,0)</f>
        <v>1</v>
      </c>
      <c r="Z3360" s="39" t="n">
        <f aca="false">IF(AND(E3360&gt;0,OR(AND(B3360&gt;=1,B3360&lt;=6),B3360=10)),1,0)</f>
        <v>0</v>
      </c>
      <c r="AA3360" s="39" t="n">
        <f aca="false">IF(AND(E3360&gt;0,B3360=10),1,0)</f>
        <v>0</v>
      </c>
      <c r="AB3360" s="0" t="str">
        <f aca="false">IF(AND(C3359=C3360,Y3359=Y3360-1),Z3359,"")</f>
        <v/>
      </c>
      <c r="AC3360" s="0" t="str">
        <f aca="false">IF(AND(C3359=C3360,Y3359=Y3360-1),AA3359,"")</f>
        <v/>
      </c>
      <c r="AD3360" s="0" t="str">
        <f aca="false">IF(Y3360=1,"",IF(AND(Z3360=1,AB3360&lt;&gt;1),1,0))</f>
        <v/>
      </c>
      <c r="AE3360" s="0" t="str">
        <f aca="false">IF(Y3360=1,"",IF(AND(AA3360=1,AC3360&lt;&gt;1),1,0))</f>
        <v/>
      </c>
      <c r="AF3360" s="45" t="str">
        <f aca="false">IF(AND(E3360&gt;0,Y3360&lt;1,NOT(AND(C3361=C3360,Y3361=Y3360+1))),INDEX(DATAS,Y3360+1),"")</f>
        <v/>
      </c>
      <c r="AG3360" s="45" t="str">
        <f aca="false">IF(AND(AA3360=1,Y3360&lt;1),IF(AND(C3361=C3360,Y3361=Y3360+1),IF(AA3361=1,"",INDEX(DATAS,Y3360+1)),INDEX(DATAS,Y3360+1)),"")</f>
        <v/>
      </c>
    </row>
    <row r="3361" customFormat="false" ht="15" hidden="false" customHeight="false" outlineLevel="0" collapsed="false">
      <c r="A3361" s="45" t="n">
        <v>46309</v>
      </c>
      <c r="B3361" s="0" t="n">
        <v>13</v>
      </c>
      <c r="C3361" s="0" t="n">
        <v>7795</v>
      </c>
      <c r="E3361" s="0" t="n">
        <v>0</v>
      </c>
      <c r="F3361" s="39" t="s">
        <v>1534</v>
      </c>
      <c r="I3361" s="39" t="s">
        <v>136</v>
      </c>
      <c r="U3361" s="0" t="n">
        <v>131</v>
      </c>
      <c r="V3361" s="0" t="n">
        <v>0</v>
      </c>
      <c r="W3361" s="39" t="n">
        <f aca="false">IF(I3361="Male",0,1)</f>
        <v>1</v>
      </c>
      <c r="X3361" s="39" t="n">
        <f aca="false">IF(OR(I3361="DNB",I3361="Dry DNB"),1,0)</f>
        <v>0</v>
      </c>
      <c r="Y3361" s="39" t="n">
        <f aca="false">MATCH(A3361,DATAS,0)</f>
        <v>1</v>
      </c>
      <c r="Z3361" s="39" t="n">
        <f aca="false">IF(AND(E3361&gt;0,OR(AND(B3361&gt;=1,B3361&lt;=6),B3361=10)),1,0)</f>
        <v>0</v>
      </c>
      <c r="AA3361" s="39" t="n">
        <f aca="false">IF(AND(E3361&gt;0,B3361=10),1,0)</f>
        <v>0</v>
      </c>
      <c r="AB3361" s="0" t="str">
        <f aca="false">IF(AND(C3360=C3361,Y3360=Y3361-1),Z3360,"")</f>
        <v/>
      </c>
      <c r="AC3361" s="0" t="str">
        <f aca="false">IF(AND(C3360=C3361,Y3360=Y3361-1),AA3360,"")</f>
        <v/>
      </c>
      <c r="AD3361" s="0" t="str">
        <f aca="false">IF(Y3361=1,"",IF(AND(Z3361=1,AB3361&lt;&gt;1),1,0))</f>
        <v/>
      </c>
      <c r="AE3361" s="0" t="str">
        <f aca="false">IF(Y3361=1,"",IF(AND(AA3361=1,AC3361&lt;&gt;1),1,0))</f>
        <v/>
      </c>
      <c r="AF3361" s="45" t="str">
        <f aca="false">IF(AND(E3361&gt;0,Y3361&lt;1,NOT(AND(C3362=C3361,Y3362=Y3361+1))),INDEX(DATAS,Y3361+1),"")</f>
        <v/>
      </c>
      <c r="AG3361" s="45" t="str">
        <f aca="false">IF(AND(AA3361=1,Y3361&lt;1),IF(AND(C3362=C3361,Y3362=Y3361+1),IF(AA3362=1,"",INDEX(DATAS,Y3361+1)),INDEX(DATAS,Y3361+1)),"")</f>
        <v/>
      </c>
    </row>
    <row r="3362" customFormat="false" ht="15" hidden="false" customHeight="false" outlineLevel="0" collapsed="false">
      <c r="A3362" s="45" t="n">
        <v>46309</v>
      </c>
      <c r="B3362" s="0" t="n">
        <v>13</v>
      </c>
      <c r="C3362" s="0" t="n">
        <v>7796</v>
      </c>
      <c r="E3362" s="0" t="n">
        <v>0</v>
      </c>
      <c r="F3362" s="39" t="s">
        <v>1534</v>
      </c>
      <c r="I3362" s="39" t="s">
        <v>136</v>
      </c>
      <c r="U3362" s="0" t="n">
        <v>131</v>
      </c>
      <c r="V3362" s="0" t="n">
        <v>0</v>
      </c>
      <c r="W3362" s="39" t="n">
        <f aca="false">IF(I3362="Male",0,1)</f>
        <v>1</v>
      </c>
      <c r="X3362" s="39" t="n">
        <f aca="false">IF(OR(I3362="DNB",I3362="Dry DNB"),1,0)</f>
        <v>0</v>
      </c>
      <c r="Y3362" s="39" t="n">
        <f aca="false">MATCH(A3362,DATAS,0)</f>
        <v>1</v>
      </c>
      <c r="Z3362" s="39" t="n">
        <f aca="false">IF(AND(E3362&gt;0,OR(AND(B3362&gt;=1,B3362&lt;=6),B3362=10)),1,0)</f>
        <v>0</v>
      </c>
      <c r="AA3362" s="39" t="n">
        <f aca="false">IF(AND(E3362&gt;0,B3362=10),1,0)</f>
        <v>0</v>
      </c>
      <c r="AB3362" s="0" t="str">
        <f aca="false">IF(AND(C3361=C3362,Y3361=Y3362-1),Z3361,"")</f>
        <v/>
      </c>
      <c r="AC3362" s="0" t="str">
        <f aca="false">IF(AND(C3361=C3362,Y3361=Y3362-1),AA3361,"")</f>
        <v/>
      </c>
      <c r="AD3362" s="0" t="str">
        <f aca="false">IF(Y3362=1,"",IF(AND(Z3362=1,AB3362&lt;&gt;1),1,0))</f>
        <v/>
      </c>
      <c r="AE3362" s="0" t="str">
        <f aca="false">IF(Y3362=1,"",IF(AND(AA3362=1,AC3362&lt;&gt;1),1,0))</f>
        <v/>
      </c>
      <c r="AF3362" s="45" t="str">
        <f aca="false">IF(AND(E3362&gt;0,Y3362&lt;1,NOT(AND(C3363=C3362,Y3363=Y3362+1))),INDEX(DATAS,Y3362+1),"")</f>
        <v/>
      </c>
      <c r="AG3362" s="45" t="str">
        <f aca="false">IF(AND(AA3362=1,Y3362&lt;1),IF(AND(C3363=C3362,Y3363=Y3362+1),IF(AA3363=1,"",INDEX(DATAS,Y3362+1)),INDEX(DATAS,Y3362+1)),"")</f>
        <v/>
      </c>
    </row>
    <row r="3363" customFormat="false" ht="15" hidden="false" customHeight="false" outlineLevel="0" collapsed="false">
      <c r="A3363" s="45" t="n">
        <v>46309</v>
      </c>
      <c r="B3363" s="0" t="n">
        <v>13</v>
      </c>
      <c r="C3363" s="0" t="n">
        <v>7797</v>
      </c>
      <c r="E3363" s="0" t="n">
        <v>0</v>
      </c>
      <c r="F3363" s="39" t="s">
        <v>1534</v>
      </c>
      <c r="I3363" s="39" t="s">
        <v>136</v>
      </c>
      <c r="U3363" s="0" t="n">
        <v>131</v>
      </c>
      <c r="V3363" s="0" t="n">
        <v>0</v>
      </c>
      <c r="W3363" s="39" t="n">
        <f aca="false">IF(I3363="Male",0,1)</f>
        <v>1</v>
      </c>
      <c r="X3363" s="39" t="n">
        <f aca="false">IF(OR(I3363="DNB",I3363="Dry DNB"),1,0)</f>
        <v>0</v>
      </c>
      <c r="Y3363" s="39" t="n">
        <f aca="false">MATCH(A3363,DATAS,0)</f>
        <v>1</v>
      </c>
      <c r="Z3363" s="39" t="n">
        <f aca="false">IF(AND(E3363&gt;0,OR(AND(B3363&gt;=1,B3363&lt;=6),B3363=10)),1,0)</f>
        <v>0</v>
      </c>
      <c r="AA3363" s="39" t="n">
        <f aca="false">IF(AND(E3363&gt;0,B3363=10),1,0)</f>
        <v>0</v>
      </c>
      <c r="AB3363" s="0" t="str">
        <f aca="false">IF(AND(C3362=C3363,Y3362=Y3363-1),Z3362,"")</f>
        <v/>
      </c>
      <c r="AC3363" s="0" t="str">
        <f aca="false">IF(AND(C3362=C3363,Y3362=Y3363-1),AA3362,"")</f>
        <v/>
      </c>
      <c r="AD3363" s="0" t="str">
        <f aca="false">IF(Y3363=1,"",IF(AND(Z3363=1,AB3363&lt;&gt;1),1,0))</f>
        <v/>
      </c>
      <c r="AE3363" s="0" t="str">
        <f aca="false">IF(Y3363=1,"",IF(AND(AA3363=1,AC3363&lt;&gt;1),1,0))</f>
        <v/>
      </c>
      <c r="AF3363" s="45" t="str">
        <f aca="false">IF(AND(E3363&gt;0,Y3363&lt;1,NOT(AND(C3364=C3363,Y3364=Y3363+1))),INDEX(DATAS,Y3363+1),"")</f>
        <v/>
      </c>
      <c r="AG3363" s="45" t="str">
        <f aca="false">IF(AND(AA3363=1,Y3363&lt;1),IF(AND(C3364=C3363,Y3364=Y3363+1),IF(AA3364=1,"",INDEX(DATAS,Y3363+1)),INDEX(DATAS,Y3363+1)),"")</f>
        <v/>
      </c>
    </row>
    <row r="3364" customFormat="false" ht="15" hidden="false" customHeight="false" outlineLevel="0" collapsed="false">
      <c r="A3364" s="45" t="n">
        <v>46309</v>
      </c>
      <c r="B3364" s="0" t="n">
        <v>13</v>
      </c>
      <c r="C3364" s="0" t="n">
        <v>7799</v>
      </c>
      <c r="E3364" s="0" t="n">
        <v>0</v>
      </c>
      <c r="F3364" s="39" t="s">
        <v>1534</v>
      </c>
      <c r="I3364" s="39" t="s">
        <v>136</v>
      </c>
      <c r="U3364" s="0" t="n">
        <v>131</v>
      </c>
      <c r="V3364" s="0" t="n">
        <v>0</v>
      </c>
      <c r="W3364" s="39" t="n">
        <f aca="false">IF(I3364="Male",0,1)</f>
        <v>1</v>
      </c>
      <c r="X3364" s="39" t="n">
        <f aca="false">IF(OR(I3364="DNB",I3364="Dry DNB"),1,0)</f>
        <v>0</v>
      </c>
      <c r="Y3364" s="39" t="n">
        <f aca="false">MATCH(A3364,DATAS,0)</f>
        <v>1</v>
      </c>
      <c r="Z3364" s="39" t="n">
        <f aca="false">IF(AND(E3364&gt;0,OR(AND(B3364&gt;=1,B3364&lt;=6),B3364=10)),1,0)</f>
        <v>0</v>
      </c>
      <c r="AA3364" s="39" t="n">
        <f aca="false">IF(AND(E3364&gt;0,B3364=10),1,0)</f>
        <v>0</v>
      </c>
      <c r="AB3364" s="0" t="str">
        <f aca="false">IF(AND(C3363=C3364,Y3363=Y3364-1),Z3363,"")</f>
        <v/>
      </c>
      <c r="AC3364" s="0" t="str">
        <f aca="false">IF(AND(C3363=C3364,Y3363=Y3364-1),AA3363,"")</f>
        <v/>
      </c>
      <c r="AD3364" s="0" t="str">
        <f aca="false">IF(Y3364=1,"",IF(AND(Z3364=1,AB3364&lt;&gt;1),1,0))</f>
        <v/>
      </c>
      <c r="AE3364" s="0" t="str">
        <f aca="false">IF(Y3364=1,"",IF(AND(AA3364=1,AC3364&lt;&gt;1),1,0))</f>
        <v/>
      </c>
      <c r="AF3364" s="45" t="str">
        <f aca="false">IF(AND(E3364&gt;0,Y3364&lt;1,NOT(AND(C3365=C3364,Y3365=Y3364+1))),INDEX(DATAS,Y3364+1),"")</f>
        <v/>
      </c>
      <c r="AG3364" s="45" t="str">
        <f aca="false">IF(AND(AA3364=1,Y3364&lt;1),IF(AND(C3365=C3364,Y3365=Y3364+1),IF(AA3365=1,"",INDEX(DATAS,Y3364+1)),INDEX(DATAS,Y3364+1)),"")</f>
        <v/>
      </c>
    </row>
    <row r="3365" customFormat="false" ht="15" hidden="false" customHeight="false" outlineLevel="0" collapsed="false">
      <c r="A3365" s="45" t="n">
        <v>46309</v>
      </c>
      <c r="B3365" s="0" t="n">
        <v>13</v>
      </c>
      <c r="C3365" s="0" t="n">
        <v>7800</v>
      </c>
      <c r="E3365" s="0" t="n">
        <v>0</v>
      </c>
      <c r="F3365" s="39" t="s">
        <v>1535</v>
      </c>
      <c r="I3365" s="39" t="s">
        <v>136</v>
      </c>
      <c r="U3365" s="0" t="n">
        <v>130</v>
      </c>
      <c r="V3365" s="0" t="n">
        <v>0</v>
      </c>
      <c r="W3365" s="39" t="n">
        <f aca="false">IF(I3365="Male",0,1)</f>
        <v>1</v>
      </c>
      <c r="X3365" s="39" t="n">
        <f aca="false">IF(OR(I3365="DNB",I3365="Dry DNB"),1,0)</f>
        <v>0</v>
      </c>
      <c r="Y3365" s="39" t="n">
        <f aca="false">MATCH(A3365,DATAS,0)</f>
        <v>1</v>
      </c>
      <c r="Z3365" s="39" t="n">
        <f aca="false">IF(AND(E3365&gt;0,OR(AND(B3365&gt;=1,B3365&lt;=6),B3365=10)),1,0)</f>
        <v>0</v>
      </c>
      <c r="AA3365" s="39" t="n">
        <f aca="false">IF(AND(E3365&gt;0,B3365=10),1,0)</f>
        <v>0</v>
      </c>
      <c r="AB3365" s="0" t="str">
        <f aca="false">IF(AND(C3364=C3365,Y3364=Y3365-1),Z3364,"")</f>
        <v/>
      </c>
      <c r="AC3365" s="0" t="str">
        <f aca="false">IF(AND(C3364=C3365,Y3364=Y3365-1),AA3364,"")</f>
        <v/>
      </c>
      <c r="AD3365" s="0" t="str">
        <f aca="false">IF(Y3365=1,"",IF(AND(Z3365=1,AB3365&lt;&gt;1),1,0))</f>
        <v/>
      </c>
      <c r="AE3365" s="0" t="str">
        <f aca="false">IF(Y3365=1,"",IF(AND(AA3365=1,AC3365&lt;&gt;1),1,0))</f>
        <v/>
      </c>
      <c r="AF3365" s="45" t="str">
        <f aca="false">IF(AND(E3365&gt;0,Y3365&lt;1,NOT(AND(C3366=C3365,Y3366=Y3365+1))),INDEX(DATAS,Y3365+1),"")</f>
        <v/>
      </c>
      <c r="AG3365" s="45" t="str">
        <f aca="false">IF(AND(AA3365=1,Y3365&lt;1),IF(AND(C3366=C3365,Y3366=Y3365+1),IF(AA3366=1,"",INDEX(DATAS,Y3365+1)),INDEX(DATAS,Y3365+1)),"")</f>
        <v/>
      </c>
    </row>
    <row r="3366" customFormat="false" ht="15" hidden="false" customHeight="false" outlineLevel="0" collapsed="false">
      <c r="A3366" s="45" t="n">
        <v>46309</v>
      </c>
      <c r="B3366" s="0" t="n">
        <v>13</v>
      </c>
      <c r="C3366" s="0" t="n">
        <v>7801</v>
      </c>
      <c r="E3366" s="0" t="n">
        <v>0</v>
      </c>
      <c r="F3366" s="39" t="s">
        <v>1535</v>
      </c>
      <c r="I3366" s="39" t="s">
        <v>136</v>
      </c>
      <c r="U3366" s="0" t="n">
        <v>130</v>
      </c>
      <c r="V3366" s="0" t="n">
        <v>0</v>
      </c>
      <c r="W3366" s="39" t="n">
        <f aca="false">IF(I3366="Male",0,1)</f>
        <v>1</v>
      </c>
      <c r="X3366" s="39" t="n">
        <f aca="false">IF(OR(I3366="DNB",I3366="Dry DNB"),1,0)</f>
        <v>0</v>
      </c>
      <c r="Y3366" s="39" t="n">
        <f aca="false">MATCH(A3366,DATAS,0)</f>
        <v>1</v>
      </c>
      <c r="Z3366" s="39" t="n">
        <f aca="false">IF(AND(E3366&gt;0,OR(AND(B3366&gt;=1,B3366&lt;=6),B3366=10)),1,0)</f>
        <v>0</v>
      </c>
      <c r="AA3366" s="39" t="n">
        <f aca="false">IF(AND(E3366&gt;0,B3366=10),1,0)</f>
        <v>0</v>
      </c>
      <c r="AB3366" s="0" t="str">
        <f aca="false">IF(AND(C3365=C3366,Y3365=Y3366-1),Z3365,"")</f>
        <v/>
      </c>
      <c r="AC3366" s="0" t="str">
        <f aca="false">IF(AND(C3365=C3366,Y3365=Y3366-1),AA3365,"")</f>
        <v/>
      </c>
      <c r="AD3366" s="0" t="str">
        <f aca="false">IF(Y3366=1,"",IF(AND(Z3366=1,AB3366&lt;&gt;1),1,0))</f>
        <v/>
      </c>
      <c r="AE3366" s="0" t="str">
        <f aca="false">IF(Y3366=1,"",IF(AND(AA3366=1,AC3366&lt;&gt;1),1,0))</f>
        <v/>
      </c>
      <c r="AF3366" s="45" t="str">
        <f aca="false">IF(AND(E3366&gt;0,Y3366&lt;1,NOT(AND(C3367=C3366,Y3367=Y3366+1))),INDEX(DATAS,Y3366+1),"")</f>
        <v/>
      </c>
      <c r="AG3366" s="45" t="str">
        <f aca="false">IF(AND(AA3366=1,Y3366&lt;1),IF(AND(C3367=C3366,Y3367=Y3366+1),IF(AA3367=1,"",INDEX(DATAS,Y3366+1)),INDEX(DATAS,Y3366+1)),"")</f>
        <v/>
      </c>
    </row>
    <row r="3367" customFormat="false" ht="15" hidden="false" customHeight="false" outlineLevel="0" collapsed="false">
      <c r="A3367" s="45" t="n">
        <v>46309</v>
      </c>
      <c r="B3367" s="0" t="n">
        <v>13</v>
      </c>
      <c r="C3367" s="0" t="n">
        <v>7802</v>
      </c>
      <c r="E3367" s="0" t="n">
        <v>0</v>
      </c>
      <c r="F3367" s="39" t="s">
        <v>1535</v>
      </c>
      <c r="I3367" s="39" t="s">
        <v>136</v>
      </c>
      <c r="U3367" s="0" t="n">
        <v>130</v>
      </c>
      <c r="V3367" s="0" t="n">
        <v>0</v>
      </c>
      <c r="W3367" s="39" t="n">
        <f aca="false">IF(I3367="Male",0,1)</f>
        <v>1</v>
      </c>
      <c r="X3367" s="39" t="n">
        <f aca="false">IF(OR(I3367="DNB",I3367="Dry DNB"),1,0)</f>
        <v>0</v>
      </c>
      <c r="Y3367" s="39" t="n">
        <f aca="false">MATCH(A3367,DATAS,0)</f>
        <v>1</v>
      </c>
      <c r="Z3367" s="39" t="n">
        <f aca="false">IF(AND(E3367&gt;0,OR(AND(B3367&gt;=1,B3367&lt;=6),B3367=10)),1,0)</f>
        <v>0</v>
      </c>
      <c r="AA3367" s="39" t="n">
        <f aca="false">IF(AND(E3367&gt;0,B3367=10),1,0)</f>
        <v>0</v>
      </c>
      <c r="AB3367" s="0" t="str">
        <f aca="false">IF(AND(C3366=C3367,Y3366=Y3367-1),Z3366,"")</f>
        <v/>
      </c>
      <c r="AC3367" s="0" t="str">
        <f aca="false">IF(AND(C3366=C3367,Y3366=Y3367-1),AA3366,"")</f>
        <v/>
      </c>
      <c r="AD3367" s="0" t="str">
        <f aca="false">IF(Y3367=1,"",IF(AND(Z3367=1,AB3367&lt;&gt;1),1,0))</f>
        <v/>
      </c>
      <c r="AE3367" s="0" t="str">
        <f aca="false">IF(Y3367=1,"",IF(AND(AA3367=1,AC3367&lt;&gt;1),1,0))</f>
        <v/>
      </c>
      <c r="AF3367" s="45" t="str">
        <f aca="false">IF(AND(E3367&gt;0,Y3367&lt;1,NOT(AND(C3368=C3367,Y3368=Y3367+1))),INDEX(DATAS,Y3367+1),"")</f>
        <v/>
      </c>
      <c r="AG3367" s="45" t="str">
        <f aca="false">IF(AND(AA3367=1,Y3367&lt;1),IF(AND(C3368=C3367,Y3368=Y3367+1),IF(AA3368=1,"",INDEX(DATAS,Y3367+1)),INDEX(DATAS,Y3367+1)),"")</f>
        <v/>
      </c>
    </row>
    <row r="3368" customFormat="false" ht="15" hidden="false" customHeight="false" outlineLevel="0" collapsed="false">
      <c r="A3368" s="45" t="n">
        <v>46309</v>
      </c>
      <c r="B3368" s="0" t="n">
        <v>13</v>
      </c>
      <c r="C3368" s="0" t="n">
        <v>7803</v>
      </c>
      <c r="E3368" s="0" t="n">
        <v>0</v>
      </c>
      <c r="F3368" s="39" t="s">
        <v>1536</v>
      </c>
      <c r="I3368" s="39" t="s">
        <v>136</v>
      </c>
      <c r="U3368" s="0" t="n">
        <v>129</v>
      </c>
      <c r="V3368" s="0" t="n">
        <v>0</v>
      </c>
      <c r="W3368" s="39" t="n">
        <f aca="false">IF(I3368="Male",0,1)</f>
        <v>1</v>
      </c>
      <c r="X3368" s="39" t="n">
        <f aca="false">IF(OR(I3368="DNB",I3368="Dry DNB"),1,0)</f>
        <v>0</v>
      </c>
      <c r="Y3368" s="39" t="n">
        <f aca="false">MATCH(A3368,DATAS,0)</f>
        <v>1</v>
      </c>
      <c r="Z3368" s="39" t="n">
        <f aca="false">IF(AND(E3368&gt;0,OR(AND(B3368&gt;=1,B3368&lt;=6),B3368=10)),1,0)</f>
        <v>0</v>
      </c>
      <c r="AA3368" s="39" t="n">
        <f aca="false">IF(AND(E3368&gt;0,B3368=10),1,0)</f>
        <v>0</v>
      </c>
      <c r="AB3368" s="0" t="str">
        <f aca="false">IF(AND(C3367=C3368,Y3367=Y3368-1),Z3367,"")</f>
        <v/>
      </c>
      <c r="AC3368" s="0" t="str">
        <f aca="false">IF(AND(C3367=C3368,Y3367=Y3368-1),AA3367,"")</f>
        <v/>
      </c>
      <c r="AD3368" s="0" t="str">
        <f aca="false">IF(Y3368=1,"",IF(AND(Z3368=1,AB3368&lt;&gt;1),1,0))</f>
        <v/>
      </c>
      <c r="AE3368" s="0" t="str">
        <f aca="false">IF(Y3368=1,"",IF(AND(AA3368=1,AC3368&lt;&gt;1),1,0))</f>
        <v/>
      </c>
      <c r="AF3368" s="45" t="str">
        <f aca="false">IF(AND(E3368&gt;0,Y3368&lt;1,NOT(AND(C3369=C3368,Y3369=Y3368+1))),INDEX(DATAS,Y3368+1),"")</f>
        <v/>
      </c>
      <c r="AG3368" s="45" t="str">
        <f aca="false">IF(AND(AA3368=1,Y3368&lt;1),IF(AND(C3369=C3368,Y3369=Y3368+1),IF(AA3369=1,"",INDEX(DATAS,Y3368+1)),INDEX(DATAS,Y3368+1)),"")</f>
        <v/>
      </c>
    </row>
    <row r="3369" customFormat="false" ht="15" hidden="false" customHeight="false" outlineLevel="0" collapsed="false">
      <c r="A3369" s="45" t="n">
        <v>46309</v>
      </c>
      <c r="B3369" s="0" t="n">
        <v>13</v>
      </c>
      <c r="C3369" s="0" t="n">
        <v>7804</v>
      </c>
      <c r="E3369" s="0" t="n">
        <v>0</v>
      </c>
      <c r="F3369" s="39" t="s">
        <v>1536</v>
      </c>
      <c r="I3369" s="39" t="s">
        <v>136</v>
      </c>
      <c r="U3369" s="0" t="n">
        <v>129</v>
      </c>
      <c r="V3369" s="0" t="n">
        <v>0</v>
      </c>
      <c r="W3369" s="39" t="n">
        <f aca="false">IF(I3369="Male",0,1)</f>
        <v>1</v>
      </c>
      <c r="X3369" s="39" t="n">
        <f aca="false">IF(OR(I3369="DNB",I3369="Dry DNB"),1,0)</f>
        <v>0</v>
      </c>
      <c r="Y3369" s="39" t="n">
        <f aca="false">MATCH(A3369,DATAS,0)</f>
        <v>1</v>
      </c>
      <c r="Z3369" s="39" t="n">
        <f aca="false">IF(AND(E3369&gt;0,OR(AND(B3369&gt;=1,B3369&lt;=6),B3369=10)),1,0)</f>
        <v>0</v>
      </c>
      <c r="AA3369" s="39" t="n">
        <f aca="false">IF(AND(E3369&gt;0,B3369=10),1,0)</f>
        <v>0</v>
      </c>
      <c r="AB3369" s="0" t="str">
        <f aca="false">IF(AND(C3368=C3369,Y3368=Y3369-1),Z3368,"")</f>
        <v/>
      </c>
      <c r="AC3369" s="0" t="str">
        <f aca="false">IF(AND(C3368=C3369,Y3368=Y3369-1),AA3368,"")</f>
        <v/>
      </c>
      <c r="AD3369" s="0" t="str">
        <f aca="false">IF(Y3369=1,"",IF(AND(Z3369=1,AB3369&lt;&gt;1),1,0))</f>
        <v/>
      </c>
      <c r="AE3369" s="0" t="str">
        <f aca="false">IF(Y3369=1,"",IF(AND(AA3369=1,AC3369&lt;&gt;1),1,0))</f>
        <v/>
      </c>
      <c r="AF3369" s="45" t="str">
        <f aca="false">IF(AND(E3369&gt;0,Y3369&lt;1,NOT(AND(C3370=C3369,Y3370=Y3369+1))),INDEX(DATAS,Y3369+1),"")</f>
        <v/>
      </c>
      <c r="AG3369" s="45" t="str">
        <f aca="false">IF(AND(AA3369=1,Y3369&lt;1),IF(AND(C3370=C3369,Y3370=Y3369+1),IF(AA3370=1,"",INDEX(DATAS,Y3369+1)),INDEX(DATAS,Y3369+1)),"")</f>
        <v/>
      </c>
    </row>
    <row r="3370" customFormat="false" ht="15" hidden="false" customHeight="false" outlineLevel="0" collapsed="false">
      <c r="A3370" s="45" t="n">
        <v>46309</v>
      </c>
      <c r="B3370" s="0" t="n">
        <v>13</v>
      </c>
      <c r="C3370" s="0" t="n">
        <v>7805</v>
      </c>
      <c r="E3370" s="0" t="n">
        <v>0</v>
      </c>
      <c r="F3370" s="39" t="s">
        <v>1536</v>
      </c>
      <c r="I3370" s="39" t="s">
        <v>136</v>
      </c>
      <c r="U3370" s="0" t="n">
        <v>129</v>
      </c>
      <c r="V3370" s="0" t="n">
        <v>0</v>
      </c>
      <c r="W3370" s="39" t="n">
        <f aca="false">IF(I3370="Male",0,1)</f>
        <v>1</v>
      </c>
      <c r="X3370" s="39" t="n">
        <f aca="false">IF(OR(I3370="DNB",I3370="Dry DNB"),1,0)</f>
        <v>0</v>
      </c>
      <c r="Y3370" s="39" t="n">
        <f aca="false">MATCH(A3370,DATAS,0)</f>
        <v>1</v>
      </c>
      <c r="Z3370" s="39" t="n">
        <f aca="false">IF(AND(E3370&gt;0,OR(AND(B3370&gt;=1,B3370&lt;=6),B3370=10)),1,0)</f>
        <v>0</v>
      </c>
      <c r="AA3370" s="39" t="n">
        <f aca="false">IF(AND(E3370&gt;0,B3370=10),1,0)</f>
        <v>0</v>
      </c>
      <c r="AB3370" s="0" t="str">
        <f aca="false">IF(AND(C3369=C3370,Y3369=Y3370-1),Z3369,"")</f>
        <v/>
      </c>
      <c r="AC3370" s="0" t="str">
        <f aca="false">IF(AND(C3369=C3370,Y3369=Y3370-1),AA3369,"")</f>
        <v/>
      </c>
      <c r="AD3370" s="0" t="str">
        <f aca="false">IF(Y3370=1,"",IF(AND(Z3370=1,AB3370&lt;&gt;1),1,0))</f>
        <v/>
      </c>
      <c r="AE3370" s="0" t="str">
        <f aca="false">IF(Y3370=1,"",IF(AND(AA3370=1,AC3370&lt;&gt;1),1,0))</f>
        <v/>
      </c>
      <c r="AF3370" s="45" t="str">
        <f aca="false">IF(AND(E3370&gt;0,Y3370&lt;1,NOT(AND(C3371=C3370,Y3371=Y3370+1))),INDEX(DATAS,Y3370+1),"")</f>
        <v/>
      </c>
      <c r="AG3370" s="45" t="str">
        <f aca="false">IF(AND(AA3370=1,Y3370&lt;1),IF(AND(C3371=C3370,Y3371=Y3370+1),IF(AA3371=1,"",INDEX(DATAS,Y3370+1)),INDEX(DATAS,Y3370+1)),"")</f>
        <v/>
      </c>
    </row>
    <row r="3371" customFormat="false" ht="15" hidden="false" customHeight="false" outlineLevel="0" collapsed="false">
      <c r="A3371" s="45" t="n">
        <v>46309</v>
      </c>
      <c r="B3371" s="0" t="n">
        <v>13</v>
      </c>
      <c r="C3371" s="0" t="n">
        <v>7806</v>
      </c>
      <c r="E3371" s="0" t="n">
        <v>0</v>
      </c>
      <c r="F3371" s="39" t="s">
        <v>1537</v>
      </c>
      <c r="I3371" s="39" t="s">
        <v>136</v>
      </c>
      <c r="U3371" s="0" t="n">
        <v>128</v>
      </c>
      <c r="V3371" s="0" t="n">
        <v>0</v>
      </c>
      <c r="W3371" s="39" t="n">
        <f aca="false">IF(I3371="Male",0,1)</f>
        <v>1</v>
      </c>
      <c r="X3371" s="39" t="n">
        <f aca="false">IF(OR(I3371="DNB",I3371="Dry DNB"),1,0)</f>
        <v>0</v>
      </c>
      <c r="Y3371" s="39" t="n">
        <f aca="false">MATCH(A3371,DATAS,0)</f>
        <v>1</v>
      </c>
      <c r="Z3371" s="39" t="n">
        <f aca="false">IF(AND(E3371&gt;0,OR(AND(B3371&gt;=1,B3371&lt;=6),B3371=10)),1,0)</f>
        <v>0</v>
      </c>
      <c r="AA3371" s="39" t="n">
        <f aca="false">IF(AND(E3371&gt;0,B3371=10),1,0)</f>
        <v>0</v>
      </c>
      <c r="AB3371" s="0" t="str">
        <f aca="false">IF(AND(C3370=C3371,Y3370=Y3371-1),Z3370,"")</f>
        <v/>
      </c>
      <c r="AC3371" s="0" t="str">
        <f aca="false">IF(AND(C3370=C3371,Y3370=Y3371-1),AA3370,"")</f>
        <v/>
      </c>
      <c r="AD3371" s="0" t="str">
        <f aca="false">IF(Y3371=1,"",IF(AND(Z3371=1,AB3371&lt;&gt;1),1,0))</f>
        <v/>
      </c>
      <c r="AE3371" s="0" t="str">
        <f aca="false">IF(Y3371=1,"",IF(AND(AA3371=1,AC3371&lt;&gt;1),1,0))</f>
        <v/>
      </c>
      <c r="AF3371" s="45" t="str">
        <f aca="false">IF(AND(E3371&gt;0,Y3371&lt;1,NOT(AND(C3372=C3371,Y3372=Y3371+1))),INDEX(DATAS,Y3371+1),"")</f>
        <v/>
      </c>
      <c r="AG3371" s="45" t="str">
        <f aca="false">IF(AND(AA3371=1,Y3371&lt;1),IF(AND(C3372=C3371,Y3372=Y3371+1),IF(AA3372=1,"",INDEX(DATAS,Y3371+1)),INDEX(DATAS,Y3371+1)),"")</f>
        <v/>
      </c>
    </row>
    <row r="3372" customFormat="false" ht="15" hidden="false" customHeight="false" outlineLevel="0" collapsed="false">
      <c r="A3372" s="45" t="n">
        <v>46309</v>
      </c>
      <c r="B3372" s="0" t="n">
        <v>13</v>
      </c>
      <c r="C3372" s="0" t="n">
        <v>7807</v>
      </c>
      <c r="E3372" s="0" t="n">
        <v>0</v>
      </c>
      <c r="F3372" s="39" t="s">
        <v>1538</v>
      </c>
      <c r="I3372" s="39" t="s">
        <v>136</v>
      </c>
      <c r="U3372" s="0" t="n">
        <v>127</v>
      </c>
      <c r="V3372" s="0" t="n">
        <v>0</v>
      </c>
      <c r="W3372" s="39" t="n">
        <f aca="false">IF(I3372="Male",0,1)</f>
        <v>1</v>
      </c>
      <c r="X3372" s="39" t="n">
        <f aca="false">IF(OR(I3372="DNB",I3372="Dry DNB"),1,0)</f>
        <v>0</v>
      </c>
      <c r="Y3372" s="39" t="n">
        <f aca="false">MATCH(A3372,DATAS,0)</f>
        <v>1</v>
      </c>
      <c r="Z3372" s="39" t="n">
        <f aca="false">IF(AND(E3372&gt;0,OR(AND(B3372&gt;=1,B3372&lt;=6),B3372=10)),1,0)</f>
        <v>0</v>
      </c>
      <c r="AA3372" s="39" t="n">
        <f aca="false">IF(AND(E3372&gt;0,B3372=10),1,0)</f>
        <v>0</v>
      </c>
      <c r="AB3372" s="0" t="str">
        <f aca="false">IF(AND(C3371=C3372,Y3371=Y3372-1),Z3371,"")</f>
        <v/>
      </c>
      <c r="AC3372" s="0" t="str">
        <f aca="false">IF(AND(C3371=C3372,Y3371=Y3372-1),AA3371,"")</f>
        <v/>
      </c>
      <c r="AD3372" s="0" t="str">
        <f aca="false">IF(Y3372=1,"",IF(AND(Z3372=1,AB3372&lt;&gt;1),1,0))</f>
        <v/>
      </c>
      <c r="AE3372" s="0" t="str">
        <f aca="false">IF(Y3372=1,"",IF(AND(AA3372=1,AC3372&lt;&gt;1),1,0))</f>
        <v/>
      </c>
      <c r="AF3372" s="45" t="str">
        <f aca="false">IF(AND(E3372&gt;0,Y3372&lt;1,NOT(AND(C3373=C3372,Y3373=Y3372+1))),INDEX(DATAS,Y3372+1),"")</f>
        <v/>
      </c>
      <c r="AG3372" s="45" t="str">
        <f aca="false">IF(AND(AA3372=1,Y3372&lt;1),IF(AND(C3373=C3372,Y3373=Y3372+1),IF(AA3373=1,"",INDEX(DATAS,Y3372+1)),INDEX(DATAS,Y3372+1)),"")</f>
        <v/>
      </c>
    </row>
    <row r="3373" customFormat="false" ht="15" hidden="false" customHeight="false" outlineLevel="0" collapsed="false">
      <c r="A3373" s="45" t="n">
        <v>46309</v>
      </c>
      <c r="B3373" s="0" t="n">
        <v>13</v>
      </c>
      <c r="C3373" s="0" t="n">
        <v>7808</v>
      </c>
      <c r="E3373" s="0" t="n">
        <v>0</v>
      </c>
      <c r="F3373" s="39" t="s">
        <v>1538</v>
      </c>
      <c r="I3373" s="39" t="s">
        <v>136</v>
      </c>
      <c r="U3373" s="0" t="n">
        <v>127</v>
      </c>
      <c r="V3373" s="0" t="n">
        <v>0</v>
      </c>
      <c r="W3373" s="39" t="n">
        <f aca="false">IF(I3373="Male",0,1)</f>
        <v>1</v>
      </c>
      <c r="X3373" s="39" t="n">
        <f aca="false">IF(OR(I3373="DNB",I3373="Dry DNB"),1,0)</f>
        <v>0</v>
      </c>
      <c r="Y3373" s="39" t="n">
        <f aca="false">MATCH(A3373,DATAS,0)</f>
        <v>1</v>
      </c>
      <c r="Z3373" s="39" t="n">
        <f aca="false">IF(AND(E3373&gt;0,OR(AND(B3373&gt;=1,B3373&lt;=6),B3373=10)),1,0)</f>
        <v>0</v>
      </c>
      <c r="AA3373" s="39" t="n">
        <f aca="false">IF(AND(E3373&gt;0,B3373=10),1,0)</f>
        <v>0</v>
      </c>
      <c r="AB3373" s="0" t="str">
        <f aca="false">IF(AND(C3372=C3373,Y3372=Y3373-1),Z3372,"")</f>
        <v/>
      </c>
      <c r="AC3373" s="0" t="str">
        <f aca="false">IF(AND(C3372=C3373,Y3372=Y3373-1),AA3372,"")</f>
        <v/>
      </c>
      <c r="AD3373" s="0" t="str">
        <f aca="false">IF(Y3373=1,"",IF(AND(Z3373=1,AB3373&lt;&gt;1),1,0))</f>
        <v/>
      </c>
      <c r="AE3373" s="0" t="str">
        <f aca="false">IF(Y3373=1,"",IF(AND(AA3373=1,AC3373&lt;&gt;1),1,0))</f>
        <v/>
      </c>
      <c r="AF3373" s="45" t="str">
        <f aca="false">IF(AND(E3373&gt;0,Y3373&lt;1,NOT(AND(C3374=C3373,Y3374=Y3373+1))),INDEX(DATAS,Y3373+1),"")</f>
        <v/>
      </c>
      <c r="AG3373" s="45" t="str">
        <f aca="false">IF(AND(AA3373=1,Y3373&lt;1),IF(AND(C3374=C3373,Y3374=Y3373+1),IF(AA3374=1,"",INDEX(DATAS,Y3373+1)),INDEX(DATAS,Y3373+1)),"")</f>
        <v/>
      </c>
    </row>
    <row r="3374" customFormat="false" ht="15" hidden="false" customHeight="false" outlineLevel="0" collapsed="false">
      <c r="A3374" s="45" t="n">
        <v>46309</v>
      </c>
      <c r="B3374" s="0" t="n">
        <v>13</v>
      </c>
      <c r="C3374" s="0" t="n">
        <v>7809</v>
      </c>
      <c r="E3374" s="0" t="n">
        <v>0</v>
      </c>
      <c r="F3374" s="39" t="s">
        <v>1538</v>
      </c>
      <c r="I3374" s="39" t="s">
        <v>136</v>
      </c>
      <c r="U3374" s="0" t="n">
        <v>127</v>
      </c>
      <c r="V3374" s="0" t="n">
        <v>0</v>
      </c>
      <c r="W3374" s="39" t="n">
        <f aca="false">IF(I3374="Male",0,1)</f>
        <v>1</v>
      </c>
      <c r="X3374" s="39" t="n">
        <f aca="false">IF(OR(I3374="DNB",I3374="Dry DNB"),1,0)</f>
        <v>0</v>
      </c>
      <c r="Y3374" s="39" t="n">
        <f aca="false">MATCH(A3374,DATAS,0)</f>
        <v>1</v>
      </c>
      <c r="Z3374" s="39" t="n">
        <f aca="false">IF(AND(E3374&gt;0,OR(AND(B3374&gt;=1,B3374&lt;=6),B3374=10)),1,0)</f>
        <v>0</v>
      </c>
      <c r="AA3374" s="39" t="n">
        <f aca="false">IF(AND(E3374&gt;0,B3374=10),1,0)</f>
        <v>0</v>
      </c>
      <c r="AB3374" s="0" t="str">
        <f aca="false">IF(AND(C3373=C3374,Y3373=Y3374-1),Z3373,"")</f>
        <v/>
      </c>
      <c r="AC3374" s="0" t="str">
        <f aca="false">IF(AND(C3373=C3374,Y3373=Y3374-1),AA3373,"")</f>
        <v/>
      </c>
      <c r="AD3374" s="0" t="str">
        <f aca="false">IF(Y3374=1,"",IF(AND(Z3374=1,AB3374&lt;&gt;1),1,0))</f>
        <v/>
      </c>
      <c r="AE3374" s="0" t="str">
        <f aca="false">IF(Y3374=1,"",IF(AND(AA3374=1,AC3374&lt;&gt;1),1,0))</f>
        <v/>
      </c>
      <c r="AF3374" s="45" t="str">
        <f aca="false">IF(AND(E3374&gt;0,Y3374&lt;1,NOT(AND(C3375=C3374,Y3375=Y3374+1))),INDEX(DATAS,Y3374+1),"")</f>
        <v/>
      </c>
      <c r="AG3374" s="45" t="str">
        <f aca="false">IF(AND(AA3374=1,Y3374&lt;1),IF(AND(C3375=C3374,Y3375=Y3374+1),IF(AA3375=1,"",INDEX(DATAS,Y3374+1)),INDEX(DATAS,Y3374+1)),"")</f>
        <v/>
      </c>
    </row>
    <row r="3375" customFormat="false" ht="15" hidden="false" customHeight="false" outlineLevel="0" collapsed="false">
      <c r="A3375" s="45" t="n">
        <v>46309</v>
      </c>
      <c r="B3375" s="0" t="n">
        <v>13</v>
      </c>
      <c r="C3375" s="0" t="n">
        <v>7810</v>
      </c>
      <c r="E3375" s="0" t="n">
        <v>0</v>
      </c>
      <c r="F3375" s="39" t="s">
        <v>1539</v>
      </c>
      <c r="I3375" s="39" t="s">
        <v>136</v>
      </c>
      <c r="U3375" s="0" t="n">
        <v>126</v>
      </c>
      <c r="V3375" s="0" t="n">
        <v>0</v>
      </c>
      <c r="W3375" s="39" t="n">
        <f aca="false">IF(I3375="Male",0,1)</f>
        <v>1</v>
      </c>
      <c r="X3375" s="39" t="n">
        <f aca="false">IF(OR(I3375="DNB",I3375="Dry DNB"),1,0)</f>
        <v>0</v>
      </c>
      <c r="Y3375" s="39" t="n">
        <f aca="false">MATCH(A3375,DATAS,0)</f>
        <v>1</v>
      </c>
      <c r="Z3375" s="39" t="n">
        <f aca="false">IF(AND(E3375&gt;0,OR(AND(B3375&gt;=1,B3375&lt;=6),B3375=10)),1,0)</f>
        <v>0</v>
      </c>
      <c r="AA3375" s="39" t="n">
        <f aca="false">IF(AND(E3375&gt;0,B3375=10),1,0)</f>
        <v>0</v>
      </c>
      <c r="AB3375" s="0" t="str">
        <f aca="false">IF(AND(C3374=C3375,Y3374=Y3375-1),Z3374,"")</f>
        <v/>
      </c>
      <c r="AC3375" s="0" t="str">
        <f aca="false">IF(AND(C3374=C3375,Y3374=Y3375-1),AA3374,"")</f>
        <v/>
      </c>
      <c r="AD3375" s="0" t="str">
        <f aca="false">IF(Y3375=1,"",IF(AND(Z3375=1,AB3375&lt;&gt;1),1,0))</f>
        <v/>
      </c>
      <c r="AE3375" s="0" t="str">
        <f aca="false">IF(Y3375=1,"",IF(AND(AA3375=1,AC3375&lt;&gt;1),1,0))</f>
        <v/>
      </c>
      <c r="AF3375" s="45" t="str">
        <f aca="false">IF(AND(E3375&gt;0,Y3375&lt;1,NOT(AND(C3376=C3375,Y3376=Y3375+1))),INDEX(DATAS,Y3375+1),"")</f>
        <v/>
      </c>
      <c r="AG3375" s="45" t="str">
        <f aca="false">IF(AND(AA3375=1,Y3375&lt;1),IF(AND(C3376=C3375,Y3376=Y3375+1),IF(AA3376=1,"",INDEX(DATAS,Y3375+1)),INDEX(DATAS,Y3375+1)),"")</f>
        <v/>
      </c>
    </row>
    <row r="3376" customFormat="false" ht="15" hidden="false" customHeight="false" outlineLevel="0" collapsed="false">
      <c r="A3376" s="45" t="n">
        <v>46309</v>
      </c>
      <c r="B3376" s="0" t="n">
        <v>13</v>
      </c>
      <c r="C3376" s="0" t="n">
        <v>7811</v>
      </c>
      <c r="E3376" s="0" t="n">
        <v>0</v>
      </c>
      <c r="F3376" s="39" t="s">
        <v>1539</v>
      </c>
      <c r="I3376" s="39" t="s">
        <v>136</v>
      </c>
      <c r="U3376" s="0" t="n">
        <v>126</v>
      </c>
      <c r="V3376" s="0" t="n">
        <v>0</v>
      </c>
      <c r="W3376" s="39" t="n">
        <f aca="false">IF(I3376="Male",0,1)</f>
        <v>1</v>
      </c>
      <c r="X3376" s="39" t="n">
        <f aca="false">IF(OR(I3376="DNB",I3376="Dry DNB"),1,0)</f>
        <v>0</v>
      </c>
      <c r="Y3376" s="39" t="n">
        <f aca="false">MATCH(A3376,DATAS,0)</f>
        <v>1</v>
      </c>
      <c r="Z3376" s="39" t="n">
        <f aca="false">IF(AND(E3376&gt;0,OR(AND(B3376&gt;=1,B3376&lt;=6),B3376=10)),1,0)</f>
        <v>0</v>
      </c>
      <c r="AA3376" s="39" t="n">
        <f aca="false">IF(AND(E3376&gt;0,B3376=10),1,0)</f>
        <v>0</v>
      </c>
      <c r="AB3376" s="0" t="str">
        <f aca="false">IF(AND(C3375=C3376,Y3375=Y3376-1),Z3375,"")</f>
        <v/>
      </c>
      <c r="AC3376" s="0" t="str">
        <f aca="false">IF(AND(C3375=C3376,Y3375=Y3376-1),AA3375,"")</f>
        <v/>
      </c>
      <c r="AD3376" s="0" t="str">
        <f aca="false">IF(Y3376=1,"",IF(AND(Z3376=1,AB3376&lt;&gt;1),1,0))</f>
        <v/>
      </c>
      <c r="AE3376" s="0" t="str">
        <f aca="false">IF(Y3376=1,"",IF(AND(AA3376=1,AC3376&lt;&gt;1),1,0))</f>
        <v/>
      </c>
      <c r="AF3376" s="45" t="str">
        <f aca="false">IF(AND(E3376&gt;0,Y3376&lt;1,NOT(AND(C3377=C3376,Y3377=Y3376+1))),INDEX(DATAS,Y3376+1),"")</f>
        <v/>
      </c>
      <c r="AG3376" s="45" t="str">
        <f aca="false">IF(AND(AA3376=1,Y3376&lt;1),IF(AND(C3377=C3376,Y3377=Y3376+1),IF(AA3377=1,"",INDEX(DATAS,Y3376+1)),INDEX(DATAS,Y3376+1)),"")</f>
        <v/>
      </c>
    </row>
    <row r="3377" customFormat="false" ht="15" hidden="false" customHeight="false" outlineLevel="0" collapsed="false">
      <c r="A3377" s="45" t="n">
        <v>46309</v>
      </c>
      <c r="B3377" s="0" t="n">
        <v>13</v>
      </c>
      <c r="C3377" s="0" t="n">
        <v>7812</v>
      </c>
      <c r="E3377" s="0" t="n">
        <v>0</v>
      </c>
      <c r="F3377" s="39" t="s">
        <v>1539</v>
      </c>
      <c r="I3377" s="39" t="s">
        <v>136</v>
      </c>
      <c r="U3377" s="0" t="n">
        <v>126</v>
      </c>
      <c r="V3377" s="0" t="n">
        <v>0</v>
      </c>
      <c r="W3377" s="39" t="n">
        <f aca="false">IF(I3377="Male",0,1)</f>
        <v>1</v>
      </c>
      <c r="X3377" s="39" t="n">
        <f aca="false">IF(OR(I3377="DNB",I3377="Dry DNB"),1,0)</f>
        <v>0</v>
      </c>
      <c r="Y3377" s="39" t="n">
        <f aca="false">MATCH(A3377,DATAS,0)</f>
        <v>1</v>
      </c>
      <c r="Z3377" s="39" t="n">
        <f aca="false">IF(AND(E3377&gt;0,OR(AND(B3377&gt;=1,B3377&lt;=6),B3377=10)),1,0)</f>
        <v>0</v>
      </c>
      <c r="AA3377" s="39" t="n">
        <f aca="false">IF(AND(E3377&gt;0,B3377=10),1,0)</f>
        <v>0</v>
      </c>
      <c r="AB3377" s="0" t="str">
        <f aca="false">IF(AND(C3376=C3377,Y3376=Y3377-1),Z3376,"")</f>
        <v/>
      </c>
      <c r="AC3377" s="0" t="str">
        <f aca="false">IF(AND(C3376=C3377,Y3376=Y3377-1),AA3376,"")</f>
        <v/>
      </c>
      <c r="AD3377" s="0" t="str">
        <f aca="false">IF(Y3377=1,"",IF(AND(Z3377=1,AB3377&lt;&gt;1),1,0))</f>
        <v/>
      </c>
      <c r="AE3377" s="0" t="str">
        <f aca="false">IF(Y3377=1,"",IF(AND(AA3377=1,AC3377&lt;&gt;1),1,0))</f>
        <v/>
      </c>
      <c r="AF3377" s="45" t="str">
        <f aca="false">IF(AND(E3377&gt;0,Y3377&lt;1,NOT(AND(C3378=C3377,Y3378=Y3377+1))),INDEX(DATAS,Y3377+1),"")</f>
        <v/>
      </c>
      <c r="AG3377" s="45" t="str">
        <f aca="false">IF(AND(AA3377=1,Y3377&lt;1),IF(AND(C3378=C3377,Y3378=Y3377+1),IF(AA3378=1,"",INDEX(DATAS,Y3377+1)),INDEX(DATAS,Y3377+1)),"")</f>
        <v/>
      </c>
    </row>
    <row r="3378" customFormat="false" ht="15" hidden="false" customHeight="false" outlineLevel="0" collapsed="false">
      <c r="A3378" s="45" t="n">
        <v>46309</v>
      </c>
      <c r="B3378" s="0" t="n">
        <v>13</v>
      </c>
      <c r="C3378" s="0" t="n">
        <v>7813</v>
      </c>
      <c r="E3378" s="0" t="n">
        <v>0</v>
      </c>
      <c r="F3378" s="39" t="s">
        <v>1539</v>
      </c>
      <c r="I3378" s="39" t="s">
        <v>136</v>
      </c>
      <c r="U3378" s="0" t="n">
        <v>126</v>
      </c>
      <c r="V3378" s="0" t="n">
        <v>0</v>
      </c>
      <c r="W3378" s="39" t="n">
        <f aca="false">IF(I3378="Male",0,1)</f>
        <v>1</v>
      </c>
      <c r="X3378" s="39" t="n">
        <f aca="false">IF(OR(I3378="DNB",I3378="Dry DNB"),1,0)</f>
        <v>0</v>
      </c>
      <c r="Y3378" s="39" t="n">
        <f aca="false">MATCH(A3378,DATAS,0)</f>
        <v>1</v>
      </c>
      <c r="Z3378" s="39" t="n">
        <f aca="false">IF(AND(E3378&gt;0,OR(AND(B3378&gt;=1,B3378&lt;=6),B3378=10)),1,0)</f>
        <v>0</v>
      </c>
      <c r="AA3378" s="39" t="n">
        <f aca="false">IF(AND(E3378&gt;0,B3378=10),1,0)</f>
        <v>0</v>
      </c>
      <c r="AB3378" s="0" t="str">
        <f aca="false">IF(AND(C3377=C3378,Y3377=Y3378-1),Z3377,"")</f>
        <v/>
      </c>
      <c r="AC3378" s="0" t="str">
        <f aca="false">IF(AND(C3377=C3378,Y3377=Y3378-1),AA3377,"")</f>
        <v/>
      </c>
      <c r="AD3378" s="0" t="str">
        <f aca="false">IF(Y3378=1,"",IF(AND(Z3378=1,AB3378&lt;&gt;1),1,0))</f>
        <v/>
      </c>
      <c r="AE3378" s="0" t="str">
        <f aca="false">IF(Y3378=1,"",IF(AND(AA3378=1,AC3378&lt;&gt;1),1,0))</f>
        <v/>
      </c>
      <c r="AF3378" s="45" t="str">
        <f aca="false">IF(AND(E3378&gt;0,Y3378&lt;1,NOT(AND(C3379=C3378,Y3379=Y3378+1))),INDEX(DATAS,Y3378+1),"")</f>
        <v/>
      </c>
      <c r="AG3378" s="45" t="str">
        <f aca="false">IF(AND(AA3378=1,Y3378&lt;1),IF(AND(C3379=C3378,Y3379=Y3378+1),IF(AA3379=1,"",INDEX(DATAS,Y3378+1)),INDEX(DATAS,Y3378+1)),"")</f>
        <v/>
      </c>
    </row>
    <row r="3379" customFormat="false" ht="15" hidden="false" customHeight="false" outlineLevel="0" collapsed="false">
      <c r="A3379" s="45" t="n">
        <v>46309</v>
      </c>
      <c r="B3379" s="0" t="n">
        <v>13</v>
      </c>
      <c r="C3379" s="0" t="n">
        <v>7815</v>
      </c>
      <c r="E3379" s="0" t="n">
        <v>0</v>
      </c>
      <c r="F3379" s="39" t="s">
        <v>1539</v>
      </c>
      <c r="I3379" s="39" t="s">
        <v>136</v>
      </c>
      <c r="U3379" s="0" t="n">
        <v>126</v>
      </c>
      <c r="V3379" s="0" t="n">
        <v>0</v>
      </c>
      <c r="W3379" s="39" t="n">
        <f aca="false">IF(I3379="Male",0,1)</f>
        <v>1</v>
      </c>
      <c r="X3379" s="39" t="n">
        <f aca="false">IF(OR(I3379="DNB",I3379="Dry DNB"),1,0)</f>
        <v>0</v>
      </c>
      <c r="Y3379" s="39" t="n">
        <f aca="false">MATCH(A3379,DATAS,0)</f>
        <v>1</v>
      </c>
      <c r="Z3379" s="39" t="n">
        <f aca="false">IF(AND(E3379&gt;0,OR(AND(B3379&gt;=1,B3379&lt;=6),B3379=10)),1,0)</f>
        <v>0</v>
      </c>
      <c r="AA3379" s="39" t="n">
        <f aca="false">IF(AND(E3379&gt;0,B3379=10),1,0)</f>
        <v>0</v>
      </c>
      <c r="AB3379" s="0" t="str">
        <f aca="false">IF(AND(C3378=C3379,Y3378=Y3379-1),Z3378,"")</f>
        <v/>
      </c>
      <c r="AC3379" s="0" t="str">
        <f aca="false">IF(AND(C3378=C3379,Y3378=Y3379-1),AA3378,"")</f>
        <v/>
      </c>
      <c r="AD3379" s="0" t="str">
        <f aca="false">IF(Y3379=1,"",IF(AND(Z3379=1,AB3379&lt;&gt;1),1,0))</f>
        <v/>
      </c>
      <c r="AE3379" s="0" t="str">
        <f aca="false">IF(Y3379=1,"",IF(AND(AA3379=1,AC3379&lt;&gt;1),1,0))</f>
        <v/>
      </c>
      <c r="AF3379" s="45" t="str">
        <f aca="false">IF(AND(E3379&gt;0,Y3379&lt;1,NOT(AND(C3380=C3379,Y3380=Y3379+1))),INDEX(DATAS,Y3379+1),"")</f>
        <v/>
      </c>
      <c r="AG3379" s="45" t="str">
        <f aca="false">IF(AND(AA3379=1,Y3379&lt;1),IF(AND(C3380=C3379,Y3380=Y3379+1),IF(AA3380=1,"",INDEX(DATAS,Y3379+1)),INDEX(DATAS,Y3379+1)),"")</f>
        <v/>
      </c>
    </row>
    <row r="3380" customFormat="false" ht="15" hidden="false" customHeight="false" outlineLevel="0" collapsed="false">
      <c r="A3380" s="45" t="n">
        <v>46309</v>
      </c>
      <c r="B3380" s="0" t="n">
        <v>13</v>
      </c>
      <c r="C3380" s="0" t="n">
        <v>7816</v>
      </c>
      <c r="E3380" s="0" t="n">
        <v>0</v>
      </c>
      <c r="F3380" s="39" t="s">
        <v>1540</v>
      </c>
      <c r="I3380" s="39" t="s">
        <v>136</v>
      </c>
      <c r="U3380" s="0" t="n">
        <v>125</v>
      </c>
      <c r="V3380" s="0" t="n">
        <v>0</v>
      </c>
      <c r="W3380" s="39" t="n">
        <f aca="false">IF(I3380="Male",0,1)</f>
        <v>1</v>
      </c>
      <c r="X3380" s="39" t="n">
        <f aca="false">IF(OR(I3380="DNB",I3380="Dry DNB"),1,0)</f>
        <v>0</v>
      </c>
      <c r="Y3380" s="39" t="n">
        <f aca="false">MATCH(A3380,DATAS,0)</f>
        <v>1</v>
      </c>
      <c r="Z3380" s="39" t="n">
        <f aca="false">IF(AND(E3380&gt;0,OR(AND(B3380&gt;=1,B3380&lt;=6),B3380=10)),1,0)</f>
        <v>0</v>
      </c>
      <c r="AA3380" s="39" t="n">
        <f aca="false">IF(AND(E3380&gt;0,B3380=10),1,0)</f>
        <v>0</v>
      </c>
      <c r="AB3380" s="0" t="str">
        <f aca="false">IF(AND(C3379=C3380,Y3379=Y3380-1),Z3379,"")</f>
        <v/>
      </c>
      <c r="AC3380" s="0" t="str">
        <f aca="false">IF(AND(C3379=C3380,Y3379=Y3380-1),AA3379,"")</f>
        <v/>
      </c>
      <c r="AD3380" s="0" t="str">
        <f aca="false">IF(Y3380=1,"",IF(AND(Z3380=1,AB3380&lt;&gt;1),1,0))</f>
        <v/>
      </c>
      <c r="AE3380" s="0" t="str">
        <f aca="false">IF(Y3380=1,"",IF(AND(AA3380=1,AC3380&lt;&gt;1),1,0))</f>
        <v/>
      </c>
      <c r="AF3380" s="45" t="str">
        <f aca="false">IF(AND(E3380&gt;0,Y3380&lt;1,NOT(AND(C3381=C3380,Y3381=Y3380+1))),INDEX(DATAS,Y3380+1),"")</f>
        <v/>
      </c>
      <c r="AG3380" s="45" t="str">
        <f aca="false">IF(AND(AA3380=1,Y3380&lt;1),IF(AND(C3381=C3380,Y3381=Y3380+1),IF(AA3381=1,"",INDEX(DATAS,Y3380+1)),INDEX(DATAS,Y3380+1)),"")</f>
        <v/>
      </c>
    </row>
    <row r="3381" customFormat="false" ht="15" hidden="false" customHeight="false" outlineLevel="0" collapsed="false">
      <c r="A3381" s="45" t="n">
        <v>46309</v>
      </c>
      <c r="B3381" s="0" t="n">
        <v>13</v>
      </c>
      <c r="C3381" s="0" t="n">
        <v>7817</v>
      </c>
      <c r="E3381" s="0" t="n">
        <v>0</v>
      </c>
      <c r="F3381" s="39" t="s">
        <v>1540</v>
      </c>
      <c r="I3381" s="39" t="s">
        <v>136</v>
      </c>
      <c r="U3381" s="0" t="n">
        <v>125</v>
      </c>
      <c r="V3381" s="0" t="n">
        <v>0</v>
      </c>
      <c r="W3381" s="39" t="n">
        <f aca="false">IF(I3381="Male",0,1)</f>
        <v>1</v>
      </c>
      <c r="X3381" s="39" t="n">
        <f aca="false">IF(OR(I3381="DNB",I3381="Dry DNB"),1,0)</f>
        <v>0</v>
      </c>
      <c r="Y3381" s="39" t="n">
        <f aca="false">MATCH(A3381,DATAS,0)</f>
        <v>1</v>
      </c>
      <c r="Z3381" s="39" t="n">
        <f aca="false">IF(AND(E3381&gt;0,OR(AND(B3381&gt;=1,B3381&lt;=6),B3381=10)),1,0)</f>
        <v>0</v>
      </c>
      <c r="AA3381" s="39" t="n">
        <f aca="false">IF(AND(E3381&gt;0,B3381=10),1,0)</f>
        <v>0</v>
      </c>
      <c r="AB3381" s="0" t="str">
        <f aca="false">IF(AND(C3380=C3381,Y3380=Y3381-1),Z3380,"")</f>
        <v/>
      </c>
      <c r="AC3381" s="0" t="str">
        <f aca="false">IF(AND(C3380=C3381,Y3380=Y3381-1),AA3380,"")</f>
        <v/>
      </c>
      <c r="AD3381" s="0" t="str">
        <f aca="false">IF(Y3381=1,"",IF(AND(Z3381=1,AB3381&lt;&gt;1),1,0))</f>
        <v/>
      </c>
      <c r="AE3381" s="0" t="str">
        <f aca="false">IF(Y3381=1,"",IF(AND(AA3381=1,AC3381&lt;&gt;1),1,0))</f>
        <v/>
      </c>
      <c r="AF3381" s="45" t="str">
        <f aca="false">IF(AND(E3381&gt;0,Y3381&lt;1,NOT(AND(C3382=C3381,Y3382=Y3381+1))),INDEX(DATAS,Y3381+1),"")</f>
        <v/>
      </c>
      <c r="AG3381" s="45" t="str">
        <f aca="false">IF(AND(AA3381=1,Y3381&lt;1),IF(AND(C3382=C3381,Y3382=Y3381+1),IF(AA3382=1,"",INDEX(DATAS,Y3381+1)),INDEX(DATAS,Y3381+1)),"")</f>
        <v/>
      </c>
    </row>
    <row r="3382" customFormat="false" ht="15" hidden="false" customHeight="false" outlineLevel="0" collapsed="false">
      <c r="A3382" s="45" t="n">
        <v>46309</v>
      </c>
      <c r="B3382" s="0" t="n">
        <v>13</v>
      </c>
      <c r="C3382" s="0" t="n">
        <v>7818</v>
      </c>
      <c r="E3382" s="0" t="n">
        <v>0</v>
      </c>
      <c r="F3382" s="39" t="s">
        <v>1540</v>
      </c>
      <c r="I3382" s="39" t="s">
        <v>136</v>
      </c>
      <c r="U3382" s="0" t="n">
        <v>125</v>
      </c>
      <c r="V3382" s="0" t="n">
        <v>0</v>
      </c>
      <c r="W3382" s="39" t="n">
        <f aca="false">IF(I3382="Male",0,1)</f>
        <v>1</v>
      </c>
      <c r="X3382" s="39" t="n">
        <f aca="false">IF(OR(I3382="DNB",I3382="Dry DNB"),1,0)</f>
        <v>0</v>
      </c>
      <c r="Y3382" s="39" t="n">
        <f aca="false">MATCH(A3382,DATAS,0)</f>
        <v>1</v>
      </c>
      <c r="Z3382" s="39" t="n">
        <f aca="false">IF(AND(E3382&gt;0,OR(AND(B3382&gt;=1,B3382&lt;=6),B3382=10)),1,0)</f>
        <v>0</v>
      </c>
      <c r="AA3382" s="39" t="n">
        <f aca="false">IF(AND(E3382&gt;0,B3382=10),1,0)</f>
        <v>0</v>
      </c>
      <c r="AB3382" s="0" t="str">
        <f aca="false">IF(AND(C3381=C3382,Y3381=Y3382-1),Z3381,"")</f>
        <v/>
      </c>
      <c r="AC3382" s="0" t="str">
        <f aca="false">IF(AND(C3381=C3382,Y3381=Y3382-1),AA3381,"")</f>
        <v/>
      </c>
      <c r="AD3382" s="0" t="str">
        <f aca="false">IF(Y3382=1,"",IF(AND(Z3382=1,AB3382&lt;&gt;1),1,0))</f>
        <v/>
      </c>
      <c r="AE3382" s="0" t="str">
        <f aca="false">IF(Y3382=1,"",IF(AND(AA3382=1,AC3382&lt;&gt;1),1,0))</f>
        <v/>
      </c>
      <c r="AF3382" s="45" t="str">
        <f aca="false">IF(AND(E3382&gt;0,Y3382&lt;1,NOT(AND(C3383=C3382,Y3383=Y3382+1))),INDEX(DATAS,Y3382+1),"")</f>
        <v/>
      </c>
      <c r="AG3382" s="45" t="str">
        <f aca="false">IF(AND(AA3382=1,Y3382&lt;1),IF(AND(C3383=C3382,Y3383=Y3382+1),IF(AA3383=1,"",INDEX(DATAS,Y3382+1)),INDEX(DATAS,Y3382+1)),"")</f>
        <v/>
      </c>
    </row>
    <row r="3383" customFormat="false" ht="15" hidden="false" customHeight="false" outlineLevel="0" collapsed="false">
      <c r="A3383" s="45" t="n">
        <v>46309</v>
      </c>
      <c r="B3383" s="0" t="n">
        <v>13</v>
      </c>
      <c r="C3383" s="0" t="n">
        <v>7819</v>
      </c>
      <c r="E3383" s="0" t="n">
        <v>0</v>
      </c>
      <c r="F3383" s="39" t="s">
        <v>1540</v>
      </c>
      <c r="I3383" s="39" t="s">
        <v>136</v>
      </c>
      <c r="U3383" s="0" t="n">
        <v>125</v>
      </c>
      <c r="V3383" s="0" t="n">
        <v>0</v>
      </c>
      <c r="W3383" s="39" t="n">
        <f aca="false">IF(I3383="Male",0,1)</f>
        <v>1</v>
      </c>
      <c r="X3383" s="39" t="n">
        <f aca="false">IF(OR(I3383="DNB",I3383="Dry DNB"),1,0)</f>
        <v>0</v>
      </c>
      <c r="Y3383" s="39" t="n">
        <f aca="false">MATCH(A3383,DATAS,0)</f>
        <v>1</v>
      </c>
      <c r="Z3383" s="39" t="n">
        <f aca="false">IF(AND(E3383&gt;0,OR(AND(B3383&gt;=1,B3383&lt;=6),B3383=10)),1,0)</f>
        <v>0</v>
      </c>
      <c r="AA3383" s="39" t="n">
        <f aca="false">IF(AND(E3383&gt;0,B3383=10),1,0)</f>
        <v>0</v>
      </c>
      <c r="AB3383" s="0" t="str">
        <f aca="false">IF(AND(C3382=C3383,Y3382=Y3383-1),Z3382,"")</f>
        <v/>
      </c>
      <c r="AC3383" s="0" t="str">
        <f aca="false">IF(AND(C3382=C3383,Y3382=Y3383-1),AA3382,"")</f>
        <v/>
      </c>
      <c r="AD3383" s="0" t="str">
        <f aca="false">IF(Y3383=1,"",IF(AND(Z3383=1,AB3383&lt;&gt;1),1,0))</f>
        <v/>
      </c>
      <c r="AE3383" s="0" t="str">
        <f aca="false">IF(Y3383=1,"",IF(AND(AA3383=1,AC3383&lt;&gt;1),1,0))</f>
        <v/>
      </c>
      <c r="AF3383" s="45" t="str">
        <f aca="false">IF(AND(E3383&gt;0,Y3383&lt;1,NOT(AND(C3384=C3383,Y3384=Y3383+1))),INDEX(DATAS,Y3383+1),"")</f>
        <v/>
      </c>
      <c r="AG3383" s="45" t="str">
        <f aca="false">IF(AND(AA3383=1,Y3383&lt;1),IF(AND(C3384=C3383,Y3384=Y3383+1),IF(AA3384=1,"",INDEX(DATAS,Y3383+1)),INDEX(DATAS,Y3383+1)),"")</f>
        <v/>
      </c>
    </row>
    <row r="3384" customFormat="false" ht="15" hidden="false" customHeight="false" outlineLevel="0" collapsed="false">
      <c r="A3384" s="45" t="n">
        <v>46309</v>
      </c>
      <c r="B3384" s="0" t="n">
        <v>13</v>
      </c>
      <c r="C3384" s="0" t="n">
        <v>7820</v>
      </c>
      <c r="E3384" s="0" t="n">
        <v>0</v>
      </c>
      <c r="F3384" s="39" t="s">
        <v>1540</v>
      </c>
      <c r="I3384" s="39" t="s">
        <v>136</v>
      </c>
      <c r="U3384" s="0" t="n">
        <v>125</v>
      </c>
      <c r="V3384" s="0" t="n">
        <v>0</v>
      </c>
      <c r="W3384" s="39" t="n">
        <f aca="false">IF(I3384="Male",0,1)</f>
        <v>1</v>
      </c>
      <c r="X3384" s="39" t="n">
        <f aca="false">IF(OR(I3384="DNB",I3384="Dry DNB"),1,0)</f>
        <v>0</v>
      </c>
      <c r="Y3384" s="39" t="n">
        <f aca="false">MATCH(A3384,DATAS,0)</f>
        <v>1</v>
      </c>
      <c r="Z3384" s="39" t="n">
        <f aca="false">IF(AND(E3384&gt;0,OR(AND(B3384&gt;=1,B3384&lt;=6),B3384=10)),1,0)</f>
        <v>0</v>
      </c>
      <c r="AA3384" s="39" t="n">
        <f aca="false">IF(AND(E3384&gt;0,B3384=10),1,0)</f>
        <v>0</v>
      </c>
      <c r="AB3384" s="0" t="str">
        <f aca="false">IF(AND(C3383=C3384,Y3383=Y3384-1),Z3383,"")</f>
        <v/>
      </c>
      <c r="AC3384" s="0" t="str">
        <f aca="false">IF(AND(C3383=C3384,Y3383=Y3384-1),AA3383,"")</f>
        <v/>
      </c>
      <c r="AD3384" s="0" t="str">
        <f aca="false">IF(Y3384=1,"",IF(AND(Z3384=1,AB3384&lt;&gt;1),1,0))</f>
        <v/>
      </c>
      <c r="AE3384" s="0" t="str">
        <f aca="false">IF(Y3384=1,"",IF(AND(AA3384=1,AC3384&lt;&gt;1),1,0))</f>
        <v/>
      </c>
      <c r="AF3384" s="45" t="str">
        <f aca="false">IF(AND(E3384&gt;0,Y3384&lt;1,NOT(AND(C3385=C3384,Y3385=Y3384+1))),INDEX(DATAS,Y3384+1),"")</f>
        <v/>
      </c>
      <c r="AG3384" s="45" t="str">
        <f aca="false">IF(AND(AA3384=1,Y3384&lt;1),IF(AND(C3385=C3384,Y3385=Y3384+1),IF(AA3385=1,"",INDEX(DATAS,Y3384+1)),INDEX(DATAS,Y3384+1)),"")</f>
        <v/>
      </c>
    </row>
    <row r="3385" customFormat="false" ht="15" hidden="false" customHeight="false" outlineLevel="0" collapsed="false">
      <c r="A3385" s="45" t="n">
        <v>46309</v>
      </c>
      <c r="B3385" s="0" t="n">
        <v>13</v>
      </c>
      <c r="C3385" s="0" t="n">
        <v>7821</v>
      </c>
      <c r="E3385" s="0" t="n">
        <v>0</v>
      </c>
      <c r="F3385" s="39" t="s">
        <v>1540</v>
      </c>
      <c r="I3385" s="39" t="s">
        <v>136</v>
      </c>
      <c r="U3385" s="0" t="n">
        <v>125</v>
      </c>
      <c r="V3385" s="0" t="n">
        <v>0</v>
      </c>
      <c r="W3385" s="39" t="n">
        <f aca="false">IF(I3385="Male",0,1)</f>
        <v>1</v>
      </c>
      <c r="X3385" s="39" t="n">
        <f aca="false">IF(OR(I3385="DNB",I3385="Dry DNB"),1,0)</f>
        <v>0</v>
      </c>
      <c r="Y3385" s="39" t="n">
        <f aca="false">MATCH(A3385,DATAS,0)</f>
        <v>1</v>
      </c>
      <c r="Z3385" s="39" t="n">
        <f aca="false">IF(AND(E3385&gt;0,OR(AND(B3385&gt;=1,B3385&lt;=6),B3385=10)),1,0)</f>
        <v>0</v>
      </c>
      <c r="AA3385" s="39" t="n">
        <f aca="false">IF(AND(E3385&gt;0,B3385=10),1,0)</f>
        <v>0</v>
      </c>
      <c r="AB3385" s="0" t="str">
        <f aca="false">IF(AND(C3384=C3385,Y3384=Y3385-1),Z3384,"")</f>
        <v/>
      </c>
      <c r="AC3385" s="0" t="str">
        <f aca="false">IF(AND(C3384=C3385,Y3384=Y3385-1),AA3384,"")</f>
        <v/>
      </c>
      <c r="AD3385" s="0" t="str">
        <f aca="false">IF(Y3385=1,"",IF(AND(Z3385=1,AB3385&lt;&gt;1),1,0))</f>
        <v/>
      </c>
      <c r="AE3385" s="0" t="str">
        <f aca="false">IF(Y3385=1,"",IF(AND(AA3385=1,AC3385&lt;&gt;1),1,0))</f>
        <v/>
      </c>
      <c r="AF3385" s="45" t="str">
        <f aca="false">IF(AND(E3385&gt;0,Y3385&lt;1,NOT(AND(C3386=C3385,Y3386=Y3385+1))),INDEX(DATAS,Y3385+1),"")</f>
        <v/>
      </c>
      <c r="AG3385" s="45" t="str">
        <f aca="false">IF(AND(AA3385=1,Y3385&lt;1),IF(AND(C3386=C3385,Y3386=Y3385+1),IF(AA3386=1,"",INDEX(DATAS,Y3385+1)),INDEX(DATAS,Y3385+1)),"")</f>
        <v/>
      </c>
    </row>
    <row r="3386" customFormat="false" ht="15" hidden="false" customHeight="false" outlineLevel="0" collapsed="false">
      <c r="A3386" s="45" t="n">
        <v>46309</v>
      </c>
      <c r="B3386" s="0" t="n">
        <v>13</v>
      </c>
      <c r="C3386" s="0" t="n">
        <v>7822</v>
      </c>
      <c r="E3386" s="0" t="n">
        <v>0</v>
      </c>
      <c r="F3386" s="39" t="s">
        <v>1541</v>
      </c>
      <c r="I3386" s="39" t="s">
        <v>136</v>
      </c>
      <c r="U3386" s="0" t="n">
        <v>123</v>
      </c>
      <c r="V3386" s="0" t="n">
        <v>0</v>
      </c>
      <c r="W3386" s="39" t="n">
        <f aca="false">IF(I3386="Male",0,1)</f>
        <v>1</v>
      </c>
      <c r="X3386" s="39" t="n">
        <f aca="false">IF(OR(I3386="DNB",I3386="Dry DNB"),1,0)</f>
        <v>0</v>
      </c>
      <c r="Y3386" s="39" t="n">
        <f aca="false">MATCH(A3386,DATAS,0)</f>
        <v>1</v>
      </c>
      <c r="Z3386" s="39" t="n">
        <f aca="false">IF(AND(E3386&gt;0,OR(AND(B3386&gt;=1,B3386&lt;=6),B3386=10)),1,0)</f>
        <v>0</v>
      </c>
      <c r="AA3386" s="39" t="n">
        <f aca="false">IF(AND(E3386&gt;0,B3386=10),1,0)</f>
        <v>0</v>
      </c>
      <c r="AB3386" s="0" t="str">
        <f aca="false">IF(AND(C3385=C3386,Y3385=Y3386-1),Z3385,"")</f>
        <v/>
      </c>
      <c r="AC3386" s="0" t="str">
        <f aca="false">IF(AND(C3385=C3386,Y3385=Y3386-1),AA3385,"")</f>
        <v/>
      </c>
      <c r="AD3386" s="0" t="str">
        <f aca="false">IF(Y3386=1,"",IF(AND(Z3386=1,AB3386&lt;&gt;1),1,0))</f>
        <v/>
      </c>
      <c r="AE3386" s="0" t="str">
        <f aca="false">IF(Y3386=1,"",IF(AND(AA3386=1,AC3386&lt;&gt;1),1,0))</f>
        <v/>
      </c>
      <c r="AF3386" s="45" t="str">
        <f aca="false">IF(AND(E3386&gt;0,Y3386&lt;1,NOT(AND(C3387=C3386,Y3387=Y3386+1))),INDEX(DATAS,Y3386+1),"")</f>
        <v/>
      </c>
      <c r="AG3386" s="45" t="str">
        <f aca="false">IF(AND(AA3386=1,Y3386&lt;1),IF(AND(C3387=C3386,Y3387=Y3386+1),IF(AA3387=1,"",INDEX(DATAS,Y3386+1)),INDEX(DATAS,Y3386+1)),"")</f>
        <v/>
      </c>
    </row>
    <row r="3387" customFormat="false" ht="15" hidden="false" customHeight="false" outlineLevel="0" collapsed="false">
      <c r="A3387" s="45" t="n">
        <v>46309</v>
      </c>
      <c r="B3387" s="0" t="n">
        <v>13</v>
      </c>
      <c r="C3387" s="0" t="n">
        <v>7823</v>
      </c>
      <c r="E3387" s="0" t="n">
        <v>0</v>
      </c>
      <c r="F3387" s="39" t="s">
        <v>1541</v>
      </c>
      <c r="I3387" s="39" t="s">
        <v>136</v>
      </c>
      <c r="U3387" s="0" t="n">
        <v>123</v>
      </c>
      <c r="V3387" s="0" t="n">
        <v>0</v>
      </c>
      <c r="W3387" s="39" t="n">
        <f aca="false">IF(I3387="Male",0,1)</f>
        <v>1</v>
      </c>
      <c r="X3387" s="39" t="n">
        <f aca="false">IF(OR(I3387="DNB",I3387="Dry DNB"),1,0)</f>
        <v>0</v>
      </c>
      <c r="Y3387" s="39" t="n">
        <f aca="false">MATCH(A3387,DATAS,0)</f>
        <v>1</v>
      </c>
      <c r="Z3387" s="39" t="n">
        <f aca="false">IF(AND(E3387&gt;0,OR(AND(B3387&gt;=1,B3387&lt;=6),B3387=10)),1,0)</f>
        <v>0</v>
      </c>
      <c r="AA3387" s="39" t="n">
        <f aca="false">IF(AND(E3387&gt;0,B3387=10),1,0)</f>
        <v>0</v>
      </c>
      <c r="AB3387" s="0" t="str">
        <f aca="false">IF(AND(C3386=C3387,Y3386=Y3387-1),Z3386,"")</f>
        <v/>
      </c>
      <c r="AC3387" s="0" t="str">
        <f aca="false">IF(AND(C3386=C3387,Y3386=Y3387-1),AA3386,"")</f>
        <v/>
      </c>
      <c r="AD3387" s="0" t="str">
        <f aca="false">IF(Y3387=1,"",IF(AND(Z3387=1,AB3387&lt;&gt;1),1,0))</f>
        <v/>
      </c>
      <c r="AE3387" s="0" t="str">
        <f aca="false">IF(Y3387=1,"",IF(AND(AA3387=1,AC3387&lt;&gt;1),1,0))</f>
        <v/>
      </c>
      <c r="AF3387" s="45" t="str">
        <f aca="false">IF(AND(E3387&gt;0,Y3387&lt;1,NOT(AND(C3388=C3387,Y3388=Y3387+1))),INDEX(DATAS,Y3387+1),"")</f>
        <v/>
      </c>
      <c r="AG3387" s="45" t="str">
        <f aca="false">IF(AND(AA3387=1,Y3387&lt;1),IF(AND(C3388=C3387,Y3388=Y3387+1),IF(AA3388=1,"",INDEX(DATAS,Y3387+1)),INDEX(DATAS,Y3387+1)),"")</f>
        <v/>
      </c>
    </row>
    <row r="3388" customFormat="false" ht="15" hidden="false" customHeight="false" outlineLevel="0" collapsed="false">
      <c r="A3388" s="45" t="n">
        <v>46309</v>
      </c>
      <c r="B3388" s="0" t="n">
        <v>13</v>
      </c>
      <c r="C3388" s="0" t="n">
        <v>7824</v>
      </c>
      <c r="E3388" s="0" t="n">
        <v>0</v>
      </c>
      <c r="F3388" s="39" t="s">
        <v>1542</v>
      </c>
      <c r="I3388" s="39" t="s">
        <v>136</v>
      </c>
      <c r="U3388" s="0" t="n">
        <v>122</v>
      </c>
      <c r="V3388" s="0" t="n">
        <v>0</v>
      </c>
      <c r="W3388" s="39" t="n">
        <f aca="false">IF(I3388="Male",0,1)</f>
        <v>1</v>
      </c>
      <c r="X3388" s="39" t="n">
        <f aca="false">IF(OR(I3388="DNB",I3388="Dry DNB"),1,0)</f>
        <v>0</v>
      </c>
      <c r="Y3388" s="39" t="n">
        <f aca="false">MATCH(A3388,DATAS,0)</f>
        <v>1</v>
      </c>
      <c r="Z3388" s="39" t="n">
        <f aca="false">IF(AND(E3388&gt;0,OR(AND(B3388&gt;=1,B3388&lt;=6),B3388=10)),1,0)</f>
        <v>0</v>
      </c>
      <c r="AA3388" s="39" t="n">
        <f aca="false">IF(AND(E3388&gt;0,B3388=10),1,0)</f>
        <v>0</v>
      </c>
      <c r="AB3388" s="0" t="str">
        <f aca="false">IF(AND(C3387=C3388,Y3387=Y3388-1),Z3387,"")</f>
        <v/>
      </c>
      <c r="AC3388" s="0" t="str">
        <f aca="false">IF(AND(C3387=C3388,Y3387=Y3388-1),AA3387,"")</f>
        <v/>
      </c>
      <c r="AD3388" s="0" t="str">
        <f aca="false">IF(Y3388=1,"",IF(AND(Z3388=1,AB3388&lt;&gt;1),1,0))</f>
        <v/>
      </c>
      <c r="AE3388" s="0" t="str">
        <f aca="false">IF(Y3388=1,"",IF(AND(AA3388=1,AC3388&lt;&gt;1),1,0))</f>
        <v/>
      </c>
      <c r="AF3388" s="45" t="str">
        <f aca="false">IF(AND(E3388&gt;0,Y3388&lt;1,NOT(AND(C3389=C3388,Y3389=Y3388+1))),INDEX(DATAS,Y3388+1),"")</f>
        <v/>
      </c>
      <c r="AG3388" s="45" t="str">
        <f aca="false">IF(AND(AA3388=1,Y3388&lt;1),IF(AND(C3389=C3388,Y3389=Y3388+1),IF(AA3389=1,"",INDEX(DATAS,Y3388+1)),INDEX(DATAS,Y3388+1)),"")</f>
        <v/>
      </c>
    </row>
    <row r="3389" customFormat="false" ht="15" hidden="false" customHeight="false" outlineLevel="0" collapsed="false">
      <c r="A3389" s="45" t="n">
        <v>46309</v>
      </c>
      <c r="B3389" s="0" t="n">
        <v>13</v>
      </c>
      <c r="C3389" s="0" t="n">
        <v>7825</v>
      </c>
      <c r="E3389" s="0" t="n">
        <v>0</v>
      </c>
      <c r="F3389" s="39" t="s">
        <v>1543</v>
      </c>
      <c r="I3389" s="39" t="s">
        <v>136</v>
      </c>
      <c r="U3389" s="0" t="n">
        <v>121</v>
      </c>
      <c r="V3389" s="0" t="n">
        <v>0</v>
      </c>
      <c r="W3389" s="39" t="n">
        <f aca="false">IF(I3389="Male",0,1)</f>
        <v>1</v>
      </c>
      <c r="X3389" s="39" t="n">
        <f aca="false">IF(OR(I3389="DNB",I3389="Dry DNB"),1,0)</f>
        <v>0</v>
      </c>
      <c r="Y3389" s="39" t="n">
        <f aca="false">MATCH(A3389,DATAS,0)</f>
        <v>1</v>
      </c>
      <c r="Z3389" s="39" t="n">
        <f aca="false">IF(AND(E3389&gt;0,OR(AND(B3389&gt;=1,B3389&lt;=6),B3389=10)),1,0)</f>
        <v>0</v>
      </c>
      <c r="AA3389" s="39" t="n">
        <f aca="false">IF(AND(E3389&gt;0,B3389=10),1,0)</f>
        <v>0</v>
      </c>
      <c r="AB3389" s="0" t="str">
        <f aca="false">IF(AND(C3388=C3389,Y3388=Y3389-1),Z3388,"")</f>
        <v/>
      </c>
      <c r="AC3389" s="0" t="str">
        <f aca="false">IF(AND(C3388=C3389,Y3388=Y3389-1),AA3388,"")</f>
        <v/>
      </c>
      <c r="AD3389" s="0" t="str">
        <f aca="false">IF(Y3389=1,"",IF(AND(Z3389=1,AB3389&lt;&gt;1),1,0))</f>
        <v/>
      </c>
      <c r="AE3389" s="0" t="str">
        <f aca="false">IF(Y3389=1,"",IF(AND(AA3389=1,AC3389&lt;&gt;1),1,0))</f>
        <v/>
      </c>
      <c r="AF3389" s="45" t="str">
        <f aca="false">IF(AND(E3389&gt;0,Y3389&lt;1,NOT(AND(C3390=C3389,Y3390=Y3389+1))),INDEX(DATAS,Y3389+1),"")</f>
        <v/>
      </c>
      <c r="AG3389" s="45" t="str">
        <f aca="false">IF(AND(AA3389=1,Y3389&lt;1),IF(AND(C3390=C3389,Y3390=Y3389+1),IF(AA3390=1,"",INDEX(DATAS,Y3389+1)),INDEX(DATAS,Y3389+1)),"")</f>
        <v/>
      </c>
    </row>
    <row r="3390" customFormat="false" ht="15" hidden="false" customHeight="false" outlineLevel="0" collapsed="false">
      <c r="A3390" s="45" t="n">
        <v>46309</v>
      </c>
      <c r="B3390" s="0" t="n">
        <v>13</v>
      </c>
      <c r="C3390" s="0" t="n">
        <v>7826</v>
      </c>
      <c r="E3390" s="0" t="n">
        <v>0</v>
      </c>
      <c r="F3390" s="39" t="s">
        <v>1543</v>
      </c>
      <c r="I3390" s="39" t="s">
        <v>136</v>
      </c>
      <c r="U3390" s="0" t="n">
        <v>121</v>
      </c>
      <c r="V3390" s="0" t="n">
        <v>0</v>
      </c>
      <c r="W3390" s="39" t="n">
        <f aca="false">IF(I3390="Male",0,1)</f>
        <v>1</v>
      </c>
      <c r="X3390" s="39" t="n">
        <f aca="false">IF(OR(I3390="DNB",I3390="Dry DNB"),1,0)</f>
        <v>0</v>
      </c>
      <c r="Y3390" s="39" t="n">
        <f aca="false">MATCH(A3390,DATAS,0)</f>
        <v>1</v>
      </c>
      <c r="Z3390" s="39" t="n">
        <f aca="false">IF(AND(E3390&gt;0,OR(AND(B3390&gt;=1,B3390&lt;=6),B3390=10)),1,0)</f>
        <v>0</v>
      </c>
      <c r="AA3390" s="39" t="n">
        <f aca="false">IF(AND(E3390&gt;0,B3390=10),1,0)</f>
        <v>0</v>
      </c>
      <c r="AB3390" s="0" t="str">
        <f aca="false">IF(AND(C3389=C3390,Y3389=Y3390-1),Z3389,"")</f>
        <v/>
      </c>
      <c r="AC3390" s="0" t="str">
        <f aca="false">IF(AND(C3389=C3390,Y3389=Y3390-1),AA3389,"")</f>
        <v/>
      </c>
      <c r="AD3390" s="0" t="str">
        <f aca="false">IF(Y3390=1,"",IF(AND(Z3390=1,AB3390&lt;&gt;1),1,0))</f>
        <v/>
      </c>
      <c r="AE3390" s="0" t="str">
        <f aca="false">IF(Y3390=1,"",IF(AND(AA3390=1,AC3390&lt;&gt;1),1,0))</f>
        <v/>
      </c>
      <c r="AF3390" s="45" t="str">
        <f aca="false">IF(AND(E3390&gt;0,Y3390&lt;1,NOT(AND(C3391=C3390,Y3391=Y3390+1))),INDEX(DATAS,Y3390+1),"")</f>
        <v/>
      </c>
      <c r="AG3390" s="45" t="str">
        <f aca="false">IF(AND(AA3390=1,Y3390&lt;1),IF(AND(C3391=C3390,Y3391=Y3390+1),IF(AA3391=1,"",INDEX(DATAS,Y3390+1)),INDEX(DATAS,Y3390+1)),"")</f>
        <v/>
      </c>
    </row>
    <row r="3391" customFormat="false" ht="15" hidden="false" customHeight="false" outlineLevel="0" collapsed="false">
      <c r="A3391" s="45" t="n">
        <v>46309</v>
      </c>
      <c r="B3391" s="0" t="n">
        <v>13</v>
      </c>
      <c r="C3391" s="0" t="n">
        <v>7827</v>
      </c>
      <c r="E3391" s="0" t="n">
        <v>0</v>
      </c>
      <c r="F3391" s="39" t="s">
        <v>1543</v>
      </c>
      <c r="I3391" s="39" t="s">
        <v>136</v>
      </c>
      <c r="U3391" s="0" t="n">
        <v>121</v>
      </c>
      <c r="V3391" s="0" t="n">
        <v>0</v>
      </c>
      <c r="W3391" s="39" t="n">
        <f aca="false">IF(I3391="Male",0,1)</f>
        <v>1</v>
      </c>
      <c r="X3391" s="39" t="n">
        <f aca="false">IF(OR(I3391="DNB",I3391="Dry DNB"),1,0)</f>
        <v>0</v>
      </c>
      <c r="Y3391" s="39" t="n">
        <f aca="false">MATCH(A3391,DATAS,0)</f>
        <v>1</v>
      </c>
      <c r="Z3391" s="39" t="n">
        <f aca="false">IF(AND(E3391&gt;0,OR(AND(B3391&gt;=1,B3391&lt;=6),B3391=10)),1,0)</f>
        <v>0</v>
      </c>
      <c r="AA3391" s="39" t="n">
        <f aca="false">IF(AND(E3391&gt;0,B3391=10),1,0)</f>
        <v>0</v>
      </c>
      <c r="AB3391" s="0" t="str">
        <f aca="false">IF(AND(C3390=C3391,Y3390=Y3391-1),Z3390,"")</f>
        <v/>
      </c>
      <c r="AC3391" s="0" t="str">
        <f aca="false">IF(AND(C3390=C3391,Y3390=Y3391-1),AA3390,"")</f>
        <v/>
      </c>
      <c r="AD3391" s="0" t="str">
        <f aca="false">IF(Y3391=1,"",IF(AND(Z3391=1,AB3391&lt;&gt;1),1,0))</f>
        <v/>
      </c>
      <c r="AE3391" s="0" t="str">
        <f aca="false">IF(Y3391=1,"",IF(AND(AA3391=1,AC3391&lt;&gt;1),1,0))</f>
        <v/>
      </c>
      <c r="AF3391" s="45" t="str">
        <f aca="false">IF(AND(E3391&gt;0,Y3391&lt;1,NOT(AND(C3392=C3391,Y3392=Y3391+1))),INDEX(DATAS,Y3391+1),"")</f>
        <v/>
      </c>
      <c r="AG3391" s="45" t="str">
        <f aca="false">IF(AND(AA3391=1,Y3391&lt;1),IF(AND(C3392=C3391,Y3392=Y3391+1),IF(AA3392=1,"",INDEX(DATAS,Y3391+1)),INDEX(DATAS,Y3391+1)),"")</f>
        <v/>
      </c>
    </row>
    <row r="3392" customFormat="false" ht="15" hidden="false" customHeight="false" outlineLevel="0" collapsed="false">
      <c r="A3392" s="45" t="n">
        <v>46309</v>
      </c>
      <c r="B3392" s="0" t="n">
        <v>13</v>
      </c>
      <c r="C3392" s="0" t="n">
        <v>7828</v>
      </c>
      <c r="E3392" s="0" t="n">
        <v>0</v>
      </c>
      <c r="F3392" s="39" t="s">
        <v>1543</v>
      </c>
      <c r="I3392" s="39" t="s">
        <v>136</v>
      </c>
      <c r="U3392" s="0" t="n">
        <v>121</v>
      </c>
      <c r="V3392" s="0" t="n">
        <v>0</v>
      </c>
      <c r="W3392" s="39" t="n">
        <f aca="false">IF(I3392="Male",0,1)</f>
        <v>1</v>
      </c>
      <c r="X3392" s="39" t="n">
        <f aca="false">IF(OR(I3392="DNB",I3392="Dry DNB"),1,0)</f>
        <v>0</v>
      </c>
      <c r="Y3392" s="39" t="n">
        <f aca="false">MATCH(A3392,DATAS,0)</f>
        <v>1</v>
      </c>
      <c r="Z3392" s="39" t="n">
        <f aca="false">IF(AND(E3392&gt;0,OR(AND(B3392&gt;=1,B3392&lt;=6),B3392=10)),1,0)</f>
        <v>0</v>
      </c>
      <c r="AA3392" s="39" t="n">
        <f aca="false">IF(AND(E3392&gt;0,B3392=10),1,0)</f>
        <v>0</v>
      </c>
      <c r="AB3392" s="0" t="str">
        <f aca="false">IF(AND(C3391=C3392,Y3391=Y3392-1),Z3391,"")</f>
        <v/>
      </c>
      <c r="AC3392" s="0" t="str">
        <f aca="false">IF(AND(C3391=C3392,Y3391=Y3392-1),AA3391,"")</f>
        <v/>
      </c>
      <c r="AD3392" s="0" t="str">
        <f aca="false">IF(Y3392=1,"",IF(AND(Z3392=1,AB3392&lt;&gt;1),1,0))</f>
        <v/>
      </c>
      <c r="AE3392" s="0" t="str">
        <f aca="false">IF(Y3392=1,"",IF(AND(AA3392=1,AC3392&lt;&gt;1),1,0))</f>
        <v/>
      </c>
      <c r="AF3392" s="45" t="str">
        <f aca="false">IF(AND(E3392&gt;0,Y3392&lt;1,NOT(AND(C3393=C3392,Y3393=Y3392+1))),INDEX(DATAS,Y3392+1),"")</f>
        <v/>
      </c>
      <c r="AG3392" s="45" t="str">
        <f aca="false">IF(AND(AA3392=1,Y3392&lt;1),IF(AND(C3393=C3392,Y3393=Y3392+1),IF(AA3393=1,"",INDEX(DATAS,Y3392+1)),INDEX(DATAS,Y3392+1)),"")</f>
        <v/>
      </c>
    </row>
    <row r="3393" customFormat="false" ht="15" hidden="false" customHeight="false" outlineLevel="0" collapsed="false">
      <c r="A3393" s="45" t="n">
        <v>46309</v>
      </c>
      <c r="B3393" s="0" t="n">
        <v>13</v>
      </c>
      <c r="C3393" s="0" t="n">
        <v>7829</v>
      </c>
      <c r="E3393" s="0" t="n">
        <v>0</v>
      </c>
      <c r="F3393" s="39" t="s">
        <v>1544</v>
      </c>
      <c r="I3393" s="39" t="s">
        <v>136</v>
      </c>
      <c r="U3393" s="0" t="n">
        <v>120</v>
      </c>
      <c r="V3393" s="0" t="n">
        <v>0</v>
      </c>
      <c r="W3393" s="39" t="n">
        <f aca="false">IF(I3393="Male",0,1)</f>
        <v>1</v>
      </c>
      <c r="X3393" s="39" t="n">
        <f aca="false">IF(OR(I3393="DNB",I3393="Dry DNB"),1,0)</f>
        <v>0</v>
      </c>
      <c r="Y3393" s="39" t="n">
        <f aca="false">MATCH(A3393,DATAS,0)</f>
        <v>1</v>
      </c>
      <c r="Z3393" s="39" t="n">
        <f aca="false">IF(AND(E3393&gt;0,OR(AND(B3393&gt;=1,B3393&lt;=6),B3393=10)),1,0)</f>
        <v>0</v>
      </c>
      <c r="AA3393" s="39" t="n">
        <f aca="false">IF(AND(E3393&gt;0,B3393=10),1,0)</f>
        <v>0</v>
      </c>
      <c r="AB3393" s="0" t="str">
        <f aca="false">IF(AND(C3392=C3393,Y3392=Y3393-1),Z3392,"")</f>
        <v/>
      </c>
      <c r="AC3393" s="0" t="str">
        <f aca="false">IF(AND(C3392=C3393,Y3392=Y3393-1),AA3392,"")</f>
        <v/>
      </c>
      <c r="AD3393" s="0" t="str">
        <f aca="false">IF(Y3393=1,"",IF(AND(Z3393=1,AB3393&lt;&gt;1),1,0))</f>
        <v/>
      </c>
      <c r="AE3393" s="0" t="str">
        <f aca="false">IF(Y3393=1,"",IF(AND(AA3393=1,AC3393&lt;&gt;1),1,0))</f>
        <v/>
      </c>
      <c r="AF3393" s="45" t="str">
        <f aca="false">IF(AND(E3393&gt;0,Y3393&lt;1,NOT(AND(C3394=C3393,Y3394=Y3393+1))),INDEX(DATAS,Y3393+1),"")</f>
        <v/>
      </c>
      <c r="AG3393" s="45" t="str">
        <f aca="false">IF(AND(AA3393=1,Y3393&lt;1),IF(AND(C3394=C3393,Y3394=Y3393+1),IF(AA3394=1,"",INDEX(DATAS,Y3393+1)),INDEX(DATAS,Y3393+1)),"")</f>
        <v/>
      </c>
    </row>
    <row r="3394" customFormat="false" ht="15" hidden="false" customHeight="false" outlineLevel="0" collapsed="false">
      <c r="A3394" s="45" t="n">
        <v>46309</v>
      </c>
      <c r="B3394" s="0" t="n">
        <v>13</v>
      </c>
      <c r="C3394" s="0" t="n">
        <v>7830</v>
      </c>
      <c r="E3394" s="0" t="n">
        <v>0</v>
      </c>
      <c r="F3394" s="39" t="s">
        <v>1545</v>
      </c>
      <c r="I3394" s="39" t="s">
        <v>136</v>
      </c>
      <c r="U3394" s="0" t="n">
        <v>114</v>
      </c>
      <c r="V3394" s="0" t="n">
        <v>0</v>
      </c>
      <c r="W3394" s="39" t="n">
        <f aca="false">IF(I3394="Male",0,1)</f>
        <v>1</v>
      </c>
      <c r="X3394" s="39" t="n">
        <f aca="false">IF(OR(I3394="DNB",I3394="Dry DNB"),1,0)</f>
        <v>0</v>
      </c>
      <c r="Y3394" s="39" t="n">
        <f aca="false">MATCH(A3394,DATAS,0)</f>
        <v>1</v>
      </c>
      <c r="Z3394" s="39" t="n">
        <f aca="false">IF(AND(E3394&gt;0,OR(AND(B3394&gt;=1,B3394&lt;=6),B3394=10)),1,0)</f>
        <v>0</v>
      </c>
      <c r="AA3394" s="39" t="n">
        <f aca="false">IF(AND(E3394&gt;0,B3394=10),1,0)</f>
        <v>0</v>
      </c>
      <c r="AB3394" s="0" t="str">
        <f aca="false">IF(AND(C3393=C3394,Y3393=Y3394-1),Z3393,"")</f>
        <v/>
      </c>
      <c r="AC3394" s="0" t="str">
        <f aca="false">IF(AND(C3393=C3394,Y3393=Y3394-1),AA3393,"")</f>
        <v/>
      </c>
      <c r="AD3394" s="0" t="str">
        <f aca="false">IF(Y3394=1,"",IF(AND(Z3394=1,AB3394&lt;&gt;1),1,0))</f>
        <v/>
      </c>
      <c r="AE3394" s="0" t="str">
        <f aca="false">IF(Y3394=1,"",IF(AND(AA3394=1,AC3394&lt;&gt;1),1,0))</f>
        <v/>
      </c>
      <c r="AF3394" s="45" t="str">
        <f aca="false">IF(AND(E3394&gt;0,Y3394&lt;1,NOT(AND(C3395=C3394,Y3395=Y3394+1))),INDEX(DATAS,Y3394+1),"")</f>
        <v/>
      </c>
      <c r="AG3394" s="45" t="str">
        <f aca="false">IF(AND(AA3394=1,Y3394&lt;1),IF(AND(C3395=C3394,Y3395=Y3394+1),IF(AA3395=1,"",INDEX(DATAS,Y3394+1)),INDEX(DATAS,Y3394+1)),"")</f>
        <v/>
      </c>
    </row>
    <row r="3395" customFormat="false" ht="15" hidden="false" customHeight="false" outlineLevel="0" collapsed="false">
      <c r="A3395" s="45" t="n">
        <v>46309</v>
      </c>
      <c r="B3395" s="0" t="n">
        <v>13</v>
      </c>
      <c r="C3395" s="0" t="n">
        <v>7831</v>
      </c>
      <c r="E3395" s="0" t="n">
        <v>0</v>
      </c>
      <c r="F3395" s="39" t="s">
        <v>1544</v>
      </c>
      <c r="I3395" s="39" t="s">
        <v>136</v>
      </c>
      <c r="U3395" s="0" t="n">
        <v>120</v>
      </c>
      <c r="V3395" s="0" t="n">
        <v>0</v>
      </c>
      <c r="W3395" s="39" t="n">
        <f aca="false">IF(I3395="Male",0,1)</f>
        <v>1</v>
      </c>
      <c r="X3395" s="39" t="n">
        <f aca="false">IF(OR(I3395="DNB",I3395="Dry DNB"),1,0)</f>
        <v>0</v>
      </c>
      <c r="Y3395" s="39" t="n">
        <f aca="false">MATCH(A3395,DATAS,0)</f>
        <v>1</v>
      </c>
      <c r="Z3395" s="39" t="n">
        <f aca="false">IF(AND(E3395&gt;0,OR(AND(B3395&gt;=1,B3395&lt;=6),B3395=10)),1,0)</f>
        <v>0</v>
      </c>
      <c r="AA3395" s="39" t="n">
        <f aca="false">IF(AND(E3395&gt;0,B3395=10),1,0)</f>
        <v>0</v>
      </c>
      <c r="AB3395" s="0" t="str">
        <f aca="false">IF(AND(C3394=C3395,Y3394=Y3395-1),Z3394,"")</f>
        <v/>
      </c>
      <c r="AC3395" s="0" t="str">
        <f aca="false">IF(AND(C3394=C3395,Y3394=Y3395-1),AA3394,"")</f>
        <v/>
      </c>
      <c r="AD3395" s="0" t="str">
        <f aca="false">IF(Y3395=1,"",IF(AND(Z3395=1,AB3395&lt;&gt;1),1,0))</f>
        <v/>
      </c>
      <c r="AE3395" s="0" t="str">
        <f aca="false">IF(Y3395=1,"",IF(AND(AA3395=1,AC3395&lt;&gt;1),1,0))</f>
        <v/>
      </c>
      <c r="AF3395" s="45" t="str">
        <f aca="false">IF(AND(E3395&gt;0,Y3395&lt;1,NOT(AND(C3396=C3395,Y3396=Y3395+1))),INDEX(DATAS,Y3395+1),"")</f>
        <v/>
      </c>
      <c r="AG3395" s="45" t="str">
        <f aca="false">IF(AND(AA3395=1,Y3395&lt;1),IF(AND(C3396=C3395,Y3396=Y3395+1),IF(AA3396=1,"",INDEX(DATAS,Y3395+1)),INDEX(DATAS,Y3395+1)),"")</f>
        <v/>
      </c>
    </row>
    <row r="3396" customFormat="false" ht="15" hidden="false" customHeight="false" outlineLevel="0" collapsed="false">
      <c r="A3396" s="45" t="n">
        <v>46309</v>
      </c>
      <c r="B3396" s="0" t="n">
        <v>13</v>
      </c>
      <c r="C3396" s="0" t="n">
        <v>7832</v>
      </c>
      <c r="E3396" s="0" t="n">
        <v>0</v>
      </c>
      <c r="F3396" s="39" t="s">
        <v>1544</v>
      </c>
      <c r="I3396" s="39" t="s">
        <v>136</v>
      </c>
      <c r="U3396" s="0" t="n">
        <v>120</v>
      </c>
      <c r="V3396" s="0" t="n">
        <v>0</v>
      </c>
      <c r="W3396" s="39" t="n">
        <f aca="false">IF(I3396="Male",0,1)</f>
        <v>1</v>
      </c>
      <c r="X3396" s="39" t="n">
        <f aca="false">IF(OR(I3396="DNB",I3396="Dry DNB"),1,0)</f>
        <v>0</v>
      </c>
      <c r="Y3396" s="39" t="n">
        <f aca="false">MATCH(A3396,DATAS,0)</f>
        <v>1</v>
      </c>
      <c r="Z3396" s="39" t="n">
        <f aca="false">IF(AND(E3396&gt;0,OR(AND(B3396&gt;=1,B3396&lt;=6),B3396=10)),1,0)</f>
        <v>0</v>
      </c>
      <c r="AA3396" s="39" t="n">
        <f aca="false">IF(AND(E3396&gt;0,B3396=10),1,0)</f>
        <v>0</v>
      </c>
      <c r="AB3396" s="0" t="str">
        <f aca="false">IF(AND(C3395=C3396,Y3395=Y3396-1),Z3395,"")</f>
        <v/>
      </c>
      <c r="AC3396" s="0" t="str">
        <f aca="false">IF(AND(C3395=C3396,Y3395=Y3396-1),AA3395,"")</f>
        <v/>
      </c>
      <c r="AD3396" s="0" t="str">
        <f aca="false">IF(Y3396=1,"",IF(AND(Z3396=1,AB3396&lt;&gt;1),1,0))</f>
        <v/>
      </c>
      <c r="AE3396" s="0" t="str">
        <f aca="false">IF(Y3396=1,"",IF(AND(AA3396=1,AC3396&lt;&gt;1),1,0))</f>
        <v/>
      </c>
      <c r="AF3396" s="45" t="str">
        <f aca="false">IF(AND(E3396&gt;0,Y3396&lt;1,NOT(AND(C3397=C3396,Y3397=Y3396+1))),INDEX(DATAS,Y3396+1),"")</f>
        <v/>
      </c>
      <c r="AG3396" s="45" t="str">
        <f aca="false">IF(AND(AA3396=1,Y3396&lt;1),IF(AND(C3397=C3396,Y3397=Y3396+1),IF(AA3397=1,"",INDEX(DATAS,Y3396+1)),INDEX(DATAS,Y3396+1)),"")</f>
        <v/>
      </c>
    </row>
    <row r="3397" customFormat="false" ht="15" hidden="false" customHeight="false" outlineLevel="0" collapsed="false">
      <c r="A3397" s="45" t="n">
        <v>46309</v>
      </c>
      <c r="B3397" s="0" t="n">
        <v>13</v>
      </c>
      <c r="C3397" s="0" t="n">
        <v>7833</v>
      </c>
      <c r="E3397" s="0" t="n">
        <v>0</v>
      </c>
      <c r="F3397" s="39" t="s">
        <v>1544</v>
      </c>
      <c r="I3397" s="39" t="s">
        <v>136</v>
      </c>
      <c r="U3397" s="0" t="n">
        <v>120</v>
      </c>
      <c r="V3397" s="0" t="n">
        <v>0</v>
      </c>
      <c r="W3397" s="39" t="n">
        <f aca="false">IF(I3397="Male",0,1)</f>
        <v>1</v>
      </c>
      <c r="X3397" s="39" t="n">
        <f aca="false">IF(OR(I3397="DNB",I3397="Dry DNB"),1,0)</f>
        <v>0</v>
      </c>
      <c r="Y3397" s="39" t="n">
        <f aca="false">MATCH(A3397,DATAS,0)</f>
        <v>1</v>
      </c>
      <c r="Z3397" s="39" t="n">
        <f aca="false">IF(AND(E3397&gt;0,OR(AND(B3397&gt;=1,B3397&lt;=6),B3397=10)),1,0)</f>
        <v>0</v>
      </c>
      <c r="AA3397" s="39" t="n">
        <f aca="false">IF(AND(E3397&gt;0,B3397=10),1,0)</f>
        <v>0</v>
      </c>
      <c r="AB3397" s="0" t="str">
        <f aca="false">IF(AND(C3396=C3397,Y3396=Y3397-1),Z3396,"")</f>
        <v/>
      </c>
      <c r="AC3397" s="0" t="str">
        <f aca="false">IF(AND(C3396=C3397,Y3396=Y3397-1),AA3396,"")</f>
        <v/>
      </c>
      <c r="AD3397" s="0" t="str">
        <f aca="false">IF(Y3397=1,"",IF(AND(Z3397=1,AB3397&lt;&gt;1),1,0))</f>
        <v/>
      </c>
      <c r="AE3397" s="0" t="str">
        <f aca="false">IF(Y3397=1,"",IF(AND(AA3397=1,AC3397&lt;&gt;1),1,0))</f>
        <v/>
      </c>
      <c r="AF3397" s="45" t="str">
        <f aca="false">IF(AND(E3397&gt;0,Y3397&lt;1,NOT(AND(C3398=C3397,Y3398=Y3397+1))),INDEX(DATAS,Y3397+1),"")</f>
        <v/>
      </c>
      <c r="AG3397" s="45" t="str">
        <f aca="false">IF(AND(AA3397=1,Y3397&lt;1),IF(AND(C3398=C3397,Y3398=Y3397+1),IF(AA3398=1,"",INDEX(DATAS,Y3397+1)),INDEX(DATAS,Y3397+1)),"")</f>
        <v/>
      </c>
    </row>
    <row r="3398" customFormat="false" ht="15" hidden="false" customHeight="false" outlineLevel="0" collapsed="false">
      <c r="A3398" s="45" t="n">
        <v>46309</v>
      </c>
      <c r="B3398" s="0" t="n">
        <v>13</v>
      </c>
      <c r="C3398" s="0" t="n">
        <v>7835</v>
      </c>
      <c r="E3398" s="0" t="n">
        <v>0</v>
      </c>
      <c r="F3398" s="39" t="s">
        <v>1546</v>
      </c>
      <c r="I3398" s="39" t="s">
        <v>136</v>
      </c>
      <c r="U3398" s="0" t="n">
        <v>119</v>
      </c>
      <c r="V3398" s="0" t="n">
        <v>0</v>
      </c>
      <c r="W3398" s="39" t="n">
        <f aca="false">IF(I3398="Male",0,1)</f>
        <v>1</v>
      </c>
      <c r="X3398" s="39" t="n">
        <f aca="false">IF(OR(I3398="DNB",I3398="Dry DNB"),1,0)</f>
        <v>0</v>
      </c>
      <c r="Y3398" s="39" t="n">
        <f aca="false">MATCH(A3398,DATAS,0)</f>
        <v>1</v>
      </c>
      <c r="Z3398" s="39" t="n">
        <f aca="false">IF(AND(E3398&gt;0,OR(AND(B3398&gt;=1,B3398&lt;=6),B3398=10)),1,0)</f>
        <v>0</v>
      </c>
      <c r="AA3398" s="39" t="n">
        <f aca="false">IF(AND(E3398&gt;0,B3398=10),1,0)</f>
        <v>0</v>
      </c>
      <c r="AB3398" s="0" t="str">
        <f aca="false">IF(AND(C3397=C3398,Y3397=Y3398-1),Z3397,"")</f>
        <v/>
      </c>
      <c r="AC3398" s="0" t="str">
        <f aca="false">IF(AND(C3397=C3398,Y3397=Y3398-1),AA3397,"")</f>
        <v/>
      </c>
      <c r="AD3398" s="0" t="str">
        <f aca="false">IF(Y3398=1,"",IF(AND(Z3398=1,AB3398&lt;&gt;1),1,0))</f>
        <v/>
      </c>
      <c r="AE3398" s="0" t="str">
        <f aca="false">IF(Y3398=1,"",IF(AND(AA3398=1,AC3398&lt;&gt;1),1,0))</f>
        <v/>
      </c>
      <c r="AF3398" s="45" t="str">
        <f aca="false">IF(AND(E3398&gt;0,Y3398&lt;1,NOT(AND(C3399=C3398,Y3399=Y3398+1))),INDEX(DATAS,Y3398+1),"")</f>
        <v/>
      </c>
      <c r="AG3398" s="45" t="str">
        <f aca="false">IF(AND(AA3398=1,Y3398&lt;1),IF(AND(C3399=C3398,Y3399=Y3398+1),IF(AA3399=1,"",INDEX(DATAS,Y3398+1)),INDEX(DATAS,Y3398+1)),"")</f>
        <v/>
      </c>
    </row>
    <row r="3399" customFormat="false" ht="15" hidden="false" customHeight="false" outlineLevel="0" collapsed="false">
      <c r="A3399" s="45" t="n">
        <v>46309</v>
      </c>
      <c r="B3399" s="0" t="n">
        <v>13</v>
      </c>
      <c r="C3399" s="0" t="n">
        <v>7836</v>
      </c>
      <c r="E3399" s="0" t="n">
        <v>0</v>
      </c>
      <c r="F3399" s="39" t="s">
        <v>1546</v>
      </c>
      <c r="I3399" s="39" t="s">
        <v>136</v>
      </c>
      <c r="U3399" s="0" t="n">
        <v>119</v>
      </c>
      <c r="V3399" s="0" t="n">
        <v>0</v>
      </c>
      <c r="W3399" s="39" t="n">
        <f aca="false">IF(I3399="Male",0,1)</f>
        <v>1</v>
      </c>
      <c r="X3399" s="39" t="n">
        <f aca="false">IF(OR(I3399="DNB",I3399="Dry DNB"),1,0)</f>
        <v>0</v>
      </c>
      <c r="Y3399" s="39" t="n">
        <f aca="false">MATCH(A3399,DATAS,0)</f>
        <v>1</v>
      </c>
      <c r="Z3399" s="39" t="n">
        <f aca="false">IF(AND(E3399&gt;0,OR(AND(B3399&gt;=1,B3399&lt;=6),B3399=10)),1,0)</f>
        <v>0</v>
      </c>
      <c r="AA3399" s="39" t="n">
        <f aca="false">IF(AND(E3399&gt;0,B3399=10),1,0)</f>
        <v>0</v>
      </c>
      <c r="AB3399" s="0" t="str">
        <f aca="false">IF(AND(C3398=C3399,Y3398=Y3399-1),Z3398,"")</f>
        <v/>
      </c>
      <c r="AC3399" s="0" t="str">
        <f aca="false">IF(AND(C3398=C3399,Y3398=Y3399-1),AA3398,"")</f>
        <v/>
      </c>
      <c r="AD3399" s="0" t="str">
        <f aca="false">IF(Y3399=1,"",IF(AND(Z3399=1,AB3399&lt;&gt;1),1,0))</f>
        <v/>
      </c>
      <c r="AE3399" s="0" t="str">
        <f aca="false">IF(Y3399=1,"",IF(AND(AA3399=1,AC3399&lt;&gt;1),1,0))</f>
        <v/>
      </c>
      <c r="AF3399" s="45" t="str">
        <f aca="false">IF(AND(E3399&gt;0,Y3399&lt;1,NOT(AND(C3400=C3399,Y3400=Y3399+1))),INDEX(DATAS,Y3399+1),"")</f>
        <v/>
      </c>
      <c r="AG3399" s="45" t="str">
        <f aca="false">IF(AND(AA3399=1,Y3399&lt;1),IF(AND(C3400=C3399,Y3400=Y3399+1),IF(AA3400=1,"",INDEX(DATAS,Y3399+1)),INDEX(DATAS,Y3399+1)),"")</f>
        <v/>
      </c>
    </row>
    <row r="3400" customFormat="false" ht="15" hidden="false" customHeight="false" outlineLevel="0" collapsed="false">
      <c r="A3400" s="45" t="n">
        <v>46309</v>
      </c>
      <c r="B3400" s="0" t="n">
        <v>13</v>
      </c>
      <c r="C3400" s="0" t="n">
        <v>7837</v>
      </c>
      <c r="E3400" s="0" t="n">
        <v>0</v>
      </c>
      <c r="F3400" s="39" t="s">
        <v>1547</v>
      </c>
      <c r="I3400" s="39" t="s">
        <v>136</v>
      </c>
      <c r="U3400" s="0" t="n">
        <v>118</v>
      </c>
      <c r="V3400" s="0" t="n">
        <v>0</v>
      </c>
      <c r="W3400" s="39" t="n">
        <f aca="false">IF(I3400="Male",0,1)</f>
        <v>1</v>
      </c>
      <c r="X3400" s="39" t="n">
        <f aca="false">IF(OR(I3400="DNB",I3400="Dry DNB"),1,0)</f>
        <v>0</v>
      </c>
      <c r="Y3400" s="39" t="n">
        <f aca="false">MATCH(A3400,DATAS,0)</f>
        <v>1</v>
      </c>
      <c r="Z3400" s="39" t="n">
        <f aca="false">IF(AND(E3400&gt;0,OR(AND(B3400&gt;=1,B3400&lt;=6),B3400=10)),1,0)</f>
        <v>0</v>
      </c>
      <c r="AA3400" s="39" t="n">
        <f aca="false">IF(AND(E3400&gt;0,B3400=10),1,0)</f>
        <v>0</v>
      </c>
      <c r="AB3400" s="0" t="str">
        <f aca="false">IF(AND(C3399=C3400,Y3399=Y3400-1),Z3399,"")</f>
        <v/>
      </c>
      <c r="AC3400" s="0" t="str">
        <f aca="false">IF(AND(C3399=C3400,Y3399=Y3400-1),AA3399,"")</f>
        <v/>
      </c>
      <c r="AD3400" s="0" t="str">
        <f aca="false">IF(Y3400=1,"",IF(AND(Z3400=1,AB3400&lt;&gt;1),1,0))</f>
        <v/>
      </c>
      <c r="AE3400" s="0" t="str">
        <f aca="false">IF(Y3400=1,"",IF(AND(AA3400=1,AC3400&lt;&gt;1),1,0))</f>
        <v/>
      </c>
      <c r="AF3400" s="45" t="str">
        <f aca="false">IF(AND(E3400&gt;0,Y3400&lt;1,NOT(AND(C3401=C3400,Y3401=Y3400+1))),INDEX(DATAS,Y3400+1),"")</f>
        <v/>
      </c>
      <c r="AG3400" s="45" t="str">
        <f aca="false">IF(AND(AA3400=1,Y3400&lt;1),IF(AND(C3401=C3400,Y3401=Y3400+1),IF(AA3401=1,"",INDEX(DATAS,Y3400+1)),INDEX(DATAS,Y3400+1)),"")</f>
        <v/>
      </c>
    </row>
    <row r="3401" customFormat="false" ht="15" hidden="false" customHeight="false" outlineLevel="0" collapsed="false">
      <c r="A3401" s="45" t="n">
        <v>46309</v>
      </c>
      <c r="B3401" s="0" t="n">
        <v>13</v>
      </c>
      <c r="C3401" s="0" t="n">
        <v>7838</v>
      </c>
      <c r="E3401" s="0" t="n">
        <v>0</v>
      </c>
      <c r="F3401" s="39" t="s">
        <v>1547</v>
      </c>
      <c r="I3401" s="39" t="s">
        <v>136</v>
      </c>
      <c r="U3401" s="0" t="n">
        <v>118</v>
      </c>
      <c r="V3401" s="0" t="n">
        <v>0</v>
      </c>
      <c r="W3401" s="39" t="n">
        <f aca="false">IF(I3401="Male",0,1)</f>
        <v>1</v>
      </c>
      <c r="X3401" s="39" t="n">
        <f aca="false">IF(OR(I3401="DNB",I3401="Dry DNB"),1,0)</f>
        <v>0</v>
      </c>
      <c r="Y3401" s="39" t="n">
        <f aca="false">MATCH(A3401,DATAS,0)</f>
        <v>1</v>
      </c>
      <c r="Z3401" s="39" t="n">
        <f aca="false">IF(AND(E3401&gt;0,OR(AND(B3401&gt;=1,B3401&lt;=6),B3401=10)),1,0)</f>
        <v>0</v>
      </c>
      <c r="AA3401" s="39" t="n">
        <f aca="false">IF(AND(E3401&gt;0,B3401=10),1,0)</f>
        <v>0</v>
      </c>
      <c r="AB3401" s="0" t="str">
        <f aca="false">IF(AND(C3400=C3401,Y3400=Y3401-1),Z3400,"")</f>
        <v/>
      </c>
      <c r="AC3401" s="0" t="str">
        <f aca="false">IF(AND(C3400=C3401,Y3400=Y3401-1),AA3400,"")</f>
        <v/>
      </c>
      <c r="AD3401" s="0" t="str">
        <f aca="false">IF(Y3401=1,"",IF(AND(Z3401=1,AB3401&lt;&gt;1),1,0))</f>
        <v/>
      </c>
      <c r="AE3401" s="0" t="str">
        <f aca="false">IF(Y3401=1,"",IF(AND(AA3401=1,AC3401&lt;&gt;1),1,0))</f>
        <v/>
      </c>
      <c r="AF3401" s="45" t="str">
        <f aca="false">IF(AND(E3401&gt;0,Y3401&lt;1,NOT(AND(C3402=C3401,Y3402=Y3401+1))),INDEX(DATAS,Y3401+1),"")</f>
        <v/>
      </c>
      <c r="AG3401" s="45" t="str">
        <f aca="false">IF(AND(AA3401=1,Y3401&lt;1),IF(AND(C3402=C3401,Y3402=Y3401+1),IF(AA3402=1,"",INDEX(DATAS,Y3401+1)),INDEX(DATAS,Y3401+1)),"")</f>
        <v/>
      </c>
    </row>
    <row r="3402" customFormat="false" ht="15" hidden="false" customHeight="false" outlineLevel="0" collapsed="false">
      <c r="A3402" s="45" t="n">
        <v>46309</v>
      </c>
      <c r="B3402" s="0" t="n">
        <v>13</v>
      </c>
      <c r="C3402" s="0" t="n">
        <v>7839</v>
      </c>
      <c r="E3402" s="0" t="n">
        <v>0</v>
      </c>
      <c r="F3402" s="39" t="s">
        <v>1547</v>
      </c>
      <c r="I3402" s="39" t="s">
        <v>136</v>
      </c>
      <c r="U3402" s="0" t="n">
        <v>118</v>
      </c>
      <c r="V3402" s="0" t="n">
        <v>0</v>
      </c>
      <c r="W3402" s="39" t="n">
        <f aca="false">IF(I3402="Male",0,1)</f>
        <v>1</v>
      </c>
      <c r="X3402" s="39" t="n">
        <f aca="false">IF(OR(I3402="DNB",I3402="Dry DNB"),1,0)</f>
        <v>0</v>
      </c>
      <c r="Y3402" s="39" t="n">
        <f aca="false">MATCH(A3402,DATAS,0)</f>
        <v>1</v>
      </c>
      <c r="Z3402" s="39" t="n">
        <f aca="false">IF(AND(E3402&gt;0,OR(AND(B3402&gt;=1,B3402&lt;=6),B3402=10)),1,0)</f>
        <v>0</v>
      </c>
      <c r="AA3402" s="39" t="n">
        <f aca="false">IF(AND(E3402&gt;0,B3402=10),1,0)</f>
        <v>0</v>
      </c>
      <c r="AB3402" s="0" t="str">
        <f aca="false">IF(AND(C3401=C3402,Y3401=Y3402-1),Z3401,"")</f>
        <v/>
      </c>
      <c r="AC3402" s="0" t="str">
        <f aca="false">IF(AND(C3401=C3402,Y3401=Y3402-1),AA3401,"")</f>
        <v/>
      </c>
      <c r="AD3402" s="0" t="str">
        <f aca="false">IF(Y3402=1,"",IF(AND(Z3402=1,AB3402&lt;&gt;1),1,0))</f>
        <v/>
      </c>
      <c r="AE3402" s="0" t="str">
        <f aca="false">IF(Y3402=1,"",IF(AND(AA3402=1,AC3402&lt;&gt;1),1,0))</f>
        <v/>
      </c>
      <c r="AF3402" s="45" t="str">
        <f aca="false">IF(AND(E3402&gt;0,Y3402&lt;1,NOT(AND(C3403=C3402,Y3403=Y3402+1))),INDEX(DATAS,Y3402+1),"")</f>
        <v/>
      </c>
      <c r="AG3402" s="45" t="str">
        <f aca="false">IF(AND(AA3402=1,Y3402&lt;1),IF(AND(C3403=C3402,Y3403=Y3402+1),IF(AA3403=1,"",INDEX(DATAS,Y3402+1)),INDEX(DATAS,Y3402+1)),"")</f>
        <v/>
      </c>
    </row>
    <row r="3403" customFormat="false" ht="15" hidden="false" customHeight="false" outlineLevel="0" collapsed="false">
      <c r="A3403" s="45" t="n">
        <v>46309</v>
      </c>
      <c r="B3403" s="0" t="n">
        <v>13</v>
      </c>
      <c r="C3403" s="0" t="n">
        <v>7840</v>
      </c>
      <c r="E3403" s="0" t="n">
        <v>0</v>
      </c>
      <c r="F3403" s="39" t="s">
        <v>1547</v>
      </c>
      <c r="I3403" s="39" t="s">
        <v>136</v>
      </c>
      <c r="U3403" s="0" t="n">
        <v>118</v>
      </c>
      <c r="V3403" s="0" t="n">
        <v>0</v>
      </c>
      <c r="W3403" s="39" t="n">
        <f aca="false">IF(I3403="Male",0,1)</f>
        <v>1</v>
      </c>
      <c r="X3403" s="39" t="n">
        <f aca="false">IF(OR(I3403="DNB",I3403="Dry DNB"),1,0)</f>
        <v>0</v>
      </c>
      <c r="Y3403" s="39" t="n">
        <f aca="false">MATCH(A3403,DATAS,0)</f>
        <v>1</v>
      </c>
      <c r="Z3403" s="39" t="n">
        <f aca="false">IF(AND(E3403&gt;0,OR(AND(B3403&gt;=1,B3403&lt;=6),B3403=10)),1,0)</f>
        <v>0</v>
      </c>
      <c r="AA3403" s="39" t="n">
        <f aca="false">IF(AND(E3403&gt;0,B3403=10),1,0)</f>
        <v>0</v>
      </c>
      <c r="AB3403" s="0" t="str">
        <f aca="false">IF(AND(C3402=C3403,Y3402=Y3403-1),Z3402,"")</f>
        <v/>
      </c>
      <c r="AC3403" s="0" t="str">
        <f aca="false">IF(AND(C3402=C3403,Y3402=Y3403-1),AA3402,"")</f>
        <v/>
      </c>
      <c r="AD3403" s="0" t="str">
        <f aca="false">IF(Y3403=1,"",IF(AND(Z3403=1,AB3403&lt;&gt;1),1,0))</f>
        <v/>
      </c>
      <c r="AE3403" s="0" t="str">
        <f aca="false">IF(Y3403=1,"",IF(AND(AA3403=1,AC3403&lt;&gt;1),1,0))</f>
        <v/>
      </c>
      <c r="AF3403" s="45" t="str">
        <f aca="false">IF(AND(E3403&gt;0,Y3403&lt;1,NOT(AND(C3404=C3403,Y3404=Y3403+1))),INDEX(DATAS,Y3403+1),"")</f>
        <v/>
      </c>
      <c r="AG3403" s="45" t="str">
        <f aca="false">IF(AND(AA3403=1,Y3403&lt;1),IF(AND(C3404=C3403,Y3404=Y3403+1),IF(AA3404=1,"",INDEX(DATAS,Y3403+1)),INDEX(DATAS,Y3403+1)),"")</f>
        <v/>
      </c>
    </row>
    <row r="3404" customFormat="false" ht="15" hidden="false" customHeight="false" outlineLevel="0" collapsed="false">
      <c r="A3404" s="45" t="n">
        <v>46309</v>
      </c>
      <c r="B3404" s="0" t="n">
        <v>13</v>
      </c>
      <c r="C3404" s="0" t="n">
        <v>7841</v>
      </c>
      <c r="E3404" s="0" t="n">
        <v>0</v>
      </c>
      <c r="F3404" s="39" t="s">
        <v>1547</v>
      </c>
      <c r="I3404" s="39" t="s">
        <v>136</v>
      </c>
      <c r="U3404" s="0" t="n">
        <v>118</v>
      </c>
      <c r="V3404" s="0" t="n">
        <v>0</v>
      </c>
      <c r="W3404" s="39" t="n">
        <f aca="false">IF(I3404="Male",0,1)</f>
        <v>1</v>
      </c>
      <c r="X3404" s="39" t="n">
        <f aca="false">IF(OR(I3404="DNB",I3404="Dry DNB"),1,0)</f>
        <v>0</v>
      </c>
      <c r="Y3404" s="39" t="n">
        <f aca="false">MATCH(A3404,DATAS,0)</f>
        <v>1</v>
      </c>
      <c r="Z3404" s="39" t="n">
        <f aca="false">IF(AND(E3404&gt;0,OR(AND(B3404&gt;=1,B3404&lt;=6),B3404=10)),1,0)</f>
        <v>0</v>
      </c>
      <c r="AA3404" s="39" t="n">
        <f aca="false">IF(AND(E3404&gt;0,B3404=10),1,0)</f>
        <v>0</v>
      </c>
      <c r="AB3404" s="0" t="str">
        <f aca="false">IF(AND(C3403=C3404,Y3403=Y3404-1),Z3403,"")</f>
        <v/>
      </c>
      <c r="AC3404" s="0" t="str">
        <f aca="false">IF(AND(C3403=C3404,Y3403=Y3404-1),AA3403,"")</f>
        <v/>
      </c>
      <c r="AD3404" s="0" t="str">
        <f aca="false">IF(Y3404=1,"",IF(AND(Z3404=1,AB3404&lt;&gt;1),1,0))</f>
        <v/>
      </c>
      <c r="AE3404" s="0" t="str">
        <f aca="false">IF(Y3404=1,"",IF(AND(AA3404=1,AC3404&lt;&gt;1),1,0))</f>
        <v/>
      </c>
      <c r="AF3404" s="45" t="str">
        <f aca="false">IF(AND(E3404&gt;0,Y3404&lt;1,NOT(AND(C3405=C3404,Y3405=Y3404+1))),INDEX(DATAS,Y3404+1),"")</f>
        <v/>
      </c>
      <c r="AG3404" s="45" t="str">
        <f aca="false">IF(AND(AA3404=1,Y3404&lt;1),IF(AND(C3405=C3404,Y3405=Y3404+1),IF(AA3405=1,"",INDEX(DATAS,Y3404+1)),INDEX(DATAS,Y3404+1)),"")</f>
        <v/>
      </c>
    </row>
    <row r="3405" customFormat="false" ht="15" hidden="false" customHeight="false" outlineLevel="0" collapsed="false">
      <c r="A3405" s="45" t="n">
        <v>46309</v>
      </c>
      <c r="B3405" s="0" t="n">
        <v>13</v>
      </c>
      <c r="C3405" s="0" t="n">
        <v>7842</v>
      </c>
      <c r="E3405" s="0" t="n">
        <v>0</v>
      </c>
      <c r="F3405" s="39" t="s">
        <v>1547</v>
      </c>
      <c r="I3405" s="39" t="s">
        <v>136</v>
      </c>
      <c r="U3405" s="0" t="n">
        <v>118</v>
      </c>
      <c r="V3405" s="0" t="n">
        <v>0</v>
      </c>
      <c r="W3405" s="39" t="n">
        <f aca="false">IF(I3405="Male",0,1)</f>
        <v>1</v>
      </c>
      <c r="X3405" s="39" t="n">
        <f aca="false">IF(OR(I3405="DNB",I3405="Dry DNB"),1,0)</f>
        <v>0</v>
      </c>
      <c r="Y3405" s="39" t="n">
        <f aca="false">MATCH(A3405,DATAS,0)</f>
        <v>1</v>
      </c>
      <c r="Z3405" s="39" t="n">
        <f aca="false">IF(AND(E3405&gt;0,OR(AND(B3405&gt;=1,B3405&lt;=6),B3405=10)),1,0)</f>
        <v>0</v>
      </c>
      <c r="AA3405" s="39" t="n">
        <f aca="false">IF(AND(E3405&gt;0,B3405=10),1,0)</f>
        <v>0</v>
      </c>
      <c r="AB3405" s="0" t="str">
        <f aca="false">IF(AND(C3404=C3405,Y3404=Y3405-1),Z3404,"")</f>
        <v/>
      </c>
      <c r="AC3405" s="0" t="str">
        <f aca="false">IF(AND(C3404=C3405,Y3404=Y3405-1),AA3404,"")</f>
        <v/>
      </c>
      <c r="AD3405" s="0" t="str">
        <f aca="false">IF(Y3405=1,"",IF(AND(Z3405=1,AB3405&lt;&gt;1),1,0))</f>
        <v/>
      </c>
      <c r="AE3405" s="0" t="str">
        <f aca="false">IF(Y3405=1,"",IF(AND(AA3405=1,AC3405&lt;&gt;1),1,0))</f>
        <v/>
      </c>
      <c r="AF3405" s="45" t="str">
        <f aca="false">IF(AND(E3405&gt;0,Y3405&lt;1,NOT(AND(C3406=C3405,Y3406=Y3405+1))),INDEX(DATAS,Y3405+1),"")</f>
        <v/>
      </c>
      <c r="AG3405" s="45" t="str">
        <f aca="false">IF(AND(AA3405=1,Y3405&lt;1),IF(AND(C3406=C3405,Y3406=Y3405+1),IF(AA3406=1,"",INDEX(DATAS,Y3405+1)),INDEX(DATAS,Y3405+1)),"")</f>
        <v/>
      </c>
    </row>
    <row r="3406" customFormat="false" ht="15" hidden="false" customHeight="false" outlineLevel="0" collapsed="false">
      <c r="A3406" s="45" t="n">
        <v>46309</v>
      </c>
      <c r="B3406" s="0" t="n">
        <v>13</v>
      </c>
      <c r="C3406" s="0" t="n">
        <v>7843</v>
      </c>
      <c r="E3406" s="0" t="n">
        <v>0</v>
      </c>
      <c r="F3406" s="39" t="s">
        <v>1547</v>
      </c>
      <c r="I3406" s="39" t="s">
        <v>136</v>
      </c>
      <c r="U3406" s="0" t="n">
        <v>118</v>
      </c>
      <c r="V3406" s="0" t="n">
        <v>0</v>
      </c>
      <c r="W3406" s="39" t="n">
        <f aca="false">IF(I3406="Male",0,1)</f>
        <v>1</v>
      </c>
      <c r="X3406" s="39" t="n">
        <f aca="false">IF(OR(I3406="DNB",I3406="Dry DNB"),1,0)</f>
        <v>0</v>
      </c>
      <c r="Y3406" s="39" t="n">
        <f aca="false">MATCH(A3406,DATAS,0)</f>
        <v>1</v>
      </c>
      <c r="Z3406" s="39" t="n">
        <f aca="false">IF(AND(E3406&gt;0,OR(AND(B3406&gt;=1,B3406&lt;=6),B3406=10)),1,0)</f>
        <v>0</v>
      </c>
      <c r="AA3406" s="39" t="n">
        <f aca="false">IF(AND(E3406&gt;0,B3406=10),1,0)</f>
        <v>0</v>
      </c>
      <c r="AB3406" s="0" t="str">
        <f aca="false">IF(AND(C3405=C3406,Y3405=Y3406-1),Z3405,"")</f>
        <v/>
      </c>
      <c r="AC3406" s="0" t="str">
        <f aca="false">IF(AND(C3405=C3406,Y3405=Y3406-1),AA3405,"")</f>
        <v/>
      </c>
      <c r="AD3406" s="0" t="str">
        <f aca="false">IF(Y3406=1,"",IF(AND(Z3406=1,AB3406&lt;&gt;1),1,0))</f>
        <v/>
      </c>
      <c r="AE3406" s="0" t="str">
        <f aca="false">IF(Y3406=1,"",IF(AND(AA3406=1,AC3406&lt;&gt;1),1,0))</f>
        <v/>
      </c>
      <c r="AF3406" s="45" t="str">
        <f aca="false">IF(AND(E3406&gt;0,Y3406&lt;1,NOT(AND(C3407=C3406,Y3407=Y3406+1))),INDEX(DATAS,Y3406+1),"")</f>
        <v/>
      </c>
      <c r="AG3406" s="45" t="str">
        <f aca="false">IF(AND(AA3406=1,Y3406&lt;1),IF(AND(C3407=C3406,Y3407=Y3406+1),IF(AA3407=1,"",INDEX(DATAS,Y3406+1)),INDEX(DATAS,Y3406+1)),"")</f>
        <v/>
      </c>
    </row>
    <row r="3407" customFormat="false" ht="15" hidden="false" customHeight="false" outlineLevel="0" collapsed="false">
      <c r="A3407" s="45" t="n">
        <v>46309</v>
      </c>
      <c r="B3407" s="0" t="n">
        <v>13</v>
      </c>
      <c r="C3407" s="0" t="n">
        <v>7845</v>
      </c>
      <c r="E3407" s="0" t="n">
        <v>0</v>
      </c>
      <c r="F3407" s="39" t="s">
        <v>1548</v>
      </c>
      <c r="I3407" s="39" t="s">
        <v>136</v>
      </c>
      <c r="U3407" s="0" t="n">
        <v>117</v>
      </c>
      <c r="V3407" s="0" t="n">
        <v>0</v>
      </c>
      <c r="W3407" s="39" t="n">
        <f aca="false">IF(I3407="Male",0,1)</f>
        <v>1</v>
      </c>
      <c r="X3407" s="39" t="n">
        <f aca="false">IF(OR(I3407="DNB",I3407="Dry DNB"),1,0)</f>
        <v>0</v>
      </c>
      <c r="Y3407" s="39" t="n">
        <f aca="false">MATCH(A3407,DATAS,0)</f>
        <v>1</v>
      </c>
      <c r="Z3407" s="39" t="n">
        <f aca="false">IF(AND(E3407&gt;0,OR(AND(B3407&gt;=1,B3407&lt;=6),B3407=10)),1,0)</f>
        <v>0</v>
      </c>
      <c r="AA3407" s="39" t="n">
        <f aca="false">IF(AND(E3407&gt;0,B3407=10),1,0)</f>
        <v>0</v>
      </c>
      <c r="AB3407" s="0" t="str">
        <f aca="false">IF(AND(C3406=C3407,Y3406=Y3407-1),Z3406,"")</f>
        <v/>
      </c>
      <c r="AC3407" s="0" t="str">
        <f aca="false">IF(AND(C3406=C3407,Y3406=Y3407-1),AA3406,"")</f>
        <v/>
      </c>
      <c r="AD3407" s="0" t="str">
        <f aca="false">IF(Y3407=1,"",IF(AND(Z3407=1,AB3407&lt;&gt;1),1,0))</f>
        <v/>
      </c>
      <c r="AE3407" s="0" t="str">
        <f aca="false">IF(Y3407=1,"",IF(AND(AA3407=1,AC3407&lt;&gt;1),1,0))</f>
        <v/>
      </c>
      <c r="AF3407" s="45" t="str">
        <f aca="false">IF(AND(E3407&gt;0,Y3407&lt;1,NOT(AND(C3408=C3407,Y3408=Y3407+1))),INDEX(DATAS,Y3407+1),"")</f>
        <v/>
      </c>
      <c r="AG3407" s="45" t="str">
        <f aca="false">IF(AND(AA3407=1,Y3407&lt;1),IF(AND(C3408=C3407,Y3408=Y3407+1),IF(AA3408=1,"",INDEX(DATAS,Y3407+1)),INDEX(DATAS,Y3407+1)),"")</f>
        <v/>
      </c>
    </row>
    <row r="3408" customFormat="false" ht="15" hidden="false" customHeight="false" outlineLevel="0" collapsed="false">
      <c r="A3408" s="45" t="n">
        <v>46309</v>
      </c>
      <c r="B3408" s="0" t="n">
        <v>13</v>
      </c>
      <c r="C3408" s="0" t="n">
        <v>7846</v>
      </c>
      <c r="E3408" s="0" t="n">
        <v>0</v>
      </c>
      <c r="F3408" s="39" t="s">
        <v>1548</v>
      </c>
      <c r="I3408" s="39" t="s">
        <v>136</v>
      </c>
      <c r="U3408" s="0" t="n">
        <v>117</v>
      </c>
      <c r="V3408" s="0" t="n">
        <v>0</v>
      </c>
      <c r="W3408" s="39" t="n">
        <f aca="false">IF(I3408="Male",0,1)</f>
        <v>1</v>
      </c>
      <c r="X3408" s="39" t="n">
        <f aca="false">IF(OR(I3408="DNB",I3408="Dry DNB"),1,0)</f>
        <v>0</v>
      </c>
      <c r="Y3408" s="39" t="n">
        <f aca="false">MATCH(A3408,DATAS,0)</f>
        <v>1</v>
      </c>
      <c r="Z3408" s="39" t="n">
        <f aca="false">IF(AND(E3408&gt;0,OR(AND(B3408&gt;=1,B3408&lt;=6),B3408=10)),1,0)</f>
        <v>0</v>
      </c>
      <c r="AA3408" s="39" t="n">
        <f aca="false">IF(AND(E3408&gt;0,B3408=10),1,0)</f>
        <v>0</v>
      </c>
      <c r="AB3408" s="0" t="str">
        <f aca="false">IF(AND(C3407=C3408,Y3407=Y3408-1),Z3407,"")</f>
        <v/>
      </c>
      <c r="AC3408" s="0" t="str">
        <f aca="false">IF(AND(C3407=C3408,Y3407=Y3408-1),AA3407,"")</f>
        <v/>
      </c>
      <c r="AD3408" s="0" t="str">
        <f aca="false">IF(Y3408=1,"",IF(AND(Z3408=1,AB3408&lt;&gt;1),1,0))</f>
        <v/>
      </c>
      <c r="AE3408" s="0" t="str">
        <f aca="false">IF(Y3408=1,"",IF(AND(AA3408=1,AC3408&lt;&gt;1),1,0))</f>
        <v/>
      </c>
      <c r="AF3408" s="45" t="str">
        <f aca="false">IF(AND(E3408&gt;0,Y3408&lt;1,NOT(AND(C3409=C3408,Y3409=Y3408+1))),INDEX(DATAS,Y3408+1),"")</f>
        <v/>
      </c>
      <c r="AG3408" s="45" t="str">
        <f aca="false">IF(AND(AA3408=1,Y3408&lt;1),IF(AND(C3409=C3408,Y3409=Y3408+1),IF(AA3409=1,"",INDEX(DATAS,Y3408+1)),INDEX(DATAS,Y3408+1)),"")</f>
        <v/>
      </c>
    </row>
    <row r="3409" customFormat="false" ht="15" hidden="false" customHeight="false" outlineLevel="0" collapsed="false">
      <c r="A3409" s="45" t="n">
        <v>46309</v>
      </c>
      <c r="B3409" s="0" t="n">
        <v>13</v>
      </c>
      <c r="C3409" s="0" t="n">
        <v>7847</v>
      </c>
      <c r="E3409" s="0" t="n">
        <v>0</v>
      </c>
      <c r="F3409" s="39" t="s">
        <v>1548</v>
      </c>
      <c r="I3409" s="39" t="s">
        <v>136</v>
      </c>
      <c r="U3409" s="0" t="n">
        <v>117</v>
      </c>
      <c r="V3409" s="0" t="n">
        <v>0</v>
      </c>
      <c r="W3409" s="39" t="n">
        <f aca="false">IF(I3409="Male",0,1)</f>
        <v>1</v>
      </c>
      <c r="X3409" s="39" t="n">
        <f aca="false">IF(OR(I3409="DNB",I3409="Dry DNB"),1,0)</f>
        <v>0</v>
      </c>
      <c r="Y3409" s="39" t="n">
        <f aca="false">MATCH(A3409,DATAS,0)</f>
        <v>1</v>
      </c>
      <c r="Z3409" s="39" t="n">
        <f aca="false">IF(AND(E3409&gt;0,OR(AND(B3409&gt;=1,B3409&lt;=6),B3409=10)),1,0)</f>
        <v>0</v>
      </c>
      <c r="AA3409" s="39" t="n">
        <f aca="false">IF(AND(E3409&gt;0,B3409=10),1,0)</f>
        <v>0</v>
      </c>
      <c r="AB3409" s="0" t="str">
        <f aca="false">IF(AND(C3408=C3409,Y3408=Y3409-1),Z3408,"")</f>
        <v/>
      </c>
      <c r="AC3409" s="0" t="str">
        <f aca="false">IF(AND(C3408=C3409,Y3408=Y3409-1),AA3408,"")</f>
        <v/>
      </c>
      <c r="AD3409" s="0" t="str">
        <f aca="false">IF(Y3409=1,"",IF(AND(Z3409=1,AB3409&lt;&gt;1),1,0))</f>
        <v/>
      </c>
      <c r="AE3409" s="0" t="str">
        <f aca="false">IF(Y3409=1,"",IF(AND(AA3409=1,AC3409&lt;&gt;1),1,0))</f>
        <v/>
      </c>
      <c r="AF3409" s="45" t="str">
        <f aca="false">IF(AND(E3409&gt;0,Y3409&lt;1,NOT(AND(C3410=C3409,Y3410=Y3409+1))),INDEX(DATAS,Y3409+1),"")</f>
        <v/>
      </c>
      <c r="AG3409" s="45" t="str">
        <f aca="false">IF(AND(AA3409=1,Y3409&lt;1),IF(AND(C3410=C3409,Y3410=Y3409+1),IF(AA3410=1,"",INDEX(DATAS,Y3409+1)),INDEX(DATAS,Y3409+1)),"")</f>
        <v/>
      </c>
    </row>
    <row r="3410" customFormat="false" ht="15" hidden="false" customHeight="false" outlineLevel="0" collapsed="false">
      <c r="A3410" s="45" t="n">
        <v>46309</v>
      </c>
      <c r="B3410" s="0" t="n">
        <v>13</v>
      </c>
      <c r="C3410" s="0" t="n">
        <v>7848</v>
      </c>
      <c r="E3410" s="0" t="n">
        <v>0</v>
      </c>
      <c r="F3410" s="39" t="s">
        <v>1548</v>
      </c>
      <c r="I3410" s="39" t="s">
        <v>136</v>
      </c>
      <c r="U3410" s="0" t="n">
        <v>117</v>
      </c>
      <c r="V3410" s="0" t="n">
        <v>0</v>
      </c>
      <c r="W3410" s="39" t="n">
        <f aca="false">IF(I3410="Male",0,1)</f>
        <v>1</v>
      </c>
      <c r="X3410" s="39" t="n">
        <f aca="false">IF(OR(I3410="DNB",I3410="Dry DNB"),1,0)</f>
        <v>0</v>
      </c>
      <c r="Y3410" s="39" t="n">
        <f aca="false">MATCH(A3410,DATAS,0)</f>
        <v>1</v>
      </c>
      <c r="Z3410" s="39" t="n">
        <f aca="false">IF(AND(E3410&gt;0,OR(AND(B3410&gt;=1,B3410&lt;=6),B3410=10)),1,0)</f>
        <v>0</v>
      </c>
      <c r="AA3410" s="39" t="n">
        <f aca="false">IF(AND(E3410&gt;0,B3410=10),1,0)</f>
        <v>0</v>
      </c>
      <c r="AB3410" s="0" t="str">
        <f aca="false">IF(AND(C3409=C3410,Y3409=Y3410-1),Z3409,"")</f>
        <v/>
      </c>
      <c r="AC3410" s="0" t="str">
        <f aca="false">IF(AND(C3409=C3410,Y3409=Y3410-1),AA3409,"")</f>
        <v/>
      </c>
      <c r="AD3410" s="0" t="str">
        <f aca="false">IF(Y3410=1,"",IF(AND(Z3410=1,AB3410&lt;&gt;1),1,0))</f>
        <v/>
      </c>
      <c r="AE3410" s="0" t="str">
        <f aca="false">IF(Y3410=1,"",IF(AND(AA3410=1,AC3410&lt;&gt;1),1,0))</f>
        <v/>
      </c>
      <c r="AF3410" s="45" t="str">
        <f aca="false">IF(AND(E3410&gt;0,Y3410&lt;1,NOT(AND(C3411=C3410,Y3411=Y3410+1))),INDEX(DATAS,Y3410+1),"")</f>
        <v/>
      </c>
      <c r="AG3410" s="45" t="str">
        <f aca="false">IF(AND(AA3410=1,Y3410&lt;1),IF(AND(C3411=C3410,Y3411=Y3410+1),IF(AA3411=1,"",INDEX(DATAS,Y3410+1)),INDEX(DATAS,Y3410+1)),"")</f>
        <v/>
      </c>
    </row>
    <row r="3411" customFormat="false" ht="15" hidden="false" customHeight="false" outlineLevel="0" collapsed="false">
      <c r="A3411" s="45" t="n">
        <v>46309</v>
      </c>
      <c r="B3411" s="0" t="n">
        <v>13</v>
      </c>
      <c r="C3411" s="0" t="n">
        <v>7849</v>
      </c>
      <c r="E3411" s="0" t="n">
        <v>0</v>
      </c>
      <c r="F3411" s="39" t="s">
        <v>1549</v>
      </c>
      <c r="I3411" s="39" t="s">
        <v>136</v>
      </c>
      <c r="U3411" s="0" t="n">
        <v>116</v>
      </c>
      <c r="V3411" s="0" t="n">
        <v>0</v>
      </c>
      <c r="W3411" s="39" t="n">
        <f aca="false">IF(I3411="Male",0,1)</f>
        <v>1</v>
      </c>
      <c r="X3411" s="39" t="n">
        <f aca="false">IF(OR(I3411="DNB",I3411="Dry DNB"),1,0)</f>
        <v>0</v>
      </c>
      <c r="Y3411" s="39" t="n">
        <f aca="false">MATCH(A3411,DATAS,0)</f>
        <v>1</v>
      </c>
      <c r="Z3411" s="39" t="n">
        <f aca="false">IF(AND(E3411&gt;0,OR(AND(B3411&gt;=1,B3411&lt;=6),B3411=10)),1,0)</f>
        <v>0</v>
      </c>
      <c r="AA3411" s="39" t="n">
        <f aca="false">IF(AND(E3411&gt;0,B3411=10),1,0)</f>
        <v>0</v>
      </c>
      <c r="AB3411" s="0" t="str">
        <f aca="false">IF(AND(C3410=C3411,Y3410=Y3411-1),Z3410,"")</f>
        <v/>
      </c>
      <c r="AC3411" s="0" t="str">
        <f aca="false">IF(AND(C3410=C3411,Y3410=Y3411-1),AA3410,"")</f>
        <v/>
      </c>
      <c r="AD3411" s="0" t="str">
        <f aca="false">IF(Y3411=1,"",IF(AND(Z3411=1,AB3411&lt;&gt;1),1,0))</f>
        <v/>
      </c>
      <c r="AE3411" s="0" t="str">
        <f aca="false">IF(Y3411=1,"",IF(AND(AA3411=1,AC3411&lt;&gt;1),1,0))</f>
        <v/>
      </c>
      <c r="AF3411" s="45" t="str">
        <f aca="false">IF(AND(E3411&gt;0,Y3411&lt;1,NOT(AND(C3412=C3411,Y3412=Y3411+1))),INDEX(DATAS,Y3411+1),"")</f>
        <v/>
      </c>
      <c r="AG3411" s="45" t="str">
        <f aca="false">IF(AND(AA3411=1,Y3411&lt;1),IF(AND(C3412=C3411,Y3412=Y3411+1),IF(AA3412=1,"",INDEX(DATAS,Y3411+1)),INDEX(DATAS,Y3411+1)),"")</f>
        <v/>
      </c>
    </row>
    <row r="3412" customFormat="false" ht="15" hidden="false" customHeight="false" outlineLevel="0" collapsed="false">
      <c r="A3412" s="45" t="n">
        <v>46309</v>
      </c>
      <c r="B3412" s="0" t="n">
        <v>13</v>
      </c>
      <c r="C3412" s="0" t="n">
        <v>7851</v>
      </c>
      <c r="E3412" s="0" t="n">
        <v>0</v>
      </c>
      <c r="F3412" s="39" t="s">
        <v>1545</v>
      </c>
      <c r="I3412" s="39" t="s">
        <v>136</v>
      </c>
      <c r="U3412" s="0" t="n">
        <v>114</v>
      </c>
      <c r="V3412" s="0" t="n">
        <v>0</v>
      </c>
      <c r="W3412" s="39" t="n">
        <f aca="false">IF(I3412="Male",0,1)</f>
        <v>1</v>
      </c>
      <c r="X3412" s="39" t="n">
        <f aca="false">IF(OR(I3412="DNB",I3412="Dry DNB"),1,0)</f>
        <v>0</v>
      </c>
      <c r="Y3412" s="39" t="n">
        <f aca="false">MATCH(A3412,DATAS,0)</f>
        <v>1</v>
      </c>
      <c r="Z3412" s="39" t="n">
        <f aca="false">IF(AND(E3412&gt;0,OR(AND(B3412&gt;=1,B3412&lt;=6),B3412=10)),1,0)</f>
        <v>0</v>
      </c>
      <c r="AA3412" s="39" t="n">
        <f aca="false">IF(AND(E3412&gt;0,B3412=10),1,0)</f>
        <v>0</v>
      </c>
      <c r="AB3412" s="0" t="str">
        <f aca="false">IF(AND(C3411=C3412,Y3411=Y3412-1),Z3411,"")</f>
        <v/>
      </c>
      <c r="AC3412" s="0" t="str">
        <f aca="false">IF(AND(C3411=C3412,Y3411=Y3412-1),AA3411,"")</f>
        <v/>
      </c>
      <c r="AD3412" s="0" t="str">
        <f aca="false">IF(Y3412=1,"",IF(AND(Z3412=1,AB3412&lt;&gt;1),1,0))</f>
        <v/>
      </c>
      <c r="AE3412" s="0" t="str">
        <f aca="false">IF(Y3412=1,"",IF(AND(AA3412=1,AC3412&lt;&gt;1),1,0))</f>
        <v/>
      </c>
      <c r="AF3412" s="45" t="str">
        <f aca="false">IF(AND(E3412&gt;0,Y3412&lt;1,NOT(AND(C3413=C3412,Y3413=Y3412+1))),INDEX(DATAS,Y3412+1),"")</f>
        <v/>
      </c>
      <c r="AG3412" s="45" t="str">
        <f aca="false">IF(AND(AA3412=1,Y3412&lt;1),IF(AND(C3413=C3412,Y3413=Y3412+1),IF(AA3413=1,"",INDEX(DATAS,Y3412+1)),INDEX(DATAS,Y3412+1)),"")</f>
        <v/>
      </c>
    </row>
    <row r="3413" customFormat="false" ht="15" hidden="false" customHeight="false" outlineLevel="0" collapsed="false">
      <c r="A3413" s="45" t="n">
        <v>46309</v>
      </c>
      <c r="B3413" s="0" t="n">
        <v>13</v>
      </c>
      <c r="C3413" s="0" t="n">
        <v>7852</v>
      </c>
      <c r="E3413" s="0" t="n">
        <v>0</v>
      </c>
      <c r="F3413" s="39" t="s">
        <v>1545</v>
      </c>
      <c r="I3413" s="39" t="s">
        <v>136</v>
      </c>
      <c r="U3413" s="0" t="n">
        <v>114</v>
      </c>
      <c r="V3413" s="0" t="n">
        <v>0</v>
      </c>
      <c r="W3413" s="39" t="n">
        <f aca="false">IF(I3413="Male",0,1)</f>
        <v>1</v>
      </c>
      <c r="X3413" s="39" t="n">
        <f aca="false">IF(OR(I3413="DNB",I3413="Dry DNB"),1,0)</f>
        <v>0</v>
      </c>
      <c r="Y3413" s="39" t="n">
        <f aca="false">MATCH(A3413,DATAS,0)</f>
        <v>1</v>
      </c>
      <c r="Z3413" s="39" t="n">
        <f aca="false">IF(AND(E3413&gt;0,OR(AND(B3413&gt;=1,B3413&lt;=6),B3413=10)),1,0)</f>
        <v>0</v>
      </c>
      <c r="AA3413" s="39" t="n">
        <f aca="false">IF(AND(E3413&gt;0,B3413=10),1,0)</f>
        <v>0</v>
      </c>
      <c r="AB3413" s="0" t="str">
        <f aca="false">IF(AND(C3412=C3413,Y3412=Y3413-1),Z3412,"")</f>
        <v/>
      </c>
      <c r="AC3413" s="0" t="str">
        <f aca="false">IF(AND(C3412=C3413,Y3412=Y3413-1),AA3412,"")</f>
        <v/>
      </c>
      <c r="AD3413" s="0" t="str">
        <f aca="false">IF(Y3413=1,"",IF(AND(Z3413=1,AB3413&lt;&gt;1),1,0))</f>
        <v/>
      </c>
      <c r="AE3413" s="0" t="str">
        <f aca="false">IF(Y3413=1,"",IF(AND(AA3413=1,AC3413&lt;&gt;1),1,0))</f>
        <v/>
      </c>
      <c r="AF3413" s="45" t="str">
        <f aca="false">IF(AND(E3413&gt;0,Y3413&lt;1,NOT(AND(C3414=C3413,Y3414=Y3413+1))),INDEX(DATAS,Y3413+1),"")</f>
        <v/>
      </c>
      <c r="AG3413" s="45" t="str">
        <f aca="false">IF(AND(AA3413=1,Y3413&lt;1),IF(AND(C3414=C3413,Y3414=Y3413+1),IF(AA3414=1,"",INDEX(DATAS,Y3413+1)),INDEX(DATAS,Y3413+1)),"")</f>
        <v/>
      </c>
    </row>
    <row r="3414" customFormat="false" ht="15" hidden="false" customHeight="false" outlineLevel="0" collapsed="false">
      <c r="A3414" s="45" t="n">
        <v>46309</v>
      </c>
      <c r="B3414" s="0" t="n">
        <v>13</v>
      </c>
      <c r="C3414" s="0" t="n">
        <v>7853</v>
      </c>
      <c r="E3414" s="0" t="n">
        <v>0</v>
      </c>
      <c r="F3414" s="39" t="s">
        <v>1545</v>
      </c>
      <c r="I3414" s="39" t="s">
        <v>136</v>
      </c>
      <c r="U3414" s="0" t="n">
        <v>114</v>
      </c>
      <c r="V3414" s="0" t="n">
        <v>0</v>
      </c>
      <c r="W3414" s="39" t="n">
        <f aca="false">IF(I3414="Male",0,1)</f>
        <v>1</v>
      </c>
      <c r="X3414" s="39" t="n">
        <f aca="false">IF(OR(I3414="DNB",I3414="Dry DNB"),1,0)</f>
        <v>0</v>
      </c>
      <c r="Y3414" s="39" t="n">
        <f aca="false">MATCH(A3414,DATAS,0)</f>
        <v>1</v>
      </c>
      <c r="Z3414" s="39" t="n">
        <f aca="false">IF(AND(E3414&gt;0,OR(AND(B3414&gt;=1,B3414&lt;=6),B3414=10)),1,0)</f>
        <v>0</v>
      </c>
      <c r="AA3414" s="39" t="n">
        <f aca="false">IF(AND(E3414&gt;0,B3414=10),1,0)</f>
        <v>0</v>
      </c>
      <c r="AB3414" s="0" t="str">
        <f aca="false">IF(AND(C3413=C3414,Y3413=Y3414-1),Z3413,"")</f>
        <v/>
      </c>
      <c r="AC3414" s="0" t="str">
        <f aca="false">IF(AND(C3413=C3414,Y3413=Y3414-1),AA3413,"")</f>
        <v/>
      </c>
      <c r="AD3414" s="0" t="str">
        <f aca="false">IF(Y3414=1,"",IF(AND(Z3414=1,AB3414&lt;&gt;1),1,0))</f>
        <v/>
      </c>
      <c r="AE3414" s="0" t="str">
        <f aca="false">IF(Y3414=1,"",IF(AND(AA3414=1,AC3414&lt;&gt;1),1,0))</f>
        <v/>
      </c>
      <c r="AF3414" s="45" t="str">
        <f aca="false">IF(AND(E3414&gt;0,Y3414&lt;1,NOT(AND(C3415=C3414,Y3415=Y3414+1))),INDEX(DATAS,Y3414+1),"")</f>
        <v/>
      </c>
      <c r="AG3414" s="45" t="str">
        <f aca="false">IF(AND(AA3414=1,Y3414&lt;1),IF(AND(C3415=C3414,Y3415=Y3414+1),IF(AA3415=1,"",INDEX(DATAS,Y3414+1)),INDEX(DATAS,Y3414+1)),"")</f>
        <v/>
      </c>
    </row>
    <row r="3415" customFormat="false" ht="15" hidden="false" customHeight="false" outlineLevel="0" collapsed="false">
      <c r="A3415" s="45" t="n">
        <v>46309</v>
      </c>
      <c r="B3415" s="0" t="n">
        <v>13</v>
      </c>
      <c r="C3415" s="0" t="n">
        <v>7854</v>
      </c>
      <c r="E3415" s="0" t="n">
        <v>0</v>
      </c>
      <c r="F3415" s="39" t="s">
        <v>1550</v>
      </c>
      <c r="I3415" s="39" t="s">
        <v>136</v>
      </c>
      <c r="U3415" s="0" t="n">
        <v>113</v>
      </c>
      <c r="V3415" s="0" t="n">
        <v>0</v>
      </c>
      <c r="W3415" s="39" t="n">
        <f aca="false">IF(I3415="Male",0,1)</f>
        <v>1</v>
      </c>
      <c r="X3415" s="39" t="n">
        <f aca="false">IF(OR(I3415="DNB",I3415="Dry DNB"),1,0)</f>
        <v>0</v>
      </c>
      <c r="Y3415" s="39" t="n">
        <f aca="false">MATCH(A3415,DATAS,0)</f>
        <v>1</v>
      </c>
      <c r="Z3415" s="39" t="n">
        <f aca="false">IF(AND(E3415&gt;0,OR(AND(B3415&gt;=1,B3415&lt;=6),B3415=10)),1,0)</f>
        <v>0</v>
      </c>
      <c r="AA3415" s="39" t="n">
        <f aca="false">IF(AND(E3415&gt;0,B3415=10),1,0)</f>
        <v>0</v>
      </c>
      <c r="AB3415" s="0" t="str">
        <f aca="false">IF(AND(C3414=C3415,Y3414=Y3415-1),Z3414,"")</f>
        <v/>
      </c>
      <c r="AC3415" s="0" t="str">
        <f aca="false">IF(AND(C3414=C3415,Y3414=Y3415-1),AA3414,"")</f>
        <v/>
      </c>
      <c r="AD3415" s="0" t="str">
        <f aca="false">IF(Y3415=1,"",IF(AND(Z3415=1,AB3415&lt;&gt;1),1,0))</f>
        <v/>
      </c>
      <c r="AE3415" s="0" t="str">
        <f aca="false">IF(Y3415=1,"",IF(AND(AA3415=1,AC3415&lt;&gt;1),1,0))</f>
        <v/>
      </c>
      <c r="AF3415" s="45" t="str">
        <f aca="false">IF(AND(E3415&gt;0,Y3415&lt;1,NOT(AND(C3416=C3415,Y3416=Y3415+1))),INDEX(DATAS,Y3415+1),"")</f>
        <v/>
      </c>
      <c r="AG3415" s="45" t="str">
        <f aca="false">IF(AND(AA3415=1,Y3415&lt;1),IF(AND(C3416=C3415,Y3416=Y3415+1),IF(AA3416=1,"",INDEX(DATAS,Y3415+1)),INDEX(DATAS,Y3415+1)),"")</f>
        <v/>
      </c>
    </row>
    <row r="3416" customFormat="false" ht="15" hidden="false" customHeight="false" outlineLevel="0" collapsed="false">
      <c r="A3416" s="45" t="n">
        <v>46309</v>
      </c>
      <c r="B3416" s="0" t="n">
        <v>13</v>
      </c>
      <c r="C3416" s="0" t="n">
        <v>7855</v>
      </c>
      <c r="E3416" s="0" t="n">
        <v>0</v>
      </c>
      <c r="F3416" s="39" t="s">
        <v>1550</v>
      </c>
      <c r="I3416" s="39" t="s">
        <v>136</v>
      </c>
      <c r="U3416" s="0" t="n">
        <v>113</v>
      </c>
      <c r="V3416" s="0" t="n">
        <v>0</v>
      </c>
      <c r="W3416" s="39" t="n">
        <f aca="false">IF(I3416="Male",0,1)</f>
        <v>1</v>
      </c>
      <c r="X3416" s="39" t="n">
        <f aca="false">IF(OR(I3416="DNB",I3416="Dry DNB"),1,0)</f>
        <v>0</v>
      </c>
      <c r="Y3416" s="39" t="n">
        <f aca="false">MATCH(A3416,DATAS,0)</f>
        <v>1</v>
      </c>
      <c r="Z3416" s="39" t="n">
        <f aca="false">IF(AND(E3416&gt;0,OR(AND(B3416&gt;=1,B3416&lt;=6),B3416=10)),1,0)</f>
        <v>0</v>
      </c>
      <c r="AA3416" s="39" t="n">
        <f aca="false">IF(AND(E3416&gt;0,B3416=10),1,0)</f>
        <v>0</v>
      </c>
      <c r="AB3416" s="0" t="str">
        <f aca="false">IF(AND(C3415=C3416,Y3415=Y3416-1),Z3415,"")</f>
        <v/>
      </c>
      <c r="AC3416" s="0" t="str">
        <f aca="false">IF(AND(C3415=C3416,Y3415=Y3416-1),AA3415,"")</f>
        <v/>
      </c>
      <c r="AD3416" s="0" t="str">
        <f aca="false">IF(Y3416=1,"",IF(AND(Z3416=1,AB3416&lt;&gt;1),1,0))</f>
        <v/>
      </c>
      <c r="AE3416" s="0" t="str">
        <f aca="false">IF(Y3416=1,"",IF(AND(AA3416=1,AC3416&lt;&gt;1),1,0))</f>
        <v/>
      </c>
      <c r="AF3416" s="45" t="str">
        <f aca="false">IF(AND(E3416&gt;0,Y3416&lt;1,NOT(AND(C3417=C3416,Y3417=Y3416+1))),INDEX(DATAS,Y3416+1),"")</f>
        <v/>
      </c>
      <c r="AG3416" s="45" t="str">
        <f aca="false">IF(AND(AA3416=1,Y3416&lt;1),IF(AND(C3417=C3416,Y3417=Y3416+1),IF(AA3417=1,"",INDEX(DATAS,Y3416+1)),INDEX(DATAS,Y3416+1)),"")</f>
        <v/>
      </c>
    </row>
    <row r="3417" customFormat="false" ht="15" hidden="false" customHeight="false" outlineLevel="0" collapsed="false">
      <c r="A3417" s="45" t="n">
        <v>46309</v>
      </c>
      <c r="B3417" s="0" t="n">
        <v>13</v>
      </c>
      <c r="C3417" s="0" t="n">
        <v>7856</v>
      </c>
      <c r="E3417" s="0" t="n">
        <v>0</v>
      </c>
      <c r="F3417" s="39" t="s">
        <v>1550</v>
      </c>
      <c r="I3417" s="39" t="s">
        <v>136</v>
      </c>
      <c r="U3417" s="0" t="n">
        <v>113</v>
      </c>
      <c r="V3417" s="0" t="n">
        <v>0</v>
      </c>
      <c r="W3417" s="39" t="n">
        <f aca="false">IF(I3417="Male",0,1)</f>
        <v>1</v>
      </c>
      <c r="X3417" s="39" t="n">
        <f aca="false">IF(OR(I3417="DNB",I3417="Dry DNB"),1,0)</f>
        <v>0</v>
      </c>
      <c r="Y3417" s="39" t="n">
        <f aca="false">MATCH(A3417,DATAS,0)</f>
        <v>1</v>
      </c>
      <c r="Z3417" s="39" t="n">
        <f aca="false">IF(AND(E3417&gt;0,OR(AND(B3417&gt;=1,B3417&lt;=6),B3417=10)),1,0)</f>
        <v>0</v>
      </c>
      <c r="AA3417" s="39" t="n">
        <f aca="false">IF(AND(E3417&gt;0,B3417=10),1,0)</f>
        <v>0</v>
      </c>
      <c r="AB3417" s="0" t="str">
        <f aca="false">IF(AND(C3416=C3417,Y3416=Y3417-1),Z3416,"")</f>
        <v/>
      </c>
      <c r="AC3417" s="0" t="str">
        <f aca="false">IF(AND(C3416=C3417,Y3416=Y3417-1),AA3416,"")</f>
        <v/>
      </c>
      <c r="AD3417" s="0" t="str">
        <f aca="false">IF(Y3417=1,"",IF(AND(Z3417=1,AB3417&lt;&gt;1),1,0))</f>
        <v/>
      </c>
      <c r="AE3417" s="0" t="str">
        <f aca="false">IF(Y3417=1,"",IF(AND(AA3417=1,AC3417&lt;&gt;1),1,0))</f>
        <v/>
      </c>
      <c r="AF3417" s="45" t="str">
        <f aca="false">IF(AND(E3417&gt;0,Y3417&lt;1,NOT(AND(C3418=C3417,Y3418=Y3417+1))),INDEX(DATAS,Y3417+1),"")</f>
        <v/>
      </c>
      <c r="AG3417" s="45" t="str">
        <f aca="false">IF(AND(AA3417=1,Y3417&lt;1),IF(AND(C3418=C3417,Y3418=Y3417+1),IF(AA3418=1,"",INDEX(DATAS,Y3417+1)),INDEX(DATAS,Y3417+1)),"")</f>
        <v/>
      </c>
    </row>
    <row r="3418" customFormat="false" ht="15" hidden="false" customHeight="false" outlineLevel="0" collapsed="false">
      <c r="A3418" s="45" t="n">
        <v>46309</v>
      </c>
      <c r="B3418" s="0" t="n">
        <v>13</v>
      </c>
      <c r="C3418" s="0" t="n">
        <v>7857</v>
      </c>
      <c r="E3418" s="0" t="n">
        <v>0</v>
      </c>
      <c r="F3418" s="39" t="s">
        <v>1551</v>
      </c>
      <c r="I3418" s="39" t="s">
        <v>136</v>
      </c>
      <c r="U3418" s="0" t="n">
        <v>112</v>
      </c>
      <c r="V3418" s="0" t="n">
        <v>0</v>
      </c>
      <c r="W3418" s="39" t="n">
        <f aca="false">IF(I3418="Male",0,1)</f>
        <v>1</v>
      </c>
      <c r="X3418" s="39" t="n">
        <f aca="false">IF(OR(I3418="DNB",I3418="Dry DNB"),1,0)</f>
        <v>0</v>
      </c>
      <c r="Y3418" s="39" t="n">
        <f aca="false">MATCH(A3418,DATAS,0)</f>
        <v>1</v>
      </c>
      <c r="Z3418" s="39" t="n">
        <f aca="false">IF(AND(E3418&gt;0,OR(AND(B3418&gt;=1,B3418&lt;=6),B3418=10)),1,0)</f>
        <v>0</v>
      </c>
      <c r="AA3418" s="39" t="n">
        <f aca="false">IF(AND(E3418&gt;0,B3418=10),1,0)</f>
        <v>0</v>
      </c>
      <c r="AB3418" s="0" t="str">
        <f aca="false">IF(AND(C3417=C3418,Y3417=Y3418-1),Z3417,"")</f>
        <v/>
      </c>
      <c r="AC3418" s="0" t="str">
        <f aca="false">IF(AND(C3417=C3418,Y3417=Y3418-1),AA3417,"")</f>
        <v/>
      </c>
      <c r="AD3418" s="0" t="str">
        <f aca="false">IF(Y3418=1,"",IF(AND(Z3418=1,AB3418&lt;&gt;1),1,0))</f>
        <v/>
      </c>
      <c r="AE3418" s="0" t="str">
        <f aca="false">IF(Y3418=1,"",IF(AND(AA3418=1,AC3418&lt;&gt;1),1,0))</f>
        <v/>
      </c>
      <c r="AF3418" s="45" t="str">
        <f aca="false">IF(AND(E3418&gt;0,Y3418&lt;1,NOT(AND(C3419=C3418,Y3419=Y3418+1))),INDEX(DATAS,Y3418+1),"")</f>
        <v/>
      </c>
      <c r="AG3418" s="45" t="str">
        <f aca="false">IF(AND(AA3418=1,Y3418&lt;1),IF(AND(C3419=C3418,Y3419=Y3418+1),IF(AA3419=1,"",INDEX(DATAS,Y3418+1)),INDEX(DATAS,Y3418+1)),"")</f>
        <v/>
      </c>
    </row>
    <row r="3419" customFormat="false" ht="15" hidden="false" customHeight="false" outlineLevel="0" collapsed="false">
      <c r="A3419" s="45" t="n">
        <v>46309</v>
      </c>
      <c r="B3419" s="0" t="n">
        <v>13</v>
      </c>
      <c r="C3419" s="0" t="n">
        <v>7858</v>
      </c>
      <c r="E3419" s="0" t="n">
        <v>0</v>
      </c>
      <c r="F3419" s="39" t="s">
        <v>1551</v>
      </c>
      <c r="I3419" s="39" t="s">
        <v>136</v>
      </c>
      <c r="U3419" s="0" t="n">
        <v>112</v>
      </c>
      <c r="V3419" s="0" t="n">
        <v>0</v>
      </c>
      <c r="W3419" s="39" t="n">
        <f aca="false">IF(I3419="Male",0,1)</f>
        <v>1</v>
      </c>
      <c r="X3419" s="39" t="n">
        <f aca="false">IF(OR(I3419="DNB",I3419="Dry DNB"),1,0)</f>
        <v>0</v>
      </c>
      <c r="Y3419" s="39" t="n">
        <f aca="false">MATCH(A3419,DATAS,0)</f>
        <v>1</v>
      </c>
      <c r="Z3419" s="39" t="n">
        <f aca="false">IF(AND(E3419&gt;0,OR(AND(B3419&gt;=1,B3419&lt;=6),B3419=10)),1,0)</f>
        <v>0</v>
      </c>
      <c r="AA3419" s="39" t="n">
        <f aca="false">IF(AND(E3419&gt;0,B3419=10),1,0)</f>
        <v>0</v>
      </c>
      <c r="AB3419" s="0" t="str">
        <f aca="false">IF(AND(C3418=C3419,Y3418=Y3419-1),Z3418,"")</f>
        <v/>
      </c>
      <c r="AC3419" s="0" t="str">
        <f aca="false">IF(AND(C3418=C3419,Y3418=Y3419-1),AA3418,"")</f>
        <v/>
      </c>
      <c r="AD3419" s="0" t="str">
        <f aca="false">IF(Y3419=1,"",IF(AND(Z3419=1,AB3419&lt;&gt;1),1,0))</f>
        <v/>
      </c>
      <c r="AE3419" s="0" t="str">
        <f aca="false">IF(Y3419=1,"",IF(AND(AA3419=1,AC3419&lt;&gt;1),1,0))</f>
        <v/>
      </c>
      <c r="AF3419" s="45" t="str">
        <f aca="false">IF(AND(E3419&gt;0,Y3419&lt;1,NOT(AND(C3420=C3419,Y3420=Y3419+1))),INDEX(DATAS,Y3419+1),"")</f>
        <v/>
      </c>
      <c r="AG3419" s="45" t="str">
        <f aca="false">IF(AND(AA3419=1,Y3419&lt;1),IF(AND(C3420=C3419,Y3420=Y3419+1),IF(AA3420=1,"",INDEX(DATAS,Y3419+1)),INDEX(DATAS,Y3419+1)),"")</f>
        <v/>
      </c>
    </row>
    <row r="3420" customFormat="false" ht="15" hidden="false" customHeight="false" outlineLevel="0" collapsed="false">
      <c r="A3420" s="45" t="n">
        <v>46309</v>
      </c>
      <c r="B3420" s="0" t="n">
        <v>13</v>
      </c>
      <c r="C3420" s="0" t="n">
        <v>7859</v>
      </c>
      <c r="E3420" s="0" t="n">
        <v>0</v>
      </c>
      <c r="F3420" s="39" t="s">
        <v>1551</v>
      </c>
      <c r="I3420" s="39" t="s">
        <v>136</v>
      </c>
      <c r="U3420" s="0" t="n">
        <v>112</v>
      </c>
      <c r="V3420" s="0" t="n">
        <v>0</v>
      </c>
      <c r="W3420" s="39" t="n">
        <f aca="false">IF(I3420="Male",0,1)</f>
        <v>1</v>
      </c>
      <c r="X3420" s="39" t="n">
        <f aca="false">IF(OR(I3420="DNB",I3420="Dry DNB"),1,0)</f>
        <v>0</v>
      </c>
      <c r="Y3420" s="39" t="n">
        <f aca="false">MATCH(A3420,DATAS,0)</f>
        <v>1</v>
      </c>
      <c r="Z3420" s="39" t="n">
        <f aca="false">IF(AND(E3420&gt;0,OR(AND(B3420&gt;=1,B3420&lt;=6),B3420=10)),1,0)</f>
        <v>0</v>
      </c>
      <c r="AA3420" s="39" t="n">
        <f aca="false">IF(AND(E3420&gt;0,B3420=10),1,0)</f>
        <v>0</v>
      </c>
      <c r="AB3420" s="0" t="str">
        <f aca="false">IF(AND(C3419=C3420,Y3419=Y3420-1),Z3419,"")</f>
        <v/>
      </c>
      <c r="AC3420" s="0" t="str">
        <f aca="false">IF(AND(C3419=C3420,Y3419=Y3420-1),AA3419,"")</f>
        <v/>
      </c>
      <c r="AD3420" s="0" t="str">
        <f aca="false">IF(Y3420=1,"",IF(AND(Z3420=1,AB3420&lt;&gt;1),1,0))</f>
        <v/>
      </c>
      <c r="AE3420" s="0" t="str">
        <f aca="false">IF(Y3420=1,"",IF(AND(AA3420=1,AC3420&lt;&gt;1),1,0))</f>
        <v/>
      </c>
      <c r="AF3420" s="45" t="str">
        <f aca="false">IF(AND(E3420&gt;0,Y3420&lt;1,NOT(AND(C3421=C3420,Y3421=Y3420+1))),INDEX(DATAS,Y3420+1),"")</f>
        <v/>
      </c>
      <c r="AG3420" s="45" t="str">
        <f aca="false">IF(AND(AA3420=1,Y3420&lt;1),IF(AND(C3421=C3420,Y3421=Y3420+1),IF(AA3421=1,"",INDEX(DATAS,Y3420+1)),INDEX(DATAS,Y3420+1)),"")</f>
        <v/>
      </c>
    </row>
    <row r="3421" customFormat="false" ht="15" hidden="false" customHeight="false" outlineLevel="0" collapsed="false">
      <c r="A3421" s="45" t="n">
        <v>46309</v>
      </c>
      <c r="B3421" s="0" t="n">
        <v>13</v>
      </c>
      <c r="C3421" s="0" t="n">
        <v>7860</v>
      </c>
      <c r="E3421" s="0" t="n">
        <v>0</v>
      </c>
      <c r="F3421" s="39" t="s">
        <v>1551</v>
      </c>
      <c r="I3421" s="39" t="s">
        <v>136</v>
      </c>
      <c r="U3421" s="0" t="n">
        <v>112</v>
      </c>
      <c r="V3421" s="0" t="n">
        <v>0</v>
      </c>
      <c r="W3421" s="39" t="n">
        <f aca="false">IF(I3421="Male",0,1)</f>
        <v>1</v>
      </c>
      <c r="X3421" s="39" t="n">
        <f aca="false">IF(OR(I3421="DNB",I3421="Dry DNB"),1,0)</f>
        <v>0</v>
      </c>
      <c r="Y3421" s="39" t="n">
        <f aca="false">MATCH(A3421,DATAS,0)</f>
        <v>1</v>
      </c>
      <c r="Z3421" s="39" t="n">
        <f aca="false">IF(AND(E3421&gt;0,OR(AND(B3421&gt;=1,B3421&lt;=6),B3421=10)),1,0)</f>
        <v>0</v>
      </c>
      <c r="AA3421" s="39" t="n">
        <f aca="false">IF(AND(E3421&gt;0,B3421=10),1,0)</f>
        <v>0</v>
      </c>
      <c r="AB3421" s="0" t="str">
        <f aca="false">IF(AND(C3420=C3421,Y3420=Y3421-1),Z3420,"")</f>
        <v/>
      </c>
      <c r="AC3421" s="0" t="str">
        <f aca="false">IF(AND(C3420=C3421,Y3420=Y3421-1),AA3420,"")</f>
        <v/>
      </c>
      <c r="AD3421" s="0" t="str">
        <f aca="false">IF(Y3421=1,"",IF(AND(Z3421=1,AB3421&lt;&gt;1),1,0))</f>
        <v/>
      </c>
      <c r="AE3421" s="0" t="str">
        <f aca="false">IF(Y3421=1,"",IF(AND(AA3421=1,AC3421&lt;&gt;1),1,0))</f>
        <v/>
      </c>
      <c r="AF3421" s="45" t="str">
        <f aca="false">IF(AND(E3421&gt;0,Y3421&lt;1,NOT(AND(C3422=C3421,Y3422=Y3421+1))),INDEX(DATAS,Y3421+1),"")</f>
        <v/>
      </c>
      <c r="AG3421" s="45" t="str">
        <f aca="false">IF(AND(AA3421=1,Y3421&lt;1),IF(AND(C3422=C3421,Y3422=Y3421+1),IF(AA3422=1,"",INDEX(DATAS,Y3421+1)),INDEX(DATAS,Y3421+1)),"")</f>
        <v/>
      </c>
    </row>
    <row r="3422" customFormat="false" ht="15" hidden="false" customHeight="false" outlineLevel="0" collapsed="false">
      <c r="A3422" s="45" t="n">
        <v>46309</v>
      </c>
      <c r="B3422" s="0" t="n">
        <v>13</v>
      </c>
      <c r="C3422" s="0" t="n">
        <v>7861</v>
      </c>
      <c r="E3422" s="0" t="n">
        <v>0</v>
      </c>
      <c r="F3422" s="39" t="s">
        <v>1552</v>
      </c>
      <c r="I3422" s="39" t="s">
        <v>136</v>
      </c>
      <c r="U3422" s="0" t="n">
        <v>111</v>
      </c>
      <c r="V3422" s="0" t="n">
        <v>0</v>
      </c>
      <c r="W3422" s="39" t="n">
        <f aca="false">IF(I3422="Male",0,1)</f>
        <v>1</v>
      </c>
      <c r="X3422" s="39" t="n">
        <f aca="false">IF(OR(I3422="DNB",I3422="Dry DNB"),1,0)</f>
        <v>0</v>
      </c>
      <c r="Y3422" s="39" t="n">
        <f aca="false">MATCH(A3422,DATAS,0)</f>
        <v>1</v>
      </c>
      <c r="Z3422" s="39" t="n">
        <f aca="false">IF(AND(E3422&gt;0,OR(AND(B3422&gt;=1,B3422&lt;=6),B3422=10)),1,0)</f>
        <v>0</v>
      </c>
      <c r="AA3422" s="39" t="n">
        <f aca="false">IF(AND(E3422&gt;0,B3422=10),1,0)</f>
        <v>0</v>
      </c>
      <c r="AB3422" s="0" t="str">
        <f aca="false">IF(AND(C3421=C3422,Y3421=Y3422-1),Z3421,"")</f>
        <v/>
      </c>
      <c r="AC3422" s="0" t="str">
        <f aca="false">IF(AND(C3421=C3422,Y3421=Y3422-1),AA3421,"")</f>
        <v/>
      </c>
      <c r="AD3422" s="0" t="str">
        <f aca="false">IF(Y3422=1,"",IF(AND(Z3422=1,AB3422&lt;&gt;1),1,0))</f>
        <v/>
      </c>
      <c r="AE3422" s="0" t="str">
        <f aca="false">IF(Y3422=1,"",IF(AND(AA3422=1,AC3422&lt;&gt;1),1,0))</f>
        <v/>
      </c>
      <c r="AF3422" s="45" t="str">
        <f aca="false">IF(AND(E3422&gt;0,Y3422&lt;1,NOT(AND(C3423=C3422,Y3423=Y3422+1))),INDEX(DATAS,Y3422+1),"")</f>
        <v/>
      </c>
      <c r="AG3422" s="45" t="str">
        <f aca="false">IF(AND(AA3422=1,Y3422&lt;1),IF(AND(C3423=C3422,Y3423=Y3422+1),IF(AA3423=1,"",INDEX(DATAS,Y3422+1)),INDEX(DATAS,Y3422+1)),"")</f>
        <v/>
      </c>
    </row>
    <row r="3423" customFormat="false" ht="15" hidden="false" customHeight="false" outlineLevel="0" collapsed="false">
      <c r="A3423" s="45" t="n">
        <v>46309</v>
      </c>
      <c r="B3423" s="0" t="n">
        <v>13</v>
      </c>
      <c r="C3423" s="0" t="n">
        <v>7862</v>
      </c>
      <c r="E3423" s="0" t="n">
        <v>0</v>
      </c>
      <c r="F3423" s="39" t="s">
        <v>1552</v>
      </c>
      <c r="I3423" s="39" t="s">
        <v>136</v>
      </c>
      <c r="U3423" s="0" t="n">
        <v>111</v>
      </c>
      <c r="V3423" s="0" t="n">
        <v>0</v>
      </c>
      <c r="W3423" s="39" t="n">
        <f aca="false">IF(I3423="Male",0,1)</f>
        <v>1</v>
      </c>
      <c r="X3423" s="39" t="n">
        <f aca="false">IF(OR(I3423="DNB",I3423="Dry DNB"),1,0)</f>
        <v>0</v>
      </c>
      <c r="Y3423" s="39" t="n">
        <f aca="false">MATCH(A3423,DATAS,0)</f>
        <v>1</v>
      </c>
      <c r="Z3423" s="39" t="n">
        <f aca="false">IF(AND(E3423&gt;0,OR(AND(B3423&gt;=1,B3423&lt;=6),B3423=10)),1,0)</f>
        <v>0</v>
      </c>
      <c r="AA3423" s="39" t="n">
        <f aca="false">IF(AND(E3423&gt;0,B3423=10),1,0)</f>
        <v>0</v>
      </c>
      <c r="AB3423" s="0" t="str">
        <f aca="false">IF(AND(C3422=C3423,Y3422=Y3423-1),Z3422,"")</f>
        <v/>
      </c>
      <c r="AC3423" s="0" t="str">
        <f aca="false">IF(AND(C3422=C3423,Y3422=Y3423-1),AA3422,"")</f>
        <v/>
      </c>
      <c r="AD3423" s="0" t="str">
        <f aca="false">IF(Y3423=1,"",IF(AND(Z3423=1,AB3423&lt;&gt;1),1,0))</f>
        <v/>
      </c>
      <c r="AE3423" s="0" t="str">
        <f aca="false">IF(Y3423=1,"",IF(AND(AA3423=1,AC3423&lt;&gt;1),1,0))</f>
        <v/>
      </c>
      <c r="AF3423" s="45" t="str">
        <f aca="false">IF(AND(E3423&gt;0,Y3423&lt;1,NOT(AND(C3424=C3423,Y3424=Y3423+1))),INDEX(DATAS,Y3423+1),"")</f>
        <v/>
      </c>
      <c r="AG3423" s="45" t="str">
        <f aca="false">IF(AND(AA3423=1,Y3423&lt;1),IF(AND(C3424=C3423,Y3424=Y3423+1),IF(AA3424=1,"",INDEX(DATAS,Y3423+1)),INDEX(DATAS,Y3423+1)),"")</f>
        <v/>
      </c>
    </row>
    <row r="3424" customFormat="false" ht="15" hidden="false" customHeight="false" outlineLevel="0" collapsed="false">
      <c r="A3424" s="45" t="n">
        <v>46309</v>
      </c>
      <c r="B3424" s="0" t="n">
        <v>13</v>
      </c>
      <c r="C3424" s="0" t="n">
        <v>7863</v>
      </c>
      <c r="E3424" s="0" t="n">
        <v>0</v>
      </c>
      <c r="F3424" s="39" t="s">
        <v>1552</v>
      </c>
      <c r="I3424" s="39" t="s">
        <v>136</v>
      </c>
      <c r="U3424" s="0" t="n">
        <v>111</v>
      </c>
      <c r="V3424" s="0" t="n">
        <v>0</v>
      </c>
      <c r="W3424" s="39" t="n">
        <f aca="false">IF(I3424="Male",0,1)</f>
        <v>1</v>
      </c>
      <c r="X3424" s="39" t="n">
        <f aca="false">IF(OR(I3424="DNB",I3424="Dry DNB"),1,0)</f>
        <v>0</v>
      </c>
      <c r="Y3424" s="39" t="n">
        <f aca="false">MATCH(A3424,DATAS,0)</f>
        <v>1</v>
      </c>
      <c r="Z3424" s="39" t="n">
        <f aca="false">IF(AND(E3424&gt;0,OR(AND(B3424&gt;=1,B3424&lt;=6),B3424=10)),1,0)</f>
        <v>0</v>
      </c>
      <c r="AA3424" s="39" t="n">
        <f aca="false">IF(AND(E3424&gt;0,B3424=10),1,0)</f>
        <v>0</v>
      </c>
      <c r="AB3424" s="0" t="str">
        <f aca="false">IF(AND(C3423=C3424,Y3423=Y3424-1),Z3423,"")</f>
        <v/>
      </c>
      <c r="AC3424" s="0" t="str">
        <f aca="false">IF(AND(C3423=C3424,Y3423=Y3424-1),AA3423,"")</f>
        <v/>
      </c>
      <c r="AD3424" s="0" t="str">
        <f aca="false">IF(Y3424=1,"",IF(AND(Z3424=1,AB3424&lt;&gt;1),1,0))</f>
        <v/>
      </c>
      <c r="AE3424" s="0" t="str">
        <f aca="false">IF(Y3424=1,"",IF(AND(AA3424=1,AC3424&lt;&gt;1),1,0))</f>
        <v/>
      </c>
      <c r="AF3424" s="45" t="str">
        <f aca="false">IF(AND(E3424&gt;0,Y3424&lt;1,NOT(AND(C3425=C3424,Y3425=Y3424+1))),INDEX(DATAS,Y3424+1),"")</f>
        <v/>
      </c>
      <c r="AG3424" s="45" t="str">
        <f aca="false">IF(AND(AA3424=1,Y3424&lt;1),IF(AND(C3425=C3424,Y3425=Y3424+1),IF(AA3425=1,"",INDEX(DATAS,Y3424+1)),INDEX(DATAS,Y3424+1)),"")</f>
        <v/>
      </c>
    </row>
    <row r="3425" customFormat="false" ht="15" hidden="false" customHeight="false" outlineLevel="0" collapsed="false">
      <c r="A3425" s="45" t="n">
        <v>46309</v>
      </c>
      <c r="B3425" s="0" t="n">
        <v>13</v>
      </c>
      <c r="C3425" s="0" t="n">
        <v>7864</v>
      </c>
      <c r="E3425" s="0" t="n">
        <v>0</v>
      </c>
      <c r="F3425" s="39" t="s">
        <v>1552</v>
      </c>
      <c r="I3425" s="39" t="s">
        <v>136</v>
      </c>
      <c r="U3425" s="0" t="n">
        <v>111</v>
      </c>
      <c r="V3425" s="0" t="n">
        <v>0</v>
      </c>
      <c r="W3425" s="39" t="n">
        <f aca="false">IF(I3425="Male",0,1)</f>
        <v>1</v>
      </c>
      <c r="X3425" s="39" t="n">
        <f aca="false">IF(OR(I3425="DNB",I3425="Dry DNB"),1,0)</f>
        <v>0</v>
      </c>
      <c r="Y3425" s="39" t="n">
        <f aca="false">MATCH(A3425,DATAS,0)</f>
        <v>1</v>
      </c>
      <c r="Z3425" s="39" t="n">
        <f aca="false">IF(AND(E3425&gt;0,OR(AND(B3425&gt;=1,B3425&lt;=6),B3425=10)),1,0)</f>
        <v>0</v>
      </c>
      <c r="AA3425" s="39" t="n">
        <f aca="false">IF(AND(E3425&gt;0,B3425=10),1,0)</f>
        <v>0</v>
      </c>
      <c r="AB3425" s="0" t="str">
        <f aca="false">IF(AND(C3424=C3425,Y3424=Y3425-1),Z3424,"")</f>
        <v/>
      </c>
      <c r="AC3425" s="0" t="str">
        <f aca="false">IF(AND(C3424=C3425,Y3424=Y3425-1),AA3424,"")</f>
        <v/>
      </c>
      <c r="AD3425" s="0" t="str">
        <f aca="false">IF(Y3425=1,"",IF(AND(Z3425=1,AB3425&lt;&gt;1),1,0))</f>
        <v/>
      </c>
      <c r="AE3425" s="0" t="str">
        <f aca="false">IF(Y3425=1,"",IF(AND(AA3425=1,AC3425&lt;&gt;1),1,0))</f>
        <v/>
      </c>
      <c r="AF3425" s="45" t="str">
        <f aca="false">IF(AND(E3425&gt;0,Y3425&lt;1,NOT(AND(C3426=C3425,Y3426=Y3425+1))),INDEX(DATAS,Y3425+1),"")</f>
        <v/>
      </c>
      <c r="AG3425" s="45" t="str">
        <f aca="false">IF(AND(AA3425=1,Y3425&lt;1),IF(AND(C3426=C3425,Y3426=Y3425+1),IF(AA3426=1,"",INDEX(DATAS,Y3425+1)),INDEX(DATAS,Y3425+1)),"")</f>
        <v/>
      </c>
    </row>
    <row r="3426" customFormat="false" ht="15" hidden="false" customHeight="false" outlineLevel="0" collapsed="false">
      <c r="A3426" s="45" t="n">
        <v>46309</v>
      </c>
      <c r="B3426" s="0" t="n">
        <v>13</v>
      </c>
      <c r="C3426" s="0" t="n">
        <v>7865</v>
      </c>
      <c r="E3426" s="0" t="n">
        <v>0</v>
      </c>
      <c r="F3426" s="39" t="s">
        <v>1552</v>
      </c>
      <c r="I3426" s="39" t="s">
        <v>136</v>
      </c>
      <c r="U3426" s="0" t="n">
        <v>111</v>
      </c>
      <c r="V3426" s="0" t="n">
        <v>0</v>
      </c>
      <c r="W3426" s="39" t="n">
        <f aca="false">IF(I3426="Male",0,1)</f>
        <v>1</v>
      </c>
      <c r="X3426" s="39" t="n">
        <f aca="false">IF(OR(I3426="DNB",I3426="Dry DNB"),1,0)</f>
        <v>0</v>
      </c>
      <c r="Y3426" s="39" t="n">
        <f aca="false">MATCH(A3426,DATAS,0)</f>
        <v>1</v>
      </c>
      <c r="Z3426" s="39" t="n">
        <f aca="false">IF(AND(E3426&gt;0,OR(AND(B3426&gt;=1,B3426&lt;=6),B3426=10)),1,0)</f>
        <v>0</v>
      </c>
      <c r="AA3426" s="39" t="n">
        <f aca="false">IF(AND(E3426&gt;0,B3426=10),1,0)</f>
        <v>0</v>
      </c>
      <c r="AB3426" s="0" t="str">
        <f aca="false">IF(AND(C3425=C3426,Y3425=Y3426-1),Z3425,"")</f>
        <v/>
      </c>
      <c r="AC3426" s="0" t="str">
        <f aca="false">IF(AND(C3425=C3426,Y3425=Y3426-1),AA3425,"")</f>
        <v/>
      </c>
      <c r="AD3426" s="0" t="str">
        <f aca="false">IF(Y3426=1,"",IF(AND(Z3426=1,AB3426&lt;&gt;1),1,0))</f>
        <v/>
      </c>
      <c r="AE3426" s="0" t="str">
        <f aca="false">IF(Y3426=1,"",IF(AND(AA3426=1,AC3426&lt;&gt;1),1,0))</f>
        <v/>
      </c>
      <c r="AF3426" s="45" t="str">
        <f aca="false">IF(AND(E3426&gt;0,Y3426&lt;1,NOT(AND(C3427=C3426,Y3427=Y3426+1))),INDEX(DATAS,Y3426+1),"")</f>
        <v/>
      </c>
      <c r="AG3426" s="45" t="str">
        <f aca="false">IF(AND(AA3426=1,Y3426&lt;1),IF(AND(C3427=C3426,Y3427=Y3426+1),IF(AA3427=1,"",INDEX(DATAS,Y3426+1)),INDEX(DATAS,Y3426+1)),"")</f>
        <v/>
      </c>
    </row>
    <row r="3427" customFormat="false" ht="15" hidden="false" customHeight="false" outlineLevel="0" collapsed="false">
      <c r="A3427" s="45" t="n">
        <v>46309</v>
      </c>
      <c r="B3427" s="0" t="n">
        <v>13</v>
      </c>
      <c r="C3427" s="0" t="n">
        <v>7867</v>
      </c>
      <c r="E3427" s="0" t="n">
        <v>0</v>
      </c>
      <c r="F3427" s="39" t="s">
        <v>1552</v>
      </c>
      <c r="I3427" s="39" t="s">
        <v>136</v>
      </c>
      <c r="U3427" s="0" t="n">
        <v>111</v>
      </c>
      <c r="V3427" s="0" t="n">
        <v>0</v>
      </c>
      <c r="W3427" s="39" t="n">
        <f aca="false">IF(I3427="Male",0,1)</f>
        <v>1</v>
      </c>
      <c r="X3427" s="39" t="n">
        <f aca="false">IF(OR(I3427="DNB",I3427="Dry DNB"),1,0)</f>
        <v>0</v>
      </c>
      <c r="Y3427" s="39" t="n">
        <f aca="false">MATCH(A3427,DATAS,0)</f>
        <v>1</v>
      </c>
      <c r="Z3427" s="39" t="n">
        <f aca="false">IF(AND(E3427&gt;0,OR(AND(B3427&gt;=1,B3427&lt;=6),B3427=10)),1,0)</f>
        <v>0</v>
      </c>
      <c r="AA3427" s="39" t="n">
        <f aca="false">IF(AND(E3427&gt;0,B3427=10),1,0)</f>
        <v>0</v>
      </c>
      <c r="AB3427" s="0" t="str">
        <f aca="false">IF(AND(C3426=C3427,Y3426=Y3427-1),Z3426,"")</f>
        <v/>
      </c>
      <c r="AC3427" s="0" t="str">
        <f aca="false">IF(AND(C3426=C3427,Y3426=Y3427-1),AA3426,"")</f>
        <v/>
      </c>
      <c r="AD3427" s="0" t="str">
        <f aca="false">IF(Y3427=1,"",IF(AND(Z3427=1,AB3427&lt;&gt;1),1,0))</f>
        <v/>
      </c>
      <c r="AE3427" s="0" t="str">
        <f aca="false">IF(Y3427=1,"",IF(AND(AA3427=1,AC3427&lt;&gt;1),1,0))</f>
        <v/>
      </c>
      <c r="AF3427" s="45" t="str">
        <f aca="false">IF(AND(E3427&gt;0,Y3427&lt;1,NOT(AND(C3428=C3427,Y3428=Y3427+1))),INDEX(DATAS,Y3427+1),"")</f>
        <v/>
      </c>
      <c r="AG3427" s="45" t="str">
        <f aca="false">IF(AND(AA3427=1,Y3427&lt;1),IF(AND(C3428=C3427,Y3428=Y3427+1),IF(AA3428=1,"",INDEX(DATAS,Y3427+1)),INDEX(DATAS,Y3427+1)),"")</f>
        <v/>
      </c>
    </row>
    <row r="3428" customFormat="false" ht="15" hidden="false" customHeight="false" outlineLevel="0" collapsed="false">
      <c r="A3428" s="45" t="n">
        <v>46309</v>
      </c>
      <c r="B3428" s="0" t="n">
        <v>13</v>
      </c>
      <c r="C3428" s="0" t="n">
        <v>7868</v>
      </c>
      <c r="E3428" s="0" t="n">
        <v>0</v>
      </c>
      <c r="F3428" s="39" t="s">
        <v>1553</v>
      </c>
      <c r="I3428" s="39" t="s">
        <v>136</v>
      </c>
      <c r="U3428" s="0" t="n">
        <v>110</v>
      </c>
      <c r="V3428" s="0" t="n">
        <v>0</v>
      </c>
      <c r="W3428" s="39" t="n">
        <f aca="false">IF(I3428="Male",0,1)</f>
        <v>1</v>
      </c>
      <c r="X3428" s="39" t="n">
        <f aca="false">IF(OR(I3428="DNB",I3428="Dry DNB"),1,0)</f>
        <v>0</v>
      </c>
      <c r="Y3428" s="39" t="n">
        <f aca="false">MATCH(A3428,DATAS,0)</f>
        <v>1</v>
      </c>
      <c r="Z3428" s="39" t="n">
        <f aca="false">IF(AND(E3428&gt;0,OR(AND(B3428&gt;=1,B3428&lt;=6),B3428=10)),1,0)</f>
        <v>0</v>
      </c>
      <c r="AA3428" s="39" t="n">
        <f aca="false">IF(AND(E3428&gt;0,B3428=10),1,0)</f>
        <v>0</v>
      </c>
      <c r="AB3428" s="0" t="str">
        <f aca="false">IF(AND(C3427=C3428,Y3427=Y3428-1),Z3427,"")</f>
        <v/>
      </c>
      <c r="AC3428" s="0" t="str">
        <f aca="false">IF(AND(C3427=C3428,Y3427=Y3428-1),AA3427,"")</f>
        <v/>
      </c>
      <c r="AD3428" s="0" t="str">
        <f aca="false">IF(Y3428=1,"",IF(AND(Z3428=1,AB3428&lt;&gt;1),1,0))</f>
        <v/>
      </c>
      <c r="AE3428" s="0" t="str">
        <f aca="false">IF(Y3428=1,"",IF(AND(AA3428=1,AC3428&lt;&gt;1),1,0))</f>
        <v/>
      </c>
      <c r="AF3428" s="45" t="str">
        <f aca="false">IF(AND(E3428&gt;0,Y3428&lt;1,NOT(AND(C3429=C3428,Y3429=Y3428+1))),INDEX(DATAS,Y3428+1),"")</f>
        <v/>
      </c>
      <c r="AG3428" s="45" t="str">
        <f aca="false">IF(AND(AA3428=1,Y3428&lt;1),IF(AND(C3429=C3428,Y3429=Y3428+1),IF(AA3429=1,"",INDEX(DATAS,Y3428+1)),INDEX(DATAS,Y3428+1)),"")</f>
        <v/>
      </c>
    </row>
    <row r="3429" customFormat="false" ht="15" hidden="false" customHeight="false" outlineLevel="0" collapsed="false">
      <c r="A3429" s="45" t="n">
        <v>46309</v>
      </c>
      <c r="B3429" s="0" t="n">
        <v>13</v>
      </c>
      <c r="C3429" s="0" t="n">
        <v>7869</v>
      </c>
      <c r="E3429" s="0" t="n">
        <v>0</v>
      </c>
      <c r="F3429" s="39" t="s">
        <v>1553</v>
      </c>
      <c r="I3429" s="39" t="s">
        <v>136</v>
      </c>
      <c r="U3429" s="0" t="n">
        <v>110</v>
      </c>
      <c r="V3429" s="0" t="n">
        <v>0</v>
      </c>
      <c r="W3429" s="39" t="n">
        <f aca="false">IF(I3429="Male",0,1)</f>
        <v>1</v>
      </c>
      <c r="X3429" s="39" t="n">
        <f aca="false">IF(OR(I3429="DNB",I3429="Dry DNB"),1,0)</f>
        <v>0</v>
      </c>
      <c r="Y3429" s="39" t="n">
        <f aca="false">MATCH(A3429,DATAS,0)</f>
        <v>1</v>
      </c>
      <c r="Z3429" s="39" t="n">
        <f aca="false">IF(AND(E3429&gt;0,OR(AND(B3429&gt;=1,B3429&lt;=6),B3429=10)),1,0)</f>
        <v>0</v>
      </c>
      <c r="AA3429" s="39" t="n">
        <f aca="false">IF(AND(E3429&gt;0,B3429=10),1,0)</f>
        <v>0</v>
      </c>
      <c r="AB3429" s="0" t="str">
        <f aca="false">IF(AND(C3428=C3429,Y3428=Y3429-1),Z3428,"")</f>
        <v/>
      </c>
      <c r="AC3429" s="0" t="str">
        <f aca="false">IF(AND(C3428=C3429,Y3428=Y3429-1),AA3428,"")</f>
        <v/>
      </c>
      <c r="AD3429" s="0" t="str">
        <f aca="false">IF(Y3429=1,"",IF(AND(Z3429=1,AB3429&lt;&gt;1),1,0))</f>
        <v/>
      </c>
      <c r="AE3429" s="0" t="str">
        <f aca="false">IF(Y3429=1,"",IF(AND(AA3429=1,AC3429&lt;&gt;1),1,0))</f>
        <v/>
      </c>
      <c r="AF3429" s="45" t="str">
        <f aca="false">IF(AND(E3429&gt;0,Y3429&lt;1,NOT(AND(C3430=C3429,Y3430=Y3429+1))),INDEX(DATAS,Y3429+1),"")</f>
        <v/>
      </c>
      <c r="AG3429" s="45" t="str">
        <f aca="false">IF(AND(AA3429=1,Y3429&lt;1),IF(AND(C3430=C3429,Y3430=Y3429+1),IF(AA3430=1,"",INDEX(DATAS,Y3429+1)),INDEX(DATAS,Y3429+1)),"")</f>
        <v/>
      </c>
    </row>
    <row r="3430" customFormat="false" ht="15" hidden="false" customHeight="false" outlineLevel="0" collapsed="false">
      <c r="A3430" s="45" t="n">
        <v>46309</v>
      </c>
      <c r="B3430" s="0" t="n">
        <v>13</v>
      </c>
      <c r="C3430" s="0" t="n">
        <v>7870</v>
      </c>
      <c r="E3430" s="0" t="n">
        <v>0</v>
      </c>
      <c r="F3430" s="39" t="s">
        <v>1553</v>
      </c>
      <c r="I3430" s="39" t="s">
        <v>136</v>
      </c>
      <c r="U3430" s="0" t="n">
        <v>110</v>
      </c>
      <c r="V3430" s="0" t="n">
        <v>0</v>
      </c>
      <c r="W3430" s="39" t="n">
        <f aca="false">IF(I3430="Male",0,1)</f>
        <v>1</v>
      </c>
      <c r="X3430" s="39" t="n">
        <f aca="false">IF(OR(I3430="DNB",I3430="Dry DNB"),1,0)</f>
        <v>0</v>
      </c>
      <c r="Y3430" s="39" t="n">
        <f aca="false">MATCH(A3430,DATAS,0)</f>
        <v>1</v>
      </c>
      <c r="Z3430" s="39" t="n">
        <f aca="false">IF(AND(E3430&gt;0,OR(AND(B3430&gt;=1,B3430&lt;=6),B3430=10)),1,0)</f>
        <v>0</v>
      </c>
      <c r="AA3430" s="39" t="n">
        <f aca="false">IF(AND(E3430&gt;0,B3430=10),1,0)</f>
        <v>0</v>
      </c>
      <c r="AB3430" s="0" t="str">
        <f aca="false">IF(AND(C3429=C3430,Y3429=Y3430-1),Z3429,"")</f>
        <v/>
      </c>
      <c r="AC3430" s="0" t="str">
        <f aca="false">IF(AND(C3429=C3430,Y3429=Y3430-1),AA3429,"")</f>
        <v/>
      </c>
      <c r="AD3430" s="0" t="str">
        <f aca="false">IF(Y3430=1,"",IF(AND(Z3430=1,AB3430&lt;&gt;1),1,0))</f>
        <v/>
      </c>
      <c r="AE3430" s="0" t="str">
        <f aca="false">IF(Y3430=1,"",IF(AND(AA3430=1,AC3430&lt;&gt;1),1,0))</f>
        <v/>
      </c>
      <c r="AF3430" s="45" t="str">
        <f aca="false">IF(AND(E3430&gt;0,Y3430&lt;1,NOT(AND(C3431=C3430,Y3431=Y3430+1))),INDEX(DATAS,Y3430+1),"")</f>
        <v/>
      </c>
      <c r="AG3430" s="45" t="str">
        <f aca="false">IF(AND(AA3430=1,Y3430&lt;1),IF(AND(C3431=C3430,Y3431=Y3430+1),IF(AA3431=1,"",INDEX(DATAS,Y3430+1)),INDEX(DATAS,Y3430+1)),"")</f>
        <v/>
      </c>
    </row>
    <row r="3431" customFormat="false" ht="15" hidden="false" customHeight="false" outlineLevel="0" collapsed="false">
      <c r="A3431" s="45" t="n">
        <v>46309</v>
      </c>
      <c r="B3431" s="0" t="n">
        <v>13</v>
      </c>
      <c r="C3431" s="0" t="n">
        <v>7871</v>
      </c>
      <c r="E3431" s="0" t="n">
        <v>0</v>
      </c>
      <c r="F3431" s="39" t="s">
        <v>1553</v>
      </c>
      <c r="I3431" s="39" t="s">
        <v>136</v>
      </c>
      <c r="U3431" s="0" t="n">
        <v>110</v>
      </c>
      <c r="V3431" s="0" t="n">
        <v>0</v>
      </c>
      <c r="W3431" s="39" t="n">
        <f aca="false">IF(I3431="Male",0,1)</f>
        <v>1</v>
      </c>
      <c r="X3431" s="39" t="n">
        <f aca="false">IF(OR(I3431="DNB",I3431="Dry DNB"),1,0)</f>
        <v>0</v>
      </c>
      <c r="Y3431" s="39" t="n">
        <f aca="false">MATCH(A3431,DATAS,0)</f>
        <v>1</v>
      </c>
      <c r="Z3431" s="39" t="n">
        <f aca="false">IF(AND(E3431&gt;0,OR(AND(B3431&gt;=1,B3431&lt;=6),B3431=10)),1,0)</f>
        <v>0</v>
      </c>
      <c r="AA3431" s="39" t="n">
        <f aca="false">IF(AND(E3431&gt;0,B3431=10),1,0)</f>
        <v>0</v>
      </c>
      <c r="AB3431" s="0" t="str">
        <f aca="false">IF(AND(C3430=C3431,Y3430=Y3431-1),Z3430,"")</f>
        <v/>
      </c>
      <c r="AC3431" s="0" t="str">
        <f aca="false">IF(AND(C3430=C3431,Y3430=Y3431-1),AA3430,"")</f>
        <v/>
      </c>
      <c r="AD3431" s="0" t="str">
        <f aca="false">IF(Y3431=1,"",IF(AND(Z3431=1,AB3431&lt;&gt;1),1,0))</f>
        <v/>
      </c>
      <c r="AE3431" s="0" t="str">
        <f aca="false">IF(Y3431=1,"",IF(AND(AA3431=1,AC3431&lt;&gt;1),1,0))</f>
        <v/>
      </c>
      <c r="AF3431" s="45" t="str">
        <f aca="false">IF(AND(E3431&gt;0,Y3431&lt;1,NOT(AND(C3432=C3431,Y3432=Y3431+1))),INDEX(DATAS,Y3431+1),"")</f>
        <v/>
      </c>
      <c r="AG3431" s="45" t="str">
        <f aca="false">IF(AND(AA3431=1,Y3431&lt;1),IF(AND(C3432=C3431,Y3432=Y3431+1),IF(AA3432=1,"",INDEX(DATAS,Y3431+1)),INDEX(DATAS,Y3431+1)),"")</f>
        <v/>
      </c>
    </row>
    <row r="3432" customFormat="false" ht="15" hidden="false" customHeight="false" outlineLevel="0" collapsed="false">
      <c r="A3432" s="45" t="n">
        <v>46309</v>
      </c>
      <c r="B3432" s="0" t="n">
        <v>13</v>
      </c>
      <c r="C3432" s="0" t="n">
        <v>7872</v>
      </c>
      <c r="E3432" s="0" t="n">
        <v>0</v>
      </c>
      <c r="F3432" s="39" t="s">
        <v>1554</v>
      </c>
      <c r="I3432" s="39" t="s">
        <v>136</v>
      </c>
      <c r="U3432" s="0" t="n">
        <v>109</v>
      </c>
      <c r="V3432" s="0" t="n">
        <v>0</v>
      </c>
      <c r="W3432" s="39" t="n">
        <f aca="false">IF(I3432="Male",0,1)</f>
        <v>1</v>
      </c>
      <c r="X3432" s="39" t="n">
        <f aca="false">IF(OR(I3432="DNB",I3432="Dry DNB"),1,0)</f>
        <v>0</v>
      </c>
      <c r="Y3432" s="39" t="n">
        <f aca="false">MATCH(A3432,DATAS,0)</f>
        <v>1</v>
      </c>
      <c r="Z3432" s="39" t="n">
        <f aca="false">IF(AND(E3432&gt;0,OR(AND(B3432&gt;=1,B3432&lt;=6),B3432=10)),1,0)</f>
        <v>0</v>
      </c>
      <c r="AA3432" s="39" t="n">
        <f aca="false">IF(AND(E3432&gt;0,B3432=10),1,0)</f>
        <v>0</v>
      </c>
      <c r="AB3432" s="0" t="str">
        <f aca="false">IF(AND(C3431=C3432,Y3431=Y3432-1),Z3431,"")</f>
        <v/>
      </c>
      <c r="AC3432" s="0" t="str">
        <f aca="false">IF(AND(C3431=C3432,Y3431=Y3432-1),AA3431,"")</f>
        <v/>
      </c>
      <c r="AD3432" s="0" t="str">
        <f aca="false">IF(Y3432=1,"",IF(AND(Z3432=1,AB3432&lt;&gt;1),1,0))</f>
        <v/>
      </c>
      <c r="AE3432" s="0" t="str">
        <f aca="false">IF(Y3432=1,"",IF(AND(AA3432=1,AC3432&lt;&gt;1),1,0))</f>
        <v/>
      </c>
      <c r="AF3432" s="45" t="str">
        <f aca="false">IF(AND(E3432&gt;0,Y3432&lt;1,NOT(AND(C3433=C3432,Y3433=Y3432+1))),INDEX(DATAS,Y3432+1),"")</f>
        <v/>
      </c>
      <c r="AG3432" s="45" t="str">
        <f aca="false">IF(AND(AA3432=1,Y3432&lt;1),IF(AND(C3433=C3432,Y3433=Y3432+1),IF(AA3433=1,"",INDEX(DATAS,Y3432+1)),INDEX(DATAS,Y3432+1)),"")</f>
        <v/>
      </c>
    </row>
    <row r="3433" customFormat="false" ht="15" hidden="false" customHeight="false" outlineLevel="0" collapsed="false">
      <c r="A3433" s="45" t="n">
        <v>46309</v>
      </c>
      <c r="B3433" s="0" t="n">
        <v>13</v>
      </c>
      <c r="C3433" s="0" t="n">
        <v>7873</v>
      </c>
      <c r="E3433" s="0" t="n">
        <v>0</v>
      </c>
      <c r="F3433" s="39" t="s">
        <v>1555</v>
      </c>
      <c r="I3433" s="39" t="s">
        <v>136</v>
      </c>
      <c r="U3433" s="0" t="n">
        <v>108</v>
      </c>
      <c r="V3433" s="0" t="n">
        <v>0</v>
      </c>
      <c r="W3433" s="39" t="n">
        <f aca="false">IF(I3433="Male",0,1)</f>
        <v>1</v>
      </c>
      <c r="X3433" s="39" t="n">
        <f aca="false">IF(OR(I3433="DNB",I3433="Dry DNB"),1,0)</f>
        <v>0</v>
      </c>
      <c r="Y3433" s="39" t="n">
        <f aca="false">MATCH(A3433,DATAS,0)</f>
        <v>1</v>
      </c>
      <c r="Z3433" s="39" t="n">
        <f aca="false">IF(AND(E3433&gt;0,OR(AND(B3433&gt;=1,B3433&lt;=6),B3433=10)),1,0)</f>
        <v>0</v>
      </c>
      <c r="AA3433" s="39" t="n">
        <f aca="false">IF(AND(E3433&gt;0,B3433=10),1,0)</f>
        <v>0</v>
      </c>
      <c r="AB3433" s="0" t="str">
        <f aca="false">IF(AND(C3432=C3433,Y3432=Y3433-1),Z3432,"")</f>
        <v/>
      </c>
      <c r="AC3433" s="0" t="str">
        <f aca="false">IF(AND(C3432=C3433,Y3432=Y3433-1),AA3432,"")</f>
        <v/>
      </c>
      <c r="AD3433" s="0" t="str">
        <f aca="false">IF(Y3433=1,"",IF(AND(Z3433=1,AB3433&lt;&gt;1),1,0))</f>
        <v/>
      </c>
      <c r="AE3433" s="0" t="str">
        <f aca="false">IF(Y3433=1,"",IF(AND(AA3433=1,AC3433&lt;&gt;1),1,0))</f>
        <v/>
      </c>
      <c r="AF3433" s="45" t="str">
        <f aca="false">IF(AND(E3433&gt;0,Y3433&lt;1,NOT(AND(C3434=C3433,Y3434=Y3433+1))),INDEX(DATAS,Y3433+1),"")</f>
        <v/>
      </c>
      <c r="AG3433" s="45" t="str">
        <f aca="false">IF(AND(AA3433=1,Y3433&lt;1),IF(AND(C3434=C3433,Y3434=Y3433+1),IF(AA3434=1,"",INDEX(DATAS,Y3433+1)),INDEX(DATAS,Y3433+1)),"")</f>
        <v/>
      </c>
    </row>
    <row r="3434" customFormat="false" ht="15" hidden="false" customHeight="false" outlineLevel="0" collapsed="false">
      <c r="A3434" s="45" t="n">
        <v>46309</v>
      </c>
      <c r="B3434" s="0" t="n">
        <v>13</v>
      </c>
      <c r="C3434" s="0" t="n">
        <v>7874</v>
      </c>
      <c r="E3434" s="0" t="n">
        <v>0</v>
      </c>
      <c r="F3434" s="39" t="s">
        <v>1555</v>
      </c>
      <c r="I3434" s="39" t="s">
        <v>136</v>
      </c>
      <c r="U3434" s="0" t="n">
        <v>108</v>
      </c>
      <c r="V3434" s="0" t="n">
        <v>0</v>
      </c>
      <c r="W3434" s="39" t="n">
        <f aca="false">IF(I3434="Male",0,1)</f>
        <v>1</v>
      </c>
      <c r="X3434" s="39" t="n">
        <f aca="false">IF(OR(I3434="DNB",I3434="Dry DNB"),1,0)</f>
        <v>0</v>
      </c>
      <c r="Y3434" s="39" t="n">
        <f aca="false">MATCH(A3434,DATAS,0)</f>
        <v>1</v>
      </c>
      <c r="Z3434" s="39" t="n">
        <f aca="false">IF(AND(E3434&gt;0,OR(AND(B3434&gt;=1,B3434&lt;=6),B3434=10)),1,0)</f>
        <v>0</v>
      </c>
      <c r="AA3434" s="39" t="n">
        <f aca="false">IF(AND(E3434&gt;0,B3434=10),1,0)</f>
        <v>0</v>
      </c>
      <c r="AB3434" s="0" t="str">
        <f aca="false">IF(AND(C3433=C3434,Y3433=Y3434-1),Z3433,"")</f>
        <v/>
      </c>
      <c r="AC3434" s="0" t="str">
        <f aca="false">IF(AND(C3433=C3434,Y3433=Y3434-1),AA3433,"")</f>
        <v/>
      </c>
      <c r="AD3434" s="0" t="str">
        <f aca="false">IF(Y3434=1,"",IF(AND(Z3434=1,AB3434&lt;&gt;1),1,0))</f>
        <v/>
      </c>
      <c r="AE3434" s="0" t="str">
        <f aca="false">IF(Y3434=1,"",IF(AND(AA3434=1,AC3434&lt;&gt;1),1,0))</f>
        <v/>
      </c>
      <c r="AF3434" s="45" t="str">
        <f aca="false">IF(AND(E3434&gt;0,Y3434&lt;1,NOT(AND(C3435=C3434,Y3435=Y3434+1))),INDEX(DATAS,Y3434+1),"")</f>
        <v/>
      </c>
      <c r="AG3434" s="45" t="str">
        <f aca="false">IF(AND(AA3434=1,Y3434&lt;1),IF(AND(C3435=C3434,Y3435=Y3434+1),IF(AA3435=1,"",INDEX(DATAS,Y3434+1)),INDEX(DATAS,Y3434+1)),"")</f>
        <v/>
      </c>
    </row>
    <row r="3435" customFormat="false" ht="15" hidden="false" customHeight="false" outlineLevel="0" collapsed="false">
      <c r="A3435" s="45" t="n">
        <v>46309</v>
      </c>
      <c r="B3435" s="0" t="n">
        <v>13</v>
      </c>
      <c r="C3435" s="0" t="n">
        <v>7875</v>
      </c>
      <c r="E3435" s="0" t="n">
        <v>0</v>
      </c>
      <c r="F3435" s="39" t="s">
        <v>1555</v>
      </c>
      <c r="I3435" s="39" t="s">
        <v>136</v>
      </c>
      <c r="U3435" s="0" t="n">
        <v>108</v>
      </c>
      <c r="V3435" s="0" t="n">
        <v>0</v>
      </c>
      <c r="W3435" s="39" t="n">
        <f aca="false">IF(I3435="Male",0,1)</f>
        <v>1</v>
      </c>
      <c r="X3435" s="39" t="n">
        <f aca="false">IF(OR(I3435="DNB",I3435="Dry DNB"),1,0)</f>
        <v>0</v>
      </c>
      <c r="Y3435" s="39" t="n">
        <f aca="false">MATCH(A3435,DATAS,0)</f>
        <v>1</v>
      </c>
      <c r="Z3435" s="39" t="n">
        <f aca="false">IF(AND(E3435&gt;0,OR(AND(B3435&gt;=1,B3435&lt;=6),B3435=10)),1,0)</f>
        <v>0</v>
      </c>
      <c r="AA3435" s="39" t="n">
        <f aca="false">IF(AND(E3435&gt;0,B3435=10),1,0)</f>
        <v>0</v>
      </c>
      <c r="AB3435" s="0" t="str">
        <f aca="false">IF(AND(C3434=C3435,Y3434=Y3435-1),Z3434,"")</f>
        <v/>
      </c>
      <c r="AC3435" s="0" t="str">
        <f aca="false">IF(AND(C3434=C3435,Y3434=Y3435-1),AA3434,"")</f>
        <v/>
      </c>
      <c r="AD3435" s="0" t="str">
        <f aca="false">IF(Y3435=1,"",IF(AND(Z3435=1,AB3435&lt;&gt;1),1,0))</f>
        <v/>
      </c>
      <c r="AE3435" s="0" t="str">
        <f aca="false">IF(Y3435=1,"",IF(AND(AA3435=1,AC3435&lt;&gt;1),1,0))</f>
        <v/>
      </c>
      <c r="AF3435" s="45" t="str">
        <f aca="false">IF(AND(E3435&gt;0,Y3435&lt;1,NOT(AND(C3436=C3435,Y3436=Y3435+1))),INDEX(DATAS,Y3435+1),"")</f>
        <v/>
      </c>
      <c r="AG3435" s="45" t="str">
        <f aca="false">IF(AND(AA3435=1,Y3435&lt;1),IF(AND(C3436=C3435,Y3436=Y3435+1),IF(AA3436=1,"",INDEX(DATAS,Y3435+1)),INDEX(DATAS,Y3435+1)),"")</f>
        <v/>
      </c>
    </row>
    <row r="3436" customFormat="false" ht="15" hidden="false" customHeight="false" outlineLevel="0" collapsed="false">
      <c r="A3436" s="45" t="n">
        <v>46309</v>
      </c>
      <c r="B3436" s="0" t="n">
        <v>13</v>
      </c>
      <c r="C3436" s="0" t="n">
        <v>7877</v>
      </c>
      <c r="E3436" s="0" t="n">
        <v>0</v>
      </c>
      <c r="F3436" s="39" t="s">
        <v>1556</v>
      </c>
      <c r="I3436" s="39" t="s">
        <v>136</v>
      </c>
      <c r="U3436" s="0" t="n">
        <v>106</v>
      </c>
      <c r="V3436" s="0" t="n">
        <v>0</v>
      </c>
      <c r="W3436" s="39" t="n">
        <f aca="false">IF(I3436="Male",0,1)</f>
        <v>1</v>
      </c>
      <c r="X3436" s="39" t="n">
        <f aca="false">IF(OR(I3436="DNB",I3436="Dry DNB"),1,0)</f>
        <v>0</v>
      </c>
      <c r="Y3436" s="39" t="n">
        <f aca="false">MATCH(A3436,DATAS,0)</f>
        <v>1</v>
      </c>
      <c r="Z3436" s="39" t="n">
        <f aca="false">IF(AND(E3436&gt;0,OR(AND(B3436&gt;=1,B3436&lt;=6),B3436=10)),1,0)</f>
        <v>0</v>
      </c>
      <c r="AA3436" s="39" t="n">
        <f aca="false">IF(AND(E3436&gt;0,B3436=10),1,0)</f>
        <v>0</v>
      </c>
      <c r="AB3436" s="0" t="str">
        <f aca="false">IF(AND(C3435=C3436,Y3435=Y3436-1),Z3435,"")</f>
        <v/>
      </c>
      <c r="AC3436" s="0" t="str">
        <f aca="false">IF(AND(C3435=C3436,Y3435=Y3436-1),AA3435,"")</f>
        <v/>
      </c>
      <c r="AD3436" s="0" t="str">
        <f aca="false">IF(Y3436=1,"",IF(AND(Z3436=1,AB3436&lt;&gt;1),1,0))</f>
        <v/>
      </c>
      <c r="AE3436" s="0" t="str">
        <f aca="false">IF(Y3436=1,"",IF(AND(AA3436=1,AC3436&lt;&gt;1),1,0))</f>
        <v/>
      </c>
      <c r="AF3436" s="45" t="str">
        <f aca="false">IF(AND(E3436&gt;0,Y3436&lt;1,NOT(AND(C3437=C3436,Y3437=Y3436+1))),INDEX(DATAS,Y3436+1),"")</f>
        <v/>
      </c>
      <c r="AG3436" s="45" t="str">
        <f aca="false">IF(AND(AA3436=1,Y3436&lt;1),IF(AND(C3437=C3436,Y3437=Y3436+1),IF(AA3437=1,"",INDEX(DATAS,Y3436+1)),INDEX(DATAS,Y3436+1)),"")</f>
        <v/>
      </c>
    </row>
    <row r="3437" customFormat="false" ht="15" hidden="false" customHeight="false" outlineLevel="0" collapsed="false">
      <c r="A3437" s="45" t="n">
        <v>46309</v>
      </c>
      <c r="B3437" s="0" t="n">
        <v>13</v>
      </c>
      <c r="C3437" s="0" t="n">
        <v>7878</v>
      </c>
      <c r="E3437" s="0" t="n">
        <v>0</v>
      </c>
      <c r="F3437" s="39" t="s">
        <v>1556</v>
      </c>
      <c r="I3437" s="39" t="s">
        <v>136</v>
      </c>
      <c r="U3437" s="0" t="n">
        <v>106</v>
      </c>
      <c r="V3437" s="0" t="n">
        <v>0</v>
      </c>
      <c r="W3437" s="39" t="n">
        <f aca="false">IF(I3437="Male",0,1)</f>
        <v>1</v>
      </c>
      <c r="X3437" s="39" t="n">
        <f aca="false">IF(OR(I3437="DNB",I3437="Dry DNB"),1,0)</f>
        <v>0</v>
      </c>
      <c r="Y3437" s="39" t="n">
        <f aca="false">MATCH(A3437,DATAS,0)</f>
        <v>1</v>
      </c>
      <c r="Z3437" s="39" t="n">
        <f aca="false">IF(AND(E3437&gt;0,OR(AND(B3437&gt;=1,B3437&lt;=6),B3437=10)),1,0)</f>
        <v>0</v>
      </c>
      <c r="AA3437" s="39" t="n">
        <f aca="false">IF(AND(E3437&gt;0,B3437=10),1,0)</f>
        <v>0</v>
      </c>
      <c r="AB3437" s="0" t="str">
        <f aca="false">IF(AND(C3436=C3437,Y3436=Y3437-1),Z3436,"")</f>
        <v/>
      </c>
      <c r="AC3437" s="0" t="str">
        <f aca="false">IF(AND(C3436=C3437,Y3436=Y3437-1),AA3436,"")</f>
        <v/>
      </c>
      <c r="AD3437" s="0" t="str">
        <f aca="false">IF(Y3437=1,"",IF(AND(Z3437=1,AB3437&lt;&gt;1),1,0))</f>
        <v/>
      </c>
      <c r="AE3437" s="0" t="str">
        <f aca="false">IF(Y3437=1,"",IF(AND(AA3437=1,AC3437&lt;&gt;1),1,0))</f>
        <v/>
      </c>
      <c r="AF3437" s="45" t="str">
        <f aca="false">IF(AND(E3437&gt;0,Y3437&lt;1,NOT(AND(C3438=C3437,Y3438=Y3437+1))),INDEX(DATAS,Y3437+1),"")</f>
        <v/>
      </c>
      <c r="AG3437" s="45" t="str">
        <f aca="false">IF(AND(AA3437=1,Y3437&lt;1),IF(AND(C3438=C3437,Y3438=Y3437+1),IF(AA3438=1,"",INDEX(DATAS,Y3437+1)),INDEX(DATAS,Y3437+1)),"")</f>
        <v/>
      </c>
    </row>
    <row r="3438" customFormat="false" ht="15" hidden="false" customHeight="false" outlineLevel="0" collapsed="false">
      <c r="A3438" s="45" t="n">
        <v>46309</v>
      </c>
      <c r="B3438" s="0" t="n">
        <v>13</v>
      </c>
      <c r="C3438" s="0" t="n">
        <v>7879</v>
      </c>
      <c r="E3438" s="0" t="n">
        <v>0</v>
      </c>
      <c r="F3438" s="39" t="s">
        <v>1556</v>
      </c>
      <c r="I3438" s="39" t="s">
        <v>136</v>
      </c>
      <c r="U3438" s="0" t="n">
        <v>106</v>
      </c>
      <c r="V3438" s="0" t="n">
        <v>0</v>
      </c>
      <c r="W3438" s="39" t="n">
        <f aca="false">IF(I3438="Male",0,1)</f>
        <v>1</v>
      </c>
      <c r="X3438" s="39" t="n">
        <f aca="false">IF(OR(I3438="DNB",I3438="Dry DNB"),1,0)</f>
        <v>0</v>
      </c>
      <c r="Y3438" s="39" t="n">
        <f aca="false">MATCH(A3438,DATAS,0)</f>
        <v>1</v>
      </c>
      <c r="Z3438" s="39" t="n">
        <f aca="false">IF(AND(E3438&gt;0,OR(AND(B3438&gt;=1,B3438&lt;=6),B3438=10)),1,0)</f>
        <v>0</v>
      </c>
      <c r="AA3438" s="39" t="n">
        <f aca="false">IF(AND(E3438&gt;0,B3438=10),1,0)</f>
        <v>0</v>
      </c>
      <c r="AB3438" s="0" t="str">
        <f aca="false">IF(AND(C3437=C3438,Y3437=Y3438-1),Z3437,"")</f>
        <v/>
      </c>
      <c r="AC3438" s="0" t="str">
        <f aca="false">IF(AND(C3437=C3438,Y3437=Y3438-1),AA3437,"")</f>
        <v/>
      </c>
      <c r="AD3438" s="0" t="str">
        <f aca="false">IF(Y3438=1,"",IF(AND(Z3438=1,AB3438&lt;&gt;1),1,0))</f>
        <v/>
      </c>
      <c r="AE3438" s="0" t="str">
        <f aca="false">IF(Y3438=1,"",IF(AND(AA3438=1,AC3438&lt;&gt;1),1,0))</f>
        <v/>
      </c>
      <c r="AF3438" s="45" t="str">
        <f aca="false">IF(AND(E3438&gt;0,Y3438&lt;1,NOT(AND(C3439=C3438,Y3439=Y3438+1))),INDEX(DATAS,Y3438+1),"")</f>
        <v/>
      </c>
      <c r="AG3438" s="45" t="str">
        <f aca="false">IF(AND(AA3438=1,Y3438&lt;1),IF(AND(C3439=C3438,Y3439=Y3438+1),IF(AA3439=1,"",INDEX(DATAS,Y3438+1)),INDEX(DATAS,Y3438+1)),"")</f>
        <v/>
      </c>
    </row>
    <row r="3439" customFormat="false" ht="15" hidden="false" customHeight="false" outlineLevel="0" collapsed="false">
      <c r="A3439" s="45" t="n">
        <v>46309</v>
      </c>
      <c r="B3439" s="0" t="n">
        <v>13</v>
      </c>
      <c r="C3439" s="0" t="n">
        <v>7880</v>
      </c>
      <c r="E3439" s="0" t="n">
        <v>0</v>
      </c>
      <c r="F3439" s="39" t="s">
        <v>1556</v>
      </c>
      <c r="I3439" s="39" t="s">
        <v>136</v>
      </c>
      <c r="U3439" s="0" t="n">
        <v>106</v>
      </c>
      <c r="V3439" s="0" t="n">
        <v>0</v>
      </c>
      <c r="W3439" s="39" t="n">
        <f aca="false">IF(I3439="Male",0,1)</f>
        <v>1</v>
      </c>
      <c r="X3439" s="39" t="n">
        <f aca="false">IF(OR(I3439="DNB",I3439="Dry DNB"),1,0)</f>
        <v>0</v>
      </c>
      <c r="Y3439" s="39" t="n">
        <f aca="false">MATCH(A3439,DATAS,0)</f>
        <v>1</v>
      </c>
      <c r="Z3439" s="39" t="n">
        <f aca="false">IF(AND(E3439&gt;0,OR(AND(B3439&gt;=1,B3439&lt;=6),B3439=10)),1,0)</f>
        <v>0</v>
      </c>
      <c r="AA3439" s="39" t="n">
        <f aca="false">IF(AND(E3439&gt;0,B3439=10),1,0)</f>
        <v>0</v>
      </c>
      <c r="AB3439" s="0" t="str">
        <f aca="false">IF(AND(C3438=C3439,Y3438=Y3439-1),Z3438,"")</f>
        <v/>
      </c>
      <c r="AC3439" s="0" t="str">
        <f aca="false">IF(AND(C3438=C3439,Y3438=Y3439-1),AA3438,"")</f>
        <v/>
      </c>
      <c r="AD3439" s="0" t="str">
        <f aca="false">IF(Y3439=1,"",IF(AND(Z3439=1,AB3439&lt;&gt;1),1,0))</f>
        <v/>
      </c>
      <c r="AE3439" s="0" t="str">
        <f aca="false">IF(Y3439=1,"",IF(AND(AA3439=1,AC3439&lt;&gt;1),1,0))</f>
        <v/>
      </c>
      <c r="AF3439" s="45" t="str">
        <f aca="false">IF(AND(E3439&gt;0,Y3439&lt;1,NOT(AND(C3440=C3439,Y3440=Y3439+1))),INDEX(DATAS,Y3439+1),"")</f>
        <v/>
      </c>
      <c r="AG3439" s="45" t="str">
        <f aca="false">IF(AND(AA3439=1,Y3439&lt;1),IF(AND(C3440=C3439,Y3440=Y3439+1),IF(AA3440=1,"",INDEX(DATAS,Y3439+1)),INDEX(DATAS,Y3439+1)),"")</f>
        <v/>
      </c>
    </row>
    <row r="3440" customFormat="false" ht="15" hidden="false" customHeight="false" outlineLevel="0" collapsed="false">
      <c r="A3440" s="45" t="n">
        <v>46309</v>
      </c>
      <c r="B3440" s="0" t="n">
        <v>13</v>
      </c>
      <c r="C3440" s="0" t="n">
        <v>7881</v>
      </c>
      <c r="E3440" s="0" t="n">
        <v>0</v>
      </c>
      <c r="F3440" s="39" t="s">
        <v>1556</v>
      </c>
      <c r="I3440" s="39" t="s">
        <v>136</v>
      </c>
      <c r="U3440" s="0" t="n">
        <v>106</v>
      </c>
      <c r="V3440" s="0" t="n">
        <v>0</v>
      </c>
      <c r="W3440" s="39" t="n">
        <f aca="false">IF(I3440="Male",0,1)</f>
        <v>1</v>
      </c>
      <c r="X3440" s="39" t="n">
        <f aca="false">IF(OR(I3440="DNB",I3440="Dry DNB"),1,0)</f>
        <v>0</v>
      </c>
      <c r="Y3440" s="39" t="n">
        <f aca="false">MATCH(A3440,DATAS,0)</f>
        <v>1</v>
      </c>
      <c r="Z3440" s="39" t="n">
        <f aca="false">IF(AND(E3440&gt;0,OR(AND(B3440&gt;=1,B3440&lt;=6),B3440=10)),1,0)</f>
        <v>0</v>
      </c>
      <c r="AA3440" s="39" t="n">
        <f aca="false">IF(AND(E3440&gt;0,B3440=10),1,0)</f>
        <v>0</v>
      </c>
      <c r="AB3440" s="0" t="str">
        <f aca="false">IF(AND(C3439=C3440,Y3439=Y3440-1),Z3439,"")</f>
        <v/>
      </c>
      <c r="AC3440" s="0" t="str">
        <f aca="false">IF(AND(C3439=C3440,Y3439=Y3440-1),AA3439,"")</f>
        <v/>
      </c>
      <c r="AD3440" s="0" t="str">
        <f aca="false">IF(Y3440=1,"",IF(AND(Z3440=1,AB3440&lt;&gt;1),1,0))</f>
        <v/>
      </c>
      <c r="AE3440" s="0" t="str">
        <f aca="false">IF(Y3440=1,"",IF(AND(AA3440=1,AC3440&lt;&gt;1),1,0))</f>
        <v/>
      </c>
      <c r="AF3440" s="45" t="str">
        <f aca="false">IF(AND(E3440&gt;0,Y3440&lt;1,NOT(AND(C3441=C3440,Y3441=Y3440+1))),INDEX(DATAS,Y3440+1),"")</f>
        <v/>
      </c>
      <c r="AG3440" s="45" t="str">
        <f aca="false">IF(AND(AA3440=1,Y3440&lt;1),IF(AND(C3441=C3440,Y3441=Y3440+1),IF(AA3441=1,"",INDEX(DATAS,Y3440+1)),INDEX(DATAS,Y3440+1)),"")</f>
        <v/>
      </c>
    </row>
    <row r="3441" customFormat="false" ht="15" hidden="false" customHeight="false" outlineLevel="0" collapsed="false">
      <c r="A3441" s="45" t="n">
        <v>46309</v>
      </c>
      <c r="B3441" s="0" t="n">
        <v>13</v>
      </c>
      <c r="C3441" s="0" t="n">
        <v>7882</v>
      </c>
      <c r="E3441" s="0" t="n">
        <v>0</v>
      </c>
      <c r="F3441" s="39" t="s">
        <v>1556</v>
      </c>
      <c r="I3441" s="39" t="s">
        <v>136</v>
      </c>
      <c r="U3441" s="0" t="n">
        <v>106</v>
      </c>
      <c r="V3441" s="0" t="n">
        <v>0</v>
      </c>
      <c r="W3441" s="39" t="n">
        <f aca="false">IF(I3441="Male",0,1)</f>
        <v>1</v>
      </c>
      <c r="X3441" s="39" t="n">
        <f aca="false">IF(OR(I3441="DNB",I3441="Dry DNB"),1,0)</f>
        <v>0</v>
      </c>
      <c r="Y3441" s="39" t="n">
        <f aca="false">MATCH(A3441,DATAS,0)</f>
        <v>1</v>
      </c>
      <c r="Z3441" s="39" t="n">
        <f aca="false">IF(AND(E3441&gt;0,OR(AND(B3441&gt;=1,B3441&lt;=6),B3441=10)),1,0)</f>
        <v>0</v>
      </c>
      <c r="AA3441" s="39" t="n">
        <f aca="false">IF(AND(E3441&gt;0,B3441=10),1,0)</f>
        <v>0</v>
      </c>
      <c r="AB3441" s="0" t="str">
        <f aca="false">IF(AND(C3440=C3441,Y3440=Y3441-1),Z3440,"")</f>
        <v/>
      </c>
      <c r="AC3441" s="0" t="str">
        <f aca="false">IF(AND(C3440=C3441,Y3440=Y3441-1),AA3440,"")</f>
        <v/>
      </c>
      <c r="AD3441" s="0" t="str">
        <f aca="false">IF(Y3441=1,"",IF(AND(Z3441=1,AB3441&lt;&gt;1),1,0))</f>
        <v/>
      </c>
      <c r="AE3441" s="0" t="str">
        <f aca="false">IF(Y3441=1,"",IF(AND(AA3441=1,AC3441&lt;&gt;1),1,0))</f>
        <v/>
      </c>
      <c r="AF3441" s="45" t="str">
        <f aca="false">IF(AND(E3441&gt;0,Y3441&lt;1,NOT(AND(C3442=C3441,Y3442=Y3441+1))),INDEX(DATAS,Y3441+1),"")</f>
        <v/>
      </c>
      <c r="AG3441" s="45" t="str">
        <f aca="false">IF(AND(AA3441=1,Y3441&lt;1),IF(AND(C3442=C3441,Y3442=Y3441+1),IF(AA3442=1,"",INDEX(DATAS,Y3441+1)),INDEX(DATAS,Y3441+1)),"")</f>
        <v/>
      </c>
    </row>
    <row r="3442" customFormat="false" ht="15" hidden="false" customHeight="false" outlineLevel="0" collapsed="false">
      <c r="A3442" s="45" t="n">
        <v>46309</v>
      </c>
      <c r="B3442" s="0" t="n">
        <v>13</v>
      </c>
      <c r="C3442" s="0" t="n">
        <v>7883</v>
      </c>
      <c r="E3442" s="0" t="n">
        <v>0</v>
      </c>
      <c r="F3442" s="39" t="s">
        <v>1556</v>
      </c>
      <c r="I3442" s="39" t="s">
        <v>136</v>
      </c>
      <c r="U3442" s="0" t="n">
        <v>106</v>
      </c>
      <c r="V3442" s="0" t="n">
        <v>0</v>
      </c>
      <c r="W3442" s="39" t="n">
        <f aca="false">IF(I3442="Male",0,1)</f>
        <v>1</v>
      </c>
      <c r="X3442" s="39" t="n">
        <f aca="false">IF(OR(I3442="DNB",I3442="Dry DNB"),1,0)</f>
        <v>0</v>
      </c>
      <c r="Y3442" s="39" t="n">
        <f aca="false">MATCH(A3442,DATAS,0)</f>
        <v>1</v>
      </c>
      <c r="Z3442" s="39" t="n">
        <f aca="false">IF(AND(E3442&gt;0,OR(AND(B3442&gt;=1,B3442&lt;=6),B3442=10)),1,0)</f>
        <v>0</v>
      </c>
      <c r="AA3442" s="39" t="n">
        <f aca="false">IF(AND(E3442&gt;0,B3442=10),1,0)</f>
        <v>0</v>
      </c>
      <c r="AB3442" s="0" t="str">
        <f aca="false">IF(AND(C3441=C3442,Y3441=Y3442-1),Z3441,"")</f>
        <v/>
      </c>
      <c r="AC3442" s="0" t="str">
        <f aca="false">IF(AND(C3441=C3442,Y3441=Y3442-1),AA3441,"")</f>
        <v/>
      </c>
      <c r="AD3442" s="0" t="str">
        <f aca="false">IF(Y3442=1,"",IF(AND(Z3442=1,AB3442&lt;&gt;1),1,0))</f>
        <v/>
      </c>
      <c r="AE3442" s="0" t="str">
        <f aca="false">IF(Y3442=1,"",IF(AND(AA3442=1,AC3442&lt;&gt;1),1,0))</f>
        <v/>
      </c>
      <c r="AF3442" s="45" t="str">
        <f aca="false">IF(AND(E3442&gt;0,Y3442&lt;1,NOT(AND(C3443=C3442,Y3443=Y3442+1))),INDEX(DATAS,Y3442+1),"")</f>
        <v/>
      </c>
      <c r="AG3442" s="45" t="str">
        <f aca="false">IF(AND(AA3442=1,Y3442&lt;1),IF(AND(C3443=C3442,Y3443=Y3442+1),IF(AA3443=1,"",INDEX(DATAS,Y3442+1)),INDEX(DATAS,Y3442+1)),"")</f>
        <v/>
      </c>
    </row>
    <row r="3443" customFormat="false" ht="15" hidden="false" customHeight="false" outlineLevel="0" collapsed="false">
      <c r="A3443" s="45" t="n">
        <v>46309</v>
      </c>
      <c r="B3443" s="0" t="n">
        <v>13</v>
      </c>
      <c r="C3443" s="0" t="n">
        <v>7884</v>
      </c>
      <c r="E3443" s="0" t="n">
        <v>0</v>
      </c>
      <c r="F3443" s="39" t="s">
        <v>1556</v>
      </c>
      <c r="I3443" s="39" t="s">
        <v>136</v>
      </c>
      <c r="U3443" s="0" t="n">
        <v>106</v>
      </c>
      <c r="V3443" s="0" t="n">
        <v>0</v>
      </c>
      <c r="W3443" s="39" t="n">
        <f aca="false">IF(I3443="Male",0,1)</f>
        <v>1</v>
      </c>
      <c r="X3443" s="39" t="n">
        <f aca="false">IF(OR(I3443="DNB",I3443="Dry DNB"),1,0)</f>
        <v>0</v>
      </c>
      <c r="Y3443" s="39" t="n">
        <f aca="false">MATCH(A3443,DATAS,0)</f>
        <v>1</v>
      </c>
      <c r="Z3443" s="39" t="n">
        <f aca="false">IF(AND(E3443&gt;0,OR(AND(B3443&gt;=1,B3443&lt;=6),B3443=10)),1,0)</f>
        <v>0</v>
      </c>
      <c r="AA3443" s="39" t="n">
        <f aca="false">IF(AND(E3443&gt;0,B3443=10),1,0)</f>
        <v>0</v>
      </c>
      <c r="AB3443" s="0" t="str">
        <f aca="false">IF(AND(C3442=C3443,Y3442=Y3443-1),Z3442,"")</f>
        <v/>
      </c>
      <c r="AC3443" s="0" t="str">
        <f aca="false">IF(AND(C3442=C3443,Y3442=Y3443-1),AA3442,"")</f>
        <v/>
      </c>
      <c r="AD3443" s="0" t="str">
        <f aca="false">IF(Y3443=1,"",IF(AND(Z3443=1,AB3443&lt;&gt;1),1,0))</f>
        <v/>
      </c>
      <c r="AE3443" s="0" t="str">
        <f aca="false">IF(Y3443=1,"",IF(AND(AA3443=1,AC3443&lt;&gt;1),1,0))</f>
        <v/>
      </c>
      <c r="AF3443" s="45" t="str">
        <f aca="false">IF(AND(E3443&gt;0,Y3443&lt;1,NOT(AND(C3444=C3443,Y3444=Y3443+1))),INDEX(DATAS,Y3443+1),"")</f>
        <v/>
      </c>
      <c r="AG3443" s="45" t="str">
        <f aca="false">IF(AND(AA3443=1,Y3443&lt;1),IF(AND(C3444=C3443,Y3444=Y3443+1),IF(AA3444=1,"",INDEX(DATAS,Y3443+1)),INDEX(DATAS,Y3443+1)),"")</f>
        <v/>
      </c>
    </row>
    <row r="3444" customFormat="false" ht="15" hidden="false" customHeight="false" outlineLevel="0" collapsed="false">
      <c r="A3444" s="45" t="n">
        <v>46309</v>
      </c>
      <c r="B3444" s="0" t="n">
        <v>13</v>
      </c>
      <c r="C3444" s="0" t="n">
        <v>7885</v>
      </c>
      <c r="E3444" s="0" t="n">
        <v>0</v>
      </c>
      <c r="F3444" s="39" t="s">
        <v>1556</v>
      </c>
      <c r="I3444" s="39" t="s">
        <v>136</v>
      </c>
      <c r="U3444" s="0" t="n">
        <v>106</v>
      </c>
      <c r="V3444" s="0" t="n">
        <v>0</v>
      </c>
      <c r="W3444" s="39" t="n">
        <f aca="false">IF(I3444="Male",0,1)</f>
        <v>1</v>
      </c>
      <c r="X3444" s="39" t="n">
        <f aca="false">IF(OR(I3444="DNB",I3444="Dry DNB"),1,0)</f>
        <v>0</v>
      </c>
      <c r="Y3444" s="39" t="n">
        <f aca="false">MATCH(A3444,DATAS,0)</f>
        <v>1</v>
      </c>
      <c r="Z3444" s="39" t="n">
        <f aca="false">IF(AND(E3444&gt;0,OR(AND(B3444&gt;=1,B3444&lt;=6),B3444=10)),1,0)</f>
        <v>0</v>
      </c>
      <c r="AA3444" s="39" t="n">
        <f aca="false">IF(AND(E3444&gt;0,B3444=10),1,0)</f>
        <v>0</v>
      </c>
      <c r="AB3444" s="0" t="str">
        <f aca="false">IF(AND(C3443=C3444,Y3443=Y3444-1),Z3443,"")</f>
        <v/>
      </c>
      <c r="AC3444" s="0" t="str">
        <f aca="false">IF(AND(C3443=C3444,Y3443=Y3444-1),AA3443,"")</f>
        <v/>
      </c>
      <c r="AD3444" s="0" t="str">
        <f aca="false">IF(Y3444=1,"",IF(AND(Z3444=1,AB3444&lt;&gt;1),1,0))</f>
        <v/>
      </c>
      <c r="AE3444" s="0" t="str">
        <f aca="false">IF(Y3444=1,"",IF(AND(AA3444=1,AC3444&lt;&gt;1),1,0))</f>
        <v/>
      </c>
      <c r="AF3444" s="45" t="str">
        <f aca="false">IF(AND(E3444&gt;0,Y3444&lt;1,NOT(AND(C3445=C3444,Y3445=Y3444+1))),INDEX(DATAS,Y3444+1),"")</f>
        <v/>
      </c>
      <c r="AG3444" s="45" t="str">
        <f aca="false">IF(AND(AA3444=1,Y3444&lt;1),IF(AND(C3445=C3444,Y3445=Y3444+1),IF(AA3445=1,"",INDEX(DATAS,Y3444+1)),INDEX(DATAS,Y3444+1)),"")</f>
        <v/>
      </c>
    </row>
    <row r="3445" customFormat="false" ht="15" hidden="false" customHeight="false" outlineLevel="0" collapsed="false">
      <c r="A3445" s="45" t="n">
        <v>46309</v>
      </c>
      <c r="B3445" s="0" t="n">
        <v>13</v>
      </c>
      <c r="C3445" s="0" t="n">
        <v>7886</v>
      </c>
      <c r="E3445" s="0" t="n">
        <v>0</v>
      </c>
      <c r="F3445" s="39" t="s">
        <v>1556</v>
      </c>
      <c r="I3445" s="39" t="s">
        <v>136</v>
      </c>
      <c r="U3445" s="0" t="n">
        <v>106</v>
      </c>
      <c r="V3445" s="0" t="n">
        <v>0</v>
      </c>
      <c r="W3445" s="39" t="n">
        <f aca="false">IF(I3445="Male",0,1)</f>
        <v>1</v>
      </c>
      <c r="X3445" s="39" t="n">
        <f aca="false">IF(OR(I3445="DNB",I3445="Dry DNB"),1,0)</f>
        <v>0</v>
      </c>
      <c r="Y3445" s="39" t="n">
        <f aca="false">MATCH(A3445,DATAS,0)</f>
        <v>1</v>
      </c>
      <c r="Z3445" s="39" t="n">
        <f aca="false">IF(AND(E3445&gt;0,OR(AND(B3445&gt;=1,B3445&lt;=6),B3445=10)),1,0)</f>
        <v>0</v>
      </c>
      <c r="AA3445" s="39" t="n">
        <f aca="false">IF(AND(E3445&gt;0,B3445=10),1,0)</f>
        <v>0</v>
      </c>
      <c r="AB3445" s="0" t="str">
        <f aca="false">IF(AND(C3444=C3445,Y3444=Y3445-1),Z3444,"")</f>
        <v/>
      </c>
      <c r="AC3445" s="0" t="str">
        <f aca="false">IF(AND(C3444=C3445,Y3444=Y3445-1),AA3444,"")</f>
        <v/>
      </c>
      <c r="AD3445" s="0" t="str">
        <f aca="false">IF(Y3445=1,"",IF(AND(Z3445=1,AB3445&lt;&gt;1),1,0))</f>
        <v/>
      </c>
      <c r="AE3445" s="0" t="str">
        <f aca="false">IF(Y3445=1,"",IF(AND(AA3445=1,AC3445&lt;&gt;1),1,0))</f>
        <v/>
      </c>
      <c r="AF3445" s="45" t="str">
        <f aca="false">IF(AND(E3445&gt;0,Y3445&lt;1,NOT(AND(C3446=C3445,Y3446=Y3445+1))),INDEX(DATAS,Y3445+1),"")</f>
        <v/>
      </c>
      <c r="AG3445" s="45" t="str">
        <f aca="false">IF(AND(AA3445=1,Y3445&lt;1),IF(AND(C3446=C3445,Y3446=Y3445+1),IF(AA3446=1,"",INDEX(DATAS,Y3445+1)),INDEX(DATAS,Y3445+1)),"")</f>
        <v/>
      </c>
    </row>
    <row r="3446" customFormat="false" ht="15" hidden="false" customHeight="false" outlineLevel="0" collapsed="false">
      <c r="A3446" s="45" t="n">
        <v>46309</v>
      </c>
      <c r="B3446" s="0" t="n">
        <v>13</v>
      </c>
      <c r="C3446" s="0" t="n">
        <v>7887</v>
      </c>
      <c r="E3446" s="0" t="n">
        <v>0</v>
      </c>
      <c r="F3446" s="39" t="s">
        <v>1556</v>
      </c>
      <c r="I3446" s="39" t="s">
        <v>136</v>
      </c>
      <c r="U3446" s="0" t="n">
        <v>106</v>
      </c>
      <c r="V3446" s="0" t="n">
        <v>0</v>
      </c>
      <c r="W3446" s="39" t="n">
        <f aca="false">IF(I3446="Male",0,1)</f>
        <v>1</v>
      </c>
      <c r="X3446" s="39" t="n">
        <f aca="false">IF(OR(I3446="DNB",I3446="Dry DNB"),1,0)</f>
        <v>0</v>
      </c>
      <c r="Y3446" s="39" t="n">
        <f aca="false">MATCH(A3446,DATAS,0)</f>
        <v>1</v>
      </c>
      <c r="Z3446" s="39" t="n">
        <f aca="false">IF(AND(E3446&gt;0,OR(AND(B3446&gt;=1,B3446&lt;=6),B3446=10)),1,0)</f>
        <v>0</v>
      </c>
      <c r="AA3446" s="39" t="n">
        <f aca="false">IF(AND(E3446&gt;0,B3446=10),1,0)</f>
        <v>0</v>
      </c>
      <c r="AB3446" s="0" t="str">
        <f aca="false">IF(AND(C3445=C3446,Y3445=Y3446-1),Z3445,"")</f>
        <v/>
      </c>
      <c r="AC3446" s="0" t="str">
        <f aca="false">IF(AND(C3445=C3446,Y3445=Y3446-1),AA3445,"")</f>
        <v/>
      </c>
      <c r="AD3446" s="0" t="str">
        <f aca="false">IF(Y3446=1,"",IF(AND(Z3446=1,AB3446&lt;&gt;1),1,0))</f>
        <v/>
      </c>
      <c r="AE3446" s="0" t="str">
        <f aca="false">IF(Y3446=1,"",IF(AND(AA3446=1,AC3446&lt;&gt;1),1,0))</f>
        <v/>
      </c>
      <c r="AF3446" s="45" t="str">
        <f aca="false">IF(AND(E3446&gt;0,Y3446&lt;1,NOT(AND(C3447=C3446,Y3447=Y3446+1))),INDEX(DATAS,Y3446+1),"")</f>
        <v/>
      </c>
      <c r="AG3446" s="45" t="str">
        <f aca="false">IF(AND(AA3446=1,Y3446&lt;1),IF(AND(C3447=C3446,Y3447=Y3446+1),IF(AA3447=1,"",INDEX(DATAS,Y3446+1)),INDEX(DATAS,Y3446+1)),"")</f>
        <v/>
      </c>
    </row>
    <row r="3447" customFormat="false" ht="15" hidden="false" customHeight="false" outlineLevel="0" collapsed="false">
      <c r="A3447" s="45" t="n">
        <v>46309</v>
      </c>
      <c r="B3447" s="0" t="n">
        <v>13</v>
      </c>
      <c r="C3447" s="0" t="n">
        <v>7888</v>
      </c>
      <c r="E3447" s="0" t="n">
        <v>0</v>
      </c>
      <c r="F3447" s="39" t="s">
        <v>1556</v>
      </c>
      <c r="I3447" s="39" t="s">
        <v>136</v>
      </c>
      <c r="U3447" s="0" t="n">
        <v>106</v>
      </c>
      <c r="V3447" s="0" t="n">
        <v>0</v>
      </c>
      <c r="W3447" s="39" t="n">
        <f aca="false">IF(I3447="Male",0,1)</f>
        <v>1</v>
      </c>
      <c r="X3447" s="39" t="n">
        <f aca="false">IF(OR(I3447="DNB",I3447="Dry DNB"),1,0)</f>
        <v>0</v>
      </c>
      <c r="Y3447" s="39" t="n">
        <f aca="false">MATCH(A3447,DATAS,0)</f>
        <v>1</v>
      </c>
      <c r="Z3447" s="39" t="n">
        <f aca="false">IF(AND(E3447&gt;0,OR(AND(B3447&gt;=1,B3447&lt;=6),B3447=10)),1,0)</f>
        <v>0</v>
      </c>
      <c r="AA3447" s="39" t="n">
        <f aca="false">IF(AND(E3447&gt;0,B3447=10),1,0)</f>
        <v>0</v>
      </c>
      <c r="AB3447" s="0" t="str">
        <f aca="false">IF(AND(C3446=C3447,Y3446=Y3447-1),Z3446,"")</f>
        <v/>
      </c>
      <c r="AC3447" s="0" t="str">
        <f aca="false">IF(AND(C3446=C3447,Y3446=Y3447-1),AA3446,"")</f>
        <v/>
      </c>
      <c r="AD3447" s="0" t="str">
        <f aca="false">IF(Y3447=1,"",IF(AND(Z3447=1,AB3447&lt;&gt;1),1,0))</f>
        <v/>
      </c>
      <c r="AE3447" s="0" t="str">
        <f aca="false">IF(Y3447=1,"",IF(AND(AA3447=1,AC3447&lt;&gt;1),1,0))</f>
        <v/>
      </c>
      <c r="AF3447" s="45" t="str">
        <f aca="false">IF(AND(E3447&gt;0,Y3447&lt;1,NOT(AND(C3448=C3447,Y3448=Y3447+1))),INDEX(DATAS,Y3447+1),"")</f>
        <v/>
      </c>
      <c r="AG3447" s="45" t="str">
        <f aca="false">IF(AND(AA3447=1,Y3447&lt;1),IF(AND(C3448=C3447,Y3448=Y3447+1),IF(AA3448=1,"",INDEX(DATAS,Y3447+1)),INDEX(DATAS,Y3447+1)),"")</f>
        <v/>
      </c>
    </row>
    <row r="3448" customFormat="false" ht="15" hidden="false" customHeight="false" outlineLevel="0" collapsed="false">
      <c r="A3448" s="45" t="n">
        <v>46309</v>
      </c>
      <c r="B3448" s="0" t="n">
        <v>13</v>
      </c>
      <c r="C3448" s="0" t="n">
        <v>7890</v>
      </c>
      <c r="E3448" s="0" t="n">
        <v>0</v>
      </c>
      <c r="F3448" s="39" t="s">
        <v>1557</v>
      </c>
      <c r="I3448" s="39" t="s">
        <v>136</v>
      </c>
      <c r="U3448" s="0" t="n">
        <v>104</v>
      </c>
      <c r="V3448" s="0" t="n">
        <v>0</v>
      </c>
      <c r="W3448" s="39" t="n">
        <f aca="false">IF(I3448="Male",0,1)</f>
        <v>1</v>
      </c>
      <c r="X3448" s="39" t="n">
        <f aca="false">IF(OR(I3448="DNB",I3448="Dry DNB"),1,0)</f>
        <v>0</v>
      </c>
      <c r="Y3448" s="39" t="n">
        <f aca="false">MATCH(A3448,DATAS,0)</f>
        <v>1</v>
      </c>
      <c r="Z3448" s="39" t="n">
        <f aca="false">IF(AND(E3448&gt;0,OR(AND(B3448&gt;=1,B3448&lt;=6),B3448=10)),1,0)</f>
        <v>0</v>
      </c>
      <c r="AA3448" s="39" t="n">
        <f aca="false">IF(AND(E3448&gt;0,B3448=10),1,0)</f>
        <v>0</v>
      </c>
      <c r="AB3448" s="0" t="str">
        <f aca="false">IF(AND(C3447=C3448,Y3447=Y3448-1),Z3447,"")</f>
        <v/>
      </c>
      <c r="AC3448" s="0" t="str">
        <f aca="false">IF(AND(C3447=C3448,Y3447=Y3448-1),AA3447,"")</f>
        <v/>
      </c>
      <c r="AD3448" s="0" t="str">
        <f aca="false">IF(Y3448=1,"",IF(AND(Z3448=1,AB3448&lt;&gt;1),1,0))</f>
        <v/>
      </c>
      <c r="AE3448" s="0" t="str">
        <f aca="false">IF(Y3448=1,"",IF(AND(AA3448=1,AC3448&lt;&gt;1),1,0))</f>
        <v/>
      </c>
      <c r="AF3448" s="45" t="str">
        <f aca="false">IF(AND(E3448&gt;0,Y3448&lt;1,NOT(AND(C3449=C3448,Y3449=Y3448+1))),INDEX(DATAS,Y3448+1),"")</f>
        <v/>
      </c>
      <c r="AG3448" s="45" t="str">
        <f aca="false">IF(AND(AA3448=1,Y3448&lt;1),IF(AND(C3449=C3448,Y3449=Y3448+1),IF(AA3449=1,"",INDEX(DATAS,Y3448+1)),INDEX(DATAS,Y3448+1)),"")</f>
        <v/>
      </c>
    </row>
    <row r="3449" customFormat="false" ht="15" hidden="false" customHeight="false" outlineLevel="0" collapsed="false">
      <c r="A3449" s="45" t="n">
        <v>46309</v>
      </c>
      <c r="B3449" s="0" t="n">
        <v>13</v>
      </c>
      <c r="C3449" s="0" t="n">
        <v>7891</v>
      </c>
      <c r="E3449" s="0" t="n">
        <v>0</v>
      </c>
      <c r="F3449" s="39" t="s">
        <v>1557</v>
      </c>
      <c r="I3449" s="39" t="s">
        <v>136</v>
      </c>
      <c r="U3449" s="0" t="n">
        <v>104</v>
      </c>
      <c r="V3449" s="0" t="n">
        <v>0</v>
      </c>
      <c r="W3449" s="39" t="n">
        <f aca="false">IF(I3449="Male",0,1)</f>
        <v>1</v>
      </c>
      <c r="X3449" s="39" t="n">
        <f aca="false">IF(OR(I3449="DNB",I3449="Dry DNB"),1,0)</f>
        <v>0</v>
      </c>
      <c r="Y3449" s="39" t="n">
        <f aca="false">MATCH(A3449,DATAS,0)</f>
        <v>1</v>
      </c>
      <c r="Z3449" s="39" t="n">
        <f aca="false">IF(AND(E3449&gt;0,OR(AND(B3449&gt;=1,B3449&lt;=6),B3449=10)),1,0)</f>
        <v>0</v>
      </c>
      <c r="AA3449" s="39" t="n">
        <f aca="false">IF(AND(E3449&gt;0,B3449=10),1,0)</f>
        <v>0</v>
      </c>
      <c r="AB3449" s="0" t="str">
        <f aca="false">IF(AND(C3448=C3449,Y3448=Y3449-1),Z3448,"")</f>
        <v/>
      </c>
      <c r="AC3449" s="0" t="str">
        <f aca="false">IF(AND(C3448=C3449,Y3448=Y3449-1),AA3448,"")</f>
        <v/>
      </c>
      <c r="AD3449" s="0" t="str">
        <f aca="false">IF(Y3449=1,"",IF(AND(Z3449=1,AB3449&lt;&gt;1),1,0))</f>
        <v/>
      </c>
      <c r="AE3449" s="0" t="str">
        <f aca="false">IF(Y3449=1,"",IF(AND(AA3449=1,AC3449&lt;&gt;1),1,0))</f>
        <v/>
      </c>
      <c r="AF3449" s="45" t="str">
        <f aca="false">IF(AND(E3449&gt;0,Y3449&lt;1,NOT(AND(C3450=C3449,Y3450=Y3449+1))),INDEX(DATAS,Y3449+1),"")</f>
        <v/>
      </c>
      <c r="AG3449" s="45" t="str">
        <f aca="false">IF(AND(AA3449=1,Y3449&lt;1),IF(AND(C3450=C3449,Y3450=Y3449+1),IF(AA3450=1,"",INDEX(DATAS,Y3449+1)),INDEX(DATAS,Y3449+1)),"")</f>
        <v/>
      </c>
    </row>
    <row r="3450" customFormat="false" ht="15" hidden="false" customHeight="false" outlineLevel="0" collapsed="false">
      <c r="A3450" s="45" t="n">
        <v>46309</v>
      </c>
      <c r="B3450" s="0" t="n">
        <v>13</v>
      </c>
      <c r="C3450" s="0" t="n">
        <v>7892</v>
      </c>
      <c r="E3450" s="0" t="n">
        <v>0</v>
      </c>
      <c r="F3450" s="39" t="s">
        <v>1557</v>
      </c>
      <c r="I3450" s="39" t="s">
        <v>136</v>
      </c>
      <c r="U3450" s="0" t="n">
        <v>104</v>
      </c>
      <c r="V3450" s="0" t="n">
        <v>0</v>
      </c>
      <c r="W3450" s="39" t="n">
        <f aca="false">IF(I3450="Male",0,1)</f>
        <v>1</v>
      </c>
      <c r="X3450" s="39" t="n">
        <f aca="false">IF(OR(I3450="DNB",I3450="Dry DNB"),1,0)</f>
        <v>0</v>
      </c>
      <c r="Y3450" s="39" t="n">
        <f aca="false">MATCH(A3450,DATAS,0)</f>
        <v>1</v>
      </c>
      <c r="Z3450" s="39" t="n">
        <f aca="false">IF(AND(E3450&gt;0,OR(AND(B3450&gt;=1,B3450&lt;=6),B3450=10)),1,0)</f>
        <v>0</v>
      </c>
      <c r="AA3450" s="39" t="n">
        <f aca="false">IF(AND(E3450&gt;0,B3450=10),1,0)</f>
        <v>0</v>
      </c>
      <c r="AB3450" s="0" t="str">
        <f aca="false">IF(AND(C3449=C3450,Y3449=Y3450-1),Z3449,"")</f>
        <v/>
      </c>
      <c r="AC3450" s="0" t="str">
        <f aca="false">IF(AND(C3449=C3450,Y3449=Y3450-1),AA3449,"")</f>
        <v/>
      </c>
      <c r="AD3450" s="0" t="str">
        <f aca="false">IF(Y3450=1,"",IF(AND(Z3450=1,AB3450&lt;&gt;1),1,0))</f>
        <v/>
      </c>
      <c r="AE3450" s="0" t="str">
        <f aca="false">IF(Y3450=1,"",IF(AND(AA3450=1,AC3450&lt;&gt;1),1,0))</f>
        <v/>
      </c>
      <c r="AF3450" s="45" t="str">
        <f aca="false">IF(AND(E3450&gt;0,Y3450&lt;1,NOT(AND(C3451=C3450,Y3451=Y3450+1))),INDEX(DATAS,Y3450+1),"")</f>
        <v/>
      </c>
      <c r="AG3450" s="45" t="str">
        <f aca="false">IF(AND(AA3450=1,Y3450&lt;1),IF(AND(C3451=C3450,Y3451=Y3450+1),IF(AA3451=1,"",INDEX(DATAS,Y3450+1)),INDEX(DATAS,Y3450+1)),"")</f>
        <v/>
      </c>
    </row>
    <row r="3451" customFormat="false" ht="15" hidden="false" customHeight="false" outlineLevel="0" collapsed="false">
      <c r="A3451" s="45" t="n">
        <v>46309</v>
      </c>
      <c r="B3451" s="0" t="n">
        <v>13</v>
      </c>
      <c r="C3451" s="0" t="n">
        <v>7893</v>
      </c>
      <c r="E3451" s="0" t="n">
        <v>0</v>
      </c>
      <c r="F3451" s="39" t="s">
        <v>1558</v>
      </c>
      <c r="I3451" s="39" t="s">
        <v>136</v>
      </c>
      <c r="U3451" s="0" t="n">
        <v>103</v>
      </c>
      <c r="V3451" s="0" t="n">
        <v>0</v>
      </c>
      <c r="W3451" s="39" t="n">
        <f aca="false">IF(I3451="Male",0,1)</f>
        <v>1</v>
      </c>
      <c r="X3451" s="39" t="n">
        <f aca="false">IF(OR(I3451="DNB",I3451="Dry DNB"),1,0)</f>
        <v>0</v>
      </c>
      <c r="Y3451" s="39" t="n">
        <f aca="false">MATCH(A3451,DATAS,0)</f>
        <v>1</v>
      </c>
      <c r="Z3451" s="39" t="n">
        <f aca="false">IF(AND(E3451&gt;0,OR(AND(B3451&gt;=1,B3451&lt;=6),B3451=10)),1,0)</f>
        <v>0</v>
      </c>
      <c r="AA3451" s="39" t="n">
        <f aca="false">IF(AND(E3451&gt;0,B3451=10),1,0)</f>
        <v>0</v>
      </c>
      <c r="AB3451" s="0" t="str">
        <f aca="false">IF(AND(C3450=C3451,Y3450=Y3451-1),Z3450,"")</f>
        <v/>
      </c>
      <c r="AC3451" s="0" t="str">
        <f aca="false">IF(AND(C3450=C3451,Y3450=Y3451-1),AA3450,"")</f>
        <v/>
      </c>
      <c r="AD3451" s="0" t="str">
        <f aca="false">IF(Y3451=1,"",IF(AND(Z3451=1,AB3451&lt;&gt;1),1,0))</f>
        <v/>
      </c>
      <c r="AE3451" s="0" t="str">
        <f aca="false">IF(Y3451=1,"",IF(AND(AA3451=1,AC3451&lt;&gt;1),1,0))</f>
        <v/>
      </c>
      <c r="AF3451" s="45" t="str">
        <f aca="false">IF(AND(E3451&gt;0,Y3451&lt;1,NOT(AND(C3452=C3451,Y3452=Y3451+1))),INDEX(DATAS,Y3451+1),"")</f>
        <v/>
      </c>
      <c r="AG3451" s="45" t="str">
        <f aca="false">IF(AND(AA3451=1,Y3451&lt;1),IF(AND(C3452=C3451,Y3452=Y3451+1),IF(AA3452=1,"",INDEX(DATAS,Y3451+1)),INDEX(DATAS,Y3451+1)),"")</f>
        <v/>
      </c>
    </row>
    <row r="3452" customFormat="false" ht="15" hidden="false" customHeight="false" outlineLevel="0" collapsed="false">
      <c r="A3452" s="45" t="n">
        <v>46309</v>
      </c>
      <c r="B3452" s="0" t="n">
        <v>13</v>
      </c>
      <c r="C3452" s="0" t="n">
        <v>7894</v>
      </c>
      <c r="E3452" s="0" t="n">
        <v>0</v>
      </c>
      <c r="F3452" s="39" t="s">
        <v>1558</v>
      </c>
      <c r="I3452" s="39" t="s">
        <v>136</v>
      </c>
      <c r="U3452" s="0" t="n">
        <v>103</v>
      </c>
      <c r="V3452" s="0" t="n">
        <v>0</v>
      </c>
      <c r="W3452" s="39" t="n">
        <f aca="false">IF(I3452="Male",0,1)</f>
        <v>1</v>
      </c>
      <c r="X3452" s="39" t="n">
        <f aca="false">IF(OR(I3452="DNB",I3452="Dry DNB"),1,0)</f>
        <v>0</v>
      </c>
      <c r="Y3452" s="39" t="n">
        <f aca="false">MATCH(A3452,DATAS,0)</f>
        <v>1</v>
      </c>
      <c r="Z3452" s="39" t="n">
        <f aca="false">IF(AND(E3452&gt;0,OR(AND(B3452&gt;=1,B3452&lt;=6),B3452=10)),1,0)</f>
        <v>0</v>
      </c>
      <c r="AA3452" s="39" t="n">
        <f aca="false">IF(AND(E3452&gt;0,B3452=10),1,0)</f>
        <v>0</v>
      </c>
      <c r="AB3452" s="0" t="str">
        <f aca="false">IF(AND(C3451=C3452,Y3451=Y3452-1),Z3451,"")</f>
        <v/>
      </c>
      <c r="AC3452" s="0" t="str">
        <f aca="false">IF(AND(C3451=C3452,Y3451=Y3452-1),AA3451,"")</f>
        <v/>
      </c>
      <c r="AD3452" s="0" t="str">
        <f aca="false">IF(Y3452=1,"",IF(AND(Z3452=1,AB3452&lt;&gt;1),1,0))</f>
        <v/>
      </c>
      <c r="AE3452" s="0" t="str">
        <f aca="false">IF(Y3452=1,"",IF(AND(AA3452=1,AC3452&lt;&gt;1),1,0))</f>
        <v/>
      </c>
      <c r="AF3452" s="45" t="str">
        <f aca="false">IF(AND(E3452&gt;0,Y3452&lt;1,NOT(AND(C3453=C3452,Y3453=Y3452+1))),INDEX(DATAS,Y3452+1),"")</f>
        <v/>
      </c>
      <c r="AG3452" s="45" t="str">
        <f aca="false">IF(AND(AA3452=1,Y3452&lt;1),IF(AND(C3453=C3452,Y3453=Y3452+1),IF(AA3453=1,"",INDEX(DATAS,Y3452+1)),INDEX(DATAS,Y3452+1)),"")</f>
        <v/>
      </c>
    </row>
    <row r="3453" customFormat="false" ht="15" hidden="false" customHeight="false" outlineLevel="0" collapsed="false">
      <c r="A3453" s="45" t="n">
        <v>46309</v>
      </c>
      <c r="B3453" s="0" t="n">
        <v>13</v>
      </c>
      <c r="C3453" s="0" t="n">
        <v>7895</v>
      </c>
      <c r="E3453" s="0" t="n">
        <v>0</v>
      </c>
      <c r="F3453" s="39" t="s">
        <v>1558</v>
      </c>
      <c r="I3453" s="39" t="s">
        <v>136</v>
      </c>
      <c r="U3453" s="0" t="n">
        <v>103</v>
      </c>
      <c r="V3453" s="0" t="n">
        <v>0</v>
      </c>
      <c r="W3453" s="39" t="n">
        <f aca="false">IF(I3453="Male",0,1)</f>
        <v>1</v>
      </c>
      <c r="X3453" s="39" t="n">
        <f aca="false">IF(OR(I3453="DNB",I3453="Dry DNB"),1,0)</f>
        <v>0</v>
      </c>
      <c r="Y3453" s="39" t="n">
        <f aca="false">MATCH(A3453,DATAS,0)</f>
        <v>1</v>
      </c>
      <c r="Z3453" s="39" t="n">
        <f aca="false">IF(AND(E3453&gt;0,OR(AND(B3453&gt;=1,B3453&lt;=6),B3453=10)),1,0)</f>
        <v>0</v>
      </c>
      <c r="AA3453" s="39" t="n">
        <f aca="false">IF(AND(E3453&gt;0,B3453=10),1,0)</f>
        <v>0</v>
      </c>
      <c r="AB3453" s="0" t="str">
        <f aca="false">IF(AND(C3452=C3453,Y3452=Y3453-1),Z3452,"")</f>
        <v/>
      </c>
      <c r="AC3453" s="0" t="str">
        <f aca="false">IF(AND(C3452=C3453,Y3452=Y3453-1),AA3452,"")</f>
        <v/>
      </c>
      <c r="AD3453" s="0" t="str">
        <f aca="false">IF(Y3453=1,"",IF(AND(Z3453=1,AB3453&lt;&gt;1),1,0))</f>
        <v/>
      </c>
      <c r="AE3453" s="0" t="str">
        <f aca="false">IF(Y3453=1,"",IF(AND(AA3453=1,AC3453&lt;&gt;1),1,0))</f>
        <v/>
      </c>
      <c r="AF3453" s="45" t="str">
        <f aca="false">IF(AND(E3453&gt;0,Y3453&lt;1,NOT(AND(C3454=C3453,Y3454=Y3453+1))),INDEX(DATAS,Y3453+1),"")</f>
        <v/>
      </c>
      <c r="AG3453" s="45" t="str">
        <f aca="false">IF(AND(AA3453=1,Y3453&lt;1),IF(AND(C3454=C3453,Y3454=Y3453+1),IF(AA3454=1,"",INDEX(DATAS,Y3453+1)),INDEX(DATAS,Y3453+1)),"")</f>
        <v/>
      </c>
    </row>
    <row r="3454" customFormat="false" ht="15" hidden="false" customHeight="false" outlineLevel="0" collapsed="false">
      <c r="A3454" s="45" t="n">
        <v>46309</v>
      </c>
      <c r="B3454" s="0" t="n">
        <v>13</v>
      </c>
      <c r="C3454" s="0" t="n">
        <v>7896</v>
      </c>
      <c r="E3454" s="0" t="n">
        <v>0</v>
      </c>
      <c r="F3454" s="39" t="s">
        <v>1558</v>
      </c>
      <c r="I3454" s="39" t="s">
        <v>136</v>
      </c>
      <c r="U3454" s="0" t="n">
        <v>103</v>
      </c>
      <c r="V3454" s="0" t="n">
        <v>0</v>
      </c>
      <c r="W3454" s="39" t="n">
        <f aca="false">IF(I3454="Male",0,1)</f>
        <v>1</v>
      </c>
      <c r="X3454" s="39" t="n">
        <f aca="false">IF(OR(I3454="DNB",I3454="Dry DNB"),1,0)</f>
        <v>0</v>
      </c>
      <c r="Y3454" s="39" t="n">
        <f aca="false">MATCH(A3454,DATAS,0)</f>
        <v>1</v>
      </c>
      <c r="Z3454" s="39" t="n">
        <f aca="false">IF(AND(E3454&gt;0,OR(AND(B3454&gt;=1,B3454&lt;=6),B3454=10)),1,0)</f>
        <v>0</v>
      </c>
      <c r="AA3454" s="39" t="n">
        <f aca="false">IF(AND(E3454&gt;0,B3454=10),1,0)</f>
        <v>0</v>
      </c>
      <c r="AB3454" s="0" t="str">
        <f aca="false">IF(AND(C3453=C3454,Y3453=Y3454-1),Z3453,"")</f>
        <v/>
      </c>
      <c r="AC3454" s="0" t="str">
        <f aca="false">IF(AND(C3453=C3454,Y3453=Y3454-1),AA3453,"")</f>
        <v/>
      </c>
      <c r="AD3454" s="0" t="str">
        <f aca="false">IF(Y3454=1,"",IF(AND(Z3454=1,AB3454&lt;&gt;1),1,0))</f>
        <v/>
      </c>
      <c r="AE3454" s="0" t="str">
        <f aca="false">IF(Y3454=1,"",IF(AND(AA3454=1,AC3454&lt;&gt;1),1,0))</f>
        <v/>
      </c>
      <c r="AF3454" s="45" t="str">
        <f aca="false">IF(AND(E3454&gt;0,Y3454&lt;1,NOT(AND(C3455=C3454,Y3455=Y3454+1))),INDEX(DATAS,Y3454+1),"")</f>
        <v/>
      </c>
      <c r="AG3454" s="45" t="str">
        <f aca="false">IF(AND(AA3454=1,Y3454&lt;1),IF(AND(C3455=C3454,Y3455=Y3454+1),IF(AA3455=1,"",INDEX(DATAS,Y3454+1)),INDEX(DATAS,Y3454+1)),"")</f>
        <v/>
      </c>
    </row>
    <row r="3455" customFormat="false" ht="15" hidden="false" customHeight="false" outlineLevel="0" collapsed="false">
      <c r="A3455" s="45" t="n">
        <v>46309</v>
      </c>
      <c r="B3455" s="0" t="n">
        <v>13</v>
      </c>
      <c r="C3455" s="0" t="n">
        <v>7897</v>
      </c>
      <c r="E3455" s="0" t="n">
        <v>0</v>
      </c>
      <c r="F3455" s="39" t="s">
        <v>1558</v>
      </c>
      <c r="I3455" s="39" t="s">
        <v>136</v>
      </c>
      <c r="U3455" s="0" t="n">
        <v>103</v>
      </c>
      <c r="V3455" s="0" t="n">
        <v>0</v>
      </c>
      <c r="W3455" s="39" t="n">
        <f aca="false">IF(I3455="Male",0,1)</f>
        <v>1</v>
      </c>
      <c r="X3455" s="39" t="n">
        <f aca="false">IF(OR(I3455="DNB",I3455="Dry DNB"),1,0)</f>
        <v>0</v>
      </c>
      <c r="Y3455" s="39" t="n">
        <f aca="false">MATCH(A3455,DATAS,0)</f>
        <v>1</v>
      </c>
      <c r="Z3455" s="39" t="n">
        <f aca="false">IF(AND(E3455&gt;0,OR(AND(B3455&gt;=1,B3455&lt;=6),B3455=10)),1,0)</f>
        <v>0</v>
      </c>
      <c r="AA3455" s="39" t="n">
        <f aca="false">IF(AND(E3455&gt;0,B3455=10),1,0)</f>
        <v>0</v>
      </c>
      <c r="AB3455" s="0" t="str">
        <f aca="false">IF(AND(C3454=C3455,Y3454=Y3455-1),Z3454,"")</f>
        <v/>
      </c>
      <c r="AC3455" s="0" t="str">
        <f aca="false">IF(AND(C3454=C3455,Y3454=Y3455-1),AA3454,"")</f>
        <v/>
      </c>
      <c r="AD3455" s="0" t="str">
        <f aca="false">IF(Y3455=1,"",IF(AND(Z3455=1,AB3455&lt;&gt;1),1,0))</f>
        <v/>
      </c>
      <c r="AE3455" s="0" t="str">
        <f aca="false">IF(Y3455=1,"",IF(AND(AA3455=1,AC3455&lt;&gt;1),1,0))</f>
        <v/>
      </c>
      <c r="AF3455" s="45" t="str">
        <f aca="false">IF(AND(E3455&gt;0,Y3455&lt;1,NOT(AND(C3456=C3455,Y3456=Y3455+1))),INDEX(DATAS,Y3455+1),"")</f>
        <v/>
      </c>
      <c r="AG3455" s="45" t="str">
        <f aca="false">IF(AND(AA3455=1,Y3455&lt;1),IF(AND(C3456=C3455,Y3456=Y3455+1),IF(AA3456=1,"",INDEX(DATAS,Y3455+1)),INDEX(DATAS,Y3455+1)),"")</f>
        <v/>
      </c>
    </row>
    <row r="3456" customFormat="false" ht="15" hidden="false" customHeight="false" outlineLevel="0" collapsed="false">
      <c r="A3456" s="45" t="n">
        <v>46309</v>
      </c>
      <c r="B3456" s="0" t="n">
        <v>13</v>
      </c>
      <c r="C3456" s="0" t="n">
        <v>7898</v>
      </c>
      <c r="E3456" s="0" t="n">
        <v>0</v>
      </c>
      <c r="F3456" s="39" t="s">
        <v>1559</v>
      </c>
      <c r="I3456" s="39" t="s">
        <v>136</v>
      </c>
      <c r="U3456" s="0" t="n">
        <v>102</v>
      </c>
      <c r="V3456" s="0" t="n">
        <v>0</v>
      </c>
      <c r="W3456" s="39" t="n">
        <f aca="false">IF(I3456="Male",0,1)</f>
        <v>1</v>
      </c>
      <c r="X3456" s="39" t="n">
        <f aca="false">IF(OR(I3456="DNB",I3456="Dry DNB"),1,0)</f>
        <v>0</v>
      </c>
      <c r="Y3456" s="39" t="n">
        <f aca="false">MATCH(A3456,DATAS,0)</f>
        <v>1</v>
      </c>
      <c r="Z3456" s="39" t="n">
        <f aca="false">IF(AND(E3456&gt;0,OR(AND(B3456&gt;=1,B3456&lt;=6),B3456=10)),1,0)</f>
        <v>0</v>
      </c>
      <c r="AA3456" s="39" t="n">
        <f aca="false">IF(AND(E3456&gt;0,B3456=10),1,0)</f>
        <v>0</v>
      </c>
      <c r="AB3456" s="0" t="str">
        <f aca="false">IF(AND(C3455=C3456,Y3455=Y3456-1),Z3455,"")</f>
        <v/>
      </c>
      <c r="AC3456" s="0" t="str">
        <f aca="false">IF(AND(C3455=C3456,Y3455=Y3456-1),AA3455,"")</f>
        <v/>
      </c>
      <c r="AD3456" s="0" t="str">
        <f aca="false">IF(Y3456=1,"",IF(AND(Z3456=1,AB3456&lt;&gt;1),1,0))</f>
        <v/>
      </c>
      <c r="AE3456" s="0" t="str">
        <f aca="false">IF(Y3456=1,"",IF(AND(AA3456=1,AC3456&lt;&gt;1),1,0))</f>
        <v/>
      </c>
      <c r="AF3456" s="45" t="str">
        <f aca="false">IF(AND(E3456&gt;0,Y3456&lt;1,NOT(AND(C3457=C3456,Y3457=Y3456+1))),INDEX(DATAS,Y3456+1),"")</f>
        <v/>
      </c>
      <c r="AG3456" s="45" t="str">
        <f aca="false">IF(AND(AA3456=1,Y3456&lt;1),IF(AND(C3457=C3456,Y3457=Y3456+1),IF(AA3457=1,"",INDEX(DATAS,Y3456+1)),INDEX(DATAS,Y3456+1)),"")</f>
        <v/>
      </c>
    </row>
    <row r="3457" customFormat="false" ht="15" hidden="false" customHeight="false" outlineLevel="0" collapsed="false">
      <c r="A3457" s="45" t="n">
        <v>46309</v>
      </c>
      <c r="B3457" s="0" t="n">
        <v>13</v>
      </c>
      <c r="C3457" s="0" t="n">
        <v>7899</v>
      </c>
      <c r="E3457" s="0" t="n">
        <v>0</v>
      </c>
      <c r="F3457" s="39" t="s">
        <v>1559</v>
      </c>
      <c r="I3457" s="39" t="s">
        <v>136</v>
      </c>
      <c r="U3457" s="0" t="n">
        <v>102</v>
      </c>
      <c r="V3457" s="0" t="n">
        <v>0</v>
      </c>
      <c r="W3457" s="39" t="n">
        <f aca="false">IF(I3457="Male",0,1)</f>
        <v>1</v>
      </c>
      <c r="X3457" s="39" t="n">
        <f aca="false">IF(OR(I3457="DNB",I3457="Dry DNB"),1,0)</f>
        <v>0</v>
      </c>
      <c r="Y3457" s="39" t="n">
        <f aca="false">MATCH(A3457,DATAS,0)</f>
        <v>1</v>
      </c>
      <c r="Z3457" s="39" t="n">
        <f aca="false">IF(AND(E3457&gt;0,OR(AND(B3457&gt;=1,B3457&lt;=6),B3457=10)),1,0)</f>
        <v>0</v>
      </c>
      <c r="AA3457" s="39" t="n">
        <f aca="false">IF(AND(E3457&gt;0,B3457=10),1,0)</f>
        <v>0</v>
      </c>
      <c r="AB3457" s="0" t="str">
        <f aca="false">IF(AND(C3456=C3457,Y3456=Y3457-1),Z3456,"")</f>
        <v/>
      </c>
      <c r="AC3457" s="0" t="str">
        <f aca="false">IF(AND(C3456=C3457,Y3456=Y3457-1),AA3456,"")</f>
        <v/>
      </c>
      <c r="AD3457" s="0" t="str">
        <f aca="false">IF(Y3457=1,"",IF(AND(Z3457=1,AB3457&lt;&gt;1),1,0))</f>
        <v/>
      </c>
      <c r="AE3457" s="0" t="str">
        <f aca="false">IF(Y3457=1,"",IF(AND(AA3457=1,AC3457&lt;&gt;1),1,0))</f>
        <v/>
      </c>
      <c r="AF3457" s="45" t="str">
        <f aca="false">IF(AND(E3457&gt;0,Y3457&lt;1,NOT(AND(C3458=C3457,Y3458=Y3457+1))),INDEX(DATAS,Y3457+1),"")</f>
        <v/>
      </c>
      <c r="AG3457" s="45" t="str">
        <f aca="false">IF(AND(AA3457=1,Y3457&lt;1),IF(AND(C3458=C3457,Y3458=Y3457+1),IF(AA3458=1,"",INDEX(DATAS,Y3457+1)),INDEX(DATAS,Y3457+1)),"")</f>
        <v/>
      </c>
    </row>
    <row r="3458" customFormat="false" ht="15" hidden="false" customHeight="false" outlineLevel="0" collapsed="false">
      <c r="A3458" s="45" t="n">
        <v>46309</v>
      </c>
      <c r="B3458" s="0" t="n">
        <v>13</v>
      </c>
      <c r="C3458" s="0" t="n">
        <v>7900</v>
      </c>
      <c r="E3458" s="0" t="n">
        <v>0</v>
      </c>
      <c r="F3458" s="39" t="s">
        <v>1559</v>
      </c>
      <c r="I3458" s="39" t="s">
        <v>136</v>
      </c>
      <c r="U3458" s="0" t="n">
        <v>102</v>
      </c>
      <c r="V3458" s="0" t="n">
        <v>0</v>
      </c>
      <c r="W3458" s="39" t="n">
        <f aca="false">IF(I3458="Male",0,1)</f>
        <v>1</v>
      </c>
      <c r="X3458" s="39" t="n">
        <f aca="false">IF(OR(I3458="DNB",I3458="Dry DNB"),1,0)</f>
        <v>0</v>
      </c>
      <c r="Y3458" s="39" t="n">
        <f aca="false">MATCH(A3458,DATAS,0)</f>
        <v>1</v>
      </c>
      <c r="Z3458" s="39" t="n">
        <f aca="false">IF(AND(E3458&gt;0,OR(AND(B3458&gt;=1,B3458&lt;=6),B3458=10)),1,0)</f>
        <v>0</v>
      </c>
      <c r="AA3458" s="39" t="n">
        <f aca="false">IF(AND(E3458&gt;0,B3458=10),1,0)</f>
        <v>0</v>
      </c>
      <c r="AB3458" s="0" t="str">
        <f aca="false">IF(AND(C3457=C3458,Y3457=Y3458-1),Z3457,"")</f>
        <v/>
      </c>
      <c r="AC3458" s="0" t="str">
        <f aca="false">IF(AND(C3457=C3458,Y3457=Y3458-1),AA3457,"")</f>
        <v/>
      </c>
      <c r="AD3458" s="0" t="str">
        <f aca="false">IF(Y3458=1,"",IF(AND(Z3458=1,AB3458&lt;&gt;1),1,0))</f>
        <v/>
      </c>
      <c r="AE3458" s="0" t="str">
        <f aca="false">IF(Y3458=1,"",IF(AND(AA3458=1,AC3458&lt;&gt;1),1,0))</f>
        <v/>
      </c>
      <c r="AF3458" s="45" t="str">
        <f aca="false">IF(AND(E3458&gt;0,Y3458&lt;1,NOT(AND(C3459=C3458,Y3459=Y3458+1))),INDEX(DATAS,Y3458+1),"")</f>
        <v/>
      </c>
      <c r="AG3458" s="45" t="str">
        <f aca="false">IF(AND(AA3458=1,Y3458&lt;1),IF(AND(C3459=C3458,Y3459=Y3458+1),IF(AA3459=1,"",INDEX(DATAS,Y3458+1)),INDEX(DATAS,Y3458+1)),"")</f>
        <v/>
      </c>
    </row>
    <row r="3459" customFormat="false" ht="15" hidden="false" customHeight="false" outlineLevel="0" collapsed="false">
      <c r="A3459" s="45" t="n">
        <v>46309</v>
      </c>
      <c r="B3459" s="0" t="n">
        <v>13</v>
      </c>
      <c r="C3459" s="0" t="n">
        <v>7901</v>
      </c>
      <c r="E3459" s="0" t="n">
        <v>0</v>
      </c>
      <c r="F3459" s="39" t="s">
        <v>1559</v>
      </c>
      <c r="I3459" s="39" t="s">
        <v>136</v>
      </c>
      <c r="U3459" s="0" t="n">
        <v>102</v>
      </c>
      <c r="V3459" s="0" t="n">
        <v>0</v>
      </c>
      <c r="W3459" s="39" t="n">
        <f aca="false">IF(I3459="Male",0,1)</f>
        <v>1</v>
      </c>
      <c r="X3459" s="39" t="n">
        <f aca="false">IF(OR(I3459="DNB",I3459="Dry DNB"),1,0)</f>
        <v>0</v>
      </c>
      <c r="Y3459" s="39" t="n">
        <f aca="false">MATCH(A3459,DATAS,0)</f>
        <v>1</v>
      </c>
      <c r="Z3459" s="39" t="n">
        <f aca="false">IF(AND(E3459&gt;0,OR(AND(B3459&gt;=1,B3459&lt;=6),B3459=10)),1,0)</f>
        <v>0</v>
      </c>
      <c r="AA3459" s="39" t="n">
        <f aca="false">IF(AND(E3459&gt;0,B3459=10),1,0)</f>
        <v>0</v>
      </c>
      <c r="AB3459" s="0" t="str">
        <f aca="false">IF(AND(C3458=C3459,Y3458=Y3459-1),Z3458,"")</f>
        <v/>
      </c>
      <c r="AC3459" s="0" t="str">
        <f aca="false">IF(AND(C3458=C3459,Y3458=Y3459-1),AA3458,"")</f>
        <v/>
      </c>
      <c r="AD3459" s="0" t="str">
        <f aca="false">IF(Y3459=1,"",IF(AND(Z3459=1,AB3459&lt;&gt;1),1,0))</f>
        <v/>
      </c>
      <c r="AE3459" s="0" t="str">
        <f aca="false">IF(Y3459=1,"",IF(AND(AA3459=1,AC3459&lt;&gt;1),1,0))</f>
        <v/>
      </c>
      <c r="AF3459" s="45" t="str">
        <f aca="false">IF(AND(E3459&gt;0,Y3459&lt;1,NOT(AND(C3460=C3459,Y3460=Y3459+1))),INDEX(DATAS,Y3459+1),"")</f>
        <v/>
      </c>
      <c r="AG3459" s="45" t="str">
        <f aca="false">IF(AND(AA3459=1,Y3459&lt;1),IF(AND(C3460=C3459,Y3460=Y3459+1),IF(AA3460=1,"",INDEX(DATAS,Y3459+1)),INDEX(DATAS,Y3459+1)),"")</f>
        <v/>
      </c>
    </row>
    <row r="3460" customFormat="false" ht="15" hidden="false" customHeight="false" outlineLevel="0" collapsed="false">
      <c r="A3460" s="45" t="n">
        <v>46309</v>
      </c>
      <c r="B3460" s="0" t="n">
        <v>13</v>
      </c>
      <c r="C3460" s="0" t="n">
        <v>7902</v>
      </c>
      <c r="E3460" s="0" t="n">
        <v>0</v>
      </c>
      <c r="F3460" s="39" t="s">
        <v>1559</v>
      </c>
      <c r="I3460" s="39" t="s">
        <v>136</v>
      </c>
      <c r="U3460" s="0" t="n">
        <v>102</v>
      </c>
      <c r="V3460" s="0" t="n">
        <v>0</v>
      </c>
      <c r="W3460" s="39" t="n">
        <f aca="false">IF(I3460="Male",0,1)</f>
        <v>1</v>
      </c>
      <c r="X3460" s="39" t="n">
        <f aca="false">IF(OR(I3460="DNB",I3460="Dry DNB"),1,0)</f>
        <v>0</v>
      </c>
      <c r="Y3460" s="39" t="n">
        <f aca="false">MATCH(A3460,DATAS,0)</f>
        <v>1</v>
      </c>
      <c r="Z3460" s="39" t="n">
        <f aca="false">IF(AND(E3460&gt;0,OR(AND(B3460&gt;=1,B3460&lt;=6),B3460=10)),1,0)</f>
        <v>0</v>
      </c>
      <c r="AA3460" s="39" t="n">
        <f aca="false">IF(AND(E3460&gt;0,B3460=10),1,0)</f>
        <v>0</v>
      </c>
      <c r="AB3460" s="0" t="str">
        <f aca="false">IF(AND(C3459=C3460,Y3459=Y3460-1),Z3459,"")</f>
        <v/>
      </c>
      <c r="AC3460" s="0" t="str">
        <f aca="false">IF(AND(C3459=C3460,Y3459=Y3460-1),AA3459,"")</f>
        <v/>
      </c>
      <c r="AD3460" s="0" t="str">
        <f aca="false">IF(Y3460=1,"",IF(AND(Z3460=1,AB3460&lt;&gt;1),1,0))</f>
        <v/>
      </c>
      <c r="AE3460" s="0" t="str">
        <f aca="false">IF(Y3460=1,"",IF(AND(AA3460=1,AC3460&lt;&gt;1),1,0))</f>
        <v/>
      </c>
      <c r="AF3460" s="45" t="str">
        <f aca="false">IF(AND(E3460&gt;0,Y3460&lt;1,NOT(AND(C3461=C3460,Y3461=Y3460+1))),INDEX(DATAS,Y3460+1),"")</f>
        <v/>
      </c>
      <c r="AG3460" s="45" t="str">
        <f aca="false">IF(AND(AA3460=1,Y3460&lt;1),IF(AND(C3461=C3460,Y3461=Y3460+1),IF(AA3461=1,"",INDEX(DATAS,Y3460+1)),INDEX(DATAS,Y3460+1)),"")</f>
        <v/>
      </c>
    </row>
    <row r="3461" customFormat="false" ht="15" hidden="false" customHeight="false" outlineLevel="0" collapsed="false">
      <c r="A3461" s="45" t="n">
        <v>46309</v>
      </c>
      <c r="B3461" s="0" t="n">
        <v>13</v>
      </c>
      <c r="C3461" s="0" t="n">
        <v>7903</v>
      </c>
      <c r="E3461" s="0" t="n">
        <v>0</v>
      </c>
      <c r="F3461" s="39" t="s">
        <v>1560</v>
      </c>
      <c r="I3461" s="39" t="s">
        <v>136</v>
      </c>
      <c r="U3461" s="0" t="n">
        <v>101</v>
      </c>
      <c r="V3461" s="0" t="n">
        <v>0</v>
      </c>
      <c r="W3461" s="39" t="n">
        <f aca="false">IF(I3461="Male",0,1)</f>
        <v>1</v>
      </c>
      <c r="X3461" s="39" t="n">
        <f aca="false">IF(OR(I3461="DNB",I3461="Dry DNB"),1,0)</f>
        <v>0</v>
      </c>
      <c r="Y3461" s="39" t="n">
        <f aca="false">MATCH(A3461,DATAS,0)</f>
        <v>1</v>
      </c>
      <c r="Z3461" s="39" t="n">
        <f aca="false">IF(AND(E3461&gt;0,OR(AND(B3461&gt;=1,B3461&lt;=6),B3461=10)),1,0)</f>
        <v>0</v>
      </c>
      <c r="AA3461" s="39" t="n">
        <f aca="false">IF(AND(E3461&gt;0,B3461=10),1,0)</f>
        <v>0</v>
      </c>
      <c r="AB3461" s="0" t="str">
        <f aca="false">IF(AND(C3460=C3461,Y3460=Y3461-1),Z3460,"")</f>
        <v/>
      </c>
      <c r="AC3461" s="0" t="str">
        <f aca="false">IF(AND(C3460=C3461,Y3460=Y3461-1),AA3460,"")</f>
        <v/>
      </c>
      <c r="AD3461" s="0" t="str">
        <f aca="false">IF(Y3461=1,"",IF(AND(Z3461=1,AB3461&lt;&gt;1),1,0))</f>
        <v/>
      </c>
      <c r="AE3461" s="0" t="str">
        <f aca="false">IF(Y3461=1,"",IF(AND(AA3461=1,AC3461&lt;&gt;1),1,0))</f>
        <v/>
      </c>
      <c r="AF3461" s="45" t="str">
        <f aca="false">IF(AND(E3461&gt;0,Y3461&lt;1,NOT(AND(C3462=C3461,Y3462=Y3461+1))),INDEX(DATAS,Y3461+1),"")</f>
        <v/>
      </c>
      <c r="AG3461" s="45" t="str">
        <f aca="false">IF(AND(AA3461=1,Y3461&lt;1),IF(AND(C3462=C3461,Y3462=Y3461+1),IF(AA3462=1,"",INDEX(DATAS,Y3461+1)),INDEX(DATAS,Y3461+1)),"")</f>
        <v/>
      </c>
    </row>
    <row r="3462" customFormat="false" ht="15" hidden="false" customHeight="false" outlineLevel="0" collapsed="false">
      <c r="A3462" s="45" t="n">
        <v>46309</v>
      </c>
      <c r="B3462" s="0" t="n">
        <v>13</v>
      </c>
      <c r="C3462" s="0" t="n">
        <v>7904</v>
      </c>
      <c r="E3462" s="0" t="n">
        <v>0</v>
      </c>
      <c r="F3462" s="39" t="s">
        <v>1560</v>
      </c>
      <c r="I3462" s="39" t="s">
        <v>136</v>
      </c>
      <c r="U3462" s="0" t="n">
        <v>101</v>
      </c>
      <c r="V3462" s="0" t="n">
        <v>0</v>
      </c>
      <c r="W3462" s="39" t="n">
        <f aca="false">IF(I3462="Male",0,1)</f>
        <v>1</v>
      </c>
      <c r="X3462" s="39" t="n">
        <f aca="false">IF(OR(I3462="DNB",I3462="Dry DNB"),1,0)</f>
        <v>0</v>
      </c>
      <c r="Y3462" s="39" t="n">
        <f aca="false">MATCH(A3462,DATAS,0)</f>
        <v>1</v>
      </c>
      <c r="Z3462" s="39" t="n">
        <f aca="false">IF(AND(E3462&gt;0,OR(AND(B3462&gt;=1,B3462&lt;=6),B3462=10)),1,0)</f>
        <v>0</v>
      </c>
      <c r="AA3462" s="39" t="n">
        <f aca="false">IF(AND(E3462&gt;0,B3462=10),1,0)</f>
        <v>0</v>
      </c>
      <c r="AB3462" s="0" t="str">
        <f aca="false">IF(AND(C3461=C3462,Y3461=Y3462-1),Z3461,"")</f>
        <v/>
      </c>
      <c r="AC3462" s="0" t="str">
        <f aca="false">IF(AND(C3461=C3462,Y3461=Y3462-1),AA3461,"")</f>
        <v/>
      </c>
      <c r="AD3462" s="0" t="str">
        <f aca="false">IF(Y3462=1,"",IF(AND(Z3462=1,AB3462&lt;&gt;1),1,0))</f>
        <v/>
      </c>
      <c r="AE3462" s="0" t="str">
        <f aca="false">IF(Y3462=1,"",IF(AND(AA3462=1,AC3462&lt;&gt;1),1,0))</f>
        <v/>
      </c>
      <c r="AF3462" s="45" t="str">
        <f aca="false">IF(AND(E3462&gt;0,Y3462&lt;1,NOT(AND(C3463=C3462,Y3463=Y3462+1))),INDEX(DATAS,Y3462+1),"")</f>
        <v/>
      </c>
      <c r="AG3462" s="45" t="str">
        <f aca="false">IF(AND(AA3462=1,Y3462&lt;1),IF(AND(C3463=C3462,Y3463=Y3462+1),IF(AA3463=1,"",INDEX(DATAS,Y3462+1)),INDEX(DATAS,Y3462+1)),"")</f>
        <v/>
      </c>
    </row>
    <row r="3463" customFormat="false" ht="15" hidden="false" customHeight="false" outlineLevel="0" collapsed="false">
      <c r="A3463" s="45" t="n">
        <v>46309</v>
      </c>
      <c r="B3463" s="0" t="n">
        <v>13</v>
      </c>
      <c r="C3463" s="0" t="n">
        <v>7905</v>
      </c>
      <c r="E3463" s="0" t="n">
        <v>0</v>
      </c>
      <c r="F3463" s="39" t="s">
        <v>1560</v>
      </c>
      <c r="I3463" s="39" t="s">
        <v>136</v>
      </c>
      <c r="U3463" s="0" t="n">
        <v>101</v>
      </c>
      <c r="V3463" s="0" t="n">
        <v>0</v>
      </c>
      <c r="W3463" s="39" t="n">
        <f aca="false">IF(I3463="Male",0,1)</f>
        <v>1</v>
      </c>
      <c r="X3463" s="39" t="n">
        <f aca="false">IF(OR(I3463="DNB",I3463="Dry DNB"),1,0)</f>
        <v>0</v>
      </c>
      <c r="Y3463" s="39" t="n">
        <f aca="false">MATCH(A3463,DATAS,0)</f>
        <v>1</v>
      </c>
      <c r="Z3463" s="39" t="n">
        <f aca="false">IF(AND(E3463&gt;0,OR(AND(B3463&gt;=1,B3463&lt;=6),B3463=10)),1,0)</f>
        <v>0</v>
      </c>
      <c r="AA3463" s="39" t="n">
        <f aca="false">IF(AND(E3463&gt;0,B3463=10),1,0)</f>
        <v>0</v>
      </c>
      <c r="AB3463" s="0" t="str">
        <f aca="false">IF(AND(C3462=C3463,Y3462=Y3463-1),Z3462,"")</f>
        <v/>
      </c>
      <c r="AC3463" s="0" t="str">
        <f aca="false">IF(AND(C3462=C3463,Y3462=Y3463-1),AA3462,"")</f>
        <v/>
      </c>
      <c r="AD3463" s="0" t="str">
        <f aca="false">IF(Y3463=1,"",IF(AND(Z3463=1,AB3463&lt;&gt;1),1,0))</f>
        <v/>
      </c>
      <c r="AE3463" s="0" t="str">
        <f aca="false">IF(Y3463=1,"",IF(AND(AA3463=1,AC3463&lt;&gt;1),1,0))</f>
        <v/>
      </c>
      <c r="AF3463" s="45" t="str">
        <f aca="false">IF(AND(E3463&gt;0,Y3463&lt;1,NOT(AND(C3464=C3463,Y3464=Y3463+1))),INDEX(DATAS,Y3463+1),"")</f>
        <v/>
      </c>
      <c r="AG3463" s="45" t="str">
        <f aca="false">IF(AND(AA3463=1,Y3463&lt;1),IF(AND(C3464=C3463,Y3464=Y3463+1),IF(AA3464=1,"",INDEX(DATAS,Y3463+1)),INDEX(DATAS,Y3463+1)),"")</f>
        <v/>
      </c>
    </row>
    <row r="3464" customFormat="false" ht="15" hidden="false" customHeight="false" outlineLevel="0" collapsed="false">
      <c r="A3464" s="45" t="n">
        <v>46309</v>
      </c>
      <c r="B3464" s="0" t="n">
        <v>13</v>
      </c>
      <c r="C3464" s="0" t="n">
        <v>7906</v>
      </c>
      <c r="E3464" s="0" t="n">
        <v>0</v>
      </c>
      <c r="F3464" s="39" t="s">
        <v>1560</v>
      </c>
      <c r="I3464" s="39" t="s">
        <v>136</v>
      </c>
      <c r="U3464" s="0" t="n">
        <v>101</v>
      </c>
      <c r="V3464" s="0" t="n">
        <v>0</v>
      </c>
      <c r="W3464" s="39" t="n">
        <f aca="false">IF(I3464="Male",0,1)</f>
        <v>1</v>
      </c>
      <c r="X3464" s="39" t="n">
        <f aca="false">IF(OR(I3464="DNB",I3464="Dry DNB"),1,0)</f>
        <v>0</v>
      </c>
      <c r="Y3464" s="39" t="n">
        <f aca="false">MATCH(A3464,DATAS,0)</f>
        <v>1</v>
      </c>
      <c r="Z3464" s="39" t="n">
        <f aca="false">IF(AND(E3464&gt;0,OR(AND(B3464&gt;=1,B3464&lt;=6),B3464=10)),1,0)</f>
        <v>0</v>
      </c>
      <c r="AA3464" s="39" t="n">
        <f aca="false">IF(AND(E3464&gt;0,B3464=10),1,0)</f>
        <v>0</v>
      </c>
      <c r="AB3464" s="0" t="str">
        <f aca="false">IF(AND(C3463=C3464,Y3463=Y3464-1),Z3463,"")</f>
        <v/>
      </c>
      <c r="AC3464" s="0" t="str">
        <f aca="false">IF(AND(C3463=C3464,Y3463=Y3464-1),AA3463,"")</f>
        <v/>
      </c>
      <c r="AD3464" s="0" t="str">
        <f aca="false">IF(Y3464=1,"",IF(AND(Z3464=1,AB3464&lt;&gt;1),1,0))</f>
        <v/>
      </c>
      <c r="AE3464" s="0" t="str">
        <f aca="false">IF(Y3464=1,"",IF(AND(AA3464=1,AC3464&lt;&gt;1),1,0))</f>
        <v/>
      </c>
      <c r="AF3464" s="45" t="str">
        <f aca="false">IF(AND(E3464&gt;0,Y3464&lt;1,NOT(AND(C3465=C3464,Y3465=Y3464+1))),INDEX(DATAS,Y3464+1),"")</f>
        <v/>
      </c>
      <c r="AG3464" s="45" t="str">
        <f aca="false">IF(AND(AA3464=1,Y3464&lt;1),IF(AND(C3465=C3464,Y3465=Y3464+1),IF(AA3465=1,"",INDEX(DATAS,Y3464+1)),INDEX(DATAS,Y3464+1)),"")</f>
        <v/>
      </c>
    </row>
    <row r="3465" customFormat="false" ht="15" hidden="false" customHeight="false" outlineLevel="0" collapsed="false">
      <c r="A3465" s="45" t="n">
        <v>46309</v>
      </c>
      <c r="B3465" s="0" t="n">
        <v>13</v>
      </c>
      <c r="C3465" s="0" t="n">
        <v>7909</v>
      </c>
      <c r="E3465" s="0" t="n">
        <v>0</v>
      </c>
      <c r="F3465" s="39" t="s">
        <v>1561</v>
      </c>
      <c r="I3465" s="39" t="s">
        <v>136</v>
      </c>
      <c r="U3465" s="0" t="n">
        <v>100</v>
      </c>
      <c r="V3465" s="0" t="n">
        <v>0</v>
      </c>
      <c r="W3465" s="39" t="n">
        <f aca="false">IF(I3465="Male",0,1)</f>
        <v>1</v>
      </c>
      <c r="X3465" s="39" t="n">
        <f aca="false">IF(OR(I3465="DNB",I3465="Dry DNB"),1,0)</f>
        <v>0</v>
      </c>
      <c r="Y3465" s="39" t="n">
        <f aca="false">MATCH(A3465,DATAS,0)</f>
        <v>1</v>
      </c>
      <c r="Z3465" s="39" t="n">
        <f aca="false">IF(AND(E3465&gt;0,OR(AND(B3465&gt;=1,B3465&lt;=6),B3465=10)),1,0)</f>
        <v>0</v>
      </c>
      <c r="AA3465" s="39" t="n">
        <f aca="false">IF(AND(E3465&gt;0,B3465=10),1,0)</f>
        <v>0</v>
      </c>
      <c r="AB3465" s="0" t="str">
        <f aca="false">IF(AND(C3464=C3465,Y3464=Y3465-1),Z3464,"")</f>
        <v/>
      </c>
      <c r="AC3465" s="0" t="str">
        <f aca="false">IF(AND(C3464=C3465,Y3464=Y3465-1),AA3464,"")</f>
        <v/>
      </c>
      <c r="AD3465" s="0" t="str">
        <f aca="false">IF(Y3465=1,"",IF(AND(Z3465=1,AB3465&lt;&gt;1),1,0))</f>
        <v/>
      </c>
      <c r="AE3465" s="0" t="str">
        <f aca="false">IF(Y3465=1,"",IF(AND(AA3465=1,AC3465&lt;&gt;1),1,0))</f>
        <v/>
      </c>
      <c r="AF3465" s="45" t="str">
        <f aca="false">IF(AND(E3465&gt;0,Y3465&lt;1,NOT(AND(C3466=C3465,Y3466=Y3465+1))),INDEX(DATAS,Y3465+1),"")</f>
        <v/>
      </c>
      <c r="AG3465" s="45" t="str">
        <f aca="false">IF(AND(AA3465=1,Y3465&lt;1),IF(AND(C3466=C3465,Y3466=Y3465+1),IF(AA3466=1,"",INDEX(DATAS,Y3465+1)),INDEX(DATAS,Y3465+1)),"")</f>
        <v/>
      </c>
    </row>
    <row r="3466" customFormat="false" ht="15" hidden="false" customHeight="false" outlineLevel="0" collapsed="false">
      <c r="A3466" s="45" t="n">
        <v>46309</v>
      </c>
      <c r="B3466" s="0" t="n">
        <v>13</v>
      </c>
      <c r="C3466" s="0" t="n">
        <v>7910</v>
      </c>
      <c r="E3466" s="0" t="n">
        <v>0</v>
      </c>
      <c r="F3466" s="39" t="s">
        <v>1561</v>
      </c>
      <c r="I3466" s="39" t="s">
        <v>136</v>
      </c>
      <c r="U3466" s="0" t="n">
        <v>100</v>
      </c>
      <c r="V3466" s="0" t="n">
        <v>0</v>
      </c>
      <c r="W3466" s="39" t="n">
        <f aca="false">IF(I3466="Male",0,1)</f>
        <v>1</v>
      </c>
      <c r="X3466" s="39" t="n">
        <f aca="false">IF(OR(I3466="DNB",I3466="Dry DNB"),1,0)</f>
        <v>0</v>
      </c>
      <c r="Y3466" s="39" t="n">
        <f aca="false">MATCH(A3466,DATAS,0)</f>
        <v>1</v>
      </c>
      <c r="Z3466" s="39" t="n">
        <f aca="false">IF(AND(E3466&gt;0,OR(AND(B3466&gt;=1,B3466&lt;=6),B3466=10)),1,0)</f>
        <v>0</v>
      </c>
      <c r="AA3466" s="39" t="n">
        <f aca="false">IF(AND(E3466&gt;0,B3466=10),1,0)</f>
        <v>0</v>
      </c>
      <c r="AB3466" s="0" t="str">
        <f aca="false">IF(AND(C3465=C3466,Y3465=Y3466-1),Z3465,"")</f>
        <v/>
      </c>
      <c r="AC3466" s="0" t="str">
        <f aca="false">IF(AND(C3465=C3466,Y3465=Y3466-1),AA3465,"")</f>
        <v/>
      </c>
      <c r="AD3466" s="0" t="str">
        <f aca="false">IF(Y3466=1,"",IF(AND(Z3466=1,AB3466&lt;&gt;1),1,0))</f>
        <v/>
      </c>
      <c r="AE3466" s="0" t="str">
        <f aca="false">IF(Y3466=1,"",IF(AND(AA3466=1,AC3466&lt;&gt;1),1,0))</f>
        <v/>
      </c>
      <c r="AF3466" s="45" t="str">
        <f aca="false">IF(AND(E3466&gt;0,Y3466&lt;1,NOT(AND(C3467=C3466,Y3467=Y3466+1))),INDEX(DATAS,Y3466+1),"")</f>
        <v/>
      </c>
      <c r="AG3466" s="45" t="str">
        <f aca="false">IF(AND(AA3466=1,Y3466&lt;1),IF(AND(C3467=C3466,Y3467=Y3466+1),IF(AA3467=1,"",INDEX(DATAS,Y3466+1)),INDEX(DATAS,Y3466+1)),"")</f>
        <v/>
      </c>
    </row>
    <row r="3467" customFormat="false" ht="15" hidden="false" customHeight="false" outlineLevel="0" collapsed="false">
      <c r="A3467" s="45" t="n">
        <v>46309</v>
      </c>
      <c r="B3467" s="0" t="n">
        <v>13</v>
      </c>
      <c r="C3467" s="0" t="n">
        <v>7911</v>
      </c>
      <c r="E3467" s="0" t="n">
        <v>0</v>
      </c>
      <c r="F3467" s="39" t="s">
        <v>1561</v>
      </c>
      <c r="I3467" s="39" t="s">
        <v>136</v>
      </c>
      <c r="U3467" s="0" t="n">
        <v>100</v>
      </c>
      <c r="V3467" s="0" t="n">
        <v>0</v>
      </c>
      <c r="W3467" s="39" t="n">
        <f aca="false">IF(I3467="Male",0,1)</f>
        <v>1</v>
      </c>
      <c r="X3467" s="39" t="n">
        <f aca="false">IF(OR(I3467="DNB",I3467="Dry DNB"),1,0)</f>
        <v>0</v>
      </c>
      <c r="Y3467" s="39" t="n">
        <f aca="false">MATCH(A3467,DATAS,0)</f>
        <v>1</v>
      </c>
      <c r="Z3467" s="39" t="n">
        <f aca="false">IF(AND(E3467&gt;0,OR(AND(B3467&gt;=1,B3467&lt;=6),B3467=10)),1,0)</f>
        <v>0</v>
      </c>
      <c r="AA3467" s="39" t="n">
        <f aca="false">IF(AND(E3467&gt;0,B3467=10),1,0)</f>
        <v>0</v>
      </c>
      <c r="AB3467" s="0" t="str">
        <f aca="false">IF(AND(C3466=C3467,Y3466=Y3467-1),Z3466,"")</f>
        <v/>
      </c>
      <c r="AC3467" s="0" t="str">
        <f aca="false">IF(AND(C3466=C3467,Y3466=Y3467-1),AA3466,"")</f>
        <v/>
      </c>
      <c r="AD3467" s="0" t="str">
        <f aca="false">IF(Y3467=1,"",IF(AND(Z3467=1,AB3467&lt;&gt;1),1,0))</f>
        <v/>
      </c>
      <c r="AE3467" s="0" t="str">
        <f aca="false">IF(Y3467=1,"",IF(AND(AA3467=1,AC3467&lt;&gt;1),1,0))</f>
        <v/>
      </c>
      <c r="AF3467" s="45" t="str">
        <f aca="false">IF(AND(E3467&gt;0,Y3467&lt;1,NOT(AND(C3468=C3467,Y3468=Y3467+1))),INDEX(DATAS,Y3467+1),"")</f>
        <v/>
      </c>
      <c r="AG3467" s="45" t="str">
        <f aca="false">IF(AND(AA3467=1,Y3467&lt;1),IF(AND(C3468=C3467,Y3468=Y3467+1),IF(AA3468=1,"",INDEX(DATAS,Y3467+1)),INDEX(DATAS,Y3467+1)),"")</f>
        <v/>
      </c>
    </row>
    <row r="3468" customFormat="false" ht="15" hidden="false" customHeight="false" outlineLevel="0" collapsed="false">
      <c r="A3468" s="45" t="n">
        <v>46309</v>
      </c>
      <c r="B3468" s="0" t="n">
        <v>13</v>
      </c>
      <c r="C3468" s="0" t="n">
        <v>7912</v>
      </c>
      <c r="E3468" s="0" t="n">
        <v>0</v>
      </c>
      <c r="F3468" s="39" t="s">
        <v>1561</v>
      </c>
      <c r="I3468" s="39" t="s">
        <v>136</v>
      </c>
      <c r="U3468" s="0" t="n">
        <v>100</v>
      </c>
      <c r="V3468" s="0" t="n">
        <v>0</v>
      </c>
      <c r="W3468" s="39" t="n">
        <f aca="false">IF(I3468="Male",0,1)</f>
        <v>1</v>
      </c>
      <c r="X3468" s="39" t="n">
        <f aca="false">IF(OR(I3468="DNB",I3468="Dry DNB"),1,0)</f>
        <v>0</v>
      </c>
      <c r="Y3468" s="39" t="n">
        <f aca="false">MATCH(A3468,DATAS,0)</f>
        <v>1</v>
      </c>
      <c r="Z3468" s="39" t="n">
        <f aca="false">IF(AND(E3468&gt;0,OR(AND(B3468&gt;=1,B3468&lt;=6),B3468=10)),1,0)</f>
        <v>0</v>
      </c>
      <c r="AA3468" s="39" t="n">
        <f aca="false">IF(AND(E3468&gt;0,B3468=10),1,0)</f>
        <v>0</v>
      </c>
      <c r="AB3468" s="0" t="str">
        <f aca="false">IF(AND(C3467=C3468,Y3467=Y3468-1),Z3467,"")</f>
        <v/>
      </c>
      <c r="AC3468" s="0" t="str">
        <f aca="false">IF(AND(C3467=C3468,Y3467=Y3468-1),AA3467,"")</f>
        <v/>
      </c>
      <c r="AD3468" s="0" t="str">
        <f aca="false">IF(Y3468=1,"",IF(AND(Z3468=1,AB3468&lt;&gt;1),1,0))</f>
        <v/>
      </c>
      <c r="AE3468" s="0" t="str">
        <f aca="false">IF(Y3468=1,"",IF(AND(AA3468=1,AC3468&lt;&gt;1),1,0))</f>
        <v/>
      </c>
      <c r="AF3468" s="45" t="str">
        <f aca="false">IF(AND(E3468&gt;0,Y3468&lt;1,NOT(AND(C3469=C3468,Y3469=Y3468+1))),INDEX(DATAS,Y3468+1),"")</f>
        <v/>
      </c>
      <c r="AG3468" s="45" t="str">
        <f aca="false">IF(AND(AA3468=1,Y3468&lt;1),IF(AND(C3469=C3468,Y3469=Y3468+1),IF(AA3469=1,"",INDEX(DATAS,Y3468+1)),INDEX(DATAS,Y3468+1)),"")</f>
        <v/>
      </c>
    </row>
    <row r="3469" customFormat="false" ht="15" hidden="false" customHeight="false" outlineLevel="0" collapsed="false">
      <c r="A3469" s="45" t="n">
        <v>46309</v>
      </c>
      <c r="B3469" s="0" t="n">
        <v>13</v>
      </c>
      <c r="C3469" s="0" t="n">
        <v>7913</v>
      </c>
      <c r="E3469" s="0" t="n">
        <v>0</v>
      </c>
      <c r="F3469" s="39" t="s">
        <v>1561</v>
      </c>
      <c r="I3469" s="39" t="s">
        <v>136</v>
      </c>
      <c r="U3469" s="0" t="n">
        <v>100</v>
      </c>
      <c r="V3469" s="0" t="n">
        <v>0</v>
      </c>
      <c r="W3469" s="39" t="n">
        <f aca="false">IF(I3469="Male",0,1)</f>
        <v>1</v>
      </c>
      <c r="X3469" s="39" t="n">
        <f aca="false">IF(OR(I3469="DNB",I3469="Dry DNB"),1,0)</f>
        <v>0</v>
      </c>
      <c r="Y3469" s="39" t="n">
        <f aca="false">MATCH(A3469,DATAS,0)</f>
        <v>1</v>
      </c>
      <c r="Z3469" s="39" t="n">
        <f aca="false">IF(AND(E3469&gt;0,OR(AND(B3469&gt;=1,B3469&lt;=6),B3469=10)),1,0)</f>
        <v>0</v>
      </c>
      <c r="AA3469" s="39" t="n">
        <f aca="false">IF(AND(E3469&gt;0,B3469=10),1,0)</f>
        <v>0</v>
      </c>
      <c r="AB3469" s="0" t="str">
        <f aca="false">IF(AND(C3468=C3469,Y3468=Y3469-1),Z3468,"")</f>
        <v/>
      </c>
      <c r="AC3469" s="0" t="str">
        <f aca="false">IF(AND(C3468=C3469,Y3468=Y3469-1),AA3468,"")</f>
        <v/>
      </c>
      <c r="AD3469" s="0" t="str">
        <f aca="false">IF(Y3469=1,"",IF(AND(Z3469=1,AB3469&lt;&gt;1),1,0))</f>
        <v/>
      </c>
      <c r="AE3469" s="0" t="str">
        <f aca="false">IF(Y3469=1,"",IF(AND(AA3469=1,AC3469&lt;&gt;1),1,0))</f>
        <v/>
      </c>
      <c r="AF3469" s="45" t="str">
        <f aca="false">IF(AND(E3469&gt;0,Y3469&lt;1,NOT(AND(C3470=C3469,Y3470=Y3469+1))),INDEX(DATAS,Y3469+1),"")</f>
        <v/>
      </c>
      <c r="AG3469" s="45" t="str">
        <f aca="false">IF(AND(AA3469=1,Y3469&lt;1),IF(AND(C3470=C3469,Y3470=Y3469+1),IF(AA3470=1,"",INDEX(DATAS,Y3469+1)),INDEX(DATAS,Y3469+1)),"")</f>
        <v/>
      </c>
    </row>
    <row r="3470" customFormat="false" ht="15" hidden="false" customHeight="false" outlineLevel="0" collapsed="false">
      <c r="A3470" s="45" t="n">
        <v>46309</v>
      </c>
      <c r="B3470" s="0" t="n">
        <v>13</v>
      </c>
      <c r="C3470" s="0" t="n">
        <v>7914</v>
      </c>
      <c r="E3470" s="0" t="n">
        <v>0</v>
      </c>
      <c r="F3470" s="39" t="s">
        <v>1561</v>
      </c>
      <c r="I3470" s="39" t="s">
        <v>136</v>
      </c>
      <c r="U3470" s="0" t="n">
        <v>100</v>
      </c>
      <c r="V3470" s="0" t="n">
        <v>0</v>
      </c>
      <c r="W3470" s="39" t="n">
        <f aca="false">IF(I3470="Male",0,1)</f>
        <v>1</v>
      </c>
      <c r="X3470" s="39" t="n">
        <f aca="false">IF(OR(I3470="DNB",I3470="Dry DNB"),1,0)</f>
        <v>0</v>
      </c>
      <c r="Y3470" s="39" t="n">
        <f aca="false">MATCH(A3470,DATAS,0)</f>
        <v>1</v>
      </c>
      <c r="Z3470" s="39" t="n">
        <f aca="false">IF(AND(E3470&gt;0,OR(AND(B3470&gt;=1,B3470&lt;=6),B3470=10)),1,0)</f>
        <v>0</v>
      </c>
      <c r="AA3470" s="39" t="n">
        <f aca="false">IF(AND(E3470&gt;0,B3470=10),1,0)</f>
        <v>0</v>
      </c>
      <c r="AB3470" s="0" t="str">
        <f aca="false">IF(AND(C3469=C3470,Y3469=Y3470-1),Z3469,"")</f>
        <v/>
      </c>
      <c r="AC3470" s="0" t="str">
        <f aca="false">IF(AND(C3469=C3470,Y3469=Y3470-1),AA3469,"")</f>
        <v/>
      </c>
      <c r="AD3470" s="0" t="str">
        <f aca="false">IF(Y3470=1,"",IF(AND(Z3470=1,AB3470&lt;&gt;1),1,0))</f>
        <v/>
      </c>
      <c r="AE3470" s="0" t="str">
        <f aca="false">IF(Y3470=1,"",IF(AND(AA3470=1,AC3470&lt;&gt;1),1,0))</f>
        <v/>
      </c>
      <c r="AF3470" s="45" t="str">
        <f aca="false">IF(AND(E3470&gt;0,Y3470&lt;1,NOT(AND(C3471=C3470,Y3471=Y3470+1))),INDEX(DATAS,Y3470+1),"")</f>
        <v/>
      </c>
      <c r="AG3470" s="45" t="str">
        <f aca="false">IF(AND(AA3470=1,Y3470&lt;1),IF(AND(C3471=C3470,Y3471=Y3470+1),IF(AA3471=1,"",INDEX(DATAS,Y3470+1)),INDEX(DATAS,Y3470+1)),"")</f>
        <v/>
      </c>
    </row>
    <row r="3471" customFormat="false" ht="15" hidden="false" customHeight="false" outlineLevel="0" collapsed="false">
      <c r="A3471" s="45" t="n">
        <v>46309</v>
      </c>
      <c r="B3471" s="0" t="n">
        <v>13</v>
      </c>
      <c r="C3471" s="0" t="n">
        <v>7915</v>
      </c>
      <c r="E3471" s="0" t="n">
        <v>0</v>
      </c>
      <c r="F3471" s="39" t="s">
        <v>1561</v>
      </c>
      <c r="I3471" s="39" t="s">
        <v>136</v>
      </c>
      <c r="U3471" s="0" t="n">
        <v>100</v>
      </c>
      <c r="V3471" s="0" t="n">
        <v>0</v>
      </c>
      <c r="W3471" s="39" t="n">
        <f aca="false">IF(I3471="Male",0,1)</f>
        <v>1</v>
      </c>
      <c r="X3471" s="39" t="n">
        <f aca="false">IF(OR(I3471="DNB",I3471="Dry DNB"),1,0)</f>
        <v>0</v>
      </c>
      <c r="Y3471" s="39" t="n">
        <f aca="false">MATCH(A3471,DATAS,0)</f>
        <v>1</v>
      </c>
      <c r="Z3471" s="39" t="n">
        <f aca="false">IF(AND(E3471&gt;0,OR(AND(B3471&gt;=1,B3471&lt;=6),B3471=10)),1,0)</f>
        <v>0</v>
      </c>
      <c r="AA3471" s="39" t="n">
        <f aca="false">IF(AND(E3471&gt;0,B3471=10),1,0)</f>
        <v>0</v>
      </c>
      <c r="AB3471" s="0" t="str">
        <f aca="false">IF(AND(C3470=C3471,Y3470=Y3471-1),Z3470,"")</f>
        <v/>
      </c>
      <c r="AC3471" s="0" t="str">
        <f aca="false">IF(AND(C3470=C3471,Y3470=Y3471-1),AA3470,"")</f>
        <v/>
      </c>
      <c r="AD3471" s="0" t="str">
        <f aca="false">IF(Y3471=1,"",IF(AND(Z3471=1,AB3471&lt;&gt;1),1,0))</f>
        <v/>
      </c>
      <c r="AE3471" s="0" t="str">
        <f aca="false">IF(Y3471=1,"",IF(AND(AA3471=1,AC3471&lt;&gt;1),1,0))</f>
        <v/>
      </c>
      <c r="AF3471" s="45" t="str">
        <f aca="false">IF(AND(E3471&gt;0,Y3471&lt;1,NOT(AND(C3472=C3471,Y3472=Y3471+1))),INDEX(DATAS,Y3471+1),"")</f>
        <v/>
      </c>
      <c r="AG3471" s="45" t="str">
        <f aca="false">IF(AND(AA3471=1,Y3471&lt;1),IF(AND(C3472=C3471,Y3472=Y3471+1),IF(AA3472=1,"",INDEX(DATAS,Y3471+1)),INDEX(DATAS,Y3471+1)),"")</f>
        <v/>
      </c>
    </row>
    <row r="3472" customFormat="false" ht="15" hidden="false" customHeight="false" outlineLevel="0" collapsed="false">
      <c r="A3472" s="45" t="n">
        <v>46309</v>
      </c>
      <c r="B3472" s="0" t="n">
        <v>13</v>
      </c>
      <c r="C3472" s="0" t="n">
        <v>7916</v>
      </c>
      <c r="E3472" s="0" t="n">
        <v>0</v>
      </c>
      <c r="F3472" s="39" t="s">
        <v>1562</v>
      </c>
      <c r="I3472" s="39" t="s">
        <v>136</v>
      </c>
      <c r="U3472" s="0" t="n">
        <v>99</v>
      </c>
      <c r="V3472" s="0" t="n">
        <v>0</v>
      </c>
      <c r="W3472" s="39" t="n">
        <f aca="false">IF(I3472="Male",0,1)</f>
        <v>1</v>
      </c>
      <c r="X3472" s="39" t="n">
        <f aca="false">IF(OR(I3472="DNB",I3472="Dry DNB"),1,0)</f>
        <v>0</v>
      </c>
      <c r="Y3472" s="39" t="n">
        <f aca="false">MATCH(A3472,DATAS,0)</f>
        <v>1</v>
      </c>
      <c r="Z3472" s="39" t="n">
        <f aca="false">IF(AND(E3472&gt;0,OR(AND(B3472&gt;=1,B3472&lt;=6),B3472=10)),1,0)</f>
        <v>0</v>
      </c>
      <c r="AA3472" s="39" t="n">
        <f aca="false">IF(AND(E3472&gt;0,B3472=10),1,0)</f>
        <v>0</v>
      </c>
      <c r="AB3472" s="0" t="str">
        <f aca="false">IF(AND(C3471=C3472,Y3471=Y3472-1),Z3471,"")</f>
        <v/>
      </c>
      <c r="AC3472" s="0" t="str">
        <f aca="false">IF(AND(C3471=C3472,Y3471=Y3472-1),AA3471,"")</f>
        <v/>
      </c>
      <c r="AD3472" s="0" t="str">
        <f aca="false">IF(Y3472=1,"",IF(AND(Z3472=1,AB3472&lt;&gt;1),1,0))</f>
        <v/>
      </c>
      <c r="AE3472" s="0" t="str">
        <f aca="false">IF(Y3472=1,"",IF(AND(AA3472=1,AC3472&lt;&gt;1),1,0))</f>
        <v/>
      </c>
      <c r="AF3472" s="45" t="str">
        <f aca="false">IF(AND(E3472&gt;0,Y3472&lt;1,NOT(AND(C3473=C3472,Y3473=Y3472+1))),INDEX(DATAS,Y3472+1),"")</f>
        <v/>
      </c>
      <c r="AG3472" s="45" t="str">
        <f aca="false">IF(AND(AA3472=1,Y3472&lt;1),IF(AND(C3473=C3472,Y3473=Y3472+1),IF(AA3473=1,"",INDEX(DATAS,Y3472+1)),INDEX(DATAS,Y3472+1)),"")</f>
        <v/>
      </c>
    </row>
    <row r="3473" customFormat="false" ht="15" hidden="false" customHeight="false" outlineLevel="0" collapsed="false">
      <c r="A3473" s="45" t="n">
        <v>46309</v>
      </c>
      <c r="B3473" s="0" t="n">
        <v>13</v>
      </c>
      <c r="C3473" s="0" t="n">
        <v>7917</v>
      </c>
      <c r="E3473" s="0" t="n">
        <v>0</v>
      </c>
      <c r="F3473" s="39" t="s">
        <v>1562</v>
      </c>
      <c r="I3473" s="39" t="s">
        <v>136</v>
      </c>
      <c r="U3473" s="0" t="n">
        <v>99</v>
      </c>
      <c r="V3473" s="0" t="n">
        <v>0</v>
      </c>
      <c r="W3473" s="39" t="n">
        <f aca="false">IF(I3473="Male",0,1)</f>
        <v>1</v>
      </c>
      <c r="X3473" s="39" t="n">
        <f aca="false">IF(OR(I3473="DNB",I3473="Dry DNB"),1,0)</f>
        <v>0</v>
      </c>
      <c r="Y3473" s="39" t="n">
        <f aca="false">MATCH(A3473,DATAS,0)</f>
        <v>1</v>
      </c>
      <c r="Z3473" s="39" t="n">
        <f aca="false">IF(AND(E3473&gt;0,OR(AND(B3473&gt;=1,B3473&lt;=6),B3473=10)),1,0)</f>
        <v>0</v>
      </c>
      <c r="AA3473" s="39" t="n">
        <f aca="false">IF(AND(E3473&gt;0,B3473=10),1,0)</f>
        <v>0</v>
      </c>
      <c r="AB3473" s="0" t="str">
        <f aca="false">IF(AND(C3472=C3473,Y3472=Y3473-1),Z3472,"")</f>
        <v/>
      </c>
      <c r="AC3473" s="0" t="str">
        <f aca="false">IF(AND(C3472=C3473,Y3472=Y3473-1),AA3472,"")</f>
        <v/>
      </c>
      <c r="AD3473" s="0" t="str">
        <f aca="false">IF(Y3473=1,"",IF(AND(Z3473=1,AB3473&lt;&gt;1),1,0))</f>
        <v/>
      </c>
      <c r="AE3473" s="0" t="str">
        <f aca="false">IF(Y3473=1,"",IF(AND(AA3473=1,AC3473&lt;&gt;1),1,0))</f>
        <v/>
      </c>
      <c r="AF3473" s="45" t="str">
        <f aca="false">IF(AND(E3473&gt;0,Y3473&lt;1,NOT(AND(C3474=C3473,Y3474=Y3473+1))),INDEX(DATAS,Y3473+1),"")</f>
        <v/>
      </c>
      <c r="AG3473" s="45" t="str">
        <f aca="false">IF(AND(AA3473=1,Y3473&lt;1),IF(AND(C3474=C3473,Y3474=Y3473+1),IF(AA3474=1,"",INDEX(DATAS,Y3473+1)),INDEX(DATAS,Y3473+1)),"")</f>
        <v/>
      </c>
    </row>
    <row r="3474" customFormat="false" ht="15" hidden="false" customHeight="false" outlineLevel="0" collapsed="false">
      <c r="A3474" s="45" t="n">
        <v>46309</v>
      </c>
      <c r="B3474" s="0" t="n">
        <v>13</v>
      </c>
      <c r="C3474" s="0" t="n">
        <v>7918</v>
      </c>
      <c r="E3474" s="0" t="n">
        <v>0</v>
      </c>
      <c r="F3474" s="39" t="s">
        <v>1562</v>
      </c>
      <c r="I3474" s="39" t="s">
        <v>136</v>
      </c>
      <c r="U3474" s="0" t="n">
        <v>99</v>
      </c>
      <c r="V3474" s="0" t="n">
        <v>0</v>
      </c>
      <c r="W3474" s="39" t="n">
        <f aca="false">IF(I3474="Male",0,1)</f>
        <v>1</v>
      </c>
      <c r="X3474" s="39" t="n">
        <f aca="false">IF(OR(I3474="DNB",I3474="Dry DNB"),1,0)</f>
        <v>0</v>
      </c>
      <c r="Y3474" s="39" t="n">
        <f aca="false">MATCH(A3474,DATAS,0)</f>
        <v>1</v>
      </c>
      <c r="Z3474" s="39" t="n">
        <f aca="false">IF(AND(E3474&gt;0,OR(AND(B3474&gt;=1,B3474&lt;=6),B3474=10)),1,0)</f>
        <v>0</v>
      </c>
      <c r="AA3474" s="39" t="n">
        <f aca="false">IF(AND(E3474&gt;0,B3474=10),1,0)</f>
        <v>0</v>
      </c>
      <c r="AB3474" s="0" t="str">
        <f aca="false">IF(AND(C3473=C3474,Y3473=Y3474-1),Z3473,"")</f>
        <v/>
      </c>
      <c r="AC3474" s="0" t="str">
        <f aca="false">IF(AND(C3473=C3474,Y3473=Y3474-1),AA3473,"")</f>
        <v/>
      </c>
      <c r="AD3474" s="0" t="str">
        <f aca="false">IF(Y3474=1,"",IF(AND(Z3474=1,AB3474&lt;&gt;1),1,0))</f>
        <v/>
      </c>
      <c r="AE3474" s="0" t="str">
        <f aca="false">IF(Y3474=1,"",IF(AND(AA3474=1,AC3474&lt;&gt;1),1,0))</f>
        <v/>
      </c>
      <c r="AF3474" s="45" t="str">
        <f aca="false">IF(AND(E3474&gt;0,Y3474&lt;1,NOT(AND(C3475=C3474,Y3475=Y3474+1))),INDEX(DATAS,Y3474+1),"")</f>
        <v/>
      </c>
      <c r="AG3474" s="45" t="str">
        <f aca="false">IF(AND(AA3474=1,Y3474&lt;1),IF(AND(C3475=C3474,Y3475=Y3474+1),IF(AA3475=1,"",INDEX(DATAS,Y3474+1)),INDEX(DATAS,Y3474+1)),"")</f>
        <v/>
      </c>
    </row>
    <row r="3475" customFormat="false" ht="15" hidden="false" customHeight="false" outlineLevel="0" collapsed="false">
      <c r="A3475" s="45" t="n">
        <v>46309</v>
      </c>
      <c r="B3475" s="0" t="n">
        <v>13</v>
      </c>
      <c r="C3475" s="0" t="n">
        <v>7919</v>
      </c>
      <c r="E3475" s="0" t="n">
        <v>0</v>
      </c>
      <c r="F3475" s="39" t="s">
        <v>1562</v>
      </c>
      <c r="I3475" s="39" t="s">
        <v>136</v>
      </c>
      <c r="U3475" s="0" t="n">
        <v>99</v>
      </c>
      <c r="V3475" s="0" t="n">
        <v>0</v>
      </c>
      <c r="W3475" s="39" t="n">
        <f aca="false">IF(I3475="Male",0,1)</f>
        <v>1</v>
      </c>
      <c r="X3475" s="39" t="n">
        <f aca="false">IF(OR(I3475="DNB",I3475="Dry DNB"),1,0)</f>
        <v>0</v>
      </c>
      <c r="Y3475" s="39" t="n">
        <f aca="false">MATCH(A3475,DATAS,0)</f>
        <v>1</v>
      </c>
      <c r="Z3475" s="39" t="n">
        <f aca="false">IF(AND(E3475&gt;0,OR(AND(B3475&gt;=1,B3475&lt;=6),B3475=10)),1,0)</f>
        <v>0</v>
      </c>
      <c r="AA3475" s="39" t="n">
        <f aca="false">IF(AND(E3475&gt;0,B3475=10),1,0)</f>
        <v>0</v>
      </c>
      <c r="AB3475" s="0" t="str">
        <f aca="false">IF(AND(C3474=C3475,Y3474=Y3475-1),Z3474,"")</f>
        <v/>
      </c>
      <c r="AC3475" s="0" t="str">
        <f aca="false">IF(AND(C3474=C3475,Y3474=Y3475-1),AA3474,"")</f>
        <v/>
      </c>
      <c r="AD3475" s="0" t="str">
        <f aca="false">IF(Y3475=1,"",IF(AND(Z3475=1,AB3475&lt;&gt;1),1,0))</f>
        <v/>
      </c>
      <c r="AE3475" s="0" t="str">
        <f aca="false">IF(Y3475=1,"",IF(AND(AA3475=1,AC3475&lt;&gt;1),1,0))</f>
        <v/>
      </c>
      <c r="AF3475" s="45" t="str">
        <f aca="false">IF(AND(E3475&gt;0,Y3475&lt;1,NOT(AND(C3476=C3475,Y3476=Y3475+1))),INDEX(DATAS,Y3475+1),"")</f>
        <v/>
      </c>
      <c r="AG3475" s="45" t="str">
        <f aca="false">IF(AND(AA3475=1,Y3475&lt;1),IF(AND(C3476=C3475,Y3476=Y3475+1),IF(AA3476=1,"",INDEX(DATAS,Y3475+1)),INDEX(DATAS,Y3475+1)),"")</f>
        <v/>
      </c>
    </row>
    <row r="3476" customFormat="false" ht="15" hidden="false" customHeight="false" outlineLevel="0" collapsed="false">
      <c r="A3476" s="45" t="n">
        <v>46309</v>
      </c>
      <c r="B3476" s="0" t="n">
        <v>13</v>
      </c>
      <c r="C3476" s="0" t="n">
        <v>7920</v>
      </c>
      <c r="E3476" s="0" t="n">
        <v>0</v>
      </c>
      <c r="F3476" s="39" t="s">
        <v>1562</v>
      </c>
      <c r="I3476" s="39" t="s">
        <v>136</v>
      </c>
      <c r="U3476" s="0" t="n">
        <v>99</v>
      </c>
      <c r="V3476" s="0" t="n">
        <v>0</v>
      </c>
      <c r="W3476" s="39" t="n">
        <f aca="false">IF(I3476="Male",0,1)</f>
        <v>1</v>
      </c>
      <c r="X3476" s="39" t="n">
        <f aca="false">IF(OR(I3476="DNB",I3476="Dry DNB"),1,0)</f>
        <v>0</v>
      </c>
      <c r="Y3476" s="39" t="n">
        <f aca="false">MATCH(A3476,DATAS,0)</f>
        <v>1</v>
      </c>
      <c r="Z3476" s="39" t="n">
        <f aca="false">IF(AND(E3476&gt;0,OR(AND(B3476&gt;=1,B3476&lt;=6),B3476=10)),1,0)</f>
        <v>0</v>
      </c>
      <c r="AA3476" s="39" t="n">
        <f aca="false">IF(AND(E3476&gt;0,B3476=10),1,0)</f>
        <v>0</v>
      </c>
      <c r="AB3476" s="0" t="str">
        <f aca="false">IF(AND(C3475=C3476,Y3475=Y3476-1),Z3475,"")</f>
        <v/>
      </c>
      <c r="AC3476" s="0" t="str">
        <f aca="false">IF(AND(C3475=C3476,Y3475=Y3476-1),AA3475,"")</f>
        <v/>
      </c>
      <c r="AD3476" s="0" t="str">
        <f aca="false">IF(Y3476=1,"",IF(AND(Z3476=1,AB3476&lt;&gt;1),1,0))</f>
        <v/>
      </c>
      <c r="AE3476" s="0" t="str">
        <f aca="false">IF(Y3476=1,"",IF(AND(AA3476=1,AC3476&lt;&gt;1),1,0))</f>
        <v/>
      </c>
      <c r="AF3476" s="45" t="str">
        <f aca="false">IF(AND(E3476&gt;0,Y3476&lt;1,NOT(AND(C3477=C3476,Y3477=Y3476+1))),INDEX(DATAS,Y3476+1),"")</f>
        <v/>
      </c>
      <c r="AG3476" s="45" t="str">
        <f aca="false">IF(AND(AA3476=1,Y3476&lt;1),IF(AND(C3477=C3476,Y3477=Y3476+1),IF(AA3477=1,"",INDEX(DATAS,Y3476+1)),INDEX(DATAS,Y3476+1)),"")</f>
        <v/>
      </c>
    </row>
    <row r="3477" customFormat="false" ht="15" hidden="false" customHeight="false" outlineLevel="0" collapsed="false">
      <c r="A3477" s="45" t="n">
        <v>46309</v>
      </c>
      <c r="B3477" s="0" t="n">
        <v>13</v>
      </c>
      <c r="C3477" s="0" t="n">
        <v>7921</v>
      </c>
      <c r="E3477" s="0" t="n">
        <v>0</v>
      </c>
      <c r="F3477" s="39" t="s">
        <v>1563</v>
      </c>
      <c r="I3477" s="39" t="s">
        <v>136</v>
      </c>
      <c r="U3477" s="0" t="n">
        <v>98</v>
      </c>
      <c r="V3477" s="0" t="n">
        <v>0</v>
      </c>
      <c r="W3477" s="39" t="n">
        <f aca="false">IF(I3477="Male",0,1)</f>
        <v>1</v>
      </c>
      <c r="X3477" s="39" t="n">
        <f aca="false">IF(OR(I3477="DNB",I3477="Dry DNB"),1,0)</f>
        <v>0</v>
      </c>
      <c r="Y3477" s="39" t="n">
        <f aca="false">MATCH(A3477,DATAS,0)</f>
        <v>1</v>
      </c>
      <c r="Z3477" s="39" t="n">
        <f aca="false">IF(AND(E3477&gt;0,OR(AND(B3477&gt;=1,B3477&lt;=6),B3477=10)),1,0)</f>
        <v>0</v>
      </c>
      <c r="AA3477" s="39" t="n">
        <f aca="false">IF(AND(E3477&gt;0,B3477=10),1,0)</f>
        <v>0</v>
      </c>
      <c r="AB3477" s="0" t="str">
        <f aca="false">IF(AND(C3476=C3477,Y3476=Y3477-1),Z3476,"")</f>
        <v/>
      </c>
      <c r="AC3477" s="0" t="str">
        <f aca="false">IF(AND(C3476=C3477,Y3476=Y3477-1),AA3476,"")</f>
        <v/>
      </c>
      <c r="AD3477" s="0" t="str">
        <f aca="false">IF(Y3477=1,"",IF(AND(Z3477=1,AB3477&lt;&gt;1),1,0))</f>
        <v/>
      </c>
      <c r="AE3477" s="0" t="str">
        <f aca="false">IF(Y3477=1,"",IF(AND(AA3477=1,AC3477&lt;&gt;1),1,0))</f>
        <v/>
      </c>
      <c r="AF3477" s="45" t="str">
        <f aca="false">IF(AND(E3477&gt;0,Y3477&lt;1,NOT(AND(C3478=C3477,Y3478=Y3477+1))),INDEX(DATAS,Y3477+1),"")</f>
        <v/>
      </c>
      <c r="AG3477" s="45" t="str">
        <f aca="false">IF(AND(AA3477=1,Y3477&lt;1),IF(AND(C3478=C3477,Y3478=Y3477+1),IF(AA3478=1,"",INDEX(DATAS,Y3477+1)),INDEX(DATAS,Y3477+1)),"")</f>
        <v/>
      </c>
    </row>
    <row r="3478" customFormat="false" ht="15" hidden="false" customHeight="false" outlineLevel="0" collapsed="false">
      <c r="A3478" s="45" t="n">
        <v>46309</v>
      </c>
      <c r="B3478" s="0" t="n">
        <v>13</v>
      </c>
      <c r="C3478" s="0" t="n">
        <v>7922</v>
      </c>
      <c r="E3478" s="0" t="n">
        <v>0</v>
      </c>
      <c r="F3478" s="39" t="s">
        <v>1564</v>
      </c>
      <c r="I3478" s="39" t="s">
        <v>136</v>
      </c>
      <c r="U3478" s="0" t="n">
        <v>97</v>
      </c>
      <c r="V3478" s="0" t="n">
        <v>0</v>
      </c>
      <c r="W3478" s="39" t="n">
        <f aca="false">IF(I3478="Male",0,1)</f>
        <v>1</v>
      </c>
      <c r="X3478" s="39" t="n">
        <f aca="false">IF(OR(I3478="DNB",I3478="Dry DNB"),1,0)</f>
        <v>0</v>
      </c>
      <c r="Y3478" s="39" t="n">
        <f aca="false">MATCH(A3478,DATAS,0)</f>
        <v>1</v>
      </c>
      <c r="Z3478" s="39" t="n">
        <f aca="false">IF(AND(E3478&gt;0,OR(AND(B3478&gt;=1,B3478&lt;=6),B3478=10)),1,0)</f>
        <v>0</v>
      </c>
      <c r="AA3478" s="39" t="n">
        <f aca="false">IF(AND(E3478&gt;0,B3478=10),1,0)</f>
        <v>0</v>
      </c>
      <c r="AB3478" s="0" t="str">
        <f aca="false">IF(AND(C3477=C3478,Y3477=Y3478-1),Z3477,"")</f>
        <v/>
      </c>
      <c r="AC3478" s="0" t="str">
        <f aca="false">IF(AND(C3477=C3478,Y3477=Y3478-1),AA3477,"")</f>
        <v/>
      </c>
      <c r="AD3478" s="0" t="str">
        <f aca="false">IF(Y3478=1,"",IF(AND(Z3478=1,AB3478&lt;&gt;1),1,0))</f>
        <v/>
      </c>
      <c r="AE3478" s="0" t="str">
        <f aca="false">IF(Y3478=1,"",IF(AND(AA3478=1,AC3478&lt;&gt;1),1,0))</f>
        <v/>
      </c>
      <c r="AF3478" s="45" t="str">
        <f aca="false">IF(AND(E3478&gt;0,Y3478&lt;1,NOT(AND(C3479=C3478,Y3479=Y3478+1))),INDEX(DATAS,Y3478+1),"")</f>
        <v/>
      </c>
      <c r="AG3478" s="45" t="str">
        <f aca="false">IF(AND(AA3478=1,Y3478&lt;1),IF(AND(C3479=C3478,Y3479=Y3478+1),IF(AA3479=1,"",INDEX(DATAS,Y3478+1)),INDEX(DATAS,Y3478+1)),"")</f>
        <v/>
      </c>
    </row>
    <row r="3479" customFormat="false" ht="15" hidden="false" customHeight="false" outlineLevel="0" collapsed="false">
      <c r="A3479" s="45" t="n">
        <v>46309</v>
      </c>
      <c r="B3479" s="0" t="n">
        <v>13</v>
      </c>
      <c r="C3479" s="0" t="n">
        <v>7923</v>
      </c>
      <c r="E3479" s="0" t="n">
        <v>0</v>
      </c>
      <c r="F3479" s="39" t="s">
        <v>1564</v>
      </c>
      <c r="I3479" s="39" t="s">
        <v>136</v>
      </c>
      <c r="U3479" s="0" t="n">
        <v>97</v>
      </c>
      <c r="V3479" s="0" t="n">
        <v>0</v>
      </c>
      <c r="W3479" s="39" t="n">
        <f aca="false">IF(I3479="Male",0,1)</f>
        <v>1</v>
      </c>
      <c r="X3479" s="39" t="n">
        <f aca="false">IF(OR(I3479="DNB",I3479="Dry DNB"),1,0)</f>
        <v>0</v>
      </c>
      <c r="Y3479" s="39" t="n">
        <f aca="false">MATCH(A3479,DATAS,0)</f>
        <v>1</v>
      </c>
      <c r="Z3479" s="39" t="n">
        <f aca="false">IF(AND(E3479&gt;0,OR(AND(B3479&gt;=1,B3479&lt;=6),B3479=10)),1,0)</f>
        <v>0</v>
      </c>
      <c r="AA3479" s="39" t="n">
        <f aca="false">IF(AND(E3479&gt;0,B3479=10),1,0)</f>
        <v>0</v>
      </c>
      <c r="AB3479" s="0" t="str">
        <f aca="false">IF(AND(C3478=C3479,Y3478=Y3479-1),Z3478,"")</f>
        <v/>
      </c>
      <c r="AC3479" s="0" t="str">
        <f aca="false">IF(AND(C3478=C3479,Y3478=Y3479-1),AA3478,"")</f>
        <v/>
      </c>
      <c r="AD3479" s="0" t="str">
        <f aca="false">IF(Y3479=1,"",IF(AND(Z3479=1,AB3479&lt;&gt;1),1,0))</f>
        <v/>
      </c>
      <c r="AE3479" s="0" t="str">
        <f aca="false">IF(Y3479=1,"",IF(AND(AA3479=1,AC3479&lt;&gt;1),1,0))</f>
        <v/>
      </c>
      <c r="AF3479" s="45" t="str">
        <f aca="false">IF(AND(E3479&gt;0,Y3479&lt;1,NOT(AND(C3480=C3479,Y3480=Y3479+1))),INDEX(DATAS,Y3479+1),"")</f>
        <v/>
      </c>
      <c r="AG3479" s="45" t="str">
        <f aca="false">IF(AND(AA3479=1,Y3479&lt;1),IF(AND(C3480=C3479,Y3480=Y3479+1),IF(AA3480=1,"",INDEX(DATAS,Y3479+1)),INDEX(DATAS,Y3479+1)),"")</f>
        <v/>
      </c>
    </row>
    <row r="3480" customFormat="false" ht="15" hidden="false" customHeight="false" outlineLevel="0" collapsed="false">
      <c r="A3480" s="45" t="n">
        <v>46309</v>
      </c>
      <c r="B3480" s="0" t="n">
        <v>13</v>
      </c>
      <c r="C3480" s="0" t="n">
        <v>7924</v>
      </c>
      <c r="E3480" s="0" t="n">
        <v>0</v>
      </c>
      <c r="F3480" s="39" t="s">
        <v>1564</v>
      </c>
      <c r="I3480" s="39" t="s">
        <v>136</v>
      </c>
      <c r="U3480" s="0" t="n">
        <v>97</v>
      </c>
      <c r="V3480" s="0" t="n">
        <v>0</v>
      </c>
      <c r="W3480" s="39" t="n">
        <f aca="false">IF(I3480="Male",0,1)</f>
        <v>1</v>
      </c>
      <c r="X3480" s="39" t="n">
        <f aca="false">IF(OR(I3480="DNB",I3480="Dry DNB"),1,0)</f>
        <v>0</v>
      </c>
      <c r="Y3480" s="39" t="n">
        <f aca="false">MATCH(A3480,DATAS,0)</f>
        <v>1</v>
      </c>
      <c r="Z3480" s="39" t="n">
        <f aca="false">IF(AND(E3480&gt;0,OR(AND(B3480&gt;=1,B3480&lt;=6),B3480=10)),1,0)</f>
        <v>0</v>
      </c>
      <c r="AA3480" s="39" t="n">
        <f aca="false">IF(AND(E3480&gt;0,B3480=10),1,0)</f>
        <v>0</v>
      </c>
      <c r="AB3480" s="0" t="str">
        <f aca="false">IF(AND(C3479=C3480,Y3479=Y3480-1),Z3479,"")</f>
        <v/>
      </c>
      <c r="AC3480" s="0" t="str">
        <f aca="false">IF(AND(C3479=C3480,Y3479=Y3480-1),AA3479,"")</f>
        <v/>
      </c>
      <c r="AD3480" s="0" t="str">
        <f aca="false">IF(Y3480=1,"",IF(AND(Z3480=1,AB3480&lt;&gt;1),1,0))</f>
        <v/>
      </c>
      <c r="AE3480" s="0" t="str">
        <f aca="false">IF(Y3480=1,"",IF(AND(AA3480=1,AC3480&lt;&gt;1),1,0))</f>
        <v/>
      </c>
      <c r="AF3480" s="45" t="str">
        <f aca="false">IF(AND(E3480&gt;0,Y3480&lt;1,NOT(AND(C3481=C3480,Y3481=Y3480+1))),INDEX(DATAS,Y3480+1),"")</f>
        <v/>
      </c>
      <c r="AG3480" s="45" t="str">
        <f aca="false">IF(AND(AA3480=1,Y3480&lt;1),IF(AND(C3481=C3480,Y3481=Y3480+1),IF(AA3481=1,"",INDEX(DATAS,Y3480+1)),INDEX(DATAS,Y3480+1)),"")</f>
        <v/>
      </c>
    </row>
    <row r="3481" customFormat="false" ht="15" hidden="false" customHeight="false" outlineLevel="0" collapsed="false">
      <c r="A3481" s="45" t="n">
        <v>46309</v>
      </c>
      <c r="B3481" s="0" t="n">
        <v>13</v>
      </c>
      <c r="C3481" s="0" t="n">
        <v>7925</v>
      </c>
      <c r="E3481" s="0" t="n">
        <v>0</v>
      </c>
      <c r="F3481" s="39" t="s">
        <v>1564</v>
      </c>
      <c r="I3481" s="39" t="s">
        <v>136</v>
      </c>
      <c r="U3481" s="0" t="n">
        <v>97</v>
      </c>
      <c r="V3481" s="0" t="n">
        <v>0</v>
      </c>
      <c r="W3481" s="39" t="n">
        <f aca="false">IF(I3481="Male",0,1)</f>
        <v>1</v>
      </c>
      <c r="X3481" s="39" t="n">
        <f aca="false">IF(OR(I3481="DNB",I3481="Dry DNB"),1,0)</f>
        <v>0</v>
      </c>
      <c r="Y3481" s="39" t="n">
        <f aca="false">MATCH(A3481,DATAS,0)</f>
        <v>1</v>
      </c>
      <c r="Z3481" s="39" t="n">
        <f aca="false">IF(AND(E3481&gt;0,OR(AND(B3481&gt;=1,B3481&lt;=6),B3481=10)),1,0)</f>
        <v>0</v>
      </c>
      <c r="AA3481" s="39" t="n">
        <f aca="false">IF(AND(E3481&gt;0,B3481=10),1,0)</f>
        <v>0</v>
      </c>
      <c r="AB3481" s="0" t="str">
        <f aca="false">IF(AND(C3480=C3481,Y3480=Y3481-1),Z3480,"")</f>
        <v/>
      </c>
      <c r="AC3481" s="0" t="str">
        <f aca="false">IF(AND(C3480=C3481,Y3480=Y3481-1),AA3480,"")</f>
        <v/>
      </c>
      <c r="AD3481" s="0" t="str">
        <f aca="false">IF(Y3481=1,"",IF(AND(Z3481=1,AB3481&lt;&gt;1),1,0))</f>
        <v/>
      </c>
      <c r="AE3481" s="0" t="str">
        <f aca="false">IF(Y3481=1,"",IF(AND(AA3481=1,AC3481&lt;&gt;1),1,0))</f>
        <v/>
      </c>
      <c r="AF3481" s="45" t="str">
        <f aca="false">IF(AND(E3481&gt;0,Y3481&lt;1,NOT(AND(C3482=C3481,Y3482=Y3481+1))),INDEX(DATAS,Y3481+1),"")</f>
        <v/>
      </c>
      <c r="AG3481" s="45" t="str">
        <f aca="false">IF(AND(AA3481=1,Y3481&lt;1),IF(AND(C3482=C3481,Y3482=Y3481+1),IF(AA3482=1,"",INDEX(DATAS,Y3481+1)),INDEX(DATAS,Y3481+1)),"")</f>
        <v/>
      </c>
    </row>
    <row r="3482" customFormat="false" ht="15" hidden="false" customHeight="false" outlineLevel="0" collapsed="false">
      <c r="A3482" s="45" t="n">
        <v>46309</v>
      </c>
      <c r="B3482" s="0" t="n">
        <v>13</v>
      </c>
      <c r="C3482" s="0" t="n">
        <v>7926</v>
      </c>
      <c r="E3482" s="0" t="n">
        <v>0</v>
      </c>
      <c r="F3482" s="39" t="s">
        <v>1564</v>
      </c>
      <c r="I3482" s="39" t="s">
        <v>136</v>
      </c>
      <c r="U3482" s="0" t="n">
        <v>97</v>
      </c>
      <c r="V3482" s="0" t="n">
        <v>0</v>
      </c>
      <c r="W3482" s="39" t="n">
        <f aca="false">IF(I3482="Male",0,1)</f>
        <v>1</v>
      </c>
      <c r="X3482" s="39" t="n">
        <f aca="false">IF(OR(I3482="DNB",I3482="Dry DNB"),1,0)</f>
        <v>0</v>
      </c>
      <c r="Y3482" s="39" t="n">
        <f aca="false">MATCH(A3482,DATAS,0)</f>
        <v>1</v>
      </c>
      <c r="Z3482" s="39" t="n">
        <f aca="false">IF(AND(E3482&gt;0,OR(AND(B3482&gt;=1,B3482&lt;=6),B3482=10)),1,0)</f>
        <v>0</v>
      </c>
      <c r="AA3482" s="39" t="n">
        <f aca="false">IF(AND(E3482&gt;0,B3482=10),1,0)</f>
        <v>0</v>
      </c>
      <c r="AB3482" s="0" t="str">
        <f aca="false">IF(AND(C3481=C3482,Y3481=Y3482-1),Z3481,"")</f>
        <v/>
      </c>
      <c r="AC3482" s="0" t="str">
        <f aca="false">IF(AND(C3481=C3482,Y3481=Y3482-1),AA3481,"")</f>
        <v/>
      </c>
      <c r="AD3482" s="0" t="str">
        <f aca="false">IF(Y3482=1,"",IF(AND(Z3482=1,AB3482&lt;&gt;1),1,0))</f>
        <v/>
      </c>
      <c r="AE3482" s="0" t="str">
        <f aca="false">IF(Y3482=1,"",IF(AND(AA3482=1,AC3482&lt;&gt;1),1,0))</f>
        <v/>
      </c>
      <c r="AF3482" s="45" t="str">
        <f aca="false">IF(AND(E3482&gt;0,Y3482&lt;1,NOT(AND(C3483=C3482,Y3483=Y3482+1))),INDEX(DATAS,Y3482+1),"")</f>
        <v/>
      </c>
      <c r="AG3482" s="45" t="str">
        <f aca="false">IF(AND(AA3482=1,Y3482&lt;1),IF(AND(C3483=C3482,Y3483=Y3482+1),IF(AA3483=1,"",INDEX(DATAS,Y3482+1)),INDEX(DATAS,Y3482+1)),"")</f>
        <v/>
      </c>
    </row>
    <row r="3483" customFormat="false" ht="15" hidden="false" customHeight="false" outlineLevel="0" collapsed="false">
      <c r="A3483" s="45" t="n">
        <v>46309</v>
      </c>
      <c r="B3483" s="0" t="n">
        <v>13</v>
      </c>
      <c r="C3483" s="0" t="n">
        <v>7927</v>
      </c>
      <c r="E3483" s="0" t="n">
        <v>0</v>
      </c>
      <c r="F3483" s="39" t="s">
        <v>1564</v>
      </c>
      <c r="I3483" s="39" t="s">
        <v>136</v>
      </c>
      <c r="U3483" s="0" t="n">
        <v>97</v>
      </c>
      <c r="V3483" s="0" t="n">
        <v>0</v>
      </c>
      <c r="W3483" s="39" t="n">
        <f aca="false">IF(I3483="Male",0,1)</f>
        <v>1</v>
      </c>
      <c r="X3483" s="39" t="n">
        <f aca="false">IF(OR(I3483="DNB",I3483="Dry DNB"),1,0)</f>
        <v>0</v>
      </c>
      <c r="Y3483" s="39" t="n">
        <f aca="false">MATCH(A3483,DATAS,0)</f>
        <v>1</v>
      </c>
      <c r="Z3483" s="39" t="n">
        <f aca="false">IF(AND(E3483&gt;0,OR(AND(B3483&gt;=1,B3483&lt;=6),B3483=10)),1,0)</f>
        <v>0</v>
      </c>
      <c r="AA3483" s="39" t="n">
        <f aca="false">IF(AND(E3483&gt;0,B3483=10),1,0)</f>
        <v>0</v>
      </c>
      <c r="AB3483" s="0" t="str">
        <f aca="false">IF(AND(C3482=C3483,Y3482=Y3483-1),Z3482,"")</f>
        <v/>
      </c>
      <c r="AC3483" s="0" t="str">
        <f aca="false">IF(AND(C3482=C3483,Y3482=Y3483-1),AA3482,"")</f>
        <v/>
      </c>
      <c r="AD3483" s="0" t="str">
        <f aca="false">IF(Y3483=1,"",IF(AND(Z3483=1,AB3483&lt;&gt;1),1,0))</f>
        <v/>
      </c>
      <c r="AE3483" s="0" t="str">
        <f aca="false">IF(Y3483=1,"",IF(AND(AA3483=1,AC3483&lt;&gt;1),1,0))</f>
        <v/>
      </c>
      <c r="AF3483" s="45" t="str">
        <f aca="false">IF(AND(E3483&gt;0,Y3483&lt;1,NOT(AND(C3484=C3483,Y3484=Y3483+1))),INDEX(DATAS,Y3483+1),"")</f>
        <v/>
      </c>
      <c r="AG3483" s="45" t="str">
        <f aca="false">IF(AND(AA3483=1,Y3483&lt;1),IF(AND(C3484=C3483,Y3484=Y3483+1),IF(AA3484=1,"",INDEX(DATAS,Y3483+1)),INDEX(DATAS,Y3483+1)),"")</f>
        <v/>
      </c>
    </row>
    <row r="3484" customFormat="false" ht="15" hidden="false" customHeight="false" outlineLevel="0" collapsed="false">
      <c r="A3484" s="45" t="n">
        <v>46309</v>
      </c>
      <c r="B3484" s="0" t="n">
        <v>16</v>
      </c>
      <c r="C3484" s="0" t="n">
        <v>7928</v>
      </c>
      <c r="E3484" s="0" t="n">
        <v>0</v>
      </c>
      <c r="F3484" s="39" t="s">
        <v>1564</v>
      </c>
      <c r="I3484" s="39" t="s">
        <v>136</v>
      </c>
      <c r="U3484" s="0" t="n">
        <v>97</v>
      </c>
      <c r="V3484" s="0" t="n">
        <v>0</v>
      </c>
      <c r="W3484" s="39" t="n">
        <f aca="false">IF(I3484="Male",0,1)</f>
        <v>1</v>
      </c>
      <c r="X3484" s="39" t="n">
        <f aca="false">IF(OR(I3484="DNB",I3484="Dry DNB"),1,0)</f>
        <v>0</v>
      </c>
      <c r="Y3484" s="39" t="n">
        <f aca="false">MATCH(A3484,DATAS,0)</f>
        <v>1</v>
      </c>
      <c r="Z3484" s="39" t="n">
        <f aca="false">IF(AND(E3484&gt;0,OR(AND(B3484&gt;=1,B3484&lt;=6),B3484=10)),1,0)</f>
        <v>0</v>
      </c>
      <c r="AA3484" s="39" t="n">
        <f aca="false">IF(AND(E3484&gt;0,B3484=10),1,0)</f>
        <v>0</v>
      </c>
      <c r="AB3484" s="0" t="str">
        <f aca="false">IF(AND(C3483=C3484,Y3483=Y3484-1),Z3483,"")</f>
        <v/>
      </c>
      <c r="AC3484" s="0" t="str">
        <f aca="false">IF(AND(C3483=C3484,Y3483=Y3484-1),AA3483,"")</f>
        <v/>
      </c>
      <c r="AD3484" s="0" t="str">
        <f aca="false">IF(Y3484=1,"",IF(AND(Z3484=1,AB3484&lt;&gt;1),1,0))</f>
        <v/>
      </c>
      <c r="AE3484" s="0" t="str">
        <f aca="false">IF(Y3484=1,"",IF(AND(AA3484=1,AC3484&lt;&gt;1),1,0))</f>
        <v/>
      </c>
      <c r="AF3484" s="45" t="str">
        <f aca="false">IF(AND(E3484&gt;0,Y3484&lt;1,NOT(AND(C3485=C3484,Y3485=Y3484+1))),INDEX(DATAS,Y3484+1),"")</f>
        <v/>
      </c>
      <c r="AG3484" s="45" t="str">
        <f aca="false">IF(AND(AA3484=1,Y3484&lt;1),IF(AND(C3485=C3484,Y3485=Y3484+1),IF(AA3485=1,"",INDEX(DATAS,Y3484+1)),INDEX(DATAS,Y3484+1)),"")</f>
        <v/>
      </c>
    </row>
    <row r="3485" customFormat="false" ht="15" hidden="false" customHeight="false" outlineLevel="0" collapsed="false">
      <c r="A3485" s="45" t="n">
        <v>46309</v>
      </c>
      <c r="B3485" s="0" t="n">
        <v>16</v>
      </c>
      <c r="C3485" s="0" t="n">
        <v>7929</v>
      </c>
      <c r="E3485" s="0" t="n">
        <v>0</v>
      </c>
      <c r="F3485" s="39" t="s">
        <v>1564</v>
      </c>
      <c r="I3485" s="39" t="s">
        <v>136</v>
      </c>
      <c r="U3485" s="0" t="n">
        <v>97</v>
      </c>
      <c r="V3485" s="0" t="n">
        <v>0</v>
      </c>
      <c r="W3485" s="39" t="n">
        <f aca="false">IF(I3485="Male",0,1)</f>
        <v>1</v>
      </c>
      <c r="X3485" s="39" t="n">
        <f aca="false">IF(OR(I3485="DNB",I3485="Dry DNB"),1,0)</f>
        <v>0</v>
      </c>
      <c r="Y3485" s="39" t="n">
        <f aca="false">MATCH(A3485,DATAS,0)</f>
        <v>1</v>
      </c>
      <c r="Z3485" s="39" t="n">
        <f aca="false">IF(AND(E3485&gt;0,OR(AND(B3485&gt;=1,B3485&lt;=6),B3485=10)),1,0)</f>
        <v>0</v>
      </c>
      <c r="AA3485" s="39" t="n">
        <f aca="false">IF(AND(E3485&gt;0,B3485=10),1,0)</f>
        <v>0</v>
      </c>
      <c r="AB3485" s="0" t="str">
        <f aca="false">IF(AND(C3484=C3485,Y3484=Y3485-1),Z3484,"")</f>
        <v/>
      </c>
      <c r="AC3485" s="0" t="str">
        <f aca="false">IF(AND(C3484=C3485,Y3484=Y3485-1),AA3484,"")</f>
        <v/>
      </c>
      <c r="AD3485" s="0" t="str">
        <f aca="false">IF(Y3485=1,"",IF(AND(Z3485=1,AB3485&lt;&gt;1),1,0))</f>
        <v/>
      </c>
      <c r="AE3485" s="0" t="str">
        <f aca="false">IF(Y3485=1,"",IF(AND(AA3485=1,AC3485&lt;&gt;1),1,0))</f>
        <v/>
      </c>
      <c r="AF3485" s="45" t="str">
        <f aca="false">IF(AND(E3485&gt;0,Y3485&lt;1,NOT(AND(C3486=C3485,Y3486=Y3485+1))),INDEX(DATAS,Y3485+1),"")</f>
        <v/>
      </c>
      <c r="AG3485" s="45" t="str">
        <f aca="false">IF(AND(AA3485=1,Y3485&lt;1),IF(AND(C3486=C3485,Y3486=Y3485+1),IF(AA3486=1,"",INDEX(DATAS,Y3485+1)),INDEX(DATAS,Y3485+1)),"")</f>
        <v/>
      </c>
    </row>
    <row r="3486" customFormat="false" ht="15" hidden="false" customHeight="false" outlineLevel="0" collapsed="false">
      <c r="A3486" s="45" t="n">
        <v>46309</v>
      </c>
      <c r="B3486" s="0" t="n">
        <v>16</v>
      </c>
      <c r="C3486" s="0" t="n">
        <v>7930</v>
      </c>
      <c r="E3486" s="0" t="n">
        <v>0</v>
      </c>
      <c r="F3486" s="39" t="s">
        <v>1565</v>
      </c>
      <c r="I3486" s="39" t="s">
        <v>136</v>
      </c>
      <c r="U3486" s="0" t="n">
        <v>96</v>
      </c>
      <c r="V3486" s="0" t="n">
        <v>0</v>
      </c>
      <c r="W3486" s="39" t="n">
        <f aca="false">IF(I3486="Male",0,1)</f>
        <v>1</v>
      </c>
      <c r="X3486" s="39" t="n">
        <f aca="false">IF(OR(I3486="DNB",I3486="Dry DNB"),1,0)</f>
        <v>0</v>
      </c>
      <c r="Y3486" s="39" t="n">
        <f aca="false">MATCH(A3486,DATAS,0)</f>
        <v>1</v>
      </c>
      <c r="Z3486" s="39" t="n">
        <f aca="false">IF(AND(E3486&gt;0,OR(AND(B3486&gt;=1,B3486&lt;=6),B3486=10)),1,0)</f>
        <v>0</v>
      </c>
      <c r="AA3486" s="39" t="n">
        <f aca="false">IF(AND(E3486&gt;0,B3486=10),1,0)</f>
        <v>0</v>
      </c>
      <c r="AB3486" s="0" t="str">
        <f aca="false">IF(AND(C3485=C3486,Y3485=Y3486-1),Z3485,"")</f>
        <v/>
      </c>
      <c r="AC3486" s="0" t="str">
        <f aca="false">IF(AND(C3485=C3486,Y3485=Y3486-1),AA3485,"")</f>
        <v/>
      </c>
      <c r="AD3486" s="0" t="str">
        <f aca="false">IF(Y3486=1,"",IF(AND(Z3486=1,AB3486&lt;&gt;1),1,0))</f>
        <v/>
      </c>
      <c r="AE3486" s="0" t="str">
        <f aca="false">IF(Y3486=1,"",IF(AND(AA3486=1,AC3486&lt;&gt;1),1,0))</f>
        <v/>
      </c>
      <c r="AF3486" s="45" t="str">
        <f aca="false">IF(AND(E3486&gt;0,Y3486&lt;1,NOT(AND(C3487=C3486,Y3487=Y3486+1))),INDEX(DATAS,Y3486+1),"")</f>
        <v/>
      </c>
      <c r="AG3486" s="45" t="str">
        <f aca="false">IF(AND(AA3486=1,Y3486&lt;1),IF(AND(C3487=C3486,Y3487=Y3486+1),IF(AA3487=1,"",INDEX(DATAS,Y3486+1)),INDEX(DATAS,Y3486+1)),"")</f>
        <v/>
      </c>
    </row>
    <row r="3487" customFormat="false" ht="15" hidden="false" customHeight="false" outlineLevel="0" collapsed="false">
      <c r="A3487" s="45" t="n">
        <v>46309</v>
      </c>
      <c r="B3487" s="0" t="n">
        <v>16</v>
      </c>
      <c r="C3487" s="0" t="n">
        <v>7931</v>
      </c>
      <c r="E3487" s="0" t="n">
        <v>0</v>
      </c>
      <c r="F3487" s="39" t="s">
        <v>1565</v>
      </c>
      <c r="I3487" s="39" t="s">
        <v>136</v>
      </c>
      <c r="U3487" s="0" t="n">
        <v>96</v>
      </c>
      <c r="V3487" s="0" t="n">
        <v>0</v>
      </c>
      <c r="W3487" s="39" t="n">
        <f aca="false">IF(I3487="Male",0,1)</f>
        <v>1</v>
      </c>
      <c r="X3487" s="39" t="n">
        <f aca="false">IF(OR(I3487="DNB",I3487="Dry DNB"),1,0)</f>
        <v>0</v>
      </c>
      <c r="Y3487" s="39" t="n">
        <f aca="false">MATCH(A3487,DATAS,0)</f>
        <v>1</v>
      </c>
      <c r="Z3487" s="39" t="n">
        <f aca="false">IF(AND(E3487&gt;0,OR(AND(B3487&gt;=1,B3487&lt;=6),B3487=10)),1,0)</f>
        <v>0</v>
      </c>
      <c r="AA3487" s="39" t="n">
        <f aca="false">IF(AND(E3487&gt;0,B3487=10),1,0)</f>
        <v>0</v>
      </c>
      <c r="AB3487" s="0" t="str">
        <f aca="false">IF(AND(C3486=C3487,Y3486=Y3487-1),Z3486,"")</f>
        <v/>
      </c>
      <c r="AC3487" s="0" t="str">
        <f aca="false">IF(AND(C3486=C3487,Y3486=Y3487-1),AA3486,"")</f>
        <v/>
      </c>
      <c r="AD3487" s="0" t="str">
        <f aca="false">IF(Y3487=1,"",IF(AND(Z3487=1,AB3487&lt;&gt;1),1,0))</f>
        <v/>
      </c>
      <c r="AE3487" s="0" t="str">
        <f aca="false">IF(Y3487=1,"",IF(AND(AA3487=1,AC3487&lt;&gt;1),1,0))</f>
        <v/>
      </c>
      <c r="AF3487" s="45" t="str">
        <f aca="false">IF(AND(E3487&gt;0,Y3487&lt;1,NOT(AND(C3488=C3487,Y3488=Y3487+1))),INDEX(DATAS,Y3487+1),"")</f>
        <v/>
      </c>
      <c r="AG3487" s="45" t="str">
        <f aca="false">IF(AND(AA3487=1,Y3487&lt;1),IF(AND(C3488=C3487,Y3488=Y3487+1),IF(AA3488=1,"",INDEX(DATAS,Y3487+1)),INDEX(DATAS,Y3487+1)),"")</f>
        <v/>
      </c>
    </row>
    <row r="3488" customFormat="false" ht="15" hidden="false" customHeight="false" outlineLevel="0" collapsed="false">
      <c r="A3488" s="45" t="n">
        <v>46309</v>
      </c>
      <c r="B3488" s="0" t="n">
        <v>16</v>
      </c>
      <c r="C3488" s="0" t="n">
        <v>7932</v>
      </c>
      <c r="E3488" s="0" t="n">
        <v>0</v>
      </c>
      <c r="F3488" s="39" t="s">
        <v>1565</v>
      </c>
      <c r="I3488" s="39" t="s">
        <v>136</v>
      </c>
      <c r="U3488" s="0" t="n">
        <v>96</v>
      </c>
      <c r="V3488" s="0" t="n">
        <v>0</v>
      </c>
      <c r="W3488" s="39" t="n">
        <f aca="false">IF(I3488="Male",0,1)</f>
        <v>1</v>
      </c>
      <c r="X3488" s="39" t="n">
        <f aca="false">IF(OR(I3488="DNB",I3488="Dry DNB"),1,0)</f>
        <v>0</v>
      </c>
      <c r="Y3488" s="39" t="n">
        <f aca="false">MATCH(A3488,DATAS,0)</f>
        <v>1</v>
      </c>
      <c r="Z3488" s="39" t="n">
        <f aca="false">IF(AND(E3488&gt;0,OR(AND(B3488&gt;=1,B3488&lt;=6),B3488=10)),1,0)</f>
        <v>0</v>
      </c>
      <c r="AA3488" s="39" t="n">
        <f aca="false">IF(AND(E3488&gt;0,B3488=10),1,0)</f>
        <v>0</v>
      </c>
      <c r="AB3488" s="0" t="str">
        <f aca="false">IF(AND(C3487=C3488,Y3487=Y3488-1),Z3487,"")</f>
        <v/>
      </c>
      <c r="AC3488" s="0" t="str">
        <f aca="false">IF(AND(C3487=C3488,Y3487=Y3488-1),AA3487,"")</f>
        <v/>
      </c>
      <c r="AD3488" s="0" t="str">
        <f aca="false">IF(Y3488=1,"",IF(AND(Z3488=1,AB3488&lt;&gt;1),1,0))</f>
        <v/>
      </c>
      <c r="AE3488" s="0" t="str">
        <f aca="false">IF(Y3488=1,"",IF(AND(AA3488=1,AC3488&lt;&gt;1),1,0))</f>
        <v/>
      </c>
      <c r="AF3488" s="45" t="str">
        <f aca="false">IF(AND(E3488&gt;0,Y3488&lt;1,NOT(AND(C3489=C3488,Y3489=Y3488+1))),INDEX(DATAS,Y3488+1),"")</f>
        <v/>
      </c>
      <c r="AG3488" s="45" t="str">
        <f aca="false">IF(AND(AA3488=1,Y3488&lt;1),IF(AND(C3489=C3488,Y3489=Y3488+1),IF(AA3489=1,"",INDEX(DATAS,Y3488+1)),INDEX(DATAS,Y3488+1)),"")</f>
        <v/>
      </c>
    </row>
    <row r="3489" customFormat="false" ht="15" hidden="false" customHeight="false" outlineLevel="0" collapsed="false">
      <c r="A3489" s="45" t="n">
        <v>46309</v>
      </c>
      <c r="B3489" s="0" t="n">
        <v>16</v>
      </c>
      <c r="C3489" s="0" t="n">
        <v>7933</v>
      </c>
      <c r="E3489" s="0" t="n">
        <v>0</v>
      </c>
      <c r="F3489" s="39" t="s">
        <v>1566</v>
      </c>
      <c r="I3489" s="39" t="s">
        <v>136</v>
      </c>
      <c r="U3489" s="0" t="n">
        <v>95</v>
      </c>
      <c r="V3489" s="0" t="n">
        <v>0</v>
      </c>
      <c r="W3489" s="39" t="n">
        <f aca="false">IF(I3489="Male",0,1)</f>
        <v>1</v>
      </c>
      <c r="X3489" s="39" t="n">
        <f aca="false">IF(OR(I3489="DNB",I3489="Dry DNB"),1,0)</f>
        <v>0</v>
      </c>
      <c r="Y3489" s="39" t="n">
        <f aca="false">MATCH(A3489,DATAS,0)</f>
        <v>1</v>
      </c>
      <c r="Z3489" s="39" t="n">
        <f aca="false">IF(AND(E3489&gt;0,OR(AND(B3489&gt;=1,B3489&lt;=6),B3489=10)),1,0)</f>
        <v>0</v>
      </c>
      <c r="AA3489" s="39" t="n">
        <f aca="false">IF(AND(E3489&gt;0,B3489=10),1,0)</f>
        <v>0</v>
      </c>
      <c r="AB3489" s="0" t="str">
        <f aca="false">IF(AND(C3488=C3489,Y3488=Y3489-1),Z3488,"")</f>
        <v/>
      </c>
      <c r="AC3489" s="0" t="str">
        <f aca="false">IF(AND(C3488=C3489,Y3488=Y3489-1),AA3488,"")</f>
        <v/>
      </c>
      <c r="AD3489" s="0" t="str">
        <f aca="false">IF(Y3489=1,"",IF(AND(Z3489=1,AB3489&lt;&gt;1),1,0))</f>
        <v/>
      </c>
      <c r="AE3489" s="0" t="str">
        <f aca="false">IF(Y3489=1,"",IF(AND(AA3489=1,AC3489&lt;&gt;1),1,0))</f>
        <v/>
      </c>
      <c r="AF3489" s="45" t="str">
        <f aca="false">IF(AND(E3489&gt;0,Y3489&lt;1,NOT(AND(C3490=C3489,Y3490=Y3489+1))),INDEX(DATAS,Y3489+1),"")</f>
        <v/>
      </c>
      <c r="AG3489" s="45" t="str">
        <f aca="false">IF(AND(AA3489=1,Y3489&lt;1),IF(AND(C3490=C3489,Y3490=Y3489+1),IF(AA3490=1,"",INDEX(DATAS,Y3489+1)),INDEX(DATAS,Y3489+1)),"")</f>
        <v/>
      </c>
    </row>
    <row r="3490" customFormat="false" ht="15" hidden="false" customHeight="false" outlineLevel="0" collapsed="false">
      <c r="A3490" s="45" t="n">
        <v>46309</v>
      </c>
      <c r="B3490" s="0" t="n">
        <v>16</v>
      </c>
      <c r="C3490" s="0" t="n">
        <v>7934</v>
      </c>
      <c r="E3490" s="0" t="n">
        <v>0</v>
      </c>
      <c r="F3490" s="39" t="s">
        <v>1566</v>
      </c>
      <c r="I3490" s="39" t="s">
        <v>136</v>
      </c>
      <c r="U3490" s="0" t="n">
        <v>95</v>
      </c>
      <c r="V3490" s="0" t="n">
        <v>0</v>
      </c>
      <c r="W3490" s="39" t="n">
        <f aca="false">IF(I3490="Male",0,1)</f>
        <v>1</v>
      </c>
      <c r="X3490" s="39" t="n">
        <f aca="false">IF(OR(I3490="DNB",I3490="Dry DNB"),1,0)</f>
        <v>0</v>
      </c>
      <c r="Y3490" s="39" t="n">
        <f aca="false">MATCH(A3490,DATAS,0)</f>
        <v>1</v>
      </c>
      <c r="Z3490" s="39" t="n">
        <f aca="false">IF(AND(E3490&gt;0,OR(AND(B3490&gt;=1,B3490&lt;=6),B3490=10)),1,0)</f>
        <v>0</v>
      </c>
      <c r="AA3490" s="39" t="n">
        <f aca="false">IF(AND(E3490&gt;0,B3490=10),1,0)</f>
        <v>0</v>
      </c>
      <c r="AB3490" s="0" t="str">
        <f aca="false">IF(AND(C3489=C3490,Y3489=Y3490-1),Z3489,"")</f>
        <v/>
      </c>
      <c r="AC3490" s="0" t="str">
        <f aca="false">IF(AND(C3489=C3490,Y3489=Y3490-1),AA3489,"")</f>
        <v/>
      </c>
      <c r="AD3490" s="0" t="str">
        <f aca="false">IF(Y3490=1,"",IF(AND(Z3490=1,AB3490&lt;&gt;1),1,0))</f>
        <v/>
      </c>
      <c r="AE3490" s="0" t="str">
        <f aca="false">IF(Y3490=1,"",IF(AND(AA3490=1,AC3490&lt;&gt;1),1,0))</f>
        <v/>
      </c>
      <c r="AF3490" s="45" t="str">
        <f aca="false">IF(AND(E3490&gt;0,Y3490&lt;1,NOT(AND(C3491=C3490,Y3491=Y3490+1))),INDEX(DATAS,Y3490+1),"")</f>
        <v/>
      </c>
      <c r="AG3490" s="45" t="str">
        <f aca="false">IF(AND(AA3490=1,Y3490&lt;1),IF(AND(C3491=C3490,Y3491=Y3490+1),IF(AA3491=1,"",INDEX(DATAS,Y3490+1)),INDEX(DATAS,Y3490+1)),"")</f>
        <v/>
      </c>
    </row>
    <row r="3491" customFormat="false" ht="15" hidden="false" customHeight="false" outlineLevel="0" collapsed="false">
      <c r="A3491" s="45" t="n">
        <v>46309</v>
      </c>
      <c r="B3491" s="0" t="n">
        <v>16</v>
      </c>
      <c r="C3491" s="0" t="n">
        <v>7935</v>
      </c>
      <c r="E3491" s="0" t="n">
        <v>0</v>
      </c>
      <c r="F3491" s="39" t="s">
        <v>1567</v>
      </c>
      <c r="I3491" s="39" t="s">
        <v>136</v>
      </c>
      <c r="U3491" s="0" t="n">
        <v>94</v>
      </c>
      <c r="V3491" s="0" t="n">
        <v>0</v>
      </c>
      <c r="W3491" s="39" t="n">
        <f aca="false">IF(I3491="Male",0,1)</f>
        <v>1</v>
      </c>
      <c r="X3491" s="39" t="n">
        <f aca="false">IF(OR(I3491="DNB",I3491="Dry DNB"),1,0)</f>
        <v>0</v>
      </c>
      <c r="Y3491" s="39" t="n">
        <f aca="false">MATCH(A3491,DATAS,0)</f>
        <v>1</v>
      </c>
      <c r="Z3491" s="39" t="n">
        <f aca="false">IF(AND(E3491&gt;0,OR(AND(B3491&gt;=1,B3491&lt;=6),B3491=10)),1,0)</f>
        <v>0</v>
      </c>
      <c r="AA3491" s="39" t="n">
        <f aca="false">IF(AND(E3491&gt;0,B3491=10),1,0)</f>
        <v>0</v>
      </c>
      <c r="AB3491" s="0" t="str">
        <f aca="false">IF(AND(C3490=C3491,Y3490=Y3491-1),Z3490,"")</f>
        <v/>
      </c>
      <c r="AC3491" s="0" t="str">
        <f aca="false">IF(AND(C3490=C3491,Y3490=Y3491-1),AA3490,"")</f>
        <v/>
      </c>
      <c r="AD3491" s="0" t="str">
        <f aca="false">IF(Y3491=1,"",IF(AND(Z3491=1,AB3491&lt;&gt;1),1,0))</f>
        <v/>
      </c>
      <c r="AE3491" s="0" t="str">
        <f aca="false">IF(Y3491=1,"",IF(AND(AA3491=1,AC3491&lt;&gt;1),1,0))</f>
        <v/>
      </c>
      <c r="AF3491" s="45" t="str">
        <f aca="false">IF(AND(E3491&gt;0,Y3491&lt;1,NOT(AND(C3492=C3491,Y3492=Y3491+1))),INDEX(DATAS,Y3491+1),"")</f>
        <v/>
      </c>
      <c r="AG3491" s="45" t="str">
        <f aca="false">IF(AND(AA3491=1,Y3491&lt;1),IF(AND(C3492=C3491,Y3492=Y3491+1),IF(AA3492=1,"",INDEX(DATAS,Y3491+1)),INDEX(DATAS,Y3491+1)),"")</f>
        <v/>
      </c>
    </row>
    <row r="3492" customFormat="false" ht="15" hidden="false" customHeight="false" outlineLevel="0" collapsed="false">
      <c r="A3492" s="45" t="n">
        <v>46309</v>
      </c>
      <c r="B3492" s="0" t="n">
        <v>16</v>
      </c>
      <c r="C3492" s="0" t="n">
        <v>7936</v>
      </c>
      <c r="E3492" s="0" t="n">
        <v>0</v>
      </c>
      <c r="F3492" s="39" t="s">
        <v>1567</v>
      </c>
      <c r="I3492" s="39" t="s">
        <v>136</v>
      </c>
      <c r="U3492" s="0" t="n">
        <v>94</v>
      </c>
      <c r="V3492" s="0" t="n">
        <v>0</v>
      </c>
      <c r="W3492" s="39" t="n">
        <f aca="false">IF(I3492="Male",0,1)</f>
        <v>1</v>
      </c>
      <c r="X3492" s="39" t="n">
        <f aca="false">IF(OR(I3492="DNB",I3492="Dry DNB"),1,0)</f>
        <v>0</v>
      </c>
      <c r="Y3492" s="39" t="n">
        <f aca="false">MATCH(A3492,DATAS,0)</f>
        <v>1</v>
      </c>
      <c r="Z3492" s="39" t="n">
        <f aca="false">IF(AND(E3492&gt;0,OR(AND(B3492&gt;=1,B3492&lt;=6),B3492=10)),1,0)</f>
        <v>0</v>
      </c>
      <c r="AA3492" s="39" t="n">
        <f aca="false">IF(AND(E3492&gt;0,B3492=10),1,0)</f>
        <v>0</v>
      </c>
      <c r="AB3492" s="0" t="str">
        <f aca="false">IF(AND(C3491=C3492,Y3491=Y3492-1),Z3491,"")</f>
        <v/>
      </c>
      <c r="AC3492" s="0" t="str">
        <f aca="false">IF(AND(C3491=C3492,Y3491=Y3492-1),AA3491,"")</f>
        <v/>
      </c>
      <c r="AD3492" s="0" t="str">
        <f aca="false">IF(Y3492=1,"",IF(AND(Z3492=1,AB3492&lt;&gt;1),1,0))</f>
        <v/>
      </c>
      <c r="AE3492" s="0" t="str">
        <f aca="false">IF(Y3492=1,"",IF(AND(AA3492=1,AC3492&lt;&gt;1),1,0))</f>
        <v/>
      </c>
      <c r="AF3492" s="45" t="str">
        <f aca="false">IF(AND(E3492&gt;0,Y3492&lt;1,NOT(AND(C3493=C3492,Y3493=Y3492+1))),INDEX(DATAS,Y3492+1),"")</f>
        <v/>
      </c>
      <c r="AG3492" s="45" t="str">
        <f aca="false">IF(AND(AA3492=1,Y3492&lt;1),IF(AND(C3493=C3492,Y3493=Y3492+1),IF(AA3493=1,"",INDEX(DATAS,Y3492+1)),INDEX(DATAS,Y3492+1)),"")</f>
        <v/>
      </c>
    </row>
    <row r="3493" customFormat="false" ht="15" hidden="false" customHeight="false" outlineLevel="0" collapsed="false">
      <c r="A3493" s="45" t="n">
        <v>46309</v>
      </c>
      <c r="B3493" s="0" t="n">
        <v>16</v>
      </c>
      <c r="C3493" s="0" t="n">
        <v>7937</v>
      </c>
      <c r="E3493" s="0" t="n">
        <v>0</v>
      </c>
      <c r="F3493" s="39" t="s">
        <v>1568</v>
      </c>
      <c r="I3493" s="39" t="s">
        <v>136</v>
      </c>
      <c r="U3493" s="0" t="n">
        <v>93</v>
      </c>
      <c r="V3493" s="0" t="n">
        <v>0</v>
      </c>
      <c r="W3493" s="39" t="n">
        <f aca="false">IF(I3493="Male",0,1)</f>
        <v>1</v>
      </c>
      <c r="X3493" s="39" t="n">
        <f aca="false">IF(OR(I3493="DNB",I3493="Dry DNB"),1,0)</f>
        <v>0</v>
      </c>
      <c r="Y3493" s="39" t="n">
        <f aca="false">MATCH(A3493,DATAS,0)</f>
        <v>1</v>
      </c>
      <c r="Z3493" s="39" t="n">
        <f aca="false">IF(AND(E3493&gt;0,OR(AND(B3493&gt;=1,B3493&lt;=6),B3493=10)),1,0)</f>
        <v>0</v>
      </c>
      <c r="AA3493" s="39" t="n">
        <f aca="false">IF(AND(E3493&gt;0,B3493=10),1,0)</f>
        <v>0</v>
      </c>
      <c r="AB3493" s="0" t="str">
        <f aca="false">IF(AND(C3492=C3493,Y3492=Y3493-1),Z3492,"")</f>
        <v/>
      </c>
      <c r="AC3493" s="0" t="str">
        <f aca="false">IF(AND(C3492=C3493,Y3492=Y3493-1),AA3492,"")</f>
        <v/>
      </c>
      <c r="AD3493" s="0" t="str">
        <f aca="false">IF(Y3493=1,"",IF(AND(Z3493=1,AB3493&lt;&gt;1),1,0))</f>
        <v/>
      </c>
      <c r="AE3493" s="0" t="str">
        <f aca="false">IF(Y3493=1,"",IF(AND(AA3493=1,AC3493&lt;&gt;1),1,0))</f>
        <v/>
      </c>
      <c r="AF3493" s="45" t="str">
        <f aca="false">IF(AND(E3493&gt;0,Y3493&lt;1,NOT(AND(C3494=C3493,Y3494=Y3493+1))),INDEX(DATAS,Y3493+1),"")</f>
        <v/>
      </c>
      <c r="AG3493" s="45" t="str">
        <f aca="false">IF(AND(AA3493=1,Y3493&lt;1),IF(AND(C3494=C3493,Y3494=Y3493+1),IF(AA3494=1,"",INDEX(DATAS,Y3493+1)),INDEX(DATAS,Y3493+1)),"")</f>
        <v/>
      </c>
    </row>
    <row r="3494" customFormat="false" ht="15" hidden="false" customHeight="false" outlineLevel="0" collapsed="false">
      <c r="A3494" s="45" t="n">
        <v>46309</v>
      </c>
      <c r="B3494" s="0" t="n">
        <v>16</v>
      </c>
      <c r="C3494" s="0" t="n">
        <v>7938</v>
      </c>
      <c r="E3494" s="0" t="n">
        <v>0</v>
      </c>
      <c r="F3494" s="39" t="s">
        <v>1568</v>
      </c>
      <c r="I3494" s="39" t="s">
        <v>136</v>
      </c>
      <c r="U3494" s="0" t="n">
        <v>93</v>
      </c>
      <c r="V3494" s="0" t="n">
        <v>0</v>
      </c>
      <c r="W3494" s="39" t="n">
        <f aca="false">IF(I3494="Male",0,1)</f>
        <v>1</v>
      </c>
      <c r="X3494" s="39" t="n">
        <f aca="false">IF(OR(I3494="DNB",I3494="Dry DNB"),1,0)</f>
        <v>0</v>
      </c>
      <c r="Y3494" s="39" t="n">
        <f aca="false">MATCH(A3494,DATAS,0)</f>
        <v>1</v>
      </c>
      <c r="Z3494" s="39" t="n">
        <f aca="false">IF(AND(E3494&gt;0,OR(AND(B3494&gt;=1,B3494&lt;=6),B3494=10)),1,0)</f>
        <v>0</v>
      </c>
      <c r="AA3494" s="39" t="n">
        <f aca="false">IF(AND(E3494&gt;0,B3494=10),1,0)</f>
        <v>0</v>
      </c>
      <c r="AB3494" s="0" t="str">
        <f aca="false">IF(AND(C3493=C3494,Y3493=Y3494-1),Z3493,"")</f>
        <v/>
      </c>
      <c r="AC3494" s="0" t="str">
        <f aca="false">IF(AND(C3493=C3494,Y3493=Y3494-1),AA3493,"")</f>
        <v/>
      </c>
      <c r="AD3494" s="0" t="str">
        <f aca="false">IF(Y3494=1,"",IF(AND(Z3494=1,AB3494&lt;&gt;1),1,0))</f>
        <v/>
      </c>
      <c r="AE3494" s="0" t="str">
        <f aca="false">IF(Y3494=1,"",IF(AND(AA3494=1,AC3494&lt;&gt;1),1,0))</f>
        <v/>
      </c>
      <c r="AF3494" s="45" t="str">
        <f aca="false">IF(AND(E3494&gt;0,Y3494&lt;1,NOT(AND(C3495=C3494,Y3495=Y3494+1))),INDEX(DATAS,Y3494+1),"")</f>
        <v/>
      </c>
      <c r="AG3494" s="45" t="str">
        <f aca="false">IF(AND(AA3494=1,Y3494&lt;1),IF(AND(C3495=C3494,Y3495=Y3494+1),IF(AA3495=1,"",INDEX(DATAS,Y3494+1)),INDEX(DATAS,Y3494+1)),"")</f>
        <v/>
      </c>
    </row>
    <row r="3495" customFormat="false" ht="15" hidden="false" customHeight="false" outlineLevel="0" collapsed="false">
      <c r="A3495" s="45" t="n">
        <v>46309</v>
      </c>
      <c r="B3495" s="0" t="n">
        <v>16</v>
      </c>
      <c r="C3495" s="0" t="n">
        <v>7939</v>
      </c>
      <c r="E3495" s="0" t="n">
        <v>0</v>
      </c>
      <c r="F3495" s="39" t="s">
        <v>1568</v>
      </c>
      <c r="I3495" s="39" t="s">
        <v>136</v>
      </c>
      <c r="U3495" s="0" t="n">
        <v>93</v>
      </c>
      <c r="V3495" s="0" t="n">
        <v>0</v>
      </c>
      <c r="W3495" s="39" t="n">
        <f aca="false">IF(I3495="Male",0,1)</f>
        <v>1</v>
      </c>
      <c r="X3495" s="39" t="n">
        <f aca="false">IF(OR(I3495="DNB",I3495="Dry DNB"),1,0)</f>
        <v>0</v>
      </c>
      <c r="Y3495" s="39" t="n">
        <f aca="false">MATCH(A3495,DATAS,0)</f>
        <v>1</v>
      </c>
      <c r="Z3495" s="39" t="n">
        <f aca="false">IF(AND(E3495&gt;0,OR(AND(B3495&gt;=1,B3495&lt;=6),B3495=10)),1,0)</f>
        <v>0</v>
      </c>
      <c r="AA3495" s="39" t="n">
        <f aca="false">IF(AND(E3495&gt;0,B3495=10),1,0)</f>
        <v>0</v>
      </c>
      <c r="AB3495" s="0" t="str">
        <f aca="false">IF(AND(C3494=C3495,Y3494=Y3495-1),Z3494,"")</f>
        <v/>
      </c>
      <c r="AC3495" s="0" t="str">
        <f aca="false">IF(AND(C3494=C3495,Y3494=Y3495-1),AA3494,"")</f>
        <v/>
      </c>
      <c r="AD3495" s="0" t="str">
        <f aca="false">IF(Y3495=1,"",IF(AND(Z3495=1,AB3495&lt;&gt;1),1,0))</f>
        <v/>
      </c>
      <c r="AE3495" s="0" t="str">
        <f aca="false">IF(Y3495=1,"",IF(AND(AA3495=1,AC3495&lt;&gt;1),1,0))</f>
        <v/>
      </c>
      <c r="AF3495" s="45" t="str">
        <f aca="false">IF(AND(E3495&gt;0,Y3495&lt;1,NOT(AND(C3496=C3495,Y3496=Y3495+1))),INDEX(DATAS,Y3495+1),"")</f>
        <v/>
      </c>
      <c r="AG3495" s="45" t="str">
        <f aca="false">IF(AND(AA3495=1,Y3495&lt;1),IF(AND(C3496=C3495,Y3496=Y3495+1),IF(AA3496=1,"",INDEX(DATAS,Y3495+1)),INDEX(DATAS,Y3495+1)),"")</f>
        <v/>
      </c>
    </row>
    <row r="3496" customFormat="false" ht="15" hidden="false" customHeight="false" outlineLevel="0" collapsed="false">
      <c r="A3496" s="45" t="n">
        <v>46309</v>
      </c>
      <c r="B3496" s="0" t="n">
        <v>16</v>
      </c>
      <c r="C3496" s="0" t="n">
        <v>7940</v>
      </c>
      <c r="E3496" s="0" t="n">
        <v>0</v>
      </c>
      <c r="F3496" s="39" t="s">
        <v>1569</v>
      </c>
      <c r="I3496" s="39" t="s">
        <v>136</v>
      </c>
      <c r="U3496" s="0" t="n">
        <v>92</v>
      </c>
      <c r="V3496" s="0" t="n">
        <v>0</v>
      </c>
      <c r="W3496" s="39" t="n">
        <f aca="false">IF(I3496="Male",0,1)</f>
        <v>1</v>
      </c>
      <c r="X3496" s="39" t="n">
        <f aca="false">IF(OR(I3496="DNB",I3496="Dry DNB"),1,0)</f>
        <v>0</v>
      </c>
      <c r="Y3496" s="39" t="n">
        <f aca="false">MATCH(A3496,DATAS,0)</f>
        <v>1</v>
      </c>
      <c r="Z3496" s="39" t="n">
        <f aca="false">IF(AND(E3496&gt;0,OR(AND(B3496&gt;=1,B3496&lt;=6),B3496=10)),1,0)</f>
        <v>0</v>
      </c>
      <c r="AA3496" s="39" t="n">
        <f aca="false">IF(AND(E3496&gt;0,B3496=10),1,0)</f>
        <v>0</v>
      </c>
      <c r="AB3496" s="0" t="str">
        <f aca="false">IF(AND(C3495=C3496,Y3495=Y3496-1),Z3495,"")</f>
        <v/>
      </c>
      <c r="AC3496" s="0" t="str">
        <f aca="false">IF(AND(C3495=C3496,Y3495=Y3496-1),AA3495,"")</f>
        <v/>
      </c>
      <c r="AD3496" s="0" t="str">
        <f aca="false">IF(Y3496=1,"",IF(AND(Z3496=1,AB3496&lt;&gt;1),1,0))</f>
        <v/>
      </c>
      <c r="AE3496" s="0" t="str">
        <f aca="false">IF(Y3496=1,"",IF(AND(AA3496=1,AC3496&lt;&gt;1),1,0))</f>
        <v/>
      </c>
      <c r="AF3496" s="45" t="str">
        <f aca="false">IF(AND(E3496&gt;0,Y3496&lt;1,NOT(AND(C3497=C3496,Y3497=Y3496+1))),INDEX(DATAS,Y3496+1),"")</f>
        <v/>
      </c>
      <c r="AG3496" s="45" t="str">
        <f aca="false">IF(AND(AA3496=1,Y3496&lt;1),IF(AND(C3497=C3496,Y3497=Y3496+1),IF(AA3497=1,"",INDEX(DATAS,Y3496+1)),INDEX(DATAS,Y3496+1)),"")</f>
        <v/>
      </c>
    </row>
    <row r="3497" customFormat="false" ht="15" hidden="false" customHeight="false" outlineLevel="0" collapsed="false">
      <c r="A3497" s="45" t="n">
        <v>46309</v>
      </c>
      <c r="B3497" s="0" t="n">
        <v>16</v>
      </c>
      <c r="C3497" s="0" t="n">
        <v>7941</v>
      </c>
      <c r="E3497" s="0" t="n">
        <v>0</v>
      </c>
      <c r="F3497" s="39" t="s">
        <v>1569</v>
      </c>
      <c r="I3497" s="39" t="s">
        <v>136</v>
      </c>
      <c r="U3497" s="0" t="n">
        <v>92</v>
      </c>
      <c r="V3497" s="0" t="n">
        <v>0</v>
      </c>
      <c r="W3497" s="39" t="n">
        <f aca="false">IF(I3497="Male",0,1)</f>
        <v>1</v>
      </c>
      <c r="X3497" s="39" t="n">
        <f aca="false">IF(OR(I3497="DNB",I3497="Dry DNB"),1,0)</f>
        <v>0</v>
      </c>
      <c r="Y3497" s="39" t="n">
        <f aca="false">MATCH(A3497,DATAS,0)</f>
        <v>1</v>
      </c>
      <c r="Z3497" s="39" t="n">
        <f aca="false">IF(AND(E3497&gt;0,OR(AND(B3497&gt;=1,B3497&lt;=6),B3497=10)),1,0)</f>
        <v>0</v>
      </c>
      <c r="AA3497" s="39" t="n">
        <f aca="false">IF(AND(E3497&gt;0,B3497=10),1,0)</f>
        <v>0</v>
      </c>
      <c r="AB3497" s="0" t="str">
        <f aca="false">IF(AND(C3496=C3497,Y3496=Y3497-1),Z3496,"")</f>
        <v/>
      </c>
      <c r="AC3497" s="0" t="str">
        <f aca="false">IF(AND(C3496=C3497,Y3496=Y3497-1),AA3496,"")</f>
        <v/>
      </c>
      <c r="AD3497" s="0" t="str">
        <f aca="false">IF(Y3497=1,"",IF(AND(Z3497=1,AB3497&lt;&gt;1),1,0))</f>
        <v/>
      </c>
      <c r="AE3497" s="0" t="str">
        <f aca="false">IF(Y3497=1,"",IF(AND(AA3497=1,AC3497&lt;&gt;1),1,0))</f>
        <v/>
      </c>
      <c r="AF3497" s="45" t="str">
        <f aca="false">IF(AND(E3497&gt;0,Y3497&lt;1,NOT(AND(C3498=C3497,Y3498=Y3497+1))),INDEX(DATAS,Y3497+1),"")</f>
        <v/>
      </c>
      <c r="AG3497" s="45" t="str">
        <f aca="false">IF(AND(AA3497=1,Y3497&lt;1),IF(AND(C3498=C3497,Y3498=Y3497+1),IF(AA3498=1,"",INDEX(DATAS,Y3497+1)),INDEX(DATAS,Y3497+1)),"")</f>
        <v/>
      </c>
    </row>
    <row r="3498" customFormat="false" ht="15" hidden="false" customHeight="false" outlineLevel="0" collapsed="false">
      <c r="A3498" s="45" t="n">
        <v>46309</v>
      </c>
      <c r="B3498" s="0" t="n">
        <v>16</v>
      </c>
      <c r="C3498" s="0" t="n">
        <v>7942</v>
      </c>
      <c r="E3498" s="0" t="n">
        <v>0</v>
      </c>
      <c r="F3498" s="39" t="s">
        <v>1570</v>
      </c>
      <c r="I3498" s="39" t="s">
        <v>136</v>
      </c>
      <c r="U3498" s="0" t="n">
        <v>91</v>
      </c>
      <c r="V3498" s="0" t="n">
        <v>0</v>
      </c>
      <c r="W3498" s="39" t="n">
        <f aca="false">IF(I3498="Male",0,1)</f>
        <v>1</v>
      </c>
      <c r="X3498" s="39" t="n">
        <f aca="false">IF(OR(I3498="DNB",I3498="Dry DNB"),1,0)</f>
        <v>0</v>
      </c>
      <c r="Y3498" s="39" t="n">
        <f aca="false">MATCH(A3498,DATAS,0)</f>
        <v>1</v>
      </c>
      <c r="Z3498" s="39" t="n">
        <f aca="false">IF(AND(E3498&gt;0,OR(AND(B3498&gt;=1,B3498&lt;=6),B3498=10)),1,0)</f>
        <v>0</v>
      </c>
      <c r="AA3498" s="39" t="n">
        <f aca="false">IF(AND(E3498&gt;0,B3498=10),1,0)</f>
        <v>0</v>
      </c>
      <c r="AB3498" s="0" t="str">
        <f aca="false">IF(AND(C3497=C3498,Y3497=Y3498-1),Z3497,"")</f>
        <v/>
      </c>
      <c r="AC3498" s="0" t="str">
        <f aca="false">IF(AND(C3497=C3498,Y3497=Y3498-1),AA3497,"")</f>
        <v/>
      </c>
      <c r="AD3498" s="0" t="str">
        <f aca="false">IF(Y3498=1,"",IF(AND(Z3498=1,AB3498&lt;&gt;1),1,0))</f>
        <v/>
      </c>
      <c r="AE3498" s="0" t="str">
        <f aca="false">IF(Y3498=1,"",IF(AND(AA3498=1,AC3498&lt;&gt;1),1,0))</f>
        <v/>
      </c>
      <c r="AF3498" s="45" t="str">
        <f aca="false">IF(AND(E3498&gt;0,Y3498&lt;1,NOT(AND(C3499=C3498,Y3499=Y3498+1))),INDEX(DATAS,Y3498+1),"")</f>
        <v/>
      </c>
      <c r="AG3498" s="45" t="str">
        <f aca="false">IF(AND(AA3498=1,Y3498&lt;1),IF(AND(C3499=C3498,Y3499=Y3498+1),IF(AA3499=1,"",INDEX(DATAS,Y3498+1)),INDEX(DATAS,Y3498+1)),"")</f>
        <v/>
      </c>
    </row>
    <row r="3499" customFormat="false" ht="15" hidden="false" customHeight="false" outlineLevel="0" collapsed="false">
      <c r="A3499" s="45" t="n">
        <v>46309</v>
      </c>
      <c r="B3499" s="0" t="n">
        <v>16</v>
      </c>
      <c r="C3499" s="0" t="n">
        <v>7943</v>
      </c>
      <c r="E3499" s="0" t="n">
        <v>0</v>
      </c>
      <c r="F3499" s="39" t="s">
        <v>1571</v>
      </c>
      <c r="I3499" s="39" t="s">
        <v>136</v>
      </c>
      <c r="U3499" s="0" t="n">
        <v>90</v>
      </c>
      <c r="V3499" s="0" t="n">
        <v>0</v>
      </c>
      <c r="W3499" s="39" t="n">
        <f aca="false">IF(I3499="Male",0,1)</f>
        <v>1</v>
      </c>
      <c r="X3499" s="39" t="n">
        <f aca="false">IF(OR(I3499="DNB",I3499="Dry DNB"),1,0)</f>
        <v>0</v>
      </c>
      <c r="Y3499" s="39" t="n">
        <f aca="false">MATCH(A3499,DATAS,0)</f>
        <v>1</v>
      </c>
      <c r="Z3499" s="39" t="n">
        <f aca="false">IF(AND(E3499&gt;0,OR(AND(B3499&gt;=1,B3499&lt;=6),B3499=10)),1,0)</f>
        <v>0</v>
      </c>
      <c r="AA3499" s="39" t="n">
        <f aca="false">IF(AND(E3499&gt;0,B3499=10),1,0)</f>
        <v>0</v>
      </c>
      <c r="AB3499" s="0" t="str">
        <f aca="false">IF(AND(C3498=C3499,Y3498=Y3499-1),Z3498,"")</f>
        <v/>
      </c>
      <c r="AC3499" s="0" t="str">
        <f aca="false">IF(AND(C3498=C3499,Y3498=Y3499-1),AA3498,"")</f>
        <v/>
      </c>
      <c r="AD3499" s="0" t="str">
        <f aca="false">IF(Y3499=1,"",IF(AND(Z3499=1,AB3499&lt;&gt;1),1,0))</f>
        <v/>
      </c>
      <c r="AE3499" s="0" t="str">
        <f aca="false">IF(Y3499=1,"",IF(AND(AA3499=1,AC3499&lt;&gt;1),1,0))</f>
        <v/>
      </c>
      <c r="AF3499" s="45" t="str">
        <f aca="false">IF(AND(E3499&gt;0,Y3499&lt;1,NOT(AND(C3500=C3499,Y3500=Y3499+1))),INDEX(DATAS,Y3499+1),"")</f>
        <v/>
      </c>
      <c r="AG3499" s="45" t="str">
        <f aca="false">IF(AND(AA3499=1,Y3499&lt;1),IF(AND(C3500=C3499,Y3500=Y3499+1),IF(AA3500=1,"",INDEX(DATAS,Y3499+1)),INDEX(DATAS,Y3499+1)),"")</f>
        <v/>
      </c>
    </row>
    <row r="3500" customFormat="false" ht="15" hidden="false" customHeight="false" outlineLevel="0" collapsed="false">
      <c r="A3500" s="45" t="n">
        <v>46309</v>
      </c>
      <c r="B3500" s="0" t="n">
        <v>16</v>
      </c>
      <c r="C3500" s="0" t="n">
        <v>7944</v>
      </c>
      <c r="E3500" s="0" t="n">
        <v>0</v>
      </c>
      <c r="F3500" s="39" t="s">
        <v>1571</v>
      </c>
      <c r="I3500" s="39" t="s">
        <v>136</v>
      </c>
      <c r="U3500" s="0" t="n">
        <v>90</v>
      </c>
      <c r="V3500" s="0" t="n">
        <v>0</v>
      </c>
      <c r="W3500" s="39" t="n">
        <f aca="false">IF(I3500="Male",0,1)</f>
        <v>1</v>
      </c>
      <c r="X3500" s="39" t="n">
        <f aca="false">IF(OR(I3500="DNB",I3500="Dry DNB"),1,0)</f>
        <v>0</v>
      </c>
      <c r="Y3500" s="39" t="n">
        <f aca="false">MATCH(A3500,DATAS,0)</f>
        <v>1</v>
      </c>
      <c r="Z3500" s="39" t="n">
        <f aca="false">IF(AND(E3500&gt;0,OR(AND(B3500&gt;=1,B3500&lt;=6),B3500=10)),1,0)</f>
        <v>0</v>
      </c>
      <c r="AA3500" s="39" t="n">
        <f aca="false">IF(AND(E3500&gt;0,B3500=10),1,0)</f>
        <v>0</v>
      </c>
      <c r="AB3500" s="0" t="str">
        <f aca="false">IF(AND(C3499=C3500,Y3499=Y3500-1),Z3499,"")</f>
        <v/>
      </c>
      <c r="AC3500" s="0" t="str">
        <f aca="false">IF(AND(C3499=C3500,Y3499=Y3500-1),AA3499,"")</f>
        <v/>
      </c>
      <c r="AD3500" s="0" t="str">
        <f aca="false">IF(Y3500=1,"",IF(AND(Z3500=1,AB3500&lt;&gt;1),1,0))</f>
        <v/>
      </c>
      <c r="AE3500" s="0" t="str">
        <f aca="false">IF(Y3500=1,"",IF(AND(AA3500=1,AC3500&lt;&gt;1),1,0))</f>
        <v/>
      </c>
      <c r="AF3500" s="45" t="str">
        <f aca="false">IF(AND(E3500&gt;0,Y3500&lt;1,NOT(AND(C3501=C3500,Y3501=Y3500+1))),INDEX(DATAS,Y3500+1),"")</f>
        <v/>
      </c>
      <c r="AG3500" s="45" t="str">
        <f aca="false">IF(AND(AA3500=1,Y3500&lt;1),IF(AND(C3501=C3500,Y3501=Y3500+1),IF(AA3501=1,"",INDEX(DATAS,Y3500+1)),INDEX(DATAS,Y3500+1)),"")</f>
        <v/>
      </c>
    </row>
    <row r="3501" customFormat="false" ht="15" hidden="false" customHeight="false" outlineLevel="0" collapsed="false">
      <c r="A3501" s="45" t="n">
        <v>46309</v>
      </c>
      <c r="B3501" s="0" t="n">
        <v>16</v>
      </c>
      <c r="C3501" s="0" t="n">
        <v>7945</v>
      </c>
      <c r="E3501" s="0" t="n">
        <v>0</v>
      </c>
      <c r="F3501" s="39" t="s">
        <v>1571</v>
      </c>
      <c r="I3501" s="39" t="s">
        <v>136</v>
      </c>
      <c r="U3501" s="0" t="n">
        <v>90</v>
      </c>
      <c r="V3501" s="0" t="n">
        <v>0</v>
      </c>
      <c r="W3501" s="39" t="n">
        <f aca="false">IF(I3501="Male",0,1)</f>
        <v>1</v>
      </c>
      <c r="X3501" s="39" t="n">
        <f aca="false">IF(OR(I3501="DNB",I3501="Dry DNB"),1,0)</f>
        <v>0</v>
      </c>
      <c r="Y3501" s="39" t="n">
        <f aca="false">MATCH(A3501,DATAS,0)</f>
        <v>1</v>
      </c>
      <c r="Z3501" s="39" t="n">
        <f aca="false">IF(AND(E3501&gt;0,OR(AND(B3501&gt;=1,B3501&lt;=6),B3501=10)),1,0)</f>
        <v>0</v>
      </c>
      <c r="AA3501" s="39" t="n">
        <f aca="false">IF(AND(E3501&gt;0,B3501=10),1,0)</f>
        <v>0</v>
      </c>
      <c r="AB3501" s="0" t="str">
        <f aca="false">IF(AND(C3500=C3501,Y3500=Y3501-1),Z3500,"")</f>
        <v/>
      </c>
      <c r="AC3501" s="0" t="str">
        <f aca="false">IF(AND(C3500=C3501,Y3500=Y3501-1),AA3500,"")</f>
        <v/>
      </c>
      <c r="AD3501" s="0" t="str">
        <f aca="false">IF(Y3501=1,"",IF(AND(Z3501=1,AB3501&lt;&gt;1),1,0))</f>
        <v/>
      </c>
      <c r="AE3501" s="0" t="str">
        <f aca="false">IF(Y3501=1,"",IF(AND(AA3501=1,AC3501&lt;&gt;1),1,0))</f>
        <v/>
      </c>
      <c r="AF3501" s="45" t="str">
        <f aca="false">IF(AND(E3501&gt;0,Y3501&lt;1,NOT(AND(C3502=C3501,Y3502=Y3501+1))),INDEX(DATAS,Y3501+1),"")</f>
        <v/>
      </c>
      <c r="AG3501" s="45" t="str">
        <f aca="false">IF(AND(AA3501=1,Y3501&lt;1),IF(AND(C3502=C3501,Y3502=Y3501+1),IF(AA3502=1,"",INDEX(DATAS,Y3501+1)),INDEX(DATAS,Y3501+1)),"")</f>
        <v/>
      </c>
    </row>
    <row r="3502" customFormat="false" ht="15" hidden="false" customHeight="false" outlineLevel="0" collapsed="false">
      <c r="A3502" s="45" t="n">
        <v>46309</v>
      </c>
      <c r="B3502" s="0" t="n">
        <v>16</v>
      </c>
      <c r="C3502" s="0" t="n">
        <v>7946</v>
      </c>
      <c r="E3502" s="0" t="n">
        <v>0</v>
      </c>
      <c r="F3502" s="39" t="s">
        <v>1571</v>
      </c>
      <c r="I3502" s="39" t="s">
        <v>136</v>
      </c>
      <c r="U3502" s="0" t="n">
        <v>90</v>
      </c>
      <c r="V3502" s="0" t="n">
        <v>0</v>
      </c>
      <c r="W3502" s="39" t="n">
        <f aca="false">IF(I3502="Male",0,1)</f>
        <v>1</v>
      </c>
      <c r="X3502" s="39" t="n">
        <f aca="false">IF(OR(I3502="DNB",I3502="Dry DNB"),1,0)</f>
        <v>0</v>
      </c>
      <c r="Y3502" s="39" t="n">
        <f aca="false">MATCH(A3502,DATAS,0)</f>
        <v>1</v>
      </c>
      <c r="Z3502" s="39" t="n">
        <f aca="false">IF(AND(E3502&gt;0,OR(AND(B3502&gt;=1,B3502&lt;=6),B3502=10)),1,0)</f>
        <v>0</v>
      </c>
      <c r="AA3502" s="39" t="n">
        <f aca="false">IF(AND(E3502&gt;0,B3502=10),1,0)</f>
        <v>0</v>
      </c>
      <c r="AB3502" s="0" t="str">
        <f aca="false">IF(AND(C3501=C3502,Y3501=Y3502-1),Z3501,"")</f>
        <v/>
      </c>
      <c r="AC3502" s="0" t="str">
        <f aca="false">IF(AND(C3501=C3502,Y3501=Y3502-1),AA3501,"")</f>
        <v/>
      </c>
      <c r="AD3502" s="0" t="str">
        <f aca="false">IF(Y3502=1,"",IF(AND(Z3502=1,AB3502&lt;&gt;1),1,0))</f>
        <v/>
      </c>
      <c r="AE3502" s="0" t="str">
        <f aca="false">IF(Y3502=1,"",IF(AND(AA3502=1,AC3502&lt;&gt;1),1,0))</f>
        <v/>
      </c>
      <c r="AF3502" s="45" t="str">
        <f aca="false">IF(AND(E3502&gt;0,Y3502&lt;1,NOT(AND(C3503=C3502,Y3503=Y3502+1))),INDEX(DATAS,Y3502+1),"")</f>
        <v/>
      </c>
      <c r="AG3502" s="45" t="str">
        <f aca="false">IF(AND(AA3502=1,Y3502&lt;1),IF(AND(C3503=C3502,Y3503=Y3502+1),IF(AA3503=1,"",INDEX(DATAS,Y3502+1)),INDEX(DATAS,Y3502+1)),"")</f>
        <v/>
      </c>
    </row>
    <row r="3503" customFormat="false" ht="15" hidden="false" customHeight="false" outlineLevel="0" collapsed="false">
      <c r="A3503" s="45" t="n">
        <v>46309</v>
      </c>
      <c r="B3503" s="0" t="n">
        <v>16</v>
      </c>
      <c r="C3503" s="0" t="n">
        <v>7947</v>
      </c>
      <c r="E3503" s="0" t="n">
        <v>0</v>
      </c>
      <c r="F3503" s="39" t="s">
        <v>1571</v>
      </c>
      <c r="I3503" s="39" t="s">
        <v>136</v>
      </c>
      <c r="U3503" s="0" t="n">
        <v>90</v>
      </c>
      <c r="V3503" s="0" t="n">
        <v>0</v>
      </c>
      <c r="W3503" s="39" t="n">
        <f aca="false">IF(I3503="Male",0,1)</f>
        <v>1</v>
      </c>
      <c r="X3503" s="39" t="n">
        <f aca="false">IF(OR(I3503="DNB",I3503="Dry DNB"),1,0)</f>
        <v>0</v>
      </c>
      <c r="Y3503" s="39" t="n">
        <f aca="false">MATCH(A3503,DATAS,0)</f>
        <v>1</v>
      </c>
      <c r="Z3503" s="39" t="n">
        <f aca="false">IF(AND(E3503&gt;0,OR(AND(B3503&gt;=1,B3503&lt;=6),B3503=10)),1,0)</f>
        <v>0</v>
      </c>
      <c r="AA3503" s="39" t="n">
        <f aca="false">IF(AND(E3503&gt;0,B3503=10),1,0)</f>
        <v>0</v>
      </c>
      <c r="AB3503" s="0" t="str">
        <f aca="false">IF(AND(C3502=C3503,Y3502=Y3503-1),Z3502,"")</f>
        <v/>
      </c>
      <c r="AC3503" s="0" t="str">
        <f aca="false">IF(AND(C3502=C3503,Y3502=Y3503-1),AA3502,"")</f>
        <v/>
      </c>
      <c r="AD3503" s="0" t="str">
        <f aca="false">IF(Y3503=1,"",IF(AND(Z3503=1,AB3503&lt;&gt;1),1,0))</f>
        <v/>
      </c>
      <c r="AE3503" s="0" t="str">
        <f aca="false">IF(Y3503=1,"",IF(AND(AA3503=1,AC3503&lt;&gt;1),1,0))</f>
        <v/>
      </c>
      <c r="AF3503" s="45" t="str">
        <f aca="false">IF(AND(E3503&gt;0,Y3503&lt;1,NOT(AND(C3504=C3503,Y3504=Y3503+1))),INDEX(DATAS,Y3503+1),"")</f>
        <v/>
      </c>
      <c r="AG3503" s="45" t="str">
        <f aca="false">IF(AND(AA3503=1,Y3503&lt;1),IF(AND(C3504=C3503,Y3504=Y3503+1),IF(AA3504=1,"",INDEX(DATAS,Y3503+1)),INDEX(DATAS,Y3503+1)),"")</f>
        <v/>
      </c>
    </row>
    <row r="3504" customFormat="false" ht="15" hidden="false" customHeight="false" outlineLevel="0" collapsed="false">
      <c r="A3504" s="45" t="n">
        <v>46309</v>
      </c>
      <c r="B3504" s="0" t="n">
        <v>16</v>
      </c>
      <c r="C3504" s="0" t="n">
        <v>7948</v>
      </c>
      <c r="E3504" s="0" t="n">
        <v>0</v>
      </c>
      <c r="F3504" s="39" t="s">
        <v>1571</v>
      </c>
      <c r="I3504" s="39" t="s">
        <v>136</v>
      </c>
      <c r="U3504" s="0" t="n">
        <v>90</v>
      </c>
      <c r="V3504" s="0" t="n">
        <v>0</v>
      </c>
      <c r="W3504" s="39" t="n">
        <f aca="false">IF(I3504="Male",0,1)</f>
        <v>1</v>
      </c>
      <c r="X3504" s="39" t="n">
        <f aca="false">IF(OR(I3504="DNB",I3504="Dry DNB"),1,0)</f>
        <v>0</v>
      </c>
      <c r="Y3504" s="39" t="n">
        <f aca="false">MATCH(A3504,DATAS,0)</f>
        <v>1</v>
      </c>
      <c r="Z3504" s="39" t="n">
        <f aca="false">IF(AND(E3504&gt;0,OR(AND(B3504&gt;=1,B3504&lt;=6),B3504=10)),1,0)</f>
        <v>0</v>
      </c>
      <c r="AA3504" s="39" t="n">
        <f aca="false">IF(AND(E3504&gt;0,B3504=10),1,0)</f>
        <v>0</v>
      </c>
      <c r="AB3504" s="0" t="str">
        <f aca="false">IF(AND(C3503=C3504,Y3503=Y3504-1),Z3503,"")</f>
        <v/>
      </c>
      <c r="AC3504" s="0" t="str">
        <f aca="false">IF(AND(C3503=C3504,Y3503=Y3504-1),AA3503,"")</f>
        <v/>
      </c>
      <c r="AD3504" s="0" t="str">
        <f aca="false">IF(Y3504=1,"",IF(AND(Z3504=1,AB3504&lt;&gt;1),1,0))</f>
        <v/>
      </c>
      <c r="AE3504" s="0" t="str">
        <f aca="false">IF(Y3504=1,"",IF(AND(AA3504=1,AC3504&lt;&gt;1),1,0))</f>
        <v/>
      </c>
      <c r="AF3504" s="45" t="str">
        <f aca="false">IF(AND(E3504&gt;0,Y3504&lt;1,NOT(AND(C3505=C3504,Y3505=Y3504+1))),INDEX(DATAS,Y3504+1),"")</f>
        <v/>
      </c>
      <c r="AG3504" s="45" t="str">
        <f aca="false">IF(AND(AA3504=1,Y3504&lt;1),IF(AND(C3505=C3504,Y3505=Y3504+1),IF(AA3505=1,"",INDEX(DATAS,Y3504+1)),INDEX(DATAS,Y3504+1)),"")</f>
        <v/>
      </c>
    </row>
    <row r="3505" customFormat="false" ht="15" hidden="false" customHeight="false" outlineLevel="0" collapsed="false">
      <c r="A3505" s="45" t="n">
        <v>46309</v>
      </c>
      <c r="B3505" s="0" t="n">
        <v>16</v>
      </c>
      <c r="C3505" s="0" t="n">
        <v>7949</v>
      </c>
      <c r="E3505" s="0" t="n">
        <v>0</v>
      </c>
      <c r="F3505" s="39" t="s">
        <v>1571</v>
      </c>
      <c r="I3505" s="39" t="s">
        <v>136</v>
      </c>
      <c r="U3505" s="0" t="n">
        <v>90</v>
      </c>
      <c r="V3505" s="0" t="n">
        <v>0</v>
      </c>
      <c r="W3505" s="39" t="n">
        <f aca="false">IF(I3505="Male",0,1)</f>
        <v>1</v>
      </c>
      <c r="X3505" s="39" t="n">
        <f aca="false">IF(OR(I3505="DNB",I3505="Dry DNB"),1,0)</f>
        <v>0</v>
      </c>
      <c r="Y3505" s="39" t="n">
        <f aca="false">MATCH(A3505,DATAS,0)</f>
        <v>1</v>
      </c>
      <c r="Z3505" s="39" t="n">
        <f aca="false">IF(AND(E3505&gt;0,OR(AND(B3505&gt;=1,B3505&lt;=6),B3505=10)),1,0)</f>
        <v>0</v>
      </c>
      <c r="AA3505" s="39" t="n">
        <f aca="false">IF(AND(E3505&gt;0,B3505=10),1,0)</f>
        <v>0</v>
      </c>
      <c r="AB3505" s="0" t="str">
        <f aca="false">IF(AND(C3504=C3505,Y3504=Y3505-1),Z3504,"")</f>
        <v/>
      </c>
      <c r="AC3505" s="0" t="str">
        <f aca="false">IF(AND(C3504=C3505,Y3504=Y3505-1),AA3504,"")</f>
        <v/>
      </c>
      <c r="AD3505" s="0" t="str">
        <f aca="false">IF(Y3505=1,"",IF(AND(Z3505=1,AB3505&lt;&gt;1),1,0))</f>
        <v/>
      </c>
      <c r="AE3505" s="0" t="str">
        <f aca="false">IF(Y3505=1,"",IF(AND(AA3505=1,AC3505&lt;&gt;1),1,0))</f>
        <v/>
      </c>
      <c r="AF3505" s="45" t="str">
        <f aca="false">IF(AND(E3505&gt;0,Y3505&lt;1,NOT(AND(C3506=C3505,Y3506=Y3505+1))),INDEX(DATAS,Y3505+1),"")</f>
        <v/>
      </c>
      <c r="AG3505" s="45" t="str">
        <f aca="false">IF(AND(AA3505=1,Y3505&lt;1),IF(AND(C3506=C3505,Y3506=Y3505+1),IF(AA3506=1,"",INDEX(DATAS,Y3505+1)),INDEX(DATAS,Y3505+1)),"")</f>
        <v/>
      </c>
    </row>
    <row r="3506" customFormat="false" ht="15" hidden="false" customHeight="false" outlineLevel="0" collapsed="false">
      <c r="A3506" s="45" t="n">
        <v>46309</v>
      </c>
      <c r="B3506" s="0" t="n">
        <v>16</v>
      </c>
      <c r="C3506" s="0" t="n">
        <v>7951</v>
      </c>
      <c r="E3506" s="0" t="n">
        <v>0</v>
      </c>
      <c r="F3506" s="39" t="s">
        <v>1572</v>
      </c>
      <c r="I3506" s="39" t="s">
        <v>136</v>
      </c>
      <c r="U3506" s="0" t="n">
        <v>89</v>
      </c>
      <c r="V3506" s="0" t="n">
        <v>0</v>
      </c>
      <c r="W3506" s="39" t="n">
        <f aca="false">IF(I3506="Male",0,1)</f>
        <v>1</v>
      </c>
      <c r="X3506" s="39" t="n">
        <f aca="false">IF(OR(I3506="DNB",I3506="Dry DNB"),1,0)</f>
        <v>0</v>
      </c>
      <c r="Y3506" s="39" t="n">
        <f aca="false">MATCH(A3506,DATAS,0)</f>
        <v>1</v>
      </c>
      <c r="Z3506" s="39" t="n">
        <f aca="false">IF(AND(E3506&gt;0,OR(AND(B3506&gt;=1,B3506&lt;=6),B3506=10)),1,0)</f>
        <v>0</v>
      </c>
      <c r="AA3506" s="39" t="n">
        <f aca="false">IF(AND(E3506&gt;0,B3506=10),1,0)</f>
        <v>0</v>
      </c>
      <c r="AB3506" s="0" t="str">
        <f aca="false">IF(AND(C3505=C3506,Y3505=Y3506-1),Z3505,"")</f>
        <v/>
      </c>
      <c r="AC3506" s="0" t="str">
        <f aca="false">IF(AND(C3505=C3506,Y3505=Y3506-1),AA3505,"")</f>
        <v/>
      </c>
      <c r="AD3506" s="0" t="str">
        <f aca="false">IF(Y3506=1,"",IF(AND(Z3506=1,AB3506&lt;&gt;1),1,0))</f>
        <v/>
      </c>
      <c r="AE3506" s="0" t="str">
        <f aca="false">IF(Y3506=1,"",IF(AND(AA3506=1,AC3506&lt;&gt;1),1,0))</f>
        <v/>
      </c>
      <c r="AF3506" s="45" t="str">
        <f aca="false">IF(AND(E3506&gt;0,Y3506&lt;1,NOT(AND(C3507=C3506,Y3507=Y3506+1))),INDEX(DATAS,Y3506+1),"")</f>
        <v/>
      </c>
      <c r="AG3506" s="45" t="str">
        <f aca="false">IF(AND(AA3506=1,Y3506&lt;1),IF(AND(C3507=C3506,Y3507=Y3506+1),IF(AA3507=1,"",INDEX(DATAS,Y3506+1)),INDEX(DATAS,Y3506+1)),"")</f>
        <v/>
      </c>
    </row>
    <row r="3507" customFormat="false" ht="15" hidden="false" customHeight="false" outlineLevel="0" collapsed="false">
      <c r="A3507" s="45" t="n">
        <v>46309</v>
      </c>
      <c r="B3507" s="0" t="n">
        <v>16</v>
      </c>
      <c r="C3507" s="0" t="n">
        <v>7953</v>
      </c>
      <c r="E3507" s="0" t="n">
        <v>0</v>
      </c>
      <c r="F3507" s="39" t="s">
        <v>1573</v>
      </c>
      <c r="I3507" s="39" t="s">
        <v>136</v>
      </c>
      <c r="U3507" s="0" t="n">
        <v>88</v>
      </c>
      <c r="V3507" s="0" t="n">
        <v>0</v>
      </c>
      <c r="W3507" s="39" t="n">
        <f aca="false">IF(I3507="Male",0,1)</f>
        <v>1</v>
      </c>
      <c r="X3507" s="39" t="n">
        <f aca="false">IF(OR(I3507="DNB",I3507="Dry DNB"),1,0)</f>
        <v>0</v>
      </c>
      <c r="Y3507" s="39" t="n">
        <f aca="false">MATCH(A3507,DATAS,0)</f>
        <v>1</v>
      </c>
      <c r="Z3507" s="39" t="n">
        <f aca="false">IF(AND(E3507&gt;0,OR(AND(B3507&gt;=1,B3507&lt;=6),B3507=10)),1,0)</f>
        <v>0</v>
      </c>
      <c r="AA3507" s="39" t="n">
        <f aca="false">IF(AND(E3507&gt;0,B3507=10),1,0)</f>
        <v>0</v>
      </c>
      <c r="AB3507" s="0" t="str">
        <f aca="false">IF(AND(C3506=C3507,Y3506=Y3507-1),Z3506,"")</f>
        <v/>
      </c>
      <c r="AC3507" s="0" t="str">
        <f aca="false">IF(AND(C3506=C3507,Y3506=Y3507-1),AA3506,"")</f>
        <v/>
      </c>
      <c r="AD3507" s="0" t="str">
        <f aca="false">IF(Y3507=1,"",IF(AND(Z3507=1,AB3507&lt;&gt;1),1,0))</f>
        <v/>
      </c>
      <c r="AE3507" s="0" t="str">
        <f aca="false">IF(Y3507=1,"",IF(AND(AA3507=1,AC3507&lt;&gt;1),1,0))</f>
        <v/>
      </c>
      <c r="AF3507" s="45" t="str">
        <f aca="false">IF(AND(E3507&gt;0,Y3507&lt;1,NOT(AND(C3508=C3507,Y3508=Y3507+1))),INDEX(DATAS,Y3507+1),"")</f>
        <v/>
      </c>
      <c r="AG3507" s="45" t="str">
        <f aca="false">IF(AND(AA3507=1,Y3507&lt;1),IF(AND(C3508=C3507,Y3508=Y3507+1),IF(AA3508=1,"",INDEX(DATAS,Y3507+1)),INDEX(DATAS,Y3507+1)),"")</f>
        <v/>
      </c>
    </row>
    <row r="3508" customFormat="false" ht="15" hidden="false" customHeight="false" outlineLevel="0" collapsed="false">
      <c r="A3508" s="45" t="n">
        <v>46309</v>
      </c>
      <c r="B3508" s="0" t="n">
        <v>16</v>
      </c>
      <c r="C3508" s="0" t="n">
        <v>7954</v>
      </c>
      <c r="E3508" s="0" t="n">
        <v>0</v>
      </c>
      <c r="F3508" s="39" t="s">
        <v>1573</v>
      </c>
      <c r="I3508" s="39" t="s">
        <v>136</v>
      </c>
      <c r="U3508" s="0" t="n">
        <v>88</v>
      </c>
      <c r="V3508" s="0" t="n">
        <v>0</v>
      </c>
      <c r="W3508" s="39" t="n">
        <f aca="false">IF(I3508="Male",0,1)</f>
        <v>1</v>
      </c>
      <c r="X3508" s="39" t="n">
        <f aca="false">IF(OR(I3508="DNB",I3508="Dry DNB"),1,0)</f>
        <v>0</v>
      </c>
      <c r="Y3508" s="39" t="n">
        <f aca="false">MATCH(A3508,DATAS,0)</f>
        <v>1</v>
      </c>
      <c r="Z3508" s="39" t="n">
        <f aca="false">IF(AND(E3508&gt;0,OR(AND(B3508&gt;=1,B3508&lt;=6),B3508=10)),1,0)</f>
        <v>0</v>
      </c>
      <c r="AA3508" s="39" t="n">
        <f aca="false">IF(AND(E3508&gt;0,B3508=10),1,0)</f>
        <v>0</v>
      </c>
      <c r="AB3508" s="0" t="str">
        <f aca="false">IF(AND(C3507=C3508,Y3507=Y3508-1),Z3507,"")</f>
        <v/>
      </c>
      <c r="AC3508" s="0" t="str">
        <f aca="false">IF(AND(C3507=C3508,Y3507=Y3508-1),AA3507,"")</f>
        <v/>
      </c>
      <c r="AD3508" s="0" t="str">
        <f aca="false">IF(Y3508=1,"",IF(AND(Z3508=1,AB3508&lt;&gt;1),1,0))</f>
        <v/>
      </c>
      <c r="AE3508" s="0" t="str">
        <f aca="false">IF(Y3508=1,"",IF(AND(AA3508=1,AC3508&lt;&gt;1),1,0))</f>
        <v/>
      </c>
      <c r="AF3508" s="45" t="str">
        <f aca="false">IF(AND(E3508&gt;0,Y3508&lt;1,NOT(AND(C3509=C3508,Y3509=Y3508+1))),INDEX(DATAS,Y3508+1),"")</f>
        <v/>
      </c>
      <c r="AG3508" s="45" t="str">
        <f aca="false">IF(AND(AA3508=1,Y3508&lt;1),IF(AND(C3509=C3508,Y3509=Y3508+1),IF(AA3509=1,"",INDEX(DATAS,Y3508+1)),INDEX(DATAS,Y3508+1)),"")</f>
        <v/>
      </c>
    </row>
    <row r="3509" customFormat="false" ht="15" hidden="false" customHeight="false" outlineLevel="0" collapsed="false">
      <c r="A3509" s="45" t="n">
        <v>46309</v>
      </c>
      <c r="B3509" s="0" t="n">
        <v>16</v>
      </c>
      <c r="C3509" s="0" t="n">
        <v>7955</v>
      </c>
      <c r="E3509" s="0" t="n">
        <v>0</v>
      </c>
      <c r="F3509" s="39" t="s">
        <v>1573</v>
      </c>
      <c r="I3509" s="39" t="s">
        <v>136</v>
      </c>
      <c r="U3509" s="0" t="n">
        <v>88</v>
      </c>
      <c r="V3509" s="0" t="n">
        <v>0</v>
      </c>
      <c r="W3509" s="39" t="n">
        <f aca="false">IF(I3509="Male",0,1)</f>
        <v>1</v>
      </c>
      <c r="X3509" s="39" t="n">
        <f aca="false">IF(OR(I3509="DNB",I3509="Dry DNB"),1,0)</f>
        <v>0</v>
      </c>
      <c r="Y3509" s="39" t="n">
        <f aca="false">MATCH(A3509,DATAS,0)</f>
        <v>1</v>
      </c>
      <c r="Z3509" s="39" t="n">
        <f aca="false">IF(AND(E3509&gt;0,OR(AND(B3509&gt;=1,B3509&lt;=6),B3509=10)),1,0)</f>
        <v>0</v>
      </c>
      <c r="AA3509" s="39" t="n">
        <f aca="false">IF(AND(E3509&gt;0,B3509=10),1,0)</f>
        <v>0</v>
      </c>
      <c r="AB3509" s="0" t="str">
        <f aca="false">IF(AND(C3508=C3509,Y3508=Y3509-1),Z3508,"")</f>
        <v/>
      </c>
      <c r="AC3509" s="0" t="str">
        <f aca="false">IF(AND(C3508=C3509,Y3508=Y3509-1),AA3508,"")</f>
        <v/>
      </c>
      <c r="AD3509" s="0" t="str">
        <f aca="false">IF(Y3509=1,"",IF(AND(Z3509=1,AB3509&lt;&gt;1),1,0))</f>
        <v/>
      </c>
      <c r="AE3509" s="0" t="str">
        <f aca="false">IF(Y3509=1,"",IF(AND(AA3509=1,AC3509&lt;&gt;1),1,0))</f>
        <v/>
      </c>
      <c r="AF3509" s="45" t="str">
        <f aca="false">IF(AND(E3509&gt;0,Y3509&lt;1,NOT(AND(C3510=C3509,Y3510=Y3509+1))),INDEX(DATAS,Y3509+1),"")</f>
        <v/>
      </c>
      <c r="AG3509" s="45" t="str">
        <f aca="false">IF(AND(AA3509=1,Y3509&lt;1),IF(AND(C3510=C3509,Y3510=Y3509+1),IF(AA3510=1,"",INDEX(DATAS,Y3509+1)),INDEX(DATAS,Y3509+1)),"")</f>
        <v/>
      </c>
    </row>
    <row r="3510" customFormat="false" ht="15" hidden="false" customHeight="false" outlineLevel="0" collapsed="false">
      <c r="A3510" s="45" t="n">
        <v>46309</v>
      </c>
      <c r="B3510" s="0" t="n">
        <v>16</v>
      </c>
      <c r="C3510" s="0" t="n">
        <v>7956</v>
      </c>
      <c r="E3510" s="0" t="n">
        <v>0</v>
      </c>
      <c r="F3510" s="39" t="s">
        <v>1573</v>
      </c>
      <c r="I3510" s="39" t="s">
        <v>136</v>
      </c>
      <c r="U3510" s="0" t="n">
        <v>88</v>
      </c>
      <c r="V3510" s="0" t="n">
        <v>0</v>
      </c>
      <c r="W3510" s="39" t="n">
        <f aca="false">IF(I3510="Male",0,1)</f>
        <v>1</v>
      </c>
      <c r="X3510" s="39" t="n">
        <f aca="false">IF(OR(I3510="DNB",I3510="Dry DNB"),1,0)</f>
        <v>0</v>
      </c>
      <c r="Y3510" s="39" t="n">
        <f aca="false">MATCH(A3510,DATAS,0)</f>
        <v>1</v>
      </c>
      <c r="Z3510" s="39" t="n">
        <f aca="false">IF(AND(E3510&gt;0,OR(AND(B3510&gt;=1,B3510&lt;=6),B3510=10)),1,0)</f>
        <v>0</v>
      </c>
      <c r="AA3510" s="39" t="n">
        <f aca="false">IF(AND(E3510&gt;0,B3510=10),1,0)</f>
        <v>0</v>
      </c>
      <c r="AB3510" s="0" t="str">
        <f aca="false">IF(AND(C3509=C3510,Y3509=Y3510-1),Z3509,"")</f>
        <v/>
      </c>
      <c r="AC3510" s="0" t="str">
        <f aca="false">IF(AND(C3509=C3510,Y3509=Y3510-1),AA3509,"")</f>
        <v/>
      </c>
      <c r="AD3510" s="0" t="str">
        <f aca="false">IF(Y3510=1,"",IF(AND(Z3510=1,AB3510&lt;&gt;1),1,0))</f>
        <v/>
      </c>
      <c r="AE3510" s="0" t="str">
        <f aca="false">IF(Y3510=1,"",IF(AND(AA3510=1,AC3510&lt;&gt;1),1,0))</f>
        <v/>
      </c>
      <c r="AF3510" s="45" t="str">
        <f aca="false">IF(AND(E3510&gt;0,Y3510&lt;1,NOT(AND(C3511=C3510,Y3511=Y3510+1))),INDEX(DATAS,Y3510+1),"")</f>
        <v/>
      </c>
      <c r="AG3510" s="45" t="str">
        <f aca="false">IF(AND(AA3510=1,Y3510&lt;1),IF(AND(C3511=C3510,Y3511=Y3510+1),IF(AA3511=1,"",INDEX(DATAS,Y3510+1)),INDEX(DATAS,Y3510+1)),"")</f>
        <v/>
      </c>
    </row>
    <row r="3511" customFormat="false" ht="15" hidden="false" customHeight="false" outlineLevel="0" collapsed="false">
      <c r="A3511" s="45" t="n">
        <v>46309</v>
      </c>
      <c r="B3511" s="0" t="n">
        <v>16</v>
      </c>
      <c r="C3511" s="0" t="n">
        <v>7957</v>
      </c>
      <c r="E3511" s="0" t="n">
        <v>0</v>
      </c>
      <c r="F3511" s="39" t="s">
        <v>1574</v>
      </c>
      <c r="I3511" s="39" t="s">
        <v>136</v>
      </c>
      <c r="U3511" s="0" t="n">
        <v>87</v>
      </c>
      <c r="V3511" s="0" t="n">
        <v>0</v>
      </c>
      <c r="W3511" s="39" t="n">
        <f aca="false">IF(I3511="Male",0,1)</f>
        <v>1</v>
      </c>
      <c r="X3511" s="39" t="n">
        <f aca="false">IF(OR(I3511="DNB",I3511="Dry DNB"),1,0)</f>
        <v>0</v>
      </c>
      <c r="Y3511" s="39" t="n">
        <f aca="false">MATCH(A3511,DATAS,0)</f>
        <v>1</v>
      </c>
      <c r="Z3511" s="39" t="n">
        <f aca="false">IF(AND(E3511&gt;0,OR(AND(B3511&gt;=1,B3511&lt;=6),B3511=10)),1,0)</f>
        <v>0</v>
      </c>
      <c r="AA3511" s="39" t="n">
        <f aca="false">IF(AND(E3511&gt;0,B3511=10),1,0)</f>
        <v>0</v>
      </c>
      <c r="AB3511" s="0" t="str">
        <f aca="false">IF(AND(C3510=C3511,Y3510=Y3511-1),Z3510,"")</f>
        <v/>
      </c>
      <c r="AC3511" s="0" t="str">
        <f aca="false">IF(AND(C3510=C3511,Y3510=Y3511-1),AA3510,"")</f>
        <v/>
      </c>
      <c r="AD3511" s="0" t="str">
        <f aca="false">IF(Y3511=1,"",IF(AND(Z3511=1,AB3511&lt;&gt;1),1,0))</f>
        <v/>
      </c>
      <c r="AE3511" s="0" t="str">
        <f aca="false">IF(Y3511=1,"",IF(AND(AA3511=1,AC3511&lt;&gt;1),1,0))</f>
        <v/>
      </c>
      <c r="AF3511" s="45" t="str">
        <f aca="false">IF(AND(E3511&gt;0,Y3511&lt;1,NOT(AND(C3512=C3511,Y3512=Y3511+1))),INDEX(DATAS,Y3511+1),"")</f>
        <v/>
      </c>
      <c r="AG3511" s="45" t="str">
        <f aca="false">IF(AND(AA3511=1,Y3511&lt;1),IF(AND(C3512=C3511,Y3512=Y3511+1),IF(AA3512=1,"",INDEX(DATAS,Y3511+1)),INDEX(DATAS,Y3511+1)),"")</f>
        <v/>
      </c>
    </row>
    <row r="3512" customFormat="false" ht="15" hidden="false" customHeight="false" outlineLevel="0" collapsed="false">
      <c r="A3512" s="45" t="n">
        <v>46309</v>
      </c>
      <c r="B3512" s="0" t="n">
        <v>16</v>
      </c>
      <c r="C3512" s="0" t="n">
        <v>7958</v>
      </c>
      <c r="E3512" s="0" t="n">
        <v>0</v>
      </c>
      <c r="F3512" s="39" t="s">
        <v>1574</v>
      </c>
      <c r="I3512" s="39" t="s">
        <v>136</v>
      </c>
      <c r="U3512" s="0" t="n">
        <v>87</v>
      </c>
      <c r="V3512" s="0" t="n">
        <v>0</v>
      </c>
      <c r="W3512" s="39" t="n">
        <f aca="false">IF(I3512="Male",0,1)</f>
        <v>1</v>
      </c>
      <c r="X3512" s="39" t="n">
        <f aca="false">IF(OR(I3512="DNB",I3512="Dry DNB"),1,0)</f>
        <v>0</v>
      </c>
      <c r="Y3512" s="39" t="n">
        <f aca="false">MATCH(A3512,DATAS,0)</f>
        <v>1</v>
      </c>
      <c r="Z3512" s="39" t="n">
        <f aca="false">IF(AND(E3512&gt;0,OR(AND(B3512&gt;=1,B3512&lt;=6),B3512=10)),1,0)</f>
        <v>0</v>
      </c>
      <c r="AA3512" s="39" t="n">
        <f aca="false">IF(AND(E3512&gt;0,B3512=10),1,0)</f>
        <v>0</v>
      </c>
      <c r="AB3512" s="0" t="str">
        <f aca="false">IF(AND(C3511=C3512,Y3511=Y3512-1),Z3511,"")</f>
        <v/>
      </c>
      <c r="AC3512" s="0" t="str">
        <f aca="false">IF(AND(C3511=C3512,Y3511=Y3512-1),AA3511,"")</f>
        <v/>
      </c>
      <c r="AD3512" s="0" t="str">
        <f aca="false">IF(Y3512=1,"",IF(AND(Z3512=1,AB3512&lt;&gt;1),1,0))</f>
        <v/>
      </c>
      <c r="AE3512" s="0" t="str">
        <f aca="false">IF(Y3512=1,"",IF(AND(AA3512=1,AC3512&lt;&gt;1),1,0))</f>
        <v/>
      </c>
      <c r="AF3512" s="45" t="str">
        <f aca="false">IF(AND(E3512&gt;0,Y3512&lt;1,NOT(AND(C3513=C3512,Y3513=Y3512+1))),INDEX(DATAS,Y3512+1),"")</f>
        <v/>
      </c>
      <c r="AG3512" s="45" t="str">
        <f aca="false">IF(AND(AA3512=1,Y3512&lt;1),IF(AND(C3513=C3512,Y3513=Y3512+1),IF(AA3513=1,"",INDEX(DATAS,Y3512+1)),INDEX(DATAS,Y3512+1)),"")</f>
        <v/>
      </c>
    </row>
    <row r="3513" customFormat="false" ht="15" hidden="false" customHeight="false" outlineLevel="0" collapsed="false">
      <c r="A3513" s="45" t="n">
        <v>46309</v>
      </c>
      <c r="B3513" s="0" t="n">
        <v>16</v>
      </c>
      <c r="C3513" s="0" t="n">
        <v>7959</v>
      </c>
      <c r="E3513" s="0" t="n">
        <v>0</v>
      </c>
      <c r="F3513" s="39" t="s">
        <v>1575</v>
      </c>
      <c r="I3513" s="39" t="s">
        <v>136</v>
      </c>
      <c r="U3513" s="0" t="n">
        <v>86</v>
      </c>
      <c r="V3513" s="0" t="n">
        <v>0</v>
      </c>
      <c r="W3513" s="39" t="n">
        <f aca="false">IF(I3513="Male",0,1)</f>
        <v>1</v>
      </c>
      <c r="X3513" s="39" t="n">
        <f aca="false">IF(OR(I3513="DNB",I3513="Dry DNB"),1,0)</f>
        <v>0</v>
      </c>
      <c r="Y3513" s="39" t="n">
        <f aca="false">MATCH(A3513,DATAS,0)</f>
        <v>1</v>
      </c>
      <c r="Z3513" s="39" t="n">
        <f aca="false">IF(AND(E3513&gt;0,OR(AND(B3513&gt;=1,B3513&lt;=6),B3513=10)),1,0)</f>
        <v>0</v>
      </c>
      <c r="AA3513" s="39" t="n">
        <f aca="false">IF(AND(E3513&gt;0,B3513=10),1,0)</f>
        <v>0</v>
      </c>
      <c r="AB3513" s="0" t="str">
        <f aca="false">IF(AND(C3512=C3513,Y3512=Y3513-1),Z3512,"")</f>
        <v/>
      </c>
      <c r="AC3513" s="0" t="str">
        <f aca="false">IF(AND(C3512=C3513,Y3512=Y3513-1),AA3512,"")</f>
        <v/>
      </c>
      <c r="AD3513" s="0" t="str">
        <f aca="false">IF(Y3513=1,"",IF(AND(Z3513=1,AB3513&lt;&gt;1),1,0))</f>
        <v/>
      </c>
      <c r="AE3513" s="0" t="str">
        <f aca="false">IF(Y3513=1,"",IF(AND(AA3513=1,AC3513&lt;&gt;1),1,0))</f>
        <v/>
      </c>
      <c r="AF3513" s="45" t="str">
        <f aca="false">IF(AND(E3513&gt;0,Y3513&lt;1,NOT(AND(C3514=C3513,Y3514=Y3513+1))),INDEX(DATAS,Y3513+1),"")</f>
        <v/>
      </c>
      <c r="AG3513" s="45" t="str">
        <f aca="false">IF(AND(AA3513=1,Y3513&lt;1),IF(AND(C3514=C3513,Y3514=Y3513+1),IF(AA3514=1,"",INDEX(DATAS,Y3513+1)),INDEX(DATAS,Y3513+1)),"")</f>
        <v/>
      </c>
    </row>
    <row r="3514" customFormat="false" ht="15" hidden="false" customHeight="false" outlineLevel="0" collapsed="false">
      <c r="A3514" s="45" t="n">
        <v>46309</v>
      </c>
      <c r="B3514" s="0" t="n">
        <v>16</v>
      </c>
      <c r="C3514" s="0" t="n">
        <v>7960</v>
      </c>
      <c r="E3514" s="0" t="n">
        <v>0</v>
      </c>
      <c r="F3514" s="39" t="s">
        <v>1575</v>
      </c>
      <c r="I3514" s="39" t="s">
        <v>136</v>
      </c>
      <c r="U3514" s="0" t="n">
        <v>86</v>
      </c>
      <c r="V3514" s="0" t="n">
        <v>0</v>
      </c>
      <c r="W3514" s="39" t="n">
        <f aca="false">IF(I3514="Male",0,1)</f>
        <v>1</v>
      </c>
      <c r="X3514" s="39" t="n">
        <f aca="false">IF(OR(I3514="DNB",I3514="Dry DNB"),1,0)</f>
        <v>0</v>
      </c>
      <c r="Y3514" s="39" t="n">
        <f aca="false">MATCH(A3514,DATAS,0)</f>
        <v>1</v>
      </c>
      <c r="Z3514" s="39" t="n">
        <f aca="false">IF(AND(E3514&gt;0,OR(AND(B3514&gt;=1,B3514&lt;=6),B3514=10)),1,0)</f>
        <v>0</v>
      </c>
      <c r="AA3514" s="39" t="n">
        <f aca="false">IF(AND(E3514&gt;0,B3514=10),1,0)</f>
        <v>0</v>
      </c>
      <c r="AB3514" s="0" t="str">
        <f aca="false">IF(AND(C3513=C3514,Y3513=Y3514-1),Z3513,"")</f>
        <v/>
      </c>
      <c r="AC3514" s="0" t="str">
        <f aca="false">IF(AND(C3513=C3514,Y3513=Y3514-1),AA3513,"")</f>
        <v/>
      </c>
      <c r="AD3514" s="0" t="str">
        <f aca="false">IF(Y3514=1,"",IF(AND(Z3514=1,AB3514&lt;&gt;1),1,0))</f>
        <v/>
      </c>
      <c r="AE3514" s="0" t="str">
        <f aca="false">IF(Y3514=1,"",IF(AND(AA3514=1,AC3514&lt;&gt;1),1,0))</f>
        <v/>
      </c>
      <c r="AF3514" s="45" t="str">
        <f aca="false">IF(AND(E3514&gt;0,Y3514&lt;1,NOT(AND(C3515=C3514,Y3515=Y3514+1))),INDEX(DATAS,Y3514+1),"")</f>
        <v/>
      </c>
      <c r="AG3514" s="45" t="str">
        <f aca="false">IF(AND(AA3514=1,Y3514&lt;1),IF(AND(C3515=C3514,Y3515=Y3514+1),IF(AA3515=1,"",INDEX(DATAS,Y3514+1)),INDEX(DATAS,Y3514+1)),"")</f>
        <v/>
      </c>
    </row>
    <row r="3515" customFormat="false" ht="15" hidden="false" customHeight="false" outlineLevel="0" collapsed="false">
      <c r="A3515" s="45" t="n">
        <v>46309</v>
      </c>
      <c r="B3515" s="0" t="n">
        <v>16</v>
      </c>
      <c r="C3515" s="0" t="n">
        <v>7962</v>
      </c>
      <c r="E3515" s="0" t="n">
        <v>0</v>
      </c>
      <c r="F3515" s="39" t="s">
        <v>1576</v>
      </c>
      <c r="I3515" s="39" t="s">
        <v>136</v>
      </c>
      <c r="U3515" s="0" t="n">
        <v>84</v>
      </c>
      <c r="V3515" s="0" t="n">
        <v>0</v>
      </c>
      <c r="W3515" s="39" t="n">
        <f aca="false">IF(I3515="Male",0,1)</f>
        <v>1</v>
      </c>
      <c r="X3515" s="39" t="n">
        <f aca="false">IF(OR(I3515="DNB",I3515="Dry DNB"),1,0)</f>
        <v>0</v>
      </c>
      <c r="Y3515" s="39" t="n">
        <f aca="false">MATCH(A3515,DATAS,0)</f>
        <v>1</v>
      </c>
      <c r="Z3515" s="39" t="n">
        <f aca="false">IF(AND(E3515&gt;0,OR(AND(B3515&gt;=1,B3515&lt;=6),B3515=10)),1,0)</f>
        <v>0</v>
      </c>
      <c r="AA3515" s="39" t="n">
        <f aca="false">IF(AND(E3515&gt;0,B3515=10),1,0)</f>
        <v>0</v>
      </c>
      <c r="AB3515" s="0" t="str">
        <f aca="false">IF(AND(C3514=C3515,Y3514=Y3515-1),Z3514,"")</f>
        <v/>
      </c>
      <c r="AC3515" s="0" t="str">
        <f aca="false">IF(AND(C3514=C3515,Y3514=Y3515-1),AA3514,"")</f>
        <v/>
      </c>
      <c r="AD3515" s="0" t="str">
        <f aca="false">IF(Y3515=1,"",IF(AND(Z3515=1,AB3515&lt;&gt;1),1,0))</f>
        <v/>
      </c>
      <c r="AE3515" s="0" t="str">
        <f aca="false">IF(Y3515=1,"",IF(AND(AA3515=1,AC3515&lt;&gt;1),1,0))</f>
        <v/>
      </c>
      <c r="AF3515" s="45" t="str">
        <f aca="false">IF(AND(E3515&gt;0,Y3515&lt;1,NOT(AND(C3516=C3515,Y3516=Y3515+1))),INDEX(DATAS,Y3515+1),"")</f>
        <v/>
      </c>
      <c r="AG3515" s="45" t="str">
        <f aca="false">IF(AND(AA3515=1,Y3515&lt;1),IF(AND(C3516=C3515,Y3516=Y3515+1),IF(AA3516=1,"",INDEX(DATAS,Y3515+1)),INDEX(DATAS,Y3515+1)),"")</f>
        <v/>
      </c>
    </row>
    <row r="3516" customFormat="false" ht="15" hidden="false" customHeight="false" outlineLevel="0" collapsed="false">
      <c r="A3516" s="45" t="n">
        <v>46309</v>
      </c>
      <c r="B3516" s="0" t="n">
        <v>16</v>
      </c>
      <c r="C3516" s="0" t="n">
        <v>7963</v>
      </c>
      <c r="E3516" s="0" t="n">
        <v>0</v>
      </c>
      <c r="F3516" s="39" t="s">
        <v>1576</v>
      </c>
      <c r="I3516" s="39" t="s">
        <v>136</v>
      </c>
      <c r="U3516" s="0" t="n">
        <v>84</v>
      </c>
      <c r="V3516" s="0" t="n">
        <v>0</v>
      </c>
      <c r="W3516" s="39" t="n">
        <f aca="false">IF(I3516="Male",0,1)</f>
        <v>1</v>
      </c>
      <c r="X3516" s="39" t="n">
        <f aca="false">IF(OR(I3516="DNB",I3516="Dry DNB"),1,0)</f>
        <v>0</v>
      </c>
      <c r="Y3516" s="39" t="n">
        <f aca="false">MATCH(A3516,DATAS,0)</f>
        <v>1</v>
      </c>
      <c r="Z3516" s="39" t="n">
        <f aca="false">IF(AND(E3516&gt;0,OR(AND(B3516&gt;=1,B3516&lt;=6),B3516=10)),1,0)</f>
        <v>0</v>
      </c>
      <c r="AA3516" s="39" t="n">
        <f aca="false">IF(AND(E3516&gt;0,B3516=10),1,0)</f>
        <v>0</v>
      </c>
      <c r="AB3516" s="0" t="str">
        <f aca="false">IF(AND(C3515=C3516,Y3515=Y3516-1),Z3515,"")</f>
        <v/>
      </c>
      <c r="AC3516" s="0" t="str">
        <f aca="false">IF(AND(C3515=C3516,Y3515=Y3516-1),AA3515,"")</f>
        <v/>
      </c>
      <c r="AD3516" s="0" t="str">
        <f aca="false">IF(Y3516=1,"",IF(AND(Z3516=1,AB3516&lt;&gt;1),1,0))</f>
        <v/>
      </c>
      <c r="AE3516" s="0" t="str">
        <f aca="false">IF(Y3516=1,"",IF(AND(AA3516=1,AC3516&lt;&gt;1),1,0))</f>
        <v/>
      </c>
      <c r="AF3516" s="45" t="str">
        <f aca="false">IF(AND(E3516&gt;0,Y3516&lt;1,NOT(AND(C3517=C3516,Y3517=Y3516+1))),INDEX(DATAS,Y3516+1),"")</f>
        <v/>
      </c>
      <c r="AG3516" s="45" t="str">
        <f aca="false">IF(AND(AA3516=1,Y3516&lt;1),IF(AND(C3517=C3516,Y3517=Y3516+1),IF(AA3517=1,"",INDEX(DATAS,Y3516+1)),INDEX(DATAS,Y3516+1)),"")</f>
        <v/>
      </c>
    </row>
    <row r="3517" customFormat="false" ht="15" hidden="false" customHeight="false" outlineLevel="0" collapsed="false">
      <c r="A3517" s="45" t="n">
        <v>46309</v>
      </c>
      <c r="B3517" s="0" t="n">
        <v>16</v>
      </c>
      <c r="C3517" s="0" t="n">
        <v>7964</v>
      </c>
      <c r="E3517" s="0" t="n">
        <v>0</v>
      </c>
      <c r="F3517" s="39" t="s">
        <v>1577</v>
      </c>
      <c r="I3517" s="39" t="s">
        <v>136</v>
      </c>
      <c r="U3517" s="0" t="n">
        <v>83</v>
      </c>
      <c r="V3517" s="0" t="n">
        <v>0</v>
      </c>
      <c r="W3517" s="39" t="n">
        <f aca="false">IF(I3517="Male",0,1)</f>
        <v>1</v>
      </c>
      <c r="X3517" s="39" t="n">
        <f aca="false">IF(OR(I3517="DNB",I3517="Dry DNB"),1,0)</f>
        <v>0</v>
      </c>
      <c r="Y3517" s="39" t="n">
        <f aca="false">MATCH(A3517,DATAS,0)</f>
        <v>1</v>
      </c>
      <c r="Z3517" s="39" t="n">
        <f aca="false">IF(AND(E3517&gt;0,OR(AND(B3517&gt;=1,B3517&lt;=6),B3517=10)),1,0)</f>
        <v>0</v>
      </c>
      <c r="AA3517" s="39" t="n">
        <f aca="false">IF(AND(E3517&gt;0,B3517=10),1,0)</f>
        <v>0</v>
      </c>
      <c r="AB3517" s="0" t="str">
        <f aca="false">IF(AND(C3516=C3517,Y3516=Y3517-1),Z3516,"")</f>
        <v/>
      </c>
      <c r="AC3517" s="0" t="str">
        <f aca="false">IF(AND(C3516=C3517,Y3516=Y3517-1),AA3516,"")</f>
        <v/>
      </c>
      <c r="AD3517" s="0" t="str">
        <f aca="false">IF(Y3517=1,"",IF(AND(Z3517=1,AB3517&lt;&gt;1),1,0))</f>
        <v/>
      </c>
      <c r="AE3517" s="0" t="str">
        <f aca="false">IF(Y3517=1,"",IF(AND(AA3517=1,AC3517&lt;&gt;1),1,0))</f>
        <v/>
      </c>
      <c r="AF3517" s="45" t="str">
        <f aca="false">IF(AND(E3517&gt;0,Y3517&lt;1,NOT(AND(C3518=C3517,Y3518=Y3517+1))),INDEX(DATAS,Y3517+1),"")</f>
        <v/>
      </c>
      <c r="AG3517" s="45" t="str">
        <f aca="false">IF(AND(AA3517=1,Y3517&lt;1),IF(AND(C3518=C3517,Y3518=Y3517+1),IF(AA3518=1,"",INDEX(DATAS,Y3517+1)),INDEX(DATAS,Y3517+1)),"")</f>
        <v/>
      </c>
    </row>
    <row r="3518" customFormat="false" ht="15" hidden="false" customHeight="false" outlineLevel="0" collapsed="false">
      <c r="A3518" s="45" t="n">
        <v>46309</v>
      </c>
      <c r="B3518" s="0" t="n">
        <v>16</v>
      </c>
      <c r="C3518" s="0" t="n">
        <v>7965</v>
      </c>
      <c r="E3518" s="0" t="n">
        <v>0</v>
      </c>
      <c r="F3518" s="39" t="s">
        <v>1577</v>
      </c>
      <c r="I3518" s="39" t="s">
        <v>136</v>
      </c>
      <c r="U3518" s="0" t="n">
        <v>83</v>
      </c>
      <c r="V3518" s="0" t="n">
        <v>0</v>
      </c>
      <c r="W3518" s="39" t="n">
        <f aca="false">IF(I3518="Male",0,1)</f>
        <v>1</v>
      </c>
      <c r="X3518" s="39" t="n">
        <f aca="false">IF(OR(I3518="DNB",I3518="Dry DNB"),1,0)</f>
        <v>0</v>
      </c>
      <c r="Y3518" s="39" t="n">
        <f aca="false">MATCH(A3518,DATAS,0)</f>
        <v>1</v>
      </c>
      <c r="Z3518" s="39" t="n">
        <f aca="false">IF(AND(E3518&gt;0,OR(AND(B3518&gt;=1,B3518&lt;=6),B3518=10)),1,0)</f>
        <v>0</v>
      </c>
      <c r="AA3518" s="39" t="n">
        <f aca="false">IF(AND(E3518&gt;0,B3518=10),1,0)</f>
        <v>0</v>
      </c>
      <c r="AB3518" s="0" t="str">
        <f aca="false">IF(AND(C3517=C3518,Y3517=Y3518-1),Z3517,"")</f>
        <v/>
      </c>
      <c r="AC3518" s="0" t="str">
        <f aca="false">IF(AND(C3517=C3518,Y3517=Y3518-1),AA3517,"")</f>
        <v/>
      </c>
      <c r="AD3518" s="0" t="str">
        <f aca="false">IF(Y3518=1,"",IF(AND(Z3518=1,AB3518&lt;&gt;1),1,0))</f>
        <v/>
      </c>
      <c r="AE3518" s="0" t="str">
        <f aca="false">IF(Y3518=1,"",IF(AND(AA3518=1,AC3518&lt;&gt;1),1,0))</f>
        <v/>
      </c>
      <c r="AF3518" s="45" t="str">
        <f aca="false">IF(AND(E3518&gt;0,Y3518&lt;1,NOT(AND(C3519=C3518,Y3519=Y3518+1))),INDEX(DATAS,Y3518+1),"")</f>
        <v/>
      </c>
      <c r="AG3518" s="45" t="str">
        <f aca="false">IF(AND(AA3518=1,Y3518&lt;1),IF(AND(C3519=C3518,Y3519=Y3518+1),IF(AA3519=1,"",INDEX(DATAS,Y3518+1)),INDEX(DATAS,Y3518+1)),"")</f>
        <v/>
      </c>
    </row>
    <row r="3519" customFormat="false" ht="15" hidden="false" customHeight="false" outlineLevel="0" collapsed="false">
      <c r="A3519" s="45" t="n">
        <v>46309</v>
      </c>
      <c r="B3519" s="0" t="n">
        <v>16</v>
      </c>
      <c r="C3519" s="0" t="n">
        <v>7966</v>
      </c>
      <c r="E3519" s="0" t="n">
        <v>0</v>
      </c>
      <c r="F3519" s="39" t="s">
        <v>1578</v>
      </c>
      <c r="I3519" s="39" t="s">
        <v>136</v>
      </c>
      <c r="U3519" s="0" t="n">
        <v>82</v>
      </c>
      <c r="V3519" s="0" t="n">
        <v>0</v>
      </c>
      <c r="W3519" s="39" t="n">
        <f aca="false">IF(I3519="Male",0,1)</f>
        <v>1</v>
      </c>
      <c r="X3519" s="39" t="n">
        <f aca="false">IF(OR(I3519="DNB",I3519="Dry DNB"),1,0)</f>
        <v>0</v>
      </c>
      <c r="Y3519" s="39" t="n">
        <f aca="false">MATCH(A3519,DATAS,0)</f>
        <v>1</v>
      </c>
      <c r="Z3519" s="39" t="n">
        <f aca="false">IF(AND(E3519&gt;0,OR(AND(B3519&gt;=1,B3519&lt;=6),B3519=10)),1,0)</f>
        <v>0</v>
      </c>
      <c r="AA3519" s="39" t="n">
        <f aca="false">IF(AND(E3519&gt;0,B3519=10),1,0)</f>
        <v>0</v>
      </c>
      <c r="AB3519" s="0" t="str">
        <f aca="false">IF(AND(C3518=C3519,Y3518=Y3519-1),Z3518,"")</f>
        <v/>
      </c>
      <c r="AC3519" s="0" t="str">
        <f aca="false">IF(AND(C3518=C3519,Y3518=Y3519-1),AA3518,"")</f>
        <v/>
      </c>
      <c r="AD3519" s="0" t="str">
        <f aca="false">IF(Y3519=1,"",IF(AND(Z3519=1,AB3519&lt;&gt;1),1,0))</f>
        <v/>
      </c>
      <c r="AE3519" s="0" t="str">
        <f aca="false">IF(Y3519=1,"",IF(AND(AA3519=1,AC3519&lt;&gt;1),1,0))</f>
        <v/>
      </c>
      <c r="AF3519" s="45" t="str">
        <f aca="false">IF(AND(E3519&gt;0,Y3519&lt;1,NOT(AND(C3520=C3519,Y3520=Y3519+1))),INDEX(DATAS,Y3519+1),"")</f>
        <v/>
      </c>
      <c r="AG3519" s="45" t="str">
        <f aca="false">IF(AND(AA3519=1,Y3519&lt;1),IF(AND(C3520=C3519,Y3520=Y3519+1),IF(AA3520=1,"",INDEX(DATAS,Y3519+1)),INDEX(DATAS,Y3519+1)),"")</f>
        <v/>
      </c>
    </row>
    <row r="3520" customFormat="false" ht="15" hidden="false" customHeight="false" outlineLevel="0" collapsed="false">
      <c r="A3520" s="45" t="n">
        <v>46309</v>
      </c>
      <c r="B3520" s="0" t="n">
        <v>16</v>
      </c>
      <c r="C3520" s="0" t="n">
        <v>7967</v>
      </c>
      <c r="E3520" s="0" t="n">
        <v>0</v>
      </c>
      <c r="F3520" s="39" t="s">
        <v>1578</v>
      </c>
      <c r="I3520" s="39" t="s">
        <v>136</v>
      </c>
      <c r="U3520" s="0" t="n">
        <v>82</v>
      </c>
      <c r="V3520" s="0" t="n">
        <v>0</v>
      </c>
      <c r="W3520" s="39" t="n">
        <f aca="false">IF(I3520="Male",0,1)</f>
        <v>1</v>
      </c>
      <c r="X3520" s="39" t="n">
        <f aca="false">IF(OR(I3520="DNB",I3520="Dry DNB"),1,0)</f>
        <v>0</v>
      </c>
      <c r="Y3520" s="39" t="n">
        <f aca="false">MATCH(A3520,DATAS,0)</f>
        <v>1</v>
      </c>
      <c r="Z3520" s="39" t="n">
        <f aca="false">IF(AND(E3520&gt;0,OR(AND(B3520&gt;=1,B3520&lt;=6),B3520=10)),1,0)</f>
        <v>0</v>
      </c>
      <c r="AA3520" s="39" t="n">
        <f aca="false">IF(AND(E3520&gt;0,B3520=10),1,0)</f>
        <v>0</v>
      </c>
      <c r="AB3520" s="0" t="str">
        <f aca="false">IF(AND(C3519=C3520,Y3519=Y3520-1),Z3519,"")</f>
        <v/>
      </c>
      <c r="AC3520" s="0" t="str">
        <f aca="false">IF(AND(C3519=C3520,Y3519=Y3520-1),AA3519,"")</f>
        <v/>
      </c>
      <c r="AD3520" s="0" t="str">
        <f aca="false">IF(Y3520=1,"",IF(AND(Z3520=1,AB3520&lt;&gt;1),1,0))</f>
        <v/>
      </c>
      <c r="AE3520" s="0" t="str">
        <f aca="false">IF(Y3520=1,"",IF(AND(AA3520=1,AC3520&lt;&gt;1),1,0))</f>
        <v/>
      </c>
      <c r="AF3520" s="45" t="str">
        <f aca="false">IF(AND(E3520&gt;0,Y3520&lt;1,NOT(AND(C3521=C3520,Y3521=Y3520+1))),INDEX(DATAS,Y3520+1),"")</f>
        <v/>
      </c>
      <c r="AG3520" s="45" t="str">
        <f aca="false">IF(AND(AA3520=1,Y3520&lt;1),IF(AND(C3521=C3520,Y3521=Y3520+1),IF(AA3521=1,"",INDEX(DATAS,Y3520+1)),INDEX(DATAS,Y3520+1)),"")</f>
        <v/>
      </c>
    </row>
    <row r="3521" customFormat="false" ht="15" hidden="false" customHeight="false" outlineLevel="0" collapsed="false">
      <c r="A3521" s="45" t="n">
        <v>46309</v>
      </c>
      <c r="B3521" s="0" t="n">
        <v>16</v>
      </c>
      <c r="C3521" s="0" t="n">
        <v>7968</v>
      </c>
      <c r="E3521" s="0" t="n">
        <v>0</v>
      </c>
      <c r="F3521" s="39" t="s">
        <v>1579</v>
      </c>
      <c r="I3521" s="39" t="s">
        <v>136</v>
      </c>
      <c r="U3521" s="0" t="n">
        <v>81</v>
      </c>
      <c r="V3521" s="0" t="n">
        <v>0</v>
      </c>
      <c r="W3521" s="39" t="n">
        <f aca="false">IF(I3521="Male",0,1)</f>
        <v>1</v>
      </c>
      <c r="X3521" s="39" t="n">
        <f aca="false">IF(OR(I3521="DNB",I3521="Dry DNB"),1,0)</f>
        <v>0</v>
      </c>
      <c r="Y3521" s="39" t="n">
        <f aca="false">MATCH(A3521,DATAS,0)</f>
        <v>1</v>
      </c>
      <c r="Z3521" s="39" t="n">
        <f aca="false">IF(AND(E3521&gt;0,OR(AND(B3521&gt;=1,B3521&lt;=6),B3521=10)),1,0)</f>
        <v>0</v>
      </c>
      <c r="AA3521" s="39" t="n">
        <f aca="false">IF(AND(E3521&gt;0,B3521=10),1,0)</f>
        <v>0</v>
      </c>
      <c r="AB3521" s="0" t="str">
        <f aca="false">IF(AND(C3520=C3521,Y3520=Y3521-1),Z3520,"")</f>
        <v/>
      </c>
      <c r="AC3521" s="0" t="str">
        <f aca="false">IF(AND(C3520=C3521,Y3520=Y3521-1),AA3520,"")</f>
        <v/>
      </c>
      <c r="AD3521" s="0" t="str">
        <f aca="false">IF(Y3521=1,"",IF(AND(Z3521=1,AB3521&lt;&gt;1),1,0))</f>
        <v/>
      </c>
      <c r="AE3521" s="0" t="str">
        <f aca="false">IF(Y3521=1,"",IF(AND(AA3521=1,AC3521&lt;&gt;1),1,0))</f>
        <v/>
      </c>
      <c r="AF3521" s="45" t="str">
        <f aca="false">IF(AND(E3521&gt;0,Y3521&lt;1,NOT(AND(C3522=C3521,Y3522=Y3521+1))),INDEX(DATAS,Y3521+1),"")</f>
        <v/>
      </c>
      <c r="AG3521" s="45" t="str">
        <f aca="false">IF(AND(AA3521=1,Y3521&lt;1),IF(AND(C3522=C3521,Y3522=Y3521+1),IF(AA3522=1,"",INDEX(DATAS,Y3521+1)),INDEX(DATAS,Y3521+1)),"")</f>
        <v/>
      </c>
    </row>
    <row r="3522" customFormat="false" ht="15" hidden="false" customHeight="false" outlineLevel="0" collapsed="false">
      <c r="A3522" s="45" t="n">
        <v>46309</v>
      </c>
      <c r="B3522" s="0" t="n">
        <v>16</v>
      </c>
      <c r="C3522" s="0" t="n">
        <v>7970</v>
      </c>
      <c r="E3522" s="0" t="n">
        <v>0</v>
      </c>
      <c r="F3522" s="39" t="s">
        <v>1580</v>
      </c>
      <c r="I3522" s="39" t="s">
        <v>136</v>
      </c>
      <c r="U3522" s="0" t="n">
        <v>79</v>
      </c>
      <c r="V3522" s="0" t="n">
        <v>0</v>
      </c>
      <c r="W3522" s="39" t="n">
        <f aca="false">IF(I3522="Male",0,1)</f>
        <v>1</v>
      </c>
      <c r="X3522" s="39" t="n">
        <f aca="false">IF(OR(I3522="DNB",I3522="Dry DNB"),1,0)</f>
        <v>0</v>
      </c>
      <c r="Y3522" s="39" t="n">
        <f aca="false">MATCH(A3522,DATAS,0)</f>
        <v>1</v>
      </c>
      <c r="Z3522" s="39" t="n">
        <f aca="false">IF(AND(E3522&gt;0,OR(AND(B3522&gt;=1,B3522&lt;=6),B3522=10)),1,0)</f>
        <v>0</v>
      </c>
      <c r="AA3522" s="39" t="n">
        <f aca="false">IF(AND(E3522&gt;0,B3522=10),1,0)</f>
        <v>0</v>
      </c>
      <c r="AB3522" s="0" t="str">
        <f aca="false">IF(AND(C3521=C3522,Y3521=Y3522-1),Z3521,"")</f>
        <v/>
      </c>
      <c r="AC3522" s="0" t="str">
        <f aca="false">IF(AND(C3521=C3522,Y3521=Y3522-1),AA3521,"")</f>
        <v/>
      </c>
      <c r="AD3522" s="0" t="str">
        <f aca="false">IF(Y3522=1,"",IF(AND(Z3522=1,AB3522&lt;&gt;1),1,0))</f>
        <v/>
      </c>
      <c r="AE3522" s="0" t="str">
        <f aca="false">IF(Y3522=1,"",IF(AND(AA3522=1,AC3522&lt;&gt;1),1,0))</f>
        <v/>
      </c>
      <c r="AF3522" s="45" t="str">
        <f aca="false">IF(AND(E3522&gt;0,Y3522&lt;1,NOT(AND(C3523=C3522,Y3523=Y3522+1))),INDEX(DATAS,Y3522+1),"")</f>
        <v/>
      </c>
      <c r="AG3522" s="45" t="str">
        <f aca="false">IF(AND(AA3522=1,Y3522&lt;1),IF(AND(C3523=C3522,Y3523=Y3522+1),IF(AA3523=1,"",INDEX(DATAS,Y3522+1)),INDEX(DATAS,Y3522+1)),"")</f>
        <v/>
      </c>
    </row>
    <row r="3523" customFormat="false" ht="15" hidden="false" customHeight="false" outlineLevel="0" collapsed="false">
      <c r="A3523" s="45" t="n">
        <v>46309</v>
      </c>
      <c r="B3523" s="0" t="n">
        <v>16</v>
      </c>
      <c r="C3523" s="0" t="n">
        <v>7971</v>
      </c>
      <c r="E3523" s="0" t="n">
        <v>0</v>
      </c>
      <c r="F3523" s="39" t="s">
        <v>1580</v>
      </c>
      <c r="I3523" s="39" t="s">
        <v>136</v>
      </c>
      <c r="U3523" s="0" t="n">
        <v>79</v>
      </c>
      <c r="V3523" s="0" t="n">
        <v>0</v>
      </c>
      <c r="W3523" s="39" t="n">
        <f aca="false">IF(I3523="Male",0,1)</f>
        <v>1</v>
      </c>
      <c r="X3523" s="39" t="n">
        <f aca="false">IF(OR(I3523="DNB",I3523="Dry DNB"),1,0)</f>
        <v>0</v>
      </c>
      <c r="Y3523" s="39" t="n">
        <f aca="false">MATCH(A3523,DATAS,0)</f>
        <v>1</v>
      </c>
      <c r="Z3523" s="39" t="n">
        <f aca="false">IF(AND(E3523&gt;0,OR(AND(B3523&gt;=1,B3523&lt;=6),B3523=10)),1,0)</f>
        <v>0</v>
      </c>
      <c r="AA3523" s="39" t="n">
        <f aca="false">IF(AND(E3523&gt;0,B3523=10),1,0)</f>
        <v>0</v>
      </c>
      <c r="AB3523" s="0" t="str">
        <f aca="false">IF(AND(C3522=C3523,Y3522=Y3523-1),Z3522,"")</f>
        <v/>
      </c>
      <c r="AC3523" s="0" t="str">
        <f aca="false">IF(AND(C3522=C3523,Y3522=Y3523-1),AA3522,"")</f>
        <v/>
      </c>
      <c r="AD3523" s="0" t="str">
        <f aca="false">IF(Y3523=1,"",IF(AND(Z3523=1,AB3523&lt;&gt;1),1,0))</f>
        <v/>
      </c>
      <c r="AE3523" s="0" t="str">
        <f aca="false">IF(Y3523=1,"",IF(AND(AA3523=1,AC3523&lt;&gt;1),1,0))</f>
        <v/>
      </c>
      <c r="AF3523" s="45" t="str">
        <f aca="false">IF(AND(E3523&gt;0,Y3523&lt;1,NOT(AND(C3524=C3523,Y3524=Y3523+1))),INDEX(DATAS,Y3523+1),"")</f>
        <v/>
      </c>
      <c r="AG3523" s="45" t="str">
        <f aca="false">IF(AND(AA3523=1,Y3523&lt;1),IF(AND(C3524=C3523,Y3524=Y3523+1),IF(AA3524=1,"",INDEX(DATAS,Y3523+1)),INDEX(DATAS,Y3523+1)),"")</f>
        <v/>
      </c>
    </row>
    <row r="3524" customFormat="false" ht="15" hidden="false" customHeight="false" outlineLevel="0" collapsed="false">
      <c r="A3524" s="45" t="n">
        <v>46309</v>
      </c>
      <c r="B3524" s="0" t="n">
        <v>16</v>
      </c>
      <c r="C3524" s="0" t="n">
        <v>7973</v>
      </c>
      <c r="E3524" s="0" t="n">
        <v>0</v>
      </c>
      <c r="F3524" s="39" t="s">
        <v>1581</v>
      </c>
      <c r="I3524" s="39" t="s">
        <v>136</v>
      </c>
      <c r="U3524" s="0" t="n">
        <v>78</v>
      </c>
      <c r="V3524" s="0" t="n">
        <v>0</v>
      </c>
      <c r="W3524" s="39" t="n">
        <f aca="false">IF(I3524="Male",0,1)</f>
        <v>1</v>
      </c>
      <c r="X3524" s="39" t="n">
        <f aca="false">IF(OR(I3524="DNB",I3524="Dry DNB"),1,0)</f>
        <v>0</v>
      </c>
      <c r="Y3524" s="39" t="n">
        <f aca="false">MATCH(A3524,DATAS,0)</f>
        <v>1</v>
      </c>
      <c r="Z3524" s="39" t="n">
        <f aca="false">IF(AND(E3524&gt;0,OR(AND(B3524&gt;=1,B3524&lt;=6),B3524=10)),1,0)</f>
        <v>0</v>
      </c>
      <c r="AA3524" s="39" t="n">
        <f aca="false">IF(AND(E3524&gt;0,B3524=10),1,0)</f>
        <v>0</v>
      </c>
      <c r="AB3524" s="0" t="str">
        <f aca="false">IF(AND(C3523=C3524,Y3523=Y3524-1),Z3523,"")</f>
        <v/>
      </c>
      <c r="AC3524" s="0" t="str">
        <f aca="false">IF(AND(C3523=C3524,Y3523=Y3524-1),AA3523,"")</f>
        <v/>
      </c>
      <c r="AD3524" s="0" t="str">
        <f aca="false">IF(Y3524=1,"",IF(AND(Z3524=1,AB3524&lt;&gt;1),1,0))</f>
        <v/>
      </c>
      <c r="AE3524" s="0" t="str">
        <f aca="false">IF(Y3524=1,"",IF(AND(AA3524=1,AC3524&lt;&gt;1),1,0))</f>
        <v/>
      </c>
      <c r="AF3524" s="45" t="str">
        <f aca="false">IF(AND(E3524&gt;0,Y3524&lt;1,NOT(AND(C3525=C3524,Y3525=Y3524+1))),INDEX(DATAS,Y3524+1),"")</f>
        <v/>
      </c>
      <c r="AG3524" s="45" t="str">
        <f aca="false">IF(AND(AA3524=1,Y3524&lt;1),IF(AND(C3525=C3524,Y3525=Y3524+1),IF(AA3525=1,"",INDEX(DATAS,Y3524+1)),INDEX(DATAS,Y3524+1)),"")</f>
        <v/>
      </c>
    </row>
    <row r="3525" customFormat="false" ht="15" hidden="false" customHeight="false" outlineLevel="0" collapsed="false">
      <c r="A3525" s="45" t="n">
        <v>46309</v>
      </c>
      <c r="B3525" s="0" t="n">
        <v>16</v>
      </c>
      <c r="C3525" s="0" t="n">
        <v>7974</v>
      </c>
      <c r="E3525" s="0" t="n">
        <v>0</v>
      </c>
      <c r="F3525" s="39" t="s">
        <v>1581</v>
      </c>
      <c r="I3525" s="39" t="s">
        <v>136</v>
      </c>
      <c r="U3525" s="0" t="n">
        <v>78</v>
      </c>
      <c r="V3525" s="0" t="n">
        <v>0</v>
      </c>
      <c r="W3525" s="39" t="n">
        <f aca="false">IF(I3525="Male",0,1)</f>
        <v>1</v>
      </c>
      <c r="X3525" s="39" t="n">
        <f aca="false">IF(OR(I3525="DNB",I3525="Dry DNB"),1,0)</f>
        <v>0</v>
      </c>
      <c r="Y3525" s="39" t="n">
        <f aca="false">MATCH(A3525,DATAS,0)</f>
        <v>1</v>
      </c>
      <c r="Z3525" s="39" t="n">
        <f aca="false">IF(AND(E3525&gt;0,OR(AND(B3525&gt;=1,B3525&lt;=6),B3525=10)),1,0)</f>
        <v>0</v>
      </c>
      <c r="AA3525" s="39" t="n">
        <f aca="false">IF(AND(E3525&gt;0,B3525=10),1,0)</f>
        <v>0</v>
      </c>
      <c r="AB3525" s="0" t="str">
        <f aca="false">IF(AND(C3524=C3525,Y3524=Y3525-1),Z3524,"")</f>
        <v/>
      </c>
      <c r="AC3525" s="0" t="str">
        <f aca="false">IF(AND(C3524=C3525,Y3524=Y3525-1),AA3524,"")</f>
        <v/>
      </c>
      <c r="AD3525" s="0" t="str">
        <f aca="false">IF(Y3525=1,"",IF(AND(Z3525=1,AB3525&lt;&gt;1),1,0))</f>
        <v/>
      </c>
      <c r="AE3525" s="0" t="str">
        <f aca="false">IF(Y3525=1,"",IF(AND(AA3525=1,AC3525&lt;&gt;1),1,0))</f>
        <v/>
      </c>
      <c r="AF3525" s="45" t="str">
        <f aca="false">IF(AND(E3525&gt;0,Y3525&lt;1,NOT(AND(C3526=C3525,Y3526=Y3525+1))),INDEX(DATAS,Y3525+1),"")</f>
        <v/>
      </c>
      <c r="AG3525" s="45" t="str">
        <f aca="false">IF(AND(AA3525=1,Y3525&lt;1),IF(AND(C3526=C3525,Y3526=Y3525+1),IF(AA3526=1,"",INDEX(DATAS,Y3525+1)),INDEX(DATAS,Y3525+1)),"")</f>
        <v/>
      </c>
    </row>
    <row r="3526" customFormat="false" ht="15" hidden="false" customHeight="false" outlineLevel="0" collapsed="false">
      <c r="A3526" s="45" t="n">
        <v>46309</v>
      </c>
      <c r="B3526" s="0" t="n">
        <v>16</v>
      </c>
      <c r="C3526" s="0" t="n">
        <v>7975</v>
      </c>
      <c r="E3526" s="0" t="n">
        <v>0</v>
      </c>
      <c r="F3526" s="39" t="s">
        <v>1581</v>
      </c>
      <c r="I3526" s="39" t="s">
        <v>136</v>
      </c>
      <c r="U3526" s="0" t="n">
        <v>78</v>
      </c>
      <c r="V3526" s="0" t="n">
        <v>0</v>
      </c>
      <c r="W3526" s="39" t="n">
        <f aca="false">IF(I3526="Male",0,1)</f>
        <v>1</v>
      </c>
      <c r="X3526" s="39" t="n">
        <f aca="false">IF(OR(I3526="DNB",I3526="Dry DNB"),1,0)</f>
        <v>0</v>
      </c>
      <c r="Y3526" s="39" t="n">
        <f aca="false">MATCH(A3526,DATAS,0)</f>
        <v>1</v>
      </c>
      <c r="Z3526" s="39" t="n">
        <f aca="false">IF(AND(E3526&gt;0,OR(AND(B3526&gt;=1,B3526&lt;=6),B3526=10)),1,0)</f>
        <v>0</v>
      </c>
      <c r="AA3526" s="39" t="n">
        <f aca="false">IF(AND(E3526&gt;0,B3526=10),1,0)</f>
        <v>0</v>
      </c>
      <c r="AB3526" s="0" t="str">
        <f aca="false">IF(AND(C3525=C3526,Y3525=Y3526-1),Z3525,"")</f>
        <v/>
      </c>
      <c r="AC3526" s="0" t="str">
        <f aca="false">IF(AND(C3525=C3526,Y3525=Y3526-1),AA3525,"")</f>
        <v/>
      </c>
      <c r="AD3526" s="0" t="str">
        <f aca="false">IF(Y3526=1,"",IF(AND(Z3526=1,AB3526&lt;&gt;1),1,0))</f>
        <v/>
      </c>
      <c r="AE3526" s="0" t="str">
        <f aca="false">IF(Y3526=1,"",IF(AND(AA3526=1,AC3526&lt;&gt;1),1,0))</f>
        <v/>
      </c>
      <c r="AF3526" s="45" t="str">
        <f aca="false">IF(AND(E3526&gt;0,Y3526&lt;1,NOT(AND(C3527=C3526,Y3527=Y3526+1))),INDEX(DATAS,Y3526+1),"")</f>
        <v/>
      </c>
      <c r="AG3526" s="45" t="str">
        <f aca="false">IF(AND(AA3526=1,Y3526&lt;1),IF(AND(C3527=C3526,Y3527=Y3526+1),IF(AA3527=1,"",INDEX(DATAS,Y3526+1)),INDEX(DATAS,Y3526+1)),"")</f>
        <v/>
      </c>
    </row>
    <row r="3527" customFormat="false" ht="15" hidden="false" customHeight="false" outlineLevel="0" collapsed="false">
      <c r="A3527" s="45" t="n">
        <v>46309</v>
      </c>
      <c r="B3527" s="0" t="n">
        <v>16</v>
      </c>
      <c r="C3527" s="0" t="n">
        <v>7977</v>
      </c>
      <c r="E3527" s="0" t="n">
        <v>0</v>
      </c>
      <c r="F3527" s="39" t="s">
        <v>1582</v>
      </c>
      <c r="I3527" s="39" t="s">
        <v>136</v>
      </c>
      <c r="U3527" s="0" t="n">
        <v>77</v>
      </c>
      <c r="V3527" s="0" t="n">
        <v>0</v>
      </c>
      <c r="W3527" s="39" t="n">
        <f aca="false">IF(I3527="Male",0,1)</f>
        <v>1</v>
      </c>
      <c r="X3527" s="39" t="n">
        <f aca="false">IF(OR(I3527="DNB",I3527="Dry DNB"),1,0)</f>
        <v>0</v>
      </c>
      <c r="Y3527" s="39" t="n">
        <f aca="false">MATCH(A3527,DATAS,0)</f>
        <v>1</v>
      </c>
      <c r="Z3527" s="39" t="n">
        <f aca="false">IF(AND(E3527&gt;0,OR(AND(B3527&gt;=1,B3527&lt;=6),B3527=10)),1,0)</f>
        <v>0</v>
      </c>
      <c r="AA3527" s="39" t="n">
        <f aca="false">IF(AND(E3527&gt;0,B3527=10),1,0)</f>
        <v>0</v>
      </c>
      <c r="AB3527" s="0" t="str">
        <f aca="false">IF(AND(C3526=C3527,Y3526=Y3527-1),Z3526,"")</f>
        <v/>
      </c>
      <c r="AC3527" s="0" t="str">
        <f aca="false">IF(AND(C3526=C3527,Y3526=Y3527-1),AA3526,"")</f>
        <v/>
      </c>
      <c r="AD3527" s="0" t="str">
        <f aca="false">IF(Y3527=1,"",IF(AND(Z3527=1,AB3527&lt;&gt;1),1,0))</f>
        <v/>
      </c>
      <c r="AE3527" s="0" t="str">
        <f aca="false">IF(Y3527=1,"",IF(AND(AA3527=1,AC3527&lt;&gt;1),1,0))</f>
        <v/>
      </c>
      <c r="AF3527" s="45" t="str">
        <f aca="false">IF(AND(E3527&gt;0,Y3527&lt;1,NOT(AND(C3528=C3527,Y3528=Y3527+1))),INDEX(DATAS,Y3527+1),"")</f>
        <v/>
      </c>
      <c r="AG3527" s="45" t="str">
        <f aca="false">IF(AND(AA3527=1,Y3527&lt;1),IF(AND(C3528=C3527,Y3528=Y3527+1),IF(AA3528=1,"",INDEX(DATAS,Y3527+1)),INDEX(DATAS,Y3527+1)),"")</f>
        <v/>
      </c>
    </row>
    <row r="3528" customFormat="false" ht="15" hidden="false" customHeight="false" outlineLevel="0" collapsed="false">
      <c r="A3528" s="45" t="n">
        <v>46309</v>
      </c>
      <c r="B3528" s="0" t="n">
        <v>16</v>
      </c>
      <c r="C3528" s="0" t="n">
        <v>7979</v>
      </c>
      <c r="E3528" s="0" t="n">
        <v>0</v>
      </c>
      <c r="F3528" s="39" t="s">
        <v>1583</v>
      </c>
      <c r="I3528" s="39" t="s">
        <v>136</v>
      </c>
      <c r="U3528" s="0" t="n">
        <v>75</v>
      </c>
      <c r="V3528" s="0" t="n">
        <v>0</v>
      </c>
      <c r="W3528" s="39" t="n">
        <f aca="false">IF(I3528="Male",0,1)</f>
        <v>1</v>
      </c>
      <c r="X3528" s="39" t="n">
        <f aca="false">IF(OR(I3528="DNB",I3528="Dry DNB"),1,0)</f>
        <v>0</v>
      </c>
      <c r="Y3528" s="39" t="n">
        <f aca="false">MATCH(A3528,DATAS,0)</f>
        <v>1</v>
      </c>
      <c r="Z3528" s="39" t="n">
        <f aca="false">IF(AND(E3528&gt;0,OR(AND(B3528&gt;=1,B3528&lt;=6),B3528=10)),1,0)</f>
        <v>0</v>
      </c>
      <c r="AA3528" s="39" t="n">
        <f aca="false">IF(AND(E3528&gt;0,B3528=10),1,0)</f>
        <v>0</v>
      </c>
      <c r="AB3528" s="0" t="str">
        <f aca="false">IF(AND(C3527=C3528,Y3527=Y3528-1),Z3527,"")</f>
        <v/>
      </c>
      <c r="AC3528" s="0" t="str">
        <f aca="false">IF(AND(C3527=C3528,Y3527=Y3528-1),AA3527,"")</f>
        <v/>
      </c>
      <c r="AD3528" s="0" t="str">
        <f aca="false">IF(Y3528=1,"",IF(AND(Z3528=1,AB3528&lt;&gt;1),1,0))</f>
        <v/>
      </c>
      <c r="AE3528" s="0" t="str">
        <f aca="false">IF(Y3528=1,"",IF(AND(AA3528=1,AC3528&lt;&gt;1),1,0))</f>
        <v/>
      </c>
      <c r="AF3528" s="45" t="str">
        <f aca="false">IF(AND(E3528&gt;0,Y3528&lt;1,NOT(AND(C3529=C3528,Y3529=Y3528+1))),INDEX(DATAS,Y3528+1),"")</f>
        <v/>
      </c>
      <c r="AG3528" s="45" t="str">
        <f aca="false">IF(AND(AA3528=1,Y3528&lt;1),IF(AND(C3529=C3528,Y3529=Y3528+1),IF(AA3529=1,"",INDEX(DATAS,Y3528+1)),INDEX(DATAS,Y3528+1)),"")</f>
        <v/>
      </c>
    </row>
    <row r="3529" customFormat="false" ht="15" hidden="false" customHeight="false" outlineLevel="0" collapsed="false">
      <c r="A3529" s="45" t="n">
        <v>46309</v>
      </c>
      <c r="B3529" s="0" t="n">
        <v>16</v>
      </c>
      <c r="C3529" s="0" t="n">
        <v>7980</v>
      </c>
      <c r="E3529" s="0" t="n">
        <v>0</v>
      </c>
      <c r="F3529" s="39" t="s">
        <v>1583</v>
      </c>
      <c r="I3529" s="39" t="s">
        <v>136</v>
      </c>
      <c r="U3529" s="0" t="n">
        <v>75</v>
      </c>
      <c r="V3529" s="0" t="n">
        <v>0</v>
      </c>
      <c r="W3529" s="39" t="n">
        <f aca="false">IF(I3529="Male",0,1)</f>
        <v>1</v>
      </c>
      <c r="X3529" s="39" t="n">
        <f aca="false">IF(OR(I3529="DNB",I3529="Dry DNB"),1,0)</f>
        <v>0</v>
      </c>
      <c r="Y3529" s="39" t="n">
        <f aca="false">MATCH(A3529,DATAS,0)</f>
        <v>1</v>
      </c>
      <c r="Z3529" s="39" t="n">
        <f aca="false">IF(AND(E3529&gt;0,OR(AND(B3529&gt;=1,B3529&lt;=6),B3529=10)),1,0)</f>
        <v>0</v>
      </c>
      <c r="AA3529" s="39" t="n">
        <f aca="false">IF(AND(E3529&gt;0,B3529=10),1,0)</f>
        <v>0</v>
      </c>
      <c r="AB3529" s="0" t="str">
        <f aca="false">IF(AND(C3528=C3529,Y3528=Y3529-1),Z3528,"")</f>
        <v/>
      </c>
      <c r="AC3529" s="0" t="str">
        <f aca="false">IF(AND(C3528=C3529,Y3528=Y3529-1),AA3528,"")</f>
        <v/>
      </c>
      <c r="AD3529" s="0" t="str">
        <f aca="false">IF(Y3529=1,"",IF(AND(Z3529=1,AB3529&lt;&gt;1),1,0))</f>
        <v/>
      </c>
      <c r="AE3529" s="0" t="str">
        <f aca="false">IF(Y3529=1,"",IF(AND(AA3529=1,AC3529&lt;&gt;1),1,0))</f>
        <v/>
      </c>
      <c r="AF3529" s="45" t="str">
        <f aca="false">IF(AND(E3529&gt;0,Y3529&lt;1,NOT(AND(C3530=C3529,Y3530=Y3529+1))),INDEX(DATAS,Y3529+1),"")</f>
        <v/>
      </c>
      <c r="AG3529" s="45" t="str">
        <f aca="false">IF(AND(AA3529=1,Y3529&lt;1),IF(AND(C3530=C3529,Y3530=Y3529+1),IF(AA3530=1,"",INDEX(DATAS,Y3529+1)),INDEX(DATAS,Y3529+1)),"")</f>
        <v/>
      </c>
    </row>
    <row r="3530" customFormat="false" ht="15" hidden="false" customHeight="false" outlineLevel="0" collapsed="false">
      <c r="A3530" s="45" t="n">
        <v>46309</v>
      </c>
      <c r="B3530" s="0" t="n">
        <v>16</v>
      </c>
      <c r="C3530" s="0" t="n">
        <v>7981</v>
      </c>
      <c r="E3530" s="0" t="n">
        <v>0</v>
      </c>
      <c r="F3530" s="39" t="s">
        <v>1583</v>
      </c>
      <c r="I3530" s="39" t="s">
        <v>136</v>
      </c>
      <c r="U3530" s="0" t="n">
        <v>75</v>
      </c>
      <c r="V3530" s="0" t="n">
        <v>0</v>
      </c>
      <c r="W3530" s="39" t="n">
        <f aca="false">IF(I3530="Male",0,1)</f>
        <v>1</v>
      </c>
      <c r="X3530" s="39" t="n">
        <f aca="false">IF(OR(I3530="DNB",I3530="Dry DNB"),1,0)</f>
        <v>0</v>
      </c>
      <c r="Y3530" s="39" t="n">
        <f aca="false">MATCH(A3530,DATAS,0)</f>
        <v>1</v>
      </c>
      <c r="Z3530" s="39" t="n">
        <f aca="false">IF(AND(E3530&gt;0,OR(AND(B3530&gt;=1,B3530&lt;=6),B3530=10)),1,0)</f>
        <v>0</v>
      </c>
      <c r="AA3530" s="39" t="n">
        <f aca="false">IF(AND(E3530&gt;0,B3530=10),1,0)</f>
        <v>0</v>
      </c>
      <c r="AB3530" s="0" t="str">
        <f aca="false">IF(AND(C3529=C3530,Y3529=Y3530-1),Z3529,"")</f>
        <v/>
      </c>
      <c r="AC3530" s="0" t="str">
        <f aca="false">IF(AND(C3529=C3530,Y3529=Y3530-1),AA3529,"")</f>
        <v/>
      </c>
      <c r="AD3530" s="0" t="str">
        <f aca="false">IF(Y3530=1,"",IF(AND(Z3530=1,AB3530&lt;&gt;1),1,0))</f>
        <v/>
      </c>
      <c r="AE3530" s="0" t="str">
        <f aca="false">IF(Y3530=1,"",IF(AND(AA3530=1,AC3530&lt;&gt;1),1,0))</f>
        <v/>
      </c>
      <c r="AF3530" s="45" t="str">
        <f aca="false">IF(AND(E3530&gt;0,Y3530&lt;1,NOT(AND(C3531=C3530,Y3531=Y3530+1))),INDEX(DATAS,Y3530+1),"")</f>
        <v/>
      </c>
      <c r="AG3530" s="45" t="str">
        <f aca="false">IF(AND(AA3530=1,Y3530&lt;1),IF(AND(C3531=C3530,Y3531=Y3530+1),IF(AA3531=1,"",INDEX(DATAS,Y3530+1)),INDEX(DATAS,Y3530+1)),"")</f>
        <v/>
      </c>
    </row>
    <row r="3531" customFormat="false" ht="15" hidden="false" customHeight="false" outlineLevel="0" collapsed="false">
      <c r="A3531" s="45" t="n">
        <v>46309</v>
      </c>
      <c r="B3531" s="0" t="n">
        <v>16</v>
      </c>
      <c r="C3531" s="0" t="n">
        <v>7982</v>
      </c>
      <c r="E3531" s="0" t="n">
        <v>0</v>
      </c>
      <c r="F3531" s="39" t="s">
        <v>1583</v>
      </c>
      <c r="I3531" s="39" t="s">
        <v>136</v>
      </c>
      <c r="U3531" s="0" t="n">
        <v>75</v>
      </c>
      <c r="V3531" s="0" t="n">
        <v>0</v>
      </c>
      <c r="W3531" s="39" t="n">
        <f aca="false">IF(I3531="Male",0,1)</f>
        <v>1</v>
      </c>
      <c r="X3531" s="39" t="n">
        <f aca="false">IF(OR(I3531="DNB",I3531="Dry DNB"),1,0)</f>
        <v>0</v>
      </c>
      <c r="Y3531" s="39" t="n">
        <f aca="false">MATCH(A3531,DATAS,0)</f>
        <v>1</v>
      </c>
      <c r="Z3531" s="39" t="n">
        <f aca="false">IF(AND(E3531&gt;0,OR(AND(B3531&gt;=1,B3531&lt;=6),B3531=10)),1,0)</f>
        <v>0</v>
      </c>
      <c r="AA3531" s="39" t="n">
        <f aca="false">IF(AND(E3531&gt;0,B3531=10),1,0)</f>
        <v>0</v>
      </c>
      <c r="AB3531" s="0" t="str">
        <f aca="false">IF(AND(C3530=C3531,Y3530=Y3531-1),Z3530,"")</f>
        <v/>
      </c>
      <c r="AC3531" s="0" t="str">
        <f aca="false">IF(AND(C3530=C3531,Y3530=Y3531-1),AA3530,"")</f>
        <v/>
      </c>
      <c r="AD3531" s="0" t="str">
        <f aca="false">IF(Y3531=1,"",IF(AND(Z3531=1,AB3531&lt;&gt;1),1,0))</f>
        <v/>
      </c>
      <c r="AE3531" s="0" t="str">
        <f aca="false">IF(Y3531=1,"",IF(AND(AA3531=1,AC3531&lt;&gt;1),1,0))</f>
        <v/>
      </c>
      <c r="AF3531" s="45" t="str">
        <f aca="false">IF(AND(E3531&gt;0,Y3531&lt;1,NOT(AND(C3532=C3531,Y3532=Y3531+1))),INDEX(DATAS,Y3531+1),"")</f>
        <v/>
      </c>
      <c r="AG3531" s="45" t="str">
        <f aca="false">IF(AND(AA3531=1,Y3531&lt;1),IF(AND(C3532=C3531,Y3532=Y3531+1),IF(AA3532=1,"",INDEX(DATAS,Y3531+1)),INDEX(DATAS,Y3531+1)),"")</f>
        <v/>
      </c>
    </row>
    <row r="3532" customFormat="false" ht="15" hidden="false" customHeight="false" outlineLevel="0" collapsed="false">
      <c r="A3532" s="45" t="n">
        <v>46309</v>
      </c>
      <c r="B3532" s="0" t="n">
        <v>16</v>
      </c>
      <c r="C3532" s="0" t="n">
        <v>7983</v>
      </c>
      <c r="E3532" s="0" t="n">
        <v>0</v>
      </c>
      <c r="F3532" s="39" t="s">
        <v>1583</v>
      </c>
      <c r="I3532" s="39" t="s">
        <v>136</v>
      </c>
      <c r="U3532" s="0" t="n">
        <v>75</v>
      </c>
      <c r="V3532" s="0" t="n">
        <v>0</v>
      </c>
      <c r="W3532" s="39" t="n">
        <f aca="false">IF(I3532="Male",0,1)</f>
        <v>1</v>
      </c>
      <c r="X3532" s="39" t="n">
        <f aca="false">IF(OR(I3532="DNB",I3532="Dry DNB"),1,0)</f>
        <v>0</v>
      </c>
      <c r="Y3532" s="39" t="n">
        <f aca="false">MATCH(A3532,DATAS,0)</f>
        <v>1</v>
      </c>
      <c r="Z3532" s="39" t="n">
        <f aca="false">IF(AND(E3532&gt;0,OR(AND(B3532&gt;=1,B3532&lt;=6),B3532=10)),1,0)</f>
        <v>0</v>
      </c>
      <c r="AA3532" s="39" t="n">
        <f aca="false">IF(AND(E3532&gt;0,B3532=10),1,0)</f>
        <v>0</v>
      </c>
      <c r="AB3532" s="0" t="str">
        <f aca="false">IF(AND(C3531=C3532,Y3531=Y3532-1),Z3531,"")</f>
        <v/>
      </c>
      <c r="AC3532" s="0" t="str">
        <f aca="false">IF(AND(C3531=C3532,Y3531=Y3532-1),AA3531,"")</f>
        <v/>
      </c>
      <c r="AD3532" s="0" t="str">
        <f aca="false">IF(Y3532=1,"",IF(AND(Z3532=1,AB3532&lt;&gt;1),1,0))</f>
        <v/>
      </c>
      <c r="AE3532" s="0" t="str">
        <f aca="false">IF(Y3532=1,"",IF(AND(AA3532=1,AC3532&lt;&gt;1),1,0))</f>
        <v/>
      </c>
      <c r="AF3532" s="45" t="str">
        <f aca="false">IF(AND(E3532&gt;0,Y3532&lt;1,NOT(AND(C3533=C3532,Y3533=Y3532+1))),INDEX(DATAS,Y3532+1),"")</f>
        <v/>
      </c>
      <c r="AG3532" s="45" t="str">
        <f aca="false">IF(AND(AA3532=1,Y3532&lt;1),IF(AND(C3533=C3532,Y3533=Y3532+1),IF(AA3533=1,"",INDEX(DATAS,Y3532+1)),INDEX(DATAS,Y3532+1)),"")</f>
        <v/>
      </c>
    </row>
    <row r="3533" customFormat="false" ht="15" hidden="false" customHeight="false" outlineLevel="0" collapsed="false">
      <c r="A3533" s="45" t="n">
        <v>46309</v>
      </c>
      <c r="B3533" s="0" t="n">
        <v>16</v>
      </c>
      <c r="C3533" s="0" t="n">
        <v>7984</v>
      </c>
      <c r="E3533" s="0" t="n">
        <v>0</v>
      </c>
      <c r="F3533" s="39" t="s">
        <v>1583</v>
      </c>
      <c r="I3533" s="39" t="s">
        <v>136</v>
      </c>
      <c r="U3533" s="0" t="n">
        <v>75</v>
      </c>
      <c r="V3533" s="0" t="n">
        <v>0</v>
      </c>
      <c r="W3533" s="39" t="n">
        <f aca="false">IF(I3533="Male",0,1)</f>
        <v>1</v>
      </c>
      <c r="X3533" s="39" t="n">
        <f aca="false">IF(OR(I3533="DNB",I3533="Dry DNB"),1,0)</f>
        <v>0</v>
      </c>
      <c r="Y3533" s="39" t="n">
        <f aca="false">MATCH(A3533,DATAS,0)</f>
        <v>1</v>
      </c>
      <c r="Z3533" s="39" t="n">
        <f aca="false">IF(AND(E3533&gt;0,OR(AND(B3533&gt;=1,B3533&lt;=6),B3533=10)),1,0)</f>
        <v>0</v>
      </c>
      <c r="AA3533" s="39" t="n">
        <f aca="false">IF(AND(E3533&gt;0,B3533=10),1,0)</f>
        <v>0</v>
      </c>
      <c r="AB3533" s="0" t="str">
        <f aca="false">IF(AND(C3532=C3533,Y3532=Y3533-1),Z3532,"")</f>
        <v/>
      </c>
      <c r="AC3533" s="0" t="str">
        <f aca="false">IF(AND(C3532=C3533,Y3532=Y3533-1),AA3532,"")</f>
        <v/>
      </c>
      <c r="AD3533" s="0" t="str">
        <f aca="false">IF(Y3533=1,"",IF(AND(Z3533=1,AB3533&lt;&gt;1),1,0))</f>
        <v/>
      </c>
      <c r="AE3533" s="0" t="str">
        <f aca="false">IF(Y3533=1,"",IF(AND(AA3533=1,AC3533&lt;&gt;1),1,0))</f>
        <v/>
      </c>
      <c r="AF3533" s="45" t="str">
        <f aca="false">IF(AND(E3533&gt;0,Y3533&lt;1,NOT(AND(C3534=C3533,Y3534=Y3533+1))),INDEX(DATAS,Y3533+1),"")</f>
        <v/>
      </c>
      <c r="AG3533" s="45" t="str">
        <f aca="false">IF(AND(AA3533=1,Y3533&lt;1),IF(AND(C3534=C3533,Y3534=Y3533+1),IF(AA3534=1,"",INDEX(DATAS,Y3533+1)),INDEX(DATAS,Y3533+1)),"")</f>
        <v/>
      </c>
    </row>
    <row r="3534" customFormat="false" ht="15" hidden="false" customHeight="false" outlineLevel="0" collapsed="false">
      <c r="A3534" s="45" t="n">
        <v>46309</v>
      </c>
      <c r="B3534" s="0" t="n">
        <v>16</v>
      </c>
      <c r="C3534" s="0" t="n">
        <v>7985</v>
      </c>
      <c r="E3534" s="0" t="n">
        <v>0</v>
      </c>
      <c r="F3534" s="39" t="s">
        <v>1583</v>
      </c>
      <c r="I3534" s="39" t="s">
        <v>136</v>
      </c>
      <c r="U3534" s="0" t="n">
        <v>75</v>
      </c>
      <c r="V3534" s="0" t="n">
        <v>0</v>
      </c>
      <c r="W3534" s="39" t="n">
        <f aca="false">IF(I3534="Male",0,1)</f>
        <v>1</v>
      </c>
      <c r="X3534" s="39" t="n">
        <f aca="false">IF(OR(I3534="DNB",I3534="Dry DNB"),1,0)</f>
        <v>0</v>
      </c>
      <c r="Y3534" s="39" t="n">
        <f aca="false">MATCH(A3534,DATAS,0)</f>
        <v>1</v>
      </c>
      <c r="Z3534" s="39" t="n">
        <f aca="false">IF(AND(E3534&gt;0,OR(AND(B3534&gt;=1,B3534&lt;=6),B3534=10)),1,0)</f>
        <v>0</v>
      </c>
      <c r="AA3534" s="39" t="n">
        <f aca="false">IF(AND(E3534&gt;0,B3534=10),1,0)</f>
        <v>0</v>
      </c>
      <c r="AB3534" s="0" t="str">
        <f aca="false">IF(AND(C3533=C3534,Y3533=Y3534-1),Z3533,"")</f>
        <v/>
      </c>
      <c r="AC3534" s="0" t="str">
        <f aca="false">IF(AND(C3533=C3534,Y3533=Y3534-1),AA3533,"")</f>
        <v/>
      </c>
      <c r="AD3534" s="0" t="str">
        <f aca="false">IF(Y3534=1,"",IF(AND(Z3534=1,AB3534&lt;&gt;1),1,0))</f>
        <v/>
      </c>
      <c r="AE3534" s="0" t="str">
        <f aca="false">IF(Y3534=1,"",IF(AND(AA3534=1,AC3534&lt;&gt;1),1,0))</f>
        <v/>
      </c>
      <c r="AF3534" s="45" t="str">
        <f aca="false">IF(AND(E3534&gt;0,Y3534&lt;1,NOT(AND(C3535=C3534,Y3535=Y3534+1))),INDEX(DATAS,Y3534+1),"")</f>
        <v/>
      </c>
      <c r="AG3534" s="45" t="str">
        <f aca="false">IF(AND(AA3534=1,Y3534&lt;1),IF(AND(C3535=C3534,Y3535=Y3534+1),IF(AA3535=1,"",INDEX(DATAS,Y3534+1)),INDEX(DATAS,Y3534+1)),"")</f>
        <v/>
      </c>
    </row>
    <row r="3535" customFormat="false" ht="15" hidden="false" customHeight="false" outlineLevel="0" collapsed="false">
      <c r="A3535" s="45" t="n">
        <v>46309</v>
      </c>
      <c r="B3535" s="0" t="n">
        <v>16</v>
      </c>
      <c r="C3535" s="0" t="n">
        <v>7986</v>
      </c>
      <c r="E3535" s="0" t="n">
        <v>0</v>
      </c>
      <c r="F3535" s="39" t="s">
        <v>1583</v>
      </c>
      <c r="I3535" s="39" t="s">
        <v>136</v>
      </c>
      <c r="U3535" s="0" t="n">
        <v>75</v>
      </c>
      <c r="V3535" s="0" t="n">
        <v>0</v>
      </c>
      <c r="W3535" s="39" t="n">
        <f aca="false">IF(I3535="Male",0,1)</f>
        <v>1</v>
      </c>
      <c r="X3535" s="39" t="n">
        <f aca="false">IF(OR(I3535="DNB",I3535="Dry DNB"),1,0)</f>
        <v>0</v>
      </c>
      <c r="Y3535" s="39" t="n">
        <f aca="false">MATCH(A3535,DATAS,0)</f>
        <v>1</v>
      </c>
      <c r="Z3535" s="39" t="n">
        <f aca="false">IF(AND(E3535&gt;0,OR(AND(B3535&gt;=1,B3535&lt;=6),B3535=10)),1,0)</f>
        <v>0</v>
      </c>
      <c r="AA3535" s="39" t="n">
        <f aca="false">IF(AND(E3535&gt;0,B3535=10),1,0)</f>
        <v>0</v>
      </c>
      <c r="AB3535" s="0" t="str">
        <f aca="false">IF(AND(C3534=C3535,Y3534=Y3535-1),Z3534,"")</f>
        <v/>
      </c>
      <c r="AC3535" s="0" t="str">
        <f aca="false">IF(AND(C3534=C3535,Y3534=Y3535-1),AA3534,"")</f>
        <v/>
      </c>
      <c r="AD3535" s="0" t="str">
        <f aca="false">IF(Y3535=1,"",IF(AND(Z3535=1,AB3535&lt;&gt;1),1,0))</f>
        <v/>
      </c>
      <c r="AE3535" s="0" t="str">
        <f aca="false">IF(Y3535=1,"",IF(AND(AA3535=1,AC3535&lt;&gt;1),1,0))</f>
        <v/>
      </c>
      <c r="AF3535" s="45" t="str">
        <f aca="false">IF(AND(E3535&gt;0,Y3535&lt;1,NOT(AND(C3536=C3535,Y3536=Y3535+1))),INDEX(DATAS,Y3535+1),"")</f>
        <v/>
      </c>
      <c r="AG3535" s="45" t="str">
        <f aca="false">IF(AND(AA3535=1,Y3535&lt;1),IF(AND(C3536=C3535,Y3536=Y3535+1),IF(AA3536=1,"",INDEX(DATAS,Y3535+1)),INDEX(DATAS,Y3535+1)),"")</f>
        <v/>
      </c>
    </row>
    <row r="3536" customFormat="false" ht="15" hidden="false" customHeight="false" outlineLevel="0" collapsed="false">
      <c r="A3536" s="45" t="n">
        <v>46309</v>
      </c>
      <c r="B3536" s="0" t="n">
        <v>16</v>
      </c>
      <c r="C3536" s="0" t="n">
        <v>7987</v>
      </c>
      <c r="E3536" s="0" t="n">
        <v>0</v>
      </c>
      <c r="F3536" s="39" t="s">
        <v>1584</v>
      </c>
      <c r="I3536" s="39" t="s">
        <v>136</v>
      </c>
      <c r="U3536" s="0" t="n">
        <v>74</v>
      </c>
      <c r="V3536" s="0" t="n">
        <v>0</v>
      </c>
      <c r="W3536" s="39" t="n">
        <f aca="false">IF(I3536="Male",0,1)</f>
        <v>1</v>
      </c>
      <c r="X3536" s="39" t="n">
        <f aca="false">IF(OR(I3536="DNB",I3536="Dry DNB"),1,0)</f>
        <v>0</v>
      </c>
      <c r="Y3536" s="39" t="n">
        <f aca="false">MATCH(A3536,DATAS,0)</f>
        <v>1</v>
      </c>
      <c r="Z3536" s="39" t="n">
        <f aca="false">IF(AND(E3536&gt;0,OR(AND(B3536&gt;=1,B3536&lt;=6),B3536=10)),1,0)</f>
        <v>0</v>
      </c>
      <c r="AA3536" s="39" t="n">
        <f aca="false">IF(AND(E3536&gt;0,B3536=10),1,0)</f>
        <v>0</v>
      </c>
      <c r="AB3536" s="0" t="str">
        <f aca="false">IF(AND(C3535=C3536,Y3535=Y3536-1),Z3535,"")</f>
        <v/>
      </c>
      <c r="AC3536" s="0" t="str">
        <f aca="false">IF(AND(C3535=C3536,Y3535=Y3536-1),AA3535,"")</f>
        <v/>
      </c>
      <c r="AD3536" s="0" t="str">
        <f aca="false">IF(Y3536=1,"",IF(AND(Z3536=1,AB3536&lt;&gt;1),1,0))</f>
        <v/>
      </c>
      <c r="AE3536" s="0" t="str">
        <f aca="false">IF(Y3536=1,"",IF(AND(AA3536=1,AC3536&lt;&gt;1),1,0))</f>
        <v/>
      </c>
      <c r="AF3536" s="45" t="str">
        <f aca="false">IF(AND(E3536&gt;0,Y3536&lt;1,NOT(AND(C3537=C3536,Y3537=Y3536+1))),INDEX(DATAS,Y3536+1),"")</f>
        <v/>
      </c>
      <c r="AG3536" s="45" t="str">
        <f aca="false">IF(AND(AA3536=1,Y3536&lt;1),IF(AND(C3537=C3536,Y3537=Y3536+1),IF(AA3537=1,"",INDEX(DATAS,Y3536+1)),INDEX(DATAS,Y3536+1)),"")</f>
        <v/>
      </c>
    </row>
    <row r="3537" customFormat="false" ht="15" hidden="false" customHeight="false" outlineLevel="0" collapsed="false">
      <c r="A3537" s="45" t="n">
        <v>46309</v>
      </c>
      <c r="B3537" s="0" t="n">
        <v>16</v>
      </c>
      <c r="C3537" s="0" t="n">
        <v>7988</v>
      </c>
      <c r="E3537" s="0" t="n">
        <v>0</v>
      </c>
      <c r="F3537" s="39" t="s">
        <v>1584</v>
      </c>
      <c r="I3537" s="39" t="s">
        <v>136</v>
      </c>
      <c r="U3537" s="0" t="n">
        <v>74</v>
      </c>
      <c r="V3537" s="0" t="n">
        <v>0</v>
      </c>
      <c r="W3537" s="39" t="n">
        <f aca="false">IF(I3537="Male",0,1)</f>
        <v>1</v>
      </c>
      <c r="X3537" s="39" t="n">
        <f aca="false">IF(OR(I3537="DNB",I3537="Dry DNB"),1,0)</f>
        <v>0</v>
      </c>
      <c r="Y3537" s="39" t="n">
        <f aca="false">MATCH(A3537,DATAS,0)</f>
        <v>1</v>
      </c>
      <c r="Z3537" s="39" t="n">
        <f aca="false">IF(AND(E3537&gt;0,OR(AND(B3537&gt;=1,B3537&lt;=6),B3537=10)),1,0)</f>
        <v>0</v>
      </c>
      <c r="AA3537" s="39" t="n">
        <f aca="false">IF(AND(E3537&gt;0,B3537=10),1,0)</f>
        <v>0</v>
      </c>
      <c r="AB3537" s="0" t="str">
        <f aca="false">IF(AND(C3536=C3537,Y3536=Y3537-1),Z3536,"")</f>
        <v/>
      </c>
      <c r="AC3537" s="0" t="str">
        <f aca="false">IF(AND(C3536=C3537,Y3536=Y3537-1),AA3536,"")</f>
        <v/>
      </c>
      <c r="AD3537" s="0" t="str">
        <f aca="false">IF(Y3537=1,"",IF(AND(Z3537=1,AB3537&lt;&gt;1),1,0))</f>
        <v/>
      </c>
      <c r="AE3537" s="0" t="str">
        <f aca="false">IF(Y3537=1,"",IF(AND(AA3537=1,AC3537&lt;&gt;1),1,0))</f>
        <v/>
      </c>
      <c r="AF3537" s="45" t="str">
        <f aca="false">IF(AND(E3537&gt;0,Y3537&lt;1,NOT(AND(C3538=C3537,Y3538=Y3537+1))),INDEX(DATAS,Y3537+1),"")</f>
        <v/>
      </c>
      <c r="AG3537" s="45" t="str">
        <f aca="false">IF(AND(AA3537=1,Y3537&lt;1),IF(AND(C3538=C3537,Y3538=Y3537+1),IF(AA3538=1,"",INDEX(DATAS,Y3537+1)),INDEX(DATAS,Y3537+1)),"")</f>
        <v/>
      </c>
    </row>
    <row r="3538" customFormat="false" ht="15" hidden="false" customHeight="false" outlineLevel="0" collapsed="false">
      <c r="A3538" s="45" t="n">
        <v>46309</v>
      </c>
      <c r="B3538" s="0" t="n">
        <v>16</v>
      </c>
      <c r="C3538" s="0" t="n">
        <v>7989</v>
      </c>
      <c r="E3538" s="0" t="n">
        <v>0</v>
      </c>
      <c r="F3538" s="39" t="s">
        <v>1584</v>
      </c>
      <c r="I3538" s="39" t="s">
        <v>136</v>
      </c>
      <c r="U3538" s="0" t="n">
        <v>74</v>
      </c>
      <c r="V3538" s="0" t="n">
        <v>0</v>
      </c>
      <c r="W3538" s="39" t="n">
        <f aca="false">IF(I3538="Male",0,1)</f>
        <v>1</v>
      </c>
      <c r="X3538" s="39" t="n">
        <f aca="false">IF(OR(I3538="DNB",I3538="Dry DNB"),1,0)</f>
        <v>0</v>
      </c>
      <c r="Y3538" s="39" t="n">
        <f aca="false">MATCH(A3538,DATAS,0)</f>
        <v>1</v>
      </c>
      <c r="Z3538" s="39" t="n">
        <f aca="false">IF(AND(E3538&gt;0,OR(AND(B3538&gt;=1,B3538&lt;=6),B3538=10)),1,0)</f>
        <v>0</v>
      </c>
      <c r="AA3538" s="39" t="n">
        <f aca="false">IF(AND(E3538&gt;0,B3538=10),1,0)</f>
        <v>0</v>
      </c>
      <c r="AB3538" s="0" t="str">
        <f aca="false">IF(AND(C3537=C3538,Y3537=Y3538-1),Z3537,"")</f>
        <v/>
      </c>
      <c r="AC3538" s="0" t="str">
        <f aca="false">IF(AND(C3537=C3538,Y3537=Y3538-1),AA3537,"")</f>
        <v/>
      </c>
      <c r="AD3538" s="0" t="str">
        <f aca="false">IF(Y3538=1,"",IF(AND(Z3538=1,AB3538&lt;&gt;1),1,0))</f>
        <v/>
      </c>
      <c r="AE3538" s="0" t="str">
        <f aca="false">IF(Y3538=1,"",IF(AND(AA3538=1,AC3538&lt;&gt;1),1,0))</f>
        <v/>
      </c>
      <c r="AF3538" s="45" t="str">
        <f aca="false">IF(AND(E3538&gt;0,Y3538&lt;1,NOT(AND(C3539=C3538,Y3539=Y3538+1))),INDEX(DATAS,Y3538+1),"")</f>
        <v/>
      </c>
      <c r="AG3538" s="45" t="str">
        <f aca="false">IF(AND(AA3538=1,Y3538&lt;1),IF(AND(C3539=C3538,Y3539=Y3538+1),IF(AA3539=1,"",INDEX(DATAS,Y3538+1)),INDEX(DATAS,Y3538+1)),"")</f>
        <v/>
      </c>
    </row>
    <row r="3539" customFormat="false" ht="15" hidden="false" customHeight="false" outlineLevel="0" collapsed="false">
      <c r="A3539" s="45" t="n">
        <v>46309</v>
      </c>
      <c r="B3539" s="0" t="n">
        <v>16</v>
      </c>
      <c r="C3539" s="0" t="n">
        <v>7990</v>
      </c>
      <c r="E3539" s="0" t="n">
        <v>0</v>
      </c>
      <c r="F3539" s="39" t="s">
        <v>1584</v>
      </c>
      <c r="I3539" s="39" t="s">
        <v>136</v>
      </c>
      <c r="U3539" s="0" t="n">
        <v>74</v>
      </c>
      <c r="V3539" s="0" t="n">
        <v>0</v>
      </c>
      <c r="W3539" s="39" t="n">
        <f aca="false">IF(I3539="Male",0,1)</f>
        <v>1</v>
      </c>
      <c r="X3539" s="39" t="n">
        <f aca="false">IF(OR(I3539="DNB",I3539="Dry DNB"),1,0)</f>
        <v>0</v>
      </c>
      <c r="Y3539" s="39" t="n">
        <f aca="false">MATCH(A3539,DATAS,0)</f>
        <v>1</v>
      </c>
      <c r="Z3539" s="39" t="n">
        <f aca="false">IF(AND(E3539&gt;0,OR(AND(B3539&gt;=1,B3539&lt;=6),B3539=10)),1,0)</f>
        <v>0</v>
      </c>
      <c r="AA3539" s="39" t="n">
        <f aca="false">IF(AND(E3539&gt;0,B3539=10),1,0)</f>
        <v>0</v>
      </c>
      <c r="AB3539" s="0" t="str">
        <f aca="false">IF(AND(C3538=C3539,Y3538=Y3539-1),Z3538,"")</f>
        <v/>
      </c>
      <c r="AC3539" s="0" t="str">
        <f aca="false">IF(AND(C3538=C3539,Y3538=Y3539-1),AA3538,"")</f>
        <v/>
      </c>
      <c r="AD3539" s="0" t="str">
        <f aca="false">IF(Y3539=1,"",IF(AND(Z3539=1,AB3539&lt;&gt;1),1,0))</f>
        <v/>
      </c>
      <c r="AE3539" s="0" t="str">
        <f aca="false">IF(Y3539=1,"",IF(AND(AA3539=1,AC3539&lt;&gt;1),1,0))</f>
        <v/>
      </c>
      <c r="AF3539" s="45" t="str">
        <f aca="false">IF(AND(E3539&gt;0,Y3539&lt;1,NOT(AND(C3540=C3539,Y3540=Y3539+1))),INDEX(DATAS,Y3539+1),"")</f>
        <v/>
      </c>
      <c r="AG3539" s="45" t="str">
        <f aca="false">IF(AND(AA3539=1,Y3539&lt;1),IF(AND(C3540=C3539,Y3540=Y3539+1),IF(AA3540=1,"",INDEX(DATAS,Y3539+1)),INDEX(DATAS,Y3539+1)),"")</f>
        <v/>
      </c>
    </row>
    <row r="3540" customFormat="false" ht="15" hidden="false" customHeight="false" outlineLevel="0" collapsed="false">
      <c r="A3540" s="45" t="n">
        <v>46309</v>
      </c>
      <c r="B3540" s="0" t="n">
        <v>16</v>
      </c>
      <c r="C3540" s="0" t="n">
        <v>7991</v>
      </c>
      <c r="E3540" s="0" t="n">
        <v>0</v>
      </c>
      <c r="F3540" s="39" t="s">
        <v>1584</v>
      </c>
      <c r="I3540" s="39" t="s">
        <v>136</v>
      </c>
      <c r="U3540" s="0" t="n">
        <v>74</v>
      </c>
      <c r="V3540" s="0" t="n">
        <v>0</v>
      </c>
      <c r="W3540" s="39" t="n">
        <f aca="false">IF(I3540="Male",0,1)</f>
        <v>1</v>
      </c>
      <c r="X3540" s="39" t="n">
        <f aca="false">IF(OR(I3540="DNB",I3540="Dry DNB"),1,0)</f>
        <v>0</v>
      </c>
      <c r="Y3540" s="39" t="n">
        <f aca="false">MATCH(A3540,DATAS,0)</f>
        <v>1</v>
      </c>
      <c r="Z3540" s="39" t="n">
        <f aca="false">IF(AND(E3540&gt;0,OR(AND(B3540&gt;=1,B3540&lt;=6),B3540=10)),1,0)</f>
        <v>0</v>
      </c>
      <c r="AA3540" s="39" t="n">
        <f aca="false">IF(AND(E3540&gt;0,B3540=10),1,0)</f>
        <v>0</v>
      </c>
      <c r="AB3540" s="0" t="str">
        <f aca="false">IF(AND(C3539=C3540,Y3539=Y3540-1),Z3539,"")</f>
        <v/>
      </c>
      <c r="AC3540" s="0" t="str">
        <f aca="false">IF(AND(C3539=C3540,Y3539=Y3540-1),AA3539,"")</f>
        <v/>
      </c>
      <c r="AD3540" s="0" t="str">
        <f aca="false">IF(Y3540=1,"",IF(AND(Z3540=1,AB3540&lt;&gt;1),1,0))</f>
        <v/>
      </c>
      <c r="AE3540" s="0" t="str">
        <f aca="false">IF(Y3540=1,"",IF(AND(AA3540=1,AC3540&lt;&gt;1),1,0))</f>
        <v/>
      </c>
      <c r="AF3540" s="45" t="str">
        <f aca="false">IF(AND(E3540&gt;0,Y3540&lt;1,NOT(AND(C3541=C3540,Y3541=Y3540+1))),INDEX(DATAS,Y3540+1),"")</f>
        <v/>
      </c>
      <c r="AG3540" s="45" t="str">
        <f aca="false">IF(AND(AA3540=1,Y3540&lt;1),IF(AND(C3541=C3540,Y3541=Y3540+1),IF(AA3541=1,"",INDEX(DATAS,Y3540+1)),INDEX(DATAS,Y3540+1)),"")</f>
        <v/>
      </c>
    </row>
    <row r="3541" customFormat="false" ht="15" hidden="false" customHeight="false" outlineLevel="0" collapsed="false">
      <c r="A3541" s="45" t="n">
        <v>46309</v>
      </c>
      <c r="B3541" s="0" t="n">
        <v>16</v>
      </c>
      <c r="C3541" s="0" t="n">
        <v>7992</v>
      </c>
      <c r="E3541" s="0" t="n">
        <v>0</v>
      </c>
      <c r="F3541" s="39" t="s">
        <v>1585</v>
      </c>
      <c r="I3541" s="39" t="s">
        <v>136</v>
      </c>
      <c r="U3541" s="0" t="n">
        <v>73</v>
      </c>
      <c r="V3541" s="0" t="n">
        <v>0</v>
      </c>
      <c r="W3541" s="39" t="n">
        <f aca="false">IF(I3541="Male",0,1)</f>
        <v>1</v>
      </c>
      <c r="X3541" s="39" t="n">
        <f aca="false">IF(OR(I3541="DNB",I3541="Dry DNB"),1,0)</f>
        <v>0</v>
      </c>
      <c r="Y3541" s="39" t="n">
        <f aca="false">MATCH(A3541,DATAS,0)</f>
        <v>1</v>
      </c>
      <c r="Z3541" s="39" t="n">
        <f aca="false">IF(AND(E3541&gt;0,OR(AND(B3541&gt;=1,B3541&lt;=6),B3541=10)),1,0)</f>
        <v>0</v>
      </c>
      <c r="AA3541" s="39" t="n">
        <f aca="false">IF(AND(E3541&gt;0,B3541=10),1,0)</f>
        <v>0</v>
      </c>
      <c r="AB3541" s="0" t="str">
        <f aca="false">IF(AND(C3540=C3541,Y3540=Y3541-1),Z3540,"")</f>
        <v/>
      </c>
      <c r="AC3541" s="0" t="str">
        <f aca="false">IF(AND(C3540=C3541,Y3540=Y3541-1),AA3540,"")</f>
        <v/>
      </c>
      <c r="AD3541" s="0" t="str">
        <f aca="false">IF(Y3541=1,"",IF(AND(Z3541=1,AB3541&lt;&gt;1),1,0))</f>
        <v/>
      </c>
      <c r="AE3541" s="0" t="str">
        <f aca="false">IF(Y3541=1,"",IF(AND(AA3541=1,AC3541&lt;&gt;1),1,0))</f>
        <v/>
      </c>
      <c r="AF3541" s="45" t="str">
        <f aca="false">IF(AND(E3541&gt;0,Y3541&lt;1,NOT(AND(C3542=C3541,Y3542=Y3541+1))),INDEX(DATAS,Y3541+1),"")</f>
        <v/>
      </c>
      <c r="AG3541" s="45" t="str">
        <f aca="false">IF(AND(AA3541=1,Y3541&lt;1),IF(AND(C3542=C3541,Y3542=Y3541+1),IF(AA3542=1,"",INDEX(DATAS,Y3541+1)),INDEX(DATAS,Y3541+1)),"")</f>
        <v/>
      </c>
    </row>
    <row r="3542" customFormat="false" ht="15" hidden="false" customHeight="false" outlineLevel="0" collapsed="false">
      <c r="A3542" s="45" t="n">
        <v>46309</v>
      </c>
      <c r="B3542" s="0" t="n">
        <v>16</v>
      </c>
      <c r="C3542" s="0" t="n">
        <v>7993</v>
      </c>
      <c r="E3542" s="0" t="n">
        <v>0</v>
      </c>
      <c r="F3542" s="39" t="s">
        <v>1585</v>
      </c>
      <c r="I3542" s="39" t="s">
        <v>136</v>
      </c>
      <c r="U3542" s="0" t="n">
        <v>73</v>
      </c>
      <c r="V3542" s="0" t="n">
        <v>0</v>
      </c>
      <c r="W3542" s="39" t="n">
        <f aca="false">IF(I3542="Male",0,1)</f>
        <v>1</v>
      </c>
      <c r="X3542" s="39" t="n">
        <f aca="false">IF(OR(I3542="DNB",I3542="Dry DNB"),1,0)</f>
        <v>0</v>
      </c>
      <c r="Y3542" s="39" t="n">
        <f aca="false">MATCH(A3542,DATAS,0)</f>
        <v>1</v>
      </c>
      <c r="Z3542" s="39" t="n">
        <f aca="false">IF(AND(E3542&gt;0,OR(AND(B3542&gt;=1,B3542&lt;=6),B3542=10)),1,0)</f>
        <v>0</v>
      </c>
      <c r="AA3542" s="39" t="n">
        <f aca="false">IF(AND(E3542&gt;0,B3542=10),1,0)</f>
        <v>0</v>
      </c>
      <c r="AB3542" s="0" t="str">
        <f aca="false">IF(AND(C3541=C3542,Y3541=Y3542-1),Z3541,"")</f>
        <v/>
      </c>
      <c r="AC3542" s="0" t="str">
        <f aca="false">IF(AND(C3541=C3542,Y3541=Y3542-1),AA3541,"")</f>
        <v/>
      </c>
      <c r="AD3542" s="0" t="str">
        <f aca="false">IF(Y3542=1,"",IF(AND(Z3542=1,AB3542&lt;&gt;1),1,0))</f>
        <v/>
      </c>
      <c r="AE3542" s="0" t="str">
        <f aca="false">IF(Y3542=1,"",IF(AND(AA3542=1,AC3542&lt;&gt;1),1,0))</f>
        <v/>
      </c>
      <c r="AF3542" s="45" t="str">
        <f aca="false">IF(AND(E3542&gt;0,Y3542&lt;1,NOT(AND(C3543=C3542,Y3543=Y3542+1))),INDEX(DATAS,Y3542+1),"")</f>
        <v/>
      </c>
      <c r="AG3542" s="45" t="str">
        <f aca="false">IF(AND(AA3542=1,Y3542&lt;1),IF(AND(C3543=C3542,Y3543=Y3542+1),IF(AA3543=1,"",INDEX(DATAS,Y3542+1)),INDEX(DATAS,Y3542+1)),"")</f>
        <v/>
      </c>
    </row>
    <row r="3543" customFormat="false" ht="15" hidden="false" customHeight="false" outlineLevel="0" collapsed="false">
      <c r="A3543" s="45" t="n">
        <v>46309</v>
      </c>
      <c r="B3543" s="0" t="n">
        <v>16</v>
      </c>
      <c r="C3543" s="0" t="n">
        <v>7994</v>
      </c>
      <c r="E3543" s="0" t="n">
        <v>0</v>
      </c>
      <c r="F3543" s="39" t="s">
        <v>1586</v>
      </c>
      <c r="I3543" s="39" t="s">
        <v>136</v>
      </c>
      <c r="U3543" s="0" t="n">
        <v>72</v>
      </c>
      <c r="V3543" s="0" t="n">
        <v>0</v>
      </c>
      <c r="W3543" s="39" t="n">
        <f aca="false">IF(I3543="Male",0,1)</f>
        <v>1</v>
      </c>
      <c r="X3543" s="39" t="n">
        <f aca="false">IF(OR(I3543="DNB",I3543="Dry DNB"),1,0)</f>
        <v>0</v>
      </c>
      <c r="Y3543" s="39" t="n">
        <f aca="false">MATCH(A3543,DATAS,0)</f>
        <v>1</v>
      </c>
      <c r="Z3543" s="39" t="n">
        <f aca="false">IF(AND(E3543&gt;0,OR(AND(B3543&gt;=1,B3543&lt;=6),B3543=10)),1,0)</f>
        <v>0</v>
      </c>
      <c r="AA3543" s="39" t="n">
        <f aca="false">IF(AND(E3543&gt;0,B3543=10),1,0)</f>
        <v>0</v>
      </c>
      <c r="AB3543" s="0" t="str">
        <f aca="false">IF(AND(C3542=C3543,Y3542=Y3543-1),Z3542,"")</f>
        <v/>
      </c>
      <c r="AC3543" s="0" t="str">
        <f aca="false">IF(AND(C3542=C3543,Y3542=Y3543-1),AA3542,"")</f>
        <v/>
      </c>
      <c r="AD3543" s="0" t="str">
        <f aca="false">IF(Y3543=1,"",IF(AND(Z3543=1,AB3543&lt;&gt;1),1,0))</f>
        <v/>
      </c>
      <c r="AE3543" s="0" t="str">
        <f aca="false">IF(Y3543=1,"",IF(AND(AA3543=1,AC3543&lt;&gt;1),1,0))</f>
        <v/>
      </c>
      <c r="AF3543" s="45" t="str">
        <f aca="false">IF(AND(E3543&gt;0,Y3543&lt;1,NOT(AND(C3544=C3543,Y3544=Y3543+1))),INDEX(DATAS,Y3543+1),"")</f>
        <v/>
      </c>
      <c r="AG3543" s="45" t="str">
        <f aca="false">IF(AND(AA3543=1,Y3543&lt;1),IF(AND(C3544=C3543,Y3544=Y3543+1),IF(AA3544=1,"",INDEX(DATAS,Y3543+1)),INDEX(DATAS,Y3543+1)),"")</f>
        <v/>
      </c>
    </row>
    <row r="3544" customFormat="false" ht="15" hidden="false" customHeight="false" outlineLevel="0" collapsed="false">
      <c r="A3544" s="45" t="n">
        <v>46309</v>
      </c>
      <c r="B3544" s="0" t="n">
        <v>16</v>
      </c>
      <c r="C3544" s="0" t="n">
        <v>7995</v>
      </c>
      <c r="E3544" s="0" t="n">
        <v>0</v>
      </c>
      <c r="F3544" s="39" t="s">
        <v>1586</v>
      </c>
      <c r="I3544" s="39" t="s">
        <v>136</v>
      </c>
      <c r="U3544" s="0" t="n">
        <v>72</v>
      </c>
      <c r="V3544" s="0" t="n">
        <v>0</v>
      </c>
      <c r="W3544" s="39" t="n">
        <f aca="false">IF(I3544="Male",0,1)</f>
        <v>1</v>
      </c>
      <c r="X3544" s="39" t="n">
        <f aca="false">IF(OR(I3544="DNB",I3544="Dry DNB"),1,0)</f>
        <v>0</v>
      </c>
      <c r="Y3544" s="39" t="n">
        <f aca="false">MATCH(A3544,DATAS,0)</f>
        <v>1</v>
      </c>
      <c r="Z3544" s="39" t="n">
        <f aca="false">IF(AND(E3544&gt;0,OR(AND(B3544&gt;=1,B3544&lt;=6),B3544=10)),1,0)</f>
        <v>0</v>
      </c>
      <c r="AA3544" s="39" t="n">
        <f aca="false">IF(AND(E3544&gt;0,B3544=10),1,0)</f>
        <v>0</v>
      </c>
      <c r="AB3544" s="0" t="str">
        <f aca="false">IF(AND(C3543=C3544,Y3543=Y3544-1),Z3543,"")</f>
        <v/>
      </c>
      <c r="AC3544" s="0" t="str">
        <f aca="false">IF(AND(C3543=C3544,Y3543=Y3544-1),AA3543,"")</f>
        <v/>
      </c>
      <c r="AD3544" s="0" t="str">
        <f aca="false">IF(Y3544=1,"",IF(AND(Z3544=1,AB3544&lt;&gt;1),1,0))</f>
        <v/>
      </c>
      <c r="AE3544" s="0" t="str">
        <f aca="false">IF(Y3544=1,"",IF(AND(AA3544=1,AC3544&lt;&gt;1),1,0))</f>
        <v/>
      </c>
      <c r="AF3544" s="45" t="str">
        <f aca="false">IF(AND(E3544&gt;0,Y3544&lt;1,NOT(AND(C3545=C3544,Y3545=Y3544+1))),INDEX(DATAS,Y3544+1),"")</f>
        <v/>
      </c>
      <c r="AG3544" s="45" t="str">
        <f aca="false">IF(AND(AA3544=1,Y3544&lt;1),IF(AND(C3545=C3544,Y3545=Y3544+1),IF(AA3545=1,"",INDEX(DATAS,Y3544+1)),INDEX(DATAS,Y3544+1)),"")</f>
        <v/>
      </c>
    </row>
    <row r="3545" customFormat="false" ht="15" hidden="false" customHeight="false" outlineLevel="0" collapsed="false">
      <c r="A3545" s="45" t="n">
        <v>46309</v>
      </c>
      <c r="B3545" s="0" t="n">
        <v>16</v>
      </c>
      <c r="C3545" s="0" t="n">
        <v>7996</v>
      </c>
      <c r="E3545" s="0" t="n">
        <v>0</v>
      </c>
      <c r="F3545" s="39" t="s">
        <v>1586</v>
      </c>
      <c r="I3545" s="39" t="s">
        <v>136</v>
      </c>
      <c r="U3545" s="0" t="n">
        <v>72</v>
      </c>
      <c r="V3545" s="0" t="n">
        <v>0</v>
      </c>
      <c r="W3545" s="39" t="n">
        <f aca="false">IF(I3545="Male",0,1)</f>
        <v>1</v>
      </c>
      <c r="X3545" s="39" t="n">
        <f aca="false">IF(OR(I3545="DNB",I3545="Dry DNB"),1,0)</f>
        <v>0</v>
      </c>
      <c r="Y3545" s="39" t="n">
        <f aca="false">MATCH(A3545,DATAS,0)</f>
        <v>1</v>
      </c>
      <c r="Z3545" s="39" t="n">
        <f aca="false">IF(AND(E3545&gt;0,OR(AND(B3545&gt;=1,B3545&lt;=6),B3545=10)),1,0)</f>
        <v>0</v>
      </c>
      <c r="AA3545" s="39" t="n">
        <f aca="false">IF(AND(E3545&gt;0,B3545=10),1,0)</f>
        <v>0</v>
      </c>
      <c r="AB3545" s="0" t="str">
        <f aca="false">IF(AND(C3544=C3545,Y3544=Y3545-1),Z3544,"")</f>
        <v/>
      </c>
      <c r="AC3545" s="0" t="str">
        <f aca="false">IF(AND(C3544=C3545,Y3544=Y3545-1),AA3544,"")</f>
        <v/>
      </c>
      <c r="AD3545" s="0" t="str">
        <f aca="false">IF(Y3545=1,"",IF(AND(Z3545=1,AB3545&lt;&gt;1),1,0))</f>
        <v/>
      </c>
      <c r="AE3545" s="0" t="str">
        <f aca="false">IF(Y3545=1,"",IF(AND(AA3545=1,AC3545&lt;&gt;1),1,0))</f>
        <v/>
      </c>
      <c r="AF3545" s="45" t="str">
        <f aca="false">IF(AND(E3545&gt;0,Y3545&lt;1,NOT(AND(C3546=C3545,Y3546=Y3545+1))),INDEX(DATAS,Y3545+1),"")</f>
        <v/>
      </c>
      <c r="AG3545" s="45" t="str">
        <f aca="false">IF(AND(AA3545=1,Y3545&lt;1),IF(AND(C3546=C3545,Y3546=Y3545+1),IF(AA3546=1,"",INDEX(DATAS,Y3545+1)),INDEX(DATAS,Y3545+1)),"")</f>
        <v/>
      </c>
    </row>
    <row r="3546" customFormat="false" ht="15" hidden="false" customHeight="false" outlineLevel="0" collapsed="false">
      <c r="A3546" s="45" t="n">
        <v>46309</v>
      </c>
      <c r="B3546" s="0" t="n">
        <v>16</v>
      </c>
      <c r="C3546" s="0" t="n">
        <v>7997</v>
      </c>
      <c r="E3546" s="0" t="n">
        <v>0</v>
      </c>
      <c r="F3546" s="39" t="s">
        <v>1587</v>
      </c>
      <c r="I3546" s="39" t="s">
        <v>136</v>
      </c>
      <c r="U3546" s="0" t="n">
        <v>71</v>
      </c>
      <c r="V3546" s="0" t="n">
        <v>0</v>
      </c>
      <c r="W3546" s="39" t="n">
        <f aca="false">IF(I3546="Male",0,1)</f>
        <v>1</v>
      </c>
      <c r="X3546" s="39" t="n">
        <f aca="false">IF(OR(I3546="DNB",I3546="Dry DNB"),1,0)</f>
        <v>0</v>
      </c>
      <c r="Y3546" s="39" t="n">
        <f aca="false">MATCH(A3546,DATAS,0)</f>
        <v>1</v>
      </c>
      <c r="Z3546" s="39" t="n">
        <f aca="false">IF(AND(E3546&gt;0,OR(AND(B3546&gt;=1,B3546&lt;=6),B3546=10)),1,0)</f>
        <v>0</v>
      </c>
      <c r="AA3546" s="39" t="n">
        <f aca="false">IF(AND(E3546&gt;0,B3546=10),1,0)</f>
        <v>0</v>
      </c>
      <c r="AB3546" s="0" t="str">
        <f aca="false">IF(AND(C3545=C3546,Y3545=Y3546-1),Z3545,"")</f>
        <v/>
      </c>
      <c r="AC3546" s="0" t="str">
        <f aca="false">IF(AND(C3545=C3546,Y3545=Y3546-1),AA3545,"")</f>
        <v/>
      </c>
      <c r="AD3546" s="0" t="str">
        <f aca="false">IF(Y3546=1,"",IF(AND(Z3546=1,AB3546&lt;&gt;1),1,0))</f>
        <v/>
      </c>
      <c r="AE3546" s="0" t="str">
        <f aca="false">IF(Y3546=1,"",IF(AND(AA3546=1,AC3546&lt;&gt;1),1,0))</f>
        <v/>
      </c>
      <c r="AF3546" s="45" t="str">
        <f aca="false">IF(AND(E3546&gt;0,Y3546&lt;1,NOT(AND(C3547=C3546,Y3547=Y3546+1))),INDEX(DATAS,Y3546+1),"")</f>
        <v/>
      </c>
      <c r="AG3546" s="45" t="str">
        <f aca="false">IF(AND(AA3546=1,Y3546&lt;1),IF(AND(C3547=C3546,Y3547=Y3546+1),IF(AA3547=1,"",INDEX(DATAS,Y3546+1)),INDEX(DATAS,Y3546+1)),"")</f>
        <v/>
      </c>
    </row>
    <row r="3547" customFormat="false" ht="15" hidden="false" customHeight="false" outlineLevel="0" collapsed="false">
      <c r="A3547" s="45" t="n">
        <v>46309</v>
      </c>
      <c r="B3547" s="0" t="n">
        <v>16</v>
      </c>
      <c r="C3547" s="0" t="n">
        <v>7998</v>
      </c>
      <c r="E3547" s="0" t="n">
        <v>0</v>
      </c>
      <c r="F3547" s="39" t="s">
        <v>1587</v>
      </c>
      <c r="I3547" s="39" t="s">
        <v>136</v>
      </c>
      <c r="U3547" s="0" t="n">
        <v>71</v>
      </c>
      <c r="V3547" s="0" t="n">
        <v>0</v>
      </c>
      <c r="W3547" s="39" t="n">
        <f aca="false">IF(I3547="Male",0,1)</f>
        <v>1</v>
      </c>
      <c r="X3547" s="39" t="n">
        <f aca="false">IF(OR(I3547="DNB",I3547="Dry DNB"),1,0)</f>
        <v>0</v>
      </c>
      <c r="Y3547" s="39" t="n">
        <f aca="false">MATCH(A3547,DATAS,0)</f>
        <v>1</v>
      </c>
      <c r="Z3547" s="39" t="n">
        <f aca="false">IF(AND(E3547&gt;0,OR(AND(B3547&gt;=1,B3547&lt;=6),B3547=10)),1,0)</f>
        <v>0</v>
      </c>
      <c r="AA3547" s="39" t="n">
        <f aca="false">IF(AND(E3547&gt;0,B3547=10),1,0)</f>
        <v>0</v>
      </c>
      <c r="AB3547" s="0" t="str">
        <f aca="false">IF(AND(C3546=C3547,Y3546=Y3547-1),Z3546,"")</f>
        <v/>
      </c>
      <c r="AC3547" s="0" t="str">
        <f aca="false">IF(AND(C3546=C3547,Y3546=Y3547-1),AA3546,"")</f>
        <v/>
      </c>
      <c r="AD3547" s="0" t="str">
        <f aca="false">IF(Y3547=1,"",IF(AND(Z3547=1,AB3547&lt;&gt;1),1,0))</f>
        <v/>
      </c>
      <c r="AE3547" s="0" t="str">
        <f aca="false">IF(Y3547=1,"",IF(AND(AA3547=1,AC3547&lt;&gt;1),1,0))</f>
        <v/>
      </c>
      <c r="AF3547" s="45" t="str">
        <f aca="false">IF(AND(E3547&gt;0,Y3547&lt;1,NOT(AND(C3548=C3547,Y3548=Y3547+1))),INDEX(DATAS,Y3547+1),"")</f>
        <v/>
      </c>
      <c r="AG3547" s="45" t="str">
        <f aca="false">IF(AND(AA3547=1,Y3547&lt;1),IF(AND(C3548=C3547,Y3548=Y3547+1),IF(AA3548=1,"",INDEX(DATAS,Y3547+1)),INDEX(DATAS,Y3547+1)),"")</f>
        <v/>
      </c>
    </row>
    <row r="3548" customFormat="false" ht="15" hidden="false" customHeight="false" outlineLevel="0" collapsed="false">
      <c r="A3548" s="45" t="n">
        <v>46309</v>
      </c>
      <c r="B3548" s="0" t="n">
        <v>16</v>
      </c>
      <c r="C3548" s="0" t="n">
        <v>8000</v>
      </c>
      <c r="E3548" s="0" t="n">
        <v>0</v>
      </c>
      <c r="F3548" s="39" t="s">
        <v>1588</v>
      </c>
      <c r="I3548" s="39" t="s">
        <v>136</v>
      </c>
      <c r="U3548" s="0" t="n">
        <v>70</v>
      </c>
      <c r="V3548" s="0" t="n">
        <v>0</v>
      </c>
      <c r="W3548" s="39" t="n">
        <f aca="false">IF(I3548="Male",0,1)</f>
        <v>1</v>
      </c>
      <c r="X3548" s="39" t="n">
        <f aca="false">IF(OR(I3548="DNB",I3548="Dry DNB"),1,0)</f>
        <v>0</v>
      </c>
      <c r="Y3548" s="39" t="n">
        <f aca="false">MATCH(A3548,DATAS,0)</f>
        <v>1</v>
      </c>
      <c r="Z3548" s="39" t="n">
        <f aca="false">IF(AND(E3548&gt;0,OR(AND(B3548&gt;=1,B3548&lt;=6),B3548=10)),1,0)</f>
        <v>0</v>
      </c>
      <c r="AA3548" s="39" t="n">
        <f aca="false">IF(AND(E3548&gt;0,B3548=10),1,0)</f>
        <v>0</v>
      </c>
      <c r="AB3548" s="0" t="str">
        <f aca="false">IF(AND(C3547=C3548,Y3547=Y3548-1),Z3547,"")</f>
        <v/>
      </c>
      <c r="AC3548" s="0" t="str">
        <f aca="false">IF(AND(C3547=C3548,Y3547=Y3548-1),AA3547,"")</f>
        <v/>
      </c>
      <c r="AD3548" s="0" t="str">
        <f aca="false">IF(Y3548=1,"",IF(AND(Z3548=1,AB3548&lt;&gt;1),1,0))</f>
        <v/>
      </c>
      <c r="AE3548" s="0" t="str">
        <f aca="false">IF(Y3548=1,"",IF(AND(AA3548=1,AC3548&lt;&gt;1),1,0))</f>
        <v/>
      </c>
      <c r="AF3548" s="45" t="str">
        <f aca="false">IF(AND(E3548&gt;0,Y3548&lt;1,NOT(AND(C3549=C3548,Y3549=Y3548+1))),INDEX(DATAS,Y3548+1),"")</f>
        <v/>
      </c>
      <c r="AG3548" s="45" t="str">
        <f aca="false">IF(AND(AA3548=1,Y3548&lt;1),IF(AND(C3549=C3548,Y3549=Y3548+1),IF(AA3549=1,"",INDEX(DATAS,Y3548+1)),INDEX(DATAS,Y3548+1)),"")</f>
        <v/>
      </c>
    </row>
    <row r="3549" customFormat="false" ht="15" hidden="false" customHeight="false" outlineLevel="0" collapsed="false">
      <c r="A3549" s="45" t="n">
        <v>46309</v>
      </c>
      <c r="B3549" s="0" t="n">
        <v>16</v>
      </c>
      <c r="C3549" s="0" t="n">
        <v>8001</v>
      </c>
      <c r="E3549" s="0" t="n">
        <v>0</v>
      </c>
      <c r="F3549" s="39" t="s">
        <v>1588</v>
      </c>
      <c r="I3549" s="39" t="s">
        <v>136</v>
      </c>
      <c r="U3549" s="0" t="n">
        <v>70</v>
      </c>
      <c r="V3549" s="0" t="n">
        <v>0</v>
      </c>
      <c r="W3549" s="39" t="n">
        <f aca="false">IF(I3549="Male",0,1)</f>
        <v>1</v>
      </c>
      <c r="X3549" s="39" t="n">
        <f aca="false">IF(OR(I3549="DNB",I3549="Dry DNB"),1,0)</f>
        <v>0</v>
      </c>
      <c r="Y3549" s="39" t="n">
        <f aca="false">MATCH(A3549,DATAS,0)</f>
        <v>1</v>
      </c>
      <c r="Z3549" s="39" t="n">
        <f aca="false">IF(AND(E3549&gt;0,OR(AND(B3549&gt;=1,B3549&lt;=6),B3549=10)),1,0)</f>
        <v>0</v>
      </c>
      <c r="AA3549" s="39" t="n">
        <f aca="false">IF(AND(E3549&gt;0,B3549=10),1,0)</f>
        <v>0</v>
      </c>
      <c r="AB3549" s="0" t="str">
        <f aca="false">IF(AND(C3548=C3549,Y3548=Y3549-1),Z3548,"")</f>
        <v/>
      </c>
      <c r="AC3549" s="0" t="str">
        <f aca="false">IF(AND(C3548=C3549,Y3548=Y3549-1),AA3548,"")</f>
        <v/>
      </c>
      <c r="AD3549" s="0" t="str">
        <f aca="false">IF(Y3549=1,"",IF(AND(Z3549=1,AB3549&lt;&gt;1),1,0))</f>
        <v/>
      </c>
      <c r="AE3549" s="0" t="str">
        <f aca="false">IF(Y3549=1,"",IF(AND(AA3549=1,AC3549&lt;&gt;1),1,0))</f>
        <v/>
      </c>
      <c r="AF3549" s="45" t="str">
        <f aca="false">IF(AND(E3549&gt;0,Y3549&lt;1,NOT(AND(C3550=C3549,Y3550=Y3549+1))),INDEX(DATAS,Y3549+1),"")</f>
        <v/>
      </c>
      <c r="AG3549" s="45" t="str">
        <f aca="false">IF(AND(AA3549=1,Y3549&lt;1),IF(AND(C3550=C3549,Y3550=Y3549+1),IF(AA3550=1,"",INDEX(DATAS,Y3549+1)),INDEX(DATAS,Y3549+1)),"")</f>
        <v/>
      </c>
    </row>
    <row r="3550" customFormat="false" ht="15" hidden="false" customHeight="false" outlineLevel="0" collapsed="false">
      <c r="A3550" s="45" t="n">
        <v>46309</v>
      </c>
      <c r="B3550" s="0" t="n">
        <v>16</v>
      </c>
      <c r="C3550" s="0" t="n">
        <v>8002</v>
      </c>
      <c r="E3550" s="0" t="n">
        <v>0</v>
      </c>
      <c r="F3550" s="39" t="s">
        <v>1588</v>
      </c>
      <c r="I3550" s="39" t="s">
        <v>136</v>
      </c>
      <c r="U3550" s="0" t="n">
        <v>70</v>
      </c>
      <c r="V3550" s="0" t="n">
        <v>0</v>
      </c>
      <c r="W3550" s="39" t="n">
        <f aca="false">IF(I3550="Male",0,1)</f>
        <v>1</v>
      </c>
      <c r="X3550" s="39" t="n">
        <f aca="false">IF(OR(I3550="DNB",I3550="Dry DNB"),1,0)</f>
        <v>0</v>
      </c>
      <c r="Y3550" s="39" t="n">
        <f aca="false">MATCH(A3550,DATAS,0)</f>
        <v>1</v>
      </c>
      <c r="Z3550" s="39" t="n">
        <f aca="false">IF(AND(E3550&gt;0,OR(AND(B3550&gt;=1,B3550&lt;=6),B3550=10)),1,0)</f>
        <v>0</v>
      </c>
      <c r="AA3550" s="39" t="n">
        <f aca="false">IF(AND(E3550&gt;0,B3550=10),1,0)</f>
        <v>0</v>
      </c>
      <c r="AB3550" s="0" t="str">
        <f aca="false">IF(AND(C3549=C3550,Y3549=Y3550-1),Z3549,"")</f>
        <v/>
      </c>
      <c r="AC3550" s="0" t="str">
        <f aca="false">IF(AND(C3549=C3550,Y3549=Y3550-1),AA3549,"")</f>
        <v/>
      </c>
      <c r="AD3550" s="0" t="str">
        <f aca="false">IF(Y3550=1,"",IF(AND(Z3550=1,AB3550&lt;&gt;1),1,0))</f>
        <v/>
      </c>
      <c r="AE3550" s="0" t="str">
        <f aca="false">IF(Y3550=1,"",IF(AND(AA3550=1,AC3550&lt;&gt;1),1,0))</f>
        <v/>
      </c>
      <c r="AF3550" s="45" t="str">
        <f aca="false">IF(AND(E3550&gt;0,Y3550&lt;1,NOT(AND(C3551=C3550,Y3551=Y3550+1))),INDEX(DATAS,Y3550+1),"")</f>
        <v/>
      </c>
      <c r="AG3550" s="45" t="str">
        <f aca="false">IF(AND(AA3550=1,Y3550&lt;1),IF(AND(C3551=C3550,Y3551=Y3550+1),IF(AA3551=1,"",INDEX(DATAS,Y3550+1)),INDEX(DATAS,Y3550+1)),"")</f>
        <v/>
      </c>
    </row>
    <row r="3551" customFormat="false" ht="15" hidden="false" customHeight="false" outlineLevel="0" collapsed="false">
      <c r="A3551" s="45" t="n">
        <v>46309</v>
      </c>
      <c r="B3551" s="0" t="n">
        <v>16</v>
      </c>
      <c r="C3551" s="0" t="n">
        <v>8003</v>
      </c>
      <c r="E3551" s="0" t="n">
        <v>0</v>
      </c>
      <c r="F3551" s="39" t="s">
        <v>1589</v>
      </c>
      <c r="I3551" s="39" t="s">
        <v>136</v>
      </c>
      <c r="U3551" s="0" t="n">
        <v>69</v>
      </c>
      <c r="V3551" s="0" t="n">
        <v>0</v>
      </c>
      <c r="W3551" s="39" t="n">
        <f aca="false">IF(I3551="Male",0,1)</f>
        <v>1</v>
      </c>
      <c r="X3551" s="39" t="n">
        <f aca="false">IF(OR(I3551="DNB",I3551="Dry DNB"),1,0)</f>
        <v>0</v>
      </c>
      <c r="Y3551" s="39" t="n">
        <f aca="false">MATCH(A3551,DATAS,0)</f>
        <v>1</v>
      </c>
      <c r="Z3551" s="39" t="n">
        <f aca="false">IF(AND(E3551&gt;0,OR(AND(B3551&gt;=1,B3551&lt;=6),B3551=10)),1,0)</f>
        <v>0</v>
      </c>
      <c r="AA3551" s="39" t="n">
        <f aca="false">IF(AND(E3551&gt;0,B3551=10),1,0)</f>
        <v>0</v>
      </c>
      <c r="AB3551" s="0" t="str">
        <f aca="false">IF(AND(C3550=C3551,Y3550=Y3551-1),Z3550,"")</f>
        <v/>
      </c>
      <c r="AC3551" s="0" t="str">
        <f aca="false">IF(AND(C3550=C3551,Y3550=Y3551-1),AA3550,"")</f>
        <v/>
      </c>
      <c r="AD3551" s="0" t="str">
        <f aca="false">IF(Y3551=1,"",IF(AND(Z3551=1,AB3551&lt;&gt;1),1,0))</f>
        <v/>
      </c>
      <c r="AE3551" s="0" t="str">
        <f aca="false">IF(Y3551=1,"",IF(AND(AA3551=1,AC3551&lt;&gt;1),1,0))</f>
        <v/>
      </c>
      <c r="AF3551" s="45" t="str">
        <f aca="false">IF(AND(E3551&gt;0,Y3551&lt;1,NOT(AND(C3552=C3551,Y3552=Y3551+1))),INDEX(DATAS,Y3551+1),"")</f>
        <v/>
      </c>
      <c r="AG3551" s="45" t="str">
        <f aca="false">IF(AND(AA3551=1,Y3551&lt;1),IF(AND(C3552=C3551,Y3552=Y3551+1),IF(AA3552=1,"",INDEX(DATAS,Y3551+1)),INDEX(DATAS,Y3551+1)),"")</f>
        <v/>
      </c>
    </row>
    <row r="3552" customFormat="false" ht="15" hidden="false" customHeight="false" outlineLevel="0" collapsed="false">
      <c r="A3552" s="45" t="n">
        <v>46309</v>
      </c>
      <c r="B3552" s="0" t="n">
        <v>16</v>
      </c>
      <c r="C3552" s="0" t="n">
        <v>8004</v>
      </c>
      <c r="E3552" s="0" t="n">
        <v>0</v>
      </c>
      <c r="F3552" s="39" t="s">
        <v>1589</v>
      </c>
      <c r="I3552" s="39" t="s">
        <v>136</v>
      </c>
      <c r="U3552" s="0" t="n">
        <v>69</v>
      </c>
      <c r="V3552" s="0" t="n">
        <v>0</v>
      </c>
      <c r="W3552" s="39" t="n">
        <f aca="false">IF(I3552="Male",0,1)</f>
        <v>1</v>
      </c>
      <c r="X3552" s="39" t="n">
        <f aca="false">IF(OR(I3552="DNB",I3552="Dry DNB"),1,0)</f>
        <v>0</v>
      </c>
      <c r="Y3552" s="39" t="n">
        <f aca="false">MATCH(A3552,DATAS,0)</f>
        <v>1</v>
      </c>
      <c r="Z3552" s="39" t="n">
        <f aca="false">IF(AND(E3552&gt;0,OR(AND(B3552&gt;=1,B3552&lt;=6),B3552=10)),1,0)</f>
        <v>0</v>
      </c>
      <c r="AA3552" s="39" t="n">
        <f aca="false">IF(AND(E3552&gt;0,B3552=10),1,0)</f>
        <v>0</v>
      </c>
      <c r="AB3552" s="0" t="str">
        <f aca="false">IF(AND(C3551=C3552,Y3551=Y3552-1),Z3551,"")</f>
        <v/>
      </c>
      <c r="AC3552" s="0" t="str">
        <f aca="false">IF(AND(C3551=C3552,Y3551=Y3552-1),AA3551,"")</f>
        <v/>
      </c>
      <c r="AD3552" s="0" t="str">
        <f aca="false">IF(Y3552=1,"",IF(AND(Z3552=1,AB3552&lt;&gt;1),1,0))</f>
        <v/>
      </c>
      <c r="AE3552" s="0" t="str">
        <f aca="false">IF(Y3552=1,"",IF(AND(AA3552=1,AC3552&lt;&gt;1),1,0))</f>
        <v/>
      </c>
      <c r="AF3552" s="45" t="str">
        <f aca="false">IF(AND(E3552&gt;0,Y3552&lt;1,NOT(AND(C3553=C3552,Y3553=Y3552+1))),INDEX(DATAS,Y3552+1),"")</f>
        <v/>
      </c>
      <c r="AG3552" s="45" t="str">
        <f aca="false">IF(AND(AA3552=1,Y3552&lt;1),IF(AND(C3553=C3552,Y3553=Y3552+1),IF(AA3553=1,"",INDEX(DATAS,Y3552+1)),INDEX(DATAS,Y3552+1)),"")</f>
        <v/>
      </c>
    </row>
    <row r="3553" customFormat="false" ht="15" hidden="false" customHeight="false" outlineLevel="0" collapsed="false">
      <c r="A3553" s="45" t="n">
        <v>46309</v>
      </c>
      <c r="B3553" s="0" t="n">
        <v>16</v>
      </c>
      <c r="C3553" s="0" t="n">
        <v>8005</v>
      </c>
      <c r="E3553" s="0" t="n">
        <v>0</v>
      </c>
      <c r="F3553" s="39" t="s">
        <v>1590</v>
      </c>
      <c r="I3553" s="39" t="s">
        <v>136</v>
      </c>
      <c r="U3553" s="0" t="n">
        <v>68</v>
      </c>
      <c r="V3553" s="0" t="n">
        <v>0</v>
      </c>
      <c r="W3553" s="39" t="n">
        <f aca="false">IF(I3553="Male",0,1)</f>
        <v>1</v>
      </c>
      <c r="X3553" s="39" t="n">
        <f aca="false">IF(OR(I3553="DNB",I3553="Dry DNB"),1,0)</f>
        <v>0</v>
      </c>
      <c r="Y3553" s="39" t="n">
        <f aca="false">MATCH(A3553,DATAS,0)</f>
        <v>1</v>
      </c>
      <c r="Z3553" s="39" t="n">
        <f aca="false">IF(AND(E3553&gt;0,OR(AND(B3553&gt;=1,B3553&lt;=6),B3553=10)),1,0)</f>
        <v>0</v>
      </c>
      <c r="AA3553" s="39" t="n">
        <f aca="false">IF(AND(E3553&gt;0,B3553=10),1,0)</f>
        <v>0</v>
      </c>
      <c r="AB3553" s="0" t="str">
        <f aca="false">IF(AND(C3552=C3553,Y3552=Y3553-1),Z3552,"")</f>
        <v/>
      </c>
      <c r="AC3553" s="0" t="str">
        <f aca="false">IF(AND(C3552=C3553,Y3552=Y3553-1),AA3552,"")</f>
        <v/>
      </c>
      <c r="AD3553" s="0" t="str">
        <f aca="false">IF(Y3553=1,"",IF(AND(Z3553=1,AB3553&lt;&gt;1),1,0))</f>
        <v/>
      </c>
      <c r="AE3553" s="0" t="str">
        <f aca="false">IF(Y3553=1,"",IF(AND(AA3553=1,AC3553&lt;&gt;1),1,0))</f>
        <v/>
      </c>
      <c r="AF3553" s="45" t="str">
        <f aca="false">IF(AND(E3553&gt;0,Y3553&lt;1,NOT(AND(C3554=C3553,Y3554=Y3553+1))),INDEX(DATAS,Y3553+1),"")</f>
        <v/>
      </c>
      <c r="AG3553" s="45" t="str">
        <f aca="false">IF(AND(AA3553=1,Y3553&lt;1),IF(AND(C3554=C3553,Y3554=Y3553+1),IF(AA3554=1,"",INDEX(DATAS,Y3553+1)),INDEX(DATAS,Y3553+1)),"")</f>
        <v/>
      </c>
    </row>
    <row r="3554" customFormat="false" ht="15" hidden="false" customHeight="false" outlineLevel="0" collapsed="false">
      <c r="A3554" s="45" t="n">
        <v>46309</v>
      </c>
      <c r="B3554" s="0" t="n">
        <v>16</v>
      </c>
      <c r="C3554" s="0" t="n">
        <v>8006</v>
      </c>
      <c r="E3554" s="0" t="n">
        <v>0</v>
      </c>
      <c r="F3554" s="39" t="s">
        <v>1590</v>
      </c>
      <c r="I3554" s="39" t="s">
        <v>136</v>
      </c>
      <c r="U3554" s="0" t="n">
        <v>68</v>
      </c>
      <c r="V3554" s="0" t="n">
        <v>0</v>
      </c>
      <c r="W3554" s="39" t="n">
        <f aca="false">IF(I3554="Male",0,1)</f>
        <v>1</v>
      </c>
      <c r="X3554" s="39" t="n">
        <f aca="false">IF(OR(I3554="DNB",I3554="Dry DNB"),1,0)</f>
        <v>0</v>
      </c>
      <c r="Y3554" s="39" t="n">
        <f aca="false">MATCH(A3554,DATAS,0)</f>
        <v>1</v>
      </c>
      <c r="Z3554" s="39" t="n">
        <f aca="false">IF(AND(E3554&gt;0,OR(AND(B3554&gt;=1,B3554&lt;=6),B3554=10)),1,0)</f>
        <v>0</v>
      </c>
      <c r="AA3554" s="39" t="n">
        <f aca="false">IF(AND(E3554&gt;0,B3554=10),1,0)</f>
        <v>0</v>
      </c>
      <c r="AB3554" s="0" t="str">
        <f aca="false">IF(AND(C3553=C3554,Y3553=Y3554-1),Z3553,"")</f>
        <v/>
      </c>
      <c r="AC3554" s="0" t="str">
        <f aca="false">IF(AND(C3553=C3554,Y3553=Y3554-1),AA3553,"")</f>
        <v/>
      </c>
      <c r="AD3554" s="0" t="str">
        <f aca="false">IF(Y3554=1,"",IF(AND(Z3554=1,AB3554&lt;&gt;1),1,0))</f>
        <v/>
      </c>
      <c r="AE3554" s="0" t="str">
        <f aca="false">IF(Y3554=1,"",IF(AND(AA3554=1,AC3554&lt;&gt;1),1,0))</f>
        <v/>
      </c>
      <c r="AF3554" s="45" t="str">
        <f aca="false">IF(AND(E3554&gt;0,Y3554&lt;1,NOT(AND(C3555=C3554,Y3555=Y3554+1))),INDEX(DATAS,Y3554+1),"")</f>
        <v/>
      </c>
      <c r="AG3554" s="45" t="str">
        <f aca="false">IF(AND(AA3554=1,Y3554&lt;1),IF(AND(C3555=C3554,Y3555=Y3554+1),IF(AA3555=1,"",INDEX(DATAS,Y3554+1)),INDEX(DATAS,Y3554+1)),"")</f>
        <v/>
      </c>
    </row>
    <row r="3555" customFormat="false" ht="15" hidden="false" customHeight="false" outlineLevel="0" collapsed="false">
      <c r="A3555" s="45" t="n">
        <v>46309</v>
      </c>
      <c r="B3555" s="0" t="n">
        <v>16</v>
      </c>
      <c r="C3555" s="0" t="n">
        <v>8007</v>
      </c>
      <c r="E3555" s="0" t="n">
        <v>0</v>
      </c>
      <c r="F3555" s="39" t="s">
        <v>1590</v>
      </c>
      <c r="I3555" s="39" t="s">
        <v>136</v>
      </c>
      <c r="U3555" s="0" t="n">
        <v>68</v>
      </c>
      <c r="V3555" s="0" t="n">
        <v>0</v>
      </c>
      <c r="W3555" s="39" t="n">
        <f aca="false">IF(I3555="Male",0,1)</f>
        <v>1</v>
      </c>
      <c r="X3555" s="39" t="n">
        <f aca="false">IF(OR(I3555="DNB",I3555="Dry DNB"),1,0)</f>
        <v>0</v>
      </c>
      <c r="Y3555" s="39" t="n">
        <f aca="false">MATCH(A3555,DATAS,0)</f>
        <v>1</v>
      </c>
      <c r="Z3555" s="39" t="n">
        <f aca="false">IF(AND(E3555&gt;0,OR(AND(B3555&gt;=1,B3555&lt;=6),B3555=10)),1,0)</f>
        <v>0</v>
      </c>
      <c r="AA3555" s="39" t="n">
        <f aca="false">IF(AND(E3555&gt;0,B3555=10),1,0)</f>
        <v>0</v>
      </c>
      <c r="AB3555" s="0" t="str">
        <f aca="false">IF(AND(C3554=C3555,Y3554=Y3555-1),Z3554,"")</f>
        <v/>
      </c>
      <c r="AC3555" s="0" t="str">
        <f aca="false">IF(AND(C3554=C3555,Y3554=Y3555-1),AA3554,"")</f>
        <v/>
      </c>
      <c r="AD3555" s="0" t="str">
        <f aca="false">IF(Y3555=1,"",IF(AND(Z3555=1,AB3555&lt;&gt;1),1,0))</f>
        <v/>
      </c>
      <c r="AE3555" s="0" t="str">
        <f aca="false">IF(Y3555=1,"",IF(AND(AA3555=1,AC3555&lt;&gt;1),1,0))</f>
        <v/>
      </c>
      <c r="AF3555" s="45" t="str">
        <f aca="false">IF(AND(E3555&gt;0,Y3555&lt;1,NOT(AND(C3556=C3555,Y3556=Y3555+1))),INDEX(DATAS,Y3555+1),"")</f>
        <v/>
      </c>
      <c r="AG3555" s="45" t="str">
        <f aca="false">IF(AND(AA3555=1,Y3555&lt;1),IF(AND(C3556=C3555,Y3556=Y3555+1),IF(AA3556=1,"",INDEX(DATAS,Y3555+1)),INDEX(DATAS,Y3555+1)),"")</f>
        <v/>
      </c>
    </row>
    <row r="3556" customFormat="false" ht="15" hidden="false" customHeight="false" outlineLevel="0" collapsed="false">
      <c r="A3556" s="45" t="n">
        <v>46309</v>
      </c>
      <c r="B3556" s="0" t="n">
        <v>16</v>
      </c>
      <c r="C3556" s="0" t="n">
        <v>8008</v>
      </c>
      <c r="E3556" s="0" t="n">
        <v>0</v>
      </c>
      <c r="F3556" s="39" t="s">
        <v>1590</v>
      </c>
      <c r="I3556" s="39" t="s">
        <v>136</v>
      </c>
      <c r="U3556" s="0" t="n">
        <v>68</v>
      </c>
      <c r="V3556" s="0" t="n">
        <v>0</v>
      </c>
      <c r="W3556" s="39" t="n">
        <f aca="false">IF(I3556="Male",0,1)</f>
        <v>1</v>
      </c>
      <c r="X3556" s="39" t="n">
        <f aca="false">IF(OR(I3556="DNB",I3556="Dry DNB"),1,0)</f>
        <v>0</v>
      </c>
      <c r="Y3556" s="39" t="n">
        <f aca="false">MATCH(A3556,DATAS,0)</f>
        <v>1</v>
      </c>
      <c r="Z3556" s="39" t="n">
        <f aca="false">IF(AND(E3556&gt;0,OR(AND(B3556&gt;=1,B3556&lt;=6),B3556=10)),1,0)</f>
        <v>0</v>
      </c>
      <c r="AA3556" s="39" t="n">
        <f aca="false">IF(AND(E3556&gt;0,B3556=10),1,0)</f>
        <v>0</v>
      </c>
      <c r="AB3556" s="0" t="str">
        <f aca="false">IF(AND(C3555=C3556,Y3555=Y3556-1),Z3555,"")</f>
        <v/>
      </c>
      <c r="AC3556" s="0" t="str">
        <f aca="false">IF(AND(C3555=C3556,Y3555=Y3556-1),AA3555,"")</f>
        <v/>
      </c>
      <c r="AD3556" s="0" t="str">
        <f aca="false">IF(Y3556=1,"",IF(AND(Z3556=1,AB3556&lt;&gt;1),1,0))</f>
        <v/>
      </c>
      <c r="AE3556" s="0" t="str">
        <f aca="false">IF(Y3556=1,"",IF(AND(AA3556=1,AC3556&lt;&gt;1),1,0))</f>
        <v/>
      </c>
      <c r="AF3556" s="45" t="str">
        <f aca="false">IF(AND(E3556&gt;0,Y3556&lt;1,NOT(AND(C3557=C3556,Y3557=Y3556+1))),INDEX(DATAS,Y3556+1),"")</f>
        <v/>
      </c>
      <c r="AG3556" s="45" t="str">
        <f aca="false">IF(AND(AA3556=1,Y3556&lt;1),IF(AND(C3557=C3556,Y3557=Y3556+1),IF(AA3557=1,"",INDEX(DATAS,Y3556+1)),INDEX(DATAS,Y3556+1)),"")</f>
        <v/>
      </c>
    </row>
    <row r="3557" customFormat="false" ht="15" hidden="false" customHeight="false" outlineLevel="0" collapsed="false">
      <c r="A3557" s="45" t="n">
        <v>46309</v>
      </c>
      <c r="B3557" s="0" t="n">
        <v>16</v>
      </c>
      <c r="C3557" s="0" t="n">
        <v>8009</v>
      </c>
      <c r="E3557" s="0" t="n">
        <v>0</v>
      </c>
      <c r="F3557" s="39" t="s">
        <v>1590</v>
      </c>
      <c r="I3557" s="39" t="s">
        <v>136</v>
      </c>
      <c r="U3557" s="0" t="n">
        <v>68</v>
      </c>
      <c r="V3557" s="0" t="n">
        <v>0</v>
      </c>
      <c r="W3557" s="39" t="n">
        <f aca="false">IF(I3557="Male",0,1)</f>
        <v>1</v>
      </c>
      <c r="X3557" s="39" t="n">
        <f aca="false">IF(OR(I3557="DNB",I3557="Dry DNB"),1,0)</f>
        <v>0</v>
      </c>
      <c r="Y3557" s="39" t="n">
        <f aca="false">MATCH(A3557,DATAS,0)</f>
        <v>1</v>
      </c>
      <c r="Z3557" s="39" t="n">
        <f aca="false">IF(AND(E3557&gt;0,OR(AND(B3557&gt;=1,B3557&lt;=6),B3557=10)),1,0)</f>
        <v>0</v>
      </c>
      <c r="AA3557" s="39" t="n">
        <f aca="false">IF(AND(E3557&gt;0,B3557=10),1,0)</f>
        <v>0</v>
      </c>
      <c r="AB3557" s="0" t="str">
        <f aca="false">IF(AND(C3556=C3557,Y3556=Y3557-1),Z3556,"")</f>
        <v/>
      </c>
      <c r="AC3557" s="0" t="str">
        <f aca="false">IF(AND(C3556=C3557,Y3556=Y3557-1),AA3556,"")</f>
        <v/>
      </c>
      <c r="AD3557" s="0" t="str">
        <f aca="false">IF(Y3557=1,"",IF(AND(Z3557=1,AB3557&lt;&gt;1),1,0))</f>
        <v/>
      </c>
      <c r="AE3557" s="0" t="str">
        <f aca="false">IF(Y3557=1,"",IF(AND(AA3557=1,AC3557&lt;&gt;1),1,0))</f>
        <v/>
      </c>
      <c r="AF3557" s="45" t="str">
        <f aca="false">IF(AND(E3557&gt;0,Y3557&lt;1,NOT(AND(C3558=C3557,Y3558=Y3557+1))),INDEX(DATAS,Y3557+1),"")</f>
        <v/>
      </c>
      <c r="AG3557" s="45" t="str">
        <f aca="false">IF(AND(AA3557=1,Y3557&lt;1),IF(AND(C3558=C3557,Y3558=Y3557+1),IF(AA3558=1,"",INDEX(DATAS,Y3557+1)),INDEX(DATAS,Y3557+1)),"")</f>
        <v/>
      </c>
    </row>
    <row r="3558" customFormat="false" ht="15" hidden="false" customHeight="false" outlineLevel="0" collapsed="false">
      <c r="A3558" s="45" t="n">
        <v>46309</v>
      </c>
      <c r="B3558" s="0" t="n">
        <v>16</v>
      </c>
      <c r="C3558" s="0" t="n">
        <v>8010</v>
      </c>
      <c r="E3558" s="0" t="n">
        <v>0</v>
      </c>
      <c r="F3558" s="39" t="s">
        <v>1590</v>
      </c>
      <c r="I3558" s="39" t="s">
        <v>136</v>
      </c>
      <c r="U3558" s="0" t="n">
        <v>68</v>
      </c>
      <c r="V3558" s="0" t="n">
        <v>0</v>
      </c>
      <c r="W3558" s="39" t="n">
        <f aca="false">IF(I3558="Male",0,1)</f>
        <v>1</v>
      </c>
      <c r="X3558" s="39" t="n">
        <f aca="false">IF(OR(I3558="DNB",I3558="Dry DNB"),1,0)</f>
        <v>0</v>
      </c>
      <c r="Y3558" s="39" t="n">
        <f aca="false">MATCH(A3558,DATAS,0)</f>
        <v>1</v>
      </c>
      <c r="Z3558" s="39" t="n">
        <f aca="false">IF(AND(E3558&gt;0,OR(AND(B3558&gt;=1,B3558&lt;=6),B3558=10)),1,0)</f>
        <v>0</v>
      </c>
      <c r="AA3558" s="39" t="n">
        <f aca="false">IF(AND(E3558&gt;0,B3558=10),1,0)</f>
        <v>0</v>
      </c>
      <c r="AB3558" s="0" t="str">
        <f aca="false">IF(AND(C3557=C3558,Y3557=Y3558-1),Z3557,"")</f>
        <v/>
      </c>
      <c r="AC3558" s="0" t="str">
        <f aca="false">IF(AND(C3557=C3558,Y3557=Y3558-1),AA3557,"")</f>
        <v/>
      </c>
      <c r="AD3558" s="0" t="str">
        <f aca="false">IF(Y3558=1,"",IF(AND(Z3558=1,AB3558&lt;&gt;1),1,0))</f>
        <v/>
      </c>
      <c r="AE3558" s="0" t="str">
        <f aca="false">IF(Y3558=1,"",IF(AND(AA3558=1,AC3558&lt;&gt;1),1,0))</f>
        <v/>
      </c>
      <c r="AF3558" s="45" t="str">
        <f aca="false">IF(AND(E3558&gt;0,Y3558&lt;1,NOT(AND(C3559=C3558,Y3559=Y3558+1))),INDEX(DATAS,Y3558+1),"")</f>
        <v/>
      </c>
      <c r="AG3558" s="45" t="str">
        <f aca="false">IF(AND(AA3558=1,Y3558&lt;1),IF(AND(C3559=C3558,Y3559=Y3558+1),IF(AA3559=1,"",INDEX(DATAS,Y3558+1)),INDEX(DATAS,Y3558+1)),"")</f>
        <v/>
      </c>
    </row>
    <row r="3559" customFormat="false" ht="15" hidden="false" customHeight="false" outlineLevel="0" collapsed="false">
      <c r="A3559" s="45" t="n">
        <v>46309</v>
      </c>
      <c r="B3559" s="0" t="n">
        <v>16</v>
      </c>
      <c r="C3559" s="0" t="n">
        <v>8011</v>
      </c>
      <c r="E3559" s="0" t="n">
        <v>0</v>
      </c>
      <c r="F3559" s="39" t="s">
        <v>1591</v>
      </c>
      <c r="I3559" s="39" t="s">
        <v>136</v>
      </c>
      <c r="U3559" s="0" t="n">
        <v>67</v>
      </c>
      <c r="V3559" s="0" t="n">
        <v>0</v>
      </c>
      <c r="W3559" s="39" t="n">
        <f aca="false">IF(I3559="Male",0,1)</f>
        <v>1</v>
      </c>
      <c r="X3559" s="39" t="n">
        <f aca="false">IF(OR(I3559="DNB",I3559="Dry DNB"),1,0)</f>
        <v>0</v>
      </c>
      <c r="Y3559" s="39" t="n">
        <f aca="false">MATCH(A3559,DATAS,0)</f>
        <v>1</v>
      </c>
      <c r="Z3559" s="39" t="n">
        <f aca="false">IF(AND(E3559&gt;0,OR(AND(B3559&gt;=1,B3559&lt;=6),B3559=10)),1,0)</f>
        <v>0</v>
      </c>
      <c r="AA3559" s="39" t="n">
        <f aca="false">IF(AND(E3559&gt;0,B3559=10),1,0)</f>
        <v>0</v>
      </c>
      <c r="AB3559" s="0" t="str">
        <f aca="false">IF(AND(C3558=C3559,Y3558=Y3559-1),Z3558,"")</f>
        <v/>
      </c>
      <c r="AC3559" s="0" t="str">
        <f aca="false">IF(AND(C3558=C3559,Y3558=Y3559-1),AA3558,"")</f>
        <v/>
      </c>
      <c r="AD3559" s="0" t="str">
        <f aca="false">IF(Y3559=1,"",IF(AND(Z3559=1,AB3559&lt;&gt;1),1,0))</f>
        <v/>
      </c>
      <c r="AE3559" s="0" t="str">
        <f aca="false">IF(Y3559=1,"",IF(AND(AA3559=1,AC3559&lt;&gt;1),1,0))</f>
        <v/>
      </c>
      <c r="AF3559" s="45" t="str">
        <f aca="false">IF(AND(E3559&gt;0,Y3559&lt;1,NOT(AND(C3560=C3559,Y3560=Y3559+1))),INDEX(DATAS,Y3559+1),"")</f>
        <v/>
      </c>
      <c r="AG3559" s="45" t="str">
        <f aca="false">IF(AND(AA3559=1,Y3559&lt;1),IF(AND(C3560=C3559,Y3560=Y3559+1),IF(AA3560=1,"",INDEX(DATAS,Y3559+1)),INDEX(DATAS,Y3559+1)),"")</f>
        <v/>
      </c>
    </row>
    <row r="3560" customFormat="false" ht="15" hidden="false" customHeight="false" outlineLevel="0" collapsed="false">
      <c r="A3560" s="45" t="n">
        <v>46309</v>
      </c>
      <c r="B3560" s="0" t="n">
        <v>16</v>
      </c>
      <c r="C3560" s="0" t="n">
        <v>8012</v>
      </c>
      <c r="E3560" s="0" t="n">
        <v>0</v>
      </c>
      <c r="F3560" s="39" t="s">
        <v>1592</v>
      </c>
      <c r="I3560" s="39" t="s">
        <v>136</v>
      </c>
      <c r="U3560" s="0" t="n">
        <v>66</v>
      </c>
      <c r="V3560" s="0" t="n">
        <v>0</v>
      </c>
      <c r="W3560" s="39" t="n">
        <f aca="false">IF(I3560="Male",0,1)</f>
        <v>1</v>
      </c>
      <c r="X3560" s="39" t="n">
        <f aca="false">IF(OR(I3560="DNB",I3560="Dry DNB"),1,0)</f>
        <v>0</v>
      </c>
      <c r="Y3560" s="39" t="n">
        <f aca="false">MATCH(A3560,DATAS,0)</f>
        <v>1</v>
      </c>
      <c r="Z3560" s="39" t="n">
        <f aca="false">IF(AND(E3560&gt;0,OR(AND(B3560&gt;=1,B3560&lt;=6),B3560=10)),1,0)</f>
        <v>0</v>
      </c>
      <c r="AA3560" s="39" t="n">
        <f aca="false">IF(AND(E3560&gt;0,B3560=10),1,0)</f>
        <v>0</v>
      </c>
      <c r="AB3560" s="0" t="str">
        <f aca="false">IF(AND(C3559=C3560,Y3559=Y3560-1),Z3559,"")</f>
        <v/>
      </c>
      <c r="AC3560" s="0" t="str">
        <f aca="false">IF(AND(C3559=C3560,Y3559=Y3560-1),AA3559,"")</f>
        <v/>
      </c>
      <c r="AD3560" s="0" t="str">
        <f aca="false">IF(Y3560=1,"",IF(AND(Z3560=1,AB3560&lt;&gt;1),1,0))</f>
        <v/>
      </c>
      <c r="AE3560" s="0" t="str">
        <f aca="false">IF(Y3560=1,"",IF(AND(AA3560=1,AC3560&lt;&gt;1),1,0))</f>
        <v/>
      </c>
      <c r="AF3560" s="45" t="str">
        <f aca="false">IF(AND(E3560&gt;0,Y3560&lt;1,NOT(AND(C3561=C3560,Y3561=Y3560+1))),INDEX(DATAS,Y3560+1),"")</f>
        <v/>
      </c>
      <c r="AG3560" s="45" t="str">
        <f aca="false">IF(AND(AA3560=1,Y3560&lt;1),IF(AND(C3561=C3560,Y3561=Y3560+1),IF(AA3561=1,"",INDEX(DATAS,Y3560+1)),INDEX(DATAS,Y3560+1)),"")</f>
        <v/>
      </c>
    </row>
    <row r="3561" customFormat="false" ht="15" hidden="false" customHeight="false" outlineLevel="0" collapsed="false">
      <c r="A3561" s="45" t="n">
        <v>46309</v>
      </c>
      <c r="B3561" s="0" t="n">
        <v>16</v>
      </c>
      <c r="C3561" s="0" t="n">
        <v>8013</v>
      </c>
      <c r="E3561" s="0" t="n">
        <v>0</v>
      </c>
      <c r="F3561" s="39" t="s">
        <v>1592</v>
      </c>
      <c r="I3561" s="39" t="s">
        <v>136</v>
      </c>
      <c r="U3561" s="0" t="n">
        <v>66</v>
      </c>
      <c r="V3561" s="0" t="n">
        <v>0</v>
      </c>
      <c r="W3561" s="39" t="n">
        <f aca="false">IF(I3561="Male",0,1)</f>
        <v>1</v>
      </c>
      <c r="X3561" s="39" t="n">
        <f aca="false">IF(OR(I3561="DNB",I3561="Dry DNB"),1,0)</f>
        <v>0</v>
      </c>
      <c r="Y3561" s="39" t="n">
        <f aca="false">MATCH(A3561,DATAS,0)</f>
        <v>1</v>
      </c>
      <c r="Z3561" s="39" t="n">
        <f aca="false">IF(AND(E3561&gt;0,OR(AND(B3561&gt;=1,B3561&lt;=6),B3561=10)),1,0)</f>
        <v>0</v>
      </c>
      <c r="AA3561" s="39" t="n">
        <f aca="false">IF(AND(E3561&gt;0,B3561=10),1,0)</f>
        <v>0</v>
      </c>
      <c r="AB3561" s="0" t="str">
        <f aca="false">IF(AND(C3560=C3561,Y3560=Y3561-1),Z3560,"")</f>
        <v/>
      </c>
      <c r="AC3561" s="0" t="str">
        <f aca="false">IF(AND(C3560=C3561,Y3560=Y3561-1),AA3560,"")</f>
        <v/>
      </c>
      <c r="AD3561" s="0" t="str">
        <f aca="false">IF(Y3561=1,"",IF(AND(Z3561=1,AB3561&lt;&gt;1),1,0))</f>
        <v/>
      </c>
      <c r="AE3561" s="0" t="str">
        <f aca="false">IF(Y3561=1,"",IF(AND(AA3561=1,AC3561&lt;&gt;1),1,0))</f>
        <v/>
      </c>
      <c r="AF3561" s="45" t="str">
        <f aca="false">IF(AND(E3561&gt;0,Y3561&lt;1,NOT(AND(C3562=C3561,Y3562=Y3561+1))),INDEX(DATAS,Y3561+1),"")</f>
        <v/>
      </c>
      <c r="AG3561" s="45" t="str">
        <f aca="false">IF(AND(AA3561=1,Y3561&lt;1),IF(AND(C3562=C3561,Y3562=Y3561+1),IF(AA3562=1,"",INDEX(DATAS,Y3561+1)),INDEX(DATAS,Y3561+1)),"")</f>
        <v/>
      </c>
    </row>
    <row r="3562" customFormat="false" ht="15" hidden="false" customHeight="false" outlineLevel="0" collapsed="false">
      <c r="A3562" s="45" t="n">
        <v>46309</v>
      </c>
      <c r="B3562" s="0" t="n">
        <v>16</v>
      </c>
      <c r="C3562" s="0" t="n">
        <v>8014</v>
      </c>
      <c r="E3562" s="0" t="n">
        <v>0</v>
      </c>
      <c r="F3562" s="39" t="s">
        <v>1592</v>
      </c>
      <c r="I3562" s="39" t="s">
        <v>136</v>
      </c>
      <c r="U3562" s="0" t="n">
        <v>66</v>
      </c>
      <c r="V3562" s="0" t="n">
        <v>0</v>
      </c>
      <c r="W3562" s="39" t="n">
        <f aca="false">IF(I3562="Male",0,1)</f>
        <v>1</v>
      </c>
      <c r="X3562" s="39" t="n">
        <f aca="false">IF(OR(I3562="DNB",I3562="Dry DNB"),1,0)</f>
        <v>0</v>
      </c>
      <c r="Y3562" s="39" t="n">
        <f aca="false">MATCH(A3562,DATAS,0)</f>
        <v>1</v>
      </c>
      <c r="Z3562" s="39" t="n">
        <f aca="false">IF(AND(E3562&gt;0,OR(AND(B3562&gt;=1,B3562&lt;=6),B3562=10)),1,0)</f>
        <v>0</v>
      </c>
      <c r="AA3562" s="39" t="n">
        <f aca="false">IF(AND(E3562&gt;0,B3562=10),1,0)</f>
        <v>0</v>
      </c>
      <c r="AB3562" s="0" t="str">
        <f aca="false">IF(AND(C3561=C3562,Y3561=Y3562-1),Z3561,"")</f>
        <v/>
      </c>
      <c r="AC3562" s="0" t="str">
        <f aca="false">IF(AND(C3561=C3562,Y3561=Y3562-1),AA3561,"")</f>
        <v/>
      </c>
      <c r="AD3562" s="0" t="str">
        <f aca="false">IF(Y3562=1,"",IF(AND(Z3562=1,AB3562&lt;&gt;1),1,0))</f>
        <v/>
      </c>
      <c r="AE3562" s="0" t="str">
        <f aca="false">IF(Y3562=1,"",IF(AND(AA3562=1,AC3562&lt;&gt;1),1,0))</f>
        <v/>
      </c>
      <c r="AF3562" s="45" t="str">
        <f aca="false">IF(AND(E3562&gt;0,Y3562&lt;1,NOT(AND(C3563=C3562,Y3563=Y3562+1))),INDEX(DATAS,Y3562+1),"")</f>
        <v/>
      </c>
      <c r="AG3562" s="45" t="str">
        <f aca="false">IF(AND(AA3562=1,Y3562&lt;1),IF(AND(C3563=C3562,Y3563=Y3562+1),IF(AA3563=1,"",INDEX(DATAS,Y3562+1)),INDEX(DATAS,Y3562+1)),"")</f>
        <v/>
      </c>
    </row>
    <row r="3563" customFormat="false" ht="15" hidden="false" customHeight="false" outlineLevel="0" collapsed="false">
      <c r="A3563" s="45" t="n">
        <v>46309</v>
      </c>
      <c r="B3563" s="0" t="n">
        <v>16</v>
      </c>
      <c r="C3563" s="0" t="n">
        <v>8015</v>
      </c>
      <c r="E3563" s="0" t="n">
        <v>0</v>
      </c>
      <c r="F3563" s="39" t="s">
        <v>1592</v>
      </c>
      <c r="I3563" s="39" t="s">
        <v>136</v>
      </c>
      <c r="U3563" s="0" t="n">
        <v>66</v>
      </c>
      <c r="V3563" s="0" t="n">
        <v>0</v>
      </c>
      <c r="W3563" s="39" t="n">
        <f aca="false">IF(I3563="Male",0,1)</f>
        <v>1</v>
      </c>
      <c r="X3563" s="39" t="n">
        <f aca="false">IF(OR(I3563="DNB",I3563="Dry DNB"),1,0)</f>
        <v>0</v>
      </c>
      <c r="Y3563" s="39" t="n">
        <f aca="false">MATCH(A3563,DATAS,0)</f>
        <v>1</v>
      </c>
      <c r="Z3563" s="39" t="n">
        <f aca="false">IF(AND(E3563&gt;0,OR(AND(B3563&gt;=1,B3563&lt;=6),B3563=10)),1,0)</f>
        <v>0</v>
      </c>
      <c r="AA3563" s="39" t="n">
        <f aca="false">IF(AND(E3563&gt;0,B3563=10),1,0)</f>
        <v>0</v>
      </c>
      <c r="AB3563" s="0" t="str">
        <f aca="false">IF(AND(C3562=C3563,Y3562=Y3563-1),Z3562,"")</f>
        <v/>
      </c>
      <c r="AC3563" s="0" t="str">
        <f aca="false">IF(AND(C3562=C3563,Y3562=Y3563-1),AA3562,"")</f>
        <v/>
      </c>
      <c r="AD3563" s="0" t="str">
        <f aca="false">IF(Y3563=1,"",IF(AND(Z3563=1,AB3563&lt;&gt;1),1,0))</f>
        <v/>
      </c>
      <c r="AE3563" s="0" t="str">
        <f aca="false">IF(Y3563=1,"",IF(AND(AA3563=1,AC3563&lt;&gt;1),1,0))</f>
        <v/>
      </c>
      <c r="AF3563" s="45" t="str">
        <f aca="false">IF(AND(E3563&gt;0,Y3563&lt;1,NOT(AND(C3564=C3563,Y3564=Y3563+1))),INDEX(DATAS,Y3563+1),"")</f>
        <v/>
      </c>
      <c r="AG3563" s="45" t="str">
        <f aca="false">IF(AND(AA3563=1,Y3563&lt;1),IF(AND(C3564=C3563,Y3564=Y3563+1),IF(AA3564=1,"",INDEX(DATAS,Y3563+1)),INDEX(DATAS,Y3563+1)),"")</f>
        <v/>
      </c>
    </row>
    <row r="3564" customFormat="false" ht="15" hidden="false" customHeight="false" outlineLevel="0" collapsed="false">
      <c r="A3564" s="45" t="n">
        <v>46309</v>
      </c>
      <c r="B3564" s="0" t="n">
        <v>16</v>
      </c>
      <c r="C3564" s="0" t="n">
        <v>8018</v>
      </c>
      <c r="E3564" s="0" t="n">
        <v>0</v>
      </c>
      <c r="F3564" s="39" t="s">
        <v>1593</v>
      </c>
      <c r="I3564" s="39" t="s">
        <v>136</v>
      </c>
      <c r="U3564" s="0" t="n">
        <v>65</v>
      </c>
      <c r="V3564" s="0" t="n">
        <v>0</v>
      </c>
      <c r="W3564" s="39" t="n">
        <f aca="false">IF(I3564="Male",0,1)</f>
        <v>1</v>
      </c>
      <c r="X3564" s="39" t="n">
        <f aca="false">IF(OR(I3564="DNB",I3564="Dry DNB"),1,0)</f>
        <v>0</v>
      </c>
      <c r="Y3564" s="39" t="n">
        <f aca="false">MATCH(A3564,DATAS,0)</f>
        <v>1</v>
      </c>
      <c r="Z3564" s="39" t="n">
        <f aca="false">IF(AND(E3564&gt;0,OR(AND(B3564&gt;=1,B3564&lt;=6),B3564=10)),1,0)</f>
        <v>0</v>
      </c>
      <c r="AA3564" s="39" t="n">
        <f aca="false">IF(AND(E3564&gt;0,B3564=10),1,0)</f>
        <v>0</v>
      </c>
      <c r="AB3564" s="0" t="str">
        <f aca="false">IF(AND(C3563=C3564,Y3563=Y3564-1),Z3563,"")</f>
        <v/>
      </c>
      <c r="AC3564" s="0" t="str">
        <f aca="false">IF(AND(C3563=C3564,Y3563=Y3564-1),AA3563,"")</f>
        <v/>
      </c>
      <c r="AD3564" s="0" t="str">
        <f aca="false">IF(Y3564=1,"",IF(AND(Z3564=1,AB3564&lt;&gt;1),1,0))</f>
        <v/>
      </c>
      <c r="AE3564" s="0" t="str">
        <f aca="false">IF(Y3564=1,"",IF(AND(AA3564=1,AC3564&lt;&gt;1),1,0))</f>
        <v/>
      </c>
      <c r="AF3564" s="45" t="str">
        <f aca="false">IF(AND(E3564&gt;0,Y3564&lt;1,NOT(AND(C3565=C3564,Y3565=Y3564+1))),INDEX(DATAS,Y3564+1),"")</f>
        <v/>
      </c>
      <c r="AG3564" s="45" t="str">
        <f aca="false">IF(AND(AA3564=1,Y3564&lt;1),IF(AND(C3565=C3564,Y3565=Y3564+1),IF(AA3565=1,"",INDEX(DATAS,Y3564+1)),INDEX(DATAS,Y3564+1)),"")</f>
        <v/>
      </c>
    </row>
    <row r="3565" customFormat="false" ht="15" hidden="false" customHeight="false" outlineLevel="0" collapsed="false">
      <c r="A3565" s="45" t="n">
        <v>46309</v>
      </c>
      <c r="B3565" s="0" t="n">
        <v>16</v>
      </c>
      <c r="C3565" s="0" t="n">
        <v>8019</v>
      </c>
      <c r="E3565" s="0" t="n">
        <v>0</v>
      </c>
      <c r="F3565" s="39" t="s">
        <v>1593</v>
      </c>
      <c r="I3565" s="39" t="s">
        <v>136</v>
      </c>
      <c r="U3565" s="0" t="n">
        <v>65</v>
      </c>
      <c r="V3565" s="0" t="n">
        <v>0</v>
      </c>
      <c r="W3565" s="39" t="n">
        <f aca="false">IF(I3565="Male",0,1)</f>
        <v>1</v>
      </c>
      <c r="X3565" s="39" t="n">
        <f aca="false">IF(OR(I3565="DNB",I3565="Dry DNB"),1,0)</f>
        <v>0</v>
      </c>
      <c r="Y3565" s="39" t="n">
        <f aca="false">MATCH(A3565,DATAS,0)</f>
        <v>1</v>
      </c>
      <c r="Z3565" s="39" t="n">
        <f aca="false">IF(AND(E3565&gt;0,OR(AND(B3565&gt;=1,B3565&lt;=6),B3565=10)),1,0)</f>
        <v>0</v>
      </c>
      <c r="AA3565" s="39" t="n">
        <f aca="false">IF(AND(E3565&gt;0,B3565=10),1,0)</f>
        <v>0</v>
      </c>
      <c r="AB3565" s="0" t="str">
        <f aca="false">IF(AND(C3564=C3565,Y3564=Y3565-1),Z3564,"")</f>
        <v/>
      </c>
      <c r="AC3565" s="0" t="str">
        <f aca="false">IF(AND(C3564=C3565,Y3564=Y3565-1),AA3564,"")</f>
        <v/>
      </c>
      <c r="AD3565" s="0" t="str">
        <f aca="false">IF(Y3565=1,"",IF(AND(Z3565=1,AB3565&lt;&gt;1),1,0))</f>
        <v/>
      </c>
      <c r="AE3565" s="0" t="str">
        <f aca="false">IF(Y3565=1,"",IF(AND(AA3565=1,AC3565&lt;&gt;1),1,0))</f>
        <v/>
      </c>
      <c r="AF3565" s="45" t="str">
        <f aca="false">IF(AND(E3565&gt;0,Y3565&lt;1,NOT(AND(C3566=C3565,Y3566=Y3565+1))),INDEX(DATAS,Y3565+1),"")</f>
        <v/>
      </c>
      <c r="AG3565" s="45" t="str">
        <f aca="false">IF(AND(AA3565=1,Y3565&lt;1),IF(AND(C3566=C3565,Y3566=Y3565+1),IF(AA3566=1,"",INDEX(DATAS,Y3565+1)),INDEX(DATAS,Y3565+1)),"")</f>
        <v/>
      </c>
    </row>
    <row r="3566" customFormat="false" ht="15" hidden="false" customHeight="false" outlineLevel="0" collapsed="false">
      <c r="A3566" s="45" t="n">
        <v>46309</v>
      </c>
      <c r="B3566" s="0" t="n">
        <v>16</v>
      </c>
      <c r="C3566" s="0" t="n">
        <v>8020</v>
      </c>
      <c r="E3566" s="0" t="n">
        <v>0</v>
      </c>
      <c r="F3566" s="39" t="s">
        <v>1593</v>
      </c>
      <c r="I3566" s="39" t="s">
        <v>136</v>
      </c>
      <c r="U3566" s="0" t="n">
        <v>65</v>
      </c>
      <c r="V3566" s="0" t="n">
        <v>0</v>
      </c>
      <c r="W3566" s="39" t="n">
        <f aca="false">IF(I3566="Male",0,1)</f>
        <v>1</v>
      </c>
      <c r="X3566" s="39" t="n">
        <f aca="false">IF(OR(I3566="DNB",I3566="Dry DNB"),1,0)</f>
        <v>0</v>
      </c>
      <c r="Y3566" s="39" t="n">
        <f aca="false">MATCH(A3566,DATAS,0)</f>
        <v>1</v>
      </c>
      <c r="Z3566" s="39" t="n">
        <f aca="false">IF(AND(E3566&gt;0,OR(AND(B3566&gt;=1,B3566&lt;=6),B3566=10)),1,0)</f>
        <v>0</v>
      </c>
      <c r="AA3566" s="39" t="n">
        <f aca="false">IF(AND(E3566&gt;0,B3566=10),1,0)</f>
        <v>0</v>
      </c>
      <c r="AB3566" s="0" t="str">
        <f aca="false">IF(AND(C3565=C3566,Y3565=Y3566-1),Z3565,"")</f>
        <v/>
      </c>
      <c r="AC3566" s="0" t="str">
        <f aca="false">IF(AND(C3565=C3566,Y3565=Y3566-1),AA3565,"")</f>
        <v/>
      </c>
      <c r="AD3566" s="0" t="str">
        <f aca="false">IF(Y3566=1,"",IF(AND(Z3566=1,AB3566&lt;&gt;1),1,0))</f>
        <v/>
      </c>
      <c r="AE3566" s="0" t="str">
        <f aca="false">IF(Y3566=1,"",IF(AND(AA3566=1,AC3566&lt;&gt;1),1,0))</f>
        <v/>
      </c>
      <c r="AF3566" s="45" t="str">
        <f aca="false">IF(AND(E3566&gt;0,Y3566&lt;1,NOT(AND(C3567=C3566,Y3567=Y3566+1))),INDEX(DATAS,Y3566+1),"")</f>
        <v/>
      </c>
      <c r="AG3566" s="45" t="str">
        <f aca="false">IF(AND(AA3566=1,Y3566&lt;1),IF(AND(C3567=C3566,Y3567=Y3566+1),IF(AA3567=1,"",INDEX(DATAS,Y3566+1)),INDEX(DATAS,Y3566+1)),"")</f>
        <v/>
      </c>
    </row>
    <row r="3567" customFormat="false" ht="15" hidden="false" customHeight="false" outlineLevel="0" collapsed="false">
      <c r="A3567" s="45" t="n">
        <v>46309</v>
      </c>
      <c r="B3567" s="0" t="n">
        <v>16</v>
      </c>
      <c r="C3567" s="0" t="n">
        <v>8021</v>
      </c>
      <c r="E3567" s="0" t="n">
        <v>0</v>
      </c>
      <c r="F3567" s="39" t="s">
        <v>1593</v>
      </c>
      <c r="I3567" s="39" t="s">
        <v>136</v>
      </c>
      <c r="U3567" s="0" t="n">
        <v>65</v>
      </c>
      <c r="V3567" s="0" t="n">
        <v>0</v>
      </c>
      <c r="W3567" s="39" t="n">
        <f aca="false">IF(I3567="Male",0,1)</f>
        <v>1</v>
      </c>
      <c r="X3567" s="39" t="n">
        <f aca="false">IF(OR(I3567="DNB",I3567="Dry DNB"),1,0)</f>
        <v>0</v>
      </c>
      <c r="Y3567" s="39" t="n">
        <f aca="false">MATCH(A3567,DATAS,0)</f>
        <v>1</v>
      </c>
      <c r="Z3567" s="39" t="n">
        <f aca="false">IF(AND(E3567&gt;0,OR(AND(B3567&gt;=1,B3567&lt;=6),B3567=10)),1,0)</f>
        <v>0</v>
      </c>
      <c r="AA3567" s="39" t="n">
        <f aca="false">IF(AND(E3567&gt;0,B3567=10),1,0)</f>
        <v>0</v>
      </c>
      <c r="AB3567" s="0" t="str">
        <f aca="false">IF(AND(C3566=C3567,Y3566=Y3567-1),Z3566,"")</f>
        <v/>
      </c>
      <c r="AC3567" s="0" t="str">
        <f aca="false">IF(AND(C3566=C3567,Y3566=Y3567-1),AA3566,"")</f>
        <v/>
      </c>
      <c r="AD3567" s="0" t="str">
        <f aca="false">IF(Y3567=1,"",IF(AND(Z3567=1,AB3567&lt;&gt;1),1,0))</f>
        <v/>
      </c>
      <c r="AE3567" s="0" t="str">
        <f aca="false">IF(Y3567=1,"",IF(AND(AA3567=1,AC3567&lt;&gt;1),1,0))</f>
        <v/>
      </c>
      <c r="AF3567" s="45" t="str">
        <f aca="false">IF(AND(E3567&gt;0,Y3567&lt;1,NOT(AND(C3568=C3567,Y3568=Y3567+1))),INDEX(DATAS,Y3567+1),"")</f>
        <v/>
      </c>
      <c r="AG3567" s="45" t="str">
        <f aca="false">IF(AND(AA3567=1,Y3567&lt;1),IF(AND(C3568=C3567,Y3568=Y3567+1),IF(AA3568=1,"",INDEX(DATAS,Y3567+1)),INDEX(DATAS,Y3567+1)),"")</f>
        <v/>
      </c>
    </row>
    <row r="3568" customFormat="false" ht="15" hidden="false" customHeight="false" outlineLevel="0" collapsed="false">
      <c r="A3568" s="45" t="n">
        <v>46309</v>
      </c>
      <c r="B3568" s="0" t="n">
        <v>16</v>
      </c>
      <c r="C3568" s="0" t="n">
        <v>8023</v>
      </c>
      <c r="E3568" s="0" t="n">
        <v>0</v>
      </c>
      <c r="F3568" s="39" t="s">
        <v>1593</v>
      </c>
      <c r="I3568" s="39" t="s">
        <v>136</v>
      </c>
      <c r="U3568" s="0" t="n">
        <v>65</v>
      </c>
      <c r="V3568" s="0" t="n">
        <v>0</v>
      </c>
      <c r="W3568" s="39" t="n">
        <f aca="false">IF(I3568="Male",0,1)</f>
        <v>1</v>
      </c>
      <c r="X3568" s="39" t="n">
        <f aca="false">IF(OR(I3568="DNB",I3568="Dry DNB"),1,0)</f>
        <v>0</v>
      </c>
      <c r="Y3568" s="39" t="n">
        <f aca="false">MATCH(A3568,DATAS,0)</f>
        <v>1</v>
      </c>
      <c r="Z3568" s="39" t="n">
        <f aca="false">IF(AND(E3568&gt;0,OR(AND(B3568&gt;=1,B3568&lt;=6),B3568=10)),1,0)</f>
        <v>0</v>
      </c>
      <c r="AA3568" s="39" t="n">
        <f aca="false">IF(AND(E3568&gt;0,B3568=10),1,0)</f>
        <v>0</v>
      </c>
      <c r="AB3568" s="0" t="str">
        <f aca="false">IF(AND(C3567=C3568,Y3567=Y3568-1),Z3567,"")</f>
        <v/>
      </c>
      <c r="AC3568" s="0" t="str">
        <f aca="false">IF(AND(C3567=C3568,Y3567=Y3568-1),AA3567,"")</f>
        <v/>
      </c>
      <c r="AD3568" s="0" t="str">
        <f aca="false">IF(Y3568=1,"",IF(AND(Z3568=1,AB3568&lt;&gt;1),1,0))</f>
        <v/>
      </c>
      <c r="AE3568" s="0" t="str">
        <f aca="false">IF(Y3568=1,"",IF(AND(AA3568=1,AC3568&lt;&gt;1),1,0))</f>
        <v/>
      </c>
      <c r="AF3568" s="45" t="str">
        <f aca="false">IF(AND(E3568&gt;0,Y3568&lt;1,NOT(AND(C3569=C3568,Y3569=Y3568+1))),INDEX(DATAS,Y3568+1),"")</f>
        <v/>
      </c>
      <c r="AG3568" s="45" t="str">
        <f aca="false">IF(AND(AA3568=1,Y3568&lt;1),IF(AND(C3569=C3568,Y3569=Y3568+1),IF(AA3569=1,"",INDEX(DATAS,Y3568+1)),INDEX(DATAS,Y3568+1)),"")</f>
        <v/>
      </c>
    </row>
    <row r="3569" customFormat="false" ht="15" hidden="false" customHeight="false" outlineLevel="0" collapsed="false">
      <c r="A3569" s="45" t="n">
        <v>46309</v>
      </c>
      <c r="B3569" s="0" t="n">
        <v>16</v>
      </c>
      <c r="C3569" s="0" t="n">
        <v>8025</v>
      </c>
      <c r="E3569" s="0" t="n">
        <v>0</v>
      </c>
      <c r="F3569" s="39" t="s">
        <v>1594</v>
      </c>
      <c r="I3569" s="39" t="s">
        <v>136</v>
      </c>
      <c r="U3569" s="0" t="n">
        <v>64</v>
      </c>
      <c r="V3569" s="0" t="n">
        <v>0</v>
      </c>
      <c r="W3569" s="39" t="n">
        <f aca="false">IF(I3569="Male",0,1)</f>
        <v>1</v>
      </c>
      <c r="X3569" s="39" t="n">
        <f aca="false">IF(OR(I3569="DNB",I3569="Dry DNB"),1,0)</f>
        <v>0</v>
      </c>
      <c r="Y3569" s="39" t="n">
        <f aca="false">MATCH(A3569,DATAS,0)</f>
        <v>1</v>
      </c>
      <c r="Z3569" s="39" t="n">
        <f aca="false">IF(AND(E3569&gt;0,OR(AND(B3569&gt;=1,B3569&lt;=6),B3569=10)),1,0)</f>
        <v>0</v>
      </c>
      <c r="AA3569" s="39" t="n">
        <f aca="false">IF(AND(E3569&gt;0,B3569=10),1,0)</f>
        <v>0</v>
      </c>
      <c r="AB3569" s="0" t="str">
        <f aca="false">IF(AND(C3568=C3569,Y3568=Y3569-1),Z3568,"")</f>
        <v/>
      </c>
      <c r="AC3569" s="0" t="str">
        <f aca="false">IF(AND(C3568=C3569,Y3568=Y3569-1),AA3568,"")</f>
        <v/>
      </c>
      <c r="AD3569" s="0" t="str">
        <f aca="false">IF(Y3569=1,"",IF(AND(Z3569=1,AB3569&lt;&gt;1),1,0))</f>
        <v/>
      </c>
      <c r="AE3569" s="0" t="str">
        <f aca="false">IF(Y3569=1,"",IF(AND(AA3569=1,AC3569&lt;&gt;1),1,0))</f>
        <v/>
      </c>
      <c r="AF3569" s="45" t="str">
        <f aca="false">IF(AND(E3569&gt;0,Y3569&lt;1,NOT(AND(C3570=C3569,Y3570=Y3569+1))),INDEX(DATAS,Y3569+1),"")</f>
        <v/>
      </c>
      <c r="AG3569" s="45" t="str">
        <f aca="false">IF(AND(AA3569=1,Y3569&lt;1),IF(AND(C3570=C3569,Y3570=Y3569+1),IF(AA3570=1,"",INDEX(DATAS,Y3569+1)),INDEX(DATAS,Y3569+1)),"")</f>
        <v/>
      </c>
    </row>
    <row r="3570" customFormat="false" ht="15" hidden="false" customHeight="false" outlineLevel="0" collapsed="false">
      <c r="A3570" s="45" t="n">
        <v>46309</v>
      </c>
      <c r="B3570" s="0" t="n">
        <v>16</v>
      </c>
      <c r="C3570" s="0" t="n">
        <v>8026</v>
      </c>
      <c r="E3570" s="0" t="n">
        <v>0</v>
      </c>
      <c r="F3570" s="39" t="s">
        <v>1594</v>
      </c>
      <c r="I3570" s="39" t="s">
        <v>136</v>
      </c>
      <c r="U3570" s="0" t="n">
        <v>64</v>
      </c>
      <c r="V3570" s="0" t="n">
        <v>0</v>
      </c>
      <c r="W3570" s="39" t="n">
        <f aca="false">IF(I3570="Male",0,1)</f>
        <v>1</v>
      </c>
      <c r="X3570" s="39" t="n">
        <f aca="false">IF(OR(I3570="DNB",I3570="Dry DNB"),1,0)</f>
        <v>0</v>
      </c>
      <c r="Y3570" s="39" t="n">
        <f aca="false">MATCH(A3570,DATAS,0)</f>
        <v>1</v>
      </c>
      <c r="Z3570" s="39" t="n">
        <f aca="false">IF(AND(E3570&gt;0,OR(AND(B3570&gt;=1,B3570&lt;=6),B3570=10)),1,0)</f>
        <v>0</v>
      </c>
      <c r="AA3570" s="39" t="n">
        <f aca="false">IF(AND(E3570&gt;0,B3570=10),1,0)</f>
        <v>0</v>
      </c>
      <c r="AB3570" s="0" t="str">
        <f aca="false">IF(AND(C3569=C3570,Y3569=Y3570-1),Z3569,"")</f>
        <v/>
      </c>
      <c r="AC3570" s="0" t="str">
        <f aca="false">IF(AND(C3569=C3570,Y3569=Y3570-1),AA3569,"")</f>
        <v/>
      </c>
      <c r="AD3570" s="0" t="str">
        <f aca="false">IF(Y3570=1,"",IF(AND(Z3570=1,AB3570&lt;&gt;1),1,0))</f>
        <v/>
      </c>
      <c r="AE3570" s="0" t="str">
        <f aca="false">IF(Y3570=1,"",IF(AND(AA3570=1,AC3570&lt;&gt;1),1,0))</f>
        <v/>
      </c>
      <c r="AF3570" s="45" t="str">
        <f aca="false">IF(AND(E3570&gt;0,Y3570&lt;1,NOT(AND(C3571=C3570,Y3571=Y3570+1))),INDEX(DATAS,Y3570+1),"")</f>
        <v/>
      </c>
      <c r="AG3570" s="45" t="str">
        <f aca="false">IF(AND(AA3570=1,Y3570&lt;1),IF(AND(C3571=C3570,Y3571=Y3570+1),IF(AA3571=1,"",INDEX(DATAS,Y3570+1)),INDEX(DATAS,Y3570+1)),"")</f>
        <v/>
      </c>
    </row>
    <row r="3571" customFormat="false" ht="15" hidden="false" customHeight="false" outlineLevel="0" collapsed="false">
      <c r="A3571" s="45" t="n">
        <v>46309</v>
      </c>
      <c r="B3571" s="0" t="n">
        <v>16</v>
      </c>
      <c r="C3571" s="0" t="n">
        <v>8027</v>
      </c>
      <c r="E3571" s="0" t="n">
        <v>0</v>
      </c>
      <c r="F3571" s="39" t="s">
        <v>1594</v>
      </c>
      <c r="I3571" s="39" t="s">
        <v>136</v>
      </c>
      <c r="U3571" s="0" t="n">
        <v>64</v>
      </c>
      <c r="V3571" s="0" t="n">
        <v>0</v>
      </c>
      <c r="W3571" s="39" t="n">
        <f aca="false">IF(I3571="Male",0,1)</f>
        <v>1</v>
      </c>
      <c r="X3571" s="39" t="n">
        <f aca="false">IF(OR(I3571="DNB",I3571="Dry DNB"),1,0)</f>
        <v>0</v>
      </c>
      <c r="Y3571" s="39" t="n">
        <f aca="false">MATCH(A3571,DATAS,0)</f>
        <v>1</v>
      </c>
      <c r="Z3571" s="39" t="n">
        <f aca="false">IF(AND(E3571&gt;0,OR(AND(B3571&gt;=1,B3571&lt;=6),B3571=10)),1,0)</f>
        <v>0</v>
      </c>
      <c r="AA3571" s="39" t="n">
        <f aca="false">IF(AND(E3571&gt;0,B3571=10),1,0)</f>
        <v>0</v>
      </c>
      <c r="AB3571" s="0" t="str">
        <f aca="false">IF(AND(C3570=C3571,Y3570=Y3571-1),Z3570,"")</f>
        <v/>
      </c>
      <c r="AC3571" s="0" t="str">
        <f aca="false">IF(AND(C3570=C3571,Y3570=Y3571-1),AA3570,"")</f>
        <v/>
      </c>
      <c r="AD3571" s="0" t="str">
        <f aca="false">IF(Y3571=1,"",IF(AND(Z3571=1,AB3571&lt;&gt;1),1,0))</f>
        <v/>
      </c>
      <c r="AE3571" s="0" t="str">
        <f aca="false">IF(Y3571=1,"",IF(AND(AA3571=1,AC3571&lt;&gt;1),1,0))</f>
        <v/>
      </c>
      <c r="AF3571" s="45" t="str">
        <f aca="false">IF(AND(E3571&gt;0,Y3571&lt;1,NOT(AND(C3572=C3571,Y3572=Y3571+1))),INDEX(DATAS,Y3571+1),"")</f>
        <v/>
      </c>
      <c r="AG3571" s="45" t="str">
        <f aca="false">IF(AND(AA3571=1,Y3571&lt;1),IF(AND(C3572=C3571,Y3572=Y3571+1),IF(AA3572=1,"",INDEX(DATAS,Y3571+1)),INDEX(DATAS,Y3571+1)),"")</f>
        <v/>
      </c>
    </row>
    <row r="3572" customFormat="false" ht="15" hidden="false" customHeight="false" outlineLevel="0" collapsed="false">
      <c r="A3572" s="45" t="n">
        <v>46309</v>
      </c>
      <c r="B3572" s="0" t="n">
        <v>16</v>
      </c>
      <c r="C3572" s="0" t="n">
        <v>8028</v>
      </c>
      <c r="E3572" s="0" t="n">
        <v>0</v>
      </c>
      <c r="F3572" s="39" t="s">
        <v>1595</v>
      </c>
      <c r="I3572" s="39" t="s">
        <v>136</v>
      </c>
      <c r="U3572" s="0" t="n">
        <v>63</v>
      </c>
      <c r="V3572" s="0" t="n">
        <v>0</v>
      </c>
      <c r="W3572" s="39" t="n">
        <f aca="false">IF(I3572="Male",0,1)</f>
        <v>1</v>
      </c>
      <c r="X3572" s="39" t="n">
        <f aca="false">IF(OR(I3572="DNB",I3572="Dry DNB"),1,0)</f>
        <v>0</v>
      </c>
      <c r="Y3572" s="39" t="n">
        <f aca="false">MATCH(A3572,DATAS,0)</f>
        <v>1</v>
      </c>
      <c r="Z3572" s="39" t="n">
        <f aca="false">IF(AND(E3572&gt;0,OR(AND(B3572&gt;=1,B3572&lt;=6),B3572=10)),1,0)</f>
        <v>0</v>
      </c>
      <c r="AA3572" s="39" t="n">
        <f aca="false">IF(AND(E3572&gt;0,B3572=10),1,0)</f>
        <v>0</v>
      </c>
      <c r="AB3572" s="0" t="str">
        <f aca="false">IF(AND(C3571=C3572,Y3571=Y3572-1),Z3571,"")</f>
        <v/>
      </c>
      <c r="AC3572" s="0" t="str">
        <f aca="false">IF(AND(C3571=C3572,Y3571=Y3572-1),AA3571,"")</f>
        <v/>
      </c>
      <c r="AD3572" s="0" t="str">
        <f aca="false">IF(Y3572=1,"",IF(AND(Z3572=1,AB3572&lt;&gt;1),1,0))</f>
        <v/>
      </c>
      <c r="AE3572" s="0" t="str">
        <f aca="false">IF(Y3572=1,"",IF(AND(AA3572=1,AC3572&lt;&gt;1),1,0))</f>
        <v/>
      </c>
      <c r="AF3572" s="45" t="str">
        <f aca="false">IF(AND(E3572&gt;0,Y3572&lt;1,NOT(AND(C3573=C3572,Y3573=Y3572+1))),INDEX(DATAS,Y3572+1),"")</f>
        <v/>
      </c>
      <c r="AG3572" s="45" t="str">
        <f aca="false">IF(AND(AA3572=1,Y3572&lt;1),IF(AND(C3573=C3572,Y3573=Y3572+1),IF(AA3573=1,"",INDEX(DATAS,Y3572+1)),INDEX(DATAS,Y3572+1)),"")</f>
        <v/>
      </c>
    </row>
    <row r="3573" customFormat="false" ht="15" hidden="false" customHeight="false" outlineLevel="0" collapsed="false">
      <c r="A3573" s="45" t="n">
        <v>46309</v>
      </c>
      <c r="B3573" s="0" t="n">
        <v>16</v>
      </c>
      <c r="C3573" s="0" t="n">
        <v>8030</v>
      </c>
      <c r="E3573" s="0" t="n">
        <v>0</v>
      </c>
      <c r="F3573" s="39" t="s">
        <v>1596</v>
      </c>
      <c r="I3573" s="39" t="s">
        <v>136</v>
      </c>
      <c r="U3573" s="0" t="n">
        <v>62</v>
      </c>
      <c r="V3573" s="0" t="n">
        <v>0</v>
      </c>
      <c r="W3573" s="39" t="n">
        <f aca="false">IF(I3573="Male",0,1)</f>
        <v>1</v>
      </c>
      <c r="X3573" s="39" t="n">
        <f aca="false">IF(OR(I3573="DNB",I3573="Dry DNB"),1,0)</f>
        <v>0</v>
      </c>
      <c r="Y3573" s="39" t="n">
        <f aca="false">MATCH(A3573,DATAS,0)</f>
        <v>1</v>
      </c>
      <c r="Z3573" s="39" t="n">
        <f aca="false">IF(AND(E3573&gt;0,OR(AND(B3573&gt;=1,B3573&lt;=6),B3573=10)),1,0)</f>
        <v>0</v>
      </c>
      <c r="AA3573" s="39" t="n">
        <f aca="false">IF(AND(E3573&gt;0,B3573=10),1,0)</f>
        <v>0</v>
      </c>
      <c r="AB3573" s="0" t="str">
        <f aca="false">IF(AND(C3572=C3573,Y3572=Y3573-1),Z3572,"")</f>
        <v/>
      </c>
      <c r="AC3573" s="0" t="str">
        <f aca="false">IF(AND(C3572=C3573,Y3572=Y3573-1),AA3572,"")</f>
        <v/>
      </c>
      <c r="AD3573" s="0" t="str">
        <f aca="false">IF(Y3573=1,"",IF(AND(Z3573=1,AB3573&lt;&gt;1),1,0))</f>
        <v/>
      </c>
      <c r="AE3573" s="0" t="str">
        <f aca="false">IF(Y3573=1,"",IF(AND(AA3573=1,AC3573&lt;&gt;1),1,0))</f>
        <v/>
      </c>
      <c r="AF3573" s="45" t="str">
        <f aca="false">IF(AND(E3573&gt;0,Y3573&lt;1,NOT(AND(C3574=C3573,Y3574=Y3573+1))),INDEX(DATAS,Y3573+1),"")</f>
        <v/>
      </c>
      <c r="AG3573" s="45" t="str">
        <f aca="false">IF(AND(AA3573=1,Y3573&lt;1),IF(AND(C3574=C3573,Y3574=Y3573+1),IF(AA3574=1,"",INDEX(DATAS,Y3573+1)),INDEX(DATAS,Y3573+1)),"")</f>
        <v/>
      </c>
    </row>
    <row r="3574" customFormat="false" ht="15" hidden="false" customHeight="false" outlineLevel="0" collapsed="false">
      <c r="A3574" s="45" t="n">
        <v>46309</v>
      </c>
      <c r="B3574" s="0" t="n">
        <v>16</v>
      </c>
      <c r="C3574" s="0" t="n">
        <v>8031</v>
      </c>
      <c r="E3574" s="0" t="n">
        <v>0</v>
      </c>
      <c r="F3574" s="39" t="s">
        <v>1596</v>
      </c>
      <c r="I3574" s="39" t="s">
        <v>136</v>
      </c>
      <c r="U3574" s="0" t="n">
        <v>62</v>
      </c>
      <c r="V3574" s="0" t="n">
        <v>0</v>
      </c>
      <c r="W3574" s="39" t="n">
        <f aca="false">IF(I3574="Male",0,1)</f>
        <v>1</v>
      </c>
      <c r="X3574" s="39" t="n">
        <f aca="false">IF(OR(I3574="DNB",I3574="Dry DNB"),1,0)</f>
        <v>0</v>
      </c>
      <c r="Y3574" s="39" t="n">
        <f aca="false">MATCH(A3574,DATAS,0)</f>
        <v>1</v>
      </c>
      <c r="Z3574" s="39" t="n">
        <f aca="false">IF(AND(E3574&gt;0,OR(AND(B3574&gt;=1,B3574&lt;=6),B3574=10)),1,0)</f>
        <v>0</v>
      </c>
      <c r="AA3574" s="39" t="n">
        <f aca="false">IF(AND(E3574&gt;0,B3574=10),1,0)</f>
        <v>0</v>
      </c>
      <c r="AB3574" s="0" t="str">
        <f aca="false">IF(AND(C3573=C3574,Y3573=Y3574-1),Z3573,"")</f>
        <v/>
      </c>
      <c r="AC3574" s="0" t="str">
        <f aca="false">IF(AND(C3573=C3574,Y3573=Y3574-1),AA3573,"")</f>
        <v/>
      </c>
      <c r="AD3574" s="0" t="str">
        <f aca="false">IF(Y3574=1,"",IF(AND(Z3574=1,AB3574&lt;&gt;1),1,0))</f>
        <v/>
      </c>
      <c r="AE3574" s="0" t="str">
        <f aca="false">IF(Y3574=1,"",IF(AND(AA3574=1,AC3574&lt;&gt;1),1,0))</f>
        <v/>
      </c>
      <c r="AF3574" s="45" t="str">
        <f aca="false">IF(AND(E3574&gt;0,Y3574&lt;1,NOT(AND(C3575=C3574,Y3575=Y3574+1))),INDEX(DATAS,Y3574+1),"")</f>
        <v/>
      </c>
      <c r="AG3574" s="45" t="str">
        <f aca="false">IF(AND(AA3574=1,Y3574&lt;1),IF(AND(C3575=C3574,Y3575=Y3574+1),IF(AA3575=1,"",INDEX(DATAS,Y3574+1)),INDEX(DATAS,Y3574+1)),"")</f>
        <v/>
      </c>
    </row>
    <row r="3575" customFormat="false" ht="15" hidden="false" customHeight="false" outlineLevel="0" collapsed="false">
      <c r="A3575" s="45" t="n">
        <v>46309</v>
      </c>
      <c r="B3575" s="0" t="n">
        <v>16</v>
      </c>
      <c r="C3575" s="0" t="n">
        <v>8032</v>
      </c>
      <c r="E3575" s="0" t="n">
        <v>0</v>
      </c>
      <c r="F3575" s="39" t="s">
        <v>1596</v>
      </c>
      <c r="I3575" s="39" t="s">
        <v>136</v>
      </c>
      <c r="U3575" s="0" t="n">
        <v>62</v>
      </c>
      <c r="V3575" s="0" t="n">
        <v>0</v>
      </c>
      <c r="W3575" s="39" t="n">
        <f aca="false">IF(I3575="Male",0,1)</f>
        <v>1</v>
      </c>
      <c r="X3575" s="39" t="n">
        <f aca="false">IF(OR(I3575="DNB",I3575="Dry DNB"),1,0)</f>
        <v>0</v>
      </c>
      <c r="Y3575" s="39" t="n">
        <f aca="false">MATCH(A3575,DATAS,0)</f>
        <v>1</v>
      </c>
      <c r="Z3575" s="39" t="n">
        <f aca="false">IF(AND(E3575&gt;0,OR(AND(B3575&gt;=1,B3575&lt;=6),B3575=10)),1,0)</f>
        <v>0</v>
      </c>
      <c r="AA3575" s="39" t="n">
        <f aca="false">IF(AND(E3575&gt;0,B3575=10),1,0)</f>
        <v>0</v>
      </c>
      <c r="AB3575" s="0" t="str">
        <f aca="false">IF(AND(C3574=C3575,Y3574=Y3575-1),Z3574,"")</f>
        <v/>
      </c>
      <c r="AC3575" s="0" t="str">
        <f aca="false">IF(AND(C3574=C3575,Y3574=Y3575-1),AA3574,"")</f>
        <v/>
      </c>
      <c r="AD3575" s="0" t="str">
        <f aca="false">IF(Y3575=1,"",IF(AND(Z3575=1,AB3575&lt;&gt;1),1,0))</f>
        <v/>
      </c>
      <c r="AE3575" s="0" t="str">
        <f aca="false">IF(Y3575=1,"",IF(AND(AA3575=1,AC3575&lt;&gt;1),1,0))</f>
        <v/>
      </c>
      <c r="AF3575" s="45" t="str">
        <f aca="false">IF(AND(E3575&gt;0,Y3575&lt;1,NOT(AND(C3576=C3575,Y3576=Y3575+1))),INDEX(DATAS,Y3575+1),"")</f>
        <v/>
      </c>
      <c r="AG3575" s="45" t="str">
        <f aca="false">IF(AND(AA3575=1,Y3575&lt;1),IF(AND(C3576=C3575,Y3576=Y3575+1),IF(AA3576=1,"",INDEX(DATAS,Y3575+1)),INDEX(DATAS,Y3575+1)),"")</f>
        <v/>
      </c>
    </row>
    <row r="3576" customFormat="false" ht="15" hidden="false" customHeight="false" outlineLevel="0" collapsed="false">
      <c r="A3576" s="45" t="n">
        <v>46309</v>
      </c>
      <c r="B3576" s="0" t="n">
        <v>16</v>
      </c>
      <c r="C3576" s="0" t="n">
        <v>8034</v>
      </c>
      <c r="E3576" s="0" t="n">
        <v>0</v>
      </c>
      <c r="F3576" s="39" t="s">
        <v>1597</v>
      </c>
      <c r="I3576" s="39" t="s">
        <v>136</v>
      </c>
      <c r="U3576" s="0" t="n">
        <v>61</v>
      </c>
      <c r="V3576" s="0" t="n">
        <v>0</v>
      </c>
      <c r="W3576" s="39" t="n">
        <f aca="false">IF(I3576="Male",0,1)</f>
        <v>1</v>
      </c>
      <c r="X3576" s="39" t="n">
        <f aca="false">IF(OR(I3576="DNB",I3576="Dry DNB"),1,0)</f>
        <v>0</v>
      </c>
      <c r="Y3576" s="39" t="n">
        <f aca="false">MATCH(A3576,DATAS,0)</f>
        <v>1</v>
      </c>
      <c r="Z3576" s="39" t="n">
        <f aca="false">IF(AND(E3576&gt;0,OR(AND(B3576&gt;=1,B3576&lt;=6),B3576=10)),1,0)</f>
        <v>0</v>
      </c>
      <c r="AA3576" s="39" t="n">
        <f aca="false">IF(AND(E3576&gt;0,B3576=10),1,0)</f>
        <v>0</v>
      </c>
      <c r="AB3576" s="0" t="str">
        <f aca="false">IF(AND(C3575=C3576,Y3575=Y3576-1),Z3575,"")</f>
        <v/>
      </c>
      <c r="AC3576" s="0" t="str">
        <f aca="false">IF(AND(C3575=C3576,Y3575=Y3576-1),AA3575,"")</f>
        <v/>
      </c>
      <c r="AD3576" s="0" t="str">
        <f aca="false">IF(Y3576=1,"",IF(AND(Z3576=1,AB3576&lt;&gt;1),1,0))</f>
        <v/>
      </c>
      <c r="AE3576" s="0" t="str">
        <f aca="false">IF(Y3576=1,"",IF(AND(AA3576=1,AC3576&lt;&gt;1),1,0))</f>
        <v/>
      </c>
      <c r="AF3576" s="45" t="str">
        <f aca="false">IF(AND(E3576&gt;0,Y3576&lt;1,NOT(AND(C3577=C3576,Y3577=Y3576+1))),INDEX(DATAS,Y3576+1),"")</f>
        <v/>
      </c>
      <c r="AG3576" s="45" t="str">
        <f aca="false">IF(AND(AA3576=1,Y3576&lt;1),IF(AND(C3577=C3576,Y3577=Y3576+1),IF(AA3577=1,"",INDEX(DATAS,Y3576+1)),INDEX(DATAS,Y3576+1)),"")</f>
        <v/>
      </c>
    </row>
    <row r="3577" customFormat="false" ht="15" hidden="false" customHeight="false" outlineLevel="0" collapsed="false">
      <c r="A3577" s="45" t="n">
        <v>46309</v>
      </c>
      <c r="B3577" s="0" t="n">
        <v>16</v>
      </c>
      <c r="C3577" s="0" t="n">
        <v>8035</v>
      </c>
      <c r="E3577" s="0" t="n">
        <v>0</v>
      </c>
      <c r="F3577" s="39" t="s">
        <v>1598</v>
      </c>
      <c r="I3577" s="39" t="s">
        <v>136</v>
      </c>
      <c r="U3577" s="0" t="n">
        <v>60</v>
      </c>
      <c r="V3577" s="0" t="n">
        <v>0</v>
      </c>
      <c r="W3577" s="39" t="n">
        <f aca="false">IF(I3577="Male",0,1)</f>
        <v>1</v>
      </c>
      <c r="X3577" s="39" t="n">
        <f aca="false">IF(OR(I3577="DNB",I3577="Dry DNB"),1,0)</f>
        <v>0</v>
      </c>
      <c r="Y3577" s="39" t="n">
        <f aca="false">MATCH(A3577,DATAS,0)</f>
        <v>1</v>
      </c>
      <c r="Z3577" s="39" t="n">
        <f aca="false">IF(AND(E3577&gt;0,OR(AND(B3577&gt;=1,B3577&lt;=6),B3577=10)),1,0)</f>
        <v>0</v>
      </c>
      <c r="AA3577" s="39" t="n">
        <f aca="false">IF(AND(E3577&gt;0,B3577=10),1,0)</f>
        <v>0</v>
      </c>
      <c r="AB3577" s="0" t="str">
        <f aca="false">IF(AND(C3576=C3577,Y3576=Y3577-1),Z3576,"")</f>
        <v/>
      </c>
      <c r="AC3577" s="0" t="str">
        <f aca="false">IF(AND(C3576=C3577,Y3576=Y3577-1),AA3576,"")</f>
        <v/>
      </c>
      <c r="AD3577" s="0" t="str">
        <f aca="false">IF(Y3577=1,"",IF(AND(Z3577=1,AB3577&lt;&gt;1),1,0))</f>
        <v/>
      </c>
      <c r="AE3577" s="0" t="str">
        <f aca="false">IF(Y3577=1,"",IF(AND(AA3577=1,AC3577&lt;&gt;1),1,0))</f>
        <v/>
      </c>
      <c r="AF3577" s="45" t="str">
        <f aca="false">IF(AND(E3577&gt;0,Y3577&lt;1,NOT(AND(C3578=C3577,Y3578=Y3577+1))),INDEX(DATAS,Y3577+1),"")</f>
        <v/>
      </c>
      <c r="AG3577" s="45" t="str">
        <f aca="false">IF(AND(AA3577=1,Y3577&lt;1),IF(AND(C3578=C3577,Y3578=Y3577+1),IF(AA3578=1,"",INDEX(DATAS,Y3577+1)),INDEX(DATAS,Y3577+1)),"")</f>
        <v/>
      </c>
    </row>
    <row r="3578" customFormat="false" ht="15" hidden="false" customHeight="false" outlineLevel="0" collapsed="false">
      <c r="A3578" s="45" t="n">
        <v>46309</v>
      </c>
      <c r="B3578" s="0" t="n">
        <v>16</v>
      </c>
      <c r="C3578" s="0" t="n">
        <v>8036</v>
      </c>
      <c r="E3578" s="0" t="n">
        <v>0</v>
      </c>
      <c r="F3578" s="39" t="s">
        <v>1598</v>
      </c>
      <c r="I3578" s="39" t="s">
        <v>136</v>
      </c>
      <c r="U3578" s="0" t="n">
        <v>60</v>
      </c>
      <c r="V3578" s="0" t="n">
        <v>0</v>
      </c>
      <c r="W3578" s="39" t="n">
        <f aca="false">IF(I3578="Male",0,1)</f>
        <v>1</v>
      </c>
      <c r="X3578" s="39" t="n">
        <f aca="false">IF(OR(I3578="DNB",I3578="Dry DNB"),1,0)</f>
        <v>0</v>
      </c>
      <c r="Y3578" s="39" t="n">
        <f aca="false">MATCH(A3578,DATAS,0)</f>
        <v>1</v>
      </c>
      <c r="Z3578" s="39" t="n">
        <f aca="false">IF(AND(E3578&gt;0,OR(AND(B3578&gt;=1,B3578&lt;=6),B3578=10)),1,0)</f>
        <v>0</v>
      </c>
      <c r="AA3578" s="39" t="n">
        <f aca="false">IF(AND(E3578&gt;0,B3578=10),1,0)</f>
        <v>0</v>
      </c>
      <c r="AB3578" s="0" t="str">
        <f aca="false">IF(AND(C3577=C3578,Y3577=Y3578-1),Z3577,"")</f>
        <v/>
      </c>
      <c r="AC3578" s="0" t="str">
        <f aca="false">IF(AND(C3577=C3578,Y3577=Y3578-1),AA3577,"")</f>
        <v/>
      </c>
      <c r="AD3578" s="0" t="str">
        <f aca="false">IF(Y3578=1,"",IF(AND(Z3578=1,AB3578&lt;&gt;1),1,0))</f>
        <v/>
      </c>
      <c r="AE3578" s="0" t="str">
        <f aca="false">IF(Y3578=1,"",IF(AND(AA3578=1,AC3578&lt;&gt;1),1,0))</f>
        <v/>
      </c>
      <c r="AF3578" s="45" t="str">
        <f aca="false">IF(AND(E3578&gt;0,Y3578&lt;1,NOT(AND(C3579=C3578,Y3579=Y3578+1))),INDEX(DATAS,Y3578+1),"")</f>
        <v/>
      </c>
      <c r="AG3578" s="45" t="str">
        <f aca="false">IF(AND(AA3578=1,Y3578&lt;1),IF(AND(C3579=C3578,Y3579=Y3578+1),IF(AA3579=1,"",INDEX(DATAS,Y3578+1)),INDEX(DATAS,Y3578+1)),"")</f>
        <v/>
      </c>
    </row>
    <row r="3579" customFormat="false" ht="15" hidden="false" customHeight="false" outlineLevel="0" collapsed="false">
      <c r="A3579" s="45" t="n">
        <v>46309</v>
      </c>
      <c r="B3579" s="0" t="n">
        <v>16</v>
      </c>
      <c r="C3579" s="0" t="n">
        <v>8037</v>
      </c>
      <c r="E3579" s="0" t="n">
        <v>0</v>
      </c>
      <c r="F3579" s="39" t="s">
        <v>1598</v>
      </c>
      <c r="I3579" s="39" t="s">
        <v>136</v>
      </c>
      <c r="U3579" s="0" t="n">
        <v>60</v>
      </c>
      <c r="V3579" s="0" t="n">
        <v>0</v>
      </c>
      <c r="W3579" s="39" t="n">
        <f aca="false">IF(I3579="Male",0,1)</f>
        <v>1</v>
      </c>
      <c r="X3579" s="39" t="n">
        <f aca="false">IF(OR(I3579="DNB",I3579="Dry DNB"),1,0)</f>
        <v>0</v>
      </c>
      <c r="Y3579" s="39" t="n">
        <f aca="false">MATCH(A3579,DATAS,0)</f>
        <v>1</v>
      </c>
      <c r="Z3579" s="39" t="n">
        <f aca="false">IF(AND(E3579&gt;0,OR(AND(B3579&gt;=1,B3579&lt;=6),B3579=10)),1,0)</f>
        <v>0</v>
      </c>
      <c r="AA3579" s="39" t="n">
        <f aca="false">IF(AND(E3579&gt;0,B3579=10),1,0)</f>
        <v>0</v>
      </c>
      <c r="AB3579" s="0" t="str">
        <f aca="false">IF(AND(C3578=C3579,Y3578=Y3579-1),Z3578,"")</f>
        <v/>
      </c>
      <c r="AC3579" s="0" t="str">
        <f aca="false">IF(AND(C3578=C3579,Y3578=Y3579-1),AA3578,"")</f>
        <v/>
      </c>
      <c r="AD3579" s="0" t="str">
        <f aca="false">IF(Y3579=1,"",IF(AND(Z3579=1,AB3579&lt;&gt;1),1,0))</f>
        <v/>
      </c>
      <c r="AE3579" s="0" t="str">
        <f aca="false">IF(Y3579=1,"",IF(AND(AA3579=1,AC3579&lt;&gt;1),1,0))</f>
        <v/>
      </c>
      <c r="AF3579" s="45" t="str">
        <f aca="false">IF(AND(E3579&gt;0,Y3579&lt;1,NOT(AND(C3580=C3579,Y3580=Y3579+1))),INDEX(DATAS,Y3579+1),"")</f>
        <v/>
      </c>
      <c r="AG3579" s="45" t="str">
        <f aca="false">IF(AND(AA3579=1,Y3579&lt;1),IF(AND(C3580=C3579,Y3580=Y3579+1),IF(AA3580=1,"",INDEX(DATAS,Y3579+1)),INDEX(DATAS,Y3579+1)),"")</f>
        <v/>
      </c>
    </row>
    <row r="3580" customFormat="false" ht="15" hidden="false" customHeight="false" outlineLevel="0" collapsed="false">
      <c r="A3580" s="45" t="n">
        <v>46309</v>
      </c>
      <c r="B3580" s="0" t="n">
        <v>16</v>
      </c>
      <c r="C3580" s="0" t="n">
        <v>8038</v>
      </c>
      <c r="E3580" s="0" t="n">
        <v>0</v>
      </c>
      <c r="F3580" s="39" t="s">
        <v>1598</v>
      </c>
      <c r="I3580" s="39" t="s">
        <v>136</v>
      </c>
      <c r="U3580" s="0" t="n">
        <v>60</v>
      </c>
      <c r="V3580" s="0" t="n">
        <v>0</v>
      </c>
      <c r="W3580" s="39" t="n">
        <f aca="false">IF(I3580="Male",0,1)</f>
        <v>1</v>
      </c>
      <c r="X3580" s="39" t="n">
        <f aca="false">IF(OR(I3580="DNB",I3580="Dry DNB"),1,0)</f>
        <v>0</v>
      </c>
      <c r="Y3580" s="39" t="n">
        <f aca="false">MATCH(A3580,DATAS,0)</f>
        <v>1</v>
      </c>
      <c r="Z3580" s="39" t="n">
        <f aca="false">IF(AND(E3580&gt;0,OR(AND(B3580&gt;=1,B3580&lt;=6),B3580=10)),1,0)</f>
        <v>0</v>
      </c>
      <c r="AA3580" s="39" t="n">
        <f aca="false">IF(AND(E3580&gt;0,B3580=10),1,0)</f>
        <v>0</v>
      </c>
      <c r="AB3580" s="0" t="str">
        <f aca="false">IF(AND(C3579=C3580,Y3579=Y3580-1),Z3579,"")</f>
        <v/>
      </c>
      <c r="AC3580" s="0" t="str">
        <f aca="false">IF(AND(C3579=C3580,Y3579=Y3580-1),AA3579,"")</f>
        <v/>
      </c>
      <c r="AD3580" s="0" t="str">
        <f aca="false">IF(Y3580=1,"",IF(AND(Z3580=1,AB3580&lt;&gt;1),1,0))</f>
        <v/>
      </c>
      <c r="AE3580" s="0" t="str">
        <f aca="false">IF(Y3580=1,"",IF(AND(AA3580=1,AC3580&lt;&gt;1),1,0))</f>
        <v/>
      </c>
      <c r="AF3580" s="45" t="str">
        <f aca="false">IF(AND(E3580&gt;0,Y3580&lt;1,NOT(AND(C3581=C3580,Y3581=Y3580+1))),INDEX(DATAS,Y3580+1),"")</f>
        <v/>
      </c>
      <c r="AG3580" s="45" t="str">
        <f aca="false">IF(AND(AA3580=1,Y3580&lt;1),IF(AND(C3581=C3580,Y3581=Y3580+1),IF(AA3581=1,"",INDEX(DATAS,Y3580+1)),INDEX(DATAS,Y3580+1)),"")</f>
        <v/>
      </c>
    </row>
    <row r="3581" customFormat="false" ht="15" hidden="false" customHeight="false" outlineLevel="0" collapsed="false">
      <c r="A3581" s="45" t="n">
        <v>46309</v>
      </c>
      <c r="B3581" s="0" t="n">
        <v>16</v>
      </c>
      <c r="C3581" s="0" t="n">
        <v>8039</v>
      </c>
      <c r="E3581" s="0" t="n">
        <v>0</v>
      </c>
      <c r="F3581" s="39" t="s">
        <v>1599</v>
      </c>
      <c r="I3581" s="39" t="s">
        <v>136</v>
      </c>
      <c r="U3581" s="0" t="n">
        <v>59</v>
      </c>
      <c r="V3581" s="0" t="n">
        <v>0</v>
      </c>
      <c r="W3581" s="39" t="n">
        <f aca="false">IF(I3581="Male",0,1)</f>
        <v>1</v>
      </c>
      <c r="X3581" s="39" t="n">
        <f aca="false">IF(OR(I3581="DNB",I3581="Dry DNB"),1,0)</f>
        <v>0</v>
      </c>
      <c r="Y3581" s="39" t="n">
        <f aca="false">MATCH(A3581,DATAS,0)</f>
        <v>1</v>
      </c>
      <c r="Z3581" s="39" t="n">
        <f aca="false">IF(AND(E3581&gt;0,OR(AND(B3581&gt;=1,B3581&lt;=6),B3581=10)),1,0)</f>
        <v>0</v>
      </c>
      <c r="AA3581" s="39" t="n">
        <f aca="false">IF(AND(E3581&gt;0,B3581=10),1,0)</f>
        <v>0</v>
      </c>
      <c r="AB3581" s="0" t="str">
        <f aca="false">IF(AND(C3580=C3581,Y3580=Y3581-1),Z3580,"")</f>
        <v/>
      </c>
      <c r="AC3581" s="0" t="str">
        <f aca="false">IF(AND(C3580=C3581,Y3580=Y3581-1),AA3580,"")</f>
        <v/>
      </c>
      <c r="AD3581" s="0" t="str">
        <f aca="false">IF(Y3581=1,"",IF(AND(Z3581=1,AB3581&lt;&gt;1),1,0))</f>
        <v/>
      </c>
      <c r="AE3581" s="0" t="str">
        <f aca="false">IF(Y3581=1,"",IF(AND(AA3581=1,AC3581&lt;&gt;1),1,0))</f>
        <v/>
      </c>
      <c r="AF3581" s="45" t="str">
        <f aca="false">IF(AND(E3581&gt;0,Y3581&lt;1,NOT(AND(C3582=C3581,Y3582=Y3581+1))),INDEX(DATAS,Y3581+1),"")</f>
        <v/>
      </c>
      <c r="AG3581" s="45" t="str">
        <f aca="false">IF(AND(AA3581=1,Y3581&lt;1),IF(AND(C3582=C3581,Y3582=Y3581+1),IF(AA3582=1,"",INDEX(DATAS,Y3581+1)),INDEX(DATAS,Y3581+1)),"")</f>
        <v/>
      </c>
    </row>
    <row r="3582" customFormat="false" ht="15" hidden="false" customHeight="false" outlineLevel="0" collapsed="false">
      <c r="A3582" s="45" t="n">
        <v>46309</v>
      </c>
      <c r="B3582" s="0" t="n">
        <v>16</v>
      </c>
      <c r="C3582" s="0" t="n">
        <v>8040</v>
      </c>
      <c r="E3582" s="0" t="n">
        <v>0</v>
      </c>
      <c r="F3582" s="39" t="s">
        <v>1599</v>
      </c>
      <c r="I3582" s="39" t="s">
        <v>136</v>
      </c>
      <c r="U3582" s="0" t="n">
        <v>59</v>
      </c>
      <c r="V3582" s="0" t="n">
        <v>0</v>
      </c>
      <c r="W3582" s="39" t="n">
        <f aca="false">IF(I3582="Male",0,1)</f>
        <v>1</v>
      </c>
      <c r="X3582" s="39" t="n">
        <f aca="false">IF(OR(I3582="DNB",I3582="Dry DNB"),1,0)</f>
        <v>0</v>
      </c>
      <c r="Y3582" s="39" t="n">
        <f aca="false">MATCH(A3582,DATAS,0)</f>
        <v>1</v>
      </c>
      <c r="Z3582" s="39" t="n">
        <f aca="false">IF(AND(E3582&gt;0,OR(AND(B3582&gt;=1,B3582&lt;=6),B3582=10)),1,0)</f>
        <v>0</v>
      </c>
      <c r="AA3582" s="39" t="n">
        <f aca="false">IF(AND(E3582&gt;0,B3582=10),1,0)</f>
        <v>0</v>
      </c>
      <c r="AB3582" s="0" t="str">
        <f aca="false">IF(AND(C3581=C3582,Y3581=Y3582-1),Z3581,"")</f>
        <v/>
      </c>
      <c r="AC3582" s="0" t="str">
        <f aca="false">IF(AND(C3581=C3582,Y3581=Y3582-1),AA3581,"")</f>
        <v/>
      </c>
      <c r="AD3582" s="0" t="str">
        <f aca="false">IF(Y3582=1,"",IF(AND(Z3582=1,AB3582&lt;&gt;1),1,0))</f>
        <v/>
      </c>
      <c r="AE3582" s="0" t="str">
        <f aca="false">IF(Y3582=1,"",IF(AND(AA3582=1,AC3582&lt;&gt;1),1,0))</f>
        <v/>
      </c>
      <c r="AF3582" s="45" t="str">
        <f aca="false">IF(AND(E3582&gt;0,Y3582&lt;1,NOT(AND(C3583=C3582,Y3583=Y3582+1))),INDEX(DATAS,Y3582+1),"")</f>
        <v/>
      </c>
      <c r="AG3582" s="45" t="str">
        <f aca="false">IF(AND(AA3582=1,Y3582&lt;1),IF(AND(C3583=C3582,Y3583=Y3582+1),IF(AA3583=1,"",INDEX(DATAS,Y3582+1)),INDEX(DATAS,Y3582+1)),"")</f>
        <v/>
      </c>
    </row>
    <row r="3583" customFormat="false" ht="15" hidden="false" customHeight="false" outlineLevel="0" collapsed="false">
      <c r="A3583" s="45" t="n">
        <v>46309</v>
      </c>
      <c r="B3583" s="0" t="n">
        <v>16</v>
      </c>
      <c r="C3583" s="0" t="n">
        <v>8041</v>
      </c>
      <c r="E3583" s="0" t="n">
        <v>0</v>
      </c>
      <c r="F3583" s="39" t="s">
        <v>1599</v>
      </c>
      <c r="I3583" s="39" t="s">
        <v>136</v>
      </c>
      <c r="U3583" s="0" t="n">
        <v>59</v>
      </c>
      <c r="V3583" s="0" t="n">
        <v>0</v>
      </c>
      <c r="W3583" s="39" t="n">
        <f aca="false">IF(I3583="Male",0,1)</f>
        <v>1</v>
      </c>
      <c r="X3583" s="39" t="n">
        <f aca="false">IF(OR(I3583="DNB",I3583="Dry DNB"),1,0)</f>
        <v>0</v>
      </c>
      <c r="Y3583" s="39" t="n">
        <f aca="false">MATCH(A3583,DATAS,0)</f>
        <v>1</v>
      </c>
      <c r="Z3583" s="39" t="n">
        <f aca="false">IF(AND(E3583&gt;0,OR(AND(B3583&gt;=1,B3583&lt;=6),B3583=10)),1,0)</f>
        <v>0</v>
      </c>
      <c r="AA3583" s="39" t="n">
        <f aca="false">IF(AND(E3583&gt;0,B3583=10),1,0)</f>
        <v>0</v>
      </c>
      <c r="AB3583" s="0" t="str">
        <f aca="false">IF(AND(C3582=C3583,Y3582=Y3583-1),Z3582,"")</f>
        <v/>
      </c>
      <c r="AC3583" s="0" t="str">
        <f aca="false">IF(AND(C3582=C3583,Y3582=Y3583-1),AA3582,"")</f>
        <v/>
      </c>
      <c r="AD3583" s="0" t="str">
        <f aca="false">IF(Y3583=1,"",IF(AND(Z3583=1,AB3583&lt;&gt;1),1,0))</f>
        <v/>
      </c>
      <c r="AE3583" s="0" t="str">
        <f aca="false">IF(Y3583=1,"",IF(AND(AA3583=1,AC3583&lt;&gt;1),1,0))</f>
        <v/>
      </c>
      <c r="AF3583" s="45" t="str">
        <f aca="false">IF(AND(E3583&gt;0,Y3583&lt;1,NOT(AND(C3584=C3583,Y3584=Y3583+1))),INDEX(DATAS,Y3583+1),"")</f>
        <v/>
      </c>
      <c r="AG3583" s="45" t="str">
        <f aca="false">IF(AND(AA3583=1,Y3583&lt;1),IF(AND(C3584=C3583,Y3584=Y3583+1),IF(AA3584=1,"",INDEX(DATAS,Y3583+1)),INDEX(DATAS,Y3583+1)),"")</f>
        <v/>
      </c>
    </row>
    <row r="3584" customFormat="false" ht="15" hidden="false" customHeight="false" outlineLevel="0" collapsed="false">
      <c r="A3584" s="45" t="n">
        <v>46309</v>
      </c>
      <c r="B3584" s="0" t="n">
        <v>16</v>
      </c>
      <c r="C3584" s="0" t="n">
        <v>8042</v>
      </c>
      <c r="E3584" s="0" t="n">
        <v>0</v>
      </c>
      <c r="F3584" s="39" t="s">
        <v>1599</v>
      </c>
      <c r="I3584" s="39" t="s">
        <v>136</v>
      </c>
      <c r="U3584" s="0" t="n">
        <v>59</v>
      </c>
      <c r="V3584" s="0" t="n">
        <v>0</v>
      </c>
      <c r="W3584" s="39" t="n">
        <f aca="false">IF(I3584="Male",0,1)</f>
        <v>1</v>
      </c>
      <c r="X3584" s="39" t="n">
        <f aca="false">IF(OR(I3584="DNB",I3584="Dry DNB"),1,0)</f>
        <v>0</v>
      </c>
      <c r="Y3584" s="39" t="n">
        <f aca="false">MATCH(A3584,DATAS,0)</f>
        <v>1</v>
      </c>
      <c r="Z3584" s="39" t="n">
        <f aca="false">IF(AND(E3584&gt;0,OR(AND(B3584&gt;=1,B3584&lt;=6),B3584=10)),1,0)</f>
        <v>0</v>
      </c>
      <c r="AA3584" s="39" t="n">
        <f aca="false">IF(AND(E3584&gt;0,B3584=10),1,0)</f>
        <v>0</v>
      </c>
      <c r="AB3584" s="0" t="str">
        <f aca="false">IF(AND(C3583=C3584,Y3583=Y3584-1),Z3583,"")</f>
        <v/>
      </c>
      <c r="AC3584" s="0" t="str">
        <f aca="false">IF(AND(C3583=C3584,Y3583=Y3584-1),AA3583,"")</f>
        <v/>
      </c>
      <c r="AD3584" s="0" t="str">
        <f aca="false">IF(Y3584=1,"",IF(AND(Z3584=1,AB3584&lt;&gt;1),1,0))</f>
        <v/>
      </c>
      <c r="AE3584" s="0" t="str">
        <f aca="false">IF(Y3584=1,"",IF(AND(AA3584=1,AC3584&lt;&gt;1),1,0))</f>
        <v/>
      </c>
      <c r="AF3584" s="45" t="str">
        <f aca="false">IF(AND(E3584&gt;0,Y3584&lt;1,NOT(AND(C3585=C3584,Y3585=Y3584+1))),INDEX(DATAS,Y3584+1),"")</f>
        <v/>
      </c>
      <c r="AG3584" s="45" t="str">
        <f aca="false">IF(AND(AA3584=1,Y3584&lt;1),IF(AND(C3585=C3584,Y3585=Y3584+1),IF(AA3585=1,"",INDEX(DATAS,Y3584+1)),INDEX(DATAS,Y3584+1)),"")</f>
        <v/>
      </c>
    </row>
    <row r="3585" customFormat="false" ht="15" hidden="false" customHeight="false" outlineLevel="0" collapsed="false">
      <c r="A3585" s="45" t="n">
        <v>46309</v>
      </c>
      <c r="B3585" s="0" t="n">
        <v>16</v>
      </c>
      <c r="C3585" s="0" t="n">
        <v>8043</v>
      </c>
      <c r="E3585" s="0" t="n">
        <v>0</v>
      </c>
      <c r="F3585" s="39" t="s">
        <v>1599</v>
      </c>
      <c r="I3585" s="39" t="s">
        <v>136</v>
      </c>
      <c r="U3585" s="0" t="n">
        <v>59</v>
      </c>
      <c r="V3585" s="0" t="n">
        <v>0</v>
      </c>
      <c r="W3585" s="39" t="n">
        <f aca="false">IF(I3585="Male",0,1)</f>
        <v>1</v>
      </c>
      <c r="X3585" s="39" t="n">
        <f aca="false">IF(OR(I3585="DNB",I3585="Dry DNB"),1,0)</f>
        <v>0</v>
      </c>
      <c r="Y3585" s="39" t="n">
        <f aca="false">MATCH(A3585,DATAS,0)</f>
        <v>1</v>
      </c>
      <c r="Z3585" s="39" t="n">
        <f aca="false">IF(AND(E3585&gt;0,OR(AND(B3585&gt;=1,B3585&lt;=6),B3585=10)),1,0)</f>
        <v>0</v>
      </c>
      <c r="AA3585" s="39" t="n">
        <f aca="false">IF(AND(E3585&gt;0,B3585=10),1,0)</f>
        <v>0</v>
      </c>
      <c r="AB3585" s="0" t="str">
        <f aca="false">IF(AND(C3584=C3585,Y3584=Y3585-1),Z3584,"")</f>
        <v/>
      </c>
      <c r="AC3585" s="0" t="str">
        <f aca="false">IF(AND(C3584=C3585,Y3584=Y3585-1),AA3584,"")</f>
        <v/>
      </c>
      <c r="AD3585" s="0" t="str">
        <f aca="false">IF(Y3585=1,"",IF(AND(Z3585=1,AB3585&lt;&gt;1),1,0))</f>
        <v/>
      </c>
      <c r="AE3585" s="0" t="str">
        <f aca="false">IF(Y3585=1,"",IF(AND(AA3585=1,AC3585&lt;&gt;1),1,0))</f>
        <v/>
      </c>
      <c r="AF3585" s="45" t="str">
        <f aca="false">IF(AND(E3585&gt;0,Y3585&lt;1,NOT(AND(C3586=C3585,Y3586=Y3585+1))),INDEX(DATAS,Y3585+1),"")</f>
        <v/>
      </c>
      <c r="AG3585" s="45" t="str">
        <f aca="false">IF(AND(AA3585=1,Y3585&lt;1),IF(AND(C3586=C3585,Y3586=Y3585+1),IF(AA3586=1,"",INDEX(DATAS,Y3585+1)),INDEX(DATAS,Y3585+1)),"")</f>
        <v/>
      </c>
    </row>
    <row r="3586" customFormat="false" ht="15" hidden="false" customHeight="false" outlineLevel="0" collapsed="false">
      <c r="A3586" s="45" t="n">
        <v>46309</v>
      </c>
      <c r="B3586" s="0" t="n">
        <v>16</v>
      </c>
      <c r="C3586" s="0" t="n">
        <v>8045</v>
      </c>
      <c r="E3586" s="0" t="n">
        <v>0</v>
      </c>
      <c r="F3586" s="39" t="s">
        <v>1600</v>
      </c>
      <c r="I3586" s="39" t="s">
        <v>136</v>
      </c>
      <c r="U3586" s="0" t="n">
        <v>58</v>
      </c>
      <c r="V3586" s="0" t="n">
        <v>0</v>
      </c>
      <c r="W3586" s="39" t="n">
        <f aca="false">IF(I3586="Male",0,1)</f>
        <v>1</v>
      </c>
      <c r="X3586" s="39" t="n">
        <f aca="false">IF(OR(I3586="DNB",I3586="Dry DNB"),1,0)</f>
        <v>0</v>
      </c>
      <c r="Y3586" s="39" t="n">
        <f aca="false">MATCH(A3586,DATAS,0)</f>
        <v>1</v>
      </c>
      <c r="Z3586" s="39" t="n">
        <f aca="false">IF(AND(E3586&gt;0,OR(AND(B3586&gt;=1,B3586&lt;=6),B3586=10)),1,0)</f>
        <v>0</v>
      </c>
      <c r="AA3586" s="39" t="n">
        <f aca="false">IF(AND(E3586&gt;0,B3586=10),1,0)</f>
        <v>0</v>
      </c>
      <c r="AB3586" s="0" t="str">
        <f aca="false">IF(AND(C3585=C3586,Y3585=Y3586-1),Z3585,"")</f>
        <v/>
      </c>
      <c r="AC3586" s="0" t="str">
        <f aca="false">IF(AND(C3585=C3586,Y3585=Y3586-1),AA3585,"")</f>
        <v/>
      </c>
      <c r="AD3586" s="0" t="str">
        <f aca="false">IF(Y3586=1,"",IF(AND(Z3586=1,AB3586&lt;&gt;1),1,0))</f>
        <v/>
      </c>
      <c r="AE3586" s="0" t="str">
        <f aca="false">IF(Y3586=1,"",IF(AND(AA3586=1,AC3586&lt;&gt;1),1,0))</f>
        <v/>
      </c>
      <c r="AF3586" s="45" t="str">
        <f aca="false">IF(AND(E3586&gt;0,Y3586&lt;1,NOT(AND(C3587=C3586,Y3587=Y3586+1))),INDEX(DATAS,Y3586+1),"")</f>
        <v/>
      </c>
      <c r="AG3586" s="45" t="str">
        <f aca="false">IF(AND(AA3586=1,Y3586&lt;1),IF(AND(C3587=C3586,Y3587=Y3586+1),IF(AA3587=1,"",INDEX(DATAS,Y3586+1)),INDEX(DATAS,Y3586+1)),"")</f>
        <v/>
      </c>
    </row>
    <row r="3587" customFormat="false" ht="15" hidden="false" customHeight="false" outlineLevel="0" collapsed="false">
      <c r="A3587" s="45" t="n">
        <v>46309</v>
      </c>
      <c r="B3587" s="0" t="n">
        <v>16</v>
      </c>
      <c r="C3587" s="0" t="n">
        <v>8046</v>
      </c>
      <c r="E3587" s="0" t="n">
        <v>0</v>
      </c>
      <c r="F3587" s="39" t="s">
        <v>1600</v>
      </c>
      <c r="I3587" s="39" t="s">
        <v>136</v>
      </c>
      <c r="U3587" s="0" t="n">
        <v>58</v>
      </c>
      <c r="V3587" s="0" t="n">
        <v>0</v>
      </c>
      <c r="W3587" s="39" t="n">
        <f aca="false">IF(I3587="Male",0,1)</f>
        <v>1</v>
      </c>
      <c r="X3587" s="39" t="n">
        <f aca="false">IF(OR(I3587="DNB",I3587="Dry DNB"),1,0)</f>
        <v>0</v>
      </c>
      <c r="Y3587" s="39" t="n">
        <f aca="false">MATCH(A3587,DATAS,0)</f>
        <v>1</v>
      </c>
      <c r="Z3587" s="39" t="n">
        <f aca="false">IF(AND(E3587&gt;0,OR(AND(B3587&gt;=1,B3587&lt;=6),B3587=10)),1,0)</f>
        <v>0</v>
      </c>
      <c r="AA3587" s="39" t="n">
        <f aca="false">IF(AND(E3587&gt;0,B3587=10),1,0)</f>
        <v>0</v>
      </c>
      <c r="AB3587" s="0" t="str">
        <f aca="false">IF(AND(C3586=C3587,Y3586=Y3587-1),Z3586,"")</f>
        <v/>
      </c>
      <c r="AC3587" s="0" t="str">
        <f aca="false">IF(AND(C3586=C3587,Y3586=Y3587-1),AA3586,"")</f>
        <v/>
      </c>
      <c r="AD3587" s="0" t="str">
        <f aca="false">IF(Y3587=1,"",IF(AND(Z3587=1,AB3587&lt;&gt;1),1,0))</f>
        <v/>
      </c>
      <c r="AE3587" s="0" t="str">
        <f aca="false">IF(Y3587=1,"",IF(AND(AA3587=1,AC3587&lt;&gt;1),1,0))</f>
        <v/>
      </c>
      <c r="AF3587" s="45" t="str">
        <f aca="false">IF(AND(E3587&gt;0,Y3587&lt;1,NOT(AND(C3588=C3587,Y3588=Y3587+1))),INDEX(DATAS,Y3587+1),"")</f>
        <v/>
      </c>
      <c r="AG3587" s="45" t="str">
        <f aca="false">IF(AND(AA3587=1,Y3587&lt;1),IF(AND(C3588=C3587,Y3588=Y3587+1),IF(AA3588=1,"",INDEX(DATAS,Y3587+1)),INDEX(DATAS,Y3587+1)),"")</f>
        <v/>
      </c>
    </row>
    <row r="3588" customFormat="false" ht="15" hidden="false" customHeight="false" outlineLevel="0" collapsed="false">
      <c r="A3588" s="45" t="n">
        <v>46309</v>
      </c>
      <c r="B3588" s="0" t="n">
        <v>16</v>
      </c>
      <c r="C3588" s="0" t="n">
        <v>8047</v>
      </c>
      <c r="E3588" s="0" t="n">
        <v>0</v>
      </c>
      <c r="F3588" s="39" t="s">
        <v>1600</v>
      </c>
      <c r="I3588" s="39" t="s">
        <v>136</v>
      </c>
      <c r="U3588" s="0" t="n">
        <v>58</v>
      </c>
      <c r="V3588" s="0" t="n">
        <v>0</v>
      </c>
      <c r="W3588" s="39" t="n">
        <f aca="false">IF(I3588="Male",0,1)</f>
        <v>1</v>
      </c>
      <c r="X3588" s="39" t="n">
        <f aca="false">IF(OR(I3588="DNB",I3588="Dry DNB"),1,0)</f>
        <v>0</v>
      </c>
      <c r="Y3588" s="39" t="n">
        <f aca="false">MATCH(A3588,DATAS,0)</f>
        <v>1</v>
      </c>
      <c r="Z3588" s="39" t="n">
        <f aca="false">IF(AND(E3588&gt;0,OR(AND(B3588&gt;=1,B3588&lt;=6),B3588=10)),1,0)</f>
        <v>0</v>
      </c>
      <c r="AA3588" s="39" t="n">
        <f aca="false">IF(AND(E3588&gt;0,B3588=10),1,0)</f>
        <v>0</v>
      </c>
      <c r="AB3588" s="0" t="str">
        <f aca="false">IF(AND(C3587=C3588,Y3587=Y3588-1),Z3587,"")</f>
        <v/>
      </c>
      <c r="AC3588" s="0" t="str">
        <f aca="false">IF(AND(C3587=C3588,Y3587=Y3588-1),AA3587,"")</f>
        <v/>
      </c>
      <c r="AD3588" s="0" t="str">
        <f aca="false">IF(Y3588=1,"",IF(AND(Z3588=1,AB3588&lt;&gt;1),1,0))</f>
        <v/>
      </c>
      <c r="AE3588" s="0" t="str">
        <f aca="false">IF(Y3588=1,"",IF(AND(AA3588=1,AC3588&lt;&gt;1),1,0))</f>
        <v/>
      </c>
      <c r="AF3588" s="45" t="str">
        <f aca="false">IF(AND(E3588&gt;0,Y3588&lt;1,NOT(AND(C3589=C3588,Y3589=Y3588+1))),INDEX(DATAS,Y3588+1),"")</f>
        <v/>
      </c>
      <c r="AG3588" s="45" t="str">
        <f aca="false">IF(AND(AA3588=1,Y3588&lt;1),IF(AND(C3589=C3588,Y3589=Y3588+1),IF(AA3589=1,"",INDEX(DATAS,Y3588+1)),INDEX(DATAS,Y3588+1)),"")</f>
        <v/>
      </c>
    </row>
    <row r="3589" customFormat="false" ht="15" hidden="false" customHeight="false" outlineLevel="0" collapsed="false">
      <c r="A3589" s="45" t="n">
        <v>46309</v>
      </c>
      <c r="B3589" s="0" t="n">
        <v>16</v>
      </c>
      <c r="C3589" s="0" t="n">
        <v>8048</v>
      </c>
      <c r="E3589" s="0" t="n">
        <v>0</v>
      </c>
      <c r="F3589" s="39" t="s">
        <v>1600</v>
      </c>
      <c r="I3589" s="39" t="s">
        <v>136</v>
      </c>
      <c r="U3589" s="0" t="n">
        <v>58</v>
      </c>
      <c r="V3589" s="0" t="n">
        <v>0</v>
      </c>
      <c r="W3589" s="39" t="n">
        <f aca="false">IF(I3589="Male",0,1)</f>
        <v>1</v>
      </c>
      <c r="X3589" s="39" t="n">
        <f aca="false">IF(OR(I3589="DNB",I3589="Dry DNB"),1,0)</f>
        <v>0</v>
      </c>
      <c r="Y3589" s="39" t="n">
        <f aca="false">MATCH(A3589,DATAS,0)</f>
        <v>1</v>
      </c>
      <c r="Z3589" s="39" t="n">
        <f aca="false">IF(AND(E3589&gt;0,OR(AND(B3589&gt;=1,B3589&lt;=6),B3589=10)),1,0)</f>
        <v>0</v>
      </c>
      <c r="AA3589" s="39" t="n">
        <f aca="false">IF(AND(E3589&gt;0,B3589=10),1,0)</f>
        <v>0</v>
      </c>
      <c r="AB3589" s="0" t="str">
        <f aca="false">IF(AND(C3588=C3589,Y3588=Y3589-1),Z3588,"")</f>
        <v/>
      </c>
      <c r="AC3589" s="0" t="str">
        <f aca="false">IF(AND(C3588=C3589,Y3588=Y3589-1),AA3588,"")</f>
        <v/>
      </c>
      <c r="AD3589" s="0" t="str">
        <f aca="false">IF(Y3589=1,"",IF(AND(Z3589=1,AB3589&lt;&gt;1),1,0))</f>
        <v/>
      </c>
      <c r="AE3589" s="0" t="str">
        <f aca="false">IF(Y3589=1,"",IF(AND(AA3589=1,AC3589&lt;&gt;1),1,0))</f>
        <v/>
      </c>
      <c r="AF3589" s="45" t="str">
        <f aca="false">IF(AND(E3589&gt;0,Y3589&lt;1,NOT(AND(C3590=C3589,Y3590=Y3589+1))),INDEX(DATAS,Y3589+1),"")</f>
        <v/>
      </c>
      <c r="AG3589" s="45" t="str">
        <f aca="false">IF(AND(AA3589=1,Y3589&lt;1),IF(AND(C3590=C3589,Y3590=Y3589+1),IF(AA3590=1,"",INDEX(DATAS,Y3589+1)),INDEX(DATAS,Y3589+1)),"")</f>
        <v/>
      </c>
    </row>
    <row r="3590" customFormat="false" ht="15" hidden="false" customHeight="false" outlineLevel="0" collapsed="false">
      <c r="A3590" s="45" t="n">
        <v>46309</v>
      </c>
      <c r="B3590" s="0" t="n">
        <v>16</v>
      </c>
      <c r="C3590" s="0" t="n">
        <v>8049</v>
      </c>
      <c r="E3590" s="0" t="n">
        <v>0</v>
      </c>
      <c r="F3590" s="39" t="s">
        <v>1601</v>
      </c>
      <c r="I3590" s="39" t="s">
        <v>136</v>
      </c>
      <c r="U3590" s="0" t="n">
        <v>57</v>
      </c>
      <c r="V3590" s="0" t="n">
        <v>0</v>
      </c>
      <c r="W3590" s="39" t="n">
        <f aca="false">IF(I3590="Male",0,1)</f>
        <v>1</v>
      </c>
      <c r="X3590" s="39" t="n">
        <f aca="false">IF(OR(I3590="DNB",I3590="Dry DNB"),1,0)</f>
        <v>0</v>
      </c>
      <c r="Y3590" s="39" t="n">
        <f aca="false">MATCH(A3590,DATAS,0)</f>
        <v>1</v>
      </c>
      <c r="Z3590" s="39" t="n">
        <f aca="false">IF(AND(E3590&gt;0,OR(AND(B3590&gt;=1,B3590&lt;=6),B3590=10)),1,0)</f>
        <v>0</v>
      </c>
      <c r="AA3590" s="39" t="n">
        <f aca="false">IF(AND(E3590&gt;0,B3590=10),1,0)</f>
        <v>0</v>
      </c>
      <c r="AB3590" s="0" t="str">
        <f aca="false">IF(AND(C3589=C3590,Y3589=Y3590-1),Z3589,"")</f>
        <v/>
      </c>
      <c r="AC3590" s="0" t="str">
        <f aca="false">IF(AND(C3589=C3590,Y3589=Y3590-1),AA3589,"")</f>
        <v/>
      </c>
      <c r="AD3590" s="0" t="str">
        <f aca="false">IF(Y3590=1,"",IF(AND(Z3590=1,AB3590&lt;&gt;1),1,0))</f>
        <v/>
      </c>
      <c r="AE3590" s="0" t="str">
        <f aca="false">IF(Y3590=1,"",IF(AND(AA3590=1,AC3590&lt;&gt;1),1,0))</f>
        <v/>
      </c>
      <c r="AF3590" s="45" t="str">
        <f aca="false">IF(AND(E3590&gt;0,Y3590&lt;1,NOT(AND(C3591=C3590,Y3591=Y3590+1))),INDEX(DATAS,Y3590+1),"")</f>
        <v/>
      </c>
      <c r="AG3590" s="45" t="str">
        <f aca="false">IF(AND(AA3590=1,Y3590&lt;1),IF(AND(C3591=C3590,Y3591=Y3590+1),IF(AA3591=1,"",INDEX(DATAS,Y3590+1)),INDEX(DATAS,Y3590+1)),"")</f>
        <v/>
      </c>
    </row>
    <row r="3591" customFormat="false" ht="15" hidden="false" customHeight="false" outlineLevel="0" collapsed="false">
      <c r="A3591" s="45" t="n">
        <v>46309</v>
      </c>
      <c r="B3591" s="0" t="n">
        <v>16</v>
      </c>
      <c r="C3591" s="0" t="n">
        <v>8050</v>
      </c>
      <c r="E3591" s="0" t="n">
        <v>0</v>
      </c>
      <c r="F3591" s="39" t="s">
        <v>1601</v>
      </c>
      <c r="I3591" s="39" t="s">
        <v>136</v>
      </c>
      <c r="U3591" s="0" t="n">
        <v>57</v>
      </c>
      <c r="V3591" s="0" t="n">
        <v>0</v>
      </c>
      <c r="W3591" s="39" t="n">
        <f aca="false">IF(I3591="Male",0,1)</f>
        <v>1</v>
      </c>
      <c r="X3591" s="39" t="n">
        <f aca="false">IF(OR(I3591="DNB",I3591="Dry DNB"),1,0)</f>
        <v>0</v>
      </c>
      <c r="Y3591" s="39" t="n">
        <f aca="false">MATCH(A3591,DATAS,0)</f>
        <v>1</v>
      </c>
      <c r="Z3591" s="39" t="n">
        <f aca="false">IF(AND(E3591&gt;0,OR(AND(B3591&gt;=1,B3591&lt;=6),B3591=10)),1,0)</f>
        <v>0</v>
      </c>
      <c r="AA3591" s="39" t="n">
        <f aca="false">IF(AND(E3591&gt;0,B3591=10),1,0)</f>
        <v>0</v>
      </c>
      <c r="AB3591" s="0" t="str">
        <f aca="false">IF(AND(C3590=C3591,Y3590=Y3591-1),Z3590,"")</f>
        <v/>
      </c>
      <c r="AC3591" s="0" t="str">
        <f aca="false">IF(AND(C3590=C3591,Y3590=Y3591-1),AA3590,"")</f>
        <v/>
      </c>
      <c r="AD3591" s="0" t="str">
        <f aca="false">IF(Y3591=1,"",IF(AND(Z3591=1,AB3591&lt;&gt;1),1,0))</f>
        <v/>
      </c>
      <c r="AE3591" s="0" t="str">
        <f aca="false">IF(Y3591=1,"",IF(AND(AA3591=1,AC3591&lt;&gt;1),1,0))</f>
        <v/>
      </c>
      <c r="AF3591" s="45" t="str">
        <f aca="false">IF(AND(E3591&gt;0,Y3591&lt;1,NOT(AND(C3592=C3591,Y3592=Y3591+1))),INDEX(DATAS,Y3591+1),"")</f>
        <v/>
      </c>
      <c r="AG3591" s="45" t="str">
        <f aca="false">IF(AND(AA3591=1,Y3591&lt;1),IF(AND(C3592=C3591,Y3592=Y3591+1),IF(AA3592=1,"",INDEX(DATAS,Y3591+1)),INDEX(DATAS,Y3591+1)),"")</f>
        <v/>
      </c>
    </row>
    <row r="3592" customFormat="false" ht="15" hidden="false" customHeight="false" outlineLevel="0" collapsed="false">
      <c r="A3592" s="45" t="n">
        <v>46309</v>
      </c>
      <c r="B3592" s="0" t="n">
        <v>16</v>
      </c>
      <c r="C3592" s="0" t="n">
        <v>8051</v>
      </c>
      <c r="E3592" s="0" t="n">
        <v>0</v>
      </c>
      <c r="F3592" s="39" t="s">
        <v>1601</v>
      </c>
      <c r="I3592" s="39" t="s">
        <v>136</v>
      </c>
      <c r="U3592" s="0" t="n">
        <v>57</v>
      </c>
      <c r="V3592" s="0" t="n">
        <v>0</v>
      </c>
      <c r="W3592" s="39" t="n">
        <f aca="false">IF(I3592="Male",0,1)</f>
        <v>1</v>
      </c>
      <c r="X3592" s="39" t="n">
        <f aca="false">IF(OR(I3592="DNB",I3592="Dry DNB"),1,0)</f>
        <v>0</v>
      </c>
      <c r="Y3592" s="39" t="n">
        <f aca="false">MATCH(A3592,DATAS,0)</f>
        <v>1</v>
      </c>
      <c r="Z3592" s="39" t="n">
        <f aca="false">IF(AND(E3592&gt;0,OR(AND(B3592&gt;=1,B3592&lt;=6),B3592=10)),1,0)</f>
        <v>0</v>
      </c>
      <c r="AA3592" s="39" t="n">
        <f aca="false">IF(AND(E3592&gt;0,B3592=10),1,0)</f>
        <v>0</v>
      </c>
      <c r="AB3592" s="0" t="str">
        <f aca="false">IF(AND(C3591=C3592,Y3591=Y3592-1),Z3591,"")</f>
        <v/>
      </c>
      <c r="AC3592" s="0" t="str">
        <f aca="false">IF(AND(C3591=C3592,Y3591=Y3592-1),AA3591,"")</f>
        <v/>
      </c>
      <c r="AD3592" s="0" t="str">
        <f aca="false">IF(Y3592=1,"",IF(AND(Z3592=1,AB3592&lt;&gt;1),1,0))</f>
        <v/>
      </c>
      <c r="AE3592" s="0" t="str">
        <f aca="false">IF(Y3592=1,"",IF(AND(AA3592=1,AC3592&lt;&gt;1),1,0))</f>
        <v/>
      </c>
      <c r="AF3592" s="45" t="str">
        <f aca="false">IF(AND(E3592&gt;0,Y3592&lt;1,NOT(AND(C3593=C3592,Y3593=Y3592+1))),INDEX(DATAS,Y3592+1),"")</f>
        <v/>
      </c>
      <c r="AG3592" s="45" t="str">
        <f aca="false">IF(AND(AA3592=1,Y3592&lt;1),IF(AND(C3593=C3592,Y3593=Y3592+1),IF(AA3593=1,"",INDEX(DATAS,Y3592+1)),INDEX(DATAS,Y3592+1)),"")</f>
        <v/>
      </c>
    </row>
    <row r="3593" customFormat="false" ht="15" hidden="false" customHeight="false" outlineLevel="0" collapsed="false">
      <c r="A3593" s="45" t="n">
        <v>46309</v>
      </c>
      <c r="B3593" s="0" t="n">
        <v>16</v>
      </c>
      <c r="C3593" s="0" t="n">
        <v>8054</v>
      </c>
      <c r="E3593" s="0" t="n">
        <v>0</v>
      </c>
      <c r="F3593" s="39" t="s">
        <v>1602</v>
      </c>
      <c r="I3593" s="39" t="s">
        <v>136</v>
      </c>
      <c r="U3593" s="0" t="n">
        <v>56</v>
      </c>
      <c r="V3593" s="0" t="n">
        <v>0</v>
      </c>
      <c r="W3593" s="39" t="n">
        <f aca="false">IF(I3593="Male",0,1)</f>
        <v>1</v>
      </c>
      <c r="X3593" s="39" t="n">
        <f aca="false">IF(OR(I3593="DNB",I3593="Dry DNB"),1,0)</f>
        <v>0</v>
      </c>
      <c r="Y3593" s="39" t="n">
        <f aca="false">MATCH(A3593,DATAS,0)</f>
        <v>1</v>
      </c>
      <c r="Z3593" s="39" t="n">
        <f aca="false">IF(AND(E3593&gt;0,OR(AND(B3593&gt;=1,B3593&lt;=6),B3593=10)),1,0)</f>
        <v>0</v>
      </c>
      <c r="AA3593" s="39" t="n">
        <f aca="false">IF(AND(E3593&gt;0,B3593=10),1,0)</f>
        <v>0</v>
      </c>
      <c r="AB3593" s="0" t="str">
        <f aca="false">IF(AND(C3592=C3593,Y3592=Y3593-1),Z3592,"")</f>
        <v/>
      </c>
      <c r="AC3593" s="0" t="str">
        <f aca="false">IF(AND(C3592=C3593,Y3592=Y3593-1),AA3592,"")</f>
        <v/>
      </c>
      <c r="AD3593" s="0" t="str">
        <f aca="false">IF(Y3593=1,"",IF(AND(Z3593=1,AB3593&lt;&gt;1),1,0))</f>
        <v/>
      </c>
      <c r="AE3593" s="0" t="str">
        <f aca="false">IF(Y3593=1,"",IF(AND(AA3593=1,AC3593&lt;&gt;1),1,0))</f>
        <v/>
      </c>
      <c r="AF3593" s="45" t="str">
        <f aca="false">IF(AND(E3593&gt;0,Y3593&lt;1,NOT(AND(C3594=C3593,Y3594=Y3593+1))),INDEX(DATAS,Y3593+1),"")</f>
        <v/>
      </c>
      <c r="AG3593" s="45" t="str">
        <f aca="false">IF(AND(AA3593=1,Y3593&lt;1),IF(AND(C3594=C3593,Y3594=Y3593+1),IF(AA3594=1,"",INDEX(DATAS,Y3593+1)),INDEX(DATAS,Y3593+1)),"")</f>
        <v/>
      </c>
    </row>
    <row r="3594" customFormat="false" ht="15" hidden="false" customHeight="false" outlineLevel="0" collapsed="false">
      <c r="A3594" s="45" t="n">
        <v>46309</v>
      </c>
      <c r="B3594" s="0" t="n">
        <v>16</v>
      </c>
      <c r="C3594" s="0" t="n">
        <v>8055</v>
      </c>
      <c r="E3594" s="0" t="n">
        <v>0</v>
      </c>
      <c r="F3594" s="39" t="s">
        <v>1603</v>
      </c>
      <c r="I3594" s="39" t="s">
        <v>136</v>
      </c>
      <c r="U3594" s="0" t="n">
        <v>55</v>
      </c>
      <c r="V3594" s="0" t="n">
        <v>0</v>
      </c>
      <c r="W3594" s="39" t="n">
        <f aca="false">IF(I3594="Male",0,1)</f>
        <v>1</v>
      </c>
      <c r="X3594" s="39" t="n">
        <f aca="false">IF(OR(I3594="DNB",I3594="Dry DNB"),1,0)</f>
        <v>0</v>
      </c>
      <c r="Y3594" s="39" t="n">
        <f aca="false">MATCH(A3594,DATAS,0)</f>
        <v>1</v>
      </c>
      <c r="Z3594" s="39" t="n">
        <f aca="false">IF(AND(E3594&gt;0,OR(AND(B3594&gt;=1,B3594&lt;=6),B3594=10)),1,0)</f>
        <v>0</v>
      </c>
      <c r="AA3594" s="39" t="n">
        <f aca="false">IF(AND(E3594&gt;0,B3594=10),1,0)</f>
        <v>0</v>
      </c>
      <c r="AB3594" s="0" t="str">
        <f aca="false">IF(AND(C3593=C3594,Y3593=Y3594-1),Z3593,"")</f>
        <v/>
      </c>
      <c r="AC3594" s="0" t="str">
        <f aca="false">IF(AND(C3593=C3594,Y3593=Y3594-1),AA3593,"")</f>
        <v/>
      </c>
      <c r="AD3594" s="0" t="str">
        <f aca="false">IF(Y3594=1,"",IF(AND(Z3594=1,AB3594&lt;&gt;1),1,0))</f>
        <v/>
      </c>
      <c r="AE3594" s="0" t="str">
        <f aca="false">IF(Y3594=1,"",IF(AND(AA3594=1,AC3594&lt;&gt;1),1,0))</f>
        <v/>
      </c>
      <c r="AF3594" s="45" t="str">
        <f aca="false">IF(AND(E3594&gt;0,Y3594&lt;1,NOT(AND(C3595=C3594,Y3595=Y3594+1))),INDEX(DATAS,Y3594+1),"")</f>
        <v/>
      </c>
      <c r="AG3594" s="45" t="str">
        <f aca="false">IF(AND(AA3594=1,Y3594&lt;1),IF(AND(C3595=C3594,Y3595=Y3594+1),IF(AA3595=1,"",INDEX(DATAS,Y3594+1)),INDEX(DATAS,Y3594+1)),"")</f>
        <v/>
      </c>
    </row>
    <row r="3595" customFormat="false" ht="15" hidden="false" customHeight="false" outlineLevel="0" collapsed="false">
      <c r="A3595" s="45" t="n">
        <v>46309</v>
      </c>
      <c r="B3595" s="0" t="n">
        <v>16</v>
      </c>
      <c r="C3595" s="0" t="n">
        <v>8056</v>
      </c>
      <c r="E3595" s="0" t="n">
        <v>0</v>
      </c>
      <c r="F3595" s="39" t="s">
        <v>1603</v>
      </c>
      <c r="I3595" s="39" t="s">
        <v>136</v>
      </c>
      <c r="U3595" s="0" t="n">
        <v>55</v>
      </c>
      <c r="V3595" s="0" t="n">
        <v>0</v>
      </c>
      <c r="W3595" s="39" t="n">
        <f aca="false">IF(I3595="Male",0,1)</f>
        <v>1</v>
      </c>
      <c r="X3595" s="39" t="n">
        <f aca="false">IF(OR(I3595="DNB",I3595="Dry DNB"),1,0)</f>
        <v>0</v>
      </c>
      <c r="Y3595" s="39" t="n">
        <f aca="false">MATCH(A3595,DATAS,0)</f>
        <v>1</v>
      </c>
      <c r="Z3595" s="39" t="n">
        <f aca="false">IF(AND(E3595&gt;0,OR(AND(B3595&gt;=1,B3595&lt;=6),B3595=10)),1,0)</f>
        <v>0</v>
      </c>
      <c r="AA3595" s="39" t="n">
        <f aca="false">IF(AND(E3595&gt;0,B3595=10),1,0)</f>
        <v>0</v>
      </c>
      <c r="AB3595" s="0" t="str">
        <f aca="false">IF(AND(C3594=C3595,Y3594=Y3595-1),Z3594,"")</f>
        <v/>
      </c>
      <c r="AC3595" s="0" t="str">
        <f aca="false">IF(AND(C3594=C3595,Y3594=Y3595-1),AA3594,"")</f>
        <v/>
      </c>
      <c r="AD3595" s="0" t="str">
        <f aca="false">IF(Y3595=1,"",IF(AND(Z3595=1,AB3595&lt;&gt;1),1,0))</f>
        <v/>
      </c>
      <c r="AE3595" s="0" t="str">
        <f aca="false">IF(Y3595=1,"",IF(AND(AA3595=1,AC3595&lt;&gt;1),1,0))</f>
        <v/>
      </c>
      <c r="AF3595" s="45" t="str">
        <f aca="false">IF(AND(E3595&gt;0,Y3595&lt;1,NOT(AND(C3596=C3595,Y3596=Y3595+1))),INDEX(DATAS,Y3595+1),"")</f>
        <v/>
      </c>
      <c r="AG3595" s="45" t="str">
        <f aca="false">IF(AND(AA3595=1,Y3595&lt;1),IF(AND(C3596=C3595,Y3596=Y3595+1),IF(AA3596=1,"",INDEX(DATAS,Y3595+1)),INDEX(DATAS,Y3595+1)),"")</f>
        <v/>
      </c>
    </row>
    <row r="3596" customFormat="false" ht="15" hidden="false" customHeight="false" outlineLevel="0" collapsed="false">
      <c r="A3596" s="45" t="n">
        <v>46309</v>
      </c>
      <c r="B3596" s="0" t="n">
        <v>16</v>
      </c>
      <c r="C3596" s="0" t="n">
        <v>8058</v>
      </c>
      <c r="E3596" s="0" t="n">
        <v>0</v>
      </c>
      <c r="F3596" s="39" t="s">
        <v>1604</v>
      </c>
      <c r="I3596" s="39" t="s">
        <v>136</v>
      </c>
      <c r="U3596" s="0" t="n">
        <v>54</v>
      </c>
      <c r="V3596" s="0" t="n">
        <v>0</v>
      </c>
      <c r="W3596" s="39" t="n">
        <f aca="false">IF(I3596="Male",0,1)</f>
        <v>1</v>
      </c>
      <c r="X3596" s="39" t="n">
        <f aca="false">IF(OR(I3596="DNB",I3596="Dry DNB"),1,0)</f>
        <v>0</v>
      </c>
      <c r="Y3596" s="39" t="n">
        <f aca="false">MATCH(A3596,DATAS,0)</f>
        <v>1</v>
      </c>
      <c r="Z3596" s="39" t="n">
        <f aca="false">IF(AND(E3596&gt;0,OR(AND(B3596&gt;=1,B3596&lt;=6),B3596=10)),1,0)</f>
        <v>0</v>
      </c>
      <c r="AA3596" s="39" t="n">
        <f aca="false">IF(AND(E3596&gt;0,B3596=10),1,0)</f>
        <v>0</v>
      </c>
      <c r="AB3596" s="0" t="str">
        <f aca="false">IF(AND(C3595=C3596,Y3595=Y3596-1),Z3595,"")</f>
        <v/>
      </c>
      <c r="AC3596" s="0" t="str">
        <f aca="false">IF(AND(C3595=C3596,Y3595=Y3596-1),AA3595,"")</f>
        <v/>
      </c>
      <c r="AD3596" s="0" t="str">
        <f aca="false">IF(Y3596=1,"",IF(AND(Z3596=1,AB3596&lt;&gt;1),1,0))</f>
        <v/>
      </c>
      <c r="AE3596" s="0" t="str">
        <f aca="false">IF(Y3596=1,"",IF(AND(AA3596=1,AC3596&lt;&gt;1),1,0))</f>
        <v/>
      </c>
      <c r="AF3596" s="45" t="str">
        <f aca="false">IF(AND(E3596&gt;0,Y3596&lt;1,NOT(AND(C3597=C3596,Y3597=Y3596+1))),INDEX(DATAS,Y3596+1),"")</f>
        <v/>
      </c>
      <c r="AG3596" s="45" t="str">
        <f aca="false">IF(AND(AA3596=1,Y3596&lt;1),IF(AND(C3597=C3596,Y3597=Y3596+1),IF(AA3597=1,"",INDEX(DATAS,Y3596+1)),INDEX(DATAS,Y3596+1)),"")</f>
        <v/>
      </c>
    </row>
    <row r="3597" customFormat="false" ht="15" hidden="false" customHeight="false" outlineLevel="0" collapsed="false">
      <c r="A3597" s="45" t="n">
        <v>46309</v>
      </c>
      <c r="B3597" s="0" t="n">
        <v>16</v>
      </c>
      <c r="C3597" s="0" t="n">
        <v>8060</v>
      </c>
      <c r="E3597" s="0" t="n">
        <v>0</v>
      </c>
      <c r="F3597" s="39" t="s">
        <v>1605</v>
      </c>
      <c r="I3597" s="39" t="s">
        <v>136</v>
      </c>
      <c r="U3597" s="0" t="n">
        <v>53</v>
      </c>
      <c r="V3597" s="0" t="n">
        <v>0</v>
      </c>
      <c r="W3597" s="39" t="n">
        <f aca="false">IF(I3597="Male",0,1)</f>
        <v>1</v>
      </c>
      <c r="X3597" s="39" t="n">
        <f aca="false">IF(OR(I3597="DNB",I3597="Dry DNB"),1,0)</f>
        <v>0</v>
      </c>
      <c r="Y3597" s="39" t="n">
        <f aca="false">MATCH(A3597,DATAS,0)</f>
        <v>1</v>
      </c>
      <c r="Z3597" s="39" t="n">
        <f aca="false">IF(AND(E3597&gt;0,OR(AND(B3597&gt;=1,B3597&lt;=6),B3597=10)),1,0)</f>
        <v>0</v>
      </c>
      <c r="AA3597" s="39" t="n">
        <f aca="false">IF(AND(E3597&gt;0,B3597=10),1,0)</f>
        <v>0</v>
      </c>
      <c r="AB3597" s="0" t="str">
        <f aca="false">IF(AND(C3596=C3597,Y3596=Y3597-1),Z3596,"")</f>
        <v/>
      </c>
      <c r="AC3597" s="0" t="str">
        <f aca="false">IF(AND(C3596=C3597,Y3596=Y3597-1),AA3596,"")</f>
        <v/>
      </c>
      <c r="AD3597" s="0" t="str">
        <f aca="false">IF(Y3597=1,"",IF(AND(Z3597=1,AB3597&lt;&gt;1),1,0))</f>
        <v/>
      </c>
      <c r="AE3597" s="0" t="str">
        <f aca="false">IF(Y3597=1,"",IF(AND(AA3597=1,AC3597&lt;&gt;1),1,0))</f>
        <v/>
      </c>
      <c r="AF3597" s="45" t="str">
        <f aca="false">IF(AND(E3597&gt;0,Y3597&lt;1,NOT(AND(C3598=C3597,Y3598=Y3597+1))),INDEX(DATAS,Y3597+1),"")</f>
        <v/>
      </c>
      <c r="AG3597" s="45" t="str">
        <f aca="false">IF(AND(AA3597=1,Y3597&lt;1),IF(AND(C3598=C3597,Y3598=Y3597+1),IF(AA3598=1,"",INDEX(DATAS,Y3597+1)),INDEX(DATAS,Y3597+1)),"")</f>
        <v/>
      </c>
    </row>
    <row r="3598" customFormat="false" ht="15" hidden="false" customHeight="false" outlineLevel="0" collapsed="false">
      <c r="A3598" s="45" t="n">
        <v>46309</v>
      </c>
      <c r="B3598" s="0" t="n">
        <v>16</v>
      </c>
      <c r="C3598" s="0" t="n">
        <v>8061</v>
      </c>
      <c r="E3598" s="0" t="n">
        <v>0</v>
      </c>
      <c r="F3598" s="39" t="s">
        <v>1605</v>
      </c>
      <c r="I3598" s="39" t="s">
        <v>136</v>
      </c>
      <c r="U3598" s="0" t="n">
        <v>53</v>
      </c>
      <c r="V3598" s="0" t="n">
        <v>0</v>
      </c>
      <c r="W3598" s="39" t="n">
        <f aca="false">IF(I3598="Male",0,1)</f>
        <v>1</v>
      </c>
      <c r="X3598" s="39" t="n">
        <f aca="false">IF(OR(I3598="DNB",I3598="Dry DNB"),1,0)</f>
        <v>0</v>
      </c>
      <c r="Y3598" s="39" t="n">
        <f aca="false">MATCH(A3598,DATAS,0)</f>
        <v>1</v>
      </c>
      <c r="Z3598" s="39" t="n">
        <f aca="false">IF(AND(E3598&gt;0,OR(AND(B3598&gt;=1,B3598&lt;=6),B3598=10)),1,0)</f>
        <v>0</v>
      </c>
      <c r="AA3598" s="39" t="n">
        <f aca="false">IF(AND(E3598&gt;0,B3598=10),1,0)</f>
        <v>0</v>
      </c>
      <c r="AB3598" s="0" t="str">
        <f aca="false">IF(AND(C3597=C3598,Y3597=Y3598-1),Z3597,"")</f>
        <v/>
      </c>
      <c r="AC3598" s="0" t="str">
        <f aca="false">IF(AND(C3597=C3598,Y3597=Y3598-1),AA3597,"")</f>
        <v/>
      </c>
      <c r="AD3598" s="0" t="str">
        <f aca="false">IF(Y3598=1,"",IF(AND(Z3598=1,AB3598&lt;&gt;1),1,0))</f>
        <v/>
      </c>
      <c r="AE3598" s="0" t="str">
        <f aca="false">IF(Y3598=1,"",IF(AND(AA3598=1,AC3598&lt;&gt;1),1,0))</f>
        <v/>
      </c>
      <c r="AF3598" s="45" t="str">
        <f aca="false">IF(AND(E3598&gt;0,Y3598&lt;1,NOT(AND(C3599=C3598,Y3599=Y3598+1))),INDEX(DATAS,Y3598+1),"")</f>
        <v/>
      </c>
      <c r="AG3598" s="45" t="str">
        <f aca="false">IF(AND(AA3598=1,Y3598&lt;1),IF(AND(C3599=C3598,Y3599=Y3598+1),IF(AA3599=1,"",INDEX(DATAS,Y3598+1)),INDEX(DATAS,Y3598+1)),"")</f>
        <v/>
      </c>
    </row>
    <row r="3599" customFormat="false" ht="15" hidden="false" customHeight="false" outlineLevel="0" collapsed="false">
      <c r="A3599" s="45" t="n">
        <v>46309</v>
      </c>
      <c r="B3599" s="0" t="n">
        <v>16</v>
      </c>
      <c r="C3599" s="0" t="n">
        <v>8062</v>
      </c>
      <c r="E3599" s="0" t="n">
        <v>0</v>
      </c>
      <c r="F3599" s="39" t="s">
        <v>1605</v>
      </c>
      <c r="I3599" s="39" t="s">
        <v>136</v>
      </c>
      <c r="U3599" s="0" t="n">
        <v>53</v>
      </c>
      <c r="V3599" s="0" t="n">
        <v>0</v>
      </c>
      <c r="W3599" s="39" t="n">
        <f aca="false">IF(I3599="Male",0,1)</f>
        <v>1</v>
      </c>
      <c r="X3599" s="39" t="n">
        <f aca="false">IF(OR(I3599="DNB",I3599="Dry DNB"),1,0)</f>
        <v>0</v>
      </c>
      <c r="Y3599" s="39" t="n">
        <f aca="false">MATCH(A3599,DATAS,0)</f>
        <v>1</v>
      </c>
      <c r="Z3599" s="39" t="n">
        <f aca="false">IF(AND(E3599&gt;0,OR(AND(B3599&gt;=1,B3599&lt;=6),B3599=10)),1,0)</f>
        <v>0</v>
      </c>
      <c r="AA3599" s="39" t="n">
        <f aca="false">IF(AND(E3599&gt;0,B3599=10),1,0)</f>
        <v>0</v>
      </c>
      <c r="AB3599" s="0" t="str">
        <f aca="false">IF(AND(C3598=C3599,Y3598=Y3599-1),Z3598,"")</f>
        <v/>
      </c>
      <c r="AC3599" s="0" t="str">
        <f aca="false">IF(AND(C3598=C3599,Y3598=Y3599-1),AA3598,"")</f>
        <v/>
      </c>
      <c r="AD3599" s="0" t="str">
        <f aca="false">IF(Y3599=1,"",IF(AND(Z3599=1,AB3599&lt;&gt;1),1,0))</f>
        <v/>
      </c>
      <c r="AE3599" s="0" t="str">
        <f aca="false">IF(Y3599=1,"",IF(AND(AA3599=1,AC3599&lt;&gt;1),1,0))</f>
        <v/>
      </c>
      <c r="AF3599" s="45" t="str">
        <f aca="false">IF(AND(E3599&gt;0,Y3599&lt;1,NOT(AND(C3600=C3599,Y3600=Y3599+1))),INDEX(DATAS,Y3599+1),"")</f>
        <v/>
      </c>
      <c r="AG3599" s="45" t="str">
        <f aca="false">IF(AND(AA3599=1,Y3599&lt;1),IF(AND(C3600=C3599,Y3600=Y3599+1),IF(AA3600=1,"",INDEX(DATAS,Y3599+1)),INDEX(DATAS,Y3599+1)),"")</f>
        <v/>
      </c>
    </row>
    <row r="3600" customFormat="false" ht="15" hidden="false" customHeight="false" outlineLevel="0" collapsed="false">
      <c r="A3600" s="45" t="n">
        <v>46309</v>
      </c>
      <c r="B3600" s="0" t="n">
        <v>16</v>
      </c>
      <c r="C3600" s="0" t="n">
        <v>8063</v>
      </c>
      <c r="E3600" s="0" t="n">
        <v>0</v>
      </c>
      <c r="F3600" s="39" t="s">
        <v>1605</v>
      </c>
      <c r="I3600" s="39" t="s">
        <v>136</v>
      </c>
      <c r="U3600" s="0" t="n">
        <v>53</v>
      </c>
      <c r="V3600" s="0" t="n">
        <v>0</v>
      </c>
      <c r="W3600" s="39" t="n">
        <f aca="false">IF(I3600="Male",0,1)</f>
        <v>1</v>
      </c>
      <c r="X3600" s="39" t="n">
        <f aca="false">IF(OR(I3600="DNB",I3600="Dry DNB"),1,0)</f>
        <v>0</v>
      </c>
      <c r="Y3600" s="39" t="n">
        <f aca="false">MATCH(A3600,DATAS,0)</f>
        <v>1</v>
      </c>
      <c r="Z3600" s="39" t="n">
        <f aca="false">IF(AND(E3600&gt;0,OR(AND(B3600&gt;=1,B3600&lt;=6),B3600=10)),1,0)</f>
        <v>0</v>
      </c>
      <c r="AA3600" s="39" t="n">
        <f aca="false">IF(AND(E3600&gt;0,B3600=10),1,0)</f>
        <v>0</v>
      </c>
      <c r="AB3600" s="0" t="str">
        <f aca="false">IF(AND(C3599=C3600,Y3599=Y3600-1),Z3599,"")</f>
        <v/>
      </c>
      <c r="AC3600" s="0" t="str">
        <f aca="false">IF(AND(C3599=C3600,Y3599=Y3600-1),AA3599,"")</f>
        <v/>
      </c>
      <c r="AD3600" s="0" t="str">
        <f aca="false">IF(Y3600=1,"",IF(AND(Z3600=1,AB3600&lt;&gt;1),1,0))</f>
        <v/>
      </c>
      <c r="AE3600" s="0" t="str">
        <f aca="false">IF(Y3600=1,"",IF(AND(AA3600=1,AC3600&lt;&gt;1),1,0))</f>
        <v/>
      </c>
      <c r="AF3600" s="45" t="str">
        <f aca="false">IF(AND(E3600&gt;0,Y3600&lt;1,NOT(AND(C3601=C3600,Y3601=Y3600+1))),INDEX(DATAS,Y3600+1),"")</f>
        <v/>
      </c>
      <c r="AG3600" s="45" t="str">
        <f aca="false">IF(AND(AA3600=1,Y3600&lt;1),IF(AND(C3601=C3600,Y3601=Y3600+1),IF(AA3601=1,"",INDEX(DATAS,Y3600+1)),INDEX(DATAS,Y3600+1)),"")</f>
        <v/>
      </c>
    </row>
    <row r="3601" customFormat="false" ht="15" hidden="false" customHeight="false" outlineLevel="0" collapsed="false">
      <c r="A3601" s="45" t="n">
        <v>46309</v>
      </c>
      <c r="B3601" s="0" t="n">
        <v>16</v>
      </c>
      <c r="C3601" s="0" t="n">
        <v>8064</v>
      </c>
      <c r="E3601" s="0" t="n">
        <v>0</v>
      </c>
      <c r="F3601" s="39" t="s">
        <v>1605</v>
      </c>
      <c r="I3601" s="39" t="s">
        <v>136</v>
      </c>
      <c r="U3601" s="0" t="n">
        <v>53</v>
      </c>
      <c r="V3601" s="0" t="n">
        <v>0</v>
      </c>
      <c r="W3601" s="39" t="n">
        <f aca="false">IF(I3601="Male",0,1)</f>
        <v>1</v>
      </c>
      <c r="X3601" s="39" t="n">
        <f aca="false">IF(OR(I3601="DNB",I3601="Dry DNB"),1,0)</f>
        <v>0</v>
      </c>
      <c r="Y3601" s="39" t="n">
        <f aca="false">MATCH(A3601,DATAS,0)</f>
        <v>1</v>
      </c>
      <c r="Z3601" s="39" t="n">
        <f aca="false">IF(AND(E3601&gt;0,OR(AND(B3601&gt;=1,B3601&lt;=6),B3601=10)),1,0)</f>
        <v>0</v>
      </c>
      <c r="AA3601" s="39" t="n">
        <f aca="false">IF(AND(E3601&gt;0,B3601=10),1,0)</f>
        <v>0</v>
      </c>
      <c r="AB3601" s="0" t="str">
        <f aca="false">IF(AND(C3600=C3601,Y3600=Y3601-1),Z3600,"")</f>
        <v/>
      </c>
      <c r="AC3601" s="0" t="str">
        <f aca="false">IF(AND(C3600=C3601,Y3600=Y3601-1),AA3600,"")</f>
        <v/>
      </c>
      <c r="AD3601" s="0" t="str">
        <f aca="false">IF(Y3601=1,"",IF(AND(Z3601=1,AB3601&lt;&gt;1),1,0))</f>
        <v/>
      </c>
      <c r="AE3601" s="0" t="str">
        <f aca="false">IF(Y3601=1,"",IF(AND(AA3601=1,AC3601&lt;&gt;1),1,0))</f>
        <v/>
      </c>
      <c r="AF3601" s="45" t="str">
        <f aca="false">IF(AND(E3601&gt;0,Y3601&lt;1,NOT(AND(C3602=C3601,Y3602=Y3601+1))),INDEX(DATAS,Y3601+1),"")</f>
        <v/>
      </c>
      <c r="AG3601" s="45" t="str">
        <f aca="false">IF(AND(AA3601=1,Y3601&lt;1),IF(AND(C3602=C3601,Y3602=Y3601+1),IF(AA3602=1,"",INDEX(DATAS,Y3601+1)),INDEX(DATAS,Y3601+1)),"")</f>
        <v/>
      </c>
    </row>
    <row r="3602" customFormat="false" ht="15" hidden="false" customHeight="false" outlineLevel="0" collapsed="false">
      <c r="A3602" s="45" t="n">
        <v>46309</v>
      </c>
      <c r="B3602" s="0" t="n">
        <v>16</v>
      </c>
      <c r="C3602" s="0" t="n">
        <v>8065</v>
      </c>
      <c r="E3602" s="0" t="n">
        <v>0</v>
      </c>
      <c r="F3602" s="39" t="s">
        <v>1605</v>
      </c>
      <c r="I3602" s="39" t="s">
        <v>136</v>
      </c>
      <c r="U3602" s="0" t="n">
        <v>53</v>
      </c>
      <c r="V3602" s="0" t="n">
        <v>0</v>
      </c>
      <c r="W3602" s="39" t="n">
        <f aca="false">IF(I3602="Male",0,1)</f>
        <v>1</v>
      </c>
      <c r="X3602" s="39" t="n">
        <f aca="false">IF(OR(I3602="DNB",I3602="Dry DNB"),1,0)</f>
        <v>0</v>
      </c>
      <c r="Y3602" s="39" t="n">
        <f aca="false">MATCH(A3602,DATAS,0)</f>
        <v>1</v>
      </c>
      <c r="Z3602" s="39" t="n">
        <f aca="false">IF(AND(E3602&gt;0,OR(AND(B3602&gt;=1,B3602&lt;=6),B3602=10)),1,0)</f>
        <v>0</v>
      </c>
      <c r="AA3602" s="39" t="n">
        <f aca="false">IF(AND(E3602&gt;0,B3602=10),1,0)</f>
        <v>0</v>
      </c>
      <c r="AB3602" s="0" t="str">
        <f aca="false">IF(AND(C3601=C3602,Y3601=Y3602-1),Z3601,"")</f>
        <v/>
      </c>
      <c r="AC3602" s="0" t="str">
        <f aca="false">IF(AND(C3601=C3602,Y3601=Y3602-1),AA3601,"")</f>
        <v/>
      </c>
      <c r="AD3602" s="0" t="str">
        <f aca="false">IF(Y3602=1,"",IF(AND(Z3602=1,AB3602&lt;&gt;1),1,0))</f>
        <v/>
      </c>
      <c r="AE3602" s="0" t="str">
        <f aca="false">IF(Y3602=1,"",IF(AND(AA3602=1,AC3602&lt;&gt;1),1,0))</f>
        <v/>
      </c>
      <c r="AF3602" s="45" t="str">
        <f aca="false">IF(AND(E3602&gt;0,Y3602&lt;1,NOT(AND(C3603=C3602,Y3603=Y3602+1))),INDEX(DATAS,Y3602+1),"")</f>
        <v/>
      </c>
      <c r="AG3602" s="45" t="str">
        <f aca="false">IF(AND(AA3602=1,Y3602&lt;1),IF(AND(C3603=C3602,Y3603=Y3602+1),IF(AA3603=1,"",INDEX(DATAS,Y3602+1)),INDEX(DATAS,Y3602+1)),"")</f>
        <v/>
      </c>
    </row>
    <row r="3603" customFormat="false" ht="15" hidden="false" customHeight="false" outlineLevel="0" collapsed="false">
      <c r="A3603" s="45" t="n">
        <v>46309</v>
      </c>
      <c r="B3603" s="0" t="n">
        <v>16</v>
      </c>
      <c r="C3603" s="0" t="n">
        <v>8066</v>
      </c>
      <c r="E3603" s="0" t="n">
        <v>0</v>
      </c>
      <c r="F3603" s="39" t="s">
        <v>1606</v>
      </c>
      <c r="I3603" s="39" t="s">
        <v>136</v>
      </c>
      <c r="U3603" s="0" t="n">
        <v>52</v>
      </c>
      <c r="V3603" s="0" t="n">
        <v>0</v>
      </c>
      <c r="W3603" s="39" t="n">
        <f aca="false">IF(I3603="Male",0,1)</f>
        <v>1</v>
      </c>
      <c r="X3603" s="39" t="n">
        <f aca="false">IF(OR(I3603="DNB",I3603="Dry DNB"),1,0)</f>
        <v>0</v>
      </c>
      <c r="Y3603" s="39" t="n">
        <f aca="false">MATCH(A3603,DATAS,0)</f>
        <v>1</v>
      </c>
      <c r="Z3603" s="39" t="n">
        <f aca="false">IF(AND(E3603&gt;0,OR(AND(B3603&gt;=1,B3603&lt;=6),B3603=10)),1,0)</f>
        <v>0</v>
      </c>
      <c r="AA3603" s="39" t="n">
        <f aca="false">IF(AND(E3603&gt;0,B3603=10),1,0)</f>
        <v>0</v>
      </c>
      <c r="AB3603" s="0" t="str">
        <f aca="false">IF(AND(C3602=C3603,Y3602=Y3603-1),Z3602,"")</f>
        <v/>
      </c>
      <c r="AC3603" s="0" t="str">
        <f aca="false">IF(AND(C3602=C3603,Y3602=Y3603-1),AA3602,"")</f>
        <v/>
      </c>
      <c r="AD3603" s="0" t="str">
        <f aca="false">IF(Y3603=1,"",IF(AND(Z3603=1,AB3603&lt;&gt;1),1,0))</f>
        <v/>
      </c>
      <c r="AE3603" s="0" t="str">
        <f aca="false">IF(Y3603=1,"",IF(AND(AA3603=1,AC3603&lt;&gt;1),1,0))</f>
        <v/>
      </c>
      <c r="AF3603" s="45" t="str">
        <f aca="false">IF(AND(E3603&gt;0,Y3603&lt;1,NOT(AND(C3604=C3603,Y3604=Y3603+1))),INDEX(DATAS,Y3603+1),"")</f>
        <v/>
      </c>
      <c r="AG3603" s="45" t="str">
        <f aca="false">IF(AND(AA3603=1,Y3603&lt;1),IF(AND(C3604=C3603,Y3604=Y3603+1),IF(AA3604=1,"",INDEX(DATAS,Y3603+1)),INDEX(DATAS,Y3603+1)),"")</f>
        <v/>
      </c>
    </row>
    <row r="3604" customFormat="false" ht="15" hidden="false" customHeight="false" outlineLevel="0" collapsed="false">
      <c r="A3604" s="45" t="n">
        <v>46309</v>
      </c>
      <c r="B3604" s="0" t="n">
        <v>16</v>
      </c>
      <c r="C3604" s="0" t="n">
        <v>8067</v>
      </c>
      <c r="E3604" s="0" t="n">
        <v>0</v>
      </c>
      <c r="F3604" s="39" t="s">
        <v>1607</v>
      </c>
      <c r="I3604" s="39" t="s">
        <v>136</v>
      </c>
      <c r="U3604" s="0" t="n">
        <v>51</v>
      </c>
      <c r="V3604" s="0" t="n">
        <v>0</v>
      </c>
      <c r="W3604" s="39" t="n">
        <f aca="false">IF(I3604="Male",0,1)</f>
        <v>1</v>
      </c>
      <c r="X3604" s="39" t="n">
        <f aca="false">IF(OR(I3604="DNB",I3604="Dry DNB"),1,0)</f>
        <v>0</v>
      </c>
      <c r="Y3604" s="39" t="n">
        <f aca="false">MATCH(A3604,DATAS,0)</f>
        <v>1</v>
      </c>
      <c r="Z3604" s="39" t="n">
        <f aca="false">IF(AND(E3604&gt;0,OR(AND(B3604&gt;=1,B3604&lt;=6),B3604=10)),1,0)</f>
        <v>0</v>
      </c>
      <c r="AA3604" s="39" t="n">
        <f aca="false">IF(AND(E3604&gt;0,B3604=10),1,0)</f>
        <v>0</v>
      </c>
      <c r="AB3604" s="0" t="str">
        <f aca="false">IF(AND(C3603=C3604,Y3603=Y3604-1),Z3603,"")</f>
        <v/>
      </c>
      <c r="AC3604" s="0" t="str">
        <f aca="false">IF(AND(C3603=C3604,Y3603=Y3604-1),AA3603,"")</f>
        <v/>
      </c>
      <c r="AD3604" s="0" t="str">
        <f aca="false">IF(Y3604=1,"",IF(AND(Z3604=1,AB3604&lt;&gt;1),1,0))</f>
        <v/>
      </c>
      <c r="AE3604" s="0" t="str">
        <f aca="false">IF(Y3604=1,"",IF(AND(AA3604=1,AC3604&lt;&gt;1),1,0))</f>
        <v/>
      </c>
      <c r="AF3604" s="45" t="str">
        <f aca="false">IF(AND(E3604&gt;0,Y3604&lt;1,NOT(AND(C3605=C3604,Y3605=Y3604+1))),INDEX(DATAS,Y3604+1),"")</f>
        <v/>
      </c>
      <c r="AG3604" s="45" t="str">
        <f aca="false">IF(AND(AA3604=1,Y3604&lt;1),IF(AND(C3605=C3604,Y3605=Y3604+1),IF(AA3605=1,"",INDEX(DATAS,Y3604+1)),INDEX(DATAS,Y3604+1)),"")</f>
        <v/>
      </c>
    </row>
    <row r="3605" customFormat="false" ht="15" hidden="false" customHeight="false" outlineLevel="0" collapsed="false">
      <c r="A3605" s="45" t="n">
        <v>46309</v>
      </c>
      <c r="B3605" s="0" t="n">
        <v>16</v>
      </c>
      <c r="C3605" s="0" t="n">
        <v>8068</v>
      </c>
      <c r="E3605" s="0" t="n">
        <v>0</v>
      </c>
      <c r="F3605" s="39" t="s">
        <v>1607</v>
      </c>
      <c r="I3605" s="39" t="s">
        <v>136</v>
      </c>
      <c r="U3605" s="0" t="n">
        <v>51</v>
      </c>
      <c r="V3605" s="0" t="n">
        <v>0</v>
      </c>
      <c r="W3605" s="39" t="n">
        <f aca="false">IF(I3605="Male",0,1)</f>
        <v>1</v>
      </c>
      <c r="X3605" s="39" t="n">
        <f aca="false">IF(OR(I3605="DNB",I3605="Dry DNB"),1,0)</f>
        <v>0</v>
      </c>
      <c r="Y3605" s="39" t="n">
        <f aca="false">MATCH(A3605,DATAS,0)</f>
        <v>1</v>
      </c>
      <c r="Z3605" s="39" t="n">
        <f aca="false">IF(AND(E3605&gt;0,OR(AND(B3605&gt;=1,B3605&lt;=6),B3605=10)),1,0)</f>
        <v>0</v>
      </c>
      <c r="AA3605" s="39" t="n">
        <f aca="false">IF(AND(E3605&gt;0,B3605=10),1,0)</f>
        <v>0</v>
      </c>
      <c r="AB3605" s="0" t="str">
        <f aca="false">IF(AND(C3604=C3605,Y3604=Y3605-1),Z3604,"")</f>
        <v/>
      </c>
      <c r="AC3605" s="0" t="str">
        <f aca="false">IF(AND(C3604=C3605,Y3604=Y3605-1),AA3604,"")</f>
        <v/>
      </c>
      <c r="AD3605" s="0" t="str">
        <f aca="false">IF(Y3605=1,"",IF(AND(Z3605=1,AB3605&lt;&gt;1),1,0))</f>
        <v/>
      </c>
      <c r="AE3605" s="0" t="str">
        <f aca="false">IF(Y3605=1,"",IF(AND(AA3605=1,AC3605&lt;&gt;1),1,0))</f>
        <v/>
      </c>
      <c r="AF3605" s="45" t="str">
        <f aca="false">IF(AND(E3605&gt;0,Y3605&lt;1,NOT(AND(C3606=C3605,Y3606=Y3605+1))),INDEX(DATAS,Y3605+1),"")</f>
        <v/>
      </c>
      <c r="AG3605" s="45" t="str">
        <f aca="false">IF(AND(AA3605=1,Y3605&lt;1),IF(AND(C3606=C3605,Y3606=Y3605+1),IF(AA3606=1,"",INDEX(DATAS,Y3605+1)),INDEX(DATAS,Y3605+1)),"")</f>
        <v/>
      </c>
    </row>
    <row r="3606" customFormat="false" ht="15" hidden="false" customHeight="false" outlineLevel="0" collapsed="false">
      <c r="A3606" s="45" t="n">
        <v>46309</v>
      </c>
      <c r="B3606" s="0" t="n">
        <v>16</v>
      </c>
      <c r="C3606" s="0" t="n">
        <v>8069</v>
      </c>
      <c r="E3606" s="0" t="n">
        <v>0</v>
      </c>
      <c r="F3606" s="39" t="s">
        <v>1601</v>
      </c>
      <c r="I3606" s="39" t="s">
        <v>136</v>
      </c>
      <c r="U3606" s="0" t="n">
        <v>57</v>
      </c>
      <c r="V3606" s="0" t="n">
        <v>0</v>
      </c>
      <c r="W3606" s="39" t="n">
        <f aca="false">IF(I3606="Male",0,1)</f>
        <v>1</v>
      </c>
      <c r="X3606" s="39" t="n">
        <f aca="false">IF(OR(I3606="DNB",I3606="Dry DNB"),1,0)</f>
        <v>0</v>
      </c>
      <c r="Y3606" s="39" t="n">
        <f aca="false">MATCH(A3606,DATAS,0)</f>
        <v>1</v>
      </c>
      <c r="Z3606" s="39" t="n">
        <f aca="false">IF(AND(E3606&gt;0,OR(AND(B3606&gt;=1,B3606&lt;=6),B3606=10)),1,0)</f>
        <v>0</v>
      </c>
      <c r="AA3606" s="39" t="n">
        <f aca="false">IF(AND(E3606&gt;0,B3606=10),1,0)</f>
        <v>0</v>
      </c>
      <c r="AB3606" s="0" t="str">
        <f aca="false">IF(AND(C3605=C3606,Y3605=Y3606-1),Z3605,"")</f>
        <v/>
      </c>
      <c r="AC3606" s="0" t="str">
        <f aca="false">IF(AND(C3605=C3606,Y3605=Y3606-1),AA3605,"")</f>
        <v/>
      </c>
      <c r="AD3606" s="0" t="str">
        <f aca="false">IF(Y3606=1,"",IF(AND(Z3606=1,AB3606&lt;&gt;1),1,0))</f>
        <v/>
      </c>
      <c r="AE3606" s="0" t="str">
        <f aca="false">IF(Y3606=1,"",IF(AND(AA3606=1,AC3606&lt;&gt;1),1,0))</f>
        <v/>
      </c>
      <c r="AF3606" s="45" t="str">
        <f aca="false">IF(AND(E3606&gt;0,Y3606&lt;1,NOT(AND(C3607=C3606,Y3607=Y3606+1))),INDEX(DATAS,Y3606+1),"")</f>
        <v/>
      </c>
      <c r="AG3606" s="45" t="str">
        <f aca="false">IF(AND(AA3606=1,Y3606&lt;1),IF(AND(C3607=C3606,Y3607=Y3606+1),IF(AA3607=1,"",INDEX(DATAS,Y3606+1)),INDEX(DATAS,Y3606+1)),"")</f>
        <v/>
      </c>
    </row>
    <row r="3607" customFormat="false" ht="15" hidden="false" customHeight="false" outlineLevel="0" collapsed="false">
      <c r="A3607" s="45" t="n">
        <v>46309</v>
      </c>
      <c r="B3607" s="0" t="n">
        <v>16</v>
      </c>
      <c r="C3607" s="0" t="n">
        <v>8070</v>
      </c>
      <c r="E3607" s="0" t="n">
        <v>0</v>
      </c>
      <c r="F3607" s="39" t="s">
        <v>1607</v>
      </c>
      <c r="I3607" s="39" t="s">
        <v>136</v>
      </c>
      <c r="U3607" s="0" t="n">
        <v>51</v>
      </c>
      <c r="V3607" s="0" t="n">
        <v>0</v>
      </c>
      <c r="W3607" s="39" t="n">
        <f aca="false">IF(I3607="Male",0,1)</f>
        <v>1</v>
      </c>
      <c r="X3607" s="39" t="n">
        <f aca="false">IF(OR(I3607="DNB",I3607="Dry DNB"),1,0)</f>
        <v>0</v>
      </c>
      <c r="Y3607" s="39" t="n">
        <f aca="false">MATCH(A3607,DATAS,0)</f>
        <v>1</v>
      </c>
      <c r="Z3607" s="39" t="n">
        <f aca="false">IF(AND(E3607&gt;0,OR(AND(B3607&gt;=1,B3607&lt;=6),B3607=10)),1,0)</f>
        <v>0</v>
      </c>
      <c r="AA3607" s="39" t="n">
        <f aca="false">IF(AND(E3607&gt;0,B3607=10),1,0)</f>
        <v>0</v>
      </c>
      <c r="AB3607" s="0" t="str">
        <f aca="false">IF(AND(C3606=C3607,Y3606=Y3607-1),Z3606,"")</f>
        <v/>
      </c>
      <c r="AC3607" s="0" t="str">
        <f aca="false">IF(AND(C3606=C3607,Y3606=Y3607-1),AA3606,"")</f>
        <v/>
      </c>
      <c r="AD3607" s="0" t="str">
        <f aca="false">IF(Y3607=1,"",IF(AND(Z3607=1,AB3607&lt;&gt;1),1,0))</f>
        <v/>
      </c>
      <c r="AE3607" s="0" t="str">
        <f aca="false">IF(Y3607=1,"",IF(AND(AA3607=1,AC3607&lt;&gt;1),1,0))</f>
        <v/>
      </c>
      <c r="AF3607" s="45" t="str">
        <f aca="false">IF(AND(E3607&gt;0,Y3607&lt;1,NOT(AND(C3608=C3607,Y3608=Y3607+1))),INDEX(DATAS,Y3607+1),"")</f>
        <v/>
      </c>
      <c r="AG3607" s="45" t="str">
        <f aca="false">IF(AND(AA3607=1,Y3607&lt;1),IF(AND(C3608=C3607,Y3608=Y3607+1),IF(AA3608=1,"",INDEX(DATAS,Y3607+1)),INDEX(DATAS,Y3607+1)),"")</f>
        <v/>
      </c>
    </row>
    <row r="3608" customFormat="false" ht="15" hidden="false" customHeight="false" outlineLevel="0" collapsed="false">
      <c r="A3608" s="45" t="n">
        <v>46309</v>
      </c>
      <c r="B3608" s="0" t="n">
        <v>16</v>
      </c>
      <c r="C3608" s="0" t="n">
        <v>8071</v>
      </c>
      <c r="E3608" s="0" t="n">
        <v>0</v>
      </c>
      <c r="F3608" s="39" t="s">
        <v>1607</v>
      </c>
      <c r="I3608" s="39" t="s">
        <v>136</v>
      </c>
      <c r="U3608" s="0" t="n">
        <v>51</v>
      </c>
      <c r="V3608" s="0" t="n">
        <v>0</v>
      </c>
      <c r="W3608" s="39" t="n">
        <f aca="false">IF(I3608="Male",0,1)</f>
        <v>1</v>
      </c>
      <c r="X3608" s="39" t="n">
        <f aca="false">IF(OR(I3608="DNB",I3608="Dry DNB"),1,0)</f>
        <v>0</v>
      </c>
      <c r="Y3608" s="39" t="n">
        <f aca="false">MATCH(A3608,DATAS,0)</f>
        <v>1</v>
      </c>
      <c r="Z3608" s="39" t="n">
        <f aca="false">IF(AND(E3608&gt;0,OR(AND(B3608&gt;=1,B3608&lt;=6),B3608=10)),1,0)</f>
        <v>0</v>
      </c>
      <c r="AA3608" s="39" t="n">
        <f aca="false">IF(AND(E3608&gt;0,B3608=10),1,0)</f>
        <v>0</v>
      </c>
      <c r="AB3608" s="0" t="str">
        <f aca="false">IF(AND(C3607=C3608,Y3607=Y3608-1),Z3607,"")</f>
        <v/>
      </c>
      <c r="AC3608" s="0" t="str">
        <f aca="false">IF(AND(C3607=C3608,Y3607=Y3608-1),AA3607,"")</f>
        <v/>
      </c>
      <c r="AD3608" s="0" t="str">
        <f aca="false">IF(Y3608=1,"",IF(AND(Z3608=1,AB3608&lt;&gt;1),1,0))</f>
        <v/>
      </c>
      <c r="AE3608" s="0" t="str">
        <f aca="false">IF(Y3608=1,"",IF(AND(AA3608=1,AC3608&lt;&gt;1),1,0))</f>
        <v/>
      </c>
      <c r="AF3608" s="45" t="str">
        <f aca="false">IF(AND(E3608&gt;0,Y3608&lt;1,NOT(AND(C3609=C3608,Y3609=Y3608+1))),INDEX(DATAS,Y3608+1),"")</f>
        <v/>
      </c>
      <c r="AG3608" s="45" t="str">
        <f aca="false">IF(AND(AA3608=1,Y3608&lt;1),IF(AND(C3609=C3608,Y3609=Y3608+1),IF(AA3609=1,"",INDEX(DATAS,Y3608+1)),INDEX(DATAS,Y3608+1)),"")</f>
        <v/>
      </c>
    </row>
    <row r="3609" customFormat="false" ht="15" hidden="false" customHeight="false" outlineLevel="0" collapsed="false">
      <c r="A3609" s="45" t="n">
        <v>46309</v>
      </c>
      <c r="B3609" s="0" t="n">
        <v>16</v>
      </c>
      <c r="C3609" s="0" t="n">
        <v>8072</v>
      </c>
      <c r="E3609" s="0" t="n">
        <v>0</v>
      </c>
      <c r="F3609" s="39" t="s">
        <v>1607</v>
      </c>
      <c r="I3609" s="39" t="s">
        <v>136</v>
      </c>
      <c r="U3609" s="0" t="n">
        <v>51</v>
      </c>
      <c r="V3609" s="0" t="n">
        <v>0</v>
      </c>
      <c r="W3609" s="39" t="n">
        <f aca="false">IF(I3609="Male",0,1)</f>
        <v>1</v>
      </c>
      <c r="X3609" s="39" t="n">
        <f aca="false">IF(OR(I3609="DNB",I3609="Dry DNB"),1,0)</f>
        <v>0</v>
      </c>
      <c r="Y3609" s="39" t="n">
        <f aca="false">MATCH(A3609,DATAS,0)</f>
        <v>1</v>
      </c>
      <c r="Z3609" s="39" t="n">
        <f aca="false">IF(AND(E3609&gt;0,OR(AND(B3609&gt;=1,B3609&lt;=6),B3609=10)),1,0)</f>
        <v>0</v>
      </c>
      <c r="AA3609" s="39" t="n">
        <f aca="false">IF(AND(E3609&gt;0,B3609=10),1,0)</f>
        <v>0</v>
      </c>
      <c r="AB3609" s="0" t="str">
        <f aca="false">IF(AND(C3608=C3609,Y3608=Y3609-1),Z3608,"")</f>
        <v/>
      </c>
      <c r="AC3609" s="0" t="str">
        <f aca="false">IF(AND(C3608=C3609,Y3608=Y3609-1),AA3608,"")</f>
        <v/>
      </c>
      <c r="AD3609" s="0" t="str">
        <f aca="false">IF(Y3609=1,"",IF(AND(Z3609=1,AB3609&lt;&gt;1),1,0))</f>
        <v/>
      </c>
      <c r="AE3609" s="0" t="str">
        <f aca="false">IF(Y3609=1,"",IF(AND(AA3609=1,AC3609&lt;&gt;1),1,0))</f>
        <v/>
      </c>
      <c r="AF3609" s="45" t="str">
        <f aca="false">IF(AND(E3609&gt;0,Y3609&lt;1,NOT(AND(C3610=C3609,Y3610=Y3609+1))),INDEX(DATAS,Y3609+1),"")</f>
        <v/>
      </c>
      <c r="AG3609" s="45" t="str">
        <f aca="false">IF(AND(AA3609=1,Y3609&lt;1),IF(AND(C3610=C3609,Y3610=Y3609+1),IF(AA3610=1,"",INDEX(DATAS,Y3609+1)),INDEX(DATAS,Y3609+1)),"")</f>
        <v/>
      </c>
    </row>
    <row r="3610" customFormat="false" ht="15" hidden="false" customHeight="false" outlineLevel="0" collapsed="false">
      <c r="A3610" s="45" t="n">
        <v>46309</v>
      </c>
      <c r="B3610" s="0" t="n">
        <v>16</v>
      </c>
      <c r="C3610" s="0" t="n">
        <v>8073</v>
      </c>
      <c r="E3610" s="0" t="n">
        <v>0</v>
      </c>
      <c r="F3610" s="39" t="s">
        <v>1607</v>
      </c>
      <c r="I3610" s="39" t="s">
        <v>136</v>
      </c>
      <c r="U3610" s="0" t="n">
        <v>51</v>
      </c>
      <c r="V3610" s="0" t="n">
        <v>0</v>
      </c>
      <c r="W3610" s="39" t="n">
        <f aca="false">IF(I3610="Male",0,1)</f>
        <v>1</v>
      </c>
      <c r="X3610" s="39" t="n">
        <f aca="false">IF(OR(I3610="DNB",I3610="Dry DNB"),1,0)</f>
        <v>0</v>
      </c>
      <c r="Y3610" s="39" t="n">
        <f aca="false">MATCH(A3610,DATAS,0)</f>
        <v>1</v>
      </c>
      <c r="Z3610" s="39" t="n">
        <f aca="false">IF(AND(E3610&gt;0,OR(AND(B3610&gt;=1,B3610&lt;=6),B3610=10)),1,0)</f>
        <v>0</v>
      </c>
      <c r="AA3610" s="39" t="n">
        <f aca="false">IF(AND(E3610&gt;0,B3610=10),1,0)</f>
        <v>0</v>
      </c>
      <c r="AB3610" s="0" t="str">
        <f aca="false">IF(AND(C3609=C3610,Y3609=Y3610-1),Z3609,"")</f>
        <v/>
      </c>
      <c r="AC3610" s="0" t="str">
        <f aca="false">IF(AND(C3609=C3610,Y3609=Y3610-1),AA3609,"")</f>
        <v/>
      </c>
      <c r="AD3610" s="0" t="str">
        <f aca="false">IF(Y3610=1,"",IF(AND(Z3610=1,AB3610&lt;&gt;1),1,0))</f>
        <v/>
      </c>
      <c r="AE3610" s="0" t="str">
        <f aca="false">IF(Y3610=1,"",IF(AND(AA3610=1,AC3610&lt;&gt;1),1,0))</f>
        <v/>
      </c>
      <c r="AF3610" s="45" t="str">
        <f aca="false">IF(AND(E3610&gt;0,Y3610&lt;1,NOT(AND(C3611=C3610,Y3611=Y3610+1))),INDEX(DATAS,Y3610+1),"")</f>
        <v/>
      </c>
      <c r="AG3610" s="45" t="str">
        <f aca="false">IF(AND(AA3610=1,Y3610&lt;1),IF(AND(C3611=C3610,Y3611=Y3610+1),IF(AA3611=1,"",INDEX(DATAS,Y3610+1)),INDEX(DATAS,Y3610+1)),"")</f>
        <v/>
      </c>
    </row>
    <row r="3611" customFormat="false" ht="15" hidden="false" customHeight="false" outlineLevel="0" collapsed="false">
      <c r="A3611" s="45" t="n">
        <v>46309</v>
      </c>
      <c r="B3611" s="0" t="n">
        <v>16</v>
      </c>
      <c r="C3611" s="0" t="n">
        <v>8074</v>
      </c>
      <c r="E3611" s="0" t="n">
        <v>0</v>
      </c>
      <c r="F3611" s="39" t="s">
        <v>1608</v>
      </c>
      <c r="I3611" s="39" t="s">
        <v>136</v>
      </c>
      <c r="U3611" s="0" t="n">
        <v>50</v>
      </c>
      <c r="V3611" s="0" t="n">
        <v>0</v>
      </c>
      <c r="W3611" s="39" t="n">
        <f aca="false">IF(I3611="Male",0,1)</f>
        <v>1</v>
      </c>
      <c r="X3611" s="39" t="n">
        <f aca="false">IF(OR(I3611="DNB",I3611="Dry DNB"),1,0)</f>
        <v>0</v>
      </c>
      <c r="Y3611" s="39" t="n">
        <f aca="false">MATCH(A3611,DATAS,0)</f>
        <v>1</v>
      </c>
      <c r="Z3611" s="39" t="n">
        <f aca="false">IF(AND(E3611&gt;0,OR(AND(B3611&gt;=1,B3611&lt;=6),B3611=10)),1,0)</f>
        <v>0</v>
      </c>
      <c r="AA3611" s="39" t="n">
        <f aca="false">IF(AND(E3611&gt;0,B3611=10),1,0)</f>
        <v>0</v>
      </c>
      <c r="AB3611" s="0" t="str">
        <f aca="false">IF(AND(C3610=C3611,Y3610=Y3611-1),Z3610,"")</f>
        <v/>
      </c>
      <c r="AC3611" s="0" t="str">
        <f aca="false">IF(AND(C3610=C3611,Y3610=Y3611-1),AA3610,"")</f>
        <v/>
      </c>
      <c r="AD3611" s="0" t="str">
        <f aca="false">IF(Y3611=1,"",IF(AND(Z3611=1,AB3611&lt;&gt;1),1,0))</f>
        <v/>
      </c>
      <c r="AE3611" s="0" t="str">
        <f aca="false">IF(Y3611=1,"",IF(AND(AA3611=1,AC3611&lt;&gt;1),1,0))</f>
        <v/>
      </c>
      <c r="AF3611" s="45" t="str">
        <f aca="false">IF(AND(E3611&gt;0,Y3611&lt;1,NOT(AND(C3612=C3611,Y3612=Y3611+1))),INDEX(DATAS,Y3611+1),"")</f>
        <v/>
      </c>
      <c r="AG3611" s="45" t="str">
        <f aca="false">IF(AND(AA3611=1,Y3611&lt;1),IF(AND(C3612=C3611,Y3612=Y3611+1),IF(AA3612=1,"",INDEX(DATAS,Y3611+1)),INDEX(DATAS,Y3611+1)),"")</f>
        <v/>
      </c>
    </row>
    <row r="3612" customFormat="false" ht="15" hidden="false" customHeight="false" outlineLevel="0" collapsed="false">
      <c r="A3612" s="45" t="n">
        <v>46309</v>
      </c>
      <c r="B3612" s="0" t="n">
        <v>16</v>
      </c>
      <c r="C3612" s="0" t="n">
        <v>8076</v>
      </c>
      <c r="E3612" s="0" t="n">
        <v>0</v>
      </c>
      <c r="F3612" s="39" t="s">
        <v>1608</v>
      </c>
      <c r="I3612" s="39" t="s">
        <v>136</v>
      </c>
      <c r="U3612" s="0" t="n">
        <v>50</v>
      </c>
      <c r="V3612" s="0" t="n">
        <v>0</v>
      </c>
      <c r="W3612" s="39" t="n">
        <f aca="false">IF(I3612="Male",0,1)</f>
        <v>1</v>
      </c>
      <c r="X3612" s="39" t="n">
        <f aca="false">IF(OR(I3612="DNB",I3612="Dry DNB"),1,0)</f>
        <v>0</v>
      </c>
      <c r="Y3612" s="39" t="n">
        <f aca="false">MATCH(A3612,DATAS,0)</f>
        <v>1</v>
      </c>
      <c r="Z3612" s="39" t="n">
        <f aca="false">IF(AND(E3612&gt;0,OR(AND(B3612&gt;=1,B3612&lt;=6),B3612=10)),1,0)</f>
        <v>0</v>
      </c>
      <c r="AA3612" s="39" t="n">
        <f aca="false">IF(AND(E3612&gt;0,B3612=10),1,0)</f>
        <v>0</v>
      </c>
      <c r="AB3612" s="0" t="str">
        <f aca="false">IF(AND(C3611=C3612,Y3611=Y3612-1),Z3611,"")</f>
        <v/>
      </c>
      <c r="AC3612" s="0" t="str">
        <f aca="false">IF(AND(C3611=C3612,Y3611=Y3612-1),AA3611,"")</f>
        <v/>
      </c>
      <c r="AD3612" s="0" t="str">
        <f aca="false">IF(Y3612=1,"",IF(AND(Z3612=1,AB3612&lt;&gt;1),1,0))</f>
        <v/>
      </c>
      <c r="AE3612" s="0" t="str">
        <f aca="false">IF(Y3612=1,"",IF(AND(AA3612=1,AC3612&lt;&gt;1),1,0))</f>
        <v/>
      </c>
      <c r="AF3612" s="45" t="str">
        <f aca="false">IF(AND(E3612&gt;0,Y3612&lt;1,NOT(AND(C3613=C3612,Y3613=Y3612+1))),INDEX(DATAS,Y3612+1),"")</f>
        <v/>
      </c>
      <c r="AG3612" s="45" t="str">
        <f aca="false">IF(AND(AA3612=1,Y3612&lt;1),IF(AND(C3613=C3612,Y3613=Y3612+1),IF(AA3613=1,"",INDEX(DATAS,Y3612+1)),INDEX(DATAS,Y3612+1)),"")</f>
        <v/>
      </c>
    </row>
    <row r="3613" customFormat="false" ht="15" hidden="false" customHeight="false" outlineLevel="0" collapsed="false">
      <c r="A3613" s="45" t="n">
        <v>46309</v>
      </c>
      <c r="B3613" s="0" t="n">
        <v>16</v>
      </c>
      <c r="C3613" s="0" t="n">
        <v>8077</v>
      </c>
      <c r="E3613" s="0" t="n">
        <v>0</v>
      </c>
      <c r="F3613" s="39" t="s">
        <v>1609</v>
      </c>
      <c r="I3613" s="39" t="s">
        <v>136</v>
      </c>
      <c r="U3613" s="0" t="n">
        <v>49</v>
      </c>
      <c r="V3613" s="0" t="n">
        <v>0</v>
      </c>
      <c r="W3613" s="39" t="n">
        <f aca="false">IF(I3613="Male",0,1)</f>
        <v>1</v>
      </c>
      <c r="X3613" s="39" t="n">
        <f aca="false">IF(OR(I3613="DNB",I3613="Dry DNB"),1,0)</f>
        <v>0</v>
      </c>
      <c r="Y3613" s="39" t="n">
        <f aca="false">MATCH(A3613,DATAS,0)</f>
        <v>1</v>
      </c>
      <c r="Z3613" s="39" t="n">
        <f aca="false">IF(AND(E3613&gt;0,OR(AND(B3613&gt;=1,B3613&lt;=6),B3613=10)),1,0)</f>
        <v>0</v>
      </c>
      <c r="AA3613" s="39" t="n">
        <f aca="false">IF(AND(E3613&gt;0,B3613=10),1,0)</f>
        <v>0</v>
      </c>
      <c r="AB3613" s="0" t="str">
        <f aca="false">IF(AND(C3612=C3613,Y3612=Y3613-1),Z3612,"")</f>
        <v/>
      </c>
      <c r="AC3613" s="0" t="str">
        <f aca="false">IF(AND(C3612=C3613,Y3612=Y3613-1),AA3612,"")</f>
        <v/>
      </c>
      <c r="AD3613" s="0" t="str">
        <f aca="false">IF(Y3613=1,"",IF(AND(Z3613=1,AB3613&lt;&gt;1),1,0))</f>
        <v/>
      </c>
      <c r="AE3613" s="0" t="str">
        <f aca="false">IF(Y3613=1,"",IF(AND(AA3613=1,AC3613&lt;&gt;1),1,0))</f>
        <v/>
      </c>
      <c r="AF3613" s="45" t="str">
        <f aca="false">IF(AND(E3613&gt;0,Y3613&lt;1,NOT(AND(C3614=C3613,Y3614=Y3613+1))),INDEX(DATAS,Y3613+1),"")</f>
        <v/>
      </c>
      <c r="AG3613" s="45" t="str">
        <f aca="false">IF(AND(AA3613=1,Y3613&lt;1),IF(AND(C3614=C3613,Y3614=Y3613+1),IF(AA3614=1,"",INDEX(DATAS,Y3613+1)),INDEX(DATAS,Y3613+1)),"")</f>
        <v/>
      </c>
    </row>
    <row r="3614" customFormat="false" ht="15" hidden="false" customHeight="false" outlineLevel="0" collapsed="false">
      <c r="A3614" s="45" t="n">
        <v>46309</v>
      </c>
      <c r="B3614" s="0" t="n">
        <v>16</v>
      </c>
      <c r="C3614" s="0" t="n">
        <v>8078</v>
      </c>
      <c r="E3614" s="0" t="n">
        <v>0</v>
      </c>
      <c r="F3614" s="39" t="s">
        <v>1609</v>
      </c>
      <c r="I3614" s="39" t="s">
        <v>136</v>
      </c>
      <c r="U3614" s="0" t="n">
        <v>49</v>
      </c>
      <c r="V3614" s="0" t="n">
        <v>0</v>
      </c>
      <c r="W3614" s="39" t="n">
        <f aca="false">IF(I3614="Male",0,1)</f>
        <v>1</v>
      </c>
      <c r="X3614" s="39" t="n">
        <f aca="false">IF(OR(I3614="DNB",I3614="Dry DNB"),1,0)</f>
        <v>0</v>
      </c>
      <c r="Y3614" s="39" t="n">
        <f aca="false">MATCH(A3614,DATAS,0)</f>
        <v>1</v>
      </c>
      <c r="Z3614" s="39" t="n">
        <f aca="false">IF(AND(E3614&gt;0,OR(AND(B3614&gt;=1,B3614&lt;=6),B3614=10)),1,0)</f>
        <v>0</v>
      </c>
      <c r="AA3614" s="39" t="n">
        <f aca="false">IF(AND(E3614&gt;0,B3614=10),1,0)</f>
        <v>0</v>
      </c>
      <c r="AB3614" s="0" t="str">
        <f aca="false">IF(AND(C3613=C3614,Y3613=Y3614-1),Z3613,"")</f>
        <v/>
      </c>
      <c r="AC3614" s="0" t="str">
        <f aca="false">IF(AND(C3613=C3614,Y3613=Y3614-1),AA3613,"")</f>
        <v/>
      </c>
      <c r="AD3614" s="0" t="str">
        <f aca="false">IF(Y3614=1,"",IF(AND(Z3614=1,AB3614&lt;&gt;1),1,0))</f>
        <v/>
      </c>
      <c r="AE3614" s="0" t="str">
        <f aca="false">IF(Y3614=1,"",IF(AND(AA3614=1,AC3614&lt;&gt;1),1,0))</f>
        <v/>
      </c>
      <c r="AF3614" s="45" t="str">
        <f aca="false">IF(AND(E3614&gt;0,Y3614&lt;1,NOT(AND(C3615=C3614,Y3615=Y3614+1))),INDEX(DATAS,Y3614+1),"")</f>
        <v/>
      </c>
      <c r="AG3614" s="45" t="str">
        <f aca="false">IF(AND(AA3614=1,Y3614&lt;1),IF(AND(C3615=C3614,Y3615=Y3614+1),IF(AA3615=1,"",INDEX(DATAS,Y3614+1)),INDEX(DATAS,Y3614+1)),"")</f>
        <v/>
      </c>
    </row>
    <row r="3615" customFormat="false" ht="15" hidden="false" customHeight="false" outlineLevel="0" collapsed="false">
      <c r="A3615" s="45" t="n">
        <v>46309</v>
      </c>
      <c r="B3615" s="0" t="n">
        <v>16</v>
      </c>
      <c r="C3615" s="0" t="n">
        <v>8079</v>
      </c>
      <c r="E3615" s="0" t="n">
        <v>0</v>
      </c>
      <c r="F3615" s="39" t="s">
        <v>1609</v>
      </c>
      <c r="I3615" s="39" t="s">
        <v>136</v>
      </c>
      <c r="U3615" s="0" t="n">
        <v>49</v>
      </c>
      <c r="V3615" s="0" t="n">
        <v>0</v>
      </c>
      <c r="W3615" s="39" t="n">
        <f aca="false">IF(I3615="Male",0,1)</f>
        <v>1</v>
      </c>
      <c r="X3615" s="39" t="n">
        <f aca="false">IF(OR(I3615="DNB",I3615="Dry DNB"),1,0)</f>
        <v>0</v>
      </c>
      <c r="Y3615" s="39" t="n">
        <f aca="false">MATCH(A3615,DATAS,0)</f>
        <v>1</v>
      </c>
      <c r="Z3615" s="39" t="n">
        <f aca="false">IF(AND(E3615&gt;0,OR(AND(B3615&gt;=1,B3615&lt;=6),B3615=10)),1,0)</f>
        <v>0</v>
      </c>
      <c r="AA3615" s="39" t="n">
        <f aca="false">IF(AND(E3615&gt;0,B3615=10),1,0)</f>
        <v>0</v>
      </c>
      <c r="AB3615" s="0" t="str">
        <f aca="false">IF(AND(C3614=C3615,Y3614=Y3615-1),Z3614,"")</f>
        <v/>
      </c>
      <c r="AC3615" s="0" t="str">
        <f aca="false">IF(AND(C3614=C3615,Y3614=Y3615-1),AA3614,"")</f>
        <v/>
      </c>
      <c r="AD3615" s="0" t="str">
        <f aca="false">IF(Y3615=1,"",IF(AND(Z3615=1,AB3615&lt;&gt;1),1,0))</f>
        <v/>
      </c>
      <c r="AE3615" s="0" t="str">
        <f aca="false">IF(Y3615=1,"",IF(AND(AA3615=1,AC3615&lt;&gt;1),1,0))</f>
        <v/>
      </c>
      <c r="AF3615" s="45" t="str">
        <f aca="false">IF(AND(E3615&gt;0,Y3615&lt;1,NOT(AND(C3616=C3615,Y3616=Y3615+1))),INDEX(DATAS,Y3615+1),"")</f>
        <v/>
      </c>
      <c r="AG3615" s="45" t="str">
        <f aca="false">IF(AND(AA3615=1,Y3615&lt;1),IF(AND(C3616=C3615,Y3616=Y3615+1),IF(AA3616=1,"",INDEX(DATAS,Y3615+1)),INDEX(DATAS,Y3615+1)),"")</f>
        <v/>
      </c>
    </row>
    <row r="3616" customFormat="false" ht="15" hidden="false" customHeight="false" outlineLevel="0" collapsed="false">
      <c r="A3616" s="45" t="n">
        <v>46309</v>
      </c>
      <c r="B3616" s="0" t="n">
        <v>16</v>
      </c>
      <c r="C3616" s="0" t="n">
        <v>8080</v>
      </c>
      <c r="E3616" s="0" t="n">
        <v>0</v>
      </c>
      <c r="F3616" s="39" t="s">
        <v>1609</v>
      </c>
      <c r="I3616" s="39" t="s">
        <v>136</v>
      </c>
      <c r="U3616" s="0" t="n">
        <v>49</v>
      </c>
      <c r="V3616" s="0" t="n">
        <v>0</v>
      </c>
      <c r="W3616" s="39" t="n">
        <f aca="false">IF(I3616="Male",0,1)</f>
        <v>1</v>
      </c>
      <c r="X3616" s="39" t="n">
        <f aca="false">IF(OR(I3616="DNB",I3616="Dry DNB"),1,0)</f>
        <v>0</v>
      </c>
      <c r="Y3616" s="39" t="n">
        <f aca="false">MATCH(A3616,DATAS,0)</f>
        <v>1</v>
      </c>
      <c r="Z3616" s="39" t="n">
        <f aca="false">IF(AND(E3616&gt;0,OR(AND(B3616&gt;=1,B3616&lt;=6),B3616=10)),1,0)</f>
        <v>0</v>
      </c>
      <c r="AA3616" s="39" t="n">
        <f aca="false">IF(AND(E3616&gt;0,B3616=10),1,0)</f>
        <v>0</v>
      </c>
      <c r="AB3616" s="0" t="str">
        <f aca="false">IF(AND(C3615=C3616,Y3615=Y3616-1),Z3615,"")</f>
        <v/>
      </c>
      <c r="AC3616" s="0" t="str">
        <f aca="false">IF(AND(C3615=C3616,Y3615=Y3616-1),AA3615,"")</f>
        <v/>
      </c>
      <c r="AD3616" s="0" t="str">
        <f aca="false">IF(Y3616=1,"",IF(AND(Z3616=1,AB3616&lt;&gt;1),1,0))</f>
        <v/>
      </c>
      <c r="AE3616" s="0" t="str">
        <f aca="false">IF(Y3616=1,"",IF(AND(AA3616=1,AC3616&lt;&gt;1),1,0))</f>
        <v/>
      </c>
      <c r="AF3616" s="45" t="str">
        <f aca="false">IF(AND(E3616&gt;0,Y3616&lt;1,NOT(AND(C3617=C3616,Y3617=Y3616+1))),INDEX(DATAS,Y3616+1),"")</f>
        <v/>
      </c>
      <c r="AG3616" s="45" t="str">
        <f aca="false">IF(AND(AA3616=1,Y3616&lt;1),IF(AND(C3617=C3616,Y3617=Y3616+1),IF(AA3617=1,"",INDEX(DATAS,Y3616+1)),INDEX(DATAS,Y3616+1)),"")</f>
        <v/>
      </c>
    </row>
    <row r="3617" customFormat="false" ht="15" hidden="false" customHeight="false" outlineLevel="0" collapsed="false">
      <c r="A3617" s="45" t="n">
        <v>46309</v>
      </c>
      <c r="B3617" s="0" t="n">
        <v>16</v>
      </c>
      <c r="C3617" s="0" t="n">
        <v>8081</v>
      </c>
      <c r="E3617" s="0" t="n">
        <v>0</v>
      </c>
      <c r="F3617" s="39" t="s">
        <v>1610</v>
      </c>
      <c r="I3617" s="39" t="s">
        <v>136</v>
      </c>
      <c r="U3617" s="0" t="n">
        <v>48</v>
      </c>
      <c r="V3617" s="0" t="n">
        <v>0</v>
      </c>
      <c r="W3617" s="39" t="n">
        <f aca="false">IF(I3617="Male",0,1)</f>
        <v>1</v>
      </c>
      <c r="X3617" s="39" t="n">
        <f aca="false">IF(OR(I3617="DNB",I3617="Dry DNB"),1,0)</f>
        <v>0</v>
      </c>
      <c r="Y3617" s="39" t="n">
        <f aca="false">MATCH(A3617,DATAS,0)</f>
        <v>1</v>
      </c>
      <c r="Z3617" s="39" t="n">
        <f aca="false">IF(AND(E3617&gt;0,OR(AND(B3617&gt;=1,B3617&lt;=6),B3617=10)),1,0)</f>
        <v>0</v>
      </c>
      <c r="AA3617" s="39" t="n">
        <f aca="false">IF(AND(E3617&gt;0,B3617=10),1,0)</f>
        <v>0</v>
      </c>
      <c r="AB3617" s="0" t="str">
        <f aca="false">IF(AND(C3616=C3617,Y3616=Y3617-1),Z3616,"")</f>
        <v/>
      </c>
      <c r="AC3617" s="0" t="str">
        <f aca="false">IF(AND(C3616=C3617,Y3616=Y3617-1),AA3616,"")</f>
        <v/>
      </c>
      <c r="AD3617" s="0" t="str">
        <f aca="false">IF(Y3617=1,"",IF(AND(Z3617=1,AB3617&lt;&gt;1),1,0))</f>
        <v/>
      </c>
      <c r="AE3617" s="0" t="str">
        <f aca="false">IF(Y3617=1,"",IF(AND(AA3617=1,AC3617&lt;&gt;1),1,0))</f>
        <v/>
      </c>
      <c r="AF3617" s="45" t="str">
        <f aca="false">IF(AND(E3617&gt;0,Y3617&lt;1,NOT(AND(C3618=C3617,Y3618=Y3617+1))),INDEX(DATAS,Y3617+1),"")</f>
        <v/>
      </c>
      <c r="AG3617" s="45" t="str">
        <f aca="false">IF(AND(AA3617=1,Y3617&lt;1),IF(AND(C3618=C3617,Y3618=Y3617+1),IF(AA3618=1,"",INDEX(DATAS,Y3617+1)),INDEX(DATAS,Y3617+1)),"")</f>
        <v/>
      </c>
    </row>
    <row r="3618" customFormat="false" ht="15" hidden="false" customHeight="false" outlineLevel="0" collapsed="false">
      <c r="A3618" s="45" t="n">
        <v>46309</v>
      </c>
      <c r="B3618" s="0" t="n">
        <v>16</v>
      </c>
      <c r="C3618" s="0" t="n">
        <v>8082</v>
      </c>
      <c r="E3618" s="0" t="n">
        <v>0</v>
      </c>
      <c r="F3618" s="39" t="s">
        <v>1610</v>
      </c>
      <c r="I3618" s="39" t="s">
        <v>136</v>
      </c>
      <c r="U3618" s="0" t="n">
        <v>48</v>
      </c>
      <c r="V3618" s="0" t="n">
        <v>0</v>
      </c>
      <c r="W3618" s="39" t="n">
        <f aca="false">IF(I3618="Male",0,1)</f>
        <v>1</v>
      </c>
      <c r="X3618" s="39" t="n">
        <f aca="false">IF(OR(I3618="DNB",I3618="Dry DNB"),1,0)</f>
        <v>0</v>
      </c>
      <c r="Y3618" s="39" t="n">
        <f aca="false">MATCH(A3618,DATAS,0)</f>
        <v>1</v>
      </c>
      <c r="Z3618" s="39" t="n">
        <f aca="false">IF(AND(E3618&gt;0,OR(AND(B3618&gt;=1,B3618&lt;=6),B3618=10)),1,0)</f>
        <v>0</v>
      </c>
      <c r="AA3618" s="39" t="n">
        <f aca="false">IF(AND(E3618&gt;0,B3618=10),1,0)</f>
        <v>0</v>
      </c>
      <c r="AB3618" s="0" t="str">
        <f aca="false">IF(AND(C3617=C3618,Y3617=Y3618-1),Z3617,"")</f>
        <v/>
      </c>
      <c r="AC3618" s="0" t="str">
        <f aca="false">IF(AND(C3617=C3618,Y3617=Y3618-1),AA3617,"")</f>
        <v/>
      </c>
      <c r="AD3618" s="0" t="str">
        <f aca="false">IF(Y3618=1,"",IF(AND(Z3618=1,AB3618&lt;&gt;1),1,0))</f>
        <v/>
      </c>
      <c r="AE3618" s="0" t="str">
        <f aca="false">IF(Y3618=1,"",IF(AND(AA3618=1,AC3618&lt;&gt;1),1,0))</f>
        <v/>
      </c>
      <c r="AF3618" s="45" t="str">
        <f aca="false">IF(AND(E3618&gt;0,Y3618&lt;1,NOT(AND(C3619=C3618,Y3619=Y3618+1))),INDEX(DATAS,Y3618+1),"")</f>
        <v/>
      </c>
      <c r="AG3618" s="45" t="str">
        <f aca="false">IF(AND(AA3618=1,Y3618&lt;1),IF(AND(C3619=C3618,Y3619=Y3618+1),IF(AA3619=1,"",INDEX(DATAS,Y3618+1)),INDEX(DATAS,Y3618+1)),"")</f>
        <v/>
      </c>
    </row>
    <row r="3619" customFormat="false" ht="15" hidden="false" customHeight="false" outlineLevel="0" collapsed="false">
      <c r="A3619" s="45" t="n">
        <v>46309</v>
      </c>
      <c r="B3619" s="0" t="n">
        <v>16</v>
      </c>
      <c r="C3619" s="0" t="n">
        <v>8083</v>
      </c>
      <c r="E3619" s="0" t="n">
        <v>0</v>
      </c>
      <c r="F3619" s="39" t="s">
        <v>1610</v>
      </c>
      <c r="I3619" s="39" t="s">
        <v>136</v>
      </c>
      <c r="U3619" s="0" t="n">
        <v>48</v>
      </c>
      <c r="V3619" s="0" t="n">
        <v>0</v>
      </c>
      <c r="W3619" s="39" t="n">
        <f aca="false">IF(I3619="Male",0,1)</f>
        <v>1</v>
      </c>
      <c r="X3619" s="39" t="n">
        <f aca="false">IF(OR(I3619="DNB",I3619="Dry DNB"),1,0)</f>
        <v>0</v>
      </c>
      <c r="Y3619" s="39" t="n">
        <f aca="false">MATCH(A3619,DATAS,0)</f>
        <v>1</v>
      </c>
      <c r="Z3619" s="39" t="n">
        <f aca="false">IF(AND(E3619&gt;0,OR(AND(B3619&gt;=1,B3619&lt;=6),B3619=10)),1,0)</f>
        <v>0</v>
      </c>
      <c r="AA3619" s="39" t="n">
        <f aca="false">IF(AND(E3619&gt;0,B3619=10),1,0)</f>
        <v>0</v>
      </c>
      <c r="AB3619" s="0" t="str">
        <f aca="false">IF(AND(C3618=C3619,Y3618=Y3619-1),Z3618,"")</f>
        <v/>
      </c>
      <c r="AC3619" s="0" t="str">
        <f aca="false">IF(AND(C3618=C3619,Y3618=Y3619-1),AA3618,"")</f>
        <v/>
      </c>
      <c r="AD3619" s="0" t="str">
        <f aca="false">IF(Y3619=1,"",IF(AND(Z3619=1,AB3619&lt;&gt;1),1,0))</f>
        <v/>
      </c>
      <c r="AE3619" s="0" t="str">
        <f aca="false">IF(Y3619=1,"",IF(AND(AA3619=1,AC3619&lt;&gt;1),1,0))</f>
        <v/>
      </c>
      <c r="AF3619" s="45" t="str">
        <f aca="false">IF(AND(E3619&gt;0,Y3619&lt;1,NOT(AND(C3620=C3619,Y3620=Y3619+1))),INDEX(DATAS,Y3619+1),"")</f>
        <v/>
      </c>
      <c r="AG3619" s="45" t="str">
        <f aca="false">IF(AND(AA3619=1,Y3619&lt;1),IF(AND(C3620=C3619,Y3620=Y3619+1),IF(AA3620=1,"",INDEX(DATAS,Y3619+1)),INDEX(DATAS,Y3619+1)),"")</f>
        <v/>
      </c>
    </row>
    <row r="3620" customFormat="false" ht="15" hidden="false" customHeight="false" outlineLevel="0" collapsed="false">
      <c r="A3620" s="45" t="n">
        <v>46309</v>
      </c>
      <c r="B3620" s="0" t="n">
        <v>16</v>
      </c>
      <c r="C3620" s="0" t="n">
        <v>8084</v>
      </c>
      <c r="E3620" s="0" t="n">
        <v>0</v>
      </c>
      <c r="F3620" s="39" t="s">
        <v>1611</v>
      </c>
      <c r="I3620" s="39" t="s">
        <v>136</v>
      </c>
      <c r="U3620" s="0" t="n">
        <v>46</v>
      </c>
      <c r="V3620" s="0" t="n">
        <v>0</v>
      </c>
      <c r="W3620" s="39" t="n">
        <f aca="false">IF(I3620="Male",0,1)</f>
        <v>1</v>
      </c>
      <c r="X3620" s="39" t="n">
        <f aca="false">IF(OR(I3620="DNB",I3620="Dry DNB"),1,0)</f>
        <v>0</v>
      </c>
      <c r="Y3620" s="39" t="n">
        <f aca="false">MATCH(A3620,DATAS,0)</f>
        <v>1</v>
      </c>
      <c r="Z3620" s="39" t="n">
        <f aca="false">IF(AND(E3620&gt;0,OR(AND(B3620&gt;=1,B3620&lt;=6),B3620=10)),1,0)</f>
        <v>0</v>
      </c>
      <c r="AA3620" s="39" t="n">
        <f aca="false">IF(AND(E3620&gt;0,B3620=10),1,0)</f>
        <v>0</v>
      </c>
      <c r="AB3620" s="0" t="str">
        <f aca="false">IF(AND(C3619=C3620,Y3619=Y3620-1),Z3619,"")</f>
        <v/>
      </c>
      <c r="AC3620" s="0" t="str">
        <f aca="false">IF(AND(C3619=C3620,Y3619=Y3620-1),AA3619,"")</f>
        <v/>
      </c>
      <c r="AD3620" s="0" t="str">
        <f aca="false">IF(Y3620=1,"",IF(AND(Z3620=1,AB3620&lt;&gt;1),1,0))</f>
        <v/>
      </c>
      <c r="AE3620" s="0" t="str">
        <f aca="false">IF(Y3620=1,"",IF(AND(AA3620=1,AC3620&lt;&gt;1),1,0))</f>
        <v/>
      </c>
      <c r="AF3620" s="45" t="str">
        <f aca="false">IF(AND(E3620&gt;0,Y3620&lt;1,NOT(AND(C3621=C3620,Y3621=Y3620+1))),INDEX(DATAS,Y3620+1),"")</f>
        <v/>
      </c>
      <c r="AG3620" s="45" t="str">
        <f aca="false">IF(AND(AA3620=1,Y3620&lt;1),IF(AND(C3621=C3620,Y3621=Y3620+1),IF(AA3621=1,"",INDEX(DATAS,Y3620+1)),INDEX(DATAS,Y3620+1)),"")</f>
        <v/>
      </c>
    </row>
    <row r="3621" customFormat="false" ht="15" hidden="false" customHeight="false" outlineLevel="0" collapsed="false">
      <c r="A3621" s="45" t="n">
        <v>46309</v>
      </c>
      <c r="B3621" s="0" t="n">
        <v>16</v>
      </c>
      <c r="C3621" s="0" t="n">
        <v>8085</v>
      </c>
      <c r="E3621" s="0" t="n">
        <v>0</v>
      </c>
      <c r="F3621" s="39" t="s">
        <v>1611</v>
      </c>
      <c r="I3621" s="39" t="s">
        <v>136</v>
      </c>
      <c r="U3621" s="0" t="n">
        <v>46</v>
      </c>
      <c r="V3621" s="0" t="n">
        <v>0</v>
      </c>
      <c r="W3621" s="39" t="n">
        <f aca="false">IF(I3621="Male",0,1)</f>
        <v>1</v>
      </c>
      <c r="X3621" s="39" t="n">
        <f aca="false">IF(OR(I3621="DNB",I3621="Dry DNB"),1,0)</f>
        <v>0</v>
      </c>
      <c r="Y3621" s="39" t="n">
        <f aca="false">MATCH(A3621,DATAS,0)</f>
        <v>1</v>
      </c>
      <c r="Z3621" s="39" t="n">
        <f aca="false">IF(AND(E3621&gt;0,OR(AND(B3621&gt;=1,B3621&lt;=6),B3621=10)),1,0)</f>
        <v>0</v>
      </c>
      <c r="AA3621" s="39" t="n">
        <f aca="false">IF(AND(E3621&gt;0,B3621=10),1,0)</f>
        <v>0</v>
      </c>
      <c r="AB3621" s="0" t="str">
        <f aca="false">IF(AND(C3620=C3621,Y3620=Y3621-1),Z3620,"")</f>
        <v/>
      </c>
      <c r="AC3621" s="0" t="str">
        <f aca="false">IF(AND(C3620=C3621,Y3620=Y3621-1),AA3620,"")</f>
        <v/>
      </c>
      <c r="AD3621" s="0" t="str">
        <f aca="false">IF(Y3621=1,"",IF(AND(Z3621=1,AB3621&lt;&gt;1),1,0))</f>
        <v/>
      </c>
      <c r="AE3621" s="0" t="str">
        <f aca="false">IF(Y3621=1,"",IF(AND(AA3621=1,AC3621&lt;&gt;1),1,0))</f>
        <v/>
      </c>
      <c r="AF3621" s="45" t="str">
        <f aca="false">IF(AND(E3621&gt;0,Y3621&lt;1,NOT(AND(C3622=C3621,Y3622=Y3621+1))),INDEX(DATAS,Y3621+1),"")</f>
        <v/>
      </c>
      <c r="AG3621" s="45" t="str">
        <f aca="false">IF(AND(AA3621=1,Y3621&lt;1),IF(AND(C3622=C3621,Y3622=Y3621+1),IF(AA3622=1,"",INDEX(DATAS,Y3621+1)),INDEX(DATAS,Y3621+1)),"")</f>
        <v/>
      </c>
    </row>
    <row r="3622" customFormat="false" ht="15" hidden="false" customHeight="false" outlineLevel="0" collapsed="false">
      <c r="A3622" s="45" t="n">
        <v>46309</v>
      </c>
      <c r="B3622" s="0" t="n">
        <v>16</v>
      </c>
      <c r="C3622" s="0" t="n">
        <v>8086</v>
      </c>
      <c r="E3622" s="0" t="n">
        <v>0</v>
      </c>
      <c r="F3622" s="39" t="s">
        <v>1612</v>
      </c>
      <c r="I3622" s="39" t="s">
        <v>136</v>
      </c>
      <c r="U3622" s="0" t="n">
        <v>44</v>
      </c>
      <c r="V3622" s="0" t="n">
        <v>0</v>
      </c>
      <c r="W3622" s="39" t="n">
        <f aca="false">IF(I3622="Male",0,1)</f>
        <v>1</v>
      </c>
      <c r="X3622" s="39" t="n">
        <f aca="false">IF(OR(I3622="DNB",I3622="Dry DNB"),1,0)</f>
        <v>0</v>
      </c>
      <c r="Y3622" s="39" t="n">
        <f aca="false">MATCH(A3622,DATAS,0)</f>
        <v>1</v>
      </c>
      <c r="Z3622" s="39" t="n">
        <f aca="false">IF(AND(E3622&gt;0,OR(AND(B3622&gt;=1,B3622&lt;=6),B3622=10)),1,0)</f>
        <v>0</v>
      </c>
      <c r="AA3622" s="39" t="n">
        <f aca="false">IF(AND(E3622&gt;0,B3622=10),1,0)</f>
        <v>0</v>
      </c>
      <c r="AB3622" s="0" t="str">
        <f aca="false">IF(AND(C3621=C3622,Y3621=Y3622-1),Z3621,"")</f>
        <v/>
      </c>
      <c r="AC3622" s="0" t="str">
        <f aca="false">IF(AND(C3621=C3622,Y3621=Y3622-1),AA3621,"")</f>
        <v/>
      </c>
      <c r="AD3622" s="0" t="str">
        <f aca="false">IF(Y3622=1,"",IF(AND(Z3622=1,AB3622&lt;&gt;1),1,0))</f>
        <v/>
      </c>
      <c r="AE3622" s="0" t="str">
        <f aca="false">IF(Y3622=1,"",IF(AND(AA3622=1,AC3622&lt;&gt;1),1,0))</f>
        <v/>
      </c>
      <c r="AF3622" s="45" t="str">
        <f aca="false">IF(AND(E3622&gt;0,Y3622&lt;1,NOT(AND(C3623=C3622,Y3623=Y3622+1))),INDEX(DATAS,Y3622+1),"")</f>
        <v/>
      </c>
      <c r="AG3622" s="45" t="str">
        <f aca="false">IF(AND(AA3622=1,Y3622&lt;1),IF(AND(C3623=C3622,Y3623=Y3622+1),IF(AA3623=1,"",INDEX(DATAS,Y3622+1)),INDEX(DATAS,Y3622+1)),"")</f>
        <v/>
      </c>
    </row>
    <row r="3623" customFormat="false" ht="15" hidden="false" customHeight="false" outlineLevel="0" collapsed="false">
      <c r="A3623" s="45" t="n">
        <v>46309</v>
      </c>
      <c r="B3623" s="0" t="n">
        <v>16</v>
      </c>
      <c r="C3623" s="0" t="n">
        <v>8087</v>
      </c>
      <c r="E3623" s="0" t="n">
        <v>0</v>
      </c>
      <c r="F3623" s="39" t="s">
        <v>1611</v>
      </c>
      <c r="I3623" s="39" t="s">
        <v>136</v>
      </c>
      <c r="U3623" s="0" t="n">
        <v>46</v>
      </c>
      <c r="V3623" s="0" t="n">
        <v>0</v>
      </c>
      <c r="W3623" s="39" t="n">
        <f aca="false">IF(I3623="Male",0,1)</f>
        <v>1</v>
      </c>
      <c r="X3623" s="39" t="n">
        <f aca="false">IF(OR(I3623="DNB",I3623="Dry DNB"),1,0)</f>
        <v>0</v>
      </c>
      <c r="Y3623" s="39" t="n">
        <f aca="false">MATCH(A3623,DATAS,0)</f>
        <v>1</v>
      </c>
      <c r="Z3623" s="39" t="n">
        <f aca="false">IF(AND(E3623&gt;0,OR(AND(B3623&gt;=1,B3623&lt;=6),B3623=10)),1,0)</f>
        <v>0</v>
      </c>
      <c r="AA3623" s="39" t="n">
        <f aca="false">IF(AND(E3623&gt;0,B3623=10),1,0)</f>
        <v>0</v>
      </c>
      <c r="AB3623" s="0" t="str">
        <f aca="false">IF(AND(C3622=C3623,Y3622=Y3623-1),Z3622,"")</f>
        <v/>
      </c>
      <c r="AC3623" s="0" t="str">
        <f aca="false">IF(AND(C3622=C3623,Y3622=Y3623-1),AA3622,"")</f>
        <v/>
      </c>
      <c r="AD3623" s="0" t="str">
        <f aca="false">IF(Y3623=1,"",IF(AND(Z3623=1,AB3623&lt;&gt;1),1,0))</f>
        <v/>
      </c>
      <c r="AE3623" s="0" t="str">
        <f aca="false">IF(Y3623=1,"",IF(AND(AA3623=1,AC3623&lt;&gt;1),1,0))</f>
        <v/>
      </c>
      <c r="AF3623" s="45" t="str">
        <f aca="false">IF(AND(E3623&gt;0,Y3623&lt;1,NOT(AND(C3624=C3623,Y3624=Y3623+1))),INDEX(DATAS,Y3623+1),"")</f>
        <v/>
      </c>
      <c r="AG3623" s="45" t="str">
        <f aca="false">IF(AND(AA3623=1,Y3623&lt;1),IF(AND(C3624=C3623,Y3624=Y3623+1),IF(AA3624=1,"",INDEX(DATAS,Y3623+1)),INDEX(DATAS,Y3623+1)),"")</f>
        <v/>
      </c>
    </row>
    <row r="3624" customFormat="false" ht="15" hidden="false" customHeight="false" outlineLevel="0" collapsed="false">
      <c r="A3624" s="45" t="n">
        <v>46309</v>
      </c>
      <c r="B3624" s="0" t="n">
        <v>16</v>
      </c>
      <c r="C3624" s="0" t="n">
        <v>8088</v>
      </c>
      <c r="E3624" s="0" t="n">
        <v>0</v>
      </c>
      <c r="F3624" s="39" t="s">
        <v>1611</v>
      </c>
      <c r="I3624" s="39" t="s">
        <v>136</v>
      </c>
      <c r="U3624" s="0" t="n">
        <v>46</v>
      </c>
      <c r="V3624" s="0" t="n">
        <v>0</v>
      </c>
      <c r="W3624" s="39" t="n">
        <f aca="false">IF(I3624="Male",0,1)</f>
        <v>1</v>
      </c>
      <c r="X3624" s="39" t="n">
        <f aca="false">IF(OR(I3624="DNB",I3624="Dry DNB"),1,0)</f>
        <v>0</v>
      </c>
      <c r="Y3624" s="39" t="n">
        <f aca="false">MATCH(A3624,DATAS,0)</f>
        <v>1</v>
      </c>
      <c r="Z3624" s="39" t="n">
        <f aca="false">IF(AND(E3624&gt;0,OR(AND(B3624&gt;=1,B3624&lt;=6),B3624=10)),1,0)</f>
        <v>0</v>
      </c>
      <c r="AA3624" s="39" t="n">
        <f aca="false">IF(AND(E3624&gt;0,B3624=10),1,0)</f>
        <v>0</v>
      </c>
      <c r="AB3624" s="0" t="str">
        <f aca="false">IF(AND(C3623=C3624,Y3623=Y3624-1),Z3623,"")</f>
        <v/>
      </c>
      <c r="AC3624" s="0" t="str">
        <f aca="false">IF(AND(C3623=C3624,Y3623=Y3624-1),AA3623,"")</f>
        <v/>
      </c>
      <c r="AD3624" s="0" t="str">
        <f aca="false">IF(Y3624=1,"",IF(AND(Z3624=1,AB3624&lt;&gt;1),1,0))</f>
        <v/>
      </c>
      <c r="AE3624" s="0" t="str">
        <f aca="false">IF(Y3624=1,"",IF(AND(AA3624=1,AC3624&lt;&gt;1),1,0))</f>
        <v/>
      </c>
      <c r="AF3624" s="45" t="str">
        <f aca="false">IF(AND(E3624&gt;0,Y3624&lt;1,NOT(AND(C3625=C3624,Y3625=Y3624+1))),INDEX(DATAS,Y3624+1),"")</f>
        <v/>
      </c>
      <c r="AG3624" s="45" t="str">
        <f aca="false">IF(AND(AA3624=1,Y3624&lt;1),IF(AND(C3625=C3624,Y3625=Y3624+1),IF(AA3625=1,"",INDEX(DATAS,Y3624+1)),INDEX(DATAS,Y3624+1)),"")</f>
        <v/>
      </c>
    </row>
    <row r="3625" customFormat="false" ht="15" hidden="false" customHeight="false" outlineLevel="0" collapsed="false">
      <c r="A3625" s="45" t="n">
        <v>46309</v>
      </c>
      <c r="B3625" s="0" t="n">
        <v>16</v>
      </c>
      <c r="C3625" s="0" t="n">
        <v>8089</v>
      </c>
      <c r="E3625" s="0" t="n">
        <v>0</v>
      </c>
      <c r="F3625" s="39" t="s">
        <v>1613</v>
      </c>
      <c r="I3625" s="39" t="s">
        <v>136</v>
      </c>
      <c r="U3625" s="0" t="n">
        <v>45</v>
      </c>
      <c r="V3625" s="0" t="n">
        <v>0</v>
      </c>
      <c r="W3625" s="39" t="n">
        <f aca="false">IF(I3625="Male",0,1)</f>
        <v>1</v>
      </c>
      <c r="X3625" s="39" t="n">
        <f aca="false">IF(OR(I3625="DNB",I3625="Dry DNB"),1,0)</f>
        <v>0</v>
      </c>
      <c r="Y3625" s="39" t="n">
        <f aca="false">MATCH(A3625,DATAS,0)</f>
        <v>1</v>
      </c>
      <c r="Z3625" s="39" t="n">
        <f aca="false">IF(AND(E3625&gt;0,OR(AND(B3625&gt;=1,B3625&lt;=6),B3625=10)),1,0)</f>
        <v>0</v>
      </c>
      <c r="AA3625" s="39" t="n">
        <f aca="false">IF(AND(E3625&gt;0,B3625=10),1,0)</f>
        <v>0</v>
      </c>
      <c r="AB3625" s="0" t="str">
        <f aca="false">IF(AND(C3624=C3625,Y3624=Y3625-1),Z3624,"")</f>
        <v/>
      </c>
      <c r="AC3625" s="0" t="str">
        <f aca="false">IF(AND(C3624=C3625,Y3624=Y3625-1),AA3624,"")</f>
        <v/>
      </c>
      <c r="AD3625" s="0" t="str">
        <f aca="false">IF(Y3625=1,"",IF(AND(Z3625=1,AB3625&lt;&gt;1),1,0))</f>
        <v/>
      </c>
      <c r="AE3625" s="0" t="str">
        <f aca="false">IF(Y3625=1,"",IF(AND(AA3625=1,AC3625&lt;&gt;1),1,0))</f>
        <v/>
      </c>
      <c r="AF3625" s="45" t="str">
        <f aca="false">IF(AND(E3625&gt;0,Y3625&lt;1,NOT(AND(C3626=C3625,Y3626=Y3625+1))),INDEX(DATAS,Y3625+1),"")</f>
        <v/>
      </c>
      <c r="AG3625" s="45" t="str">
        <f aca="false">IF(AND(AA3625=1,Y3625&lt;1),IF(AND(C3626=C3625,Y3626=Y3625+1),IF(AA3626=1,"",INDEX(DATAS,Y3625+1)),INDEX(DATAS,Y3625+1)),"")</f>
        <v/>
      </c>
    </row>
    <row r="3626" customFormat="false" ht="15" hidden="false" customHeight="false" outlineLevel="0" collapsed="false">
      <c r="A3626" s="45" t="n">
        <v>46309</v>
      </c>
      <c r="B3626" s="0" t="n">
        <v>16</v>
      </c>
      <c r="C3626" s="0" t="n">
        <v>8090</v>
      </c>
      <c r="E3626" s="0" t="n">
        <v>0</v>
      </c>
      <c r="F3626" s="39" t="s">
        <v>1613</v>
      </c>
      <c r="I3626" s="39" t="s">
        <v>136</v>
      </c>
      <c r="U3626" s="0" t="n">
        <v>45</v>
      </c>
      <c r="V3626" s="0" t="n">
        <v>0</v>
      </c>
      <c r="W3626" s="39" t="n">
        <f aca="false">IF(I3626="Male",0,1)</f>
        <v>1</v>
      </c>
      <c r="X3626" s="39" t="n">
        <f aca="false">IF(OR(I3626="DNB",I3626="Dry DNB"),1,0)</f>
        <v>0</v>
      </c>
      <c r="Y3626" s="39" t="n">
        <f aca="false">MATCH(A3626,DATAS,0)</f>
        <v>1</v>
      </c>
      <c r="Z3626" s="39" t="n">
        <f aca="false">IF(AND(E3626&gt;0,OR(AND(B3626&gt;=1,B3626&lt;=6),B3626=10)),1,0)</f>
        <v>0</v>
      </c>
      <c r="AA3626" s="39" t="n">
        <f aca="false">IF(AND(E3626&gt;0,B3626=10),1,0)</f>
        <v>0</v>
      </c>
      <c r="AB3626" s="0" t="str">
        <f aca="false">IF(AND(C3625=C3626,Y3625=Y3626-1),Z3625,"")</f>
        <v/>
      </c>
      <c r="AC3626" s="0" t="str">
        <f aca="false">IF(AND(C3625=C3626,Y3625=Y3626-1),AA3625,"")</f>
        <v/>
      </c>
      <c r="AD3626" s="0" t="str">
        <f aca="false">IF(Y3626=1,"",IF(AND(Z3626=1,AB3626&lt;&gt;1),1,0))</f>
        <v/>
      </c>
      <c r="AE3626" s="0" t="str">
        <f aca="false">IF(Y3626=1,"",IF(AND(AA3626=1,AC3626&lt;&gt;1),1,0))</f>
        <v/>
      </c>
      <c r="AF3626" s="45" t="str">
        <f aca="false">IF(AND(E3626&gt;0,Y3626&lt;1,NOT(AND(C3627=C3626,Y3627=Y3626+1))),INDEX(DATAS,Y3626+1),"")</f>
        <v/>
      </c>
      <c r="AG3626" s="45" t="str">
        <f aca="false">IF(AND(AA3626=1,Y3626&lt;1),IF(AND(C3627=C3626,Y3627=Y3626+1),IF(AA3627=1,"",INDEX(DATAS,Y3626+1)),INDEX(DATAS,Y3626+1)),"")</f>
        <v/>
      </c>
    </row>
    <row r="3627" customFormat="false" ht="15" hidden="false" customHeight="false" outlineLevel="0" collapsed="false">
      <c r="A3627" s="45" t="n">
        <v>46309</v>
      </c>
      <c r="B3627" s="0" t="n">
        <v>16</v>
      </c>
      <c r="C3627" s="0" t="n">
        <v>8091</v>
      </c>
      <c r="E3627" s="0" t="n">
        <v>0</v>
      </c>
      <c r="F3627" s="39" t="s">
        <v>1612</v>
      </c>
      <c r="I3627" s="39" t="s">
        <v>136</v>
      </c>
      <c r="U3627" s="0" t="n">
        <v>44</v>
      </c>
      <c r="V3627" s="0" t="n">
        <v>0</v>
      </c>
      <c r="W3627" s="39" t="n">
        <f aca="false">IF(I3627="Male",0,1)</f>
        <v>1</v>
      </c>
      <c r="X3627" s="39" t="n">
        <f aca="false">IF(OR(I3627="DNB",I3627="Dry DNB"),1,0)</f>
        <v>0</v>
      </c>
      <c r="Y3627" s="39" t="n">
        <f aca="false">MATCH(A3627,DATAS,0)</f>
        <v>1</v>
      </c>
      <c r="Z3627" s="39" t="n">
        <f aca="false">IF(AND(E3627&gt;0,OR(AND(B3627&gt;=1,B3627&lt;=6),B3627=10)),1,0)</f>
        <v>0</v>
      </c>
      <c r="AA3627" s="39" t="n">
        <f aca="false">IF(AND(E3627&gt;0,B3627=10),1,0)</f>
        <v>0</v>
      </c>
      <c r="AB3627" s="0" t="str">
        <f aca="false">IF(AND(C3626=C3627,Y3626=Y3627-1),Z3626,"")</f>
        <v/>
      </c>
      <c r="AC3627" s="0" t="str">
        <f aca="false">IF(AND(C3626=C3627,Y3626=Y3627-1),AA3626,"")</f>
        <v/>
      </c>
      <c r="AD3627" s="0" t="str">
        <f aca="false">IF(Y3627=1,"",IF(AND(Z3627=1,AB3627&lt;&gt;1),1,0))</f>
        <v/>
      </c>
      <c r="AE3627" s="0" t="str">
        <f aca="false">IF(Y3627=1,"",IF(AND(AA3627=1,AC3627&lt;&gt;1),1,0))</f>
        <v/>
      </c>
      <c r="AF3627" s="45" t="str">
        <f aca="false">IF(AND(E3627&gt;0,Y3627&lt;1,NOT(AND(C3628=C3627,Y3628=Y3627+1))),INDEX(DATAS,Y3627+1),"")</f>
        <v/>
      </c>
      <c r="AG3627" s="45" t="str">
        <f aca="false">IF(AND(AA3627=1,Y3627&lt;1),IF(AND(C3628=C3627,Y3628=Y3627+1),IF(AA3628=1,"",INDEX(DATAS,Y3627+1)),INDEX(DATAS,Y3627+1)),"")</f>
        <v/>
      </c>
    </row>
    <row r="3628" customFormat="false" ht="15" hidden="false" customHeight="false" outlineLevel="0" collapsed="false">
      <c r="A3628" s="45" t="n">
        <v>46309</v>
      </c>
      <c r="B3628" s="0" t="n">
        <v>16</v>
      </c>
      <c r="C3628" s="0" t="n">
        <v>8092</v>
      </c>
      <c r="E3628" s="0" t="n">
        <v>0</v>
      </c>
      <c r="F3628" s="39" t="s">
        <v>1612</v>
      </c>
      <c r="I3628" s="39" t="s">
        <v>136</v>
      </c>
      <c r="U3628" s="0" t="n">
        <v>44</v>
      </c>
      <c r="V3628" s="0" t="n">
        <v>0</v>
      </c>
      <c r="W3628" s="39" t="n">
        <f aca="false">IF(I3628="Male",0,1)</f>
        <v>1</v>
      </c>
      <c r="X3628" s="39" t="n">
        <f aca="false">IF(OR(I3628="DNB",I3628="Dry DNB"),1,0)</f>
        <v>0</v>
      </c>
      <c r="Y3628" s="39" t="n">
        <f aca="false">MATCH(A3628,DATAS,0)</f>
        <v>1</v>
      </c>
      <c r="Z3628" s="39" t="n">
        <f aca="false">IF(AND(E3628&gt;0,OR(AND(B3628&gt;=1,B3628&lt;=6),B3628=10)),1,0)</f>
        <v>0</v>
      </c>
      <c r="AA3628" s="39" t="n">
        <f aca="false">IF(AND(E3628&gt;0,B3628=10),1,0)</f>
        <v>0</v>
      </c>
      <c r="AB3628" s="0" t="str">
        <f aca="false">IF(AND(C3627=C3628,Y3627=Y3628-1),Z3627,"")</f>
        <v/>
      </c>
      <c r="AC3628" s="0" t="str">
        <f aca="false">IF(AND(C3627=C3628,Y3627=Y3628-1),AA3627,"")</f>
        <v/>
      </c>
      <c r="AD3628" s="0" t="str">
        <f aca="false">IF(Y3628=1,"",IF(AND(Z3628=1,AB3628&lt;&gt;1),1,0))</f>
        <v/>
      </c>
      <c r="AE3628" s="0" t="str">
        <f aca="false">IF(Y3628=1,"",IF(AND(AA3628=1,AC3628&lt;&gt;1),1,0))</f>
        <v/>
      </c>
      <c r="AF3628" s="45" t="str">
        <f aca="false">IF(AND(E3628&gt;0,Y3628&lt;1,NOT(AND(C3629=C3628,Y3629=Y3628+1))),INDEX(DATAS,Y3628+1),"")</f>
        <v/>
      </c>
      <c r="AG3628" s="45" t="str">
        <f aca="false">IF(AND(AA3628=1,Y3628&lt;1),IF(AND(C3629=C3628,Y3629=Y3628+1),IF(AA3629=1,"",INDEX(DATAS,Y3628+1)),INDEX(DATAS,Y3628+1)),"")</f>
        <v/>
      </c>
    </row>
    <row r="3629" customFormat="false" ht="15" hidden="false" customHeight="false" outlineLevel="0" collapsed="false">
      <c r="A3629" s="45" t="n">
        <v>46309</v>
      </c>
      <c r="B3629" s="0" t="n">
        <v>16</v>
      </c>
      <c r="C3629" s="0" t="n">
        <v>8093</v>
      </c>
      <c r="E3629" s="0" t="n">
        <v>0</v>
      </c>
      <c r="F3629" s="39" t="s">
        <v>1612</v>
      </c>
      <c r="I3629" s="39" t="s">
        <v>136</v>
      </c>
      <c r="U3629" s="0" t="n">
        <v>44</v>
      </c>
      <c r="V3629" s="0" t="n">
        <v>0</v>
      </c>
      <c r="W3629" s="39" t="n">
        <f aca="false">IF(I3629="Male",0,1)</f>
        <v>1</v>
      </c>
      <c r="X3629" s="39" t="n">
        <f aca="false">IF(OR(I3629="DNB",I3629="Dry DNB"),1,0)</f>
        <v>0</v>
      </c>
      <c r="Y3629" s="39" t="n">
        <f aca="false">MATCH(A3629,DATAS,0)</f>
        <v>1</v>
      </c>
      <c r="Z3629" s="39" t="n">
        <f aca="false">IF(AND(E3629&gt;0,OR(AND(B3629&gt;=1,B3629&lt;=6),B3629=10)),1,0)</f>
        <v>0</v>
      </c>
      <c r="AA3629" s="39" t="n">
        <f aca="false">IF(AND(E3629&gt;0,B3629=10),1,0)</f>
        <v>0</v>
      </c>
      <c r="AB3629" s="0" t="str">
        <f aca="false">IF(AND(C3628=C3629,Y3628=Y3629-1),Z3628,"")</f>
        <v/>
      </c>
      <c r="AC3629" s="0" t="str">
        <f aca="false">IF(AND(C3628=C3629,Y3628=Y3629-1),AA3628,"")</f>
        <v/>
      </c>
      <c r="AD3629" s="0" t="str">
        <f aca="false">IF(Y3629=1,"",IF(AND(Z3629=1,AB3629&lt;&gt;1),1,0))</f>
        <v/>
      </c>
      <c r="AE3629" s="0" t="str">
        <f aca="false">IF(Y3629=1,"",IF(AND(AA3629=1,AC3629&lt;&gt;1),1,0))</f>
        <v/>
      </c>
      <c r="AF3629" s="45" t="str">
        <f aca="false">IF(AND(E3629&gt;0,Y3629&lt;1,NOT(AND(C3630=C3629,Y3630=Y3629+1))),INDEX(DATAS,Y3629+1),"")</f>
        <v/>
      </c>
      <c r="AG3629" s="45" t="str">
        <f aca="false">IF(AND(AA3629=1,Y3629&lt;1),IF(AND(C3630=C3629,Y3630=Y3629+1),IF(AA3630=1,"",INDEX(DATAS,Y3629+1)),INDEX(DATAS,Y3629+1)),"")</f>
        <v/>
      </c>
    </row>
    <row r="3630" customFormat="false" ht="15" hidden="false" customHeight="false" outlineLevel="0" collapsed="false">
      <c r="A3630" s="45" t="n">
        <v>46309</v>
      </c>
      <c r="B3630" s="0" t="n">
        <v>16</v>
      </c>
      <c r="C3630" s="0" t="n">
        <v>8094</v>
      </c>
      <c r="E3630" s="0" t="n">
        <v>0</v>
      </c>
      <c r="F3630" s="39" t="s">
        <v>1614</v>
      </c>
      <c r="I3630" s="39" t="s">
        <v>136</v>
      </c>
      <c r="U3630" s="0" t="n">
        <v>43</v>
      </c>
      <c r="V3630" s="0" t="n">
        <v>0</v>
      </c>
      <c r="W3630" s="39" t="n">
        <f aca="false">IF(I3630="Male",0,1)</f>
        <v>1</v>
      </c>
      <c r="X3630" s="39" t="n">
        <f aca="false">IF(OR(I3630="DNB",I3630="Dry DNB"),1,0)</f>
        <v>0</v>
      </c>
      <c r="Y3630" s="39" t="n">
        <f aca="false">MATCH(A3630,DATAS,0)</f>
        <v>1</v>
      </c>
      <c r="Z3630" s="39" t="n">
        <f aca="false">IF(AND(E3630&gt;0,OR(AND(B3630&gt;=1,B3630&lt;=6),B3630=10)),1,0)</f>
        <v>0</v>
      </c>
      <c r="AA3630" s="39" t="n">
        <f aca="false">IF(AND(E3630&gt;0,B3630=10),1,0)</f>
        <v>0</v>
      </c>
      <c r="AB3630" s="0" t="str">
        <f aca="false">IF(AND(C3629=C3630,Y3629=Y3630-1),Z3629,"")</f>
        <v/>
      </c>
      <c r="AC3630" s="0" t="str">
        <f aca="false">IF(AND(C3629=C3630,Y3629=Y3630-1),AA3629,"")</f>
        <v/>
      </c>
      <c r="AD3630" s="0" t="str">
        <f aca="false">IF(Y3630=1,"",IF(AND(Z3630=1,AB3630&lt;&gt;1),1,0))</f>
        <v/>
      </c>
      <c r="AE3630" s="0" t="str">
        <f aca="false">IF(Y3630=1,"",IF(AND(AA3630=1,AC3630&lt;&gt;1),1,0))</f>
        <v/>
      </c>
      <c r="AF3630" s="45" t="str">
        <f aca="false">IF(AND(E3630&gt;0,Y3630&lt;1,NOT(AND(C3631=C3630,Y3631=Y3630+1))),INDEX(DATAS,Y3630+1),"")</f>
        <v/>
      </c>
      <c r="AG3630" s="45" t="str">
        <f aca="false">IF(AND(AA3630=1,Y3630&lt;1),IF(AND(C3631=C3630,Y3631=Y3630+1),IF(AA3631=1,"",INDEX(DATAS,Y3630+1)),INDEX(DATAS,Y3630+1)),"")</f>
        <v/>
      </c>
    </row>
    <row r="3631" customFormat="false" ht="15" hidden="false" customHeight="false" outlineLevel="0" collapsed="false">
      <c r="A3631" s="45" t="n">
        <v>46309</v>
      </c>
      <c r="B3631" s="0" t="n">
        <v>16</v>
      </c>
      <c r="C3631" s="0" t="n">
        <v>8095</v>
      </c>
      <c r="E3631" s="0" t="n">
        <v>0</v>
      </c>
      <c r="F3631" s="39" t="s">
        <v>1615</v>
      </c>
      <c r="I3631" s="39" t="s">
        <v>136</v>
      </c>
      <c r="U3631" s="0" t="n">
        <v>42</v>
      </c>
      <c r="V3631" s="0" t="n">
        <v>0</v>
      </c>
      <c r="W3631" s="39" t="n">
        <f aca="false">IF(I3631="Male",0,1)</f>
        <v>1</v>
      </c>
      <c r="X3631" s="39" t="n">
        <f aca="false">IF(OR(I3631="DNB",I3631="Dry DNB"),1,0)</f>
        <v>0</v>
      </c>
      <c r="Y3631" s="39" t="n">
        <f aca="false">MATCH(A3631,DATAS,0)</f>
        <v>1</v>
      </c>
      <c r="Z3631" s="39" t="n">
        <f aca="false">IF(AND(E3631&gt;0,OR(AND(B3631&gt;=1,B3631&lt;=6),B3631=10)),1,0)</f>
        <v>0</v>
      </c>
      <c r="AA3631" s="39" t="n">
        <f aca="false">IF(AND(E3631&gt;0,B3631=10),1,0)</f>
        <v>0</v>
      </c>
      <c r="AB3631" s="0" t="str">
        <f aca="false">IF(AND(C3630=C3631,Y3630=Y3631-1),Z3630,"")</f>
        <v/>
      </c>
      <c r="AC3631" s="0" t="str">
        <f aca="false">IF(AND(C3630=C3631,Y3630=Y3631-1),AA3630,"")</f>
        <v/>
      </c>
      <c r="AD3631" s="0" t="str">
        <f aca="false">IF(Y3631=1,"",IF(AND(Z3631=1,AB3631&lt;&gt;1),1,0))</f>
        <v/>
      </c>
      <c r="AE3631" s="0" t="str">
        <f aca="false">IF(Y3631=1,"",IF(AND(AA3631=1,AC3631&lt;&gt;1),1,0))</f>
        <v/>
      </c>
      <c r="AF3631" s="45" t="str">
        <f aca="false">IF(AND(E3631&gt;0,Y3631&lt;1,NOT(AND(C3632=C3631,Y3632=Y3631+1))),INDEX(DATAS,Y3631+1),"")</f>
        <v/>
      </c>
      <c r="AG3631" s="45" t="str">
        <f aca="false">IF(AND(AA3631=1,Y3631&lt;1),IF(AND(C3632=C3631,Y3632=Y3631+1),IF(AA3632=1,"",INDEX(DATAS,Y3631+1)),INDEX(DATAS,Y3631+1)),"")</f>
        <v/>
      </c>
    </row>
    <row r="3632" customFormat="false" ht="15" hidden="false" customHeight="false" outlineLevel="0" collapsed="false">
      <c r="A3632" s="45" t="n">
        <v>46309</v>
      </c>
      <c r="B3632" s="0" t="n">
        <v>16</v>
      </c>
      <c r="C3632" s="0" t="n">
        <v>8096</v>
      </c>
      <c r="E3632" s="0" t="n">
        <v>0</v>
      </c>
      <c r="F3632" s="39" t="s">
        <v>1615</v>
      </c>
      <c r="I3632" s="39" t="s">
        <v>136</v>
      </c>
      <c r="U3632" s="0" t="n">
        <v>42</v>
      </c>
      <c r="V3632" s="0" t="n">
        <v>0</v>
      </c>
      <c r="W3632" s="39" t="n">
        <f aca="false">IF(I3632="Male",0,1)</f>
        <v>1</v>
      </c>
      <c r="X3632" s="39" t="n">
        <f aca="false">IF(OR(I3632="DNB",I3632="Dry DNB"),1,0)</f>
        <v>0</v>
      </c>
      <c r="Y3632" s="39" t="n">
        <f aca="false">MATCH(A3632,DATAS,0)</f>
        <v>1</v>
      </c>
      <c r="Z3632" s="39" t="n">
        <f aca="false">IF(AND(E3632&gt;0,OR(AND(B3632&gt;=1,B3632&lt;=6),B3632=10)),1,0)</f>
        <v>0</v>
      </c>
      <c r="AA3632" s="39" t="n">
        <f aca="false">IF(AND(E3632&gt;0,B3632=10),1,0)</f>
        <v>0</v>
      </c>
      <c r="AB3632" s="0" t="str">
        <f aca="false">IF(AND(C3631=C3632,Y3631=Y3632-1),Z3631,"")</f>
        <v/>
      </c>
      <c r="AC3632" s="0" t="str">
        <f aca="false">IF(AND(C3631=C3632,Y3631=Y3632-1),AA3631,"")</f>
        <v/>
      </c>
      <c r="AD3632" s="0" t="str">
        <f aca="false">IF(Y3632=1,"",IF(AND(Z3632=1,AB3632&lt;&gt;1),1,0))</f>
        <v/>
      </c>
      <c r="AE3632" s="0" t="str">
        <f aca="false">IF(Y3632=1,"",IF(AND(AA3632=1,AC3632&lt;&gt;1),1,0))</f>
        <v/>
      </c>
      <c r="AF3632" s="45" t="str">
        <f aca="false">IF(AND(E3632&gt;0,Y3632&lt;1,NOT(AND(C3633=C3632,Y3633=Y3632+1))),INDEX(DATAS,Y3632+1),"")</f>
        <v/>
      </c>
      <c r="AG3632" s="45" t="str">
        <f aca="false">IF(AND(AA3632=1,Y3632&lt;1),IF(AND(C3633=C3632,Y3633=Y3632+1),IF(AA3633=1,"",INDEX(DATAS,Y3632+1)),INDEX(DATAS,Y3632+1)),"")</f>
        <v/>
      </c>
    </row>
    <row r="3633" customFormat="false" ht="15" hidden="false" customHeight="false" outlineLevel="0" collapsed="false">
      <c r="A3633" s="45" t="n">
        <v>46309</v>
      </c>
      <c r="B3633" s="0" t="n">
        <v>16</v>
      </c>
      <c r="C3633" s="0" t="n">
        <v>8097</v>
      </c>
      <c r="E3633" s="0" t="n">
        <v>0</v>
      </c>
      <c r="F3633" s="39" t="s">
        <v>1615</v>
      </c>
      <c r="I3633" s="39" t="s">
        <v>136</v>
      </c>
      <c r="U3633" s="0" t="n">
        <v>42</v>
      </c>
      <c r="V3633" s="0" t="n">
        <v>0</v>
      </c>
      <c r="W3633" s="39" t="n">
        <f aca="false">IF(I3633="Male",0,1)</f>
        <v>1</v>
      </c>
      <c r="X3633" s="39" t="n">
        <f aca="false">IF(OR(I3633="DNB",I3633="Dry DNB"),1,0)</f>
        <v>0</v>
      </c>
      <c r="Y3633" s="39" t="n">
        <f aca="false">MATCH(A3633,DATAS,0)</f>
        <v>1</v>
      </c>
      <c r="Z3633" s="39" t="n">
        <f aca="false">IF(AND(E3633&gt;0,OR(AND(B3633&gt;=1,B3633&lt;=6),B3633=10)),1,0)</f>
        <v>0</v>
      </c>
      <c r="AA3633" s="39" t="n">
        <f aca="false">IF(AND(E3633&gt;0,B3633=10),1,0)</f>
        <v>0</v>
      </c>
      <c r="AB3633" s="0" t="str">
        <f aca="false">IF(AND(C3632=C3633,Y3632=Y3633-1),Z3632,"")</f>
        <v/>
      </c>
      <c r="AC3633" s="0" t="str">
        <f aca="false">IF(AND(C3632=C3633,Y3632=Y3633-1),AA3632,"")</f>
        <v/>
      </c>
      <c r="AD3633" s="0" t="str">
        <f aca="false">IF(Y3633=1,"",IF(AND(Z3633=1,AB3633&lt;&gt;1),1,0))</f>
        <v/>
      </c>
      <c r="AE3633" s="0" t="str">
        <f aca="false">IF(Y3633=1,"",IF(AND(AA3633=1,AC3633&lt;&gt;1),1,0))</f>
        <v/>
      </c>
      <c r="AF3633" s="45" t="str">
        <f aca="false">IF(AND(E3633&gt;0,Y3633&lt;1,NOT(AND(C3634=C3633,Y3634=Y3633+1))),INDEX(DATAS,Y3633+1),"")</f>
        <v/>
      </c>
      <c r="AG3633" s="45" t="str">
        <f aca="false">IF(AND(AA3633=1,Y3633&lt;1),IF(AND(C3634=C3633,Y3634=Y3633+1),IF(AA3634=1,"",INDEX(DATAS,Y3633+1)),INDEX(DATAS,Y3633+1)),"")</f>
        <v/>
      </c>
    </row>
    <row r="3634" customFormat="false" ht="15" hidden="false" customHeight="false" outlineLevel="0" collapsed="false">
      <c r="A3634" s="45" t="n">
        <v>46309</v>
      </c>
      <c r="B3634" s="0" t="n">
        <v>16</v>
      </c>
      <c r="C3634" s="0" t="n">
        <v>8098</v>
      </c>
      <c r="E3634" s="0" t="n">
        <v>0</v>
      </c>
      <c r="F3634" s="39" t="s">
        <v>1615</v>
      </c>
      <c r="I3634" s="39" t="s">
        <v>136</v>
      </c>
      <c r="U3634" s="0" t="n">
        <v>42</v>
      </c>
      <c r="V3634" s="0" t="n">
        <v>0</v>
      </c>
      <c r="W3634" s="39" t="n">
        <f aca="false">IF(I3634="Male",0,1)</f>
        <v>1</v>
      </c>
      <c r="X3634" s="39" t="n">
        <f aca="false">IF(OR(I3634="DNB",I3634="Dry DNB"),1,0)</f>
        <v>0</v>
      </c>
      <c r="Y3634" s="39" t="n">
        <f aca="false">MATCH(A3634,DATAS,0)</f>
        <v>1</v>
      </c>
      <c r="Z3634" s="39" t="n">
        <f aca="false">IF(AND(E3634&gt;0,OR(AND(B3634&gt;=1,B3634&lt;=6),B3634=10)),1,0)</f>
        <v>0</v>
      </c>
      <c r="AA3634" s="39" t="n">
        <f aca="false">IF(AND(E3634&gt;0,B3634=10),1,0)</f>
        <v>0</v>
      </c>
      <c r="AB3634" s="0" t="str">
        <f aca="false">IF(AND(C3633=C3634,Y3633=Y3634-1),Z3633,"")</f>
        <v/>
      </c>
      <c r="AC3634" s="0" t="str">
        <f aca="false">IF(AND(C3633=C3634,Y3633=Y3634-1),AA3633,"")</f>
        <v/>
      </c>
      <c r="AD3634" s="0" t="str">
        <f aca="false">IF(Y3634=1,"",IF(AND(Z3634=1,AB3634&lt;&gt;1),1,0))</f>
        <v/>
      </c>
      <c r="AE3634" s="0" t="str">
        <f aca="false">IF(Y3634=1,"",IF(AND(AA3634=1,AC3634&lt;&gt;1),1,0))</f>
        <v/>
      </c>
      <c r="AF3634" s="45" t="str">
        <f aca="false">IF(AND(E3634&gt;0,Y3634&lt;1,NOT(AND(C3635=C3634,Y3635=Y3634+1))),INDEX(DATAS,Y3634+1),"")</f>
        <v/>
      </c>
      <c r="AG3634" s="45" t="str">
        <f aca="false">IF(AND(AA3634=1,Y3634&lt;1),IF(AND(C3635=C3634,Y3635=Y3634+1),IF(AA3635=1,"",INDEX(DATAS,Y3634+1)),INDEX(DATAS,Y3634+1)),"")</f>
        <v/>
      </c>
    </row>
    <row r="3635" customFormat="false" ht="15" hidden="false" customHeight="false" outlineLevel="0" collapsed="false">
      <c r="A3635" s="45" t="n">
        <v>46309</v>
      </c>
      <c r="B3635" s="0" t="n">
        <v>16</v>
      </c>
      <c r="C3635" s="0" t="n">
        <v>8099</v>
      </c>
      <c r="E3635" s="0" t="n">
        <v>0</v>
      </c>
      <c r="F3635" s="39" t="s">
        <v>1616</v>
      </c>
      <c r="I3635" s="39" t="s">
        <v>136</v>
      </c>
      <c r="U3635" s="0" t="n">
        <v>41</v>
      </c>
      <c r="V3635" s="0" t="n">
        <v>0</v>
      </c>
      <c r="W3635" s="39" t="n">
        <f aca="false">IF(I3635="Male",0,1)</f>
        <v>1</v>
      </c>
      <c r="X3635" s="39" t="n">
        <f aca="false">IF(OR(I3635="DNB",I3635="Dry DNB"),1,0)</f>
        <v>0</v>
      </c>
      <c r="Y3635" s="39" t="n">
        <f aca="false">MATCH(A3635,DATAS,0)</f>
        <v>1</v>
      </c>
      <c r="Z3635" s="39" t="n">
        <f aca="false">IF(AND(E3635&gt;0,OR(AND(B3635&gt;=1,B3635&lt;=6),B3635=10)),1,0)</f>
        <v>0</v>
      </c>
      <c r="AA3635" s="39" t="n">
        <f aca="false">IF(AND(E3635&gt;0,B3635=10),1,0)</f>
        <v>0</v>
      </c>
      <c r="AB3635" s="0" t="str">
        <f aca="false">IF(AND(C3634=C3635,Y3634=Y3635-1),Z3634,"")</f>
        <v/>
      </c>
      <c r="AC3635" s="0" t="str">
        <f aca="false">IF(AND(C3634=C3635,Y3634=Y3635-1),AA3634,"")</f>
        <v/>
      </c>
      <c r="AD3635" s="0" t="str">
        <f aca="false">IF(Y3635=1,"",IF(AND(Z3635=1,AB3635&lt;&gt;1),1,0))</f>
        <v/>
      </c>
      <c r="AE3635" s="0" t="str">
        <f aca="false">IF(Y3635=1,"",IF(AND(AA3635=1,AC3635&lt;&gt;1),1,0))</f>
        <v/>
      </c>
      <c r="AF3635" s="45" t="str">
        <f aca="false">IF(AND(E3635&gt;0,Y3635&lt;1,NOT(AND(C3636=C3635,Y3636=Y3635+1))),INDEX(DATAS,Y3635+1),"")</f>
        <v/>
      </c>
      <c r="AG3635" s="45" t="str">
        <f aca="false">IF(AND(AA3635=1,Y3635&lt;1),IF(AND(C3636=C3635,Y3636=Y3635+1),IF(AA3636=1,"",INDEX(DATAS,Y3635+1)),INDEX(DATAS,Y3635+1)),"")</f>
        <v/>
      </c>
    </row>
    <row r="3636" customFormat="false" ht="15" hidden="false" customHeight="false" outlineLevel="0" collapsed="false">
      <c r="A3636" s="45" t="n">
        <v>46309</v>
      </c>
      <c r="B3636" s="0" t="n">
        <v>16</v>
      </c>
      <c r="C3636" s="0" t="n">
        <v>8100</v>
      </c>
      <c r="E3636" s="0" t="n">
        <v>0</v>
      </c>
      <c r="F3636" s="39" t="s">
        <v>1616</v>
      </c>
      <c r="I3636" s="39" t="s">
        <v>136</v>
      </c>
      <c r="U3636" s="0" t="n">
        <v>41</v>
      </c>
      <c r="V3636" s="0" t="n">
        <v>0</v>
      </c>
      <c r="W3636" s="39" t="n">
        <f aca="false">IF(I3636="Male",0,1)</f>
        <v>1</v>
      </c>
      <c r="X3636" s="39" t="n">
        <f aca="false">IF(OR(I3636="DNB",I3636="Dry DNB"),1,0)</f>
        <v>0</v>
      </c>
      <c r="Y3636" s="39" t="n">
        <f aca="false">MATCH(A3636,DATAS,0)</f>
        <v>1</v>
      </c>
      <c r="Z3636" s="39" t="n">
        <f aca="false">IF(AND(E3636&gt;0,OR(AND(B3636&gt;=1,B3636&lt;=6),B3636=10)),1,0)</f>
        <v>0</v>
      </c>
      <c r="AA3636" s="39" t="n">
        <f aca="false">IF(AND(E3636&gt;0,B3636=10),1,0)</f>
        <v>0</v>
      </c>
      <c r="AB3636" s="0" t="str">
        <f aca="false">IF(AND(C3635=C3636,Y3635=Y3636-1),Z3635,"")</f>
        <v/>
      </c>
      <c r="AC3636" s="0" t="str">
        <f aca="false">IF(AND(C3635=C3636,Y3635=Y3636-1),AA3635,"")</f>
        <v/>
      </c>
      <c r="AD3636" s="0" t="str">
        <f aca="false">IF(Y3636=1,"",IF(AND(Z3636=1,AB3636&lt;&gt;1),1,0))</f>
        <v/>
      </c>
      <c r="AE3636" s="0" t="str">
        <f aca="false">IF(Y3636=1,"",IF(AND(AA3636=1,AC3636&lt;&gt;1),1,0))</f>
        <v/>
      </c>
      <c r="AF3636" s="45" t="str">
        <f aca="false">IF(AND(E3636&gt;0,Y3636&lt;1,NOT(AND(C3637=C3636,Y3637=Y3636+1))),INDEX(DATAS,Y3636+1),"")</f>
        <v/>
      </c>
      <c r="AG3636" s="45" t="str">
        <f aca="false">IF(AND(AA3636=1,Y3636&lt;1),IF(AND(C3637=C3636,Y3637=Y3636+1),IF(AA3637=1,"",INDEX(DATAS,Y3636+1)),INDEX(DATAS,Y3636+1)),"")</f>
        <v/>
      </c>
    </row>
    <row r="3637" customFormat="false" ht="15" hidden="false" customHeight="false" outlineLevel="0" collapsed="false">
      <c r="A3637" s="45" t="n">
        <v>46309</v>
      </c>
      <c r="B3637" s="0" t="n">
        <v>16</v>
      </c>
      <c r="C3637" s="0" t="n">
        <v>8101</v>
      </c>
      <c r="E3637" s="0" t="n">
        <v>0</v>
      </c>
      <c r="F3637" s="39" t="s">
        <v>1617</v>
      </c>
      <c r="I3637" s="39" t="s">
        <v>136</v>
      </c>
      <c r="U3637" s="0" t="n">
        <v>40</v>
      </c>
      <c r="V3637" s="0" t="n">
        <v>0</v>
      </c>
      <c r="W3637" s="39" t="n">
        <f aca="false">IF(I3637="Male",0,1)</f>
        <v>1</v>
      </c>
      <c r="X3637" s="39" t="n">
        <f aca="false">IF(OR(I3637="DNB",I3637="Dry DNB"),1,0)</f>
        <v>0</v>
      </c>
      <c r="Y3637" s="39" t="n">
        <f aca="false">MATCH(A3637,DATAS,0)</f>
        <v>1</v>
      </c>
      <c r="Z3637" s="39" t="n">
        <f aca="false">IF(AND(E3637&gt;0,OR(AND(B3637&gt;=1,B3637&lt;=6),B3637=10)),1,0)</f>
        <v>0</v>
      </c>
      <c r="AA3637" s="39" t="n">
        <f aca="false">IF(AND(E3637&gt;0,B3637=10),1,0)</f>
        <v>0</v>
      </c>
      <c r="AB3637" s="0" t="str">
        <f aca="false">IF(AND(C3636=C3637,Y3636=Y3637-1),Z3636,"")</f>
        <v/>
      </c>
      <c r="AC3637" s="0" t="str">
        <f aca="false">IF(AND(C3636=C3637,Y3636=Y3637-1),AA3636,"")</f>
        <v/>
      </c>
      <c r="AD3637" s="0" t="str">
        <f aca="false">IF(Y3637=1,"",IF(AND(Z3637=1,AB3637&lt;&gt;1),1,0))</f>
        <v/>
      </c>
      <c r="AE3637" s="0" t="str">
        <f aca="false">IF(Y3637=1,"",IF(AND(AA3637=1,AC3637&lt;&gt;1),1,0))</f>
        <v/>
      </c>
      <c r="AF3637" s="45" t="str">
        <f aca="false">IF(AND(E3637&gt;0,Y3637&lt;1,NOT(AND(C3638=C3637,Y3638=Y3637+1))),INDEX(DATAS,Y3637+1),"")</f>
        <v/>
      </c>
      <c r="AG3637" s="45" t="str">
        <f aca="false">IF(AND(AA3637=1,Y3637&lt;1),IF(AND(C3638=C3637,Y3638=Y3637+1),IF(AA3638=1,"",INDEX(DATAS,Y3637+1)),INDEX(DATAS,Y3637+1)),"")</f>
        <v/>
      </c>
    </row>
    <row r="3638" customFormat="false" ht="15" hidden="false" customHeight="false" outlineLevel="0" collapsed="false">
      <c r="A3638" s="45" t="n">
        <v>46309</v>
      </c>
      <c r="B3638" s="0" t="n">
        <v>16</v>
      </c>
      <c r="C3638" s="0" t="n">
        <v>8102</v>
      </c>
      <c r="E3638" s="0" t="n">
        <v>0</v>
      </c>
      <c r="F3638" s="39" t="s">
        <v>1618</v>
      </c>
      <c r="I3638" s="39" t="s">
        <v>136</v>
      </c>
      <c r="U3638" s="0" t="n">
        <v>39</v>
      </c>
      <c r="V3638" s="0" t="n">
        <v>0</v>
      </c>
      <c r="W3638" s="39" t="n">
        <f aca="false">IF(I3638="Male",0,1)</f>
        <v>1</v>
      </c>
      <c r="X3638" s="39" t="n">
        <f aca="false">IF(OR(I3638="DNB",I3638="Dry DNB"),1,0)</f>
        <v>0</v>
      </c>
      <c r="Y3638" s="39" t="n">
        <f aca="false">MATCH(A3638,DATAS,0)</f>
        <v>1</v>
      </c>
      <c r="Z3638" s="39" t="n">
        <f aca="false">IF(AND(E3638&gt;0,OR(AND(B3638&gt;=1,B3638&lt;=6),B3638=10)),1,0)</f>
        <v>0</v>
      </c>
      <c r="AA3638" s="39" t="n">
        <f aca="false">IF(AND(E3638&gt;0,B3638=10),1,0)</f>
        <v>0</v>
      </c>
      <c r="AB3638" s="0" t="str">
        <f aca="false">IF(AND(C3637=C3638,Y3637=Y3638-1),Z3637,"")</f>
        <v/>
      </c>
      <c r="AC3638" s="0" t="str">
        <f aca="false">IF(AND(C3637=C3638,Y3637=Y3638-1),AA3637,"")</f>
        <v/>
      </c>
      <c r="AD3638" s="0" t="str">
        <f aca="false">IF(Y3638=1,"",IF(AND(Z3638=1,AB3638&lt;&gt;1),1,0))</f>
        <v/>
      </c>
      <c r="AE3638" s="0" t="str">
        <f aca="false">IF(Y3638=1,"",IF(AND(AA3638=1,AC3638&lt;&gt;1),1,0))</f>
        <v/>
      </c>
      <c r="AF3638" s="45" t="str">
        <f aca="false">IF(AND(E3638&gt;0,Y3638&lt;1,NOT(AND(C3639=C3638,Y3639=Y3638+1))),INDEX(DATAS,Y3638+1),"")</f>
        <v/>
      </c>
      <c r="AG3638" s="45" t="str">
        <f aca="false">IF(AND(AA3638=1,Y3638&lt;1),IF(AND(C3639=C3638,Y3639=Y3638+1),IF(AA3639=1,"",INDEX(DATAS,Y3638+1)),INDEX(DATAS,Y3638+1)),"")</f>
        <v/>
      </c>
    </row>
    <row r="3639" customFormat="false" ht="15" hidden="false" customHeight="false" outlineLevel="0" collapsed="false">
      <c r="A3639" s="45" t="n">
        <v>46309</v>
      </c>
      <c r="B3639" s="0" t="n">
        <v>16</v>
      </c>
      <c r="C3639" s="0" t="n">
        <v>8103</v>
      </c>
      <c r="E3639" s="0" t="n">
        <v>0</v>
      </c>
      <c r="F3639" s="39" t="s">
        <v>1619</v>
      </c>
      <c r="I3639" s="39" t="s">
        <v>136</v>
      </c>
      <c r="U3639" s="0" t="n">
        <v>38</v>
      </c>
      <c r="V3639" s="0" t="n">
        <v>0</v>
      </c>
      <c r="W3639" s="39" t="n">
        <f aca="false">IF(I3639="Male",0,1)</f>
        <v>1</v>
      </c>
      <c r="X3639" s="39" t="n">
        <f aca="false">IF(OR(I3639="DNB",I3639="Dry DNB"),1,0)</f>
        <v>0</v>
      </c>
      <c r="Y3639" s="39" t="n">
        <f aca="false">MATCH(A3639,DATAS,0)</f>
        <v>1</v>
      </c>
      <c r="Z3639" s="39" t="n">
        <f aca="false">IF(AND(E3639&gt;0,OR(AND(B3639&gt;=1,B3639&lt;=6),B3639=10)),1,0)</f>
        <v>0</v>
      </c>
      <c r="AA3639" s="39" t="n">
        <f aca="false">IF(AND(E3639&gt;0,B3639=10),1,0)</f>
        <v>0</v>
      </c>
      <c r="AB3639" s="0" t="str">
        <f aca="false">IF(AND(C3638=C3639,Y3638=Y3639-1),Z3638,"")</f>
        <v/>
      </c>
      <c r="AC3639" s="0" t="str">
        <f aca="false">IF(AND(C3638=C3639,Y3638=Y3639-1),AA3638,"")</f>
        <v/>
      </c>
      <c r="AD3639" s="0" t="str">
        <f aca="false">IF(Y3639=1,"",IF(AND(Z3639=1,AB3639&lt;&gt;1),1,0))</f>
        <v/>
      </c>
      <c r="AE3639" s="0" t="str">
        <f aca="false">IF(Y3639=1,"",IF(AND(AA3639=1,AC3639&lt;&gt;1),1,0))</f>
        <v/>
      </c>
      <c r="AF3639" s="45" t="str">
        <f aca="false">IF(AND(E3639&gt;0,Y3639&lt;1,NOT(AND(C3640=C3639,Y3640=Y3639+1))),INDEX(DATAS,Y3639+1),"")</f>
        <v/>
      </c>
      <c r="AG3639" s="45" t="str">
        <f aca="false">IF(AND(AA3639=1,Y3639&lt;1),IF(AND(C3640=C3639,Y3640=Y3639+1),IF(AA3640=1,"",INDEX(DATAS,Y3639+1)),INDEX(DATAS,Y3639+1)),"")</f>
        <v/>
      </c>
    </row>
    <row r="3640" customFormat="false" ht="15" hidden="false" customHeight="false" outlineLevel="0" collapsed="false">
      <c r="A3640" s="45" t="n">
        <v>46309</v>
      </c>
      <c r="B3640" s="0" t="n">
        <v>16</v>
      </c>
      <c r="C3640" s="0" t="n">
        <v>8104</v>
      </c>
      <c r="E3640" s="0" t="n">
        <v>0</v>
      </c>
      <c r="F3640" s="39" t="s">
        <v>1619</v>
      </c>
      <c r="I3640" s="39" t="s">
        <v>136</v>
      </c>
      <c r="U3640" s="0" t="n">
        <v>38</v>
      </c>
      <c r="V3640" s="0" t="n">
        <v>0</v>
      </c>
      <c r="W3640" s="39" t="n">
        <f aca="false">IF(I3640="Male",0,1)</f>
        <v>1</v>
      </c>
      <c r="X3640" s="39" t="n">
        <f aca="false">IF(OR(I3640="DNB",I3640="Dry DNB"),1,0)</f>
        <v>0</v>
      </c>
      <c r="Y3640" s="39" t="n">
        <f aca="false">MATCH(A3640,DATAS,0)</f>
        <v>1</v>
      </c>
      <c r="Z3640" s="39" t="n">
        <f aca="false">IF(AND(E3640&gt;0,OR(AND(B3640&gt;=1,B3640&lt;=6),B3640=10)),1,0)</f>
        <v>0</v>
      </c>
      <c r="AA3640" s="39" t="n">
        <f aca="false">IF(AND(E3640&gt;0,B3640=10),1,0)</f>
        <v>0</v>
      </c>
      <c r="AB3640" s="0" t="str">
        <f aca="false">IF(AND(C3639=C3640,Y3639=Y3640-1),Z3639,"")</f>
        <v/>
      </c>
      <c r="AC3640" s="0" t="str">
        <f aca="false">IF(AND(C3639=C3640,Y3639=Y3640-1),AA3639,"")</f>
        <v/>
      </c>
      <c r="AD3640" s="0" t="str">
        <f aca="false">IF(Y3640=1,"",IF(AND(Z3640=1,AB3640&lt;&gt;1),1,0))</f>
        <v/>
      </c>
      <c r="AE3640" s="0" t="str">
        <f aca="false">IF(Y3640=1,"",IF(AND(AA3640=1,AC3640&lt;&gt;1),1,0))</f>
        <v/>
      </c>
      <c r="AF3640" s="45" t="str">
        <f aca="false">IF(AND(E3640&gt;0,Y3640&lt;1,NOT(AND(C3641=C3640,Y3641=Y3640+1))),INDEX(DATAS,Y3640+1),"")</f>
        <v/>
      </c>
      <c r="AG3640" s="45" t="str">
        <f aca="false">IF(AND(AA3640=1,Y3640&lt;1),IF(AND(C3641=C3640,Y3641=Y3640+1),IF(AA3641=1,"",INDEX(DATAS,Y3640+1)),INDEX(DATAS,Y3640+1)),"")</f>
        <v/>
      </c>
    </row>
    <row r="3641" customFormat="false" ht="15" hidden="false" customHeight="false" outlineLevel="0" collapsed="false">
      <c r="A3641" s="45" t="n">
        <v>46309</v>
      </c>
      <c r="B3641" s="0" t="n">
        <v>16</v>
      </c>
      <c r="C3641" s="0" t="n">
        <v>8105</v>
      </c>
      <c r="E3641" s="0" t="n">
        <v>0</v>
      </c>
      <c r="F3641" s="39" t="s">
        <v>1620</v>
      </c>
      <c r="I3641" s="39" t="s">
        <v>136</v>
      </c>
      <c r="U3641" s="0" t="n">
        <v>37</v>
      </c>
      <c r="V3641" s="0" t="n">
        <v>0</v>
      </c>
      <c r="W3641" s="39" t="n">
        <f aca="false">IF(I3641="Male",0,1)</f>
        <v>1</v>
      </c>
      <c r="X3641" s="39" t="n">
        <f aca="false">IF(OR(I3641="DNB",I3641="Dry DNB"),1,0)</f>
        <v>0</v>
      </c>
      <c r="Y3641" s="39" t="n">
        <f aca="false">MATCH(A3641,DATAS,0)</f>
        <v>1</v>
      </c>
      <c r="Z3641" s="39" t="n">
        <f aca="false">IF(AND(E3641&gt;0,OR(AND(B3641&gt;=1,B3641&lt;=6),B3641=10)),1,0)</f>
        <v>0</v>
      </c>
      <c r="AA3641" s="39" t="n">
        <f aca="false">IF(AND(E3641&gt;0,B3641=10),1,0)</f>
        <v>0</v>
      </c>
      <c r="AB3641" s="0" t="str">
        <f aca="false">IF(AND(C3640=C3641,Y3640=Y3641-1),Z3640,"")</f>
        <v/>
      </c>
      <c r="AC3641" s="0" t="str">
        <f aca="false">IF(AND(C3640=C3641,Y3640=Y3641-1),AA3640,"")</f>
        <v/>
      </c>
      <c r="AD3641" s="0" t="str">
        <f aca="false">IF(Y3641=1,"",IF(AND(Z3641=1,AB3641&lt;&gt;1),1,0))</f>
        <v/>
      </c>
      <c r="AE3641" s="0" t="str">
        <f aca="false">IF(Y3641=1,"",IF(AND(AA3641=1,AC3641&lt;&gt;1),1,0))</f>
        <v/>
      </c>
      <c r="AF3641" s="45" t="str">
        <f aca="false">IF(AND(E3641&gt;0,Y3641&lt;1,NOT(AND(C3642=C3641,Y3642=Y3641+1))),INDEX(DATAS,Y3641+1),"")</f>
        <v/>
      </c>
      <c r="AG3641" s="45" t="str">
        <f aca="false">IF(AND(AA3641=1,Y3641&lt;1),IF(AND(C3642=C3641,Y3642=Y3641+1),IF(AA3642=1,"",INDEX(DATAS,Y3641+1)),INDEX(DATAS,Y3641+1)),"")</f>
        <v/>
      </c>
    </row>
    <row r="3642" customFormat="false" ht="15" hidden="false" customHeight="false" outlineLevel="0" collapsed="false">
      <c r="A3642" s="45" t="n">
        <v>46309</v>
      </c>
      <c r="B3642" s="0" t="n">
        <v>16</v>
      </c>
      <c r="C3642" s="0" t="n">
        <v>8106</v>
      </c>
      <c r="E3642" s="0" t="n">
        <v>0</v>
      </c>
      <c r="F3642" s="39" t="s">
        <v>1620</v>
      </c>
      <c r="I3642" s="39" t="s">
        <v>136</v>
      </c>
      <c r="U3642" s="0" t="n">
        <v>37</v>
      </c>
      <c r="V3642" s="0" t="n">
        <v>0</v>
      </c>
      <c r="W3642" s="39" t="n">
        <f aca="false">IF(I3642="Male",0,1)</f>
        <v>1</v>
      </c>
      <c r="X3642" s="39" t="n">
        <f aca="false">IF(OR(I3642="DNB",I3642="Dry DNB"),1,0)</f>
        <v>0</v>
      </c>
      <c r="Y3642" s="39" t="n">
        <f aca="false">MATCH(A3642,DATAS,0)</f>
        <v>1</v>
      </c>
      <c r="Z3642" s="39" t="n">
        <f aca="false">IF(AND(E3642&gt;0,OR(AND(B3642&gt;=1,B3642&lt;=6),B3642=10)),1,0)</f>
        <v>0</v>
      </c>
      <c r="AA3642" s="39" t="n">
        <f aca="false">IF(AND(E3642&gt;0,B3642=10),1,0)</f>
        <v>0</v>
      </c>
      <c r="AB3642" s="0" t="str">
        <f aca="false">IF(AND(C3641=C3642,Y3641=Y3642-1),Z3641,"")</f>
        <v/>
      </c>
      <c r="AC3642" s="0" t="str">
        <f aca="false">IF(AND(C3641=C3642,Y3641=Y3642-1),AA3641,"")</f>
        <v/>
      </c>
      <c r="AD3642" s="0" t="str">
        <f aca="false">IF(Y3642=1,"",IF(AND(Z3642=1,AB3642&lt;&gt;1),1,0))</f>
        <v/>
      </c>
      <c r="AE3642" s="0" t="str">
        <f aca="false">IF(Y3642=1,"",IF(AND(AA3642=1,AC3642&lt;&gt;1),1,0))</f>
        <v/>
      </c>
      <c r="AF3642" s="45" t="str">
        <f aca="false">IF(AND(E3642&gt;0,Y3642&lt;1,NOT(AND(C3643=C3642,Y3643=Y3642+1))),INDEX(DATAS,Y3642+1),"")</f>
        <v/>
      </c>
      <c r="AG3642" s="45" t="str">
        <f aca="false">IF(AND(AA3642=1,Y3642&lt;1),IF(AND(C3643=C3642,Y3643=Y3642+1),IF(AA3643=1,"",INDEX(DATAS,Y3642+1)),INDEX(DATAS,Y3642+1)),"")</f>
        <v/>
      </c>
    </row>
    <row r="3643" customFormat="false" ht="15" hidden="false" customHeight="false" outlineLevel="0" collapsed="false">
      <c r="A3643" s="45" t="n">
        <v>46309</v>
      </c>
      <c r="B3643" s="0" t="n">
        <v>16</v>
      </c>
      <c r="C3643" s="0" t="n">
        <v>8107</v>
      </c>
      <c r="E3643" s="0" t="n">
        <v>0</v>
      </c>
      <c r="F3643" s="39" t="s">
        <v>1620</v>
      </c>
      <c r="I3643" s="39" t="s">
        <v>136</v>
      </c>
      <c r="U3643" s="0" t="n">
        <v>37</v>
      </c>
      <c r="V3643" s="0" t="n">
        <v>0</v>
      </c>
      <c r="W3643" s="39" t="n">
        <f aca="false">IF(I3643="Male",0,1)</f>
        <v>1</v>
      </c>
      <c r="X3643" s="39" t="n">
        <f aca="false">IF(OR(I3643="DNB",I3643="Dry DNB"),1,0)</f>
        <v>0</v>
      </c>
      <c r="Y3643" s="39" t="n">
        <f aca="false">MATCH(A3643,DATAS,0)</f>
        <v>1</v>
      </c>
      <c r="Z3643" s="39" t="n">
        <f aca="false">IF(AND(E3643&gt;0,OR(AND(B3643&gt;=1,B3643&lt;=6),B3643=10)),1,0)</f>
        <v>0</v>
      </c>
      <c r="AA3643" s="39" t="n">
        <f aca="false">IF(AND(E3643&gt;0,B3643=10),1,0)</f>
        <v>0</v>
      </c>
      <c r="AB3643" s="0" t="str">
        <f aca="false">IF(AND(C3642=C3643,Y3642=Y3643-1),Z3642,"")</f>
        <v/>
      </c>
      <c r="AC3643" s="0" t="str">
        <f aca="false">IF(AND(C3642=C3643,Y3642=Y3643-1),AA3642,"")</f>
        <v/>
      </c>
      <c r="AD3643" s="0" t="str">
        <f aca="false">IF(Y3643=1,"",IF(AND(Z3643=1,AB3643&lt;&gt;1),1,0))</f>
        <v/>
      </c>
      <c r="AE3643" s="0" t="str">
        <f aca="false">IF(Y3643=1,"",IF(AND(AA3643=1,AC3643&lt;&gt;1),1,0))</f>
        <v/>
      </c>
      <c r="AF3643" s="45" t="str">
        <f aca="false">IF(AND(E3643&gt;0,Y3643&lt;1,NOT(AND(C3644=C3643,Y3644=Y3643+1))),INDEX(DATAS,Y3643+1),"")</f>
        <v/>
      </c>
      <c r="AG3643" s="45" t="str">
        <f aca="false">IF(AND(AA3643=1,Y3643&lt;1),IF(AND(C3644=C3643,Y3644=Y3643+1),IF(AA3644=1,"",INDEX(DATAS,Y3643+1)),INDEX(DATAS,Y3643+1)),"")</f>
        <v/>
      </c>
    </row>
    <row r="3644" customFormat="false" ht="15" hidden="false" customHeight="false" outlineLevel="0" collapsed="false">
      <c r="A3644" s="45" t="n">
        <v>46309</v>
      </c>
      <c r="B3644" s="0" t="n">
        <v>16</v>
      </c>
      <c r="C3644" s="0" t="n">
        <v>8108</v>
      </c>
      <c r="E3644" s="0" t="n">
        <v>0</v>
      </c>
      <c r="F3644" s="39" t="s">
        <v>1620</v>
      </c>
      <c r="I3644" s="39" t="s">
        <v>136</v>
      </c>
      <c r="U3644" s="0" t="n">
        <v>37</v>
      </c>
      <c r="V3644" s="0" t="n">
        <v>0</v>
      </c>
      <c r="W3644" s="39" t="n">
        <f aca="false">IF(I3644="Male",0,1)</f>
        <v>1</v>
      </c>
      <c r="X3644" s="39" t="n">
        <f aca="false">IF(OR(I3644="DNB",I3644="Dry DNB"),1,0)</f>
        <v>0</v>
      </c>
      <c r="Y3644" s="39" t="n">
        <f aca="false">MATCH(A3644,DATAS,0)</f>
        <v>1</v>
      </c>
      <c r="Z3644" s="39" t="n">
        <f aca="false">IF(AND(E3644&gt;0,OR(AND(B3644&gt;=1,B3644&lt;=6),B3644=10)),1,0)</f>
        <v>0</v>
      </c>
      <c r="AA3644" s="39" t="n">
        <f aca="false">IF(AND(E3644&gt;0,B3644=10),1,0)</f>
        <v>0</v>
      </c>
      <c r="AB3644" s="0" t="str">
        <f aca="false">IF(AND(C3643=C3644,Y3643=Y3644-1),Z3643,"")</f>
        <v/>
      </c>
      <c r="AC3644" s="0" t="str">
        <f aca="false">IF(AND(C3643=C3644,Y3643=Y3644-1),AA3643,"")</f>
        <v/>
      </c>
      <c r="AD3644" s="0" t="str">
        <f aca="false">IF(Y3644=1,"",IF(AND(Z3644=1,AB3644&lt;&gt;1),1,0))</f>
        <v/>
      </c>
      <c r="AE3644" s="0" t="str">
        <f aca="false">IF(Y3644=1,"",IF(AND(AA3644=1,AC3644&lt;&gt;1),1,0))</f>
        <v/>
      </c>
      <c r="AF3644" s="45" t="str">
        <f aca="false">IF(AND(E3644&gt;0,Y3644&lt;1,NOT(AND(C3645=C3644,Y3645=Y3644+1))),INDEX(DATAS,Y3644+1),"")</f>
        <v/>
      </c>
      <c r="AG3644" s="45" t="str">
        <f aca="false">IF(AND(AA3644=1,Y3644&lt;1),IF(AND(C3645=C3644,Y3645=Y3644+1),IF(AA3645=1,"",INDEX(DATAS,Y3644+1)),INDEX(DATAS,Y3644+1)),"")</f>
        <v/>
      </c>
    </row>
    <row r="3645" customFormat="false" ht="15" hidden="false" customHeight="false" outlineLevel="0" collapsed="false">
      <c r="A3645" s="45" t="n">
        <v>46309</v>
      </c>
      <c r="B3645" s="0" t="n">
        <v>16</v>
      </c>
      <c r="C3645" s="0" t="n">
        <v>8109</v>
      </c>
      <c r="E3645" s="0" t="n">
        <v>0</v>
      </c>
      <c r="F3645" s="39" t="s">
        <v>1621</v>
      </c>
      <c r="I3645" s="39" t="s">
        <v>136</v>
      </c>
      <c r="U3645" s="0" t="n">
        <v>36</v>
      </c>
      <c r="V3645" s="0" t="n">
        <v>0</v>
      </c>
      <c r="W3645" s="39" t="n">
        <f aca="false">IF(I3645="Male",0,1)</f>
        <v>1</v>
      </c>
      <c r="X3645" s="39" t="n">
        <f aca="false">IF(OR(I3645="DNB",I3645="Dry DNB"),1,0)</f>
        <v>0</v>
      </c>
      <c r="Y3645" s="39" t="n">
        <f aca="false">MATCH(A3645,DATAS,0)</f>
        <v>1</v>
      </c>
      <c r="Z3645" s="39" t="n">
        <f aca="false">IF(AND(E3645&gt;0,OR(AND(B3645&gt;=1,B3645&lt;=6),B3645=10)),1,0)</f>
        <v>0</v>
      </c>
      <c r="AA3645" s="39" t="n">
        <f aca="false">IF(AND(E3645&gt;0,B3645=10),1,0)</f>
        <v>0</v>
      </c>
      <c r="AB3645" s="0" t="str">
        <f aca="false">IF(AND(C3644=C3645,Y3644=Y3645-1),Z3644,"")</f>
        <v/>
      </c>
      <c r="AC3645" s="0" t="str">
        <f aca="false">IF(AND(C3644=C3645,Y3644=Y3645-1),AA3644,"")</f>
        <v/>
      </c>
      <c r="AD3645" s="0" t="str">
        <f aca="false">IF(Y3645=1,"",IF(AND(Z3645=1,AB3645&lt;&gt;1),1,0))</f>
        <v/>
      </c>
      <c r="AE3645" s="0" t="str">
        <f aca="false">IF(Y3645=1,"",IF(AND(AA3645=1,AC3645&lt;&gt;1),1,0))</f>
        <v/>
      </c>
      <c r="AF3645" s="45" t="str">
        <f aca="false">IF(AND(E3645&gt;0,Y3645&lt;1,NOT(AND(C3646=C3645,Y3646=Y3645+1))),INDEX(DATAS,Y3645+1),"")</f>
        <v/>
      </c>
      <c r="AG3645" s="45" t="str">
        <f aca="false">IF(AND(AA3645=1,Y3645&lt;1),IF(AND(C3646=C3645,Y3646=Y3645+1),IF(AA3646=1,"",INDEX(DATAS,Y3645+1)),INDEX(DATAS,Y3645+1)),"")</f>
        <v/>
      </c>
    </row>
    <row r="3646" customFormat="false" ht="15" hidden="false" customHeight="false" outlineLevel="0" collapsed="false">
      <c r="A3646" s="45" t="n">
        <v>46309</v>
      </c>
      <c r="B3646" s="0" t="n">
        <v>16</v>
      </c>
      <c r="C3646" s="0" t="n">
        <v>8110</v>
      </c>
      <c r="E3646" s="0" t="n">
        <v>0</v>
      </c>
      <c r="F3646" s="39" t="s">
        <v>1621</v>
      </c>
      <c r="I3646" s="39" t="s">
        <v>136</v>
      </c>
      <c r="U3646" s="0" t="n">
        <v>36</v>
      </c>
      <c r="V3646" s="0" t="n">
        <v>0</v>
      </c>
      <c r="W3646" s="39" t="n">
        <f aca="false">IF(I3646="Male",0,1)</f>
        <v>1</v>
      </c>
      <c r="X3646" s="39" t="n">
        <f aca="false">IF(OR(I3646="DNB",I3646="Dry DNB"),1,0)</f>
        <v>0</v>
      </c>
      <c r="Y3646" s="39" t="n">
        <f aca="false">MATCH(A3646,DATAS,0)</f>
        <v>1</v>
      </c>
      <c r="Z3646" s="39" t="n">
        <f aca="false">IF(AND(E3646&gt;0,OR(AND(B3646&gt;=1,B3646&lt;=6),B3646=10)),1,0)</f>
        <v>0</v>
      </c>
      <c r="AA3646" s="39" t="n">
        <f aca="false">IF(AND(E3646&gt;0,B3646=10),1,0)</f>
        <v>0</v>
      </c>
      <c r="AB3646" s="0" t="str">
        <f aca="false">IF(AND(C3645=C3646,Y3645=Y3646-1),Z3645,"")</f>
        <v/>
      </c>
      <c r="AC3646" s="0" t="str">
        <f aca="false">IF(AND(C3645=C3646,Y3645=Y3646-1),AA3645,"")</f>
        <v/>
      </c>
      <c r="AD3646" s="0" t="str">
        <f aca="false">IF(Y3646=1,"",IF(AND(Z3646=1,AB3646&lt;&gt;1),1,0))</f>
        <v/>
      </c>
      <c r="AE3646" s="0" t="str">
        <f aca="false">IF(Y3646=1,"",IF(AND(AA3646=1,AC3646&lt;&gt;1),1,0))</f>
        <v/>
      </c>
      <c r="AF3646" s="45" t="str">
        <f aca="false">IF(AND(E3646&gt;0,Y3646&lt;1,NOT(AND(C3647=C3646,Y3647=Y3646+1))),INDEX(DATAS,Y3646+1),"")</f>
        <v/>
      </c>
      <c r="AG3646" s="45" t="str">
        <f aca="false">IF(AND(AA3646=1,Y3646&lt;1),IF(AND(C3647=C3646,Y3647=Y3646+1),IF(AA3647=1,"",INDEX(DATAS,Y3646+1)),INDEX(DATAS,Y3646+1)),"")</f>
        <v/>
      </c>
    </row>
    <row r="3647" customFormat="false" ht="15" hidden="false" customHeight="false" outlineLevel="0" collapsed="false">
      <c r="A3647" s="45" t="n">
        <v>46309</v>
      </c>
      <c r="B3647" s="0" t="n">
        <v>16</v>
      </c>
      <c r="C3647" s="0" t="n">
        <v>8111</v>
      </c>
      <c r="E3647" s="0" t="n">
        <v>0</v>
      </c>
      <c r="F3647" s="39" t="s">
        <v>1621</v>
      </c>
      <c r="I3647" s="39" t="s">
        <v>136</v>
      </c>
      <c r="U3647" s="0" t="n">
        <v>36</v>
      </c>
      <c r="V3647" s="0" t="n">
        <v>0</v>
      </c>
      <c r="W3647" s="39" t="n">
        <f aca="false">IF(I3647="Male",0,1)</f>
        <v>1</v>
      </c>
      <c r="X3647" s="39" t="n">
        <f aca="false">IF(OR(I3647="DNB",I3647="Dry DNB"),1,0)</f>
        <v>0</v>
      </c>
      <c r="Y3647" s="39" t="n">
        <f aca="false">MATCH(A3647,DATAS,0)</f>
        <v>1</v>
      </c>
      <c r="Z3647" s="39" t="n">
        <f aca="false">IF(AND(E3647&gt;0,OR(AND(B3647&gt;=1,B3647&lt;=6),B3647=10)),1,0)</f>
        <v>0</v>
      </c>
      <c r="AA3647" s="39" t="n">
        <f aca="false">IF(AND(E3647&gt;0,B3647=10),1,0)</f>
        <v>0</v>
      </c>
      <c r="AB3647" s="0" t="str">
        <f aca="false">IF(AND(C3646=C3647,Y3646=Y3647-1),Z3646,"")</f>
        <v/>
      </c>
      <c r="AC3647" s="0" t="str">
        <f aca="false">IF(AND(C3646=C3647,Y3646=Y3647-1),AA3646,"")</f>
        <v/>
      </c>
      <c r="AD3647" s="0" t="str">
        <f aca="false">IF(Y3647=1,"",IF(AND(Z3647=1,AB3647&lt;&gt;1),1,0))</f>
        <v/>
      </c>
      <c r="AE3647" s="0" t="str">
        <f aca="false">IF(Y3647=1,"",IF(AND(AA3647=1,AC3647&lt;&gt;1),1,0))</f>
        <v/>
      </c>
      <c r="AF3647" s="45" t="str">
        <f aca="false">IF(AND(E3647&gt;0,Y3647&lt;1,NOT(AND(C3648=C3647,Y3648=Y3647+1))),INDEX(DATAS,Y3647+1),"")</f>
        <v/>
      </c>
      <c r="AG3647" s="45" t="str">
        <f aca="false">IF(AND(AA3647=1,Y3647&lt;1),IF(AND(C3648=C3647,Y3648=Y3647+1),IF(AA3648=1,"",INDEX(DATAS,Y3647+1)),INDEX(DATAS,Y3647+1)),"")</f>
        <v/>
      </c>
    </row>
    <row r="3648" customFormat="false" ht="15" hidden="false" customHeight="false" outlineLevel="0" collapsed="false">
      <c r="A3648" s="45" t="n">
        <v>46309</v>
      </c>
      <c r="B3648" s="0" t="n">
        <v>16</v>
      </c>
      <c r="C3648" s="0" t="n">
        <v>8112</v>
      </c>
      <c r="E3648" s="0" t="n">
        <v>0</v>
      </c>
      <c r="F3648" s="39" t="s">
        <v>1622</v>
      </c>
      <c r="I3648" s="39" t="s">
        <v>136</v>
      </c>
      <c r="U3648" s="0" t="n">
        <v>35</v>
      </c>
      <c r="V3648" s="0" t="n">
        <v>0</v>
      </c>
      <c r="W3648" s="39" t="n">
        <f aca="false">IF(I3648="Male",0,1)</f>
        <v>1</v>
      </c>
      <c r="X3648" s="39" t="n">
        <f aca="false">IF(OR(I3648="DNB",I3648="Dry DNB"),1,0)</f>
        <v>0</v>
      </c>
      <c r="Y3648" s="39" t="n">
        <f aca="false">MATCH(A3648,DATAS,0)</f>
        <v>1</v>
      </c>
      <c r="Z3648" s="39" t="n">
        <f aca="false">IF(AND(E3648&gt;0,OR(AND(B3648&gt;=1,B3648&lt;=6),B3648=10)),1,0)</f>
        <v>0</v>
      </c>
      <c r="AA3648" s="39" t="n">
        <f aca="false">IF(AND(E3648&gt;0,B3648=10),1,0)</f>
        <v>0</v>
      </c>
      <c r="AB3648" s="0" t="str">
        <f aca="false">IF(AND(C3647=C3648,Y3647=Y3648-1),Z3647,"")</f>
        <v/>
      </c>
      <c r="AC3648" s="0" t="str">
        <f aca="false">IF(AND(C3647=C3648,Y3647=Y3648-1),AA3647,"")</f>
        <v/>
      </c>
      <c r="AD3648" s="0" t="str">
        <f aca="false">IF(Y3648=1,"",IF(AND(Z3648=1,AB3648&lt;&gt;1),1,0))</f>
        <v/>
      </c>
      <c r="AE3648" s="0" t="str">
        <f aca="false">IF(Y3648=1,"",IF(AND(AA3648=1,AC3648&lt;&gt;1),1,0))</f>
        <v/>
      </c>
      <c r="AF3648" s="45" t="str">
        <f aca="false">IF(AND(E3648&gt;0,Y3648&lt;1,NOT(AND(C3649=C3648,Y3649=Y3648+1))),INDEX(DATAS,Y3648+1),"")</f>
        <v/>
      </c>
      <c r="AG3648" s="45" t="str">
        <f aca="false">IF(AND(AA3648=1,Y3648&lt;1),IF(AND(C3649=C3648,Y3649=Y3648+1),IF(AA3649=1,"",INDEX(DATAS,Y3648+1)),INDEX(DATAS,Y3648+1)),"")</f>
        <v/>
      </c>
    </row>
    <row r="3649" customFormat="false" ht="15" hidden="false" customHeight="false" outlineLevel="0" collapsed="false">
      <c r="A3649" s="45" t="n">
        <v>46309</v>
      </c>
      <c r="B3649" s="0" t="n">
        <v>16</v>
      </c>
      <c r="C3649" s="0" t="n">
        <v>8113</v>
      </c>
      <c r="E3649" s="0" t="n">
        <v>0</v>
      </c>
      <c r="F3649" s="39" t="s">
        <v>1622</v>
      </c>
      <c r="I3649" s="39" t="s">
        <v>136</v>
      </c>
      <c r="U3649" s="0" t="n">
        <v>35</v>
      </c>
      <c r="V3649" s="0" t="n">
        <v>0</v>
      </c>
      <c r="W3649" s="39" t="n">
        <f aca="false">IF(I3649="Male",0,1)</f>
        <v>1</v>
      </c>
      <c r="X3649" s="39" t="n">
        <f aca="false">IF(OR(I3649="DNB",I3649="Dry DNB"),1,0)</f>
        <v>0</v>
      </c>
      <c r="Y3649" s="39" t="n">
        <f aca="false">MATCH(A3649,DATAS,0)</f>
        <v>1</v>
      </c>
      <c r="Z3649" s="39" t="n">
        <f aca="false">IF(AND(E3649&gt;0,OR(AND(B3649&gt;=1,B3649&lt;=6),B3649=10)),1,0)</f>
        <v>0</v>
      </c>
      <c r="AA3649" s="39" t="n">
        <f aca="false">IF(AND(E3649&gt;0,B3649=10),1,0)</f>
        <v>0</v>
      </c>
      <c r="AB3649" s="0" t="str">
        <f aca="false">IF(AND(C3648=C3649,Y3648=Y3649-1),Z3648,"")</f>
        <v/>
      </c>
      <c r="AC3649" s="0" t="str">
        <f aca="false">IF(AND(C3648=C3649,Y3648=Y3649-1),AA3648,"")</f>
        <v/>
      </c>
      <c r="AD3649" s="0" t="str">
        <f aca="false">IF(Y3649=1,"",IF(AND(Z3649=1,AB3649&lt;&gt;1),1,0))</f>
        <v/>
      </c>
      <c r="AE3649" s="0" t="str">
        <f aca="false">IF(Y3649=1,"",IF(AND(AA3649=1,AC3649&lt;&gt;1),1,0))</f>
        <v/>
      </c>
      <c r="AF3649" s="45" t="str">
        <f aca="false">IF(AND(E3649&gt;0,Y3649&lt;1,NOT(AND(C3650=C3649,Y3650=Y3649+1))),INDEX(DATAS,Y3649+1),"")</f>
        <v/>
      </c>
      <c r="AG3649" s="45" t="str">
        <f aca="false">IF(AND(AA3649=1,Y3649&lt;1),IF(AND(C3650=C3649,Y3650=Y3649+1),IF(AA3650=1,"",INDEX(DATAS,Y3649+1)),INDEX(DATAS,Y3649+1)),"")</f>
        <v/>
      </c>
    </row>
    <row r="3650" customFormat="false" ht="15" hidden="false" customHeight="false" outlineLevel="0" collapsed="false">
      <c r="A3650" s="45" t="n">
        <v>46309</v>
      </c>
      <c r="B3650" s="0" t="n">
        <v>16</v>
      </c>
      <c r="C3650" s="0" t="n">
        <v>8114</v>
      </c>
      <c r="E3650" s="0" t="n">
        <v>0</v>
      </c>
      <c r="F3650" s="39" t="s">
        <v>1622</v>
      </c>
      <c r="I3650" s="39" t="s">
        <v>136</v>
      </c>
      <c r="U3650" s="0" t="n">
        <v>35</v>
      </c>
      <c r="V3650" s="0" t="n">
        <v>0</v>
      </c>
      <c r="W3650" s="39" t="n">
        <f aca="false">IF(I3650="Male",0,1)</f>
        <v>1</v>
      </c>
      <c r="X3650" s="39" t="n">
        <f aca="false">IF(OR(I3650="DNB",I3650="Dry DNB"),1,0)</f>
        <v>0</v>
      </c>
      <c r="Y3650" s="39" t="n">
        <f aca="false">MATCH(A3650,DATAS,0)</f>
        <v>1</v>
      </c>
      <c r="Z3650" s="39" t="n">
        <f aca="false">IF(AND(E3650&gt;0,OR(AND(B3650&gt;=1,B3650&lt;=6),B3650=10)),1,0)</f>
        <v>0</v>
      </c>
      <c r="AA3650" s="39" t="n">
        <f aca="false">IF(AND(E3650&gt;0,B3650=10),1,0)</f>
        <v>0</v>
      </c>
      <c r="AB3650" s="0" t="str">
        <f aca="false">IF(AND(C3649=C3650,Y3649=Y3650-1),Z3649,"")</f>
        <v/>
      </c>
      <c r="AC3650" s="0" t="str">
        <f aca="false">IF(AND(C3649=C3650,Y3649=Y3650-1),AA3649,"")</f>
        <v/>
      </c>
      <c r="AD3650" s="0" t="str">
        <f aca="false">IF(Y3650=1,"",IF(AND(Z3650=1,AB3650&lt;&gt;1),1,0))</f>
        <v/>
      </c>
      <c r="AE3650" s="0" t="str">
        <f aca="false">IF(Y3650=1,"",IF(AND(AA3650=1,AC3650&lt;&gt;1),1,0))</f>
        <v/>
      </c>
      <c r="AF3650" s="45" t="str">
        <f aca="false">IF(AND(E3650&gt;0,Y3650&lt;1,NOT(AND(C3651=C3650,Y3651=Y3650+1))),INDEX(DATAS,Y3650+1),"")</f>
        <v/>
      </c>
      <c r="AG3650" s="45" t="str">
        <f aca="false">IF(AND(AA3650=1,Y3650&lt;1),IF(AND(C3651=C3650,Y3651=Y3650+1),IF(AA3651=1,"",INDEX(DATAS,Y3650+1)),INDEX(DATAS,Y3650+1)),"")</f>
        <v/>
      </c>
    </row>
    <row r="3651" customFormat="false" ht="15" hidden="false" customHeight="false" outlineLevel="0" collapsed="false">
      <c r="A3651" s="45" t="n">
        <v>46309</v>
      </c>
      <c r="B3651" s="0" t="n">
        <v>16</v>
      </c>
      <c r="C3651" s="0" t="n">
        <v>8115</v>
      </c>
      <c r="E3651" s="0" t="n">
        <v>0</v>
      </c>
      <c r="F3651" s="39" t="s">
        <v>1623</v>
      </c>
      <c r="I3651" s="39" t="s">
        <v>136</v>
      </c>
      <c r="U3651" s="0" t="n">
        <v>34</v>
      </c>
      <c r="V3651" s="0" t="n">
        <v>0</v>
      </c>
      <c r="W3651" s="39" t="n">
        <f aca="false">IF(I3651="Male",0,1)</f>
        <v>1</v>
      </c>
      <c r="X3651" s="39" t="n">
        <f aca="false">IF(OR(I3651="DNB",I3651="Dry DNB"),1,0)</f>
        <v>0</v>
      </c>
      <c r="Y3651" s="39" t="n">
        <f aca="false">MATCH(A3651,DATAS,0)</f>
        <v>1</v>
      </c>
      <c r="Z3651" s="39" t="n">
        <f aca="false">IF(AND(E3651&gt;0,OR(AND(B3651&gt;=1,B3651&lt;=6),B3651=10)),1,0)</f>
        <v>0</v>
      </c>
      <c r="AA3651" s="39" t="n">
        <f aca="false">IF(AND(E3651&gt;0,B3651=10),1,0)</f>
        <v>0</v>
      </c>
      <c r="AB3651" s="0" t="str">
        <f aca="false">IF(AND(C3650=C3651,Y3650=Y3651-1),Z3650,"")</f>
        <v/>
      </c>
      <c r="AC3651" s="0" t="str">
        <f aca="false">IF(AND(C3650=C3651,Y3650=Y3651-1),AA3650,"")</f>
        <v/>
      </c>
      <c r="AD3651" s="0" t="str">
        <f aca="false">IF(Y3651=1,"",IF(AND(Z3651=1,AB3651&lt;&gt;1),1,0))</f>
        <v/>
      </c>
      <c r="AE3651" s="0" t="str">
        <f aca="false">IF(Y3651=1,"",IF(AND(AA3651=1,AC3651&lt;&gt;1),1,0))</f>
        <v/>
      </c>
      <c r="AF3651" s="45" t="str">
        <f aca="false">IF(AND(E3651&gt;0,Y3651&lt;1,NOT(AND(C3652=C3651,Y3652=Y3651+1))),INDEX(DATAS,Y3651+1),"")</f>
        <v/>
      </c>
      <c r="AG3651" s="45" t="str">
        <f aca="false">IF(AND(AA3651=1,Y3651&lt;1),IF(AND(C3652=C3651,Y3652=Y3651+1),IF(AA3652=1,"",INDEX(DATAS,Y3651+1)),INDEX(DATAS,Y3651+1)),"")</f>
        <v/>
      </c>
    </row>
    <row r="3652" customFormat="false" ht="15" hidden="false" customHeight="false" outlineLevel="0" collapsed="false">
      <c r="A3652" s="45" t="n">
        <v>46309</v>
      </c>
      <c r="B3652" s="0" t="n">
        <v>16</v>
      </c>
      <c r="C3652" s="0" t="n">
        <v>8116</v>
      </c>
      <c r="E3652" s="0" t="n">
        <v>0</v>
      </c>
      <c r="F3652" s="39" t="s">
        <v>1623</v>
      </c>
      <c r="I3652" s="39" t="s">
        <v>136</v>
      </c>
      <c r="U3652" s="0" t="n">
        <v>34</v>
      </c>
      <c r="V3652" s="0" t="n">
        <v>0</v>
      </c>
      <c r="W3652" s="39" t="n">
        <f aca="false">IF(I3652="Male",0,1)</f>
        <v>1</v>
      </c>
      <c r="X3652" s="39" t="n">
        <f aca="false">IF(OR(I3652="DNB",I3652="Dry DNB"),1,0)</f>
        <v>0</v>
      </c>
      <c r="Y3652" s="39" t="n">
        <f aca="false">MATCH(A3652,DATAS,0)</f>
        <v>1</v>
      </c>
      <c r="Z3652" s="39" t="n">
        <f aca="false">IF(AND(E3652&gt;0,OR(AND(B3652&gt;=1,B3652&lt;=6),B3652=10)),1,0)</f>
        <v>0</v>
      </c>
      <c r="AA3652" s="39" t="n">
        <f aca="false">IF(AND(E3652&gt;0,B3652=10),1,0)</f>
        <v>0</v>
      </c>
      <c r="AB3652" s="0" t="str">
        <f aca="false">IF(AND(C3651=C3652,Y3651=Y3652-1),Z3651,"")</f>
        <v/>
      </c>
      <c r="AC3652" s="0" t="str">
        <f aca="false">IF(AND(C3651=C3652,Y3651=Y3652-1),AA3651,"")</f>
        <v/>
      </c>
      <c r="AD3652" s="0" t="str">
        <f aca="false">IF(Y3652=1,"",IF(AND(Z3652=1,AB3652&lt;&gt;1),1,0))</f>
        <v/>
      </c>
      <c r="AE3652" s="0" t="str">
        <f aca="false">IF(Y3652=1,"",IF(AND(AA3652=1,AC3652&lt;&gt;1),1,0))</f>
        <v/>
      </c>
      <c r="AF3652" s="45" t="str">
        <f aca="false">IF(AND(E3652&gt;0,Y3652&lt;1,NOT(AND(C3653=C3652,Y3653=Y3652+1))),INDEX(DATAS,Y3652+1),"")</f>
        <v/>
      </c>
      <c r="AG3652" s="45" t="str">
        <f aca="false">IF(AND(AA3652=1,Y3652&lt;1),IF(AND(C3653=C3652,Y3653=Y3652+1),IF(AA3653=1,"",INDEX(DATAS,Y3652+1)),INDEX(DATAS,Y3652+1)),"")</f>
        <v/>
      </c>
    </row>
    <row r="3653" customFormat="false" ht="15" hidden="false" customHeight="false" outlineLevel="0" collapsed="false">
      <c r="A3653" s="45" t="n">
        <v>46309</v>
      </c>
      <c r="B3653" s="0" t="n">
        <v>16</v>
      </c>
      <c r="C3653" s="0" t="n">
        <v>8117</v>
      </c>
      <c r="E3653" s="0" t="n">
        <v>0</v>
      </c>
      <c r="F3653" s="39" t="s">
        <v>1624</v>
      </c>
      <c r="I3653" s="39" t="s">
        <v>136</v>
      </c>
      <c r="U3653" s="0" t="n">
        <v>33</v>
      </c>
      <c r="V3653" s="0" t="n">
        <v>0</v>
      </c>
      <c r="W3653" s="39" t="n">
        <f aca="false">IF(I3653="Male",0,1)</f>
        <v>1</v>
      </c>
      <c r="X3653" s="39" t="n">
        <f aca="false">IF(OR(I3653="DNB",I3653="Dry DNB"),1,0)</f>
        <v>0</v>
      </c>
      <c r="Y3653" s="39" t="n">
        <f aca="false">MATCH(A3653,DATAS,0)</f>
        <v>1</v>
      </c>
      <c r="Z3653" s="39" t="n">
        <f aca="false">IF(AND(E3653&gt;0,OR(AND(B3653&gt;=1,B3653&lt;=6),B3653=10)),1,0)</f>
        <v>0</v>
      </c>
      <c r="AA3653" s="39" t="n">
        <f aca="false">IF(AND(E3653&gt;0,B3653=10),1,0)</f>
        <v>0</v>
      </c>
      <c r="AB3653" s="0" t="str">
        <f aca="false">IF(AND(C3652=C3653,Y3652=Y3653-1),Z3652,"")</f>
        <v/>
      </c>
      <c r="AC3653" s="0" t="str">
        <f aca="false">IF(AND(C3652=C3653,Y3652=Y3653-1),AA3652,"")</f>
        <v/>
      </c>
      <c r="AD3653" s="0" t="str">
        <f aca="false">IF(Y3653=1,"",IF(AND(Z3653=1,AB3653&lt;&gt;1),1,0))</f>
        <v/>
      </c>
      <c r="AE3653" s="0" t="str">
        <f aca="false">IF(Y3653=1,"",IF(AND(AA3653=1,AC3653&lt;&gt;1),1,0))</f>
        <v/>
      </c>
      <c r="AF3653" s="45" t="str">
        <f aca="false">IF(AND(E3653&gt;0,Y3653&lt;1,NOT(AND(C3654=C3653,Y3654=Y3653+1))),INDEX(DATAS,Y3653+1),"")</f>
        <v/>
      </c>
      <c r="AG3653" s="45" t="str">
        <f aca="false">IF(AND(AA3653=1,Y3653&lt;1),IF(AND(C3654=C3653,Y3654=Y3653+1),IF(AA3654=1,"",INDEX(DATAS,Y3653+1)),INDEX(DATAS,Y3653+1)),"")</f>
        <v/>
      </c>
    </row>
    <row r="3654" customFormat="false" ht="15" hidden="false" customHeight="false" outlineLevel="0" collapsed="false">
      <c r="A3654" s="45" t="n">
        <v>46309</v>
      </c>
      <c r="B3654" s="0" t="n">
        <v>16</v>
      </c>
      <c r="C3654" s="0" t="n">
        <v>8118</v>
      </c>
      <c r="E3654" s="0" t="n">
        <v>0</v>
      </c>
      <c r="F3654" s="39" t="s">
        <v>1624</v>
      </c>
      <c r="I3654" s="39" t="s">
        <v>136</v>
      </c>
      <c r="U3654" s="0" t="n">
        <v>33</v>
      </c>
      <c r="V3654" s="0" t="n">
        <v>0</v>
      </c>
      <c r="W3654" s="39" t="n">
        <f aca="false">IF(I3654="Male",0,1)</f>
        <v>1</v>
      </c>
      <c r="X3654" s="39" t="n">
        <f aca="false">IF(OR(I3654="DNB",I3654="Dry DNB"),1,0)</f>
        <v>0</v>
      </c>
      <c r="Y3654" s="39" t="n">
        <f aca="false">MATCH(A3654,DATAS,0)</f>
        <v>1</v>
      </c>
      <c r="Z3654" s="39" t="n">
        <f aca="false">IF(AND(E3654&gt;0,OR(AND(B3654&gt;=1,B3654&lt;=6),B3654=10)),1,0)</f>
        <v>0</v>
      </c>
      <c r="AA3654" s="39" t="n">
        <f aca="false">IF(AND(E3654&gt;0,B3654=10),1,0)</f>
        <v>0</v>
      </c>
      <c r="AB3654" s="0" t="str">
        <f aca="false">IF(AND(C3653=C3654,Y3653=Y3654-1),Z3653,"")</f>
        <v/>
      </c>
      <c r="AC3654" s="0" t="str">
        <f aca="false">IF(AND(C3653=C3654,Y3653=Y3654-1),AA3653,"")</f>
        <v/>
      </c>
      <c r="AD3654" s="0" t="str">
        <f aca="false">IF(Y3654=1,"",IF(AND(Z3654=1,AB3654&lt;&gt;1),1,0))</f>
        <v/>
      </c>
      <c r="AE3654" s="0" t="str">
        <f aca="false">IF(Y3654=1,"",IF(AND(AA3654=1,AC3654&lt;&gt;1),1,0))</f>
        <v/>
      </c>
      <c r="AF3654" s="45" t="str">
        <f aca="false">IF(AND(E3654&gt;0,Y3654&lt;1,NOT(AND(C3655=C3654,Y3655=Y3654+1))),INDEX(DATAS,Y3654+1),"")</f>
        <v/>
      </c>
      <c r="AG3654" s="45" t="str">
        <f aca="false">IF(AND(AA3654=1,Y3654&lt;1),IF(AND(C3655=C3654,Y3655=Y3654+1),IF(AA3655=1,"",INDEX(DATAS,Y3654+1)),INDEX(DATAS,Y3654+1)),"")</f>
        <v/>
      </c>
    </row>
    <row r="3655" customFormat="false" ht="15" hidden="false" customHeight="false" outlineLevel="0" collapsed="false">
      <c r="A3655" s="45" t="n">
        <v>46309</v>
      </c>
      <c r="B3655" s="0" t="n">
        <v>16</v>
      </c>
      <c r="C3655" s="0" t="n">
        <v>8119</v>
      </c>
      <c r="E3655" s="0" t="n">
        <v>0</v>
      </c>
      <c r="F3655" s="39" t="s">
        <v>1624</v>
      </c>
      <c r="I3655" s="39" t="s">
        <v>136</v>
      </c>
      <c r="U3655" s="0" t="n">
        <v>33</v>
      </c>
      <c r="V3655" s="0" t="n">
        <v>0</v>
      </c>
      <c r="W3655" s="39" t="n">
        <f aca="false">IF(I3655="Male",0,1)</f>
        <v>1</v>
      </c>
      <c r="X3655" s="39" t="n">
        <f aca="false">IF(OR(I3655="DNB",I3655="Dry DNB"),1,0)</f>
        <v>0</v>
      </c>
      <c r="Y3655" s="39" t="n">
        <f aca="false">MATCH(A3655,DATAS,0)</f>
        <v>1</v>
      </c>
      <c r="Z3655" s="39" t="n">
        <f aca="false">IF(AND(E3655&gt;0,OR(AND(B3655&gt;=1,B3655&lt;=6),B3655=10)),1,0)</f>
        <v>0</v>
      </c>
      <c r="AA3655" s="39" t="n">
        <f aca="false">IF(AND(E3655&gt;0,B3655=10),1,0)</f>
        <v>0</v>
      </c>
      <c r="AB3655" s="0" t="str">
        <f aca="false">IF(AND(C3654=C3655,Y3654=Y3655-1),Z3654,"")</f>
        <v/>
      </c>
      <c r="AC3655" s="0" t="str">
        <f aca="false">IF(AND(C3654=C3655,Y3654=Y3655-1),AA3654,"")</f>
        <v/>
      </c>
      <c r="AD3655" s="0" t="str">
        <f aca="false">IF(Y3655=1,"",IF(AND(Z3655=1,AB3655&lt;&gt;1),1,0))</f>
        <v/>
      </c>
      <c r="AE3655" s="0" t="str">
        <f aca="false">IF(Y3655=1,"",IF(AND(AA3655=1,AC3655&lt;&gt;1),1,0))</f>
        <v/>
      </c>
      <c r="AF3655" s="45" t="str">
        <f aca="false">IF(AND(E3655&gt;0,Y3655&lt;1,NOT(AND(C3656=C3655,Y3656=Y3655+1))),INDEX(DATAS,Y3655+1),"")</f>
        <v/>
      </c>
      <c r="AG3655" s="45" t="str">
        <f aca="false">IF(AND(AA3655=1,Y3655&lt;1),IF(AND(C3656=C3655,Y3656=Y3655+1),IF(AA3656=1,"",INDEX(DATAS,Y3655+1)),INDEX(DATAS,Y3655+1)),"")</f>
        <v/>
      </c>
    </row>
    <row r="3656" customFormat="false" ht="15" hidden="false" customHeight="false" outlineLevel="0" collapsed="false">
      <c r="A3656" s="45" t="n">
        <v>46309</v>
      </c>
      <c r="B3656" s="0" t="n">
        <v>16</v>
      </c>
      <c r="C3656" s="0" t="n">
        <v>8120</v>
      </c>
      <c r="E3656" s="0" t="n">
        <v>0</v>
      </c>
      <c r="F3656" s="39" t="s">
        <v>1624</v>
      </c>
      <c r="I3656" s="39" t="s">
        <v>136</v>
      </c>
      <c r="U3656" s="0" t="n">
        <v>33</v>
      </c>
      <c r="V3656" s="0" t="n">
        <v>0</v>
      </c>
      <c r="W3656" s="39" t="n">
        <f aca="false">IF(I3656="Male",0,1)</f>
        <v>1</v>
      </c>
      <c r="X3656" s="39" t="n">
        <f aca="false">IF(OR(I3656="DNB",I3656="Dry DNB"),1,0)</f>
        <v>0</v>
      </c>
      <c r="Y3656" s="39" t="n">
        <f aca="false">MATCH(A3656,DATAS,0)</f>
        <v>1</v>
      </c>
      <c r="Z3656" s="39" t="n">
        <f aca="false">IF(AND(E3656&gt;0,OR(AND(B3656&gt;=1,B3656&lt;=6),B3656=10)),1,0)</f>
        <v>0</v>
      </c>
      <c r="AA3656" s="39" t="n">
        <f aca="false">IF(AND(E3656&gt;0,B3656=10),1,0)</f>
        <v>0</v>
      </c>
      <c r="AB3656" s="0" t="str">
        <f aca="false">IF(AND(C3655=C3656,Y3655=Y3656-1),Z3655,"")</f>
        <v/>
      </c>
      <c r="AC3656" s="0" t="str">
        <f aca="false">IF(AND(C3655=C3656,Y3655=Y3656-1),AA3655,"")</f>
        <v/>
      </c>
      <c r="AD3656" s="0" t="str">
        <f aca="false">IF(Y3656=1,"",IF(AND(Z3656=1,AB3656&lt;&gt;1),1,0))</f>
        <v/>
      </c>
      <c r="AE3656" s="0" t="str">
        <f aca="false">IF(Y3656=1,"",IF(AND(AA3656=1,AC3656&lt;&gt;1),1,0))</f>
        <v/>
      </c>
      <c r="AF3656" s="45" t="str">
        <f aca="false">IF(AND(E3656&gt;0,Y3656&lt;1,NOT(AND(C3657=C3656,Y3657=Y3656+1))),INDEX(DATAS,Y3656+1),"")</f>
        <v/>
      </c>
      <c r="AG3656" s="45" t="str">
        <f aca="false">IF(AND(AA3656=1,Y3656&lt;1),IF(AND(C3657=C3656,Y3657=Y3656+1),IF(AA3657=1,"",INDEX(DATAS,Y3656+1)),INDEX(DATAS,Y3656+1)),"")</f>
        <v/>
      </c>
    </row>
    <row r="3657" customFormat="false" ht="15" hidden="false" customHeight="false" outlineLevel="0" collapsed="false">
      <c r="A3657" s="45" t="n">
        <v>46309</v>
      </c>
      <c r="B3657" s="0" t="n">
        <v>16</v>
      </c>
      <c r="C3657" s="0" t="n">
        <v>8121</v>
      </c>
      <c r="E3657" s="0" t="n">
        <v>0</v>
      </c>
      <c r="F3657" s="39" t="s">
        <v>1625</v>
      </c>
      <c r="I3657" s="39" t="s">
        <v>136</v>
      </c>
      <c r="U3657" s="0" t="n">
        <v>32</v>
      </c>
      <c r="V3657" s="0" t="n">
        <v>0</v>
      </c>
      <c r="W3657" s="39" t="n">
        <f aca="false">IF(I3657="Male",0,1)</f>
        <v>1</v>
      </c>
      <c r="X3657" s="39" t="n">
        <f aca="false">IF(OR(I3657="DNB",I3657="Dry DNB"),1,0)</f>
        <v>0</v>
      </c>
      <c r="Y3657" s="39" t="n">
        <f aca="false">MATCH(A3657,DATAS,0)</f>
        <v>1</v>
      </c>
      <c r="Z3657" s="39" t="n">
        <f aca="false">IF(AND(E3657&gt;0,OR(AND(B3657&gt;=1,B3657&lt;=6),B3657=10)),1,0)</f>
        <v>0</v>
      </c>
      <c r="AA3657" s="39" t="n">
        <f aca="false">IF(AND(E3657&gt;0,B3657=10),1,0)</f>
        <v>0</v>
      </c>
      <c r="AB3657" s="0" t="str">
        <f aca="false">IF(AND(C3656=C3657,Y3656=Y3657-1),Z3656,"")</f>
        <v/>
      </c>
      <c r="AC3657" s="0" t="str">
        <f aca="false">IF(AND(C3656=C3657,Y3656=Y3657-1),AA3656,"")</f>
        <v/>
      </c>
      <c r="AD3657" s="0" t="str">
        <f aca="false">IF(Y3657=1,"",IF(AND(Z3657=1,AB3657&lt;&gt;1),1,0))</f>
        <v/>
      </c>
      <c r="AE3657" s="0" t="str">
        <f aca="false">IF(Y3657=1,"",IF(AND(AA3657=1,AC3657&lt;&gt;1),1,0))</f>
        <v/>
      </c>
      <c r="AF3657" s="45" t="str">
        <f aca="false">IF(AND(E3657&gt;0,Y3657&lt;1,NOT(AND(C3658=C3657,Y3658=Y3657+1))),INDEX(DATAS,Y3657+1),"")</f>
        <v/>
      </c>
      <c r="AG3657" s="45" t="str">
        <f aca="false">IF(AND(AA3657=1,Y3657&lt;1),IF(AND(C3658=C3657,Y3658=Y3657+1),IF(AA3658=1,"",INDEX(DATAS,Y3657+1)),INDEX(DATAS,Y3657+1)),"")</f>
        <v/>
      </c>
    </row>
    <row r="3658" customFormat="false" ht="15" hidden="false" customHeight="false" outlineLevel="0" collapsed="false">
      <c r="A3658" s="45" t="n">
        <v>46309</v>
      </c>
      <c r="B3658" s="0" t="n">
        <v>16</v>
      </c>
      <c r="C3658" s="0" t="n">
        <v>8122</v>
      </c>
      <c r="E3658" s="0" t="n">
        <v>0</v>
      </c>
      <c r="F3658" s="39" t="s">
        <v>1625</v>
      </c>
      <c r="I3658" s="39" t="s">
        <v>136</v>
      </c>
      <c r="U3658" s="0" t="n">
        <v>32</v>
      </c>
      <c r="V3658" s="0" t="n">
        <v>0</v>
      </c>
      <c r="W3658" s="39" t="n">
        <f aca="false">IF(I3658="Male",0,1)</f>
        <v>1</v>
      </c>
      <c r="X3658" s="39" t="n">
        <f aca="false">IF(OR(I3658="DNB",I3658="Dry DNB"),1,0)</f>
        <v>0</v>
      </c>
      <c r="Y3658" s="39" t="n">
        <f aca="false">MATCH(A3658,DATAS,0)</f>
        <v>1</v>
      </c>
      <c r="Z3658" s="39" t="n">
        <f aca="false">IF(AND(E3658&gt;0,OR(AND(B3658&gt;=1,B3658&lt;=6),B3658=10)),1,0)</f>
        <v>0</v>
      </c>
      <c r="AA3658" s="39" t="n">
        <f aca="false">IF(AND(E3658&gt;0,B3658=10),1,0)</f>
        <v>0</v>
      </c>
      <c r="AB3658" s="0" t="str">
        <f aca="false">IF(AND(C3657=C3658,Y3657=Y3658-1),Z3657,"")</f>
        <v/>
      </c>
      <c r="AC3658" s="0" t="str">
        <f aca="false">IF(AND(C3657=C3658,Y3657=Y3658-1),AA3657,"")</f>
        <v/>
      </c>
      <c r="AD3658" s="0" t="str">
        <f aca="false">IF(Y3658=1,"",IF(AND(Z3658=1,AB3658&lt;&gt;1),1,0))</f>
        <v/>
      </c>
      <c r="AE3658" s="0" t="str">
        <f aca="false">IF(Y3658=1,"",IF(AND(AA3658=1,AC3658&lt;&gt;1),1,0))</f>
        <v/>
      </c>
      <c r="AF3658" s="45" t="str">
        <f aca="false">IF(AND(E3658&gt;0,Y3658&lt;1,NOT(AND(C3659=C3658,Y3659=Y3658+1))),INDEX(DATAS,Y3658+1),"")</f>
        <v/>
      </c>
      <c r="AG3658" s="45" t="str">
        <f aca="false">IF(AND(AA3658=1,Y3658&lt;1),IF(AND(C3659=C3658,Y3659=Y3658+1),IF(AA3659=1,"",INDEX(DATAS,Y3658+1)),INDEX(DATAS,Y3658+1)),"")</f>
        <v/>
      </c>
    </row>
    <row r="3659" customFormat="false" ht="15" hidden="false" customHeight="false" outlineLevel="0" collapsed="false">
      <c r="A3659" s="45" t="n">
        <v>46309</v>
      </c>
      <c r="B3659" s="0" t="n">
        <v>16</v>
      </c>
      <c r="C3659" s="0" t="n">
        <v>8124</v>
      </c>
      <c r="E3659" s="0" t="n">
        <v>0</v>
      </c>
      <c r="F3659" s="39" t="s">
        <v>1626</v>
      </c>
      <c r="I3659" s="39" t="s">
        <v>136</v>
      </c>
      <c r="U3659" s="0" t="n">
        <v>31</v>
      </c>
      <c r="V3659" s="0" t="n">
        <v>0</v>
      </c>
      <c r="W3659" s="39" t="n">
        <f aca="false">IF(I3659="Male",0,1)</f>
        <v>1</v>
      </c>
      <c r="X3659" s="39" t="n">
        <f aca="false">IF(OR(I3659="DNB",I3659="Dry DNB"),1,0)</f>
        <v>0</v>
      </c>
      <c r="Y3659" s="39" t="n">
        <f aca="false">MATCH(A3659,DATAS,0)</f>
        <v>1</v>
      </c>
      <c r="Z3659" s="39" t="n">
        <f aca="false">IF(AND(E3659&gt;0,OR(AND(B3659&gt;=1,B3659&lt;=6),B3659=10)),1,0)</f>
        <v>0</v>
      </c>
      <c r="AA3659" s="39" t="n">
        <f aca="false">IF(AND(E3659&gt;0,B3659=10),1,0)</f>
        <v>0</v>
      </c>
      <c r="AB3659" s="0" t="str">
        <f aca="false">IF(AND(C3658=C3659,Y3658=Y3659-1),Z3658,"")</f>
        <v/>
      </c>
      <c r="AC3659" s="0" t="str">
        <f aca="false">IF(AND(C3658=C3659,Y3658=Y3659-1),AA3658,"")</f>
        <v/>
      </c>
      <c r="AD3659" s="0" t="str">
        <f aca="false">IF(Y3659=1,"",IF(AND(Z3659=1,AB3659&lt;&gt;1),1,0))</f>
        <v/>
      </c>
      <c r="AE3659" s="0" t="str">
        <f aca="false">IF(Y3659=1,"",IF(AND(AA3659=1,AC3659&lt;&gt;1),1,0))</f>
        <v/>
      </c>
      <c r="AF3659" s="45" t="str">
        <f aca="false">IF(AND(E3659&gt;0,Y3659&lt;1,NOT(AND(C3660=C3659,Y3660=Y3659+1))),INDEX(DATAS,Y3659+1),"")</f>
        <v/>
      </c>
      <c r="AG3659" s="45" t="str">
        <f aca="false">IF(AND(AA3659=1,Y3659&lt;1),IF(AND(C3660=C3659,Y3660=Y3659+1),IF(AA3660=1,"",INDEX(DATAS,Y3659+1)),INDEX(DATAS,Y3659+1)),"")</f>
        <v/>
      </c>
    </row>
    <row r="3660" customFormat="false" ht="15" hidden="false" customHeight="false" outlineLevel="0" collapsed="false">
      <c r="A3660" s="45" t="n">
        <v>46309</v>
      </c>
      <c r="B3660" s="0" t="n">
        <v>16</v>
      </c>
      <c r="C3660" s="0" t="n">
        <v>8125</v>
      </c>
      <c r="E3660" s="0" t="n">
        <v>0</v>
      </c>
      <c r="F3660" s="39" t="s">
        <v>1626</v>
      </c>
      <c r="I3660" s="39" t="s">
        <v>136</v>
      </c>
      <c r="U3660" s="0" t="n">
        <v>31</v>
      </c>
      <c r="V3660" s="0" t="n">
        <v>0</v>
      </c>
      <c r="W3660" s="39" t="n">
        <f aca="false">IF(I3660="Male",0,1)</f>
        <v>1</v>
      </c>
      <c r="X3660" s="39" t="n">
        <f aca="false">IF(OR(I3660="DNB",I3660="Dry DNB"),1,0)</f>
        <v>0</v>
      </c>
      <c r="Y3660" s="39" t="n">
        <f aca="false">MATCH(A3660,DATAS,0)</f>
        <v>1</v>
      </c>
      <c r="Z3660" s="39" t="n">
        <f aca="false">IF(AND(E3660&gt;0,OR(AND(B3660&gt;=1,B3660&lt;=6),B3660=10)),1,0)</f>
        <v>0</v>
      </c>
      <c r="AA3660" s="39" t="n">
        <f aca="false">IF(AND(E3660&gt;0,B3660=10),1,0)</f>
        <v>0</v>
      </c>
      <c r="AB3660" s="0" t="str">
        <f aca="false">IF(AND(C3659=C3660,Y3659=Y3660-1),Z3659,"")</f>
        <v/>
      </c>
      <c r="AC3660" s="0" t="str">
        <f aca="false">IF(AND(C3659=C3660,Y3659=Y3660-1),AA3659,"")</f>
        <v/>
      </c>
      <c r="AD3660" s="0" t="str">
        <f aca="false">IF(Y3660=1,"",IF(AND(Z3660=1,AB3660&lt;&gt;1),1,0))</f>
        <v/>
      </c>
      <c r="AE3660" s="0" t="str">
        <f aca="false">IF(Y3660=1,"",IF(AND(AA3660=1,AC3660&lt;&gt;1),1,0))</f>
        <v/>
      </c>
      <c r="AF3660" s="45" t="str">
        <f aca="false">IF(AND(E3660&gt;0,Y3660&lt;1,NOT(AND(C3661=C3660,Y3661=Y3660+1))),INDEX(DATAS,Y3660+1),"")</f>
        <v/>
      </c>
      <c r="AG3660" s="45" t="str">
        <f aca="false">IF(AND(AA3660=1,Y3660&lt;1),IF(AND(C3661=C3660,Y3661=Y3660+1),IF(AA3661=1,"",INDEX(DATAS,Y3660+1)),INDEX(DATAS,Y3660+1)),"")</f>
        <v/>
      </c>
    </row>
    <row r="3661" customFormat="false" ht="15" hidden="false" customHeight="false" outlineLevel="0" collapsed="false">
      <c r="A3661" s="45" t="n">
        <v>46309</v>
      </c>
      <c r="B3661" s="0" t="n">
        <v>16</v>
      </c>
      <c r="C3661" s="0" t="n">
        <v>8126</v>
      </c>
      <c r="E3661" s="0" t="n">
        <v>0</v>
      </c>
      <c r="F3661" s="39" t="s">
        <v>1626</v>
      </c>
      <c r="I3661" s="39" t="s">
        <v>136</v>
      </c>
      <c r="U3661" s="0" t="n">
        <v>31</v>
      </c>
      <c r="V3661" s="0" t="n">
        <v>0</v>
      </c>
      <c r="W3661" s="39" t="n">
        <f aca="false">IF(I3661="Male",0,1)</f>
        <v>1</v>
      </c>
      <c r="X3661" s="39" t="n">
        <f aca="false">IF(OR(I3661="DNB",I3661="Dry DNB"),1,0)</f>
        <v>0</v>
      </c>
      <c r="Y3661" s="39" t="n">
        <f aca="false">MATCH(A3661,DATAS,0)</f>
        <v>1</v>
      </c>
      <c r="Z3661" s="39" t="n">
        <f aca="false">IF(AND(E3661&gt;0,OR(AND(B3661&gt;=1,B3661&lt;=6),B3661=10)),1,0)</f>
        <v>0</v>
      </c>
      <c r="AA3661" s="39" t="n">
        <f aca="false">IF(AND(E3661&gt;0,B3661=10),1,0)</f>
        <v>0</v>
      </c>
      <c r="AB3661" s="0" t="str">
        <f aca="false">IF(AND(C3660=C3661,Y3660=Y3661-1),Z3660,"")</f>
        <v/>
      </c>
      <c r="AC3661" s="0" t="str">
        <f aca="false">IF(AND(C3660=C3661,Y3660=Y3661-1),AA3660,"")</f>
        <v/>
      </c>
      <c r="AD3661" s="0" t="str">
        <f aca="false">IF(Y3661=1,"",IF(AND(Z3661=1,AB3661&lt;&gt;1),1,0))</f>
        <v/>
      </c>
      <c r="AE3661" s="0" t="str">
        <f aca="false">IF(Y3661=1,"",IF(AND(AA3661=1,AC3661&lt;&gt;1),1,0))</f>
        <v/>
      </c>
      <c r="AF3661" s="45" t="str">
        <f aca="false">IF(AND(E3661&gt;0,Y3661&lt;1,NOT(AND(C3662=C3661,Y3662=Y3661+1))),INDEX(DATAS,Y3661+1),"")</f>
        <v/>
      </c>
      <c r="AG3661" s="45" t="str">
        <f aca="false">IF(AND(AA3661=1,Y3661&lt;1),IF(AND(C3662=C3661,Y3662=Y3661+1),IF(AA3662=1,"",INDEX(DATAS,Y3661+1)),INDEX(DATAS,Y3661+1)),"")</f>
        <v/>
      </c>
    </row>
    <row r="3662" customFormat="false" ht="15" hidden="false" customHeight="false" outlineLevel="0" collapsed="false">
      <c r="A3662" s="45" t="n">
        <v>46309</v>
      </c>
      <c r="B3662" s="0" t="n">
        <v>16</v>
      </c>
      <c r="C3662" s="0" t="n">
        <v>8127</v>
      </c>
      <c r="E3662" s="0" t="n">
        <v>0</v>
      </c>
      <c r="F3662" s="39" t="s">
        <v>1627</v>
      </c>
      <c r="I3662" s="39" t="s">
        <v>136</v>
      </c>
      <c r="U3662" s="0" t="n">
        <v>30</v>
      </c>
      <c r="V3662" s="0" t="n">
        <v>0</v>
      </c>
      <c r="W3662" s="39" t="n">
        <f aca="false">IF(I3662="Male",0,1)</f>
        <v>1</v>
      </c>
      <c r="X3662" s="39" t="n">
        <f aca="false">IF(OR(I3662="DNB",I3662="Dry DNB"),1,0)</f>
        <v>0</v>
      </c>
      <c r="Y3662" s="39" t="n">
        <f aca="false">MATCH(A3662,DATAS,0)</f>
        <v>1</v>
      </c>
      <c r="Z3662" s="39" t="n">
        <f aca="false">IF(AND(E3662&gt;0,OR(AND(B3662&gt;=1,B3662&lt;=6),B3662=10)),1,0)</f>
        <v>0</v>
      </c>
      <c r="AA3662" s="39" t="n">
        <f aca="false">IF(AND(E3662&gt;0,B3662=10),1,0)</f>
        <v>0</v>
      </c>
      <c r="AB3662" s="0" t="str">
        <f aca="false">IF(AND(C3661=C3662,Y3661=Y3662-1),Z3661,"")</f>
        <v/>
      </c>
      <c r="AC3662" s="0" t="str">
        <f aca="false">IF(AND(C3661=C3662,Y3661=Y3662-1),AA3661,"")</f>
        <v/>
      </c>
      <c r="AD3662" s="0" t="str">
        <f aca="false">IF(Y3662=1,"",IF(AND(Z3662=1,AB3662&lt;&gt;1),1,0))</f>
        <v/>
      </c>
      <c r="AE3662" s="0" t="str">
        <f aca="false">IF(Y3662=1,"",IF(AND(AA3662=1,AC3662&lt;&gt;1),1,0))</f>
        <v/>
      </c>
      <c r="AF3662" s="45" t="str">
        <f aca="false">IF(AND(E3662&gt;0,Y3662&lt;1,NOT(AND(C3663=C3662,Y3663=Y3662+1))),INDEX(DATAS,Y3662+1),"")</f>
        <v/>
      </c>
      <c r="AG3662" s="45" t="str">
        <f aca="false">IF(AND(AA3662=1,Y3662&lt;1),IF(AND(C3663=C3662,Y3663=Y3662+1),IF(AA3663=1,"",INDEX(DATAS,Y3662+1)),INDEX(DATAS,Y3662+1)),"")</f>
        <v/>
      </c>
    </row>
    <row r="3663" customFormat="false" ht="15" hidden="false" customHeight="false" outlineLevel="0" collapsed="false">
      <c r="A3663" s="45" t="n">
        <v>46309</v>
      </c>
      <c r="B3663" s="0" t="n">
        <v>16</v>
      </c>
      <c r="C3663" s="0" t="n">
        <v>8128</v>
      </c>
      <c r="E3663" s="0" t="n">
        <v>0</v>
      </c>
      <c r="F3663" s="39" t="s">
        <v>1627</v>
      </c>
      <c r="I3663" s="39" t="s">
        <v>136</v>
      </c>
      <c r="U3663" s="0" t="n">
        <v>30</v>
      </c>
      <c r="V3663" s="0" t="n">
        <v>0</v>
      </c>
      <c r="W3663" s="39" t="n">
        <f aca="false">IF(I3663="Male",0,1)</f>
        <v>1</v>
      </c>
      <c r="X3663" s="39" t="n">
        <f aca="false">IF(OR(I3663="DNB",I3663="Dry DNB"),1,0)</f>
        <v>0</v>
      </c>
      <c r="Y3663" s="39" t="n">
        <f aca="false">MATCH(A3663,DATAS,0)</f>
        <v>1</v>
      </c>
      <c r="Z3663" s="39" t="n">
        <f aca="false">IF(AND(E3663&gt;0,OR(AND(B3663&gt;=1,B3663&lt;=6),B3663=10)),1,0)</f>
        <v>0</v>
      </c>
      <c r="AA3663" s="39" t="n">
        <f aca="false">IF(AND(E3663&gt;0,B3663=10),1,0)</f>
        <v>0</v>
      </c>
      <c r="AB3663" s="0" t="str">
        <f aca="false">IF(AND(C3662=C3663,Y3662=Y3663-1),Z3662,"")</f>
        <v/>
      </c>
      <c r="AC3663" s="0" t="str">
        <f aca="false">IF(AND(C3662=C3663,Y3662=Y3663-1),AA3662,"")</f>
        <v/>
      </c>
      <c r="AD3663" s="0" t="str">
        <f aca="false">IF(Y3663=1,"",IF(AND(Z3663=1,AB3663&lt;&gt;1),1,0))</f>
        <v/>
      </c>
      <c r="AE3663" s="0" t="str">
        <f aca="false">IF(Y3663=1,"",IF(AND(AA3663=1,AC3663&lt;&gt;1),1,0))</f>
        <v/>
      </c>
      <c r="AF3663" s="45" t="str">
        <f aca="false">IF(AND(E3663&gt;0,Y3663&lt;1,NOT(AND(C3664=C3663,Y3664=Y3663+1))),INDEX(DATAS,Y3663+1),"")</f>
        <v/>
      </c>
      <c r="AG3663" s="45" t="str">
        <f aca="false">IF(AND(AA3663=1,Y3663&lt;1),IF(AND(C3664=C3663,Y3664=Y3663+1),IF(AA3664=1,"",INDEX(DATAS,Y3663+1)),INDEX(DATAS,Y3663+1)),"")</f>
        <v/>
      </c>
    </row>
    <row r="3664" customFormat="false" ht="15" hidden="false" customHeight="false" outlineLevel="0" collapsed="false">
      <c r="A3664" s="45" t="n">
        <v>46309</v>
      </c>
      <c r="B3664" s="0" t="n">
        <v>16</v>
      </c>
      <c r="C3664" s="0" t="n">
        <v>8129</v>
      </c>
      <c r="E3664" s="0" t="n">
        <v>0</v>
      </c>
      <c r="F3664" s="39" t="s">
        <v>1627</v>
      </c>
      <c r="I3664" s="39" t="s">
        <v>136</v>
      </c>
      <c r="U3664" s="0" t="n">
        <v>30</v>
      </c>
      <c r="V3664" s="0" t="n">
        <v>0</v>
      </c>
      <c r="W3664" s="39" t="n">
        <f aca="false">IF(I3664="Male",0,1)</f>
        <v>1</v>
      </c>
      <c r="X3664" s="39" t="n">
        <f aca="false">IF(OR(I3664="DNB",I3664="Dry DNB"),1,0)</f>
        <v>0</v>
      </c>
      <c r="Y3664" s="39" t="n">
        <f aca="false">MATCH(A3664,DATAS,0)</f>
        <v>1</v>
      </c>
      <c r="Z3664" s="39" t="n">
        <f aca="false">IF(AND(E3664&gt;0,OR(AND(B3664&gt;=1,B3664&lt;=6),B3664=10)),1,0)</f>
        <v>0</v>
      </c>
      <c r="AA3664" s="39" t="n">
        <f aca="false">IF(AND(E3664&gt;0,B3664=10),1,0)</f>
        <v>0</v>
      </c>
      <c r="AB3664" s="0" t="str">
        <f aca="false">IF(AND(C3663=C3664,Y3663=Y3664-1),Z3663,"")</f>
        <v/>
      </c>
      <c r="AC3664" s="0" t="str">
        <f aca="false">IF(AND(C3663=C3664,Y3663=Y3664-1),AA3663,"")</f>
        <v/>
      </c>
      <c r="AD3664" s="0" t="str">
        <f aca="false">IF(Y3664=1,"",IF(AND(Z3664=1,AB3664&lt;&gt;1),1,0))</f>
        <v/>
      </c>
      <c r="AE3664" s="0" t="str">
        <f aca="false">IF(Y3664=1,"",IF(AND(AA3664=1,AC3664&lt;&gt;1),1,0))</f>
        <v/>
      </c>
      <c r="AF3664" s="45" t="str">
        <f aca="false">IF(AND(E3664&gt;0,Y3664&lt;1,NOT(AND(C3665=C3664,Y3665=Y3664+1))),INDEX(DATAS,Y3664+1),"")</f>
        <v/>
      </c>
      <c r="AG3664" s="45" t="str">
        <f aca="false">IF(AND(AA3664=1,Y3664&lt;1),IF(AND(C3665=C3664,Y3665=Y3664+1),IF(AA3665=1,"",INDEX(DATAS,Y3664+1)),INDEX(DATAS,Y3664+1)),"")</f>
        <v/>
      </c>
    </row>
    <row r="3665" customFormat="false" ht="15" hidden="false" customHeight="false" outlineLevel="0" collapsed="false">
      <c r="A3665" s="45" t="n">
        <v>46309</v>
      </c>
      <c r="B3665" s="0" t="n">
        <v>16</v>
      </c>
      <c r="C3665" s="0" t="n">
        <v>8130</v>
      </c>
      <c r="E3665" s="0" t="n">
        <v>0</v>
      </c>
      <c r="F3665" s="39" t="s">
        <v>1627</v>
      </c>
      <c r="I3665" s="39" t="s">
        <v>136</v>
      </c>
      <c r="U3665" s="0" t="n">
        <v>30</v>
      </c>
      <c r="V3665" s="0" t="n">
        <v>0</v>
      </c>
      <c r="W3665" s="39" t="n">
        <f aca="false">IF(I3665="Male",0,1)</f>
        <v>1</v>
      </c>
      <c r="X3665" s="39" t="n">
        <f aca="false">IF(OR(I3665="DNB",I3665="Dry DNB"),1,0)</f>
        <v>0</v>
      </c>
      <c r="Y3665" s="39" t="n">
        <f aca="false">MATCH(A3665,DATAS,0)</f>
        <v>1</v>
      </c>
      <c r="Z3665" s="39" t="n">
        <f aca="false">IF(AND(E3665&gt;0,OR(AND(B3665&gt;=1,B3665&lt;=6),B3665=10)),1,0)</f>
        <v>0</v>
      </c>
      <c r="AA3665" s="39" t="n">
        <f aca="false">IF(AND(E3665&gt;0,B3665=10),1,0)</f>
        <v>0</v>
      </c>
      <c r="AB3665" s="0" t="str">
        <f aca="false">IF(AND(C3664=C3665,Y3664=Y3665-1),Z3664,"")</f>
        <v/>
      </c>
      <c r="AC3665" s="0" t="str">
        <f aca="false">IF(AND(C3664=C3665,Y3664=Y3665-1),AA3664,"")</f>
        <v/>
      </c>
      <c r="AD3665" s="0" t="str">
        <f aca="false">IF(Y3665=1,"",IF(AND(Z3665=1,AB3665&lt;&gt;1),1,0))</f>
        <v/>
      </c>
      <c r="AE3665" s="0" t="str">
        <f aca="false">IF(Y3665=1,"",IF(AND(AA3665=1,AC3665&lt;&gt;1),1,0))</f>
        <v/>
      </c>
      <c r="AF3665" s="45" t="str">
        <f aca="false">IF(AND(E3665&gt;0,Y3665&lt;1,NOT(AND(C3666=C3665,Y3666=Y3665+1))),INDEX(DATAS,Y3665+1),"")</f>
        <v/>
      </c>
      <c r="AG3665" s="45" t="str">
        <f aca="false">IF(AND(AA3665=1,Y3665&lt;1),IF(AND(C3666=C3665,Y3666=Y3665+1),IF(AA3666=1,"",INDEX(DATAS,Y3665+1)),INDEX(DATAS,Y3665+1)),"")</f>
        <v/>
      </c>
    </row>
    <row r="3666" customFormat="false" ht="15" hidden="false" customHeight="false" outlineLevel="0" collapsed="false">
      <c r="A3666" s="45" t="n">
        <v>46309</v>
      </c>
      <c r="B3666" s="0" t="n">
        <v>16</v>
      </c>
      <c r="C3666" s="0" t="n">
        <v>8131</v>
      </c>
      <c r="E3666" s="0" t="n">
        <v>0</v>
      </c>
      <c r="F3666" s="39" t="s">
        <v>1628</v>
      </c>
      <c r="I3666" s="39" t="s">
        <v>136</v>
      </c>
      <c r="U3666" s="0" t="n">
        <v>29</v>
      </c>
      <c r="V3666" s="0" t="n">
        <v>0</v>
      </c>
      <c r="W3666" s="39" t="n">
        <f aca="false">IF(I3666="Male",0,1)</f>
        <v>1</v>
      </c>
      <c r="X3666" s="39" t="n">
        <f aca="false">IF(OR(I3666="DNB",I3666="Dry DNB"),1,0)</f>
        <v>0</v>
      </c>
      <c r="Y3666" s="39" t="n">
        <f aca="false">MATCH(A3666,DATAS,0)</f>
        <v>1</v>
      </c>
      <c r="Z3666" s="39" t="n">
        <f aca="false">IF(AND(E3666&gt;0,OR(AND(B3666&gt;=1,B3666&lt;=6),B3666=10)),1,0)</f>
        <v>0</v>
      </c>
      <c r="AA3666" s="39" t="n">
        <f aca="false">IF(AND(E3666&gt;0,B3666=10),1,0)</f>
        <v>0</v>
      </c>
      <c r="AB3666" s="0" t="str">
        <f aca="false">IF(AND(C3665=C3666,Y3665=Y3666-1),Z3665,"")</f>
        <v/>
      </c>
      <c r="AC3666" s="0" t="str">
        <f aca="false">IF(AND(C3665=C3666,Y3665=Y3666-1),AA3665,"")</f>
        <v/>
      </c>
      <c r="AD3666" s="0" t="str">
        <f aca="false">IF(Y3666=1,"",IF(AND(Z3666=1,AB3666&lt;&gt;1),1,0))</f>
        <v/>
      </c>
      <c r="AE3666" s="0" t="str">
        <f aca="false">IF(Y3666=1,"",IF(AND(AA3666=1,AC3666&lt;&gt;1),1,0))</f>
        <v/>
      </c>
      <c r="AF3666" s="45" t="str">
        <f aca="false">IF(AND(E3666&gt;0,Y3666&lt;1,NOT(AND(C3667=C3666,Y3667=Y3666+1))),INDEX(DATAS,Y3666+1),"")</f>
        <v/>
      </c>
      <c r="AG3666" s="45" t="str">
        <f aca="false">IF(AND(AA3666=1,Y3666&lt;1),IF(AND(C3667=C3666,Y3667=Y3666+1),IF(AA3667=1,"",INDEX(DATAS,Y3666+1)),INDEX(DATAS,Y3666+1)),"")</f>
        <v/>
      </c>
    </row>
    <row r="3667" customFormat="false" ht="15" hidden="false" customHeight="false" outlineLevel="0" collapsed="false">
      <c r="A3667" s="45" t="n">
        <v>46309</v>
      </c>
      <c r="B3667" s="0" t="n">
        <v>16</v>
      </c>
      <c r="C3667" s="0" t="n">
        <v>8132</v>
      </c>
      <c r="E3667" s="0" t="n">
        <v>0</v>
      </c>
      <c r="F3667" s="39" t="s">
        <v>1628</v>
      </c>
      <c r="I3667" s="39" t="s">
        <v>136</v>
      </c>
      <c r="U3667" s="0" t="n">
        <v>29</v>
      </c>
      <c r="V3667" s="0" t="n">
        <v>0</v>
      </c>
      <c r="W3667" s="39" t="n">
        <f aca="false">IF(I3667="Male",0,1)</f>
        <v>1</v>
      </c>
      <c r="X3667" s="39" t="n">
        <f aca="false">IF(OR(I3667="DNB",I3667="Dry DNB"),1,0)</f>
        <v>0</v>
      </c>
      <c r="Y3667" s="39" t="n">
        <f aca="false">MATCH(A3667,DATAS,0)</f>
        <v>1</v>
      </c>
      <c r="Z3667" s="39" t="n">
        <f aca="false">IF(AND(E3667&gt;0,OR(AND(B3667&gt;=1,B3667&lt;=6),B3667=10)),1,0)</f>
        <v>0</v>
      </c>
      <c r="AA3667" s="39" t="n">
        <f aca="false">IF(AND(E3667&gt;0,B3667=10),1,0)</f>
        <v>0</v>
      </c>
      <c r="AB3667" s="0" t="str">
        <f aca="false">IF(AND(C3666=C3667,Y3666=Y3667-1),Z3666,"")</f>
        <v/>
      </c>
      <c r="AC3667" s="0" t="str">
        <f aca="false">IF(AND(C3666=C3667,Y3666=Y3667-1),AA3666,"")</f>
        <v/>
      </c>
      <c r="AD3667" s="0" t="str">
        <f aca="false">IF(Y3667=1,"",IF(AND(Z3667=1,AB3667&lt;&gt;1),1,0))</f>
        <v/>
      </c>
      <c r="AE3667" s="0" t="str">
        <f aca="false">IF(Y3667=1,"",IF(AND(AA3667=1,AC3667&lt;&gt;1),1,0))</f>
        <v/>
      </c>
      <c r="AF3667" s="45" t="str">
        <f aca="false">IF(AND(E3667&gt;0,Y3667&lt;1,NOT(AND(C3668=C3667,Y3668=Y3667+1))),INDEX(DATAS,Y3667+1),"")</f>
        <v/>
      </c>
      <c r="AG3667" s="45" t="str">
        <f aca="false">IF(AND(AA3667=1,Y3667&lt;1),IF(AND(C3668=C3667,Y3668=Y3667+1),IF(AA3668=1,"",INDEX(DATAS,Y3667+1)),INDEX(DATAS,Y3667+1)),"")</f>
        <v/>
      </c>
    </row>
    <row r="3668" customFormat="false" ht="15" hidden="false" customHeight="false" outlineLevel="0" collapsed="false">
      <c r="A3668" s="45" t="n">
        <v>46309</v>
      </c>
      <c r="B3668" s="0" t="n">
        <v>16</v>
      </c>
      <c r="C3668" s="0" t="n">
        <v>8133</v>
      </c>
      <c r="E3668" s="0" t="n">
        <v>0</v>
      </c>
      <c r="F3668" s="39" t="s">
        <v>1629</v>
      </c>
      <c r="I3668" s="39" t="s">
        <v>136</v>
      </c>
      <c r="U3668" s="0" t="n">
        <v>28</v>
      </c>
      <c r="V3668" s="0" t="n">
        <v>0</v>
      </c>
      <c r="W3668" s="39" t="n">
        <f aca="false">IF(I3668="Male",0,1)</f>
        <v>1</v>
      </c>
      <c r="X3668" s="39" t="n">
        <f aca="false">IF(OR(I3668="DNB",I3668="Dry DNB"),1,0)</f>
        <v>0</v>
      </c>
      <c r="Y3668" s="39" t="n">
        <f aca="false">MATCH(A3668,DATAS,0)</f>
        <v>1</v>
      </c>
      <c r="Z3668" s="39" t="n">
        <f aca="false">IF(AND(E3668&gt;0,OR(AND(B3668&gt;=1,B3668&lt;=6),B3668=10)),1,0)</f>
        <v>0</v>
      </c>
      <c r="AA3668" s="39" t="n">
        <f aca="false">IF(AND(E3668&gt;0,B3668=10),1,0)</f>
        <v>0</v>
      </c>
      <c r="AB3668" s="0" t="str">
        <f aca="false">IF(AND(C3667=C3668,Y3667=Y3668-1),Z3667,"")</f>
        <v/>
      </c>
      <c r="AC3668" s="0" t="str">
        <f aca="false">IF(AND(C3667=C3668,Y3667=Y3668-1),AA3667,"")</f>
        <v/>
      </c>
      <c r="AD3668" s="0" t="str">
        <f aca="false">IF(Y3668=1,"",IF(AND(Z3668=1,AB3668&lt;&gt;1),1,0))</f>
        <v/>
      </c>
      <c r="AE3668" s="0" t="str">
        <f aca="false">IF(Y3668=1,"",IF(AND(AA3668=1,AC3668&lt;&gt;1),1,0))</f>
        <v/>
      </c>
      <c r="AF3668" s="45" t="str">
        <f aca="false">IF(AND(E3668&gt;0,Y3668&lt;1,NOT(AND(C3669=C3668,Y3669=Y3668+1))),INDEX(DATAS,Y3668+1),"")</f>
        <v/>
      </c>
      <c r="AG3668" s="45" t="str">
        <f aca="false">IF(AND(AA3668=1,Y3668&lt;1),IF(AND(C3669=C3668,Y3669=Y3668+1),IF(AA3669=1,"",INDEX(DATAS,Y3668+1)),INDEX(DATAS,Y3668+1)),"")</f>
        <v/>
      </c>
    </row>
    <row r="3669" customFormat="false" ht="15" hidden="false" customHeight="false" outlineLevel="0" collapsed="false">
      <c r="A3669" s="45" t="n">
        <v>46309</v>
      </c>
      <c r="B3669" s="0" t="n">
        <v>16</v>
      </c>
      <c r="C3669" s="0" t="n">
        <v>8134</v>
      </c>
      <c r="E3669" s="0" t="n">
        <v>0</v>
      </c>
      <c r="F3669" s="39" t="s">
        <v>1630</v>
      </c>
      <c r="I3669" s="39" t="s">
        <v>136</v>
      </c>
      <c r="U3669" s="0" t="n">
        <v>26</v>
      </c>
      <c r="V3669" s="0" t="n">
        <v>0</v>
      </c>
      <c r="W3669" s="39" t="n">
        <f aca="false">IF(I3669="Male",0,1)</f>
        <v>1</v>
      </c>
      <c r="X3669" s="39" t="n">
        <f aca="false">IF(OR(I3669="DNB",I3669="Dry DNB"),1,0)</f>
        <v>0</v>
      </c>
      <c r="Y3669" s="39" t="n">
        <f aca="false">MATCH(A3669,DATAS,0)</f>
        <v>1</v>
      </c>
      <c r="Z3669" s="39" t="n">
        <f aca="false">IF(AND(E3669&gt;0,OR(AND(B3669&gt;=1,B3669&lt;=6),B3669=10)),1,0)</f>
        <v>0</v>
      </c>
      <c r="AA3669" s="39" t="n">
        <f aca="false">IF(AND(E3669&gt;0,B3669=10),1,0)</f>
        <v>0</v>
      </c>
      <c r="AB3669" s="0" t="str">
        <f aca="false">IF(AND(C3668=C3669,Y3668=Y3669-1),Z3668,"")</f>
        <v/>
      </c>
      <c r="AC3669" s="0" t="str">
        <f aca="false">IF(AND(C3668=C3669,Y3668=Y3669-1),AA3668,"")</f>
        <v/>
      </c>
      <c r="AD3669" s="0" t="str">
        <f aca="false">IF(Y3669=1,"",IF(AND(Z3669=1,AB3669&lt;&gt;1),1,0))</f>
        <v/>
      </c>
      <c r="AE3669" s="0" t="str">
        <f aca="false">IF(Y3669=1,"",IF(AND(AA3669=1,AC3669&lt;&gt;1),1,0))</f>
        <v/>
      </c>
      <c r="AF3669" s="45" t="str">
        <f aca="false">IF(AND(E3669&gt;0,Y3669&lt;1,NOT(AND(C3670=C3669,Y3670=Y3669+1))),INDEX(DATAS,Y3669+1),"")</f>
        <v/>
      </c>
      <c r="AG3669" s="45" t="str">
        <f aca="false">IF(AND(AA3669=1,Y3669&lt;1),IF(AND(C3670=C3669,Y3670=Y3669+1),IF(AA3670=1,"",INDEX(DATAS,Y3669+1)),INDEX(DATAS,Y3669+1)),"")</f>
        <v/>
      </c>
    </row>
    <row r="3670" customFormat="false" ht="15" hidden="false" customHeight="false" outlineLevel="0" collapsed="false">
      <c r="A3670" s="45" t="n">
        <v>46309</v>
      </c>
      <c r="B3670" s="0" t="n">
        <v>16</v>
      </c>
      <c r="C3670" s="0" t="n">
        <v>8135</v>
      </c>
      <c r="E3670" s="0" t="n">
        <v>0</v>
      </c>
      <c r="F3670" s="39" t="s">
        <v>1630</v>
      </c>
      <c r="I3670" s="39" t="s">
        <v>136</v>
      </c>
      <c r="U3670" s="0" t="n">
        <v>26</v>
      </c>
      <c r="V3670" s="0" t="n">
        <v>0</v>
      </c>
      <c r="W3670" s="39" t="n">
        <f aca="false">IF(I3670="Male",0,1)</f>
        <v>1</v>
      </c>
      <c r="X3670" s="39" t="n">
        <f aca="false">IF(OR(I3670="DNB",I3670="Dry DNB"),1,0)</f>
        <v>0</v>
      </c>
      <c r="Y3670" s="39" t="n">
        <f aca="false">MATCH(A3670,DATAS,0)</f>
        <v>1</v>
      </c>
      <c r="Z3670" s="39" t="n">
        <f aca="false">IF(AND(E3670&gt;0,OR(AND(B3670&gt;=1,B3670&lt;=6),B3670=10)),1,0)</f>
        <v>0</v>
      </c>
      <c r="AA3670" s="39" t="n">
        <f aca="false">IF(AND(E3670&gt;0,B3670=10),1,0)</f>
        <v>0</v>
      </c>
      <c r="AB3670" s="0" t="str">
        <f aca="false">IF(AND(C3669=C3670,Y3669=Y3670-1),Z3669,"")</f>
        <v/>
      </c>
      <c r="AC3670" s="0" t="str">
        <f aca="false">IF(AND(C3669=C3670,Y3669=Y3670-1),AA3669,"")</f>
        <v/>
      </c>
      <c r="AD3670" s="0" t="str">
        <f aca="false">IF(Y3670=1,"",IF(AND(Z3670=1,AB3670&lt;&gt;1),1,0))</f>
        <v/>
      </c>
      <c r="AE3670" s="0" t="str">
        <f aca="false">IF(Y3670=1,"",IF(AND(AA3670=1,AC3670&lt;&gt;1),1,0))</f>
        <v/>
      </c>
      <c r="AF3670" s="45" t="str">
        <f aca="false">IF(AND(E3670&gt;0,Y3670&lt;1,NOT(AND(C3671=C3670,Y3671=Y3670+1))),INDEX(DATAS,Y3670+1),"")</f>
        <v/>
      </c>
      <c r="AG3670" s="45" t="str">
        <f aca="false">IF(AND(AA3670=1,Y3670&lt;1),IF(AND(C3671=C3670,Y3671=Y3670+1),IF(AA3671=1,"",INDEX(DATAS,Y3670+1)),INDEX(DATAS,Y3670+1)),"")</f>
        <v/>
      </c>
    </row>
    <row r="3671" customFormat="false" ht="15" hidden="false" customHeight="false" outlineLevel="0" collapsed="false">
      <c r="A3671" s="45" t="n">
        <v>46309</v>
      </c>
      <c r="B3671" s="0" t="n">
        <v>16</v>
      </c>
      <c r="C3671" s="0" t="n">
        <v>8136</v>
      </c>
      <c r="E3671" s="0" t="n">
        <v>0</v>
      </c>
      <c r="F3671" s="39" t="s">
        <v>1630</v>
      </c>
      <c r="I3671" s="39" t="s">
        <v>136</v>
      </c>
      <c r="U3671" s="0" t="n">
        <v>26</v>
      </c>
      <c r="V3671" s="0" t="n">
        <v>0</v>
      </c>
      <c r="W3671" s="39" t="n">
        <f aca="false">IF(I3671="Male",0,1)</f>
        <v>1</v>
      </c>
      <c r="X3671" s="39" t="n">
        <f aca="false">IF(OR(I3671="DNB",I3671="Dry DNB"),1,0)</f>
        <v>0</v>
      </c>
      <c r="Y3671" s="39" t="n">
        <f aca="false">MATCH(A3671,DATAS,0)</f>
        <v>1</v>
      </c>
      <c r="Z3671" s="39" t="n">
        <f aca="false">IF(AND(E3671&gt;0,OR(AND(B3671&gt;=1,B3671&lt;=6),B3671=10)),1,0)</f>
        <v>0</v>
      </c>
      <c r="AA3671" s="39" t="n">
        <f aca="false">IF(AND(E3671&gt;0,B3671=10),1,0)</f>
        <v>0</v>
      </c>
      <c r="AB3671" s="0" t="str">
        <f aca="false">IF(AND(C3670=C3671,Y3670=Y3671-1),Z3670,"")</f>
        <v/>
      </c>
      <c r="AC3671" s="0" t="str">
        <f aca="false">IF(AND(C3670=C3671,Y3670=Y3671-1),AA3670,"")</f>
        <v/>
      </c>
      <c r="AD3671" s="0" t="str">
        <f aca="false">IF(Y3671=1,"",IF(AND(Z3671=1,AB3671&lt;&gt;1),1,0))</f>
        <v/>
      </c>
      <c r="AE3671" s="0" t="str">
        <f aca="false">IF(Y3671=1,"",IF(AND(AA3671=1,AC3671&lt;&gt;1),1,0))</f>
        <v/>
      </c>
      <c r="AF3671" s="45" t="str">
        <f aca="false">IF(AND(E3671&gt;0,Y3671&lt;1,NOT(AND(C3672=C3671,Y3672=Y3671+1))),INDEX(DATAS,Y3671+1),"")</f>
        <v/>
      </c>
      <c r="AG3671" s="45" t="str">
        <f aca="false">IF(AND(AA3671=1,Y3671&lt;1),IF(AND(C3672=C3671,Y3672=Y3671+1),IF(AA3672=1,"",INDEX(DATAS,Y3671+1)),INDEX(DATAS,Y3671+1)),"")</f>
        <v/>
      </c>
    </row>
    <row r="3672" customFormat="false" ht="15" hidden="false" customHeight="false" outlineLevel="0" collapsed="false">
      <c r="A3672" s="45" t="n">
        <v>46309</v>
      </c>
      <c r="B3672" s="0" t="n">
        <v>16</v>
      </c>
      <c r="C3672" s="0" t="n">
        <v>8137</v>
      </c>
      <c r="E3672" s="0" t="n">
        <v>0</v>
      </c>
      <c r="F3672" s="39" t="s">
        <v>1630</v>
      </c>
      <c r="I3672" s="39" t="s">
        <v>136</v>
      </c>
      <c r="U3672" s="0" t="n">
        <v>26</v>
      </c>
      <c r="V3672" s="0" t="n">
        <v>0</v>
      </c>
      <c r="W3672" s="39" t="n">
        <f aca="false">IF(I3672="Male",0,1)</f>
        <v>1</v>
      </c>
      <c r="X3672" s="39" t="n">
        <f aca="false">IF(OR(I3672="DNB",I3672="Dry DNB"),1,0)</f>
        <v>0</v>
      </c>
      <c r="Y3672" s="39" t="n">
        <f aca="false">MATCH(A3672,DATAS,0)</f>
        <v>1</v>
      </c>
      <c r="Z3672" s="39" t="n">
        <f aca="false">IF(AND(E3672&gt;0,OR(AND(B3672&gt;=1,B3672&lt;=6),B3672=10)),1,0)</f>
        <v>0</v>
      </c>
      <c r="AA3672" s="39" t="n">
        <f aca="false">IF(AND(E3672&gt;0,B3672=10),1,0)</f>
        <v>0</v>
      </c>
      <c r="AB3672" s="0" t="str">
        <f aca="false">IF(AND(C3671=C3672,Y3671=Y3672-1),Z3671,"")</f>
        <v/>
      </c>
      <c r="AC3672" s="0" t="str">
        <f aca="false">IF(AND(C3671=C3672,Y3671=Y3672-1),AA3671,"")</f>
        <v/>
      </c>
      <c r="AD3672" s="0" t="str">
        <f aca="false">IF(Y3672=1,"",IF(AND(Z3672=1,AB3672&lt;&gt;1),1,0))</f>
        <v/>
      </c>
      <c r="AE3672" s="0" t="str">
        <f aca="false">IF(Y3672=1,"",IF(AND(AA3672=1,AC3672&lt;&gt;1),1,0))</f>
        <v/>
      </c>
      <c r="AF3672" s="45" t="str">
        <f aca="false">IF(AND(E3672&gt;0,Y3672&lt;1,NOT(AND(C3673=C3672,Y3673=Y3672+1))),INDEX(DATAS,Y3672+1),"")</f>
        <v/>
      </c>
      <c r="AG3672" s="45" t="str">
        <f aca="false">IF(AND(AA3672=1,Y3672&lt;1),IF(AND(C3673=C3672,Y3673=Y3672+1),IF(AA3673=1,"",INDEX(DATAS,Y3672+1)),INDEX(DATAS,Y3672+1)),"")</f>
        <v/>
      </c>
    </row>
    <row r="3673" customFormat="false" ht="15" hidden="false" customHeight="false" outlineLevel="0" collapsed="false">
      <c r="A3673" s="45" t="n">
        <v>46309</v>
      </c>
      <c r="B3673" s="0" t="n">
        <v>16</v>
      </c>
      <c r="C3673" s="0" t="n">
        <v>8138</v>
      </c>
      <c r="E3673" s="0" t="n">
        <v>0</v>
      </c>
      <c r="F3673" s="39" t="s">
        <v>1630</v>
      </c>
      <c r="I3673" s="39" t="s">
        <v>136</v>
      </c>
      <c r="U3673" s="0" t="n">
        <v>26</v>
      </c>
      <c r="V3673" s="0" t="n">
        <v>0</v>
      </c>
      <c r="W3673" s="39" t="n">
        <f aca="false">IF(I3673="Male",0,1)</f>
        <v>1</v>
      </c>
      <c r="X3673" s="39" t="n">
        <f aca="false">IF(OR(I3673="DNB",I3673="Dry DNB"),1,0)</f>
        <v>0</v>
      </c>
      <c r="Y3673" s="39" t="n">
        <f aca="false">MATCH(A3673,DATAS,0)</f>
        <v>1</v>
      </c>
      <c r="Z3673" s="39" t="n">
        <f aca="false">IF(AND(E3673&gt;0,OR(AND(B3673&gt;=1,B3673&lt;=6),B3673=10)),1,0)</f>
        <v>0</v>
      </c>
      <c r="AA3673" s="39" t="n">
        <f aca="false">IF(AND(E3673&gt;0,B3673=10),1,0)</f>
        <v>0</v>
      </c>
      <c r="AB3673" s="0" t="str">
        <f aca="false">IF(AND(C3672=C3673,Y3672=Y3673-1),Z3672,"")</f>
        <v/>
      </c>
      <c r="AC3673" s="0" t="str">
        <f aca="false">IF(AND(C3672=C3673,Y3672=Y3673-1),AA3672,"")</f>
        <v/>
      </c>
      <c r="AD3673" s="0" t="str">
        <f aca="false">IF(Y3673=1,"",IF(AND(Z3673=1,AB3673&lt;&gt;1),1,0))</f>
        <v/>
      </c>
      <c r="AE3673" s="0" t="str">
        <f aca="false">IF(Y3673=1,"",IF(AND(AA3673=1,AC3673&lt;&gt;1),1,0))</f>
        <v/>
      </c>
      <c r="AF3673" s="45" t="str">
        <f aca="false">IF(AND(E3673&gt;0,Y3673&lt;1,NOT(AND(C3674=C3673,Y3674=Y3673+1))),INDEX(DATAS,Y3673+1),"")</f>
        <v/>
      </c>
      <c r="AG3673" s="45" t="str">
        <f aca="false">IF(AND(AA3673=1,Y3673&lt;1),IF(AND(C3674=C3673,Y3674=Y3673+1),IF(AA3674=1,"",INDEX(DATAS,Y3673+1)),INDEX(DATAS,Y3673+1)),"")</f>
        <v/>
      </c>
    </row>
    <row r="3674" customFormat="false" ht="15" hidden="false" customHeight="false" outlineLevel="0" collapsed="false">
      <c r="A3674" s="45" t="n">
        <v>46309</v>
      </c>
      <c r="B3674" s="0" t="n">
        <v>16</v>
      </c>
      <c r="C3674" s="0" t="n">
        <v>8139</v>
      </c>
      <c r="E3674" s="0" t="n">
        <v>0</v>
      </c>
      <c r="F3674" s="39" t="s">
        <v>1631</v>
      </c>
      <c r="I3674" s="39" t="s">
        <v>136</v>
      </c>
      <c r="U3674" s="0" t="n">
        <v>25</v>
      </c>
      <c r="V3674" s="0" t="n">
        <v>0</v>
      </c>
      <c r="W3674" s="39" t="n">
        <f aca="false">IF(I3674="Male",0,1)</f>
        <v>1</v>
      </c>
      <c r="X3674" s="39" t="n">
        <f aca="false">IF(OR(I3674="DNB",I3674="Dry DNB"),1,0)</f>
        <v>0</v>
      </c>
      <c r="Y3674" s="39" t="n">
        <f aca="false">MATCH(A3674,DATAS,0)</f>
        <v>1</v>
      </c>
      <c r="Z3674" s="39" t="n">
        <f aca="false">IF(AND(E3674&gt;0,OR(AND(B3674&gt;=1,B3674&lt;=6),B3674=10)),1,0)</f>
        <v>0</v>
      </c>
      <c r="AA3674" s="39" t="n">
        <f aca="false">IF(AND(E3674&gt;0,B3674=10),1,0)</f>
        <v>0</v>
      </c>
      <c r="AB3674" s="0" t="str">
        <f aca="false">IF(AND(C3673=C3674,Y3673=Y3674-1),Z3673,"")</f>
        <v/>
      </c>
      <c r="AC3674" s="0" t="str">
        <f aca="false">IF(AND(C3673=C3674,Y3673=Y3674-1),AA3673,"")</f>
        <v/>
      </c>
      <c r="AD3674" s="0" t="str">
        <f aca="false">IF(Y3674=1,"",IF(AND(Z3674=1,AB3674&lt;&gt;1),1,0))</f>
        <v/>
      </c>
      <c r="AE3674" s="0" t="str">
        <f aca="false">IF(Y3674=1,"",IF(AND(AA3674=1,AC3674&lt;&gt;1),1,0))</f>
        <v/>
      </c>
      <c r="AF3674" s="45" t="str">
        <f aca="false">IF(AND(E3674&gt;0,Y3674&lt;1,NOT(AND(C3675=C3674,Y3675=Y3674+1))),INDEX(DATAS,Y3674+1),"")</f>
        <v/>
      </c>
      <c r="AG3674" s="45" t="str">
        <f aca="false">IF(AND(AA3674=1,Y3674&lt;1),IF(AND(C3675=C3674,Y3675=Y3674+1),IF(AA3675=1,"",INDEX(DATAS,Y3674+1)),INDEX(DATAS,Y3674+1)),"")</f>
        <v/>
      </c>
    </row>
    <row r="3675" customFormat="false" ht="15" hidden="false" customHeight="false" outlineLevel="0" collapsed="false">
      <c r="A3675" s="45" t="n">
        <v>46309</v>
      </c>
      <c r="B3675" s="0" t="n">
        <v>16</v>
      </c>
      <c r="C3675" s="0" t="n">
        <v>8140</v>
      </c>
      <c r="E3675" s="0" t="n">
        <v>0</v>
      </c>
      <c r="F3675" s="39" t="s">
        <v>1631</v>
      </c>
      <c r="I3675" s="39" t="s">
        <v>136</v>
      </c>
      <c r="U3675" s="0" t="n">
        <v>25</v>
      </c>
      <c r="V3675" s="0" t="n">
        <v>0</v>
      </c>
      <c r="W3675" s="39" t="n">
        <f aca="false">IF(I3675="Male",0,1)</f>
        <v>1</v>
      </c>
      <c r="X3675" s="39" t="n">
        <f aca="false">IF(OR(I3675="DNB",I3675="Dry DNB"),1,0)</f>
        <v>0</v>
      </c>
      <c r="Y3675" s="39" t="n">
        <f aca="false">MATCH(A3675,DATAS,0)</f>
        <v>1</v>
      </c>
      <c r="Z3675" s="39" t="n">
        <f aca="false">IF(AND(E3675&gt;0,OR(AND(B3675&gt;=1,B3675&lt;=6),B3675=10)),1,0)</f>
        <v>0</v>
      </c>
      <c r="AA3675" s="39" t="n">
        <f aca="false">IF(AND(E3675&gt;0,B3675=10),1,0)</f>
        <v>0</v>
      </c>
      <c r="AB3675" s="0" t="str">
        <f aca="false">IF(AND(C3674=C3675,Y3674=Y3675-1),Z3674,"")</f>
        <v/>
      </c>
      <c r="AC3675" s="0" t="str">
        <f aca="false">IF(AND(C3674=C3675,Y3674=Y3675-1),AA3674,"")</f>
        <v/>
      </c>
      <c r="AD3675" s="0" t="str">
        <f aca="false">IF(Y3675=1,"",IF(AND(Z3675=1,AB3675&lt;&gt;1),1,0))</f>
        <v/>
      </c>
      <c r="AE3675" s="0" t="str">
        <f aca="false">IF(Y3675=1,"",IF(AND(AA3675=1,AC3675&lt;&gt;1),1,0))</f>
        <v/>
      </c>
      <c r="AF3675" s="45" t="str">
        <f aca="false">IF(AND(E3675&gt;0,Y3675&lt;1,NOT(AND(C3676=C3675,Y3676=Y3675+1))),INDEX(DATAS,Y3675+1),"")</f>
        <v/>
      </c>
      <c r="AG3675" s="45" t="str">
        <f aca="false">IF(AND(AA3675=1,Y3675&lt;1),IF(AND(C3676=C3675,Y3676=Y3675+1),IF(AA3676=1,"",INDEX(DATAS,Y3675+1)),INDEX(DATAS,Y3675+1)),"")</f>
        <v/>
      </c>
    </row>
    <row r="3676" customFormat="false" ht="15" hidden="false" customHeight="false" outlineLevel="0" collapsed="false">
      <c r="A3676" s="45" t="n">
        <v>46309</v>
      </c>
      <c r="B3676" s="0" t="n">
        <v>16</v>
      </c>
      <c r="C3676" s="0" t="n">
        <v>8141</v>
      </c>
      <c r="E3676" s="0" t="n">
        <v>0</v>
      </c>
      <c r="F3676" s="39" t="s">
        <v>1631</v>
      </c>
      <c r="I3676" s="39" t="s">
        <v>136</v>
      </c>
      <c r="U3676" s="0" t="n">
        <v>25</v>
      </c>
      <c r="V3676" s="0" t="n">
        <v>0</v>
      </c>
      <c r="W3676" s="39" t="n">
        <f aca="false">IF(I3676="Male",0,1)</f>
        <v>1</v>
      </c>
      <c r="X3676" s="39" t="n">
        <f aca="false">IF(OR(I3676="DNB",I3676="Dry DNB"),1,0)</f>
        <v>0</v>
      </c>
      <c r="Y3676" s="39" t="n">
        <f aca="false">MATCH(A3676,DATAS,0)</f>
        <v>1</v>
      </c>
      <c r="Z3676" s="39" t="n">
        <f aca="false">IF(AND(E3676&gt;0,OR(AND(B3676&gt;=1,B3676&lt;=6),B3676=10)),1,0)</f>
        <v>0</v>
      </c>
      <c r="AA3676" s="39" t="n">
        <f aca="false">IF(AND(E3676&gt;0,B3676=10),1,0)</f>
        <v>0</v>
      </c>
      <c r="AB3676" s="0" t="str">
        <f aca="false">IF(AND(C3675=C3676,Y3675=Y3676-1),Z3675,"")</f>
        <v/>
      </c>
      <c r="AC3676" s="0" t="str">
        <f aca="false">IF(AND(C3675=C3676,Y3675=Y3676-1),AA3675,"")</f>
        <v/>
      </c>
      <c r="AD3676" s="0" t="str">
        <f aca="false">IF(Y3676=1,"",IF(AND(Z3676=1,AB3676&lt;&gt;1),1,0))</f>
        <v/>
      </c>
      <c r="AE3676" s="0" t="str">
        <f aca="false">IF(Y3676=1,"",IF(AND(AA3676=1,AC3676&lt;&gt;1),1,0))</f>
        <v/>
      </c>
      <c r="AF3676" s="45" t="str">
        <f aca="false">IF(AND(E3676&gt;0,Y3676&lt;1,NOT(AND(C3677=C3676,Y3677=Y3676+1))),INDEX(DATAS,Y3676+1),"")</f>
        <v/>
      </c>
      <c r="AG3676" s="45" t="str">
        <f aca="false">IF(AND(AA3676=1,Y3676&lt;1),IF(AND(C3677=C3676,Y3677=Y3676+1),IF(AA3677=1,"",INDEX(DATAS,Y3676+1)),INDEX(DATAS,Y3676+1)),"")</f>
        <v/>
      </c>
    </row>
    <row r="3677" customFormat="false" ht="15" hidden="false" customHeight="false" outlineLevel="0" collapsed="false">
      <c r="A3677" s="45" t="n">
        <v>46309</v>
      </c>
      <c r="B3677" s="0" t="n">
        <v>16</v>
      </c>
      <c r="C3677" s="0" t="n">
        <v>8142</v>
      </c>
      <c r="E3677" s="0" t="n">
        <v>0</v>
      </c>
      <c r="F3677" s="39" t="s">
        <v>1631</v>
      </c>
      <c r="I3677" s="39" t="s">
        <v>136</v>
      </c>
      <c r="U3677" s="0" t="n">
        <v>25</v>
      </c>
      <c r="V3677" s="0" t="n">
        <v>0</v>
      </c>
      <c r="W3677" s="39" t="n">
        <f aca="false">IF(I3677="Male",0,1)</f>
        <v>1</v>
      </c>
      <c r="X3677" s="39" t="n">
        <f aca="false">IF(OR(I3677="DNB",I3677="Dry DNB"),1,0)</f>
        <v>0</v>
      </c>
      <c r="Y3677" s="39" t="n">
        <f aca="false">MATCH(A3677,DATAS,0)</f>
        <v>1</v>
      </c>
      <c r="Z3677" s="39" t="n">
        <f aca="false">IF(AND(E3677&gt;0,OR(AND(B3677&gt;=1,B3677&lt;=6),B3677=10)),1,0)</f>
        <v>0</v>
      </c>
      <c r="AA3677" s="39" t="n">
        <f aca="false">IF(AND(E3677&gt;0,B3677=10),1,0)</f>
        <v>0</v>
      </c>
      <c r="AB3677" s="0" t="str">
        <f aca="false">IF(AND(C3676=C3677,Y3676=Y3677-1),Z3676,"")</f>
        <v/>
      </c>
      <c r="AC3677" s="0" t="str">
        <f aca="false">IF(AND(C3676=C3677,Y3676=Y3677-1),AA3676,"")</f>
        <v/>
      </c>
      <c r="AD3677" s="0" t="str">
        <f aca="false">IF(Y3677=1,"",IF(AND(Z3677=1,AB3677&lt;&gt;1),1,0))</f>
        <v/>
      </c>
      <c r="AE3677" s="0" t="str">
        <f aca="false">IF(Y3677=1,"",IF(AND(AA3677=1,AC3677&lt;&gt;1),1,0))</f>
        <v/>
      </c>
      <c r="AF3677" s="45" t="str">
        <f aca="false">IF(AND(E3677&gt;0,Y3677&lt;1,NOT(AND(C3678=C3677,Y3678=Y3677+1))),INDEX(DATAS,Y3677+1),"")</f>
        <v/>
      </c>
      <c r="AG3677" s="45" t="str">
        <f aca="false">IF(AND(AA3677=1,Y3677&lt;1),IF(AND(C3678=C3677,Y3678=Y3677+1),IF(AA3678=1,"",INDEX(DATAS,Y3677+1)),INDEX(DATAS,Y3677+1)),"")</f>
        <v/>
      </c>
    </row>
    <row r="3678" customFormat="false" ht="15" hidden="false" customHeight="false" outlineLevel="0" collapsed="false">
      <c r="A3678" s="45" t="n">
        <v>46309</v>
      </c>
      <c r="B3678" s="0" t="n">
        <v>16</v>
      </c>
      <c r="C3678" s="0" t="n">
        <v>8143</v>
      </c>
      <c r="E3678" s="0" t="n">
        <v>0</v>
      </c>
      <c r="F3678" s="39" t="s">
        <v>1631</v>
      </c>
      <c r="I3678" s="39" t="s">
        <v>136</v>
      </c>
      <c r="U3678" s="0" t="n">
        <v>25</v>
      </c>
      <c r="V3678" s="0" t="n">
        <v>0</v>
      </c>
      <c r="W3678" s="39" t="n">
        <f aca="false">IF(I3678="Male",0,1)</f>
        <v>1</v>
      </c>
      <c r="X3678" s="39" t="n">
        <f aca="false">IF(OR(I3678="DNB",I3678="Dry DNB"),1,0)</f>
        <v>0</v>
      </c>
      <c r="Y3678" s="39" t="n">
        <f aca="false">MATCH(A3678,DATAS,0)</f>
        <v>1</v>
      </c>
      <c r="Z3678" s="39" t="n">
        <f aca="false">IF(AND(E3678&gt;0,OR(AND(B3678&gt;=1,B3678&lt;=6),B3678=10)),1,0)</f>
        <v>0</v>
      </c>
      <c r="AA3678" s="39" t="n">
        <f aca="false">IF(AND(E3678&gt;0,B3678=10),1,0)</f>
        <v>0</v>
      </c>
      <c r="AB3678" s="0" t="str">
        <f aca="false">IF(AND(C3677=C3678,Y3677=Y3678-1),Z3677,"")</f>
        <v/>
      </c>
      <c r="AC3678" s="0" t="str">
        <f aca="false">IF(AND(C3677=C3678,Y3677=Y3678-1),AA3677,"")</f>
        <v/>
      </c>
      <c r="AD3678" s="0" t="str">
        <f aca="false">IF(Y3678=1,"",IF(AND(Z3678=1,AB3678&lt;&gt;1),1,0))</f>
        <v/>
      </c>
      <c r="AE3678" s="0" t="str">
        <f aca="false">IF(Y3678=1,"",IF(AND(AA3678=1,AC3678&lt;&gt;1),1,0))</f>
        <v/>
      </c>
      <c r="AF3678" s="45" t="str">
        <f aca="false">IF(AND(E3678&gt;0,Y3678&lt;1,NOT(AND(C3679=C3678,Y3679=Y3678+1))),INDEX(DATAS,Y3678+1),"")</f>
        <v/>
      </c>
      <c r="AG3678" s="45" t="str">
        <f aca="false">IF(AND(AA3678=1,Y3678&lt;1),IF(AND(C3679=C3678,Y3679=Y3678+1),IF(AA3679=1,"",INDEX(DATAS,Y3678+1)),INDEX(DATAS,Y3678+1)),"")</f>
        <v/>
      </c>
    </row>
    <row r="3679" customFormat="false" ht="15" hidden="false" customHeight="false" outlineLevel="0" collapsed="false">
      <c r="A3679" s="45" t="n">
        <v>46309</v>
      </c>
      <c r="B3679" s="0" t="n">
        <v>16</v>
      </c>
      <c r="C3679" s="0" t="n">
        <v>8144</v>
      </c>
      <c r="E3679" s="0" t="n">
        <v>0</v>
      </c>
      <c r="F3679" s="39" t="s">
        <v>1631</v>
      </c>
      <c r="I3679" s="39" t="s">
        <v>136</v>
      </c>
      <c r="U3679" s="0" t="n">
        <v>25</v>
      </c>
      <c r="V3679" s="0" t="n">
        <v>0</v>
      </c>
      <c r="W3679" s="39" t="n">
        <f aca="false">IF(I3679="Male",0,1)</f>
        <v>1</v>
      </c>
      <c r="X3679" s="39" t="n">
        <f aca="false">IF(OR(I3679="DNB",I3679="Dry DNB"),1,0)</f>
        <v>0</v>
      </c>
      <c r="Y3679" s="39" t="n">
        <f aca="false">MATCH(A3679,DATAS,0)</f>
        <v>1</v>
      </c>
      <c r="Z3679" s="39" t="n">
        <f aca="false">IF(AND(E3679&gt;0,OR(AND(B3679&gt;=1,B3679&lt;=6),B3679=10)),1,0)</f>
        <v>0</v>
      </c>
      <c r="AA3679" s="39" t="n">
        <f aca="false">IF(AND(E3679&gt;0,B3679=10),1,0)</f>
        <v>0</v>
      </c>
      <c r="AB3679" s="0" t="str">
        <f aca="false">IF(AND(C3678=C3679,Y3678=Y3679-1),Z3678,"")</f>
        <v/>
      </c>
      <c r="AC3679" s="0" t="str">
        <f aca="false">IF(AND(C3678=C3679,Y3678=Y3679-1),AA3678,"")</f>
        <v/>
      </c>
      <c r="AD3679" s="0" t="str">
        <f aca="false">IF(Y3679=1,"",IF(AND(Z3679=1,AB3679&lt;&gt;1),1,0))</f>
        <v/>
      </c>
      <c r="AE3679" s="0" t="str">
        <f aca="false">IF(Y3679=1,"",IF(AND(AA3679=1,AC3679&lt;&gt;1),1,0))</f>
        <v/>
      </c>
      <c r="AF3679" s="45" t="str">
        <f aca="false">IF(AND(E3679&gt;0,Y3679&lt;1,NOT(AND(C3680=C3679,Y3680=Y3679+1))),INDEX(DATAS,Y3679+1),"")</f>
        <v/>
      </c>
      <c r="AG3679" s="45" t="str">
        <f aca="false">IF(AND(AA3679=1,Y3679&lt;1),IF(AND(C3680=C3679,Y3680=Y3679+1),IF(AA3680=1,"",INDEX(DATAS,Y3679+1)),INDEX(DATAS,Y3679+1)),"")</f>
        <v/>
      </c>
    </row>
    <row r="3680" customFormat="false" ht="15" hidden="false" customHeight="false" outlineLevel="0" collapsed="false">
      <c r="A3680" s="45" t="n">
        <v>46309</v>
      </c>
      <c r="B3680" s="0" t="n">
        <v>16</v>
      </c>
      <c r="C3680" s="0" t="n">
        <v>8145</v>
      </c>
      <c r="E3680" s="0" t="n">
        <v>0</v>
      </c>
      <c r="F3680" s="39" t="s">
        <v>1631</v>
      </c>
      <c r="I3680" s="39" t="s">
        <v>136</v>
      </c>
      <c r="U3680" s="0" t="n">
        <v>25</v>
      </c>
      <c r="V3680" s="0" t="n">
        <v>0</v>
      </c>
      <c r="W3680" s="39" t="n">
        <f aca="false">IF(I3680="Male",0,1)</f>
        <v>1</v>
      </c>
      <c r="X3680" s="39" t="n">
        <f aca="false">IF(OR(I3680="DNB",I3680="Dry DNB"),1,0)</f>
        <v>0</v>
      </c>
      <c r="Y3680" s="39" t="n">
        <f aca="false">MATCH(A3680,DATAS,0)</f>
        <v>1</v>
      </c>
      <c r="Z3680" s="39" t="n">
        <f aca="false">IF(AND(E3680&gt;0,OR(AND(B3680&gt;=1,B3680&lt;=6),B3680=10)),1,0)</f>
        <v>0</v>
      </c>
      <c r="AA3680" s="39" t="n">
        <f aca="false">IF(AND(E3680&gt;0,B3680=10),1,0)</f>
        <v>0</v>
      </c>
      <c r="AB3680" s="0" t="str">
        <f aca="false">IF(AND(C3679=C3680,Y3679=Y3680-1),Z3679,"")</f>
        <v/>
      </c>
      <c r="AC3680" s="0" t="str">
        <f aca="false">IF(AND(C3679=C3680,Y3679=Y3680-1),AA3679,"")</f>
        <v/>
      </c>
      <c r="AD3680" s="0" t="str">
        <f aca="false">IF(Y3680=1,"",IF(AND(Z3680=1,AB3680&lt;&gt;1),1,0))</f>
        <v/>
      </c>
      <c r="AE3680" s="0" t="str">
        <f aca="false">IF(Y3680=1,"",IF(AND(AA3680=1,AC3680&lt;&gt;1),1,0))</f>
        <v/>
      </c>
      <c r="AF3680" s="45" t="str">
        <f aca="false">IF(AND(E3680&gt;0,Y3680&lt;1,NOT(AND(C3681=C3680,Y3681=Y3680+1))),INDEX(DATAS,Y3680+1),"")</f>
        <v/>
      </c>
      <c r="AG3680" s="45" t="str">
        <f aca="false">IF(AND(AA3680=1,Y3680&lt;1),IF(AND(C3681=C3680,Y3681=Y3680+1),IF(AA3681=1,"",INDEX(DATAS,Y3680+1)),INDEX(DATAS,Y3680+1)),"")</f>
        <v/>
      </c>
    </row>
    <row r="3681" customFormat="false" ht="15" hidden="false" customHeight="false" outlineLevel="0" collapsed="false">
      <c r="A3681" s="45" t="n">
        <v>46309</v>
      </c>
      <c r="B3681" s="0" t="n">
        <v>16</v>
      </c>
      <c r="C3681" s="0" t="n">
        <v>8146</v>
      </c>
      <c r="E3681" s="0" t="n">
        <v>0</v>
      </c>
      <c r="F3681" s="39" t="s">
        <v>1632</v>
      </c>
      <c r="I3681" s="39" t="s">
        <v>136</v>
      </c>
      <c r="U3681" s="0" t="n">
        <v>24</v>
      </c>
      <c r="V3681" s="0" t="n">
        <v>0</v>
      </c>
      <c r="W3681" s="39" t="n">
        <f aca="false">IF(I3681="Male",0,1)</f>
        <v>1</v>
      </c>
      <c r="X3681" s="39" t="n">
        <f aca="false">IF(OR(I3681="DNB",I3681="Dry DNB"),1,0)</f>
        <v>0</v>
      </c>
      <c r="Y3681" s="39" t="n">
        <f aca="false">MATCH(A3681,DATAS,0)</f>
        <v>1</v>
      </c>
      <c r="Z3681" s="39" t="n">
        <f aca="false">IF(AND(E3681&gt;0,OR(AND(B3681&gt;=1,B3681&lt;=6),B3681=10)),1,0)</f>
        <v>0</v>
      </c>
      <c r="AA3681" s="39" t="n">
        <f aca="false">IF(AND(E3681&gt;0,B3681=10),1,0)</f>
        <v>0</v>
      </c>
      <c r="AB3681" s="0" t="str">
        <f aca="false">IF(AND(C3680=C3681,Y3680=Y3681-1),Z3680,"")</f>
        <v/>
      </c>
      <c r="AC3681" s="0" t="str">
        <f aca="false">IF(AND(C3680=C3681,Y3680=Y3681-1),AA3680,"")</f>
        <v/>
      </c>
      <c r="AD3681" s="0" t="str">
        <f aca="false">IF(Y3681=1,"",IF(AND(Z3681=1,AB3681&lt;&gt;1),1,0))</f>
        <v/>
      </c>
      <c r="AE3681" s="0" t="str">
        <f aca="false">IF(Y3681=1,"",IF(AND(AA3681=1,AC3681&lt;&gt;1),1,0))</f>
        <v/>
      </c>
      <c r="AF3681" s="45" t="str">
        <f aca="false">IF(AND(E3681&gt;0,Y3681&lt;1,NOT(AND(C3682=C3681,Y3682=Y3681+1))),INDEX(DATAS,Y3681+1),"")</f>
        <v/>
      </c>
      <c r="AG3681" s="45" t="str">
        <f aca="false">IF(AND(AA3681=1,Y3681&lt;1),IF(AND(C3682=C3681,Y3682=Y3681+1),IF(AA3682=1,"",INDEX(DATAS,Y3681+1)),INDEX(DATAS,Y3681+1)),"")</f>
        <v/>
      </c>
    </row>
    <row r="3682" customFormat="false" ht="15" hidden="false" customHeight="false" outlineLevel="0" collapsed="false">
      <c r="A3682" s="45" t="n">
        <v>46309</v>
      </c>
      <c r="B3682" s="0" t="n">
        <v>16</v>
      </c>
      <c r="C3682" s="0" t="n">
        <v>8147</v>
      </c>
      <c r="E3682" s="0" t="n">
        <v>0</v>
      </c>
      <c r="F3682" s="39" t="s">
        <v>1632</v>
      </c>
      <c r="I3682" s="39" t="s">
        <v>136</v>
      </c>
      <c r="U3682" s="0" t="n">
        <v>24</v>
      </c>
      <c r="V3682" s="0" t="n">
        <v>0</v>
      </c>
      <c r="W3682" s="39" t="n">
        <f aca="false">IF(I3682="Male",0,1)</f>
        <v>1</v>
      </c>
      <c r="X3682" s="39" t="n">
        <f aca="false">IF(OR(I3682="DNB",I3682="Dry DNB"),1,0)</f>
        <v>0</v>
      </c>
      <c r="Y3682" s="39" t="n">
        <f aca="false">MATCH(A3682,DATAS,0)</f>
        <v>1</v>
      </c>
      <c r="Z3682" s="39" t="n">
        <f aca="false">IF(AND(E3682&gt;0,OR(AND(B3682&gt;=1,B3682&lt;=6),B3682=10)),1,0)</f>
        <v>0</v>
      </c>
      <c r="AA3682" s="39" t="n">
        <f aca="false">IF(AND(E3682&gt;0,B3682=10),1,0)</f>
        <v>0</v>
      </c>
      <c r="AB3682" s="0" t="str">
        <f aca="false">IF(AND(C3681=C3682,Y3681=Y3682-1),Z3681,"")</f>
        <v/>
      </c>
      <c r="AC3682" s="0" t="str">
        <f aca="false">IF(AND(C3681=C3682,Y3681=Y3682-1),AA3681,"")</f>
        <v/>
      </c>
      <c r="AD3682" s="0" t="str">
        <f aca="false">IF(Y3682=1,"",IF(AND(Z3682=1,AB3682&lt;&gt;1),1,0))</f>
        <v/>
      </c>
      <c r="AE3682" s="0" t="str">
        <f aca="false">IF(Y3682=1,"",IF(AND(AA3682=1,AC3682&lt;&gt;1),1,0))</f>
        <v/>
      </c>
      <c r="AF3682" s="45" t="str">
        <f aca="false">IF(AND(E3682&gt;0,Y3682&lt;1,NOT(AND(C3683=C3682,Y3683=Y3682+1))),INDEX(DATAS,Y3682+1),"")</f>
        <v/>
      </c>
      <c r="AG3682" s="45" t="str">
        <f aca="false">IF(AND(AA3682=1,Y3682&lt;1),IF(AND(C3683=C3682,Y3683=Y3682+1),IF(AA3683=1,"",INDEX(DATAS,Y3682+1)),INDEX(DATAS,Y3682+1)),"")</f>
        <v/>
      </c>
    </row>
    <row r="3683" customFormat="false" ht="15" hidden="false" customHeight="false" outlineLevel="0" collapsed="false">
      <c r="A3683" s="45" t="n">
        <v>46309</v>
      </c>
      <c r="B3683" s="0" t="n">
        <v>16</v>
      </c>
      <c r="C3683" s="0" t="n">
        <v>8148</v>
      </c>
      <c r="E3683" s="0" t="n">
        <v>0</v>
      </c>
      <c r="F3683" s="39" t="s">
        <v>1632</v>
      </c>
      <c r="I3683" s="39" t="s">
        <v>136</v>
      </c>
      <c r="U3683" s="0" t="n">
        <v>24</v>
      </c>
      <c r="V3683" s="0" t="n">
        <v>0</v>
      </c>
      <c r="W3683" s="39" t="n">
        <f aca="false">IF(I3683="Male",0,1)</f>
        <v>1</v>
      </c>
      <c r="X3683" s="39" t="n">
        <f aca="false">IF(OR(I3683="DNB",I3683="Dry DNB"),1,0)</f>
        <v>0</v>
      </c>
      <c r="Y3683" s="39" t="n">
        <f aca="false">MATCH(A3683,DATAS,0)</f>
        <v>1</v>
      </c>
      <c r="Z3683" s="39" t="n">
        <f aca="false">IF(AND(E3683&gt;0,OR(AND(B3683&gt;=1,B3683&lt;=6),B3683=10)),1,0)</f>
        <v>0</v>
      </c>
      <c r="AA3683" s="39" t="n">
        <f aca="false">IF(AND(E3683&gt;0,B3683=10),1,0)</f>
        <v>0</v>
      </c>
      <c r="AB3683" s="0" t="str">
        <f aca="false">IF(AND(C3682=C3683,Y3682=Y3683-1),Z3682,"")</f>
        <v/>
      </c>
      <c r="AC3683" s="0" t="str">
        <f aca="false">IF(AND(C3682=C3683,Y3682=Y3683-1),AA3682,"")</f>
        <v/>
      </c>
      <c r="AD3683" s="0" t="str">
        <f aca="false">IF(Y3683=1,"",IF(AND(Z3683=1,AB3683&lt;&gt;1),1,0))</f>
        <v/>
      </c>
      <c r="AE3683" s="0" t="str">
        <f aca="false">IF(Y3683=1,"",IF(AND(AA3683=1,AC3683&lt;&gt;1),1,0))</f>
        <v/>
      </c>
      <c r="AF3683" s="45" t="str">
        <f aca="false">IF(AND(E3683&gt;0,Y3683&lt;1,NOT(AND(C3684=C3683,Y3684=Y3683+1))),INDEX(DATAS,Y3683+1),"")</f>
        <v/>
      </c>
      <c r="AG3683" s="45" t="str">
        <f aca="false">IF(AND(AA3683=1,Y3683&lt;1),IF(AND(C3684=C3683,Y3684=Y3683+1),IF(AA3684=1,"",INDEX(DATAS,Y3683+1)),INDEX(DATAS,Y3683+1)),"")</f>
        <v/>
      </c>
    </row>
    <row r="3684" customFormat="false" ht="15" hidden="false" customHeight="false" outlineLevel="0" collapsed="false">
      <c r="A3684" s="45" t="n">
        <v>46309</v>
      </c>
      <c r="B3684" s="0" t="n">
        <v>16</v>
      </c>
      <c r="C3684" s="0" t="n">
        <v>8149</v>
      </c>
      <c r="E3684" s="0" t="n">
        <v>0</v>
      </c>
      <c r="F3684" s="39" t="s">
        <v>1632</v>
      </c>
      <c r="I3684" s="39" t="s">
        <v>136</v>
      </c>
      <c r="U3684" s="0" t="n">
        <v>24</v>
      </c>
      <c r="V3684" s="0" t="n">
        <v>0</v>
      </c>
      <c r="W3684" s="39" t="n">
        <f aca="false">IF(I3684="Male",0,1)</f>
        <v>1</v>
      </c>
      <c r="X3684" s="39" t="n">
        <f aca="false">IF(OR(I3684="DNB",I3684="Dry DNB"),1,0)</f>
        <v>0</v>
      </c>
      <c r="Y3684" s="39" t="n">
        <f aca="false">MATCH(A3684,DATAS,0)</f>
        <v>1</v>
      </c>
      <c r="Z3684" s="39" t="n">
        <f aca="false">IF(AND(E3684&gt;0,OR(AND(B3684&gt;=1,B3684&lt;=6),B3684=10)),1,0)</f>
        <v>0</v>
      </c>
      <c r="AA3684" s="39" t="n">
        <f aca="false">IF(AND(E3684&gt;0,B3684=10),1,0)</f>
        <v>0</v>
      </c>
      <c r="AB3684" s="0" t="str">
        <f aca="false">IF(AND(C3683=C3684,Y3683=Y3684-1),Z3683,"")</f>
        <v/>
      </c>
      <c r="AC3684" s="0" t="str">
        <f aca="false">IF(AND(C3683=C3684,Y3683=Y3684-1),AA3683,"")</f>
        <v/>
      </c>
      <c r="AD3684" s="0" t="str">
        <f aca="false">IF(Y3684=1,"",IF(AND(Z3684=1,AB3684&lt;&gt;1),1,0))</f>
        <v/>
      </c>
      <c r="AE3684" s="0" t="str">
        <f aca="false">IF(Y3684=1,"",IF(AND(AA3684=1,AC3684&lt;&gt;1),1,0))</f>
        <v/>
      </c>
      <c r="AF3684" s="45" t="str">
        <f aca="false">IF(AND(E3684&gt;0,Y3684&lt;1,NOT(AND(C3685=C3684,Y3685=Y3684+1))),INDEX(DATAS,Y3684+1),"")</f>
        <v/>
      </c>
      <c r="AG3684" s="45" t="str">
        <f aca="false">IF(AND(AA3684=1,Y3684&lt;1),IF(AND(C3685=C3684,Y3685=Y3684+1),IF(AA3685=1,"",INDEX(DATAS,Y3684+1)),INDEX(DATAS,Y3684+1)),"")</f>
        <v/>
      </c>
    </row>
    <row r="3685" customFormat="false" ht="15" hidden="false" customHeight="false" outlineLevel="0" collapsed="false">
      <c r="A3685" s="45" t="n">
        <v>46309</v>
      </c>
      <c r="B3685" s="0" t="n">
        <v>16</v>
      </c>
      <c r="C3685" s="0" t="n">
        <v>8150</v>
      </c>
      <c r="E3685" s="0" t="n">
        <v>0</v>
      </c>
      <c r="F3685" s="39" t="s">
        <v>1633</v>
      </c>
      <c r="I3685" s="39" t="s">
        <v>136</v>
      </c>
      <c r="U3685" s="0" t="n">
        <v>22</v>
      </c>
      <c r="V3685" s="0" t="n">
        <v>0</v>
      </c>
      <c r="W3685" s="39" t="n">
        <f aca="false">IF(I3685="Male",0,1)</f>
        <v>1</v>
      </c>
      <c r="X3685" s="39" t="n">
        <f aca="false">IF(OR(I3685="DNB",I3685="Dry DNB"),1,0)</f>
        <v>0</v>
      </c>
      <c r="Y3685" s="39" t="n">
        <f aca="false">MATCH(A3685,DATAS,0)</f>
        <v>1</v>
      </c>
      <c r="Z3685" s="39" t="n">
        <f aca="false">IF(AND(E3685&gt;0,OR(AND(B3685&gt;=1,B3685&lt;=6),B3685=10)),1,0)</f>
        <v>0</v>
      </c>
      <c r="AA3685" s="39" t="n">
        <f aca="false">IF(AND(E3685&gt;0,B3685=10),1,0)</f>
        <v>0</v>
      </c>
      <c r="AB3685" s="0" t="str">
        <f aca="false">IF(AND(C3684=C3685,Y3684=Y3685-1),Z3684,"")</f>
        <v/>
      </c>
      <c r="AC3685" s="0" t="str">
        <f aca="false">IF(AND(C3684=C3685,Y3684=Y3685-1),AA3684,"")</f>
        <v/>
      </c>
      <c r="AD3685" s="0" t="str">
        <f aca="false">IF(Y3685=1,"",IF(AND(Z3685=1,AB3685&lt;&gt;1),1,0))</f>
        <v/>
      </c>
      <c r="AE3685" s="0" t="str">
        <f aca="false">IF(Y3685=1,"",IF(AND(AA3685=1,AC3685&lt;&gt;1),1,0))</f>
        <v/>
      </c>
      <c r="AF3685" s="45" t="str">
        <f aca="false">IF(AND(E3685&gt;0,Y3685&lt;1,NOT(AND(C3686=C3685,Y3686=Y3685+1))),INDEX(DATAS,Y3685+1),"")</f>
        <v/>
      </c>
      <c r="AG3685" s="45" t="str">
        <f aca="false">IF(AND(AA3685=1,Y3685&lt;1),IF(AND(C3686=C3685,Y3686=Y3685+1),IF(AA3686=1,"",INDEX(DATAS,Y3685+1)),INDEX(DATAS,Y3685+1)),"")</f>
        <v/>
      </c>
    </row>
    <row r="3686" customFormat="false" ht="15" hidden="false" customHeight="false" outlineLevel="0" collapsed="false">
      <c r="A3686" s="45" t="n">
        <v>46309</v>
      </c>
      <c r="B3686" s="0" t="n">
        <v>16</v>
      </c>
      <c r="C3686" s="0" t="n">
        <v>8151</v>
      </c>
      <c r="E3686" s="0" t="n">
        <v>0</v>
      </c>
      <c r="F3686" s="39" t="s">
        <v>1633</v>
      </c>
      <c r="I3686" s="39" t="s">
        <v>136</v>
      </c>
      <c r="U3686" s="0" t="n">
        <v>22</v>
      </c>
      <c r="V3686" s="0" t="n">
        <v>0</v>
      </c>
      <c r="W3686" s="39" t="n">
        <f aca="false">IF(I3686="Male",0,1)</f>
        <v>1</v>
      </c>
      <c r="X3686" s="39" t="n">
        <f aca="false">IF(OR(I3686="DNB",I3686="Dry DNB"),1,0)</f>
        <v>0</v>
      </c>
      <c r="Y3686" s="39" t="n">
        <f aca="false">MATCH(A3686,DATAS,0)</f>
        <v>1</v>
      </c>
      <c r="Z3686" s="39" t="n">
        <f aca="false">IF(AND(E3686&gt;0,OR(AND(B3686&gt;=1,B3686&lt;=6),B3686=10)),1,0)</f>
        <v>0</v>
      </c>
      <c r="AA3686" s="39" t="n">
        <f aca="false">IF(AND(E3686&gt;0,B3686=10),1,0)</f>
        <v>0</v>
      </c>
      <c r="AB3686" s="0" t="str">
        <f aca="false">IF(AND(C3685=C3686,Y3685=Y3686-1),Z3685,"")</f>
        <v/>
      </c>
      <c r="AC3686" s="0" t="str">
        <f aca="false">IF(AND(C3685=C3686,Y3685=Y3686-1),AA3685,"")</f>
        <v/>
      </c>
      <c r="AD3686" s="0" t="str">
        <f aca="false">IF(Y3686=1,"",IF(AND(Z3686=1,AB3686&lt;&gt;1),1,0))</f>
        <v/>
      </c>
      <c r="AE3686" s="0" t="str">
        <f aca="false">IF(Y3686=1,"",IF(AND(AA3686=1,AC3686&lt;&gt;1),1,0))</f>
        <v/>
      </c>
      <c r="AF3686" s="45" t="str">
        <f aca="false">IF(AND(E3686&gt;0,Y3686&lt;1,NOT(AND(C3687=C3686,Y3687=Y3686+1))),INDEX(DATAS,Y3686+1),"")</f>
        <v/>
      </c>
      <c r="AG3686" s="45" t="str">
        <f aca="false">IF(AND(AA3686=1,Y3686&lt;1),IF(AND(C3687=C3686,Y3687=Y3686+1),IF(AA3687=1,"",INDEX(DATAS,Y3686+1)),INDEX(DATAS,Y3686+1)),"")</f>
        <v/>
      </c>
    </row>
    <row r="3687" customFormat="false" ht="15" hidden="false" customHeight="false" outlineLevel="0" collapsed="false">
      <c r="A3687" s="45" t="n">
        <v>46309</v>
      </c>
      <c r="B3687" s="0" t="n">
        <v>16</v>
      </c>
      <c r="C3687" s="0" t="n">
        <v>8152</v>
      </c>
      <c r="E3687" s="0" t="n">
        <v>0</v>
      </c>
      <c r="F3687" s="39" t="s">
        <v>1634</v>
      </c>
      <c r="I3687" s="39" t="s">
        <v>136</v>
      </c>
      <c r="U3687" s="0" t="n">
        <v>21</v>
      </c>
      <c r="V3687" s="0" t="n">
        <v>0</v>
      </c>
      <c r="W3687" s="39" t="n">
        <f aca="false">IF(I3687="Male",0,1)</f>
        <v>1</v>
      </c>
      <c r="X3687" s="39" t="n">
        <f aca="false">IF(OR(I3687="DNB",I3687="Dry DNB"),1,0)</f>
        <v>0</v>
      </c>
      <c r="Y3687" s="39" t="n">
        <f aca="false">MATCH(A3687,DATAS,0)</f>
        <v>1</v>
      </c>
      <c r="Z3687" s="39" t="n">
        <f aca="false">IF(AND(E3687&gt;0,OR(AND(B3687&gt;=1,B3687&lt;=6),B3687=10)),1,0)</f>
        <v>0</v>
      </c>
      <c r="AA3687" s="39" t="n">
        <f aca="false">IF(AND(E3687&gt;0,B3687=10),1,0)</f>
        <v>0</v>
      </c>
      <c r="AB3687" s="0" t="str">
        <f aca="false">IF(AND(C3686=C3687,Y3686=Y3687-1),Z3686,"")</f>
        <v/>
      </c>
      <c r="AC3687" s="0" t="str">
        <f aca="false">IF(AND(C3686=C3687,Y3686=Y3687-1),AA3686,"")</f>
        <v/>
      </c>
      <c r="AD3687" s="0" t="str">
        <f aca="false">IF(Y3687=1,"",IF(AND(Z3687=1,AB3687&lt;&gt;1),1,0))</f>
        <v/>
      </c>
      <c r="AE3687" s="0" t="str">
        <f aca="false">IF(Y3687=1,"",IF(AND(AA3687=1,AC3687&lt;&gt;1),1,0))</f>
        <v/>
      </c>
      <c r="AF3687" s="45" t="str">
        <f aca="false">IF(AND(E3687&gt;0,Y3687&lt;1,NOT(AND(C3688=C3687,Y3688=Y3687+1))),INDEX(DATAS,Y3687+1),"")</f>
        <v/>
      </c>
      <c r="AG3687" s="45" t="str">
        <f aca="false">IF(AND(AA3687=1,Y3687&lt;1),IF(AND(C3688=C3687,Y3688=Y3687+1),IF(AA3688=1,"",INDEX(DATAS,Y3687+1)),INDEX(DATAS,Y3687+1)),"")</f>
        <v/>
      </c>
    </row>
    <row r="3688" customFormat="false" ht="15" hidden="false" customHeight="false" outlineLevel="0" collapsed="false">
      <c r="A3688" s="45" t="n">
        <v>46309</v>
      </c>
      <c r="B3688" s="0" t="n">
        <v>16</v>
      </c>
      <c r="C3688" s="0" t="n">
        <v>8153</v>
      </c>
      <c r="E3688" s="0" t="n">
        <v>0</v>
      </c>
      <c r="F3688" s="39" t="s">
        <v>1634</v>
      </c>
      <c r="I3688" s="39" t="s">
        <v>136</v>
      </c>
      <c r="U3688" s="0" t="n">
        <v>21</v>
      </c>
      <c r="V3688" s="0" t="n">
        <v>0</v>
      </c>
      <c r="W3688" s="39" t="n">
        <f aca="false">IF(I3688="Male",0,1)</f>
        <v>1</v>
      </c>
      <c r="X3688" s="39" t="n">
        <f aca="false">IF(OR(I3688="DNB",I3688="Dry DNB"),1,0)</f>
        <v>0</v>
      </c>
      <c r="Y3688" s="39" t="n">
        <f aca="false">MATCH(A3688,DATAS,0)</f>
        <v>1</v>
      </c>
      <c r="Z3688" s="39" t="n">
        <f aca="false">IF(AND(E3688&gt;0,OR(AND(B3688&gt;=1,B3688&lt;=6),B3688=10)),1,0)</f>
        <v>0</v>
      </c>
      <c r="AA3688" s="39" t="n">
        <f aca="false">IF(AND(E3688&gt;0,B3688=10),1,0)</f>
        <v>0</v>
      </c>
      <c r="AB3688" s="0" t="str">
        <f aca="false">IF(AND(C3687=C3688,Y3687=Y3688-1),Z3687,"")</f>
        <v/>
      </c>
      <c r="AC3688" s="0" t="str">
        <f aca="false">IF(AND(C3687=C3688,Y3687=Y3688-1),AA3687,"")</f>
        <v/>
      </c>
      <c r="AD3688" s="0" t="str">
        <f aca="false">IF(Y3688=1,"",IF(AND(Z3688=1,AB3688&lt;&gt;1),1,0))</f>
        <v/>
      </c>
      <c r="AE3688" s="0" t="str">
        <f aca="false">IF(Y3688=1,"",IF(AND(AA3688=1,AC3688&lt;&gt;1),1,0))</f>
        <v/>
      </c>
      <c r="AF3688" s="45" t="str">
        <f aca="false">IF(AND(E3688&gt;0,Y3688&lt;1,NOT(AND(C3689=C3688,Y3689=Y3688+1))),INDEX(DATAS,Y3688+1),"")</f>
        <v/>
      </c>
      <c r="AG3688" s="45" t="str">
        <f aca="false">IF(AND(AA3688=1,Y3688&lt;1),IF(AND(C3689=C3688,Y3689=Y3688+1),IF(AA3689=1,"",INDEX(DATAS,Y3688+1)),INDEX(DATAS,Y3688+1)),"")</f>
        <v/>
      </c>
    </row>
    <row r="3689" customFormat="false" ht="15" hidden="false" customHeight="false" outlineLevel="0" collapsed="false">
      <c r="A3689" s="45" t="n">
        <v>46309</v>
      </c>
      <c r="B3689" s="0" t="n">
        <v>16</v>
      </c>
      <c r="C3689" s="0" t="n">
        <v>8154</v>
      </c>
      <c r="E3689" s="0" t="n">
        <v>0</v>
      </c>
      <c r="F3689" s="39" t="s">
        <v>1634</v>
      </c>
      <c r="I3689" s="39" t="s">
        <v>136</v>
      </c>
      <c r="U3689" s="0" t="n">
        <v>21</v>
      </c>
      <c r="V3689" s="0" t="n">
        <v>0</v>
      </c>
      <c r="W3689" s="39" t="n">
        <f aca="false">IF(I3689="Male",0,1)</f>
        <v>1</v>
      </c>
      <c r="X3689" s="39" t="n">
        <f aca="false">IF(OR(I3689="DNB",I3689="Dry DNB"),1,0)</f>
        <v>0</v>
      </c>
      <c r="Y3689" s="39" t="n">
        <f aca="false">MATCH(A3689,DATAS,0)</f>
        <v>1</v>
      </c>
      <c r="Z3689" s="39" t="n">
        <f aca="false">IF(AND(E3689&gt;0,OR(AND(B3689&gt;=1,B3689&lt;=6),B3689=10)),1,0)</f>
        <v>0</v>
      </c>
      <c r="AA3689" s="39" t="n">
        <f aca="false">IF(AND(E3689&gt;0,B3689=10),1,0)</f>
        <v>0</v>
      </c>
      <c r="AB3689" s="0" t="str">
        <f aca="false">IF(AND(C3688=C3689,Y3688=Y3689-1),Z3688,"")</f>
        <v/>
      </c>
      <c r="AC3689" s="0" t="str">
        <f aca="false">IF(AND(C3688=C3689,Y3688=Y3689-1),AA3688,"")</f>
        <v/>
      </c>
      <c r="AD3689" s="0" t="str">
        <f aca="false">IF(Y3689=1,"",IF(AND(Z3689=1,AB3689&lt;&gt;1),1,0))</f>
        <v/>
      </c>
      <c r="AE3689" s="0" t="str">
        <f aca="false">IF(Y3689=1,"",IF(AND(AA3689=1,AC3689&lt;&gt;1),1,0))</f>
        <v/>
      </c>
      <c r="AF3689" s="45" t="str">
        <f aca="false">IF(AND(E3689&gt;0,Y3689&lt;1,NOT(AND(C3690=C3689,Y3690=Y3689+1))),INDEX(DATAS,Y3689+1),"")</f>
        <v/>
      </c>
      <c r="AG3689" s="45" t="str">
        <f aca="false">IF(AND(AA3689=1,Y3689&lt;1),IF(AND(C3690=C3689,Y3690=Y3689+1),IF(AA3690=1,"",INDEX(DATAS,Y3689+1)),INDEX(DATAS,Y3689+1)),"")</f>
        <v/>
      </c>
    </row>
    <row r="3690" customFormat="false" ht="15" hidden="false" customHeight="false" outlineLevel="0" collapsed="false">
      <c r="A3690" s="45" t="n">
        <v>46309</v>
      </c>
      <c r="B3690" s="0" t="n">
        <v>16</v>
      </c>
      <c r="C3690" s="0" t="n">
        <v>8155</v>
      </c>
      <c r="E3690" s="0" t="n">
        <v>0</v>
      </c>
      <c r="F3690" s="39" t="s">
        <v>1635</v>
      </c>
      <c r="I3690" s="39" t="s">
        <v>136</v>
      </c>
      <c r="U3690" s="0" t="n">
        <v>20</v>
      </c>
      <c r="V3690" s="0" t="n">
        <v>0</v>
      </c>
      <c r="W3690" s="39" t="n">
        <f aca="false">IF(I3690="Male",0,1)</f>
        <v>1</v>
      </c>
      <c r="X3690" s="39" t="n">
        <f aca="false">IF(OR(I3690="DNB",I3690="Dry DNB"),1,0)</f>
        <v>0</v>
      </c>
      <c r="Y3690" s="39" t="n">
        <f aca="false">MATCH(A3690,DATAS,0)</f>
        <v>1</v>
      </c>
      <c r="Z3690" s="39" t="n">
        <f aca="false">IF(AND(E3690&gt;0,OR(AND(B3690&gt;=1,B3690&lt;=6),B3690=10)),1,0)</f>
        <v>0</v>
      </c>
      <c r="AA3690" s="39" t="n">
        <f aca="false">IF(AND(E3690&gt;0,B3690=10),1,0)</f>
        <v>0</v>
      </c>
      <c r="AB3690" s="0" t="str">
        <f aca="false">IF(AND(C3689=C3690,Y3689=Y3690-1),Z3689,"")</f>
        <v/>
      </c>
      <c r="AC3690" s="0" t="str">
        <f aca="false">IF(AND(C3689=C3690,Y3689=Y3690-1),AA3689,"")</f>
        <v/>
      </c>
      <c r="AD3690" s="0" t="str">
        <f aca="false">IF(Y3690=1,"",IF(AND(Z3690=1,AB3690&lt;&gt;1),1,0))</f>
        <v/>
      </c>
      <c r="AE3690" s="0" t="str">
        <f aca="false">IF(Y3690=1,"",IF(AND(AA3690=1,AC3690&lt;&gt;1),1,0))</f>
        <v/>
      </c>
      <c r="AF3690" s="45" t="str">
        <f aca="false">IF(AND(E3690&gt;0,Y3690&lt;1,NOT(AND(C3691=C3690,Y3691=Y3690+1))),INDEX(DATAS,Y3690+1),"")</f>
        <v/>
      </c>
      <c r="AG3690" s="45" t="str">
        <f aca="false">IF(AND(AA3690=1,Y3690&lt;1),IF(AND(C3691=C3690,Y3691=Y3690+1),IF(AA3691=1,"",INDEX(DATAS,Y3690+1)),INDEX(DATAS,Y3690+1)),"")</f>
        <v/>
      </c>
    </row>
    <row r="3691" customFormat="false" ht="15" hidden="false" customHeight="false" outlineLevel="0" collapsed="false">
      <c r="A3691" s="45" t="n">
        <v>46309</v>
      </c>
      <c r="B3691" s="0" t="n">
        <v>16</v>
      </c>
      <c r="C3691" s="0" t="n">
        <v>8156</v>
      </c>
      <c r="E3691" s="0" t="n">
        <v>0</v>
      </c>
      <c r="F3691" s="39" t="s">
        <v>1635</v>
      </c>
      <c r="I3691" s="39" t="s">
        <v>136</v>
      </c>
      <c r="U3691" s="0" t="n">
        <v>20</v>
      </c>
      <c r="V3691" s="0" t="n">
        <v>0</v>
      </c>
      <c r="W3691" s="39" t="n">
        <f aca="false">IF(I3691="Male",0,1)</f>
        <v>1</v>
      </c>
      <c r="X3691" s="39" t="n">
        <f aca="false">IF(OR(I3691="DNB",I3691="Dry DNB"),1,0)</f>
        <v>0</v>
      </c>
      <c r="Y3691" s="39" t="n">
        <f aca="false">MATCH(A3691,DATAS,0)</f>
        <v>1</v>
      </c>
      <c r="Z3691" s="39" t="n">
        <f aca="false">IF(AND(E3691&gt;0,OR(AND(B3691&gt;=1,B3691&lt;=6),B3691=10)),1,0)</f>
        <v>0</v>
      </c>
      <c r="AA3691" s="39" t="n">
        <f aca="false">IF(AND(E3691&gt;0,B3691=10),1,0)</f>
        <v>0</v>
      </c>
      <c r="AB3691" s="0" t="str">
        <f aca="false">IF(AND(C3690=C3691,Y3690=Y3691-1),Z3690,"")</f>
        <v/>
      </c>
      <c r="AC3691" s="0" t="str">
        <f aca="false">IF(AND(C3690=C3691,Y3690=Y3691-1),AA3690,"")</f>
        <v/>
      </c>
      <c r="AD3691" s="0" t="str">
        <f aca="false">IF(Y3691=1,"",IF(AND(Z3691=1,AB3691&lt;&gt;1),1,0))</f>
        <v/>
      </c>
      <c r="AE3691" s="0" t="str">
        <f aca="false">IF(Y3691=1,"",IF(AND(AA3691=1,AC3691&lt;&gt;1),1,0))</f>
        <v/>
      </c>
      <c r="AF3691" s="45" t="str">
        <f aca="false">IF(AND(E3691&gt;0,Y3691&lt;1,NOT(AND(C3692=C3691,Y3692=Y3691+1))),INDEX(DATAS,Y3691+1),"")</f>
        <v/>
      </c>
      <c r="AG3691" s="45" t="str">
        <f aca="false">IF(AND(AA3691=1,Y3691&lt;1),IF(AND(C3692=C3691,Y3692=Y3691+1),IF(AA3692=1,"",INDEX(DATAS,Y3691+1)),INDEX(DATAS,Y3691+1)),"")</f>
        <v/>
      </c>
    </row>
    <row r="3692" customFormat="false" ht="15" hidden="false" customHeight="false" outlineLevel="0" collapsed="false">
      <c r="A3692" s="45" t="n">
        <v>46309</v>
      </c>
      <c r="B3692" s="0" t="n">
        <v>16</v>
      </c>
      <c r="C3692" s="0" t="n">
        <v>8157</v>
      </c>
      <c r="E3692" s="0" t="n">
        <v>0</v>
      </c>
      <c r="F3692" s="39" t="s">
        <v>1635</v>
      </c>
      <c r="I3692" s="39" t="s">
        <v>136</v>
      </c>
      <c r="U3692" s="0" t="n">
        <v>20</v>
      </c>
      <c r="V3692" s="0" t="n">
        <v>0</v>
      </c>
      <c r="W3692" s="39" t="n">
        <f aca="false">IF(I3692="Male",0,1)</f>
        <v>1</v>
      </c>
      <c r="X3692" s="39" t="n">
        <f aca="false">IF(OR(I3692="DNB",I3692="Dry DNB"),1,0)</f>
        <v>0</v>
      </c>
      <c r="Y3692" s="39" t="n">
        <f aca="false">MATCH(A3692,DATAS,0)</f>
        <v>1</v>
      </c>
      <c r="Z3692" s="39" t="n">
        <f aca="false">IF(AND(E3692&gt;0,OR(AND(B3692&gt;=1,B3692&lt;=6),B3692=10)),1,0)</f>
        <v>0</v>
      </c>
      <c r="AA3692" s="39" t="n">
        <f aca="false">IF(AND(E3692&gt;0,B3692=10),1,0)</f>
        <v>0</v>
      </c>
      <c r="AB3692" s="0" t="str">
        <f aca="false">IF(AND(C3691=C3692,Y3691=Y3692-1),Z3691,"")</f>
        <v/>
      </c>
      <c r="AC3692" s="0" t="str">
        <f aca="false">IF(AND(C3691=C3692,Y3691=Y3692-1),AA3691,"")</f>
        <v/>
      </c>
      <c r="AD3692" s="0" t="str">
        <f aca="false">IF(Y3692=1,"",IF(AND(Z3692=1,AB3692&lt;&gt;1),1,0))</f>
        <v/>
      </c>
      <c r="AE3692" s="0" t="str">
        <f aca="false">IF(Y3692=1,"",IF(AND(AA3692=1,AC3692&lt;&gt;1),1,0))</f>
        <v/>
      </c>
      <c r="AF3692" s="45" t="str">
        <f aca="false">IF(AND(E3692&gt;0,Y3692&lt;1,NOT(AND(C3693=C3692,Y3693=Y3692+1))),INDEX(DATAS,Y3692+1),"")</f>
        <v/>
      </c>
      <c r="AG3692" s="45" t="str">
        <f aca="false">IF(AND(AA3692=1,Y3692&lt;1),IF(AND(C3693=C3692,Y3693=Y3692+1),IF(AA3693=1,"",INDEX(DATAS,Y3692+1)),INDEX(DATAS,Y3692+1)),"")</f>
        <v/>
      </c>
    </row>
    <row r="3693" customFormat="false" ht="15" hidden="false" customHeight="false" outlineLevel="0" collapsed="false">
      <c r="A3693" s="45" t="n">
        <v>46309</v>
      </c>
      <c r="B3693" s="0" t="n">
        <v>16</v>
      </c>
      <c r="C3693" s="0" t="n">
        <v>8158</v>
      </c>
      <c r="E3693" s="0" t="n">
        <v>0</v>
      </c>
      <c r="F3693" s="39" t="s">
        <v>1636</v>
      </c>
      <c r="I3693" s="39" t="s">
        <v>136</v>
      </c>
      <c r="U3693" s="0" t="n">
        <v>19</v>
      </c>
      <c r="V3693" s="0" t="n">
        <v>0</v>
      </c>
      <c r="W3693" s="39" t="n">
        <f aca="false">IF(I3693="Male",0,1)</f>
        <v>1</v>
      </c>
      <c r="X3693" s="39" t="n">
        <f aca="false">IF(OR(I3693="DNB",I3693="Dry DNB"),1,0)</f>
        <v>0</v>
      </c>
      <c r="Y3693" s="39" t="n">
        <f aca="false">MATCH(A3693,DATAS,0)</f>
        <v>1</v>
      </c>
      <c r="Z3693" s="39" t="n">
        <f aca="false">IF(AND(E3693&gt;0,OR(AND(B3693&gt;=1,B3693&lt;=6),B3693=10)),1,0)</f>
        <v>0</v>
      </c>
      <c r="AA3693" s="39" t="n">
        <f aca="false">IF(AND(E3693&gt;0,B3693=10),1,0)</f>
        <v>0</v>
      </c>
      <c r="AB3693" s="0" t="str">
        <f aca="false">IF(AND(C3692=C3693,Y3692=Y3693-1),Z3692,"")</f>
        <v/>
      </c>
      <c r="AC3693" s="0" t="str">
        <f aca="false">IF(AND(C3692=C3693,Y3692=Y3693-1),AA3692,"")</f>
        <v/>
      </c>
      <c r="AD3693" s="0" t="str">
        <f aca="false">IF(Y3693=1,"",IF(AND(Z3693=1,AB3693&lt;&gt;1),1,0))</f>
        <v/>
      </c>
      <c r="AE3693" s="0" t="str">
        <f aca="false">IF(Y3693=1,"",IF(AND(AA3693=1,AC3693&lt;&gt;1),1,0))</f>
        <v/>
      </c>
      <c r="AF3693" s="45" t="str">
        <f aca="false">IF(AND(E3693&gt;0,Y3693&lt;1,NOT(AND(C3694=C3693,Y3694=Y3693+1))),INDEX(DATAS,Y3693+1),"")</f>
        <v/>
      </c>
      <c r="AG3693" s="45" t="str">
        <f aca="false">IF(AND(AA3693=1,Y3693&lt;1),IF(AND(C3694=C3693,Y3694=Y3693+1),IF(AA3694=1,"",INDEX(DATAS,Y3693+1)),INDEX(DATAS,Y3693+1)),"")</f>
        <v/>
      </c>
    </row>
    <row r="3694" customFormat="false" ht="15" hidden="false" customHeight="false" outlineLevel="0" collapsed="false">
      <c r="A3694" s="45" t="n">
        <v>46309</v>
      </c>
      <c r="B3694" s="0" t="n">
        <v>16</v>
      </c>
      <c r="C3694" s="0" t="n">
        <v>8159</v>
      </c>
      <c r="E3694" s="0" t="n">
        <v>0</v>
      </c>
      <c r="F3694" s="39" t="s">
        <v>1636</v>
      </c>
      <c r="I3694" s="39" t="s">
        <v>136</v>
      </c>
      <c r="U3694" s="0" t="n">
        <v>19</v>
      </c>
      <c r="V3694" s="0" t="n">
        <v>0</v>
      </c>
      <c r="W3694" s="39" t="n">
        <f aca="false">IF(I3694="Male",0,1)</f>
        <v>1</v>
      </c>
      <c r="X3694" s="39" t="n">
        <f aca="false">IF(OR(I3694="DNB",I3694="Dry DNB"),1,0)</f>
        <v>0</v>
      </c>
      <c r="Y3694" s="39" t="n">
        <f aca="false">MATCH(A3694,DATAS,0)</f>
        <v>1</v>
      </c>
      <c r="Z3694" s="39" t="n">
        <f aca="false">IF(AND(E3694&gt;0,OR(AND(B3694&gt;=1,B3694&lt;=6),B3694=10)),1,0)</f>
        <v>0</v>
      </c>
      <c r="AA3694" s="39" t="n">
        <f aca="false">IF(AND(E3694&gt;0,B3694=10),1,0)</f>
        <v>0</v>
      </c>
      <c r="AB3694" s="0" t="str">
        <f aca="false">IF(AND(C3693=C3694,Y3693=Y3694-1),Z3693,"")</f>
        <v/>
      </c>
      <c r="AC3694" s="0" t="str">
        <f aca="false">IF(AND(C3693=C3694,Y3693=Y3694-1),AA3693,"")</f>
        <v/>
      </c>
      <c r="AD3694" s="0" t="str">
        <f aca="false">IF(Y3694=1,"",IF(AND(Z3694=1,AB3694&lt;&gt;1),1,0))</f>
        <v/>
      </c>
      <c r="AE3694" s="0" t="str">
        <f aca="false">IF(Y3694=1,"",IF(AND(AA3694=1,AC3694&lt;&gt;1),1,0))</f>
        <v/>
      </c>
      <c r="AF3694" s="45" t="str">
        <f aca="false">IF(AND(E3694&gt;0,Y3694&lt;1,NOT(AND(C3695=C3694,Y3695=Y3694+1))),INDEX(DATAS,Y3694+1),"")</f>
        <v/>
      </c>
      <c r="AG3694" s="45" t="str">
        <f aca="false">IF(AND(AA3694=1,Y3694&lt;1),IF(AND(C3695=C3694,Y3695=Y3694+1),IF(AA3695=1,"",INDEX(DATAS,Y3694+1)),INDEX(DATAS,Y3694+1)),"")</f>
        <v/>
      </c>
    </row>
    <row r="3695" customFormat="false" ht="15" hidden="false" customHeight="false" outlineLevel="0" collapsed="false">
      <c r="A3695" s="45" t="n">
        <v>46309</v>
      </c>
      <c r="B3695" s="0" t="n">
        <v>16</v>
      </c>
      <c r="C3695" s="0" t="n">
        <v>8160</v>
      </c>
      <c r="E3695" s="0" t="n">
        <v>0</v>
      </c>
      <c r="F3695" s="39" t="s">
        <v>1636</v>
      </c>
      <c r="I3695" s="39" t="s">
        <v>136</v>
      </c>
      <c r="U3695" s="0" t="n">
        <v>19</v>
      </c>
      <c r="V3695" s="0" t="n">
        <v>0</v>
      </c>
      <c r="W3695" s="39" t="n">
        <f aca="false">IF(I3695="Male",0,1)</f>
        <v>1</v>
      </c>
      <c r="X3695" s="39" t="n">
        <f aca="false">IF(OR(I3695="DNB",I3695="Dry DNB"),1,0)</f>
        <v>0</v>
      </c>
      <c r="Y3695" s="39" t="n">
        <f aca="false">MATCH(A3695,DATAS,0)</f>
        <v>1</v>
      </c>
      <c r="Z3695" s="39" t="n">
        <f aca="false">IF(AND(E3695&gt;0,OR(AND(B3695&gt;=1,B3695&lt;=6),B3695=10)),1,0)</f>
        <v>0</v>
      </c>
      <c r="AA3695" s="39" t="n">
        <f aca="false">IF(AND(E3695&gt;0,B3695=10),1,0)</f>
        <v>0</v>
      </c>
      <c r="AB3695" s="0" t="str">
        <f aca="false">IF(AND(C3694=C3695,Y3694=Y3695-1),Z3694,"")</f>
        <v/>
      </c>
      <c r="AC3695" s="0" t="str">
        <f aca="false">IF(AND(C3694=C3695,Y3694=Y3695-1),AA3694,"")</f>
        <v/>
      </c>
      <c r="AD3695" s="0" t="str">
        <f aca="false">IF(Y3695=1,"",IF(AND(Z3695=1,AB3695&lt;&gt;1),1,0))</f>
        <v/>
      </c>
      <c r="AE3695" s="0" t="str">
        <f aca="false">IF(Y3695=1,"",IF(AND(AA3695=1,AC3695&lt;&gt;1),1,0))</f>
        <v/>
      </c>
      <c r="AF3695" s="45" t="str">
        <f aca="false">IF(AND(E3695&gt;0,Y3695&lt;1,NOT(AND(C3696=C3695,Y3696=Y3695+1))),INDEX(DATAS,Y3695+1),"")</f>
        <v/>
      </c>
      <c r="AG3695" s="45" t="str">
        <f aca="false">IF(AND(AA3695=1,Y3695&lt;1),IF(AND(C3696=C3695,Y3696=Y3695+1),IF(AA3696=1,"",INDEX(DATAS,Y3695+1)),INDEX(DATAS,Y3695+1)),"")</f>
        <v/>
      </c>
    </row>
    <row r="3696" customFormat="false" ht="15" hidden="false" customHeight="false" outlineLevel="0" collapsed="false">
      <c r="A3696" s="45" t="n">
        <v>46309</v>
      </c>
      <c r="B3696" s="0" t="n">
        <v>16</v>
      </c>
      <c r="C3696" s="0" t="n">
        <v>8161</v>
      </c>
      <c r="E3696" s="0" t="n">
        <v>0</v>
      </c>
      <c r="F3696" s="39" t="s">
        <v>1636</v>
      </c>
      <c r="I3696" s="39" t="s">
        <v>136</v>
      </c>
      <c r="U3696" s="0" t="n">
        <v>19</v>
      </c>
      <c r="V3696" s="0" t="n">
        <v>0</v>
      </c>
      <c r="W3696" s="39" t="n">
        <f aca="false">IF(I3696="Male",0,1)</f>
        <v>1</v>
      </c>
      <c r="X3696" s="39" t="n">
        <f aca="false">IF(OR(I3696="DNB",I3696="Dry DNB"),1,0)</f>
        <v>0</v>
      </c>
      <c r="Y3696" s="39" t="n">
        <f aca="false">MATCH(A3696,DATAS,0)</f>
        <v>1</v>
      </c>
      <c r="Z3696" s="39" t="n">
        <f aca="false">IF(AND(E3696&gt;0,OR(AND(B3696&gt;=1,B3696&lt;=6),B3696=10)),1,0)</f>
        <v>0</v>
      </c>
      <c r="AA3696" s="39" t="n">
        <f aca="false">IF(AND(E3696&gt;0,B3696=10),1,0)</f>
        <v>0</v>
      </c>
      <c r="AB3696" s="0" t="str">
        <f aca="false">IF(AND(C3695=C3696,Y3695=Y3696-1),Z3695,"")</f>
        <v/>
      </c>
      <c r="AC3696" s="0" t="str">
        <f aca="false">IF(AND(C3695=C3696,Y3695=Y3696-1),AA3695,"")</f>
        <v/>
      </c>
      <c r="AD3696" s="0" t="str">
        <f aca="false">IF(Y3696=1,"",IF(AND(Z3696=1,AB3696&lt;&gt;1),1,0))</f>
        <v/>
      </c>
      <c r="AE3696" s="0" t="str">
        <f aca="false">IF(Y3696=1,"",IF(AND(AA3696=1,AC3696&lt;&gt;1),1,0))</f>
        <v/>
      </c>
      <c r="AF3696" s="45" t="str">
        <f aca="false">IF(AND(E3696&gt;0,Y3696&lt;1,NOT(AND(C3697=C3696,Y3697=Y3696+1))),INDEX(DATAS,Y3696+1),"")</f>
        <v/>
      </c>
      <c r="AG3696" s="45" t="str">
        <f aca="false">IF(AND(AA3696=1,Y3696&lt;1),IF(AND(C3697=C3696,Y3697=Y3696+1),IF(AA3697=1,"",INDEX(DATAS,Y3696+1)),INDEX(DATAS,Y3696+1)),"")</f>
        <v/>
      </c>
    </row>
    <row r="3697" customFormat="false" ht="15" hidden="false" customHeight="false" outlineLevel="0" collapsed="false">
      <c r="A3697" s="45" t="n">
        <v>46309</v>
      </c>
      <c r="B3697" s="0" t="n">
        <v>16</v>
      </c>
      <c r="C3697" s="0" t="n">
        <v>8162</v>
      </c>
      <c r="E3697" s="0" t="n">
        <v>0</v>
      </c>
      <c r="F3697" s="39" t="s">
        <v>1637</v>
      </c>
      <c r="I3697" s="39" t="s">
        <v>136</v>
      </c>
      <c r="U3697" s="0" t="n">
        <v>18</v>
      </c>
      <c r="V3697" s="0" t="n">
        <v>0</v>
      </c>
      <c r="W3697" s="39" t="n">
        <f aca="false">IF(I3697="Male",0,1)</f>
        <v>1</v>
      </c>
      <c r="X3697" s="39" t="n">
        <f aca="false">IF(OR(I3697="DNB",I3697="Dry DNB"),1,0)</f>
        <v>0</v>
      </c>
      <c r="Y3697" s="39" t="n">
        <f aca="false">MATCH(A3697,DATAS,0)</f>
        <v>1</v>
      </c>
      <c r="Z3697" s="39" t="n">
        <f aca="false">IF(AND(E3697&gt;0,OR(AND(B3697&gt;=1,B3697&lt;=6),B3697=10)),1,0)</f>
        <v>0</v>
      </c>
      <c r="AA3697" s="39" t="n">
        <f aca="false">IF(AND(E3697&gt;0,B3697=10),1,0)</f>
        <v>0</v>
      </c>
      <c r="AB3697" s="0" t="str">
        <f aca="false">IF(AND(C3696=C3697,Y3696=Y3697-1),Z3696,"")</f>
        <v/>
      </c>
      <c r="AC3697" s="0" t="str">
        <f aca="false">IF(AND(C3696=C3697,Y3696=Y3697-1),AA3696,"")</f>
        <v/>
      </c>
      <c r="AD3697" s="0" t="str">
        <f aca="false">IF(Y3697=1,"",IF(AND(Z3697=1,AB3697&lt;&gt;1),1,0))</f>
        <v/>
      </c>
      <c r="AE3697" s="0" t="str">
        <f aca="false">IF(Y3697=1,"",IF(AND(AA3697=1,AC3697&lt;&gt;1),1,0))</f>
        <v/>
      </c>
      <c r="AF3697" s="45" t="str">
        <f aca="false">IF(AND(E3697&gt;0,Y3697&lt;1,NOT(AND(C3698=C3697,Y3698=Y3697+1))),INDEX(DATAS,Y3697+1),"")</f>
        <v/>
      </c>
      <c r="AG3697" s="45" t="str">
        <f aca="false">IF(AND(AA3697=1,Y3697&lt;1),IF(AND(C3698=C3697,Y3698=Y3697+1),IF(AA3698=1,"",INDEX(DATAS,Y3697+1)),INDEX(DATAS,Y3697+1)),"")</f>
        <v/>
      </c>
    </row>
    <row r="3698" customFormat="false" ht="15" hidden="false" customHeight="false" outlineLevel="0" collapsed="false">
      <c r="A3698" s="45" t="n">
        <v>46309</v>
      </c>
      <c r="B3698" s="0" t="n">
        <v>16</v>
      </c>
      <c r="C3698" s="0" t="n">
        <v>8164</v>
      </c>
      <c r="E3698" s="0" t="n">
        <v>0</v>
      </c>
      <c r="F3698" s="39" t="s">
        <v>1637</v>
      </c>
      <c r="I3698" s="39" t="s">
        <v>136</v>
      </c>
      <c r="U3698" s="0" t="n">
        <v>18</v>
      </c>
      <c r="V3698" s="0" t="n">
        <v>0</v>
      </c>
      <c r="W3698" s="39" t="n">
        <f aca="false">IF(I3698="Male",0,1)</f>
        <v>1</v>
      </c>
      <c r="X3698" s="39" t="n">
        <f aca="false">IF(OR(I3698="DNB",I3698="Dry DNB"),1,0)</f>
        <v>0</v>
      </c>
      <c r="Y3698" s="39" t="n">
        <f aca="false">MATCH(A3698,DATAS,0)</f>
        <v>1</v>
      </c>
      <c r="Z3698" s="39" t="n">
        <f aca="false">IF(AND(E3698&gt;0,OR(AND(B3698&gt;=1,B3698&lt;=6),B3698=10)),1,0)</f>
        <v>0</v>
      </c>
      <c r="AA3698" s="39" t="n">
        <f aca="false">IF(AND(E3698&gt;0,B3698=10),1,0)</f>
        <v>0</v>
      </c>
      <c r="AB3698" s="0" t="str">
        <f aca="false">IF(AND(C3697=C3698,Y3697=Y3698-1),Z3697,"")</f>
        <v/>
      </c>
      <c r="AC3698" s="0" t="str">
        <f aca="false">IF(AND(C3697=C3698,Y3697=Y3698-1),AA3697,"")</f>
        <v/>
      </c>
      <c r="AD3698" s="0" t="str">
        <f aca="false">IF(Y3698=1,"",IF(AND(Z3698=1,AB3698&lt;&gt;1),1,0))</f>
        <v/>
      </c>
      <c r="AE3698" s="0" t="str">
        <f aca="false">IF(Y3698=1,"",IF(AND(AA3698=1,AC3698&lt;&gt;1),1,0))</f>
        <v/>
      </c>
      <c r="AF3698" s="45" t="str">
        <f aca="false">IF(AND(E3698&gt;0,Y3698&lt;1,NOT(AND(C3699=C3698,Y3699=Y3698+1))),INDEX(DATAS,Y3698+1),"")</f>
        <v/>
      </c>
      <c r="AG3698" s="45" t="str">
        <f aca="false">IF(AND(AA3698=1,Y3698&lt;1),IF(AND(C3699=C3698,Y3699=Y3698+1),IF(AA3699=1,"",INDEX(DATAS,Y3698+1)),INDEX(DATAS,Y3698+1)),"")</f>
        <v/>
      </c>
    </row>
    <row r="3699" customFormat="false" ht="15" hidden="false" customHeight="false" outlineLevel="0" collapsed="false">
      <c r="A3699" s="45" t="n">
        <v>46309</v>
      </c>
      <c r="B3699" s="0" t="n">
        <v>16</v>
      </c>
      <c r="C3699" s="0" t="n">
        <v>8165</v>
      </c>
      <c r="E3699" s="0" t="n">
        <v>0</v>
      </c>
      <c r="F3699" s="39" t="s">
        <v>1637</v>
      </c>
      <c r="I3699" s="39" t="s">
        <v>136</v>
      </c>
      <c r="U3699" s="0" t="n">
        <v>18</v>
      </c>
      <c r="V3699" s="0" t="n">
        <v>0</v>
      </c>
      <c r="W3699" s="39" t="n">
        <f aca="false">IF(I3699="Male",0,1)</f>
        <v>1</v>
      </c>
      <c r="X3699" s="39" t="n">
        <f aca="false">IF(OR(I3699="DNB",I3699="Dry DNB"),1,0)</f>
        <v>0</v>
      </c>
      <c r="Y3699" s="39" t="n">
        <f aca="false">MATCH(A3699,DATAS,0)</f>
        <v>1</v>
      </c>
      <c r="Z3699" s="39" t="n">
        <f aca="false">IF(AND(E3699&gt;0,OR(AND(B3699&gt;=1,B3699&lt;=6),B3699=10)),1,0)</f>
        <v>0</v>
      </c>
      <c r="AA3699" s="39" t="n">
        <f aca="false">IF(AND(E3699&gt;0,B3699=10),1,0)</f>
        <v>0</v>
      </c>
      <c r="AB3699" s="0" t="str">
        <f aca="false">IF(AND(C3698=C3699,Y3698=Y3699-1),Z3698,"")</f>
        <v/>
      </c>
      <c r="AC3699" s="0" t="str">
        <f aca="false">IF(AND(C3698=C3699,Y3698=Y3699-1),AA3698,"")</f>
        <v/>
      </c>
      <c r="AD3699" s="0" t="str">
        <f aca="false">IF(Y3699=1,"",IF(AND(Z3699=1,AB3699&lt;&gt;1),1,0))</f>
        <v/>
      </c>
      <c r="AE3699" s="0" t="str">
        <f aca="false">IF(Y3699=1,"",IF(AND(AA3699=1,AC3699&lt;&gt;1),1,0))</f>
        <v/>
      </c>
      <c r="AF3699" s="45" t="str">
        <f aca="false">IF(AND(E3699&gt;0,Y3699&lt;1,NOT(AND(C3700=C3699,Y3700=Y3699+1))),INDEX(DATAS,Y3699+1),"")</f>
        <v/>
      </c>
      <c r="AG3699" s="45" t="str">
        <f aca="false">IF(AND(AA3699=1,Y3699&lt;1),IF(AND(C3700=C3699,Y3700=Y3699+1),IF(AA3700=1,"",INDEX(DATAS,Y3699+1)),INDEX(DATAS,Y3699+1)),"")</f>
        <v/>
      </c>
    </row>
    <row r="3700" customFormat="false" ht="15" hidden="false" customHeight="false" outlineLevel="0" collapsed="false">
      <c r="A3700" s="45" t="n">
        <v>46309</v>
      </c>
      <c r="B3700" s="0" t="n">
        <v>16</v>
      </c>
      <c r="C3700" s="0" t="n">
        <v>8166</v>
      </c>
      <c r="E3700" s="0" t="n">
        <v>0</v>
      </c>
      <c r="F3700" s="39" t="s">
        <v>1638</v>
      </c>
      <c r="I3700" s="39" t="s">
        <v>136</v>
      </c>
      <c r="U3700" s="0" t="n">
        <v>17</v>
      </c>
      <c r="V3700" s="0" t="n">
        <v>0</v>
      </c>
      <c r="W3700" s="39" t="n">
        <f aca="false">IF(I3700="Male",0,1)</f>
        <v>1</v>
      </c>
      <c r="X3700" s="39" t="n">
        <f aca="false">IF(OR(I3700="DNB",I3700="Dry DNB"),1,0)</f>
        <v>0</v>
      </c>
      <c r="Y3700" s="39" t="n">
        <f aca="false">MATCH(A3700,DATAS,0)</f>
        <v>1</v>
      </c>
      <c r="Z3700" s="39" t="n">
        <f aca="false">IF(AND(E3700&gt;0,OR(AND(B3700&gt;=1,B3700&lt;=6),B3700=10)),1,0)</f>
        <v>0</v>
      </c>
      <c r="AA3700" s="39" t="n">
        <f aca="false">IF(AND(E3700&gt;0,B3700=10),1,0)</f>
        <v>0</v>
      </c>
      <c r="AB3700" s="0" t="str">
        <f aca="false">IF(AND(C3699=C3700,Y3699=Y3700-1),Z3699,"")</f>
        <v/>
      </c>
      <c r="AC3700" s="0" t="str">
        <f aca="false">IF(AND(C3699=C3700,Y3699=Y3700-1),AA3699,"")</f>
        <v/>
      </c>
      <c r="AD3700" s="0" t="str">
        <f aca="false">IF(Y3700=1,"",IF(AND(Z3700=1,AB3700&lt;&gt;1),1,0))</f>
        <v/>
      </c>
      <c r="AE3700" s="0" t="str">
        <f aca="false">IF(Y3700=1,"",IF(AND(AA3700=1,AC3700&lt;&gt;1),1,0))</f>
        <v/>
      </c>
      <c r="AF3700" s="45" t="str">
        <f aca="false">IF(AND(E3700&gt;0,Y3700&lt;1,NOT(AND(C3701=C3700,Y3701=Y3700+1))),INDEX(DATAS,Y3700+1),"")</f>
        <v/>
      </c>
      <c r="AG3700" s="45" t="str">
        <f aca="false">IF(AND(AA3700=1,Y3700&lt;1),IF(AND(C3701=C3700,Y3701=Y3700+1),IF(AA3701=1,"",INDEX(DATAS,Y3700+1)),INDEX(DATAS,Y3700+1)),"")</f>
        <v/>
      </c>
    </row>
    <row r="3701" customFormat="false" ht="15" hidden="false" customHeight="false" outlineLevel="0" collapsed="false">
      <c r="A3701" s="45" t="n">
        <v>46309</v>
      </c>
      <c r="B3701" s="0" t="n">
        <v>16</v>
      </c>
      <c r="C3701" s="0" t="n">
        <v>8167</v>
      </c>
      <c r="E3701" s="0" t="n">
        <v>0</v>
      </c>
      <c r="F3701" s="39" t="s">
        <v>1638</v>
      </c>
      <c r="I3701" s="39" t="s">
        <v>136</v>
      </c>
      <c r="U3701" s="0" t="n">
        <v>17</v>
      </c>
      <c r="V3701" s="0" t="n">
        <v>0</v>
      </c>
      <c r="W3701" s="39" t="n">
        <f aca="false">IF(I3701="Male",0,1)</f>
        <v>1</v>
      </c>
      <c r="X3701" s="39" t="n">
        <f aca="false">IF(OR(I3701="DNB",I3701="Dry DNB"),1,0)</f>
        <v>0</v>
      </c>
      <c r="Y3701" s="39" t="n">
        <f aca="false">MATCH(A3701,DATAS,0)</f>
        <v>1</v>
      </c>
      <c r="Z3701" s="39" t="n">
        <f aca="false">IF(AND(E3701&gt;0,OR(AND(B3701&gt;=1,B3701&lt;=6),B3701=10)),1,0)</f>
        <v>0</v>
      </c>
      <c r="AA3701" s="39" t="n">
        <f aca="false">IF(AND(E3701&gt;0,B3701=10),1,0)</f>
        <v>0</v>
      </c>
      <c r="AB3701" s="0" t="str">
        <f aca="false">IF(AND(C3700=C3701,Y3700=Y3701-1),Z3700,"")</f>
        <v/>
      </c>
      <c r="AC3701" s="0" t="str">
        <f aca="false">IF(AND(C3700=C3701,Y3700=Y3701-1),AA3700,"")</f>
        <v/>
      </c>
      <c r="AD3701" s="0" t="str">
        <f aca="false">IF(Y3701=1,"",IF(AND(Z3701=1,AB3701&lt;&gt;1),1,0))</f>
        <v/>
      </c>
      <c r="AE3701" s="0" t="str">
        <f aca="false">IF(Y3701=1,"",IF(AND(AA3701=1,AC3701&lt;&gt;1),1,0))</f>
        <v/>
      </c>
      <c r="AF3701" s="45" t="str">
        <f aca="false">IF(AND(E3701&gt;0,Y3701&lt;1,NOT(AND(C3702=C3701,Y3702=Y3701+1))),INDEX(DATAS,Y3701+1),"")</f>
        <v/>
      </c>
      <c r="AG3701" s="45" t="str">
        <f aca="false">IF(AND(AA3701=1,Y3701&lt;1),IF(AND(C3702=C3701,Y3702=Y3701+1),IF(AA3702=1,"",INDEX(DATAS,Y3701+1)),INDEX(DATAS,Y3701+1)),"")</f>
        <v/>
      </c>
    </row>
    <row r="3702" customFormat="false" ht="15" hidden="false" customHeight="false" outlineLevel="0" collapsed="false">
      <c r="A3702" s="45" t="n">
        <v>46309</v>
      </c>
      <c r="B3702" s="0" t="n">
        <v>16</v>
      </c>
      <c r="C3702" s="0" t="n">
        <v>8170</v>
      </c>
      <c r="E3702" s="0" t="n">
        <v>0</v>
      </c>
      <c r="F3702" s="39" t="s">
        <v>1639</v>
      </c>
      <c r="I3702" s="39" t="s">
        <v>136</v>
      </c>
      <c r="U3702" s="0" t="n">
        <v>15</v>
      </c>
      <c r="V3702" s="0" t="n">
        <v>0</v>
      </c>
      <c r="W3702" s="39" t="n">
        <f aca="false">IF(I3702="Male",0,1)</f>
        <v>1</v>
      </c>
      <c r="X3702" s="39" t="n">
        <f aca="false">IF(OR(I3702="DNB",I3702="Dry DNB"),1,0)</f>
        <v>0</v>
      </c>
      <c r="Y3702" s="39" t="n">
        <f aca="false">MATCH(A3702,DATAS,0)</f>
        <v>1</v>
      </c>
      <c r="Z3702" s="39" t="n">
        <f aca="false">IF(AND(E3702&gt;0,OR(AND(B3702&gt;=1,B3702&lt;=6),B3702=10)),1,0)</f>
        <v>0</v>
      </c>
      <c r="AA3702" s="39" t="n">
        <f aca="false">IF(AND(E3702&gt;0,B3702=10),1,0)</f>
        <v>0</v>
      </c>
      <c r="AB3702" s="0" t="str">
        <f aca="false">IF(AND(C3701=C3702,Y3701=Y3702-1),Z3701,"")</f>
        <v/>
      </c>
      <c r="AC3702" s="0" t="str">
        <f aca="false">IF(AND(C3701=C3702,Y3701=Y3702-1),AA3701,"")</f>
        <v/>
      </c>
      <c r="AD3702" s="0" t="str">
        <f aca="false">IF(Y3702=1,"",IF(AND(Z3702=1,AB3702&lt;&gt;1),1,0))</f>
        <v/>
      </c>
      <c r="AE3702" s="0" t="str">
        <f aca="false">IF(Y3702=1,"",IF(AND(AA3702=1,AC3702&lt;&gt;1),1,0))</f>
        <v/>
      </c>
      <c r="AF3702" s="45" t="str">
        <f aca="false">IF(AND(E3702&gt;0,Y3702&lt;1,NOT(AND(C3703=C3702,Y3703=Y3702+1))),INDEX(DATAS,Y3702+1),"")</f>
        <v/>
      </c>
      <c r="AG3702" s="45" t="str">
        <f aca="false">IF(AND(AA3702=1,Y3702&lt;1),IF(AND(C3703=C3702,Y3703=Y3702+1),IF(AA3703=1,"",INDEX(DATAS,Y3702+1)),INDEX(DATAS,Y3702+1)),"")</f>
        <v/>
      </c>
    </row>
    <row r="3703" customFormat="false" ht="15" hidden="false" customHeight="false" outlineLevel="0" collapsed="false">
      <c r="A3703" s="45" t="n">
        <v>46309</v>
      </c>
      <c r="B3703" s="0" t="n">
        <v>16</v>
      </c>
      <c r="C3703" s="0" t="n">
        <v>8173</v>
      </c>
      <c r="E3703" s="0" t="n">
        <v>0</v>
      </c>
      <c r="F3703" s="39" t="s">
        <v>1639</v>
      </c>
      <c r="I3703" s="39" t="s">
        <v>136</v>
      </c>
      <c r="U3703" s="0" t="n">
        <v>15</v>
      </c>
      <c r="V3703" s="0" t="n">
        <v>0</v>
      </c>
      <c r="W3703" s="39" t="n">
        <f aca="false">IF(I3703="Male",0,1)</f>
        <v>1</v>
      </c>
      <c r="X3703" s="39" t="n">
        <f aca="false">IF(OR(I3703="DNB",I3703="Dry DNB"),1,0)</f>
        <v>0</v>
      </c>
      <c r="Y3703" s="39" t="n">
        <f aca="false">MATCH(A3703,DATAS,0)</f>
        <v>1</v>
      </c>
      <c r="Z3703" s="39" t="n">
        <f aca="false">IF(AND(E3703&gt;0,OR(AND(B3703&gt;=1,B3703&lt;=6),B3703=10)),1,0)</f>
        <v>0</v>
      </c>
      <c r="AA3703" s="39" t="n">
        <f aca="false">IF(AND(E3703&gt;0,B3703=10),1,0)</f>
        <v>0</v>
      </c>
      <c r="AB3703" s="0" t="str">
        <f aca="false">IF(AND(C3702=C3703,Y3702=Y3703-1),Z3702,"")</f>
        <v/>
      </c>
      <c r="AC3703" s="0" t="str">
        <f aca="false">IF(AND(C3702=C3703,Y3702=Y3703-1),AA3702,"")</f>
        <v/>
      </c>
      <c r="AD3703" s="0" t="str">
        <f aca="false">IF(Y3703=1,"",IF(AND(Z3703=1,AB3703&lt;&gt;1),1,0))</f>
        <v/>
      </c>
      <c r="AE3703" s="0" t="str">
        <f aca="false">IF(Y3703=1,"",IF(AND(AA3703=1,AC3703&lt;&gt;1),1,0))</f>
        <v/>
      </c>
      <c r="AF3703" s="45" t="str">
        <f aca="false">IF(AND(E3703&gt;0,Y3703&lt;1,NOT(AND(C3704=C3703,Y3704=Y3703+1))),INDEX(DATAS,Y3703+1),"")</f>
        <v/>
      </c>
      <c r="AG3703" s="45" t="str">
        <f aca="false">IF(AND(AA3703=1,Y3703&lt;1),IF(AND(C3704=C3703,Y3704=Y3703+1),IF(AA3704=1,"",INDEX(DATAS,Y3703+1)),INDEX(DATAS,Y3703+1)),"")</f>
        <v/>
      </c>
    </row>
    <row r="3704" customFormat="false" ht="15" hidden="false" customHeight="false" outlineLevel="0" collapsed="false">
      <c r="A3704" s="45" t="n">
        <v>46309</v>
      </c>
      <c r="B3704" s="0" t="n">
        <v>16</v>
      </c>
      <c r="C3704" s="0" t="n">
        <v>8174</v>
      </c>
      <c r="E3704" s="0" t="n">
        <v>0</v>
      </c>
      <c r="F3704" s="39" t="s">
        <v>1639</v>
      </c>
      <c r="I3704" s="39" t="s">
        <v>136</v>
      </c>
      <c r="U3704" s="0" t="n">
        <v>15</v>
      </c>
      <c r="V3704" s="0" t="n">
        <v>0</v>
      </c>
      <c r="W3704" s="39" t="n">
        <f aca="false">IF(I3704="Male",0,1)</f>
        <v>1</v>
      </c>
      <c r="X3704" s="39" t="n">
        <f aca="false">IF(OR(I3704="DNB",I3704="Dry DNB"),1,0)</f>
        <v>0</v>
      </c>
      <c r="Y3704" s="39" t="n">
        <f aca="false">MATCH(A3704,DATAS,0)</f>
        <v>1</v>
      </c>
      <c r="Z3704" s="39" t="n">
        <f aca="false">IF(AND(E3704&gt;0,OR(AND(B3704&gt;=1,B3704&lt;=6),B3704=10)),1,0)</f>
        <v>0</v>
      </c>
      <c r="AA3704" s="39" t="n">
        <f aca="false">IF(AND(E3704&gt;0,B3704=10),1,0)</f>
        <v>0</v>
      </c>
      <c r="AB3704" s="0" t="str">
        <f aca="false">IF(AND(C3703=C3704,Y3703=Y3704-1),Z3703,"")</f>
        <v/>
      </c>
      <c r="AC3704" s="0" t="str">
        <f aca="false">IF(AND(C3703=C3704,Y3703=Y3704-1),AA3703,"")</f>
        <v/>
      </c>
      <c r="AD3704" s="0" t="str">
        <f aca="false">IF(Y3704=1,"",IF(AND(Z3704=1,AB3704&lt;&gt;1),1,0))</f>
        <v/>
      </c>
      <c r="AE3704" s="0" t="str">
        <f aca="false">IF(Y3704=1,"",IF(AND(AA3704=1,AC3704&lt;&gt;1),1,0))</f>
        <v/>
      </c>
      <c r="AF3704" s="45" t="str">
        <f aca="false">IF(AND(E3704&gt;0,Y3704&lt;1,NOT(AND(C3705=C3704,Y3705=Y3704+1))),INDEX(DATAS,Y3704+1),"")</f>
        <v/>
      </c>
      <c r="AG3704" s="45" t="str">
        <f aca="false">IF(AND(AA3704=1,Y3704&lt;1),IF(AND(C3705=C3704,Y3705=Y3704+1),IF(AA3705=1,"",INDEX(DATAS,Y3704+1)),INDEX(DATAS,Y3704+1)),"")</f>
        <v/>
      </c>
    </row>
    <row r="3705" customFormat="false" ht="15" hidden="false" customHeight="false" outlineLevel="0" collapsed="false">
      <c r="A3705" s="45" t="n">
        <v>46309</v>
      </c>
      <c r="B3705" s="0" t="n">
        <v>16</v>
      </c>
      <c r="C3705" s="0" t="n">
        <v>8175</v>
      </c>
      <c r="E3705" s="0" t="n">
        <v>0</v>
      </c>
      <c r="F3705" s="39" t="s">
        <v>1639</v>
      </c>
      <c r="I3705" s="39" t="s">
        <v>136</v>
      </c>
      <c r="U3705" s="0" t="n">
        <v>15</v>
      </c>
      <c r="V3705" s="0" t="n">
        <v>0</v>
      </c>
      <c r="W3705" s="39" t="n">
        <f aca="false">IF(I3705="Male",0,1)</f>
        <v>1</v>
      </c>
      <c r="X3705" s="39" t="n">
        <f aca="false">IF(OR(I3705="DNB",I3705="Dry DNB"),1,0)</f>
        <v>0</v>
      </c>
      <c r="Y3705" s="39" t="n">
        <f aca="false">MATCH(A3705,DATAS,0)</f>
        <v>1</v>
      </c>
      <c r="Z3705" s="39" t="n">
        <f aca="false">IF(AND(E3705&gt;0,OR(AND(B3705&gt;=1,B3705&lt;=6),B3705=10)),1,0)</f>
        <v>0</v>
      </c>
      <c r="AA3705" s="39" t="n">
        <f aca="false">IF(AND(E3705&gt;0,B3705=10),1,0)</f>
        <v>0</v>
      </c>
      <c r="AB3705" s="0" t="str">
        <f aca="false">IF(AND(C3704=C3705,Y3704=Y3705-1),Z3704,"")</f>
        <v/>
      </c>
      <c r="AC3705" s="0" t="str">
        <f aca="false">IF(AND(C3704=C3705,Y3704=Y3705-1),AA3704,"")</f>
        <v/>
      </c>
      <c r="AD3705" s="0" t="str">
        <f aca="false">IF(Y3705=1,"",IF(AND(Z3705=1,AB3705&lt;&gt;1),1,0))</f>
        <v/>
      </c>
      <c r="AE3705" s="0" t="str">
        <f aca="false">IF(Y3705=1,"",IF(AND(AA3705=1,AC3705&lt;&gt;1),1,0))</f>
        <v/>
      </c>
      <c r="AF3705" s="45" t="str">
        <f aca="false">IF(AND(E3705&gt;0,Y3705&lt;1,NOT(AND(C3706=C3705,Y3706=Y3705+1))),INDEX(DATAS,Y3705+1),"")</f>
        <v/>
      </c>
      <c r="AG3705" s="45" t="str">
        <f aca="false">IF(AND(AA3705=1,Y3705&lt;1),IF(AND(C3706=C3705,Y3706=Y3705+1),IF(AA3706=1,"",INDEX(DATAS,Y3705+1)),INDEX(DATAS,Y3705+1)),"")</f>
        <v/>
      </c>
    </row>
    <row r="3706" customFormat="false" ht="15" hidden="false" customHeight="false" outlineLevel="0" collapsed="false">
      <c r="A3706" s="45" t="n">
        <v>46309</v>
      </c>
      <c r="B3706" s="0" t="n">
        <v>16</v>
      </c>
      <c r="C3706" s="0" t="n">
        <v>8176</v>
      </c>
      <c r="E3706" s="0" t="n">
        <v>0</v>
      </c>
      <c r="F3706" s="39" t="s">
        <v>1639</v>
      </c>
      <c r="I3706" s="39" t="s">
        <v>136</v>
      </c>
      <c r="U3706" s="0" t="n">
        <v>15</v>
      </c>
      <c r="V3706" s="0" t="n">
        <v>0</v>
      </c>
      <c r="W3706" s="39" t="n">
        <f aca="false">IF(I3706="Male",0,1)</f>
        <v>1</v>
      </c>
      <c r="X3706" s="39" t="n">
        <f aca="false">IF(OR(I3706="DNB",I3706="Dry DNB"),1,0)</f>
        <v>0</v>
      </c>
      <c r="Y3706" s="39" t="n">
        <f aca="false">MATCH(A3706,DATAS,0)</f>
        <v>1</v>
      </c>
      <c r="Z3706" s="39" t="n">
        <f aca="false">IF(AND(E3706&gt;0,OR(AND(B3706&gt;=1,B3706&lt;=6),B3706=10)),1,0)</f>
        <v>0</v>
      </c>
      <c r="AA3706" s="39" t="n">
        <f aca="false">IF(AND(E3706&gt;0,B3706=10),1,0)</f>
        <v>0</v>
      </c>
      <c r="AB3706" s="0" t="str">
        <f aca="false">IF(AND(C3705=C3706,Y3705=Y3706-1),Z3705,"")</f>
        <v/>
      </c>
      <c r="AC3706" s="0" t="str">
        <f aca="false">IF(AND(C3705=C3706,Y3705=Y3706-1),AA3705,"")</f>
        <v/>
      </c>
      <c r="AD3706" s="0" t="str">
        <f aca="false">IF(Y3706=1,"",IF(AND(Z3706=1,AB3706&lt;&gt;1),1,0))</f>
        <v/>
      </c>
      <c r="AE3706" s="0" t="str">
        <f aca="false">IF(Y3706=1,"",IF(AND(AA3706=1,AC3706&lt;&gt;1),1,0))</f>
        <v/>
      </c>
      <c r="AF3706" s="45" t="str">
        <f aca="false">IF(AND(E3706&gt;0,Y3706&lt;1,NOT(AND(C3707=C3706,Y3707=Y3706+1))),INDEX(DATAS,Y3706+1),"")</f>
        <v/>
      </c>
      <c r="AG3706" s="45" t="str">
        <f aca="false">IF(AND(AA3706=1,Y3706&lt;1),IF(AND(C3707=C3706,Y3707=Y3706+1),IF(AA3707=1,"",INDEX(DATAS,Y3706+1)),INDEX(DATAS,Y3706+1)),"")</f>
        <v/>
      </c>
    </row>
    <row r="3707" customFormat="false" ht="15" hidden="false" customHeight="false" outlineLevel="0" collapsed="false">
      <c r="A3707" s="45" t="n">
        <v>46309</v>
      </c>
      <c r="B3707" s="0" t="n">
        <v>16</v>
      </c>
      <c r="C3707" s="0" t="n">
        <v>8177</v>
      </c>
      <c r="E3707" s="0" t="n">
        <v>0</v>
      </c>
      <c r="F3707" s="39" t="s">
        <v>1640</v>
      </c>
      <c r="I3707" s="39" t="s">
        <v>136</v>
      </c>
      <c r="U3707" s="0" t="n">
        <v>14</v>
      </c>
      <c r="V3707" s="0" t="n">
        <v>0</v>
      </c>
      <c r="W3707" s="39" t="n">
        <f aca="false">IF(I3707="Male",0,1)</f>
        <v>1</v>
      </c>
      <c r="X3707" s="39" t="n">
        <f aca="false">IF(OR(I3707="DNB",I3707="Dry DNB"),1,0)</f>
        <v>0</v>
      </c>
      <c r="Y3707" s="39" t="n">
        <f aca="false">MATCH(A3707,DATAS,0)</f>
        <v>1</v>
      </c>
      <c r="Z3707" s="39" t="n">
        <f aca="false">IF(AND(E3707&gt;0,OR(AND(B3707&gt;=1,B3707&lt;=6),B3707=10)),1,0)</f>
        <v>0</v>
      </c>
      <c r="AA3707" s="39" t="n">
        <f aca="false">IF(AND(E3707&gt;0,B3707=10),1,0)</f>
        <v>0</v>
      </c>
      <c r="AB3707" s="0" t="str">
        <f aca="false">IF(AND(C3706=C3707,Y3706=Y3707-1),Z3706,"")</f>
        <v/>
      </c>
      <c r="AC3707" s="0" t="str">
        <f aca="false">IF(AND(C3706=C3707,Y3706=Y3707-1),AA3706,"")</f>
        <v/>
      </c>
      <c r="AD3707" s="0" t="str">
        <f aca="false">IF(Y3707=1,"",IF(AND(Z3707=1,AB3707&lt;&gt;1),1,0))</f>
        <v/>
      </c>
      <c r="AE3707" s="0" t="str">
        <f aca="false">IF(Y3707=1,"",IF(AND(AA3707=1,AC3707&lt;&gt;1),1,0))</f>
        <v/>
      </c>
      <c r="AF3707" s="45" t="str">
        <f aca="false">IF(AND(E3707&gt;0,Y3707&lt;1,NOT(AND(C3708=C3707,Y3708=Y3707+1))),INDEX(DATAS,Y3707+1),"")</f>
        <v/>
      </c>
      <c r="AG3707" s="45" t="str">
        <f aca="false">IF(AND(AA3707=1,Y3707&lt;1),IF(AND(C3708=C3707,Y3708=Y3707+1),IF(AA3708=1,"",INDEX(DATAS,Y3707+1)),INDEX(DATAS,Y3707+1)),"")</f>
        <v/>
      </c>
    </row>
    <row r="3708" customFormat="false" ht="15" hidden="false" customHeight="false" outlineLevel="0" collapsed="false">
      <c r="A3708" s="45" t="n">
        <v>46309</v>
      </c>
      <c r="B3708" s="0" t="n">
        <v>16</v>
      </c>
      <c r="C3708" s="0" t="n">
        <v>8178</v>
      </c>
      <c r="E3708" s="0" t="n">
        <v>0</v>
      </c>
      <c r="F3708" s="39" t="s">
        <v>1640</v>
      </c>
      <c r="I3708" s="39" t="s">
        <v>136</v>
      </c>
      <c r="U3708" s="0" t="n">
        <v>14</v>
      </c>
      <c r="V3708" s="0" t="n">
        <v>0</v>
      </c>
      <c r="W3708" s="39" t="n">
        <f aca="false">IF(I3708="Male",0,1)</f>
        <v>1</v>
      </c>
      <c r="X3708" s="39" t="n">
        <f aca="false">IF(OR(I3708="DNB",I3708="Dry DNB"),1,0)</f>
        <v>0</v>
      </c>
      <c r="Y3708" s="39" t="n">
        <f aca="false">MATCH(A3708,DATAS,0)</f>
        <v>1</v>
      </c>
      <c r="Z3708" s="39" t="n">
        <f aca="false">IF(AND(E3708&gt;0,OR(AND(B3708&gt;=1,B3708&lt;=6),B3708=10)),1,0)</f>
        <v>0</v>
      </c>
      <c r="AA3708" s="39" t="n">
        <f aca="false">IF(AND(E3708&gt;0,B3708=10),1,0)</f>
        <v>0</v>
      </c>
      <c r="AB3708" s="0" t="str">
        <f aca="false">IF(AND(C3707=C3708,Y3707=Y3708-1),Z3707,"")</f>
        <v/>
      </c>
      <c r="AC3708" s="0" t="str">
        <f aca="false">IF(AND(C3707=C3708,Y3707=Y3708-1),AA3707,"")</f>
        <v/>
      </c>
      <c r="AD3708" s="0" t="str">
        <f aca="false">IF(Y3708=1,"",IF(AND(Z3708=1,AB3708&lt;&gt;1),1,0))</f>
        <v/>
      </c>
      <c r="AE3708" s="0" t="str">
        <f aca="false">IF(Y3708=1,"",IF(AND(AA3708=1,AC3708&lt;&gt;1),1,0))</f>
        <v/>
      </c>
      <c r="AF3708" s="45" t="str">
        <f aca="false">IF(AND(E3708&gt;0,Y3708&lt;1,NOT(AND(C3709=C3708,Y3709=Y3708+1))),INDEX(DATAS,Y3708+1),"")</f>
        <v/>
      </c>
      <c r="AG3708" s="45" t="str">
        <f aca="false">IF(AND(AA3708=1,Y3708&lt;1),IF(AND(C3709=C3708,Y3709=Y3708+1),IF(AA3709=1,"",INDEX(DATAS,Y3708+1)),INDEX(DATAS,Y3708+1)),"")</f>
        <v/>
      </c>
    </row>
    <row r="3709" customFormat="false" ht="15" hidden="false" customHeight="false" outlineLevel="0" collapsed="false">
      <c r="A3709" s="45" t="n">
        <v>46309</v>
      </c>
      <c r="B3709" s="0" t="n">
        <v>16</v>
      </c>
      <c r="C3709" s="0" t="n">
        <v>8179</v>
      </c>
      <c r="E3709" s="0" t="n">
        <v>0</v>
      </c>
      <c r="F3709" s="39" t="s">
        <v>1640</v>
      </c>
      <c r="I3709" s="39" t="s">
        <v>136</v>
      </c>
      <c r="U3709" s="0" t="n">
        <v>14</v>
      </c>
      <c r="V3709" s="0" t="n">
        <v>0</v>
      </c>
      <c r="W3709" s="39" t="n">
        <f aca="false">IF(I3709="Male",0,1)</f>
        <v>1</v>
      </c>
      <c r="X3709" s="39" t="n">
        <f aca="false">IF(OR(I3709="DNB",I3709="Dry DNB"),1,0)</f>
        <v>0</v>
      </c>
      <c r="Y3709" s="39" t="n">
        <f aca="false">MATCH(A3709,DATAS,0)</f>
        <v>1</v>
      </c>
      <c r="Z3709" s="39" t="n">
        <f aca="false">IF(AND(E3709&gt;0,OR(AND(B3709&gt;=1,B3709&lt;=6),B3709=10)),1,0)</f>
        <v>0</v>
      </c>
      <c r="AA3709" s="39" t="n">
        <f aca="false">IF(AND(E3709&gt;0,B3709=10),1,0)</f>
        <v>0</v>
      </c>
      <c r="AB3709" s="0" t="str">
        <f aca="false">IF(AND(C3708=C3709,Y3708=Y3709-1),Z3708,"")</f>
        <v/>
      </c>
      <c r="AC3709" s="0" t="str">
        <f aca="false">IF(AND(C3708=C3709,Y3708=Y3709-1),AA3708,"")</f>
        <v/>
      </c>
      <c r="AD3709" s="0" t="str">
        <f aca="false">IF(Y3709=1,"",IF(AND(Z3709=1,AB3709&lt;&gt;1),1,0))</f>
        <v/>
      </c>
      <c r="AE3709" s="0" t="str">
        <f aca="false">IF(Y3709=1,"",IF(AND(AA3709=1,AC3709&lt;&gt;1),1,0))</f>
        <v/>
      </c>
      <c r="AF3709" s="45" t="str">
        <f aca="false">IF(AND(E3709&gt;0,Y3709&lt;1,NOT(AND(C3710=C3709,Y3710=Y3709+1))),INDEX(DATAS,Y3709+1),"")</f>
        <v/>
      </c>
      <c r="AG3709" s="45" t="str">
        <f aca="false">IF(AND(AA3709=1,Y3709&lt;1),IF(AND(C3710=C3709,Y3710=Y3709+1),IF(AA3710=1,"",INDEX(DATAS,Y3709+1)),INDEX(DATAS,Y3709+1)),"")</f>
        <v/>
      </c>
    </row>
    <row r="3710" customFormat="false" ht="15" hidden="false" customHeight="false" outlineLevel="0" collapsed="false">
      <c r="A3710" s="45" t="n">
        <v>46309</v>
      </c>
      <c r="B3710" s="0" t="n">
        <v>16</v>
      </c>
      <c r="C3710" s="0" t="n">
        <v>8180</v>
      </c>
      <c r="E3710" s="0" t="n">
        <v>0</v>
      </c>
      <c r="F3710" s="39" t="s">
        <v>1641</v>
      </c>
      <c r="I3710" s="39" t="s">
        <v>136</v>
      </c>
      <c r="U3710" s="0" t="n">
        <v>13</v>
      </c>
      <c r="V3710" s="0" t="n">
        <v>0</v>
      </c>
      <c r="W3710" s="39" t="n">
        <f aca="false">IF(I3710="Male",0,1)</f>
        <v>1</v>
      </c>
      <c r="X3710" s="39" t="n">
        <f aca="false">IF(OR(I3710="DNB",I3710="Dry DNB"),1,0)</f>
        <v>0</v>
      </c>
      <c r="Y3710" s="39" t="n">
        <f aca="false">MATCH(A3710,DATAS,0)</f>
        <v>1</v>
      </c>
      <c r="Z3710" s="39" t="n">
        <f aca="false">IF(AND(E3710&gt;0,OR(AND(B3710&gt;=1,B3710&lt;=6),B3710=10)),1,0)</f>
        <v>0</v>
      </c>
      <c r="AA3710" s="39" t="n">
        <f aca="false">IF(AND(E3710&gt;0,B3710=10),1,0)</f>
        <v>0</v>
      </c>
      <c r="AB3710" s="0" t="str">
        <f aca="false">IF(AND(C3709=C3710,Y3709=Y3710-1),Z3709,"")</f>
        <v/>
      </c>
      <c r="AC3710" s="0" t="str">
        <f aca="false">IF(AND(C3709=C3710,Y3709=Y3710-1),AA3709,"")</f>
        <v/>
      </c>
      <c r="AD3710" s="0" t="str">
        <f aca="false">IF(Y3710=1,"",IF(AND(Z3710=1,AB3710&lt;&gt;1),1,0))</f>
        <v/>
      </c>
      <c r="AE3710" s="0" t="str">
        <f aca="false">IF(Y3710=1,"",IF(AND(AA3710=1,AC3710&lt;&gt;1),1,0))</f>
        <v/>
      </c>
      <c r="AF3710" s="45" t="str">
        <f aca="false">IF(AND(E3710&gt;0,Y3710&lt;1,NOT(AND(C3711=C3710,Y3711=Y3710+1))),INDEX(DATAS,Y3710+1),"")</f>
        <v/>
      </c>
      <c r="AG3710" s="45" t="str">
        <f aca="false">IF(AND(AA3710=1,Y3710&lt;1),IF(AND(C3711=C3710,Y3711=Y3710+1),IF(AA3711=1,"",INDEX(DATAS,Y3710+1)),INDEX(DATAS,Y3710+1)),"")</f>
        <v/>
      </c>
    </row>
    <row r="3711" customFormat="false" ht="15" hidden="false" customHeight="false" outlineLevel="0" collapsed="false">
      <c r="A3711" s="45" t="n">
        <v>46309</v>
      </c>
      <c r="B3711" s="0" t="n">
        <v>16</v>
      </c>
      <c r="C3711" s="0" t="n">
        <v>8181</v>
      </c>
      <c r="E3711" s="0" t="n">
        <v>0</v>
      </c>
      <c r="F3711" s="39" t="s">
        <v>1641</v>
      </c>
      <c r="I3711" s="39" t="s">
        <v>136</v>
      </c>
      <c r="U3711" s="0" t="n">
        <v>13</v>
      </c>
      <c r="V3711" s="0" t="n">
        <v>0</v>
      </c>
      <c r="W3711" s="39" t="n">
        <f aca="false">IF(I3711="Male",0,1)</f>
        <v>1</v>
      </c>
      <c r="X3711" s="39" t="n">
        <f aca="false">IF(OR(I3711="DNB",I3711="Dry DNB"),1,0)</f>
        <v>0</v>
      </c>
      <c r="Y3711" s="39" t="n">
        <f aca="false">MATCH(A3711,DATAS,0)</f>
        <v>1</v>
      </c>
      <c r="Z3711" s="39" t="n">
        <f aca="false">IF(AND(E3711&gt;0,OR(AND(B3711&gt;=1,B3711&lt;=6),B3711=10)),1,0)</f>
        <v>0</v>
      </c>
      <c r="AA3711" s="39" t="n">
        <f aca="false">IF(AND(E3711&gt;0,B3711=10),1,0)</f>
        <v>0</v>
      </c>
      <c r="AB3711" s="0" t="str">
        <f aca="false">IF(AND(C3710=C3711,Y3710=Y3711-1),Z3710,"")</f>
        <v/>
      </c>
      <c r="AC3711" s="0" t="str">
        <f aca="false">IF(AND(C3710=C3711,Y3710=Y3711-1),AA3710,"")</f>
        <v/>
      </c>
      <c r="AD3711" s="0" t="str">
        <f aca="false">IF(Y3711=1,"",IF(AND(Z3711=1,AB3711&lt;&gt;1),1,0))</f>
        <v/>
      </c>
      <c r="AE3711" s="0" t="str">
        <f aca="false">IF(Y3711=1,"",IF(AND(AA3711=1,AC3711&lt;&gt;1),1,0))</f>
        <v/>
      </c>
      <c r="AF3711" s="45" t="str">
        <f aca="false">IF(AND(E3711&gt;0,Y3711&lt;1,NOT(AND(C3712=C3711,Y3712=Y3711+1))),INDEX(DATAS,Y3711+1),"")</f>
        <v/>
      </c>
      <c r="AG3711" s="45" t="str">
        <f aca="false">IF(AND(AA3711=1,Y3711&lt;1),IF(AND(C3712=C3711,Y3712=Y3711+1),IF(AA3712=1,"",INDEX(DATAS,Y3711+1)),INDEX(DATAS,Y3711+1)),"")</f>
        <v/>
      </c>
    </row>
    <row r="3712" customFormat="false" ht="15" hidden="false" customHeight="false" outlineLevel="0" collapsed="false">
      <c r="A3712" s="45" t="n">
        <v>46309</v>
      </c>
      <c r="B3712" s="0" t="n">
        <v>16</v>
      </c>
      <c r="C3712" s="0" t="n">
        <v>8182</v>
      </c>
      <c r="E3712" s="0" t="n">
        <v>0</v>
      </c>
      <c r="F3712" s="39" t="s">
        <v>1641</v>
      </c>
      <c r="I3712" s="39" t="s">
        <v>136</v>
      </c>
      <c r="U3712" s="0" t="n">
        <v>13</v>
      </c>
      <c r="V3712" s="0" t="n">
        <v>0</v>
      </c>
      <c r="W3712" s="39" t="n">
        <f aca="false">IF(I3712="Male",0,1)</f>
        <v>1</v>
      </c>
      <c r="X3712" s="39" t="n">
        <f aca="false">IF(OR(I3712="DNB",I3712="Dry DNB"),1,0)</f>
        <v>0</v>
      </c>
      <c r="Y3712" s="39" t="n">
        <f aca="false">MATCH(A3712,DATAS,0)</f>
        <v>1</v>
      </c>
      <c r="Z3712" s="39" t="n">
        <f aca="false">IF(AND(E3712&gt;0,OR(AND(B3712&gt;=1,B3712&lt;=6),B3712=10)),1,0)</f>
        <v>0</v>
      </c>
      <c r="AA3712" s="39" t="n">
        <f aca="false">IF(AND(E3712&gt;0,B3712=10),1,0)</f>
        <v>0</v>
      </c>
      <c r="AB3712" s="0" t="str">
        <f aca="false">IF(AND(C3711=C3712,Y3711=Y3712-1),Z3711,"")</f>
        <v/>
      </c>
      <c r="AC3712" s="0" t="str">
        <f aca="false">IF(AND(C3711=C3712,Y3711=Y3712-1),AA3711,"")</f>
        <v/>
      </c>
      <c r="AD3712" s="0" t="str">
        <f aca="false">IF(Y3712=1,"",IF(AND(Z3712=1,AB3712&lt;&gt;1),1,0))</f>
        <v/>
      </c>
      <c r="AE3712" s="0" t="str">
        <f aca="false">IF(Y3712=1,"",IF(AND(AA3712=1,AC3712&lt;&gt;1),1,0))</f>
        <v/>
      </c>
      <c r="AF3712" s="45" t="str">
        <f aca="false">IF(AND(E3712&gt;0,Y3712&lt;1,NOT(AND(C3713=C3712,Y3713=Y3712+1))),INDEX(DATAS,Y3712+1),"")</f>
        <v/>
      </c>
      <c r="AG3712" s="45" t="str">
        <f aca="false">IF(AND(AA3712=1,Y3712&lt;1),IF(AND(C3713=C3712,Y3713=Y3712+1),IF(AA3713=1,"",INDEX(DATAS,Y3712+1)),INDEX(DATAS,Y3712+1)),"")</f>
        <v/>
      </c>
    </row>
    <row r="3713" customFormat="false" ht="15" hidden="false" customHeight="false" outlineLevel="0" collapsed="false">
      <c r="A3713" s="45" t="n">
        <v>46309</v>
      </c>
      <c r="B3713" s="0" t="n">
        <v>16</v>
      </c>
      <c r="C3713" s="0" t="n">
        <v>8183</v>
      </c>
      <c r="E3713" s="0" t="n">
        <v>0</v>
      </c>
      <c r="F3713" s="39" t="s">
        <v>1642</v>
      </c>
      <c r="I3713" s="39" t="s">
        <v>136</v>
      </c>
      <c r="U3713" s="0" t="n">
        <v>12</v>
      </c>
      <c r="V3713" s="0" t="n">
        <v>0</v>
      </c>
      <c r="W3713" s="39" t="n">
        <f aca="false">IF(I3713="Male",0,1)</f>
        <v>1</v>
      </c>
      <c r="X3713" s="39" t="n">
        <f aca="false">IF(OR(I3713="DNB",I3713="Dry DNB"),1,0)</f>
        <v>0</v>
      </c>
      <c r="Y3713" s="39" t="n">
        <f aca="false">MATCH(A3713,DATAS,0)</f>
        <v>1</v>
      </c>
      <c r="Z3713" s="39" t="n">
        <f aca="false">IF(AND(E3713&gt;0,OR(AND(B3713&gt;=1,B3713&lt;=6),B3713=10)),1,0)</f>
        <v>0</v>
      </c>
      <c r="AA3713" s="39" t="n">
        <f aca="false">IF(AND(E3713&gt;0,B3713=10),1,0)</f>
        <v>0</v>
      </c>
      <c r="AB3713" s="0" t="str">
        <f aca="false">IF(AND(C3712=C3713,Y3712=Y3713-1),Z3712,"")</f>
        <v/>
      </c>
      <c r="AC3713" s="0" t="str">
        <f aca="false">IF(AND(C3712=C3713,Y3712=Y3713-1),AA3712,"")</f>
        <v/>
      </c>
      <c r="AD3713" s="0" t="str">
        <f aca="false">IF(Y3713=1,"",IF(AND(Z3713=1,AB3713&lt;&gt;1),1,0))</f>
        <v/>
      </c>
      <c r="AE3713" s="0" t="str">
        <f aca="false">IF(Y3713=1,"",IF(AND(AA3713=1,AC3713&lt;&gt;1),1,0))</f>
        <v/>
      </c>
      <c r="AF3713" s="45" t="str">
        <f aca="false">IF(AND(E3713&gt;0,Y3713&lt;1,NOT(AND(C3714=C3713,Y3714=Y3713+1))),INDEX(DATAS,Y3713+1),"")</f>
        <v/>
      </c>
      <c r="AG3713" s="45" t="str">
        <f aca="false">IF(AND(AA3713=1,Y3713&lt;1),IF(AND(C3714=C3713,Y3714=Y3713+1),IF(AA3714=1,"",INDEX(DATAS,Y3713+1)),INDEX(DATAS,Y3713+1)),"")</f>
        <v/>
      </c>
    </row>
    <row r="3714" customFormat="false" ht="15" hidden="false" customHeight="false" outlineLevel="0" collapsed="false">
      <c r="A3714" s="45" t="n">
        <v>46309</v>
      </c>
      <c r="B3714" s="0" t="n">
        <v>16</v>
      </c>
      <c r="C3714" s="0" t="n">
        <v>8184</v>
      </c>
      <c r="E3714" s="0" t="n">
        <v>0</v>
      </c>
      <c r="F3714" s="39" t="s">
        <v>1642</v>
      </c>
      <c r="I3714" s="39" t="s">
        <v>136</v>
      </c>
      <c r="U3714" s="0" t="n">
        <v>12</v>
      </c>
      <c r="V3714" s="0" t="n">
        <v>0</v>
      </c>
      <c r="W3714" s="39" t="n">
        <f aca="false">IF(I3714="Male",0,1)</f>
        <v>1</v>
      </c>
      <c r="X3714" s="39" t="n">
        <f aca="false">IF(OR(I3714="DNB",I3714="Dry DNB"),1,0)</f>
        <v>0</v>
      </c>
      <c r="Y3714" s="39" t="n">
        <f aca="false">MATCH(A3714,DATAS,0)</f>
        <v>1</v>
      </c>
      <c r="Z3714" s="39" t="n">
        <f aca="false">IF(AND(E3714&gt;0,OR(AND(B3714&gt;=1,B3714&lt;=6),B3714=10)),1,0)</f>
        <v>0</v>
      </c>
      <c r="AA3714" s="39" t="n">
        <f aca="false">IF(AND(E3714&gt;0,B3714=10),1,0)</f>
        <v>0</v>
      </c>
      <c r="AB3714" s="0" t="str">
        <f aca="false">IF(AND(C3713=C3714,Y3713=Y3714-1),Z3713,"")</f>
        <v/>
      </c>
      <c r="AC3714" s="0" t="str">
        <f aca="false">IF(AND(C3713=C3714,Y3713=Y3714-1),AA3713,"")</f>
        <v/>
      </c>
      <c r="AD3714" s="0" t="str">
        <f aca="false">IF(Y3714=1,"",IF(AND(Z3714=1,AB3714&lt;&gt;1),1,0))</f>
        <v/>
      </c>
      <c r="AE3714" s="0" t="str">
        <f aca="false">IF(Y3714=1,"",IF(AND(AA3714=1,AC3714&lt;&gt;1),1,0))</f>
        <v/>
      </c>
      <c r="AF3714" s="45" t="str">
        <f aca="false">IF(AND(E3714&gt;0,Y3714&lt;1,NOT(AND(C3715=C3714,Y3715=Y3714+1))),INDEX(DATAS,Y3714+1),"")</f>
        <v/>
      </c>
      <c r="AG3714" s="45" t="str">
        <f aca="false">IF(AND(AA3714=1,Y3714&lt;1),IF(AND(C3715=C3714,Y3715=Y3714+1),IF(AA3715=1,"",INDEX(DATAS,Y3714+1)),INDEX(DATAS,Y3714+1)),"")</f>
        <v/>
      </c>
    </row>
    <row r="3715" customFormat="false" ht="15" hidden="false" customHeight="false" outlineLevel="0" collapsed="false">
      <c r="A3715" s="45" t="n">
        <v>46309</v>
      </c>
      <c r="B3715" s="0" t="n">
        <v>16</v>
      </c>
      <c r="C3715" s="0" t="n">
        <v>8185</v>
      </c>
      <c r="E3715" s="0" t="n">
        <v>0</v>
      </c>
      <c r="F3715" s="39" t="s">
        <v>1642</v>
      </c>
      <c r="I3715" s="39" t="s">
        <v>136</v>
      </c>
      <c r="U3715" s="0" t="n">
        <v>12</v>
      </c>
      <c r="V3715" s="0" t="n">
        <v>0</v>
      </c>
      <c r="W3715" s="39" t="n">
        <f aca="false">IF(I3715="Male",0,1)</f>
        <v>1</v>
      </c>
      <c r="X3715" s="39" t="n">
        <f aca="false">IF(OR(I3715="DNB",I3715="Dry DNB"),1,0)</f>
        <v>0</v>
      </c>
      <c r="Y3715" s="39" t="n">
        <f aca="false">MATCH(A3715,DATAS,0)</f>
        <v>1</v>
      </c>
      <c r="Z3715" s="39" t="n">
        <f aca="false">IF(AND(E3715&gt;0,OR(AND(B3715&gt;=1,B3715&lt;=6),B3715=10)),1,0)</f>
        <v>0</v>
      </c>
      <c r="AA3715" s="39" t="n">
        <f aca="false">IF(AND(E3715&gt;0,B3715=10),1,0)</f>
        <v>0</v>
      </c>
      <c r="AB3715" s="0" t="str">
        <f aca="false">IF(AND(C3714=C3715,Y3714=Y3715-1),Z3714,"")</f>
        <v/>
      </c>
      <c r="AC3715" s="0" t="str">
        <f aca="false">IF(AND(C3714=C3715,Y3714=Y3715-1),AA3714,"")</f>
        <v/>
      </c>
      <c r="AD3715" s="0" t="str">
        <f aca="false">IF(Y3715=1,"",IF(AND(Z3715=1,AB3715&lt;&gt;1),1,0))</f>
        <v/>
      </c>
      <c r="AE3715" s="0" t="str">
        <f aca="false">IF(Y3715=1,"",IF(AND(AA3715=1,AC3715&lt;&gt;1),1,0))</f>
        <v/>
      </c>
      <c r="AF3715" s="45" t="str">
        <f aca="false">IF(AND(E3715&gt;0,Y3715&lt;1,NOT(AND(C3716=C3715,Y3716=Y3715+1))),INDEX(DATAS,Y3715+1),"")</f>
        <v/>
      </c>
      <c r="AG3715" s="45" t="str">
        <f aca="false">IF(AND(AA3715=1,Y3715&lt;1),IF(AND(C3716=C3715,Y3716=Y3715+1),IF(AA3716=1,"",INDEX(DATAS,Y3715+1)),INDEX(DATAS,Y3715+1)),"")</f>
        <v/>
      </c>
    </row>
    <row r="3716" customFormat="false" ht="15" hidden="false" customHeight="false" outlineLevel="0" collapsed="false">
      <c r="A3716" s="45" t="n">
        <v>46309</v>
      </c>
      <c r="B3716" s="0" t="n">
        <v>16</v>
      </c>
      <c r="C3716" s="0" t="n">
        <v>8186</v>
      </c>
      <c r="E3716" s="0" t="n">
        <v>0</v>
      </c>
      <c r="F3716" s="39" t="s">
        <v>1643</v>
      </c>
      <c r="I3716" s="39" t="s">
        <v>136</v>
      </c>
      <c r="U3716" s="0" t="n">
        <v>11</v>
      </c>
      <c r="V3716" s="0" t="n">
        <v>0</v>
      </c>
      <c r="W3716" s="39" t="n">
        <f aca="false">IF(I3716="Male",0,1)</f>
        <v>1</v>
      </c>
      <c r="X3716" s="39" t="n">
        <f aca="false">IF(OR(I3716="DNB",I3716="Dry DNB"),1,0)</f>
        <v>0</v>
      </c>
      <c r="Y3716" s="39" t="n">
        <f aca="false">MATCH(A3716,DATAS,0)</f>
        <v>1</v>
      </c>
      <c r="Z3716" s="39" t="n">
        <f aca="false">IF(AND(E3716&gt;0,OR(AND(B3716&gt;=1,B3716&lt;=6),B3716=10)),1,0)</f>
        <v>0</v>
      </c>
      <c r="AA3716" s="39" t="n">
        <f aca="false">IF(AND(E3716&gt;0,B3716=10),1,0)</f>
        <v>0</v>
      </c>
      <c r="AB3716" s="0" t="str">
        <f aca="false">IF(AND(C3715=C3716,Y3715=Y3716-1),Z3715,"")</f>
        <v/>
      </c>
      <c r="AC3716" s="0" t="str">
        <f aca="false">IF(AND(C3715=C3716,Y3715=Y3716-1),AA3715,"")</f>
        <v/>
      </c>
      <c r="AD3716" s="0" t="str">
        <f aca="false">IF(Y3716=1,"",IF(AND(Z3716=1,AB3716&lt;&gt;1),1,0))</f>
        <v/>
      </c>
      <c r="AE3716" s="0" t="str">
        <f aca="false">IF(Y3716=1,"",IF(AND(AA3716=1,AC3716&lt;&gt;1),1,0))</f>
        <v/>
      </c>
      <c r="AF3716" s="45" t="str">
        <f aca="false">IF(AND(E3716&gt;0,Y3716&lt;1,NOT(AND(C3717=C3716,Y3717=Y3716+1))),INDEX(DATAS,Y3716+1),"")</f>
        <v/>
      </c>
      <c r="AG3716" s="45" t="str">
        <f aca="false">IF(AND(AA3716=1,Y3716&lt;1),IF(AND(C3717=C3716,Y3717=Y3716+1),IF(AA3717=1,"",INDEX(DATAS,Y3716+1)),INDEX(DATAS,Y3716+1)),"")</f>
        <v/>
      </c>
    </row>
    <row r="3717" customFormat="false" ht="15" hidden="false" customHeight="false" outlineLevel="0" collapsed="false">
      <c r="A3717" s="45" t="n">
        <v>46309</v>
      </c>
      <c r="B3717" s="0" t="n">
        <v>16</v>
      </c>
      <c r="C3717" s="0" t="n">
        <v>8187</v>
      </c>
      <c r="E3717" s="0" t="n">
        <v>0</v>
      </c>
      <c r="F3717" s="39" t="s">
        <v>1643</v>
      </c>
      <c r="I3717" s="39" t="s">
        <v>136</v>
      </c>
      <c r="U3717" s="0" t="n">
        <v>11</v>
      </c>
      <c r="V3717" s="0" t="n">
        <v>0</v>
      </c>
      <c r="W3717" s="39" t="n">
        <f aca="false">IF(I3717="Male",0,1)</f>
        <v>1</v>
      </c>
      <c r="X3717" s="39" t="n">
        <f aca="false">IF(OR(I3717="DNB",I3717="Dry DNB"),1,0)</f>
        <v>0</v>
      </c>
      <c r="Y3717" s="39" t="n">
        <f aca="false">MATCH(A3717,DATAS,0)</f>
        <v>1</v>
      </c>
      <c r="Z3717" s="39" t="n">
        <f aca="false">IF(AND(E3717&gt;0,OR(AND(B3717&gt;=1,B3717&lt;=6),B3717=10)),1,0)</f>
        <v>0</v>
      </c>
      <c r="AA3717" s="39" t="n">
        <f aca="false">IF(AND(E3717&gt;0,B3717=10),1,0)</f>
        <v>0</v>
      </c>
      <c r="AB3717" s="0" t="str">
        <f aca="false">IF(AND(C3716=C3717,Y3716=Y3717-1),Z3716,"")</f>
        <v/>
      </c>
      <c r="AC3717" s="0" t="str">
        <f aca="false">IF(AND(C3716=C3717,Y3716=Y3717-1),AA3716,"")</f>
        <v/>
      </c>
      <c r="AD3717" s="0" t="str">
        <f aca="false">IF(Y3717=1,"",IF(AND(Z3717=1,AB3717&lt;&gt;1),1,0))</f>
        <v/>
      </c>
      <c r="AE3717" s="0" t="str">
        <f aca="false">IF(Y3717=1,"",IF(AND(AA3717=1,AC3717&lt;&gt;1),1,0))</f>
        <v/>
      </c>
      <c r="AF3717" s="45" t="str">
        <f aca="false">IF(AND(E3717&gt;0,Y3717&lt;1,NOT(AND(C3718=C3717,Y3718=Y3717+1))),INDEX(DATAS,Y3717+1),"")</f>
        <v/>
      </c>
      <c r="AG3717" s="45" t="str">
        <f aca="false">IF(AND(AA3717=1,Y3717&lt;1),IF(AND(C3718=C3717,Y3718=Y3717+1),IF(AA3718=1,"",INDEX(DATAS,Y3717+1)),INDEX(DATAS,Y3717+1)),"")</f>
        <v/>
      </c>
    </row>
    <row r="3718" customFormat="false" ht="15" hidden="false" customHeight="false" outlineLevel="0" collapsed="false">
      <c r="A3718" s="45" t="n">
        <v>46309</v>
      </c>
      <c r="B3718" s="0" t="n">
        <v>16</v>
      </c>
      <c r="C3718" s="0" t="n">
        <v>8188</v>
      </c>
      <c r="E3718" s="0" t="n">
        <v>0</v>
      </c>
      <c r="F3718" s="39" t="s">
        <v>1643</v>
      </c>
      <c r="I3718" s="39" t="s">
        <v>136</v>
      </c>
      <c r="U3718" s="0" t="n">
        <v>11</v>
      </c>
      <c r="V3718" s="0" t="n">
        <v>0</v>
      </c>
      <c r="W3718" s="39" t="n">
        <f aca="false">IF(I3718="Male",0,1)</f>
        <v>1</v>
      </c>
      <c r="X3718" s="39" t="n">
        <f aca="false">IF(OR(I3718="DNB",I3718="Dry DNB"),1,0)</f>
        <v>0</v>
      </c>
      <c r="Y3718" s="39" t="n">
        <f aca="false">MATCH(A3718,DATAS,0)</f>
        <v>1</v>
      </c>
      <c r="Z3718" s="39" t="n">
        <f aca="false">IF(AND(E3718&gt;0,OR(AND(B3718&gt;=1,B3718&lt;=6),B3718=10)),1,0)</f>
        <v>0</v>
      </c>
      <c r="AA3718" s="39" t="n">
        <f aca="false">IF(AND(E3718&gt;0,B3718=10),1,0)</f>
        <v>0</v>
      </c>
      <c r="AB3718" s="0" t="str">
        <f aca="false">IF(AND(C3717=C3718,Y3717=Y3718-1),Z3717,"")</f>
        <v/>
      </c>
      <c r="AC3718" s="0" t="str">
        <f aca="false">IF(AND(C3717=C3718,Y3717=Y3718-1),AA3717,"")</f>
        <v/>
      </c>
      <c r="AD3718" s="0" t="str">
        <f aca="false">IF(Y3718=1,"",IF(AND(Z3718=1,AB3718&lt;&gt;1),1,0))</f>
        <v/>
      </c>
      <c r="AE3718" s="0" t="str">
        <f aca="false">IF(Y3718=1,"",IF(AND(AA3718=1,AC3718&lt;&gt;1),1,0))</f>
        <v/>
      </c>
      <c r="AF3718" s="45" t="str">
        <f aca="false">IF(AND(E3718&gt;0,Y3718&lt;1,NOT(AND(C3719=C3718,Y3719=Y3718+1))),INDEX(DATAS,Y3718+1),"")</f>
        <v/>
      </c>
      <c r="AG3718" s="45" t="str">
        <f aca="false">IF(AND(AA3718=1,Y3718&lt;1),IF(AND(C3719=C3718,Y3719=Y3718+1),IF(AA3719=1,"",INDEX(DATAS,Y3718+1)),INDEX(DATAS,Y3718+1)),"")</f>
        <v/>
      </c>
    </row>
    <row r="3719" customFormat="false" ht="15" hidden="false" customHeight="false" outlineLevel="0" collapsed="false">
      <c r="A3719" s="45" t="n">
        <v>46309</v>
      </c>
      <c r="B3719" s="0" t="n">
        <v>16</v>
      </c>
      <c r="C3719" s="0" t="n">
        <v>8189</v>
      </c>
      <c r="E3719" s="0" t="n">
        <v>0</v>
      </c>
      <c r="F3719" s="39" t="s">
        <v>1643</v>
      </c>
      <c r="I3719" s="39" t="s">
        <v>136</v>
      </c>
      <c r="U3719" s="0" t="n">
        <v>11</v>
      </c>
      <c r="V3719" s="0" t="n">
        <v>0</v>
      </c>
      <c r="W3719" s="39" t="n">
        <f aca="false">IF(I3719="Male",0,1)</f>
        <v>1</v>
      </c>
      <c r="X3719" s="39" t="n">
        <f aca="false">IF(OR(I3719="DNB",I3719="Dry DNB"),1,0)</f>
        <v>0</v>
      </c>
      <c r="Y3719" s="39" t="n">
        <f aca="false">MATCH(A3719,DATAS,0)</f>
        <v>1</v>
      </c>
      <c r="Z3719" s="39" t="n">
        <f aca="false">IF(AND(E3719&gt;0,OR(AND(B3719&gt;=1,B3719&lt;=6),B3719=10)),1,0)</f>
        <v>0</v>
      </c>
      <c r="AA3719" s="39" t="n">
        <f aca="false">IF(AND(E3719&gt;0,B3719=10),1,0)</f>
        <v>0</v>
      </c>
      <c r="AB3719" s="0" t="str">
        <f aca="false">IF(AND(C3718=C3719,Y3718=Y3719-1),Z3718,"")</f>
        <v/>
      </c>
      <c r="AC3719" s="0" t="str">
        <f aca="false">IF(AND(C3718=C3719,Y3718=Y3719-1),AA3718,"")</f>
        <v/>
      </c>
      <c r="AD3719" s="0" t="str">
        <f aca="false">IF(Y3719=1,"",IF(AND(Z3719=1,AB3719&lt;&gt;1),1,0))</f>
        <v/>
      </c>
      <c r="AE3719" s="0" t="str">
        <f aca="false">IF(Y3719=1,"",IF(AND(AA3719=1,AC3719&lt;&gt;1),1,0))</f>
        <v/>
      </c>
      <c r="AF3719" s="45" t="str">
        <f aca="false">IF(AND(E3719&gt;0,Y3719&lt;1,NOT(AND(C3720=C3719,Y3720=Y3719+1))),INDEX(DATAS,Y3719+1),"")</f>
        <v/>
      </c>
      <c r="AG3719" s="45" t="str">
        <f aca="false">IF(AND(AA3719=1,Y3719&lt;1),IF(AND(C3720=C3719,Y3720=Y3719+1),IF(AA3720=1,"",INDEX(DATAS,Y3719+1)),INDEX(DATAS,Y3719+1)),"")</f>
        <v/>
      </c>
    </row>
    <row r="3720" customFormat="false" ht="15" hidden="false" customHeight="false" outlineLevel="0" collapsed="false">
      <c r="A3720" s="45" t="n">
        <v>46309</v>
      </c>
      <c r="B3720" s="0" t="n">
        <v>16</v>
      </c>
      <c r="C3720" s="0" t="n">
        <v>8190</v>
      </c>
      <c r="E3720" s="0" t="n">
        <v>0</v>
      </c>
      <c r="F3720" s="39" t="s">
        <v>1643</v>
      </c>
      <c r="I3720" s="39" t="s">
        <v>136</v>
      </c>
      <c r="U3720" s="0" t="n">
        <v>11</v>
      </c>
      <c r="V3720" s="0" t="n">
        <v>0</v>
      </c>
      <c r="W3720" s="39" t="n">
        <f aca="false">IF(I3720="Male",0,1)</f>
        <v>1</v>
      </c>
      <c r="X3720" s="39" t="n">
        <f aca="false">IF(OR(I3720="DNB",I3720="Dry DNB"),1,0)</f>
        <v>0</v>
      </c>
      <c r="Y3720" s="39" t="n">
        <f aca="false">MATCH(A3720,DATAS,0)</f>
        <v>1</v>
      </c>
      <c r="Z3720" s="39" t="n">
        <f aca="false">IF(AND(E3720&gt;0,OR(AND(B3720&gt;=1,B3720&lt;=6),B3720=10)),1,0)</f>
        <v>0</v>
      </c>
      <c r="AA3720" s="39" t="n">
        <f aca="false">IF(AND(E3720&gt;0,B3720=10),1,0)</f>
        <v>0</v>
      </c>
      <c r="AB3720" s="0" t="str">
        <f aca="false">IF(AND(C3719=C3720,Y3719=Y3720-1),Z3719,"")</f>
        <v/>
      </c>
      <c r="AC3720" s="0" t="str">
        <f aca="false">IF(AND(C3719=C3720,Y3719=Y3720-1),AA3719,"")</f>
        <v/>
      </c>
      <c r="AD3720" s="0" t="str">
        <f aca="false">IF(Y3720=1,"",IF(AND(Z3720=1,AB3720&lt;&gt;1),1,0))</f>
        <v/>
      </c>
      <c r="AE3720" s="0" t="str">
        <f aca="false">IF(Y3720=1,"",IF(AND(AA3720=1,AC3720&lt;&gt;1),1,0))</f>
        <v/>
      </c>
      <c r="AF3720" s="45" t="str">
        <f aca="false">IF(AND(E3720&gt;0,Y3720&lt;1,NOT(AND(C3721=C3720,Y3721=Y3720+1))),INDEX(DATAS,Y3720+1),"")</f>
        <v/>
      </c>
      <c r="AG3720" s="45" t="str">
        <f aca="false">IF(AND(AA3720=1,Y3720&lt;1),IF(AND(C3721=C3720,Y3721=Y3720+1),IF(AA3721=1,"",INDEX(DATAS,Y3720+1)),INDEX(DATAS,Y3720+1)),"")</f>
        <v/>
      </c>
    </row>
    <row r="3721" customFormat="false" ht="15" hidden="false" customHeight="false" outlineLevel="0" collapsed="false">
      <c r="A3721" s="45" t="n">
        <v>46309</v>
      </c>
      <c r="B3721" s="0" t="n">
        <v>16</v>
      </c>
      <c r="C3721" s="0" t="n">
        <v>8191</v>
      </c>
      <c r="E3721" s="0" t="n">
        <v>0</v>
      </c>
      <c r="F3721" s="39" t="s">
        <v>1643</v>
      </c>
      <c r="I3721" s="39" t="s">
        <v>136</v>
      </c>
      <c r="U3721" s="0" t="n">
        <v>11</v>
      </c>
      <c r="V3721" s="0" t="n">
        <v>0</v>
      </c>
      <c r="W3721" s="39" t="n">
        <f aca="false">IF(I3721="Male",0,1)</f>
        <v>1</v>
      </c>
      <c r="X3721" s="39" t="n">
        <f aca="false">IF(OR(I3721="DNB",I3721="Dry DNB"),1,0)</f>
        <v>0</v>
      </c>
      <c r="Y3721" s="39" t="n">
        <f aca="false">MATCH(A3721,DATAS,0)</f>
        <v>1</v>
      </c>
      <c r="Z3721" s="39" t="n">
        <f aca="false">IF(AND(E3721&gt;0,OR(AND(B3721&gt;=1,B3721&lt;=6),B3721=10)),1,0)</f>
        <v>0</v>
      </c>
      <c r="AA3721" s="39" t="n">
        <f aca="false">IF(AND(E3721&gt;0,B3721=10),1,0)</f>
        <v>0</v>
      </c>
      <c r="AB3721" s="0" t="str">
        <f aca="false">IF(AND(C3720=C3721,Y3720=Y3721-1),Z3720,"")</f>
        <v/>
      </c>
      <c r="AC3721" s="0" t="str">
        <f aca="false">IF(AND(C3720=C3721,Y3720=Y3721-1),AA3720,"")</f>
        <v/>
      </c>
      <c r="AD3721" s="0" t="str">
        <f aca="false">IF(Y3721=1,"",IF(AND(Z3721=1,AB3721&lt;&gt;1),1,0))</f>
        <v/>
      </c>
      <c r="AE3721" s="0" t="str">
        <f aca="false">IF(Y3721=1,"",IF(AND(AA3721=1,AC3721&lt;&gt;1),1,0))</f>
        <v/>
      </c>
      <c r="AF3721" s="45" t="str">
        <f aca="false">IF(AND(E3721&gt;0,Y3721&lt;1,NOT(AND(C3722=C3721,Y3722=Y3721+1))),INDEX(DATAS,Y3721+1),"")</f>
        <v/>
      </c>
      <c r="AG3721" s="45" t="str">
        <f aca="false">IF(AND(AA3721=1,Y3721&lt;1),IF(AND(C3722=C3721,Y3722=Y3721+1),IF(AA3722=1,"",INDEX(DATAS,Y3721+1)),INDEX(DATAS,Y3721+1)),"")</f>
        <v/>
      </c>
    </row>
    <row r="3722" customFormat="false" ht="15" hidden="false" customHeight="false" outlineLevel="0" collapsed="false">
      <c r="A3722" s="45" t="n">
        <v>46309</v>
      </c>
      <c r="B3722" s="0" t="n">
        <v>16</v>
      </c>
      <c r="C3722" s="0" t="n">
        <v>8192</v>
      </c>
      <c r="E3722" s="0" t="n">
        <v>0</v>
      </c>
      <c r="F3722" s="39" t="s">
        <v>1643</v>
      </c>
      <c r="I3722" s="39" t="s">
        <v>136</v>
      </c>
      <c r="U3722" s="0" t="n">
        <v>11</v>
      </c>
      <c r="V3722" s="0" t="n">
        <v>0</v>
      </c>
      <c r="W3722" s="39" t="n">
        <f aca="false">IF(I3722="Male",0,1)</f>
        <v>1</v>
      </c>
      <c r="X3722" s="39" t="n">
        <f aca="false">IF(OR(I3722="DNB",I3722="Dry DNB"),1,0)</f>
        <v>0</v>
      </c>
      <c r="Y3722" s="39" t="n">
        <f aca="false">MATCH(A3722,DATAS,0)</f>
        <v>1</v>
      </c>
      <c r="Z3722" s="39" t="n">
        <f aca="false">IF(AND(E3722&gt;0,OR(AND(B3722&gt;=1,B3722&lt;=6),B3722=10)),1,0)</f>
        <v>0</v>
      </c>
      <c r="AA3722" s="39" t="n">
        <f aca="false">IF(AND(E3722&gt;0,B3722=10),1,0)</f>
        <v>0</v>
      </c>
      <c r="AB3722" s="0" t="str">
        <f aca="false">IF(AND(C3721=C3722,Y3721=Y3722-1),Z3721,"")</f>
        <v/>
      </c>
      <c r="AC3722" s="0" t="str">
        <f aca="false">IF(AND(C3721=C3722,Y3721=Y3722-1),AA3721,"")</f>
        <v/>
      </c>
      <c r="AD3722" s="0" t="str">
        <f aca="false">IF(Y3722=1,"",IF(AND(Z3722=1,AB3722&lt;&gt;1),1,0))</f>
        <v/>
      </c>
      <c r="AE3722" s="0" t="str">
        <f aca="false">IF(Y3722=1,"",IF(AND(AA3722=1,AC3722&lt;&gt;1),1,0))</f>
        <v/>
      </c>
      <c r="AF3722" s="45" t="str">
        <f aca="false">IF(AND(E3722&gt;0,Y3722&lt;1,NOT(AND(C3723=C3722,Y3723=Y3722+1))),INDEX(DATAS,Y3722+1),"")</f>
        <v/>
      </c>
      <c r="AG3722" s="45" t="str">
        <f aca="false">IF(AND(AA3722=1,Y3722&lt;1),IF(AND(C3723=C3722,Y3723=Y3722+1),IF(AA3723=1,"",INDEX(DATAS,Y3722+1)),INDEX(DATAS,Y3722+1)),"")</f>
        <v/>
      </c>
    </row>
    <row r="3723" customFormat="false" ht="15" hidden="false" customHeight="false" outlineLevel="0" collapsed="false">
      <c r="A3723" s="45" t="n">
        <v>46309</v>
      </c>
      <c r="B3723" s="0" t="n">
        <v>16</v>
      </c>
      <c r="C3723" s="0" t="n">
        <v>8193</v>
      </c>
      <c r="E3723" s="0" t="n">
        <v>0</v>
      </c>
      <c r="F3723" s="39" t="s">
        <v>1644</v>
      </c>
      <c r="I3723" s="39" t="s">
        <v>136</v>
      </c>
      <c r="U3723" s="0" t="n">
        <v>10</v>
      </c>
      <c r="V3723" s="0" t="n">
        <v>0</v>
      </c>
      <c r="W3723" s="39" t="n">
        <f aca="false">IF(I3723="Male",0,1)</f>
        <v>1</v>
      </c>
      <c r="X3723" s="39" t="n">
        <f aca="false">IF(OR(I3723="DNB",I3723="Dry DNB"),1,0)</f>
        <v>0</v>
      </c>
      <c r="Y3723" s="39" t="n">
        <f aca="false">MATCH(A3723,DATAS,0)</f>
        <v>1</v>
      </c>
      <c r="Z3723" s="39" t="n">
        <f aca="false">IF(AND(E3723&gt;0,OR(AND(B3723&gt;=1,B3723&lt;=6),B3723=10)),1,0)</f>
        <v>0</v>
      </c>
      <c r="AA3723" s="39" t="n">
        <f aca="false">IF(AND(E3723&gt;0,B3723=10),1,0)</f>
        <v>0</v>
      </c>
      <c r="AB3723" s="0" t="str">
        <f aca="false">IF(AND(C3722=C3723,Y3722=Y3723-1),Z3722,"")</f>
        <v/>
      </c>
      <c r="AC3723" s="0" t="str">
        <f aca="false">IF(AND(C3722=C3723,Y3722=Y3723-1),AA3722,"")</f>
        <v/>
      </c>
      <c r="AD3723" s="0" t="str">
        <f aca="false">IF(Y3723=1,"",IF(AND(Z3723=1,AB3723&lt;&gt;1),1,0))</f>
        <v/>
      </c>
      <c r="AE3723" s="0" t="str">
        <f aca="false">IF(Y3723=1,"",IF(AND(AA3723=1,AC3723&lt;&gt;1),1,0))</f>
        <v/>
      </c>
      <c r="AF3723" s="45" t="str">
        <f aca="false">IF(AND(E3723&gt;0,Y3723&lt;1,NOT(AND(C3724=C3723,Y3724=Y3723+1))),INDEX(DATAS,Y3723+1),"")</f>
        <v/>
      </c>
      <c r="AG3723" s="45" t="str">
        <f aca="false">IF(AND(AA3723=1,Y3723&lt;1),IF(AND(C3724=C3723,Y3724=Y3723+1),IF(AA3724=1,"",INDEX(DATAS,Y3723+1)),INDEX(DATAS,Y3723+1)),"")</f>
        <v/>
      </c>
    </row>
    <row r="3724" customFormat="false" ht="15" hidden="false" customHeight="false" outlineLevel="0" collapsed="false">
      <c r="A3724" s="45" t="n">
        <v>46309</v>
      </c>
      <c r="B3724" s="0" t="n">
        <v>16</v>
      </c>
      <c r="C3724" s="0" t="n">
        <v>8194</v>
      </c>
      <c r="E3724" s="0" t="n">
        <v>0</v>
      </c>
      <c r="F3724" s="39" t="s">
        <v>1644</v>
      </c>
      <c r="I3724" s="39" t="s">
        <v>136</v>
      </c>
      <c r="U3724" s="0" t="n">
        <v>10</v>
      </c>
      <c r="V3724" s="0" t="n">
        <v>0</v>
      </c>
      <c r="W3724" s="39" t="n">
        <f aca="false">IF(I3724="Male",0,1)</f>
        <v>1</v>
      </c>
      <c r="X3724" s="39" t="n">
        <f aca="false">IF(OR(I3724="DNB",I3724="Dry DNB"),1,0)</f>
        <v>0</v>
      </c>
      <c r="Y3724" s="39" t="n">
        <f aca="false">MATCH(A3724,DATAS,0)</f>
        <v>1</v>
      </c>
      <c r="Z3724" s="39" t="n">
        <f aca="false">IF(AND(E3724&gt;0,OR(AND(B3724&gt;=1,B3724&lt;=6),B3724=10)),1,0)</f>
        <v>0</v>
      </c>
      <c r="AA3724" s="39" t="n">
        <f aca="false">IF(AND(E3724&gt;0,B3724=10),1,0)</f>
        <v>0</v>
      </c>
      <c r="AB3724" s="0" t="str">
        <f aca="false">IF(AND(C3723=C3724,Y3723=Y3724-1),Z3723,"")</f>
        <v/>
      </c>
      <c r="AC3724" s="0" t="str">
        <f aca="false">IF(AND(C3723=C3724,Y3723=Y3724-1),AA3723,"")</f>
        <v/>
      </c>
      <c r="AD3724" s="0" t="str">
        <f aca="false">IF(Y3724=1,"",IF(AND(Z3724=1,AB3724&lt;&gt;1),1,0))</f>
        <v/>
      </c>
      <c r="AE3724" s="0" t="str">
        <f aca="false">IF(Y3724=1,"",IF(AND(AA3724=1,AC3724&lt;&gt;1),1,0))</f>
        <v/>
      </c>
      <c r="AF3724" s="45" t="str">
        <f aca="false">IF(AND(E3724&gt;0,Y3724&lt;1,NOT(AND(C3725=C3724,Y3725=Y3724+1))),INDEX(DATAS,Y3724+1),"")</f>
        <v/>
      </c>
      <c r="AG3724" s="45" t="str">
        <f aca="false">IF(AND(AA3724=1,Y3724&lt;1),IF(AND(C3725=C3724,Y3725=Y3724+1),IF(AA3725=1,"",INDEX(DATAS,Y3724+1)),INDEX(DATAS,Y3724+1)),"")</f>
        <v/>
      </c>
    </row>
    <row r="3725" customFormat="false" ht="15" hidden="false" customHeight="false" outlineLevel="0" collapsed="false">
      <c r="A3725" s="45" t="n">
        <v>46309</v>
      </c>
      <c r="B3725" s="0" t="n">
        <v>16</v>
      </c>
      <c r="C3725" s="0" t="n">
        <v>8195</v>
      </c>
      <c r="E3725" s="0" t="n">
        <v>0</v>
      </c>
      <c r="F3725" s="39" t="s">
        <v>1644</v>
      </c>
      <c r="I3725" s="39" t="s">
        <v>136</v>
      </c>
      <c r="U3725" s="0" t="n">
        <v>10</v>
      </c>
      <c r="V3725" s="0" t="n">
        <v>0</v>
      </c>
      <c r="W3725" s="39" t="n">
        <f aca="false">IF(I3725="Male",0,1)</f>
        <v>1</v>
      </c>
      <c r="X3725" s="39" t="n">
        <f aca="false">IF(OR(I3725="DNB",I3725="Dry DNB"),1,0)</f>
        <v>0</v>
      </c>
      <c r="Y3725" s="39" t="n">
        <f aca="false">MATCH(A3725,DATAS,0)</f>
        <v>1</v>
      </c>
      <c r="Z3725" s="39" t="n">
        <f aca="false">IF(AND(E3725&gt;0,OR(AND(B3725&gt;=1,B3725&lt;=6),B3725=10)),1,0)</f>
        <v>0</v>
      </c>
      <c r="AA3725" s="39" t="n">
        <f aca="false">IF(AND(E3725&gt;0,B3725=10),1,0)</f>
        <v>0</v>
      </c>
      <c r="AB3725" s="0" t="str">
        <f aca="false">IF(AND(C3724=C3725,Y3724=Y3725-1),Z3724,"")</f>
        <v/>
      </c>
      <c r="AC3725" s="0" t="str">
        <f aca="false">IF(AND(C3724=C3725,Y3724=Y3725-1),AA3724,"")</f>
        <v/>
      </c>
      <c r="AD3725" s="0" t="str">
        <f aca="false">IF(Y3725=1,"",IF(AND(Z3725=1,AB3725&lt;&gt;1),1,0))</f>
        <v/>
      </c>
      <c r="AE3725" s="0" t="str">
        <f aca="false">IF(Y3725=1,"",IF(AND(AA3725=1,AC3725&lt;&gt;1),1,0))</f>
        <v/>
      </c>
      <c r="AF3725" s="45" t="str">
        <f aca="false">IF(AND(E3725&gt;0,Y3725&lt;1,NOT(AND(C3726=C3725,Y3726=Y3725+1))),INDEX(DATAS,Y3725+1),"")</f>
        <v/>
      </c>
      <c r="AG3725" s="45" t="str">
        <f aca="false">IF(AND(AA3725=1,Y3725&lt;1),IF(AND(C3726=C3725,Y3726=Y3725+1),IF(AA3726=1,"",INDEX(DATAS,Y3725+1)),INDEX(DATAS,Y3725+1)),"")</f>
        <v/>
      </c>
    </row>
    <row r="3726" customFormat="false" ht="15" hidden="false" customHeight="false" outlineLevel="0" collapsed="false">
      <c r="A3726" s="45" t="n">
        <v>46309</v>
      </c>
      <c r="B3726" s="0" t="n">
        <v>16</v>
      </c>
      <c r="C3726" s="0" t="n">
        <v>8196</v>
      </c>
      <c r="E3726" s="0" t="n">
        <v>0</v>
      </c>
      <c r="F3726" s="39" t="s">
        <v>1644</v>
      </c>
      <c r="I3726" s="39" t="s">
        <v>136</v>
      </c>
      <c r="U3726" s="0" t="n">
        <v>10</v>
      </c>
      <c r="V3726" s="0" t="n">
        <v>0</v>
      </c>
      <c r="W3726" s="39" t="n">
        <f aca="false">IF(I3726="Male",0,1)</f>
        <v>1</v>
      </c>
      <c r="X3726" s="39" t="n">
        <f aca="false">IF(OR(I3726="DNB",I3726="Dry DNB"),1,0)</f>
        <v>0</v>
      </c>
      <c r="Y3726" s="39" t="n">
        <f aca="false">MATCH(A3726,DATAS,0)</f>
        <v>1</v>
      </c>
      <c r="Z3726" s="39" t="n">
        <f aca="false">IF(AND(E3726&gt;0,OR(AND(B3726&gt;=1,B3726&lt;=6),B3726=10)),1,0)</f>
        <v>0</v>
      </c>
      <c r="AA3726" s="39" t="n">
        <f aca="false">IF(AND(E3726&gt;0,B3726=10),1,0)</f>
        <v>0</v>
      </c>
      <c r="AB3726" s="0" t="str">
        <f aca="false">IF(AND(C3725=C3726,Y3725=Y3726-1),Z3725,"")</f>
        <v/>
      </c>
      <c r="AC3726" s="0" t="str">
        <f aca="false">IF(AND(C3725=C3726,Y3725=Y3726-1),AA3725,"")</f>
        <v/>
      </c>
      <c r="AD3726" s="0" t="str">
        <f aca="false">IF(Y3726=1,"",IF(AND(Z3726=1,AB3726&lt;&gt;1),1,0))</f>
        <v/>
      </c>
      <c r="AE3726" s="0" t="str">
        <f aca="false">IF(Y3726=1,"",IF(AND(AA3726=1,AC3726&lt;&gt;1),1,0))</f>
        <v/>
      </c>
      <c r="AF3726" s="45" t="str">
        <f aca="false">IF(AND(E3726&gt;0,Y3726&lt;1,NOT(AND(C3727=C3726,Y3727=Y3726+1))),INDEX(DATAS,Y3726+1),"")</f>
        <v/>
      </c>
      <c r="AG3726" s="45" t="str">
        <f aca="false">IF(AND(AA3726=1,Y3726&lt;1),IF(AND(C3727=C3726,Y3727=Y3726+1),IF(AA3727=1,"",INDEX(DATAS,Y3726+1)),INDEX(DATAS,Y3726+1)),"")</f>
        <v/>
      </c>
    </row>
    <row r="3727" customFormat="false" ht="15" hidden="false" customHeight="false" outlineLevel="0" collapsed="false">
      <c r="A3727" s="45" t="n">
        <v>46309</v>
      </c>
      <c r="B3727" s="0" t="n">
        <v>16</v>
      </c>
      <c r="C3727" s="0" t="n">
        <v>8198</v>
      </c>
      <c r="E3727" s="0" t="n">
        <v>0</v>
      </c>
      <c r="F3727" s="39" t="s">
        <v>1644</v>
      </c>
      <c r="I3727" s="39" t="s">
        <v>136</v>
      </c>
      <c r="U3727" s="0" t="n">
        <v>10</v>
      </c>
      <c r="V3727" s="0" t="n">
        <v>0</v>
      </c>
      <c r="W3727" s="39" t="n">
        <f aca="false">IF(I3727="Male",0,1)</f>
        <v>1</v>
      </c>
      <c r="X3727" s="39" t="n">
        <f aca="false">IF(OR(I3727="DNB",I3727="Dry DNB"),1,0)</f>
        <v>0</v>
      </c>
      <c r="Y3727" s="39" t="n">
        <f aca="false">MATCH(A3727,DATAS,0)</f>
        <v>1</v>
      </c>
      <c r="Z3727" s="39" t="n">
        <f aca="false">IF(AND(E3727&gt;0,OR(AND(B3727&gt;=1,B3727&lt;=6),B3727=10)),1,0)</f>
        <v>0</v>
      </c>
      <c r="AA3727" s="39" t="n">
        <f aca="false">IF(AND(E3727&gt;0,B3727=10),1,0)</f>
        <v>0</v>
      </c>
      <c r="AB3727" s="0" t="str">
        <f aca="false">IF(AND(C3726=C3727,Y3726=Y3727-1),Z3726,"")</f>
        <v/>
      </c>
      <c r="AC3727" s="0" t="str">
        <f aca="false">IF(AND(C3726=C3727,Y3726=Y3727-1),AA3726,"")</f>
        <v/>
      </c>
      <c r="AD3727" s="0" t="str">
        <f aca="false">IF(Y3727=1,"",IF(AND(Z3727=1,AB3727&lt;&gt;1),1,0))</f>
        <v/>
      </c>
      <c r="AE3727" s="0" t="str">
        <f aca="false">IF(Y3727=1,"",IF(AND(AA3727=1,AC3727&lt;&gt;1),1,0))</f>
        <v/>
      </c>
      <c r="AF3727" s="45" t="str">
        <f aca="false">IF(AND(E3727&gt;0,Y3727&lt;1,NOT(AND(C3728=C3727,Y3728=Y3727+1))),INDEX(DATAS,Y3727+1),"")</f>
        <v/>
      </c>
      <c r="AG3727" s="45" t="str">
        <f aca="false">IF(AND(AA3727=1,Y3727&lt;1),IF(AND(C3728=C3727,Y3728=Y3727+1),IF(AA3728=1,"",INDEX(DATAS,Y3727+1)),INDEX(DATAS,Y3727+1)),"")</f>
        <v/>
      </c>
    </row>
    <row r="3728" customFormat="false" ht="15" hidden="false" customHeight="false" outlineLevel="0" collapsed="false">
      <c r="A3728" s="45" t="n">
        <v>46309</v>
      </c>
      <c r="B3728" s="0" t="n">
        <v>16</v>
      </c>
      <c r="C3728" s="0" t="n">
        <v>8199</v>
      </c>
      <c r="E3728" s="0" t="n">
        <v>0</v>
      </c>
      <c r="F3728" s="39" t="s">
        <v>1645</v>
      </c>
      <c r="I3728" s="39" t="s">
        <v>136</v>
      </c>
      <c r="U3728" s="0" t="n">
        <v>9</v>
      </c>
      <c r="V3728" s="0" t="n">
        <v>0</v>
      </c>
      <c r="W3728" s="39" t="n">
        <f aca="false">IF(I3728="Male",0,1)</f>
        <v>1</v>
      </c>
      <c r="X3728" s="39" t="n">
        <f aca="false">IF(OR(I3728="DNB",I3728="Dry DNB"),1,0)</f>
        <v>0</v>
      </c>
      <c r="Y3728" s="39" t="n">
        <f aca="false">MATCH(A3728,DATAS,0)</f>
        <v>1</v>
      </c>
      <c r="Z3728" s="39" t="n">
        <f aca="false">IF(AND(E3728&gt;0,OR(AND(B3728&gt;=1,B3728&lt;=6),B3728=10)),1,0)</f>
        <v>0</v>
      </c>
      <c r="AA3728" s="39" t="n">
        <f aca="false">IF(AND(E3728&gt;0,B3728=10),1,0)</f>
        <v>0</v>
      </c>
      <c r="AB3728" s="0" t="str">
        <f aca="false">IF(AND(C3727=C3728,Y3727=Y3728-1),Z3727,"")</f>
        <v/>
      </c>
      <c r="AC3728" s="0" t="str">
        <f aca="false">IF(AND(C3727=C3728,Y3727=Y3728-1),AA3727,"")</f>
        <v/>
      </c>
      <c r="AD3728" s="0" t="str">
        <f aca="false">IF(Y3728=1,"",IF(AND(Z3728=1,AB3728&lt;&gt;1),1,0))</f>
        <v/>
      </c>
      <c r="AE3728" s="0" t="str">
        <f aca="false">IF(Y3728=1,"",IF(AND(AA3728=1,AC3728&lt;&gt;1),1,0))</f>
        <v/>
      </c>
      <c r="AF3728" s="45" t="str">
        <f aca="false">IF(AND(E3728&gt;0,Y3728&lt;1,NOT(AND(C3729=C3728,Y3729=Y3728+1))),INDEX(DATAS,Y3728+1),"")</f>
        <v/>
      </c>
      <c r="AG3728" s="45" t="str">
        <f aca="false">IF(AND(AA3728=1,Y3728&lt;1),IF(AND(C3729=C3728,Y3729=Y3728+1),IF(AA3729=1,"",INDEX(DATAS,Y3728+1)),INDEX(DATAS,Y3728+1)),"")</f>
        <v/>
      </c>
    </row>
    <row r="3729" customFormat="false" ht="15" hidden="false" customHeight="false" outlineLevel="0" collapsed="false">
      <c r="A3729" s="45" t="n">
        <v>46309</v>
      </c>
      <c r="B3729" s="0" t="n">
        <v>16</v>
      </c>
      <c r="C3729" s="0" t="n">
        <v>8200</v>
      </c>
      <c r="E3729" s="0" t="n">
        <v>0</v>
      </c>
      <c r="F3729" s="39" t="s">
        <v>1645</v>
      </c>
      <c r="I3729" s="39" t="s">
        <v>136</v>
      </c>
      <c r="U3729" s="0" t="n">
        <v>9</v>
      </c>
      <c r="V3729" s="0" t="n">
        <v>0</v>
      </c>
      <c r="W3729" s="39" t="n">
        <f aca="false">IF(I3729="Male",0,1)</f>
        <v>1</v>
      </c>
      <c r="X3729" s="39" t="n">
        <f aca="false">IF(OR(I3729="DNB",I3729="Dry DNB"),1,0)</f>
        <v>0</v>
      </c>
      <c r="Y3729" s="39" t="n">
        <f aca="false">MATCH(A3729,DATAS,0)</f>
        <v>1</v>
      </c>
      <c r="Z3729" s="39" t="n">
        <f aca="false">IF(AND(E3729&gt;0,OR(AND(B3729&gt;=1,B3729&lt;=6),B3729=10)),1,0)</f>
        <v>0</v>
      </c>
      <c r="AA3729" s="39" t="n">
        <f aca="false">IF(AND(E3729&gt;0,B3729=10),1,0)</f>
        <v>0</v>
      </c>
      <c r="AB3729" s="0" t="str">
        <f aca="false">IF(AND(C3728=C3729,Y3728=Y3729-1),Z3728,"")</f>
        <v/>
      </c>
      <c r="AC3729" s="0" t="str">
        <f aca="false">IF(AND(C3728=C3729,Y3728=Y3729-1),AA3728,"")</f>
        <v/>
      </c>
      <c r="AD3729" s="0" t="str">
        <f aca="false">IF(Y3729=1,"",IF(AND(Z3729=1,AB3729&lt;&gt;1),1,0))</f>
        <v/>
      </c>
      <c r="AE3729" s="0" t="str">
        <f aca="false">IF(Y3729=1,"",IF(AND(AA3729=1,AC3729&lt;&gt;1),1,0))</f>
        <v/>
      </c>
      <c r="AF3729" s="45" t="str">
        <f aca="false">IF(AND(E3729&gt;0,Y3729&lt;1,NOT(AND(C3730=C3729,Y3730=Y3729+1))),INDEX(DATAS,Y3729+1),"")</f>
        <v/>
      </c>
      <c r="AG3729" s="45" t="str">
        <f aca="false">IF(AND(AA3729=1,Y3729&lt;1),IF(AND(C3730=C3729,Y3730=Y3729+1),IF(AA3730=1,"",INDEX(DATAS,Y3729+1)),INDEX(DATAS,Y3729+1)),"")</f>
        <v/>
      </c>
    </row>
    <row r="3730" customFormat="false" ht="15" hidden="false" customHeight="false" outlineLevel="0" collapsed="false">
      <c r="A3730" s="45" t="n">
        <v>46309</v>
      </c>
      <c r="B3730" s="0" t="n">
        <v>16</v>
      </c>
      <c r="C3730" s="0" t="n">
        <v>8201</v>
      </c>
      <c r="E3730" s="0" t="n">
        <v>0</v>
      </c>
      <c r="F3730" s="39" t="s">
        <v>1645</v>
      </c>
      <c r="I3730" s="39" t="s">
        <v>136</v>
      </c>
      <c r="U3730" s="0" t="n">
        <v>9</v>
      </c>
      <c r="V3730" s="0" t="n">
        <v>0</v>
      </c>
      <c r="W3730" s="39" t="n">
        <f aca="false">IF(I3730="Male",0,1)</f>
        <v>1</v>
      </c>
      <c r="X3730" s="39" t="n">
        <f aca="false">IF(OR(I3730="DNB",I3730="Dry DNB"),1,0)</f>
        <v>0</v>
      </c>
      <c r="Y3730" s="39" t="n">
        <f aca="false">MATCH(A3730,DATAS,0)</f>
        <v>1</v>
      </c>
      <c r="Z3730" s="39" t="n">
        <f aca="false">IF(AND(E3730&gt;0,OR(AND(B3730&gt;=1,B3730&lt;=6),B3730=10)),1,0)</f>
        <v>0</v>
      </c>
      <c r="AA3730" s="39" t="n">
        <f aca="false">IF(AND(E3730&gt;0,B3730=10),1,0)</f>
        <v>0</v>
      </c>
      <c r="AB3730" s="0" t="str">
        <f aca="false">IF(AND(C3729=C3730,Y3729=Y3730-1),Z3729,"")</f>
        <v/>
      </c>
      <c r="AC3730" s="0" t="str">
        <f aca="false">IF(AND(C3729=C3730,Y3729=Y3730-1),AA3729,"")</f>
        <v/>
      </c>
      <c r="AD3730" s="0" t="str">
        <f aca="false">IF(Y3730=1,"",IF(AND(Z3730=1,AB3730&lt;&gt;1),1,0))</f>
        <v/>
      </c>
      <c r="AE3730" s="0" t="str">
        <f aca="false">IF(Y3730=1,"",IF(AND(AA3730=1,AC3730&lt;&gt;1),1,0))</f>
        <v/>
      </c>
      <c r="AF3730" s="45" t="str">
        <f aca="false">IF(AND(E3730&gt;0,Y3730&lt;1,NOT(AND(C3731=C3730,Y3731=Y3730+1))),INDEX(DATAS,Y3730+1),"")</f>
        <v/>
      </c>
      <c r="AG3730" s="45" t="str">
        <f aca="false">IF(AND(AA3730=1,Y3730&lt;1),IF(AND(C3731=C3730,Y3731=Y3730+1),IF(AA3731=1,"",INDEX(DATAS,Y3730+1)),INDEX(DATAS,Y3730+1)),"")</f>
        <v/>
      </c>
    </row>
    <row r="3731" customFormat="false" ht="15" hidden="false" customHeight="false" outlineLevel="0" collapsed="false">
      <c r="A3731" s="45" t="n">
        <v>46309</v>
      </c>
      <c r="B3731" s="0" t="n">
        <v>16</v>
      </c>
      <c r="C3731" s="0" t="n">
        <v>8202</v>
      </c>
      <c r="E3731" s="0" t="n">
        <v>0</v>
      </c>
      <c r="F3731" s="39" t="s">
        <v>1646</v>
      </c>
      <c r="I3731" s="39" t="s">
        <v>136</v>
      </c>
      <c r="U3731" s="0" t="n">
        <v>8</v>
      </c>
      <c r="V3731" s="0" t="n">
        <v>0</v>
      </c>
      <c r="W3731" s="39" t="n">
        <f aca="false">IF(I3731="Male",0,1)</f>
        <v>1</v>
      </c>
      <c r="X3731" s="39" t="n">
        <f aca="false">IF(OR(I3731="DNB",I3731="Dry DNB"),1,0)</f>
        <v>0</v>
      </c>
      <c r="Y3731" s="39" t="n">
        <f aca="false">MATCH(A3731,DATAS,0)</f>
        <v>1</v>
      </c>
      <c r="Z3731" s="39" t="n">
        <f aca="false">IF(AND(E3731&gt;0,OR(AND(B3731&gt;=1,B3731&lt;=6),B3731=10)),1,0)</f>
        <v>0</v>
      </c>
      <c r="AA3731" s="39" t="n">
        <f aca="false">IF(AND(E3731&gt;0,B3731=10),1,0)</f>
        <v>0</v>
      </c>
      <c r="AB3731" s="0" t="str">
        <f aca="false">IF(AND(C3730=C3731,Y3730=Y3731-1),Z3730,"")</f>
        <v/>
      </c>
      <c r="AC3731" s="0" t="str">
        <f aca="false">IF(AND(C3730=C3731,Y3730=Y3731-1),AA3730,"")</f>
        <v/>
      </c>
      <c r="AD3731" s="0" t="str">
        <f aca="false">IF(Y3731=1,"",IF(AND(Z3731=1,AB3731&lt;&gt;1),1,0))</f>
        <v/>
      </c>
      <c r="AE3731" s="0" t="str">
        <f aca="false">IF(Y3731=1,"",IF(AND(AA3731=1,AC3731&lt;&gt;1),1,0))</f>
        <v/>
      </c>
      <c r="AF3731" s="45" t="str">
        <f aca="false">IF(AND(E3731&gt;0,Y3731&lt;1,NOT(AND(C3732=C3731,Y3732=Y3731+1))),INDEX(DATAS,Y3731+1),"")</f>
        <v/>
      </c>
      <c r="AG3731" s="45" t="str">
        <f aca="false">IF(AND(AA3731=1,Y3731&lt;1),IF(AND(C3732=C3731,Y3732=Y3731+1),IF(AA3732=1,"",INDEX(DATAS,Y3731+1)),INDEX(DATAS,Y3731+1)),"")</f>
        <v/>
      </c>
    </row>
    <row r="3732" customFormat="false" ht="15" hidden="false" customHeight="false" outlineLevel="0" collapsed="false">
      <c r="A3732" s="45" t="n">
        <v>46309</v>
      </c>
      <c r="B3732" s="0" t="n">
        <v>16</v>
      </c>
      <c r="C3732" s="0" t="n">
        <v>8203</v>
      </c>
      <c r="E3732" s="0" t="n">
        <v>0</v>
      </c>
      <c r="F3732" s="39" t="s">
        <v>1646</v>
      </c>
      <c r="I3732" s="39" t="s">
        <v>136</v>
      </c>
      <c r="U3732" s="0" t="n">
        <v>8</v>
      </c>
      <c r="V3732" s="0" t="n">
        <v>0</v>
      </c>
      <c r="W3732" s="39" t="n">
        <f aca="false">IF(I3732="Male",0,1)</f>
        <v>1</v>
      </c>
      <c r="X3732" s="39" t="n">
        <f aca="false">IF(OR(I3732="DNB",I3732="Dry DNB"),1,0)</f>
        <v>0</v>
      </c>
      <c r="Y3732" s="39" t="n">
        <f aca="false">MATCH(A3732,DATAS,0)</f>
        <v>1</v>
      </c>
      <c r="Z3732" s="39" t="n">
        <f aca="false">IF(AND(E3732&gt;0,OR(AND(B3732&gt;=1,B3732&lt;=6),B3732=10)),1,0)</f>
        <v>0</v>
      </c>
      <c r="AA3732" s="39" t="n">
        <f aca="false">IF(AND(E3732&gt;0,B3732=10),1,0)</f>
        <v>0</v>
      </c>
      <c r="AB3732" s="0" t="str">
        <f aca="false">IF(AND(C3731=C3732,Y3731=Y3732-1),Z3731,"")</f>
        <v/>
      </c>
      <c r="AC3732" s="0" t="str">
        <f aca="false">IF(AND(C3731=C3732,Y3731=Y3732-1),AA3731,"")</f>
        <v/>
      </c>
      <c r="AD3732" s="0" t="str">
        <f aca="false">IF(Y3732=1,"",IF(AND(Z3732=1,AB3732&lt;&gt;1),1,0))</f>
        <v/>
      </c>
      <c r="AE3732" s="0" t="str">
        <f aca="false">IF(Y3732=1,"",IF(AND(AA3732=1,AC3732&lt;&gt;1),1,0))</f>
        <v/>
      </c>
      <c r="AF3732" s="45" t="str">
        <f aca="false">IF(AND(E3732&gt;0,Y3732&lt;1,NOT(AND(C3733=C3732,Y3733=Y3732+1))),INDEX(DATAS,Y3732+1),"")</f>
        <v/>
      </c>
      <c r="AG3732" s="45" t="str">
        <f aca="false">IF(AND(AA3732=1,Y3732&lt;1),IF(AND(C3733=C3732,Y3733=Y3732+1),IF(AA3733=1,"",INDEX(DATAS,Y3732+1)),INDEX(DATAS,Y3732+1)),"")</f>
        <v/>
      </c>
    </row>
    <row r="3733" customFormat="false" ht="15" hidden="false" customHeight="false" outlineLevel="0" collapsed="false">
      <c r="A3733" s="45" t="n">
        <v>46309</v>
      </c>
      <c r="B3733" s="0" t="n">
        <v>16</v>
      </c>
      <c r="C3733" s="0" t="n">
        <v>8204</v>
      </c>
      <c r="E3733" s="0" t="n">
        <v>0</v>
      </c>
      <c r="F3733" s="39" t="s">
        <v>1646</v>
      </c>
      <c r="I3733" s="39" t="s">
        <v>136</v>
      </c>
      <c r="U3733" s="0" t="n">
        <v>8</v>
      </c>
      <c r="V3733" s="0" t="n">
        <v>0</v>
      </c>
      <c r="W3733" s="39" t="n">
        <f aca="false">IF(I3733="Male",0,1)</f>
        <v>1</v>
      </c>
      <c r="X3733" s="39" t="n">
        <f aca="false">IF(OR(I3733="DNB",I3733="Dry DNB"),1,0)</f>
        <v>0</v>
      </c>
      <c r="Y3733" s="39" t="n">
        <f aca="false">MATCH(A3733,DATAS,0)</f>
        <v>1</v>
      </c>
      <c r="Z3733" s="39" t="n">
        <f aca="false">IF(AND(E3733&gt;0,OR(AND(B3733&gt;=1,B3733&lt;=6),B3733=10)),1,0)</f>
        <v>0</v>
      </c>
      <c r="AA3733" s="39" t="n">
        <f aca="false">IF(AND(E3733&gt;0,B3733=10),1,0)</f>
        <v>0</v>
      </c>
      <c r="AB3733" s="0" t="str">
        <f aca="false">IF(AND(C3732=C3733,Y3732=Y3733-1),Z3732,"")</f>
        <v/>
      </c>
      <c r="AC3733" s="0" t="str">
        <f aca="false">IF(AND(C3732=C3733,Y3732=Y3733-1),AA3732,"")</f>
        <v/>
      </c>
      <c r="AD3733" s="0" t="str">
        <f aca="false">IF(Y3733=1,"",IF(AND(Z3733=1,AB3733&lt;&gt;1),1,0))</f>
        <v/>
      </c>
      <c r="AE3733" s="0" t="str">
        <f aca="false">IF(Y3733=1,"",IF(AND(AA3733=1,AC3733&lt;&gt;1),1,0))</f>
        <v/>
      </c>
      <c r="AF3733" s="45" t="str">
        <f aca="false">IF(AND(E3733&gt;0,Y3733&lt;1,NOT(AND(C3734=C3733,Y3734=Y3733+1))),INDEX(DATAS,Y3733+1),"")</f>
        <v/>
      </c>
      <c r="AG3733" s="45" t="str">
        <f aca="false">IF(AND(AA3733=1,Y3733&lt;1),IF(AND(C3734=C3733,Y3734=Y3733+1),IF(AA3734=1,"",INDEX(DATAS,Y3733+1)),INDEX(DATAS,Y3733+1)),"")</f>
        <v/>
      </c>
    </row>
    <row r="3734" customFormat="false" ht="15" hidden="false" customHeight="false" outlineLevel="0" collapsed="false">
      <c r="A3734" s="45" t="n">
        <v>46309</v>
      </c>
      <c r="B3734" s="0" t="n">
        <v>16</v>
      </c>
      <c r="C3734" s="0" t="n">
        <v>8205</v>
      </c>
      <c r="E3734" s="0" t="n">
        <v>0</v>
      </c>
      <c r="F3734" s="39" t="s">
        <v>1646</v>
      </c>
      <c r="I3734" s="39" t="s">
        <v>136</v>
      </c>
      <c r="U3734" s="0" t="n">
        <v>8</v>
      </c>
      <c r="V3734" s="0" t="n">
        <v>0</v>
      </c>
      <c r="W3734" s="39" t="n">
        <f aca="false">IF(I3734="Male",0,1)</f>
        <v>1</v>
      </c>
      <c r="X3734" s="39" t="n">
        <f aca="false">IF(OR(I3734="DNB",I3734="Dry DNB"),1,0)</f>
        <v>0</v>
      </c>
      <c r="Y3734" s="39" t="n">
        <f aca="false">MATCH(A3734,DATAS,0)</f>
        <v>1</v>
      </c>
      <c r="Z3734" s="39" t="n">
        <f aca="false">IF(AND(E3734&gt;0,OR(AND(B3734&gt;=1,B3734&lt;=6),B3734=10)),1,0)</f>
        <v>0</v>
      </c>
      <c r="AA3734" s="39" t="n">
        <f aca="false">IF(AND(E3734&gt;0,B3734=10),1,0)</f>
        <v>0</v>
      </c>
      <c r="AB3734" s="0" t="str">
        <f aca="false">IF(AND(C3733=C3734,Y3733=Y3734-1),Z3733,"")</f>
        <v/>
      </c>
      <c r="AC3734" s="0" t="str">
        <f aca="false">IF(AND(C3733=C3734,Y3733=Y3734-1),AA3733,"")</f>
        <v/>
      </c>
      <c r="AD3734" s="0" t="str">
        <f aca="false">IF(Y3734=1,"",IF(AND(Z3734=1,AB3734&lt;&gt;1),1,0))</f>
        <v/>
      </c>
      <c r="AE3734" s="0" t="str">
        <f aca="false">IF(Y3734=1,"",IF(AND(AA3734=1,AC3734&lt;&gt;1),1,0))</f>
        <v/>
      </c>
      <c r="AF3734" s="45" t="str">
        <f aca="false">IF(AND(E3734&gt;0,Y3734&lt;1,NOT(AND(C3735=C3734,Y3735=Y3734+1))),INDEX(DATAS,Y3734+1),"")</f>
        <v/>
      </c>
      <c r="AG3734" s="45" t="str">
        <f aca="false">IF(AND(AA3734=1,Y3734&lt;1),IF(AND(C3735=C3734,Y3735=Y3734+1),IF(AA3735=1,"",INDEX(DATAS,Y3734+1)),INDEX(DATAS,Y3734+1)),"")</f>
        <v/>
      </c>
    </row>
    <row r="3735" customFormat="false" ht="15" hidden="false" customHeight="false" outlineLevel="0" collapsed="false">
      <c r="A3735" s="45" t="n">
        <v>46309</v>
      </c>
      <c r="B3735" s="0" t="n">
        <v>16</v>
      </c>
      <c r="C3735" s="0" t="n">
        <v>8206</v>
      </c>
      <c r="E3735" s="0" t="n">
        <v>0</v>
      </c>
      <c r="F3735" s="39" t="s">
        <v>1646</v>
      </c>
      <c r="I3735" s="39" t="s">
        <v>136</v>
      </c>
      <c r="U3735" s="0" t="n">
        <v>8</v>
      </c>
      <c r="V3735" s="0" t="n">
        <v>0</v>
      </c>
      <c r="W3735" s="39" t="n">
        <f aca="false">IF(I3735="Male",0,1)</f>
        <v>1</v>
      </c>
      <c r="X3735" s="39" t="n">
        <f aca="false">IF(OR(I3735="DNB",I3735="Dry DNB"),1,0)</f>
        <v>0</v>
      </c>
      <c r="Y3735" s="39" t="n">
        <f aca="false">MATCH(A3735,DATAS,0)</f>
        <v>1</v>
      </c>
      <c r="Z3735" s="39" t="n">
        <f aca="false">IF(AND(E3735&gt;0,OR(AND(B3735&gt;=1,B3735&lt;=6),B3735=10)),1,0)</f>
        <v>0</v>
      </c>
      <c r="AA3735" s="39" t="n">
        <f aca="false">IF(AND(E3735&gt;0,B3735=10),1,0)</f>
        <v>0</v>
      </c>
      <c r="AB3735" s="0" t="str">
        <f aca="false">IF(AND(C3734=C3735,Y3734=Y3735-1),Z3734,"")</f>
        <v/>
      </c>
      <c r="AC3735" s="0" t="str">
        <f aca="false">IF(AND(C3734=C3735,Y3734=Y3735-1),AA3734,"")</f>
        <v/>
      </c>
      <c r="AD3735" s="0" t="str">
        <f aca="false">IF(Y3735=1,"",IF(AND(Z3735=1,AB3735&lt;&gt;1),1,0))</f>
        <v/>
      </c>
      <c r="AE3735" s="0" t="str">
        <f aca="false">IF(Y3735=1,"",IF(AND(AA3735=1,AC3735&lt;&gt;1),1,0))</f>
        <v/>
      </c>
      <c r="AF3735" s="45" t="str">
        <f aca="false">IF(AND(E3735&gt;0,Y3735&lt;1,NOT(AND(C3736=C3735,Y3736=Y3735+1))),INDEX(DATAS,Y3735+1),"")</f>
        <v/>
      </c>
      <c r="AG3735" s="45" t="str">
        <f aca="false">IF(AND(AA3735=1,Y3735&lt;1),IF(AND(C3736=C3735,Y3736=Y3735+1),IF(AA3736=1,"",INDEX(DATAS,Y3735+1)),INDEX(DATAS,Y3735+1)),"")</f>
        <v/>
      </c>
    </row>
    <row r="3736" customFormat="false" ht="15" hidden="false" customHeight="false" outlineLevel="0" collapsed="false">
      <c r="A3736" s="45" t="n">
        <v>46309</v>
      </c>
      <c r="B3736" s="0" t="n">
        <v>16</v>
      </c>
      <c r="C3736" s="0" t="n">
        <v>8207</v>
      </c>
      <c r="E3736" s="0" t="n">
        <v>0</v>
      </c>
      <c r="F3736" s="39" t="s">
        <v>1647</v>
      </c>
      <c r="I3736" s="39" t="s">
        <v>136</v>
      </c>
      <c r="U3736" s="0" t="n">
        <v>7</v>
      </c>
      <c r="V3736" s="0" t="n">
        <v>0</v>
      </c>
      <c r="W3736" s="39" t="n">
        <f aca="false">IF(I3736="Male",0,1)</f>
        <v>1</v>
      </c>
      <c r="X3736" s="39" t="n">
        <f aca="false">IF(OR(I3736="DNB",I3736="Dry DNB"),1,0)</f>
        <v>0</v>
      </c>
      <c r="Y3736" s="39" t="n">
        <f aca="false">MATCH(A3736,DATAS,0)</f>
        <v>1</v>
      </c>
      <c r="Z3736" s="39" t="n">
        <f aca="false">IF(AND(E3736&gt;0,OR(AND(B3736&gt;=1,B3736&lt;=6),B3736=10)),1,0)</f>
        <v>0</v>
      </c>
      <c r="AA3736" s="39" t="n">
        <f aca="false">IF(AND(E3736&gt;0,B3736=10),1,0)</f>
        <v>0</v>
      </c>
      <c r="AB3736" s="0" t="str">
        <f aca="false">IF(AND(C3735=C3736,Y3735=Y3736-1),Z3735,"")</f>
        <v/>
      </c>
      <c r="AC3736" s="0" t="str">
        <f aca="false">IF(AND(C3735=C3736,Y3735=Y3736-1),AA3735,"")</f>
        <v/>
      </c>
      <c r="AD3736" s="0" t="str">
        <f aca="false">IF(Y3736=1,"",IF(AND(Z3736=1,AB3736&lt;&gt;1),1,0))</f>
        <v/>
      </c>
      <c r="AE3736" s="0" t="str">
        <f aca="false">IF(Y3736=1,"",IF(AND(AA3736=1,AC3736&lt;&gt;1),1,0))</f>
        <v/>
      </c>
      <c r="AF3736" s="45" t="str">
        <f aca="false">IF(AND(E3736&gt;0,Y3736&lt;1,NOT(AND(C3737=C3736,Y3737=Y3736+1))),INDEX(DATAS,Y3736+1),"")</f>
        <v/>
      </c>
      <c r="AG3736" s="45" t="str">
        <f aca="false">IF(AND(AA3736=1,Y3736&lt;1),IF(AND(C3737=C3736,Y3737=Y3736+1),IF(AA3737=1,"",INDEX(DATAS,Y3736+1)),INDEX(DATAS,Y3736+1)),"")</f>
        <v/>
      </c>
    </row>
    <row r="3737" customFormat="false" ht="15" hidden="false" customHeight="false" outlineLevel="0" collapsed="false">
      <c r="A3737" s="45" t="n">
        <v>46309</v>
      </c>
      <c r="B3737" s="0" t="n">
        <v>16</v>
      </c>
      <c r="C3737" s="0" t="n">
        <v>8208</v>
      </c>
      <c r="E3737" s="0" t="n">
        <v>0</v>
      </c>
      <c r="F3737" s="39" t="s">
        <v>1648</v>
      </c>
      <c r="I3737" s="39" t="s">
        <v>136</v>
      </c>
      <c r="U3737" s="0" t="n">
        <v>6</v>
      </c>
      <c r="V3737" s="0" t="n">
        <v>0</v>
      </c>
      <c r="W3737" s="39" t="n">
        <f aca="false">IF(I3737="Male",0,1)</f>
        <v>1</v>
      </c>
      <c r="X3737" s="39" t="n">
        <f aca="false">IF(OR(I3737="DNB",I3737="Dry DNB"),1,0)</f>
        <v>0</v>
      </c>
      <c r="Y3737" s="39" t="n">
        <f aca="false">MATCH(A3737,DATAS,0)</f>
        <v>1</v>
      </c>
      <c r="Z3737" s="39" t="n">
        <f aca="false">IF(AND(E3737&gt;0,OR(AND(B3737&gt;=1,B3737&lt;=6),B3737=10)),1,0)</f>
        <v>0</v>
      </c>
      <c r="AA3737" s="39" t="n">
        <f aca="false">IF(AND(E3737&gt;0,B3737=10),1,0)</f>
        <v>0</v>
      </c>
      <c r="AB3737" s="0" t="str">
        <f aca="false">IF(AND(C3736=C3737,Y3736=Y3737-1),Z3736,"")</f>
        <v/>
      </c>
      <c r="AC3737" s="0" t="str">
        <f aca="false">IF(AND(C3736=C3737,Y3736=Y3737-1),AA3736,"")</f>
        <v/>
      </c>
      <c r="AD3737" s="0" t="str">
        <f aca="false">IF(Y3737=1,"",IF(AND(Z3737=1,AB3737&lt;&gt;1),1,0))</f>
        <v/>
      </c>
      <c r="AE3737" s="0" t="str">
        <f aca="false">IF(Y3737=1,"",IF(AND(AA3737=1,AC3737&lt;&gt;1),1,0))</f>
        <v/>
      </c>
      <c r="AF3737" s="45" t="str">
        <f aca="false">IF(AND(E3737&gt;0,Y3737&lt;1,NOT(AND(C3738=C3737,Y3738=Y3737+1))),INDEX(DATAS,Y3737+1),"")</f>
        <v/>
      </c>
      <c r="AG3737" s="45" t="str">
        <f aca="false">IF(AND(AA3737=1,Y3737&lt;1),IF(AND(C3738=C3737,Y3738=Y3737+1),IF(AA3738=1,"",INDEX(DATAS,Y3737+1)),INDEX(DATAS,Y3737+1)),"")</f>
        <v/>
      </c>
    </row>
    <row r="3738" customFormat="false" ht="15" hidden="false" customHeight="false" outlineLevel="0" collapsed="false">
      <c r="A3738" s="45" t="n">
        <v>46309</v>
      </c>
      <c r="B3738" s="0" t="n">
        <v>16</v>
      </c>
      <c r="C3738" s="0" t="n">
        <v>8209</v>
      </c>
      <c r="E3738" s="0" t="n">
        <v>0</v>
      </c>
      <c r="F3738" s="39" t="s">
        <v>1648</v>
      </c>
      <c r="I3738" s="39" t="s">
        <v>136</v>
      </c>
      <c r="U3738" s="0" t="n">
        <v>6</v>
      </c>
      <c r="V3738" s="0" t="n">
        <v>0</v>
      </c>
      <c r="W3738" s="39" t="n">
        <f aca="false">IF(I3738="Male",0,1)</f>
        <v>1</v>
      </c>
      <c r="X3738" s="39" t="n">
        <f aca="false">IF(OR(I3738="DNB",I3738="Dry DNB"),1,0)</f>
        <v>0</v>
      </c>
      <c r="Y3738" s="39" t="n">
        <f aca="false">MATCH(A3738,DATAS,0)</f>
        <v>1</v>
      </c>
      <c r="Z3738" s="39" t="n">
        <f aca="false">IF(AND(E3738&gt;0,OR(AND(B3738&gt;=1,B3738&lt;=6),B3738=10)),1,0)</f>
        <v>0</v>
      </c>
      <c r="AA3738" s="39" t="n">
        <f aca="false">IF(AND(E3738&gt;0,B3738=10),1,0)</f>
        <v>0</v>
      </c>
      <c r="AB3738" s="0" t="str">
        <f aca="false">IF(AND(C3737=C3738,Y3737=Y3738-1),Z3737,"")</f>
        <v/>
      </c>
      <c r="AC3738" s="0" t="str">
        <f aca="false">IF(AND(C3737=C3738,Y3737=Y3738-1),AA3737,"")</f>
        <v/>
      </c>
      <c r="AD3738" s="0" t="str">
        <f aca="false">IF(Y3738=1,"",IF(AND(Z3738=1,AB3738&lt;&gt;1),1,0))</f>
        <v/>
      </c>
      <c r="AE3738" s="0" t="str">
        <f aca="false">IF(Y3738=1,"",IF(AND(AA3738=1,AC3738&lt;&gt;1),1,0))</f>
        <v/>
      </c>
      <c r="AF3738" s="45" t="str">
        <f aca="false">IF(AND(E3738&gt;0,Y3738&lt;1,NOT(AND(C3739=C3738,Y3739=Y3738+1))),INDEX(DATAS,Y3738+1),"")</f>
        <v/>
      </c>
      <c r="AG3738" s="45" t="str">
        <f aca="false">IF(AND(AA3738=1,Y3738&lt;1),IF(AND(C3739=C3738,Y3739=Y3738+1),IF(AA3739=1,"",INDEX(DATAS,Y3738+1)),INDEX(DATAS,Y3738+1)),"")</f>
        <v/>
      </c>
    </row>
    <row r="3739" customFormat="false" ht="15" hidden="false" customHeight="false" outlineLevel="0" collapsed="false">
      <c r="A3739" s="45" t="n">
        <v>46309</v>
      </c>
      <c r="B3739" s="0" t="n">
        <v>16</v>
      </c>
      <c r="C3739" s="0" t="n">
        <v>8210</v>
      </c>
      <c r="E3739" s="0" t="n">
        <v>0</v>
      </c>
      <c r="F3739" s="39" t="s">
        <v>1649</v>
      </c>
      <c r="I3739" s="39" t="s">
        <v>136</v>
      </c>
      <c r="U3739" s="0" t="n">
        <v>5</v>
      </c>
      <c r="V3739" s="0" t="n">
        <v>0</v>
      </c>
      <c r="W3739" s="39" t="n">
        <f aca="false">IF(I3739="Male",0,1)</f>
        <v>1</v>
      </c>
      <c r="X3739" s="39" t="n">
        <f aca="false">IF(OR(I3739="DNB",I3739="Dry DNB"),1,0)</f>
        <v>0</v>
      </c>
      <c r="Y3739" s="39" t="n">
        <f aca="false">MATCH(A3739,DATAS,0)</f>
        <v>1</v>
      </c>
      <c r="Z3739" s="39" t="n">
        <f aca="false">IF(AND(E3739&gt;0,OR(AND(B3739&gt;=1,B3739&lt;=6),B3739=10)),1,0)</f>
        <v>0</v>
      </c>
      <c r="AA3739" s="39" t="n">
        <f aca="false">IF(AND(E3739&gt;0,B3739=10),1,0)</f>
        <v>0</v>
      </c>
      <c r="AB3739" s="0" t="str">
        <f aca="false">IF(AND(C3738=C3739,Y3738=Y3739-1),Z3738,"")</f>
        <v/>
      </c>
      <c r="AC3739" s="0" t="str">
        <f aca="false">IF(AND(C3738=C3739,Y3738=Y3739-1),AA3738,"")</f>
        <v/>
      </c>
      <c r="AD3739" s="0" t="str">
        <f aca="false">IF(Y3739=1,"",IF(AND(Z3739=1,AB3739&lt;&gt;1),1,0))</f>
        <v/>
      </c>
      <c r="AE3739" s="0" t="str">
        <f aca="false">IF(Y3739=1,"",IF(AND(AA3739=1,AC3739&lt;&gt;1),1,0))</f>
        <v/>
      </c>
      <c r="AF3739" s="45" t="str">
        <f aca="false">IF(AND(E3739&gt;0,Y3739&lt;1,NOT(AND(C3740=C3739,Y3740=Y3739+1))),INDEX(DATAS,Y3739+1),"")</f>
        <v/>
      </c>
      <c r="AG3739" s="45" t="str">
        <f aca="false">IF(AND(AA3739=1,Y3739&lt;1),IF(AND(C3740=C3739,Y3740=Y3739+1),IF(AA3740=1,"",INDEX(DATAS,Y3739+1)),INDEX(DATAS,Y3739+1)),"")</f>
        <v/>
      </c>
    </row>
    <row r="3740" customFormat="false" ht="15" hidden="false" customHeight="false" outlineLevel="0" collapsed="false">
      <c r="A3740" s="45" t="n">
        <v>46309</v>
      </c>
      <c r="B3740" s="0" t="n">
        <v>16</v>
      </c>
      <c r="C3740" s="0" t="n">
        <v>8211</v>
      </c>
      <c r="E3740" s="0" t="n">
        <v>0</v>
      </c>
      <c r="F3740" s="39" t="s">
        <v>1649</v>
      </c>
      <c r="I3740" s="39" t="s">
        <v>136</v>
      </c>
      <c r="U3740" s="0" t="n">
        <v>5</v>
      </c>
      <c r="V3740" s="0" t="n">
        <v>0</v>
      </c>
      <c r="W3740" s="39" t="n">
        <f aca="false">IF(I3740="Male",0,1)</f>
        <v>1</v>
      </c>
      <c r="X3740" s="39" t="n">
        <f aca="false">IF(OR(I3740="DNB",I3740="Dry DNB"),1,0)</f>
        <v>0</v>
      </c>
      <c r="Y3740" s="39" t="n">
        <f aca="false">MATCH(A3740,DATAS,0)</f>
        <v>1</v>
      </c>
      <c r="Z3740" s="39" t="n">
        <f aca="false">IF(AND(E3740&gt;0,OR(AND(B3740&gt;=1,B3740&lt;=6),B3740=10)),1,0)</f>
        <v>0</v>
      </c>
      <c r="AA3740" s="39" t="n">
        <f aca="false">IF(AND(E3740&gt;0,B3740=10),1,0)</f>
        <v>0</v>
      </c>
      <c r="AB3740" s="0" t="str">
        <f aca="false">IF(AND(C3739=C3740,Y3739=Y3740-1),Z3739,"")</f>
        <v/>
      </c>
      <c r="AC3740" s="0" t="str">
        <f aca="false">IF(AND(C3739=C3740,Y3739=Y3740-1),AA3739,"")</f>
        <v/>
      </c>
      <c r="AD3740" s="0" t="str">
        <f aca="false">IF(Y3740=1,"",IF(AND(Z3740=1,AB3740&lt;&gt;1),1,0))</f>
        <v/>
      </c>
      <c r="AE3740" s="0" t="str">
        <f aca="false">IF(Y3740=1,"",IF(AND(AA3740=1,AC3740&lt;&gt;1),1,0))</f>
        <v/>
      </c>
      <c r="AF3740" s="45" t="str">
        <f aca="false">IF(AND(E3740&gt;0,Y3740&lt;1,NOT(AND(C3741=C3740,Y3741=Y3740+1))),INDEX(DATAS,Y3740+1),"")</f>
        <v/>
      </c>
      <c r="AG3740" s="45" t="str">
        <f aca="false">IF(AND(AA3740=1,Y3740&lt;1),IF(AND(C3741=C3740,Y3741=Y3740+1),IF(AA3741=1,"",INDEX(DATAS,Y3740+1)),INDEX(DATAS,Y3740+1)),"")</f>
        <v/>
      </c>
    </row>
    <row r="3741" customFormat="false" ht="15" hidden="false" customHeight="false" outlineLevel="0" collapsed="false">
      <c r="A3741" s="45" t="n">
        <v>46309</v>
      </c>
      <c r="B3741" s="0" t="n">
        <v>16</v>
      </c>
      <c r="C3741" s="0" t="n">
        <v>8212</v>
      </c>
      <c r="E3741" s="0" t="n">
        <v>0</v>
      </c>
      <c r="F3741" s="39" t="s">
        <v>1649</v>
      </c>
      <c r="I3741" s="39" t="s">
        <v>136</v>
      </c>
      <c r="U3741" s="0" t="n">
        <v>5</v>
      </c>
      <c r="V3741" s="0" t="n">
        <v>0</v>
      </c>
      <c r="W3741" s="39" t="n">
        <f aca="false">IF(I3741="Male",0,1)</f>
        <v>1</v>
      </c>
      <c r="X3741" s="39" t="n">
        <f aca="false">IF(OR(I3741="DNB",I3741="Dry DNB"),1,0)</f>
        <v>0</v>
      </c>
      <c r="Y3741" s="39" t="n">
        <f aca="false">MATCH(A3741,DATAS,0)</f>
        <v>1</v>
      </c>
      <c r="Z3741" s="39" t="n">
        <f aca="false">IF(AND(E3741&gt;0,OR(AND(B3741&gt;=1,B3741&lt;=6),B3741=10)),1,0)</f>
        <v>0</v>
      </c>
      <c r="AA3741" s="39" t="n">
        <f aca="false">IF(AND(E3741&gt;0,B3741=10),1,0)</f>
        <v>0</v>
      </c>
      <c r="AB3741" s="0" t="str">
        <f aca="false">IF(AND(C3740=C3741,Y3740=Y3741-1),Z3740,"")</f>
        <v/>
      </c>
      <c r="AC3741" s="0" t="str">
        <f aca="false">IF(AND(C3740=C3741,Y3740=Y3741-1),AA3740,"")</f>
        <v/>
      </c>
      <c r="AD3741" s="0" t="str">
        <f aca="false">IF(Y3741=1,"",IF(AND(Z3741=1,AB3741&lt;&gt;1),1,0))</f>
        <v/>
      </c>
      <c r="AE3741" s="0" t="str">
        <f aca="false">IF(Y3741=1,"",IF(AND(AA3741=1,AC3741&lt;&gt;1),1,0))</f>
        <v/>
      </c>
      <c r="AF3741" s="45" t="str">
        <f aca="false">IF(AND(E3741&gt;0,Y3741&lt;1,NOT(AND(C3742=C3741,Y3742=Y3741+1))),INDEX(DATAS,Y3741+1),"")</f>
        <v/>
      </c>
      <c r="AG3741" s="45" t="str">
        <f aca="false">IF(AND(AA3741=1,Y3741&lt;1),IF(AND(C3742=C3741,Y3742=Y3741+1),IF(AA3742=1,"",INDEX(DATAS,Y3741+1)),INDEX(DATAS,Y3741+1)),"")</f>
        <v/>
      </c>
    </row>
    <row r="3742" customFormat="false" ht="15" hidden="false" customHeight="false" outlineLevel="0" collapsed="false">
      <c r="A3742" s="45" t="n">
        <v>46309</v>
      </c>
      <c r="B3742" s="0" t="n">
        <v>16</v>
      </c>
      <c r="C3742" s="0" t="n">
        <v>8213</v>
      </c>
      <c r="E3742" s="0" t="n">
        <v>0</v>
      </c>
      <c r="F3742" s="39" t="s">
        <v>1649</v>
      </c>
      <c r="I3742" s="39" t="s">
        <v>136</v>
      </c>
      <c r="U3742" s="0" t="n">
        <v>5</v>
      </c>
      <c r="V3742" s="0" t="n">
        <v>0</v>
      </c>
      <c r="W3742" s="39" t="n">
        <f aca="false">IF(I3742="Male",0,1)</f>
        <v>1</v>
      </c>
      <c r="X3742" s="39" t="n">
        <f aca="false">IF(OR(I3742="DNB",I3742="Dry DNB"),1,0)</f>
        <v>0</v>
      </c>
      <c r="Y3742" s="39" t="n">
        <f aca="false">MATCH(A3742,DATAS,0)</f>
        <v>1</v>
      </c>
      <c r="Z3742" s="39" t="n">
        <f aca="false">IF(AND(E3742&gt;0,OR(AND(B3742&gt;=1,B3742&lt;=6),B3742=10)),1,0)</f>
        <v>0</v>
      </c>
      <c r="AA3742" s="39" t="n">
        <f aca="false">IF(AND(E3742&gt;0,B3742=10),1,0)</f>
        <v>0</v>
      </c>
      <c r="AB3742" s="0" t="str">
        <f aca="false">IF(AND(C3741=C3742,Y3741=Y3742-1),Z3741,"")</f>
        <v/>
      </c>
      <c r="AC3742" s="0" t="str">
        <f aca="false">IF(AND(C3741=C3742,Y3741=Y3742-1),AA3741,"")</f>
        <v/>
      </c>
      <c r="AD3742" s="0" t="str">
        <f aca="false">IF(Y3742=1,"",IF(AND(Z3742=1,AB3742&lt;&gt;1),1,0))</f>
        <v/>
      </c>
      <c r="AE3742" s="0" t="str">
        <f aca="false">IF(Y3742=1,"",IF(AND(AA3742=1,AC3742&lt;&gt;1),1,0))</f>
        <v/>
      </c>
      <c r="AF3742" s="45" t="str">
        <f aca="false">IF(AND(E3742&gt;0,Y3742&lt;1,NOT(AND(C3743=C3742,Y3743=Y3742+1))),INDEX(DATAS,Y3742+1),"")</f>
        <v/>
      </c>
      <c r="AG3742" s="45" t="str">
        <f aca="false">IF(AND(AA3742=1,Y3742&lt;1),IF(AND(C3743=C3742,Y3743=Y3742+1),IF(AA3743=1,"",INDEX(DATAS,Y3742+1)),INDEX(DATAS,Y3742+1)),"")</f>
        <v/>
      </c>
    </row>
    <row r="3743" customFormat="false" ht="15" hidden="false" customHeight="false" outlineLevel="0" collapsed="false">
      <c r="A3743" s="45" t="n">
        <v>46309</v>
      </c>
      <c r="B3743" s="0" t="n">
        <v>16</v>
      </c>
      <c r="C3743" s="0" t="n">
        <v>8214</v>
      </c>
      <c r="E3743" s="0" t="n">
        <v>0</v>
      </c>
      <c r="F3743" s="39" t="s">
        <v>106</v>
      </c>
      <c r="I3743" s="39" t="s">
        <v>136</v>
      </c>
      <c r="U3743" s="0" t="n">
        <v>4</v>
      </c>
      <c r="V3743" s="0" t="n">
        <v>0</v>
      </c>
      <c r="W3743" s="39" t="n">
        <f aca="false">IF(I3743="Male",0,1)</f>
        <v>1</v>
      </c>
      <c r="X3743" s="39" t="n">
        <f aca="false">IF(OR(I3743="DNB",I3743="Dry DNB"),1,0)</f>
        <v>0</v>
      </c>
      <c r="Y3743" s="39" t="n">
        <f aca="false">MATCH(A3743,DATAS,0)</f>
        <v>1</v>
      </c>
      <c r="Z3743" s="39" t="n">
        <f aca="false">IF(AND(E3743&gt;0,OR(AND(B3743&gt;=1,B3743&lt;=6),B3743=10)),1,0)</f>
        <v>0</v>
      </c>
      <c r="AA3743" s="39" t="n">
        <f aca="false">IF(AND(E3743&gt;0,B3743=10),1,0)</f>
        <v>0</v>
      </c>
      <c r="AB3743" s="0" t="str">
        <f aca="false">IF(AND(C3742=C3743,Y3742=Y3743-1),Z3742,"")</f>
        <v/>
      </c>
      <c r="AC3743" s="0" t="str">
        <f aca="false">IF(AND(C3742=C3743,Y3742=Y3743-1),AA3742,"")</f>
        <v/>
      </c>
      <c r="AD3743" s="0" t="str">
        <f aca="false">IF(Y3743=1,"",IF(AND(Z3743=1,AB3743&lt;&gt;1),1,0))</f>
        <v/>
      </c>
      <c r="AE3743" s="0" t="str">
        <f aca="false">IF(Y3743=1,"",IF(AND(AA3743=1,AC3743&lt;&gt;1),1,0))</f>
        <v/>
      </c>
      <c r="AF3743" s="45" t="str">
        <f aca="false">IF(AND(E3743&gt;0,Y3743&lt;1,NOT(AND(C3744=C3743,Y3744=Y3743+1))),INDEX(DATAS,Y3743+1),"")</f>
        <v/>
      </c>
      <c r="AG3743" s="45" t="str">
        <f aca="false">IF(AND(AA3743=1,Y3743&lt;1),IF(AND(C3744=C3743,Y3744=Y3743+1),IF(AA3744=1,"",INDEX(DATAS,Y3743+1)),INDEX(DATAS,Y3743+1)),"")</f>
        <v/>
      </c>
    </row>
    <row r="3744" customFormat="false" ht="15" hidden="false" customHeight="false" outlineLevel="0" collapsed="false">
      <c r="A3744" s="45" t="n">
        <v>46309</v>
      </c>
      <c r="B3744" s="0" t="n">
        <v>16</v>
      </c>
      <c r="C3744" s="0" t="n">
        <v>8215</v>
      </c>
      <c r="E3744" s="0" t="n">
        <v>0</v>
      </c>
      <c r="F3744" s="39" t="s">
        <v>106</v>
      </c>
      <c r="I3744" s="39" t="s">
        <v>136</v>
      </c>
      <c r="U3744" s="0" t="n">
        <v>4</v>
      </c>
      <c r="V3744" s="0" t="n">
        <v>0</v>
      </c>
      <c r="W3744" s="39" t="n">
        <f aca="false">IF(I3744="Male",0,1)</f>
        <v>1</v>
      </c>
      <c r="X3744" s="39" t="n">
        <f aca="false">IF(OR(I3744="DNB",I3744="Dry DNB"),1,0)</f>
        <v>0</v>
      </c>
      <c r="Y3744" s="39" t="n">
        <f aca="false">MATCH(A3744,DATAS,0)</f>
        <v>1</v>
      </c>
      <c r="Z3744" s="39" t="n">
        <f aca="false">IF(AND(E3744&gt;0,OR(AND(B3744&gt;=1,B3744&lt;=6),B3744=10)),1,0)</f>
        <v>0</v>
      </c>
      <c r="AA3744" s="39" t="n">
        <f aca="false">IF(AND(E3744&gt;0,B3744=10),1,0)</f>
        <v>0</v>
      </c>
      <c r="AB3744" s="0" t="str">
        <f aca="false">IF(AND(C3743=C3744,Y3743=Y3744-1),Z3743,"")</f>
        <v/>
      </c>
      <c r="AC3744" s="0" t="str">
        <f aca="false">IF(AND(C3743=C3744,Y3743=Y3744-1),AA3743,"")</f>
        <v/>
      </c>
      <c r="AD3744" s="0" t="str">
        <f aca="false">IF(Y3744=1,"",IF(AND(Z3744=1,AB3744&lt;&gt;1),1,0))</f>
        <v/>
      </c>
      <c r="AE3744" s="0" t="str">
        <f aca="false">IF(Y3744=1,"",IF(AND(AA3744=1,AC3744&lt;&gt;1),1,0))</f>
        <v/>
      </c>
      <c r="AF3744" s="45" t="str">
        <f aca="false">IF(AND(E3744&gt;0,Y3744&lt;1,NOT(AND(C3745=C3744,Y3745=Y3744+1))),INDEX(DATAS,Y3744+1),"")</f>
        <v/>
      </c>
      <c r="AG3744" s="45" t="str">
        <f aca="false">IF(AND(AA3744=1,Y3744&lt;1),IF(AND(C3745=C3744,Y3745=Y3744+1),IF(AA3745=1,"",INDEX(DATAS,Y3744+1)),INDEX(DATAS,Y3744+1)),"")</f>
        <v/>
      </c>
    </row>
    <row r="3745" customFormat="false" ht="15" hidden="false" customHeight="false" outlineLevel="0" collapsed="false">
      <c r="A3745" s="45" t="n">
        <v>46309</v>
      </c>
      <c r="B3745" s="0" t="n">
        <v>16</v>
      </c>
      <c r="C3745" s="0" t="n">
        <v>8216</v>
      </c>
      <c r="E3745" s="0" t="n">
        <v>0</v>
      </c>
      <c r="F3745" s="39" t="s">
        <v>1650</v>
      </c>
      <c r="I3745" s="39" t="s">
        <v>136</v>
      </c>
      <c r="U3745" s="0" t="n">
        <v>3</v>
      </c>
      <c r="V3745" s="0" t="n">
        <v>0</v>
      </c>
      <c r="W3745" s="39" t="n">
        <f aca="false">IF(I3745="Male",0,1)</f>
        <v>1</v>
      </c>
      <c r="X3745" s="39" t="n">
        <f aca="false">IF(OR(I3745="DNB",I3745="Dry DNB"),1,0)</f>
        <v>0</v>
      </c>
      <c r="Y3745" s="39" t="n">
        <f aca="false">MATCH(A3745,DATAS,0)</f>
        <v>1</v>
      </c>
      <c r="Z3745" s="39" t="n">
        <f aca="false">IF(AND(E3745&gt;0,OR(AND(B3745&gt;=1,B3745&lt;=6),B3745=10)),1,0)</f>
        <v>0</v>
      </c>
      <c r="AA3745" s="39" t="n">
        <f aca="false">IF(AND(E3745&gt;0,B3745=10),1,0)</f>
        <v>0</v>
      </c>
      <c r="AB3745" s="0" t="str">
        <f aca="false">IF(AND(C3744=C3745,Y3744=Y3745-1),Z3744,"")</f>
        <v/>
      </c>
      <c r="AC3745" s="0" t="str">
        <f aca="false">IF(AND(C3744=C3745,Y3744=Y3745-1),AA3744,"")</f>
        <v/>
      </c>
      <c r="AD3745" s="0" t="str">
        <f aca="false">IF(Y3745=1,"",IF(AND(Z3745=1,AB3745&lt;&gt;1),1,0))</f>
        <v/>
      </c>
      <c r="AE3745" s="0" t="str">
        <f aca="false">IF(Y3745=1,"",IF(AND(AA3745=1,AC3745&lt;&gt;1),1,0))</f>
        <v/>
      </c>
      <c r="AF3745" s="45" t="str">
        <f aca="false">IF(AND(E3745&gt;0,Y3745&lt;1,NOT(AND(C3746=C3745,Y3746=Y3745+1))),INDEX(DATAS,Y3745+1),"")</f>
        <v/>
      </c>
      <c r="AG3745" s="45" t="str">
        <f aca="false">IF(AND(AA3745=1,Y3745&lt;1),IF(AND(C3746=C3745,Y3746=Y3745+1),IF(AA3746=1,"",INDEX(DATAS,Y3745+1)),INDEX(DATAS,Y3745+1)),"")</f>
        <v/>
      </c>
    </row>
    <row r="3746" customFormat="false" ht="15" hidden="false" customHeight="false" outlineLevel="0" collapsed="false">
      <c r="A3746" s="45" t="n">
        <v>46309</v>
      </c>
      <c r="B3746" s="0" t="n">
        <v>16</v>
      </c>
      <c r="C3746" s="0" t="n">
        <v>8217</v>
      </c>
      <c r="E3746" s="0" t="n">
        <v>0</v>
      </c>
      <c r="F3746" s="39" t="s">
        <v>1650</v>
      </c>
      <c r="I3746" s="39" t="s">
        <v>136</v>
      </c>
      <c r="U3746" s="0" t="n">
        <v>3</v>
      </c>
      <c r="V3746" s="0" t="n">
        <v>0</v>
      </c>
      <c r="W3746" s="39" t="n">
        <f aca="false">IF(I3746="Male",0,1)</f>
        <v>1</v>
      </c>
      <c r="X3746" s="39" t="n">
        <f aca="false">IF(OR(I3746="DNB",I3746="Dry DNB"),1,0)</f>
        <v>0</v>
      </c>
      <c r="Y3746" s="39" t="n">
        <f aca="false">MATCH(A3746,DATAS,0)</f>
        <v>1</v>
      </c>
      <c r="Z3746" s="39" t="n">
        <f aca="false">IF(AND(E3746&gt;0,OR(AND(B3746&gt;=1,B3746&lt;=6),B3746=10)),1,0)</f>
        <v>0</v>
      </c>
      <c r="AA3746" s="39" t="n">
        <f aca="false">IF(AND(E3746&gt;0,B3746=10),1,0)</f>
        <v>0</v>
      </c>
      <c r="AB3746" s="0" t="str">
        <f aca="false">IF(AND(C3745=C3746,Y3745=Y3746-1),Z3745,"")</f>
        <v/>
      </c>
      <c r="AC3746" s="0" t="str">
        <f aca="false">IF(AND(C3745=C3746,Y3745=Y3746-1),AA3745,"")</f>
        <v/>
      </c>
      <c r="AD3746" s="0" t="str">
        <f aca="false">IF(Y3746=1,"",IF(AND(Z3746=1,AB3746&lt;&gt;1),1,0))</f>
        <v/>
      </c>
      <c r="AE3746" s="0" t="str">
        <f aca="false">IF(Y3746=1,"",IF(AND(AA3746=1,AC3746&lt;&gt;1),1,0))</f>
        <v/>
      </c>
      <c r="AF3746" s="45" t="str">
        <f aca="false">IF(AND(E3746&gt;0,Y3746&lt;1,NOT(AND(C3747=C3746,Y3747=Y3746+1))),INDEX(DATAS,Y3746+1),"")</f>
        <v/>
      </c>
      <c r="AG3746" s="45" t="str">
        <f aca="false">IF(AND(AA3746=1,Y3746&lt;1),IF(AND(C3747=C3746,Y3747=Y3746+1),IF(AA3747=1,"",INDEX(DATAS,Y3746+1)),INDEX(DATAS,Y3746+1)),"")</f>
        <v/>
      </c>
    </row>
    <row r="3747" customFormat="false" ht="15" hidden="false" customHeight="false" outlineLevel="0" collapsed="false">
      <c r="A3747" s="45" t="n">
        <v>46309</v>
      </c>
      <c r="B3747" s="0" t="n">
        <v>16</v>
      </c>
      <c r="C3747" s="0" t="n">
        <v>8218</v>
      </c>
      <c r="E3747" s="0" t="n">
        <v>0</v>
      </c>
      <c r="F3747" s="39" t="s">
        <v>1651</v>
      </c>
      <c r="I3747" s="39" t="s">
        <v>136</v>
      </c>
      <c r="U3747" s="0" t="n">
        <v>2</v>
      </c>
      <c r="V3747" s="0" t="n">
        <v>0</v>
      </c>
      <c r="W3747" s="39" t="n">
        <f aca="false">IF(I3747="Male",0,1)</f>
        <v>1</v>
      </c>
      <c r="X3747" s="39" t="n">
        <f aca="false">IF(OR(I3747="DNB",I3747="Dry DNB"),1,0)</f>
        <v>0</v>
      </c>
      <c r="Y3747" s="39" t="n">
        <f aca="false">MATCH(A3747,DATAS,0)</f>
        <v>1</v>
      </c>
      <c r="Z3747" s="39" t="n">
        <f aca="false">IF(AND(E3747&gt;0,OR(AND(B3747&gt;=1,B3747&lt;=6),B3747=10)),1,0)</f>
        <v>0</v>
      </c>
      <c r="AA3747" s="39" t="n">
        <f aca="false">IF(AND(E3747&gt;0,B3747=10),1,0)</f>
        <v>0</v>
      </c>
      <c r="AB3747" s="0" t="str">
        <f aca="false">IF(AND(C3746=C3747,Y3746=Y3747-1),Z3746,"")</f>
        <v/>
      </c>
      <c r="AC3747" s="0" t="str">
        <f aca="false">IF(AND(C3746=C3747,Y3746=Y3747-1),AA3746,"")</f>
        <v/>
      </c>
      <c r="AD3747" s="0" t="str">
        <f aca="false">IF(Y3747=1,"",IF(AND(Z3747=1,AB3747&lt;&gt;1),1,0))</f>
        <v/>
      </c>
      <c r="AE3747" s="0" t="str">
        <f aca="false">IF(Y3747=1,"",IF(AND(AA3747=1,AC3747&lt;&gt;1),1,0))</f>
        <v/>
      </c>
      <c r="AF3747" s="45" t="str">
        <f aca="false">IF(AND(E3747&gt;0,Y3747&lt;1,NOT(AND(C3748=C3747,Y3748=Y3747+1))),INDEX(DATAS,Y3747+1),"")</f>
        <v/>
      </c>
      <c r="AG3747" s="45" t="str">
        <f aca="false">IF(AND(AA3747=1,Y3747&lt;1),IF(AND(C3748=C3747,Y3748=Y3747+1),IF(AA3748=1,"",INDEX(DATAS,Y3747+1)),INDEX(DATAS,Y3747+1)),"")</f>
        <v/>
      </c>
    </row>
    <row r="3748" customFormat="false" ht="15" hidden="false" customHeight="false" outlineLevel="0" collapsed="false">
      <c r="A3748" s="45" t="n">
        <v>46309</v>
      </c>
      <c r="B3748" s="0" t="n">
        <v>16</v>
      </c>
      <c r="C3748" s="0" t="n">
        <v>8219</v>
      </c>
      <c r="E3748" s="0" t="n">
        <v>0</v>
      </c>
      <c r="F3748" s="39" t="s">
        <v>1651</v>
      </c>
      <c r="I3748" s="39" t="s">
        <v>136</v>
      </c>
      <c r="U3748" s="0" t="n">
        <v>2</v>
      </c>
      <c r="V3748" s="0" t="n">
        <v>0</v>
      </c>
      <c r="W3748" s="39" t="n">
        <f aca="false">IF(I3748="Male",0,1)</f>
        <v>1</v>
      </c>
      <c r="X3748" s="39" t="n">
        <f aca="false">IF(OR(I3748="DNB",I3748="Dry DNB"),1,0)</f>
        <v>0</v>
      </c>
      <c r="Y3748" s="39" t="n">
        <f aca="false">MATCH(A3748,DATAS,0)</f>
        <v>1</v>
      </c>
      <c r="Z3748" s="39" t="n">
        <f aca="false">IF(AND(E3748&gt;0,OR(AND(B3748&gt;=1,B3748&lt;=6),B3748=10)),1,0)</f>
        <v>0</v>
      </c>
      <c r="AA3748" s="39" t="n">
        <f aca="false">IF(AND(E3748&gt;0,B3748=10),1,0)</f>
        <v>0</v>
      </c>
      <c r="AB3748" s="0" t="str">
        <f aca="false">IF(AND(C3747=C3748,Y3747=Y3748-1),Z3747,"")</f>
        <v/>
      </c>
      <c r="AC3748" s="0" t="str">
        <f aca="false">IF(AND(C3747=C3748,Y3747=Y3748-1),AA3747,"")</f>
        <v/>
      </c>
      <c r="AD3748" s="0" t="str">
        <f aca="false">IF(Y3748=1,"",IF(AND(Z3748=1,AB3748&lt;&gt;1),1,0))</f>
        <v/>
      </c>
      <c r="AE3748" s="0" t="str">
        <f aca="false">IF(Y3748=1,"",IF(AND(AA3748=1,AC3748&lt;&gt;1),1,0))</f>
        <v/>
      </c>
      <c r="AF3748" s="45" t="str">
        <f aca="false">IF(AND(E3748&gt;0,Y3748&lt;1,NOT(AND(C3749=C3748,Y3749=Y3748+1))),INDEX(DATAS,Y3748+1),"")</f>
        <v/>
      </c>
      <c r="AG3748" s="45" t="str">
        <f aca="false">IF(AND(AA3748=1,Y3748&lt;1),IF(AND(C3749=C3748,Y3749=Y3748+1),IF(AA3749=1,"",INDEX(DATAS,Y3748+1)),INDEX(DATAS,Y3748+1)),"")</f>
        <v/>
      </c>
    </row>
    <row r="3749" customFormat="false" ht="15" hidden="false" customHeight="false" outlineLevel="0" collapsed="false">
      <c r="A3749" s="45" t="n">
        <v>46309</v>
      </c>
      <c r="B3749" s="0" t="n">
        <v>16</v>
      </c>
      <c r="C3749" s="0" t="n">
        <v>8220</v>
      </c>
      <c r="E3749" s="0" t="n">
        <v>0</v>
      </c>
      <c r="F3749" s="39" t="s">
        <v>1652</v>
      </c>
      <c r="I3749" s="39" t="s">
        <v>136</v>
      </c>
      <c r="U3749" s="0" t="n">
        <v>1</v>
      </c>
      <c r="V3749" s="0" t="n">
        <v>0</v>
      </c>
      <c r="W3749" s="39" t="n">
        <f aca="false">IF(I3749="Male",0,1)</f>
        <v>1</v>
      </c>
      <c r="X3749" s="39" t="n">
        <f aca="false">IF(OR(I3749="DNB",I3749="Dry DNB"),1,0)</f>
        <v>0</v>
      </c>
      <c r="Y3749" s="39" t="n">
        <f aca="false">MATCH(A3749,DATAS,0)</f>
        <v>1</v>
      </c>
      <c r="Z3749" s="39" t="n">
        <f aca="false">IF(AND(E3749&gt;0,OR(AND(B3749&gt;=1,B3749&lt;=6),B3749=10)),1,0)</f>
        <v>0</v>
      </c>
      <c r="AA3749" s="39" t="n">
        <f aca="false">IF(AND(E3749&gt;0,B3749=10),1,0)</f>
        <v>0</v>
      </c>
      <c r="AB3749" s="0" t="str">
        <f aca="false">IF(AND(C3748=C3749,Y3748=Y3749-1),Z3748,"")</f>
        <v/>
      </c>
      <c r="AC3749" s="0" t="str">
        <f aca="false">IF(AND(C3748=C3749,Y3748=Y3749-1),AA3748,"")</f>
        <v/>
      </c>
      <c r="AD3749" s="0" t="str">
        <f aca="false">IF(Y3749=1,"",IF(AND(Z3749=1,AB3749&lt;&gt;1),1,0))</f>
        <v/>
      </c>
      <c r="AE3749" s="0" t="str">
        <f aca="false">IF(Y3749=1,"",IF(AND(AA3749=1,AC3749&lt;&gt;1),1,0))</f>
        <v/>
      </c>
      <c r="AF3749" s="45" t="str">
        <f aca="false">IF(AND(E3749&gt;0,Y3749&lt;1,NOT(AND(C3750=C3749,Y3750=Y3749+1))),INDEX(DATAS,Y3749+1),"")</f>
        <v/>
      </c>
      <c r="AG3749" s="45" t="str">
        <f aca="false">IF(AND(AA3749=1,Y3749&lt;1),IF(AND(C3750=C3749,Y3750=Y3749+1),IF(AA3750=1,"",INDEX(DATAS,Y3749+1)),INDEX(DATAS,Y3749+1)),"")</f>
        <v/>
      </c>
    </row>
    <row r="3750" customFormat="false" ht="15" hidden="false" customHeight="false" outlineLevel="0" collapsed="false">
      <c r="A3750" s="45" t="n">
        <v>46309</v>
      </c>
      <c r="B3750" s="0" t="n">
        <v>16</v>
      </c>
      <c r="C3750" s="0" t="n">
        <v>8221</v>
      </c>
      <c r="E3750" s="0" t="n">
        <v>0</v>
      </c>
      <c r="F3750" s="39" t="s">
        <v>1652</v>
      </c>
      <c r="I3750" s="39" t="s">
        <v>136</v>
      </c>
      <c r="U3750" s="0" t="n">
        <v>1</v>
      </c>
      <c r="V3750" s="0" t="n">
        <v>0</v>
      </c>
      <c r="W3750" s="39" t="n">
        <f aca="false">IF(I3750="Male",0,1)</f>
        <v>1</v>
      </c>
      <c r="X3750" s="39" t="n">
        <f aca="false">IF(OR(I3750="DNB",I3750="Dry DNB"),1,0)</f>
        <v>0</v>
      </c>
      <c r="Y3750" s="39" t="n">
        <f aca="false">MATCH(A3750,DATAS,0)</f>
        <v>1</v>
      </c>
      <c r="Z3750" s="39" t="n">
        <f aca="false">IF(AND(E3750&gt;0,OR(AND(B3750&gt;=1,B3750&lt;=6),B3750=10)),1,0)</f>
        <v>0</v>
      </c>
      <c r="AA3750" s="39" t="n">
        <f aca="false">IF(AND(E3750&gt;0,B3750=10),1,0)</f>
        <v>0</v>
      </c>
      <c r="AB3750" s="0" t="str">
        <f aca="false">IF(AND(C3749=C3750,Y3749=Y3750-1),Z3749,"")</f>
        <v/>
      </c>
      <c r="AC3750" s="0" t="str">
        <f aca="false">IF(AND(C3749=C3750,Y3749=Y3750-1),AA3749,"")</f>
        <v/>
      </c>
      <c r="AD3750" s="0" t="str">
        <f aca="false">IF(Y3750=1,"",IF(AND(Z3750=1,AB3750&lt;&gt;1),1,0))</f>
        <v/>
      </c>
      <c r="AE3750" s="0" t="str">
        <f aca="false">IF(Y3750=1,"",IF(AND(AA3750=1,AC3750&lt;&gt;1),1,0))</f>
        <v/>
      </c>
      <c r="AF3750" s="45" t="str">
        <f aca="false">IF(AND(E3750&gt;0,Y3750&lt;1,NOT(AND(C3751=C3750,Y3751=Y3750+1))),INDEX(DATAS,Y3750+1),"")</f>
        <v/>
      </c>
      <c r="AG3750" s="45" t="str">
        <f aca="false">IF(AND(AA3750=1,Y3750&lt;1),IF(AND(C3751=C3750,Y3751=Y3750+1),IF(AA3751=1,"",INDEX(DATAS,Y3750+1)),INDEX(DATAS,Y3750+1)),"")</f>
        <v/>
      </c>
    </row>
    <row r="3751" customFormat="false" ht="15" hidden="false" customHeight="false" outlineLevel="0" collapsed="false">
      <c r="A3751" s="45" t="n">
        <v>46309</v>
      </c>
      <c r="B3751" s="0" t="n">
        <v>15</v>
      </c>
      <c r="C3751" s="0" t="n">
        <v>20632</v>
      </c>
      <c r="E3751" s="0" t="n">
        <v>0</v>
      </c>
      <c r="F3751" s="39" t="s">
        <v>909</v>
      </c>
      <c r="I3751" s="39" t="s">
        <v>107</v>
      </c>
      <c r="U3751" s="0" t="n">
        <v>870</v>
      </c>
      <c r="V3751" s="0" t="n">
        <v>0</v>
      </c>
      <c r="W3751" s="39" t="n">
        <f aca="false">IF(I3751="Male",0,1)</f>
        <v>0</v>
      </c>
      <c r="X3751" s="39" t="n">
        <f aca="false">IF(OR(I3751="DNB",I3751="Dry DNB"),1,0)</f>
        <v>0</v>
      </c>
      <c r="Y3751" s="39" t="n">
        <f aca="false">MATCH(A3751,DATAS,0)</f>
        <v>1</v>
      </c>
      <c r="Z3751" s="39" t="n">
        <f aca="false">IF(AND(E3751&gt;0,OR(AND(B3751&gt;=1,B3751&lt;=6),B3751=10)),1,0)</f>
        <v>0</v>
      </c>
      <c r="AA3751" s="39" t="n">
        <f aca="false">IF(AND(E3751&gt;0,B3751=10),1,0)</f>
        <v>0</v>
      </c>
      <c r="AB3751" s="0" t="str">
        <f aca="false">IF(AND(C3750=C3751,Y3750=Y3751-1),Z3750,"")</f>
        <v/>
      </c>
      <c r="AC3751" s="0" t="str">
        <f aca="false">IF(AND(C3750=C3751,Y3750=Y3751-1),AA3750,"")</f>
        <v/>
      </c>
      <c r="AD3751" s="0" t="str">
        <f aca="false">IF(Y3751=1,"",IF(AND(Z3751=1,AB3751&lt;&gt;1),1,0))</f>
        <v/>
      </c>
      <c r="AE3751" s="0" t="str">
        <f aca="false">IF(Y3751=1,"",IF(AND(AA3751=1,AC3751&lt;&gt;1),1,0))</f>
        <v/>
      </c>
      <c r="AF3751" s="45" t="str">
        <f aca="false">IF(AND(E3751&gt;0,Y3751&lt;1,NOT(AND(C3752=C3751,Y3752=Y3751+1))),INDEX(DATAS,Y3751+1),"")</f>
        <v/>
      </c>
      <c r="AG3751" s="45" t="str">
        <f aca="false">IF(AND(AA3751=1,Y3751&lt;1),IF(AND(C3752=C3751,Y3752=Y3751+1),IF(AA3752=1,"",INDEX(DATAS,Y3751+1)),INDEX(DATAS,Y3751+1)),"")</f>
        <v/>
      </c>
    </row>
    <row r="3752" customFormat="false" ht="15" hidden="false" customHeight="false" outlineLevel="0" collapsed="false">
      <c r="A3752" s="45" t="n">
        <v>46309</v>
      </c>
      <c r="B3752" s="0" t="n">
        <v>15</v>
      </c>
      <c r="C3752" s="0" t="n">
        <v>20708</v>
      </c>
      <c r="E3752" s="0" t="n">
        <v>0</v>
      </c>
      <c r="F3752" s="39" t="s">
        <v>967</v>
      </c>
      <c r="I3752" s="39" t="s">
        <v>107</v>
      </c>
      <c r="U3752" s="0" t="n">
        <v>798</v>
      </c>
      <c r="V3752" s="0" t="n">
        <v>0</v>
      </c>
      <c r="W3752" s="39" t="n">
        <f aca="false">IF(I3752="Male",0,1)</f>
        <v>0</v>
      </c>
      <c r="X3752" s="39" t="n">
        <f aca="false">IF(OR(I3752="DNB",I3752="Dry DNB"),1,0)</f>
        <v>0</v>
      </c>
      <c r="Y3752" s="39" t="n">
        <f aca="false">MATCH(A3752,DATAS,0)</f>
        <v>1</v>
      </c>
      <c r="Z3752" s="39" t="n">
        <f aca="false">IF(AND(E3752&gt;0,OR(AND(B3752&gt;=1,B3752&lt;=6),B3752=10)),1,0)</f>
        <v>0</v>
      </c>
      <c r="AA3752" s="39" t="n">
        <f aca="false">IF(AND(E3752&gt;0,B3752=10),1,0)</f>
        <v>0</v>
      </c>
      <c r="AB3752" s="0" t="str">
        <f aca="false">IF(AND(C3751=C3752,Y3751=Y3752-1),Z3751,"")</f>
        <v/>
      </c>
      <c r="AC3752" s="0" t="str">
        <f aca="false">IF(AND(C3751=C3752,Y3751=Y3752-1),AA3751,"")</f>
        <v/>
      </c>
      <c r="AD3752" s="0" t="str">
        <f aca="false">IF(Y3752=1,"",IF(AND(Z3752=1,AB3752&lt;&gt;1),1,0))</f>
        <v/>
      </c>
      <c r="AE3752" s="0" t="str">
        <f aca="false">IF(Y3752=1,"",IF(AND(AA3752=1,AC3752&lt;&gt;1),1,0))</f>
        <v/>
      </c>
      <c r="AF3752" s="45" t="str">
        <f aca="false">IF(AND(E3752&gt;0,Y3752&lt;1,NOT(AND(C3753=C3752,Y3753=Y3752+1))),INDEX(DATAS,Y3752+1),"")</f>
        <v/>
      </c>
      <c r="AG3752" s="45" t="str">
        <f aca="false">IF(AND(AA3752=1,Y3752&lt;1),IF(AND(C3753=C3752,Y3753=Y3752+1),IF(AA3753=1,"",INDEX(DATAS,Y3752+1)),INDEX(DATAS,Y3752+1)),"")</f>
        <v/>
      </c>
    </row>
    <row r="3753" customFormat="false" ht="15" hidden="false" customHeight="false" outlineLevel="0" collapsed="false">
      <c r="A3753" s="45" t="n">
        <v>46309</v>
      </c>
      <c r="B3753" s="0" t="n">
        <v>15</v>
      </c>
      <c r="C3753" s="0" t="n">
        <v>20910</v>
      </c>
      <c r="E3753" s="0" t="n">
        <v>0</v>
      </c>
      <c r="F3753" s="39" t="s">
        <v>1076</v>
      </c>
      <c r="I3753" s="39" t="s">
        <v>107</v>
      </c>
      <c r="U3753" s="0" t="n">
        <v>663</v>
      </c>
      <c r="V3753" s="0" t="n">
        <v>0</v>
      </c>
      <c r="W3753" s="39" t="n">
        <f aca="false">IF(I3753="Male",0,1)</f>
        <v>0</v>
      </c>
      <c r="X3753" s="39" t="n">
        <f aca="false">IF(OR(I3753="DNB",I3753="Dry DNB"),1,0)</f>
        <v>0</v>
      </c>
      <c r="Y3753" s="39" t="n">
        <f aca="false">MATCH(A3753,DATAS,0)</f>
        <v>1</v>
      </c>
      <c r="Z3753" s="39" t="n">
        <f aca="false">IF(AND(E3753&gt;0,OR(AND(B3753&gt;=1,B3753&lt;=6),B3753=10)),1,0)</f>
        <v>0</v>
      </c>
      <c r="AA3753" s="39" t="n">
        <f aca="false">IF(AND(E3753&gt;0,B3753=10),1,0)</f>
        <v>0</v>
      </c>
      <c r="AB3753" s="0" t="str">
        <f aca="false">IF(AND(C3752=C3753,Y3752=Y3753-1),Z3752,"")</f>
        <v/>
      </c>
      <c r="AC3753" s="0" t="str">
        <f aca="false">IF(AND(C3752=C3753,Y3752=Y3753-1),AA3752,"")</f>
        <v/>
      </c>
      <c r="AD3753" s="0" t="str">
        <f aca="false">IF(Y3753=1,"",IF(AND(Z3753=1,AB3753&lt;&gt;1),1,0))</f>
        <v/>
      </c>
      <c r="AE3753" s="0" t="str">
        <f aca="false">IF(Y3753=1,"",IF(AND(AA3753=1,AC3753&lt;&gt;1),1,0))</f>
        <v/>
      </c>
      <c r="AF3753" s="45" t="str">
        <f aca="false">IF(AND(E3753&gt;0,Y3753&lt;1,NOT(AND(C3754=C3753,Y3754=Y3753+1))),INDEX(DATAS,Y3753+1),"")</f>
        <v/>
      </c>
      <c r="AG3753" s="45" t="str">
        <f aca="false">IF(AND(AA3753=1,Y3753&lt;1),IF(AND(C3754=C3753,Y3754=Y3753+1),IF(AA3754=1,"",INDEX(DATAS,Y3753+1)),INDEX(DATAS,Y3753+1)),"")</f>
        <v/>
      </c>
    </row>
    <row r="3754" customFormat="false" ht="15" hidden="false" customHeight="false" outlineLevel="0" collapsed="false">
      <c r="A3754" s="45" t="n">
        <v>46309</v>
      </c>
      <c r="B3754" s="0" t="n">
        <v>15</v>
      </c>
      <c r="C3754" s="0" t="n">
        <v>20971</v>
      </c>
      <c r="E3754" s="0" t="n">
        <v>0</v>
      </c>
      <c r="F3754" s="39" t="s">
        <v>1110</v>
      </c>
      <c r="I3754" s="39" t="s">
        <v>107</v>
      </c>
      <c r="U3754" s="0" t="n">
        <v>622</v>
      </c>
      <c r="V3754" s="0" t="n">
        <v>0</v>
      </c>
      <c r="W3754" s="39" t="n">
        <f aca="false">IF(I3754="Male",0,1)</f>
        <v>0</v>
      </c>
      <c r="X3754" s="39" t="n">
        <f aca="false">IF(OR(I3754="DNB",I3754="Dry DNB"),1,0)</f>
        <v>0</v>
      </c>
      <c r="Y3754" s="39" t="n">
        <f aca="false">MATCH(A3754,DATAS,0)</f>
        <v>1</v>
      </c>
      <c r="Z3754" s="39" t="n">
        <f aca="false">IF(AND(E3754&gt;0,OR(AND(B3754&gt;=1,B3754&lt;=6),B3754=10)),1,0)</f>
        <v>0</v>
      </c>
      <c r="AA3754" s="39" t="n">
        <f aca="false">IF(AND(E3754&gt;0,B3754=10),1,0)</f>
        <v>0</v>
      </c>
      <c r="AB3754" s="0" t="str">
        <f aca="false">IF(AND(C3753=C3754,Y3753=Y3754-1),Z3753,"")</f>
        <v/>
      </c>
      <c r="AC3754" s="0" t="str">
        <f aca="false">IF(AND(C3753=C3754,Y3753=Y3754-1),AA3753,"")</f>
        <v/>
      </c>
      <c r="AD3754" s="0" t="str">
        <f aca="false">IF(Y3754=1,"",IF(AND(Z3754=1,AB3754&lt;&gt;1),1,0))</f>
        <v/>
      </c>
      <c r="AE3754" s="0" t="str">
        <f aca="false">IF(Y3754=1,"",IF(AND(AA3754=1,AC3754&lt;&gt;1),1,0))</f>
        <v/>
      </c>
      <c r="AF3754" s="45" t="str">
        <f aca="false">IF(AND(E3754&gt;0,Y3754&lt;1,NOT(AND(C3755=C3754,Y3755=Y3754+1))),INDEX(DATAS,Y3754+1),"")</f>
        <v/>
      </c>
      <c r="AG3754" s="45" t="str">
        <f aca="false">IF(AND(AA3754=1,Y3754&lt;1),IF(AND(C3755=C3754,Y3755=Y3754+1),IF(AA3755=1,"",INDEX(DATAS,Y3754+1)),INDEX(DATAS,Y3754+1)),"")</f>
        <v/>
      </c>
    </row>
    <row r="3755" customFormat="false" ht="15" hidden="false" customHeight="false" outlineLevel="0" collapsed="false">
      <c r="A3755" s="45" t="n">
        <v>46309</v>
      </c>
      <c r="B3755" s="0" t="n">
        <v>15</v>
      </c>
      <c r="C3755" s="0" t="n">
        <v>30014</v>
      </c>
      <c r="E3755" s="0" t="n">
        <v>0</v>
      </c>
      <c r="F3755" s="39" t="s">
        <v>1128</v>
      </c>
      <c r="I3755" s="39" t="s">
        <v>107</v>
      </c>
      <c r="U3755" s="0" t="n">
        <v>600</v>
      </c>
      <c r="V3755" s="0" t="n">
        <v>0</v>
      </c>
      <c r="W3755" s="39" t="n">
        <f aca="false">IF(I3755="Male",0,1)</f>
        <v>0</v>
      </c>
      <c r="X3755" s="39" t="n">
        <f aca="false">IF(OR(I3755="DNB",I3755="Dry DNB"),1,0)</f>
        <v>0</v>
      </c>
      <c r="Y3755" s="39" t="n">
        <f aca="false">MATCH(A3755,DATAS,0)</f>
        <v>1</v>
      </c>
      <c r="Z3755" s="39" t="n">
        <f aca="false">IF(AND(E3755&gt;0,OR(AND(B3755&gt;=1,B3755&lt;=6),B3755=10)),1,0)</f>
        <v>0</v>
      </c>
      <c r="AA3755" s="39" t="n">
        <f aca="false">IF(AND(E3755&gt;0,B3755=10),1,0)</f>
        <v>0</v>
      </c>
      <c r="AB3755" s="0" t="str">
        <f aca="false">IF(AND(C3754=C3755,Y3754=Y3755-1),Z3754,"")</f>
        <v/>
      </c>
      <c r="AC3755" s="0" t="str">
        <f aca="false">IF(AND(C3754=C3755,Y3754=Y3755-1),AA3754,"")</f>
        <v/>
      </c>
      <c r="AD3755" s="0" t="str">
        <f aca="false">IF(Y3755=1,"",IF(AND(Z3755=1,AB3755&lt;&gt;1),1,0))</f>
        <v/>
      </c>
      <c r="AE3755" s="0" t="str">
        <f aca="false">IF(Y3755=1,"",IF(AND(AA3755=1,AC3755&lt;&gt;1),1,0))</f>
        <v/>
      </c>
      <c r="AF3755" s="45" t="str">
        <f aca="false">IF(AND(E3755&gt;0,Y3755&lt;1,NOT(AND(C3756=C3755,Y3756=Y3755+1))),INDEX(DATAS,Y3755+1),"")</f>
        <v/>
      </c>
      <c r="AG3755" s="45" t="str">
        <f aca="false">IF(AND(AA3755=1,Y3755&lt;1),IF(AND(C3756=C3755,Y3756=Y3755+1),IF(AA3756=1,"",INDEX(DATAS,Y3755+1)),INDEX(DATAS,Y3755+1)),"")</f>
        <v/>
      </c>
    </row>
    <row r="3756" customFormat="false" ht="15" hidden="false" customHeight="false" outlineLevel="0" collapsed="false">
      <c r="A3756" s="45" t="n">
        <v>46309</v>
      </c>
      <c r="B3756" s="0" t="n">
        <v>15</v>
      </c>
      <c r="C3756" s="0" t="n">
        <v>30220</v>
      </c>
      <c r="E3756" s="0" t="n">
        <v>0</v>
      </c>
      <c r="F3756" s="39" t="s">
        <v>1230</v>
      </c>
      <c r="I3756" s="39" t="s">
        <v>107</v>
      </c>
      <c r="U3756" s="0" t="n">
        <v>467</v>
      </c>
      <c r="V3756" s="0" t="n">
        <v>0</v>
      </c>
      <c r="W3756" s="39" t="n">
        <f aca="false">IF(I3756="Male",0,1)</f>
        <v>0</v>
      </c>
      <c r="X3756" s="39" t="n">
        <f aca="false">IF(OR(I3756="DNB",I3756="Dry DNB"),1,0)</f>
        <v>0</v>
      </c>
      <c r="Y3756" s="39" t="n">
        <f aca="false">MATCH(A3756,DATAS,0)</f>
        <v>1</v>
      </c>
      <c r="Z3756" s="39" t="n">
        <f aca="false">IF(AND(E3756&gt;0,OR(AND(B3756&gt;=1,B3756&lt;=6),B3756=10)),1,0)</f>
        <v>0</v>
      </c>
      <c r="AA3756" s="39" t="n">
        <f aca="false">IF(AND(E3756&gt;0,B3756=10),1,0)</f>
        <v>0</v>
      </c>
      <c r="AB3756" s="0" t="str">
        <f aca="false">IF(AND(C3755=C3756,Y3755=Y3756-1),Z3755,"")</f>
        <v/>
      </c>
      <c r="AC3756" s="0" t="str">
        <f aca="false">IF(AND(C3755=C3756,Y3755=Y3756-1),AA3755,"")</f>
        <v/>
      </c>
      <c r="AD3756" s="0" t="str">
        <f aca="false">IF(Y3756=1,"",IF(AND(Z3756=1,AB3756&lt;&gt;1),1,0))</f>
        <v/>
      </c>
      <c r="AE3756" s="0" t="str">
        <f aca="false">IF(Y3756=1,"",IF(AND(AA3756=1,AC3756&lt;&gt;1),1,0))</f>
        <v/>
      </c>
      <c r="AF3756" s="45" t="str">
        <f aca="false">IF(AND(E3756&gt;0,Y3756&lt;1,NOT(AND(C3757=C3756,Y3757=Y3756+1))),INDEX(DATAS,Y3756+1),"")</f>
        <v/>
      </c>
      <c r="AG3756" s="45" t="str">
        <f aca="false">IF(AND(AA3756=1,Y3756&lt;1),IF(AND(C3757=C3756,Y3757=Y3756+1),IF(AA3757=1,"",INDEX(DATAS,Y3756+1)),INDEX(DATAS,Y3756+1)),"")</f>
        <v/>
      </c>
    </row>
    <row r="3757" customFormat="false" ht="15" hidden="false" customHeight="false" outlineLevel="0" collapsed="false">
      <c r="A3757" s="45" t="n">
        <v>46309</v>
      </c>
      <c r="B3757" s="0" t="n">
        <v>15</v>
      </c>
      <c r="C3757" s="0" t="n">
        <v>30267</v>
      </c>
      <c r="E3757" s="0" t="n">
        <v>0</v>
      </c>
      <c r="F3757" s="39" t="s">
        <v>1258</v>
      </c>
      <c r="I3757" s="39" t="s">
        <v>107</v>
      </c>
      <c r="U3757" s="0" t="n">
        <v>430</v>
      </c>
      <c r="V3757" s="0" t="n">
        <v>0</v>
      </c>
      <c r="W3757" s="39" t="n">
        <f aca="false">IF(I3757="Male",0,1)</f>
        <v>0</v>
      </c>
      <c r="X3757" s="39" t="n">
        <f aca="false">IF(OR(I3757="DNB",I3757="Dry DNB"),1,0)</f>
        <v>0</v>
      </c>
      <c r="Y3757" s="39" t="n">
        <f aca="false">MATCH(A3757,DATAS,0)</f>
        <v>1</v>
      </c>
      <c r="Z3757" s="39" t="n">
        <f aca="false">IF(AND(E3757&gt;0,OR(AND(B3757&gt;=1,B3757&lt;=6),B3757=10)),1,0)</f>
        <v>0</v>
      </c>
      <c r="AA3757" s="39" t="n">
        <f aca="false">IF(AND(E3757&gt;0,B3757=10),1,0)</f>
        <v>0</v>
      </c>
      <c r="AB3757" s="0" t="str">
        <f aca="false">IF(AND(C3756=C3757,Y3756=Y3757-1),Z3756,"")</f>
        <v/>
      </c>
      <c r="AC3757" s="0" t="str">
        <f aca="false">IF(AND(C3756=C3757,Y3756=Y3757-1),AA3756,"")</f>
        <v/>
      </c>
      <c r="AD3757" s="0" t="str">
        <f aca="false">IF(Y3757=1,"",IF(AND(Z3757=1,AB3757&lt;&gt;1),1,0))</f>
        <v/>
      </c>
      <c r="AE3757" s="0" t="str">
        <f aca="false">IF(Y3757=1,"",IF(AND(AA3757=1,AC3757&lt;&gt;1),1,0))</f>
        <v/>
      </c>
      <c r="AF3757" s="45" t="str">
        <f aca="false">IF(AND(E3757&gt;0,Y3757&lt;1,NOT(AND(C3758=C3757,Y3758=Y3757+1))),INDEX(DATAS,Y3757+1),"")</f>
        <v/>
      </c>
      <c r="AG3757" s="45" t="str">
        <f aca="false">IF(AND(AA3757=1,Y3757&lt;1),IF(AND(C3758=C3757,Y3758=Y3757+1),IF(AA3758=1,"",INDEX(DATAS,Y3757+1)),INDEX(DATAS,Y3757+1)),"")</f>
        <v/>
      </c>
    </row>
    <row r="3758" customFormat="false" ht="15" hidden="false" customHeight="false" outlineLevel="0" collapsed="false">
      <c r="A3758" s="45" t="n">
        <v>46309</v>
      </c>
      <c r="B3758" s="0" t="n">
        <v>15</v>
      </c>
      <c r="C3758" s="0" t="n">
        <v>30300</v>
      </c>
      <c r="E3758" s="0" t="n">
        <v>0</v>
      </c>
      <c r="F3758" s="39" t="s">
        <v>1653</v>
      </c>
      <c r="I3758" s="39" t="s">
        <v>1654</v>
      </c>
      <c r="U3758" s="0" t="n">
        <v>407</v>
      </c>
      <c r="V3758" s="0" t="n">
        <v>0</v>
      </c>
      <c r="W3758" s="39" t="n">
        <f aca="false">IF(I3758="Male",0,1)</f>
        <v>1</v>
      </c>
      <c r="X3758" s="39" t="n">
        <f aca="false">IF(OR(I3758="DNB",I3758="Dry DNB"),1,0)</f>
        <v>0</v>
      </c>
      <c r="Y3758" s="39" t="n">
        <f aca="false">MATCH(A3758,DATAS,0)</f>
        <v>1</v>
      </c>
      <c r="Z3758" s="39" t="n">
        <f aca="false">IF(AND(E3758&gt;0,OR(AND(B3758&gt;=1,B3758&lt;=6),B3758=10)),1,0)</f>
        <v>0</v>
      </c>
      <c r="AA3758" s="39" t="n">
        <f aca="false">IF(AND(E3758&gt;0,B3758=10),1,0)</f>
        <v>0</v>
      </c>
      <c r="AB3758" s="0" t="str">
        <f aca="false">IF(AND(C3757=C3758,Y3757=Y3758-1),Z3757,"")</f>
        <v/>
      </c>
      <c r="AC3758" s="0" t="str">
        <f aca="false">IF(AND(C3757=C3758,Y3757=Y3758-1),AA3757,"")</f>
        <v/>
      </c>
      <c r="AD3758" s="0" t="str">
        <f aca="false">IF(Y3758=1,"",IF(AND(Z3758=1,AB3758&lt;&gt;1),1,0))</f>
        <v/>
      </c>
      <c r="AE3758" s="0" t="str">
        <f aca="false">IF(Y3758=1,"",IF(AND(AA3758=1,AC3758&lt;&gt;1),1,0))</f>
        <v/>
      </c>
      <c r="AF3758" s="45" t="str">
        <f aca="false">IF(AND(E3758&gt;0,Y3758&lt;1,NOT(AND(C3759=C3758,Y3759=Y3758+1))),INDEX(DATAS,Y3758+1),"")</f>
        <v/>
      </c>
      <c r="AG3758" s="45" t="str">
        <f aca="false">IF(AND(AA3758=1,Y3758&lt;1),IF(AND(C3759=C3758,Y3759=Y3758+1),IF(AA3759=1,"",INDEX(DATAS,Y3758+1)),INDEX(DATAS,Y3758+1)),"")</f>
        <v/>
      </c>
    </row>
    <row r="3759" customFormat="false" ht="15" hidden="false" customHeight="false" outlineLevel="0" collapsed="false">
      <c r="A3759" s="45" t="n">
        <v>46309</v>
      </c>
      <c r="B3759" s="0" t="n">
        <v>15</v>
      </c>
      <c r="C3759" s="0" t="n">
        <v>30351</v>
      </c>
      <c r="E3759" s="0" t="n">
        <v>0</v>
      </c>
      <c r="F3759" s="39" t="s">
        <v>1325</v>
      </c>
      <c r="I3759" s="39" t="s">
        <v>107</v>
      </c>
      <c r="U3759" s="0" t="n">
        <v>356</v>
      </c>
      <c r="V3759" s="0" t="n">
        <v>0</v>
      </c>
      <c r="W3759" s="39" t="n">
        <f aca="false">IF(I3759="Male",0,1)</f>
        <v>0</v>
      </c>
      <c r="X3759" s="39" t="n">
        <f aca="false">IF(OR(I3759="DNB",I3759="Dry DNB"),1,0)</f>
        <v>0</v>
      </c>
      <c r="Y3759" s="39" t="n">
        <f aca="false">MATCH(A3759,DATAS,0)</f>
        <v>1</v>
      </c>
      <c r="Z3759" s="39" t="n">
        <f aca="false">IF(AND(E3759&gt;0,OR(AND(B3759&gt;=1,B3759&lt;=6),B3759=10)),1,0)</f>
        <v>0</v>
      </c>
      <c r="AA3759" s="39" t="n">
        <f aca="false">IF(AND(E3759&gt;0,B3759=10),1,0)</f>
        <v>0</v>
      </c>
      <c r="AB3759" s="0" t="str">
        <f aca="false">IF(AND(C3758=C3759,Y3758=Y3759-1),Z3758,"")</f>
        <v/>
      </c>
      <c r="AC3759" s="0" t="str">
        <f aca="false">IF(AND(C3758=C3759,Y3758=Y3759-1),AA3758,"")</f>
        <v/>
      </c>
      <c r="AD3759" s="0" t="str">
        <f aca="false">IF(Y3759=1,"",IF(AND(Z3759=1,AB3759&lt;&gt;1),1,0))</f>
        <v/>
      </c>
      <c r="AE3759" s="0" t="str">
        <f aca="false">IF(Y3759=1,"",IF(AND(AA3759=1,AC3759&lt;&gt;1),1,0))</f>
        <v/>
      </c>
      <c r="AF3759" s="45" t="str">
        <f aca="false">IF(AND(E3759&gt;0,Y3759&lt;1,NOT(AND(C3760=C3759,Y3760=Y3759+1))),INDEX(DATAS,Y3759+1),"")</f>
        <v/>
      </c>
      <c r="AG3759" s="45" t="str">
        <f aca="false">IF(AND(AA3759=1,Y3759&lt;1),IF(AND(C3760=C3759,Y3760=Y3759+1),IF(AA3760=1,"",INDEX(DATAS,Y3759+1)),INDEX(DATAS,Y3759+1)),"")</f>
        <v/>
      </c>
    </row>
    <row r="3760" customFormat="false" ht="15" hidden="false" customHeight="false" outlineLevel="0" collapsed="false">
      <c r="A3760" s="45" t="n">
        <v>46309</v>
      </c>
      <c r="B3760" s="0" t="n">
        <v>15</v>
      </c>
      <c r="C3760" s="0" t="n">
        <v>30371</v>
      </c>
      <c r="E3760" s="0" t="n">
        <v>0</v>
      </c>
      <c r="F3760" s="39" t="s">
        <v>1343</v>
      </c>
      <c r="I3760" s="39" t="s">
        <v>107</v>
      </c>
      <c r="U3760" s="0" t="n">
        <v>338</v>
      </c>
      <c r="V3760" s="0" t="n">
        <v>0</v>
      </c>
      <c r="W3760" s="39" t="n">
        <f aca="false">IF(I3760="Male",0,1)</f>
        <v>0</v>
      </c>
      <c r="X3760" s="39" t="n">
        <f aca="false">IF(OR(I3760="DNB",I3760="Dry DNB"),1,0)</f>
        <v>0</v>
      </c>
      <c r="Y3760" s="39" t="n">
        <f aca="false">MATCH(A3760,DATAS,0)</f>
        <v>1</v>
      </c>
      <c r="Z3760" s="39" t="n">
        <f aca="false">IF(AND(E3760&gt;0,OR(AND(B3760&gt;=1,B3760&lt;=6),B3760=10)),1,0)</f>
        <v>0</v>
      </c>
      <c r="AA3760" s="39" t="n">
        <f aca="false">IF(AND(E3760&gt;0,B3760=10),1,0)</f>
        <v>0</v>
      </c>
      <c r="AB3760" s="0" t="str">
        <f aca="false">IF(AND(C3759=C3760,Y3759=Y3760-1),Z3759,"")</f>
        <v/>
      </c>
      <c r="AC3760" s="0" t="str">
        <f aca="false">IF(AND(C3759=C3760,Y3759=Y3760-1),AA3759,"")</f>
        <v/>
      </c>
      <c r="AD3760" s="0" t="str">
        <f aca="false">IF(Y3760=1,"",IF(AND(Z3760=1,AB3760&lt;&gt;1),1,0))</f>
        <v/>
      </c>
      <c r="AE3760" s="0" t="str">
        <f aca="false">IF(Y3760=1,"",IF(AND(AA3760=1,AC3760&lt;&gt;1),1,0))</f>
        <v/>
      </c>
      <c r="AF3760" s="45" t="str">
        <f aca="false">IF(AND(E3760&gt;0,Y3760&lt;1,NOT(AND(C3761=C3760,Y3761=Y3760+1))),INDEX(DATAS,Y3760+1),"")</f>
        <v/>
      </c>
      <c r="AG3760" s="45" t="str">
        <f aca="false">IF(AND(AA3760=1,Y3760&lt;1),IF(AND(C3761=C3760,Y3761=Y3760+1),IF(AA3761=1,"",INDEX(DATAS,Y3760+1)),INDEX(DATAS,Y3760+1)),"")</f>
        <v/>
      </c>
    </row>
    <row r="3761" customFormat="false" ht="15" hidden="false" customHeight="false" outlineLevel="0" collapsed="false">
      <c r="A3761" s="45" t="n">
        <v>46309</v>
      </c>
      <c r="B3761" s="0" t="n">
        <v>15</v>
      </c>
      <c r="C3761" s="0" t="n">
        <v>30390</v>
      </c>
      <c r="E3761" s="0" t="n">
        <v>0</v>
      </c>
      <c r="F3761" s="39" t="s">
        <v>1358</v>
      </c>
      <c r="I3761" s="39" t="s">
        <v>107</v>
      </c>
      <c r="U3761" s="0" t="n">
        <v>320</v>
      </c>
      <c r="V3761" s="0" t="n">
        <v>0</v>
      </c>
      <c r="W3761" s="39" t="n">
        <f aca="false">IF(I3761="Male",0,1)</f>
        <v>0</v>
      </c>
      <c r="X3761" s="39" t="n">
        <f aca="false">IF(OR(I3761="DNB",I3761="Dry DNB"),1,0)</f>
        <v>0</v>
      </c>
      <c r="Y3761" s="39" t="n">
        <f aca="false">MATCH(A3761,DATAS,0)</f>
        <v>1</v>
      </c>
      <c r="Z3761" s="39" t="n">
        <f aca="false">IF(AND(E3761&gt;0,OR(AND(B3761&gt;=1,B3761&lt;=6),B3761=10)),1,0)</f>
        <v>0</v>
      </c>
      <c r="AA3761" s="39" t="n">
        <f aca="false">IF(AND(E3761&gt;0,B3761=10),1,0)</f>
        <v>0</v>
      </c>
      <c r="AB3761" s="0" t="str">
        <f aca="false">IF(AND(C3760=C3761,Y3760=Y3761-1),Z3760,"")</f>
        <v/>
      </c>
      <c r="AC3761" s="0" t="str">
        <f aca="false">IF(AND(C3760=C3761,Y3760=Y3761-1),AA3760,"")</f>
        <v/>
      </c>
      <c r="AD3761" s="0" t="str">
        <f aca="false">IF(Y3761=1,"",IF(AND(Z3761=1,AB3761&lt;&gt;1),1,0))</f>
        <v/>
      </c>
      <c r="AE3761" s="0" t="str">
        <f aca="false">IF(Y3761=1,"",IF(AND(AA3761=1,AC3761&lt;&gt;1),1,0))</f>
        <v/>
      </c>
      <c r="AF3761" s="45" t="str">
        <f aca="false">IF(AND(E3761&gt;0,Y3761&lt;1,NOT(AND(C3762=C3761,Y3762=Y3761+1))),INDEX(DATAS,Y3761+1),"")</f>
        <v/>
      </c>
      <c r="AG3761" s="45" t="str">
        <f aca="false">IF(AND(AA3761=1,Y3761&lt;1),IF(AND(C3762=C3761,Y3762=Y3761+1),IF(AA3762=1,"",INDEX(DATAS,Y3761+1)),INDEX(DATAS,Y3761+1)),"")</f>
        <v/>
      </c>
    </row>
    <row r="3762" customFormat="false" ht="15" hidden="false" customHeight="false" outlineLevel="0" collapsed="false">
      <c r="A3762" s="45" t="n">
        <v>46309</v>
      </c>
      <c r="B3762" s="0" t="n">
        <v>15</v>
      </c>
      <c r="C3762" s="0" t="n">
        <v>30391</v>
      </c>
      <c r="E3762" s="0" t="n">
        <v>0</v>
      </c>
      <c r="F3762" s="39" t="s">
        <v>1358</v>
      </c>
      <c r="I3762" s="39" t="s">
        <v>107</v>
      </c>
      <c r="U3762" s="0" t="n">
        <v>320</v>
      </c>
      <c r="V3762" s="0" t="n">
        <v>0</v>
      </c>
      <c r="W3762" s="39" t="n">
        <f aca="false">IF(I3762="Male",0,1)</f>
        <v>0</v>
      </c>
      <c r="X3762" s="39" t="n">
        <f aca="false">IF(OR(I3762="DNB",I3762="Dry DNB"),1,0)</f>
        <v>0</v>
      </c>
      <c r="Y3762" s="39" t="n">
        <f aca="false">MATCH(A3762,DATAS,0)</f>
        <v>1</v>
      </c>
      <c r="Z3762" s="39" t="n">
        <f aca="false">IF(AND(E3762&gt;0,OR(AND(B3762&gt;=1,B3762&lt;=6),B3762=10)),1,0)</f>
        <v>0</v>
      </c>
      <c r="AA3762" s="39" t="n">
        <f aca="false">IF(AND(E3762&gt;0,B3762=10),1,0)</f>
        <v>0</v>
      </c>
      <c r="AB3762" s="0" t="str">
        <f aca="false">IF(AND(C3761=C3762,Y3761=Y3762-1),Z3761,"")</f>
        <v/>
      </c>
      <c r="AC3762" s="0" t="str">
        <f aca="false">IF(AND(C3761=C3762,Y3761=Y3762-1),AA3761,"")</f>
        <v/>
      </c>
      <c r="AD3762" s="0" t="str">
        <f aca="false">IF(Y3762=1,"",IF(AND(Z3762=1,AB3762&lt;&gt;1),1,0))</f>
        <v/>
      </c>
      <c r="AE3762" s="0" t="str">
        <f aca="false">IF(Y3762=1,"",IF(AND(AA3762=1,AC3762&lt;&gt;1),1,0))</f>
        <v/>
      </c>
      <c r="AF3762" s="45" t="str">
        <f aca="false">IF(AND(E3762&gt;0,Y3762&lt;1,NOT(AND(C3763=C3762,Y3763=Y3762+1))),INDEX(DATAS,Y3762+1),"")</f>
        <v/>
      </c>
      <c r="AG3762" s="45" t="str">
        <f aca="false">IF(AND(AA3762=1,Y3762&lt;1),IF(AND(C3763=C3762,Y3763=Y3762+1),IF(AA3763=1,"",INDEX(DATAS,Y3762+1)),INDEX(DATAS,Y3762+1)),"")</f>
        <v/>
      </c>
    </row>
    <row r="3763" customFormat="false" ht="15" hidden="false" customHeight="false" outlineLevel="0" collapsed="false">
      <c r="A3763" s="45" t="n">
        <v>46309</v>
      </c>
      <c r="B3763" s="0" t="n">
        <v>15</v>
      </c>
      <c r="C3763" s="0" t="n">
        <v>30394</v>
      </c>
      <c r="E3763" s="0" t="n">
        <v>0</v>
      </c>
      <c r="F3763" s="39" t="s">
        <v>1359</v>
      </c>
      <c r="I3763" s="39" t="s">
        <v>107</v>
      </c>
      <c r="U3763" s="0" t="n">
        <v>319</v>
      </c>
      <c r="V3763" s="0" t="n">
        <v>0</v>
      </c>
      <c r="W3763" s="39" t="n">
        <f aca="false">IF(I3763="Male",0,1)</f>
        <v>0</v>
      </c>
      <c r="X3763" s="39" t="n">
        <f aca="false">IF(OR(I3763="DNB",I3763="Dry DNB"),1,0)</f>
        <v>0</v>
      </c>
      <c r="Y3763" s="39" t="n">
        <f aca="false">MATCH(A3763,DATAS,0)</f>
        <v>1</v>
      </c>
      <c r="Z3763" s="39" t="n">
        <f aca="false">IF(AND(E3763&gt;0,OR(AND(B3763&gt;=1,B3763&lt;=6),B3763=10)),1,0)</f>
        <v>0</v>
      </c>
      <c r="AA3763" s="39" t="n">
        <f aca="false">IF(AND(E3763&gt;0,B3763=10),1,0)</f>
        <v>0</v>
      </c>
      <c r="AB3763" s="0" t="str">
        <f aca="false">IF(AND(C3762=C3763,Y3762=Y3763-1),Z3762,"")</f>
        <v/>
      </c>
      <c r="AC3763" s="0" t="str">
        <f aca="false">IF(AND(C3762=C3763,Y3762=Y3763-1),AA3762,"")</f>
        <v/>
      </c>
      <c r="AD3763" s="0" t="str">
        <f aca="false">IF(Y3763=1,"",IF(AND(Z3763=1,AB3763&lt;&gt;1),1,0))</f>
        <v/>
      </c>
      <c r="AE3763" s="0" t="str">
        <f aca="false">IF(Y3763=1,"",IF(AND(AA3763=1,AC3763&lt;&gt;1),1,0))</f>
        <v/>
      </c>
      <c r="AF3763" s="45" t="str">
        <f aca="false">IF(AND(E3763&gt;0,Y3763&lt;1,NOT(AND(C3764=C3763,Y3764=Y3763+1))),INDEX(DATAS,Y3763+1),"")</f>
        <v/>
      </c>
      <c r="AG3763" s="45" t="str">
        <f aca="false">IF(AND(AA3763=1,Y3763&lt;1),IF(AND(C3764=C3763,Y3764=Y3763+1),IF(AA3764=1,"",INDEX(DATAS,Y3763+1)),INDEX(DATAS,Y3763+1)),"")</f>
        <v/>
      </c>
    </row>
    <row r="3764" customFormat="false" ht="15" hidden="false" customHeight="false" outlineLevel="0" collapsed="false">
      <c r="A3764" s="45" t="n">
        <v>46309</v>
      </c>
      <c r="B3764" s="0" t="n">
        <v>15</v>
      </c>
      <c r="C3764" s="0" t="n">
        <v>30397</v>
      </c>
      <c r="E3764" s="0" t="n">
        <v>0</v>
      </c>
      <c r="F3764" s="39" t="s">
        <v>1360</v>
      </c>
      <c r="I3764" s="39" t="s">
        <v>107</v>
      </c>
      <c r="U3764" s="0" t="n">
        <v>318</v>
      </c>
      <c r="V3764" s="0" t="n">
        <v>0</v>
      </c>
      <c r="W3764" s="39" t="n">
        <f aca="false">IF(I3764="Male",0,1)</f>
        <v>0</v>
      </c>
      <c r="X3764" s="39" t="n">
        <f aca="false">IF(OR(I3764="DNB",I3764="Dry DNB"),1,0)</f>
        <v>0</v>
      </c>
      <c r="Y3764" s="39" t="n">
        <f aca="false">MATCH(A3764,DATAS,0)</f>
        <v>1</v>
      </c>
      <c r="Z3764" s="39" t="n">
        <f aca="false">IF(AND(E3764&gt;0,OR(AND(B3764&gt;=1,B3764&lt;=6),B3764=10)),1,0)</f>
        <v>0</v>
      </c>
      <c r="AA3764" s="39" t="n">
        <f aca="false">IF(AND(E3764&gt;0,B3764=10),1,0)</f>
        <v>0</v>
      </c>
      <c r="AB3764" s="0" t="str">
        <f aca="false">IF(AND(C3763=C3764,Y3763=Y3764-1),Z3763,"")</f>
        <v/>
      </c>
      <c r="AC3764" s="0" t="str">
        <f aca="false">IF(AND(C3763=C3764,Y3763=Y3764-1),AA3763,"")</f>
        <v/>
      </c>
      <c r="AD3764" s="0" t="str">
        <f aca="false">IF(Y3764=1,"",IF(AND(Z3764=1,AB3764&lt;&gt;1),1,0))</f>
        <v/>
      </c>
      <c r="AE3764" s="0" t="str">
        <f aca="false">IF(Y3764=1,"",IF(AND(AA3764=1,AC3764&lt;&gt;1),1,0))</f>
        <v/>
      </c>
      <c r="AF3764" s="45" t="str">
        <f aca="false">IF(AND(E3764&gt;0,Y3764&lt;1,NOT(AND(C3765=C3764,Y3765=Y3764+1))),INDEX(DATAS,Y3764+1),"")</f>
        <v/>
      </c>
      <c r="AG3764" s="45" t="str">
        <f aca="false">IF(AND(AA3764=1,Y3764&lt;1),IF(AND(C3765=C3764,Y3765=Y3764+1),IF(AA3765=1,"",INDEX(DATAS,Y3764+1)),INDEX(DATAS,Y3764+1)),"")</f>
        <v/>
      </c>
    </row>
    <row r="3765" customFormat="false" ht="15" hidden="false" customHeight="false" outlineLevel="0" collapsed="false">
      <c r="A3765" s="45" t="n">
        <v>46309</v>
      </c>
      <c r="B3765" s="0" t="n">
        <v>15</v>
      </c>
      <c r="C3765" s="0" t="n">
        <v>30399</v>
      </c>
      <c r="E3765" s="0" t="n">
        <v>0</v>
      </c>
      <c r="F3765" s="39" t="s">
        <v>1362</v>
      </c>
      <c r="I3765" s="39" t="s">
        <v>107</v>
      </c>
      <c r="U3765" s="0" t="n">
        <v>316</v>
      </c>
      <c r="V3765" s="0" t="n">
        <v>0</v>
      </c>
      <c r="W3765" s="39" t="n">
        <f aca="false">IF(I3765="Male",0,1)</f>
        <v>0</v>
      </c>
      <c r="X3765" s="39" t="n">
        <f aca="false">IF(OR(I3765="DNB",I3765="Dry DNB"),1,0)</f>
        <v>0</v>
      </c>
      <c r="Y3765" s="39" t="n">
        <f aca="false">MATCH(A3765,DATAS,0)</f>
        <v>1</v>
      </c>
      <c r="Z3765" s="39" t="n">
        <f aca="false">IF(AND(E3765&gt;0,OR(AND(B3765&gt;=1,B3765&lt;=6),B3765=10)),1,0)</f>
        <v>0</v>
      </c>
      <c r="AA3765" s="39" t="n">
        <f aca="false">IF(AND(E3765&gt;0,B3765=10),1,0)</f>
        <v>0</v>
      </c>
      <c r="AB3765" s="0" t="str">
        <f aca="false">IF(AND(C3764=C3765,Y3764=Y3765-1),Z3764,"")</f>
        <v/>
      </c>
      <c r="AC3765" s="0" t="str">
        <f aca="false">IF(AND(C3764=C3765,Y3764=Y3765-1),AA3764,"")</f>
        <v/>
      </c>
      <c r="AD3765" s="0" t="str">
        <f aca="false">IF(Y3765=1,"",IF(AND(Z3765=1,AB3765&lt;&gt;1),1,0))</f>
        <v/>
      </c>
      <c r="AE3765" s="0" t="str">
        <f aca="false">IF(Y3765=1,"",IF(AND(AA3765=1,AC3765&lt;&gt;1),1,0))</f>
        <v/>
      </c>
      <c r="AF3765" s="45" t="str">
        <f aca="false">IF(AND(E3765&gt;0,Y3765&lt;1,NOT(AND(C3766=C3765,Y3766=Y3765+1))),INDEX(DATAS,Y3765+1),"")</f>
        <v/>
      </c>
      <c r="AG3765" s="45" t="str">
        <f aca="false">IF(AND(AA3765=1,Y3765&lt;1),IF(AND(C3766=C3765,Y3766=Y3765+1),IF(AA3766=1,"",INDEX(DATAS,Y3765+1)),INDEX(DATAS,Y3765+1)),"")</f>
        <v/>
      </c>
    </row>
    <row r="3766" customFormat="false" ht="15" hidden="false" customHeight="false" outlineLevel="0" collapsed="false">
      <c r="A3766" s="45" t="n">
        <v>46309</v>
      </c>
      <c r="B3766" s="0" t="n">
        <v>10</v>
      </c>
      <c r="C3766" s="0" t="n">
        <v>30400</v>
      </c>
      <c r="E3766" s="0" t="n">
        <v>0</v>
      </c>
      <c r="F3766" s="39" t="s">
        <v>1361</v>
      </c>
      <c r="I3766" s="39" t="s">
        <v>107</v>
      </c>
      <c r="U3766" s="0" t="n">
        <v>317</v>
      </c>
      <c r="V3766" s="0" t="n">
        <v>0</v>
      </c>
      <c r="W3766" s="39" t="n">
        <f aca="false">IF(I3766="Male",0,1)</f>
        <v>0</v>
      </c>
      <c r="X3766" s="39" t="n">
        <f aca="false">IF(OR(I3766="DNB",I3766="Dry DNB"),1,0)</f>
        <v>0</v>
      </c>
      <c r="Y3766" s="39" t="n">
        <f aca="false">MATCH(A3766,DATAS,0)</f>
        <v>1</v>
      </c>
      <c r="Z3766" s="39" t="n">
        <f aca="false">IF(AND(E3766&gt;0,OR(AND(B3766&gt;=1,B3766&lt;=6),B3766=10)),1,0)</f>
        <v>0</v>
      </c>
      <c r="AA3766" s="39" t="n">
        <f aca="false">IF(AND(E3766&gt;0,B3766=10),1,0)</f>
        <v>0</v>
      </c>
      <c r="AB3766" s="0" t="str">
        <f aca="false">IF(AND(C3765=C3766,Y3765=Y3766-1),Z3765,"")</f>
        <v/>
      </c>
      <c r="AC3766" s="0" t="str">
        <f aca="false">IF(AND(C3765=C3766,Y3765=Y3766-1),AA3765,"")</f>
        <v/>
      </c>
      <c r="AD3766" s="0" t="str">
        <f aca="false">IF(Y3766=1,"",IF(AND(Z3766=1,AB3766&lt;&gt;1),1,0))</f>
        <v/>
      </c>
      <c r="AE3766" s="0" t="str">
        <f aca="false">IF(Y3766=1,"",IF(AND(AA3766=1,AC3766&lt;&gt;1),1,0))</f>
        <v/>
      </c>
      <c r="AF3766" s="45" t="str">
        <f aca="false">IF(AND(E3766&gt;0,Y3766&lt;1,NOT(AND(C3767=C3766,Y3767=Y3766+1))),INDEX(DATAS,Y3766+1),"")</f>
        <v/>
      </c>
      <c r="AG3766" s="45" t="str">
        <f aca="false">IF(AND(AA3766=1,Y3766&lt;1),IF(AND(C3767=C3766,Y3767=Y3766+1),IF(AA3767=1,"",INDEX(DATAS,Y3766+1)),INDEX(DATAS,Y3766+1)),"")</f>
        <v/>
      </c>
    </row>
    <row r="3767" customFormat="false" ht="15" hidden="false" customHeight="false" outlineLevel="0" collapsed="false">
      <c r="A3767" s="45" t="n">
        <v>46309</v>
      </c>
      <c r="B3767" s="0" t="n">
        <v>15</v>
      </c>
      <c r="C3767" s="0" t="n">
        <v>30402</v>
      </c>
      <c r="E3767" s="0" t="n">
        <v>0</v>
      </c>
      <c r="F3767" s="39" t="s">
        <v>1364</v>
      </c>
      <c r="I3767" s="39" t="s">
        <v>107</v>
      </c>
      <c r="U3767" s="0" t="n">
        <v>314</v>
      </c>
      <c r="V3767" s="0" t="n">
        <v>0</v>
      </c>
      <c r="W3767" s="39" t="n">
        <f aca="false">IF(I3767="Male",0,1)</f>
        <v>0</v>
      </c>
      <c r="X3767" s="39" t="n">
        <f aca="false">IF(OR(I3767="DNB",I3767="Dry DNB"),1,0)</f>
        <v>0</v>
      </c>
      <c r="Y3767" s="39" t="n">
        <f aca="false">MATCH(A3767,DATAS,0)</f>
        <v>1</v>
      </c>
      <c r="Z3767" s="39" t="n">
        <f aca="false">IF(AND(E3767&gt;0,OR(AND(B3767&gt;=1,B3767&lt;=6),B3767=10)),1,0)</f>
        <v>0</v>
      </c>
      <c r="AA3767" s="39" t="n">
        <f aca="false">IF(AND(E3767&gt;0,B3767=10),1,0)</f>
        <v>0</v>
      </c>
      <c r="AB3767" s="0" t="str">
        <f aca="false">IF(AND(C3766=C3767,Y3766=Y3767-1),Z3766,"")</f>
        <v/>
      </c>
      <c r="AC3767" s="0" t="str">
        <f aca="false">IF(AND(C3766=C3767,Y3766=Y3767-1),AA3766,"")</f>
        <v/>
      </c>
      <c r="AD3767" s="0" t="str">
        <f aca="false">IF(Y3767=1,"",IF(AND(Z3767=1,AB3767&lt;&gt;1),1,0))</f>
        <v/>
      </c>
      <c r="AE3767" s="0" t="str">
        <f aca="false">IF(Y3767=1,"",IF(AND(AA3767=1,AC3767&lt;&gt;1),1,0))</f>
        <v/>
      </c>
      <c r="AF3767" s="45" t="str">
        <f aca="false">IF(AND(E3767&gt;0,Y3767&lt;1,NOT(AND(C3768=C3767,Y3768=Y3767+1))),INDEX(DATAS,Y3767+1),"")</f>
        <v/>
      </c>
      <c r="AG3767" s="45" t="str">
        <f aca="false">IF(AND(AA3767=1,Y3767&lt;1),IF(AND(C3768=C3767,Y3768=Y3767+1),IF(AA3768=1,"",INDEX(DATAS,Y3767+1)),INDEX(DATAS,Y3767+1)),"")</f>
        <v/>
      </c>
    </row>
    <row r="3768" customFormat="false" ht="15" hidden="false" customHeight="false" outlineLevel="0" collapsed="false">
      <c r="A3768" s="45" t="n">
        <v>46309</v>
      </c>
      <c r="B3768" s="0" t="n">
        <v>15</v>
      </c>
      <c r="C3768" s="0" t="n">
        <v>30404</v>
      </c>
      <c r="E3768" s="0" t="n">
        <v>0</v>
      </c>
      <c r="F3768" s="39" t="s">
        <v>1365</v>
      </c>
      <c r="I3768" s="39" t="s">
        <v>107</v>
      </c>
      <c r="U3768" s="0" t="n">
        <v>313</v>
      </c>
      <c r="V3768" s="0" t="n">
        <v>0</v>
      </c>
      <c r="W3768" s="39" t="n">
        <f aca="false">IF(I3768="Male",0,1)</f>
        <v>0</v>
      </c>
      <c r="X3768" s="39" t="n">
        <f aca="false">IF(OR(I3768="DNB",I3768="Dry DNB"),1,0)</f>
        <v>0</v>
      </c>
      <c r="Y3768" s="39" t="n">
        <f aca="false">MATCH(A3768,DATAS,0)</f>
        <v>1</v>
      </c>
      <c r="Z3768" s="39" t="n">
        <f aca="false">IF(AND(E3768&gt;0,OR(AND(B3768&gt;=1,B3768&lt;=6),B3768=10)),1,0)</f>
        <v>0</v>
      </c>
      <c r="AA3768" s="39" t="n">
        <f aca="false">IF(AND(E3768&gt;0,B3768=10),1,0)</f>
        <v>0</v>
      </c>
      <c r="AB3768" s="0" t="str">
        <f aca="false">IF(AND(C3767=C3768,Y3767=Y3768-1),Z3767,"")</f>
        <v/>
      </c>
      <c r="AC3768" s="0" t="str">
        <f aca="false">IF(AND(C3767=C3768,Y3767=Y3768-1),AA3767,"")</f>
        <v/>
      </c>
      <c r="AD3768" s="0" t="str">
        <f aca="false">IF(Y3768=1,"",IF(AND(Z3768=1,AB3768&lt;&gt;1),1,0))</f>
        <v/>
      </c>
      <c r="AE3768" s="0" t="str">
        <f aca="false">IF(Y3768=1,"",IF(AND(AA3768=1,AC3768&lt;&gt;1),1,0))</f>
        <v/>
      </c>
      <c r="AF3768" s="45" t="str">
        <f aca="false">IF(AND(E3768&gt;0,Y3768&lt;1,NOT(AND(C3769=C3768,Y3769=Y3768+1))),INDEX(DATAS,Y3768+1),"")</f>
        <v/>
      </c>
      <c r="AG3768" s="45" t="str">
        <f aca="false">IF(AND(AA3768=1,Y3768&lt;1),IF(AND(C3769=C3768,Y3769=Y3768+1),IF(AA3769=1,"",INDEX(DATAS,Y3768+1)),INDEX(DATAS,Y3768+1)),"")</f>
        <v/>
      </c>
    </row>
    <row r="3769" customFormat="false" ht="15" hidden="false" customHeight="false" outlineLevel="0" collapsed="false">
      <c r="A3769" s="45" t="n">
        <v>46309</v>
      </c>
      <c r="B3769" s="0" t="n">
        <v>15</v>
      </c>
      <c r="C3769" s="0" t="n">
        <v>30405</v>
      </c>
      <c r="E3769" s="0" t="n">
        <v>0</v>
      </c>
      <c r="F3769" s="39" t="s">
        <v>1365</v>
      </c>
      <c r="I3769" s="39" t="s">
        <v>107</v>
      </c>
      <c r="U3769" s="0" t="n">
        <v>313</v>
      </c>
      <c r="V3769" s="0" t="n">
        <v>0</v>
      </c>
      <c r="W3769" s="39" t="n">
        <f aca="false">IF(I3769="Male",0,1)</f>
        <v>0</v>
      </c>
      <c r="X3769" s="39" t="n">
        <f aca="false">IF(OR(I3769="DNB",I3769="Dry DNB"),1,0)</f>
        <v>0</v>
      </c>
      <c r="Y3769" s="39" t="n">
        <f aca="false">MATCH(A3769,DATAS,0)</f>
        <v>1</v>
      </c>
      <c r="Z3769" s="39" t="n">
        <f aca="false">IF(AND(E3769&gt;0,OR(AND(B3769&gt;=1,B3769&lt;=6),B3769=10)),1,0)</f>
        <v>0</v>
      </c>
      <c r="AA3769" s="39" t="n">
        <f aca="false">IF(AND(E3769&gt;0,B3769=10),1,0)</f>
        <v>0</v>
      </c>
      <c r="AB3769" s="0" t="str">
        <f aca="false">IF(AND(C3768=C3769,Y3768=Y3769-1),Z3768,"")</f>
        <v/>
      </c>
      <c r="AC3769" s="0" t="str">
        <f aca="false">IF(AND(C3768=C3769,Y3768=Y3769-1),AA3768,"")</f>
        <v/>
      </c>
      <c r="AD3769" s="0" t="str">
        <f aca="false">IF(Y3769=1,"",IF(AND(Z3769=1,AB3769&lt;&gt;1),1,0))</f>
        <v/>
      </c>
      <c r="AE3769" s="0" t="str">
        <f aca="false">IF(Y3769=1,"",IF(AND(AA3769=1,AC3769&lt;&gt;1),1,0))</f>
        <v/>
      </c>
      <c r="AF3769" s="45" t="str">
        <f aca="false">IF(AND(E3769&gt;0,Y3769&lt;1,NOT(AND(C3770=C3769,Y3770=Y3769+1))),INDEX(DATAS,Y3769+1),"")</f>
        <v/>
      </c>
      <c r="AG3769" s="45" t="str">
        <f aca="false">IF(AND(AA3769=1,Y3769&lt;1),IF(AND(C3770=C3769,Y3770=Y3769+1),IF(AA3770=1,"",INDEX(DATAS,Y3769+1)),INDEX(DATAS,Y3769+1)),"")</f>
        <v/>
      </c>
    </row>
    <row r="3770" customFormat="false" ht="15" hidden="false" customHeight="false" outlineLevel="0" collapsed="false">
      <c r="A3770" s="45" t="n">
        <v>46309</v>
      </c>
      <c r="B3770" s="0" t="n">
        <v>15</v>
      </c>
      <c r="C3770" s="0" t="n">
        <v>30415</v>
      </c>
      <c r="E3770" s="0" t="n">
        <v>0</v>
      </c>
      <c r="F3770" s="39" t="s">
        <v>1370</v>
      </c>
      <c r="I3770" s="39" t="s">
        <v>107</v>
      </c>
      <c r="U3770" s="0" t="n">
        <v>307</v>
      </c>
      <c r="V3770" s="0" t="n">
        <v>0</v>
      </c>
      <c r="W3770" s="39" t="n">
        <f aca="false">IF(I3770="Male",0,1)</f>
        <v>0</v>
      </c>
      <c r="X3770" s="39" t="n">
        <f aca="false">IF(OR(I3770="DNB",I3770="Dry DNB"),1,0)</f>
        <v>0</v>
      </c>
      <c r="Y3770" s="39" t="n">
        <f aca="false">MATCH(A3770,DATAS,0)</f>
        <v>1</v>
      </c>
      <c r="Z3770" s="39" t="n">
        <f aca="false">IF(AND(E3770&gt;0,OR(AND(B3770&gt;=1,B3770&lt;=6),B3770=10)),1,0)</f>
        <v>0</v>
      </c>
      <c r="AA3770" s="39" t="n">
        <f aca="false">IF(AND(E3770&gt;0,B3770=10),1,0)</f>
        <v>0</v>
      </c>
      <c r="AB3770" s="0" t="str">
        <f aca="false">IF(AND(C3769=C3770,Y3769=Y3770-1),Z3769,"")</f>
        <v/>
      </c>
      <c r="AC3770" s="0" t="str">
        <f aca="false">IF(AND(C3769=C3770,Y3769=Y3770-1),AA3769,"")</f>
        <v/>
      </c>
      <c r="AD3770" s="0" t="str">
        <f aca="false">IF(Y3770=1,"",IF(AND(Z3770=1,AB3770&lt;&gt;1),1,0))</f>
        <v/>
      </c>
      <c r="AE3770" s="0" t="str">
        <f aca="false">IF(Y3770=1,"",IF(AND(AA3770=1,AC3770&lt;&gt;1),1,0))</f>
        <v/>
      </c>
      <c r="AF3770" s="45" t="str">
        <f aca="false">IF(AND(E3770&gt;0,Y3770&lt;1,NOT(AND(C3771=C3770,Y3771=Y3770+1))),INDEX(DATAS,Y3770+1),"")</f>
        <v/>
      </c>
      <c r="AG3770" s="45" t="str">
        <f aca="false">IF(AND(AA3770=1,Y3770&lt;1),IF(AND(C3771=C3770,Y3771=Y3770+1),IF(AA3771=1,"",INDEX(DATAS,Y3770+1)),INDEX(DATAS,Y3770+1)),"")</f>
        <v/>
      </c>
    </row>
    <row r="3771" customFormat="false" ht="15" hidden="false" customHeight="false" outlineLevel="0" collapsed="false">
      <c r="A3771" s="45" t="n">
        <v>46309</v>
      </c>
      <c r="B3771" s="0" t="n">
        <v>15</v>
      </c>
      <c r="C3771" s="0" t="n">
        <v>30416</v>
      </c>
      <c r="E3771" s="0" t="n">
        <v>0</v>
      </c>
      <c r="F3771" s="39" t="s">
        <v>1372</v>
      </c>
      <c r="I3771" s="39" t="s">
        <v>107</v>
      </c>
      <c r="U3771" s="0" t="n">
        <v>305</v>
      </c>
      <c r="V3771" s="0" t="n">
        <v>0</v>
      </c>
      <c r="W3771" s="39" t="n">
        <f aca="false">IF(I3771="Male",0,1)</f>
        <v>0</v>
      </c>
      <c r="X3771" s="39" t="n">
        <f aca="false">IF(OR(I3771="DNB",I3771="Dry DNB"),1,0)</f>
        <v>0</v>
      </c>
      <c r="Y3771" s="39" t="n">
        <f aca="false">MATCH(A3771,DATAS,0)</f>
        <v>1</v>
      </c>
      <c r="Z3771" s="39" t="n">
        <f aca="false">IF(AND(E3771&gt;0,OR(AND(B3771&gt;=1,B3771&lt;=6),B3771=10)),1,0)</f>
        <v>0</v>
      </c>
      <c r="AA3771" s="39" t="n">
        <f aca="false">IF(AND(E3771&gt;0,B3771=10),1,0)</f>
        <v>0</v>
      </c>
      <c r="AB3771" s="0" t="str">
        <f aca="false">IF(AND(C3770=C3771,Y3770=Y3771-1),Z3770,"")</f>
        <v/>
      </c>
      <c r="AC3771" s="0" t="str">
        <f aca="false">IF(AND(C3770=C3771,Y3770=Y3771-1),AA3770,"")</f>
        <v/>
      </c>
      <c r="AD3771" s="0" t="str">
        <f aca="false">IF(Y3771=1,"",IF(AND(Z3771=1,AB3771&lt;&gt;1),1,0))</f>
        <v/>
      </c>
      <c r="AE3771" s="0" t="str">
        <f aca="false">IF(Y3771=1,"",IF(AND(AA3771=1,AC3771&lt;&gt;1),1,0))</f>
        <v/>
      </c>
      <c r="AF3771" s="45" t="str">
        <f aca="false">IF(AND(E3771&gt;0,Y3771&lt;1,NOT(AND(C3772=C3771,Y3772=Y3771+1))),INDEX(DATAS,Y3771+1),"")</f>
        <v/>
      </c>
      <c r="AG3771" s="45" t="str">
        <f aca="false">IF(AND(AA3771=1,Y3771&lt;1),IF(AND(C3772=C3771,Y3772=Y3771+1),IF(AA3772=1,"",INDEX(DATAS,Y3771+1)),INDEX(DATAS,Y3771+1)),"")</f>
        <v/>
      </c>
    </row>
    <row r="3772" customFormat="false" ht="15" hidden="false" customHeight="false" outlineLevel="0" collapsed="false">
      <c r="A3772" s="45" t="n">
        <v>46309</v>
      </c>
      <c r="B3772" s="0" t="n">
        <v>15</v>
      </c>
      <c r="C3772" s="0" t="n">
        <v>30419</v>
      </c>
      <c r="E3772" s="0" t="n">
        <v>0</v>
      </c>
      <c r="F3772" s="39" t="s">
        <v>1374</v>
      </c>
      <c r="I3772" s="39" t="s">
        <v>107</v>
      </c>
      <c r="U3772" s="0" t="n">
        <v>303</v>
      </c>
      <c r="V3772" s="0" t="n">
        <v>0</v>
      </c>
      <c r="W3772" s="39" t="n">
        <f aca="false">IF(I3772="Male",0,1)</f>
        <v>0</v>
      </c>
      <c r="X3772" s="39" t="n">
        <f aca="false">IF(OR(I3772="DNB",I3772="Dry DNB"),1,0)</f>
        <v>0</v>
      </c>
      <c r="Y3772" s="39" t="n">
        <f aca="false">MATCH(A3772,DATAS,0)</f>
        <v>1</v>
      </c>
      <c r="Z3772" s="39" t="n">
        <f aca="false">IF(AND(E3772&gt;0,OR(AND(B3772&gt;=1,B3772&lt;=6),B3772=10)),1,0)</f>
        <v>0</v>
      </c>
      <c r="AA3772" s="39" t="n">
        <f aca="false">IF(AND(E3772&gt;0,B3772=10),1,0)</f>
        <v>0</v>
      </c>
      <c r="AB3772" s="0" t="str">
        <f aca="false">IF(AND(C3771=C3772,Y3771=Y3772-1),Z3771,"")</f>
        <v/>
      </c>
      <c r="AC3772" s="0" t="str">
        <f aca="false">IF(AND(C3771=C3772,Y3771=Y3772-1),AA3771,"")</f>
        <v/>
      </c>
      <c r="AD3772" s="0" t="str">
        <f aca="false">IF(Y3772=1,"",IF(AND(Z3772=1,AB3772&lt;&gt;1),1,0))</f>
        <v/>
      </c>
      <c r="AE3772" s="0" t="str">
        <f aca="false">IF(Y3772=1,"",IF(AND(AA3772=1,AC3772&lt;&gt;1),1,0))</f>
        <v/>
      </c>
      <c r="AF3772" s="45" t="str">
        <f aca="false">IF(AND(E3772&gt;0,Y3772&lt;1,NOT(AND(C3773=C3772,Y3773=Y3772+1))),INDEX(DATAS,Y3772+1),"")</f>
        <v/>
      </c>
      <c r="AG3772" s="45" t="str">
        <f aca="false">IF(AND(AA3772=1,Y3772&lt;1),IF(AND(C3773=C3772,Y3773=Y3772+1),IF(AA3773=1,"",INDEX(DATAS,Y3772+1)),INDEX(DATAS,Y3772+1)),"")</f>
        <v/>
      </c>
    </row>
    <row r="3773" customFormat="false" ht="15" hidden="false" customHeight="false" outlineLevel="0" collapsed="false">
      <c r="A3773" s="45" t="n">
        <v>46309</v>
      </c>
      <c r="B3773" s="0" t="n">
        <v>15</v>
      </c>
      <c r="C3773" s="0" t="n">
        <v>30420</v>
      </c>
      <c r="E3773" s="0" t="n">
        <v>0</v>
      </c>
      <c r="F3773" s="39" t="s">
        <v>1374</v>
      </c>
      <c r="I3773" s="39" t="s">
        <v>107</v>
      </c>
      <c r="U3773" s="0" t="n">
        <v>303</v>
      </c>
      <c r="V3773" s="0" t="n">
        <v>0</v>
      </c>
      <c r="W3773" s="39" t="n">
        <f aca="false">IF(I3773="Male",0,1)</f>
        <v>0</v>
      </c>
      <c r="X3773" s="39" t="n">
        <f aca="false">IF(OR(I3773="DNB",I3773="Dry DNB"),1,0)</f>
        <v>0</v>
      </c>
      <c r="Y3773" s="39" t="n">
        <f aca="false">MATCH(A3773,DATAS,0)</f>
        <v>1</v>
      </c>
      <c r="Z3773" s="39" t="n">
        <f aca="false">IF(AND(E3773&gt;0,OR(AND(B3773&gt;=1,B3773&lt;=6),B3773=10)),1,0)</f>
        <v>0</v>
      </c>
      <c r="AA3773" s="39" t="n">
        <f aca="false">IF(AND(E3773&gt;0,B3773=10),1,0)</f>
        <v>0</v>
      </c>
      <c r="AB3773" s="0" t="str">
        <f aca="false">IF(AND(C3772=C3773,Y3772=Y3773-1),Z3772,"")</f>
        <v/>
      </c>
      <c r="AC3773" s="0" t="str">
        <f aca="false">IF(AND(C3772=C3773,Y3772=Y3773-1),AA3772,"")</f>
        <v/>
      </c>
      <c r="AD3773" s="0" t="str">
        <f aca="false">IF(Y3773=1,"",IF(AND(Z3773=1,AB3773&lt;&gt;1),1,0))</f>
        <v/>
      </c>
      <c r="AE3773" s="0" t="str">
        <f aca="false">IF(Y3773=1,"",IF(AND(AA3773=1,AC3773&lt;&gt;1),1,0))</f>
        <v/>
      </c>
      <c r="AF3773" s="45" t="str">
        <f aca="false">IF(AND(E3773&gt;0,Y3773&lt;1,NOT(AND(C3774=C3773,Y3774=Y3773+1))),INDEX(DATAS,Y3773+1),"")</f>
        <v/>
      </c>
      <c r="AG3773" s="45" t="str">
        <f aca="false">IF(AND(AA3773=1,Y3773&lt;1),IF(AND(C3774=C3773,Y3774=Y3773+1),IF(AA3774=1,"",INDEX(DATAS,Y3773+1)),INDEX(DATAS,Y3773+1)),"")</f>
        <v/>
      </c>
    </row>
    <row r="3774" customFormat="false" ht="15" hidden="false" customHeight="false" outlineLevel="0" collapsed="false">
      <c r="A3774" s="45" t="n">
        <v>46309</v>
      </c>
      <c r="B3774" s="0" t="n">
        <v>15</v>
      </c>
      <c r="C3774" s="0" t="n">
        <v>30422</v>
      </c>
      <c r="E3774" s="0" t="n">
        <v>0</v>
      </c>
      <c r="F3774" s="39" t="s">
        <v>1375</v>
      </c>
      <c r="I3774" s="39" t="s">
        <v>107</v>
      </c>
      <c r="U3774" s="0" t="n">
        <v>302</v>
      </c>
      <c r="V3774" s="0" t="n">
        <v>0</v>
      </c>
      <c r="W3774" s="39" t="n">
        <f aca="false">IF(I3774="Male",0,1)</f>
        <v>0</v>
      </c>
      <c r="X3774" s="39" t="n">
        <f aca="false">IF(OR(I3774="DNB",I3774="Dry DNB"),1,0)</f>
        <v>0</v>
      </c>
      <c r="Y3774" s="39" t="n">
        <f aca="false">MATCH(A3774,DATAS,0)</f>
        <v>1</v>
      </c>
      <c r="Z3774" s="39" t="n">
        <f aca="false">IF(AND(E3774&gt;0,OR(AND(B3774&gt;=1,B3774&lt;=6),B3774=10)),1,0)</f>
        <v>0</v>
      </c>
      <c r="AA3774" s="39" t="n">
        <f aca="false">IF(AND(E3774&gt;0,B3774=10),1,0)</f>
        <v>0</v>
      </c>
      <c r="AB3774" s="0" t="str">
        <f aca="false">IF(AND(C3773=C3774,Y3773=Y3774-1),Z3773,"")</f>
        <v/>
      </c>
      <c r="AC3774" s="0" t="str">
        <f aca="false">IF(AND(C3773=C3774,Y3773=Y3774-1),AA3773,"")</f>
        <v/>
      </c>
      <c r="AD3774" s="0" t="str">
        <f aca="false">IF(Y3774=1,"",IF(AND(Z3774=1,AB3774&lt;&gt;1),1,0))</f>
        <v/>
      </c>
      <c r="AE3774" s="0" t="str">
        <f aca="false">IF(Y3774=1,"",IF(AND(AA3774=1,AC3774&lt;&gt;1),1,0))</f>
        <v/>
      </c>
      <c r="AF3774" s="45" t="str">
        <f aca="false">IF(AND(E3774&gt;0,Y3774&lt;1,NOT(AND(C3775=C3774,Y3775=Y3774+1))),INDEX(DATAS,Y3774+1),"")</f>
        <v/>
      </c>
      <c r="AG3774" s="45" t="str">
        <f aca="false">IF(AND(AA3774=1,Y3774&lt;1),IF(AND(C3775=C3774,Y3775=Y3774+1),IF(AA3775=1,"",INDEX(DATAS,Y3774+1)),INDEX(DATAS,Y3774+1)),"")</f>
        <v/>
      </c>
    </row>
    <row r="3775" customFormat="false" ht="15" hidden="false" customHeight="false" outlineLevel="0" collapsed="false">
      <c r="A3775" s="45" t="n">
        <v>46309</v>
      </c>
      <c r="B3775" s="0" t="n">
        <v>10</v>
      </c>
      <c r="C3775" s="0" t="n">
        <v>30424</v>
      </c>
      <c r="D3775" s="0" t="n">
        <v>152</v>
      </c>
      <c r="E3775" s="0" t="n">
        <v>1</v>
      </c>
      <c r="F3775" s="39" t="s">
        <v>291</v>
      </c>
      <c r="G3775" s="0" t="n">
        <v>30.5</v>
      </c>
      <c r="H3775" s="0" t="n">
        <v>41</v>
      </c>
      <c r="I3775" s="39" t="s">
        <v>138</v>
      </c>
      <c r="J3775" s="0" t="n">
        <v>152</v>
      </c>
      <c r="K3775" s="0" t="n">
        <v>64</v>
      </c>
      <c r="P3775" s="0" t="n">
        <v>0</v>
      </c>
      <c r="Q3775" s="0" t="n">
        <v>0</v>
      </c>
      <c r="S3775" s="0" t="n">
        <v>10808</v>
      </c>
      <c r="U3775" s="0" t="n">
        <v>1841</v>
      </c>
      <c r="V3775" s="0" t="n">
        <v>3</v>
      </c>
      <c r="W3775" s="39" t="n">
        <f aca="false">IF(I3775="Male",0,1)</f>
        <v>1</v>
      </c>
      <c r="X3775" s="39" t="n">
        <f aca="false">IF(OR(I3775="DNB",I3775="Dry DNB"),1,0)</f>
        <v>0</v>
      </c>
      <c r="Y3775" s="39" t="n">
        <f aca="false">MATCH(A3775,DATAS,0)</f>
        <v>1</v>
      </c>
      <c r="Z3775" s="39" t="n">
        <f aca="false">IF(AND(E3775&gt;0,OR(AND(B3775&gt;=1,B3775&lt;=6),B3775=10)),1,0)</f>
        <v>1</v>
      </c>
      <c r="AA3775" s="39" t="n">
        <f aca="false">IF(AND(E3775&gt;0,B3775=10),1,0)</f>
        <v>1</v>
      </c>
      <c r="AB3775" s="0" t="str">
        <f aca="false">IF(AND(C3774=C3775,Y3774=Y3775-1),Z3774,"")</f>
        <v/>
      </c>
      <c r="AC3775" s="0" t="str">
        <f aca="false">IF(AND(C3774=C3775,Y3774=Y3775-1),AA3774,"")</f>
        <v/>
      </c>
      <c r="AD3775" s="0" t="str">
        <f aca="false">IF(Y3775=1,"",IF(AND(Z3775=1,AB3775&lt;&gt;1),1,0))</f>
        <v/>
      </c>
      <c r="AE3775" s="0" t="str">
        <f aca="false">IF(Y3775=1,"",IF(AND(AA3775=1,AC3775&lt;&gt;1),1,0))</f>
        <v/>
      </c>
      <c r="AF3775" s="45" t="str">
        <f aca="false">IF(AND(E3775&gt;0,Y3775&lt;1,NOT(AND(C3776=C3775,Y3776=Y3775+1))),INDEX(DATAS,Y3775+1),"")</f>
        <v/>
      </c>
      <c r="AG3775" s="45" t="str">
        <f aca="false">IF(AND(AA3775=1,Y3775&lt;1),IF(AND(C3776=C3775,Y3776=Y3775+1),IF(AA3776=1,"",INDEX(DATAS,Y3775+1)),INDEX(DATAS,Y3775+1)),"")</f>
        <v/>
      </c>
    </row>
    <row r="3776" customFormat="false" ht="15" hidden="false" customHeight="false" outlineLevel="0" collapsed="false">
      <c r="A3776" s="45" t="n">
        <v>46309</v>
      </c>
      <c r="B3776" s="0" t="n">
        <v>15</v>
      </c>
      <c r="C3776" s="0" t="n">
        <v>30425</v>
      </c>
      <c r="E3776" s="0" t="n">
        <v>0</v>
      </c>
      <c r="F3776" s="39" t="s">
        <v>1379</v>
      </c>
      <c r="I3776" s="39" t="s">
        <v>107</v>
      </c>
      <c r="U3776" s="0" t="n">
        <v>297</v>
      </c>
      <c r="V3776" s="0" t="n">
        <v>0</v>
      </c>
      <c r="W3776" s="39" t="n">
        <f aca="false">IF(I3776="Male",0,1)</f>
        <v>0</v>
      </c>
      <c r="X3776" s="39" t="n">
        <f aca="false">IF(OR(I3776="DNB",I3776="Dry DNB"),1,0)</f>
        <v>0</v>
      </c>
      <c r="Y3776" s="39" t="n">
        <f aca="false">MATCH(A3776,DATAS,0)</f>
        <v>1</v>
      </c>
      <c r="Z3776" s="39" t="n">
        <f aca="false">IF(AND(E3776&gt;0,OR(AND(B3776&gt;=1,B3776&lt;=6),B3776=10)),1,0)</f>
        <v>0</v>
      </c>
      <c r="AA3776" s="39" t="n">
        <f aca="false">IF(AND(E3776&gt;0,B3776=10),1,0)</f>
        <v>0</v>
      </c>
      <c r="AB3776" s="0" t="str">
        <f aca="false">IF(AND(C3775=C3776,Y3775=Y3776-1),Z3775,"")</f>
        <v/>
      </c>
      <c r="AC3776" s="0" t="str">
        <f aca="false">IF(AND(C3775=C3776,Y3775=Y3776-1),AA3775,"")</f>
        <v/>
      </c>
      <c r="AD3776" s="0" t="str">
        <f aca="false">IF(Y3776=1,"",IF(AND(Z3776=1,AB3776&lt;&gt;1),1,0))</f>
        <v/>
      </c>
      <c r="AE3776" s="0" t="str">
        <f aca="false">IF(Y3776=1,"",IF(AND(AA3776=1,AC3776&lt;&gt;1),1,0))</f>
        <v/>
      </c>
      <c r="AF3776" s="45" t="str">
        <f aca="false">IF(AND(E3776&gt;0,Y3776&lt;1,NOT(AND(C3777=C3776,Y3777=Y3776+1))),INDEX(DATAS,Y3776+1),"")</f>
        <v/>
      </c>
      <c r="AG3776" s="45" t="str">
        <f aca="false">IF(AND(AA3776=1,Y3776&lt;1),IF(AND(C3777=C3776,Y3777=Y3776+1),IF(AA3777=1,"",INDEX(DATAS,Y3776+1)),INDEX(DATAS,Y3776+1)),"")</f>
        <v/>
      </c>
    </row>
    <row r="3777" customFormat="false" ht="15" hidden="false" customHeight="false" outlineLevel="0" collapsed="false">
      <c r="A3777" s="45" t="n">
        <v>46309</v>
      </c>
      <c r="B3777" s="0" t="n">
        <v>15</v>
      </c>
      <c r="C3777" s="0" t="n">
        <v>30430</v>
      </c>
      <c r="E3777" s="0" t="n">
        <v>0</v>
      </c>
      <c r="F3777" s="39" t="s">
        <v>1380</v>
      </c>
      <c r="I3777" s="39" t="s">
        <v>1654</v>
      </c>
      <c r="U3777" s="0" t="n">
        <v>296</v>
      </c>
      <c r="V3777" s="0" t="n">
        <v>0</v>
      </c>
      <c r="W3777" s="39" t="n">
        <f aca="false">IF(I3777="Male",0,1)</f>
        <v>1</v>
      </c>
      <c r="X3777" s="39" t="n">
        <f aca="false">IF(OR(I3777="DNB",I3777="Dry DNB"),1,0)</f>
        <v>0</v>
      </c>
      <c r="Y3777" s="39" t="n">
        <f aca="false">MATCH(A3777,DATAS,0)</f>
        <v>1</v>
      </c>
      <c r="Z3777" s="39" t="n">
        <f aca="false">IF(AND(E3777&gt;0,OR(AND(B3777&gt;=1,B3777&lt;=6),B3777=10)),1,0)</f>
        <v>0</v>
      </c>
      <c r="AA3777" s="39" t="n">
        <f aca="false">IF(AND(E3777&gt;0,B3777=10),1,0)</f>
        <v>0</v>
      </c>
      <c r="AB3777" s="0" t="str">
        <f aca="false">IF(AND(C3776=C3777,Y3776=Y3777-1),Z3776,"")</f>
        <v/>
      </c>
      <c r="AC3777" s="0" t="str">
        <f aca="false">IF(AND(C3776=C3777,Y3776=Y3777-1),AA3776,"")</f>
        <v/>
      </c>
      <c r="AD3777" s="0" t="str">
        <f aca="false">IF(Y3777=1,"",IF(AND(Z3777=1,AB3777&lt;&gt;1),1,0))</f>
        <v/>
      </c>
      <c r="AE3777" s="0" t="str">
        <f aca="false">IF(Y3777=1,"",IF(AND(AA3777=1,AC3777&lt;&gt;1),1,0))</f>
        <v/>
      </c>
      <c r="AF3777" s="45" t="str">
        <f aca="false">IF(AND(E3777&gt;0,Y3777&lt;1,NOT(AND(C3778=C3777,Y3778=Y3777+1))),INDEX(DATAS,Y3777+1),"")</f>
        <v/>
      </c>
      <c r="AG3777" s="45" t="str">
        <f aca="false">IF(AND(AA3777=1,Y3777&lt;1),IF(AND(C3778=C3777,Y3778=Y3777+1),IF(AA3778=1,"",INDEX(DATAS,Y3777+1)),INDEX(DATAS,Y3777+1)),"")</f>
        <v/>
      </c>
    </row>
    <row r="3778" customFormat="false" ht="15" hidden="false" customHeight="false" outlineLevel="0" collapsed="false">
      <c r="A3778" s="45" t="n">
        <v>46309</v>
      </c>
      <c r="B3778" s="0" t="n">
        <v>15</v>
      </c>
      <c r="C3778" s="0" t="n">
        <v>30432</v>
      </c>
      <c r="E3778" s="0" t="n">
        <v>0</v>
      </c>
      <c r="F3778" s="39" t="s">
        <v>1380</v>
      </c>
      <c r="I3778" s="39" t="s">
        <v>107</v>
      </c>
      <c r="U3778" s="0" t="n">
        <v>296</v>
      </c>
      <c r="V3778" s="0" t="n">
        <v>0</v>
      </c>
      <c r="W3778" s="39" t="n">
        <f aca="false">IF(I3778="Male",0,1)</f>
        <v>0</v>
      </c>
      <c r="X3778" s="39" t="n">
        <f aca="false">IF(OR(I3778="DNB",I3778="Dry DNB"),1,0)</f>
        <v>0</v>
      </c>
      <c r="Y3778" s="39" t="n">
        <f aca="false">MATCH(A3778,DATAS,0)</f>
        <v>1</v>
      </c>
      <c r="Z3778" s="39" t="n">
        <f aca="false">IF(AND(E3778&gt;0,OR(AND(B3778&gt;=1,B3778&lt;=6),B3778=10)),1,0)</f>
        <v>0</v>
      </c>
      <c r="AA3778" s="39" t="n">
        <f aca="false">IF(AND(E3778&gt;0,B3778=10),1,0)</f>
        <v>0</v>
      </c>
      <c r="AB3778" s="0" t="str">
        <f aca="false">IF(AND(C3777=C3778,Y3777=Y3778-1),Z3777,"")</f>
        <v/>
      </c>
      <c r="AC3778" s="0" t="str">
        <f aca="false">IF(AND(C3777=C3778,Y3777=Y3778-1),AA3777,"")</f>
        <v/>
      </c>
      <c r="AD3778" s="0" t="str">
        <f aca="false">IF(Y3778=1,"",IF(AND(Z3778=1,AB3778&lt;&gt;1),1,0))</f>
        <v/>
      </c>
      <c r="AE3778" s="0" t="str">
        <f aca="false">IF(Y3778=1,"",IF(AND(AA3778=1,AC3778&lt;&gt;1),1,0))</f>
        <v/>
      </c>
      <c r="AF3778" s="45" t="str">
        <f aca="false">IF(AND(E3778&gt;0,Y3778&lt;1,NOT(AND(C3779=C3778,Y3779=Y3778+1))),INDEX(DATAS,Y3778+1),"")</f>
        <v/>
      </c>
      <c r="AG3778" s="45" t="str">
        <f aca="false">IF(AND(AA3778=1,Y3778&lt;1),IF(AND(C3779=C3778,Y3779=Y3778+1),IF(AA3779=1,"",INDEX(DATAS,Y3778+1)),INDEX(DATAS,Y3778+1)),"")</f>
        <v/>
      </c>
    </row>
    <row r="3779" customFormat="false" ht="15" hidden="false" customHeight="false" outlineLevel="0" collapsed="false">
      <c r="A3779" s="45" t="n">
        <v>46309</v>
      </c>
      <c r="B3779" s="0" t="n">
        <v>15</v>
      </c>
      <c r="C3779" s="0" t="n">
        <v>30434</v>
      </c>
      <c r="E3779" s="0" t="n">
        <v>0</v>
      </c>
      <c r="F3779" s="39" t="s">
        <v>1382</v>
      </c>
      <c r="I3779" s="39" t="s">
        <v>1654</v>
      </c>
      <c r="U3779" s="0" t="n">
        <v>294</v>
      </c>
      <c r="V3779" s="0" t="n">
        <v>0</v>
      </c>
      <c r="W3779" s="39" t="n">
        <f aca="false">IF(I3779="Male",0,1)</f>
        <v>1</v>
      </c>
      <c r="X3779" s="39" t="n">
        <f aca="false">IF(OR(I3779="DNB",I3779="Dry DNB"),1,0)</f>
        <v>0</v>
      </c>
      <c r="Y3779" s="39" t="n">
        <f aca="false">MATCH(A3779,DATAS,0)</f>
        <v>1</v>
      </c>
      <c r="Z3779" s="39" t="n">
        <f aca="false">IF(AND(E3779&gt;0,OR(AND(B3779&gt;=1,B3779&lt;=6),B3779=10)),1,0)</f>
        <v>0</v>
      </c>
      <c r="AA3779" s="39" t="n">
        <f aca="false">IF(AND(E3779&gt;0,B3779=10),1,0)</f>
        <v>0</v>
      </c>
      <c r="AB3779" s="0" t="str">
        <f aca="false">IF(AND(C3778=C3779,Y3778=Y3779-1),Z3778,"")</f>
        <v/>
      </c>
      <c r="AC3779" s="0" t="str">
        <f aca="false">IF(AND(C3778=C3779,Y3778=Y3779-1),AA3778,"")</f>
        <v/>
      </c>
      <c r="AD3779" s="0" t="str">
        <f aca="false">IF(Y3779=1,"",IF(AND(Z3779=1,AB3779&lt;&gt;1),1,0))</f>
        <v/>
      </c>
      <c r="AE3779" s="0" t="str">
        <f aca="false">IF(Y3779=1,"",IF(AND(AA3779=1,AC3779&lt;&gt;1),1,0))</f>
        <v/>
      </c>
      <c r="AF3779" s="45" t="str">
        <f aca="false">IF(AND(E3779&gt;0,Y3779&lt;1,NOT(AND(C3780=C3779,Y3780=Y3779+1))),INDEX(DATAS,Y3779+1),"")</f>
        <v/>
      </c>
      <c r="AG3779" s="45" t="str">
        <f aca="false">IF(AND(AA3779=1,Y3779&lt;1),IF(AND(C3780=C3779,Y3780=Y3779+1),IF(AA3780=1,"",INDEX(DATAS,Y3779+1)),INDEX(DATAS,Y3779+1)),"")</f>
        <v/>
      </c>
    </row>
    <row r="3780" customFormat="false" ht="15" hidden="false" customHeight="false" outlineLevel="0" collapsed="false">
      <c r="A3780" s="45" t="n">
        <v>46309</v>
      </c>
      <c r="B3780" s="0" t="n">
        <v>15</v>
      </c>
      <c r="C3780" s="0" t="n">
        <v>30437</v>
      </c>
      <c r="E3780" s="0" t="n">
        <v>0</v>
      </c>
      <c r="F3780" s="39" t="s">
        <v>1655</v>
      </c>
      <c r="I3780" s="39" t="s">
        <v>107</v>
      </c>
      <c r="U3780" s="0" t="n">
        <v>293</v>
      </c>
      <c r="V3780" s="0" t="n">
        <v>0</v>
      </c>
      <c r="W3780" s="39" t="n">
        <f aca="false">IF(I3780="Male",0,1)</f>
        <v>0</v>
      </c>
      <c r="X3780" s="39" t="n">
        <f aca="false">IF(OR(I3780="DNB",I3780="Dry DNB"),1,0)</f>
        <v>0</v>
      </c>
      <c r="Y3780" s="39" t="n">
        <f aca="false">MATCH(A3780,DATAS,0)</f>
        <v>1</v>
      </c>
      <c r="Z3780" s="39" t="n">
        <f aca="false">IF(AND(E3780&gt;0,OR(AND(B3780&gt;=1,B3780&lt;=6),B3780=10)),1,0)</f>
        <v>0</v>
      </c>
      <c r="AA3780" s="39" t="n">
        <f aca="false">IF(AND(E3780&gt;0,B3780=10),1,0)</f>
        <v>0</v>
      </c>
      <c r="AB3780" s="0" t="str">
        <f aca="false">IF(AND(C3779=C3780,Y3779=Y3780-1),Z3779,"")</f>
        <v/>
      </c>
      <c r="AC3780" s="0" t="str">
        <f aca="false">IF(AND(C3779=C3780,Y3779=Y3780-1),AA3779,"")</f>
        <v/>
      </c>
      <c r="AD3780" s="0" t="str">
        <f aca="false">IF(Y3780=1,"",IF(AND(Z3780=1,AB3780&lt;&gt;1),1,0))</f>
        <v/>
      </c>
      <c r="AE3780" s="0" t="str">
        <f aca="false">IF(Y3780=1,"",IF(AND(AA3780=1,AC3780&lt;&gt;1),1,0))</f>
        <v/>
      </c>
      <c r="AF3780" s="45" t="str">
        <f aca="false">IF(AND(E3780&gt;0,Y3780&lt;1,NOT(AND(C3781=C3780,Y3781=Y3780+1))),INDEX(DATAS,Y3780+1),"")</f>
        <v/>
      </c>
      <c r="AG3780" s="45" t="str">
        <f aca="false">IF(AND(AA3780=1,Y3780&lt;1),IF(AND(C3781=C3780,Y3781=Y3780+1),IF(AA3781=1,"",INDEX(DATAS,Y3780+1)),INDEX(DATAS,Y3780+1)),"")</f>
        <v/>
      </c>
    </row>
    <row r="3781" customFormat="false" ht="15" hidden="false" customHeight="false" outlineLevel="0" collapsed="false">
      <c r="A3781" s="45" t="n">
        <v>46309</v>
      </c>
      <c r="B3781" s="0" t="n">
        <v>15</v>
      </c>
      <c r="C3781" s="0" t="n">
        <v>30441</v>
      </c>
      <c r="E3781" s="0" t="n">
        <v>0</v>
      </c>
      <c r="F3781" s="39" t="s">
        <v>1656</v>
      </c>
      <c r="I3781" s="39" t="s">
        <v>107</v>
      </c>
      <c r="U3781" s="0" t="n">
        <v>290</v>
      </c>
      <c r="V3781" s="0" t="n">
        <v>0</v>
      </c>
      <c r="W3781" s="39" t="n">
        <f aca="false">IF(I3781="Male",0,1)</f>
        <v>0</v>
      </c>
      <c r="X3781" s="39" t="n">
        <f aca="false">IF(OR(I3781="DNB",I3781="Dry DNB"),1,0)</f>
        <v>0</v>
      </c>
      <c r="Y3781" s="39" t="n">
        <f aca="false">MATCH(A3781,DATAS,0)</f>
        <v>1</v>
      </c>
      <c r="Z3781" s="39" t="n">
        <f aca="false">IF(AND(E3781&gt;0,OR(AND(B3781&gt;=1,B3781&lt;=6),B3781=10)),1,0)</f>
        <v>0</v>
      </c>
      <c r="AA3781" s="39" t="n">
        <f aca="false">IF(AND(E3781&gt;0,B3781=10),1,0)</f>
        <v>0</v>
      </c>
      <c r="AB3781" s="0" t="str">
        <f aca="false">IF(AND(C3780=C3781,Y3780=Y3781-1),Z3780,"")</f>
        <v/>
      </c>
      <c r="AC3781" s="0" t="str">
        <f aca="false">IF(AND(C3780=C3781,Y3780=Y3781-1),AA3780,"")</f>
        <v/>
      </c>
      <c r="AD3781" s="0" t="str">
        <f aca="false">IF(Y3781=1,"",IF(AND(Z3781=1,AB3781&lt;&gt;1),1,0))</f>
        <v/>
      </c>
      <c r="AE3781" s="0" t="str">
        <f aca="false">IF(Y3781=1,"",IF(AND(AA3781=1,AC3781&lt;&gt;1),1,0))</f>
        <v/>
      </c>
      <c r="AF3781" s="45" t="str">
        <f aca="false">IF(AND(E3781&gt;0,Y3781&lt;1,NOT(AND(C3782=C3781,Y3782=Y3781+1))),INDEX(DATAS,Y3781+1),"")</f>
        <v/>
      </c>
      <c r="AG3781" s="45" t="str">
        <f aca="false">IF(AND(AA3781=1,Y3781&lt;1),IF(AND(C3782=C3781,Y3782=Y3781+1),IF(AA3782=1,"",INDEX(DATAS,Y3781+1)),INDEX(DATAS,Y3781+1)),"")</f>
        <v/>
      </c>
    </row>
    <row r="3782" customFormat="false" ht="15" hidden="false" customHeight="false" outlineLevel="0" collapsed="false">
      <c r="A3782" s="45" t="n">
        <v>46309</v>
      </c>
      <c r="B3782" s="0" t="n">
        <v>15</v>
      </c>
      <c r="C3782" s="0" t="n">
        <v>30443</v>
      </c>
      <c r="E3782" s="0" t="n">
        <v>0</v>
      </c>
      <c r="F3782" s="39" t="s">
        <v>1385</v>
      </c>
      <c r="I3782" s="39" t="s">
        <v>107</v>
      </c>
      <c r="U3782" s="0" t="n">
        <v>289</v>
      </c>
      <c r="V3782" s="0" t="n">
        <v>0</v>
      </c>
      <c r="W3782" s="39" t="n">
        <f aca="false">IF(I3782="Male",0,1)</f>
        <v>0</v>
      </c>
      <c r="X3782" s="39" t="n">
        <f aca="false">IF(OR(I3782="DNB",I3782="Dry DNB"),1,0)</f>
        <v>0</v>
      </c>
      <c r="Y3782" s="39" t="n">
        <f aca="false">MATCH(A3782,DATAS,0)</f>
        <v>1</v>
      </c>
      <c r="Z3782" s="39" t="n">
        <f aca="false">IF(AND(E3782&gt;0,OR(AND(B3782&gt;=1,B3782&lt;=6),B3782=10)),1,0)</f>
        <v>0</v>
      </c>
      <c r="AA3782" s="39" t="n">
        <f aca="false">IF(AND(E3782&gt;0,B3782=10),1,0)</f>
        <v>0</v>
      </c>
      <c r="AB3782" s="0" t="str">
        <f aca="false">IF(AND(C3781=C3782,Y3781=Y3782-1),Z3781,"")</f>
        <v/>
      </c>
      <c r="AC3782" s="0" t="str">
        <f aca="false">IF(AND(C3781=C3782,Y3781=Y3782-1),AA3781,"")</f>
        <v/>
      </c>
      <c r="AD3782" s="0" t="str">
        <f aca="false">IF(Y3782=1,"",IF(AND(Z3782=1,AB3782&lt;&gt;1),1,0))</f>
        <v/>
      </c>
      <c r="AE3782" s="0" t="str">
        <f aca="false">IF(Y3782=1,"",IF(AND(AA3782=1,AC3782&lt;&gt;1),1,0))</f>
        <v/>
      </c>
      <c r="AF3782" s="45" t="str">
        <f aca="false">IF(AND(E3782&gt;0,Y3782&lt;1,NOT(AND(C3783=C3782,Y3783=Y3782+1))),INDEX(DATAS,Y3782+1),"")</f>
        <v/>
      </c>
      <c r="AG3782" s="45" t="str">
        <f aca="false">IF(AND(AA3782=1,Y3782&lt;1),IF(AND(C3783=C3782,Y3783=Y3782+1),IF(AA3783=1,"",INDEX(DATAS,Y3782+1)),INDEX(DATAS,Y3782+1)),"")</f>
        <v/>
      </c>
    </row>
    <row r="3783" customFormat="false" ht="15" hidden="false" customHeight="false" outlineLevel="0" collapsed="false">
      <c r="A3783" s="45" t="n">
        <v>46309</v>
      </c>
      <c r="B3783" s="0" t="n">
        <v>15</v>
      </c>
      <c r="C3783" s="0" t="n">
        <v>30445</v>
      </c>
      <c r="E3783" s="0" t="n">
        <v>0</v>
      </c>
      <c r="F3783" s="39" t="s">
        <v>1387</v>
      </c>
      <c r="I3783" s="39" t="s">
        <v>107</v>
      </c>
      <c r="U3783" s="0" t="n">
        <v>287</v>
      </c>
      <c r="V3783" s="0" t="n">
        <v>0</v>
      </c>
      <c r="W3783" s="39" t="n">
        <f aca="false">IF(I3783="Male",0,1)</f>
        <v>0</v>
      </c>
      <c r="X3783" s="39" t="n">
        <f aca="false">IF(OR(I3783="DNB",I3783="Dry DNB"),1,0)</f>
        <v>0</v>
      </c>
      <c r="Y3783" s="39" t="n">
        <f aca="false">MATCH(A3783,DATAS,0)</f>
        <v>1</v>
      </c>
      <c r="Z3783" s="39" t="n">
        <f aca="false">IF(AND(E3783&gt;0,OR(AND(B3783&gt;=1,B3783&lt;=6),B3783=10)),1,0)</f>
        <v>0</v>
      </c>
      <c r="AA3783" s="39" t="n">
        <f aca="false">IF(AND(E3783&gt;0,B3783=10),1,0)</f>
        <v>0</v>
      </c>
      <c r="AB3783" s="0" t="str">
        <f aca="false">IF(AND(C3782=C3783,Y3782=Y3783-1),Z3782,"")</f>
        <v/>
      </c>
      <c r="AC3783" s="0" t="str">
        <f aca="false">IF(AND(C3782=C3783,Y3782=Y3783-1),AA3782,"")</f>
        <v/>
      </c>
      <c r="AD3783" s="0" t="str">
        <f aca="false">IF(Y3783=1,"",IF(AND(Z3783=1,AB3783&lt;&gt;1),1,0))</f>
        <v/>
      </c>
      <c r="AE3783" s="0" t="str">
        <f aca="false">IF(Y3783=1,"",IF(AND(AA3783=1,AC3783&lt;&gt;1),1,0))</f>
        <v/>
      </c>
      <c r="AF3783" s="45" t="str">
        <f aca="false">IF(AND(E3783&gt;0,Y3783&lt;1,NOT(AND(C3784=C3783,Y3784=Y3783+1))),INDEX(DATAS,Y3783+1),"")</f>
        <v/>
      </c>
      <c r="AG3783" s="45" t="str">
        <f aca="false">IF(AND(AA3783=1,Y3783&lt;1),IF(AND(C3784=C3783,Y3784=Y3783+1),IF(AA3784=1,"",INDEX(DATAS,Y3783+1)),INDEX(DATAS,Y3783+1)),"")</f>
        <v/>
      </c>
    </row>
    <row r="3784" customFormat="false" ht="15" hidden="false" customHeight="false" outlineLevel="0" collapsed="false">
      <c r="A3784" s="45" t="n">
        <v>46309</v>
      </c>
      <c r="B3784" s="0" t="n">
        <v>15</v>
      </c>
      <c r="C3784" s="0" t="n">
        <v>30446</v>
      </c>
      <c r="E3784" s="0" t="n">
        <v>0</v>
      </c>
      <c r="F3784" s="39" t="s">
        <v>1387</v>
      </c>
      <c r="I3784" s="39" t="s">
        <v>107</v>
      </c>
      <c r="U3784" s="0" t="n">
        <v>287</v>
      </c>
      <c r="V3784" s="0" t="n">
        <v>0</v>
      </c>
      <c r="W3784" s="39" t="n">
        <f aca="false">IF(I3784="Male",0,1)</f>
        <v>0</v>
      </c>
      <c r="X3784" s="39" t="n">
        <f aca="false">IF(OR(I3784="DNB",I3784="Dry DNB"),1,0)</f>
        <v>0</v>
      </c>
      <c r="Y3784" s="39" t="n">
        <f aca="false">MATCH(A3784,DATAS,0)</f>
        <v>1</v>
      </c>
      <c r="Z3784" s="39" t="n">
        <f aca="false">IF(AND(E3784&gt;0,OR(AND(B3784&gt;=1,B3784&lt;=6),B3784=10)),1,0)</f>
        <v>0</v>
      </c>
      <c r="AA3784" s="39" t="n">
        <f aca="false">IF(AND(E3784&gt;0,B3784=10),1,0)</f>
        <v>0</v>
      </c>
      <c r="AB3784" s="0" t="str">
        <f aca="false">IF(AND(C3783=C3784,Y3783=Y3784-1),Z3783,"")</f>
        <v/>
      </c>
      <c r="AC3784" s="0" t="str">
        <f aca="false">IF(AND(C3783=C3784,Y3783=Y3784-1),AA3783,"")</f>
        <v/>
      </c>
      <c r="AD3784" s="0" t="str">
        <f aca="false">IF(Y3784=1,"",IF(AND(Z3784=1,AB3784&lt;&gt;1),1,0))</f>
        <v/>
      </c>
      <c r="AE3784" s="0" t="str">
        <f aca="false">IF(Y3784=1,"",IF(AND(AA3784=1,AC3784&lt;&gt;1),1,0))</f>
        <v/>
      </c>
      <c r="AF3784" s="45" t="str">
        <f aca="false">IF(AND(E3784&gt;0,Y3784&lt;1,NOT(AND(C3785=C3784,Y3785=Y3784+1))),INDEX(DATAS,Y3784+1),"")</f>
        <v/>
      </c>
      <c r="AG3784" s="45" t="str">
        <f aca="false">IF(AND(AA3784=1,Y3784&lt;1),IF(AND(C3785=C3784,Y3785=Y3784+1),IF(AA3785=1,"",INDEX(DATAS,Y3784+1)),INDEX(DATAS,Y3784+1)),"")</f>
        <v/>
      </c>
    </row>
    <row r="3785" customFormat="false" ht="15" hidden="false" customHeight="false" outlineLevel="0" collapsed="false">
      <c r="A3785" s="45" t="n">
        <v>46309</v>
      </c>
      <c r="B3785" s="0" t="n">
        <v>15</v>
      </c>
      <c r="C3785" s="0" t="n">
        <v>30447</v>
      </c>
      <c r="E3785" s="0" t="n">
        <v>0</v>
      </c>
      <c r="F3785" s="39" t="s">
        <v>1389</v>
      </c>
      <c r="I3785" s="39" t="s">
        <v>107</v>
      </c>
      <c r="U3785" s="0" t="n">
        <v>285</v>
      </c>
      <c r="V3785" s="0" t="n">
        <v>0</v>
      </c>
      <c r="W3785" s="39" t="n">
        <f aca="false">IF(I3785="Male",0,1)</f>
        <v>0</v>
      </c>
      <c r="X3785" s="39" t="n">
        <f aca="false">IF(OR(I3785="DNB",I3785="Dry DNB"),1,0)</f>
        <v>0</v>
      </c>
      <c r="Y3785" s="39" t="n">
        <f aca="false">MATCH(A3785,DATAS,0)</f>
        <v>1</v>
      </c>
      <c r="Z3785" s="39" t="n">
        <f aca="false">IF(AND(E3785&gt;0,OR(AND(B3785&gt;=1,B3785&lt;=6),B3785=10)),1,0)</f>
        <v>0</v>
      </c>
      <c r="AA3785" s="39" t="n">
        <f aca="false">IF(AND(E3785&gt;0,B3785=10),1,0)</f>
        <v>0</v>
      </c>
      <c r="AB3785" s="0" t="str">
        <f aca="false">IF(AND(C3784=C3785,Y3784=Y3785-1),Z3784,"")</f>
        <v/>
      </c>
      <c r="AC3785" s="0" t="str">
        <f aca="false">IF(AND(C3784=C3785,Y3784=Y3785-1),AA3784,"")</f>
        <v/>
      </c>
      <c r="AD3785" s="0" t="str">
        <f aca="false">IF(Y3785=1,"",IF(AND(Z3785=1,AB3785&lt;&gt;1),1,0))</f>
        <v/>
      </c>
      <c r="AE3785" s="0" t="str">
        <f aca="false">IF(Y3785=1,"",IF(AND(AA3785=1,AC3785&lt;&gt;1),1,0))</f>
        <v/>
      </c>
      <c r="AF3785" s="45" t="str">
        <f aca="false">IF(AND(E3785&gt;0,Y3785&lt;1,NOT(AND(C3786=C3785,Y3786=Y3785+1))),INDEX(DATAS,Y3785+1),"")</f>
        <v/>
      </c>
      <c r="AG3785" s="45" t="str">
        <f aca="false">IF(AND(AA3785=1,Y3785&lt;1),IF(AND(C3786=C3785,Y3786=Y3785+1),IF(AA3786=1,"",INDEX(DATAS,Y3785+1)),INDEX(DATAS,Y3785+1)),"")</f>
        <v/>
      </c>
    </row>
    <row r="3786" customFormat="false" ht="15" hidden="false" customHeight="false" outlineLevel="0" collapsed="false">
      <c r="A3786" s="45" t="n">
        <v>46309</v>
      </c>
      <c r="B3786" s="0" t="n">
        <v>15</v>
      </c>
      <c r="C3786" s="0" t="n">
        <v>30448</v>
      </c>
      <c r="E3786" s="0" t="n">
        <v>0</v>
      </c>
      <c r="F3786" s="39" t="s">
        <v>1390</v>
      </c>
      <c r="I3786" s="39" t="s">
        <v>107</v>
      </c>
      <c r="U3786" s="0" t="n">
        <v>284</v>
      </c>
      <c r="V3786" s="0" t="n">
        <v>0</v>
      </c>
      <c r="W3786" s="39" t="n">
        <f aca="false">IF(I3786="Male",0,1)</f>
        <v>0</v>
      </c>
      <c r="X3786" s="39" t="n">
        <f aca="false">IF(OR(I3786="DNB",I3786="Dry DNB"),1,0)</f>
        <v>0</v>
      </c>
      <c r="Y3786" s="39" t="n">
        <f aca="false">MATCH(A3786,DATAS,0)</f>
        <v>1</v>
      </c>
      <c r="Z3786" s="39" t="n">
        <f aca="false">IF(AND(E3786&gt;0,OR(AND(B3786&gt;=1,B3786&lt;=6),B3786=10)),1,0)</f>
        <v>0</v>
      </c>
      <c r="AA3786" s="39" t="n">
        <f aca="false">IF(AND(E3786&gt;0,B3786=10),1,0)</f>
        <v>0</v>
      </c>
      <c r="AB3786" s="0" t="str">
        <f aca="false">IF(AND(C3785=C3786,Y3785=Y3786-1),Z3785,"")</f>
        <v/>
      </c>
      <c r="AC3786" s="0" t="str">
        <f aca="false">IF(AND(C3785=C3786,Y3785=Y3786-1),AA3785,"")</f>
        <v/>
      </c>
      <c r="AD3786" s="0" t="str">
        <f aca="false">IF(Y3786=1,"",IF(AND(Z3786=1,AB3786&lt;&gt;1),1,0))</f>
        <v/>
      </c>
      <c r="AE3786" s="0" t="str">
        <f aca="false">IF(Y3786=1,"",IF(AND(AA3786=1,AC3786&lt;&gt;1),1,0))</f>
        <v/>
      </c>
      <c r="AF3786" s="45" t="str">
        <f aca="false">IF(AND(E3786&gt;0,Y3786&lt;1,NOT(AND(C3787=C3786,Y3787=Y3786+1))),INDEX(DATAS,Y3786+1),"")</f>
        <v/>
      </c>
      <c r="AG3786" s="45" t="str">
        <f aca="false">IF(AND(AA3786=1,Y3786&lt;1),IF(AND(C3787=C3786,Y3787=Y3786+1),IF(AA3787=1,"",INDEX(DATAS,Y3786+1)),INDEX(DATAS,Y3786+1)),"")</f>
        <v/>
      </c>
    </row>
    <row r="3787" customFormat="false" ht="15" hidden="false" customHeight="false" outlineLevel="0" collapsed="false">
      <c r="A3787" s="45" t="n">
        <v>46309</v>
      </c>
      <c r="B3787" s="0" t="n">
        <v>15</v>
      </c>
      <c r="C3787" s="0" t="n">
        <v>30450</v>
      </c>
      <c r="E3787" s="0" t="n">
        <v>0</v>
      </c>
      <c r="F3787" s="39" t="s">
        <v>1392</v>
      </c>
      <c r="I3787" s="39" t="s">
        <v>107</v>
      </c>
      <c r="U3787" s="0" t="n">
        <v>282</v>
      </c>
      <c r="V3787" s="0" t="n">
        <v>0</v>
      </c>
      <c r="W3787" s="39" t="n">
        <f aca="false">IF(I3787="Male",0,1)</f>
        <v>0</v>
      </c>
      <c r="X3787" s="39" t="n">
        <f aca="false">IF(OR(I3787="DNB",I3787="Dry DNB"),1,0)</f>
        <v>0</v>
      </c>
      <c r="Y3787" s="39" t="n">
        <f aca="false">MATCH(A3787,DATAS,0)</f>
        <v>1</v>
      </c>
      <c r="Z3787" s="39" t="n">
        <f aca="false">IF(AND(E3787&gt;0,OR(AND(B3787&gt;=1,B3787&lt;=6),B3787=10)),1,0)</f>
        <v>0</v>
      </c>
      <c r="AA3787" s="39" t="n">
        <f aca="false">IF(AND(E3787&gt;0,B3787=10),1,0)</f>
        <v>0</v>
      </c>
      <c r="AB3787" s="0" t="str">
        <f aca="false">IF(AND(C3786=C3787,Y3786=Y3787-1),Z3786,"")</f>
        <v/>
      </c>
      <c r="AC3787" s="0" t="str">
        <f aca="false">IF(AND(C3786=C3787,Y3786=Y3787-1),AA3786,"")</f>
        <v/>
      </c>
      <c r="AD3787" s="0" t="str">
        <f aca="false">IF(Y3787=1,"",IF(AND(Z3787=1,AB3787&lt;&gt;1),1,0))</f>
        <v/>
      </c>
      <c r="AE3787" s="0" t="str">
        <f aca="false">IF(Y3787=1,"",IF(AND(AA3787=1,AC3787&lt;&gt;1),1,0))</f>
        <v/>
      </c>
      <c r="AF3787" s="45" t="str">
        <f aca="false">IF(AND(E3787&gt;0,Y3787&lt;1,NOT(AND(C3788=C3787,Y3788=Y3787+1))),INDEX(DATAS,Y3787+1),"")</f>
        <v/>
      </c>
      <c r="AG3787" s="45" t="str">
        <f aca="false">IF(AND(AA3787=1,Y3787&lt;1),IF(AND(C3788=C3787,Y3788=Y3787+1),IF(AA3788=1,"",INDEX(DATAS,Y3787+1)),INDEX(DATAS,Y3787+1)),"")</f>
        <v/>
      </c>
    </row>
    <row r="3788" customFormat="false" ht="15" hidden="false" customHeight="false" outlineLevel="0" collapsed="false">
      <c r="A3788" s="45" t="n">
        <v>46309</v>
      </c>
      <c r="B3788" s="0" t="n">
        <v>15</v>
      </c>
      <c r="C3788" s="0" t="n">
        <v>30452</v>
      </c>
      <c r="E3788" s="0" t="n">
        <v>0</v>
      </c>
      <c r="F3788" s="39" t="s">
        <v>1393</v>
      </c>
      <c r="I3788" s="39" t="s">
        <v>107</v>
      </c>
      <c r="U3788" s="0" t="n">
        <v>281</v>
      </c>
      <c r="V3788" s="0" t="n">
        <v>0</v>
      </c>
      <c r="W3788" s="39" t="n">
        <f aca="false">IF(I3788="Male",0,1)</f>
        <v>0</v>
      </c>
      <c r="X3788" s="39" t="n">
        <f aca="false">IF(OR(I3788="DNB",I3788="Dry DNB"),1,0)</f>
        <v>0</v>
      </c>
      <c r="Y3788" s="39" t="n">
        <f aca="false">MATCH(A3788,DATAS,0)</f>
        <v>1</v>
      </c>
      <c r="Z3788" s="39" t="n">
        <f aca="false">IF(AND(E3788&gt;0,OR(AND(B3788&gt;=1,B3788&lt;=6),B3788=10)),1,0)</f>
        <v>0</v>
      </c>
      <c r="AA3788" s="39" t="n">
        <f aca="false">IF(AND(E3788&gt;0,B3788=10),1,0)</f>
        <v>0</v>
      </c>
      <c r="AB3788" s="0" t="str">
        <f aca="false">IF(AND(C3787=C3788,Y3787=Y3788-1),Z3787,"")</f>
        <v/>
      </c>
      <c r="AC3788" s="0" t="str">
        <f aca="false">IF(AND(C3787=C3788,Y3787=Y3788-1),AA3787,"")</f>
        <v/>
      </c>
      <c r="AD3788" s="0" t="str">
        <f aca="false">IF(Y3788=1,"",IF(AND(Z3788=1,AB3788&lt;&gt;1),1,0))</f>
        <v/>
      </c>
      <c r="AE3788" s="0" t="str">
        <f aca="false">IF(Y3788=1,"",IF(AND(AA3788=1,AC3788&lt;&gt;1),1,0))</f>
        <v/>
      </c>
      <c r="AF3788" s="45" t="str">
        <f aca="false">IF(AND(E3788&gt;0,Y3788&lt;1,NOT(AND(C3789=C3788,Y3789=Y3788+1))),INDEX(DATAS,Y3788+1),"")</f>
        <v/>
      </c>
      <c r="AG3788" s="45" t="str">
        <f aca="false">IF(AND(AA3788=1,Y3788&lt;1),IF(AND(C3789=C3788,Y3789=Y3788+1),IF(AA3789=1,"",INDEX(DATAS,Y3788+1)),INDEX(DATAS,Y3788+1)),"")</f>
        <v/>
      </c>
    </row>
    <row r="3789" customFormat="false" ht="15" hidden="false" customHeight="false" outlineLevel="0" collapsed="false">
      <c r="A3789" s="45" t="n">
        <v>46309</v>
      </c>
      <c r="B3789" s="0" t="n">
        <v>15</v>
      </c>
      <c r="C3789" s="0" t="n">
        <v>30453</v>
      </c>
      <c r="E3789" s="0" t="n">
        <v>0</v>
      </c>
      <c r="F3789" s="39" t="s">
        <v>1394</v>
      </c>
      <c r="I3789" s="39" t="s">
        <v>107</v>
      </c>
      <c r="U3789" s="0" t="n">
        <v>280</v>
      </c>
      <c r="V3789" s="0" t="n">
        <v>0</v>
      </c>
      <c r="W3789" s="39" t="n">
        <f aca="false">IF(I3789="Male",0,1)</f>
        <v>0</v>
      </c>
      <c r="X3789" s="39" t="n">
        <f aca="false">IF(OR(I3789="DNB",I3789="Dry DNB"),1,0)</f>
        <v>0</v>
      </c>
      <c r="Y3789" s="39" t="n">
        <f aca="false">MATCH(A3789,DATAS,0)</f>
        <v>1</v>
      </c>
      <c r="Z3789" s="39" t="n">
        <f aca="false">IF(AND(E3789&gt;0,OR(AND(B3789&gt;=1,B3789&lt;=6),B3789=10)),1,0)</f>
        <v>0</v>
      </c>
      <c r="AA3789" s="39" t="n">
        <f aca="false">IF(AND(E3789&gt;0,B3789=10),1,0)</f>
        <v>0</v>
      </c>
      <c r="AB3789" s="0" t="str">
        <f aca="false">IF(AND(C3788=C3789,Y3788=Y3789-1),Z3788,"")</f>
        <v/>
      </c>
      <c r="AC3789" s="0" t="str">
        <f aca="false">IF(AND(C3788=C3789,Y3788=Y3789-1),AA3788,"")</f>
        <v/>
      </c>
      <c r="AD3789" s="0" t="str">
        <f aca="false">IF(Y3789=1,"",IF(AND(Z3789=1,AB3789&lt;&gt;1),1,0))</f>
        <v/>
      </c>
      <c r="AE3789" s="0" t="str">
        <f aca="false">IF(Y3789=1,"",IF(AND(AA3789=1,AC3789&lt;&gt;1),1,0))</f>
        <v/>
      </c>
      <c r="AF3789" s="45" t="str">
        <f aca="false">IF(AND(E3789&gt;0,Y3789&lt;1,NOT(AND(C3790=C3789,Y3790=Y3789+1))),INDEX(DATAS,Y3789+1),"")</f>
        <v/>
      </c>
      <c r="AG3789" s="45" t="str">
        <f aca="false">IF(AND(AA3789=1,Y3789&lt;1),IF(AND(C3790=C3789,Y3790=Y3789+1),IF(AA3790=1,"",INDEX(DATAS,Y3789+1)),INDEX(DATAS,Y3789+1)),"")</f>
        <v/>
      </c>
    </row>
    <row r="3790" customFormat="false" ht="15" hidden="false" customHeight="false" outlineLevel="0" collapsed="false">
      <c r="A3790" s="45" t="n">
        <v>46309</v>
      </c>
      <c r="B3790" s="0" t="n">
        <v>15</v>
      </c>
      <c r="C3790" s="0" t="n">
        <v>30456</v>
      </c>
      <c r="E3790" s="0" t="n">
        <v>0</v>
      </c>
      <c r="F3790" s="39" t="s">
        <v>1394</v>
      </c>
      <c r="I3790" s="39" t="s">
        <v>1654</v>
      </c>
      <c r="U3790" s="0" t="n">
        <v>280</v>
      </c>
      <c r="V3790" s="0" t="n">
        <v>0</v>
      </c>
      <c r="W3790" s="39" t="n">
        <f aca="false">IF(I3790="Male",0,1)</f>
        <v>1</v>
      </c>
      <c r="X3790" s="39" t="n">
        <f aca="false">IF(OR(I3790="DNB",I3790="Dry DNB"),1,0)</f>
        <v>0</v>
      </c>
      <c r="Y3790" s="39" t="n">
        <f aca="false">MATCH(A3790,DATAS,0)</f>
        <v>1</v>
      </c>
      <c r="Z3790" s="39" t="n">
        <f aca="false">IF(AND(E3790&gt;0,OR(AND(B3790&gt;=1,B3790&lt;=6),B3790=10)),1,0)</f>
        <v>0</v>
      </c>
      <c r="AA3790" s="39" t="n">
        <f aca="false">IF(AND(E3790&gt;0,B3790=10),1,0)</f>
        <v>0</v>
      </c>
      <c r="AB3790" s="0" t="str">
        <f aca="false">IF(AND(C3789=C3790,Y3789=Y3790-1),Z3789,"")</f>
        <v/>
      </c>
      <c r="AC3790" s="0" t="str">
        <f aca="false">IF(AND(C3789=C3790,Y3789=Y3790-1),AA3789,"")</f>
        <v/>
      </c>
      <c r="AD3790" s="0" t="str">
        <f aca="false">IF(Y3790=1,"",IF(AND(Z3790=1,AB3790&lt;&gt;1),1,0))</f>
        <v/>
      </c>
      <c r="AE3790" s="0" t="str">
        <f aca="false">IF(Y3790=1,"",IF(AND(AA3790=1,AC3790&lt;&gt;1),1,0))</f>
        <v/>
      </c>
      <c r="AF3790" s="45" t="str">
        <f aca="false">IF(AND(E3790&gt;0,Y3790&lt;1,NOT(AND(C3791=C3790,Y3791=Y3790+1))),INDEX(DATAS,Y3790+1),"")</f>
        <v/>
      </c>
      <c r="AG3790" s="45" t="str">
        <f aca="false">IF(AND(AA3790=1,Y3790&lt;1),IF(AND(C3791=C3790,Y3791=Y3790+1),IF(AA3791=1,"",INDEX(DATAS,Y3790+1)),INDEX(DATAS,Y3790+1)),"")</f>
        <v/>
      </c>
    </row>
    <row r="3791" customFormat="false" ht="15" hidden="false" customHeight="false" outlineLevel="0" collapsed="false">
      <c r="A3791" s="45" t="n">
        <v>46309</v>
      </c>
      <c r="B3791" s="0" t="n">
        <v>15</v>
      </c>
      <c r="C3791" s="0" t="n">
        <v>30457</v>
      </c>
      <c r="E3791" s="0" t="n">
        <v>0</v>
      </c>
      <c r="F3791" s="39" t="s">
        <v>1396</v>
      </c>
      <c r="I3791" s="39" t="s">
        <v>107</v>
      </c>
      <c r="U3791" s="0" t="n">
        <v>278</v>
      </c>
      <c r="V3791" s="0" t="n">
        <v>0</v>
      </c>
      <c r="W3791" s="39" t="n">
        <f aca="false">IF(I3791="Male",0,1)</f>
        <v>0</v>
      </c>
      <c r="X3791" s="39" t="n">
        <f aca="false">IF(OR(I3791="DNB",I3791="Dry DNB"),1,0)</f>
        <v>0</v>
      </c>
      <c r="Y3791" s="39" t="n">
        <f aca="false">MATCH(A3791,DATAS,0)</f>
        <v>1</v>
      </c>
      <c r="Z3791" s="39" t="n">
        <f aca="false">IF(AND(E3791&gt;0,OR(AND(B3791&gt;=1,B3791&lt;=6),B3791=10)),1,0)</f>
        <v>0</v>
      </c>
      <c r="AA3791" s="39" t="n">
        <f aca="false">IF(AND(E3791&gt;0,B3791=10),1,0)</f>
        <v>0</v>
      </c>
      <c r="AB3791" s="0" t="str">
        <f aca="false">IF(AND(C3790=C3791,Y3790=Y3791-1),Z3790,"")</f>
        <v/>
      </c>
      <c r="AC3791" s="0" t="str">
        <f aca="false">IF(AND(C3790=C3791,Y3790=Y3791-1),AA3790,"")</f>
        <v/>
      </c>
      <c r="AD3791" s="0" t="str">
        <f aca="false">IF(Y3791=1,"",IF(AND(Z3791=1,AB3791&lt;&gt;1),1,0))</f>
        <v/>
      </c>
      <c r="AE3791" s="0" t="str">
        <f aca="false">IF(Y3791=1,"",IF(AND(AA3791=1,AC3791&lt;&gt;1),1,0))</f>
        <v/>
      </c>
      <c r="AF3791" s="45" t="str">
        <f aca="false">IF(AND(E3791&gt;0,Y3791&lt;1,NOT(AND(C3792=C3791,Y3792=Y3791+1))),INDEX(DATAS,Y3791+1),"")</f>
        <v/>
      </c>
      <c r="AG3791" s="45" t="str">
        <f aca="false">IF(AND(AA3791=1,Y3791&lt;1),IF(AND(C3792=C3791,Y3792=Y3791+1),IF(AA3792=1,"",INDEX(DATAS,Y3791+1)),INDEX(DATAS,Y3791+1)),"")</f>
        <v/>
      </c>
    </row>
    <row r="3792" customFormat="false" ht="15" hidden="false" customHeight="false" outlineLevel="0" collapsed="false">
      <c r="A3792" s="45" t="n">
        <v>46309</v>
      </c>
      <c r="B3792" s="0" t="n">
        <v>15</v>
      </c>
      <c r="C3792" s="0" t="n">
        <v>30461</v>
      </c>
      <c r="E3792" s="0" t="n">
        <v>0</v>
      </c>
      <c r="F3792" s="39" t="s">
        <v>1398</v>
      </c>
      <c r="I3792" s="39" t="s">
        <v>107</v>
      </c>
      <c r="U3792" s="0" t="n">
        <v>276</v>
      </c>
      <c r="V3792" s="0" t="n">
        <v>0</v>
      </c>
      <c r="W3792" s="39" t="n">
        <f aca="false">IF(I3792="Male",0,1)</f>
        <v>0</v>
      </c>
      <c r="X3792" s="39" t="n">
        <f aca="false">IF(OR(I3792="DNB",I3792="Dry DNB"),1,0)</f>
        <v>0</v>
      </c>
      <c r="Y3792" s="39" t="n">
        <f aca="false">MATCH(A3792,DATAS,0)</f>
        <v>1</v>
      </c>
      <c r="Z3792" s="39" t="n">
        <f aca="false">IF(AND(E3792&gt;0,OR(AND(B3792&gt;=1,B3792&lt;=6),B3792=10)),1,0)</f>
        <v>0</v>
      </c>
      <c r="AA3792" s="39" t="n">
        <f aca="false">IF(AND(E3792&gt;0,B3792=10),1,0)</f>
        <v>0</v>
      </c>
      <c r="AB3792" s="0" t="str">
        <f aca="false">IF(AND(C3791=C3792,Y3791=Y3792-1),Z3791,"")</f>
        <v/>
      </c>
      <c r="AC3792" s="0" t="str">
        <f aca="false">IF(AND(C3791=C3792,Y3791=Y3792-1),AA3791,"")</f>
        <v/>
      </c>
      <c r="AD3792" s="0" t="str">
        <f aca="false">IF(Y3792=1,"",IF(AND(Z3792=1,AB3792&lt;&gt;1),1,0))</f>
        <v/>
      </c>
      <c r="AE3792" s="0" t="str">
        <f aca="false">IF(Y3792=1,"",IF(AND(AA3792=1,AC3792&lt;&gt;1),1,0))</f>
        <v/>
      </c>
      <c r="AF3792" s="45" t="str">
        <f aca="false">IF(AND(E3792&gt;0,Y3792&lt;1,NOT(AND(C3793=C3792,Y3793=Y3792+1))),INDEX(DATAS,Y3792+1),"")</f>
        <v/>
      </c>
      <c r="AG3792" s="45" t="str">
        <f aca="false">IF(AND(AA3792=1,Y3792&lt;1),IF(AND(C3793=C3792,Y3793=Y3792+1),IF(AA3793=1,"",INDEX(DATAS,Y3792+1)),INDEX(DATAS,Y3792+1)),"")</f>
        <v/>
      </c>
    </row>
    <row r="3793" customFormat="false" ht="15" hidden="false" customHeight="false" outlineLevel="0" collapsed="false">
      <c r="A3793" s="45" t="n">
        <v>46309</v>
      </c>
      <c r="B3793" s="0" t="n">
        <v>15</v>
      </c>
      <c r="C3793" s="0" t="n">
        <v>30462</v>
      </c>
      <c r="E3793" s="0" t="n">
        <v>0</v>
      </c>
      <c r="F3793" s="39" t="s">
        <v>1399</v>
      </c>
      <c r="I3793" s="39" t="s">
        <v>107</v>
      </c>
      <c r="U3793" s="0" t="n">
        <v>275</v>
      </c>
      <c r="V3793" s="0" t="n">
        <v>0</v>
      </c>
      <c r="W3793" s="39" t="n">
        <f aca="false">IF(I3793="Male",0,1)</f>
        <v>0</v>
      </c>
      <c r="X3793" s="39" t="n">
        <f aca="false">IF(OR(I3793="DNB",I3793="Dry DNB"),1,0)</f>
        <v>0</v>
      </c>
      <c r="Y3793" s="39" t="n">
        <f aca="false">MATCH(A3793,DATAS,0)</f>
        <v>1</v>
      </c>
      <c r="Z3793" s="39" t="n">
        <f aca="false">IF(AND(E3793&gt;0,OR(AND(B3793&gt;=1,B3793&lt;=6),B3793=10)),1,0)</f>
        <v>0</v>
      </c>
      <c r="AA3793" s="39" t="n">
        <f aca="false">IF(AND(E3793&gt;0,B3793=10),1,0)</f>
        <v>0</v>
      </c>
      <c r="AB3793" s="0" t="str">
        <f aca="false">IF(AND(C3792=C3793,Y3792=Y3793-1),Z3792,"")</f>
        <v/>
      </c>
      <c r="AC3793" s="0" t="str">
        <f aca="false">IF(AND(C3792=C3793,Y3792=Y3793-1),AA3792,"")</f>
        <v/>
      </c>
      <c r="AD3793" s="0" t="str">
        <f aca="false">IF(Y3793=1,"",IF(AND(Z3793=1,AB3793&lt;&gt;1),1,0))</f>
        <v/>
      </c>
      <c r="AE3793" s="0" t="str">
        <f aca="false">IF(Y3793=1,"",IF(AND(AA3793=1,AC3793&lt;&gt;1),1,0))</f>
        <v/>
      </c>
      <c r="AF3793" s="45" t="str">
        <f aca="false">IF(AND(E3793&gt;0,Y3793&lt;1,NOT(AND(C3794=C3793,Y3794=Y3793+1))),INDEX(DATAS,Y3793+1),"")</f>
        <v/>
      </c>
      <c r="AG3793" s="45" t="str">
        <f aca="false">IF(AND(AA3793=1,Y3793&lt;1),IF(AND(C3794=C3793,Y3794=Y3793+1),IF(AA3794=1,"",INDEX(DATAS,Y3793+1)),INDEX(DATAS,Y3793+1)),"")</f>
        <v/>
      </c>
    </row>
    <row r="3794" customFormat="false" ht="15" hidden="false" customHeight="false" outlineLevel="0" collapsed="false">
      <c r="A3794" s="45" t="n">
        <v>46309</v>
      </c>
      <c r="B3794" s="0" t="n">
        <v>15</v>
      </c>
      <c r="C3794" s="0" t="n">
        <v>30463</v>
      </c>
      <c r="E3794" s="0" t="n">
        <v>0</v>
      </c>
      <c r="F3794" s="39" t="s">
        <v>1399</v>
      </c>
      <c r="I3794" s="39" t="s">
        <v>1654</v>
      </c>
      <c r="U3794" s="0" t="n">
        <v>275</v>
      </c>
      <c r="V3794" s="0" t="n">
        <v>0</v>
      </c>
      <c r="W3794" s="39" t="n">
        <f aca="false">IF(I3794="Male",0,1)</f>
        <v>1</v>
      </c>
      <c r="X3794" s="39" t="n">
        <f aca="false">IF(OR(I3794="DNB",I3794="Dry DNB"),1,0)</f>
        <v>0</v>
      </c>
      <c r="Y3794" s="39" t="n">
        <f aca="false">MATCH(A3794,DATAS,0)</f>
        <v>1</v>
      </c>
      <c r="Z3794" s="39" t="n">
        <f aca="false">IF(AND(E3794&gt;0,OR(AND(B3794&gt;=1,B3794&lt;=6),B3794=10)),1,0)</f>
        <v>0</v>
      </c>
      <c r="AA3794" s="39" t="n">
        <f aca="false">IF(AND(E3794&gt;0,B3794=10),1,0)</f>
        <v>0</v>
      </c>
      <c r="AB3794" s="0" t="str">
        <f aca="false">IF(AND(C3793=C3794,Y3793=Y3794-1),Z3793,"")</f>
        <v/>
      </c>
      <c r="AC3794" s="0" t="str">
        <f aca="false">IF(AND(C3793=C3794,Y3793=Y3794-1),AA3793,"")</f>
        <v/>
      </c>
      <c r="AD3794" s="0" t="str">
        <f aca="false">IF(Y3794=1,"",IF(AND(Z3794=1,AB3794&lt;&gt;1),1,0))</f>
        <v/>
      </c>
      <c r="AE3794" s="0" t="str">
        <f aca="false">IF(Y3794=1,"",IF(AND(AA3794=1,AC3794&lt;&gt;1),1,0))</f>
        <v/>
      </c>
      <c r="AF3794" s="45" t="str">
        <f aca="false">IF(AND(E3794&gt;0,Y3794&lt;1,NOT(AND(C3795=C3794,Y3795=Y3794+1))),INDEX(DATAS,Y3794+1),"")</f>
        <v/>
      </c>
      <c r="AG3794" s="45" t="str">
        <f aca="false">IF(AND(AA3794=1,Y3794&lt;1),IF(AND(C3795=C3794,Y3795=Y3794+1),IF(AA3795=1,"",INDEX(DATAS,Y3794+1)),INDEX(DATAS,Y3794+1)),"")</f>
        <v/>
      </c>
    </row>
    <row r="3795" customFormat="false" ht="15" hidden="false" customHeight="false" outlineLevel="0" collapsed="false">
      <c r="A3795" s="45" t="n">
        <v>46309</v>
      </c>
      <c r="B3795" s="0" t="n">
        <v>15</v>
      </c>
      <c r="C3795" s="0" t="n">
        <v>30465</v>
      </c>
      <c r="E3795" s="0" t="n">
        <v>0</v>
      </c>
      <c r="F3795" s="39" t="s">
        <v>1400</v>
      </c>
      <c r="I3795" s="39" t="s">
        <v>1654</v>
      </c>
      <c r="U3795" s="0" t="n">
        <v>274</v>
      </c>
      <c r="V3795" s="0" t="n">
        <v>0</v>
      </c>
      <c r="W3795" s="39" t="n">
        <f aca="false">IF(I3795="Male",0,1)</f>
        <v>1</v>
      </c>
      <c r="X3795" s="39" t="n">
        <f aca="false">IF(OR(I3795="DNB",I3795="Dry DNB"),1,0)</f>
        <v>0</v>
      </c>
      <c r="Y3795" s="39" t="n">
        <f aca="false">MATCH(A3795,DATAS,0)</f>
        <v>1</v>
      </c>
      <c r="Z3795" s="39" t="n">
        <f aca="false">IF(AND(E3795&gt;0,OR(AND(B3795&gt;=1,B3795&lt;=6),B3795=10)),1,0)</f>
        <v>0</v>
      </c>
      <c r="AA3795" s="39" t="n">
        <f aca="false">IF(AND(E3795&gt;0,B3795=10),1,0)</f>
        <v>0</v>
      </c>
      <c r="AB3795" s="0" t="str">
        <f aca="false">IF(AND(C3794=C3795,Y3794=Y3795-1),Z3794,"")</f>
        <v/>
      </c>
      <c r="AC3795" s="0" t="str">
        <f aca="false">IF(AND(C3794=C3795,Y3794=Y3795-1),AA3794,"")</f>
        <v/>
      </c>
      <c r="AD3795" s="0" t="str">
        <f aca="false">IF(Y3795=1,"",IF(AND(Z3795=1,AB3795&lt;&gt;1),1,0))</f>
        <v/>
      </c>
      <c r="AE3795" s="0" t="str">
        <f aca="false">IF(Y3795=1,"",IF(AND(AA3795=1,AC3795&lt;&gt;1),1,0))</f>
        <v/>
      </c>
      <c r="AF3795" s="45" t="str">
        <f aca="false">IF(AND(E3795&gt;0,Y3795&lt;1,NOT(AND(C3796=C3795,Y3796=Y3795+1))),INDEX(DATAS,Y3795+1),"")</f>
        <v/>
      </c>
      <c r="AG3795" s="45" t="str">
        <f aca="false">IF(AND(AA3795=1,Y3795&lt;1),IF(AND(C3796=C3795,Y3796=Y3795+1),IF(AA3796=1,"",INDEX(DATAS,Y3795+1)),INDEX(DATAS,Y3795+1)),"")</f>
        <v/>
      </c>
    </row>
    <row r="3796" customFormat="false" ht="15" hidden="false" customHeight="false" outlineLevel="0" collapsed="false">
      <c r="A3796" s="45" t="n">
        <v>46309</v>
      </c>
      <c r="B3796" s="0" t="n">
        <v>15</v>
      </c>
      <c r="C3796" s="0" t="n">
        <v>30466</v>
      </c>
      <c r="E3796" s="0" t="n">
        <v>0</v>
      </c>
      <c r="F3796" s="39" t="s">
        <v>1400</v>
      </c>
      <c r="I3796" s="39" t="s">
        <v>107</v>
      </c>
      <c r="U3796" s="0" t="n">
        <v>274</v>
      </c>
      <c r="V3796" s="0" t="n">
        <v>0</v>
      </c>
      <c r="W3796" s="39" t="n">
        <f aca="false">IF(I3796="Male",0,1)</f>
        <v>0</v>
      </c>
      <c r="X3796" s="39" t="n">
        <f aca="false">IF(OR(I3796="DNB",I3796="Dry DNB"),1,0)</f>
        <v>0</v>
      </c>
      <c r="Y3796" s="39" t="n">
        <f aca="false">MATCH(A3796,DATAS,0)</f>
        <v>1</v>
      </c>
      <c r="Z3796" s="39" t="n">
        <f aca="false">IF(AND(E3796&gt;0,OR(AND(B3796&gt;=1,B3796&lt;=6),B3796=10)),1,0)</f>
        <v>0</v>
      </c>
      <c r="AA3796" s="39" t="n">
        <f aca="false">IF(AND(E3796&gt;0,B3796=10),1,0)</f>
        <v>0</v>
      </c>
      <c r="AB3796" s="0" t="str">
        <f aca="false">IF(AND(C3795=C3796,Y3795=Y3796-1),Z3795,"")</f>
        <v/>
      </c>
      <c r="AC3796" s="0" t="str">
        <f aca="false">IF(AND(C3795=C3796,Y3795=Y3796-1),AA3795,"")</f>
        <v/>
      </c>
      <c r="AD3796" s="0" t="str">
        <f aca="false">IF(Y3796=1,"",IF(AND(Z3796=1,AB3796&lt;&gt;1),1,0))</f>
        <v/>
      </c>
      <c r="AE3796" s="0" t="str">
        <f aca="false">IF(Y3796=1,"",IF(AND(AA3796=1,AC3796&lt;&gt;1),1,0))</f>
        <v/>
      </c>
      <c r="AF3796" s="45" t="str">
        <f aca="false">IF(AND(E3796&gt;0,Y3796&lt;1,NOT(AND(C3797=C3796,Y3797=Y3796+1))),INDEX(DATAS,Y3796+1),"")</f>
        <v/>
      </c>
      <c r="AG3796" s="45" t="str">
        <f aca="false">IF(AND(AA3796=1,Y3796&lt;1),IF(AND(C3797=C3796,Y3797=Y3796+1),IF(AA3797=1,"",INDEX(DATAS,Y3796+1)),INDEX(DATAS,Y3796+1)),"")</f>
        <v/>
      </c>
    </row>
    <row r="3797" customFormat="false" ht="15" hidden="false" customHeight="false" outlineLevel="0" collapsed="false">
      <c r="A3797" s="45" t="n">
        <v>46309</v>
      </c>
      <c r="B3797" s="0" t="n">
        <v>15</v>
      </c>
      <c r="C3797" s="0" t="n">
        <v>30467</v>
      </c>
      <c r="E3797" s="0" t="n">
        <v>0</v>
      </c>
      <c r="F3797" s="39" t="s">
        <v>1400</v>
      </c>
      <c r="I3797" s="39" t="s">
        <v>107</v>
      </c>
      <c r="U3797" s="0" t="n">
        <v>274</v>
      </c>
      <c r="V3797" s="0" t="n">
        <v>0</v>
      </c>
      <c r="W3797" s="39" t="n">
        <f aca="false">IF(I3797="Male",0,1)</f>
        <v>0</v>
      </c>
      <c r="X3797" s="39" t="n">
        <f aca="false">IF(OR(I3797="DNB",I3797="Dry DNB"),1,0)</f>
        <v>0</v>
      </c>
      <c r="Y3797" s="39" t="n">
        <f aca="false">MATCH(A3797,DATAS,0)</f>
        <v>1</v>
      </c>
      <c r="Z3797" s="39" t="n">
        <f aca="false">IF(AND(E3797&gt;0,OR(AND(B3797&gt;=1,B3797&lt;=6),B3797=10)),1,0)</f>
        <v>0</v>
      </c>
      <c r="AA3797" s="39" t="n">
        <f aca="false">IF(AND(E3797&gt;0,B3797=10),1,0)</f>
        <v>0</v>
      </c>
      <c r="AB3797" s="0" t="str">
        <f aca="false">IF(AND(C3796=C3797,Y3796=Y3797-1),Z3796,"")</f>
        <v/>
      </c>
      <c r="AC3797" s="0" t="str">
        <f aca="false">IF(AND(C3796=C3797,Y3796=Y3797-1),AA3796,"")</f>
        <v/>
      </c>
      <c r="AD3797" s="0" t="str">
        <f aca="false">IF(Y3797=1,"",IF(AND(Z3797=1,AB3797&lt;&gt;1),1,0))</f>
        <v/>
      </c>
      <c r="AE3797" s="0" t="str">
        <f aca="false">IF(Y3797=1,"",IF(AND(AA3797=1,AC3797&lt;&gt;1),1,0))</f>
        <v/>
      </c>
      <c r="AF3797" s="45" t="str">
        <f aca="false">IF(AND(E3797&gt;0,Y3797&lt;1,NOT(AND(C3798=C3797,Y3798=Y3797+1))),INDEX(DATAS,Y3797+1),"")</f>
        <v/>
      </c>
      <c r="AG3797" s="45" t="str">
        <f aca="false">IF(AND(AA3797=1,Y3797&lt;1),IF(AND(C3798=C3797,Y3798=Y3797+1),IF(AA3798=1,"",INDEX(DATAS,Y3797+1)),INDEX(DATAS,Y3797+1)),"")</f>
        <v/>
      </c>
    </row>
    <row r="3798" customFormat="false" ht="15" hidden="false" customHeight="false" outlineLevel="0" collapsed="false">
      <c r="A3798" s="45" t="n">
        <v>46309</v>
      </c>
      <c r="B3798" s="0" t="n">
        <v>15</v>
      </c>
      <c r="C3798" s="0" t="n">
        <v>30468</v>
      </c>
      <c r="E3798" s="0" t="n">
        <v>0</v>
      </c>
      <c r="F3798" s="39" t="s">
        <v>1401</v>
      </c>
      <c r="I3798" s="39" t="s">
        <v>107</v>
      </c>
      <c r="U3798" s="0" t="n">
        <v>273</v>
      </c>
      <c r="V3798" s="0" t="n">
        <v>0</v>
      </c>
      <c r="W3798" s="39" t="n">
        <f aca="false">IF(I3798="Male",0,1)</f>
        <v>0</v>
      </c>
      <c r="X3798" s="39" t="n">
        <f aca="false">IF(OR(I3798="DNB",I3798="Dry DNB"),1,0)</f>
        <v>0</v>
      </c>
      <c r="Y3798" s="39" t="n">
        <f aca="false">MATCH(A3798,DATAS,0)</f>
        <v>1</v>
      </c>
      <c r="Z3798" s="39" t="n">
        <f aca="false">IF(AND(E3798&gt;0,OR(AND(B3798&gt;=1,B3798&lt;=6),B3798=10)),1,0)</f>
        <v>0</v>
      </c>
      <c r="AA3798" s="39" t="n">
        <f aca="false">IF(AND(E3798&gt;0,B3798=10),1,0)</f>
        <v>0</v>
      </c>
      <c r="AB3798" s="0" t="str">
        <f aca="false">IF(AND(C3797=C3798,Y3797=Y3798-1),Z3797,"")</f>
        <v/>
      </c>
      <c r="AC3798" s="0" t="str">
        <f aca="false">IF(AND(C3797=C3798,Y3797=Y3798-1),AA3797,"")</f>
        <v/>
      </c>
      <c r="AD3798" s="0" t="str">
        <f aca="false">IF(Y3798=1,"",IF(AND(Z3798=1,AB3798&lt;&gt;1),1,0))</f>
        <v/>
      </c>
      <c r="AE3798" s="0" t="str">
        <f aca="false">IF(Y3798=1,"",IF(AND(AA3798=1,AC3798&lt;&gt;1),1,0))</f>
        <v/>
      </c>
      <c r="AF3798" s="45" t="str">
        <f aca="false">IF(AND(E3798&gt;0,Y3798&lt;1,NOT(AND(C3799=C3798,Y3799=Y3798+1))),INDEX(DATAS,Y3798+1),"")</f>
        <v/>
      </c>
      <c r="AG3798" s="45" t="str">
        <f aca="false">IF(AND(AA3798=1,Y3798&lt;1),IF(AND(C3799=C3798,Y3799=Y3798+1),IF(AA3799=1,"",INDEX(DATAS,Y3798+1)),INDEX(DATAS,Y3798+1)),"")</f>
        <v/>
      </c>
    </row>
    <row r="3799" customFormat="false" ht="15" hidden="false" customHeight="false" outlineLevel="0" collapsed="false">
      <c r="A3799" s="45" t="n">
        <v>46309</v>
      </c>
      <c r="B3799" s="0" t="n">
        <v>15</v>
      </c>
      <c r="C3799" s="0" t="n">
        <v>30469</v>
      </c>
      <c r="E3799" s="0" t="n">
        <v>0</v>
      </c>
      <c r="F3799" s="39" t="s">
        <v>1403</v>
      </c>
      <c r="I3799" s="39" t="s">
        <v>107</v>
      </c>
      <c r="U3799" s="0" t="n">
        <v>271</v>
      </c>
      <c r="V3799" s="0" t="n">
        <v>0</v>
      </c>
      <c r="W3799" s="39" t="n">
        <f aca="false">IF(I3799="Male",0,1)</f>
        <v>0</v>
      </c>
      <c r="X3799" s="39" t="n">
        <f aca="false">IF(OR(I3799="DNB",I3799="Dry DNB"),1,0)</f>
        <v>0</v>
      </c>
      <c r="Y3799" s="39" t="n">
        <f aca="false">MATCH(A3799,DATAS,0)</f>
        <v>1</v>
      </c>
      <c r="Z3799" s="39" t="n">
        <f aca="false">IF(AND(E3799&gt;0,OR(AND(B3799&gt;=1,B3799&lt;=6),B3799=10)),1,0)</f>
        <v>0</v>
      </c>
      <c r="AA3799" s="39" t="n">
        <f aca="false">IF(AND(E3799&gt;0,B3799=10),1,0)</f>
        <v>0</v>
      </c>
      <c r="AB3799" s="0" t="str">
        <f aca="false">IF(AND(C3798=C3799,Y3798=Y3799-1),Z3798,"")</f>
        <v/>
      </c>
      <c r="AC3799" s="0" t="str">
        <f aca="false">IF(AND(C3798=C3799,Y3798=Y3799-1),AA3798,"")</f>
        <v/>
      </c>
      <c r="AD3799" s="0" t="str">
        <f aca="false">IF(Y3799=1,"",IF(AND(Z3799=1,AB3799&lt;&gt;1),1,0))</f>
        <v/>
      </c>
      <c r="AE3799" s="0" t="str">
        <f aca="false">IF(Y3799=1,"",IF(AND(AA3799=1,AC3799&lt;&gt;1),1,0))</f>
        <v/>
      </c>
      <c r="AF3799" s="45" t="str">
        <f aca="false">IF(AND(E3799&gt;0,Y3799&lt;1,NOT(AND(C3800=C3799,Y3800=Y3799+1))),INDEX(DATAS,Y3799+1),"")</f>
        <v/>
      </c>
      <c r="AG3799" s="45" t="str">
        <f aca="false">IF(AND(AA3799=1,Y3799&lt;1),IF(AND(C3800=C3799,Y3800=Y3799+1),IF(AA3800=1,"",INDEX(DATAS,Y3799+1)),INDEX(DATAS,Y3799+1)),"")</f>
        <v/>
      </c>
    </row>
    <row r="3800" customFormat="false" ht="15" hidden="false" customHeight="false" outlineLevel="0" collapsed="false">
      <c r="A3800" s="45" t="n">
        <v>46309</v>
      </c>
      <c r="B3800" s="0" t="n">
        <v>15</v>
      </c>
      <c r="C3800" s="0" t="n">
        <v>30471</v>
      </c>
      <c r="E3800" s="0" t="n">
        <v>0</v>
      </c>
      <c r="F3800" s="39" t="s">
        <v>1403</v>
      </c>
      <c r="I3800" s="39" t="s">
        <v>107</v>
      </c>
      <c r="U3800" s="0" t="n">
        <v>271</v>
      </c>
      <c r="V3800" s="0" t="n">
        <v>0</v>
      </c>
      <c r="W3800" s="39" t="n">
        <f aca="false">IF(I3800="Male",0,1)</f>
        <v>0</v>
      </c>
      <c r="X3800" s="39" t="n">
        <f aca="false">IF(OR(I3800="DNB",I3800="Dry DNB"),1,0)</f>
        <v>0</v>
      </c>
      <c r="Y3800" s="39" t="n">
        <f aca="false">MATCH(A3800,DATAS,0)</f>
        <v>1</v>
      </c>
      <c r="Z3800" s="39" t="n">
        <f aca="false">IF(AND(E3800&gt;0,OR(AND(B3800&gt;=1,B3800&lt;=6),B3800=10)),1,0)</f>
        <v>0</v>
      </c>
      <c r="AA3800" s="39" t="n">
        <f aca="false">IF(AND(E3800&gt;0,B3800=10),1,0)</f>
        <v>0</v>
      </c>
      <c r="AB3800" s="0" t="str">
        <f aca="false">IF(AND(C3799=C3800,Y3799=Y3800-1),Z3799,"")</f>
        <v/>
      </c>
      <c r="AC3800" s="0" t="str">
        <f aca="false">IF(AND(C3799=C3800,Y3799=Y3800-1),AA3799,"")</f>
        <v/>
      </c>
      <c r="AD3800" s="0" t="str">
        <f aca="false">IF(Y3800=1,"",IF(AND(Z3800=1,AB3800&lt;&gt;1),1,0))</f>
        <v/>
      </c>
      <c r="AE3800" s="0" t="str">
        <f aca="false">IF(Y3800=1,"",IF(AND(AA3800=1,AC3800&lt;&gt;1),1,0))</f>
        <v/>
      </c>
      <c r="AF3800" s="45" t="str">
        <f aca="false">IF(AND(E3800&gt;0,Y3800&lt;1,NOT(AND(C3801=C3800,Y3801=Y3800+1))),INDEX(DATAS,Y3800+1),"")</f>
        <v/>
      </c>
      <c r="AG3800" s="45" t="str">
        <f aca="false">IF(AND(AA3800=1,Y3800&lt;1),IF(AND(C3801=C3800,Y3801=Y3800+1),IF(AA3801=1,"",INDEX(DATAS,Y3800+1)),INDEX(DATAS,Y3800+1)),"")</f>
        <v/>
      </c>
    </row>
    <row r="3801" customFormat="false" ht="15" hidden="false" customHeight="false" outlineLevel="0" collapsed="false">
      <c r="A3801" s="45" t="n">
        <v>46309</v>
      </c>
      <c r="B3801" s="0" t="n">
        <v>15</v>
      </c>
      <c r="C3801" s="0" t="n">
        <v>30472</v>
      </c>
      <c r="E3801" s="0" t="n">
        <v>0</v>
      </c>
      <c r="F3801" s="39" t="s">
        <v>1404</v>
      </c>
      <c r="I3801" s="39" t="s">
        <v>107</v>
      </c>
      <c r="U3801" s="0" t="n">
        <v>270</v>
      </c>
      <c r="V3801" s="0" t="n">
        <v>0</v>
      </c>
      <c r="W3801" s="39" t="n">
        <f aca="false">IF(I3801="Male",0,1)</f>
        <v>0</v>
      </c>
      <c r="X3801" s="39" t="n">
        <f aca="false">IF(OR(I3801="DNB",I3801="Dry DNB"),1,0)</f>
        <v>0</v>
      </c>
      <c r="Y3801" s="39" t="n">
        <f aca="false">MATCH(A3801,DATAS,0)</f>
        <v>1</v>
      </c>
      <c r="Z3801" s="39" t="n">
        <f aca="false">IF(AND(E3801&gt;0,OR(AND(B3801&gt;=1,B3801&lt;=6),B3801=10)),1,0)</f>
        <v>0</v>
      </c>
      <c r="AA3801" s="39" t="n">
        <f aca="false">IF(AND(E3801&gt;0,B3801=10),1,0)</f>
        <v>0</v>
      </c>
      <c r="AB3801" s="0" t="str">
        <f aca="false">IF(AND(C3800=C3801,Y3800=Y3801-1),Z3800,"")</f>
        <v/>
      </c>
      <c r="AC3801" s="0" t="str">
        <f aca="false">IF(AND(C3800=C3801,Y3800=Y3801-1),AA3800,"")</f>
        <v/>
      </c>
      <c r="AD3801" s="0" t="str">
        <f aca="false">IF(Y3801=1,"",IF(AND(Z3801=1,AB3801&lt;&gt;1),1,0))</f>
        <v/>
      </c>
      <c r="AE3801" s="0" t="str">
        <f aca="false">IF(Y3801=1,"",IF(AND(AA3801=1,AC3801&lt;&gt;1),1,0))</f>
        <v/>
      </c>
      <c r="AF3801" s="45" t="str">
        <f aca="false">IF(AND(E3801&gt;0,Y3801&lt;1,NOT(AND(C3802=C3801,Y3802=Y3801+1))),INDEX(DATAS,Y3801+1),"")</f>
        <v/>
      </c>
      <c r="AG3801" s="45" t="str">
        <f aca="false">IF(AND(AA3801=1,Y3801&lt;1),IF(AND(C3802=C3801,Y3802=Y3801+1),IF(AA3802=1,"",INDEX(DATAS,Y3801+1)),INDEX(DATAS,Y3801+1)),"")</f>
        <v/>
      </c>
    </row>
    <row r="3802" customFormat="false" ht="15" hidden="false" customHeight="false" outlineLevel="0" collapsed="false">
      <c r="A3802" s="45" t="n">
        <v>46309</v>
      </c>
      <c r="B3802" s="0" t="n">
        <v>15</v>
      </c>
      <c r="C3802" s="0" t="n">
        <v>30474</v>
      </c>
      <c r="E3802" s="0" t="n">
        <v>0</v>
      </c>
      <c r="F3802" s="39" t="s">
        <v>1404</v>
      </c>
      <c r="I3802" s="39" t="s">
        <v>107</v>
      </c>
      <c r="U3802" s="0" t="n">
        <v>270</v>
      </c>
      <c r="V3802" s="0" t="n">
        <v>0</v>
      </c>
      <c r="W3802" s="39" t="n">
        <f aca="false">IF(I3802="Male",0,1)</f>
        <v>0</v>
      </c>
      <c r="X3802" s="39" t="n">
        <f aca="false">IF(OR(I3802="DNB",I3802="Dry DNB"),1,0)</f>
        <v>0</v>
      </c>
      <c r="Y3802" s="39" t="n">
        <f aca="false">MATCH(A3802,DATAS,0)</f>
        <v>1</v>
      </c>
      <c r="Z3802" s="39" t="n">
        <f aca="false">IF(AND(E3802&gt;0,OR(AND(B3802&gt;=1,B3802&lt;=6),B3802=10)),1,0)</f>
        <v>0</v>
      </c>
      <c r="AA3802" s="39" t="n">
        <f aca="false">IF(AND(E3802&gt;0,B3802=10),1,0)</f>
        <v>0</v>
      </c>
      <c r="AB3802" s="0" t="str">
        <f aca="false">IF(AND(C3801=C3802,Y3801=Y3802-1),Z3801,"")</f>
        <v/>
      </c>
      <c r="AC3802" s="0" t="str">
        <f aca="false">IF(AND(C3801=C3802,Y3801=Y3802-1),AA3801,"")</f>
        <v/>
      </c>
      <c r="AD3802" s="0" t="str">
        <f aca="false">IF(Y3802=1,"",IF(AND(Z3802=1,AB3802&lt;&gt;1),1,0))</f>
        <v/>
      </c>
      <c r="AE3802" s="0" t="str">
        <f aca="false">IF(Y3802=1,"",IF(AND(AA3802=1,AC3802&lt;&gt;1),1,0))</f>
        <v/>
      </c>
      <c r="AF3802" s="45" t="str">
        <f aca="false">IF(AND(E3802&gt;0,Y3802&lt;1,NOT(AND(C3803=C3802,Y3803=Y3802+1))),INDEX(DATAS,Y3802+1),"")</f>
        <v/>
      </c>
      <c r="AG3802" s="45" t="str">
        <f aca="false">IF(AND(AA3802=1,Y3802&lt;1),IF(AND(C3803=C3802,Y3803=Y3802+1),IF(AA3803=1,"",INDEX(DATAS,Y3802+1)),INDEX(DATAS,Y3802+1)),"")</f>
        <v/>
      </c>
    </row>
    <row r="3803" customFormat="false" ht="15" hidden="false" customHeight="false" outlineLevel="0" collapsed="false">
      <c r="A3803" s="45" t="n">
        <v>46309</v>
      </c>
      <c r="B3803" s="0" t="n">
        <v>15</v>
      </c>
      <c r="C3803" s="0" t="n">
        <v>30477</v>
      </c>
      <c r="E3803" s="0" t="n">
        <v>0</v>
      </c>
      <c r="F3803" s="39" t="s">
        <v>1405</v>
      </c>
      <c r="I3803" s="39" t="s">
        <v>107</v>
      </c>
      <c r="U3803" s="0" t="n">
        <v>268</v>
      </c>
      <c r="V3803" s="0" t="n">
        <v>0</v>
      </c>
      <c r="W3803" s="39" t="n">
        <f aca="false">IF(I3803="Male",0,1)</f>
        <v>0</v>
      </c>
      <c r="X3803" s="39" t="n">
        <f aca="false">IF(OR(I3803="DNB",I3803="Dry DNB"),1,0)</f>
        <v>0</v>
      </c>
      <c r="Y3803" s="39" t="n">
        <f aca="false">MATCH(A3803,DATAS,0)</f>
        <v>1</v>
      </c>
      <c r="Z3803" s="39" t="n">
        <f aca="false">IF(AND(E3803&gt;0,OR(AND(B3803&gt;=1,B3803&lt;=6),B3803=10)),1,0)</f>
        <v>0</v>
      </c>
      <c r="AA3803" s="39" t="n">
        <f aca="false">IF(AND(E3803&gt;0,B3803=10),1,0)</f>
        <v>0</v>
      </c>
      <c r="AB3803" s="0" t="str">
        <f aca="false">IF(AND(C3802=C3803,Y3802=Y3803-1),Z3802,"")</f>
        <v/>
      </c>
      <c r="AC3803" s="0" t="str">
        <f aca="false">IF(AND(C3802=C3803,Y3802=Y3803-1),AA3802,"")</f>
        <v/>
      </c>
      <c r="AD3803" s="0" t="str">
        <f aca="false">IF(Y3803=1,"",IF(AND(Z3803=1,AB3803&lt;&gt;1),1,0))</f>
        <v/>
      </c>
      <c r="AE3803" s="0" t="str">
        <f aca="false">IF(Y3803=1,"",IF(AND(AA3803=1,AC3803&lt;&gt;1),1,0))</f>
        <v/>
      </c>
      <c r="AF3803" s="45" t="str">
        <f aca="false">IF(AND(E3803&gt;0,Y3803&lt;1,NOT(AND(C3804=C3803,Y3804=Y3803+1))),INDEX(DATAS,Y3803+1),"")</f>
        <v/>
      </c>
      <c r="AG3803" s="45" t="str">
        <f aca="false">IF(AND(AA3803=1,Y3803&lt;1),IF(AND(C3804=C3803,Y3804=Y3803+1),IF(AA3804=1,"",INDEX(DATAS,Y3803+1)),INDEX(DATAS,Y3803+1)),"")</f>
        <v/>
      </c>
    </row>
    <row r="3804" customFormat="false" ht="15" hidden="false" customHeight="false" outlineLevel="0" collapsed="false">
      <c r="A3804" s="45" t="n">
        <v>46309</v>
      </c>
      <c r="B3804" s="0" t="n">
        <v>15</v>
      </c>
      <c r="C3804" s="0" t="n">
        <v>30479</v>
      </c>
      <c r="E3804" s="0" t="n">
        <v>0</v>
      </c>
      <c r="F3804" s="39" t="s">
        <v>1407</v>
      </c>
      <c r="I3804" s="39" t="s">
        <v>107</v>
      </c>
      <c r="U3804" s="0" t="n">
        <v>266</v>
      </c>
      <c r="V3804" s="0" t="n">
        <v>0</v>
      </c>
      <c r="W3804" s="39" t="n">
        <f aca="false">IF(I3804="Male",0,1)</f>
        <v>0</v>
      </c>
      <c r="X3804" s="39" t="n">
        <f aca="false">IF(OR(I3804="DNB",I3804="Dry DNB"),1,0)</f>
        <v>0</v>
      </c>
      <c r="Y3804" s="39" t="n">
        <f aca="false">MATCH(A3804,DATAS,0)</f>
        <v>1</v>
      </c>
      <c r="Z3804" s="39" t="n">
        <f aca="false">IF(AND(E3804&gt;0,OR(AND(B3804&gt;=1,B3804&lt;=6),B3804=10)),1,0)</f>
        <v>0</v>
      </c>
      <c r="AA3804" s="39" t="n">
        <f aca="false">IF(AND(E3804&gt;0,B3804=10),1,0)</f>
        <v>0</v>
      </c>
      <c r="AB3804" s="0" t="str">
        <f aca="false">IF(AND(C3803=C3804,Y3803=Y3804-1),Z3803,"")</f>
        <v/>
      </c>
      <c r="AC3804" s="0" t="str">
        <f aca="false">IF(AND(C3803=C3804,Y3803=Y3804-1),AA3803,"")</f>
        <v/>
      </c>
      <c r="AD3804" s="0" t="str">
        <f aca="false">IF(Y3804=1,"",IF(AND(Z3804=1,AB3804&lt;&gt;1),1,0))</f>
        <v/>
      </c>
      <c r="AE3804" s="0" t="str">
        <f aca="false">IF(Y3804=1,"",IF(AND(AA3804=1,AC3804&lt;&gt;1),1,0))</f>
        <v/>
      </c>
      <c r="AF3804" s="45" t="str">
        <f aca="false">IF(AND(E3804&gt;0,Y3804&lt;1,NOT(AND(C3805=C3804,Y3805=Y3804+1))),INDEX(DATAS,Y3804+1),"")</f>
        <v/>
      </c>
      <c r="AG3804" s="45" t="str">
        <f aca="false">IF(AND(AA3804=1,Y3804&lt;1),IF(AND(C3805=C3804,Y3805=Y3804+1),IF(AA3805=1,"",INDEX(DATAS,Y3804+1)),INDEX(DATAS,Y3804+1)),"")</f>
        <v/>
      </c>
    </row>
    <row r="3805" customFormat="false" ht="15" hidden="false" customHeight="false" outlineLevel="0" collapsed="false">
      <c r="A3805" s="45" t="n">
        <v>46309</v>
      </c>
      <c r="B3805" s="0" t="n">
        <v>15</v>
      </c>
      <c r="C3805" s="0" t="n">
        <v>30481</v>
      </c>
      <c r="E3805" s="0" t="n">
        <v>0</v>
      </c>
      <c r="F3805" s="39" t="s">
        <v>1657</v>
      </c>
      <c r="I3805" s="39" t="s">
        <v>107</v>
      </c>
      <c r="U3805" s="0" t="n">
        <v>265</v>
      </c>
      <c r="V3805" s="0" t="n">
        <v>0</v>
      </c>
      <c r="W3805" s="39" t="n">
        <f aca="false">IF(I3805="Male",0,1)</f>
        <v>0</v>
      </c>
      <c r="X3805" s="39" t="n">
        <f aca="false">IF(OR(I3805="DNB",I3805="Dry DNB"),1,0)</f>
        <v>0</v>
      </c>
      <c r="Y3805" s="39" t="n">
        <f aca="false">MATCH(A3805,DATAS,0)</f>
        <v>1</v>
      </c>
      <c r="Z3805" s="39" t="n">
        <f aca="false">IF(AND(E3805&gt;0,OR(AND(B3805&gt;=1,B3805&lt;=6),B3805=10)),1,0)</f>
        <v>0</v>
      </c>
      <c r="AA3805" s="39" t="n">
        <f aca="false">IF(AND(E3805&gt;0,B3805=10),1,0)</f>
        <v>0</v>
      </c>
      <c r="AB3805" s="0" t="str">
        <f aca="false">IF(AND(C3804=C3805,Y3804=Y3805-1),Z3804,"")</f>
        <v/>
      </c>
      <c r="AC3805" s="0" t="str">
        <f aca="false">IF(AND(C3804=C3805,Y3804=Y3805-1),AA3804,"")</f>
        <v/>
      </c>
      <c r="AD3805" s="0" t="str">
        <f aca="false">IF(Y3805=1,"",IF(AND(Z3805=1,AB3805&lt;&gt;1),1,0))</f>
        <v/>
      </c>
      <c r="AE3805" s="0" t="str">
        <f aca="false">IF(Y3805=1,"",IF(AND(AA3805=1,AC3805&lt;&gt;1),1,0))</f>
        <v/>
      </c>
      <c r="AF3805" s="45" t="str">
        <f aca="false">IF(AND(E3805&gt;0,Y3805&lt;1,NOT(AND(C3806=C3805,Y3806=Y3805+1))),INDEX(DATAS,Y3805+1),"")</f>
        <v/>
      </c>
      <c r="AG3805" s="45" t="str">
        <f aca="false">IF(AND(AA3805=1,Y3805&lt;1),IF(AND(C3806=C3805,Y3806=Y3805+1),IF(AA3806=1,"",INDEX(DATAS,Y3805+1)),INDEX(DATAS,Y3805+1)),"")</f>
        <v/>
      </c>
    </row>
    <row r="3806" customFormat="false" ht="15" hidden="false" customHeight="false" outlineLevel="0" collapsed="false">
      <c r="A3806" s="45" t="n">
        <v>46309</v>
      </c>
      <c r="B3806" s="0" t="n">
        <v>15</v>
      </c>
      <c r="C3806" s="0" t="n">
        <v>30484</v>
      </c>
      <c r="E3806" s="0" t="n">
        <v>0</v>
      </c>
      <c r="F3806" s="39" t="s">
        <v>1408</v>
      </c>
      <c r="I3806" s="39" t="s">
        <v>107</v>
      </c>
      <c r="U3806" s="0" t="n">
        <v>264</v>
      </c>
      <c r="V3806" s="0" t="n">
        <v>0</v>
      </c>
      <c r="W3806" s="39" t="n">
        <f aca="false">IF(I3806="Male",0,1)</f>
        <v>0</v>
      </c>
      <c r="X3806" s="39" t="n">
        <f aca="false">IF(OR(I3806="DNB",I3806="Dry DNB"),1,0)</f>
        <v>0</v>
      </c>
      <c r="Y3806" s="39" t="n">
        <f aca="false">MATCH(A3806,DATAS,0)</f>
        <v>1</v>
      </c>
      <c r="Z3806" s="39" t="n">
        <f aca="false">IF(AND(E3806&gt;0,OR(AND(B3806&gt;=1,B3806&lt;=6),B3806=10)),1,0)</f>
        <v>0</v>
      </c>
      <c r="AA3806" s="39" t="n">
        <f aca="false">IF(AND(E3806&gt;0,B3806=10),1,0)</f>
        <v>0</v>
      </c>
      <c r="AB3806" s="0" t="str">
        <f aca="false">IF(AND(C3805=C3806,Y3805=Y3806-1),Z3805,"")</f>
        <v/>
      </c>
      <c r="AC3806" s="0" t="str">
        <f aca="false">IF(AND(C3805=C3806,Y3805=Y3806-1),AA3805,"")</f>
        <v/>
      </c>
      <c r="AD3806" s="0" t="str">
        <f aca="false">IF(Y3806=1,"",IF(AND(Z3806=1,AB3806&lt;&gt;1),1,0))</f>
        <v/>
      </c>
      <c r="AE3806" s="0" t="str">
        <f aca="false">IF(Y3806=1,"",IF(AND(AA3806=1,AC3806&lt;&gt;1),1,0))</f>
        <v/>
      </c>
      <c r="AF3806" s="45" t="str">
        <f aca="false">IF(AND(E3806&gt;0,Y3806&lt;1,NOT(AND(C3807=C3806,Y3807=Y3806+1))),INDEX(DATAS,Y3806+1),"")</f>
        <v/>
      </c>
      <c r="AG3806" s="45" t="str">
        <f aca="false">IF(AND(AA3806=1,Y3806&lt;1),IF(AND(C3807=C3806,Y3807=Y3806+1),IF(AA3807=1,"",INDEX(DATAS,Y3806+1)),INDEX(DATAS,Y3806+1)),"")</f>
        <v/>
      </c>
    </row>
    <row r="3807" customFormat="false" ht="15" hidden="false" customHeight="false" outlineLevel="0" collapsed="false">
      <c r="A3807" s="45" t="n">
        <v>46309</v>
      </c>
      <c r="B3807" s="0" t="n">
        <v>15</v>
      </c>
      <c r="C3807" s="0" t="n">
        <v>30485</v>
      </c>
      <c r="E3807" s="0" t="n">
        <v>0</v>
      </c>
      <c r="F3807" s="39" t="s">
        <v>1410</v>
      </c>
      <c r="I3807" s="39" t="s">
        <v>107</v>
      </c>
      <c r="U3807" s="0" t="n">
        <v>262</v>
      </c>
      <c r="V3807" s="0" t="n">
        <v>0</v>
      </c>
      <c r="W3807" s="39" t="n">
        <f aca="false">IF(I3807="Male",0,1)</f>
        <v>0</v>
      </c>
      <c r="X3807" s="39" t="n">
        <f aca="false">IF(OR(I3807="DNB",I3807="Dry DNB"),1,0)</f>
        <v>0</v>
      </c>
      <c r="Y3807" s="39" t="n">
        <f aca="false">MATCH(A3807,DATAS,0)</f>
        <v>1</v>
      </c>
      <c r="Z3807" s="39" t="n">
        <f aca="false">IF(AND(E3807&gt;0,OR(AND(B3807&gt;=1,B3807&lt;=6),B3807=10)),1,0)</f>
        <v>0</v>
      </c>
      <c r="AA3807" s="39" t="n">
        <f aca="false">IF(AND(E3807&gt;0,B3807=10),1,0)</f>
        <v>0</v>
      </c>
      <c r="AB3807" s="0" t="str">
        <f aca="false">IF(AND(C3806=C3807,Y3806=Y3807-1),Z3806,"")</f>
        <v/>
      </c>
      <c r="AC3807" s="0" t="str">
        <f aca="false">IF(AND(C3806=C3807,Y3806=Y3807-1),AA3806,"")</f>
        <v/>
      </c>
      <c r="AD3807" s="0" t="str">
        <f aca="false">IF(Y3807=1,"",IF(AND(Z3807=1,AB3807&lt;&gt;1),1,0))</f>
        <v/>
      </c>
      <c r="AE3807" s="0" t="str">
        <f aca="false">IF(Y3807=1,"",IF(AND(AA3807=1,AC3807&lt;&gt;1),1,0))</f>
        <v/>
      </c>
      <c r="AF3807" s="45" t="str">
        <f aca="false">IF(AND(E3807&gt;0,Y3807&lt;1,NOT(AND(C3808=C3807,Y3808=Y3807+1))),INDEX(DATAS,Y3807+1),"")</f>
        <v/>
      </c>
      <c r="AG3807" s="45" t="str">
        <f aca="false">IF(AND(AA3807=1,Y3807&lt;1),IF(AND(C3808=C3807,Y3808=Y3807+1),IF(AA3808=1,"",INDEX(DATAS,Y3807+1)),INDEX(DATAS,Y3807+1)),"")</f>
        <v/>
      </c>
    </row>
    <row r="3808" customFormat="false" ht="15" hidden="false" customHeight="false" outlineLevel="0" collapsed="false">
      <c r="A3808" s="45" t="n">
        <v>46309</v>
      </c>
      <c r="B3808" s="0" t="n">
        <v>15</v>
      </c>
      <c r="C3808" s="0" t="n">
        <v>30488</v>
      </c>
      <c r="E3808" s="0" t="n">
        <v>0</v>
      </c>
      <c r="F3808" s="39" t="s">
        <v>1412</v>
      </c>
      <c r="I3808" s="39" t="s">
        <v>107</v>
      </c>
      <c r="U3808" s="0" t="n">
        <v>260</v>
      </c>
      <c r="V3808" s="0" t="n">
        <v>0</v>
      </c>
      <c r="W3808" s="39" t="n">
        <f aca="false">IF(I3808="Male",0,1)</f>
        <v>0</v>
      </c>
      <c r="X3808" s="39" t="n">
        <f aca="false">IF(OR(I3808="DNB",I3808="Dry DNB"),1,0)</f>
        <v>0</v>
      </c>
      <c r="Y3808" s="39" t="n">
        <f aca="false">MATCH(A3808,DATAS,0)</f>
        <v>1</v>
      </c>
      <c r="Z3808" s="39" t="n">
        <f aca="false">IF(AND(E3808&gt;0,OR(AND(B3808&gt;=1,B3808&lt;=6),B3808=10)),1,0)</f>
        <v>0</v>
      </c>
      <c r="AA3808" s="39" t="n">
        <f aca="false">IF(AND(E3808&gt;0,B3808=10),1,0)</f>
        <v>0</v>
      </c>
      <c r="AB3808" s="0" t="str">
        <f aca="false">IF(AND(C3807=C3808,Y3807=Y3808-1),Z3807,"")</f>
        <v/>
      </c>
      <c r="AC3808" s="0" t="str">
        <f aca="false">IF(AND(C3807=C3808,Y3807=Y3808-1),AA3807,"")</f>
        <v/>
      </c>
      <c r="AD3808" s="0" t="str">
        <f aca="false">IF(Y3808=1,"",IF(AND(Z3808=1,AB3808&lt;&gt;1),1,0))</f>
        <v/>
      </c>
      <c r="AE3808" s="0" t="str">
        <f aca="false">IF(Y3808=1,"",IF(AND(AA3808=1,AC3808&lt;&gt;1),1,0))</f>
        <v/>
      </c>
      <c r="AF3808" s="45" t="str">
        <f aca="false">IF(AND(E3808&gt;0,Y3808&lt;1,NOT(AND(C3809=C3808,Y3809=Y3808+1))),INDEX(DATAS,Y3808+1),"")</f>
        <v/>
      </c>
      <c r="AG3808" s="45" t="str">
        <f aca="false">IF(AND(AA3808=1,Y3808&lt;1),IF(AND(C3809=C3808,Y3809=Y3808+1),IF(AA3809=1,"",INDEX(DATAS,Y3808+1)),INDEX(DATAS,Y3808+1)),"")</f>
        <v/>
      </c>
    </row>
    <row r="3809" customFormat="false" ht="15" hidden="false" customHeight="false" outlineLevel="0" collapsed="false">
      <c r="A3809" s="45" t="n">
        <v>46309</v>
      </c>
      <c r="B3809" s="0" t="n">
        <v>15</v>
      </c>
      <c r="C3809" s="0" t="n">
        <v>30496</v>
      </c>
      <c r="E3809" s="0" t="n">
        <v>0</v>
      </c>
      <c r="F3809" s="39" t="s">
        <v>1416</v>
      </c>
      <c r="I3809" s="39" t="s">
        <v>107</v>
      </c>
      <c r="U3809" s="0" t="n">
        <v>256</v>
      </c>
      <c r="V3809" s="0" t="n">
        <v>0</v>
      </c>
      <c r="W3809" s="39" t="n">
        <f aca="false">IF(I3809="Male",0,1)</f>
        <v>0</v>
      </c>
      <c r="X3809" s="39" t="n">
        <f aca="false">IF(OR(I3809="DNB",I3809="Dry DNB"),1,0)</f>
        <v>0</v>
      </c>
      <c r="Y3809" s="39" t="n">
        <f aca="false">MATCH(A3809,DATAS,0)</f>
        <v>1</v>
      </c>
      <c r="Z3809" s="39" t="n">
        <f aca="false">IF(AND(E3809&gt;0,OR(AND(B3809&gt;=1,B3809&lt;=6),B3809=10)),1,0)</f>
        <v>0</v>
      </c>
      <c r="AA3809" s="39" t="n">
        <f aca="false">IF(AND(E3809&gt;0,B3809=10),1,0)</f>
        <v>0</v>
      </c>
      <c r="AB3809" s="0" t="str">
        <f aca="false">IF(AND(C3808=C3809,Y3808=Y3809-1),Z3808,"")</f>
        <v/>
      </c>
      <c r="AC3809" s="0" t="str">
        <f aca="false">IF(AND(C3808=C3809,Y3808=Y3809-1),AA3808,"")</f>
        <v/>
      </c>
      <c r="AD3809" s="0" t="str">
        <f aca="false">IF(Y3809=1,"",IF(AND(Z3809=1,AB3809&lt;&gt;1),1,0))</f>
        <v/>
      </c>
      <c r="AE3809" s="0" t="str">
        <f aca="false">IF(Y3809=1,"",IF(AND(AA3809=1,AC3809&lt;&gt;1),1,0))</f>
        <v/>
      </c>
      <c r="AF3809" s="45" t="str">
        <f aca="false">IF(AND(E3809&gt;0,Y3809&lt;1,NOT(AND(C3810=C3809,Y3810=Y3809+1))),INDEX(DATAS,Y3809+1),"")</f>
        <v/>
      </c>
      <c r="AG3809" s="45" t="str">
        <f aca="false">IF(AND(AA3809=1,Y3809&lt;1),IF(AND(C3810=C3809,Y3810=Y3809+1),IF(AA3810=1,"",INDEX(DATAS,Y3809+1)),INDEX(DATAS,Y3809+1)),"")</f>
        <v/>
      </c>
    </row>
    <row r="3810" customFormat="false" ht="15" hidden="false" customHeight="false" outlineLevel="0" collapsed="false">
      <c r="A3810" s="45" t="n">
        <v>46309</v>
      </c>
      <c r="B3810" s="0" t="n">
        <v>15</v>
      </c>
      <c r="C3810" s="0" t="n">
        <v>30498</v>
      </c>
      <c r="E3810" s="0" t="n">
        <v>0</v>
      </c>
      <c r="F3810" s="39" t="s">
        <v>1419</v>
      </c>
      <c r="I3810" s="39" t="s">
        <v>107</v>
      </c>
      <c r="U3810" s="0" t="n">
        <v>253</v>
      </c>
      <c r="V3810" s="0" t="n">
        <v>0</v>
      </c>
      <c r="W3810" s="39" t="n">
        <f aca="false">IF(I3810="Male",0,1)</f>
        <v>0</v>
      </c>
      <c r="X3810" s="39" t="n">
        <f aca="false">IF(OR(I3810="DNB",I3810="Dry DNB"),1,0)</f>
        <v>0</v>
      </c>
      <c r="Y3810" s="39" t="n">
        <f aca="false">MATCH(A3810,DATAS,0)</f>
        <v>1</v>
      </c>
      <c r="Z3810" s="39" t="n">
        <f aca="false">IF(AND(E3810&gt;0,OR(AND(B3810&gt;=1,B3810&lt;=6),B3810=10)),1,0)</f>
        <v>0</v>
      </c>
      <c r="AA3810" s="39" t="n">
        <f aca="false">IF(AND(E3810&gt;0,B3810=10),1,0)</f>
        <v>0</v>
      </c>
      <c r="AB3810" s="0" t="str">
        <f aca="false">IF(AND(C3809=C3810,Y3809=Y3810-1),Z3809,"")</f>
        <v/>
      </c>
      <c r="AC3810" s="0" t="str">
        <f aca="false">IF(AND(C3809=C3810,Y3809=Y3810-1),AA3809,"")</f>
        <v/>
      </c>
      <c r="AD3810" s="0" t="str">
        <f aca="false">IF(Y3810=1,"",IF(AND(Z3810=1,AB3810&lt;&gt;1),1,0))</f>
        <v/>
      </c>
      <c r="AE3810" s="0" t="str">
        <f aca="false">IF(Y3810=1,"",IF(AND(AA3810=1,AC3810&lt;&gt;1),1,0))</f>
        <v/>
      </c>
      <c r="AF3810" s="45" t="str">
        <f aca="false">IF(AND(E3810&gt;0,Y3810&lt;1,NOT(AND(C3811=C3810,Y3811=Y3810+1))),INDEX(DATAS,Y3810+1),"")</f>
        <v/>
      </c>
      <c r="AG3810" s="45" t="str">
        <f aca="false">IF(AND(AA3810=1,Y3810&lt;1),IF(AND(C3811=C3810,Y3811=Y3810+1),IF(AA3811=1,"",INDEX(DATAS,Y3810+1)),INDEX(DATAS,Y3810+1)),"")</f>
        <v/>
      </c>
    </row>
    <row r="3811" customFormat="false" ht="15" hidden="false" customHeight="false" outlineLevel="0" collapsed="false">
      <c r="A3811" s="45" t="n">
        <v>46309</v>
      </c>
      <c r="B3811" s="0" t="n">
        <v>15</v>
      </c>
      <c r="C3811" s="0" t="n">
        <v>30499</v>
      </c>
      <c r="E3811" s="0" t="n">
        <v>0</v>
      </c>
      <c r="F3811" s="39" t="s">
        <v>1420</v>
      </c>
      <c r="I3811" s="39" t="s">
        <v>1654</v>
      </c>
      <c r="U3811" s="0" t="n">
        <v>252</v>
      </c>
      <c r="V3811" s="0" t="n">
        <v>0</v>
      </c>
      <c r="W3811" s="39" t="n">
        <f aca="false">IF(I3811="Male",0,1)</f>
        <v>1</v>
      </c>
      <c r="X3811" s="39" t="n">
        <f aca="false">IF(OR(I3811="DNB",I3811="Dry DNB"),1,0)</f>
        <v>0</v>
      </c>
      <c r="Y3811" s="39" t="n">
        <f aca="false">MATCH(A3811,DATAS,0)</f>
        <v>1</v>
      </c>
      <c r="Z3811" s="39" t="n">
        <f aca="false">IF(AND(E3811&gt;0,OR(AND(B3811&gt;=1,B3811&lt;=6),B3811=10)),1,0)</f>
        <v>0</v>
      </c>
      <c r="AA3811" s="39" t="n">
        <f aca="false">IF(AND(E3811&gt;0,B3811=10),1,0)</f>
        <v>0</v>
      </c>
      <c r="AB3811" s="0" t="str">
        <f aca="false">IF(AND(C3810=C3811,Y3810=Y3811-1),Z3810,"")</f>
        <v/>
      </c>
      <c r="AC3811" s="0" t="str">
        <f aca="false">IF(AND(C3810=C3811,Y3810=Y3811-1),AA3810,"")</f>
        <v/>
      </c>
      <c r="AD3811" s="0" t="str">
        <f aca="false">IF(Y3811=1,"",IF(AND(Z3811=1,AB3811&lt;&gt;1),1,0))</f>
        <v/>
      </c>
      <c r="AE3811" s="0" t="str">
        <f aca="false">IF(Y3811=1,"",IF(AND(AA3811=1,AC3811&lt;&gt;1),1,0))</f>
        <v/>
      </c>
      <c r="AF3811" s="45" t="str">
        <f aca="false">IF(AND(E3811&gt;0,Y3811&lt;1,NOT(AND(C3812=C3811,Y3812=Y3811+1))),INDEX(DATAS,Y3811+1),"")</f>
        <v/>
      </c>
      <c r="AG3811" s="45" t="str">
        <f aca="false">IF(AND(AA3811=1,Y3811&lt;1),IF(AND(C3812=C3811,Y3812=Y3811+1),IF(AA3812=1,"",INDEX(DATAS,Y3811+1)),INDEX(DATAS,Y3811+1)),"")</f>
        <v/>
      </c>
    </row>
    <row r="3812" customFormat="false" ht="15" hidden="false" customHeight="false" outlineLevel="0" collapsed="false">
      <c r="A3812" s="45" t="n">
        <v>46309</v>
      </c>
      <c r="B3812" s="0" t="n">
        <v>15</v>
      </c>
      <c r="C3812" s="0" t="n">
        <v>30501</v>
      </c>
      <c r="E3812" s="0" t="n">
        <v>0</v>
      </c>
      <c r="F3812" s="39" t="s">
        <v>1420</v>
      </c>
      <c r="I3812" s="39" t="s">
        <v>107</v>
      </c>
      <c r="U3812" s="0" t="n">
        <v>252</v>
      </c>
      <c r="V3812" s="0" t="n">
        <v>0</v>
      </c>
      <c r="W3812" s="39" t="n">
        <f aca="false">IF(I3812="Male",0,1)</f>
        <v>0</v>
      </c>
      <c r="X3812" s="39" t="n">
        <f aca="false">IF(OR(I3812="DNB",I3812="Dry DNB"),1,0)</f>
        <v>0</v>
      </c>
      <c r="Y3812" s="39" t="n">
        <f aca="false">MATCH(A3812,DATAS,0)</f>
        <v>1</v>
      </c>
      <c r="Z3812" s="39" t="n">
        <f aca="false">IF(AND(E3812&gt;0,OR(AND(B3812&gt;=1,B3812&lt;=6),B3812=10)),1,0)</f>
        <v>0</v>
      </c>
      <c r="AA3812" s="39" t="n">
        <f aca="false">IF(AND(E3812&gt;0,B3812=10),1,0)</f>
        <v>0</v>
      </c>
      <c r="AB3812" s="0" t="str">
        <f aca="false">IF(AND(C3811=C3812,Y3811=Y3812-1),Z3811,"")</f>
        <v/>
      </c>
      <c r="AC3812" s="0" t="str">
        <f aca="false">IF(AND(C3811=C3812,Y3811=Y3812-1),AA3811,"")</f>
        <v/>
      </c>
      <c r="AD3812" s="0" t="str">
        <f aca="false">IF(Y3812=1,"",IF(AND(Z3812=1,AB3812&lt;&gt;1),1,0))</f>
        <v/>
      </c>
      <c r="AE3812" s="0" t="str">
        <f aca="false">IF(Y3812=1,"",IF(AND(AA3812=1,AC3812&lt;&gt;1),1,0))</f>
        <v/>
      </c>
      <c r="AF3812" s="45" t="str">
        <f aca="false">IF(AND(E3812&gt;0,Y3812&lt;1,NOT(AND(C3813=C3812,Y3813=Y3812+1))),INDEX(DATAS,Y3812+1),"")</f>
        <v/>
      </c>
      <c r="AG3812" s="45" t="str">
        <f aca="false">IF(AND(AA3812=1,Y3812&lt;1),IF(AND(C3813=C3812,Y3813=Y3812+1),IF(AA3813=1,"",INDEX(DATAS,Y3812+1)),INDEX(DATAS,Y3812+1)),"")</f>
        <v/>
      </c>
    </row>
    <row r="3813" customFormat="false" ht="15" hidden="false" customHeight="false" outlineLevel="0" collapsed="false">
      <c r="A3813" s="45" t="n">
        <v>46309</v>
      </c>
      <c r="B3813" s="0" t="n">
        <v>15</v>
      </c>
      <c r="C3813" s="0" t="n">
        <v>30502</v>
      </c>
      <c r="E3813" s="0" t="n">
        <v>0</v>
      </c>
      <c r="F3813" s="39" t="s">
        <v>1420</v>
      </c>
      <c r="I3813" s="39" t="s">
        <v>107</v>
      </c>
      <c r="U3813" s="0" t="n">
        <v>252</v>
      </c>
      <c r="V3813" s="0" t="n">
        <v>0</v>
      </c>
      <c r="W3813" s="39" t="n">
        <f aca="false">IF(I3813="Male",0,1)</f>
        <v>0</v>
      </c>
      <c r="X3813" s="39" t="n">
        <f aca="false">IF(OR(I3813="DNB",I3813="Dry DNB"),1,0)</f>
        <v>0</v>
      </c>
      <c r="Y3813" s="39" t="n">
        <f aca="false">MATCH(A3813,DATAS,0)</f>
        <v>1</v>
      </c>
      <c r="Z3813" s="39" t="n">
        <f aca="false">IF(AND(E3813&gt;0,OR(AND(B3813&gt;=1,B3813&lt;=6),B3813=10)),1,0)</f>
        <v>0</v>
      </c>
      <c r="AA3813" s="39" t="n">
        <f aca="false">IF(AND(E3813&gt;0,B3813=10),1,0)</f>
        <v>0</v>
      </c>
      <c r="AB3813" s="0" t="str">
        <f aca="false">IF(AND(C3812=C3813,Y3812=Y3813-1),Z3812,"")</f>
        <v/>
      </c>
      <c r="AC3813" s="0" t="str">
        <f aca="false">IF(AND(C3812=C3813,Y3812=Y3813-1),AA3812,"")</f>
        <v/>
      </c>
      <c r="AD3813" s="0" t="str">
        <f aca="false">IF(Y3813=1,"",IF(AND(Z3813=1,AB3813&lt;&gt;1),1,0))</f>
        <v/>
      </c>
      <c r="AE3813" s="0" t="str">
        <f aca="false">IF(Y3813=1,"",IF(AND(AA3813=1,AC3813&lt;&gt;1),1,0))</f>
        <v/>
      </c>
      <c r="AF3813" s="45" t="str">
        <f aca="false">IF(AND(E3813&gt;0,Y3813&lt;1,NOT(AND(C3814=C3813,Y3814=Y3813+1))),INDEX(DATAS,Y3813+1),"")</f>
        <v/>
      </c>
      <c r="AG3813" s="45" t="str">
        <f aca="false">IF(AND(AA3813=1,Y3813&lt;1),IF(AND(C3814=C3813,Y3814=Y3813+1),IF(AA3814=1,"",INDEX(DATAS,Y3813+1)),INDEX(DATAS,Y3813+1)),"")</f>
        <v/>
      </c>
    </row>
    <row r="3814" customFormat="false" ht="15" hidden="false" customHeight="false" outlineLevel="0" collapsed="false">
      <c r="A3814" s="45" t="n">
        <v>46309</v>
      </c>
      <c r="B3814" s="0" t="n">
        <v>15</v>
      </c>
      <c r="C3814" s="0" t="n">
        <v>30503</v>
      </c>
      <c r="E3814" s="0" t="n">
        <v>0</v>
      </c>
      <c r="F3814" s="39" t="s">
        <v>1422</v>
      </c>
      <c r="I3814" s="39" t="s">
        <v>107</v>
      </c>
      <c r="U3814" s="0" t="n">
        <v>250</v>
      </c>
      <c r="V3814" s="0" t="n">
        <v>0</v>
      </c>
      <c r="W3814" s="39" t="n">
        <f aca="false">IF(I3814="Male",0,1)</f>
        <v>0</v>
      </c>
      <c r="X3814" s="39" t="n">
        <f aca="false">IF(OR(I3814="DNB",I3814="Dry DNB"),1,0)</f>
        <v>0</v>
      </c>
      <c r="Y3814" s="39" t="n">
        <f aca="false">MATCH(A3814,DATAS,0)</f>
        <v>1</v>
      </c>
      <c r="Z3814" s="39" t="n">
        <f aca="false">IF(AND(E3814&gt;0,OR(AND(B3814&gt;=1,B3814&lt;=6),B3814=10)),1,0)</f>
        <v>0</v>
      </c>
      <c r="AA3814" s="39" t="n">
        <f aca="false">IF(AND(E3814&gt;0,B3814=10),1,0)</f>
        <v>0</v>
      </c>
      <c r="AB3814" s="0" t="str">
        <f aca="false">IF(AND(C3813=C3814,Y3813=Y3814-1),Z3813,"")</f>
        <v/>
      </c>
      <c r="AC3814" s="0" t="str">
        <f aca="false">IF(AND(C3813=C3814,Y3813=Y3814-1),AA3813,"")</f>
        <v/>
      </c>
      <c r="AD3814" s="0" t="str">
        <f aca="false">IF(Y3814=1,"",IF(AND(Z3814=1,AB3814&lt;&gt;1),1,0))</f>
        <v/>
      </c>
      <c r="AE3814" s="0" t="str">
        <f aca="false">IF(Y3814=1,"",IF(AND(AA3814=1,AC3814&lt;&gt;1),1,0))</f>
        <v/>
      </c>
      <c r="AF3814" s="45" t="str">
        <f aca="false">IF(AND(E3814&gt;0,Y3814&lt;1,NOT(AND(C3815=C3814,Y3815=Y3814+1))),INDEX(DATAS,Y3814+1),"")</f>
        <v/>
      </c>
      <c r="AG3814" s="45" t="str">
        <f aca="false">IF(AND(AA3814=1,Y3814&lt;1),IF(AND(C3815=C3814,Y3815=Y3814+1),IF(AA3815=1,"",INDEX(DATAS,Y3814+1)),INDEX(DATAS,Y3814+1)),"")</f>
        <v/>
      </c>
    </row>
    <row r="3815" customFormat="false" ht="15" hidden="false" customHeight="false" outlineLevel="0" collapsed="false">
      <c r="A3815" s="45" t="n">
        <v>46309</v>
      </c>
      <c r="B3815" s="0" t="n">
        <v>15</v>
      </c>
      <c r="C3815" s="0" t="n">
        <v>30504</v>
      </c>
      <c r="E3815" s="0" t="n">
        <v>0</v>
      </c>
      <c r="F3815" s="39" t="s">
        <v>1424</v>
      </c>
      <c r="I3815" s="39" t="s">
        <v>107</v>
      </c>
      <c r="U3815" s="0" t="n">
        <v>248</v>
      </c>
      <c r="V3815" s="0" t="n">
        <v>0</v>
      </c>
      <c r="W3815" s="39" t="n">
        <f aca="false">IF(I3815="Male",0,1)</f>
        <v>0</v>
      </c>
      <c r="X3815" s="39" t="n">
        <f aca="false">IF(OR(I3815="DNB",I3815="Dry DNB"),1,0)</f>
        <v>0</v>
      </c>
      <c r="Y3815" s="39" t="n">
        <f aca="false">MATCH(A3815,DATAS,0)</f>
        <v>1</v>
      </c>
      <c r="Z3815" s="39" t="n">
        <f aca="false">IF(AND(E3815&gt;0,OR(AND(B3815&gt;=1,B3815&lt;=6),B3815=10)),1,0)</f>
        <v>0</v>
      </c>
      <c r="AA3815" s="39" t="n">
        <f aca="false">IF(AND(E3815&gt;0,B3815=10),1,0)</f>
        <v>0</v>
      </c>
      <c r="AB3815" s="0" t="str">
        <f aca="false">IF(AND(C3814=C3815,Y3814=Y3815-1),Z3814,"")</f>
        <v/>
      </c>
      <c r="AC3815" s="0" t="str">
        <f aca="false">IF(AND(C3814=C3815,Y3814=Y3815-1),AA3814,"")</f>
        <v/>
      </c>
      <c r="AD3815" s="0" t="str">
        <f aca="false">IF(Y3815=1,"",IF(AND(Z3815=1,AB3815&lt;&gt;1),1,0))</f>
        <v/>
      </c>
      <c r="AE3815" s="0" t="str">
        <f aca="false">IF(Y3815=1,"",IF(AND(AA3815=1,AC3815&lt;&gt;1),1,0))</f>
        <v/>
      </c>
      <c r="AF3815" s="45" t="str">
        <f aca="false">IF(AND(E3815&gt;0,Y3815&lt;1,NOT(AND(C3816=C3815,Y3816=Y3815+1))),INDEX(DATAS,Y3815+1),"")</f>
        <v/>
      </c>
      <c r="AG3815" s="45" t="str">
        <f aca="false">IF(AND(AA3815=1,Y3815&lt;1),IF(AND(C3816=C3815,Y3816=Y3815+1),IF(AA3816=1,"",INDEX(DATAS,Y3815+1)),INDEX(DATAS,Y3815+1)),"")</f>
        <v/>
      </c>
    </row>
    <row r="3816" customFormat="false" ht="15" hidden="false" customHeight="false" outlineLevel="0" collapsed="false">
      <c r="A3816" s="45" t="n">
        <v>46309</v>
      </c>
      <c r="B3816" s="0" t="n">
        <v>15</v>
      </c>
      <c r="C3816" s="0" t="n">
        <v>30507</v>
      </c>
      <c r="E3816" s="0" t="n">
        <v>0</v>
      </c>
      <c r="F3816" s="39" t="s">
        <v>1424</v>
      </c>
      <c r="I3816" s="39" t="s">
        <v>107</v>
      </c>
      <c r="U3816" s="0" t="n">
        <v>248</v>
      </c>
      <c r="V3816" s="0" t="n">
        <v>0</v>
      </c>
      <c r="W3816" s="39" t="n">
        <f aca="false">IF(I3816="Male",0,1)</f>
        <v>0</v>
      </c>
      <c r="X3816" s="39" t="n">
        <f aca="false">IF(OR(I3816="DNB",I3816="Dry DNB"),1,0)</f>
        <v>0</v>
      </c>
      <c r="Y3816" s="39" t="n">
        <f aca="false">MATCH(A3816,DATAS,0)</f>
        <v>1</v>
      </c>
      <c r="Z3816" s="39" t="n">
        <f aca="false">IF(AND(E3816&gt;0,OR(AND(B3816&gt;=1,B3816&lt;=6),B3816=10)),1,0)</f>
        <v>0</v>
      </c>
      <c r="AA3816" s="39" t="n">
        <f aca="false">IF(AND(E3816&gt;0,B3816=10),1,0)</f>
        <v>0</v>
      </c>
      <c r="AB3816" s="0" t="str">
        <f aca="false">IF(AND(C3815=C3816,Y3815=Y3816-1),Z3815,"")</f>
        <v/>
      </c>
      <c r="AC3816" s="0" t="str">
        <f aca="false">IF(AND(C3815=C3816,Y3815=Y3816-1),AA3815,"")</f>
        <v/>
      </c>
      <c r="AD3816" s="0" t="str">
        <f aca="false">IF(Y3816=1,"",IF(AND(Z3816=1,AB3816&lt;&gt;1),1,0))</f>
        <v/>
      </c>
      <c r="AE3816" s="0" t="str">
        <f aca="false">IF(Y3816=1,"",IF(AND(AA3816=1,AC3816&lt;&gt;1),1,0))</f>
        <v/>
      </c>
      <c r="AF3816" s="45" t="str">
        <f aca="false">IF(AND(E3816&gt;0,Y3816&lt;1,NOT(AND(C3817=C3816,Y3817=Y3816+1))),INDEX(DATAS,Y3816+1),"")</f>
        <v/>
      </c>
      <c r="AG3816" s="45" t="str">
        <f aca="false">IF(AND(AA3816=1,Y3816&lt;1),IF(AND(C3817=C3816,Y3817=Y3816+1),IF(AA3817=1,"",INDEX(DATAS,Y3816+1)),INDEX(DATAS,Y3816+1)),"")</f>
        <v/>
      </c>
    </row>
    <row r="3817" customFormat="false" ht="15" hidden="false" customHeight="false" outlineLevel="0" collapsed="false">
      <c r="A3817" s="45" t="n">
        <v>46309</v>
      </c>
      <c r="B3817" s="0" t="n">
        <v>15</v>
      </c>
      <c r="C3817" s="0" t="n">
        <v>30514</v>
      </c>
      <c r="E3817" s="0" t="n">
        <v>0</v>
      </c>
      <c r="F3817" s="39" t="s">
        <v>1426</v>
      </c>
      <c r="I3817" s="39" t="s">
        <v>107</v>
      </c>
      <c r="U3817" s="0" t="n">
        <v>246</v>
      </c>
      <c r="V3817" s="0" t="n">
        <v>0</v>
      </c>
      <c r="W3817" s="39" t="n">
        <f aca="false">IF(I3817="Male",0,1)</f>
        <v>0</v>
      </c>
      <c r="X3817" s="39" t="n">
        <f aca="false">IF(OR(I3817="DNB",I3817="Dry DNB"),1,0)</f>
        <v>0</v>
      </c>
      <c r="Y3817" s="39" t="n">
        <f aca="false">MATCH(A3817,DATAS,0)</f>
        <v>1</v>
      </c>
      <c r="Z3817" s="39" t="n">
        <f aca="false">IF(AND(E3817&gt;0,OR(AND(B3817&gt;=1,B3817&lt;=6),B3817=10)),1,0)</f>
        <v>0</v>
      </c>
      <c r="AA3817" s="39" t="n">
        <f aca="false">IF(AND(E3817&gt;0,B3817=10),1,0)</f>
        <v>0</v>
      </c>
      <c r="AB3817" s="0" t="str">
        <f aca="false">IF(AND(C3816=C3817,Y3816=Y3817-1),Z3816,"")</f>
        <v/>
      </c>
      <c r="AC3817" s="0" t="str">
        <f aca="false">IF(AND(C3816=C3817,Y3816=Y3817-1),AA3816,"")</f>
        <v/>
      </c>
      <c r="AD3817" s="0" t="str">
        <f aca="false">IF(Y3817=1,"",IF(AND(Z3817=1,AB3817&lt;&gt;1),1,0))</f>
        <v/>
      </c>
      <c r="AE3817" s="0" t="str">
        <f aca="false">IF(Y3817=1,"",IF(AND(AA3817=1,AC3817&lt;&gt;1),1,0))</f>
        <v/>
      </c>
      <c r="AF3817" s="45" t="str">
        <f aca="false">IF(AND(E3817&gt;0,Y3817&lt;1,NOT(AND(C3818=C3817,Y3818=Y3817+1))),INDEX(DATAS,Y3817+1),"")</f>
        <v/>
      </c>
      <c r="AG3817" s="45" t="str">
        <f aca="false">IF(AND(AA3817=1,Y3817&lt;1),IF(AND(C3818=C3817,Y3818=Y3817+1),IF(AA3818=1,"",INDEX(DATAS,Y3817+1)),INDEX(DATAS,Y3817+1)),"")</f>
        <v/>
      </c>
    </row>
    <row r="3818" customFormat="false" ht="15" hidden="false" customHeight="false" outlineLevel="0" collapsed="false">
      <c r="A3818" s="45" t="n">
        <v>46309</v>
      </c>
      <c r="B3818" s="0" t="n">
        <v>15</v>
      </c>
      <c r="C3818" s="0" t="n">
        <v>30523</v>
      </c>
      <c r="E3818" s="0" t="n">
        <v>0</v>
      </c>
      <c r="F3818" s="39" t="s">
        <v>1658</v>
      </c>
      <c r="I3818" s="39" t="s">
        <v>107</v>
      </c>
      <c r="U3818" s="0" t="n">
        <v>243</v>
      </c>
      <c r="V3818" s="0" t="n">
        <v>0</v>
      </c>
      <c r="W3818" s="39" t="n">
        <f aca="false">IF(I3818="Male",0,1)</f>
        <v>0</v>
      </c>
      <c r="X3818" s="39" t="n">
        <f aca="false">IF(OR(I3818="DNB",I3818="Dry DNB"),1,0)</f>
        <v>0</v>
      </c>
      <c r="Y3818" s="39" t="n">
        <f aca="false">MATCH(A3818,DATAS,0)</f>
        <v>1</v>
      </c>
      <c r="Z3818" s="39" t="n">
        <f aca="false">IF(AND(E3818&gt;0,OR(AND(B3818&gt;=1,B3818&lt;=6),B3818=10)),1,0)</f>
        <v>0</v>
      </c>
      <c r="AA3818" s="39" t="n">
        <f aca="false">IF(AND(E3818&gt;0,B3818=10),1,0)</f>
        <v>0</v>
      </c>
      <c r="AB3818" s="0" t="str">
        <f aca="false">IF(AND(C3817=C3818,Y3817=Y3818-1),Z3817,"")</f>
        <v/>
      </c>
      <c r="AC3818" s="0" t="str">
        <f aca="false">IF(AND(C3817=C3818,Y3817=Y3818-1),AA3817,"")</f>
        <v/>
      </c>
      <c r="AD3818" s="0" t="str">
        <f aca="false">IF(Y3818=1,"",IF(AND(Z3818=1,AB3818&lt;&gt;1),1,0))</f>
        <v/>
      </c>
      <c r="AE3818" s="0" t="str">
        <f aca="false">IF(Y3818=1,"",IF(AND(AA3818=1,AC3818&lt;&gt;1),1,0))</f>
        <v/>
      </c>
      <c r="AF3818" s="45" t="str">
        <f aca="false">IF(AND(E3818&gt;0,Y3818&lt;1,NOT(AND(C3819=C3818,Y3819=Y3818+1))),INDEX(DATAS,Y3818+1),"")</f>
        <v/>
      </c>
      <c r="AG3818" s="45" t="str">
        <f aca="false">IF(AND(AA3818=1,Y3818&lt;1),IF(AND(C3819=C3818,Y3819=Y3818+1),IF(AA3819=1,"",INDEX(DATAS,Y3818+1)),INDEX(DATAS,Y3818+1)),"")</f>
        <v/>
      </c>
    </row>
    <row r="3819" customFormat="false" ht="15" hidden="false" customHeight="false" outlineLevel="0" collapsed="false">
      <c r="A3819" s="45" t="n">
        <v>46309</v>
      </c>
      <c r="B3819" s="0" t="n">
        <v>15</v>
      </c>
      <c r="C3819" s="0" t="n">
        <v>30529</v>
      </c>
      <c r="E3819" s="0" t="n">
        <v>0</v>
      </c>
      <c r="F3819" s="39" t="s">
        <v>1429</v>
      </c>
      <c r="I3819" s="39" t="s">
        <v>107</v>
      </c>
      <c r="U3819" s="0" t="n">
        <v>242</v>
      </c>
      <c r="V3819" s="0" t="n">
        <v>0</v>
      </c>
      <c r="W3819" s="39" t="n">
        <f aca="false">IF(I3819="Male",0,1)</f>
        <v>0</v>
      </c>
      <c r="X3819" s="39" t="n">
        <f aca="false">IF(OR(I3819="DNB",I3819="Dry DNB"),1,0)</f>
        <v>0</v>
      </c>
      <c r="Y3819" s="39" t="n">
        <f aca="false">MATCH(A3819,DATAS,0)</f>
        <v>1</v>
      </c>
      <c r="Z3819" s="39" t="n">
        <f aca="false">IF(AND(E3819&gt;0,OR(AND(B3819&gt;=1,B3819&lt;=6),B3819=10)),1,0)</f>
        <v>0</v>
      </c>
      <c r="AA3819" s="39" t="n">
        <f aca="false">IF(AND(E3819&gt;0,B3819=10),1,0)</f>
        <v>0</v>
      </c>
      <c r="AB3819" s="0" t="str">
        <f aca="false">IF(AND(C3818=C3819,Y3818=Y3819-1),Z3818,"")</f>
        <v/>
      </c>
      <c r="AC3819" s="0" t="str">
        <f aca="false">IF(AND(C3818=C3819,Y3818=Y3819-1),AA3818,"")</f>
        <v/>
      </c>
      <c r="AD3819" s="0" t="str">
        <f aca="false">IF(Y3819=1,"",IF(AND(Z3819=1,AB3819&lt;&gt;1),1,0))</f>
        <v/>
      </c>
      <c r="AE3819" s="0" t="str">
        <f aca="false">IF(Y3819=1,"",IF(AND(AA3819=1,AC3819&lt;&gt;1),1,0))</f>
        <v/>
      </c>
      <c r="AF3819" s="45" t="str">
        <f aca="false">IF(AND(E3819&gt;0,Y3819&lt;1,NOT(AND(C3820=C3819,Y3820=Y3819+1))),INDEX(DATAS,Y3819+1),"")</f>
        <v/>
      </c>
      <c r="AG3819" s="45" t="str">
        <f aca="false">IF(AND(AA3819=1,Y3819&lt;1),IF(AND(C3820=C3819,Y3820=Y3819+1),IF(AA3820=1,"",INDEX(DATAS,Y3819+1)),INDEX(DATAS,Y3819+1)),"")</f>
        <v/>
      </c>
    </row>
    <row r="3820" customFormat="false" ht="15" hidden="false" customHeight="false" outlineLevel="0" collapsed="false">
      <c r="A3820" s="45" t="n">
        <v>46309</v>
      </c>
      <c r="B3820" s="0" t="n">
        <v>15</v>
      </c>
      <c r="C3820" s="0" t="n">
        <v>30531</v>
      </c>
      <c r="E3820" s="0" t="n">
        <v>0</v>
      </c>
      <c r="F3820" s="39" t="s">
        <v>1430</v>
      </c>
      <c r="I3820" s="39" t="s">
        <v>107</v>
      </c>
      <c r="U3820" s="0" t="n">
        <v>241</v>
      </c>
      <c r="V3820" s="0" t="n">
        <v>0</v>
      </c>
      <c r="W3820" s="39" t="n">
        <f aca="false">IF(I3820="Male",0,1)</f>
        <v>0</v>
      </c>
      <c r="X3820" s="39" t="n">
        <f aca="false">IF(OR(I3820="DNB",I3820="Dry DNB"),1,0)</f>
        <v>0</v>
      </c>
      <c r="Y3820" s="39" t="n">
        <f aca="false">MATCH(A3820,DATAS,0)</f>
        <v>1</v>
      </c>
      <c r="Z3820" s="39" t="n">
        <f aca="false">IF(AND(E3820&gt;0,OR(AND(B3820&gt;=1,B3820&lt;=6),B3820=10)),1,0)</f>
        <v>0</v>
      </c>
      <c r="AA3820" s="39" t="n">
        <f aca="false">IF(AND(E3820&gt;0,B3820=10),1,0)</f>
        <v>0</v>
      </c>
      <c r="AB3820" s="0" t="str">
        <f aca="false">IF(AND(C3819=C3820,Y3819=Y3820-1),Z3819,"")</f>
        <v/>
      </c>
      <c r="AC3820" s="0" t="str">
        <f aca="false">IF(AND(C3819=C3820,Y3819=Y3820-1),AA3819,"")</f>
        <v/>
      </c>
      <c r="AD3820" s="0" t="str">
        <f aca="false">IF(Y3820=1,"",IF(AND(Z3820=1,AB3820&lt;&gt;1),1,0))</f>
        <v/>
      </c>
      <c r="AE3820" s="0" t="str">
        <f aca="false">IF(Y3820=1,"",IF(AND(AA3820=1,AC3820&lt;&gt;1),1,0))</f>
        <v/>
      </c>
      <c r="AF3820" s="45" t="str">
        <f aca="false">IF(AND(E3820&gt;0,Y3820&lt;1,NOT(AND(C3821=C3820,Y3821=Y3820+1))),INDEX(DATAS,Y3820+1),"")</f>
        <v/>
      </c>
      <c r="AG3820" s="45" t="str">
        <f aca="false">IF(AND(AA3820=1,Y3820&lt;1),IF(AND(C3821=C3820,Y3821=Y3820+1),IF(AA3821=1,"",INDEX(DATAS,Y3820+1)),INDEX(DATAS,Y3820+1)),"")</f>
        <v/>
      </c>
    </row>
    <row r="3821" customFormat="false" ht="15" hidden="false" customHeight="false" outlineLevel="0" collapsed="false">
      <c r="A3821" s="45" t="n">
        <v>46309</v>
      </c>
      <c r="B3821" s="0" t="n">
        <v>15</v>
      </c>
      <c r="C3821" s="0" t="n">
        <v>30532</v>
      </c>
      <c r="E3821" s="0" t="n">
        <v>0</v>
      </c>
      <c r="F3821" s="39" t="s">
        <v>1430</v>
      </c>
      <c r="I3821" s="39" t="s">
        <v>107</v>
      </c>
      <c r="U3821" s="0" t="n">
        <v>241</v>
      </c>
      <c r="V3821" s="0" t="n">
        <v>0</v>
      </c>
      <c r="W3821" s="39" t="n">
        <f aca="false">IF(I3821="Male",0,1)</f>
        <v>0</v>
      </c>
      <c r="X3821" s="39" t="n">
        <f aca="false">IF(OR(I3821="DNB",I3821="Dry DNB"),1,0)</f>
        <v>0</v>
      </c>
      <c r="Y3821" s="39" t="n">
        <f aca="false">MATCH(A3821,DATAS,0)</f>
        <v>1</v>
      </c>
      <c r="Z3821" s="39" t="n">
        <f aca="false">IF(AND(E3821&gt;0,OR(AND(B3821&gt;=1,B3821&lt;=6),B3821=10)),1,0)</f>
        <v>0</v>
      </c>
      <c r="AA3821" s="39" t="n">
        <f aca="false">IF(AND(E3821&gt;0,B3821=10),1,0)</f>
        <v>0</v>
      </c>
      <c r="AB3821" s="0" t="str">
        <f aca="false">IF(AND(C3820=C3821,Y3820=Y3821-1),Z3820,"")</f>
        <v/>
      </c>
      <c r="AC3821" s="0" t="str">
        <f aca="false">IF(AND(C3820=C3821,Y3820=Y3821-1),AA3820,"")</f>
        <v/>
      </c>
      <c r="AD3821" s="0" t="str">
        <f aca="false">IF(Y3821=1,"",IF(AND(Z3821=1,AB3821&lt;&gt;1),1,0))</f>
        <v/>
      </c>
      <c r="AE3821" s="0" t="str">
        <f aca="false">IF(Y3821=1,"",IF(AND(AA3821=1,AC3821&lt;&gt;1),1,0))</f>
        <v/>
      </c>
      <c r="AF3821" s="45" t="str">
        <f aca="false">IF(AND(E3821&gt;0,Y3821&lt;1,NOT(AND(C3822=C3821,Y3822=Y3821+1))),INDEX(DATAS,Y3821+1),"")</f>
        <v/>
      </c>
      <c r="AG3821" s="45" t="str">
        <f aca="false">IF(AND(AA3821=1,Y3821&lt;1),IF(AND(C3822=C3821,Y3822=Y3821+1),IF(AA3822=1,"",INDEX(DATAS,Y3821+1)),INDEX(DATAS,Y3821+1)),"")</f>
        <v/>
      </c>
    </row>
    <row r="3822" customFormat="false" ht="15" hidden="false" customHeight="false" outlineLevel="0" collapsed="false">
      <c r="A3822" s="45" t="n">
        <v>46309</v>
      </c>
      <c r="B3822" s="0" t="n">
        <v>15</v>
      </c>
      <c r="C3822" s="0" t="n">
        <v>30536</v>
      </c>
      <c r="E3822" s="0" t="n">
        <v>0</v>
      </c>
      <c r="F3822" s="39" t="s">
        <v>1432</v>
      </c>
      <c r="I3822" s="39" t="s">
        <v>107</v>
      </c>
      <c r="U3822" s="0" t="n">
        <v>239</v>
      </c>
      <c r="V3822" s="0" t="n">
        <v>0</v>
      </c>
      <c r="W3822" s="39" t="n">
        <f aca="false">IF(I3822="Male",0,1)</f>
        <v>0</v>
      </c>
      <c r="X3822" s="39" t="n">
        <f aca="false">IF(OR(I3822="DNB",I3822="Dry DNB"),1,0)</f>
        <v>0</v>
      </c>
      <c r="Y3822" s="39" t="n">
        <f aca="false">MATCH(A3822,DATAS,0)</f>
        <v>1</v>
      </c>
      <c r="Z3822" s="39" t="n">
        <f aca="false">IF(AND(E3822&gt;0,OR(AND(B3822&gt;=1,B3822&lt;=6),B3822=10)),1,0)</f>
        <v>0</v>
      </c>
      <c r="AA3822" s="39" t="n">
        <f aca="false">IF(AND(E3822&gt;0,B3822=10),1,0)</f>
        <v>0</v>
      </c>
      <c r="AB3822" s="0" t="str">
        <f aca="false">IF(AND(C3821=C3822,Y3821=Y3822-1),Z3821,"")</f>
        <v/>
      </c>
      <c r="AC3822" s="0" t="str">
        <f aca="false">IF(AND(C3821=C3822,Y3821=Y3822-1),AA3821,"")</f>
        <v/>
      </c>
      <c r="AD3822" s="0" t="str">
        <f aca="false">IF(Y3822=1,"",IF(AND(Z3822=1,AB3822&lt;&gt;1),1,0))</f>
        <v/>
      </c>
      <c r="AE3822" s="0" t="str">
        <f aca="false">IF(Y3822=1,"",IF(AND(AA3822=1,AC3822&lt;&gt;1),1,0))</f>
        <v/>
      </c>
      <c r="AF3822" s="45" t="str">
        <f aca="false">IF(AND(E3822&gt;0,Y3822&lt;1,NOT(AND(C3823=C3822,Y3823=Y3822+1))),INDEX(DATAS,Y3822+1),"")</f>
        <v/>
      </c>
      <c r="AG3822" s="45" t="str">
        <f aca="false">IF(AND(AA3822=1,Y3822&lt;1),IF(AND(C3823=C3822,Y3823=Y3822+1),IF(AA3823=1,"",INDEX(DATAS,Y3822+1)),INDEX(DATAS,Y3822+1)),"")</f>
        <v/>
      </c>
    </row>
    <row r="3823" customFormat="false" ht="15" hidden="false" customHeight="false" outlineLevel="0" collapsed="false">
      <c r="A3823" s="45" t="n">
        <v>46309</v>
      </c>
      <c r="B3823" s="0" t="n">
        <v>15</v>
      </c>
      <c r="C3823" s="0" t="n">
        <v>30539</v>
      </c>
      <c r="E3823" s="0" t="n">
        <v>0</v>
      </c>
      <c r="F3823" s="39" t="s">
        <v>1433</v>
      </c>
      <c r="I3823" s="39" t="s">
        <v>107</v>
      </c>
      <c r="U3823" s="0" t="n">
        <v>238</v>
      </c>
      <c r="V3823" s="0" t="n">
        <v>0</v>
      </c>
      <c r="W3823" s="39" t="n">
        <f aca="false">IF(I3823="Male",0,1)</f>
        <v>0</v>
      </c>
      <c r="X3823" s="39" t="n">
        <f aca="false">IF(OR(I3823="DNB",I3823="Dry DNB"),1,0)</f>
        <v>0</v>
      </c>
      <c r="Y3823" s="39" t="n">
        <f aca="false">MATCH(A3823,DATAS,0)</f>
        <v>1</v>
      </c>
      <c r="Z3823" s="39" t="n">
        <f aca="false">IF(AND(E3823&gt;0,OR(AND(B3823&gt;=1,B3823&lt;=6),B3823=10)),1,0)</f>
        <v>0</v>
      </c>
      <c r="AA3823" s="39" t="n">
        <f aca="false">IF(AND(E3823&gt;0,B3823=10),1,0)</f>
        <v>0</v>
      </c>
      <c r="AB3823" s="0" t="str">
        <f aca="false">IF(AND(C3822=C3823,Y3822=Y3823-1),Z3822,"")</f>
        <v/>
      </c>
      <c r="AC3823" s="0" t="str">
        <f aca="false">IF(AND(C3822=C3823,Y3822=Y3823-1),AA3822,"")</f>
        <v/>
      </c>
      <c r="AD3823" s="0" t="str">
        <f aca="false">IF(Y3823=1,"",IF(AND(Z3823=1,AB3823&lt;&gt;1),1,0))</f>
        <v/>
      </c>
      <c r="AE3823" s="0" t="str">
        <f aca="false">IF(Y3823=1,"",IF(AND(AA3823=1,AC3823&lt;&gt;1),1,0))</f>
        <v/>
      </c>
      <c r="AF3823" s="45" t="str">
        <f aca="false">IF(AND(E3823&gt;0,Y3823&lt;1,NOT(AND(C3824=C3823,Y3824=Y3823+1))),INDEX(DATAS,Y3823+1),"")</f>
        <v/>
      </c>
      <c r="AG3823" s="45" t="str">
        <f aca="false">IF(AND(AA3823=1,Y3823&lt;1),IF(AND(C3824=C3823,Y3824=Y3823+1),IF(AA3824=1,"",INDEX(DATAS,Y3823+1)),INDEX(DATAS,Y3823+1)),"")</f>
        <v/>
      </c>
    </row>
    <row r="3824" customFormat="false" ht="15" hidden="false" customHeight="false" outlineLevel="0" collapsed="false">
      <c r="A3824" s="45" t="n">
        <v>46309</v>
      </c>
      <c r="B3824" s="0" t="n">
        <v>15</v>
      </c>
      <c r="C3824" s="0" t="n">
        <v>30552</v>
      </c>
      <c r="E3824" s="0" t="n">
        <v>0</v>
      </c>
      <c r="F3824" s="39" t="s">
        <v>1438</v>
      </c>
      <c r="I3824" s="39" t="s">
        <v>107</v>
      </c>
      <c r="U3824" s="0" t="n">
        <v>232</v>
      </c>
      <c r="V3824" s="0" t="n">
        <v>0</v>
      </c>
      <c r="W3824" s="39" t="n">
        <f aca="false">IF(I3824="Male",0,1)</f>
        <v>0</v>
      </c>
      <c r="X3824" s="39" t="n">
        <f aca="false">IF(OR(I3824="DNB",I3824="Dry DNB"),1,0)</f>
        <v>0</v>
      </c>
      <c r="Y3824" s="39" t="n">
        <f aca="false">MATCH(A3824,DATAS,0)</f>
        <v>1</v>
      </c>
      <c r="Z3824" s="39" t="n">
        <f aca="false">IF(AND(E3824&gt;0,OR(AND(B3824&gt;=1,B3824&lt;=6),B3824=10)),1,0)</f>
        <v>0</v>
      </c>
      <c r="AA3824" s="39" t="n">
        <f aca="false">IF(AND(E3824&gt;0,B3824=10),1,0)</f>
        <v>0</v>
      </c>
      <c r="AB3824" s="0" t="str">
        <f aca="false">IF(AND(C3823=C3824,Y3823=Y3824-1),Z3823,"")</f>
        <v/>
      </c>
      <c r="AC3824" s="0" t="str">
        <f aca="false">IF(AND(C3823=C3824,Y3823=Y3824-1),AA3823,"")</f>
        <v/>
      </c>
      <c r="AD3824" s="0" t="str">
        <f aca="false">IF(Y3824=1,"",IF(AND(Z3824=1,AB3824&lt;&gt;1),1,0))</f>
        <v/>
      </c>
      <c r="AE3824" s="0" t="str">
        <f aca="false">IF(Y3824=1,"",IF(AND(AA3824=1,AC3824&lt;&gt;1),1,0))</f>
        <v/>
      </c>
      <c r="AF3824" s="45" t="str">
        <f aca="false">IF(AND(E3824&gt;0,Y3824&lt;1,NOT(AND(C3825=C3824,Y3825=Y3824+1))),INDEX(DATAS,Y3824+1),"")</f>
        <v/>
      </c>
      <c r="AG3824" s="45" t="str">
        <f aca="false">IF(AND(AA3824=1,Y3824&lt;1),IF(AND(C3825=C3824,Y3825=Y3824+1),IF(AA3825=1,"",INDEX(DATAS,Y3824+1)),INDEX(DATAS,Y3824+1)),"")</f>
        <v/>
      </c>
    </row>
    <row r="3825" customFormat="false" ht="15" hidden="false" customHeight="false" outlineLevel="0" collapsed="false">
      <c r="A3825" s="45" t="n">
        <v>46309</v>
      </c>
      <c r="B3825" s="0" t="n">
        <v>15</v>
      </c>
      <c r="C3825" s="0" t="n">
        <v>30553</v>
      </c>
      <c r="E3825" s="0" t="n">
        <v>0</v>
      </c>
      <c r="F3825" s="39" t="s">
        <v>1438</v>
      </c>
      <c r="I3825" s="39" t="s">
        <v>107</v>
      </c>
      <c r="U3825" s="0" t="n">
        <v>232</v>
      </c>
      <c r="V3825" s="0" t="n">
        <v>0</v>
      </c>
      <c r="W3825" s="39" t="n">
        <f aca="false">IF(I3825="Male",0,1)</f>
        <v>0</v>
      </c>
      <c r="X3825" s="39" t="n">
        <f aca="false">IF(OR(I3825="DNB",I3825="Dry DNB"),1,0)</f>
        <v>0</v>
      </c>
      <c r="Y3825" s="39" t="n">
        <f aca="false">MATCH(A3825,DATAS,0)</f>
        <v>1</v>
      </c>
      <c r="Z3825" s="39" t="n">
        <f aca="false">IF(AND(E3825&gt;0,OR(AND(B3825&gt;=1,B3825&lt;=6),B3825=10)),1,0)</f>
        <v>0</v>
      </c>
      <c r="AA3825" s="39" t="n">
        <f aca="false">IF(AND(E3825&gt;0,B3825=10),1,0)</f>
        <v>0</v>
      </c>
      <c r="AB3825" s="0" t="str">
        <f aca="false">IF(AND(C3824=C3825,Y3824=Y3825-1),Z3824,"")</f>
        <v/>
      </c>
      <c r="AC3825" s="0" t="str">
        <f aca="false">IF(AND(C3824=C3825,Y3824=Y3825-1),AA3824,"")</f>
        <v/>
      </c>
      <c r="AD3825" s="0" t="str">
        <f aca="false">IF(Y3825=1,"",IF(AND(Z3825=1,AB3825&lt;&gt;1),1,0))</f>
        <v/>
      </c>
      <c r="AE3825" s="0" t="str">
        <f aca="false">IF(Y3825=1,"",IF(AND(AA3825=1,AC3825&lt;&gt;1),1,0))</f>
        <v/>
      </c>
      <c r="AF3825" s="45" t="str">
        <f aca="false">IF(AND(E3825&gt;0,Y3825&lt;1,NOT(AND(C3826=C3825,Y3826=Y3825+1))),INDEX(DATAS,Y3825+1),"")</f>
        <v/>
      </c>
      <c r="AG3825" s="45" t="str">
        <f aca="false">IF(AND(AA3825=1,Y3825&lt;1),IF(AND(C3826=C3825,Y3826=Y3825+1),IF(AA3826=1,"",INDEX(DATAS,Y3825+1)),INDEX(DATAS,Y3825+1)),"")</f>
        <v/>
      </c>
    </row>
    <row r="3826" customFormat="false" ht="15" hidden="false" customHeight="false" outlineLevel="0" collapsed="false">
      <c r="A3826" s="45" t="n">
        <v>46309</v>
      </c>
      <c r="B3826" s="0" t="n">
        <v>15</v>
      </c>
      <c r="C3826" s="0" t="n">
        <v>30559</v>
      </c>
      <c r="E3826" s="0" t="n">
        <v>0</v>
      </c>
      <c r="F3826" s="39" t="s">
        <v>1440</v>
      </c>
      <c r="I3826" s="39" t="s">
        <v>107</v>
      </c>
      <c r="U3826" s="0" t="n">
        <v>230</v>
      </c>
      <c r="V3826" s="0" t="n">
        <v>0</v>
      </c>
      <c r="W3826" s="39" t="n">
        <f aca="false">IF(I3826="Male",0,1)</f>
        <v>0</v>
      </c>
      <c r="X3826" s="39" t="n">
        <f aca="false">IF(OR(I3826="DNB",I3826="Dry DNB"),1,0)</f>
        <v>0</v>
      </c>
      <c r="Y3826" s="39" t="n">
        <f aca="false">MATCH(A3826,DATAS,0)</f>
        <v>1</v>
      </c>
      <c r="Z3826" s="39" t="n">
        <f aca="false">IF(AND(E3826&gt;0,OR(AND(B3826&gt;=1,B3826&lt;=6),B3826=10)),1,0)</f>
        <v>0</v>
      </c>
      <c r="AA3826" s="39" t="n">
        <f aca="false">IF(AND(E3826&gt;0,B3826=10),1,0)</f>
        <v>0</v>
      </c>
      <c r="AB3826" s="0" t="str">
        <f aca="false">IF(AND(C3825=C3826,Y3825=Y3826-1),Z3825,"")</f>
        <v/>
      </c>
      <c r="AC3826" s="0" t="str">
        <f aca="false">IF(AND(C3825=C3826,Y3825=Y3826-1),AA3825,"")</f>
        <v/>
      </c>
      <c r="AD3826" s="0" t="str">
        <f aca="false">IF(Y3826=1,"",IF(AND(Z3826=1,AB3826&lt;&gt;1),1,0))</f>
        <v/>
      </c>
      <c r="AE3826" s="0" t="str">
        <f aca="false">IF(Y3826=1,"",IF(AND(AA3826=1,AC3826&lt;&gt;1),1,0))</f>
        <v/>
      </c>
      <c r="AF3826" s="45" t="str">
        <f aca="false">IF(AND(E3826&gt;0,Y3826&lt;1,NOT(AND(C3827=C3826,Y3827=Y3826+1))),INDEX(DATAS,Y3826+1),"")</f>
        <v/>
      </c>
      <c r="AG3826" s="45" t="str">
        <f aca="false">IF(AND(AA3826=1,Y3826&lt;1),IF(AND(C3827=C3826,Y3827=Y3826+1),IF(AA3827=1,"",INDEX(DATAS,Y3826+1)),INDEX(DATAS,Y3826+1)),"")</f>
        <v/>
      </c>
    </row>
    <row r="3827" customFormat="false" ht="15" hidden="false" customHeight="false" outlineLevel="0" collapsed="false">
      <c r="A3827" s="45" t="n">
        <v>46309</v>
      </c>
      <c r="B3827" s="0" t="n">
        <v>15</v>
      </c>
      <c r="C3827" s="0" t="n">
        <v>30564</v>
      </c>
      <c r="E3827" s="0" t="n">
        <v>0</v>
      </c>
      <c r="F3827" s="39" t="s">
        <v>1442</v>
      </c>
      <c r="I3827" s="39" t="s">
        <v>107</v>
      </c>
      <c r="U3827" s="0" t="n">
        <v>228</v>
      </c>
      <c r="V3827" s="0" t="n">
        <v>0</v>
      </c>
      <c r="W3827" s="39" t="n">
        <f aca="false">IF(I3827="Male",0,1)</f>
        <v>0</v>
      </c>
      <c r="X3827" s="39" t="n">
        <f aca="false">IF(OR(I3827="DNB",I3827="Dry DNB"),1,0)</f>
        <v>0</v>
      </c>
      <c r="Y3827" s="39" t="n">
        <f aca="false">MATCH(A3827,DATAS,0)</f>
        <v>1</v>
      </c>
      <c r="Z3827" s="39" t="n">
        <f aca="false">IF(AND(E3827&gt;0,OR(AND(B3827&gt;=1,B3827&lt;=6),B3827=10)),1,0)</f>
        <v>0</v>
      </c>
      <c r="AA3827" s="39" t="n">
        <f aca="false">IF(AND(E3827&gt;0,B3827=10),1,0)</f>
        <v>0</v>
      </c>
      <c r="AB3827" s="0" t="str">
        <f aca="false">IF(AND(C3826=C3827,Y3826=Y3827-1),Z3826,"")</f>
        <v/>
      </c>
      <c r="AC3827" s="0" t="str">
        <f aca="false">IF(AND(C3826=C3827,Y3826=Y3827-1),AA3826,"")</f>
        <v/>
      </c>
      <c r="AD3827" s="0" t="str">
        <f aca="false">IF(Y3827=1,"",IF(AND(Z3827=1,AB3827&lt;&gt;1),1,0))</f>
        <v/>
      </c>
      <c r="AE3827" s="0" t="str">
        <f aca="false">IF(Y3827=1,"",IF(AND(AA3827=1,AC3827&lt;&gt;1),1,0))</f>
        <v/>
      </c>
      <c r="AF3827" s="45" t="str">
        <f aca="false">IF(AND(E3827&gt;0,Y3827&lt;1,NOT(AND(C3828=C3827,Y3828=Y3827+1))),INDEX(DATAS,Y3827+1),"")</f>
        <v/>
      </c>
      <c r="AG3827" s="45" t="str">
        <f aca="false">IF(AND(AA3827=1,Y3827&lt;1),IF(AND(C3828=C3827,Y3828=Y3827+1),IF(AA3828=1,"",INDEX(DATAS,Y3827+1)),INDEX(DATAS,Y3827+1)),"")</f>
        <v/>
      </c>
    </row>
    <row r="3828" customFormat="false" ht="15" hidden="false" customHeight="false" outlineLevel="0" collapsed="false">
      <c r="A3828" s="45" t="n">
        <v>46309</v>
      </c>
      <c r="B3828" s="0" t="n">
        <v>15</v>
      </c>
      <c r="C3828" s="0" t="n">
        <v>30565</v>
      </c>
      <c r="E3828" s="0" t="n">
        <v>0</v>
      </c>
      <c r="F3828" s="39" t="s">
        <v>1444</v>
      </c>
      <c r="I3828" s="39" t="s">
        <v>107</v>
      </c>
      <c r="U3828" s="0" t="n">
        <v>226</v>
      </c>
      <c r="V3828" s="0" t="n">
        <v>0</v>
      </c>
      <c r="W3828" s="39" t="n">
        <f aca="false">IF(I3828="Male",0,1)</f>
        <v>0</v>
      </c>
      <c r="X3828" s="39" t="n">
        <f aca="false">IF(OR(I3828="DNB",I3828="Dry DNB"),1,0)</f>
        <v>0</v>
      </c>
      <c r="Y3828" s="39" t="n">
        <f aca="false">MATCH(A3828,DATAS,0)</f>
        <v>1</v>
      </c>
      <c r="Z3828" s="39" t="n">
        <f aca="false">IF(AND(E3828&gt;0,OR(AND(B3828&gt;=1,B3828&lt;=6),B3828=10)),1,0)</f>
        <v>0</v>
      </c>
      <c r="AA3828" s="39" t="n">
        <f aca="false">IF(AND(E3828&gt;0,B3828=10),1,0)</f>
        <v>0</v>
      </c>
      <c r="AB3828" s="0" t="str">
        <f aca="false">IF(AND(C3827=C3828,Y3827=Y3828-1),Z3827,"")</f>
        <v/>
      </c>
      <c r="AC3828" s="0" t="str">
        <f aca="false">IF(AND(C3827=C3828,Y3827=Y3828-1),AA3827,"")</f>
        <v/>
      </c>
      <c r="AD3828" s="0" t="str">
        <f aca="false">IF(Y3828=1,"",IF(AND(Z3828=1,AB3828&lt;&gt;1),1,0))</f>
        <v/>
      </c>
      <c r="AE3828" s="0" t="str">
        <f aca="false">IF(Y3828=1,"",IF(AND(AA3828=1,AC3828&lt;&gt;1),1,0))</f>
        <v/>
      </c>
      <c r="AF3828" s="45" t="str">
        <f aca="false">IF(AND(E3828&gt;0,Y3828&lt;1,NOT(AND(C3829=C3828,Y3829=Y3828+1))),INDEX(DATAS,Y3828+1),"")</f>
        <v/>
      </c>
      <c r="AG3828" s="45" t="str">
        <f aca="false">IF(AND(AA3828=1,Y3828&lt;1),IF(AND(C3829=C3828,Y3829=Y3828+1),IF(AA3829=1,"",INDEX(DATAS,Y3828+1)),INDEX(DATAS,Y3828+1)),"")</f>
        <v/>
      </c>
    </row>
    <row r="3829" customFormat="false" ht="15" hidden="false" customHeight="false" outlineLevel="0" collapsed="false">
      <c r="A3829" s="45" t="n">
        <v>46309</v>
      </c>
      <c r="B3829" s="0" t="n">
        <v>15</v>
      </c>
      <c r="C3829" s="0" t="n">
        <v>30572</v>
      </c>
      <c r="E3829" s="0" t="n">
        <v>0</v>
      </c>
      <c r="F3829" s="39" t="s">
        <v>1447</v>
      </c>
      <c r="I3829" s="39" t="s">
        <v>107</v>
      </c>
      <c r="U3829" s="0" t="n">
        <v>223</v>
      </c>
      <c r="V3829" s="0" t="n">
        <v>0</v>
      </c>
      <c r="W3829" s="39" t="n">
        <f aca="false">IF(I3829="Male",0,1)</f>
        <v>0</v>
      </c>
      <c r="X3829" s="39" t="n">
        <f aca="false">IF(OR(I3829="DNB",I3829="Dry DNB"),1,0)</f>
        <v>0</v>
      </c>
      <c r="Y3829" s="39" t="n">
        <f aca="false">MATCH(A3829,DATAS,0)</f>
        <v>1</v>
      </c>
      <c r="Z3829" s="39" t="n">
        <f aca="false">IF(AND(E3829&gt;0,OR(AND(B3829&gt;=1,B3829&lt;=6),B3829=10)),1,0)</f>
        <v>0</v>
      </c>
      <c r="AA3829" s="39" t="n">
        <f aca="false">IF(AND(E3829&gt;0,B3829=10),1,0)</f>
        <v>0</v>
      </c>
      <c r="AB3829" s="0" t="str">
        <f aca="false">IF(AND(C3828=C3829,Y3828=Y3829-1),Z3828,"")</f>
        <v/>
      </c>
      <c r="AC3829" s="0" t="str">
        <f aca="false">IF(AND(C3828=C3829,Y3828=Y3829-1),AA3828,"")</f>
        <v/>
      </c>
      <c r="AD3829" s="0" t="str">
        <f aca="false">IF(Y3829=1,"",IF(AND(Z3829=1,AB3829&lt;&gt;1),1,0))</f>
        <v/>
      </c>
      <c r="AE3829" s="0" t="str">
        <f aca="false">IF(Y3829=1,"",IF(AND(AA3829=1,AC3829&lt;&gt;1),1,0))</f>
        <v/>
      </c>
      <c r="AF3829" s="45" t="str">
        <f aca="false">IF(AND(E3829&gt;0,Y3829&lt;1,NOT(AND(C3830=C3829,Y3830=Y3829+1))),INDEX(DATAS,Y3829+1),"")</f>
        <v/>
      </c>
      <c r="AG3829" s="45" t="str">
        <f aca="false">IF(AND(AA3829=1,Y3829&lt;1),IF(AND(C3830=C3829,Y3830=Y3829+1),IF(AA3830=1,"",INDEX(DATAS,Y3829+1)),INDEX(DATAS,Y3829+1)),"")</f>
        <v/>
      </c>
    </row>
    <row r="3830" customFormat="false" ht="15" hidden="false" customHeight="false" outlineLevel="0" collapsed="false">
      <c r="A3830" s="45" t="n">
        <v>46309</v>
      </c>
      <c r="B3830" s="0" t="n">
        <v>15</v>
      </c>
      <c r="C3830" s="0" t="n">
        <v>30573</v>
      </c>
      <c r="E3830" s="0" t="n">
        <v>0</v>
      </c>
      <c r="F3830" s="39" t="s">
        <v>1447</v>
      </c>
      <c r="I3830" s="39" t="s">
        <v>1654</v>
      </c>
      <c r="U3830" s="0" t="n">
        <v>223</v>
      </c>
      <c r="V3830" s="0" t="n">
        <v>0</v>
      </c>
      <c r="W3830" s="39" t="n">
        <f aca="false">IF(I3830="Male",0,1)</f>
        <v>1</v>
      </c>
      <c r="X3830" s="39" t="n">
        <f aca="false">IF(OR(I3830="DNB",I3830="Dry DNB"),1,0)</f>
        <v>0</v>
      </c>
      <c r="Y3830" s="39" t="n">
        <f aca="false">MATCH(A3830,DATAS,0)</f>
        <v>1</v>
      </c>
      <c r="Z3830" s="39" t="n">
        <f aca="false">IF(AND(E3830&gt;0,OR(AND(B3830&gt;=1,B3830&lt;=6),B3830=10)),1,0)</f>
        <v>0</v>
      </c>
      <c r="AA3830" s="39" t="n">
        <f aca="false">IF(AND(E3830&gt;0,B3830=10),1,0)</f>
        <v>0</v>
      </c>
      <c r="AB3830" s="0" t="str">
        <f aca="false">IF(AND(C3829=C3830,Y3829=Y3830-1),Z3829,"")</f>
        <v/>
      </c>
      <c r="AC3830" s="0" t="str">
        <f aca="false">IF(AND(C3829=C3830,Y3829=Y3830-1),AA3829,"")</f>
        <v/>
      </c>
      <c r="AD3830" s="0" t="str">
        <f aca="false">IF(Y3830=1,"",IF(AND(Z3830=1,AB3830&lt;&gt;1),1,0))</f>
        <v/>
      </c>
      <c r="AE3830" s="0" t="str">
        <f aca="false">IF(Y3830=1,"",IF(AND(AA3830=1,AC3830&lt;&gt;1),1,0))</f>
        <v/>
      </c>
      <c r="AF3830" s="45" t="str">
        <f aca="false">IF(AND(E3830&gt;0,Y3830&lt;1,NOT(AND(C3831=C3830,Y3831=Y3830+1))),INDEX(DATAS,Y3830+1),"")</f>
        <v/>
      </c>
      <c r="AG3830" s="45" t="str">
        <f aca="false">IF(AND(AA3830=1,Y3830&lt;1),IF(AND(C3831=C3830,Y3831=Y3830+1),IF(AA3831=1,"",INDEX(DATAS,Y3830+1)),INDEX(DATAS,Y3830+1)),"")</f>
        <v/>
      </c>
    </row>
    <row r="3831" customFormat="false" ht="15" hidden="false" customHeight="false" outlineLevel="0" collapsed="false">
      <c r="A3831" s="45" t="n">
        <v>46309</v>
      </c>
      <c r="B3831" s="0" t="n">
        <v>15</v>
      </c>
      <c r="C3831" s="0" t="n">
        <v>30585</v>
      </c>
      <c r="E3831" s="0" t="n">
        <v>0</v>
      </c>
      <c r="F3831" s="39" t="s">
        <v>1453</v>
      </c>
      <c r="I3831" s="39" t="s">
        <v>107</v>
      </c>
      <c r="U3831" s="0" t="n">
        <v>215</v>
      </c>
      <c r="V3831" s="0" t="n">
        <v>0</v>
      </c>
      <c r="W3831" s="39" t="n">
        <f aca="false">IF(I3831="Male",0,1)</f>
        <v>0</v>
      </c>
      <c r="X3831" s="39" t="n">
        <f aca="false">IF(OR(I3831="DNB",I3831="Dry DNB"),1,0)</f>
        <v>0</v>
      </c>
      <c r="Y3831" s="39" t="n">
        <f aca="false">MATCH(A3831,DATAS,0)</f>
        <v>1</v>
      </c>
      <c r="Z3831" s="39" t="n">
        <f aca="false">IF(AND(E3831&gt;0,OR(AND(B3831&gt;=1,B3831&lt;=6),B3831=10)),1,0)</f>
        <v>0</v>
      </c>
      <c r="AA3831" s="39" t="n">
        <f aca="false">IF(AND(E3831&gt;0,B3831=10),1,0)</f>
        <v>0</v>
      </c>
      <c r="AB3831" s="0" t="str">
        <f aca="false">IF(AND(C3830=C3831,Y3830=Y3831-1),Z3830,"")</f>
        <v/>
      </c>
      <c r="AC3831" s="0" t="str">
        <f aca="false">IF(AND(C3830=C3831,Y3830=Y3831-1),AA3830,"")</f>
        <v/>
      </c>
      <c r="AD3831" s="0" t="str">
        <f aca="false">IF(Y3831=1,"",IF(AND(Z3831=1,AB3831&lt;&gt;1),1,0))</f>
        <v/>
      </c>
      <c r="AE3831" s="0" t="str">
        <f aca="false">IF(Y3831=1,"",IF(AND(AA3831=1,AC3831&lt;&gt;1),1,0))</f>
        <v/>
      </c>
      <c r="AF3831" s="45" t="str">
        <f aca="false">IF(AND(E3831&gt;0,Y3831&lt;1,NOT(AND(C3832=C3831,Y3832=Y3831+1))),INDEX(DATAS,Y3831+1),"")</f>
        <v/>
      </c>
      <c r="AG3831" s="45" t="str">
        <f aca="false">IF(AND(AA3831=1,Y3831&lt;1),IF(AND(C3832=C3831,Y3832=Y3831+1),IF(AA3832=1,"",INDEX(DATAS,Y3831+1)),INDEX(DATAS,Y3831+1)),"")</f>
        <v/>
      </c>
    </row>
    <row r="3832" customFormat="false" ht="15" hidden="false" customHeight="false" outlineLevel="0" collapsed="false">
      <c r="A3832" s="45" t="n">
        <v>46309</v>
      </c>
      <c r="B3832" s="0" t="n">
        <v>15</v>
      </c>
      <c r="C3832" s="0" t="n">
        <v>30586</v>
      </c>
      <c r="E3832" s="0" t="n">
        <v>0</v>
      </c>
      <c r="F3832" s="39" t="s">
        <v>1659</v>
      </c>
      <c r="I3832" s="39" t="s">
        <v>1654</v>
      </c>
      <c r="U3832" s="0" t="n">
        <v>214</v>
      </c>
      <c r="V3832" s="0" t="n">
        <v>0</v>
      </c>
      <c r="W3832" s="39" t="n">
        <f aca="false">IF(I3832="Male",0,1)</f>
        <v>1</v>
      </c>
      <c r="X3832" s="39" t="n">
        <f aca="false">IF(OR(I3832="DNB",I3832="Dry DNB"),1,0)</f>
        <v>0</v>
      </c>
      <c r="Y3832" s="39" t="n">
        <f aca="false">MATCH(A3832,DATAS,0)</f>
        <v>1</v>
      </c>
      <c r="Z3832" s="39" t="n">
        <f aca="false">IF(AND(E3832&gt;0,OR(AND(B3832&gt;=1,B3832&lt;=6),B3832=10)),1,0)</f>
        <v>0</v>
      </c>
      <c r="AA3832" s="39" t="n">
        <f aca="false">IF(AND(E3832&gt;0,B3832=10),1,0)</f>
        <v>0</v>
      </c>
      <c r="AB3832" s="0" t="str">
        <f aca="false">IF(AND(C3831=C3832,Y3831=Y3832-1),Z3831,"")</f>
        <v/>
      </c>
      <c r="AC3832" s="0" t="str">
        <f aca="false">IF(AND(C3831=C3832,Y3831=Y3832-1),AA3831,"")</f>
        <v/>
      </c>
      <c r="AD3832" s="0" t="str">
        <f aca="false">IF(Y3832=1,"",IF(AND(Z3832=1,AB3832&lt;&gt;1),1,0))</f>
        <v/>
      </c>
      <c r="AE3832" s="0" t="str">
        <f aca="false">IF(Y3832=1,"",IF(AND(AA3832=1,AC3832&lt;&gt;1),1,0))</f>
        <v/>
      </c>
      <c r="AF3832" s="45" t="str">
        <f aca="false">IF(AND(E3832&gt;0,Y3832&lt;1,NOT(AND(C3833=C3832,Y3833=Y3832+1))),INDEX(DATAS,Y3832+1),"")</f>
        <v/>
      </c>
      <c r="AG3832" s="45" t="str">
        <f aca="false">IF(AND(AA3832=1,Y3832&lt;1),IF(AND(C3833=C3832,Y3833=Y3832+1),IF(AA3833=1,"",INDEX(DATAS,Y3832+1)),INDEX(DATAS,Y3832+1)),"")</f>
        <v/>
      </c>
    </row>
    <row r="3833" customFormat="false" ht="15" hidden="false" customHeight="false" outlineLevel="0" collapsed="false">
      <c r="A3833" s="45" t="n">
        <v>46309</v>
      </c>
      <c r="B3833" s="0" t="n">
        <v>15</v>
      </c>
      <c r="C3833" s="0" t="n">
        <v>30587</v>
      </c>
      <c r="E3833" s="0" t="n">
        <v>0</v>
      </c>
      <c r="F3833" s="39" t="s">
        <v>1454</v>
      </c>
      <c r="I3833" s="39" t="s">
        <v>1654</v>
      </c>
      <c r="U3833" s="0" t="n">
        <v>213</v>
      </c>
      <c r="V3833" s="0" t="n">
        <v>0</v>
      </c>
      <c r="W3833" s="39" t="n">
        <f aca="false">IF(I3833="Male",0,1)</f>
        <v>1</v>
      </c>
      <c r="X3833" s="39" t="n">
        <f aca="false">IF(OR(I3833="DNB",I3833="Dry DNB"),1,0)</f>
        <v>0</v>
      </c>
      <c r="Y3833" s="39" t="n">
        <f aca="false">MATCH(A3833,DATAS,0)</f>
        <v>1</v>
      </c>
      <c r="Z3833" s="39" t="n">
        <f aca="false">IF(AND(E3833&gt;0,OR(AND(B3833&gt;=1,B3833&lt;=6),B3833=10)),1,0)</f>
        <v>0</v>
      </c>
      <c r="AA3833" s="39" t="n">
        <f aca="false">IF(AND(E3833&gt;0,B3833=10),1,0)</f>
        <v>0</v>
      </c>
      <c r="AB3833" s="0" t="str">
        <f aca="false">IF(AND(C3832=C3833,Y3832=Y3833-1),Z3832,"")</f>
        <v/>
      </c>
      <c r="AC3833" s="0" t="str">
        <f aca="false">IF(AND(C3832=C3833,Y3832=Y3833-1),AA3832,"")</f>
        <v/>
      </c>
      <c r="AD3833" s="0" t="str">
        <f aca="false">IF(Y3833=1,"",IF(AND(Z3833=1,AB3833&lt;&gt;1),1,0))</f>
        <v/>
      </c>
      <c r="AE3833" s="0" t="str">
        <f aca="false">IF(Y3833=1,"",IF(AND(AA3833=1,AC3833&lt;&gt;1),1,0))</f>
        <v/>
      </c>
      <c r="AF3833" s="45" t="str">
        <f aca="false">IF(AND(E3833&gt;0,Y3833&lt;1,NOT(AND(C3834=C3833,Y3834=Y3833+1))),INDEX(DATAS,Y3833+1),"")</f>
        <v/>
      </c>
      <c r="AG3833" s="45" t="str">
        <f aca="false">IF(AND(AA3833=1,Y3833&lt;1),IF(AND(C3834=C3833,Y3834=Y3833+1),IF(AA3834=1,"",INDEX(DATAS,Y3833+1)),INDEX(DATAS,Y3833+1)),"")</f>
        <v/>
      </c>
    </row>
    <row r="3834" customFormat="false" ht="15" hidden="false" customHeight="false" outlineLevel="0" collapsed="false">
      <c r="A3834" s="45" t="n">
        <v>46309</v>
      </c>
      <c r="B3834" s="0" t="n">
        <v>15</v>
      </c>
      <c r="C3834" s="0" t="n">
        <v>30589</v>
      </c>
      <c r="E3834" s="0" t="n">
        <v>0</v>
      </c>
      <c r="F3834" s="39" t="s">
        <v>1454</v>
      </c>
      <c r="I3834" s="39" t="s">
        <v>107</v>
      </c>
      <c r="U3834" s="0" t="n">
        <v>213</v>
      </c>
      <c r="V3834" s="0" t="n">
        <v>0</v>
      </c>
      <c r="W3834" s="39" t="n">
        <f aca="false">IF(I3834="Male",0,1)</f>
        <v>0</v>
      </c>
      <c r="X3834" s="39" t="n">
        <f aca="false">IF(OR(I3834="DNB",I3834="Dry DNB"),1,0)</f>
        <v>0</v>
      </c>
      <c r="Y3834" s="39" t="n">
        <f aca="false">MATCH(A3834,DATAS,0)</f>
        <v>1</v>
      </c>
      <c r="Z3834" s="39" t="n">
        <f aca="false">IF(AND(E3834&gt;0,OR(AND(B3834&gt;=1,B3834&lt;=6),B3834=10)),1,0)</f>
        <v>0</v>
      </c>
      <c r="AA3834" s="39" t="n">
        <f aca="false">IF(AND(E3834&gt;0,B3834=10),1,0)</f>
        <v>0</v>
      </c>
      <c r="AB3834" s="0" t="str">
        <f aca="false">IF(AND(C3833=C3834,Y3833=Y3834-1),Z3833,"")</f>
        <v/>
      </c>
      <c r="AC3834" s="0" t="str">
        <f aca="false">IF(AND(C3833=C3834,Y3833=Y3834-1),AA3833,"")</f>
        <v/>
      </c>
      <c r="AD3834" s="0" t="str">
        <f aca="false">IF(Y3834=1,"",IF(AND(Z3834=1,AB3834&lt;&gt;1),1,0))</f>
        <v/>
      </c>
      <c r="AE3834" s="0" t="str">
        <f aca="false">IF(Y3834=1,"",IF(AND(AA3834=1,AC3834&lt;&gt;1),1,0))</f>
        <v/>
      </c>
      <c r="AF3834" s="45" t="str">
        <f aca="false">IF(AND(E3834&gt;0,Y3834&lt;1,NOT(AND(C3835=C3834,Y3835=Y3834+1))),INDEX(DATAS,Y3834+1),"")</f>
        <v/>
      </c>
      <c r="AG3834" s="45" t="str">
        <f aca="false">IF(AND(AA3834=1,Y3834&lt;1),IF(AND(C3835=C3834,Y3835=Y3834+1),IF(AA3835=1,"",INDEX(DATAS,Y3834+1)),INDEX(DATAS,Y3834+1)),"")</f>
        <v/>
      </c>
    </row>
    <row r="3835" customFormat="false" ht="15" hidden="false" customHeight="false" outlineLevel="0" collapsed="false">
      <c r="A3835" s="45" t="n">
        <v>46309</v>
      </c>
      <c r="B3835" s="0" t="n">
        <v>15</v>
      </c>
      <c r="C3835" s="0" t="n">
        <v>30590</v>
      </c>
      <c r="E3835" s="0" t="n">
        <v>0</v>
      </c>
      <c r="F3835" s="39" t="s">
        <v>1454</v>
      </c>
      <c r="I3835" s="39" t="s">
        <v>107</v>
      </c>
      <c r="U3835" s="0" t="n">
        <v>213</v>
      </c>
      <c r="V3835" s="0" t="n">
        <v>0</v>
      </c>
      <c r="W3835" s="39" t="n">
        <f aca="false">IF(I3835="Male",0,1)</f>
        <v>0</v>
      </c>
      <c r="X3835" s="39" t="n">
        <f aca="false">IF(OR(I3835="DNB",I3835="Dry DNB"),1,0)</f>
        <v>0</v>
      </c>
      <c r="Y3835" s="39" t="n">
        <f aca="false">MATCH(A3835,DATAS,0)</f>
        <v>1</v>
      </c>
      <c r="Z3835" s="39" t="n">
        <f aca="false">IF(AND(E3835&gt;0,OR(AND(B3835&gt;=1,B3835&lt;=6),B3835=10)),1,0)</f>
        <v>0</v>
      </c>
      <c r="AA3835" s="39" t="n">
        <f aca="false">IF(AND(E3835&gt;0,B3835=10),1,0)</f>
        <v>0</v>
      </c>
      <c r="AB3835" s="0" t="str">
        <f aca="false">IF(AND(C3834=C3835,Y3834=Y3835-1),Z3834,"")</f>
        <v/>
      </c>
      <c r="AC3835" s="0" t="str">
        <f aca="false">IF(AND(C3834=C3835,Y3834=Y3835-1),AA3834,"")</f>
        <v/>
      </c>
      <c r="AD3835" s="0" t="str">
        <f aca="false">IF(Y3835=1,"",IF(AND(Z3835=1,AB3835&lt;&gt;1),1,0))</f>
        <v/>
      </c>
      <c r="AE3835" s="0" t="str">
        <f aca="false">IF(Y3835=1,"",IF(AND(AA3835=1,AC3835&lt;&gt;1),1,0))</f>
        <v/>
      </c>
      <c r="AF3835" s="45" t="str">
        <f aca="false">IF(AND(E3835&gt;0,Y3835&lt;1,NOT(AND(C3836=C3835,Y3836=Y3835+1))),INDEX(DATAS,Y3835+1),"")</f>
        <v/>
      </c>
      <c r="AG3835" s="45" t="str">
        <f aca="false">IF(AND(AA3835=1,Y3835&lt;1),IF(AND(C3836=C3835,Y3836=Y3835+1),IF(AA3836=1,"",INDEX(DATAS,Y3835+1)),INDEX(DATAS,Y3835+1)),"")</f>
        <v/>
      </c>
    </row>
    <row r="3836" customFormat="false" ht="15" hidden="false" customHeight="false" outlineLevel="0" collapsed="false">
      <c r="A3836" s="45" t="n">
        <v>46309</v>
      </c>
      <c r="B3836" s="0" t="n">
        <v>15</v>
      </c>
      <c r="C3836" s="0" t="n">
        <v>30594</v>
      </c>
      <c r="E3836" s="0" t="n">
        <v>0</v>
      </c>
      <c r="F3836" s="39" t="s">
        <v>1455</v>
      </c>
      <c r="I3836" s="39" t="s">
        <v>107</v>
      </c>
      <c r="U3836" s="0" t="n">
        <v>212</v>
      </c>
      <c r="V3836" s="0" t="n">
        <v>0</v>
      </c>
      <c r="W3836" s="39" t="n">
        <f aca="false">IF(I3836="Male",0,1)</f>
        <v>0</v>
      </c>
      <c r="X3836" s="39" t="n">
        <f aca="false">IF(OR(I3836="DNB",I3836="Dry DNB"),1,0)</f>
        <v>0</v>
      </c>
      <c r="Y3836" s="39" t="n">
        <f aca="false">MATCH(A3836,DATAS,0)</f>
        <v>1</v>
      </c>
      <c r="Z3836" s="39" t="n">
        <f aca="false">IF(AND(E3836&gt;0,OR(AND(B3836&gt;=1,B3836&lt;=6),B3836=10)),1,0)</f>
        <v>0</v>
      </c>
      <c r="AA3836" s="39" t="n">
        <f aca="false">IF(AND(E3836&gt;0,B3836=10),1,0)</f>
        <v>0</v>
      </c>
      <c r="AB3836" s="0" t="str">
        <f aca="false">IF(AND(C3835=C3836,Y3835=Y3836-1),Z3835,"")</f>
        <v/>
      </c>
      <c r="AC3836" s="0" t="str">
        <f aca="false">IF(AND(C3835=C3836,Y3835=Y3836-1),AA3835,"")</f>
        <v/>
      </c>
      <c r="AD3836" s="0" t="str">
        <f aca="false">IF(Y3836=1,"",IF(AND(Z3836=1,AB3836&lt;&gt;1),1,0))</f>
        <v/>
      </c>
      <c r="AE3836" s="0" t="str">
        <f aca="false">IF(Y3836=1,"",IF(AND(AA3836=1,AC3836&lt;&gt;1),1,0))</f>
        <v/>
      </c>
      <c r="AF3836" s="45" t="str">
        <f aca="false">IF(AND(E3836&gt;0,Y3836&lt;1,NOT(AND(C3837=C3836,Y3837=Y3836+1))),INDEX(DATAS,Y3836+1),"")</f>
        <v/>
      </c>
      <c r="AG3836" s="45" t="str">
        <f aca="false">IF(AND(AA3836=1,Y3836&lt;1),IF(AND(C3837=C3836,Y3837=Y3836+1),IF(AA3837=1,"",INDEX(DATAS,Y3836+1)),INDEX(DATAS,Y3836+1)),"")</f>
        <v/>
      </c>
    </row>
    <row r="3837" customFormat="false" ht="15" hidden="false" customHeight="false" outlineLevel="0" collapsed="false">
      <c r="A3837" s="45" t="n">
        <v>46309</v>
      </c>
      <c r="B3837" s="0" t="n">
        <v>15</v>
      </c>
      <c r="C3837" s="0" t="n">
        <v>30595</v>
      </c>
      <c r="E3837" s="0" t="n">
        <v>0</v>
      </c>
      <c r="F3837" s="39" t="s">
        <v>1456</v>
      </c>
      <c r="I3837" s="39" t="s">
        <v>107</v>
      </c>
      <c r="U3837" s="0" t="n">
        <v>211</v>
      </c>
      <c r="V3837" s="0" t="n">
        <v>0</v>
      </c>
      <c r="W3837" s="39" t="n">
        <f aca="false">IF(I3837="Male",0,1)</f>
        <v>0</v>
      </c>
      <c r="X3837" s="39" t="n">
        <f aca="false">IF(OR(I3837="DNB",I3837="Dry DNB"),1,0)</f>
        <v>0</v>
      </c>
      <c r="Y3837" s="39" t="n">
        <f aca="false">MATCH(A3837,DATAS,0)</f>
        <v>1</v>
      </c>
      <c r="Z3837" s="39" t="n">
        <f aca="false">IF(AND(E3837&gt;0,OR(AND(B3837&gt;=1,B3837&lt;=6),B3837=10)),1,0)</f>
        <v>0</v>
      </c>
      <c r="AA3837" s="39" t="n">
        <f aca="false">IF(AND(E3837&gt;0,B3837=10),1,0)</f>
        <v>0</v>
      </c>
      <c r="AB3837" s="0" t="str">
        <f aca="false">IF(AND(C3836=C3837,Y3836=Y3837-1),Z3836,"")</f>
        <v/>
      </c>
      <c r="AC3837" s="0" t="str">
        <f aca="false">IF(AND(C3836=C3837,Y3836=Y3837-1),AA3836,"")</f>
        <v/>
      </c>
      <c r="AD3837" s="0" t="str">
        <f aca="false">IF(Y3837=1,"",IF(AND(Z3837=1,AB3837&lt;&gt;1),1,0))</f>
        <v/>
      </c>
      <c r="AE3837" s="0" t="str">
        <f aca="false">IF(Y3837=1,"",IF(AND(AA3837=1,AC3837&lt;&gt;1),1,0))</f>
        <v/>
      </c>
      <c r="AF3837" s="45" t="str">
        <f aca="false">IF(AND(E3837&gt;0,Y3837&lt;1,NOT(AND(C3838=C3837,Y3838=Y3837+1))),INDEX(DATAS,Y3837+1),"")</f>
        <v/>
      </c>
      <c r="AG3837" s="45" t="str">
        <f aca="false">IF(AND(AA3837=1,Y3837&lt;1),IF(AND(C3838=C3837,Y3838=Y3837+1),IF(AA3838=1,"",INDEX(DATAS,Y3837+1)),INDEX(DATAS,Y3837+1)),"")</f>
        <v/>
      </c>
    </row>
    <row r="3838" customFormat="false" ht="15" hidden="false" customHeight="false" outlineLevel="0" collapsed="false">
      <c r="A3838" s="45" t="n">
        <v>46309</v>
      </c>
      <c r="B3838" s="0" t="n">
        <v>15</v>
      </c>
      <c r="C3838" s="0" t="n">
        <v>30597</v>
      </c>
      <c r="E3838" s="0" t="n">
        <v>0</v>
      </c>
      <c r="F3838" s="39" t="s">
        <v>1456</v>
      </c>
      <c r="I3838" s="39" t="s">
        <v>107</v>
      </c>
      <c r="U3838" s="0" t="n">
        <v>211</v>
      </c>
      <c r="V3838" s="0" t="n">
        <v>0</v>
      </c>
      <c r="W3838" s="39" t="n">
        <f aca="false">IF(I3838="Male",0,1)</f>
        <v>0</v>
      </c>
      <c r="X3838" s="39" t="n">
        <f aca="false">IF(OR(I3838="DNB",I3838="Dry DNB"),1,0)</f>
        <v>0</v>
      </c>
      <c r="Y3838" s="39" t="n">
        <f aca="false">MATCH(A3838,DATAS,0)</f>
        <v>1</v>
      </c>
      <c r="Z3838" s="39" t="n">
        <f aca="false">IF(AND(E3838&gt;0,OR(AND(B3838&gt;=1,B3838&lt;=6),B3838=10)),1,0)</f>
        <v>0</v>
      </c>
      <c r="AA3838" s="39" t="n">
        <f aca="false">IF(AND(E3838&gt;0,B3838=10),1,0)</f>
        <v>0</v>
      </c>
      <c r="AB3838" s="0" t="str">
        <f aca="false">IF(AND(C3837=C3838,Y3837=Y3838-1),Z3837,"")</f>
        <v/>
      </c>
      <c r="AC3838" s="0" t="str">
        <f aca="false">IF(AND(C3837=C3838,Y3837=Y3838-1),AA3837,"")</f>
        <v/>
      </c>
      <c r="AD3838" s="0" t="str">
        <f aca="false">IF(Y3838=1,"",IF(AND(Z3838=1,AB3838&lt;&gt;1),1,0))</f>
        <v/>
      </c>
      <c r="AE3838" s="0" t="str">
        <f aca="false">IF(Y3838=1,"",IF(AND(AA3838=1,AC3838&lt;&gt;1),1,0))</f>
        <v/>
      </c>
      <c r="AF3838" s="45" t="str">
        <f aca="false">IF(AND(E3838&gt;0,Y3838&lt;1,NOT(AND(C3839=C3838,Y3839=Y3838+1))),INDEX(DATAS,Y3838+1),"")</f>
        <v/>
      </c>
      <c r="AG3838" s="45" t="str">
        <f aca="false">IF(AND(AA3838=1,Y3838&lt;1),IF(AND(C3839=C3838,Y3839=Y3838+1),IF(AA3839=1,"",INDEX(DATAS,Y3838+1)),INDEX(DATAS,Y3838+1)),"")</f>
        <v/>
      </c>
    </row>
    <row r="3839" customFormat="false" ht="15" hidden="false" customHeight="false" outlineLevel="0" collapsed="false">
      <c r="A3839" s="45" t="n">
        <v>46309</v>
      </c>
      <c r="B3839" s="0" t="n">
        <v>15</v>
      </c>
      <c r="C3839" s="0" t="n">
        <v>30604</v>
      </c>
      <c r="E3839" s="0" t="n">
        <v>0</v>
      </c>
      <c r="F3839" s="39" t="s">
        <v>1458</v>
      </c>
      <c r="I3839" s="39" t="s">
        <v>1654</v>
      </c>
      <c r="U3839" s="0" t="n">
        <v>209</v>
      </c>
      <c r="V3839" s="0" t="n">
        <v>0</v>
      </c>
      <c r="W3839" s="39" t="n">
        <f aca="false">IF(I3839="Male",0,1)</f>
        <v>1</v>
      </c>
      <c r="X3839" s="39" t="n">
        <f aca="false">IF(OR(I3839="DNB",I3839="Dry DNB"),1,0)</f>
        <v>0</v>
      </c>
      <c r="Y3839" s="39" t="n">
        <f aca="false">MATCH(A3839,DATAS,0)</f>
        <v>1</v>
      </c>
      <c r="Z3839" s="39" t="n">
        <f aca="false">IF(AND(E3839&gt;0,OR(AND(B3839&gt;=1,B3839&lt;=6),B3839=10)),1,0)</f>
        <v>0</v>
      </c>
      <c r="AA3839" s="39" t="n">
        <f aca="false">IF(AND(E3839&gt;0,B3839=10),1,0)</f>
        <v>0</v>
      </c>
      <c r="AB3839" s="0" t="str">
        <f aca="false">IF(AND(C3838=C3839,Y3838=Y3839-1),Z3838,"")</f>
        <v/>
      </c>
      <c r="AC3839" s="0" t="str">
        <f aca="false">IF(AND(C3838=C3839,Y3838=Y3839-1),AA3838,"")</f>
        <v/>
      </c>
      <c r="AD3839" s="0" t="str">
        <f aca="false">IF(Y3839=1,"",IF(AND(Z3839=1,AB3839&lt;&gt;1),1,0))</f>
        <v/>
      </c>
      <c r="AE3839" s="0" t="str">
        <f aca="false">IF(Y3839=1,"",IF(AND(AA3839=1,AC3839&lt;&gt;1),1,0))</f>
        <v/>
      </c>
      <c r="AF3839" s="45" t="str">
        <f aca="false">IF(AND(E3839&gt;0,Y3839&lt;1,NOT(AND(C3840=C3839,Y3840=Y3839+1))),INDEX(DATAS,Y3839+1),"")</f>
        <v/>
      </c>
      <c r="AG3839" s="45" t="str">
        <f aca="false">IF(AND(AA3839=1,Y3839&lt;1),IF(AND(C3840=C3839,Y3840=Y3839+1),IF(AA3840=1,"",INDEX(DATAS,Y3839+1)),INDEX(DATAS,Y3839+1)),"")</f>
        <v/>
      </c>
    </row>
    <row r="3840" customFormat="false" ht="15" hidden="false" customHeight="false" outlineLevel="0" collapsed="false">
      <c r="A3840" s="45" t="n">
        <v>46309</v>
      </c>
      <c r="B3840" s="0" t="n">
        <v>15</v>
      </c>
      <c r="C3840" s="0" t="n">
        <v>30605</v>
      </c>
      <c r="E3840" s="0" t="n">
        <v>0</v>
      </c>
      <c r="F3840" s="39" t="s">
        <v>1459</v>
      </c>
      <c r="I3840" s="39" t="s">
        <v>107</v>
      </c>
      <c r="U3840" s="0" t="n">
        <v>208</v>
      </c>
      <c r="V3840" s="0" t="n">
        <v>0</v>
      </c>
      <c r="W3840" s="39" t="n">
        <f aca="false">IF(I3840="Male",0,1)</f>
        <v>0</v>
      </c>
      <c r="X3840" s="39" t="n">
        <f aca="false">IF(OR(I3840="DNB",I3840="Dry DNB"),1,0)</f>
        <v>0</v>
      </c>
      <c r="Y3840" s="39" t="n">
        <f aca="false">MATCH(A3840,DATAS,0)</f>
        <v>1</v>
      </c>
      <c r="Z3840" s="39" t="n">
        <f aca="false">IF(AND(E3840&gt;0,OR(AND(B3840&gt;=1,B3840&lt;=6),B3840=10)),1,0)</f>
        <v>0</v>
      </c>
      <c r="AA3840" s="39" t="n">
        <f aca="false">IF(AND(E3840&gt;0,B3840=10),1,0)</f>
        <v>0</v>
      </c>
      <c r="AB3840" s="0" t="str">
        <f aca="false">IF(AND(C3839=C3840,Y3839=Y3840-1),Z3839,"")</f>
        <v/>
      </c>
      <c r="AC3840" s="0" t="str">
        <f aca="false">IF(AND(C3839=C3840,Y3839=Y3840-1),AA3839,"")</f>
        <v/>
      </c>
      <c r="AD3840" s="0" t="str">
        <f aca="false">IF(Y3840=1,"",IF(AND(Z3840=1,AB3840&lt;&gt;1),1,0))</f>
        <v/>
      </c>
      <c r="AE3840" s="0" t="str">
        <f aca="false">IF(Y3840=1,"",IF(AND(AA3840=1,AC3840&lt;&gt;1),1,0))</f>
        <v/>
      </c>
      <c r="AF3840" s="45" t="str">
        <f aca="false">IF(AND(E3840&gt;0,Y3840&lt;1,NOT(AND(C3841=C3840,Y3841=Y3840+1))),INDEX(DATAS,Y3840+1),"")</f>
        <v/>
      </c>
      <c r="AG3840" s="45" t="str">
        <f aca="false">IF(AND(AA3840=1,Y3840&lt;1),IF(AND(C3841=C3840,Y3841=Y3840+1),IF(AA3841=1,"",INDEX(DATAS,Y3840+1)),INDEX(DATAS,Y3840+1)),"")</f>
        <v/>
      </c>
    </row>
    <row r="3841" customFormat="false" ht="15" hidden="false" customHeight="false" outlineLevel="0" collapsed="false">
      <c r="A3841" s="45" t="n">
        <v>46309</v>
      </c>
      <c r="B3841" s="0" t="n">
        <v>15</v>
      </c>
      <c r="C3841" s="0" t="n">
        <v>30607</v>
      </c>
      <c r="E3841" s="0" t="n">
        <v>0</v>
      </c>
      <c r="F3841" s="39" t="s">
        <v>1460</v>
      </c>
      <c r="I3841" s="39" t="s">
        <v>1654</v>
      </c>
      <c r="U3841" s="0" t="n">
        <v>207</v>
      </c>
      <c r="V3841" s="0" t="n">
        <v>0</v>
      </c>
      <c r="W3841" s="39" t="n">
        <f aca="false">IF(I3841="Male",0,1)</f>
        <v>1</v>
      </c>
      <c r="X3841" s="39" t="n">
        <f aca="false">IF(OR(I3841="DNB",I3841="Dry DNB"),1,0)</f>
        <v>0</v>
      </c>
      <c r="Y3841" s="39" t="n">
        <f aca="false">MATCH(A3841,DATAS,0)</f>
        <v>1</v>
      </c>
      <c r="Z3841" s="39" t="n">
        <f aca="false">IF(AND(E3841&gt;0,OR(AND(B3841&gt;=1,B3841&lt;=6),B3841=10)),1,0)</f>
        <v>0</v>
      </c>
      <c r="AA3841" s="39" t="n">
        <f aca="false">IF(AND(E3841&gt;0,B3841=10),1,0)</f>
        <v>0</v>
      </c>
      <c r="AB3841" s="0" t="str">
        <f aca="false">IF(AND(C3840=C3841,Y3840=Y3841-1),Z3840,"")</f>
        <v/>
      </c>
      <c r="AC3841" s="0" t="str">
        <f aca="false">IF(AND(C3840=C3841,Y3840=Y3841-1),AA3840,"")</f>
        <v/>
      </c>
      <c r="AD3841" s="0" t="str">
        <f aca="false">IF(Y3841=1,"",IF(AND(Z3841=1,AB3841&lt;&gt;1),1,0))</f>
        <v/>
      </c>
      <c r="AE3841" s="0" t="str">
        <f aca="false">IF(Y3841=1,"",IF(AND(AA3841=1,AC3841&lt;&gt;1),1,0))</f>
        <v/>
      </c>
      <c r="AF3841" s="45" t="str">
        <f aca="false">IF(AND(E3841&gt;0,Y3841&lt;1,NOT(AND(C3842=C3841,Y3842=Y3841+1))),INDEX(DATAS,Y3841+1),"")</f>
        <v/>
      </c>
      <c r="AG3841" s="45" t="str">
        <f aca="false">IF(AND(AA3841=1,Y3841&lt;1),IF(AND(C3842=C3841,Y3842=Y3841+1),IF(AA3842=1,"",INDEX(DATAS,Y3841+1)),INDEX(DATAS,Y3841+1)),"")</f>
        <v/>
      </c>
    </row>
    <row r="3842" customFormat="false" ht="15" hidden="false" customHeight="false" outlineLevel="0" collapsed="false">
      <c r="A3842" s="45" t="n">
        <v>46309</v>
      </c>
      <c r="B3842" s="0" t="n">
        <v>15</v>
      </c>
      <c r="C3842" s="0" t="n">
        <v>30609</v>
      </c>
      <c r="E3842" s="0" t="n">
        <v>0</v>
      </c>
      <c r="F3842" s="39" t="s">
        <v>1462</v>
      </c>
      <c r="I3842" s="39" t="s">
        <v>1654</v>
      </c>
      <c r="U3842" s="0" t="n">
        <v>205</v>
      </c>
      <c r="V3842" s="0" t="n">
        <v>0</v>
      </c>
      <c r="W3842" s="39" t="n">
        <f aca="false">IF(I3842="Male",0,1)</f>
        <v>1</v>
      </c>
      <c r="X3842" s="39" t="n">
        <f aca="false">IF(OR(I3842="DNB",I3842="Dry DNB"),1,0)</f>
        <v>0</v>
      </c>
      <c r="Y3842" s="39" t="n">
        <f aca="false">MATCH(A3842,DATAS,0)</f>
        <v>1</v>
      </c>
      <c r="Z3842" s="39" t="n">
        <f aca="false">IF(AND(E3842&gt;0,OR(AND(B3842&gt;=1,B3842&lt;=6),B3842=10)),1,0)</f>
        <v>0</v>
      </c>
      <c r="AA3842" s="39" t="n">
        <f aca="false">IF(AND(E3842&gt;0,B3842=10),1,0)</f>
        <v>0</v>
      </c>
      <c r="AB3842" s="0" t="str">
        <f aca="false">IF(AND(C3841=C3842,Y3841=Y3842-1),Z3841,"")</f>
        <v/>
      </c>
      <c r="AC3842" s="0" t="str">
        <f aca="false">IF(AND(C3841=C3842,Y3841=Y3842-1),AA3841,"")</f>
        <v/>
      </c>
      <c r="AD3842" s="0" t="str">
        <f aca="false">IF(Y3842=1,"",IF(AND(Z3842=1,AB3842&lt;&gt;1),1,0))</f>
        <v/>
      </c>
      <c r="AE3842" s="0" t="str">
        <f aca="false">IF(Y3842=1,"",IF(AND(AA3842=1,AC3842&lt;&gt;1),1,0))</f>
        <v/>
      </c>
      <c r="AF3842" s="45" t="str">
        <f aca="false">IF(AND(E3842&gt;0,Y3842&lt;1,NOT(AND(C3843=C3842,Y3843=Y3842+1))),INDEX(DATAS,Y3842+1),"")</f>
        <v/>
      </c>
      <c r="AG3842" s="45" t="str">
        <f aca="false">IF(AND(AA3842=1,Y3842&lt;1),IF(AND(C3843=C3842,Y3843=Y3842+1),IF(AA3843=1,"",INDEX(DATAS,Y3842+1)),INDEX(DATAS,Y3842+1)),"")</f>
        <v/>
      </c>
    </row>
    <row r="3843" customFormat="false" ht="15" hidden="false" customHeight="false" outlineLevel="0" collapsed="false">
      <c r="A3843" s="45" t="n">
        <v>46309</v>
      </c>
      <c r="B3843" s="0" t="n">
        <v>15</v>
      </c>
      <c r="C3843" s="0" t="n">
        <v>30610</v>
      </c>
      <c r="E3843" s="0" t="n">
        <v>0</v>
      </c>
      <c r="F3843" s="39" t="s">
        <v>1463</v>
      </c>
      <c r="I3843" s="39" t="s">
        <v>107</v>
      </c>
      <c r="U3843" s="0" t="n">
        <v>204</v>
      </c>
      <c r="V3843" s="0" t="n">
        <v>0</v>
      </c>
      <c r="W3843" s="39" t="n">
        <f aca="false">IF(I3843="Male",0,1)</f>
        <v>0</v>
      </c>
      <c r="X3843" s="39" t="n">
        <f aca="false">IF(OR(I3843="DNB",I3843="Dry DNB"),1,0)</f>
        <v>0</v>
      </c>
      <c r="Y3843" s="39" t="n">
        <f aca="false">MATCH(A3843,DATAS,0)</f>
        <v>1</v>
      </c>
      <c r="Z3843" s="39" t="n">
        <f aca="false">IF(AND(E3843&gt;0,OR(AND(B3843&gt;=1,B3843&lt;=6),B3843=10)),1,0)</f>
        <v>0</v>
      </c>
      <c r="AA3843" s="39" t="n">
        <f aca="false">IF(AND(E3843&gt;0,B3843=10),1,0)</f>
        <v>0</v>
      </c>
      <c r="AB3843" s="0" t="str">
        <f aca="false">IF(AND(C3842=C3843,Y3842=Y3843-1),Z3842,"")</f>
        <v/>
      </c>
      <c r="AC3843" s="0" t="str">
        <f aca="false">IF(AND(C3842=C3843,Y3842=Y3843-1),AA3842,"")</f>
        <v/>
      </c>
      <c r="AD3843" s="0" t="str">
        <f aca="false">IF(Y3843=1,"",IF(AND(Z3843=1,AB3843&lt;&gt;1),1,0))</f>
        <v/>
      </c>
      <c r="AE3843" s="0" t="str">
        <f aca="false">IF(Y3843=1,"",IF(AND(AA3843=1,AC3843&lt;&gt;1),1,0))</f>
        <v/>
      </c>
      <c r="AF3843" s="45" t="str">
        <f aca="false">IF(AND(E3843&gt;0,Y3843&lt;1,NOT(AND(C3844=C3843,Y3844=Y3843+1))),INDEX(DATAS,Y3843+1),"")</f>
        <v/>
      </c>
      <c r="AG3843" s="45" t="str">
        <f aca="false">IF(AND(AA3843=1,Y3843&lt;1),IF(AND(C3844=C3843,Y3844=Y3843+1),IF(AA3844=1,"",INDEX(DATAS,Y3843+1)),INDEX(DATAS,Y3843+1)),"")</f>
        <v/>
      </c>
    </row>
    <row r="3844" customFormat="false" ht="15" hidden="false" customHeight="false" outlineLevel="0" collapsed="false">
      <c r="A3844" s="45" t="n">
        <v>46309</v>
      </c>
      <c r="B3844" s="0" t="n">
        <v>15</v>
      </c>
      <c r="C3844" s="0" t="n">
        <v>30611</v>
      </c>
      <c r="E3844" s="0" t="n">
        <v>0</v>
      </c>
      <c r="F3844" s="39" t="s">
        <v>1463</v>
      </c>
      <c r="I3844" s="39" t="s">
        <v>107</v>
      </c>
      <c r="U3844" s="0" t="n">
        <v>204</v>
      </c>
      <c r="V3844" s="0" t="n">
        <v>0</v>
      </c>
      <c r="W3844" s="39" t="n">
        <f aca="false">IF(I3844="Male",0,1)</f>
        <v>0</v>
      </c>
      <c r="X3844" s="39" t="n">
        <f aca="false">IF(OR(I3844="DNB",I3844="Dry DNB"),1,0)</f>
        <v>0</v>
      </c>
      <c r="Y3844" s="39" t="n">
        <f aca="false">MATCH(A3844,DATAS,0)</f>
        <v>1</v>
      </c>
      <c r="Z3844" s="39" t="n">
        <f aca="false">IF(AND(E3844&gt;0,OR(AND(B3844&gt;=1,B3844&lt;=6),B3844=10)),1,0)</f>
        <v>0</v>
      </c>
      <c r="AA3844" s="39" t="n">
        <f aca="false">IF(AND(E3844&gt;0,B3844=10),1,0)</f>
        <v>0</v>
      </c>
      <c r="AB3844" s="0" t="str">
        <f aca="false">IF(AND(C3843=C3844,Y3843=Y3844-1),Z3843,"")</f>
        <v/>
      </c>
      <c r="AC3844" s="0" t="str">
        <f aca="false">IF(AND(C3843=C3844,Y3843=Y3844-1),AA3843,"")</f>
        <v/>
      </c>
      <c r="AD3844" s="0" t="str">
        <f aca="false">IF(Y3844=1,"",IF(AND(Z3844=1,AB3844&lt;&gt;1),1,0))</f>
        <v/>
      </c>
      <c r="AE3844" s="0" t="str">
        <f aca="false">IF(Y3844=1,"",IF(AND(AA3844=1,AC3844&lt;&gt;1),1,0))</f>
        <v/>
      </c>
      <c r="AF3844" s="45" t="str">
        <f aca="false">IF(AND(E3844&gt;0,Y3844&lt;1,NOT(AND(C3845=C3844,Y3845=Y3844+1))),INDEX(DATAS,Y3844+1),"")</f>
        <v/>
      </c>
      <c r="AG3844" s="45" t="str">
        <f aca="false">IF(AND(AA3844=1,Y3844&lt;1),IF(AND(C3845=C3844,Y3845=Y3844+1),IF(AA3845=1,"",INDEX(DATAS,Y3844+1)),INDEX(DATAS,Y3844+1)),"")</f>
        <v/>
      </c>
    </row>
    <row r="3845" customFormat="false" ht="15" hidden="false" customHeight="false" outlineLevel="0" collapsed="false">
      <c r="A3845" s="45" t="n">
        <v>46309</v>
      </c>
      <c r="B3845" s="0" t="n">
        <v>15</v>
      </c>
      <c r="C3845" s="0" t="n">
        <v>30614</v>
      </c>
      <c r="E3845" s="0" t="n">
        <v>0</v>
      </c>
      <c r="F3845" s="39" t="s">
        <v>1464</v>
      </c>
      <c r="I3845" s="39" t="s">
        <v>107</v>
      </c>
      <c r="U3845" s="0" t="n">
        <v>203</v>
      </c>
      <c r="V3845" s="0" t="n">
        <v>0</v>
      </c>
      <c r="W3845" s="39" t="n">
        <f aca="false">IF(I3845="Male",0,1)</f>
        <v>0</v>
      </c>
      <c r="X3845" s="39" t="n">
        <f aca="false">IF(OR(I3845="DNB",I3845="Dry DNB"),1,0)</f>
        <v>0</v>
      </c>
      <c r="Y3845" s="39" t="n">
        <f aca="false">MATCH(A3845,DATAS,0)</f>
        <v>1</v>
      </c>
      <c r="Z3845" s="39" t="n">
        <f aca="false">IF(AND(E3845&gt;0,OR(AND(B3845&gt;=1,B3845&lt;=6),B3845=10)),1,0)</f>
        <v>0</v>
      </c>
      <c r="AA3845" s="39" t="n">
        <f aca="false">IF(AND(E3845&gt;0,B3845=10),1,0)</f>
        <v>0</v>
      </c>
      <c r="AB3845" s="0" t="str">
        <f aca="false">IF(AND(C3844=C3845,Y3844=Y3845-1),Z3844,"")</f>
        <v/>
      </c>
      <c r="AC3845" s="0" t="str">
        <f aca="false">IF(AND(C3844=C3845,Y3844=Y3845-1),AA3844,"")</f>
        <v/>
      </c>
      <c r="AD3845" s="0" t="str">
        <f aca="false">IF(Y3845=1,"",IF(AND(Z3845=1,AB3845&lt;&gt;1),1,0))</f>
        <v/>
      </c>
      <c r="AE3845" s="0" t="str">
        <f aca="false">IF(Y3845=1,"",IF(AND(AA3845=1,AC3845&lt;&gt;1),1,0))</f>
        <v/>
      </c>
      <c r="AF3845" s="45" t="str">
        <f aca="false">IF(AND(E3845&gt;0,Y3845&lt;1,NOT(AND(C3846=C3845,Y3846=Y3845+1))),INDEX(DATAS,Y3845+1),"")</f>
        <v/>
      </c>
      <c r="AG3845" s="45" t="str">
        <f aca="false">IF(AND(AA3845=1,Y3845&lt;1),IF(AND(C3846=C3845,Y3846=Y3845+1),IF(AA3846=1,"",INDEX(DATAS,Y3845+1)),INDEX(DATAS,Y3845+1)),"")</f>
        <v/>
      </c>
    </row>
    <row r="3846" customFormat="false" ht="15" hidden="false" customHeight="false" outlineLevel="0" collapsed="false">
      <c r="A3846" s="45" t="n">
        <v>46309</v>
      </c>
      <c r="B3846" s="0" t="n">
        <v>15</v>
      </c>
      <c r="C3846" s="0" t="n">
        <v>30620</v>
      </c>
      <c r="E3846" s="0" t="n">
        <v>0</v>
      </c>
      <c r="F3846" s="39" t="s">
        <v>1466</v>
      </c>
      <c r="I3846" s="39" t="s">
        <v>107</v>
      </c>
      <c r="U3846" s="0" t="n">
        <v>201</v>
      </c>
      <c r="V3846" s="0" t="n">
        <v>0</v>
      </c>
      <c r="W3846" s="39" t="n">
        <f aca="false">IF(I3846="Male",0,1)</f>
        <v>0</v>
      </c>
      <c r="X3846" s="39" t="n">
        <f aca="false">IF(OR(I3846="DNB",I3846="Dry DNB"),1,0)</f>
        <v>0</v>
      </c>
      <c r="Y3846" s="39" t="n">
        <f aca="false">MATCH(A3846,DATAS,0)</f>
        <v>1</v>
      </c>
      <c r="Z3846" s="39" t="n">
        <f aca="false">IF(AND(E3846&gt;0,OR(AND(B3846&gt;=1,B3846&lt;=6),B3846=10)),1,0)</f>
        <v>0</v>
      </c>
      <c r="AA3846" s="39" t="n">
        <f aca="false">IF(AND(E3846&gt;0,B3846=10),1,0)</f>
        <v>0</v>
      </c>
      <c r="AB3846" s="0" t="str">
        <f aca="false">IF(AND(C3845=C3846,Y3845=Y3846-1),Z3845,"")</f>
        <v/>
      </c>
      <c r="AC3846" s="0" t="str">
        <f aca="false">IF(AND(C3845=C3846,Y3845=Y3846-1),AA3845,"")</f>
        <v/>
      </c>
      <c r="AD3846" s="0" t="str">
        <f aca="false">IF(Y3846=1,"",IF(AND(Z3846=1,AB3846&lt;&gt;1),1,0))</f>
        <v/>
      </c>
      <c r="AE3846" s="0" t="str">
        <f aca="false">IF(Y3846=1,"",IF(AND(AA3846=1,AC3846&lt;&gt;1),1,0))</f>
        <v/>
      </c>
      <c r="AF3846" s="45" t="str">
        <f aca="false">IF(AND(E3846&gt;0,Y3846&lt;1,NOT(AND(C3847=C3846,Y3847=Y3846+1))),INDEX(DATAS,Y3846+1),"")</f>
        <v/>
      </c>
      <c r="AG3846" s="45" t="str">
        <f aca="false">IF(AND(AA3846=1,Y3846&lt;1),IF(AND(C3847=C3846,Y3847=Y3846+1),IF(AA3847=1,"",INDEX(DATAS,Y3846+1)),INDEX(DATAS,Y3846+1)),"")</f>
        <v/>
      </c>
    </row>
    <row r="3847" customFormat="false" ht="15" hidden="false" customHeight="false" outlineLevel="0" collapsed="false">
      <c r="A3847" s="45" t="n">
        <v>46309</v>
      </c>
      <c r="B3847" s="0" t="n">
        <v>15</v>
      </c>
      <c r="C3847" s="0" t="n">
        <v>30621</v>
      </c>
      <c r="E3847" s="0" t="n">
        <v>0</v>
      </c>
      <c r="F3847" s="39" t="s">
        <v>1467</v>
      </c>
      <c r="I3847" s="39" t="s">
        <v>107</v>
      </c>
      <c r="U3847" s="0" t="n">
        <v>200</v>
      </c>
      <c r="V3847" s="0" t="n">
        <v>0</v>
      </c>
      <c r="W3847" s="39" t="n">
        <f aca="false">IF(I3847="Male",0,1)</f>
        <v>0</v>
      </c>
      <c r="X3847" s="39" t="n">
        <f aca="false">IF(OR(I3847="DNB",I3847="Dry DNB"),1,0)</f>
        <v>0</v>
      </c>
      <c r="Y3847" s="39" t="n">
        <f aca="false">MATCH(A3847,DATAS,0)</f>
        <v>1</v>
      </c>
      <c r="Z3847" s="39" t="n">
        <f aca="false">IF(AND(E3847&gt;0,OR(AND(B3847&gt;=1,B3847&lt;=6),B3847=10)),1,0)</f>
        <v>0</v>
      </c>
      <c r="AA3847" s="39" t="n">
        <f aca="false">IF(AND(E3847&gt;0,B3847=10),1,0)</f>
        <v>0</v>
      </c>
      <c r="AB3847" s="0" t="str">
        <f aca="false">IF(AND(C3846=C3847,Y3846=Y3847-1),Z3846,"")</f>
        <v/>
      </c>
      <c r="AC3847" s="0" t="str">
        <f aca="false">IF(AND(C3846=C3847,Y3846=Y3847-1),AA3846,"")</f>
        <v/>
      </c>
      <c r="AD3847" s="0" t="str">
        <f aca="false">IF(Y3847=1,"",IF(AND(Z3847=1,AB3847&lt;&gt;1),1,0))</f>
        <v/>
      </c>
      <c r="AE3847" s="0" t="str">
        <f aca="false">IF(Y3847=1,"",IF(AND(AA3847=1,AC3847&lt;&gt;1),1,0))</f>
        <v/>
      </c>
      <c r="AF3847" s="45" t="str">
        <f aca="false">IF(AND(E3847&gt;0,Y3847&lt;1,NOT(AND(C3848=C3847,Y3848=Y3847+1))),INDEX(DATAS,Y3847+1),"")</f>
        <v/>
      </c>
      <c r="AG3847" s="45" t="str">
        <f aca="false">IF(AND(AA3847=1,Y3847&lt;1),IF(AND(C3848=C3847,Y3848=Y3847+1),IF(AA3848=1,"",INDEX(DATAS,Y3847+1)),INDEX(DATAS,Y3847+1)),"")</f>
        <v/>
      </c>
    </row>
    <row r="3848" customFormat="false" ht="15" hidden="false" customHeight="false" outlineLevel="0" collapsed="false">
      <c r="A3848" s="45" t="n">
        <v>46309</v>
      </c>
      <c r="B3848" s="0" t="n">
        <v>15</v>
      </c>
      <c r="C3848" s="0" t="n">
        <v>30626</v>
      </c>
      <c r="E3848" s="0" t="n">
        <v>0</v>
      </c>
      <c r="F3848" s="39" t="s">
        <v>1471</v>
      </c>
      <c r="I3848" s="39" t="s">
        <v>107</v>
      </c>
      <c r="U3848" s="0" t="n">
        <v>196</v>
      </c>
      <c r="V3848" s="0" t="n">
        <v>0</v>
      </c>
      <c r="W3848" s="39" t="n">
        <f aca="false">IF(I3848="Male",0,1)</f>
        <v>0</v>
      </c>
      <c r="X3848" s="39" t="n">
        <f aca="false">IF(OR(I3848="DNB",I3848="Dry DNB"),1,0)</f>
        <v>0</v>
      </c>
      <c r="Y3848" s="39" t="n">
        <f aca="false">MATCH(A3848,DATAS,0)</f>
        <v>1</v>
      </c>
      <c r="Z3848" s="39" t="n">
        <f aca="false">IF(AND(E3848&gt;0,OR(AND(B3848&gt;=1,B3848&lt;=6),B3848=10)),1,0)</f>
        <v>0</v>
      </c>
      <c r="AA3848" s="39" t="n">
        <f aca="false">IF(AND(E3848&gt;0,B3848=10),1,0)</f>
        <v>0</v>
      </c>
      <c r="AB3848" s="0" t="str">
        <f aca="false">IF(AND(C3847=C3848,Y3847=Y3848-1),Z3847,"")</f>
        <v/>
      </c>
      <c r="AC3848" s="0" t="str">
        <f aca="false">IF(AND(C3847=C3848,Y3847=Y3848-1),AA3847,"")</f>
        <v/>
      </c>
      <c r="AD3848" s="0" t="str">
        <f aca="false">IF(Y3848=1,"",IF(AND(Z3848=1,AB3848&lt;&gt;1),1,0))</f>
        <v/>
      </c>
      <c r="AE3848" s="0" t="str">
        <f aca="false">IF(Y3848=1,"",IF(AND(AA3848=1,AC3848&lt;&gt;1),1,0))</f>
        <v/>
      </c>
      <c r="AF3848" s="45" t="str">
        <f aca="false">IF(AND(E3848&gt;0,Y3848&lt;1,NOT(AND(C3849=C3848,Y3849=Y3848+1))),INDEX(DATAS,Y3848+1),"")</f>
        <v/>
      </c>
      <c r="AG3848" s="45" t="str">
        <f aca="false">IF(AND(AA3848=1,Y3848&lt;1),IF(AND(C3849=C3848,Y3849=Y3848+1),IF(AA3849=1,"",INDEX(DATAS,Y3848+1)),INDEX(DATAS,Y3848+1)),"")</f>
        <v/>
      </c>
    </row>
    <row r="3849" customFormat="false" ht="15" hidden="false" customHeight="false" outlineLevel="0" collapsed="false">
      <c r="A3849" s="45" t="n">
        <v>46309</v>
      </c>
      <c r="B3849" s="0" t="n">
        <v>15</v>
      </c>
      <c r="C3849" s="0" t="n">
        <v>30630</v>
      </c>
      <c r="E3849" s="0" t="n">
        <v>0</v>
      </c>
      <c r="F3849" s="39" t="s">
        <v>1472</v>
      </c>
      <c r="I3849" s="39" t="s">
        <v>107</v>
      </c>
      <c r="U3849" s="0" t="n">
        <v>195</v>
      </c>
      <c r="V3849" s="0" t="n">
        <v>0</v>
      </c>
      <c r="W3849" s="39" t="n">
        <f aca="false">IF(I3849="Male",0,1)</f>
        <v>0</v>
      </c>
      <c r="X3849" s="39" t="n">
        <f aca="false">IF(OR(I3849="DNB",I3849="Dry DNB"),1,0)</f>
        <v>0</v>
      </c>
      <c r="Y3849" s="39" t="n">
        <f aca="false">MATCH(A3849,DATAS,0)</f>
        <v>1</v>
      </c>
      <c r="Z3849" s="39" t="n">
        <f aca="false">IF(AND(E3849&gt;0,OR(AND(B3849&gt;=1,B3849&lt;=6),B3849=10)),1,0)</f>
        <v>0</v>
      </c>
      <c r="AA3849" s="39" t="n">
        <f aca="false">IF(AND(E3849&gt;0,B3849=10),1,0)</f>
        <v>0</v>
      </c>
      <c r="AB3849" s="0" t="str">
        <f aca="false">IF(AND(C3848=C3849,Y3848=Y3849-1),Z3848,"")</f>
        <v/>
      </c>
      <c r="AC3849" s="0" t="str">
        <f aca="false">IF(AND(C3848=C3849,Y3848=Y3849-1),AA3848,"")</f>
        <v/>
      </c>
      <c r="AD3849" s="0" t="str">
        <f aca="false">IF(Y3849=1,"",IF(AND(Z3849=1,AB3849&lt;&gt;1),1,0))</f>
        <v/>
      </c>
      <c r="AE3849" s="0" t="str">
        <f aca="false">IF(Y3849=1,"",IF(AND(AA3849=1,AC3849&lt;&gt;1),1,0))</f>
        <v/>
      </c>
      <c r="AF3849" s="45" t="str">
        <f aca="false">IF(AND(E3849&gt;0,Y3849&lt;1,NOT(AND(C3850=C3849,Y3850=Y3849+1))),INDEX(DATAS,Y3849+1),"")</f>
        <v/>
      </c>
      <c r="AG3849" s="45" t="str">
        <f aca="false">IF(AND(AA3849=1,Y3849&lt;1),IF(AND(C3850=C3849,Y3850=Y3849+1),IF(AA3850=1,"",INDEX(DATAS,Y3849+1)),INDEX(DATAS,Y3849+1)),"")</f>
        <v/>
      </c>
    </row>
    <row r="3850" customFormat="false" ht="15" hidden="false" customHeight="false" outlineLevel="0" collapsed="false">
      <c r="A3850" s="45" t="n">
        <v>46309</v>
      </c>
      <c r="B3850" s="0" t="n">
        <v>15</v>
      </c>
      <c r="C3850" s="0" t="n">
        <v>30643</v>
      </c>
      <c r="E3850" s="0" t="n">
        <v>0</v>
      </c>
      <c r="F3850" s="39" t="s">
        <v>1476</v>
      </c>
      <c r="I3850" s="39" t="s">
        <v>107</v>
      </c>
      <c r="U3850" s="0" t="n">
        <v>191</v>
      </c>
      <c r="V3850" s="0" t="n">
        <v>0</v>
      </c>
      <c r="W3850" s="39" t="n">
        <f aca="false">IF(I3850="Male",0,1)</f>
        <v>0</v>
      </c>
      <c r="X3850" s="39" t="n">
        <f aca="false">IF(OR(I3850="DNB",I3850="Dry DNB"),1,0)</f>
        <v>0</v>
      </c>
      <c r="Y3850" s="39" t="n">
        <f aca="false">MATCH(A3850,DATAS,0)</f>
        <v>1</v>
      </c>
      <c r="Z3850" s="39" t="n">
        <f aca="false">IF(AND(E3850&gt;0,OR(AND(B3850&gt;=1,B3850&lt;=6),B3850=10)),1,0)</f>
        <v>0</v>
      </c>
      <c r="AA3850" s="39" t="n">
        <f aca="false">IF(AND(E3850&gt;0,B3850=10),1,0)</f>
        <v>0</v>
      </c>
      <c r="AB3850" s="0" t="str">
        <f aca="false">IF(AND(C3849=C3850,Y3849=Y3850-1),Z3849,"")</f>
        <v/>
      </c>
      <c r="AC3850" s="0" t="str">
        <f aca="false">IF(AND(C3849=C3850,Y3849=Y3850-1),AA3849,"")</f>
        <v/>
      </c>
      <c r="AD3850" s="0" t="str">
        <f aca="false">IF(Y3850=1,"",IF(AND(Z3850=1,AB3850&lt;&gt;1),1,0))</f>
        <v/>
      </c>
      <c r="AE3850" s="0" t="str">
        <f aca="false">IF(Y3850=1,"",IF(AND(AA3850=1,AC3850&lt;&gt;1),1,0))</f>
        <v/>
      </c>
      <c r="AF3850" s="45" t="str">
        <f aca="false">IF(AND(E3850&gt;0,Y3850&lt;1,NOT(AND(C3851=C3850,Y3851=Y3850+1))),INDEX(DATAS,Y3850+1),"")</f>
        <v/>
      </c>
      <c r="AG3850" s="45" t="str">
        <f aca="false">IF(AND(AA3850=1,Y3850&lt;1),IF(AND(C3851=C3850,Y3851=Y3850+1),IF(AA3851=1,"",INDEX(DATAS,Y3850+1)),INDEX(DATAS,Y3850+1)),"")</f>
        <v/>
      </c>
    </row>
    <row r="3851" customFormat="false" ht="15" hidden="false" customHeight="false" outlineLevel="0" collapsed="false">
      <c r="A3851" s="45" t="n">
        <v>46309</v>
      </c>
      <c r="B3851" s="0" t="n">
        <v>15</v>
      </c>
      <c r="C3851" s="0" t="n">
        <v>30644</v>
      </c>
      <c r="E3851" s="0" t="n">
        <v>0</v>
      </c>
      <c r="F3851" s="39" t="s">
        <v>1477</v>
      </c>
      <c r="I3851" s="39" t="s">
        <v>107</v>
      </c>
      <c r="U3851" s="0" t="n">
        <v>190</v>
      </c>
      <c r="V3851" s="0" t="n">
        <v>0</v>
      </c>
      <c r="W3851" s="39" t="n">
        <f aca="false">IF(I3851="Male",0,1)</f>
        <v>0</v>
      </c>
      <c r="X3851" s="39" t="n">
        <f aca="false">IF(OR(I3851="DNB",I3851="Dry DNB"),1,0)</f>
        <v>0</v>
      </c>
      <c r="Y3851" s="39" t="n">
        <f aca="false">MATCH(A3851,DATAS,0)</f>
        <v>1</v>
      </c>
      <c r="Z3851" s="39" t="n">
        <f aca="false">IF(AND(E3851&gt;0,OR(AND(B3851&gt;=1,B3851&lt;=6),B3851=10)),1,0)</f>
        <v>0</v>
      </c>
      <c r="AA3851" s="39" t="n">
        <f aca="false">IF(AND(E3851&gt;0,B3851=10),1,0)</f>
        <v>0</v>
      </c>
      <c r="AB3851" s="0" t="str">
        <f aca="false">IF(AND(C3850=C3851,Y3850=Y3851-1),Z3850,"")</f>
        <v/>
      </c>
      <c r="AC3851" s="0" t="str">
        <f aca="false">IF(AND(C3850=C3851,Y3850=Y3851-1),AA3850,"")</f>
        <v/>
      </c>
      <c r="AD3851" s="0" t="str">
        <f aca="false">IF(Y3851=1,"",IF(AND(Z3851=1,AB3851&lt;&gt;1),1,0))</f>
        <v/>
      </c>
      <c r="AE3851" s="0" t="str">
        <f aca="false">IF(Y3851=1,"",IF(AND(AA3851=1,AC3851&lt;&gt;1),1,0))</f>
        <v/>
      </c>
      <c r="AF3851" s="45" t="str">
        <f aca="false">IF(AND(E3851&gt;0,Y3851&lt;1,NOT(AND(C3852=C3851,Y3852=Y3851+1))),INDEX(DATAS,Y3851+1),"")</f>
        <v/>
      </c>
      <c r="AG3851" s="45" t="str">
        <f aca="false">IF(AND(AA3851=1,Y3851&lt;1),IF(AND(C3852=C3851,Y3852=Y3851+1),IF(AA3852=1,"",INDEX(DATAS,Y3851+1)),INDEX(DATAS,Y3851+1)),"")</f>
        <v/>
      </c>
    </row>
    <row r="3852" customFormat="false" ht="15" hidden="false" customHeight="false" outlineLevel="0" collapsed="false">
      <c r="A3852" s="45" t="n">
        <v>46309</v>
      </c>
      <c r="B3852" s="0" t="n">
        <v>15</v>
      </c>
      <c r="C3852" s="0" t="n">
        <v>30645</v>
      </c>
      <c r="E3852" s="0" t="n">
        <v>0</v>
      </c>
      <c r="F3852" s="39" t="s">
        <v>1477</v>
      </c>
      <c r="I3852" s="39" t="s">
        <v>107</v>
      </c>
      <c r="U3852" s="0" t="n">
        <v>190</v>
      </c>
      <c r="V3852" s="0" t="n">
        <v>0</v>
      </c>
      <c r="W3852" s="39" t="n">
        <f aca="false">IF(I3852="Male",0,1)</f>
        <v>0</v>
      </c>
      <c r="X3852" s="39" t="n">
        <f aca="false">IF(OR(I3852="DNB",I3852="Dry DNB"),1,0)</f>
        <v>0</v>
      </c>
      <c r="Y3852" s="39" t="n">
        <f aca="false">MATCH(A3852,DATAS,0)</f>
        <v>1</v>
      </c>
      <c r="Z3852" s="39" t="n">
        <f aca="false">IF(AND(E3852&gt;0,OR(AND(B3852&gt;=1,B3852&lt;=6),B3852=10)),1,0)</f>
        <v>0</v>
      </c>
      <c r="AA3852" s="39" t="n">
        <f aca="false">IF(AND(E3852&gt;0,B3852=10),1,0)</f>
        <v>0</v>
      </c>
      <c r="AB3852" s="0" t="str">
        <f aca="false">IF(AND(C3851=C3852,Y3851=Y3852-1),Z3851,"")</f>
        <v/>
      </c>
      <c r="AC3852" s="0" t="str">
        <f aca="false">IF(AND(C3851=C3852,Y3851=Y3852-1),AA3851,"")</f>
        <v/>
      </c>
      <c r="AD3852" s="0" t="str">
        <f aca="false">IF(Y3852=1,"",IF(AND(Z3852=1,AB3852&lt;&gt;1),1,0))</f>
        <v/>
      </c>
      <c r="AE3852" s="0" t="str">
        <f aca="false">IF(Y3852=1,"",IF(AND(AA3852=1,AC3852&lt;&gt;1),1,0))</f>
        <v/>
      </c>
      <c r="AF3852" s="45" t="str">
        <f aca="false">IF(AND(E3852&gt;0,Y3852&lt;1,NOT(AND(C3853=C3852,Y3853=Y3852+1))),INDEX(DATAS,Y3852+1),"")</f>
        <v/>
      </c>
      <c r="AG3852" s="45" t="str">
        <f aca="false">IF(AND(AA3852=1,Y3852&lt;1),IF(AND(C3853=C3852,Y3853=Y3852+1),IF(AA3853=1,"",INDEX(DATAS,Y3852+1)),INDEX(DATAS,Y3852+1)),"")</f>
        <v/>
      </c>
    </row>
    <row r="3853" customFormat="false" ht="15" hidden="false" customHeight="false" outlineLevel="0" collapsed="false">
      <c r="A3853" s="45" t="n">
        <v>46309</v>
      </c>
      <c r="B3853" s="0" t="n">
        <v>15</v>
      </c>
      <c r="C3853" s="0" t="n">
        <v>30647</v>
      </c>
      <c r="E3853" s="0" t="n">
        <v>0</v>
      </c>
      <c r="F3853" s="39" t="s">
        <v>1479</v>
      </c>
      <c r="I3853" s="39" t="s">
        <v>107</v>
      </c>
      <c r="U3853" s="0" t="n">
        <v>188</v>
      </c>
      <c r="V3853" s="0" t="n">
        <v>0</v>
      </c>
      <c r="W3853" s="39" t="n">
        <f aca="false">IF(I3853="Male",0,1)</f>
        <v>0</v>
      </c>
      <c r="X3853" s="39" t="n">
        <f aca="false">IF(OR(I3853="DNB",I3853="Dry DNB"),1,0)</f>
        <v>0</v>
      </c>
      <c r="Y3853" s="39" t="n">
        <f aca="false">MATCH(A3853,DATAS,0)</f>
        <v>1</v>
      </c>
      <c r="Z3853" s="39" t="n">
        <f aca="false">IF(AND(E3853&gt;0,OR(AND(B3853&gt;=1,B3853&lt;=6),B3853=10)),1,0)</f>
        <v>0</v>
      </c>
      <c r="AA3853" s="39" t="n">
        <f aca="false">IF(AND(E3853&gt;0,B3853=10),1,0)</f>
        <v>0</v>
      </c>
      <c r="AB3853" s="0" t="str">
        <f aca="false">IF(AND(C3852=C3853,Y3852=Y3853-1),Z3852,"")</f>
        <v/>
      </c>
      <c r="AC3853" s="0" t="str">
        <f aca="false">IF(AND(C3852=C3853,Y3852=Y3853-1),AA3852,"")</f>
        <v/>
      </c>
      <c r="AD3853" s="0" t="str">
        <f aca="false">IF(Y3853=1,"",IF(AND(Z3853=1,AB3853&lt;&gt;1),1,0))</f>
        <v/>
      </c>
      <c r="AE3853" s="0" t="str">
        <f aca="false">IF(Y3853=1,"",IF(AND(AA3853=1,AC3853&lt;&gt;1),1,0))</f>
        <v/>
      </c>
      <c r="AF3853" s="45" t="str">
        <f aca="false">IF(AND(E3853&gt;0,Y3853&lt;1,NOT(AND(C3854=C3853,Y3854=Y3853+1))),INDEX(DATAS,Y3853+1),"")</f>
        <v/>
      </c>
      <c r="AG3853" s="45" t="str">
        <f aca="false">IF(AND(AA3853=1,Y3853&lt;1),IF(AND(C3854=C3853,Y3854=Y3853+1),IF(AA3854=1,"",INDEX(DATAS,Y3853+1)),INDEX(DATAS,Y3853+1)),"")</f>
        <v/>
      </c>
    </row>
    <row r="3854" customFormat="false" ht="15" hidden="false" customHeight="false" outlineLevel="0" collapsed="false">
      <c r="A3854" s="45" t="n">
        <v>46309</v>
      </c>
      <c r="B3854" s="0" t="n">
        <v>15</v>
      </c>
      <c r="C3854" s="0" t="n">
        <v>30653</v>
      </c>
      <c r="E3854" s="0" t="n">
        <v>0</v>
      </c>
      <c r="F3854" s="39" t="s">
        <v>1482</v>
      </c>
      <c r="I3854" s="39" t="s">
        <v>107</v>
      </c>
      <c r="U3854" s="0" t="n">
        <v>185</v>
      </c>
      <c r="V3854" s="0" t="n">
        <v>0</v>
      </c>
      <c r="W3854" s="39" t="n">
        <f aca="false">IF(I3854="Male",0,1)</f>
        <v>0</v>
      </c>
      <c r="X3854" s="39" t="n">
        <f aca="false">IF(OR(I3854="DNB",I3854="Dry DNB"),1,0)</f>
        <v>0</v>
      </c>
      <c r="Y3854" s="39" t="n">
        <f aca="false">MATCH(A3854,DATAS,0)</f>
        <v>1</v>
      </c>
      <c r="Z3854" s="39" t="n">
        <f aca="false">IF(AND(E3854&gt;0,OR(AND(B3854&gt;=1,B3854&lt;=6),B3854=10)),1,0)</f>
        <v>0</v>
      </c>
      <c r="AA3854" s="39" t="n">
        <f aca="false">IF(AND(E3854&gt;0,B3854=10),1,0)</f>
        <v>0</v>
      </c>
      <c r="AB3854" s="0" t="str">
        <f aca="false">IF(AND(C3853=C3854,Y3853=Y3854-1),Z3853,"")</f>
        <v/>
      </c>
      <c r="AC3854" s="0" t="str">
        <f aca="false">IF(AND(C3853=C3854,Y3853=Y3854-1),AA3853,"")</f>
        <v/>
      </c>
      <c r="AD3854" s="0" t="str">
        <f aca="false">IF(Y3854=1,"",IF(AND(Z3854=1,AB3854&lt;&gt;1),1,0))</f>
        <v/>
      </c>
      <c r="AE3854" s="0" t="str">
        <f aca="false">IF(Y3854=1,"",IF(AND(AA3854=1,AC3854&lt;&gt;1),1,0))</f>
        <v/>
      </c>
      <c r="AF3854" s="45" t="str">
        <f aca="false">IF(AND(E3854&gt;0,Y3854&lt;1,NOT(AND(C3855=C3854,Y3855=Y3854+1))),INDEX(DATAS,Y3854+1),"")</f>
        <v/>
      </c>
      <c r="AG3854" s="45" t="str">
        <f aca="false">IF(AND(AA3854=1,Y3854&lt;1),IF(AND(C3855=C3854,Y3855=Y3854+1),IF(AA3855=1,"",INDEX(DATAS,Y3854+1)),INDEX(DATAS,Y3854+1)),"")</f>
        <v/>
      </c>
    </row>
    <row r="3855" customFormat="false" ht="15" hidden="false" customHeight="false" outlineLevel="0" collapsed="false">
      <c r="A3855" s="45" t="n">
        <v>46309</v>
      </c>
      <c r="B3855" s="0" t="n">
        <v>15</v>
      </c>
      <c r="C3855" s="0" t="n">
        <v>30655</v>
      </c>
      <c r="E3855" s="0" t="n">
        <v>0</v>
      </c>
      <c r="F3855" s="39" t="s">
        <v>1482</v>
      </c>
      <c r="I3855" s="39" t="s">
        <v>107</v>
      </c>
      <c r="U3855" s="0" t="n">
        <v>185</v>
      </c>
      <c r="V3855" s="0" t="n">
        <v>0</v>
      </c>
      <c r="W3855" s="39" t="n">
        <f aca="false">IF(I3855="Male",0,1)</f>
        <v>0</v>
      </c>
      <c r="X3855" s="39" t="n">
        <f aca="false">IF(OR(I3855="DNB",I3855="Dry DNB"),1,0)</f>
        <v>0</v>
      </c>
      <c r="Y3855" s="39" t="n">
        <f aca="false">MATCH(A3855,DATAS,0)</f>
        <v>1</v>
      </c>
      <c r="Z3855" s="39" t="n">
        <f aca="false">IF(AND(E3855&gt;0,OR(AND(B3855&gt;=1,B3855&lt;=6),B3855=10)),1,0)</f>
        <v>0</v>
      </c>
      <c r="AA3855" s="39" t="n">
        <f aca="false">IF(AND(E3855&gt;0,B3855=10),1,0)</f>
        <v>0</v>
      </c>
      <c r="AB3855" s="0" t="str">
        <f aca="false">IF(AND(C3854=C3855,Y3854=Y3855-1),Z3854,"")</f>
        <v/>
      </c>
      <c r="AC3855" s="0" t="str">
        <f aca="false">IF(AND(C3854=C3855,Y3854=Y3855-1),AA3854,"")</f>
        <v/>
      </c>
      <c r="AD3855" s="0" t="str">
        <f aca="false">IF(Y3855=1,"",IF(AND(Z3855=1,AB3855&lt;&gt;1),1,0))</f>
        <v/>
      </c>
      <c r="AE3855" s="0" t="str">
        <f aca="false">IF(Y3855=1,"",IF(AND(AA3855=1,AC3855&lt;&gt;1),1,0))</f>
        <v/>
      </c>
      <c r="AF3855" s="45" t="str">
        <f aca="false">IF(AND(E3855&gt;0,Y3855&lt;1,NOT(AND(C3856=C3855,Y3856=Y3855+1))),INDEX(DATAS,Y3855+1),"")</f>
        <v/>
      </c>
      <c r="AG3855" s="45" t="str">
        <f aca="false">IF(AND(AA3855=1,Y3855&lt;1),IF(AND(C3856=C3855,Y3856=Y3855+1),IF(AA3856=1,"",INDEX(DATAS,Y3855+1)),INDEX(DATAS,Y3855+1)),"")</f>
        <v/>
      </c>
    </row>
    <row r="3856" customFormat="false" ht="15" hidden="false" customHeight="false" outlineLevel="0" collapsed="false">
      <c r="A3856" s="45" t="n">
        <v>46309</v>
      </c>
      <c r="B3856" s="0" t="n">
        <v>15</v>
      </c>
      <c r="C3856" s="0" t="n">
        <v>30659</v>
      </c>
      <c r="E3856" s="0" t="n">
        <v>0</v>
      </c>
      <c r="F3856" s="39" t="s">
        <v>1483</v>
      </c>
      <c r="I3856" s="39" t="s">
        <v>107</v>
      </c>
      <c r="U3856" s="0" t="n">
        <v>184</v>
      </c>
      <c r="V3856" s="0" t="n">
        <v>0</v>
      </c>
      <c r="W3856" s="39" t="n">
        <f aca="false">IF(I3856="Male",0,1)</f>
        <v>0</v>
      </c>
      <c r="X3856" s="39" t="n">
        <f aca="false">IF(OR(I3856="DNB",I3856="Dry DNB"),1,0)</f>
        <v>0</v>
      </c>
      <c r="Y3856" s="39" t="n">
        <f aca="false">MATCH(A3856,DATAS,0)</f>
        <v>1</v>
      </c>
      <c r="Z3856" s="39" t="n">
        <f aca="false">IF(AND(E3856&gt;0,OR(AND(B3856&gt;=1,B3856&lt;=6),B3856=10)),1,0)</f>
        <v>0</v>
      </c>
      <c r="AA3856" s="39" t="n">
        <f aca="false">IF(AND(E3856&gt;0,B3856=10),1,0)</f>
        <v>0</v>
      </c>
      <c r="AB3856" s="0" t="str">
        <f aca="false">IF(AND(C3855=C3856,Y3855=Y3856-1),Z3855,"")</f>
        <v/>
      </c>
      <c r="AC3856" s="0" t="str">
        <f aca="false">IF(AND(C3855=C3856,Y3855=Y3856-1),AA3855,"")</f>
        <v/>
      </c>
      <c r="AD3856" s="0" t="str">
        <f aca="false">IF(Y3856=1,"",IF(AND(Z3856=1,AB3856&lt;&gt;1),1,0))</f>
        <v/>
      </c>
      <c r="AE3856" s="0" t="str">
        <f aca="false">IF(Y3856=1,"",IF(AND(AA3856=1,AC3856&lt;&gt;1),1,0))</f>
        <v/>
      </c>
      <c r="AF3856" s="45" t="str">
        <f aca="false">IF(AND(E3856&gt;0,Y3856&lt;1,NOT(AND(C3857=C3856,Y3857=Y3856+1))),INDEX(DATAS,Y3856+1),"")</f>
        <v/>
      </c>
      <c r="AG3856" s="45" t="str">
        <f aca="false">IF(AND(AA3856=1,Y3856&lt;1),IF(AND(C3857=C3856,Y3857=Y3856+1),IF(AA3857=1,"",INDEX(DATAS,Y3856+1)),INDEX(DATAS,Y3856+1)),"")</f>
        <v/>
      </c>
    </row>
    <row r="3857" customFormat="false" ht="15" hidden="false" customHeight="false" outlineLevel="0" collapsed="false">
      <c r="A3857" s="45" t="n">
        <v>46309</v>
      </c>
      <c r="B3857" s="0" t="n">
        <v>15</v>
      </c>
      <c r="C3857" s="0" t="n">
        <v>30669</v>
      </c>
      <c r="E3857" s="0" t="n">
        <v>0</v>
      </c>
      <c r="F3857" s="39" t="s">
        <v>1485</v>
      </c>
      <c r="I3857" s="39" t="s">
        <v>107</v>
      </c>
      <c r="U3857" s="0" t="n">
        <v>182</v>
      </c>
      <c r="V3857" s="0" t="n">
        <v>0</v>
      </c>
      <c r="W3857" s="39" t="n">
        <f aca="false">IF(I3857="Male",0,1)</f>
        <v>0</v>
      </c>
      <c r="X3857" s="39" t="n">
        <f aca="false">IF(OR(I3857="DNB",I3857="Dry DNB"),1,0)</f>
        <v>0</v>
      </c>
      <c r="Y3857" s="39" t="n">
        <f aca="false">MATCH(A3857,DATAS,0)</f>
        <v>1</v>
      </c>
      <c r="Z3857" s="39" t="n">
        <f aca="false">IF(AND(E3857&gt;0,OR(AND(B3857&gt;=1,B3857&lt;=6),B3857=10)),1,0)</f>
        <v>0</v>
      </c>
      <c r="AA3857" s="39" t="n">
        <f aca="false">IF(AND(E3857&gt;0,B3857=10),1,0)</f>
        <v>0</v>
      </c>
      <c r="AB3857" s="0" t="str">
        <f aca="false">IF(AND(C3856=C3857,Y3856=Y3857-1),Z3856,"")</f>
        <v/>
      </c>
      <c r="AC3857" s="0" t="str">
        <f aca="false">IF(AND(C3856=C3857,Y3856=Y3857-1),AA3856,"")</f>
        <v/>
      </c>
      <c r="AD3857" s="0" t="str">
        <f aca="false">IF(Y3857=1,"",IF(AND(Z3857=1,AB3857&lt;&gt;1),1,0))</f>
        <v/>
      </c>
      <c r="AE3857" s="0" t="str">
        <f aca="false">IF(Y3857=1,"",IF(AND(AA3857=1,AC3857&lt;&gt;1),1,0))</f>
        <v/>
      </c>
      <c r="AF3857" s="45" t="str">
        <f aca="false">IF(AND(E3857&gt;0,Y3857&lt;1,NOT(AND(C3858=C3857,Y3858=Y3857+1))),INDEX(DATAS,Y3857+1),"")</f>
        <v/>
      </c>
      <c r="AG3857" s="45" t="str">
        <f aca="false">IF(AND(AA3857=1,Y3857&lt;1),IF(AND(C3858=C3857,Y3858=Y3857+1),IF(AA3858=1,"",INDEX(DATAS,Y3857+1)),INDEX(DATAS,Y3857+1)),"")</f>
        <v/>
      </c>
    </row>
    <row r="3858" customFormat="false" ht="15" hidden="false" customHeight="false" outlineLevel="0" collapsed="false">
      <c r="A3858" s="45" t="n">
        <v>46309</v>
      </c>
      <c r="B3858" s="0" t="n">
        <v>15</v>
      </c>
      <c r="C3858" s="0" t="n">
        <v>30672</v>
      </c>
      <c r="E3858" s="0" t="n">
        <v>0</v>
      </c>
      <c r="F3858" s="39" t="s">
        <v>1489</v>
      </c>
      <c r="I3858" s="39" t="s">
        <v>107</v>
      </c>
      <c r="U3858" s="0" t="n">
        <v>178</v>
      </c>
      <c r="V3858" s="0" t="n">
        <v>0</v>
      </c>
      <c r="W3858" s="39" t="n">
        <f aca="false">IF(I3858="Male",0,1)</f>
        <v>0</v>
      </c>
      <c r="X3858" s="39" t="n">
        <f aca="false">IF(OR(I3858="DNB",I3858="Dry DNB"),1,0)</f>
        <v>0</v>
      </c>
      <c r="Y3858" s="39" t="n">
        <f aca="false">MATCH(A3858,DATAS,0)</f>
        <v>1</v>
      </c>
      <c r="Z3858" s="39" t="n">
        <f aca="false">IF(AND(E3858&gt;0,OR(AND(B3858&gt;=1,B3858&lt;=6),B3858=10)),1,0)</f>
        <v>0</v>
      </c>
      <c r="AA3858" s="39" t="n">
        <f aca="false">IF(AND(E3858&gt;0,B3858=10),1,0)</f>
        <v>0</v>
      </c>
      <c r="AB3858" s="0" t="str">
        <f aca="false">IF(AND(C3857=C3858,Y3857=Y3858-1),Z3857,"")</f>
        <v/>
      </c>
      <c r="AC3858" s="0" t="str">
        <f aca="false">IF(AND(C3857=C3858,Y3857=Y3858-1),AA3857,"")</f>
        <v/>
      </c>
      <c r="AD3858" s="0" t="str">
        <f aca="false">IF(Y3858=1,"",IF(AND(Z3858=1,AB3858&lt;&gt;1),1,0))</f>
        <v/>
      </c>
      <c r="AE3858" s="0" t="str">
        <f aca="false">IF(Y3858=1,"",IF(AND(AA3858=1,AC3858&lt;&gt;1),1,0))</f>
        <v/>
      </c>
      <c r="AF3858" s="45" t="str">
        <f aca="false">IF(AND(E3858&gt;0,Y3858&lt;1,NOT(AND(C3859=C3858,Y3859=Y3858+1))),INDEX(DATAS,Y3858+1),"")</f>
        <v/>
      </c>
      <c r="AG3858" s="45" t="str">
        <f aca="false">IF(AND(AA3858=1,Y3858&lt;1),IF(AND(C3859=C3858,Y3859=Y3858+1),IF(AA3859=1,"",INDEX(DATAS,Y3858+1)),INDEX(DATAS,Y3858+1)),"")</f>
        <v/>
      </c>
    </row>
    <row r="3859" customFormat="false" ht="15" hidden="false" customHeight="false" outlineLevel="0" collapsed="false">
      <c r="A3859" s="45" t="n">
        <v>46309</v>
      </c>
      <c r="B3859" s="0" t="n">
        <v>15</v>
      </c>
      <c r="C3859" s="0" t="n">
        <v>30682</v>
      </c>
      <c r="E3859" s="0" t="n">
        <v>0</v>
      </c>
      <c r="F3859" s="39" t="s">
        <v>1489</v>
      </c>
      <c r="I3859" s="39" t="s">
        <v>107</v>
      </c>
      <c r="U3859" s="0" t="n">
        <v>178</v>
      </c>
      <c r="V3859" s="0" t="n">
        <v>0</v>
      </c>
      <c r="W3859" s="39" t="n">
        <f aca="false">IF(I3859="Male",0,1)</f>
        <v>0</v>
      </c>
      <c r="X3859" s="39" t="n">
        <f aca="false">IF(OR(I3859="DNB",I3859="Dry DNB"),1,0)</f>
        <v>0</v>
      </c>
      <c r="Y3859" s="39" t="n">
        <f aca="false">MATCH(A3859,DATAS,0)</f>
        <v>1</v>
      </c>
      <c r="Z3859" s="39" t="n">
        <f aca="false">IF(AND(E3859&gt;0,OR(AND(B3859&gt;=1,B3859&lt;=6),B3859=10)),1,0)</f>
        <v>0</v>
      </c>
      <c r="AA3859" s="39" t="n">
        <f aca="false">IF(AND(E3859&gt;0,B3859=10),1,0)</f>
        <v>0</v>
      </c>
      <c r="AB3859" s="0" t="str">
        <f aca="false">IF(AND(C3858=C3859,Y3858=Y3859-1),Z3858,"")</f>
        <v/>
      </c>
      <c r="AC3859" s="0" t="str">
        <f aca="false">IF(AND(C3858=C3859,Y3858=Y3859-1),AA3858,"")</f>
        <v/>
      </c>
      <c r="AD3859" s="0" t="str">
        <f aca="false">IF(Y3859=1,"",IF(AND(Z3859=1,AB3859&lt;&gt;1),1,0))</f>
        <v/>
      </c>
      <c r="AE3859" s="0" t="str">
        <f aca="false">IF(Y3859=1,"",IF(AND(AA3859=1,AC3859&lt;&gt;1),1,0))</f>
        <v/>
      </c>
      <c r="AF3859" s="45" t="str">
        <f aca="false">IF(AND(E3859&gt;0,Y3859&lt;1,NOT(AND(C3860=C3859,Y3860=Y3859+1))),INDEX(DATAS,Y3859+1),"")</f>
        <v/>
      </c>
      <c r="AG3859" s="45" t="str">
        <f aca="false">IF(AND(AA3859=1,Y3859&lt;1),IF(AND(C3860=C3859,Y3860=Y3859+1),IF(AA3860=1,"",INDEX(DATAS,Y3859+1)),INDEX(DATAS,Y3859+1)),"")</f>
        <v/>
      </c>
    </row>
    <row r="3860" customFormat="false" ht="15" hidden="false" customHeight="false" outlineLevel="0" collapsed="false">
      <c r="A3860" s="45" t="n">
        <v>46309</v>
      </c>
      <c r="B3860" s="0" t="n">
        <v>15</v>
      </c>
      <c r="C3860" s="0" t="n">
        <v>30684</v>
      </c>
      <c r="E3860" s="0" t="n">
        <v>0</v>
      </c>
      <c r="F3860" s="39" t="s">
        <v>1490</v>
      </c>
      <c r="I3860" s="39" t="s">
        <v>107</v>
      </c>
      <c r="U3860" s="0" t="n">
        <v>177</v>
      </c>
      <c r="V3860" s="0" t="n">
        <v>0</v>
      </c>
      <c r="W3860" s="39" t="n">
        <f aca="false">IF(I3860="Male",0,1)</f>
        <v>0</v>
      </c>
      <c r="X3860" s="39" t="n">
        <f aca="false">IF(OR(I3860="DNB",I3860="Dry DNB"),1,0)</f>
        <v>0</v>
      </c>
      <c r="Y3860" s="39" t="n">
        <f aca="false">MATCH(A3860,DATAS,0)</f>
        <v>1</v>
      </c>
      <c r="Z3860" s="39" t="n">
        <f aca="false">IF(AND(E3860&gt;0,OR(AND(B3860&gt;=1,B3860&lt;=6),B3860=10)),1,0)</f>
        <v>0</v>
      </c>
      <c r="AA3860" s="39" t="n">
        <f aca="false">IF(AND(E3860&gt;0,B3860=10),1,0)</f>
        <v>0</v>
      </c>
      <c r="AB3860" s="0" t="str">
        <f aca="false">IF(AND(C3859=C3860,Y3859=Y3860-1),Z3859,"")</f>
        <v/>
      </c>
      <c r="AC3860" s="0" t="str">
        <f aca="false">IF(AND(C3859=C3860,Y3859=Y3860-1),AA3859,"")</f>
        <v/>
      </c>
      <c r="AD3860" s="0" t="str">
        <f aca="false">IF(Y3860=1,"",IF(AND(Z3860=1,AB3860&lt;&gt;1),1,0))</f>
        <v/>
      </c>
      <c r="AE3860" s="0" t="str">
        <f aca="false">IF(Y3860=1,"",IF(AND(AA3860=1,AC3860&lt;&gt;1),1,0))</f>
        <v/>
      </c>
      <c r="AF3860" s="45" t="str">
        <f aca="false">IF(AND(E3860&gt;0,Y3860&lt;1,NOT(AND(C3861=C3860,Y3861=Y3860+1))),INDEX(DATAS,Y3860+1),"")</f>
        <v/>
      </c>
      <c r="AG3860" s="45" t="str">
        <f aca="false">IF(AND(AA3860=1,Y3860&lt;1),IF(AND(C3861=C3860,Y3861=Y3860+1),IF(AA3861=1,"",INDEX(DATAS,Y3860+1)),INDEX(DATAS,Y3860+1)),"")</f>
        <v/>
      </c>
    </row>
    <row r="3861" customFormat="false" ht="15" hidden="false" customHeight="false" outlineLevel="0" collapsed="false">
      <c r="A3861" s="45" t="n">
        <v>46309</v>
      </c>
      <c r="B3861" s="0" t="n">
        <v>15</v>
      </c>
      <c r="C3861" s="0" t="n">
        <v>30688</v>
      </c>
      <c r="E3861" s="0" t="n">
        <v>0</v>
      </c>
      <c r="F3861" s="39" t="s">
        <v>1493</v>
      </c>
      <c r="I3861" s="39" t="s">
        <v>107</v>
      </c>
      <c r="U3861" s="0" t="n">
        <v>174</v>
      </c>
      <c r="V3861" s="0" t="n">
        <v>0</v>
      </c>
      <c r="W3861" s="39" t="n">
        <f aca="false">IF(I3861="Male",0,1)</f>
        <v>0</v>
      </c>
      <c r="X3861" s="39" t="n">
        <f aca="false">IF(OR(I3861="DNB",I3861="Dry DNB"),1,0)</f>
        <v>0</v>
      </c>
      <c r="Y3861" s="39" t="n">
        <f aca="false">MATCH(A3861,DATAS,0)</f>
        <v>1</v>
      </c>
      <c r="Z3861" s="39" t="n">
        <f aca="false">IF(AND(E3861&gt;0,OR(AND(B3861&gt;=1,B3861&lt;=6),B3861=10)),1,0)</f>
        <v>0</v>
      </c>
      <c r="AA3861" s="39" t="n">
        <f aca="false">IF(AND(E3861&gt;0,B3861=10),1,0)</f>
        <v>0</v>
      </c>
      <c r="AB3861" s="0" t="str">
        <f aca="false">IF(AND(C3860=C3861,Y3860=Y3861-1),Z3860,"")</f>
        <v/>
      </c>
      <c r="AC3861" s="0" t="str">
        <f aca="false">IF(AND(C3860=C3861,Y3860=Y3861-1),AA3860,"")</f>
        <v/>
      </c>
      <c r="AD3861" s="0" t="str">
        <f aca="false">IF(Y3861=1,"",IF(AND(Z3861=1,AB3861&lt;&gt;1),1,0))</f>
        <v/>
      </c>
      <c r="AE3861" s="0" t="str">
        <f aca="false">IF(Y3861=1,"",IF(AND(AA3861=1,AC3861&lt;&gt;1),1,0))</f>
        <v/>
      </c>
      <c r="AF3861" s="45" t="str">
        <f aca="false">IF(AND(E3861&gt;0,Y3861&lt;1,NOT(AND(C3862=C3861,Y3862=Y3861+1))),INDEX(DATAS,Y3861+1),"")</f>
        <v/>
      </c>
      <c r="AG3861" s="45" t="str">
        <f aca="false">IF(AND(AA3861=1,Y3861&lt;1),IF(AND(C3862=C3861,Y3862=Y3861+1),IF(AA3862=1,"",INDEX(DATAS,Y3861+1)),INDEX(DATAS,Y3861+1)),"")</f>
        <v/>
      </c>
    </row>
    <row r="3862" customFormat="false" ht="15" hidden="false" customHeight="false" outlineLevel="0" collapsed="false">
      <c r="A3862" s="45" t="n">
        <v>46309</v>
      </c>
      <c r="B3862" s="0" t="n">
        <v>15</v>
      </c>
      <c r="C3862" s="0" t="n">
        <v>30699</v>
      </c>
      <c r="E3862" s="0" t="n">
        <v>0</v>
      </c>
      <c r="F3862" s="39" t="s">
        <v>1495</v>
      </c>
      <c r="I3862" s="39" t="s">
        <v>107</v>
      </c>
      <c r="U3862" s="0" t="n">
        <v>171</v>
      </c>
      <c r="V3862" s="0" t="n">
        <v>0</v>
      </c>
      <c r="W3862" s="39" t="n">
        <f aca="false">IF(I3862="Male",0,1)</f>
        <v>0</v>
      </c>
      <c r="X3862" s="39" t="n">
        <f aca="false">IF(OR(I3862="DNB",I3862="Dry DNB"),1,0)</f>
        <v>0</v>
      </c>
      <c r="Y3862" s="39" t="n">
        <f aca="false">MATCH(A3862,DATAS,0)</f>
        <v>1</v>
      </c>
      <c r="Z3862" s="39" t="n">
        <f aca="false">IF(AND(E3862&gt;0,OR(AND(B3862&gt;=1,B3862&lt;=6),B3862=10)),1,0)</f>
        <v>0</v>
      </c>
      <c r="AA3862" s="39" t="n">
        <f aca="false">IF(AND(E3862&gt;0,B3862=10),1,0)</f>
        <v>0</v>
      </c>
      <c r="AB3862" s="0" t="str">
        <f aca="false">IF(AND(C3861=C3862,Y3861=Y3862-1),Z3861,"")</f>
        <v/>
      </c>
      <c r="AC3862" s="0" t="str">
        <f aca="false">IF(AND(C3861=C3862,Y3861=Y3862-1),AA3861,"")</f>
        <v/>
      </c>
      <c r="AD3862" s="0" t="str">
        <f aca="false">IF(Y3862=1,"",IF(AND(Z3862=1,AB3862&lt;&gt;1),1,0))</f>
        <v/>
      </c>
      <c r="AE3862" s="0" t="str">
        <f aca="false">IF(Y3862=1,"",IF(AND(AA3862=1,AC3862&lt;&gt;1),1,0))</f>
        <v/>
      </c>
      <c r="AF3862" s="45" t="str">
        <f aca="false">IF(AND(E3862&gt;0,Y3862&lt;1,NOT(AND(C3863=C3862,Y3863=Y3862+1))),INDEX(DATAS,Y3862+1),"")</f>
        <v/>
      </c>
      <c r="AG3862" s="45" t="str">
        <f aca="false">IF(AND(AA3862=1,Y3862&lt;1),IF(AND(C3863=C3862,Y3863=Y3862+1),IF(AA3863=1,"",INDEX(DATAS,Y3862+1)),INDEX(DATAS,Y3862+1)),"")</f>
        <v/>
      </c>
    </row>
    <row r="3863" customFormat="false" ht="15" hidden="false" customHeight="false" outlineLevel="0" collapsed="false">
      <c r="A3863" s="45" t="n">
        <v>46309</v>
      </c>
      <c r="B3863" s="0" t="n">
        <v>15</v>
      </c>
      <c r="C3863" s="0" t="n">
        <v>30706</v>
      </c>
      <c r="E3863" s="0" t="n">
        <v>0</v>
      </c>
      <c r="F3863" s="39" t="s">
        <v>1499</v>
      </c>
      <c r="I3863" s="39" t="s">
        <v>107</v>
      </c>
      <c r="U3863" s="0" t="n">
        <v>167</v>
      </c>
      <c r="V3863" s="0" t="n">
        <v>0</v>
      </c>
      <c r="W3863" s="39" t="n">
        <f aca="false">IF(I3863="Male",0,1)</f>
        <v>0</v>
      </c>
      <c r="X3863" s="39" t="n">
        <f aca="false">IF(OR(I3863="DNB",I3863="Dry DNB"),1,0)</f>
        <v>0</v>
      </c>
      <c r="Y3863" s="39" t="n">
        <f aca="false">MATCH(A3863,DATAS,0)</f>
        <v>1</v>
      </c>
      <c r="Z3863" s="39" t="n">
        <f aca="false">IF(AND(E3863&gt;0,OR(AND(B3863&gt;=1,B3863&lt;=6),B3863=10)),1,0)</f>
        <v>0</v>
      </c>
      <c r="AA3863" s="39" t="n">
        <f aca="false">IF(AND(E3863&gt;0,B3863=10),1,0)</f>
        <v>0</v>
      </c>
      <c r="AB3863" s="0" t="str">
        <f aca="false">IF(AND(C3862=C3863,Y3862=Y3863-1),Z3862,"")</f>
        <v/>
      </c>
      <c r="AC3863" s="0" t="str">
        <f aca="false">IF(AND(C3862=C3863,Y3862=Y3863-1),AA3862,"")</f>
        <v/>
      </c>
      <c r="AD3863" s="0" t="str">
        <f aca="false">IF(Y3863=1,"",IF(AND(Z3863=1,AB3863&lt;&gt;1),1,0))</f>
        <v/>
      </c>
      <c r="AE3863" s="0" t="str">
        <f aca="false">IF(Y3863=1,"",IF(AND(AA3863=1,AC3863&lt;&gt;1),1,0))</f>
        <v/>
      </c>
      <c r="AF3863" s="45" t="str">
        <f aca="false">IF(AND(E3863&gt;0,Y3863&lt;1,NOT(AND(C3864=C3863,Y3864=Y3863+1))),INDEX(DATAS,Y3863+1),"")</f>
        <v/>
      </c>
      <c r="AG3863" s="45" t="str">
        <f aca="false">IF(AND(AA3863=1,Y3863&lt;1),IF(AND(C3864=C3863,Y3864=Y3863+1),IF(AA3864=1,"",INDEX(DATAS,Y3863+1)),INDEX(DATAS,Y3863+1)),"")</f>
        <v/>
      </c>
    </row>
    <row r="3864" customFormat="false" ht="15" hidden="false" customHeight="false" outlineLevel="0" collapsed="false">
      <c r="A3864" s="45" t="n">
        <v>46309</v>
      </c>
      <c r="B3864" s="0" t="n">
        <v>15</v>
      </c>
      <c r="C3864" s="0" t="n">
        <v>30709</v>
      </c>
      <c r="E3864" s="0" t="n">
        <v>0</v>
      </c>
      <c r="F3864" s="39" t="s">
        <v>1501</v>
      </c>
      <c r="I3864" s="39" t="s">
        <v>107</v>
      </c>
      <c r="U3864" s="0" t="n">
        <v>165</v>
      </c>
      <c r="V3864" s="0" t="n">
        <v>0</v>
      </c>
      <c r="W3864" s="39" t="n">
        <f aca="false">IF(I3864="Male",0,1)</f>
        <v>0</v>
      </c>
      <c r="X3864" s="39" t="n">
        <f aca="false">IF(OR(I3864="DNB",I3864="Dry DNB"),1,0)</f>
        <v>0</v>
      </c>
      <c r="Y3864" s="39" t="n">
        <f aca="false">MATCH(A3864,DATAS,0)</f>
        <v>1</v>
      </c>
      <c r="Z3864" s="39" t="n">
        <f aca="false">IF(AND(E3864&gt;0,OR(AND(B3864&gt;=1,B3864&lt;=6),B3864=10)),1,0)</f>
        <v>0</v>
      </c>
      <c r="AA3864" s="39" t="n">
        <f aca="false">IF(AND(E3864&gt;0,B3864=10),1,0)</f>
        <v>0</v>
      </c>
      <c r="AB3864" s="0" t="str">
        <f aca="false">IF(AND(C3863=C3864,Y3863=Y3864-1),Z3863,"")</f>
        <v/>
      </c>
      <c r="AC3864" s="0" t="str">
        <f aca="false">IF(AND(C3863=C3864,Y3863=Y3864-1),AA3863,"")</f>
        <v/>
      </c>
      <c r="AD3864" s="0" t="str">
        <f aca="false">IF(Y3864=1,"",IF(AND(Z3864=1,AB3864&lt;&gt;1),1,0))</f>
        <v/>
      </c>
      <c r="AE3864" s="0" t="str">
        <f aca="false">IF(Y3864=1,"",IF(AND(AA3864=1,AC3864&lt;&gt;1),1,0))</f>
        <v/>
      </c>
      <c r="AF3864" s="45" t="str">
        <f aca="false">IF(AND(E3864&gt;0,Y3864&lt;1,NOT(AND(C3865=C3864,Y3865=Y3864+1))),INDEX(DATAS,Y3864+1),"")</f>
        <v/>
      </c>
      <c r="AG3864" s="45" t="str">
        <f aca="false">IF(AND(AA3864=1,Y3864&lt;1),IF(AND(C3865=C3864,Y3865=Y3864+1),IF(AA3865=1,"",INDEX(DATAS,Y3864+1)),INDEX(DATAS,Y3864+1)),"")</f>
        <v/>
      </c>
    </row>
    <row r="3865" customFormat="false" ht="15" hidden="false" customHeight="false" outlineLevel="0" collapsed="false">
      <c r="A3865" s="45" t="n">
        <v>46309</v>
      </c>
      <c r="B3865" s="0" t="n">
        <v>15</v>
      </c>
      <c r="C3865" s="0" t="n">
        <v>30711</v>
      </c>
      <c r="E3865" s="0" t="n">
        <v>0</v>
      </c>
      <c r="F3865" s="39" t="s">
        <v>1502</v>
      </c>
      <c r="I3865" s="39" t="s">
        <v>107</v>
      </c>
      <c r="U3865" s="0" t="n">
        <v>164</v>
      </c>
      <c r="V3865" s="0" t="n">
        <v>0</v>
      </c>
      <c r="W3865" s="39" t="n">
        <f aca="false">IF(I3865="Male",0,1)</f>
        <v>0</v>
      </c>
      <c r="X3865" s="39" t="n">
        <f aca="false">IF(OR(I3865="DNB",I3865="Dry DNB"),1,0)</f>
        <v>0</v>
      </c>
      <c r="Y3865" s="39" t="n">
        <f aca="false">MATCH(A3865,DATAS,0)</f>
        <v>1</v>
      </c>
      <c r="Z3865" s="39" t="n">
        <f aca="false">IF(AND(E3865&gt;0,OR(AND(B3865&gt;=1,B3865&lt;=6),B3865=10)),1,0)</f>
        <v>0</v>
      </c>
      <c r="AA3865" s="39" t="n">
        <f aca="false">IF(AND(E3865&gt;0,B3865=10),1,0)</f>
        <v>0</v>
      </c>
      <c r="AB3865" s="0" t="str">
        <f aca="false">IF(AND(C3864=C3865,Y3864=Y3865-1),Z3864,"")</f>
        <v/>
      </c>
      <c r="AC3865" s="0" t="str">
        <f aca="false">IF(AND(C3864=C3865,Y3864=Y3865-1),AA3864,"")</f>
        <v/>
      </c>
      <c r="AD3865" s="0" t="str">
        <f aca="false">IF(Y3865=1,"",IF(AND(Z3865=1,AB3865&lt;&gt;1),1,0))</f>
        <v/>
      </c>
      <c r="AE3865" s="0" t="str">
        <f aca="false">IF(Y3865=1,"",IF(AND(AA3865=1,AC3865&lt;&gt;1),1,0))</f>
        <v/>
      </c>
      <c r="AF3865" s="45" t="str">
        <f aca="false">IF(AND(E3865&gt;0,Y3865&lt;1,NOT(AND(C3866=C3865,Y3866=Y3865+1))),INDEX(DATAS,Y3865+1),"")</f>
        <v/>
      </c>
      <c r="AG3865" s="45" t="str">
        <f aca="false">IF(AND(AA3865=1,Y3865&lt;1),IF(AND(C3866=C3865,Y3866=Y3865+1),IF(AA3866=1,"",INDEX(DATAS,Y3865+1)),INDEX(DATAS,Y3865+1)),"")</f>
        <v/>
      </c>
    </row>
    <row r="3866" customFormat="false" ht="15" hidden="false" customHeight="false" outlineLevel="0" collapsed="false">
      <c r="A3866" s="45" t="n">
        <v>46309</v>
      </c>
      <c r="B3866" s="0" t="n">
        <v>15</v>
      </c>
      <c r="C3866" s="0" t="n">
        <v>30716</v>
      </c>
      <c r="E3866" s="0" t="n">
        <v>0</v>
      </c>
      <c r="F3866" s="39" t="s">
        <v>1503</v>
      </c>
      <c r="I3866" s="39" t="s">
        <v>107</v>
      </c>
      <c r="U3866" s="0" t="n">
        <v>163</v>
      </c>
      <c r="V3866" s="0" t="n">
        <v>0</v>
      </c>
      <c r="W3866" s="39" t="n">
        <f aca="false">IF(I3866="Male",0,1)</f>
        <v>0</v>
      </c>
      <c r="X3866" s="39" t="n">
        <f aca="false">IF(OR(I3866="DNB",I3866="Dry DNB"),1,0)</f>
        <v>0</v>
      </c>
      <c r="Y3866" s="39" t="n">
        <f aca="false">MATCH(A3866,DATAS,0)</f>
        <v>1</v>
      </c>
      <c r="Z3866" s="39" t="n">
        <f aca="false">IF(AND(E3866&gt;0,OR(AND(B3866&gt;=1,B3866&lt;=6),B3866=10)),1,0)</f>
        <v>0</v>
      </c>
      <c r="AA3866" s="39" t="n">
        <f aca="false">IF(AND(E3866&gt;0,B3866=10),1,0)</f>
        <v>0</v>
      </c>
      <c r="AB3866" s="0" t="str">
        <f aca="false">IF(AND(C3865=C3866,Y3865=Y3866-1),Z3865,"")</f>
        <v/>
      </c>
      <c r="AC3866" s="0" t="str">
        <f aca="false">IF(AND(C3865=C3866,Y3865=Y3866-1),AA3865,"")</f>
        <v/>
      </c>
      <c r="AD3866" s="0" t="str">
        <f aca="false">IF(Y3866=1,"",IF(AND(Z3866=1,AB3866&lt;&gt;1),1,0))</f>
        <v/>
      </c>
      <c r="AE3866" s="0" t="str">
        <f aca="false">IF(Y3866=1,"",IF(AND(AA3866=1,AC3866&lt;&gt;1),1,0))</f>
        <v/>
      </c>
      <c r="AF3866" s="45" t="str">
        <f aca="false">IF(AND(E3866&gt;0,Y3866&lt;1,NOT(AND(C3867=C3866,Y3867=Y3866+1))),INDEX(DATAS,Y3866+1),"")</f>
        <v/>
      </c>
      <c r="AG3866" s="45" t="str">
        <f aca="false">IF(AND(AA3866=1,Y3866&lt;1),IF(AND(C3867=C3866,Y3867=Y3866+1),IF(AA3867=1,"",INDEX(DATAS,Y3866+1)),INDEX(DATAS,Y3866+1)),"")</f>
        <v/>
      </c>
    </row>
    <row r="3867" customFormat="false" ht="15" hidden="false" customHeight="false" outlineLevel="0" collapsed="false">
      <c r="A3867" s="45" t="n">
        <v>46309</v>
      </c>
      <c r="B3867" s="0" t="n">
        <v>15</v>
      </c>
      <c r="C3867" s="0" t="n">
        <v>30718</v>
      </c>
      <c r="E3867" s="0" t="n">
        <v>0</v>
      </c>
      <c r="F3867" s="39" t="s">
        <v>1503</v>
      </c>
      <c r="I3867" s="39" t="s">
        <v>107</v>
      </c>
      <c r="U3867" s="0" t="n">
        <v>163</v>
      </c>
      <c r="V3867" s="0" t="n">
        <v>0</v>
      </c>
      <c r="W3867" s="39" t="n">
        <f aca="false">IF(I3867="Male",0,1)</f>
        <v>0</v>
      </c>
      <c r="X3867" s="39" t="n">
        <f aca="false">IF(OR(I3867="DNB",I3867="Dry DNB"),1,0)</f>
        <v>0</v>
      </c>
      <c r="Y3867" s="39" t="n">
        <f aca="false">MATCH(A3867,DATAS,0)</f>
        <v>1</v>
      </c>
      <c r="Z3867" s="39" t="n">
        <f aca="false">IF(AND(E3867&gt;0,OR(AND(B3867&gt;=1,B3867&lt;=6),B3867=10)),1,0)</f>
        <v>0</v>
      </c>
      <c r="AA3867" s="39" t="n">
        <f aca="false">IF(AND(E3867&gt;0,B3867=10),1,0)</f>
        <v>0</v>
      </c>
      <c r="AB3867" s="0" t="str">
        <f aca="false">IF(AND(C3866=C3867,Y3866=Y3867-1),Z3866,"")</f>
        <v/>
      </c>
      <c r="AC3867" s="0" t="str">
        <f aca="false">IF(AND(C3866=C3867,Y3866=Y3867-1),AA3866,"")</f>
        <v/>
      </c>
      <c r="AD3867" s="0" t="str">
        <f aca="false">IF(Y3867=1,"",IF(AND(Z3867=1,AB3867&lt;&gt;1),1,0))</f>
        <v/>
      </c>
      <c r="AE3867" s="0" t="str">
        <f aca="false">IF(Y3867=1,"",IF(AND(AA3867=1,AC3867&lt;&gt;1),1,0))</f>
        <v/>
      </c>
      <c r="AF3867" s="45" t="str">
        <f aca="false">IF(AND(E3867&gt;0,Y3867&lt;1,NOT(AND(C3868=C3867,Y3868=Y3867+1))),INDEX(DATAS,Y3867+1),"")</f>
        <v/>
      </c>
      <c r="AG3867" s="45" t="str">
        <f aca="false">IF(AND(AA3867=1,Y3867&lt;1),IF(AND(C3868=C3867,Y3868=Y3867+1),IF(AA3868=1,"",INDEX(DATAS,Y3867+1)),INDEX(DATAS,Y3867+1)),"")</f>
        <v/>
      </c>
    </row>
    <row r="3868" customFormat="false" ht="15" hidden="false" customHeight="false" outlineLevel="0" collapsed="false">
      <c r="A3868" s="45" t="n">
        <v>46309</v>
      </c>
      <c r="B3868" s="0" t="n">
        <v>15</v>
      </c>
      <c r="C3868" s="0" t="n">
        <v>30726</v>
      </c>
      <c r="E3868" s="0" t="n">
        <v>0</v>
      </c>
      <c r="F3868" s="39" t="s">
        <v>1507</v>
      </c>
      <c r="I3868" s="39" t="s">
        <v>107</v>
      </c>
      <c r="U3868" s="0" t="n">
        <v>159</v>
      </c>
      <c r="V3868" s="0" t="n">
        <v>0</v>
      </c>
      <c r="W3868" s="39" t="n">
        <f aca="false">IF(I3868="Male",0,1)</f>
        <v>0</v>
      </c>
      <c r="X3868" s="39" t="n">
        <f aca="false">IF(OR(I3868="DNB",I3868="Dry DNB"),1,0)</f>
        <v>0</v>
      </c>
      <c r="Y3868" s="39" t="n">
        <f aca="false">MATCH(A3868,DATAS,0)</f>
        <v>1</v>
      </c>
      <c r="Z3868" s="39" t="n">
        <f aca="false">IF(AND(E3868&gt;0,OR(AND(B3868&gt;=1,B3868&lt;=6),B3868=10)),1,0)</f>
        <v>0</v>
      </c>
      <c r="AA3868" s="39" t="n">
        <f aca="false">IF(AND(E3868&gt;0,B3868=10),1,0)</f>
        <v>0</v>
      </c>
      <c r="AB3868" s="0" t="str">
        <f aca="false">IF(AND(C3867=C3868,Y3867=Y3868-1),Z3867,"")</f>
        <v/>
      </c>
      <c r="AC3868" s="0" t="str">
        <f aca="false">IF(AND(C3867=C3868,Y3867=Y3868-1),AA3867,"")</f>
        <v/>
      </c>
      <c r="AD3868" s="0" t="str">
        <f aca="false">IF(Y3868=1,"",IF(AND(Z3868=1,AB3868&lt;&gt;1),1,0))</f>
        <v/>
      </c>
      <c r="AE3868" s="0" t="str">
        <f aca="false">IF(Y3868=1,"",IF(AND(AA3868=1,AC3868&lt;&gt;1),1,0))</f>
        <v/>
      </c>
      <c r="AF3868" s="45" t="str">
        <f aca="false">IF(AND(E3868&gt;0,Y3868&lt;1,NOT(AND(C3869=C3868,Y3869=Y3868+1))),INDEX(DATAS,Y3868+1),"")</f>
        <v/>
      </c>
      <c r="AG3868" s="45" t="str">
        <f aca="false">IF(AND(AA3868=1,Y3868&lt;1),IF(AND(C3869=C3868,Y3869=Y3868+1),IF(AA3869=1,"",INDEX(DATAS,Y3868+1)),INDEX(DATAS,Y3868+1)),"")</f>
        <v/>
      </c>
    </row>
    <row r="3869" customFormat="false" ht="15" hidden="false" customHeight="false" outlineLevel="0" collapsed="false">
      <c r="A3869" s="45" t="n">
        <v>46309</v>
      </c>
      <c r="B3869" s="0" t="n">
        <v>15</v>
      </c>
      <c r="C3869" s="0" t="n">
        <v>30728</v>
      </c>
      <c r="E3869" s="0" t="n">
        <v>0</v>
      </c>
      <c r="F3869" s="39" t="s">
        <v>1508</v>
      </c>
      <c r="I3869" s="39" t="s">
        <v>107</v>
      </c>
      <c r="U3869" s="0" t="n">
        <v>158</v>
      </c>
      <c r="V3869" s="0" t="n">
        <v>0</v>
      </c>
      <c r="W3869" s="39" t="n">
        <f aca="false">IF(I3869="Male",0,1)</f>
        <v>0</v>
      </c>
      <c r="X3869" s="39" t="n">
        <f aca="false">IF(OR(I3869="DNB",I3869="Dry DNB"),1,0)</f>
        <v>0</v>
      </c>
      <c r="Y3869" s="39" t="n">
        <f aca="false">MATCH(A3869,DATAS,0)</f>
        <v>1</v>
      </c>
      <c r="Z3869" s="39" t="n">
        <f aca="false">IF(AND(E3869&gt;0,OR(AND(B3869&gt;=1,B3869&lt;=6),B3869=10)),1,0)</f>
        <v>0</v>
      </c>
      <c r="AA3869" s="39" t="n">
        <f aca="false">IF(AND(E3869&gt;0,B3869=10),1,0)</f>
        <v>0</v>
      </c>
      <c r="AB3869" s="0" t="str">
        <f aca="false">IF(AND(C3868=C3869,Y3868=Y3869-1),Z3868,"")</f>
        <v/>
      </c>
      <c r="AC3869" s="0" t="str">
        <f aca="false">IF(AND(C3868=C3869,Y3868=Y3869-1),AA3868,"")</f>
        <v/>
      </c>
      <c r="AD3869" s="0" t="str">
        <f aca="false">IF(Y3869=1,"",IF(AND(Z3869=1,AB3869&lt;&gt;1),1,0))</f>
        <v/>
      </c>
      <c r="AE3869" s="0" t="str">
        <f aca="false">IF(Y3869=1,"",IF(AND(AA3869=1,AC3869&lt;&gt;1),1,0))</f>
        <v/>
      </c>
      <c r="AF3869" s="45" t="str">
        <f aca="false">IF(AND(E3869&gt;0,Y3869&lt;1,NOT(AND(C3870=C3869,Y3870=Y3869+1))),INDEX(DATAS,Y3869+1),"")</f>
        <v/>
      </c>
      <c r="AG3869" s="45" t="str">
        <f aca="false">IF(AND(AA3869=1,Y3869&lt;1),IF(AND(C3870=C3869,Y3870=Y3869+1),IF(AA3870=1,"",INDEX(DATAS,Y3869+1)),INDEX(DATAS,Y3869+1)),"")</f>
        <v/>
      </c>
    </row>
    <row r="3870" customFormat="false" ht="15" hidden="false" customHeight="false" outlineLevel="0" collapsed="false">
      <c r="A3870" s="45" t="n">
        <v>46309</v>
      </c>
      <c r="B3870" s="0" t="n">
        <v>15</v>
      </c>
      <c r="C3870" s="0" t="n">
        <v>30729</v>
      </c>
      <c r="E3870" s="0" t="n">
        <v>0</v>
      </c>
      <c r="F3870" s="39" t="s">
        <v>1509</v>
      </c>
      <c r="I3870" s="39" t="s">
        <v>107</v>
      </c>
      <c r="U3870" s="0" t="n">
        <v>157</v>
      </c>
      <c r="V3870" s="0" t="n">
        <v>0</v>
      </c>
      <c r="W3870" s="39" t="n">
        <f aca="false">IF(I3870="Male",0,1)</f>
        <v>0</v>
      </c>
      <c r="X3870" s="39" t="n">
        <f aca="false">IF(OR(I3870="DNB",I3870="Dry DNB"),1,0)</f>
        <v>0</v>
      </c>
      <c r="Y3870" s="39" t="n">
        <f aca="false">MATCH(A3870,DATAS,0)</f>
        <v>1</v>
      </c>
      <c r="Z3870" s="39" t="n">
        <f aca="false">IF(AND(E3870&gt;0,OR(AND(B3870&gt;=1,B3870&lt;=6),B3870=10)),1,0)</f>
        <v>0</v>
      </c>
      <c r="AA3870" s="39" t="n">
        <f aca="false">IF(AND(E3870&gt;0,B3870=10),1,0)</f>
        <v>0</v>
      </c>
      <c r="AB3870" s="0" t="str">
        <f aca="false">IF(AND(C3869=C3870,Y3869=Y3870-1),Z3869,"")</f>
        <v/>
      </c>
      <c r="AC3870" s="0" t="str">
        <f aca="false">IF(AND(C3869=C3870,Y3869=Y3870-1),AA3869,"")</f>
        <v/>
      </c>
      <c r="AD3870" s="0" t="str">
        <f aca="false">IF(Y3870=1,"",IF(AND(Z3870=1,AB3870&lt;&gt;1),1,0))</f>
        <v/>
      </c>
      <c r="AE3870" s="0" t="str">
        <f aca="false">IF(Y3870=1,"",IF(AND(AA3870=1,AC3870&lt;&gt;1),1,0))</f>
        <v/>
      </c>
      <c r="AF3870" s="45" t="str">
        <f aca="false">IF(AND(E3870&gt;0,Y3870&lt;1,NOT(AND(C3871=C3870,Y3871=Y3870+1))),INDEX(DATAS,Y3870+1),"")</f>
        <v/>
      </c>
      <c r="AG3870" s="45" t="str">
        <f aca="false">IF(AND(AA3870=1,Y3870&lt;1),IF(AND(C3871=C3870,Y3871=Y3870+1),IF(AA3871=1,"",INDEX(DATAS,Y3870+1)),INDEX(DATAS,Y3870+1)),"")</f>
        <v/>
      </c>
    </row>
    <row r="3871" customFormat="false" ht="15" hidden="false" customHeight="false" outlineLevel="0" collapsed="false">
      <c r="A3871" s="45" t="n">
        <v>46309</v>
      </c>
      <c r="B3871" s="0" t="n">
        <v>15</v>
      </c>
      <c r="C3871" s="0" t="n">
        <v>30732</v>
      </c>
      <c r="E3871" s="0" t="n">
        <v>0</v>
      </c>
      <c r="F3871" s="39" t="s">
        <v>1510</v>
      </c>
      <c r="I3871" s="39" t="s">
        <v>107</v>
      </c>
      <c r="U3871" s="0" t="n">
        <v>156</v>
      </c>
      <c r="V3871" s="0" t="n">
        <v>0</v>
      </c>
      <c r="W3871" s="39" t="n">
        <f aca="false">IF(I3871="Male",0,1)</f>
        <v>0</v>
      </c>
      <c r="X3871" s="39" t="n">
        <f aca="false">IF(OR(I3871="DNB",I3871="Dry DNB"),1,0)</f>
        <v>0</v>
      </c>
      <c r="Y3871" s="39" t="n">
        <f aca="false">MATCH(A3871,DATAS,0)</f>
        <v>1</v>
      </c>
      <c r="Z3871" s="39" t="n">
        <f aca="false">IF(AND(E3871&gt;0,OR(AND(B3871&gt;=1,B3871&lt;=6),B3871=10)),1,0)</f>
        <v>0</v>
      </c>
      <c r="AA3871" s="39" t="n">
        <f aca="false">IF(AND(E3871&gt;0,B3871=10),1,0)</f>
        <v>0</v>
      </c>
      <c r="AB3871" s="0" t="str">
        <f aca="false">IF(AND(C3870=C3871,Y3870=Y3871-1),Z3870,"")</f>
        <v/>
      </c>
      <c r="AC3871" s="0" t="str">
        <f aca="false">IF(AND(C3870=C3871,Y3870=Y3871-1),AA3870,"")</f>
        <v/>
      </c>
      <c r="AD3871" s="0" t="str">
        <f aca="false">IF(Y3871=1,"",IF(AND(Z3871=1,AB3871&lt;&gt;1),1,0))</f>
        <v/>
      </c>
      <c r="AE3871" s="0" t="str">
        <f aca="false">IF(Y3871=1,"",IF(AND(AA3871=1,AC3871&lt;&gt;1),1,0))</f>
        <v/>
      </c>
      <c r="AF3871" s="45" t="str">
        <f aca="false">IF(AND(E3871&gt;0,Y3871&lt;1,NOT(AND(C3872=C3871,Y3872=Y3871+1))),INDEX(DATAS,Y3871+1),"")</f>
        <v/>
      </c>
      <c r="AG3871" s="45" t="str">
        <f aca="false">IF(AND(AA3871=1,Y3871&lt;1),IF(AND(C3872=C3871,Y3872=Y3871+1),IF(AA3872=1,"",INDEX(DATAS,Y3871+1)),INDEX(DATAS,Y3871+1)),"")</f>
        <v/>
      </c>
    </row>
    <row r="3872" customFormat="false" ht="15" hidden="false" customHeight="false" outlineLevel="0" collapsed="false">
      <c r="A3872" s="45" t="n">
        <v>46309</v>
      </c>
      <c r="B3872" s="0" t="n">
        <v>15</v>
      </c>
      <c r="C3872" s="0" t="n">
        <v>30733</v>
      </c>
      <c r="E3872" s="0" t="n">
        <v>0</v>
      </c>
      <c r="F3872" s="39" t="s">
        <v>1510</v>
      </c>
      <c r="I3872" s="39" t="s">
        <v>107</v>
      </c>
      <c r="U3872" s="0" t="n">
        <v>156</v>
      </c>
      <c r="V3872" s="0" t="n">
        <v>0</v>
      </c>
      <c r="W3872" s="39" t="n">
        <f aca="false">IF(I3872="Male",0,1)</f>
        <v>0</v>
      </c>
      <c r="X3872" s="39" t="n">
        <f aca="false">IF(OR(I3872="DNB",I3872="Dry DNB"),1,0)</f>
        <v>0</v>
      </c>
      <c r="Y3872" s="39" t="n">
        <f aca="false">MATCH(A3872,DATAS,0)</f>
        <v>1</v>
      </c>
      <c r="Z3872" s="39" t="n">
        <f aca="false">IF(AND(E3872&gt;0,OR(AND(B3872&gt;=1,B3872&lt;=6),B3872=10)),1,0)</f>
        <v>0</v>
      </c>
      <c r="AA3872" s="39" t="n">
        <f aca="false">IF(AND(E3872&gt;0,B3872=10),1,0)</f>
        <v>0</v>
      </c>
      <c r="AB3872" s="0" t="str">
        <f aca="false">IF(AND(C3871=C3872,Y3871=Y3872-1),Z3871,"")</f>
        <v/>
      </c>
      <c r="AC3872" s="0" t="str">
        <f aca="false">IF(AND(C3871=C3872,Y3871=Y3872-1),AA3871,"")</f>
        <v/>
      </c>
      <c r="AD3872" s="0" t="str">
        <f aca="false">IF(Y3872=1,"",IF(AND(Z3872=1,AB3872&lt;&gt;1),1,0))</f>
        <v/>
      </c>
      <c r="AE3872" s="0" t="str">
        <f aca="false">IF(Y3872=1,"",IF(AND(AA3872=1,AC3872&lt;&gt;1),1,0))</f>
        <v/>
      </c>
      <c r="AF3872" s="45" t="str">
        <f aca="false">IF(AND(E3872&gt;0,Y3872&lt;1,NOT(AND(C3873=C3872,Y3873=Y3872+1))),INDEX(DATAS,Y3872+1),"")</f>
        <v/>
      </c>
      <c r="AG3872" s="45" t="str">
        <f aca="false">IF(AND(AA3872=1,Y3872&lt;1),IF(AND(C3873=C3872,Y3873=Y3872+1),IF(AA3873=1,"",INDEX(DATAS,Y3872+1)),INDEX(DATAS,Y3872+1)),"")</f>
        <v/>
      </c>
    </row>
    <row r="3873" customFormat="false" ht="15" hidden="false" customHeight="false" outlineLevel="0" collapsed="false">
      <c r="A3873" s="45" t="n">
        <v>46309</v>
      </c>
      <c r="B3873" s="0" t="n">
        <v>15</v>
      </c>
      <c r="C3873" s="0" t="n">
        <v>30734</v>
      </c>
      <c r="E3873" s="0" t="n">
        <v>0</v>
      </c>
      <c r="F3873" s="39" t="s">
        <v>1511</v>
      </c>
      <c r="I3873" s="39" t="s">
        <v>107</v>
      </c>
      <c r="U3873" s="0" t="n">
        <v>155</v>
      </c>
      <c r="V3873" s="0" t="n">
        <v>0</v>
      </c>
      <c r="W3873" s="39" t="n">
        <f aca="false">IF(I3873="Male",0,1)</f>
        <v>0</v>
      </c>
      <c r="X3873" s="39" t="n">
        <f aca="false">IF(OR(I3873="DNB",I3873="Dry DNB"),1,0)</f>
        <v>0</v>
      </c>
      <c r="Y3873" s="39" t="n">
        <f aca="false">MATCH(A3873,DATAS,0)</f>
        <v>1</v>
      </c>
      <c r="Z3873" s="39" t="n">
        <f aca="false">IF(AND(E3873&gt;0,OR(AND(B3873&gt;=1,B3873&lt;=6),B3873=10)),1,0)</f>
        <v>0</v>
      </c>
      <c r="AA3873" s="39" t="n">
        <f aca="false">IF(AND(E3873&gt;0,B3873=10),1,0)</f>
        <v>0</v>
      </c>
      <c r="AB3873" s="0" t="str">
        <f aca="false">IF(AND(C3872=C3873,Y3872=Y3873-1),Z3872,"")</f>
        <v/>
      </c>
      <c r="AC3873" s="0" t="str">
        <f aca="false">IF(AND(C3872=C3873,Y3872=Y3873-1),AA3872,"")</f>
        <v/>
      </c>
      <c r="AD3873" s="0" t="str">
        <f aca="false">IF(Y3873=1,"",IF(AND(Z3873=1,AB3873&lt;&gt;1),1,0))</f>
        <v/>
      </c>
      <c r="AE3873" s="0" t="str">
        <f aca="false">IF(Y3873=1,"",IF(AND(AA3873=1,AC3873&lt;&gt;1),1,0))</f>
        <v/>
      </c>
      <c r="AF3873" s="45" t="str">
        <f aca="false">IF(AND(E3873&gt;0,Y3873&lt;1,NOT(AND(C3874=C3873,Y3874=Y3873+1))),INDEX(DATAS,Y3873+1),"")</f>
        <v/>
      </c>
      <c r="AG3873" s="45" t="str">
        <f aca="false">IF(AND(AA3873=1,Y3873&lt;1),IF(AND(C3874=C3873,Y3874=Y3873+1),IF(AA3874=1,"",INDEX(DATAS,Y3873+1)),INDEX(DATAS,Y3873+1)),"")</f>
        <v/>
      </c>
    </row>
    <row r="3874" customFormat="false" ht="15" hidden="false" customHeight="false" outlineLevel="0" collapsed="false">
      <c r="A3874" s="45" t="n">
        <v>46309</v>
      </c>
      <c r="B3874" s="0" t="n">
        <v>15</v>
      </c>
      <c r="C3874" s="0" t="n">
        <v>30739</v>
      </c>
      <c r="E3874" s="0" t="n">
        <v>0</v>
      </c>
      <c r="F3874" s="39" t="s">
        <v>1513</v>
      </c>
      <c r="I3874" s="39" t="s">
        <v>107</v>
      </c>
      <c r="U3874" s="0" t="n">
        <v>153</v>
      </c>
      <c r="V3874" s="0" t="n">
        <v>0</v>
      </c>
      <c r="W3874" s="39" t="n">
        <f aca="false">IF(I3874="Male",0,1)</f>
        <v>0</v>
      </c>
      <c r="X3874" s="39" t="n">
        <f aca="false">IF(OR(I3874="DNB",I3874="Dry DNB"),1,0)</f>
        <v>0</v>
      </c>
      <c r="Y3874" s="39" t="n">
        <f aca="false">MATCH(A3874,DATAS,0)</f>
        <v>1</v>
      </c>
      <c r="Z3874" s="39" t="n">
        <f aca="false">IF(AND(E3874&gt;0,OR(AND(B3874&gt;=1,B3874&lt;=6),B3874=10)),1,0)</f>
        <v>0</v>
      </c>
      <c r="AA3874" s="39" t="n">
        <f aca="false">IF(AND(E3874&gt;0,B3874=10),1,0)</f>
        <v>0</v>
      </c>
      <c r="AB3874" s="0" t="str">
        <f aca="false">IF(AND(C3873=C3874,Y3873=Y3874-1),Z3873,"")</f>
        <v/>
      </c>
      <c r="AC3874" s="0" t="str">
        <f aca="false">IF(AND(C3873=C3874,Y3873=Y3874-1),AA3873,"")</f>
        <v/>
      </c>
      <c r="AD3874" s="0" t="str">
        <f aca="false">IF(Y3874=1,"",IF(AND(Z3874=1,AB3874&lt;&gt;1),1,0))</f>
        <v/>
      </c>
      <c r="AE3874" s="0" t="str">
        <f aca="false">IF(Y3874=1,"",IF(AND(AA3874=1,AC3874&lt;&gt;1),1,0))</f>
        <v/>
      </c>
      <c r="AF3874" s="45" t="str">
        <f aca="false">IF(AND(E3874&gt;0,Y3874&lt;1,NOT(AND(C3875=C3874,Y3875=Y3874+1))),INDEX(DATAS,Y3874+1),"")</f>
        <v/>
      </c>
      <c r="AG3874" s="45" t="str">
        <f aca="false">IF(AND(AA3874=1,Y3874&lt;1),IF(AND(C3875=C3874,Y3875=Y3874+1),IF(AA3875=1,"",INDEX(DATAS,Y3874+1)),INDEX(DATAS,Y3874+1)),"")</f>
        <v/>
      </c>
    </row>
    <row r="3875" customFormat="false" ht="15" hidden="false" customHeight="false" outlineLevel="0" collapsed="false">
      <c r="A3875" s="45" t="n">
        <v>46309</v>
      </c>
      <c r="B3875" s="0" t="n">
        <v>15</v>
      </c>
      <c r="C3875" s="0" t="n">
        <v>30741</v>
      </c>
      <c r="E3875" s="0" t="n">
        <v>0</v>
      </c>
      <c r="F3875" s="39" t="s">
        <v>1514</v>
      </c>
      <c r="I3875" s="39" t="s">
        <v>107</v>
      </c>
      <c r="U3875" s="0" t="n">
        <v>152</v>
      </c>
      <c r="V3875" s="0" t="n">
        <v>0</v>
      </c>
      <c r="W3875" s="39" t="n">
        <f aca="false">IF(I3875="Male",0,1)</f>
        <v>0</v>
      </c>
      <c r="X3875" s="39" t="n">
        <f aca="false">IF(OR(I3875="DNB",I3875="Dry DNB"),1,0)</f>
        <v>0</v>
      </c>
      <c r="Y3875" s="39" t="n">
        <f aca="false">MATCH(A3875,DATAS,0)</f>
        <v>1</v>
      </c>
      <c r="Z3875" s="39" t="n">
        <f aca="false">IF(AND(E3875&gt;0,OR(AND(B3875&gt;=1,B3875&lt;=6),B3875=10)),1,0)</f>
        <v>0</v>
      </c>
      <c r="AA3875" s="39" t="n">
        <f aca="false">IF(AND(E3875&gt;0,B3875=10),1,0)</f>
        <v>0</v>
      </c>
      <c r="AB3875" s="0" t="str">
        <f aca="false">IF(AND(C3874=C3875,Y3874=Y3875-1),Z3874,"")</f>
        <v/>
      </c>
      <c r="AC3875" s="0" t="str">
        <f aca="false">IF(AND(C3874=C3875,Y3874=Y3875-1),AA3874,"")</f>
        <v/>
      </c>
      <c r="AD3875" s="0" t="str">
        <f aca="false">IF(Y3875=1,"",IF(AND(Z3875=1,AB3875&lt;&gt;1),1,0))</f>
        <v/>
      </c>
      <c r="AE3875" s="0" t="str">
        <f aca="false">IF(Y3875=1,"",IF(AND(AA3875=1,AC3875&lt;&gt;1),1,0))</f>
        <v/>
      </c>
      <c r="AF3875" s="45" t="str">
        <f aca="false">IF(AND(E3875&gt;0,Y3875&lt;1,NOT(AND(C3876=C3875,Y3876=Y3875+1))),INDEX(DATAS,Y3875+1),"")</f>
        <v/>
      </c>
      <c r="AG3875" s="45" t="str">
        <f aca="false">IF(AND(AA3875=1,Y3875&lt;1),IF(AND(C3876=C3875,Y3876=Y3875+1),IF(AA3876=1,"",INDEX(DATAS,Y3875+1)),INDEX(DATAS,Y3875+1)),"")</f>
        <v/>
      </c>
    </row>
    <row r="3876" customFormat="false" ht="15" hidden="false" customHeight="false" outlineLevel="0" collapsed="false">
      <c r="A3876" s="45" t="n">
        <v>46309</v>
      </c>
      <c r="B3876" s="0" t="n">
        <v>15</v>
      </c>
      <c r="C3876" s="0" t="n">
        <v>30743</v>
      </c>
      <c r="E3876" s="0" t="n">
        <v>0</v>
      </c>
      <c r="F3876" s="39" t="s">
        <v>1516</v>
      </c>
      <c r="I3876" s="39" t="s">
        <v>107</v>
      </c>
      <c r="U3876" s="0" t="n">
        <v>151</v>
      </c>
      <c r="V3876" s="0" t="n">
        <v>0</v>
      </c>
      <c r="W3876" s="39" t="n">
        <f aca="false">IF(I3876="Male",0,1)</f>
        <v>0</v>
      </c>
      <c r="X3876" s="39" t="n">
        <f aca="false">IF(OR(I3876="DNB",I3876="Dry DNB"),1,0)</f>
        <v>0</v>
      </c>
      <c r="Y3876" s="39" t="n">
        <f aca="false">MATCH(A3876,DATAS,0)</f>
        <v>1</v>
      </c>
      <c r="Z3876" s="39" t="n">
        <f aca="false">IF(AND(E3876&gt;0,OR(AND(B3876&gt;=1,B3876&lt;=6),B3876=10)),1,0)</f>
        <v>0</v>
      </c>
      <c r="AA3876" s="39" t="n">
        <f aca="false">IF(AND(E3876&gt;0,B3876=10),1,0)</f>
        <v>0</v>
      </c>
      <c r="AB3876" s="0" t="str">
        <f aca="false">IF(AND(C3875=C3876,Y3875=Y3876-1),Z3875,"")</f>
        <v/>
      </c>
      <c r="AC3876" s="0" t="str">
        <f aca="false">IF(AND(C3875=C3876,Y3875=Y3876-1),AA3875,"")</f>
        <v/>
      </c>
      <c r="AD3876" s="0" t="str">
        <f aca="false">IF(Y3876=1,"",IF(AND(Z3876=1,AB3876&lt;&gt;1),1,0))</f>
        <v/>
      </c>
      <c r="AE3876" s="0" t="str">
        <f aca="false">IF(Y3876=1,"",IF(AND(AA3876=1,AC3876&lt;&gt;1),1,0))</f>
        <v/>
      </c>
      <c r="AF3876" s="45" t="str">
        <f aca="false">IF(AND(E3876&gt;0,Y3876&lt;1,NOT(AND(C3877=C3876,Y3877=Y3876+1))),INDEX(DATAS,Y3876+1),"")</f>
        <v/>
      </c>
      <c r="AG3876" s="45" t="str">
        <f aca="false">IF(AND(AA3876=1,Y3876&lt;1),IF(AND(C3877=C3876,Y3877=Y3876+1),IF(AA3877=1,"",INDEX(DATAS,Y3876+1)),INDEX(DATAS,Y3876+1)),"")</f>
        <v/>
      </c>
    </row>
    <row r="3877" customFormat="false" ht="15" hidden="false" customHeight="false" outlineLevel="0" collapsed="false">
      <c r="A3877" s="45" t="n">
        <v>46309</v>
      </c>
      <c r="B3877" s="0" t="n">
        <v>15</v>
      </c>
      <c r="C3877" s="0" t="n">
        <v>30744</v>
      </c>
      <c r="E3877" s="0" t="n">
        <v>0</v>
      </c>
      <c r="F3877" s="39" t="s">
        <v>1517</v>
      </c>
      <c r="I3877" s="39" t="s">
        <v>107</v>
      </c>
      <c r="U3877" s="0" t="n">
        <v>149</v>
      </c>
      <c r="V3877" s="0" t="n">
        <v>0</v>
      </c>
      <c r="W3877" s="39" t="n">
        <f aca="false">IF(I3877="Male",0,1)</f>
        <v>0</v>
      </c>
      <c r="X3877" s="39" t="n">
        <f aca="false">IF(OR(I3877="DNB",I3877="Dry DNB"),1,0)</f>
        <v>0</v>
      </c>
      <c r="Y3877" s="39" t="n">
        <f aca="false">MATCH(A3877,DATAS,0)</f>
        <v>1</v>
      </c>
      <c r="Z3877" s="39" t="n">
        <f aca="false">IF(AND(E3877&gt;0,OR(AND(B3877&gt;=1,B3877&lt;=6),B3877=10)),1,0)</f>
        <v>0</v>
      </c>
      <c r="AA3877" s="39" t="n">
        <f aca="false">IF(AND(E3877&gt;0,B3877=10),1,0)</f>
        <v>0</v>
      </c>
      <c r="AB3877" s="0" t="str">
        <f aca="false">IF(AND(C3876=C3877,Y3876=Y3877-1),Z3876,"")</f>
        <v/>
      </c>
      <c r="AC3877" s="0" t="str">
        <f aca="false">IF(AND(C3876=C3877,Y3876=Y3877-1),AA3876,"")</f>
        <v/>
      </c>
      <c r="AD3877" s="0" t="str">
        <f aca="false">IF(Y3877=1,"",IF(AND(Z3877=1,AB3877&lt;&gt;1),1,0))</f>
        <v/>
      </c>
      <c r="AE3877" s="0" t="str">
        <f aca="false">IF(Y3877=1,"",IF(AND(AA3877=1,AC3877&lt;&gt;1),1,0))</f>
        <v/>
      </c>
      <c r="AF3877" s="45" t="str">
        <f aca="false">IF(AND(E3877&gt;0,Y3877&lt;1,NOT(AND(C3878=C3877,Y3878=Y3877+1))),INDEX(DATAS,Y3877+1),"")</f>
        <v/>
      </c>
      <c r="AG3877" s="45" t="str">
        <f aca="false">IF(AND(AA3877=1,Y3877&lt;1),IF(AND(C3878=C3877,Y3878=Y3877+1),IF(AA3878=1,"",INDEX(DATAS,Y3877+1)),INDEX(DATAS,Y3877+1)),"")</f>
        <v/>
      </c>
    </row>
    <row r="3878" customFormat="false" ht="15" hidden="false" customHeight="false" outlineLevel="0" collapsed="false">
      <c r="A3878" s="45" t="n">
        <v>46309</v>
      </c>
      <c r="B3878" s="0" t="n">
        <v>15</v>
      </c>
      <c r="C3878" s="0" t="n">
        <v>30752</v>
      </c>
      <c r="E3878" s="0" t="n">
        <v>0</v>
      </c>
      <c r="F3878" s="39" t="s">
        <v>1520</v>
      </c>
      <c r="I3878" s="39" t="s">
        <v>107</v>
      </c>
      <c r="U3878" s="0" t="n">
        <v>146</v>
      </c>
      <c r="V3878" s="0" t="n">
        <v>0</v>
      </c>
      <c r="W3878" s="39" t="n">
        <f aca="false">IF(I3878="Male",0,1)</f>
        <v>0</v>
      </c>
      <c r="X3878" s="39" t="n">
        <f aca="false">IF(OR(I3878="DNB",I3878="Dry DNB"),1,0)</f>
        <v>0</v>
      </c>
      <c r="Y3878" s="39" t="n">
        <f aca="false">MATCH(A3878,DATAS,0)</f>
        <v>1</v>
      </c>
      <c r="Z3878" s="39" t="n">
        <f aca="false">IF(AND(E3878&gt;0,OR(AND(B3878&gt;=1,B3878&lt;=6),B3878=10)),1,0)</f>
        <v>0</v>
      </c>
      <c r="AA3878" s="39" t="n">
        <f aca="false">IF(AND(E3878&gt;0,B3878=10),1,0)</f>
        <v>0</v>
      </c>
      <c r="AB3878" s="0" t="str">
        <f aca="false">IF(AND(C3877=C3878,Y3877=Y3878-1),Z3877,"")</f>
        <v/>
      </c>
      <c r="AC3878" s="0" t="str">
        <f aca="false">IF(AND(C3877=C3878,Y3877=Y3878-1),AA3877,"")</f>
        <v/>
      </c>
      <c r="AD3878" s="0" t="str">
        <f aca="false">IF(Y3878=1,"",IF(AND(Z3878=1,AB3878&lt;&gt;1),1,0))</f>
        <v/>
      </c>
      <c r="AE3878" s="0" t="str">
        <f aca="false">IF(Y3878=1,"",IF(AND(AA3878=1,AC3878&lt;&gt;1),1,0))</f>
        <v/>
      </c>
      <c r="AF3878" s="45" t="str">
        <f aca="false">IF(AND(E3878&gt;0,Y3878&lt;1,NOT(AND(C3879=C3878,Y3879=Y3878+1))),INDEX(DATAS,Y3878+1),"")</f>
        <v/>
      </c>
      <c r="AG3878" s="45" t="str">
        <f aca="false">IF(AND(AA3878=1,Y3878&lt;1),IF(AND(C3879=C3878,Y3879=Y3878+1),IF(AA3879=1,"",INDEX(DATAS,Y3878+1)),INDEX(DATAS,Y3878+1)),"")</f>
        <v/>
      </c>
    </row>
    <row r="3879" customFormat="false" ht="15" hidden="false" customHeight="false" outlineLevel="0" collapsed="false">
      <c r="A3879" s="45" t="n">
        <v>46309</v>
      </c>
      <c r="B3879" s="0" t="n">
        <v>15</v>
      </c>
      <c r="C3879" s="0" t="n">
        <v>30757</v>
      </c>
      <c r="E3879" s="0" t="n">
        <v>0</v>
      </c>
      <c r="F3879" s="39" t="s">
        <v>1523</v>
      </c>
      <c r="I3879" s="39" t="s">
        <v>107</v>
      </c>
      <c r="U3879" s="0" t="n">
        <v>143</v>
      </c>
      <c r="V3879" s="0" t="n">
        <v>0</v>
      </c>
      <c r="W3879" s="39" t="n">
        <f aca="false">IF(I3879="Male",0,1)</f>
        <v>0</v>
      </c>
      <c r="X3879" s="39" t="n">
        <f aca="false">IF(OR(I3879="DNB",I3879="Dry DNB"),1,0)</f>
        <v>0</v>
      </c>
      <c r="Y3879" s="39" t="n">
        <f aca="false">MATCH(A3879,DATAS,0)</f>
        <v>1</v>
      </c>
      <c r="Z3879" s="39" t="n">
        <f aca="false">IF(AND(E3879&gt;0,OR(AND(B3879&gt;=1,B3879&lt;=6),B3879=10)),1,0)</f>
        <v>0</v>
      </c>
      <c r="AA3879" s="39" t="n">
        <f aca="false">IF(AND(E3879&gt;0,B3879=10),1,0)</f>
        <v>0</v>
      </c>
      <c r="AB3879" s="0" t="str">
        <f aca="false">IF(AND(C3878=C3879,Y3878=Y3879-1),Z3878,"")</f>
        <v/>
      </c>
      <c r="AC3879" s="0" t="str">
        <f aca="false">IF(AND(C3878=C3879,Y3878=Y3879-1),AA3878,"")</f>
        <v/>
      </c>
      <c r="AD3879" s="0" t="str">
        <f aca="false">IF(Y3879=1,"",IF(AND(Z3879=1,AB3879&lt;&gt;1),1,0))</f>
        <v/>
      </c>
      <c r="AE3879" s="0" t="str">
        <f aca="false">IF(Y3879=1,"",IF(AND(AA3879=1,AC3879&lt;&gt;1),1,0))</f>
        <v/>
      </c>
      <c r="AF3879" s="45" t="str">
        <f aca="false">IF(AND(E3879&gt;0,Y3879&lt;1,NOT(AND(C3880=C3879,Y3880=Y3879+1))),INDEX(DATAS,Y3879+1),"")</f>
        <v/>
      </c>
      <c r="AG3879" s="45" t="str">
        <f aca="false">IF(AND(AA3879=1,Y3879&lt;1),IF(AND(C3880=C3879,Y3880=Y3879+1),IF(AA3880=1,"",INDEX(DATAS,Y3879+1)),INDEX(DATAS,Y3879+1)),"")</f>
        <v/>
      </c>
    </row>
    <row r="3880" customFormat="false" ht="15" hidden="false" customHeight="false" outlineLevel="0" collapsed="false">
      <c r="A3880" s="45" t="n">
        <v>46309</v>
      </c>
      <c r="B3880" s="0" t="n">
        <v>15</v>
      </c>
      <c r="C3880" s="0" t="n">
        <v>30762</v>
      </c>
      <c r="E3880" s="0" t="n">
        <v>0</v>
      </c>
      <c r="F3880" s="39" t="s">
        <v>1660</v>
      </c>
      <c r="I3880" s="39" t="s">
        <v>107</v>
      </c>
      <c r="U3880" s="0" t="n">
        <v>139</v>
      </c>
      <c r="V3880" s="0" t="n">
        <v>0</v>
      </c>
      <c r="W3880" s="39" t="n">
        <f aca="false">IF(I3880="Male",0,1)</f>
        <v>0</v>
      </c>
      <c r="X3880" s="39" t="n">
        <f aca="false">IF(OR(I3880="DNB",I3880="Dry DNB"),1,0)</f>
        <v>0</v>
      </c>
      <c r="Y3880" s="39" t="n">
        <f aca="false">MATCH(A3880,DATAS,0)</f>
        <v>1</v>
      </c>
      <c r="Z3880" s="39" t="n">
        <f aca="false">IF(AND(E3880&gt;0,OR(AND(B3880&gt;=1,B3880&lt;=6),B3880=10)),1,0)</f>
        <v>0</v>
      </c>
      <c r="AA3880" s="39" t="n">
        <f aca="false">IF(AND(E3880&gt;0,B3880=10),1,0)</f>
        <v>0</v>
      </c>
      <c r="AB3880" s="0" t="str">
        <f aca="false">IF(AND(C3879=C3880,Y3879=Y3880-1),Z3879,"")</f>
        <v/>
      </c>
      <c r="AC3880" s="0" t="str">
        <f aca="false">IF(AND(C3879=C3880,Y3879=Y3880-1),AA3879,"")</f>
        <v/>
      </c>
      <c r="AD3880" s="0" t="str">
        <f aca="false">IF(Y3880=1,"",IF(AND(Z3880=1,AB3880&lt;&gt;1),1,0))</f>
        <v/>
      </c>
      <c r="AE3880" s="0" t="str">
        <f aca="false">IF(Y3880=1,"",IF(AND(AA3880=1,AC3880&lt;&gt;1),1,0))</f>
        <v/>
      </c>
      <c r="AF3880" s="45" t="str">
        <f aca="false">IF(AND(E3880&gt;0,Y3880&lt;1,NOT(AND(C3881=C3880,Y3881=Y3880+1))),INDEX(DATAS,Y3880+1),"")</f>
        <v/>
      </c>
      <c r="AG3880" s="45" t="str">
        <f aca="false">IF(AND(AA3880=1,Y3880&lt;1),IF(AND(C3881=C3880,Y3881=Y3880+1),IF(AA3881=1,"",INDEX(DATAS,Y3880+1)),INDEX(DATAS,Y3880+1)),"")</f>
        <v/>
      </c>
    </row>
    <row r="3881" customFormat="false" ht="15" hidden="false" customHeight="false" outlineLevel="0" collapsed="false">
      <c r="A3881" s="45" t="n">
        <v>46309</v>
      </c>
      <c r="B3881" s="0" t="n">
        <v>15</v>
      </c>
      <c r="C3881" s="0" t="n">
        <v>30765</v>
      </c>
      <c r="E3881" s="0" t="n">
        <v>0</v>
      </c>
      <c r="F3881" s="39" t="s">
        <v>1527</v>
      </c>
      <c r="I3881" s="39" t="s">
        <v>107</v>
      </c>
      <c r="U3881" s="0" t="n">
        <v>138</v>
      </c>
      <c r="V3881" s="0" t="n">
        <v>0</v>
      </c>
      <c r="W3881" s="39" t="n">
        <f aca="false">IF(I3881="Male",0,1)</f>
        <v>0</v>
      </c>
      <c r="X3881" s="39" t="n">
        <f aca="false">IF(OR(I3881="DNB",I3881="Dry DNB"),1,0)</f>
        <v>0</v>
      </c>
      <c r="Y3881" s="39" t="n">
        <f aca="false">MATCH(A3881,DATAS,0)</f>
        <v>1</v>
      </c>
      <c r="Z3881" s="39" t="n">
        <f aca="false">IF(AND(E3881&gt;0,OR(AND(B3881&gt;=1,B3881&lt;=6),B3881=10)),1,0)</f>
        <v>0</v>
      </c>
      <c r="AA3881" s="39" t="n">
        <f aca="false">IF(AND(E3881&gt;0,B3881=10),1,0)</f>
        <v>0</v>
      </c>
      <c r="AB3881" s="0" t="str">
        <f aca="false">IF(AND(C3880=C3881,Y3880=Y3881-1),Z3880,"")</f>
        <v/>
      </c>
      <c r="AC3881" s="0" t="str">
        <f aca="false">IF(AND(C3880=C3881,Y3880=Y3881-1),AA3880,"")</f>
        <v/>
      </c>
      <c r="AD3881" s="0" t="str">
        <f aca="false">IF(Y3881=1,"",IF(AND(Z3881=1,AB3881&lt;&gt;1),1,0))</f>
        <v/>
      </c>
      <c r="AE3881" s="0" t="str">
        <f aca="false">IF(Y3881=1,"",IF(AND(AA3881=1,AC3881&lt;&gt;1),1,0))</f>
        <v/>
      </c>
      <c r="AF3881" s="45" t="str">
        <f aca="false">IF(AND(E3881&gt;0,Y3881&lt;1,NOT(AND(C3882=C3881,Y3882=Y3881+1))),INDEX(DATAS,Y3881+1),"")</f>
        <v/>
      </c>
      <c r="AG3881" s="45" t="str">
        <f aca="false">IF(AND(AA3881=1,Y3881&lt;1),IF(AND(C3882=C3881,Y3882=Y3881+1),IF(AA3882=1,"",INDEX(DATAS,Y3881+1)),INDEX(DATAS,Y3881+1)),"")</f>
        <v/>
      </c>
    </row>
    <row r="3882" customFormat="false" ht="15" hidden="false" customHeight="false" outlineLevel="0" collapsed="false">
      <c r="A3882" s="45" t="n">
        <v>46309</v>
      </c>
      <c r="B3882" s="0" t="n">
        <v>15</v>
      </c>
      <c r="C3882" s="0" t="n">
        <v>30768</v>
      </c>
      <c r="E3882" s="0" t="n">
        <v>0</v>
      </c>
      <c r="F3882" s="39" t="s">
        <v>1529</v>
      </c>
      <c r="I3882" s="39" t="s">
        <v>107</v>
      </c>
      <c r="U3882" s="0" t="n">
        <v>136</v>
      </c>
      <c r="V3882" s="0" t="n">
        <v>0</v>
      </c>
      <c r="W3882" s="39" t="n">
        <f aca="false">IF(I3882="Male",0,1)</f>
        <v>0</v>
      </c>
      <c r="X3882" s="39" t="n">
        <f aca="false">IF(OR(I3882="DNB",I3882="Dry DNB"),1,0)</f>
        <v>0</v>
      </c>
      <c r="Y3882" s="39" t="n">
        <f aca="false">MATCH(A3882,DATAS,0)</f>
        <v>1</v>
      </c>
      <c r="Z3882" s="39" t="n">
        <f aca="false">IF(AND(E3882&gt;0,OR(AND(B3882&gt;=1,B3882&lt;=6),B3882=10)),1,0)</f>
        <v>0</v>
      </c>
      <c r="AA3882" s="39" t="n">
        <f aca="false">IF(AND(E3882&gt;0,B3882=10),1,0)</f>
        <v>0</v>
      </c>
      <c r="AB3882" s="0" t="str">
        <f aca="false">IF(AND(C3881=C3882,Y3881=Y3882-1),Z3881,"")</f>
        <v/>
      </c>
      <c r="AC3882" s="0" t="str">
        <f aca="false">IF(AND(C3881=C3882,Y3881=Y3882-1),AA3881,"")</f>
        <v/>
      </c>
      <c r="AD3882" s="0" t="str">
        <f aca="false">IF(Y3882=1,"",IF(AND(Z3882=1,AB3882&lt;&gt;1),1,0))</f>
        <v/>
      </c>
      <c r="AE3882" s="0" t="str">
        <f aca="false">IF(Y3882=1,"",IF(AND(AA3882=1,AC3882&lt;&gt;1),1,0))</f>
        <v/>
      </c>
      <c r="AF3882" s="45" t="str">
        <f aca="false">IF(AND(E3882&gt;0,Y3882&lt;1,NOT(AND(C3883=C3882,Y3883=Y3882+1))),INDEX(DATAS,Y3882+1),"")</f>
        <v/>
      </c>
      <c r="AG3882" s="45" t="str">
        <f aca="false">IF(AND(AA3882=1,Y3882&lt;1),IF(AND(C3883=C3882,Y3883=Y3882+1),IF(AA3883=1,"",INDEX(DATAS,Y3882+1)),INDEX(DATAS,Y3882+1)),"")</f>
        <v/>
      </c>
    </row>
    <row r="3883" customFormat="false" ht="15" hidden="false" customHeight="false" outlineLevel="0" collapsed="false">
      <c r="A3883" s="45" t="n">
        <v>46309</v>
      </c>
      <c r="B3883" s="0" t="n">
        <v>15</v>
      </c>
      <c r="C3883" s="0" t="n">
        <v>30773</v>
      </c>
      <c r="E3883" s="0" t="n">
        <v>0</v>
      </c>
      <c r="F3883" s="39" t="s">
        <v>1532</v>
      </c>
      <c r="I3883" s="39" t="s">
        <v>107</v>
      </c>
      <c r="U3883" s="0" t="n">
        <v>133</v>
      </c>
      <c r="V3883" s="0" t="n">
        <v>0</v>
      </c>
      <c r="W3883" s="39" t="n">
        <f aca="false">IF(I3883="Male",0,1)</f>
        <v>0</v>
      </c>
      <c r="X3883" s="39" t="n">
        <f aca="false">IF(OR(I3883="DNB",I3883="Dry DNB"),1,0)</f>
        <v>0</v>
      </c>
      <c r="Y3883" s="39" t="n">
        <f aca="false">MATCH(A3883,DATAS,0)</f>
        <v>1</v>
      </c>
      <c r="Z3883" s="39" t="n">
        <f aca="false">IF(AND(E3883&gt;0,OR(AND(B3883&gt;=1,B3883&lt;=6),B3883=10)),1,0)</f>
        <v>0</v>
      </c>
      <c r="AA3883" s="39" t="n">
        <f aca="false">IF(AND(E3883&gt;0,B3883=10),1,0)</f>
        <v>0</v>
      </c>
      <c r="AB3883" s="0" t="str">
        <f aca="false">IF(AND(C3882=C3883,Y3882=Y3883-1),Z3882,"")</f>
        <v/>
      </c>
      <c r="AC3883" s="0" t="str">
        <f aca="false">IF(AND(C3882=C3883,Y3882=Y3883-1),AA3882,"")</f>
        <v/>
      </c>
      <c r="AD3883" s="0" t="str">
        <f aca="false">IF(Y3883=1,"",IF(AND(Z3883=1,AB3883&lt;&gt;1),1,0))</f>
        <v/>
      </c>
      <c r="AE3883" s="0" t="str">
        <f aca="false">IF(Y3883=1,"",IF(AND(AA3883=1,AC3883&lt;&gt;1),1,0))</f>
        <v/>
      </c>
      <c r="AF3883" s="45" t="str">
        <f aca="false">IF(AND(E3883&gt;0,Y3883&lt;1,NOT(AND(C3884=C3883,Y3884=Y3883+1))),INDEX(DATAS,Y3883+1),"")</f>
        <v/>
      </c>
      <c r="AG3883" s="45" t="str">
        <f aca="false">IF(AND(AA3883=1,Y3883&lt;1),IF(AND(C3884=C3883,Y3884=Y3883+1),IF(AA3884=1,"",INDEX(DATAS,Y3883+1)),INDEX(DATAS,Y3883+1)),"")</f>
        <v/>
      </c>
    </row>
    <row r="3884" customFormat="false" ht="15" hidden="false" customHeight="false" outlineLevel="0" collapsed="false">
      <c r="A3884" s="45" t="n">
        <v>46309</v>
      </c>
      <c r="B3884" s="0" t="n">
        <v>15</v>
      </c>
      <c r="C3884" s="0" t="n">
        <v>30775</v>
      </c>
      <c r="E3884" s="0" t="n">
        <v>0</v>
      </c>
      <c r="F3884" s="39" t="s">
        <v>1533</v>
      </c>
      <c r="I3884" s="39" t="s">
        <v>107</v>
      </c>
      <c r="U3884" s="0" t="n">
        <v>132</v>
      </c>
      <c r="V3884" s="0" t="n">
        <v>0</v>
      </c>
      <c r="W3884" s="39" t="n">
        <f aca="false">IF(I3884="Male",0,1)</f>
        <v>0</v>
      </c>
      <c r="X3884" s="39" t="n">
        <f aca="false">IF(OR(I3884="DNB",I3884="Dry DNB"),1,0)</f>
        <v>0</v>
      </c>
      <c r="Y3884" s="39" t="n">
        <f aca="false">MATCH(A3884,DATAS,0)</f>
        <v>1</v>
      </c>
      <c r="Z3884" s="39" t="n">
        <f aca="false">IF(AND(E3884&gt;0,OR(AND(B3884&gt;=1,B3884&lt;=6),B3884=10)),1,0)</f>
        <v>0</v>
      </c>
      <c r="AA3884" s="39" t="n">
        <f aca="false">IF(AND(E3884&gt;0,B3884=10),1,0)</f>
        <v>0</v>
      </c>
      <c r="AB3884" s="0" t="str">
        <f aca="false">IF(AND(C3883=C3884,Y3883=Y3884-1),Z3883,"")</f>
        <v/>
      </c>
      <c r="AC3884" s="0" t="str">
        <f aca="false">IF(AND(C3883=C3884,Y3883=Y3884-1),AA3883,"")</f>
        <v/>
      </c>
      <c r="AD3884" s="0" t="str">
        <f aca="false">IF(Y3884=1,"",IF(AND(Z3884=1,AB3884&lt;&gt;1),1,0))</f>
        <v/>
      </c>
      <c r="AE3884" s="0" t="str">
        <f aca="false">IF(Y3884=1,"",IF(AND(AA3884=1,AC3884&lt;&gt;1),1,0))</f>
        <v/>
      </c>
      <c r="AF3884" s="45" t="str">
        <f aca="false">IF(AND(E3884&gt;0,Y3884&lt;1,NOT(AND(C3885=C3884,Y3885=Y3884+1))),INDEX(DATAS,Y3884+1),"")</f>
        <v/>
      </c>
      <c r="AG3884" s="45" t="str">
        <f aca="false">IF(AND(AA3884=1,Y3884&lt;1),IF(AND(C3885=C3884,Y3885=Y3884+1),IF(AA3885=1,"",INDEX(DATAS,Y3884+1)),INDEX(DATAS,Y3884+1)),"")</f>
        <v/>
      </c>
    </row>
    <row r="3885" customFormat="false" ht="15" hidden="false" customHeight="false" outlineLevel="0" collapsed="false">
      <c r="A3885" s="45" t="n">
        <v>46309</v>
      </c>
      <c r="B3885" s="0" t="n">
        <v>15</v>
      </c>
      <c r="C3885" s="0" t="n">
        <v>30777</v>
      </c>
      <c r="E3885" s="0" t="n">
        <v>0</v>
      </c>
      <c r="F3885" s="39" t="s">
        <v>1533</v>
      </c>
      <c r="I3885" s="39" t="s">
        <v>107</v>
      </c>
      <c r="U3885" s="0" t="n">
        <v>132</v>
      </c>
      <c r="V3885" s="0" t="n">
        <v>0</v>
      </c>
      <c r="W3885" s="39" t="n">
        <f aca="false">IF(I3885="Male",0,1)</f>
        <v>0</v>
      </c>
      <c r="X3885" s="39" t="n">
        <f aca="false">IF(OR(I3885="DNB",I3885="Dry DNB"),1,0)</f>
        <v>0</v>
      </c>
      <c r="Y3885" s="39" t="n">
        <f aca="false">MATCH(A3885,DATAS,0)</f>
        <v>1</v>
      </c>
      <c r="Z3885" s="39" t="n">
        <f aca="false">IF(AND(E3885&gt;0,OR(AND(B3885&gt;=1,B3885&lt;=6),B3885=10)),1,0)</f>
        <v>0</v>
      </c>
      <c r="AA3885" s="39" t="n">
        <f aca="false">IF(AND(E3885&gt;0,B3885=10),1,0)</f>
        <v>0</v>
      </c>
      <c r="AB3885" s="0" t="str">
        <f aca="false">IF(AND(C3884=C3885,Y3884=Y3885-1),Z3884,"")</f>
        <v/>
      </c>
      <c r="AC3885" s="0" t="str">
        <f aca="false">IF(AND(C3884=C3885,Y3884=Y3885-1),AA3884,"")</f>
        <v/>
      </c>
      <c r="AD3885" s="0" t="str">
        <f aca="false">IF(Y3885=1,"",IF(AND(Z3885=1,AB3885&lt;&gt;1),1,0))</f>
        <v/>
      </c>
      <c r="AE3885" s="0" t="str">
        <f aca="false">IF(Y3885=1,"",IF(AND(AA3885=1,AC3885&lt;&gt;1),1,0))</f>
        <v/>
      </c>
      <c r="AF3885" s="45" t="str">
        <f aca="false">IF(AND(E3885&gt;0,Y3885&lt;1,NOT(AND(C3886=C3885,Y3886=Y3885+1))),INDEX(DATAS,Y3885+1),"")</f>
        <v/>
      </c>
      <c r="AG3885" s="45" t="str">
        <f aca="false">IF(AND(AA3885=1,Y3885&lt;1),IF(AND(C3886=C3885,Y3886=Y3885+1),IF(AA3886=1,"",INDEX(DATAS,Y3885+1)),INDEX(DATAS,Y3885+1)),"")</f>
        <v/>
      </c>
    </row>
    <row r="3886" customFormat="false" ht="15" hidden="false" customHeight="false" outlineLevel="0" collapsed="false">
      <c r="A3886" s="45" t="n">
        <v>46309</v>
      </c>
      <c r="B3886" s="0" t="n">
        <v>15</v>
      </c>
      <c r="C3886" s="0" t="n">
        <v>30783</v>
      </c>
      <c r="E3886" s="0" t="n">
        <v>0</v>
      </c>
      <c r="F3886" s="39" t="s">
        <v>1538</v>
      </c>
      <c r="I3886" s="39" t="s">
        <v>107</v>
      </c>
      <c r="U3886" s="0" t="n">
        <v>127</v>
      </c>
      <c r="V3886" s="0" t="n">
        <v>0</v>
      </c>
      <c r="W3886" s="39" t="n">
        <f aca="false">IF(I3886="Male",0,1)</f>
        <v>0</v>
      </c>
      <c r="X3886" s="39" t="n">
        <f aca="false">IF(OR(I3886="DNB",I3886="Dry DNB"),1,0)</f>
        <v>0</v>
      </c>
      <c r="Y3886" s="39" t="n">
        <f aca="false">MATCH(A3886,DATAS,0)</f>
        <v>1</v>
      </c>
      <c r="Z3886" s="39" t="n">
        <f aca="false">IF(AND(E3886&gt;0,OR(AND(B3886&gt;=1,B3886&lt;=6),B3886=10)),1,0)</f>
        <v>0</v>
      </c>
      <c r="AA3886" s="39" t="n">
        <f aca="false">IF(AND(E3886&gt;0,B3886=10),1,0)</f>
        <v>0</v>
      </c>
      <c r="AB3886" s="0" t="str">
        <f aca="false">IF(AND(C3885=C3886,Y3885=Y3886-1),Z3885,"")</f>
        <v/>
      </c>
      <c r="AC3886" s="0" t="str">
        <f aca="false">IF(AND(C3885=C3886,Y3885=Y3886-1),AA3885,"")</f>
        <v/>
      </c>
      <c r="AD3886" s="0" t="str">
        <f aca="false">IF(Y3886=1,"",IF(AND(Z3886=1,AB3886&lt;&gt;1),1,0))</f>
        <v/>
      </c>
      <c r="AE3886" s="0" t="str">
        <f aca="false">IF(Y3886=1,"",IF(AND(AA3886=1,AC3886&lt;&gt;1),1,0))</f>
        <v/>
      </c>
      <c r="AF3886" s="45" t="str">
        <f aca="false">IF(AND(E3886&gt;0,Y3886&lt;1,NOT(AND(C3887=C3886,Y3887=Y3886+1))),INDEX(DATAS,Y3886+1),"")</f>
        <v/>
      </c>
      <c r="AG3886" s="45" t="str">
        <f aca="false">IF(AND(AA3886=1,Y3886&lt;1),IF(AND(C3887=C3886,Y3887=Y3886+1),IF(AA3887=1,"",INDEX(DATAS,Y3886+1)),INDEX(DATAS,Y3886+1)),"")</f>
        <v/>
      </c>
    </row>
    <row r="3887" customFormat="false" ht="15" hidden="false" customHeight="false" outlineLevel="0" collapsed="false">
      <c r="A3887" s="45" t="n">
        <v>46309</v>
      </c>
      <c r="B3887" s="0" t="n">
        <v>15</v>
      </c>
      <c r="C3887" s="0" t="n">
        <v>30784</v>
      </c>
      <c r="E3887" s="0" t="n">
        <v>0</v>
      </c>
      <c r="F3887" s="39" t="s">
        <v>1538</v>
      </c>
      <c r="I3887" s="39" t="s">
        <v>107</v>
      </c>
      <c r="U3887" s="0" t="n">
        <v>127</v>
      </c>
      <c r="V3887" s="0" t="n">
        <v>0</v>
      </c>
      <c r="W3887" s="39" t="n">
        <f aca="false">IF(I3887="Male",0,1)</f>
        <v>0</v>
      </c>
      <c r="X3887" s="39" t="n">
        <f aca="false">IF(OR(I3887="DNB",I3887="Dry DNB"),1,0)</f>
        <v>0</v>
      </c>
      <c r="Y3887" s="39" t="n">
        <f aca="false">MATCH(A3887,DATAS,0)</f>
        <v>1</v>
      </c>
      <c r="Z3887" s="39" t="n">
        <f aca="false">IF(AND(E3887&gt;0,OR(AND(B3887&gt;=1,B3887&lt;=6),B3887=10)),1,0)</f>
        <v>0</v>
      </c>
      <c r="AA3887" s="39" t="n">
        <f aca="false">IF(AND(E3887&gt;0,B3887=10),1,0)</f>
        <v>0</v>
      </c>
      <c r="AB3887" s="0" t="str">
        <f aca="false">IF(AND(C3886=C3887,Y3886=Y3887-1),Z3886,"")</f>
        <v/>
      </c>
      <c r="AC3887" s="0" t="str">
        <f aca="false">IF(AND(C3886=C3887,Y3886=Y3887-1),AA3886,"")</f>
        <v/>
      </c>
      <c r="AD3887" s="0" t="str">
        <f aca="false">IF(Y3887=1,"",IF(AND(Z3887=1,AB3887&lt;&gt;1),1,0))</f>
        <v/>
      </c>
      <c r="AE3887" s="0" t="str">
        <f aca="false">IF(Y3887=1,"",IF(AND(AA3887=1,AC3887&lt;&gt;1),1,0))</f>
        <v/>
      </c>
      <c r="AF3887" s="45" t="str">
        <f aca="false">IF(AND(E3887&gt;0,Y3887&lt;1,NOT(AND(C3888=C3887,Y3888=Y3887+1))),INDEX(DATAS,Y3887+1),"")</f>
        <v/>
      </c>
      <c r="AG3887" s="45" t="str">
        <f aca="false">IF(AND(AA3887=1,Y3887&lt;1),IF(AND(C3888=C3887,Y3888=Y3887+1),IF(AA3888=1,"",INDEX(DATAS,Y3887+1)),INDEX(DATAS,Y3887+1)),"")</f>
        <v/>
      </c>
    </row>
    <row r="3888" customFormat="false" ht="15" hidden="false" customHeight="false" outlineLevel="0" collapsed="false">
      <c r="A3888" s="45" t="n">
        <v>46309</v>
      </c>
      <c r="B3888" s="0" t="n">
        <v>15</v>
      </c>
      <c r="C3888" s="0" t="n">
        <v>30785</v>
      </c>
      <c r="E3888" s="0" t="n">
        <v>0</v>
      </c>
      <c r="F3888" s="39" t="s">
        <v>1538</v>
      </c>
      <c r="I3888" s="39" t="s">
        <v>107</v>
      </c>
      <c r="U3888" s="0" t="n">
        <v>127</v>
      </c>
      <c r="V3888" s="0" t="n">
        <v>0</v>
      </c>
      <c r="W3888" s="39" t="n">
        <f aca="false">IF(I3888="Male",0,1)</f>
        <v>0</v>
      </c>
      <c r="X3888" s="39" t="n">
        <f aca="false">IF(OR(I3888="DNB",I3888="Dry DNB"),1,0)</f>
        <v>0</v>
      </c>
      <c r="Y3888" s="39" t="n">
        <f aca="false">MATCH(A3888,DATAS,0)</f>
        <v>1</v>
      </c>
      <c r="Z3888" s="39" t="n">
        <f aca="false">IF(AND(E3888&gt;0,OR(AND(B3888&gt;=1,B3888&lt;=6),B3888=10)),1,0)</f>
        <v>0</v>
      </c>
      <c r="AA3888" s="39" t="n">
        <f aca="false">IF(AND(E3888&gt;0,B3888=10),1,0)</f>
        <v>0</v>
      </c>
      <c r="AB3888" s="0" t="str">
        <f aca="false">IF(AND(C3887=C3888,Y3887=Y3888-1),Z3887,"")</f>
        <v/>
      </c>
      <c r="AC3888" s="0" t="str">
        <f aca="false">IF(AND(C3887=C3888,Y3887=Y3888-1),AA3887,"")</f>
        <v/>
      </c>
      <c r="AD3888" s="0" t="str">
        <f aca="false">IF(Y3888=1,"",IF(AND(Z3888=1,AB3888&lt;&gt;1),1,0))</f>
        <v/>
      </c>
      <c r="AE3888" s="0" t="str">
        <f aca="false">IF(Y3888=1,"",IF(AND(AA3888=1,AC3888&lt;&gt;1),1,0))</f>
        <v/>
      </c>
      <c r="AF3888" s="45" t="str">
        <f aca="false">IF(AND(E3888&gt;0,Y3888&lt;1,NOT(AND(C3889=C3888,Y3889=Y3888+1))),INDEX(DATAS,Y3888+1),"")</f>
        <v/>
      </c>
      <c r="AG3888" s="45" t="str">
        <f aca="false">IF(AND(AA3888=1,Y3888&lt;1),IF(AND(C3889=C3888,Y3889=Y3888+1),IF(AA3889=1,"",INDEX(DATAS,Y3888+1)),INDEX(DATAS,Y3888+1)),"")</f>
        <v/>
      </c>
    </row>
    <row r="3889" customFormat="false" ht="15" hidden="false" customHeight="false" outlineLevel="0" collapsed="false">
      <c r="A3889" s="45" t="n">
        <v>46309</v>
      </c>
      <c r="B3889" s="0" t="n">
        <v>15</v>
      </c>
      <c r="C3889" s="0" t="n">
        <v>30787</v>
      </c>
      <c r="E3889" s="0" t="n">
        <v>0</v>
      </c>
      <c r="F3889" s="39" t="s">
        <v>1540</v>
      </c>
      <c r="I3889" s="39" t="s">
        <v>107</v>
      </c>
      <c r="U3889" s="0" t="n">
        <v>125</v>
      </c>
      <c r="V3889" s="0" t="n">
        <v>0</v>
      </c>
      <c r="W3889" s="39" t="n">
        <f aca="false">IF(I3889="Male",0,1)</f>
        <v>0</v>
      </c>
      <c r="X3889" s="39" t="n">
        <f aca="false">IF(OR(I3889="DNB",I3889="Dry DNB"),1,0)</f>
        <v>0</v>
      </c>
      <c r="Y3889" s="39" t="n">
        <f aca="false">MATCH(A3889,DATAS,0)</f>
        <v>1</v>
      </c>
      <c r="Z3889" s="39" t="n">
        <f aca="false">IF(AND(E3889&gt;0,OR(AND(B3889&gt;=1,B3889&lt;=6),B3889=10)),1,0)</f>
        <v>0</v>
      </c>
      <c r="AA3889" s="39" t="n">
        <f aca="false">IF(AND(E3889&gt;0,B3889=10),1,0)</f>
        <v>0</v>
      </c>
      <c r="AB3889" s="0" t="str">
        <f aca="false">IF(AND(C3888=C3889,Y3888=Y3889-1),Z3888,"")</f>
        <v/>
      </c>
      <c r="AC3889" s="0" t="str">
        <f aca="false">IF(AND(C3888=C3889,Y3888=Y3889-1),AA3888,"")</f>
        <v/>
      </c>
      <c r="AD3889" s="0" t="str">
        <f aca="false">IF(Y3889=1,"",IF(AND(Z3889=1,AB3889&lt;&gt;1),1,0))</f>
        <v/>
      </c>
      <c r="AE3889" s="0" t="str">
        <f aca="false">IF(Y3889=1,"",IF(AND(AA3889=1,AC3889&lt;&gt;1),1,0))</f>
        <v/>
      </c>
      <c r="AF3889" s="45" t="str">
        <f aca="false">IF(AND(E3889&gt;0,Y3889&lt;1,NOT(AND(C3890=C3889,Y3890=Y3889+1))),INDEX(DATAS,Y3889+1),"")</f>
        <v/>
      </c>
      <c r="AG3889" s="45" t="str">
        <f aca="false">IF(AND(AA3889=1,Y3889&lt;1),IF(AND(C3890=C3889,Y3890=Y3889+1),IF(AA3890=1,"",INDEX(DATAS,Y3889+1)),INDEX(DATAS,Y3889+1)),"")</f>
        <v/>
      </c>
    </row>
    <row r="3890" customFormat="false" ht="15" hidden="false" customHeight="false" outlineLevel="0" collapsed="false">
      <c r="A3890" s="45" t="n">
        <v>46309</v>
      </c>
      <c r="B3890" s="0" t="n">
        <v>15</v>
      </c>
      <c r="C3890" s="0" t="n">
        <v>30790</v>
      </c>
      <c r="E3890" s="0" t="n">
        <v>0</v>
      </c>
      <c r="F3890" s="39" t="s">
        <v>1661</v>
      </c>
      <c r="I3890" s="39" t="s">
        <v>107</v>
      </c>
      <c r="U3890" s="0" t="n">
        <v>124</v>
      </c>
      <c r="V3890" s="0" t="n">
        <v>0</v>
      </c>
      <c r="W3890" s="39" t="n">
        <f aca="false">IF(I3890="Male",0,1)</f>
        <v>0</v>
      </c>
      <c r="X3890" s="39" t="n">
        <f aca="false">IF(OR(I3890="DNB",I3890="Dry DNB"),1,0)</f>
        <v>0</v>
      </c>
      <c r="Y3890" s="39" t="n">
        <f aca="false">MATCH(A3890,DATAS,0)</f>
        <v>1</v>
      </c>
      <c r="Z3890" s="39" t="n">
        <f aca="false">IF(AND(E3890&gt;0,OR(AND(B3890&gt;=1,B3890&lt;=6),B3890=10)),1,0)</f>
        <v>0</v>
      </c>
      <c r="AA3890" s="39" t="n">
        <f aca="false">IF(AND(E3890&gt;0,B3890=10),1,0)</f>
        <v>0</v>
      </c>
      <c r="AB3890" s="0" t="str">
        <f aca="false">IF(AND(C3889=C3890,Y3889=Y3890-1),Z3889,"")</f>
        <v/>
      </c>
      <c r="AC3890" s="0" t="str">
        <f aca="false">IF(AND(C3889=C3890,Y3889=Y3890-1),AA3889,"")</f>
        <v/>
      </c>
      <c r="AD3890" s="0" t="str">
        <f aca="false">IF(Y3890=1,"",IF(AND(Z3890=1,AB3890&lt;&gt;1),1,0))</f>
        <v/>
      </c>
      <c r="AE3890" s="0" t="str">
        <f aca="false">IF(Y3890=1,"",IF(AND(AA3890=1,AC3890&lt;&gt;1),1,0))</f>
        <v/>
      </c>
      <c r="AF3890" s="45" t="str">
        <f aca="false">IF(AND(E3890&gt;0,Y3890&lt;1,NOT(AND(C3891=C3890,Y3891=Y3890+1))),INDEX(DATAS,Y3890+1),"")</f>
        <v/>
      </c>
      <c r="AG3890" s="45" t="str">
        <f aca="false">IF(AND(AA3890=1,Y3890&lt;1),IF(AND(C3891=C3890,Y3891=Y3890+1),IF(AA3891=1,"",INDEX(DATAS,Y3890+1)),INDEX(DATAS,Y3890+1)),"")</f>
        <v/>
      </c>
    </row>
    <row r="3891" customFormat="false" ht="15" hidden="false" customHeight="false" outlineLevel="0" collapsed="false">
      <c r="A3891" s="45" t="n">
        <v>46309</v>
      </c>
      <c r="B3891" s="0" t="n">
        <v>15</v>
      </c>
      <c r="C3891" s="0" t="n">
        <v>30791</v>
      </c>
      <c r="E3891" s="0" t="n">
        <v>0</v>
      </c>
      <c r="F3891" s="39" t="s">
        <v>1661</v>
      </c>
      <c r="I3891" s="39" t="s">
        <v>107</v>
      </c>
      <c r="U3891" s="0" t="n">
        <v>124</v>
      </c>
      <c r="V3891" s="0" t="n">
        <v>0</v>
      </c>
      <c r="W3891" s="39" t="n">
        <f aca="false">IF(I3891="Male",0,1)</f>
        <v>0</v>
      </c>
      <c r="X3891" s="39" t="n">
        <f aca="false">IF(OR(I3891="DNB",I3891="Dry DNB"),1,0)</f>
        <v>0</v>
      </c>
      <c r="Y3891" s="39" t="n">
        <f aca="false">MATCH(A3891,DATAS,0)</f>
        <v>1</v>
      </c>
      <c r="Z3891" s="39" t="n">
        <f aca="false">IF(AND(E3891&gt;0,OR(AND(B3891&gt;=1,B3891&lt;=6),B3891=10)),1,0)</f>
        <v>0</v>
      </c>
      <c r="AA3891" s="39" t="n">
        <f aca="false">IF(AND(E3891&gt;0,B3891=10),1,0)</f>
        <v>0</v>
      </c>
      <c r="AB3891" s="0" t="str">
        <f aca="false">IF(AND(C3890=C3891,Y3890=Y3891-1),Z3890,"")</f>
        <v/>
      </c>
      <c r="AC3891" s="0" t="str">
        <f aca="false">IF(AND(C3890=C3891,Y3890=Y3891-1),AA3890,"")</f>
        <v/>
      </c>
      <c r="AD3891" s="0" t="str">
        <f aca="false">IF(Y3891=1,"",IF(AND(Z3891=1,AB3891&lt;&gt;1),1,0))</f>
        <v/>
      </c>
      <c r="AE3891" s="0" t="str">
        <f aca="false">IF(Y3891=1,"",IF(AND(AA3891=1,AC3891&lt;&gt;1),1,0))</f>
        <v/>
      </c>
      <c r="AF3891" s="45" t="str">
        <f aca="false">IF(AND(E3891&gt;0,Y3891&lt;1,NOT(AND(C3892=C3891,Y3892=Y3891+1))),INDEX(DATAS,Y3891+1),"")</f>
        <v/>
      </c>
      <c r="AG3891" s="45" t="str">
        <f aca="false">IF(AND(AA3891=1,Y3891&lt;1),IF(AND(C3892=C3891,Y3892=Y3891+1),IF(AA3892=1,"",INDEX(DATAS,Y3891+1)),INDEX(DATAS,Y3891+1)),"")</f>
        <v/>
      </c>
    </row>
    <row r="3892" customFormat="false" ht="15" hidden="false" customHeight="false" outlineLevel="0" collapsed="false">
      <c r="A3892" s="45" t="n">
        <v>46309</v>
      </c>
      <c r="B3892" s="0" t="n">
        <v>15</v>
      </c>
      <c r="C3892" s="0" t="n">
        <v>30797</v>
      </c>
      <c r="E3892" s="0" t="n">
        <v>0</v>
      </c>
      <c r="F3892" s="39" t="s">
        <v>1543</v>
      </c>
      <c r="I3892" s="39" t="s">
        <v>107</v>
      </c>
      <c r="U3892" s="0" t="n">
        <v>121</v>
      </c>
      <c r="V3892" s="0" t="n">
        <v>0</v>
      </c>
      <c r="W3892" s="39" t="n">
        <f aca="false">IF(I3892="Male",0,1)</f>
        <v>0</v>
      </c>
      <c r="X3892" s="39" t="n">
        <f aca="false">IF(OR(I3892="DNB",I3892="Dry DNB"),1,0)</f>
        <v>0</v>
      </c>
      <c r="Y3892" s="39" t="n">
        <f aca="false">MATCH(A3892,DATAS,0)</f>
        <v>1</v>
      </c>
      <c r="Z3892" s="39" t="n">
        <f aca="false">IF(AND(E3892&gt;0,OR(AND(B3892&gt;=1,B3892&lt;=6),B3892=10)),1,0)</f>
        <v>0</v>
      </c>
      <c r="AA3892" s="39" t="n">
        <f aca="false">IF(AND(E3892&gt;0,B3892=10),1,0)</f>
        <v>0</v>
      </c>
      <c r="AB3892" s="0" t="str">
        <f aca="false">IF(AND(C3891=C3892,Y3891=Y3892-1),Z3891,"")</f>
        <v/>
      </c>
      <c r="AC3892" s="0" t="str">
        <f aca="false">IF(AND(C3891=C3892,Y3891=Y3892-1),AA3891,"")</f>
        <v/>
      </c>
      <c r="AD3892" s="0" t="str">
        <f aca="false">IF(Y3892=1,"",IF(AND(Z3892=1,AB3892&lt;&gt;1),1,0))</f>
        <v/>
      </c>
      <c r="AE3892" s="0" t="str">
        <f aca="false">IF(Y3892=1,"",IF(AND(AA3892=1,AC3892&lt;&gt;1),1,0))</f>
        <v/>
      </c>
      <c r="AF3892" s="45" t="str">
        <f aca="false">IF(AND(E3892&gt;0,Y3892&lt;1,NOT(AND(C3893=C3892,Y3893=Y3892+1))),INDEX(DATAS,Y3892+1),"")</f>
        <v/>
      </c>
      <c r="AG3892" s="45" t="str">
        <f aca="false">IF(AND(AA3892=1,Y3892&lt;1),IF(AND(C3893=C3892,Y3893=Y3892+1),IF(AA3893=1,"",INDEX(DATAS,Y3892+1)),INDEX(DATAS,Y3892+1)),"")</f>
        <v/>
      </c>
    </row>
    <row r="3893" customFormat="false" ht="15" hidden="false" customHeight="false" outlineLevel="0" collapsed="false">
      <c r="A3893" s="45" t="n">
        <v>46309</v>
      </c>
      <c r="B3893" s="0" t="n">
        <v>15</v>
      </c>
      <c r="C3893" s="0" t="n">
        <v>30798</v>
      </c>
      <c r="E3893" s="0" t="n">
        <v>0</v>
      </c>
      <c r="F3893" s="39" t="s">
        <v>1543</v>
      </c>
      <c r="I3893" s="39" t="s">
        <v>107</v>
      </c>
      <c r="U3893" s="0" t="n">
        <v>121</v>
      </c>
      <c r="V3893" s="0" t="n">
        <v>0</v>
      </c>
      <c r="W3893" s="39" t="n">
        <f aca="false">IF(I3893="Male",0,1)</f>
        <v>0</v>
      </c>
      <c r="X3893" s="39" t="n">
        <f aca="false">IF(OR(I3893="DNB",I3893="Dry DNB"),1,0)</f>
        <v>0</v>
      </c>
      <c r="Y3893" s="39" t="n">
        <f aca="false">MATCH(A3893,DATAS,0)</f>
        <v>1</v>
      </c>
      <c r="Z3893" s="39" t="n">
        <f aca="false">IF(AND(E3893&gt;0,OR(AND(B3893&gt;=1,B3893&lt;=6),B3893=10)),1,0)</f>
        <v>0</v>
      </c>
      <c r="AA3893" s="39" t="n">
        <f aca="false">IF(AND(E3893&gt;0,B3893=10),1,0)</f>
        <v>0</v>
      </c>
      <c r="AB3893" s="0" t="str">
        <f aca="false">IF(AND(C3892=C3893,Y3892=Y3893-1),Z3892,"")</f>
        <v/>
      </c>
      <c r="AC3893" s="0" t="str">
        <f aca="false">IF(AND(C3892=C3893,Y3892=Y3893-1),AA3892,"")</f>
        <v/>
      </c>
      <c r="AD3893" s="0" t="str">
        <f aca="false">IF(Y3893=1,"",IF(AND(Z3893=1,AB3893&lt;&gt;1),1,0))</f>
        <v/>
      </c>
      <c r="AE3893" s="0" t="str">
        <f aca="false">IF(Y3893=1,"",IF(AND(AA3893=1,AC3893&lt;&gt;1),1,0))</f>
        <v/>
      </c>
      <c r="AF3893" s="45" t="str">
        <f aca="false">IF(AND(E3893&gt;0,Y3893&lt;1,NOT(AND(C3894=C3893,Y3894=Y3893+1))),INDEX(DATAS,Y3893+1),"")</f>
        <v/>
      </c>
      <c r="AG3893" s="45" t="str">
        <f aca="false">IF(AND(AA3893=1,Y3893&lt;1),IF(AND(C3894=C3893,Y3894=Y3893+1),IF(AA3894=1,"",INDEX(DATAS,Y3893+1)),INDEX(DATAS,Y3893+1)),"")</f>
        <v/>
      </c>
    </row>
    <row r="3894" customFormat="false" ht="15" hidden="false" customHeight="false" outlineLevel="0" collapsed="false">
      <c r="A3894" s="45" t="n">
        <v>46309</v>
      </c>
      <c r="B3894" s="0" t="n">
        <v>15</v>
      </c>
      <c r="C3894" s="0" t="n">
        <v>30801</v>
      </c>
      <c r="E3894" s="0" t="n">
        <v>0</v>
      </c>
      <c r="F3894" s="39" t="s">
        <v>1546</v>
      </c>
      <c r="I3894" s="39" t="s">
        <v>107</v>
      </c>
      <c r="U3894" s="0" t="n">
        <v>119</v>
      </c>
      <c r="V3894" s="0" t="n">
        <v>0</v>
      </c>
      <c r="W3894" s="39" t="n">
        <f aca="false">IF(I3894="Male",0,1)</f>
        <v>0</v>
      </c>
      <c r="X3894" s="39" t="n">
        <f aca="false">IF(OR(I3894="DNB",I3894="Dry DNB"),1,0)</f>
        <v>0</v>
      </c>
      <c r="Y3894" s="39" t="n">
        <f aca="false">MATCH(A3894,DATAS,0)</f>
        <v>1</v>
      </c>
      <c r="Z3894" s="39" t="n">
        <f aca="false">IF(AND(E3894&gt;0,OR(AND(B3894&gt;=1,B3894&lt;=6),B3894=10)),1,0)</f>
        <v>0</v>
      </c>
      <c r="AA3894" s="39" t="n">
        <f aca="false">IF(AND(E3894&gt;0,B3894=10),1,0)</f>
        <v>0</v>
      </c>
      <c r="AB3894" s="0" t="str">
        <f aca="false">IF(AND(C3893=C3894,Y3893=Y3894-1),Z3893,"")</f>
        <v/>
      </c>
      <c r="AC3894" s="0" t="str">
        <f aca="false">IF(AND(C3893=C3894,Y3893=Y3894-1),AA3893,"")</f>
        <v/>
      </c>
      <c r="AD3894" s="0" t="str">
        <f aca="false">IF(Y3894=1,"",IF(AND(Z3894=1,AB3894&lt;&gt;1),1,0))</f>
        <v/>
      </c>
      <c r="AE3894" s="0" t="str">
        <f aca="false">IF(Y3894=1,"",IF(AND(AA3894=1,AC3894&lt;&gt;1),1,0))</f>
        <v/>
      </c>
      <c r="AF3894" s="45" t="str">
        <f aca="false">IF(AND(E3894&gt;0,Y3894&lt;1,NOT(AND(C3895=C3894,Y3895=Y3894+1))),INDEX(DATAS,Y3894+1),"")</f>
        <v/>
      </c>
      <c r="AG3894" s="45" t="str">
        <f aca="false">IF(AND(AA3894=1,Y3894&lt;1),IF(AND(C3895=C3894,Y3895=Y3894+1),IF(AA3895=1,"",INDEX(DATAS,Y3894+1)),INDEX(DATAS,Y3894+1)),"")</f>
        <v/>
      </c>
    </row>
    <row r="3895" customFormat="false" ht="15" hidden="false" customHeight="false" outlineLevel="0" collapsed="false">
      <c r="A3895" s="45" t="n">
        <v>46309</v>
      </c>
      <c r="B3895" s="0" t="n">
        <v>15</v>
      </c>
      <c r="C3895" s="0" t="n">
        <v>30803</v>
      </c>
      <c r="E3895" s="0" t="n">
        <v>0</v>
      </c>
      <c r="F3895" s="39" t="s">
        <v>1548</v>
      </c>
      <c r="I3895" s="39" t="s">
        <v>107</v>
      </c>
      <c r="U3895" s="0" t="n">
        <v>117</v>
      </c>
      <c r="V3895" s="0" t="n">
        <v>0</v>
      </c>
      <c r="W3895" s="39" t="n">
        <f aca="false">IF(I3895="Male",0,1)</f>
        <v>0</v>
      </c>
      <c r="X3895" s="39" t="n">
        <f aca="false">IF(OR(I3895="DNB",I3895="Dry DNB"),1,0)</f>
        <v>0</v>
      </c>
      <c r="Y3895" s="39" t="n">
        <f aca="false">MATCH(A3895,DATAS,0)</f>
        <v>1</v>
      </c>
      <c r="Z3895" s="39" t="n">
        <f aca="false">IF(AND(E3895&gt;0,OR(AND(B3895&gt;=1,B3895&lt;=6),B3895=10)),1,0)</f>
        <v>0</v>
      </c>
      <c r="AA3895" s="39" t="n">
        <f aca="false">IF(AND(E3895&gt;0,B3895=10),1,0)</f>
        <v>0</v>
      </c>
      <c r="AB3895" s="0" t="str">
        <f aca="false">IF(AND(C3894=C3895,Y3894=Y3895-1),Z3894,"")</f>
        <v/>
      </c>
      <c r="AC3895" s="0" t="str">
        <f aca="false">IF(AND(C3894=C3895,Y3894=Y3895-1),AA3894,"")</f>
        <v/>
      </c>
      <c r="AD3895" s="0" t="str">
        <f aca="false">IF(Y3895=1,"",IF(AND(Z3895=1,AB3895&lt;&gt;1),1,0))</f>
        <v/>
      </c>
      <c r="AE3895" s="0" t="str">
        <f aca="false">IF(Y3895=1,"",IF(AND(AA3895=1,AC3895&lt;&gt;1),1,0))</f>
        <v/>
      </c>
      <c r="AF3895" s="45" t="str">
        <f aca="false">IF(AND(E3895&gt;0,Y3895&lt;1,NOT(AND(C3896=C3895,Y3896=Y3895+1))),INDEX(DATAS,Y3895+1),"")</f>
        <v/>
      </c>
      <c r="AG3895" s="45" t="str">
        <f aca="false">IF(AND(AA3895=1,Y3895&lt;1),IF(AND(C3896=C3895,Y3896=Y3895+1),IF(AA3896=1,"",INDEX(DATAS,Y3895+1)),INDEX(DATAS,Y3895+1)),"")</f>
        <v/>
      </c>
    </row>
    <row r="3896" customFormat="false" ht="15" hidden="false" customHeight="false" outlineLevel="0" collapsed="false">
      <c r="A3896" s="45" t="n">
        <v>46309</v>
      </c>
      <c r="B3896" s="0" t="n">
        <v>15</v>
      </c>
      <c r="C3896" s="0" t="n">
        <v>30805</v>
      </c>
      <c r="E3896" s="0" t="n">
        <v>0</v>
      </c>
      <c r="F3896" s="39" t="s">
        <v>1549</v>
      </c>
      <c r="I3896" s="39" t="s">
        <v>107</v>
      </c>
      <c r="U3896" s="0" t="n">
        <v>116</v>
      </c>
      <c r="V3896" s="0" t="n">
        <v>0</v>
      </c>
      <c r="W3896" s="39" t="n">
        <f aca="false">IF(I3896="Male",0,1)</f>
        <v>0</v>
      </c>
      <c r="X3896" s="39" t="n">
        <f aca="false">IF(OR(I3896="DNB",I3896="Dry DNB"),1,0)</f>
        <v>0</v>
      </c>
      <c r="Y3896" s="39" t="n">
        <f aca="false">MATCH(A3896,DATAS,0)</f>
        <v>1</v>
      </c>
      <c r="Z3896" s="39" t="n">
        <f aca="false">IF(AND(E3896&gt;0,OR(AND(B3896&gt;=1,B3896&lt;=6),B3896=10)),1,0)</f>
        <v>0</v>
      </c>
      <c r="AA3896" s="39" t="n">
        <f aca="false">IF(AND(E3896&gt;0,B3896=10),1,0)</f>
        <v>0</v>
      </c>
      <c r="AB3896" s="0" t="str">
        <f aca="false">IF(AND(C3895=C3896,Y3895=Y3896-1),Z3895,"")</f>
        <v/>
      </c>
      <c r="AC3896" s="0" t="str">
        <f aca="false">IF(AND(C3895=C3896,Y3895=Y3896-1),AA3895,"")</f>
        <v/>
      </c>
      <c r="AD3896" s="0" t="str">
        <f aca="false">IF(Y3896=1,"",IF(AND(Z3896=1,AB3896&lt;&gt;1),1,0))</f>
        <v/>
      </c>
      <c r="AE3896" s="0" t="str">
        <f aca="false">IF(Y3896=1,"",IF(AND(AA3896=1,AC3896&lt;&gt;1),1,0))</f>
        <v/>
      </c>
      <c r="AF3896" s="45" t="str">
        <f aca="false">IF(AND(E3896&gt;0,Y3896&lt;1,NOT(AND(C3897=C3896,Y3897=Y3896+1))),INDEX(DATAS,Y3896+1),"")</f>
        <v/>
      </c>
      <c r="AG3896" s="45" t="str">
        <f aca="false">IF(AND(AA3896=1,Y3896&lt;1),IF(AND(C3897=C3896,Y3897=Y3896+1),IF(AA3897=1,"",INDEX(DATAS,Y3896+1)),INDEX(DATAS,Y3896+1)),"")</f>
        <v/>
      </c>
    </row>
    <row r="3897" customFormat="false" ht="15" hidden="false" customHeight="false" outlineLevel="0" collapsed="false">
      <c r="A3897" s="45" t="n">
        <v>46309</v>
      </c>
      <c r="B3897" s="0" t="n">
        <v>15</v>
      </c>
      <c r="C3897" s="0" t="n">
        <v>30809</v>
      </c>
      <c r="E3897" s="0" t="n">
        <v>0</v>
      </c>
      <c r="F3897" s="39" t="s">
        <v>1662</v>
      </c>
      <c r="I3897" s="39" t="s">
        <v>107</v>
      </c>
      <c r="U3897" s="0" t="n">
        <v>115</v>
      </c>
      <c r="V3897" s="0" t="n">
        <v>0</v>
      </c>
      <c r="W3897" s="39" t="n">
        <f aca="false">IF(I3897="Male",0,1)</f>
        <v>0</v>
      </c>
      <c r="X3897" s="39" t="n">
        <f aca="false">IF(OR(I3897="DNB",I3897="Dry DNB"),1,0)</f>
        <v>0</v>
      </c>
      <c r="Y3897" s="39" t="n">
        <f aca="false">MATCH(A3897,DATAS,0)</f>
        <v>1</v>
      </c>
      <c r="Z3897" s="39" t="n">
        <f aca="false">IF(AND(E3897&gt;0,OR(AND(B3897&gt;=1,B3897&lt;=6),B3897=10)),1,0)</f>
        <v>0</v>
      </c>
      <c r="AA3897" s="39" t="n">
        <f aca="false">IF(AND(E3897&gt;0,B3897=10),1,0)</f>
        <v>0</v>
      </c>
      <c r="AB3897" s="0" t="str">
        <f aca="false">IF(AND(C3896=C3897,Y3896=Y3897-1),Z3896,"")</f>
        <v/>
      </c>
      <c r="AC3897" s="0" t="str">
        <f aca="false">IF(AND(C3896=C3897,Y3896=Y3897-1),AA3896,"")</f>
        <v/>
      </c>
      <c r="AD3897" s="0" t="str">
        <f aca="false">IF(Y3897=1,"",IF(AND(Z3897=1,AB3897&lt;&gt;1),1,0))</f>
        <v/>
      </c>
      <c r="AE3897" s="0" t="str">
        <f aca="false">IF(Y3897=1,"",IF(AND(AA3897=1,AC3897&lt;&gt;1),1,0))</f>
        <v/>
      </c>
      <c r="AF3897" s="45" t="str">
        <f aca="false">IF(AND(E3897&gt;0,Y3897&lt;1,NOT(AND(C3898=C3897,Y3898=Y3897+1))),INDEX(DATAS,Y3897+1),"")</f>
        <v/>
      </c>
      <c r="AG3897" s="45" t="str">
        <f aca="false">IF(AND(AA3897=1,Y3897&lt;1),IF(AND(C3898=C3897,Y3898=Y3897+1),IF(AA3898=1,"",INDEX(DATAS,Y3897+1)),INDEX(DATAS,Y3897+1)),"")</f>
        <v/>
      </c>
    </row>
    <row r="3898" customFormat="false" ht="15" hidden="false" customHeight="false" outlineLevel="0" collapsed="false">
      <c r="A3898" s="45" t="n">
        <v>46309</v>
      </c>
      <c r="B3898" s="0" t="n">
        <v>15</v>
      </c>
      <c r="C3898" s="0" t="n">
        <v>30810</v>
      </c>
      <c r="E3898" s="0" t="n">
        <v>0</v>
      </c>
      <c r="F3898" s="39" t="s">
        <v>1550</v>
      </c>
      <c r="I3898" s="39" t="s">
        <v>107</v>
      </c>
      <c r="U3898" s="0" t="n">
        <v>113</v>
      </c>
      <c r="V3898" s="0" t="n">
        <v>0</v>
      </c>
      <c r="W3898" s="39" t="n">
        <f aca="false">IF(I3898="Male",0,1)</f>
        <v>0</v>
      </c>
      <c r="X3898" s="39" t="n">
        <f aca="false">IF(OR(I3898="DNB",I3898="Dry DNB"),1,0)</f>
        <v>0</v>
      </c>
      <c r="Y3898" s="39" t="n">
        <f aca="false">MATCH(A3898,DATAS,0)</f>
        <v>1</v>
      </c>
      <c r="Z3898" s="39" t="n">
        <f aca="false">IF(AND(E3898&gt;0,OR(AND(B3898&gt;=1,B3898&lt;=6),B3898=10)),1,0)</f>
        <v>0</v>
      </c>
      <c r="AA3898" s="39" t="n">
        <f aca="false">IF(AND(E3898&gt;0,B3898=10),1,0)</f>
        <v>0</v>
      </c>
      <c r="AB3898" s="0" t="str">
        <f aca="false">IF(AND(C3897=C3898,Y3897=Y3898-1),Z3897,"")</f>
        <v/>
      </c>
      <c r="AC3898" s="0" t="str">
        <f aca="false">IF(AND(C3897=C3898,Y3897=Y3898-1),AA3897,"")</f>
        <v/>
      </c>
      <c r="AD3898" s="0" t="str">
        <f aca="false">IF(Y3898=1,"",IF(AND(Z3898=1,AB3898&lt;&gt;1),1,0))</f>
        <v/>
      </c>
      <c r="AE3898" s="0" t="str">
        <f aca="false">IF(Y3898=1,"",IF(AND(AA3898=1,AC3898&lt;&gt;1),1,0))</f>
        <v/>
      </c>
      <c r="AF3898" s="45" t="str">
        <f aca="false">IF(AND(E3898&gt;0,Y3898&lt;1,NOT(AND(C3899=C3898,Y3899=Y3898+1))),INDEX(DATAS,Y3898+1),"")</f>
        <v/>
      </c>
      <c r="AG3898" s="45" t="str">
        <f aca="false">IF(AND(AA3898=1,Y3898&lt;1),IF(AND(C3899=C3898,Y3899=Y3898+1),IF(AA3899=1,"",INDEX(DATAS,Y3898+1)),INDEX(DATAS,Y3898+1)),"")</f>
        <v/>
      </c>
    </row>
    <row r="3899" customFormat="false" ht="15" hidden="false" customHeight="false" outlineLevel="0" collapsed="false">
      <c r="A3899" s="45" t="n">
        <v>46309</v>
      </c>
      <c r="B3899" s="0" t="n">
        <v>15</v>
      </c>
      <c r="C3899" s="0" t="n">
        <v>30815</v>
      </c>
      <c r="E3899" s="0" t="n">
        <v>0</v>
      </c>
      <c r="F3899" s="39" t="s">
        <v>1552</v>
      </c>
      <c r="I3899" s="39" t="s">
        <v>107</v>
      </c>
      <c r="U3899" s="0" t="n">
        <v>111</v>
      </c>
      <c r="V3899" s="0" t="n">
        <v>0</v>
      </c>
      <c r="W3899" s="39" t="n">
        <f aca="false">IF(I3899="Male",0,1)</f>
        <v>0</v>
      </c>
      <c r="X3899" s="39" t="n">
        <f aca="false">IF(OR(I3899="DNB",I3899="Dry DNB"),1,0)</f>
        <v>0</v>
      </c>
      <c r="Y3899" s="39" t="n">
        <f aca="false">MATCH(A3899,DATAS,0)</f>
        <v>1</v>
      </c>
      <c r="Z3899" s="39" t="n">
        <f aca="false">IF(AND(E3899&gt;0,OR(AND(B3899&gt;=1,B3899&lt;=6),B3899=10)),1,0)</f>
        <v>0</v>
      </c>
      <c r="AA3899" s="39" t="n">
        <f aca="false">IF(AND(E3899&gt;0,B3899=10),1,0)</f>
        <v>0</v>
      </c>
      <c r="AB3899" s="0" t="str">
        <f aca="false">IF(AND(C3898=C3899,Y3898=Y3899-1),Z3898,"")</f>
        <v/>
      </c>
      <c r="AC3899" s="0" t="str">
        <f aca="false">IF(AND(C3898=C3899,Y3898=Y3899-1),AA3898,"")</f>
        <v/>
      </c>
      <c r="AD3899" s="0" t="str">
        <f aca="false">IF(Y3899=1,"",IF(AND(Z3899=1,AB3899&lt;&gt;1),1,0))</f>
        <v/>
      </c>
      <c r="AE3899" s="0" t="str">
        <f aca="false">IF(Y3899=1,"",IF(AND(AA3899=1,AC3899&lt;&gt;1),1,0))</f>
        <v/>
      </c>
      <c r="AF3899" s="45" t="str">
        <f aca="false">IF(AND(E3899&gt;0,Y3899&lt;1,NOT(AND(C3900=C3899,Y3900=Y3899+1))),INDEX(DATAS,Y3899+1),"")</f>
        <v/>
      </c>
      <c r="AG3899" s="45" t="str">
        <f aca="false">IF(AND(AA3899=1,Y3899&lt;1),IF(AND(C3900=C3899,Y3900=Y3899+1),IF(AA3900=1,"",INDEX(DATAS,Y3899+1)),INDEX(DATAS,Y3899+1)),"")</f>
        <v/>
      </c>
    </row>
    <row r="3900" customFormat="false" ht="15" hidden="false" customHeight="false" outlineLevel="0" collapsed="false">
      <c r="A3900" s="45" t="n">
        <v>46309</v>
      </c>
      <c r="B3900" s="0" t="n">
        <v>15</v>
      </c>
      <c r="C3900" s="0" t="n">
        <v>30818</v>
      </c>
      <c r="E3900" s="0" t="n">
        <v>0</v>
      </c>
      <c r="F3900" s="39" t="s">
        <v>1554</v>
      </c>
      <c r="I3900" s="39" t="s">
        <v>107</v>
      </c>
      <c r="U3900" s="0" t="n">
        <v>109</v>
      </c>
      <c r="V3900" s="0" t="n">
        <v>0</v>
      </c>
      <c r="W3900" s="39" t="n">
        <f aca="false">IF(I3900="Male",0,1)</f>
        <v>0</v>
      </c>
      <c r="X3900" s="39" t="n">
        <f aca="false">IF(OR(I3900="DNB",I3900="Dry DNB"),1,0)</f>
        <v>0</v>
      </c>
      <c r="Y3900" s="39" t="n">
        <f aca="false">MATCH(A3900,DATAS,0)</f>
        <v>1</v>
      </c>
      <c r="Z3900" s="39" t="n">
        <f aca="false">IF(AND(E3900&gt;0,OR(AND(B3900&gt;=1,B3900&lt;=6),B3900=10)),1,0)</f>
        <v>0</v>
      </c>
      <c r="AA3900" s="39" t="n">
        <f aca="false">IF(AND(E3900&gt;0,B3900=10),1,0)</f>
        <v>0</v>
      </c>
      <c r="AB3900" s="0" t="str">
        <f aca="false">IF(AND(C3899=C3900,Y3899=Y3900-1),Z3899,"")</f>
        <v/>
      </c>
      <c r="AC3900" s="0" t="str">
        <f aca="false">IF(AND(C3899=C3900,Y3899=Y3900-1),AA3899,"")</f>
        <v/>
      </c>
      <c r="AD3900" s="0" t="str">
        <f aca="false">IF(Y3900=1,"",IF(AND(Z3900=1,AB3900&lt;&gt;1),1,0))</f>
        <v/>
      </c>
      <c r="AE3900" s="0" t="str">
        <f aca="false">IF(Y3900=1,"",IF(AND(AA3900=1,AC3900&lt;&gt;1),1,0))</f>
        <v/>
      </c>
      <c r="AF3900" s="45" t="str">
        <f aca="false">IF(AND(E3900&gt;0,Y3900&lt;1,NOT(AND(C3901=C3900,Y3901=Y3900+1))),INDEX(DATAS,Y3900+1),"")</f>
        <v/>
      </c>
      <c r="AG3900" s="45" t="str">
        <f aca="false">IF(AND(AA3900=1,Y3900&lt;1),IF(AND(C3901=C3900,Y3901=Y3900+1),IF(AA3901=1,"",INDEX(DATAS,Y3900+1)),INDEX(DATAS,Y3900+1)),"")</f>
        <v/>
      </c>
    </row>
    <row r="3901" customFormat="false" ht="15" hidden="false" customHeight="false" outlineLevel="0" collapsed="false">
      <c r="A3901" s="45" t="n">
        <v>46309</v>
      </c>
      <c r="B3901" s="0" t="n">
        <v>15</v>
      </c>
      <c r="C3901" s="0" t="n">
        <v>30819</v>
      </c>
      <c r="E3901" s="0" t="n">
        <v>0</v>
      </c>
      <c r="F3901" s="39" t="s">
        <v>1554</v>
      </c>
      <c r="I3901" s="39" t="s">
        <v>107</v>
      </c>
      <c r="U3901" s="0" t="n">
        <v>109</v>
      </c>
      <c r="V3901" s="0" t="n">
        <v>0</v>
      </c>
      <c r="W3901" s="39" t="n">
        <f aca="false">IF(I3901="Male",0,1)</f>
        <v>0</v>
      </c>
      <c r="X3901" s="39" t="n">
        <f aca="false">IF(OR(I3901="DNB",I3901="Dry DNB"),1,0)</f>
        <v>0</v>
      </c>
      <c r="Y3901" s="39" t="n">
        <f aca="false">MATCH(A3901,DATAS,0)</f>
        <v>1</v>
      </c>
      <c r="Z3901" s="39" t="n">
        <f aca="false">IF(AND(E3901&gt;0,OR(AND(B3901&gt;=1,B3901&lt;=6),B3901=10)),1,0)</f>
        <v>0</v>
      </c>
      <c r="AA3901" s="39" t="n">
        <f aca="false">IF(AND(E3901&gt;0,B3901=10),1,0)</f>
        <v>0</v>
      </c>
      <c r="AB3901" s="0" t="str">
        <f aca="false">IF(AND(C3900=C3901,Y3900=Y3901-1),Z3900,"")</f>
        <v/>
      </c>
      <c r="AC3901" s="0" t="str">
        <f aca="false">IF(AND(C3900=C3901,Y3900=Y3901-1),AA3900,"")</f>
        <v/>
      </c>
      <c r="AD3901" s="0" t="str">
        <f aca="false">IF(Y3901=1,"",IF(AND(Z3901=1,AB3901&lt;&gt;1),1,0))</f>
        <v/>
      </c>
      <c r="AE3901" s="0" t="str">
        <f aca="false">IF(Y3901=1,"",IF(AND(AA3901=1,AC3901&lt;&gt;1),1,0))</f>
        <v/>
      </c>
      <c r="AF3901" s="45" t="str">
        <f aca="false">IF(AND(E3901&gt;0,Y3901&lt;1,NOT(AND(C3902=C3901,Y3902=Y3901+1))),INDEX(DATAS,Y3901+1),"")</f>
        <v/>
      </c>
      <c r="AG3901" s="45" t="str">
        <f aca="false">IF(AND(AA3901=1,Y3901&lt;1),IF(AND(C3902=C3901,Y3902=Y3901+1),IF(AA3902=1,"",INDEX(DATAS,Y3901+1)),INDEX(DATAS,Y3901+1)),"")</f>
        <v/>
      </c>
    </row>
    <row r="3902" customFormat="false" ht="15" hidden="false" customHeight="false" outlineLevel="0" collapsed="false">
      <c r="A3902" s="45" t="n">
        <v>46309</v>
      </c>
      <c r="B3902" s="0" t="n">
        <v>15</v>
      </c>
      <c r="C3902" s="0" t="n">
        <v>30820</v>
      </c>
      <c r="E3902" s="0" t="n">
        <v>0</v>
      </c>
      <c r="F3902" s="39" t="s">
        <v>1554</v>
      </c>
      <c r="I3902" s="39" t="s">
        <v>107</v>
      </c>
      <c r="U3902" s="0" t="n">
        <v>109</v>
      </c>
      <c r="V3902" s="0" t="n">
        <v>0</v>
      </c>
      <c r="W3902" s="39" t="n">
        <f aca="false">IF(I3902="Male",0,1)</f>
        <v>0</v>
      </c>
      <c r="X3902" s="39" t="n">
        <f aca="false">IF(OR(I3902="DNB",I3902="Dry DNB"),1,0)</f>
        <v>0</v>
      </c>
      <c r="Y3902" s="39" t="n">
        <f aca="false">MATCH(A3902,DATAS,0)</f>
        <v>1</v>
      </c>
      <c r="Z3902" s="39" t="n">
        <f aca="false">IF(AND(E3902&gt;0,OR(AND(B3902&gt;=1,B3902&lt;=6),B3902=10)),1,0)</f>
        <v>0</v>
      </c>
      <c r="AA3902" s="39" t="n">
        <f aca="false">IF(AND(E3902&gt;0,B3902=10),1,0)</f>
        <v>0</v>
      </c>
      <c r="AB3902" s="0" t="str">
        <f aca="false">IF(AND(C3901=C3902,Y3901=Y3902-1),Z3901,"")</f>
        <v/>
      </c>
      <c r="AC3902" s="0" t="str">
        <f aca="false">IF(AND(C3901=C3902,Y3901=Y3902-1),AA3901,"")</f>
        <v/>
      </c>
      <c r="AD3902" s="0" t="str">
        <f aca="false">IF(Y3902=1,"",IF(AND(Z3902=1,AB3902&lt;&gt;1),1,0))</f>
        <v/>
      </c>
      <c r="AE3902" s="0" t="str">
        <f aca="false">IF(Y3902=1,"",IF(AND(AA3902=1,AC3902&lt;&gt;1),1,0))</f>
        <v/>
      </c>
      <c r="AF3902" s="45" t="str">
        <f aca="false">IF(AND(E3902&gt;0,Y3902&lt;1,NOT(AND(C3903=C3902,Y3903=Y3902+1))),INDEX(DATAS,Y3902+1),"")</f>
        <v/>
      </c>
      <c r="AG3902" s="45" t="str">
        <f aca="false">IF(AND(AA3902=1,Y3902&lt;1),IF(AND(C3903=C3902,Y3903=Y3902+1),IF(AA3903=1,"",INDEX(DATAS,Y3902+1)),INDEX(DATAS,Y3902+1)),"")</f>
        <v/>
      </c>
    </row>
    <row r="3903" customFormat="false" ht="15" hidden="false" customHeight="false" outlineLevel="0" collapsed="false">
      <c r="A3903" s="45" t="n">
        <v>46309</v>
      </c>
      <c r="B3903" s="0" t="n">
        <v>15</v>
      </c>
      <c r="C3903" s="0" t="n">
        <v>30821</v>
      </c>
      <c r="E3903" s="0" t="n">
        <v>0</v>
      </c>
      <c r="F3903" s="39" t="s">
        <v>1556</v>
      </c>
      <c r="I3903" s="39" t="s">
        <v>107</v>
      </c>
      <c r="U3903" s="0" t="n">
        <v>106</v>
      </c>
      <c r="V3903" s="0" t="n">
        <v>0</v>
      </c>
      <c r="W3903" s="39" t="n">
        <f aca="false">IF(I3903="Male",0,1)</f>
        <v>0</v>
      </c>
      <c r="X3903" s="39" t="n">
        <f aca="false">IF(OR(I3903="DNB",I3903="Dry DNB"),1,0)</f>
        <v>0</v>
      </c>
      <c r="Y3903" s="39" t="n">
        <f aca="false">MATCH(A3903,DATAS,0)</f>
        <v>1</v>
      </c>
      <c r="Z3903" s="39" t="n">
        <f aca="false">IF(AND(E3903&gt;0,OR(AND(B3903&gt;=1,B3903&lt;=6),B3903=10)),1,0)</f>
        <v>0</v>
      </c>
      <c r="AA3903" s="39" t="n">
        <f aca="false">IF(AND(E3903&gt;0,B3903=10),1,0)</f>
        <v>0</v>
      </c>
      <c r="AB3903" s="0" t="str">
        <f aca="false">IF(AND(C3902=C3903,Y3902=Y3903-1),Z3902,"")</f>
        <v/>
      </c>
      <c r="AC3903" s="0" t="str">
        <f aca="false">IF(AND(C3902=C3903,Y3902=Y3903-1),AA3902,"")</f>
        <v/>
      </c>
      <c r="AD3903" s="0" t="str">
        <f aca="false">IF(Y3903=1,"",IF(AND(Z3903=1,AB3903&lt;&gt;1),1,0))</f>
        <v/>
      </c>
      <c r="AE3903" s="0" t="str">
        <f aca="false">IF(Y3903=1,"",IF(AND(AA3903=1,AC3903&lt;&gt;1),1,0))</f>
        <v/>
      </c>
      <c r="AF3903" s="45" t="str">
        <f aca="false">IF(AND(E3903&gt;0,Y3903&lt;1,NOT(AND(C3904=C3903,Y3904=Y3903+1))),INDEX(DATAS,Y3903+1),"")</f>
        <v/>
      </c>
      <c r="AG3903" s="45" t="str">
        <f aca="false">IF(AND(AA3903=1,Y3903&lt;1),IF(AND(C3904=C3903,Y3904=Y3903+1),IF(AA3904=1,"",INDEX(DATAS,Y3903+1)),INDEX(DATAS,Y3903+1)),"")</f>
        <v/>
      </c>
    </row>
    <row r="3904" customFormat="false" ht="15" hidden="false" customHeight="false" outlineLevel="0" collapsed="false">
      <c r="A3904" s="45" t="n">
        <v>46309</v>
      </c>
      <c r="B3904" s="0" t="n">
        <v>15</v>
      </c>
      <c r="C3904" s="0" t="n">
        <v>30822</v>
      </c>
      <c r="E3904" s="0" t="n">
        <v>0</v>
      </c>
      <c r="F3904" s="39" t="s">
        <v>1556</v>
      </c>
      <c r="I3904" s="39" t="s">
        <v>107</v>
      </c>
      <c r="U3904" s="0" t="n">
        <v>106</v>
      </c>
      <c r="V3904" s="0" t="n">
        <v>0</v>
      </c>
      <c r="W3904" s="39" t="n">
        <f aca="false">IF(I3904="Male",0,1)</f>
        <v>0</v>
      </c>
      <c r="X3904" s="39" t="n">
        <f aca="false">IF(OR(I3904="DNB",I3904="Dry DNB"),1,0)</f>
        <v>0</v>
      </c>
      <c r="Y3904" s="39" t="n">
        <f aca="false">MATCH(A3904,DATAS,0)</f>
        <v>1</v>
      </c>
      <c r="Z3904" s="39" t="n">
        <f aca="false">IF(AND(E3904&gt;0,OR(AND(B3904&gt;=1,B3904&lt;=6),B3904=10)),1,0)</f>
        <v>0</v>
      </c>
      <c r="AA3904" s="39" t="n">
        <f aca="false">IF(AND(E3904&gt;0,B3904=10),1,0)</f>
        <v>0</v>
      </c>
      <c r="AB3904" s="0" t="str">
        <f aca="false">IF(AND(C3903=C3904,Y3903=Y3904-1),Z3903,"")</f>
        <v/>
      </c>
      <c r="AC3904" s="0" t="str">
        <f aca="false">IF(AND(C3903=C3904,Y3903=Y3904-1),AA3903,"")</f>
        <v/>
      </c>
      <c r="AD3904" s="0" t="str">
        <f aca="false">IF(Y3904=1,"",IF(AND(Z3904=1,AB3904&lt;&gt;1),1,0))</f>
        <v/>
      </c>
      <c r="AE3904" s="0" t="str">
        <f aca="false">IF(Y3904=1,"",IF(AND(AA3904=1,AC3904&lt;&gt;1),1,0))</f>
        <v/>
      </c>
      <c r="AF3904" s="45" t="str">
        <f aca="false">IF(AND(E3904&gt;0,Y3904&lt;1,NOT(AND(C3905=C3904,Y3905=Y3904+1))),INDEX(DATAS,Y3904+1),"")</f>
        <v/>
      </c>
      <c r="AG3904" s="45" t="str">
        <f aca="false">IF(AND(AA3904=1,Y3904&lt;1),IF(AND(C3905=C3904,Y3905=Y3904+1),IF(AA3905=1,"",INDEX(DATAS,Y3904+1)),INDEX(DATAS,Y3904+1)),"")</f>
        <v/>
      </c>
    </row>
    <row r="3905" customFormat="false" ht="15" hidden="false" customHeight="false" outlineLevel="0" collapsed="false">
      <c r="A3905" s="45" t="n">
        <v>46309</v>
      </c>
      <c r="B3905" s="0" t="n">
        <v>15</v>
      </c>
      <c r="C3905" s="0" t="n">
        <v>30823</v>
      </c>
      <c r="E3905" s="0" t="n">
        <v>0</v>
      </c>
      <c r="F3905" s="39" t="s">
        <v>1556</v>
      </c>
      <c r="I3905" s="39" t="s">
        <v>107</v>
      </c>
      <c r="U3905" s="0" t="n">
        <v>106</v>
      </c>
      <c r="V3905" s="0" t="n">
        <v>0</v>
      </c>
      <c r="W3905" s="39" t="n">
        <f aca="false">IF(I3905="Male",0,1)</f>
        <v>0</v>
      </c>
      <c r="X3905" s="39" t="n">
        <f aca="false">IF(OR(I3905="DNB",I3905="Dry DNB"),1,0)</f>
        <v>0</v>
      </c>
      <c r="Y3905" s="39" t="n">
        <f aca="false">MATCH(A3905,DATAS,0)</f>
        <v>1</v>
      </c>
      <c r="Z3905" s="39" t="n">
        <f aca="false">IF(AND(E3905&gt;0,OR(AND(B3905&gt;=1,B3905&lt;=6),B3905=10)),1,0)</f>
        <v>0</v>
      </c>
      <c r="AA3905" s="39" t="n">
        <f aca="false">IF(AND(E3905&gt;0,B3905=10),1,0)</f>
        <v>0</v>
      </c>
      <c r="AB3905" s="0" t="str">
        <f aca="false">IF(AND(C3904=C3905,Y3904=Y3905-1),Z3904,"")</f>
        <v/>
      </c>
      <c r="AC3905" s="0" t="str">
        <f aca="false">IF(AND(C3904=C3905,Y3904=Y3905-1),AA3904,"")</f>
        <v/>
      </c>
      <c r="AD3905" s="0" t="str">
        <f aca="false">IF(Y3905=1,"",IF(AND(Z3905=1,AB3905&lt;&gt;1),1,0))</f>
        <v/>
      </c>
      <c r="AE3905" s="0" t="str">
        <f aca="false">IF(Y3905=1,"",IF(AND(AA3905=1,AC3905&lt;&gt;1),1,0))</f>
        <v/>
      </c>
      <c r="AF3905" s="45" t="str">
        <f aca="false">IF(AND(E3905&gt;0,Y3905&lt;1,NOT(AND(C3906=C3905,Y3906=Y3905+1))),INDEX(DATAS,Y3905+1),"")</f>
        <v/>
      </c>
      <c r="AG3905" s="45" t="str">
        <f aca="false">IF(AND(AA3905=1,Y3905&lt;1),IF(AND(C3906=C3905,Y3906=Y3905+1),IF(AA3906=1,"",INDEX(DATAS,Y3905+1)),INDEX(DATAS,Y3905+1)),"")</f>
        <v/>
      </c>
    </row>
    <row r="3906" customFormat="false" ht="15" hidden="false" customHeight="false" outlineLevel="0" collapsed="false">
      <c r="A3906" s="45" t="n">
        <v>46309</v>
      </c>
      <c r="B3906" s="0" t="n">
        <v>15</v>
      </c>
      <c r="C3906" s="0" t="n">
        <v>30827</v>
      </c>
      <c r="E3906" s="0" t="n">
        <v>0</v>
      </c>
      <c r="F3906" s="39" t="s">
        <v>1663</v>
      </c>
      <c r="I3906" s="39" t="s">
        <v>107</v>
      </c>
      <c r="U3906" s="0" t="n">
        <v>105</v>
      </c>
      <c r="V3906" s="0" t="n">
        <v>0</v>
      </c>
      <c r="W3906" s="39" t="n">
        <f aca="false">IF(I3906="Male",0,1)</f>
        <v>0</v>
      </c>
      <c r="X3906" s="39" t="n">
        <f aca="false">IF(OR(I3906="DNB",I3906="Dry DNB"),1,0)</f>
        <v>0</v>
      </c>
      <c r="Y3906" s="39" t="n">
        <f aca="false">MATCH(A3906,DATAS,0)</f>
        <v>1</v>
      </c>
      <c r="Z3906" s="39" t="n">
        <f aca="false">IF(AND(E3906&gt;0,OR(AND(B3906&gt;=1,B3906&lt;=6),B3906=10)),1,0)</f>
        <v>0</v>
      </c>
      <c r="AA3906" s="39" t="n">
        <f aca="false">IF(AND(E3906&gt;0,B3906=10),1,0)</f>
        <v>0</v>
      </c>
      <c r="AB3906" s="0" t="str">
        <f aca="false">IF(AND(C3905=C3906,Y3905=Y3906-1),Z3905,"")</f>
        <v/>
      </c>
      <c r="AC3906" s="0" t="str">
        <f aca="false">IF(AND(C3905=C3906,Y3905=Y3906-1),AA3905,"")</f>
        <v/>
      </c>
      <c r="AD3906" s="0" t="str">
        <f aca="false">IF(Y3906=1,"",IF(AND(Z3906=1,AB3906&lt;&gt;1),1,0))</f>
        <v/>
      </c>
      <c r="AE3906" s="0" t="str">
        <f aca="false">IF(Y3906=1,"",IF(AND(AA3906=1,AC3906&lt;&gt;1),1,0))</f>
        <v/>
      </c>
      <c r="AF3906" s="45" t="str">
        <f aca="false">IF(AND(E3906&gt;0,Y3906&lt;1,NOT(AND(C3907=C3906,Y3907=Y3906+1))),INDEX(DATAS,Y3906+1),"")</f>
        <v/>
      </c>
      <c r="AG3906" s="45" t="str">
        <f aca="false">IF(AND(AA3906=1,Y3906&lt;1),IF(AND(C3907=C3906,Y3907=Y3906+1),IF(AA3907=1,"",INDEX(DATAS,Y3906+1)),INDEX(DATAS,Y3906+1)),"")</f>
        <v/>
      </c>
    </row>
    <row r="3907" customFormat="false" ht="15" hidden="false" customHeight="false" outlineLevel="0" collapsed="false">
      <c r="A3907" s="45" t="n">
        <v>46309</v>
      </c>
      <c r="B3907" s="0" t="n">
        <v>15</v>
      </c>
      <c r="C3907" s="0" t="n">
        <v>30830</v>
      </c>
      <c r="E3907" s="0" t="n">
        <v>0</v>
      </c>
      <c r="F3907" s="39" t="s">
        <v>1557</v>
      </c>
      <c r="I3907" s="39" t="s">
        <v>107</v>
      </c>
      <c r="U3907" s="0" t="n">
        <v>104</v>
      </c>
      <c r="V3907" s="0" t="n">
        <v>0</v>
      </c>
      <c r="W3907" s="39" t="n">
        <f aca="false">IF(I3907="Male",0,1)</f>
        <v>0</v>
      </c>
      <c r="X3907" s="39" t="n">
        <f aca="false">IF(OR(I3907="DNB",I3907="Dry DNB"),1,0)</f>
        <v>0</v>
      </c>
      <c r="Y3907" s="39" t="n">
        <f aca="false">MATCH(A3907,DATAS,0)</f>
        <v>1</v>
      </c>
      <c r="Z3907" s="39" t="n">
        <f aca="false">IF(AND(E3907&gt;0,OR(AND(B3907&gt;=1,B3907&lt;=6),B3907=10)),1,0)</f>
        <v>0</v>
      </c>
      <c r="AA3907" s="39" t="n">
        <f aca="false">IF(AND(E3907&gt;0,B3907=10),1,0)</f>
        <v>0</v>
      </c>
      <c r="AB3907" s="0" t="str">
        <f aca="false">IF(AND(C3906=C3907,Y3906=Y3907-1),Z3906,"")</f>
        <v/>
      </c>
      <c r="AC3907" s="0" t="str">
        <f aca="false">IF(AND(C3906=C3907,Y3906=Y3907-1),AA3906,"")</f>
        <v/>
      </c>
      <c r="AD3907" s="0" t="str">
        <f aca="false">IF(Y3907=1,"",IF(AND(Z3907=1,AB3907&lt;&gt;1),1,0))</f>
        <v/>
      </c>
      <c r="AE3907" s="0" t="str">
        <f aca="false">IF(Y3907=1,"",IF(AND(AA3907=1,AC3907&lt;&gt;1),1,0))</f>
        <v/>
      </c>
      <c r="AF3907" s="45" t="str">
        <f aca="false">IF(AND(E3907&gt;0,Y3907&lt;1,NOT(AND(C3908=C3907,Y3908=Y3907+1))),INDEX(DATAS,Y3907+1),"")</f>
        <v/>
      </c>
      <c r="AG3907" s="45" t="str">
        <f aca="false">IF(AND(AA3907=1,Y3907&lt;1),IF(AND(C3908=C3907,Y3908=Y3907+1),IF(AA3908=1,"",INDEX(DATAS,Y3907+1)),INDEX(DATAS,Y3907+1)),"")</f>
        <v/>
      </c>
    </row>
    <row r="3908" customFormat="false" ht="15" hidden="false" customHeight="false" outlineLevel="0" collapsed="false">
      <c r="A3908" s="45" t="n">
        <v>46309</v>
      </c>
      <c r="B3908" s="0" t="n">
        <v>15</v>
      </c>
      <c r="C3908" s="0" t="n">
        <v>30831</v>
      </c>
      <c r="E3908" s="0" t="n">
        <v>0</v>
      </c>
      <c r="F3908" s="39" t="s">
        <v>1557</v>
      </c>
      <c r="I3908" s="39" t="s">
        <v>107</v>
      </c>
      <c r="U3908" s="0" t="n">
        <v>104</v>
      </c>
      <c r="V3908" s="0" t="n">
        <v>0</v>
      </c>
      <c r="W3908" s="39" t="n">
        <f aca="false">IF(I3908="Male",0,1)</f>
        <v>0</v>
      </c>
      <c r="X3908" s="39" t="n">
        <f aca="false">IF(OR(I3908="DNB",I3908="Dry DNB"),1,0)</f>
        <v>0</v>
      </c>
      <c r="Y3908" s="39" t="n">
        <f aca="false">MATCH(A3908,DATAS,0)</f>
        <v>1</v>
      </c>
      <c r="Z3908" s="39" t="n">
        <f aca="false">IF(AND(E3908&gt;0,OR(AND(B3908&gt;=1,B3908&lt;=6),B3908=10)),1,0)</f>
        <v>0</v>
      </c>
      <c r="AA3908" s="39" t="n">
        <f aca="false">IF(AND(E3908&gt;0,B3908=10),1,0)</f>
        <v>0</v>
      </c>
      <c r="AB3908" s="0" t="str">
        <f aca="false">IF(AND(C3907=C3908,Y3907=Y3908-1),Z3907,"")</f>
        <v/>
      </c>
      <c r="AC3908" s="0" t="str">
        <f aca="false">IF(AND(C3907=C3908,Y3907=Y3908-1),AA3907,"")</f>
        <v/>
      </c>
      <c r="AD3908" s="0" t="str">
        <f aca="false">IF(Y3908=1,"",IF(AND(Z3908=1,AB3908&lt;&gt;1),1,0))</f>
        <v/>
      </c>
      <c r="AE3908" s="0" t="str">
        <f aca="false">IF(Y3908=1,"",IF(AND(AA3908=1,AC3908&lt;&gt;1),1,0))</f>
        <v/>
      </c>
      <c r="AF3908" s="45" t="str">
        <f aca="false">IF(AND(E3908&gt;0,Y3908&lt;1,NOT(AND(C3909=C3908,Y3909=Y3908+1))),INDEX(DATAS,Y3908+1),"")</f>
        <v/>
      </c>
      <c r="AG3908" s="45" t="str">
        <f aca="false">IF(AND(AA3908=1,Y3908&lt;1),IF(AND(C3909=C3908,Y3909=Y3908+1),IF(AA3909=1,"",INDEX(DATAS,Y3908+1)),INDEX(DATAS,Y3908+1)),"")</f>
        <v/>
      </c>
    </row>
    <row r="3909" customFormat="false" ht="15" hidden="false" customHeight="false" outlineLevel="0" collapsed="false">
      <c r="A3909" s="45" t="n">
        <v>46309</v>
      </c>
      <c r="B3909" s="0" t="n">
        <v>15</v>
      </c>
      <c r="C3909" s="0" t="n">
        <v>30837</v>
      </c>
      <c r="E3909" s="0" t="n">
        <v>0</v>
      </c>
      <c r="F3909" s="39" t="s">
        <v>1561</v>
      </c>
      <c r="I3909" s="39" t="s">
        <v>107</v>
      </c>
      <c r="U3909" s="0" t="n">
        <v>100</v>
      </c>
      <c r="V3909" s="0" t="n">
        <v>0</v>
      </c>
      <c r="W3909" s="39" t="n">
        <f aca="false">IF(I3909="Male",0,1)</f>
        <v>0</v>
      </c>
      <c r="X3909" s="39" t="n">
        <f aca="false">IF(OR(I3909="DNB",I3909="Dry DNB"),1,0)</f>
        <v>0</v>
      </c>
      <c r="Y3909" s="39" t="n">
        <f aca="false">MATCH(A3909,DATAS,0)</f>
        <v>1</v>
      </c>
      <c r="Z3909" s="39" t="n">
        <f aca="false">IF(AND(E3909&gt;0,OR(AND(B3909&gt;=1,B3909&lt;=6),B3909=10)),1,0)</f>
        <v>0</v>
      </c>
      <c r="AA3909" s="39" t="n">
        <f aca="false">IF(AND(E3909&gt;0,B3909=10),1,0)</f>
        <v>0</v>
      </c>
      <c r="AB3909" s="0" t="str">
        <f aca="false">IF(AND(C3908=C3909,Y3908=Y3909-1),Z3908,"")</f>
        <v/>
      </c>
      <c r="AC3909" s="0" t="str">
        <f aca="false">IF(AND(C3908=C3909,Y3908=Y3909-1),AA3908,"")</f>
        <v/>
      </c>
      <c r="AD3909" s="0" t="str">
        <f aca="false">IF(Y3909=1,"",IF(AND(Z3909=1,AB3909&lt;&gt;1),1,0))</f>
        <v/>
      </c>
      <c r="AE3909" s="0" t="str">
        <f aca="false">IF(Y3909=1,"",IF(AND(AA3909=1,AC3909&lt;&gt;1),1,0))</f>
        <v/>
      </c>
      <c r="AF3909" s="45" t="str">
        <f aca="false">IF(AND(E3909&gt;0,Y3909&lt;1,NOT(AND(C3910=C3909,Y3910=Y3909+1))),INDEX(DATAS,Y3909+1),"")</f>
        <v/>
      </c>
      <c r="AG3909" s="45" t="str">
        <f aca="false">IF(AND(AA3909=1,Y3909&lt;1),IF(AND(C3910=C3909,Y3910=Y3909+1),IF(AA3910=1,"",INDEX(DATAS,Y3909+1)),INDEX(DATAS,Y3909+1)),"")</f>
        <v/>
      </c>
    </row>
    <row r="3910" customFormat="false" ht="15" hidden="false" customHeight="false" outlineLevel="0" collapsed="false">
      <c r="A3910" s="45" t="n">
        <v>46309</v>
      </c>
      <c r="B3910" s="0" t="n">
        <v>15</v>
      </c>
      <c r="C3910" s="0" t="n">
        <v>30838</v>
      </c>
      <c r="E3910" s="0" t="n">
        <v>0</v>
      </c>
      <c r="F3910" s="39" t="s">
        <v>1561</v>
      </c>
      <c r="I3910" s="39" t="s">
        <v>107</v>
      </c>
      <c r="U3910" s="0" t="n">
        <v>100</v>
      </c>
      <c r="V3910" s="0" t="n">
        <v>0</v>
      </c>
      <c r="W3910" s="39" t="n">
        <f aca="false">IF(I3910="Male",0,1)</f>
        <v>0</v>
      </c>
      <c r="X3910" s="39" t="n">
        <f aca="false">IF(OR(I3910="DNB",I3910="Dry DNB"),1,0)</f>
        <v>0</v>
      </c>
      <c r="Y3910" s="39" t="n">
        <f aca="false">MATCH(A3910,DATAS,0)</f>
        <v>1</v>
      </c>
      <c r="Z3910" s="39" t="n">
        <f aca="false">IF(AND(E3910&gt;0,OR(AND(B3910&gt;=1,B3910&lt;=6),B3910=10)),1,0)</f>
        <v>0</v>
      </c>
      <c r="AA3910" s="39" t="n">
        <f aca="false">IF(AND(E3910&gt;0,B3910=10),1,0)</f>
        <v>0</v>
      </c>
      <c r="AB3910" s="0" t="str">
        <f aca="false">IF(AND(C3909=C3910,Y3909=Y3910-1),Z3909,"")</f>
        <v/>
      </c>
      <c r="AC3910" s="0" t="str">
        <f aca="false">IF(AND(C3909=C3910,Y3909=Y3910-1),AA3909,"")</f>
        <v/>
      </c>
      <c r="AD3910" s="0" t="str">
        <f aca="false">IF(Y3910=1,"",IF(AND(Z3910=1,AB3910&lt;&gt;1),1,0))</f>
        <v/>
      </c>
      <c r="AE3910" s="0" t="str">
        <f aca="false">IF(Y3910=1,"",IF(AND(AA3910=1,AC3910&lt;&gt;1),1,0))</f>
        <v/>
      </c>
      <c r="AF3910" s="45" t="str">
        <f aca="false">IF(AND(E3910&gt;0,Y3910&lt;1,NOT(AND(C3911=C3910,Y3911=Y3910+1))),INDEX(DATAS,Y3910+1),"")</f>
        <v/>
      </c>
      <c r="AG3910" s="45" t="str">
        <f aca="false">IF(AND(AA3910=1,Y3910&lt;1),IF(AND(C3911=C3910,Y3911=Y3910+1),IF(AA3911=1,"",INDEX(DATAS,Y3910+1)),INDEX(DATAS,Y3910+1)),"")</f>
        <v/>
      </c>
    </row>
    <row r="3911" customFormat="false" ht="15" hidden="false" customHeight="false" outlineLevel="0" collapsed="false">
      <c r="A3911" s="45" t="n">
        <v>46309</v>
      </c>
      <c r="B3911" s="0" t="n">
        <v>15</v>
      </c>
      <c r="C3911" s="0" t="n">
        <v>30841</v>
      </c>
      <c r="E3911" s="0" t="n">
        <v>0</v>
      </c>
      <c r="F3911" s="39" t="s">
        <v>1589</v>
      </c>
      <c r="I3911" s="39" t="s">
        <v>107</v>
      </c>
      <c r="U3911" s="0" t="n">
        <v>69</v>
      </c>
      <c r="V3911" s="0" t="n">
        <v>0</v>
      </c>
      <c r="W3911" s="39" t="n">
        <f aca="false">IF(I3911="Male",0,1)</f>
        <v>0</v>
      </c>
      <c r="X3911" s="39" t="n">
        <f aca="false">IF(OR(I3911="DNB",I3911="Dry DNB"),1,0)</f>
        <v>0</v>
      </c>
      <c r="Y3911" s="39" t="n">
        <f aca="false">MATCH(A3911,DATAS,0)</f>
        <v>1</v>
      </c>
      <c r="Z3911" s="39" t="n">
        <f aca="false">IF(AND(E3911&gt;0,OR(AND(B3911&gt;=1,B3911&lt;=6),B3911=10)),1,0)</f>
        <v>0</v>
      </c>
      <c r="AA3911" s="39" t="n">
        <f aca="false">IF(AND(E3911&gt;0,B3911=10),1,0)</f>
        <v>0</v>
      </c>
      <c r="AB3911" s="0" t="str">
        <f aca="false">IF(AND(C3910=C3911,Y3910=Y3911-1),Z3910,"")</f>
        <v/>
      </c>
      <c r="AC3911" s="0" t="str">
        <f aca="false">IF(AND(C3910=C3911,Y3910=Y3911-1),AA3910,"")</f>
        <v/>
      </c>
      <c r="AD3911" s="0" t="str">
        <f aca="false">IF(Y3911=1,"",IF(AND(Z3911=1,AB3911&lt;&gt;1),1,0))</f>
        <v/>
      </c>
      <c r="AE3911" s="0" t="str">
        <f aca="false">IF(Y3911=1,"",IF(AND(AA3911=1,AC3911&lt;&gt;1),1,0))</f>
        <v/>
      </c>
      <c r="AF3911" s="45" t="str">
        <f aca="false">IF(AND(E3911&gt;0,Y3911&lt;1,NOT(AND(C3912=C3911,Y3912=Y3911+1))),INDEX(DATAS,Y3911+1),"")</f>
        <v/>
      </c>
      <c r="AG3911" s="45" t="str">
        <f aca="false">IF(AND(AA3911=1,Y3911&lt;1),IF(AND(C3912=C3911,Y3912=Y3911+1),IF(AA3912=1,"",INDEX(DATAS,Y3911+1)),INDEX(DATAS,Y3911+1)),"")</f>
        <v/>
      </c>
    </row>
    <row r="3912" customFormat="false" ht="15" hidden="false" customHeight="false" outlineLevel="0" collapsed="false">
      <c r="A3912" s="45" t="n">
        <v>46309</v>
      </c>
      <c r="B3912" s="0" t="n">
        <v>15</v>
      </c>
      <c r="C3912" s="0" t="n">
        <v>30842</v>
      </c>
      <c r="E3912" s="0" t="n">
        <v>0</v>
      </c>
      <c r="F3912" s="39" t="s">
        <v>1563</v>
      </c>
      <c r="I3912" s="39" t="s">
        <v>107</v>
      </c>
      <c r="U3912" s="0" t="n">
        <v>98</v>
      </c>
      <c r="V3912" s="0" t="n">
        <v>0</v>
      </c>
      <c r="W3912" s="39" t="n">
        <f aca="false">IF(I3912="Male",0,1)</f>
        <v>0</v>
      </c>
      <c r="X3912" s="39" t="n">
        <f aca="false">IF(OR(I3912="DNB",I3912="Dry DNB"),1,0)</f>
        <v>0</v>
      </c>
      <c r="Y3912" s="39" t="n">
        <f aca="false">MATCH(A3912,DATAS,0)</f>
        <v>1</v>
      </c>
      <c r="Z3912" s="39" t="n">
        <f aca="false">IF(AND(E3912&gt;0,OR(AND(B3912&gt;=1,B3912&lt;=6),B3912=10)),1,0)</f>
        <v>0</v>
      </c>
      <c r="AA3912" s="39" t="n">
        <f aca="false">IF(AND(E3912&gt;0,B3912=10),1,0)</f>
        <v>0</v>
      </c>
      <c r="AB3912" s="0" t="str">
        <f aca="false">IF(AND(C3911=C3912,Y3911=Y3912-1),Z3911,"")</f>
        <v/>
      </c>
      <c r="AC3912" s="0" t="str">
        <f aca="false">IF(AND(C3911=C3912,Y3911=Y3912-1),AA3911,"")</f>
        <v/>
      </c>
      <c r="AD3912" s="0" t="str">
        <f aca="false">IF(Y3912=1,"",IF(AND(Z3912=1,AB3912&lt;&gt;1),1,0))</f>
        <v/>
      </c>
      <c r="AE3912" s="0" t="str">
        <f aca="false">IF(Y3912=1,"",IF(AND(AA3912=1,AC3912&lt;&gt;1),1,0))</f>
        <v/>
      </c>
      <c r="AF3912" s="45" t="str">
        <f aca="false">IF(AND(E3912&gt;0,Y3912&lt;1,NOT(AND(C3913=C3912,Y3913=Y3912+1))),INDEX(DATAS,Y3912+1),"")</f>
        <v/>
      </c>
      <c r="AG3912" s="45" t="str">
        <f aca="false">IF(AND(AA3912=1,Y3912&lt;1),IF(AND(C3913=C3912,Y3913=Y3912+1),IF(AA3913=1,"",INDEX(DATAS,Y3912+1)),INDEX(DATAS,Y3912+1)),"")</f>
        <v/>
      </c>
    </row>
    <row r="3913" customFormat="false" ht="15" hidden="false" customHeight="false" outlineLevel="0" collapsed="false">
      <c r="A3913" s="45" t="n">
        <v>46309</v>
      </c>
      <c r="B3913" s="0" t="n">
        <v>15</v>
      </c>
      <c r="C3913" s="0" t="n">
        <v>30845</v>
      </c>
      <c r="E3913" s="0" t="n">
        <v>0</v>
      </c>
      <c r="F3913" s="39" t="s">
        <v>1565</v>
      </c>
      <c r="I3913" s="39" t="s">
        <v>107</v>
      </c>
      <c r="U3913" s="0" t="n">
        <v>96</v>
      </c>
      <c r="V3913" s="0" t="n">
        <v>0</v>
      </c>
      <c r="W3913" s="39" t="n">
        <f aca="false">IF(I3913="Male",0,1)</f>
        <v>0</v>
      </c>
      <c r="X3913" s="39" t="n">
        <f aca="false">IF(OR(I3913="DNB",I3913="Dry DNB"),1,0)</f>
        <v>0</v>
      </c>
      <c r="Y3913" s="39" t="n">
        <f aca="false">MATCH(A3913,DATAS,0)</f>
        <v>1</v>
      </c>
      <c r="Z3913" s="39" t="n">
        <f aca="false">IF(AND(E3913&gt;0,OR(AND(B3913&gt;=1,B3913&lt;=6),B3913=10)),1,0)</f>
        <v>0</v>
      </c>
      <c r="AA3913" s="39" t="n">
        <f aca="false">IF(AND(E3913&gt;0,B3913=10),1,0)</f>
        <v>0</v>
      </c>
      <c r="AB3913" s="0" t="str">
        <f aca="false">IF(AND(C3912=C3913,Y3912=Y3913-1),Z3912,"")</f>
        <v/>
      </c>
      <c r="AC3913" s="0" t="str">
        <f aca="false">IF(AND(C3912=C3913,Y3912=Y3913-1),AA3912,"")</f>
        <v/>
      </c>
      <c r="AD3913" s="0" t="str">
        <f aca="false">IF(Y3913=1,"",IF(AND(Z3913=1,AB3913&lt;&gt;1),1,0))</f>
        <v/>
      </c>
      <c r="AE3913" s="0" t="str">
        <f aca="false">IF(Y3913=1,"",IF(AND(AA3913=1,AC3913&lt;&gt;1),1,0))</f>
        <v/>
      </c>
      <c r="AF3913" s="45" t="str">
        <f aca="false">IF(AND(E3913&gt;0,Y3913&lt;1,NOT(AND(C3914=C3913,Y3914=Y3913+1))),INDEX(DATAS,Y3913+1),"")</f>
        <v/>
      </c>
      <c r="AG3913" s="45" t="str">
        <f aca="false">IF(AND(AA3913=1,Y3913&lt;1),IF(AND(C3914=C3913,Y3914=Y3913+1),IF(AA3914=1,"",INDEX(DATAS,Y3913+1)),INDEX(DATAS,Y3913+1)),"")</f>
        <v/>
      </c>
    </row>
    <row r="3914" customFormat="false" ht="15" hidden="false" customHeight="false" outlineLevel="0" collapsed="false">
      <c r="A3914" s="45" t="n">
        <v>46309</v>
      </c>
      <c r="B3914" s="0" t="n">
        <v>15</v>
      </c>
      <c r="C3914" s="0" t="n">
        <v>30847</v>
      </c>
      <c r="E3914" s="0" t="n">
        <v>0</v>
      </c>
      <c r="F3914" s="39" t="s">
        <v>1565</v>
      </c>
      <c r="I3914" s="39" t="s">
        <v>107</v>
      </c>
      <c r="U3914" s="0" t="n">
        <v>96</v>
      </c>
      <c r="V3914" s="0" t="n">
        <v>0</v>
      </c>
      <c r="W3914" s="39" t="n">
        <f aca="false">IF(I3914="Male",0,1)</f>
        <v>0</v>
      </c>
      <c r="X3914" s="39" t="n">
        <f aca="false">IF(OR(I3914="DNB",I3914="Dry DNB"),1,0)</f>
        <v>0</v>
      </c>
      <c r="Y3914" s="39" t="n">
        <f aca="false">MATCH(A3914,DATAS,0)</f>
        <v>1</v>
      </c>
      <c r="Z3914" s="39" t="n">
        <f aca="false">IF(AND(E3914&gt;0,OR(AND(B3914&gt;=1,B3914&lt;=6),B3914=10)),1,0)</f>
        <v>0</v>
      </c>
      <c r="AA3914" s="39" t="n">
        <f aca="false">IF(AND(E3914&gt;0,B3914=10),1,0)</f>
        <v>0</v>
      </c>
      <c r="AB3914" s="0" t="str">
        <f aca="false">IF(AND(C3913=C3914,Y3913=Y3914-1),Z3913,"")</f>
        <v/>
      </c>
      <c r="AC3914" s="0" t="str">
        <f aca="false">IF(AND(C3913=C3914,Y3913=Y3914-1),AA3913,"")</f>
        <v/>
      </c>
      <c r="AD3914" s="0" t="str">
        <f aca="false">IF(Y3914=1,"",IF(AND(Z3914=1,AB3914&lt;&gt;1),1,0))</f>
        <v/>
      </c>
      <c r="AE3914" s="0" t="str">
        <f aca="false">IF(Y3914=1,"",IF(AND(AA3914=1,AC3914&lt;&gt;1),1,0))</f>
        <v/>
      </c>
      <c r="AF3914" s="45" t="str">
        <f aca="false">IF(AND(E3914&gt;0,Y3914&lt;1,NOT(AND(C3915=C3914,Y3915=Y3914+1))),INDEX(DATAS,Y3914+1),"")</f>
        <v/>
      </c>
      <c r="AG3914" s="45" t="str">
        <f aca="false">IF(AND(AA3914=1,Y3914&lt;1),IF(AND(C3915=C3914,Y3915=Y3914+1),IF(AA3915=1,"",INDEX(DATAS,Y3914+1)),INDEX(DATAS,Y3914+1)),"")</f>
        <v/>
      </c>
    </row>
    <row r="3915" customFormat="false" ht="15" hidden="false" customHeight="false" outlineLevel="0" collapsed="false">
      <c r="A3915" s="45" t="n">
        <v>46309</v>
      </c>
      <c r="B3915" s="0" t="n">
        <v>15</v>
      </c>
      <c r="C3915" s="0" t="n">
        <v>30848</v>
      </c>
      <c r="E3915" s="0" t="n">
        <v>0</v>
      </c>
      <c r="F3915" s="39" t="s">
        <v>1566</v>
      </c>
      <c r="I3915" s="39" t="s">
        <v>107</v>
      </c>
      <c r="U3915" s="0" t="n">
        <v>95</v>
      </c>
      <c r="V3915" s="0" t="n">
        <v>0</v>
      </c>
      <c r="W3915" s="39" t="n">
        <f aca="false">IF(I3915="Male",0,1)</f>
        <v>0</v>
      </c>
      <c r="X3915" s="39" t="n">
        <f aca="false">IF(OR(I3915="DNB",I3915="Dry DNB"),1,0)</f>
        <v>0</v>
      </c>
      <c r="Y3915" s="39" t="n">
        <f aca="false">MATCH(A3915,DATAS,0)</f>
        <v>1</v>
      </c>
      <c r="Z3915" s="39" t="n">
        <f aca="false">IF(AND(E3915&gt;0,OR(AND(B3915&gt;=1,B3915&lt;=6),B3915=10)),1,0)</f>
        <v>0</v>
      </c>
      <c r="AA3915" s="39" t="n">
        <f aca="false">IF(AND(E3915&gt;0,B3915=10),1,0)</f>
        <v>0</v>
      </c>
      <c r="AB3915" s="0" t="str">
        <f aca="false">IF(AND(C3914=C3915,Y3914=Y3915-1),Z3914,"")</f>
        <v/>
      </c>
      <c r="AC3915" s="0" t="str">
        <f aca="false">IF(AND(C3914=C3915,Y3914=Y3915-1),AA3914,"")</f>
        <v/>
      </c>
      <c r="AD3915" s="0" t="str">
        <f aca="false">IF(Y3915=1,"",IF(AND(Z3915=1,AB3915&lt;&gt;1),1,0))</f>
        <v/>
      </c>
      <c r="AE3915" s="0" t="str">
        <f aca="false">IF(Y3915=1,"",IF(AND(AA3915=1,AC3915&lt;&gt;1),1,0))</f>
        <v/>
      </c>
      <c r="AF3915" s="45" t="str">
        <f aca="false">IF(AND(E3915&gt;0,Y3915&lt;1,NOT(AND(C3916=C3915,Y3916=Y3915+1))),INDEX(DATAS,Y3915+1),"")</f>
        <v/>
      </c>
      <c r="AG3915" s="45" t="str">
        <f aca="false">IF(AND(AA3915=1,Y3915&lt;1),IF(AND(C3916=C3915,Y3916=Y3915+1),IF(AA3916=1,"",INDEX(DATAS,Y3915+1)),INDEX(DATAS,Y3915+1)),"")</f>
        <v/>
      </c>
    </row>
    <row r="3916" customFormat="false" ht="15" hidden="false" customHeight="false" outlineLevel="0" collapsed="false">
      <c r="A3916" s="45" t="n">
        <v>46309</v>
      </c>
      <c r="B3916" s="0" t="n">
        <v>15</v>
      </c>
      <c r="C3916" s="0" t="n">
        <v>30850</v>
      </c>
      <c r="E3916" s="0" t="n">
        <v>0</v>
      </c>
      <c r="F3916" s="39" t="s">
        <v>1569</v>
      </c>
      <c r="I3916" s="39" t="s">
        <v>107</v>
      </c>
      <c r="U3916" s="0" t="n">
        <v>92</v>
      </c>
      <c r="V3916" s="0" t="n">
        <v>0</v>
      </c>
      <c r="W3916" s="39" t="n">
        <f aca="false">IF(I3916="Male",0,1)</f>
        <v>0</v>
      </c>
      <c r="X3916" s="39" t="n">
        <f aca="false">IF(OR(I3916="DNB",I3916="Dry DNB"),1,0)</f>
        <v>0</v>
      </c>
      <c r="Y3916" s="39" t="n">
        <f aca="false">MATCH(A3916,DATAS,0)</f>
        <v>1</v>
      </c>
      <c r="Z3916" s="39" t="n">
        <f aca="false">IF(AND(E3916&gt;0,OR(AND(B3916&gt;=1,B3916&lt;=6),B3916=10)),1,0)</f>
        <v>0</v>
      </c>
      <c r="AA3916" s="39" t="n">
        <f aca="false">IF(AND(E3916&gt;0,B3916=10),1,0)</f>
        <v>0</v>
      </c>
      <c r="AB3916" s="0" t="str">
        <f aca="false">IF(AND(C3915=C3916,Y3915=Y3916-1),Z3915,"")</f>
        <v/>
      </c>
      <c r="AC3916" s="0" t="str">
        <f aca="false">IF(AND(C3915=C3916,Y3915=Y3916-1),AA3915,"")</f>
        <v/>
      </c>
      <c r="AD3916" s="0" t="str">
        <f aca="false">IF(Y3916=1,"",IF(AND(Z3916=1,AB3916&lt;&gt;1),1,0))</f>
        <v/>
      </c>
      <c r="AE3916" s="0" t="str">
        <f aca="false">IF(Y3916=1,"",IF(AND(AA3916=1,AC3916&lt;&gt;1),1,0))</f>
        <v/>
      </c>
      <c r="AF3916" s="45" t="str">
        <f aca="false">IF(AND(E3916&gt;0,Y3916&lt;1,NOT(AND(C3917=C3916,Y3917=Y3916+1))),INDEX(DATAS,Y3916+1),"")</f>
        <v/>
      </c>
      <c r="AG3916" s="45" t="str">
        <f aca="false">IF(AND(AA3916=1,Y3916&lt;1),IF(AND(C3917=C3916,Y3917=Y3916+1),IF(AA3917=1,"",INDEX(DATAS,Y3916+1)),INDEX(DATAS,Y3916+1)),"")</f>
        <v/>
      </c>
    </row>
    <row r="3917" customFormat="false" ht="15" hidden="false" customHeight="false" outlineLevel="0" collapsed="false">
      <c r="A3917" s="45" t="n">
        <v>46309</v>
      </c>
      <c r="B3917" s="0" t="n">
        <v>15</v>
      </c>
      <c r="C3917" s="0" t="n">
        <v>30851</v>
      </c>
      <c r="E3917" s="0" t="n">
        <v>0</v>
      </c>
      <c r="F3917" s="39" t="s">
        <v>1569</v>
      </c>
      <c r="I3917" s="39" t="s">
        <v>107</v>
      </c>
      <c r="U3917" s="0" t="n">
        <v>92</v>
      </c>
      <c r="V3917" s="0" t="n">
        <v>0</v>
      </c>
      <c r="W3917" s="39" t="n">
        <f aca="false">IF(I3917="Male",0,1)</f>
        <v>0</v>
      </c>
      <c r="X3917" s="39" t="n">
        <f aca="false">IF(OR(I3917="DNB",I3917="Dry DNB"),1,0)</f>
        <v>0</v>
      </c>
      <c r="Y3917" s="39" t="n">
        <f aca="false">MATCH(A3917,DATAS,0)</f>
        <v>1</v>
      </c>
      <c r="Z3917" s="39" t="n">
        <f aca="false">IF(AND(E3917&gt;0,OR(AND(B3917&gt;=1,B3917&lt;=6),B3917=10)),1,0)</f>
        <v>0</v>
      </c>
      <c r="AA3917" s="39" t="n">
        <f aca="false">IF(AND(E3917&gt;0,B3917=10),1,0)</f>
        <v>0</v>
      </c>
      <c r="AB3917" s="0" t="str">
        <f aca="false">IF(AND(C3916=C3917,Y3916=Y3917-1),Z3916,"")</f>
        <v/>
      </c>
      <c r="AC3917" s="0" t="str">
        <f aca="false">IF(AND(C3916=C3917,Y3916=Y3917-1),AA3916,"")</f>
        <v/>
      </c>
      <c r="AD3917" s="0" t="str">
        <f aca="false">IF(Y3917=1,"",IF(AND(Z3917=1,AB3917&lt;&gt;1),1,0))</f>
        <v/>
      </c>
      <c r="AE3917" s="0" t="str">
        <f aca="false">IF(Y3917=1,"",IF(AND(AA3917=1,AC3917&lt;&gt;1),1,0))</f>
        <v/>
      </c>
      <c r="AF3917" s="45" t="str">
        <f aca="false">IF(AND(E3917&gt;0,Y3917&lt;1,NOT(AND(C3918=C3917,Y3918=Y3917+1))),INDEX(DATAS,Y3917+1),"")</f>
        <v/>
      </c>
      <c r="AG3917" s="45" t="str">
        <f aca="false">IF(AND(AA3917=1,Y3917&lt;1),IF(AND(C3918=C3917,Y3918=Y3917+1),IF(AA3918=1,"",INDEX(DATAS,Y3917+1)),INDEX(DATAS,Y3917+1)),"")</f>
        <v/>
      </c>
    </row>
    <row r="3918" customFormat="false" ht="15" hidden="false" customHeight="false" outlineLevel="0" collapsed="false">
      <c r="A3918" s="45" t="n">
        <v>46309</v>
      </c>
      <c r="B3918" s="0" t="n">
        <v>15</v>
      </c>
      <c r="C3918" s="0" t="n">
        <v>30855</v>
      </c>
      <c r="E3918" s="0" t="n">
        <v>0</v>
      </c>
      <c r="F3918" s="39" t="s">
        <v>1570</v>
      </c>
      <c r="I3918" s="39" t="s">
        <v>107</v>
      </c>
      <c r="U3918" s="0" t="n">
        <v>91</v>
      </c>
      <c r="V3918" s="0" t="n">
        <v>0</v>
      </c>
      <c r="W3918" s="39" t="n">
        <f aca="false">IF(I3918="Male",0,1)</f>
        <v>0</v>
      </c>
      <c r="X3918" s="39" t="n">
        <f aca="false">IF(OR(I3918="DNB",I3918="Dry DNB"),1,0)</f>
        <v>0</v>
      </c>
      <c r="Y3918" s="39" t="n">
        <f aca="false">MATCH(A3918,DATAS,0)</f>
        <v>1</v>
      </c>
      <c r="Z3918" s="39" t="n">
        <f aca="false">IF(AND(E3918&gt;0,OR(AND(B3918&gt;=1,B3918&lt;=6),B3918=10)),1,0)</f>
        <v>0</v>
      </c>
      <c r="AA3918" s="39" t="n">
        <f aca="false">IF(AND(E3918&gt;0,B3918=10),1,0)</f>
        <v>0</v>
      </c>
      <c r="AB3918" s="0" t="str">
        <f aca="false">IF(AND(C3917=C3918,Y3917=Y3918-1),Z3917,"")</f>
        <v/>
      </c>
      <c r="AC3918" s="0" t="str">
        <f aca="false">IF(AND(C3917=C3918,Y3917=Y3918-1),AA3917,"")</f>
        <v/>
      </c>
      <c r="AD3918" s="0" t="str">
        <f aca="false">IF(Y3918=1,"",IF(AND(Z3918=1,AB3918&lt;&gt;1),1,0))</f>
        <v/>
      </c>
      <c r="AE3918" s="0" t="str">
        <f aca="false">IF(Y3918=1,"",IF(AND(AA3918=1,AC3918&lt;&gt;1),1,0))</f>
        <v/>
      </c>
      <c r="AF3918" s="45" t="str">
        <f aca="false">IF(AND(E3918&gt;0,Y3918&lt;1,NOT(AND(C3919=C3918,Y3919=Y3918+1))),INDEX(DATAS,Y3918+1),"")</f>
        <v/>
      </c>
      <c r="AG3918" s="45" t="str">
        <f aca="false">IF(AND(AA3918=1,Y3918&lt;1),IF(AND(C3919=C3918,Y3919=Y3918+1),IF(AA3919=1,"",INDEX(DATAS,Y3918+1)),INDEX(DATAS,Y3918+1)),"")</f>
        <v/>
      </c>
    </row>
    <row r="3919" customFormat="false" ht="15" hidden="false" customHeight="false" outlineLevel="0" collapsed="false">
      <c r="A3919" s="45" t="n">
        <v>46309</v>
      </c>
      <c r="B3919" s="0" t="n">
        <v>15</v>
      </c>
      <c r="C3919" s="0" t="n">
        <v>30859</v>
      </c>
      <c r="E3919" s="0" t="n">
        <v>0</v>
      </c>
      <c r="F3919" s="39" t="s">
        <v>1575</v>
      </c>
      <c r="I3919" s="39" t="s">
        <v>107</v>
      </c>
      <c r="U3919" s="0" t="n">
        <v>86</v>
      </c>
      <c r="V3919" s="0" t="n">
        <v>0</v>
      </c>
      <c r="W3919" s="39" t="n">
        <f aca="false">IF(I3919="Male",0,1)</f>
        <v>0</v>
      </c>
      <c r="X3919" s="39" t="n">
        <f aca="false">IF(OR(I3919="DNB",I3919="Dry DNB"),1,0)</f>
        <v>0</v>
      </c>
      <c r="Y3919" s="39" t="n">
        <f aca="false">MATCH(A3919,DATAS,0)</f>
        <v>1</v>
      </c>
      <c r="Z3919" s="39" t="n">
        <f aca="false">IF(AND(E3919&gt;0,OR(AND(B3919&gt;=1,B3919&lt;=6),B3919=10)),1,0)</f>
        <v>0</v>
      </c>
      <c r="AA3919" s="39" t="n">
        <f aca="false">IF(AND(E3919&gt;0,B3919=10),1,0)</f>
        <v>0</v>
      </c>
      <c r="AB3919" s="0" t="str">
        <f aca="false">IF(AND(C3918=C3919,Y3918=Y3919-1),Z3918,"")</f>
        <v/>
      </c>
      <c r="AC3919" s="0" t="str">
        <f aca="false">IF(AND(C3918=C3919,Y3918=Y3919-1),AA3918,"")</f>
        <v/>
      </c>
      <c r="AD3919" s="0" t="str">
        <f aca="false">IF(Y3919=1,"",IF(AND(Z3919=1,AB3919&lt;&gt;1),1,0))</f>
        <v/>
      </c>
      <c r="AE3919" s="0" t="str">
        <f aca="false">IF(Y3919=1,"",IF(AND(AA3919=1,AC3919&lt;&gt;1),1,0))</f>
        <v/>
      </c>
      <c r="AF3919" s="45" t="str">
        <f aca="false">IF(AND(E3919&gt;0,Y3919&lt;1,NOT(AND(C3920=C3919,Y3920=Y3919+1))),INDEX(DATAS,Y3919+1),"")</f>
        <v/>
      </c>
      <c r="AG3919" s="45" t="str">
        <f aca="false">IF(AND(AA3919=1,Y3919&lt;1),IF(AND(C3920=C3919,Y3920=Y3919+1),IF(AA3920=1,"",INDEX(DATAS,Y3919+1)),INDEX(DATAS,Y3919+1)),"")</f>
        <v/>
      </c>
    </row>
    <row r="3920" customFormat="false" ht="15" hidden="false" customHeight="false" outlineLevel="0" collapsed="false">
      <c r="A3920" s="45" t="n">
        <v>46309</v>
      </c>
      <c r="B3920" s="0" t="n">
        <v>15</v>
      </c>
      <c r="C3920" s="0" t="n">
        <v>30860</v>
      </c>
      <c r="E3920" s="0" t="n">
        <v>0</v>
      </c>
      <c r="F3920" s="39" t="s">
        <v>1575</v>
      </c>
      <c r="I3920" s="39" t="s">
        <v>107</v>
      </c>
      <c r="U3920" s="0" t="n">
        <v>86</v>
      </c>
      <c r="V3920" s="0" t="n">
        <v>0</v>
      </c>
      <c r="W3920" s="39" t="n">
        <f aca="false">IF(I3920="Male",0,1)</f>
        <v>0</v>
      </c>
      <c r="X3920" s="39" t="n">
        <f aca="false">IF(OR(I3920="DNB",I3920="Dry DNB"),1,0)</f>
        <v>0</v>
      </c>
      <c r="Y3920" s="39" t="n">
        <f aca="false">MATCH(A3920,DATAS,0)</f>
        <v>1</v>
      </c>
      <c r="Z3920" s="39" t="n">
        <f aca="false">IF(AND(E3920&gt;0,OR(AND(B3920&gt;=1,B3920&lt;=6),B3920=10)),1,0)</f>
        <v>0</v>
      </c>
      <c r="AA3920" s="39" t="n">
        <f aca="false">IF(AND(E3920&gt;0,B3920=10),1,0)</f>
        <v>0</v>
      </c>
      <c r="AB3920" s="0" t="str">
        <f aca="false">IF(AND(C3919=C3920,Y3919=Y3920-1),Z3919,"")</f>
        <v/>
      </c>
      <c r="AC3920" s="0" t="str">
        <f aca="false">IF(AND(C3919=C3920,Y3919=Y3920-1),AA3919,"")</f>
        <v/>
      </c>
      <c r="AD3920" s="0" t="str">
        <f aca="false">IF(Y3920=1,"",IF(AND(Z3920=1,AB3920&lt;&gt;1),1,0))</f>
        <v/>
      </c>
      <c r="AE3920" s="0" t="str">
        <f aca="false">IF(Y3920=1,"",IF(AND(AA3920=1,AC3920&lt;&gt;1),1,0))</f>
        <v/>
      </c>
      <c r="AF3920" s="45" t="str">
        <f aca="false">IF(AND(E3920&gt;0,Y3920&lt;1,NOT(AND(C3921=C3920,Y3921=Y3920+1))),INDEX(DATAS,Y3920+1),"")</f>
        <v/>
      </c>
      <c r="AG3920" s="45" t="str">
        <f aca="false">IF(AND(AA3920=1,Y3920&lt;1),IF(AND(C3921=C3920,Y3921=Y3920+1),IF(AA3921=1,"",INDEX(DATAS,Y3920+1)),INDEX(DATAS,Y3920+1)),"")</f>
        <v/>
      </c>
    </row>
    <row r="3921" customFormat="false" ht="15" hidden="false" customHeight="false" outlineLevel="0" collapsed="false">
      <c r="A3921" s="45" t="n">
        <v>46309</v>
      </c>
      <c r="B3921" s="0" t="n">
        <v>15</v>
      </c>
      <c r="C3921" s="0" t="n">
        <v>30861</v>
      </c>
      <c r="E3921" s="0" t="n">
        <v>0</v>
      </c>
      <c r="F3921" s="39" t="s">
        <v>1664</v>
      </c>
      <c r="I3921" s="39" t="s">
        <v>107</v>
      </c>
      <c r="U3921" s="0" t="n">
        <v>85</v>
      </c>
      <c r="V3921" s="0" t="n">
        <v>0</v>
      </c>
      <c r="W3921" s="39" t="n">
        <f aca="false">IF(I3921="Male",0,1)</f>
        <v>0</v>
      </c>
      <c r="X3921" s="39" t="n">
        <f aca="false">IF(OR(I3921="DNB",I3921="Dry DNB"),1,0)</f>
        <v>0</v>
      </c>
      <c r="Y3921" s="39" t="n">
        <f aca="false">MATCH(A3921,DATAS,0)</f>
        <v>1</v>
      </c>
      <c r="Z3921" s="39" t="n">
        <f aca="false">IF(AND(E3921&gt;0,OR(AND(B3921&gt;=1,B3921&lt;=6),B3921=10)),1,0)</f>
        <v>0</v>
      </c>
      <c r="AA3921" s="39" t="n">
        <f aca="false">IF(AND(E3921&gt;0,B3921=10),1,0)</f>
        <v>0</v>
      </c>
      <c r="AB3921" s="0" t="str">
        <f aca="false">IF(AND(C3920=C3921,Y3920=Y3921-1),Z3920,"")</f>
        <v/>
      </c>
      <c r="AC3921" s="0" t="str">
        <f aca="false">IF(AND(C3920=C3921,Y3920=Y3921-1),AA3920,"")</f>
        <v/>
      </c>
      <c r="AD3921" s="0" t="str">
        <f aca="false">IF(Y3921=1,"",IF(AND(Z3921=1,AB3921&lt;&gt;1),1,0))</f>
        <v/>
      </c>
      <c r="AE3921" s="0" t="str">
        <f aca="false">IF(Y3921=1,"",IF(AND(AA3921=1,AC3921&lt;&gt;1),1,0))</f>
        <v/>
      </c>
      <c r="AF3921" s="45" t="str">
        <f aca="false">IF(AND(E3921&gt;0,Y3921&lt;1,NOT(AND(C3922=C3921,Y3922=Y3921+1))),INDEX(DATAS,Y3921+1),"")</f>
        <v/>
      </c>
      <c r="AG3921" s="45" t="str">
        <f aca="false">IF(AND(AA3921=1,Y3921&lt;1),IF(AND(C3922=C3921,Y3922=Y3921+1),IF(AA3922=1,"",INDEX(DATAS,Y3921+1)),INDEX(DATAS,Y3921+1)),"")</f>
        <v/>
      </c>
    </row>
    <row r="3922" customFormat="false" ht="15" hidden="false" customHeight="false" outlineLevel="0" collapsed="false">
      <c r="A3922" s="45" t="n">
        <v>46309</v>
      </c>
      <c r="B3922" s="0" t="n">
        <v>15</v>
      </c>
      <c r="C3922" s="0" t="n">
        <v>30864</v>
      </c>
      <c r="E3922" s="0" t="n">
        <v>0</v>
      </c>
      <c r="F3922" s="39" t="s">
        <v>1576</v>
      </c>
      <c r="I3922" s="39" t="s">
        <v>107</v>
      </c>
      <c r="U3922" s="0" t="n">
        <v>84</v>
      </c>
      <c r="V3922" s="0" t="n">
        <v>0</v>
      </c>
      <c r="W3922" s="39" t="n">
        <f aca="false">IF(I3922="Male",0,1)</f>
        <v>0</v>
      </c>
      <c r="X3922" s="39" t="n">
        <f aca="false">IF(OR(I3922="DNB",I3922="Dry DNB"),1,0)</f>
        <v>0</v>
      </c>
      <c r="Y3922" s="39" t="n">
        <f aca="false">MATCH(A3922,DATAS,0)</f>
        <v>1</v>
      </c>
      <c r="Z3922" s="39" t="n">
        <f aca="false">IF(AND(E3922&gt;0,OR(AND(B3922&gt;=1,B3922&lt;=6),B3922=10)),1,0)</f>
        <v>0</v>
      </c>
      <c r="AA3922" s="39" t="n">
        <f aca="false">IF(AND(E3922&gt;0,B3922=10),1,0)</f>
        <v>0</v>
      </c>
      <c r="AB3922" s="0" t="str">
        <f aca="false">IF(AND(C3921=C3922,Y3921=Y3922-1),Z3921,"")</f>
        <v/>
      </c>
      <c r="AC3922" s="0" t="str">
        <f aca="false">IF(AND(C3921=C3922,Y3921=Y3922-1),AA3921,"")</f>
        <v/>
      </c>
      <c r="AD3922" s="0" t="str">
        <f aca="false">IF(Y3922=1,"",IF(AND(Z3922=1,AB3922&lt;&gt;1),1,0))</f>
        <v/>
      </c>
      <c r="AE3922" s="0" t="str">
        <f aca="false">IF(Y3922=1,"",IF(AND(AA3922=1,AC3922&lt;&gt;1),1,0))</f>
        <v/>
      </c>
      <c r="AF3922" s="45" t="str">
        <f aca="false">IF(AND(E3922&gt;0,Y3922&lt;1,NOT(AND(C3923=C3922,Y3923=Y3922+1))),INDEX(DATAS,Y3922+1),"")</f>
        <v/>
      </c>
      <c r="AG3922" s="45" t="str">
        <f aca="false">IF(AND(AA3922=1,Y3922&lt;1),IF(AND(C3923=C3922,Y3923=Y3922+1),IF(AA3923=1,"",INDEX(DATAS,Y3922+1)),INDEX(DATAS,Y3922+1)),"")</f>
        <v/>
      </c>
    </row>
    <row r="3923" customFormat="false" ht="15" hidden="false" customHeight="false" outlineLevel="0" collapsed="false">
      <c r="A3923" s="45" t="n">
        <v>46309</v>
      </c>
      <c r="B3923" s="0" t="n">
        <v>15</v>
      </c>
      <c r="C3923" s="0" t="n">
        <v>30865</v>
      </c>
      <c r="E3923" s="0" t="n">
        <v>0</v>
      </c>
      <c r="F3923" s="39" t="s">
        <v>1577</v>
      </c>
      <c r="I3923" s="39" t="s">
        <v>107</v>
      </c>
      <c r="U3923" s="0" t="n">
        <v>83</v>
      </c>
      <c r="V3923" s="0" t="n">
        <v>0</v>
      </c>
      <c r="W3923" s="39" t="n">
        <f aca="false">IF(I3923="Male",0,1)</f>
        <v>0</v>
      </c>
      <c r="X3923" s="39" t="n">
        <f aca="false">IF(OR(I3923="DNB",I3923="Dry DNB"),1,0)</f>
        <v>0</v>
      </c>
      <c r="Y3923" s="39" t="n">
        <f aca="false">MATCH(A3923,DATAS,0)</f>
        <v>1</v>
      </c>
      <c r="Z3923" s="39" t="n">
        <f aca="false">IF(AND(E3923&gt;0,OR(AND(B3923&gt;=1,B3923&lt;=6),B3923=10)),1,0)</f>
        <v>0</v>
      </c>
      <c r="AA3923" s="39" t="n">
        <f aca="false">IF(AND(E3923&gt;0,B3923=10),1,0)</f>
        <v>0</v>
      </c>
      <c r="AB3923" s="0" t="str">
        <f aca="false">IF(AND(C3922=C3923,Y3922=Y3923-1),Z3922,"")</f>
        <v/>
      </c>
      <c r="AC3923" s="0" t="str">
        <f aca="false">IF(AND(C3922=C3923,Y3922=Y3923-1),AA3922,"")</f>
        <v/>
      </c>
      <c r="AD3923" s="0" t="str">
        <f aca="false">IF(Y3923=1,"",IF(AND(Z3923=1,AB3923&lt;&gt;1),1,0))</f>
        <v/>
      </c>
      <c r="AE3923" s="0" t="str">
        <f aca="false">IF(Y3923=1,"",IF(AND(AA3923=1,AC3923&lt;&gt;1),1,0))</f>
        <v/>
      </c>
      <c r="AF3923" s="45" t="str">
        <f aca="false">IF(AND(E3923&gt;0,Y3923&lt;1,NOT(AND(C3924=C3923,Y3924=Y3923+1))),INDEX(DATAS,Y3923+1),"")</f>
        <v/>
      </c>
      <c r="AG3923" s="45" t="str">
        <f aca="false">IF(AND(AA3923=1,Y3923&lt;1),IF(AND(C3924=C3923,Y3924=Y3923+1),IF(AA3924=1,"",INDEX(DATAS,Y3923+1)),INDEX(DATAS,Y3923+1)),"")</f>
        <v/>
      </c>
    </row>
    <row r="3924" customFormat="false" ht="15" hidden="false" customHeight="false" outlineLevel="0" collapsed="false">
      <c r="A3924" s="45" t="n">
        <v>46309</v>
      </c>
      <c r="B3924" s="0" t="n">
        <v>15</v>
      </c>
      <c r="C3924" s="0" t="n">
        <v>30866</v>
      </c>
      <c r="E3924" s="0" t="n">
        <v>0</v>
      </c>
      <c r="F3924" s="39" t="s">
        <v>1577</v>
      </c>
      <c r="I3924" s="39" t="s">
        <v>107</v>
      </c>
      <c r="U3924" s="0" t="n">
        <v>83</v>
      </c>
      <c r="V3924" s="0" t="n">
        <v>0</v>
      </c>
      <c r="W3924" s="39" t="n">
        <f aca="false">IF(I3924="Male",0,1)</f>
        <v>0</v>
      </c>
      <c r="X3924" s="39" t="n">
        <f aca="false">IF(OR(I3924="DNB",I3924="Dry DNB"),1,0)</f>
        <v>0</v>
      </c>
      <c r="Y3924" s="39" t="n">
        <f aca="false">MATCH(A3924,DATAS,0)</f>
        <v>1</v>
      </c>
      <c r="Z3924" s="39" t="n">
        <f aca="false">IF(AND(E3924&gt;0,OR(AND(B3924&gt;=1,B3924&lt;=6),B3924=10)),1,0)</f>
        <v>0</v>
      </c>
      <c r="AA3924" s="39" t="n">
        <f aca="false">IF(AND(E3924&gt;0,B3924=10),1,0)</f>
        <v>0</v>
      </c>
      <c r="AB3924" s="0" t="str">
        <f aca="false">IF(AND(C3923=C3924,Y3923=Y3924-1),Z3923,"")</f>
        <v/>
      </c>
      <c r="AC3924" s="0" t="str">
        <f aca="false">IF(AND(C3923=C3924,Y3923=Y3924-1),AA3923,"")</f>
        <v/>
      </c>
      <c r="AD3924" s="0" t="str">
        <f aca="false">IF(Y3924=1,"",IF(AND(Z3924=1,AB3924&lt;&gt;1),1,0))</f>
        <v/>
      </c>
      <c r="AE3924" s="0" t="str">
        <f aca="false">IF(Y3924=1,"",IF(AND(AA3924=1,AC3924&lt;&gt;1),1,0))</f>
        <v/>
      </c>
      <c r="AF3924" s="45" t="str">
        <f aca="false">IF(AND(E3924&gt;0,Y3924&lt;1,NOT(AND(C3925=C3924,Y3925=Y3924+1))),INDEX(DATAS,Y3924+1),"")</f>
        <v/>
      </c>
      <c r="AG3924" s="45" t="str">
        <f aca="false">IF(AND(AA3924=1,Y3924&lt;1),IF(AND(C3925=C3924,Y3925=Y3924+1),IF(AA3925=1,"",INDEX(DATAS,Y3924+1)),INDEX(DATAS,Y3924+1)),"")</f>
        <v/>
      </c>
    </row>
    <row r="3925" customFormat="false" ht="15" hidden="false" customHeight="false" outlineLevel="0" collapsed="false">
      <c r="A3925" s="45" t="n">
        <v>46309</v>
      </c>
      <c r="B3925" s="0" t="n">
        <v>15</v>
      </c>
      <c r="C3925" s="0" t="n">
        <v>30867</v>
      </c>
      <c r="E3925" s="0" t="n">
        <v>0</v>
      </c>
      <c r="F3925" s="39" t="s">
        <v>1578</v>
      </c>
      <c r="I3925" s="39" t="s">
        <v>107</v>
      </c>
      <c r="U3925" s="0" t="n">
        <v>82</v>
      </c>
      <c r="V3925" s="0" t="n">
        <v>0</v>
      </c>
      <c r="W3925" s="39" t="n">
        <f aca="false">IF(I3925="Male",0,1)</f>
        <v>0</v>
      </c>
      <c r="X3925" s="39" t="n">
        <f aca="false">IF(OR(I3925="DNB",I3925="Dry DNB"),1,0)</f>
        <v>0</v>
      </c>
      <c r="Y3925" s="39" t="n">
        <f aca="false">MATCH(A3925,DATAS,0)</f>
        <v>1</v>
      </c>
      <c r="Z3925" s="39" t="n">
        <f aca="false">IF(AND(E3925&gt;0,OR(AND(B3925&gt;=1,B3925&lt;=6),B3925=10)),1,0)</f>
        <v>0</v>
      </c>
      <c r="AA3925" s="39" t="n">
        <f aca="false">IF(AND(E3925&gt;0,B3925=10),1,0)</f>
        <v>0</v>
      </c>
      <c r="AB3925" s="0" t="str">
        <f aca="false">IF(AND(C3924=C3925,Y3924=Y3925-1),Z3924,"")</f>
        <v/>
      </c>
      <c r="AC3925" s="0" t="str">
        <f aca="false">IF(AND(C3924=C3925,Y3924=Y3925-1),AA3924,"")</f>
        <v/>
      </c>
      <c r="AD3925" s="0" t="str">
        <f aca="false">IF(Y3925=1,"",IF(AND(Z3925=1,AB3925&lt;&gt;1),1,0))</f>
        <v/>
      </c>
      <c r="AE3925" s="0" t="str">
        <f aca="false">IF(Y3925=1,"",IF(AND(AA3925=1,AC3925&lt;&gt;1),1,0))</f>
        <v/>
      </c>
      <c r="AF3925" s="45" t="str">
        <f aca="false">IF(AND(E3925&gt;0,Y3925&lt;1,NOT(AND(C3926=C3925,Y3926=Y3925+1))),INDEX(DATAS,Y3925+1),"")</f>
        <v/>
      </c>
      <c r="AG3925" s="45" t="str">
        <f aca="false">IF(AND(AA3925=1,Y3925&lt;1),IF(AND(C3926=C3925,Y3926=Y3925+1),IF(AA3926=1,"",INDEX(DATAS,Y3925+1)),INDEX(DATAS,Y3925+1)),"")</f>
        <v/>
      </c>
    </row>
    <row r="3926" customFormat="false" ht="15" hidden="false" customHeight="false" outlineLevel="0" collapsed="false">
      <c r="A3926" s="45" t="n">
        <v>46309</v>
      </c>
      <c r="B3926" s="0" t="n">
        <v>15</v>
      </c>
      <c r="C3926" s="0" t="n">
        <v>30868</v>
      </c>
      <c r="E3926" s="0" t="n">
        <v>0</v>
      </c>
      <c r="F3926" s="39" t="s">
        <v>1578</v>
      </c>
      <c r="I3926" s="39" t="s">
        <v>107</v>
      </c>
      <c r="U3926" s="0" t="n">
        <v>82</v>
      </c>
      <c r="V3926" s="0" t="n">
        <v>0</v>
      </c>
      <c r="W3926" s="39" t="n">
        <f aca="false">IF(I3926="Male",0,1)</f>
        <v>0</v>
      </c>
      <c r="X3926" s="39" t="n">
        <f aca="false">IF(OR(I3926="DNB",I3926="Dry DNB"),1,0)</f>
        <v>0</v>
      </c>
      <c r="Y3926" s="39" t="n">
        <f aca="false">MATCH(A3926,DATAS,0)</f>
        <v>1</v>
      </c>
      <c r="Z3926" s="39" t="n">
        <f aca="false">IF(AND(E3926&gt;0,OR(AND(B3926&gt;=1,B3926&lt;=6),B3926=10)),1,0)</f>
        <v>0</v>
      </c>
      <c r="AA3926" s="39" t="n">
        <f aca="false">IF(AND(E3926&gt;0,B3926=10),1,0)</f>
        <v>0</v>
      </c>
      <c r="AB3926" s="0" t="str">
        <f aca="false">IF(AND(C3925=C3926,Y3925=Y3926-1),Z3925,"")</f>
        <v/>
      </c>
      <c r="AC3926" s="0" t="str">
        <f aca="false">IF(AND(C3925=C3926,Y3925=Y3926-1),AA3925,"")</f>
        <v/>
      </c>
      <c r="AD3926" s="0" t="str">
        <f aca="false">IF(Y3926=1,"",IF(AND(Z3926=1,AB3926&lt;&gt;1),1,0))</f>
        <v/>
      </c>
      <c r="AE3926" s="0" t="str">
        <f aca="false">IF(Y3926=1,"",IF(AND(AA3926=1,AC3926&lt;&gt;1),1,0))</f>
        <v/>
      </c>
      <c r="AF3926" s="45" t="str">
        <f aca="false">IF(AND(E3926&gt;0,Y3926&lt;1,NOT(AND(C3927=C3926,Y3927=Y3926+1))),INDEX(DATAS,Y3926+1),"")</f>
        <v/>
      </c>
      <c r="AG3926" s="45" t="str">
        <f aca="false">IF(AND(AA3926=1,Y3926&lt;1),IF(AND(C3927=C3926,Y3927=Y3926+1),IF(AA3927=1,"",INDEX(DATAS,Y3926+1)),INDEX(DATAS,Y3926+1)),"")</f>
        <v/>
      </c>
    </row>
    <row r="3927" customFormat="false" ht="15" hidden="false" customHeight="false" outlineLevel="0" collapsed="false">
      <c r="A3927" s="45" t="n">
        <v>46309</v>
      </c>
      <c r="B3927" s="0" t="n">
        <v>15</v>
      </c>
      <c r="C3927" s="0" t="n">
        <v>30872</v>
      </c>
      <c r="E3927" s="0" t="n">
        <v>0</v>
      </c>
      <c r="F3927" s="39" t="s">
        <v>1580</v>
      </c>
      <c r="I3927" s="39" t="s">
        <v>107</v>
      </c>
      <c r="U3927" s="0" t="n">
        <v>79</v>
      </c>
      <c r="V3927" s="0" t="n">
        <v>0</v>
      </c>
      <c r="W3927" s="39" t="n">
        <f aca="false">IF(I3927="Male",0,1)</f>
        <v>0</v>
      </c>
      <c r="X3927" s="39" t="n">
        <f aca="false">IF(OR(I3927="DNB",I3927="Dry DNB"),1,0)</f>
        <v>0</v>
      </c>
      <c r="Y3927" s="39" t="n">
        <f aca="false">MATCH(A3927,DATAS,0)</f>
        <v>1</v>
      </c>
      <c r="Z3927" s="39" t="n">
        <f aca="false">IF(AND(E3927&gt;0,OR(AND(B3927&gt;=1,B3927&lt;=6),B3927=10)),1,0)</f>
        <v>0</v>
      </c>
      <c r="AA3927" s="39" t="n">
        <f aca="false">IF(AND(E3927&gt;0,B3927=10),1,0)</f>
        <v>0</v>
      </c>
      <c r="AB3927" s="0" t="str">
        <f aca="false">IF(AND(C3926=C3927,Y3926=Y3927-1),Z3926,"")</f>
        <v/>
      </c>
      <c r="AC3927" s="0" t="str">
        <f aca="false">IF(AND(C3926=C3927,Y3926=Y3927-1),AA3926,"")</f>
        <v/>
      </c>
      <c r="AD3927" s="0" t="str">
        <f aca="false">IF(Y3927=1,"",IF(AND(Z3927=1,AB3927&lt;&gt;1),1,0))</f>
        <v/>
      </c>
      <c r="AE3927" s="0" t="str">
        <f aca="false">IF(Y3927=1,"",IF(AND(AA3927=1,AC3927&lt;&gt;1),1,0))</f>
        <v/>
      </c>
      <c r="AF3927" s="45" t="str">
        <f aca="false">IF(AND(E3927&gt;0,Y3927&lt;1,NOT(AND(C3928=C3927,Y3928=Y3927+1))),INDEX(DATAS,Y3927+1),"")</f>
        <v/>
      </c>
      <c r="AG3927" s="45" t="str">
        <f aca="false">IF(AND(AA3927=1,Y3927&lt;1),IF(AND(C3928=C3927,Y3928=Y3927+1),IF(AA3928=1,"",INDEX(DATAS,Y3927+1)),INDEX(DATAS,Y3927+1)),"")</f>
        <v/>
      </c>
    </row>
    <row r="3928" customFormat="false" ht="15" hidden="false" customHeight="false" outlineLevel="0" collapsed="false">
      <c r="A3928" s="45" t="n">
        <v>46309</v>
      </c>
      <c r="B3928" s="0" t="n">
        <v>15</v>
      </c>
      <c r="C3928" s="0" t="n">
        <v>30874</v>
      </c>
      <c r="E3928" s="0" t="n">
        <v>0</v>
      </c>
      <c r="F3928" s="39" t="s">
        <v>1583</v>
      </c>
      <c r="I3928" s="39" t="s">
        <v>107</v>
      </c>
      <c r="U3928" s="0" t="n">
        <v>75</v>
      </c>
      <c r="V3928" s="0" t="n">
        <v>0</v>
      </c>
      <c r="W3928" s="39" t="n">
        <f aca="false">IF(I3928="Male",0,1)</f>
        <v>0</v>
      </c>
      <c r="X3928" s="39" t="n">
        <f aca="false">IF(OR(I3928="DNB",I3928="Dry DNB"),1,0)</f>
        <v>0</v>
      </c>
      <c r="Y3928" s="39" t="n">
        <f aca="false">MATCH(A3928,DATAS,0)</f>
        <v>1</v>
      </c>
      <c r="Z3928" s="39" t="n">
        <f aca="false">IF(AND(E3928&gt;0,OR(AND(B3928&gt;=1,B3928&lt;=6),B3928=10)),1,0)</f>
        <v>0</v>
      </c>
      <c r="AA3928" s="39" t="n">
        <f aca="false">IF(AND(E3928&gt;0,B3928=10),1,0)</f>
        <v>0</v>
      </c>
      <c r="AB3928" s="0" t="str">
        <f aca="false">IF(AND(C3927=C3928,Y3927=Y3928-1),Z3927,"")</f>
        <v/>
      </c>
      <c r="AC3928" s="0" t="str">
        <f aca="false">IF(AND(C3927=C3928,Y3927=Y3928-1),AA3927,"")</f>
        <v/>
      </c>
      <c r="AD3928" s="0" t="str">
        <f aca="false">IF(Y3928=1,"",IF(AND(Z3928=1,AB3928&lt;&gt;1),1,0))</f>
        <v/>
      </c>
      <c r="AE3928" s="0" t="str">
        <f aca="false">IF(Y3928=1,"",IF(AND(AA3928=1,AC3928&lt;&gt;1),1,0))</f>
        <v/>
      </c>
      <c r="AF3928" s="45" t="str">
        <f aca="false">IF(AND(E3928&gt;0,Y3928&lt;1,NOT(AND(C3929=C3928,Y3929=Y3928+1))),INDEX(DATAS,Y3928+1),"")</f>
        <v/>
      </c>
      <c r="AG3928" s="45" t="str">
        <f aca="false">IF(AND(AA3928=1,Y3928&lt;1),IF(AND(C3929=C3928,Y3929=Y3928+1),IF(AA3929=1,"",INDEX(DATAS,Y3928+1)),INDEX(DATAS,Y3928+1)),"")</f>
        <v/>
      </c>
    </row>
    <row r="3929" customFormat="false" ht="15" hidden="false" customHeight="false" outlineLevel="0" collapsed="false">
      <c r="A3929" s="45" t="n">
        <v>46309</v>
      </c>
      <c r="B3929" s="0" t="n">
        <v>15</v>
      </c>
      <c r="C3929" s="0" t="n">
        <v>30875</v>
      </c>
      <c r="E3929" s="0" t="n">
        <v>0</v>
      </c>
      <c r="F3929" s="39" t="s">
        <v>1583</v>
      </c>
      <c r="I3929" s="39" t="s">
        <v>107</v>
      </c>
      <c r="U3929" s="0" t="n">
        <v>75</v>
      </c>
      <c r="V3929" s="0" t="n">
        <v>0</v>
      </c>
      <c r="W3929" s="39" t="n">
        <f aca="false">IF(I3929="Male",0,1)</f>
        <v>0</v>
      </c>
      <c r="X3929" s="39" t="n">
        <f aca="false">IF(OR(I3929="DNB",I3929="Dry DNB"),1,0)</f>
        <v>0</v>
      </c>
      <c r="Y3929" s="39" t="n">
        <f aca="false">MATCH(A3929,DATAS,0)</f>
        <v>1</v>
      </c>
      <c r="Z3929" s="39" t="n">
        <f aca="false">IF(AND(E3929&gt;0,OR(AND(B3929&gt;=1,B3929&lt;=6),B3929=10)),1,0)</f>
        <v>0</v>
      </c>
      <c r="AA3929" s="39" t="n">
        <f aca="false">IF(AND(E3929&gt;0,B3929=10),1,0)</f>
        <v>0</v>
      </c>
      <c r="AB3929" s="0" t="str">
        <f aca="false">IF(AND(C3928=C3929,Y3928=Y3929-1),Z3928,"")</f>
        <v/>
      </c>
      <c r="AC3929" s="0" t="str">
        <f aca="false">IF(AND(C3928=C3929,Y3928=Y3929-1),AA3928,"")</f>
        <v/>
      </c>
      <c r="AD3929" s="0" t="str">
        <f aca="false">IF(Y3929=1,"",IF(AND(Z3929=1,AB3929&lt;&gt;1),1,0))</f>
        <v/>
      </c>
      <c r="AE3929" s="0" t="str">
        <f aca="false">IF(Y3929=1,"",IF(AND(AA3929=1,AC3929&lt;&gt;1),1,0))</f>
        <v/>
      </c>
      <c r="AF3929" s="45" t="str">
        <f aca="false">IF(AND(E3929&gt;0,Y3929&lt;1,NOT(AND(C3930=C3929,Y3930=Y3929+1))),INDEX(DATAS,Y3929+1),"")</f>
        <v/>
      </c>
      <c r="AG3929" s="45" t="str">
        <f aca="false">IF(AND(AA3929=1,Y3929&lt;1),IF(AND(C3930=C3929,Y3930=Y3929+1),IF(AA3930=1,"",INDEX(DATAS,Y3929+1)),INDEX(DATAS,Y3929+1)),"")</f>
        <v/>
      </c>
    </row>
    <row r="3930" customFormat="false" ht="15" hidden="false" customHeight="false" outlineLevel="0" collapsed="false">
      <c r="A3930" s="45" t="n">
        <v>46309</v>
      </c>
      <c r="B3930" s="0" t="n">
        <v>15</v>
      </c>
      <c r="C3930" s="0" t="n">
        <v>30877</v>
      </c>
      <c r="E3930" s="0" t="n">
        <v>0</v>
      </c>
      <c r="F3930" s="39" t="s">
        <v>1584</v>
      </c>
      <c r="I3930" s="39" t="s">
        <v>107</v>
      </c>
      <c r="U3930" s="0" t="n">
        <v>74</v>
      </c>
      <c r="V3930" s="0" t="n">
        <v>0</v>
      </c>
      <c r="W3930" s="39" t="n">
        <f aca="false">IF(I3930="Male",0,1)</f>
        <v>0</v>
      </c>
      <c r="X3930" s="39" t="n">
        <f aca="false">IF(OR(I3930="DNB",I3930="Dry DNB"),1,0)</f>
        <v>0</v>
      </c>
      <c r="Y3930" s="39" t="n">
        <f aca="false">MATCH(A3930,DATAS,0)</f>
        <v>1</v>
      </c>
      <c r="Z3930" s="39" t="n">
        <f aca="false">IF(AND(E3930&gt;0,OR(AND(B3930&gt;=1,B3930&lt;=6),B3930=10)),1,0)</f>
        <v>0</v>
      </c>
      <c r="AA3930" s="39" t="n">
        <f aca="false">IF(AND(E3930&gt;0,B3930=10),1,0)</f>
        <v>0</v>
      </c>
      <c r="AB3930" s="0" t="str">
        <f aca="false">IF(AND(C3929=C3930,Y3929=Y3930-1),Z3929,"")</f>
        <v/>
      </c>
      <c r="AC3930" s="0" t="str">
        <f aca="false">IF(AND(C3929=C3930,Y3929=Y3930-1),AA3929,"")</f>
        <v/>
      </c>
      <c r="AD3930" s="0" t="str">
        <f aca="false">IF(Y3930=1,"",IF(AND(Z3930=1,AB3930&lt;&gt;1),1,0))</f>
        <v/>
      </c>
      <c r="AE3930" s="0" t="str">
        <f aca="false">IF(Y3930=1,"",IF(AND(AA3930=1,AC3930&lt;&gt;1),1,0))</f>
        <v/>
      </c>
      <c r="AF3930" s="45" t="str">
        <f aca="false">IF(AND(E3930&gt;0,Y3930&lt;1,NOT(AND(C3931=C3930,Y3931=Y3930+1))),INDEX(DATAS,Y3930+1),"")</f>
        <v/>
      </c>
      <c r="AG3930" s="45" t="str">
        <f aca="false">IF(AND(AA3930=1,Y3930&lt;1),IF(AND(C3931=C3930,Y3931=Y3930+1),IF(AA3931=1,"",INDEX(DATAS,Y3930+1)),INDEX(DATAS,Y3930+1)),"")</f>
        <v/>
      </c>
    </row>
    <row r="3931" customFormat="false" ht="15" hidden="false" customHeight="false" outlineLevel="0" collapsed="false">
      <c r="A3931" s="45" t="n">
        <v>46309</v>
      </c>
      <c r="B3931" s="0" t="n">
        <v>15</v>
      </c>
      <c r="C3931" s="0" t="n">
        <v>30878</v>
      </c>
      <c r="E3931" s="0" t="n">
        <v>0</v>
      </c>
      <c r="F3931" s="39" t="s">
        <v>1584</v>
      </c>
      <c r="I3931" s="39" t="s">
        <v>107</v>
      </c>
      <c r="U3931" s="0" t="n">
        <v>74</v>
      </c>
      <c r="V3931" s="0" t="n">
        <v>0</v>
      </c>
      <c r="W3931" s="39" t="n">
        <f aca="false">IF(I3931="Male",0,1)</f>
        <v>0</v>
      </c>
      <c r="X3931" s="39" t="n">
        <f aca="false">IF(OR(I3931="DNB",I3931="Dry DNB"),1,0)</f>
        <v>0</v>
      </c>
      <c r="Y3931" s="39" t="n">
        <f aca="false">MATCH(A3931,DATAS,0)</f>
        <v>1</v>
      </c>
      <c r="Z3931" s="39" t="n">
        <f aca="false">IF(AND(E3931&gt;0,OR(AND(B3931&gt;=1,B3931&lt;=6),B3931=10)),1,0)</f>
        <v>0</v>
      </c>
      <c r="AA3931" s="39" t="n">
        <f aca="false">IF(AND(E3931&gt;0,B3931=10),1,0)</f>
        <v>0</v>
      </c>
      <c r="AB3931" s="0" t="str">
        <f aca="false">IF(AND(C3930=C3931,Y3930=Y3931-1),Z3930,"")</f>
        <v/>
      </c>
      <c r="AC3931" s="0" t="str">
        <f aca="false">IF(AND(C3930=C3931,Y3930=Y3931-1),AA3930,"")</f>
        <v/>
      </c>
      <c r="AD3931" s="0" t="str">
        <f aca="false">IF(Y3931=1,"",IF(AND(Z3931=1,AB3931&lt;&gt;1),1,0))</f>
        <v/>
      </c>
      <c r="AE3931" s="0" t="str">
        <f aca="false">IF(Y3931=1,"",IF(AND(AA3931=1,AC3931&lt;&gt;1),1,0))</f>
        <v/>
      </c>
      <c r="AF3931" s="45" t="str">
        <f aca="false">IF(AND(E3931&gt;0,Y3931&lt;1,NOT(AND(C3932=C3931,Y3932=Y3931+1))),INDEX(DATAS,Y3931+1),"")</f>
        <v/>
      </c>
      <c r="AG3931" s="45" t="str">
        <f aca="false">IF(AND(AA3931=1,Y3931&lt;1),IF(AND(C3932=C3931,Y3932=Y3931+1),IF(AA3932=1,"",INDEX(DATAS,Y3931+1)),INDEX(DATAS,Y3931+1)),"")</f>
        <v/>
      </c>
    </row>
    <row r="3932" customFormat="false" ht="15" hidden="false" customHeight="false" outlineLevel="0" collapsed="false">
      <c r="A3932" s="45" t="n">
        <v>46309</v>
      </c>
      <c r="B3932" s="0" t="n">
        <v>15</v>
      </c>
      <c r="C3932" s="0" t="n">
        <v>30879</v>
      </c>
      <c r="E3932" s="0" t="n">
        <v>0</v>
      </c>
      <c r="F3932" s="39" t="s">
        <v>1584</v>
      </c>
      <c r="I3932" s="39" t="s">
        <v>107</v>
      </c>
      <c r="U3932" s="0" t="n">
        <v>74</v>
      </c>
      <c r="V3932" s="0" t="n">
        <v>0</v>
      </c>
      <c r="W3932" s="39" t="n">
        <f aca="false">IF(I3932="Male",0,1)</f>
        <v>0</v>
      </c>
      <c r="X3932" s="39" t="n">
        <f aca="false">IF(OR(I3932="DNB",I3932="Dry DNB"),1,0)</f>
        <v>0</v>
      </c>
      <c r="Y3932" s="39" t="n">
        <f aca="false">MATCH(A3932,DATAS,0)</f>
        <v>1</v>
      </c>
      <c r="Z3932" s="39" t="n">
        <f aca="false">IF(AND(E3932&gt;0,OR(AND(B3932&gt;=1,B3932&lt;=6),B3932=10)),1,0)</f>
        <v>0</v>
      </c>
      <c r="AA3932" s="39" t="n">
        <f aca="false">IF(AND(E3932&gt;0,B3932=10),1,0)</f>
        <v>0</v>
      </c>
      <c r="AB3932" s="0" t="str">
        <f aca="false">IF(AND(C3931=C3932,Y3931=Y3932-1),Z3931,"")</f>
        <v/>
      </c>
      <c r="AC3932" s="0" t="str">
        <f aca="false">IF(AND(C3931=C3932,Y3931=Y3932-1),AA3931,"")</f>
        <v/>
      </c>
      <c r="AD3932" s="0" t="str">
        <f aca="false">IF(Y3932=1,"",IF(AND(Z3932=1,AB3932&lt;&gt;1),1,0))</f>
        <v/>
      </c>
      <c r="AE3932" s="0" t="str">
        <f aca="false">IF(Y3932=1,"",IF(AND(AA3932=1,AC3932&lt;&gt;1),1,0))</f>
        <v/>
      </c>
      <c r="AF3932" s="45" t="str">
        <f aca="false">IF(AND(E3932&gt;0,Y3932&lt;1,NOT(AND(C3933=C3932,Y3933=Y3932+1))),INDEX(DATAS,Y3932+1),"")</f>
        <v/>
      </c>
      <c r="AG3932" s="45" t="str">
        <f aca="false">IF(AND(AA3932=1,Y3932&lt;1),IF(AND(C3933=C3932,Y3933=Y3932+1),IF(AA3933=1,"",INDEX(DATAS,Y3932+1)),INDEX(DATAS,Y3932+1)),"")</f>
        <v/>
      </c>
    </row>
    <row r="3933" customFormat="false" ht="15" hidden="false" customHeight="false" outlineLevel="0" collapsed="false">
      <c r="A3933" s="45" t="n">
        <v>46309</v>
      </c>
      <c r="B3933" s="0" t="n">
        <v>15</v>
      </c>
      <c r="C3933" s="0" t="n">
        <v>30881</v>
      </c>
      <c r="E3933" s="0" t="n">
        <v>0</v>
      </c>
      <c r="F3933" s="39" t="s">
        <v>1592</v>
      </c>
      <c r="I3933" s="39" t="s">
        <v>107</v>
      </c>
      <c r="U3933" s="0" t="n">
        <v>66</v>
      </c>
      <c r="V3933" s="0" t="n">
        <v>0</v>
      </c>
      <c r="W3933" s="39" t="n">
        <f aca="false">IF(I3933="Male",0,1)</f>
        <v>0</v>
      </c>
      <c r="X3933" s="39" t="n">
        <f aca="false">IF(OR(I3933="DNB",I3933="Dry DNB"),1,0)</f>
        <v>0</v>
      </c>
      <c r="Y3933" s="39" t="n">
        <f aca="false">MATCH(A3933,DATAS,0)</f>
        <v>1</v>
      </c>
      <c r="Z3933" s="39" t="n">
        <f aca="false">IF(AND(E3933&gt;0,OR(AND(B3933&gt;=1,B3933&lt;=6),B3933=10)),1,0)</f>
        <v>0</v>
      </c>
      <c r="AA3933" s="39" t="n">
        <f aca="false">IF(AND(E3933&gt;0,B3933=10),1,0)</f>
        <v>0</v>
      </c>
      <c r="AB3933" s="0" t="str">
        <f aca="false">IF(AND(C3932=C3933,Y3932=Y3933-1),Z3932,"")</f>
        <v/>
      </c>
      <c r="AC3933" s="0" t="str">
        <f aca="false">IF(AND(C3932=C3933,Y3932=Y3933-1),AA3932,"")</f>
        <v/>
      </c>
      <c r="AD3933" s="0" t="str">
        <f aca="false">IF(Y3933=1,"",IF(AND(Z3933=1,AB3933&lt;&gt;1),1,0))</f>
        <v/>
      </c>
      <c r="AE3933" s="0" t="str">
        <f aca="false">IF(Y3933=1,"",IF(AND(AA3933=1,AC3933&lt;&gt;1),1,0))</f>
        <v/>
      </c>
      <c r="AF3933" s="45" t="str">
        <f aca="false">IF(AND(E3933&gt;0,Y3933&lt;1,NOT(AND(C3934=C3933,Y3934=Y3933+1))),INDEX(DATAS,Y3933+1),"")</f>
        <v/>
      </c>
      <c r="AG3933" s="45" t="str">
        <f aca="false">IF(AND(AA3933=1,Y3933&lt;1),IF(AND(C3934=C3933,Y3934=Y3933+1),IF(AA3934=1,"",INDEX(DATAS,Y3933+1)),INDEX(DATAS,Y3933+1)),"")</f>
        <v/>
      </c>
    </row>
    <row r="3934" customFormat="false" ht="15" hidden="false" customHeight="false" outlineLevel="0" collapsed="false">
      <c r="A3934" s="45" t="n">
        <v>46309</v>
      </c>
      <c r="B3934" s="0" t="n">
        <v>15</v>
      </c>
      <c r="C3934" s="0" t="n">
        <v>30883</v>
      </c>
      <c r="E3934" s="0" t="n">
        <v>0</v>
      </c>
      <c r="F3934" s="39" t="s">
        <v>1592</v>
      </c>
      <c r="I3934" s="39" t="s">
        <v>107</v>
      </c>
      <c r="U3934" s="0" t="n">
        <v>66</v>
      </c>
      <c r="V3934" s="0" t="n">
        <v>0</v>
      </c>
      <c r="W3934" s="39" t="n">
        <f aca="false">IF(I3934="Male",0,1)</f>
        <v>0</v>
      </c>
      <c r="X3934" s="39" t="n">
        <f aca="false">IF(OR(I3934="DNB",I3934="Dry DNB"),1,0)</f>
        <v>0</v>
      </c>
      <c r="Y3934" s="39" t="n">
        <f aca="false">MATCH(A3934,DATAS,0)</f>
        <v>1</v>
      </c>
      <c r="Z3934" s="39" t="n">
        <f aca="false">IF(AND(E3934&gt;0,OR(AND(B3934&gt;=1,B3934&lt;=6),B3934=10)),1,0)</f>
        <v>0</v>
      </c>
      <c r="AA3934" s="39" t="n">
        <f aca="false">IF(AND(E3934&gt;0,B3934=10),1,0)</f>
        <v>0</v>
      </c>
      <c r="AB3934" s="0" t="str">
        <f aca="false">IF(AND(C3933=C3934,Y3933=Y3934-1),Z3933,"")</f>
        <v/>
      </c>
      <c r="AC3934" s="0" t="str">
        <f aca="false">IF(AND(C3933=C3934,Y3933=Y3934-1),AA3933,"")</f>
        <v/>
      </c>
      <c r="AD3934" s="0" t="str">
        <f aca="false">IF(Y3934=1,"",IF(AND(Z3934=1,AB3934&lt;&gt;1),1,0))</f>
        <v/>
      </c>
      <c r="AE3934" s="0" t="str">
        <f aca="false">IF(Y3934=1,"",IF(AND(AA3934=1,AC3934&lt;&gt;1),1,0))</f>
        <v/>
      </c>
      <c r="AF3934" s="45" t="str">
        <f aca="false">IF(AND(E3934&gt;0,Y3934&lt;1,NOT(AND(C3935=C3934,Y3935=Y3934+1))),INDEX(DATAS,Y3934+1),"")</f>
        <v/>
      </c>
      <c r="AG3934" s="45" t="str">
        <f aca="false">IF(AND(AA3934=1,Y3934&lt;1),IF(AND(C3935=C3934,Y3935=Y3934+1),IF(AA3935=1,"",INDEX(DATAS,Y3934+1)),INDEX(DATAS,Y3934+1)),"")</f>
        <v/>
      </c>
    </row>
    <row r="3935" customFormat="false" ht="15" hidden="false" customHeight="false" outlineLevel="0" collapsed="false">
      <c r="A3935" s="45" t="n">
        <v>46309</v>
      </c>
      <c r="B3935" s="0" t="n">
        <v>15</v>
      </c>
      <c r="C3935" s="0" t="n">
        <v>30884</v>
      </c>
      <c r="E3935" s="0" t="n">
        <v>0</v>
      </c>
      <c r="F3935" s="39" t="s">
        <v>1592</v>
      </c>
      <c r="I3935" s="39" t="s">
        <v>107</v>
      </c>
      <c r="U3935" s="0" t="n">
        <v>66</v>
      </c>
      <c r="V3935" s="0" t="n">
        <v>0</v>
      </c>
      <c r="W3935" s="39" t="n">
        <f aca="false">IF(I3935="Male",0,1)</f>
        <v>0</v>
      </c>
      <c r="X3935" s="39" t="n">
        <f aca="false">IF(OR(I3935="DNB",I3935="Dry DNB"),1,0)</f>
        <v>0</v>
      </c>
      <c r="Y3935" s="39" t="n">
        <f aca="false">MATCH(A3935,DATAS,0)</f>
        <v>1</v>
      </c>
      <c r="Z3935" s="39" t="n">
        <f aca="false">IF(AND(E3935&gt;0,OR(AND(B3935&gt;=1,B3935&lt;=6),B3935=10)),1,0)</f>
        <v>0</v>
      </c>
      <c r="AA3935" s="39" t="n">
        <f aca="false">IF(AND(E3935&gt;0,B3935=10),1,0)</f>
        <v>0</v>
      </c>
      <c r="AB3935" s="0" t="str">
        <f aca="false">IF(AND(C3934=C3935,Y3934=Y3935-1),Z3934,"")</f>
        <v/>
      </c>
      <c r="AC3935" s="0" t="str">
        <f aca="false">IF(AND(C3934=C3935,Y3934=Y3935-1),AA3934,"")</f>
        <v/>
      </c>
      <c r="AD3935" s="0" t="str">
        <f aca="false">IF(Y3935=1,"",IF(AND(Z3935=1,AB3935&lt;&gt;1),1,0))</f>
        <v/>
      </c>
      <c r="AE3935" s="0" t="str">
        <f aca="false">IF(Y3935=1,"",IF(AND(AA3935=1,AC3935&lt;&gt;1),1,0))</f>
        <v/>
      </c>
      <c r="AF3935" s="45" t="str">
        <f aca="false">IF(AND(E3935&gt;0,Y3935&lt;1,NOT(AND(C3936=C3935,Y3936=Y3935+1))),INDEX(DATAS,Y3935+1),"")</f>
        <v/>
      </c>
      <c r="AG3935" s="45" t="str">
        <f aca="false">IF(AND(AA3935=1,Y3935&lt;1),IF(AND(C3936=C3935,Y3936=Y3935+1),IF(AA3936=1,"",INDEX(DATAS,Y3935+1)),INDEX(DATAS,Y3935+1)),"")</f>
        <v/>
      </c>
    </row>
    <row r="3936" customFormat="false" ht="15" hidden="false" customHeight="false" outlineLevel="0" collapsed="false">
      <c r="A3936" s="45" t="n">
        <v>46309</v>
      </c>
      <c r="B3936" s="0" t="n">
        <v>15</v>
      </c>
      <c r="C3936" s="0" t="n">
        <v>30885</v>
      </c>
      <c r="E3936" s="0" t="n">
        <v>0</v>
      </c>
      <c r="F3936" s="39" t="s">
        <v>1593</v>
      </c>
      <c r="I3936" s="39" t="s">
        <v>107</v>
      </c>
      <c r="U3936" s="0" t="n">
        <v>65</v>
      </c>
      <c r="V3936" s="0" t="n">
        <v>0</v>
      </c>
      <c r="W3936" s="39" t="n">
        <f aca="false">IF(I3936="Male",0,1)</f>
        <v>0</v>
      </c>
      <c r="X3936" s="39" t="n">
        <f aca="false">IF(OR(I3936="DNB",I3936="Dry DNB"),1,0)</f>
        <v>0</v>
      </c>
      <c r="Y3936" s="39" t="n">
        <f aca="false">MATCH(A3936,DATAS,0)</f>
        <v>1</v>
      </c>
      <c r="Z3936" s="39" t="n">
        <f aca="false">IF(AND(E3936&gt;0,OR(AND(B3936&gt;=1,B3936&lt;=6),B3936=10)),1,0)</f>
        <v>0</v>
      </c>
      <c r="AA3936" s="39" t="n">
        <f aca="false">IF(AND(E3936&gt;0,B3936=10),1,0)</f>
        <v>0</v>
      </c>
      <c r="AB3936" s="0" t="str">
        <f aca="false">IF(AND(C3935=C3936,Y3935=Y3936-1),Z3935,"")</f>
        <v/>
      </c>
      <c r="AC3936" s="0" t="str">
        <f aca="false">IF(AND(C3935=C3936,Y3935=Y3936-1),AA3935,"")</f>
        <v/>
      </c>
      <c r="AD3936" s="0" t="str">
        <f aca="false">IF(Y3936=1,"",IF(AND(Z3936=1,AB3936&lt;&gt;1),1,0))</f>
        <v/>
      </c>
      <c r="AE3936" s="0" t="str">
        <f aca="false">IF(Y3936=1,"",IF(AND(AA3936=1,AC3936&lt;&gt;1),1,0))</f>
        <v/>
      </c>
      <c r="AF3936" s="45" t="str">
        <f aca="false">IF(AND(E3936&gt;0,Y3936&lt;1,NOT(AND(C3937=C3936,Y3937=Y3936+1))),INDEX(DATAS,Y3936+1),"")</f>
        <v/>
      </c>
      <c r="AG3936" s="45" t="str">
        <f aca="false">IF(AND(AA3936=1,Y3936&lt;1),IF(AND(C3937=C3936,Y3937=Y3936+1),IF(AA3937=1,"",INDEX(DATAS,Y3936+1)),INDEX(DATAS,Y3936+1)),"")</f>
        <v/>
      </c>
    </row>
    <row r="3937" customFormat="false" ht="15" hidden="false" customHeight="false" outlineLevel="0" collapsed="false">
      <c r="A3937" s="45" t="n">
        <v>46309</v>
      </c>
      <c r="B3937" s="0" t="n">
        <v>15</v>
      </c>
      <c r="C3937" s="0" t="n">
        <v>30888</v>
      </c>
      <c r="E3937" s="0" t="n">
        <v>0</v>
      </c>
      <c r="F3937" s="39" t="s">
        <v>1595</v>
      </c>
      <c r="I3937" s="39" t="s">
        <v>107</v>
      </c>
      <c r="U3937" s="0" t="n">
        <v>63</v>
      </c>
      <c r="V3937" s="0" t="n">
        <v>0</v>
      </c>
      <c r="W3937" s="39" t="n">
        <f aca="false">IF(I3937="Male",0,1)</f>
        <v>0</v>
      </c>
      <c r="X3937" s="39" t="n">
        <f aca="false">IF(OR(I3937="DNB",I3937="Dry DNB"),1,0)</f>
        <v>0</v>
      </c>
      <c r="Y3937" s="39" t="n">
        <f aca="false">MATCH(A3937,DATAS,0)</f>
        <v>1</v>
      </c>
      <c r="Z3937" s="39" t="n">
        <f aca="false">IF(AND(E3937&gt;0,OR(AND(B3937&gt;=1,B3937&lt;=6),B3937=10)),1,0)</f>
        <v>0</v>
      </c>
      <c r="AA3937" s="39" t="n">
        <f aca="false">IF(AND(E3937&gt;0,B3937=10),1,0)</f>
        <v>0</v>
      </c>
      <c r="AB3937" s="0" t="str">
        <f aca="false">IF(AND(C3936=C3937,Y3936=Y3937-1),Z3936,"")</f>
        <v/>
      </c>
      <c r="AC3937" s="0" t="str">
        <f aca="false">IF(AND(C3936=C3937,Y3936=Y3937-1),AA3936,"")</f>
        <v/>
      </c>
      <c r="AD3937" s="0" t="str">
        <f aca="false">IF(Y3937=1,"",IF(AND(Z3937=1,AB3937&lt;&gt;1),1,0))</f>
        <v/>
      </c>
      <c r="AE3937" s="0" t="str">
        <f aca="false">IF(Y3937=1,"",IF(AND(AA3937=1,AC3937&lt;&gt;1),1,0))</f>
        <v/>
      </c>
      <c r="AF3937" s="45" t="str">
        <f aca="false">IF(AND(E3937&gt;0,Y3937&lt;1,NOT(AND(C3938=C3937,Y3938=Y3937+1))),INDEX(DATAS,Y3937+1),"")</f>
        <v/>
      </c>
      <c r="AG3937" s="45" t="str">
        <f aca="false">IF(AND(AA3937=1,Y3937&lt;1),IF(AND(C3938=C3937,Y3938=Y3937+1),IF(AA3938=1,"",INDEX(DATAS,Y3937+1)),INDEX(DATAS,Y3937+1)),"")</f>
        <v/>
      </c>
    </row>
    <row r="3938" customFormat="false" ht="15" hidden="false" customHeight="false" outlineLevel="0" collapsed="false">
      <c r="A3938" s="45" t="n">
        <v>46309</v>
      </c>
      <c r="B3938" s="0" t="n">
        <v>15</v>
      </c>
      <c r="C3938" s="0" t="n">
        <v>30889</v>
      </c>
      <c r="E3938" s="0" t="n">
        <v>0</v>
      </c>
      <c r="F3938" s="39" t="s">
        <v>1595</v>
      </c>
      <c r="I3938" s="39" t="s">
        <v>107</v>
      </c>
      <c r="U3938" s="0" t="n">
        <v>63</v>
      </c>
      <c r="V3938" s="0" t="n">
        <v>0</v>
      </c>
      <c r="W3938" s="39" t="n">
        <f aca="false">IF(I3938="Male",0,1)</f>
        <v>0</v>
      </c>
      <c r="X3938" s="39" t="n">
        <f aca="false">IF(OR(I3938="DNB",I3938="Dry DNB"),1,0)</f>
        <v>0</v>
      </c>
      <c r="Y3938" s="39" t="n">
        <f aca="false">MATCH(A3938,DATAS,0)</f>
        <v>1</v>
      </c>
      <c r="Z3938" s="39" t="n">
        <f aca="false">IF(AND(E3938&gt;0,OR(AND(B3938&gt;=1,B3938&lt;=6),B3938=10)),1,0)</f>
        <v>0</v>
      </c>
      <c r="AA3938" s="39" t="n">
        <f aca="false">IF(AND(E3938&gt;0,B3938=10),1,0)</f>
        <v>0</v>
      </c>
      <c r="AB3938" s="0" t="str">
        <f aca="false">IF(AND(C3937=C3938,Y3937=Y3938-1),Z3937,"")</f>
        <v/>
      </c>
      <c r="AC3938" s="0" t="str">
        <f aca="false">IF(AND(C3937=C3938,Y3937=Y3938-1),AA3937,"")</f>
        <v/>
      </c>
      <c r="AD3938" s="0" t="str">
        <f aca="false">IF(Y3938=1,"",IF(AND(Z3938=1,AB3938&lt;&gt;1),1,0))</f>
        <v/>
      </c>
      <c r="AE3938" s="0" t="str">
        <f aca="false">IF(Y3938=1,"",IF(AND(AA3938=1,AC3938&lt;&gt;1),1,0))</f>
        <v/>
      </c>
      <c r="AF3938" s="45" t="str">
        <f aca="false">IF(AND(E3938&gt;0,Y3938&lt;1,NOT(AND(C3939=C3938,Y3939=Y3938+1))),INDEX(DATAS,Y3938+1),"")</f>
        <v/>
      </c>
      <c r="AG3938" s="45" t="str">
        <f aca="false">IF(AND(AA3938=1,Y3938&lt;1),IF(AND(C3939=C3938,Y3939=Y3938+1),IF(AA3939=1,"",INDEX(DATAS,Y3938+1)),INDEX(DATAS,Y3938+1)),"")</f>
        <v/>
      </c>
    </row>
    <row r="3939" customFormat="false" ht="15" hidden="false" customHeight="false" outlineLevel="0" collapsed="false">
      <c r="A3939" s="45" t="n">
        <v>46309</v>
      </c>
      <c r="B3939" s="0" t="n">
        <v>15</v>
      </c>
      <c r="C3939" s="0" t="n">
        <v>30890</v>
      </c>
      <c r="E3939" s="0" t="n">
        <v>0</v>
      </c>
      <c r="F3939" s="39" t="s">
        <v>1596</v>
      </c>
      <c r="I3939" s="39" t="s">
        <v>107</v>
      </c>
      <c r="U3939" s="0" t="n">
        <v>62</v>
      </c>
      <c r="V3939" s="0" t="n">
        <v>0</v>
      </c>
      <c r="W3939" s="39" t="n">
        <f aca="false">IF(I3939="Male",0,1)</f>
        <v>0</v>
      </c>
      <c r="X3939" s="39" t="n">
        <f aca="false">IF(OR(I3939="DNB",I3939="Dry DNB"),1,0)</f>
        <v>0</v>
      </c>
      <c r="Y3939" s="39" t="n">
        <f aca="false">MATCH(A3939,DATAS,0)</f>
        <v>1</v>
      </c>
      <c r="Z3939" s="39" t="n">
        <f aca="false">IF(AND(E3939&gt;0,OR(AND(B3939&gt;=1,B3939&lt;=6),B3939=10)),1,0)</f>
        <v>0</v>
      </c>
      <c r="AA3939" s="39" t="n">
        <f aca="false">IF(AND(E3939&gt;0,B3939=10),1,0)</f>
        <v>0</v>
      </c>
      <c r="AB3939" s="0" t="str">
        <f aca="false">IF(AND(C3938=C3939,Y3938=Y3939-1),Z3938,"")</f>
        <v/>
      </c>
      <c r="AC3939" s="0" t="str">
        <f aca="false">IF(AND(C3938=C3939,Y3938=Y3939-1),AA3938,"")</f>
        <v/>
      </c>
      <c r="AD3939" s="0" t="str">
        <f aca="false">IF(Y3939=1,"",IF(AND(Z3939=1,AB3939&lt;&gt;1),1,0))</f>
        <v/>
      </c>
      <c r="AE3939" s="0" t="str">
        <f aca="false">IF(Y3939=1,"",IF(AND(AA3939=1,AC3939&lt;&gt;1),1,0))</f>
        <v/>
      </c>
      <c r="AF3939" s="45" t="str">
        <f aca="false">IF(AND(E3939&gt;0,Y3939&lt;1,NOT(AND(C3940=C3939,Y3940=Y3939+1))),INDEX(DATAS,Y3939+1),"")</f>
        <v/>
      </c>
      <c r="AG3939" s="45" t="str">
        <f aca="false">IF(AND(AA3939=1,Y3939&lt;1),IF(AND(C3940=C3939,Y3940=Y3939+1),IF(AA3940=1,"",INDEX(DATAS,Y3939+1)),INDEX(DATAS,Y3939+1)),"")</f>
        <v/>
      </c>
    </row>
    <row r="3940" customFormat="false" ht="15" hidden="false" customHeight="false" outlineLevel="0" collapsed="false">
      <c r="A3940" s="45" t="n">
        <v>46309</v>
      </c>
      <c r="B3940" s="0" t="n">
        <v>15</v>
      </c>
      <c r="C3940" s="0" t="n">
        <v>30891</v>
      </c>
      <c r="E3940" s="0" t="n">
        <v>0</v>
      </c>
      <c r="F3940" s="39" t="s">
        <v>1596</v>
      </c>
      <c r="I3940" s="39" t="s">
        <v>107</v>
      </c>
      <c r="U3940" s="0" t="n">
        <v>62</v>
      </c>
      <c r="V3940" s="0" t="n">
        <v>0</v>
      </c>
      <c r="W3940" s="39" t="n">
        <f aca="false">IF(I3940="Male",0,1)</f>
        <v>0</v>
      </c>
      <c r="X3940" s="39" t="n">
        <f aca="false">IF(OR(I3940="DNB",I3940="Dry DNB"),1,0)</f>
        <v>0</v>
      </c>
      <c r="Y3940" s="39" t="n">
        <f aca="false">MATCH(A3940,DATAS,0)</f>
        <v>1</v>
      </c>
      <c r="Z3940" s="39" t="n">
        <f aca="false">IF(AND(E3940&gt;0,OR(AND(B3940&gt;=1,B3940&lt;=6),B3940=10)),1,0)</f>
        <v>0</v>
      </c>
      <c r="AA3940" s="39" t="n">
        <f aca="false">IF(AND(E3940&gt;0,B3940=10),1,0)</f>
        <v>0</v>
      </c>
      <c r="AB3940" s="0" t="str">
        <f aca="false">IF(AND(C3939=C3940,Y3939=Y3940-1),Z3939,"")</f>
        <v/>
      </c>
      <c r="AC3940" s="0" t="str">
        <f aca="false">IF(AND(C3939=C3940,Y3939=Y3940-1),AA3939,"")</f>
        <v/>
      </c>
      <c r="AD3940" s="0" t="str">
        <f aca="false">IF(Y3940=1,"",IF(AND(Z3940=1,AB3940&lt;&gt;1),1,0))</f>
        <v/>
      </c>
      <c r="AE3940" s="0" t="str">
        <f aca="false">IF(Y3940=1,"",IF(AND(AA3940=1,AC3940&lt;&gt;1),1,0))</f>
        <v/>
      </c>
      <c r="AF3940" s="45" t="str">
        <f aca="false">IF(AND(E3940&gt;0,Y3940&lt;1,NOT(AND(C3941=C3940,Y3941=Y3940+1))),INDEX(DATAS,Y3940+1),"")</f>
        <v/>
      </c>
      <c r="AG3940" s="45" t="str">
        <f aca="false">IF(AND(AA3940=1,Y3940&lt;1),IF(AND(C3941=C3940,Y3941=Y3940+1),IF(AA3941=1,"",INDEX(DATAS,Y3940+1)),INDEX(DATAS,Y3940+1)),"")</f>
        <v/>
      </c>
    </row>
    <row r="3941" customFormat="false" ht="15" hidden="false" customHeight="false" outlineLevel="0" collapsed="false">
      <c r="A3941" s="45" t="n">
        <v>46309</v>
      </c>
      <c r="B3941" s="0" t="n">
        <v>15</v>
      </c>
      <c r="C3941" s="0" t="n">
        <v>30894</v>
      </c>
      <c r="E3941" s="0" t="n">
        <v>0</v>
      </c>
      <c r="F3941" s="39" t="s">
        <v>1601</v>
      </c>
      <c r="I3941" s="39" t="s">
        <v>107</v>
      </c>
      <c r="U3941" s="0" t="n">
        <v>57</v>
      </c>
      <c r="V3941" s="0" t="n">
        <v>0</v>
      </c>
      <c r="W3941" s="39" t="n">
        <f aca="false">IF(I3941="Male",0,1)</f>
        <v>0</v>
      </c>
      <c r="X3941" s="39" t="n">
        <f aca="false">IF(OR(I3941="DNB",I3941="Dry DNB"),1,0)</f>
        <v>0</v>
      </c>
      <c r="Y3941" s="39" t="n">
        <f aca="false">MATCH(A3941,DATAS,0)</f>
        <v>1</v>
      </c>
      <c r="Z3941" s="39" t="n">
        <f aca="false">IF(AND(E3941&gt;0,OR(AND(B3941&gt;=1,B3941&lt;=6),B3941=10)),1,0)</f>
        <v>0</v>
      </c>
      <c r="AA3941" s="39" t="n">
        <f aca="false">IF(AND(E3941&gt;0,B3941=10),1,0)</f>
        <v>0</v>
      </c>
      <c r="AB3941" s="0" t="str">
        <f aca="false">IF(AND(C3940=C3941,Y3940=Y3941-1),Z3940,"")</f>
        <v/>
      </c>
      <c r="AC3941" s="0" t="str">
        <f aca="false">IF(AND(C3940=C3941,Y3940=Y3941-1),AA3940,"")</f>
        <v/>
      </c>
      <c r="AD3941" s="0" t="str">
        <f aca="false">IF(Y3941=1,"",IF(AND(Z3941=1,AB3941&lt;&gt;1),1,0))</f>
        <v/>
      </c>
      <c r="AE3941" s="0" t="str">
        <f aca="false">IF(Y3941=1,"",IF(AND(AA3941=1,AC3941&lt;&gt;1),1,0))</f>
        <v/>
      </c>
      <c r="AF3941" s="45" t="str">
        <f aca="false">IF(AND(E3941&gt;0,Y3941&lt;1,NOT(AND(C3942=C3941,Y3942=Y3941+1))),INDEX(DATAS,Y3941+1),"")</f>
        <v/>
      </c>
      <c r="AG3941" s="45" t="str">
        <f aca="false">IF(AND(AA3941=1,Y3941&lt;1),IF(AND(C3942=C3941,Y3942=Y3941+1),IF(AA3942=1,"",INDEX(DATAS,Y3941+1)),INDEX(DATAS,Y3941+1)),"")</f>
        <v/>
      </c>
    </row>
    <row r="3942" customFormat="false" ht="15" hidden="false" customHeight="false" outlineLevel="0" collapsed="false">
      <c r="A3942" s="45" t="n">
        <v>46309</v>
      </c>
      <c r="B3942" s="0" t="n">
        <v>15</v>
      </c>
      <c r="C3942" s="0" t="n">
        <v>30895</v>
      </c>
      <c r="E3942" s="0" t="n">
        <v>0</v>
      </c>
      <c r="F3942" s="39" t="s">
        <v>1603</v>
      </c>
      <c r="I3942" s="39" t="s">
        <v>107</v>
      </c>
      <c r="U3942" s="0" t="n">
        <v>55</v>
      </c>
      <c r="V3942" s="0" t="n">
        <v>0</v>
      </c>
      <c r="W3942" s="39" t="n">
        <f aca="false">IF(I3942="Male",0,1)</f>
        <v>0</v>
      </c>
      <c r="X3942" s="39" t="n">
        <f aca="false">IF(OR(I3942="DNB",I3942="Dry DNB"),1,0)</f>
        <v>0</v>
      </c>
      <c r="Y3942" s="39" t="n">
        <f aca="false">MATCH(A3942,DATAS,0)</f>
        <v>1</v>
      </c>
      <c r="Z3942" s="39" t="n">
        <f aca="false">IF(AND(E3942&gt;0,OR(AND(B3942&gt;=1,B3942&lt;=6),B3942=10)),1,0)</f>
        <v>0</v>
      </c>
      <c r="AA3942" s="39" t="n">
        <f aca="false">IF(AND(E3942&gt;0,B3942=10),1,0)</f>
        <v>0</v>
      </c>
      <c r="AB3942" s="0" t="str">
        <f aca="false">IF(AND(C3941=C3942,Y3941=Y3942-1),Z3941,"")</f>
        <v/>
      </c>
      <c r="AC3942" s="0" t="str">
        <f aca="false">IF(AND(C3941=C3942,Y3941=Y3942-1),AA3941,"")</f>
        <v/>
      </c>
      <c r="AD3942" s="0" t="str">
        <f aca="false">IF(Y3942=1,"",IF(AND(Z3942=1,AB3942&lt;&gt;1),1,0))</f>
        <v/>
      </c>
      <c r="AE3942" s="0" t="str">
        <f aca="false">IF(Y3942=1,"",IF(AND(AA3942=1,AC3942&lt;&gt;1),1,0))</f>
        <v/>
      </c>
      <c r="AF3942" s="45" t="str">
        <f aca="false">IF(AND(E3942&gt;0,Y3942&lt;1,NOT(AND(C3943=C3942,Y3943=Y3942+1))),INDEX(DATAS,Y3942+1),"")</f>
        <v/>
      </c>
      <c r="AG3942" s="45" t="str">
        <f aca="false">IF(AND(AA3942=1,Y3942&lt;1),IF(AND(C3943=C3942,Y3943=Y3942+1),IF(AA3943=1,"",INDEX(DATAS,Y3942+1)),INDEX(DATAS,Y3942+1)),"")</f>
        <v/>
      </c>
    </row>
    <row r="3943" customFormat="false" ht="15" hidden="false" customHeight="false" outlineLevel="0" collapsed="false">
      <c r="A3943" s="45" t="n">
        <v>46309</v>
      </c>
      <c r="B3943" s="0" t="n">
        <v>15</v>
      </c>
      <c r="C3943" s="0" t="n">
        <v>30896</v>
      </c>
      <c r="E3943" s="0" t="n">
        <v>0</v>
      </c>
      <c r="F3943" s="39" t="s">
        <v>1603</v>
      </c>
      <c r="I3943" s="39" t="s">
        <v>107</v>
      </c>
      <c r="U3943" s="0" t="n">
        <v>55</v>
      </c>
      <c r="V3943" s="0" t="n">
        <v>0</v>
      </c>
      <c r="W3943" s="39" t="n">
        <f aca="false">IF(I3943="Male",0,1)</f>
        <v>0</v>
      </c>
      <c r="X3943" s="39" t="n">
        <f aca="false">IF(OR(I3943="DNB",I3943="Dry DNB"),1,0)</f>
        <v>0</v>
      </c>
      <c r="Y3943" s="39" t="n">
        <f aca="false">MATCH(A3943,DATAS,0)</f>
        <v>1</v>
      </c>
      <c r="Z3943" s="39" t="n">
        <f aca="false">IF(AND(E3943&gt;0,OR(AND(B3943&gt;=1,B3943&lt;=6),B3943=10)),1,0)</f>
        <v>0</v>
      </c>
      <c r="AA3943" s="39" t="n">
        <f aca="false">IF(AND(E3943&gt;0,B3943=10),1,0)</f>
        <v>0</v>
      </c>
      <c r="AB3943" s="0" t="str">
        <f aca="false">IF(AND(C3942=C3943,Y3942=Y3943-1),Z3942,"")</f>
        <v/>
      </c>
      <c r="AC3943" s="0" t="str">
        <f aca="false">IF(AND(C3942=C3943,Y3942=Y3943-1),AA3942,"")</f>
        <v/>
      </c>
      <c r="AD3943" s="0" t="str">
        <f aca="false">IF(Y3943=1,"",IF(AND(Z3943=1,AB3943&lt;&gt;1),1,0))</f>
        <v/>
      </c>
      <c r="AE3943" s="0" t="str">
        <f aca="false">IF(Y3943=1,"",IF(AND(AA3943=1,AC3943&lt;&gt;1),1,0))</f>
        <v/>
      </c>
      <c r="AF3943" s="45" t="str">
        <f aca="false">IF(AND(E3943&gt;0,Y3943&lt;1,NOT(AND(C3944=C3943,Y3944=Y3943+1))),INDEX(DATAS,Y3943+1),"")</f>
        <v/>
      </c>
      <c r="AG3943" s="45" t="str">
        <f aca="false">IF(AND(AA3943=1,Y3943&lt;1),IF(AND(C3944=C3943,Y3944=Y3943+1),IF(AA3944=1,"",INDEX(DATAS,Y3943+1)),INDEX(DATAS,Y3943+1)),"")</f>
        <v/>
      </c>
    </row>
    <row r="3944" customFormat="false" ht="15" hidden="false" customHeight="false" outlineLevel="0" collapsed="false">
      <c r="A3944" s="45" t="n">
        <v>46309</v>
      </c>
      <c r="B3944" s="0" t="n">
        <v>15</v>
      </c>
      <c r="C3944" s="0" t="n">
        <v>30897</v>
      </c>
      <c r="E3944" s="0" t="n">
        <v>0</v>
      </c>
      <c r="F3944" s="39" t="s">
        <v>1604</v>
      </c>
      <c r="I3944" s="39" t="s">
        <v>107</v>
      </c>
      <c r="U3944" s="0" t="n">
        <v>54</v>
      </c>
      <c r="V3944" s="0" t="n">
        <v>0</v>
      </c>
      <c r="W3944" s="39" t="n">
        <f aca="false">IF(I3944="Male",0,1)</f>
        <v>0</v>
      </c>
      <c r="X3944" s="39" t="n">
        <f aca="false">IF(OR(I3944="DNB",I3944="Dry DNB"),1,0)</f>
        <v>0</v>
      </c>
      <c r="Y3944" s="39" t="n">
        <f aca="false">MATCH(A3944,DATAS,0)</f>
        <v>1</v>
      </c>
      <c r="Z3944" s="39" t="n">
        <f aca="false">IF(AND(E3944&gt;0,OR(AND(B3944&gt;=1,B3944&lt;=6),B3944=10)),1,0)</f>
        <v>0</v>
      </c>
      <c r="AA3944" s="39" t="n">
        <f aca="false">IF(AND(E3944&gt;0,B3944=10),1,0)</f>
        <v>0</v>
      </c>
      <c r="AB3944" s="0" t="str">
        <f aca="false">IF(AND(C3943=C3944,Y3943=Y3944-1),Z3943,"")</f>
        <v/>
      </c>
      <c r="AC3944" s="0" t="str">
        <f aca="false">IF(AND(C3943=C3944,Y3943=Y3944-1),AA3943,"")</f>
        <v/>
      </c>
      <c r="AD3944" s="0" t="str">
        <f aca="false">IF(Y3944=1,"",IF(AND(Z3944=1,AB3944&lt;&gt;1),1,0))</f>
        <v/>
      </c>
      <c r="AE3944" s="0" t="str">
        <f aca="false">IF(Y3944=1,"",IF(AND(AA3944=1,AC3944&lt;&gt;1),1,0))</f>
        <v/>
      </c>
      <c r="AF3944" s="45" t="str">
        <f aca="false">IF(AND(E3944&gt;0,Y3944&lt;1,NOT(AND(C3945=C3944,Y3945=Y3944+1))),INDEX(DATAS,Y3944+1),"")</f>
        <v/>
      </c>
      <c r="AG3944" s="45" t="str">
        <f aca="false">IF(AND(AA3944=1,Y3944&lt;1),IF(AND(C3945=C3944,Y3945=Y3944+1),IF(AA3945=1,"",INDEX(DATAS,Y3944+1)),INDEX(DATAS,Y3944+1)),"")</f>
        <v/>
      </c>
    </row>
    <row r="3945" customFormat="false" ht="15" hidden="false" customHeight="false" outlineLevel="0" collapsed="false">
      <c r="A3945" s="45" t="n">
        <v>46309</v>
      </c>
      <c r="B3945" s="0" t="n">
        <v>15</v>
      </c>
      <c r="C3945" s="0" t="n">
        <v>30901</v>
      </c>
      <c r="E3945" s="0" t="n">
        <v>0</v>
      </c>
      <c r="F3945" s="39" t="s">
        <v>1611</v>
      </c>
      <c r="I3945" s="39" t="s">
        <v>107</v>
      </c>
      <c r="U3945" s="0" t="n">
        <v>46</v>
      </c>
      <c r="V3945" s="0" t="n">
        <v>0</v>
      </c>
      <c r="W3945" s="39" t="n">
        <f aca="false">IF(I3945="Male",0,1)</f>
        <v>0</v>
      </c>
      <c r="X3945" s="39" t="n">
        <f aca="false">IF(OR(I3945="DNB",I3945="Dry DNB"),1,0)</f>
        <v>0</v>
      </c>
      <c r="Y3945" s="39" t="n">
        <f aca="false">MATCH(A3945,DATAS,0)</f>
        <v>1</v>
      </c>
      <c r="Z3945" s="39" t="n">
        <f aca="false">IF(AND(E3945&gt;0,OR(AND(B3945&gt;=1,B3945&lt;=6),B3945=10)),1,0)</f>
        <v>0</v>
      </c>
      <c r="AA3945" s="39" t="n">
        <f aca="false">IF(AND(E3945&gt;0,B3945=10),1,0)</f>
        <v>0</v>
      </c>
      <c r="AB3945" s="0" t="str">
        <f aca="false">IF(AND(C3944=C3945,Y3944=Y3945-1),Z3944,"")</f>
        <v/>
      </c>
      <c r="AC3945" s="0" t="str">
        <f aca="false">IF(AND(C3944=C3945,Y3944=Y3945-1),AA3944,"")</f>
        <v/>
      </c>
      <c r="AD3945" s="0" t="str">
        <f aca="false">IF(Y3945=1,"",IF(AND(Z3945=1,AB3945&lt;&gt;1),1,0))</f>
        <v/>
      </c>
      <c r="AE3945" s="0" t="str">
        <f aca="false">IF(Y3945=1,"",IF(AND(AA3945=1,AC3945&lt;&gt;1),1,0))</f>
        <v/>
      </c>
      <c r="AF3945" s="45" t="str">
        <f aca="false">IF(AND(E3945&gt;0,Y3945&lt;1,NOT(AND(C3946=C3945,Y3946=Y3945+1))),INDEX(DATAS,Y3945+1),"")</f>
        <v/>
      </c>
      <c r="AG3945" s="45" t="str">
        <f aca="false">IF(AND(AA3945=1,Y3945&lt;1),IF(AND(C3946=C3945,Y3946=Y3945+1),IF(AA3946=1,"",INDEX(DATAS,Y3945+1)),INDEX(DATAS,Y3945+1)),"")</f>
        <v/>
      </c>
    </row>
    <row r="3946" customFormat="false" ht="15" hidden="false" customHeight="false" outlineLevel="0" collapsed="false">
      <c r="A3946" s="45" t="n">
        <v>46309</v>
      </c>
      <c r="B3946" s="0" t="n">
        <v>15</v>
      </c>
      <c r="C3946" s="0" t="n">
        <v>30904</v>
      </c>
      <c r="E3946" s="0" t="n">
        <v>0</v>
      </c>
      <c r="F3946" s="39" t="s">
        <v>1613</v>
      </c>
      <c r="I3946" s="39" t="s">
        <v>107</v>
      </c>
      <c r="U3946" s="0" t="n">
        <v>45</v>
      </c>
      <c r="V3946" s="0" t="n">
        <v>0</v>
      </c>
      <c r="W3946" s="39" t="n">
        <f aca="false">IF(I3946="Male",0,1)</f>
        <v>0</v>
      </c>
      <c r="X3946" s="39" t="n">
        <f aca="false">IF(OR(I3946="DNB",I3946="Dry DNB"),1,0)</f>
        <v>0</v>
      </c>
      <c r="Y3946" s="39" t="n">
        <f aca="false">MATCH(A3946,DATAS,0)</f>
        <v>1</v>
      </c>
      <c r="Z3946" s="39" t="n">
        <f aca="false">IF(AND(E3946&gt;0,OR(AND(B3946&gt;=1,B3946&lt;=6),B3946=10)),1,0)</f>
        <v>0</v>
      </c>
      <c r="AA3946" s="39" t="n">
        <f aca="false">IF(AND(E3946&gt;0,B3946=10),1,0)</f>
        <v>0</v>
      </c>
      <c r="AB3946" s="0" t="str">
        <f aca="false">IF(AND(C3945=C3946,Y3945=Y3946-1),Z3945,"")</f>
        <v/>
      </c>
      <c r="AC3946" s="0" t="str">
        <f aca="false">IF(AND(C3945=C3946,Y3945=Y3946-1),AA3945,"")</f>
        <v/>
      </c>
      <c r="AD3946" s="0" t="str">
        <f aca="false">IF(Y3946=1,"",IF(AND(Z3946=1,AB3946&lt;&gt;1),1,0))</f>
        <v/>
      </c>
      <c r="AE3946" s="0" t="str">
        <f aca="false">IF(Y3946=1,"",IF(AND(AA3946=1,AC3946&lt;&gt;1),1,0))</f>
        <v/>
      </c>
      <c r="AF3946" s="45" t="str">
        <f aca="false">IF(AND(E3946&gt;0,Y3946&lt;1,NOT(AND(C3947=C3946,Y3947=Y3946+1))),INDEX(DATAS,Y3946+1),"")</f>
        <v/>
      </c>
      <c r="AG3946" s="45" t="str">
        <f aca="false">IF(AND(AA3946=1,Y3946&lt;1),IF(AND(C3947=C3946,Y3947=Y3946+1),IF(AA3947=1,"",INDEX(DATAS,Y3946+1)),INDEX(DATAS,Y3946+1)),"")</f>
        <v/>
      </c>
    </row>
    <row r="3947" customFormat="false" ht="15" hidden="false" customHeight="false" outlineLevel="0" collapsed="false">
      <c r="A3947" s="45" t="n">
        <v>46309</v>
      </c>
      <c r="B3947" s="0" t="n">
        <v>15</v>
      </c>
      <c r="C3947" s="0" t="n">
        <v>30905</v>
      </c>
      <c r="E3947" s="0" t="n">
        <v>0</v>
      </c>
      <c r="F3947" s="39" t="s">
        <v>1614</v>
      </c>
      <c r="I3947" s="39" t="s">
        <v>107</v>
      </c>
      <c r="U3947" s="0" t="n">
        <v>43</v>
      </c>
      <c r="V3947" s="0" t="n">
        <v>0</v>
      </c>
      <c r="W3947" s="39" t="n">
        <f aca="false">IF(I3947="Male",0,1)</f>
        <v>0</v>
      </c>
      <c r="X3947" s="39" t="n">
        <f aca="false">IF(OR(I3947="DNB",I3947="Dry DNB"),1,0)</f>
        <v>0</v>
      </c>
      <c r="Y3947" s="39" t="n">
        <f aca="false">MATCH(A3947,DATAS,0)</f>
        <v>1</v>
      </c>
      <c r="Z3947" s="39" t="n">
        <f aca="false">IF(AND(E3947&gt;0,OR(AND(B3947&gt;=1,B3947&lt;=6),B3947=10)),1,0)</f>
        <v>0</v>
      </c>
      <c r="AA3947" s="39" t="n">
        <f aca="false">IF(AND(E3947&gt;0,B3947=10),1,0)</f>
        <v>0</v>
      </c>
      <c r="AB3947" s="0" t="str">
        <f aca="false">IF(AND(C3946=C3947,Y3946=Y3947-1),Z3946,"")</f>
        <v/>
      </c>
      <c r="AC3947" s="0" t="str">
        <f aca="false">IF(AND(C3946=C3947,Y3946=Y3947-1),AA3946,"")</f>
        <v/>
      </c>
      <c r="AD3947" s="0" t="str">
        <f aca="false">IF(Y3947=1,"",IF(AND(Z3947=1,AB3947&lt;&gt;1),1,0))</f>
        <v/>
      </c>
      <c r="AE3947" s="0" t="str">
        <f aca="false">IF(Y3947=1,"",IF(AND(AA3947=1,AC3947&lt;&gt;1),1,0))</f>
        <v/>
      </c>
      <c r="AF3947" s="45" t="str">
        <f aca="false">IF(AND(E3947&gt;0,Y3947&lt;1,NOT(AND(C3948=C3947,Y3948=Y3947+1))),INDEX(DATAS,Y3947+1),"")</f>
        <v/>
      </c>
      <c r="AG3947" s="45" t="str">
        <f aca="false">IF(AND(AA3947=1,Y3947&lt;1),IF(AND(C3948=C3947,Y3948=Y3947+1),IF(AA3948=1,"",INDEX(DATAS,Y3947+1)),INDEX(DATAS,Y3947+1)),"")</f>
        <v/>
      </c>
    </row>
    <row r="3948" customFormat="false" ht="15" hidden="false" customHeight="false" outlineLevel="0" collapsed="false">
      <c r="A3948" s="45" t="n">
        <v>46309</v>
      </c>
      <c r="B3948" s="0" t="n">
        <v>15</v>
      </c>
      <c r="C3948" s="0" t="n">
        <v>30906</v>
      </c>
      <c r="E3948" s="0" t="n">
        <v>0</v>
      </c>
      <c r="F3948" s="39" t="s">
        <v>1615</v>
      </c>
      <c r="I3948" s="39" t="s">
        <v>107</v>
      </c>
      <c r="U3948" s="0" t="n">
        <v>42</v>
      </c>
      <c r="V3948" s="0" t="n">
        <v>0</v>
      </c>
      <c r="W3948" s="39" t="n">
        <f aca="false">IF(I3948="Male",0,1)</f>
        <v>0</v>
      </c>
      <c r="X3948" s="39" t="n">
        <f aca="false">IF(OR(I3948="DNB",I3948="Dry DNB"),1,0)</f>
        <v>0</v>
      </c>
      <c r="Y3948" s="39" t="n">
        <f aca="false">MATCH(A3948,DATAS,0)</f>
        <v>1</v>
      </c>
      <c r="Z3948" s="39" t="n">
        <f aca="false">IF(AND(E3948&gt;0,OR(AND(B3948&gt;=1,B3948&lt;=6),B3948=10)),1,0)</f>
        <v>0</v>
      </c>
      <c r="AA3948" s="39" t="n">
        <f aca="false">IF(AND(E3948&gt;0,B3948=10),1,0)</f>
        <v>0</v>
      </c>
      <c r="AB3948" s="0" t="str">
        <f aca="false">IF(AND(C3947=C3948,Y3947=Y3948-1),Z3947,"")</f>
        <v/>
      </c>
      <c r="AC3948" s="0" t="str">
        <f aca="false">IF(AND(C3947=C3948,Y3947=Y3948-1),AA3947,"")</f>
        <v/>
      </c>
      <c r="AD3948" s="0" t="str">
        <f aca="false">IF(Y3948=1,"",IF(AND(Z3948=1,AB3948&lt;&gt;1),1,0))</f>
        <v/>
      </c>
      <c r="AE3948" s="0" t="str">
        <f aca="false">IF(Y3948=1,"",IF(AND(AA3948=1,AC3948&lt;&gt;1),1,0))</f>
        <v/>
      </c>
      <c r="AF3948" s="45" t="str">
        <f aca="false">IF(AND(E3948&gt;0,Y3948&lt;1,NOT(AND(C3949=C3948,Y3949=Y3948+1))),INDEX(DATAS,Y3948+1),"")</f>
        <v/>
      </c>
      <c r="AG3948" s="45" t="str">
        <f aca="false">IF(AND(AA3948=1,Y3948&lt;1),IF(AND(C3949=C3948,Y3949=Y3948+1),IF(AA3949=1,"",INDEX(DATAS,Y3948+1)),INDEX(DATAS,Y3948+1)),"")</f>
        <v/>
      </c>
    </row>
    <row r="3949" customFormat="false" ht="15" hidden="false" customHeight="false" outlineLevel="0" collapsed="false">
      <c r="A3949" s="45" t="n">
        <v>46309</v>
      </c>
      <c r="B3949" s="0" t="n">
        <v>15</v>
      </c>
      <c r="C3949" s="0" t="n">
        <v>30907</v>
      </c>
      <c r="E3949" s="0" t="n">
        <v>0</v>
      </c>
      <c r="F3949" s="39" t="s">
        <v>1615</v>
      </c>
      <c r="I3949" s="39" t="s">
        <v>107</v>
      </c>
      <c r="U3949" s="0" t="n">
        <v>42</v>
      </c>
      <c r="V3949" s="0" t="n">
        <v>0</v>
      </c>
      <c r="W3949" s="39" t="n">
        <f aca="false">IF(I3949="Male",0,1)</f>
        <v>0</v>
      </c>
      <c r="X3949" s="39" t="n">
        <f aca="false">IF(OR(I3949="DNB",I3949="Dry DNB"),1,0)</f>
        <v>0</v>
      </c>
      <c r="Y3949" s="39" t="n">
        <f aca="false">MATCH(A3949,DATAS,0)</f>
        <v>1</v>
      </c>
      <c r="Z3949" s="39" t="n">
        <f aca="false">IF(AND(E3949&gt;0,OR(AND(B3949&gt;=1,B3949&lt;=6),B3949=10)),1,0)</f>
        <v>0</v>
      </c>
      <c r="AA3949" s="39" t="n">
        <f aca="false">IF(AND(E3949&gt;0,B3949=10),1,0)</f>
        <v>0</v>
      </c>
      <c r="AB3949" s="0" t="str">
        <f aca="false">IF(AND(C3948=C3949,Y3948=Y3949-1),Z3948,"")</f>
        <v/>
      </c>
      <c r="AC3949" s="0" t="str">
        <f aca="false">IF(AND(C3948=C3949,Y3948=Y3949-1),AA3948,"")</f>
        <v/>
      </c>
      <c r="AD3949" s="0" t="str">
        <f aca="false">IF(Y3949=1,"",IF(AND(Z3949=1,AB3949&lt;&gt;1),1,0))</f>
        <v/>
      </c>
      <c r="AE3949" s="0" t="str">
        <f aca="false">IF(Y3949=1,"",IF(AND(AA3949=1,AC3949&lt;&gt;1),1,0))</f>
        <v/>
      </c>
      <c r="AF3949" s="45" t="str">
        <f aca="false">IF(AND(E3949&gt;0,Y3949&lt;1,NOT(AND(C3950=C3949,Y3950=Y3949+1))),INDEX(DATAS,Y3949+1),"")</f>
        <v/>
      </c>
      <c r="AG3949" s="45" t="str">
        <f aca="false">IF(AND(AA3949=1,Y3949&lt;1),IF(AND(C3950=C3949,Y3950=Y3949+1),IF(AA3950=1,"",INDEX(DATAS,Y3949+1)),INDEX(DATAS,Y3949+1)),"")</f>
        <v/>
      </c>
    </row>
    <row r="3950" customFormat="false" ht="15" hidden="false" customHeight="false" outlineLevel="0" collapsed="false">
      <c r="A3950" s="45" t="n">
        <v>46309</v>
      </c>
      <c r="B3950" s="0" t="n">
        <v>15</v>
      </c>
      <c r="C3950" s="0" t="n">
        <v>30909</v>
      </c>
      <c r="E3950" s="0" t="n">
        <v>0</v>
      </c>
      <c r="F3950" s="39" t="s">
        <v>1617</v>
      </c>
      <c r="I3950" s="39" t="s">
        <v>107</v>
      </c>
      <c r="U3950" s="0" t="n">
        <v>40</v>
      </c>
      <c r="V3950" s="0" t="n">
        <v>0</v>
      </c>
      <c r="W3950" s="39" t="n">
        <f aca="false">IF(I3950="Male",0,1)</f>
        <v>0</v>
      </c>
      <c r="X3950" s="39" t="n">
        <f aca="false">IF(OR(I3950="DNB",I3950="Dry DNB"),1,0)</f>
        <v>0</v>
      </c>
      <c r="Y3950" s="39" t="n">
        <f aca="false">MATCH(A3950,DATAS,0)</f>
        <v>1</v>
      </c>
      <c r="Z3950" s="39" t="n">
        <f aca="false">IF(AND(E3950&gt;0,OR(AND(B3950&gt;=1,B3950&lt;=6),B3950=10)),1,0)</f>
        <v>0</v>
      </c>
      <c r="AA3950" s="39" t="n">
        <f aca="false">IF(AND(E3950&gt;0,B3950=10),1,0)</f>
        <v>0</v>
      </c>
      <c r="AB3950" s="0" t="str">
        <f aca="false">IF(AND(C3949=C3950,Y3949=Y3950-1),Z3949,"")</f>
        <v/>
      </c>
      <c r="AC3950" s="0" t="str">
        <f aca="false">IF(AND(C3949=C3950,Y3949=Y3950-1),AA3949,"")</f>
        <v/>
      </c>
      <c r="AD3950" s="0" t="str">
        <f aca="false">IF(Y3950=1,"",IF(AND(Z3950=1,AB3950&lt;&gt;1),1,0))</f>
        <v/>
      </c>
      <c r="AE3950" s="0" t="str">
        <f aca="false">IF(Y3950=1,"",IF(AND(AA3950=1,AC3950&lt;&gt;1),1,0))</f>
        <v/>
      </c>
      <c r="AF3950" s="45" t="str">
        <f aca="false">IF(AND(E3950&gt;0,Y3950&lt;1,NOT(AND(C3951=C3950,Y3951=Y3950+1))),INDEX(DATAS,Y3950+1),"")</f>
        <v/>
      </c>
      <c r="AG3950" s="45" t="str">
        <f aca="false">IF(AND(AA3950=1,Y3950&lt;1),IF(AND(C3951=C3950,Y3951=Y3950+1),IF(AA3951=1,"",INDEX(DATAS,Y3950+1)),INDEX(DATAS,Y3950+1)),"")</f>
        <v/>
      </c>
    </row>
    <row r="3951" customFormat="false" ht="15" hidden="false" customHeight="false" outlineLevel="0" collapsed="false">
      <c r="A3951" s="45" t="n">
        <v>46309</v>
      </c>
      <c r="B3951" s="0" t="n">
        <v>15</v>
      </c>
      <c r="C3951" s="0" t="n">
        <v>30912</v>
      </c>
      <c r="E3951" s="0" t="n">
        <v>0</v>
      </c>
      <c r="F3951" s="39" t="s">
        <v>1621</v>
      </c>
      <c r="I3951" s="39" t="s">
        <v>107</v>
      </c>
      <c r="U3951" s="0" t="n">
        <v>36</v>
      </c>
      <c r="V3951" s="0" t="n">
        <v>0</v>
      </c>
      <c r="W3951" s="39" t="n">
        <f aca="false">IF(I3951="Male",0,1)</f>
        <v>0</v>
      </c>
      <c r="X3951" s="39" t="n">
        <f aca="false">IF(OR(I3951="DNB",I3951="Dry DNB"),1,0)</f>
        <v>0</v>
      </c>
      <c r="Y3951" s="39" t="n">
        <f aca="false">MATCH(A3951,DATAS,0)</f>
        <v>1</v>
      </c>
      <c r="Z3951" s="39" t="n">
        <f aca="false">IF(AND(E3951&gt;0,OR(AND(B3951&gt;=1,B3951&lt;=6),B3951=10)),1,0)</f>
        <v>0</v>
      </c>
      <c r="AA3951" s="39" t="n">
        <f aca="false">IF(AND(E3951&gt;0,B3951=10),1,0)</f>
        <v>0</v>
      </c>
      <c r="AB3951" s="0" t="str">
        <f aca="false">IF(AND(C3950=C3951,Y3950=Y3951-1),Z3950,"")</f>
        <v/>
      </c>
      <c r="AC3951" s="0" t="str">
        <f aca="false">IF(AND(C3950=C3951,Y3950=Y3951-1),AA3950,"")</f>
        <v/>
      </c>
      <c r="AD3951" s="0" t="str">
        <f aca="false">IF(Y3951=1,"",IF(AND(Z3951=1,AB3951&lt;&gt;1),1,0))</f>
        <v/>
      </c>
      <c r="AE3951" s="0" t="str">
        <f aca="false">IF(Y3951=1,"",IF(AND(AA3951=1,AC3951&lt;&gt;1),1,0))</f>
        <v/>
      </c>
      <c r="AF3951" s="45" t="str">
        <f aca="false">IF(AND(E3951&gt;0,Y3951&lt;1,NOT(AND(C3952=C3951,Y3952=Y3951+1))),INDEX(DATAS,Y3951+1),"")</f>
        <v/>
      </c>
      <c r="AG3951" s="45" t="str">
        <f aca="false">IF(AND(AA3951=1,Y3951&lt;1),IF(AND(C3952=C3951,Y3952=Y3951+1),IF(AA3952=1,"",INDEX(DATAS,Y3951+1)),INDEX(DATAS,Y3951+1)),"")</f>
        <v/>
      </c>
    </row>
    <row r="3952" customFormat="false" ht="15" hidden="false" customHeight="false" outlineLevel="0" collapsed="false">
      <c r="A3952" s="45" t="n">
        <v>46309</v>
      </c>
      <c r="B3952" s="0" t="n">
        <v>15</v>
      </c>
      <c r="C3952" s="0" t="n">
        <v>30913</v>
      </c>
      <c r="E3952" s="0" t="n">
        <v>0</v>
      </c>
      <c r="F3952" s="39" t="s">
        <v>1622</v>
      </c>
      <c r="I3952" s="39" t="s">
        <v>107</v>
      </c>
      <c r="U3952" s="0" t="n">
        <v>35</v>
      </c>
      <c r="V3952" s="0" t="n">
        <v>0</v>
      </c>
      <c r="W3952" s="39" t="n">
        <f aca="false">IF(I3952="Male",0,1)</f>
        <v>0</v>
      </c>
      <c r="X3952" s="39" t="n">
        <f aca="false">IF(OR(I3952="DNB",I3952="Dry DNB"),1,0)</f>
        <v>0</v>
      </c>
      <c r="Y3952" s="39" t="n">
        <f aca="false">MATCH(A3952,DATAS,0)</f>
        <v>1</v>
      </c>
      <c r="Z3952" s="39" t="n">
        <f aca="false">IF(AND(E3952&gt;0,OR(AND(B3952&gt;=1,B3952&lt;=6),B3952=10)),1,0)</f>
        <v>0</v>
      </c>
      <c r="AA3952" s="39" t="n">
        <f aca="false">IF(AND(E3952&gt;0,B3952=10),1,0)</f>
        <v>0</v>
      </c>
      <c r="AB3952" s="0" t="str">
        <f aca="false">IF(AND(C3951=C3952,Y3951=Y3952-1),Z3951,"")</f>
        <v/>
      </c>
      <c r="AC3952" s="0" t="str">
        <f aca="false">IF(AND(C3951=C3952,Y3951=Y3952-1),AA3951,"")</f>
        <v/>
      </c>
      <c r="AD3952" s="0" t="str">
        <f aca="false">IF(Y3952=1,"",IF(AND(Z3952=1,AB3952&lt;&gt;1),1,0))</f>
        <v/>
      </c>
      <c r="AE3952" s="0" t="str">
        <f aca="false">IF(Y3952=1,"",IF(AND(AA3952=1,AC3952&lt;&gt;1),1,0))</f>
        <v/>
      </c>
      <c r="AF3952" s="45" t="str">
        <f aca="false">IF(AND(E3952&gt;0,Y3952&lt;1,NOT(AND(C3953=C3952,Y3953=Y3952+1))),INDEX(DATAS,Y3952+1),"")</f>
        <v/>
      </c>
      <c r="AG3952" s="45" t="str">
        <f aca="false">IF(AND(AA3952=1,Y3952&lt;1),IF(AND(C3953=C3952,Y3953=Y3952+1),IF(AA3953=1,"",INDEX(DATAS,Y3952+1)),INDEX(DATAS,Y3952+1)),"")</f>
        <v/>
      </c>
    </row>
    <row r="3953" customFormat="false" ht="15" hidden="false" customHeight="false" outlineLevel="0" collapsed="false">
      <c r="A3953" s="45" t="n">
        <v>46309</v>
      </c>
      <c r="B3953" s="0" t="n">
        <v>15</v>
      </c>
      <c r="C3953" s="0" t="n">
        <v>30914</v>
      </c>
      <c r="E3953" s="0" t="n">
        <v>0</v>
      </c>
      <c r="F3953" s="39" t="s">
        <v>1623</v>
      </c>
      <c r="I3953" s="39" t="s">
        <v>107</v>
      </c>
      <c r="U3953" s="0" t="n">
        <v>34</v>
      </c>
      <c r="V3953" s="0" t="n">
        <v>0</v>
      </c>
      <c r="W3953" s="39" t="n">
        <f aca="false">IF(I3953="Male",0,1)</f>
        <v>0</v>
      </c>
      <c r="X3953" s="39" t="n">
        <f aca="false">IF(OR(I3953="DNB",I3953="Dry DNB"),1,0)</f>
        <v>0</v>
      </c>
      <c r="Y3953" s="39" t="n">
        <f aca="false">MATCH(A3953,DATAS,0)</f>
        <v>1</v>
      </c>
      <c r="Z3953" s="39" t="n">
        <f aca="false">IF(AND(E3953&gt;0,OR(AND(B3953&gt;=1,B3953&lt;=6),B3953=10)),1,0)</f>
        <v>0</v>
      </c>
      <c r="AA3953" s="39" t="n">
        <f aca="false">IF(AND(E3953&gt;0,B3953=10),1,0)</f>
        <v>0</v>
      </c>
      <c r="AB3953" s="0" t="str">
        <f aca="false">IF(AND(C3952=C3953,Y3952=Y3953-1),Z3952,"")</f>
        <v/>
      </c>
      <c r="AC3953" s="0" t="str">
        <f aca="false">IF(AND(C3952=C3953,Y3952=Y3953-1),AA3952,"")</f>
        <v/>
      </c>
      <c r="AD3953" s="0" t="str">
        <f aca="false">IF(Y3953=1,"",IF(AND(Z3953=1,AB3953&lt;&gt;1),1,0))</f>
        <v/>
      </c>
      <c r="AE3953" s="0" t="str">
        <f aca="false">IF(Y3953=1,"",IF(AND(AA3953=1,AC3953&lt;&gt;1),1,0))</f>
        <v/>
      </c>
      <c r="AF3953" s="45" t="str">
        <f aca="false">IF(AND(E3953&gt;0,Y3953&lt;1,NOT(AND(C3954=C3953,Y3954=Y3953+1))),INDEX(DATAS,Y3953+1),"")</f>
        <v/>
      </c>
      <c r="AG3953" s="45" t="str">
        <f aca="false">IF(AND(AA3953=1,Y3953&lt;1),IF(AND(C3954=C3953,Y3954=Y3953+1),IF(AA3954=1,"",INDEX(DATAS,Y3953+1)),INDEX(DATAS,Y3953+1)),"")</f>
        <v/>
      </c>
    </row>
    <row r="3954" customFormat="false" ht="15" hidden="false" customHeight="false" outlineLevel="0" collapsed="false">
      <c r="A3954" s="45" t="n">
        <v>46309</v>
      </c>
      <c r="B3954" s="0" t="n">
        <v>15</v>
      </c>
      <c r="C3954" s="0" t="n">
        <v>30917</v>
      </c>
      <c r="E3954" s="0" t="n">
        <v>0</v>
      </c>
      <c r="F3954" s="39" t="s">
        <v>1627</v>
      </c>
      <c r="I3954" s="39" t="s">
        <v>107</v>
      </c>
      <c r="U3954" s="0" t="n">
        <v>30</v>
      </c>
      <c r="V3954" s="0" t="n">
        <v>0</v>
      </c>
      <c r="W3954" s="39" t="n">
        <f aca="false">IF(I3954="Male",0,1)</f>
        <v>0</v>
      </c>
      <c r="X3954" s="39" t="n">
        <f aca="false">IF(OR(I3954="DNB",I3954="Dry DNB"),1,0)</f>
        <v>0</v>
      </c>
      <c r="Y3954" s="39" t="n">
        <f aca="false">MATCH(A3954,DATAS,0)</f>
        <v>1</v>
      </c>
      <c r="Z3954" s="39" t="n">
        <f aca="false">IF(AND(E3954&gt;0,OR(AND(B3954&gt;=1,B3954&lt;=6),B3954=10)),1,0)</f>
        <v>0</v>
      </c>
      <c r="AA3954" s="39" t="n">
        <f aca="false">IF(AND(E3954&gt;0,B3954=10),1,0)</f>
        <v>0</v>
      </c>
      <c r="AB3954" s="0" t="str">
        <f aca="false">IF(AND(C3953=C3954,Y3953=Y3954-1),Z3953,"")</f>
        <v/>
      </c>
      <c r="AC3954" s="0" t="str">
        <f aca="false">IF(AND(C3953=C3954,Y3953=Y3954-1),AA3953,"")</f>
        <v/>
      </c>
      <c r="AD3954" s="0" t="str">
        <f aca="false">IF(Y3954=1,"",IF(AND(Z3954=1,AB3954&lt;&gt;1),1,0))</f>
        <v/>
      </c>
      <c r="AE3954" s="0" t="str">
        <f aca="false">IF(Y3954=1,"",IF(AND(AA3954=1,AC3954&lt;&gt;1),1,0))</f>
        <v/>
      </c>
      <c r="AF3954" s="45" t="str">
        <f aca="false">IF(AND(E3954&gt;0,Y3954&lt;1,NOT(AND(C3955=C3954,Y3955=Y3954+1))),INDEX(DATAS,Y3954+1),"")</f>
        <v/>
      </c>
      <c r="AG3954" s="45" t="str">
        <f aca="false">IF(AND(AA3954=1,Y3954&lt;1),IF(AND(C3955=C3954,Y3955=Y3954+1),IF(AA3955=1,"",INDEX(DATAS,Y3954+1)),INDEX(DATAS,Y3954+1)),"")</f>
        <v/>
      </c>
    </row>
    <row r="3955" customFormat="false" ht="15" hidden="false" customHeight="false" outlineLevel="0" collapsed="false">
      <c r="A3955" s="45" t="n">
        <v>46309</v>
      </c>
      <c r="B3955" s="0" t="n">
        <v>15</v>
      </c>
      <c r="C3955" s="0" t="n">
        <v>30919</v>
      </c>
      <c r="E3955" s="0" t="n">
        <v>0</v>
      </c>
      <c r="F3955" s="39" t="s">
        <v>1631</v>
      </c>
      <c r="I3955" s="39" t="s">
        <v>107</v>
      </c>
      <c r="U3955" s="0" t="n">
        <v>25</v>
      </c>
      <c r="V3955" s="0" t="n">
        <v>0</v>
      </c>
      <c r="W3955" s="39" t="n">
        <f aca="false">IF(I3955="Male",0,1)</f>
        <v>0</v>
      </c>
      <c r="X3955" s="39" t="n">
        <f aca="false">IF(OR(I3955="DNB",I3955="Dry DNB"),1,0)</f>
        <v>0</v>
      </c>
      <c r="Y3955" s="39" t="n">
        <f aca="false">MATCH(A3955,DATAS,0)</f>
        <v>1</v>
      </c>
      <c r="Z3955" s="39" t="n">
        <f aca="false">IF(AND(E3955&gt;0,OR(AND(B3955&gt;=1,B3955&lt;=6),B3955=10)),1,0)</f>
        <v>0</v>
      </c>
      <c r="AA3955" s="39" t="n">
        <f aca="false">IF(AND(E3955&gt;0,B3955=10),1,0)</f>
        <v>0</v>
      </c>
      <c r="AB3955" s="0" t="str">
        <f aca="false">IF(AND(C3954=C3955,Y3954=Y3955-1),Z3954,"")</f>
        <v/>
      </c>
      <c r="AC3955" s="0" t="str">
        <f aca="false">IF(AND(C3954=C3955,Y3954=Y3955-1),AA3954,"")</f>
        <v/>
      </c>
      <c r="AD3955" s="0" t="str">
        <f aca="false">IF(Y3955=1,"",IF(AND(Z3955=1,AB3955&lt;&gt;1),1,0))</f>
        <v/>
      </c>
      <c r="AE3955" s="0" t="str">
        <f aca="false">IF(Y3955=1,"",IF(AND(AA3955=1,AC3955&lt;&gt;1),1,0))</f>
        <v/>
      </c>
      <c r="AF3955" s="45" t="str">
        <f aca="false">IF(AND(E3955&gt;0,Y3955&lt;1,NOT(AND(C3956=C3955,Y3956=Y3955+1))),INDEX(DATAS,Y3955+1),"")</f>
        <v/>
      </c>
      <c r="AG3955" s="45" t="str">
        <f aca="false">IF(AND(AA3955=1,Y3955&lt;1),IF(AND(C3956=C3955,Y3956=Y3955+1),IF(AA3956=1,"",INDEX(DATAS,Y3955+1)),INDEX(DATAS,Y3955+1)),"")</f>
        <v/>
      </c>
    </row>
    <row r="3956" customFormat="false" ht="15" hidden="false" customHeight="false" outlineLevel="0" collapsed="false">
      <c r="A3956" s="45" t="n">
        <v>46309</v>
      </c>
      <c r="B3956" s="0" t="n">
        <v>15</v>
      </c>
      <c r="C3956" s="0" t="n">
        <v>30922</v>
      </c>
      <c r="E3956" s="0" t="n">
        <v>0</v>
      </c>
      <c r="F3956" s="39" t="s">
        <v>1665</v>
      </c>
      <c r="I3956" s="39" t="s">
        <v>107</v>
      </c>
      <c r="U3956" s="0" t="n">
        <v>23</v>
      </c>
      <c r="V3956" s="0" t="n">
        <v>0</v>
      </c>
      <c r="W3956" s="39" t="n">
        <f aca="false">IF(I3956="Male",0,1)</f>
        <v>0</v>
      </c>
      <c r="X3956" s="39" t="n">
        <f aca="false">IF(OR(I3956="DNB",I3956="Dry DNB"),1,0)</f>
        <v>0</v>
      </c>
      <c r="Y3956" s="39" t="n">
        <f aca="false">MATCH(A3956,DATAS,0)</f>
        <v>1</v>
      </c>
      <c r="Z3956" s="39" t="n">
        <f aca="false">IF(AND(E3956&gt;0,OR(AND(B3956&gt;=1,B3956&lt;=6),B3956=10)),1,0)</f>
        <v>0</v>
      </c>
      <c r="AA3956" s="39" t="n">
        <f aca="false">IF(AND(E3956&gt;0,B3956=10),1,0)</f>
        <v>0</v>
      </c>
      <c r="AB3956" s="0" t="str">
        <f aca="false">IF(AND(C3955=C3956,Y3955=Y3956-1),Z3955,"")</f>
        <v/>
      </c>
      <c r="AC3956" s="0" t="str">
        <f aca="false">IF(AND(C3955=C3956,Y3955=Y3956-1),AA3955,"")</f>
        <v/>
      </c>
      <c r="AD3956" s="0" t="str">
        <f aca="false">IF(Y3956=1,"",IF(AND(Z3956=1,AB3956&lt;&gt;1),1,0))</f>
        <v/>
      </c>
      <c r="AE3956" s="0" t="str">
        <f aca="false">IF(Y3956=1,"",IF(AND(AA3956=1,AC3956&lt;&gt;1),1,0))</f>
        <v/>
      </c>
      <c r="AF3956" s="45" t="str">
        <f aca="false">IF(AND(E3956&gt;0,Y3956&lt;1,NOT(AND(C3957=C3956,Y3957=Y3956+1))),INDEX(DATAS,Y3956+1),"")</f>
        <v/>
      </c>
      <c r="AG3956" s="45" t="str">
        <f aca="false">IF(AND(AA3956=1,Y3956&lt;1),IF(AND(C3957=C3956,Y3957=Y3956+1),IF(AA3957=1,"",INDEX(DATAS,Y3956+1)),INDEX(DATAS,Y3956+1)),"")</f>
        <v/>
      </c>
    </row>
    <row r="3957" customFormat="false" ht="15" hidden="false" customHeight="false" outlineLevel="0" collapsed="false">
      <c r="A3957" s="45" t="n">
        <v>46309</v>
      </c>
      <c r="B3957" s="0" t="n">
        <v>15</v>
      </c>
      <c r="C3957" s="0" t="n">
        <v>30925</v>
      </c>
      <c r="E3957" s="0" t="n">
        <v>0</v>
      </c>
      <c r="F3957" s="39" t="s">
        <v>1638</v>
      </c>
      <c r="I3957" s="39" t="s">
        <v>107</v>
      </c>
      <c r="U3957" s="0" t="n">
        <v>17</v>
      </c>
      <c r="V3957" s="0" t="n">
        <v>0</v>
      </c>
      <c r="W3957" s="39" t="n">
        <f aca="false">IF(I3957="Male",0,1)</f>
        <v>0</v>
      </c>
      <c r="X3957" s="39" t="n">
        <f aca="false">IF(OR(I3957="DNB",I3957="Dry DNB"),1,0)</f>
        <v>0</v>
      </c>
      <c r="Y3957" s="39" t="n">
        <f aca="false">MATCH(A3957,DATAS,0)</f>
        <v>1</v>
      </c>
      <c r="Z3957" s="39" t="n">
        <f aca="false">IF(AND(E3957&gt;0,OR(AND(B3957&gt;=1,B3957&lt;=6),B3957=10)),1,0)</f>
        <v>0</v>
      </c>
      <c r="AA3957" s="39" t="n">
        <f aca="false">IF(AND(E3957&gt;0,B3957=10),1,0)</f>
        <v>0</v>
      </c>
      <c r="AB3957" s="0" t="str">
        <f aca="false">IF(AND(C3956=C3957,Y3956=Y3957-1),Z3956,"")</f>
        <v/>
      </c>
      <c r="AC3957" s="0" t="str">
        <f aca="false">IF(AND(C3956=C3957,Y3956=Y3957-1),AA3956,"")</f>
        <v/>
      </c>
      <c r="AD3957" s="0" t="str">
        <f aca="false">IF(Y3957=1,"",IF(AND(Z3957=1,AB3957&lt;&gt;1),1,0))</f>
        <v/>
      </c>
      <c r="AE3957" s="0" t="str">
        <f aca="false">IF(Y3957=1,"",IF(AND(AA3957=1,AC3957&lt;&gt;1),1,0))</f>
        <v/>
      </c>
      <c r="AF3957" s="45" t="str">
        <f aca="false">IF(AND(E3957&gt;0,Y3957&lt;1,NOT(AND(C3958=C3957,Y3958=Y3957+1))),INDEX(DATAS,Y3957+1),"")</f>
        <v/>
      </c>
      <c r="AG3957" s="45" t="str">
        <f aca="false">IF(AND(AA3957=1,Y3957&lt;1),IF(AND(C3958=C3957,Y3958=Y3957+1),IF(AA3958=1,"",INDEX(DATAS,Y3957+1)),INDEX(DATAS,Y3957+1)),"")</f>
        <v/>
      </c>
    </row>
    <row r="3958" customFormat="false" ht="15" hidden="false" customHeight="false" outlineLevel="0" collapsed="false">
      <c r="A3958" s="45" t="n">
        <v>46309</v>
      </c>
      <c r="B3958" s="0" t="n">
        <v>15</v>
      </c>
      <c r="C3958" s="0" t="n">
        <v>30927</v>
      </c>
      <c r="E3958" s="0" t="n">
        <v>0</v>
      </c>
      <c r="F3958" s="39" t="s">
        <v>1638</v>
      </c>
      <c r="I3958" s="39" t="s">
        <v>107</v>
      </c>
      <c r="U3958" s="0" t="n">
        <v>17</v>
      </c>
      <c r="V3958" s="0" t="n">
        <v>0</v>
      </c>
      <c r="W3958" s="39" t="n">
        <f aca="false">IF(I3958="Male",0,1)</f>
        <v>0</v>
      </c>
      <c r="X3958" s="39" t="n">
        <f aca="false">IF(OR(I3958="DNB",I3958="Dry DNB"),1,0)</f>
        <v>0</v>
      </c>
      <c r="Y3958" s="39" t="n">
        <f aca="false">MATCH(A3958,DATAS,0)</f>
        <v>1</v>
      </c>
      <c r="Z3958" s="39" t="n">
        <f aca="false">IF(AND(E3958&gt;0,OR(AND(B3958&gt;=1,B3958&lt;=6),B3958=10)),1,0)</f>
        <v>0</v>
      </c>
      <c r="AA3958" s="39" t="n">
        <f aca="false">IF(AND(E3958&gt;0,B3958=10),1,0)</f>
        <v>0</v>
      </c>
      <c r="AB3958" s="0" t="str">
        <f aca="false">IF(AND(C3957=C3958,Y3957=Y3958-1),Z3957,"")</f>
        <v/>
      </c>
      <c r="AC3958" s="0" t="str">
        <f aca="false">IF(AND(C3957=C3958,Y3957=Y3958-1),AA3957,"")</f>
        <v/>
      </c>
      <c r="AD3958" s="0" t="str">
        <f aca="false">IF(Y3958=1,"",IF(AND(Z3958=1,AB3958&lt;&gt;1),1,0))</f>
        <v/>
      </c>
      <c r="AE3958" s="0" t="str">
        <f aca="false">IF(Y3958=1,"",IF(AND(AA3958=1,AC3958&lt;&gt;1),1,0))</f>
        <v/>
      </c>
      <c r="AF3958" s="45" t="str">
        <f aca="false">IF(AND(E3958&gt;0,Y3958&lt;1,NOT(AND(C3959=C3958,Y3959=Y3958+1))),INDEX(DATAS,Y3958+1),"")</f>
        <v/>
      </c>
      <c r="AG3958" s="45" t="str">
        <f aca="false">IF(AND(AA3958=1,Y3958&lt;1),IF(AND(C3959=C3958,Y3959=Y3958+1),IF(AA3959=1,"",INDEX(DATAS,Y3958+1)),INDEX(DATAS,Y3958+1)),"")</f>
        <v/>
      </c>
    </row>
    <row r="3959" customFormat="false" ht="15" hidden="false" customHeight="false" outlineLevel="0" collapsed="false">
      <c r="A3959" s="45" t="n">
        <v>46309</v>
      </c>
      <c r="B3959" s="0" t="n">
        <v>15</v>
      </c>
      <c r="C3959" s="0" t="n">
        <v>30929</v>
      </c>
      <c r="E3959" s="0" t="n">
        <v>0</v>
      </c>
      <c r="F3959" s="39" t="s">
        <v>1666</v>
      </c>
      <c r="I3959" s="39" t="s">
        <v>107</v>
      </c>
      <c r="U3959" s="0" t="n">
        <v>16</v>
      </c>
      <c r="V3959" s="0" t="n">
        <v>0</v>
      </c>
      <c r="W3959" s="39" t="n">
        <f aca="false">IF(I3959="Male",0,1)</f>
        <v>0</v>
      </c>
      <c r="X3959" s="39" t="n">
        <f aca="false">IF(OR(I3959="DNB",I3959="Dry DNB"),1,0)</f>
        <v>0</v>
      </c>
      <c r="Y3959" s="39" t="n">
        <f aca="false">MATCH(A3959,DATAS,0)</f>
        <v>1</v>
      </c>
      <c r="Z3959" s="39" t="n">
        <f aca="false">IF(AND(E3959&gt;0,OR(AND(B3959&gt;=1,B3959&lt;=6),B3959=10)),1,0)</f>
        <v>0</v>
      </c>
      <c r="AA3959" s="39" t="n">
        <f aca="false">IF(AND(E3959&gt;0,B3959=10),1,0)</f>
        <v>0</v>
      </c>
      <c r="AB3959" s="0" t="str">
        <f aca="false">IF(AND(C3958=C3959,Y3958=Y3959-1),Z3958,"")</f>
        <v/>
      </c>
      <c r="AC3959" s="0" t="str">
        <f aca="false">IF(AND(C3958=C3959,Y3958=Y3959-1),AA3958,"")</f>
        <v/>
      </c>
      <c r="AD3959" s="0" t="str">
        <f aca="false">IF(Y3959=1,"",IF(AND(Z3959=1,AB3959&lt;&gt;1),1,0))</f>
        <v/>
      </c>
      <c r="AE3959" s="0" t="str">
        <f aca="false">IF(Y3959=1,"",IF(AND(AA3959=1,AC3959&lt;&gt;1),1,0))</f>
        <v/>
      </c>
      <c r="AF3959" s="45" t="str">
        <f aca="false">IF(AND(E3959&gt;0,Y3959&lt;1,NOT(AND(C3960=C3959,Y3960=Y3959+1))),INDEX(DATAS,Y3959+1),"")</f>
        <v/>
      </c>
      <c r="AG3959" s="45" t="str">
        <f aca="false">IF(AND(AA3959=1,Y3959&lt;1),IF(AND(C3960=C3959,Y3960=Y3959+1),IF(AA3960=1,"",INDEX(DATAS,Y3959+1)),INDEX(DATAS,Y3959+1)),"")</f>
        <v/>
      </c>
    </row>
    <row r="3960" customFormat="false" ht="15" hidden="false" customHeight="false" outlineLevel="0" collapsed="false">
      <c r="A3960" s="45" t="n">
        <v>46309</v>
      </c>
      <c r="B3960" s="0" t="n">
        <v>15</v>
      </c>
      <c r="C3960" s="0" t="n">
        <v>30933</v>
      </c>
      <c r="E3960" s="0" t="n">
        <v>0</v>
      </c>
      <c r="F3960" s="39" t="s">
        <v>1642</v>
      </c>
      <c r="I3960" s="39" t="s">
        <v>107</v>
      </c>
      <c r="U3960" s="0" t="n">
        <v>12</v>
      </c>
      <c r="V3960" s="0" t="n">
        <v>0</v>
      </c>
      <c r="W3960" s="39" t="n">
        <f aca="false">IF(I3960="Male",0,1)</f>
        <v>0</v>
      </c>
      <c r="X3960" s="39" t="n">
        <f aca="false">IF(OR(I3960="DNB",I3960="Dry DNB"),1,0)</f>
        <v>0</v>
      </c>
      <c r="Y3960" s="39" t="n">
        <f aca="false">MATCH(A3960,DATAS,0)</f>
        <v>1</v>
      </c>
      <c r="Z3960" s="39" t="n">
        <f aca="false">IF(AND(E3960&gt;0,OR(AND(B3960&gt;=1,B3960&lt;=6),B3960=10)),1,0)</f>
        <v>0</v>
      </c>
      <c r="AA3960" s="39" t="n">
        <f aca="false">IF(AND(E3960&gt;0,B3960=10),1,0)</f>
        <v>0</v>
      </c>
      <c r="AB3960" s="0" t="str">
        <f aca="false">IF(AND(C3959=C3960,Y3959=Y3960-1),Z3959,"")</f>
        <v/>
      </c>
      <c r="AC3960" s="0" t="str">
        <f aca="false">IF(AND(C3959=C3960,Y3959=Y3960-1),AA3959,"")</f>
        <v/>
      </c>
      <c r="AD3960" s="0" t="str">
        <f aca="false">IF(Y3960=1,"",IF(AND(Z3960=1,AB3960&lt;&gt;1),1,0))</f>
        <v/>
      </c>
      <c r="AE3960" s="0" t="str">
        <f aca="false">IF(Y3960=1,"",IF(AND(AA3960=1,AC3960&lt;&gt;1),1,0))</f>
        <v/>
      </c>
      <c r="AF3960" s="45" t="str">
        <f aca="false">IF(AND(E3960&gt;0,Y3960&lt;1,NOT(AND(C3961=C3960,Y3961=Y3960+1))),INDEX(DATAS,Y3960+1),"")</f>
        <v/>
      </c>
      <c r="AG3960" s="45" t="str">
        <f aca="false">IF(AND(AA3960=1,Y3960&lt;1),IF(AND(C3961=C3960,Y3961=Y3960+1),IF(AA3961=1,"",INDEX(DATAS,Y3960+1)),INDEX(DATAS,Y3960+1)),"")</f>
        <v/>
      </c>
    </row>
    <row r="3961" customFormat="false" ht="15" hidden="false" customHeight="false" outlineLevel="0" collapsed="false">
      <c r="A3961" s="45" t="n">
        <v>46309</v>
      </c>
      <c r="B3961" s="0" t="n">
        <v>15</v>
      </c>
      <c r="C3961" s="0" t="n">
        <v>30934</v>
      </c>
      <c r="E3961" s="0" t="n">
        <v>0</v>
      </c>
      <c r="F3961" s="39" t="s">
        <v>1642</v>
      </c>
      <c r="I3961" s="39" t="s">
        <v>107</v>
      </c>
      <c r="U3961" s="0" t="n">
        <v>12</v>
      </c>
      <c r="V3961" s="0" t="n">
        <v>0</v>
      </c>
      <c r="W3961" s="39" t="n">
        <f aca="false">IF(I3961="Male",0,1)</f>
        <v>0</v>
      </c>
      <c r="X3961" s="39" t="n">
        <f aca="false">IF(OR(I3961="DNB",I3961="Dry DNB"),1,0)</f>
        <v>0</v>
      </c>
      <c r="Y3961" s="39" t="n">
        <f aca="false">MATCH(A3961,DATAS,0)</f>
        <v>1</v>
      </c>
      <c r="Z3961" s="39" t="n">
        <f aca="false">IF(AND(E3961&gt;0,OR(AND(B3961&gt;=1,B3961&lt;=6),B3961=10)),1,0)</f>
        <v>0</v>
      </c>
      <c r="AA3961" s="39" t="n">
        <f aca="false">IF(AND(E3961&gt;0,B3961=10),1,0)</f>
        <v>0</v>
      </c>
      <c r="AB3961" s="0" t="str">
        <f aca="false">IF(AND(C3960=C3961,Y3960=Y3961-1),Z3960,"")</f>
        <v/>
      </c>
      <c r="AC3961" s="0" t="str">
        <f aca="false">IF(AND(C3960=C3961,Y3960=Y3961-1),AA3960,"")</f>
        <v/>
      </c>
      <c r="AD3961" s="0" t="str">
        <f aca="false">IF(Y3961=1,"",IF(AND(Z3961=1,AB3961&lt;&gt;1),1,0))</f>
        <v/>
      </c>
      <c r="AE3961" s="0" t="str">
        <f aca="false">IF(Y3961=1,"",IF(AND(AA3961=1,AC3961&lt;&gt;1),1,0))</f>
        <v/>
      </c>
      <c r="AF3961" s="45" t="str">
        <f aca="false">IF(AND(E3961&gt;0,Y3961&lt;1,NOT(AND(C3962=C3961,Y3962=Y3961+1))),INDEX(DATAS,Y3961+1),"")</f>
        <v/>
      </c>
      <c r="AG3961" s="45" t="str">
        <f aca="false">IF(AND(AA3961=1,Y3961&lt;1),IF(AND(C3962=C3961,Y3962=Y3961+1),IF(AA3962=1,"",INDEX(DATAS,Y3961+1)),INDEX(DATAS,Y3961+1)),"")</f>
        <v/>
      </c>
    </row>
    <row r="3962" customFormat="false" ht="15" hidden="false" customHeight="false" outlineLevel="0" collapsed="false">
      <c r="A3962" s="45" t="n">
        <v>46309</v>
      </c>
      <c r="B3962" s="0" t="n">
        <v>15</v>
      </c>
      <c r="C3962" s="0" t="n">
        <v>30935</v>
      </c>
      <c r="E3962" s="0" t="n">
        <v>0</v>
      </c>
      <c r="F3962" s="39" t="s">
        <v>1642</v>
      </c>
      <c r="I3962" s="39" t="s">
        <v>107</v>
      </c>
      <c r="U3962" s="0" t="n">
        <v>12</v>
      </c>
      <c r="V3962" s="0" t="n">
        <v>0</v>
      </c>
      <c r="W3962" s="39" t="n">
        <f aca="false">IF(I3962="Male",0,1)</f>
        <v>0</v>
      </c>
      <c r="X3962" s="39" t="n">
        <f aca="false">IF(OR(I3962="DNB",I3962="Dry DNB"),1,0)</f>
        <v>0</v>
      </c>
      <c r="Y3962" s="39" t="n">
        <f aca="false">MATCH(A3962,DATAS,0)</f>
        <v>1</v>
      </c>
      <c r="Z3962" s="39" t="n">
        <f aca="false">IF(AND(E3962&gt;0,OR(AND(B3962&gt;=1,B3962&lt;=6),B3962=10)),1,0)</f>
        <v>0</v>
      </c>
      <c r="AA3962" s="39" t="n">
        <f aca="false">IF(AND(E3962&gt;0,B3962=10),1,0)</f>
        <v>0</v>
      </c>
      <c r="AB3962" s="0" t="str">
        <f aca="false">IF(AND(C3961=C3962,Y3961=Y3962-1),Z3961,"")</f>
        <v/>
      </c>
      <c r="AC3962" s="0" t="str">
        <f aca="false">IF(AND(C3961=C3962,Y3961=Y3962-1),AA3961,"")</f>
        <v/>
      </c>
      <c r="AD3962" s="0" t="str">
        <f aca="false">IF(Y3962=1,"",IF(AND(Z3962=1,AB3962&lt;&gt;1),1,0))</f>
        <v/>
      </c>
      <c r="AE3962" s="0" t="str">
        <f aca="false">IF(Y3962=1,"",IF(AND(AA3962=1,AC3962&lt;&gt;1),1,0))</f>
        <v/>
      </c>
      <c r="AF3962" s="45" t="str">
        <f aca="false">IF(AND(E3962&gt;0,Y3962&lt;1,NOT(AND(C3963=C3962,Y3963=Y3962+1))),INDEX(DATAS,Y3962+1),"")</f>
        <v/>
      </c>
      <c r="AG3962" s="45" t="str">
        <f aca="false">IF(AND(AA3962=1,Y3962&lt;1),IF(AND(C3963=C3962,Y3963=Y3962+1),IF(AA3963=1,"",INDEX(DATAS,Y3962+1)),INDEX(DATAS,Y3962+1)),"")</f>
        <v/>
      </c>
    </row>
    <row r="3963" customFormat="false" ht="15" hidden="false" customHeight="false" outlineLevel="0" collapsed="false">
      <c r="A3963" s="45" t="n">
        <v>46309</v>
      </c>
      <c r="B3963" s="0" t="n">
        <v>15</v>
      </c>
      <c r="C3963" s="0" t="n">
        <v>30938</v>
      </c>
      <c r="E3963" s="0" t="n">
        <v>0</v>
      </c>
      <c r="F3963" s="39" t="s">
        <v>1647</v>
      </c>
      <c r="I3963" s="39" t="s">
        <v>107</v>
      </c>
      <c r="U3963" s="0" t="n">
        <v>7</v>
      </c>
      <c r="V3963" s="0" t="n">
        <v>0</v>
      </c>
      <c r="W3963" s="39" t="n">
        <f aca="false">IF(I3963="Male",0,1)</f>
        <v>0</v>
      </c>
      <c r="X3963" s="39" t="n">
        <f aca="false">IF(OR(I3963="DNB",I3963="Dry DNB"),1,0)</f>
        <v>0</v>
      </c>
      <c r="Y3963" s="39" t="n">
        <f aca="false">MATCH(A3963,DATAS,0)</f>
        <v>1</v>
      </c>
      <c r="Z3963" s="39" t="n">
        <f aca="false">IF(AND(E3963&gt;0,OR(AND(B3963&gt;=1,B3963&lt;=6),B3963=10)),1,0)</f>
        <v>0</v>
      </c>
      <c r="AA3963" s="39" t="n">
        <f aca="false">IF(AND(E3963&gt;0,B3963=10),1,0)</f>
        <v>0</v>
      </c>
      <c r="AB3963" s="0" t="str">
        <f aca="false">IF(AND(C3962=C3963,Y3962=Y3963-1),Z3962,"")</f>
        <v/>
      </c>
      <c r="AC3963" s="0" t="str">
        <f aca="false">IF(AND(C3962=C3963,Y3962=Y3963-1),AA3962,"")</f>
        <v/>
      </c>
      <c r="AD3963" s="0" t="str">
        <f aca="false">IF(Y3963=1,"",IF(AND(Z3963=1,AB3963&lt;&gt;1),1,0))</f>
        <v/>
      </c>
      <c r="AE3963" s="0" t="str">
        <f aca="false">IF(Y3963=1,"",IF(AND(AA3963=1,AC3963&lt;&gt;1),1,0))</f>
        <v/>
      </c>
      <c r="AF3963" s="45" t="str">
        <f aca="false">IF(AND(E3963&gt;0,Y3963&lt;1,NOT(AND(C3964=C3963,Y3964=Y3963+1))),INDEX(DATAS,Y3963+1),"")</f>
        <v/>
      </c>
      <c r="AG3963" s="45" t="str">
        <f aca="false">IF(AND(AA3963=1,Y3963&lt;1),IF(AND(C3964=C3963,Y3964=Y3963+1),IF(AA3964=1,"",INDEX(DATAS,Y3963+1)),INDEX(DATAS,Y3963+1)),"")</f>
        <v/>
      </c>
    </row>
    <row r="3964" customFormat="false" ht="15" hidden="false" customHeight="false" outlineLevel="0" collapsed="false">
      <c r="A3964" s="45" t="n">
        <v>46309</v>
      </c>
      <c r="B3964" s="0" t="n">
        <v>15</v>
      </c>
      <c r="C3964" s="0" t="n">
        <v>30939</v>
      </c>
      <c r="E3964" s="0" t="n">
        <v>0</v>
      </c>
      <c r="F3964" s="39" t="s">
        <v>1648</v>
      </c>
      <c r="I3964" s="39" t="s">
        <v>107</v>
      </c>
      <c r="U3964" s="0" t="n">
        <v>6</v>
      </c>
      <c r="V3964" s="0" t="n">
        <v>0</v>
      </c>
      <c r="W3964" s="39" t="n">
        <f aca="false">IF(I3964="Male",0,1)</f>
        <v>0</v>
      </c>
      <c r="X3964" s="39" t="n">
        <f aca="false">IF(OR(I3964="DNB",I3964="Dry DNB"),1,0)</f>
        <v>0</v>
      </c>
      <c r="Y3964" s="39" t="n">
        <f aca="false">MATCH(A3964,DATAS,0)</f>
        <v>1</v>
      </c>
      <c r="Z3964" s="39" t="n">
        <f aca="false">IF(AND(E3964&gt;0,OR(AND(B3964&gt;=1,B3964&lt;=6),B3964=10)),1,0)</f>
        <v>0</v>
      </c>
      <c r="AA3964" s="39" t="n">
        <f aca="false">IF(AND(E3964&gt;0,B3964=10),1,0)</f>
        <v>0</v>
      </c>
      <c r="AB3964" s="0" t="str">
        <f aca="false">IF(AND(C3963=C3964,Y3963=Y3964-1),Z3963,"")</f>
        <v/>
      </c>
      <c r="AC3964" s="0" t="str">
        <f aca="false">IF(AND(C3963=C3964,Y3963=Y3964-1),AA3963,"")</f>
        <v/>
      </c>
      <c r="AD3964" s="0" t="str">
        <f aca="false">IF(Y3964=1,"",IF(AND(Z3964=1,AB3964&lt;&gt;1),1,0))</f>
        <v/>
      </c>
      <c r="AE3964" s="0" t="str">
        <f aca="false">IF(Y3964=1,"",IF(AND(AA3964=1,AC3964&lt;&gt;1),1,0))</f>
        <v/>
      </c>
      <c r="AF3964" s="45" t="str">
        <f aca="false">IF(AND(E3964&gt;0,Y3964&lt;1,NOT(AND(C3965=C3964,Y3965=Y3964+1))),INDEX(DATAS,Y3964+1),"")</f>
        <v/>
      </c>
      <c r="AG3964" s="45" t="str">
        <f aca="false">IF(AND(AA3964=1,Y3964&lt;1),IF(AND(C3965=C3964,Y3965=Y3964+1),IF(AA3965=1,"",INDEX(DATAS,Y3964+1)),INDEX(DATAS,Y3964+1)),"")</f>
        <v/>
      </c>
    </row>
    <row r="3965" customFormat="false" ht="15" hidden="false" customHeight="false" outlineLevel="0" collapsed="false">
      <c r="A3965" s="45" t="n">
        <v>46309</v>
      </c>
      <c r="B3965" s="0" t="n">
        <v>15</v>
      </c>
      <c r="C3965" s="0" t="n">
        <v>30940</v>
      </c>
      <c r="E3965" s="0" t="n">
        <v>0</v>
      </c>
      <c r="F3965" s="39" t="s">
        <v>1648</v>
      </c>
      <c r="I3965" s="39" t="s">
        <v>107</v>
      </c>
      <c r="U3965" s="0" t="n">
        <v>6</v>
      </c>
      <c r="V3965" s="0" t="n">
        <v>0</v>
      </c>
      <c r="W3965" s="39" t="n">
        <f aca="false">IF(I3965="Male",0,1)</f>
        <v>0</v>
      </c>
      <c r="X3965" s="39" t="n">
        <f aca="false">IF(OR(I3965="DNB",I3965="Dry DNB"),1,0)</f>
        <v>0</v>
      </c>
      <c r="Y3965" s="39" t="n">
        <f aca="false">MATCH(A3965,DATAS,0)</f>
        <v>1</v>
      </c>
      <c r="Z3965" s="39" t="n">
        <f aca="false">IF(AND(E3965&gt;0,OR(AND(B3965&gt;=1,B3965&lt;=6),B3965=10)),1,0)</f>
        <v>0</v>
      </c>
      <c r="AA3965" s="39" t="n">
        <f aca="false">IF(AND(E3965&gt;0,B3965=10),1,0)</f>
        <v>0</v>
      </c>
      <c r="AB3965" s="0" t="str">
        <f aca="false">IF(AND(C3964=C3965,Y3964=Y3965-1),Z3964,"")</f>
        <v/>
      </c>
      <c r="AC3965" s="0" t="str">
        <f aca="false">IF(AND(C3964=C3965,Y3964=Y3965-1),AA3964,"")</f>
        <v/>
      </c>
      <c r="AD3965" s="0" t="str">
        <f aca="false">IF(Y3965=1,"",IF(AND(Z3965=1,AB3965&lt;&gt;1),1,0))</f>
        <v/>
      </c>
      <c r="AE3965" s="0" t="str">
        <f aca="false">IF(Y3965=1,"",IF(AND(AA3965=1,AC3965&lt;&gt;1),1,0))</f>
        <v/>
      </c>
      <c r="AF3965" s="45" t="str">
        <f aca="false">IF(AND(E3965&gt;0,Y3965&lt;1,NOT(AND(C3966=C3965,Y3966=Y3965+1))),INDEX(DATAS,Y3965+1),"")</f>
        <v/>
      </c>
      <c r="AG3965" s="45" t="str">
        <f aca="false">IF(AND(AA3965=1,Y3965&lt;1),IF(AND(C3966=C3965,Y3966=Y3965+1),IF(AA3966=1,"",INDEX(DATAS,Y3965+1)),INDEX(DATAS,Y3965+1)),"")</f>
        <v/>
      </c>
    </row>
    <row r="3966" customFormat="false" ht="15" hidden="false" customHeight="false" outlineLevel="0" collapsed="false">
      <c r="A3966" s="45" t="n">
        <v>46309</v>
      </c>
      <c r="B3966" s="0" t="n">
        <v>15</v>
      </c>
      <c r="C3966" s="0" t="n">
        <v>30941</v>
      </c>
      <c r="E3966" s="0" t="n">
        <v>0</v>
      </c>
      <c r="F3966" s="39" t="s">
        <v>1648</v>
      </c>
      <c r="I3966" s="39" t="s">
        <v>107</v>
      </c>
      <c r="U3966" s="0" t="n">
        <v>6</v>
      </c>
      <c r="V3966" s="0" t="n">
        <v>0</v>
      </c>
      <c r="W3966" s="39" t="n">
        <f aca="false">IF(I3966="Male",0,1)</f>
        <v>0</v>
      </c>
      <c r="X3966" s="39" t="n">
        <f aca="false">IF(OR(I3966="DNB",I3966="Dry DNB"),1,0)</f>
        <v>0</v>
      </c>
      <c r="Y3966" s="39" t="n">
        <f aca="false">MATCH(A3966,DATAS,0)</f>
        <v>1</v>
      </c>
      <c r="Z3966" s="39" t="n">
        <f aca="false">IF(AND(E3966&gt;0,OR(AND(B3966&gt;=1,B3966&lt;=6),B3966=10)),1,0)</f>
        <v>0</v>
      </c>
      <c r="AA3966" s="39" t="n">
        <f aca="false">IF(AND(E3966&gt;0,B3966=10),1,0)</f>
        <v>0</v>
      </c>
      <c r="AB3966" s="0" t="str">
        <f aca="false">IF(AND(C3965=C3966,Y3965=Y3966-1),Z3965,"")</f>
        <v/>
      </c>
      <c r="AC3966" s="0" t="str">
        <f aca="false">IF(AND(C3965=C3966,Y3965=Y3966-1),AA3965,"")</f>
        <v/>
      </c>
      <c r="AD3966" s="0" t="str">
        <f aca="false">IF(Y3966=1,"",IF(AND(Z3966=1,AB3966&lt;&gt;1),1,0))</f>
        <v/>
      </c>
      <c r="AE3966" s="0" t="str">
        <f aca="false">IF(Y3966=1,"",IF(AND(AA3966=1,AC3966&lt;&gt;1),1,0))</f>
        <v/>
      </c>
      <c r="AF3966" s="45" t="str">
        <f aca="false">IF(AND(E3966&gt;0,Y3966&lt;1,NOT(AND(C3967=C3966,Y3967=Y3966+1))),INDEX(DATAS,Y3966+1),"")</f>
        <v/>
      </c>
      <c r="AG3966" s="45" t="str">
        <f aca="false">IF(AND(AA3966=1,Y3966&lt;1),IF(AND(C3967=C3966,Y3967=Y3966+1),IF(AA3967=1,"",INDEX(DATAS,Y3966+1)),INDEX(DATAS,Y3966+1)),"")</f>
        <v/>
      </c>
    </row>
    <row r="3967" customFormat="false" ht="15" hidden="false" customHeight="false" outlineLevel="0" collapsed="false">
      <c r="A3967" s="45" t="n">
        <v>46309</v>
      </c>
      <c r="B3967" s="0" t="n">
        <v>15</v>
      </c>
      <c r="C3967" s="0" t="n">
        <v>30942</v>
      </c>
      <c r="E3967" s="0" t="n">
        <v>0</v>
      </c>
      <c r="F3967" s="39" t="s">
        <v>1650</v>
      </c>
      <c r="I3967" s="39" t="s">
        <v>107</v>
      </c>
      <c r="U3967" s="0" t="n">
        <v>3</v>
      </c>
      <c r="V3967" s="0" t="n">
        <v>0</v>
      </c>
      <c r="W3967" s="39" t="n">
        <f aca="false">IF(I3967="Male",0,1)</f>
        <v>0</v>
      </c>
      <c r="X3967" s="39" t="n">
        <f aca="false">IF(OR(I3967="DNB",I3967="Dry DNB"),1,0)</f>
        <v>0</v>
      </c>
      <c r="Y3967" s="39" t="n">
        <f aca="false">MATCH(A3967,DATAS,0)</f>
        <v>1</v>
      </c>
      <c r="Z3967" s="39" t="n">
        <f aca="false">IF(AND(E3967&gt;0,OR(AND(B3967&gt;=1,B3967&lt;=6),B3967=10)),1,0)</f>
        <v>0</v>
      </c>
      <c r="AA3967" s="39" t="n">
        <f aca="false">IF(AND(E3967&gt;0,B3967=10),1,0)</f>
        <v>0</v>
      </c>
      <c r="AB3967" s="0" t="str">
        <f aca="false">IF(AND(C3966=C3967,Y3966=Y3967-1),Z3966,"")</f>
        <v/>
      </c>
      <c r="AC3967" s="0" t="str">
        <f aca="false">IF(AND(C3966=C3967,Y3966=Y3967-1),AA3966,"")</f>
        <v/>
      </c>
      <c r="AD3967" s="0" t="str">
        <f aca="false">IF(Y3967=1,"",IF(AND(Z3967=1,AB3967&lt;&gt;1),1,0))</f>
        <v/>
      </c>
      <c r="AE3967" s="0" t="str">
        <f aca="false">IF(Y3967=1,"",IF(AND(AA3967=1,AC3967&lt;&gt;1),1,0))</f>
        <v/>
      </c>
      <c r="AF3967" s="45" t="str">
        <f aca="false">IF(AND(E3967&gt;0,Y3967&lt;1,NOT(AND(C3968=C3967,Y3968=Y3967+1))),INDEX(DATAS,Y3967+1),"")</f>
        <v/>
      </c>
      <c r="AG3967" s="45" t="str">
        <f aca="false">IF(AND(AA3967=1,Y3967&lt;1),IF(AND(C3968=C3967,Y3968=Y3967+1),IF(AA3968=1,"",INDEX(DATAS,Y3967+1)),INDEX(DATAS,Y3967+1)),"")</f>
        <v/>
      </c>
    </row>
    <row r="3968" customFormat="false" ht="15" hidden="false" customHeight="false" outlineLevel="0" collapsed="false">
      <c r="A3968" s="45" t="n">
        <v>46309</v>
      </c>
      <c r="B3968" s="0" t="n">
        <v>15</v>
      </c>
      <c r="C3968" s="0" t="n">
        <v>30943</v>
      </c>
      <c r="E3968" s="0" t="n">
        <v>0</v>
      </c>
      <c r="F3968" s="39" t="s">
        <v>1650</v>
      </c>
      <c r="I3968" s="39" t="s">
        <v>107</v>
      </c>
      <c r="U3968" s="0" t="n">
        <v>3</v>
      </c>
      <c r="V3968" s="0" t="n">
        <v>0</v>
      </c>
      <c r="W3968" s="39" t="n">
        <f aca="false">IF(I3968="Male",0,1)</f>
        <v>0</v>
      </c>
      <c r="X3968" s="39" t="n">
        <f aca="false">IF(OR(I3968="DNB",I3968="Dry DNB"),1,0)</f>
        <v>0</v>
      </c>
      <c r="Y3968" s="39" t="n">
        <f aca="false">MATCH(A3968,DATAS,0)</f>
        <v>1</v>
      </c>
      <c r="Z3968" s="39" t="n">
        <f aca="false">IF(AND(E3968&gt;0,OR(AND(B3968&gt;=1,B3968&lt;=6),B3968=10)),1,0)</f>
        <v>0</v>
      </c>
      <c r="AA3968" s="39" t="n">
        <f aca="false">IF(AND(E3968&gt;0,B3968=10),1,0)</f>
        <v>0</v>
      </c>
      <c r="AB3968" s="0" t="str">
        <f aca="false">IF(AND(C3967=C3968,Y3967=Y3968-1),Z3967,"")</f>
        <v/>
      </c>
      <c r="AC3968" s="0" t="str">
        <f aca="false">IF(AND(C3967=C3968,Y3967=Y3968-1),AA3967,"")</f>
        <v/>
      </c>
      <c r="AD3968" s="0" t="str">
        <f aca="false">IF(Y3968=1,"",IF(AND(Z3968=1,AB3968&lt;&gt;1),1,0))</f>
        <v/>
      </c>
      <c r="AE3968" s="0" t="str">
        <f aca="false">IF(Y3968=1,"",IF(AND(AA3968=1,AC3968&lt;&gt;1),1,0))</f>
        <v/>
      </c>
      <c r="AF3968" s="45" t="str">
        <f aca="false">IF(AND(E3968&gt;0,Y3968&lt;1,NOT(AND(C3969=C3968,Y3969=Y3968+1))),INDEX(DATAS,Y3968+1),"")</f>
        <v/>
      </c>
      <c r="AG3968" s="45" t="str">
        <f aca="false">IF(AND(AA3968=1,Y3968&lt;1),IF(AND(C3969=C3968,Y3969=Y3968+1),IF(AA3969=1,"",INDEX(DATAS,Y3968+1)),INDEX(DATAS,Y3968+1)),"")</f>
        <v/>
      </c>
    </row>
    <row r="3969" customFormat="false" ht="15" hidden="false" customHeight="false" outlineLevel="0" collapsed="false">
      <c r="A3969" s="45" t="n">
        <v>46309</v>
      </c>
      <c r="B3969" s="0" t="n">
        <v>15</v>
      </c>
      <c r="C3969" s="0" t="n">
        <v>30944</v>
      </c>
      <c r="E3969" s="0" t="n">
        <v>0</v>
      </c>
      <c r="F3969" s="39" t="s">
        <v>1651</v>
      </c>
      <c r="I3969" s="39" t="s">
        <v>107</v>
      </c>
      <c r="U3969" s="0" t="n">
        <v>2</v>
      </c>
      <c r="V3969" s="0" t="n">
        <v>0</v>
      </c>
      <c r="W3969" s="39" t="n">
        <f aca="false">IF(I3969="Male",0,1)</f>
        <v>0</v>
      </c>
      <c r="X3969" s="39" t="n">
        <f aca="false">IF(OR(I3969="DNB",I3969="Dry DNB"),1,0)</f>
        <v>0</v>
      </c>
      <c r="Y3969" s="39" t="n">
        <f aca="false">MATCH(A3969,DATAS,0)</f>
        <v>1</v>
      </c>
      <c r="Z3969" s="39" t="n">
        <f aca="false">IF(AND(E3969&gt;0,OR(AND(B3969&gt;=1,B3969&lt;=6),B3969=10)),1,0)</f>
        <v>0</v>
      </c>
      <c r="AA3969" s="39" t="n">
        <f aca="false">IF(AND(E3969&gt;0,B3969=10),1,0)</f>
        <v>0</v>
      </c>
      <c r="AB3969" s="0" t="str">
        <f aca="false">IF(AND(C3968=C3969,Y3968=Y3969-1),Z3968,"")</f>
        <v/>
      </c>
      <c r="AC3969" s="0" t="str">
        <f aca="false">IF(AND(C3968=C3969,Y3968=Y3969-1),AA3968,"")</f>
        <v/>
      </c>
      <c r="AD3969" s="0" t="str">
        <f aca="false">IF(Y3969=1,"",IF(AND(Z3969=1,AB3969&lt;&gt;1),1,0))</f>
        <v/>
      </c>
      <c r="AE3969" s="0" t="str">
        <f aca="false">IF(Y3969=1,"",IF(AND(AA3969=1,AC3969&lt;&gt;1),1,0))</f>
        <v/>
      </c>
      <c r="AF3969" s="45" t="str">
        <f aca="false">IF(AND(E3969&gt;0,Y3969&lt;1,NOT(AND(C3970=C3969,Y3970=Y3969+1))),INDEX(DATAS,Y3969+1),"")</f>
        <v/>
      </c>
      <c r="AG3969" s="45" t="str">
        <f aca="false">IF(AND(AA3969=1,Y3969&lt;1),IF(AND(C3970=C3969,Y3970=Y3969+1),IF(AA3970=1,"",INDEX(DATAS,Y3969+1)),INDEX(DATAS,Y3969+1)),"")</f>
        <v/>
      </c>
    </row>
    <row r="3970" customFormat="false" ht="15" hidden="false" customHeight="false" outlineLevel="0" collapsed="false">
      <c r="A3970" s="45" t="n">
        <v>46309</v>
      </c>
      <c r="B3970" s="0" t="n">
        <v>15</v>
      </c>
      <c r="C3970" s="0" t="n">
        <v>31057</v>
      </c>
      <c r="E3970" s="0" t="n">
        <v>0</v>
      </c>
      <c r="F3970" s="39" t="s">
        <v>1191</v>
      </c>
      <c r="I3970" s="39" t="s">
        <v>107</v>
      </c>
      <c r="U3970" s="0" t="n">
        <v>517</v>
      </c>
      <c r="V3970" s="0" t="n">
        <v>0</v>
      </c>
      <c r="W3970" s="39" t="n">
        <f aca="false">IF(I3970="Male",0,1)</f>
        <v>0</v>
      </c>
      <c r="X3970" s="39" t="n">
        <f aca="false">IF(OR(I3970="DNB",I3970="Dry DNB"),1,0)</f>
        <v>0</v>
      </c>
      <c r="Y3970" s="39" t="n">
        <f aca="false">MATCH(A3970,DATAS,0)</f>
        <v>1</v>
      </c>
      <c r="Z3970" s="39" t="n">
        <f aca="false">IF(AND(E3970&gt;0,OR(AND(B3970&gt;=1,B3970&lt;=6),B3970=10)),1,0)</f>
        <v>0</v>
      </c>
      <c r="AA3970" s="39" t="n">
        <f aca="false">IF(AND(E3970&gt;0,B3970=10),1,0)</f>
        <v>0</v>
      </c>
      <c r="AB3970" s="0" t="str">
        <f aca="false">IF(AND(C3969=C3970,Y3969=Y3970-1),Z3969,"")</f>
        <v/>
      </c>
      <c r="AC3970" s="0" t="str">
        <f aca="false">IF(AND(C3969=C3970,Y3969=Y3970-1),AA3969,"")</f>
        <v/>
      </c>
      <c r="AD3970" s="0" t="str">
        <f aca="false">IF(Y3970=1,"",IF(AND(Z3970=1,AB3970&lt;&gt;1),1,0))</f>
        <v/>
      </c>
      <c r="AE3970" s="0" t="str">
        <f aca="false">IF(Y3970=1,"",IF(AND(AA3970=1,AC3970&lt;&gt;1),1,0))</f>
        <v/>
      </c>
      <c r="AF3970" s="45" t="str">
        <f aca="false">IF(AND(E3970&gt;0,Y3970&lt;1,NOT(AND(C3971=C3970,Y3971=Y3970+1))),INDEX(DATAS,Y3970+1),"")</f>
        <v/>
      </c>
      <c r="AG3970" s="45" t="str">
        <f aca="false">IF(AND(AA3970=1,Y3970&lt;1),IF(AND(C3971=C3970,Y3971=Y3970+1),IF(AA3971=1,"",INDEX(DATAS,Y3970+1)),INDEX(DATAS,Y3970+1)),"")</f>
        <v/>
      </c>
    </row>
    <row r="3971" customFormat="false" ht="15" hidden="false" customHeight="false" outlineLevel="0" collapsed="false">
      <c r="A3971" s="45" t="n">
        <v>46309</v>
      </c>
      <c r="B3971" s="0" t="n">
        <v>13</v>
      </c>
      <c r="C3971" s="0" t="n">
        <v>997050</v>
      </c>
      <c r="E3971" s="0" t="n">
        <v>0</v>
      </c>
      <c r="F3971" s="39" t="s">
        <v>1321</v>
      </c>
      <c r="I3971" s="39" t="s">
        <v>136</v>
      </c>
      <c r="U3971" s="0" t="n">
        <v>360</v>
      </c>
      <c r="V3971" s="0" t="n">
        <v>0</v>
      </c>
      <c r="W3971" s="39" t="n">
        <f aca="false">IF(I3971="Male",0,1)</f>
        <v>1</v>
      </c>
      <c r="X3971" s="39" t="n">
        <f aca="false">IF(OR(I3971="DNB",I3971="Dry DNB"),1,0)</f>
        <v>0</v>
      </c>
      <c r="Y3971" s="39" t="n">
        <f aca="false">MATCH(A3971,DATAS,0)</f>
        <v>1</v>
      </c>
      <c r="Z3971" s="39" t="n">
        <f aca="false">IF(AND(E3971&gt;0,OR(AND(B3971&gt;=1,B3971&lt;=6),B3971=10)),1,0)</f>
        <v>0</v>
      </c>
      <c r="AA3971" s="39" t="n">
        <f aca="false">IF(AND(E3971&gt;0,B3971=10),1,0)</f>
        <v>0</v>
      </c>
      <c r="AB3971" s="0" t="str">
        <f aca="false">IF(AND(C3970=C3971,Y3970=Y3971-1),Z3970,"")</f>
        <v/>
      </c>
      <c r="AC3971" s="0" t="str">
        <f aca="false">IF(AND(C3970=C3971,Y3970=Y3971-1),AA3970,"")</f>
        <v/>
      </c>
      <c r="AD3971" s="0" t="str">
        <f aca="false">IF(Y3971=1,"",IF(AND(Z3971=1,AB3971&lt;&gt;1),1,0))</f>
        <v/>
      </c>
      <c r="AE3971" s="0" t="str">
        <f aca="false">IF(Y3971=1,"",IF(AND(AA3971=1,AC3971&lt;&gt;1),1,0))</f>
        <v/>
      </c>
      <c r="AF3971" s="45" t="str">
        <f aca="false">IF(AND(E3971&gt;0,Y3971&lt;1,NOT(AND(C3972=C3971,Y3972=Y3971+1))),INDEX(DATAS,Y3971+1),"")</f>
        <v/>
      </c>
      <c r="AG3971" s="45" t="str">
        <f aca="false">IF(AND(AA3971=1,Y3971&lt;1),IF(AND(C3972=C3971,Y3972=Y3971+1),IF(AA3972=1,"",INDEX(DATAS,Y3971+1)),INDEX(DATAS,Y3971+1)),"")</f>
        <v/>
      </c>
    </row>
  </sheetData>
  <autoFilter ref="A1:AG39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1667</v>
      </c>
    </row>
    <row r="3" customFormat="false" ht="23.85" hidden="false" customHeight="false" outlineLevel="0" collapsed="false">
      <c r="A3" s="46" t="s">
        <v>1668</v>
      </c>
      <c r="B3" s="47" t="s">
        <v>1669</v>
      </c>
    </row>
    <row r="4" customFormat="false" ht="23.85" hidden="false" customHeight="false" outlineLevel="0" collapsed="false">
      <c r="A4" s="46" t="s">
        <v>1670</v>
      </c>
      <c r="B4" s="47" t="s">
        <v>1671</v>
      </c>
    </row>
    <row r="5" customFormat="false" ht="23.85" hidden="false" customHeight="false" outlineLevel="0" collapsed="false">
      <c r="A5" s="46" t="s">
        <v>1672</v>
      </c>
      <c r="B5" s="47" t="s">
        <v>1673</v>
      </c>
    </row>
    <row r="6" customFormat="false" ht="15" hidden="false" customHeight="false" outlineLevel="0" collapsed="false">
      <c r="A6" s="46" t="s">
        <v>1674</v>
      </c>
      <c r="B6" s="47" t="s">
        <v>1675</v>
      </c>
    </row>
    <row r="7" customFormat="false" ht="15" hidden="false" customHeight="false" outlineLevel="0" collapsed="false">
      <c r="A7" s="46" t="s">
        <v>1676</v>
      </c>
      <c r="B7" s="47" t="s">
        <v>1677</v>
      </c>
    </row>
    <row r="8" customFormat="false" ht="15" hidden="false" customHeight="false" outlineLevel="0" collapsed="false">
      <c r="A8" s="46" t="s">
        <v>1678</v>
      </c>
      <c r="B8" s="47" t="s">
        <v>1679</v>
      </c>
    </row>
    <row r="9" customFormat="false" ht="15" hidden="false" customHeight="false" outlineLevel="0" collapsed="false">
      <c r="A9" s="46" t="s">
        <v>1680</v>
      </c>
      <c r="B9" s="47" t="s">
        <v>1681</v>
      </c>
    </row>
    <row r="10" customFormat="false" ht="15" hidden="false" customHeight="false" outlineLevel="0" collapsed="false">
      <c r="A10" s="46" t="s">
        <v>1682</v>
      </c>
      <c r="B10" s="47" t="s">
        <v>1683</v>
      </c>
    </row>
    <row r="11" customFormat="false" ht="23.85" hidden="false" customHeight="false" outlineLevel="0" collapsed="false">
      <c r="A11" s="46" t="s">
        <v>1684</v>
      </c>
      <c r="B11" s="47" t="s">
        <v>1685</v>
      </c>
    </row>
    <row r="12" customFormat="false" ht="23.85" hidden="false" customHeight="false" outlineLevel="0" collapsed="false">
      <c r="A12" s="46" t="s">
        <v>41</v>
      </c>
      <c r="B12" s="47" t="s">
        <v>1686</v>
      </c>
    </row>
    <row r="13" customFormat="false" ht="23.85" hidden="false" customHeight="false" outlineLevel="0" collapsed="false">
      <c r="A13" s="46" t="s">
        <v>96</v>
      </c>
      <c r="B13" s="47" t="s">
        <v>1687</v>
      </c>
    </row>
    <row r="14" customFormat="false" ht="15" hidden="false" customHeight="false" outlineLevel="0" collapsed="false">
      <c r="A14" s="46" t="s">
        <v>1688</v>
      </c>
      <c r="B14" s="47" t="s">
        <v>1689</v>
      </c>
    </row>
    <row r="15" customFormat="false" ht="23.85" hidden="false" customHeight="false" outlineLevel="0" collapsed="false">
      <c r="A15" s="46" t="s">
        <v>1690</v>
      </c>
      <c r="B15" s="47" t="s">
        <v>1691</v>
      </c>
    </row>
    <row r="16" customFormat="false" ht="15" hidden="false" customHeight="false" outlineLevel="0" collapsed="false">
      <c r="A16" s="46" t="s">
        <v>1692</v>
      </c>
      <c r="B16" s="47" t="s">
        <v>1693</v>
      </c>
    </row>
    <row r="17" customFormat="false" ht="23.85" hidden="false" customHeight="false" outlineLevel="0" collapsed="false">
      <c r="A17" s="46" t="s">
        <v>1694</v>
      </c>
      <c r="B17" s="47" t="s">
        <v>1695</v>
      </c>
    </row>
    <row r="18" customFormat="false" ht="15" hidden="false" customHeight="false" outlineLevel="0" collapsed="false">
      <c r="A18" s="46" t="s">
        <v>1696</v>
      </c>
      <c r="B18" s="47" t="s">
        <v>1697</v>
      </c>
    </row>
    <row r="19" customFormat="false" ht="23.85" hidden="false" customHeight="false" outlineLevel="0" collapsed="false">
      <c r="A19" s="46" t="s">
        <v>1698</v>
      </c>
      <c r="B19" s="47" t="s">
        <v>1699</v>
      </c>
    </row>
    <row r="20" customFormat="false" ht="23.85" hidden="false" customHeight="false" outlineLevel="0" collapsed="false">
      <c r="A20" s="46" t="s">
        <v>1700</v>
      </c>
      <c r="B20" s="47" t="s">
        <v>1701</v>
      </c>
    </row>
    <row r="21" customFormat="false" ht="23.85" hidden="false" customHeight="false" outlineLevel="0" collapsed="false">
      <c r="A21" s="46" t="s">
        <v>1702</v>
      </c>
      <c r="B21" s="47" t="s">
        <v>1703</v>
      </c>
    </row>
    <row r="22" customFormat="false" ht="15" hidden="false" customHeight="false" outlineLevel="0" collapsed="false">
      <c r="A22" s="46" t="s">
        <v>1704</v>
      </c>
      <c r="B22" s="47" t="s">
        <v>1705</v>
      </c>
    </row>
    <row r="23" customFormat="false" ht="15" hidden="false" customHeight="false" outlineLevel="0" collapsed="false">
      <c r="A23" s="46" t="s">
        <v>1706</v>
      </c>
      <c r="B23" s="47" t="s">
        <v>1707</v>
      </c>
    </row>
    <row r="24" customFormat="false" ht="23.85" hidden="false" customHeight="false" outlineLevel="0" collapsed="false">
      <c r="A24" s="46" t="s">
        <v>1708</v>
      </c>
      <c r="B24" s="47" t="s">
        <v>1709</v>
      </c>
    </row>
    <row r="25" customFormat="false" ht="23.85" hidden="false" customHeight="false" outlineLevel="0" collapsed="false">
      <c r="A25" s="46" t="s">
        <v>1710</v>
      </c>
      <c r="B25" s="47" t="s">
        <v>1711</v>
      </c>
    </row>
    <row r="26" customFormat="false" ht="15" hidden="false" customHeight="false" outlineLevel="0" collapsed="false">
      <c r="A26" s="46" t="s">
        <v>1712</v>
      </c>
      <c r="B26" s="47" t="s">
        <v>1713</v>
      </c>
    </row>
    <row r="27" customFormat="false" ht="15" hidden="false" customHeight="false" outlineLevel="0" collapsed="false">
      <c r="A27" s="46" t="s">
        <v>37</v>
      </c>
      <c r="B27" s="47" t="s">
        <v>1714</v>
      </c>
    </row>
    <row r="28" customFormat="false" ht="15" hidden="false" customHeight="false" outlineLevel="0" collapsed="false">
      <c r="A28" s="46" t="s">
        <v>1715</v>
      </c>
      <c r="B28" s="47" t="s">
        <v>1716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2026-10-15T16:03:59Z</dcterms:created>
  <dc:creator>openpyxl</dc:creator>
  <dc:description/>
  <dc:language>en-US</dc:language>
  <cp:lastModifiedBy/>
  <dcterms:modified xsi:type="dcterms:W3CDTF">2026-10-15T16:04:00Z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